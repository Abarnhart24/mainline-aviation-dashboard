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13"/>
  <workbookPr/>
  <mc:AlternateContent xmlns:mc="http://schemas.openxmlformats.org/markup-compatibility/2006">
    <mc:Choice Requires="x15">
      <x15ac:absPath xmlns:x15ac="http://schemas.microsoft.com/office/spreadsheetml/2010/11/ac" url="https://virginatlantic365-my.sharepoint.com/personal/connor_genders_fly_virgin_com/Documents/Documents/IFS Operations/Tender/US tender 2024/"/>
    </mc:Choice>
  </mc:AlternateContent>
  <xr:revisionPtr revIDLastSave="17" documentId="8_{88A609BA-EECB-42E6-A11E-30DDF691F248}" xr6:coauthVersionLast="47" xr6:coauthVersionMax="47" xr10:uidLastSave="{847E6758-9D9D-455D-ACB3-C07EBE9DBE57}"/>
  <bookViews>
    <workbookView xWindow="-120" yWindow="-120" windowWidth="29040" windowHeight="15720" firstSheet="3" activeTab="3" xr2:uid="{00000000-000D-0000-FFFF-FFFF00000000}"/>
  </bookViews>
  <sheets>
    <sheet name="Passengers" sheetId="15" r:id="rId1"/>
    <sheet name="Sectors" sheetId="16" r:id="rId2"/>
    <sheet name="Load Factor" sheetId="17" r:id="rId3"/>
    <sheet name="Deps" sheetId="20" r:id="rId4"/>
    <sheet name="Totals check (live)" sheetId="6" state="hidden" r:id="rId5"/>
    <sheet name="Passengers (live)" sheetId="3" state="hidden" r:id="rId6"/>
    <sheet name="Sectors (live)" sheetId="4" state="hidden" r:id="rId7"/>
    <sheet name="Load Factor (live)" sheetId="13" state="hidden" r:id="rId8"/>
    <sheet name="ASK (live)" sheetId="12" state="hidden" r:id="rId9"/>
    <sheet name="RPK (live)" sheetId="11" state="hidden" r:id="rId10"/>
  </sheets>
  <definedNames>
    <definedName name="_xlnm._FilterDatabase" localSheetId="3" hidden="1">Deps!$A$2:$K$66</definedName>
    <definedName name="_xlnm._FilterDatabase" localSheetId="2" hidden="1">'Load Factor'!$A$2:$AE$2</definedName>
    <definedName name="_xlnm._FilterDatabase" localSheetId="0" hidden="1">Passengers!$A$2:$AE$2</definedName>
    <definedName name="_xlnm._FilterDatabase" localSheetId="1" hidden="1">Sectors!$A$2:$AE$152</definedName>
    <definedName name="TM1REBUILDOPTION">1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7" l="1"/>
  <c r="R10" i="17"/>
  <c r="R9" i="17"/>
  <c r="R8" i="17"/>
  <c r="R7" i="17"/>
  <c r="R6" i="17"/>
  <c r="R5" i="17"/>
  <c r="R4" i="17"/>
  <c r="R3" i="17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B5" i="6"/>
  <c r="B7" i="6"/>
  <c r="B1" i="6"/>
  <c r="B15" i="6"/>
  <c r="G22" i="6"/>
  <c r="B22" i="6"/>
  <c r="B26" i="6"/>
  <c r="G15" i="6"/>
  <c r="G26" i="6"/>
  <c r="H15" i="6"/>
  <c r="H26" i="6"/>
  <c r="I15" i="6"/>
  <c r="I26" i="6"/>
  <c r="J15" i="6"/>
  <c r="J26" i="6"/>
  <c r="K15" i="6"/>
  <c r="K26" i="6"/>
  <c r="L15" i="6"/>
  <c r="L26" i="6"/>
  <c r="M15" i="6"/>
  <c r="M26" i="6"/>
  <c r="N15" i="6"/>
  <c r="N26" i="6"/>
  <c r="O15" i="6"/>
  <c r="O26" i="6"/>
  <c r="P15" i="6"/>
  <c r="P26" i="6"/>
  <c r="Q15" i="6"/>
  <c r="Q26" i="6"/>
  <c r="R15" i="6"/>
  <c r="R26" i="6"/>
  <c r="S15" i="6"/>
  <c r="S26" i="6"/>
  <c r="T15" i="6"/>
  <c r="T26" i="6"/>
  <c r="U15" i="6"/>
  <c r="U26" i="6"/>
  <c r="V15" i="6"/>
  <c r="V26" i="6"/>
  <c r="W15" i="6"/>
  <c r="W26" i="6"/>
  <c r="X15" i="6"/>
  <c r="X26" i="6"/>
  <c r="Y15" i="6"/>
  <c r="Y26" i="6"/>
  <c r="Z15" i="6"/>
  <c r="Z26" i="6"/>
  <c r="B16" i="6"/>
  <c r="G23" i="6"/>
  <c r="B23" i="6"/>
  <c r="B27" i="6"/>
  <c r="G16" i="6"/>
  <c r="G27" i="6"/>
  <c r="H16" i="6"/>
  <c r="H27" i="6"/>
  <c r="I16" i="6"/>
  <c r="I27" i="6"/>
  <c r="J16" i="6"/>
  <c r="J27" i="6"/>
  <c r="K16" i="6"/>
  <c r="K27" i="6"/>
  <c r="L16" i="6"/>
  <c r="L27" i="6"/>
  <c r="M16" i="6"/>
  <c r="M27" i="6"/>
  <c r="N16" i="6"/>
  <c r="N27" i="6"/>
  <c r="O16" i="6"/>
  <c r="O27" i="6"/>
  <c r="P16" i="6"/>
  <c r="P27" i="6"/>
  <c r="Q16" i="6"/>
  <c r="Q27" i="6"/>
  <c r="R16" i="6"/>
  <c r="R27" i="6"/>
  <c r="S16" i="6"/>
  <c r="S27" i="6"/>
  <c r="T16" i="6"/>
  <c r="T27" i="6"/>
  <c r="U16" i="6"/>
  <c r="U27" i="6"/>
  <c r="V16" i="6"/>
  <c r="V27" i="6"/>
  <c r="W16" i="6"/>
  <c r="W27" i="6"/>
  <c r="X16" i="6"/>
  <c r="X27" i="6"/>
  <c r="Y16" i="6"/>
  <c r="Y27" i="6"/>
  <c r="Z16" i="6"/>
  <c r="Z2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B17" i="6"/>
  <c r="AE346" i="13"/>
  <c r="AD346" i="13"/>
  <c r="AC346" i="13"/>
  <c r="AB346" i="13"/>
  <c r="AA346" i="13"/>
  <c r="Z346" i="13"/>
  <c r="Y346" i="13"/>
  <c r="X346" i="13"/>
  <c r="W346" i="13"/>
  <c r="V346" i="13"/>
  <c r="U346" i="13"/>
  <c r="T346" i="13"/>
  <c r="S346" i="13"/>
  <c r="R346" i="13"/>
  <c r="Q346" i="13"/>
  <c r="P346" i="13"/>
  <c r="O346" i="13"/>
  <c r="N346" i="13"/>
  <c r="M346" i="13"/>
  <c r="L346" i="13"/>
  <c r="AE345" i="13"/>
  <c r="AD345" i="13"/>
  <c r="AC345" i="13"/>
  <c r="AB345" i="13"/>
  <c r="AA345" i="13"/>
  <c r="Z345" i="13"/>
  <c r="Y345" i="13"/>
  <c r="X345" i="13"/>
  <c r="W345" i="13"/>
  <c r="V345" i="13"/>
  <c r="U345" i="13"/>
  <c r="T345" i="13"/>
  <c r="S345" i="13"/>
  <c r="R345" i="13"/>
  <c r="Q345" i="13"/>
  <c r="P345" i="13"/>
  <c r="O345" i="13"/>
  <c r="N345" i="13"/>
  <c r="M345" i="13"/>
  <c r="L345" i="13"/>
  <c r="AE344" i="13"/>
  <c r="AD344" i="13"/>
  <c r="AC344" i="13"/>
  <c r="AB344" i="13"/>
  <c r="AA344" i="13"/>
  <c r="Z344" i="13"/>
  <c r="Y344" i="13"/>
  <c r="X344" i="13"/>
  <c r="W344" i="13"/>
  <c r="V344" i="13"/>
  <c r="U344" i="13"/>
  <c r="T344" i="13"/>
  <c r="S344" i="13"/>
  <c r="R344" i="13"/>
  <c r="Q344" i="13"/>
  <c r="P344" i="13"/>
  <c r="O344" i="13"/>
  <c r="N344" i="13"/>
  <c r="M344" i="13"/>
  <c r="L344" i="13"/>
  <c r="AE343" i="13"/>
  <c r="AD343" i="13"/>
  <c r="AC343" i="13"/>
  <c r="AB343" i="13"/>
  <c r="AA343" i="13"/>
  <c r="Z343" i="13"/>
  <c r="Y343" i="13"/>
  <c r="X343" i="13"/>
  <c r="W343" i="13"/>
  <c r="V343" i="13"/>
  <c r="U343" i="13"/>
  <c r="T343" i="13"/>
  <c r="S343" i="13"/>
  <c r="R343" i="13"/>
  <c r="Q343" i="13"/>
  <c r="P343" i="13"/>
  <c r="O343" i="13"/>
  <c r="N343" i="13"/>
  <c r="M343" i="13"/>
  <c r="L343" i="13"/>
  <c r="AE342" i="13"/>
  <c r="AD342" i="13"/>
  <c r="AC342" i="13"/>
  <c r="AB342" i="13"/>
  <c r="AA342" i="13"/>
  <c r="Z342" i="13"/>
  <c r="Y342" i="13"/>
  <c r="X342" i="13"/>
  <c r="W342" i="13"/>
  <c r="V342" i="13"/>
  <c r="U342" i="13"/>
  <c r="T342" i="13"/>
  <c r="S342" i="13"/>
  <c r="R342" i="13"/>
  <c r="Q342" i="13"/>
  <c r="P342" i="13"/>
  <c r="O342" i="13"/>
  <c r="N342" i="13"/>
  <c r="M342" i="13"/>
  <c r="L342" i="13"/>
  <c r="AE341" i="13"/>
  <c r="AD341" i="13"/>
  <c r="AC341" i="13"/>
  <c r="AB341" i="13"/>
  <c r="AA341" i="13"/>
  <c r="Z341" i="13"/>
  <c r="Y341" i="13"/>
  <c r="X341" i="13"/>
  <c r="W341" i="13"/>
  <c r="V341" i="13"/>
  <c r="U341" i="13"/>
  <c r="T341" i="13"/>
  <c r="S341" i="13"/>
  <c r="R341" i="13"/>
  <c r="Q341" i="13"/>
  <c r="P341" i="13"/>
  <c r="O341" i="13"/>
  <c r="N341" i="13"/>
  <c r="M341" i="13"/>
  <c r="L341" i="13"/>
  <c r="AE340" i="13"/>
  <c r="AD340" i="13"/>
  <c r="AC340" i="13"/>
  <c r="AB340" i="13"/>
  <c r="AA340" i="13"/>
  <c r="Z340" i="13"/>
  <c r="Y340" i="13"/>
  <c r="X340" i="13"/>
  <c r="W340" i="13"/>
  <c r="V340" i="13"/>
  <c r="U340" i="13"/>
  <c r="T340" i="13"/>
  <c r="S340" i="13"/>
  <c r="R340" i="13"/>
  <c r="Q340" i="13"/>
  <c r="P340" i="13"/>
  <c r="O340" i="13"/>
  <c r="N340" i="13"/>
  <c r="M340" i="13"/>
  <c r="L340" i="13"/>
  <c r="AE339" i="13"/>
  <c r="AD339" i="13"/>
  <c r="AC339" i="13"/>
  <c r="AB339" i="13"/>
  <c r="AA339" i="13"/>
  <c r="Z339" i="13"/>
  <c r="Y339" i="13"/>
  <c r="X339" i="13"/>
  <c r="W339" i="13"/>
  <c r="V339" i="13"/>
  <c r="U339" i="13"/>
  <c r="T339" i="13"/>
  <c r="S339" i="13"/>
  <c r="R339" i="13"/>
  <c r="Q339" i="13"/>
  <c r="P339" i="13"/>
  <c r="O339" i="13"/>
  <c r="N339" i="13"/>
  <c r="M339" i="13"/>
  <c r="L339" i="13"/>
  <c r="AE338" i="13"/>
  <c r="AD338" i="13"/>
  <c r="AC338" i="13"/>
  <c r="AB338" i="13"/>
  <c r="AA338" i="13"/>
  <c r="Z338" i="13"/>
  <c r="Y338" i="13"/>
  <c r="X338" i="13"/>
  <c r="W338" i="13"/>
  <c r="V338" i="13"/>
  <c r="U338" i="13"/>
  <c r="T338" i="13"/>
  <c r="S338" i="13"/>
  <c r="R338" i="13"/>
  <c r="Q338" i="13"/>
  <c r="P338" i="13"/>
  <c r="O338" i="13"/>
  <c r="N338" i="13"/>
  <c r="M338" i="13"/>
  <c r="L338" i="13"/>
  <c r="AE337" i="13"/>
  <c r="AD337" i="13"/>
  <c r="AC337" i="13"/>
  <c r="AB337" i="13"/>
  <c r="AA337" i="13"/>
  <c r="Z337" i="13"/>
  <c r="Y337" i="13"/>
  <c r="X337" i="13"/>
  <c r="W337" i="13"/>
  <c r="V337" i="13"/>
  <c r="U337" i="13"/>
  <c r="T337" i="13"/>
  <c r="S337" i="13"/>
  <c r="R337" i="13"/>
  <c r="Q337" i="13"/>
  <c r="P337" i="13"/>
  <c r="O337" i="13"/>
  <c r="N337" i="13"/>
  <c r="M337" i="13"/>
  <c r="L337" i="13"/>
  <c r="AE336" i="13"/>
  <c r="AD336" i="13"/>
  <c r="AC336" i="13"/>
  <c r="AB336" i="13"/>
  <c r="AA336" i="13"/>
  <c r="Z336" i="13"/>
  <c r="Y336" i="13"/>
  <c r="X336" i="13"/>
  <c r="W336" i="13"/>
  <c r="V336" i="13"/>
  <c r="U336" i="13"/>
  <c r="T336" i="13"/>
  <c r="S336" i="13"/>
  <c r="R336" i="13"/>
  <c r="Q336" i="13"/>
  <c r="P336" i="13"/>
  <c r="O336" i="13"/>
  <c r="N336" i="13"/>
  <c r="M336" i="13"/>
  <c r="L336" i="13"/>
  <c r="AE335" i="13"/>
  <c r="AD335" i="13"/>
  <c r="AC335" i="13"/>
  <c r="AB335" i="13"/>
  <c r="AA335" i="13"/>
  <c r="Z335" i="13"/>
  <c r="Y335" i="13"/>
  <c r="X335" i="13"/>
  <c r="W335" i="13"/>
  <c r="V335" i="13"/>
  <c r="U335" i="13"/>
  <c r="T335" i="13"/>
  <c r="S335" i="13"/>
  <c r="R335" i="13"/>
  <c r="Q335" i="13"/>
  <c r="P335" i="13"/>
  <c r="O335" i="13"/>
  <c r="N335" i="13"/>
  <c r="M335" i="13"/>
  <c r="L335" i="13"/>
  <c r="AE334" i="13"/>
  <c r="AD334" i="13"/>
  <c r="AC334" i="13"/>
  <c r="AB334" i="13"/>
  <c r="AA334" i="13"/>
  <c r="Z334" i="13"/>
  <c r="Y334" i="13"/>
  <c r="X334" i="13"/>
  <c r="W334" i="13"/>
  <c r="V334" i="13"/>
  <c r="U334" i="13"/>
  <c r="T334" i="13"/>
  <c r="S334" i="13"/>
  <c r="R334" i="13"/>
  <c r="Q334" i="13"/>
  <c r="P334" i="13"/>
  <c r="O334" i="13"/>
  <c r="N334" i="13"/>
  <c r="M334" i="13"/>
  <c r="L334" i="13"/>
  <c r="AE333" i="13"/>
  <c r="AD333" i="13"/>
  <c r="AC333" i="13"/>
  <c r="AB333" i="13"/>
  <c r="AA333" i="13"/>
  <c r="Z333" i="13"/>
  <c r="Y333" i="13"/>
  <c r="X333" i="13"/>
  <c r="W333" i="13"/>
  <c r="V333" i="13"/>
  <c r="U333" i="13"/>
  <c r="T333" i="13"/>
  <c r="S333" i="13"/>
  <c r="R333" i="13"/>
  <c r="Q333" i="13"/>
  <c r="P333" i="13"/>
  <c r="O333" i="13"/>
  <c r="N333" i="13"/>
  <c r="M333" i="13"/>
  <c r="L333" i="13"/>
  <c r="AE332" i="13"/>
  <c r="AD332" i="13"/>
  <c r="AC332" i="13"/>
  <c r="AB332" i="13"/>
  <c r="AA332" i="13"/>
  <c r="Z332" i="13"/>
  <c r="Y332" i="13"/>
  <c r="X332" i="13"/>
  <c r="W332" i="13"/>
  <c r="V332" i="13"/>
  <c r="U332" i="13"/>
  <c r="T332" i="13"/>
  <c r="S332" i="13"/>
  <c r="R332" i="13"/>
  <c r="Q332" i="13"/>
  <c r="P332" i="13"/>
  <c r="O332" i="13"/>
  <c r="N332" i="13"/>
  <c r="M332" i="13"/>
  <c r="L332" i="13"/>
  <c r="AE331" i="13"/>
  <c r="AD331" i="13"/>
  <c r="AC331" i="13"/>
  <c r="AB331" i="13"/>
  <c r="AA331" i="13"/>
  <c r="Z331" i="13"/>
  <c r="Y331" i="13"/>
  <c r="X331" i="13"/>
  <c r="W331" i="13"/>
  <c r="V331" i="13"/>
  <c r="U331" i="13"/>
  <c r="T331" i="13"/>
  <c r="S331" i="13"/>
  <c r="R331" i="13"/>
  <c r="Q331" i="13"/>
  <c r="P331" i="13"/>
  <c r="O331" i="13"/>
  <c r="N331" i="13"/>
  <c r="M331" i="13"/>
  <c r="L331" i="13"/>
  <c r="AE330" i="13"/>
  <c r="AD330" i="13"/>
  <c r="AC330" i="13"/>
  <c r="AB330" i="13"/>
  <c r="AA330" i="13"/>
  <c r="Z330" i="13"/>
  <c r="Y330" i="13"/>
  <c r="X330" i="13"/>
  <c r="W330" i="13"/>
  <c r="V330" i="13"/>
  <c r="U330" i="13"/>
  <c r="T330" i="13"/>
  <c r="S330" i="13"/>
  <c r="R330" i="13"/>
  <c r="Q330" i="13"/>
  <c r="P330" i="13"/>
  <c r="O330" i="13"/>
  <c r="N330" i="13"/>
  <c r="M330" i="13"/>
  <c r="L330" i="13"/>
  <c r="AE329" i="13"/>
  <c r="AD329" i="13"/>
  <c r="AC329" i="13"/>
  <c r="AB329" i="13"/>
  <c r="AA329" i="13"/>
  <c r="Z329" i="13"/>
  <c r="Y329" i="13"/>
  <c r="X329" i="13"/>
  <c r="W329" i="13"/>
  <c r="V329" i="13"/>
  <c r="U329" i="13"/>
  <c r="T329" i="13"/>
  <c r="S329" i="13"/>
  <c r="R329" i="13"/>
  <c r="Q329" i="13"/>
  <c r="P329" i="13"/>
  <c r="O329" i="13"/>
  <c r="N329" i="13"/>
  <c r="M329" i="13"/>
  <c r="L329" i="13"/>
  <c r="AE328" i="13"/>
  <c r="AD328" i="13"/>
  <c r="AC328" i="13"/>
  <c r="AB328" i="13"/>
  <c r="AA328" i="13"/>
  <c r="Z328" i="13"/>
  <c r="Y328" i="13"/>
  <c r="X328" i="13"/>
  <c r="W328" i="13"/>
  <c r="V328" i="13"/>
  <c r="U328" i="13"/>
  <c r="T328" i="13"/>
  <c r="S328" i="13"/>
  <c r="R328" i="13"/>
  <c r="Q328" i="13"/>
  <c r="P328" i="13"/>
  <c r="O328" i="13"/>
  <c r="N328" i="13"/>
  <c r="M328" i="13"/>
  <c r="L328" i="13"/>
  <c r="AE327" i="13"/>
  <c r="AD327" i="13"/>
  <c r="AC327" i="13"/>
  <c r="AB327" i="13"/>
  <c r="AA327" i="13"/>
  <c r="Z327" i="13"/>
  <c r="Y327" i="13"/>
  <c r="X327" i="13"/>
  <c r="W327" i="13"/>
  <c r="V327" i="13"/>
  <c r="U327" i="13"/>
  <c r="T327" i="13"/>
  <c r="S327" i="13"/>
  <c r="R327" i="13"/>
  <c r="Q327" i="13"/>
  <c r="P327" i="13"/>
  <c r="O327" i="13"/>
  <c r="N327" i="13"/>
  <c r="M327" i="13"/>
  <c r="L327" i="13"/>
  <c r="AE326" i="13"/>
  <c r="AD326" i="13"/>
  <c r="AC326" i="13"/>
  <c r="AB326" i="13"/>
  <c r="AA326" i="13"/>
  <c r="Z326" i="13"/>
  <c r="Y326" i="13"/>
  <c r="X326" i="13"/>
  <c r="W326" i="13"/>
  <c r="V326" i="13"/>
  <c r="U326" i="13"/>
  <c r="T326" i="13"/>
  <c r="S326" i="13"/>
  <c r="R326" i="13"/>
  <c r="Q326" i="13"/>
  <c r="P326" i="13"/>
  <c r="O326" i="13"/>
  <c r="N326" i="13"/>
  <c r="M326" i="13"/>
  <c r="L326" i="13"/>
  <c r="AE325" i="13"/>
  <c r="AD325" i="13"/>
  <c r="AC325" i="13"/>
  <c r="AB325" i="13"/>
  <c r="AA325" i="13"/>
  <c r="Z325" i="13"/>
  <c r="Y325" i="13"/>
  <c r="X325" i="13"/>
  <c r="W325" i="13"/>
  <c r="V325" i="13"/>
  <c r="U325" i="13"/>
  <c r="T325" i="13"/>
  <c r="S325" i="13"/>
  <c r="R325" i="13"/>
  <c r="Q325" i="13"/>
  <c r="P325" i="13"/>
  <c r="O325" i="13"/>
  <c r="N325" i="13"/>
  <c r="M325" i="13"/>
  <c r="L325" i="13"/>
  <c r="AE324" i="13"/>
  <c r="AD324" i="13"/>
  <c r="AC324" i="13"/>
  <c r="AB324" i="13"/>
  <c r="AA324" i="13"/>
  <c r="Z324" i="13"/>
  <c r="Y324" i="13"/>
  <c r="X324" i="13"/>
  <c r="W324" i="13"/>
  <c r="V324" i="13"/>
  <c r="U324" i="13"/>
  <c r="T324" i="13"/>
  <c r="S324" i="13"/>
  <c r="R324" i="13"/>
  <c r="Q324" i="13"/>
  <c r="P324" i="13"/>
  <c r="O324" i="13"/>
  <c r="N324" i="13"/>
  <c r="M324" i="13"/>
  <c r="L324" i="13"/>
  <c r="AE323" i="13"/>
  <c r="AD323" i="13"/>
  <c r="AC323" i="13"/>
  <c r="AB323" i="13"/>
  <c r="AA323" i="13"/>
  <c r="Z323" i="13"/>
  <c r="Y323" i="13"/>
  <c r="X323" i="13"/>
  <c r="W323" i="13"/>
  <c r="V323" i="13"/>
  <c r="U323" i="13"/>
  <c r="T323" i="13"/>
  <c r="S323" i="13"/>
  <c r="R323" i="13"/>
  <c r="Q323" i="13"/>
  <c r="P323" i="13"/>
  <c r="O323" i="13"/>
  <c r="N323" i="13"/>
  <c r="M323" i="13"/>
  <c r="L323" i="13"/>
  <c r="AE322" i="13"/>
  <c r="AD322" i="13"/>
  <c r="AC322" i="13"/>
  <c r="AB322" i="13"/>
  <c r="AA322" i="13"/>
  <c r="Z322" i="13"/>
  <c r="Y322" i="13"/>
  <c r="X322" i="13"/>
  <c r="W322" i="13"/>
  <c r="V322" i="13"/>
  <c r="U322" i="13"/>
  <c r="T322" i="13"/>
  <c r="S322" i="13"/>
  <c r="R322" i="13"/>
  <c r="Q322" i="13"/>
  <c r="P322" i="13"/>
  <c r="O322" i="13"/>
  <c r="N322" i="13"/>
  <c r="M322" i="13"/>
  <c r="L322" i="13"/>
  <c r="AE321" i="13"/>
  <c r="AD321" i="13"/>
  <c r="AC321" i="13"/>
  <c r="AB321" i="13"/>
  <c r="AA321" i="13"/>
  <c r="Z321" i="13"/>
  <c r="Y321" i="13"/>
  <c r="X321" i="13"/>
  <c r="W321" i="13"/>
  <c r="V321" i="13"/>
  <c r="U321" i="13"/>
  <c r="T321" i="13"/>
  <c r="S321" i="13"/>
  <c r="R321" i="13"/>
  <c r="Q321" i="13"/>
  <c r="P321" i="13"/>
  <c r="O321" i="13"/>
  <c r="N321" i="13"/>
  <c r="M321" i="13"/>
  <c r="L321" i="13"/>
  <c r="AE320" i="13"/>
  <c r="AD320" i="13"/>
  <c r="AC320" i="13"/>
  <c r="AB320" i="13"/>
  <c r="AA320" i="13"/>
  <c r="Z320" i="13"/>
  <c r="Y320" i="13"/>
  <c r="X320" i="13"/>
  <c r="W320" i="13"/>
  <c r="V320" i="13"/>
  <c r="U320" i="13"/>
  <c r="T320" i="13"/>
  <c r="S320" i="13"/>
  <c r="R320" i="13"/>
  <c r="Q320" i="13"/>
  <c r="P320" i="13"/>
  <c r="O320" i="13"/>
  <c r="N320" i="13"/>
  <c r="M320" i="13"/>
  <c r="L320" i="13"/>
  <c r="AE319" i="13"/>
  <c r="AD319" i="13"/>
  <c r="AC319" i="13"/>
  <c r="AB319" i="13"/>
  <c r="AA319" i="13"/>
  <c r="Z319" i="13"/>
  <c r="Y319" i="13"/>
  <c r="X319" i="13"/>
  <c r="W319" i="13"/>
  <c r="V319" i="13"/>
  <c r="U319" i="13"/>
  <c r="T319" i="13"/>
  <c r="S319" i="13"/>
  <c r="R319" i="13"/>
  <c r="Q319" i="13"/>
  <c r="P319" i="13"/>
  <c r="O319" i="13"/>
  <c r="N319" i="13"/>
  <c r="M319" i="13"/>
  <c r="L319" i="13"/>
  <c r="AE318" i="13"/>
  <c r="AD318" i="13"/>
  <c r="AC318" i="13"/>
  <c r="AB318" i="13"/>
  <c r="AA318" i="13"/>
  <c r="Z318" i="13"/>
  <c r="Y318" i="13"/>
  <c r="X318" i="13"/>
  <c r="W318" i="13"/>
  <c r="V318" i="13"/>
  <c r="U318" i="13"/>
  <c r="T318" i="13"/>
  <c r="S318" i="13"/>
  <c r="R318" i="13"/>
  <c r="Q318" i="13"/>
  <c r="P318" i="13"/>
  <c r="O318" i="13"/>
  <c r="N318" i="13"/>
  <c r="M318" i="13"/>
  <c r="L318" i="13"/>
  <c r="AE317" i="13"/>
  <c r="AD317" i="13"/>
  <c r="AC317" i="13"/>
  <c r="AB317" i="13"/>
  <c r="AA317" i="13"/>
  <c r="Z317" i="13"/>
  <c r="Y317" i="13"/>
  <c r="X317" i="13"/>
  <c r="W317" i="13"/>
  <c r="V317" i="13"/>
  <c r="U317" i="13"/>
  <c r="T317" i="13"/>
  <c r="S317" i="13"/>
  <c r="R317" i="13"/>
  <c r="Q317" i="13"/>
  <c r="P317" i="13"/>
  <c r="O317" i="13"/>
  <c r="N317" i="13"/>
  <c r="M317" i="13"/>
  <c r="L317" i="13"/>
  <c r="AE316" i="13"/>
  <c r="AD316" i="13"/>
  <c r="AC316" i="13"/>
  <c r="AB316" i="13"/>
  <c r="AA316" i="13"/>
  <c r="Z316" i="13"/>
  <c r="Y316" i="13"/>
  <c r="X316" i="13"/>
  <c r="W316" i="13"/>
  <c r="V316" i="13"/>
  <c r="U316" i="13"/>
  <c r="T316" i="13"/>
  <c r="S316" i="13"/>
  <c r="R316" i="13"/>
  <c r="Q316" i="13"/>
  <c r="P316" i="13"/>
  <c r="O316" i="13"/>
  <c r="N316" i="13"/>
  <c r="M316" i="13"/>
  <c r="L316" i="13"/>
  <c r="AE315" i="13"/>
  <c r="AD315" i="13"/>
  <c r="AC315" i="13"/>
  <c r="AB315" i="13"/>
  <c r="AA315" i="13"/>
  <c r="Z315" i="13"/>
  <c r="Y315" i="13"/>
  <c r="X315" i="13"/>
  <c r="W315" i="13"/>
  <c r="V315" i="13"/>
  <c r="U315" i="13"/>
  <c r="T315" i="13"/>
  <c r="S315" i="13"/>
  <c r="R315" i="13"/>
  <c r="Q315" i="13"/>
  <c r="P315" i="13"/>
  <c r="O315" i="13"/>
  <c r="N315" i="13"/>
  <c r="M315" i="13"/>
  <c r="L315" i="13"/>
  <c r="AE314" i="13"/>
  <c r="AD314" i="13"/>
  <c r="AC314" i="13"/>
  <c r="AB314" i="13"/>
  <c r="AA314" i="13"/>
  <c r="Z314" i="13"/>
  <c r="Y314" i="13"/>
  <c r="X314" i="13"/>
  <c r="W314" i="13"/>
  <c r="V314" i="13"/>
  <c r="U314" i="13"/>
  <c r="T314" i="13"/>
  <c r="S314" i="13"/>
  <c r="R314" i="13"/>
  <c r="Q314" i="13"/>
  <c r="P314" i="13"/>
  <c r="O314" i="13"/>
  <c r="N314" i="13"/>
  <c r="M314" i="13"/>
  <c r="L314" i="13"/>
  <c r="AE313" i="13"/>
  <c r="AD313" i="13"/>
  <c r="AC313" i="13"/>
  <c r="AB313" i="13"/>
  <c r="AA313" i="13"/>
  <c r="Z313" i="13"/>
  <c r="Y313" i="13"/>
  <c r="X313" i="13"/>
  <c r="W313" i="13"/>
  <c r="V313" i="13"/>
  <c r="U313" i="13"/>
  <c r="T313" i="13"/>
  <c r="S313" i="13"/>
  <c r="R313" i="13"/>
  <c r="Q313" i="13"/>
  <c r="P313" i="13"/>
  <c r="O313" i="13"/>
  <c r="N313" i="13"/>
  <c r="M313" i="13"/>
  <c r="L313" i="13"/>
  <c r="AE312" i="13"/>
  <c r="AD312" i="13"/>
  <c r="AC312" i="13"/>
  <c r="AB312" i="13"/>
  <c r="AA312" i="13"/>
  <c r="Z312" i="13"/>
  <c r="Y312" i="13"/>
  <c r="X312" i="13"/>
  <c r="W312" i="13"/>
  <c r="V312" i="13"/>
  <c r="U312" i="13"/>
  <c r="T312" i="13"/>
  <c r="S312" i="13"/>
  <c r="R312" i="13"/>
  <c r="Q312" i="13"/>
  <c r="P312" i="13"/>
  <c r="O312" i="13"/>
  <c r="N312" i="13"/>
  <c r="M312" i="13"/>
  <c r="L312" i="13"/>
  <c r="AE311" i="13"/>
  <c r="AD311" i="13"/>
  <c r="AC311" i="13"/>
  <c r="AB311" i="13"/>
  <c r="AA311" i="13"/>
  <c r="Z311" i="13"/>
  <c r="Y311" i="13"/>
  <c r="X311" i="13"/>
  <c r="W311" i="13"/>
  <c r="V311" i="13"/>
  <c r="U311" i="13"/>
  <c r="T311" i="13"/>
  <c r="S311" i="13"/>
  <c r="R311" i="13"/>
  <c r="Q311" i="13"/>
  <c r="P311" i="13"/>
  <c r="O311" i="13"/>
  <c r="N311" i="13"/>
  <c r="M311" i="13"/>
  <c r="L311" i="13"/>
  <c r="AE310" i="13"/>
  <c r="AD310" i="13"/>
  <c r="AC310" i="13"/>
  <c r="AB310" i="13"/>
  <c r="AA310" i="13"/>
  <c r="Z310" i="13"/>
  <c r="Y310" i="13"/>
  <c r="X310" i="13"/>
  <c r="W310" i="13"/>
  <c r="V310" i="13"/>
  <c r="U310" i="13"/>
  <c r="T310" i="13"/>
  <c r="S310" i="13"/>
  <c r="R310" i="13"/>
  <c r="Q310" i="13"/>
  <c r="P310" i="13"/>
  <c r="O310" i="13"/>
  <c r="N310" i="13"/>
  <c r="M310" i="13"/>
  <c r="L310" i="13"/>
  <c r="AE309" i="13"/>
  <c r="AD309" i="13"/>
  <c r="AC309" i="13"/>
  <c r="AB309" i="13"/>
  <c r="AA309" i="13"/>
  <c r="Z309" i="13"/>
  <c r="Y309" i="13"/>
  <c r="X309" i="13"/>
  <c r="W309" i="13"/>
  <c r="V309" i="13"/>
  <c r="U309" i="13"/>
  <c r="T309" i="13"/>
  <c r="S309" i="13"/>
  <c r="R309" i="13"/>
  <c r="Q309" i="13"/>
  <c r="P309" i="13"/>
  <c r="O309" i="13"/>
  <c r="N309" i="13"/>
  <c r="M309" i="13"/>
  <c r="L309" i="13"/>
  <c r="AE308" i="13"/>
  <c r="AD308" i="13"/>
  <c r="AC308" i="13"/>
  <c r="AB308" i="13"/>
  <c r="AA308" i="13"/>
  <c r="Z308" i="13"/>
  <c r="Y308" i="13"/>
  <c r="X308" i="13"/>
  <c r="W308" i="13"/>
  <c r="V308" i="13"/>
  <c r="U308" i="13"/>
  <c r="T308" i="13"/>
  <c r="S308" i="13"/>
  <c r="R308" i="13"/>
  <c r="Q308" i="13"/>
  <c r="P308" i="13"/>
  <c r="O308" i="13"/>
  <c r="N308" i="13"/>
  <c r="M308" i="13"/>
  <c r="L308" i="13"/>
  <c r="AE307" i="13"/>
  <c r="AD307" i="13"/>
  <c r="AC307" i="13"/>
  <c r="AB307" i="13"/>
  <c r="AA307" i="13"/>
  <c r="Z307" i="13"/>
  <c r="Y307" i="13"/>
  <c r="X307" i="13"/>
  <c r="W307" i="13"/>
  <c r="V307" i="13"/>
  <c r="U307" i="13"/>
  <c r="T307" i="13"/>
  <c r="S307" i="13"/>
  <c r="R307" i="13"/>
  <c r="Q307" i="13"/>
  <c r="P307" i="13"/>
  <c r="O307" i="13"/>
  <c r="N307" i="13"/>
  <c r="M307" i="13"/>
  <c r="L307" i="13"/>
  <c r="AE306" i="13"/>
  <c r="AD306" i="13"/>
  <c r="AC306" i="13"/>
  <c r="AB306" i="13"/>
  <c r="AA306" i="13"/>
  <c r="Z306" i="13"/>
  <c r="Y306" i="13"/>
  <c r="X306" i="13"/>
  <c r="W306" i="13"/>
  <c r="V306" i="13"/>
  <c r="U306" i="13"/>
  <c r="T306" i="13"/>
  <c r="S306" i="13"/>
  <c r="R306" i="13"/>
  <c r="Q306" i="13"/>
  <c r="P306" i="13"/>
  <c r="O306" i="13"/>
  <c r="N306" i="13"/>
  <c r="M306" i="13"/>
  <c r="L306" i="13"/>
  <c r="AE305" i="13"/>
  <c r="AD305" i="13"/>
  <c r="AC305" i="13"/>
  <c r="AB305" i="13"/>
  <c r="AA305" i="13"/>
  <c r="Z305" i="13"/>
  <c r="Y305" i="13"/>
  <c r="X305" i="13"/>
  <c r="W305" i="13"/>
  <c r="V305" i="13"/>
  <c r="U305" i="13"/>
  <c r="T305" i="13"/>
  <c r="S305" i="13"/>
  <c r="R305" i="13"/>
  <c r="Q305" i="13"/>
  <c r="P305" i="13"/>
  <c r="O305" i="13"/>
  <c r="N305" i="13"/>
  <c r="M305" i="13"/>
  <c r="L305" i="13"/>
  <c r="AE304" i="13"/>
  <c r="AD304" i="13"/>
  <c r="AC304" i="13"/>
  <c r="AB304" i="13"/>
  <c r="AA304" i="13"/>
  <c r="Z304" i="13"/>
  <c r="Y304" i="13"/>
  <c r="X304" i="13"/>
  <c r="W304" i="13"/>
  <c r="V304" i="13"/>
  <c r="U304" i="13"/>
  <c r="T304" i="13"/>
  <c r="S304" i="13"/>
  <c r="R304" i="13"/>
  <c r="Q304" i="13"/>
  <c r="P304" i="13"/>
  <c r="O304" i="13"/>
  <c r="N304" i="13"/>
  <c r="M304" i="13"/>
  <c r="L304" i="13"/>
  <c r="AE303" i="13"/>
  <c r="AD303" i="13"/>
  <c r="AC303" i="13"/>
  <c r="AB303" i="13"/>
  <c r="AA303" i="13"/>
  <c r="Z303" i="13"/>
  <c r="Y303" i="13"/>
  <c r="X303" i="13"/>
  <c r="W303" i="13"/>
  <c r="V303" i="13"/>
  <c r="U303" i="13"/>
  <c r="T303" i="13"/>
  <c r="S303" i="13"/>
  <c r="R303" i="13"/>
  <c r="Q303" i="13"/>
  <c r="P303" i="13"/>
  <c r="O303" i="13"/>
  <c r="N303" i="13"/>
  <c r="M303" i="13"/>
  <c r="L303" i="13"/>
  <c r="AE302" i="13"/>
  <c r="AD302" i="13"/>
  <c r="AC302" i="13"/>
  <c r="AB302" i="13"/>
  <c r="AA302" i="13"/>
  <c r="Z302" i="13"/>
  <c r="Y302" i="13"/>
  <c r="X302" i="13"/>
  <c r="W302" i="13"/>
  <c r="V302" i="13"/>
  <c r="U302" i="13"/>
  <c r="T302" i="13"/>
  <c r="S302" i="13"/>
  <c r="R302" i="13"/>
  <c r="Q302" i="13"/>
  <c r="P302" i="13"/>
  <c r="O302" i="13"/>
  <c r="N302" i="13"/>
  <c r="M302" i="13"/>
  <c r="L302" i="13"/>
  <c r="AE301" i="13"/>
  <c r="AD301" i="13"/>
  <c r="AC301" i="13"/>
  <c r="AB301" i="13"/>
  <c r="AA301" i="13"/>
  <c r="Z301" i="13"/>
  <c r="Y301" i="13"/>
  <c r="X301" i="13"/>
  <c r="W301" i="13"/>
  <c r="V301" i="13"/>
  <c r="U301" i="13"/>
  <c r="T301" i="13"/>
  <c r="S301" i="13"/>
  <c r="R301" i="13"/>
  <c r="Q301" i="13"/>
  <c r="P301" i="13"/>
  <c r="O301" i="13"/>
  <c r="N301" i="13"/>
  <c r="M301" i="13"/>
  <c r="L301" i="13"/>
  <c r="AE300" i="13"/>
  <c r="AD300" i="13"/>
  <c r="AC300" i="13"/>
  <c r="AB300" i="13"/>
  <c r="AA300" i="13"/>
  <c r="Z300" i="13"/>
  <c r="Y300" i="13"/>
  <c r="X300" i="13"/>
  <c r="W300" i="13"/>
  <c r="V300" i="13"/>
  <c r="U300" i="13"/>
  <c r="T300" i="13"/>
  <c r="S300" i="13"/>
  <c r="R300" i="13"/>
  <c r="Q300" i="13"/>
  <c r="P300" i="13"/>
  <c r="O300" i="13"/>
  <c r="N300" i="13"/>
  <c r="M300" i="13"/>
  <c r="L300" i="13"/>
  <c r="AE299" i="13"/>
  <c r="AD299" i="13"/>
  <c r="AC299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O299" i="13"/>
  <c r="N299" i="13"/>
  <c r="M299" i="13"/>
  <c r="L299" i="13"/>
  <c r="AE298" i="13"/>
  <c r="AD298" i="13"/>
  <c r="AC298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O298" i="13"/>
  <c r="N298" i="13"/>
  <c r="M298" i="13"/>
  <c r="L298" i="13"/>
  <c r="AE297" i="13"/>
  <c r="AD297" i="13"/>
  <c r="AC297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O297" i="13"/>
  <c r="N297" i="13"/>
  <c r="M297" i="13"/>
  <c r="L297" i="13"/>
  <c r="AE296" i="13"/>
  <c r="AD296" i="13"/>
  <c r="AC296" i="13"/>
  <c r="AB296" i="13"/>
  <c r="AA296" i="13"/>
  <c r="Z296" i="13"/>
  <c r="Y296" i="13"/>
  <c r="X296" i="13"/>
  <c r="W296" i="13"/>
  <c r="V296" i="13"/>
  <c r="U296" i="13"/>
  <c r="T296" i="13"/>
  <c r="S296" i="13"/>
  <c r="R296" i="13"/>
  <c r="Q296" i="13"/>
  <c r="P296" i="13"/>
  <c r="O296" i="13"/>
  <c r="N296" i="13"/>
  <c r="M296" i="13"/>
  <c r="L296" i="13"/>
  <c r="AE295" i="13"/>
  <c r="AD295" i="13"/>
  <c r="AC295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O295" i="13"/>
  <c r="N295" i="13"/>
  <c r="M295" i="13"/>
  <c r="L295" i="13"/>
  <c r="AE294" i="13"/>
  <c r="AD294" i="13"/>
  <c r="AC294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O294" i="13"/>
  <c r="N294" i="13"/>
  <c r="M294" i="13"/>
  <c r="L294" i="13"/>
  <c r="AE293" i="13"/>
  <c r="AD293" i="13"/>
  <c r="AC293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O293" i="13"/>
  <c r="N293" i="13"/>
  <c r="M293" i="13"/>
  <c r="L293" i="13"/>
  <c r="AE292" i="13"/>
  <c r="AD292" i="13"/>
  <c r="AC292" i="13"/>
  <c r="AB292" i="13"/>
  <c r="AA292" i="13"/>
  <c r="Z292" i="13"/>
  <c r="Y292" i="13"/>
  <c r="X292" i="13"/>
  <c r="W292" i="13"/>
  <c r="V292" i="13"/>
  <c r="U292" i="13"/>
  <c r="T292" i="13"/>
  <c r="S292" i="13"/>
  <c r="R292" i="13"/>
  <c r="Q292" i="13"/>
  <c r="P292" i="13"/>
  <c r="O292" i="13"/>
  <c r="N292" i="13"/>
  <c r="M292" i="13"/>
  <c r="L292" i="13"/>
  <c r="AE291" i="13"/>
  <c r="AD291" i="13"/>
  <c r="AC291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O291" i="13"/>
  <c r="N291" i="13"/>
  <c r="M291" i="13"/>
  <c r="L291" i="13"/>
  <c r="AE290" i="13"/>
  <c r="AD290" i="13"/>
  <c r="AC290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O290" i="13"/>
  <c r="N290" i="13"/>
  <c r="M290" i="13"/>
  <c r="L290" i="13"/>
  <c r="AE289" i="13"/>
  <c r="AD289" i="13"/>
  <c r="AC289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O289" i="13"/>
  <c r="N289" i="13"/>
  <c r="M289" i="13"/>
  <c r="L289" i="13"/>
  <c r="AE288" i="13"/>
  <c r="AD288" i="13"/>
  <c r="AC288" i="13"/>
  <c r="AB288" i="13"/>
  <c r="AA288" i="13"/>
  <c r="Z288" i="13"/>
  <c r="Y288" i="13"/>
  <c r="X288" i="13"/>
  <c r="W288" i="13"/>
  <c r="V288" i="13"/>
  <c r="U288" i="13"/>
  <c r="T288" i="13"/>
  <c r="S288" i="13"/>
  <c r="R288" i="13"/>
  <c r="Q288" i="13"/>
  <c r="P288" i="13"/>
  <c r="O288" i="13"/>
  <c r="N288" i="13"/>
  <c r="M288" i="13"/>
  <c r="L288" i="13"/>
  <c r="AE287" i="13"/>
  <c r="AD287" i="13"/>
  <c r="AC287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O287" i="13"/>
  <c r="N287" i="13"/>
  <c r="M287" i="13"/>
  <c r="L287" i="13"/>
  <c r="AE286" i="13"/>
  <c r="AD286" i="13"/>
  <c r="AC286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O286" i="13"/>
  <c r="N286" i="13"/>
  <c r="M286" i="13"/>
  <c r="L286" i="13"/>
  <c r="AE285" i="13"/>
  <c r="AD285" i="13"/>
  <c r="AC285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O285" i="13"/>
  <c r="N285" i="13"/>
  <c r="M285" i="13"/>
  <c r="L285" i="13"/>
  <c r="AE284" i="13"/>
  <c r="AD284" i="13"/>
  <c r="AC284" i="13"/>
  <c r="AB284" i="13"/>
  <c r="AA284" i="13"/>
  <c r="Z284" i="13"/>
  <c r="Y284" i="13"/>
  <c r="X284" i="13"/>
  <c r="W284" i="13"/>
  <c r="V284" i="13"/>
  <c r="U284" i="13"/>
  <c r="T284" i="13"/>
  <c r="S284" i="13"/>
  <c r="R284" i="13"/>
  <c r="Q284" i="13"/>
  <c r="P284" i="13"/>
  <c r="O284" i="13"/>
  <c r="N284" i="13"/>
  <c r="M284" i="13"/>
  <c r="L284" i="13"/>
  <c r="AE283" i="13"/>
  <c r="AD283" i="13"/>
  <c r="AC283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O283" i="13"/>
  <c r="N283" i="13"/>
  <c r="M283" i="13"/>
  <c r="L283" i="13"/>
  <c r="AE282" i="13"/>
  <c r="AD282" i="13"/>
  <c r="AC282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AE281" i="13"/>
  <c r="AD281" i="13"/>
  <c r="AC281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O281" i="13"/>
  <c r="N281" i="13"/>
  <c r="M281" i="13"/>
  <c r="L281" i="13"/>
  <c r="AE280" i="13"/>
  <c r="AD280" i="13"/>
  <c r="AC280" i="13"/>
  <c r="AB280" i="13"/>
  <c r="AA280" i="13"/>
  <c r="Z280" i="13"/>
  <c r="Y280" i="13"/>
  <c r="X280" i="13"/>
  <c r="W280" i="13"/>
  <c r="V280" i="13"/>
  <c r="U280" i="13"/>
  <c r="T280" i="13"/>
  <c r="S280" i="13"/>
  <c r="R280" i="13"/>
  <c r="Q280" i="13"/>
  <c r="P280" i="13"/>
  <c r="O280" i="13"/>
  <c r="N280" i="13"/>
  <c r="M280" i="13"/>
  <c r="L280" i="13"/>
  <c r="AE279" i="13"/>
  <c r="AD279" i="13"/>
  <c r="AC279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O279" i="13"/>
  <c r="N279" i="13"/>
  <c r="M279" i="13"/>
  <c r="L279" i="13"/>
  <c r="AE278" i="13"/>
  <c r="AD278" i="13"/>
  <c r="AC278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M278" i="13"/>
  <c r="L278" i="13"/>
  <c r="AE277" i="13"/>
  <c r="AD277" i="13"/>
  <c r="AC277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M277" i="13"/>
  <c r="L277" i="13"/>
  <c r="AE276" i="13"/>
  <c r="AD276" i="13"/>
  <c r="AC276" i="13"/>
  <c r="AB276" i="13"/>
  <c r="AA276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M276" i="13"/>
  <c r="L276" i="13"/>
  <c r="AE275" i="13"/>
  <c r="AD275" i="13"/>
  <c r="AC275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O275" i="13"/>
  <c r="N275" i="13"/>
  <c r="M275" i="13"/>
  <c r="L275" i="13"/>
  <c r="AE274" i="13"/>
  <c r="AD274" i="13"/>
  <c r="AC274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M274" i="13"/>
  <c r="L274" i="13"/>
  <c r="AE273" i="13"/>
  <c r="AD273" i="13"/>
  <c r="AC273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M273" i="13"/>
  <c r="L273" i="13"/>
  <c r="AE272" i="13"/>
  <c r="AD272" i="13"/>
  <c r="AC272" i="13"/>
  <c r="AB272" i="13"/>
  <c r="AA272" i="13"/>
  <c r="Z272" i="13"/>
  <c r="Y272" i="13"/>
  <c r="X272" i="13"/>
  <c r="W272" i="13"/>
  <c r="V272" i="13"/>
  <c r="U272" i="13"/>
  <c r="T272" i="13"/>
  <c r="S272" i="13"/>
  <c r="R272" i="13"/>
  <c r="Q272" i="13"/>
  <c r="P272" i="13"/>
  <c r="O272" i="13"/>
  <c r="N272" i="13"/>
  <c r="M272" i="13"/>
  <c r="L272" i="13"/>
  <c r="AE271" i="13"/>
  <c r="AD271" i="13"/>
  <c r="AC271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M271" i="13"/>
  <c r="L271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O270" i="13"/>
  <c r="N270" i="13"/>
  <c r="M270" i="13"/>
  <c r="L270" i="13"/>
  <c r="AE269" i="13"/>
  <c r="AD269" i="13"/>
  <c r="AC269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O269" i="13"/>
  <c r="N269" i="13"/>
  <c r="M269" i="13"/>
  <c r="L269" i="13"/>
  <c r="AE268" i="13"/>
  <c r="AD268" i="13"/>
  <c r="AC268" i="13"/>
  <c r="AB268" i="13"/>
  <c r="AA268" i="13"/>
  <c r="Z268" i="13"/>
  <c r="Y268" i="13"/>
  <c r="X268" i="13"/>
  <c r="W268" i="13"/>
  <c r="V268" i="13"/>
  <c r="U268" i="13"/>
  <c r="T268" i="13"/>
  <c r="S268" i="13"/>
  <c r="R268" i="13"/>
  <c r="Q268" i="13"/>
  <c r="P268" i="13"/>
  <c r="O268" i="13"/>
  <c r="N268" i="13"/>
  <c r="M268" i="13"/>
  <c r="L268" i="13"/>
  <c r="AE267" i="13"/>
  <c r="AD267" i="13"/>
  <c r="AC267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O267" i="13"/>
  <c r="N267" i="13"/>
  <c r="M267" i="13"/>
  <c r="L267" i="13"/>
  <c r="AE266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AE265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L263" i="13"/>
  <c r="AE262" i="13"/>
  <c r="AD262" i="13"/>
  <c r="AC262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O262" i="13"/>
  <c r="N262" i="13"/>
  <c r="M262" i="13"/>
  <c r="L262" i="13"/>
  <c r="AE261" i="13"/>
  <c r="AD261" i="13"/>
  <c r="AC261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M261" i="13"/>
  <c r="L261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AE259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AE258" i="13"/>
  <c r="AD258" i="13"/>
  <c r="AC258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AE257" i="13"/>
  <c r="AD257" i="13"/>
  <c r="AC257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AE256" i="13"/>
  <c r="AD256" i="13"/>
  <c r="AC256" i="13"/>
  <c r="AB256" i="13"/>
  <c r="AA256" i="13"/>
  <c r="Z256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AE255" i="13"/>
  <c r="AD255" i="13"/>
  <c r="AC255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AE254" i="13"/>
  <c r="AD254" i="13"/>
  <c r="AC254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AE253" i="13"/>
  <c r="AD253" i="13"/>
  <c r="AC253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O253" i="13"/>
  <c r="N253" i="13"/>
  <c r="M253" i="13"/>
  <c r="L253" i="13"/>
  <c r="AE252" i="13"/>
  <c r="AD252" i="13"/>
  <c r="AC252" i="13"/>
  <c r="AB252" i="13"/>
  <c r="AA252" i="13"/>
  <c r="Z252" i="13"/>
  <c r="Y252" i="13"/>
  <c r="X252" i="13"/>
  <c r="W252" i="13"/>
  <c r="V252" i="13"/>
  <c r="U252" i="13"/>
  <c r="T252" i="13"/>
  <c r="S252" i="13"/>
  <c r="R252" i="13"/>
  <c r="Q252" i="13"/>
  <c r="P252" i="13"/>
  <c r="O252" i="13"/>
  <c r="N252" i="13"/>
  <c r="M252" i="13"/>
  <c r="L252" i="13"/>
  <c r="AE251" i="13"/>
  <c r="AD251" i="13"/>
  <c r="AC251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O251" i="13"/>
  <c r="N251" i="13"/>
  <c r="M251" i="13"/>
  <c r="L251" i="13"/>
  <c r="AE250" i="13"/>
  <c r="AD250" i="13"/>
  <c r="AC250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AE249" i="13"/>
  <c r="AD249" i="13"/>
  <c r="AC249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AE248" i="13"/>
  <c r="AD248" i="13"/>
  <c r="AC248" i="13"/>
  <c r="AB248" i="13"/>
  <c r="AA248" i="13"/>
  <c r="Z248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AE247" i="13"/>
  <c r="AD247" i="13"/>
  <c r="AC247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AE246" i="13"/>
  <c r="AD246" i="13"/>
  <c r="AC246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AE245" i="13"/>
  <c r="AD245" i="13"/>
  <c r="AC245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AE243" i="13"/>
  <c r="AD243" i="13"/>
  <c r="AC243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O243" i="13"/>
  <c r="N243" i="13"/>
  <c r="M243" i="13"/>
  <c r="L243" i="13"/>
  <c r="AE242" i="13"/>
  <c r="AD242" i="13"/>
  <c r="AC242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O242" i="13"/>
  <c r="N242" i="13"/>
  <c r="M242" i="13"/>
  <c r="L242" i="13"/>
  <c r="AE241" i="13"/>
  <c r="AD241" i="13"/>
  <c r="AC241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O241" i="13"/>
  <c r="N241" i="13"/>
  <c r="M241" i="13"/>
  <c r="L241" i="13"/>
  <c r="AE240" i="13"/>
  <c r="AD240" i="13"/>
  <c r="AC240" i="13"/>
  <c r="AB240" i="13"/>
  <c r="AA240" i="13"/>
  <c r="Z240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M233" i="13"/>
  <c r="L233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S232" i="13"/>
  <c r="R232" i="13"/>
  <c r="Q232" i="13"/>
  <c r="P232" i="13"/>
  <c r="O232" i="13"/>
  <c r="N232" i="13"/>
  <c r="M232" i="13"/>
  <c r="L232" i="13"/>
  <c r="AE231" i="13"/>
  <c r="AD231" i="13"/>
  <c r="AC231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AE230" i="13"/>
  <c r="AD230" i="13"/>
  <c r="AC230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AE229" i="13"/>
  <c r="AD229" i="13"/>
  <c r="AC229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AE227" i="13"/>
  <c r="AD227" i="13"/>
  <c r="AC227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AE226" i="13"/>
  <c r="AD226" i="13"/>
  <c r="AC226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AE225" i="13"/>
  <c r="AD225" i="13"/>
  <c r="AC225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P224" i="13"/>
  <c r="O224" i="13"/>
  <c r="N224" i="13"/>
  <c r="M224" i="13"/>
  <c r="L224" i="13"/>
  <c r="AE223" i="13"/>
  <c r="AD223" i="13"/>
  <c r="AC223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O223" i="13"/>
  <c r="N223" i="13"/>
  <c r="M223" i="13"/>
  <c r="L223" i="13"/>
  <c r="AE222" i="13"/>
  <c r="AD222" i="13"/>
  <c r="AC222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O222" i="13"/>
  <c r="N222" i="13"/>
  <c r="M222" i="13"/>
  <c r="L222" i="13"/>
  <c r="AE221" i="13"/>
  <c r="AD221" i="13"/>
  <c r="AC221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O221" i="13"/>
  <c r="N221" i="13"/>
  <c r="M221" i="13"/>
  <c r="L221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AE219" i="13"/>
  <c r="AD219" i="13"/>
  <c r="AC219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AE218" i="13"/>
  <c r="AD218" i="13"/>
  <c r="AC218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AE217" i="13"/>
  <c r="AD217" i="13"/>
  <c r="AC217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L216" i="13"/>
  <c r="AE215" i="13"/>
  <c r="AD215" i="13"/>
  <c r="AC215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AE214" i="13"/>
  <c r="AD214" i="13"/>
  <c r="AC214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AE213" i="13"/>
  <c r="AD213" i="13"/>
  <c r="AC213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AE212" i="13"/>
  <c r="AD212" i="13"/>
  <c r="AC212" i="13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AE211" i="13"/>
  <c r="AD211" i="13"/>
  <c r="AC211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AE210" i="13"/>
  <c r="AD210" i="13"/>
  <c r="AC210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AE209" i="13"/>
  <c r="AD209" i="13"/>
  <c r="AC209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AE208" i="13"/>
  <c r="AD208" i="13"/>
  <c r="AC208" i="13"/>
  <c r="AB208" i="13"/>
  <c r="AA208" i="13"/>
  <c r="Z208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AE207" i="13"/>
  <c r="AD207" i="13"/>
  <c r="AC207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AE206" i="13"/>
  <c r="AD206" i="13"/>
  <c r="AC206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AE205" i="13"/>
  <c r="AD205" i="13"/>
  <c r="AC205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AE204" i="13"/>
  <c r="AD204" i="13"/>
  <c r="AC204" i="13"/>
  <c r="AB204" i="13"/>
  <c r="AA204" i="13"/>
  <c r="Z204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L204" i="13"/>
  <c r="AE203" i="13"/>
  <c r="AD203" i="13"/>
  <c r="AC203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O203" i="13"/>
  <c r="N203" i="13"/>
  <c r="M203" i="13"/>
  <c r="L203" i="13"/>
  <c r="AE202" i="13"/>
  <c r="AD202" i="13"/>
  <c r="AC202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AE201" i="13"/>
  <c r="AD201" i="13"/>
  <c r="AC201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AE200" i="13"/>
  <c r="AD200" i="13"/>
  <c r="AC200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AE199" i="13"/>
  <c r="AD199" i="13"/>
  <c r="AC199" i="13"/>
  <c r="AB199" i="13"/>
  <c r="AA199" i="13"/>
  <c r="Z199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L199" i="13"/>
  <c r="AE198" i="13"/>
  <c r="AD198" i="13"/>
  <c r="AC198" i="13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AE197" i="13"/>
  <c r="AD197" i="13"/>
  <c r="AC197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AE195" i="13"/>
  <c r="AD195" i="13"/>
  <c r="AC195" i="13"/>
  <c r="AB195" i="13"/>
  <c r="AA195" i="13"/>
  <c r="Z195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AE194" i="13"/>
  <c r="AD194" i="13"/>
  <c r="AC194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AE193" i="13"/>
  <c r="AD193" i="13"/>
  <c r="AC193" i="13"/>
  <c r="AB193" i="13"/>
  <c r="AA193" i="13"/>
  <c r="Z193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AE192" i="13"/>
  <c r="AD192" i="13"/>
  <c r="AC192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AE191" i="13"/>
  <c r="AD191" i="13"/>
  <c r="AC191" i="13"/>
  <c r="AB191" i="13"/>
  <c r="AA191" i="13"/>
  <c r="Z191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AE190" i="13"/>
  <c r="AD190" i="13"/>
  <c r="AC190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AE189" i="13"/>
  <c r="AD189" i="13"/>
  <c r="AC189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AE188" i="13"/>
  <c r="AD188" i="13"/>
  <c r="AC188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AE187" i="13"/>
  <c r="AD187" i="13"/>
  <c r="AC187" i="13"/>
  <c r="AB187" i="13"/>
  <c r="AA187" i="13"/>
  <c r="Z187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M187" i="13"/>
  <c r="L187" i="13"/>
  <c r="AE186" i="13"/>
  <c r="AD186" i="13"/>
  <c r="AC186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M186" i="13"/>
  <c r="L186" i="13"/>
  <c r="AE185" i="13"/>
  <c r="AD185" i="13"/>
  <c r="AC185" i="13"/>
  <c r="AB185" i="13"/>
  <c r="AA185" i="13"/>
  <c r="Z185" i="13"/>
  <c r="Y185" i="13"/>
  <c r="X185" i="13"/>
  <c r="W185" i="13"/>
  <c r="V185" i="13"/>
  <c r="U185" i="13"/>
  <c r="T185" i="13"/>
  <c r="S185" i="13"/>
  <c r="R185" i="13"/>
  <c r="Q185" i="13"/>
  <c r="P185" i="13"/>
  <c r="O185" i="13"/>
  <c r="N185" i="13"/>
  <c r="M185" i="13"/>
  <c r="L185" i="13"/>
  <c r="AE184" i="13"/>
  <c r="AD184" i="13"/>
  <c r="AC184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AE183" i="13"/>
  <c r="AD183" i="13"/>
  <c r="AC183" i="13"/>
  <c r="AB183" i="13"/>
  <c r="AA183" i="13"/>
  <c r="Z183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AE182" i="13"/>
  <c r="AD182" i="13"/>
  <c r="AC182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AE181" i="13"/>
  <c r="AD181" i="13"/>
  <c r="AC181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M181" i="13"/>
  <c r="L181" i="13"/>
  <c r="AE180" i="13"/>
  <c r="AD180" i="13"/>
  <c r="AC180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AE179" i="13"/>
  <c r="AD179" i="13"/>
  <c r="AC179" i="13"/>
  <c r="AB179" i="13"/>
  <c r="AA179" i="13"/>
  <c r="Z179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AE178" i="13"/>
  <c r="AD178" i="13"/>
  <c r="AC178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AE177" i="13"/>
  <c r="AD177" i="13"/>
  <c r="AC177" i="13"/>
  <c r="AB177" i="13"/>
  <c r="AA177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AE176" i="13"/>
  <c r="AD176" i="13"/>
  <c r="AC176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AE175" i="13"/>
  <c r="AD175" i="13"/>
  <c r="AC175" i="13"/>
  <c r="AB175" i="13"/>
  <c r="AA175" i="13"/>
  <c r="Z175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AE174" i="13"/>
  <c r="AD174" i="13"/>
  <c r="AC174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AE173" i="13"/>
  <c r="AD173" i="13"/>
  <c r="AC173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AE172" i="13"/>
  <c r="AD172" i="13"/>
  <c r="AC172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AE171" i="13"/>
  <c r="AD171" i="13"/>
  <c r="AC171" i="13"/>
  <c r="AB171" i="13"/>
  <c r="AA171" i="13"/>
  <c r="Z171" i="13"/>
  <c r="Y171" i="13"/>
  <c r="X171" i="13"/>
  <c r="W171" i="13"/>
  <c r="V171" i="13"/>
  <c r="U171" i="13"/>
  <c r="T171" i="13"/>
  <c r="S171" i="13"/>
  <c r="R171" i="13"/>
  <c r="Q171" i="13"/>
  <c r="P171" i="13"/>
  <c r="O171" i="13"/>
  <c r="N171" i="13"/>
  <c r="M171" i="13"/>
  <c r="L171" i="13"/>
  <c r="AE170" i="13"/>
  <c r="AD170" i="13"/>
  <c r="AC170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O170" i="13"/>
  <c r="N170" i="13"/>
  <c r="M170" i="13"/>
  <c r="L170" i="13"/>
  <c r="AE169" i="13"/>
  <c r="AD169" i="13"/>
  <c r="AC169" i="13"/>
  <c r="AB169" i="13"/>
  <c r="AA169" i="13"/>
  <c r="Z169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AE168" i="13"/>
  <c r="AD168" i="13"/>
  <c r="AC168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AE167" i="13"/>
  <c r="AD167" i="13"/>
  <c r="AC167" i="13"/>
  <c r="AB167" i="13"/>
  <c r="AA167" i="13"/>
  <c r="Z167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AE166" i="13"/>
  <c r="AD166" i="13"/>
  <c r="AC166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AE165" i="13"/>
  <c r="AD165" i="13"/>
  <c r="AC165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AE164" i="13"/>
  <c r="AD164" i="13"/>
  <c r="AC164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AE163" i="13"/>
  <c r="AD163" i="13"/>
  <c r="AC163" i="13"/>
  <c r="AB163" i="13"/>
  <c r="AA163" i="13"/>
  <c r="Z163" i="13"/>
  <c r="Y163" i="13"/>
  <c r="X163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AE162" i="13"/>
  <c r="AD162" i="13"/>
  <c r="AC162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O162" i="13"/>
  <c r="N162" i="13"/>
  <c r="M162" i="13"/>
  <c r="L162" i="13"/>
  <c r="AE161" i="13"/>
  <c r="AD161" i="13"/>
  <c r="AC161" i="13"/>
  <c r="AB161" i="13"/>
  <c r="AA161" i="13"/>
  <c r="Z161" i="13"/>
  <c r="Y161" i="13"/>
  <c r="X161" i="13"/>
  <c r="W161" i="13"/>
  <c r="V161" i="13"/>
  <c r="U161" i="13"/>
  <c r="T161" i="13"/>
  <c r="S161" i="13"/>
  <c r="R161" i="13"/>
  <c r="Q161" i="13"/>
  <c r="P161" i="13"/>
  <c r="O161" i="13"/>
  <c r="N161" i="13"/>
  <c r="M161" i="13"/>
  <c r="L161" i="13"/>
  <c r="AE160" i="13"/>
  <c r="AD160" i="13"/>
  <c r="AC160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M160" i="13"/>
  <c r="L160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AE155" i="13"/>
  <c r="AD155" i="13"/>
  <c r="AC155" i="13"/>
  <c r="AB155" i="13"/>
  <c r="AA155" i="13"/>
  <c r="Z155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L155" i="13"/>
  <c r="AE154" i="13"/>
  <c r="AD154" i="13"/>
  <c r="AC154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L154" i="13"/>
  <c r="AE153" i="13"/>
  <c r="AD153" i="13"/>
  <c r="AC153" i="13"/>
  <c r="AB153" i="13"/>
  <c r="AA153" i="13"/>
  <c r="Z153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L153" i="13"/>
  <c r="AE152" i="13"/>
  <c r="AD152" i="13"/>
  <c r="AC152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AE151" i="13"/>
  <c r="AD151" i="13"/>
  <c r="AC151" i="13"/>
  <c r="AB151" i="13"/>
  <c r="AA151" i="13"/>
  <c r="Z151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M151" i="13"/>
  <c r="L151" i="13"/>
  <c r="AE150" i="13"/>
  <c r="AD150" i="13"/>
  <c r="AC150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AE149" i="13"/>
  <c r="AD149" i="13"/>
  <c r="AC149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L149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AE147" i="13"/>
  <c r="AD147" i="13"/>
  <c r="AC147" i="13"/>
  <c r="AB147" i="13"/>
  <c r="AA147" i="13"/>
  <c r="Z147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L147" i="13"/>
  <c r="AE146" i="13"/>
  <c r="AD146" i="13"/>
  <c r="AC146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M146" i="13"/>
  <c r="L146" i="13"/>
  <c r="AE145" i="13"/>
  <c r="AD145" i="13"/>
  <c r="AC145" i="13"/>
  <c r="AB145" i="13"/>
  <c r="AA145" i="13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AE136" i="13"/>
  <c r="AD136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AE135" i="13"/>
  <c r="AD135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AE134" i="13"/>
  <c r="AD134" i="13"/>
  <c r="AC134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AE125" i="13"/>
  <c r="AD125" i="13"/>
  <c r="AC125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M125" i="13"/>
  <c r="L125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AE123" i="13"/>
  <c r="AD123" i="13"/>
  <c r="AC123" i="13"/>
  <c r="AB123" i="13"/>
  <c r="AA123" i="13"/>
  <c r="Z123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AE114" i="13"/>
  <c r="AD114" i="13"/>
  <c r="AC114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AE113" i="13"/>
  <c r="AD113" i="13"/>
  <c r="AC113" i="13"/>
  <c r="AB113" i="13"/>
  <c r="AA113" i="13"/>
  <c r="Z113" i="13"/>
  <c r="Y113" i="13"/>
  <c r="X113" i="13"/>
  <c r="W113" i="13"/>
  <c r="V113" i="13"/>
  <c r="U113" i="13"/>
  <c r="T113" i="13"/>
  <c r="S113" i="13"/>
  <c r="R113" i="13"/>
  <c r="Q113" i="13"/>
  <c r="P113" i="13"/>
  <c r="O113" i="13"/>
  <c r="N113" i="13"/>
  <c r="M113" i="13"/>
  <c r="L113" i="13"/>
  <c r="AE112" i="13"/>
  <c r="AD112" i="13"/>
  <c r="AC112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O112" i="13"/>
  <c r="N112" i="13"/>
  <c r="M112" i="13"/>
  <c r="L112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M102" i="13"/>
  <c r="L102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AE91" i="13"/>
  <c r="AD91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B6" i="13"/>
  <c r="B5" i="13"/>
  <c r="B4" i="13"/>
  <c r="B3" i="13"/>
  <c r="B2" i="13"/>
  <c r="B1" i="13"/>
  <c r="B2" i="12"/>
  <c r="B3" i="12"/>
  <c r="B4" i="12"/>
  <c r="B5" i="12"/>
  <c r="B6" i="12"/>
  <c r="B1" i="12"/>
  <c r="AE346" i="12"/>
  <c r="AD346" i="12"/>
  <c r="AC346" i="12"/>
  <c r="AB346" i="12"/>
  <c r="AA346" i="12"/>
  <c r="Z346" i="12"/>
  <c r="Y346" i="12"/>
  <c r="X346" i="12"/>
  <c r="W346" i="12"/>
  <c r="V346" i="12"/>
  <c r="U346" i="12"/>
  <c r="T346" i="12"/>
  <c r="S346" i="12"/>
  <c r="R346" i="12"/>
  <c r="Q346" i="12"/>
  <c r="P346" i="12"/>
  <c r="O346" i="12"/>
  <c r="N346" i="12"/>
  <c r="M346" i="12"/>
  <c r="L346" i="12"/>
  <c r="AE345" i="12"/>
  <c r="AD345" i="12"/>
  <c r="AC345" i="12"/>
  <c r="AB345" i="12"/>
  <c r="AA345" i="12"/>
  <c r="Z345" i="12"/>
  <c r="Y345" i="12"/>
  <c r="X345" i="12"/>
  <c r="W345" i="12"/>
  <c r="V345" i="12"/>
  <c r="U345" i="12"/>
  <c r="T345" i="12"/>
  <c r="S345" i="12"/>
  <c r="R345" i="12"/>
  <c r="Q345" i="12"/>
  <c r="P345" i="12"/>
  <c r="O345" i="12"/>
  <c r="N345" i="12"/>
  <c r="M345" i="12"/>
  <c r="L345" i="12"/>
  <c r="AE344" i="12"/>
  <c r="AD344" i="12"/>
  <c r="AC344" i="12"/>
  <c r="AB344" i="12"/>
  <c r="AA344" i="12"/>
  <c r="Z344" i="12"/>
  <c r="Y344" i="12"/>
  <c r="X344" i="12"/>
  <c r="W344" i="12"/>
  <c r="V344" i="12"/>
  <c r="U344" i="12"/>
  <c r="T344" i="12"/>
  <c r="S344" i="12"/>
  <c r="R344" i="12"/>
  <c r="Q344" i="12"/>
  <c r="P344" i="12"/>
  <c r="O344" i="12"/>
  <c r="N344" i="12"/>
  <c r="M344" i="12"/>
  <c r="L344" i="12"/>
  <c r="AE343" i="12"/>
  <c r="AD343" i="12"/>
  <c r="AC343" i="12"/>
  <c r="AB343" i="12"/>
  <c r="AA343" i="12"/>
  <c r="Z343" i="12"/>
  <c r="Y343" i="12"/>
  <c r="X343" i="12"/>
  <c r="W343" i="12"/>
  <c r="V343" i="12"/>
  <c r="U343" i="12"/>
  <c r="T343" i="12"/>
  <c r="S343" i="12"/>
  <c r="R343" i="12"/>
  <c r="Q343" i="12"/>
  <c r="P343" i="12"/>
  <c r="O343" i="12"/>
  <c r="N343" i="12"/>
  <c r="M343" i="12"/>
  <c r="L343" i="12"/>
  <c r="AE342" i="12"/>
  <c r="AD342" i="12"/>
  <c r="AC342" i="12"/>
  <c r="AB342" i="12"/>
  <c r="AA342" i="12"/>
  <c r="Z342" i="12"/>
  <c r="Y342" i="12"/>
  <c r="X342" i="12"/>
  <c r="W342" i="12"/>
  <c r="V342" i="12"/>
  <c r="U342" i="12"/>
  <c r="T342" i="12"/>
  <c r="S342" i="12"/>
  <c r="R342" i="12"/>
  <c r="Q342" i="12"/>
  <c r="P342" i="12"/>
  <c r="O342" i="12"/>
  <c r="N342" i="12"/>
  <c r="M342" i="12"/>
  <c r="L342" i="12"/>
  <c r="AE341" i="12"/>
  <c r="AD341" i="12"/>
  <c r="AC341" i="12"/>
  <c r="AB341" i="12"/>
  <c r="AA341" i="12"/>
  <c r="Z341" i="12"/>
  <c r="Y341" i="12"/>
  <c r="X341" i="12"/>
  <c r="W341" i="12"/>
  <c r="V341" i="12"/>
  <c r="U341" i="12"/>
  <c r="T341" i="12"/>
  <c r="S341" i="12"/>
  <c r="R341" i="12"/>
  <c r="Q341" i="12"/>
  <c r="P341" i="12"/>
  <c r="O341" i="12"/>
  <c r="N341" i="12"/>
  <c r="M341" i="12"/>
  <c r="L341" i="12"/>
  <c r="AE340" i="12"/>
  <c r="AD340" i="12"/>
  <c r="AC340" i="12"/>
  <c r="AB340" i="12"/>
  <c r="AA340" i="12"/>
  <c r="Z340" i="12"/>
  <c r="Y340" i="12"/>
  <c r="X340" i="12"/>
  <c r="W340" i="12"/>
  <c r="V340" i="12"/>
  <c r="U340" i="12"/>
  <c r="T340" i="12"/>
  <c r="S340" i="12"/>
  <c r="R340" i="12"/>
  <c r="Q340" i="12"/>
  <c r="P340" i="12"/>
  <c r="O340" i="12"/>
  <c r="N340" i="12"/>
  <c r="M340" i="12"/>
  <c r="L340" i="12"/>
  <c r="AE339" i="12"/>
  <c r="AD339" i="12"/>
  <c r="AC339" i="12"/>
  <c r="AB339" i="12"/>
  <c r="AA339" i="12"/>
  <c r="Z339" i="12"/>
  <c r="Y339" i="12"/>
  <c r="X339" i="12"/>
  <c r="W339" i="12"/>
  <c r="V339" i="12"/>
  <c r="U339" i="12"/>
  <c r="T339" i="12"/>
  <c r="S339" i="12"/>
  <c r="R339" i="12"/>
  <c r="Q339" i="12"/>
  <c r="P339" i="12"/>
  <c r="O339" i="12"/>
  <c r="N339" i="12"/>
  <c r="M339" i="12"/>
  <c r="L339" i="12"/>
  <c r="AE338" i="12"/>
  <c r="AD338" i="12"/>
  <c r="AC338" i="12"/>
  <c r="AB338" i="12"/>
  <c r="AA338" i="12"/>
  <c r="Z338" i="12"/>
  <c r="Y338" i="12"/>
  <c r="X338" i="12"/>
  <c r="W338" i="12"/>
  <c r="V338" i="12"/>
  <c r="U338" i="12"/>
  <c r="T338" i="12"/>
  <c r="S338" i="12"/>
  <c r="R338" i="12"/>
  <c r="Q338" i="12"/>
  <c r="P338" i="12"/>
  <c r="O338" i="12"/>
  <c r="N338" i="12"/>
  <c r="M338" i="12"/>
  <c r="L338" i="12"/>
  <c r="AE337" i="12"/>
  <c r="AD337" i="12"/>
  <c r="AC337" i="12"/>
  <c r="AB337" i="12"/>
  <c r="AA337" i="12"/>
  <c r="Z337" i="12"/>
  <c r="Y337" i="12"/>
  <c r="X337" i="12"/>
  <c r="W337" i="12"/>
  <c r="V337" i="12"/>
  <c r="U337" i="12"/>
  <c r="T337" i="12"/>
  <c r="S337" i="12"/>
  <c r="R337" i="12"/>
  <c r="Q337" i="12"/>
  <c r="P337" i="12"/>
  <c r="O337" i="12"/>
  <c r="N337" i="12"/>
  <c r="M337" i="12"/>
  <c r="L337" i="12"/>
  <c r="AE336" i="12"/>
  <c r="AD336" i="12"/>
  <c r="AC336" i="12"/>
  <c r="AB336" i="12"/>
  <c r="AA336" i="12"/>
  <c r="Z336" i="12"/>
  <c r="Y336" i="12"/>
  <c r="X336" i="12"/>
  <c r="W336" i="12"/>
  <c r="V336" i="12"/>
  <c r="U336" i="12"/>
  <c r="T336" i="12"/>
  <c r="S336" i="12"/>
  <c r="R336" i="12"/>
  <c r="Q336" i="12"/>
  <c r="P336" i="12"/>
  <c r="O336" i="12"/>
  <c r="N336" i="12"/>
  <c r="M336" i="12"/>
  <c r="L336" i="12"/>
  <c r="AE335" i="12"/>
  <c r="AD335" i="12"/>
  <c r="AC335" i="12"/>
  <c r="AB335" i="12"/>
  <c r="AA335" i="12"/>
  <c r="Z335" i="12"/>
  <c r="Y335" i="12"/>
  <c r="X335" i="12"/>
  <c r="W335" i="12"/>
  <c r="V335" i="12"/>
  <c r="U335" i="12"/>
  <c r="T335" i="12"/>
  <c r="S335" i="12"/>
  <c r="R335" i="12"/>
  <c r="Q335" i="12"/>
  <c r="P335" i="12"/>
  <c r="O335" i="12"/>
  <c r="N335" i="12"/>
  <c r="M335" i="12"/>
  <c r="L335" i="12"/>
  <c r="AE334" i="12"/>
  <c r="AD334" i="12"/>
  <c r="AC334" i="12"/>
  <c r="AB334" i="12"/>
  <c r="AA334" i="12"/>
  <c r="Z334" i="12"/>
  <c r="Y334" i="12"/>
  <c r="X334" i="12"/>
  <c r="W334" i="12"/>
  <c r="V334" i="12"/>
  <c r="U334" i="12"/>
  <c r="T334" i="12"/>
  <c r="S334" i="12"/>
  <c r="R334" i="12"/>
  <c r="Q334" i="12"/>
  <c r="P334" i="12"/>
  <c r="O334" i="12"/>
  <c r="N334" i="12"/>
  <c r="M334" i="12"/>
  <c r="L334" i="12"/>
  <c r="AE333" i="12"/>
  <c r="AD333" i="12"/>
  <c r="AC333" i="12"/>
  <c r="AB333" i="12"/>
  <c r="AA333" i="12"/>
  <c r="Z333" i="12"/>
  <c r="Y333" i="12"/>
  <c r="X333" i="12"/>
  <c r="W333" i="12"/>
  <c r="V333" i="12"/>
  <c r="U333" i="12"/>
  <c r="T333" i="12"/>
  <c r="S333" i="12"/>
  <c r="R333" i="12"/>
  <c r="Q333" i="12"/>
  <c r="P333" i="12"/>
  <c r="O333" i="12"/>
  <c r="N333" i="12"/>
  <c r="M333" i="12"/>
  <c r="L333" i="12"/>
  <c r="AE332" i="12"/>
  <c r="AD332" i="12"/>
  <c r="AC332" i="12"/>
  <c r="AB332" i="12"/>
  <c r="AA332" i="12"/>
  <c r="Z332" i="12"/>
  <c r="Y332" i="12"/>
  <c r="X332" i="12"/>
  <c r="W332" i="12"/>
  <c r="V332" i="12"/>
  <c r="U332" i="12"/>
  <c r="T332" i="12"/>
  <c r="S332" i="12"/>
  <c r="R332" i="12"/>
  <c r="Q332" i="12"/>
  <c r="P332" i="12"/>
  <c r="O332" i="12"/>
  <c r="N332" i="12"/>
  <c r="M332" i="12"/>
  <c r="L332" i="12"/>
  <c r="AE331" i="12"/>
  <c r="AD331" i="12"/>
  <c r="AC331" i="12"/>
  <c r="AB331" i="12"/>
  <c r="AA331" i="12"/>
  <c r="Z331" i="12"/>
  <c r="Y331" i="12"/>
  <c r="X331" i="12"/>
  <c r="W331" i="12"/>
  <c r="V331" i="12"/>
  <c r="U331" i="12"/>
  <c r="T331" i="12"/>
  <c r="S331" i="12"/>
  <c r="R331" i="12"/>
  <c r="Q331" i="12"/>
  <c r="P331" i="12"/>
  <c r="O331" i="12"/>
  <c r="N331" i="12"/>
  <c r="M331" i="12"/>
  <c r="L331" i="12"/>
  <c r="AE330" i="12"/>
  <c r="AD330" i="12"/>
  <c r="AC330" i="12"/>
  <c r="AB330" i="12"/>
  <c r="AA330" i="12"/>
  <c r="Z330" i="12"/>
  <c r="Y330" i="12"/>
  <c r="X330" i="12"/>
  <c r="W330" i="12"/>
  <c r="V330" i="12"/>
  <c r="U330" i="12"/>
  <c r="T330" i="12"/>
  <c r="S330" i="12"/>
  <c r="R330" i="12"/>
  <c r="Q330" i="12"/>
  <c r="P330" i="12"/>
  <c r="O330" i="12"/>
  <c r="N330" i="12"/>
  <c r="M330" i="12"/>
  <c r="L330" i="12"/>
  <c r="AE329" i="12"/>
  <c r="AD329" i="12"/>
  <c r="AC329" i="12"/>
  <c r="AB329" i="12"/>
  <c r="AA329" i="12"/>
  <c r="Z329" i="12"/>
  <c r="Y329" i="12"/>
  <c r="X329" i="12"/>
  <c r="W329" i="12"/>
  <c r="V329" i="12"/>
  <c r="U329" i="12"/>
  <c r="T329" i="12"/>
  <c r="S329" i="12"/>
  <c r="R329" i="12"/>
  <c r="Q329" i="12"/>
  <c r="P329" i="12"/>
  <c r="O329" i="12"/>
  <c r="N329" i="12"/>
  <c r="M329" i="12"/>
  <c r="L329" i="12"/>
  <c r="AE328" i="12"/>
  <c r="AD328" i="12"/>
  <c r="AC328" i="12"/>
  <c r="AB328" i="12"/>
  <c r="AA328" i="12"/>
  <c r="Z328" i="12"/>
  <c r="Y328" i="12"/>
  <c r="X328" i="12"/>
  <c r="W328" i="12"/>
  <c r="V328" i="12"/>
  <c r="U328" i="12"/>
  <c r="T328" i="12"/>
  <c r="S328" i="12"/>
  <c r="R328" i="12"/>
  <c r="Q328" i="12"/>
  <c r="P328" i="12"/>
  <c r="O328" i="12"/>
  <c r="N328" i="12"/>
  <c r="M328" i="12"/>
  <c r="L328" i="12"/>
  <c r="AE327" i="12"/>
  <c r="AD327" i="12"/>
  <c r="AC327" i="12"/>
  <c r="AB327" i="12"/>
  <c r="AA327" i="12"/>
  <c r="Z327" i="12"/>
  <c r="Y327" i="12"/>
  <c r="X327" i="12"/>
  <c r="W327" i="12"/>
  <c r="V327" i="12"/>
  <c r="U327" i="12"/>
  <c r="T327" i="12"/>
  <c r="S327" i="12"/>
  <c r="R327" i="12"/>
  <c r="Q327" i="12"/>
  <c r="P327" i="12"/>
  <c r="O327" i="12"/>
  <c r="N327" i="12"/>
  <c r="M327" i="12"/>
  <c r="L327" i="12"/>
  <c r="AE326" i="12"/>
  <c r="AD326" i="12"/>
  <c r="AC326" i="12"/>
  <c r="AB326" i="12"/>
  <c r="AA326" i="12"/>
  <c r="Z326" i="12"/>
  <c r="Y326" i="12"/>
  <c r="X326" i="12"/>
  <c r="W326" i="12"/>
  <c r="V326" i="12"/>
  <c r="U326" i="12"/>
  <c r="T326" i="12"/>
  <c r="S326" i="12"/>
  <c r="R326" i="12"/>
  <c r="Q326" i="12"/>
  <c r="P326" i="12"/>
  <c r="O326" i="12"/>
  <c r="N326" i="12"/>
  <c r="M326" i="12"/>
  <c r="L326" i="12"/>
  <c r="AE325" i="12"/>
  <c r="AD325" i="12"/>
  <c r="AC325" i="12"/>
  <c r="AB325" i="12"/>
  <c r="AA325" i="12"/>
  <c r="Z325" i="12"/>
  <c r="Y325" i="12"/>
  <c r="X325" i="12"/>
  <c r="W325" i="12"/>
  <c r="V325" i="12"/>
  <c r="U325" i="12"/>
  <c r="T325" i="12"/>
  <c r="S325" i="12"/>
  <c r="R325" i="12"/>
  <c r="Q325" i="12"/>
  <c r="P325" i="12"/>
  <c r="O325" i="12"/>
  <c r="N325" i="12"/>
  <c r="M325" i="12"/>
  <c r="L325" i="12"/>
  <c r="AE324" i="12"/>
  <c r="AD324" i="12"/>
  <c r="AC324" i="12"/>
  <c r="AB324" i="12"/>
  <c r="AA324" i="12"/>
  <c r="Z324" i="12"/>
  <c r="Y324" i="12"/>
  <c r="X324" i="12"/>
  <c r="W324" i="12"/>
  <c r="V324" i="12"/>
  <c r="U324" i="12"/>
  <c r="T324" i="12"/>
  <c r="S324" i="12"/>
  <c r="R324" i="12"/>
  <c r="Q324" i="12"/>
  <c r="P324" i="12"/>
  <c r="O324" i="12"/>
  <c r="N324" i="12"/>
  <c r="M324" i="12"/>
  <c r="L324" i="12"/>
  <c r="AE323" i="12"/>
  <c r="AD323" i="12"/>
  <c r="AC323" i="12"/>
  <c r="AB323" i="12"/>
  <c r="AA323" i="12"/>
  <c r="Z323" i="12"/>
  <c r="Y323" i="12"/>
  <c r="X323" i="12"/>
  <c r="W323" i="12"/>
  <c r="V323" i="12"/>
  <c r="U323" i="12"/>
  <c r="T323" i="12"/>
  <c r="S323" i="12"/>
  <c r="R323" i="12"/>
  <c r="Q323" i="12"/>
  <c r="P323" i="12"/>
  <c r="O323" i="12"/>
  <c r="N323" i="12"/>
  <c r="M323" i="12"/>
  <c r="L323" i="12"/>
  <c r="AE322" i="12"/>
  <c r="AD322" i="12"/>
  <c r="AC322" i="12"/>
  <c r="AB322" i="12"/>
  <c r="AA322" i="12"/>
  <c r="Z322" i="12"/>
  <c r="Y322" i="12"/>
  <c r="X322" i="12"/>
  <c r="W322" i="12"/>
  <c r="V322" i="12"/>
  <c r="U322" i="12"/>
  <c r="T322" i="12"/>
  <c r="S322" i="12"/>
  <c r="R322" i="12"/>
  <c r="Q322" i="12"/>
  <c r="P322" i="12"/>
  <c r="O322" i="12"/>
  <c r="N322" i="12"/>
  <c r="M322" i="12"/>
  <c r="L322" i="12"/>
  <c r="AE321" i="12"/>
  <c r="AD321" i="12"/>
  <c r="AC321" i="12"/>
  <c r="AB321" i="12"/>
  <c r="AA321" i="12"/>
  <c r="Z321" i="12"/>
  <c r="Y321" i="12"/>
  <c r="X321" i="12"/>
  <c r="W321" i="12"/>
  <c r="V321" i="12"/>
  <c r="U321" i="12"/>
  <c r="T321" i="12"/>
  <c r="S321" i="12"/>
  <c r="R321" i="12"/>
  <c r="Q321" i="12"/>
  <c r="P321" i="12"/>
  <c r="O321" i="12"/>
  <c r="N321" i="12"/>
  <c r="M321" i="12"/>
  <c r="L321" i="12"/>
  <c r="AE320" i="12"/>
  <c r="AD320" i="12"/>
  <c r="AC320" i="12"/>
  <c r="AB320" i="12"/>
  <c r="AA320" i="12"/>
  <c r="Z320" i="12"/>
  <c r="Y320" i="12"/>
  <c r="X320" i="12"/>
  <c r="W320" i="12"/>
  <c r="V320" i="12"/>
  <c r="U320" i="12"/>
  <c r="T320" i="12"/>
  <c r="S320" i="12"/>
  <c r="R320" i="12"/>
  <c r="Q320" i="12"/>
  <c r="P320" i="12"/>
  <c r="O320" i="12"/>
  <c r="N320" i="12"/>
  <c r="M320" i="12"/>
  <c r="L320" i="12"/>
  <c r="AE319" i="12"/>
  <c r="AD319" i="12"/>
  <c r="AC319" i="12"/>
  <c r="AB319" i="12"/>
  <c r="AA319" i="12"/>
  <c r="Z319" i="12"/>
  <c r="Y319" i="12"/>
  <c r="X319" i="12"/>
  <c r="W319" i="12"/>
  <c r="V319" i="12"/>
  <c r="U319" i="12"/>
  <c r="T319" i="12"/>
  <c r="S319" i="12"/>
  <c r="R319" i="12"/>
  <c r="Q319" i="12"/>
  <c r="P319" i="12"/>
  <c r="O319" i="12"/>
  <c r="N319" i="12"/>
  <c r="M319" i="12"/>
  <c r="L319" i="12"/>
  <c r="AE318" i="12"/>
  <c r="AD318" i="12"/>
  <c r="AC318" i="12"/>
  <c r="AB318" i="12"/>
  <c r="AA318" i="12"/>
  <c r="Z318" i="12"/>
  <c r="Y318" i="12"/>
  <c r="X318" i="12"/>
  <c r="W318" i="12"/>
  <c r="V318" i="12"/>
  <c r="U318" i="12"/>
  <c r="T318" i="12"/>
  <c r="S318" i="12"/>
  <c r="R318" i="12"/>
  <c r="Q318" i="12"/>
  <c r="P318" i="12"/>
  <c r="O318" i="12"/>
  <c r="N318" i="12"/>
  <c r="M318" i="12"/>
  <c r="L318" i="12"/>
  <c r="AE317" i="12"/>
  <c r="AD317" i="12"/>
  <c r="AC317" i="12"/>
  <c r="AB317" i="12"/>
  <c r="AA317" i="12"/>
  <c r="Z317" i="12"/>
  <c r="Y317" i="12"/>
  <c r="X317" i="12"/>
  <c r="W317" i="12"/>
  <c r="V317" i="12"/>
  <c r="U317" i="12"/>
  <c r="T317" i="12"/>
  <c r="S317" i="12"/>
  <c r="R317" i="12"/>
  <c r="Q317" i="12"/>
  <c r="P317" i="12"/>
  <c r="O317" i="12"/>
  <c r="N317" i="12"/>
  <c r="M317" i="12"/>
  <c r="L317" i="12"/>
  <c r="AE316" i="12"/>
  <c r="AD316" i="12"/>
  <c r="AC316" i="12"/>
  <c r="AB316" i="12"/>
  <c r="AA316" i="12"/>
  <c r="Z316" i="12"/>
  <c r="Y316" i="12"/>
  <c r="X316" i="12"/>
  <c r="W316" i="12"/>
  <c r="V316" i="12"/>
  <c r="U316" i="12"/>
  <c r="T316" i="12"/>
  <c r="S316" i="12"/>
  <c r="R316" i="12"/>
  <c r="Q316" i="12"/>
  <c r="P316" i="12"/>
  <c r="O316" i="12"/>
  <c r="N316" i="12"/>
  <c r="M316" i="12"/>
  <c r="L316" i="12"/>
  <c r="AE315" i="12"/>
  <c r="AD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O315" i="12"/>
  <c r="N315" i="12"/>
  <c r="M315" i="12"/>
  <c r="L315" i="12"/>
  <c r="AE314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O314" i="12"/>
  <c r="N314" i="12"/>
  <c r="M314" i="12"/>
  <c r="L314" i="12"/>
  <c r="AE313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O313" i="12"/>
  <c r="N313" i="12"/>
  <c r="M313" i="12"/>
  <c r="L313" i="12"/>
  <c r="AE312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O312" i="12"/>
  <c r="N312" i="12"/>
  <c r="M312" i="12"/>
  <c r="L312" i="12"/>
  <c r="AE311" i="12"/>
  <c r="AD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O311" i="12"/>
  <c r="N311" i="12"/>
  <c r="M311" i="12"/>
  <c r="L311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M310" i="12"/>
  <c r="L310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O309" i="12"/>
  <c r="N309" i="12"/>
  <c r="M309" i="12"/>
  <c r="L309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O308" i="12"/>
  <c r="N308" i="12"/>
  <c r="M308" i="12"/>
  <c r="L308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O307" i="12"/>
  <c r="N307" i="12"/>
  <c r="M307" i="12"/>
  <c r="L307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O306" i="12"/>
  <c r="N306" i="12"/>
  <c r="M306" i="12"/>
  <c r="L306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O305" i="12"/>
  <c r="N305" i="12"/>
  <c r="M305" i="12"/>
  <c r="L305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O304" i="12"/>
  <c r="N304" i="12"/>
  <c r="M304" i="12"/>
  <c r="L304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O303" i="12"/>
  <c r="N303" i="12"/>
  <c r="M303" i="12"/>
  <c r="L303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M302" i="12"/>
  <c r="L302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O301" i="12"/>
  <c r="N301" i="12"/>
  <c r="M301" i="12"/>
  <c r="L301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O300" i="12"/>
  <c r="N300" i="12"/>
  <c r="M300" i="12"/>
  <c r="L300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O299" i="12"/>
  <c r="N299" i="12"/>
  <c r="M299" i="12"/>
  <c r="L299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O298" i="12"/>
  <c r="N298" i="12"/>
  <c r="M298" i="12"/>
  <c r="L298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O297" i="12"/>
  <c r="N297" i="12"/>
  <c r="M297" i="12"/>
  <c r="L297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O296" i="12"/>
  <c r="N296" i="12"/>
  <c r="M296" i="12"/>
  <c r="L296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O295" i="12"/>
  <c r="N295" i="12"/>
  <c r="M295" i="12"/>
  <c r="L295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O294" i="12"/>
  <c r="N294" i="12"/>
  <c r="M294" i="12"/>
  <c r="L294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O293" i="12"/>
  <c r="N293" i="12"/>
  <c r="M293" i="12"/>
  <c r="L293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O292" i="12"/>
  <c r="N292" i="12"/>
  <c r="M292" i="12"/>
  <c r="L292" i="12"/>
  <c r="AE291" i="12"/>
  <c r="AD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P291" i="12"/>
  <c r="O291" i="12"/>
  <c r="N291" i="12"/>
  <c r="M291" i="12"/>
  <c r="L291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O289" i="12"/>
  <c r="N289" i="12"/>
  <c r="M289" i="12"/>
  <c r="L289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O288" i="12"/>
  <c r="N288" i="12"/>
  <c r="M288" i="12"/>
  <c r="L288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O287" i="12"/>
  <c r="N287" i="12"/>
  <c r="M287" i="12"/>
  <c r="L287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AE285" i="12"/>
  <c r="AD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O285" i="12"/>
  <c r="N285" i="12"/>
  <c r="M285" i="12"/>
  <c r="L285" i="12"/>
  <c r="AE284" i="12"/>
  <c r="AD284" i="12"/>
  <c r="AC284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O284" i="12"/>
  <c r="N284" i="12"/>
  <c r="M284" i="12"/>
  <c r="L284" i="12"/>
  <c r="AE283" i="12"/>
  <c r="AD283" i="12"/>
  <c r="AC283" i="12"/>
  <c r="AB283" i="12"/>
  <c r="AA283" i="12"/>
  <c r="Z283" i="12"/>
  <c r="Y283" i="12"/>
  <c r="X283" i="12"/>
  <c r="W283" i="12"/>
  <c r="V283" i="12"/>
  <c r="U283" i="12"/>
  <c r="T283" i="12"/>
  <c r="S283" i="12"/>
  <c r="R283" i="12"/>
  <c r="Q283" i="12"/>
  <c r="P283" i="12"/>
  <c r="O283" i="12"/>
  <c r="N283" i="12"/>
  <c r="M283" i="12"/>
  <c r="L283" i="12"/>
  <c r="AE282" i="12"/>
  <c r="AD282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M282" i="12"/>
  <c r="L282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O281" i="12"/>
  <c r="N281" i="12"/>
  <c r="M281" i="12"/>
  <c r="L281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M280" i="12"/>
  <c r="L280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P279" i="12"/>
  <c r="O279" i="12"/>
  <c r="N279" i="12"/>
  <c r="M279" i="12"/>
  <c r="L279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M278" i="12"/>
  <c r="L278" i="12"/>
  <c r="AE277" i="12"/>
  <c r="AD277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O277" i="12"/>
  <c r="N277" i="12"/>
  <c r="M277" i="12"/>
  <c r="L277" i="12"/>
  <c r="AE276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M276" i="12"/>
  <c r="L276" i="12"/>
  <c r="AE275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M275" i="12"/>
  <c r="L275" i="12"/>
  <c r="AE274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AE273" i="12"/>
  <c r="AD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AE272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M272" i="12"/>
  <c r="L272" i="12"/>
  <c r="AE271" i="12"/>
  <c r="AD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M271" i="12"/>
  <c r="L271" i="12"/>
  <c r="AE270" i="12"/>
  <c r="AD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M270" i="12"/>
  <c r="L270" i="12"/>
  <c r="AE269" i="12"/>
  <c r="AD269" i="12"/>
  <c r="AC269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O269" i="12"/>
  <c r="N269" i="12"/>
  <c r="M269" i="12"/>
  <c r="L269" i="12"/>
  <c r="AE268" i="12"/>
  <c r="AD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M268" i="12"/>
  <c r="L268" i="12"/>
  <c r="AE267" i="12"/>
  <c r="AD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M267" i="12"/>
  <c r="L267" i="12"/>
  <c r="AE266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AE265" i="12"/>
  <c r="AD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AE261" i="12"/>
  <c r="AD261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AE259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M259" i="12"/>
  <c r="L259" i="12"/>
  <c r="AE258" i="12"/>
  <c r="AD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M258" i="12"/>
  <c r="L258" i="12"/>
  <c r="AE257" i="12"/>
  <c r="AD257" i="12"/>
  <c r="AC257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M257" i="12"/>
  <c r="L257" i="12"/>
  <c r="AE256" i="12"/>
  <c r="AD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N256" i="12"/>
  <c r="M256" i="12"/>
  <c r="L256" i="12"/>
  <c r="AE255" i="12"/>
  <c r="AD255" i="12"/>
  <c r="AC255" i="12"/>
  <c r="AB255" i="12"/>
  <c r="AA255" i="12"/>
  <c r="Z255" i="12"/>
  <c r="Y255" i="12"/>
  <c r="X255" i="12"/>
  <c r="W255" i="12"/>
  <c r="V255" i="12"/>
  <c r="U255" i="12"/>
  <c r="T255" i="12"/>
  <c r="S255" i="12"/>
  <c r="R255" i="12"/>
  <c r="Q255" i="12"/>
  <c r="P255" i="12"/>
  <c r="O255" i="12"/>
  <c r="N255" i="12"/>
  <c r="M255" i="12"/>
  <c r="L255" i="12"/>
  <c r="AE254" i="12"/>
  <c r="AD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M254" i="12"/>
  <c r="L254" i="12"/>
  <c r="AE253" i="12"/>
  <c r="AD253" i="12"/>
  <c r="AC253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M253" i="12"/>
  <c r="L253" i="12"/>
  <c r="AE252" i="12"/>
  <c r="AD252" i="12"/>
  <c r="AC252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O252" i="12"/>
  <c r="N252" i="12"/>
  <c r="M252" i="12"/>
  <c r="L252" i="12"/>
  <c r="AE251" i="12"/>
  <c r="AD251" i="12"/>
  <c r="AC251" i="12"/>
  <c r="AB251" i="12"/>
  <c r="AA251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M251" i="12"/>
  <c r="L251" i="12"/>
  <c r="AE250" i="12"/>
  <c r="AD250" i="12"/>
  <c r="AC250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M250" i="12"/>
  <c r="L250" i="12"/>
  <c r="AE249" i="12"/>
  <c r="AD249" i="12"/>
  <c r="AC249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O249" i="12"/>
  <c r="N249" i="12"/>
  <c r="M249" i="12"/>
  <c r="L249" i="12"/>
  <c r="AE248" i="12"/>
  <c r="AD248" i="12"/>
  <c r="AC248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O248" i="12"/>
  <c r="N248" i="12"/>
  <c r="M248" i="12"/>
  <c r="L248" i="12"/>
  <c r="AE247" i="12"/>
  <c r="AD247" i="12"/>
  <c r="AC247" i="12"/>
  <c r="AB247" i="12"/>
  <c r="AA247" i="12"/>
  <c r="Z247" i="12"/>
  <c r="Y247" i="12"/>
  <c r="X247" i="12"/>
  <c r="W247" i="12"/>
  <c r="V247" i="12"/>
  <c r="U247" i="12"/>
  <c r="T247" i="12"/>
  <c r="S247" i="12"/>
  <c r="R247" i="12"/>
  <c r="Q247" i="12"/>
  <c r="P247" i="12"/>
  <c r="O247" i="12"/>
  <c r="N247" i="12"/>
  <c r="M247" i="12"/>
  <c r="L247" i="12"/>
  <c r="AE246" i="12"/>
  <c r="AD246" i="12"/>
  <c r="AC246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O246" i="12"/>
  <c r="N246" i="12"/>
  <c r="M246" i="12"/>
  <c r="L246" i="12"/>
  <c r="AE245" i="12"/>
  <c r="AD245" i="12"/>
  <c r="AC245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O245" i="12"/>
  <c r="N245" i="12"/>
  <c r="M245" i="12"/>
  <c r="L245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AE243" i="12"/>
  <c r="AD243" i="12"/>
  <c r="AC243" i="12"/>
  <c r="AB243" i="12"/>
  <c r="AA243" i="12"/>
  <c r="Z243" i="12"/>
  <c r="Y243" i="12"/>
  <c r="X243" i="12"/>
  <c r="W243" i="12"/>
  <c r="V243" i="12"/>
  <c r="U243" i="12"/>
  <c r="T243" i="12"/>
  <c r="S243" i="12"/>
  <c r="R243" i="12"/>
  <c r="Q243" i="12"/>
  <c r="P243" i="12"/>
  <c r="O243" i="12"/>
  <c r="N243" i="12"/>
  <c r="M243" i="12"/>
  <c r="L243" i="12"/>
  <c r="AE242" i="12"/>
  <c r="AD242" i="12"/>
  <c r="AC242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O242" i="12"/>
  <c r="N242" i="12"/>
  <c r="M242" i="12"/>
  <c r="L242" i="12"/>
  <c r="AE241" i="12"/>
  <c r="AD241" i="12"/>
  <c r="AC241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O241" i="12"/>
  <c r="N241" i="12"/>
  <c r="M241" i="12"/>
  <c r="L241" i="12"/>
  <c r="AE240" i="12"/>
  <c r="AD240" i="12"/>
  <c r="AC240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O240" i="12"/>
  <c r="N240" i="12"/>
  <c r="M240" i="12"/>
  <c r="L240" i="12"/>
  <c r="AE239" i="12"/>
  <c r="AD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M239" i="12"/>
  <c r="L239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AE234" i="12"/>
  <c r="AD234" i="12"/>
  <c r="AC234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M234" i="12"/>
  <c r="L234" i="12"/>
  <c r="AE233" i="12"/>
  <c r="AD233" i="12"/>
  <c r="AC233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M233" i="12"/>
  <c r="L233" i="12"/>
  <c r="AE232" i="12"/>
  <c r="AD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O232" i="12"/>
  <c r="N232" i="12"/>
  <c r="M232" i="12"/>
  <c r="L232" i="12"/>
  <c r="AE231" i="12"/>
  <c r="AD231" i="12"/>
  <c r="AC231" i="12"/>
  <c r="AB231" i="12"/>
  <c r="AA231" i="12"/>
  <c r="Z231" i="12"/>
  <c r="Y231" i="12"/>
  <c r="X231" i="12"/>
  <c r="W231" i="12"/>
  <c r="V231" i="12"/>
  <c r="U231" i="12"/>
  <c r="T231" i="12"/>
  <c r="S231" i="12"/>
  <c r="R231" i="12"/>
  <c r="Q231" i="12"/>
  <c r="P231" i="12"/>
  <c r="O231" i="12"/>
  <c r="N231" i="12"/>
  <c r="M231" i="12"/>
  <c r="L231" i="12"/>
  <c r="AE230" i="12"/>
  <c r="AD230" i="12"/>
  <c r="AC230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O230" i="12"/>
  <c r="N230" i="12"/>
  <c r="M230" i="12"/>
  <c r="L230" i="12"/>
  <c r="AE229" i="12"/>
  <c r="AD229" i="12"/>
  <c r="AC229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O229" i="12"/>
  <c r="N229" i="12"/>
  <c r="M229" i="12"/>
  <c r="L229" i="12"/>
  <c r="AE228" i="12"/>
  <c r="AD228" i="12"/>
  <c r="AC228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O228" i="12"/>
  <c r="N228" i="12"/>
  <c r="M228" i="12"/>
  <c r="L228" i="12"/>
  <c r="AE227" i="12"/>
  <c r="AD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P227" i="12"/>
  <c r="O227" i="12"/>
  <c r="N227" i="12"/>
  <c r="M227" i="12"/>
  <c r="L227" i="12"/>
  <c r="AE226" i="12"/>
  <c r="AD226" i="12"/>
  <c r="AC226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O226" i="12"/>
  <c r="N226" i="12"/>
  <c r="M226" i="12"/>
  <c r="L226" i="12"/>
  <c r="AE225" i="12"/>
  <c r="AD225" i="12"/>
  <c r="AC225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O225" i="12"/>
  <c r="N225" i="12"/>
  <c r="M225" i="12"/>
  <c r="L225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M224" i="12"/>
  <c r="L224" i="12"/>
  <c r="AE223" i="12"/>
  <c r="AD223" i="12"/>
  <c r="AC223" i="12"/>
  <c r="AB223" i="12"/>
  <c r="AA223" i="12"/>
  <c r="Z223" i="12"/>
  <c r="Y223" i="12"/>
  <c r="X223" i="12"/>
  <c r="W223" i="12"/>
  <c r="V223" i="12"/>
  <c r="U223" i="12"/>
  <c r="T223" i="12"/>
  <c r="S223" i="12"/>
  <c r="R223" i="12"/>
  <c r="Q223" i="12"/>
  <c r="P223" i="12"/>
  <c r="O223" i="12"/>
  <c r="N223" i="12"/>
  <c r="M223" i="12"/>
  <c r="L223" i="12"/>
  <c r="AE222" i="12"/>
  <c r="AD222" i="12"/>
  <c r="AC222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M222" i="12"/>
  <c r="L222" i="12"/>
  <c r="AE221" i="12"/>
  <c r="AD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O221" i="12"/>
  <c r="N221" i="12"/>
  <c r="M221" i="12"/>
  <c r="L221" i="12"/>
  <c r="AE220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M220" i="12"/>
  <c r="L220" i="12"/>
  <c r="AE219" i="12"/>
  <c r="AD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M219" i="12"/>
  <c r="L219" i="12"/>
  <c r="AE218" i="12"/>
  <c r="AD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M218" i="12"/>
  <c r="L218" i="12"/>
  <c r="AE217" i="12"/>
  <c r="AD217" i="12"/>
  <c r="AC217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M217" i="12"/>
  <c r="L217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AE215" i="12"/>
  <c r="AD215" i="12"/>
  <c r="AC215" i="12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M215" i="12"/>
  <c r="L215" i="12"/>
  <c r="AE214" i="12"/>
  <c r="AD214" i="12"/>
  <c r="AC214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M214" i="12"/>
  <c r="L214" i="12"/>
  <c r="AE213" i="12"/>
  <c r="AD213" i="12"/>
  <c r="AC213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O213" i="12"/>
  <c r="N213" i="12"/>
  <c r="M213" i="12"/>
  <c r="L213" i="12"/>
  <c r="AE212" i="12"/>
  <c r="AD212" i="12"/>
  <c r="AC212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O212" i="12"/>
  <c r="N212" i="12"/>
  <c r="M212" i="12"/>
  <c r="L212" i="12"/>
  <c r="AE211" i="12"/>
  <c r="AD211" i="12"/>
  <c r="AC211" i="12"/>
  <c r="AB211" i="12"/>
  <c r="AA211" i="12"/>
  <c r="Z211" i="12"/>
  <c r="Y211" i="12"/>
  <c r="X211" i="12"/>
  <c r="W211" i="12"/>
  <c r="V211" i="12"/>
  <c r="U211" i="12"/>
  <c r="T211" i="12"/>
  <c r="S211" i="12"/>
  <c r="R211" i="12"/>
  <c r="Q211" i="12"/>
  <c r="P211" i="12"/>
  <c r="O211" i="12"/>
  <c r="N211" i="12"/>
  <c r="M211" i="12"/>
  <c r="L211" i="12"/>
  <c r="AE210" i="12"/>
  <c r="AD210" i="12"/>
  <c r="AC210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O210" i="12"/>
  <c r="N210" i="12"/>
  <c r="M210" i="12"/>
  <c r="L210" i="12"/>
  <c r="AE209" i="12"/>
  <c r="AD209" i="12"/>
  <c r="AC209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O209" i="12"/>
  <c r="N209" i="12"/>
  <c r="M209" i="12"/>
  <c r="L209" i="12"/>
  <c r="AE208" i="12"/>
  <c r="AD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M208" i="12"/>
  <c r="L208" i="12"/>
  <c r="AE207" i="12"/>
  <c r="AD207" i="12"/>
  <c r="AC207" i="12"/>
  <c r="AB207" i="12"/>
  <c r="AA207" i="12"/>
  <c r="Z207" i="12"/>
  <c r="Y207" i="12"/>
  <c r="X207" i="12"/>
  <c r="W207" i="12"/>
  <c r="V207" i="12"/>
  <c r="U207" i="12"/>
  <c r="T207" i="12"/>
  <c r="S207" i="12"/>
  <c r="R207" i="12"/>
  <c r="Q207" i="12"/>
  <c r="P207" i="12"/>
  <c r="O207" i="12"/>
  <c r="N207" i="12"/>
  <c r="M207" i="12"/>
  <c r="L207" i="12"/>
  <c r="AE206" i="12"/>
  <c r="AD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M206" i="12"/>
  <c r="L206" i="12"/>
  <c r="AE205" i="12"/>
  <c r="AD205" i="12"/>
  <c r="AC205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O205" i="12"/>
  <c r="N205" i="12"/>
  <c r="M205" i="12"/>
  <c r="L205" i="12"/>
  <c r="AE204" i="12"/>
  <c r="AD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M204" i="12"/>
  <c r="L204" i="12"/>
  <c r="AE203" i="12"/>
  <c r="AD203" i="12"/>
  <c r="AC203" i="12"/>
  <c r="AB203" i="12"/>
  <c r="AA203" i="12"/>
  <c r="Z203" i="12"/>
  <c r="Y203" i="12"/>
  <c r="X203" i="12"/>
  <c r="W203" i="12"/>
  <c r="V203" i="12"/>
  <c r="U203" i="12"/>
  <c r="T203" i="12"/>
  <c r="S203" i="12"/>
  <c r="R203" i="12"/>
  <c r="Q203" i="12"/>
  <c r="P203" i="12"/>
  <c r="O203" i="12"/>
  <c r="N203" i="12"/>
  <c r="M203" i="12"/>
  <c r="L203" i="12"/>
  <c r="AE202" i="12"/>
  <c r="AD202" i="12"/>
  <c r="AC202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M202" i="12"/>
  <c r="L202" i="12"/>
  <c r="AE201" i="12"/>
  <c r="AD201" i="12"/>
  <c r="AC201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O201" i="12"/>
  <c r="N201" i="12"/>
  <c r="M201" i="12"/>
  <c r="L201" i="12"/>
  <c r="AE200" i="12"/>
  <c r="AD200" i="12"/>
  <c r="AC200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O200" i="12"/>
  <c r="N200" i="12"/>
  <c r="M200" i="12"/>
  <c r="L200" i="12"/>
  <c r="AE199" i="12"/>
  <c r="AD199" i="12"/>
  <c r="AC199" i="12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O199" i="12"/>
  <c r="N199" i="12"/>
  <c r="M199" i="12"/>
  <c r="L199" i="12"/>
  <c r="AE198" i="12"/>
  <c r="AD198" i="12"/>
  <c r="AC198" i="12"/>
  <c r="AB198" i="12"/>
  <c r="AA198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M198" i="12"/>
  <c r="L198" i="12"/>
  <c r="AE197" i="12"/>
  <c r="AD197" i="12"/>
  <c r="AC197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O197" i="12"/>
  <c r="N197" i="12"/>
  <c r="M197" i="12"/>
  <c r="L197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M196" i="12"/>
  <c r="L196" i="12"/>
  <c r="AE195" i="12"/>
  <c r="AD195" i="12"/>
  <c r="AC195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O195" i="12"/>
  <c r="N195" i="12"/>
  <c r="M195" i="12"/>
  <c r="L195" i="12"/>
  <c r="AE194" i="12"/>
  <c r="AD194" i="12"/>
  <c r="AC194" i="12"/>
  <c r="AB194" i="12"/>
  <c r="AA194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M194" i="12"/>
  <c r="L194" i="12"/>
  <c r="AE193" i="12"/>
  <c r="AD193" i="12"/>
  <c r="AC193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O193" i="12"/>
  <c r="N193" i="12"/>
  <c r="M193" i="12"/>
  <c r="L193" i="12"/>
  <c r="AE192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M192" i="12"/>
  <c r="L192" i="12"/>
  <c r="AE191" i="12"/>
  <c r="AD191" i="12"/>
  <c r="AC191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O191" i="12"/>
  <c r="N191" i="12"/>
  <c r="M191" i="12"/>
  <c r="L191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AE189" i="12"/>
  <c r="AD189" i="12"/>
  <c r="AC189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O189" i="12"/>
  <c r="N189" i="12"/>
  <c r="M189" i="12"/>
  <c r="L189" i="12"/>
  <c r="AE188" i="12"/>
  <c r="AD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M188" i="12"/>
  <c r="L188" i="12"/>
  <c r="AE187" i="12"/>
  <c r="AD187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M187" i="12"/>
  <c r="L187" i="12"/>
  <c r="AE186" i="12"/>
  <c r="AD186" i="12"/>
  <c r="AC186" i="12"/>
  <c r="AB186" i="12"/>
  <c r="AA186" i="12"/>
  <c r="Z186" i="12"/>
  <c r="Y186" i="12"/>
  <c r="X186" i="12"/>
  <c r="W186" i="12"/>
  <c r="V186" i="12"/>
  <c r="U186" i="12"/>
  <c r="T186" i="12"/>
  <c r="S186" i="12"/>
  <c r="R186" i="12"/>
  <c r="Q186" i="12"/>
  <c r="P186" i="12"/>
  <c r="O186" i="12"/>
  <c r="N186" i="12"/>
  <c r="M186" i="12"/>
  <c r="L186" i="12"/>
  <c r="AE185" i="12"/>
  <c r="AD185" i="12"/>
  <c r="AC185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O185" i="12"/>
  <c r="N185" i="12"/>
  <c r="M185" i="12"/>
  <c r="L185" i="12"/>
  <c r="AE184" i="12"/>
  <c r="AD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O184" i="12"/>
  <c r="N184" i="12"/>
  <c r="M184" i="12"/>
  <c r="L184" i="12"/>
  <c r="AE183" i="12"/>
  <c r="AD183" i="12"/>
  <c r="AC183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M183" i="12"/>
  <c r="L183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AE181" i="12"/>
  <c r="AD181" i="12"/>
  <c r="AC181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M181" i="12"/>
  <c r="L181" i="12"/>
  <c r="AE180" i="12"/>
  <c r="AD180" i="12"/>
  <c r="AC180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O180" i="12"/>
  <c r="N180" i="12"/>
  <c r="M180" i="12"/>
  <c r="L180" i="12"/>
  <c r="AE179" i="12"/>
  <c r="AD179" i="12"/>
  <c r="AC179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O179" i="12"/>
  <c r="N179" i="12"/>
  <c r="M179" i="12"/>
  <c r="L179" i="12"/>
  <c r="AE178" i="12"/>
  <c r="AD178" i="12"/>
  <c r="AC178" i="12"/>
  <c r="AB178" i="12"/>
  <c r="AA178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M178" i="12"/>
  <c r="L178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AE176" i="12"/>
  <c r="AD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M176" i="12"/>
  <c r="L176" i="12"/>
  <c r="AE175" i="12"/>
  <c r="AD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AE174" i="12"/>
  <c r="AD174" i="12"/>
  <c r="AC174" i="12"/>
  <c r="AB174" i="12"/>
  <c r="AA174" i="12"/>
  <c r="Z174" i="12"/>
  <c r="Y174" i="12"/>
  <c r="X174" i="12"/>
  <c r="W174" i="12"/>
  <c r="V174" i="12"/>
  <c r="U174" i="12"/>
  <c r="T174" i="12"/>
  <c r="S174" i="12"/>
  <c r="R174" i="12"/>
  <c r="Q174" i="12"/>
  <c r="P174" i="12"/>
  <c r="O174" i="12"/>
  <c r="N174" i="12"/>
  <c r="M174" i="12"/>
  <c r="L174" i="12"/>
  <c r="AE173" i="12"/>
  <c r="AD173" i="12"/>
  <c r="AC173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M173" i="12"/>
  <c r="L173" i="12"/>
  <c r="AE172" i="12"/>
  <c r="AD172" i="12"/>
  <c r="AC172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O172" i="12"/>
  <c r="N172" i="12"/>
  <c r="M172" i="12"/>
  <c r="L172" i="12"/>
  <c r="AE171" i="12"/>
  <c r="AD171" i="12"/>
  <c r="AC171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O171" i="12"/>
  <c r="N171" i="12"/>
  <c r="M171" i="12"/>
  <c r="L171" i="12"/>
  <c r="AE170" i="12"/>
  <c r="AD170" i="12"/>
  <c r="AC170" i="12"/>
  <c r="AB170" i="12"/>
  <c r="AA170" i="12"/>
  <c r="Z170" i="12"/>
  <c r="Y170" i="12"/>
  <c r="X170" i="12"/>
  <c r="W170" i="12"/>
  <c r="V170" i="12"/>
  <c r="U170" i="12"/>
  <c r="T170" i="12"/>
  <c r="S170" i="12"/>
  <c r="R170" i="12"/>
  <c r="Q170" i="12"/>
  <c r="P170" i="12"/>
  <c r="O170" i="12"/>
  <c r="N170" i="12"/>
  <c r="M170" i="12"/>
  <c r="L170" i="12"/>
  <c r="AE169" i="12"/>
  <c r="AD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M169" i="12"/>
  <c r="L169" i="12"/>
  <c r="AE168" i="12"/>
  <c r="AD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M168" i="12"/>
  <c r="L168" i="12"/>
  <c r="AE167" i="12"/>
  <c r="AD167" i="12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M167" i="12"/>
  <c r="L167" i="12"/>
  <c r="AE166" i="12"/>
  <c r="AD166" i="12"/>
  <c r="AC166" i="12"/>
  <c r="AB166" i="12"/>
  <c r="AA166" i="12"/>
  <c r="Z166" i="12"/>
  <c r="Y166" i="12"/>
  <c r="X166" i="12"/>
  <c r="W166" i="12"/>
  <c r="V166" i="12"/>
  <c r="U166" i="12"/>
  <c r="T166" i="12"/>
  <c r="S166" i="12"/>
  <c r="R166" i="12"/>
  <c r="Q166" i="12"/>
  <c r="P166" i="12"/>
  <c r="O166" i="12"/>
  <c r="N166" i="12"/>
  <c r="M166" i="12"/>
  <c r="L166" i="12"/>
  <c r="AE165" i="12"/>
  <c r="AD165" i="12"/>
  <c r="AC165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O165" i="12"/>
  <c r="N165" i="12"/>
  <c r="M165" i="12"/>
  <c r="L165" i="12"/>
  <c r="AE164" i="12"/>
  <c r="AD164" i="12"/>
  <c r="AC164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O164" i="12"/>
  <c r="N164" i="12"/>
  <c r="M164" i="12"/>
  <c r="L164" i="12"/>
  <c r="AE163" i="12"/>
  <c r="AD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O163" i="12"/>
  <c r="N163" i="12"/>
  <c r="M163" i="12"/>
  <c r="L163" i="12"/>
  <c r="AE162" i="12"/>
  <c r="AD162" i="12"/>
  <c r="AC162" i="12"/>
  <c r="AB162" i="12"/>
  <c r="AA162" i="12"/>
  <c r="Z162" i="12"/>
  <c r="Y162" i="12"/>
  <c r="X162" i="12"/>
  <c r="W162" i="12"/>
  <c r="V162" i="12"/>
  <c r="U162" i="12"/>
  <c r="T162" i="12"/>
  <c r="S162" i="12"/>
  <c r="R162" i="12"/>
  <c r="Q162" i="12"/>
  <c r="P162" i="12"/>
  <c r="O162" i="12"/>
  <c r="N162" i="12"/>
  <c r="M162" i="12"/>
  <c r="L162" i="12"/>
  <c r="AE161" i="12"/>
  <c r="AD161" i="12"/>
  <c r="AC161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M161" i="12"/>
  <c r="L161" i="12"/>
  <c r="AE160" i="12"/>
  <c r="AD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M160" i="12"/>
  <c r="L160" i="12"/>
  <c r="AE159" i="12"/>
  <c r="AD159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M159" i="12"/>
  <c r="L159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AE157" i="12"/>
  <c r="AD157" i="12"/>
  <c r="AC157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O157" i="12"/>
  <c r="N157" i="12"/>
  <c r="M157" i="12"/>
  <c r="L157" i="12"/>
  <c r="AE156" i="12"/>
  <c r="AD156" i="12"/>
  <c r="AC156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O156" i="12"/>
  <c r="N156" i="12"/>
  <c r="M156" i="12"/>
  <c r="L156" i="12"/>
  <c r="AE155" i="12"/>
  <c r="AD155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AE154" i="12"/>
  <c r="AD154" i="12"/>
  <c r="AC154" i="12"/>
  <c r="AB154" i="12"/>
  <c r="AA154" i="12"/>
  <c r="Z154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AE153" i="12"/>
  <c r="AD153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AE152" i="12"/>
  <c r="AD152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AE151" i="12"/>
  <c r="AD151" i="12"/>
  <c r="AC151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AE150" i="12"/>
  <c r="AD150" i="12"/>
  <c r="AC150" i="12"/>
  <c r="AB150" i="12"/>
  <c r="AA150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AE149" i="12"/>
  <c r="AD149" i="12"/>
  <c r="AC149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AE147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AE146" i="12"/>
  <c r="AD146" i="12"/>
  <c r="AC146" i="12"/>
  <c r="AB146" i="12"/>
  <c r="AA146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AE145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AE144" i="12"/>
  <c r="AD144" i="12"/>
  <c r="AC144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AE143" i="12"/>
  <c r="AD143" i="12"/>
  <c r="AC143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AE142" i="12"/>
  <c r="AD142" i="12"/>
  <c r="AC142" i="12"/>
  <c r="AB142" i="12"/>
  <c r="AA142" i="12"/>
  <c r="Z142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AE141" i="12"/>
  <c r="AD141" i="12"/>
  <c r="AC141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AE140" i="12"/>
  <c r="AD140" i="12"/>
  <c r="AC140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AE139" i="12"/>
  <c r="AD139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AE138" i="12"/>
  <c r="AD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AE137" i="12"/>
  <c r="AD137" i="12"/>
  <c r="AC137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AE136" i="12"/>
  <c r="AD136" i="12"/>
  <c r="AC136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O136" i="12"/>
  <c r="N136" i="12"/>
  <c r="M136" i="12"/>
  <c r="L136" i="12"/>
  <c r="AE135" i="12"/>
  <c r="AD135" i="12"/>
  <c r="AC135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M135" i="12"/>
  <c r="L135" i="12"/>
  <c r="AE134" i="12"/>
  <c r="AD134" i="12"/>
  <c r="AC134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AE133" i="12"/>
  <c r="AD133" i="12"/>
  <c r="AC133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AE132" i="12"/>
  <c r="AD132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AE131" i="12"/>
  <c r="AD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AE130" i="12"/>
  <c r="AD130" i="12"/>
  <c r="AC130" i="12"/>
  <c r="AB130" i="12"/>
  <c r="AA130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AE129" i="12"/>
  <c r="AD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AE127" i="12"/>
  <c r="AD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AE126" i="12"/>
  <c r="AD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AE125" i="12"/>
  <c r="AD125" i="12"/>
  <c r="AC125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AE124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AE123" i="12"/>
  <c r="AD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AE122" i="12"/>
  <c r="AD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AE120" i="12"/>
  <c r="AD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AE119" i="12"/>
  <c r="AD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AE117" i="12"/>
  <c r="AD117" i="12"/>
  <c r="AC117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AE115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AE114" i="12"/>
  <c r="AD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AE113" i="12"/>
  <c r="AD113" i="12"/>
  <c r="AC113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AE112" i="12"/>
  <c r="AD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AE111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AE109" i="12"/>
  <c r="AD109" i="12"/>
  <c r="AC109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AE105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AE104" i="12"/>
  <c r="AD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AE102" i="12"/>
  <c r="AD102" i="12"/>
  <c r="AC102" i="12"/>
  <c r="AB102" i="12"/>
  <c r="AA102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M102" i="12"/>
  <c r="L102" i="12"/>
  <c r="AE101" i="12"/>
  <c r="AD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AE95" i="12"/>
  <c r="AD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AE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B2" i="11"/>
  <c r="B3" i="11"/>
  <c r="B4" i="11"/>
  <c r="B5" i="11"/>
  <c r="B6" i="11"/>
  <c r="B1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B2" i="4"/>
  <c r="B3" i="4"/>
  <c r="B4" i="4"/>
  <c r="B5" i="4"/>
  <c r="B6" i="4"/>
  <c r="B1" i="4"/>
  <c r="L671" i="4"/>
  <c r="M671" i="4"/>
  <c r="N671" i="4"/>
  <c r="O671" i="4"/>
  <c r="P671" i="4"/>
  <c r="Q671" i="4"/>
  <c r="R671" i="4"/>
  <c r="S671" i="4"/>
  <c r="T671" i="4"/>
  <c r="U671" i="4"/>
  <c r="V671" i="4"/>
  <c r="W671" i="4"/>
  <c r="X671" i="4"/>
  <c r="Y671" i="4"/>
  <c r="Z671" i="4"/>
  <c r="AA671" i="4"/>
  <c r="AB671" i="4"/>
  <c r="AC671" i="4"/>
  <c r="AD671" i="4"/>
  <c r="AE671" i="4"/>
  <c r="L672" i="4"/>
  <c r="M672" i="4"/>
  <c r="N672" i="4"/>
  <c r="O672" i="4"/>
  <c r="P672" i="4"/>
  <c r="Q672" i="4"/>
  <c r="R672" i="4"/>
  <c r="S672" i="4"/>
  <c r="T672" i="4"/>
  <c r="U672" i="4"/>
  <c r="V672" i="4"/>
  <c r="W672" i="4"/>
  <c r="X672" i="4"/>
  <c r="Y672" i="4"/>
  <c r="Z672" i="4"/>
  <c r="AA672" i="4"/>
  <c r="AB672" i="4"/>
  <c r="AC672" i="4"/>
  <c r="AD672" i="4"/>
  <c r="AE672" i="4"/>
  <c r="L673" i="4"/>
  <c r="M673" i="4"/>
  <c r="N673" i="4"/>
  <c r="O673" i="4"/>
  <c r="P673" i="4"/>
  <c r="Q673" i="4"/>
  <c r="R673" i="4"/>
  <c r="S673" i="4"/>
  <c r="T673" i="4"/>
  <c r="U673" i="4"/>
  <c r="V673" i="4"/>
  <c r="W673" i="4"/>
  <c r="X673" i="4"/>
  <c r="Y673" i="4"/>
  <c r="Z673" i="4"/>
  <c r="AA673" i="4"/>
  <c r="AB673" i="4"/>
  <c r="AC673" i="4"/>
  <c r="AD673" i="4"/>
  <c r="AE673" i="4"/>
  <c r="L674" i="4"/>
  <c r="M674" i="4"/>
  <c r="N674" i="4"/>
  <c r="O674" i="4"/>
  <c r="P674" i="4"/>
  <c r="Q674" i="4"/>
  <c r="R674" i="4"/>
  <c r="S674" i="4"/>
  <c r="T674" i="4"/>
  <c r="U674" i="4"/>
  <c r="V674" i="4"/>
  <c r="W674" i="4"/>
  <c r="X674" i="4"/>
  <c r="Y674" i="4"/>
  <c r="Z674" i="4"/>
  <c r="AA674" i="4"/>
  <c r="AB674" i="4"/>
  <c r="AC674" i="4"/>
  <c r="AD674" i="4"/>
  <c r="AE674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AA675" i="4"/>
  <c r="AB675" i="4"/>
  <c r="AC675" i="4"/>
  <c r="AD675" i="4"/>
  <c r="AE675" i="4"/>
  <c r="L676" i="4"/>
  <c r="M676" i="4"/>
  <c r="N676" i="4"/>
  <c r="O676" i="4"/>
  <c r="P676" i="4"/>
  <c r="Q676" i="4"/>
  <c r="R676" i="4"/>
  <c r="S676" i="4"/>
  <c r="T676" i="4"/>
  <c r="U676" i="4"/>
  <c r="V676" i="4"/>
  <c r="W676" i="4"/>
  <c r="X676" i="4"/>
  <c r="Y676" i="4"/>
  <c r="Z676" i="4"/>
  <c r="AA676" i="4"/>
  <c r="AB676" i="4"/>
  <c r="AC676" i="4"/>
  <c r="AD676" i="4"/>
  <c r="AE676" i="4"/>
  <c r="L677" i="4"/>
  <c r="M677" i="4"/>
  <c r="N677" i="4"/>
  <c r="O677" i="4"/>
  <c r="P677" i="4"/>
  <c r="Q677" i="4"/>
  <c r="R677" i="4"/>
  <c r="S677" i="4"/>
  <c r="T677" i="4"/>
  <c r="U677" i="4"/>
  <c r="V677" i="4"/>
  <c r="W677" i="4"/>
  <c r="X677" i="4"/>
  <c r="Y677" i="4"/>
  <c r="Z677" i="4"/>
  <c r="AA677" i="4"/>
  <c r="AB677" i="4"/>
  <c r="AC677" i="4"/>
  <c r="AD677" i="4"/>
  <c r="AE677" i="4"/>
  <c r="L678" i="4"/>
  <c r="M678" i="4"/>
  <c r="N678" i="4"/>
  <c r="O678" i="4"/>
  <c r="P678" i="4"/>
  <c r="Q678" i="4"/>
  <c r="R678" i="4"/>
  <c r="S678" i="4"/>
  <c r="T678" i="4"/>
  <c r="U678" i="4"/>
  <c r="V678" i="4"/>
  <c r="W678" i="4"/>
  <c r="X678" i="4"/>
  <c r="Y678" i="4"/>
  <c r="Z678" i="4"/>
  <c r="AA678" i="4"/>
  <c r="AB678" i="4"/>
  <c r="AC678" i="4"/>
  <c r="AD678" i="4"/>
  <c r="AE678" i="4"/>
  <c r="L679" i="4"/>
  <c r="M679" i="4"/>
  <c r="N679" i="4"/>
  <c r="O679" i="4"/>
  <c r="P679" i="4"/>
  <c r="Q679" i="4"/>
  <c r="R679" i="4"/>
  <c r="S679" i="4"/>
  <c r="T679" i="4"/>
  <c r="U679" i="4"/>
  <c r="V679" i="4"/>
  <c r="W679" i="4"/>
  <c r="X679" i="4"/>
  <c r="Y679" i="4"/>
  <c r="Z679" i="4"/>
  <c r="AA679" i="4"/>
  <c r="AB679" i="4"/>
  <c r="AC679" i="4"/>
  <c r="AD679" i="4"/>
  <c r="AE679" i="4"/>
  <c r="L680" i="4"/>
  <c r="M680" i="4"/>
  <c r="N680" i="4"/>
  <c r="O680" i="4"/>
  <c r="P680" i="4"/>
  <c r="Q680" i="4"/>
  <c r="R680" i="4"/>
  <c r="S680" i="4"/>
  <c r="T680" i="4"/>
  <c r="U680" i="4"/>
  <c r="V680" i="4"/>
  <c r="W680" i="4"/>
  <c r="X680" i="4"/>
  <c r="Y680" i="4"/>
  <c r="Z680" i="4"/>
  <c r="AA680" i="4"/>
  <c r="AB680" i="4"/>
  <c r="AC680" i="4"/>
  <c r="AD680" i="4"/>
  <c r="AE680" i="4"/>
  <c r="L681" i="4"/>
  <c r="M681" i="4"/>
  <c r="N681" i="4"/>
  <c r="O681" i="4"/>
  <c r="P681" i="4"/>
  <c r="Q681" i="4"/>
  <c r="R681" i="4"/>
  <c r="S681" i="4"/>
  <c r="T681" i="4"/>
  <c r="U681" i="4"/>
  <c r="V681" i="4"/>
  <c r="W681" i="4"/>
  <c r="X681" i="4"/>
  <c r="Y681" i="4"/>
  <c r="Z681" i="4"/>
  <c r="AA681" i="4"/>
  <c r="AB681" i="4"/>
  <c r="AC681" i="4"/>
  <c r="AD681" i="4"/>
  <c r="AE681" i="4"/>
  <c r="L682" i="4"/>
  <c r="M682" i="4"/>
  <c r="N682" i="4"/>
  <c r="O682" i="4"/>
  <c r="P682" i="4"/>
  <c r="Q682" i="4"/>
  <c r="R682" i="4"/>
  <c r="S682" i="4"/>
  <c r="T682" i="4"/>
  <c r="U682" i="4"/>
  <c r="V682" i="4"/>
  <c r="W682" i="4"/>
  <c r="X682" i="4"/>
  <c r="Y682" i="4"/>
  <c r="Z682" i="4"/>
  <c r="AA682" i="4"/>
  <c r="AB682" i="4"/>
  <c r="AC682" i="4"/>
  <c r="AD682" i="4"/>
  <c r="AE682" i="4"/>
  <c r="B2" i="3"/>
  <c r="B3" i="3"/>
  <c r="B4" i="3"/>
  <c r="B5" i="3"/>
  <c r="B6" i="3"/>
  <c r="B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G20" i="6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H20" i="6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I20" i="6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J20" i="6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K20" i="6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L20" i="6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M20" i="6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N20" i="6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O20" i="6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P20" i="6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Q20" i="6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R20" i="6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S20" i="6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T20" i="6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U20" i="6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V20" i="6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W20" i="6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X20" i="6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05" i="4"/>
  <c r="AD406" i="4"/>
  <c r="AD407" i="4"/>
  <c r="AD408" i="4"/>
  <c r="AD409" i="4"/>
  <c r="AD410" i="4"/>
  <c r="AD411" i="4"/>
  <c r="AD412" i="4"/>
  <c r="AD413" i="4"/>
  <c r="AD414" i="4"/>
  <c r="AD415" i="4"/>
  <c r="AD416" i="4"/>
  <c r="AD417" i="4"/>
  <c r="AD418" i="4"/>
  <c r="AD419" i="4"/>
  <c r="AD420" i="4"/>
  <c r="AD421" i="4"/>
  <c r="AD422" i="4"/>
  <c r="AD423" i="4"/>
  <c r="AD424" i="4"/>
  <c r="AD425" i="4"/>
  <c r="AD426" i="4"/>
  <c r="AD427" i="4"/>
  <c r="AD428" i="4"/>
  <c r="AD429" i="4"/>
  <c r="AD430" i="4"/>
  <c r="AD431" i="4"/>
  <c r="AD432" i="4"/>
  <c r="AD433" i="4"/>
  <c r="AD434" i="4"/>
  <c r="AD435" i="4"/>
  <c r="AD436" i="4"/>
  <c r="AD437" i="4"/>
  <c r="AD438" i="4"/>
  <c r="AD439" i="4"/>
  <c r="AD440" i="4"/>
  <c r="AD441" i="4"/>
  <c r="AD442" i="4"/>
  <c r="AD443" i="4"/>
  <c r="AD444" i="4"/>
  <c r="AD445" i="4"/>
  <c r="AD446" i="4"/>
  <c r="AD447" i="4"/>
  <c r="AD448" i="4"/>
  <c r="AD449" i="4"/>
  <c r="AD450" i="4"/>
  <c r="AD451" i="4"/>
  <c r="AD452" i="4"/>
  <c r="AD453" i="4"/>
  <c r="AD454" i="4"/>
  <c r="AD455" i="4"/>
  <c r="AD456" i="4"/>
  <c r="AD457" i="4"/>
  <c r="AD458" i="4"/>
  <c r="AD459" i="4"/>
  <c r="AD460" i="4"/>
  <c r="AD461" i="4"/>
  <c r="AD462" i="4"/>
  <c r="AD463" i="4"/>
  <c r="AD464" i="4"/>
  <c r="AD465" i="4"/>
  <c r="AD466" i="4"/>
  <c r="AD467" i="4"/>
  <c r="AD468" i="4"/>
  <c r="AD469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D487" i="4"/>
  <c r="AD488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D541" i="4"/>
  <c r="AD542" i="4"/>
  <c r="AD543" i="4"/>
  <c r="AD544" i="4"/>
  <c r="AD545" i="4"/>
  <c r="AD546" i="4"/>
  <c r="AD547" i="4"/>
  <c r="AD548" i="4"/>
  <c r="AD549" i="4"/>
  <c r="AD550" i="4"/>
  <c r="AD551" i="4"/>
  <c r="AD552" i="4"/>
  <c r="AD553" i="4"/>
  <c r="AD554" i="4"/>
  <c r="AD555" i="4"/>
  <c r="AD556" i="4"/>
  <c r="AD557" i="4"/>
  <c r="AD558" i="4"/>
  <c r="AD559" i="4"/>
  <c r="AD560" i="4"/>
  <c r="AD561" i="4"/>
  <c r="AD562" i="4"/>
  <c r="AD563" i="4"/>
  <c r="AD564" i="4"/>
  <c r="AD565" i="4"/>
  <c r="AD566" i="4"/>
  <c r="AD567" i="4"/>
  <c r="AD568" i="4"/>
  <c r="AD569" i="4"/>
  <c r="AD570" i="4"/>
  <c r="AD571" i="4"/>
  <c r="AD572" i="4"/>
  <c r="AD573" i="4"/>
  <c r="AD574" i="4"/>
  <c r="AD575" i="4"/>
  <c r="AD576" i="4"/>
  <c r="AD577" i="4"/>
  <c r="AD578" i="4"/>
  <c r="AD579" i="4"/>
  <c r="AD580" i="4"/>
  <c r="AD581" i="4"/>
  <c r="AD582" i="4"/>
  <c r="AD583" i="4"/>
  <c r="AD584" i="4"/>
  <c r="AD585" i="4"/>
  <c r="AD586" i="4"/>
  <c r="AD587" i="4"/>
  <c r="AD588" i="4"/>
  <c r="AD589" i="4"/>
  <c r="AD590" i="4"/>
  <c r="AD591" i="4"/>
  <c r="AD592" i="4"/>
  <c r="AD593" i="4"/>
  <c r="AD594" i="4"/>
  <c r="AD595" i="4"/>
  <c r="AD596" i="4"/>
  <c r="AD597" i="4"/>
  <c r="AD598" i="4"/>
  <c r="AD599" i="4"/>
  <c r="AD600" i="4"/>
  <c r="AD601" i="4"/>
  <c r="AD602" i="4"/>
  <c r="AD603" i="4"/>
  <c r="AD604" i="4"/>
  <c r="AD605" i="4"/>
  <c r="AD606" i="4"/>
  <c r="AD607" i="4"/>
  <c r="AD608" i="4"/>
  <c r="AD609" i="4"/>
  <c r="AD610" i="4"/>
  <c r="AD611" i="4"/>
  <c r="AD612" i="4"/>
  <c r="AD613" i="4"/>
  <c r="AD614" i="4"/>
  <c r="AD615" i="4"/>
  <c r="AD616" i="4"/>
  <c r="AD617" i="4"/>
  <c r="AD618" i="4"/>
  <c r="AD619" i="4"/>
  <c r="AD620" i="4"/>
  <c r="AD621" i="4"/>
  <c r="AD622" i="4"/>
  <c r="AD623" i="4"/>
  <c r="AD624" i="4"/>
  <c r="AD625" i="4"/>
  <c r="AD626" i="4"/>
  <c r="AD627" i="4"/>
  <c r="AD628" i="4"/>
  <c r="AD629" i="4"/>
  <c r="AD630" i="4"/>
  <c r="AD631" i="4"/>
  <c r="AD632" i="4"/>
  <c r="AD633" i="4"/>
  <c r="AD634" i="4"/>
  <c r="AD635" i="4"/>
  <c r="AD636" i="4"/>
  <c r="AD637" i="4"/>
  <c r="AD638" i="4"/>
  <c r="AD639" i="4"/>
  <c r="AD640" i="4"/>
  <c r="AD641" i="4"/>
  <c r="AD642" i="4"/>
  <c r="AD643" i="4"/>
  <c r="AD644" i="4"/>
  <c r="AD645" i="4"/>
  <c r="AD646" i="4"/>
  <c r="AD647" i="4"/>
  <c r="AD648" i="4"/>
  <c r="AD649" i="4"/>
  <c r="AD650" i="4"/>
  <c r="AD651" i="4"/>
  <c r="AD652" i="4"/>
  <c r="AD653" i="4"/>
  <c r="AD654" i="4"/>
  <c r="AD655" i="4"/>
  <c r="AD656" i="4"/>
  <c r="AD657" i="4"/>
  <c r="AD658" i="4"/>
  <c r="AD659" i="4"/>
  <c r="AD660" i="4"/>
  <c r="AD661" i="4"/>
  <c r="AD662" i="4"/>
  <c r="AD663" i="4"/>
  <c r="AD664" i="4"/>
  <c r="AD665" i="4"/>
  <c r="AD666" i="4"/>
  <c r="AD667" i="4"/>
  <c r="AD668" i="4"/>
  <c r="AD669" i="4"/>
  <c r="AD670" i="4"/>
  <c r="Y20" i="6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Z20" i="6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G21" i="6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H21" i="6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I21" i="6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J21" i="6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K21" i="6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L21" i="6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M21" i="6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N21" i="6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O21" i="6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P21" i="6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Q21" i="6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R21" i="6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S21" i="6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T21" i="6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U21" i="6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V21" i="6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W21" i="6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X21" i="6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Y21" i="6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Z21" i="6"/>
  <c r="O13" i="6"/>
  <c r="P13" i="6"/>
  <c r="Q13" i="6"/>
  <c r="R13" i="6"/>
  <c r="S13" i="6"/>
  <c r="T13" i="6"/>
  <c r="U13" i="6"/>
  <c r="V13" i="6"/>
  <c r="W13" i="6"/>
  <c r="X13" i="6"/>
  <c r="Y13" i="6"/>
  <c r="Z13" i="6"/>
  <c r="O14" i="6"/>
  <c r="P14" i="6"/>
  <c r="Q14" i="6"/>
  <c r="R14" i="6"/>
  <c r="S14" i="6"/>
  <c r="T14" i="6"/>
  <c r="U14" i="6"/>
  <c r="V14" i="6"/>
  <c r="W14" i="6"/>
  <c r="X14" i="6"/>
  <c r="Y14" i="6"/>
  <c r="Z14" i="6"/>
  <c r="O24" i="6"/>
  <c r="P24" i="6"/>
  <c r="Q24" i="6"/>
  <c r="R24" i="6"/>
  <c r="S24" i="6"/>
  <c r="T24" i="6"/>
  <c r="U24" i="6"/>
  <c r="V24" i="6"/>
  <c r="W24" i="6"/>
  <c r="X24" i="6"/>
  <c r="Y24" i="6"/>
  <c r="Z24" i="6"/>
  <c r="O25" i="6"/>
  <c r="P25" i="6"/>
  <c r="Q25" i="6"/>
  <c r="R25" i="6"/>
  <c r="S25" i="6"/>
  <c r="T25" i="6"/>
  <c r="U25" i="6"/>
  <c r="V25" i="6"/>
  <c r="W25" i="6"/>
  <c r="X25" i="6"/>
  <c r="Y25" i="6"/>
  <c r="Z25" i="6"/>
  <c r="N14" i="6"/>
  <c r="M14" i="6"/>
  <c r="L14" i="6"/>
  <c r="K14" i="6"/>
  <c r="J14" i="6"/>
  <c r="I14" i="6"/>
  <c r="H14" i="6"/>
  <c r="G14" i="6"/>
  <c r="B14" i="6"/>
  <c r="N25" i="6"/>
  <c r="M25" i="6"/>
  <c r="L25" i="6"/>
  <c r="K25" i="6"/>
  <c r="J25" i="6"/>
  <c r="I25" i="6"/>
  <c r="H25" i="6"/>
  <c r="G25" i="6"/>
  <c r="B21" i="6"/>
  <c r="B25" i="6"/>
  <c r="N13" i="6"/>
  <c r="N24" i="6"/>
  <c r="M13" i="6"/>
  <c r="M24" i="6"/>
  <c r="L13" i="6"/>
  <c r="L24" i="6"/>
  <c r="K13" i="6"/>
  <c r="K24" i="6"/>
  <c r="J13" i="6"/>
  <c r="J24" i="6"/>
  <c r="I13" i="6"/>
  <c r="I24" i="6"/>
  <c r="H13" i="6"/>
  <c r="H24" i="6"/>
  <c r="G13" i="6"/>
  <c r="G24" i="6"/>
  <c r="B13" i="6"/>
  <c r="B20" i="6"/>
  <c r="B24" i="6"/>
</calcChain>
</file>

<file path=xl/sharedStrings.xml><?xml version="1.0" encoding="utf-8"?>
<sst xmlns="http://schemas.openxmlformats.org/spreadsheetml/2006/main" count="14465" uniqueCount="318">
  <si>
    <t>Projected pax by Cabin 2025</t>
  </si>
  <si>
    <t>Flight</t>
  </si>
  <si>
    <t>Route</t>
  </si>
  <si>
    <t>DEP</t>
  </si>
  <si>
    <t>ARR</t>
  </si>
  <si>
    <t>Cabin</t>
  </si>
  <si>
    <t>Jan2025</t>
  </si>
  <si>
    <t>Feb2025</t>
  </si>
  <si>
    <t>Mar2025</t>
  </si>
  <si>
    <t>Apr2025</t>
  </si>
  <si>
    <t>May2025</t>
  </si>
  <si>
    <t>Jun2025</t>
  </si>
  <si>
    <t>Jul2025</t>
  </si>
  <si>
    <t>Aug2025</t>
  </si>
  <si>
    <t>Sep2025</t>
  </si>
  <si>
    <t>Oct2025</t>
  </si>
  <si>
    <t>Nov2025</t>
  </si>
  <si>
    <t>Dec2025</t>
  </si>
  <si>
    <t>V104 - ATL - LHR</t>
  </si>
  <si>
    <t>ATLLHR</t>
  </si>
  <si>
    <t>ATL</t>
  </si>
  <si>
    <t>LHR</t>
  </si>
  <si>
    <t>J</t>
  </si>
  <si>
    <t>V116 - ATL - LHR</t>
  </si>
  <si>
    <t>W</t>
  </si>
  <si>
    <t>Y</t>
  </si>
  <si>
    <t>V110 - ATL - MAN</t>
  </si>
  <si>
    <t>ATLMAN</t>
  </si>
  <si>
    <t>MAN</t>
  </si>
  <si>
    <t>V012 - BOS - LHR</t>
  </si>
  <si>
    <t>BOSLHR</t>
  </si>
  <si>
    <t>BOS</t>
  </si>
  <si>
    <t>V158 - BOS - LHR</t>
  </si>
  <si>
    <t>V022 - IAD - LHR</t>
  </si>
  <si>
    <t>IADLHR</t>
  </si>
  <si>
    <t>IAD</t>
  </si>
  <si>
    <t>V004 - JFK - LHR</t>
  </si>
  <si>
    <t>JFKLHR</t>
  </si>
  <si>
    <t>JFK</t>
  </si>
  <si>
    <t>V010 - JFK - LHR</t>
  </si>
  <si>
    <t>V026 - JFK - LHR</t>
  </si>
  <si>
    <t>V046 - JFK - LHR</t>
  </si>
  <si>
    <t>V048 - JFK - LHR</t>
  </si>
  <si>
    <t>V138 - JFK - LHR</t>
  </si>
  <si>
    <t>V154 - JFK - LHR</t>
  </si>
  <si>
    <t>V128 - JFK - MAN</t>
  </si>
  <si>
    <t>JFKMAN</t>
  </si>
  <si>
    <t>V156 - LAS - LHR</t>
  </si>
  <si>
    <t>LASLHR</t>
  </si>
  <si>
    <t>LAS</t>
  </si>
  <si>
    <t>V086 - LAS - MAN</t>
  </si>
  <si>
    <t>LASMAN</t>
  </si>
  <si>
    <t>V008 - LAX - LHR</t>
  </si>
  <si>
    <t>LAXLHR</t>
  </si>
  <si>
    <t>LAX</t>
  </si>
  <si>
    <t>V024 - LAX - LHR</t>
  </si>
  <si>
    <t>V142 - LAX - LHR</t>
  </si>
  <si>
    <t>V226 - MCO - EDI</t>
  </si>
  <si>
    <t>MCOEDI</t>
  </si>
  <si>
    <t>MCO</t>
  </si>
  <si>
    <t>EDI</t>
  </si>
  <si>
    <t>V092 - MCO - LHR</t>
  </si>
  <si>
    <t>MCOLHR</t>
  </si>
  <si>
    <t>V136 - MCO - LHR</t>
  </si>
  <si>
    <t>V074 - MCO - MAN</t>
  </si>
  <si>
    <t>MCOMAN</t>
  </si>
  <si>
    <t>V076 - MCO - MAN</t>
  </si>
  <si>
    <t>V006 - MIA - LHR</t>
  </si>
  <si>
    <t>MIALHR</t>
  </si>
  <si>
    <t>MIA</t>
  </si>
  <si>
    <t>V118 - MIA - LHR</t>
  </si>
  <si>
    <t>V106 - SEA - LHR</t>
  </si>
  <si>
    <t>SEALHR</t>
  </si>
  <si>
    <t>SEA</t>
  </si>
  <si>
    <t>V020 - SFO - LHR</t>
  </si>
  <si>
    <t>SFOLHR</t>
  </si>
  <si>
    <t>SFO</t>
  </si>
  <si>
    <t>V042 - SFO - LHR</t>
  </si>
  <si>
    <t>V130 - TPA - LHR</t>
  </si>
  <si>
    <t>TPALHR</t>
  </si>
  <si>
    <t>TPA</t>
  </si>
  <si>
    <t>Projected sectors by A/C type 2025</t>
  </si>
  <si>
    <t>A/C Type</t>
  </si>
  <si>
    <t>A333</t>
  </si>
  <si>
    <t>A339</t>
  </si>
  <si>
    <t>A351B</t>
  </si>
  <si>
    <t>A351A</t>
  </si>
  <si>
    <t>B789</t>
  </si>
  <si>
    <t>Projected load factors by Cabin 2025</t>
  </si>
  <si>
    <t>-</t>
  </si>
  <si>
    <t>VAA US departures S25 flying- all times in LOCAL. Confidential.</t>
  </si>
  <si>
    <t>Flt Nbr</t>
  </si>
  <si>
    <t>Eff Date</t>
  </si>
  <si>
    <t>Dis Date</t>
  </si>
  <si>
    <t>Freq</t>
  </si>
  <si>
    <t>Dep</t>
  </si>
  <si>
    <t>DepT</t>
  </si>
  <si>
    <t>Arr</t>
  </si>
  <si>
    <t>ArrT</t>
  </si>
  <si>
    <t>Blk Time</t>
  </si>
  <si>
    <t>Subfleet</t>
  </si>
  <si>
    <t>Svc Type</t>
  </si>
  <si>
    <t>351A</t>
  </si>
  <si>
    <t>.....6.</t>
  </si>
  <si>
    <t>333C</t>
  </si>
  <si>
    <t>789C</t>
  </si>
  <si>
    <t>.2.....</t>
  </si>
  <si>
    <t>339A</t>
  </si>
  <si>
    <t>351B</t>
  </si>
  <si>
    <t>.2..5.7</t>
  </si>
  <si>
    <t>1......</t>
  </si>
  <si>
    <t>...4.6.</t>
  </si>
  <si>
    <t>..3....</t>
  </si>
  <si>
    <t>..3...7</t>
  </si>
  <si>
    <t>......7</t>
  </si>
  <si>
    <t>1.3456.</t>
  </si>
  <si>
    <t>1.3.567</t>
  </si>
  <si>
    <t>.2.4...</t>
  </si>
  <si>
    <t>.2..5..</t>
  </si>
  <si>
    <t>12.456.</t>
  </si>
  <si>
    <t>12.....</t>
  </si>
  <si>
    <t>..34567</t>
  </si>
  <si>
    <t>CUBE:</t>
  </si>
  <si>
    <t>translation</t>
  </si>
  <si>
    <t>translated</t>
  </si>
  <si>
    <t>sob</t>
  </si>
  <si>
    <t>Total SOB</t>
  </si>
  <si>
    <t>lob</t>
  </si>
  <si>
    <t>VA</t>
  </si>
  <si>
    <t>currency</t>
  </si>
  <si>
    <t>flight</t>
  </si>
  <si>
    <t>Total VAAL</t>
  </si>
  <si>
    <t>rcentre</t>
  </si>
  <si>
    <t>versionreporting</t>
  </si>
  <si>
    <t>Outlook</t>
  </si>
  <si>
    <t>subnom2</t>
  </si>
  <si>
    <t>ALL</t>
  </si>
  <si>
    <t>Ye Dec2024</t>
  </si>
  <si>
    <t>Jan2024</t>
  </si>
  <si>
    <t>Feb2024</t>
  </si>
  <si>
    <t>Mar2024</t>
  </si>
  <si>
    <t>Apr2024</t>
  </si>
  <si>
    <t>May2024</t>
  </si>
  <si>
    <t>Jun2024</t>
  </si>
  <si>
    <t>Jul2024</t>
  </si>
  <si>
    <t>Aug2024</t>
  </si>
  <si>
    <t>Sep2024</t>
  </si>
  <si>
    <t>Oct2024</t>
  </si>
  <si>
    <t>Nov2024</t>
  </si>
  <si>
    <t>Dec2024</t>
  </si>
  <si>
    <t>9001 - Sectors</t>
  </si>
  <si>
    <t>TPAX</t>
  </si>
  <si>
    <t>9007 - ASKs</t>
  </si>
  <si>
    <t>9008 - RPKs</t>
  </si>
  <si>
    <t>Load Factor</t>
  </si>
  <si>
    <t>Sectors</t>
  </si>
  <si>
    <t>Pax</t>
  </si>
  <si>
    <t>SubNom2</t>
  </si>
  <si>
    <t>V003 - LHR - JFK</t>
  </si>
  <si>
    <t>LHRJFK</t>
  </si>
  <si>
    <t>V005 - LHR - MIA</t>
  </si>
  <si>
    <t>LHRMIA</t>
  </si>
  <si>
    <t>V007 - LHR - LAX</t>
  </si>
  <si>
    <t>LHRLAX</t>
  </si>
  <si>
    <t>V009 - LHR - JFK</t>
  </si>
  <si>
    <t>V011 - LHR - BOS</t>
  </si>
  <si>
    <t>LHRBOS</t>
  </si>
  <si>
    <t>V019 - LHR - SFO</t>
  </si>
  <si>
    <t>LHRSFO</t>
  </si>
  <si>
    <t>V021 - LHR - IAD</t>
  </si>
  <si>
    <t>LHRIAD</t>
  </si>
  <si>
    <t>V023 - LHR - LAX</t>
  </si>
  <si>
    <t>V025 - LHR - JFK</t>
  </si>
  <si>
    <t>V041 - LHR - SFO</t>
  </si>
  <si>
    <t>V045 - LHR - JFK</t>
  </si>
  <si>
    <t>V047 - LHR - JFK</t>
  </si>
  <si>
    <t>V073 - MAN - MCO</t>
  </si>
  <si>
    <t>MANMCO</t>
  </si>
  <si>
    <t>V075 - MAN - MCO</t>
  </si>
  <si>
    <t>V077 - MAN - BGI</t>
  </si>
  <si>
    <t>MANBGI</t>
  </si>
  <si>
    <t>BGI</t>
  </si>
  <si>
    <t>V078 - BGI - MAN</t>
  </si>
  <si>
    <t>BGIMAN</t>
  </si>
  <si>
    <t>V085 - MAN - LAS</t>
  </si>
  <si>
    <t>MANLAS</t>
  </si>
  <si>
    <t>V091 - LHR - MCO</t>
  </si>
  <si>
    <t>LHRMCO</t>
  </si>
  <si>
    <t>V103 - LHR - ATL</t>
  </si>
  <si>
    <t>LHRATL</t>
  </si>
  <si>
    <t>V105 - LHR - SEA</t>
  </si>
  <si>
    <t>LHRSEA</t>
  </si>
  <si>
    <t>V107 - LHR - NAS - MBJ</t>
  </si>
  <si>
    <t>LHRMBJ</t>
  </si>
  <si>
    <t>MBJ</t>
  </si>
  <si>
    <t>V108 - MBJ - NAS - LHR</t>
  </si>
  <si>
    <t>MBJLHR</t>
  </si>
  <si>
    <t>V109 - MAN - ATL</t>
  </si>
  <si>
    <t>MANATL</t>
  </si>
  <si>
    <t>V115 - LHR - ATL</t>
  </si>
  <si>
    <t>V117 - LHR - MIA</t>
  </si>
  <si>
    <t>V127 - MAN - JFK</t>
  </si>
  <si>
    <t>MANJFK</t>
  </si>
  <si>
    <t>V129 - LHR - TPA</t>
  </si>
  <si>
    <t>LHRTPA</t>
  </si>
  <si>
    <t>V131 - LHR - BGI</t>
  </si>
  <si>
    <t>LHRBGI</t>
  </si>
  <si>
    <t>V132 - BGI - LHR</t>
  </si>
  <si>
    <t>BGILHR</t>
  </si>
  <si>
    <t>V133 - LHR - ANU</t>
  </si>
  <si>
    <t>LHRANU</t>
  </si>
  <si>
    <t>ANU</t>
  </si>
  <si>
    <t>V134 - ANU - LHR</t>
  </si>
  <si>
    <t>ANULHR</t>
  </si>
  <si>
    <t>V135 - LHR - MCO</t>
  </si>
  <si>
    <t>V137 - LHR - JFK</t>
  </si>
  <si>
    <t>V141 - LHR - LAX</t>
  </si>
  <si>
    <t>V153 - LHR - JFK</t>
  </si>
  <si>
    <t>V155 - LHR - LAS</t>
  </si>
  <si>
    <t>LHRLAS</t>
  </si>
  <si>
    <t>V157 - LHR - BOS</t>
  </si>
  <si>
    <t>V163 - LHR - PLS - MBJ</t>
  </si>
  <si>
    <t>V164 - MBJ - PLS - LHR</t>
  </si>
  <si>
    <t>V165 - LHR - MBJ</t>
  </si>
  <si>
    <t>V166 - MBJ - LHR</t>
  </si>
  <si>
    <t>V175 - LHR - BGI - UVF</t>
  </si>
  <si>
    <t>LHRUVF</t>
  </si>
  <si>
    <t>UVF</t>
  </si>
  <si>
    <t>V176 - UVF - BGI - LHR</t>
  </si>
  <si>
    <t>UVFLHR</t>
  </si>
  <si>
    <t>V185 - LHR - BGI - ANU</t>
  </si>
  <si>
    <t>V186 - ANU - BGI - LHR</t>
  </si>
  <si>
    <t>V187 - LHR - BGI - GND</t>
  </si>
  <si>
    <t>LHRGND</t>
  </si>
  <si>
    <t>GND</t>
  </si>
  <si>
    <t>V188 - GND - BGI - LHR</t>
  </si>
  <si>
    <t>GNDLHR</t>
  </si>
  <si>
    <t>V193 - LHR - GRU</t>
  </si>
  <si>
    <t>LHRGRU</t>
  </si>
  <si>
    <t>GRU</t>
  </si>
  <si>
    <t>V194 - GRU - LHR</t>
  </si>
  <si>
    <t>GRULHR</t>
  </si>
  <si>
    <t>V197 - LHR - BGI - SVD</t>
  </si>
  <si>
    <t>LHRSVD</t>
  </si>
  <si>
    <t>SVD</t>
  </si>
  <si>
    <t>V198 - SVD - BGI - LHR</t>
  </si>
  <si>
    <t>SVDLHR</t>
  </si>
  <si>
    <t>V208 - LHR - ICN</t>
  </si>
  <si>
    <t>LHRICN</t>
  </si>
  <si>
    <t>ICN</t>
  </si>
  <si>
    <t>V209 - ICN - LHR</t>
  </si>
  <si>
    <t>ICNLHR</t>
  </si>
  <si>
    <t>V221 - LHR - UVF</t>
  </si>
  <si>
    <t>V222 - UVF - LHR</t>
  </si>
  <si>
    <t>V225 - EDI - MCO</t>
  </si>
  <si>
    <t>EDIMCO</t>
  </si>
  <si>
    <t>V229 - LHR - BGI</t>
  </si>
  <si>
    <t>V230 - BGI - LHR</t>
  </si>
  <si>
    <t>V250 - LHR - PVG</t>
  </si>
  <si>
    <t>LHRPVG</t>
  </si>
  <si>
    <t>PVG</t>
  </si>
  <si>
    <t>V251 - PVG - LHR</t>
  </si>
  <si>
    <t>PVGLHR</t>
  </si>
  <si>
    <t>V300 - LHR - DEL</t>
  </si>
  <si>
    <t>LHRDEL</t>
  </si>
  <si>
    <t>DEL</t>
  </si>
  <si>
    <t>V301 - DEL - LHR</t>
  </si>
  <si>
    <t>DELLHR</t>
  </si>
  <si>
    <t>V302 - LHR - DEL</t>
  </si>
  <si>
    <t>V303 - DEL - LHR</t>
  </si>
  <si>
    <t>V316 - LHR - BLR</t>
  </si>
  <si>
    <t>LHRBLR</t>
  </si>
  <si>
    <t>BLR</t>
  </si>
  <si>
    <t>V317 - BLR - LHR</t>
  </si>
  <si>
    <t>BLRLHR</t>
  </si>
  <si>
    <t>V354 - LHR - BOM</t>
  </si>
  <si>
    <t>LHRBOM</t>
  </si>
  <si>
    <t>BOM</t>
  </si>
  <si>
    <t>V355 - BOM - LHR</t>
  </si>
  <si>
    <t>BOMLHR</t>
  </si>
  <si>
    <t>V358 - LHR - BOM</t>
  </si>
  <si>
    <t>V359 - BOM - LHR</t>
  </si>
  <si>
    <t>V384 - LHR - MLE</t>
  </si>
  <si>
    <t>LHRMLE</t>
  </si>
  <si>
    <t>MLE</t>
  </si>
  <si>
    <t>V385 - MLE - LHR</t>
  </si>
  <si>
    <t>MLELHR</t>
  </si>
  <si>
    <t>V400 - LHR - DXB</t>
  </si>
  <si>
    <t>LHRDXB</t>
  </si>
  <si>
    <t>DXB</t>
  </si>
  <si>
    <t>V401 - DXB - LHR</t>
  </si>
  <si>
    <t>DXBLHR</t>
  </si>
  <si>
    <t>V411 - LHR - LOS</t>
  </si>
  <si>
    <t>LHRLOS</t>
  </si>
  <si>
    <t>LOS</t>
  </si>
  <si>
    <t>V412 - LOS - LHR</t>
  </si>
  <si>
    <t>LOSLHR</t>
  </si>
  <si>
    <t>V449 - LHR - JNB</t>
  </si>
  <si>
    <t>LHRJNB</t>
  </si>
  <si>
    <t>JNB</t>
  </si>
  <si>
    <t>V450 - JNB - LHR</t>
  </si>
  <si>
    <t>JNBLHR</t>
  </si>
  <si>
    <t>V453 - LHR - TLV</t>
  </si>
  <si>
    <t>LHRTLV</t>
  </si>
  <si>
    <t>TLV</t>
  </si>
  <si>
    <t>V454 - TLV - LHR</t>
  </si>
  <si>
    <t>TLVLHR</t>
  </si>
  <si>
    <t>V478 - LHR - CPT</t>
  </si>
  <si>
    <t>LHRCPT</t>
  </si>
  <si>
    <t>CPT</t>
  </si>
  <si>
    <t>V479 - CPT - LHR</t>
  </si>
  <si>
    <t>CPTLHR</t>
  </si>
  <si>
    <t>A330C</t>
  </si>
  <si>
    <t>A339J</t>
  </si>
  <si>
    <t>A339M</t>
  </si>
  <si>
    <t>A351L</t>
  </si>
  <si>
    <t>A351M</t>
  </si>
  <si>
    <t>B787GEN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</si>
</sst>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entury Gothic"/>
      <family val="2"/>
    </font>
    <font>
      <sz val="11"/>
      <color theme="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indexed="65"/>
        <bgColor indexed="1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3" borderId="1" applyNumberFormat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64" fontId="2" fillId="0" borderId="0" xfId="1" applyNumberFormat="1" applyFont="1"/>
    <xf numFmtId="0" fontId="5" fillId="0" borderId="0" xfId="0" applyFont="1"/>
    <xf numFmtId="164" fontId="2" fillId="5" borderId="0" xfId="1" applyNumberFormat="1" applyFont="1" applyFill="1"/>
    <xf numFmtId="0" fontId="2" fillId="4" borderId="0" xfId="0" applyFont="1" applyFill="1"/>
    <xf numFmtId="164" fontId="6" fillId="3" borderId="1" xfId="2" applyNumberFormat="1" applyFont="1"/>
    <xf numFmtId="164" fontId="6" fillId="5" borderId="1" xfId="2" applyNumberFormat="1" applyFont="1" applyFill="1"/>
    <xf numFmtId="9" fontId="2" fillId="0" borderId="0" xfId="3" applyFont="1"/>
    <xf numFmtId="0" fontId="8" fillId="0" borderId="0" xfId="0" applyFo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9" fontId="2" fillId="0" borderId="0" xfId="0" applyNumberFormat="1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4">
    <cellStyle name="Check Cell" xfId="2" builtinId="23"/>
    <cellStyle name="Comma" xfId="1" builtinId="3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E60D-DD79-4CC2-AC5F-2AB21837D715}">
  <dimension ref="A1:Q92"/>
  <sheetViews>
    <sheetView workbookViewId="0">
      <pane ySplit="2" topLeftCell="A7" activePane="bottomLeft" state="frozen"/>
      <selection pane="bottomLeft" activeCell="F7" sqref="F7"/>
      <selection activeCell="G22" sqref="G22"/>
    </sheetView>
  </sheetViews>
  <sheetFormatPr defaultRowHeight="16.5"/>
  <cols>
    <col min="1" max="1" width="25.85546875" style="1" bestFit="1" customWidth="1"/>
    <col min="2" max="4" width="25.85546875" style="1" customWidth="1"/>
    <col min="5" max="5" width="17.7109375" style="1" customWidth="1"/>
    <col min="6" max="6" width="9.28515625" style="1" bestFit="1" customWidth="1"/>
    <col min="7" max="7" width="9.42578125" style="1" bestFit="1" customWidth="1"/>
    <col min="8" max="8" width="9.85546875" style="1" bestFit="1" customWidth="1"/>
    <col min="9" max="9" width="9.28515625" style="1" bestFit="1" customWidth="1"/>
    <col min="10" max="10" width="10.28515625" style="1" bestFit="1" customWidth="1"/>
    <col min="11" max="11" width="9.140625" style="1"/>
    <col min="12" max="12" width="8.28515625" style="1" bestFit="1" customWidth="1"/>
    <col min="13" max="13" width="9.85546875" style="1" bestFit="1" customWidth="1"/>
    <col min="14" max="14" width="9.42578125" style="1" bestFit="1" customWidth="1"/>
    <col min="15" max="15" width="9.5703125" style="1" bestFit="1" customWidth="1"/>
    <col min="16" max="17" width="10" style="1" bestFit="1" customWidth="1"/>
    <col min="18" max="16384" width="9.140625" style="1"/>
  </cols>
  <sheetData>
    <row r="1" spans="1:17">
      <c r="A1" s="21" t="s">
        <v>0</v>
      </c>
      <c r="B1" s="21"/>
      <c r="C1" s="21"/>
      <c r="D1" s="21"/>
    </row>
    <row r="2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4">
        <v>832.7875355855042</v>
      </c>
      <c r="G3" s="4">
        <v>737.19231763822199</v>
      </c>
      <c r="H3" s="4">
        <v>937.39783354270855</v>
      </c>
      <c r="I3" s="4">
        <v>945.1773270270877</v>
      </c>
      <c r="J3" s="4">
        <v>1000.249364152458</v>
      </c>
      <c r="K3" s="4">
        <v>960.20952353926918</v>
      </c>
      <c r="L3" s="4">
        <v>1006.2551701688504</v>
      </c>
      <c r="M3" s="4">
        <v>919.08634270139953</v>
      </c>
      <c r="N3" s="4">
        <v>908.33342378235238</v>
      </c>
      <c r="O3" s="4">
        <v>923.97750437639456</v>
      </c>
      <c r="P3" s="4">
        <v>974.03729838231607</v>
      </c>
      <c r="Q3" s="4">
        <v>977.92372691286937</v>
      </c>
    </row>
    <row r="4" spans="1:17">
      <c r="A4" s="5" t="s">
        <v>23</v>
      </c>
      <c r="B4" s="5" t="s">
        <v>19</v>
      </c>
      <c r="C4" s="5" t="s">
        <v>20</v>
      </c>
      <c r="D4" s="5" t="s">
        <v>21</v>
      </c>
      <c r="E4" s="5" t="s">
        <v>22</v>
      </c>
      <c r="F4" s="4">
        <v>0</v>
      </c>
      <c r="G4" s="4">
        <v>0</v>
      </c>
      <c r="H4" s="4">
        <v>60.477279583400566</v>
      </c>
      <c r="I4" s="4">
        <v>945.1773270270877</v>
      </c>
      <c r="J4" s="4">
        <v>1000.249364152458</v>
      </c>
      <c r="K4" s="4">
        <v>960.20952353926918</v>
      </c>
      <c r="L4" s="4">
        <v>1006.2551701688504</v>
      </c>
      <c r="M4" s="4">
        <v>919.08634270139953</v>
      </c>
      <c r="N4" s="4">
        <v>908.33342378235238</v>
      </c>
      <c r="O4" s="4">
        <v>745.14314869064083</v>
      </c>
      <c r="P4" s="4">
        <v>0</v>
      </c>
      <c r="Q4" s="4">
        <v>0</v>
      </c>
    </row>
    <row r="5" spans="1:17">
      <c r="A5" s="5" t="s">
        <v>18</v>
      </c>
      <c r="B5" s="5" t="s">
        <v>19</v>
      </c>
      <c r="C5" s="5" t="s">
        <v>20</v>
      </c>
      <c r="D5" s="5" t="s">
        <v>21</v>
      </c>
      <c r="E5" s="5" t="s">
        <v>24</v>
      </c>
      <c r="F5" s="4">
        <v>1140.0171734106957</v>
      </c>
      <c r="G5" s="4">
        <v>983.77844584647119</v>
      </c>
      <c r="H5" s="4">
        <v>1301.4716993897982</v>
      </c>
      <c r="I5" s="4">
        <v>1275.3855667090993</v>
      </c>
      <c r="J5" s="4">
        <v>1353.676451611748</v>
      </c>
      <c r="K5" s="4">
        <v>1341.2869426500956</v>
      </c>
      <c r="L5" s="4">
        <v>1318.6175439533122</v>
      </c>
      <c r="M5" s="4">
        <v>1216.4811543928029</v>
      </c>
      <c r="N5" s="4">
        <v>1268.355385987938</v>
      </c>
      <c r="O5" s="4">
        <v>1202.1892848189993</v>
      </c>
      <c r="P5" s="4">
        <v>1231.5940359466258</v>
      </c>
      <c r="Q5" s="4">
        <v>1327.2829096658825</v>
      </c>
    </row>
    <row r="6" spans="1:17">
      <c r="A6" s="5" t="s">
        <v>23</v>
      </c>
      <c r="B6" s="5" t="s">
        <v>19</v>
      </c>
      <c r="C6" s="5" t="s">
        <v>20</v>
      </c>
      <c r="D6" s="5" t="s">
        <v>21</v>
      </c>
      <c r="E6" s="5" t="s">
        <v>24</v>
      </c>
      <c r="F6" s="4">
        <v>0</v>
      </c>
      <c r="G6" s="4">
        <v>0</v>
      </c>
      <c r="H6" s="4">
        <v>83.965916089664404</v>
      </c>
      <c r="I6" s="4">
        <v>1275.3855667090993</v>
      </c>
      <c r="J6" s="4">
        <v>1353.676451611748</v>
      </c>
      <c r="K6" s="4">
        <v>1341.2869426500956</v>
      </c>
      <c r="L6" s="4">
        <v>1318.6175439533122</v>
      </c>
      <c r="M6" s="4">
        <v>1216.4811543928029</v>
      </c>
      <c r="N6" s="4">
        <v>1268.355385987938</v>
      </c>
      <c r="O6" s="4">
        <v>969.50748775725788</v>
      </c>
      <c r="P6" s="4">
        <v>0</v>
      </c>
      <c r="Q6" s="4">
        <v>0</v>
      </c>
    </row>
    <row r="7" spans="1:17">
      <c r="A7" s="5" t="s">
        <v>18</v>
      </c>
      <c r="B7" s="5" t="s">
        <v>19</v>
      </c>
      <c r="C7" s="5" t="s">
        <v>20</v>
      </c>
      <c r="D7" s="5" t="s">
        <v>21</v>
      </c>
      <c r="E7" s="5" t="s">
        <v>25</v>
      </c>
      <c r="F7" s="4">
        <v>3345.1600746613226</v>
      </c>
      <c r="G7" s="4">
        <v>2264.4854041982758</v>
      </c>
      <c r="H7" s="4">
        <v>4224.9048060073355</v>
      </c>
      <c r="I7" s="4">
        <v>3944.1261224088621</v>
      </c>
      <c r="J7" s="4">
        <v>4771.1530565178646</v>
      </c>
      <c r="K7" s="4">
        <v>5174.8821439477915</v>
      </c>
      <c r="L7" s="4">
        <v>5052.953265436201</v>
      </c>
      <c r="M7" s="4">
        <v>4231.9331926306404</v>
      </c>
      <c r="N7" s="4">
        <v>3966.6075719601376</v>
      </c>
      <c r="O7" s="4">
        <v>3706.4534300447413</v>
      </c>
      <c r="P7" s="4">
        <v>3803.5249767122805</v>
      </c>
      <c r="Q7" s="4">
        <v>4817.0926315563083</v>
      </c>
    </row>
    <row r="8" spans="1:17">
      <c r="A8" s="5" t="s">
        <v>23</v>
      </c>
      <c r="B8" s="5" t="s">
        <v>19</v>
      </c>
      <c r="C8" s="5" t="s">
        <v>20</v>
      </c>
      <c r="D8" s="5" t="s">
        <v>21</v>
      </c>
      <c r="E8" s="5" t="s">
        <v>25</v>
      </c>
      <c r="F8" s="4">
        <v>0</v>
      </c>
      <c r="G8" s="4">
        <v>0</v>
      </c>
      <c r="H8" s="4">
        <v>272.57450361337646</v>
      </c>
      <c r="I8" s="4">
        <v>3944.1261224088621</v>
      </c>
      <c r="J8" s="4">
        <v>4771.1530565178646</v>
      </c>
      <c r="K8" s="4">
        <v>5174.8821439477915</v>
      </c>
      <c r="L8" s="4">
        <v>5052.953265436201</v>
      </c>
      <c r="M8" s="4">
        <v>4231.9331926306404</v>
      </c>
      <c r="N8" s="4">
        <v>3966.6075719601376</v>
      </c>
      <c r="O8" s="4">
        <v>2989.0753468102748</v>
      </c>
      <c r="P8" s="4">
        <v>0</v>
      </c>
      <c r="Q8" s="4">
        <v>0</v>
      </c>
    </row>
    <row r="9" spans="1:17">
      <c r="A9" s="5" t="s">
        <v>26</v>
      </c>
      <c r="B9" s="5" t="s">
        <v>27</v>
      </c>
      <c r="C9" s="5" t="s">
        <v>20</v>
      </c>
      <c r="D9" s="5" t="s">
        <v>28</v>
      </c>
      <c r="E9" s="5" t="s">
        <v>22</v>
      </c>
      <c r="F9" s="4">
        <v>473.87706762983288</v>
      </c>
      <c r="G9" s="4">
        <v>420.81938585982743</v>
      </c>
      <c r="H9" s="4">
        <v>629.62447480634614</v>
      </c>
      <c r="I9" s="4">
        <v>952.94063084897266</v>
      </c>
      <c r="J9" s="4">
        <v>765.71584953365243</v>
      </c>
      <c r="K9" s="4">
        <v>893.33133789467774</v>
      </c>
      <c r="L9" s="4">
        <v>943.67568788743665</v>
      </c>
      <c r="M9" s="4">
        <v>843.39065056463403</v>
      </c>
      <c r="N9" s="4">
        <v>875.91770647052385</v>
      </c>
      <c r="O9" s="4">
        <v>897.92986351138723</v>
      </c>
      <c r="P9" s="4">
        <v>592.35596579033029</v>
      </c>
      <c r="Q9" s="4">
        <v>546.90006224274441</v>
      </c>
    </row>
    <row r="10" spans="1:17">
      <c r="A10" s="5" t="s">
        <v>26</v>
      </c>
      <c r="B10" s="5" t="s">
        <v>27</v>
      </c>
      <c r="C10" s="5" t="s">
        <v>20</v>
      </c>
      <c r="D10" s="5" t="s">
        <v>28</v>
      </c>
      <c r="E10" s="5" t="s">
        <v>24</v>
      </c>
      <c r="F10" s="4">
        <v>845.30884342619231</v>
      </c>
      <c r="G10" s="4">
        <v>717.5781622168887</v>
      </c>
      <c r="H10" s="4">
        <v>974.42529339268754</v>
      </c>
      <c r="I10" s="4">
        <v>1318.125445301393</v>
      </c>
      <c r="J10" s="4">
        <v>1332.9547392742234</v>
      </c>
      <c r="K10" s="4">
        <v>1334.7269915420577</v>
      </c>
      <c r="L10" s="4">
        <v>1381.5160505678928</v>
      </c>
      <c r="M10" s="4">
        <v>1338.4031435052636</v>
      </c>
      <c r="N10" s="4">
        <v>1318.9757269800859</v>
      </c>
      <c r="O10" s="4">
        <v>1278.4899085983679</v>
      </c>
      <c r="P10" s="4">
        <v>879.195647166252</v>
      </c>
      <c r="Q10" s="4">
        <v>875.82245168736949</v>
      </c>
    </row>
    <row r="11" spans="1:17">
      <c r="A11" s="5" t="s">
        <v>26</v>
      </c>
      <c r="B11" s="5" t="s">
        <v>27</v>
      </c>
      <c r="C11" s="5" t="s">
        <v>20</v>
      </c>
      <c r="D11" s="5" t="s">
        <v>28</v>
      </c>
      <c r="E11" s="5" t="s">
        <v>25</v>
      </c>
      <c r="F11" s="4">
        <v>2904.7619868546235</v>
      </c>
      <c r="G11" s="4">
        <v>2198.2483881371704</v>
      </c>
      <c r="H11" s="4">
        <v>3299.957724581071</v>
      </c>
      <c r="I11" s="4">
        <v>5526.8870287721611</v>
      </c>
      <c r="J11" s="4">
        <v>5261.0185943692213</v>
      </c>
      <c r="K11" s="4">
        <v>5342.9920186716572</v>
      </c>
      <c r="L11" s="4">
        <v>5532.8046405575706</v>
      </c>
      <c r="M11" s="4">
        <v>5171.7675872130721</v>
      </c>
      <c r="N11" s="4">
        <v>4949.937389752643</v>
      </c>
      <c r="O11" s="4">
        <v>4719.0521904956695</v>
      </c>
      <c r="P11" s="4">
        <v>3238.2669411855313</v>
      </c>
      <c r="Q11" s="4">
        <v>3279.6984971454217</v>
      </c>
    </row>
    <row r="12" spans="1:17">
      <c r="A12" s="5" t="s">
        <v>29</v>
      </c>
      <c r="B12" s="5" t="s">
        <v>30</v>
      </c>
      <c r="C12" s="5" t="s">
        <v>31</v>
      </c>
      <c r="D12" s="5" t="s">
        <v>21</v>
      </c>
      <c r="E12" s="5" t="s">
        <v>22</v>
      </c>
      <c r="F12" s="4">
        <v>793.65398368747708</v>
      </c>
      <c r="G12" s="4">
        <v>669.2483578400047</v>
      </c>
      <c r="H12" s="4">
        <v>884.44262147848406</v>
      </c>
      <c r="I12" s="4">
        <v>826.6792667151916</v>
      </c>
      <c r="J12" s="4">
        <v>992.48942054355655</v>
      </c>
      <c r="K12" s="4">
        <v>981.07535121925594</v>
      </c>
      <c r="L12" s="4">
        <v>991.7069464217941</v>
      </c>
      <c r="M12" s="4">
        <v>854.79911763713096</v>
      </c>
      <c r="N12" s="4">
        <v>948.24481427982187</v>
      </c>
      <c r="O12" s="4">
        <v>1003.4639570816394</v>
      </c>
      <c r="P12" s="4">
        <v>929.09350527152822</v>
      </c>
      <c r="Q12" s="4">
        <v>864.61354736912074</v>
      </c>
    </row>
    <row r="13" spans="1:17">
      <c r="A13" s="5" t="s">
        <v>32</v>
      </c>
      <c r="B13" s="5" t="s">
        <v>30</v>
      </c>
      <c r="C13" s="5" t="s">
        <v>31</v>
      </c>
      <c r="D13" s="5" t="s">
        <v>21</v>
      </c>
      <c r="E13" s="5" t="s">
        <v>22</v>
      </c>
      <c r="F13" s="4">
        <v>0</v>
      </c>
      <c r="G13" s="4">
        <v>0</v>
      </c>
      <c r="H13" s="4">
        <v>56.857025666473966</v>
      </c>
      <c r="I13" s="4">
        <v>825.81090614091102</v>
      </c>
      <c r="J13" s="4">
        <v>994.51078392551892</v>
      </c>
      <c r="K13" s="4">
        <v>980.04480988394175</v>
      </c>
      <c r="L13" s="4">
        <v>991.7069464217941</v>
      </c>
      <c r="M13" s="4">
        <v>854.79911763713096</v>
      </c>
      <c r="N13" s="4">
        <v>948.24481427982187</v>
      </c>
      <c r="O13" s="4">
        <v>804.67446927199944</v>
      </c>
      <c r="P13" s="4">
        <v>0</v>
      </c>
      <c r="Q13" s="4">
        <v>0</v>
      </c>
    </row>
    <row r="14" spans="1:17">
      <c r="A14" s="5" t="s">
        <v>29</v>
      </c>
      <c r="B14" s="5" t="s">
        <v>30</v>
      </c>
      <c r="C14" s="5" t="s">
        <v>31</v>
      </c>
      <c r="D14" s="5" t="s">
        <v>21</v>
      </c>
      <c r="E14" s="5" t="s">
        <v>24</v>
      </c>
      <c r="F14" s="4">
        <v>894.37184992428558</v>
      </c>
      <c r="G14" s="4">
        <v>671.83659758249564</v>
      </c>
      <c r="H14" s="4">
        <v>1060.9672050633171</v>
      </c>
      <c r="I14" s="4">
        <v>951.27722757351353</v>
      </c>
      <c r="J14" s="4">
        <v>1185.9524083579352</v>
      </c>
      <c r="K14" s="4">
        <v>1088.8914160517973</v>
      </c>
      <c r="L14" s="4">
        <v>1198.1298033534085</v>
      </c>
      <c r="M14" s="4">
        <v>1357.1779763715986</v>
      </c>
      <c r="N14" s="4">
        <v>1194.6960929535317</v>
      </c>
      <c r="O14" s="4">
        <v>1337.3515910571516</v>
      </c>
      <c r="P14" s="4">
        <v>1198.4426003426956</v>
      </c>
      <c r="Q14" s="4">
        <v>1283.9470361214399</v>
      </c>
    </row>
    <row r="15" spans="1:17">
      <c r="A15" s="5" t="s">
        <v>32</v>
      </c>
      <c r="B15" s="5" t="s">
        <v>30</v>
      </c>
      <c r="C15" s="5" t="s">
        <v>31</v>
      </c>
      <c r="D15" s="5" t="s">
        <v>21</v>
      </c>
      <c r="E15" s="5" t="s">
        <v>24</v>
      </c>
      <c r="F15" s="4">
        <v>0</v>
      </c>
      <c r="G15" s="4">
        <v>0</v>
      </c>
      <c r="H15" s="4">
        <v>68.779942948932316</v>
      </c>
      <c r="I15" s="4">
        <v>952.6400889310687</v>
      </c>
      <c r="J15" s="4">
        <v>1182.6717654579131</v>
      </c>
      <c r="K15" s="4">
        <v>1090.4514324071724</v>
      </c>
      <c r="L15" s="4">
        <v>1198.1298033534085</v>
      </c>
      <c r="M15" s="4">
        <v>1357.1779763715986</v>
      </c>
      <c r="N15" s="4">
        <v>1194.6960929535317</v>
      </c>
      <c r="O15" s="4">
        <v>1066.4472744664017</v>
      </c>
      <c r="P15" s="4">
        <v>0</v>
      </c>
      <c r="Q15" s="4">
        <v>0</v>
      </c>
    </row>
    <row r="16" spans="1:17">
      <c r="A16" s="5" t="s">
        <v>29</v>
      </c>
      <c r="B16" s="5" t="s">
        <v>30</v>
      </c>
      <c r="C16" s="5" t="s">
        <v>31</v>
      </c>
      <c r="D16" s="5" t="s">
        <v>21</v>
      </c>
      <c r="E16" s="5" t="s">
        <v>25</v>
      </c>
      <c r="F16" s="4">
        <v>3128.9161840629058</v>
      </c>
      <c r="G16" s="4">
        <v>2235.0883678038622</v>
      </c>
      <c r="H16" s="4">
        <v>3670.3769369333286</v>
      </c>
      <c r="I16" s="4">
        <v>4380.9096105107383</v>
      </c>
      <c r="J16" s="4">
        <v>5017.2975224768306</v>
      </c>
      <c r="K16" s="4">
        <v>5006.4584918669689</v>
      </c>
      <c r="L16" s="4">
        <v>5531.6695619776938</v>
      </c>
      <c r="M16" s="4">
        <v>5502.3485451621655</v>
      </c>
      <c r="N16" s="4">
        <v>4373.3778007250485</v>
      </c>
      <c r="O16" s="4">
        <v>4007.7350919733217</v>
      </c>
      <c r="P16" s="4">
        <v>3835.3214313814397</v>
      </c>
      <c r="Q16" s="4">
        <v>4653.0729274266887</v>
      </c>
    </row>
    <row r="17" spans="1:17">
      <c r="A17" s="5" t="s">
        <v>32</v>
      </c>
      <c r="B17" s="5" t="s">
        <v>30</v>
      </c>
      <c r="C17" s="5" t="s">
        <v>31</v>
      </c>
      <c r="D17" s="5" t="s">
        <v>21</v>
      </c>
      <c r="E17" s="5" t="s">
        <v>25</v>
      </c>
      <c r="F17" s="4">
        <v>0</v>
      </c>
      <c r="G17" s="4">
        <v>0</v>
      </c>
      <c r="H17" s="4">
        <v>236.94350765017464</v>
      </c>
      <c r="I17" s="4">
        <v>4381.7021050133635</v>
      </c>
      <c r="J17" s="4">
        <v>5015.5413805368653</v>
      </c>
      <c r="K17" s="4">
        <v>5007.364146442198</v>
      </c>
      <c r="L17" s="4">
        <v>5531.6695619776938</v>
      </c>
      <c r="M17" s="4">
        <v>5502.3485451621655</v>
      </c>
      <c r="N17" s="4">
        <v>4373.3778007250485</v>
      </c>
      <c r="O17" s="4">
        <v>3204.8838025308269</v>
      </c>
      <c r="P17" s="4">
        <v>0</v>
      </c>
      <c r="Q17" s="4">
        <v>0</v>
      </c>
    </row>
    <row r="18" spans="1:17">
      <c r="A18" s="5" t="s">
        <v>33</v>
      </c>
      <c r="B18" s="5" t="s">
        <v>34</v>
      </c>
      <c r="C18" s="5" t="s">
        <v>35</v>
      </c>
      <c r="D18" s="5" t="s">
        <v>21</v>
      </c>
      <c r="E18" s="5" t="s">
        <v>22</v>
      </c>
      <c r="F18" s="4">
        <v>459.58518440584191</v>
      </c>
      <c r="G18" s="4">
        <v>427.71204621895754</v>
      </c>
      <c r="H18" s="4">
        <v>722.70886950648378</v>
      </c>
      <c r="I18" s="4">
        <v>1170.3951623935666</v>
      </c>
      <c r="J18" s="4">
        <v>1378.2802101683139</v>
      </c>
      <c r="K18" s="4">
        <v>1324.0762587428887</v>
      </c>
      <c r="L18" s="4">
        <v>1295.3708317089056</v>
      </c>
      <c r="M18" s="4">
        <v>1173.6477948270203</v>
      </c>
      <c r="N18" s="4">
        <v>1159.746428613071</v>
      </c>
      <c r="O18" s="4">
        <v>1121.8877434501655</v>
      </c>
      <c r="P18" s="4">
        <v>770.67289579595513</v>
      </c>
      <c r="Q18" s="4">
        <v>755.59458248959868</v>
      </c>
    </row>
    <row r="19" spans="1:17">
      <c r="A19" s="5" t="s">
        <v>33</v>
      </c>
      <c r="B19" s="5" t="s">
        <v>34</v>
      </c>
      <c r="C19" s="5" t="s">
        <v>35</v>
      </c>
      <c r="D19" s="5" t="s">
        <v>21</v>
      </c>
      <c r="E19" s="5" t="s">
        <v>24</v>
      </c>
      <c r="F19" s="4">
        <v>908.54469357491132</v>
      </c>
      <c r="G19" s="4">
        <v>750.31160226922009</v>
      </c>
      <c r="H19" s="4">
        <v>1216.514952752754</v>
      </c>
      <c r="I19" s="4">
        <v>1617.6887033988999</v>
      </c>
      <c r="J19" s="4">
        <v>1586.2623830607315</v>
      </c>
      <c r="K19" s="4">
        <v>1591.4224925533633</v>
      </c>
      <c r="L19" s="4">
        <v>1640.8055437132582</v>
      </c>
      <c r="M19" s="4">
        <v>1443.9038581459729</v>
      </c>
      <c r="N19" s="4">
        <v>1380.808926255871</v>
      </c>
      <c r="O19" s="4">
        <v>1332.6558563666265</v>
      </c>
      <c r="P19" s="4">
        <v>1164.3689919595054</v>
      </c>
      <c r="Q19" s="4">
        <v>1188.8213673118639</v>
      </c>
    </row>
    <row r="20" spans="1:17">
      <c r="A20" s="5" t="s">
        <v>33</v>
      </c>
      <c r="B20" s="5" t="s">
        <v>34</v>
      </c>
      <c r="C20" s="5" t="s">
        <v>35</v>
      </c>
      <c r="D20" s="5" t="s">
        <v>21</v>
      </c>
      <c r="E20" s="5" t="s">
        <v>25</v>
      </c>
      <c r="F20" s="4">
        <v>2819.9777013274334</v>
      </c>
      <c r="G20" s="4">
        <v>2071.8452542040391</v>
      </c>
      <c r="H20" s="4">
        <v>3887.1647263714781</v>
      </c>
      <c r="I20" s="4">
        <v>5537.164010131185</v>
      </c>
      <c r="J20" s="4">
        <v>6220.6299346641044</v>
      </c>
      <c r="K20" s="4">
        <v>6768.4677655067471</v>
      </c>
      <c r="L20" s="4">
        <v>7052.5334071365478</v>
      </c>
      <c r="M20" s="4">
        <v>6308.8750918901542</v>
      </c>
      <c r="N20" s="4">
        <v>4705.4841025918104</v>
      </c>
      <c r="O20" s="4">
        <v>4951.3544675883486</v>
      </c>
      <c r="P20" s="4">
        <v>3293.3532269886541</v>
      </c>
      <c r="Q20" s="4">
        <v>4832.3232146683113</v>
      </c>
    </row>
    <row r="21" spans="1:17">
      <c r="A21" s="5" t="s">
        <v>36</v>
      </c>
      <c r="B21" s="5" t="s">
        <v>37</v>
      </c>
      <c r="C21" s="5" t="s">
        <v>38</v>
      </c>
      <c r="D21" s="5" t="s">
        <v>21</v>
      </c>
      <c r="E21" s="5" t="s">
        <v>22</v>
      </c>
      <c r="F21" s="4">
        <v>958.07277893371838</v>
      </c>
      <c r="G21" s="4">
        <v>883.43973704550888</v>
      </c>
      <c r="H21" s="4">
        <v>1070.0792062135351</v>
      </c>
      <c r="I21" s="4">
        <v>1161.2721824194659</v>
      </c>
      <c r="J21" s="4">
        <v>1205.4751197327971</v>
      </c>
      <c r="K21" s="4">
        <v>1181.3955351600162</v>
      </c>
      <c r="L21" s="4">
        <v>1218.1619764227914</v>
      </c>
      <c r="M21" s="4">
        <v>1177.7722734583056</v>
      </c>
      <c r="N21" s="4">
        <v>1101.6524676751883</v>
      </c>
      <c r="O21" s="4">
        <v>1179.4331249164445</v>
      </c>
      <c r="P21" s="4">
        <v>1020.0193657795647</v>
      </c>
      <c r="Q21" s="4">
        <v>991.68579110016049</v>
      </c>
    </row>
    <row r="22" spans="1:17">
      <c r="A22" s="5" t="s">
        <v>39</v>
      </c>
      <c r="B22" s="5" t="s">
        <v>37</v>
      </c>
      <c r="C22" s="5" t="s">
        <v>38</v>
      </c>
      <c r="D22" s="5" t="s">
        <v>21</v>
      </c>
      <c r="E22" s="5" t="s">
        <v>22</v>
      </c>
      <c r="F22" s="4">
        <v>926.04551316229504</v>
      </c>
      <c r="G22" s="4">
        <v>853.36519280566188</v>
      </c>
      <c r="H22" s="4">
        <v>1033.8929528633187</v>
      </c>
      <c r="I22" s="4">
        <v>1083.7214716072069</v>
      </c>
      <c r="J22" s="4">
        <v>1153.194297192259</v>
      </c>
      <c r="K22" s="4">
        <v>1141.0854512831654</v>
      </c>
      <c r="L22" s="4">
        <v>1152.1231703615058</v>
      </c>
      <c r="M22" s="4">
        <v>1125.7539980472302</v>
      </c>
      <c r="N22" s="4">
        <v>1040.6085214143982</v>
      </c>
      <c r="O22" s="4">
        <v>1135.3046746644688</v>
      </c>
      <c r="P22" s="4">
        <v>971.25349968651778</v>
      </c>
      <c r="Q22" s="4">
        <v>930.17856169032223</v>
      </c>
    </row>
    <row r="23" spans="1:17">
      <c r="A23" s="5" t="s">
        <v>40</v>
      </c>
      <c r="B23" s="5" t="s">
        <v>37</v>
      </c>
      <c r="C23" s="5" t="s">
        <v>38</v>
      </c>
      <c r="D23" s="5" t="s">
        <v>21</v>
      </c>
      <c r="E23" s="5" t="s">
        <v>22</v>
      </c>
      <c r="F23" s="4">
        <v>879.37721160964975</v>
      </c>
      <c r="G23" s="4">
        <v>815.77201250585301</v>
      </c>
      <c r="H23" s="4">
        <v>993.57112770164929</v>
      </c>
      <c r="I23" s="4">
        <v>924.64309045385539</v>
      </c>
      <c r="J23" s="4">
        <v>966.18981656648714</v>
      </c>
      <c r="K23" s="4">
        <v>961.24046167875326</v>
      </c>
      <c r="L23" s="4">
        <v>976.35834807531489</v>
      </c>
      <c r="M23" s="4">
        <v>943.19929566119288</v>
      </c>
      <c r="N23" s="4">
        <v>887.04484410209943</v>
      </c>
      <c r="O23" s="4">
        <v>963.80547027610817</v>
      </c>
      <c r="P23" s="4">
        <v>944.83865555278408</v>
      </c>
      <c r="Q23" s="4">
        <v>909.36073019776165</v>
      </c>
    </row>
    <row r="24" spans="1:17">
      <c r="A24" s="5" t="s">
        <v>41</v>
      </c>
      <c r="B24" s="5" t="s">
        <v>37</v>
      </c>
      <c r="C24" s="5" t="s">
        <v>38</v>
      </c>
      <c r="D24" s="5" t="s">
        <v>21</v>
      </c>
      <c r="E24" s="5" t="s">
        <v>22</v>
      </c>
      <c r="F24" s="4">
        <v>889.44292370923995</v>
      </c>
      <c r="G24" s="4">
        <v>823.29064856581465</v>
      </c>
      <c r="H24" s="4">
        <v>1029.7573810518657</v>
      </c>
      <c r="I24" s="4">
        <v>1087.6984311360407</v>
      </c>
      <c r="J24" s="4">
        <v>1158.2212993596186</v>
      </c>
      <c r="K24" s="4">
        <v>1145.2198188602783</v>
      </c>
      <c r="L24" s="4">
        <v>1156.1870968883541</v>
      </c>
      <c r="M24" s="4">
        <v>1118.8836597853901</v>
      </c>
      <c r="N24" s="4">
        <v>1055.8695079795957</v>
      </c>
      <c r="O24" s="4">
        <v>1103.2112562993955</v>
      </c>
      <c r="P24" s="4">
        <v>967.18967751209709</v>
      </c>
      <c r="Q24" s="4">
        <v>903.68313979069956</v>
      </c>
    </row>
    <row r="25" spans="1:17">
      <c r="A25" s="5" t="s">
        <v>42</v>
      </c>
      <c r="B25" s="5" t="s">
        <v>37</v>
      </c>
      <c r="C25" s="5" t="s">
        <v>38</v>
      </c>
      <c r="D25" s="5" t="s">
        <v>21</v>
      </c>
      <c r="E25" s="5" t="s">
        <v>22</v>
      </c>
      <c r="F25" s="4">
        <v>0</v>
      </c>
      <c r="G25" s="4">
        <v>0</v>
      </c>
      <c r="H25" s="4">
        <v>64.101363077525761</v>
      </c>
      <c r="I25" s="4">
        <v>647.25016331769882</v>
      </c>
      <c r="J25" s="4">
        <v>685.68309562782963</v>
      </c>
      <c r="K25" s="4">
        <v>704.90967189775245</v>
      </c>
      <c r="L25" s="4">
        <v>692.89947282764274</v>
      </c>
      <c r="M25" s="4">
        <v>669.36724208213684</v>
      </c>
      <c r="N25" s="4">
        <v>650.49955234153936</v>
      </c>
      <c r="O25" s="4">
        <v>497.44798465863653</v>
      </c>
      <c r="P25" s="4">
        <v>0</v>
      </c>
      <c r="Q25" s="4">
        <v>0</v>
      </c>
    </row>
    <row r="26" spans="1:17">
      <c r="A26" s="5" t="s">
        <v>43</v>
      </c>
      <c r="B26" s="5" t="s">
        <v>37</v>
      </c>
      <c r="C26" s="5" t="s">
        <v>38</v>
      </c>
      <c r="D26" s="5" t="s">
        <v>21</v>
      </c>
      <c r="E26" s="5" t="s">
        <v>22</v>
      </c>
      <c r="F26" s="4">
        <v>1204.225193005514</v>
      </c>
      <c r="G26" s="4">
        <v>1112.7581368743433</v>
      </c>
      <c r="H26" s="4">
        <v>1348.1964105337679</v>
      </c>
      <c r="I26" s="4">
        <v>1264.6731301691441</v>
      </c>
      <c r="J26" s="4">
        <v>1323.1069704490085</v>
      </c>
      <c r="K26" s="4">
        <v>1302.3257867905688</v>
      </c>
      <c r="L26" s="4">
        <v>1337.0318273331054</v>
      </c>
      <c r="M26" s="4">
        <v>1279.8458704913583</v>
      </c>
      <c r="N26" s="4">
        <v>1213.2484319331941</v>
      </c>
      <c r="O26" s="4">
        <v>1275.7133800116644</v>
      </c>
      <c r="P26" s="4">
        <v>1292.2954514657433</v>
      </c>
      <c r="Q26" s="4">
        <v>1192.2939854830174</v>
      </c>
    </row>
    <row r="27" spans="1:17">
      <c r="A27" s="5" t="s">
        <v>44</v>
      </c>
      <c r="B27" s="5" t="s">
        <v>37</v>
      </c>
      <c r="C27" s="5" t="s">
        <v>38</v>
      </c>
      <c r="D27" s="5" t="s">
        <v>21</v>
      </c>
      <c r="E27" s="5" t="s">
        <v>22</v>
      </c>
      <c r="F27" s="4">
        <v>757.67360167824131</v>
      </c>
      <c r="G27" s="4">
        <v>718.02974372634981</v>
      </c>
      <c r="H27" s="4">
        <v>900.52076194395067</v>
      </c>
      <c r="I27" s="4">
        <v>1113.5486680734602</v>
      </c>
      <c r="J27" s="4">
        <v>1133.086288522821</v>
      </c>
      <c r="K27" s="4">
        <v>1144.1862269659998</v>
      </c>
      <c r="L27" s="4">
        <v>1170.4108397323234</v>
      </c>
      <c r="M27" s="4">
        <v>1105.14298326171</v>
      </c>
      <c r="N27" s="4">
        <v>1068.2690595638185</v>
      </c>
      <c r="O27" s="4">
        <v>1044.0390161887913</v>
      </c>
      <c r="P27" s="4">
        <v>841.21119010505936</v>
      </c>
      <c r="Q27" s="4">
        <v>782.56121110671063</v>
      </c>
    </row>
    <row r="28" spans="1:17">
      <c r="A28" s="5" t="s">
        <v>36</v>
      </c>
      <c r="B28" s="5" t="s">
        <v>37</v>
      </c>
      <c r="C28" s="5" t="s">
        <v>38</v>
      </c>
      <c r="D28" s="5" t="s">
        <v>21</v>
      </c>
      <c r="E28" s="5" t="s">
        <v>24</v>
      </c>
      <c r="F28" s="4">
        <v>1125.8604942956674</v>
      </c>
      <c r="G28" s="4">
        <v>1000.4693820667403</v>
      </c>
      <c r="H28" s="4">
        <v>1273.8798651556842</v>
      </c>
      <c r="I28" s="4">
        <v>1376.1608805180283</v>
      </c>
      <c r="J28" s="4">
        <v>1439.4366681103179</v>
      </c>
      <c r="K28" s="4">
        <v>1422.4220418650505</v>
      </c>
      <c r="L28" s="4">
        <v>1464.2950732913287</v>
      </c>
      <c r="M28" s="4">
        <v>1339.9589789025017</v>
      </c>
      <c r="N28" s="4">
        <v>1305.5872494929795</v>
      </c>
      <c r="O28" s="4">
        <v>1382.7877244707229</v>
      </c>
      <c r="P28" s="4">
        <v>1246.4735442505569</v>
      </c>
      <c r="Q28" s="4">
        <v>1305.8463401916053</v>
      </c>
    </row>
    <row r="29" spans="1:17">
      <c r="A29" s="5" t="s">
        <v>39</v>
      </c>
      <c r="B29" s="5" t="s">
        <v>37</v>
      </c>
      <c r="C29" s="5" t="s">
        <v>38</v>
      </c>
      <c r="D29" s="5" t="s">
        <v>21</v>
      </c>
      <c r="E29" s="5" t="s">
        <v>24</v>
      </c>
      <c r="F29" s="4">
        <v>1277.1900892361828</v>
      </c>
      <c r="G29" s="4">
        <v>1125.1384639442153</v>
      </c>
      <c r="H29" s="4">
        <v>1433.1148483001446</v>
      </c>
      <c r="I29" s="4">
        <v>1277.4894468260629</v>
      </c>
      <c r="J29" s="4">
        <v>1364.9830473459908</v>
      </c>
      <c r="K29" s="4">
        <v>1353.0356007984628</v>
      </c>
      <c r="L29" s="4">
        <v>1369.6208228630103</v>
      </c>
      <c r="M29" s="4">
        <v>1272.2175262082935</v>
      </c>
      <c r="N29" s="4">
        <v>1216.494242033956</v>
      </c>
      <c r="O29" s="4">
        <v>1347.1084943239009</v>
      </c>
      <c r="P29" s="4">
        <v>1400.4710024791868</v>
      </c>
      <c r="Q29" s="4">
        <v>1399.7724386830403</v>
      </c>
    </row>
    <row r="30" spans="1:17">
      <c r="A30" s="5" t="s">
        <v>40</v>
      </c>
      <c r="B30" s="5" t="s">
        <v>37</v>
      </c>
      <c r="C30" s="5" t="s">
        <v>38</v>
      </c>
      <c r="D30" s="5" t="s">
        <v>21</v>
      </c>
      <c r="E30" s="5" t="s">
        <v>24</v>
      </c>
      <c r="F30" s="4">
        <v>859.64717544743087</v>
      </c>
      <c r="G30" s="4">
        <v>763.59812649953699</v>
      </c>
      <c r="H30" s="4">
        <v>970.61773433561632</v>
      </c>
      <c r="I30" s="4">
        <v>916.85845465985369</v>
      </c>
      <c r="J30" s="4">
        <v>961.69260153922096</v>
      </c>
      <c r="K30" s="4">
        <v>958.62846210417399</v>
      </c>
      <c r="L30" s="4">
        <v>978.30058775929285</v>
      </c>
      <c r="M30" s="4">
        <v>896.335075283116</v>
      </c>
      <c r="N30" s="4">
        <v>874.27717599976313</v>
      </c>
      <c r="O30" s="4">
        <v>944.19426120247579</v>
      </c>
      <c r="P30" s="4">
        <v>951.16077141212565</v>
      </c>
      <c r="Q30" s="4">
        <v>989.41569770104161</v>
      </c>
    </row>
    <row r="31" spans="1:17">
      <c r="A31" s="5" t="s">
        <v>41</v>
      </c>
      <c r="B31" s="5" t="s">
        <v>37</v>
      </c>
      <c r="C31" s="5" t="s">
        <v>38</v>
      </c>
      <c r="D31" s="5" t="s">
        <v>21</v>
      </c>
      <c r="E31" s="5" t="s">
        <v>24</v>
      </c>
      <c r="F31" s="4">
        <v>1158.3448576075059</v>
      </c>
      <c r="G31" s="4">
        <v>1031.6366525361091</v>
      </c>
      <c r="H31" s="4">
        <v>1325.7654214611828</v>
      </c>
      <c r="I31" s="4">
        <v>1270.503858600083</v>
      </c>
      <c r="J31" s="4">
        <v>1356.1195210645235</v>
      </c>
      <c r="K31" s="4">
        <v>1345.7317648967166</v>
      </c>
      <c r="L31" s="4">
        <v>1362.4075466399001</v>
      </c>
      <c r="M31" s="4">
        <v>1255.6952206731212</v>
      </c>
      <c r="N31" s="4">
        <v>1228.9839159768098</v>
      </c>
      <c r="O31" s="4">
        <v>1302.727012921757</v>
      </c>
      <c r="P31" s="4">
        <v>1291.7669143178011</v>
      </c>
      <c r="Q31" s="4">
        <v>1332.2915523882232</v>
      </c>
    </row>
    <row r="32" spans="1:17">
      <c r="A32" s="5" t="s">
        <v>42</v>
      </c>
      <c r="B32" s="5" t="s">
        <v>37</v>
      </c>
      <c r="C32" s="5" t="s">
        <v>38</v>
      </c>
      <c r="D32" s="5" t="s">
        <v>21</v>
      </c>
      <c r="E32" s="5" t="s">
        <v>24</v>
      </c>
      <c r="F32" s="4">
        <v>0</v>
      </c>
      <c r="G32" s="4">
        <v>0</v>
      </c>
      <c r="H32" s="4">
        <v>62.620498989394584</v>
      </c>
      <c r="I32" s="4">
        <v>641.80091826189766</v>
      </c>
      <c r="J32" s="4">
        <v>682.49152367299541</v>
      </c>
      <c r="K32" s="4">
        <v>702.99420554306118</v>
      </c>
      <c r="L32" s="4">
        <v>694.27783647433682</v>
      </c>
      <c r="M32" s="4">
        <v>636.10876310414676</v>
      </c>
      <c r="N32" s="4">
        <v>641.13659573315977</v>
      </c>
      <c r="O32" s="4">
        <v>487.326070298052</v>
      </c>
      <c r="P32" s="4">
        <v>0</v>
      </c>
      <c r="Q32" s="4">
        <v>0</v>
      </c>
    </row>
    <row r="33" spans="1:17">
      <c r="A33" s="5" t="s">
        <v>43</v>
      </c>
      <c r="B33" s="5" t="s">
        <v>37</v>
      </c>
      <c r="C33" s="5" t="s">
        <v>38</v>
      </c>
      <c r="D33" s="5" t="s">
        <v>21</v>
      </c>
      <c r="E33" s="5" t="s">
        <v>24</v>
      </c>
      <c r="F33" s="4">
        <v>1343.7434189482422</v>
      </c>
      <c r="G33" s="4">
        <v>1190.5897319298904</v>
      </c>
      <c r="H33" s="4">
        <v>1508.259447087418</v>
      </c>
      <c r="I33" s="4">
        <v>1432.0455863258667</v>
      </c>
      <c r="J33" s="4">
        <v>1503.2540573368838</v>
      </c>
      <c r="K33" s="4">
        <v>1488.1565649807653</v>
      </c>
      <c r="L33" s="4">
        <v>1529.2145592993186</v>
      </c>
      <c r="M33" s="4">
        <v>1392.8303566150544</v>
      </c>
      <c r="N33" s="4">
        <v>1365.5376844186778</v>
      </c>
      <c r="O33" s="4">
        <v>1427.1692058728668</v>
      </c>
      <c r="P33" s="4">
        <v>1485.6225382056055</v>
      </c>
      <c r="Q33" s="4">
        <v>1486.4033062236847</v>
      </c>
    </row>
    <row r="34" spans="1:17">
      <c r="A34" s="5" t="s">
        <v>44</v>
      </c>
      <c r="B34" s="5" t="s">
        <v>37</v>
      </c>
      <c r="C34" s="5" t="s">
        <v>38</v>
      </c>
      <c r="D34" s="5" t="s">
        <v>21</v>
      </c>
      <c r="E34" s="5" t="s">
        <v>24</v>
      </c>
      <c r="F34" s="4">
        <v>1174.1908884913294</v>
      </c>
      <c r="G34" s="4">
        <v>1031.6366525361091</v>
      </c>
      <c r="H34" s="4">
        <v>1318.6087930052518</v>
      </c>
      <c r="I34" s="4">
        <v>1295.8266159192599</v>
      </c>
      <c r="J34" s="4">
        <v>1328.6425895919745</v>
      </c>
      <c r="K34" s="4">
        <v>1347.5577238721535</v>
      </c>
      <c r="L34" s="4">
        <v>1379.5390776697864</v>
      </c>
      <c r="M34" s="4">
        <v>1239.9990304147068</v>
      </c>
      <c r="N34" s="4">
        <v>1235.6450754129987</v>
      </c>
      <c r="O34" s="4">
        <v>1272.2691335281288</v>
      </c>
      <c r="P34" s="4">
        <v>1282.7082403043519</v>
      </c>
      <c r="Q34" s="4">
        <v>1281.224935732685</v>
      </c>
    </row>
    <row r="35" spans="1:17">
      <c r="A35" s="5" t="s">
        <v>36</v>
      </c>
      <c r="B35" s="5" t="s">
        <v>37</v>
      </c>
      <c r="C35" s="5" t="s">
        <v>38</v>
      </c>
      <c r="D35" s="5" t="s">
        <v>21</v>
      </c>
      <c r="E35" s="5" t="s">
        <v>25</v>
      </c>
      <c r="F35" s="4">
        <v>4035.2539543352932</v>
      </c>
      <c r="G35" s="4">
        <v>3914.6437844997608</v>
      </c>
      <c r="H35" s="4">
        <v>4380.0462659890891</v>
      </c>
      <c r="I35" s="4">
        <v>5296.6843588464189</v>
      </c>
      <c r="J35" s="4">
        <v>5283.489811389114</v>
      </c>
      <c r="K35" s="4">
        <v>5579.9477669129574</v>
      </c>
      <c r="L35" s="4">
        <v>6084.198039724949</v>
      </c>
      <c r="M35" s="4">
        <v>6507.8055064650271</v>
      </c>
      <c r="N35" s="4">
        <v>4428.4678503863634</v>
      </c>
      <c r="O35" s="4">
        <v>5019.6564988851514</v>
      </c>
      <c r="P35" s="4">
        <v>4136.843463552078</v>
      </c>
      <c r="Q35" s="4">
        <v>5044.7427297194581</v>
      </c>
    </row>
    <row r="36" spans="1:17">
      <c r="A36" s="5" t="s">
        <v>39</v>
      </c>
      <c r="B36" s="5" t="s">
        <v>37</v>
      </c>
      <c r="C36" s="5" t="s">
        <v>38</v>
      </c>
      <c r="D36" s="5" t="s">
        <v>21</v>
      </c>
      <c r="E36" s="5" t="s">
        <v>25</v>
      </c>
      <c r="F36" s="4">
        <v>5192.219582182719</v>
      </c>
      <c r="G36" s="4">
        <v>5030.622413488556</v>
      </c>
      <c r="H36" s="4">
        <v>5653.2898110763063</v>
      </c>
      <c r="I36" s="4">
        <v>5078.9336056515212</v>
      </c>
      <c r="J36" s="4">
        <v>5146.4425715219868</v>
      </c>
      <c r="K36" s="4">
        <v>5472.657991095246</v>
      </c>
      <c r="L36" s="4">
        <v>5886.9272542414828</v>
      </c>
      <c r="M36" s="4">
        <v>6339.957129148961</v>
      </c>
      <c r="N36" s="4">
        <v>4278.9135890224707</v>
      </c>
      <c r="O36" s="4">
        <v>5068.8161034648983</v>
      </c>
      <c r="P36" s="4">
        <v>5342.1051884264407</v>
      </c>
      <c r="Q36" s="4">
        <v>6189.9355376677922</v>
      </c>
    </row>
    <row r="37" spans="1:17">
      <c r="A37" s="5" t="s">
        <v>40</v>
      </c>
      <c r="B37" s="5" t="s">
        <v>37</v>
      </c>
      <c r="C37" s="5" t="s">
        <v>38</v>
      </c>
      <c r="D37" s="5" t="s">
        <v>21</v>
      </c>
      <c r="E37" s="5" t="s">
        <v>25</v>
      </c>
      <c r="F37" s="4">
        <v>4003.6391958999279</v>
      </c>
      <c r="G37" s="4">
        <v>3905.9252014607855</v>
      </c>
      <c r="H37" s="4">
        <v>4388.1560974864606</v>
      </c>
      <c r="I37" s="4">
        <v>4732.9975034060462</v>
      </c>
      <c r="J37" s="4">
        <v>4742.4719284252751</v>
      </c>
      <c r="K37" s="4">
        <v>5065.4844976231088</v>
      </c>
      <c r="L37" s="4">
        <v>5461.1893730120491</v>
      </c>
      <c r="M37" s="4">
        <v>5842.301413948695</v>
      </c>
      <c r="N37" s="4">
        <v>3988.1136363704568</v>
      </c>
      <c r="O37" s="4">
        <v>4571.8432259165138</v>
      </c>
      <c r="P37" s="4">
        <v>4139.7182679047901</v>
      </c>
      <c r="Q37" s="4">
        <v>5011.9026418444691</v>
      </c>
    </row>
    <row r="38" spans="1:17">
      <c r="A38" s="5" t="s">
        <v>41</v>
      </c>
      <c r="B38" s="5" t="s">
        <v>37</v>
      </c>
      <c r="C38" s="5" t="s">
        <v>38</v>
      </c>
      <c r="D38" s="5" t="s">
        <v>21</v>
      </c>
      <c r="E38" s="5" t="s">
        <v>25</v>
      </c>
      <c r="F38" s="4">
        <v>4374.9444439067765</v>
      </c>
      <c r="G38" s="4">
        <v>4324.4171873315836</v>
      </c>
      <c r="H38" s="4">
        <v>4870.3224428755975</v>
      </c>
      <c r="I38" s="4">
        <v>5075.6468018297119</v>
      </c>
      <c r="J38" s="4">
        <v>5142.4586401304978</v>
      </c>
      <c r="K38" s="4">
        <v>5469.1402935274518</v>
      </c>
      <c r="L38" s="4">
        <v>5883.2571000929529</v>
      </c>
      <c r="M38" s="4">
        <v>6284.9892395015941</v>
      </c>
      <c r="N38" s="4">
        <v>4306.6088226083766</v>
      </c>
      <c r="O38" s="4">
        <v>4953.5982802311155</v>
      </c>
      <c r="P38" s="4">
        <v>4578.8446327814954</v>
      </c>
      <c r="Q38" s="4">
        <v>5602.1821700590144</v>
      </c>
    </row>
    <row r="39" spans="1:17">
      <c r="A39" s="5" t="s">
        <v>42</v>
      </c>
      <c r="B39" s="5" t="s">
        <v>37</v>
      </c>
      <c r="C39" s="5" t="s">
        <v>38</v>
      </c>
      <c r="D39" s="5" t="s">
        <v>21</v>
      </c>
      <c r="E39" s="5" t="s">
        <v>25</v>
      </c>
      <c r="F39" s="4">
        <v>0</v>
      </c>
      <c r="G39" s="4">
        <v>0</v>
      </c>
      <c r="H39" s="4">
        <v>283.10684499912645</v>
      </c>
      <c r="I39" s="4">
        <v>3313.0982523842317</v>
      </c>
      <c r="J39" s="4">
        <v>3365.6252395276156</v>
      </c>
      <c r="K39" s="4">
        <v>3714.6886315902807</v>
      </c>
      <c r="L39" s="4">
        <v>3875.6827808472608</v>
      </c>
      <c r="M39" s="4">
        <v>4146.1493905442358</v>
      </c>
      <c r="N39" s="4">
        <v>2924.6166666716695</v>
      </c>
      <c r="O39" s="4">
        <v>2359.6610198278781</v>
      </c>
      <c r="P39" s="4">
        <v>0</v>
      </c>
      <c r="Q39" s="4">
        <v>0</v>
      </c>
    </row>
    <row r="40" spans="1:17">
      <c r="A40" s="5" t="s">
        <v>43</v>
      </c>
      <c r="B40" s="5" t="s">
        <v>37</v>
      </c>
      <c r="C40" s="5" t="s">
        <v>38</v>
      </c>
      <c r="D40" s="5" t="s">
        <v>21</v>
      </c>
      <c r="E40" s="5" t="s">
        <v>25</v>
      </c>
      <c r="F40" s="4">
        <v>4763.0660527834998</v>
      </c>
      <c r="G40" s="4">
        <v>4632.4737880420334</v>
      </c>
      <c r="H40" s="4">
        <v>5182.9195842287991</v>
      </c>
      <c r="I40" s="4">
        <v>5625.3647410273934</v>
      </c>
      <c r="J40" s="4">
        <v>5642.0436366228805</v>
      </c>
      <c r="K40" s="4">
        <v>5975.6887432897629</v>
      </c>
      <c r="L40" s="4">
        <v>6497.0903814345293</v>
      </c>
      <c r="M40" s="4">
        <v>6900.4332896605056</v>
      </c>
      <c r="N40" s="4">
        <v>4740.0392282278044</v>
      </c>
      <c r="O40" s="4">
        <v>5258.5414523898617</v>
      </c>
      <c r="P40" s="4">
        <v>4920.2276496660052</v>
      </c>
      <c r="Q40" s="4">
        <v>5721.7537720653845</v>
      </c>
    </row>
    <row r="41" spans="1:17">
      <c r="A41" s="5" t="s">
        <v>44</v>
      </c>
      <c r="B41" s="5" t="s">
        <v>37</v>
      </c>
      <c r="C41" s="5" t="s">
        <v>38</v>
      </c>
      <c r="D41" s="5" t="s">
        <v>21</v>
      </c>
      <c r="E41" s="5" t="s">
        <v>25</v>
      </c>
      <c r="F41" s="4">
        <v>4806.788591045176</v>
      </c>
      <c r="G41" s="4">
        <v>4585.9746785008329</v>
      </c>
      <c r="H41" s="4">
        <v>5098.8722396196827</v>
      </c>
      <c r="I41" s="4">
        <v>5152.0649906867893</v>
      </c>
      <c r="J41" s="4">
        <v>5067.5607299705571</v>
      </c>
      <c r="K41" s="4">
        <v>5470.0197179194001</v>
      </c>
      <c r="L41" s="4">
        <v>5921.7937186525141</v>
      </c>
      <c r="M41" s="4">
        <v>6243.7633222660688</v>
      </c>
      <c r="N41" s="4">
        <v>4341.2278645907591</v>
      </c>
      <c r="O41" s="4">
        <v>4875.2501604321424</v>
      </c>
      <c r="P41" s="4">
        <v>4800.9232690284716</v>
      </c>
      <c r="Q41" s="4">
        <v>5631.6540437929789</v>
      </c>
    </row>
    <row r="42" spans="1:17">
      <c r="A42" s="5" t="s">
        <v>45</v>
      </c>
      <c r="B42" s="5" t="s">
        <v>46</v>
      </c>
      <c r="C42" s="5" t="s">
        <v>38</v>
      </c>
      <c r="D42" s="5" t="s">
        <v>28</v>
      </c>
      <c r="E42" s="5" t="s">
        <v>22</v>
      </c>
      <c r="F42" s="4">
        <v>579.36497488777525</v>
      </c>
      <c r="G42" s="4">
        <v>536.48562746630955</v>
      </c>
      <c r="H42" s="4">
        <v>609.08241566036338</v>
      </c>
      <c r="I42" s="4">
        <v>713.17733837445735</v>
      </c>
      <c r="J42" s="4">
        <v>723.56071357875044</v>
      </c>
      <c r="K42" s="4">
        <v>670.52609308391345</v>
      </c>
      <c r="L42" s="4">
        <v>707.55185817361871</v>
      </c>
      <c r="M42" s="4">
        <v>638.67855259978091</v>
      </c>
      <c r="N42" s="4">
        <v>606.83810251228135</v>
      </c>
      <c r="O42" s="4">
        <v>701.42904218476144</v>
      </c>
      <c r="P42" s="4">
        <v>680.29981952396713</v>
      </c>
      <c r="Q42" s="4">
        <v>741.63724377127483</v>
      </c>
    </row>
    <row r="43" spans="1:17">
      <c r="A43" s="5" t="s">
        <v>45</v>
      </c>
      <c r="B43" s="5" t="s">
        <v>46</v>
      </c>
      <c r="C43" s="5" t="s">
        <v>38</v>
      </c>
      <c r="D43" s="5" t="s">
        <v>28</v>
      </c>
      <c r="E43" s="5" t="s">
        <v>24</v>
      </c>
      <c r="F43" s="4">
        <v>981.77214110638624</v>
      </c>
      <c r="G43" s="4">
        <v>952.08931214360871</v>
      </c>
      <c r="H43" s="4">
        <v>1021.3308061181973</v>
      </c>
      <c r="I43" s="4">
        <v>1565.6847776305981</v>
      </c>
      <c r="J43" s="4">
        <v>1657.6456513197497</v>
      </c>
      <c r="K43" s="4">
        <v>1458.846534869291</v>
      </c>
      <c r="L43" s="4">
        <v>1565.5659621154903</v>
      </c>
      <c r="M43" s="4">
        <v>1530.5531634007505</v>
      </c>
      <c r="N43" s="4">
        <v>1503.7964501857753</v>
      </c>
      <c r="O43" s="4">
        <v>1371.8519920168956</v>
      </c>
      <c r="P43" s="4">
        <v>1019.1833396140644</v>
      </c>
      <c r="Q43" s="4">
        <v>1089.377582777103</v>
      </c>
    </row>
    <row r="44" spans="1:17">
      <c r="A44" s="5" t="s">
        <v>45</v>
      </c>
      <c r="B44" s="5" t="s">
        <v>46</v>
      </c>
      <c r="C44" s="5" t="s">
        <v>38</v>
      </c>
      <c r="D44" s="5" t="s">
        <v>28</v>
      </c>
      <c r="E44" s="5" t="s">
        <v>25</v>
      </c>
      <c r="F44" s="4">
        <v>3882.6621650775051</v>
      </c>
      <c r="G44" s="4">
        <v>3716.8145963269039</v>
      </c>
      <c r="H44" s="4">
        <v>3999.3695586949279</v>
      </c>
      <c r="I44" s="4">
        <v>7429.5133362249708</v>
      </c>
      <c r="J44" s="4">
        <v>7687.0123365482677</v>
      </c>
      <c r="K44" s="4">
        <v>6723.0084831556005</v>
      </c>
      <c r="L44" s="4">
        <v>7428.4109538331313</v>
      </c>
      <c r="M44" s="4">
        <v>7739.9875733579429</v>
      </c>
      <c r="N44" s="4">
        <v>6416.5244681405911</v>
      </c>
      <c r="O44" s="4">
        <v>5696.779146288216</v>
      </c>
      <c r="P44" s="4">
        <v>3591.291494846439</v>
      </c>
      <c r="Q44" s="4">
        <v>4230.5494307201998</v>
      </c>
    </row>
    <row r="45" spans="1:17">
      <c r="A45" s="5" t="s">
        <v>47</v>
      </c>
      <c r="B45" s="5" t="s">
        <v>48</v>
      </c>
      <c r="C45" s="5" t="s">
        <v>49</v>
      </c>
      <c r="D45" s="5" t="s">
        <v>21</v>
      </c>
      <c r="E45" s="5" t="s">
        <v>22</v>
      </c>
      <c r="F45" s="4">
        <v>923.94400013095265</v>
      </c>
      <c r="G45" s="4">
        <v>824.25351703076171</v>
      </c>
      <c r="H45" s="4">
        <v>998.43206472013981</v>
      </c>
      <c r="I45" s="4">
        <v>995.18963184217455</v>
      </c>
      <c r="J45" s="4">
        <v>1006.2834236601726</v>
      </c>
      <c r="K45" s="4">
        <v>966.00204049809781</v>
      </c>
      <c r="L45" s="4">
        <v>1010.7234445348042</v>
      </c>
      <c r="M45" s="4">
        <v>1028.2579321404219</v>
      </c>
      <c r="N45" s="4">
        <v>987.79162392539251</v>
      </c>
      <c r="O45" s="4">
        <v>978.79435665785036</v>
      </c>
      <c r="P45" s="4">
        <v>905.07543644889347</v>
      </c>
      <c r="Q45" s="4">
        <v>783.85792264935969</v>
      </c>
    </row>
    <row r="46" spans="1:17">
      <c r="A46" s="5" t="s">
        <v>47</v>
      </c>
      <c r="B46" s="5" t="s">
        <v>48</v>
      </c>
      <c r="C46" s="5" t="s">
        <v>49</v>
      </c>
      <c r="D46" s="5" t="s">
        <v>21</v>
      </c>
      <c r="E46" s="5" t="s">
        <v>24</v>
      </c>
      <c r="F46" s="4">
        <v>960.24686309780031</v>
      </c>
      <c r="G46" s="4">
        <v>957.23989000327526</v>
      </c>
      <c r="H46" s="4">
        <v>1092.3595877868008</v>
      </c>
      <c r="I46" s="4">
        <v>1078.8837454684763</v>
      </c>
      <c r="J46" s="4">
        <v>1104.7547729866596</v>
      </c>
      <c r="K46" s="4">
        <v>1067.7511815505659</v>
      </c>
      <c r="L46" s="4">
        <v>1105.9466161307334</v>
      </c>
      <c r="M46" s="4">
        <v>1120.4514341301042</v>
      </c>
      <c r="N46" s="4">
        <v>1073.2949042717496</v>
      </c>
      <c r="O46" s="4">
        <v>1062.8663864997382</v>
      </c>
      <c r="P46" s="4">
        <v>938.3137853270905</v>
      </c>
      <c r="Q46" s="4">
        <v>859.97272586974623</v>
      </c>
    </row>
    <row r="47" spans="1:17">
      <c r="A47" s="5" t="s">
        <v>47</v>
      </c>
      <c r="B47" s="5" t="s">
        <v>48</v>
      </c>
      <c r="C47" s="5" t="s">
        <v>49</v>
      </c>
      <c r="D47" s="5" t="s">
        <v>21</v>
      </c>
      <c r="E47" s="5" t="s">
        <v>25</v>
      </c>
      <c r="F47" s="4">
        <v>4126.6486732521289</v>
      </c>
      <c r="G47" s="4">
        <v>4578.3228190763384</v>
      </c>
      <c r="H47" s="4">
        <v>5445.934979034364</v>
      </c>
      <c r="I47" s="4">
        <v>5282.0165339246232</v>
      </c>
      <c r="J47" s="4">
        <v>5929.3254052836692</v>
      </c>
      <c r="K47" s="4">
        <v>5745.163872855499</v>
      </c>
      <c r="L47" s="4">
        <v>5600.9069313124892</v>
      </c>
      <c r="M47" s="4">
        <v>5396.4441635232861</v>
      </c>
      <c r="N47" s="4">
        <v>5726.0374338828997</v>
      </c>
      <c r="O47" s="4">
        <v>5726.6347617025422</v>
      </c>
      <c r="P47" s="4">
        <v>5055.5158626404409</v>
      </c>
      <c r="Q47" s="4">
        <v>4166.4588152226761</v>
      </c>
    </row>
    <row r="48" spans="1:17">
      <c r="A48" s="5" t="s">
        <v>50</v>
      </c>
      <c r="B48" s="5" t="s">
        <v>51</v>
      </c>
      <c r="C48" s="5" t="s">
        <v>49</v>
      </c>
      <c r="D48" s="5" t="s">
        <v>28</v>
      </c>
      <c r="E48" s="5" t="s">
        <v>22</v>
      </c>
      <c r="F48" s="4">
        <v>0</v>
      </c>
      <c r="G48" s="4">
        <v>0</v>
      </c>
      <c r="H48" s="4">
        <v>11.238075715934373</v>
      </c>
      <c r="I48" s="4">
        <v>166.45490641864933</v>
      </c>
      <c r="J48" s="4">
        <v>185.95095001206141</v>
      </c>
      <c r="K48" s="4">
        <v>172.90263770711377</v>
      </c>
      <c r="L48" s="4">
        <v>185.06070769534529</v>
      </c>
      <c r="M48" s="4">
        <v>182.86054415728486</v>
      </c>
      <c r="N48" s="4">
        <v>186.57357831045286</v>
      </c>
      <c r="O48" s="4">
        <v>145.89506778614268</v>
      </c>
      <c r="P48" s="4">
        <v>0</v>
      </c>
      <c r="Q48" s="4">
        <v>0</v>
      </c>
    </row>
    <row r="49" spans="1:17">
      <c r="A49" s="5" t="s">
        <v>50</v>
      </c>
      <c r="B49" s="5" t="s">
        <v>51</v>
      </c>
      <c r="C49" s="5" t="s">
        <v>49</v>
      </c>
      <c r="D49" s="5" t="s">
        <v>28</v>
      </c>
      <c r="E49" s="5" t="s">
        <v>24</v>
      </c>
      <c r="F49" s="4">
        <v>0</v>
      </c>
      <c r="G49" s="4">
        <v>0</v>
      </c>
      <c r="H49" s="4">
        <v>30.955651986363097</v>
      </c>
      <c r="I49" s="4">
        <v>452.4087647692117</v>
      </c>
      <c r="J49" s="4">
        <v>600.78091947789187</v>
      </c>
      <c r="K49" s="4">
        <v>733.46498316022371</v>
      </c>
      <c r="L49" s="4">
        <v>563.75804017601638</v>
      </c>
      <c r="M49" s="4">
        <v>534.46689332398853</v>
      </c>
      <c r="N49" s="4">
        <v>632.7353076954588</v>
      </c>
      <c r="O49" s="4">
        <v>363.88345057246926</v>
      </c>
      <c r="P49" s="4">
        <v>0</v>
      </c>
      <c r="Q49" s="4">
        <v>0</v>
      </c>
    </row>
    <row r="50" spans="1:17">
      <c r="A50" s="5" t="s">
        <v>50</v>
      </c>
      <c r="B50" s="5" t="s">
        <v>51</v>
      </c>
      <c r="C50" s="5" t="s">
        <v>49</v>
      </c>
      <c r="D50" s="5" t="s">
        <v>28</v>
      </c>
      <c r="E50" s="5" t="s">
        <v>25</v>
      </c>
      <c r="F50" s="4">
        <v>0</v>
      </c>
      <c r="G50" s="4">
        <v>0</v>
      </c>
      <c r="H50" s="4">
        <v>239.99544835286218</v>
      </c>
      <c r="I50" s="4">
        <v>3439.6193486157322</v>
      </c>
      <c r="J50" s="4">
        <v>3029.8526930908761</v>
      </c>
      <c r="K50" s="4">
        <v>3909.8221917713136</v>
      </c>
      <c r="L50" s="4">
        <v>3250.8550591429998</v>
      </c>
      <c r="M50" s="4">
        <v>3389.259489333725</v>
      </c>
      <c r="N50" s="4">
        <v>2741.1508066209954</v>
      </c>
      <c r="O50" s="4">
        <v>3411.0373535054914</v>
      </c>
      <c r="P50" s="4">
        <v>0</v>
      </c>
      <c r="Q50" s="4">
        <v>0</v>
      </c>
    </row>
    <row r="51" spans="1:17">
      <c r="A51" s="5" t="s">
        <v>52</v>
      </c>
      <c r="B51" s="5" t="s">
        <v>53</v>
      </c>
      <c r="C51" s="5" t="s">
        <v>54</v>
      </c>
      <c r="D51" s="5" t="s">
        <v>21</v>
      </c>
      <c r="E51" s="5" t="s">
        <v>22</v>
      </c>
      <c r="F51" s="4">
        <v>1191.4392912780136</v>
      </c>
      <c r="G51" s="4">
        <v>1144.0925413407374</v>
      </c>
      <c r="H51" s="4">
        <v>1423.4212999408701</v>
      </c>
      <c r="I51" s="4">
        <v>1407.0085540850639</v>
      </c>
      <c r="J51" s="4">
        <v>1428.2732464854062</v>
      </c>
      <c r="K51" s="4">
        <v>1371.0996703843964</v>
      </c>
      <c r="L51" s="4">
        <v>1434.5752115977868</v>
      </c>
      <c r="M51" s="4">
        <v>1459.4628714251148</v>
      </c>
      <c r="N51" s="4">
        <v>1348.5441924206805</v>
      </c>
      <c r="O51" s="4">
        <v>1381.1007357219698</v>
      </c>
      <c r="P51" s="4">
        <v>1399.686566786261</v>
      </c>
      <c r="Q51" s="4">
        <v>1311.6410350843882</v>
      </c>
    </row>
    <row r="52" spans="1:17">
      <c r="A52" s="5" t="s">
        <v>55</v>
      </c>
      <c r="B52" s="5" t="s">
        <v>53</v>
      </c>
      <c r="C52" s="5" t="s">
        <v>54</v>
      </c>
      <c r="D52" s="5" t="s">
        <v>21</v>
      </c>
      <c r="E52" s="5" t="s">
        <v>22</v>
      </c>
      <c r="F52" s="4">
        <v>1191.4392912780136</v>
      </c>
      <c r="G52" s="4">
        <v>1144.0925413407374</v>
      </c>
      <c r="H52" s="4">
        <v>1396.2886358657508</v>
      </c>
      <c r="I52" s="4">
        <v>991.30148128720407</v>
      </c>
      <c r="J52" s="4">
        <v>1006.2834236601725</v>
      </c>
      <c r="K52" s="4">
        <v>966.00204049809759</v>
      </c>
      <c r="L52" s="4">
        <v>1010.7234445348043</v>
      </c>
      <c r="M52" s="4">
        <v>1028.2579321404216</v>
      </c>
      <c r="N52" s="4">
        <v>950.1106810236613</v>
      </c>
      <c r="O52" s="4">
        <v>1020.6374938473208</v>
      </c>
      <c r="P52" s="4">
        <v>1399.686566786261</v>
      </c>
      <c r="Q52" s="4">
        <v>1311.6410350843882</v>
      </c>
    </row>
    <row r="53" spans="1:17">
      <c r="A53" s="5" t="s">
        <v>56</v>
      </c>
      <c r="B53" s="5" t="s">
        <v>53</v>
      </c>
      <c r="C53" s="5" t="s">
        <v>54</v>
      </c>
      <c r="D53" s="5" t="s">
        <v>21</v>
      </c>
      <c r="E53" s="5" t="s">
        <v>22</v>
      </c>
      <c r="F53" s="4">
        <v>0</v>
      </c>
      <c r="G53" s="4">
        <v>0</v>
      </c>
      <c r="H53" s="4">
        <v>91.833632254249679</v>
      </c>
      <c r="I53" s="4">
        <v>1407.0085540850639</v>
      </c>
      <c r="J53" s="4">
        <v>1428.2732464854062</v>
      </c>
      <c r="K53" s="4">
        <v>1371.0996703843964</v>
      </c>
      <c r="L53" s="4">
        <v>1434.5752115977868</v>
      </c>
      <c r="M53" s="4">
        <v>1459.4628714251148</v>
      </c>
      <c r="N53" s="4">
        <v>1348.5441924206805</v>
      </c>
      <c r="O53" s="4">
        <v>1069.2392792686219</v>
      </c>
      <c r="P53" s="4">
        <v>0</v>
      </c>
      <c r="Q53" s="4">
        <v>0</v>
      </c>
    </row>
    <row r="54" spans="1:17">
      <c r="A54" s="5" t="s">
        <v>52</v>
      </c>
      <c r="B54" s="5" t="s">
        <v>53</v>
      </c>
      <c r="C54" s="5" t="s">
        <v>54</v>
      </c>
      <c r="D54" s="5" t="s">
        <v>21</v>
      </c>
      <c r="E54" s="5" t="s">
        <v>24</v>
      </c>
      <c r="F54" s="4">
        <v>1349.4142132447507</v>
      </c>
      <c r="G54" s="4">
        <v>1167.8142925438974</v>
      </c>
      <c r="H54" s="4">
        <v>1509.6237553494038</v>
      </c>
      <c r="I54" s="4">
        <v>1549.2374814827006</v>
      </c>
      <c r="J54" s="4">
        <v>1680.5420783355771</v>
      </c>
      <c r="K54" s="4">
        <v>1685.8647417043803</v>
      </c>
      <c r="L54" s="4">
        <v>1741.5632968073764</v>
      </c>
      <c r="M54" s="4">
        <v>1642.6537752629997</v>
      </c>
      <c r="N54" s="4">
        <v>1639.6797321322274</v>
      </c>
      <c r="O54" s="4">
        <v>1606.9049085280044</v>
      </c>
      <c r="P54" s="4">
        <v>1557.6785290762625</v>
      </c>
      <c r="Q54" s="4">
        <v>1525.3546339934869</v>
      </c>
    </row>
    <row r="55" spans="1:17">
      <c r="A55" s="5" t="s">
        <v>55</v>
      </c>
      <c r="B55" s="5" t="s">
        <v>53</v>
      </c>
      <c r="C55" s="5" t="s">
        <v>54</v>
      </c>
      <c r="D55" s="5" t="s">
        <v>21</v>
      </c>
      <c r="E55" s="5" t="s">
        <v>24</v>
      </c>
      <c r="F55" s="4">
        <v>1349.4142132447507</v>
      </c>
      <c r="G55" s="4">
        <v>1167.8142925438974</v>
      </c>
      <c r="H55" s="4">
        <v>1473.1005999780471</v>
      </c>
      <c r="I55" s="4">
        <v>968.27342592668788</v>
      </c>
      <c r="J55" s="4">
        <v>1050.3387989597354</v>
      </c>
      <c r="K55" s="4">
        <v>1053.6654635652378</v>
      </c>
      <c r="L55" s="4">
        <v>1088.4770605046101</v>
      </c>
      <c r="M55" s="4">
        <v>1026.6586095393748</v>
      </c>
      <c r="N55" s="4">
        <v>1024.7998325826422</v>
      </c>
      <c r="O55" s="4">
        <v>1088.5484864221967</v>
      </c>
      <c r="P55" s="4">
        <v>1557.6785290762625</v>
      </c>
      <c r="Q55" s="4">
        <v>1525.3546339934869</v>
      </c>
    </row>
    <row r="56" spans="1:17">
      <c r="A56" s="5" t="s">
        <v>56</v>
      </c>
      <c r="B56" s="5" t="s">
        <v>53</v>
      </c>
      <c r="C56" s="5" t="s">
        <v>54</v>
      </c>
      <c r="D56" s="5" t="s">
        <v>21</v>
      </c>
      <c r="E56" s="5" t="s">
        <v>24</v>
      </c>
      <c r="F56" s="4">
        <v>0</v>
      </c>
      <c r="G56" s="4">
        <v>0</v>
      </c>
      <c r="H56" s="4">
        <v>97.395080990284129</v>
      </c>
      <c r="I56" s="4">
        <v>1549.2374814827006</v>
      </c>
      <c r="J56" s="4">
        <v>1680.5420783355771</v>
      </c>
      <c r="K56" s="4">
        <v>1685.8647417043803</v>
      </c>
      <c r="L56" s="4">
        <v>1741.5632968073764</v>
      </c>
      <c r="M56" s="4">
        <v>1642.6537752629997</v>
      </c>
      <c r="N56" s="4">
        <v>1639.6797321322274</v>
      </c>
      <c r="O56" s="4">
        <v>1244.0554130539388</v>
      </c>
      <c r="P56" s="4">
        <v>0</v>
      </c>
      <c r="Q56" s="4">
        <v>0</v>
      </c>
    </row>
    <row r="57" spans="1:17">
      <c r="A57" s="5" t="s">
        <v>52</v>
      </c>
      <c r="B57" s="5" t="s">
        <v>53</v>
      </c>
      <c r="C57" s="5" t="s">
        <v>54</v>
      </c>
      <c r="D57" s="5" t="s">
        <v>21</v>
      </c>
      <c r="E57" s="5" t="s">
        <v>25</v>
      </c>
      <c r="F57" s="4">
        <v>4579.46929905047</v>
      </c>
      <c r="G57" s="4">
        <v>3707.8739272159182</v>
      </c>
      <c r="H57" s="4">
        <v>5324.0923334967802</v>
      </c>
      <c r="I57" s="4">
        <v>5322.2977270268375</v>
      </c>
      <c r="J57" s="4">
        <v>5400.9875956590458</v>
      </c>
      <c r="K57" s="4">
        <v>6315.3003238184592</v>
      </c>
      <c r="L57" s="4">
        <v>6850.6210756274886</v>
      </c>
      <c r="M57" s="4">
        <v>6363.0445014961851</v>
      </c>
      <c r="N57" s="4">
        <v>5485.9365825064069</v>
      </c>
      <c r="O57" s="4">
        <v>5304.085251123839</v>
      </c>
      <c r="P57" s="4">
        <v>5230.1933304410204</v>
      </c>
      <c r="Q57" s="4">
        <v>6199.1119310154936</v>
      </c>
    </row>
    <row r="58" spans="1:17">
      <c r="A58" s="5" t="s">
        <v>55</v>
      </c>
      <c r="B58" s="5" t="s">
        <v>53</v>
      </c>
      <c r="C58" s="5" t="s">
        <v>54</v>
      </c>
      <c r="D58" s="5" t="s">
        <v>21</v>
      </c>
      <c r="E58" s="5" t="s">
        <v>25</v>
      </c>
      <c r="F58" s="4">
        <v>4579.46929905047</v>
      </c>
      <c r="G58" s="4">
        <v>3707.8739272159182</v>
      </c>
      <c r="H58" s="4">
        <v>5261.241003272934</v>
      </c>
      <c r="I58" s="4">
        <v>4348.4304833580964</v>
      </c>
      <c r="J58" s="4">
        <v>4412.7217802831356</v>
      </c>
      <c r="K58" s="4">
        <v>5159.7347326516783</v>
      </c>
      <c r="L58" s="4">
        <v>5597.1031766828837</v>
      </c>
      <c r="M58" s="4">
        <v>5198.7427416479468</v>
      </c>
      <c r="N58" s="4">
        <v>4482.1269099626816</v>
      </c>
      <c r="O58" s="4">
        <v>4381.6039864465702</v>
      </c>
      <c r="P58" s="4">
        <v>5230.1933304410204</v>
      </c>
      <c r="Q58" s="4">
        <v>6199.1119310154936</v>
      </c>
    </row>
    <row r="59" spans="1:17">
      <c r="A59" s="5" t="s">
        <v>56</v>
      </c>
      <c r="B59" s="5" t="s">
        <v>53</v>
      </c>
      <c r="C59" s="5" t="s">
        <v>54</v>
      </c>
      <c r="D59" s="5" t="s">
        <v>21</v>
      </c>
      <c r="E59" s="5" t="s">
        <v>25</v>
      </c>
      <c r="F59" s="4">
        <v>0</v>
      </c>
      <c r="G59" s="4">
        <v>0</v>
      </c>
      <c r="H59" s="4">
        <v>343.48982796753427</v>
      </c>
      <c r="I59" s="4">
        <v>5322.2977270268375</v>
      </c>
      <c r="J59" s="4">
        <v>5400.9875956590458</v>
      </c>
      <c r="K59" s="4">
        <v>6315.3003238184592</v>
      </c>
      <c r="L59" s="4">
        <v>6850.6210756274886</v>
      </c>
      <c r="M59" s="4">
        <v>6363.0445014961851</v>
      </c>
      <c r="N59" s="4">
        <v>5485.9365825064069</v>
      </c>
      <c r="O59" s="4">
        <v>4106.3885815152298</v>
      </c>
      <c r="P59" s="4">
        <v>0</v>
      </c>
      <c r="Q59" s="4">
        <v>0</v>
      </c>
    </row>
    <row r="60" spans="1:17">
      <c r="A60" s="5" t="s">
        <v>57</v>
      </c>
      <c r="B60" s="5" t="s">
        <v>58</v>
      </c>
      <c r="C60" s="5" t="s">
        <v>59</v>
      </c>
      <c r="D60" s="5" t="s">
        <v>60</v>
      </c>
      <c r="E60" s="5" t="s">
        <v>22</v>
      </c>
      <c r="F60" s="4">
        <v>0</v>
      </c>
      <c r="G60" s="4">
        <v>0</v>
      </c>
      <c r="H60" s="4">
        <v>0</v>
      </c>
      <c r="I60" s="4">
        <v>107.49759103264994</v>
      </c>
      <c r="J60" s="4">
        <v>114.72718396396479</v>
      </c>
      <c r="K60" s="4">
        <v>118.95724038879729</v>
      </c>
      <c r="L60" s="4">
        <v>151.45075547659923</v>
      </c>
      <c r="M60" s="4">
        <v>154.07819170470424</v>
      </c>
      <c r="N60" s="4">
        <v>152.94838047877039</v>
      </c>
      <c r="O60" s="4">
        <v>117.47753152049827</v>
      </c>
      <c r="P60" s="4">
        <v>0</v>
      </c>
      <c r="Q60" s="4">
        <v>0</v>
      </c>
    </row>
    <row r="61" spans="1:17">
      <c r="A61" s="5" t="s">
        <v>57</v>
      </c>
      <c r="B61" s="5" t="s">
        <v>58</v>
      </c>
      <c r="C61" s="5" t="s">
        <v>59</v>
      </c>
      <c r="D61" s="5" t="s">
        <v>60</v>
      </c>
      <c r="E61" s="5" t="s">
        <v>24</v>
      </c>
      <c r="F61" s="4">
        <v>0</v>
      </c>
      <c r="G61" s="4">
        <v>0</v>
      </c>
      <c r="H61" s="4">
        <v>0</v>
      </c>
      <c r="I61" s="4">
        <v>343.81963888378806</v>
      </c>
      <c r="J61" s="4">
        <v>371.25269644850744</v>
      </c>
      <c r="K61" s="4">
        <v>387.07682619691417</v>
      </c>
      <c r="L61" s="4">
        <v>483.23411955596418</v>
      </c>
      <c r="M61" s="4">
        <v>448.09348481219513</v>
      </c>
      <c r="N61" s="4">
        <v>483.12865170125718</v>
      </c>
      <c r="O61" s="4">
        <v>362.69673817444317</v>
      </c>
      <c r="P61" s="4">
        <v>0</v>
      </c>
      <c r="Q61" s="4">
        <v>0</v>
      </c>
    </row>
    <row r="62" spans="1:17">
      <c r="A62" s="5" t="s">
        <v>57</v>
      </c>
      <c r="B62" s="5" t="s">
        <v>58</v>
      </c>
      <c r="C62" s="5" t="s">
        <v>59</v>
      </c>
      <c r="D62" s="5" t="s">
        <v>60</v>
      </c>
      <c r="E62" s="5" t="s">
        <v>25</v>
      </c>
      <c r="F62" s="4">
        <v>0</v>
      </c>
      <c r="G62" s="4">
        <v>0</v>
      </c>
      <c r="H62" s="4">
        <v>0</v>
      </c>
      <c r="I62" s="4">
        <v>2061.9842603672728</v>
      </c>
      <c r="J62" s="4">
        <v>2249.7469368456291</v>
      </c>
      <c r="K62" s="4">
        <v>2349.951888560674</v>
      </c>
      <c r="L62" s="4">
        <v>2852.1705063772029</v>
      </c>
      <c r="M62" s="4">
        <v>2024.6207402564523</v>
      </c>
      <c r="N62" s="4">
        <v>2495.0054675715619</v>
      </c>
      <c r="O62" s="4">
        <v>1920.5589563875142</v>
      </c>
      <c r="P62" s="4">
        <v>0</v>
      </c>
      <c r="Q62" s="4">
        <v>0</v>
      </c>
    </row>
    <row r="63" spans="1:17">
      <c r="A63" s="5" t="s">
        <v>61</v>
      </c>
      <c r="B63" s="5" t="s">
        <v>62</v>
      </c>
      <c r="C63" s="5" t="s">
        <v>59</v>
      </c>
      <c r="D63" s="5" t="s">
        <v>21</v>
      </c>
      <c r="E63" s="5" t="s">
        <v>22</v>
      </c>
      <c r="F63" s="4">
        <v>524.10232910603838</v>
      </c>
      <c r="G63" s="4">
        <v>468.71593902996779</v>
      </c>
      <c r="H63" s="4">
        <v>533.26120547638163</v>
      </c>
      <c r="I63" s="4">
        <v>726.80186157899027</v>
      </c>
      <c r="J63" s="4">
        <v>727.22964674182344</v>
      </c>
      <c r="K63" s="4">
        <v>705.28536075076147</v>
      </c>
      <c r="L63" s="4">
        <v>732.01198480356265</v>
      </c>
      <c r="M63" s="4">
        <v>743.64127246367661</v>
      </c>
      <c r="N63" s="4">
        <v>731.41238557658289</v>
      </c>
      <c r="O63" s="4">
        <v>674.12286600114635</v>
      </c>
      <c r="P63" s="4">
        <v>504.18907489765502</v>
      </c>
      <c r="Q63" s="4">
        <v>473.35826777671741</v>
      </c>
    </row>
    <row r="64" spans="1:17">
      <c r="A64" s="5" t="s">
        <v>63</v>
      </c>
      <c r="B64" s="5" t="s">
        <v>62</v>
      </c>
      <c r="C64" s="5" t="s">
        <v>59</v>
      </c>
      <c r="D64" s="5" t="s">
        <v>21</v>
      </c>
      <c r="E64" s="5" t="s">
        <v>22</v>
      </c>
      <c r="F64" s="4">
        <v>0</v>
      </c>
      <c r="G64" s="4">
        <v>0</v>
      </c>
      <c r="H64" s="4">
        <v>33.394048092454426</v>
      </c>
      <c r="I64" s="4">
        <v>577.16618419508052</v>
      </c>
      <c r="J64" s="4">
        <v>597.47932127997296</v>
      </c>
      <c r="K64" s="4">
        <v>560.90441061179854</v>
      </c>
      <c r="L64" s="4">
        <v>600.54431511901475</v>
      </c>
      <c r="M64" s="4">
        <v>594.91301797094127</v>
      </c>
      <c r="N64" s="4">
        <v>568.2916377141795</v>
      </c>
      <c r="O64" s="4">
        <v>477.80665386830088</v>
      </c>
      <c r="P64" s="4">
        <v>0</v>
      </c>
      <c r="Q64" s="4">
        <v>0</v>
      </c>
    </row>
    <row r="65" spans="1:17">
      <c r="A65" s="5" t="s">
        <v>61</v>
      </c>
      <c r="B65" s="5" t="s">
        <v>62</v>
      </c>
      <c r="C65" s="5" t="s">
        <v>59</v>
      </c>
      <c r="D65" s="5" t="s">
        <v>21</v>
      </c>
      <c r="E65" s="5" t="s">
        <v>24</v>
      </c>
      <c r="F65" s="4">
        <v>1713.7344089505641</v>
      </c>
      <c r="G65" s="4">
        <v>1582.8340934966072</v>
      </c>
      <c r="H65" s="4">
        <v>1662.565014614134</v>
      </c>
      <c r="I65" s="4">
        <v>1530.4347747239019</v>
      </c>
      <c r="J65" s="4">
        <v>1653.5684344058395</v>
      </c>
      <c r="K65" s="4">
        <v>1532.0562588663429</v>
      </c>
      <c r="L65" s="4">
        <v>1601.3368812560834</v>
      </c>
      <c r="M65" s="4">
        <v>1573.6863490342689</v>
      </c>
      <c r="N65" s="4">
        <v>1565.1820080848943</v>
      </c>
      <c r="O65" s="4">
        <v>1663.2158974593053</v>
      </c>
      <c r="P65" s="4">
        <v>1698.6499188206703</v>
      </c>
      <c r="Q65" s="4">
        <v>1584.1844181404451</v>
      </c>
    </row>
    <row r="66" spans="1:17">
      <c r="A66" s="5" t="s">
        <v>63</v>
      </c>
      <c r="B66" s="5" t="s">
        <v>62</v>
      </c>
      <c r="C66" s="5" t="s">
        <v>59</v>
      </c>
      <c r="D66" s="5" t="s">
        <v>21</v>
      </c>
      <c r="E66" s="5" t="s">
        <v>24</v>
      </c>
      <c r="F66" s="4">
        <v>0</v>
      </c>
      <c r="G66" s="4">
        <v>0</v>
      </c>
      <c r="H66" s="4">
        <v>107.75884353980501</v>
      </c>
      <c r="I66" s="4">
        <v>1610.5724832343487</v>
      </c>
      <c r="J66" s="4">
        <v>1726.879350216936</v>
      </c>
      <c r="K66" s="4">
        <v>1610.2223945227886</v>
      </c>
      <c r="L66" s="4">
        <v>1674.3941742357074</v>
      </c>
      <c r="M66" s="4">
        <v>1651.2078440605871</v>
      </c>
      <c r="N66" s="4">
        <v>1655.5968866007099</v>
      </c>
      <c r="O66" s="4">
        <v>1378.9571804389875</v>
      </c>
      <c r="P66" s="4">
        <v>0</v>
      </c>
      <c r="Q66" s="4">
        <v>0</v>
      </c>
    </row>
    <row r="67" spans="1:17">
      <c r="A67" s="5" t="s">
        <v>61</v>
      </c>
      <c r="B67" s="5" t="s">
        <v>62</v>
      </c>
      <c r="C67" s="5" t="s">
        <v>59</v>
      </c>
      <c r="D67" s="5" t="s">
        <v>21</v>
      </c>
      <c r="E67" s="5" t="s">
        <v>25</v>
      </c>
      <c r="F67" s="4">
        <v>8374.0849473864891</v>
      </c>
      <c r="G67" s="4">
        <v>8096.0049224374525</v>
      </c>
      <c r="H67" s="4">
        <v>7786.861788302419</v>
      </c>
      <c r="I67" s="4">
        <v>6567.1578256551247</v>
      </c>
      <c r="J67" s="4">
        <v>7983.3466754736883</v>
      </c>
      <c r="K67" s="4">
        <v>6743.5225335693403</v>
      </c>
      <c r="L67" s="4">
        <v>7555.6464540585257</v>
      </c>
      <c r="M67" s="4">
        <v>7808.5633823419212</v>
      </c>
      <c r="N67" s="4">
        <v>6411.9060002400784</v>
      </c>
      <c r="O67" s="4">
        <v>7515.7359936771609</v>
      </c>
      <c r="P67" s="4">
        <v>9691.6461412136614</v>
      </c>
      <c r="Q67" s="4">
        <v>9189.5580793111585</v>
      </c>
    </row>
    <row r="68" spans="1:17">
      <c r="A68" s="5" t="s">
        <v>63</v>
      </c>
      <c r="B68" s="5" t="s">
        <v>62</v>
      </c>
      <c r="C68" s="5" t="s">
        <v>59</v>
      </c>
      <c r="D68" s="5" t="s">
        <v>21</v>
      </c>
      <c r="E68" s="5" t="s">
        <v>25</v>
      </c>
      <c r="F68" s="4">
        <v>0</v>
      </c>
      <c r="G68" s="4">
        <v>0</v>
      </c>
      <c r="H68" s="4">
        <v>509.45748992416424</v>
      </c>
      <c r="I68" s="4">
        <v>7615.417087415849</v>
      </c>
      <c r="J68" s="4">
        <v>9070.8853572374046</v>
      </c>
      <c r="K68" s="4">
        <v>7818.9467680421712</v>
      </c>
      <c r="L68" s="4">
        <v>8585.9618796119612</v>
      </c>
      <c r="M68" s="4">
        <v>9004.7849452167484</v>
      </c>
      <c r="N68" s="4">
        <v>7569.0964858325406</v>
      </c>
      <c r="O68" s="4">
        <v>6556.3356540783807</v>
      </c>
      <c r="P68" s="4">
        <v>0</v>
      </c>
      <c r="Q68" s="4">
        <v>0</v>
      </c>
    </row>
    <row r="69" spans="1:17">
      <c r="A69" s="5" t="s">
        <v>64</v>
      </c>
      <c r="B69" s="5" t="s">
        <v>65</v>
      </c>
      <c r="C69" s="5" t="s">
        <v>59</v>
      </c>
      <c r="D69" s="5" t="s">
        <v>28</v>
      </c>
      <c r="E69" s="5" t="s">
        <v>22</v>
      </c>
      <c r="F69" s="4">
        <v>524.1023291060385</v>
      </c>
      <c r="G69" s="4">
        <v>468.7159390299679</v>
      </c>
      <c r="H69" s="4">
        <v>533.828483923205</v>
      </c>
      <c r="I69" s="4">
        <v>734.96223418486841</v>
      </c>
      <c r="J69" s="4">
        <v>565.39799411066042</v>
      </c>
      <c r="K69" s="4">
        <v>656.12870831423641</v>
      </c>
      <c r="L69" s="4">
        <v>700.87990932820458</v>
      </c>
      <c r="M69" s="4">
        <v>819.61038087363499</v>
      </c>
      <c r="N69" s="4">
        <v>686.7096141969173</v>
      </c>
      <c r="O69" s="4">
        <v>694.73200987901589</v>
      </c>
      <c r="P69" s="4">
        <v>454.19500445469401</v>
      </c>
      <c r="Q69" s="4">
        <v>397.58470165033646</v>
      </c>
    </row>
    <row r="70" spans="1:17">
      <c r="A70" s="5" t="s">
        <v>66</v>
      </c>
      <c r="B70" s="5" t="s">
        <v>65</v>
      </c>
      <c r="C70" s="5" t="s">
        <v>59</v>
      </c>
      <c r="D70" s="5" t="s">
        <v>28</v>
      </c>
      <c r="E70" s="5" t="s">
        <v>22</v>
      </c>
      <c r="F70" s="4">
        <v>0</v>
      </c>
      <c r="G70" s="4">
        <v>0</v>
      </c>
      <c r="H70" s="4">
        <v>0</v>
      </c>
      <c r="I70" s="4">
        <v>143.9926009831579</v>
      </c>
      <c r="J70" s="4">
        <v>108.41186571496017</v>
      </c>
      <c r="K70" s="4">
        <v>111.97929955229635</v>
      </c>
      <c r="L70" s="4">
        <v>149.32195138816613</v>
      </c>
      <c r="M70" s="4">
        <v>136.95839262640376</v>
      </c>
      <c r="N70" s="4">
        <v>134.53902645490626</v>
      </c>
      <c r="O70" s="4">
        <v>115.27405200955522</v>
      </c>
      <c r="P70" s="4">
        <v>0</v>
      </c>
      <c r="Q70" s="4">
        <v>0</v>
      </c>
    </row>
    <row r="71" spans="1:17">
      <c r="A71" s="5" t="s">
        <v>64</v>
      </c>
      <c r="B71" s="5" t="s">
        <v>65</v>
      </c>
      <c r="C71" s="5" t="s">
        <v>59</v>
      </c>
      <c r="D71" s="5" t="s">
        <v>28</v>
      </c>
      <c r="E71" s="5" t="s">
        <v>24</v>
      </c>
      <c r="F71" s="4">
        <v>1661.9904675675659</v>
      </c>
      <c r="G71" s="4">
        <v>1576.6421487110097</v>
      </c>
      <c r="H71" s="4">
        <v>1618.0771962434615</v>
      </c>
      <c r="I71" s="4">
        <v>1555.8293425592249</v>
      </c>
      <c r="J71" s="4">
        <v>1100.7856354142484</v>
      </c>
      <c r="K71" s="4">
        <v>1261.1028704076509</v>
      </c>
      <c r="L71" s="4">
        <v>1529.1849630453373</v>
      </c>
      <c r="M71" s="4">
        <v>1624.5128136708722</v>
      </c>
      <c r="N71" s="4">
        <v>1443.0020817152604</v>
      </c>
      <c r="O71" s="4">
        <v>1490.7174151473241</v>
      </c>
      <c r="P71" s="4">
        <v>1535.1836700069994</v>
      </c>
      <c r="Q71" s="4">
        <v>1469.5095601850937</v>
      </c>
    </row>
    <row r="72" spans="1:17">
      <c r="A72" s="5" t="s">
        <v>66</v>
      </c>
      <c r="B72" s="5" t="s">
        <v>65</v>
      </c>
      <c r="C72" s="5" t="s">
        <v>59</v>
      </c>
      <c r="D72" s="5" t="s">
        <v>28</v>
      </c>
      <c r="E72" s="5" t="s">
        <v>24</v>
      </c>
      <c r="F72" s="4">
        <v>0</v>
      </c>
      <c r="G72" s="4">
        <v>0</v>
      </c>
      <c r="H72" s="4">
        <v>0</v>
      </c>
      <c r="I72" s="4">
        <v>507.86139161259678</v>
      </c>
      <c r="J72" s="4">
        <v>346.7474751554883</v>
      </c>
      <c r="K72" s="4">
        <v>367.82167053556498</v>
      </c>
      <c r="L72" s="4">
        <v>535.21473706586789</v>
      </c>
      <c r="M72" s="4">
        <v>457.14933450034601</v>
      </c>
      <c r="N72" s="4">
        <v>471.03176760653594</v>
      </c>
      <c r="O72" s="4">
        <v>370.78758041735466</v>
      </c>
      <c r="P72" s="4">
        <v>0</v>
      </c>
      <c r="Q72" s="4">
        <v>0</v>
      </c>
    </row>
    <row r="73" spans="1:17">
      <c r="A73" s="5" t="s">
        <v>64</v>
      </c>
      <c r="B73" s="5" t="s">
        <v>65</v>
      </c>
      <c r="C73" s="5" t="s">
        <v>59</v>
      </c>
      <c r="D73" s="5" t="s">
        <v>28</v>
      </c>
      <c r="E73" s="5" t="s">
        <v>25</v>
      </c>
      <c r="F73" s="4">
        <v>8199.8739204798821</v>
      </c>
      <c r="G73" s="4">
        <v>7863.9468160269034</v>
      </c>
      <c r="H73" s="4">
        <v>7214.9932293371503</v>
      </c>
      <c r="I73" s="4">
        <v>6846.8518118548664</v>
      </c>
      <c r="J73" s="4">
        <v>4823.7002838218204</v>
      </c>
      <c r="K73" s="4">
        <v>5498.7754798163742</v>
      </c>
      <c r="L73" s="4">
        <v>6751.6662101670072</v>
      </c>
      <c r="M73" s="4">
        <v>7327.5229755208384</v>
      </c>
      <c r="N73" s="4">
        <v>5747.6947433686746</v>
      </c>
      <c r="O73" s="4">
        <v>6560.1000979511236</v>
      </c>
      <c r="P73" s="4">
        <v>8868.6095385677145</v>
      </c>
      <c r="Q73" s="4">
        <v>8218.1197309820236</v>
      </c>
    </row>
    <row r="74" spans="1:17">
      <c r="A74" s="5" t="s">
        <v>66</v>
      </c>
      <c r="B74" s="5" t="s">
        <v>65</v>
      </c>
      <c r="C74" s="5" t="s">
        <v>59</v>
      </c>
      <c r="D74" s="5" t="s">
        <v>28</v>
      </c>
      <c r="E74" s="5" t="s">
        <v>25</v>
      </c>
      <c r="F74" s="4">
        <v>0</v>
      </c>
      <c r="G74" s="4">
        <v>0</v>
      </c>
      <c r="H74" s="4">
        <v>0</v>
      </c>
      <c r="I74" s="4">
        <v>2717.3733445964017</v>
      </c>
      <c r="J74" s="4">
        <v>1833.5702833240839</v>
      </c>
      <c r="K74" s="4">
        <v>1977.429633128987</v>
      </c>
      <c r="L74" s="4">
        <v>2851.5809204733946</v>
      </c>
      <c r="M74" s="4">
        <v>2521.7153853546233</v>
      </c>
      <c r="N74" s="4">
        <v>2281.1407224360069</v>
      </c>
      <c r="O74" s="4">
        <v>1881.9959297400765</v>
      </c>
      <c r="P74" s="4">
        <v>0</v>
      </c>
      <c r="Q74" s="4">
        <v>0</v>
      </c>
    </row>
    <row r="75" spans="1:17">
      <c r="A75" s="5" t="s">
        <v>67</v>
      </c>
      <c r="B75" s="5" t="s">
        <v>68</v>
      </c>
      <c r="C75" s="5" t="s">
        <v>69</v>
      </c>
      <c r="D75" s="5" t="s">
        <v>21</v>
      </c>
      <c r="E75" s="5" t="s">
        <v>22</v>
      </c>
      <c r="F75" s="4">
        <v>1017.5915993612043</v>
      </c>
      <c r="G75" s="4">
        <v>907.9252103326312</v>
      </c>
      <c r="H75" s="4">
        <v>1000.31217980537</v>
      </c>
      <c r="I75" s="4">
        <v>1004.0544323993523</v>
      </c>
      <c r="J75" s="4">
        <v>1021.1410872971355</v>
      </c>
      <c r="K75" s="4">
        <v>979.791065085014</v>
      </c>
      <c r="L75" s="4">
        <v>1000.3560358643222</v>
      </c>
      <c r="M75" s="4">
        <v>982.03738834386047</v>
      </c>
      <c r="N75" s="4">
        <v>907.58491619103461</v>
      </c>
      <c r="O75" s="4">
        <v>914.96282882492767</v>
      </c>
      <c r="P75" s="4">
        <v>923.85445573958486</v>
      </c>
      <c r="Q75" s="4">
        <v>833.57814424750643</v>
      </c>
    </row>
    <row r="76" spans="1:17">
      <c r="A76" s="5" t="s">
        <v>70</v>
      </c>
      <c r="B76" s="5" t="s">
        <v>68</v>
      </c>
      <c r="C76" s="5" t="s">
        <v>69</v>
      </c>
      <c r="D76" s="5" t="s">
        <v>21</v>
      </c>
      <c r="E76" s="5" t="s">
        <v>22</v>
      </c>
      <c r="F76" s="4">
        <v>1004.2562255792532</v>
      </c>
      <c r="G76" s="4">
        <v>895.76549769424776</v>
      </c>
      <c r="H76" s="4">
        <v>986.19487081618138</v>
      </c>
      <c r="I76" s="4">
        <v>976.7475126897466</v>
      </c>
      <c r="J76" s="4">
        <v>994.24172734807212</v>
      </c>
      <c r="K76" s="4">
        <v>953.14402775006579</v>
      </c>
      <c r="L76" s="4">
        <v>973.01837091661287</v>
      </c>
      <c r="M76" s="4">
        <v>956.16811570258369</v>
      </c>
      <c r="N76" s="4">
        <v>882.90164441178047</v>
      </c>
      <c r="O76" s="4">
        <v>863.1025875150126</v>
      </c>
      <c r="P76" s="4">
        <v>912.30627504284007</v>
      </c>
      <c r="Q76" s="4">
        <v>848.33942388522257</v>
      </c>
    </row>
    <row r="77" spans="1:17">
      <c r="A77" s="5" t="s">
        <v>67</v>
      </c>
      <c r="B77" s="5" t="s">
        <v>68</v>
      </c>
      <c r="C77" s="5" t="s">
        <v>69</v>
      </c>
      <c r="D77" s="5" t="s">
        <v>21</v>
      </c>
      <c r="E77" s="5" t="s">
        <v>24</v>
      </c>
      <c r="F77" s="4">
        <v>1350.8215730198494</v>
      </c>
      <c r="G77" s="4">
        <v>1171.8454268317719</v>
      </c>
      <c r="H77" s="4">
        <v>1395.8362437278295</v>
      </c>
      <c r="I77" s="4">
        <v>1296.6075196772431</v>
      </c>
      <c r="J77" s="4">
        <v>1313.8271775502758</v>
      </c>
      <c r="K77" s="4">
        <v>1327.5275436820109</v>
      </c>
      <c r="L77" s="4">
        <v>1358.0045449279644</v>
      </c>
      <c r="M77" s="4">
        <v>1263.6373906783333</v>
      </c>
      <c r="N77" s="4">
        <v>1112.3402620318996</v>
      </c>
      <c r="O77" s="4">
        <v>1185.3215594308163</v>
      </c>
      <c r="P77" s="4">
        <v>1035.4382410784035</v>
      </c>
      <c r="Q77" s="4">
        <v>1025.8019529323676</v>
      </c>
    </row>
    <row r="78" spans="1:17">
      <c r="A78" s="5" t="s">
        <v>70</v>
      </c>
      <c r="B78" s="5" t="s">
        <v>68</v>
      </c>
      <c r="C78" s="5" t="s">
        <v>69</v>
      </c>
      <c r="D78" s="5" t="s">
        <v>21</v>
      </c>
      <c r="E78" s="5" t="s">
        <v>24</v>
      </c>
      <c r="F78" s="4">
        <v>1375.4508583624274</v>
      </c>
      <c r="G78" s="4">
        <v>1193.6810559031712</v>
      </c>
      <c r="H78" s="4">
        <v>1397.7939383193129</v>
      </c>
      <c r="I78" s="4">
        <v>980.86303721981653</v>
      </c>
      <c r="J78" s="4">
        <v>992.68975462538231</v>
      </c>
      <c r="K78" s="4">
        <v>1004.2535452925879</v>
      </c>
      <c r="L78" s="4">
        <v>1027.49995205498</v>
      </c>
      <c r="M78" s="4">
        <v>954.76780563091347</v>
      </c>
      <c r="N78" s="4">
        <v>841.46777747369913</v>
      </c>
      <c r="O78" s="4">
        <v>918.33490413363802</v>
      </c>
      <c r="P78" s="4">
        <v>1053.4458626623757</v>
      </c>
      <c r="Q78" s="4">
        <v>1082.2953938184978</v>
      </c>
    </row>
    <row r="79" spans="1:17">
      <c r="A79" s="5" t="s">
        <v>67</v>
      </c>
      <c r="B79" s="5" t="s">
        <v>68</v>
      </c>
      <c r="C79" s="5" t="s">
        <v>69</v>
      </c>
      <c r="D79" s="5" t="s">
        <v>21</v>
      </c>
      <c r="E79" s="5" t="s">
        <v>25</v>
      </c>
      <c r="F79" s="4">
        <v>4287.4246789087656</v>
      </c>
      <c r="G79" s="4">
        <v>3807.2581037728246</v>
      </c>
      <c r="H79" s="4">
        <v>4685.2879544742473</v>
      </c>
      <c r="I79" s="4">
        <v>4476.2576706269856</v>
      </c>
      <c r="J79" s="4">
        <v>4755.0688440410468</v>
      </c>
      <c r="K79" s="4">
        <v>4832.8195459843882</v>
      </c>
      <c r="L79" s="4">
        <v>4998.1764783557728</v>
      </c>
      <c r="M79" s="4">
        <v>4841.6249097552509</v>
      </c>
      <c r="N79" s="4">
        <v>3302.4678512033724</v>
      </c>
      <c r="O79" s="4">
        <v>4195.5068544719243</v>
      </c>
      <c r="P79" s="4">
        <v>3979.1720435194106</v>
      </c>
      <c r="Q79" s="4">
        <v>4088.2453916261438</v>
      </c>
    </row>
    <row r="80" spans="1:17">
      <c r="A80" s="5" t="s">
        <v>70</v>
      </c>
      <c r="B80" s="5" t="s">
        <v>68</v>
      </c>
      <c r="C80" s="5" t="s">
        <v>69</v>
      </c>
      <c r="D80" s="5" t="s">
        <v>21</v>
      </c>
      <c r="E80" s="5" t="s">
        <v>25</v>
      </c>
      <c r="F80" s="4">
        <v>4297.1961587169371</v>
      </c>
      <c r="G80" s="4">
        <v>3816.1259409710533</v>
      </c>
      <c r="H80" s="4">
        <v>4708.2872642086932</v>
      </c>
      <c r="I80" s="4">
        <v>4667.4953263597818</v>
      </c>
      <c r="J80" s="4">
        <v>4957.4653634143124</v>
      </c>
      <c r="K80" s="4">
        <v>5039.2904751756123</v>
      </c>
      <c r="L80" s="4">
        <v>5211.8336368559148</v>
      </c>
      <c r="M80" s="4">
        <v>5047.7056337122531</v>
      </c>
      <c r="N80" s="4">
        <v>3443.5580780107589</v>
      </c>
      <c r="O80" s="4">
        <v>4206.532187831609</v>
      </c>
      <c r="P80" s="4">
        <v>3987.8224175270611</v>
      </c>
      <c r="Q80" s="4">
        <v>4235.6296004909264</v>
      </c>
    </row>
    <row r="81" spans="1:17">
      <c r="A81" s="5" t="s">
        <v>71</v>
      </c>
      <c r="B81" s="5" t="s">
        <v>72</v>
      </c>
      <c r="C81" s="5" t="s">
        <v>73</v>
      </c>
      <c r="D81" s="5" t="s">
        <v>21</v>
      </c>
      <c r="E81" s="5" t="s">
        <v>22</v>
      </c>
      <c r="F81" s="4">
        <v>615.21065133745287</v>
      </c>
      <c r="G81" s="4">
        <v>574.79280621238081</v>
      </c>
      <c r="H81" s="4">
        <v>748.2294765236378</v>
      </c>
      <c r="I81" s="4">
        <v>817.29385856426791</v>
      </c>
      <c r="J81" s="4">
        <v>1006.2834236601726</v>
      </c>
      <c r="K81" s="4">
        <v>966.0020404980977</v>
      </c>
      <c r="L81" s="4">
        <v>1010.7234445348039</v>
      </c>
      <c r="M81" s="4">
        <v>973.51523118531304</v>
      </c>
      <c r="N81" s="4">
        <v>948.97244820220362</v>
      </c>
      <c r="O81" s="4">
        <v>908.07192382418305</v>
      </c>
      <c r="P81" s="4">
        <v>789.4471734499781</v>
      </c>
      <c r="Q81" s="4">
        <v>638.62863773548293</v>
      </c>
    </row>
    <row r="82" spans="1:17">
      <c r="A82" s="5" t="s">
        <v>71</v>
      </c>
      <c r="B82" s="5" t="s">
        <v>72</v>
      </c>
      <c r="C82" s="5" t="s">
        <v>73</v>
      </c>
      <c r="D82" s="5" t="s">
        <v>21</v>
      </c>
      <c r="E82" s="5" t="s">
        <v>24</v>
      </c>
      <c r="F82" s="4">
        <v>793.20992294512178</v>
      </c>
      <c r="G82" s="4">
        <v>702.55091546005042</v>
      </c>
      <c r="H82" s="4">
        <v>833.31643472519852</v>
      </c>
      <c r="I82" s="4">
        <v>905.32057334790795</v>
      </c>
      <c r="J82" s="4">
        <v>1065.19361417699</v>
      </c>
      <c r="K82" s="4">
        <v>1046.6502354932495</v>
      </c>
      <c r="L82" s="4">
        <v>1022.3092733460093</v>
      </c>
      <c r="M82" s="4">
        <v>1029.7246413962757</v>
      </c>
      <c r="N82" s="4">
        <v>1073.9474245574363</v>
      </c>
      <c r="O82" s="4">
        <v>978.44749805262472</v>
      </c>
      <c r="P82" s="4">
        <v>829.42249151097656</v>
      </c>
      <c r="Q82" s="4">
        <v>745.02671777107275</v>
      </c>
    </row>
    <row r="83" spans="1:17">
      <c r="A83" s="5" t="s">
        <v>71</v>
      </c>
      <c r="B83" s="5" t="s">
        <v>72</v>
      </c>
      <c r="C83" s="5" t="s">
        <v>73</v>
      </c>
      <c r="D83" s="5" t="s">
        <v>21</v>
      </c>
      <c r="E83" s="5" t="s">
        <v>25</v>
      </c>
      <c r="F83" s="4">
        <v>3555.2990449969634</v>
      </c>
      <c r="G83" s="4">
        <v>2831.2551822723954</v>
      </c>
      <c r="H83" s="4">
        <v>3801.5410352386921</v>
      </c>
      <c r="I83" s="4">
        <v>3228.3919306783537</v>
      </c>
      <c r="J83" s="4">
        <v>4304.2437579967836</v>
      </c>
      <c r="K83" s="4">
        <v>5268.5545221828979</v>
      </c>
      <c r="L83" s="4">
        <v>5709.7566274251676</v>
      </c>
      <c r="M83" s="4">
        <v>5213.8692027521456</v>
      </c>
      <c r="N83" s="4">
        <v>5300.4084798168333</v>
      </c>
      <c r="O83" s="4">
        <v>3799.121087886233</v>
      </c>
      <c r="P83" s="4">
        <v>3090.6438623444037</v>
      </c>
      <c r="Q83" s="4">
        <v>4252.4291600795859</v>
      </c>
    </row>
    <row r="84" spans="1:17">
      <c r="A84" s="5" t="s">
        <v>74</v>
      </c>
      <c r="B84" s="5" t="s">
        <v>75</v>
      </c>
      <c r="C84" s="5" t="s">
        <v>76</v>
      </c>
      <c r="D84" s="5" t="s">
        <v>21</v>
      </c>
      <c r="E84" s="5" t="s">
        <v>22</v>
      </c>
      <c r="F84" s="4">
        <v>1225.8497869749094</v>
      </c>
      <c r="G84" s="4">
        <v>1150.6214579778875</v>
      </c>
      <c r="H84" s="4">
        <v>1257.3368013947493</v>
      </c>
      <c r="I84" s="4">
        <v>878.5036907971072</v>
      </c>
      <c r="J84" s="4">
        <v>1038.7441792621137</v>
      </c>
      <c r="K84" s="4">
        <v>997.1633966431973</v>
      </c>
      <c r="L84" s="4">
        <v>1032.3701130578827</v>
      </c>
      <c r="M84" s="4">
        <v>1046.2533834770927</v>
      </c>
      <c r="N84" s="4">
        <v>981.6382358211589</v>
      </c>
      <c r="O84" s="4">
        <v>1089.2683846335644</v>
      </c>
      <c r="P84" s="4">
        <v>1316.3522272972441</v>
      </c>
      <c r="Q84" s="4">
        <v>1067.4109506700295</v>
      </c>
    </row>
    <row r="85" spans="1:17">
      <c r="A85" s="5" t="s">
        <v>77</v>
      </c>
      <c r="B85" s="5" t="s">
        <v>75</v>
      </c>
      <c r="C85" s="5" t="s">
        <v>76</v>
      </c>
      <c r="D85" s="5" t="s">
        <v>21</v>
      </c>
      <c r="E85" s="5" t="s">
        <v>22</v>
      </c>
      <c r="F85" s="4">
        <v>0</v>
      </c>
      <c r="G85" s="4">
        <v>0</v>
      </c>
      <c r="H85" s="4">
        <v>82.571372031893986</v>
      </c>
      <c r="I85" s="4">
        <v>1207.9425748460228</v>
      </c>
      <c r="J85" s="4">
        <v>1428.2732464854062</v>
      </c>
      <c r="K85" s="4">
        <v>1371.0996703843964</v>
      </c>
      <c r="L85" s="4">
        <v>1419.5089054545888</v>
      </c>
      <c r="M85" s="4">
        <v>1438.5984022810026</v>
      </c>
      <c r="N85" s="4">
        <v>1349.7525742540934</v>
      </c>
      <c r="O85" s="4">
        <v>1081.0783967791767</v>
      </c>
      <c r="P85" s="4">
        <v>0</v>
      </c>
      <c r="Q85" s="4">
        <v>0</v>
      </c>
    </row>
    <row r="86" spans="1:17">
      <c r="A86" s="5" t="s">
        <v>74</v>
      </c>
      <c r="B86" s="5" t="s">
        <v>75</v>
      </c>
      <c r="C86" s="5" t="s">
        <v>76</v>
      </c>
      <c r="D86" s="5" t="s">
        <v>21</v>
      </c>
      <c r="E86" s="5" t="s">
        <v>24</v>
      </c>
      <c r="F86" s="4">
        <v>1503.7343447271739</v>
      </c>
      <c r="G86" s="4">
        <v>1402.6649562957368</v>
      </c>
      <c r="H86" s="4">
        <v>1489.0150274317634</v>
      </c>
      <c r="I86" s="4">
        <v>1074.0488616682971</v>
      </c>
      <c r="J86" s="4">
        <v>1250.4757913811502</v>
      </c>
      <c r="K86" s="4">
        <v>1374.8017144585081</v>
      </c>
      <c r="L86" s="4">
        <v>1330.6482915804827</v>
      </c>
      <c r="M86" s="4">
        <v>1265.0016256228362</v>
      </c>
      <c r="N86" s="4">
        <v>1348.9691696619368</v>
      </c>
      <c r="O86" s="4">
        <v>1294.9823911091667</v>
      </c>
      <c r="P86" s="4">
        <v>1446.4471413835652</v>
      </c>
      <c r="Q86" s="4">
        <v>1325.0095169716399</v>
      </c>
    </row>
    <row r="87" spans="1:17">
      <c r="A87" s="5" t="s">
        <v>77</v>
      </c>
      <c r="B87" s="5" t="s">
        <v>75</v>
      </c>
      <c r="C87" s="5" t="s">
        <v>76</v>
      </c>
      <c r="D87" s="5" t="s">
        <v>21</v>
      </c>
      <c r="E87" s="5" t="s">
        <v>24</v>
      </c>
      <c r="F87" s="4">
        <v>0</v>
      </c>
      <c r="G87" s="4">
        <v>0</v>
      </c>
      <c r="H87" s="4">
        <v>97.185129995546333</v>
      </c>
      <c r="I87" s="4">
        <v>1307.537744639666</v>
      </c>
      <c r="J87" s="4">
        <v>1522.3183547248786</v>
      </c>
      <c r="K87" s="4">
        <v>1673.6716523842704</v>
      </c>
      <c r="L87" s="4">
        <v>1619.9196593153704</v>
      </c>
      <c r="M87" s="4">
        <v>1540.0019790191052</v>
      </c>
      <c r="N87" s="4">
        <v>1642.2233369797489</v>
      </c>
      <c r="O87" s="4">
        <v>1171.235756157954</v>
      </c>
      <c r="P87" s="4">
        <v>0</v>
      </c>
      <c r="Q87" s="4">
        <v>0</v>
      </c>
    </row>
    <row r="88" spans="1:17">
      <c r="A88" s="5" t="s">
        <v>74</v>
      </c>
      <c r="B88" s="5" t="s">
        <v>75</v>
      </c>
      <c r="C88" s="5" t="s">
        <v>76</v>
      </c>
      <c r="D88" s="5" t="s">
        <v>21</v>
      </c>
      <c r="E88" s="5" t="s">
        <v>25</v>
      </c>
      <c r="F88" s="4">
        <v>5160.5030801259163</v>
      </c>
      <c r="G88" s="4">
        <v>4642.0804363254019</v>
      </c>
      <c r="H88" s="4">
        <v>4693.2487725050905</v>
      </c>
      <c r="I88" s="4">
        <v>3458.8556325326381</v>
      </c>
      <c r="J88" s="4">
        <v>3866.5609132623026</v>
      </c>
      <c r="K88" s="4">
        <v>5172.5596680459694</v>
      </c>
      <c r="L88" s="4">
        <v>5305.6322366795011</v>
      </c>
      <c r="M88" s="4">
        <v>5029.7995031903183</v>
      </c>
      <c r="N88" s="4">
        <v>4697.645295563153</v>
      </c>
      <c r="O88" s="4">
        <v>3837.4423954339036</v>
      </c>
      <c r="P88" s="4">
        <v>5119.7153724516429</v>
      </c>
      <c r="Q88" s="4">
        <v>5669.3577766894296</v>
      </c>
    </row>
    <row r="89" spans="1:17">
      <c r="A89" s="5" t="s">
        <v>77</v>
      </c>
      <c r="B89" s="5" t="s">
        <v>75</v>
      </c>
      <c r="C89" s="5" t="s">
        <v>76</v>
      </c>
      <c r="D89" s="5" t="s">
        <v>21</v>
      </c>
      <c r="E89" s="5" t="s">
        <v>25</v>
      </c>
      <c r="F89" s="4">
        <v>0</v>
      </c>
      <c r="G89" s="4">
        <v>0</v>
      </c>
      <c r="H89" s="4">
        <v>307.08992385874876</v>
      </c>
      <c r="I89" s="4">
        <v>4417.5601828541839</v>
      </c>
      <c r="J89" s="4">
        <v>4938.2707316121787</v>
      </c>
      <c r="K89" s="4">
        <v>6606.2582716891466</v>
      </c>
      <c r="L89" s="4">
        <v>6776.2150848895799</v>
      </c>
      <c r="M89" s="4">
        <v>6423.9287133137232</v>
      </c>
      <c r="N89" s="4">
        <v>5999.7100242246815</v>
      </c>
      <c r="O89" s="4">
        <v>3601.1938619379725</v>
      </c>
      <c r="P89" s="4">
        <v>0</v>
      </c>
      <c r="Q89" s="4">
        <v>0</v>
      </c>
    </row>
    <row r="90" spans="1:17">
      <c r="A90" s="5" t="s">
        <v>78</v>
      </c>
      <c r="B90" s="5" t="s">
        <v>79</v>
      </c>
      <c r="C90" s="5" t="s">
        <v>80</v>
      </c>
      <c r="D90" s="5" t="s">
        <v>21</v>
      </c>
      <c r="E90" s="5" t="s">
        <v>22</v>
      </c>
      <c r="F90" s="4">
        <v>1000.2896735089611</v>
      </c>
      <c r="G90" s="4">
        <v>894.28462900751776</v>
      </c>
      <c r="H90" s="4">
        <v>948.3063727439968</v>
      </c>
      <c r="I90" s="4">
        <v>967.02515407638941</v>
      </c>
      <c r="J90" s="4">
        <v>1026.178725480717</v>
      </c>
      <c r="K90" s="4">
        <v>982.62143044215088</v>
      </c>
      <c r="L90" s="4">
        <v>1029.6547889693791</v>
      </c>
      <c r="M90" s="4">
        <v>1017.3660767137501</v>
      </c>
      <c r="N90" s="4">
        <v>956.00360108890379</v>
      </c>
      <c r="O90" s="4">
        <v>1005.6818220423307</v>
      </c>
      <c r="P90" s="4">
        <v>986.14280841759262</v>
      </c>
      <c r="Q90" s="4">
        <v>950.14860118999604</v>
      </c>
    </row>
    <row r="91" spans="1:17">
      <c r="A91" s="5" t="s">
        <v>78</v>
      </c>
      <c r="B91" s="5" t="s">
        <v>79</v>
      </c>
      <c r="C91" s="5" t="s">
        <v>80</v>
      </c>
      <c r="D91" s="5" t="s">
        <v>21</v>
      </c>
      <c r="E91" s="5" t="s">
        <v>24</v>
      </c>
      <c r="F91" s="4">
        <v>1428.7138185322285</v>
      </c>
      <c r="G91" s="4">
        <v>1242.7067458901456</v>
      </c>
      <c r="H91" s="4">
        <v>1400.994700220157</v>
      </c>
      <c r="I91" s="4">
        <v>1195.6402494829279</v>
      </c>
      <c r="J91" s="4">
        <v>1432.5030189250479</v>
      </c>
      <c r="K91" s="4">
        <v>1388.074852667733</v>
      </c>
      <c r="L91" s="4">
        <v>1202.2500589407762</v>
      </c>
      <c r="M91" s="4">
        <v>1246.2997157756074</v>
      </c>
      <c r="N91" s="4">
        <v>1213.681431279552</v>
      </c>
      <c r="O91" s="4">
        <v>1303.2877032993892</v>
      </c>
      <c r="P91" s="4">
        <v>1338.3988636770755</v>
      </c>
      <c r="Q91" s="4">
        <v>1261.0470345161414</v>
      </c>
    </row>
    <row r="92" spans="1:17">
      <c r="A92" s="5" t="s">
        <v>78</v>
      </c>
      <c r="B92" s="5" t="s">
        <v>79</v>
      </c>
      <c r="C92" s="5" t="s">
        <v>80</v>
      </c>
      <c r="D92" s="5" t="s">
        <v>21</v>
      </c>
      <c r="E92" s="5" t="s">
        <v>25</v>
      </c>
      <c r="F92" s="4">
        <v>4276.0395611316535</v>
      </c>
      <c r="G92" s="4">
        <v>3807.2533020186925</v>
      </c>
      <c r="H92" s="4">
        <v>4738.8308132362135</v>
      </c>
      <c r="I92" s="4">
        <v>3645.5794421037526</v>
      </c>
      <c r="J92" s="4">
        <v>4767.9873962891443</v>
      </c>
      <c r="K92" s="4">
        <v>4722.1994743982023</v>
      </c>
      <c r="L92" s="4">
        <v>4746.1836485266567</v>
      </c>
      <c r="M92" s="4">
        <v>5177.5788868829304</v>
      </c>
      <c r="N92" s="4">
        <v>3352.6070143828115</v>
      </c>
      <c r="O92" s="4">
        <v>4499.012169466826</v>
      </c>
      <c r="P92" s="4">
        <v>4444.4113534201188</v>
      </c>
      <c r="Q92" s="4">
        <v>4652.7920899342316</v>
      </c>
    </row>
  </sheetData>
  <autoFilter ref="A2:AE2" xr:uid="{C49AE60D-DD79-4CC2-AC5F-2AB21837D715}">
    <sortState xmlns:xlrd2="http://schemas.microsoft.com/office/spreadsheetml/2017/richdata2" ref="A3:AE338">
      <sortCondition ref="B2"/>
    </sortState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A0C4-4D53-4973-87F3-2DC310223C23}">
  <dimension ref="A1:Q152"/>
  <sheetViews>
    <sheetView workbookViewId="0">
      <pane ySplit="2" topLeftCell="A3" activePane="bottomLeft" state="frozen"/>
      <selection pane="bottomLeft" sqref="A1:D1"/>
      <selection activeCell="G22" sqref="G22"/>
    </sheetView>
  </sheetViews>
  <sheetFormatPr defaultRowHeight="16.5"/>
  <cols>
    <col min="1" max="1" width="25.85546875" style="1" bestFit="1" customWidth="1"/>
    <col min="2" max="4" width="25.85546875" style="1" customWidth="1"/>
    <col min="5" max="5" width="17.7109375" style="1" customWidth="1"/>
    <col min="6" max="6" width="9.28515625" style="1" bestFit="1" customWidth="1"/>
    <col min="7" max="7" width="9.42578125" style="1" bestFit="1" customWidth="1"/>
    <col min="8" max="8" width="9.85546875" style="1" bestFit="1" customWidth="1"/>
    <col min="9" max="9" width="9.28515625" style="1" bestFit="1" customWidth="1"/>
    <col min="10" max="10" width="10.28515625" style="1" bestFit="1" customWidth="1"/>
    <col min="11" max="11" width="9.140625" style="1"/>
    <col min="12" max="12" width="8.28515625" style="1" bestFit="1" customWidth="1"/>
    <col min="13" max="13" width="9.85546875" style="1" bestFit="1" customWidth="1"/>
    <col min="14" max="14" width="9.42578125" style="1" bestFit="1" customWidth="1"/>
    <col min="15" max="15" width="9.5703125" style="1" bestFit="1" customWidth="1"/>
    <col min="16" max="17" width="10" style="1" bestFit="1" customWidth="1"/>
    <col min="18" max="16384" width="9.140625" style="1"/>
  </cols>
  <sheetData>
    <row r="1" spans="1:17">
      <c r="A1" s="21" t="s">
        <v>81</v>
      </c>
      <c r="B1" s="21"/>
      <c r="C1" s="21"/>
      <c r="D1" s="21"/>
    </row>
    <row r="2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82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>
      <c r="A3" s="5" t="s">
        <v>18</v>
      </c>
      <c r="B3" s="5" t="s">
        <v>19</v>
      </c>
      <c r="C3" s="5" t="s">
        <v>20</v>
      </c>
      <c r="D3" s="5" t="s">
        <v>21</v>
      </c>
      <c r="E3" s="5" t="s">
        <v>83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5" t="s">
        <v>26</v>
      </c>
      <c r="B4" s="5" t="s">
        <v>27</v>
      </c>
      <c r="C4" s="5" t="s">
        <v>20</v>
      </c>
      <c r="D4" s="5" t="s">
        <v>28</v>
      </c>
      <c r="E4" s="5" t="s">
        <v>83</v>
      </c>
      <c r="F4" s="4">
        <v>23</v>
      </c>
      <c r="G4" s="4">
        <v>20</v>
      </c>
      <c r="H4" s="4">
        <v>23</v>
      </c>
      <c r="I4" s="4">
        <v>30</v>
      </c>
      <c r="J4" s="4">
        <v>31</v>
      </c>
      <c r="K4" s="4">
        <v>30</v>
      </c>
      <c r="L4" s="4">
        <v>31</v>
      </c>
      <c r="M4" s="4">
        <v>31</v>
      </c>
      <c r="N4" s="4">
        <v>30</v>
      </c>
      <c r="O4" s="4">
        <v>29</v>
      </c>
      <c r="P4" s="4">
        <v>21</v>
      </c>
      <c r="Q4" s="4">
        <v>21</v>
      </c>
    </row>
    <row r="5" spans="1:17">
      <c r="A5" s="5" t="s">
        <v>23</v>
      </c>
      <c r="B5" s="5" t="s">
        <v>19</v>
      </c>
      <c r="C5" s="5" t="s">
        <v>20</v>
      </c>
      <c r="D5" s="5" t="s">
        <v>21</v>
      </c>
      <c r="E5" s="5" t="s">
        <v>83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5" t="s">
        <v>18</v>
      </c>
      <c r="B6" s="5" t="s">
        <v>19</v>
      </c>
      <c r="C6" s="5" t="s">
        <v>20</v>
      </c>
      <c r="D6" s="5" t="s">
        <v>21</v>
      </c>
      <c r="E6" s="5" t="s">
        <v>84</v>
      </c>
      <c r="F6" s="4">
        <v>31</v>
      </c>
      <c r="G6" s="4">
        <v>28</v>
      </c>
      <c r="H6" s="4">
        <v>31</v>
      </c>
      <c r="I6" s="4">
        <v>30</v>
      </c>
      <c r="J6" s="4">
        <v>31</v>
      </c>
      <c r="K6" s="4">
        <v>30</v>
      </c>
      <c r="L6" s="4">
        <v>31</v>
      </c>
      <c r="M6" s="4">
        <v>31</v>
      </c>
      <c r="N6" s="4">
        <v>30</v>
      </c>
      <c r="O6" s="4">
        <v>31</v>
      </c>
      <c r="P6" s="4">
        <v>30</v>
      </c>
      <c r="Q6" s="4">
        <v>31</v>
      </c>
    </row>
    <row r="7" spans="1:17">
      <c r="A7" s="5" t="s">
        <v>26</v>
      </c>
      <c r="B7" s="5" t="s">
        <v>27</v>
      </c>
      <c r="C7" s="5" t="s">
        <v>20</v>
      </c>
      <c r="D7" s="5" t="s">
        <v>28</v>
      </c>
      <c r="E7" s="5" t="s">
        <v>84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>
      <c r="A8" s="5" t="s">
        <v>23</v>
      </c>
      <c r="B8" s="5" t="s">
        <v>19</v>
      </c>
      <c r="C8" s="5" t="s">
        <v>20</v>
      </c>
      <c r="D8" s="5" t="s">
        <v>21</v>
      </c>
      <c r="E8" s="5" t="s">
        <v>84</v>
      </c>
      <c r="F8" s="4">
        <v>0</v>
      </c>
      <c r="G8" s="4">
        <v>0</v>
      </c>
      <c r="H8" s="4">
        <v>2</v>
      </c>
      <c r="I8" s="4">
        <v>30</v>
      </c>
      <c r="J8" s="4">
        <v>31</v>
      </c>
      <c r="K8" s="4">
        <v>30</v>
      </c>
      <c r="L8" s="4">
        <v>31</v>
      </c>
      <c r="M8" s="4">
        <v>31</v>
      </c>
      <c r="N8" s="4">
        <v>30</v>
      </c>
      <c r="O8" s="4">
        <v>25</v>
      </c>
      <c r="P8" s="4">
        <v>0</v>
      </c>
      <c r="Q8" s="4">
        <v>0</v>
      </c>
    </row>
    <row r="9" spans="1:17">
      <c r="A9" s="5" t="s">
        <v>18</v>
      </c>
      <c r="B9" s="5" t="s">
        <v>19</v>
      </c>
      <c r="C9" s="5" t="s">
        <v>20</v>
      </c>
      <c r="D9" s="5" t="s">
        <v>21</v>
      </c>
      <c r="E9" s="5" t="s">
        <v>85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>
      <c r="A10" s="5" t="s">
        <v>26</v>
      </c>
      <c r="B10" s="5" t="s">
        <v>27</v>
      </c>
      <c r="C10" s="5" t="s">
        <v>20</v>
      </c>
      <c r="D10" s="5" t="s">
        <v>28</v>
      </c>
      <c r="E10" s="5" t="s">
        <v>85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s="5" t="s">
        <v>23</v>
      </c>
      <c r="B11" s="5" t="s">
        <v>19</v>
      </c>
      <c r="C11" s="5" t="s">
        <v>20</v>
      </c>
      <c r="D11" s="5" t="s">
        <v>21</v>
      </c>
      <c r="E11" s="5" t="s">
        <v>85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86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s="5" t="s">
        <v>26</v>
      </c>
      <c r="B13" s="5" t="s">
        <v>27</v>
      </c>
      <c r="C13" s="5" t="s">
        <v>20</v>
      </c>
      <c r="D13" s="5" t="s">
        <v>28</v>
      </c>
      <c r="E13" s="5" t="s">
        <v>86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5" t="s">
        <v>23</v>
      </c>
      <c r="B14" s="5" t="s">
        <v>19</v>
      </c>
      <c r="C14" s="5" t="s">
        <v>20</v>
      </c>
      <c r="D14" s="5" t="s">
        <v>21</v>
      </c>
      <c r="E14" s="5" t="s">
        <v>86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>
      <c r="A15" s="5" t="s">
        <v>18</v>
      </c>
      <c r="B15" s="5" t="s">
        <v>19</v>
      </c>
      <c r="C15" s="5" t="s">
        <v>20</v>
      </c>
      <c r="D15" s="5" t="s">
        <v>21</v>
      </c>
      <c r="E15" s="5" t="s">
        <v>87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>
      <c r="A16" s="5" t="s">
        <v>26</v>
      </c>
      <c r="B16" s="5" t="s">
        <v>27</v>
      </c>
      <c r="C16" s="5" t="s">
        <v>20</v>
      </c>
      <c r="D16" s="5" t="s">
        <v>28</v>
      </c>
      <c r="E16" s="5" t="s">
        <v>87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>
      <c r="A17" s="5" t="s">
        <v>23</v>
      </c>
      <c r="B17" s="5" t="s">
        <v>19</v>
      </c>
      <c r="C17" s="5" t="s">
        <v>20</v>
      </c>
      <c r="D17" s="5" t="s">
        <v>21</v>
      </c>
      <c r="E17" s="5" t="s">
        <v>87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>
      <c r="A18" s="5" t="s">
        <v>29</v>
      </c>
      <c r="B18" s="5" t="s">
        <v>30</v>
      </c>
      <c r="C18" s="5" t="s">
        <v>31</v>
      </c>
      <c r="D18" s="5" t="s">
        <v>21</v>
      </c>
      <c r="E18" s="5" t="s">
        <v>83</v>
      </c>
      <c r="F18" s="4">
        <v>13</v>
      </c>
      <c r="G18" s="4">
        <v>12</v>
      </c>
      <c r="H18" s="4">
        <v>12</v>
      </c>
      <c r="I18" s="4">
        <v>8</v>
      </c>
      <c r="J18" s="4">
        <v>10</v>
      </c>
      <c r="K18" s="4">
        <v>8</v>
      </c>
      <c r="L18" s="4">
        <v>9</v>
      </c>
      <c r="M18" s="4">
        <v>9</v>
      </c>
      <c r="N18" s="4">
        <v>8</v>
      </c>
      <c r="O18" s="4">
        <v>11</v>
      </c>
      <c r="P18" s="4">
        <v>13</v>
      </c>
      <c r="Q18" s="4">
        <v>13</v>
      </c>
    </row>
    <row r="19" spans="1:17">
      <c r="A19" s="5" t="s">
        <v>32</v>
      </c>
      <c r="B19" s="5" t="s">
        <v>30</v>
      </c>
      <c r="C19" s="5" t="s">
        <v>31</v>
      </c>
      <c r="D19" s="5" t="s">
        <v>21</v>
      </c>
      <c r="E19" s="5" t="s">
        <v>83</v>
      </c>
      <c r="F19" s="4">
        <v>0</v>
      </c>
      <c r="G19" s="4">
        <v>0</v>
      </c>
      <c r="H19" s="4">
        <v>1</v>
      </c>
      <c r="I19" s="4">
        <v>9</v>
      </c>
      <c r="J19" s="4">
        <v>8</v>
      </c>
      <c r="K19" s="4">
        <v>9</v>
      </c>
      <c r="L19" s="4">
        <v>9</v>
      </c>
      <c r="M19" s="4">
        <v>9</v>
      </c>
      <c r="N19" s="4">
        <v>8</v>
      </c>
      <c r="O19" s="4">
        <v>7</v>
      </c>
      <c r="P19" s="4">
        <v>0</v>
      </c>
      <c r="Q19" s="4">
        <v>0</v>
      </c>
    </row>
    <row r="20" spans="1:17">
      <c r="A20" s="5" t="s">
        <v>29</v>
      </c>
      <c r="B20" s="5" t="s">
        <v>30</v>
      </c>
      <c r="C20" s="5" t="s">
        <v>31</v>
      </c>
      <c r="D20" s="5" t="s">
        <v>21</v>
      </c>
      <c r="E20" s="5" t="s">
        <v>84</v>
      </c>
      <c r="F20" s="4">
        <v>18</v>
      </c>
      <c r="G20" s="4">
        <v>16</v>
      </c>
      <c r="H20" s="4">
        <v>19</v>
      </c>
      <c r="I20" s="4">
        <v>22</v>
      </c>
      <c r="J20" s="4">
        <v>21</v>
      </c>
      <c r="K20" s="4">
        <v>22</v>
      </c>
      <c r="L20" s="4">
        <v>22</v>
      </c>
      <c r="M20" s="4">
        <v>22</v>
      </c>
      <c r="N20" s="4">
        <v>22</v>
      </c>
      <c r="O20" s="4">
        <v>19</v>
      </c>
      <c r="P20" s="4">
        <v>17</v>
      </c>
      <c r="Q20" s="4">
        <v>17</v>
      </c>
    </row>
    <row r="21" spans="1:17">
      <c r="A21" s="5" t="s">
        <v>32</v>
      </c>
      <c r="B21" s="5" t="s">
        <v>30</v>
      </c>
      <c r="C21" s="5" t="s">
        <v>31</v>
      </c>
      <c r="D21" s="5" t="s">
        <v>21</v>
      </c>
      <c r="E21" s="5" t="s">
        <v>84</v>
      </c>
      <c r="F21" s="4">
        <v>0</v>
      </c>
      <c r="G21" s="4">
        <v>0</v>
      </c>
      <c r="H21" s="4">
        <v>1</v>
      </c>
      <c r="I21" s="4">
        <v>21</v>
      </c>
      <c r="J21" s="4">
        <v>23</v>
      </c>
      <c r="K21" s="4">
        <v>21</v>
      </c>
      <c r="L21" s="4">
        <v>22</v>
      </c>
      <c r="M21" s="4">
        <v>22</v>
      </c>
      <c r="N21" s="4">
        <v>22</v>
      </c>
      <c r="O21" s="4">
        <v>17</v>
      </c>
      <c r="P21" s="4">
        <v>0</v>
      </c>
      <c r="Q21" s="4">
        <v>0</v>
      </c>
    </row>
    <row r="22" spans="1:17">
      <c r="A22" s="5" t="s">
        <v>29</v>
      </c>
      <c r="B22" s="5" t="s">
        <v>30</v>
      </c>
      <c r="C22" s="5" t="s">
        <v>31</v>
      </c>
      <c r="D22" s="5" t="s">
        <v>21</v>
      </c>
      <c r="E22" s="5" t="s">
        <v>85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>
      <c r="A23" s="5" t="s">
        <v>32</v>
      </c>
      <c r="B23" s="5" t="s">
        <v>30</v>
      </c>
      <c r="C23" s="5" t="s">
        <v>31</v>
      </c>
      <c r="D23" s="5" t="s">
        <v>21</v>
      </c>
      <c r="E23" s="5" t="s">
        <v>85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>
      <c r="A24" s="5" t="s">
        <v>29</v>
      </c>
      <c r="B24" s="5" t="s">
        <v>30</v>
      </c>
      <c r="C24" s="5" t="s">
        <v>31</v>
      </c>
      <c r="D24" s="5" t="s">
        <v>21</v>
      </c>
      <c r="E24" s="5" t="s">
        <v>86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>
      <c r="A25" s="5" t="s">
        <v>32</v>
      </c>
      <c r="B25" s="5" t="s">
        <v>30</v>
      </c>
      <c r="C25" s="5" t="s">
        <v>31</v>
      </c>
      <c r="D25" s="5" t="s">
        <v>21</v>
      </c>
      <c r="E25" s="5" t="s">
        <v>86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>
      <c r="A26" s="5" t="s">
        <v>29</v>
      </c>
      <c r="B26" s="5" t="s">
        <v>30</v>
      </c>
      <c r="C26" s="5" t="s">
        <v>31</v>
      </c>
      <c r="D26" s="5" t="s">
        <v>21</v>
      </c>
      <c r="E26" s="5" t="s">
        <v>87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>
      <c r="A27" s="5" t="s">
        <v>32</v>
      </c>
      <c r="B27" s="5" t="s">
        <v>30</v>
      </c>
      <c r="C27" s="5" t="s">
        <v>31</v>
      </c>
      <c r="D27" s="5" t="s">
        <v>21</v>
      </c>
      <c r="E27" s="5" t="s">
        <v>87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>
      <c r="A28" s="5" t="s">
        <v>33</v>
      </c>
      <c r="B28" s="5" t="s">
        <v>34</v>
      </c>
      <c r="C28" s="5" t="s">
        <v>35</v>
      </c>
      <c r="D28" s="5" t="s">
        <v>21</v>
      </c>
      <c r="E28" s="5" t="s">
        <v>83</v>
      </c>
      <c r="F28" s="4">
        <v>8</v>
      </c>
      <c r="G28" s="4">
        <v>8</v>
      </c>
      <c r="H28" s="4">
        <v>8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</v>
      </c>
      <c r="P28" s="4">
        <v>9</v>
      </c>
      <c r="Q28" s="4">
        <v>9</v>
      </c>
    </row>
    <row r="29" spans="1:17">
      <c r="A29" s="5" t="s">
        <v>33</v>
      </c>
      <c r="B29" s="5" t="s">
        <v>34</v>
      </c>
      <c r="C29" s="5" t="s">
        <v>35</v>
      </c>
      <c r="D29" s="5" t="s">
        <v>21</v>
      </c>
      <c r="E29" s="5" t="s">
        <v>84</v>
      </c>
      <c r="F29" s="4">
        <v>23</v>
      </c>
      <c r="G29" s="4">
        <v>20</v>
      </c>
      <c r="H29" s="4">
        <v>21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4</v>
      </c>
      <c r="P29" s="4">
        <v>21</v>
      </c>
      <c r="Q29" s="4">
        <v>22</v>
      </c>
    </row>
    <row r="30" spans="1:17">
      <c r="A30" s="5" t="s">
        <v>33</v>
      </c>
      <c r="B30" s="5" t="s">
        <v>34</v>
      </c>
      <c r="C30" s="5" t="s">
        <v>35</v>
      </c>
      <c r="D30" s="5" t="s">
        <v>21</v>
      </c>
      <c r="E30" s="5" t="s">
        <v>85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>
      <c r="A31" s="5" t="s">
        <v>33</v>
      </c>
      <c r="B31" s="5" t="s">
        <v>34</v>
      </c>
      <c r="C31" s="5" t="s">
        <v>35</v>
      </c>
      <c r="D31" s="5" t="s">
        <v>21</v>
      </c>
      <c r="E31" s="5" t="s">
        <v>86</v>
      </c>
      <c r="F31" s="4">
        <v>0</v>
      </c>
      <c r="G31" s="4">
        <v>0</v>
      </c>
      <c r="H31" s="4">
        <v>2</v>
      </c>
      <c r="I31" s="4">
        <v>30</v>
      </c>
      <c r="J31" s="4">
        <v>31</v>
      </c>
      <c r="K31" s="4">
        <v>30</v>
      </c>
      <c r="L31" s="4">
        <v>31</v>
      </c>
      <c r="M31" s="4">
        <v>31</v>
      </c>
      <c r="N31" s="4">
        <v>30</v>
      </c>
      <c r="O31" s="4">
        <v>25</v>
      </c>
      <c r="P31" s="4">
        <v>0</v>
      </c>
      <c r="Q31" s="4">
        <v>0</v>
      </c>
    </row>
    <row r="32" spans="1:17">
      <c r="A32" s="5" t="s">
        <v>33</v>
      </c>
      <c r="B32" s="5" t="s">
        <v>34</v>
      </c>
      <c r="C32" s="5" t="s">
        <v>35</v>
      </c>
      <c r="D32" s="5" t="s">
        <v>21</v>
      </c>
      <c r="E32" s="5" t="s">
        <v>87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>
      <c r="A33" s="5" t="s">
        <v>36</v>
      </c>
      <c r="B33" s="5" t="s">
        <v>37</v>
      </c>
      <c r="C33" s="5" t="s">
        <v>38</v>
      </c>
      <c r="D33" s="5" t="s">
        <v>21</v>
      </c>
      <c r="E33" s="5" t="s">
        <v>83</v>
      </c>
      <c r="F33" s="4">
        <v>0</v>
      </c>
      <c r="G33" s="4">
        <v>0</v>
      </c>
      <c r="H33" s="4">
        <v>1</v>
      </c>
      <c r="I33" s="4">
        <v>8</v>
      </c>
      <c r="J33" s="4">
        <v>9</v>
      </c>
      <c r="K33" s="4">
        <v>9</v>
      </c>
      <c r="L33" s="4">
        <v>9</v>
      </c>
      <c r="M33" s="4">
        <v>8</v>
      </c>
      <c r="N33" s="4">
        <v>9</v>
      </c>
      <c r="O33" s="4">
        <v>7</v>
      </c>
      <c r="P33" s="4">
        <v>0</v>
      </c>
      <c r="Q33" s="4">
        <v>0</v>
      </c>
    </row>
    <row r="34" spans="1:17">
      <c r="A34" s="5" t="s">
        <v>39</v>
      </c>
      <c r="B34" s="5" t="s">
        <v>37</v>
      </c>
      <c r="C34" s="5" t="s">
        <v>38</v>
      </c>
      <c r="D34" s="5" t="s">
        <v>21</v>
      </c>
      <c r="E34" s="5" t="s">
        <v>83</v>
      </c>
      <c r="F34" s="4">
        <v>0</v>
      </c>
      <c r="G34" s="4">
        <v>0</v>
      </c>
      <c r="H34" s="4">
        <v>0</v>
      </c>
      <c r="I34" s="4">
        <v>9</v>
      </c>
      <c r="J34" s="4">
        <v>9</v>
      </c>
      <c r="K34" s="4">
        <v>8</v>
      </c>
      <c r="L34" s="4">
        <v>9</v>
      </c>
      <c r="M34" s="4">
        <v>9</v>
      </c>
      <c r="N34" s="4">
        <v>8</v>
      </c>
      <c r="O34" s="4">
        <v>8</v>
      </c>
      <c r="P34" s="4">
        <v>0</v>
      </c>
      <c r="Q34" s="4">
        <v>0</v>
      </c>
    </row>
    <row r="35" spans="1:17">
      <c r="A35" s="5" t="s">
        <v>40</v>
      </c>
      <c r="B35" s="5" t="s">
        <v>37</v>
      </c>
      <c r="C35" s="5" t="s">
        <v>38</v>
      </c>
      <c r="D35" s="5" t="s">
        <v>21</v>
      </c>
      <c r="E35" s="5" t="s">
        <v>83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 spans="1:17">
      <c r="A36" s="5" t="s">
        <v>41</v>
      </c>
      <c r="B36" s="5" t="s">
        <v>37</v>
      </c>
      <c r="C36" s="5" t="s">
        <v>38</v>
      </c>
      <c r="D36" s="5" t="s">
        <v>21</v>
      </c>
      <c r="E36" s="5" t="s">
        <v>83</v>
      </c>
      <c r="F36" s="4">
        <v>0</v>
      </c>
      <c r="G36" s="4">
        <v>0</v>
      </c>
      <c r="H36" s="4">
        <v>0</v>
      </c>
      <c r="I36" s="4">
        <v>5</v>
      </c>
      <c r="J36" s="4">
        <v>4</v>
      </c>
      <c r="K36" s="4">
        <v>4</v>
      </c>
      <c r="L36" s="4">
        <v>5</v>
      </c>
      <c r="M36" s="4">
        <v>4</v>
      </c>
      <c r="N36" s="4">
        <v>5</v>
      </c>
      <c r="O36" s="4">
        <v>3</v>
      </c>
      <c r="P36" s="4">
        <v>0</v>
      </c>
      <c r="Q36" s="4">
        <v>0</v>
      </c>
    </row>
    <row r="37" spans="1:17">
      <c r="A37" s="5" t="s">
        <v>42</v>
      </c>
      <c r="B37" s="5" t="s">
        <v>37</v>
      </c>
      <c r="C37" s="5" t="s">
        <v>38</v>
      </c>
      <c r="D37" s="5" t="s">
        <v>21</v>
      </c>
      <c r="E37" s="5" t="s">
        <v>83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>
      <c r="A38" s="5" t="s">
        <v>45</v>
      </c>
      <c r="B38" s="5" t="s">
        <v>46</v>
      </c>
      <c r="C38" s="5" t="s">
        <v>38</v>
      </c>
      <c r="D38" s="5" t="s">
        <v>28</v>
      </c>
      <c r="E38" s="5" t="s">
        <v>83</v>
      </c>
      <c r="F38" s="4">
        <v>22</v>
      </c>
      <c r="G38" s="4">
        <v>20</v>
      </c>
      <c r="H38" s="4">
        <v>21</v>
      </c>
      <c r="I38" s="4">
        <v>13</v>
      </c>
      <c r="J38" s="4">
        <v>13</v>
      </c>
      <c r="K38" s="4">
        <v>13</v>
      </c>
      <c r="L38" s="4">
        <v>13</v>
      </c>
      <c r="M38" s="4">
        <v>14</v>
      </c>
      <c r="N38" s="4">
        <v>12</v>
      </c>
      <c r="O38" s="4">
        <v>15</v>
      </c>
      <c r="P38" s="4">
        <v>21</v>
      </c>
      <c r="Q38" s="4">
        <v>23</v>
      </c>
    </row>
    <row r="39" spans="1:17">
      <c r="A39" s="5" t="s">
        <v>43</v>
      </c>
      <c r="B39" s="5" t="s">
        <v>37</v>
      </c>
      <c r="C39" s="5" t="s">
        <v>38</v>
      </c>
      <c r="D39" s="5" t="s">
        <v>21</v>
      </c>
      <c r="E39" s="5" t="s">
        <v>83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</row>
    <row r="40" spans="1:17">
      <c r="A40" s="5" t="s">
        <v>44</v>
      </c>
      <c r="B40" s="5" t="s">
        <v>37</v>
      </c>
      <c r="C40" s="5" t="s">
        <v>38</v>
      </c>
      <c r="D40" s="5" t="s">
        <v>21</v>
      </c>
      <c r="E40" s="5" t="s">
        <v>83</v>
      </c>
      <c r="F40" s="4">
        <v>0</v>
      </c>
      <c r="G40" s="4">
        <v>0</v>
      </c>
      <c r="H40" s="4">
        <v>1</v>
      </c>
      <c r="I40" s="4">
        <v>4</v>
      </c>
      <c r="J40" s="4">
        <v>4</v>
      </c>
      <c r="K40" s="4">
        <v>5</v>
      </c>
      <c r="L40" s="4">
        <v>4</v>
      </c>
      <c r="M40" s="4">
        <v>5</v>
      </c>
      <c r="N40" s="4">
        <v>4</v>
      </c>
      <c r="O40" s="4">
        <v>3</v>
      </c>
      <c r="P40" s="4">
        <v>0</v>
      </c>
      <c r="Q40" s="4">
        <v>0</v>
      </c>
    </row>
    <row r="41" spans="1:17">
      <c r="A41" s="5" t="s">
        <v>36</v>
      </c>
      <c r="B41" s="5" t="s">
        <v>37</v>
      </c>
      <c r="C41" s="5" t="s">
        <v>38</v>
      </c>
      <c r="D41" s="5" t="s">
        <v>21</v>
      </c>
      <c r="E41" s="5" t="s">
        <v>84</v>
      </c>
      <c r="F41" s="4">
        <v>21</v>
      </c>
      <c r="G41" s="4">
        <v>20</v>
      </c>
      <c r="H41" s="4">
        <v>22</v>
      </c>
      <c r="I41" s="4">
        <v>4</v>
      </c>
      <c r="J41" s="4">
        <v>4</v>
      </c>
      <c r="K41" s="4">
        <v>5</v>
      </c>
      <c r="L41" s="4">
        <v>4</v>
      </c>
      <c r="M41" s="4">
        <v>5</v>
      </c>
      <c r="N41" s="4">
        <v>4</v>
      </c>
      <c r="O41" s="4">
        <v>7</v>
      </c>
      <c r="P41" s="4">
        <v>22</v>
      </c>
      <c r="Q41" s="4">
        <v>22</v>
      </c>
    </row>
    <row r="42" spans="1:17">
      <c r="A42" s="5" t="s">
        <v>39</v>
      </c>
      <c r="B42" s="5" t="s">
        <v>37</v>
      </c>
      <c r="C42" s="5" t="s">
        <v>38</v>
      </c>
      <c r="D42" s="5" t="s">
        <v>21</v>
      </c>
      <c r="E42" s="5" t="s">
        <v>84</v>
      </c>
      <c r="F42" s="4">
        <v>4</v>
      </c>
      <c r="G42" s="4">
        <v>4</v>
      </c>
      <c r="H42" s="4">
        <v>5</v>
      </c>
      <c r="I42" s="4">
        <v>4</v>
      </c>
      <c r="J42" s="4">
        <v>4</v>
      </c>
      <c r="K42" s="4">
        <v>5</v>
      </c>
      <c r="L42" s="4">
        <v>4</v>
      </c>
      <c r="M42" s="4">
        <v>4</v>
      </c>
      <c r="N42" s="4">
        <v>5</v>
      </c>
      <c r="O42" s="4">
        <v>4</v>
      </c>
      <c r="P42" s="4">
        <v>5</v>
      </c>
      <c r="Q42" s="4">
        <v>4</v>
      </c>
    </row>
    <row r="43" spans="1:17">
      <c r="A43" s="5" t="s">
        <v>40</v>
      </c>
      <c r="B43" s="5" t="s">
        <v>37</v>
      </c>
      <c r="C43" s="5" t="s">
        <v>38</v>
      </c>
      <c r="D43" s="5" t="s">
        <v>21</v>
      </c>
      <c r="E43" s="5" t="s">
        <v>84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>
      <c r="A44" s="5" t="s">
        <v>41</v>
      </c>
      <c r="B44" s="5" t="s">
        <v>37</v>
      </c>
      <c r="C44" s="5" t="s">
        <v>38</v>
      </c>
      <c r="D44" s="5" t="s">
        <v>21</v>
      </c>
      <c r="E44" s="5" t="s">
        <v>84</v>
      </c>
      <c r="F44" s="4">
        <v>19</v>
      </c>
      <c r="G44" s="4">
        <v>16</v>
      </c>
      <c r="H44" s="4">
        <v>17</v>
      </c>
      <c r="I44" s="4">
        <v>8</v>
      </c>
      <c r="J44" s="4">
        <v>9</v>
      </c>
      <c r="K44" s="4">
        <v>9</v>
      </c>
      <c r="L44" s="4">
        <v>8</v>
      </c>
      <c r="M44" s="4">
        <v>10</v>
      </c>
      <c r="N44" s="4">
        <v>8</v>
      </c>
      <c r="O44" s="4">
        <v>11</v>
      </c>
      <c r="P44" s="4">
        <v>17</v>
      </c>
      <c r="Q44" s="4">
        <v>17</v>
      </c>
    </row>
    <row r="45" spans="1:17">
      <c r="A45" s="5" t="s">
        <v>42</v>
      </c>
      <c r="B45" s="5" t="s">
        <v>37</v>
      </c>
      <c r="C45" s="5" t="s">
        <v>38</v>
      </c>
      <c r="D45" s="5" t="s">
        <v>21</v>
      </c>
      <c r="E45" s="5" t="s">
        <v>84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>
      <c r="A46" s="5" t="s">
        <v>45</v>
      </c>
      <c r="B46" s="5" t="s">
        <v>46</v>
      </c>
      <c r="C46" s="5" t="s">
        <v>38</v>
      </c>
      <c r="D46" s="5" t="s">
        <v>28</v>
      </c>
      <c r="E46" s="5" t="s">
        <v>84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>
      <c r="A47" s="5" t="s">
        <v>43</v>
      </c>
      <c r="B47" s="5" t="s">
        <v>37</v>
      </c>
      <c r="C47" s="5" t="s">
        <v>38</v>
      </c>
      <c r="D47" s="5" t="s">
        <v>21</v>
      </c>
      <c r="E47" s="5" t="s">
        <v>84</v>
      </c>
      <c r="F47" s="4">
        <v>4</v>
      </c>
      <c r="G47" s="4">
        <v>4</v>
      </c>
      <c r="H47" s="4">
        <v>5</v>
      </c>
      <c r="I47" s="4">
        <v>4</v>
      </c>
      <c r="J47" s="4">
        <v>4</v>
      </c>
      <c r="K47" s="4">
        <v>5</v>
      </c>
      <c r="L47" s="4">
        <v>4</v>
      </c>
      <c r="M47" s="4">
        <v>5</v>
      </c>
      <c r="N47" s="4">
        <v>4</v>
      </c>
      <c r="O47" s="4">
        <v>4</v>
      </c>
      <c r="P47" s="4">
        <v>4</v>
      </c>
      <c r="Q47" s="4">
        <v>5</v>
      </c>
    </row>
    <row r="48" spans="1:17">
      <c r="A48" s="5" t="s">
        <v>44</v>
      </c>
      <c r="B48" s="5" t="s">
        <v>37</v>
      </c>
      <c r="C48" s="5" t="s">
        <v>38</v>
      </c>
      <c r="D48" s="5" t="s">
        <v>21</v>
      </c>
      <c r="E48" s="5" t="s">
        <v>84</v>
      </c>
      <c r="F48" s="4">
        <v>17</v>
      </c>
      <c r="G48" s="4">
        <v>16</v>
      </c>
      <c r="H48" s="4">
        <v>17</v>
      </c>
      <c r="I48" s="4">
        <v>8</v>
      </c>
      <c r="J48" s="4">
        <v>10</v>
      </c>
      <c r="K48" s="4">
        <v>8</v>
      </c>
      <c r="L48" s="4">
        <v>9</v>
      </c>
      <c r="M48" s="4">
        <v>9</v>
      </c>
      <c r="N48" s="4">
        <v>8</v>
      </c>
      <c r="O48" s="4">
        <v>11</v>
      </c>
      <c r="P48" s="4">
        <v>18</v>
      </c>
      <c r="Q48" s="4">
        <v>17</v>
      </c>
    </row>
    <row r="49" spans="1:17">
      <c r="A49" s="5" t="s">
        <v>36</v>
      </c>
      <c r="B49" s="5" t="s">
        <v>37</v>
      </c>
      <c r="C49" s="5" t="s">
        <v>38</v>
      </c>
      <c r="D49" s="5" t="s">
        <v>21</v>
      </c>
      <c r="E49" s="5" t="s">
        <v>85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>
      <c r="A50" s="5" t="s">
        <v>39</v>
      </c>
      <c r="B50" s="5" t="s">
        <v>37</v>
      </c>
      <c r="C50" s="5" t="s">
        <v>38</v>
      </c>
      <c r="D50" s="5" t="s">
        <v>21</v>
      </c>
      <c r="E50" s="5" t="s">
        <v>85</v>
      </c>
      <c r="F50" s="4">
        <v>9</v>
      </c>
      <c r="G50" s="4">
        <v>8</v>
      </c>
      <c r="H50" s="4">
        <v>9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</v>
      </c>
      <c r="P50" s="4">
        <v>9</v>
      </c>
      <c r="Q50" s="4">
        <v>8</v>
      </c>
    </row>
    <row r="51" spans="1:17">
      <c r="A51" s="5" t="s">
        <v>40</v>
      </c>
      <c r="B51" s="5" t="s">
        <v>37</v>
      </c>
      <c r="C51" s="5" t="s">
        <v>38</v>
      </c>
      <c r="D51" s="5" t="s">
        <v>21</v>
      </c>
      <c r="E51" s="5" t="s">
        <v>85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>
      <c r="A52" s="5" t="s">
        <v>41</v>
      </c>
      <c r="B52" s="5" t="s">
        <v>37</v>
      </c>
      <c r="C52" s="5" t="s">
        <v>38</v>
      </c>
      <c r="D52" s="5" t="s">
        <v>21</v>
      </c>
      <c r="E52" s="5" t="s">
        <v>85</v>
      </c>
      <c r="F52" s="4">
        <v>4</v>
      </c>
      <c r="G52" s="4">
        <v>4</v>
      </c>
      <c r="H52" s="4">
        <v>4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</v>
      </c>
      <c r="P52" s="4">
        <v>4</v>
      </c>
      <c r="Q52" s="4">
        <v>5</v>
      </c>
    </row>
    <row r="53" spans="1:17">
      <c r="A53" s="5" t="s">
        <v>42</v>
      </c>
      <c r="B53" s="5" t="s">
        <v>37</v>
      </c>
      <c r="C53" s="5" t="s">
        <v>38</v>
      </c>
      <c r="D53" s="5" t="s">
        <v>21</v>
      </c>
      <c r="E53" s="5" t="s">
        <v>85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>
      <c r="A54" s="5" t="s">
        <v>45</v>
      </c>
      <c r="B54" s="5" t="s">
        <v>46</v>
      </c>
      <c r="C54" s="5" t="s">
        <v>38</v>
      </c>
      <c r="D54" s="5" t="s">
        <v>28</v>
      </c>
      <c r="E54" s="5" t="s">
        <v>85</v>
      </c>
      <c r="F54" s="4">
        <v>0</v>
      </c>
      <c r="G54" s="4">
        <v>0</v>
      </c>
      <c r="H54" s="4">
        <v>1</v>
      </c>
      <c r="I54" s="4">
        <v>17</v>
      </c>
      <c r="J54" s="4">
        <v>18</v>
      </c>
      <c r="K54" s="4">
        <v>17</v>
      </c>
      <c r="L54" s="4">
        <v>18</v>
      </c>
      <c r="M54" s="4">
        <v>17</v>
      </c>
      <c r="N54" s="4">
        <v>18</v>
      </c>
      <c r="O54" s="4">
        <v>14</v>
      </c>
      <c r="P54" s="4">
        <v>0</v>
      </c>
      <c r="Q54" s="4">
        <v>0</v>
      </c>
    </row>
    <row r="55" spans="1:17">
      <c r="A55" s="5" t="s">
        <v>43</v>
      </c>
      <c r="B55" s="5" t="s">
        <v>37</v>
      </c>
      <c r="C55" s="5" t="s">
        <v>38</v>
      </c>
      <c r="D55" s="5" t="s">
        <v>21</v>
      </c>
      <c r="E55" s="5" t="s">
        <v>85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>
      <c r="A56" s="5" t="s">
        <v>44</v>
      </c>
      <c r="B56" s="5" t="s">
        <v>37</v>
      </c>
      <c r="C56" s="5" t="s">
        <v>38</v>
      </c>
      <c r="D56" s="5" t="s">
        <v>21</v>
      </c>
      <c r="E56" s="5" t="s">
        <v>85</v>
      </c>
      <c r="F56" s="4">
        <v>10</v>
      </c>
      <c r="G56" s="4">
        <v>8</v>
      </c>
      <c r="H56" s="4">
        <v>8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2</v>
      </c>
      <c r="P56" s="4">
        <v>8</v>
      </c>
      <c r="Q56" s="4">
        <v>8</v>
      </c>
    </row>
    <row r="57" spans="1:17">
      <c r="A57" s="5" t="s">
        <v>36</v>
      </c>
      <c r="B57" s="5" t="s">
        <v>37</v>
      </c>
      <c r="C57" s="5" t="s">
        <v>38</v>
      </c>
      <c r="D57" s="5" t="s">
        <v>21</v>
      </c>
      <c r="E57" s="5" t="s">
        <v>86</v>
      </c>
      <c r="F57" s="4">
        <v>5</v>
      </c>
      <c r="G57" s="4">
        <v>4</v>
      </c>
      <c r="H57" s="4">
        <v>4</v>
      </c>
      <c r="I57" s="4">
        <v>18</v>
      </c>
      <c r="J57" s="4">
        <v>18</v>
      </c>
      <c r="K57" s="4">
        <v>16</v>
      </c>
      <c r="L57" s="4">
        <v>18</v>
      </c>
      <c r="M57" s="4">
        <v>18</v>
      </c>
      <c r="N57" s="4">
        <v>17</v>
      </c>
      <c r="O57" s="4">
        <v>16</v>
      </c>
      <c r="P57" s="4">
        <v>4</v>
      </c>
      <c r="Q57" s="4">
        <v>5</v>
      </c>
    </row>
    <row r="58" spans="1:17">
      <c r="A58" s="5" t="s">
        <v>39</v>
      </c>
      <c r="B58" s="5" t="s">
        <v>37</v>
      </c>
      <c r="C58" s="5" t="s">
        <v>38</v>
      </c>
      <c r="D58" s="5" t="s">
        <v>21</v>
      </c>
      <c r="E58" s="5" t="s">
        <v>86</v>
      </c>
      <c r="F58" s="4">
        <v>14</v>
      </c>
      <c r="G58" s="4">
        <v>12</v>
      </c>
      <c r="H58" s="4">
        <v>13</v>
      </c>
      <c r="I58" s="4">
        <v>12</v>
      </c>
      <c r="J58" s="4">
        <v>14</v>
      </c>
      <c r="K58" s="4">
        <v>13</v>
      </c>
      <c r="L58" s="4">
        <v>13</v>
      </c>
      <c r="M58" s="4">
        <v>14</v>
      </c>
      <c r="N58" s="4">
        <v>12</v>
      </c>
      <c r="O58" s="4">
        <v>14</v>
      </c>
      <c r="P58" s="4">
        <v>12</v>
      </c>
      <c r="Q58" s="4">
        <v>13</v>
      </c>
    </row>
    <row r="59" spans="1:17">
      <c r="A59" s="5" t="s">
        <v>40</v>
      </c>
      <c r="B59" s="5" t="s">
        <v>37</v>
      </c>
      <c r="C59" s="5" t="s">
        <v>38</v>
      </c>
      <c r="D59" s="5" t="s">
        <v>21</v>
      </c>
      <c r="E59" s="5" t="s">
        <v>86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>
      <c r="A60" s="5" t="s">
        <v>41</v>
      </c>
      <c r="B60" s="5" t="s">
        <v>37</v>
      </c>
      <c r="C60" s="5" t="s">
        <v>38</v>
      </c>
      <c r="D60" s="5" t="s">
        <v>21</v>
      </c>
      <c r="E60" s="5" t="s">
        <v>86</v>
      </c>
      <c r="F60" s="4">
        <v>4</v>
      </c>
      <c r="G60" s="4">
        <v>4</v>
      </c>
      <c r="H60" s="4">
        <v>6</v>
      </c>
      <c r="I60" s="4">
        <v>12</v>
      </c>
      <c r="J60" s="4">
        <v>14</v>
      </c>
      <c r="K60" s="4">
        <v>13</v>
      </c>
      <c r="L60" s="4">
        <v>13</v>
      </c>
      <c r="M60" s="4">
        <v>13</v>
      </c>
      <c r="N60" s="4">
        <v>13</v>
      </c>
      <c r="O60" s="4">
        <v>11</v>
      </c>
      <c r="P60" s="4">
        <v>5</v>
      </c>
      <c r="Q60" s="4">
        <v>4</v>
      </c>
    </row>
    <row r="61" spans="1:17">
      <c r="A61" s="5" t="s">
        <v>42</v>
      </c>
      <c r="B61" s="5" t="s">
        <v>37</v>
      </c>
      <c r="C61" s="5" t="s">
        <v>38</v>
      </c>
      <c r="D61" s="5" t="s">
        <v>21</v>
      </c>
      <c r="E61" s="5" t="s">
        <v>86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>
      <c r="A62" s="5" t="s">
        <v>45</v>
      </c>
      <c r="B62" s="5" t="s">
        <v>46</v>
      </c>
      <c r="C62" s="5" t="s">
        <v>38</v>
      </c>
      <c r="D62" s="5" t="s">
        <v>28</v>
      </c>
      <c r="E62" s="5" t="s">
        <v>86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>
      <c r="A63" s="5" t="s">
        <v>43</v>
      </c>
      <c r="B63" s="5" t="s">
        <v>37</v>
      </c>
      <c r="C63" s="5" t="s">
        <v>38</v>
      </c>
      <c r="D63" s="5" t="s">
        <v>21</v>
      </c>
      <c r="E63" s="5" t="s">
        <v>86</v>
      </c>
      <c r="F63" s="4">
        <v>27</v>
      </c>
      <c r="G63" s="4">
        <v>24</v>
      </c>
      <c r="H63" s="4">
        <v>26</v>
      </c>
      <c r="I63" s="4">
        <v>26</v>
      </c>
      <c r="J63" s="4">
        <v>27</v>
      </c>
      <c r="K63" s="4">
        <v>25</v>
      </c>
      <c r="L63" s="4">
        <v>27</v>
      </c>
      <c r="M63" s="4">
        <v>26</v>
      </c>
      <c r="N63" s="4">
        <v>26</v>
      </c>
      <c r="O63" s="4">
        <v>26</v>
      </c>
      <c r="P63" s="4">
        <v>26</v>
      </c>
      <c r="Q63" s="4">
        <v>25</v>
      </c>
    </row>
    <row r="64" spans="1:17">
      <c r="A64" s="5" t="s">
        <v>44</v>
      </c>
      <c r="B64" s="5" t="s">
        <v>37</v>
      </c>
      <c r="C64" s="5" t="s">
        <v>38</v>
      </c>
      <c r="D64" s="5" t="s">
        <v>21</v>
      </c>
      <c r="E64" s="5" t="s">
        <v>86</v>
      </c>
      <c r="F64" s="4">
        <v>0</v>
      </c>
      <c r="G64" s="4">
        <v>0</v>
      </c>
      <c r="H64" s="4">
        <v>1</v>
      </c>
      <c r="I64" s="4">
        <v>14</v>
      </c>
      <c r="J64" s="4">
        <v>12</v>
      </c>
      <c r="K64" s="4">
        <v>13</v>
      </c>
      <c r="L64" s="4">
        <v>14</v>
      </c>
      <c r="M64" s="4">
        <v>12</v>
      </c>
      <c r="N64" s="4">
        <v>14</v>
      </c>
      <c r="O64" s="4">
        <v>10</v>
      </c>
      <c r="P64" s="4">
        <v>0</v>
      </c>
      <c r="Q64" s="4">
        <v>0</v>
      </c>
    </row>
    <row r="65" spans="1:17">
      <c r="A65" s="5" t="s">
        <v>36</v>
      </c>
      <c r="B65" s="5" t="s">
        <v>37</v>
      </c>
      <c r="C65" s="5" t="s">
        <v>38</v>
      </c>
      <c r="D65" s="5" t="s">
        <v>21</v>
      </c>
      <c r="E65" s="5" t="s">
        <v>87</v>
      </c>
      <c r="F65" s="4">
        <v>5</v>
      </c>
      <c r="G65" s="4">
        <v>4</v>
      </c>
      <c r="H65" s="4">
        <v>4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4</v>
      </c>
      <c r="Q65" s="4">
        <v>4</v>
      </c>
    </row>
    <row r="66" spans="1:17">
      <c r="A66" s="5" t="s">
        <v>39</v>
      </c>
      <c r="B66" s="5" t="s">
        <v>37</v>
      </c>
      <c r="C66" s="5" t="s">
        <v>38</v>
      </c>
      <c r="D66" s="5" t="s">
        <v>21</v>
      </c>
      <c r="E66" s="5" t="s">
        <v>87</v>
      </c>
      <c r="F66" s="4">
        <v>4</v>
      </c>
      <c r="G66" s="4">
        <v>4</v>
      </c>
      <c r="H66" s="4">
        <v>4</v>
      </c>
      <c r="I66" s="4">
        <v>5</v>
      </c>
      <c r="J66" s="4">
        <v>4</v>
      </c>
      <c r="K66" s="4">
        <v>4</v>
      </c>
      <c r="L66" s="4">
        <v>5</v>
      </c>
      <c r="M66" s="4">
        <v>4</v>
      </c>
      <c r="N66" s="4">
        <v>5</v>
      </c>
      <c r="O66" s="4">
        <v>4</v>
      </c>
      <c r="P66" s="4">
        <v>4</v>
      </c>
      <c r="Q66" s="4">
        <v>5</v>
      </c>
    </row>
    <row r="67" spans="1:17">
      <c r="A67" s="5" t="s">
        <v>40</v>
      </c>
      <c r="B67" s="5" t="s">
        <v>37</v>
      </c>
      <c r="C67" s="5" t="s">
        <v>38</v>
      </c>
      <c r="D67" s="5" t="s">
        <v>21</v>
      </c>
      <c r="E67" s="5" t="s">
        <v>87</v>
      </c>
      <c r="F67" s="4">
        <v>31</v>
      </c>
      <c r="G67" s="4">
        <v>28</v>
      </c>
      <c r="H67" s="4">
        <v>31</v>
      </c>
      <c r="I67" s="4">
        <v>30</v>
      </c>
      <c r="J67" s="4">
        <v>31</v>
      </c>
      <c r="K67" s="4">
        <v>30</v>
      </c>
      <c r="L67" s="4">
        <v>31</v>
      </c>
      <c r="M67" s="4">
        <v>31</v>
      </c>
      <c r="N67" s="4">
        <v>30</v>
      </c>
      <c r="O67" s="4">
        <v>31</v>
      </c>
      <c r="P67" s="4">
        <v>30</v>
      </c>
      <c r="Q67" s="4">
        <v>31</v>
      </c>
    </row>
    <row r="68" spans="1:17">
      <c r="A68" s="5" t="s">
        <v>41</v>
      </c>
      <c r="B68" s="5" t="s">
        <v>37</v>
      </c>
      <c r="C68" s="5" t="s">
        <v>38</v>
      </c>
      <c r="D68" s="5" t="s">
        <v>21</v>
      </c>
      <c r="E68" s="5" t="s">
        <v>87</v>
      </c>
      <c r="F68" s="4">
        <v>4</v>
      </c>
      <c r="G68" s="4">
        <v>4</v>
      </c>
      <c r="H68" s="4">
        <v>4</v>
      </c>
      <c r="I68" s="4">
        <v>5</v>
      </c>
      <c r="J68" s="4">
        <v>4</v>
      </c>
      <c r="K68" s="4">
        <v>4</v>
      </c>
      <c r="L68" s="4">
        <v>5</v>
      </c>
      <c r="M68" s="4">
        <v>4</v>
      </c>
      <c r="N68" s="4">
        <v>4</v>
      </c>
      <c r="O68" s="4">
        <v>5</v>
      </c>
      <c r="P68" s="4">
        <v>4</v>
      </c>
      <c r="Q68" s="4">
        <v>5</v>
      </c>
    </row>
    <row r="69" spans="1:17">
      <c r="A69" s="5" t="s">
        <v>42</v>
      </c>
      <c r="B69" s="5" t="s">
        <v>37</v>
      </c>
      <c r="C69" s="5" t="s">
        <v>38</v>
      </c>
      <c r="D69" s="5" t="s">
        <v>21</v>
      </c>
      <c r="E69" s="5" t="s">
        <v>87</v>
      </c>
      <c r="F69" s="4">
        <v>0</v>
      </c>
      <c r="G69" s="4">
        <v>0</v>
      </c>
      <c r="H69" s="4">
        <v>2</v>
      </c>
      <c r="I69" s="4">
        <v>21</v>
      </c>
      <c r="J69" s="4">
        <v>22</v>
      </c>
      <c r="K69" s="4">
        <v>22</v>
      </c>
      <c r="L69" s="4">
        <v>22</v>
      </c>
      <c r="M69" s="4">
        <v>22</v>
      </c>
      <c r="N69" s="4">
        <v>22</v>
      </c>
      <c r="O69" s="4">
        <v>16</v>
      </c>
      <c r="P69" s="4">
        <v>0</v>
      </c>
      <c r="Q69" s="4">
        <v>0</v>
      </c>
    </row>
    <row r="70" spans="1:17">
      <c r="A70" s="5" t="s">
        <v>45</v>
      </c>
      <c r="B70" s="5" t="s">
        <v>46</v>
      </c>
      <c r="C70" s="5" t="s">
        <v>38</v>
      </c>
      <c r="D70" s="5" t="s">
        <v>28</v>
      </c>
      <c r="E70" s="5" t="s">
        <v>87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>
      <c r="A71" s="5" t="s">
        <v>43</v>
      </c>
      <c r="B71" s="5" t="s">
        <v>37</v>
      </c>
      <c r="C71" s="5" t="s">
        <v>38</v>
      </c>
      <c r="D71" s="5" t="s">
        <v>21</v>
      </c>
      <c r="E71" s="5" t="s">
        <v>87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>
      <c r="A72" s="5" t="s">
        <v>44</v>
      </c>
      <c r="B72" s="5" t="s">
        <v>37</v>
      </c>
      <c r="C72" s="5" t="s">
        <v>38</v>
      </c>
      <c r="D72" s="5" t="s">
        <v>21</v>
      </c>
      <c r="E72" s="5" t="s">
        <v>87</v>
      </c>
      <c r="F72" s="4">
        <v>4</v>
      </c>
      <c r="G72" s="4">
        <v>4</v>
      </c>
      <c r="H72" s="4">
        <v>4</v>
      </c>
      <c r="I72" s="4">
        <v>4</v>
      </c>
      <c r="J72" s="4">
        <v>5</v>
      </c>
      <c r="K72" s="4">
        <v>4</v>
      </c>
      <c r="L72" s="4">
        <v>4</v>
      </c>
      <c r="M72" s="4">
        <v>5</v>
      </c>
      <c r="N72" s="4">
        <v>4</v>
      </c>
      <c r="O72" s="4">
        <v>4</v>
      </c>
      <c r="P72" s="4">
        <v>4</v>
      </c>
      <c r="Q72" s="4">
        <v>5</v>
      </c>
    </row>
    <row r="73" spans="1:17">
      <c r="A73" s="5" t="s">
        <v>50</v>
      </c>
      <c r="B73" s="5" t="s">
        <v>51</v>
      </c>
      <c r="C73" s="5" t="s">
        <v>49</v>
      </c>
      <c r="D73" s="5" t="s">
        <v>28</v>
      </c>
      <c r="E73" s="5" t="s">
        <v>83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>
      <c r="A74" s="5" t="s">
        <v>47</v>
      </c>
      <c r="B74" s="5" t="s">
        <v>48</v>
      </c>
      <c r="C74" s="5" t="s">
        <v>49</v>
      </c>
      <c r="D74" s="5" t="s">
        <v>21</v>
      </c>
      <c r="E74" s="5" t="s">
        <v>83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>
      <c r="A75" s="5" t="s">
        <v>50</v>
      </c>
      <c r="B75" s="5" t="s">
        <v>51</v>
      </c>
      <c r="C75" s="5" t="s">
        <v>49</v>
      </c>
      <c r="D75" s="5" t="s">
        <v>28</v>
      </c>
      <c r="E75" s="5" t="s">
        <v>84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>
      <c r="A76" s="5" t="s">
        <v>47</v>
      </c>
      <c r="B76" s="5" t="s">
        <v>48</v>
      </c>
      <c r="C76" s="5" t="s">
        <v>49</v>
      </c>
      <c r="D76" s="5" t="s">
        <v>21</v>
      </c>
      <c r="E76" s="5" t="s">
        <v>84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>
      <c r="A77" s="5" t="s">
        <v>50</v>
      </c>
      <c r="B77" s="5" t="s">
        <v>51</v>
      </c>
      <c r="C77" s="5" t="s">
        <v>49</v>
      </c>
      <c r="D77" s="5" t="s">
        <v>28</v>
      </c>
      <c r="E77" s="5" t="s">
        <v>85</v>
      </c>
      <c r="F77" s="4">
        <v>0</v>
      </c>
      <c r="G77" s="4">
        <v>0</v>
      </c>
      <c r="H77" s="4">
        <v>1</v>
      </c>
      <c r="I77" s="4">
        <v>13</v>
      </c>
      <c r="J77" s="4">
        <v>13</v>
      </c>
      <c r="K77" s="4">
        <v>13</v>
      </c>
      <c r="L77" s="4">
        <v>13</v>
      </c>
      <c r="M77" s="4">
        <v>14</v>
      </c>
      <c r="N77" s="4">
        <v>12</v>
      </c>
      <c r="O77" s="4">
        <v>11</v>
      </c>
      <c r="P77" s="4">
        <v>0</v>
      </c>
      <c r="Q77" s="4">
        <v>0</v>
      </c>
    </row>
    <row r="78" spans="1:17">
      <c r="A78" s="5" t="s">
        <v>47</v>
      </c>
      <c r="B78" s="5" t="s">
        <v>48</v>
      </c>
      <c r="C78" s="5" t="s">
        <v>49</v>
      </c>
      <c r="D78" s="5" t="s">
        <v>21</v>
      </c>
      <c r="E78" s="5" t="s">
        <v>85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>
      <c r="A79" s="5" t="s">
        <v>50</v>
      </c>
      <c r="B79" s="5" t="s">
        <v>51</v>
      </c>
      <c r="C79" s="5" t="s">
        <v>49</v>
      </c>
      <c r="D79" s="5" t="s">
        <v>28</v>
      </c>
      <c r="E79" s="5" t="s">
        <v>86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>
      <c r="A80" s="5" t="s">
        <v>47</v>
      </c>
      <c r="B80" s="5" t="s">
        <v>48</v>
      </c>
      <c r="C80" s="5" t="s">
        <v>49</v>
      </c>
      <c r="D80" s="5" t="s">
        <v>21</v>
      </c>
      <c r="E80" s="5" t="s">
        <v>86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>
      <c r="A81" s="5" t="s">
        <v>50</v>
      </c>
      <c r="B81" s="5" t="s">
        <v>51</v>
      </c>
      <c r="C81" s="5" t="s">
        <v>49</v>
      </c>
      <c r="D81" s="5" t="s">
        <v>28</v>
      </c>
      <c r="E81" s="5" t="s">
        <v>87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>
      <c r="A82" s="5" t="s">
        <v>47</v>
      </c>
      <c r="B82" s="5" t="s">
        <v>48</v>
      </c>
      <c r="C82" s="5" t="s">
        <v>49</v>
      </c>
      <c r="D82" s="5" t="s">
        <v>21</v>
      </c>
      <c r="E82" s="5" t="s">
        <v>87</v>
      </c>
      <c r="F82" s="4">
        <v>31</v>
      </c>
      <c r="G82" s="4">
        <v>28</v>
      </c>
      <c r="H82" s="4">
        <v>31</v>
      </c>
      <c r="I82" s="4">
        <v>30</v>
      </c>
      <c r="J82" s="4">
        <v>31</v>
      </c>
      <c r="K82" s="4">
        <v>30</v>
      </c>
      <c r="L82" s="4">
        <v>31</v>
      </c>
      <c r="M82" s="4">
        <v>31</v>
      </c>
      <c r="N82" s="4">
        <v>30</v>
      </c>
      <c r="O82" s="4">
        <v>30</v>
      </c>
      <c r="P82" s="4">
        <v>30</v>
      </c>
      <c r="Q82" s="4">
        <v>31</v>
      </c>
    </row>
    <row r="83" spans="1:17">
      <c r="A83" s="5" t="s">
        <v>52</v>
      </c>
      <c r="B83" s="5" t="s">
        <v>53</v>
      </c>
      <c r="C83" s="5" t="s">
        <v>54</v>
      </c>
      <c r="D83" s="5" t="s">
        <v>21</v>
      </c>
      <c r="E83" s="5" t="s">
        <v>83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>
      <c r="A84" s="5" t="s">
        <v>55</v>
      </c>
      <c r="B84" s="5" t="s">
        <v>53</v>
      </c>
      <c r="C84" s="5" t="s">
        <v>54</v>
      </c>
      <c r="D84" s="5" t="s">
        <v>21</v>
      </c>
      <c r="E84" s="5" t="s">
        <v>83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>
      <c r="A85" s="5" t="s">
        <v>56</v>
      </c>
      <c r="B85" s="5" t="s">
        <v>53</v>
      </c>
      <c r="C85" s="5" t="s">
        <v>54</v>
      </c>
      <c r="D85" s="5" t="s">
        <v>21</v>
      </c>
      <c r="E85" s="5" t="s">
        <v>83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 spans="1:17">
      <c r="A86" s="5" t="s">
        <v>52</v>
      </c>
      <c r="B86" s="5" t="s">
        <v>53</v>
      </c>
      <c r="C86" s="5" t="s">
        <v>54</v>
      </c>
      <c r="D86" s="5" t="s">
        <v>21</v>
      </c>
      <c r="E86" s="5" t="s">
        <v>84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>
      <c r="A87" s="5" t="s">
        <v>55</v>
      </c>
      <c r="B87" s="5" t="s">
        <v>53</v>
      </c>
      <c r="C87" s="5" t="s">
        <v>54</v>
      </c>
      <c r="D87" s="5" t="s">
        <v>21</v>
      </c>
      <c r="E87" s="5" t="s">
        <v>84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 spans="1:17">
      <c r="A88" s="5" t="s">
        <v>56</v>
      </c>
      <c r="B88" s="5" t="s">
        <v>53</v>
      </c>
      <c r="C88" s="5" t="s">
        <v>54</v>
      </c>
      <c r="D88" s="5" t="s">
        <v>21</v>
      </c>
      <c r="E88" s="5" t="s">
        <v>84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</row>
    <row r="89" spans="1:17">
      <c r="A89" s="5" t="s">
        <v>52</v>
      </c>
      <c r="B89" s="5" t="s">
        <v>53</v>
      </c>
      <c r="C89" s="5" t="s">
        <v>54</v>
      </c>
      <c r="D89" s="5" t="s">
        <v>21</v>
      </c>
      <c r="E89" s="5" t="s">
        <v>85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</row>
    <row r="90" spans="1:17">
      <c r="A90" s="5" t="s">
        <v>55</v>
      </c>
      <c r="B90" s="5" t="s">
        <v>53</v>
      </c>
      <c r="C90" s="5" t="s">
        <v>54</v>
      </c>
      <c r="D90" s="5" t="s">
        <v>21</v>
      </c>
      <c r="E90" s="5" t="s">
        <v>85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>
      <c r="A91" s="5" t="s">
        <v>56</v>
      </c>
      <c r="B91" s="5" t="s">
        <v>53</v>
      </c>
      <c r="C91" s="5" t="s">
        <v>54</v>
      </c>
      <c r="D91" s="5" t="s">
        <v>21</v>
      </c>
      <c r="E91" s="5" t="s">
        <v>85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</row>
    <row r="92" spans="1:17">
      <c r="A92" s="5" t="s">
        <v>52</v>
      </c>
      <c r="B92" s="5" t="s">
        <v>53</v>
      </c>
      <c r="C92" s="5" t="s">
        <v>54</v>
      </c>
      <c r="D92" s="5" t="s">
        <v>21</v>
      </c>
      <c r="E92" s="5" t="s">
        <v>86</v>
      </c>
      <c r="F92" s="4">
        <v>31</v>
      </c>
      <c r="G92" s="4">
        <v>28</v>
      </c>
      <c r="H92" s="4">
        <v>31</v>
      </c>
      <c r="I92" s="4">
        <v>30</v>
      </c>
      <c r="J92" s="4">
        <v>31</v>
      </c>
      <c r="K92" s="4">
        <v>30</v>
      </c>
      <c r="L92" s="4">
        <v>31</v>
      </c>
      <c r="M92" s="4">
        <v>31</v>
      </c>
      <c r="N92" s="4">
        <v>30</v>
      </c>
      <c r="O92" s="4">
        <v>31</v>
      </c>
      <c r="P92" s="4">
        <v>30</v>
      </c>
      <c r="Q92" s="4">
        <v>30</v>
      </c>
    </row>
    <row r="93" spans="1:17">
      <c r="A93" s="5" t="s">
        <v>55</v>
      </c>
      <c r="B93" s="5" t="s">
        <v>53</v>
      </c>
      <c r="C93" s="5" t="s">
        <v>54</v>
      </c>
      <c r="D93" s="5" t="s">
        <v>21</v>
      </c>
      <c r="E93" s="5" t="s">
        <v>86</v>
      </c>
      <c r="F93" s="4">
        <v>31</v>
      </c>
      <c r="G93" s="4">
        <v>28</v>
      </c>
      <c r="H93" s="4">
        <v>29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6</v>
      </c>
      <c r="P93" s="4">
        <v>30</v>
      </c>
      <c r="Q93" s="4">
        <v>30</v>
      </c>
    </row>
    <row r="94" spans="1:17">
      <c r="A94" s="5" t="s">
        <v>56</v>
      </c>
      <c r="B94" s="5" t="s">
        <v>53</v>
      </c>
      <c r="C94" s="5" t="s">
        <v>54</v>
      </c>
      <c r="D94" s="5" t="s">
        <v>21</v>
      </c>
      <c r="E94" s="5" t="s">
        <v>86</v>
      </c>
      <c r="F94" s="4">
        <v>0</v>
      </c>
      <c r="G94" s="4">
        <v>0</v>
      </c>
      <c r="H94" s="4">
        <v>2</v>
      </c>
      <c r="I94" s="4">
        <v>30</v>
      </c>
      <c r="J94" s="4">
        <v>31</v>
      </c>
      <c r="K94" s="4">
        <v>30</v>
      </c>
      <c r="L94" s="4">
        <v>31</v>
      </c>
      <c r="M94" s="4">
        <v>31</v>
      </c>
      <c r="N94" s="4">
        <v>30</v>
      </c>
      <c r="O94" s="4">
        <v>24</v>
      </c>
      <c r="P94" s="4">
        <v>0</v>
      </c>
      <c r="Q94" s="4">
        <v>0</v>
      </c>
    </row>
    <row r="95" spans="1:17">
      <c r="A95" s="5" t="s">
        <v>52</v>
      </c>
      <c r="B95" s="5" t="s">
        <v>53</v>
      </c>
      <c r="C95" s="5" t="s">
        <v>54</v>
      </c>
      <c r="D95" s="5" t="s">
        <v>21</v>
      </c>
      <c r="E95" s="5" t="s">
        <v>87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</row>
    <row r="96" spans="1:17">
      <c r="A96" s="5" t="s">
        <v>55</v>
      </c>
      <c r="B96" s="5" t="s">
        <v>53</v>
      </c>
      <c r="C96" s="5" t="s">
        <v>54</v>
      </c>
      <c r="D96" s="5" t="s">
        <v>21</v>
      </c>
      <c r="E96" s="5" t="s">
        <v>87</v>
      </c>
      <c r="F96" s="4">
        <v>0</v>
      </c>
      <c r="G96" s="4">
        <v>0</v>
      </c>
      <c r="H96" s="4">
        <v>2</v>
      </c>
      <c r="I96" s="4">
        <v>30</v>
      </c>
      <c r="J96" s="4">
        <v>31</v>
      </c>
      <c r="K96" s="4">
        <v>30</v>
      </c>
      <c r="L96" s="4">
        <v>31</v>
      </c>
      <c r="M96" s="4">
        <v>31</v>
      </c>
      <c r="N96" s="4">
        <v>30</v>
      </c>
      <c r="O96" s="4">
        <v>24</v>
      </c>
      <c r="P96" s="4">
        <v>0</v>
      </c>
      <c r="Q96" s="4">
        <v>0</v>
      </c>
    </row>
    <row r="97" spans="1:17">
      <c r="A97" s="5" t="s">
        <v>56</v>
      </c>
      <c r="B97" s="5" t="s">
        <v>53</v>
      </c>
      <c r="C97" s="5" t="s">
        <v>54</v>
      </c>
      <c r="D97" s="5" t="s">
        <v>21</v>
      </c>
      <c r="E97" s="5" t="s">
        <v>87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</row>
    <row r="98" spans="1:17">
      <c r="A98" s="5" t="s">
        <v>64</v>
      </c>
      <c r="B98" s="5" t="s">
        <v>65</v>
      </c>
      <c r="C98" s="5" t="s">
        <v>59</v>
      </c>
      <c r="D98" s="5" t="s">
        <v>28</v>
      </c>
      <c r="E98" s="5" t="s">
        <v>83</v>
      </c>
      <c r="F98" s="4">
        <v>0</v>
      </c>
      <c r="G98" s="4">
        <v>0</v>
      </c>
      <c r="H98" s="4">
        <v>2</v>
      </c>
      <c r="I98" s="4">
        <v>17</v>
      </c>
      <c r="J98" s="4">
        <v>17</v>
      </c>
      <c r="K98" s="4">
        <v>18</v>
      </c>
      <c r="L98" s="4">
        <v>17</v>
      </c>
      <c r="M98" s="4">
        <v>18</v>
      </c>
      <c r="N98" s="4">
        <v>17</v>
      </c>
      <c r="O98" s="4">
        <v>13</v>
      </c>
      <c r="P98" s="4">
        <v>0</v>
      </c>
      <c r="Q98" s="4">
        <v>0</v>
      </c>
    </row>
    <row r="99" spans="1:17">
      <c r="A99" s="5" t="s">
        <v>66</v>
      </c>
      <c r="B99" s="5" t="s">
        <v>65</v>
      </c>
      <c r="C99" s="5" t="s">
        <v>59</v>
      </c>
      <c r="D99" s="5" t="s">
        <v>28</v>
      </c>
      <c r="E99" s="5" t="s">
        <v>83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</row>
    <row r="100" spans="1:17">
      <c r="A100" s="5" t="s">
        <v>61</v>
      </c>
      <c r="B100" s="5" t="s">
        <v>62</v>
      </c>
      <c r="C100" s="5" t="s">
        <v>59</v>
      </c>
      <c r="D100" s="5" t="s">
        <v>21</v>
      </c>
      <c r="E100" s="5" t="s">
        <v>83</v>
      </c>
      <c r="F100" s="4">
        <v>0</v>
      </c>
      <c r="G100" s="4">
        <v>0</v>
      </c>
      <c r="H100" s="4">
        <v>1</v>
      </c>
      <c r="I100" s="4">
        <v>8</v>
      </c>
      <c r="J100" s="4">
        <v>9</v>
      </c>
      <c r="K100" s="4">
        <v>9</v>
      </c>
      <c r="L100" s="4">
        <v>8</v>
      </c>
      <c r="M100" s="4">
        <v>9</v>
      </c>
      <c r="N100" s="4">
        <v>9</v>
      </c>
      <c r="O100" s="4">
        <v>7</v>
      </c>
      <c r="P100" s="4">
        <v>0</v>
      </c>
      <c r="Q100" s="4">
        <v>0</v>
      </c>
    </row>
    <row r="101" spans="1:17">
      <c r="A101" s="5" t="s">
        <v>63</v>
      </c>
      <c r="B101" s="5" t="s">
        <v>62</v>
      </c>
      <c r="C101" s="5" t="s">
        <v>59</v>
      </c>
      <c r="D101" s="5" t="s">
        <v>21</v>
      </c>
      <c r="E101" s="5" t="s">
        <v>83</v>
      </c>
      <c r="F101" s="4">
        <v>0</v>
      </c>
      <c r="G101" s="4">
        <v>0</v>
      </c>
      <c r="H101" s="4">
        <v>0</v>
      </c>
      <c r="I101" s="4">
        <v>4</v>
      </c>
      <c r="J101" s="4">
        <v>5</v>
      </c>
      <c r="K101" s="4">
        <v>4</v>
      </c>
      <c r="L101" s="4">
        <v>5</v>
      </c>
      <c r="M101" s="4">
        <v>4</v>
      </c>
      <c r="N101" s="4">
        <v>4</v>
      </c>
      <c r="O101" s="4">
        <v>4</v>
      </c>
      <c r="P101" s="4">
        <v>0</v>
      </c>
      <c r="Q101" s="4">
        <v>0</v>
      </c>
    </row>
    <row r="102" spans="1:17">
      <c r="A102" s="5" t="s">
        <v>57</v>
      </c>
      <c r="B102" s="5" t="s">
        <v>58</v>
      </c>
      <c r="C102" s="5" t="s">
        <v>59</v>
      </c>
      <c r="D102" s="5" t="s">
        <v>60</v>
      </c>
      <c r="E102" s="5" t="s">
        <v>83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</row>
    <row r="103" spans="1:17">
      <c r="A103" s="5" t="s">
        <v>64</v>
      </c>
      <c r="B103" s="5" t="s">
        <v>65</v>
      </c>
      <c r="C103" s="5" t="s">
        <v>59</v>
      </c>
      <c r="D103" s="5" t="s">
        <v>28</v>
      </c>
      <c r="E103" s="5" t="s">
        <v>84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>
      <c r="A104" s="5" t="s">
        <v>66</v>
      </c>
      <c r="B104" s="5" t="s">
        <v>65</v>
      </c>
      <c r="C104" s="5" t="s">
        <v>59</v>
      </c>
      <c r="D104" s="5" t="s">
        <v>28</v>
      </c>
      <c r="E104" s="5" t="s">
        <v>84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</row>
    <row r="105" spans="1:17">
      <c r="A105" s="5" t="s">
        <v>61</v>
      </c>
      <c r="B105" s="5" t="s">
        <v>62</v>
      </c>
      <c r="C105" s="5" t="s">
        <v>59</v>
      </c>
      <c r="D105" s="5" t="s">
        <v>21</v>
      </c>
      <c r="E105" s="5" t="s">
        <v>84</v>
      </c>
      <c r="F105" s="4">
        <v>0</v>
      </c>
      <c r="G105" s="4">
        <v>0</v>
      </c>
      <c r="H105" s="4">
        <v>0</v>
      </c>
      <c r="I105" s="4">
        <v>5</v>
      </c>
      <c r="J105" s="4">
        <v>4</v>
      </c>
      <c r="K105" s="4">
        <v>4</v>
      </c>
      <c r="L105" s="4">
        <v>5</v>
      </c>
      <c r="M105" s="4">
        <v>4</v>
      </c>
      <c r="N105" s="4">
        <v>5</v>
      </c>
      <c r="O105" s="4">
        <v>3</v>
      </c>
      <c r="P105" s="4">
        <v>0</v>
      </c>
      <c r="Q105" s="4">
        <v>0</v>
      </c>
    </row>
    <row r="106" spans="1:17">
      <c r="A106" s="5" t="s">
        <v>63</v>
      </c>
      <c r="B106" s="5" t="s">
        <v>62</v>
      </c>
      <c r="C106" s="5" t="s">
        <v>59</v>
      </c>
      <c r="D106" s="5" t="s">
        <v>21</v>
      </c>
      <c r="E106" s="5" t="s">
        <v>84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</row>
    <row r="107" spans="1:17">
      <c r="A107" s="5" t="s">
        <v>57</v>
      </c>
      <c r="B107" s="5" t="s">
        <v>58</v>
      </c>
      <c r="C107" s="5" t="s">
        <v>59</v>
      </c>
      <c r="D107" s="5" t="s">
        <v>60</v>
      </c>
      <c r="E107" s="5" t="s">
        <v>84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>
      <c r="A108" s="5" t="s">
        <v>64</v>
      </c>
      <c r="B108" s="5" t="s">
        <v>65</v>
      </c>
      <c r="C108" s="5" t="s">
        <v>59</v>
      </c>
      <c r="D108" s="5" t="s">
        <v>28</v>
      </c>
      <c r="E108" s="5" t="s">
        <v>85</v>
      </c>
      <c r="F108" s="4">
        <v>31</v>
      </c>
      <c r="G108" s="4">
        <v>28</v>
      </c>
      <c r="H108" s="4">
        <v>29</v>
      </c>
      <c r="I108" s="4">
        <v>13</v>
      </c>
      <c r="J108" s="4">
        <v>14</v>
      </c>
      <c r="K108" s="4">
        <v>12</v>
      </c>
      <c r="L108" s="4">
        <v>14</v>
      </c>
      <c r="M108" s="4">
        <v>13</v>
      </c>
      <c r="N108" s="4">
        <v>13</v>
      </c>
      <c r="O108" s="4">
        <v>17</v>
      </c>
      <c r="P108" s="4">
        <v>30</v>
      </c>
      <c r="Q108" s="4">
        <v>30</v>
      </c>
    </row>
    <row r="109" spans="1:17">
      <c r="A109" s="5" t="s">
        <v>66</v>
      </c>
      <c r="B109" s="5" t="s">
        <v>65</v>
      </c>
      <c r="C109" s="5" t="s">
        <v>59</v>
      </c>
      <c r="D109" s="5" t="s">
        <v>28</v>
      </c>
      <c r="E109" s="5" t="s">
        <v>85</v>
      </c>
      <c r="F109" s="4">
        <v>0</v>
      </c>
      <c r="G109" s="4">
        <v>0</v>
      </c>
      <c r="H109" s="4">
        <v>0</v>
      </c>
      <c r="I109" s="4">
        <v>9</v>
      </c>
      <c r="J109" s="4">
        <v>9</v>
      </c>
      <c r="K109" s="4">
        <v>8</v>
      </c>
      <c r="L109" s="4">
        <v>10</v>
      </c>
      <c r="M109" s="4">
        <v>8</v>
      </c>
      <c r="N109" s="4">
        <v>9</v>
      </c>
      <c r="O109" s="4">
        <v>7</v>
      </c>
      <c r="P109" s="4">
        <v>0</v>
      </c>
      <c r="Q109" s="4">
        <v>0</v>
      </c>
    </row>
    <row r="110" spans="1:17">
      <c r="A110" s="5" t="s">
        <v>61</v>
      </c>
      <c r="B110" s="5" t="s">
        <v>62</v>
      </c>
      <c r="C110" s="5" t="s">
        <v>59</v>
      </c>
      <c r="D110" s="5" t="s">
        <v>21</v>
      </c>
      <c r="E110" s="5" t="s">
        <v>85</v>
      </c>
      <c r="F110" s="4">
        <v>31</v>
      </c>
      <c r="G110" s="4">
        <v>28</v>
      </c>
      <c r="H110" s="4">
        <v>30</v>
      </c>
      <c r="I110" s="4">
        <v>17</v>
      </c>
      <c r="J110" s="4">
        <v>18</v>
      </c>
      <c r="K110" s="4">
        <v>17</v>
      </c>
      <c r="L110" s="4">
        <v>18</v>
      </c>
      <c r="M110" s="4">
        <v>18</v>
      </c>
      <c r="N110" s="4">
        <v>16</v>
      </c>
      <c r="O110" s="4">
        <v>21</v>
      </c>
      <c r="P110" s="4">
        <v>30</v>
      </c>
      <c r="Q110" s="4">
        <v>31</v>
      </c>
    </row>
    <row r="111" spans="1:17">
      <c r="A111" s="5" t="s">
        <v>63</v>
      </c>
      <c r="B111" s="5" t="s">
        <v>62</v>
      </c>
      <c r="C111" s="5" t="s">
        <v>59</v>
      </c>
      <c r="D111" s="5" t="s">
        <v>21</v>
      </c>
      <c r="E111" s="5" t="s">
        <v>85</v>
      </c>
      <c r="F111" s="4">
        <v>0</v>
      </c>
      <c r="G111" s="4">
        <v>0</v>
      </c>
      <c r="H111" s="4">
        <v>2</v>
      </c>
      <c r="I111" s="4">
        <v>26</v>
      </c>
      <c r="J111" s="4">
        <v>26</v>
      </c>
      <c r="K111" s="4">
        <v>26</v>
      </c>
      <c r="L111" s="4">
        <v>26</v>
      </c>
      <c r="M111" s="4">
        <v>27</v>
      </c>
      <c r="N111" s="4">
        <v>26</v>
      </c>
      <c r="O111" s="4">
        <v>21</v>
      </c>
      <c r="P111" s="4">
        <v>0</v>
      </c>
      <c r="Q111" s="4">
        <v>0</v>
      </c>
    </row>
    <row r="112" spans="1:17">
      <c r="A112" s="5" t="s">
        <v>57</v>
      </c>
      <c r="B112" s="5" t="s">
        <v>58</v>
      </c>
      <c r="C112" s="5" t="s">
        <v>59</v>
      </c>
      <c r="D112" s="5" t="s">
        <v>60</v>
      </c>
      <c r="E112" s="5" t="s">
        <v>85</v>
      </c>
      <c r="F112" s="4">
        <v>0</v>
      </c>
      <c r="G112" s="4">
        <v>0</v>
      </c>
      <c r="H112" s="4">
        <v>0</v>
      </c>
      <c r="I112" s="4">
        <v>9</v>
      </c>
      <c r="J112" s="4">
        <v>9</v>
      </c>
      <c r="K112" s="4">
        <v>8</v>
      </c>
      <c r="L112" s="4">
        <v>9</v>
      </c>
      <c r="M112" s="4">
        <v>9</v>
      </c>
      <c r="N112" s="4">
        <v>9</v>
      </c>
      <c r="O112" s="4">
        <v>7</v>
      </c>
      <c r="P112" s="4">
        <v>0</v>
      </c>
      <c r="Q112" s="4">
        <v>0</v>
      </c>
    </row>
    <row r="113" spans="1:17">
      <c r="A113" s="5" t="s">
        <v>64</v>
      </c>
      <c r="B113" s="5" t="s">
        <v>65</v>
      </c>
      <c r="C113" s="5" t="s">
        <v>59</v>
      </c>
      <c r="D113" s="5" t="s">
        <v>28</v>
      </c>
      <c r="E113" s="5" t="s">
        <v>86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>
      <c r="A114" s="5" t="s">
        <v>66</v>
      </c>
      <c r="B114" s="5" t="s">
        <v>65</v>
      </c>
      <c r="C114" s="5" t="s">
        <v>59</v>
      </c>
      <c r="D114" s="5" t="s">
        <v>28</v>
      </c>
      <c r="E114" s="5" t="s">
        <v>86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>
      <c r="A115" s="5" t="s">
        <v>61</v>
      </c>
      <c r="B115" s="5" t="s">
        <v>62</v>
      </c>
      <c r="C115" s="5" t="s">
        <v>59</v>
      </c>
      <c r="D115" s="5" t="s">
        <v>21</v>
      </c>
      <c r="E115" s="5" t="s">
        <v>86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>
      <c r="A116" s="5" t="s">
        <v>63</v>
      </c>
      <c r="B116" s="5" t="s">
        <v>62</v>
      </c>
      <c r="C116" s="5" t="s">
        <v>59</v>
      </c>
      <c r="D116" s="5" t="s">
        <v>21</v>
      </c>
      <c r="E116" s="5" t="s">
        <v>86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</row>
    <row r="117" spans="1:17">
      <c r="A117" s="5" t="s">
        <v>57</v>
      </c>
      <c r="B117" s="5" t="s">
        <v>58</v>
      </c>
      <c r="C117" s="5" t="s">
        <v>59</v>
      </c>
      <c r="D117" s="5" t="s">
        <v>60</v>
      </c>
      <c r="E117" s="5" t="s">
        <v>86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>
      <c r="A118" s="5" t="s">
        <v>64</v>
      </c>
      <c r="B118" s="5" t="s">
        <v>65</v>
      </c>
      <c r="C118" s="5" t="s">
        <v>59</v>
      </c>
      <c r="D118" s="5" t="s">
        <v>28</v>
      </c>
      <c r="E118" s="5" t="s">
        <v>87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>
      <c r="A119" s="5" t="s">
        <v>66</v>
      </c>
      <c r="B119" s="5" t="s">
        <v>65</v>
      </c>
      <c r="C119" s="5" t="s">
        <v>59</v>
      </c>
      <c r="D119" s="5" t="s">
        <v>28</v>
      </c>
      <c r="E119" s="5" t="s">
        <v>87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>
      <c r="A120" s="5" t="s">
        <v>61</v>
      </c>
      <c r="B120" s="5" t="s">
        <v>62</v>
      </c>
      <c r="C120" s="5" t="s">
        <v>59</v>
      </c>
      <c r="D120" s="5" t="s">
        <v>21</v>
      </c>
      <c r="E120" s="5" t="s">
        <v>87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>
      <c r="A121" s="5" t="s">
        <v>63</v>
      </c>
      <c r="B121" s="5" t="s">
        <v>62</v>
      </c>
      <c r="C121" s="5" t="s">
        <v>59</v>
      </c>
      <c r="D121" s="5" t="s">
        <v>21</v>
      </c>
      <c r="E121" s="5" t="s">
        <v>87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</row>
    <row r="122" spans="1:17">
      <c r="A122" s="5" t="s">
        <v>57</v>
      </c>
      <c r="B122" s="5" t="s">
        <v>58</v>
      </c>
      <c r="C122" s="5" t="s">
        <v>59</v>
      </c>
      <c r="D122" s="5" t="s">
        <v>60</v>
      </c>
      <c r="E122" s="5" t="s">
        <v>87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>
      <c r="A123" s="5" t="s">
        <v>67</v>
      </c>
      <c r="B123" s="5" t="s">
        <v>68</v>
      </c>
      <c r="C123" s="5" t="s">
        <v>69</v>
      </c>
      <c r="D123" s="5" t="s">
        <v>21</v>
      </c>
      <c r="E123" s="5" t="s">
        <v>83</v>
      </c>
      <c r="F123" s="4">
        <v>0</v>
      </c>
      <c r="G123" s="4">
        <v>0</v>
      </c>
      <c r="H123" s="4">
        <v>0</v>
      </c>
      <c r="I123" s="4">
        <v>4</v>
      </c>
      <c r="J123" s="4">
        <v>5</v>
      </c>
      <c r="K123" s="4">
        <v>4</v>
      </c>
      <c r="L123" s="4">
        <v>4</v>
      </c>
      <c r="M123" s="4">
        <v>5</v>
      </c>
      <c r="N123" s="4">
        <v>4</v>
      </c>
      <c r="O123" s="4">
        <v>4</v>
      </c>
      <c r="P123" s="4">
        <v>0</v>
      </c>
      <c r="Q123" s="4">
        <v>0</v>
      </c>
    </row>
    <row r="124" spans="1:17">
      <c r="A124" s="5" t="s">
        <v>70</v>
      </c>
      <c r="B124" s="5" t="s">
        <v>68</v>
      </c>
      <c r="C124" s="5" t="s">
        <v>69</v>
      </c>
      <c r="D124" s="5" t="s">
        <v>21</v>
      </c>
      <c r="E124" s="5" t="s">
        <v>83</v>
      </c>
      <c r="F124" s="4">
        <v>13</v>
      </c>
      <c r="G124" s="4">
        <v>12</v>
      </c>
      <c r="H124" s="4">
        <v>12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3</v>
      </c>
      <c r="P124" s="4">
        <v>12</v>
      </c>
      <c r="Q124" s="4">
        <v>15</v>
      </c>
    </row>
    <row r="125" spans="1:17">
      <c r="A125" s="5" t="s">
        <v>67</v>
      </c>
      <c r="B125" s="5" t="s">
        <v>68</v>
      </c>
      <c r="C125" s="5" t="s">
        <v>69</v>
      </c>
      <c r="D125" s="5" t="s">
        <v>21</v>
      </c>
      <c r="E125" s="5" t="s">
        <v>84</v>
      </c>
      <c r="F125" s="4">
        <v>31</v>
      </c>
      <c r="G125" s="4">
        <v>28</v>
      </c>
      <c r="H125" s="4">
        <v>31</v>
      </c>
      <c r="I125" s="4">
        <v>26</v>
      </c>
      <c r="J125" s="4">
        <v>26</v>
      </c>
      <c r="K125" s="4">
        <v>26</v>
      </c>
      <c r="L125" s="4">
        <v>27</v>
      </c>
      <c r="M125" s="4">
        <v>26</v>
      </c>
      <c r="N125" s="4">
        <v>26</v>
      </c>
      <c r="O125" s="4">
        <v>27</v>
      </c>
      <c r="P125" s="4">
        <v>30</v>
      </c>
      <c r="Q125" s="4">
        <v>30</v>
      </c>
    </row>
    <row r="126" spans="1:17">
      <c r="A126" s="5" t="s">
        <v>70</v>
      </c>
      <c r="B126" s="5" t="s">
        <v>68</v>
      </c>
      <c r="C126" s="5" t="s">
        <v>69</v>
      </c>
      <c r="D126" s="5" t="s">
        <v>21</v>
      </c>
      <c r="E126" s="5" t="s">
        <v>84</v>
      </c>
      <c r="F126" s="4">
        <v>18</v>
      </c>
      <c r="G126" s="4">
        <v>16</v>
      </c>
      <c r="H126" s="4">
        <v>17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2</v>
      </c>
      <c r="P126" s="4">
        <v>18</v>
      </c>
      <c r="Q126" s="4">
        <v>16</v>
      </c>
    </row>
    <row r="127" spans="1:17">
      <c r="A127" s="5" t="s">
        <v>67</v>
      </c>
      <c r="B127" s="5" t="s">
        <v>68</v>
      </c>
      <c r="C127" s="5" t="s">
        <v>69</v>
      </c>
      <c r="D127" s="5" t="s">
        <v>21</v>
      </c>
      <c r="E127" s="5" t="s">
        <v>85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</row>
    <row r="128" spans="1:17">
      <c r="A128" s="5" t="s">
        <v>70</v>
      </c>
      <c r="B128" s="5" t="s">
        <v>68</v>
      </c>
      <c r="C128" s="5" t="s">
        <v>69</v>
      </c>
      <c r="D128" s="5" t="s">
        <v>21</v>
      </c>
      <c r="E128" s="5" t="s">
        <v>85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>
      <c r="A129" s="5" t="s">
        <v>67</v>
      </c>
      <c r="B129" s="5" t="s">
        <v>68</v>
      </c>
      <c r="C129" s="5" t="s">
        <v>69</v>
      </c>
      <c r="D129" s="5" t="s">
        <v>21</v>
      </c>
      <c r="E129" s="5" t="s">
        <v>86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>
      <c r="A130" s="5" t="s">
        <v>70</v>
      </c>
      <c r="B130" s="5" t="s">
        <v>68</v>
      </c>
      <c r="C130" s="5" t="s">
        <v>69</v>
      </c>
      <c r="D130" s="5" t="s">
        <v>21</v>
      </c>
      <c r="E130" s="5" t="s">
        <v>86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</row>
    <row r="131" spans="1:17">
      <c r="A131" s="5" t="s">
        <v>67</v>
      </c>
      <c r="B131" s="5" t="s">
        <v>68</v>
      </c>
      <c r="C131" s="5" t="s">
        <v>69</v>
      </c>
      <c r="D131" s="5" t="s">
        <v>21</v>
      </c>
      <c r="E131" s="5" t="s">
        <v>87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>
      <c r="A132" s="5" t="s">
        <v>70</v>
      </c>
      <c r="B132" s="5" t="s">
        <v>68</v>
      </c>
      <c r="C132" s="5" t="s">
        <v>69</v>
      </c>
      <c r="D132" s="5" t="s">
        <v>21</v>
      </c>
      <c r="E132" s="5" t="s">
        <v>87</v>
      </c>
      <c r="F132" s="4">
        <v>0</v>
      </c>
      <c r="G132" s="4">
        <v>0</v>
      </c>
      <c r="H132" s="4">
        <v>2</v>
      </c>
      <c r="I132" s="4">
        <v>30</v>
      </c>
      <c r="J132" s="4">
        <v>31</v>
      </c>
      <c r="K132" s="4">
        <v>30</v>
      </c>
      <c r="L132" s="4">
        <v>31</v>
      </c>
      <c r="M132" s="4">
        <v>31</v>
      </c>
      <c r="N132" s="4">
        <v>30</v>
      </c>
      <c r="O132" s="4">
        <v>25</v>
      </c>
      <c r="P132" s="4">
        <v>0</v>
      </c>
      <c r="Q132" s="4">
        <v>0</v>
      </c>
    </row>
    <row r="133" spans="1:17">
      <c r="A133" s="5" t="s">
        <v>71</v>
      </c>
      <c r="B133" s="5" t="s">
        <v>72</v>
      </c>
      <c r="C133" s="5" t="s">
        <v>73</v>
      </c>
      <c r="D133" s="5" t="s">
        <v>21</v>
      </c>
      <c r="E133" s="5" t="s">
        <v>83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</row>
    <row r="134" spans="1:17">
      <c r="A134" s="5" t="s">
        <v>71</v>
      </c>
      <c r="B134" s="5" t="s">
        <v>72</v>
      </c>
      <c r="C134" s="5" t="s">
        <v>73</v>
      </c>
      <c r="D134" s="5" t="s">
        <v>21</v>
      </c>
      <c r="E134" s="5" t="s">
        <v>84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>
      <c r="A135" s="5" t="s">
        <v>71</v>
      </c>
      <c r="B135" s="5" t="s">
        <v>72</v>
      </c>
      <c r="C135" s="5" t="s">
        <v>73</v>
      </c>
      <c r="D135" s="5" t="s">
        <v>21</v>
      </c>
      <c r="E135" s="5" t="s">
        <v>85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>
      <c r="A136" s="5" t="s">
        <v>71</v>
      </c>
      <c r="B136" s="5" t="s">
        <v>72</v>
      </c>
      <c r="C136" s="5" t="s">
        <v>73</v>
      </c>
      <c r="D136" s="5" t="s">
        <v>21</v>
      </c>
      <c r="E136" s="5" t="s">
        <v>86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>
      <c r="A137" s="5" t="s">
        <v>71</v>
      </c>
      <c r="B137" s="5" t="s">
        <v>72</v>
      </c>
      <c r="C137" s="5" t="s">
        <v>73</v>
      </c>
      <c r="D137" s="5" t="s">
        <v>21</v>
      </c>
      <c r="E137" s="5" t="s">
        <v>87</v>
      </c>
      <c r="F137" s="4">
        <v>31</v>
      </c>
      <c r="G137" s="4">
        <v>28</v>
      </c>
      <c r="H137" s="4">
        <v>31</v>
      </c>
      <c r="I137" s="4">
        <v>30</v>
      </c>
      <c r="J137" s="4">
        <v>31</v>
      </c>
      <c r="K137" s="4">
        <v>30</v>
      </c>
      <c r="L137" s="4">
        <v>31</v>
      </c>
      <c r="M137" s="4">
        <v>31</v>
      </c>
      <c r="N137" s="4">
        <v>30</v>
      </c>
      <c r="O137" s="4">
        <v>31</v>
      </c>
      <c r="P137" s="4">
        <v>30</v>
      </c>
      <c r="Q137" s="4">
        <v>30</v>
      </c>
    </row>
    <row r="138" spans="1:17">
      <c r="A138" s="5" t="s">
        <v>74</v>
      </c>
      <c r="B138" s="5" t="s">
        <v>75</v>
      </c>
      <c r="C138" s="5" t="s">
        <v>76</v>
      </c>
      <c r="D138" s="5" t="s">
        <v>21</v>
      </c>
      <c r="E138" s="5" t="s">
        <v>83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</row>
    <row r="139" spans="1:17">
      <c r="A139" s="5" t="s">
        <v>77</v>
      </c>
      <c r="B139" s="5" t="s">
        <v>75</v>
      </c>
      <c r="C139" s="5" t="s">
        <v>76</v>
      </c>
      <c r="D139" s="5" t="s">
        <v>21</v>
      </c>
      <c r="E139" s="5" t="s">
        <v>83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>
      <c r="A140" s="5" t="s">
        <v>74</v>
      </c>
      <c r="B140" s="5" t="s">
        <v>75</v>
      </c>
      <c r="C140" s="5" t="s">
        <v>76</v>
      </c>
      <c r="D140" s="5" t="s">
        <v>21</v>
      </c>
      <c r="E140" s="5" t="s">
        <v>84</v>
      </c>
      <c r="F140" s="4">
        <v>0</v>
      </c>
      <c r="G140" s="4">
        <v>0</v>
      </c>
      <c r="H140" s="4">
        <v>2</v>
      </c>
      <c r="I140" s="4">
        <v>30</v>
      </c>
      <c r="J140" s="4">
        <v>31</v>
      </c>
      <c r="K140" s="4">
        <v>30</v>
      </c>
      <c r="L140" s="4">
        <v>31</v>
      </c>
      <c r="M140" s="4">
        <v>31</v>
      </c>
      <c r="N140" s="4">
        <v>30</v>
      </c>
      <c r="O140" s="4">
        <v>25</v>
      </c>
      <c r="P140" s="4">
        <v>0</v>
      </c>
      <c r="Q140" s="4">
        <v>0</v>
      </c>
    </row>
    <row r="141" spans="1:17">
      <c r="A141" s="5" t="s">
        <v>77</v>
      </c>
      <c r="B141" s="5" t="s">
        <v>75</v>
      </c>
      <c r="C141" s="5" t="s">
        <v>76</v>
      </c>
      <c r="D141" s="5" t="s">
        <v>21</v>
      </c>
      <c r="E141" s="5" t="s">
        <v>84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>
      <c r="A142" s="5" t="s">
        <v>74</v>
      </c>
      <c r="B142" s="5" t="s">
        <v>75</v>
      </c>
      <c r="C142" s="5" t="s">
        <v>76</v>
      </c>
      <c r="D142" s="5" t="s">
        <v>21</v>
      </c>
      <c r="E142" s="5" t="s">
        <v>85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>
      <c r="A143" s="5" t="s">
        <v>77</v>
      </c>
      <c r="B143" s="5" t="s">
        <v>75</v>
      </c>
      <c r="C143" s="5" t="s">
        <v>76</v>
      </c>
      <c r="D143" s="5" t="s">
        <v>21</v>
      </c>
      <c r="E143" s="5" t="s">
        <v>85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>
      <c r="A144" s="5" t="s">
        <v>74</v>
      </c>
      <c r="B144" s="5" t="s">
        <v>75</v>
      </c>
      <c r="C144" s="5" t="s">
        <v>76</v>
      </c>
      <c r="D144" s="5" t="s">
        <v>21</v>
      </c>
      <c r="E144" s="5" t="s">
        <v>86</v>
      </c>
      <c r="F144" s="4">
        <v>31</v>
      </c>
      <c r="G144" s="4">
        <v>28</v>
      </c>
      <c r="H144" s="4">
        <v>29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6</v>
      </c>
      <c r="P144" s="4">
        <v>30</v>
      </c>
      <c r="Q144" s="4">
        <v>31</v>
      </c>
    </row>
    <row r="145" spans="1:17">
      <c r="A145" s="5" t="s">
        <v>77</v>
      </c>
      <c r="B145" s="5" t="s">
        <v>75</v>
      </c>
      <c r="C145" s="5" t="s">
        <v>76</v>
      </c>
      <c r="D145" s="5" t="s">
        <v>21</v>
      </c>
      <c r="E145" s="5" t="s">
        <v>86</v>
      </c>
      <c r="F145" s="4">
        <v>0</v>
      </c>
      <c r="G145" s="4">
        <v>0</v>
      </c>
      <c r="H145" s="4">
        <v>2</v>
      </c>
      <c r="I145" s="4">
        <v>30</v>
      </c>
      <c r="J145" s="4">
        <v>31</v>
      </c>
      <c r="K145" s="4">
        <v>30</v>
      </c>
      <c r="L145" s="4">
        <v>31</v>
      </c>
      <c r="M145" s="4">
        <v>31</v>
      </c>
      <c r="N145" s="4">
        <v>30</v>
      </c>
      <c r="O145" s="4">
        <v>24</v>
      </c>
      <c r="P145" s="4">
        <v>0</v>
      </c>
      <c r="Q145" s="4">
        <v>0</v>
      </c>
    </row>
    <row r="146" spans="1:17">
      <c r="A146" s="5" t="s">
        <v>74</v>
      </c>
      <c r="B146" s="5" t="s">
        <v>75</v>
      </c>
      <c r="C146" s="5" t="s">
        <v>76</v>
      </c>
      <c r="D146" s="5" t="s">
        <v>21</v>
      </c>
      <c r="E146" s="5" t="s">
        <v>87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>
      <c r="A147" s="5" t="s">
        <v>77</v>
      </c>
      <c r="B147" s="5" t="s">
        <v>75</v>
      </c>
      <c r="C147" s="5" t="s">
        <v>76</v>
      </c>
      <c r="D147" s="5" t="s">
        <v>21</v>
      </c>
      <c r="E147" s="5" t="s">
        <v>87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>
      <c r="A148" s="5" t="s">
        <v>78</v>
      </c>
      <c r="B148" s="5" t="s">
        <v>79</v>
      </c>
      <c r="C148" s="5" t="s">
        <v>80</v>
      </c>
      <c r="D148" s="5" t="s">
        <v>21</v>
      </c>
      <c r="E148" s="5" t="s">
        <v>83</v>
      </c>
      <c r="F148" s="4">
        <v>31</v>
      </c>
      <c r="G148" s="4">
        <v>28</v>
      </c>
      <c r="H148" s="4">
        <v>31</v>
      </c>
      <c r="I148" s="4">
        <v>13</v>
      </c>
      <c r="J148" s="4">
        <v>12</v>
      </c>
      <c r="K148" s="4">
        <v>14</v>
      </c>
      <c r="L148" s="4">
        <v>13</v>
      </c>
      <c r="M148" s="4">
        <v>13</v>
      </c>
      <c r="N148" s="4">
        <v>14</v>
      </c>
      <c r="O148" s="4">
        <v>15</v>
      </c>
      <c r="P148" s="4">
        <v>30</v>
      </c>
      <c r="Q148" s="4">
        <v>30</v>
      </c>
    </row>
    <row r="149" spans="1:17">
      <c r="A149" s="5" t="s">
        <v>78</v>
      </c>
      <c r="B149" s="5" t="s">
        <v>79</v>
      </c>
      <c r="C149" s="5" t="s">
        <v>80</v>
      </c>
      <c r="D149" s="5" t="s">
        <v>21</v>
      </c>
      <c r="E149" s="5" t="s">
        <v>84</v>
      </c>
      <c r="F149" s="4">
        <v>0</v>
      </c>
      <c r="G149" s="4">
        <v>0</v>
      </c>
      <c r="H149" s="4">
        <v>0</v>
      </c>
      <c r="I149" s="4">
        <v>17</v>
      </c>
      <c r="J149" s="4">
        <v>19</v>
      </c>
      <c r="K149" s="4">
        <v>16</v>
      </c>
      <c r="L149" s="4">
        <v>18</v>
      </c>
      <c r="M149" s="4">
        <v>18</v>
      </c>
      <c r="N149" s="4">
        <v>16</v>
      </c>
      <c r="O149" s="4">
        <v>15</v>
      </c>
      <c r="P149" s="4">
        <v>0</v>
      </c>
      <c r="Q149" s="4">
        <v>0</v>
      </c>
    </row>
    <row r="150" spans="1:17">
      <c r="A150" s="5" t="s">
        <v>78</v>
      </c>
      <c r="B150" s="5" t="s">
        <v>79</v>
      </c>
      <c r="C150" s="5" t="s">
        <v>80</v>
      </c>
      <c r="D150" s="5" t="s">
        <v>21</v>
      </c>
      <c r="E150" s="5" t="s">
        <v>85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>
      <c r="A151" s="5" t="s">
        <v>78</v>
      </c>
      <c r="B151" s="5" t="s">
        <v>79</v>
      </c>
      <c r="C151" s="5" t="s">
        <v>80</v>
      </c>
      <c r="D151" s="5" t="s">
        <v>21</v>
      </c>
      <c r="E151" s="5" t="s">
        <v>86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</row>
    <row r="152" spans="1:17">
      <c r="A152" s="5" t="s">
        <v>78</v>
      </c>
      <c r="B152" s="5" t="s">
        <v>79</v>
      </c>
      <c r="C152" s="5" t="s">
        <v>80</v>
      </c>
      <c r="D152" s="5" t="s">
        <v>21</v>
      </c>
      <c r="E152" s="5" t="s">
        <v>87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</sheetData>
  <autoFilter ref="A2:AE152" xr:uid="{6A27A0C4-4D53-4973-87F3-2DC310223C23}">
    <sortState xmlns:xlrd2="http://schemas.microsoft.com/office/spreadsheetml/2017/richdata2" ref="A3:AE644">
      <sortCondition ref="C2"/>
    </sortState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1A0B-13E9-48FD-9748-57C3EE3C8698}">
  <sheetPr filterMode="1"/>
  <dimension ref="A1:R92"/>
  <sheetViews>
    <sheetView workbookViewId="0">
      <pane ySplit="2" topLeftCell="A3" activePane="bottomLeft" state="frozen"/>
      <selection pane="bottomLeft" activeCell="A3" sqref="A3:G5"/>
      <selection activeCell="G22" sqref="G22"/>
    </sheetView>
  </sheetViews>
  <sheetFormatPr defaultRowHeight="16.5"/>
  <cols>
    <col min="1" max="1" width="25.85546875" style="1" bestFit="1" customWidth="1"/>
    <col min="2" max="4" width="25.85546875" style="1" customWidth="1"/>
    <col min="5" max="5" width="17.7109375" style="1" customWidth="1"/>
    <col min="6" max="17" width="12.7109375" style="1" bestFit="1" customWidth="1"/>
    <col min="18" max="16384" width="9.140625" style="1"/>
  </cols>
  <sheetData>
    <row r="1" spans="1:18">
      <c r="A1" s="21" t="s">
        <v>88</v>
      </c>
      <c r="B1" s="21"/>
      <c r="C1" s="21"/>
      <c r="D1" s="21"/>
    </row>
    <row r="2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8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10">
        <v>0.7869569788618086</v>
      </c>
      <c r="G3" s="10">
        <v>0.77893988636233147</v>
      </c>
      <c r="H3" s="10">
        <v>0.89692482269618612</v>
      </c>
      <c r="I3" s="10">
        <v>0.91134334811871798</v>
      </c>
      <c r="J3" s="10">
        <v>0.95381147035712843</v>
      </c>
      <c r="K3" s="10">
        <v>0.9538114703571281</v>
      </c>
      <c r="L3" s="10">
        <v>0.95532327931539807</v>
      </c>
      <c r="M3" s="10">
        <v>0.85768698491035444</v>
      </c>
      <c r="N3" s="10">
        <v>0.8823777156767133</v>
      </c>
      <c r="O3" s="10">
        <v>0.86692952509273269</v>
      </c>
      <c r="P3" s="10">
        <v>0.94778613483490859</v>
      </c>
      <c r="Q3" s="10">
        <v>0.9167487683842227</v>
      </c>
      <c r="R3" s="20">
        <f ca="1">AVERAGE(F3:Q3)</f>
        <v>0.89238669874730248</v>
      </c>
    </row>
    <row r="4" spans="1:18">
      <c r="A4" s="5" t="s">
        <v>26</v>
      </c>
      <c r="B4" s="5" t="s">
        <v>27</v>
      </c>
      <c r="C4" s="5" t="s">
        <v>20</v>
      </c>
      <c r="D4" s="5" t="s">
        <v>28</v>
      </c>
      <c r="E4" s="5" t="s">
        <v>22</v>
      </c>
      <c r="F4" s="10">
        <v>0.62302375982596869</v>
      </c>
      <c r="G4" s="10">
        <v>0.64259183140316967</v>
      </c>
      <c r="H4" s="10">
        <v>0.83817719774932054</v>
      </c>
      <c r="I4" s="10">
        <v>0.94846839054313314</v>
      </c>
      <c r="J4" s="10">
        <v>0.75372024048853747</v>
      </c>
      <c r="K4" s="10">
        <v>0.91600403241320572</v>
      </c>
      <c r="L4" s="10">
        <v>0.9248116389984754</v>
      </c>
      <c r="M4" s="10">
        <v>0.81243677581998186</v>
      </c>
      <c r="N4" s="10">
        <v>0.87833628940451858</v>
      </c>
      <c r="O4" s="10">
        <v>0.92964426031459657</v>
      </c>
      <c r="P4" s="10">
        <v>0.84997817586333213</v>
      </c>
      <c r="Q4" s="10">
        <v>0.78123916689420958</v>
      </c>
      <c r="R4" s="20">
        <f ca="1">AVERAGE(F4:Q4)</f>
        <v>0.8248693133098709</v>
      </c>
    </row>
    <row r="5" spans="1:18">
      <c r="A5" s="5" t="s">
        <v>23</v>
      </c>
      <c r="B5" s="5" t="s">
        <v>19</v>
      </c>
      <c r="C5" s="5" t="s">
        <v>20</v>
      </c>
      <c r="D5" s="5" t="s">
        <v>21</v>
      </c>
      <c r="E5" s="5" t="s">
        <v>22</v>
      </c>
      <c r="F5" s="10" t="s">
        <v>89</v>
      </c>
      <c r="G5" s="10" t="s">
        <v>89</v>
      </c>
      <c r="H5" s="10">
        <v>0.89692482269618634</v>
      </c>
      <c r="I5" s="10">
        <v>0.91134334811871798</v>
      </c>
      <c r="J5" s="10">
        <v>0.95381147035712843</v>
      </c>
      <c r="K5" s="10">
        <v>0.9538114703571281</v>
      </c>
      <c r="L5" s="10">
        <v>0.95532327931539807</v>
      </c>
      <c r="M5" s="10">
        <v>0.85768698491035444</v>
      </c>
      <c r="N5" s="10">
        <v>0.8823777156767133</v>
      </c>
      <c r="O5" s="10">
        <v>0.8669295250927328</v>
      </c>
      <c r="P5" s="10" t="s">
        <v>89</v>
      </c>
      <c r="Q5" s="10" t="s">
        <v>89</v>
      </c>
      <c r="R5" s="20">
        <f ca="1">AVERAGE(F5:Q5)</f>
        <v>0.90977607706554497</v>
      </c>
    </row>
    <row r="6" spans="1:18">
      <c r="A6" s="5" t="s">
        <v>18</v>
      </c>
      <c r="B6" s="5" t="s">
        <v>19</v>
      </c>
      <c r="C6" s="5" t="s">
        <v>20</v>
      </c>
      <c r="D6" s="5" t="s">
        <v>21</v>
      </c>
      <c r="E6" s="5" t="s">
        <v>24</v>
      </c>
      <c r="F6" s="10">
        <v>0.7823694395370957</v>
      </c>
      <c r="G6" s="10">
        <v>0.74434932799076003</v>
      </c>
      <c r="H6" s="10">
        <v>0.88935980747720167</v>
      </c>
      <c r="I6" s="10">
        <v>0.89009117481899935</v>
      </c>
      <c r="J6" s="10">
        <v>0.92346844515254867</v>
      </c>
      <c r="K6" s="10">
        <v>0.94672688177078634</v>
      </c>
      <c r="L6" s="10">
        <v>0.89858208999377265</v>
      </c>
      <c r="M6" s="10">
        <v>0.81824888312881594</v>
      </c>
      <c r="N6" s="10">
        <v>0.88514678827150939</v>
      </c>
      <c r="O6" s="10">
        <v>0.81104114072171796</v>
      </c>
      <c r="P6" s="10">
        <v>0.8602787926108304</v>
      </c>
      <c r="Q6" s="10">
        <v>0.89500768405289666</v>
      </c>
      <c r="R6" s="20">
        <f ca="1">AVERAGE(F6:Q6)</f>
        <v>0.86205587129391115</v>
      </c>
    </row>
    <row r="7" spans="1:18">
      <c r="A7" s="5" t="s">
        <v>26</v>
      </c>
      <c r="B7" s="5" t="s">
        <v>27</v>
      </c>
      <c r="C7" s="5" t="s">
        <v>20</v>
      </c>
      <c r="D7" s="5" t="s">
        <v>28</v>
      </c>
      <c r="E7" s="5" t="s">
        <v>24</v>
      </c>
      <c r="F7" s="10">
        <v>0.74931831680012462</v>
      </c>
      <c r="G7" s="10">
        <v>0.72843925410082488</v>
      </c>
      <c r="H7" s="10">
        <v>0.86008578608571706</v>
      </c>
      <c r="I7" s="10">
        <v>0.88158935051412946</v>
      </c>
      <c r="J7" s="10">
        <v>0.87144339706094176</v>
      </c>
      <c r="K7" s="10">
        <v>0.90284261388448039</v>
      </c>
      <c r="L7" s="10">
        <v>0.90221789709333677</v>
      </c>
      <c r="M7" s="10">
        <v>0.86274723917411034</v>
      </c>
      <c r="N7" s="10">
        <v>0.88212014068149747</v>
      </c>
      <c r="O7" s="10">
        <v>0.88358355962979096</v>
      </c>
      <c r="P7" s="10">
        <v>0.84076712770460593</v>
      </c>
      <c r="Q7" s="10">
        <v>0.83548436895754885</v>
      </c>
      <c r="R7" s="20">
        <f ca="1">AVERAGE(F7:Q7)</f>
        <v>0.85005325430725887</v>
      </c>
    </row>
    <row r="8" spans="1:18">
      <c r="A8" s="5" t="s">
        <v>23</v>
      </c>
      <c r="B8" s="5" t="s">
        <v>19</v>
      </c>
      <c r="C8" s="5" t="s">
        <v>20</v>
      </c>
      <c r="D8" s="5" t="s">
        <v>21</v>
      </c>
      <c r="E8" s="5" t="s">
        <v>24</v>
      </c>
      <c r="F8" s="10" t="s">
        <v>89</v>
      </c>
      <c r="G8" s="10" t="s">
        <v>89</v>
      </c>
      <c r="H8" s="10">
        <v>0.88935980747720178</v>
      </c>
      <c r="I8" s="10">
        <v>0.89009117481899935</v>
      </c>
      <c r="J8" s="10">
        <v>0.92346844515254867</v>
      </c>
      <c r="K8" s="10">
        <v>0.94672688177078634</v>
      </c>
      <c r="L8" s="10">
        <v>0.89858208999377265</v>
      </c>
      <c r="M8" s="10">
        <v>0.81824888312881594</v>
      </c>
      <c r="N8" s="10">
        <v>0.88514678827150939</v>
      </c>
      <c r="O8" s="10">
        <v>0.81104114072171807</v>
      </c>
      <c r="P8" s="10" t="s">
        <v>89</v>
      </c>
      <c r="Q8" s="10" t="s">
        <v>89</v>
      </c>
      <c r="R8" s="20">
        <f ca="1">AVERAGE(F8:Q8)</f>
        <v>0.88283315141691898</v>
      </c>
    </row>
    <row r="9" spans="1:18">
      <c r="A9" s="5" t="s">
        <v>18</v>
      </c>
      <c r="B9" s="5" t="s">
        <v>19</v>
      </c>
      <c r="C9" s="5" t="s">
        <v>20</v>
      </c>
      <c r="D9" s="5" t="s">
        <v>21</v>
      </c>
      <c r="E9" s="5" t="s">
        <v>25</v>
      </c>
      <c r="F9" s="10">
        <v>0.58210797268040926</v>
      </c>
      <c r="G9" s="10">
        <v>0.43339845378787029</v>
      </c>
      <c r="H9" s="10">
        <v>0.73100307204254422</v>
      </c>
      <c r="I9" s="10">
        <v>0.71070107433676644</v>
      </c>
      <c r="J9" s="10">
        <v>0.83169545687077617</v>
      </c>
      <c r="K9" s="10">
        <v>0.93098848252851474</v>
      </c>
      <c r="L9" s="10">
        <v>0.88118355902029721</v>
      </c>
      <c r="M9" s="10">
        <v>0.73895659851720308</v>
      </c>
      <c r="N9" s="10">
        <v>0.71599719260126327</v>
      </c>
      <c r="O9" s="10">
        <v>0.6473883640074396</v>
      </c>
      <c r="P9" s="10">
        <v>0.68662106264851164</v>
      </c>
      <c r="Q9" s="10">
        <v>0.84133921434989156</v>
      </c>
      <c r="R9" s="20">
        <f ca="1">AVERAGE(F9:Q9)</f>
        <v>0.72761504194929072</v>
      </c>
    </row>
    <row r="10" spans="1:18">
      <c r="A10" s="5" t="s">
        <v>26</v>
      </c>
      <c r="B10" s="5" t="s">
        <v>27</v>
      </c>
      <c r="C10" s="5" t="s">
        <v>20</v>
      </c>
      <c r="D10" s="5" t="s">
        <v>28</v>
      </c>
      <c r="E10" s="5" t="s">
        <v>25</v>
      </c>
      <c r="F10" s="10">
        <v>0.67760585158430753</v>
      </c>
      <c r="G10" s="10">
        <v>0.585826111879858</v>
      </c>
      <c r="H10" s="10">
        <v>0.76540377999935971</v>
      </c>
      <c r="I10" s="10">
        <v>0.99051911298780126</v>
      </c>
      <c r="J10" s="10">
        <v>0.91213036089413668</v>
      </c>
      <c r="K10" s="10">
        <v>0.9560364816668846</v>
      </c>
      <c r="L10" s="10">
        <v>0.95964926394245009</v>
      </c>
      <c r="M10" s="10">
        <v>0.89818381104156508</v>
      </c>
      <c r="N10" s="10">
        <v>0.88866460577790141</v>
      </c>
      <c r="O10" s="10">
        <v>0.87633652369918635</v>
      </c>
      <c r="P10" s="10">
        <v>0.83059927933934075</v>
      </c>
      <c r="Q10" s="10">
        <v>0.84102430808916617</v>
      </c>
      <c r="R10" s="20">
        <f ca="1">AVERAGE(F10:Q10)</f>
        <v>0.84849829090849627</v>
      </c>
    </row>
    <row r="11" spans="1:18">
      <c r="A11" s="5" t="s">
        <v>23</v>
      </c>
      <c r="B11" s="5" t="s">
        <v>19</v>
      </c>
      <c r="C11" s="5" t="s">
        <v>20</v>
      </c>
      <c r="D11" s="5" t="s">
        <v>21</v>
      </c>
      <c r="E11" s="5" t="s">
        <v>25</v>
      </c>
      <c r="F11" s="10" t="s">
        <v>89</v>
      </c>
      <c r="G11" s="10" t="s">
        <v>89</v>
      </c>
      <c r="H11" s="10">
        <v>0.73100307204254411</v>
      </c>
      <c r="I11" s="10">
        <v>0.71070107433676644</v>
      </c>
      <c r="J11" s="10">
        <v>0.83169545687077617</v>
      </c>
      <c r="K11" s="10">
        <v>0.93098848252851474</v>
      </c>
      <c r="L11" s="10">
        <v>0.88118355902029721</v>
      </c>
      <c r="M11" s="10">
        <v>0.73895659851720308</v>
      </c>
      <c r="N11" s="10">
        <v>0.71599719260126327</v>
      </c>
      <c r="O11" s="10">
        <v>0.6473883640074396</v>
      </c>
      <c r="P11" s="10" t="s">
        <v>89</v>
      </c>
      <c r="Q11" s="10" t="s">
        <v>89</v>
      </c>
      <c r="R11" s="20">
        <f ca="1">AVERAGE(F11:Q11)</f>
        <v>0.77348922499060058</v>
      </c>
    </row>
    <row r="12" spans="1:18" hidden="1">
      <c r="A12" s="5" t="s">
        <v>29</v>
      </c>
      <c r="B12" s="5" t="s">
        <v>30</v>
      </c>
      <c r="C12" s="5" t="s">
        <v>31</v>
      </c>
      <c r="D12" s="5" t="s">
        <v>21</v>
      </c>
      <c r="E12" s="5" t="s">
        <v>22</v>
      </c>
      <c r="F12" s="10">
        <v>0.75993588972513415</v>
      </c>
      <c r="G12" s="10">
        <v>0.71674752341289383</v>
      </c>
      <c r="H12" s="10">
        <v>0.85661831883386286</v>
      </c>
      <c r="I12" s="10">
        <v>0.80378530683046157</v>
      </c>
      <c r="J12" s="10">
        <v>0.95604938697483122</v>
      </c>
      <c r="K12" s="10">
        <v>0.98272766236460185</v>
      </c>
      <c r="L12" s="10">
        <v>0.95013156327106318</v>
      </c>
      <c r="M12" s="10">
        <v>0.80499786157238995</v>
      </c>
      <c r="N12" s="10">
        <v>0.92888937948170569</v>
      </c>
      <c r="O12" s="10">
        <v>0.98416889262017326</v>
      </c>
      <c r="P12" s="10">
        <v>0.91646406746814235</v>
      </c>
      <c r="Q12" s="10">
        <v>0.84904181783063037</v>
      </c>
    </row>
    <row r="13" spans="1:18" hidden="1">
      <c r="A13" s="5" t="s">
        <v>32</v>
      </c>
      <c r="B13" s="5" t="s">
        <v>30</v>
      </c>
      <c r="C13" s="5" t="s">
        <v>31</v>
      </c>
      <c r="D13" s="5" t="s">
        <v>21</v>
      </c>
      <c r="E13" s="5" t="s">
        <v>22</v>
      </c>
      <c r="F13" s="10" t="s">
        <v>89</v>
      </c>
      <c r="G13" s="10" t="s">
        <v>89</v>
      </c>
      <c r="H13" s="10">
        <v>0.85661831883386264</v>
      </c>
      <c r="I13" s="10">
        <v>0.80378530683046157</v>
      </c>
      <c r="J13" s="10">
        <v>0.95604938697483122</v>
      </c>
      <c r="K13" s="10">
        <v>0.98272766236460174</v>
      </c>
      <c r="L13" s="10">
        <v>0.95013156327106318</v>
      </c>
      <c r="M13" s="10">
        <v>0.80499786157238995</v>
      </c>
      <c r="N13" s="10">
        <v>0.92888937948170569</v>
      </c>
      <c r="O13" s="10">
        <v>0.98416889262017326</v>
      </c>
      <c r="P13" s="10" t="s">
        <v>89</v>
      </c>
      <c r="Q13" s="10" t="s">
        <v>89</v>
      </c>
    </row>
    <row r="14" spans="1:18" hidden="1">
      <c r="A14" s="5" t="s">
        <v>29</v>
      </c>
      <c r="B14" s="5" t="s">
        <v>30</v>
      </c>
      <c r="C14" s="5" t="s">
        <v>31</v>
      </c>
      <c r="D14" s="5" t="s">
        <v>21</v>
      </c>
      <c r="E14" s="5" t="s">
        <v>24</v>
      </c>
      <c r="F14" s="10">
        <v>0.6027976005204444</v>
      </c>
      <c r="G14" s="10">
        <v>0.49902830930915604</v>
      </c>
      <c r="H14" s="10">
        <v>0.7130110378144785</v>
      </c>
      <c r="I14" s="10">
        <v>0.65628694567584811</v>
      </c>
      <c r="J14" s="10">
        <v>0.79785813980538456</v>
      </c>
      <c r="K14" s="10">
        <v>0.75976844860291404</v>
      </c>
      <c r="L14" s="10">
        <v>0.80629712678086263</v>
      </c>
      <c r="M14" s="10">
        <v>0.90150714206386473</v>
      </c>
      <c r="N14" s="10">
        <v>0.82418641527240433</v>
      </c>
      <c r="O14" s="10">
        <v>0.91767128546796195</v>
      </c>
      <c r="P14" s="10">
        <v>0.821642023970654</v>
      </c>
      <c r="Q14" s="10">
        <v>0.87810120980088735</v>
      </c>
    </row>
    <row r="15" spans="1:18" hidden="1">
      <c r="A15" s="5" t="s">
        <v>32</v>
      </c>
      <c r="B15" s="5" t="s">
        <v>30</v>
      </c>
      <c r="C15" s="5" t="s">
        <v>31</v>
      </c>
      <c r="D15" s="5" t="s">
        <v>21</v>
      </c>
      <c r="E15" s="5" t="s">
        <v>24</v>
      </c>
      <c r="F15" s="10" t="s">
        <v>89</v>
      </c>
      <c r="G15" s="10" t="s">
        <v>89</v>
      </c>
      <c r="H15" s="10">
        <v>0.71301103781447861</v>
      </c>
      <c r="I15" s="10">
        <v>0.65628694567584822</v>
      </c>
      <c r="J15" s="10">
        <v>0.79785813980538467</v>
      </c>
      <c r="K15" s="10">
        <v>0.75976844860291404</v>
      </c>
      <c r="L15" s="10">
        <v>0.80629712678086263</v>
      </c>
      <c r="M15" s="10">
        <v>0.90150714206386473</v>
      </c>
      <c r="N15" s="10">
        <v>0.82418641527240433</v>
      </c>
      <c r="O15" s="10">
        <v>0.91767128546796195</v>
      </c>
      <c r="P15" s="10" t="s">
        <v>89</v>
      </c>
      <c r="Q15" s="10" t="s">
        <v>89</v>
      </c>
    </row>
    <row r="16" spans="1:18" hidden="1">
      <c r="A16" s="5" t="s">
        <v>29</v>
      </c>
      <c r="B16" s="5" t="s">
        <v>30</v>
      </c>
      <c r="C16" s="5" t="s">
        <v>31</v>
      </c>
      <c r="D16" s="5" t="s">
        <v>21</v>
      </c>
      <c r="E16" s="5" t="s">
        <v>25</v>
      </c>
      <c r="F16" s="10">
        <v>0.54324019576322813</v>
      </c>
      <c r="G16" s="10">
        <v>0.42677812483964528</v>
      </c>
      <c r="H16" s="10">
        <v>0.63372412158249625</v>
      </c>
      <c r="I16" s="10">
        <v>0.78826367532792174</v>
      </c>
      <c r="J16" s="10">
        <v>0.873072112653559</v>
      </c>
      <c r="K16" s="10">
        <v>0.89938472662589786</v>
      </c>
      <c r="L16" s="10">
        <v>0.96314711078953474</v>
      </c>
      <c r="M16" s="10">
        <v>0.95927586610817606</v>
      </c>
      <c r="N16" s="10">
        <v>0.78827930021884096</v>
      </c>
      <c r="O16" s="10">
        <v>0.72190692378442034</v>
      </c>
      <c r="P16" s="10">
        <v>0.69073430232288513</v>
      </c>
      <c r="Q16" s="10">
        <v>0.83780864958783585</v>
      </c>
    </row>
    <row r="17" spans="1:17" hidden="1">
      <c r="A17" s="5" t="s">
        <v>32</v>
      </c>
      <c r="B17" s="5" t="s">
        <v>30</v>
      </c>
      <c r="C17" s="5" t="s">
        <v>31</v>
      </c>
      <c r="D17" s="5" t="s">
        <v>21</v>
      </c>
      <c r="E17" s="5" t="s">
        <v>25</v>
      </c>
      <c r="F17" s="10" t="s">
        <v>89</v>
      </c>
      <c r="G17" s="10" t="s">
        <v>89</v>
      </c>
      <c r="H17" s="10">
        <v>0.63372412158249625</v>
      </c>
      <c r="I17" s="10">
        <v>0.78826367532792185</v>
      </c>
      <c r="J17" s="10">
        <v>0.87307211265355944</v>
      </c>
      <c r="K17" s="10">
        <v>0.89938472662589786</v>
      </c>
      <c r="L17" s="10">
        <v>0.96314711078953474</v>
      </c>
      <c r="M17" s="10">
        <v>0.95927586610817606</v>
      </c>
      <c r="N17" s="10">
        <v>0.78827930021884096</v>
      </c>
      <c r="O17" s="10">
        <v>0.72190692378442034</v>
      </c>
      <c r="P17" s="10" t="s">
        <v>89</v>
      </c>
      <c r="Q17" s="10" t="s">
        <v>89</v>
      </c>
    </row>
    <row r="18" spans="1:17" hidden="1">
      <c r="A18" s="5" t="s">
        <v>33</v>
      </c>
      <c r="B18" s="5" t="s">
        <v>34</v>
      </c>
      <c r="C18" s="5" t="s">
        <v>35</v>
      </c>
      <c r="D18" s="5" t="s">
        <v>21</v>
      </c>
      <c r="E18" s="5" t="s">
        <v>22</v>
      </c>
      <c r="F18" s="10">
        <v>0.43782380236222213</v>
      </c>
      <c r="G18" s="10">
        <v>0.45600506658545947</v>
      </c>
      <c r="H18" s="10">
        <v>0.6805289776704021</v>
      </c>
      <c r="I18" s="10">
        <v>0.82072668206764987</v>
      </c>
      <c r="J18" s="10">
        <v>0.95584853569439732</v>
      </c>
      <c r="K18" s="10">
        <v>0.95654814136926969</v>
      </c>
      <c r="L18" s="10">
        <v>0.89440383246655242</v>
      </c>
      <c r="M18" s="10">
        <v>0.79654001170786071</v>
      </c>
      <c r="N18" s="10">
        <v>0.81935023389627548</v>
      </c>
      <c r="O18" s="10">
        <v>0.82938798889204901</v>
      </c>
      <c r="P18" s="10">
        <v>0.75699945197237195</v>
      </c>
      <c r="Q18" s="10">
        <v>0.71481283433593745</v>
      </c>
    </row>
    <row r="19" spans="1:17" hidden="1">
      <c r="A19" s="5" t="s">
        <v>33</v>
      </c>
      <c r="B19" s="5" t="s">
        <v>34</v>
      </c>
      <c r="C19" s="5" t="s">
        <v>35</v>
      </c>
      <c r="D19" s="5" t="s">
        <v>21</v>
      </c>
      <c r="E19" s="5" t="s">
        <v>24</v>
      </c>
      <c r="F19" s="10">
        <v>0.61659648637876907</v>
      </c>
      <c r="G19" s="10">
        <v>0.56073728075571216</v>
      </c>
      <c r="H19" s="10">
        <v>0.81083478951184063</v>
      </c>
      <c r="I19" s="10">
        <v>0.92738006198582379</v>
      </c>
      <c r="J19" s="10">
        <v>0.88889817849999719</v>
      </c>
      <c r="K19" s="10">
        <v>0.92269530050043691</v>
      </c>
      <c r="L19" s="10">
        <v>0.91847180281993557</v>
      </c>
      <c r="M19" s="10">
        <v>0.79778913505564109</v>
      </c>
      <c r="N19" s="10">
        <v>0.79154886587980799</v>
      </c>
      <c r="O19" s="10">
        <v>0.78557456788091817</v>
      </c>
      <c r="P19" s="10">
        <v>0.80284958289845887</v>
      </c>
      <c r="Q19" s="10">
        <v>0.79164814078238865</v>
      </c>
    </row>
    <row r="20" spans="1:17" hidden="1">
      <c r="A20" s="5" t="s">
        <v>33</v>
      </c>
      <c r="B20" s="5" t="s">
        <v>34</v>
      </c>
      <c r="C20" s="5" t="s">
        <v>35</v>
      </c>
      <c r="D20" s="5" t="s">
        <v>21</v>
      </c>
      <c r="E20" s="5" t="s">
        <v>25</v>
      </c>
      <c r="F20" s="10">
        <v>0.49003109041361226</v>
      </c>
      <c r="G20" s="10">
        <v>0.39591440132049316</v>
      </c>
      <c r="H20" s="10">
        <v>0.65984162464780138</v>
      </c>
      <c r="I20" s="10">
        <v>0.78122031114032153</v>
      </c>
      <c r="J20" s="10">
        <v>0.84903443972979131</v>
      </c>
      <c r="K20" s="10">
        <v>0.95341980828029793</v>
      </c>
      <c r="L20" s="10">
        <v>0.96297767054523131</v>
      </c>
      <c r="M20" s="10">
        <v>0.862545508741699</v>
      </c>
      <c r="N20" s="10">
        <v>0.66503783567807873</v>
      </c>
      <c r="O20" s="10">
        <v>0.72586608765456062</v>
      </c>
      <c r="P20" s="10">
        <v>0.59355593266737994</v>
      </c>
      <c r="Q20" s="10">
        <v>0.84266974502238023</v>
      </c>
    </row>
    <row r="21" spans="1:17" hidden="1">
      <c r="A21" s="5" t="s">
        <v>36</v>
      </c>
      <c r="B21" s="5" t="s">
        <v>37</v>
      </c>
      <c r="C21" s="5" t="s">
        <v>38</v>
      </c>
      <c r="D21" s="5" t="s">
        <v>21</v>
      </c>
      <c r="E21" s="5" t="s">
        <v>22</v>
      </c>
      <c r="F21" s="10">
        <v>0.85778859216144066</v>
      </c>
      <c r="G21" s="10">
        <v>0.889775059151244</v>
      </c>
      <c r="H21" s="10">
        <v>0.98133964736156676</v>
      </c>
      <c r="I21" s="10">
        <v>0.92030365317541785</v>
      </c>
      <c r="J21" s="10">
        <v>0.9510536073448006</v>
      </c>
      <c r="K21" s="10">
        <v>0.98563668559031237</v>
      </c>
      <c r="L21" s="10">
        <v>0.95684097378280775</v>
      </c>
      <c r="M21" s="10">
        <v>0.90858227348102671</v>
      </c>
      <c r="N21" s="10">
        <v>0.88949415127534748</v>
      </c>
      <c r="O21" s="10">
        <v>0.93346936057606056</v>
      </c>
      <c r="P21" s="10">
        <v>0.94903166055278054</v>
      </c>
      <c r="Q21" s="10">
        <v>0.87997398278002881</v>
      </c>
    </row>
    <row r="22" spans="1:17" hidden="1">
      <c r="A22" s="5" t="s">
        <v>39</v>
      </c>
      <c r="B22" s="5" t="s">
        <v>37</v>
      </c>
      <c r="C22" s="5" t="s">
        <v>38</v>
      </c>
      <c r="D22" s="5" t="s">
        <v>21</v>
      </c>
      <c r="E22" s="5" t="s">
        <v>22</v>
      </c>
      <c r="F22" s="10">
        <v>0.85778859216144077</v>
      </c>
      <c r="G22" s="10">
        <v>0.889775059151244</v>
      </c>
      <c r="H22" s="10">
        <v>0.98133964736156687</v>
      </c>
      <c r="I22" s="10">
        <v>0.92030365317541774</v>
      </c>
      <c r="J22" s="10">
        <v>0.95105360734480071</v>
      </c>
      <c r="K22" s="10">
        <v>0.98563668559031237</v>
      </c>
      <c r="L22" s="10">
        <v>0.95684097378280797</v>
      </c>
      <c r="M22" s="10">
        <v>0.90858227348102671</v>
      </c>
      <c r="N22" s="10">
        <v>0.88949415127534759</v>
      </c>
      <c r="O22" s="10">
        <v>0.93346936057606056</v>
      </c>
      <c r="P22" s="10">
        <v>0.94903166055278021</v>
      </c>
      <c r="Q22" s="10">
        <v>0.8799739827800287</v>
      </c>
    </row>
    <row r="23" spans="1:17" hidden="1">
      <c r="A23" s="5" t="s">
        <v>40</v>
      </c>
      <c r="B23" s="5" t="s">
        <v>37</v>
      </c>
      <c r="C23" s="5" t="s">
        <v>38</v>
      </c>
      <c r="D23" s="5" t="s">
        <v>21</v>
      </c>
      <c r="E23" s="5" t="s">
        <v>22</v>
      </c>
      <c r="F23" s="10">
        <v>0.85778859216144054</v>
      </c>
      <c r="G23" s="10">
        <v>0.88977505915124422</v>
      </c>
      <c r="H23" s="10">
        <v>0.98133964736156687</v>
      </c>
      <c r="I23" s="10">
        <v>0.92030365317541751</v>
      </c>
      <c r="J23" s="10">
        <v>0.9510536073448006</v>
      </c>
      <c r="K23" s="10">
        <v>0.98563668559031237</v>
      </c>
      <c r="L23" s="10">
        <v>0.95684097378280786</v>
      </c>
      <c r="M23" s="10">
        <v>0.90858227348102683</v>
      </c>
      <c r="N23" s="10">
        <v>0.88949415127534748</v>
      </c>
      <c r="O23" s="10">
        <v>0.93346936057606067</v>
      </c>
      <c r="P23" s="10">
        <v>0.94903166055278054</v>
      </c>
      <c r="Q23" s="10">
        <v>0.87997398278002881</v>
      </c>
    </row>
    <row r="24" spans="1:17" hidden="1">
      <c r="A24" s="5" t="s">
        <v>41</v>
      </c>
      <c r="B24" s="5" t="s">
        <v>37</v>
      </c>
      <c r="C24" s="5" t="s">
        <v>38</v>
      </c>
      <c r="D24" s="5" t="s">
        <v>21</v>
      </c>
      <c r="E24" s="5" t="s">
        <v>22</v>
      </c>
      <c r="F24" s="10">
        <v>0.85778859216144077</v>
      </c>
      <c r="G24" s="10">
        <v>0.88977505915124411</v>
      </c>
      <c r="H24" s="10">
        <v>0.98133964736156676</v>
      </c>
      <c r="I24" s="10">
        <v>0.92030365317541796</v>
      </c>
      <c r="J24" s="10">
        <v>0.9510536073448006</v>
      </c>
      <c r="K24" s="10">
        <v>0.98563668559031237</v>
      </c>
      <c r="L24" s="10">
        <v>0.95684097378280786</v>
      </c>
      <c r="M24" s="10">
        <v>0.90858227348102671</v>
      </c>
      <c r="N24" s="10">
        <v>0.88949415127534759</v>
      </c>
      <c r="O24" s="10">
        <v>0.93346936057606056</v>
      </c>
      <c r="P24" s="10">
        <v>0.94903166055278054</v>
      </c>
      <c r="Q24" s="10">
        <v>0.8799739827800287</v>
      </c>
    </row>
    <row r="25" spans="1:17" hidden="1">
      <c r="A25" s="5" t="s">
        <v>42</v>
      </c>
      <c r="B25" s="5" t="s">
        <v>37</v>
      </c>
      <c r="C25" s="5" t="s">
        <v>38</v>
      </c>
      <c r="D25" s="5" t="s">
        <v>21</v>
      </c>
      <c r="E25" s="5" t="s">
        <v>22</v>
      </c>
      <c r="F25" s="10" t="s">
        <v>89</v>
      </c>
      <c r="G25" s="10" t="s">
        <v>89</v>
      </c>
      <c r="H25" s="10">
        <v>0.98133964736156687</v>
      </c>
      <c r="I25" s="10">
        <v>0.92030365317541774</v>
      </c>
      <c r="J25" s="10">
        <v>0.9510536073448006</v>
      </c>
      <c r="K25" s="10">
        <v>0.98563668559031248</v>
      </c>
      <c r="L25" s="10">
        <v>0.95684097378280775</v>
      </c>
      <c r="M25" s="10">
        <v>0.90858227348102671</v>
      </c>
      <c r="N25" s="10">
        <v>0.88949415127534759</v>
      </c>
      <c r="O25" s="10">
        <v>0.93346936057606067</v>
      </c>
      <c r="P25" s="10" t="s">
        <v>89</v>
      </c>
      <c r="Q25" s="10" t="s">
        <v>89</v>
      </c>
    </row>
    <row r="26" spans="1:17" hidden="1">
      <c r="A26" s="5" t="s">
        <v>45</v>
      </c>
      <c r="B26" s="5" t="s">
        <v>46</v>
      </c>
      <c r="C26" s="5" t="s">
        <v>38</v>
      </c>
      <c r="D26" s="5" t="s">
        <v>28</v>
      </c>
      <c r="E26" s="5" t="s">
        <v>22</v>
      </c>
      <c r="F26" s="10">
        <v>0.79633592581522694</v>
      </c>
      <c r="G26" s="10">
        <v>0.8192143552766028</v>
      </c>
      <c r="H26" s="10">
        <v>0.86675029412390592</v>
      </c>
      <c r="I26" s="10">
        <v>0.9779884544265488</v>
      </c>
      <c r="J26" s="10">
        <v>0.99051911298780126</v>
      </c>
      <c r="K26" s="10">
        <v>0.94728285018435998</v>
      </c>
      <c r="L26" s="10">
        <v>0.96434878266266244</v>
      </c>
      <c r="M26" s="10">
        <v>0.83745563793755362</v>
      </c>
      <c r="N26" s="10">
        <v>0.85745112718341643</v>
      </c>
      <c r="O26" s="10">
        <v>0.94754226351140625</v>
      </c>
      <c r="P26" s="10">
        <v>0.97616979153343908</v>
      </c>
      <c r="Q26" s="10">
        <v>0.96729518367795564</v>
      </c>
    </row>
    <row r="27" spans="1:17" hidden="1">
      <c r="A27" s="5" t="s">
        <v>43</v>
      </c>
      <c r="B27" s="5" t="s">
        <v>37</v>
      </c>
      <c r="C27" s="5" t="s">
        <v>38</v>
      </c>
      <c r="D27" s="5" t="s">
        <v>21</v>
      </c>
      <c r="E27" s="5" t="s">
        <v>22</v>
      </c>
      <c r="F27" s="10">
        <v>0.85778859216144066</v>
      </c>
      <c r="G27" s="10">
        <v>0.88977505915124389</v>
      </c>
      <c r="H27" s="10">
        <v>0.98133964736156676</v>
      </c>
      <c r="I27" s="10">
        <v>0.92030365317541774</v>
      </c>
      <c r="J27" s="10">
        <v>0.9510536073448006</v>
      </c>
      <c r="K27" s="10">
        <v>0.98563668559031192</v>
      </c>
      <c r="L27" s="10">
        <v>0.95684097378280786</v>
      </c>
      <c r="M27" s="10">
        <v>0.90858227348102694</v>
      </c>
      <c r="N27" s="10">
        <v>0.88949415127534759</v>
      </c>
      <c r="O27" s="10">
        <v>0.93346936057606078</v>
      </c>
      <c r="P27" s="10">
        <v>0.94903166055278032</v>
      </c>
      <c r="Q27" s="10">
        <v>0.87997398278002881</v>
      </c>
    </row>
    <row r="28" spans="1:17" hidden="1">
      <c r="A28" s="5" t="s">
        <v>44</v>
      </c>
      <c r="B28" s="5" t="s">
        <v>37</v>
      </c>
      <c r="C28" s="5" t="s">
        <v>38</v>
      </c>
      <c r="D28" s="5" t="s">
        <v>21</v>
      </c>
      <c r="E28" s="5" t="s">
        <v>22</v>
      </c>
      <c r="F28" s="10">
        <v>0.85778859216144077</v>
      </c>
      <c r="G28" s="10">
        <v>0.88977505915124411</v>
      </c>
      <c r="H28" s="10">
        <v>0.98133964736156676</v>
      </c>
      <c r="I28" s="10">
        <v>0.92030365317541785</v>
      </c>
      <c r="J28" s="10">
        <v>0.9510536073448006</v>
      </c>
      <c r="K28" s="10">
        <v>0.98563668559031226</v>
      </c>
      <c r="L28" s="10">
        <v>0.95684097378280786</v>
      </c>
      <c r="M28" s="10">
        <v>0.90858227348102671</v>
      </c>
      <c r="N28" s="10">
        <v>0.8894941512753477</v>
      </c>
      <c r="O28" s="10">
        <v>0.93346936057606078</v>
      </c>
      <c r="P28" s="10">
        <v>0.94903166055278054</v>
      </c>
      <c r="Q28" s="10">
        <v>0.87997398278002881</v>
      </c>
    </row>
    <row r="29" spans="1:17" hidden="1">
      <c r="A29" s="5" t="s">
        <v>36</v>
      </c>
      <c r="B29" s="5" t="s">
        <v>37</v>
      </c>
      <c r="C29" s="5" t="s">
        <v>38</v>
      </c>
      <c r="D29" s="5" t="s">
        <v>21</v>
      </c>
      <c r="E29" s="5" t="s">
        <v>24</v>
      </c>
      <c r="F29" s="10">
        <v>0.77537271114071427</v>
      </c>
      <c r="G29" s="10">
        <v>0.75933626016462552</v>
      </c>
      <c r="H29" s="10">
        <v>0.87172756548014907</v>
      </c>
      <c r="I29" s="10">
        <v>0.84097885950806717</v>
      </c>
      <c r="J29" s="10">
        <v>0.86225009018817123</v>
      </c>
      <c r="K29" s="10">
        <v>0.88928940597320161</v>
      </c>
      <c r="L29" s="10">
        <v>0.87619548384081414</v>
      </c>
      <c r="M29" s="10">
        <v>0.79239224179188528</v>
      </c>
      <c r="N29" s="10">
        <v>0.80188717667542253</v>
      </c>
      <c r="O29" s="10">
        <v>0.83718449369422454</v>
      </c>
      <c r="P29" s="10">
        <v>0.873203278302491</v>
      </c>
      <c r="Q29" s="10">
        <v>0.87686320253938244</v>
      </c>
    </row>
    <row r="30" spans="1:17" hidden="1">
      <c r="A30" s="5" t="s">
        <v>39</v>
      </c>
      <c r="B30" s="5" t="s">
        <v>37</v>
      </c>
      <c r="C30" s="5" t="s">
        <v>38</v>
      </c>
      <c r="D30" s="5" t="s">
        <v>21</v>
      </c>
      <c r="E30" s="5" t="s">
        <v>24</v>
      </c>
      <c r="F30" s="10">
        <v>0.77537271114071415</v>
      </c>
      <c r="G30" s="10">
        <v>0.75933626016462541</v>
      </c>
      <c r="H30" s="10">
        <v>0.87172756548014918</v>
      </c>
      <c r="I30" s="10">
        <v>0.84097885950806728</v>
      </c>
      <c r="J30" s="10">
        <v>0.86225009018817111</v>
      </c>
      <c r="K30" s="10">
        <v>0.88928940597320161</v>
      </c>
      <c r="L30" s="10">
        <v>0.87619548384081425</v>
      </c>
      <c r="M30" s="10">
        <v>0.79239224179188539</v>
      </c>
      <c r="N30" s="10">
        <v>0.80188717667542253</v>
      </c>
      <c r="O30" s="10">
        <v>0.83718449369422454</v>
      </c>
      <c r="P30" s="10">
        <v>0.87320327830249089</v>
      </c>
      <c r="Q30" s="10">
        <v>0.87686320253938244</v>
      </c>
    </row>
    <row r="31" spans="1:17" hidden="1">
      <c r="A31" s="5" t="s">
        <v>40</v>
      </c>
      <c r="B31" s="5" t="s">
        <v>37</v>
      </c>
      <c r="C31" s="5" t="s">
        <v>38</v>
      </c>
      <c r="D31" s="5" t="s">
        <v>21</v>
      </c>
      <c r="E31" s="5" t="s">
        <v>24</v>
      </c>
      <c r="F31" s="10">
        <v>0.77537271114071427</v>
      </c>
      <c r="G31" s="10">
        <v>0.75933626016462552</v>
      </c>
      <c r="H31" s="10">
        <v>0.87172756548014896</v>
      </c>
      <c r="I31" s="10">
        <v>0.84097885950806706</v>
      </c>
      <c r="J31" s="10">
        <v>0.86225009018817111</v>
      </c>
      <c r="K31" s="10">
        <v>0.8892894059732015</v>
      </c>
      <c r="L31" s="10">
        <v>0.87619548384081425</v>
      </c>
      <c r="M31" s="10">
        <v>0.7923922417918855</v>
      </c>
      <c r="N31" s="10">
        <v>0.80188717667542242</v>
      </c>
      <c r="O31" s="10">
        <v>0.83718449369422454</v>
      </c>
      <c r="P31" s="10">
        <v>0.87320327830249123</v>
      </c>
      <c r="Q31" s="10">
        <v>0.87686320253938244</v>
      </c>
    </row>
    <row r="32" spans="1:17" hidden="1">
      <c r="A32" s="5" t="s">
        <v>41</v>
      </c>
      <c r="B32" s="5" t="s">
        <v>37</v>
      </c>
      <c r="C32" s="5" t="s">
        <v>38</v>
      </c>
      <c r="D32" s="5" t="s">
        <v>21</v>
      </c>
      <c r="E32" s="5" t="s">
        <v>24</v>
      </c>
      <c r="F32" s="10">
        <v>0.77537271114071427</v>
      </c>
      <c r="G32" s="10">
        <v>0.75933626016462552</v>
      </c>
      <c r="H32" s="10">
        <v>0.87172756548014907</v>
      </c>
      <c r="I32" s="10">
        <v>0.84097885950806717</v>
      </c>
      <c r="J32" s="10">
        <v>0.86225009018817134</v>
      </c>
      <c r="K32" s="10">
        <v>0.8892894059732015</v>
      </c>
      <c r="L32" s="10">
        <v>0.87619548384081447</v>
      </c>
      <c r="M32" s="10">
        <v>0.7923922417918855</v>
      </c>
      <c r="N32" s="10">
        <v>0.80188717667542242</v>
      </c>
      <c r="O32" s="10">
        <v>0.83718449369422454</v>
      </c>
      <c r="P32" s="10">
        <v>0.87320327830249089</v>
      </c>
      <c r="Q32" s="10">
        <v>0.87686320253938244</v>
      </c>
    </row>
    <row r="33" spans="1:17" hidden="1">
      <c r="A33" s="5" t="s">
        <v>42</v>
      </c>
      <c r="B33" s="5" t="s">
        <v>37</v>
      </c>
      <c r="C33" s="5" t="s">
        <v>38</v>
      </c>
      <c r="D33" s="5" t="s">
        <v>21</v>
      </c>
      <c r="E33" s="5" t="s">
        <v>24</v>
      </c>
      <c r="F33" s="10" t="s">
        <v>89</v>
      </c>
      <c r="G33" s="10" t="s">
        <v>89</v>
      </c>
      <c r="H33" s="10">
        <v>0.87172756548014907</v>
      </c>
      <c r="I33" s="10">
        <v>0.84097885950806728</v>
      </c>
      <c r="J33" s="10">
        <v>0.86225009018817111</v>
      </c>
      <c r="K33" s="10">
        <v>0.88928940597320172</v>
      </c>
      <c r="L33" s="10">
        <v>0.87619548384081425</v>
      </c>
      <c r="M33" s="10">
        <v>0.79239224179188539</v>
      </c>
      <c r="N33" s="10">
        <v>0.80188717667542242</v>
      </c>
      <c r="O33" s="10">
        <v>0.83718449369422454</v>
      </c>
      <c r="P33" s="10" t="s">
        <v>89</v>
      </c>
      <c r="Q33" s="10" t="s">
        <v>89</v>
      </c>
    </row>
    <row r="34" spans="1:17" hidden="1">
      <c r="A34" s="5" t="s">
        <v>45</v>
      </c>
      <c r="B34" s="5" t="s">
        <v>46</v>
      </c>
      <c r="C34" s="5" t="s">
        <v>38</v>
      </c>
      <c r="D34" s="5" t="s">
        <v>28</v>
      </c>
      <c r="E34" s="5" t="s">
        <v>24</v>
      </c>
      <c r="F34" s="10">
        <v>0.90984370771443401</v>
      </c>
      <c r="G34" s="10">
        <v>0.96649990884983916</v>
      </c>
      <c r="H34" s="10">
        <v>0.93537788778584685</v>
      </c>
      <c r="I34" s="10">
        <v>0.95679786955234025</v>
      </c>
      <c r="J34" s="10">
        <v>0.98809398582857211</v>
      </c>
      <c r="K34" s="10">
        <v>0.9016448230808618</v>
      </c>
      <c r="L34" s="10">
        <v>0.932201183984537</v>
      </c>
      <c r="M34" s="10">
        <v>0.90398652290668802</v>
      </c>
      <c r="N34" s="10">
        <v>0.91429702131022028</v>
      </c>
      <c r="O34" s="10">
        <v>0.87750374665190156</v>
      </c>
      <c r="P34" s="10">
        <v>0.97463613680706684</v>
      </c>
      <c r="Q34" s="10">
        <v>0.94883817125956516</v>
      </c>
    </row>
    <row r="35" spans="1:17" hidden="1">
      <c r="A35" s="5" t="s">
        <v>43</v>
      </c>
      <c r="B35" s="5" t="s">
        <v>37</v>
      </c>
      <c r="C35" s="5" t="s">
        <v>38</v>
      </c>
      <c r="D35" s="5" t="s">
        <v>21</v>
      </c>
      <c r="E35" s="5" t="s">
        <v>24</v>
      </c>
      <c r="F35" s="10">
        <v>0.77537271114071427</v>
      </c>
      <c r="G35" s="10">
        <v>0.75933626016462541</v>
      </c>
      <c r="H35" s="10">
        <v>0.87172756548014896</v>
      </c>
      <c r="I35" s="10">
        <v>0.84097885950806739</v>
      </c>
      <c r="J35" s="10">
        <v>0.86225009018817123</v>
      </c>
      <c r="K35" s="10">
        <v>0.8892894059732015</v>
      </c>
      <c r="L35" s="10">
        <v>0.87619548384081425</v>
      </c>
      <c r="M35" s="10">
        <v>0.79239224179188539</v>
      </c>
      <c r="N35" s="10">
        <v>0.80188717667542242</v>
      </c>
      <c r="O35" s="10">
        <v>0.83718449369422454</v>
      </c>
      <c r="P35" s="10">
        <v>0.873203278302491</v>
      </c>
      <c r="Q35" s="10">
        <v>0.87686320253938244</v>
      </c>
    </row>
    <row r="36" spans="1:17" hidden="1">
      <c r="A36" s="5" t="s">
        <v>44</v>
      </c>
      <c r="B36" s="5" t="s">
        <v>37</v>
      </c>
      <c r="C36" s="5" t="s">
        <v>38</v>
      </c>
      <c r="D36" s="5" t="s">
        <v>21</v>
      </c>
      <c r="E36" s="5" t="s">
        <v>24</v>
      </c>
      <c r="F36" s="10">
        <v>0.77537271114071427</v>
      </c>
      <c r="G36" s="10">
        <v>0.75933626016462552</v>
      </c>
      <c r="H36" s="10">
        <v>0.87172756548014918</v>
      </c>
      <c r="I36" s="10">
        <v>0.84097885950806739</v>
      </c>
      <c r="J36" s="10">
        <v>0.86225009018817134</v>
      </c>
      <c r="K36" s="10">
        <v>0.8892894059732015</v>
      </c>
      <c r="L36" s="10">
        <v>0.87619548384081425</v>
      </c>
      <c r="M36" s="10">
        <v>0.7923922417918855</v>
      </c>
      <c r="N36" s="10">
        <v>0.80188717667542275</v>
      </c>
      <c r="O36" s="10">
        <v>0.83718449369422454</v>
      </c>
      <c r="P36" s="10">
        <v>0.873203278302491</v>
      </c>
      <c r="Q36" s="10">
        <v>0.87686320253938232</v>
      </c>
    </row>
    <row r="37" spans="1:17" hidden="1">
      <c r="A37" s="5" t="s">
        <v>36</v>
      </c>
      <c r="B37" s="5" t="s">
        <v>37</v>
      </c>
      <c r="C37" s="5" t="s">
        <v>38</v>
      </c>
      <c r="D37" s="5" t="s">
        <v>21</v>
      </c>
      <c r="E37" s="5" t="s">
        <v>25</v>
      </c>
      <c r="F37" s="10">
        <v>0.66766432203568227</v>
      </c>
      <c r="G37" s="10">
        <v>0.71640457134087743</v>
      </c>
      <c r="H37" s="10">
        <v>0.72761381526658375</v>
      </c>
      <c r="I37" s="10">
        <v>0.8173142059913262</v>
      </c>
      <c r="J37" s="10">
        <v>0.79225017465348846</v>
      </c>
      <c r="K37" s="10">
        <v>0.87333613496133256</v>
      </c>
      <c r="L37" s="10">
        <v>0.91269345217695963</v>
      </c>
      <c r="M37" s="10">
        <v>0.97764387090354465</v>
      </c>
      <c r="N37" s="10">
        <v>0.68988420477605428</v>
      </c>
      <c r="O37" s="10">
        <v>0.76526925418615721</v>
      </c>
      <c r="P37" s="10">
        <v>0.71617347057752023</v>
      </c>
      <c r="Q37" s="10">
        <v>0.83889065055270717</v>
      </c>
    </row>
    <row r="38" spans="1:17" hidden="1">
      <c r="A38" s="5" t="s">
        <v>39</v>
      </c>
      <c r="B38" s="5" t="s">
        <v>37</v>
      </c>
      <c r="C38" s="5" t="s">
        <v>38</v>
      </c>
      <c r="D38" s="5" t="s">
        <v>21</v>
      </c>
      <c r="E38" s="5" t="s">
        <v>25</v>
      </c>
      <c r="F38" s="10">
        <v>0.66766432203568238</v>
      </c>
      <c r="G38" s="10">
        <v>0.71640457134087732</v>
      </c>
      <c r="H38" s="10">
        <v>0.72761381526658375</v>
      </c>
      <c r="I38" s="10">
        <v>0.81731420599132609</v>
      </c>
      <c r="J38" s="10">
        <v>0.79225017465348835</v>
      </c>
      <c r="K38" s="10">
        <v>0.87333613496133256</v>
      </c>
      <c r="L38" s="10">
        <v>0.91269345217695974</v>
      </c>
      <c r="M38" s="10">
        <v>0.97764387090354465</v>
      </c>
      <c r="N38" s="10">
        <v>0.68988420477605406</v>
      </c>
      <c r="O38" s="10">
        <v>0.7652692541861571</v>
      </c>
      <c r="P38" s="10">
        <v>0.71617347057752023</v>
      </c>
      <c r="Q38" s="10">
        <v>0.83889065055270706</v>
      </c>
    </row>
    <row r="39" spans="1:17" hidden="1">
      <c r="A39" s="5" t="s">
        <v>40</v>
      </c>
      <c r="B39" s="5" t="s">
        <v>37</v>
      </c>
      <c r="C39" s="5" t="s">
        <v>38</v>
      </c>
      <c r="D39" s="5" t="s">
        <v>21</v>
      </c>
      <c r="E39" s="5" t="s">
        <v>25</v>
      </c>
      <c r="F39" s="10">
        <v>0.66766432203568227</v>
      </c>
      <c r="G39" s="10">
        <v>0.71640457134087743</v>
      </c>
      <c r="H39" s="10">
        <v>0.72761381526658397</v>
      </c>
      <c r="I39" s="10">
        <v>0.81731420599132609</v>
      </c>
      <c r="J39" s="10">
        <v>0.79225017465348835</v>
      </c>
      <c r="K39" s="10">
        <v>0.87333613496133256</v>
      </c>
      <c r="L39" s="10">
        <v>0.91269345217695952</v>
      </c>
      <c r="M39" s="10">
        <v>0.97764387090354476</v>
      </c>
      <c r="N39" s="10">
        <v>0.68988420477605406</v>
      </c>
      <c r="O39" s="10">
        <v>0.7652692541861571</v>
      </c>
      <c r="P39" s="10">
        <v>0.71617347057752034</v>
      </c>
      <c r="Q39" s="10">
        <v>0.83889065055270695</v>
      </c>
    </row>
    <row r="40" spans="1:17" hidden="1">
      <c r="A40" s="5" t="s">
        <v>41</v>
      </c>
      <c r="B40" s="5" t="s">
        <v>37</v>
      </c>
      <c r="C40" s="5" t="s">
        <v>38</v>
      </c>
      <c r="D40" s="5" t="s">
        <v>21</v>
      </c>
      <c r="E40" s="5" t="s">
        <v>25</v>
      </c>
      <c r="F40" s="10">
        <v>0.66766432203568216</v>
      </c>
      <c r="G40" s="10">
        <v>0.71640457134087732</v>
      </c>
      <c r="H40" s="10">
        <v>0.72761381526658386</v>
      </c>
      <c r="I40" s="10">
        <v>0.81731420599132631</v>
      </c>
      <c r="J40" s="10">
        <v>0.79225017465348846</v>
      </c>
      <c r="K40" s="10">
        <v>0.87333613496133244</v>
      </c>
      <c r="L40" s="10">
        <v>0.91269345217695985</v>
      </c>
      <c r="M40" s="10">
        <v>0.97764387090354465</v>
      </c>
      <c r="N40" s="10">
        <v>0.68988420477605406</v>
      </c>
      <c r="O40" s="10">
        <v>0.76526925418615721</v>
      </c>
      <c r="P40" s="10">
        <v>0.71617347057752034</v>
      </c>
      <c r="Q40" s="10">
        <v>0.83889065055270695</v>
      </c>
    </row>
    <row r="41" spans="1:17" hidden="1">
      <c r="A41" s="5" t="s">
        <v>42</v>
      </c>
      <c r="B41" s="5" t="s">
        <v>37</v>
      </c>
      <c r="C41" s="5" t="s">
        <v>38</v>
      </c>
      <c r="D41" s="5" t="s">
        <v>21</v>
      </c>
      <c r="E41" s="5" t="s">
        <v>25</v>
      </c>
      <c r="F41" s="10" t="s">
        <v>89</v>
      </c>
      <c r="G41" s="10" t="s">
        <v>89</v>
      </c>
      <c r="H41" s="10">
        <v>0.72761381526658397</v>
      </c>
      <c r="I41" s="10">
        <v>0.81731420599132598</v>
      </c>
      <c r="J41" s="10">
        <v>0.79225017465348846</v>
      </c>
      <c r="K41" s="10">
        <v>0.87333613496133267</v>
      </c>
      <c r="L41" s="10">
        <v>0.91269345217695974</v>
      </c>
      <c r="M41" s="10">
        <v>0.97764387090354488</v>
      </c>
      <c r="N41" s="10">
        <v>0.68988420477605417</v>
      </c>
      <c r="O41" s="10">
        <v>0.76526925418615721</v>
      </c>
      <c r="P41" s="10" t="s">
        <v>89</v>
      </c>
      <c r="Q41" s="10" t="s">
        <v>89</v>
      </c>
    </row>
    <row r="42" spans="1:17" hidden="1">
      <c r="A42" s="5" t="s">
        <v>45</v>
      </c>
      <c r="B42" s="5" t="s">
        <v>46</v>
      </c>
      <c r="C42" s="5" t="s">
        <v>38</v>
      </c>
      <c r="D42" s="5" t="s">
        <v>28</v>
      </c>
      <c r="E42" s="5" t="s">
        <v>25</v>
      </c>
      <c r="F42" s="10">
        <v>0.94689397707211509</v>
      </c>
      <c r="G42" s="10">
        <v>0.99051911298780138</v>
      </c>
      <c r="H42" s="10">
        <v>0.93754307796502012</v>
      </c>
      <c r="I42" s="10">
        <v>0.93188524400609707</v>
      </c>
      <c r="J42" s="10">
        <v>0.92589341992452878</v>
      </c>
      <c r="K42" s="10">
        <v>0.84192497865523364</v>
      </c>
      <c r="L42" s="10">
        <v>0.89511629871954812</v>
      </c>
      <c r="M42" s="10">
        <v>0.94997326800036097</v>
      </c>
      <c r="N42" s="10">
        <v>0.79224130347096766</v>
      </c>
      <c r="O42" s="10">
        <v>0.77483211382443828</v>
      </c>
      <c r="P42" s="10">
        <v>0.92114831225893534</v>
      </c>
      <c r="Q42" s="10">
        <v>0.9905191129878016</v>
      </c>
    </row>
    <row r="43" spans="1:17" hidden="1">
      <c r="A43" s="5" t="s">
        <v>43</v>
      </c>
      <c r="B43" s="5" t="s">
        <v>37</v>
      </c>
      <c r="C43" s="5" t="s">
        <v>38</v>
      </c>
      <c r="D43" s="5" t="s">
        <v>21</v>
      </c>
      <c r="E43" s="5" t="s">
        <v>25</v>
      </c>
      <c r="F43" s="10">
        <v>0.66766432203568227</v>
      </c>
      <c r="G43" s="10">
        <v>0.71640457134087732</v>
      </c>
      <c r="H43" s="10">
        <v>0.72761381526658386</v>
      </c>
      <c r="I43" s="10">
        <v>0.81731420599132609</v>
      </c>
      <c r="J43" s="10">
        <v>0.79225017465348846</v>
      </c>
      <c r="K43" s="10">
        <v>0.87333613496133267</v>
      </c>
      <c r="L43" s="10">
        <v>0.91269345217695974</v>
      </c>
      <c r="M43" s="10">
        <v>0.97764387090354476</v>
      </c>
      <c r="N43" s="10">
        <v>0.68988420477605417</v>
      </c>
      <c r="O43" s="10">
        <v>0.7652692541861571</v>
      </c>
      <c r="P43" s="10">
        <v>0.71617347057752023</v>
      </c>
      <c r="Q43" s="10">
        <v>0.83889065055270706</v>
      </c>
    </row>
    <row r="44" spans="1:17" hidden="1">
      <c r="A44" s="5" t="s">
        <v>44</v>
      </c>
      <c r="B44" s="5" t="s">
        <v>37</v>
      </c>
      <c r="C44" s="5" t="s">
        <v>38</v>
      </c>
      <c r="D44" s="5" t="s">
        <v>21</v>
      </c>
      <c r="E44" s="5" t="s">
        <v>25</v>
      </c>
      <c r="F44" s="10">
        <v>0.66766432203568227</v>
      </c>
      <c r="G44" s="10">
        <v>0.71640457134087732</v>
      </c>
      <c r="H44" s="10">
        <v>0.72761381526658386</v>
      </c>
      <c r="I44" s="10">
        <v>0.81731420599132609</v>
      </c>
      <c r="J44" s="10">
        <v>0.79225017465348846</v>
      </c>
      <c r="K44" s="10">
        <v>0.87333613496133256</v>
      </c>
      <c r="L44" s="10">
        <v>0.91269345217695985</v>
      </c>
      <c r="M44" s="10">
        <v>0.97764387090354476</v>
      </c>
      <c r="N44" s="10">
        <v>0.68988420477605417</v>
      </c>
      <c r="O44" s="10">
        <v>0.76526925418615721</v>
      </c>
      <c r="P44" s="10">
        <v>0.71617347057752012</v>
      </c>
      <c r="Q44" s="10">
        <v>0.83889065055270695</v>
      </c>
    </row>
    <row r="45" spans="1:17" hidden="1">
      <c r="A45" s="5" t="s">
        <v>50</v>
      </c>
      <c r="B45" s="5" t="s">
        <v>51</v>
      </c>
      <c r="C45" s="5" t="s">
        <v>49</v>
      </c>
      <c r="D45" s="5" t="s">
        <v>28</v>
      </c>
      <c r="E45" s="5" t="s">
        <v>22</v>
      </c>
      <c r="F45" s="10" t="s">
        <v>89</v>
      </c>
      <c r="G45" s="10" t="s">
        <v>89</v>
      </c>
      <c r="H45" s="10">
        <v>0.66667741263463642</v>
      </c>
      <c r="I45" s="10">
        <v>0.74075268070515154</v>
      </c>
      <c r="J45" s="10">
        <v>0.84567013870638463</v>
      </c>
      <c r="K45" s="10">
        <v>0.7926948717104827</v>
      </c>
      <c r="L45" s="10">
        <v>0.83792431261846412</v>
      </c>
      <c r="M45" s="10">
        <v>0.75571173958427695</v>
      </c>
      <c r="N45" s="10">
        <v>0.90621110885519229</v>
      </c>
      <c r="O45" s="10">
        <v>0.77154633156097463</v>
      </c>
      <c r="P45" s="10" t="s">
        <v>89</v>
      </c>
      <c r="Q45" s="10" t="s">
        <v>89</v>
      </c>
    </row>
    <row r="46" spans="1:17" hidden="1">
      <c r="A46" s="5" t="s">
        <v>47</v>
      </c>
      <c r="B46" s="5" t="s">
        <v>48</v>
      </c>
      <c r="C46" s="5" t="s">
        <v>49</v>
      </c>
      <c r="D46" s="5" t="s">
        <v>21</v>
      </c>
      <c r="E46" s="5" t="s">
        <v>22</v>
      </c>
      <c r="F46" s="10">
        <v>0.90126127064132677</v>
      </c>
      <c r="G46" s="10">
        <v>0.89902596635895882</v>
      </c>
      <c r="H46" s="10">
        <v>0.98614074321326184</v>
      </c>
      <c r="I46" s="10">
        <v>0.99051911298780126</v>
      </c>
      <c r="J46" s="10">
        <v>0.99051911298780149</v>
      </c>
      <c r="K46" s="10">
        <v>0.99051911298780149</v>
      </c>
      <c r="L46" s="10">
        <v>0.99051911298780149</v>
      </c>
      <c r="M46" s="10">
        <v>0.9905191129878016</v>
      </c>
      <c r="N46" s="10">
        <v>0.99051911298780149</v>
      </c>
      <c r="O46" s="10">
        <v>0.97958601547386648</v>
      </c>
      <c r="P46" s="10">
        <v>0.90909198023454496</v>
      </c>
      <c r="Q46" s="10">
        <v>0.75852690271486567</v>
      </c>
    </row>
    <row r="47" spans="1:17" hidden="1">
      <c r="A47" s="5" t="s">
        <v>50</v>
      </c>
      <c r="B47" s="5" t="s">
        <v>51</v>
      </c>
      <c r="C47" s="5" t="s">
        <v>49</v>
      </c>
      <c r="D47" s="5" t="s">
        <v>28</v>
      </c>
      <c r="E47" s="5" t="s">
        <v>24</v>
      </c>
      <c r="F47" s="10" t="s">
        <v>89</v>
      </c>
      <c r="G47" s="10" t="s">
        <v>89</v>
      </c>
      <c r="H47" s="10">
        <v>0.53865937631088689</v>
      </c>
      <c r="I47" s="10">
        <v>0.5985104181232076</v>
      </c>
      <c r="J47" s="10">
        <v>0.80280757855367557</v>
      </c>
      <c r="K47" s="10">
        <v>0.98136395807037669</v>
      </c>
      <c r="L47" s="10">
        <v>0.75252304391478819</v>
      </c>
      <c r="M47" s="10">
        <v>0.65388941544992352</v>
      </c>
      <c r="N47" s="10">
        <v>0.90678895842328044</v>
      </c>
      <c r="O47" s="10">
        <v>0.56829148601749369</v>
      </c>
      <c r="P47" s="10" t="s">
        <v>89</v>
      </c>
      <c r="Q47" s="10" t="s">
        <v>89</v>
      </c>
    </row>
    <row r="48" spans="1:17" hidden="1">
      <c r="A48" s="5" t="s">
        <v>47</v>
      </c>
      <c r="B48" s="5" t="s">
        <v>48</v>
      </c>
      <c r="C48" s="5" t="s">
        <v>49</v>
      </c>
      <c r="D48" s="5" t="s">
        <v>21</v>
      </c>
      <c r="E48" s="5" t="s">
        <v>24</v>
      </c>
      <c r="F48" s="10">
        <v>0.86611023088278449</v>
      </c>
      <c r="G48" s="10">
        <v>0.951897251879815</v>
      </c>
      <c r="H48" s="10">
        <v>0.98106590308912023</v>
      </c>
      <c r="I48" s="10">
        <v>0.98959486842762212</v>
      </c>
      <c r="J48" s="10">
        <v>0.99051911298780126</v>
      </c>
      <c r="K48" s="10">
        <v>0.99051911298780138</v>
      </c>
      <c r="L48" s="10">
        <v>0.99051911298780126</v>
      </c>
      <c r="M48" s="10">
        <v>0.99051911298780104</v>
      </c>
      <c r="N48" s="10">
        <v>0.98442627138515626</v>
      </c>
      <c r="O48" s="10">
        <v>0.97382054098021198</v>
      </c>
      <c r="P48" s="10">
        <v>0.86140923600919428</v>
      </c>
      <c r="Q48" s="10">
        <v>0.76214521384167266</v>
      </c>
    </row>
    <row r="49" spans="1:17" hidden="1">
      <c r="A49" s="5" t="s">
        <v>50</v>
      </c>
      <c r="B49" s="5" t="s">
        <v>51</v>
      </c>
      <c r="C49" s="5" t="s">
        <v>49</v>
      </c>
      <c r="D49" s="5" t="s">
        <v>28</v>
      </c>
      <c r="E49" s="5" t="s">
        <v>25</v>
      </c>
      <c r="F49" s="10" t="s">
        <v>89</v>
      </c>
      <c r="G49" s="10" t="s">
        <v>89</v>
      </c>
      <c r="H49" s="10">
        <v>0.72878837254862439</v>
      </c>
      <c r="I49" s="10">
        <v>0.80976485838736068</v>
      </c>
      <c r="J49" s="10">
        <v>0.71304230630470011</v>
      </c>
      <c r="K49" s="10">
        <v>0.91899514418797035</v>
      </c>
      <c r="L49" s="10">
        <v>0.76537013929961351</v>
      </c>
      <c r="M49" s="10">
        <v>0.74191315086919807</v>
      </c>
      <c r="N49" s="10">
        <v>0.70032476278233402</v>
      </c>
      <c r="O49" s="10">
        <v>0.95059666752017136</v>
      </c>
      <c r="P49" s="10" t="s">
        <v>89</v>
      </c>
      <c r="Q49" s="10" t="s">
        <v>89</v>
      </c>
    </row>
    <row r="50" spans="1:17" hidden="1">
      <c r="A50" s="5" t="s">
        <v>47</v>
      </c>
      <c r="B50" s="5" t="s">
        <v>48</v>
      </c>
      <c r="C50" s="5" t="s">
        <v>49</v>
      </c>
      <c r="D50" s="5" t="s">
        <v>21</v>
      </c>
      <c r="E50" s="5" t="s">
        <v>25</v>
      </c>
      <c r="F50" s="10">
        <v>0.68817791861162447</v>
      </c>
      <c r="G50" s="10">
        <v>0.83973225996080836</v>
      </c>
      <c r="H50" s="10">
        <v>0.90300742265269041</v>
      </c>
      <c r="I50" s="10">
        <v>0.91212115500820234</v>
      </c>
      <c r="J50" s="10">
        <v>0.99051911298780149</v>
      </c>
      <c r="K50" s="10">
        <v>0.99051911298780149</v>
      </c>
      <c r="L50" s="10">
        <v>0.93604354899746833</v>
      </c>
      <c r="M50" s="10">
        <v>0.90303464120245369</v>
      </c>
      <c r="N50" s="10">
        <v>0.99051911298780149</v>
      </c>
      <c r="O50" s="10">
        <v>0.99051911298780138</v>
      </c>
      <c r="P50" s="10">
        <v>0.87460694341873557</v>
      </c>
      <c r="Q50" s="10">
        <v>0.6973805350530341</v>
      </c>
    </row>
    <row r="51" spans="1:17" hidden="1">
      <c r="A51" s="5" t="s">
        <v>52</v>
      </c>
      <c r="B51" s="5" t="s">
        <v>53</v>
      </c>
      <c r="C51" s="5" t="s">
        <v>54</v>
      </c>
      <c r="D51" s="5" t="s">
        <v>21</v>
      </c>
      <c r="E51" s="5" t="s">
        <v>22</v>
      </c>
      <c r="F51" s="10">
        <v>0.81881538598039816</v>
      </c>
      <c r="G51" s="10">
        <v>0.87918768925867596</v>
      </c>
      <c r="H51" s="10">
        <v>0.99051911298780171</v>
      </c>
      <c r="I51" s="10">
        <v>0.98664920989029481</v>
      </c>
      <c r="J51" s="10">
        <v>0.9905191129878016</v>
      </c>
      <c r="K51" s="10">
        <v>0.99051911298780126</v>
      </c>
      <c r="L51" s="10">
        <v>0.9905191129878016</v>
      </c>
      <c r="M51" s="10">
        <v>0.99051911298780126</v>
      </c>
      <c r="N51" s="10">
        <v>0.95273412551114534</v>
      </c>
      <c r="O51" s="10">
        <v>0.94242121637937259</v>
      </c>
      <c r="P51" s="10">
        <v>0.9905191129878016</v>
      </c>
      <c r="Q51" s="10">
        <v>0.92405556748581319</v>
      </c>
    </row>
    <row r="52" spans="1:17" hidden="1">
      <c r="A52" s="5" t="s">
        <v>55</v>
      </c>
      <c r="B52" s="5" t="s">
        <v>53</v>
      </c>
      <c r="C52" s="5" t="s">
        <v>54</v>
      </c>
      <c r="D52" s="5" t="s">
        <v>21</v>
      </c>
      <c r="E52" s="5" t="s">
        <v>22</v>
      </c>
      <c r="F52" s="10">
        <v>0.81881538598039816</v>
      </c>
      <c r="G52" s="10">
        <v>0.87918768925867596</v>
      </c>
      <c r="H52" s="10">
        <v>0.9905191129878016</v>
      </c>
      <c r="I52" s="10">
        <v>0.9866492098902947</v>
      </c>
      <c r="J52" s="10">
        <v>0.99051911298780138</v>
      </c>
      <c r="K52" s="10">
        <v>0.99051911298780138</v>
      </c>
      <c r="L52" s="10">
        <v>0.9905191129878016</v>
      </c>
      <c r="M52" s="10">
        <v>0.99051911298780126</v>
      </c>
      <c r="N52" s="10">
        <v>0.95273412551114534</v>
      </c>
      <c r="O52" s="10">
        <v>0.94242121637937248</v>
      </c>
      <c r="P52" s="10">
        <v>0.9905191129878016</v>
      </c>
      <c r="Q52" s="10">
        <v>0.92405556748581319</v>
      </c>
    </row>
    <row r="53" spans="1:17" hidden="1">
      <c r="A53" s="5" t="s">
        <v>56</v>
      </c>
      <c r="B53" s="5" t="s">
        <v>53</v>
      </c>
      <c r="C53" s="5" t="s">
        <v>54</v>
      </c>
      <c r="D53" s="5" t="s">
        <v>21</v>
      </c>
      <c r="E53" s="5" t="s">
        <v>22</v>
      </c>
      <c r="F53" s="10" t="s">
        <v>89</v>
      </c>
      <c r="G53" s="10" t="s">
        <v>89</v>
      </c>
      <c r="H53" s="10">
        <v>0.99051911298780171</v>
      </c>
      <c r="I53" s="10">
        <v>0.98664920989029481</v>
      </c>
      <c r="J53" s="10">
        <v>0.9905191129878016</v>
      </c>
      <c r="K53" s="10">
        <v>0.99051911298780126</v>
      </c>
      <c r="L53" s="10">
        <v>0.9905191129878016</v>
      </c>
      <c r="M53" s="10">
        <v>0.99051911298780126</v>
      </c>
      <c r="N53" s="10">
        <v>0.95273412551114534</v>
      </c>
      <c r="O53" s="10">
        <v>0.94242121637937259</v>
      </c>
      <c r="P53" s="10" t="s">
        <v>89</v>
      </c>
      <c r="Q53" s="10" t="s">
        <v>89</v>
      </c>
    </row>
    <row r="54" spans="1:17" hidden="1">
      <c r="A54" s="5" t="s">
        <v>52</v>
      </c>
      <c r="B54" s="5" t="s">
        <v>53</v>
      </c>
      <c r="C54" s="5" t="s">
        <v>54</v>
      </c>
      <c r="D54" s="5" t="s">
        <v>21</v>
      </c>
      <c r="E54" s="5" t="s">
        <v>24</v>
      </c>
      <c r="F54" s="10">
        <v>0.76070377102008224</v>
      </c>
      <c r="G54" s="10">
        <v>0.72581023536241174</v>
      </c>
      <c r="H54" s="10">
        <v>0.84738602186583223</v>
      </c>
      <c r="I54" s="10">
        <v>0.88813870591387201</v>
      </c>
      <c r="J54" s="10">
        <v>0.94172994851123615</v>
      </c>
      <c r="K54" s="10">
        <v>0.97745223642919865</v>
      </c>
      <c r="L54" s="10">
        <v>0.97487285258906831</v>
      </c>
      <c r="M54" s="10">
        <v>0.90760290387039488</v>
      </c>
      <c r="N54" s="10">
        <v>0.93994658326453129</v>
      </c>
      <c r="O54" s="10">
        <v>0.89049198317748035</v>
      </c>
      <c r="P54" s="10">
        <v>0.89375663334984867</v>
      </c>
      <c r="Q54" s="10">
        <v>0.87306048254179491</v>
      </c>
    </row>
    <row r="55" spans="1:17" hidden="1">
      <c r="A55" s="5" t="s">
        <v>55</v>
      </c>
      <c r="B55" s="5" t="s">
        <v>53</v>
      </c>
      <c r="C55" s="5" t="s">
        <v>54</v>
      </c>
      <c r="D55" s="5" t="s">
        <v>21</v>
      </c>
      <c r="E55" s="5" t="s">
        <v>24</v>
      </c>
      <c r="F55" s="10">
        <v>0.76070377102008224</v>
      </c>
      <c r="G55" s="10">
        <v>0.72581023536241174</v>
      </c>
      <c r="H55" s="10">
        <v>0.84738602186583234</v>
      </c>
      <c r="I55" s="10">
        <v>0.8881387059138719</v>
      </c>
      <c r="J55" s="10">
        <v>0.94172994851123637</v>
      </c>
      <c r="K55" s="10">
        <v>0.97745223642919854</v>
      </c>
      <c r="L55" s="10">
        <v>0.97487285258906831</v>
      </c>
      <c r="M55" s="10">
        <v>0.90760290387039522</v>
      </c>
      <c r="N55" s="10">
        <v>0.93994658326453129</v>
      </c>
      <c r="O55" s="10">
        <v>0.89049198317748002</v>
      </c>
      <c r="P55" s="10">
        <v>0.89375663334984867</v>
      </c>
      <c r="Q55" s="10">
        <v>0.87306048254179491</v>
      </c>
    </row>
    <row r="56" spans="1:17" hidden="1">
      <c r="A56" s="5" t="s">
        <v>56</v>
      </c>
      <c r="B56" s="5" t="s">
        <v>53</v>
      </c>
      <c r="C56" s="5" t="s">
        <v>54</v>
      </c>
      <c r="D56" s="5" t="s">
        <v>21</v>
      </c>
      <c r="E56" s="5" t="s">
        <v>24</v>
      </c>
      <c r="F56" s="10" t="s">
        <v>89</v>
      </c>
      <c r="G56" s="10" t="s">
        <v>89</v>
      </c>
      <c r="H56" s="10">
        <v>0.84738602186583223</v>
      </c>
      <c r="I56" s="10">
        <v>0.88813870591387201</v>
      </c>
      <c r="J56" s="10">
        <v>0.94172994851123615</v>
      </c>
      <c r="K56" s="10">
        <v>0.97745223642919865</v>
      </c>
      <c r="L56" s="10">
        <v>0.97487285258906831</v>
      </c>
      <c r="M56" s="10">
        <v>0.90760290387039488</v>
      </c>
      <c r="N56" s="10">
        <v>0.93994658326453129</v>
      </c>
      <c r="O56" s="10">
        <v>0.89049198317748024</v>
      </c>
      <c r="P56" s="10" t="s">
        <v>89</v>
      </c>
      <c r="Q56" s="10" t="s">
        <v>89</v>
      </c>
    </row>
    <row r="57" spans="1:17" hidden="1">
      <c r="A57" s="5" t="s">
        <v>52</v>
      </c>
      <c r="B57" s="5" t="s">
        <v>53</v>
      </c>
      <c r="C57" s="5" t="s">
        <v>54</v>
      </c>
      <c r="D57" s="5" t="s">
        <v>21</v>
      </c>
      <c r="E57" s="5" t="s">
        <v>25</v>
      </c>
      <c r="F57" s="10">
        <v>0.62395282500626637</v>
      </c>
      <c r="G57" s="10">
        <v>0.55563903919078184</v>
      </c>
      <c r="H57" s="10">
        <v>0.72126990802570368</v>
      </c>
      <c r="I57" s="10">
        <v>0.75090553190798914</v>
      </c>
      <c r="J57" s="10">
        <v>0.73716400516204972</v>
      </c>
      <c r="K57" s="10">
        <v>0.88958574267756807</v>
      </c>
      <c r="L57" s="10">
        <v>0.93540785195292253</v>
      </c>
      <c r="M57" s="10">
        <v>0.86995151698981477</v>
      </c>
      <c r="N57" s="10">
        <v>0.77534113641733893</v>
      </c>
      <c r="O57" s="10">
        <v>0.72538203905255905</v>
      </c>
      <c r="P57" s="10">
        <v>0.73926228856645815</v>
      </c>
      <c r="Q57" s="10">
        <v>0.87600384363018946</v>
      </c>
    </row>
    <row r="58" spans="1:17" hidden="1">
      <c r="A58" s="5" t="s">
        <v>55</v>
      </c>
      <c r="B58" s="5" t="s">
        <v>53</v>
      </c>
      <c r="C58" s="5" t="s">
        <v>54</v>
      </c>
      <c r="D58" s="5" t="s">
        <v>21</v>
      </c>
      <c r="E58" s="5" t="s">
        <v>25</v>
      </c>
      <c r="F58" s="10">
        <v>0.62395282500626637</v>
      </c>
      <c r="G58" s="10">
        <v>0.55563903919078184</v>
      </c>
      <c r="H58" s="10">
        <v>0.72126990802570357</v>
      </c>
      <c r="I58" s="10">
        <v>0.75090553190798937</v>
      </c>
      <c r="J58" s="10">
        <v>0.73716400516204972</v>
      </c>
      <c r="K58" s="10">
        <v>0.88958574267756796</v>
      </c>
      <c r="L58" s="10">
        <v>0.93540785195292242</v>
      </c>
      <c r="M58" s="10">
        <v>0.86995151698981465</v>
      </c>
      <c r="N58" s="10">
        <v>0.77534113641733893</v>
      </c>
      <c r="O58" s="10">
        <v>0.72538203905255927</v>
      </c>
      <c r="P58" s="10">
        <v>0.73926228856645815</v>
      </c>
      <c r="Q58" s="10">
        <v>0.87600384363018946</v>
      </c>
    </row>
    <row r="59" spans="1:17" hidden="1">
      <c r="A59" s="5" t="s">
        <v>56</v>
      </c>
      <c r="B59" s="5" t="s">
        <v>53</v>
      </c>
      <c r="C59" s="5" t="s">
        <v>54</v>
      </c>
      <c r="D59" s="5" t="s">
        <v>21</v>
      </c>
      <c r="E59" s="5" t="s">
        <v>25</v>
      </c>
      <c r="F59" s="10" t="s">
        <v>89</v>
      </c>
      <c r="G59" s="10" t="s">
        <v>89</v>
      </c>
      <c r="H59" s="10">
        <v>0.72126990802570357</v>
      </c>
      <c r="I59" s="10">
        <v>0.75090553190798914</v>
      </c>
      <c r="J59" s="10">
        <v>0.73716400516204972</v>
      </c>
      <c r="K59" s="10">
        <v>0.88958574267756807</v>
      </c>
      <c r="L59" s="10">
        <v>0.93540785195292253</v>
      </c>
      <c r="M59" s="10">
        <v>0.86995151698981477</v>
      </c>
      <c r="N59" s="10">
        <v>0.77534113641733893</v>
      </c>
      <c r="O59" s="10">
        <v>0.72538203905255927</v>
      </c>
      <c r="P59" s="10" t="s">
        <v>89</v>
      </c>
      <c r="Q59" s="10" t="s">
        <v>89</v>
      </c>
    </row>
    <row r="60" spans="1:17" hidden="1">
      <c r="A60" s="5" t="s">
        <v>64</v>
      </c>
      <c r="B60" s="5" t="s">
        <v>65</v>
      </c>
      <c r="C60" s="5" t="s">
        <v>59</v>
      </c>
      <c r="D60" s="5" t="s">
        <v>28</v>
      </c>
      <c r="E60" s="5" t="s">
        <v>22</v>
      </c>
      <c r="F60" s="10">
        <v>0.9905191129878016</v>
      </c>
      <c r="G60" s="10">
        <v>0.99051911298780138</v>
      </c>
      <c r="H60" s="10">
        <v>0.96329602686529059</v>
      </c>
      <c r="I60" s="10">
        <v>0.92558786118344893</v>
      </c>
      <c r="J60" s="10">
        <v>0.71216439223972217</v>
      </c>
      <c r="K60" s="10">
        <v>0.8342487061718542</v>
      </c>
      <c r="L60" s="10">
        <v>0.87893666648180135</v>
      </c>
      <c r="M60" s="10">
        <v>0.99051911298780149</v>
      </c>
      <c r="N60" s="10">
        <v>0.8712970789831499</v>
      </c>
      <c r="O60" s="10">
        <v>0.95796050674254141</v>
      </c>
      <c r="P60" s="10">
        <v>0.88390809766398171</v>
      </c>
      <c r="Q60" s="10">
        <v>0.77027437768424312</v>
      </c>
    </row>
    <row r="61" spans="1:17" hidden="1">
      <c r="A61" s="5" t="s">
        <v>66</v>
      </c>
      <c r="B61" s="5" t="s">
        <v>65</v>
      </c>
      <c r="C61" s="5" t="s">
        <v>59</v>
      </c>
      <c r="D61" s="5" t="s">
        <v>28</v>
      </c>
      <c r="E61" s="5" t="s">
        <v>22</v>
      </c>
      <c r="F61" s="10" t="s">
        <v>89</v>
      </c>
      <c r="G61" s="10" t="s">
        <v>89</v>
      </c>
      <c r="H61" s="10" t="s">
        <v>89</v>
      </c>
      <c r="I61" s="10">
        <v>0.92558786118344893</v>
      </c>
      <c r="J61" s="10">
        <v>0.71216439223972228</v>
      </c>
      <c r="K61" s="10">
        <v>0.83424870617185443</v>
      </c>
      <c r="L61" s="10">
        <v>0.87893666648180135</v>
      </c>
      <c r="M61" s="10">
        <v>0.9905191129878016</v>
      </c>
      <c r="N61" s="10">
        <v>0.87129707898314979</v>
      </c>
      <c r="O61" s="10">
        <v>0.95796050674254152</v>
      </c>
      <c r="P61" s="10" t="s">
        <v>89</v>
      </c>
      <c r="Q61" s="10" t="s">
        <v>89</v>
      </c>
    </row>
    <row r="62" spans="1:17" hidden="1">
      <c r="A62" s="5" t="s">
        <v>61</v>
      </c>
      <c r="B62" s="5" t="s">
        <v>62</v>
      </c>
      <c r="C62" s="5" t="s">
        <v>59</v>
      </c>
      <c r="D62" s="5" t="s">
        <v>21</v>
      </c>
      <c r="E62" s="5" t="s">
        <v>22</v>
      </c>
      <c r="F62" s="10">
        <v>0.9905191129878016</v>
      </c>
      <c r="G62" s="10">
        <v>0.99051911298780138</v>
      </c>
      <c r="H62" s="10">
        <v>0.99051911298780138</v>
      </c>
      <c r="I62" s="10">
        <v>0.98934345298111892</v>
      </c>
      <c r="J62" s="10">
        <v>0.98981196604266375</v>
      </c>
      <c r="K62" s="10">
        <v>0.99051911298780138</v>
      </c>
      <c r="L62" s="10">
        <v>0.99051911298780138</v>
      </c>
      <c r="M62" s="10">
        <v>0.9905191129878016</v>
      </c>
      <c r="N62" s="10">
        <v>0.98142694006956843</v>
      </c>
      <c r="O62" s="10">
        <v>0.96678171984879613</v>
      </c>
      <c r="P62" s="10">
        <v>0.98120147003995373</v>
      </c>
      <c r="Q62" s="10">
        <v>0.88749377287060915</v>
      </c>
    </row>
    <row r="63" spans="1:17" hidden="1">
      <c r="A63" s="5" t="s">
        <v>63</v>
      </c>
      <c r="B63" s="5" t="s">
        <v>62</v>
      </c>
      <c r="C63" s="5" t="s">
        <v>59</v>
      </c>
      <c r="D63" s="5" t="s">
        <v>21</v>
      </c>
      <c r="E63" s="5" t="s">
        <v>22</v>
      </c>
      <c r="F63" s="10" t="s">
        <v>89</v>
      </c>
      <c r="G63" s="10" t="s">
        <v>89</v>
      </c>
      <c r="H63" s="10">
        <v>0.99051911298780126</v>
      </c>
      <c r="I63" s="10">
        <v>0.98934345298111892</v>
      </c>
      <c r="J63" s="10">
        <v>0.98981196604266375</v>
      </c>
      <c r="K63" s="10">
        <v>0.99051911298780149</v>
      </c>
      <c r="L63" s="10">
        <v>0.99051911298780126</v>
      </c>
      <c r="M63" s="10">
        <v>0.99051911298780149</v>
      </c>
      <c r="N63" s="10">
        <v>0.98142694006956832</v>
      </c>
      <c r="O63" s="10">
        <v>0.96678171984879613</v>
      </c>
      <c r="P63" s="10" t="s">
        <v>89</v>
      </c>
      <c r="Q63" s="10" t="s">
        <v>89</v>
      </c>
    </row>
    <row r="64" spans="1:17" hidden="1">
      <c r="A64" s="5" t="s">
        <v>57</v>
      </c>
      <c r="B64" s="5" t="s">
        <v>58</v>
      </c>
      <c r="C64" s="5" t="s">
        <v>59</v>
      </c>
      <c r="D64" s="5" t="s">
        <v>60</v>
      </c>
      <c r="E64" s="5" t="s">
        <v>22</v>
      </c>
      <c r="F64" s="10" t="s">
        <v>89</v>
      </c>
      <c r="G64" s="10" t="s">
        <v>89</v>
      </c>
      <c r="H64" s="10" t="s">
        <v>89</v>
      </c>
      <c r="I64" s="10">
        <v>0.69099706989751097</v>
      </c>
      <c r="J64" s="10">
        <v>0.75365011663845061</v>
      </c>
      <c r="K64" s="10">
        <v>0.88623454764317</v>
      </c>
      <c r="L64" s="10">
        <v>0.9905191129878016</v>
      </c>
      <c r="M64" s="10">
        <v>0.99051911298780171</v>
      </c>
      <c r="N64" s="10">
        <v>0.99051911298780126</v>
      </c>
      <c r="O64" s="10">
        <v>0.97627205484987112</v>
      </c>
      <c r="P64" s="10" t="s">
        <v>89</v>
      </c>
      <c r="Q64" s="10" t="s">
        <v>89</v>
      </c>
    </row>
    <row r="65" spans="1:17" hidden="1">
      <c r="A65" s="5" t="s">
        <v>64</v>
      </c>
      <c r="B65" s="5" t="s">
        <v>65</v>
      </c>
      <c r="C65" s="5" t="s">
        <v>59</v>
      </c>
      <c r="D65" s="5" t="s">
        <v>28</v>
      </c>
      <c r="E65" s="5" t="s">
        <v>24</v>
      </c>
      <c r="F65" s="10">
        <v>0.93691203462132699</v>
      </c>
      <c r="G65" s="10">
        <v>0.97990152744702907</v>
      </c>
      <c r="H65" s="10">
        <v>0.91671235760974112</v>
      </c>
      <c r="I65" s="10">
        <v>0.97048034817479001</v>
      </c>
      <c r="J65" s="10">
        <v>0.6692825203485453</v>
      </c>
      <c r="K65" s="10">
        <v>0.79972633386198078</v>
      </c>
      <c r="L65" s="10">
        <v>0.92874923761059447</v>
      </c>
      <c r="M65" s="10">
        <v>0.97876772345739649</v>
      </c>
      <c r="N65" s="10">
        <v>0.90006337191851948</v>
      </c>
      <c r="O65" s="10">
        <v>0.90997334140438213</v>
      </c>
      <c r="P65" s="10">
        <v>0.88084965085369349</v>
      </c>
      <c r="Q65" s="10">
        <v>0.84109668474672705</v>
      </c>
    </row>
    <row r="66" spans="1:17" hidden="1">
      <c r="A66" s="5" t="s">
        <v>66</v>
      </c>
      <c r="B66" s="5" t="s">
        <v>65</v>
      </c>
      <c r="C66" s="5" t="s">
        <v>59</v>
      </c>
      <c r="D66" s="5" t="s">
        <v>28</v>
      </c>
      <c r="E66" s="5" t="s">
        <v>24</v>
      </c>
      <c r="F66" s="10" t="s">
        <v>89</v>
      </c>
      <c r="G66" s="10" t="s">
        <v>89</v>
      </c>
      <c r="H66" s="10" t="s">
        <v>89</v>
      </c>
      <c r="I66" s="10">
        <v>0.97048034817479012</v>
      </c>
      <c r="J66" s="10">
        <v>0.6692825203485453</v>
      </c>
      <c r="K66" s="10">
        <v>0.79972633386198066</v>
      </c>
      <c r="L66" s="10">
        <v>0.92874923761059447</v>
      </c>
      <c r="M66" s="10">
        <v>0.97876772345739638</v>
      </c>
      <c r="N66" s="10">
        <v>0.90006337191851926</v>
      </c>
      <c r="O66" s="10">
        <v>0.90997334140438202</v>
      </c>
      <c r="P66" s="10" t="s">
        <v>89</v>
      </c>
      <c r="Q66" s="10" t="s">
        <v>89</v>
      </c>
    </row>
    <row r="67" spans="1:17" hidden="1">
      <c r="A67" s="5" t="s">
        <v>61</v>
      </c>
      <c r="B67" s="5" t="s">
        <v>62</v>
      </c>
      <c r="C67" s="5" t="s">
        <v>59</v>
      </c>
      <c r="D67" s="5" t="s">
        <v>21</v>
      </c>
      <c r="E67" s="5" t="s">
        <v>24</v>
      </c>
      <c r="F67" s="10">
        <v>0.96608158904808894</v>
      </c>
      <c r="G67" s="10">
        <v>0.98374989351933972</v>
      </c>
      <c r="H67" s="10">
        <v>0.93755595066620667</v>
      </c>
      <c r="I67" s="10">
        <v>0.94122867805648014</v>
      </c>
      <c r="J67" s="10">
        <v>0.99051911298780171</v>
      </c>
      <c r="K67" s="10">
        <v>0.95172341328922339</v>
      </c>
      <c r="L67" s="10">
        <v>0.9593791824130391</v>
      </c>
      <c r="M67" s="10">
        <v>0.92946216101918344</v>
      </c>
      <c r="N67" s="10">
        <v>0.9674996587078305</v>
      </c>
      <c r="O67" s="10">
        <v>0.96973761272722625</v>
      </c>
      <c r="P67" s="10">
        <v>0.97464245949738426</v>
      </c>
      <c r="Q67" s="10">
        <v>0.87748318624523447</v>
      </c>
    </row>
    <row r="68" spans="1:17" hidden="1">
      <c r="A68" s="5" t="s">
        <v>63</v>
      </c>
      <c r="B68" s="5" t="s">
        <v>62</v>
      </c>
      <c r="C68" s="5" t="s">
        <v>59</v>
      </c>
      <c r="D68" s="5" t="s">
        <v>21</v>
      </c>
      <c r="E68" s="5" t="s">
        <v>24</v>
      </c>
      <c r="F68" s="10" t="s">
        <v>89</v>
      </c>
      <c r="G68" s="10" t="s">
        <v>89</v>
      </c>
      <c r="H68" s="10">
        <v>0.93755595066620656</v>
      </c>
      <c r="I68" s="10">
        <v>0.94122867805647992</v>
      </c>
      <c r="J68" s="10">
        <v>0.99051911298780138</v>
      </c>
      <c r="K68" s="10">
        <v>0.9517234132892235</v>
      </c>
      <c r="L68" s="10">
        <v>0.95937918241303921</v>
      </c>
      <c r="M68" s="10">
        <v>0.92946216101918333</v>
      </c>
      <c r="N68" s="10">
        <v>0.9674996587078305</v>
      </c>
      <c r="O68" s="10">
        <v>0.96973761272722614</v>
      </c>
      <c r="P68" s="10" t="s">
        <v>89</v>
      </c>
      <c r="Q68" s="10" t="s">
        <v>89</v>
      </c>
    </row>
    <row r="69" spans="1:17" hidden="1">
      <c r="A69" s="5" t="s">
        <v>57</v>
      </c>
      <c r="B69" s="5" t="s">
        <v>58</v>
      </c>
      <c r="C69" s="5" t="s">
        <v>59</v>
      </c>
      <c r="D69" s="5" t="s">
        <v>60</v>
      </c>
      <c r="E69" s="5" t="s">
        <v>24</v>
      </c>
      <c r="F69" s="10" t="s">
        <v>89</v>
      </c>
      <c r="G69" s="10" t="s">
        <v>89</v>
      </c>
      <c r="H69" s="10" t="s">
        <v>89</v>
      </c>
      <c r="I69" s="10">
        <v>0.6570103740191322</v>
      </c>
      <c r="J69" s="10">
        <v>0.71658183020317701</v>
      </c>
      <c r="K69" s="10">
        <v>0.84159133605875514</v>
      </c>
      <c r="L69" s="10">
        <v>0.9317201511084432</v>
      </c>
      <c r="M69" s="10">
        <v>0.85278127236053392</v>
      </c>
      <c r="N69" s="10">
        <v>0.92317850562452741</v>
      </c>
      <c r="O69" s="10">
        <v>0.89011709179032883</v>
      </c>
      <c r="P69" s="10" t="s">
        <v>89</v>
      </c>
      <c r="Q69" s="10" t="s">
        <v>89</v>
      </c>
    </row>
    <row r="70" spans="1:17" hidden="1">
      <c r="A70" s="5" t="s">
        <v>64</v>
      </c>
      <c r="B70" s="5" t="s">
        <v>65</v>
      </c>
      <c r="C70" s="5" t="s">
        <v>59</v>
      </c>
      <c r="D70" s="5" t="s">
        <v>28</v>
      </c>
      <c r="E70" s="5" t="s">
        <v>25</v>
      </c>
      <c r="F70" s="10">
        <v>0.80784544326215491</v>
      </c>
      <c r="G70" s="10">
        <v>0.85210450528209758</v>
      </c>
      <c r="H70" s="10">
        <v>0.72696462563773623</v>
      </c>
      <c r="I70" s="10">
        <v>0.9240568615037561</v>
      </c>
      <c r="J70" s="10">
        <v>0.62329291253696362</v>
      </c>
      <c r="K70" s="10">
        <v>0.7552845705607214</v>
      </c>
      <c r="L70" s="10">
        <v>0.87277633133630506</v>
      </c>
      <c r="M70" s="10">
        <v>0.96601165322553961</v>
      </c>
      <c r="N70" s="10">
        <v>0.77706503485295808</v>
      </c>
      <c r="O70" s="10">
        <v>0.82418202234191873</v>
      </c>
      <c r="P70" s="10">
        <v>0.90640198017766072</v>
      </c>
      <c r="Q70" s="10">
        <v>0.83971807063209492</v>
      </c>
    </row>
    <row r="71" spans="1:17" hidden="1">
      <c r="A71" s="5" t="s">
        <v>66</v>
      </c>
      <c r="B71" s="5" t="s">
        <v>65</v>
      </c>
      <c r="C71" s="5" t="s">
        <v>59</v>
      </c>
      <c r="D71" s="5" t="s">
        <v>28</v>
      </c>
      <c r="E71" s="5" t="s">
        <v>25</v>
      </c>
      <c r="F71" s="10" t="s">
        <v>89</v>
      </c>
      <c r="G71" s="10" t="s">
        <v>89</v>
      </c>
      <c r="H71" s="10" t="s">
        <v>89</v>
      </c>
      <c r="I71" s="10">
        <v>0.92405686150375621</v>
      </c>
      <c r="J71" s="10">
        <v>0.62329291253696351</v>
      </c>
      <c r="K71" s="10">
        <v>0.7552845705607214</v>
      </c>
      <c r="L71" s="10">
        <v>0.87277633133630517</v>
      </c>
      <c r="M71" s="10">
        <v>0.96601165322553983</v>
      </c>
      <c r="N71" s="10">
        <v>0.77706503485295797</v>
      </c>
      <c r="O71" s="10">
        <v>0.82418202234191862</v>
      </c>
      <c r="P71" s="10" t="s">
        <v>89</v>
      </c>
      <c r="Q71" s="10" t="s">
        <v>89</v>
      </c>
    </row>
    <row r="72" spans="1:17" hidden="1">
      <c r="A72" s="5" t="s">
        <v>61</v>
      </c>
      <c r="B72" s="5" t="s">
        <v>62</v>
      </c>
      <c r="C72" s="5" t="s">
        <v>59</v>
      </c>
      <c r="D72" s="5" t="s">
        <v>21</v>
      </c>
      <c r="E72" s="5" t="s">
        <v>25</v>
      </c>
      <c r="F72" s="10">
        <v>0.82500858328325</v>
      </c>
      <c r="G72" s="10">
        <v>0.8772493546288237</v>
      </c>
      <c r="H72" s="10">
        <v>0.77352861796495576</v>
      </c>
      <c r="I72" s="10">
        <v>0.82423952846634851</v>
      </c>
      <c r="J72" s="10">
        <v>0.96205278017796614</v>
      </c>
      <c r="K72" s="10">
        <v>0.84492015043324553</v>
      </c>
      <c r="L72" s="10">
        <v>0.91099983950873964</v>
      </c>
      <c r="M72" s="10">
        <v>0.9425929734370273</v>
      </c>
      <c r="N72" s="10">
        <v>0.82065324402083462</v>
      </c>
      <c r="O72" s="10">
        <v>0.86345181211280597</v>
      </c>
      <c r="P72" s="10">
        <v>0.99051911298780115</v>
      </c>
      <c r="Q72" s="10">
        <v>0.9086888995241732</v>
      </c>
    </row>
    <row r="73" spans="1:17" hidden="1">
      <c r="A73" s="5" t="s">
        <v>63</v>
      </c>
      <c r="B73" s="5" t="s">
        <v>62</v>
      </c>
      <c r="C73" s="5" t="s">
        <v>59</v>
      </c>
      <c r="D73" s="5" t="s">
        <v>21</v>
      </c>
      <c r="E73" s="5" t="s">
        <v>25</v>
      </c>
      <c r="F73" s="10" t="s">
        <v>89</v>
      </c>
      <c r="G73" s="10" t="s">
        <v>89</v>
      </c>
      <c r="H73" s="10">
        <v>0.77352861796495564</v>
      </c>
      <c r="I73" s="10">
        <v>0.82423952846634851</v>
      </c>
      <c r="J73" s="10">
        <v>0.96205278017796603</v>
      </c>
      <c r="K73" s="10">
        <v>0.84492015043324531</v>
      </c>
      <c r="L73" s="10">
        <v>0.91099983950873953</v>
      </c>
      <c r="M73" s="10">
        <v>0.9425929734370273</v>
      </c>
      <c r="N73" s="10">
        <v>0.82065324402083484</v>
      </c>
      <c r="O73" s="10">
        <v>0.86345181211280597</v>
      </c>
      <c r="P73" s="10" t="s">
        <v>89</v>
      </c>
      <c r="Q73" s="10" t="s">
        <v>89</v>
      </c>
    </row>
    <row r="74" spans="1:17" hidden="1">
      <c r="A74" s="5" t="s">
        <v>57</v>
      </c>
      <c r="B74" s="5" t="s">
        <v>58</v>
      </c>
      <c r="C74" s="5" t="s">
        <v>59</v>
      </c>
      <c r="D74" s="5" t="s">
        <v>60</v>
      </c>
      <c r="E74" s="5" t="s">
        <v>25</v>
      </c>
      <c r="F74" s="10" t="s">
        <v>89</v>
      </c>
      <c r="G74" s="10" t="s">
        <v>89</v>
      </c>
      <c r="H74" s="10" t="s">
        <v>89</v>
      </c>
      <c r="I74" s="10">
        <v>0.70118841339710136</v>
      </c>
      <c r="J74" s="10">
        <v>0.76476551430331852</v>
      </c>
      <c r="K74" s="10">
        <v>0.89757044865430602</v>
      </c>
      <c r="L74" s="10">
        <v>0.96995198270900573</v>
      </c>
      <c r="M74" s="10">
        <v>0.68940980583071032</v>
      </c>
      <c r="N74" s="10">
        <v>0.84991753974143769</v>
      </c>
      <c r="O74" s="10">
        <v>0.8410699192749902</v>
      </c>
      <c r="P74" s="10" t="s">
        <v>89</v>
      </c>
      <c r="Q74" s="10" t="s">
        <v>89</v>
      </c>
    </row>
    <row r="75" spans="1:17" hidden="1">
      <c r="A75" s="5" t="s">
        <v>67</v>
      </c>
      <c r="B75" s="5" t="s">
        <v>68</v>
      </c>
      <c r="C75" s="5" t="s">
        <v>69</v>
      </c>
      <c r="D75" s="5" t="s">
        <v>21</v>
      </c>
      <c r="E75" s="5" t="s">
        <v>22</v>
      </c>
      <c r="F75" s="10">
        <v>0.96159077379254243</v>
      </c>
      <c r="G75" s="10">
        <v>0.95934146794658293</v>
      </c>
      <c r="H75" s="10">
        <v>0.95712278438062937</v>
      </c>
      <c r="I75" s="10">
        <v>0.97216354444086606</v>
      </c>
      <c r="J75" s="10">
        <v>0.97866606038901571</v>
      </c>
      <c r="K75" s="10">
        <v>0.97733476466551528</v>
      </c>
      <c r="L75" s="10">
        <v>0.95356776266801113</v>
      </c>
      <c r="M75" s="10">
        <v>0.92107511571678458</v>
      </c>
      <c r="N75" s="10">
        <v>0.88533951138694933</v>
      </c>
      <c r="O75" s="10">
        <v>0.86194702413893665</v>
      </c>
      <c r="P75" s="10">
        <v>0.89895576402428912</v>
      </c>
      <c r="Q75" s="10">
        <v>0.80748062443827029</v>
      </c>
    </row>
    <row r="76" spans="1:17" hidden="1">
      <c r="A76" s="5" t="s">
        <v>70</v>
      </c>
      <c r="B76" s="5" t="s">
        <v>68</v>
      </c>
      <c r="C76" s="5" t="s">
        <v>69</v>
      </c>
      <c r="D76" s="5" t="s">
        <v>21</v>
      </c>
      <c r="E76" s="5" t="s">
        <v>22</v>
      </c>
      <c r="F76" s="10">
        <v>0.96159077379254254</v>
      </c>
      <c r="G76" s="10">
        <v>0.95934146794658304</v>
      </c>
      <c r="H76" s="10">
        <v>0.95712278438062914</v>
      </c>
      <c r="I76" s="10">
        <v>0.97216354444086617</v>
      </c>
      <c r="J76" s="10">
        <v>0.97866606038901571</v>
      </c>
      <c r="K76" s="10">
        <v>0.97733476466551539</v>
      </c>
      <c r="L76" s="10">
        <v>0.95356776266801091</v>
      </c>
      <c r="M76" s="10">
        <v>0.92107511571678446</v>
      </c>
      <c r="N76" s="10">
        <v>0.88533951138694922</v>
      </c>
      <c r="O76" s="10">
        <v>0.86194702413893676</v>
      </c>
      <c r="P76" s="10">
        <v>0.89895576402428923</v>
      </c>
      <c r="Q76" s="10">
        <v>0.80748062443827029</v>
      </c>
    </row>
    <row r="77" spans="1:17" hidden="1">
      <c r="A77" s="5" t="s">
        <v>67</v>
      </c>
      <c r="B77" s="5" t="s">
        <v>68</v>
      </c>
      <c r="C77" s="5" t="s">
        <v>69</v>
      </c>
      <c r="D77" s="5" t="s">
        <v>21</v>
      </c>
      <c r="E77" s="5" t="s">
        <v>24</v>
      </c>
      <c r="F77" s="10">
        <v>0.92703999698206863</v>
      </c>
      <c r="G77" s="10">
        <v>0.88664511776404609</v>
      </c>
      <c r="H77" s="10">
        <v>0.95384375516849129</v>
      </c>
      <c r="I77" s="10">
        <v>0.89968639562882724</v>
      </c>
      <c r="J77" s="10">
        <v>0.89004202495125595</v>
      </c>
      <c r="K77" s="10">
        <v>0.93161435743254273</v>
      </c>
      <c r="L77" s="10">
        <v>0.92025991694358433</v>
      </c>
      <c r="M77" s="10">
        <v>0.84404886381985533</v>
      </c>
      <c r="N77" s="10">
        <v>0.77179439068635858</v>
      </c>
      <c r="O77" s="10">
        <v>0.7952004000074423</v>
      </c>
      <c r="P77" s="10">
        <v>0.72326232009832037</v>
      </c>
      <c r="Q77" s="10">
        <v>0.71477149115816796</v>
      </c>
    </row>
    <row r="78" spans="1:17" hidden="1">
      <c r="A78" s="5" t="s">
        <v>70</v>
      </c>
      <c r="B78" s="5" t="s">
        <v>68</v>
      </c>
      <c r="C78" s="5" t="s">
        <v>69</v>
      </c>
      <c r="D78" s="5" t="s">
        <v>21</v>
      </c>
      <c r="E78" s="5" t="s">
        <v>24</v>
      </c>
      <c r="F78" s="10">
        <v>0.92703999698206851</v>
      </c>
      <c r="G78" s="10">
        <v>0.88664511776404586</v>
      </c>
      <c r="H78" s="10">
        <v>0.95384375516849129</v>
      </c>
      <c r="I78" s="10">
        <v>0.89968639562882724</v>
      </c>
      <c r="J78" s="10">
        <v>0.89004202495125606</v>
      </c>
      <c r="K78" s="10">
        <v>0.93161435743254295</v>
      </c>
      <c r="L78" s="10">
        <v>0.92025991694358433</v>
      </c>
      <c r="M78" s="10">
        <v>0.844048863819855</v>
      </c>
      <c r="N78" s="10">
        <v>0.77179439068635836</v>
      </c>
      <c r="O78" s="10">
        <v>0.7952004000074423</v>
      </c>
      <c r="P78" s="10">
        <v>0.72326232009832037</v>
      </c>
      <c r="Q78" s="10">
        <v>0.71477149115816796</v>
      </c>
    </row>
    <row r="79" spans="1:17" hidden="1">
      <c r="A79" s="5" t="s">
        <v>67</v>
      </c>
      <c r="B79" s="5" t="s">
        <v>68</v>
      </c>
      <c r="C79" s="5" t="s">
        <v>69</v>
      </c>
      <c r="D79" s="5" t="s">
        <v>21</v>
      </c>
      <c r="E79" s="5" t="s">
        <v>25</v>
      </c>
      <c r="F79" s="10">
        <v>0.74607613153227526</v>
      </c>
      <c r="G79" s="10">
        <v>0.72866876169187433</v>
      </c>
      <c r="H79" s="10">
        <v>0.81065965871105494</v>
      </c>
      <c r="I79" s="10">
        <v>0.80600301054177348</v>
      </c>
      <c r="J79" s="10">
        <v>0.82816574547606026</v>
      </c>
      <c r="K79" s="10">
        <v>0.86882004447993388</v>
      </c>
      <c r="L79" s="10">
        <v>0.87102023191158229</v>
      </c>
      <c r="M79" s="10">
        <v>0.8446771443770319</v>
      </c>
      <c r="N79" s="10">
        <v>0.59568421134826799</v>
      </c>
      <c r="O79" s="10">
        <v>0.7322954383715139</v>
      </c>
      <c r="P79" s="10">
        <v>0.71832927447848982</v>
      </c>
      <c r="Q79" s="10">
        <v>0.73784226501522299</v>
      </c>
    </row>
    <row r="80" spans="1:17" hidden="1">
      <c r="A80" s="5" t="s">
        <v>70</v>
      </c>
      <c r="B80" s="5" t="s">
        <v>68</v>
      </c>
      <c r="C80" s="5" t="s">
        <v>69</v>
      </c>
      <c r="D80" s="5" t="s">
        <v>21</v>
      </c>
      <c r="E80" s="5" t="s">
        <v>25</v>
      </c>
      <c r="F80" s="10">
        <v>0.74607613153227514</v>
      </c>
      <c r="G80" s="10">
        <v>0.72866876169187433</v>
      </c>
      <c r="H80" s="10">
        <v>0.81065965871105505</v>
      </c>
      <c r="I80" s="10">
        <v>0.80600301054177348</v>
      </c>
      <c r="J80" s="10">
        <v>0.82816574547606026</v>
      </c>
      <c r="K80" s="10">
        <v>0.86882004447993388</v>
      </c>
      <c r="L80" s="10">
        <v>0.87102023191158251</v>
      </c>
      <c r="M80" s="10">
        <v>0.8446771443770319</v>
      </c>
      <c r="N80" s="10">
        <v>0.59568421134826799</v>
      </c>
      <c r="O80" s="10">
        <v>0.73229543837151401</v>
      </c>
      <c r="P80" s="10">
        <v>0.71832927447848982</v>
      </c>
      <c r="Q80" s="10">
        <v>0.73784226501522321</v>
      </c>
    </row>
    <row r="81" spans="1:17" hidden="1">
      <c r="A81" s="5" t="s">
        <v>71</v>
      </c>
      <c r="B81" s="5" t="s">
        <v>72</v>
      </c>
      <c r="C81" s="5" t="s">
        <v>73</v>
      </c>
      <c r="D81" s="5" t="s">
        <v>21</v>
      </c>
      <c r="E81" s="5" t="s">
        <v>22</v>
      </c>
      <c r="F81" s="10">
        <v>0.60010729357827464</v>
      </c>
      <c r="G81" s="10">
        <v>0.62693533892677056</v>
      </c>
      <c r="H81" s="10">
        <v>0.73901830494587717</v>
      </c>
      <c r="I81" s="10">
        <v>0.81345822136121348</v>
      </c>
      <c r="J81" s="10">
        <v>0.99051911298780115</v>
      </c>
      <c r="K81" s="10">
        <v>0.99051911298780171</v>
      </c>
      <c r="L81" s="10">
        <v>0.99051911298780138</v>
      </c>
      <c r="M81" s="10">
        <v>0.93778556248677214</v>
      </c>
      <c r="N81" s="10">
        <v>0.95159274980256892</v>
      </c>
      <c r="O81" s="10">
        <v>0.87949004672737452</v>
      </c>
      <c r="P81" s="10">
        <v>0.79295058212833291</v>
      </c>
      <c r="Q81" s="10">
        <v>0.63859051688032642</v>
      </c>
    </row>
    <row r="82" spans="1:17" hidden="1">
      <c r="A82" s="5" t="s">
        <v>71</v>
      </c>
      <c r="B82" s="5" t="s">
        <v>72</v>
      </c>
      <c r="C82" s="5" t="s">
        <v>73</v>
      </c>
      <c r="D82" s="5" t="s">
        <v>21</v>
      </c>
      <c r="E82" s="5" t="s">
        <v>24</v>
      </c>
      <c r="F82" s="10">
        <v>0.7154485538064641</v>
      </c>
      <c r="G82" s="10">
        <v>0.69862977161323903</v>
      </c>
      <c r="H82" s="10">
        <v>0.74841503634263373</v>
      </c>
      <c r="I82" s="10">
        <v>0.83039585815432015</v>
      </c>
      <c r="J82" s="10">
        <v>0.95504872182851641</v>
      </c>
      <c r="K82" s="10">
        <v>0.97094443048401391</v>
      </c>
      <c r="L82" s="10">
        <v>0.91561098869006496</v>
      </c>
      <c r="M82" s="10">
        <v>0.91031338561264696</v>
      </c>
      <c r="N82" s="10">
        <v>0.98502476310377463</v>
      </c>
      <c r="O82" s="10">
        <v>0.86755565768886678</v>
      </c>
      <c r="P82" s="10">
        <v>0.76144271342262371</v>
      </c>
      <c r="Q82" s="10">
        <v>0.68228423342661937</v>
      </c>
    </row>
    <row r="83" spans="1:17" hidden="1">
      <c r="A83" s="5" t="s">
        <v>71</v>
      </c>
      <c r="B83" s="5" t="s">
        <v>72</v>
      </c>
      <c r="C83" s="5" t="s">
        <v>73</v>
      </c>
      <c r="D83" s="5" t="s">
        <v>21</v>
      </c>
      <c r="E83" s="5" t="s">
        <v>25</v>
      </c>
      <c r="F83" s="10">
        <v>0.59289716439556472</v>
      </c>
      <c r="G83" s="10">
        <v>0.5192941622266386</v>
      </c>
      <c r="H83" s="10">
        <v>0.63034534667691089</v>
      </c>
      <c r="I83" s="10">
        <v>0.55749249509477639</v>
      </c>
      <c r="J83" s="10">
        <v>0.719042288597464</v>
      </c>
      <c r="K83" s="10">
        <v>0.90834727564466988</v>
      </c>
      <c r="L83" s="10">
        <v>0.95423489856033838</v>
      </c>
      <c r="M83" s="10">
        <v>0.87248276126140822</v>
      </c>
      <c r="N83" s="10">
        <v>0.91689164915937205</v>
      </c>
      <c r="O83" s="10">
        <v>0.63592525330016436</v>
      </c>
      <c r="P83" s="10">
        <v>0.53468303830602859</v>
      </c>
      <c r="Q83" s="10">
        <v>0.73549589781925251</v>
      </c>
    </row>
    <row r="84" spans="1:17" hidden="1">
      <c r="A84" s="5" t="s">
        <v>74</v>
      </c>
      <c r="B84" s="5" t="s">
        <v>75</v>
      </c>
      <c r="C84" s="5" t="s">
        <v>76</v>
      </c>
      <c r="D84" s="5" t="s">
        <v>21</v>
      </c>
      <c r="E84" s="5" t="s">
        <v>22</v>
      </c>
      <c r="F84" s="10">
        <v>0.84246396255672318</v>
      </c>
      <c r="G84" s="10">
        <v>0.88420489103577327</v>
      </c>
      <c r="H84" s="10">
        <v>0.89061621734375607</v>
      </c>
      <c r="I84" s="10">
        <v>0.84705639038540093</v>
      </c>
      <c r="J84" s="10">
        <v>0.99051911298780126</v>
      </c>
      <c r="K84" s="10">
        <v>0.99051911298780115</v>
      </c>
      <c r="L84" s="10">
        <v>0.98011640696282987</v>
      </c>
      <c r="M84" s="10">
        <v>0.97635865993742188</v>
      </c>
      <c r="N84" s="10">
        <v>0.95358783621325727</v>
      </c>
      <c r="O84" s="10">
        <v>0.95285614496971305</v>
      </c>
      <c r="P84" s="10">
        <v>0.93154572709497951</v>
      </c>
      <c r="Q84" s="10">
        <v>0.72773675117192671</v>
      </c>
    </row>
    <row r="85" spans="1:17" hidden="1">
      <c r="A85" s="5" t="s">
        <v>77</v>
      </c>
      <c r="B85" s="5" t="s">
        <v>75</v>
      </c>
      <c r="C85" s="5" t="s">
        <v>76</v>
      </c>
      <c r="D85" s="5" t="s">
        <v>21</v>
      </c>
      <c r="E85" s="5" t="s">
        <v>22</v>
      </c>
      <c r="F85" s="10" t="s">
        <v>89</v>
      </c>
      <c r="G85" s="10" t="s">
        <v>89</v>
      </c>
      <c r="H85" s="10">
        <v>0.89061621734375607</v>
      </c>
      <c r="I85" s="10">
        <v>0.84705639038540081</v>
      </c>
      <c r="J85" s="10">
        <v>0.99051911298780138</v>
      </c>
      <c r="K85" s="10">
        <v>0.99051911298780138</v>
      </c>
      <c r="L85" s="10">
        <v>0.98011640696282964</v>
      </c>
      <c r="M85" s="10">
        <v>0.97635865993742199</v>
      </c>
      <c r="N85" s="10">
        <v>0.95358783621325738</v>
      </c>
      <c r="O85" s="10">
        <v>0.95285614496971316</v>
      </c>
      <c r="P85" s="10" t="s">
        <v>89</v>
      </c>
      <c r="Q85" s="10" t="s">
        <v>89</v>
      </c>
    </row>
    <row r="86" spans="1:17" hidden="1">
      <c r="A86" s="5" t="s">
        <v>74</v>
      </c>
      <c r="B86" s="5" t="s">
        <v>75</v>
      </c>
      <c r="C86" s="5" t="s">
        <v>76</v>
      </c>
      <c r="D86" s="5" t="s">
        <v>21</v>
      </c>
      <c r="E86" s="5" t="s">
        <v>24</v>
      </c>
      <c r="F86" s="10">
        <v>0.84769848680917836</v>
      </c>
      <c r="G86" s="10">
        <v>0.87177266844877843</v>
      </c>
      <c r="H86" s="10">
        <v>0.84555934297806201</v>
      </c>
      <c r="I86" s="10">
        <v>0.74957835344030999</v>
      </c>
      <c r="J86" s="10">
        <v>0.85306568891903756</v>
      </c>
      <c r="K86" s="10">
        <v>0.9703827710503371</v>
      </c>
      <c r="L86" s="10">
        <v>0.90678053570426975</v>
      </c>
      <c r="M86" s="10">
        <v>0.85088549344496645</v>
      </c>
      <c r="N86" s="10">
        <v>0.94140470501767037</v>
      </c>
      <c r="O86" s="10">
        <v>0.83836784143653897</v>
      </c>
      <c r="P86" s="10">
        <v>0.8299348699170489</v>
      </c>
      <c r="Q86" s="10">
        <v>0.73392564618348466</v>
      </c>
    </row>
    <row r="87" spans="1:17" hidden="1">
      <c r="A87" s="5" t="s">
        <v>77</v>
      </c>
      <c r="B87" s="5" t="s">
        <v>75</v>
      </c>
      <c r="C87" s="5" t="s">
        <v>76</v>
      </c>
      <c r="D87" s="5" t="s">
        <v>21</v>
      </c>
      <c r="E87" s="5" t="s">
        <v>24</v>
      </c>
      <c r="F87" s="10" t="s">
        <v>89</v>
      </c>
      <c r="G87" s="10" t="s">
        <v>89</v>
      </c>
      <c r="H87" s="10">
        <v>0.84555934297806201</v>
      </c>
      <c r="I87" s="10">
        <v>0.7495783534403101</v>
      </c>
      <c r="J87" s="10">
        <v>0.85306568891903756</v>
      </c>
      <c r="K87" s="10">
        <v>0.9703827710503371</v>
      </c>
      <c r="L87" s="10">
        <v>0.90678053570426975</v>
      </c>
      <c r="M87" s="10">
        <v>0.85088549344496633</v>
      </c>
      <c r="N87" s="10">
        <v>0.94140470501767037</v>
      </c>
      <c r="O87" s="10">
        <v>0.83836784143653897</v>
      </c>
      <c r="P87" s="10" t="s">
        <v>89</v>
      </c>
      <c r="Q87" s="10" t="s">
        <v>89</v>
      </c>
    </row>
    <row r="88" spans="1:17" hidden="1">
      <c r="A88" s="5" t="s">
        <v>74</v>
      </c>
      <c r="B88" s="5" t="s">
        <v>75</v>
      </c>
      <c r="C88" s="5" t="s">
        <v>76</v>
      </c>
      <c r="D88" s="5" t="s">
        <v>21</v>
      </c>
      <c r="E88" s="5" t="s">
        <v>25</v>
      </c>
      <c r="F88" s="10">
        <v>0.7031186945539164</v>
      </c>
      <c r="G88" s="10">
        <v>0.69563344496528534</v>
      </c>
      <c r="H88" s="10">
        <v>0.64483633313926003</v>
      </c>
      <c r="I88" s="10">
        <v>0.62325907887432785</v>
      </c>
      <c r="J88" s="10">
        <v>0.67400921898350663</v>
      </c>
      <c r="K88" s="10">
        <v>0.93057065691328322</v>
      </c>
      <c r="L88" s="10">
        <v>0.92524819676250625</v>
      </c>
      <c r="M88" s="10">
        <v>0.87827556885192903</v>
      </c>
      <c r="N88" s="10">
        <v>0.84795402177827317</v>
      </c>
      <c r="O88" s="10">
        <v>0.63614080712065191</v>
      </c>
      <c r="P88" s="10">
        <v>0.72364676866129052</v>
      </c>
      <c r="Q88" s="10">
        <v>0.77530031333954208</v>
      </c>
    </row>
    <row r="89" spans="1:17" hidden="1">
      <c r="A89" s="5" t="s">
        <v>77</v>
      </c>
      <c r="B89" s="5" t="s">
        <v>75</v>
      </c>
      <c r="C89" s="5" t="s">
        <v>76</v>
      </c>
      <c r="D89" s="5" t="s">
        <v>21</v>
      </c>
      <c r="E89" s="5" t="s">
        <v>25</v>
      </c>
      <c r="F89" s="10" t="s">
        <v>89</v>
      </c>
      <c r="G89" s="10" t="s">
        <v>89</v>
      </c>
      <c r="H89" s="10">
        <v>0.64483633313926014</v>
      </c>
      <c r="I89" s="10">
        <v>0.62325907887432774</v>
      </c>
      <c r="J89" s="10">
        <v>0.67400921898350652</v>
      </c>
      <c r="K89" s="10">
        <v>0.93057065691328322</v>
      </c>
      <c r="L89" s="10">
        <v>0.92524819676250614</v>
      </c>
      <c r="M89" s="10">
        <v>0.87827556885192914</v>
      </c>
      <c r="N89" s="10">
        <v>0.84795402177827339</v>
      </c>
      <c r="O89" s="10">
        <v>0.6361408071206518</v>
      </c>
      <c r="P89" s="10" t="s">
        <v>89</v>
      </c>
      <c r="Q89" s="10" t="s">
        <v>89</v>
      </c>
    </row>
    <row r="90" spans="1:17" hidden="1">
      <c r="A90" s="5" t="s">
        <v>78</v>
      </c>
      <c r="B90" s="5" t="s">
        <v>79</v>
      </c>
      <c r="C90" s="5" t="s">
        <v>80</v>
      </c>
      <c r="D90" s="5" t="s">
        <v>21</v>
      </c>
      <c r="E90" s="5" t="s">
        <v>22</v>
      </c>
      <c r="F90" s="10">
        <v>0.97573266564673766</v>
      </c>
      <c r="G90" s="10">
        <v>0.97540997542803465</v>
      </c>
      <c r="H90" s="10">
        <v>0.93663212977215771</v>
      </c>
      <c r="I90" s="10">
        <v>0.94520880338940472</v>
      </c>
      <c r="J90" s="10">
        <v>0.99051911298780138</v>
      </c>
      <c r="K90" s="10">
        <v>0.99051911298780149</v>
      </c>
      <c r="L90" s="10">
        <v>0.99051911298780115</v>
      </c>
      <c r="M90" s="10">
        <v>0.96200812455842721</v>
      </c>
      <c r="N90" s="10">
        <v>0.94242947664193877</v>
      </c>
      <c r="O90" s="10">
        <v>0.9905191129878016</v>
      </c>
      <c r="P90" s="10">
        <v>0.99051911298780115</v>
      </c>
      <c r="Q90" s="10">
        <v>0.9500918851659047</v>
      </c>
    </row>
    <row r="91" spans="1:17" hidden="1">
      <c r="A91" s="5" t="s">
        <v>78</v>
      </c>
      <c r="B91" s="5" t="s">
        <v>79</v>
      </c>
      <c r="C91" s="5" t="s">
        <v>80</v>
      </c>
      <c r="D91" s="5" t="s">
        <v>21</v>
      </c>
      <c r="E91" s="5" t="s">
        <v>24</v>
      </c>
      <c r="F91" s="10">
        <v>0.93964179068589482</v>
      </c>
      <c r="G91" s="10">
        <v>0.90108289910451833</v>
      </c>
      <c r="H91" s="10">
        <v>0.9174784169758563</v>
      </c>
      <c r="I91" s="10">
        <v>0.81900638855281005</v>
      </c>
      <c r="J91" s="10">
        <v>0.96106830594403148</v>
      </c>
      <c r="K91" s="10">
        <v>0.96026771985797343</v>
      </c>
      <c r="L91" s="10">
        <v>0.80461222124906029</v>
      </c>
      <c r="M91" s="10">
        <v>0.82329493017613264</v>
      </c>
      <c r="N91" s="10">
        <v>0.83014791128413745</v>
      </c>
      <c r="O91" s="10">
        <v>0.88922311290384426</v>
      </c>
      <c r="P91" s="10">
        <v>0.89592941044994512</v>
      </c>
      <c r="Q91" s="10">
        <v>0.84207656321216751</v>
      </c>
    </row>
    <row r="92" spans="1:17" hidden="1">
      <c r="A92" s="5" t="s">
        <v>78</v>
      </c>
      <c r="B92" s="5" t="s">
        <v>79</v>
      </c>
      <c r="C92" s="5" t="s">
        <v>80</v>
      </c>
      <c r="D92" s="5" t="s">
        <v>21</v>
      </c>
      <c r="E92" s="5" t="s">
        <v>25</v>
      </c>
      <c r="F92" s="10">
        <v>0.74007281559136651</v>
      </c>
      <c r="G92" s="10">
        <v>0.72472909759152992</v>
      </c>
      <c r="H92" s="10">
        <v>0.81549175101829607</v>
      </c>
      <c r="I92" s="10">
        <v>0.65536184301889477</v>
      </c>
      <c r="J92" s="10">
        <v>0.82939874875145736</v>
      </c>
      <c r="K92" s="10">
        <v>0.84739929113087797</v>
      </c>
      <c r="L92" s="10">
        <v>0.82580397206528156</v>
      </c>
      <c r="M92" s="10">
        <v>0.90202417612105346</v>
      </c>
      <c r="N92" s="10">
        <v>0.60363533635595124</v>
      </c>
      <c r="O92" s="10">
        <v>0.80981422459538988</v>
      </c>
      <c r="P92" s="10">
        <v>0.79797850331659392</v>
      </c>
      <c r="Q92" s="10">
        <v>0.83519197757595665</v>
      </c>
    </row>
  </sheetData>
  <autoFilter ref="A2:AE92" xr:uid="{7C0D1A0B-13E9-48FD-9748-57C3EE3C8698}">
    <filterColumn colId="2">
      <filters>
        <filter val="ATL"/>
      </filters>
    </filterColumn>
    <sortState xmlns:xlrd2="http://schemas.microsoft.com/office/spreadsheetml/2017/richdata2" ref="A3:AE338">
      <sortCondition ref="C2"/>
    </sortState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DEEB-AFBA-4672-908E-E9195F789EAD}">
  <sheetPr filterMode="1"/>
  <dimension ref="A1:K66"/>
  <sheetViews>
    <sheetView showGridLines="0" tabSelected="1" zoomScaleNormal="100" workbookViewId="0">
      <selection activeCell="A2" sqref="A2"/>
    </sheetView>
  </sheetViews>
  <sheetFormatPr defaultColWidth="9.140625" defaultRowHeight="14.25"/>
  <cols>
    <col min="1" max="1" width="9" style="18" bestFit="1" customWidth="1"/>
    <col min="2" max="3" width="12.42578125" style="19" bestFit="1" customWidth="1"/>
    <col min="4" max="4" width="8.5703125" style="18" bestFit="1" customWidth="1"/>
    <col min="5" max="5" width="6" style="18" bestFit="1" customWidth="1"/>
    <col min="6" max="6" width="7.28515625" style="18" bestFit="1" customWidth="1"/>
    <col min="7" max="7" width="6" style="18" bestFit="1" customWidth="1"/>
    <col min="8" max="8" width="7.28515625" style="18" bestFit="1" customWidth="1"/>
    <col min="9" max="9" width="10.28515625" style="18" bestFit="1" customWidth="1"/>
    <col min="10" max="10" width="10.140625" style="18" bestFit="1" customWidth="1"/>
    <col min="11" max="11" width="10.7109375" style="18" bestFit="1" customWidth="1"/>
    <col min="12" max="16384" width="9.140625" style="11"/>
  </cols>
  <sheetData>
    <row r="1" spans="1:11">
      <c r="A1" s="22" t="s">
        <v>90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12" t="s">
        <v>91</v>
      </c>
      <c r="B2" s="13" t="s">
        <v>92</v>
      </c>
      <c r="C2" s="13" t="s">
        <v>93</v>
      </c>
      <c r="D2" s="12" t="s">
        <v>94</v>
      </c>
      <c r="E2" s="12" t="s">
        <v>95</v>
      </c>
      <c r="F2" s="12" t="s">
        <v>96</v>
      </c>
      <c r="G2" s="12" t="s">
        <v>97</v>
      </c>
      <c r="H2" s="12" t="s">
        <v>98</v>
      </c>
      <c r="I2" s="12" t="s">
        <v>99</v>
      </c>
      <c r="J2" s="12" t="s">
        <v>100</v>
      </c>
      <c r="K2" s="12" t="s">
        <v>101</v>
      </c>
    </row>
    <row r="3" spans="1:11" ht="15.75">
      <c r="A3" s="14">
        <v>104</v>
      </c>
      <c r="B3" s="15">
        <v>45746</v>
      </c>
      <c r="C3" s="15">
        <v>45954</v>
      </c>
      <c r="D3" s="16">
        <v>1234567</v>
      </c>
      <c r="E3" s="16" t="s">
        <v>20</v>
      </c>
      <c r="F3" s="17">
        <v>0.8125</v>
      </c>
      <c r="G3" s="16" t="s">
        <v>21</v>
      </c>
      <c r="H3" s="17">
        <v>0.35416666666666669</v>
      </c>
      <c r="I3" s="17">
        <v>0.33333333333333331</v>
      </c>
      <c r="J3" s="16" t="s">
        <v>102</v>
      </c>
      <c r="K3" s="16" t="s">
        <v>22</v>
      </c>
    </row>
    <row r="4" spans="1:11" ht="15.75">
      <c r="A4" s="14">
        <v>104</v>
      </c>
      <c r="B4" s="15">
        <v>45955</v>
      </c>
      <c r="C4" s="15">
        <v>45955</v>
      </c>
      <c r="D4" s="16" t="s">
        <v>103</v>
      </c>
      <c r="E4" s="16" t="s">
        <v>20</v>
      </c>
      <c r="F4" s="17">
        <v>0.8125</v>
      </c>
      <c r="G4" s="16" t="s">
        <v>21</v>
      </c>
      <c r="H4" s="17">
        <v>0.3125</v>
      </c>
      <c r="I4" s="17">
        <v>0.33333333333333331</v>
      </c>
      <c r="J4" s="16" t="s">
        <v>102</v>
      </c>
      <c r="K4" s="16" t="s">
        <v>22</v>
      </c>
    </row>
    <row r="5" spans="1:11" ht="15.75">
      <c r="A5" s="14">
        <v>110</v>
      </c>
      <c r="B5" s="15">
        <v>45955</v>
      </c>
      <c r="C5" s="15">
        <v>45955</v>
      </c>
      <c r="D5" s="16" t="s">
        <v>103</v>
      </c>
      <c r="E5" s="16" t="s">
        <v>20</v>
      </c>
      <c r="F5" s="17">
        <v>0.83263888888888893</v>
      </c>
      <c r="G5" s="16" t="s">
        <v>28</v>
      </c>
      <c r="H5" s="17">
        <v>0.33680555555555558</v>
      </c>
      <c r="I5" s="17">
        <v>0.33749999999999997</v>
      </c>
      <c r="J5" s="16" t="s">
        <v>104</v>
      </c>
      <c r="K5" s="16" t="s">
        <v>22</v>
      </c>
    </row>
    <row r="6" spans="1:11" ht="15.75">
      <c r="A6" s="14">
        <v>110</v>
      </c>
      <c r="B6" s="15">
        <v>45746</v>
      </c>
      <c r="C6" s="15">
        <v>45954</v>
      </c>
      <c r="D6" s="16">
        <v>1234567</v>
      </c>
      <c r="E6" s="16" t="s">
        <v>20</v>
      </c>
      <c r="F6" s="17">
        <v>0.83263888888888893</v>
      </c>
      <c r="G6" s="16" t="s">
        <v>28</v>
      </c>
      <c r="H6" s="17">
        <v>0.37847222222222227</v>
      </c>
      <c r="I6" s="17">
        <v>0.33749999999999997</v>
      </c>
      <c r="J6" s="16" t="s">
        <v>104</v>
      </c>
      <c r="K6" s="16" t="s">
        <v>22</v>
      </c>
    </row>
    <row r="7" spans="1:11" ht="15.75" hidden="1">
      <c r="A7" s="14">
        <v>12</v>
      </c>
      <c r="B7" s="15">
        <v>45955</v>
      </c>
      <c r="C7" s="15">
        <v>45955</v>
      </c>
      <c r="D7" s="16" t="s">
        <v>103</v>
      </c>
      <c r="E7" s="16" t="s">
        <v>31</v>
      </c>
      <c r="F7" s="17">
        <v>0.92361111111111116</v>
      </c>
      <c r="G7" s="16" t="s">
        <v>21</v>
      </c>
      <c r="H7" s="17">
        <v>0.3611111111111111</v>
      </c>
      <c r="I7" s="17">
        <v>0.27083333333333331</v>
      </c>
      <c r="J7" s="16" t="s">
        <v>105</v>
      </c>
      <c r="K7" s="16" t="s">
        <v>22</v>
      </c>
    </row>
    <row r="8" spans="1:11" ht="15.75" hidden="1">
      <c r="A8" s="14">
        <v>12</v>
      </c>
      <c r="B8" s="15">
        <v>45746</v>
      </c>
      <c r="C8" s="15">
        <v>45954</v>
      </c>
      <c r="D8" s="16">
        <v>1234567</v>
      </c>
      <c r="E8" s="16" t="s">
        <v>31</v>
      </c>
      <c r="F8" s="17">
        <v>0.92361111111111116</v>
      </c>
      <c r="G8" s="16" t="s">
        <v>21</v>
      </c>
      <c r="H8" s="17">
        <v>0.40277777777777773</v>
      </c>
      <c r="I8" s="17">
        <v>0.27083333333333331</v>
      </c>
      <c r="J8" s="16" t="s">
        <v>105</v>
      </c>
      <c r="K8" s="16" t="s">
        <v>22</v>
      </c>
    </row>
    <row r="9" spans="1:11" ht="15.75" hidden="1">
      <c r="A9" s="14">
        <v>158</v>
      </c>
      <c r="B9" s="15">
        <v>45748</v>
      </c>
      <c r="C9" s="15">
        <v>45951</v>
      </c>
      <c r="D9" s="16" t="s">
        <v>106</v>
      </c>
      <c r="E9" s="16" t="s">
        <v>31</v>
      </c>
      <c r="F9" s="17">
        <v>0.86458333333333337</v>
      </c>
      <c r="G9" s="16" t="s">
        <v>21</v>
      </c>
      <c r="H9" s="17">
        <v>0.3576388888888889</v>
      </c>
      <c r="I9" s="17">
        <v>0.28472222222222221</v>
      </c>
      <c r="J9" s="16" t="s">
        <v>104</v>
      </c>
      <c r="K9" s="16" t="s">
        <v>22</v>
      </c>
    </row>
    <row r="10" spans="1:11" ht="15.75" hidden="1">
      <c r="A10" s="14">
        <v>158</v>
      </c>
      <c r="B10" s="15">
        <v>45746</v>
      </c>
      <c r="C10" s="15">
        <v>45954</v>
      </c>
      <c r="D10" s="16">
        <v>1.3456699999999999</v>
      </c>
      <c r="E10" s="16" t="s">
        <v>31</v>
      </c>
      <c r="F10" s="17">
        <v>0.86458333333333337</v>
      </c>
      <c r="G10" s="16" t="s">
        <v>21</v>
      </c>
      <c r="H10" s="17">
        <v>0.3576388888888889</v>
      </c>
      <c r="I10" s="17">
        <v>0.28472222222222221</v>
      </c>
      <c r="J10" s="16" t="s">
        <v>107</v>
      </c>
      <c r="K10" s="16" t="s">
        <v>22</v>
      </c>
    </row>
    <row r="11" spans="1:11" ht="15.75" hidden="1">
      <c r="A11" s="14">
        <v>158</v>
      </c>
      <c r="B11" s="15">
        <v>45955</v>
      </c>
      <c r="C11" s="15">
        <v>45955</v>
      </c>
      <c r="D11" s="16" t="s">
        <v>103</v>
      </c>
      <c r="E11" s="16" t="s">
        <v>31</v>
      </c>
      <c r="F11" s="17">
        <v>0.86458333333333337</v>
      </c>
      <c r="G11" s="16" t="s">
        <v>21</v>
      </c>
      <c r="H11" s="17">
        <v>0.31597222222222221</v>
      </c>
      <c r="I11" s="17">
        <v>0.28472222222222221</v>
      </c>
      <c r="J11" s="16" t="s">
        <v>107</v>
      </c>
      <c r="K11" s="16" t="s">
        <v>22</v>
      </c>
    </row>
    <row r="12" spans="1:11" ht="15.75" hidden="1">
      <c r="A12" s="14">
        <v>22</v>
      </c>
      <c r="B12" s="15">
        <v>45746</v>
      </c>
      <c r="C12" s="15">
        <v>45954</v>
      </c>
      <c r="D12" s="16">
        <v>1234567</v>
      </c>
      <c r="E12" s="16" t="s">
        <v>35</v>
      </c>
      <c r="F12" s="17">
        <v>0.90972222222222221</v>
      </c>
      <c r="G12" s="16" t="s">
        <v>21</v>
      </c>
      <c r="H12" s="17">
        <v>0.4201388888888889</v>
      </c>
      <c r="I12" s="17">
        <v>0.30208333333333331</v>
      </c>
      <c r="J12" s="16" t="s">
        <v>105</v>
      </c>
      <c r="K12" s="16" t="s">
        <v>22</v>
      </c>
    </row>
    <row r="13" spans="1:11" ht="15.75" hidden="1">
      <c r="A13" s="14">
        <v>22</v>
      </c>
      <c r="B13" s="15">
        <v>45955</v>
      </c>
      <c r="C13" s="15">
        <v>45955</v>
      </c>
      <c r="D13" s="16" t="s">
        <v>103</v>
      </c>
      <c r="E13" s="16" t="s">
        <v>35</v>
      </c>
      <c r="F13" s="17">
        <v>0.90972222222222221</v>
      </c>
      <c r="G13" s="16" t="s">
        <v>21</v>
      </c>
      <c r="H13" s="17">
        <v>0.37847222222222227</v>
      </c>
      <c r="I13" s="17">
        <v>0.30208333333333331</v>
      </c>
      <c r="J13" s="16" t="s">
        <v>105</v>
      </c>
      <c r="K13" s="16" t="s">
        <v>22</v>
      </c>
    </row>
    <row r="14" spans="1:11" ht="15.75" hidden="1">
      <c r="A14" s="14">
        <v>4</v>
      </c>
      <c r="B14" s="15">
        <v>45746</v>
      </c>
      <c r="C14" s="15">
        <v>45954</v>
      </c>
      <c r="D14" s="16">
        <v>1234567</v>
      </c>
      <c r="E14" s="16" t="s">
        <v>38</v>
      </c>
      <c r="F14" s="17">
        <v>0.75</v>
      </c>
      <c r="G14" s="16" t="s">
        <v>21</v>
      </c>
      <c r="H14" s="17">
        <v>0.2673611111111111</v>
      </c>
      <c r="I14" s="17">
        <v>0.30902777777777779</v>
      </c>
      <c r="J14" s="16" t="s">
        <v>107</v>
      </c>
      <c r="K14" s="16" t="s">
        <v>22</v>
      </c>
    </row>
    <row r="15" spans="1:11" ht="15.75" hidden="1">
      <c r="A15" s="14">
        <v>4</v>
      </c>
      <c r="B15" s="15">
        <v>45955</v>
      </c>
      <c r="C15" s="15">
        <v>45955</v>
      </c>
      <c r="D15" s="16" t="s">
        <v>103</v>
      </c>
      <c r="E15" s="16" t="s">
        <v>38</v>
      </c>
      <c r="F15" s="17">
        <v>0.77083333333333337</v>
      </c>
      <c r="G15" s="16" t="s">
        <v>21</v>
      </c>
      <c r="H15" s="17">
        <v>0.25694444444444448</v>
      </c>
      <c r="I15" s="17">
        <v>0.31944444444444448</v>
      </c>
      <c r="J15" s="16" t="s">
        <v>107</v>
      </c>
      <c r="K15" s="16" t="s">
        <v>22</v>
      </c>
    </row>
    <row r="16" spans="1:11" ht="15.75" hidden="1">
      <c r="A16" s="14">
        <v>10</v>
      </c>
      <c r="B16" s="15">
        <v>45746</v>
      </c>
      <c r="C16" s="15">
        <v>45954</v>
      </c>
      <c r="D16" s="16">
        <v>1234567</v>
      </c>
      <c r="E16" s="16" t="s">
        <v>38</v>
      </c>
      <c r="F16" s="17">
        <v>0.77083333333333337</v>
      </c>
      <c r="G16" s="16" t="s">
        <v>21</v>
      </c>
      <c r="H16" s="17">
        <v>0.28819444444444448</v>
      </c>
      <c r="I16" s="17">
        <v>0.30902777777777779</v>
      </c>
      <c r="J16" s="16" t="s">
        <v>107</v>
      </c>
      <c r="K16" s="16" t="s">
        <v>22</v>
      </c>
    </row>
    <row r="17" spans="1:11" ht="15.75" hidden="1">
      <c r="A17" s="14">
        <v>10</v>
      </c>
      <c r="B17" s="15">
        <v>45955</v>
      </c>
      <c r="C17" s="15">
        <v>45955</v>
      </c>
      <c r="D17" s="16" t="s">
        <v>103</v>
      </c>
      <c r="E17" s="16" t="s">
        <v>38</v>
      </c>
      <c r="F17" s="17">
        <v>0.77083333333333337</v>
      </c>
      <c r="G17" s="16" t="s">
        <v>21</v>
      </c>
      <c r="H17" s="17">
        <v>0.24652777777777779</v>
      </c>
      <c r="I17" s="17">
        <v>0.30902777777777779</v>
      </c>
      <c r="J17" s="16" t="s">
        <v>107</v>
      </c>
      <c r="K17" s="16" t="s">
        <v>22</v>
      </c>
    </row>
    <row r="18" spans="1:11" ht="15.75" hidden="1">
      <c r="A18" s="14">
        <v>26</v>
      </c>
      <c r="B18" s="15">
        <v>45748</v>
      </c>
      <c r="C18" s="15">
        <v>45951</v>
      </c>
      <c r="D18" s="16" t="s">
        <v>106</v>
      </c>
      <c r="E18" s="16" t="s">
        <v>38</v>
      </c>
      <c r="F18" s="17">
        <v>0.34027777777777773</v>
      </c>
      <c r="G18" s="16" t="s">
        <v>21</v>
      </c>
      <c r="H18" s="17">
        <v>0.83333333333333337</v>
      </c>
      <c r="I18" s="17">
        <v>0.28472222222222221</v>
      </c>
      <c r="J18" s="16" t="s">
        <v>107</v>
      </c>
      <c r="K18" s="16" t="s">
        <v>22</v>
      </c>
    </row>
    <row r="19" spans="1:11" ht="15.75" hidden="1">
      <c r="A19" s="14">
        <v>26</v>
      </c>
      <c r="B19" s="15">
        <v>45746</v>
      </c>
      <c r="C19" s="15">
        <v>45955</v>
      </c>
      <c r="D19" s="16">
        <v>1.3456699999999999</v>
      </c>
      <c r="E19" s="16" t="s">
        <v>38</v>
      </c>
      <c r="F19" s="17">
        <v>0.34027777777777773</v>
      </c>
      <c r="G19" s="16" t="s">
        <v>21</v>
      </c>
      <c r="H19" s="17">
        <v>0.83333333333333337</v>
      </c>
      <c r="I19" s="17">
        <v>0.28472222222222221</v>
      </c>
      <c r="J19" s="16" t="s">
        <v>102</v>
      </c>
      <c r="K19" s="16" t="s">
        <v>22</v>
      </c>
    </row>
    <row r="20" spans="1:11" ht="15.75" hidden="1">
      <c r="A20" s="14">
        <v>46</v>
      </c>
      <c r="B20" s="15">
        <v>45955</v>
      </c>
      <c r="C20" s="15">
        <v>45955</v>
      </c>
      <c r="D20" s="16" t="s">
        <v>103</v>
      </c>
      <c r="E20" s="16" t="s">
        <v>38</v>
      </c>
      <c r="F20" s="17">
        <v>0.82986111111111116</v>
      </c>
      <c r="G20" s="16" t="s">
        <v>21</v>
      </c>
      <c r="H20" s="17">
        <v>0.30555555555555552</v>
      </c>
      <c r="I20" s="17">
        <v>0.30902777777777779</v>
      </c>
      <c r="J20" s="16" t="s">
        <v>107</v>
      </c>
      <c r="K20" s="16" t="s">
        <v>22</v>
      </c>
    </row>
    <row r="21" spans="1:11" ht="15.75" hidden="1">
      <c r="A21" s="14">
        <v>46</v>
      </c>
      <c r="B21" s="15">
        <v>45775</v>
      </c>
      <c r="C21" s="15">
        <v>45954</v>
      </c>
      <c r="D21" s="16">
        <v>1234567</v>
      </c>
      <c r="E21" s="16" t="s">
        <v>38</v>
      </c>
      <c r="F21" s="17">
        <v>0.82986111111111116</v>
      </c>
      <c r="G21" s="16" t="s">
        <v>21</v>
      </c>
      <c r="H21" s="17">
        <v>0.34722222222222227</v>
      </c>
      <c r="I21" s="17">
        <v>0.30902777777777779</v>
      </c>
      <c r="J21" s="16" t="s">
        <v>107</v>
      </c>
      <c r="K21" s="16" t="s">
        <v>22</v>
      </c>
    </row>
    <row r="22" spans="1:11" ht="15.75" hidden="1">
      <c r="A22" s="14">
        <v>128</v>
      </c>
      <c r="B22" s="15">
        <v>45955</v>
      </c>
      <c r="C22" s="15">
        <v>45955</v>
      </c>
      <c r="D22" s="16" t="s">
        <v>103</v>
      </c>
      <c r="E22" s="16" t="s">
        <v>38</v>
      </c>
      <c r="F22" s="17">
        <v>0.77777777777777779</v>
      </c>
      <c r="G22" s="16" t="s">
        <v>28</v>
      </c>
      <c r="H22" s="17">
        <v>0.23611111111111113</v>
      </c>
      <c r="I22" s="17">
        <v>0.29166666666666669</v>
      </c>
      <c r="J22" s="16" t="s">
        <v>108</v>
      </c>
      <c r="K22" s="16" t="s">
        <v>22</v>
      </c>
    </row>
    <row r="23" spans="1:11" ht="15.75" hidden="1">
      <c r="A23" s="14">
        <v>128</v>
      </c>
      <c r="B23" s="15">
        <v>45746</v>
      </c>
      <c r="C23" s="15">
        <v>45954</v>
      </c>
      <c r="D23" s="16">
        <v>1234567</v>
      </c>
      <c r="E23" s="16" t="s">
        <v>38</v>
      </c>
      <c r="F23" s="17">
        <v>0.77777777777777779</v>
      </c>
      <c r="G23" s="16" t="s">
        <v>28</v>
      </c>
      <c r="H23" s="17">
        <v>0.27777777777777779</v>
      </c>
      <c r="I23" s="17">
        <v>0.29166666666666669</v>
      </c>
      <c r="J23" s="16" t="s">
        <v>108</v>
      </c>
      <c r="K23" s="16" t="s">
        <v>22</v>
      </c>
    </row>
    <row r="24" spans="1:11" ht="15.75" hidden="1">
      <c r="A24" s="14">
        <v>138</v>
      </c>
      <c r="B24" s="15">
        <v>45955</v>
      </c>
      <c r="C24" s="15">
        <v>45955</v>
      </c>
      <c r="D24" s="16" t="s">
        <v>103</v>
      </c>
      <c r="E24" s="16" t="s">
        <v>38</v>
      </c>
      <c r="F24" s="17">
        <v>0.97222222222222221</v>
      </c>
      <c r="G24" s="16" t="s">
        <v>21</v>
      </c>
      <c r="H24" s="17">
        <v>0.4375</v>
      </c>
      <c r="I24" s="17">
        <v>0.2986111111111111</v>
      </c>
      <c r="J24" s="16" t="s">
        <v>102</v>
      </c>
      <c r="K24" s="16" t="s">
        <v>22</v>
      </c>
    </row>
    <row r="25" spans="1:11" ht="15.75" hidden="1">
      <c r="A25" s="14">
        <v>138</v>
      </c>
      <c r="B25" s="15">
        <v>45746</v>
      </c>
      <c r="C25" s="15">
        <v>45954</v>
      </c>
      <c r="D25" s="16">
        <v>1234567</v>
      </c>
      <c r="E25" s="16" t="s">
        <v>38</v>
      </c>
      <c r="F25" s="17">
        <v>0.97222222222222221</v>
      </c>
      <c r="G25" s="16" t="s">
        <v>21</v>
      </c>
      <c r="H25" s="17">
        <v>0.47916666666666669</v>
      </c>
      <c r="I25" s="17">
        <v>0.2986111111111111</v>
      </c>
      <c r="J25" s="16" t="s">
        <v>102</v>
      </c>
      <c r="K25" s="16" t="s">
        <v>22</v>
      </c>
    </row>
    <row r="26" spans="1:11" ht="15.75" hidden="1">
      <c r="A26" s="14">
        <v>154</v>
      </c>
      <c r="B26" s="15">
        <v>45746</v>
      </c>
      <c r="C26" s="15">
        <v>45954</v>
      </c>
      <c r="D26" s="16">
        <v>1234567</v>
      </c>
      <c r="E26" s="16" t="s">
        <v>38</v>
      </c>
      <c r="F26" s="17">
        <v>0.875</v>
      </c>
      <c r="G26" s="16" t="s">
        <v>21</v>
      </c>
      <c r="H26" s="17">
        <v>0.3923611111111111</v>
      </c>
      <c r="I26" s="17">
        <v>0.30902777777777779</v>
      </c>
      <c r="J26" s="16" t="s">
        <v>107</v>
      </c>
      <c r="K26" s="16" t="s">
        <v>22</v>
      </c>
    </row>
    <row r="27" spans="1:11" ht="15.75" hidden="1">
      <c r="A27" s="14">
        <v>154</v>
      </c>
      <c r="B27" s="15">
        <v>45955</v>
      </c>
      <c r="C27" s="15">
        <v>45955</v>
      </c>
      <c r="D27" s="16" t="s">
        <v>103</v>
      </c>
      <c r="E27" s="16" t="s">
        <v>38</v>
      </c>
      <c r="F27" s="17">
        <v>0.875</v>
      </c>
      <c r="G27" s="16" t="s">
        <v>21</v>
      </c>
      <c r="H27" s="17">
        <v>0.35069444444444442</v>
      </c>
      <c r="I27" s="17">
        <v>0.30902777777777779</v>
      </c>
      <c r="J27" s="16" t="s">
        <v>107</v>
      </c>
      <c r="K27" s="16" t="s">
        <v>22</v>
      </c>
    </row>
    <row r="28" spans="1:11" ht="15.75" hidden="1">
      <c r="A28" s="14">
        <v>86</v>
      </c>
      <c r="B28" s="15">
        <v>45776</v>
      </c>
      <c r="C28" s="15">
        <v>45954</v>
      </c>
      <c r="D28" s="16" t="s">
        <v>109</v>
      </c>
      <c r="E28" s="16" t="s">
        <v>49</v>
      </c>
      <c r="F28" s="17">
        <v>0.71527777777777779</v>
      </c>
      <c r="G28" s="16" t="s">
        <v>28</v>
      </c>
      <c r="H28" s="17">
        <v>0.4513888888888889</v>
      </c>
      <c r="I28" s="17">
        <v>0.40277777777777773</v>
      </c>
      <c r="J28" s="16" t="s">
        <v>108</v>
      </c>
      <c r="K28" s="16" t="s">
        <v>22</v>
      </c>
    </row>
    <row r="29" spans="1:11" ht="15.75" hidden="1">
      <c r="A29" s="14">
        <v>156</v>
      </c>
      <c r="B29" s="15">
        <v>45746</v>
      </c>
      <c r="C29" s="15">
        <v>45954</v>
      </c>
      <c r="D29" s="16">
        <v>1234567</v>
      </c>
      <c r="E29" s="16" t="s">
        <v>49</v>
      </c>
      <c r="F29" s="17">
        <v>0.86805555555555547</v>
      </c>
      <c r="G29" s="16" t="s">
        <v>21</v>
      </c>
      <c r="H29" s="17">
        <v>0.61458333333333337</v>
      </c>
      <c r="I29" s="17">
        <v>0.41319444444444442</v>
      </c>
      <c r="J29" s="16" t="s">
        <v>105</v>
      </c>
      <c r="K29" s="16" t="s">
        <v>22</v>
      </c>
    </row>
    <row r="30" spans="1:11" ht="15.75" hidden="1">
      <c r="A30" s="14">
        <v>156</v>
      </c>
      <c r="B30" s="15">
        <v>45955</v>
      </c>
      <c r="C30" s="15">
        <v>45955</v>
      </c>
      <c r="D30" s="16" t="s">
        <v>103</v>
      </c>
      <c r="E30" s="16" t="s">
        <v>49</v>
      </c>
      <c r="F30" s="17">
        <v>0.90972222222222221</v>
      </c>
      <c r="G30" s="16" t="s">
        <v>21</v>
      </c>
      <c r="H30" s="17">
        <v>0.61458333333333337</v>
      </c>
      <c r="I30" s="17">
        <v>0.41319444444444442</v>
      </c>
      <c r="J30" s="16" t="s">
        <v>105</v>
      </c>
      <c r="K30" s="16" t="s">
        <v>22</v>
      </c>
    </row>
    <row r="31" spans="1:11" ht="15.75" hidden="1">
      <c r="A31" s="14">
        <v>8</v>
      </c>
      <c r="B31" s="15">
        <v>45955</v>
      </c>
      <c r="C31" s="15">
        <v>45955</v>
      </c>
      <c r="D31" s="16" t="s">
        <v>103</v>
      </c>
      <c r="E31" s="16" t="s">
        <v>54</v>
      </c>
      <c r="F31" s="17">
        <v>0.70486111111111116</v>
      </c>
      <c r="G31" s="16" t="s">
        <v>21</v>
      </c>
      <c r="H31" s="17">
        <v>0.42708333333333331</v>
      </c>
      <c r="I31" s="17">
        <v>0.43055555555555558</v>
      </c>
      <c r="J31" s="16" t="s">
        <v>102</v>
      </c>
      <c r="K31" s="16" t="s">
        <v>22</v>
      </c>
    </row>
    <row r="32" spans="1:11" ht="15.75" hidden="1">
      <c r="A32" s="14">
        <v>8</v>
      </c>
      <c r="B32" s="15">
        <v>45775</v>
      </c>
      <c r="C32" s="15">
        <v>45954</v>
      </c>
      <c r="D32" s="16">
        <v>1234567</v>
      </c>
      <c r="E32" s="16" t="s">
        <v>54</v>
      </c>
      <c r="F32" s="17">
        <v>0.70486111111111116</v>
      </c>
      <c r="G32" s="16" t="s">
        <v>21</v>
      </c>
      <c r="H32" s="17">
        <v>0.46875</v>
      </c>
      <c r="I32" s="17">
        <v>0.43055555555555558</v>
      </c>
      <c r="J32" s="16" t="s">
        <v>102</v>
      </c>
      <c r="K32" s="16" t="s">
        <v>22</v>
      </c>
    </row>
    <row r="33" spans="1:11" ht="15.75" hidden="1">
      <c r="A33" s="14">
        <v>24</v>
      </c>
      <c r="B33" s="15">
        <v>45746</v>
      </c>
      <c r="C33" s="15">
        <v>45954</v>
      </c>
      <c r="D33" s="16">
        <v>1234567</v>
      </c>
      <c r="E33" s="16" t="s">
        <v>54</v>
      </c>
      <c r="F33" s="17">
        <v>0.93402777777777779</v>
      </c>
      <c r="G33" s="16" t="s">
        <v>21</v>
      </c>
      <c r="H33" s="17">
        <v>0.69791666666666663</v>
      </c>
      <c r="I33" s="17">
        <v>0.43055555555555558</v>
      </c>
      <c r="J33" s="16" t="s">
        <v>102</v>
      </c>
      <c r="K33" s="16" t="s">
        <v>22</v>
      </c>
    </row>
    <row r="34" spans="1:11" ht="15.75" hidden="1">
      <c r="A34" s="14">
        <v>24</v>
      </c>
      <c r="B34" s="15">
        <v>45955</v>
      </c>
      <c r="C34" s="15">
        <v>45955</v>
      </c>
      <c r="D34" s="16" t="s">
        <v>103</v>
      </c>
      <c r="E34" s="16" t="s">
        <v>54</v>
      </c>
      <c r="F34" s="17">
        <v>0.93402777777777779</v>
      </c>
      <c r="G34" s="16" t="s">
        <v>21</v>
      </c>
      <c r="H34" s="17">
        <v>0.65625</v>
      </c>
      <c r="I34" s="17">
        <v>0.43055555555555558</v>
      </c>
      <c r="J34" s="16" t="s">
        <v>102</v>
      </c>
      <c r="K34" s="16" t="s">
        <v>22</v>
      </c>
    </row>
    <row r="35" spans="1:11" ht="15.75" hidden="1">
      <c r="A35" s="14">
        <v>142</v>
      </c>
      <c r="B35" s="15">
        <v>45955</v>
      </c>
      <c r="C35" s="15">
        <v>45955</v>
      </c>
      <c r="D35" s="16" t="s">
        <v>103</v>
      </c>
      <c r="E35" s="16" t="s">
        <v>54</v>
      </c>
      <c r="F35" s="17">
        <v>0.79513888888888884</v>
      </c>
      <c r="G35" s="16" t="s">
        <v>21</v>
      </c>
      <c r="H35" s="17">
        <v>0.51736111111111105</v>
      </c>
      <c r="I35" s="17">
        <v>0.43055555555555558</v>
      </c>
      <c r="J35" s="16" t="s">
        <v>105</v>
      </c>
      <c r="K35" s="16" t="s">
        <v>22</v>
      </c>
    </row>
    <row r="36" spans="1:11" ht="15.75" hidden="1">
      <c r="A36" s="14">
        <v>142</v>
      </c>
      <c r="B36" s="15">
        <v>45746</v>
      </c>
      <c r="C36" s="15">
        <v>45954</v>
      </c>
      <c r="D36" s="16">
        <v>1234567</v>
      </c>
      <c r="E36" s="16" t="s">
        <v>54</v>
      </c>
      <c r="F36" s="17">
        <v>0.79513888888888884</v>
      </c>
      <c r="G36" s="16" t="s">
        <v>21</v>
      </c>
      <c r="H36" s="17">
        <v>0.55902777777777779</v>
      </c>
      <c r="I36" s="17">
        <v>0.43055555555555558</v>
      </c>
      <c r="J36" s="16" t="s">
        <v>105</v>
      </c>
      <c r="K36" s="16" t="s">
        <v>22</v>
      </c>
    </row>
    <row r="37" spans="1:11" ht="15.75" hidden="1">
      <c r="A37" s="14">
        <v>74</v>
      </c>
      <c r="B37" s="15">
        <v>45746</v>
      </c>
      <c r="C37" s="15">
        <v>45774</v>
      </c>
      <c r="D37" s="16" t="s">
        <v>109</v>
      </c>
      <c r="E37" s="16" t="s">
        <v>59</v>
      </c>
      <c r="F37" s="17">
        <v>0.79166666666666663</v>
      </c>
      <c r="G37" s="16" t="s">
        <v>28</v>
      </c>
      <c r="H37" s="17">
        <v>0.34027777777777773</v>
      </c>
      <c r="I37" s="17">
        <v>0.34027777777777773</v>
      </c>
      <c r="J37" s="16" t="s">
        <v>108</v>
      </c>
      <c r="K37" s="16" t="s">
        <v>22</v>
      </c>
    </row>
    <row r="38" spans="1:11" ht="15.75" hidden="1">
      <c r="A38" s="14">
        <v>74</v>
      </c>
      <c r="B38" s="15">
        <v>45747</v>
      </c>
      <c r="C38" s="15">
        <v>45950</v>
      </c>
      <c r="D38" s="16" t="s">
        <v>110</v>
      </c>
      <c r="E38" s="16" t="s">
        <v>59</v>
      </c>
      <c r="F38" s="17">
        <v>0.79166666666666663</v>
      </c>
      <c r="G38" s="16" t="s">
        <v>28</v>
      </c>
      <c r="H38" s="17">
        <v>0.34027777777777773</v>
      </c>
      <c r="I38" s="17">
        <v>0.34027777777777773</v>
      </c>
      <c r="J38" s="16" t="s">
        <v>104</v>
      </c>
      <c r="K38" s="16" t="s">
        <v>22</v>
      </c>
    </row>
    <row r="39" spans="1:11" ht="15.75" hidden="1">
      <c r="A39" s="14">
        <v>74</v>
      </c>
      <c r="B39" s="15">
        <v>45955</v>
      </c>
      <c r="C39" s="15">
        <v>45955</v>
      </c>
      <c r="D39" s="16" t="s">
        <v>103</v>
      </c>
      <c r="E39" s="16" t="s">
        <v>59</v>
      </c>
      <c r="F39" s="17">
        <v>0.85069444444444453</v>
      </c>
      <c r="G39" s="16" t="s">
        <v>28</v>
      </c>
      <c r="H39" s="17">
        <v>0.3576388888888889</v>
      </c>
      <c r="I39" s="17">
        <v>0.34027777777777773</v>
      </c>
      <c r="J39" s="16" t="s">
        <v>108</v>
      </c>
      <c r="K39" s="16" t="s">
        <v>22</v>
      </c>
    </row>
    <row r="40" spans="1:11" ht="15.75" hidden="1">
      <c r="A40" s="14">
        <v>74</v>
      </c>
      <c r="B40" s="15">
        <v>45750</v>
      </c>
      <c r="C40" s="15">
        <v>45953</v>
      </c>
      <c r="D40" s="16" t="s">
        <v>111</v>
      </c>
      <c r="E40" s="16" t="s">
        <v>59</v>
      </c>
      <c r="F40" s="17">
        <v>0.85069444444444453</v>
      </c>
      <c r="G40" s="16" t="s">
        <v>28</v>
      </c>
      <c r="H40" s="17">
        <v>0.39930555555555558</v>
      </c>
      <c r="I40" s="17">
        <v>0.34027777777777773</v>
      </c>
      <c r="J40" s="16" t="s">
        <v>108</v>
      </c>
      <c r="K40" s="16" t="s">
        <v>22</v>
      </c>
    </row>
    <row r="41" spans="1:11" ht="15.75" hidden="1">
      <c r="A41" s="14">
        <v>74</v>
      </c>
      <c r="B41" s="15">
        <v>45749</v>
      </c>
      <c r="C41" s="15">
        <v>45952</v>
      </c>
      <c r="D41" s="16" t="s">
        <v>112</v>
      </c>
      <c r="E41" s="16" t="s">
        <v>59</v>
      </c>
      <c r="F41" s="17">
        <v>0.875</v>
      </c>
      <c r="G41" s="16" t="s">
        <v>28</v>
      </c>
      <c r="H41" s="17">
        <v>0.4236111111111111</v>
      </c>
      <c r="I41" s="17">
        <v>0.34027777777777773</v>
      </c>
      <c r="J41" s="16" t="s">
        <v>108</v>
      </c>
      <c r="K41" s="16" t="s">
        <v>22</v>
      </c>
    </row>
    <row r="42" spans="1:11" ht="15.75" hidden="1">
      <c r="A42" s="14">
        <v>74</v>
      </c>
      <c r="B42" s="15">
        <v>45747</v>
      </c>
      <c r="C42" s="15">
        <v>45950</v>
      </c>
      <c r="D42" s="16" t="s">
        <v>110</v>
      </c>
      <c r="E42" s="16" t="s">
        <v>59</v>
      </c>
      <c r="F42" s="17">
        <v>0.91666666666666663</v>
      </c>
      <c r="G42" s="16" t="s">
        <v>28</v>
      </c>
      <c r="H42" s="17">
        <v>0.46527777777777773</v>
      </c>
      <c r="I42" s="17">
        <v>0.34027777777777773</v>
      </c>
      <c r="J42" s="16" t="s">
        <v>108</v>
      </c>
      <c r="K42" s="16" t="s">
        <v>22</v>
      </c>
    </row>
    <row r="43" spans="1:11" ht="15.75" hidden="1">
      <c r="A43" s="14">
        <v>76</v>
      </c>
      <c r="B43" s="15">
        <v>45746</v>
      </c>
      <c r="C43" s="15">
        <v>45952</v>
      </c>
      <c r="D43" s="16" t="s">
        <v>113</v>
      </c>
      <c r="E43" s="16" t="s">
        <v>59</v>
      </c>
      <c r="F43" s="17">
        <v>0.91666666666666663</v>
      </c>
      <c r="G43" s="16" t="s">
        <v>28</v>
      </c>
      <c r="H43" s="17">
        <v>0.46527777777777773</v>
      </c>
      <c r="I43" s="17">
        <v>0.34027777777777773</v>
      </c>
      <c r="J43" s="16" t="s">
        <v>104</v>
      </c>
      <c r="K43" s="16" t="s">
        <v>22</v>
      </c>
    </row>
    <row r="44" spans="1:11" ht="15.75" hidden="1">
      <c r="A44" s="14">
        <v>76</v>
      </c>
      <c r="B44" s="15">
        <v>45955</v>
      </c>
      <c r="C44" s="15">
        <v>45955</v>
      </c>
      <c r="D44" s="16" t="s">
        <v>103</v>
      </c>
      <c r="E44" s="16" t="s">
        <v>59</v>
      </c>
      <c r="F44" s="17">
        <v>0.91666666666666663</v>
      </c>
      <c r="G44" s="16" t="s">
        <v>28</v>
      </c>
      <c r="H44" s="17">
        <v>0.4236111111111111</v>
      </c>
      <c r="I44" s="17">
        <v>0.34027777777777773</v>
      </c>
      <c r="J44" s="16" t="s">
        <v>108</v>
      </c>
      <c r="K44" s="16" t="s">
        <v>22</v>
      </c>
    </row>
    <row r="45" spans="1:11" ht="15.75" hidden="1">
      <c r="A45" s="14">
        <v>76</v>
      </c>
      <c r="B45" s="15">
        <v>45750</v>
      </c>
      <c r="C45" s="15">
        <v>45953</v>
      </c>
      <c r="D45" s="16" t="s">
        <v>111</v>
      </c>
      <c r="E45" s="16" t="s">
        <v>59</v>
      </c>
      <c r="F45" s="17">
        <v>0.91666666666666663</v>
      </c>
      <c r="G45" s="16" t="s">
        <v>28</v>
      </c>
      <c r="H45" s="17">
        <v>0.46527777777777773</v>
      </c>
      <c r="I45" s="17">
        <v>0.34027777777777773</v>
      </c>
      <c r="J45" s="16" t="s">
        <v>108</v>
      </c>
      <c r="K45" s="16" t="s">
        <v>22</v>
      </c>
    </row>
    <row r="46" spans="1:11" ht="15.75" hidden="1">
      <c r="A46" s="14">
        <v>92</v>
      </c>
      <c r="B46" s="15">
        <v>45746</v>
      </c>
      <c r="C46" s="15">
        <v>45949</v>
      </c>
      <c r="D46" s="16" t="s">
        <v>114</v>
      </c>
      <c r="E46" s="16" t="s">
        <v>59</v>
      </c>
      <c r="F46" s="17">
        <v>0.70833333333333337</v>
      </c>
      <c r="G46" s="16" t="s">
        <v>21</v>
      </c>
      <c r="H46" s="17">
        <v>0.28125</v>
      </c>
      <c r="I46" s="17">
        <v>0.36458333333333331</v>
      </c>
      <c r="J46" s="16" t="s">
        <v>108</v>
      </c>
      <c r="K46" s="16" t="s">
        <v>22</v>
      </c>
    </row>
    <row r="47" spans="1:11" ht="15.75" hidden="1">
      <c r="A47" s="14">
        <v>92</v>
      </c>
      <c r="B47" s="15">
        <v>45748</v>
      </c>
      <c r="C47" s="15">
        <v>45951</v>
      </c>
      <c r="D47" s="16" t="s">
        <v>106</v>
      </c>
      <c r="E47" s="16" t="s">
        <v>59</v>
      </c>
      <c r="F47" s="17">
        <v>0.70833333333333337</v>
      </c>
      <c r="G47" s="16" t="s">
        <v>21</v>
      </c>
      <c r="H47" s="17">
        <v>0.28125</v>
      </c>
      <c r="I47" s="17">
        <v>0.36458333333333331</v>
      </c>
      <c r="J47" s="16" t="s">
        <v>107</v>
      </c>
      <c r="K47" s="16" t="s">
        <v>22</v>
      </c>
    </row>
    <row r="48" spans="1:11" ht="15.75" hidden="1">
      <c r="A48" s="14">
        <v>92</v>
      </c>
      <c r="B48" s="15">
        <v>45747</v>
      </c>
      <c r="C48" s="15">
        <v>45954</v>
      </c>
      <c r="D48" s="16" t="s">
        <v>115</v>
      </c>
      <c r="E48" s="16" t="s">
        <v>59</v>
      </c>
      <c r="F48" s="17">
        <v>0.70833333333333337</v>
      </c>
      <c r="G48" s="16" t="s">
        <v>21</v>
      </c>
      <c r="H48" s="17">
        <v>0.28125</v>
      </c>
      <c r="I48" s="17">
        <v>0.36458333333333331</v>
      </c>
      <c r="J48" s="16" t="s">
        <v>104</v>
      </c>
      <c r="K48" s="16" t="s">
        <v>22</v>
      </c>
    </row>
    <row r="49" spans="1:11" ht="15.75" hidden="1">
      <c r="A49" s="14">
        <v>92</v>
      </c>
      <c r="B49" s="15">
        <v>45955</v>
      </c>
      <c r="C49" s="15">
        <v>45955</v>
      </c>
      <c r="D49" s="16" t="s">
        <v>103</v>
      </c>
      <c r="E49" s="16" t="s">
        <v>59</v>
      </c>
      <c r="F49" s="17">
        <v>0.70833333333333337</v>
      </c>
      <c r="G49" s="16" t="s">
        <v>21</v>
      </c>
      <c r="H49" s="17">
        <v>0.23958333333333334</v>
      </c>
      <c r="I49" s="17">
        <v>0.36458333333333331</v>
      </c>
      <c r="J49" s="16" t="s">
        <v>104</v>
      </c>
      <c r="K49" s="16" t="s">
        <v>22</v>
      </c>
    </row>
    <row r="50" spans="1:11" ht="15.75" hidden="1">
      <c r="A50" s="14">
        <v>136</v>
      </c>
      <c r="B50" s="15">
        <v>45955</v>
      </c>
      <c r="C50" s="15">
        <v>45955</v>
      </c>
      <c r="D50" s="16" t="s">
        <v>103</v>
      </c>
      <c r="E50" s="16" t="s">
        <v>59</v>
      </c>
      <c r="F50" s="17">
        <v>0.82986111111111116</v>
      </c>
      <c r="G50" s="16" t="s">
        <v>21</v>
      </c>
      <c r="H50" s="17">
        <v>0.34375</v>
      </c>
      <c r="I50" s="17">
        <v>0.34722222222222227</v>
      </c>
      <c r="J50" s="16" t="s">
        <v>108</v>
      </c>
      <c r="K50" s="16" t="s">
        <v>22</v>
      </c>
    </row>
    <row r="51" spans="1:11" ht="15.75" hidden="1">
      <c r="A51" s="14">
        <v>136</v>
      </c>
      <c r="B51" s="15">
        <v>45746</v>
      </c>
      <c r="C51" s="15">
        <v>45954</v>
      </c>
      <c r="D51" s="16" t="s">
        <v>116</v>
      </c>
      <c r="E51" s="16" t="s">
        <v>59</v>
      </c>
      <c r="F51" s="17">
        <v>0.82986111111111116</v>
      </c>
      <c r="G51" s="16" t="s">
        <v>21</v>
      </c>
      <c r="H51" s="17">
        <v>0.38541666666666669</v>
      </c>
      <c r="I51" s="17">
        <v>0.34722222222222227</v>
      </c>
      <c r="J51" s="16" t="s">
        <v>108</v>
      </c>
      <c r="K51" s="16" t="s">
        <v>22</v>
      </c>
    </row>
    <row r="52" spans="1:11" ht="15.75" hidden="1">
      <c r="A52" s="14">
        <v>136</v>
      </c>
      <c r="B52" s="15">
        <v>45748</v>
      </c>
      <c r="C52" s="15">
        <v>45953</v>
      </c>
      <c r="D52" s="16" t="s">
        <v>117</v>
      </c>
      <c r="E52" s="16" t="s">
        <v>59</v>
      </c>
      <c r="F52" s="17">
        <v>0.82986111111111116</v>
      </c>
      <c r="G52" s="16" t="s">
        <v>21</v>
      </c>
      <c r="H52" s="17">
        <v>0.38541666666666669</v>
      </c>
      <c r="I52" s="17">
        <v>0.34722222222222227</v>
      </c>
      <c r="J52" s="16" t="s">
        <v>104</v>
      </c>
      <c r="K52" s="16" t="s">
        <v>22</v>
      </c>
    </row>
    <row r="53" spans="1:11" ht="15.75" hidden="1">
      <c r="A53" s="14">
        <v>226</v>
      </c>
      <c r="B53" s="15">
        <v>45748</v>
      </c>
      <c r="C53" s="15">
        <v>45954</v>
      </c>
      <c r="D53" s="16" t="s">
        <v>118</v>
      </c>
      <c r="E53" s="16" t="s">
        <v>59</v>
      </c>
      <c r="F53" s="17">
        <v>0.91666666666666663</v>
      </c>
      <c r="G53" s="16" t="s">
        <v>60</v>
      </c>
      <c r="H53" s="17">
        <v>0.45833333333333331</v>
      </c>
      <c r="I53" s="17">
        <v>0.33333333333333331</v>
      </c>
      <c r="J53" s="16" t="s">
        <v>108</v>
      </c>
      <c r="K53" s="16" t="s">
        <v>22</v>
      </c>
    </row>
    <row r="54" spans="1:11" ht="15.75" hidden="1">
      <c r="A54" s="14">
        <v>6</v>
      </c>
      <c r="B54" s="15">
        <v>45955</v>
      </c>
      <c r="C54" s="15">
        <v>45955</v>
      </c>
      <c r="D54" s="16" t="s">
        <v>103</v>
      </c>
      <c r="E54" s="16" t="s">
        <v>69</v>
      </c>
      <c r="F54" s="17">
        <v>0.72569444444444453</v>
      </c>
      <c r="G54" s="16" t="s">
        <v>21</v>
      </c>
      <c r="H54" s="17">
        <v>0.27083333333333331</v>
      </c>
      <c r="I54" s="17">
        <v>0.37847222222222227</v>
      </c>
      <c r="J54" s="16" t="s">
        <v>107</v>
      </c>
      <c r="K54" s="16" t="s">
        <v>22</v>
      </c>
    </row>
    <row r="55" spans="1:11" ht="15.75" hidden="1">
      <c r="A55" s="14">
        <v>6</v>
      </c>
      <c r="B55" s="15">
        <v>45746</v>
      </c>
      <c r="C55" s="15">
        <v>45952</v>
      </c>
      <c r="D55" s="16" t="s">
        <v>113</v>
      </c>
      <c r="E55" s="16" t="s">
        <v>69</v>
      </c>
      <c r="F55" s="17">
        <v>0.72569444444444453</v>
      </c>
      <c r="G55" s="16" t="s">
        <v>21</v>
      </c>
      <c r="H55" s="17">
        <v>0.3125</v>
      </c>
      <c r="I55" s="17">
        <v>0.37847222222222227</v>
      </c>
      <c r="J55" s="16" t="s">
        <v>104</v>
      </c>
      <c r="K55" s="16" t="s">
        <v>22</v>
      </c>
    </row>
    <row r="56" spans="1:11" ht="15.75" hidden="1">
      <c r="A56" s="14">
        <v>6</v>
      </c>
      <c r="B56" s="15">
        <v>45747</v>
      </c>
      <c r="C56" s="15">
        <v>45954</v>
      </c>
      <c r="D56" s="16" t="s">
        <v>119</v>
      </c>
      <c r="E56" s="16" t="s">
        <v>69</v>
      </c>
      <c r="F56" s="17">
        <v>0.72569444444444453</v>
      </c>
      <c r="G56" s="16" t="s">
        <v>21</v>
      </c>
      <c r="H56" s="17">
        <v>0.3125</v>
      </c>
      <c r="I56" s="17">
        <v>0.37847222222222227</v>
      </c>
      <c r="J56" s="16" t="s">
        <v>107</v>
      </c>
      <c r="K56" s="16" t="s">
        <v>22</v>
      </c>
    </row>
    <row r="57" spans="1:11" ht="15.75" hidden="1">
      <c r="A57" s="14">
        <v>118</v>
      </c>
      <c r="B57" s="15">
        <v>45955</v>
      </c>
      <c r="C57" s="15">
        <v>45955</v>
      </c>
      <c r="D57" s="16" t="s">
        <v>103</v>
      </c>
      <c r="E57" s="16" t="s">
        <v>69</v>
      </c>
      <c r="F57" s="17">
        <v>0.93055555555555547</v>
      </c>
      <c r="G57" s="16" t="s">
        <v>21</v>
      </c>
      <c r="H57" s="17">
        <v>0.47569444444444442</v>
      </c>
      <c r="I57" s="17">
        <v>0.37847222222222227</v>
      </c>
      <c r="J57" s="16" t="s">
        <v>105</v>
      </c>
      <c r="K57" s="16" t="s">
        <v>22</v>
      </c>
    </row>
    <row r="58" spans="1:11" ht="15.75" hidden="1">
      <c r="A58" s="14">
        <v>118</v>
      </c>
      <c r="B58" s="15">
        <v>45746</v>
      </c>
      <c r="C58" s="15">
        <v>45954</v>
      </c>
      <c r="D58" s="16">
        <v>1234567</v>
      </c>
      <c r="E58" s="16" t="s">
        <v>69</v>
      </c>
      <c r="F58" s="17">
        <v>0.93055555555555547</v>
      </c>
      <c r="G58" s="16" t="s">
        <v>21</v>
      </c>
      <c r="H58" s="17">
        <v>0.51736111111111105</v>
      </c>
      <c r="I58" s="17">
        <v>0.37847222222222227</v>
      </c>
      <c r="J58" s="16" t="s">
        <v>105</v>
      </c>
      <c r="K58" s="16" t="s">
        <v>22</v>
      </c>
    </row>
    <row r="59" spans="1:11" ht="15.75">
      <c r="A59" s="14">
        <v>106</v>
      </c>
      <c r="B59" s="15">
        <v>45955</v>
      </c>
      <c r="C59" s="15">
        <v>45955</v>
      </c>
      <c r="D59" s="16" t="s">
        <v>103</v>
      </c>
      <c r="E59" s="16" t="s">
        <v>73</v>
      </c>
      <c r="F59" s="17">
        <v>0.65972222222222221</v>
      </c>
      <c r="G59" s="16" t="s">
        <v>21</v>
      </c>
      <c r="H59" s="17">
        <v>0.34027777777777773</v>
      </c>
      <c r="I59" s="17">
        <v>0.3888888888888889</v>
      </c>
      <c r="J59" s="16" t="s">
        <v>105</v>
      </c>
      <c r="K59" s="16" t="s">
        <v>22</v>
      </c>
    </row>
    <row r="60" spans="1:11" ht="15.75">
      <c r="A60" s="14">
        <v>106</v>
      </c>
      <c r="B60" s="15">
        <v>45746</v>
      </c>
      <c r="C60" s="15">
        <v>45954</v>
      </c>
      <c r="D60" s="16">
        <v>1234567</v>
      </c>
      <c r="E60" s="16" t="s">
        <v>73</v>
      </c>
      <c r="F60" s="17">
        <v>0.65972222222222221</v>
      </c>
      <c r="G60" s="16" t="s">
        <v>21</v>
      </c>
      <c r="H60" s="17">
        <v>0.38194444444444442</v>
      </c>
      <c r="I60" s="17">
        <v>0.3888888888888889</v>
      </c>
      <c r="J60" s="16" t="s">
        <v>105</v>
      </c>
      <c r="K60" s="16" t="s">
        <v>22</v>
      </c>
    </row>
    <row r="61" spans="1:11" ht="15.75" hidden="1">
      <c r="A61" s="14">
        <v>20</v>
      </c>
      <c r="B61" s="15">
        <v>45955</v>
      </c>
      <c r="C61" s="15">
        <v>45955</v>
      </c>
      <c r="D61" s="16" t="s">
        <v>103</v>
      </c>
      <c r="E61" s="16" t="s">
        <v>76</v>
      </c>
      <c r="F61" s="17">
        <v>0.63888888888888895</v>
      </c>
      <c r="G61" s="16" t="s">
        <v>21</v>
      </c>
      <c r="H61" s="17">
        <v>0.3611111111111111</v>
      </c>
      <c r="I61" s="17">
        <v>0.43055555555555558</v>
      </c>
      <c r="J61" s="16" t="s">
        <v>102</v>
      </c>
      <c r="K61" s="16" t="s">
        <v>22</v>
      </c>
    </row>
    <row r="62" spans="1:11" ht="15.75" hidden="1">
      <c r="A62" s="14">
        <v>20</v>
      </c>
      <c r="B62" s="15">
        <v>45746</v>
      </c>
      <c r="C62" s="15">
        <v>45954</v>
      </c>
      <c r="D62" s="16">
        <v>1234567</v>
      </c>
      <c r="E62" s="16" t="s">
        <v>76</v>
      </c>
      <c r="F62" s="17">
        <v>0.63888888888888895</v>
      </c>
      <c r="G62" s="16" t="s">
        <v>21</v>
      </c>
      <c r="H62" s="17">
        <v>0.40277777777777773</v>
      </c>
      <c r="I62" s="17">
        <v>0.43055555555555558</v>
      </c>
      <c r="J62" s="16" t="s">
        <v>102</v>
      </c>
      <c r="K62" s="16" t="s">
        <v>22</v>
      </c>
    </row>
    <row r="63" spans="1:11" ht="15.75" hidden="1">
      <c r="A63" s="14">
        <v>42</v>
      </c>
      <c r="B63" s="15">
        <v>45775</v>
      </c>
      <c r="C63" s="15">
        <v>45953</v>
      </c>
      <c r="D63" s="16">
        <v>1234567</v>
      </c>
      <c r="E63" s="16" t="s">
        <v>76</v>
      </c>
      <c r="F63" s="17">
        <v>0.92708333333333337</v>
      </c>
      <c r="G63" s="16" t="s">
        <v>21</v>
      </c>
      <c r="H63" s="17">
        <v>0.69097222222222221</v>
      </c>
      <c r="I63" s="17">
        <v>0.43055555555555558</v>
      </c>
      <c r="J63" s="16" t="s">
        <v>105</v>
      </c>
      <c r="K63" s="16" t="s">
        <v>22</v>
      </c>
    </row>
    <row r="64" spans="1:11" ht="15.75" hidden="1">
      <c r="A64" s="14">
        <v>130</v>
      </c>
      <c r="B64" s="15">
        <v>45747</v>
      </c>
      <c r="C64" s="15">
        <v>45951</v>
      </c>
      <c r="D64" s="16" t="s">
        <v>120</v>
      </c>
      <c r="E64" s="16" t="s">
        <v>80</v>
      </c>
      <c r="F64" s="17">
        <v>0.88888888888888884</v>
      </c>
      <c r="G64" s="16" t="s">
        <v>21</v>
      </c>
      <c r="H64" s="17">
        <v>0.46527777777777773</v>
      </c>
      <c r="I64" s="17">
        <v>0.36805555555555558</v>
      </c>
      <c r="J64" s="16" t="s">
        <v>104</v>
      </c>
      <c r="K64" s="16" t="s">
        <v>22</v>
      </c>
    </row>
    <row r="65" spans="1:11" ht="15.75" hidden="1">
      <c r="A65" s="14">
        <v>130</v>
      </c>
      <c r="B65" s="15">
        <v>45746</v>
      </c>
      <c r="C65" s="15">
        <v>45954</v>
      </c>
      <c r="D65" s="16" t="s">
        <v>121</v>
      </c>
      <c r="E65" s="16" t="s">
        <v>80</v>
      </c>
      <c r="F65" s="17">
        <v>0.88888888888888884</v>
      </c>
      <c r="G65" s="16" t="s">
        <v>21</v>
      </c>
      <c r="H65" s="17">
        <v>0.46527777777777773</v>
      </c>
      <c r="I65" s="17">
        <v>0.36805555555555558</v>
      </c>
      <c r="J65" s="16" t="s">
        <v>107</v>
      </c>
      <c r="K65" s="16" t="s">
        <v>22</v>
      </c>
    </row>
    <row r="66" spans="1:11" ht="15.75" hidden="1">
      <c r="A66" s="14">
        <v>130</v>
      </c>
      <c r="B66" s="15">
        <v>45955</v>
      </c>
      <c r="C66" s="15">
        <v>45955</v>
      </c>
      <c r="D66" s="16" t="s">
        <v>103</v>
      </c>
      <c r="E66" s="16" t="s">
        <v>80</v>
      </c>
      <c r="F66" s="17">
        <v>0.88888888888888884</v>
      </c>
      <c r="G66" s="16" t="s">
        <v>21</v>
      </c>
      <c r="H66" s="17">
        <v>0.4236111111111111</v>
      </c>
      <c r="I66" s="17">
        <v>0.36805555555555558</v>
      </c>
      <c r="J66" s="16" t="s">
        <v>107</v>
      </c>
      <c r="K66" s="16" t="s">
        <v>22</v>
      </c>
    </row>
  </sheetData>
  <autoFilter ref="A2:K66" xr:uid="{00000000-0001-0000-0000-000000000000}">
    <filterColumn colId="0">
      <filters>
        <filter val="104"/>
        <filter val="106"/>
        <filter val="110"/>
      </filters>
    </filterColumn>
    <sortState xmlns:xlrd2="http://schemas.microsoft.com/office/spreadsheetml/2017/richdata2" ref="A3:K66">
      <sortCondition ref="E2:E66"/>
    </sortState>
  </autoFilter>
  <mergeCells count="1">
    <mergeCell ref="A1:K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workbookViewId="0">
      <selection activeCell="G47" sqref="G47"/>
    </sheetView>
  </sheetViews>
  <sheetFormatPr defaultColWidth="9.140625" defaultRowHeight="16.5"/>
  <cols>
    <col min="1" max="1" width="16" style="1" bestFit="1" customWidth="1"/>
    <col min="2" max="2" width="26" style="1" bestFit="1" customWidth="1"/>
    <col min="3" max="6" width="11.5703125" style="1" bestFit="1" customWidth="1"/>
    <col min="7" max="26" width="15.7109375" style="1" bestFit="1" customWidth="1"/>
    <col min="27" max="27" width="11.5703125" style="1" bestFit="1" customWidth="1"/>
    <col min="28" max="16384" width="9.140625" style="1"/>
  </cols>
  <sheetData>
    <row r="1" spans="1:26">
      <c r="A1" s="1" t="s">
        <v>122</v>
      </c>
      <c r="B1" s="1" t="str">
        <f ca="1">_xll.VIEW("planning:oraclegl-reporting",$B$2,$B$8,$B$3,$B$4,$B$5,$B$9,$B$7,"!","!",$B$6)</f>
        <v>planning:oraclegl-reporting</v>
      </c>
    </row>
    <row r="2" spans="1:26">
      <c r="A2" s="1" t="s">
        <v>123</v>
      </c>
      <c r="B2" s="1" t="s">
        <v>124</v>
      </c>
    </row>
    <row r="3" spans="1:26">
      <c r="A3" s="1" t="s">
        <v>125</v>
      </c>
      <c r="B3" s="1" t="s">
        <v>126</v>
      </c>
    </row>
    <row r="4" spans="1:26">
      <c r="A4" s="1" t="s">
        <v>127</v>
      </c>
      <c r="B4" s="1" t="s">
        <v>128</v>
      </c>
    </row>
    <row r="5" spans="1:26">
      <c r="A5" s="1" t="s">
        <v>129</v>
      </c>
      <c r="B5" s="1" t="str">
        <f ca="1">_xll.SUBNM("planning:currency","","Total Currency")</f>
        <v>Total Currency</v>
      </c>
    </row>
    <row r="6" spans="1:26">
      <c r="A6" s="1" t="s">
        <v>130</v>
      </c>
      <c r="B6" s="1" t="s">
        <v>131</v>
      </c>
    </row>
    <row r="7" spans="1:26">
      <c r="A7" s="1" t="s">
        <v>132</v>
      </c>
      <c r="B7" s="1" t="str">
        <f ca="1">_xll.SUBNM("planning:rcentre","Default","VALT","desc")</f>
        <v>VALT - Total VAAL</v>
      </c>
    </row>
    <row r="8" spans="1:26">
      <c r="A8" s="1" t="s">
        <v>133</v>
      </c>
      <c r="B8" s="1" t="s">
        <v>134</v>
      </c>
    </row>
    <row r="9" spans="1:26">
      <c r="A9" s="1" t="s">
        <v>135</v>
      </c>
      <c r="B9" s="1" t="s">
        <v>136</v>
      </c>
    </row>
    <row r="12" spans="1:26">
      <c r="B12" s="7" t="s">
        <v>137</v>
      </c>
      <c r="C12" s="1" t="s">
        <v>138</v>
      </c>
      <c r="D12" s="1" t="s">
        <v>139</v>
      </c>
      <c r="E12" s="1" t="s">
        <v>140</v>
      </c>
      <c r="F12" s="1" t="s">
        <v>141</v>
      </c>
      <c r="G12" s="1" t="s">
        <v>142</v>
      </c>
      <c r="H12" s="1" t="s">
        <v>143</v>
      </c>
      <c r="I12" s="1" t="s">
        <v>144</v>
      </c>
      <c r="J12" s="1" t="s">
        <v>145</v>
      </c>
      <c r="K12" s="1" t="s">
        <v>146</v>
      </c>
      <c r="L12" s="1" t="s">
        <v>147</v>
      </c>
      <c r="M12" s="1" t="s">
        <v>148</v>
      </c>
      <c r="N12" s="1" t="s">
        <v>149</v>
      </c>
      <c r="O12" s="1" t="s">
        <v>6</v>
      </c>
      <c r="P12" s="1" t="s">
        <v>7</v>
      </c>
      <c r="Q12" s="1" t="s">
        <v>8</v>
      </c>
      <c r="R12" s="1" t="s">
        <v>9</v>
      </c>
      <c r="S12" s="1" t="s">
        <v>10</v>
      </c>
      <c r="T12" s="1" t="s">
        <v>11</v>
      </c>
      <c r="U12" s="1" t="s">
        <v>12</v>
      </c>
      <c r="V12" s="1" t="s">
        <v>13</v>
      </c>
      <c r="W12" s="1" t="s">
        <v>14</v>
      </c>
      <c r="X12" s="1" t="s">
        <v>15</v>
      </c>
      <c r="Y12" s="1" t="s">
        <v>16</v>
      </c>
      <c r="Z12" s="1" t="s">
        <v>17</v>
      </c>
    </row>
    <row r="13" spans="1:26">
      <c r="A13" s="1" t="s">
        <v>150</v>
      </c>
      <c r="B13" s="4">
        <f ca="1">_xll.DBRW($B$1,$B$2,$B$8,$B$3,$B$4,$B$5,$B$9,$B$7,B$12,$A13,$B$6)</f>
        <v>25393</v>
      </c>
      <c r="C13" s="6"/>
      <c r="D13" s="6"/>
      <c r="E13" s="6"/>
      <c r="F13" s="6"/>
      <c r="G13" s="4">
        <f ca="1">_xll.DBRW($B$1,$B$2,$B$8,$B$3,$B$4,$B$5,$B$9,$B$7,G$12,$A13,$B$6)</f>
        <v>2200</v>
      </c>
      <c r="H13" s="4">
        <f ca="1">_xll.DBRW($B$1,$B$2,$B$8,$B$3,$B$4,$B$5,$B$9,$B$7,H$12,$A13,$B$6)</f>
        <v>2138</v>
      </c>
      <c r="I13" s="4">
        <f ca="1">_xll.DBRW($B$1,$B$2,$B$8,$B$3,$B$4,$B$5,$B$9,$B$7,I$12,$A13,$B$6)</f>
        <v>2235</v>
      </c>
      <c r="J13" s="4">
        <f ca="1">_xll.DBRW($B$1,$B$2,$B$8,$B$3,$B$4,$B$5,$B$9,$B$7,J$12,$A13,$B$6)</f>
        <v>2242</v>
      </c>
      <c r="K13" s="4">
        <f ca="1">_xll.DBRW($B$1,$B$2,$B$8,$B$3,$B$4,$B$5,$B$9,$B$7,K$12,$A13,$B$6)</f>
        <v>2159</v>
      </c>
      <c r="L13" s="4">
        <f ca="1">_xll.DBRW($B$1,$B$2,$B$8,$B$3,$B$4,$B$5,$B$9,$B$7,L$12,$A13,$B$6)</f>
        <v>2226</v>
      </c>
      <c r="M13" s="4">
        <f ca="1">_xll.DBRW($B$1,$B$2,$B$8,$B$3,$B$4,$B$5,$B$9,$B$7,M$12,$A13,$B$6)</f>
        <v>2134</v>
      </c>
      <c r="N13" s="4">
        <f ca="1">_xll.DBRW($B$1,$B$2,$B$8,$B$3,$B$4,$B$5,$B$9,$B$7,N$12,$A13,$B$6)</f>
        <v>2210</v>
      </c>
      <c r="O13" s="4">
        <f ca="1">_xll.DBRW($B$1,$B$2,$B$8,$B$3,$B$4,$B$5,$B$9,$B$7,O$12,$A13,$B$6)</f>
        <v>2229</v>
      </c>
      <c r="P13" s="4">
        <f ca="1">_xll.DBRW($B$1,$B$2,$B$8,$B$3,$B$4,$B$5,$B$9,$B$7,P$12,$A13,$B$6)</f>
        <v>2014</v>
      </c>
      <c r="Q13" s="4">
        <f ca="1">_xll.DBRW($B$1,$B$2,$B$8,$B$3,$B$4,$B$5,$B$9,$B$7,Q$12,$A13,$B$6)</f>
        <v>2215</v>
      </c>
      <c r="R13" s="4">
        <f ca="1">_xll.DBRW($B$1,$B$2,$B$8,$B$3,$B$4,$B$5,$B$9,$B$7,R$12,$A13,$B$6)</f>
        <v>2308</v>
      </c>
      <c r="S13" s="4">
        <f ca="1">_xll.DBRW($B$1,$B$2,$B$8,$B$3,$B$4,$B$5,$B$9,$B$7,S$12,$A13,$B$6)</f>
        <v>2382</v>
      </c>
      <c r="T13" s="4">
        <f ca="1">_xll.DBRW($B$1,$B$2,$B$8,$B$3,$B$4,$B$5,$B$9,$B$7,T$12,$A13,$B$6)</f>
        <v>2304</v>
      </c>
      <c r="U13" s="4">
        <f ca="1">_xll.DBRW($B$1,$B$2,$B$8,$B$3,$B$4,$B$5,$B$9,$B$7,U$12,$A13,$B$6)</f>
        <v>2386</v>
      </c>
      <c r="V13" s="4">
        <f ca="1">_xll.DBRW($B$1,$B$2,$B$8,$B$3,$B$4,$B$5,$B$9,$B$7,V$12,$A13,$B$6)</f>
        <v>2380</v>
      </c>
      <c r="W13" s="4">
        <f ca="1">_xll.DBRW($B$1,$B$2,$B$8,$B$3,$B$4,$B$5,$B$9,$B$7,W$12,$A13,$B$6)</f>
        <v>2307</v>
      </c>
      <c r="X13" s="4">
        <f ca="1">_xll.DBRW($B$1,$B$2,$B$8,$B$3,$B$4,$B$5,$B$9,$B$7,X$12,$A13,$B$6)</f>
        <v>2396</v>
      </c>
      <c r="Y13" s="4">
        <f ca="1">_xll.DBRW($B$1,$B$2,$B$8,$B$3,$B$4,$B$5,$B$9,$B$7,Y$12,$A13,$B$6)</f>
        <v>2220</v>
      </c>
      <c r="Z13" s="4">
        <f ca="1">_xll.DBRW($B$1,$B$2,$B$8,$B$3,$B$4,$B$5,$B$9,$B$7,Z$12,$A13,$B$6)</f>
        <v>2341</v>
      </c>
    </row>
    <row r="14" spans="1:26">
      <c r="A14" s="1" t="s">
        <v>151</v>
      </c>
      <c r="B14" s="4">
        <f ca="1">_xll.DBRW($B$1,$B$2,$B$8,$B$3,$B$4,$B$5,$B$9,$B$7,B$12,$A14,$B$6)</f>
        <v>5858096.1233516093</v>
      </c>
      <c r="C14" s="6"/>
      <c r="D14" s="6"/>
      <c r="E14" s="6"/>
      <c r="F14" s="6"/>
      <c r="G14" s="4">
        <f ca="1">_xll.DBRW($B$1,$B$2,$B$8,$B$3,$B$4,$B$5,$B$9,$B$7,G$12,$A14,$B$6)</f>
        <v>511599.11201749154</v>
      </c>
      <c r="H14" s="4">
        <f ca="1">_xll.DBRW($B$1,$B$2,$B$8,$B$3,$B$4,$B$5,$B$9,$B$7,H$12,$A14,$B$6)</f>
        <v>541418.20058831049</v>
      </c>
      <c r="I14" s="4">
        <f ca="1">_xll.DBRW($B$1,$B$2,$B$8,$B$3,$B$4,$B$5,$B$9,$B$7,I$12,$A14,$B$6)</f>
        <v>556465.44920224987</v>
      </c>
      <c r="J14" s="4">
        <f ca="1">_xll.DBRW($B$1,$B$2,$B$8,$B$3,$B$4,$B$5,$B$9,$B$7,J$12,$A14,$B$6)</f>
        <v>559047.09384656895</v>
      </c>
      <c r="K14" s="4">
        <f ca="1">_xll.DBRW($B$1,$B$2,$B$8,$B$3,$B$4,$B$5,$B$9,$B$7,K$12,$A14,$B$6)</f>
        <v>500102.54037642683</v>
      </c>
      <c r="L14" s="4">
        <f ca="1">_xll.DBRW($B$1,$B$2,$B$8,$B$3,$B$4,$B$5,$B$9,$B$7,L$12,$A14,$B$6)</f>
        <v>512763.74423291162</v>
      </c>
      <c r="M14" s="4">
        <f ca="1">_xll.DBRW($B$1,$B$2,$B$8,$B$3,$B$4,$B$5,$B$9,$B$7,M$12,$A14,$B$6)</f>
        <v>490089.02554126678</v>
      </c>
      <c r="N14" s="4">
        <f ca="1">_xll.DBRW($B$1,$B$2,$B$8,$B$3,$B$4,$B$5,$B$9,$B$7,N$12,$A14,$B$6)</f>
        <v>525075.95754638291</v>
      </c>
      <c r="O14" s="4">
        <f ca="1">_xll.DBRW($B$1,$B$2,$B$8,$B$3,$B$4,$B$5,$B$9,$B$7,O$12,$A14,$B$6)</f>
        <v>514719.4164637067</v>
      </c>
      <c r="P14" s="4">
        <f ca="1">_xll.DBRW($B$1,$B$2,$B$8,$B$3,$B$4,$B$5,$B$9,$B$7,P$12,$A14,$B$6)</f>
        <v>466331.07578971318</v>
      </c>
      <c r="Q14" s="4">
        <f ca="1">_xll.DBRW($B$1,$B$2,$B$8,$B$3,$B$4,$B$5,$B$9,$B$7,Q$12,$A14,$B$6)</f>
        <v>529829.20091540855</v>
      </c>
      <c r="R14" s="4">
        <f ca="1">_xll.DBRW($B$1,$B$2,$B$8,$B$3,$B$4,$B$5,$B$9,$B$7,R$12,$A14,$B$6)</f>
        <v>566651.91757680161</v>
      </c>
      <c r="S14" s="4">
        <f ca="1">_xll.DBRW($B$1,$B$2,$B$8,$B$3,$B$4,$B$5,$B$9,$B$7,S$12,$A14,$B$6)</f>
        <v>593948.01202354976</v>
      </c>
      <c r="T14" s="4">
        <f ca="1">_xll.DBRW($B$1,$B$2,$B$8,$B$3,$B$4,$B$5,$B$9,$B$7,T$12,$A14,$B$6)</f>
        <v>617134.71975931711</v>
      </c>
      <c r="U14" s="4">
        <f ca="1">_xll.DBRW($B$1,$B$2,$B$8,$B$3,$B$4,$B$5,$B$9,$B$7,U$12,$A14,$B$6)</f>
        <v>646725.08975303138</v>
      </c>
      <c r="V14" s="4">
        <f ca="1">_xll.DBRW($B$1,$B$2,$B$8,$B$3,$B$4,$B$5,$B$9,$B$7,V$12,$A14,$B$6)</f>
        <v>632369.37240197149</v>
      </c>
      <c r="W14" s="4">
        <f ca="1">_xll.DBRW($B$1,$B$2,$B$8,$B$3,$B$4,$B$5,$B$9,$B$7,W$12,$A14,$B$6)</f>
        <v>562127.05676477298</v>
      </c>
      <c r="X14" s="4">
        <f ca="1">_xll.DBRW($B$1,$B$2,$B$8,$B$3,$B$4,$B$5,$B$9,$B$7,X$12,$A14,$B$6)</f>
        <v>580088.39926906908</v>
      </c>
      <c r="Y14" s="4">
        <f ca="1">_xll.DBRW($B$1,$B$2,$B$8,$B$3,$B$4,$B$5,$B$9,$B$7,Y$12,$A14,$B$6)</f>
        <v>531864.40430607554</v>
      </c>
      <c r="Z14" s="4">
        <f ca="1">_xll.DBRW($B$1,$B$2,$B$8,$B$3,$B$4,$B$5,$B$9,$B$7,Z$12,$A14,$B$6)</f>
        <v>569863.97513850883</v>
      </c>
    </row>
    <row r="15" spans="1:26">
      <c r="A15" s="1" t="s">
        <v>152</v>
      </c>
      <c r="B15" s="4">
        <f ca="1">_xll.DBRW($B$1,$B$2,$B$8,$B$3,$B$4,$B$5,$B$9,$B$7,B$12,$A15,$B$6)</f>
        <v>50525608946</v>
      </c>
      <c r="C15" s="6"/>
      <c r="D15" s="6"/>
      <c r="E15" s="6"/>
      <c r="F15" s="6"/>
      <c r="G15" s="4">
        <f ca="1">_xll.DBRW($B$1,$B$2,$B$8,$B$3,$B$4,$B$5,$B$9,$B$7,G$12,$A15,$B$6)</f>
        <v>4364486582</v>
      </c>
      <c r="H15" s="4">
        <f ca="1">_xll.DBRW($B$1,$B$2,$B$8,$B$3,$B$4,$B$5,$B$9,$B$7,H$12,$A15,$B$6)</f>
        <v>4255812880</v>
      </c>
      <c r="I15" s="4">
        <f ca="1">_xll.DBRW($B$1,$B$2,$B$8,$B$3,$B$4,$B$5,$B$9,$B$7,I$12,$A15,$B$6)</f>
        <v>4464448238</v>
      </c>
      <c r="J15" s="4">
        <f ca="1">_xll.DBRW($B$1,$B$2,$B$8,$B$3,$B$4,$B$5,$B$9,$B$7,J$12,$A15,$B$6)</f>
        <v>4480306246</v>
      </c>
      <c r="K15" s="4">
        <f ca="1">_xll.DBRW($B$1,$B$2,$B$8,$B$3,$B$4,$B$5,$B$9,$B$7,K$12,$A15,$B$6)</f>
        <v>4288996330</v>
      </c>
      <c r="L15" s="4">
        <f ca="1">_xll.DBRW($B$1,$B$2,$B$8,$B$3,$B$4,$B$5,$B$9,$B$7,L$12,$A15,$B$6)</f>
        <v>4430793712</v>
      </c>
      <c r="M15" s="4">
        <f ca="1">_xll.DBRW($B$1,$B$2,$B$8,$B$3,$B$4,$B$5,$B$9,$B$7,M$12,$A15,$B$6)</f>
        <v>4273705096</v>
      </c>
      <c r="N15" s="4">
        <f ca="1">_xll.DBRW($B$1,$B$2,$B$8,$B$3,$B$4,$B$5,$B$9,$B$7,N$12,$A15,$B$6)</f>
        <v>4412079246</v>
      </c>
      <c r="O15" s="4">
        <f ca="1">_xll.DBRW($B$1,$B$2,$B$8,$B$3,$B$4,$B$5,$B$9,$B$7,O$12,$A15,$B$6)</f>
        <v>4460380554</v>
      </c>
      <c r="P15" s="4">
        <f ca="1">_xll.DBRW($B$1,$B$2,$B$8,$B$3,$B$4,$B$5,$B$9,$B$7,P$12,$A15,$B$6)</f>
        <v>4028017928</v>
      </c>
      <c r="Q15" s="4">
        <f ca="1">_xll.DBRW($B$1,$B$2,$B$8,$B$3,$B$4,$B$5,$B$9,$B$7,Q$12,$A15,$B$6)</f>
        <v>4431928134</v>
      </c>
      <c r="R15" s="4">
        <f ca="1">_xll.DBRW($B$1,$B$2,$B$8,$B$3,$B$4,$B$5,$B$9,$B$7,R$12,$A15,$B$6)</f>
        <v>4624376609</v>
      </c>
      <c r="S15" s="4">
        <f ca="1">_xll.DBRW($B$1,$B$2,$B$8,$B$3,$B$4,$B$5,$B$9,$B$7,S$12,$A15,$B$6)</f>
        <v>4770631586</v>
      </c>
      <c r="T15" s="4">
        <f ca="1">_xll.DBRW($B$1,$B$2,$B$8,$B$3,$B$4,$B$5,$B$9,$B$7,T$12,$A15,$B$6)</f>
        <v>4608331922</v>
      </c>
      <c r="U15" s="4">
        <f ca="1">_xll.DBRW($B$1,$B$2,$B$8,$B$3,$B$4,$B$5,$B$9,$B$7,U$12,$A15,$B$6)</f>
        <v>4780878783</v>
      </c>
      <c r="V15" s="4">
        <f ca="1">_xll.DBRW($B$1,$B$2,$B$8,$B$3,$B$4,$B$5,$B$9,$B$7,V$12,$A15,$B$6)</f>
        <v>4764655586</v>
      </c>
      <c r="W15" s="4">
        <f ca="1">_xll.DBRW($B$1,$B$2,$B$8,$B$3,$B$4,$B$5,$B$9,$B$7,W$12,$A15,$B$6)</f>
        <v>4616786419</v>
      </c>
      <c r="X15" s="4">
        <f ca="1">_xll.DBRW($B$1,$B$2,$B$8,$B$3,$B$4,$B$5,$B$9,$B$7,X$12,$A15,$B$6)</f>
        <v>4794858683</v>
      </c>
      <c r="Y15" s="4">
        <f ca="1">_xll.DBRW($B$1,$B$2,$B$8,$B$3,$B$4,$B$5,$B$9,$B$7,Y$12,$A15,$B$6)</f>
        <v>4466072006</v>
      </c>
      <c r="Z15" s="4">
        <f ca="1">_xll.DBRW($B$1,$B$2,$B$8,$B$3,$B$4,$B$5,$B$9,$B$7,Z$12,$A15,$B$6)</f>
        <v>4724067505</v>
      </c>
    </row>
    <row r="16" spans="1:26">
      <c r="A16" s="1" t="s">
        <v>153</v>
      </c>
      <c r="B16" s="4">
        <f ca="1">_xll.DBRW($B$1,$B$2,$B$8,$B$3,$B$4,$B$5,$B$9,$B$7,B$12,$A16,$B$6)</f>
        <v>39966431599.42099</v>
      </c>
      <c r="C16" s="6"/>
      <c r="D16" s="6"/>
      <c r="E16" s="6"/>
      <c r="F16" s="6"/>
      <c r="G16" s="4">
        <f ca="1">_xll.DBRW($B$1,$B$2,$B$8,$B$3,$B$4,$B$5,$B$9,$B$7,G$12,$A16,$B$6)</f>
        <v>3478707790.9923863</v>
      </c>
      <c r="H16" s="4">
        <f ca="1">_xll.DBRW($B$1,$B$2,$B$8,$B$3,$B$4,$B$5,$B$9,$B$7,H$12,$A16,$B$6)</f>
        <v>3681251064.6592937</v>
      </c>
      <c r="I16" s="4">
        <f ca="1">_xll.DBRW($B$1,$B$2,$B$8,$B$3,$B$4,$B$5,$B$9,$B$7,I$12,$A16,$B$6)</f>
        <v>3791426294.1135025</v>
      </c>
      <c r="J16" s="4">
        <f ca="1">_xll.DBRW($B$1,$B$2,$B$8,$B$3,$B$4,$B$5,$B$9,$B$7,J$12,$A16,$B$6)</f>
        <v>3781632787.7957397</v>
      </c>
      <c r="K16" s="4">
        <f ca="1">_xll.DBRW($B$1,$B$2,$B$8,$B$3,$B$4,$B$5,$B$9,$B$7,K$12,$A16,$B$6)</f>
        <v>3400795101.4582834</v>
      </c>
      <c r="L16" s="4">
        <f ca="1">_xll.DBRW($B$1,$B$2,$B$8,$B$3,$B$4,$B$5,$B$9,$B$7,L$12,$A16,$B$6)</f>
        <v>3458843923.955905</v>
      </c>
      <c r="M16" s="4">
        <f ca="1">_xll.DBRW($B$1,$B$2,$B$8,$B$3,$B$4,$B$5,$B$9,$B$7,M$12,$A16,$B$6)</f>
        <v>3308590637.8348937</v>
      </c>
      <c r="N16" s="4">
        <f ca="1">_xll.DBRW($B$1,$B$2,$B$8,$B$3,$B$4,$B$5,$B$9,$B$7,N$12,$A16,$B$6)</f>
        <v>3529379007.6109867</v>
      </c>
      <c r="O16" s="4">
        <f ca="1">_xll.DBRW($B$1,$B$2,$B$8,$B$3,$B$4,$B$5,$B$9,$B$7,O$12,$A16,$B$6)</f>
        <v>3515859515.8908348</v>
      </c>
      <c r="P16" s="4">
        <f ca="1">_xll.DBRW($B$1,$B$2,$B$8,$B$3,$B$4,$B$5,$B$9,$B$7,P$12,$A16,$B$6)</f>
        <v>3167698107.4445424</v>
      </c>
      <c r="Q16" s="4">
        <f ca="1">_xll.DBRW($B$1,$B$2,$B$8,$B$3,$B$4,$B$5,$B$9,$B$7,Q$12,$A16,$B$6)</f>
        <v>3585247112.0557985</v>
      </c>
      <c r="R16" s="4">
        <f ca="1">_xll.DBRW($B$1,$B$2,$B$8,$B$3,$B$4,$B$5,$B$9,$B$7,R$12,$A16,$B$6)</f>
        <v>3825305508.5353446</v>
      </c>
      <c r="S16" s="4">
        <f ca="1">_xll.DBRW($B$1,$B$2,$B$8,$B$3,$B$4,$B$5,$B$9,$B$7,S$12,$A16,$B$6)</f>
        <v>4033393791.6252933</v>
      </c>
      <c r="T16" s="4">
        <f ca="1">_xll.DBRW($B$1,$B$2,$B$8,$B$3,$B$4,$B$5,$B$9,$B$7,T$12,$A16,$B$6)</f>
        <v>4212527697.4487667</v>
      </c>
      <c r="U16" s="4">
        <f ca="1">_xll.DBRW($B$1,$B$2,$B$8,$B$3,$B$4,$B$5,$B$9,$B$7,U$12,$A16,$B$6)</f>
        <v>4411769013.929678</v>
      </c>
      <c r="V16" s="4">
        <f ca="1">_xll.DBRW($B$1,$B$2,$B$8,$B$3,$B$4,$B$5,$B$9,$B$7,V$12,$A16,$B$6)</f>
        <v>4282188063.3567328</v>
      </c>
      <c r="W16" s="4">
        <f ca="1">_xll.DBRW($B$1,$B$2,$B$8,$B$3,$B$4,$B$5,$B$9,$B$7,W$12,$A16,$B$6)</f>
        <v>3847545996.352519</v>
      </c>
      <c r="X16" s="4">
        <f ca="1">_xll.DBRW($B$1,$B$2,$B$8,$B$3,$B$4,$B$5,$B$9,$B$7,X$12,$A16,$B$6)</f>
        <v>3951691587.1827736</v>
      </c>
      <c r="Y16" s="4">
        <f ca="1">_xll.DBRW($B$1,$B$2,$B$8,$B$3,$B$4,$B$5,$B$9,$B$7,Y$12,$A16,$B$6)</f>
        <v>3627603969.2174139</v>
      </c>
      <c r="Z16" s="4">
        <f ca="1">_xll.DBRW($B$1,$B$2,$B$8,$B$3,$B$4,$B$5,$B$9,$B$7,Z$12,$A16,$B$6)</f>
        <v>3894987825.3162436</v>
      </c>
    </row>
    <row r="17" spans="1:26">
      <c r="A17" s="1" t="s">
        <v>154</v>
      </c>
      <c r="B17" s="10">
        <f ca="1">B16/B15</f>
        <v>0.79101335804058714</v>
      </c>
      <c r="C17" s="10"/>
      <c r="D17" s="10"/>
      <c r="E17" s="10"/>
      <c r="F17" s="10"/>
      <c r="G17" s="10">
        <f t="shared" ref="G17:Z17" ca="1" si="0">G16/G15</f>
        <v>0.79704857046399469</v>
      </c>
      <c r="H17" s="10">
        <f t="shared" ca="1" si="0"/>
        <v>0.86499363775112537</v>
      </c>
      <c r="I17" s="10">
        <f t="shared" ca="1" si="0"/>
        <v>0.84924857272216903</v>
      </c>
      <c r="J17" s="10">
        <f t="shared" ca="1" si="0"/>
        <v>0.84405676312237954</v>
      </c>
      <c r="K17" s="10">
        <f t="shared" ca="1" si="0"/>
        <v>0.79291163708183532</v>
      </c>
      <c r="L17" s="10">
        <f t="shared" ca="1" si="0"/>
        <v>0.78063754459799251</v>
      </c>
      <c r="M17" s="10">
        <f t="shared" ca="1" si="0"/>
        <v>0.77417382891758002</v>
      </c>
      <c r="N17" s="10">
        <f t="shared" ca="1" si="0"/>
        <v>0.7999355430459979</v>
      </c>
      <c r="O17" s="10">
        <f t="shared" ca="1" si="0"/>
        <v>0.7882420509473943</v>
      </c>
      <c r="P17" s="10">
        <f t="shared" ca="1" si="0"/>
        <v>0.78641608951759923</v>
      </c>
      <c r="Q17" s="10">
        <f t="shared" ca="1" si="0"/>
        <v>0.80895876549784296</v>
      </c>
      <c r="R17" s="10">
        <f t="shared" ca="1" si="0"/>
        <v>0.82720457955143689</v>
      </c>
      <c r="S17" s="10">
        <f t="shared" ca="1" si="0"/>
        <v>0.84546327229748341</v>
      </c>
      <c r="T17" s="10">
        <f t="shared" ca="1" si="0"/>
        <v>0.91411117270835485</v>
      </c>
      <c r="U17" s="10">
        <f t="shared" ca="1" si="0"/>
        <v>0.92279457693367706</v>
      </c>
      <c r="V17" s="10">
        <f t="shared" ca="1" si="0"/>
        <v>0.89874031523686571</v>
      </c>
      <c r="W17" s="10">
        <f t="shared" ca="1" si="0"/>
        <v>0.83338184771083712</v>
      </c>
      <c r="X17" s="10">
        <f t="shared" ca="1" si="0"/>
        <v>0.82415183604750542</v>
      </c>
      <c r="Y17" s="10">
        <f t="shared" ca="1" si="0"/>
        <v>0.81225828073167294</v>
      </c>
      <c r="Z17" s="10">
        <f t="shared" ca="1" si="0"/>
        <v>0.82449876535289768</v>
      </c>
    </row>
    <row r="20" spans="1:26">
      <c r="A20" s="1" t="s">
        <v>155</v>
      </c>
      <c r="B20" s="4">
        <f ca="1">SUM(C20:N20)</f>
        <v>17544</v>
      </c>
      <c r="C20" s="6"/>
      <c r="D20" s="6"/>
      <c r="E20" s="6"/>
      <c r="F20" s="6"/>
      <c r="G20" s="4">
        <f ca="1">SUM('Sectors (live)'!L:L)</f>
        <v>2200</v>
      </c>
      <c r="H20" s="4">
        <f ca="1">SUM('Sectors (live)'!M:M)</f>
        <v>2138</v>
      </c>
      <c r="I20" s="4">
        <f ca="1">SUM('Sectors (live)'!N:N)</f>
        <v>2235</v>
      </c>
      <c r="J20" s="4">
        <f ca="1">SUM('Sectors (live)'!O:O)</f>
        <v>2242</v>
      </c>
      <c r="K20" s="4">
        <f ca="1">SUM('Sectors (live)'!P:P)</f>
        <v>2159</v>
      </c>
      <c r="L20" s="4">
        <f ca="1">SUM('Sectors (live)'!Q:Q)</f>
        <v>2226</v>
      </c>
      <c r="M20" s="4">
        <f ca="1">SUM('Sectors (live)'!R:R)</f>
        <v>2134</v>
      </c>
      <c r="N20" s="4">
        <f ca="1">SUM('Sectors (live)'!S:S)</f>
        <v>2210</v>
      </c>
      <c r="O20" s="4">
        <f ca="1">SUM('Sectors (live)'!T:T)</f>
        <v>2229</v>
      </c>
      <c r="P20" s="4">
        <f ca="1">SUM('Sectors (live)'!U:U)</f>
        <v>2014</v>
      </c>
      <c r="Q20" s="4">
        <f ca="1">SUM('Sectors (live)'!V:V)</f>
        <v>2215</v>
      </c>
      <c r="R20" s="4">
        <f ca="1">SUM('Sectors (live)'!W:W)</f>
        <v>2308</v>
      </c>
      <c r="S20" s="4">
        <f ca="1">SUM('Sectors (live)'!X:X)</f>
        <v>2382</v>
      </c>
      <c r="T20" s="4">
        <f ca="1">SUM('Sectors (live)'!Y:Y)</f>
        <v>2304</v>
      </c>
      <c r="U20" s="4">
        <f ca="1">SUM('Sectors (live)'!Z:Z)</f>
        <v>2386</v>
      </c>
      <c r="V20" s="4">
        <f ca="1">SUM('Sectors (live)'!AA:AA)</f>
        <v>2380</v>
      </c>
      <c r="W20" s="4">
        <f ca="1">SUM('Sectors (live)'!AB:AB)</f>
        <v>2307</v>
      </c>
      <c r="X20" s="4">
        <f ca="1">SUM('Sectors (live)'!AC:AC)</f>
        <v>2396</v>
      </c>
      <c r="Y20" s="4">
        <f ca="1">SUM('Sectors (live)'!AD:AD)</f>
        <v>2220</v>
      </c>
      <c r="Z20" s="4">
        <f ca="1">SUM('Sectors (live)'!AE:AE)</f>
        <v>2341</v>
      </c>
    </row>
    <row r="21" spans="1:26">
      <c r="A21" s="1" t="s">
        <v>156</v>
      </c>
      <c r="B21" s="4">
        <f ca="1">SUM(C21:N21)</f>
        <v>4196561.1233516093</v>
      </c>
      <c r="C21" s="6"/>
      <c r="D21" s="6"/>
      <c r="E21" s="6"/>
      <c r="F21" s="6"/>
      <c r="G21" s="4">
        <f ca="1">SUM('Passengers (live)'!L:L)</f>
        <v>511599.11201749166</v>
      </c>
      <c r="H21" s="4">
        <f ca="1">SUM('Passengers (live)'!M:M)</f>
        <v>541418.20058831072</v>
      </c>
      <c r="I21" s="4">
        <f ca="1">SUM('Passengers (live)'!N:N)</f>
        <v>556465.44920224976</v>
      </c>
      <c r="J21" s="4">
        <f ca="1">SUM('Passengers (live)'!O:O)</f>
        <v>559047.09384656872</v>
      </c>
      <c r="K21" s="4">
        <f ca="1">SUM('Passengers (live)'!P:P)</f>
        <v>500102.54037642729</v>
      </c>
      <c r="L21" s="4">
        <f ca="1">SUM('Passengers (live)'!Q:Q)</f>
        <v>512763.7442329115</v>
      </c>
      <c r="M21" s="4">
        <f ca="1">SUM('Passengers (live)'!R:R)</f>
        <v>490089.02554126648</v>
      </c>
      <c r="N21" s="4">
        <f ca="1">SUM('Passengers (live)'!S:S)</f>
        <v>525075.95754638279</v>
      </c>
      <c r="O21" s="4">
        <f ca="1">SUM('Passengers (live)'!T:T)</f>
        <v>514719.41646370571</v>
      </c>
      <c r="P21" s="4">
        <f ca="1">SUM('Passengers (live)'!U:U)</f>
        <v>466331.07578971365</v>
      </c>
      <c r="Q21" s="4">
        <f ca="1">SUM('Passengers (live)'!V:V)</f>
        <v>529829.20091540844</v>
      </c>
      <c r="R21" s="4">
        <f ca="1">SUM('Passengers (live)'!W:W)</f>
        <v>566651.91757680196</v>
      </c>
      <c r="S21" s="4">
        <f ca="1">SUM('Passengers (live)'!X:X)</f>
        <v>593948.01202355023</v>
      </c>
      <c r="T21" s="4">
        <f ca="1">SUM('Passengers (live)'!Y:Y)</f>
        <v>617134.71975931665</v>
      </c>
      <c r="U21" s="4">
        <f ca="1">SUM('Passengers (live)'!Z:Z)</f>
        <v>646725.0897530315</v>
      </c>
      <c r="V21" s="4">
        <f ca="1">SUM('Passengers (live)'!AA:AA)</f>
        <v>632369.37240197253</v>
      </c>
      <c r="W21" s="4">
        <f ca="1">SUM('Passengers (live)'!AB:AB)</f>
        <v>562127.05676477286</v>
      </c>
      <c r="X21" s="4">
        <f ca="1">SUM('Passengers (live)'!AC:AC)</f>
        <v>580088.39926906954</v>
      </c>
      <c r="Y21" s="4">
        <f ca="1">SUM('Passengers (live)'!AD:AD)</f>
        <v>531864.40430607554</v>
      </c>
      <c r="Z21" s="4">
        <f ca="1">SUM('Passengers (live)'!AE:AE)</f>
        <v>569863.97513850965</v>
      </c>
    </row>
    <row r="22" spans="1:26">
      <c r="A22" s="1" t="s">
        <v>152</v>
      </c>
      <c r="B22" s="4">
        <f t="shared" ref="B22:B23" ca="1" si="1">SUM(C22:N22)</f>
        <v>34970628330</v>
      </c>
      <c r="C22" s="6"/>
      <c r="D22" s="6"/>
      <c r="E22" s="6"/>
      <c r="F22" s="6"/>
      <c r="G22" s="4">
        <f ca="1">SUM('ASK (live)'!L:L)</f>
        <v>4364486582</v>
      </c>
      <c r="H22" s="4">
        <f ca="1">SUM('ASK (live)'!M:M)</f>
        <v>4255812880</v>
      </c>
      <c r="I22" s="4">
        <f ca="1">SUM('ASK (live)'!N:N)</f>
        <v>4464448238</v>
      </c>
      <c r="J22" s="4">
        <f ca="1">SUM('ASK (live)'!O:O)</f>
        <v>4480306246</v>
      </c>
      <c r="K22" s="4">
        <f ca="1">SUM('ASK (live)'!P:P)</f>
        <v>4288996330</v>
      </c>
      <c r="L22" s="4">
        <f ca="1">SUM('ASK (live)'!Q:Q)</f>
        <v>4430793712</v>
      </c>
      <c r="M22" s="4">
        <f ca="1">SUM('ASK (live)'!R:R)</f>
        <v>4273705096</v>
      </c>
      <c r="N22" s="4">
        <f ca="1">SUM('ASK (live)'!S:S)</f>
        <v>4412079246</v>
      </c>
      <c r="O22" s="4">
        <f ca="1">SUM('ASK (live)'!T:T)</f>
        <v>4460380554</v>
      </c>
      <c r="P22" s="4">
        <f ca="1">SUM('ASK (live)'!U:U)</f>
        <v>4028017928</v>
      </c>
      <c r="Q22" s="4">
        <f ca="1">SUM('ASK (live)'!V:V)</f>
        <v>4431928134</v>
      </c>
      <c r="R22" s="4">
        <f ca="1">SUM('ASK (live)'!W:W)</f>
        <v>4624376609</v>
      </c>
      <c r="S22" s="4">
        <f ca="1">SUM('ASK (live)'!X:X)</f>
        <v>4770631586</v>
      </c>
      <c r="T22" s="4">
        <f ca="1">SUM('ASK (live)'!Y:Y)</f>
        <v>4608331922</v>
      </c>
      <c r="U22" s="4">
        <f ca="1">SUM('ASK (live)'!Z:Z)</f>
        <v>4780878783</v>
      </c>
      <c r="V22" s="4">
        <f ca="1">SUM('ASK (live)'!AA:AA)</f>
        <v>4764655586</v>
      </c>
      <c r="W22" s="4">
        <f ca="1">SUM('ASK (live)'!AB:AB)</f>
        <v>4616786419</v>
      </c>
      <c r="X22" s="4">
        <f ca="1">SUM('ASK (live)'!AC:AC)</f>
        <v>4794858683</v>
      </c>
      <c r="Y22" s="4">
        <f ca="1">SUM('ASK (live)'!AD:AD)</f>
        <v>4466072006</v>
      </c>
      <c r="Z22" s="4">
        <f ca="1">SUM('ASK (live)'!AE:AE)</f>
        <v>4724067505</v>
      </c>
    </row>
    <row r="23" spans="1:26" ht="17.25" thickBot="1">
      <c r="A23" s="1" t="s">
        <v>153</v>
      </c>
      <c r="B23" s="4">
        <f t="shared" ca="1" si="1"/>
        <v>28430626608.42099</v>
      </c>
      <c r="C23" s="6"/>
      <c r="D23" s="6"/>
      <c r="E23" s="6"/>
      <c r="F23" s="6"/>
      <c r="G23" s="4">
        <f ca="1">SUM('RPK (live)'!L:L)</f>
        <v>3478707790.9923863</v>
      </c>
      <c r="H23" s="4">
        <f ca="1">SUM('RPK (live)'!M:M)</f>
        <v>3681251064.6592956</v>
      </c>
      <c r="I23" s="4">
        <f ca="1">SUM('RPK (live)'!N:N)</f>
        <v>3791426294.1135011</v>
      </c>
      <c r="J23" s="4">
        <f ca="1">SUM('RPK (live)'!O:O)</f>
        <v>3781632787.7957392</v>
      </c>
      <c r="K23" s="4">
        <f ca="1">SUM('RPK (live)'!P:P)</f>
        <v>3400795101.4582829</v>
      </c>
      <c r="L23" s="4">
        <f ca="1">SUM('RPK (live)'!Q:Q)</f>
        <v>3458843923.9559054</v>
      </c>
      <c r="M23" s="4">
        <f ca="1">SUM('RPK (live)'!R:R)</f>
        <v>3308590637.8348923</v>
      </c>
      <c r="N23" s="4">
        <f ca="1">SUM('RPK (live)'!S:S)</f>
        <v>3529379007.6109896</v>
      </c>
      <c r="O23" s="4">
        <f ca="1">SUM('RPK (live)'!T:T)</f>
        <v>3515859515.8908386</v>
      </c>
      <c r="P23" s="4">
        <f ca="1">SUM('RPK (live)'!U:U)</f>
        <v>3167698107.4445372</v>
      </c>
      <c r="Q23" s="4">
        <f ca="1">SUM('RPK (live)'!V:V)</f>
        <v>3585247112.0557919</v>
      </c>
      <c r="R23" s="4">
        <f ca="1">SUM('RPK (live)'!W:W)</f>
        <v>3825305508.535346</v>
      </c>
      <c r="S23" s="4">
        <f ca="1">SUM('RPK (live)'!X:X)</f>
        <v>4033393791.6252861</v>
      </c>
      <c r="T23" s="4">
        <f ca="1">SUM('RPK (live)'!Y:Y)</f>
        <v>4212527697.4487662</v>
      </c>
      <c r="U23" s="4">
        <f ca="1">SUM('RPK (live)'!Z:Z)</f>
        <v>4411769013.9296799</v>
      </c>
      <c r="V23" s="4">
        <f ca="1">SUM('RPK (live)'!AA:AA)</f>
        <v>4282188063.3567371</v>
      </c>
      <c r="W23" s="4">
        <f ca="1">SUM('RPK (live)'!AB:AB)</f>
        <v>3847545996.3525286</v>
      </c>
      <c r="X23" s="4">
        <f ca="1">SUM('RPK (live)'!AC:AC)</f>
        <v>3951691587.1827707</v>
      </c>
      <c r="Y23" s="4">
        <f ca="1">SUM('RPK (live)'!AD:AD)</f>
        <v>3627603969.2174163</v>
      </c>
      <c r="Z23" s="4">
        <f ca="1">SUM('RPK (live)'!AE:AE)</f>
        <v>3894987825.3162403</v>
      </c>
    </row>
    <row r="24" spans="1:26" ht="18" thickTop="1" thickBot="1">
      <c r="B24" s="8">
        <f t="shared" ref="B24:N24" ca="1" si="2">B13-B20</f>
        <v>7849</v>
      </c>
      <c r="C24" s="9"/>
      <c r="D24" s="9"/>
      <c r="E24" s="9"/>
      <c r="F24" s="9"/>
      <c r="G24" s="8">
        <f t="shared" ca="1" si="2"/>
        <v>0</v>
      </c>
      <c r="H24" s="8">
        <f t="shared" ca="1" si="2"/>
        <v>0</v>
      </c>
      <c r="I24" s="8">
        <f t="shared" ca="1" si="2"/>
        <v>0</v>
      </c>
      <c r="J24" s="8">
        <f t="shared" ca="1" si="2"/>
        <v>0</v>
      </c>
      <c r="K24" s="8">
        <f t="shared" ca="1" si="2"/>
        <v>0</v>
      </c>
      <c r="L24" s="8">
        <f t="shared" ca="1" si="2"/>
        <v>0</v>
      </c>
      <c r="M24" s="8">
        <f t="shared" ca="1" si="2"/>
        <v>0</v>
      </c>
      <c r="N24" s="8">
        <f t="shared" ca="1" si="2"/>
        <v>0</v>
      </c>
      <c r="O24" s="8">
        <f t="shared" ref="O24:Z24" ca="1" si="3">O13-O20</f>
        <v>0</v>
      </c>
      <c r="P24" s="8">
        <f t="shared" ca="1" si="3"/>
        <v>0</v>
      </c>
      <c r="Q24" s="8">
        <f t="shared" ca="1" si="3"/>
        <v>0</v>
      </c>
      <c r="R24" s="8">
        <f t="shared" ca="1" si="3"/>
        <v>0</v>
      </c>
      <c r="S24" s="8">
        <f t="shared" ca="1" si="3"/>
        <v>0</v>
      </c>
      <c r="T24" s="8">
        <f t="shared" ca="1" si="3"/>
        <v>0</v>
      </c>
      <c r="U24" s="8">
        <f t="shared" ca="1" si="3"/>
        <v>0</v>
      </c>
      <c r="V24" s="8">
        <f t="shared" ca="1" si="3"/>
        <v>0</v>
      </c>
      <c r="W24" s="8">
        <f t="shared" ca="1" si="3"/>
        <v>0</v>
      </c>
      <c r="X24" s="8">
        <f t="shared" ca="1" si="3"/>
        <v>0</v>
      </c>
      <c r="Y24" s="8">
        <f t="shared" ca="1" si="3"/>
        <v>0</v>
      </c>
      <c r="Z24" s="8">
        <f t="shared" ca="1" si="3"/>
        <v>0</v>
      </c>
    </row>
    <row r="25" spans="1:26" ht="18" thickTop="1" thickBot="1">
      <c r="B25" s="8">
        <f t="shared" ref="B25:N25" ca="1" si="4">B14-B21</f>
        <v>1661535</v>
      </c>
      <c r="C25" s="9"/>
      <c r="D25" s="9"/>
      <c r="E25" s="9"/>
      <c r="F25" s="9"/>
      <c r="G25" s="8">
        <f t="shared" ca="1" si="4"/>
        <v>0</v>
      </c>
      <c r="H25" s="8">
        <f t="shared" ca="1" si="4"/>
        <v>0</v>
      </c>
      <c r="I25" s="8">
        <f t="shared" ca="1" si="4"/>
        <v>0</v>
      </c>
      <c r="J25" s="8">
        <f t="shared" ca="1" si="4"/>
        <v>0</v>
      </c>
      <c r="K25" s="8">
        <f t="shared" ca="1" si="4"/>
        <v>-4.6566128730773926E-10</v>
      </c>
      <c r="L25" s="8">
        <f t="shared" ca="1" si="4"/>
        <v>0</v>
      </c>
      <c r="M25" s="8">
        <f t="shared" ca="1" si="4"/>
        <v>0</v>
      </c>
      <c r="N25" s="8">
        <f t="shared" ca="1" si="4"/>
        <v>0</v>
      </c>
      <c r="O25" s="8">
        <f t="shared" ref="O25:Z25" ca="1" si="5">O14-O21</f>
        <v>9.8953023552894592E-10</v>
      </c>
      <c r="P25" s="8">
        <f t="shared" ca="1" si="5"/>
        <v>-4.6566128730773926E-10</v>
      </c>
      <c r="Q25" s="8">
        <f t="shared" ca="1" si="5"/>
        <v>0</v>
      </c>
      <c r="R25" s="8">
        <f t="shared" ca="1" si="5"/>
        <v>0</v>
      </c>
      <c r="S25" s="8">
        <f t="shared" ca="1" si="5"/>
        <v>0</v>
      </c>
      <c r="T25" s="8">
        <f t="shared" ca="1" si="5"/>
        <v>0</v>
      </c>
      <c r="U25" s="8">
        <f t="shared" ca="1" si="5"/>
        <v>0</v>
      </c>
      <c r="V25" s="8">
        <f t="shared" ca="1" si="5"/>
        <v>-1.0477378964424133E-9</v>
      </c>
      <c r="W25" s="8">
        <f t="shared" ca="1" si="5"/>
        <v>0</v>
      </c>
      <c r="X25" s="8">
        <f t="shared" ca="1" si="5"/>
        <v>0</v>
      </c>
      <c r="Y25" s="8">
        <f t="shared" ca="1" si="5"/>
        <v>0</v>
      </c>
      <c r="Z25" s="8">
        <f t="shared" ca="1" si="5"/>
        <v>0</v>
      </c>
    </row>
    <row r="26" spans="1:26" ht="18" thickTop="1" thickBot="1">
      <c r="B26" s="8">
        <f t="shared" ref="B26" ca="1" si="6">B15-B22</f>
        <v>15554980616</v>
      </c>
      <c r="C26" s="9"/>
      <c r="D26" s="9"/>
      <c r="E26" s="9"/>
      <c r="F26" s="9"/>
      <c r="G26" s="8">
        <f t="shared" ref="G26:Z26" ca="1" si="7">G15-G22</f>
        <v>0</v>
      </c>
      <c r="H26" s="8">
        <f t="shared" ca="1" si="7"/>
        <v>0</v>
      </c>
      <c r="I26" s="8">
        <f t="shared" ca="1" si="7"/>
        <v>0</v>
      </c>
      <c r="J26" s="8">
        <f t="shared" ca="1" si="7"/>
        <v>0</v>
      </c>
      <c r="K26" s="8">
        <f t="shared" ca="1" si="7"/>
        <v>0</v>
      </c>
      <c r="L26" s="8">
        <f t="shared" ca="1" si="7"/>
        <v>0</v>
      </c>
      <c r="M26" s="8">
        <f t="shared" ca="1" si="7"/>
        <v>0</v>
      </c>
      <c r="N26" s="8">
        <f t="shared" ca="1" si="7"/>
        <v>0</v>
      </c>
      <c r="O26" s="8">
        <f t="shared" ca="1" si="7"/>
        <v>0</v>
      </c>
      <c r="P26" s="8">
        <f t="shared" ca="1" si="7"/>
        <v>0</v>
      </c>
      <c r="Q26" s="8">
        <f t="shared" ca="1" si="7"/>
        <v>0</v>
      </c>
      <c r="R26" s="8">
        <f t="shared" ca="1" si="7"/>
        <v>0</v>
      </c>
      <c r="S26" s="8">
        <f t="shared" ca="1" si="7"/>
        <v>0</v>
      </c>
      <c r="T26" s="8">
        <f t="shared" ca="1" si="7"/>
        <v>0</v>
      </c>
      <c r="U26" s="8">
        <f t="shared" ca="1" si="7"/>
        <v>0</v>
      </c>
      <c r="V26" s="8">
        <f t="shared" ca="1" si="7"/>
        <v>0</v>
      </c>
      <c r="W26" s="8">
        <f t="shared" ca="1" si="7"/>
        <v>0</v>
      </c>
      <c r="X26" s="8">
        <f t="shared" ca="1" si="7"/>
        <v>0</v>
      </c>
      <c r="Y26" s="8">
        <f t="shared" ca="1" si="7"/>
        <v>0</v>
      </c>
      <c r="Z26" s="8">
        <f t="shared" ca="1" si="7"/>
        <v>0</v>
      </c>
    </row>
    <row r="27" spans="1:26" ht="18" thickTop="1" thickBot="1">
      <c r="B27" s="8">
        <f t="shared" ref="B27" ca="1" si="8">B16-B23</f>
        <v>11535804991</v>
      </c>
      <c r="C27" s="9"/>
      <c r="D27" s="9"/>
      <c r="E27" s="9"/>
      <c r="F27" s="9"/>
      <c r="G27" s="8">
        <f t="shared" ref="G27:Z27" ca="1" si="9">G16-G23</f>
        <v>0</v>
      </c>
      <c r="H27" s="8">
        <f t="shared" ca="1" si="9"/>
        <v>0</v>
      </c>
      <c r="I27" s="8">
        <f t="shared" ca="1" si="9"/>
        <v>0</v>
      </c>
      <c r="J27" s="8">
        <f t="shared" ca="1" si="9"/>
        <v>0</v>
      </c>
      <c r="K27" s="8">
        <f t="shared" ca="1" si="9"/>
        <v>0</v>
      </c>
      <c r="L27" s="8">
        <f t="shared" ca="1" si="9"/>
        <v>0</v>
      </c>
      <c r="M27" s="8">
        <f t="shared" ca="1" si="9"/>
        <v>0</v>
      </c>
      <c r="N27" s="8">
        <f t="shared" ca="1" si="9"/>
        <v>0</v>
      </c>
      <c r="O27" s="8">
        <f t="shared" ca="1" si="9"/>
        <v>-3.814697265625E-6</v>
      </c>
      <c r="P27" s="8">
        <f t="shared" ca="1" si="9"/>
        <v>5.245208740234375E-6</v>
      </c>
      <c r="Q27" s="8">
        <f t="shared" ca="1" si="9"/>
        <v>6.67572021484375E-6</v>
      </c>
      <c r="R27" s="8">
        <f t="shared" ca="1" si="9"/>
        <v>0</v>
      </c>
      <c r="S27" s="8">
        <f t="shared" ca="1" si="9"/>
        <v>7.152557373046875E-6</v>
      </c>
      <c r="T27" s="8">
        <f t="shared" ca="1" si="9"/>
        <v>0</v>
      </c>
      <c r="U27" s="8">
        <f t="shared" ca="1" si="9"/>
        <v>0</v>
      </c>
      <c r="V27" s="8">
        <f t="shared" ca="1" si="9"/>
        <v>-4.291534423828125E-6</v>
      </c>
      <c r="W27" s="8">
        <f t="shared" ca="1" si="9"/>
        <v>-9.5367431640625E-6</v>
      </c>
      <c r="X27" s="8">
        <f t="shared" ca="1" si="9"/>
        <v>0</v>
      </c>
      <c r="Y27" s="8">
        <f t="shared" ca="1" si="9"/>
        <v>0</v>
      </c>
      <c r="Z27" s="8">
        <f t="shared" ca="1" si="9"/>
        <v>0</v>
      </c>
    </row>
    <row r="28" spans="1:26" ht="17.25" thickTop="1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46"/>
  <sheetViews>
    <sheetView workbookViewId="0">
      <pane ySplit="10" topLeftCell="A326" activePane="bottomLeft" state="frozen"/>
      <selection pane="bottomLeft" activeCell="G47" sqref="G47"/>
      <selection activeCell="G47" sqref="G47"/>
    </sheetView>
  </sheetViews>
  <sheetFormatPr defaultRowHeight="16.5"/>
  <cols>
    <col min="1" max="1" width="16" style="1" bestFit="1" customWidth="1"/>
    <col min="2" max="2" width="25.85546875" style="1" bestFit="1" customWidth="1"/>
    <col min="3" max="5" width="25.85546875" style="1" customWidth="1"/>
    <col min="6" max="6" width="17.7109375" style="1" customWidth="1"/>
    <col min="7" max="11" width="13.42578125" style="1" customWidth="1"/>
    <col min="12" max="12" width="10.28515625" style="1" bestFit="1" customWidth="1"/>
    <col min="13" max="13" width="9.140625" style="1" bestFit="1" customWidth="1"/>
    <col min="14" max="14" width="8.28515625" style="1" bestFit="1" customWidth="1"/>
    <col min="15" max="15" width="9.85546875" style="1" bestFit="1" customWidth="1"/>
    <col min="16" max="16" width="9.42578125" style="1" bestFit="1" customWidth="1"/>
    <col min="17" max="17" width="9.5703125" style="1" bestFit="1" customWidth="1"/>
    <col min="18" max="19" width="10" style="1" bestFit="1" customWidth="1"/>
    <col min="20" max="20" width="9.28515625" style="1" bestFit="1" customWidth="1"/>
    <col min="21" max="21" width="9.42578125" style="1" bestFit="1" customWidth="1"/>
    <col min="22" max="22" width="9.85546875" style="1" bestFit="1" customWidth="1"/>
    <col min="23" max="23" width="9.28515625" style="1" bestFit="1" customWidth="1"/>
    <col min="24" max="24" width="10.28515625" style="1" bestFit="1" customWidth="1"/>
    <col min="25" max="25" width="9.140625" style="1"/>
    <col min="26" max="26" width="8.28515625" style="1" bestFit="1" customWidth="1"/>
    <col min="27" max="27" width="9.85546875" style="1" bestFit="1" customWidth="1"/>
    <col min="28" max="28" width="9.42578125" style="1" bestFit="1" customWidth="1"/>
    <col min="29" max="29" width="9.5703125" style="1" bestFit="1" customWidth="1"/>
    <col min="30" max="31" width="10" style="1" bestFit="1" customWidth="1"/>
    <col min="32" max="16384" width="9.140625" style="1"/>
  </cols>
  <sheetData>
    <row r="1" spans="1:31">
      <c r="A1" s="1" t="s">
        <v>122</v>
      </c>
      <c r="B1" s="1" t="str">
        <f ca="1">_xll.VIEW("planning:oraclegl-reporting",$B$2,$B$7,$B$3,$B$4,$B$5,"!",$B$6,"!","!","!")</f>
        <v>planning:oraclegl-reporting</v>
      </c>
    </row>
    <row r="2" spans="1:31">
      <c r="A2" s="1" t="s">
        <v>123</v>
      </c>
      <c r="B2" s="1" t="str">
        <f ca="1">_xll.SUBNM("planning:translation","","translated")</f>
        <v>translated</v>
      </c>
    </row>
    <row r="3" spans="1:31">
      <c r="A3" s="1" t="s">
        <v>125</v>
      </c>
      <c r="B3" s="1" t="str">
        <f ca="1">_xll.SUBNM("planning:sob","","Total SOB")</f>
        <v>Total SOB</v>
      </c>
    </row>
    <row r="4" spans="1:31">
      <c r="A4" s="1" t="s">
        <v>127</v>
      </c>
      <c r="B4" s="1" t="str">
        <f ca="1">_xll.SUBNM("planning:lob","","VA")</f>
        <v>VA</v>
      </c>
    </row>
    <row r="5" spans="1:31">
      <c r="A5" s="1" t="s">
        <v>129</v>
      </c>
      <c r="B5" s="1" t="str">
        <f ca="1">_xll.SUBNM("planning:currency","","Total Currency")</f>
        <v>Total Currency</v>
      </c>
    </row>
    <row r="6" spans="1:31">
      <c r="A6" s="1" t="s">
        <v>132</v>
      </c>
      <c r="B6" s="1" t="str">
        <f ca="1">_xll.SUBNM("planning:rcentre","Default","VALT","desc")</f>
        <v>VALT - Total VAAL</v>
      </c>
    </row>
    <row r="7" spans="1:31">
      <c r="A7" s="1" t="s">
        <v>133</v>
      </c>
      <c r="B7" s="1" t="s">
        <v>134</v>
      </c>
    </row>
    <row r="10" spans="1:31">
      <c r="B10" s="3" t="s">
        <v>1</v>
      </c>
      <c r="C10" s="3" t="s">
        <v>2</v>
      </c>
      <c r="D10" s="3" t="s">
        <v>3</v>
      </c>
      <c r="E10" s="3" t="s">
        <v>4</v>
      </c>
      <c r="F10" s="3" t="s">
        <v>157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3" t="s">
        <v>148</v>
      </c>
      <c r="S10" s="3" t="s">
        <v>149</v>
      </c>
      <c r="T10" s="3" t="s">
        <v>6</v>
      </c>
      <c r="U10" s="3" t="s">
        <v>7</v>
      </c>
      <c r="V10" s="3" t="s">
        <v>8</v>
      </c>
      <c r="W10" s="3" t="s">
        <v>9</v>
      </c>
      <c r="X10" s="3" t="s">
        <v>10</v>
      </c>
      <c r="Y10" s="3" t="s">
        <v>11</v>
      </c>
      <c r="Z10" s="3" t="s">
        <v>12</v>
      </c>
      <c r="AA10" s="3" t="s">
        <v>13</v>
      </c>
      <c r="AB10" s="3" t="s">
        <v>14</v>
      </c>
      <c r="AC10" s="3" t="s">
        <v>15</v>
      </c>
      <c r="AD10" s="3" t="s">
        <v>16</v>
      </c>
      <c r="AE10" s="3" t="s">
        <v>17</v>
      </c>
    </row>
    <row r="11" spans="1:31">
      <c r="A11" s="1" t="s">
        <v>151</v>
      </c>
      <c r="B11" s="5" t="s">
        <v>158</v>
      </c>
      <c r="C11" s="5" t="s">
        <v>159</v>
      </c>
      <c r="D11" s="5" t="s">
        <v>21</v>
      </c>
      <c r="E11" s="5" t="s">
        <v>38</v>
      </c>
      <c r="F11" s="5" t="s">
        <v>22</v>
      </c>
      <c r="G11" s="6"/>
      <c r="H11" s="6"/>
      <c r="I11" s="6"/>
      <c r="J11" s="6"/>
      <c r="K11" s="6"/>
      <c r="L11" s="4">
        <f ca="1">_xll.DBRW($B$1,$B$2,$B$7,$B$3,$B$4,$B$5,$F11,$B$6,L$10,$A11,$B11)</f>
        <v>786.72513893473126</v>
      </c>
      <c r="M11" s="4">
        <f ca="1">_xll.DBRW($B$1,$B$2,$B$7,$B$3,$B$4,$B$5,$F11,$B$6,M$10,$A11,$B11)</f>
        <v>807.12715188963284</v>
      </c>
      <c r="N11" s="4">
        <f ca="1">_xll.DBRW($B$1,$B$2,$B$7,$B$3,$B$4,$B$5,$F11,$B$6,N$10,$A11,$B11)</f>
        <v>884.74706723491261</v>
      </c>
      <c r="O11" s="4">
        <f ca="1">_xll.DBRW($B$1,$B$2,$B$7,$B$3,$B$4,$B$5,$F11,$B$6,O$10,$A11,$B11)</f>
        <v>859.19441484352546</v>
      </c>
      <c r="P11" s="4">
        <f ca="1">_xll.DBRW($B$1,$B$2,$B$7,$B$3,$B$4,$B$5,$F11,$B$6,P$10,$A11,$B11)</f>
        <v>868.17557374815931</v>
      </c>
      <c r="Q11" s="4">
        <f ca="1">_xll.DBRW($B$1,$B$2,$B$7,$B$3,$B$4,$B$5,$F11,$B$6,Q$10,$A11,$B11)</f>
        <v>866.01964688765179</v>
      </c>
      <c r="R11" s="4">
        <f ca="1">_xll.DBRW($B$1,$B$2,$B$7,$B$3,$B$4,$B$5,$F11,$B$6,R$10,$A11,$B11)</f>
        <v>1151.0375756244853</v>
      </c>
      <c r="S11" s="4">
        <f ca="1">_xll.DBRW($B$1,$B$2,$B$7,$B$3,$B$4,$B$5,$F11,$B$6,S$10,$A11,$B11)</f>
        <v>1328.936985562681</v>
      </c>
      <c r="T11" s="4">
        <f ca="1">_xll.DBRW($B$1,$B$2,$B$7,$B$3,$B$4,$B$5,$F11,$B$6,T$10,$A11,$B11)</f>
        <v>907.74421843576761</v>
      </c>
      <c r="U11" s="4">
        <f ca="1">_xll.DBRW($B$1,$B$2,$B$7,$B$3,$B$4,$B$5,$F11,$B$6,U$10,$A11,$B11)</f>
        <v>842.08723871571908</v>
      </c>
      <c r="V11" s="4">
        <f ca="1">_xll.DBRW($B$1,$B$2,$B$7,$B$3,$B$4,$B$5,$F11,$B$6,V$10,$A11,$B11)</f>
        <v>1038.0285246747721</v>
      </c>
      <c r="W11" s="4">
        <f ca="1">_xll.DBRW($B$1,$B$2,$B$7,$B$3,$B$4,$B$5,$F11,$B$6,W$10,$A11,$B11)</f>
        <v>1264.6731301691441</v>
      </c>
      <c r="X11" s="4">
        <f ca="1">_xll.DBRW($B$1,$B$2,$B$7,$B$3,$B$4,$B$5,$F11,$B$6,X$10,$A11,$B11)</f>
        <v>1323.1069704490085</v>
      </c>
      <c r="Y11" s="4">
        <f ca="1">_xll.DBRW($B$1,$B$2,$B$7,$B$3,$B$4,$B$5,$F11,$B$6,Y$10,$A11,$B11)</f>
        <v>1302.3257867905688</v>
      </c>
      <c r="Z11" s="4">
        <f ca="1">_xll.DBRW($B$1,$B$2,$B$7,$B$3,$B$4,$B$5,$F11,$B$6,Z$10,$A11,$B11)</f>
        <v>1337.0318273331054</v>
      </c>
      <c r="AA11" s="4">
        <f ca="1">_xll.DBRW($B$1,$B$2,$B$7,$B$3,$B$4,$B$5,$F11,$B$6,AA$10,$A11,$B11)</f>
        <v>1279.8458704913583</v>
      </c>
      <c r="AB11" s="4">
        <f ca="1">_xll.DBRW($B$1,$B$2,$B$7,$B$3,$B$4,$B$5,$F11,$B$6,AB$10,$A11,$B11)</f>
        <v>1213.2484319331941</v>
      </c>
      <c r="AC11" s="4">
        <f ca="1">_xll.DBRW($B$1,$B$2,$B$7,$B$3,$B$4,$B$5,$F11,$B$6,AC$10,$A11,$B11)</f>
        <v>1259.6666708291282</v>
      </c>
      <c r="AD11" s="4">
        <f ca="1">_xll.DBRW($B$1,$B$2,$B$7,$B$3,$B$4,$B$5,$F11,$B$6,AD$10,$A11,$B11)</f>
        <v>975.31732186093836</v>
      </c>
      <c r="AE11" s="4">
        <f ca="1">_xll.DBRW($B$1,$B$2,$B$7,$B$3,$B$4,$B$5,$F11,$B$6,AE$10,$A11,$B11)</f>
        <v>938.69494730091526</v>
      </c>
    </row>
    <row r="12" spans="1:31">
      <c r="A12" s="1" t="s">
        <v>151</v>
      </c>
      <c r="B12" s="5" t="s">
        <v>36</v>
      </c>
      <c r="C12" s="5" t="s">
        <v>37</v>
      </c>
      <c r="D12" s="5" t="s">
        <v>38</v>
      </c>
      <c r="E12" s="5" t="s">
        <v>21</v>
      </c>
      <c r="F12" s="5" t="s">
        <v>22</v>
      </c>
      <c r="G12" s="6"/>
      <c r="H12" s="6"/>
      <c r="I12" s="6"/>
      <c r="J12" s="6"/>
      <c r="K12" s="6"/>
      <c r="L12" s="4">
        <f ca="1">_xll.DBRW($B$1,$B$2,$B$7,$B$3,$B$4,$B$5,$F12,$B$6,L$10,$A12,$B12)</f>
        <v>794.62751198206672</v>
      </c>
      <c r="M12" s="4">
        <f ca="1">_xll.DBRW($B$1,$B$2,$B$7,$B$3,$B$4,$B$5,$F12,$B$6,M$10,$A12,$B12)</f>
        <v>807.12715188963284</v>
      </c>
      <c r="N12" s="4">
        <f ca="1">_xll.DBRW($B$1,$B$2,$B$7,$B$3,$B$4,$B$5,$F12,$B$6,N$10,$A12,$B12)</f>
        <v>881.8838081176475</v>
      </c>
      <c r="O12" s="4">
        <f ca="1">_xll.DBRW($B$1,$B$2,$B$7,$B$3,$B$4,$B$5,$F12,$B$6,O$10,$A12,$B12)</f>
        <v>859.19441484352546</v>
      </c>
      <c r="P12" s="4">
        <f ca="1">_xll.DBRW($B$1,$B$2,$B$7,$B$3,$B$4,$B$5,$F12,$B$6,P$10,$A12,$B12)</f>
        <v>868.17557374815931</v>
      </c>
      <c r="Q12" s="4">
        <f ca="1">_xll.DBRW($B$1,$B$2,$B$7,$B$3,$B$4,$B$5,$F12,$B$6,Q$10,$A12,$B12)</f>
        <v>866.01964688765179</v>
      </c>
      <c r="R12" s="4">
        <f ca="1">_xll.DBRW($B$1,$B$2,$B$7,$B$3,$B$4,$B$5,$F12,$B$6,R$10,$A12,$B12)</f>
        <v>1151.0375756244853</v>
      </c>
      <c r="S12" s="4">
        <f ca="1">_xll.DBRW($B$1,$B$2,$B$7,$B$3,$B$4,$B$5,$F12,$B$6,S$10,$A12,$B12)</f>
        <v>1328.936985562681</v>
      </c>
      <c r="T12" s="4">
        <f ca="1">_xll.DBRW($B$1,$B$2,$B$7,$B$3,$B$4,$B$5,$F12,$B$6,T$10,$A12,$B12)</f>
        <v>958.07277893371838</v>
      </c>
      <c r="U12" s="4">
        <f ca="1">_xll.DBRW($B$1,$B$2,$B$7,$B$3,$B$4,$B$5,$F12,$B$6,U$10,$A12,$B12)</f>
        <v>883.43973704550888</v>
      </c>
      <c r="V12" s="4">
        <f ca="1">_xll.DBRW($B$1,$B$2,$B$7,$B$3,$B$4,$B$5,$F12,$B$6,V$10,$A12,$B12)</f>
        <v>1070.0792062135351</v>
      </c>
      <c r="W12" s="4">
        <f ca="1">_xll.DBRW($B$1,$B$2,$B$7,$B$3,$B$4,$B$5,$F12,$B$6,W$10,$A12,$B12)</f>
        <v>1161.2721824194659</v>
      </c>
      <c r="X12" s="4">
        <f ca="1">_xll.DBRW($B$1,$B$2,$B$7,$B$3,$B$4,$B$5,$F12,$B$6,X$10,$A12,$B12)</f>
        <v>1205.4751197327971</v>
      </c>
      <c r="Y12" s="4">
        <f ca="1">_xll.DBRW($B$1,$B$2,$B$7,$B$3,$B$4,$B$5,$F12,$B$6,Y$10,$A12,$B12)</f>
        <v>1181.3955351600162</v>
      </c>
      <c r="Z12" s="4">
        <f ca="1">_xll.DBRW($B$1,$B$2,$B$7,$B$3,$B$4,$B$5,$F12,$B$6,Z$10,$A12,$B12)</f>
        <v>1218.1619764227914</v>
      </c>
      <c r="AA12" s="4">
        <f ca="1">_xll.DBRW($B$1,$B$2,$B$7,$B$3,$B$4,$B$5,$F12,$B$6,AA$10,$A12,$B12)</f>
        <v>1177.7722734583056</v>
      </c>
      <c r="AB12" s="4">
        <f ca="1">_xll.DBRW($B$1,$B$2,$B$7,$B$3,$B$4,$B$5,$F12,$B$6,AB$10,$A12,$B12)</f>
        <v>1101.6524676751883</v>
      </c>
      <c r="AC12" s="4">
        <f ca="1">_xll.DBRW($B$1,$B$2,$B$7,$B$3,$B$4,$B$5,$F12,$B$6,AC$10,$A12,$B12)</f>
        <v>1179.4331249164445</v>
      </c>
      <c r="AD12" s="4">
        <f ca="1">_xll.DBRW($B$1,$B$2,$B$7,$B$3,$B$4,$B$5,$F12,$B$6,AD$10,$A12,$B12)</f>
        <v>1020.0193657795647</v>
      </c>
      <c r="AE12" s="4">
        <f ca="1">_xll.DBRW($B$1,$B$2,$B$7,$B$3,$B$4,$B$5,$F12,$B$6,AE$10,$A12,$B12)</f>
        <v>991.68579110016049</v>
      </c>
    </row>
    <row r="13" spans="1:31">
      <c r="A13" s="1" t="s">
        <v>151</v>
      </c>
      <c r="B13" s="5" t="s">
        <v>160</v>
      </c>
      <c r="C13" s="5" t="s">
        <v>161</v>
      </c>
      <c r="D13" s="5" t="s">
        <v>21</v>
      </c>
      <c r="E13" s="5" t="s">
        <v>69</v>
      </c>
      <c r="F13" s="5" t="s">
        <v>22</v>
      </c>
      <c r="G13" s="6"/>
      <c r="H13" s="6"/>
      <c r="I13" s="6"/>
      <c r="J13" s="6"/>
      <c r="K13" s="6"/>
      <c r="L13" s="4">
        <f ca="1">_xll.DBRW($B$1,$B$2,$B$7,$B$3,$B$4,$B$5,$F13,$B$6,L$10,$A13,$B13)</f>
        <v>844.08704610372615</v>
      </c>
      <c r="M13" s="4">
        <f ca="1">_xll.DBRW($B$1,$B$2,$B$7,$B$3,$B$4,$B$5,$F13,$B$6,M$10,$A13,$B13)</f>
        <v>892.51033467765433</v>
      </c>
      <c r="N13" s="4">
        <f ca="1">_xll.DBRW($B$1,$B$2,$B$7,$B$3,$B$4,$B$5,$F13,$B$6,N$10,$A13,$B13)</f>
        <v>840.26195186521954</v>
      </c>
      <c r="O13" s="4">
        <f ca="1">_xll.DBRW($B$1,$B$2,$B$7,$B$3,$B$4,$B$5,$F13,$B$6,O$10,$A13,$B13)</f>
        <v>823.78261345023134</v>
      </c>
      <c r="P13" s="4">
        <f ca="1">_xll.DBRW($B$1,$B$2,$B$7,$B$3,$B$4,$B$5,$F13,$B$6,P$10,$A13,$B13)</f>
        <v>771.20388607622726</v>
      </c>
      <c r="Q13" s="4">
        <f ca="1">_xll.DBRW($B$1,$B$2,$B$7,$B$3,$B$4,$B$5,$F13,$B$6,Q$10,$A13,$B13)</f>
        <v>869.29690383585057</v>
      </c>
      <c r="R13" s="4">
        <f ca="1">_xll.DBRW($B$1,$B$2,$B$7,$B$3,$B$4,$B$5,$F13,$B$6,R$10,$A13,$B13)</f>
        <v>818.03638478581047</v>
      </c>
      <c r="S13" s="4">
        <f ca="1">_xll.DBRW($B$1,$B$2,$B$7,$B$3,$B$4,$B$5,$F13,$B$6,S$10,$A13,$B13)</f>
        <v>850.05074100855961</v>
      </c>
      <c r="T13" s="4">
        <f ca="1">_xll.DBRW($B$1,$B$2,$B$7,$B$3,$B$4,$B$5,$F13,$B$6,T$10,$A13,$B13)</f>
        <v>1017.5915993612043</v>
      </c>
      <c r="U13" s="4">
        <f ca="1">_xll.DBRW($B$1,$B$2,$B$7,$B$3,$B$4,$B$5,$F13,$B$6,U$10,$A13,$B13)</f>
        <v>907.9252103326312</v>
      </c>
      <c r="V13" s="4">
        <f ca="1">_xll.DBRW($B$1,$B$2,$B$7,$B$3,$B$4,$B$5,$F13,$B$6,V$10,$A13,$B13)</f>
        <v>1000.31217980537</v>
      </c>
      <c r="W13" s="4">
        <f ca="1">_xll.DBRW($B$1,$B$2,$B$7,$B$3,$B$4,$B$5,$F13,$B$6,W$10,$A13,$B13)</f>
        <v>1004.0544323993523</v>
      </c>
      <c r="X13" s="4">
        <f ca="1">_xll.DBRW($B$1,$B$2,$B$7,$B$3,$B$4,$B$5,$F13,$B$6,X$10,$A13,$B13)</f>
        <v>1021.1410872971355</v>
      </c>
      <c r="Y13" s="4">
        <f ca="1">_xll.DBRW($B$1,$B$2,$B$7,$B$3,$B$4,$B$5,$F13,$B$6,Y$10,$A13,$B13)</f>
        <v>979.791065085014</v>
      </c>
      <c r="Z13" s="4">
        <f ca="1">_xll.DBRW($B$1,$B$2,$B$7,$B$3,$B$4,$B$5,$F13,$B$6,Z$10,$A13,$B13)</f>
        <v>1000.3560358643222</v>
      </c>
      <c r="AA13" s="4">
        <f ca="1">_xll.DBRW($B$1,$B$2,$B$7,$B$3,$B$4,$B$5,$F13,$B$6,AA$10,$A13,$B13)</f>
        <v>982.03738834386047</v>
      </c>
      <c r="AB13" s="4">
        <f ca="1">_xll.DBRW($B$1,$B$2,$B$7,$B$3,$B$4,$B$5,$F13,$B$6,AB$10,$A13,$B13)</f>
        <v>907.58491619103461</v>
      </c>
      <c r="AC13" s="4">
        <f ca="1">_xll.DBRW($B$1,$B$2,$B$7,$B$3,$B$4,$B$5,$F13,$B$6,AC$10,$A13,$B13)</f>
        <v>914.96282882492767</v>
      </c>
      <c r="AD13" s="4">
        <f ca="1">_xll.DBRW($B$1,$B$2,$B$7,$B$3,$B$4,$B$5,$F13,$B$6,AD$10,$A13,$B13)</f>
        <v>923.85445573958486</v>
      </c>
      <c r="AE13" s="4">
        <f ca="1">_xll.DBRW($B$1,$B$2,$B$7,$B$3,$B$4,$B$5,$F13,$B$6,AE$10,$A13,$B13)</f>
        <v>861.36408238908996</v>
      </c>
    </row>
    <row r="14" spans="1:31">
      <c r="A14" s="1" t="s">
        <v>151</v>
      </c>
      <c r="B14" s="5" t="s">
        <v>67</v>
      </c>
      <c r="C14" s="5" t="s">
        <v>68</v>
      </c>
      <c r="D14" s="5" t="s">
        <v>69</v>
      </c>
      <c r="E14" s="5" t="s">
        <v>21</v>
      </c>
      <c r="F14" s="5" t="s">
        <v>22</v>
      </c>
      <c r="G14" s="6"/>
      <c r="H14" s="6"/>
      <c r="I14" s="6"/>
      <c r="J14" s="6"/>
      <c r="K14" s="6"/>
      <c r="L14" s="4">
        <f ca="1">_xll.DBRW($B$1,$B$2,$B$7,$B$3,$B$4,$B$5,$F14,$B$6,L$10,$A14,$B14)</f>
        <v>844.08704610372615</v>
      </c>
      <c r="M14" s="4">
        <f ca="1">_xll.DBRW($B$1,$B$2,$B$7,$B$3,$B$4,$B$5,$F14,$B$6,M$10,$A14,$B14)</f>
        <v>892.51033467765433</v>
      </c>
      <c r="N14" s="4">
        <f ca="1">_xll.DBRW($B$1,$B$2,$B$7,$B$3,$B$4,$B$5,$F14,$B$6,N$10,$A14,$B14)</f>
        <v>840.26195186521954</v>
      </c>
      <c r="O14" s="4">
        <f ca="1">_xll.DBRW($B$1,$B$2,$B$7,$B$3,$B$4,$B$5,$F14,$B$6,O$10,$A14,$B14)</f>
        <v>823.78261345023134</v>
      </c>
      <c r="P14" s="4">
        <f ca="1">_xll.DBRW($B$1,$B$2,$B$7,$B$3,$B$4,$B$5,$F14,$B$6,P$10,$A14,$B14)</f>
        <v>771.20388607622726</v>
      </c>
      <c r="Q14" s="4">
        <f ca="1">_xll.DBRW($B$1,$B$2,$B$7,$B$3,$B$4,$B$5,$F14,$B$6,Q$10,$A14,$B14)</f>
        <v>869.29690383585057</v>
      </c>
      <c r="R14" s="4">
        <f ca="1">_xll.DBRW($B$1,$B$2,$B$7,$B$3,$B$4,$B$5,$F14,$B$6,R$10,$A14,$B14)</f>
        <v>818.03638478581047</v>
      </c>
      <c r="S14" s="4">
        <f ca="1">_xll.DBRW($B$1,$B$2,$B$7,$B$3,$B$4,$B$5,$F14,$B$6,S$10,$A14,$B14)</f>
        <v>850.05074100855961</v>
      </c>
      <c r="T14" s="4">
        <f ca="1">_xll.DBRW($B$1,$B$2,$B$7,$B$3,$B$4,$B$5,$F14,$B$6,T$10,$A14,$B14)</f>
        <v>1017.5915993612043</v>
      </c>
      <c r="U14" s="4">
        <f ca="1">_xll.DBRW($B$1,$B$2,$B$7,$B$3,$B$4,$B$5,$F14,$B$6,U$10,$A14,$B14)</f>
        <v>907.9252103326312</v>
      </c>
      <c r="V14" s="4">
        <f ca="1">_xll.DBRW($B$1,$B$2,$B$7,$B$3,$B$4,$B$5,$F14,$B$6,V$10,$A14,$B14)</f>
        <v>1000.31217980537</v>
      </c>
      <c r="W14" s="4">
        <f ca="1">_xll.DBRW($B$1,$B$2,$B$7,$B$3,$B$4,$B$5,$F14,$B$6,W$10,$A14,$B14)</f>
        <v>1004.0544323993523</v>
      </c>
      <c r="X14" s="4">
        <f ca="1">_xll.DBRW($B$1,$B$2,$B$7,$B$3,$B$4,$B$5,$F14,$B$6,X$10,$A14,$B14)</f>
        <v>1021.1410872971355</v>
      </c>
      <c r="Y14" s="4">
        <f ca="1">_xll.DBRW($B$1,$B$2,$B$7,$B$3,$B$4,$B$5,$F14,$B$6,Y$10,$A14,$B14)</f>
        <v>979.791065085014</v>
      </c>
      <c r="Z14" s="4">
        <f ca="1">_xll.DBRW($B$1,$B$2,$B$7,$B$3,$B$4,$B$5,$F14,$B$6,Z$10,$A14,$B14)</f>
        <v>1000.3560358643222</v>
      </c>
      <c r="AA14" s="4">
        <f ca="1">_xll.DBRW($B$1,$B$2,$B$7,$B$3,$B$4,$B$5,$F14,$B$6,AA$10,$A14,$B14)</f>
        <v>982.03738834386047</v>
      </c>
      <c r="AB14" s="4">
        <f ca="1">_xll.DBRW($B$1,$B$2,$B$7,$B$3,$B$4,$B$5,$F14,$B$6,AB$10,$A14,$B14)</f>
        <v>907.58491619103461</v>
      </c>
      <c r="AC14" s="4">
        <f ca="1">_xll.DBRW($B$1,$B$2,$B$7,$B$3,$B$4,$B$5,$F14,$B$6,AC$10,$A14,$B14)</f>
        <v>914.96282882492767</v>
      </c>
      <c r="AD14" s="4">
        <f ca="1">_xll.DBRW($B$1,$B$2,$B$7,$B$3,$B$4,$B$5,$F14,$B$6,AD$10,$A14,$B14)</f>
        <v>923.85445573958486</v>
      </c>
      <c r="AE14" s="4">
        <f ca="1">_xll.DBRW($B$1,$B$2,$B$7,$B$3,$B$4,$B$5,$F14,$B$6,AE$10,$A14,$B14)</f>
        <v>833.57814424750643</v>
      </c>
    </row>
    <row r="15" spans="1:31">
      <c r="A15" s="1" t="s">
        <v>151</v>
      </c>
      <c r="B15" s="5" t="s">
        <v>162</v>
      </c>
      <c r="C15" s="5" t="s">
        <v>163</v>
      </c>
      <c r="D15" s="5" t="s">
        <v>21</v>
      </c>
      <c r="E15" s="5" t="s">
        <v>54</v>
      </c>
      <c r="F15" s="5" t="s">
        <v>22</v>
      </c>
      <c r="G15" s="6"/>
      <c r="H15" s="6"/>
      <c r="I15" s="6"/>
      <c r="J15" s="6"/>
      <c r="K15" s="6"/>
      <c r="L15" s="4">
        <f ca="1">_xll.DBRW($B$1,$B$2,$B$7,$B$3,$B$4,$B$5,$F15,$B$6,L$10,$A15,$B15)</f>
        <v>778.6498442979746</v>
      </c>
      <c r="M15" s="4">
        <f ca="1">_xll.DBRW($B$1,$B$2,$B$7,$B$3,$B$4,$B$5,$F15,$B$6,M$10,$A15,$B15)</f>
        <v>938.05957731109629</v>
      </c>
      <c r="N15" s="4">
        <f ca="1">_xll.DBRW($B$1,$B$2,$B$7,$B$3,$B$4,$B$5,$F15,$B$6,N$10,$A15,$B15)</f>
        <v>1115.1534874921692</v>
      </c>
      <c r="O15" s="4">
        <f ca="1">_xll.DBRW($B$1,$B$2,$B$7,$B$3,$B$4,$B$5,$F15,$B$6,O$10,$A15,$B15)</f>
        <v>1399.7607009032386</v>
      </c>
      <c r="P15" s="4">
        <f ca="1">_xll.DBRW($B$1,$B$2,$B$7,$B$3,$B$4,$B$5,$F15,$B$6,P$10,$A15,$B15)</f>
        <v>1330.5197189146033</v>
      </c>
      <c r="Q15" s="4">
        <f ca="1">_xll.DBRW($B$1,$B$2,$B$7,$B$3,$B$4,$B$5,$F15,$B$6,Q$10,$A15,$B15)</f>
        <v>1318.9332334061182</v>
      </c>
      <c r="R15" s="4">
        <f ca="1">_xll.DBRW($B$1,$B$2,$B$7,$B$3,$B$4,$B$5,$F15,$B$6,R$10,$A15,$B15)</f>
        <v>1256.7025751851845</v>
      </c>
      <c r="S15" s="4">
        <f ca="1">_xll.DBRW($B$1,$B$2,$B$7,$B$3,$B$4,$B$5,$F15,$B$6,S$10,$A15,$B15)</f>
        <v>1320.078797801528</v>
      </c>
      <c r="T15" s="4">
        <f ca="1">_xll.DBRW($B$1,$B$2,$B$7,$B$3,$B$4,$B$5,$F15,$B$6,T$10,$A15,$B15)</f>
        <v>1191.4392912780136</v>
      </c>
      <c r="U15" s="4">
        <f ca="1">_xll.DBRW($B$1,$B$2,$B$7,$B$3,$B$4,$B$5,$F15,$B$6,U$10,$A15,$B15)</f>
        <v>1144.0925413407374</v>
      </c>
      <c r="V15" s="4">
        <f ca="1">_xll.DBRW($B$1,$B$2,$B$7,$B$3,$B$4,$B$5,$F15,$B$6,V$10,$A15,$B15)</f>
        <v>1423.4212999408701</v>
      </c>
      <c r="W15" s="4">
        <f ca="1">_xll.DBRW($B$1,$B$2,$B$7,$B$3,$B$4,$B$5,$F15,$B$6,W$10,$A15,$B15)</f>
        <v>1407.0085540850639</v>
      </c>
      <c r="X15" s="4">
        <f ca="1">_xll.DBRW($B$1,$B$2,$B$7,$B$3,$B$4,$B$5,$F15,$B$6,X$10,$A15,$B15)</f>
        <v>1428.2732464854062</v>
      </c>
      <c r="Y15" s="4">
        <f ca="1">_xll.DBRW($B$1,$B$2,$B$7,$B$3,$B$4,$B$5,$F15,$B$6,Y$10,$A15,$B15)</f>
        <v>1371.0996703843964</v>
      </c>
      <c r="Z15" s="4">
        <f ca="1">_xll.DBRW($B$1,$B$2,$B$7,$B$3,$B$4,$B$5,$F15,$B$6,Z$10,$A15,$B15)</f>
        <v>1434.5752115977868</v>
      </c>
      <c r="AA15" s="4">
        <f ca="1">_xll.DBRW($B$1,$B$2,$B$7,$B$3,$B$4,$B$5,$F15,$B$6,AA$10,$A15,$B15)</f>
        <v>1459.4628714251148</v>
      </c>
      <c r="AB15" s="4">
        <f ca="1">_xll.DBRW($B$1,$B$2,$B$7,$B$3,$B$4,$B$5,$F15,$B$6,AB$10,$A15,$B15)</f>
        <v>1348.5441924206805</v>
      </c>
      <c r="AC15" s="4">
        <f ca="1">_xll.DBRW($B$1,$B$2,$B$7,$B$3,$B$4,$B$5,$F15,$B$6,AC$10,$A15,$B15)</f>
        <v>1381.1007357219698</v>
      </c>
      <c r="AD15" s="4">
        <f ca="1">_xll.DBRW($B$1,$B$2,$B$7,$B$3,$B$4,$B$5,$F15,$B$6,AD$10,$A15,$B15)</f>
        <v>1399.686566786261</v>
      </c>
      <c r="AE15" s="4">
        <f ca="1">_xll.DBRW($B$1,$B$2,$B$7,$B$3,$B$4,$B$5,$F15,$B$6,AE$10,$A15,$B15)</f>
        <v>1355.3624029205346</v>
      </c>
    </row>
    <row r="16" spans="1:31">
      <c r="A16" s="1" t="s">
        <v>151</v>
      </c>
      <c r="B16" s="5" t="s">
        <v>52</v>
      </c>
      <c r="C16" s="5" t="s">
        <v>53</v>
      </c>
      <c r="D16" s="5" t="s">
        <v>54</v>
      </c>
      <c r="E16" s="5" t="s">
        <v>21</v>
      </c>
      <c r="F16" s="5" t="s">
        <v>22</v>
      </c>
      <c r="G16" s="6"/>
      <c r="H16" s="6"/>
      <c r="I16" s="6"/>
      <c r="J16" s="6"/>
      <c r="K16" s="6"/>
      <c r="L16" s="4">
        <f ca="1">_xll.DBRW($B$1,$B$2,$B$7,$B$3,$B$4,$B$5,$F16,$B$6,L$10,$A16,$B16)</f>
        <v>778.6498442979746</v>
      </c>
      <c r="M16" s="4">
        <f ca="1">_xll.DBRW($B$1,$B$2,$B$7,$B$3,$B$4,$B$5,$F16,$B$6,M$10,$A16,$B16)</f>
        <v>938.05957731109629</v>
      </c>
      <c r="N16" s="4">
        <f ca="1">_xll.DBRW($B$1,$B$2,$B$7,$B$3,$B$4,$B$5,$F16,$B$6,N$10,$A16,$B16)</f>
        <v>1160.0042676106843</v>
      </c>
      <c r="O16" s="4">
        <f ca="1">_xll.DBRW($B$1,$B$2,$B$7,$B$3,$B$4,$B$5,$F16,$B$6,O$10,$A16,$B16)</f>
        <v>1399.7607009032386</v>
      </c>
      <c r="P16" s="4">
        <f ca="1">_xll.DBRW($B$1,$B$2,$B$7,$B$3,$B$4,$B$5,$F16,$B$6,P$10,$A16,$B16)</f>
        <v>1330.5197189146033</v>
      </c>
      <c r="Q16" s="4">
        <f ca="1">_xll.DBRW($B$1,$B$2,$B$7,$B$3,$B$4,$B$5,$F16,$B$6,Q$10,$A16,$B16)</f>
        <v>1318.9332334061182</v>
      </c>
      <c r="R16" s="4">
        <f ca="1">_xll.DBRW($B$1,$B$2,$B$7,$B$3,$B$4,$B$5,$F16,$B$6,R$10,$A16,$B16)</f>
        <v>1256.7025751851845</v>
      </c>
      <c r="S16" s="4">
        <f ca="1">_xll.DBRW($B$1,$B$2,$B$7,$B$3,$B$4,$B$5,$F16,$B$6,S$10,$A16,$B16)</f>
        <v>1320.078797801528</v>
      </c>
      <c r="T16" s="4">
        <f ca="1">_xll.DBRW($B$1,$B$2,$B$7,$B$3,$B$4,$B$5,$F16,$B$6,T$10,$A16,$B16)</f>
        <v>1191.4392912780136</v>
      </c>
      <c r="U16" s="4">
        <f ca="1">_xll.DBRW($B$1,$B$2,$B$7,$B$3,$B$4,$B$5,$F16,$B$6,U$10,$A16,$B16)</f>
        <v>1144.0925413407374</v>
      </c>
      <c r="V16" s="4">
        <f ca="1">_xll.DBRW($B$1,$B$2,$B$7,$B$3,$B$4,$B$5,$F16,$B$6,V$10,$A16,$B16)</f>
        <v>1423.4212999408701</v>
      </c>
      <c r="W16" s="4">
        <f ca="1">_xll.DBRW($B$1,$B$2,$B$7,$B$3,$B$4,$B$5,$F16,$B$6,W$10,$A16,$B16)</f>
        <v>1407.0085540850639</v>
      </c>
      <c r="X16" s="4">
        <f ca="1">_xll.DBRW($B$1,$B$2,$B$7,$B$3,$B$4,$B$5,$F16,$B$6,X$10,$A16,$B16)</f>
        <v>1428.2732464854062</v>
      </c>
      <c r="Y16" s="4">
        <f ca="1">_xll.DBRW($B$1,$B$2,$B$7,$B$3,$B$4,$B$5,$F16,$B$6,Y$10,$A16,$B16)</f>
        <v>1371.0996703843964</v>
      </c>
      <c r="Z16" s="4">
        <f ca="1">_xll.DBRW($B$1,$B$2,$B$7,$B$3,$B$4,$B$5,$F16,$B$6,Z$10,$A16,$B16)</f>
        <v>1434.5752115977868</v>
      </c>
      <c r="AA16" s="4">
        <f ca="1">_xll.DBRW($B$1,$B$2,$B$7,$B$3,$B$4,$B$5,$F16,$B$6,AA$10,$A16,$B16)</f>
        <v>1459.4628714251148</v>
      </c>
      <c r="AB16" s="4">
        <f ca="1">_xll.DBRW($B$1,$B$2,$B$7,$B$3,$B$4,$B$5,$F16,$B$6,AB$10,$A16,$B16)</f>
        <v>1348.5441924206805</v>
      </c>
      <c r="AC16" s="4">
        <f ca="1">_xll.DBRW($B$1,$B$2,$B$7,$B$3,$B$4,$B$5,$F16,$B$6,AC$10,$A16,$B16)</f>
        <v>1381.1007357219698</v>
      </c>
      <c r="AD16" s="4">
        <f ca="1">_xll.DBRW($B$1,$B$2,$B$7,$B$3,$B$4,$B$5,$F16,$B$6,AD$10,$A16,$B16)</f>
        <v>1399.686566786261</v>
      </c>
      <c r="AE16" s="4">
        <f ca="1">_xll.DBRW($B$1,$B$2,$B$7,$B$3,$B$4,$B$5,$F16,$B$6,AE$10,$A16,$B16)</f>
        <v>1311.6410350843882</v>
      </c>
    </row>
    <row r="17" spans="1:31">
      <c r="A17" s="1" t="s">
        <v>151</v>
      </c>
      <c r="B17" s="5" t="s">
        <v>164</v>
      </c>
      <c r="C17" s="5" t="s">
        <v>159</v>
      </c>
      <c r="D17" s="5" t="s">
        <v>21</v>
      </c>
      <c r="E17" s="5" t="s">
        <v>38</v>
      </c>
      <c r="F17" s="5" t="s">
        <v>22</v>
      </c>
      <c r="G17" s="6"/>
      <c r="H17" s="6"/>
      <c r="I17" s="6"/>
      <c r="J17" s="6"/>
      <c r="K17" s="6"/>
      <c r="L17" s="4">
        <f ca="1">_xll.DBRW($B$1,$B$2,$B$7,$B$3,$B$4,$B$5,$F17,$B$6,L$10,$A17,$B17)</f>
        <v>892.96815434890812</v>
      </c>
      <c r="M17" s="4">
        <f ca="1">_xll.DBRW($B$1,$B$2,$B$7,$B$3,$B$4,$B$5,$F17,$B$6,M$10,$A17,$B17)</f>
        <v>937.91164409397152</v>
      </c>
      <c r="N17" s="4">
        <f ca="1">_xll.DBRW($B$1,$B$2,$B$7,$B$3,$B$4,$B$5,$F17,$B$6,N$10,$A17,$B17)</f>
        <v>991.64207427947599</v>
      </c>
      <c r="O17" s="4">
        <f ca="1">_xll.DBRW($B$1,$B$2,$B$7,$B$3,$B$4,$B$5,$F17,$B$6,O$10,$A17,$B17)</f>
        <v>926.78190652841488</v>
      </c>
      <c r="P17" s="4">
        <f ca="1">_xll.DBRW($B$1,$B$2,$B$7,$B$3,$B$4,$B$5,$F17,$B$6,P$10,$A17,$B17)</f>
        <v>940.84652021145382</v>
      </c>
      <c r="Q17" s="4">
        <f ca="1">_xll.DBRW($B$1,$B$2,$B$7,$B$3,$B$4,$B$5,$F17,$B$6,Q$10,$A17,$B17)</f>
        <v>935.82730534004429</v>
      </c>
      <c r="R17" s="4">
        <f ca="1">_xll.DBRW($B$1,$B$2,$B$7,$B$3,$B$4,$B$5,$F17,$B$6,R$10,$A17,$B17)</f>
        <v>693.7229832888313</v>
      </c>
      <c r="S17" s="4">
        <f ca="1">_xll.DBRW($B$1,$B$2,$B$7,$B$3,$B$4,$B$5,$F17,$B$6,S$10,$A17,$B17)</f>
        <v>674.211432558193</v>
      </c>
      <c r="T17" s="4">
        <f ca="1">_xll.DBRW($B$1,$B$2,$B$7,$B$3,$B$4,$B$5,$F17,$B$6,T$10,$A17,$B17)</f>
        <v>926.04551316229504</v>
      </c>
      <c r="U17" s="4">
        <f ca="1">_xll.DBRW($B$1,$B$2,$B$7,$B$3,$B$4,$B$5,$F17,$B$6,U$10,$A17,$B17)</f>
        <v>853.36519280566188</v>
      </c>
      <c r="V17" s="4">
        <f ca="1">_xll.DBRW($B$1,$B$2,$B$7,$B$3,$B$4,$B$5,$F17,$B$6,V$10,$A17,$B17)</f>
        <v>1033.8929528633187</v>
      </c>
      <c r="W17" s="4">
        <f ca="1">_xll.DBRW($B$1,$B$2,$B$7,$B$3,$B$4,$B$5,$F17,$B$6,W$10,$A17,$B17)</f>
        <v>1083.7214716072069</v>
      </c>
      <c r="X17" s="4">
        <f ca="1">_xll.DBRW($B$1,$B$2,$B$7,$B$3,$B$4,$B$5,$F17,$B$6,X$10,$A17,$B17)</f>
        <v>1153.194297192259</v>
      </c>
      <c r="Y17" s="4">
        <f ca="1">_xll.DBRW($B$1,$B$2,$B$7,$B$3,$B$4,$B$5,$F17,$B$6,Y$10,$A17,$B17)</f>
        <v>1141.0854512831654</v>
      </c>
      <c r="Z17" s="4">
        <f ca="1">_xll.DBRW($B$1,$B$2,$B$7,$B$3,$B$4,$B$5,$F17,$B$6,Z$10,$A17,$B17)</f>
        <v>1152.1231703615058</v>
      </c>
      <c r="AA17" s="4">
        <f ca="1">_xll.DBRW($B$1,$B$2,$B$7,$B$3,$B$4,$B$5,$F17,$B$6,AA$10,$A17,$B17)</f>
        <v>1125.7539980472302</v>
      </c>
      <c r="AB17" s="4">
        <f ca="1">_xll.DBRW($B$1,$B$2,$B$7,$B$3,$B$4,$B$5,$F17,$B$6,AB$10,$A17,$B17)</f>
        <v>1040.6085214143982</v>
      </c>
      <c r="AC17" s="4">
        <f ca="1">_xll.DBRW($B$1,$B$2,$B$7,$B$3,$B$4,$B$5,$F17,$B$6,AC$10,$A17,$B17)</f>
        <v>1135.3046746644688</v>
      </c>
      <c r="AD17" s="4">
        <f ca="1">_xll.DBRW($B$1,$B$2,$B$7,$B$3,$B$4,$B$5,$F17,$B$6,AD$10,$A17,$B17)</f>
        <v>971.25349968651778</v>
      </c>
      <c r="AE17" s="4">
        <f ca="1">_xll.DBRW($B$1,$B$2,$B$7,$B$3,$B$4,$B$5,$F17,$B$6,AE$10,$A17,$B17)</f>
        <v>945.31880277582104</v>
      </c>
    </row>
    <row r="18" spans="1:31">
      <c r="A18" s="1" t="s">
        <v>151</v>
      </c>
      <c r="B18" s="5" t="s">
        <v>39</v>
      </c>
      <c r="C18" s="5" t="s">
        <v>37</v>
      </c>
      <c r="D18" s="5" t="s">
        <v>38</v>
      </c>
      <c r="E18" s="5" t="s">
        <v>21</v>
      </c>
      <c r="F18" s="5" t="s">
        <v>22</v>
      </c>
      <c r="G18" s="6"/>
      <c r="H18" s="6"/>
      <c r="I18" s="6"/>
      <c r="J18" s="6"/>
      <c r="K18" s="6"/>
      <c r="L18" s="4">
        <f ca="1">_xll.DBRW($B$1,$B$2,$B$7,$B$3,$B$4,$B$5,$F18,$B$6,L$10,$A18,$B18)</f>
        <v>898.23640304713172</v>
      </c>
      <c r="M18" s="4">
        <f ca="1">_xll.DBRW($B$1,$B$2,$B$7,$B$3,$B$4,$B$5,$F18,$B$6,M$10,$A18,$B18)</f>
        <v>941.64834387123835</v>
      </c>
      <c r="N18" s="4">
        <f ca="1">_xll.DBRW($B$1,$B$2,$B$7,$B$3,$B$4,$B$5,$F18,$B$6,N$10,$A18,$B18)</f>
        <v>1004.0495304542914</v>
      </c>
      <c r="O18" s="4">
        <f ca="1">_xll.DBRW($B$1,$B$2,$B$7,$B$3,$B$4,$B$5,$F18,$B$6,O$10,$A18,$B18)</f>
        <v>962.89029249705447</v>
      </c>
      <c r="P18" s="4">
        <f ca="1">_xll.DBRW($B$1,$B$2,$B$7,$B$3,$B$4,$B$5,$F18,$B$6,P$10,$A18,$B18)</f>
        <v>976.69752046667929</v>
      </c>
      <c r="Q18" s="4">
        <f ca="1">_xll.DBRW($B$1,$B$2,$B$7,$B$3,$B$4,$B$5,$F18,$B$6,Q$10,$A18,$B18)</f>
        <v>893.33568715163153</v>
      </c>
      <c r="R18" s="4">
        <f ca="1">_xll.DBRW($B$1,$B$2,$B$7,$B$3,$B$4,$B$5,$F18,$B$6,R$10,$A18,$B18)</f>
        <v>693.7229832888313</v>
      </c>
      <c r="S18" s="4">
        <f ca="1">_xll.DBRW($B$1,$B$2,$B$7,$B$3,$B$4,$B$5,$F18,$B$6,S$10,$A18,$B18)</f>
        <v>674.211432558193</v>
      </c>
      <c r="T18" s="4">
        <f ca="1">_xll.DBRW($B$1,$B$2,$B$7,$B$3,$B$4,$B$5,$F18,$B$6,T$10,$A18,$B18)</f>
        <v>926.04551316229504</v>
      </c>
      <c r="U18" s="4">
        <f ca="1">_xll.DBRW($B$1,$B$2,$B$7,$B$3,$B$4,$B$5,$F18,$B$6,U$10,$A18,$B18)</f>
        <v>853.36519280566188</v>
      </c>
      <c r="V18" s="4">
        <f ca="1">_xll.DBRW($B$1,$B$2,$B$7,$B$3,$B$4,$B$5,$F18,$B$6,V$10,$A18,$B18)</f>
        <v>1033.8929528633187</v>
      </c>
      <c r="W18" s="4">
        <f ca="1">_xll.DBRW($B$1,$B$2,$B$7,$B$3,$B$4,$B$5,$F18,$B$6,W$10,$A18,$B18)</f>
        <v>1083.7214716072069</v>
      </c>
      <c r="X18" s="4">
        <f ca="1">_xll.DBRW($B$1,$B$2,$B$7,$B$3,$B$4,$B$5,$F18,$B$6,X$10,$A18,$B18)</f>
        <v>1153.194297192259</v>
      </c>
      <c r="Y18" s="4">
        <f ca="1">_xll.DBRW($B$1,$B$2,$B$7,$B$3,$B$4,$B$5,$F18,$B$6,Y$10,$A18,$B18)</f>
        <v>1141.0854512831654</v>
      </c>
      <c r="Z18" s="4">
        <f ca="1">_xll.DBRW($B$1,$B$2,$B$7,$B$3,$B$4,$B$5,$F18,$B$6,Z$10,$A18,$B18)</f>
        <v>1152.1231703615058</v>
      </c>
      <c r="AA18" s="4">
        <f ca="1">_xll.DBRW($B$1,$B$2,$B$7,$B$3,$B$4,$B$5,$F18,$B$6,AA$10,$A18,$B18)</f>
        <v>1125.7539980472302</v>
      </c>
      <c r="AB18" s="4">
        <f ca="1">_xll.DBRW($B$1,$B$2,$B$7,$B$3,$B$4,$B$5,$F18,$B$6,AB$10,$A18,$B18)</f>
        <v>1040.6085214143982</v>
      </c>
      <c r="AC18" s="4">
        <f ca="1">_xll.DBRW($B$1,$B$2,$B$7,$B$3,$B$4,$B$5,$F18,$B$6,AC$10,$A18,$B18)</f>
        <v>1135.3046746644688</v>
      </c>
      <c r="AD18" s="4">
        <f ca="1">_xll.DBRW($B$1,$B$2,$B$7,$B$3,$B$4,$B$5,$F18,$B$6,AD$10,$A18,$B18)</f>
        <v>971.25349968651778</v>
      </c>
      <c r="AE18" s="4">
        <f ca="1">_xll.DBRW($B$1,$B$2,$B$7,$B$3,$B$4,$B$5,$F18,$B$6,AE$10,$A18,$B18)</f>
        <v>930.17856169032223</v>
      </c>
    </row>
    <row r="19" spans="1:31">
      <c r="A19" s="1" t="s">
        <v>151</v>
      </c>
      <c r="B19" s="5" t="s">
        <v>165</v>
      </c>
      <c r="C19" s="5" t="s">
        <v>166</v>
      </c>
      <c r="D19" s="5" t="s">
        <v>21</v>
      </c>
      <c r="E19" s="5" t="s">
        <v>31</v>
      </c>
      <c r="F19" s="5" t="s">
        <v>22</v>
      </c>
      <c r="G19" s="6"/>
      <c r="H19" s="6"/>
      <c r="I19" s="6"/>
      <c r="J19" s="6"/>
      <c r="K19" s="6"/>
      <c r="L19" s="4">
        <f ca="1">_xll.DBRW($B$1,$B$2,$B$7,$B$3,$B$4,$B$5,$F19,$B$6,L$10,$A19,$B19)</f>
        <v>915.19053872819904</v>
      </c>
      <c r="M19" s="4">
        <f ca="1">_xll.DBRW($B$1,$B$2,$B$7,$B$3,$B$4,$B$5,$F19,$B$6,M$10,$A19,$B19)</f>
        <v>963.27623261515805</v>
      </c>
      <c r="N19" s="4">
        <f ca="1">_xll.DBRW($B$1,$B$2,$B$7,$B$3,$B$4,$B$5,$F19,$B$6,N$10,$A19,$B19)</f>
        <v>949.81932621721717</v>
      </c>
      <c r="O19" s="4">
        <f ca="1">_xll.DBRW($B$1,$B$2,$B$7,$B$3,$B$4,$B$5,$F19,$B$6,O$10,$A19,$B19)</f>
        <v>897.41102012839508</v>
      </c>
      <c r="P19" s="4">
        <f ca="1">_xll.DBRW($B$1,$B$2,$B$7,$B$3,$B$4,$B$5,$F19,$B$6,P$10,$A19,$B19)</f>
        <v>916.17992250212546</v>
      </c>
      <c r="Q19" s="4">
        <f ca="1">_xll.DBRW($B$1,$B$2,$B$7,$B$3,$B$4,$B$5,$F19,$B$6,Q$10,$A19,$B19)</f>
        <v>946.65369171890734</v>
      </c>
      <c r="R19" s="4">
        <f ca="1">_xll.DBRW($B$1,$B$2,$B$7,$B$3,$B$4,$B$5,$F19,$B$6,R$10,$A19,$B19)</f>
        <v>863.26577333151545</v>
      </c>
      <c r="S19" s="4">
        <f ca="1">_xll.DBRW($B$1,$B$2,$B$7,$B$3,$B$4,$B$5,$F19,$B$6,S$10,$A19,$B19)</f>
        <v>864.05157674281827</v>
      </c>
      <c r="T19" s="4">
        <f ca="1">_xll.DBRW($B$1,$B$2,$B$7,$B$3,$B$4,$B$5,$F19,$B$6,T$10,$A19,$B19)</f>
        <v>793.65398368747708</v>
      </c>
      <c r="U19" s="4">
        <f ca="1">_xll.DBRW($B$1,$B$2,$B$7,$B$3,$B$4,$B$5,$F19,$B$6,U$10,$A19,$B19)</f>
        <v>669.2483578400047</v>
      </c>
      <c r="V19" s="4">
        <f ca="1">_xll.DBRW($B$1,$B$2,$B$7,$B$3,$B$4,$B$5,$F19,$B$6,V$10,$A19,$B19)</f>
        <v>884.44262147848406</v>
      </c>
      <c r="W19" s="4">
        <f ca="1">_xll.DBRW($B$1,$B$2,$B$7,$B$3,$B$4,$B$5,$F19,$B$6,W$10,$A19,$B19)</f>
        <v>826.6792667151916</v>
      </c>
      <c r="X19" s="4">
        <f ca="1">_xll.DBRW($B$1,$B$2,$B$7,$B$3,$B$4,$B$5,$F19,$B$6,X$10,$A19,$B19)</f>
        <v>992.48942054355655</v>
      </c>
      <c r="Y19" s="4">
        <f ca="1">_xll.DBRW($B$1,$B$2,$B$7,$B$3,$B$4,$B$5,$F19,$B$6,Y$10,$A19,$B19)</f>
        <v>981.07535121925594</v>
      </c>
      <c r="Z19" s="4">
        <f ca="1">_xll.DBRW($B$1,$B$2,$B$7,$B$3,$B$4,$B$5,$F19,$B$6,Z$10,$A19,$B19)</f>
        <v>991.7069464217941</v>
      </c>
      <c r="AA19" s="4">
        <f ca="1">_xll.DBRW($B$1,$B$2,$B$7,$B$3,$B$4,$B$5,$F19,$B$6,AA$10,$A19,$B19)</f>
        <v>854.79911763713096</v>
      </c>
      <c r="AB19" s="4">
        <f ca="1">_xll.DBRW($B$1,$B$2,$B$7,$B$3,$B$4,$B$5,$F19,$B$6,AB$10,$A19,$B19)</f>
        <v>948.24481427982187</v>
      </c>
      <c r="AC19" s="4">
        <f ca="1">_xll.DBRW($B$1,$B$2,$B$7,$B$3,$B$4,$B$5,$F19,$B$6,AC$10,$A19,$B19)</f>
        <v>1037.3004656449821</v>
      </c>
      <c r="AD19" s="4">
        <f ca="1">_xll.DBRW($B$1,$B$2,$B$7,$B$3,$B$4,$B$5,$F19,$B$6,AD$10,$A19,$B19)</f>
        <v>929.09350527152822</v>
      </c>
      <c r="AE19" s="4">
        <f ca="1">_xll.DBRW($B$1,$B$2,$B$7,$B$3,$B$4,$B$5,$F19,$B$6,AE$10,$A19,$B19)</f>
        <v>893.82963344706388</v>
      </c>
    </row>
    <row r="20" spans="1:31">
      <c r="A20" s="1" t="s">
        <v>151</v>
      </c>
      <c r="B20" s="5" t="s">
        <v>29</v>
      </c>
      <c r="C20" s="5" t="s">
        <v>30</v>
      </c>
      <c r="D20" s="5" t="s">
        <v>31</v>
      </c>
      <c r="E20" s="5" t="s">
        <v>21</v>
      </c>
      <c r="F20" s="5" t="s">
        <v>22</v>
      </c>
      <c r="G20" s="6"/>
      <c r="H20" s="6"/>
      <c r="I20" s="6"/>
      <c r="J20" s="6"/>
      <c r="K20" s="6"/>
      <c r="L20" s="4">
        <f ca="1">_xll.DBRW($B$1,$B$2,$B$7,$B$3,$B$4,$B$5,$F20,$B$6,L$10,$A20,$B20)</f>
        <v>915.19053872819904</v>
      </c>
      <c r="M20" s="4">
        <f ca="1">_xll.DBRW($B$1,$B$2,$B$7,$B$3,$B$4,$B$5,$F20,$B$6,M$10,$A20,$B20)</f>
        <v>963.27623261515805</v>
      </c>
      <c r="N20" s="4">
        <f ca="1">_xll.DBRW($B$1,$B$2,$B$7,$B$3,$B$4,$B$5,$F20,$B$6,N$10,$A20,$B20)</f>
        <v>949.81932621721717</v>
      </c>
      <c r="O20" s="4">
        <f ca="1">_xll.DBRW($B$1,$B$2,$B$7,$B$3,$B$4,$B$5,$F20,$B$6,O$10,$A20,$B20)</f>
        <v>897.41102012839508</v>
      </c>
      <c r="P20" s="4">
        <f ca="1">_xll.DBRW($B$1,$B$2,$B$7,$B$3,$B$4,$B$5,$F20,$B$6,P$10,$A20,$B20)</f>
        <v>916.17992250212546</v>
      </c>
      <c r="Q20" s="4">
        <f ca="1">_xll.DBRW($B$1,$B$2,$B$7,$B$3,$B$4,$B$5,$F20,$B$6,Q$10,$A20,$B20)</f>
        <v>946.65369171890734</v>
      </c>
      <c r="R20" s="4">
        <f ca="1">_xll.DBRW($B$1,$B$2,$B$7,$B$3,$B$4,$B$5,$F20,$B$6,R$10,$A20,$B20)</f>
        <v>863.26577333151545</v>
      </c>
      <c r="S20" s="4">
        <f ca="1">_xll.DBRW($B$1,$B$2,$B$7,$B$3,$B$4,$B$5,$F20,$B$6,S$10,$A20,$B20)</f>
        <v>864.05157674281827</v>
      </c>
      <c r="T20" s="4">
        <f ca="1">_xll.DBRW($B$1,$B$2,$B$7,$B$3,$B$4,$B$5,$F20,$B$6,T$10,$A20,$B20)</f>
        <v>793.65398368747708</v>
      </c>
      <c r="U20" s="4">
        <f ca="1">_xll.DBRW($B$1,$B$2,$B$7,$B$3,$B$4,$B$5,$F20,$B$6,U$10,$A20,$B20)</f>
        <v>669.2483578400047</v>
      </c>
      <c r="V20" s="4">
        <f ca="1">_xll.DBRW($B$1,$B$2,$B$7,$B$3,$B$4,$B$5,$F20,$B$6,V$10,$A20,$B20)</f>
        <v>884.44262147848406</v>
      </c>
      <c r="W20" s="4">
        <f ca="1">_xll.DBRW($B$1,$B$2,$B$7,$B$3,$B$4,$B$5,$F20,$B$6,W$10,$A20,$B20)</f>
        <v>826.6792667151916</v>
      </c>
      <c r="X20" s="4">
        <f ca="1">_xll.DBRW($B$1,$B$2,$B$7,$B$3,$B$4,$B$5,$F20,$B$6,X$10,$A20,$B20)</f>
        <v>992.48942054355655</v>
      </c>
      <c r="Y20" s="4">
        <f ca="1">_xll.DBRW($B$1,$B$2,$B$7,$B$3,$B$4,$B$5,$F20,$B$6,Y$10,$A20,$B20)</f>
        <v>981.07535121925594</v>
      </c>
      <c r="Z20" s="4">
        <f ca="1">_xll.DBRW($B$1,$B$2,$B$7,$B$3,$B$4,$B$5,$F20,$B$6,Z$10,$A20,$B20)</f>
        <v>991.7069464217941</v>
      </c>
      <c r="AA20" s="4">
        <f ca="1">_xll.DBRW($B$1,$B$2,$B$7,$B$3,$B$4,$B$5,$F20,$B$6,AA$10,$A20,$B20)</f>
        <v>854.79911763713096</v>
      </c>
      <c r="AB20" s="4">
        <f ca="1">_xll.DBRW($B$1,$B$2,$B$7,$B$3,$B$4,$B$5,$F20,$B$6,AB$10,$A20,$B20)</f>
        <v>948.24481427982187</v>
      </c>
      <c r="AC20" s="4">
        <f ca="1">_xll.DBRW($B$1,$B$2,$B$7,$B$3,$B$4,$B$5,$F20,$B$6,AC$10,$A20,$B20)</f>
        <v>1003.4639570816394</v>
      </c>
      <c r="AD20" s="4">
        <f ca="1">_xll.DBRW($B$1,$B$2,$B$7,$B$3,$B$4,$B$5,$F20,$B$6,AD$10,$A20,$B20)</f>
        <v>929.09350527152822</v>
      </c>
      <c r="AE20" s="4">
        <f ca="1">_xll.DBRW($B$1,$B$2,$B$7,$B$3,$B$4,$B$5,$F20,$B$6,AE$10,$A20,$B20)</f>
        <v>864.61354736912074</v>
      </c>
    </row>
    <row r="21" spans="1:31">
      <c r="A21" s="1" t="s">
        <v>151</v>
      </c>
      <c r="B21" s="5" t="s">
        <v>167</v>
      </c>
      <c r="C21" s="5" t="s">
        <v>168</v>
      </c>
      <c r="D21" s="5" t="s">
        <v>21</v>
      </c>
      <c r="E21" s="5" t="s">
        <v>76</v>
      </c>
      <c r="F21" s="5" t="s">
        <v>22</v>
      </c>
      <c r="G21" s="6"/>
      <c r="H21" s="6"/>
      <c r="I21" s="6"/>
      <c r="J21" s="6"/>
      <c r="K21" s="6"/>
      <c r="L21" s="4">
        <f ca="1">_xll.DBRW($B$1,$B$2,$B$7,$B$3,$B$4,$B$5,$F21,$B$6,L$10,$A21,$B21)</f>
        <v>914.32368080443973</v>
      </c>
      <c r="M21" s="4">
        <f ca="1">_xll.DBRW($B$1,$B$2,$B$7,$B$3,$B$4,$B$5,$F21,$B$6,M$10,$A21,$B21)</f>
        <v>916.33609236283928</v>
      </c>
      <c r="N21" s="4">
        <f ca="1">_xll.DBRW($B$1,$B$2,$B$7,$B$3,$B$4,$B$5,$F21,$B$6,N$10,$A21,$B21)</f>
        <v>849.23423150540521</v>
      </c>
      <c r="O21" s="4">
        <f ca="1">_xll.DBRW($B$1,$B$2,$B$7,$B$3,$B$4,$B$5,$F21,$B$6,O$10,$A21,$B21)</f>
        <v>863.96713117951106</v>
      </c>
      <c r="P21" s="4">
        <f ca="1">_xll.DBRW($B$1,$B$2,$B$7,$B$3,$B$4,$B$5,$F21,$B$6,P$10,$A21,$B21)</f>
        <v>809.76408038003854</v>
      </c>
      <c r="Q21" s="4">
        <f ca="1">_xll.DBRW($B$1,$B$2,$B$7,$B$3,$B$4,$B$5,$F21,$B$6,Q$10,$A21,$B21)</f>
        <v>792.02606793933046</v>
      </c>
      <c r="R21" s="4">
        <f ca="1">_xll.DBRW($B$1,$B$2,$B$7,$B$3,$B$4,$B$5,$F21,$B$6,R$10,$A21,$B21)</f>
        <v>827.66034225387864</v>
      </c>
      <c r="S21" s="4">
        <f ca="1">_xll.DBRW($B$1,$B$2,$B$7,$B$3,$B$4,$B$5,$F21,$B$6,S$10,$A21,$B21)</f>
        <v>820.04895014943384</v>
      </c>
      <c r="T21" s="4">
        <f ca="1">_xll.DBRW($B$1,$B$2,$B$7,$B$3,$B$4,$B$5,$F21,$B$6,T$10,$A21,$B21)</f>
        <v>1225.8497869749094</v>
      </c>
      <c r="U21" s="4">
        <f ca="1">_xll.DBRW($B$1,$B$2,$B$7,$B$3,$B$4,$B$5,$F21,$B$6,U$10,$A21,$B21)</f>
        <v>1150.6214579778875</v>
      </c>
      <c r="V21" s="4">
        <f ca="1">_xll.DBRW($B$1,$B$2,$B$7,$B$3,$B$4,$B$5,$F21,$B$6,V$10,$A21,$B21)</f>
        <v>1257.3368013947493</v>
      </c>
      <c r="W21" s="4">
        <f ca="1">_xll.DBRW($B$1,$B$2,$B$7,$B$3,$B$4,$B$5,$F21,$B$6,W$10,$A21,$B21)</f>
        <v>878.5036907971072</v>
      </c>
      <c r="X21" s="4">
        <f ca="1">_xll.DBRW($B$1,$B$2,$B$7,$B$3,$B$4,$B$5,$F21,$B$6,X$10,$A21,$B21)</f>
        <v>1038.7441792621137</v>
      </c>
      <c r="Y21" s="4">
        <f ca="1">_xll.DBRW($B$1,$B$2,$B$7,$B$3,$B$4,$B$5,$F21,$B$6,Y$10,$A21,$B21)</f>
        <v>997.1633966431973</v>
      </c>
      <c r="Z21" s="4">
        <f ca="1">_xll.DBRW($B$1,$B$2,$B$7,$B$3,$B$4,$B$5,$F21,$B$6,Z$10,$A21,$B21)</f>
        <v>1032.3701130578827</v>
      </c>
      <c r="AA21" s="4">
        <f ca="1">_xll.DBRW($B$1,$B$2,$B$7,$B$3,$B$4,$B$5,$F21,$B$6,AA$10,$A21,$B21)</f>
        <v>1046.2533834770927</v>
      </c>
      <c r="AB21" s="4">
        <f ca="1">_xll.DBRW($B$1,$B$2,$B$7,$B$3,$B$4,$B$5,$F21,$B$6,AB$10,$A21,$B21)</f>
        <v>981.6382358211589</v>
      </c>
      <c r="AC21" s="4">
        <f ca="1">_xll.DBRW($B$1,$B$2,$B$7,$B$3,$B$4,$B$5,$F21,$B$6,AC$10,$A21,$B21)</f>
        <v>1089.2683846335644</v>
      </c>
      <c r="AD21" s="4">
        <f ca="1">_xll.DBRW($B$1,$B$2,$B$7,$B$3,$B$4,$B$5,$F21,$B$6,AD$10,$A21,$B21)</f>
        <v>1316.3522272972441</v>
      </c>
      <c r="AE21" s="4">
        <f ca="1">_xll.DBRW($B$1,$B$2,$B$7,$B$3,$B$4,$B$5,$F21,$B$6,AE$10,$A21,$B21)</f>
        <v>1067.4109506700295</v>
      </c>
    </row>
    <row r="22" spans="1:31">
      <c r="A22" s="1" t="s">
        <v>151</v>
      </c>
      <c r="B22" s="5" t="s">
        <v>74</v>
      </c>
      <c r="C22" s="5" t="s">
        <v>75</v>
      </c>
      <c r="D22" s="5" t="s">
        <v>76</v>
      </c>
      <c r="E22" s="5" t="s">
        <v>21</v>
      </c>
      <c r="F22" s="5" t="s">
        <v>22</v>
      </c>
      <c r="G22" s="6"/>
      <c r="H22" s="6"/>
      <c r="I22" s="6"/>
      <c r="J22" s="6"/>
      <c r="K22" s="6"/>
      <c r="L22" s="4">
        <f ca="1">_xll.DBRW($B$1,$B$2,$B$7,$B$3,$B$4,$B$5,$F22,$B$6,L$10,$A22,$B22)</f>
        <v>914.32368080443973</v>
      </c>
      <c r="M22" s="4">
        <f ca="1">_xll.DBRW($B$1,$B$2,$B$7,$B$3,$B$4,$B$5,$F22,$B$6,M$10,$A22,$B22)</f>
        <v>916.33609236283928</v>
      </c>
      <c r="N22" s="4">
        <f ca="1">_xll.DBRW($B$1,$B$2,$B$7,$B$3,$B$4,$B$5,$F22,$B$6,N$10,$A22,$B22)</f>
        <v>849.23423150540521</v>
      </c>
      <c r="O22" s="4">
        <f ca="1">_xll.DBRW($B$1,$B$2,$B$7,$B$3,$B$4,$B$5,$F22,$B$6,O$10,$A22,$B22)</f>
        <v>863.96713117951106</v>
      </c>
      <c r="P22" s="4">
        <f ca="1">_xll.DBRW($B$1,$B$2,$B$7,$B$3,$B$4,$B$5,$F22,$B$6,P$10,$A22,$B22)</f>
        <v>809.76408038003854</v>
      </c>
      <c r="Q22" s="4">
        <f ca="1">_xll.DBRW($B$1,$B$2,$B$7,$B$3,$B$4,$B$5,$F22,$B$6,Q$10,$A22,$B22)</f>
        <v>792.02606793933046</v>
      </c>
      <c r="R22" s="4">
        <f ca="1">_xll.DBRW($B$1,$B$2,$B$7,$B$3,$B$4,$B$5,$F22,$B$6,R$10,$A22,$B22)</f>
        <v>827.66034225387864</v>
      </c>
      <c r="S22" s="4">
        <f ca="1">_xll.DBRW($B$1,$B$2,$B$7,$B$3,$B$4,$B$5,$F22,$B$6,S$10,$A22,$B22)</f>
        <v>820.04895014943384</v>
      </c>
      <c r="T22" s="4">
        <f ca="1">_xll.DBRW($B$1,$B$2,$B$7,$B$3,$B$4,$B$5,$F22,$B$6,T$10,$A22,$B22)</f>
        <v>1225.8497869749094</v>
      </c>
      <c r="U22" s="4">
        <f ca="1">_xll.DBRW($B$1,$B$2,$B$7,$B$3,$B$4,$B$5,$F22,$B$6,U$10,$A22,$B22)</f>
        <v>1150.6214579778875</v>
      </c>
      <c r="V22" s="4">
        <f ca="1">_xll.DBRW($B$1,$B$2,$B$7,$B$3,$B$4,$B$5,$F22,$B$6,V$10,$A22,$B22)</f>
        <v>1257.3368013947493</v>
      </c>
      <c r="W22" s="4">
        <f ca="1">_xll.DBRW($B$1,$B$2,$B$7,$B$3,$B$4,$B$5,$F22,$B$6,W$10,$A22,$B22)</f>
        <v>878.5036907971072</v>
      </c>
      <c r="X22" s="4">
        <f ca="1">_xll.DBRW($B$1,$B$2,$B$7,$B$3,$B$4,$B$5,$F22,$B$6,X$10,$A22,$B22)</f>
        <v>1038.7441792621137</v>
      </c>
      <c r="Y22" s="4">
        <f ca="1">_xll.DBRW($B$1,$B$2,$B$7,$B$3,$B$4,$B$5,$F22,$B$6,Y$10,$A22,$B22)</f>
        <v>997.1633966431973</v>
      </c>
      <c r="Z22" s="4">
        <f ca="1">_xll.DBRW($B$1,$B$2,$B$7,$B$3,$B$4,$B$5,$F22,$B$6,Z$10,$A22,$B22)</f>
        <v>1032.3701130578827</v>
      </c>
      <c r="AA22" s="4">
        <f ca="1">_xll.DBRW($B$1,$B$2,$B$7,$B$3,$B$4,$B$5,$F22,$B$6,AA$10,$A22,$B22)</f>
        <v>1046.2533834770927</v>
      </c>
      <c r="AB22" s="4">
        <f ca="1">_xll.DBRW($B$1,$B$2,$B$7,$B$3,$B$4,$B$5,$F22,$B$6,AB$10,$A22,$B22)</f>
        <v>981.6382358211589</v>
      </c>
      <c r="AC22" s="4">
        <f ca="1">_xll.DBRW($B$1,$B$2,$B$7,$B$3,$B$4,$B$5,$F22,$B$6,AC$10,$A22,$B22)</f>
        <v>1089.2683846335644</v>
      </c>
      <c r="AD22" s="4">
        <f ca="1">_xll.DBRW($B$1,$B$2,$B$7,$B$3,$B$4,$B$5,$F22,$B$6,AD$10,$A22,$B22)</f>
        <v>1316.3522272972441</v>
      </c>
      <c r="AE22" s="4">
        <f ca="1">_xll.DBRW($B$1,$B$2,$B$7,$B$3,$B$4,$B$5,$F22,$B$6,AE$10,$A22,$B22)</f>
        <v>1067.4109506700295</v>
      </c>
    </row>
    <row r="23" spans="1:31">
      <c r="A23" s="1" t="s">
        <v>151</v>
      </c>
      <c r="B23" s="5" t="s">
        <v>169</v>
      </c>
      <c r="C23" s="5" t="s">
        <v>170</v>
      </c>
      <c r="D23" s="5" t="s">
        <v>21</v>
      </c>
      <c r="E23" s="5" t="s">
        <v>35</v>
      </c>
      <c r="F23" s="5" t="s">
        <v>22</v>
      </c>
      <c r="G23" s="6"/>
      <c r="H23" s="6"/>
      <c r="I23" s="6"/>
      <c r="J23" s="6"/>
      <c r="K23" s="6"/>
      <c r="L23" s="4">
        <f ca="1">_xll.DBRW($B$1,$B$2,$B$7,$B$3,$B$4,$B$5,$F23,$B$6,L$10,$A23,$B23)</f>
        <v>1162.5939044567958</v>
      </c>
      <c r="M23" s="4">
        <f ca="1">_xll.DBRW($B$1,$B$2,$B$7,$B$3,$B$4,$B$5,$F23,$B$6,M$10,$A23,$B23)</f>
        <v>1191.2878842592531</v>
      </c>
      <c r="N23" s="4">
        <f ca="1">_xll.DBRW($B$1,$B$2,$B$7,$B$3,$B$4,$B$5,$F23,$B$6,N$10,$A23,$B23)</f>
        <v>1231.0604751279905</v>
      </c>
      <c r="O23" s="4">
        <f ca="1">_xll.DBRW($B$1,$B$2,$B$7,$B$3,$B$4,$B$5,$F23,$B$6,O$10,$A23,$B23)</f>
        <v>1105.0742375551883</v>
      </c>
      <c r="P23" s="4">
        <f ca="1">_xll.DBRW($B$1,$B$2,$B$7,$B$3,$B$4,$B$5,$F23,$B$6,P$10,$A23,$B23)</f>
        <v>906.90445863316063</v>
      </c>
      <c r="Q23" s="4">
        <f ca="1">_xll.DBRW($B$1,$B$2,$B$7,$B$3,$B$4,$B$5,$F23,$B$6,Q$10,$A23,$B23)</f>
        <v>856.97353776614693</v>
      </c>
      <c r="R23" s="4">
        <f ca="1">_xll.DBRW($B$1,$B$2,$B$7,$B$3,$B$4,$B$5,$F23,$B$6,R$10,$A23,$B23)</f>
        <v>760.71014202551453</v>
      </c>
      <c r="S23" s="4">
        <f ca="1">_xll.DBRW($B$1,$B$2,$B$7,$B$3,$B$4,$B$5,$F23,$B$6,S$10,$A23,$B23)</f>
        <v>716.01048184762726</v>
      </c>
      <c r="T23" s="4">
        <f ca="1">_xll.DBRW($B$1,$B$2,$B$7,$B$3,$B$4,$B$5,$F23,$B$6,T$10,$A23,$B23)</f>
        <v>459.58518440584191</v>
      </c>
      <c r="U23" s="4">
        <f ca="1">_xll.DBRW($B$1,$B$2,$B$7,$B$3,$B$4,$B$5,$F23,$B$6,U$10,$A23,$B23)</f>
        <v>427.71204621895754</v>
      </c>
      <c r="V23" s="4">
        <f ca="1">_xll.DBRW($B$1,$B$2,$B$7,$B$3,$B$4,$B$5,$F23,$B$6,V$10,$A23,$B23)</f>
        <v>722.70886950648378</v>
      </c>
      <c r="W23" s="4">
        <f ca="1">_xll.DBRW($B$1,$B$2,$B$7,$B$3,$B$4,$B$5,$F23,$B$6,W$10,$A23,$B23)</f>
        <v>1170.3951623935666</v>
      </c>
      <c r="X23" s="4">
        <f ca="1">_xll.DBRW($B$1,$B$2,$B$7,$B$3,$B$4,$B$5,$F23,$B$6,X$10,$A23,$B23)</f>
        <v>1378.2802101683139</v>
      </c>
      <c r="Y23" s="4">
        <f ca="1">_xll.DBRW($B$1,$B$2,$B$7,$B$3,$B$4,$B$5,$F23,$B$6,Y$10,$A23,$B23)</f>
        <v>1324.0762587428887</v>
      </c>
      <c r="Z23" s="4">
        <f ca="1">_xll.DBRW($B$1,$B$2,$B$7,$B$3,$B$4,$B$5,$F23,$B$6,Z$10,$A23,$B23)</f>
        <v>1295.3708317089056</v>
      </c>
      <c r="AA23" s="4">
        <f ca="1">_xll.DBRW($B$1,$B$2,$B$7,$B$3,$B$4,$B$5,$F23,$B$6,AA$10,$A23,$B23)</f>
        <v>1173.6477948270203</v>
      </c>
      <c r="AB23" s="4">
        <f ca="1">_xll.DBRW($B$1,$B$2,$B$7,$B$3,$B$4,$B$5,$F23,$B$6,AB$10,$A23,$B23)</f>
        <v>1159.746428613071</v>
      </c>
      <c r="AC23" s="4">
        <f ca="1">_xll.DBRW($B$1,$B$2,$B$7,$B$3,$B$4,$B$5,$F23,$B$6,AC$10,$A23,$B23)</f>
        <v>1149.5116672364682</v>
      </c>
      <c r="AD23" s="4">
        <f ca="1">_xll.DBRW($B$1,$B$2,$B$7,$B$3,$B$4,$B$5,$F23,$B$6,AD$10,$A23,$B23)</f>
        <v>770.67289579595513</v>
      </c>
      <c r="AE23" s="4">
        <f ca="1">_xll.DBRW($B$1,$B$2,$B$7,$B$3,$B$4,$B$5,$F23,$B$6,AE$10,$A23,$B23)</f>
        <v>755.59458248959868</v>
      </c>
    </row>
    <row r="24" spans="1:31">
      <c r="A24" s="1" t="s">
        <v>151</v>
      </c>
      <c r="B24" s="5" t="s">
        <v>33</v>
      </c>
      <c r="C24" s="5" t="s">
        <v>34</v>
      </c>
      <c r="D24" s="5" t="s">
        <v>35</v>
      </c>
      <c r="E24" s="5" t="s">
        <v>21</v>
      </c>
      <c r="F24" s="5" t="s">
        <v>22</v>
      </c>
      <c r="G24" s="6"/>
      <c r="H24" s="6"/>
      <c r="I24" s="6"/>
      <c r="J24" s="6"/>
      <c r="K24" s="6"/>
      <c r="L24" s="4">
        <f ca="1">_xll.DBRW($B$1,$B$2,$B$7,$B$3,$B$4,$B$5,$F24,$B$6,L$10,$A24,$B24)</f>
        <v>1162.5939044567958</v>
      </c>
      <c r="M24" s="4">
        <f ca="1">_xll.DBRW($B$1,$B$2,$B$7,$B$3,$B$4,$B$5,$F24,$B$6,M$10,$A24,$B24)</f>
        <v>1191.2878842592531</v>
      </c>
      <c r="N24" s="4">
        <f ca="1">_xll.DBRW($B$1,$B$2,$B$7,$B$3,$B$4,$B$5,$F24,$B$6,N$10,$A24,$B24)</f>
        <v>1231.0604751279905</v>
      </c>
      <c r="O24" s="4">
        <f ca="1">_xll.DBRW($B$1,$B$2,$B$7,$B$3,$B$4,$B$5,$F24,$B$6,O$10,$A24,$B24)</f>
        <v>1105.0742375551883</v>
      </c>
      <c r="P24" s="4">
        <f ca="1">_xll.DBRW($B$1,$B$2,$B$7,$B$3,$B$4,$B$5,$F24,$B$6,P$10,$A24,$B24)</f>
        <v>906.90445863316063</v>
      </c>
      <c r="Q24" s="4">
        <f ca="1">_xll.DBRW($B$1,$B$2,$B$7,$B$3,$B$4,$B$5,$F24,$B$6,Q$10,$A24,$B24)</f>
        <v>856.97353776614693</v>
      </c>
      <c r="R24" s="4">
        <f ca="1">_xll.DBRW($B$1,$B$2,$B$7,$B$3,$B$4,$B$5,$F24,$B$6,R$10,$A24,$B24)</f>
        <v>760.71014202551453</v>
      </c>
      <c r="S24" s="4">
        <f ca="1">_xll.DBRW($B$1,$B$2,$B$7,$B$3,$B$4,$B$5,$F24,$B$6,S$10,$A24,$B24)</f>
        <v>716.01048184762726</v>
      </c>
      <c r="T24" s="4">
        <f ca="1">_xll.DBRW($B$1,$B$2,$B$7,$B$3,$B$4,$B$5,$F24,$B$6,T$10,$A24,$B24)</f>
        <v>459.58518440584191</v>
      </c>
      <c r="U24" s="4">
        <f ca="1">_xll.DBRW($B$1,$B$2,$B$7,$B$3,$B$4,$B$5,$F24,$B$6,U$10,$A24,$B24)</f>
        <v>427.71204621895754</v>
      </c>
      <c r="V24" s="4">
        <f ca="1">_xll.DBRW($B$1,$B$2,$B$7,$B$3,$B$4,$B$5,$F24,$B$6,V$10,$A24,$B24)</f>
        <v>722.70886950648378</v>
      </c>
      <c r="W24" s="4">
        <f ca="1">_xll.DBRW($B$1,$B$2,$B$7,$B$3,$B$4,$B$5,$F24,$B$6,W$10,$A24,$B24)</f>
        <v>1170.3951623935666</v>
      </c>
      <c r="X24" s="4">
        <f ca="1">_xll.DBRW($B$1,$B$2,$B$7,$B$3,$B$4,$B$5,$F24,$B$6,X$10,$A24,$B24)</f>
        <v>1378.2802101683139</v>
      </c>
      <c r="Y24" s="4">
        <f ca="1">_xll.DBRW($B$1,$B$2,$B$7,$B$3,$B$4,$B$5,$F24,$B$6,Y$10,$A24,$B24)</f>
        <v>1324.0762587428887</v>
      </c>
      <c r="Z24" s="4">
        <f ca="1">_xll.DBRW($B$1,$B$2,$B$7,$B$3,$B$4,$B$5,$F24,$B$6,Z$10,$A24,$B24)</f>
        <v>1295.3708317089056</v>
      </c>
      <c r="AA24" s="4">
        <f ca="1">_xll.DBRW($B$1,$B$2,$B$7,$B$3,$B$4,$B$5,$F24,$B$6,AA$10,$A24,$B24)</f>
        <v>1173.6477948270203</v>
      </c>
      <c r="AB24" s="4">
        <f ca="1">_xll.DBRW($B$1,$B$2,$B$7,$B$3,$B$4,$B$5,$F24,$B$6,AB$10,$A24,$B24)</f>
        <v>1159.746428613071</v>
      </c>
      <c r="AC24" s="4">
        <f ca="1">_xll.DBRW($B$1,$B$2,$B$7,$B$3,$B$4,$B$5,$F24,$B$6,AC$10,$A24,$B24)</f>
        <v>1121.8877434501655</v>
      </c>
      <c r="AD24" s="4">
        <f ca="1">_xll.DBRW($B$1,$B$2,$B$7,$B$3,$B$4,$B$5,$F24,$B$6,AD$10,$A24,$B24)</f>
        <v>770.67289579595513</v>
      </c>
      <c r="AE24" s="4">
        <f ca="1">_xll.DBRW($B$1,$B$2,$B$7,$B$3,$B$4,$B$5,$F24,$B$6,AE$10,$A24,$B24)</f>
        <v>755.59458248959868</v>
      </c>
    </row>
    <row r="25" spans="1:31">
      <c r="A25" s="1" t="s">
        <v>151</v>
      </c>
      <c r="B25" s="5" t="s">
        <v>171</v>
      </c>
      <c r="C25" s="5" t="s">
        <v>163</v>
      </c>
      <c r="D25" s="5" t="s">
        <v>21</v>
      </c>
      <c r="E25" s="5" t="s">
        <v>54</v>
      </c>
      <c r="F25" s="5" t="s">
        <v>22</v>
      </c>
      <c r="G25" s="6"/>
      <c r="H25" s="6"/>
      <c r="I25" s="6"/>
      <c r="J25" s="6"/>
      <c r="K25" s="6"/>
      <c r="L25" s="4">
        <f ca="1">_xll.DBRW($B$1,$B$2,$B$7,$B$3,$B$4,$B$5,$F25,$B$6,L$10,$A25,$B25)</f>
        <v>1227.9782490720743</v>
      </c>
      <c r="M25" s="4">
        <f ca="1">_xll.DBRW($B$1,$B$2,$B$7,$B$3,$B$4,$B$5,$F25,$B$6,M$10,$A25,$B25)</f>
        <v>1287.0580867193107</v>
      </c>
      <c r="N25" s="4">
        <f ca="1">_xll.DBRW($B$1,$B$2,$B$7,$B$3,$B$4,$B$5,$F25,$B$6,N$10,$A25,$B25)</f>
        <v>1165.1009471696063</v>
      </c>
      <c r="O25" s="4">
        <f ca="1">_xll.DBRW($B$1,$B$2,$B$7,$B$3,$B$4,$B$5,$F25,$B$6,O$10,$A25,$B25)</f>
        <v>986.19503927273627</v>
      </c>
      <c r="P25" s="4">
        <f ca="1">_xll.DBRW($B$1,$B$2,$B$7,$B$3,$B$4,$B$5,$F25,$B$6,P$10,$A25,$B25)</f>
        <v>1265.0017024528995</v>
      </c>
      <c r="Q25" s="4">
        <f ca="1">_xll.DBRW($B$1,$B$2,$B$7,$B$3,$B$4,$B$5,$F25,$B$6,Q$10,$A25,$B25)</f>
        <v>1213.5346099154533</v>
      </c>
      <c r="R25" s="4">
        <f ca="1">_xll.DBRW($B$1,$B$2,$B$7,$B$3,$B$4,$B$5,$F25,$B$6,R$10,$A25,$B25)</f>
        <v>915.93526247823002</v>
      </c>
      <c r="S25" s="4">
        <f ca="1">_xll.DBRW($B$1,$B$2,$B$7,$B$3,$B$4,$B$5,$F25,$B$6,S$10,$A25,$B25)</f>
        <v>930.05551663289475</v>
      </c>
      <c r="T25" s="4">
        <f ca="1">_xll.DBRW($B$1,$B$2,$B$7,$B$3,$B$4,$B$5,$F25,$B$6,T$10,$A25,$B25)</f>
        <v>1191.4392912780136</v>
      </c>
      <c r="U25" s="4">
        <f ca="1">_xll.DBRW($B$1,$B$2,$B$7,$B$3,$B$4,$B$5,$F25,$B$6,U$10,$A25,$B25)</f>
        <v>1144.0925413407374</v>
      </c>
      <c r="V25" s="4">
        <f ca="1">_xll.DBRW($B$1,$B$2,$B$7,$B$3,$B$4,$B$5,$F25,$B$6,V$10,$A25,$B25)</f>
        <v>1396.2886358657508</v>
      </c>
      <c r="W25" s="4">
        <f ca="1">_xll.DBRW($B$1,$B$2,$B$7,$B$3,$B$4,$B$5,$F25,$B$6,W$10,$A25,$B25)</f>
        <v>991.30148128720407</v>
      </c>
      <c r="X25" s="4">
        <f ca="1">_xll.DBRW($B$1,$B$2,$B$7,$B$3,$B$4,$B$5,$F25,$B$6,X$10,$A25,$B25)</f>
        <v>1006.2834236601725</v>
      </c>
      <c r="Y25" s="4">
        <f ca="1">_xll.DBRW($B$1,$B$2,$B$7,$B$3,$B$4,$B$5,$F25,$B$6,Y$10,$A25,$B25)</f>
        <v>966.00204049809759</v>
      </c>
      <c r="Z25" s="4">
        <f ca="1">_xll.DBRW($B$1,$B$2,$B$7,$B$3,$B$4,$B$5,$F25,$B$6,Z$10,$A25,$B25)</f>
        <v>1010.7234445348043</v>
      </c>
      <c r="AA25" s="4">
        <f ca="1">_xll.DBRW($B$1,$B$2,$B$7,$B$3,$B$4,$B$5,$F25,$B$6,AA$10,$A25,$B25)</f>
        <v>1028.2579321404216</v>
      </c>
      <c r="AB25" s="4">
        <f ca="1">_xll.DBRW($B$1,$B$2,$B$7,$B$3,$B$4,$B$5,$F25,$B$6,AB$10,$A25,$B25)</f>
        <v>950.1106810236613</v>
      </c>
      <c r="AC25" s="4">
        <f ca="1">_xll.DBRW($B$1,$B$2,$B$7,$B$3,$B$4,$B$5,$F25,$B$6,AC$10,$A25,$B25)</f>
        <v>1052.0261469319109</v>
      </c>
      <c r="AD25" s="4">
        <f ca="1">_xll.DBRW($B$1,$B$2,$B$7,$B$3,$B$4,$B$5,$F25,$B$6,AD$10,$A25,$B25)</f>
        <v>1399.686566786261</v>
      </c>
      <c r="AE25" s="4">
        <f ca="1">_xll.DBRW($B$1,$B$2,$B$7,$B$3,$B$4,$B$5,$F25,$B$6,AE$10,$A25,$B25)</f>
        <v>1355.3624029205346</v>
      </c>
    </row>
    <row r="26" spans="1:31">
      <c r="A26" s="1" t="s">
        <v>151</v>
      </c>
      <c r="B26" s="5" t="s">
        <v>55</v>
      </c>
      <c r="C26" s="5" t="s">
        <v>53</v>
      </c>
      <c r="D26" s="5" t="s">
        <v>54</v>
      </c>
      <c r="E26" s="5" t="s">
        <v>21</v>
      </c>
      <c r="F26" s="5" t="s">
        <v>22</v>
      </c>
      <c r="G26" s="6"/>
      <c r="H26" s="6"/>
      <c r="I26" s="6"/>
      <c r="J26" s="6"/>
      <c r="K26" s="6"/>
      <c r="L26" s="4">
        <f ca="1">_xll.DBRW($B$1,$B$2,$B$7,$B$3,$B$4,$B$5,$F26,$B$6,L$10,$A26,$B26)</f>
        <v>1227.9782490720743</v>
      </c>
      <c r="M26" s="4">
        <f ca="1">_xll.DBRW($B$1,$B$2,$B$7,$B$3,$B$4,$B$5,$F26,$B$6,M$10,$A26,$B26)</f>
        <v>1287.0580867193107</v>
      </c>
      <c r="N26" s="4">
        <f ca="1">_xll.DBRW($B$1,$B$2,$B$7,$B$3,$B$4,$B$5,$F26,$B$6,N$10,$A26,$B26)</f>
        <v>1165.1009471696063</v>
      </c>
      <c r="O26" s="4">
        <f ca="1">_xll.DBRW($B$1,$B$2,$B$7,$B$3,$B$4,$B$5,$F26,$B$6,O$10,$A26,$B26)</f>
        <v>986.19503927273627</v>
      </c>
      <c r="P26" s="4">
        <f ca="1">_xll.DBRW($B$1,$B$2,$B$7,$B$3,$B$4,$B$5,$F26,$B$6,P$10,$A26,$B26)</f>
        <v>1265.0017024528995</v>
      </c>
      <c r="Q26" s="4">
        <f ca="1">_xll.DBRW($B$1,$B$2,$B$7,$B$3,$B$4,$B$5,$F26,$B$6,Q$10,$A26,$B26)</f>
        <v>1213.5346099154533</v>
      </c>
      <c r="R26" s="4">
        <f ca="1">_xll.DBRW($B$1,$B$2,$B$7,$B$3,$B$4,$B$5,$F26,$B$6,R$10,$A26,$B26)</f>
        <v>915.93526247823002</v>
      </c>
      <c r="S26" s="4">
        <f ca="1">_xll.DBRW($B$1,$B$2,$B$7,$B$3,$B$4,$B$5,$F26,$B$6,S$10,$A26,$B26)</f>
        <v>930.05551663289475</v>
      </c>
      <c r="T26" s="4">
        <f ca="1">_xll.DBRW($B$1,$B$2,$B$7,$B$3,$B$4,$B$5,$F26,$B$6,T$10,$A26,$B26)</f>
        <v>1191.4392912780136</v>
      </c>
      <c r="U26" s="4">
        <f ca="1">_xll.DBRW($B$1,$B$2,$B$7,$B$3,$B$4,$B$5,$F26,$B$6,U$10,$A26,$B26)</f>
        <v>1144.0925413407374</v>
      </c>
      <c r="V26" s="4">
        <f ca="1">_xll.DBRW($B$1,$B$2,$B$7,$B$3,$B$4,$B$5,$F26,$B$6,V$10,$A26,$B26)</f>
        <v>1396.2886358657508</v>
      </c>
      <c r="W26" s="4">
        <f ca="1">_xll.DBRW($B$1,$B$2,$B$7,$B$3,$B$4,$B$5,$F26,$B$6,W$10,$A26,$B26)</f>
        <v>991.30148128720407</v>
      </c>
      <c r="X26" s="4">
        <f ca="1">_xll.DBRW($B$1,$B$2,$B$7,$B$3,$B$4,$B$5,$F26,$B$6,X$10,$A26,$B26)</f>
        <v>1006.2834236601725</v>
      </c>
      <c r="Y26" s="4">
        <f ca="1">_xll.DBRW($B$1,$B$2,$B$7,$B$3,$B$4,$B$5,$F26,$B$6,Y$10,$A26,$B26)</f>
        <v>966.00204049809759</v>
      </c>
      <c r="Z26" s="4">
        <f ca="1">_xll.DBRW($B$1,$B$2,$B$7,$B$3,$B$4,$B$5,$F26,$B$6,Z$10,$A26,$B26)</f>
        <v>1010.7234445348043</v>
      </c>
      <c r="AA26" s="4">
        <f ca="1">_xll.DBRW($B$1,$B$2,$B$7,$B$3,$B$4,$B$5,$F26,$B$6,AA$10,$A26,$B26)</f>
        <v>1028.2579321404216</v>
      </c>
      <c r="AB26" s="4">
        <f ca="1">_xll.DBRW($B$1,$B$2,$B$7,$B$3,$B$4,$B$5,$F26,$B$6,AB$10,$A26,$B26)</f>
        <v>950.1106810236613</v>
      </c>
      <c r="AC26" s="4">
        <f ca="1">_xll.DBRW($B$1,$B$2,$B$7,$B$3,$B$4,$B$5,$F26,$B$6,AC$10,$A26,$B26)</f>
        <v>1020.6374938473208</v>
      </c>
      <c r="AD26" s="4">
        <f ca="1">_xll.DBRW($B$1,$B$2,$B$7,$B$3,$B$4,$B$5,$F26,$B$6,AD$10,$A26,$B26)</f>
        <v>1399.686566786261</v>
      </c>
      <c r="AE26" s="4">
        <f ca="1">_xll.DBRW($B$1,$B$2,$B$7,$B$3,$B$4,$B$5,$F26,$B$6,AE$10,$A26,$B26)</f>
        <v>1311.6410350843882</v>
      </c>
    </row>
    <row r="27" spans="1:31">
      <c r="A27" s="1" t="s">
        <v>151</v>
      </c>
      <c r="B27" s="5" t="s">
        <v>172</v>
      </c>
      <c r="C27" s="5" t="s">
        <v>159</v>
      </c>
      <c r="D27" s="5" t="s">
        <v>21</v>
      </c>
      <c r="E27" s="5" t="s">
        <v>38</v>
      </c>
      <c r="F27" s="5" t="s">
        <v>22</v>
      </c>
      <c r="G27" s="6"/>
      <c r="H27" s="6"/>
      <c r="I27" s="6"/>
      <c r="J27" s="6"/>
      <c r="K27" s="6"/>
      <c r="L27" s="4">
        <f ca="1">_xll.DBRW($B$1,$B$2,$B$7,$B$3,$B$4,$B$5,$F27,$B$6,L$10,$A27,$B27)</f>
        <v>1197.6485373961757</v>
      </c>
      <c r="M27" s="4">
        <f ca="1">_xll.DBRW($B$1,$B$2,$B$7,$B$3,$B$4,$B$5,$F27,$B$6,M$10,$A27,$B27)</f>
        <v>1233.11092649805</v>
      </c>
      <c r="N27" s="4">
        <f ca="1">_xll.DBRW($B$1,$B$2,$B$7,$B$3,$B$4,$B$5,$F27,$B$6,N$10,$A27,$B27)</f>
        <v>1301.8284786498607</v>
      </c>
      <c r="O27" s="4">
        <f ca="1">_xll.DBRW($B$1,$B$2,$B$7,$B$3,$B$4,$B$5,$F27,$B$6,O$10,$A27,$B27)</f>
        <v>1262.8676528519059</v>
      </c>
      <c r="P27" s="4">
        <f ca="1">_xll.DBRW($B$1,$B$2,$B$7,$B$3,$B$4,$B$5,$F27,$B$6,P$10,$A27,$B27)</f>
        <v>1279.0086577539848</v>
      </c>
      <c r="Q27" s="4">
        <f ca="1">_xll.DBRW($B$1,$B$2,$B$7,$B$3,$B$4,$B$5,$F27,$B$6,Q$10,$A27,$B27)</f>
        <v>1318.2518690357597</v>
      </c>
      <c r="R27" s="4">
        <f ca="1">_xll.DBRW($B$1,$B$2,$B$7,$B$3,$B$4,$B$5,$F27,$B$6,R$10,$A27,$B27)</f>
        <v>859.40263432568895</v>
      </c>
      <c r="S27" s="4">
        <f ca="1">_xll.DBRW($B$1,$B$2,$B$7,$B$3,$B$4,$B$5,$F27,$B$6,S$10,$A27,$B27)</f>
        <v>896.35045947043</v>
      </c>
      <c r="T27" s="4">
        <f ca="1">_xll.DBRW($B$1,$B$2,$B$7,$B$3,$B$4,$B$5,$F27,$B$6,T$10,$A27,$B27)</f>
        <v>879.37721160964975</v>
      </c>
      <c r="U27" s="4">
        <f ca="1">_xll.DBRW($B$1,$B$2,$B$7,$B$3,$B$4,$B$5,$F27,$B$6,U$10,$A27,$B27)</f>
        <v>815.77201250585301</v>
      </c>
      <c r="V27" s="4">
        <f ca="1">_xll.DBRW($B$1,$B$2,$B$7,$B$3,$B$4,$B$5,$F27,$B$6,V$10,$A27,$B27)</f>
        <v>993.57112770164929</v>
      </c>
      <c r="W27" s="4">
        <f ca="1">_xll.DBRW($B$1,$B$2,$B$7,$B$3,$B$4,$B$5,$F27,$B$6,W$10,$A27,$B27)</f>
        <v>924.64309045385539</v>
      </c>
      <c r="X27" s="4">
        <f ca="1">_xll.DBRW($B$1,$B$2,$B$7,$B$3,$B$4,$B$5,$F27,$B$6,X$10,$A27,$B27)</f>
        <v>966.18981656648714</v>
      </c>
      <c r="Y27" s="4">
        <f ca="1">_xll.DBRW($B$1,$B$2,$B$7,$B$3,$B$4,$B$5,$F27,$B$6,Y$10,$A27,$B27)</f>
        <v>961.24046167875326</v>
      </c>
      <c r="Z27" s="4">
        <f ca="1">_xll.DBRW($B$1,$B$2,$B$7,$B$3,$B$4,$B$5,$F27,$B$6,Z$10,$A27,$B27)</f>
        <v>976.35834807531489</v>
      </c>
      <c r="AA27" s="4">
        <f ca="1">_xll.DBRW($B$1,$B$2,$B$7,$B$3,$B$4,$B$5,$F27,$B$6,AA$10,$A27,$B27)</f>
        <v>943.19929566119288</v>
      </c>
      <c r="AB27" s="4">
        <f ca="1">_xll.DBRW($B$1,$B$2,$B$7,$B$3,$B$4,$B$5,$F27,$B$6,AB$10,$A27,$B27)</f>
        <v>887.04484410209943</v>
      </c>
      <c r="AC27" s="4">
        <f ca="1">_xll.DBRW($B$1,$B$2,$B$7,$B$3,$B$4,$B$5,$F27,$B$6,AC$10,$A27,$B27)</f>
        <v>963.80547027610817</v>
      </c>
      <c r="AD27" s="4">
        <f ca="1">_xll.DBRW($B$1,$B$2,$B$7,$B$3,$B$4,$B$5,$F27,$B$6,AD$10,$A27,$B27)</f>
        <v>944.83865555278408</v>
      </c>
      <c r="AE27" s="4">
        <f ca="1">_xll.DBRW($B$1,$B$2,$B$7,$B$3,$B$4,$B$5,$F27,$B$6,AE$10,$A27,$B27)</f>
        <v>909.36073019776165</v>
      </c>
    </row>
    <row r="28" spans="1:31">
      <c r="A28" s="1" t="s">
        <v>151</v>
      </c>
      <c r="B28" s="5" t="s">
        <v>40</v>
      </c>
      <c r="C28" s="5" t="s">
        <v>37</v>
      </c>
      <c r="D28" s="5" t="s">
        <v>38</v>
      </c>
      <c r="E28" s="5" t="s">
        <v>21</v>
      </c>
      <c r="F28" s="5" t="s">
        <v>22</v>
      </c>
      <c r="G28" s="6"/>
      <c r="H28" s="6"/>
      <c r="I28" s="6"/>
      <c r="J28" s="6"/>
      <c r="K28" s="6"/>
      <c r="L28" s="4">
        <f ca="1">_xll.DBRW($B$1,$B$2,$B$7,$B$3,$B$4,$B$5,$F28,$B$6,L$10,$A28,$B28)</f>
        <v>1197.6485373961757</v>
      </c>
      <c r="M28" s="4">
        <f ca="1">_xll.DBRW($B$1,$B$2,$B$7,$B$3,$B$4,$B$5,$F28,$B$6,M$10,$A28,$B28)</f>
        <v>1233.11092649805</v>
      </c>
      <c r="N28" s="4">
        <f ca="1">_xll.DBRW($B$1,$B$2,$B$7,$B$3,$B$4,$B$5,$F28,$B$6,N$10,$A28,$B28)</f>
        <v>1301.8284786498607</v>
      </c>
      <c r="O28" s="4">
        <f ca="1">_xll.DBRW($B$1,$B$2,$B$7,$B$3,$B$4,$B$5,$F28,$B$6,O$10,$A28,$B28)</f>
        <v>1262.8676528519059</v>
      </c>
      <c r="P28" s="4">
        <f ca="1">_xll.DBRW($B$1,$B$2,$B$7,$B$3,$B$4,$B$5,$F28,$B$6,P$10,$A28,$B28)</f>
        <v>1279.0086577539848</v>
      </c>
      <c r="Q28" s="4">
        <f ca="1">_xll.DBRW($B$1,$B$2,$B$7,$B$3,$B$4,$B$5,$F28,$B$6,Q$10,$A28,$B28)</f>
        <v>1318.2518690357597</v>
      </c>
      <c r="R28" s="4">
        <f ca="1">_xll.DBRW($B$1,$B$2,$B$7,$B$3,$B$4,$B$5,$F28,$B$6,R$10,$A28,$B28)</f>
        <v>859.40263432568895</v>
      </c>
      <c r="S28" s="4">
        <f ca="1">_xll.DBRW($B$1,$B$2,$B$7,$B$3,$B$4,$B$5,$F28,$B$6,S$10,$A28,$B28)</f>
        <v>896.35045947043</v>
      </c>
      <c r="T28" s="4">
        <f ca="1">_xll.DBRW($B$1,$B$2,$B$7,$B$3,$B$4,$B$5,$F28,$B$6,T$10,$A28,$B28)</f>
        <v>879.37721160964975</v>
      </c>
      <c r="U28" s="4">
        <f ca="1">_xll.DBRW($B$1,$B$2,$B$7,$B$3,$B$4,$B$5,$F28,$B$6,U$10,$A28,$B28)</f>
        <v>815.77201250585301</v>
      </c>
      <c r="V28" s="4">
        <f ca="1">_xll.DBRW($B$1,$B$2,$B$7,$B$3,$B$4,$B$5,$F28,$B$6,V$10,$A28,$B28)</f>
        <v>993.57112770164929</v>
      </c>
      <c r="W28" s="4">
        <f ca="1">_xll.DBRW($B$1,$B$2,$B$7,$B$3,$B$4,$B$5,$F28,$B$6,W$10,$A28,$B28)</f>
        <v>924.64309045385539</v>
      </c>
      <c r="X28" s="4">
        <f ca="1">_xll.DBRW($B$1,$B$2,$B$7,$B$3,$B$4,$B$5,$F28,$B$6,X$10,$A28,$B28)</f>
        <v>966.18981656648714</v>
      </c>
      <c r="Y28" s="4">
        <f ca="1">_xll.DBRW($B$1,$B$2,$B$7,$B$3,$B$4,$B$5,$F28,$B$6,Y$10,$A28,$B28)</f>
        <v>961.24046167875326</v>
      </c>
      <c r="Z28" s="4">
        <f ca="1">_xll.DBRW($B$1,$B$2,$B$7,$B$3,$B$4,$B$5,$F28,$B$6,Z$10,$A28,$B28)</f>
        <v>976.35834807531489</v>
      </c>
      <c r="AA28" s="4">
        <f ca="1">_xll.DBRW($B$1,$B$2,$B$7,$B$3,$B$4,$B$5,$F28,$B$6,AA$10,$A28,$B28)</f>
        <v>943.19929566119288</v>
      </c>
      <c r="AB28" s="4">
        <f ca="1">_xll.DBRW($B$1,$B$2,$B$7,$B$3,$B$4,$B$5,$F28,$B$6,AB$10,$A28,$B28)</f>
        <v>887.04484410209943</v>
      </c>
      <c r="AC28" s="4">
        <f ca="1">_xll.DBRW($B$1,$B$2,$B$7,$B$3,$B$4,$B$5,$F28,$B$6,AC$10,$A28,$B28)</f>
        <v>963.80547027610817</v>
      </c>
      <c r="AD28" s="4">
        <f ca="1">_xll.DBRW($B$1,$B$2,$B$7,$B$3,$B$4,$B$5,$F28,$B$6,AD$10,$A28,$B28)</f>
        <v>944.83865555278408</v>
      </c>
      <c r="AE28" s="4">
        <f ca="1">_xll.DBRW($B$1,$B$2,$B$7,$B$3,$B$4,$B$5,$F28,$B$6,AE$10,$A28,$B28)</f>
        <v>909.36073019776165</v>
      </c>
    </row>
    <row r="29" spans="1:31">
      <c r="A29" s="1" t="s">
        <v>151</v>
      </c>
      <c r="B29" s="5" t="s">
        <v>173</v>
      </c>
      <c r="C29" s="5" t="s">
        <v>168</v>
      </c>
      <c r="D29" s="5" t="s">
        <v>21</v>
      </c>
      <c r="E29" s="5" t="s">
        <v>76</v>
      </c>
      <c r="F29" s="5" t="s">
        <v>22</v>
      </c>
      <c r="G29" s="6"/>
      <c r="H29" s="6"/>
      <c r="I29" s="6"/>
      <c r="J29" s="6"/>
      <c r="K29" s="6"/>
      <c r="L29" s="4">
        <f ca="1">_xll.DBRW($B$1,$B$2,$B$7,$B$3,$B$4,$B$5,$F29,$B$6,L$10,$A29,$B29)</f>
        <v>944.80113683125433</v>
      </c>
      <c r="M29" s="4">
        <f ca="1">_xll.DBRW($B$1,$B$2,$B$7,$B$3,$B$4,$B$5,$F29,$B$6,M$10,$A29,$B29)</f>
        <v>947.93388865121301</v>
      </c>
      <c r="N29" s="4">
        <f ca="1">_xll.DBRW($B$1,$B$2,$B$7,$B$3,$B$4,$B$5,$F29,$B$6,N$10,$A29,$B29)</f>
        <v>849.23423150540521</v>
      </c>
      <c r="O29" s="4">
        <f ca="1">_xll.DBRW($B$1,$B$2,$B$7,$B$3,$B$4,$B$5,$F29,$B$6,O$10,$A29,$B29)</f>
        <v>892.7660355521615</v>
      </c>
      <c r="P29" s="4">
        <f ca="1">_xll.DBRW($B$1,$B$2,$B$7,$B$3,$B$4,$B$5,$F29,$B$6,P$10,$A29,$B29)</f>
        <v>837.68697970348808</v>
      </c>
      <c r="Q29" s="4">
        <f ca="1">_xll.DBRW($B$1,$B$2,$B$7,$B$3,$B$4,$B$5,$F29,$B$6,Q$10,$A29,$B29)</f>
        <v>710.09233677319287</v>
      </c>
      <c r="R29" s="4">
        <f ca="1">_xll.DBRW($B$1,$B$2,$B$7,$B$3,$B$4,$B$5,$F29,$B$6,R$10,$A29,$B29)</f>
        <v>0</v>
      </c>
      <c r="S29" s="4">
        <f ca="1">_xll.DBRW($B$1,$B$2,$B$7,$B$3,$B$4,$B$5,$F29,$B$6,S$10,$A29,$B29)</f>
        <v>0</v>
      </c>
      <c r="T29" s="4">
        <f ca="1">_xll.DBRW($B$1,$B$2,$B$7,$B$3,$B$4,$B$5,$F29,$B$6,T$10,$A29,$B29)</f>
        <v>0</v>
      </c>
      <c r="U29" s="4">
        <f ca="1">_xll.DBRW($B$1,$B$2,$B$7,$B$3,$B$4,$B$5,$F29,$B$6,U$10,$A29,$B29)</f>
        <v>0</v>
      </c>
      <c r="V29" s="4">
        <f ca="1">_xll.DBRW($B$1,$B$2,$B$7,$B$3,$B$4,$B$5,$F29,$B$6,V$10,$A29,$B29)</f>
        <v>82.571372031893986</v>
      </c>
      <c r="W29" s="4">
        <f ca="1">_xll.DBRW($B$1,$B$2,$B$7,$B$3,$B$4,$B$5,$F29,$B$6,W$10,$A29,$B29)</f>
        <v>1207.9425748460228</v>
      </c>
      <c r="X29" s="4">
        <f ca="1">_xll.DBRW($B$1,$B$2,$B$7,$B$3,$B$4,$B$5,$F29,$B$6,X$10,$A29,$B29)</f>
        <v>1428.2732464854062</v>
      </c>
      <c r="Y29" s="4">
        <f ca="1">_xll.DBRW($B$1,$B$2,$B$7,$B$3,$B$4,$B$5,$F29,$B$6,Y$10,$A29,$B29)</f>
        <v>1371.0996703843964</v>
      </c>
      <c r="Z29" s="4">
        <f ca="1">_xll.DBRW($B$1,$B$2,$B$7,$B$3,$B$4,$B$5,$F29,$B$6,Z$10,$A29,$B29)</f>
        <v>1419.5089054545888</v>
      </c>
      <c r="AA29" s="4">
        <f ca="1">_xll.DBRW($B$1,$B$2,$B$7,$B$3,$B$4,$B$5,$F29,$B$6,AA$10,$A29,$B29)</f>
        <v>1438.5984022810026</v>
      </c>
      <c r="AB29" s="4">
        <f ca="1">_xll.DBRW($B$1,$B$2,$B$7,$B$3,$B$4,$B$5,$F29,$B$6,AB$10,$A29,$B29)</f>
        <v>1349.7525742540934</v>
      </c>
      <c r="AC29" s="4">
        <f ca="1">_xll.DBRW($B$1,$B$2,$B$7,$B$3,$B$4,$B$5,$F29,$B$6,AC$10,$A29,$B29)</f>
        <v>1126.1233299783091</v>
      </c>
      <c r="AD29" s="4">
        <f ca="1">_xll.DBRW($B$1,$B$2,$B$7,$B$3,$B$4,$B$5,$F29,$B$6,AD$10,$A29,$B29)</f>
        <v>0</v>
      </c>
      <c r="AE29" s="4">
        <f ca="1">_xll.DBRW($B$1,$B$2,$B$7,$B$3,$B$4,$B$5,$F29,$B$6,AE$10,$A29,$B29)</f>
        <v>0</v>
      </c>
    </row>
    <row r="30" spans="1:31">
      <c r="A30" s="1" t="s">
        <v>151</v>
      </c>
      <c r="B30" s="5" t="s">
        <v>77</v>
      </c>
      <c r="C30" s="5" t="s">
        <v>75</v>
      </c>
      <c r="D30" s="5" t="s">
        <v>76</v>
      </c>
      <c r="E30" s="5" t="s">
        <v>21</v>
      </c>
      <c r="F30" s="5" t="s">
        <v>22</v>
      </c>
      <c r="G30" s="6"/>
      <c r="H30" s="6"/>
      <c r="I30" s="6"/>
      <c r="J30" s="6"/>
      <c r="K30" s="6"/>
      <c r="L30" s="4">
        <f ca="1">_xll.DBRW($B$1,$B$2,$B$7,$B$3,$B$4,$B$5,$F30,$B$6,L$10,$A30,$B30)</f>
        <v>944.80113683125433</v>
      </c>
      <c r="M30" s="4">
        <f ca="1">_xll.DBRW($B$1,$B$2,$B$7,$B$3,$B$4,$B$5,$F30,$B$6,M$10,$A30,$B30)</f>
        <v>947.93388865121301</v>
      </c>
      <c r="N30" s="4">
        <f ca="1">_xll.DBRW($B$1,$B$2,$B$7,$B$3,$B$4,$B$5,$F30,$B$6,N$10,$A30,$B30)</f>
        <v>889.41305536157495</v>
      </c>
      <c r="O30" s="4">
        <f ca="1">_xll.DBRW($B$1,$B$2,$B$7,$B$3,$B$4,$B$5,$F30,$B$6,O$10,$A30,$B30)</f>
        <v>892.7660355521615</v>
      </c>
      <c r="P30" s="4">
        <f ca="1">_xll.DBRW($B$1,$B$2,$B$7,$B$3,$B$4,$B$5,$F30,$B$6,P$10,$A30,$B30)</f>
        <v>837.68697970348808</v>
      </c>
      <c r="Q30" s="4">
        <f ca="1">_xll.DBRW($B$1,$B$2,$B$7,$B$3,$B$4,$B$5,$F30,$B$6,Q$10,$A30,$B30)</f>
        <v>710.09233677319287</v>
      </c>
      <c r="R30" s="4">
        <f ca="1">_xll.DBRW($B$1,$B$2,$B$7,$B$3,$B$4,$B$5,$F30,$B$6,R$10,$A30,$B30)</f>
        <v>0</v>
      </c>
      <c r="S30" s="4">
        <f ca="1">_xll.DBRW($B$1,$B$2,$B$7,$B$3,$B$4,$B$5,$F30,$B$6,S$10,$A30,$B30)</f>
        <v>0</v>
      </c>
      <c r="T30" s="4">
        <f ca="1">_xll.DBRW($B$1,$B$2,$B$7,$B$3,$B$4,$B$5,$F30,$B$6,T$10,$A30,$B30)</f>
        <v>0</v>
      </c>
      <c r="U30" s="4">
        <f ca="1">_xll.DBRW($B$1,$B$2,$B$7,$B$3,$B$4,$B$5,$F30,$B$6,U$10,$A30,$B30)</f>
        <v>0</v>
      </c>
      <c r="V30" s="4">
        <f ca="1">_xll.DBRW($B$1,$B$2,$B$7,$B$3,$B$4,$B$5,$F30,$B$6,V$10,$A30,$B30)</f>
        <v>82.571372031893986</v>
      </c>
      <c r="W30" s="4">
        <f ca="1">_xll.DBRW($B$1,$B$2,$B$7,$B$3,$B$4,$B$5,$F30,$B$6,W$10,$A30,$B30)</f>
        <v>1207.9425748460228</v>
      </c>
      <c r="X30" s="4">
        <f ca="1">_xll.DBRW($B$1,$B$2,$B$7,$B$3,$B$4,$B$5,$F30,$B$6,X$10,$A30,$B30)</f>
        <v>1428.2732464854062</v>
      </c>
      <c r="Y30" s="4">
        <f ca="1">_xll.DBRW($B$1,$B$2,$B$7,$B$3,$B$4,$B$5,$F30,$B$6,Y$10,$A30,$B30)</f>
        <v>1371.0996703843964</v>
      </c>
      <c r="Z30" s="4">
        <f ca="1">_xll.DBRW($B$1,$B$2,$B$7,$B$3,$B$4,$B$5,$F30,$B$6,Z$10,$A30,$B30)</f>
        <v>1419.5089054545888</v>
      </c>
      <c r="AA30" s="4">
        <f ca="1">_xll.DBRW($B$1,$B$2,$B$7,$B$3,$B$4,$B$5,$F30,$B$6,AA$10,$A30,$B30)</f>
        <v>1438.5984022810026</v>
      </c>
      <c r="AB30" s="4">
        <f ca="1">_xll.DBRW($B$1,$B$2,$B$7,$B$3,$B$4,$B$5,$F30,$B$6,AB$10,$A30,$B30)</f>
        <v>1349.7525742540934</v>
      </c>
      <c r="AC30" s="4">
        <f ca="1">_xll.DBRW($B$1,$B$2,$B$7,$B$3,$B$4,$B$5,$F30,$B$6,AC$10,$A30,$B30)</f>
        <v>1081.0783967791767</v>
      </c>
      <c r="AD30" s="4">
        <f ca="1">_xll.DBRW($B$1,$B$2,$B$7,$B$3,$B$4,$B$5,$F30,$B$6,AD$10,$A30,$B30)</f>
        <v>0</v>
      </c>
      <c r="AE30" s="4">
        <f ca="1">_xll.DBRW($B$1,$B$2,$B$7,$B$3,$B$4,$B$5,$F30,$B$6,AE$10,$A30,$B30)</f>
        <v>0</v>
      </c>
    </row>
    <row r="31" spans="1:31">
      <c r="A31" s="1" t="s">
        <v>151</v>
      </c>
      <c r="B31" s="5" t="s">
        <v>174</v>
      </c>
      <c r="C31" s="5" t="s">
        <v>159</v>
      </c>
      <c r="D31" s="5" t="s">
        <v>21</v>
      </c>
      <c r="E31" s="5" t="s">
        <v>38</v>
      </c>
      <c r="F31" s="5" t="s">
        <v>22</v>
      </c>
      <c r="G31" s="6"/>
      <c r="H31" s="6"/>
      <c r="I31" s="6"/>
      <c r="J31" s="6"/>
      <c r="K31" s="6"/>
      <c r="L31" s="4">
        <f ca="1">_xll.DBRW($B$1,$B$2,$B$7,$B$3,$B$4,$B$5,$F31,$B$6,L$10,$A31,$B31)</f>
        <v>985.16250656782188</v>
      </c>
      <c r="M31" s="4">
        <f ca="1">_xll.DBRW($B$1,$B$2,$B$7,$B$3,$B$4,$B$5,$F31,$B$6,M$10,$A31,$B31)</f>
        <v>997.69884053024055</v>
      </c>
      <c r="N31" s="4">
        <f ca="1">_xll.DBRW($B$1,$B$2,$B$7,$B$3,$B$4,$B$5,$F31,$B$6,N$10,$A31,$B31)</f>
        <v>1048.9072566247778</v>
      </c>
      <c r="O31" s="4">
        <f ca="1">_xll.DBRW($B$1,$B$2,$B$7,$B$3,$B$4,$B$5,$F31,$B$6,O$10,$A31,$B31)</f>
        <v>1050.8466172924584</v>
      </c>
      <c r="P31" s="4">
        <f ca="1">_xll.DBRW($B$1,$B$2,$B$7,$B$3,$B$4,$B$5,$F31,$B$6,P$10,$A31,$B31)</f>
        <v>1023.2069262031878</v>
      </c>
      <c r="Q31" s="4">
        <f ca="1">_xll.DBRW($B$1,$B$2,$B$7,$B$3,$B$4,$B$5,$F31,$B$6,Q$10,$A31,$B31)</f>
        <v>1108.8288936785823</v>
      </c>
      <c r="R31" s="4">
        <f ca="1">_xll.DBRW($B$1,$B$2,$B$7,$B$3,$B$4,$B$5,$F31,$B$6,R$10,$A31,$B31)</f>
        <v>1065.7755329856345</v>
      </c>
      <c r="S31" s="4">
        <f ca="1">_xll.DBRW($B$1,$B$2,$B$7,$B$3,$B$4,$B$5,$F31,$B$6,S$10,$A31,$B31)</f>
        <v>1075.6205513645159</v>
      </c>
      <c r="T31" s="4">
        <f ca="1">_xll.DBRW($B$1,$B$2,$B$7,$B$3,$B$4,$B$5,$F31,$B$6,T$10,$A31,$B31)</f>
        <v>954.4125199884129</v>
      </c>
      <c r="U31" s="4">
        <f ca="1">_xll.DBRW($B$1,$B$2,$B$7,$B$3,$B$4,$B$5,$F31,$B$6,U$10,$A31,$B31)</f>
        <v>879.68041901552806</v>
      </c>
      <c r="V31" s="4">
        <f ca="1">_xll.DBRW($B$1,$B$2,$B$7,$B$3,$B$4,$B$5,$F31,$B$6,V$10,$A31,$B31)</f>
        <v>1065.9436344020817</v>
      </c>
      <c r="W31" s="4">
        <f ca="1">_xll.DBRW($B$1,$B$2,$B$7,$B$3,$B$4,$B$5,$F31,$B$6,W$10,$A31,$B31)</f>
        <v>984.29748338636227</v>
      </c>
      <c r="X31" s="4">
        <f ca="1">_xll.DBRW($B$1,$B$2,$B$7,$B$3,$B$4,$B$5,$F31,$B$6,X$10,$A31,$B31)</f>
        <v>1040.589448643407</v>
      </c>
      <c r="Y31" s="4">
        <f ca="1">_xll.DBRW($B$1,$B$2,$B$7,$B$3,$B$4,$B$5,$F31,$B$6,Y$10,$A31,$B31)</f>
        <v>1024.2895672297254</v>
      </c>
      <c r="Z31" s="4">
        <f ca="1">_xll.DBRW($B$1,$B$2,$B$7,$B$3,$B$4,$B$5,$F31,$B$6,Z$10,$A31,$B31)</f>
        <v>1037.3172459780401</v>
      </c>
      <c r="AA31" s="4">
        <f ca="1">_xll.DBRW($B$1,$B$2,$B$7,$B$3,$B$4,$B$5,$F31,$B$6,AA$10,$A31,$B31)</f>
        <v>1016.810062752337</v>
      </c>
      <c r="AB31" s="4">
        <f ca="1">_xll.DBRW($B$1,$B$2,$B$7,$B$3,$B$4,$B$5,$F31,$B$6,AB$10,$A31,$B31)</f>
        <v>944.2735437215897</v>
      </c>
      <c r="AC31" s="4">
        <f ca="1">_xll.DBRW($B$1,$B$2,$B$7,$B$3,$B$4,$B$5,$F31,$B$6,AC$10,$A31,$B31)</f>
        <v>1039.0244195692485</v>
      </c>
      <c r="AD31" s="4">
        <f ca="1">_xll.DBRW($B$1,$B$2,$B$7,$B$3,$B$4,$B$5,$F31,$B$6,AD$10,$A31,$B31)</f>
        <v>1015.955543605144</v>
      </c>
      <c r="AE31" s="4">
        <f ca="1">_xll.DBRW($B$1,$B$2,$B$7,$B$3,$B$4,$B$5,$F31,$B$6,AE$10,$A31,$B31)</f>
        <v>986.95446576094218</v>
      </c>
    </row>
    <row r="32" spans="1:31">
      <c r="A32" s="1" t="s">
        <v>151</v>
      </c>
      <c r="B32" s="5" t="s">
        <v>41</v>
      </c>
      <c r="C32" s="5" t="s">
        <v>37</v>
      </c>
      <c r="D32" s="5" t="s">
        <v>38</v>
      </c>
      <c r="E32" s="5" t="s">
        <v>21</v>
      </c>
      <c r="F32" s="5" t="s">
        <v>22</v>
      </c>
      <c r="G32" s="6"/>
      <c r="H32" s="6"/>
      <c r="I32" s="6"/>
      <c r="J32" s="6"/>
      <c r="K32" s="6"/>
      <c r="L32" s="4">
        <f ca="1">_xll.DBRW($B$1,$B$2,$B$7,$B$3,$B$4,$B$5,$F32,$B$6,L$10,$A32,$B32)</f>
        <v>976.38209207078251</v>
      </c>
      <c r="M32" s="4">
        <f ca="1">_xll.DBRW($B$1,$B$2,$B$7,$B$3,$B$4,$B$5,$F32,$B$6,M$10,$A32,$B32)</f>
        <v>997.69884053024055</v>
      </c>
      <c r="N32" s="4">
        <f ca="1">_xll.DBRW($B$1,$B$2,$B$7,$B$3,$B$4,$B$5,$F32,$B$6,N$10,$A32,$B32)</f>
        <v>1007.8672092773114</v>
      </c>
      <c r="O32" s="4">
        <f ca="1">_xll.DBRW($B$1,$B$2,$B$7,$B$3,$B$4,$B$5,$F32,$B$6,O$10,$A32,$B32)</f>
        <v>1006.4055268695174</v>
      </c>
      <c r="P32" s="4">
        <f ca="1">_xll.DBRW($B$1,$B$2,$B$7,$B$3,$B$4,$B$5,$F32,$B$6,P$10,$A32,$B32)</f>
        <v>1023.2069262031878</v>
      </c>
      <c r="Q32" s="4">
        <f ca="1">_xll.DBRW($B$1,$B$2,$B$7,$B$3,$B$4,$B$5,$F32,$B$6,Q$10,$A32,$B32)</f>
        <v>1108.8288936785823</v>
      </c>
      <c r="R32" s="4">
        <f ca="1">_xll.DBRW($B$1,$B$2,$B$7,$B$3,$B$4,$B$5,$F32,$B$6,R$10,$A32,$B32)</f>
        <v>1065.7755329856345</v>
      </c>
      <c r="S32" s="4">
        <f ca="1">_xll.DBRW($B$1,$B$2,$B$7,$B$3,$B$4,$B$5,$F32,$B$6,S$10,$A32,$B32)</f>
        <v>1075.6205513645159</v>
      </c>
      <c r="T32" s="4">
        <f ca="1">_xll.DBRW($B$1,$B$2,$B$7,$B$3,$B$4,$B$5,$F32,$B$6,T$10,$A32,$B32)</f>
        <v>889.44292370923995</v>
      </c>
      <c r="U32" s="4">
        <f ca="1">_xll.DBRW($B$1,$B$2,$B$7,$B$3,$B$4,$B$5,$F32,$B$6,U$10,$A32,$B32)</f>
        <v>823.29064856581465</v>
      </c>
      <c r="V32" s="4">
        <f ca="1">_xll.DBRW($B$1,$B$2,$B$7,$B$3,$B$4,$B$5,$F32,$B$6,V$10,$A32,$B32)</f>
        <v>1029.7573810518657</v>
      </c>
      <c r="W32" s="4">
        <f ca="1">_xll.DBRW($B$1,$B$2,$B$7,$B$3,$B$4,$B$5,$F32,$B$6,W$10,$A32,$B32)</f>
        <v>1087.6984311360407</v>
      </c>
      <c r="X32" s="4">
        <f ca="1">_xll.DBRW($B$1,$B$2,$B$7,$B$3,$B$4,$B$5,$F32,$B$6,X$10,$A32,$B32)</f>
        <v>1158.2212993596186</v>
      </c>
      <c r="Y32" s="4">
        <f ca="1">_xll.DBRW($B$1,$B$2,$B$7,$B$3,$B$4,$B$5,$F32,$B$6,Y$10,$A32,$B32)</f>
        <v>1145.2198188602783</v>
      </c>
      <c r="Z32" s="4">
        <f ca="1">_xll.DBRW($B$1,$B$2,$B$7,$B$3,$B$4,$B$5,$F32,$B$6,Z$10,$A32,$B32)</f>
        <v>1156.1870968883541</v>
      </c>
      <c r="AA32" s="4">
        <f ca="1">_xll.DBRW($B$1,$B$2,$B$7,$B$3,$B$4,$B$5,$F32,$B$6,AA$10,$A32,$B32)</f>
        <v>1118.8836597853901</v>
      </c>
      <c r="AB32" s="4">
        <f ca="1">_xll.DBRW($B$1,$B$2,$B$7,$B$3,$B$4,$B$5,$F32,$B$6,AB$10,$A32,$B32)</f>
        <v>1055.8695079795957</v>
      </c>
      <c r="AC32" s="4">
        <f ca="1">_xll.DBRW($B$1,$B$2,$B$7,$B$3,$B$4,$B$5,$F32,$B$6,AC$10,$A32,$B32)</f>
        <v>1103.2112562993955</v>
      </c>
      <c r="AD32" s="4">
        <f ca="1">_xll.DBRW($B$1,$B$2,$B$7,$B$3,$B$4,$B$5,$F32,$B$6,AD$10,$A32,$B32)</f>
        <v>967.18967751209709</v>
      </c>
      <c r="AE32" s="4">
        <f ca="1">_xll.DBRW($B$1,$B$2,$B$7,$B$3,$B$4,$B$5,$F32,$B$6,AE$10,$A32,$B32)</f>
        <v>903.68313979069956</v>
      </c>
    </row>
    <row r="33" spans="1:31">
      <c r="A33" s="1" t="s">
        <v>151</v>
      </c>
      <c r="B33" s="5" t="s">
        <v>175</v>
      </c>
      <c r="C33" s="5" t="s">
        <v>159</v>
      </c>
      <c r="D33" s="5" t="s">
        <v>21</v>
      </c>
      <c r="E33" s="5" t="s">
        <v>38</v>
      </c>
      <c r="F33" s="5" t="s">
        <v>22</v>
      </c>
      <c r="G33" s="6"/>
      <c r="H33" s="6"/>
      <c r="I33" s="6"/>
      <c r="J33" s="6"/>
      <c r="K33" s="6"/>
      <c r="L33" s="4">
        <f ca="1">_xll.DBRW($B$1,$B$2,$B$7,$B$3,$B$4,$B$5,$F33,$B$6,L$10,$A33,$B33)</f>
        <v>357.36287002950405</v>
      </c>
      <c r="M33" s="4">
        <f ca="1">_xll.DBRW($B$1,$B$2,$B$7,$B$3,$B$4,$B$5,$F33,$B$6,M$10,$A33,$B33)</f>
        <v>941.64834387123835</v>
      </c>
      <c r="N33" s="4">
        <f ca="1">_xll.DBRW($B$1,$B$2,$B$7,$B$3,$B$4,$B$5,$F33,$B$6,N$10,$A33,$B33)</f>
        <v>1002.1406910427813</v>
      </c>
      <c r="O33" s="4">
        <f ca="1">_xll.DBRW($B$1,$B$2,$B$7,$B$3,$B$4,$B$5,$F33,$B$6,O$10,$A33,$B33)</f>
        <v>962.89029249705447</v>
      </c>
      <c r="P33" s="4">
        <f ca="1">_xll.DBRW($B$1,$B$2,$B$7,$B$3,$B$4,$B$5,$F33,$B$6,P$10,$A33,$B33)</f>
        <v>976.69752046667929</v>
      </c>
      <c r="Q33" s="4">
        <f ca="1">_xll.DBRW($B$1,$B$2,$B$7,$B$3,$B$4,$B$5,$F33,$B$6,Q$10,$A33,$B33)</f>
        <v>890.30057156674491</v>
      </c>
      <c r="R33" s="4">
        <f ca="1">_xll.DBRW($B$1,$B$2,$B$7,$B$3,$B$4,$B$5,$F33,$B$6,R$10,$A33,$B33)</f>
        <v>0</v>
      </c>
      <c r="S33" s="4">
        <f ca="1">_xll.DBRW($B$1,$B$2,$B$7,$B$3,$B$4,$B$5,$F33,$B$6,S$10,$A33,$B33)</f>
        <v>0</v>
      </c>
      <c r="T33" s="4">
        <f ca="1">_xll.DBRW($B$1,$B$2,$B$7,$B$3,$B$4,$B$5,$F33,$B$6,T$10,$A33,$B33)</f>
        <v>0</v>
      </c>
      <c r="U33" s="4">
        <f ca="1">_xll.DBRW($B$1,$B$2,$B$7,$B$3,$B$4,$B$5,$F33,$B$6,U$10,$A33,$B33)</f>
        <v>0</v>
      </c>
      <c r="V33" s="4">
        <f ca="1">_xll.DBRW($B$1,$B$2,$B$7,$B$3,$B$4,$B$5,$F33,$B$6,V$10,$A33,$B33)</f>
        <v>64.101363077525761</v>
      </c>
      <c r="W33" s="4">
        <f ca="1">_xll.DBRW($B$1,$B$2,$B$7,$B$3,$B$4,$B$5,$F33,$B$6,W$10,$A33,$B33)</f>
        <v>647.25016331769882</v>
      </c>
      <c r="X33" s="4">
        <f ca="1">_xll.DBRW($B$1,$B$2,$B$7,$B$3,$B$4,$B$5,$F33,$B$6,X$10,$A33,$B33)</f>
        <v>685.68309562782963</v>
      </c>
      <c r="Y33" s="4">
        <f ca="1">_xll.DBRW($B$1,$B$2,$B$7,$B$3,$B$4,$B$5,$F33,$B$6,Y$10,$A33,$B33)</f>
        <v>704.90967189775245</v>
      </c>
      <c r="Z33" s="4">
        <f ca="1">_xll.DBRW($B$1,$B$2,$B$7,$B$3,$B$4,$B$5,$F33,$B$6,Z$10,$A33,$B33)</f>
        <v>692.89947282764274</v>
      </c>
      <c r="AA33" s="4">
        <f ca="1">_xll.DBRW($B$1,$B$2,$B$7,$B$3,$B$4,$B$5,$F33,$B$6,AA$10,$A33,$B33)</f>
        <v>669.36724208213684</v>
      </c>
      <c r="AB33" s="4">
        <f ca="1">_xll.DBRW($B$1,$B$2,$B$7,$B$3,$B$4,$B$5,$F33,$B$6,AB$10,$A33,$B33)</f>
        <v>650.49955234153936</v>
      </c>
      <c r="AC33" s="4">
        <f ca="1">_xll.DBRW($B$1,$B$2,$B$7,$B$3,$B$4,$B$5,$F33,$B$6,AC$10,$A33,$B33)</f>
        <v>497.44798465863653</v>
      </c>
      <c r="AD33" s="4">
        <f ca="1">_xll.DBRW($B$1,$B$2,$B$7,$B$3,$B$4,$B$5,$F33,$B$6,AD$10,$A33,$B33)</f>
        <v>0</v>
      </c>
      <c r="AE33" s="4">
        <f ca="1">_xll.DBRW($B$1,$B$2,$B$7,$B$3,$B$4,$B$5,$F33,$B$6,AE$10,$A33,$B33)</f>
        <v>0</v>
      </c>
    </row>
    <row r="34" spans="1:31">
      <c r="A34" s="1" t="s">
        <v>151</v>
      </c>
      <c r="B34" s="5" t="s">
        <v>42</v>
      </c>
      <c r="C34" s="5" t="s">
        <v>37</v>
      </c>
      <c r="D34" s="5" t="s">
        <v>38</v>
      </c>
      <c r="E34" s="5" t="s">
        <v>21</v>
      </c>
      <c r="F34" s="5" t="s">
        <v>22</v>
      </c>
      <c r="G34" s="6"/>
      <c r="H34" s="6"/>
      <c r="I34" s="6"/>
      <c r="J34" s="6"/>
      <c r="K34" s="6"/>
      <c r="L34" s="4">
        <f ca="1">_xll.DBRW($B$1,$B$2,$B$7,$B$3,$B$4,$B$5,$F34,$B$6,L$10,$A34,$B34)</f>
        <v>373.16761612417497</v>
      </c>
      <c r="M34" s="4">
        <f ca="1">_xll.DBRW($B$1,$B$2,$B$7,$B$3,$B$4,$B$5,$F34,$B$6,M$10,$A34,$B34)</f>
        <v>978.08116669958974</v>
      </c>
      <c r="N34" s="4">
        <f ca="1">_xll.DBRW($B$1,$B$2,$B$7,$B$3,$B$4,$B$5,$F34,$B$6,N$10,$A34,$B34)</f>
        <v>1005.0039501600464</v>
      </c>
      <c r="O34" s="4">
        <f ca="1">_xll.DBRW($B$1,$B$2,$B$7,$B$3,$B$4,$B$5,$F34,$B$6,O$10,$A34,$B34)</f>
        <v>1021.2192236771645</v>
      </c>
      <c r="P34" s="4">
        <f ca="1">_xll.DBRW($B$1,$B$2,$B$7,$B$3,$B$4,$B$5,$F34,$B$6,P$10,$A34,$B34)</f>
        <v>1244.1266034516032</v>
      </c>
      <c r="Q34" s="4">
        <f ca="1">_xll.DBRW($B$1,$B$2,$B$7,$B$3,$B$4,$B$5,$F34,$B$6,Q$10,$A34,$B34)</f>
        <v>1133.1098183576753</v>
      </c>
      <c r="R34" s="4">
        <f ca="1">_xll.DBRW($B$1,$B$2,$B$7,$B$3,$B$4,$B$5,$F34,$B$6,R$10,$A34,$B34)</f>
        <v>0</v>
      </c>
      <c r="S34" s="4">
        <f ca="1">_xll.DBRW($B$1,$B$2,$B$7,$B$3,$B$4,$B$5,$F34,$B$6,S$10,$A34,$B34)</f>
        <v>0</v>
      </c>
      <c r="T34" s="4">
        <f ca="1">_xll.DBRW($B$1,$B$2,$B$7,$B$3,$B$4,$B$5,$F34,$B$6,T$10,$A34,$B34)</f>
        <v>0</v>
      </c>
      <c r="U34" s="4">
        <f ca="1">_xll.DBRW($B$1,$B$2,$B$7,$B$3,$B$4,$B$5,$F34,$B$6,U$10,$A34,$B34)</f>
        <v>0</v>
      </c>
      <c r="V34" s="4">
        <f ca="1">_xll.DBRW($B$1,$B$2,$B$7,$B$3,$B$4,$B$5,$F34,$B$6,V$10,$A34,$B34)</f>
        <v>64.101363077525761</v>
      </c>
      <c r="W34" s="4">
        <f ca="1">_xll.DBRW($B$1,$B$2,$B$7,$B$3,$B$4,$B$5,$F34,$B$6,W$10,$A34,$B34)</f>
        <v>647.25016331769882</v>
      </c>
      <c r="X34" s="4">
        <f ca="1">_xll.DBRW($B$1,$B$2,$B$7,$B$3,$B$4,$B$5,$F34,$B$6,X$10,$A34,$B34)</f>
        <v>685.68309562782963</v>
      </c>
      <c r="Y34" s="4">
        <f ca="1">_xll.DBRW($B$1,$B$2,$B$7,$B$3,$B$4,$B$5,$F34,$B$6,Y$10,$A34,$B34)</f>
        <v>704.90967189775245</v>
      </c>
      <c r="Z34" s="4">
        <f ca="1">_xll.DBRW($B$1,$B$2,$B$7,$B$3,$B$4,$B$5,$F34,$B$6,Z$10,$A34,$B34)</f>
        <v>692.89947282764274</v>
      </c>
      <c r="AA34" s="4">
        <f ca="1">_xll.DBRW($B$1,$B$2,$B$7,$B$3,$B$4,$B$5,$F34,$B$6,AA$10,$A34,$B34)</f>
        <v>669.36724208213684</v>
      </c>
      <c r="AB34" s="4">
        <f ca="1">_xll.DBRW($B$1,$B$2,$B$7,$B$3,$B$4,$B$5,$F34,$B$6,AB$10,$A34,$B34)</f>
        <v>650.49955234153936</v>
      </c>
      <c r="AC34" s="4">
        <f ca="1">_xll.DBRW($B$1,$B$2,$B$7,$B$3,$B$4,$B$5,$F34,$B$6,AC$10,$A34,$B34)</f>
        <v>497.44798465863653</v>
      </c>
      <c r="AD34" s="4">
        <f ca="1">_xll.DBRW($B$1,$B$2,$B$7,$B$3,$B$4,$B$5,$F34,$B$6,AD$10,$A34,$B34)</f>
        <v>0</v>
      </c>
      <c r="AE34" s="4">
        <f ca="1">_xll.DBRW($B$1,$B$2,$B$7,$B$3,$B$4,$B$5,$F34,$B$6,AE$10,$A34,$B34)</f>
        <v>0</v>
      </c>
    </row>
    <row r="35" spans="1:31">
      <c r="A35" s="1" t="s">
        <v>151</v>
      </c>
      <c r="B35" s="5" t="s">
        <v>176</v>
      </c>
      <c r="C35" s="5" t="s">
        <v>177</v>
      </c>
      <c r="D35" s="5" t="s">
        <v>28</v>
      </c>
      <c r="E35" s="5" t="s">
        <v>59</v>
      </c>
      <c r="F35" s="5" t="s">
        <v>22</v>
      </c>
      <c r="G35" s="6"/>
      <c r="H35" s="6"/>
      <c r="I35" s="6"/>
      <c r="J35" s="6"/>
      <c r="K35" s="6"/>
      <c r="L35" s="4">
        <f ca="1">_xll.DBRW($B$1,$B$2,$B$7,$B$3,$B$4,$B$5,$F35,$B$6,L$10,$A35,$B35)</f>
        <v>323.73972020991056</v>
      </c>
      <c r="M35" s="4">
        <f ca="1">_xll.DBRW($B$1,$B$2,$B$7,$B$3,$B$4,$B$5,$F35,$B$6,M$10,$A35,$B35)</f>
        <v>275.20661283422317</v>
      </c>
      <c r="N35" s="4">
        <f ca="1">_xll.DBRW($B$1,$B$2,$B$7,$B$3,$B$4,$B$5,$F35,$B$6,N$10,$A35,$B35)</f>
        <v>285.41405529964112</v>
      </c>
      <c r="O35" s="4">
        <f ca="1">_xll.DBRW($B$1,$B$2,$B$7,$B$3,$B$4,$B$5,$F35,$B$6,O$10,$A35,$B35)</f>
        <v>342.21653808160676</v>
      </c>
      <c r="P35" s="4">
        <f ca="1">_xll.DBRW($B$1,$B$2,$B$7,$B$3,$B$4,$B$5,$F35,$B$6,P$10,$A35,$B35)</f>
        <v>299.90309073665077</v>
      </c>
      <c r="Q35" s="4">
        <f ca="1">_xll.DBRW($B$1,$B$2,$B$7,$B$3,$B$4,$B$5,$F35,$B$6,Q$10,$A35,$B35)</f>
        <v>376.19035707463195</v>
      </c>
      <c r="R35" s="4">
        <f ca="1">_xll.DBRW($B$1,$B$2,$B$7,$B$3,$B$4,$B$5,$F35,$B$6,R$10,$A35,$B35)</f>
        <v>729.82569564578455</v>
      </c>
      <c r="S35" s="4">
        <f ca="1">_xll.DBRW($B$1,$B$2,$B$7,$B$3,$B$4,$B$5,$F35,$B$6,S$10,$A35,$B35)</f>
        <v>756.49676951236142</v>
      </c>
      <c r="T35" s="4">
        <f ca="1">_xll.DBRW($B$1,$B$2,$B$7,$B$3,$B$4,$B$5,$F35,$B$6,T$10,$A35,$B35)</f>
        <v>524.1023291060385</v>
      </c>
      <c r="U35" s="4">
        <f ca="1">_xll.DBRW($B$1,$B$2,$B$7,$B$3,$B$4,$B$5,$F35,$B$6,U$10,$A35,$B35)</f>
        <v>468.7159390299679</v>
      </c>
      <c r="V35" s="4">
        <f ca="1">_xll.DBRW($B$1,$B$2,$B$7,$B$3,$B$4,$B$5,$F35,$B$6,V$10,$A35,$B35)</f>
        <v>533.828483923205</v>
      </c>
      <c r="W35" s="4">
        <f ca="1">_xll.DBRW($B$1,$B$2,$B$7,$B$3,$B$4,$B$5,$F35,$B$6,W$10,$A35,$B35)</f>
        <v>659.96608783947374</v>
      </c>
      <c r="X35" s="4">
        <f ca="1">_xll.DBRW($B$1,$B$2,$B$7,$B$3,$B$4,$B$5,$F35,$B$6,X$10,$A35,$B35)</f>
        <v>520.22638339609364</v>
      </c>
      <c r="Y35" s="4">
        <f ca="1">_xll.DBRW($B$1,$B$2,$B$7,$B$3,$B$4,$B$5,$F35,$B$6,Y$10,$A35,$B35)</f>
        <v>603.63841164909763</v>
      </c>
      <c r="Z35" s="4">
        <f ca="1">_xll.DBRW($B$1,$B$2,$B$7,$B$3,$B$4,$B$5,$F35,$B$6,Z$10,$A35,$B35)</f>
        <v>644.88417755764237</v>
      </c>
      <c r="AA35" s="4">
        <f ca="1">_xll.DBRW($B$1,$B$2,$B$7,$B$3,$B$4,$B$5,$F35,$B$6,AA$10,$A35,$B35)</f>
        <v>739.36132269410143</v>
      </c>
      <c r="AB35" s="4">
        <f ca="1">_xll.DBRW($B$1,$B$2,$B$7,$B$3,$B$4,$B$5,$F35,$B$6,AB$10,$A35,$B35)</f>
        <v>630.65168650737314</v>
      </c>
      <c r="AC35" s="4">
        <f ca="1">_xll.DBRW($B$1,$B$2,$B$7,$B$3,$B$4,$B$5,$F35,$B$6,AC$10,$A35,$B35)</f>
        <v>664.88426426939895</v>
      </c>
      <c r="AD35" s="4">
        <f ca="1">_xll.DBRW($B$1,$B$2,$B$7,$B$3,$B$4,$B$5,$F35,$B$6,AD$10,$A35,$B35)</f>
        <v>454.19500445469401</v>
      </c>
      <c r="AE35" s="4">
        <f ca="1">_xll.DBRW($B$1,$B$2,$B$7,$B$3,$B$4,$B$5,$F35,$B$6,AE$10,$A35,$B35)</f>
        <v>410.83752503868101</v>
      </c>
    </row>
    <row r="36" spans="1:31">
      <c r="A36" s="1" t="s">
        <v>151</v>
      </c>
      <c r="B36" s="5" t="s">
        <v>64</v>
      </c>
      <c r="C36" s="5" t="s">
        <v>65</v>
      </c>
      <c r="D36" s="5" t="s">
        <v>59</v>
      </c>
      <c r="E36" s="5" t="s">
        <v>28</v>
      </c>
      <c r="F36" s="5" t="s">
        <v>22</v>
      </c>
      <c r="G36" s="6"/>
      <c r="H36" s="6"/>
      <c r="I36" s="6"/>
      <c r="J36" s="6"/>
      <c r="K36" s="6"/>
      <c r="L36" s="4">
        <f ca="1">_xll.DBRW($B$1,$B$2,$B$7,$B$3,$B$4,$B$5,$F36,$B$6,L$10,$A36,$B36)</f>
        <v>323.73972020991056</v>
      </c>
      <c r="M36" s="4">
        <f ca="1">_xll.DBRW($B$1,$B$2,$B$7,$B$3,$B$4,$B$5,$F36,$B$6,M$10,$A36,$B36)</f>
        <v>336.36363790849498</v>
      </c>
      <c r="N36" s="4">
        <f ca="1">_xll.DBRW($B$1,$B$2,$B$7,$B$3,$B$4,$B$5,$F36,$B$6,N$10,$A36,$B36)</f>
        <v>299.00520079010022</v>
      </c>
      <c r="O36" s="4">
        <f ca="1">_xll.DBRW($B$1,$B$2,$B$7,$B$3,$B$4,$B$5,$F36,$B$6,O$10,$A36,$B36)</f>
        <v>342.21653808160676</v>
      </c>
      <c r="P36" s="4">
        <f ca="1">_xll.DBRW($B$1,$B$2,$B$7,$B$3,$B$4,$B$5,$F36,$B$6,P$10,$A36,$B36)</f>
        <v>347.25621032664827</v>
      </c>
      <c r="Q36" s="4">
        <f ca="1">_xll.DBRW($B$1,$B$2,$B$7,$B$3,$B$4,$B$5,$F36,$B$6,Q$10,$A36,$B36)</f>
        <v>392.0484985906586</v>
      </c>
      <c r="R36" s="4">
        <f ca="1">_xll.DBRW($B$1,$B$2,$B$7,$B$3,$B$4,$B$5,$F36,$B$6,R$10,$A36,$B36)</f>
        <v>728.21991853765303</v>
      </c>
      <c r="S36" s="4">
        <f ca="1">_xll.DBRW($B$1,$B$2,$B$7,$B$3,$B$4,$B$5,$F36,$B$6,S$10,$A36,$B36)</f>
        <v>756.49676951236142</v>
      </c>
      <c r="T36" s="4">
        <f ca="1">_xll.DBRW($B$1,$B$2,$B$7,$B$3,$B$4,$B$5,$F36,$B$6,T$10,$A36,$B36)</f>
        <v>524.1023291060385</v>
      </c>
      <c r="U36" s="4">
        <f ca="1">_xll.DBRW($B$1,$B$2,$B$7,$B$3,$B$4,$B$5,$F36,$B$6,U$10,$A36,$B36)</f>
        <v>468.7159390299679</v>
      </c>
      <c r="V36" s="4">
        <f ca="1">_xll.DBRW($B$1,$B$2,$B$7,$B$3,$B$4,$B$5,$F36,$B$6,V$10,$A36,$B36)</f>
        <v>533.828483923205</v>
      </c>
      <c r="W36" s="4">
        <f ca="1">_xll.DBRW($B$1,$B$2,$B$7,$B$3,$B$4,$B$5,$F36,$B$6,W$10,$A36,$B36)</f>
        <v>734.96223418486841</v>
      </c>
      <c r="X36" s="4">
        <f ca="1">_xll.DBRW($B$1,$B$2,$B$7,$B$3,$B$4,$B$5,$F36,$B$6,X$10,$A36,$B36)</f>
        <v>565.39799411066042</v>
      </c>
      <c r="Y36" s="4">
        <f ca="1">_xll.DBRW($B$1,$B$2,$B$7,$B$3,$B$4,$B$5,$F36,$B$6,Y$10,$A36,$B36)</f>
        <v>656.12870831423641</v>
      </c>
      <c r="Z36" s="4">
        <f ca="1">_xll.DBRW($B$1,$B$2,$B$7,$B$3,$B$4,$B$5,$F36,$B$6,Z$10,$A36,$B36)</f>
        <v>700.87990932820458</v>
      </c>
      <c r="AA36" s="4">
        <f ca="1">_xll.DBRW($B$1,$B$2,$B$7,$B$3,$B$4,$B$5,$F36,$B$6,AA$10,$A36,$B36)</f>
        <v>819.61038087363499</v>
      </c>
      <c r="AB36" s="4">
        <f ca="1">_xll.DBRW($B$1,$B$2,$B$7,$B$3,$B$4,$B$5,$F36,$B$6,AB$10,$A36,$B36)</f>
        <v>686.7096141969173</v>
      </c>
      <c r="AC36" s="4">
        <f ca="1">_xll.DBRW($B$1,$B$2,$B$7,$B$3,$B$4,$B$5,$F36,$B$6,AC$10,$A36,$B36)</f>
        <v>694.73200987901589</v>
      </c>
      <c r="AD36" s="4">
        <f ca="1">_xll.DBRW($B$1,$B$2,$B$7,$B$3,$B$4,$B$5,$F36,$B$6,AD$10,$A36,$B36)</f>
        <v>454.19500445469401</v>
      </c>
      <c r="AE36" s="4">
        <f ca="1">_xll.DBRW($B$1,$B$2,$B$7,$B$3,$B$4,$B$5,$F36,$B$6,AE$10,$A36,$B36)</f>
        <v>397.58470165033646</v>
      </c>
    </row>
    <row r="37" spans="1:31">
      <c r="A37" s="1" t="s">
        <v>151</v>
      </c>
      <c r="B37" s="5" t="s">
        <v>178</v>
      </c>
      <c r="C37" s="5" t="s">
        <v>177</v>
      </c>
      <c r="D37" s="5" t="s">
        <v>28</v>
      </c>
      <c r="E37" s="5" t="s">
        <v>59</v>
      </c>
      <c r="F37" s="5" t="s">
        <v>22</v>
      </c>
      <c r="G37" s="6"/>
      <c r="H37" s="6"/>
      <c r="I37" s="6"/>
      <c r="J37" s="6"/>
      <c r="K37" s="6"/>
      <c r="L37" s="4">
        <f ca="1">_xll.DBRW($B$1,$B$2,$B$7,$B$3,$B$4,$B$5,$F37,$B$6,L$10,$A37,$B37)</f>
        <v>759.6846843562106</v>
      </c>
      <c r="M37" s="4">
        <f ca="1">_xll.DBRW($B$1,$B$2,$B$7,$B$3,$B$4,$B$5,$F37,$B$6,M$10,$A37,$B37)</f>
        <v>537.99070495023489</v>
      </c>
      <c r="N37" s="4">
        <f ca="1">_xll.DBRW($B$1,$B$2,$B$7,$B$3,$B$4,$B$5,$F37,$B$6,N$10,$A37,$B37)</f>
        <v>547.04360599097879</v>
      </c>
      <c r="O37" s="4">
        <f ca="1">_xll.DBRW($B$1,$B$2,$B$7,$B$3,$B$4,$B$5,$F37,$B$6,O$10,$A37,$B37)</f>
        <v>671.79439719997231</v>
      </c>
      <c r="P37" s="4">
        <f ca="1">_xll.DBRW($B$1,$B$2,$B$7,$B$3,$B$4,$B$5,$F37,$B$6,P$10,$A37,$B37)</f>
        <v>543.57435196017957</v>
      </c>
      <c r="Q37" s="4">
        <f ca="1">_xll.DBRW($B$1,$B$2,$B$7,$B$3,$B$4,$B$5,$F37,$B$6,Q$10,$A37,$B37)</f>
        <v>457.24308037876813</v>
      </c>
      <c r="R37" s="4">
        <f ca="1">_xll.DBRW($B$1,$B$2,$B$7,$B$3,$B$4,$B$5,$F37,$B$6,R$10,$A37,$B37)</f>
        <v>0</v>
      </c>
      <c r="S37" s="4">
        <f ca="1">_xll.DBRW($B$1,$B$2,$B$7,$B$3,$B$4,$B$5,$F37,$B$6,S$10,$A37,$B37)</f>
        <v>0</v>
      </c>
      <c r="T37" s="4">
        <f ca="1">_xll.DBRW($B$1,$B$2,$B$7,$B$3,$B$4,$B$5,$F37,$B$6,T$10,$A37,$B37)</f>
        <v>0</v>
      </c>
      <c r="U37" s="4">
        <f ca="1">_xll.DBRW($B$1,$B$2,$B$7,$B$3,$B$4,$B$5,$F37,$B$6,U$10,$A37,$B37)</f>
        <v>0</v>
      </c>
      <c r="V37" s="4">
        <f ca="1">_xll.DBRW($B$1,$B$2,$B$7,$B$3,$B$4,$B$5,$F37,$B$6,V$10,$A37,$B37)</f>
        <v>0</v>
      </c>
      <c r="W37" s="4">
        <f ca="1">_xll.DBRW($B$1,$B$2,$B$7,$B$3,$B$4,$B$5,$F37,$B$6,W$10,$A37,$B37)</f>
        <v>143.9926009831579</v>
      </c>
      <c r="X37" s="4">
        <f ca="1">_xll.DBRW($B$1,$B$2,$B$7,$B$3,$B$4,$B$5,$F37,$B$6,X$10,$A37,$B37)</f>
        <v>108.41186571496017</v>
      </c>
      <c r="Y37" s="4">
        <f ca="1">_xll.DBRW($B$1,$B$2,$B$7,$B$3,$B$4,$B$5,$F37,$B$6,Y$10,$A37,$B37)</f>
        <v>111.97929955229635</v>
      </c>
      <c r="Z37" s="4">
        <f ca="1">_xll.DBRW($B$1,$B$2,$B$7,$B$3,$B$4,$B$5,$F37,$B$6,Z$10,$A37,$B37)</f>
        <v>149.32195138816613</v>
      </c>
      <c r="AA37" s="4">
        <f ca="1">_xll.DBRW($B$1,$B$2,$B$7,$B$3,$B$4,$B$5,$F37,$B$6,AA$10,$A37,$B37)</f>
        <v>136.95839262640376</v>
      </c>
      <c r="AB37" s="4">
        <f ca="1">_xll.DBRW($B$1,$B$2,$B$7,$B$3,$B$4,$B$5,$F37,$B$6,AB$10,$A37,$B37)</f>
        <v>134.53902645490626</v>
      </c>
      <c r="AC37" s="4">
        <f ca="1">_xll.DBRW($B$1,$B$2,$B$7,$B$3,$B$4,$B$5,$F37,$B$6,AC$10,$A37,$B37)</f>
        <v>115.27405200955522</v>
      </c>
      <c r="AD37" s="4">
        <f ca="1">_xll.DBRW($B$1,$B$2,$B$7,$B$3,$B$4,$B$5,$F37,$B$6,AD$10,$A37,$B37)</f>
        <v>0</v>
      </c>
      <c r="AE37" s="4">
        <f ca="1">_xll.DBRW($B$1,$B$2,$B$7,$B$3,$B$4,$B$5,$F37,$B$6,AE$10,$A37,$B37)</f>
        <v>0</v>
      </c>
    </row>
    <row r="38" spans="1:31">
      <c r="A38" s="1" t="s">
        <v>151</v>
      </c>
      <c r="B38" s="5" t="s">
        <v>66</v>
      </c>
      <c r="C38" s="5" t="s">
        <v>65</v>
      </c>
      <c r="D38" s="5" t="s">
        <v>59</v>
      </c>
      <c r="E38" s="5" t="s">
        <v>28</v>
      </c>
      <c r="F38" s="5" t="s">
        <v>22</v>
      </c>
      <c r="G38" s="6"/>
      <c r="H38" s="6"/>
      <c r="I38" s="6"/>
      <c r="J38" s="6"/>
      <c r="K38" s="6"/>
      <c r="L38" s="4">
        <f ca="1">_xll.DBRW($B$1,$B$2,$B$7,$B$3,$B$4,$B$5,$F38,$B$6,L$10,$A38,$B38)</f>
        <v>745.88895764272013</v>
      </c>
      <c r="M38" s="4">
        <f ca="1">_xll.DBRW($B$1,$B$2,$B$7,$B$3,$B$4,$B$5,$F38,$B$6,M$10,$A38,$B38)</f>
        <v>506.45661389631351</v>
      </c>
      <c r="N38" s="4">
        <f ca="1">_xll.DBRW($B$1,$B$2,$B$7,$B$3,$B$4,$B$5,$F38,$B$6,N$10,$A38,$B38)</f>
        <v>533.45246050051969</v>
      </c>
      <c r="O38" s="4">
        <f ca="1">_xll.DBRW($B$1,$B$2,$B$7,$B$3,$B$4,$B$5,$F38,$B$6,O$10,$A38,$B38)</f>
        <v>671.79439719997231</v>
      </c>
      <c r="P38" s="4">
        <f ca="1">_xll.DBRW($B$1,$B$2,$B$7,$B$3,$B$4,$B$5,$F38,$B$6,P$10,$A38,$B38)</f>
        <v>496.22123237018207</v>
      </c>
      <c r="Q38" s="4">
        <f ca="1">_xll.DBRW($B$1,$B$2,$B$7,$B$3,$B$4,$B$5,$F38,$B$6,Q$10,$A38,$B38)</f>
        <v>443.14695458674441</v>
      </c>
      <c r="R38" s="4">
        <f ca="1">_xll.DBRW($B$1,$B$2,$B$7,$B$3,$B$4,$B$5,$F38,$B$6,R$10,$A38,$B38)</f>
        <v>0</v>
      </c>
      <c r="S38" s="4">
        <f ca="1">_xll.DBRW($B$1,$B$2,$B$7,$B$3,$B$4,$B$5,$F38,$B$6,S$10,$A38,$B38)</f>
        <v>0</v>
      </c>
      <c r="T38" s="4">
        <f ca="1">_xll.DBRW($B$1,$B$2,$B$7,$B$3,$B$4,$B$5,$F38,$B$6,T$10,$A38,$B38)</f>
        <v>0</v>
      </c>
      <c r="U38" s="4">
        <f ca="1">_xll.DBRW($B$1,$B$2,$B$7,$B$3,$B$4,$B$5,$F38,$B$6,U$10,$A38,$B38)</f>
        <v>0</v>
      </c>
      <c r="V38" s="4">
        <f ca="1">_xll.DBRW($B$1,$B$2,$B$7,$B$3,$B$4,$B$5,$F38,$B$6,V$10,$A38,$B38)</f>
        <v>0</v>
      </c>
      <c r="W38" s="4">
        <f ca="1">_xll.DBRW($B$1,$B$2,$B$7,$B$3,$B$4,$B$5,$F38,$B$6,W$10,$A38,$B38)</f>
        <v>143.9926009831579</v>
      </c>
      <c r="X38" s="4">
        <f ca="1">_xll.DBRW($B$1,$B$2,$B$7,$B$3,$B$4,$B$5,$F38,$B$6,X$10,$A38,$B38)</f>
        <v>108.41186571496017</v>
      </c>
      <c r="Y38" s="4">
        <f ca="1">_xll.DBRW($B$1,$B$2,$B$7,$B$3,$B$4,$B$5,$F38,$B$6,Y$10,$A38,$B38)</f>
        <v>111.97929955229635</v>
      </c>
      <c r="Z38" s="4">
        <f ca="1">_xll.DBRW($B$1,$B$2,$B$7,$B$3,$B$4,$B$5,$F38,$B$6,Z$10,$A38,$B38)</f>
        <v>149.32195138816613</v>
      </c>
      <c r="AA38" s="4">
        <f ca="1">_xll.DBRW($B$1,$B$2,$B$7,$B$3,$B$4,$B$5,$F38,$B$6,AA$10,$A38,$B38)</f>
        <v>136.95839262640376</v>
      </c>
      <c r="AB38" s="4">
        <f ca="1">_xll.DBRW($B$1,$B$2,$B$7,$B$3,$B$4,$B$5,$F38,$B$6,AB$10,$A38,$B38)</f>
        <v>134.53902645490626</v>
      </c>
      <c r="AC38" s="4">
        <f ca="1">_xll.DBRW($B$1,$B$2,$B$7,$B$3,$B$4,$B$5,$F38,$B$6,AC$10,$A38,$B38)</f>
        <v>115.27405200955522</v>
      </c>
      <c r="AD38" s="4">
        <f ca="1">_xll.DBRW($B$1,$B$2,$B$7,$B$3,$B$4,$B$5,$F38,$B$6,AD$10,$A38,$B38)</f>
        <v>0</v>
      </c>
      <c r="AE38" s="4">
        <f ca="1">_xll.DBRW($B$1,$B$2,$B$7,$B$3,$B$4,$B$5,$F38,$B$6,AE$10,$A38,$B38)</f>
        <v>0</v>
      </c>
    </row>
    <row r="39" spans="1:31">
      <c r="A39" s="1" t="s">
        <v>151</v>
      </c>
      <c r="B39" s="5" t="s">
        <v>179</v>
      </c>
      <c r="C39" s="5" t="s">
        <v>180</v>
      </c>
      <c r="D39" s="5" t="s">
        <v>28</v>
      </c>
      <c r="E39" s="5" t="s">
        <v>181</v>
      </c>
      <c r="F39" s="5" t="s">
        <v>22</v>
      </c>
      <c r="G39" s="6"/>
      <c r="H39" s="6"/>
      <c r="I39" s="6"/>
      <c r="J39" s="6"/>
      <c r="K39" s="6"/>
      <c r="L39" s="4">
        <f ca="1">_xll.DBRW($B$1,$B$2,$B$7,$B$3,$B$4,$B$5,$F39,$B$6,L$10,$A39,$B39)</f>
        <v>0</v>
      </c>
      <c r="M39" s="4">
        <f ca="1">_xll.DBRW($B$1,$B$2,$B$7,$B$3,$B$4,$B$5,$F39,$B$6,M$10,$A39,$B39)</f>
        <v>0</v>
      </c>
      <c r="N39" s="4">
        <f ca="1">_xll.DBRW($B$1,$B$2,$B$7,$B$3,$B$4,$B$5,$F39,$B$6,N$10,$A39,$B39)</f>
        <v>0</v>
      </c>
      <c r="O39" s="4">
        <f ca="1">_xll.DBRW($B$1,$B$2,$B$7,$B$3,$B$4,$B$5,$F39,$B$6,O$10,$A39,$B39)</f>
        <v>0</v>
      </c>
      <c r="P39" s="4">
        <f ca="1">_xll.DBRW($B$1,$B$2,$B$7,$B$3,$B$4,$B$5,$F39,$B$6,P$10,$A39,$B39)</f>
        <v>0</v>
      </c>
      <c r="Q39" s="4">
        <f ca="1">_xll.DBRW($B$1,$B$2,$B$7,$B$3,$B$4,$B$5,$F39,$B$6,Q$10,$A39,$B39)</f>
        <v>155.87392758435942</v>
      </c>
      <c r="R39" s="4">
        <f ca="1">_xll.DBRW($B$1,$B$2,$B$7,$B$3,$B$4,$B$5,$F39,$B$6,R$10,$A39,$B39)</f>
        <v>490.82183087148621</v>
      </c>
      <c r="S39" s="4">
        <f ca="1">_xll.DBRW($B$1,$B$2,$B$7,$B$3,$B$4,$B$5,$F39,$B$6,S$10,$A39,$B39)</f>
        <v>480.02865374601015</v>
      </c>
      <c r="T39" s="4">
        <f ca="1">_xll.DBRW($B$1,$B$2,$B$7,$B$3,$B$4,$B$5,$F39,$B$6,T$10,$A39,$B39)</f>
        <v>536.19398463953394</v>
      </c>
      <c r="U39" s="4">
        <f ca="1">_xll.DBRW($B$1,$B$2,$B$7,$B$3,$B$4,$B$5,$F39,$B$6,U$10,$A39,$B39)</f>
        <v>518.93550392603584</v>
      </c>
      <c r="V39" s="4">
        <f ca="1">_xll.DBRW($B$1,$B$2,$B$7,$B$3,$B$4,$B$5,$F39,$B$6,V$10,$A39,$B39)</f>
        <v>499.60113548986465</v>
      </c>
      <c r="W39" s="4">
        <f ca="1">_xll.DBRW($B$1,$B$2,$B$7,$B$3,$B$4,$B$5,$F39,$B$6,W$10,$A39,$B39)</f>
        <v>0</v>
      </c>
      <c r="X39" s="4">
        <f ca="1">_xll.DBRW($B$1,$B$2,$B$7,$B$3,$B$4,$B$5,$F39,$B$6,X$10,$A39,$B39)</f>
        <v>0</v>
      </c>
      <c r="Y39" s="4">
        <f ca="1">_xll.DBRW($B$1,$B$2,$B$7,$B$3,$B$4,$B$5,$F39,$B$6,Y$10,$A39,$B39)</f>
        <v>0</v>
      </c>
      <c r="Z39" s="4">
        <f ca="1">_xll.DBRW($B$1,$B$2,$B$7,$B$3,$B$4,$B$5,$F39,$B$6,Z$10,$A39,$B39)</f>
        <v>0</v>
      </c>
      <c r="AA39" s="4">
        <f ca="1">_xll.DBRW($B$1,$B$2,$B$7,$B$3,$B$4,$B$5,$F39,$B$6,AA$10,$A39,$B39)</f>
        <v>0</v>
      </c>
      <c r="AB39" s="4">
        <f ca="1">_xll.DBRW($B$1,$B$2,$B$7,$B$3,$B$4,$B$5,$F39,$B$6,AB$10,$A39,$B39)</f>
        <v>0</v>
      </c>
      <c r="AC39" s="4">
        <f ca="1">_xll.DBRW($B$1,$B$2,$B$7,$B$3,$B$4,$B$5,$F39,$B$6,AC$10,$A39,$B39)</f>
        <v>91.117405875921889</v>
      </c>
      <c r="AD39" s="4">
        <f ca="1">_xll.DBRW($B$1,$B$2,$B$7,$B$3,$B$4,$B$5,$F39,$B$6,AD$10,$A39,$B39)</f>
        <v>534.03013433193178</v>
      </c>
      <c r="AE39" s="4">
        <f ca="1">_xll.DBRW($B$1,$B$2,$B$7,$B$3,$B$4,$B$5,$F39,$B$6,AE$10,$A39,$B39)</f>
        <v>519.21021240582809</v>
      </c>
    </row>
    <row r="40" spans="1:31">
      <c r="A40" s="1" t="s">
        <v>151</v>
      </c>
      <c r="B40" s="5" t="s">
        <v>182</v>
      </c>
      <c r="C40" s="5" t="s">
        <v>183</v>
      </c>
      <c r="D40" s="5" t="s">
        <v>181</v>
      </c>
      <c r="E40" s="5" t="s">
        <v>28</v>
      </c>
      <c r="F40" s="5" t="s">
        <v>22</v>
      </c>
      <c r="G40" s="6"/>
      <c r="H40" s="6"/>
      <c r="I40" s="6"/>
      <c r="J40" s="6"/>
      <c r="K40" s="6"/>
      <c r="L40" s="4">
        <f ca="1">_xll.DBRW($B$1,$B$2,$B$7,$B$3,$B$4,$B$5,$F40,$B$6,L$10,$A40,$B40)</f>
        <v>0</v>
      </c>
      <c r="M40" s="4">
        <f ca="1">_xll.DBRW($B$1,$B$2,$B$7,$B$3,$B$4,$B$5,$F40,$B$6,M$10,$A40,$B40)</f>
        <v>0</v>
      </c>
      <c r="N40" s="4">
        <f ca="1">_xll.DBRW($B$1,$B$2,$B$7,$B$3,$B$4,$B$5,$F40,$B$6,N$10,$A40,$B40)</f>
        <v>0</v>
      </c>
      <c r="O40" s="4">
        <f ca="1">_xll.DBRW($B$1,$B$2,$B$7,$B$3,$B$4,$B$5,$F40,$B$6,O$10,$A40,$B40)</f>
        <v>0</v>
      </c>
      <c r="P40" s="4">
        <f ca="1">_xll.DBRW($B$1,$B$2,$B$7,$B$3,$B$4,$B$5,$F40,$B$6,P$10,$A40,$B40)</f>
        <v>0</v>
      </c>
      <c r="Q40" s="4">
        <f ca="1">_xll.DBRW($B$1,$B$2,$B$7,$B$3,$B$4,$B$5,$F40,$B$6,Q$10,$A40,$B40)</f>
        <v>155.87392758435942</v>
      </c>
      <c r="R40" s="4">
        <f ca="1">_xll.DBRW($B$1,$B$2,$B$7,$B$3,$B$4,$B$5,$F40,$B$6,R$10,$A40,$B40)</f>
        <v>490.82183087148621</v>
      </c>
      <c r="S40" s="4">
        <f ca="1">_xll.DBRW($B$1,$B$2,$B$7,$B$3,$B$4,$B$5,$F40,$B$6,S$10,$A40,$B40)</f>
        <v>480.02865374601015</v>
      </c>
      <c r="T40" s="4">
        <f ca="1">_xll.DBRW($B$1,$B$2,$B$7,$B$3,$B$4,$B$5,$F40,$B$6,T$10,$A40,$B40)</f>
        <v>536.19398463953394</v>
      </c>
      <c r="U40" s="4">
        <f ca="1">_xll.DBRW($B$1,$B$2,$B$7,$B$3,$B$4,$B$5,$F40,$B$6,U$10,$A40,$B40)</f>
        <v>518.93550392603584</v>
      </c>
      <c r="V40" s="4">
        <f ca="1">_xll.DBRW($B$1,$B$2,$B$7,$B$3,$B$4,$B$5,$F40,$B$6,V$10,$A40,$B40)</f>
        <v>499.60113548986465</v>
      </c>
      <c r="W40" s="4">
        <f ca="1">_xll.DBRW($B$1,$B$2,$B$7,$B$3,$B$4,$B$5,$F40,$B$6,W$10,$A40,$B40)</f>
        <v>0</v>
      </c>
      <c r="X40" s="4">
        <f ca="1">_xll.DBRW($B$1,$B$2,$B$7,$B$3,$B$4,$B$5,$F40,$B$6,X$10,$A40,$B40)</f>
        <v>0</v>
      </c>
      <c r="Y40" s="4">
        <f ca="1">_xll.DBRW($B$1,$B$2,$B$7,$B$3,$B$4,$B$5,$F40,$B$6,Y$10,$A40,$B40)</f>
        <v>0</v>
      </c>
      <c r="Z40" s="4">
        <f ca="1">_xll.DBRW($B$1,$B$2,$B$7,$B$3,$B$4,$B$5,$F40,$B$6,Z$10,$A40,$B40)</f>
        <v>0</v>
      </c>
      <c r="AA40" s="4">
        <f ca="1">_xll.DBRW($B$1,$B$2,$B$7,$B$3,$B$4,$B$5,$F40,$B$6,AA$10,$A40,$B40)</f>
        <v>0</v>
      </c>
      <c r="AB40" s="4">
        <f ca="1">_xll.DBRW($B$1,$B$2,$B$7,$B$3,$B$4,$B$5,$F40,$B$6,AB$10,$A40,$B40)</f>
        <v>0</v>
      </c>
      <c r="AC40" s="4">
        <f ca="1">_xll.DBRW($B$1,$B$2,$B$7,$B$3,$B$4,$B$5,$F40,$B$6,AC$10,$A40,$B40)</f>
        <v>91.117405875921889</v>
      </c>
      <c r="AD40" s="4">
        <f ca="1">_xll.DBRW($B$1,$B$2,$B$7,$B$3,$B$4,$B$5,$F40,$B$6,AD$10,$A40,$B40)</f>
        <v>534.03013433193178</v>
      </c>
      <c r="AE40" s="4">
        <f ca="1">_xll.DBRW($B$1,$B$2,$B$7,$B$3,$B$4,$B$5,$F40,$B$6,AE$10,$A40,$B40)</f>
        <v>519.21021240582809</v>
      </c>
    </row>
    <row r="41" spans="1:31">
      <c r="A41" s="1" t="s">
        <v>151</v>
      </c>
      <c r="B41" s="5" t="s">
        <v>184</v>
      </c>
      <c r="C41" s="5" t="s">
        <v>185</v>
      </c>
      <c r="D41" s="5" t="s">
        <v>28</v>
      </c>
      <c r="E41" s="5" t="s">
        <v>49</v>
      </c>
      <c r="F41" s="5" t="s">
        <v>22</v>
      </c>
      <c r="G41" s="6"/>
      <c r="H41" s="6"/>
      <c r="I41" s="6"/>
      <c r="J41" s="6"/>
      <c r="K41" s="6"/>
      <c r="L41" s="4">
        <f ca="1">_xll.DBRW($B$1,$B$2,$B$7,$B$3,$B$4,$B$5,$F41,$B$6,L$10,$A41,$B41)</f>
        <v>0</v>
      </c>
      <c r="M41" s="4">
        <f ca="1">_xll.DBRW($B$1,$B$2,$B$7,$B$3,$B$4,$B$5,$F41,$B$6,M$10,$A41,$B41)</f>
        <v>159.00826519310675</v>
      </c>
      <c r="N41" s="4">
        <f ca="1">_xll.DBRW($B$1,$B$2,$B$7,$B$3,$B$4,$B$5,$F41,$B$6,N$10,$A41,$B41)</f>
        <v>150.18215766957306</v>
      </c>
      <c r="O41" s="4">
        <f ca="1">_xll.DBRW($B$1,$B$2,$B$7,$B$3,$B$4,$B$5,$F41,$B$6,O$10,$A41,$B41)</f>
        <v>143.80008064843273</v>
      </c>
      <c r="P41" s="4">
        <f ca="1">_xll.DBRW($B$1,$B$2,$B$7,$B$3,$B$4,$B$5,$F41,$B$6,P$10,$A41,$B41)</f>
        <v>169.51044259028089</v>
      </c>
      <c r="Q41" s="4">
        <f ca="1">_xll.DBRW($B$1,$B$2,$B$7,$B$3,$B$4,$B$5,$F41,$B$6,Q$10,$A41,$B41)</f>
        <v>122.91134074752355</v>
      </c>
      <c r="R41" s="4">
        <f ca="1">_xll.DBRW($B$1,$B$2,$B$7,$B$3,$B$4,$B$5,$F41,$B$6,R$10,$A41,$B41)</f>
        <v>0</v>
      </c>
      <c r="S41" s="4">
        <f ca="1">_xll.DBRW($B$1,$B$2,$B$7,$B$3,$B$4,$B$5,$F41,$B$6,S$10,$A41,$B41)</f>
        <v>0</v>
      </c>
      <c r="T41" s="4">
        <f ca="1">_xll.DBRW($B$1,$B$2,$B$7,$B$3,$B$4,$B$5,$F41,$B$6,T$10,$A41,$B41)</f>
        <v>0</v>
      </c>
      <c r="U41" s="4">
        <f ca="1">_xll.DBRW($B$1,$B$2,$B$7,$B$3,$B$4,$B$5,$F41,$B$6,U$10,$A41,$B41)</f>
        <v>0</v>
      </c>
      <c r="V41" s="4">
        <f ca="1">_xll.DBRW($B$1,$B$2,$B$7,$B$3,$B$4,$B$5,$F41,$B$6,V$10,$A41,$B41)</f>
        <v>11.238075715934373</v>
      </c>
      <c r="W41" s="4">
        <f ca="1">_xll.DBRW($B$1,$B$2,$B$7,$B$3,$B$4,$B$5,$F41,$B$6,W$10,$A41,$B41)</f>
        <v>166.45490641864933</v>
      </c>
      <c r="X41" s="4">
        <f ca="1">_xll.DBRW($B$1,$B$2,$B$7,$B$3,$B$4,$B$5,$F41,$B$6,X$10,$A41,$B41)</f>
        <v>185.95095001206141</v>
      </c>
      <c r="Y41" s="4">
        <f ca="1">_xll.DBRW($B$1,$B$2,$B$7,$B$3,$B$4,$B$5,$F41,$B$6,Y$10,$A41,$B41)</f>
        <v>172.90263770711377</v>
      </c>
      <c r="Z41" s="4">
        <f ca="1">_xll.DBRW($B$1,$B$2,$B$7,$B$3,$B$4,$B$5,$F41,$B$6,Z$10,$A41,$B41)</f>
        <v>185.06070769534529</v>
      </c>
      <c r="AA41" s="4">
        <f ca="1">_xll.DBRW($B$1,$B$2,$B$7,$B$3,$B$4,$B$5,$F41,$B$6,AA$10,$A41,$B41)</f>
        <v>182.86054415728486</v>
      </c>
      <c r="AB41" s="4">
        <f ca="1">_xll.DBRW($B$1,$B$2,$B$7,$B$3,$B$4,$B$5,$F41,$B$6,AB$10,$A41,$B41)</f>
        <v>186.57357831045286</v>
      </c>
      <c r="AC41" s="4">
        <f ca="1">_xll.DBRW($B$1,$B$2,$B$7,$B$3,$B$4,$B$5,$F41,$B$6,AC$10,$A41,$B41)</f>
        <v>145.89506778614268</v>
      </c>
      <c r="AD41" s="4">
        <f ca="1">_xll.DBRW($B$1,$B$2,$B$7,$B$3,$B$4,$B$5,$F41,$B$6,AD$10,$A41,$B41)</f>
        <v>0</v>
      </c>
      <c r="AE41" s="4">
        <f ca="1">_xll.DBRW($B$1,$B$2,$B$7,$B$3,$B$4,$B$5,$F41,$B$6,AE$10,$A41,$B41)</f>
        <v>0</v>
      </c>
    </row>
    <row r="42" spans="1:31">
      <c r="A42" s="1" t="s">
        <v>151</v>
      </c>
      <c r="B42" s="5" t="s">
        <v>50</v>
      </c>
      <c r="C42" s="5" t="s">
        <v>51</v>
      </c>
      <c r="D42" s="5" t="s">
        <v>49</v>
      </c>
      <c r="E42" s="5" t="s">
        <v>28</v>
      </c>
      <c r="F42" s="5" t="s">
        <v>22</v>
      </c>
      <c r="G42" s="6"/>
      <c r="H42" s="6"/>
      <c r="I42" s="6"/>
      <c r="J42" s="6"/>
      <c r="K42" s="6"/>
      <c r="L42" s="4">
        <f ca="1">_xll.DBRW($B$1,$B$2,$B$7,$B$3,$B$4,$B$5,$F42,$B$6,L$10,$A42,$B42)</f>
        <v>0</v>
      </c>
      <c r="M42" s="4">
        <f ca="1">_xll.DBRW($B$1,$B$2,$B$7,$B$3,$B$4,$B$5,$F42,$B$6,M$10,$A42,$B42)</f>
        <v>159.00826519310675</v>
      </c>
      <c r="N42" s="4">
        <f ca="1">_xll.DBRW($B$1,$B$2,$B$7,$B$3,$B$4,$B$5,$F42,$B$6,N$10,$A42,$B42)</f>
        <v>150.18215766957306</v>
      </c>
      <c r="O42" s="4">
        <f ca="1">_xll.DBRW($B$1,$B$2,$B$7,$B$3,$B$4,$B$5,$F42,$B$6,O$10,$A42,$B42)</f>
        <v>143.80008064843273</v>
      </c>
      <c r="P42" s="4">
        <f ca="1">_xll.DBRW($B$1,$B$2,$B$7,$B$3,$B$4,$B$5,$F42,$B$6,P$10,$A42,$B42)</f>
        <v>169.51044259028089</v>
      </c>
      <c r="Q42" s="4">
        <f ca="1">_xll.DBRW($B$1,$B$2,$B$7,$B$3,$B$4,$B$5,$F42,$B$6,Q$10,$A42,$B42)</f>
        <v>122.91134074752355</v>
      </c>
      <c r="R42" s="4">
        <f ca="1">_xll.DBRW($B$1,$B$2,$B$7,$B$3,$B$4,$B$5,$F42,$B$6,R$10,$A42,$B42)</f>
        <v>0</v>
      </c>
      <c r="S42" s="4">
        <f ca="1">_xll.DBRW($B$1,$B$2,$B$7,$B$3,$B$4,$B$5,$F42,$B$6,S$10,$A42,$B42)</f>
        <v>0</v>
      </c>
      <c r="T42" s="4">
        <f ca="1">_xll.DBRW($B$1,$B$2,$B$7,$B$3,$B$4,$B$5,$F42,$B$6,T$10,$A42,$B42)</f>
        <v>0</v>
      </c>
      <c r="U42" s="4">
        <f ca="1">_xll.DBRW($B$1,$B$2,$B$7,$B$3,$B$4,$B$5,$F42,$B$6,U$10,$A42,$B42)</f>
        <v>0</v>
      </c>
      <c r="V42" s="4">
        <f ca="1">_xll.DBRW($B$1,$B$2,$B$7,$B$3,$B$4,$B$5,$F42,$B$6,V$10,$A42,$B42)</f>
        <v>11.238075715934373</v>
      </c>
      <c r="W42" s="4">
        <f ca="1">_xll.DBRW($B$1,$B$2,$B$7,$B$3,$B$4,$B$5,$F42,$B$6,W$10,$A42,$B42)</f>
        <v>166.45490641864933</v>
      </c>
      <c r="X42" s="4">
        <f ca="1">_xll.DBRW($B$1,$B$2,$B$7,$B$3,$B$4,$B$5,$F42,$B$6,X$10,$A42,$B42)</f>
        <v>185.95095001206141</v>
      </c>
      <c r="Y42" s="4">
        <f ca="1">_xll.DBRW($B$1,$B$2,$B$7,$B$3,$B$4,$B$5,$F42,$B$6,Y$10,$A42,$B42)</f>
        <v>172.90263770711377</v>
      </c>
      <c r="Z42" s="4">
        <f ca="1">_xll.DBRW($B$1,$B$2,$B$7,$B$3,$B$4,$B$5,$F42,$B$6,Z$10,$A42,$B42)</f>
        <v>185.06070769534529</v>
      </c>
      <c r="AA42" s="4">
        <f ca="1">_xll.DBRW($B$1,$B$2,$B$7,$B$3,$B$4,$B$5,$F42,$B$6,AA$10,$A42,$B42)</f>
        <v>182.86054415728486</v>
      </c>
      <c r="AB42" s="4">
        <f ca="1">_xll.DBRW($B$1,$B$2,$B$7,$B$3,$B$4,$B$5,$F42,$B$6,AB$10,$A42,$B42)</f>
        <v>186.57357831045286</v>
      </c>
      <c r="AC42" s="4">
        <f ca="1">_xll.DBRW($B$1,$B$2,$B$7,$B$3,$B$4,$B$5,$F42,$B$6,AC$10,$A42,$B42)</f>
        <v>145.89506778614268</v>
      </c>
      <c r="AD42" s="4">
        <f ca="1">_xll.DBRW($B$1,$B$2,$B$7,$B$3,$B$4,$B$5,$F42,$B$6,AD$10,$A42,$B42)</f>
        <v>0</v>
      </c>
      <c r="AE42" s="4">
        <f ca="1">_xll.DBRW($B$1,$B$2,$B$7,$B$3,$B$4,$B$5,$F42,$B$6,AE$10,$A42,$B42)</f>
        <v>0</v>
      </c>
    </row>
    <row r="43" spans="1:31">
      <c r="A43" s="1" t="s">
        <v>151</v>
      </c>
      <c r="B43" s="5" t="s">
        <v>186</v>
      </c>
      <c r="C43" s="5" t="s">
        <v>187</v>
      </c>
      <c r="D43" s="5" t="s">
        <v>21</v>
      </c>
      <c r="E43" s="5" t="s">
        <v>59</v>
      </c>
      <c r="F43" s="5" t="s">
        <v>22</v>
      </c>
      <c r="G43" s="6"/>
      <c r="H43" s="6"/>
      <c r="I43" s="6"/>
      <c r="J43" s="6"/>
      <c r="K43" s="6"/>
      <c r="L43" s="4">
        <f ca="1">_xll.DBRW($B$1,$B$2,$B$7,$B$3,$B$4,$B$5,$F43,$B$6,L$10,$A43,$B43)</f>
        <v>817.93330825761507</v>
      </c>
      <c r="M43" s="4">
        <f ca="1">_xll.DBRW($B$1,$B$2,$B$7,$B$3,$B$4,$B$5,$F43,$B$6,M$10,$A43,$B43)</f>
        <v>886.77686357694154</v>
      </c>
      <c r="N43" s="4">
        <f ca="1">_xll.DBRW($B$1,$B$2,$B$7,$B$3,$B$4,$B$5,$F43,$B$6,N$10,$A43,$B43)</f>
        <v>878.5932293812798</v>
      </c>
      <c r="O43" s="4">
        <f ca="1">_xll.DBRW($B$1,$B$2,$B$7,$B$3,$B$4,$B$5,$F43,$B$6,O$10,$A43,$B43)</f>
        <v>861.37458164858981</v>
      </c>
      <c r="P43" s="4">
        <f ca="1">_xll.DBRW($B$1,$B$2,$B$7,$B$3,$B$4,$B$5,$F43,$B$6,P$10,$A43,$B43)</f>
        <v>839.61713403460226</v>
      </c>
      <c r="Q43" s="4">
        <f ca="1">_xll.DBRW($B$1,$B$2,$B$7,$B$3,$B$4,$B$5,$F43,$B$6,Q$10,$A43,$B43)</f>
        <v>945.20325194610018</v>
      </c>
      <c r="R43" s="4">
        <f ca="1">_xll.DBRW($B$1,$B$2,$B$7,$B$3,$B$4,$B$5,$F43,$B$6,R$10,$A43,$B43)</f>
        <v>973.63618656375672</v>
      </c>
      <c r="S43" s="4">
        <f ca="1">_xll.DBRW($B$1,$B$2,$B$7,$B$3,$B$4,$B$5,$F43,$B$6,S$10,$A43,$B43)</f>
        <v>875.27805332236187</v>
      </c>
      <c r="T43" s="4">
        <f ca="1">_xll.DBRW($B$1,$B$2,$B$7,$B$3,$B$4,$B$5,$F43,$B$6,T$10,$A43,$B43)</f>
        <v>524.10232910603838</v>
      </c>
      <c r="U43" s="4">
        <f ca="1">_xll.DBRW($B$1,$B$2,$B$7,$B$3,$B$4,$B$5,$F43,$B$6,U$10,$A43,$B43)</f>
        <v>468.71593902996779</v>
      </c>
      <c r="V43" s="4">
        <f ca="1">_xll.DBRW($B$1,$B$2,$B$7,$B$3,$B$4,$B$5,$F43,$B$6,V$10,$A43,$B43)</f>
        <v>533.26120547638163</v>
      </c>
      <c r="W43" s="4">
        <f ca="1">_xll.DBRW($B$1,$B$2,$B$7,$B$3,$B$4,$B$5,$F43,$B$6,W$10,$A43,$B43)</f>
        <v>790.93143760066584</v>
      </c>
      <c r="X43" s="4">
        <f ca="1">_xll.DBRW($B$1,$B$2,$B$7,$B$3,$B$4,$B$5,$F43,$B$6,X$10,$A43,$B43)</f>
        <v>805.70766617439438</v>
      </c>
      <c r="Y43" s="4">
        <f ca="1">_xll.DBRW($B$1,$B$2,$B$7,$B$3,$B$4,$B$5,$F43,$B$6,Y$10,$A43,$B43)</f>
        <v>767.60807304096136</v>
      </c>
      <c r="Z43" s="4">
        <f ca="1">_xll.DBRW($B$1,$B$2,$B$7,$B$3,$B$4,$B$5,$F43,$B$6,Z$10,$A43,$B43)</f>
        <v>795.11646625214553</v>
      </c>
      <c r="AA43" s="4">
        <f ca="1">_xll.DBRW($B$1,$B$2,$B$7,$B$3,$B$4,$B$5,$F43,$B$6,AA$10,$A43,$B43)</f>
        <v>823.89033064320995</v>
      </c>
      <c r="AB43" s="4">
        <f ca="1">_xll.DBRW($B$1,$B$2,$B$7,$B$3,$B$4,$B$5,$F43,$B$6,AB$10,$A43,$B43)</f>
        <v>794.55590087815824</v>
      </c>
      <c r="AC43" s="4">
        <f ca="1">_xll.DBRW($B$1,$B$2,$B$7,$B$3,$B$4,$B$5,$F43,$B$6,AC$10,$A43,$B43)</f>
        <v>736.4454730274465</v>
      </c>
      <c r="AD43" s="4">
        <f ca="1">_xll.DBRW($B$1,$B$2,$B$7,$B$3,$B$4,$B$5,$F43,$B$6,AD$10,$A43,$B43)</f>
        <v>504.18907489765502</v>
      </c>
      <c r="AE43" s="4">
        <f ca="1">_xll.DBRW($B$1,$B$2,$B$7,$B$3,$B$4,$B$5,$F43,$B$6,AE$10,$A43,$B43)</f>
        <v>473.35826777671741</v>
      </c>
    </row>
    <row r="44" spans="1:31">
      <c r="A44" s="1" t="s">
        <v>151</v>
      </c>
      <c r="B44" s="5" t="s">
        <v>61</v>
      </c>
      <c r="C44" s="5" t="s">
        <v>62</v>
      </c>
      <c r="D44" s="5" t="s">
        <v>59</v>
      </c>
      <c r="E44" s="5" t="s">
        <v>21</v>
      </c>
      <c r="F44" s="5" t="s">
        <v>22</v>
      </c>
      <c r="G44" s="6"/>
      <c r="H44" s="6"/>
      <c r="I44" s="6"/>
      <c r="J44" s="6"/>
      <c r="K44" s="6"/>
      <c r="L44" s="4">
        <f ca="1">_xll.DBRW($B$1,$B$2,$B$7,$B$3,$B$4,$B$5,$F44,$B$6,L$10,$A44,$B44)</f>
        <v>832.52189282820268</v>
      </c>
      <c r="M44" s="4">
        <f ca="1">_xll.DBRW($B$1,$B$2,$B$7,$B$3,$B$4,$B$5,$F44,$B$6,M$10,$A44,$B44)</f>
        <v>871.48760730837353</v>
      </c>
      <c r="N44" s="4">
        <f ca="1">_xll.DBRW($B$1,$B$2,$B$7,$B$3,$B$4,$B$5,$F44,$B$6,N$10,$A44,$B44)</f>
        <v>878.5932293812798</v>
      </c>
      <c r="O44" s="4">
        <f ca="1">_xll.DBRW($B$1,$B$2,$B$7,$B$3,$B$4,$B$5,$F44,$B$6,O$10,$A44,$B44)</f>
        <v>861.37458164858981</v>
      </c>
      <c r="P44" s="4">
        <f ca="1">_xll.DBRW($B$1,$B$2,$B$7,$B$3,$B$4,$B$5,$F44,$B$6,P$10,$A44,$B44)</f>
        <v>839.61713403460226</v>
      </c>
      <c r="Q44" s="4">
        <f ca="1">_xll.DBRW($B$1,$B$2,$B$7,$B$3,$B$4,$B$5,$F44,$B$6,Q$10,$A44,$B44)</f>
        <v>943.37677223219464</v>
      </c>
      <c r="R44" s="4">
        <f ca="1">_xll.DBRW($B$1,$B$2,$B$7,$B$3,$B$4,$B$5,$F44,$B$6,R$10,$A44,$B44)</f>
        <v>975.45606728630571</v>
      </c>
      <c r="S44" s="4">
        <f ca="1">_xll.DBRW($B$1,$B$2,$B$7,$B$3,$B$4,$B$5,$F44,$B$6,S$10,$A44,$B44)</f>
        <v>875.27805332236187</v>
      </c>
      <c r="T44" s="4">
        <f ca="1">_xll.DBRW($B$1,$B$2,$B$7,$B$3,$B$4,$B$5,$F44,$B$6,T$10,$A44,$B44)</f>
        <v>524.10232910603838</v>
      </c>
      <c r="U44" s="4">
        <f ca="1">_xll.DBRW($B$1,$B$2,$B$7,$B$3,$B$4,$B$5,$F44,$B$6,U$10,$A44,$B44)</f>
        <v>468.71593902996779</v>
      </c>
      <c r="V44" s="4">
        <f ca="1">_xll.DBRW($B$1,$B$2,$B$7,$B$3,$B$4,$B$5,$F44,$B$6,V$10,$A44,$B44)</f>
        <v>533.26120547638163</v>
      </c>
      <c r="W44" s="4">
        <f ca="1">_xll.DBRW($B$1,$B$2,$B$7,$B$3,$B$4,$B$5,$F44,$B$6,W$10,$A44,$B44)</f>
        <v>726.80186157899027</v>
      </c>
      <c r="X44" s="4">
        <f ca="1">_xll.DBRW($B$1,$B$2,$B$7,$B$3,$B$4,$B$5,$F44,$B$6,X$10,$A44,$B44)</f>
        <v>727.22964674182344</v>
      </c>
      <c r="Y44" s="4">
        <f ca="1">_xll.DBRW($B$1,$B$2,$B$7,$B$3,$B$4,$B$5,$F44,$B$6,Y$10,$A44,$B44)</f>
        <v>705.28536075076147</v>
      </c>
      <c r="Z44" s="4">
        <f ca="1">_xll.DBRW($B$1,$B$2,$B$7,$B$3,$B$4,$B$5,$F44,$B$6,Z$10,$A44,$B44)</f>
        <v>732.01198480356265</v>
      </c>
      <c r="AA44" s="4">
        <f ca="1">_xll.DBRW($B$1,$B$2,$B$7,$B$3,$B$4,$B$5,$F44,$B$6,AA$10,$A44,$B44)</f>
        <v>743.64127246367661</v>
      </c>
      <c r="AB44" s="4">
        <f ca="1">_xll.DBRW($B$1,$B$2,$B$7,$B$3,$B$4,$B$5,$F44,$B$6,AB$10,$A44,$B44)</f>
        <v>731.41238557658289</v>
      </c>
      <c r="AC44" s="4">
        <f ca="1">_xll.DBRW($B$1,$B$2,$B$7,$B$3,$B$4,$B$5,$F44,$B$6,AC$10,$A44,$B44)</f>
        <v>674.12286600114635</v>
      </c>
      <c r="AD44" s="4">
        <f ca="1">_xll.DBRW($B$1,$B$2,$B$7,$B$3,$B$4,$B$5,$F44,$B$6,AD$10,$A44,$B44)</f>
        <v>504.18907489765502</v>
      </c>
      <c r="AE44" s="4">
        <f ca="1">_xll.DBRW($B$1,$B$2,$B$7,$B$3,$B$4,$B$5,$F44,$B$6,AE$10,$A44,$B44)</f>
        <v>473.35826777671741</v>
      </c>
    </row>
    <row r="45" spans="1:31">
      <c r="A45" s="1" t="s">
        <v>151</v>
      </c>
      <c r="B45" s="5" t="s">
        <v>188</v>
      </c>
      <c r="C45" s="5" t="s">
        <v>189</v>
      </c>
      <c r="D45" s="5" t="s">
        <v>21</v>
      </c>
      <c r="E45" s="5" t="s">
        <v>20</v>
      </c>
      <c r="F45" s="5" t="s">
        <v>22</v>
      </c>
      <c r="G45" s="6"/>
      <c r="H45" s="6"/>
      <c r="I45" s="6"/>
      <c r="J45" s="6"/>
      <c r="K45" s="6"/>
      <c r="L45" s="4">
        <f ca="1">_xll.DBRW($B$1,$B$2,$B$7,$B$3,$B$4,$B$5,$F45,$B$6,L$10,$A45,$B45)</f>
        <v>1326.5886236187712</v>
      </c>
      <c r="M45" s="4">
        <f ca="1">_xll.DBRW($B$1,$B$2,$B$7,$B$3,$B$4,$B$5,$F45,$B$6,M$10,$A45,$B45)</f>
        <v>1345.4545516339799</v>
      </c>
      <c r="N45" s="4">
        <f ca="1">_xll.DBRW($B$1,$B$2,$B$7,$B$3,$B$4,$B$5,$F45,$B$6,N$10,$A45,$B45)</f>
        <v>1332.441926020884</v>
      </c>
      <c r="O45" s="4">
        <f ca="1">_xll.DBRW($B$1,$B$2,$B$7,$B$3,$B$4,$B$5,$F45,$B$6,O$10,$A45,$B45)</f>
        <v>1267.151792396616</v>
      </c>
      <c r="P45" s="4">
        <f ca="1">_xll.DBRW($B$1,$B$2,$B$7,$B$3,$B$4,$B$5,$F45,$B$6,P$10,$A45,$B45)</f>
        <v>1266.8246259878406</v>
      </c>
      <c r="Q45" s="4">
        <f ca="1">_xll.DBRW($B$1,$B$2,$B$7,$B$3,$B$4,$B$5,$F45,$B$6,Q$10,$A45,$B45)</f>
        <v>1260.8468809045962</v>
      </c>
      <c r="R45" s="4">
        <f ca="1">_xll.DBRW($B$1,$B$2,$B$7,$B$3,$B$4,$B$5,$F45,$B$6,R$10,$A45,$B45)</f>
        <v>1211.9120990490351</v>
      </c>
      <c r="S45" s="4">
        <f ca="1">_xll.DBRW($B$1,$B$2,$B$7,$B$3,$B$4,$B$5,$F45,$B$6,S$10,$A45,$B45)</f>
        <v>1233.9661307047973</v>
      </c>
      <c r="T45" s="4">
        <f ca="1">_xll.DBRW($B$1,$B$2,$B$7,$B$3,$B$4,$B$5,$F45,$B$6,T$10,$A45,$B45)</f>
        <v>832.7875355855042</v>
      </c>
      <c r="U45" s="4">
        <f ca="1">_xll.DBRW($B$1,$B$2,$B$7,$B$3,$B$4,$B$5,$F45,$B$6,U$10,$A45,$B45)</f>
        <v>737.19231763822199</v>
      </c>
      <c r="V45" s="4">
        <f ca="1">_xll.DBRW($B$1,$B$2,$B$7,$B$3,$B$4,$B$5,$F45,$B$6,V$10,$A45,$B45)</f>
        <v>937.39783354270855</v>
      </c>
      <c r="W45" s="4">
        <f ca="1">_xll.DBRW($B$1,$B$2,$B$7,$B$3,$B$4,$B$5,$F45,$B$6,W$10,$A45,$B45)</f>
        <v>945.1773270270877</v>
      </c>
      <c r="X45" s="4">
        <f ca="1">_xll.DBRW($B$1,$B$2,$B$7,$B$3,$B$4,$B$5,$F45,$B$6,X$10,$A45,$B45)</f>
        <v>1000.249364152458</v>
      </c>
      <c r="Y45" s="4">
        <f ca="1">_xll.DBRW($B$1,$B$2,$B$7,$B$3,$B$4,$B$5,$F45,$B$6,Y$10,$A45,$B45)</f>
        <v>960.20952353926918</v>
      </c>
      <c r="Z45" s="4">
        <f ca="1">_xll.DBRW($B$1,$B$2,$B$7,$B$3,$B$4,$B$5,$F45,$B$6,Z$10,$A45,$B45)</f>
        <v>1006.2551701688504</v>
      </c>
      <c r="AA45" s="4">
        <f ca="1">_xll.DBRW($B$1,$B$2,$B$7,$B$3,$B$4,$B$5,$F45,$B$6,AA$10,$A45,$B45)</f>
        <v>919.08634270139953</v>
      </c>
      <c r="AB45" s="4">
        <f ca="1">_xll.DBRW($B$1,$B$2,$B$7,$B$3,$B$4,$B$5,$F45,$B$6,AB$10,$A45,$B45)</f>
        <v>908.33342378235238</v>
      </c>
      <c r="AC45" s="4">
        <f ca="1">_xll.DBRW($B$1,$B$2,$B$7,$B$3,$B$4,$B$5,$F45,$B$6,AC$10,$A45,$B45)</f>
        <v>923.97750437639456</v>
      </c>
      <c r="AD45" s="4">
        <f ca="1">_xll.DBRW($B$1,$B$2,$B$7,$B$3,$B$4,$B$5,$F45,$B$6,AD$10,$A45,$B45)</f>
        <v>974.03729838231607</v>
      </c>
      <c r="AE45" s="4">
        <f ca="1">_xll.DBRW($B$1,$B$2,$B$7,$B$3,$B$4,$B$5,$F45,$B$6,AE$10,$A45,$B45)</f>
        <v>977.92372691286937</v>
      </c>
    </row>
    <row r="46" spans="1:31">
      <c r="A46" s="1" t="s">
        <v>151</v>
      </c>
      <c r="B46" s="5" t="s">
        <v>18</v>
      </c>
      <c r="C46" s="5" t="s">
        <v>19</v>
      </c>
      <c r="D46" s="5" t="s">
        <v>20</v>
      </c>
      <c r="E46" s="5" t="s">
        <v>21</v>
      </c>
      <c r="F46" s="5" t="s">
        <v>22</v>
      </c>
      <c r="G46" s="6"/>
      <c r="H46" s="6"/>
      <c r="I46" s="6"/>
      <c r="J46" s="6"/>
      <c r="K46" s="6"/>
      <c r="L46" s="4">
        <f ca="1">_xll.DBRW($B$1,$B$2,$B$7,$B$3,$B$4,$B$5,$F46,$B$6,L$10,$A46,$B46)</f>
        <v>1326.5886236187712</v>
      </c>
      <c r="M46" s="4">
        <f ca="1">_xll.DBRW($B$1,$B$2,$B$7,$B$3,$B$4,$B$5,$F46,$B$6,M$10,$A46,$B46)</f>
        <v>1345.4545516339799</v>
      </c>
      <c r="N46" s="4">
        <f ca="1">_xll.DBRW($B$1,$B$2,$B$7,$B$3,$B$4,$B$5,$F46,$B$6,N$10,$A46,$B46)</f>
        <v>1332.441926020884</v>
      </c>
      <c r="O46" s="4">
        <f ca="1">_xll.DBRW($B$1,$B$2,$B$7,$B$3,$B$4,$B$5,$F46,$B$6,O$10,$A46,$B46)</f>
        <v>1267.151792396616</v>
      </c>
      <c r="P46" s="4">
        <f ca="1">_xll.DBRW($B$1,$B$2,$B$7,$B$3,$B$4,$B$5,$F46,$B$6,P$10,$A46,$B46)</f>
        <v>1266.8246259878406</v>
      </c>
      <c r="Q46" s="4">
        <f ca="1">_xll.DBRW($B$1,$B$2,$B$7,$B$3,$B$4,$B$5,$F46,$B$6,Q$10,$A46,$B46)</f>
        <v>1260.8468809045962</v>
      </c>
      <c r="R46" s="4">
        <f ca="1">_xll.DBRW($B$1,$B$2,$B$7,$B$3,$B$4,$B$5,$F46,$B$6,R$10,$A46,$B46)</f>
        <v>1211.9120990490351</v>
      </c>
      <c r="S46" s="4">
        <f ca="1">_xll.DBRW($B$1,$B$2,$B$7,$B$3,$B$4,$B$5,$F46,$B$6,S$10,$A46,$B46)</f>
        <v>1233.9661307047973</v>
      </c>
      <c r="T46" s="4">
        <f ca="1">_xll.DBRW($B$1,$B$2,$B$7,$B$3,$B$4,$B$5,$F46,$B$6,T$10,$A46,$B46)</f>
        <v>832.7875355855042</v>
      </c>
      <c r="U46" s="4">
        <f ca="1">_xll.DBRW($B$1,$B$2,$B$7,$B$3,$B$4,$B$5,$F46,$B$6,U$10,$A46,$B46)</f>
        <v>737.19231763822199</v>
      </c>
      <c r="V46" s="4">
        <f ca="1">_xll.DBRW($B$1,$B$2,$B$7,$B$3,$B$4,$B$5,$F46,$B$6,V$10,$A46,$B46)</f>
        <v>937.39783354270855</v>
      </c>
      <c r="W46" s="4">
        <f ca="1">_xll.DBRW($B$1,$B$2,$B$7,$B$3,$B$4,$B$5,$F46,$B$6,W$10,$A46,$B46)</f>
        <v>945.1773270270877</v>
      </c>
      <c r="X46" s="4">
        <f ca="1">_xll.DBRW($B$1,$B$2,$B$7,$B$3,$B$4,$B$5,$F46,$B$6,X$10,$A46,$B46)</f>
        <v>1000.249364152458</v>
      </c>
      <c r="Y46" s="4">
        <f ca="1">_xll.DBRW($B$1,$B$2,$B$7,$B$3,$B$4,$B$5,$F46,$B$6,Y$10,$A46,$B46)</f>
        <v>960.20952353926918</v>
      </c>
      <c r="Z46" s="4">
        <f ca="1">_xll.DBRW($B$1,$B$2,$B$7,$B$3,$B$4,$B$5,$F46,$B$6,Z$10,$A46,$B46)</f>
        <v>1006.2551701688504</v>
      </c>
      <c r="AA46" s="4">
        <f ca="1">_xll.DBRW($B$1,$B$2,$B$7,$B$3,$B$4,$B$5,$F46,$B$6,AA$10,$A46,$B46)</f>
        <v>919.08634270139953</v>
      </c>
      <c r="AB46" s="4">
        <f ca="1">_xll.DBRW($B$1,$B$2,$B$7,$B$3,$B$4,$B$5,$F46,$B$6,AB$10,$A46,$B46)</f>
        <v>908.33342378235238</v>
      </c>
      <c r="AC46" s="4">
        <f ca="1">_xll.DBRW($B$1,$B$2,$B$7,$B$3,$B$4,$B$5,$F46,$B$6,AC$10,$A46,$B46)</f>
        <v>923.97750437639456</v>
      </c>
      <c r="AD46" s="4">
        <f ca="1">_xll.DBRW($B$1,$B$2,$B$7,$B$3,$B$4,$B$5,$F46,$B$6,AD$10,$A46,$B46)</f>
        <v>974.03729838231607</v>
      </c>
      <c r="AE46" s="4">
        <f ca="1">_xll.DBRW($B$1,$B$2,$B$7,$B$3,$B$4,$B$5,$F46,$B$6,AE$10,$A46,$B46)</f>
        <v>977.92372691286937</v>
      </c>
    </row>
    <row r="47" spans="1:31">
      <c r="A47" s="1" t="s">
        <v>151</v>
      </c>
      <c r="B47" s="5" t="s">
        <v>190</v>
      </c>
      <c r="C47" s="5" t="s">
        <v>191</v>
      </c>
      <c r="D47" s="5" t="s">
        <v>21</v>
      </c>
      <c r="E47" s="5" t="s">
        <v>73</v>
      </c>
      <c r="F47" s="5" t="s">
        <v>22</v>
      </c>
      <c r="G47" s="6"/>
      <c r="H47" s="6"/>
      <c r="I47" s="6"/>
      <c r="J47" s="6"/>
      <c r="K47" s="6"/>
      <c r="L47" s="4">
        <f ca="1">_xll.DBRW($B$1,$B$2,$B$7,$B$3,$B$4,$B$5,$F47,$B$6,L$10,$A47,$B47)</f>
        <v>960.03986484466168</v>
      </c>
      <c r="M47" s="4">
        <f ca="1">_xll.DBRW($B$1,$B$2,$B$7,$B$3,$B$4,$B$5,$F47,$B$6,M$10,$A47,$B47)</f>
        <v>908.43664329074613</v>
      </c>
      <c r="N47" s="4">
        <f ca="1">_xll.DBRW($B$1,$B$2,$B$7,$B$3,$B$4,$B$5,$F47,$B$6,N$10,$A47,$B47)</f>
        <v>908.15397082302843</v>
      </c>
      <c r="O47" s="4">
        <f ca="1">_xll.DBRW($B$1,$B$2,$B$7,$B$3,$B$4,$B$5,$F47,$B$6,O$10,$A47,$B47)</f>
        <v>851.24203389857234</v>
      </c>
      <c r="P47" s="4">
        <f ca="1">_xll.DBRW($B$1,$B$2,$B$7,$B$3,$B$4,$B$5,$F47,$B$6,P$10,$A47,$B47)</f>
        <v>944.39234497524183</v>
      </c>
      <c r="Q47" s="4">
        <f ca="1">_xll.DBRW($B$1,$B$2,$B$7,$B$3,$B$4,$B$5,$F47,$B$6,Q$10,$A47,$B47)</f>
        <v>913.76094087113279</v>
      </c>
      <c r="R47" s="4">
        <f ca="1">_xll.DBRW($B$1,$B$2,$B$7,$B$3,$B$4,$B$5,$F47,$B$6,R$10,$A47,$B47)</f>
        <v>743.69960986004105</v>
      </c>
      <c r="S47" s="4">
        <f ca="1">_xll.DBRW($B$1,$B$2,$B$7,$B$3,$B$4,$B$5,$F47,$B$6,S$10,$A47,$B47)</f>
        <v>733.71046312150554</v>
      </c>
      <c r="T47" s="4">
        <f ca="1">_xll.DBRW($B$1,$B$2,$B$7,$B$3,$B$4,$B$5,$F47,$B$6,T$10,$A47,$B47)</f>
        <v>615.21065133745287</v>
      </c>
      <c r="U47" s="4">
        <f ca="1">_xll.DBRW($B$1,$B$2,$B$7,$B$3,$B$4,$B$5,$F47,$B$6,U$10,$A47,$B47)</f>
        <v>574.79280621238081</v>
      </c>
      <c r="V47" s="4">
        <f ca="1">_xll.DBRW($B$1,$B$2,$B$7,$B$3,$B$4,$B$5,$F47,$B$6,V$10,$A47,$B47)</f>
        <v>748.2294765236378</v>
      </c>
      <c r="W47" s="4">
        <f ca="1">_xll.DBRW($B$1,$B$2,$B$7,$B$3,$B$4,$B$5,$F47,$B$6,W$10,$A47,$B47)</f>
        <v>817.29385856426791</v>
      </c>
      <c r="X47" s="4">
        <f ca="1">_xll.DBRW($B$1,$B$2,$B$7,$B$3,$B$4,$B$5,$F47,$B$6,X$10,$A47,$B47)</f>
        <v>1006.2834236601726</v>
      </c>
      <c r="Y47" s="4">
        <f ca="1">_xll.DBRW($B$1,$B$2,$B$7,$B$3,$B$4,$B$5,$F47,$B$6,Y$10,$A47,$B47)</f>
        <v>966.0020404980977</v>
      </c>
      <c r="Z47" s="4">
        <f ca="1">_xll.DBRW($B$1,$B$2,$B$7,$B$3,$B$4,$B$5,$F47,$B$6,Z$10,$A47,$B47)</f>
        <v>1010.7234445348039</v>
      </c>
      <c r="AA47" s="4">
        <f ca="1">_xll.DBRW($B$1,$B$2,$B$7,$B$3,$B$4,$B$5,$F47,$B$6,AA$10,$A47,$B47)</f>
        <v>973.51523118531304</v>
      </c>
      <c r="AB47" s="4">
        <f ca="1">_xll.DBRW($B$1,$B$2,$B$7,$B$3,$B$4,$B$5,$F47,$B$6,AB$10,$A47,$B47)</f>
        <v>948.97244820220362</v>
      </c>
      <c r="AC47" s="4">
        <f ca="1">_xll.DBRW($B$1,$B$2,$B$7,$B$3,$B$4,$B$5,$F47,$B$6,AC$10,$A47,$B47)</f>
        <v>908.07192382418305</v>
      </c>
      <c r="AD47" s="4">
        <f ca="1">_xll.DBRW($B$1,$B$2,$B$7,$B$3,$B$4,$B$5,$F47,$B$6,AD$10,$A47,$B47)</f>
        <v>789.4471734499781</v>
      </c>
      <c r="AE47" s="4">
        <f ca="1">_xll.DBRW($B$1,$B$2,$B$7,$B$3,$B$4,$B$5,$F47,$B$6,AE$10,$A47,$B47)</f>
        <v>659.91625899333246</v>
      </c>
    </row>
    <row r="48" spans="1:31">
      <c r="A48" s="1" t="s">
        <v>151</v>
      </c>
      <c r="B48" s="5" t="s">
        <v>71</v>
      </c>
      <c r="C48" s="5" t="s">
        <v>72</v>
      </c>
      <c r="D48" s="5" t="s">
        <v>73</v>
      </c>
      <c r="E48" s="5" t="s">
        <v>21</v>
      </c>
      <c r="F48" s="5" t="s">
        <v>22</v>
      </c>
      <c r="G48" s="6"/>
      <c r="H48" s="6"/>
      <c r="I48" s="6"/>
      <c r="J48" s="6"/>
      <c r="K48" s="6"/>
      <c r="L48" s="4">
        <f ca="1">_xll.DBRW($B$1,$B$2,$B$7,$B$3,$B$4,$B$5,$F48,$B$6,L$10,$A48,$B48)</f>
        <v>960.03986484466168</v>
      </c>
      <c r="M48" s="4">
        <f ca="1">_xll.DBRW($B$1,$B$2,$B$7,$B$3,$B$4,$B$5,$F48,$B$6,M$10,$A48,$B48)</f>
        <v>908.43664329074613</v>
      </c>
      <c r="N48" s="4">
        <f ca="1">_xll.DBRW($B$1,$B$2,$B$7,$B$3,$B$4,$B$5,$F48,$B$6,N$10,$A48,$B48)</f>
        <v>908.15397082302843</v>
      </c>
      <c r="O48" s="4">
        <f ca="1">_xll.DBRW($B$1,$B$2,$B$7,$B$3,$B$4,$B$5,$F48,$B$6,O$10,$A48,$B48)</f>
        <v>851.24203389857234</v>
      </c>
      <c r="P48" s="4">
        <f ca="1">_xll.DBRW($B$1,$B$2,$B$7,$B$3,$B$4,$B$5,$F48,$B$6,P$10,$A48,$B48)</f>
        <v>944.39234497524183</v>
      </c>
      <c r="Q48" s="4">
        <f ca="1">_xll.DBRW($B$1,$B$2,$B$7,$B$3,$B$4,$B$5,$F48,$B$6,Q$10,$A48,$B48)</f>
        <v>913.76094087113279</v>
      </c>
      <c r="R48" s="4">
        <f ca="1">_xll.DBRW($B$1,$B$2,$B$7,$B$3,$B$4,$B$5,$F48,$B$6,R$10,$A48,$B48)</f>
        <v>743.69960986004105</v>
      </c>
      <c r="S48" s="4">
        <f ca="1">_xll.DBRW($B$1,$B$2,$B$7,$B$3,$B$4,$B$5,$F48,$B$6,S$10,$A48,$B48)</f>
        <v>733.71046312150554</v>
      </c>
      <c r="T48" s="4">
        <f ca="1">_xll.DBRW($B$1,$B$2,$B$7,$B$3,$B$4,$B$5,$F48,$B$6,T$10,$A48,$B48)</f>
        <v>615.21065133745287</v>
      </c>
      <c r="U48" s="4">
        <f ca="1">_xll.DBRW($B$1,$B$2,$B$7,$B$3,$B$4,$B$5,$F48,$B$6,U$10,$A48,$B48)</f>
        <v>574.79280621238081</v>
      </c>
      <c r="V48" s="4">
        <f ca="1">_xll.DBRW($B$1,$B$2,$B$7,$B$3,$B$4,$B$5,$F48,$B$6,V$10,$A48,$B48)</f>
        <v>748.2294765236378</v>
      </c>
      <c r="W48" s="4">
        <f ca="1">_xll.DBRW($B$1,$B$2,$B$7,$B$3,$B$4,$B$5,$F48,$B$6,W$10,$A48,$B48)</f>
        <v>817.29385856426791</v>
      </c>
      <c r="X48" s="4">
        <f ca="1">_xll.DBRW($B$1,$B$2,$B$7,$B$3,$B$4,$B$5,$F48,$B$6,X$10,$A48,$B48)</f>
        <v>1006.2834236601726</v>
      </c>
      <c r="Y48" s="4">
        <f ca="1">_xll.DBRW($B$1,$B$2,$B$7,$B$3,$B$4,$B$5,$F48,$B$6,Y$10,$A48,$B48)</f>
        <v>966.0020404980977</v>
      </c>
      <c r="Z48" s="4">
        <f ca="1">_xll.DBRW($B$1,$B$2,$B$7,$B$3,$B$4,$B$5,$F48,$B$6,Z$10,$A48,$B48)</f>
        <v>1010.7234445348039</v>
      </c>
      <c r="AA48" s="4">
        <f ca="1">_xll.DBRW($B$1,$B$2,$B$7,$B$3,$B$4,$B$5,$F48,$B$6,AA$10,$A48,$B48)</f>
        <v>973.51523118531304</v>
      </c>
      <c r="AB48" s="4">
        <f ca="1">_xll.DBRW($B$1,$B$2,$B$7,$B$3,$B$4,$B$5,$F48,$B$6,AB$10,$A48,$B48)</f>
        <v>948.97244820220362</v>
      </c>
      <c r="AC48" s="4">
        <f ca="1">_xll.DBRW($B$1,$B$2,$B$7,$B$3,$B$4,$B$5,$F48,$B$6,AC$10,$A48,$B48)</f>
        <v>908.07192382418305</v>
      </c>
      <c r="AD48" s="4">
        <f ca="1">_xll.DBRW($B$1,$B$2,$B$7,$B$3,$B$4,$B$5,$F48,$B$6,AD$10,$A48,$B48)</f>
        <v>789.4471734499781</v>
      </c>
      <c r="AE48" s="4">
        <f ca="1">_xll.DBRW($B$1,$B$2,$B$7,$B$3,$B$4,$B$5,$F48,$B$6,AE$10,$A48,$B48)</f>
        <v>638.62863773548293</v>
      </c>
    </row>
    <row r="49" spans="1:31">
      <c r="A49" s="1" t="s">
        <v>151</v>
      </c>
      <c r="B49" s="5" t="s">
        <v>192</v>
      </c>
      <c r="C49" s="5" t="s">
        <v>193</v>
      </c>
      <c r="D49" s="5" t="s">
        <v>21</v>
      </c>
      <c r="E49" s="5" t="s">
        <v>194</v>
      </c>
      <c r="F49" s="5" t="s">
        <v>22</v>
      </c>
      <c r="G49" s="6"/>
      <c r="H49" s="6"/>
      <c r="I49" s="6"/>
      <c r="J49" s="6"/>
      <c r="K49" s="6"/>
      <c r="L49" s="4">
        <f ca="1">_xll.DBRW($B$1,$B$2,$B$7,$B$3,$B$4,$B$5,$F49,$B$6,L$10,$A49,$B49)</f>
        <v>215.30847967330354</v>
      </c>
      <c r="M49" s="4">
        <f ca="1">_xll.DBRW($B$1,$B$2,$B$7,$B$3,$B$4,$B$5,$F49,$B$6,M$10,$A49,$B49)</f>
        <v>197.48622680233609</v>
      </c>
      <c r="N49" s="4">
        <f ca="1">_xll.DBRW($B$1,$B$2,$B$7,$B$3,$B$4,$B$5,$F49,$B$6,N$10,$A49,$B49)</f>
        <v>207.37114955364547</v>
      </c>
      <c r="O49" s="4">
        <f ca="1">_xll.DBRW($B$1,$B$2,$B$7,$B$3,$B$4,$B$5,$F49,$B$6,O$10,$A49,$B49)</f>
        <v>210.96871807871776</v>
      </c>
      <c r="P49" s="4">
        <f ca="1">_xll.DBRW($B$1,$B$2,$B$7,$B$3,$B$4,$B$5,$F49,$B$6,P$10,$A49,$B49)</f>
        <v>230.36391941845926</v>
      </c>
      <c r="Q49" s="4">
        <f ca="1">_xll.DBRW($B$1,$B$2,$B$7,$B$3,$B$4,$B$5,$F49,$B$6,Q$10,$A49,$B49)</f>
        <v>318.74219807314523</v>
      </c>
      <c r="R49" s="4">
        <f ca="1">_xll.DBRW($B$1,$B$2,$B$7,$B$3,$B$4,$B$5,$F49,$B$6,R$10,$A49,$B49)</f>
        <v>346.46246885046094</v>
      </c>
      <c r="S49" s="4">
        <f ca="1">_xll.DBRW($B$1,$B$2,$B$7,$B$3,$B$4,$B$5,$F49,$B$6,S$10,$A49,$B49)</f>
        <v>347.68742073408924</v>
      </c>
      <c r="T49" s="4">
        <f ca="1">_xll.DBRW($B$1,$B$2,$B$7,$B$3,$B$4,$B$5,$F49,$B$6,T$10,$A49,$B49)</f>
        <v>414.44973781334824</v>
      </c>
      <c r="U49" s="4">
        <f ca="1">_xll.DBRW($B$1,$B$2,$B$7,$B$3,$B$4,$B$5,$F49,$B$6,U$10,$A49,$B49)</f>
        <v>373.78734690920743</v>
      </c>
      <c r="V49" s="4">
        <f ca="1">_xll.DBRW($B$1,$B$2,$B$7,$B$3,$B$4,$B$5,$F49,$B$6,V$10,$A49,$B49)</f>
        <v>414.16700336755264</v>
      </c>
      <c r="W49" s="4">
        <f ca="1">_xll.DBRW($B$1,$B$2,$B$7,$B$3,$B$4,$B$5,$F49,$B$6,W$10,$A49,$B49)</f>
        <v>257.04896993369636</v>
      </c>
      <c r="X49" s="4">
        <f ca="1">_xll.DBRW($B$1,$B$2,$B$7,$B$3,$B$4,$B$5,$F49,$B$6,X$10,$A49,$B49)</f>
        <v>275.17650477316852</v>
      </c>
      <c r="Y49" s="4">
        <f ca="1">_xll.DBRW($B$1,$B$2,$B$7,$B$3,$B$4,$B$5,$F49,$B$6,Y$10,$A49,$B49)</f>
        <v>259.2693001041082</v>
      </c>
      <c r="Z49" s="4">
        <f ca="1">_xll.DBRW($B$1,$B$2,$B$7,$B$3,$B$4,$B$5,$F49,$B$6,Z$10,$A49,$B49)</f>
        <v>220.29038709040847</v>
      </c>
      <c r="AA49" s="4">
        <f ca="1">_xll.DBRW($B$1,$B$2,$B$7,$B$3,$B$4,$B$5,$F49,$B$6,AA$10,$A49,$B49)</f>
        <v>266.68111058499278</v>
      </c>
      <c r="AB49" s="4">
        <f ca="1">_xll.DBRW($B$1,$B$2,$B$7,$B$3,$B$4,$B$5,$F49,$B$6,AB$10,$A49,$B49)</f>
        <v>256.60048173916232</v>
      </c>
      <c r="AC49" s="4">
        <f ca="1">_xll.DBRW($B$1,$B$2,$B$7,$B$3,$B$4,$B$5,$F49,$B$6,AC$10,$A49,$B49)</f>
        <v>328.50308076081069</v>
      </c>
      <c r="AD49" s="4">
        <f ca="1">_xll.DBRW($B$1,$B$2,$B$7,$B$3,$B$4,$B$5,$F49,$B$6,AD$10,$A49,$B49)</f>
        <v>379.91895233487708</v>
      </c>
      <c r="AE49" s="4">
        <f ca="1">_xll.DBRW($B$1,$B$2,$B$7,$B$3,$B$4,$B$5,$F49,$B$6,AE$10,$A49,$B49)</f>
        <v>326.14077722256917</v>
      </c>
    </row>
    <row r="50" spans="1:31">
      <c r="A50" s="1" t="s">
        <v>151</v>
      </c>
      <c r="B50" s="5" t="s">
        <v>195</v>
      </c>
      <c r="C50" s="5" t="s">
        <v>196</v>
      </c>
      <c r="D50" s="5" t="s">
        <v>194</v>
      </c>
      <c r="E50" s="5" t="s">
        <v>21</v>
      </c>
      <c r="F50" s="5" t="s">
        <v>22</v>
      </c>
      <c r="G50" s="6"/>
      <c r="H50" s="6"/>
      <c r="I50" s="6"/>
      <c r="J50" s="6"/>
      <c r="K50" s="6"/>
      <c r="L50" s="4">
        <f ca="1">_xll.DBRW($B$1,$B$2,$B$7,$B$3,$B$4,$B$5,$F50,$B$6,L$10,$A50,$B50)</f>
        <v>215.30847967330354</v>
      </c>
      <c r="M50" s="4">
        <f ca="1">_xll.DBRW($B$1,$B$2,$B$7,$B$3,$B$4,$B$5,$F50,$B$6,M$10,$A50,$B50)</f>
        <v>197.48622680233609</v>
      </c>
      <c r="N50" s="4">
        <f ca="1">_xll.DBRW($B$1,$B$2,$B$7,$B$3,$B$4,$B$5,$F50,$B$6,N$10,$A50,$B50)</f>
        <v>207.37114955364547</v>
      </c>
      <c r="O50" s="4">
        <f ca="1">_xll.DBRW($B$1,$B$2,$B$7,$B$3,$B$4,$B$5,$F50,$B$6,O$10,$A50,$B50)</f>
        <v>210.96871807871776</v>
      </c>
      <c r="P50" s="4">
        <f ca="1">_xll.DBRW($B$1,$B$2,$B$7,$B$3,$B$4,$B$5,$F50,$B$6,P$10,$A50,$B50)</f>
        <v>230.36391941845926</v>
      </c>
      <c r="Q50" s="4">
        <f ca="1">_xll.DBRW($B$1,$B$2,$B$7,$B$3,$B$4,$B$5,$F50,$B$6,Q$10,$A50,$B50)</f>
        <v>289.76563461195025</v>
      </c>
      <c r="R50" s="4">
        <f ca="1">_xll.DBRW($B$1,$B$2,$B$7,$B$3,$B$4,$B$5,$F50,$B$6,R$10,$A50,$B50)</f>
        <v>346.46246885046094</v>
      </c>
      <c r="S50" s="4">
        <f ca="1">_xll.DBRW($B$1,$B$2,$B$7,$B$3,$B$4,$B$5,$F50,$B$6,S$10,$A50,$B50)</f>
        <v>347.68742073408924</v>
      </c>
      <c r="T50" s="4">
        <f ca="1">_xll.DBRW($B$1,$B$2,$B$7,$B$3,$B$4,$B$5,$F50,$B$6,T$10,$A50,$B50)</f>
        <v>414.44973781334824</v>
      </c>
      <c r="U50" s="4">
        <f ca="1">_xll.DBRW($B$1,$B$2,$B$7,$B$3,$B$4,$B$5,$F50,$B$6,U$10,$A50,$B50)</f>
        <v>373.78734690920743</v>
      </c>
      <c r="V50" s="4">
        <f ca="1">_xll.DBRW($B$1,$B$2,$B$7,$B$3,$B$4,$B$5,$F50,$B$6,V$10,$A50,$B50)</f>
        <v>414.16700336755264</v>
      </c>
      <c r="W50" s="4">
        <f ca="1">_xll.DBRW($B$1,$B$2,$B$7,$B$3,$B$4,$B$5,$F50,$B$6,W$10,$A50,$B50)</f>
        <v>257.04896993369636</v>
      </c>
      <c r="X50" s="4">
        <f ca="1">_xll.DBRW($B$1,$B$2,$B$7,$B$3,$B$4,$B$5,$F50,$B$6,X$10,$A50,$B50)</f>
        <v>275.17650477316852</v>
      </c>
      <c r="Y50" s="4">
        <f ca="1">_xll.DBRW($B$1,$B$2,$B$7,$B$3,$B$4,$B$5,$F50,$B$6,Y$10,$A50,$B50)</f>
        <v>259.2693001041082</v>
      </c>
      <c r="Z50" s="4">
        <f ca="1">_xll.DBRW($B$1,$B$2,$B$7,$B$3,$B$4,$B$5,$F50,$B$6,Z$10,$A50,$B50)</f>
        <v>220.29038709040847</v>
      </c>
      <c r="AA50" s="4">
        <f ca="1">_xll.DBRW($B$1,$B$2,$B$7,$B$3,$B$4,$B$5,$F50,$B$6,AA$10,$A50,$B50)</f>
        <v>266.68111058499278</v>
      </c>
      <c r="AB50" s="4">
        <f ca="1">_xll.DBRW($B$1,$B$2,$B$7,$B$3,$B$4,$B$5,$F50,$B$6,AB$10,$A50,$B50)</f>
        <v>256.60048173916232</v>
      </c>
      <c r="AC50" s="4">
        <f ca="1">_xll.DBRW($B$1,$B$2,$B$7,$B$3,$B$4,$B$5,$F50,$B$6,AC$10,$A50,$B50)</f>
        <v>328.50308076081069</v>
      </c>
      <c r="AD50" s="4">
        <f ca="1">_xll.DBRW($B$1,$B$2,$B$7,$B$3,$B$4,$B$5,$F50,$B$6,AD$10,$A50,$B50)</f>
        <v>379.91895233487708</v>
      </c>
      <c r="AE50" s="4">
        <f ca="1">_xll.DBRW($B$1,$B$2,$B$7,$B$3,$B$4,$B$5,$F50,$B$6,AE$10,$A50,$B50)</f>
        <v>326.14077722256917</v>
      </c>
    </row>
    <row r="51" spans="1:31">
      <c r="A51" s="1" t="s">
        <v>151</v>
      </c>
      <c r="B51" s="5" t="s">
        <v>197</v>
      </c>
      <c r="C51" s="5" t="s">
        <v>198</v>
      </c>
      <c r="D51" s="5" t="s">
        <v>28</v>
      </c>
      <c r="E51" s="5" t="s">
        <v>20</v>
      </c>
      <c r="F51" s="5" t="s">
        <v>22</v>
      </c>
      <c r="G51" s="6"/>
      <c r="H51" s="6"/>
      <c r="I51" s="6"/>
      <c r="J51" s="6"/>
      <c r="K51" s="6"/>
      <c r="L51" s="4">
        <f ca="1">_xll.DBRW($B$1,$B$2,$B$7,$B$3,$B$4,$B$5,$F51,$B$6,L$10,$A51,$B51)</f>
        <v>761.93640067036642</v>
      </c>
      <c r="M51" s="4">
        <f ca="1">_xll.DBRW($B$1,$B$2,$B$7,$B$3,$B$4,$B$5,$F51,$B$6,M$10,$A51,$B51)</f>
        <v>789.94490720934448</v>
      </c>
      <c r="N51" s="4">
        <f ca="1">_xll.DBRW($B$1,$B$2,$B$7,$B$3,$B$4,$B$5,$F51,$B$6,N$10,$A51,$B51)</f>
        <v>826.52215322095856</v>
      </c>
      <c r="O51" s="4">
        <f ca="1">_xll.DBRW($B$1,$B$2,$B$7,$B$3,$B$4,$B$5,$F51,$B$6,O$10,$A51,$B51)</f>
        <v>757.81303017799735</v>
      </c>
      <c r="P51" s="4">
        <f ca="1">_xll.DBRW($B$1,$B$2,$B$7,$B$3,$B$4,$B$5,$F51,$B$6,P$10,$A51,$B51)</f>
        <v>827.71451565939901</v>
      </c>
      <c r="Q51" s="4">
        <f ca="1">_xll.DBRW($B$1,$B$2,$B$7,$B$3,$B$4,$B$5,$F51,$B$6,Q$10,$A51,$B51)</f>
        <v>812.27850476704759</v>
      </c>
      <c r="R51" s="4">
        <f ca="1">_xll.DBRW($B$1,$B$2,$B$7,$B$3,$B$4,$B$5,$F51,$B$6,R$10,$A51,$B51)</f>
        <v>525.20687134694288</v>
      </c>
      <c r="S51" s="4">
        <f ca="1">_xll.DBRW($B$1,$B$2,$B$7,$B$3,$B$4,$B$5,$F51,$B$6,S$10,$A51,$B51)</f>
        <v>510.22400454616229</v>
      </c>
      <c r="T51" s="4">
        <f ca="1">_xll.DBRW($B$1,$B$2,$B$7,$B$3,$B$4,$B$5,$F51,$B$6,T$10,$A51,$B51)</f>
        <v>473.87706762983288</v>
      </c>
      <c r="U51" s="4">
        <f ca="1">_xll.DBRW($B$1,$B$2,$B$7,$B$3,$B$4,$B$5,$F51,$B$6,U$10,$A51,$B51)</f>
        <v>420.81938585982743</v>
      </c>
      <c r="V51" s="4">
        <f ca="1">_xll.DBRW($B$1,$B$2,$B$7,$B$3,$B$4,$B$5,$F51,$B$6,V$10,$A51,$B51)</f>
        <v>629.62447480634614</v>
      </c>
      <c r="W51" s="4">
        <f ca="1">_xll.DBRW($B$1,$B$2,$B$7,$B$3,$B$4,$B$5,$F51,$B$6,W$10,$A51,$B51)</f>
        <v>952.94063084897266</v>
      </c>
      <c r="X51" s="4">
        <f ca="1">_xll.DBRW($B$1,$B$2,$B$7,$B$3,$B$4,$B$5,$F51,$B$6,X$10,$A51,$B51)</f>
        <v>765.71584953365243</v>
      </c>
      <c r="Y51" s="4">
        <f ca="1">_xll.DBRW($B$1,$B$2,$B$7,$B$3,$B$4,$B$5,$F51,$B$6,Y$10,$A51,$B51)</f>
        <v>893.33133789467774</v>
      </c>
      <c r="Z51" s="4">
        <f ca="1">_xll.DBRW($B$1,$B$2,$B$7,$B$3,$B$4,$B$5,$F51,$B$6,Z$10,$A51,$B51)</f>
        <v>943.67568788743665</v>
      </c>
      <c r="AA51" s="4">
        <f ca="1">_xll.DBRW($B$1,$B$2,$B$7,$B$3,$B$4,$B$5,$F51,$B$6,AA$10,$A51,$B51)</f>
        <v>843.39065056463403</v>
      </c>
      <c r="AB51" s="4">
        <f ca="1">_xll.DBRW($B$1,$B$2,$B$7,$B$3,$B$4,$B$5,$F51,$B$6,AB$10,$A51,$B51)</f>
        <v>875.91770647052385</v>
      </c>
      <c r="AC51" s="4">
        <f ca="1">_xll.DBRW($B$1,$B$2,$B$7,$B$3,$B$4,$B$5,$F51,$B$6,AC$10,$A51,$B51)</f>
        <v>897.92986351138723</v>
      </c>
      <c r="AD51" s="4">
        <f ca="1">_xll.DBRW($B$1,$B$2,$B$7,$B$3,$B$4,$B$5,$F51,$B$6,AD$10,$A51,$B51)</f>
        <v>592.35596579033029</v>
      </c>
      <c r="AE51" s="4">
        <f ca="1">_xll.DBRW($B$1,$B$2,$B$7,$B$3,$B$4,$B$5,$F51,$B$6,AE$10,$A51,$B51)</f>
        <v>572.94292234954173</v>
      </c>
    </row>
    <row r="52" spans="1:31">
      <c r="A52" s="1" t="s">
        <v>151</v>
      </c>
      <c r="B52" s="5" t="s">
        <v>26</v>
      </c>
      <c r="C52" s="5" t="s">
        <v>27</v>
      </c>
      <c r="D52" s="5" t="s">
        <v>20</v>
      </c>
      <c r="E52" s="5" t="s">
        <v>28</v>
      </c>
      <c r="F52" s="5" t="s">
        <v>22</v>
      </c>
      <c r="G52" s="6"/>
      <c r="H52" s="6"/>
      <c r="I52" s="6"/>
      <c r="J52" s="6"/>
      <c r="K52" s="6"/>
      <c r="L52" s="4">
        <f ca="1">_xll.DBRW($B$1,$B$2,$B$7,$B$3,$B$4,$B$5,$F52,$B$6,L$10,$A52,$B52)</f>
        <v>761.93640067036642</v>
      </c>
      <c r="M52" s="4">
        <f ca="1">_xll.DBRW($B$1,$B$2,$B$7,$B$3,$B$4,$B$5,$F52,$B$6,M$10,$A52,$B52)</f>
        <v>789.94490720934448</v>
      </c>
      <c r="N52" s="4">
        <f ca="1">_xll.DBRW($B$1,$B$2,$B$7,$B$3,$B$4,$B$5,$F52,$B$6,N$10,$A52,$B52)</f>
        <v>826.52215322095856</v>
      </c>
      <c r="O52" s="4">
        <f ca="1">_xll.DBRW($B$1,$B$2,$B$7,$B$3,$B$4,$B$5,$F52,$B$6,O$10,$A52,$B52)</f>
        <v>757.81303017799735</v>
      </c>
      <c r="P52" s="4">
        <f ca="1">_xll.DBRW($B$1,$B$2,$B$7,$B$3,$B$4,$B$5,$F52,$B$6,P$10,$A52,$B52)</f>
        <v>827.71451565939901</v>
      </c>
      <c r="Q52" s="4">
        <f ca="1">_xll.DBRW($B$1,$B$2,$B$7,$B$3,$B$4,$B$5,$F52,$B$6,Q$10,$A52,$B52)</f>
        <v>812.27850476704759</v>
      </c>
      <c r="R52" s="4">
        <f ca="1">_xll.DBRW($B$1,$B$2,$B$7,$B$3,$B$4,$B$5,$F52,$B$6,R$10,$A52,$B52)</f>
        <v>525.20687134694288</v>
      </c>
      <c r="S52" s="4">
        <f ca="1">_xll.DBRW($B$1,$B$2,$B$7,$B$3,$B$4,$B$5,$F52,$B$6,S$10,$A52,$B52)</f>
        <v>510.22400454616229</v>
      </c>
      <c r="T52" s="4">
        <f ca="1">_xll.DBRW($B$1,$B$2,$B$7,$B$3,$B$4,$B$5,$F52,$B$6,T$10,$A52,$B52)</f>
        <v>473.87706762983288</v>
      </c>
      <c r="U52" s="4">
        <f ca="1">_xll.DBRW($B$1,$B$2,$B$7,$B$3,$B$4,$B$5,$F52,$B$6,U$10,$A52,$B52)</f>
        <v>420.81938585982743</v>
      </c>
      <c r="V52" s="4">
        <f ca="1">_xll.DBRW($B$1,$B$2,$B$7,$B$3,$B$4,$B$5,$F52,$B$6,V$10,$A52,$B52)</f>
        <v>629.62447480634614</v>
      </c>
      <c r="W52" s="4">
        <f ca="1">_xll.DBRW($B$1,$B$2,$B$7,$B$3,$B$4,$B$5,$F52,$B$6,W$10,$A52,$B52)</f>
        <v>952.94063084897266</v>
      </c>
      <c r="X52" s="4">
        <f ca="1">_xll.DBRW($B$1,$B$2,$B$7,$B$3,$B$4,$B$5,$F52,$B$6,X$10,$A52,$B52)</f>
        <v>765.71584953365243</v>
      </c>
      <c r="Y52" s="4">
        <f ca="1">_xll.DBRW($B$1,$B$2,$B$7,$B$3,$B$4,$B$5,$F52,$B$6,Y$10,$A52,$B52)</f>
        <v>893.33133789467774</v>
      </c>
      <c r="Z52" s="4">
        <f ca="1">_xll.DBRW($B$1,$B$2,$B$7,$B$3,$B$4,$B$5,$F52,$B$6,Z$10,$A52,$B52)</f>
        <v>943.67568788743665</v>
      </c>
      <c r="AA52" s="4">
        <f ca="1">_xll.DBRW($B$1,$B$2,$B$7,$B$3,$B$4,$B$5,$F52,$B$6,AA$10,$A52,$B52)</f>
        <v>843.39065056463403</v>
      </c>
      <c r="AB52" s="4">
        <f ca="1">_xll.DBRW($B$1,$B$2,$B$7,$B$3,$B$4,$B$5,$F52,$B$6,AB$10,$A52,$B52)</f>
        <v>875.91770647052385</v>
      </c>
      <c r="AC52" s="4">
        <f ca="1">_xll.DBRW($B$1,$B$2,$B$7,$B$3,$B$4,$B$5,$F52,$B$6,AC$10,$A52,$B52)</f>
        <v>897.92986351138723</v>
      </c>
      <c r="AD52" s="4">
        <f ca="1">_xll.DBRW($B$1,$B$2,$B$7,$B$3,$B$4,$B$5,$F52,$B$6,AD$10,$A52,$B52)</f>
        <v>592.35596579033029</v>
      </c>
      <c r="AE52" s="4">
        <f ca="1">_xll.DBRW($B$1,$B$2,$B$7,$B$3,$B$4,$B$5,$F52,$B$6,AE$10,$A52,$B52)</f>
        <v>546.90006224274441</v>
      </c>
    </row>
    <row r="53" spans="1:31">
      <c r="A53" s="1" t="s">
        <v>151</v>
      </c>
      <c r="B53" s="5" t="s">
        <v>199</v>
      </c>
      <c r="C53" s="5" t="s">
        <v>189</v>
      </c>
      <c r="D53" s="5" t="s">
        <v>21</v>
      </c>
      <c r="E53" s="5" t="s">
        <v>20</v>
      </c>
      <c r="F53" s="5" t="s">
        <v>22</v>
      </c>
      <c r="G53" s="6"/>
      <c r="H53" s="6"/>
      <c r="I53" s="6"/>
      <c r="J53" s="6"/>
      <c r="K53" s="6"/>
      <c r="L53" s="4">
        <f ca="1">_xll.DBRW($B$1,$B$2,$B$7,$B$3,$B$4,$B$5,$F53,$B$6,L$10,$A53,$B53)</f>
        <v>0</v>
      </c>
      <c r="M53" s="4">
        <f ca="1">_xll.DBRW($B$1,$B$2,$B$7,$B$3,$B$4,$B$5,$F53,$B$6,M$10,$A53,$B53)</f>
        <v>0</v>
      </c>
      <c r="N53" s="4">
        <f ca="1">_xll.DBRW($B$1,$B$2,$B$7,$B$3,$B$4,$B$5,$F53,$B$6,N$10,$A53,$B53)</f>
        <v>0</v>
      </c>
      <c r="O53" s="4">
        <f ca="1">_xll.DBRW($B$1,$B$2,$B$7,$B$3,$B$4,$B$5,$F53,$B$6,O$10,$A53,$B53)</f>
        <v>37.839999999999996</v>
      </c>
      <c r="P53" s="4">
        <f ca="1">_xll.DBRW($B$1,$B$2,$B$7,$B$3,$B$4,$B$5,$F53,$B$6,P$10,$A53,$B53)</f>
        <v>0</v>
      </c>
      <c r="Q53" s="4">
        <f ca="1">_xll.DBRW($B$1,$B$2,$B$7,$B$3,$B$4,$B$5,$F53,$B$6,Q$10,$A53,$B53)</f>
        <v>0</v>
      </c>
      <c r="R53" s="4">
        <f ca="1">_xll.DBRW($B$1,$B$2,$B$7,$B$3,$B$4,$B$5,$F53,$B$6,R$10,$A53,$B53)</f>
        <v>0</v>
      </c>
      <c r="S53" s="4">
        <f ca="1">_xll.DBRW($B$1,$B$2,$B$7,$B$3,$B$4,$B$5,$F53,$B$6,S$10,$A53,$B53)</f>
        <v>0</v>
      </c>
      <c r="T53" s="4">
        <f ca="1">_xll.DBRW($B$1,$B$2,$B$7,$B$3,$B$4,$B$5,$F53,$B$6,T$10,$A53,$B53)</f>
        <v>0</v>
      </c>
      <c r="U53" s="4">
        <f ca="1">_xll.DBRW($B$1,$B$2,$B$7,$B$3,$B$4,$B$5,$F53,$B$6,U$10,$A53,$B53)</f>
        <v>0</v>
      </c>
      <c r="V53" s="4">
        <f ca="1">_xll.DBRW($B$1,$B$2,$B$7,$B$3,$B$4,$B$5,$F53,$B$6,V$10,$A53,$B53)</f>
        <v>60.477279583400566</v>
      </c>
      <c r="W53" s="4">
        <f ca="1">_xll.DBRW($B$1,$B$2,$B$7,$B$3,$B$4,$B$5,$F53,$B$6,W$10,$A53,$B53)</f>
        <v>945.1773270270877</v>
      </c>
      <c r="X53" s="4">
        <f ca="1">_xll.DBRW($B$1,$B$2,$B$7,$B$3,$B$4,$B$5,$F53,$B$6,X$10,$A53,$B53)</f>
        <v>1000.249364152458</v>
      </c>
      <c r="Y53" s="4">
        <f ca="1">_xll.DBRW($B$1,$B$2,$B$7,$B$3,$B$4,$B$5,$F53,$B$6,Y$10,$A53,$B53)</f>
        <v>960.20952353926918</v>
      </c>
      <c r="Z53" s="4">
        <f ca="1">_xll.DBRW($B$1,$B$2,$B$7,$B$3,$B$4,$B$5,$F53,$B$6,Z$10,$A53,$B53)</f>
        <v>1006.2551701688504</v>
      </c>
      <c r="AA53" s="4">
        <f ca="1">_xll.DBRW($B$1,$B$2,$B$7,$B$3,$B$4,$B$5,$F53,$B$6,AA$10,$A53,$B53)</f>
        <v>919.08634270139953</v>
      </c>
      <c r="AB53" s="4">
        <f ca="1">_xll.DBRW($B$1,$B$2,$B$7,$B$3,$B$4,$B$5,$F53,$B$6,AB$10,$A53,$B53)</f>
        <v>908.33342378235238</v>
      </c>
      <c r="AC53" s="4">
        <f ca="1">_xll.DBRW($B$1,$B$2,$B$7,$B$3,$B$4,$B$5,$F53,$B$6,AC$10,$A53,$B53)</f>
        <v>745.14314869064083</v>
      </c>
      <c r="AD53" s="4">
        <f ca="1">_xll.DBRW($B$1,$B$2,$B$7,$B$3,$B$4,$B$5,$F53,$B$6,AD$10,$A53,$B53)</f>
        <v>0</v>
      </c>
      <c r="AE53" s="4">
        <f ca="1">_xll.DBRW($B$1,$B$2,$B$7,$B$3,$B$4,$B$5,$F53,$B$6,AE$10,$A53,$B53)</f>
        <v>0</v>
      </c>
    </row>
    <row r="54" spans="1:31">
      <c r="A54" s="1" t="s">
        <v>151</v>
      </c>
      <c r="B54" s="5" t="s">
        <v>23</v>
      </c>
      <c r="C54" s="5" t="s">
        <v>19</v>
      </c>
      <c r="D54" s="5" t="s">
        <v>20</v>
      </c>
      <c r="E54" s="5" t="s">
        <v>21</v>
      </c>
      <c r="F54" s="5" t="s">
        <v>22</v>
      </c>
      <c r="G54" s="6"/>
      <c r="H54" s="6"/>
      <c r="I54" s="6"/>
      <c r="J54" s="6"/>
      <c r="K54" s="6"/>
      <c r="L54" s="4">
        <f ca="1">_xll.DBRW($B$1,$B$2,$B$7,$B$3,$B$4,$B$5,$F54,$B$6,L$10,$A54,$B54)</f>
        <v>0</v>
      </c>
      <c r="M54" s="4">
        <f ca="1">_xll.DBRW($B$1,$B$2,$B$7,$B$3,$B$4,$B$5,$F54,$B$6,M$10,$A54,$B54)</f>
        <v>0</v>
      </c>
      <c r="N54" s="4">
        <f ca="1">_xll.DBRW($B$1,$B$2,$B$7,$B$3,$B$4,$B$5,$F54,$B$6,N$10,$A54,$B54)</f>
        <v>0</v>
      </c>
      <c r="O54" s="4">
        <f ca="1">_xll.DBRW($B$1,$B$2,$B$7,$B$3,$B$4,$B$5,$F54,$B$6,O$10,$A54,$B54)</f>
        <v>0</v>
      </c>
      <c r="P54" s="4">
        <f ca="1">_xll.DBRW($B$1,$B$2,$B$7,$B$3,$B$4,$B$5,$F54,$B$6,P$10,$A54,$B54)</f>
        <v>0</v>
      </c>
      <c r="Q54" s="4">
        <f ca="1">_xll.DBRW($B$1,$B$2,$B$7,$B$3,$B$4,$B$5,$F54,$B$6,Q$10,$A54,$B54)</f>
        <v>0</v>
      </c>
      <c r="R54" s="4">
        <f ca="1">_xll.DBRW($B$1,$B$2,$B$7,$B$3,$B$4,$B$5,$F54,$B$6,R$10,$A54,$B54)</f>
        <v>0</v>
      </c>
      <c r="S54" s="4">
        <f ca="1">_xll.DBRW($B$1,$B$2,$B$7,$B$3,$B$4,$B$5,$F54,$B$6,S$10,$A54,$B54)</f>
        <v>0</v>
      </c>
      <c r="T54" s="4">
        <f ca="1">_xll.DBRW($B$1,$B$2,$B$7,$B$3,$B$4,$B$5,$F54,$B$6,T$10,$A54,$B54)</f>
        <v>0</v>
      </c>
      <c r="U54" s="4">
        <f ca="1">_xll.DBRW($B$1,$B$2,$B$7,$B$3,$B$4,$B$5,$F54,$B$6,U$10,$A54,$B54)</f>
        <v>0</v>
      </c>
      <c r="V54" s="4">
        <f ca="1">_xll.DBRW($B$1,$B$2,$B$7,$B$3,$B$4,$B$5,$F54,$B$6,V$10,$A54,$B54)</f>
        <v>60.477279583400566</v>
      </c>
      <c r="W54" s="4">
        <f ca="1">_xll.DBRW($B$1,$B$2,$B$7,$B$3,$B$4,$B$5,$F54,$B$6,W$10,$A54,$B54)</f>
        <v>945.1773270270877</v>
      </c>
      <c r="X54" s="4">
        <f ca="1">_xll.DBRW($B$1,$B$2,$B$7,$B$3,$B$4,$B$5,$F54,$B$6,X$10,$A54,$B54)</f>
        <v>1000.249364152458</v>
      </c>
      <c r="Y54" s="4">
        <f ca="1">_xll.DBRW($B$1,$B$2,$B$7,$B$3,$B$4,$B$5,$F54,$B$6,Y$10,$A54,$B54)</f>
        <v>960.20952353926918</v>
      </c>
      <c r="Z54" s="4">
        <f ca="1">_xll.DBRW($B$1,$B$2,$B$7,$B$3,$B$4,$B$5,$F54,$B$6,Z$10,$A54,$B54)</f>
        <v>1006.2551701688504</v>
      </c>
      <c r="AA54" s="4">
        <f ca="1">_xll.DBRW($B$1,$B$2,$B$7,$B$3,$B$4,$B$5,$F54,$B$6,AA$10,$A54,$B54)</f>
        <v>919.08634270139953</v>
      </c>
      <c r="AB54" s="4">
        <f ca="1">_xll.DBRW($B$1,$B$2,$B$7,$B$3,$B$4,$B$5,$F54,$B$6,AB$10,$A54,$B54)</f>
        <v>908.33342378235238</v>
      </c>
      <c r="AC54" s="4">
        <f ca="1">_xll.DBRW($B$1,$B$2,$B$7,$B$3,$B$4,$B$5,$F54,$B$6,AC$10,$A54,$B54)</f>
        <v>745.14314869064083</v>
      </c>
      <c r="AD54" s="4">
        <f ca="1">_xll.DBRW($B$1,$B$2,$B$7,$B$3,$B$4,$B$5,$F54,$B$6,AD$10,$A54,$B54)</f>
        <v>0</v>
      </c>
      <c r="AE54" s="4">
        <f ca="1">_xll.DBRW($B$1,$B$2,$B$7,$B$3,$B$4,$B$5,$F54,$B$6,AE$10,$A54,$B54)</f>
        <v>0</v>
      </c>
    </row>
    <row r="55" spans="1:31">
      <c r="A55" s="1" t="s">
        <v>151</v>
      </c>
      <c r="B55" s="5" t="s">
        <v>200</v>
      </c>
      <c r="C55" s="5" t="s">
        <v>161</v>
      </c>
      <c r="D55" s="5" t="s">
        <v>21</v>
      </c>
      <c r="E55" s="5" t="s">
        <v>69</v>
      </c>
      <c r="F55" s="5" t="s">
        <v>22</v>
      </c>
      <c r="G55" s="6"/>
      <c r="H55" s="6"/>
      <c r="I55" s="6"/>
      <c r="J55" s="6"/>
      <c r="K55" s="6"/>
      <c r="L55" s="4">
        <f ca="1">_xll.DBRW($B$1,$B$2,$B$7,$B$3,$B$4,$B$5,$F55,$B$6,L$10,$A55,$B55)</f>
        <v>816.00930652439229</v>
      </c>
      <c r="M55" s="4">
        <f ca="1">_xll.DBRW($B$1,$B$2,$B$7,$B$3,$B$4,$B$5,$F55,$B$6,M$10,$A55,$B55)</f>
        <v>859.06508659016197</v>
      </c>
      <c r="N55" s="4">
        <f ca="1">_xll.DBRW($B$1,$B$2,$B$7,$B$3,$B$4,$B$5,$F55,$B$6,N$10,$A55,$B55)</f>
        <v>867.33806202199344</v>
      </c>
      <c r="O55" s="4">
        <f ca="1">_xll.DBRW($B$1,$B$2,$B$7,$B$3,$B$4,$B$5,$F55,$B$6,O$10,$A55,$B55)</f>
        <v>851.24203389857246</v>
      </c>
      <c r="P55" s="4">
        <f ca="1">_xll.DBRW($B$1,$B$2,$B$7,$B$3,$B$4,$B$5,$F55,$B$6,P$10,$A55,$B55)</f>
        <v>797.79712352713159</v>
      </c>
      <c r="Q55" s="4">
        <f ca="1">_xll.DBRW($B$1,$B$2,$B$7,$B$3,$B$4,$B$5,$F55,$B$6,Q$10,$A55,$B55)</f>
        <v>925.38057505106667</v>
      </c>
      <c r="R55" s="4">
        <f ca="1">_xll.DBRW($B$1,$B$2,$B$7,$B$3,$B$4,$B$5,$F55,$B$6,R$10,$A55,$B55)</f>
        <v>960.89702150591313</v>
      </c>
      <c r="S55" s="4">
        <f ca="1">_xll.DBRW($B$1,$B$2,$B$7,$B$3,$B$4,$B$5,$F55,$B$6,S$10,$A55,$B55)</f>
        <v>1005.4363603327049</v>
      </c>
      <c r="T55" s="4">
        <f ca="1">_xll.DBRW($B$1,$B$2,$B$7,$B$3,$B$4,$B$5,$F55,$B$6,T$10,$A55,$B55)</f>
        <v>1004.2562255792532</v>
      </c>
      <c r="U55" s="4">
        <f ca="1">_xll.DBRW($B$1,$B$2,$B$7,$B$3,$B$4,$B$5,$F55,$B$6,U$10,$A55,$B55)</f>
        <v>895.76549769424776</v>
      </c>
      <c r="V55" s="4">
        <f ca="1">_xll.DBRW($B$1,$B$2,$B$7,$B$3,$B$4,$B$5,$F55,$B$6,V$10,$A55,$B55)</f>
        <v>986.19487081618138</v>
      </c>
      <c r="W55" s="4">
        <f ca="1">_xll.DBRW($B$1,$B$2,$B$7,$B$3,$B$4,$B$5,$F55,$B$6,W$10,$A55,$B55)</f>
        <v>976.7475126897466</v>
      </c>
      <c r="X55" s="4">
        <f ca="1">_xll.DBRW($B$1,$B$2,$B$7,$B$3,$B$4,$B$5,$F55,$B$6,X$10,$A55,$B55)</f>
        <v>994.24172734807212</v>
      </c>
      <c r="Y55" s="4">
        <f ca="1">_xll.DBRW($B$1,$B$2,$B$7,$B$3,$B$4,$B$5,$F55,$B$6,Y$10,$A55,$B55)</f>
        <v>953.14402775006579</v>
      </c>
      <c r="Z55" s="4">
        <f ca="1">_xll.DBRW($B$1,$B$2,$B$7,$B$3,$B$4,$B$5,$F55,$B$6,Z$10,$A55,$B55)</f>
        <v>973.01837091661287</v>
      </c>
      <c r="AA55" s="4">
        <f ca="1">_xll.DBRW($B$1,$B$2,$B$7,$B$3,$B$4,$B$5,$F55,$B$6,AA$10,$A55,$B55)</f>
        <v>956.16811570258369</v>
      </c>
      <c r="AB55" s="4">
        <f ca="1">_xll.DBRW($B$1,$B$2,$B$7,$B$3,$B$4,$B$5,$F55,$B$6,AB$10,$A55,$B55)</f>
        <v>882.90164441178047</v>
      </c>
      <c r="AC55" s="4">
        <f ca="1">_xll.DBRW($B$1,$B$2,$B$7,$B$3,$B$4,$B$5,$F55,$B$6,AC$10,$A55,$B55)</f>
        <v>892.73701112067806</v>
      </c>
      <c r="AD55" s="4">
        <f ca="1">_xll.DBRW($B$1,$B$2,$B$7,$B$3,$B$4,$B$5,$F55,$B$6,AD$10,$A55,$B55)</f>
        <v>912.30627504284007</v>
      </c>
      <c r="AE55" s="4">
        <f ca="1">_xll.DBRW($B$1,$B$2,$B$7,$B$3,$B$4,$B$5,$F55,$B$6,AE$10,$A55,$B55)</f>
        <v>848.33942388522257</v>
      </c>
    </row>
    <row r="56" spans="1:31">
      <c r="A56" s="1" t="s">
        <v>151</v>
      </c>
      <c r="B56" s="5" t="s">
        <v>70</v>
      </c>
      <c r="C56" s="5" t="s">
        <v>68</v>
      </c>
      <c r="D56" s="5" t="s">
        <v>69</v>
      </c>
      <c r="E56" s="5" t="s">
        <v>21</v>
      </c>
      <c r="F56" s="5" t="s">
        <v>22</v>
      </c>
      <c r="G56" s="6"/>
      <c r="H56" s="6"/>
      <c r="I56" s="6"/>
      <c r="J56" s="6"/>
      <c r="K56" s="6"/>
      <c r="L56" s="4">
        <f ca="1">_xll.DBRW($B$1,$B$2,$B$7,$B$3,$B$4,$B$5,$F56,$B$6,L$10,$A56,$B56)</f>
        <v>816.00930652439229</v>
      </c>
      <c r="M56" s="4">
        <f ca="1">_xll.DBRW($B$1,$B$2,$B$7,$B$3,$B$4,$B$5,$F56,$B$6,M$10,$A56,$B56)</f>
        <v>859.06508659016197</v>
      </c>
      <c r="N56" s="4">
        <f ca="1">_xll.DBRW($B$1,$B$2,$B$7,$B$3,$B$4,$B$5,$F56,$B$6,N$10,$A56,$B56)</f>
        <v>867.33806202199344</v>
      </c>
      <c r="O56" s="4">
        <f ca="1">_xll.DBRW($B$1,$B$2,$B$7,$B$3,$B$4,$B$5,$F56,$B$6,O$10,$A56,$B56)</f>
        <v>851.24203389857246</v>
      </c>
      <c r="P56" s="4">
        <f ca="1">_xll.DBRW($B$1,$B$2,$B$7,$B$3,$B$4,$B$5,$F56,$B$6,P$10,$A56,$B56)</f>
        <v>797.79712352713159</v>
      </c>
      <c r="Q56" s="4">
        <f ca="1">_xll.DBRW($B$1,$B$2,$B$7,$B$3,$B$4,$B$5,$F56,$B$6,Q$10,$A56,$B56)</f>
        <v>925.38057505106667</v>
      </c>
      <c r="R56" s="4">
        <f ca="1">_xll.DBRW($B$1,$B$2,$B$7,$B$3,$B$4,$B$5,$F56,$B$6,R$10,$A56,$B56)</f>
        <v>960.89702150591313</v>
      </c>
      <c r="S56" s="4">
        <f ca="1">_xll.DBRW($B$1,$B$2,$B$7,$B$3,$B$4,$B$5,$F56,$B$6,S$10,$A56,$B56)</f>
        <v>1005.4363603327049</v>
      </c>
      <c r="T56" s="4">
        <f ca="1">_xll.DBRW($B$1,$B$2,$B$7,$B$3,$B$4,$B$5,$F56,$B$6,T$10,$A56,$B56)</f>
        <v>1004.2562255792532</v>
      </c>
      <c r="U56" s="4">
        <f ca="1">_xll.DBRW($B$1,$B$2,$B$7,$B$3,$B$4,$B$5,$F56,$B$6,U$10,$A56,$B56)</f>
        <v>895.76549769424776</v>
      </c>
      <c r="V56" s="4">
        <f ca="1">_xll.DBRW($B$1,$B$2,$B$7,$B$3,$B$4,$B$5,$F56,$B$6,V$10,$A56,$B56)</f>
        <v>986.19487081618138</v>
      </c>
      <c r="W56" s="4">
        <f ca="1">_xll.DBRW($B$1,$B$2,$B$7,$B$3,$B$4,$B$5,$F56,$B$6,W$10,$A56,$B56)</f>
        <v>976.7475126897466</v>
      </c>
      <c r="X56" s="4">
        <f ca="1">_xll.DBRW($B$1,$B$2,$B$7,$B$3,$B$4,$B$5,$F56,$B$6,X$10,$A56,$B56)</f>
        <v>994.24172734807212</v>
      </c>
      <c r="Y56" s="4">
        <f ca="1">_xll.DBRW($B$1,$B$2,$B$7,$B$3,$B$4,$B$5,$F56,$B$6,Y$10,$A56,$B56)</f>
        <v>953.14402775006579</v>
      </c>
      <c r="Z56" s="4">
        <f ca="1">_xll.DBRW($B$1,$B$2,$B$7,$B$3,$B$4,$B$5,$F56,$B$6,Z$10,$A56,$B56)</f>
        <v>973.01837091661287</v>
      </c>
      <c r="AA56" s="4">
        <f ca="1">_xll.DBRW($B$1,$B$2,$B$7,$B$3,$B$4,$B$5,$F56,$B$6,AA$10,$A56,$B56)</f>
        <v>956.16811570258369</v>
      </c>
      <c r="AB56" s="4">
        <f ca="1">_xll.DBRW($B$1,$B$2,$B$7,$B$3,$B$4,$B$5,$F56,$B$6,AB$10,$A56,$B56)</f>
        <v>882.90164441178047</v>
      </c>
      <c r="AC56" s="4">
        <f ca="1">_xll.DBRW($B$1,$B$2,$B$7,$B$3,$B$4,$B$5,$F56,$B$6,AC$10,$A56,$B56)</f>
        <v>863.1025875150126</v>
      </c>
      <c r="AD56" s="4">
        <f ca="1">_xll.DBRW($B$1,$B$2,$B$7,$B$3,$B$4,$B$5,$F56,$B$6,AD$10,$A56,$B56)</f>
        <v>912.30627504284007</v>
      </c>
      <c r="AE56" s="4">
        <f ca="1">_xll.DBRW($B$1,$B$2,$B$7,$B$3,$B$4,$B$5,$F56,$B$6,AE$10,$A56,$B56)</f>
        <v>848.33942388522257</v>
      </c>
    </row>
    <row r="57" spans="1:31">
      <c r="A57" s="1" t="s">
        <v>151</v>
      </c>
      <c r="B57" s="5" t="s">
        <v>201</v>
      </c>
      <c r="C57" s="5" t="s">
        <v>202</v>
      </c>
      <c r="D57" s="5" t="s">
        <v>28</v>
      </c>
      <c r="E57" s="5" t="s">
        <v>38</v>
      </c>
      <c r="F57" s="5" t="s">
        <v>22</v>
      </c>
      <c r="G57" s="6"/>
      <c r="H57" s="6"/>
      <c r="I57" s="6"/>
      <c r="J57" s="6"/>
      <c r="K57" s="6"/>
      <c r="L57" s="4">
        <f ca="1">_xll.DBRW($B$1,$B$2,$B$7,$B$3,$B$4,$B$5,$F57,$B$6,L$10,$A57,$B57)</f>
        <v>943.24274953191104</v>
      </c>
      <c r="M57" s="4">
        <f ca="1">_xll.DBRW($B$1,$B$2,$B$7,$B$3,$B$4,$B$5,$F57,$B$6,M$10,$A57,$B57)</f>
        <v>911.02519819549161</v>
      </c>
      <c r="N57" s="4">
        <f ca="1">_xll.DBRW($B$1,$B$2,$B$7,$B$3,$B$4,$B$5,$F57,$B$6,N$10,$A57,$B57)</f>
        <v>915.70760908302259</v>
      </c>
      <c r="O57" s="4">
        <f ca="1">_xll.DBRW($B$1,$B$2,$B$7,$B$3,$B$4,$B$5,$F57,$B$6,O$10,$A57,$B57)</f>
        <v>1015.1640202505748</v>
      </c>
      <c r="P57" s="4">
        <f ca="1">_xll.DBRW($B$1,$B$2,$B$7,$B$3,$B$4,$B$5,$F57,$B$6,P$10,$A57,$B57)</f>
        <v>997.24640440891449</v>
      </c>
      <c r="Q57" s="4">
        <f ca="1">_xll.DBRW($B$1,$B$2,$B$7,$B$3,$B$4,$B$5,$F57,$B$6,Q$10,$A57,$B57)</f>
        <v>930.01350496860209</v>
      </c>
      <c r="R57" s="4">
        <f ca="1">_xll.DBRW($B$1,$B$2,$B$7,$B$3,$B$4,$B$5,$F57,$B$6,R$10,$A57,$B57)</f>
        <v>636.07389751583003</v>
      </c>
      <c r="S57" s="4">
        <f ca="1">_xll.DBRW($B$1,$B$2,$B$7,$B$3,$B$4,$B$5,$F57,$B$6,S$10,$A57,$B57)</f>
        <v>766.71243306654378</v>
      </c>
      <c r="T57" s="4">
        <f ca="1">_xll.DBRW($B$1,$B$2,$B$7,$B$3,$B$4,$B$5,$F57,$B$6,T$10,$A57,$B57)</f>
        <v>579.36497488777525</v>
      </c>
      <c r="U57" s="4">
        <f ca="1">_xll.DBRW($B$1,$B$2,$B$7,$B$3,$B$4,$B$5,$F57,$B$6,U$10,$A57,$B57)</f>
        <v>536.48562746630955</v>
      </c>
      <c r="V57" s="4">
        <f ca="1">_xll.DBRW($B$1,$B$2,$B$7,$B$3,$B$4,$B$5,$F57,$B$6,V$10,$A57,$B57)</f>
        <v>609.08241566036338</v>
      </c>
      <c r="W57" s="4">
        <f ca="1">_xll.DBRW($B$1,$B$2,$B$7,$B$3,$B$4,$B$5,$F57,$B$6,W$10,$A57,$B57)</f>
        <v>713.17733837445735</v>
      </c>
      <c r="X57" s="4">
        <f ca="1">_xll.DBRW($B$1,$B$2,$B$7,$B$3,$B$4,$B$5,$F57,$B$6,X$10,$A57,$B57)</f>
        <v>723.56071357875044</v>
      </c>
      <c r="Y57" s="4">
        <f ca="1">_xll.DBRW($B$1,$B$2,$B$7,$B$3,$B$4,$B$5,$F57,$B$6,Y$10,$A57,$B57)</f>
        <v>670.52609308391345</v>
      </c>
      <c r="Z57" s="4">
        <f ca="1">_xll.DBRW($B$1,$B$2,$B$7,$B$3,$B$4,$B$5,$F57,$B$6,Z$10,$A57,$B57)</f>
        <v>707.55185817361871</v>
      </c>
      <c r="AA57" s="4">
        <f ca="1">_xll.DBRW($B$1,$B$2,$B$7,$B$3,$B$4,$B$5,$F57,$B$6,AA$10,$A57,$B57)</f>
        <v>638.67855259978091</v>
      </c>
      <c r="AB57" s="4">
        <f ca="1">_xll.DBRW($B$1,$B$2,$B$7,$B$3,$B$4,$B$5,$F57,$B$6,AB$10,$A57,$B57)</f>
        <v>606.83810251228135</v>
      </c>
      <c r="AC57" s="4">
        <f ca="1">_xll.DBRW($B$1,$B$2,$B$7,$B$3,$B$4,$B$5,$F57,$B$6,AC$10,$A57,$B57)</f>
        <v>732.98825888683348</v>
      </c>
      <c r="AD57" s="4">
        <f ca="1">_xll.DBRW($B$1,$B$2,$B$7,$B$3,$B$4,$B$5,$F57,$B$6,AD$10,$A57,$B57)</f>
        <v>680.29981952396713</v>
      </c>
      <c r="AE57" s="4">
        <f ca="1">_xll.DBRW($B$1,$B$2,$B$7,$B$3,$B$4,$B$5,$F57,$B$6,AE$10,$A57,$B57)</f>
        <v>741.63724377127483</v>
      </c>
    </row>
    <row r="58" spans="1:31">
      <c r="A58" s="1" t="s">
        <v>151</v>
      </c>
      <c r="B58" s="5" t="s">
        <v>45</v>
      </c>
      <c r="C58" s="5" t="s">
        <v>46</v>
      </c>
      <c r="D58" s="5" t="s">
        <v>38</v>
      </c>
      <c r="E58" s="5" t="s">
        <v>28</v>
      </c>
      <c r="F58" s="5" t="s">
        <v>22</v>
      </c>
      <c r="G58" s="6"/>
      <c r="H58" s="6"/>
      <c r="I58" s="6"/>
      <c r="J58" s="6"/>
      <c r="K58" s="6"/>
      <c r="L58" s="4">
        <f ca="1">_xll.DBRW($B$1,$B$2,$B$7,$B$3,$B$4,$B$5,$F58,$B$6,L$10,$A58,$B58)</f>
        <v>943.24274953191104</v>
      </c>
      <c r="M58" s="4">
        <f ca="1">_xll.DBRW($B$1,$B$2,$B$7,$B$3,$B$4,$B$5,$F58,$B$6,M$10,$A58,$B58)</f>
        <v>911.02519819549161</v>
      </c>
      <c r="N58" s="4">
        <f ca="1">_xll.DBRW($B$1,$B$2,$B$7,$B$3,$B$4,$B$5,$F58,$B$6,N$10,$A58,$B58)</f>
        <v>915.70760908302259</v>
      </c>
      <c r="O58" s="4">
        <f ca="1">_xll.DBRW($B$1,$B$2,$B$7,$B$3,$B$4,$B$5,$F58,$B$6,O$10,$A58,$B58)</f>
        <v>1015.1640202505748</v>
      </c>
      <c r="P58" s="4">
        <f ca="1">_xll.DBRW($B$1,$B$2,$B$7,$B$3,$B$4,$B$5,$F58,$B$6,P$10,$A58,$B58)</f>
        <v>997.24640440891449</v>
      </c>
      <c r="Q58" s="4">
        <f ca="1">_xll.DBRW($B$1,$B$2,$B$7,$B$3,$B$4,$B$5,$F58,$B$6,Q$10,$A58,$B58)</f>
        <v>930.01350496860209</v>
      </c>
      <c r="R58" s="4">
        <f ca="1">_xll.DBRW($B$1,$B$2,$B$7,$B$3,$B$4,$B$5,$F58,$B$6,R$10,$A58,$B58)</f>
        <v>636.07389751583003</v>
      </c>
      <c r="S58" s="4">
        <f ca="1">_xll.DBRW($B$1,$B$2,$B$7,$B$3,$B$4,$B$5,$F58,$B$6,S$10,$A58,$B58)</f>
        <v>766.71243306654378</v>
      </c>
      <c r="T58" s="4">
        <f ca="1">_xll.DBRW($B$1,$B$2,$B$7,$B$3,$B$4,$B$5,$F58,$B$6,T$10,$A58,$B58)</f>
        <v>579.36497488777525</v>
      </c>
      <c r="U58" s="4">
        <f ca="1">_xll.DBRW($B$1,$B$2,$B$7,$B$3,$B$4,$B$5,$F58,$B$6,U$10,$A58,$B58)</f>
        <v>536.48562746630955</v>
      </c>
      <c r="V58" s="4">
        <f ca="1">_xll.DBRW($B$1,$B$2,$B$7,$B$3,$B$4,$B$5,$F58,$B$6,V$10,$A58,$B58)</f>
        <v>609.08241566036338</v>
      </c>
      <c r="W58" s="4">
        <f ca="1">_xll.DBRW($B$1,$B$2,$B$7,$B$3,$B$4,$B$5,$F58,$B$6,W$10,$A58,$B58)</f>
        <v>713.17733837445735</v>
      </c>
      <c r="X58" s="4">
        <f ca="1">_xll.DBRW($B$1,$B$2,$B$7,$B$3,$B$4,$B$5,$F58,$B$6,X$10,$A58,$B58)</f>
        <v>723.56071357875044</v>
      </c>
      <c r="Y58" s="4">
        <f ca="1">_xll.DBRW($B$1,$B$2,$B$7,$B$3,$B$4,$B$5,$F58,$B$6,Y$10,$A58,$B58)</f>
        <v>670.52609308391345</v>
      </c>
      <c r="Z58" s="4">
        <f ca="1">_xll.DBRW($B$1,$B$2,$B$7,$B$3,$B$4,$B$5,$F58,$B$6,Z$10,$A58,$B58)</f>
        <v>707.55185817361871</v>
      </c>
      <c r="AA58" s="4">
        <f ca="1">_xll.DBRW($B$1,$B$2,$B$7,$B$3,$B$4,$B$5,$F58,$B$6,AA$10,$A58,$B58)</f>
        <v>638.67855259978091</v>
      </c>
      <c r="AB58" s="4">
        <f ca="1">_xll.DBRW($B$1,$B$2,$B$7,$B$3,$B$4,$B$5,$F58,$B$6,AB$10,$A58,$B58)</f>
        <v>606.83810251228135</v>
      </c>
      <c r="AC58" s="4">
        <f ca="1">_xll.DBRW($B$1,$B$2,$B$7,$B$3,$B$4,$B$5,$F58,$B$6,AC$10,$A58,$B58)</f>
        <v>701.42904218476144</v>
      </c>
      <c r="AD58" s="4">
        <f ca="1">_xll.DBRW($B$1,$B$2,$B$7,$B$3,$B$4,$B$5,$F58,$B$6,AD$10,$A58,$B58)</f>
        <v>680.29981952396713</v>
      </c>
      <c r="AE58" s="4">
        <f ca="1">_xll.DBRW($B$1,$B$2,$B$7,$B$3,$B$4,$B$5,$F58,$B$6,AE$10,$A58,$B58)</f>
        <v>741.63724377127483</v>
      </c>
    </row>
    <row r="59" spans="1:31">
      <c r="A59" s="1" t="s">
        <v>151</v>
      </c>
      <c r="B59" s="5" t="s">
        <v>203</v>
      </c>
      <c r="C59" s="5" t="s">
        <v>204</v>
      </c>
      <c r="D59" s="5" t="s">
        <v>21</v>
      </c>
      <c r="E59" s="5" t="s">
        <v>80</v>
      </c>
      <c r="F59" s="5" t="s">
        <v>22</v>
      </c>
      <c r="G59" s="6"/>
      <c r="H59" s="6"/>
      <c r="I59" s="6"/>
      <c r="J59" s="6"/>
      <c r="K59" s="6"/>
      <c r="L59" s="4">
        <f ca="1">_xll.DBRW($B$1,$B$2,$B$7,$B$3,$B$4,$B$5,$F59,$B$6,L$10,$A59,$B59)</f>
        <v>946.76742431685523</v>
      </c>
      <c r="M59" s="4">
        <f ca="1">_xll.DBRW($B$1,$B$2,$B$7,$B$3,$B$4,$B$5,$F59,$B$6,M$10,$A59,$B59)</f>
        <v>849.19077525004514</v>
      </c>
      <c r="N59" s="4">
        <f ca="1">_xll.DBRW($B$1,$B$2,$B$7,$B$3,$B$4,$B$5,$F59,$B$6,N$10,$A59,$B59)</f>
        <v>908.15397082302843</v>
      </c>
      <c r="O59" s="4">
        <f ca="1">_xll.DBRW($B$1,$B$2,$B$7,$B$3,$B$4,$B$5,$F59,$B$6,O$10,$A59,$B59)</f>
        <v>799.33703183158616</v>
      </c>
      <c r="P59" s="4">
        <f ca="1">_xll.DBRW($B$1,$B$2,$B$7,$B$3,$B$4,$B$5,$F59,$B$6,P$10,$A59,$B59)</f>
        <v>794.58019964194159</v>
      </c>
      <c r="Q59" s="4">
        <f ca="1">_xll.DBRW($B$1,$B$2,$B$7,$B$3,$B$4,$B$5,$F59,$B$6,Q$10,$A59,$B59)</f>
        <v>781.5399255818495</v>
      </c>
      <c r="R59" s="4">
        <f ca="1">_xll.DBRW($B$1,$B$2,$B$7,$B$3,$B$4,$B$5,$F59,$B$6,R$10,$A59,$B59)</f>
        <v>688.55722396680403</v>
      </c>
      <c r="S59" s="4">
        <f ca="1">_xll.DBRW($B$1,$B$2,$B$7,$B$3,$B$4,$B$5,$F59,$B$6,S$10,$A59,$B59)</f>
        <v>768.04584599361635</v>
      </c>
      <c r="T59" s="4">
        <f ca="1">_xll.DBRW($B$1,$B$2,$B$7,$B$3,$B$4,$B$5,$F59,$B$6,T$10,$A59,$B59)</f>
        <v>1000.2896735089611</v>
      </c>
      <c r="U59" s="4">
        <f ca="1">_xll.DBRW($B$1,$B$2,$B$7,$B$3,$B$4,$B$5,$F59,$B$6,U$10,$A59,$B59)</f>
        <v>894.28462900751776</v>
      </c>
      <c r="V59" s="4">
        <f ca="1">_xll.DBRW($B$1,$B$2,$B$7,$B$3,$B$4,$B$5,$F59,$B$6,V$10,$A59,$B59)</f>
        <v>948.3063727439968</v>
      </c>
      <c r="W59" s="4">
        <f ca="1">_xll.DBRW($B$1,$B$2,$B$7,$B$3,$B$4,$B$5,$F59,$B$6,W$10,$A59,$B59)</f>
        <v>967.02515407638941</v>
      </c>
      <c r="X59" s="4">
        <f ca="1">_xll.DBRW($B$1,$B$2,$B$7,$B$3,$B$4,$B$5,$F59,$B$6,X$10,$A59,$B59)</f>
        <v>1026.178725480717</v>
      </c>
      <c r="Y59" s="4">
        <f ca="1">_xll.DBRW($B$1,$B$2,$B$7,$B$3,$B$4,$B$5,$F59,$B$6,Y$10,$A59,$B59)</f>
        <v>982.62143044215088</v>
      </c>
      <c r="Z59" s="4">
        <f ca="1">_xll.DBRW($B$1,$B$2,$B$7,$B$3,$B$4,$B$5,$F59,$B$6,Z$10,$A59,$B59)</f>
        <v>1029.6547889693791</v>
      </c>
      <c r="AA59" s="4">
        <f ca="1">_xll.DBRW($B$1,$B$2,$B$7,$B$3,$B$4,$B$5,$F59,$B$6,AA$10,$A59,$B59)</f>
        <v>1017.3660767137501</v>
      </c>
      <c r="AB59" s="4">
        <f ca="1">_xll.DBRW($B$1,$B$2,$B$7,$B$3,$B$4,$B$5,$F59,$B$6,AB$10,$A59,$B59)</f>
        <v>956.00360108890379</v>
      </c>
      <c r="AC59" s="4">
        <f ca="1">_xll.DBRW($B$1,$B$2,$B$7,$B$3,$B$4,$B$5,$F59,$B$6,AC$10,$A59,$B59)</f>
        <v>1039.7366562278912</v>
      </c>
      <c r="AD59" s="4">
        <f ca="1">_xll.DBRW($B$1,$B$2,$B$7,$B$3,$B$4,$B$5,$F59,$B$6,AD$10,$A59,$B59)</f>
        <v>986.14280841759262</v>
      </c>
      <c r="AE59" s="4">
        <f ca="1">_xll.DBRW($B$1,$B$2,$B$7,$B$3,$B$4,$B$5,$F59,$B$6,AE$10,$A59,$B59)</f>
        <v>981.82022122966271</v>
      </c>
    </row>
    <row r="60" spans="1:31">
      <c r="A60" s="1" t="s">
        <v>151</v>
      </c>
      <c r="B60" s="5" t="s">
        <v>78</v>
      </c>
      <c r="C60" s="5" t="s">
        <v>79</v>
      </c>
      <c r="D60" s="5" t="s">
        <v>80</v>
      </c>
      <c r="E60" s="5" t="s">
        <v>21</v>
      </c>
      <c r="F60" s="5" t="s">
        <v>22</v>
      </c>
      <c r="G60" s="6"/>
      <c r="H60" s="6"/>
      <c r="I60" s="6"/>
      <c r="J60" s="6"/>
      <c r="K60" s="6"/>
      <c r="L60" s="4">
        <f ca="1">_xll.DBRW($B$1,$B$2,$B$7,$B$3,$B$4,$B$5,$F60,$B$6,L$10,$A60,$B60)</f>
        <v>946.76742431685523</v>
      </c>
      <c r="M60" s="4">
        <f ca="1">_xll.DBRW($B$1,$B$2,$B$7,$B$3,$B$4,$B$5,$F60,$B$6,M$10,$A60,$B60)</f>
        <v>849.19077525004514</v>
      </c>
      <c r="N60" s="4">
        <f ca="1">_xll.DBRW($B$1,$B$2,$B$7,$B$3,$B$4,$B$5,$F60,$B$6,N$10,$A60,$B60)</f>
        <v>908.15397082302843</v>
      </c>
      <c r="O60" s="4">
        <f ca="1">_xll.DBRW($B$1,$B$2,$B$7,$B$3,$B$4,$B$5,$F60,$B$6,O$10,$A60,$B60)</f>
        <v>799.33703183158616</v>
      </c>
      <c r="P60" s="4">
        <f ca="1">_xll.DBRW($B$1,$B$2,$B$7,$B$3,$B$4,$B$5,$F60,$B$6,P$10,$A60,$B60)</f>
        <v>794.58019964194159</v>
      </c>
      <c r="Q60" s="4">
        <f ca="1">_xll.DBRW($B$1,$B$2,$B$7,$B$3,$B$4,$B$5,$F60,$B$6,Q$10,$A60,$B60)</f>
        <v>781.5399255818495</v>
      </c>
      <c r="R60" s="4">
        <f ca="1">_xll.DBRW($B$1,$B$2,$B$7,$B$3,$B$4,$B$5,$F60,$B$6,R$10,$A60,$B60)</f>
        <v>688.55722396680403</v>
      </c>
      <c r="S60" s="4">
        <f ca="1">_xll.DBRW($B$1,$B$2,$B$7,$B$3,$B$4,$B$5,$F60,$B$6,S$10,$A60,$B60)</f>
        <v>768.04584599361635</v>
      </c>
      <c r="T60" s="4">
        <f ca="1">_xll.DBRW($B$1,$B$2,$B$7,$B$3,$B$4,$B$5,$F60,$B$6,T$10,$A60,$B60)</f>
        <v>1000.2896735089611</v>
      </c>
      <c r="U60" s="4">
        <f ca="1">_xll.DBRW($B$1,$B$2,$B$7,$B$3,$B$4,$B$5,$F60,$B$6,U$10,$A60,$B60)</f>
        <v>894.28462900751776</v>
      </c>
      <c r="V60" s="4">
        <f ca="1">_xll.DBRW($B$1,$B$2,$B$7,$B$3,$B$4,$B$5,$F60,$B$6,V$10,$A60,$B60)</f>
        <v>948.3063727439968</v>
      </c>
      <c r="W60" s="4">
        <f ca="1">_xll.DBRW($B$1,$B$2,$B$7,$B$3,$B$4,$B$5,$F60,$B$6,W$10,$A60,$B60)</f>
        <v>967.02515407638941</v>
      </c>
      <c r="X60" s="4">
        <f ca="1">_xll.DBRW($B$1,$B$2,$B$7,$B$3,$B$4,$B$5,$F60,$B$6,X$10,$A60,$B60)</f>
        <v>1026.178725480717</v>
      </c>
      <c r="Y60" s="4">
        <f ca="1">_xll.DBRW($B$1,$B$2,$B$7,$B$3,$B$4,$B$5,$F60,$B$6,Y$10,$A60,$B60)</f>
        <v>982.62143044215088</v>
      </c>
      <c r="Z60" s="4">
        <f ca="1">_xll.DBRW($B$1,$B$2,$B$7,$B$3,$B$4,$B$5,$F60,$B$6,Z$10,$A60,$B60)</f>
        <v>1029.6547889693791</v>
      </c>
      <c r="AA60" s="4">
        <f ca="1">_xll.DBRW($B$1,$B$2,$B$7,$B$3,$B$4,$B$5,$F60,$B$6,AA$10,$A60,$B60)</f>
        <v>1017.3660767137501</v>
      </c>
      <c r="AB60" s="4">
        <f ca="1">_xll.DBRW($B$1,$B$2,$B$7,$B$3,$B$4,$B$5,$F60,$B$6,AB$10,$A60,$B60)</f>
        <v>956.00360108890379</v>
      </c>
      <c r="AC60" s="4">
        <f ca="1">_xll.DBRW($B$1,$B$2,$B$7,$B$3,$B$4,$B$5,$F60,$B$6,AC$10,$A60,$B60)</f>
        <v>1005.6818220423307</v>
      </c>
      <c r="AD60" s="4">
        <f ca="1">_xll.DBRW($B$1,$B$2,$B$7,$B$3,$B$4,$B$5,$F60,$B$6,AD$10,$A60,$B60)</f>
        <v>986.14280841759262</v>
      </c>
      <c r="AE60" s="4">
        <f ca="1">_xll.DBRW($B$1,$B$2,$B$7,$B$3,$B$4,$B$5,$F60,$B$6,AE$10,$A60,$B60)</f>
        <v>950.14860118999604</v>
      </c>
    </row>
    <row r="61" spans="1:31">
      <c r="A61" s="1" t="s">
        <v>151</v>
      </c>
      <c r="B61" s="5" t="s">
        <v>205</v>
      </c>
      <c r="C61" s="5" t="s">
        <v>206</v>
      </c>
      <c r="D61" s="5" t="s">
        <v>21</v>
      </c>
      <c r="E61" s="5" t="s">
        <v>181</v>
      </c>
      <c r="F61" s="5" t="s">
        <v>22</v>
      </c>
      <c r="G61" s="6"/>
      <c r="H61" s="6"/>
      <c r="I61" s="6"/>
      <c r="J61" s="6"/>
      <c r="K61" s="6"/>
      <c r="L61" s="4">
        <f ca="1">_xll.DBRW($B$1,$B$2,$B$7,$B$3,$B$4,$B$5,$F61,$B$6,L$10,$A61,$B61)</f>
        <v>243.81964821451726</v>
      </c>
      <c r="M61" s="4">
        <f ca="1">_xll.DBRW($B$1,$B$2,$B$7,$B$3,$B$4,$B$5,$F61,$B$6,M$10,$A61,$B61)</f>
        <v>125.07461030814619</v>
      </c>
      <c r="N61" s="4">
        <f ca="1">_xll.DBRW($B$1,$B$2,$B$7,$B$3,$B$4,$B$5,$F61,$B$6,N$10,$A61,$B61)</f>
        <v>121.13108418371671</v>
      </c>
      <c r="O61" s="4">
        <f ca="1">_xll.DBRW($B$1,$B$2,$B$7,$B$3,$B$4,$B$5,$F61,$B$6,O$10,$A61,$B61)</f>
        <v>147.34323167402513</v>
      </c>
      <c r="P61" s="4">
        <f ca="1">_xll.DBRW($B$1,$B$2,$B$7,$B$3,$B$4,$B$5,$F61,$B$6,P$10,$A61,$B61)</f>
        <v>122.3288922741602</v>
      </c>
      <c r="Q61" s="4">
        <f ca="1">_xll.DBRW($B$1,$B$2,$B$7,$B$3,$B$4,$B$5,$F61,$B$6,Q$10,$A61,$B61)</f>
        <v>307.49323183515071</v>
      </c>
      <c r="R61" s="4">
        <f ca="1">_xll.DBRW($B$1,$B$2,$B$7,$B$3,$B$4,$B$5,$F61,$B$6,R$10,$A61,$B61)</f>
        <v>1017.3775549892598</v>
      </c>
      <c r="S61" s="4">
        <f ca="1">_xll.DBRW($B$1,$B$2,$B$7,$B$3,$B$4,$B$5,$F61,$B$6,S$10,$A61,$B61)</f>
        <v>1202.867500179854</v>
      </c>
      <c r="T61" s="4">
        <f ca="1">_xll.DBRW($B$1,$B$2,$B$7,$B$3,$B$4,$B$5,$F61,$B$6,T$10,$A61,$B61)</f>
        <v>1142.5659707524358</v>
      </c>
      <c r="U61" s="4">
        <f ca="1">_xll.DBRW($B$1,$B$2,$B$7,$B$3,$B$4,$B$5,$F61,$B$6,U$10,$A61,$B61)</f>
        <v>1013.1270992418915</v>
      </c>
      <c r="V61" s="4">
        <f ca="1">_xll.DBRW($B$1,$B$2,$B$7,$B$3,$B$4,$B$5,$F61,$B$6,V$10,$A61,$B61)</f>
        <v>719.23771881063203</v>
      </c>
      <c r="W61" s="4">
        <f ca="1">_xll.DBRW($B$1,$B$2,$B$7,$B$3,$B$4,$B$5,$F61,$B$6,W$10,$A61,$B61)</f>
        <v>265.38390182457994</v>
      </c>
      <c r="X61" s="4">
        <f ca="1">_xll.DBRW($B$1,$B$2,$B$7,$B$3,$B$4,$B$5,$F61,$B$6,X$10,$A61,$B61)</f>
        <v>292.14680041746948</v>
      </c>
      <c r="Y61" s="4">
        <f ca="1">_xll.DBRW($B$1,$B$2,$B$7,$B$3,$B$4,$B$5,$F61,$B$6,Y$10,$A61,$B61)</f>
        <v>289.80061214942936</v>
      </c>
      <c r="Z61" s="4">
        <f ca="1">_xll.DBRW($B$1,$B$2,$B$7,$B$3,$B$4,$B$5,$F61,$B$6,Z$10,$A61,$B61)</f>
        <v>260.68512629466306</v>
      </c>
      <c r="AA61" s="4">
        <f ca="1">_xll.DBRW($B$1,$B$2,$B$7,$B$3,$B$4,$B$5,$F61,$B$6,AA$10,$A61,$B61)</f>
        <v>289.59921082529416</v>
      </c>
      <c r="AB61" s="4">
        <f ca="1">_xll.DBRW($B$1,$B$2,$B$7,$B$3,$B$4,$B$5,$F61,$B$6,AB$10,$A61,$B61)</f>
        <v>280.43034764939182</v>
      </c>
      <c r="AC61" s="4">
        <f ca="1">_xll.DBRW($B$1,$B$2,$B$7,$B$3,$B$4,$B$5,$F61,$B$6,AC$10,$A61,$B61)</f>
        <v>1071.8756294552932</v>
      </c>
      <c r="AD61" s="4">
        <f ca="1">_xll.DBRW($B$1,$B$2,$B$7,$B$3,$B$4,$B$5,$F61,$B$6,AD$10,$A61,$B61)</f>
        <v>960.51744149899855</v>
      </c>
      <c r="AE61" s="4">
        <f ca="1">_xll.DBRW($B$1,$B$2,$B$7,$B$3,$B$4,$B$5,$F61,$B$6,AE$10,$A61,$B61)</f>
        <v>964.39077571376163</v>
      </c>
    </row>
    <row r="62" spans="1:31">
      <c r="A62" s="1" t="s">
        <v>151</v>
      </c>
      <c r="B62" s="5" t="s">
        <v>207</v>
      </c>
      <c r="C62" s="5" t="s">
        <v>208</v>
      </c>
      <c r="D62" s="5" t="s">
        <v>181</v>
      </c>
      <c r="E62" s="5" t="s">
        <v>21</v>
      </c>
      <c r="F62" s="5" t="s">
        <v>22</v>
      </c>
      <c r="G62" s="6"/>
      <c r="H62" s="6"/>
      <c r="I62" s="6"/>
      <c r="J62" s="6"/>
      <c r="K62" s="6"/>
      <c r="L62" s="4">
        <f ca="1">_xll.DBRW($B$1,$B$2,$B$7,$B$3,$B$4,$B$5,$F62,$B$6,L$10,$A62,$B62)</f>
        <v>243.81964821451726</v>
      </c>
      <c r="M62" s="4">
        <f ca="1">_xll.DBRW($B$1,$B$2,$B$7,$B$3,$B$4,$B$5,$F62,$B$6,M$10,$A62,$B62)</f>
        <v>125.07461030814619</v>
      </c>
      <c r="N62" s="4">
        <f ca="1">_xll.DBRW($B$1,$B$2,$B$7,$B$3,$B$4,$B$5,$F62,$B$6,N$10,$A62,$B62)</f>
        <v>121.13108418371671</v>
      </c>
      <c r="O62" s="4">
        <f ca="1">_xll.DBRW($B$1,$B$2,$B$7,$B$3,$B$4,$B$5,$F62,$B$6,O$10,$A62,$B62)</f>
        <v>147.34323167402513</v>
      </c>
      <c r="P62" s="4">
        <f ca="1">_xll.DBRW($B$1,$B$2,$B$7,$B$3,$B$4,$B$5,$F62,$B$6,P$10,$A62,$B62)</f>
        <v>122.3288922741602</v>
      </c>
      <c r="Q62" s="4">
        <f ca="1">_xll.DBRW($B$1,$B$2,$B$7,$B$3,$B$4,$B$5,$F62,$B$6,Q$10,$A62,$B62)</f>
        <v>307.49323183515071</v>
      </c>
      <c r="R62" s="4">
        <f ca="1">_xll.DBRW($B$1,$B$2,$B$7,$B$3,$B$4,$B$5,$F62,$B$6,R$10,$A62,$B62)</f>
        <v>1017.3775549892598</v>
      </c>
      <c r="S62" s="4">
        <f ca="1">_xll.DBRW($B$1,$B$2,$B$7,$B$3,$B$4,$B$5,$F62,$B$6,S$10,$A62,$B62)</f>
        <v>1202.867500179854</v>
      </c>
      <c r="T62" s="4">
        <f ca="1">_xll.DBRW($B$1,$B$2,$B$7,$B$3,$B$4,$B$5,$F62,$B$6,T$10,$A62,$B62)</f>
        <v>1142.5659707524358</v>
      </c>
      <c r="U62" s="4">
        <f ca="1">_xll.DBRW($B$1,$B$2,$B$7,$B$3,$B$4,$B$5,$F62,$B$6,U$10,$A62,$B62)</f>
        <v>1013.1270992418915</v>
      </c>
      <c r="V62" s="4">
        <f ca="1">_xll.DBRW($B$1,$B$2,$B$7,$B$3,$B$4,$B$5,$F62,$B$6,V$10,$A62,$B62)</f>
        <v>719.23771881063203</v>
      </c>
      <c r="W62" s="4">
        <f ca="1">_xll.DBRW($B$1,$B$2,$B$7,$B$3,$B$4,$B$5,$F62,$B$6,W$10,$A62,$B62)</f>
        <v>265.38390182457994</v>
      </c>
      <c r="X62" s="4">
        <f ca="1">_xll.DBRW($B$1,$B$2,$B$7,$B$3,$B$4,$B$5,$F62,$B$6,X$10,$A62,$B62)</f>
        <v>292.14680041746948</v>
      </c>
      <c r="Y62" s="4">
        <f ca="1">_xll.DBRW($B$1,$B$2,$B$7,$B$3,$B$4,$B$5,$F62,$B$6,Y$10,$A62,$B62)</f>
        <v>289.80061214942936</v>
      </c>
      <c r="Z62" s="4">
        <f ca="1">_xll.DBRW($B$1,$B$2,$B$7,$B$3,$B$4,$B$5,$F62,$B$6,Z$10,$A62,$B62)</f>
        <v>260.68512629466306</v>
      </c>
      <c r="AA62" s="4">
        <f ca="1">_xll.DBRW($B$1,$B$2,$B$7,$B$3,$B$4,$B$5,$F62,$B$6,AA$10,$A62,$B62)</f>
        <v>289.59921082529416</v>
      </c>
      <c r="AB62" s="4">
        <f ca="1">_xll.DBRW($B$1,$B$2,$B$7,$B$3,$B$4,$B$5,$F62,$B$6,AB$10,$A62,$B62)</f>
        <v>280.43034764939182</v>
      </c>
      <c r="AC62" s="4">
        <f ca="1">_xll.DBRW($B$1,$B$2,$B$7,$B$3,$B$4,$B$5,$F62,$B$6,AC$10,$A62,$B62)</f>
        <v>1071.8756294552932</v>
      </c>
      <c r="AD62" s="4">
        <f ca="1">_xll.DBRW($B$1,$B$2,$B$7,$B$3,$B$4,$B$5,$F62,$B$6,AD$10,$A62,$B62)</f>
        <v>960.51744149899855</v>
      </c>
      <c r="AE62" s="4">
        <f ca="1">_xll.DBRW($B$1,$B$2,$B$7,$B$3,$B$4,$B$5,$F62,$B$6,AE$10,$A62,$B62)</f>
        <v>964.39077571376163</v>
      </c>
    </row>
    <row r="63" spans="1:31">
      <c r="A63" s="1" t="s">
        <v>151</v>
      </c>
      <c r="B63" s="5" t="s">
        <v>209</v>
      </c>
      <c r="C63" s="5" t="s">
        <v>210</v>
      </c>
      <c r="D63" s="5" t="s">
        <v>21</v>
      </c>
      <c r="E63" s="5" t="s">
        <v>211</v>
      </c>
      <c r="F63" s="5" t="s">
        <v>22</v>
      </c>
      <c r="G63" s="6"/>
      <c r="H63" s="6"/>
      <c r="I63" s="6"/>
      <c r="J63" s="6"/>
      <c r="K63" s="6"/>
      <c r="L63" s="4">
        <f ca="1">_xll.DBRW($B$1,$B$2,$B$7,$B$3,$B$4,$B$5,$F63,$B$6,L$10,$A63,$B63)</f>
        <v>183.52016532275493</v>
      </c>
      <c r="M63" s="4">
        <f ca="1">_xll.DBRW($B$1,$B$2,$B$7,$B$3,$B$4,$B$5,$F63,$B$6,M$10,$A63,$B63)</f>
        <v>0</v>
      </c>
      <c r="N63" s="4">
        <f ca="1">_xll.DBRW($B$1,$B$2,$B$7,$B$3,$B$4,$B$5,$F63,$B$6,N$10,$A63,$B63)</f>
        <v>0</v>
      </c>
      <c r="O63" s="4">
        <f ca="1">_xll.DBRW($B$1,$B$2,$B$7,$B$3,$B$4,$B$5,$F63,$B$6,O$10,$A63,$B63)</f>
        <v>0</v>
      </c>
      <c r="P63" s="4">
        <f ca="1">_xll.DBRW($B$1,$B$2,$B$7,$B$3,$B$4,$B$5,$F63,$B$6,P$10,$A63,$B63)</f>
        <v>0</v>
      </c>
      <c r="Q63" s="4">
        <f ca="1">_xll.DBRW($B$1,$B$2,$B$7,$B$3,$B$4,$B$5,$F63,$B$6,Q$10,$A63,$B63)</f>
        <v>66.945853513795385</v>
      </c>
      <c r="R63" s="4">
        <f ca="1">_xll.DBRW($B$1,$B$2,$B$7,$B$3,$B$4,$B$5,$F63,$B$6,R$10,$A63,$B63)</f>
        <v>440.04715871236698</v>
      </c>
      <c r="S63" s="4">
        <f ca="1">_xll.DBRW($B$1,$B$2,$B$7,$B$3,$B$4,$B$5,$F63,$B$6,S$10,$A63,$B63)</f>
        <v>522.03116094878601</v>
      </c>
      <c r="T63" s="4">
        <f ca="1">_xll.DBRW($B$1,$B$2,$B$7,$B$3,$B$4,$B$5,$F63,$B$6,T$10,$A63,$B63)</f>
        <v>564.72438765631887</v>
      </c>
      <c r="U63" s="4">
        <f ca="1">_xll.DBRW($B$1,$B$2,$B$7,$B$3,$B$4,$B$5,$F63,$B$6,U$10,$A63,$B63)</f>
        <v>499.76621112517489</v>
      </c>
      <c r="V63" s="4">
        <f ca="1">_xll.DBRW($B$1,$B$2,$B$7,$B$3,$B$4,$B$5,$F63,$B$6,V$10,$A63,$B63)</f>
        <v>508.89693777026395</v>
      </c>
      <c r="W63" s="4">
        <f ca="1">_xll.DBRW($B$1,$B$2,$B$7,$B$3,$B$4,$B$5,$F63,$B$6,W$10,$A63,$B63)</f>
        <v>0</v>
      </c>
      <c r="X63" s="4">
        <f ca="1">_xll.DBRW($B$1,$B$2,$B$7,$B$3,$B$4,$B$5,$F63,$B$6,X$10,$A63,$B63)</f>
        <v>0</v>
      </c>
      <c r="Y63" s="4">
        <f ca="1">_xll.DBRW($B$1,$B$2,$B$7,$B$3,$B$4,$B$5,$F63,$B$6,Y$10,$A63,$B63)</f>
        <v>0</v>
      </c>
      <c r="Z63" s="4">
        <f ca="1">_xll.DBRW($B$1,$B$2,$B$7,$B$3,$B$4,$B$5,$F63,$B$6,Z$10,$A63,$B63)</f>
        <v>0</v>
      </c>
      <c r="AA63" s="4">
        <f ca="1">_xll.DBRW($B$1,$B$2,$B$7,$B$3,$B$4,$B$5,$F63,$B$6,AA$10,$A63,$B63)</f>
        <v>0</v>
      </c>
      <c r="AB63" s="4">
        <f ca="1">_xll.DBRW($B$1,$B$2,$B$7,$B$3,$B$4,$B$5,$F63,$B$6,AB$10,$A63,$B63)</f>
        <v>0</v>
      </c>
      <c r="AC63" s="4">
        <f ca="1">_xll.DBRW($B$1,$B$2,$B$7,$B$3,$B$4,$B$5,$F63,$B$6,AC$10,$A63,$B63)</f>
        <v>97.266374797682516</v>
      </c>
      <c r="AD63" s="4">
        <f ca="1">_xll.DBRW($B$1,$B$2,$B$7,$B$3,$B$4,$B$5,$F63,$B$6,AD$10,$A63,$B63)</f>
        <v>436.39310949783612</v>
      </c>
      <c r="AE63" s="4">
        <f ca="1">_xll.DBRW($B$1,$B$2,$B$7,$B$3,$B$4,$B$5,$F63,$B$6,AE$10,$A63,$B63)</f>
        <v>467.91702567439506</v>
      </c>
    </row>
    <row r="64" spans="1:31">
      <c r="A64" s="1" t="s">
        <v>151</v>
      </c>
      <c r="B64" s="5" t="s">
        <v>212</v>
      </c>
      <c r="C64" s="5" t="s">
        <v>213</v>
      </c>
      <c r="D64" s="5" t="s">
        <v>211</v>
      </c>
      <c r="E64" s="5" t="s">
        <v>21</v>
      </c>
      <c r="F64" s="5" t="s">
        <v>22</v>
      </c>
      <c r="G64" s="6"/>
      <c r="H64" s="6"/>
      <c r="I64" s="6"/>
      <c r="J64" s="6"/>
      <c r="K64" s="6"/>
      <c r="L64" s="4">
        <f ca="1">_xll.DBRW($B$1,$B$2,$B$7,$B$3,$B$4,$B$5,$F64,$B$6,L$10,$A64,$B64)</f>
        <v>183.52016532275493</v>
      </c>
      <c r="M64" s="4">
        <f ca="1">_xll.DBRW($B$1,$B$2,$B$7,$B$3,$B$4,$B$5,$F64,$B$6,M$10,$A64,$B64)</f>
        <v>0</v>
      </c>
      <c r="N64" s="4">
        <f ca="1">_xll.DBRW($B$1,$B$2,$B$7,$B$3,$B$4,$B$5,$F64,$B$6,N$10,$A64,$B64)</f>
        <v>0</v>
      </c>
      <c r="O64" s="4">
        <f ca="1">_xll.DBRW($B$1,$B$2,$B$7,$B$3,$B$4,$B$5,$F64,$B$6,O$10,$A64,$B64)</f>
        <v>0</v>
      </c>
      <c r="P64" s="4">
        <f ca="1">_xll.DBRW($B$1,$B$2,$B$7,$B$3,$B$4,$B$5,$F64,$B$6,P$10,$A64,$B64)</f>
        <v>0</v>
      </c>
      <c r="Q64" s="4">
        <f ca="1">_xll.DBRW($B$1,$B$2,$B$7,$B$3,$B$4,$B$5,$F64,$B$6,Q$10,$A64,$B64)</f>
        <v>66.945853513795385</v>
      </c>
      <c r="R64" s="4">
        <f ca="1">_xll.DBRW($B$1,$B$2,$B$7,$B$3,$B$4,$B$5,$F64,$B$6,R$10,$A64,$B64)</f>
        <v>440.04715871236698</v>
      </c>
      <c r="S64" s="4">
        <f ca="1">_xll.DBRW($B$1,$B$2,$B$7,$B$3,$B$4,$B$5,$F64,$B$6,S$10,$A64,$B64)</f>
        <v>522.03116094878601</v>
      </c>
      <c r="T64" s="4">
        <f ca="1">_xll.DBRW($B$1,$B$2,$B$7,$B$3,$B$4,$B$5,$F64,$B$6,T$10,$A64,$B64)</f>
        <v>564.72438765631887</v>
      </c>
      <c r="U64" s="4">
        <f ca="1">_xll.DBRW($B$1,$B$2,$B$7,$B$3,$B$4,$B$5,$F64,$B$6,U$10,$A64,$B64)</f>
        <v>499.76621112517489</v>
      </c>
      <c r="V64" s="4">
        <f ca="1">_xll.DBRW($B$1,$B$2,$B$7,$B$3,$B$4,$B$5,$F64,$B$6,V$10,$A64,$B64)</f>
        <v>508.89693777026395</v>
      </c>
      <c r="W64" s="4">
        <f ca="1">_xll.DBRW($B$1,$B$2,$B$7,$B$3,$B$4,$B$5,$F64,$B$6,W$10,$A64,$B64)</f>
        <v>0</v>
      </c>
      <c r="X64" s="4">
        <f ca="1">_xll.DBRW($B$1,$B$2,$B$7,$B$3,$B$4,$B$5,$F64,$B$6,X$10,$A64,$B64)</f>
        <v>0</v>
      </c>
      <c r="Y64" s="4">
        <f ca="1">_xll.DBRW($B$1,$B$2,$B$7,$B$3,$B$4,$B$5,$F64,$B$6,Y$10,$A64,$B64)</f>
        <v>0</v>
      </c>
      <c r="Z64" s="4">
        <f ca="1">_xll.DBRW($B$1,$B$2,$B$7,$B$3,$B$4,$B$5,$F64,$B$6,Z$10,$A64,$B64)</f>
        <v>0</v>
      </c>
      <c r="AA64" s="4">
        <f ca="1">_xll.DBRW($B$1,$B$2,$B$7,$B$3,$B$4,$B$5,$F64,$B$6,AA$10,$A64,$B64)</f>
        <v>0</v>
      </c>
      <c r="AB64" s="4">
        <f ca="1">_xll.DBRW($B$1,$B$2,$B$7,$B$3,$B$4,$B$5,$F64,$B$6,AB$10,$A64,$B64)</f>
        <v>0</v>
      </c>
      <c r="AC64" s="4">
        <f ca="1">_xll.DBRW($B$1,$B$2,$B$7,$B$3,$B$4,$B$5,$F64,$B$6,AC$10,$A64,$B64)</f>
        <v>97.266374797682516</v>
      </c>
      <c r="AD64" s="4">
        <f ca="1">_xll.DBRW($B$1,$B$2,$B$7,$B$3,$B$4,$B$5,$F64,$B$6,AD$10,$A64,$B64)</f>
        <v>436.39310949783612</v>
      </c>
      <c r="AE64" s="4">
        <f ca="1">_xll.DBRW($B$1,$B$2,$B$7,$B$3,$B$4,$B$5,$F64,$B$6,AE$10,$A64,$B64)</f>
        <v>467.91702567439506</v>
      </c>
    </row>
    <row r="65" spans="1:31">
      <c r="A65" s="1" t="s">
        <v>151</v>
      </c>
      <c r="B65" s="5" t="s">
        <v>214</v>
      </c>
      <c r="C65" s="5" t="s">
        <v>187</v>
      </c>
      <c r="D65" s="5" t="s">
        <v>21</v>
      </c>
      <c r="E65" s="5" t="s">
        <v>59</v>
      </c>
      <c r="F65" s="5" t="s">
        <v>22</v>
      </c>
      <c r="G65" s="6"/>
      <c r="H65" s="6"/>
      <c r="I65" s="6"/>
      <c r="J65" s="6"/>
      <c r="K65" s="6"/>
      <c r="L65" s="4">
        <f ca="1">_xll.DBRW($B$1,$B$2,$B$7,$B$3,$B$4,$B$5,$F65,$B$6,L$10,$A65,$B65)</f>
        <v>482.3958631340987</v>
      </c>
      <c r="M65" s="4">
        <f ca="1">_xll.DBRW($B$1,$B$2,$B$7,$B$3,$B$4,$B$5,$F65,$B$6,M$10,$A65,$B65)</f>
        <v>489.25620059417463</v>
      </c>
      <c r="N65" s="4">
        <f ca="1">_xll.DBRW($B$1,$B$2,$B$7,$B$3,$B$4,$B$5,$F65,$B$6,N$10,$A65,$B65)</f>
        <v>500.32404336752563</v>
      </c>
      <c r="O65" s="4">
        <f ca="1">_xll.DBRW($B$1,$B$2,$B$7,$B$3,$B$4,$B$5,$F65,$B$6,O$10,$A65,$B65)</f>
        <v>482.21421275135503</v>
      </c>
      <c r="P65" s="4">
        <f ca="1">_xll.DBRW($B$1,$B$2,$B$7,$B$3,$B$4,$B$5,$F65,$B$6,P$10,$A65,$B65)</f>
        <v>463.23703946736674</v>
      </c>
      <c r="Q65" s="4">
        <f ca="1">_xll.DBRW($B$1,$B$2,$B$7,$B$3,$B$4,$B$5,$F65,$B$6,Q$10,$A65,$B65)</f>
        <v>409.13145591483374</v>
      </c>
      <c r="R65" s="4">
        <f ca="1">_xll.DBRW($B$1,$B$2,$B$7,$B$3,$B$4,$B$5,$F65,$B$6,R$10,$A65,$B65)</f>
        <v>240.22425537647831</v>
      </c>
      <c r="S65" s="4">
        <f ca="1">_xll.DBRW($B$1,$B$2,$B$7,$B$3,$B$4,$B$5,$F65,$B$6,S$10,$A65,$B65)</f>
        <v>0</v>
      </c>
      <c r="T65" s="4">
        <f ca="1">_xll.DBRW($B$1,$B$2,$B$7,$B$3,$B$4,$B$5,$F65,$B$6,T$10,$A65,$B65)</f>
        <v>0</v>
      </c>
      <c r="U65" s="4">
        <f ca="1">_xll.DBRW($B$1,$B$2,$B$7,$B$3,$B$4,$B$5,$F65,$B$6,U$10,$A65,$B65)</f>
        <v>0</v>
      </c>
      <c r="V65" s="4">
        <f ca="1">_xll.DBRW($B$1,$B$2,$B$7,$B$3,$B$4,$B$5,$F65,$B$6,V$10,$A65,$B65)</f>
        <v>33.394048092454426</v>
      </c>
      <c r="W65" s="4">
        <f ca="1">_xll.DBRW($B$1,$B$2,$B$7,$B$3,$B$4,$B$5,$F65,$B$6,W$10,$A65,$B65)</f>
        <v>513.03660817340494</v>
      </c>
      <c r="X65" s="4">
        <f ca="1">_xll.DBRW($B$1,$B$2,$B$7,$B$3,$B$4,$B$5,$F65,$B$6,X$10,$A65,$B65)</f>
        <v>519.00130184740203</v>
      </c>
      <c r="Y65" s="4">
        <f ca="1">_xll.DBRW($B$1,$B$2,$B$7,$B$3,$B$4,$B$5,$F65,$B$6,Y$10,$A65,$B65)</f>
        <v>498.58169832159882</v>
      </c>
      <c r="Z65" s="4">
        <f ca="1">_xll.DBRW($B$1,$B$2,$B$7,$B$3,$B$4,$B$5,$F65,$B$6,Z$10,$A65,$B65)</f>
        <v>521.66371330828599</v>
      </c>
      <c r="AA65" s="4">
        <f ca="1">_xll.DBRW($B$1,$B$2,$B$7,$B$3,$B$4,$B$5,$F65,$B$6,AA$10,$A65,$B65)</f>
        <v>530.71377142731455</v>
      </c>
      <c r="AB65" s="4">
        <f ca="1">_xll.DBRW($B$1,$B$2,$B$7,$B$3,$B$4,$B$5,$F65,$B$6,AB$10,$A65,$B65)</f>
        <v>505.14812241260398</v>
      </c>
      <c r="AC65" s="4">
        <f ca="1">_xll.DBRW($B$1,$B$2,$B$7,$B$3,$B$4,$B$5,$F65,$B$6,AC$10,$A65,$B65)</f>
        <v>415.48404684200085</v>
      </c>
      <c r="AD65" s="4">
        <f ca="1">_xll.DBRW($B$1,$B$2,$B$7,$B$3,$B$4,$B$5,$F65,$B$6,AD$10,$A65,$B65)</f>
        <v>0</v>
      </c>
      <c r="AE65" s="4">
        <f ca="1">_xll.DBRW($B$1,$B$2,$B$7,$B$3,$B$4,$B$5,$F65,$B$6,AE$10,$A65,$B65)</f>
        <v>0</v>
      </c>
    </row>
    <row r="66" spans="1:31">
      <c r="A66" s="1" t="s">
        <v>151</v>
      </c>
      <c r="B66" s="5" t="s">
        <v>63</v>
      </c>
      <c r="C66" s="5" t="s">
        <v>62</v>
      </c>
      <c r="D66" s="5" t="s">
        <v>59</v>
      </c>
      <c r="E66" s="5" t="s">
        <v>21</v>
      </c>
      <c r="F66" s="5" t="s">
        <v>22</v>
      </c>
      <c r="G66" s="6"/>
      <c r="H66" s="6"/>
      <c r="I66" s="6"/>
      <c r="J66" s="6"/>
      <c r="K66" s="6"/>
      <c r="L66" s="4">
        <f ca="1">_xll.DBRW($B$1,$B$2,$B$7,$B$3,$B$4,$B$5,$F66,$B$6,L$10,$A66,$B66)</f>
        <v>482.3958631340987</v>
      </c>
      <c r="M66" s="4">
        <f ca="1">_xll.DBRW($B$1,$B$2,$B$7,$B$3,$B$4,$B$5,$F66,$B$6,M$10,$A66,$B66)</f>
        <v>489.25620059417463</v>
      </c>
      <c r="N66" s="4">
        <f ca="1">_xll.DBRW($B$1,$B$2,$B$7,$B$3,$B$4,$B$5,$F66,$B$6,N$10,$A66,$B66)</f>
        <v>500.32404336752563</v>
      </c>
      <c r="O66" s="4">
        <f ca="1">_xll.DBRW($B$1,$B$2,$B$7,$B$3,$B$4,$B$5,$F66,$B$6,O$10,$A66,$B66)</f>
        <v>482.21421275135503</v>
      </c>
      <c r="P66" s="4">
        <f ca="1">_xll.DBRW($B$1,$B$2,$B$7,$B$3,$B$4,$B$5,$F66,$B$6,P$10,$A66,$B66)</f>
        <v>463.23703946736674</v>
      </c>
      <c r="Q66" s="4">
        <f ca="1">_xll.DBRW($B$1,$B$2,$B$7,$B$3,$B$4,$B$5,$F66,$B$6,Q$10,$A66,$B66)</f>
        <v>409.13145591483374</v>
      </c>
      <c r="R66" s="4">
        <f ca="1">_xll.DBRW($B$1,$B$2,$B$7,$B$3,$B$4,$B$5,$F66,$B$6,R$10,$A66,$B66)</f>
        <v>240.22425537647831</v>
      </c>
      <c r="S66" s="4">
        <f ca="1">_xll.DBRW($B$1,$B$2,$B$7,$B$3,$B$4,$B$5,$F66,$B$6,S$10,$A66,$B66)</f>
        <v>0</v>
      </c>
      <c r="T66" s="4">
        <f ca="1">_xll.DBRW($B$1,$B$2,$B$7,$B$3,$B$4,$B$5,$F66,$B$6,T$10,$A66,$B66)</f>
        <v>0</v>
      </c>
      <c r="U66" s="4">
        <f ca="1">_xll.DBRW($B$1,$B$2,$B$7,$B$3,$B$4,$B$5,$F66,$B$6,U$10,$A66,$B66)</f>
        <v>0</v>
      </c>
      <c r="V66" s="4">
        <f ca="1">_xll.DBRW($B$1,$B$2,$B$7,$B$3,$B$4,$B$5,$F66,$B$6,V$10,$A66,$B66)</f>
        <v>33.394048092454426</v>
      </c>
      <c r="W66" s="4">
        <f ca="1">_xll.DBRW($B$1,$B$2,$B$7,$B$3,$B$4,$B$5,$F66,$B$6,W$10,$A66,$B66)</f>
        <v>577.16618419508052</v>
      </c>
      <c r="X66" s="4">
        <f ca="1">_xll.DBRW($B$1,$B$2,$B$7,$B$3,$B$4,$B$5,$F66,$B$6,X$10,$A66,$B66)</f>
        <v>597.47932127997296</v>
      </c>
      <c r="Y66" s="4">
        <f ca="1">_xll.DBRW($B$1,$B$2,$B$7,$B$3,$B$4,$B$5,$F66,$B$6,Y$10,$A66,$B66)</f>
        <v>560.90441061179854</v>
      </c>
      <c r="Z66" s="4">
        <f ca="1">_xll.DBRW($B$1,$B$2,$B$7,$B$3,$B$4,$B$5,$F66,$B$6,Z$10,$A66,$B66)</f>
        <v>600.54431511901475</v>
      </c>
      <c r="AA66" s="4">
        <f ca="1">_xll.DBRW($B$1,$B$2,$B$7,$B$3,$B$4,$B$5,$F66,$B$6,AA$10,$A66,$B66)</f>
        <v>594.91301797094127</v>
      </c>
      <c r="AB66" s="4">
        <f ca="1">_xll.DBRW($B$1,$B$2,$B$7,$B$3,$B$4,$B$5,$F66,$B$6,AB$10,$A66,$B66)</f>
        <v>568.2916377141795</v>
      </c>
      <c r="AC66" s="4">
        <f ca="1">_xll.DBRW($B$1,$B$2,$B$7,$B$3,$B$4,$B$5,$F66,$B$6,AC$10,$A66,$B66)</f>
        <v>477.80665386830088</v>
      </c>
      <c r="AD66" s="4">
        <f ca="1">_xll.DBRW($B$1,$B$2,$B$7,$B$3,$B$4,$B$5,$F66,$B$6,AD$10,$A66,$B66)</f>
        <v>0</v>
      </c>
      <c r="AE66" s="4">
        <f ca="1">_xll.DBRW($B$1,$B$2,$B$7,$B$3,$B$4,$B$5,$F66,$B$6,AE$10,$A66,$B66)</f>
        <v>0</v>
      </c>
    </row>
    <row r="67" spans="1:31">
      <c r="A67" s="1" t="s">
        <v>151</v>
      </c>
      <c r="B67" s="5" t="s">
        <v>215</v>
      </c>
      <c r="C67" s="5" t="s">
        <v>159</v>
      </c>
      <c r="D67" s="5" t="s">
        <v>21</v>
      </c>
      <c r="E67" s="5" t="s">
        <v>38</v>
      </c>
      <c r="F67" s="5" t="s">
        <v>22</v>
      </c>
      <c r="G67" s="6"/>
      <c r="H67" s="6"/>
      <c r="I67" s="6"/>
      <c r="J67" s="6"/>
      <c r="K67" s="6"/>
      <c r="L67" s="4">
        <f ca="1">_xll.DBRW($B$1,$B$2,$B$7,$B$3,$B$4,$B$5,$F67,$B$6,L$10,$A67,$B67)</f>
        <v>1186.2339985500246</v>
      </c>
      <c r="M67" s="4">
        <f ca="1">_xll.DBRW($B$1,$B$2,$B$7,$B$3,$B$4,$B$5,$F67,$B$6,M$10,$A67,$B67)</f>
        <v>1233.11092649805</v>
      </c>
      <c r="N67" s="4">
        <f ca="1">_xll.DBRW($B$1,$B$2,$B$7,$B$3,$B$4,$B$5,$F67,$B$6,N$10,$A67,$B67)</f>
        <v>1278.9224057117399</v>
      </c>
      <c r="O67" s="4">
        <f ca="1">_xll.DBRW($B$1,$B$2,$B$7,$B$3,$B$4,$B$5,$F67,$B$6,O$10,$A67,$B67)</f>
        <v>1170.2820478041124</v>
      </c>
      <c r="P67" s="4">
        <f ca="1">_xll.DBRW($B$1,$B$2,$B$7,$B$3,$B$4,$B$5,$F67,$B$6,P$10,$A67,$B67)</f>
        <v>1279.0086577539848</v>
      </c>
      <c r="Q67" s="4">
        <f ca="1">_xll.DBRW($B$1,$B$2,$B$7,$B$3,$B$4,$B$5,$F67,$B$6,Q$10,$A67,$B67)</f>
        <v>1319.263574230722</v>
      </c>
      <c r="R67" s="4">
        <f ca="1">_xll.DBRW($B$1,$B$2,$B$7,$B$3,$B$4,$B$5,$F67,$B$6,R$10,$A67,$B67)</f>
        <v>1174.2908599805355</v>
      </c>
      <c r="S67" s="4">
        <f ca="1">_xll.DBRW($B$1,$B$2,$B$7,$B$3,$B$4,$B$5,$F67,$B$6,S$10,$A67,$B67)</f>
        <v>1165.2555973115591</v>
      </c>
      <c r="T67" s="4">
        <f ca="1">_xll.DBRW($B$1,$B$2,$B$7,$B$3,$B$4,$B$5,$F67,$B$6,T$10,$A67,$B67)</f>
        <v>904.08395949046212</v>
      </c>
      <c r="U67" s="4">
        <f ca="1">_xll.DBRW($B$1,$B$2,$B$7,$B$3,$B$4,$B$5,$F67,$B$6,U$10,$A67,$B67)</f>
        <v>857.1245108356427</v>
      </c>
      <c r="V67" s="4">
        <f ca="1">_xll.DBRW($B$1,$B$2,$B$7,$B$3,$B$4,$B$5,$F67,$B$6,V$10,$A67,$B67)</f>
        <v>1066.9775273549451</v>
      </c>
      <c r="W67" s="4">
        <f ca="1">_xll.DBRW($B$1,$B$2,$B$7,$B$3,$B$4,$B$5,$F67,$B$6,W$10,$A67,$B67)</f>
        <v>1264.6731301691441</v>
      </c>
      <c r="X67" s="4">
        <f ca="1">_xll.DBRW($B$1,$B$2,$B$7,$B$3,$B$4,$B$5,$F67,$B$6,X$10,$A67,$B67)</f>
        <v>1323.1069704490085</v>
      </c>
      <c r="Y67" s="4">
        <f ca="1">_xll.DBRW($B$1,$B$2,$B$7,$B$3,$B$4,$B$5,$F67,$B$6,Y$10,$A67,$B67)</f>
        <v>1302.3257867905688</v>
      </c>
      <c r="Z67" s="4">
        <f ca="1">_xll.DBRW($B$1,$B$2,$B$7,$B$3,$B$4,$B$5,$F67,$B$6,Z$10,$A67,$B67)</f>
        <v>1337.0318273331054</v>
      </c>
      <c r="AA67" s="4">
        <f ca="1">_xll.DBRW($B$1,$B$2,$B$7,$B$3,$B$4,$B$5,$F67,$B$6,AA$10,$A67,$B67)</f>
        <v>1279.8458704913583</v>
      </c>
      <c r="AB67" s="4">
        <f ca="1">_xll.DBRW($B$1,$B$2,$B$7,$B$3,$B$4,$B$5,$F67,$B$6,AB$10,$A67,$B67)</f>
        <v>1213.2484319331941</v>
      </c>
      <c r="AC67" s="4">
        <f ca="1">_xll.DBRW($B$1,$B$2,$B$7,$B$3,$B$4,$B$5,$F67,$B$6,AC$10,$A67,$B67)</f>
        <v>1251.6433162378594</v>
      </c>
      <c r="AD67" s="4">
        <f ca="1">_xll.DBRW($B$1,$B$2,$B$7,$B$3,$B$4,$B$5,$F67,$B$6,AD$10,$A67,$B67)</f>
        <v>1003.7640770818823</v>
      </c>
      <c r="AE67" s="4">
        <f ca="1">_xll.DBRW($B$1,$B$2,$B$7,$B$3,$B$4,$B$5,$F67,$B$6,AE$10,$A67,$B67)</f>
        <v>976.5455500146619</v>
      </c>
    </row>
    <row r="68" spans="1:31">
      <c r="A68" s="1" t="s">
        <v>151</v>
      </c>
      <c r="B68" s="5" t="s">
        <v>43</v>
      </c>
      <c r="C68" s="5" t="s">
        <v>37</v>
      </c>
      <c r="D68" s="5" t="s">
        <v>38</v>
      </c>
      <c r="E68" s="5" t="s">
        <v>21</v>
      </c>
      <c r="F68" s="5" t="s">
        <v>22</v>
      </c>
      <c r="G68" s="6"/>
      <c r="H68" s="6"/>
      <c r="I68" s="6"/>
      <c r="J68" s="6"/>
      <c r="K68" s="6"/>
      <c r="L68" s="4">
        <f ca="1">_xll.DBRW($B$1,$B$2,$B$7,$B$3,$B$4,$B$5,$F68,$B$6,L$10,$A68,$B68)</f>
        <v>1143.2099675145314</v>
      </c>
      <c r="M68" s="4">
        <f ca="1">_xll.DBRW($B$1,$B$2,$B$7,$B$3,$B$4,$B$5,$F68,$B$6,M$10,$A68,$B68)</f>
        <v>1173.3237300617809</v>
      </c>
      <c r="N68" s="4">
        <f ca="1">_xll.DBRW($B$1,$B$2,$B$7,$B$3,$B$4,$B$5,$F68,$B$6,N$10,$A68,$B68)</f>
        <v>1240.7456174815388</v>
      </c>
      <c r="O68" s="4">
        <f ca="1">_xll.DBRW($B$1,$B$2,$B$7,$B$3,$B$4,$B$5,$F68,$B$6,O$10,$A68,$B68)</f>
        <v>1080.4740109077525</v>
      </c>
      <c r="P68" s="4">
        <f ca="1">_xll.DBRW($B$1,$B$2,$B$7,$B$3,$B$4,$B$5,$F68,$B$6,P$10,$A68,$B68)</f>
        <v>158.90713626640417</v>
      </c>
      <c r="Q68" s="4">
        <f ca="1">_xll.DBRW($B$1,$B$2,$B$7,$B$3,$B$4,$B$5,$F68,$B$6,Q$10,$A68,$B68)</f>
        <v>263.04335069017463</v>
      </c>
      <c r="R68" s="4">
        <f ca="1">_xll.DBRW($B$1,$B$2,$B$7,$B$3,$B$4,$B$5,$F68,$B$6,R$10,$A68,$B68)</f>
        <v>1174.2908599805355</v>
      </c>
      <c r="S68" s="4">
        <f ca="1">_xll.DBRW($B$1,$B$2,$B$7,$B$3,$B$4,$B$5,$F68,$B$6,S$10,$A68,$B68)</f>
        <v>1165.2555973115591</v>
      </c>
      <c r="T68" s="4">
        <f ca="1">_xll.DBRW($B$1,$B$2,$B$7,$B$3,$B$4,$B$5,$F68,$B$6,T$10,$A68,$B68)</f>
        <v>1204.225193005514</v>
      </c>
      <c r="U68" s="4">
        <f ca="1">_xll.DBRW($B$1,$B$2,$B$7,$B$3,$B$4,$B$5,$F68,$B$6,U$10,$A68,$B68)</f>
        <v>1112.7581368743433</v>
      </c>
      <c r="V68" s="4">
        <f ca="1">_xll.DBRW($B$1,$B$2,$B$7,$B$3,$B$4,$B$5,$F68,$B$6,V$10,$A68,$B68)</f>
        <v>1348.1964105337679</v>
      </c>
      <c r="W68" s="4">
        <f ca="1">_xll.DBRW($B$1,$B$2,$B$7,$B$3,$B$4,$B$5,$F68,$B$6,W$10,$A68,$B68)</f>
        <v>1264.6731301691441</v>
      </c>
      <c r="X68" s="4">
        <f ca="1">_xll.DBRW($B$1,$B$2,$B$7,$B$3,$B$4,$B$5,$F68,$B$6,X$10,$A68,$B68)</f>
        <v>1323.1069704490085</v>
      </c>
      <c r="Y68" s="4">
        <f ca="1">_xll.DBRW($B$1,$B$2,$B$7,$B$3,$B$4,$B$5,$F68,$B$6,Y$10,$A68,$B68)</f>
        <v>1302.3257867905688</v>
      </c>
      <c r="Z68" s="4">
        <f ca="1">_xll.DBRW($B$1,$B$2,$B$7,$B$3,$B$4,$B$5,$F68,$B$6,Z$10,$A68,$B68)</f>
        <v>1337.0318273331054</v>
      </c>
      <c r="AA68" s="4">
        <f ca="1">_xll.DBRW($B$1,$B$2,$B$7,$B$3,$B$4,$B$5,$F68,$B$6,AA$10,$A68,$B68)</f>
        <v>1279.8458704913583</v>
      </c>
      <c r="AB68" s="4">
        <f ca="1">_xll.DBRW($B$1,$B$2,$B$7,$B$3,$B$4,$B$5,$F68,$B$6,AB$10,$A68,$B68)</f>
        <v>1213.2484319331941</v>
      </c>
      <c r="AC68" s="4">
        <f ca="1">_xll.DBRW($B$1,$B$2,$B$7,$B$3,$B$4,$B$5,$F68,$B$6,AC$10,$A68,$B68)</f>
        <v>1275.7133800116644</v>
      </c>
      <c r="AD68" s="4">
        <f ca="1">_xll.DBRW($B$1,$B$2,$B$7,$B$3,$B$4,$B$5,$F68,$B$6,AD$10,$A68,$B68)</f>
        <v>1292.2954514657433</v>
      </c>
      <c r="AE68" s="4">
        <f ca="1">_xll.DBRW($B$1,$B$2,$B$7,$B$3,$B$4,$B$5,$F68,$B$6,AE$10,$A68,$B68)</f>
        <v>1192.2939854830174</v>
      </c>
    </row>
    <row r="69" spans="1:31">
      <c r="A69" s="1" t="s">
        <v>151</v>
      </c>
      <c r="B69" s="5" t="s">
        <v>216</v>
      </c>
      <c r="C69" s="5" t="s">
        <v>163</v>
      </c>
      <c r="D69" s="5" t="s">
        <v>21</v>
      </c>
      <c r="E69" s="5" t="s">
        <v>54</v>
      </c>
      <c r="F69" s="5" t="s">
        <v>22</v>
      </c>
      <c r="G69" s="6"/>
      <c r="H69" s="6"/>
      <c r="I69" s="6"/>
      <c r="J69" s="6"/>
      <c r="K69" s="6"/>
      <c r="L69" s="4">
        <f ca="1">_xll.DBRW($B$1,$B$2,$B$7,$B$3,$B$4,$B$5,$F69,$B$6,L$10,$A69,$B69)</f>
        <v>894.00537678656326</v>
      </c>
      <c r="M69" s="4">
        <f ca="1">_xll.DBRW($B$1,$B$2,$B$7,$B$3,$B$4,$B$5,$F69,$B$6,M$10,$A69,$B69)</f>
        <v>938.05957731109629</v>
      </c>
      <c r="N69" s="4">
        <f ca="1">_xll.DBRW($B$1,$B$2,$B$7,$B$3,$B$4,$B$5,$F69,$B$6,N$10,$A69,$B69)</f>
        <v>979.58181122483961</v>
      </c>
      <c r="O69" s="4">
        <f ca="1">_xll.DBRW($B$1,$B$2,$B$7,$B$3,$B$4,$B$5,$F69,$B$6,O$10,$A69,$B69)</f>
        <v>986.19503927273627</v>
      </c>
      <c r="P69" s="4">
        <f ca="1">_xll.DBRW($B$1,$B$2,$B$7,$B$3,$B$4,$B$5,$F69,$B$6,P$10,$A69,$B69)</f>
        <v>937.41162014437953</v>
      </c>
      <c r="Q69" s="4">
        <f ca="1">_xll.DBRW($B$1,$B$2,$B$7,$B$3,$B$4,$B$5,$F69,$B$6,Q$10,$A69,$B69)</f>
        <v>779.36963792179711</v>
      </c>
      <c r="R69" s="4">
        <f ca="1">_xll.DBRW($B$1,$B$2,$B$7,$B$3,$B$4,$B$5,$F69,$B$6,R$10,$A69,$B69)</f>
        <v>0</v>
      </c>
      <c r="S69" s="4">
        <f ca="1">_xll.DBRW($B$1,$B$2,$B$7,$B$3,$B$4,$B$5,$F69,$B$6,S$10,$A69,$B69)</f>
        <v>0</v>
      </c>
      <c r="T69" s="4">
        <f ca="1">_xll.DBRW($B$1,$B$2,$B$7,$B$3,$B$4,$B$5,$F69,$B$6,T$10,$A69,$B69)</f>
        <v>0</v>
      </c>
      <c r="U69" s="4">
        <f ca="1">_xll.DBRW($B$1,$B$2,$B$7,$B$3,$B$4,$B$5,$F69,$B$6,U$10,$A69,$B69)</f>
        <v>0</v>
      </c>
      <c r="V69" s="4">
        <f ca="1">_xll.DBRW($B$1,$B$2,$B$7,$B$3,$B$4,$B$5,$F69,$B$6,V$10,$A69,$B69)</f>
        <v>91.833632254249679</v>
      </c>
      <c r="W69" s="4">
        <f ca="1">_xll.DBRW($B$1,$B$2,$B$7,$B$3,$B$4,$B$5,$F69,$B$6,W$10,$A69,$B69)</f>
        <v>1407.0085540850639</v>
      </c>
      <c r="X69" s="4">
        <f ca="1">_xll.DBRW($B$1,$B$2,$B$7,$B$3,$B$4,$B$5,$F69,$B$6,X$10,$A69,$B69)</f>
        <v>1428.2732464854062</v>
      </c>
      <c r="Y69" s="4">
        <f ca="1">_xll.DBRW($B$1,$B$2,$B$7,$B$3,$B$4,$B$5,$F69,$B$6,Y$10,$A69,$B69)</f>
        <v>1371.0996703843964</v>
      </c>
      <c r="Z69" s="4">
        <f ca="1">_xll.DBRW($B$1,$B$2,$B$7,$B$3,$B$4,$B$5,$F69,$B$6,Z$10,$A69,$B69)</f>
        <v>1434.5752115977868</v>
      </c>
      <c r="AA69" s="4">
        <f ca="1">_xll.DBRW($B$1,$B$2,$B$7,$B$3,$B$4,$B$5,$F69,$B$6,AA$10,$A69,$B69)</f>
        <v>1459.4628714251148</v>
      </c>
      <c r="AB69" s="4">
        <f ca="1">_xll.DBRW($B$1,$B$2,$B$7,$B$3,$B$4,$B$5,$F69,$B$6,AB$10,$A69,$B69)</f>
        <v>1348.5441924206805</v>
      </c>
      <c r="AC69" s="4">
        <f ca="1">_xll.DBRW($B$1,$B$2,$B$7,$B$3,$B$4,$B$5,$F69,$B$6,AC$10,$A69,$B69)</f>
        <v>1113.7909159048143</v>
      </c>
      <c r="AD69" s="4">
        <f ca="1">_xll.DBRW($B$1,$B$2,$B$7,$B$3,$B$4,$B$5,$F69,$B$6,AD$10,$A69,$B69)</f>
        <v>0</v>
      </c>
      <c r="AE69" s="4">
        <f ca="1">_xll.DBRW($B$1,$B$2,$B$7,$B$3,$B$4,$B$5,$F69,$B$6,AE$10,$A69,$B69)</f>
        <v>0</v>
      </c>
    </row>
    <row r="70" spans="1:31">
      <c r="A70" s="1" t="s">
        <v>151</v>
      </c>
      <c r="B70" s="5" t="s">
        <v>56</v>
      </c>
      <c r="C70" s="5" t="s">
        <v>53</v>
      </c>
      <c r="D70" s="5" t="s">
        <v>54</v>
      </c>
      <c r="E70" s="5" t="s">
        <v>21</v>
      </c>
      <c r="F70" s="5" t="s">
        <v>22</v>
      </c>
      <c r="G70" s="6"/>
      <c r="H70" s="6"/>
      <c r="I70" s="6"/>
      <c r="J70" s="6"/>
      <c r="K70" s="6"/>
      <c r="L70" s="4">
        <f ca="1">_xll.DBRW($B$1,$B$2,$B$7,$B$3,$B$4,$B$5,$F70,$B$6,L$10,$A70,$B70)</f>
        <v>894.00537678656326</v>
      </c>
      <c r="M70" s="4">
        <f ca="1">_xll.DBRW($B$1,$B$2,$B$7,$B$3,$B$4,$B$5,$F70,$B$6,M$10,$A70,$B70)</f>
        <v>938.05957731109629</v>
      </c>
      <c r="N70" s="4">
        <f ca="1">_xll.DBRW($B$1,$B$2,$B$7,$B$3,$B$4,$B$5,$F70,$B$6,N$10,$A70,$B70)</f>
        <v>979.58181122483961</v>
      </c>
      <c r="O70" s="4">
        <f ca="1">_xll.DBRW($B$1,$B$2,$B$7,$B$3,$B$4,$B$5,$F70,$B$6,O$10,$A70,$B70)</f>
        <v>986.19503927273627</v>
      </c>
      <c r="P70" s="4">
        <f ca="1">_xll.DBRW($B$1,$B$2,$B$7,$B$3,$B$4,$B$5,$F70,$B$6,P$10,$A70,$B70)</f>
        <v>937.41162014437953</v>
      </c>
      <c r="Q70" s="4">
        <f ca="1">_xll.DBRW($B$1,$B$2,$B$7,$B$3,$B$4,$B$5,$F70,$B$6,Q$10,$A70,$B70)</f>
        <v>779.36963792179711</v>
      </c>
      <c r="R70" s="4">
        <f ca="1">_xll.DBRW($B$1,$B$2,$B$7,$B$3,$B$4,$B$5,$F70,$B$6,R$10,$A70,$B70)</f>
        <v>0</v>
      </c>
      <c r="S70" s="4">
        <f ca="1">_xll.DBRW($B$1,$B$2,$B$7,$B$3,$B$4,$B$5,$F70,$B$6,S$10,$A70,$B70)</f>
        <v>0</v>
      </c>
      <c r="T70" s="4">
        <f ca="1">_xll.DBRW($B$1,$B$2,$B$7,$B$3,$B$4,$B$5,$F70,$B$6,T$10,$A70,$B70)</f>
        <v>0</v>
      </c>
      <c r="U70" s="4">
        <f ca="1">_xll.DBRW($B$1,$B$2,$B$7,$B$3,$B$4,$B$5,$F70,$B$6,U$10,$A70,$B70)</f>
        <v>0</v>
      </c>
      <c r="V70" s="4">
        <f ca="1">_xll.DBRW($B$1,$B$2,$B$7,$B$3,$B$4,$B$5,$F70,$B$6,V$10,$A70,$B70)</f>
        <v>91.833632254249679</v>
      </c>
      <c r="W70" s="4">
        <f ca="1">_xll.DBRW($B$1,$B$2,$B$7,$B$3,$B$4,$B$5,$F70,$B$6,W$10,$A70,$B70)</f>
        <v>1407.0085540850639</v>
      </c>
      <c r="X70" s="4">
        <f ca="1">_xll.DBRW($B$1,$B$2,$B$7,$B$3,$B$4,$B$5,$F70,$B$6,X$10,$A70,$B70)</f>
        <v>1428.2732464854062</v>
      </c>
      <c r="Y70" s="4">
        <f ca="1">_xll.DBRW($B$1,$B$2,$B$7,$B$3,$B$4,$B$5,$F70,$B$6,Y$10,$A70,$B70)</f>
        <v>1371.0996703843964</v>
      </c>
      <c r="Z70" s="4">
        <f ca="1">_xll.DBRW($B$1,$B$2,$B$7,$B$3,$B$4,$B$5,$F70,$B$6,Z$10,$A70,$B70)</f>
        <v>1434.5752115977868</v>
      </c>
      <c r="AA70" s="4">
        <f ca="1">_xll.DBRW($B$1,$B$2,$B$7,$B$3,$B$4,$B$5,$F70,$B$6,AA$10,$A70,$B70)</f>
        <v>1459.4628714251148</v>
      </c>
      <c r="AB70" s="4">
        <f ca="1">_xll.DBRW($B$1,$B$2,$B$7,$B$3,$B$4,$B$5,$F70,$B$6,AB$10,$A70,$B70)</f>
        <v>1348.5441924206805</v>
      </c>
      <c r="AC70" s="4">
        <f ca="1">_xll.DBRW($B$1,$B$2,$B$7,$B$3,$B$4,$B$5,$F70,$B$6,AC$10,$A70,$B70)</f>
        <v>1069.2392792686219</v>
      </c>
      <c r="AD70" s="4">
        <f ca="1">_xll.DBRW($B$1,$B$2,$B$7,$B$3,$B$4,$B$5,$F70,$B$6,AD$10,$A70,$B70)</f>
        <v>0</v>
      </c>
      <c r="AE70" s="4">
        <f ca="1">_xll.DBRW($B$1,$B$2,$B$7,$B$3,$B$4,$B$5,$F70,$B$6,AE$10,$A70,$B70)</f>
        <v>0</v>
      </c>
    </row>
    <row r="71" spans="1:31">
      <c r="A71" s="1" t="s">
        <v>151</v>
      </c>
      <c r="B71" s="5" t="s">
        <v>217</v>
      </c>
      <c r="C71" s="5" t="s">
        <v>159</v>
      </c>
      <c r="D71" s="5" t="s">
        <v>21</v>
      </c>
      <c r="E71" s="5" t="s">
        <v>38</v>
      </c>
      <c r="F71" s="5" t="s">
        <v>22</v>
      </c>
      <c r="G71" s="6"/>
      <c r="H71" s="6"/>
      <c r="I71" s="6"/>
      <c r="J71" s="6"/>
      <c r="K71" s="6"/>
      <c r="L71" s="4">
        <f ca="1">_xll.DBRW($B$1,$B$2,$B$7,$B$3,$B$4,$B$5,$F71,$B$6,L$10,$A71,$B71)</f>
        <v>898.23640304713172</v>
      </c>
      <c r="M71" s="4">
        <f ca="1">_xll.DBRW($B$1,$B$2,$B$7,$B$3,$B$4,$B$5,$F71,$B$6,M$10,$A71,$B71)</f>
        <v>918.2939702633206</v>
      </c>
      <c r="N71" s="4">
        <f ca="1">_xll.DBRW($B$1,$B$2,$B$7,$B$3,$B$4,$B$5,$F71,$B$6,N$10,$A71,$B71)</f>
        <v>966.82716192984526</v>
      </c>
      <c r="O71" s="4">
        <f ca="1">_xll.DBRW($B$1,$B$2,$B$7,$B$3,$B$4,$B$5,$F71,$B$6,O$10,$A71,$B71)</f>
        <v>972.1488530018338</v>
      </c>
      <c r="P71" s="4">
        <f ca="1">_xll.DBRW($B$1,$B$2,$B$7,$B$3,$B$4,$B$5,$F71,$B$6,P$10,$A71,$B71)</f>
        <v>124.02508196402276</v>
      </c>
      <c r="Q71" s="4">
        <f ca="1">_xll.DBRW($B$1,$B$2,$B$7,$B$3,$B$4,$B$5,$F71,$B$6,Q$10,$A71,$B71)</f>
        <v>0</v>
      </c>
      <c r="R71" s="4">
        <f ca="1">_xll.DBRW($B$1,$B$2,$B$7,$B$3,$B$4,$B$5,$F71,$B$6,R$10,$A71,$B71)</f>
        <v>0</v>
      </c>
      <c r="S71" s="4">
        <f ca="1">_xll.DBRW($B$1,$B$2,$B$7,$B$3,$B$4,$B$5,$F71,$B$6,S$10,$A71,$B71)</f>
        <v>0</v>
      </c>
      <c r="T71" s="4">
        <f ca="1">_xll.DBRW($B$1,$B$2,$B$7,$B$3,$B$4,$B$5,$F71,$B$6,T$10,$A71,$B71)</f>
        <v>1043.1737994120715</v>
      </c>
      <c r="U71" s="4">
        <f ca="1">_xll.DBRW($B$1,$B$2,$B$7,$B$3,$B$4,$B$5,$F71,$B$6,U$10,$A71,$B71)</f>
        <v>958.62609764512661</v>
      </c>
      <c r="V71" s="4">
        <f ca="1">_xll.DBRW($B$1,$B$2,$B$7,$B$3,$B$4,$B$5,$F71,$B$6,V$10,$A71,$B71)</f>
        <v>1177.60407331132</v>
      </c>
      <c r="W71" s="4">
        <f ca="1">_xll.DBRW($B$1,$B$2,$B$7,$B$3,$B$4,$B$5,$F71,$B$6,W$10,$A71,$B71)</f>
        <v>1113.5486680734602</v>
      </c>
      <c r="X71" s="4">
        <f ca="1">_xll.DBRW($B$1,$B$2,$B$7,$B$3,$B$4,$B$5,$F71,$B$6,X$10,$A71,$B71)</f>
        <v>1133.086288522821</v>
      </c>
      <c r="Y71" s="4">
        <f ca="1">_xll.DBRW($B$1,$B$2,$B$7,$B$3,$B$4,$B$5,$F71,$B$6,Y$10,$A71,$B71)</f>
        <v>1144.1862269659998</v>
      </c>
      <c r="Z71" s="4">
        <f ca="1">_xll.DBRW($B$1,$B$2,$B$7,$B$3,$B$4,$B$5,$F71,$B$6,Z$10,$A71,$B71)</f>
        <v>1170.4108397323234</v>
      </c>
      <c r="AA71" s="4">
        <f ca="1">_xll.DBRW($B$1,$B$2,$B$7,$B$3,$B$4,$B$5,$F71,$B$6,AA$10,$A71,$B71)</f>
        <v>1105.14298326171</v>
      </c>
      <c r="AB71" s="4">
        <f ca="1">_xll.DBRW($B$1,$B$2,$B$7,$B$3,$B$4,$B$5,$F71,$B$6,AB$10,$A71,$B71)</f>
        <v>1068.2690595638185</v>
      </c>
      <c r="AC71" s="4">
        <f ca="1">_xll.DBRW($B$1,$B$2,$B$7,$B$3,$B$4,$B$5,$F71,$B$6,AC$10,$A71,$B71)</f>
        <v>1127.2813200732005</v>
      </c>
      <c r="AD71" s="4">
        <f ca="1">_xll.DBRW($B$1,$B$2,$B$7,$B$3,$B$4,$B$5,$F71,$B$6,AD$10,$A71,$B71)</f>
        <v>1125.6787423144995</v>
      </c>
      <c r="AE71" s="4">
        <f ca="1">_xll.DBRW($B$1,$B$2,$B$7,$B$3,$B$4,$B$5,$F71,$B$6,AE$10,$A71,$B71)</f>
        <v>1039.9453095601873</v>
      </c>
    </row>
    <row r="72" spans="1:31">
      <c r="A72" s="1" t="s">
        <v>151</v>
      </c>
      <c r="B72" s="5" t="s">
        <v>44</v>
      </c>
      <c r="C72" s="5" t="s">
        <v>37</v>
      </c>
      <c r="D72" s="5" t="s">
        <v>38</v>
      </c>
      <c r="E72" s="5" t="s">
        <v>21</v>
      </c>
      <c r="F72" s="5" t="s">
        <v>22</v>
      </c>
      <c r="G72" s="6"/>
      <c r="H72" s="6"/>
      <c r="I72" s="6"/>
      <c r="J72" s="6"/>
      <c r="K72" s="6"/>
      <c r="L72" s="4">
        <f ca="1">_xll.DBRW($B$1,$B$2,$B$7,$B$3,$B$4,$B$5,$F72,$B$6,L$10,$A72,$B72)</f>
        <v>921.06548073943418</v>
      </c>
      <c r="M72" s="4">
        <f ca="1">_xll.DBRW($B$1,$B$2,$B$7,$B$3,$B$4,$B$5,$F72,$B$6,M$10,$A72,$B72)</f>
        <v>937.91164409397152</v>
      </c>
      <c r="N72" s="4">
        <f ca="1">_xll.DBRW($B$1,$B$2,$B$7,$B$3,$B$4,$B$5,$F72,$B$6,N$10,$A72,$B72)</f>
        <v>991.64207427947599</v>
      </c>
      <c r="O72" s="4">
        <f ca="1">_xll.DBRW($B$1,$B$2,$B$7,$B$3,$B$4,$B$5,$F72,$B$6,O$10,$A72,$B72)</f>
        <v>971.22299695135587</v>
      </c>
      <c r="P72" s="4">
        <f ca="1">_xll.DBRW($B$1,$B$2,$B$7,$B$3,$B$4,$B$5,$F72,$B$6,P$10,$A72,$B72)</f>
        <v>940.84652021145382</v>
      </c>
      <c r="Q72" s="4">
        <f ca="1">_xll.DBRW($B$1,$B$2,$B$7,$B$3,$B$4,$B$5,$F72,$B$6,Q$10,$A72,$B72)</f>
        <v>811.38756635969241</v>
      </c>
      <c r="R72" s="4">
        <f ca="1">_xll.DBRW($B$1,$B$2,$B$7,$B$3,$B$4,$B$5,$F72,$B$6,R$10,$A72,$B72)</f>
        <v>0</v>
      </c>
      <c r="S72" s="4">
        <f ca="1">_xll.DBRW($B$1,$B$2,$B$7,$B$3,$B$4,$B$5,$F72,$B$6,S$10,$A72,$B72)</f>
        <v>0</v>
      </c>
      <c r="T72" s="4">
        <f ca="1">_xll.DBRW($B$1,$B$2,$B$7,$B$3,$B$4,$B$5,$F72,$B$6,T$10,$A72,$B72)</f>
        <v>757.67360167824131</v>
      </c>
      <c r="U72" s="4">
        <f ca="1">_xll.DBRW($B$1,$B$2,$B$7,$B$3,$B$4,$B$5,$F72,$B$6,U$10,$A72,$B72)</f>
        <v>718.02974372634981</v>
      </c>
      <c r="V72" s="4">
        <f ca="1">_xll.DBRW($B$1,$B$2,$B$7,$B$3,$B$4,$B$5,$F72,$B$6,V$10,$A72,$B72)</f>
        <v>900.52076194395067</v>
      </c>
      <c r="W72" s="4">
        <f ca="1">_xll.DBRW($B$1,$B$2,$B$7,$B$3,$B$4,$B$5,$F72,$B$6,W$10,$A72,$B72)</f>
        <v>1113.5486680734602</v>
      </c>
      <c r="X72" s="4">
        <f ca="1">_xll.DBRW($B$1,$B$2,$B$7,$B$3,$B$4,$B$5,$F72,$B$6,X$10,$A72,$B72)</f>
        <v>1133.086288522821</v>
      </c>
      <c r="Y72" s="4">
        <f ca="1">_xll.DBRW($B$1,$B$2,$B$7,$B$3,$B$4,$B$5,$F72,$B$6,Y$10,$A72,$B72)</f>
        <v>1144.1862269659998</v>
      </c>
      <c r="Z72" s="4">
        <f ca="1">_xll.DBRW($B$1,$B$2,$B$7,$B$3,$B$4,$B$5,$F72,$B$6,Z$10,$A72,$B72)</f>
        <v>1170.4108397323234</v>
      </c>
      <c r="AA72" s="4">
        <f ca="1">_xll.DBRW($B$1,$B$2,$B$7,$B$3,$B$4,$B$5,$F72,$B$6,AA$10,$A72,$B72)</f>
        <v>1105.14298326171</v>
      </c>
      <c r="AB72" s="4">
        <f ca="1">_xll.DBRW($B$1,$B$2,$B$7,$B$3,$B$4,$B$5,$F72,$B$6,AB$10,$A72,$B72)</f>
        <v>1068.2690595638185</v>
      </c>
      <c r="AC72" s="4">
        <f ca="1">_xll.DBRW($B$1,$B$2,$B$7,$B$3,$B$4,$B$5,$F72,$B$6,AC$10,$A72,$B72)</f>
        <v>1044.0390161887913</v>
      </c>
      <c r="AD72" s="4">
        <f ca="1">_xll.DBRW($B$1,$B$2,$B$7,$B$3,$B$4,$B$5,$F72,$B$6,AD$10,$A72,$B72)</f>
        <v>841.21119010505936</v>
      </c>
      <c r="AE72" s="4">
        <f ca="1">_xll.DBRW($B$1,$B$2,$B$7,$B$3,$B$4,$B$5,$F72,$B$6,AE$10,$A72,$B72)</f>
        <v>782.56121110671063</v>
      </c>
    </row>
    <row r="73" spans="1:31">
      <c r="A73" s="1" t="s">
        <v>151</v>
      </c>
      <c r="B73" s="5" t="s">
        <v>218</v>
      </c>
      <c r="C73" s="5" t="s">
        <v>219</v>
      </c>
      <c r="D73" s="5" t="s">
        <v>21</v>
      </c>
      <c r="E73" s="5" t="s">
        <v>49</v>
      </c>
      <c r="F73" s="5" t="s">
        <v>22</v>
      </c>
      <c r="G73" s="6"/>
      <c r="H73" s="6"/>
      <c r="I73" s="6"/>
      <c r="J73" s="6"/>
      <c r="K73" s="6"/>
      <c r="L73" s="4">
        <f ca="1">_xll.DBRW($B$1,$B$2,$B$7,$B$3,$B$4,$B$5,$F73,$B$6,L$10,$A73,$B73)</f>
        <v>914.32368080443973</v>
      </c>
      <c r="M73" s="4">
        <f ca="1">_xll.DBRW($B$1,$B$2,$B$7,$B$3,$B$4,$B$5,$F73,$B$6,M$10,$A73,$B73)</f>
        <v>849.19077525004514</v>
      </c>
      <c r="N73" s="4">
        <f ca="1">_xll.DBRW($B$1,$B$2,$B$7,$B$3,$B$4,$B$5,$F73,$B$6,N$10,$A73,$B73)</f>
        <v>887.74601642251082</v>
      </c>
      <c r="O73" s="4">
        <f ca="1">_xll.DBRW($B$1,$B$2,$B$7,$B$3,$B$4,$B$5,$F73,$B$6,O$10,$A73,$B73)</f>
        <v>861.6230343119696</v>
      </c>
      <c r="P73" s="4">
        <f ca="1">_xll.DBRW($B$1,$B$2,$B$7,$B$3,$B$4,$B$5,$F73,$B$6,P$10,$A73,$B73)</f>
        <v>787.82465948304252</v>
      </c>
      <c r="Q73" s="4">
        <f ca="1">_xll.DBRW($B$1,$B$2,$B$7,$B$3,$B$4,$B$5,$F73,$B$6,Q$10,$A73,$B73)</f>
        <v>795.02364346979903</v>
      </c>
      <c r="R73" s="4">
        <f ca="1">_xll.DBRW($B$1,$B$2,$B$7,$B$3,$B$4,$B$5,$F73,$B$6,R$10,$A73,$B73)</f>
        <v>786.50962756282797</v>
      </c>
      <c r="S73" s="4">
        <f ca="1">_xll.DBRW($B$1,$B$2,$B$7,$B$3,$B$4,$B$5,$F73,$B$6,S$10,$A73,$B73)</f>
        <v>733.71046312150565</v>
      </c>
      <c r="T73" s="4">
        <f ca="1">_xll.DBRW($B$1,$B$2,$B$7,$B$3,$B$4,$B$5,$F73,$B$6,T$10,$A73,$B73)</f>
        <v>923.94400013095265</v>
      </c>
      <c r="U73" s="4">
        <f ca="1">_xll.DBRW($B$1,$B$2,$B$7,$B$3,$B$4,$B$5,$F73,$B$6,U$10,$A73,$B73)</f>
        <v>824.25351703076171</v>
      </c>
      <c r="V73" s="4">
        <f ca="1">_xll.DBRW($B$1,$B$2,$B$7,$B$3,$B$4,$B$5,$F73,$B$6,V$10,$A73,$B73)</f>
        <v>998.43206472013981</v>
      </c>
      <c r="W73" s="4">
        <f ca="1">_xll.DBRW($B$1,$B$2,$B$7,$B$3,$B$4,$B$5,$F73,$B$6,W$10,$A73,$B73)</f>
        <v>995.18963184217455</v>
      </c>
      <c r="X73" s="4">
        <f ca="1">_xll.DBRW($B$1,$B$2,$B$7,$B$3,$B$4,$B$5,$F73,$B$6,X$10,$A73,$B73)</f>
        <v>1006.2834236601726</v>
      </c>
      <c r="Y73" s="4">
        <f ca="1">_xll.DBRW($B$1,$B$2,$B$7,$B$3,$B$4,$B$5,$F73,$B$6,Y$10,$A73,$B73)</f>
        <v>966.00204049809781</v>
      </c>
      <c r="Z73" s="4">
        <f ca="1">_xll.DBRW($B$1,$B$2,$B$7,$B$3,$B$4,$B$5,$F73,$B$6,Z$10,$A73,$B73)</f>
        <v>1010.7234445348042</v>
      </c>
      <c r="AA73" s="4">
        <f ca="1">_xll.DBRW($B$1,$B$2,$B$7,$B$3,$B$4,$B$5,$F73,$B$6,AA$10,$A73,$B73)</f>
        <v>1028.2579321404219</v>
      </c>
      <c r="AB73" s="4">
        <f ca="1">_xll.DBRW($B$1,$B$2,$B$7,$B$3,$B$4,$B$5,$F73,$B$6,AB$10,$A73,$B73)</f>
        <v>987.79162392539251</v>
      </c>
      <c r="AC73" s="4">
        <f ca="1">_xll.DBRW($B$1,$B$2,$B$7,$B$3,$B$4,$B$5,$F73,$B$6,AC$10,$A73,$B73)</f>
        <v>1011.420835213112</v>
      </c>
      <c r="AD73" s="4">
        <f ca="1">_xll.DBRW($B$1,$B$2,$B$7,$B$3,$B$4,$B$5,$F73,$B$6,AD$10,$A73,$B73)</f>
        <v>905.07543644889347</v>
      </c>
      <c r="AE73" s="4">
        <f ca="1">_xll.DBRW($B$1,$B$2,$B$7,$B$3,$B$4,$B$5,$F73,$B$6,AE$10,$A73,$B73)</f>
        <v>783.85792264935969</v>
      </c>
    </row>
    <row r="74" spans="1:31">
      <c r="A74" s="1" t="s">
        <v>151</v>
      </c>
      <c r="B74" s="5" t="s">
        <v>47</v>
      </c>
      <c r="C74" s="5" t="s">
        <v>48</v>
      </c>
      <c r="D74" s="5" t="s">
        <v>49</v>
      </c>
      <c r="E74" s="5" t="s">
        <v>21</v>
      </c>
      <c r="F74" s="5" t="s">
        <v>22</v>
      </c>
      <c r="G74" s="6"/>
      <c r="H74" s="6"/>
      <c r="I74" s="6"/>
      <c r="J74" s="6"/>
      <c r="K74" s="6"/>
      <c r="L74" s="4">
        <f ca="1">_xll.DBRW($B$1,$B$2,$B$7,$B$3,$B$4,$B$5,$F74,$B$6,L$10,$A74,$B74)</f>
        <v>914.32368080443973</v>
      </c>
      <c r="M74" s="4">
        <f ca="1">_xll.DBRW($B$1,$B$2,$B$7,$B$3,$B$4,$B$5,$F74,$B$6,M$10,$A74,$B74)</f>
        <v>849.19077525004514</v>
      </c>
      <c r="N74" s="4">
        <f ca="1">_xll.DBRW($B$1,$B$2,$B$7,$B$3,$B$4,$B$5,$F74,$B$6,N$10,$A74,$B74)</f>
        <v>887.74601642251082</v>
      </c>
      <c r="O74" s="4">
        <f ca="1">_xll.DBRW($B$1,$B$2,$B$7,$B$3,$B$4,$B$5,$F74,$B$6,O$10,$A74,$B74)</f>
        <v>861.6230343119696</v>
      </c>
      <c r="P74" s="4">
        <f ca="1">_xll.DBRW($B$1,$B$2,$B$7,$B$3,$B$4,$B$5,$F74,$B$6,P$10,$A74,$B74)</f>
        <v>787.82465948304252</v>
      </c>
      <c r="Q74" s="4">
        <f ca="1">_xll.DBRW($B$1,$B$2,$B$7,$B$3,$B$4,$B$5,$F74,$B$6,Q$10,$A74,$B74)</f>
        <v>795.02364346979903</v>
      </c>
      <c r="R74" s="4">
        <f ca="1">_xll.DBRW($B$1,$B$2,$B$7,$B$3,$B$4,$B$5,$F74,$B$6,R$10,$A74,$B74)</f>
        <v>786.50962756282797</v>
      </c>
      <c r="S74" s="4">
        <f ca="1">_xll.DBRW($B$1,$B$2,$B$7,$B$3,$B$4,$B$5,$F74,$B$6,S$10,$A74,$B74)</f>
        <v>733.71046312150565</v>
      </c>
      <c r="T74" s="4">
        <f ca="1">_xll.DBRW($B$1,$B$2,$B$7,$B$3,$B$4,$B$5,$F74,$B$6,T$10,$A74,$B74)</f>
        <v>923.94400013095265</v>
      </c>
      <c r="U74" s="4">
        <f ca="1">_xll.DBRW($B$1,$B$2,$B$7,$B$3,$B$4,$B$5,$F74,$B$6,U$10,$A74,$B74)</f>
        <v>824.25351703076171</v>
      </c>
      <c r="V74" s="4">
        <f ca="1">_xll.DBRW($B$1,$B$2,$B$7,$B$3,$B$4,$B$5,$F74,$B$6,V$10,$A74,$B74)</f>
        <v>998.43206472013981</v>
      </c>
      <c r="W74" s="4">
        <f ca="1">_xll.DBRW($B$1,$B$2,$B$7,$B$3,$B$4,$B$5,$F74,$B$6,W$10,$A74,$B74)</f>
        <v>995.18963184217455</v>
      </c>
      <c r="X74" s="4">
        <f ca="1">_xll.DBRW($B$1,$B$2,$B$7,$B$3,$B$4,$B$5,$F74,$B$6,X$10,$A74,$B74)</f>
        <v>1006.2834236601726</v>
      </c>
      <c r="Y74" s="4">
        <f ca="1">_xll.DBRW($B$1,$B$2,$B$7,$B$3,$B$4,$B$5,$F74,$B$6,Y$10,$A74,$B74)</f>
        <v>966.00204049809781</v>
      </c>
      <c r="Z74" s="4">
        <f ca="1">_xll.DBRW($B$1,$B$2,$B$7,$B$3,$B$4,$B$5,$F74,$B$6,Z$10,$A74,$B74)</f>
        <v>1010.7234445348042</v>
      </c>
      <c r="AA74" s="4">
        <f ca="1">_xll.DBRW($B$1,$B$2,$B$7,$B$3,$B$4,$B$5,$F74,$B$6,AA$10,$A74,$B74)</f>
        <v>1028.2579321404219</v>
      </c>
      <c r="AB74" s="4">
        <f ca="1">_xll.DBRW($B$1,$B$2,$B$7,$B$3,$B$4,$B$5,$F74,$B$6,AB$10,$A74,$B74)</f>
        <v>987.79162392539251</v>
      </c>
      <c r="AC74" s="4">
        <f ca="1">_xll.DBRW($B$1,$B$2,$B$7,$B$3,$B$4,$B$5,$F74,$B$6,AC$10,$A74,$B74)</f>
        <v>978.79435665785036</v>
      </c>
      <c r="AD74" s="4">
        <f ca="1">_xll.DBRW($B$1,$B$2,$B$7,$B$3,$B$4,$B$5,$F74,$B$6,AD$10,$A74,$B74)</f>
        <v>905.07543644889347</v>
      </c>
      <c r="AE74" s="4">
        <f ca="1">_xll.DBRW($B$1,$B$2,$B$7,$B$3,$B$4,$B$5,$F74,$B$6,AE$10,$A74,$B74)</f>
        <v>783.85792264935969</v>
      </c>
    </row>
    <row r="75" spans="1:31">
      <c r="A75" s="1" t="s">
        <v>151</v>
      </c>
      <c r="B75" s="5" t="s">
        <v>220</v>
      </c>
      <c r="C75" s="5" t="s">
        <v>166</v>
      </c>
      <c r="D75" s="5" t="s">
        <v>21</v>
      </c>
      <c r="E75" s="5" t="s">
        <v>31</v>
      </c>
      <c r="F75" s="5" t="s">
        <v>22</v>
      </c>
      <c r="G75" s="6"/>
      <c r="H75" s="6"/>
      <c r="I75" s="6"/>
      <c r="J75" s="6"/>
      <c r="K75" s="6"/>
      <c r="L75" s="4">
        <f ca="1">_xll.DBRW($B$1,$B$2,$B$7,$B$3,$B$4,$B$5,$F75,$B$6,L$10,$A75,$B75)</f>
        <v>943.39513556466864</v>
      </c>
      <c r="M75" s="4">
        <f ca="1">_xll.DBRW($B$1,$B$2,$B$7,$B$3,$B$4,$B$5,$F75,$B$6,M$10,$A75,$B75)</f>
        <v>951.17223806920845</v>
      </c>
      <c r="N75" s="4">
        <f ca="1">_xll.DBRW($B$1,$B$2,$B$7,$B$3,$B$4,$B$5,$F75,$B$6,N$10,$A75,$B75)</f>
        <v>934.3593982218199</v>
      </c>
      <c r="O75" s="4">
        <f ca="1">_xll.DBRW($B$1,$B$2,$B$7,$B$3,$B$4,$B$5,$F75,$B$6,O$10,$A75,$B75)</f>
        <v>884.70752742688092</v>
      </c>
      <c r="P75" s="4">
        <f ca="1">_xll.DBRW($B$1,$B$2,$B$7,$B$3,$B$4,$B$5,$F75,$B$6,P$10,$A75,$B75)</f>
        <v>912.36250615836661</v>
      </c>
      <c r="Q75" s="4">
        <f ca="1">_xll.DBRW($B$1,$B$2,$B$7,$B$3,$B$4,$B$5,$F75,$B$6,Q$10,$A75,$B75)</f>
        <v>793.6591556835283</v>
      </c>
      <c r="R75" s="4">
        <f ca="1">_xll.DBRW($B$1,$B$2,$B$7,$B$3,$B$4,$B$5,$F75,$B$6,R$10,$A75,$B75)</f>
        <v>0</v>
      </c>
      <c r="S75" s="4">
        <f ca="1">_xll.DBRW($B$1,$B$2,$B$7,$B$3,$B$4,$B$5,$F75,$B$6,S$10,$A75,$B75)</f>
        <v>0</v>
      </c>
      <c r="T75" s="4">
        <f ca="1">_xll.DBRW($B$1,$B$2,$B$7,$B$3,$B$4,$B$5,$F75,$B$6,T$10,$A75,$B75)</f>
        <v>0</v>
      </c>
      <c r="U75" s="4">
        <f ca="1">_xll.DBRW($B$1,$B$2,$B$7,$B$3,$B$4,$B$5,$F75,$B$6,U$10,$A75,$B75)</f>
        <v>0</v>
      </c>
      <c r="V75" s="4">
        <f ca="1">_xll.DBRW($B$1,$B$2,$B$7,$B$3,$B$4,$B$5,$F75,$B$6,V$10,$A75,$B75)</f>
        <v>56.857025666473966</v>
      </c>
      <c r="W75" s="4">
        <f ca="1">_xll.DBRW($B$1,$B$2,$B$7,$B$3,$B$4,$B$5,$F75,$B$6,W$10,$A75,$B75)</f>
        <v>825.81090614091102</v>
      </c>
      <c r="X75" s="4">
        <f ca="1">_xll.DBRW($B$1,$B$2,$B$7,$B$3,$B$4,$B$5,$F75,$B$6,X$10,$A75,$B75)</f>
        <v>994.51078392551892</v>
      </c>
      <c r="Y75" s="4">
        <f ca="1">_xll.DBRW($B$1,$B$2,$B$7,$B$3,$B$4,$B$5,$F75,$B$6,Y$10,$A75,$B75)</f>
        <v>980.04480988394175</v>
      </c>
      <c r="Z75" s="4">
        <f ca="1">_xll.DBRW($B$1,$B$2,$B$7,$B$3,$B$4,$B$5,$F75,$B$6,Z$10,$A75,$B75)</f>
        <v>991.7069464217941</v>
      </c>
      <c r="AA75" s="4">
        <f ca="1">_xll.DBRW($B$1,$B$2,$B$7,$B$3,$B$4,$B$5,$F75,$B$6,AA$10,$A75,$B75)</f>
        <v>854.79911763713096</v>
      </c>
      <c r="AB75" s="4">
        <f ca="1">_xll.DBRW($B$1,$B$2,$B$7,$B$3,$B$4,$B$5,$F75,$B$6,AB$10,$A75,$B75)</f>
        <v>948.24481427982187</v>
      </c>
      <c r="AC75" s="4">
        <f ca="1">_xll.DBRW($B$1,$B$2,$B$7,$B$3,$B$4,$B$5,$F75,$B$6,AC$10,$A75,$B75)</f>
        <v>838.51097783534226</v>
      </c>
      <c r="AD75" s="4">
        <f ca="1">_xll.DBRW($B$1,$B$2,$B$7,$B$3,$B$4,$B$5,$F75,$B$6,AD$10,$A75,$B75)</f>
        <v>0</v>
      </c>
      <c r="AE75" s="4">
        <f ca="1">_xll.DBRW($B$1,$B$2,$B$7,$B$3,$B$4,$B$5,$F75,$B$6,AE$10,$A75,$B75)</f>
        <v>0</v>
      </c>
    </row>
    <row r="76" spans="1:31">
      <c r="A76" s="1" t="s">
        <v>151</v>
      </c>
      <c r="B76" s="5" t="s">
        <v>32</v>
      </c>
      <c r="C76" s="5" t="s">
        <v>30</v>
      </c>
      <c r="D76" s="5" t="s">
        <v>31</v>
      </c>
      <c r="E76" s="5" t="s">
        <v>21</v>
      </c>
      <c r="F76" s="5" t="s">
        <v>22</v>
      </c>
      <c r="G76" s="6"/>
      <c r="H76" s="6"/>
      <c r="I76" s="6"/>
      <c r="J76" s="6"/>
      <c r="K76" s="6"/>
      <c r="L76" s="4">
        <f ca="1">_xll.DBRW($B$1,$B$2,$B$7,$B$3,$B$4,$B$5,$F76,$B$6,L$10,$A76,$B76)</f>
        <v>943.39513556466864</v>
      </c>
      <c r="M76" s="4">
        <f ca="1">_xll.DBRW($B$1,$B$2,$B$7,$B$3,$B$4,$B$5,$F76,$B$6,M$10,$A76,$B76)</f>
        <v>951.17223806920845</v>
      </c>
      <c r="N76" s="4">
        <f ca="1">_xll.DBRW($B$1,$B$2,$B$7,$B$3,$B$4,$B$5,$F76,$B$6,N$10,$A76,$B76)</f>
        <v>934.3593982218199</v>
      </c>
      <c r="O76" s="4">
        <f ca="1">_xll.DBRW($B$1,$B$2,$B$7,$B$3,$B$4,$B$5,$F76,$B$6,O$10,$A76,$B76)</f>
        <v>884.70752742688092</v>
      </c>
      <c r="P76" s="4">
        <f ca="1">_xll.DBRW($B$1,$B$2,$B$7,$B$3,$B$4,$B$5,$F76,$B$6,P$10,$A76,$B76)</f>
        <v>912.36250615836661</v>
      </c>
      <c r="Q76" s="4">
        <f ca="1">_xll.DBRW($B$1,$B$2,$B$7,$B$3,$B$4,$B$5,$F76,$B$6,Q$10,$A76,$B76)</f>
        <v>793.6591556835283</v>
      </c>
      <c r="R76" s="4">
        <f ca="1">_xll.DBRW($B$1,$B$2,$B$7,$B$3,$B$4,$B$5,$F76,$B$6,R$10,$A76,$B76)</f>
        <v>0</v>
      </c>
      <c r="S76" s="4">
        <f ca="1">_xll.DBRW($B$1,$B$2,$B$7,$B$3,$B$4,$B$5,$F76,$B$6,S$10,$A76,$B76)</f>
        <v>0</v>
      </c>
      <c r="T76" s="4">
        <f ca="1">_xll.DBRW($B$1,$B$2,$B$7,$B$3,$B$4,$B$5,$F76,$B$6,T$10,$A76,$B76)</f>
        <v>0</v>
      </c>
      <c r="U76" s="4">
        <f ca="1">_xll.DBRW($B$1,$B$2,$B$7,$B$3,$B$4,$B$5,$F76,$B$6,U$10,$A76,$B76)</f>
        <v>0</v>
      </c>
      <c r="V76" s="4">
        <f ca="1">_xll.DBRW($B$1,$B$2,$B$7,$B$3,$B$4,$B$5,$F76,$B$6,V$10,$A76,$B76)</f>
        <v>56.857025666473966</v>
      </c>
      <c r="W76" s="4">
        <f ca="1">_xll.DBRW($B$1,$B$2,$B$7,$B$3,$B$4,$B$5,$F76,$B$6,W$10,$A76,$B76)</f>
        <v>825.81090614091102</v>
      </c>
      <c r="X76" s="4">
        <f ca="1">_xll.DBRW($B$1,$B$2,$B$7,$B$3,$B$4,$B$5,$F76,$B$6,X$10,$A76,$B76)</f>
        <v>994.51078392551892</v>
      </c>
      <c r="Y76" s="4">
        <f ca="1">_xll.DBRW($B$1,$B$2,$B$7,$B$3,$B$4,$B$5,$F76,$B$6,Y$10,$A76,$B76)</f>
        <v>980.04480988394175</v>
      </c>
      <c r="Z76" s="4">
        <f ca="1">_xll.DBRW($B$1,$B$2,$B$7,$B$3,$B$4,$B$5,$F76,$B$6,Z$10,$A76,$B76)</f>
        <v>991.7069464217941</v>
      </c>
      <c r="AA76" s="4">
        <f ca="1">_xll.DBRW($B$1,$B$2,$B$7,$B$3,$B$4,$B$5,$F76,$B$6,AA$10,$A76,$B76)</f>
        <v>854.79911763713096</v>
      </c>
      <c r="AB76" s="4">
        <f ca="1">_xll.DBRW($B$1,$B$2,$B$7,$B$3,$B$4,$B$5,$F76,$B$6,AB$10,$A76,$B76)</f>
        <v>948.24481427982187</v>
      </c>
      <c r="AC76" s="4">
        <f ca="1">_xll.DBRW($B$1,$B$2,$B$7,$B$3,$B$4,$B$5,$F76,$B$6,AC$10,$A76,$B76)</f>
        <v>804.67446927199944</v>
      </c>
      <c r="AD76" s="4">
        <f ca="1">_xll.DBRW($B$1,$B$2,$B$7,$B$3,$B$4,$B$5,$F76,$B$6,AD$10,$A76,$B76)</f>
        <v>0</v>
      </c>
      <c r="AE76" s="4">
        <f ca="1">_xll.DBRW($B$1,$B$2,$B$7,$B$3,$B$4,$B$5,$F76,$B$6,AE$10,$A76,$B76)</f>
        <v>0</v>
      </c>
    </row>
    <row r="77" spans="1:31">
      <c r="A77" s="1" t="s">
        <v>151</v>
      </c>
      <c r="B77" s="5" t="s">
        <v>221</v>
      </c>
      <c r="C77" s="5" t="s">
        <v>193</v>
      </c>
      <c r="D77" s="5" t="s">
        <v>21</v>
      </c>
      <c r="E77" s="5" t="s">
        <v>194</v>
      </c>
      <c r="F77" s="5" t="s">
        <v>22</v>
      </c>
      <c r="G77" s="6"/>
      <c r="H77" s="6"/>
      <c r="I77" s="6"/>
      <c r="J77" s="6"/>
      <c r="K77" s="6"/>
      <c r="L77" s="4">
        <f ca="1">_xll.DBRW($B$1,$B$2,$B$7,$B$3,$B$4,$B$5,$F77,$B$6,L$10,$A77,$B77)</f>
        <v>215.30847967330354</v>
      </c>
      <c r="M77" s="4">
        <f ca="1">_xll.DBRW($B$1,$B$2,$B$7,$B$3,$B$4,$B$5,$F77,$B$6,M$10,$A77,$B77)</f>
        <v>197.48622680233609</v>
      </c>
      <c r="N77" s="4">
        <f ca="1">_xll.DBRW($B$1,$B$2,$B$7,$B$3,$B$4,$B$5,$F77,$B$6,N$10,$A77,$B77)</f>
        <v>207.37114955364547</v>
      </c>
      <c r="O77" s="4">
        <f ca="1">_xll.DBRW($B$1,$B$2,$B$7,$B$3,$B$4,$B$5,$F77,$B$6,O$10,$A77,$B77)</f>
        <v>210.96871807871776</v>
      </c>
      <c r="P77" s="4">
        <f ca="1">_xll.DBRW($B$1,$B$2,$B$7,$B$3,$B$4,$B$5,$F77,$B$6,P$10,$A77,$B77)</f>
        <v>204.76792837196379</v>
      </c>
      <c r="Q77" s="4">
        <f ca="1">_xll.DBRW($B$1,$B$2,$B$7,$B$3,$B$4,$B$5,$F77,$B$6,Q$10,$A77,$B77)</f>
        <v>260.78907115075521</v>
      </c>
      <c r="R77" s="4">
        <f ca="1">_xll.DBRW($B$1,$B$2,$B$7,$B$3,$B$4,$B$5,$F77,$B$6,R$10,$A77,$B77)</f>
        <v>259.8468516378457</v>
      </c>
      <c r="S77" s="4">
        <f ca="1">_xll.DBRW($B$1,$B$2,$B$7,$B$3,$B$4,$B$5,$F77,$B$6,S$10,$A77,$B77)</f>
        <v>198.67852613376527</v>
      </c>
      <c r="T77" s="4">
        <f ca="1">_xll.DBRW($B$1,$B$2,$B$7,$B$3,$B$4,$B$5,$F77,$B$6,T$10,$A77,$B77)</f>
        <v>286.92674156308715</v>
      </c>
      <c r="U77" s="4">
        <f ca="1">_xll.DBRW($B$1,$B$2,$B$7,$B$3,$B$4,$B$5,$F77,$B$6,U$10,$A77,$B77)</f>
        <v>249.19156460613826</v>
      </c>
      <c r="V77" s="4">
        <f ca="1">_xll.DBRW($B$1,$B$2,$B$7,$B$3,$B$4,$B$5,$F77,$B$6,V$10,$A77,$B77)</f>
        <v>286.73100233138263</v>
      </c>
      <c r="W77" s="4">
        <f ca="1">_xll.DBRW($B$1,$B$2,$B$7,$B$3,$B$4,$B$5,$F77,$B$6,W$10,$A77,$B77)</f>
        <v>289.18009117540839</v>
      </c>
      <c r="X77" s="4">
        <f ca="1">_xll.DBRW($B$1,$B$2,$B$7,$B$3,$B$4,$B$5,$F77,$B$6,X$10,$A77,$B77)</f>
        <v>275.17650477316852</v>
      </c>
      <c r="Y77" s="4">
        <f ca="1">_xll.DBRW($B$1,$B$2,$B$7,$B$3,$B$4,$B$5,$F77,$B$6,Y$10,$A77,$B77)</f>
        <v>230.46160009254064</v>
      </c>
      <c r="Z77" s="4">
        <f ca="1">_xll.DBRW($B$1,$B$2,$B$7,$B$3,$B$4,$B$5,$F77,$B$6,Z$10,$A77,$B77)</f>
        <v>275.36298386301053</v>
      </c>
      <c r="AA77" s="4">
        <f ca="1">_xll.DBRW($B$1,$B$2,$B$7,$B$3,$B$4,$B$5,$F77,$B$6,AA$10,$A77,$B77)</f>
        <v>237.04987607554918</v>
      </c>
      <c r="AB77" s="4">
        <f ca="1">_xll.DBRW($B$1,$B$2,$B$7,$B$3,$B$4,$B$5,$F77,$B$6,AB$10,$A77,$B77)</f>
        <v>256.60048173916232</v>
      </c>
      <c r="AC77" s="4">
        <f ca="1">_xll.DBRW($B$1,$B$2,$B$7,$B$3,$B$4,$B$5,$F77,$B$6,AC$10,$A77,$B77)</f>
        <v>262.80246460864851</v>
      </c>
      <c r="AD77" s="4">
        <f ca="1">_xll.DBRW($B$1,$B$2,$B$7,$B$3,$B$4,$B$5,$F77,$B$6,AD$10,$A77,$B77)</f>
        <v>263.02081315491495</v>
      </c>
      <c r="AE77" s="4">
        <f ca="1">_xll.DBRW($B$1,$B$2,$B$7,$B$3,$B$4,$B$5,$F77,$B$6,AE$10,$A77,$B77)</f>
        <v>225.789768846394</v>
      </c>
    </row>
    <row r="78" spans="1:31">
      <c r="A78" s="1" t="s">
        <v>151</v>
      </c>
      <c r="B78" s="5" t="s">
        <v>222</v>
      </c>
      <c r="C78" s="5" t="s">
        <v>196</v>
      </c>
      <c r="D78" s="5" t="s">
        <v>194</v>
      </c>
      <c r="E78" s="5" t="s">
        <v>21</v>
      </c>
      <c r="F78" s="5" t="s">
        <v>22</v>
      </c>
      <c r="G78" s="6"/>
      <c r="H78" s="6"/>
      <c r="I78" s="6"/>
      <c r="J78" s="6"/>
      <c r="K78" s="6"/>
      <c r="L78" s="4">
        <f ca="1">_xll.DBRW($B$1,$B$2,$B$7,$B$3,$B$4,$B$5,$F78,$B$6,L$10,$A78,$B78)</f>
        <v>215.30847967330354</v>
      </c>
      <c r="M78" s="4">
        <f ca="1">_xll.DBRW($B$1,$B$2,$B$7,$B$3,$B$4,$B$5,$F78,$B$6,M$10,$A78,$B78)</f>
        <v>197.48622680233609</v>
      </c>
      <c r="N78" s="4">
        <f ca="1">_xll.DBRW($B$1,$B$2,$B$7,$B$3,$B$4,$B$5,$F78,$B$6,N$10,$A78,$B78)</f>
        <v>207.37114955364547</v>
      </c>
      <c r="O78" s="4">
        <f ca="1">_xll.DBRW($B$1,$B$2,$B$7,$B$3,$B$4,$B$5,$F78,$B$6,O$10,$A78,$B78)</f>
        <v>210.96871807871776</v>
      </c>
      <c r="P78" s="4">
        <f ca="1">_xll.DBRW($B$1,$B$2,$B$7,$B$3,$B$4,$B$5,$F78,$B$6,P$10,$A78,$B78)</f>
        <v>204.76792837196379</v>
      </c>
      <c r="Q78" s="4">
        <f ca="1">_xll.DBRW($B$1,$B$2,$B$7,$B$3,$B$4,$B$5,$F78,$B$6,Q$10,$A78,$B78)</f>
        <v>260.78907115075521</v>
      </c>
      <c r="R78" s="4">
        <f ca="1">_xll.DBRW($B$1,$B$2,$B$7,$B$3,$B$4,$B$5,$F78,$B$6,R$10,$A78,$B78)</f>
        <v>259.8468516378457</v>
      </c>
      <c r="S78" s="4">
        <f ca="1">_xll.DBRW($B$1,$B$2,$B$7,$B$3,$B$4,$B$5,$F78,$B$6,S$10,$A78,$B78)</f>
        <v>198.67852613376527</v>
      </c>
      <c r="T78" s="4">
        <f ca="1">_xll.DBRW($B$1,$B$2,$B$7,$B$3,$B$4,$B$5,$F78,$B$6,T$10,$A78,$B78)</f>
        <v>286.92674156308715</v>
      </c>
      <c r="U78" s="4">
        <f ca="1">_xll.DBRW($B$1,$B$2,$B$7,$B$3,$B$4,$B$5,$F78,$B$6,U$10,$A78,$B78)</f>
        <v>249.19156460613826</v>
      </c>
      <c r="V78" s="4">
        <f ca="1">_xll.DBRW($B$1,$B$2,$B$7,$B$3,$B$4,$B$5,$F78,$B$6,V$10,$A78,$B78)</f>
        <v>286.73100233138263</v>
      </c>
      <c r="W78" s="4">
        <f ca="1">_xll.DBRW($B$1,$B$2,$B$7,$B$3,$B$4,$B$5,$F78,$B$6,W$10,$A78,$B78)</f>
        <v>289.18009117540839</v>
      </c>
      <c r="X78" s="4">
        <f ca="1">_xll.DBRW($B$1,$B$2,$B$7,$B$3,$B$4,$B$5,$F78,$B$6,X$10,$A78,$B78)</f>
        <v>275.17650477316852</v>
      </c>
      <c r="Y78" s="4">
        <f ca="1">_xll.DBRW($B$1,$B$2,$B$7,$B$3,$B$4,$B$5,$F78,$B$6,Y$10,$A78,$B78)</f>
        <v>230.46160009254064</v>
      </c>
      <c r="Z78" s="4">
        <f ca="1">_xll.DBRW($B$1,$B$2,$B$7,$B$3,$B$4,$B$5,$F78,$B$6,Z$10,$A78,$B78)</f>
        <v>275.36298386301053</v>
      </c>
      <c r="AA78" s="4">
        <f ca="1">_xll.DBRW($B$1,$B$2,$B$7,$B$3,$B$4,$B$5,$F78,$B$6,AA$10,$A78,$B78)</f>
        <v>237.04987607554918</v>
      </c>
      <c r="AB78" s="4">
        <f ca="1">_xll.DBRW($B$1,$B$2,$B$7,$B$3,$B$4,$B$5,$F78,$B$6,AB$10,$A78,$B78)</f>
        <v>256.60048173916232</v>
      </c>
      <c r="AC78" s="4">
        <f ca="1">_xll.DBRW($B$1,$B$2,$B$7,$B$3,$B$4,$B$5,$F78,$B$6,AC$10,$A78,$B78)</f>
        <v>262.80246460864851</v>
      </c>
      <c r="AD78" s="4">
        <f ca="1">_xll.DBRW($B$1,$B$2,$B$7,$B$3,$B$4,$B$5,$F78,$B$6,AD$10,$A78,$B78)</f>
        <v>263.02081315491495</v>
      </c>
      <c r="AE78" s="4">
        <f ca="1">_xll.DBRW($B$1,$B$2,$B$7,$B$3,$B$4,$B$5,$F78,$B$6,AE$10,$A78,$B78)</f>
        <v>200.70201675235026</v>
      </c>
    </row>
    <row r="79" spans="1:31">
      <c r="A79" s="1" t="s">
        <v>151</v>
      </c>
      <c r="B79" s="5" t="s">
        <v>223</v>
      </c>
      <c r="C79" s="5" t="s">
        <v>193</v>
      </c>
      <c r="D79" s="5" t="s">
        <v>21</v>
      </c>
      <c r="E79" s="5" t="s">
        <v>194</v>
      </c>
      <c r="F79" s="5" t="s">
        <v>22</v>
      </c>
      <c r="G79" s="6"/>
      <c r="H79" s="6"/>
      <c r="I79" s="6"/>
      <c r="J79" s="6"/>
      <c r="K79" s="6"/>
      <c r="L79" s="4">
        <f ca="1">_xll.DBRW($B$1,$B$2,$B$7,$B$3,$B$4,$B$5,$F79,$B$6,L$10,$A79,$B79)</f>
        <v>311.00113730588293</v>
      </c>
      <c r="M79" s="4">
        <f ca="1">_xll.DBRW($B$1,$B$2,$B$7,$B$3,$B$4,$B$5,$F79,$B$6,M$10,$A79,$B79)</f>
        <v>271.54356185321217</v>
      </c>
      <c r="N79" s="4">
        <f ca="1">_xll.DBRW($B$1,$B$2,$B$7,$B$3,$B$4,$B$5,$F79,$B$6,N$10,$A79,$B79)</f>
        <v>299.53610491082122</v>
      </c>
      <c r="O79" s="4">
        <f ca="1">_xll.DBRW($B$1,$B$2,$B$7,$B$3,$B$4,$B$5,$F79,$B$6,O$10,$A79,$B79)</f>
        <v>304.73259278037011</v>
      </c>
      <c r="P79" s="4">
        <f ca="1">_xll.DBRW($B$1,$B$2,$B$7,$B$3,$B$4,$B$5,$F79,$B$6,P$10,$A79,$B79)</f>
        <v>332.74788360444114</v>
      </c>
      <c r="Q79" s="4">
        <f ca="1">_xll.DBRW($B$1,$B$2,$B$7,$B$3,$B$4,$B$5,$F79,$B$6,Q$10,$A79,$B79)</f>
        <v>289.76563461195025</v>
      </c>
      <c r="R79" s="4">
        <f ca="1">_xll.DBRW($B$1,$B$2,$B$7,$B$3,$B$4,$B$5,$F79,$B$6,R$10,$A79,$B79)</f>
        <v>259.8468516378457</v>
      </c>
      <c r="S79" s="4">
        <f ca="1">_xll.DBRW($B$1,$B$2,$B$7,$B$3,$B$4,$B$5,$F79,$B$6,S$10,$A79,$B79)</f>
        <v>223.51334190048595</v>
      </c>
      <c r="T79" s="4">
        <f ca="1">_xll.DBRW($B$1,$B$2,$B$7,$B$3,$B$4,$B$5,$F79,$B$6,T$10,$A79,$B79)</f>
        <v>286.92674156308715</v>
      </c>
      <c r="U79" s="4">
        <f ca="1">_xll.DBRW($B$1,$B$2,$B$7,$B$3,$B$4,$B$5,$F79,$B$6,U$10,$A79,$B79)</f>
        <v>249.19156460613826</v>
      </c>
      <c r="V79" s="4">
        <f ca="1">_xll.DBRW($B$1,$B$2,$B$7,$B$3,$B$4,$B$5,$F79,$B$6,V$10,$A79,$B79)</f>
        <v>254.87200207234014</v>
      </c>
      <c r="W79" s="4">
        <f ca="1">_xll.DBRW($B$1,$B$2,$B$7,$B$3,$B$4,$B$5,$F79,$B$6,W$10,$A79,$B79)</f>
        <v>160.65560620856024</v>
      </c>
      <c r="X79" s="4">
        <f ca="1">_xll.DBRW($B$1,$B$2,$B$7,$B$3,$B$4,$B$5,$F79,$B$6,X$10,$A79,$B79)</f>
        <v>122.30066878807493</v>
      </c>
      <c r="Y79" s="4">
        <f ca="1">_xll.DBRW($B$1,$B$2,$B$7,$B$3,$B$4,$B$5,$F79,$B$6,Y$10,$A79,$B79)</f>
        <v>115.23080004627032</v>
      </c>
      <c r="Z79" s="4">
        <f ca="1">_xll.DBRW($B$1,$B$2,$B$7,$B$3,$B$4,$B$5,$F79,$B$6,Z$10,$A79,$B79)</f>
        <v>137.68149193150526</v>
      </c>
      <c r="AA79" s="4">
        <f ca="1">_xll.DBRW($B$1,$B$2,$B$7,$B$3,$B$4,$B$5,$F79,$B$6,AA$10,$A79,$B79)</f>
        <v>118.52493803777459</v>
      </c>
      <c r="AB79" s="4">
        <f ca="1">_xll.DBRW($B$1,$B$2,$B$7,$B$3,$B$4,$B$5,$F79,$B$6,AB$10,$A79,$B79)</f>
        <v>114.04465855073882</v>
      </c>
      <c r="AC79" s="4">
        <f ca="1">_xll.DBRW($B$1,$B$2,$B$7,$B$3,$B$4,$B$5,$F79,$B$6,AC$10,$A79,$B79)</f>
        <v>197.10184845648638</v>
      </c>
      <c r="AD79" s="4">
        <f ca="1">_xll.DBRW($B$1,$B$2,$B$7,$B$3,$B$4,$B$5,$F79,$B$6,AD$10,$A79,$B79)</f>
        <v>233.7962783599244</v>
      </c>
      <c r="AE79" s="4">
        <f ca="1">_xll.DBRW($B$1,$B$2,$B$7,$B$3,$B$4,$B$5,$F79,$B$6,AE$10,$A79,$B79)</f>
        <v>225.789768846394</v>
      </c>
    </row>
    <row r="80" spans="1:31">
      <c r="A80" s="1" t="s">
        <v>151</v>
      </c>
      <c r="B80" s="5" t="s">
        <v>224</v>
      </c>
      <c r="C80" s="5" t="s">
        <v>196</v>
      </c>
      <c r="D80" s="5" t="s">
        <v>194</v>
      </c>
      <c r="E80" s="5" t="s">
        <v>21</v>
      </c>
      <c r="F80" s="5" t="s">
        <v>22</v>
      </c>
      <c r="G80" s="6"/>
      <c r="H80" s="6"/>
      <c r="I80" s="6"/>
      <c r="J80" s="6"/>
      <c r="K80" s="6"/>
      <c r="L80" s="4">
        <f ca="1">_xll.DBRW($B$1,$B$2,$B$7,$B$3,$B$4,$B$5,$F80,$B$6,L$10,$A80,$B80)</f>
        <v>311.00113730588293</v>
      </c>
      <c r="M80" s="4">
        <f ca="1">_xll.DBRW($B$1,$B$2,$B$7,$B$3,$B$4,$B$5,$F80,$B$6,M$10,$A80,$B80)</f>
        <v>271.54356185321217</v>
      </c>
      <c r="N80" s="4">
        <f ca="1">_xll.DBRW($B$1,$B$2,$B$7,$B$3,$B$4,$B$5,$F80,$B$6,N$10,$A80,$B80)</f>
        <v>299.53610491082122</v>
      </c>
      <c r="O80" s="4">
        <f ca="1">_xll.DBRW($B$1,$B$2,$B$7,$B$3,$B$4,$B$5,$F80,$B$6,O$10,$A80,$B80)</f>
        <v>304.73259278037011</v>
      </c>
      <c r="P80" s="4">
        <f ca="1">_xll.DBRW($B$1,$B$2,$B$7,$B$3,$B$4,$B$5,$F80,$B$6,P$10,$A80,$B80)</f>
        <v>332.74788360444114</v>
      </c>
      <c r="Q80" s="4">
        <f ca="1">_xll.DBRW($B$1,$B$2,$B$7,$B$3,$B$4,$B$5,$F80,$B$6,Q$10,$A80,$B80)</f>
        <v>318.74219807314523</v>
      </c>
      <c r="R80" s="4">
        <f ca="1">_xll.DBRW($B$1,$B$2,$B$7,$B$3,$B$4,$B$5,$F80,$B$6,R$10,$A80,$B80)</f>
        <v>259.8468516378457</v>
      </c>
      <c r="S80" s="4">
        <f ca="1">_xll.DBRW($B$1,$B$2,$B$7,$B$3,$B$4,$B$5,$F80,$B$6,S$10,$A80,$B80)</f>
        <v>223.51334190048595</v>
      </c>
      <c r="T80" s="4">
        <f ca="1">_xll.DBRW($B$1,$B$2,$B$7,$B$3,$B$4,$B$5,$F80,$B$6,T$10,$A80,$B80)</f>
        <v>286.92674156308715</v>
      </c>
      <c r="U80" s="4">
        <f ca="1">_xll.DBRW($B$1,$B$2,$B$7,$B$3,$B$4,$B$5,$F80,$B$6,U$10,$A80,$B80)</f>
        <v>249.19156460613826</v>
      </c>
      <c r="V80" s="4">
        <f ca="1">_xll.DBRW($B$1,$B$2,$B$7,$B$3,$B$4,$B$5,$F80,$B$6,V$10,$A80,$B80)</f>
        <v>254.87200207234014</v>
      </c>
      <c r="W80" s="4">
        <f ca="1">_xll.DBRW($B$1,$B$2,$B$7,$B$3,$B$4,$B$5,$F80,$B$6,W$10,$A80,$B80)</f>
        <v>160.65560620856024</v>
      </c>
      <c r="X80" s="4">
        <f ca="1">_xll.DBRW($B$1,$B$2,$B$7,$B$3,$B$4,$B$5,$F80,$B$6,X$10,$A80,$B80)</f>
        <v>122.30066878807493</v>
      </c>
      <c r="Y80" s="4">
        <f ca="1">_xll.DBRW($B$1,$B$2,$B$7,$B$3,$B$4,$B$5,$F80,$B$6,Y$10,$A80,$B80)</f>
        <v>115.23080004627032</v>
      </c>
      <c r="Z80" s="4">
        <f ca="1">_xll.DBRW($B$1,$B$2,$B$7,$B$3,$B$4,$B$5,$F80,$B$6,Z$10,$A80,$B80)</f>
        <v>137.68149193150526</v>
      </c>
      <c r="AA80" s="4">
        <f ca="1">_xll.DBRW($B$1,$B$2,$B$7,$B$3,$B$4,$B$5,$F80,$B$6,AA$10,$A80,$B80)</f>
        <v>118.52493803777459</v>
      </c>
      <c r="AB80" s="4">
        <f ca="1">_xll.DBRW($B$1,$B$2,$B$7,$B$3,$B$4,$B$5,$F80,$B$6,AB$10,$A80,$B80)</f>
        <v>114.04465855073882</v>
      </c>
      <c r="AC80" s="4">
        <f ca="1">_xll.DBRW($B$1,$B$2,$B$7,$B$3,$B$4,$B$5,$F80,$B$6,AC$10,$A80,$B80)</f>
        <v>197.10184845648638</v>
      </c>
      <c r="AD80" s="4">
        <f ca="1">_xll.DBRW($B$1,$B$2,$B$7,$B$3,$B$4,$B$5,$F80,$B$6,AD$10,$A80,$B80)</f>
        <v>233.7962783599244</v>
      </c>
      <c r="AE80" s="4">
        <f ca="1">_xll.DBRW($B$1,$B$2,$B$7,$B$3,$B$4,$B$5,$F80,$B$6,AE$10,$A80,$B80)</f>
        <v>225.789768846394</v>
      </c>
    </row>
    <row r="81" spans="1:31">
      <c r="A81" s="1" t="s">
        <v>151</v>
      </c>
      <c r="B81" s="5" t="s">
        <v>225</v>
      </c>
      <c r="C81" s="5" t="s">
        <v>226</v>
      </c>
      <c r="D81" s="5" t="s">
        <v>21</v>
      </c>
      <c r="E81" s="5" t="s">
        <v>227</v>
      </c>
      <c r="F81" s="5" t="s">
        <v>22</v>
      </c>
      <c r="G81" s="6"/>
      <c r="H81" s="6"/>
      <c r="I81" s="6"/>
      <c r="J81" s="6"/>
      <c r="K81" s="6"/>
      <c r="L81" s="4">
        <f ca="1">_xll.DBRW($B$1,$B$2,$B$7,$B$3,$B$4,$B$5,$F81,$B$6,L$10,$A81,$B81)</f>
        <v>0</v>
      </c>
      <c r="M81" s="4">
        <f ca="1">_xll.DBRW($B$1,$B$2,$B$7,$B$3,$B$4,$B$5,$F81,$B$6,M$10,$A81,$B81)</f>
        <v>0</v>
      </c>
      <c r="N81" s="4">
        <f ca="1">_xll.DBRW($B$1,$B$2,$B$7,$B$3,$B$4,$B$5,$F81,$B$6,N$10,$A81,$B81)</f>
        <v>0</v>
      </c>
      <c r="O81" s="4">
        <f ca="1">_xll.DBRW($B$1,$B$2,$B$7,$B$3,$B$4,$B$5,$F81,$B$6,O$10,$A81,$B81)</f>
        <v>0</v>
      </c>
      <c r="P81" s="4">
        <f ca="1">_xll.DBRW($B$1,$B$2,$B$7,$B$3,$B$4,$B$5,$F81,$B$6,P$10,$A81,$B81)</f>
        <v>0</v>
      </c>
      <c r="Q81" s="4">
        <f ca="1">_xll.DBRW($B$1,$B$2,$B$7,$B$3,$B$4,$B$5,$F81,$B$6,Q$10,$A81,$B81)</f>
        <v>57.599999999999994</v>
      </c>
      <c r="R81" s="4">
        <f ca="1">_xll.DBRW($B$1,$B$2,$B$7,$B$3,$B$4,$B$5,$F81,$B$6,R$10,$A81,$B81)</f>
        <v>235.52</v>
      </c>
      <c r="S81" s="4">
        <f ca="1">_xll.DBRW($B$1,$B$2,$B$7,$B$3,$B$4,$B$5,$F81,$B$6,S$10,$A81,$B81)</f>
        <v>0</v>
      </c>
      <c r="T81" s="4">
        <f ca="1">_xll.DBRW($B$1,$B$2,$B$7,$B$3,$B$4,$B$5,$F81,$B$6,T$10,$A81,$B81)</f>
        <v>0</v>
      </c>
      <c r="U81" s="4">
        <f ca="1">_xll.DBRW($B$1,$B$2,$B$7,$B$3,$B$4,$B$5,$F81,$B$6,U$10,$A81,$B81)</f>
        <v>0</v>
      </c>
      <c r="V81" s="4">
        <f ca="1">_xll.DBRW($B$1,$B$2,$B$7,$B$3,$B$4,$B$5,$F81,$B$6,V$10,$A81,$B81)</f>
        <v>0</v>
      </c>
      <c r="W81" s="4">
        <f ca="1">_xll.DBRW($B$1,$B$2,$B$7,$B$3,$B$4,$B$5,$F81,$B$6,W$10,$A81,$B81)</f>
        <v>0</v>
      </c>
      <c r="X81" s="4">
        <f ca="1">_xll.DBRW($B$1,$B$2,$B$7,$B$3,$B$4,$B$5,$F81,$B$6,X$10,$A81,$B81)</f>
        <v>0</v>
      </c>
      <c r="Y81" s="4">
        <f ca="1">_xll.DBRW($B$1,$B$2,$B$7,$B$3,$B$4,$B$5,$F81,$B$6,Y$10,$A81,$B81)</f>
        <v>0</v>
      </c>
      <c r="Z81" s="4">
        <f ca="1">_xll.DBRW($B$1,$B$2,$B$7,$B$3,$B$4,$B$5,$F81,$B$6,Z$10,$A81,$B81)</f>
        <v>0</v>
      </c>
      <c r="AA81" s="4">
        <f ca="1">_xll.DBRW($B$1,$B$2,$B$7,$B$3,$B$4,$B$5,$F81,$B$6,AA$10,$A81,$B81)</f>
        <v>0</v>
      </c>
      <c r="AB81" s="4">
        <f ca="1">_xll.DBRW($B$1,$B$2,$B$7,$B$3,$B$4,$B$5,$F81,$B$6,AB$10,$A81,$B81)</f>
        <v>0</v>
      </c>
      <c r="AC81" s="4">
        <f ca="1">_xll.DBRW($B$1,$B$2,$B$7,$B$3,$B$4,$B$5,$F81,$B$6,AC$10,$A81,$B81)</f>
        <v>0</v>
      </c>
      <c r="AD81" s="4">
        <f ca="1">_xll.DBRW($B$1,$B$2,$B$7,$B$3,$B$4,$B$5,$F81,$B$6,AD$10,$A81,$B81)</f>
        <v>0</v>
      </c>
      <c r="AE81" s="4">
        <f ca="1">_xll.DBRW($B$1,$B$2,$B$7,$B$3,$B$4,$B$5,$F81,$B$6,AE$10,$A81,$B81)</f>
        <v>0</v>
      </c>
    </row>
    <row r="82" spans="1:31">
      <c r="A82" s="1" t="s">
        <v>151</v>
      </c>
      <c r="B82" s="5" t="s">
        <v>228</v>
      </c>
      <c r="C82" s="5" t="s">
        <v>229</v>
      </c>
      <c r="D82" s="5" t="s">
        <v>227</v>
      </c>
      <c r="E82" s="5" t="s">
        <v>21</v>
      </c>
      <c r="F82" s="5" t="s">
        <v>22</v>
      </c>
      <c r="G82" s="6"/>
      <c r="H82" s="6"/>
      <c r="I82" s="6"/>
      <c r="J82" s="6"/>
      <c r="K82" s="6"/>
      <c r="L82" s="4">
        <f ca="1">_xll.DBRW($B$1,$B$2,$B$7,$B$3,$B$4,$B$5,$F82,$B$6,L$10,$A82,$B82)</f>
        <v>0</v>
      </c>
      <c r="M82" s="4">
        <f ca="1">_xll.DBRW($B$1,$B$2,$B$7,$B$3,$B$4,$B$5,$F82,$B$6,M$10,$A82,$B82)</f>
        <v>0</v>
      </c>
      <c r="N82" s="4">
        <f ca="1">_xll.DBRW($B$1,$B$2,$B$7,$B$3,$B$4,$B$5,$F82,$B$6,N$10,$A82,$B82)</f>
        <v>0</v>
      </c>
      <c r="O82" s="4">
        <f ca="1">_xll.DBRW($B$1,$B$2,$B$7,$B$3,$B$4,$B$5,$F82,$B$6,O$10,$A82,$B82)</f>
        <v>0</v>
      </c>
      <c r="P82" s="4">
        <f ca="1">_xll.DBRW($B$1,$B$2,$B$7,$B$3,$B$4,$B$5,$F82,$B$6,P$10,$A82,$B82)</f>
        <v>0</v>
      </c>
      <c r="Q82" s="4">
        <f ca="1">_xll.DBRW($B$1,$B$2,$B$7,$B$3,$B$4,$B$5,$F82,$B$6,Q$10,$A82,$B82)</f>
        <v>57.599999999999994</v>
      </c>
      <c r="R82" s="4">
        <f ca="1">_xll.DBRW($B$1,$B$2,$B$7,$B$3,$B$4,$B$5,$F82,$B$6,R$10,$A82,$B82)</f>
        <v>235.52</v>
      </c>
      <c r="S82" s="4">
        <f ca="1">_xll.DBRW($B$1,$B$2,$B$7,$B$3,$B$4,$B$5,$F82,$B$6,S$10,$A82,$B82)</f>
        <v>0</v>
      </c>
      <c r="T82" s="4">
        <f ca="1">_xll.DBRW($B$1,$B$2,$B$7,$B$3,$B$4,$B$5,$F82,$B$6,T$10,$A82,$B82)</f>
        <v>0</v>
      </c>
      <c r="U82" s="4">
        <f ca="1">_xll.DBRW($B$1,$B$2,$B$7,$B$3,$B$4,$B$5,$F82,$B$6,U$10,$A82,$B82)</f>
        <v>0</v>
      </c>
      <c r="V82" s="4">
        <f ca="1">_xll.DBRW($B$1,$B$2,$B$7,$B$3,$B$4,$B$5,$F82,$B$6,V$10,$A82,$B82)</f>
        <v>0</v>
      </c>
      <c r="W82" s="4">
        <f ca="1">_xll.DBRW($B$1,$B$2,$B$7,$B$3,$B$4,$B$5,$F82,$B$6,W$10,$A82,$B82)</f>
        <v>0</v>
      </c>
      <c r="X82" s="4">
        <f ca="1">_xll.DBRW($B$1,$B$2,$B$7,$B$3,$B$4,$B$5,$F82,$B$6,X$10,$A82,$B82)</f>
        <v>0</v>
      </c>
      <c r="Y82" s="4">
        <f ca="1">_xll.DBRW($B$1,$B$2,$B$7,$B$3,$B$4,$B$5,$F82,$B$6,Y$10,$A82,$B82)</f>
        <v>0</v>
      </c>
      <c r="Z82" s="4">
        <f ca="1">_xll.DBRW($B$1,$B$2,$B$7,$B$3,$B$4,$B$5,$F82,$B$6,Z$10,$A82,$B82)</f>
        <v>0</v>
      </c>
      <c r="AA82" s="4">
        <f ca="1">_xll.DBRW($B$1,$B$2,$B$7,$B$3,$B$4,$B$5,$F82,$B$6,AA$10,$A82,$B82)</f>
        <v>0</v>
      </c>
      <c r="AB82" s="4">
        <f ca="1">_xll.DBRW($B$1,$B$2,$B$7,$B$3,$B$4,$B$5,$F82,$B$6,AB$10,$A82,$B82)</f>
        <v>0</v>
      </c>
      <c r="AC82" s="4">
        <f ca="1">_xll.DBRW($B$1,$B$2,$B$7,$B$3,$B$4,$B$5,$F82,$B$6,AC$10,$A82,$B82)</f>
        <v>0</v>
      </c>
      <c r="AD82" s="4">
        <f ca="1">_xll.DBRW($B$1,$B$2,$B$7,$B$3,$B$4,$B$5,$F82,$B$6,AD$10,$A82,$B82)</f>
        <v>0</v>
      </c>
      <c r="AE82" s="4">
        <f ca="1">_xll.DBRW($B$1,$B$2,$B$7,$B$3,$B$4,$B$5,$F82,$B$6,AE$10,$A82,$B82)</f>
        <v>0</v>
      </c>
    </row>
    <row r="83" spans="1:31">
      <c r="A83" s="1" t="s">
        <v>151</v>
      </c>
      <c r="B83" s="5" t="s">
        <v>230</v>
      </c>
      <c r="C83" s="5" t="s">
        <v>210</v>
      </c>
      <c r="D83" s="5" t="s">
        <v>21</v>
      </c>
      <c r="E83" s="5" t="s">
        <v>211</v>
      </c>
      <c r="F83" s="5" t="s">
        <v>22</v>
      </c>
      <c r="G83" s="6"/>
      <c r="H83" s="6"/>
      <c r="I83" s="6"/>
      <c r="J83" s="6"/>
      <c r="K83" s="6"/>
      <c r="L83" s="4">
        <f ca="1">_xll.DBRW($B$1,$B$2,$B$7,$B$3,$B$4,$B$5,$F83,$B$6,L$10,$A83,$B83)</f>
        <v>60.954912053629315</v>
      </c>
      <c r="M83" s="4">
        <f ca="1">_xll.DBRW($B$1,$B$2,$B$7,$B$3,$B$4,$B$5,$F83,$B$6,M$10,$A83,$B83)</f>
        <v>125.07461030814619</v>
      </c>
      <c r="N83" s="4">
        <f ca="1">_xll.DBRW($B$1,$B$2,$B$7,$B$3,$B$4,$B$5,$F83,$B$6,N$10,$A83,$B83)</f>
        <v>121.13108418371671</v>
      </c>
      <c r="O83" s="4">
        <f ca="1">_xll.DBRW($B$1,$B$2,$B$7,$B$3,$B$4,$B$5,$F83,$B$6,O$10,$A83,$B83)</f>
        <v>147.34323167402513</v>
      </c>
      <c r="P83" s="4">
        <f ca="1">_xll.DBRW($B$1,$B$2,$B$7,$B$3,$B$4,$B$5,$F83,$B$6,P$10,$A83,$B83)</f>
        <v>122.3288922741602</v>
      </c>
      <c r="Q83" s="4">
        <f ca="1">_xll.DBRW($B$1,$B$2,$B$7,$B$3,$B$4,$B$5,$F83,$B$6,Q$10,$A83,$B83)</f>
        <v>119.903021218738</v>
      </c>
      <c r="R83" s="4">
        <f ca="1">_xll.DBRW($B$1,$B$2,$B$7,$B$3,$B$4,$B$5,$F83,$B$6,R$10,$A83,$B83)</f>
        <v>0</v>
      </c>
      <c r="S83" s="4">
        <f ca="1">_xll.DBRW($B$1,$B$2,$B$7,$B$3,$B$4,$B$5,$F83,$B$6,S$10,$A83,$B83)</f>
        <v>0</v>
      </c>
      <c r="T83" s="4">
        <f ca="1">_xll.DBRW($B$1,$B$2,$B$7,$B$3,$B$4,$B$5,$F83,$B$6,T$10,$A83,$B83)</f>
        <v>0</v>
      </c>
      <c r="U83" s="4">
        <f ca="1">_xll.DBRW($B$1,$B$2,$B$7,$B$3,$B$4,$B$5,$F83,$B$6,U$10,$A83,$B83)</f>
        <v>0</v>
      </c>
      <c r="V83" s="4">
        <f ca="1">_xll.DBRW($B$1,$B$2,$B$7,$B$3,$B$4,$B$5,$F83,$B$6,V$10,$A83,$B83)</f>
        <v>0</v>
      </c>
      <c r="W83" s="4">
        <f ca="1">_xll.DBRW($B$1,$B$2,$B$7,$B$3,$B$4,$B$5,$F83,$B$6,W$10,$A83,$B83)</f>
        <v>136.97233642558965</v>
      </c>
      <c r="X83" s="4">
        <f ca="1">_xll.DBRW($B$1,$B$2,$B$7,$B$3,$B$4,$B$5,$F83,$B$6,X$10,$A83,$B83)</f>
        <v>167.53938375195375</v>
      </c>
      <c r="Y83" s="4">
        <f ca="1">_xll.DBRW($B$1,$B$2,$B$7,$B$3,$B$4,$B$5,$F83,$B$6,Y$10,$A83,$B83)</f>
        <v>132.95511955242637</v>
      </c>
      <c r="Z83" s="4">
        <f ca="1">_xll.DBRW($B$1,$B$2,$B$7,$B$3,$B$4,$B$5,$F83,$B$6,Z$10,$A83,$B83)</f>
        <v>168.18395244816972</v>
      </c>
      <c r="AA83" s="4">
        <f ca="1">_xll.DBRW($B$1,$B$2,$B$7,$B$3,$B$4,$B$5,$F83,$B$6,AA$10,$A83,$B83)</f>
        <v>132.8627203786296</v>
      </c>
      <c r="AB83" s="4">
        <f ca="1">_xll.DBRW($B$1,$B$2,$B$7,$B$3,$B$4,$B$5,$F83,$B$6,AB$10,$A83,$B83)</f>
        <v>128.65621684273174</v>
      </c>
      <c r="AC83" s="4">
        <f ca="1">_xll.DBRW($B$1,$B$2,$B$7,$B$3,$B$4,$B$5,$F83,$B$6,AC$10,$A83,$B83)</f>
        <v>0</v>
      </c>
      <c r="AD83" s="4">
        <f ca="1">_xll.DBRW($B$1,$B$2,$B$7,$B$3,$B$4,$B$5,$F83,$B$6,AD$10,$A83,$B83)</f>
        <v>0</v>
      </c>
      <c r="AE83" s="4">
        <f ca="1">_xll.DBRW($B$1,$B$2,$B$7,$B$3,$B$4,$B$5,$F83,$B$6,AE$10,$A83,$B83)</f>
        <v>0</v>
      </c>
    </row>
    <row r="84" spans="1:31">
      <c r="A84" s="1" t="s">
        <v>151</v>
      </c>
      <c r="B84" s="5" t="s">
        <v>231</v>
      </c>
      <c r="C84" s="5" t="s">
        <v>213</v>
      </c>
      <c r="D84" s="5" t="s">
        <v>211</v>
      </c>
      <c r="E84" s="5" t="s">
        <v>21</v>
      </c>
      <c r="F84" s="5" t="s">
        <v>22</v>
      </c>
      <c r="G84" s="6"/>
      <c r="H84" s="6"/>
      <c r="I84" s="6"/>
      <c r="J84" s="6"/>
      <c r="K84" s="6"/>
      <c r="L84" s="4">
        <f ca="1">_xll.DBRW($B$1,$B$2,$B$7,$B$3,$B$4,$B$5,$F84,$B$6,L$10,$A84,$B84)</f>
        <v>60.954912053629315</v>
      </c>
      <c r="M84" s="4">
        <f ca="1">_xll.DBRW($B$1,$B$2,$B$7,$B$3,$B$4,$B$5,$F84,$B$6,M$10,$A84,$B84)</f>
        <v>125.07461030814619</v>
      </c>
      <c r="N84" s="4">
        <f ca="1">_xll.DBRW($B$1,$B$2,$B$7,$B$3,$B$4,$B$5,$F84,$B$6,N$10,$A84,$B84)</f>
        <v>121.13108418371671</v>
      </c>
      <c r="O84" s="4">
        <f ca="1">_xll.DBRW($B$1,$B$2,$B$7,$B$3,$B$4,$B$5,$F84,$B$6,O$10,$A84,$B84)</f>
        <v>147.34323167402513</v>
      </c>
      <c r="P84" s="4">
        <f ca="1">_xll.DBRW($B$1,$B$2,$B$7,$B$3,$B$4,$B$5,$F84,$B$6,P$10,$A84,$B84)</f>
        <v>122.3288922741602</v>
      </c>
      <c r="Q84" s="4">
        <f ca="1">_xll.DBRW($B$1,$B$2,$B$7,$B$3,$B$4,$B$5,$F84,$B$6,Q$10,$A84,$B84)</f>
        <v>119.903021218738</v>
      </c>
      <c r="R84" s="4">
        <f ca="1">_xll.DBRW($B$1,$B$2,$B$7,$B$3,$B$4,$B$5,$F84,$B$6,R$10,$A84,$B84)</f>
        <v>0</v>
      </c>
      <c r="S84" s="4">
        <f ca="1">_xll.DBRW($B$1,$B$2,$B$7,$B$3,$B$4,$B$5,$F84,$B$6,S$10,$A84,$B84)</f>
        <v>0</v>
      </c>
      <c r="T84" s="4">
        <f ca="1">_xll.DBRW($B$1,$B$2,$B$7,$B$3,$B$4,$B$5,$F84,$B$6,T$10,$A84,$B84)</f>
        <v>0</v>
      </c>
      <c r="U84" s="4">
        <f ca="1">_xll.DBRW($B$1,$B$2,$B$7,$B$3,$B$4,$B$5,$F84,$B$6,U$10,$A84,$B84)</f>
        <v>0</v>
      </c>
      <c r="V84" s="4">
        <f ca="1">_xll.DBRW($B$1,$B$2,$B$7,$B$3,$B$4,$B$5,$F84,$B$6,V$10,$A84,$B84)</f>
        <v>0</v>
      </c>
      <c r="W84" s="4">
        <f ca="1">_xll.DBRW($B$1,$B$2,$B$7,$B$3,$B$4,$B$5,$F84,$B$6,W$10,$A84,$B84)</f>
        <v>136.97233642558965</v>
      </c>
      <c r="X84" s="4">
        <f ca="1">_xll.DBRW($B$1,$B$2,$B$7,$B$3,$B$4,$B$5,$F84,$B$6,X$10,$A84,$B84)</f>
        <v>167.53938375195375</v>
      </c>
      <c r="Y84" s="4">
        <f ca="1">_xll.DBRW($B$1,$B$2,$B$7,$B$3,$B$4,$B$5,$F84,$B$6,Y$10,$A84,$B84)</f>
        <v>132.95511955242637</v>
      </c>
      <c r="Z84" s="4">
        <f ca="1">_xll.DBRW($B$1,$B$2,$B$7,$B$3,$B$4,$B$5,$F84,$B$6,Z$10,$A84,$B84)</f>
        <v>168.18395244816972</v>
      </c>
      <c r="AA84" s="4">
        <f ca="1">_xll.DBRW($B$1,$B$2,$B$7,$B$3,$B$4,$B$5,$F84,$B$6,AA$10,$A84,$B84)</f>
        <v>132.8627203786296</v>
      </c>
      <c r="AB84" s="4">
        <f ca="1">_xll.DBRW($B$1,$B$2,$B$7,$B$3,$B$4,$B$5,$F84,$B$6,AB$10,$A84,$B84)</f>
        <v>128.65621684273174</v>
      </c>
      <c r="AC84" s="4">
        <f ca="1">_xll.DBRW($B$1,$B$2,$B$7,$B$3,$B$4,$B$5,$F84,$B$6,AC$10,$A84,$B84)</f>
        <v>0</v>
      </c>
      <c r="AD84" s="4">
        <f ca="1">_xll.DBRW($B$1,$B$2,$B$7,$B$3,$B$4,$B$5,$F84,$B$6,AD$10,$A84,$B84)</f>
        <v>0</v>
      </c>
      <c r="AE84" s="4">
        <f ca="1">_xll.DBRW($B$1,$B$2,$B$7,$B$3,$B$4,$B$5,$F84,$B$6,AE$10,$A84,$B84)</f>
        <v>0</v>
      </c>
    </row>
    <row r="85" spans="1:31">
      <c r="A85" s="1" t="s">
        <v>151</v>
      </c>
      <c r="B85" s="5" t="s">
        <v>232</v>
      </c>
      <c r="C85" s="5" t="s">
        <v>233</v>
      </c>
      <c r="D85" s="5" t="s">
        <v>21</v>
      </c>
      <c r="E85" s="5" t="s">
        <v>234</v>
      </c>
      <c r="F85" s="5" t="s">
        <v>22</v>
      </c>
      <c r="G85" s="6"/>
      <c r="H85" s="6"/>
      <c r="I85" s="6"/>
      <c r="J85" s="6"/>
      <c r="K85" s="6"/>
      <c r="L85" s="4">
        <f ca="1">_xll.DBRW($B$1,$B$2,$B$7,$B$3,$B$4,$B$5,$F85,$B$6,L$10,$A85,$B85)</f>
        <v>243.81964821451726</v>
      </c>
      <c r="M85" s="4">
        <f ca="1">_xll.DBRW($B$1,$B$2,$B$7,$B$3,$B$4,$B$5,$F85,$B$6,M$10,$A85,$B85)</f>
        <v>281.41787319332894</v>
      </c>
      <c r="N85" s="4">
        <f ca="1">_xll.DBRW($B$1,$B$2,$B$7,$B$3,$B$4,$B$5,$F85,$B$6,N$10,$A85,$B85)</f>
        <v>272.54493941336267</v>
      </c>
      <c r="O85" s="4">
        <f ca="1">_xll.DBRW($B$1,$B$2,$B$7,$B$3,$B$4,$B$5,$F85,$B$6,O$10,$A85,$B85)</f>
        <v>265.21781701324522</v>
      </c>
      <c r="P85" s="4">
        <f ca="1">_xll.DBRW($B$1,$B$2,$B$7,$B$3,$B$4,$B$5,$F85,$B$6,P$10,$A85,$B85)</f>
        <v>244.65778454832039</v>
      </c>
      <c r="Q85" s="4">
        <f ca="1">_xll.DBRW($B$1,$B$2,$B$7,$B$3,$B$4,$B$5,$F85,$B$6,Q$10,$A85,$B85)</f>
        <v>270.74875759069869</v>
      </c>
      <c r="R85" s="4">
        <f ca="1">_xll.DBRW($B$1,$B$2,$B$7,$B$3,$B$4,$B$5,$F85,$B$6,R$10,$A85,$B85)</f>
        <v>441.22472859166351</v>
      </c>
      <c r="S85" s="4">
        <f ca="1">_xll.DBRW($B$1,$B$2,$B$7,$B$3,$B$4,$B$5,$F85,$B$6,S$10,$A85,$B85)</f>
        <v>380.23775081673199</v>
      </c>
      <c r="T85" s="4">
        <f ca="1">_xll.DBRW($B$1,$B$2,$B$7,$B$3,$B$4,$B$5,$F85,$B$6,T$10,$A85,$B85)</f>
        <v>412.5932672161573</v>
      </c>
      <c r="U85" s="4">
        <f ca="1">_xll.DBRW($B$1,$B$2,$B$7,$B$3,$B$4,$B$5,$F85,$B$6,U$10,$A85,$B85)</f>
        <v>381.46081064573247</v>
      </c>
      <c r="V85" s="4">
        <f ca="1">_xll.DBRW($B$1,$B$2,$B$7,$B$3,$B$4,$B$5,$F85,$B$6,V$10,$A85,$B85)</f>
        <v>415.26189209267147</v>
      </c>
      <c r="W85" s="4">
        <f ca="1">_xll.DBRW($B$1,$B$2,$B$7,$B$3,$B$4,$B$5,$F85,$B$6,W$10,$A85,$B85)</f>
        <v>302.8372750659521</v>
      </c>
      <c r="X85" s="4">
        <f ca="1">_xll.DBRW($B$1,$B$2,$B$7,$B$3,$B$4,$B$5,$F85,$B$6,X$10,$A85,$B85)</f>
        <v>297.3824061597179</v>
      </c>
      <c r="Y85" s="4">
        <f ca="1">_xll.DBRW($B$1,$B$2,$B$7,$B$3,$B$4,$B$5,$F85,$B$6,Y$10,$A85,$B85)</f>
        <v>261.75539161883944</v>
      </c>
      <c r="Z85" s="4">
        <f ca="1">_xll.DBRW($B$1,$B$2,$B$7,$B$3,$B$4,$B$5,$F85,$B$6,Z$10,$A85,$B85)</f>
        <v>297.47536589270021</v>
      </c>
      <c r="AA85" s="4">
        <f ca="1">_xll.DBRW($B$1,$B$2,$B$7,$B$3,$B$4,$B$5,$F85,$B$6,AA$10,$A85,$B85)</f>
        <v>294.78916084008443</v>
      </c>
      <c r="AB85" s="4">
        <f ca="1">_xll.DBRW($B$1,$B$2,$B$7,$B$3,$B$4,$B$5,$F85,$B$6,AB$10,$A85,$B85)</f>
        <v>284.45085442572719</v>
      </c>
      <c r="AC85" s="4">
        <f ca="1">_xll.DBRW($B$1,$B$2,$B$7,$B$3,$B$4,$B$5,$F85,$B$6,AC$10,$A85,$B85)</f>
        <v>385.33976687821882</v>
      </c>
      <c r="AD85" s="4">
        <f ca="1">_xll.DBRW($B$1,$B$2,$B$7,$B$3,$B$4,$B$5,$F85,$B$6,AD$10,$A85,$B85)</f>
        <v>365.86817478648055</v>
      </c>
      <c r="AE85" s="4">
        <f ca="1">_xll.DBRW($B$1,$B$2,$B$7,$B$3,$B$4,$B$5,$F85,$B$6,AE$10,$A85,$B85)</f>
        <v>356.88657723842601</v>
      </c>
    </row>
    <row r="86" spans="1:31">
      <c r="A86" s="1" t="s">
        <v>151</v>
      </c>
      <c r="B86" s="5" t="s">
        <v>235</v>
      </c>
      <c r="C86" s="5" t="s">
        <v>236</v>
      </c>
      <c r="D86" s="5" t="s">
        <v>234</v>
      </c>
      <c r="E86" s="5" t="s">
        <v>21</v>
      </c>
      <c r="F86" s="5" t="s">
        <v>22</v>
      </c>
      <c r="G86" s="6"/>
      <c r="H86" s="6"/>
      <c r="I86" s="6"/>
      <c r="J86" s="6"/>
      <c r="K86" s="6"/>
      <c r="L86" s="4">
        <f ca="1">_xll.DBRW($B$1,$B$2,$B$7,$B$3,$B$4,$B$5,$F86,$B$6,L$10,$A86,$B86)</f>
        <v>243.81964821451726</v>
      </c>
      <c r="M86" s="4">
        <f ca="1">_xll.DBRW($B$1,$B$2,$B$7,$B$3,$B$4,$B$5,$F86,$B$6,M$10,$A86,$B86)</f>
        <v>281.41787319332894</v>
      </c>
      <c r="N86" s="4">
        <f ca="1">_xll.DBRW($B$1,$B$2,$B$7,$B$3,$B$4,$B$5,$F86,$B$6,N$10,$A86,$B86)</f>
        <v>272.54493941336267</v>
      </c>
      <c r="O86" s="4">
        <f ca="1">_xll.DBRW($B$1,$B$2,$B$7,$B$3,$B$4,$B$5,$F86,$B$6,O$10,$A86,$B86)</f>
        <v>265.21781701324522</v>
      </c>
      <c r="P86" s="4">
        <f ca="1">_xll.DBRW($B$1,$B$2,$B$7,$B$3,$B$4,$B$5,$F86,$B$6,P$10,$A86,$B86)</f>
        <v>244.65778454832039</v>
      </c>
      <c r="Q86" s="4">
        <f ca="1">_xll.DBRW($B$1,$B$2,$B$7,$B$3,$B$4,$B$5,$F86,$B$6,Q$10,$A86,$B86)</f>
        <v>270.74875759069869</v>
      </c>
      <c r="R86" s="4">
        <f ca="1">_xll.DBRW($B$1,$B$2,$B$7,$B$3,$B$4,$B$5,$F86,$B$6,R$10,$A86,$B86)</f>
        <v>441.22472859166351</v>
      </c>
      <c r="S86" s="4">
        <f ca="1">_xll.DBRW($B$1,$B$2,$B$7,$B$3,$B$4,$B$5,$F86,$B$6,S$10,$A86,$B86)</f>
        <v>380.23775081673199</v>
      </c>
      <c r="T86" s="4">
        <f ca="1">_xll.DBRW($B$1,$B$2,$B$7,$B$3,$B$4,$B$5,$F86,$B$6,T$10,$A86,$B86)</f>
        <v>412.5932672161573</v>
      </c>
      <c r="U86" s="4">
        <f ca="1">_xll.DBRW($B$1,$B$2,$B$7,$B$3,$B$4,$B$5,$F86,$B$6,U$10,$A86,$B86)</f>
        <v>381.46081064573247</v>
      </c>
      <c r="V86" s="4">
        <f ca="1">_xll.DBRW($B$1,$B$2,$B$7,$B$3,$B$4,$B$5,$F86,$B$6,V$10,$A86,$B86)</f>
        <v>415.26189209267147</v>
      </c>
      <c r="W86" s="4">
        <f ca="1">_xll.DBRW($B$1,$B$2,$B$7,$B$3,$B$4,$B$5,$F86,$B$6,W$10,$A86,$B86)</f>
        <v>302.8372750659521</v>
      </c>
      <c r="X86" s="4">
        <f ca="1">_xll.DBRW($B$1,$B$2,$B$7,$B$3,$B$4,$B$5,$F86,$B$6,X$10,$A86,$B86)</f>
        <v>297.3824061597179</v>
      </c>
      <c r="Y86" s="4">
        <f ca="1">_xll.DBRW($B$1,$B$2,$B$7,$B$3,$B$4,$B$5,$F86,$B$6,Y$10,$A86,$B86)</f>
        <v>261.75539161883944</v>
      </c>
      <c r="Z86" s="4">
        <f ca="1">_xll.DBRW($B$1,$B$2,$B$7,$B$3,$B$4,$B$5,$F86,$B$6,Z$10,$A86,$B86)</f>
        <v>297.47536589270021</v>
      </c>
      <c r="AA86" s="4">
        <f ca="1">_xll.DBRW($B$1,$B$2,$B$7,$B$3,$B$4,$B$5,$F86,$B$6,AA$10,$A86,$B86)</f>
        <v>294.78916084008443</v>
      </c>
      <c r="AB86" s="4">
        <f ca="1">_xll.DBRW($B$1,$B$2,$B$7,$B$3,$B$4,$B$5,$F86,$B$6,AB$10,$A86,$B86)</f>
        <v>284.45085442572719</v>
      </c>
      <c r="AC86" s="4">
        <f ca="1">_xll.DBRW($B$1,$B$2,$B$7,$B$3,$B$4,$B$5,$F86,$B$6,AC$10,$A86,$B86)</f>
        <v>385.33976687821882</v>
      </c>
      <c r="AD86" s="4">
        <f ca="1">_xll.DBRW($B$1,$B$2,$B$7,$B$3,$B$4,$B$5,$F86,$B$6,AD$10,$A86,$B86)</f>
        <v>365.86817478648055</v>
      </c>
      <c r="AE86" s="4">
        <f ca="1">_xll.DBRW($B$1,$B$2,$B$7,$B$3,$B$4,$B$5,$F86,$B$6,AE$10,$A86,$B86)</f>
        <v>356.88657723842601</v>
      </c>
    </row>
    <row r="87" spans="1:31">
      <c r="A87" s="1" t="s">
        <v>151</v>
      </c>
      <c r="B87" s="5" t="s">
        <v>237</v>
      </c>
      <c r="C87" s="5" t="s">
        <v>238</v>
      </c>
      <c r="D87" s="5" t="s">
        <v>21</v>
      </c>
      <c r="E87" s="5" t="s">
        <v>239</v>
      </c>
      <c r="F87" s="5" t="s">
        <v>22</v>
      </c>
      <c r="G87" s="6"/>
      <c r="H87" s="6"/>
      <c r="I87" s="6"/>
      <c r="J87" s="6"/>
      <c r="K87" s="6"/>
      <c r="L87" s="4">
        <f ca="1">_xll.DBRW($B$1,$B$2,$B$7,$B$3,$B$4,$B$5,$F87,$B$6,L$10,$A87,$B87)</f>
        <v>0</v>
      </c>
      <c r="M87" s="4">
        <f ca="1">_xll.DBRW($B$1,$B$2,$B$7,$B$3,$B$4,$B$5,$F87,$B$6,M$10,$A87,$B87)</f>
        <v>0</v>
      </c>
      <c r="N87" s="4">
        <f ca="1">_xll.DBRW($B$1,$B$2,$B$7,$B$3,$B$4,$B$5,$F87,$B$6,N$10,$A87,$B87)</f>
        <v>0</v>
      </c>
      <c r="O87" s="4">
        <f ca="1">_xll.DBRW($B$1,$B$2,$B$7,$B$3,$B$4,$B$5,$F87,$B$6,O$10,$A87,$B87)</f>
        <v>0</v>
      </c>
      <c r="P87" s="4">
        <f ca="1">_xll.DBRW($B$1,$B$2,$B$7,$B$3,$B$4,$B$5,$F87,$B$6,P$10,$A87,$B87)</f>
        <v>0</v>
      </c>
      <c r="Q87" s="4">
        <f ca="1">_xll.DBRW($B$1,$B$2,$B$7,$B$3,$B$4,$B$5,$F87,$B$6,Q$10,$A87,$B87)</f>
        <v>0</v>
      </c>
      <c r="R87" s="4">
        <f ca="1">_xll.DBRW($B$1,$B$2,$B$7,$B$3,$B$4,$B$5,$F87,$B$6,R$10,$A87,$B87)</f>
        <v>0</v>
      </c>
      <c r="S87" s="4">
        <f ca="1">_xll.DBRW($B$1,$B$2,$B$7,$B$3,$B$4,$B$5,$F87,$B$6,S$10,$A87,$B87)</f>
        <v>0</v>
      </c>
      <c r="T87" s="4">
        <f ca="1">_xll.DBRW($B$1,$B$2,$B$7,$B$3,$B$4,$B$5,$F87,$B$6,T$10,$A87,$B87)</f>
        <v>0</v>
      </c>
      <c r="U87" s="4">
        <f ca="1">_xll.DBRW($B$1,$B$2,$B$7,$B$3,$B$4,$B$5,$F87,$B$6,U$10,$A87,$B87)</f>
        <v>0</v>
      </c>
      <c r="V87" s="4">
        <f ca="1">_xll.DBRW($B$1,$B$2,$B$7,$B$3,$B$4,$B$5,$F87,$B$6,V$10,$A87,$B87)</f>
        <v>50.200090701124765</v>
      </c>
      <c r="W87" s="4">
        <f ca="1">_xll.DBRW($B$1,$B$2,$B$7,$B$3,$B$4,$B$5,$F87,$B$6,W$10,$A87,$B87)</f>
        <v>857.51151914020227</v>
      </c>
      <c r="X87" s="4">
        <f ca="1">_xll.DBRW($B$1,$B$2,$B$7,$B$3,$B$4,$B$5,$F87,$B$6,X$10,$A87,$B87)</f>
        <v>946.07038159998126</v>
      </c>
      <c r="Y87" s="4">
        <f ca="1">_xll.DBRW($B$1,$B$2,$B$7,$B$3,$B$4,$B$5,$F87,$B$6,Y$10,$A87,$B87)</f>
        <v>919.06422186851228</v>
      </c>
      <c r="Z87" s="4">
        <f ca="1">_xll.DBRW($B$1,$B$2,$B$7,$B$3,$B$4,$B$5,$F87,$B$6,Z$10,$A87,$B87)</f>
        <v>903.81901876550432</v>
      </c>
      <c r="AA87" s="4">
        <f ca="1">_xll.DBRW($B$1,$B$2,$B$7,$B$3,$B$4,$B$5,$F87,$B$6,AA$10,$A87,$B87)</f>
        <v>764.66603530904183</v>
      </c>
      <c r="AB87" s="4">
        <f ca="1">_xll.DBRW($B$1,$B$2,$B$7,$B$3,$B$4,$B$5,$F87,$B$6,AB$10,$A87,$B87)</f>
        <v>886.91747419238141</v>
      </c>
      <c r="AC87" s="4">
        <f ca="1">_xll.DBRW($B$1,$B$2,$B$7,$B$3,$B$4,$B$5,$F87,$B$6,AC$10,$A87,$B87)</f>
        <v>960.22356892746564</v>
      </c>
      <c r="AD87" s="4">
        <f ca="1">_xll.DBRW($B$1,$B$2,$B$7,$B$3,$B$4,$B$5,$F87,$B$6,AD$10,$A87,$B87)</f>
        <v>859.84330172127352</v>
      </c>
      <c r="AE87" s="4">
        <f ca="1">_xll.DBRW($B$1,$B$2,$B$7,$B$3,$B$4,$B$5,$F87,$B$6,AE$10,$A87,$B87)</f>
        <v>754.50598446368042</v>
      </c>
    </row>
    <row r="88" spans="1:31">
      <c r="A88" s="1" t="s">
        <v>151</v>
      </c>
      <c r="B88" s="5" t="s">
        <v>240</v>
      </c>
      <c r="C88" s="5" t="s">
        <v>241</v>
      </c>
      <c r="D88" s="5" t="s">
        <v>239</v>
      </c>
      <c r="E88" s="5" t="s">
        <v>21</v>
      </c>
      <c r="F88" s="5" t="s">
        <v>22</v>
      </c>
      <c r="G88" s="6"/>
      <c r="H88" s="6"/>
      <c r="I88" s="6"/>
      <c r="J88" s="6"/>
      <c r="K88" s="6"/>
      <c r="L88" s="4">
        <f ca="1">_xll.DBRW($B$1,$B$2,$B$7,$B$3,$B$4,$B$5,$F88,$B$6,L$10,$A88,$B88)</f>
        <v>0</v>
      </c>
      <c r="M88" s="4">
        <f ca="1">_xll.DBRW($B$1,$B$2,$B$7,$B$3,$B$4,$B$5,$F88,$B$6,M$10,$A88,$B88)</f>
        <v>0</v>
      </c>
      <c r="N88" s="4">
        <f ca="1">_xll.DBRW($B$1,$B$2,$B$7,$B$3,$B$4,$B$5,$F88,$B$6,N$10,$A88,$B88)</f>
        <v>0</v>
      </c>
      <c r="O88" s="4">
        <f ca="1">_xll.DBRW($B$1,$B$2,$B$7,$B$3,$B$4,$B$5,$F88,$B$6,O$10,$A88,$B88)</f>
        <v>0</v>
      </c>
      <c r="P88" s="4">
        <f ca="1">_xll.DBRW($B$1,$B$2,$B$7,$B$3,$B$4,$B$5,$F88,$B$6,P$10,$A88,$B88)</f>
        <v>0</v>
      </c>
      <c r="Q88" s="4">
        <f ca="1">_xll.DBRW($B$1,$B$2,$B$7,$B$3,$B$4,$B$5,$F88,$B$6,Q$10,$A88,$B88)</f>
        <v>0</v>
      </c>
      <c r="R88" s="4">
        <f ca="1">_xll.DBRW($B$1,$B$2,$B$7,$B$3,$B$4,$B$5,$F88,$B$6,R$10,$A88,$B88)</f>
        <v>0</v>
      </c>
      <c r="S88" s="4">
        <f ca="1">_xll.DBRW($B$1,$B$2,$B$7,$B$3,$B$4,$B$5,$F88,$B$6,S$10,$A88,$B88)</f>
        <v>0</v>
      </c>
      <c r="T88" s="4">
        <f ca="1">_xll.DBRW($B$1,$B$2,$B$7,$B$3,$B$4,$B$5,$F88,$B$6,T$10,$A88,$B88)</f>
        <v>0</v>
      </c>
      <c r="U88" s="4">
        <f ca="1">_xll.DBRW($B$1,$B$2,$B$7,$B$3,$B$4,$B$5,$F88,$B$6,U$10,$A88,$B88)</f>
        <v>0</v>
      </c>
      <c r="V88" s="4">
        <f ca="1">_xll.DBRW($B$1,$B$2,$B$7,$B$3,$B$4,$B$5,$F88,$B$6,V$10,$A88,$B88)</f>
        <v>50.200090701124765</v>
      </c>
      <c r="W88" s="4">
        <f ca="1">_xll.DBRW($B$1,$B$2,$B$7,$B$3,$B$4,$B$5,$F88,$B$6,W$10,$A88,$B88)</f>
        <v>857.51151914020227</v>
      </c>
      <c r="X88" s="4">
        <f ca="1">_xll.DBRW($B$1,$B$2,$B$7,$B$3,$B$4,$B$5,$F88,$B$6,X$10,$A88,$B88)</f>
        <v>946.07038159998126</v>
      </c>
      <c r="Y88" s="4">
        <f ca="1">_xll.DBRW($B$1,$B$2,$B$7,$B$3,$B$4,$B$5,$F88,$B$6,Y$10,$A88,$B88)</f>
        <v>919.06422186851228</v>
      </c>
      <c r="Z88" s="4">
        <f ca="1">_xll.DBRW($B$1,$B$2,$B$7,$B$3,$B$4,$B$5,$F88,$B$6,Z$10,$A88,$B88)</f>
        <v>903.81901876550432</v>
      </c>
      <c r="AA88" s="4">
        <f ca="1">_xll.DBRW($B$1,$B$2,$B$7,$B$3,$B$4,$B$5,$F88,$B$6,AA$10,$A88,$B88)</f>
        <v>764.66603530904183</v>
      </c>
      <c r="AB88" s="4">
        <f ca="1">_xll.DBRW($B$1,$B$2,$B$7,$B$3,$B$4,$B$5,$F88,$B$6,AB$10,$A88,$B88)</f>
        <v>886.91747419238141</v>
      </c>
      <c r="AC88" s="4">
        <f ca="1">_xll.DBRW($B$1,$B$2,$B$7,$B$3,$B$4,$B$5,$F88,$B$6,AC$10,$A88,$B88)</f>
        <v>929.24861509109576</v>
      </c>
      <c r="AD88" s="4">
        <f ca="1">_xll.DBRW($B$1,$B$2,$B$7,$B$3,$B$4,$B$5,$F88,$B$6,AD$10,$A88,$B88)</f>
        <v>859.84330172127352</v>
      </c>
      <c r="AE88" s="4">
        <f ca="1">_xll.DBRW($B$1,$B$2,$B$7,$B$3,$B$4,$B$5,$F88,$B$6,AE$10,$A88,$B88)</f>
        <v>730.16708173904556</v>
      </c>
    </row>
    <row r="89" spans="1:31">
      <c r="A89" s="1" t="s">
        <v>151</v>
      </c>
      <c r="B89" s="5" t="s">
        <v>242</v>
      </c>
      <c r="C89" s="5" t="s">
        <v>243</v>
      </c>
      <c r="D89" s="5" t="s">
        <v>21</v>
      </c>
      <c r="E89" s="5" t="s">
        <v>244</v>
      </c>
      <c r="F89" s="5" t="s">
        <v>22</v>
      </c>
      <c r="G89" s="6"/>
      <c r="H89" s="6"/>
      <c r="I89" s="6"/>
      <c r="J89" s="6"/>
      <c r="K89" s="6"/>
      <c r="L89" s="4">
        <f ca="1">_xll.DBRW($B$1,$B$2,$B$7,$B$3,$B$4,$B$5,$F89,$B$6,L$10,$A89,$B89)</f>
        <v>396.20692834859051</v>
      </c>
      <c r="M89" s="4">
        <f ca="1">_xll.DBRW($B$1,$B$2,$B$7,$B$3,$B$4,$B$5,$F89,$B$6,M$10,$A89,$B89)</f>
        <v>406.49248350147514</v>
      </c>
      <c r="N89" s="4">
        <f ca="1">_xll.DBRW($B$1,$B$2,$B$7,$B$3,$B$4,$B$5,$F89,$B$6,N$10,$A89,$B89)</f>
        <v>393.67602359707939</v>
      </c>
      <c r="O89" s="4">
        <f ca="1">_xll.DBRW($B$1,$B$2,$B$7,$B$3,$B$4,$B$5,$F89,$B$6,O$10,$A89,$B89)</f>
        <v>324.15510968285525</v>
      </c>
      <c r="P89" s="4">
        <f ca="1">_xll.DBRW($B$1,$B$2,$B$7,$B$3,$B$4,$B$5,$F89,$B$6,P$10,$A89,$B89)</f>
        <v>397.56889989102064</v>
      </c>
      <c r="Q89" s="4">
        <f ca="1">_xll.DBRW($B$1,$B$2,$B$7,$B$3,$B$4,$B$5,$F89,$B$6,Q$10,$A89,$B89)</f>
        <v>330.70026820006768</v>
      </c>
      <c r="R89" s="4">
        <f ca="1">_xll.DBRW($B$1,$B$2,$B$7,$B$3,$B$4,$B$5,$F89,$B$6,R$10,$A89,$B89)</f>
        <v>217.65773441686972</v>
      </c>
      <c r="S89" s="4">
        <f ca="1">_xll.DBRW($B$1,$B$2,$B$7,$B$3,$B$4,$B$5,$F89,$B$6,S$10,$A89,$B89)</f>
        <v>380.23775081673199</v>
      </c>
      <c r="T89" s="4">
        <f ca="1">_xll.DBRW($B$1,$B$2,$B$7,$B$3,$B$4,$B$5,$F89,$B$6,T$10,$A89,$B89)</f>
        <v>412.5932672161573</v>
      </c>
      <c r="U89" s="4">
        <f ca="1">_xll.DBRW($B$1,$B$2,$B$7,$B$3,$B$4,$B$5,$F89,$B$6,U$10,$A89,$B89)</f>
        <v>381.46081064573247</v>
      </c>
      <c r="V89" s="4">
        <f ca="1">_xll.DBRW($B$1,$B$2,$B$7,$B$3,$B$4,$B$5,$F89,$B$6,V$10,$A89,$B89)</f>
        <v>415.26189209267147</v>
      </c>
      <c r="W89" s="4">
        <f ca="1">_xll.DBRW($B$1,$B$2,$B$7,$B$3,$B$4,$B$5,$F89,$B$6,W$10,$A89,$B89)</f>
        <v>298.55688955265248</v>
      </c>
      <c r="X89" s="4">
        <f ca="1">_xll.DBRW($B$1,$B$2,$B$7,$B$3,$B$4,$B$5,$F89,$B$6,X$10,$A89,$B89)</f>
        <v>259.68604481552836</v>
      </c>
      <c r="Y89" s="4">
        <f ca="1">_xll.DBRW($B$1,$B$2,$B$7,$B$3,$B$4,$B$5,$F89,$B$6,Y$10,$A89,$B89)</f>
        <v>289.80061214942936</v>
      </c>
      <c r="Z89" s="4">
        <f ca="1">_xll.DBRW($B$1,$B$2,$B$7,$B$3,$B$4,$B$5,$F89,$B$6,Z$10,$A89,$B89)</f>
        <v>293.27076708149593</v>
      </c>
      <c r="AA89" s="4">
        <f ca="1">_xll.DBRW($B$1,$B$2,$B$7,$B$3,$B$4,$B$5,$F89,$B$6,AA$10,$A89,$B89)</f>
        <v>289.59921082529416</v>
      </c>
      <c r="AB89" s="4">
        <f ca="1">_xll.DBRW($B$1,$B$2,$B$7,$B$3,$B$4,$B$5,$F89,$B$6,AB$10,$A89,$B89)</f>
        <v>249.27142013279274</v>
      </c>
      <c r="AC89" s="4">
        <f ca="1">_xll.DBRW($B$1,$B$2,$B$7,$B$3,$B$4,$B$5,$F89,$B$6,AC$10,$A89,$B89)</f>
        <v>385.33976687821882</v>
      </c>
      <c r="AD89" s="4">
        <f ca="1">_xll.DBRW($B$1,$B$2,$B$7,$B$3,$B$4,$B$5,$F89,$B$6,AD$10,$A89,$B89)</f>
        <v>365.86817478648055</v>
      </c>
      <c r="AE89" s="4">
        <f ca="1">_xll.DBRW($B$1,$B$2,$B$7,$B$3,$B$4,$B$5,$F89,$B$6,AE$10,$A89,$B89)</f>
        <v>384.33939087215117</v>
      </c>
    </row>
    <row r="90" spans="1:31">
      <c r="A90" s="1" t="s">
        <v>151</v>
      </c>
      <c r="B90" s="5" t="s">
        <v>245</v>
      </c>
      <c r="C90" s="5" t="s">
        <v>246</v>
      </c>
      <c r="D90" s="5" t="s">
        <v>244</v>
      </c>
      <c r="E90" s="5" t="s">
        <v>21</v>
      </c>
      <c r="F90" s="5" t="s">
        <v>22</v>
      </c>
      <c r="G90" s="6"/>
      <c r="H90" s="6"/>
      <c r="I90" s="6"/>
      <c r="J90" s="6"/>
      <c r="K90" s="6"/>
      <c r="L90" s="4">
        <f ca="1">_xll.DBRW($B$1,$B$2,$B$7,$B$3,$B$4,$B$5,$F90,$B$6,L$10,$A90,$B90)</f>
        <v>396.20692834859051</v>
      </c>
      <c r="M90" s="4">
        <f ca="1">_xll.DBRW($B$1,$B$2,$B$7,$B$3,$B$4,$B$5,$F90,$B$6,M$10,$A90,$B90)</f>
        <v>406.49248350147514</v>
      </c>
      <c r="N90" s="4">
        <f ca="1">_xll.DBRW($B$1,$B$2,$B$7,$B$3,$B$4,$B$5,$F90,$B$6,N$10,$A90,$B90)</f>
        <v>393.67602359707939</v>
      </c>
      <c r="O90" s="4">
        <f ca="1">_xll.DBRW($B$1,$B$2,$B$7,$B$3,$B$4,$B$5,$F90,$B$6,O$10,$A90,$B90)</f>
        <v>324.15510968285525</v>
      </c>
      <c r="P90" s="4">
        <f ca="1">_xll.DBRW($B$1,$B$2,$B$7,$B$3,$B$4,$B$5,$F90,$B$6,P$10,$A90,$B90)</f>
        <v>397.56889989102064</v>
      </c>
      <c r="Q90" s="4">
        <f ca="1">_xll.DBRW($B$1,$B$2,$B$7,$B$3,$B$4,$B$5,$F90,$B$6,Q$10,$A90,$B90)</f>
        <v>330.70026820006768</v>
      </c>
      <c r="R90" s="4">
        <f ca="1">_xll.DBRW($B$1,$B$2,$B$7,$B$3,$B$4,$B$5,$F90,$B$6,R$10,$A90,$B90)</f>
        <v>217.65773441686972</v>
      </c>
      <c r="S90" s="4">
        <f ca="1">_xll.DBRW($B$1,$B$2,$B$7,$B$3,$B$4,$B$5,$F90,$B$6,S$10,$A90,$B90)</f>
        <v>380.23775081673199</v>
      </c>
      <c r="T90" s="4">
        <f ca="1">_xll.DBRW($B$1,$B$2,$B$7,$B$3,$B$4,$B$5,$F90,$B$6,T$10,$A90,$B90)</f>
        <v>412.5932672161573</v>
      </c>
      <c r="U90" s="4">
        <f ca="1">_xll.DBRW($B$1,$B$2,$B$7,$B$3,$B$4,$B$5,$F90,$B$6,U$10,$A90,$B90)</f>
        <v>381.46081064573247</v>
      </c>
      <c r="V90" s="4">
        <f ca="1">_xll.DBRW($B$1,$B$2,$B$7,$B$3,$B$4,$B$5,$F90,$B$6,V$10,$A90,$B90)</f>
        <v>415.26189209267147</v>
      </c>
      <c r="W90" s="4">
        <f ca="1">_xll.DBRW($B$1,$B$2,$B$7,$B$3,$B$4,$B$5,$F90,$B$6,W$10,$A90,$B90)</f>
        <v>298.55688955265248</v>
      </c>
      <c r="X90" s="4">
        <f ca="1">_xll.DBRW($B$1,$B$2,$B$7,$B$3,$B$4,$B$5,$F90,$B$6,X$10,$A90,$B90)</f>
        <v>259.68604481552836</v>
      </c>
      <c r="Y90" s="4">
        <f ca="1">_xll.DBRW($B$1,$B$2,$B$7,$B$3,$B$4,$B$5,$F90,$B$6,Y$10,$A90,$B90)</f>
        <v>289.80061214942936</v>
      </c>
      <c r="Z90" s="4">
        <f ca="1">_xll.DBRW($B$1,$B$2,$B$7,$B$3,$B$4,$B$5,$F90,$B$6,Z$10,$A90,$B90)</f>
        <v>293.27076708149593</v>
      </c>
      <c r="AA90" s="4">
        <f ca="1">_xll.DBRW($B$1,$B$2,$B$7,$B$3,$B$4,$B$5,$F90,$B$6,AA$10,$A90,$B90)</f>
        <v>289.59921082529416</v>
      </c>
      <c r="AB90" s="4">
        <f ca="1">_xll.DBRW($B$1,$B$2,$B$7,$B$3,$B$4,$B$5,$F90,$B$6,AB$10,$A90,$B90)</f>
        <v>249.27142013279274</v>
      </c>
      <c r="AC90" s="4">
        <f ca="1">_xll.DBRW($B$1,$B$2,$B$7,$B$3,$B$4,$B$5,$F90,$B$6,AC$10,$A90,$B90)</f>
        <v>385.33976687821882</v>
      </c>
      <c r="AD90" s="4">
        <f ca="1">_xll.DBRW($B$1,$B$2,$B$7,$B$3,$B$4,$B$5,$F90,$B$6,AD$10,$A90,$B90)</f>
        <v>365.86817478648055</v>
      </c>
      <c r="AE90" s="4">
        <f ca="1">_xll.DBRW($B$1,$B$2,$B$7,$B$3,$B$4,$B$5,$F90,$B$6,AE$10,$A90,$B90)</f>
        <v>384.33939087215117</v>
      </c>
    </row>
    <row r="91" spans="1:31">
      <c r="A91" s="1" t="s">
        <v>151</v>
      </c>
      <c r="B91" s="5" t="s">
        <v>247</v>
      </c>
      <c r="C91" s="5" t="s">
        <v>248</v>
      </c>
      <c r="D91" s="5" t="s">
        <v>21</v>
      </c>
      <c r="E91" s="5" t="s">
        <v>249</v>
      </c>
      <c r="F91" s="5" t="s">
        <v>22</v>
      </c>
      <c r="G91" s="6"/>
      <c r="H91" s="6"/>
      <c r="I91" s="6"/>
      <c r="J91" s="6"/>
      <c r="K91" s="6"/>
      <c r="L91" s="4">
        <f ca="1">_xll.DBRW($B$1,$B$2,$B$7,$B$3,$B$4,$B$5,$F91,$B$6,L$10,$A91,$B91)</f>
        <v>0</v>
      </c>
      <c r="M91" s="4">
        <f ca="1">_xll.DBRW($B$1,$B$2,$B$7,$B$3,$B$4,$B$5,$F91,$B$6,M$10,$A91,$B91)</f>
        <v>0</v>
      </c>
      <c r="N91" s="4">
        <f ca="1">_xll.DBRW($B$1,$B$2,$B$7,$B$3,$B$4,$B$5,$F91,$B$6,N$10,$A91,$B91)</f>
        <v>0</v>
      </c>
      <c r="O91" s="4">
        <f ca="1">_xll.DBRW($B$1,$B$2,$B$7,$B$3,$B$4,$B$5,$F91,$B$6,O$10,$A91,$B91)</f>
        <v>0</v>
      </c>
      <c r="P91" s="4">
        <f ca="1">_xll.DBRW($B$1,$B$2,$B$7,$B$3,$B$4,$B$5,$F91,$B$6,P$10,$A91,$B91)</f>
        <v>0</v>
      </c>
      <c r="Q91" s="4">
        <f ca="1">_xll.DBRW($B$1,$B$2,$B$7,$B$3,$B$4,$B$5,$F91,$B$6,Q$10,$A91,$B91)</f>
        <v>0</v>
      </c>
      <c r="R91" s="4">
        <f ca="1">_xll.DBRW($B$1,$B$2,$B$7,$B$3,$B$4,$B$5,$F91,$B$6,R$10,$A91,$B91)</f>
        <v>0</v>
      </c>
      <c r="S91" s="4">
        <f ca="1">_xll.DBRW($B$1,$B$2,$B$7,$B$3,$B$4,$B$5,$F91,$B$6,S$10,$A91,$B91)</f>
        <v>0</v>
      </c>
      <c r="T91" s="4">
        <f ca="1">_xll.DBRW($B$1,$B$2,$B$7,$B$3,$B$4,$B$5,$F91,$B$6,T$10,$A91,$B91)</f>
        <v>0</v>
      </c>
      <c r="U91" s="4">
        <f ca="1">_xll.DBRW($B$1,$B$2,$B$7,$B$3,$B$4,$B$5,$F91,$B$6,U$10,$A91,$B91)</f>
        <v>0</v>
      </c>
      <c r="V91" s="4">
        <f ca="1">_xll.DBRW($B$1,$B$2,$B$7,$B$3,$B$4,$B$5,$F91,$B$6,V$10,$A91,$B91)</f>
        <v>0</v>
      </c>
      <c r="W91" s="4">
        <f ca="1">_xll.DBRW($B$1,$B$2,$B$7,$B$3,$B$4,$B$5,$F91,$B$6,W$10,$A91,$B91)</f>
        <v>0</v>
      </c>
      <c r="X91" s="4">
        <f ca="1">_xll.DBRW($B$1,$B$2,$B$7,$B$3,$B$4,$B$5,$F91,$B$6,X$10,$A91,$B91)</f>
        <v>0</v>
      </c>
      <c r="Y91" s="4">
        <f ca="1">_xll.DBRW($B$1,$B$2,$B$7,$B$3,$B$4,$B$5,$F91,$B$6,Y$10,$A91,$B91)</f>
        <v>0</v>
      </c>
      <c r="Z91" s="4">
        <f ca="1">_xll.DBRW($B$1,$B$2,$B$7,$B$3,$B$4,$B$5,$F91,$B$6,Z$10,$A91,$B91)</f>
        <v>0</v>
      </c>
      <c r="AA91" s="4">
        <f ca="1">_xll.DBRW($B$1,$B$2,$B$7,$B$3,$B$4,$B$5,$F91,$B$6,AA$10,$A91,$B91)</f>
        <v>0</v>
      </c>
      <c r="AB91" s="4">
        <f ca="1">_xll.DBRW($B$1,$B$2,$B$7,$B$3,$B$4,$B$5,$F91,$B$6,AB$10,$A91,$B91)</f>
        <v>0</v>
      </c>
      <c r="AC91" s="4">
        <f ca="1">_xll.DBRW($B$1,$B$2,$B$7,$B$3,$B$4,$B$5,$F91,$B$6,AC$10,$A91,$B91)</f>
        <v>0</v>
      </c>
      <c r="AD91" s="4">
        <f ca="1">_xll.DBRW($B$1,$B$2,$B$7,$B$3,$B$4,$B$5,$F91,$B$6,AD$10,$A91,$B91)</f>
        <v>0</v>
      </c>
      <c r="AE91" s="4">
        <f ca="1">_xll.DBRW($B$1,$B$2,$B$7,$B$3,$B$4,$B$5,$F91,$B$6,AE$10,$A91,$B91)</f>
        <v>319.87269711939183</v>
      </c>
    </row>
    <row r="92" spans="1:31">
      <c r="A92" s="1" t="s">
        <v>151</v>
      </c>
      <c r="B92" s="5" t="s">
        <v>250</v>
      </c>
      <c r="C92" s="5" t="s">
        <v>251</v>
      </c>
      <c r="D92" s="5" t="s">
        <v>249</v>
      </c>
      <c r="E92" s="5" t="s">
        <v>21</v>
      </c>
      <c r="F92" s="5" t="s">
        <v>22</v>
      </c>
      <c r="G92" s="6"/>
      <c r="H92" s="6"/>
      <c r="I92" s="6"/>
      <c r="J92" s="6"/>
      <c r="K92" s="6"/>
      <c r="L92" s="4">
        <f ca="1">_xll.DBRW($B$1,$B$2,$B$7,$B$3,$B$4,$B$5,$F92,$B$6,L$10,$A92,$B92)</f>
        <v>0</v>
      </c>
      <c r="M92" s="4">
        <f ca="1">_xll.DBRW($B$1,$B$2,$B$7,$B$3,$B$4,$B$5,$F92,$B$6,M$10,$A92,$B92)</f>
        <v>0</v>
      </c>
      <c r="N92" s="4">
        <f ca="1">_xll.DBRW($B$1,$B$2,$B$7,$B$3,$B$4,$B$5,$F92,$B$6,N$10,$A92,$B92)</f>
        <v>0</v>
      </c>
      <c r="O92" s="4">
        <f ca="1">_xll.DBRW($B$1,$B$2,$B$7,$B$3,$B$4,$B$5,$F92,$B$6,O$10,$A92,$B92)</f>
        <v>0</v>
      </c>
      <c r="P92" s="4">
        <f ca="1">_xll.DBRW($B$1,$B$2,$B$7,$B$3,$B$4,$B$5,$F92,$B$6,P$10,$A92,$B92)</f>
        <v>0</v>
      </c>
      <c r="Q92" s="4">
        <f ca="1">_xll.DBRW($B$1,$B$2,$B$7,$B$3,$B$4,$B$5,$F92,$B$6,Q$10,$A92,$B92)</f>
        <v>0</v>
      </c>
      <c r="R92" s="4">
        <f ca="1">_xll.DBRW($B$1,$B$2,$B$7,$B$3,$B$4,$B$5,$F92,$B$6,R$10,$A92,$B92)</f>
        <v>0</v>
      </c>
      <c r="S92" s="4">
        <f ca="1">_xll.DBRW($B$1,$B$2,$B$7,$B$3,$B$4,$B$5,$F92,$B$6,S$10,$A92,$B92)</f>
        <v>0</v>
      </c>
      <c r="T92" s="4">
        <f ca="1">_xll.DBRW($B$1,$B$2,$B$7,$B$3,$B$4,$B$5,$F92,$B$6,T$10,$A92,$B92)</f>
        <v>0</v>
      </c>
      <c r="U92" s="4">
        <f ca="1">_xll.DBRW($B$1,$B$2,$B$7,$B$3,$B$4,$B$5,$F92,$B$6,U$10,$A92,$B92)</f>
        <v>0</v>
      </c>
      <c r="V92" s="4">
        <f ca="1">_xll.DBRW($B$1,$B$2,$B$7,$B$3,$B$4,$B$5,$F92,$B$6,V$10,$A92,$B92)</f>
        <v>0</v>
      </c>
      <c r="W92" s="4">
        <f ca="1">_xll.DBRW($B$1,$B$2,$B$7,$B$3,$B$4,$B$5,$F92,$B$6,W$10,$A92,$B92)</f>
        <v>0</v>
      </c>
      <c r="X92" s="4">
        <f ca="1">_xll.DBRW($B$1,$B$2,$B$7,$B$3,$B$4,$B$5,$F92,$B$6,X$10,$A92,$B92)</f>
        <v>0</v>
      </c>
      <c r="Y92" s="4">
        <f ca="1">_xll.DBRW($B$1,$B$2,$B$7,$B$3,$B$4,$B$5,$F92,$B$6,Y$10,$A92,$B92)</f>
        <v>0</v>
      </c>
      <c r="Z92" s="4">
        <f ca="1">_xll.DBRW($B$1,$B$2,$B$7,$B$3,$B$4,$B$5,$F92,$B$6,Z$10,$A92,$B92)</f>
        <v>0</v>
      </c>
      <c r="AA92" s="4">
        <f ca="1">_xll.DBRW($B$1,$B$2,$B$7,$B$3,$B$4,$B$5,$F92,$B$6,AA$10,$A92,$B92)</f>
        <v>0</v>
      </c>
      <c r="AB92" s="4">
        <f ca="1">_xll.DBRW($B$1,$B$2,$B$7,$B$3,$B$4,$B$5,$F92,$B$6,AB$10,$A92,$B92)</f>
        <v>0</v>
      </c>
      <c r="AC92" s="4">
        <f ca="1">_xll.DBRW($B$1,$B$2,$B$7,$B$3,$B$4,$B$5,$F92,$B$6,AC$10,$A92,$B92)</f>
        <v>0</v>
      </c>
      <c r="AD92" s="4">
        <f ca="1">_xll.DBRW($B$1,$B$2,$B$7,$B$3,$B$4,$B$5,$F92,$B$6,AD$10,$A92,$B92)</f>
        <v>0</v>
      </c>
      <c r="AE92" s="4">
        <f ca="1">_xll.DBRW($B$1,$B$2,$B$7,$B$3,$B$4,$B$5,$F92,$B$6,AE$10,$A92,$B92)</f>
        <v>319.87269711939183</v>
      </c>
    </row>
    <row r="93" spans="1:31">
      <c r="A93" s="1" t="s">
        <v>151</v>
      </c>
      <c r="B93" s="5" t="s">
        <v>252</v>
      </c>
      <c r="C93" s="5" t="s">
        <v>226</v>
      </c>
      <c r="D93" s="5" t="s">
        <v>21</v>
      </c>
      <c r="E93" s="5" t="s">
        <v>227</v>
      </c>
      <c r="F93" s="5" t="s">
        <v>22</v>
      </c>
      <c r="G93" s="6"/>
      <c r="H93" s="6"/>
      <c r="I93" s="6"/>
      <c r="J93" s="6"/>
      <c r="K93" s="6"/>
      <c r="L93" s="4">
        <f ca="1">_xll.DBRW($B$1,$B$2,$B$7,$B$3,$B$4,$B$5,$F93,$B$6,L$10,$A93,$B93)</f>
        <v>155.00899678154121</v>
      </c>
      <c r="M93" s="4">
        <f ca="1">_xll.DBRW($B$1,$B$2,$B$7,$B$3,$B$4,$B$5,$F93,$B$6,M$10,$A93,$B93)</f>
        <v>0</v>
      </c>
      <c r="N93" s="4">
        <f ca="1">_xll.DBRW($B$1,$B$2,$B$7,$B$3,$B$4,$B$5,$F93,$B$6,N$10,$A93,$B93)</f>
        <v>0</v>
      </c>
      <c r="O93" s="4">
        <f ca="1">_xll.DBRW($B$1,$B$2,$B$7,$B$3,$B$4,$B$5,$F93,$B$6,O$10,$A93,$B93)</f>
        <v>0</v>
      </c>
      <c r="P93" s="4">
        <f ca="1">_xll.DBRW($B$1,$B$2,$B$7,$B$3,$B$4,$B$5,$F93,$B$6,P$10,$A93,$B93)</f>
        <v>0</v>
      </c>
      <c r="Q93" s="4">
        <f ca="1">_xll.DBRW($B$1,$B$2,$B$7,$B$3,$B$4,$B$5,$F93,$B$6,Q$10,$A93,$B93)</f>
        <v>0</v>
      </c>
      <c r="R93" s="4">
        <f ca="1">_xll.DBRW($B$1,$B$2,$B$7,$B$3,$B$4,$B$5,$F93,$B$6,R$10,$A93,$B93)</f>
        <v>0</v>
      </c>
      <c r="S93" s="4">
        <f ca="1">_xll.DBRW($B$1,$B$2,$B$7,$B$3,$B$4,$B$5,$F93,$B$6,S$10,$A93,$B93)</f>
        <v>333.68658499983064</v>
      </c>
      <c r="T93" s="4">
        <f ca="1">_xll.DBRW($B$1,$B$2,$B$7,$B$3,$B$4,$B$5,$F93,$B$6,T$10,$A93,$B93)</f>
        <v>425.3125752813267</v>
      </c>
      <c r="U93" s="4">
        <f ca="1">_xll.DBRW($B$1,$B$2,$B$7,$B$3,$B$4,$B$5,$F93,$B$6,U$10,$A93,$B93)</f>
        <v>389.20162794452699</v>
      </c>
      <c r="V93" s="4">
        <f ca="1">_xll.DBRW($B$1,$B$2,$B$7,$B$3,$B$4,$B$5,$F93,$B$6,V$10,$A93,$B93)</f>
        <v>354.78708434869935</v>
      </c>
      <c r="W93" s="4">
        <f ca="1">_xll.DBRW($B$1,$B$2,$B$7,$B$3,$B$4,$B$5,$F93,$B$6,W$10,$A93,$B93)</f>
        <v>0</v>
      </c>
      <c r="X93" s="4">
        <f ca="1">_xll.DBRW($B$1,$B$2,$B$7,$B$3,$B$4,$B$5,$F93,$B$6,X$10,$A93,$B93)</f>
        <v>0</v>
      </c>
      <c r="Y93" s="4">
        <f ca="1">_xll.DBRW($B$1,$B$2,$B$7,$B$3,$B$4,$B$5,$F93,$B$6,Y$10,$A93,$B93)</f>
        <v>0</v>
      </c>
      <c r="Z93" s="4">
        <f ca="1">_xll.DBRW($B$1,$B$2,$B$7,$B$3,$B$4,$B$5,$F93,$B$6,Z$10,$A93,$B93)</f>
        <v>0</v>
      </c>
      <c r="AA93" s="4">
        <f ca="1">_xll.DBRW($B$1,$B$2,$B$7,$B$3,$B$4,$B$5,$F93,$B$6,AA$10,$A93,$B93)</f>
        <v>0</v>
      </c>
      <c r="AB93" s="4">
        <f ca="1">_xll.DBRW($B$1,$B$2,$B$7,$B$3,$B$4,$B$5,$F93,$B$6,AB$10,$A93,$B93)</f>
        <v>0</v>
      </c>
      <c r="AC93" s="4">
        <f ca="1">_xll.DBRW($B$1,$B$2,$B$7,$B$3,$B$4,$B$5,$F93,$B$6,AC$10,$A93,$B93)</f>
        <v>43.594171632993564</v>
      </c>
      <c r="AD93" s="4">
        <f ca="1">_xll.DBRW($B$1,$B$2,$B$7,$B$3,$B$4,$B$5,$F93,$B$6,AD$10,$A93,$B93)</f>
        <v>303.70446721385906</v>
      </c>
      <c r="AE93" s="4">
        <f ca="1">_xll.DBRW($B$1,$B$2,$B$7,$B$3,$B$4,$B$5,$F93,$B$6,AE$10,$A93,$B93)</f>
        <v>312.19185830232527</v>
      </c>
    </row>
    <row r="94" spans="1:31">
      <c r="A94" s="1" t="s">
        <v>151</v>
      </c>
      <c r="B94" s="5" t="s">
        <v>253</v>
      </c>
      <c r="C94" s="5" t="s">
        <v>229</v>
      </c>
      <c r="D94" s="5" t="s">
        <v>227</v>
      </c>
      <c r="E94" s="5" t="s">
        <v>21</v>
      </c>
      <c r="F94" s="5" t="s">
        <v>22</v>
      </c>
      <c r="G94" s="6"/>
      <c r="H94" s="6"/>
      <c r="I94" s="6"/>
      <c r="J94" s="6"/>
      <c r="K94" s="6"/>
      <c r="L94" s="4">
        <f ca="1">_xll.DBRW($B$1,$B$2,$B$7,$B$3,$B$4,$B$5,$F94,$B$6,L$10,$A94,$B94)</f>
        <v>155.00899678154121</v>
      </c>
      <c r="M94" s="4">
        <f ca="1">_xll.DBRW($B$1,$B$2,$B$7,$B$3,$B$4,$B$5,$F94,$B$6,M$10,$A94,$B94)</f>
        <v>0</v>
      </c>
      <c r="N94" s="4">
        <f ca="1">_xll.DBRW($B$1,$B$2,$B$7,$B$3,$B$4,$B$5,$F94,$B$6,N$10,$A94,$B94)</f>
        <v>0</v>
      </c>
      <c r="O94" s="4">
        <f ca="1">_xll.DBRW($B$1,$B$2,$B$7,$B$3,$B$4,$B$5,$F94,$B$6,O$10,$A94,$B94)</f>
        <v>0</v>
      </c>
      <c r="P94" s="4">
        <f ca="1">_xll.DBRW($B$1,$B$2,$B$7,$B$3,$B$4,$B$5,$F94,$B$6,P$10,$A94,$B94)</f>
        <v>0</v>
      </c>
      <c r="Q94" s="4">
        <f ca="1">_xll.DBRW($B$1,$B$2,$B$7,$B$3,$B$4,$B$5,$F94,$B$6,Q$10,$A94,$B94)</f>
        <v>0</v>
      </c>
      <c r="R94" s="4">
        <f ca="1">_xll.DBRW($B$1,$B$2,$B$7,$B$3,$B$4,$B$5,$F94,$B$6,R$10,$A94,$B94)</f>
        <v>0</v>
      </c>
      <c r="S94" s="4">
        <f ca="1">_xll.DBRW($B$1,$B$2,$B$7,$B$3,$B$4,$B$5,$F94,$B$6,S$10,$A94,$B94)</f>
        <v>333.68658499983064</v>
      </c>
      <c r="T94" s="4">
        <f ca="1">_xll.DBRW($B$1,$B$2,$B$7,$B$3,$B$4,$B$5,$F94,$B$6,T$10,$A94,$B94)</f>
        <v>425.3125752813267</v>
      </c>
      <c r="U94" s="4">
        <f ca="1">_xll.DBRW($B$1,$B$2,$B$7,$B$3,$B$4,$B$5,$F94,$B$6,U$10,$A94,$B94)</f>
        <v>389.20162794452699</v>
      </c>
      <c r="V94" s="4">
        <f ca="1">_xll.DBRW($B$1,$B$2,$B$7,$B$3,$B$4,$B$5,$F94,$B$6,V$10,$A94,$B94)</f>
        <v>354.78708434869935</v>
      </c>
      <c r="W94" s="4">
        <f ca="1">_xll.DBRW($B$1,$B$2,$B$7,$B$3,$B$4,$B$5,$F94,$B$6,W$10,$A94,$B94)</f>
        <v>0</v>
      </c>
      <c r="X94" s="4">
        <f ca="1">_xll.DBRW($B$1,$B$2,$B$7,$B$3,$B$4,$B$5,$F94,$B$6,X$10,$A94,$B94)</f>
        <v>0</v>
      </c>
      <c r="Y94" s="4">
        <f ca="1">_xll.DBRW($B$1,$B$2,$B$7,$B$3,$B$4,$B$5,$F94,$B$6,Y$10,$A94,$B94)</f>
        <v>0</v>
      </c>
      <c r="Z94" s="4">
        <f ca="1">_xll.DBRW($B$1,$B$2,$B$7,$B$3,$B$4,$B$5,$F94,$B$6,Z$10,$A94,$B94)</f>
        <v>0</v>
      </c>
      <c r="AA94" s="4">
        <f ca="1">_xll.DBRW($B$1,$B$2,$B$7,$B$3,$B$4,$B$5,$F94,$B$6,AA$10,$A94,$B94)</f>
        <v>0</v>
      </c>
      <c r="AB94" s="4">
        <f ca="1">_xll.DBRW($B$1,$B$2,$B$7,$B$3,$B$4,$B$5,$F94,$B$6,AB$10,$A94,$B94)</f>
        <v>0</v>
      </c>
      <c r="AC94" s="4">
        <f ca="1">_xll.DBRW($B$1,$B$2,$B$7,$B$3,$B$4,$B$5,$F94,$B$6,AC$10,$A94,$B94)</f>
        <v>43.594171632993564</v>
      </c>
      <c r="AD94" s="4">
        <f ca="1">_xll.DBRW($B$1,$B$2,$B$7,$B$3,$B$4,$B$5,$F94,$B$6,AD$10,$A94,$B94)</f>
        <v>303.70446721385906</v>
      </c>
      <c r="AE94" s="4">
        <f ca="1">_xll.DBRW($B$1,$B$2,$B$7,$B$3,$B$4,$B$5,$F94,$B$6,AE$10,$A94,$B94)</f>
        <v>312.19185830232527</v>
      </c>
    </row>
    <row r="95" spans="1:31">
      <c r="A95" s="1" t="s">
        <v>151</v>
      </c>
      <c r="B95" s="5" t="s">
        <v>254</v>
      </c>
      <c r="C95" s="5" t="s">
        <v>255</v>
      </c>
      <c r="D95" s="5" t="s">
        <v>60</v>
      </c>
      <c r="E95" s="5" t="s">
        <v>59</v>
      </c>
      <c r="F95" s="5" t="s">
        <v>22</v>
      </c>
      <c r="G95" s="6"/>
      <c r="H95" s="6"/>
      <c r="I95" s="6"/>
      <c r="J95" s="6"/>
      <c r="K95" s="6"/>
      <c r="L95" s="4">
        <f ca="1">_xll.DBRW($B$1,$B$2,$B$7,$B$3,$B$4,$B$5,$F95,$B$6,L$10,$A95,$B95)</f>
        <v>121.78296685012309</v>
      </c>
      <c r="M95" s="4">
        <f ca="1">_xll.DBRW($B$1,$B$2,$B$7,$B$3,$B$4,$B$5,$F95,$B$6,M$10,$A95,$B95)</f>
        <v>103.96694262626211</v>
      </c>
      <c r="N95" s="4">
        <f ca="1">_xll.DBRW($B$1,$B$2,$B$7,$B$3,$B$4,$B$5,$F95,$B$6,N$10,$A95,$B95)</f>
        <v>137.61034809089838</v>
      </c>
      <c r="O95" s="4">
        <f ca="1">_xll.DBRW($B$1,$B$2,$B$7,$B$3,$B$4,$B$5,$F95,$B$6,O$10,$A95,$B95)</f>
        <v>111.99813973579856</v>
      </c>
      <c r="P95" s="4">
        <f ca="1">_xll.DBRW($B$1,$B$2,$B$7,$B$3,$B$4,$B$5,$F95,$B$6,P$10,$A95,$B95)</f>
        <v>120.78476880926895</v>
      </c>
      <c r="Q95" s="4">
        <f ca="1">_xll.DBRW($B$1,$B$2,$B$7,$B$3,$B$4,$B$5,$F95,$B$6,Q$10,$A95,$B95)</f>
        <v>114.14423812077712</v>
      </c>
      <c r="R95" s="4">
        <f ca="1">_xll.DBRW($B$1,$B$2,$B$7,$B$3,$B$4,$B$5,$F95,$B$6,R$10,$A95,$B95)</f>
        <v>0</v>
      </c>
      <c r="S95" s="4">
        <f ca="1">_xll.DBRW($B$1,$B$2,$B$7,$B$3,$B$4,$B$5,$F95,$B$6,S$10,$A95,$B95)</f>
        <v>0</v>
      </c>
      <c r="T95" s="4">
        <f ca="1">_xll.DBRW($B$1,$B$2,$B$7,$B$3,$B$4,$B$5,$F95,$B$6,T$10,$A95,$B95)</f>
        <v>0</v>
      </c>
      <c r="U95" s="4">
        <f ca="1">_xll.DBRW($B$1,$B$2,$B$7,$B$3,$B$4,$B$5,$F95,$B$6,U$10,$A95,$B95)</f>
        <v>0</v>
      </c>
      <c r="V95" s="4">
        <f ca="1">_xll.DBRW($B$1,$B$2,$B$7,$B$3,$B$4,$B$5,$F95,$B$6,V$10,$A95,$B95)</f>
        <v>0</v>
      </c>
      <c r="W95" s="4">
        <f ca="1">_xll.DBRW($B$1,$B$2,$B$7,$B$3,$B$4,$B$5,$F95,$B$6,W$10,$A95,$B95)</f>
        <v>107.49759103264994</v>
      </c>
      <c r="X95" s="4">
        <f ca="1">_xll.DBRW($B$1,$B$2,$B$7,$B$3,$B$4,$B$5,$F95,$B$6,X$10,$A95,$B95)</f>
        <v>114.72718396396479</v>
      </c>
      <c r="Y95" s="4">
        <f ca="1">_xll.DBRW($B$1,$B$2,$B$7,$B$3,$B$4,$B$5,$F95,$B$6,Y$10,$A95,$B95)</f>
        <v>118.95724038879729</v>
      </c>
      <c r="Z95" s="4">
        <f ca="1">_xll.DBRW($B$1,$B$2,$B$7,$B$3,$B$4,$B$5,$F95,$B$6,Z$10,$A95,$B95)</f>
        <v>151.45075547659923</v>
      </c>
      <c r="AA95" s="4">
        <f ca="1">_xll.DBRW($B$1,$B$2,$B$7,$B$3,$B$4,$B$5,$F95,$B$6,AA$10,$A95,$B95)</f>
        <v>154.07819170470424</v>
      </c>
      <c r="AB95" s="4">
        <f ca="1">_xll.DBRW($B$1,$B$2,$B$7,$B$3,$B$4,$B$5,$F95,$B$6,AB$10,$A95,$B95)</f>
        <v>135.95411598112923</v>
      </c>
      <c r="AC95" s="4">
        <f ca="1">_xll.DBRW($B$1,$B$2,$B$7,$B$3,$B$4,$B$5,$F95,$B$6,AC$10,$A95,$B95)</f>
        <v>134.26003602342661</v>
      </c>
      <c r="AD95" s="4">
        <f ca="1">_xll.DBRW($B$1,$B$2,$B$7,$B$3,$B$4,$B$5,$F95,$B$6,AD$10,$A95,$B95)</f>
        <v>0</v>
      </c>
      <c r="AE95" s="4">
        <f ca="1">_xll.DBRW($B$1,$B$2,$B$7,$B$3,$B$4,$B$5,$F95,$B$6,AE$10,$A95,$B95)</f>
        <v>0</v>
      </c>
    </row>
    <row r="96" spans="1:31">
      <c r="A96" s="1" t="s">
        <v>151</v>
      </c>
      <c r="B96" s="5" t="s">
        <v>57</v>
      </c>
      <c r="C96" s="5" t="s">
        <v>58</v>
      </c>
      <c r="D96" s="5" t="s">
        <v>59</v>
      </c>
      <c r="E96" s="5" t="s">
        <v>60</v>
      </c>
      <c r="F96" s="5" t="s">
        <v>22</v>
      </c>
      <c r="G96" s="6"/>
      <c r="H96" s="6"/>
      <c r="I96" s="6"/>
      <c r="J96" s="6"/>
      <c r="K96" s="6"/>
      <c r="L96" s="4">
        <f ca="1">_xll.DBRW($B$1,$B$2,$B$7,$B$3,$B$4,$B$5,$F96,$B$6,L$10,$A96,$B96)</f>
        <v>121.78296685012309</v>
      </c>
      <c r="M96" s="4">
        <f ca="1">_xll.DBRW($B$1,$B$2,$B$7,$B$3,$B$4,$B$5,$F96,$B$6,M$10,$A96,$B96)</f>
        <v>92.415060112232993</v>
      </c>
      <c r="N96" s="4">
        <f ca="1">_xll.DBRW($B$1,$B$2,$B$7,$B$3,$B$4,$B$5,$F96,$B$6,N$10,$A96,$B96)</f>
        <v>137.61034809089838</v>
      </c>
      <c r="O96" s="4">
        <f ca="1">_xll.DBRW($B$1,$B$2,$B$7,$B$3,$B$4,$B$5,$F96,$B$6,O$10,$A96,$B96)</f>
        <v>111.99813973579856</v>
      </c>
      <c r="P96" s="4">
        <f ca="1">_xll.DBRW($B$1,$B$2,$B$7,$B$3,$B$4,$B$5,$F96,$B$6,P$10,$A96,$B96)</f>
        <v>120.78476880926895</v>
      </c>
      <c r="Q96" s="4">
        <f ca="1">_xll.DBRW($B$1,$B$2,$B$7,$B$3,$B$4,$B$5,$F96,$B$6,Q$10,$A96,$B96)</f>
        <v>114.14423812077712</v>
      </c>
      <c r="R96" s="4">
        <f ca="1">_xll.DBRW($B$1,$B$2,$B$7,$B$3,$B$4,$B$5,$F96,$B$6,R$10,$A96,$B96)</f>
        <v>0</v>
      </c>
      <c r="S96" s="4">
        <f ca="1">_xll.DBRW($B$1,$B$2,$B$7,$B$3,$B$4,$B$5,$F96,$B$6,S$10,$A96,$B96)</f>
        <v>0</v>
      </c>
      <c r="T96" s="4">
        <f ca="1">_xll.DBRW($B$1,$B$2,$B$7,$B$3,$B$4,$B$5,$F96,$B$6,T$10,$A96,$B96)</f>
        <v>0</v>
      </c>
      <c r="U96" s="4">
        <f ca="1">_xll.DBRW($B$1,$B$2,$B$7,$B$3,$B$4,$B$5,$F96,$B$6,U$10,$A96,$B96)</f>
        <v>0</v>
      </c>
      <c r="V96" s="4">
        <f ca="1">_xll.DBRW($B$1,$B$2,$B$7,$B$3,$B$4,$B$5,$F96,$B$6,V$10,$A96,$B96)</f>
        <v>0</v>
      </c>
      <c r="W96" s="4">
        <f ca="1">_xll.DBRW($B$1,$B$2,$B$7,$B$3,$B$4,$B$5,$F96,$B$6,W$10,$A96,$B96)</f>
        <v>107.49759103264994</v>
      </c>
      <c r="X96" s="4">
        <f ca="1">_xll.DBRW($B$1,$B$2,$B$7,$B$3,$B$4,$B$5,$F96,$B$6,X$10,$A96,$B96)</f>
        <v>114.72718396396479</v>
      </c>
      <c r="Y96" s="4">
        <f ca="1">_xll.DBRW($B$1,$B$2,$B$7,$B$3,$B$4,$B$5,$F96,$B$6,Y$10,$A96,$B96)</f>
        <v>118.95724038879729</v>
      </c>
      <c r="Z96" s="4">
        <f ca="1">_xll.DBRW($B$1,$B$2,$B$7,$B$3,$B$4,$B$5,$F96,$B$6,Z$10,$A96,$B96)</f>
        <v>151.45075547659923</v>
      </c>
      <c r="AA96" s="4">
        <f ca="1">_xll.DBRW($B$1,$B$2,$B$7,$B$3,$B$4,$B$5,$F96,$B$6,AA$10,$A96,$B96)</f>
        <v>154.07819170470424</v>
      </c>
      <c r="AB96" s="4">
        <f ca="1">_xll.DBRW($B$1,$B$2,$B$7,$B$3,$B$4,$B$5,$F96,$B$6,AB$10,$A96,$B96)</f>
        <v>152.94838047877039</v>
      </c>
      <c r="AC96" s="4">
        <f ca="1">_xll.DBRW($B$1,$B$2,$B$7,$B$3,$B$4,$B$5,$F96,$B$6,AC$10,$A96,$B96)</f>
        <v>117.47753152049827</v>
      </c>
      <c r="AD96" s="4">
        <f ca="1">_xll.DBRW($B$1,$B$2,$B$7,$B$3,$B$4,$B$5,$F96,$B$6,AD$10,$A96,$B96)</f>
        <v>0</v>
      </c>
      <c r="AE96" s="4">
        <f ca="1">_xll.DBRW($B$1,$B$2,$B$7,$B$3,$B$4,$B$5,$F96,$B$6,AE$10,$A96,$B96)</f>
        <v>0</v>
      </c>
    </row>
    <row r="97" spans="1:31">
      <c r="A97" s="1" t="s">
        <v>151</v>
      </c>
      <c r="B97" s="5" t="s">
        <v>256</v>
      </c>
      <c r="C97" s="5" t="s">
        <v>206</v>
      </c>
      <c r="D97" s="5" t="s">
        <v>21</v>
      </c>
      <c r="E97" s="5" t="s">
        <v>181</v>
      </c>
      <c r="F97" s="5" t="s">
        <v>22</v>
      </c>
      <c r="G97" s="6"/>
      <c r="H97" s="6"/>
      <c r="I97" s="6"/>
      <c r="J97" s="6"/>
      <c r="K97" s="6"/>
      <c r="L97" s="4">
        <f ca="1">_xll.DBRW($B$1,$B$2,$B$7,$B$3,$B$4,$B$5,$F97,$B$6,L$10,$A97,$B97)</f>
        <v>0</v>
      </c>
      <c r="M97" s="4">
        <f ca="1">_xll.DBRW($B$1,$B$2,$B$7,$B$3,$B$4,$B$5,$F97,$B$6,M$10,$A97,$B97)</f>
        <v>0</v>
      </c>
      <c r="N97" s="4">
        <f ca="1">_xll.DBRW($B$1,$B$2,$B$7,$B$3,$B$4,$B$5,$F97,$B$6,N$10,$A97,$B97)</f>
        <v>0</v>
      </c>
      <c r="O97" s="4">
        <f ca="1">_xll.DBRW($B$1,$B$2,$B$7,$B$3,$B$4,$B$5,$F97,$B$6,O$10,$A97,$B97)</f>
        <v>0</v>
      </c>
      <c r="P97" s="4">
        <f ca="1">_xll.DBRW($B$1,$B$2,$B$7,$B$3,$B$4,$B$5,$F97,$B$6,P$10,$A97,$B97)</f>
        <v>0</v>
      </c>
      <c r="Q97" s="4">
        <f ca="1">_xll.DBRW($B$1,$B$2,$B$7,$B$3,$B$4,$B$5,$F97,$B$6,Q$10,$A97,$B97)</f>
        <v>0</v>
      </c>
      <c r="R97" s="4">
        <f ca="1">_xll.DBRW($B$1,$B$2,$B$7,$B$3,$B$4,$B$5,$F97,$B$6,R$10,$A97,$B97)</f>
        <v>0</v>
      </c>
      <c r="S97" s="4">
        <f ca="1">_xll.DBRW($B$1,$B$2,$B$7,$B$3,$B$4,$B$5,$F97,$B$6,S$10,$A97,$B97)</f>
        <v>0</v>
      </c>
      <c r="T97" s="4">
        <f ca="1">_xll.DBRW($B$1,$B$2,$B$7,$B$3,$B$4,$B$5,$F97,$B$6,T$10,$A97,$B97)</f>
        <v>0</v>
      </c>
      <c r="U97" s="4">
        <f ca="1">_xll.DBRW($B$1,$B$2,$B$7,$B$3,$B$4,$B$5,$F97,$B$6,U$10,$A97,$B97)</f>
        <v>0</v>
      </c>
      <c r="V97" s="4">
        <f ca="1">_xll.DBRW($B$1,$B$2,$B$7,$B$3,$B$4,$B$5,$F97,$B$6,V$10,$A97,$B97)</f>
        <v>0</v>
      </c>
      <c r="W97" s="4">
        <f ca="1">_xll.DBRW($B$1,$B$2,$B$7,$B$3,$B$4,$B$5,$F97,$B$6,W$10,$A97,$B97)</f>
        <v>0</v>
      </c>
      <c r="X97" s="4">
        <f ca="1">_xll.DBRW($B$1,$B$2,$B$7,$B$3,$B$4,$B$5,$F97,$B$6,X$10,$A97,$B97)</f>
        <v>0</v>
      </c>
      <c r="Y97" s="4">
        <f ca="1">_xll.DBRW($B$1,$B$2,$B$7,$B$3,$B$4,$B$5,$F97,$B$6,Y$10,$A97,$B97)</f>
        <v>0</v>
      </c>
      <c r="Z97" s="4">
        <f ca="1">_xll.DBRW($B$1,$B$2,$B$7,$B$3,$B$4,$B$5,$F97,$B$6,Z$10,$A97,$B97)</f>
        <v>0</v>
      </c>
      <c r="AA97" s="4">
        <f ca="1">_xll.DBRW($B$1,$B$2,$B$7,$B$3,$B$4,$B$5,$F97,$B$6,AA$10,$A97,$B97)</f>
        <v>0</v>
      </c>
      <c r="AB97" s="4">
        <f ca="1">_xll.DBRW($B$1,$B$2,$B$7,$B$3,$B$4,$B$5,$F97,$B$6,AB$10,$A97,$B97)</f>
        <v>0</v>
      </c>
      <c r="AC97" s="4">
        <f ca="1">_xll.DBRW($B$1,$B$2,$B$7,$B$3,$B$4,$B$5,$F97,$B$6,AC$10,$A97,$B97)</f>
        <v>0</v>
      </c>
      <c r="AD97" s="4">
        <f ca="1">_xll.DBRW($B$1,$B$2,$B$7,$B$3,$B$4,$B$5,$F97,$B$6,AD$10,$A97,$B97)</f>
        <v>0</v>
      </c>
      <c r="AE97" s="4">
        <f ca="1">_xll.DBRW($B$1,$B$2,$B$7,$B$3,$B$4,$B$5,$F97,$B$6,AE$10,$A97,$B97)</f>
        <v>0</v>
      </c>
    </row>
    <row r="98" spans="1:31">
      <c r="A98" s="1" t="s">
        <v>151</v>
      </c>
      <c r="B98" s="5" t="s">
        <v>257</v>
      </c>
      <c r="C98" s="5" t="s">
        <v>208</v>
      </c>
      <c r="D98" s="5" t="s">
        <v>181</v>
      </c>
      <c r="E98" s="5" t="s">
        <v>21</v>
      </c>
      <c r="F98" s="5" t="s">
        <v>22</v>
      </c>
      <c r="G98" s="6"/>
      <c r="H98" s="6"/>
      <c r="I98" s="6"/>
      <c r="J98" s="6"/>
      <c r="K98" s="6"/>
      <c r="L98" s="4">
        <f ca="1">_xll.DBRW($B$1,$B$2,$B$7,$B$3,$B$4,$B$5,$F98,$B$6,L$10,$A98,$B98)</f>
        <v>0</v>
      </c>
      <c r="M98" s="4">
        <f ca="1">_xll.DBRW($B$1,$B$2,$B$7,$B$3,$B$4,$B$5,$F98,$B$6,M$10,$A98,$B98)</f>
        <v>0</v>
      </c>
      <c r="N98" s="4">
        <f ca="1">_xll.DBRW($B$1,$B$2,$B$7,$B$3,$B$4,$B$5,$F98,$B$6,N$10,$A98,$B98)</f>
        <v>0</v>
      </c>
      <c r="O98" s="4">
        <f ca="1">_xll.DBRW($B$1,$B$2,$B$7,$B$3,$B$4,$B$5,$F98,$B$6,O$10,$A98,$B98)</f>
        <v>0</v>
      </c>
      <c r="P98" s="4">
        <f ca="1">_xll.DBRW($B$1,$B$2,$B$7,$B$3,$B$4,$B$5,$F98,$B$6,P$10,$A98,$B98)</f>
        <v>0</v>
      </c>
      <c r="Q98" s="4">
        <f ca="1">_xll.DBRW($B$1,$B$2,$B$7,$B$3,$B$4,$B$5,$F98,$B$6,Q$10,$A98,$B98)</f>
        <v>0</v>
      </c>
      <c r="R98" s="4">
        <f ca="1">_xll.DBRW($B$1,$B$2,$B$7,$B$3,$B$4,$B$5,$F98,$B$6,R$10,$A98,$B98)</f>
        <v>0</v>
      </c>
      <c r="S98" s="4">
        <f ca="1">_xll.DBRW($B$1,$B$2,$B$7,$B$3,$B$4,$B$5,$F98,$B$6,S$10,$A98,$B98)</f>
        <v>0</v>
      </c>
      <c r="T98" s="4">
        <f ca="1">_xll.DBRW($B$1,$B$2,$B$7,$B$3,$B$4,$B$5,$F98,$B$6,T$10,$A98,$B98)</f>
        <v>0</v>
      </c>
      <c r="U98" s="4">
        <f ca="1">_xll.DBRW($B$1,$B$2,$B$7,$B$3,$B$4,$B$5,$F98,$B$6,U$10,$A98,$B98)</f>
        <v>0</v>
      </c>
      <c r="V98" s="4">
        <f ca="1">_xll.DBRW($B$1,$B$2,$B$7,$B$3,$B$4,$B$5,$F98,$B$6,V$10,$A98,$B98)</f>
        <v>0</v>
      </c>
      <c r="W98" s="4">
        <f ca="1">_xll.DBRW($B$1,$B$2,$B$7,$B$3,$B$4,$B$5,$F98,$B$6,W$10,$A98,$B98)</f>
        <v>0</v>
      </c>
      <c r="X98" s="4">
        <f ca="1">_xll.DBRW($B$1,$B$2,$B$7,$B$3,$B$4,$B$5,$F98,$B$6,X$10,$A98,$B98)</f>
        <v>0</v>
      </c>
      <c r="Y98" s="4">
        <f ca="1">_xll.DBRW($B$1,$B$2,$B$7,$B$3,$B$4,$B$5,$F98,$B$6,Y$10,$A98,$B98)</f>
        <v>0</v>
      </c>
      <c r="Z98" s="4">
        <f ca="1">_xll.DBRW($B$1,$B$2,$B$7,$B$3,$B$4,$B$5,$F98,$B$6,Z$10,$A98,$B98)</f>
        <v>0</v>
      </c>
      <c r="AA98" s="4">
        <f ca="1">_xll.DBRW($B$1,$B$2,$B$7,$B$3,$B$4,$B$5,$F98,$B$6,AA$10,$A98,$B98)</f>
        <v>0</v>
      </c>
      <c r="AB98" s="4">
        <f ca="1">_xll.DBRW($B$1,$B$2,$B$7,$B$3,$B$4,$B$5,$F98,$B$6,AB$10,$A98,$B98)</f>
        <v>0</v>
      </c>
      <c r="AC98" s="4">
        <f ca="1">_xll.DBRW($B$1,$B$2,$B$7,$B$3,$B$4,$B$5,$F98,$B$6,AC$10,$A98,$B98)</f>
        <v>0</v>
      </c>
      <c r="AD98" s="4">
        <f ca="1">_xll.DBRW($B$1,$B$2,$B$7,$B$3,$B$4,$B$5,$F98,$B$6,AD$10,$A98,$B98)</f>
        <v>0</v>
      </c>
      <c r="AE98" s="4">
        <f ca="1">_xll.DBRW($B$1,$B$2,$B$7,$B$3,$B$4,$B$5,$F98,$B$6,AE$10,$A98,$B98)</f>
        <v>0</v>
      </c>
    </row>
    <row r="99" spans="1:31">
      <c r="A99" s="1" t="s">
        <v>151</v>
      </c>
      <c r="B99" s="5" t="s">
        <v>258</v>
      </c>
      <c r="C99" s="5" t="s">
        <v>259</v>
      </c>
      <c r="D99" s="5" t="s">
        <v>21</v>
      </c>
      <c r="E99" s="5" t="s">
        <v>260</v>
      </c>
      <c r="F99" s="5" t="s">
        <v>22</v>
      </c>
      <c r="G99" s="6"/>
      <c r="H99" s="6"/>
      <c r="I99" s="6"/>
      <c r="J99" s="6"/>
      <c r="K99" s="6"/>
      <c r="L99" s="4">
        <f ca="1">_xll.DBRW($B$1,$B$2,$B$7,$B$3,$B$4,$B$5,$F99,$B$6,L$10,$A99,$B99)</f>
        <v>807.48872742012156</v>
      </c>
      <c r="M99" s="4">
        <f ca="1">_xll.DBRW($B$1,$B$2,$B$7,$B$3,$B$4,$B$5,$F99,$B$6,M$10,$A99,$B99)</f>
        <v>699.43038659160698</v>
      </c>
      <c r="N99" s="4">
        <f ca="1">_xll.DBRW($B$1,$B$2,$B$7,$B$3,$B$4,$B$5,$F99,$B$6,N$10,$A99,$B99)</f>
        <v>868.98386479622866</v>
      </c>
      <c r="O99" s="4">
        <f ca="1">_xll.DBRW($B$1,$B$2,$B$7,$B$3,$B$4,$B$5,$F99,$B$6,O$10,$A99,$B99)</f>
        <v>853.92100174719087</v>
      </c>
      <c r="P99" s="4">
        <f ca="1">_xll.DBRW($B$1,$B$2,$B$7,$B$3,$B$4,$B$5,$F99,$B$6,P$10,$A99,$B99)</f>
        <v>819.4041289559915</v>
      </c>
      <c r="Q99" s="4">
        <f ca="1">_xll.DBRW($B$1,$B$2,$B$7,$B$3,$B$4,$B$5,$F99,$B$6,Q$10,$A99,$B99)</f>
        <v>909.26457757543005</v>
      </c>
      <c r="R99" s="4">
        <f ca="1">_xll.DBRW($B$1,$B$2,$B$7,$B$3,$B$4,$B$5,$F99,$B$6,R$10,$A99,$B99)</f>
        <v>760.29263997740031</v>
      </c>
      <c r="S99" s="4">
        <f ca="1">_xll.DBRW($B$1,$B$2,$B$7,$B$3,$B$4,$B$5,$F99,$B$6,S$10,$A99,$B99)</f>
        <v>730.04357757205707</v>
      </c>
      <c r="T99" s="4">
        <f ca="1">_xll.DBRW($B$1,$B$2,$B$7,$B$3,$B$4,$B$5,$F99,$B$6,T$10,$A99,$B99)</f>
        <v>794.50229374756111</v>
      </c>
      <c r="U99" s="4">
        <f ca="1">_xll.DBRW($B$1,$B$2,$B$7,$B$3,$B$4,$B$5,$F99,$B$6,U$10,$A99,$B99)</f>
        <v>597.75471137433954</v>
      </c>
      <c r="V99" s="4">
        <f ca="1">_xll.DBRW($B$1,$B$2,$B$7,$B$3,$B$4,$B$5,$F99,$B$6,V$10,$A99,$B99)</f>
        <v>852.10166522096347</v>
      </c>
      <c r="W99" s="4">
        <f ca="1">_xll.DBRW($B$1,$B$2,$B$7,$B$3,$B$4,$B$5,$F99,$B$6,W$10,$A99,$B99)</f>
        <v>822.48808187479506</v>
      </c>
      <c r="X99" s="4">
        <f ca="1">_xll.DBRW($B$1,$B$2,$B$7,$B$3,$B$4,$B$5,$F99,$B$6,X$10,$A99,$B99)</f>
        <v>781.61600085654334</v>
      </c>
      <c r="Y99" s="4">
        <f ca="1">_xll.DBRW($B$1,$B$2,$B$7,$B$3,$B$4,$B$5,$F99,$B$6,Y$10,$A99,$B99)</f>
        <v>885.68965160190419</v>
      </c>
      <c r="Z99" s="4">
        <f ca="1">_xll.DBRW($B$1,$B$2,$B$7,$B$3,$B$4,$B$5,$F99,$B$6,Z$10,$A99,$B99)</f>
        <v>961.94032156736705</v>
      </c>
      <c r="AA99" s="4">
        <f ca="1">_xll.DBRW($B$1,$B$2,$B$7,$B$3,$B$4,$B$5,$F99,$B$6,AA$10,$A99,$B99)</f>
        <v>950.40992506468547</v>
      </c>
      <c r="AB99" s="4">
        <f ca="1">_xll.DBRW($B$1,$B$2,$B$7,$B$3,$B$4,$B$5,$F99,$B$6,AB$10,$A99,$B99)</f>
        <v>946.80080308812296</v>
      </c>
      <c r="AC99" s="4">
        <f ca="1">_xll.DBRW($B$1,$B$2,$B$7,$B$3,$B$4,$B$5,$F99,$B$6,AC$10,$A99,$B99)</f>
        <v>920.37849516983749</v>
      </c>
      <c r="AD99" s="4">
        <f ca="1">_xll.DBRW($B$1,$B$2,$B$7,$B$3,$B$4,$B$5,$F99,$B$6,AD$10,$A99,$B99)</f>
        <v>892.38334217691295</v>
      </c>
      <c r="AE99" s="4">
        <f ca="1">_xll.DBRW($B$1,$B$2,$B$7,$B$3,$B$4,$B$5,$F99,$B$6,AE$10,$A99,$B99)</f>
        <v>733.90210100959541</v>
      </c>
    </row>
    <row r="100" spans="1:31">
      <c r="A100" s="1" t="s">
        <v>151</v>
      </c>
      <c r="B100" s="5" t="s">
        <v>261</v>
      </c>
      <c r="C100" s="5" t="s">
        <v>262</v>
      </c>
      <c r="D100" s="5" t="s">
        <v>260</v>
      </c>
      <c r="E100" s="5" t="s">
        <v>21</v>
      </c>
      <c r="F100" s="5" t="s">
        <v>22</v>
      </c>
      <c r="G100" s="6"/>
      <c r="H100" s="6"/>
      <c r="I100" s="6"/>
      <c r="J100" s="6"/>
      <c r="K100" s="6"/>
      <c r="L100" s="4">
        <f ca="1">_xll.DBRW($B$1,$B$2,$B$7,$B$3,$B$4,$B$5,$F100,$B$6,L$10,$A100,$B100)</f>
        <v>807.48872742012156</v>
      </c>
      <c r="M100" s="4">
        <f ca="1">_xll.DBRW($B$1,$B$2,$B$7,$B$3,$B$4,$B$5,$F100,$B$6,M$10,$A100,$B100)</f>
        <v>699.43038659160698</v>
      </c>
      <c r="N100" s="4">
        <f ca="1">_xll.DBRW($B$1,$B$2,$B$7,$B$3,$B$4,$B$5,$F100,$B$6,N$10,$A100,$B100)</f>
        <v>868.98386479622866</v>
      </c>
      <c r="O100" s="4">
        <f ca="1">_xll.DBRW($B$1,$B$2,$B$7,$B$3,$B$4,$B$5,$F100,$B$6,O$10,$A100,$B100)</f>
        <v>853.92100174719087</v>
      </c>
      <c r="P100" s="4">
        <f ca="1">_xll.DBRW($B$1,$B$2,$B$7,$B$3,$B$4,$B$5,$F100,$B$6,P$10,$A100,$B100)</f>
        <v>819.4041289559915</v>
      </c>
      <c r="Q100" s="4">
        <f ca="1">_xll.DBRW($B$1,$B$2,$B$7,$B$3,$B$4,$B$5,$F100,$B$6,Q$10,$A100,$B100)</f>
        <v>909.26457757543005</v>
      </c>
      <c r="R100" s="4">
        <f ca="1">_xll.DBRW($B$1,$B$2,$B$7,$B$3,$B$4,$B$5,$F100,$B$6,R$10,$A100,$B100)</f>
        <v>760.29263997740031</v>
      </c>
      <c r="S100" s="4">
        <f ca="1">_xll.DBRW($B$1,$B$2,$B$7,$B$3,$B$4,$B$5,$F100,$B$6,S$10,$A100,$B100)</f>
        <v>730.04357757205707</v>
      </c>
      <c r="T100" s="4">
        <f ca="1">_xll.DBRW($B$1,$B$2,$B$7,$B$3,$B$4,$B$5,$F100,$B$6,T$10,$A100,$B100)</f>
        <v>794.50229374756111</v>
      </c>
      <c r="U100" s="4">
        <f ca="1">_xll.DBRW($B$1,$B$2,$B$7,$B$3,$B$4,$B$5,$F100,$B$6,U$10,$A100,$B100)</f>
        <v>597.75471137433954</v>
      </c>
      <c r="V100" s="4">
        <f ca="1">_xll.DBRW($B$1,$B$2,$B$7,$B$3,$B$4,$B$5,$F100,$B$6,V$10,$A100,$B100)</f>
        <v>852.10166522096347</v>
      </c>
      <c r="W100" s="4">
        <f ca="1">_xll.DBRW($B$1,$B$2,$B$7,$B$3,$B$4,$B$5,$F100,$B$6,W$10,$A100,$B100)</f>
        <v>822.48808187479506</v>
      </c>
      <c r="X100" s="4">
        <f ca="1">_xll.DBRW($B$1,$B$2,$B$7,$B$3,$B$4,$B$5,$F100,$B$6,X$10,$A100,$B100)</f>
        <v>781.61600085654334</v>
      </c>
      <c r="Y100" s="4">
        <f ca="1">_xll.DBRW($B$1,$B$2,$B$7,$B$3,$B$4,$B$5,$F100,$B$6,Y$10,$A100,$B100)</f>
        <v>885.68965160190419</v>
      </c>
      <c r="Z100" s="4">
        <f ca="1">_xll.DBRW($B$1,$B$2,$B$7,$B$3,$B$4,$B$5,$F100,$B$6,Z$10,$A100,$B100)</f>
        <v>961.94032156736705</v>
      </c>
      <c r="AA100" s="4">
        <f ca="1">_xll.DBRW($B$1,$B$2,$B$7,$B$3,$B$4,$B$5,$F100,$B$6,AA$10,$A100,$B100)</f>
        <v>950.40992506468547</v>
      </c>
      <c r="AB100" s="4">
        <f ca="1">_xll.DBRW($B$1,$B$2,$B$7,$B$3,$B$4,$B$5,$F100,$B$6,AB$10,$A100,$B100)</f>
        <v>946.80080308812296</v>
      </c>
      <c r="AC100" s="4">
        <f ca="1">_xll.DBRW($B$1,$B$2,$B$7,$B$3,$B$4,$B$5,$F100,$B$6,AC$10,$A100,$B100)</f>
        <v>920.37849516983749</v>
      </c>
      <c r="AD100" s="4">
        <f ca="1">_xll.DBRW($B$1,$B$2,$B$7,$B$3,$B$4,$B$5,$F100,$B$6,AD$10,$A100,$B100)</f>
        <v>892.38334217691295</v>
      </c>
      <c r="AE100" s="4">
        <f ca="1">_xll.DBRW($B$1,$B$2,$B$7,$B$3,$B$4,$B$5,$F100,$B$6,AE$10,$A100,$B100)</f>
        <v>733.90210100959541</v>
      </c>
    </row>
    <row r="101" spans="1:31">
      <c r="A101" s="1" t="s">
        <v>151</v>
      </c>
      <c r="B101" s="5" t="s">
        <v>263</v>
      </c>
      <c r="C101" s="5" t="s">
        <v>264</v>
      </c>
      <c r="D101" s="5" t="s">
        <v>21</v>
      </c>
      <c r="E101" s="5" t="s">
        <v>265</v>
      </c>
      <c r="F101" s="5" t="s">
        <v>22</v>
      </c>
      <c r="G101" s="6"/>
      <c r="H101" s="6"/>
      <c r="I101" s="6"/>
      <c r="J101" s="6"/>
      <c r="K101" s="6"/>
      <c r="L101" s="4">
        <f ca="1">_xll.DBRW($B$1,$B$2,$B$7,$B$3,$B$4,$B$5,$F101,$B$6,L$10,$A101,$B101)</f>
        <v>883.84622477762503</v>
      </c>
      <c r="M101" s="4">
        <f ca="1">_xll.DBRW($B$1,$B$2,$B$7,$B$3,$B$4,$B$5,$F101,$B$6,M$10,$A101,$B101)</f>
        <v>888.68802061051213</v>
      </c>
      <c r="N101" s="4">
        <f ca="1">_xll.DBRW($B$1,$B$2,$B$7,$B$3,$B$4,$B$5,$F101,$B$6,N$10,$A101,$B101)</f>
        <v>877.54203922225236</v>
      </c>
      <c r="O101" s="4">
        <f ca="1">_xll.DBRW($B$1,$B$2,$B$7,$B$3,$B$4,$B$5,$F101,$B$6,O$10,$A101,$B101)</f>
        <v>872.00403472536686</v>
      </c>
      <c r="P101" s="4">
        <f ca="1">_xll.DBRW($B$1,$B$2,$B$7,$B$3,$B$4,$B$5,$F101,$B$6,P$10,$A101,$B101)</f>
        <v>977.30147632073613</v>
      </c>
      <c r="Q101" s="4">
        <f ca="1">_xll.DBRW($B$1,$B$2,$B$7,$B$3,$B$4,$B$5,$F101,$B$6,Q$10,$A101,$B101)</f>
        <v>932.90137387303048</v>
      </c>
      <c r="R101" s="4">
        <f ca="1">_xll.DBRW($B$1,$B$2,$B$7,$B$3,$B$4,$B$5,$F101,$B$6,R$10,$A101,$B101)</f>
        <v>621.07176470239597</v>
      </c>
      <c r="S101" s="4">
        <f ca="1">_xll.DBRW($B$1,$B$2,$B$7,$B$3,$B$4,$B$5,$F101,$B$6,S$10,$A101,$B101)</f>
        <v>670.23355579483234</v>
      </c>
      <c r="T101" s="4">
        <f ca="1">_xll.DBRW($B$1,$B$2,$B$7,$B$3,$B$4,$B$5,$F101,$B$6,T$10,$A101,$B101)</f>
        <v>618.86171082858425</v>
      </c>
      <c r="U101" s="4">
        <f ca="1">_xll.DBRW($B$1,$B$2,$B$7,$B$3,$B$4,$B$5,$F101,$B$6,U$10,$A101,$B101)</f>
        <v>585.89492378745979</v>
      </c>
      <c r="V101" s="4">
        <f ca="1">_xll.DBRW($B$1,$B$2,$B$7,$B$3,$B$4,$B$5,$F101,$B$6,V$10,$A101,$B101)</f>
        <v>650.42280224099579</v>
      </c>
      <c r="W101" s="4">
        <f ca="1">_xll.DBRW($B$1,$B$2,$B$7,$B$3,$B$4,$B$5,$F101,$B$6,W$10,$A101,$B101)</f>
        <v>803.02055832974725</v>
      </c>
      <c r="X101" s="4">
        <f ca="1">_xll.DBRW($B$1,$B$2,$B$7,$B$3,$B$4,$B$5,$F101,$B$6,X$10,$A101,$B101)</f>
        <v>792.18939830751481</v>
      </c>
      <c r="Y101" s="4">
        <f ca="1">_xll.DBRW($B$1,$B$2,$B$7,$B$3,$B$4,$B$5,$F101,$B$6,Y$10,$A101,$B101)</f>
        <v>900.10735070517319</v>
      </c>
      <c r="Z101" s="4">
        <f ca="1">_xll.DBRW($B$1,$B$2,$B$7,$B$3,$B$4,$B$5,$F101,$B$6,Z$10,$A101,$B101)</f>
        <v>900.73787234888539</v>
      </c>
      <c r="AA101" s="4">
        <f ca="1">_xll.DBRW($B$1,$B$2,$B$7,$B$3,$B$4,$B$5,$F101,$B$6,AA$10,$A101,$B101)</f>
        <v>947.65304234442794</v>
      </c>
      <c r="AB101" s="4">
        <f ca="1">_xll.DBRW($B$1,$B$2,$B$7,$B$3,$B$4,$B$5,$F101,$B$6,AB$10,$A101,$B101)</f>
        <v>987.79162392539229</v>
      </c>
      <c r="AC101" s="4">
        <f ca="1">_xll.DBRW($B$1,$B$2,$B$7,$B$3,$B$4,$B$5,$F101,$B$6,AC$10,$A101,$B101)</f>
        <v>937.10558029720323</v>
      </c>
      <c r="AD101" s="4">
        <f ca="1">_xll.DBRW($B$1,$B$2,$B$7,$B$3,$B$4,$B$5,$F101,$B$6,AD$10,$A101,$B101)</f>
        <v>627.07198955060596</v>
      </c>
      <c r="AE101" s="4">
        <f ca="1">_xll.DBRW($B$1,$B$2,$B$7,$B$3,$B$4,$B$5,$F101,$B$6,AE$10,$A101,$B101)</f>
        <v>636.72363583101401</v>
      </c>
    </row>
    <row r="102" spans="1:31">
      <c r="A102" s="1" t="s">
        <v>151</v>
      </c>
      <c r="B102" s="5" t="s">
        <v>266</v>
      </c>
      <c r="C102" s="5" t="s">
        <v>267</v>
      </c>
      <c r="D102" s="5" t="s">
        <v>265</v>
      </c>
      <c r="E102" s="5" t="s">
        <v>21</v>
      </c>
      <c r="F102" s="5" t="s">
        <v>22</v>
      </c>
      <c r="G102" s="6"/>
      <c r="H102" s="6"/>
      <c r="I102" s="6"/>
      <c r="J102" s="6"/>
      <c r="K102" s="6"/>
      <c r="L102" s="4">
        <f ca="1">_xll.DBRW($B$1,$B$2,$B$7,$B$3,$B$4,$B$5,$F102,$B$6,L$10,$A102,$B102)</f>
        <v>883.84622477762503</v>
      </c>
      <c r="M102" s="4">
        <f ca="1">_xll.DBRW($B$1,$B$2,$B$7,$B$3,$B$4,$B$5,$F102,$B$6,M$10,$A102,$B102)</f>
        <v>888.68802061051213</v>
      </c>
      <c r="N102" s="4">
        <f ca="1">_xll.DBRW($B$1,$B$2,$B$7,$B$3,$B$4,$B$5,$F102,$B$6,N$10,$A102,$B102)</f>
        <v>877.54203922225236</v>
      </c>
      <c r="O102" s="4">
        <f ca="1">_xll.DBRW($B$1,$B$2,$B$7,$B$3,$B$4,$B$5,$F102,$B$6,O$10,$A102,$B102)</f>
        <v>872.00403472536686</v>
      </c>
      <c r="P102" s="4">
        <f ca="1">_xll.DBRW($B$1,$B$2,$B$7,$B$3,$B$4,$B$5,$F102,$B$6,P$10,$A102,$B102)</f>
        <v>977.30147632073613</v>
      </c>
      <c r="Q102" s="4">
        <f ca="1">_xll.DBRW($B$1,$B$2,$B$7,$B$3,$B$4,$B$5,$F102,$B$6,Q$10,$A102,$B102)</f>
        <v>932.90137387303048</v>
      </c>
      <c r="R102" s="4">
        <f ca="1">_xll.DBRW($B$1,$B$2,$B$7,$B$3,$B$4,$B$5,$F102,$B$6,R$10,$A102,$B102)</f>
        <v>621.07176470239597</v>
      </c>
      <c r="S102" s="4">
        <f ca="1">_xll.DBRW($B$1,$B$2,$B$7,$B$3,$B$4,$B$5,$F102,$B$6,S$10,$A102,$B102)</f>
        <v>670.23355579483234</v>
      </c>
      <c r="T102" s="4">
        <f ca="1">_xll.DBRW($B$1,$B$2,$B$7,$B$3,$B$4,$B$5,$F102,$B$6,T$10,$A102,$B102)</f>
        <v>618.86171082858425</v>
      </c>
      <c r="U102" s="4">
        <f ca="1">_xll.DBRW($B$1,$B$2,$B$7,$B$3,$B$4,$B$5,$F102,$B$6,U$10,$A102,$B102)</f>
        <v>585.89492378745979</v>
      </c>
      <c r="V102" s="4">
        <f ca="1">_xll.DBRW($B$1,$B$2,$B$7,$B$3,$B$4,$B$5,$F102,$B$6,V$10,$A102,$B102)</f>
        <v>650.42280224099579</v>
      </c>
      <c r="W102" s="4">
        <f ca="1">_xll.DBRW($B$1,$B$2,$B$7,$B$3,$B$4,$B$5,$F102,$B$6,W$10,$A102,$B102)</f>
        <v>803.02055832974725</v>
      </c>
      <c r="X102" s="4">
        <f ca="1">_xll.DBRW($B$1,$B$2,$B$7,$B$3,$B$4,$B$5,$F102,$B$6,X$10,$A102,$B102)</f>
        <v>792.18939830751481</v>
      </c>
      <c r="Y102" s="4">
        <f ca="1">_xll.DBRW($B$1,$B$2,$B$7,$B$3,$B$4,$B$5,$F102,$B$6,Y$10,$A102,$B102)</f>
        <v>900.10735070517319</v>
      </c>
      <c r="Z102" s="4">
        <f ca="1">_xll.DBRW($B$1,$B$2,$B$7,$B$3,$B$4,$B$5,$F102,$B$6,Z$10,$A102,$B102)</f>
        <v>900.73787234888539</v>
      </c>
      <c r="AA102" s="4">
        <f ca="1">_xll.DBRW($B$1,$B$2,$B$7,$B$3,$B$4,$B$5,$F102,$B$6,AA$10,$A102,$B102)</f>
        <v>947.65304234442794</v>
      </c>
      <c r="AB102" s="4">
        <f ca="1">_xll.DBRW($B$1,$B$2,$B$7,$B$3,$B$4,$B$5,$F102,$B$6,AB$10,$A102,$B102)</f>
        <v>987.79162392539229</v>
      </c>
      <c r="AC102" s="4">
        <f ca="1">_xll.DBRW($B$1,$B$2,$B$7,$B$3,$B$4,$B$5,$F102,$B$6,AC$10,$A102,$B102)</f>
        <v>937.10558029720323</v>
      </c>
      <c r="AD102" s="4">
        <f ca="1">_xll.DBRW($B$1,$B$2,$B$7,$B$3,$B$4,$B$5,$F102,$B$6,AD$10,$A102,$B102)</f>
        <v>627.07198955060596</v>
      </c>
      <c r="AE102" s="4">
        <f ca="1">_xll.DBRW($B$1,$B$2,$B$7,$B$3,$B$4,$B$5,$F102,$B$6,AE$10,$A102,$B102)</f>
        <v>636.72363583101401</v>
      </c>
    </row>
    <row r="103" spans="1:31">
      <c r="A103" s="1" t="s">
        <v>151</v>
      </c>
      <c r="B103" s="5" t="s">
        <v>268</v>
      </c>
      <c r="C103" s="5" t="s">
        <v>264</v>
      </c>
      <c r="D103" s="5" t="s">
        <v>21</v>
      </c>
      <c r="E103" s="5" t="s">
        <v>265</v>
      </c>
      <c r="F103" s="5" t="s">
        <v>22</v>
      </c>
      <c r="G103" s="6"/>
      <c r="H103" s="6"/>
      <c r="I103" s="6"/>
      <c r="J103" s="6"/>
      <c r="K103" s="6"/>
      <c r="L103" s="4">
        <f ca="1">_xll.DBRW($B$1,$B$2,$B$7,$B$3,$B$4,$B$5,$F103,$B$6,L$10,$A103,$B103)</f>
        <v>456.1786966594193</v>
      </c>
      <c r="M103" s="4">
        <f ca="1">_xll.DBRW($B$1,$B$2,$B$7,$B$3,$B$4,$B$5,$F103,$B$6,M$10,$A103,$B103)</f>
        <v>458.67768805703855</v>
      </c>
      <c r="N103" s="4">
        <f ca="1">_xll.DBRW($B$1,$B$2,$B$7,$B$3,$B$4,$B$5,$F103,$B$6,N$10,$A103,$B103)</f>
        <v>452.92492346954958</v>
      </c>
      <c r="O103" s="4">
        <f ca="1">_xll.DBRW($B$1,$B$2,$B$7,$B$3,$B$4,$B$5,$F103,$B$6,O$10,$A103,$B103)</f>
        <v>450.06659856793124</v>
      </c>
      <c r="P103" s="4">
        <f ca="1">_xll.DBRW($B$1,$B$2,$B$7,$B$3,$B$4,$B$5,$F103,$B$6,P$10,$A103,$B103)</f>
        <v>504.41366519779922</v>
      </c>
      <c r="Q103" s="4">
        <f ca="1">_xll.DBRW($B$1,$B$2,$B$7,$B$3,$B$4,$B$5,$F103,$B$6,Q$10,$A103,$B103)</f>
        <v>534.83623622480081</v>
      </c>
      <c r="R103" s="4">
        <f ca="1">_xll.DBRW($B$1,$B$2,$B$7,$B$3,$B$4,$B$5,$F103,$B$6,R$10,$A103,$B103)</f>
        <v>503.57170111005075</v>
      </c>
      <c r="S103" s="4">
        <f ca="1">_xll.DBRW($B$1,$B$2,$B$7,$B$3,$B$4,$B$5,$F103,$B$6,S$10,$A103,$B103)</f>
        <v>522.69786741232213</v>
      </c>
      <c r="T103" s="4">
        <f ca="1">_xll.DBRW($B$1,$B$2,$B$7,$B$3,$B$4,$B$5,$F103,$B$6,T$10,$A103,$B103)</f>
        <v>978.16793438531136</v>
      </c>
      <c r="U103" s="4">
        <f ca="1">_xll.DBRW($B$1,$B$2,$B$7,$B$3,$B$4,$B$5,$F103,$B$6,U$10,$A103,$B103)</f>
        <v>908.13713187056271</v>
      </c>
      <c r="V103" s="4">
        <f ca="1">_xll.DBRW($B$1,$B$2,$B$7,$B$3,$B$4,$B$5,$F103,$B$6,V$10,$A103,$B103)</f>
        <v>949.12794496295805</v>
      </c>
      <c r="W103" s="4">
        <f ca="1">_xll.DBRW($B$1,$B$2,$B$7,$B$3,$B$4,$B$5,$F103,$B$6,W$10,$A103,$B103)</f>
        <v>414.46222365406311</v>
      </c>
      <c r="X103" s="4">
        <f ca="1">_xll.DBRW($B$1,$B$2,$B$7,$B$3,$B$4,$B$5,$F103,$B$6,X$10,$A103,$B103)</f>
        <v>408.87194751355594</v>
      </c>
      <c r="Y103" s="4">
        <f ca="1">_xll.DBRW($B$1,$B$2,$B$7,$B$3,$B$4,$B$5,$F103,$B$6,Y$10,$A103,$B103)</f>
        <v>464.57153584783129</v>
      </c>
      <c r="Z103" s="4">
        <f ca="1">_xll.DBRW($B$1,$B$2,$B$7,$B$3,$B$4,$B$5,$F103,$B$6,Z$10,$A103,$B103)</f>
        <v>464.89696637361828</v>
      </c>
      <c r="AA103" s="4">
        <f ca="1">_xll.DBRW($B$1,$B$2,$B$7,$B$3,$B$4,$B$5,$F103,$B$6,AA$10,$A103,$B103)</f>
        <v>489.11124766164028</v>
      </c>
      <c r="AB103" s="4">
        <f ca="1">_xll.DBRW($B$1,$B$2,$B$7,$B$3,$B$4,$B$5,$F103,$B$6,AB$10,$A103,$B103)</f>
        <v>509.82793492923474</v>
      </c>
      <c r="AC103" s="4">
        <f ca="1">_xll.DBRW($B$1,$B$2,$B$7,$B$3,$B$4,$B$5,$F103,$B$6,AC$10,$A103,$B103)</f>
        <v>610.83856513254852</v>
      </c>
      <c r="AD103" s="4">
        <f ca="1">_xll.DBRW($B$1,$B$2,$B$7,$B$3,$B$4,$B$5,$F103,$B$6,AD$10,$A103,$B103)</f>
        <v>985.0961998007831</v>
      </c>
      <c r="AE103" s="4">
        <f ca="1">_xll.DBRW($B$1,$B$2,$B$7,$B$3,$B$4,$B$5,$F103,$B$6,AE$10,$A103,$B103)</f>
        <v>962.09341829183086</v>
      </c>
    </row>
    <row r="104" spans="1:31">
      <c r="A104" s="1" t="s">
        <v>151</v>
      </c>
      <c r="B104" s="5" t="s">
        <v>269</v>
      </c>
      <c r="C104" s="5" t="s">
        <v>267</v>
      </c>
      <c r="D104" s="5" t="s">
        <v>265</v>
      </c>
      <c r="E104" s="5" t="s">
        <v>21</v>
      </c>
      <c r="F104" s="5" t="s">
        <v>22</v>
      </c>
      <c r="G104" s="6"/>
      <c r="H104" s="6"/>
      <c r="I104" s="6"/>
      <c r="J104" s="6"/>
      <c r="K104" s="6"/>
      <c r="L104" s="4">
        <f ca="1">_xll.DBRW($B$1,$B$2,$B$7,$B$3,$B$4,$B$5,$F104,$B$6,L$10,$A104,$B104)</f>
        <v>456.1786966594193</v>
      </c>
      <c r="M104" s="4">
        <f ca="1">_xll.DBRW($B$1,$B$2,$B$7,$B$3,$B$4,$B$5,$F104,$B$6,M$10,$A104,$B104)</f>
        <v>458.67768805703855</v>
      </c>
      <c r="N104" s="4">
        <f ca="1">_xll.DBRW($B$1,$B$2,$B$7,$B$3,$B$4,$B$5,$F104,$B$6,N$10,$A104,$B104)</f>
        <v>452.92492346954958</v>
      </c>
      <c r="O104" s="4">
        <f ca="1">_xll.DBRW($B$1,$B$2,$B$7,$B$3,$B$4,$B$5,$F104,$B$6,O$10,$A104,$B104)</f>
        <v>450.06659856793124</v>
      </c>
      <c r="P104" s="4">
        <f ca="1">_xll.DBRW($B$1,$B$2,$B$7,$B$3,$B$4,$B$5,$F104,$B$6,P$10,$A104,$B104)</f>
        <v>504.41366519779922</v>
      </c>
      <c r="Q104" s="4">
        <f ca="1">_xll.DBRW($B$1,$B$2,$B$7,$B$3,$B$4,$B$5,$F104,$B$6,Q$10,$A104,$B104)</f>
        <v>534.83623622480081</v>
      </c>
      <c r="R104" s="4">
        <f ca="1">_xll.DBRW($B$1,$B$2,$B$7,$B$3,$B$4,$B$5,$F104,$B$6,R$10,$A104,$B104)</f>
        <v>503.57170111005075</v>
      </c>
      <c r="S104" s="4">
        <f ca="1">_xll.DBRW($B$1,$B$2,$B$7,$B$3,$B$4,$B$5,$F104,$B$6,S$10,$A104,$B104)</f>
        <v>522.69786741232213</v>
      </c>
      <c r="T104" s="4">
        <f ca="1">_xll.DBRW($B$1,$B$2,$B$7,$B$3,$B$4,$B$5,$F104,$B$6,T$10,$A104,$B104)</f>
        <v>978.16793438531136</v>
      </c>
      <c r="U104" s="4">
        <f ca="1">_xll.DBRW($B$1,$B$2,$B$7,$B$3,$B$4,$B$5,$F104,$B$6,U$10,$A104,$B104)</f>
        <v>908.13713187056271</v>
      </c>
      <c r="V104" s="4">
        <f ca="1">_xll.DBRW($B$1,$B$2,$B$7,$B$3,$B$4,$B$5,$F104,$B$6,V$10,$A104,$B104)</f>
        <v>949.12794496295805</v>
      </c>
      <c r="W104" s="4">
        <f ca="1">_xll.DBRW($B$1,$B$2,$B$7,$B$3,$B$4,$B$5,$F104,$B$6,W$10,$A104,$B104)</f>
        <v>414.46222365406311</v>
      </c>
      <c r="X104" s="4">
        <f ca="1">_xll.DBRW($B$1,$B$2,$B$7,$B$3,$B$4,$B$5,$F104,$B$6,X$10,$A104,$B104)</f>
        <v>408.87194751355594</v>
      </c>
      <c r="Y104" s="4">
        <f ca="1">_xll.DBRW($B$1,$B$2,$B$7,$B$3,$B$4,$B$5,$F104,$B$6,Y$10,$A104,$B104)</f>
        <v>464.57153584783129</v>
      </c>
      <c r="Z104" s="4">
        <f ca="1">_xll.DBRW($B$1,$B$2,$B$7,$B$3,$B$4,$B$5,$F104,$B$6,Z$10,$A104,$B104)</f>
        <v>464.89696637361828</v>
      </c>
      <c r="AA104" s="4">
        <f ca="1">_xll.DBRW($B$1,$B$2,$B$7,$B$3,$B$4,$B$5,$F104,$B$6,AA$10,$A104,$B104)</f>
        <v>489.11124766164028</v>
      </c>
      <c r="AB104" s="4">
        <f ca="1">_xll.DBRW($B$1,$B$2,$B$7,$B$3,$B$4,$B$5,$F104,$B$6,AB$10,$A104,$B104)</f>
        <v>509.82793492923474</v>
      </c>
      <c r="AC104" s="4">
        <f ca="1">_xll.DBRW($B$1,$B$2,$B$7,$B$3,$B$4,$B$5,$F104,$B$6,AC$10,$A104,$B104)</f>
        <v>578.52457960505876</v>
      </c>
      <c r="AD104" s="4">
        <f ca="1">_xll.DBRW($B$1,$B$2,$B$7,$B$3,$B$4,$B$5,$F104,$B$6,AD$10,$A104,$B104)</f>
        <v>985.0961998007831</v>
      </c>
      <c r="AE104" s="4">
        <f ca="1">_xll.DBRW($B$1,$B$2,$B$7,$B$3,$B$4,$B$5,$F104,$B$6,AE$10,$A104,$B104)</f>
        <v>962.09341829183086</v>
      </c>
    </row>
    <row r="105" spans="1:31">
      <c r="A105" s="1" t="s">
        <v>151</v>
      </c>
      <c r="B105" s="5" t="s">
        <v>270</v>
      </c>
      <c r="C105" s="5" t="s">
        <v>271</v>
      </c>
      <c r="D105" s="5" t="s">
        <v>21</v>
      </c>
      <c r="E105" s="5" t="s">
        <v>272</v>
      </c>
      <c r="F105" s="5" t="s">
        <v>22</v>
      </c>
      <c r="G105" s="6"/>
      <c r="H105" s="6"/>
      <c r="I105" s="6"/>
      <c r="J105" s="6"/>
      <c r="K105" s="6"/>
      <c r="L105" s="4">
        <f ca="1">_xll.DBRW($B$1,$B$2,$B$7,$B$3,$B$4,$B$5,$F105,$B$6,L$10,$A105,$B105)</f>
        <v>812.7321607150576</v>
      </c>
      <c r="M105" s="4">
        <f ca="1">_xll.DBRW($B$1,$B$2,$B$7,$B$3,$B$4,$B$5,$F105,$B$6,M$10,$A105,$B105)</f>
        <v>908.43664329074613</v>
      </c>
      <c r="N105" s="4">
        <f ca="1">_xll.DBRW($B$1,$B$2,$B$7,$B$3,$B$4,$B$5,$F105,$B$6,N$10,$A105,$B105)</f>
        <v>867.33806202199344</v>
      </c>
      <c r="O105" s="4">
        <f ca="1">_xll.DBRW($B$1,$B$2,$B$7,$B$3,$B$4,$B$5,$F105,$B$6,O$10,$A105,$B105)</f>
        <v>747.43202976460009</v>
      </c>
      <c r="P105" s="4">
        <f ca="1">_xll.DBRW($B$1,$B$2,$B$7,$B$3,$B$4,$B$5,$F105,$B$6,P$10,$A105,$B105)</f>
        <v>827.71451565939901</v>
      </c>
      <c r="Q105" s="4">
        <f ca="1">_xll.DBRW($B$1,$B$2,$B$7,$B$3,$B$4,$B$5,$F105,$B$6,Q$10,$A105,$B105)</f>
        <v>856.97353776614693</v>
      </c>
      <c r="R105" s="4">
        <f ca="1">_xll.DBRW($B$1,$B$2,$B$7,$B$3,$B$4,$B$5,$F105,$B$6,R$10,$A105,$B105)</f>
        <v>696.90726492908789</v>
      </c>
      <c r="S105" s="4">
        <f ca="1">_xll.DBRW($B$1,$B$2,$B$7,$B$3,$B$4,$B$5,$F105,$B$6,S$10,$A105,$B105)</f>
        <v>733.71046312150554</v>
      </c>
      <c r="T105" s="4">
        <f ca="1">_xll.DBRW($B$1,$B$2,$B$7,$B$3,$B$4,$B$5,$F105,$B$6,T$10,$A105,$B105)</f>
        <v>783.97896262827192</v>
      </c>
      <c r="U105" s="4">
        <f ca="1">_xll.DBRW($B$1,$B$2,$B$7,$B$3,$B$4,$B$5,$F105,$B$6,U$10,$A105,$B105)</f>
        <v>710.15401666447565</v>
      </c>
      <c r="V105" s="4">
        <f ca="1">_xll.DBRW($B$1,$B$2,$B$7,$B$3,$B$4,$B$5,$F105,$B$6,V$10,$A105,$B105)</f>
        <v>810.41535266157189</v>
      </c>
      <c r="W105" s="4">
        <f ca="1">_xll.DBRW($B$1,$B$2,$B$7,$B$3,$B$4,$B$5,$F105,$B$6,W$10,$A105,$B105)</f>
        <v>837.15010572580843</v>
      </c>
      <c r="X105" s="4">
        <f ca="1">_xll.DBRW($B$1,$B$2,$B$7,$B$3,$B$4,$B$5,$F105,$B$6,X$10,$A105,$B105)</f>
        <v>921.70006520868162</v>
      </c>
      <c r="Y105" s="4">
        <f ca="1">_xll.DBRW($B$1,$B$2,$B$7,$B$3,$B$4,$B$5,$F105,$B$6,Y$10,$A105,$B105)</f>
        <v>895.14931476495087</v>
      </c>
      <c r="Z105" s="4">
        <f ca="1">_xll.DBRW($B$1,$B$2,$B$7,$B$3,$B$4,$B$5,$F105,$B$6,Z$10,$A105,$B105)</f>
        <v>881.56369185268136</v>
      </c>
      <c r="AA105" s="4">
        <f ca="1">_xll.DBRW($B$1,$B$2,$B$7,$B$3,$B$4,$B$5,$F105,$B$6,AA$10,$A105,$B105)</f>
        <v>749.43686139815895</v>
      </c>
      <c r="AB105" s="4">
        <f ca="1">_xll.DBRW($B$1,$B$2,$B$7,$B$3,$B$4,$B$5,$F105,$B$6,AB$10,$A105,$B105)</f>
        <v>864.99451795754601</v>
      </c>
      <c r="AC105" s="4">
        <f ca="1">_xll.DBRW($B$1,$B$2,$B$7,$B$3,$B$4,$B$5,$F105,$B$6,AC$10,$A105,$B105)</f>
        <v>935.86575123947637</v>
      </c>
      <c r="AD105" s="4">
        <f ca="1">_xll.DBRW($B$1,$B$2,$B$7,$B$3,$B$4,$B$5,$F105,$B$6,AD$10,$A105,$B105)</f>
        <v>923.80820588393544</v>
      </c>
      <c r="AE105" s="4">
        <f ca="1">_xll.DBRW($B$1,$B$2,$B$7,$B$3,$B$4,$B$5,$F105,$B$6,AE$10,$A105,$B105)</f>
        <v>807.67364180290531</v>
      </c>
    </row>
    <row r="106" spans="1:31">
      <c r="A106" s="1" t="s">
        <v>151</v>
      </c>
      <c r="B106" s="5" t="s">
        <v>273</v>
      </c>
      <c r="C106" s="5" t="s">
        <v>274</v>
      </c>
      <c r="D106" s="5" t="s">
        <v>272</v>
      </c>
      <c r="E106" s="5" t="s">
        <v>21</v>
      </c>
      <c r="F106" s="5" t="s">
        <v>22</v>
      </c>
      <c r="G106" s="6"/>
      <c r="H106" s="6"/>
      <c r="I106" s="6"/>
      <c r="J106" s="6"/>
      <c r="K106" s="6"/>
      <c r="L106" s="4">
        <f ca="1">_xll.DBRW($B$1,$B$2,$B$7,$B$3,$B$4,$B$5,$F106,$B$6,L$10,$A106,$B106)</f>
        <v>812.7321607150576</v>
      </c>
      <c r="M106" s="4">
        <f ca="1">_xll.DBRW($B$1,$B$2,$B$7,$B$3,$B$4,$B$5,$F106,$B$6,M$10,$A106,$B106)</f>
        <v>908.43664329074613</v>
      </c>
      <c r="N106" s="4">
        <f ca="1">_xll.DBRW($B$1,$B$2,$B$7,$B$3,$B$4,$B$5,$F106,$B$6,N$10,$A106,$B106)</f>
        <v>867.33806202199344</v>
      </c>
      <c r="O106" s="4">
        <f ca="1">_xll.DBRW($B$1,$B$2,$B$7,$B$3,$B$4,$B$5,$F106,$B$6,O$10,$A106,$B106)</f>
        <v>747.43202976460009</v>
      </c>
      <c r="P106" s="4">
        <f ca="1">_xll.DBRW($B$1,$B$2,$B$7,$B$3,$B$4,$B$5,$F106,$B$6,P$10,$A106,$B106)</f>
        <v>827.71451565939901</v>
      </c>
      <c r="Q106" s="4">
        <f ca="1">_xll.DBRW($B$1,$B$2,$B$7,$B$3,$B$4,$B$5,$F106,$B$6,Q$10,$A106,$B106)</f>
        <v>856.97353776614693</v>
      </c>
      <c r="R106" s="4">
        <f ca="1">_xll.DBRW($B$1,$B$2,$B$7,$B$3,$B$4,$B$5,$F106,$B$6,R$10,$A106,$B106)</f>
        <v>696.90726492908789</v>
      </c>
      <c r="S106" s="4">
        <f ca="1">_xll.DBRW($B$1,$B$2,$B$7,$B$3,$B$4,$B$5,$F106,$B$6,S$10,$A106,$B106)</f>
        <v>733.71046312150554</v>
      </c>
      <c r="T106" s="4">
        <f ca="1">_xll.DBRW($B$1,$B$2,$B$7,$B$3,$B$4,$B$5,$F106,$B$6,T$10,$A106,$B106)</f>
        <v>783.97896262827192</v>
      </c>
      <c r="U106" s="4">
        <f ca="1">_xll.DBRW($B$1,$B$2,$B$7,$B$3,$B$4,$B$5,$F106,$B$6,U$10,$A106,$B106)</f>
        <v>710.15401666447565</v>
      </c>
      <c r="V106" s="4">
        <f ca="1">_xll.DBRW($B$1,$B$2,$B$7,$B$3,$B$4,$B$5,$F106,$B$6,V$10,$A106,$B106)</f>
        <v>810.41535266157189</v>
      </c>
      <c r="W106" s="4">
        <f ca="1">_xll.DBRW($B$1,$B$2,$B$7,$B$3,$B$4,$B$5,$F106,$B$6,W$10,$A106,$B106)</f>
        <v>837.15010572580843</v>
      </c>
      <c r="X106" s="4">
        <f ca="1">_xll.DBRW($B$1,$B$2,$B$7,$B$3,$B$4,$B$5,$F106,$B$6,X$10,$A106,$B106)</f>
        <v>921.70006520868162</v>
      </c>
      <c r="Y106" s="4">
        <f ca="1">_xll.DBRW($B$1,$B$2,$B$7,$B$3,$B$4,$B$5,$F106,$B$6,Y$10,$A106,$B106)</f>
        <v>895.14931476495087</v>
      </c>
      <c r="Z106" s="4">
        <f ca="1">_xll.DBRW($B$1,$B$2,$B$7,$B$3,$B$4,$B$5,$F106,$B$6,Z$10,$A106,$B106)</f>
        <v>881.56369185268136</v>
      </c>
      <c r="AA106" s="4">
        <f ca="1">_xll.DBRW($B$1,$B$2,$B$7,$B$3,$B$4,$B$5,$F106,$B$6,AA$10,$A106,$B106)</f>
        <v>749.43686139815895</v>
      </c>
      <c r="AB106" s="4">
        <f ca="1">_xll.DBRW($B$1,$B$2,$B$7,$B$3,$B$4,$B$5,$F106,$B$6,AB$10,$A106,$B106)</f>
        <v>864.99451795754601</v>
      </c>
      <c r="AC106" s="4">
        <f ca="1">_xll.DBRW($B$1,$B$2,$B$7,$B$3,$B$4,$B$5,$F106,$B$6,AC$10,$A106,$B106)</f>
        <v>905.67653345755787</v>
      </c>
      <c r="AD106" s="4">
        <f ca="1">_xll.DBRW($B$1,$B$2,$B$7,$B$3,$B$4,$B$5,$F106,$B$6,AD$10,$A106,$B106)</f>
        <v>923.80820588393544</v>
      </c>
      <c r="AE106" s="4">
        <f ca="1">_xll.DBRW($B$1,$B$2,$B$7,$B$3,$B$4,$B$5,$F106,$B$6,AE$10,$A106,$B106)</f>
        <v>807.67364180290531</v>
      </c>
    </row>
    <row r="107" spans="1:31">
      <c r="A107" s="1" t="s">
        <v>151</v>
      </c>
      <c r="B107" s="5" t="s">
        <v>275</v>
      </c>
      <c r="C107" s="5" t="s">
        <v>276</v>
      </c>
      <c r="D107" s="5" t="s">
        <v>21</v>
      </c>
      <c r="E107" s="5" t="s">
        <v>277</v>
      </c>
      <c r="F107" s="5" t="s">
        <v>22</v>
      </c>
      <c r="G107" s="6"/>
      <c r="H107" s="6"/>
      <c r="I107" s="6"/>
      <c r="J107" s="6"/>
      <c r="K107" s="6"/>
      <c r="L107" s="4">
        <f ca="1">_xll.DBRW($B$1,$B$2,$B$7,$B$3,$B$4,$B$5,$F107,$B$6,L$10,$A107,$B107)</f>
        <v>843.2096167418722</v>
      </c>
      <c r="M107" s="4">
        <f ca="1">_xll.DBRW($B$1,$B$2,$B$7,$B$3,$B$4,$B$5,$F107,$B$6,M$10,$A107,$B107)</f>
        <v>888.68802061051224</v>
      </c>
      <c r="N107" s="4">
        <f ca="1">_xll.DBRW($B$1,$B$2,$B$7,$B$3,$B$4,$B$5,$F107,$B$6,N$10,$A107,$B107)</f>
        <v>816.31817602069987</v>
      </c>
      <c r="O107" s="4">
        <f ca="1">_xll.DBRW($B$1,$B$2,$B$7,$B$3,$B$4,$B$5,$F107,$B$6,O$10,$A107,$B107)</f>
        <v>934.2900372057502</v>
      </c>
      <c r="P107" s="4">
        <f ca="1">_xll.DBRW($B$1,$B$2,$B$7,$B$3,$B$4,$B$5,$F107,$B$6,P$10,$A107,$B107)</f>
        <v>927.43915610029057</v>
      </c>
      <c r="Q107" s="4">
        <f ca="1">_xll.DBRW($B$1,$B$2,$B$7,$B$3,$B$4,$B$5,$F107,$B$6,Q$10,$A107,$B107)</f>
        <v>825.99859061797304</v>
      </c>
      <c r="R107" s="4">
        <f ca="1">_xll.DBRW($B$1,$B$2,$B$7,$B$3,$B$4,$B$5,$F107,$B$6,R$10,$A107,$B107)</f>
        <v>796.46544563324335</v>
      </c>
      <c r="S107" s="4">
        <f ca="1">_xll.DBRW($B$1,$B$2,$B$7,$B$3,$B$4,$B$5,$F107,$B$6,S$10,$A107,$B107)</f>
        <v>826.71601478479533</v>
      </c>
      <c r="T107" s="4">
        <f ca="1">_xll.DBRW($B$1,$B$2,$B$7,$B$3,$B$4,$B$5,$F107,$B$6,T$10,$A107,$B107)</f>
        <v>524.10232910603838</v>
      </c>
      <c r="U107" s="4">
        <f ca="1">_xll.DBRW($B$1,$B$2,$B$7,$B$3,$B$4,$B$5,$F107,$B$6,U$10,$A107,$B107)</f>
        <v>453.55016653989907</v>
      </c>
      <c r="V107" s="4">
        <f ca="1">_xll.DBRW($B$1,$B$2,$B$7,$B$3,$B$4,$B$5,$F107,$B$6,V$10,$A107,$B107)</f>
        <v>497.46112508389132</v>
      </c>
      <c r="W107" s="4">
        <f ca="1">_xll.DBRW($B$1,$B$2,$B$7,$B$3,$B$4,$B$5,$F107,$B$6,W$10,$A107,$B107)</f>
        <v>842.74451103327385</v>
      </c>
      <c r="X107" s="4">
        <f ca="1">_xll.DBRW($B$1,$B$2,$B$7,$B$3,$B$4,$B$5,$F107,$B$6,X$10,$A107,$B107)</f>
        <v>882.28465707011583</v>
      </c>
      <c r="Y107" s="4">
        <f ca="1">_xll.DBRW($B$1,$B$2,$B$7,$B$3,$B$4,$B$5,$F107,$B$6,Y$10,$A107,$B107)</f>
        <v>952.05871952729115</v>
      </c>
      <c r="Z107" s="4">
        <f ca="1">_xll.DBRW($B$1,$B$2,$B$7,$B$3,$B$4,$B$5,$F107,$B$6,Z$10,$A107,$B107)</f>
        <v>944.23166232015774</v>
      </c>
      <c r="AA107" s="4">
        <f ca="1">_xll.DBRW($B$1,$B$2,$B$7,$B$3,$B$4,$B$5,$F107,$B$6,AA$10,$A107,$B107)</f>
        <v>885.40785395313048</v>
      </c>
      <c r="AB107" s="4">
        <f ca="1">_xll.DBRW($B$1,$B$2,$B$7,$B$3,$B$4,$B$5,$F107,$B$6,AB$10,$A107,$B107)</f>
        <v>979.40170201096362</v>
      </c>
      <c r="AC107" s="4">
        <f ca="1">_xll.DBRW($B$1,$B$2,$B$7,$B$3,$B$4,$B$5,$F107,$B$6,AC$10,$A107,$B107)</f>
        <v>771.96778664814178</v>
      </c>
      <c r="AD107" s="4">
        <f ca="1">_xll.DBRW($B$1,$B$2,$B$7,$B$3,$B$4,$B$5,$F107,$B$6,AD$10,$A107,$B107)</f>
        <v>473.26931247995225</v>
      </c>
      <c r="AE107" s="4">
        <f ca="1">_xll.DBRW($B$1,$B$2,$B$7,$B$3,$B$4,$B$5,$F107,$B$6,AE$10,$A107,$B107)</f>
        <v>464.84790429001714</v>
      </c>
    </row>
    <row r="108" spans="1:31">
      <c r="A108" s="1" t="s">
        <v>151</v>
      </c>
      <c r="B108" s="5" t="s">
        <v>278</v>
      </c>
      <c r="C108" s="5" t="s">
        <v>279</v>
      </c>
      <c r="D108" s="5" t="s">
        <v>277</v>
      </c>
      <c r="E108" s="5" t="s">
        <v>21</v>
      </c>
      <c r="F108" s="5" t="s">
        <v>22</v>
      </c>
      <c r="G108" s="6"/>
      <c r="H108" s="6"/>
      <c r="I108" s="6"/>
      <c r="J108" s="6"/>
      <c r="K108" s="6"/>
      <c r="L108" s="4">
        <f ca="1">_xll.DBRW($B$1,$B$2,$B$7,$B$3,$B$4,$B$5,$F108,$B$6,L$10,$A108,$B108)</f>
        <v>843.2096167418722</v>
      </c>
      <c r="M108" s="4">
        <f ca="1">_xll.DBRW($B$1,$B$2,$B$7,$B$3,$B$4,$B$5,$F108,$B$6,M$10,$A108,$B108)</f>
        <v>888.68802061051224</v>
      </c>
      <c r="N108" s="4">
        <f ca="1">_xll.DBRW($B$1,$B$2,$B$7,$B$3,$B$4,$B$5,$F108,$B$6,N$10,$A108,$B108)</f>
        <v>816.31817602069987</v>
      </c>
      <c r="O108" s="4">
        <f ca="1">_xll.DBRW($B$1,$B$2,$B$7,$B$3,$B$4,$B$5,$F108,$B$6,O$10,$A108,$B108)</f>
        <v>934.2900372057502</v>
      </c>
      <c r="P108" s="4">
        <f ca="1">_xll.DBRW($B$1,$B$2,$B$7,$B$3,$B$4,$B$5,$F108,$B$6,P$10,$A108,$B108)</f>
        <v>927.43915610029057</v>
      </c>
      <c r="Q108" s="4">
        <f ca="1">_xll.DBRW($B$1,$B$2,$B$7,$B$3,$B$4,$B$5,$F108,$B$6,Q$10,$A108,$B108)</f>
        <v>825.99859061797304</v>
      </c>
      <c r="R108" s="4">
        <f ca="1">_xll.DBRW($B$1,$B$2,$B$7,$B$3,$B$4,$B$5,$F108,$B$6,R$10,$A108,$B108)</f>
        <v>796.46544563324335</v>
      </c>
      <c r="S108" s="4">
        <f ca="1">_xll.DBRW($B$1,$B$2,$B$7,$B$3,$B$4,$B$5,$F108,$B$6,S$10,$A108,$B108)</f>
        <v>826.71601478479533</v>
      </c>
      <c r="T108" s="4">
        <f ca="1">_xll.DBRW($B$1,$B$2,$B$7,$B$3,$B$4,$B$5,$F108,$B$6,T$10,$A108,$B108)</f>
        <v>524.10232910603838</v>
      </c>
      <c r="U108" s="4">
        <f ca="1">_xll.DBRW($B$1,$B$2,$B$7,$B$3,$B$4,$B$5,$F108,$B$6,U$10,$A108,$B108)</f>
        <v>453.55016653989907</v>
      </c>
      <c r="V108" s="4">
        <f ca="1">_xll.DBRW($B$1,$B$2,$B$7,$B$3,$B$4,$B$5,$F108,$B$6,V$10,$A108,$B108)</f>
        <v>497.46112508389132</v>
      </c>
      <c r="W108" s="4">
        <f ca="1">_xll.DBRW($B$1,$B$2,$B$7,$B$3,$B$4,$B$5,$F108,$B$6,W$10,$A108,$B108)</f>
        <v>842.74451103327385</v>
      </c>
      <c r="X108" s="4">
        <f ca="1">_xll.DBRW($B$1,$B$2,$B$7,$B$3,$B$4,$B$5,$F108,$B$6,X$10,$A108,$B108)</f>
        <v>882.28465707011583</v>
      </c>
      <c r="Y108" s="4">
        <f ca="1">_xll.DBRW($B$1,$B$2,$B$7,$B$3,$B$4,$B$5,$F108,$B$6,Y$10,$A108,$B108)</f>
        <v>952.05871952729115</v>
      </c>
      <c r="Z108" s="4">
        <f ca="1">_xll.DBRW($B$1,$B$2,$B$7,$B$3,$B$4,$B$5,$F108,$B$6,Z$10,$A108,$B108)</f>
        <v>944.23166232015774</v>
      </c>
      <c r="AA108" s="4">
        <f ca="1">_xll.DBRW($B$1,$B$2,$B$7,$B$3,$B$4,$B$5,$F108,$B$6,AA$10,$A108,$B108)</f>
        <v>885.40785395313048</v>
      </c>
      <c r="AB108" s="4">
        <f ca="1">_xll.DBRW($B$1,$B$2,$B$7,$B$3,$B$4,$B$5,$F108,$B$6,AB$10,$A108,$B108)</f>
        <v>979.40170201096362</v>
      </c>
      <c r="AC108" s="4">
        <f ca="1">_xll.DBRW($B$1,$B$2,$B$7,$B$3,$B$4,$B$5,$F108,$B$6,AC$10,$A108,$B108)</f>
        <v>771.96778664814178</v>
      </c>
      <c r="AD108" s="4">
        <f ca="1">_xll.DBRW($B$1,$B$2,$B$7,$B$3,$B$4,$B$5,$F108,$B$6,AD$10,$A108,$B108)</f>
        <v>473.26931247995225</v>
      </c>
      <c r="AE108" s="4">
        <f ca="1">_xll.DBRW($B$1,$B$2,$B$7,$B$3,$B$4,$B$5,$F108,$B$6,AE$10,$A108,$B108)</f>
        <v>464.84790429001714</v>
      </c>
    </row>
    <row r="109" spans="1:31">
      <c r="A109" s="1" t="s">
        <v>151</v>
      </c>
      <c r="B109" s="5" t="s">
        <v>280</v>
      </c>
      <c r="C109" s="5" t="s">
        <v>276</v>
      </c>
      <c r="D109" s="5" t="s">
        <v>21</v>
      </c>
      <c r="E109" s="5" t="s">
        <v>277</v>
      </c>
      <c r="F109" s="5" t="s">
        <v>22</v>
      </c>
      <c r="G109" s="6"/>
      <c r="H109" s="6"/>
      <c r="I109" s="6"/>
      <c r="J109" s="6"/>
      <c r="K109" s="6"/>
      <c r="L109" s="4">
        <f ca="1">_xll.DBRW($B$1,$B$2,$B$7,$B$3,$B$4,$B$5,$F109,$B$6,L$10,$A109,$B109)</f>
        <v>0</v>
      </c>
      <c r="M109" s="4">
        <f ca="1">_xll.DBRW($B$1,$B$2,$B$7,$B$3,$B$4,$B$5,$F109,$B$6,M$10,$A109,$B109)</f>
        <v>0</v>
      </c>
      <c r="N109" s="4">
        <f ca="1">_xll.DBRW($B$1,$B$2,$B$7,$B$3,$B$4,$B$5,$F109,$B$6,N$10,$A109,$B109)</f>
        <v>0</v>
      </c>
      <c r="O109" s="4">
        <f ca="1">_xll.DBRW($B$1,$B$2,$B$7,$B$3,$B$4,$B$5,$F109,$B$6,O$10,$A109,$B109)</f>
        <v>0</v>
      </c>
      <c r="P109" s="4">
        <f ca="1">_xll.DBRW($B$1,$B$2,$B$7,$B$3,$B$4,$B$5,$F109,$B$6,P$10,$A109,$B109)</f>
        <v>0</v>
      </c>
      <c r="Q109" s="4">
        <f ca="1">_xll.DBRW($B$1,$B$2,$B$7,$B$3,$B$4,$B$5,$F109,$B$6,Q$10,$A109,$B109)</f>
        <v>64</v>
      </c>
      <c r="R109" s="4">
        <f ca="1">_xll.DBRW($B$1,$B$2,$B$7,$B$3,$B$4,$B$5,$F109,$B$6,R$10,$A109,$B109)</f>
        <v>451.2</v>
      </c>
      <c r="S109" s="4">
        <f ca="1">_xll.DBRW($B$1,$B$2,$B$7,$B$3,$B$4,$B$5,$F109,$B$6,S$10,$A109,$B109)</f>
        <v>396.80000000000007</v>
      </c>
      <c r="T109" s="4">
        <f ca="1">_xll.DBRW($B$1,$B$2,$B$7,$B$3,$B$4,$B$5,$F109,$B$6,T$10,$A109,$B109)</f>
        <v>0</v>
      </c>
      <c r="U109" s="4">
        <f ca="1">_xll.DBRW($B$1,$B$2,$B$7,$B$3,$B$4,$B$5,$F109,$B$6,U$10,$A109,$B109)</f>
        <v>0</v>
      </c>
      <c r="V109" s="4">
        <f ca="1">_xll.DBRW($B$1,$B$2,$B$7,$B$3,$B$4,$B$5,$F109,$B$6,V$10,$A109,$B109)</f>
        <v>0</v>
      </c>
      <c r="W109" s="4">
        <f ca="1">_xll.DBRW($B$1,$B$2,$B$7,$B$3,$B$4,$B$5,$F109,$B$6,W$10,$A109,$B109)</f>
        <v>0</v>
      </c>
      <c r="X109" s="4">
        <f ca="1">_xll.DBRW($B$1,$B$2,$B$7,$B$3,$B$4,$B$5,$F109,$B$6,X$10,$A109,$B109)</f>
        <v>0</v>
      </c>
      <c r="Y109" s="4">
        <f ca="1">_xll.DBRW($B$1,$B$2,$B$7,$B$3,$B$4,$B$5,$F109,$B$6,Y$10,$A109,$B109)</f>
        <v>0</v>
      </c>
      <c r="Z109" s="4">
        <f ca="1">_xll.DBRW($B$1,$B$2,$B$7,$B$3,$B$4,$B$5,$F109,$B$6,Z$10,$A109,$B109)</f>
        <v>0</v>
      </c>
      <c r="AA109" s="4">
        <f ca="1">_xll.DBRW($B$1,$B$2,$B$7,$B$3,$B$4,$B$5,$F109,$B$6,AA$10,$A109,$B109)</f>
        <v>0</v>
      </c>
      <c r="AB109" s="4">
        <f ca="1">_xll.DBRW($B$1,$B$2,$B$7,$B$3,$B$4,$B$5,$F109,$B$6,AB$10,$A109,$B109)</f>
        <v>0</v>
      </c>
      <c r="AC109" s="4">
        <f ca="1">_xll.DBRW($B$1,$B$2,$B$7,$B$3,$B$4,$B$5,$F109,$B$6,AC$10,$A109,$B109)</f>
        <v>0</v>
      </c>
      <c r="AD109" s="4">
        <f ca="1">_xll.DBRW($B$1,$B$2,$B$7,$B$3,$B$4,$B$5,$F109,$B$6,AD$10,$A109,$B109)</f>
        <v>0</v>
      </c>
      <c r="AE109" s="4">
        <f ca="1">_xll.DBRW($B$1,$B$2,$B$7,$B$3,$B$4,$B$5,$F109,$B$6,AE$10,$A109,$B109)</f>
        <v>0</v>
      </c>
    </row>
    <row r="110" spans="1:31">
      <c r="A110" s="1" t="s">
        <v>151</v>
      </c>
      <c r="B110" s="5" t="s">
        <v>281</v>
      </c>
      <c r="C110" s="5" t="s">
        <v>279</v>
      </c>
      <c r="D110" s="5" t="s">
        <v>277</v>
      </c>
      <c r="E110" s="5" t="s">
        <v>21</v>
      </c>
      <c r="F110" s="5" t="s">
        <v>22</v>
      </c>
      <c r="G110" s="6"/>
      <c r="H110" s="6"/>
      <c r="I110" s="6"/>
      <c r="J110" s="6"/>
      <c r="K110" s="6"/>
      <c r="L110" s="4">
        <f ca="1">_xll.DBRW($B$1,$B$2,$B$7,$B$3,$B$4,$B$5,$F110,$B$6,L$10,$A110,$B110)</f>
        <v>0</v>
      </c>
      <c r="M110" s="4">
        <f ca="1">_xll.DBRW($B$1,$B$2,$B$7,$B$3,$B$4,$B$5,$F110,$B$6,M$10,$A110,$B110)</f>
        <v>0</v>
      </c>
      <c r="N110" s="4">
        <f ca="1">_xll.DBRW($B$1,$B$2,$B$7,$B$3,$B$4,$B$5,$F110,$B$6,N$10,$A110,$B110)</f>
        <v>0</v>
      </c>
      <c r="O110" s="4">
        <f ca="1">_xll.DBRW($B$1,$B$2,$B$7,$B$3,$B$4,$B$5,$F110,$B$6,O$10,$A110,$B110)</f>
        <v>0</v>
      </c>
      <c r="P110" s="4">
        <f ca="1">_xll.DBRW($B$1,$B$2,$B$7,$B$3,$B$4,$B$5,$F110,$B$6,P$10,$A110,$B110)</f>
        <v>0</v>
      </c>
      <c r="Q110" s="4">
        <f ca="1">_xll.DBRW($B$1,$B$2,$B$7,$B$3,$B$4,$B$5,$F110,$B$6,Q$10,$A110,$B110)</f>
        <v>64</v>
      </c>
      <c r="R110" s="4">
        <f ca="1">_xll.DBRW($B$1,$B$2,$B$7,$B$3,$B$4,$B$5,$F110,$B$6,R$10,$A110,$B110)</f>
        <v>451.2</v>
      </c>
      <c r="S110" s="4">
        <f ca="1">_xll.DBRW($B$1,$B$2,$B$7,$B$3,$B$4,$B$5,$F110,$B$6,S$10,$A110,$B110)</f>
        <v>396.80000000000007</v>
      </c>
      <c r="T110" s="4">
        <f ca="1">_xll.DBRW($B$1,$B$2,$B$7,$B$3,$B$4,$B$5,$F110,$B$6,T$10,$A110,$B110)</f>
        <v>0</v>
      </c>
      <c r="U110" s="4">
        <f ca="1">_xll.DBRW($B$1,$B$2,$B$7,$B$3,$B$4,$B$5,$F110,$B$6,U$10,$A110,$B110)</f>
        <v>0</v>
      </c>
      <c r="V110" s="4">
        <f ca="1">_xll.DBRW($B$1,$B$2,$B$7,$B$3,$B$4,$B$5,$F110,$B$6,V$10,$A110,$B110)</f>
        <v>0</v>
      </c>
      <c r="W110" s="4">
        <f ca="1">_xll.DBRW($B$1,$B$2,$B$7,$B$3,$B$4,$B$5,$F110,$B$6,W$10,$A110,$B110)</f>
        <v>0</v>
      </c>
      <c r="X110" s="4">
        <f ca="1">_xll.DBRW($B$1,$B$2,$B$7,$B$3,$B$4,$B$5,$F110,$B$6,X$10,$A110,$B110)</f>
        <v>0</v>
      </c>
      <c r="Y110" s="4">
        <f ca="1">_xll.DBRW($B$1,$B$2,$B$7,$B$3,$B$4,$B$5,$F110,$B$6,Y$10,$A110,$B110)</f>
        <v>0</v>
      </c>
      <c r="Z110" s="4">
        <f ca="1">_xll.DBRW($B$1,$B$2,$B$7,$B$3,$B$4,$B$5,$F110,$B$6,Z$10,$A110,$B110)</f>
        <v>0</v>
      </c>
      <c r="AA110" s="4">
        <f ca="1">_xll.DBRW($B$1,$B$2,$B$7,$B$3,$B$4,$B$5,$F110,$B$6,AA$10,$A110,$B110)</f>
        <v>0</v>
      </c>
      <c r="AB110" s="4">
        <f ca="1">_xll.DBRW($B$1,$B$2,$B$7,$B$3,$B$4,$B$5,$F110,$B$6,AB$10,$A110,$B110)</f>
        <v>0</v>
      </c>
      <c r="AC110" s="4">
        <f ca="1">_xll.DBRW($B$1,$B$2,$B$7,$B$3,$B$4,$B$5,$F110,$B$6,AC$10,$A110,$B110)</f>
        <v>0</v>
      </c>
      <c r="AD110" s="4">
        <f ca="1">_xll.DBRW($B$1,$B$2,$B$7,$B$3,$B$4,$B$5,$F110,$B$6,AD$10,$A110,$B110)</f>
        <v>0</v>
      </c>
      <c r="AE110" s="4">
        <f ca="1">_xll.DBRW($B$1,$B$2,$B$7,$B$3,$B$4,$B$5,$F110,$B$6,AE$10,$A110,$B110)</f>
        <v>0</v>
      </c>
    </row>
    <row r="111" spans="1:31">
      <c r="A111" s="1" t="s">
        <v>151</v>
      </c>
      <c r="B111" s="5" t="s">
        <v>282</v>
      </c>
      <c r="C111" s="5" t="s">
        <v>283</v>
      </c>
      <c r="D111" s="5" t="s">
        <v>21</v>
      </c>
      <c r="E111" s="5" t="s">
        <v>284</v>
      </c>
      <c r="F111" s="5" t="s">
        <v>22</v>
      </c>
      <c r="G111" s="6"/>
      <c r="H111" s="6"/>
      <c r="I111" s="6"/>
      <c r="J111" s="6"/>
      <c r="K111" s="6"/>
      <c r="L111" s="4">
        <f ca="1">_xll.DBRW($B$1,$B$2,$B$7,$B$3,$B$4,$B$5,$F111,$B$6,L$10,$A111,$B111)</f>
        <v>0</v>
      </c>
      <c r="M111" s="4">
        <f ca="1">_xll.DBRW($B$1,$B$2,$B$7,$B$3,$B$4,$B$5,$F111,$B$6,M$10,$A111,$B111)</f>
        <v>0</v>
      </c>
      <c r="N111" s="4">
        <f ca="1">_xll.DBRW($B$1,$B$2,$B$7,$B$3,$B$4,$B$5,$F111,$B$6,N$10,$A111,$B111)</f>
        <v>0</v>
      </c>
      <c r="O111" s="4">
        <f ca="1">_xll.DBRW($B$1,$B$2,$B$7,$B$3,$B$4,$B$5,$F111,$B$6,O$10,$A111,$B111)</f>
        <v>0</v>
      </c>
      <c r="P111" s="4">
        <f ca="1">_xll.DBRW($B$1,$B$2,$B$7,$B$3,$B$4,$B$5,$F111,$B$6,P$10,$A111,$B111)</f>
        <v>0</v>
      </c>
      <c r="Q111" s="4">
        <f ca="1">_xll.DBRW($B$1,$B$2,$B$7,$B$3,$B$4,$B$5,$F111,$B$6,Q$10,$A111,$B111)</f>
        <v>119.903021218738</v>
      </c>
      <c r="R111" s="4">
        <f ca="1">_xll.DBRW($B$1,$B$2,$B$7,$B$3,$B$4,$B$5,$F111,$B$6,R$10,$A111,$B111)</f>
        <v>816.37708177407444</v>
      </c>
      <c r="S111" s="4">
        <f ca="1">_xll.DBRW($B$1,$B$2,$B$7,$B$3,$B$4,$B$5,$F111,$B$6,S$10,$A111,$B111)</f>
        <v>888.71971589365489</v>
      </c>
      <c r="T111" s="4">
        <f ca="1">_xll.DBRW($B$1,$B$2,$B$7,$B$3,$B$4,$B$5,$F111,$B$6,T$10,$A111,$B111)</f>
        <v>848.40381246199877</v>
      </c>
      <c r="U111" s="4">
        <f ca="1">_xll.DBRW($B$1,$B$2,$B$7,$B$3,$B$4,$B$5,$F111,$B$6,U$10,$A111,$B111)</f>
        <v>741.39249772105279</v>
      </c>
      <c r="V111" s="4">
        <f ca="1">_xll.DBRW($B$1,$B$2,$B$7,$B$3,$B$4,$B$5,$F111,$B$6,V$10,$A111,$B111)</f>
        <v>675.51282107086786</v>
      </c>
      <c r="W111" s="4">
        <f ca="1">_xll.DBRW($B$1,$B$2,$B$7,$B$3,$B$4,$B$5,$F111,$B$6,W$10,$A111,$B111)</f>
        <v>0</v>
      </c>
      <c r="X111" s="4">
        <f ca="1">_xll.DBRW($B$1,$B$2,$B$7,$B$3,$B$4,$B$5,$F111,$B$6,X$10,$A111,$B111)</f>
        <v>0</v>
      </c>
      <c r="Y111" s="4">
        <f ca="1">_xll.DBRW($B$1,$B$2,$B$7,$B$3,$B$4,$B$5,$F111,$B$6,Y$10,$A111,$B111)</f>
        <v>0</v>
      </c>
      <c r="Z111" s="4">
        <f ca="1">_xll.DBRW($B$1,$B$2,$B$7,$B$3,$B$4,$B$5,$F111,$B$6,Z$10,$A111,$B111)</f>
        <v>0</v>
      </c>
      <c r="AA111" s="4">
        <f ca="1">_xll.DBRW($B$1,$B$2,$B$7,$B$3,$B$4,$B$5,$F111,$B$6,AA$10,$A111,$B111)</f>
        <v>0</v>
      </c>
      <c r="AB111" s="4">
        <f ca="1">_xll.DBRW($B$1,$B$2,$B$7,$B$3,$B$4,$B$5,$F111,$B$6,AB$10,$A111,$B111)</f>
        <v>0</v>
      </c>
      <c r="AC111" s="4">
        <f ca="1">_xll.DBRW($B$1,$B$2,$B$7,$B$3,$B$4,$B$5,$F111,$B$6,AC$10,$A111,$B111)</f>
        <v>141.77654047140686</v>
      </c>
      <c r="AD111" s="4">
        <f ca="1">_xll.DBRW($B$1,$B$2,$B$7,$B$3,$B$4,$B$5,$F111,$B$6,AD$10,$A111,$B111)</f>
        <v>790.4420048570164</v>
      </c>
      <c r="AE111" s="4">
        <f ca="1">_xll.DBRW($B$1,$B$2,$B$7,$B$3,$B$4,$B$5,$F111,$B$6,AE$10,$A111,$B111)</f>
        <v>841.87942670120196</v>
      </c>
    </row>
    <row r="112" spans="1:31">
      <c r="A112" s="1" t="s">
        <v>151</v>
      </c>
      <c r="B112" s="5" t="s">
        <v>285</v>
      </c>
      <c r="C112" s="5" t="s">
        <v>286</v>
      </c>
      <c r="D112" s="5" t="s">
        <v>284</v>
      </c>
      <c r="E112" s="5" t="s">
        <v>21</v>
      </c>
      <c r="F112" s="5" t="s">
        <v>22</v>
      </c>
      <c r="G112" s="6"/>
      <c r="H112" s="6"/>
      <c r="I112" s="6"/>
      <c r="J112" s="6"/>
      <c r="K112" s="6"/>
      <c r="L112" s="4">
        <f ca="1">_xll.DBRW($B$1,$B$2,$B$7,$B$3,$B$4,$B$5,$F112,$B$6,L$10,$A112,$B112)</f>
        <v>0</v>
      </c>
      <c r="M112" s="4">
        <f ca="1">_xll.DBRW($B$1,$B$2,$B$7,$B$3,$B$4,$B$5,$F112,$B$6,M$10,$A112,$B112)</f>
        <v>0</v>
      </c>
      <c r="N112" s="4">
        <f ca="1">_xll.DBRW($B$1,$B$2,$B$7,$B$3,$B$4,$B$5,$F112,$B$6,N$10,$A112,$B112)</f>
        <v>0</v>
      </c>
      <c r="O112" s="4">
        <f ca="1">_xll.DBRW($B$1,$B$2,$B$7,$B$3,$B$4,$B$5,$F112,$B$6,O$10,$A112,$B112)</f>
        <v>0</v>
      </c>
      <c r="P112" s="4">
        <f ca="1">_xll.DBRW($B$1,$B$2,$B$7,$B$3,$B$4,$B$5,$F112,$B$6,P$10,$A112,$B112)</f>
        <v>0</v>
      </c>
      <c r="Q112" s="4">
        <f ca="1">_xll.DBRW($B$1,$B$2,$B$7,$B$3,$B$4,$B$5,$F112,$B$6,Q$10,$A112,$B112)</f>
        <v>119.903021218738</v>
      </c>
      <c r="R112" s="4">
        <f ca="1">_xll.DBRW($B$1,$B$2,$B$7,$B$3,$B$4,$B$5,$F112,$B$6,R$10,$A112,$B112)</f>
        <v>816.37708177407444</v>
      </c>
      <c r="S112" s="4">
        <f ca="1">_xll.DBRW($B$1,$B$2,$B$7,$B$3,$B$4,$B$5,$F112,$B$6,S$10,$A112,$B112)</f>
        <v>888.71971589365489</v>
      </c>
      <c r="T112" s="4">
        <f ca="1">_xll.DBRW($B$1,$B$2,$B$7,$B$3,$B$4,$B$5,$F112,$B$6,T$10,$A112,$B112)</f>
        <v>821.03594754386972</v>
      </c>
      <c r="U112" s="4">
        <f ca="1">_xll.DBRW($B$1,$B$2,$B$7,$B$3,$B$4,$B$5,$F112,$B$6,U$10,$A112,$B112)</f>
        <v>741.39249772105279</v>
      </c>
      <c r="V112" s="4">
        <f ca="1">_xll.DBRW($B$1,$B$2,$B$7,$B$3,$B$4,$B$5,$F112,$B$6,V$10,$A112,$B112)</f>
        <v>699.63827896625605</v>
      </c>
      <c r="W112" s="4">
        <f ca="1">_xll.DBRW($B$1,$B$2,$B$7,$B$3,$B$4,$B$5,$F112,$B$6,W$10,$A112,$B112)</f>
        <v>0</v>
      </c>
      <c r="X112" s="4">
        <f ca="1">_xll.DBRW($B$1,$B$2,$B$7,$B$3,$B$4,$B$5,$F112,$B$6,X$10,$A112,$B112)</f>
        <v>0</v>
      </c>
      <c r="Y112" s="4">
        <f ca="1">_xll.DBRW($B$1,$B$2,$B$7,$B$3,$B$4,$B$5,$F112,$B$6,Y$10,$A112,$B112)</f>
        <v>0</v>
      </c>
      <c r="Z112" s="4">
        <f ca="1">_xll.DBRW($B$1,$B$2,$B$7,$B$3,$B$4,$B$5,$F112,$B$6,Z$10,$A112,$B112)</f>
        <v>0</v>
      </c>
      <c r="AA112" s="4">
        <f ca="1">_xll.DBRW($B$1,$B$2,$B$7,$B$3,$B$4,$B$5,$F112,$B$6,AA$10,$A112,$B112)</f>
        <v>0</v>
      </c>
      <c r="AB112" s="4">
        <f ca="1">_xll.DBRW($B$1,$B$2,$B$7,$B$3,$B$4,$B$5,$F112,$B$6,AB$10,$A112,$B112)</f>
        <v>0</v>
      </c>
      <c r="AC112" s="4">
        <f ca="1">_xll.DBRW($B$1,$B$2,$B$7,$B$3,$B$4,$B$5,$F112,$B$6,AC$10,$A112,$B112)</f>
        <v>118.14711705950573</v>
      </c>
      <c r="AD112" s="4">
        <f ca="1">_xll.DBRW($B$1,$B$2,$B$7,$B$3,$B$4,$B$5,$F112,$B$6,AD$10,$A112,$B112)</f>
        <v>790.4420048570164</v>
      </c>
      <c r="AE112" s="4">
        <f ca="1">_xll.DBRW($B$1,$B$2,$B$7,$B$3,$B$4,$B$5,$F112,$B$6,AE$10,$A112,$B112)</f>
        <v>787.56462497854363</v>
      </c>
    </row>
    <row r="113" spans="1:31">
      <c r="A113" s="1" t="s">
        <v>151</v>
      </c>
      <c r="B113" s="5" t="s">
        <v>287</v>
      </c>
      <c r="C113" s="5" t="s">
        <v>288</v>
      </c>
      <c r="D113" s="5" t="s">
        <v>21</v>
      </c>
      <c r="E113" s="5" t="s">
        <v>289</v>
      </c>
      <c r="F113" s="5" t="s">
        <v>22</v>
      </c>
      <c r="G113" s="6"/>
      <c r="H113" s="6"/>
      <c r="I113" s="6"/>
      <c r="J113" s="6"/>
      <c r="K113" s="6"/>
      <c r="L113" s="4">
        <f ca="1">_xll.DBRW($B$1,$B$2,$B$7,$B$3,$B$4,$B$5,$F113,$B$6,L$10,$A113,$B113)</f>
        <v>0</v>
      </c>
      <c r="M113" s="4">
        <f ca="1">_xll.DBRW($B$1,$B$2,$B$7,$B$3,$B$4,$B$5,$F113,$B$6,M$10,$A113,$B113)</f>
        <v>0</v>
      </c>
      <c r="N113" s="4">
        <f ca="1">_xll.DBRW($B$1,$B$2,$B$7,$B$3,$B$4,$B$5,$F113,$B$6,N$10,$A113,$B113)</f>
        <v>0</v>
      </c>
      <c r="O113" s="4">
        <f ca="1">_xll.DBRW($B$1,$B$2,$B$7,$B$3,$B$4,$B$5,$F113,$B$6,O$10,$A113,$B113)</f>
        <v>0</v>
      </c>
      <c r="P113" s="4">
        <f ca="1">_xll.DBRW($B$1,$B$2,$B$7,$B$3,$B$4,$B$5,$F113,$B$6,P$10,$A113,$B113)</f>
        <v>0</v>
      </c>
      <c r="Q113" s="4">
        <f ca="1">_xll.DBRW($B$1,$B$2,$B$7,$B$3,$B$4,$B$5,$F113,$B$6,Q$10,$A113,$B113)</f>
        <v>192.90848978337283</v>
      </c>
      <c r="R113" s="4">
        <f ca="1">_xll.DBRW($B$1,$B$2,$B$7,$B$3,$B$4,$B$5,$F113,$B$6,R$10,$A113,$B113)</f>
        <v>831.30010369897707</v>
      </c>
      <c r="S113" s="4">
        <f ca="1">_xll.DBRW($B$1,$B$2,$B$7,$B$3,$B$4,$B$5,$F113,$B$6,S$10,$A113,$B113)</f>
        <v>847.50220178504242</v>
      </c>
      <c r="T113" s="4">
        <f ca="1">_xll.DBRW($B$1,$B$2,$B$7,$B$3,$B$4,$B$5,$F113,$B$6,T$10,$A113,$B113)</f>
        <v>798.40013431821421</v>
      </c>
      <c r="U113" s="4">
        <f ca="1">_xll.DBRW($B$1,$B$2,$B$7,$B$3,$B$4,$B$5,$F113,$B$6,U$10,$A113,$B113)</f>
        <v>774.67753548470375</v>
      </c>
      <c r="V113" s="4">
        <f ca="1">_xll.DBRW($B$1,$B$2,$B$7,$B$3,$B$4,$B$5,$F113,$B$6,V$10,$A113,$B113)</f>
        <v>810.62914164063875</v>
      </c>
      <c r="W113" s="4">
        <f ca="1">_xll.DBRW($B$1,$B$2,$B$7,$B$3,$B$4,$B$5,$F113,$B$6,W$10,$A113,$B113)</f>
        <v>0</v>
      </c>
      <c r="X113" s="4">
        <f ca="1">_xll.DBRW($B$1,$B$2,$B$7,$B$3,$B$4,$B$5,$F113,$B$6,X$10,$A113,$B113)</f>
        <v>0</v>
      </c>
      <c r="Y113" s="4">
        <f ca="1">_xll.DBRW($B$1,$B$2,$B$7,$B$3,$B$4,$B$5,$F113,$B$6,Y$10,$A113,$B113)</f>
        <v>0</v>
      </c>
      <c r="Z113" s="4">
        <f ca="1">_xll.DBRW($B$1,$B$2,$B$7,$B$3,$B$4,$B$5,$F113,$B$6,Z$10,$A113,$B113)</f>
        <v>0</v>
      </c>
      <c r="AA113" s="4">
        <f ca="1">_xll.DBRW($B$1,$B$2,$B$7,$B$3,$B$4,$B$5,$F113,$B$6,AA$10,$A113,$B113)</f>
        <v>0</v>
      </c>
      <c r="AB113" s="4">
        <f ca="1">_xll.DBRW($B$1,$B$2,$B$7,$B$3,$B$4,$B$5,$F113,$B$6,AB$10,$A113,$B113)</f>
        <v>0</v>
      </c>
      <c r="AC113" s="4">
        <f ca="1">_xll.DBRW($B$1,$B$2,$B$7,$B$3,$B$4,$B$5,$F113,$B$6,AC$10,$A113,$B113)</f>
        <v>89.113852294792039</v>
      </c>
      <c r="AD113" s="4">
        <f ca="1">_xll.DBRW($B$1,$B$2,$B$7,$B$3,$B$4,$B$5,$F113,$B$6,AD$10,$A113,$B113)</f>
        <v>863.17015255279</v>
      </c>
      <c r="AE113" s="4">
        <f ca="1">_xll.DBRW($B$1,$B$2,$B$7,$B$3,$B$4,$B$5,$F113,$B$6,AE$10,$A113,$B113)</f>
        <v>840.10850144848791</v>
      </c>
    </row>
    <row r="114" spans="1:31">
      <c r="A114" s="1" t="s">
        <v>151</v>
      </c>
      <c r="B114" s="5" t="s">
        <v>290</v>
      </c>
      <c r="C114" s="5" t="s">
        <v>291</v>
      </c>
      <c r="D114" s="5" t="s">
        <v>289</v>
      </c>
      <c r="E114" s="5" t="s">
        <v>21</v>
      </c>
      <c r="F114" s="5" t="s">
        <v>22</v>
      </c>
      <c r="G114" s="6"/>
      <c r="H114" s="6"/>
      <c r="I114" s="6"/>
      <c r="J114" s="6"/>
      <c r="K114" s="6"/>
      <c r="L114" s="4">
        <f ca="1">_xll.DBRW($B$1,$B$2,$B$7,$B$3,$B$4,$B$5,$F114,$B$6,L$10,$A114,$B114)</f>
        <v>0</v>
      </c>
      <c r="M114" s="4">
        <f ca="1">_xll.DBRW($B$1,$B$2,$B$7,$B$3,$B$4,$B$5,$F114,$B$6,M$10,$A114,$B114)</f>
        <v>0</v>
      </c>
      <c r="N114" s="4">
        <f ca="1">_xll.DBRW($B$1,$B$2,$B$7,$B$3,$B$4,$B$5,$F114,$B$6,N$10,$A114,$B114)</f>
        <v>0</v>
      </c>
      <c r="O114" s="4">
        <f ca="1">_xll.DBRW($B$1,$B$2,$B$7,$B$3,$B$4,$B$5,$F114,$B$6,O$10,$A114,$B114)</f>
        <v>0</v>
      </c>
      <c r="P114" s="4">
        <f ca="1">_xll.DBRW($B$1,$B$2,$B$7,$B$3,$B$4,$B$5,$F114,$B$6,P$10,$A114,$B114)</f>
        <v>0</v>
      </c>
      <c r="Q114" s="4">
        <f ca="1">_xll.DBRW($B$1,$B$2,$B$7,$B$3,$B$4,$B$5,$F114,$B$6,Q$10,$A114,$B114)</f>
        <v>129.62633969570555</v>
      </c>
      <c r="R114" s="4">
        <f ca="1">_xll.DBRW($B$1,$B$2,$B$7,$B$3,$B$4,$B$5,$F114,$B$6,R$10,$A114,$B114)</f>
        <v>831.30010369897707</v>
      </c>
      <c r="S114" s="4">
        <f ca="1">_xll.DBRW($B$1,$B$2,$B$7,$B$3,$B$4,$B$5,$F114,$B$6,S$10,$A114,$B114)</f>
        <v>847.50220178504242</v>
      </c>
      <c r="T114" s="4">
        <f ca="1">_xll.DBRW($B$1,$B$2,$B$7,$B$3,$B$4,$B$5,$F114,$B$6,T$10,$A114,$B114)</f>
        <v>798.40013431821421</v>
      </c>
      <c r="U114" s="4">
        <f ca="1">_xll.DBRW($B$1,$B$2,$B$7,$B$3,$B$4,$B$5,$F114,$B$6,U$10,$A114,$B114)</f>
        <v>774.67753548470375</v>
      </c>
      <c r="V114" s="4">
        <f ca="1">_xll.DBRW($B$1,$B$2,$B$7,$B$3,$B$4,$B$5,$F114,$B$6,V$10,$A114,$B114)</f>
        <v>810.62914164063875</v>
      </c>
      <c r="W114" s="4">
        <f ca="1">_xll.DBRW($B$1,$B$2,$B$7,$B$3,$B$4,$B$5,$F114,$B$6,W$10,$A114,$B114)</f>
        <v>0</v>
      </c>
      <c r="X114" s="4">
        <f ca="1">_xll.DBRW($B$1,$B$2,$B$7,$B$3,$B$4,$B$5,$F114,$B$6,X$10,$A114,$B114)</f>
        <v>0</v>
      </c>
      <c r="Y114" s="4">
        <f ca="1">_xll.DBRW($B$1,$B$2,$B$7,$B$3,$B$4,$B$5,$F114,$B$6,Y$10,$A114,$B114)</f>
        <v>0</v>
      </c>
      <c r="Z114" s="4">
        <f ca="1">_xll.DBRW($B$1,$B$2,$B$7,$B$3,$B$4,$B$5,$F114,$B$6,Z$10,$A114,$B114)</f>
        <v>0</v>
      </c>
      <c r="AA114" s="4">
        <f ca="1">_xll.DBRW($B$1,$B$2,$B$7,$B$3,$B$4,$B$5,$F114,$B$6,AA$10,$A114,$B114)</f>
        <v>0</v>
      </c>
      <c r="AB114" s="4">
        <f ca="1">_xll.DBRW($B$1,$B$2,$B$7,$B$3,$B$4,$B$5,$F114,$B$6,AB$10,$A114,$B114)</f>
        <v>0</v>
      </c>
      <c r="AC114" s="4">
        <f ca="1">_xll.DBRW($B$1,$B$2,$B$7,$B$3,$B$4,$B$5,$F114,$B$6,AC$10,$A114,$B114)</f>
        <v>89.113852294792039</v>
      </c>
      <c r="AD114" s="4">
        <f ca="1">_xll.DBRW($B$1,$B$2,$B$7,$B$3,$B$4,$B$5,$F114,$B$6,AD$10,$A114,$B114)</f>
        <v>863.17015255279</v>
      </c>
      <c r="AE114" s="4">
        <f ca="1">_xll.DBRW($B$1,$B$2,$B$7,$B$3,$B$4,$B$5,$F114,$B$6,AE$10,$A114,$B114)</f>
        <v>840.10850144848791</v>
      </c>
    </row>
    <row r="115" spans="1:31">
      <c r="A115" s="1" t="s">
        <v>151</v>
      </c>
      <c r="B115" s="5" t="s">
        <v>292</v>
      </c>
      <c r="C115" s="5" t="s">
        <v>293</v>
      </c>
      <c r="D115" s="5" t="s">
        <v>21</v>
      </c>
      <c r="E115" s="5" t="s">
        <v>294</v>
      </c>
      <c r="F115" s="5" t="s">
        <v>22</v>
      </c>
      <c r="G115" s="6"/>
      <c r="H115" s="6"/>
      <c r="I115" s="6"/>
      <c r="J115" s="6"/>
      <c r="K115" s="6"/>
      <c r="L115" s="4">
        <f ca="1">_xll.DBRW($B$1,$B$2,$B$7,$B$3,$B$4,$B$5,$F115,$B$6,L$10,$A115,$B115)</f>
        <v>1061.4675276435773</v>
      </c>
      <c r="M115" s="4">
        <f ca="1">_xll.DBRW($B$1,$B$2,$B$7,$B$3,$B$4,$B$5,$F115,$B$6,M$10,$A115,$B115)</f>
        <v>1117.4322824508097</v>
      </c>
      <c r="N115" s="4">
        <f ca="1">_xll.DBRW($B$1,$B$2,$B$7,$B$3,$B$4,$B$5,$F115,$B$6,N$10,$A115,$B115)</f>
        <v>1170.1976267285288</v>
      </c>
      <c r="O115" s="4">
        <f ca="1">_xll.DBRW($B$1,$B$2,$B$7,$B$3,$B$4,$B$5,$F115,$B$6,O$10,$A115,$B115)</f>
        <v>1155.1104435019686</v>
      </c>
      <c r="P115" s="4">
        <f ca="1">_xll.DBRW($B$1,$B$2,$B$7,$B$3,$B$4,$B$5,$F115,$B$6,P$10,$A115,$B115)</f>
        <v>1182.927251062084</v>
      </c>
      <c r="Q115" s="4">
        <f ca="1">_xll.DBRW($B$1,$B$2,$B$7,$B$3,$B$4,$B$5,$F115,$B$6,Q$10,$A115,$B115)</f>
        <v>1045.1331802933655</v>
      </c>
      <c r="R115" s="4">
        <f ca="1">_xll.DBRW($B$1,$B$2,$B$7,$B$3,$B$4,$B$5,$F115,$B$6,R$10,$A115,$B115)</f>
        <v>456.81147172126026</v>
      </c>
      <c r="S115" s="4">
        <f ca="1">_xll.DBRW($B$1,$B$2,$B$7,$B$3,$B$4,$B$5,$F115,$B$6,S$10,$A115,$B115)</f>
        <v>498.61040808456528</v>
      </c>
      <c r="T115" s="4">
        <f ca="1">_xll.DBRW($B$1,$B$2,$B$7,$B$3,$B$4,$B$5,$F115,$B$6,T$10,$A115,$B115)</f>
        <v>996.4668459287268</v>
      </c>
      <c r="U115" s="4">
        <f ca="1">_xll.DBRW($B$1,$B$2,$B$7,$B$3,$B$4,$B$5,$F115,$B$6,U$10,$A115,$B115)</f>
        <v>734.15207062834963</v>
      </c>
      <c r="V115" s="4">
        <f ca="1">_xll.DBRW($B$1,$B$2,$B$7,$B$3,$B$4,$B$5,$F115,$B$6,V$10,$A115,$B115)</f>
        <v>895.31400842952598</v>
      </c>
      <c r="W115" s="4">
        <f ca="1">_xll.DBRW($B$1,$B$2,$B$7,$B$3,$B$4,$B$5,$F115,$B$6,W$10,$A115,$B115)</f>
        <v>963.55464683470518</v>
      </c>
      <c r="X115" s="4">
        <f ca="1">_xll.DBRW($B$1,$B$2,$B$7,$B$3,$B$4,$B$5,$F115,$B$6,X$10,$A115,$B115)</f>
        <v>974.98454106165696</v>
      </c>
      <c r="Y115" s="4">
        <f ca="1">_xll.DBRW($B$1,$B$2,$B$7,$B$3,$B$4,$B$5,$F115,$B$6,Y$10,$A115,$B115)</f>
        <v>828.85171254113038</v>
      </c>
      <c r="Z115" s="4">
        <f ca="1">_xll.DBRW($B$1,$B$2,$B$7,$B$3,$B$4,$B$5,$F115,$B$6,Z$10,$A115,$B115)</f>
        <v>936.82487210044906</v>
      </c>
      <c r="AA115" s="4">
        <f ca="1">_xll.DBRW($B$1,$B$2,$B$7,$B$3,$B$4,$B$5,$F115,$B$6,AA$10,$A115,$B115)</f>
        <v>1016.8993776937878</v>
      </c>
      <c r="AB115" s="4">
        <f ca="1">_xll.DBRW($B$1,$B$2,$B$7,$B$3,$B$4,$B$5,$F115,$B$6,AB$10,$A115,$B115)</f>
        <v>975.89419483434756</v>
      </c>
      <c r="AC115" s="4">
        <f ca="1">_xll.DBRW($B$1,$B$2,$B$7,$B$3,$B$4,$B$5,$F115,$B$6,AC$10,$A115,$B115)</f>
        <v>866.13767728755897</v>
      </c>
      <c r="AD115" s="4">
        <f ca="1">_xll.DBRW($B$1,$B$2,$B$7,$B$3,$B$4,$B$5,$F115,$B$6,AD$10,$A115,$B115)</f>
        <v>1214.8797061847456</v>
      </c>
      <c r="AE115" s="4">
        <f ca="1">_xll.DBRW($B$1,$B$2,$B$7,$B$3,$B$4,$B$5,$F115,$B$6,AE$10,$A115,$B115)</f>
        <v>1087.981511392469</v>
      </c>
    </row>
    <row r="116" spans="1:31">
      <c r="A116" s="1" t="s">
        <v>151</v>
      </c>
      <c r="B116" s="5" t="s">
        <v>295</v>
      </c>
      <c r="C116" s="5" t="s">
        <v>296</v>
      </c>
      <c r="D116" s="5" t="s">
        <v>294</v>
      </c>
      <c r="E116" s="5" t="s">
        <v>21</v>
      </c>
      <c r="F116" s="5" t="s">
        <v>22</v>
      </c>
      <c r="G116" s="6"/>
      <c r="H116" s="6"/>
      <c r="I116" s="6"/>
      <c r="J116" s="6"/>
      <c r="K116" s="6"/>
      <c r="L116" s="4">
        <f ca="1">_xll.DBRW($B$1,$B$2,$B$7,$B$3,$B$4,$B$5,$F116,$B$6,L$10,$A116,$B116)</f>
        <v>1072.3243945667612</v>
      </c>
      <c r="M116" s="4">
        <f ca="1">_xll.DBRW($B$1,$B$2,$B$7,$B$3,$B$4,$B$5,$F116,$B$6,M$10,$A116,$B116)</f>
        <v>1105.9759577884593</v>
      </c>
      <c r="N116" s="4">
        <f ca="1">_xll.DBRW($B$1,$B$2,$B$7,$B$3,$B$4,$B$5,$F116,$B$6,N$10,$A116,$B116)</f>
        <v>1170.1976267285288</v>
      </c>
      <c r="O116" s="4">
        <f ca="1">_xll.DBRW($B$1,$B$2,$B$7,$B$3,$B$4,$B$5,$F116,$B$6,O$10,$A116,$B116)</f>
        <v>1155.1104435019686</v>
      </c>
      <c r="P116" s="4">
        <f ca="1">_xll.DBRW($B$1,$B$2,$B$7,$B$3,$B$4,$B$5,$F116,$B$6,P$10,$A116,$B116)</f>
        <v>1182.927251062084</v>
      </c>
      <c r="Q116" s="4">
        <f ca="1">_xll.DBRW($B$1,$B$2,$B$7,$B$3,$B$4,$B$5,$F116,$B$6,Q$10,$A116,$B116)</f>
        <v>1045.1331802933655</v>
      </c>
      <c r="R116" s="4">
        <f ca="1">_xll.DBRW($B$1,$B$2,$B$7,$B$3,$B$4,$B$5,$F116,$B$6,R$10,$A116,$B116)</f>
        <v>456.81147172126026</v>
      </c>
      <c r="S116" s="4">
        <f ca="1">_xll.DBRW($B$1,$B$2,$B$7,$B$3,$B$4,$B$5,$F116,$B$6,S$10,$A116,$B116)</f>
        <v>498.61040808456528</v>
      </c>
      <c r="T116" s="4">
        <f ca="1">_xll.DBRW($B$1,$B$2,$B$7,$B$3,$B$4,$B$5,$F116,$B$6,T$10,$A116,$B116)</f>
        <v>974.18164490156676</v>
      </c>
      <c r="U116" s="4">
        <f ca="1">_xll.DBRW($B$1,$B$2,$B$7,$B$3,$B$4,$B$5,$F116,$B$6,U$10,$A116,$B116)</f>
        <v>734.15207062834963</v>
      </c>
      <c r="V116" s="4">
        <f ca="1">_xll.DBRW($B$1,$B$2,$B$7,$B$3,$B$4,$B$5,$F116,$B$6,V$10,$A116,$B116)</f>
        <v>895.31400842952598</v>
      </c>
      <c r="W116" s="4">
        <f ca="1">_xll.DBRW($B$1,$B$2,$B$7,$B$3,$B$4,$B$5,$F116,$B$6,W$10,$A116,$B116)</f>
        <v>963.55464683470518</v>
      </c>
      <c r="X116" s="4">
        <f ca="1">_xll.DBRW($B$1,$B$2,$B$7,$B$3,$B$4,$B$5,$F116,$B$6,X$10,$A116,$B116)</f>
        <v>974.98454106165696</v>
      </c>
      <c r="Y116" s="4">
        <f ca="1">_xll.DBRW($B$1,$B$2,$B$7,$B$3,$B$4,$B$5,$F116,$B$6,Y$10,$A116,$B116)</f>
        <v>828.85171254113038</v>
      </c>
      <c r="Z116" s="4">
        <f ca="1">_xll.DBRW($B$1,$B$2,$B$7,$B$3,$B$4,$B$5,$F116,$B$6,Z$10,$A116,$B116)</f>
        <v>936.82487210044906</v>
      </c>
      <c r="AA116" s="4">
        <f ca="1">_xll.DBRW($B$1,$B$2,$B$7,$B$3,$B$4,$B$5,$F116,$B$6,AA$10,$A116,$B116)</f>
        <v>1016.8993776937878</v>
      </c>
      <c r="AB116" s="4">
        <f ca="1">_xll.DBRW($B$1,$B$2,$B$7,$B$3,$B$4,$B$5,$F116,$B$6,AB$10,$A116,$B116)</f>
        <v>975.89419483434756</v>
      </c>
      <c r="AC116" s="4">
        <f ca="1">_xll.DBRW($B$1,$B$2,$B$7,$B$3,$B$4,$B$5,$F116,$B$6,AC$10,$A116,$B116)</f>
        <v>866.13767728755897</v>
      </c>
      <c r="AD116" s="4">
        <f ca="1">_xll.DBRW($B$1,$B$2,$B$7,$B$3,$B$4,$B$5,$F116,$B$6,AD$10,$A116,$B116)</f>
        <v>1214.8797061847456</v>
      </c>
      <c r="AE116" s="4">
        <f ca="1">_xll.DBRW($B$1,$B$2,$B$7,$B$3,$B$4,$B$5,$F116,$B$6,AE$10,$A116,$B116)</f>
        <v>1087.981511392469</v>
      </c>
    </row>
    <row r="117" spans="1:31">
      <c r="A117" s="1" t="s">
        <v>151</v>
      </c>
      <c r="B117" s="5" t="s">
        <v>297</v>
      </c>
      <c r="C117" s="5" t="s">
        <v>298</v>
      </c>
      <c r="D117" s="5" t="s">
        <v>21</v>
      </c>
      <c r="E117" s="5" t="s">
        <v>299</v>
      </c>
      <c r="F117" s="5" t="s">
        <v>22</v>
      </c>
      <c r="G117" s="6"/>
      <c r="H117" s="6"/>
      <c r="I117" s="6"/>
      <c r="J117" s="6"/>
      <c r="K117" s="6"/>
      <c r="L117" s="4">
        <f ca="1">_xll.DBRW($B$1,$B$2,$B$7,$B$3,$B$4,$B$5,$F117,$B$6,L$10,$A117,$B117)</f>
        <v>965.11944084913068</v>
      </c>
      <c r="M117" s="4">
        <f ca="1">_xll.DBRW($B$1,$B$2,$B$7,$B$3,$B$4,$B$5,$F117,$B$6,M$10,$A117,$B117)</f>
        <v>957.80819999133007</v>
      </c>
      <c r="N117" s="4">
        <f ca="1">_xll.DBRW($B$1,$B$2,$B$7,$B$3,$B$4,$B$5,$F117,$B$6,N$10,$A117,$B117)</f>
        <v>948.96987962406342</v>
      </c>
      <c r="O117" s="4">
        <f ca="1">_xll.DBRW($B$1,$B$2,$B$7,$B$3,$B$4,$B$5,$F117,$B$6,O$10,$A117,$B117)</f>
        <v>965.43303844594186</v>
      </c>
      <c r="P117" s="4">
        <f ca="1">_xll.DBRW($B$1,$B$2,$B$7,$B$3,$B$4,$B$5,$F117,$B$6,P$10,$A117,$B117)</f>
        <v>947.38408418846882</v>
      </c>
      <c r="Q117" s="4">
        <f ca="1">_xll.DBRW($B$1,$B$2,$B$7,$B$3,$B$4,$B$5,$F117,$B$6,Q$10,$A117,$B117)</f>
        <v>918.92343206249507</v>
      </c>
      <c r="R117" s="4">
        <f ca="1">_xll.DBRW($B$1,$B$2,$B$7,$B$3,$B$4,$B$5,$F117,$B$6,R$10,$A117,$B117)</f>
        <v>896.02362633739892</v>
      </c>
      <c r="S117" s="4">
        <f ca="1">_xll.DBRW($B$1,$B$2,$B$7,$B$3,$B$4,$B$5,$F117,$B$6,S$10,$A117,$B117)</f>
        <v>868.05181552403496</v>
      </c>
      <c r="T117" s="4">
        <f ca="1">_xll.DBRW($B$1,$B$2,$B$7,$B$3,$B$4,$B$5,$F117,$B$6,T$10,$A117,$B117)</f>
        <v>901.92957003236506</v>
      </c>
      <c r="U117" s="4">
        <f ca="1">_xll.DBRW($B$1,$B$2,$B$7,$B$3,$B$4,$B$5,$F117,$B$6,U$10,$A117,$B117)</f>
        <v>846.10585703382071</v>
      </c>
      <c r="V117" s="4">
        <f ca="1">_xll.DBRW($B$1,$B$2,$B$7,$B$3,$B$4,$B$5,$F117,$B$6,V$10,$A117,$B117)</f>
        <v>984.98355449753217</v>
      </c>
      <c r="W117" s="4">
        <f ca="1">_xll.DBRW($B$1,$B$2,$B$7,$B$3,$B$4,$B$5,$F117,$B$6,W$10,$A117,$B117)</f>
        <v>946.02866559486756</v>
      </c>
      <c r="X117" s="4">
        <f ca="1">_xll.DBRW($B$1,$B$2,$B$7,$B$3,$B$4,$B$5,$F117,$B$6,X$10,$A117,$B117)</f>
        <v>980.90488953797274</v>
      </c>
      <c r="Y117" s="4">
        <f ca="1">_xll.DBRW($B$1,$B$2,$B$7,$B$3,$B$4,$B$5,$F117,$B$6,Y$10,$A117,$B117)</f>
        <v>950.911804049887</v>
      </c>
      <c r="Z117" s="4">
        <f ca="1">_xll.DBRW($B$1,$B$2,$B$7,$B$3,$B$4,$B$5,$F117,$B$6,Z$10,$A117,$B117)</f>
        <v>1010.7234445348045</v>
      </c>
      <c r="AA117" s="4">
        <f ca="1">_xll.DBRW($B$1,$B$2,$B$7,$B$3,$B$4,$B$5,$F117,$B$6,AA$10,$A117,$B117)</f>
        <v>1018.8069601781514</v>
      </c>
      <c r="AB117" s="4">
        <f ca="1">_xll.DBRW($B$1,$B$2,$B$7,$B$3,$B$4,$B$5,$F117,$B$6,AB$10,$A117,$B117)</f>
        <v>949.38585628314991</v>
      </c>
      <c r="AC117" s="4">
        <f ca="1">_xll.DBRW($B$1,$B$2,$B$7,$B$3,$B$4,$B$5,$F117,$B$6,AC$10,$A117,$B117)</f>
        <v>865.73666307066571</v>
      </c>
      <c r="AD117" s="4">
        <f ca="1">_xll.DBRW($B$1,$B$2,$B$7,$B$3,$B$4,$B$5,$F117,$B$6,AD$10,$A117,$B117)</f>
        <v>942.54089027253235</v>
      </c>
      <c r="AE117" s="4">
        <f ca="1">_xll.DBRW($B$1,$B$2,$B$7,$B$3,$B$4,$B$5,$F117,$B$6,AE$10,$A117,$B117)</f>
        <v>895.03231289341136</v>
      </c>
    </row>
    <row r="118" spans="1:31">
      <c r="A118" s="1" t="s">
        <v>151</v>
      </c>
      <c r="B118" s="5" t="s">
        <v>300</v>
      </c>
      <c r="C118" s="5" t="s">
        <v>301</v>
      </c>
      <c r="D118" s="5" t="s">
        <v>299</v>
      </c>
      <c r="E118" s="5" t="s">
        <v>21</v>
      </c>
      <c r="F118" s="5" t="s">
        <v>22</v>
      </c>
      <c r="G118" s="6"/>
      <c r="H118" s="6"/>
      <c r="I118" s="6"/>
      <c r="J118" s="6"/>
      <c r="K118" s="6"/>
      <c r="L118" s="4">
        <f ca="1">_xll.DBRW($B$1,$B$2,$B$7,$B$3,$B$4,$B$5,$F118,$B$6,L$10,$A118,$B118)</f>
        <v>965.11944084913068</v>
      </c>
      <c r="M118" s="4">
        <f ca="1">_xll.DBRW($B$1,$B$2,$B$7,$B$3,$B$4,$B$5,$F118,$B$6,M$10,$A118,$B118)</f>
        <v>957.80819999133007</v>
      </c>
      <c r="N118" s="4">
        <f ca="1">_xll.DBRW($B$1,$B$2,$B$7,$B$3,$B$4,$B$5,$F118,$B$6,N$10,$A118,$B118)</f>
        <v>948.96987962406342</v>
      </c>
      <c r="O118" s="4">
        <f ca="1">_xll.DBRW($B$1,$B$2,$B$7,$B$3,$B$4,$B$5,$F118,$B$6,O$10,$A118,$B118)</f>
        <v>965.43303844594186</v>
      </c>
      <c r="P118" s="4">
        <f ca="1">_xll.DBRW($B$1,$B$2,$B$7,$B$3,$B$4,$B$5,$F118,$B$6,P$10,$A118,$B118)</f>
        <v>947.38408418846882</v>
      </c>
      <c r="Q118" s="4">
        <f ca="1">_xll.DBRW($B$1,$B$2,$B$7,$B$3,$B$4,$B$5,$F118,$B$6,Q$10,$A118,$B118)</f>
        <v>918.92343206249507</v>
      </c>
      <c r="R118" s="4">
        <f ca="1">_xll.DBRW($B$1,$B$2,$B$7,$B$3,$B$4,$B$5,$F118,$B$6,R$10,$A118,$B118)</f>
        <v>896.02362633739892</v>
      </c>
      <c r="S118" s="4">
        <f ca="1">_xll.DBRW($B$1,$B$2,$B$7,$B$3,$B$4,$B$5,$F118,$B$6,S$10,$A118,$B118)</f>
        <v>868.05181552403496</v>
      </c>
      <c r="T118" s="4">
        <f ca="1">_xll.DBRW($B$1,$B$2,$B$7,$B$3,$B$4,$B$5,$F118,$B$6,T$10,$A118,$B118)</f>
        <v>901.92957003236506</v>
      </c>
      <c r="U118" s="4">
        <f ca="1">_xll.DBRW($B$1,$B$2,$B$7,$B$3,$B$4,$B$5,$F118,$B$6,U$10,$A118,$B118)</f>
        <v>846.10585703382071</v>
      </c>
      <c r="V118" s="4">
        <f ca="1">_xll.DBRW($B$1,$B$2,$B$7,$B$3,$B$4,$B$5,$F118,$B$6,V$10,$A118,$B118)</f>
        <v>984.98355449753217</v>
      </c>
      <c r="W118" s="4">
        <f ca="1">_xll.DBRW($B$1,$B$2,$B$7,$B$3,$B$4,$B$5,$F118,$B$6,W$10,$A118,$B118)</f>
        <v>946.02866559486756</v>
      </c>
      <c r="X118" s="4">
        <f ca="1">_xll.DBRW($B$1,$B$2,$B$7,$B$3,$B$4,$B$5,$F118,$B$6,X$10,$A118,$B118)</f>
        <v>980.90488953797274</v>
      </c>
      <c r="Y118" s="4">
        <f ca="1">_xll.DBRW($B$1,$B$2,$B$7,$B$3,$B$4,$B$5,$F118,$B$6,Y$10,$A118,$B118)</f>
        <v>950.911804049887</v>
      </c>
      <c r="Z118" s="4">
        <f ca="1">_xll.DBRW($B$1,$B$2,$B$7,$B$3,$B$4,$B$5,$F118,$B$6,Z$10,$A118,$B118)</f>
        <v>1010.7234445348045</v>
      </c>
      <c r="AA118" s="4">
        <f ca="1">_xll.DBRW($B$1,$B$2,$B$7,$B$3,$B$4,$B$5,$F118,$B$6,AA$10,$A118,$B118)</f>
        <v>1018.8069601781514</v>
      </c>
      <c r="AB118" s="4">
        <f ca="1">_xll.DBRW($B$1,$B$2,$B$7,$B$3,$B$4,$B$5,$F118,$B$6,AB$10,$A118,$B118)</f>
        <v>949.38585628314991</v>
      </c>
      <c r="AC118" s="4">
        <f ca="1">_xll.DBRW($B$1,$B$2,$B$7,$B$3,$B$4,$B$5,$F118,$B$6,AC$10,$A118,$B118)</f>
        <v>865.73666307066571</v>
      </c>
      <c r="AD118" s="4">
        <f ca="1">_xll.DBRW($B$1,$B$2,$B$7,$B$3,$B$4,$B$5,$F118,$B$6,AD$10,$A118,$B118)</f>
        <v>942.54089027253235</v>
      </c>
      <c r="AE118" s="4">
        <f ca="1">_xll.DBRW($B$1,$B$2,$B$7,$B$3,$B$4,$B$5,$F118,$B$6,AE$10,$A118,$B118)</f>
        <v>895.03231289341136</v>
      </c>
    </row>
    <row r="119" spans="1:31">
      <c r="A119" s="1" t="s">
        <v>151</v>
      </c>
      <c r="B119" s="5" t="s">
        <v>302</v>
      </c>
      <c r="C119" s="5" t="s">
        <v>303</v>
      </c>
      <c r="D119" s="5" t="s">
        <v>21</v>
      </c>
      <c r="E119" s="5" t="s">
        <v>304</v>
      </c>
      <c r="F119" s="5" t="s">
        <v>22</v>
      </c>
      <c r="G119" s="6"/>
      <c r="H119" s="6"/>
      <c r="I119" s="6"/>
      <c r="J119" s="6"/>
      <c r="K119" s="6"/>
      <c r="L119" s="4">
        <f ca="1">_xll.DBRW($B$1,$B$2,$B$7,$B$3,$B$4,$B$5,$F119,$B$6,L$10,$A119,$B119)</f>
        <v>0</v>
      </c>
      <c r="M119" s="4">
        <f ca="1">_xll.DBRW($B$1,$B$2,$B$7,$B$3,$B$4,$B$5,$F119,$B$6,M$10,$A119,$B119)</f>
        <v>0</v>
      </c>
      <c r="N119" s="4">
        <f ca="1">_xll.DBRW($B$1,$B$2,$B$7,$B$3,$B$4,$B$5,$F119,$B$6,N$10,$A119,$B119)</f>
        <v>0</v>
      </c>
      <c r="O119" s="4">
        <f ca="1">_xll.DBRW($B$1,$B$2,$B$7,$B$3,$B$4,$B$5,$F119,$B$6,O$10,$A119,$B119)</f>
        <v>0</v>
      </c>
      <c r="P119" s="4">
        <f ca="1">_xll.DBRW($B$1,$B$2,$B$7,$B$3,$B$4,$B$5,$F119,$B$6,P$10,$A119,$B119)</f>
        <v>607.9986143009188</v>
      </c>
      <c r="Q119" s="4">
        <f ca="1">_xll.DBRW($B$1,$B$2,$B$7,$B$3,$B$4,$B$5,$F119,$B$6,Q$10,$A119,$B119)</f>
        <v>754.50802581604785</v>
      </c>
      <c r="R119" s="4">
        <f ca="1">_xll.DBRW($B$1,$B$2,$B$7,$B$3,$B$4,$B$5,$F119,$B$6,R$10,$A119,$B119)</f>
        <v>746.68635528116567</v>
      </c>
      <c r="S119" s="4">
        <f ca="1">_xll.DBRW($B$1,$B$2,$B$7,$B$3,$B$4,$B$5,$F119,$B$6,S$10,$A119,$B119)</f>
        <v>778.27226287785584</v>
      </c>
      <c r="T119" s="4">
        <f ca="1">_xll.DBRW($B$1,$B$2,$B$7,$B$3,$B$4,$B$5,$F119,$B$6,T$10,$A119,$B119)</f>
        <v>677.39560616084373</v>
      </c>
      <c r="U119" s="4">
        <f ca="1">_xll.DBRW($B$1,$B$2,$B$7,$B$3,$B$4,$B$5,$F119,$B$6,U$10,$A119,$B119)</f>
        <v>710.51490790703861</v>
      </c>
      <c r="V119" s="4">
        <f ca="1">_xll.DBRW($B$1,$B$2,$B$7,$B$3,$B$4,$B$5,$F119,$B$6,V$10,$A119,$B119)</f>
        <v>975.20477948625864</v>
      </c>
      <c r="W119" s="4">
        <f ca="1">_xll.DBRW($B$1,$B$2,$B$7,$B$3,$B$4,$B$5,$F119,$B$6,W$10,$A119,$B119)</f>
        <v>826.69104946073458</v>
      </c>
      <c r="X119" s="4">
        <f ca="1">_xll.DBRW($B$1,$B$2,$B$7,$B$3,$B$4,$B$5,$F119,$B$6,X$10,$A119,$B119)</f>
        <v>852.048325362887</v>
      </c>
      <c r="Y119" s="4">
        <f ca="1">_xll.DBRW($B$1,$B$2,$B$7,$B$3,$B$4,$B$5,$F119,$B$6,Y$10,$A119,$B119)</f>
        <v>842.56932520930081</v>
      </c>
      <c r="Z119" s="4">
        <f ca="1">_xll.DBRW($B$1,$B$2,$B$7,$B$3,$B$4,$B$5,$F119,$B$6,Z$10,$A119,$B119)</f>
        <v>861.99179881259283</v>
      </c>
      <c r="AA119" s="4">
        <f ca="1">_xll.DBRW($B$1,$B$2,$B$7,$B$3,$B$4,$B$5,$F119,$B$6,AA$10,$A119,$B119)</f>
        <v>831.71417153997788</v>
      </c>
      <c r="AB119" s="4">
        <f ca="1">_xll.DBRW($B$1,$B$2,$B$7,$B$3,$B$4,$B$5,$F119,$B$6,AB$10,$A119,$B119)</f>
        <v>762.28394910994825</v>
      </c>
      <c r="AC119" s="4">
        <f ca="1">_xll.DBRW($B$1,$B$2,$B$7,$B$3,$B$4,$B$5,$F119,$B$6,AC$10,$A119,$B119)</f>
        <v>774.32490910856302</v>
      </c>
      <c r="AD119" s="4">
        <f ca="1">_xll.DBRW($B$1,$B$2,$B$7,$B$3,$B$4,$B$5,$F119,$B$6,AD$10,$A119,$B119)</f>
        <v>876.64170525854956</v>
      </c>
      <c r="AE119" s="4">
        <f ca="1">_xll.DBRW($B$1,$B$2,$B$7,$B$3,$B$4,$B$5,$F119,$B$6,AE$10,$A119,$B119)</f>
        <v>760.96221909814039</v>
      </c>
    </row>
    <row r="120" spans="1:31">
      <c r="A120" s="1" t="s">
        <v>151</v>
      </c>
      <c r="B120" s="5" t="s">
        <v>305</v>
      </c>
      <c r="C120" s="5" t="s">
        <v>306</v>
      </c>
      <c r="D120" s="5" t="s">
        <v>304</v>
      </c>
      <c r="E120" s="5" t="s">
        <v>21</v>
      </c>
      <c r="F120" s="5" t="s">
        <v>22</v>
      </c>
      <c r="G120" s="6"/>
      <c r="H120" s="6"/>
      <c r="I120" s="6"/>
      <c r="J120" s="6"/>
      <c r="K120" s="6"/>
      <c r="L120" s="4">
        <f ca="1">_xll.DBRW($B$1,$B$2,$B$7,$B$3,$B$4,$B$5,$F120,$B$6,L$10,$A120,$B120)</f>
        <v>0</v>
      </c>
      <c r="M120" s="4">
        <f ca="1">_xll.DBRW($B$1,$B$2,$B$7,$B$3,$B$4,$B$5,$F120,$B$6,M$10,$A120,$B120)</f>
        <v>0</v>
      </c>
      <c r="N120" s="4">
        <f ca="1">_xll.DBRW($B$1,$B$2,$B$7,$B$3,$B$4,$B$5,$F120,$B$6,N$10,$A120,$B120)</f>
        <v>0</v>
      </c>
      <c r="O120" s="4">
        <f ca="1">_xll.DBRW($B$1,$B$2,$B$7,$B$3,$B$4,$B$5,$F120,$B$6,O$10,$A120,$B120)</f>
        <v>0</v>
      </c>
      <c r="P120" s="4">
        <f ca="1">_xll.DBRW($B$1,$B$2,$B$7,$B$3,$B$4,$B$5,$F120,$B$6,P$10,$A120,$B120)</f>
        <v>584.72953153137746</v>
      </c>
      <c r="Q120" s="4">
        <f ca="1">_xll.DBRW($B$1,$B$2,$B$7,$B$3,$B$4,$B$5,$F120,$B$6,Q$10,$A120,$B120)</f>
        <v>755.29233769319558</v>
      </c>
      <c r="R120" s="4">
        <f ca="1">_xll.DBRW($B$1,$B$2,$B$7,$B$3,$B$4,$B$5,$F120,$B$6,R$10,$A120,$B120)</f>
        <v>746.68635528116567</v>
      </c>
      <c r="S120" s="4">
        <f ca="1">_xll.DBRW($B$1,$B$2,$B$7,$B$3,$B$4,$B$5,$F120,$B$6,S$10,$A120,$B120)</f>
        <v>778.27226287785584</v>
      </c>
      <c r="T120" s="4">
        <f ca="1">_xll.DBRW($B$1,$B$2,$B$7,$B$3,$B$4,$B$5,$F120,$B$6,T$10,$A120,$B120)</f>
        <v>677.39560616084373</v>
      </c>
      <c r="U120" s="4">
        <f ca="1">_xll.DBRW($B$1,$B$2,$B$7,$B$3,$B$4,$B$5,$F120,$B$6,U$10,$A120,$B120)</f>
        <v>710.51490790703861</v>
      </c>
      <c r="V120" s="4">
        <f ca="1">_xll.DBRW($B$1,$B$2,$B$7,$B$3,$B$4,$B$5,$F120,$B$6,V$10,$A120,$B120)</f>
        <v>975.20477948625864</v>
      </c>
      <c r="W120" s="4">
        <f ca="1">_xll.DBRW($B$1,$B$2,$B$7,$B$3,$B$4,$B$5,$F120,$B$6,W$10,$A120,$B120)</f>
        <v>826.69104946073458</v>
      </c>
      <c r="X120" s="4">
        <f ca="1">_xll.DBRW($B$1,$B$2,$B$7,$B$3,$B$4,$B$5,$F120,$B$6,X$10,$A120,$B120)</f>
        <v>852.048325362887</v>
      </c>
      <c r="Y120" s="4">
        <f ca="1">_xll.DBRW($B$1,$B$2,$B$7,$B$3,$B$4,$B$5,$F120,$B$6,Y$10,$A120,$B120)</f>
        <v>842.56932520930081</v>
      </c>
      <c r="Z120" s="4">
        <f ca="1">_xll.DBRW($B$1,$B$2,$B$7,$B$3,$B$4,$B$5,$F120,$B$6,Z$10,$A120,$B120)</f>
        <v>861.99179881259283</v>
      </c>
      <c r="AA120" s="4">
        <f ca="1">_xll.DBRW($B$1,$B$2,$B$7,$B$3,$B$4,$B$5,$F120,$B$6,AA$10,$A120,$B120)</f>
        <v>831.71417153997788</v>
      </c>
      <c r="AB120" s="4">
        <f ca="1">_xll.DBRW($B$1,$B$2,$B$7,$B$3,$B$4,$B$5,$F120,$B$6,AB$10,$A120,$B120)</f>
        <v>762.28394910994825</v>
      </c>
      <c r="AC120" s="4">
        <f ca="1">_xll.DBRW($B$1,$B$2,$B$7,$B$3,$B$4,$B$5,$F120,$B$6,AC$10,$A120,$B120)</f>
        <v>774.32490910856302</v>
      </c>
      <c r="AD120" s="4">
        <f ca="1">_xll.DBRW($B$1,$B$2,$B$7,$B$3,$B$4,$B$5,$F120,$B$6,AD$10,$A120,$B120)</f>
        <v>876.64170525854956</v>
      </c>
      <c r="AE120" s="4">
        <f ca="1">_xll.DBRW($B$1,$B$2,$B$7,$B$3,$B$4,$B$5,$F120,$B$6,AE$10,$A120,$B120)</f>
        <v>760.96221909814039</v>
      </c>
    </row>
    <row r="121" spans="1:31">
      <c r="A121" s="1" t="s">
        <v>151</v>
      </c>
      <c r="B121" s="5" t="s">
        <v>307</v>
      </c>
      <c r="C121" s="5" t="s">
        <v>308</v>
      </c>
      <c r="D121" s="5" t="s">
        <v>21</v>
      </c>
      <c r="E121" s="5" t="s">
        <v>309</v>
      </c>
      <c r="F121" s="5" t="s">
        <v>22</v>
      </c>
      <c r="G121" s="6"/>
      <c r="H121" s="6"/>
      <c r="I121" s="6"/>
      <c r="J121" s="6"/>
      <c r="K121" s="6"/>
      <c r="L121" s="4">
        <f ca="1">_xll.DBRW($B$1,$B$2,$B$7,$B$3,$B$4,$B$5,$F121,$B$6,L$10,$A121,$B121)</f>
        <v>0</v>
      </c>
      <c r="M121" s="4">
        <f ca="1">_xll.DBRW($B$1,$B$2,$B$7,$B$3,$B$4,$B$5,$F121,$B$6,M$10,$A121,$B121)</f>
        <v>0</v>
      </c>
      <c r="N121" s="4">
        <f ca="1">_xll.DBRW($B$1,$B$2,$B$7,$B$3,$B$4,$B$5,$F121,$B$6,N$10,$A121,$B121)</f>
        <v>0</v>
      </c>
      <c r="O121" s="4">
        <f ca="1">_xll.DBRW($B$1,$B$2,$B$7,$B$3,$B$4,$B$5,$F121,$B$6,O$10,$A121,$B121)</f>
        <v>0</v>
      </c>
      <c r="P121" s="4">
        <f ca="1">_xll.DBRW($B$1,$B$2,$B$7,$B$3,$B$4,$B$5,$F121,$B$6,P$10,$A121,$B121)</f>
        <v>0</v>
      </c>
      <c r="Q121" s="4">
        <f ca="1">_xll.DBRW($B$1,$B$2,$B$7,$B$3,$B$4,$B$5,$F121,$B$6,Q$10,$A121,$B121)</f>
        <v>146.2816858868604</v>
      </c>
      <c r="R121" s="4">
        <f ca="1">_xll.DBRW($B$1,$B$2,$B$7,$B$3,$B$4,$B$5,$F121,$B$6,R$10,$A121,$B121)</f>
        <v>806.42126370365906</v>
      </c>
      <c r="S121" s="4">
        <f ca="1">_xll.DBRW($B$1,$B$2,$B$7,$B$3,$B$4,$B$5,$F121,$B$6,S$10,$A121,$B121)</f>
        <v>868.05181552403496</v>
      </c>
      <c r="T121" s="4">
        <f ca="1">_xll.DBRW($B$1,$B$2,$B$7,$B$3,$B$4,$B$5,$F121,$B$6,T$10,$A121,$B121)</f>
        <v>990.85970222272863</v>
      </c>
      <c r="U121" s="4">
        <f ca="1">_xll.DBRW($B$1,$B$2,$B$7,$B$3,$B$4,$B$5,$F121,$B$6,U$10,$A121,$B121)</f>
        <v>908.13713187056283</v>
      </c>
      <c r="V121" s="4">
        <f ca="1">_xll.DBRW($B$1,$B$2,$B$7,$B$3,$B$4,$B$5,$F121,$B$6,V$10,$A121,$B121)</f>
        <v>926.65174361649815</v>
      </c>
      <c r="W121" s="4">
        <f ca="1">_xll.DBRW($B$1,$B$2,$B$7,$B$3,$B$4,$B$5,$F121,$B$6,W$10,$A121,$B121)</f>
        <v>0</v>
      </c>
      <c r="X121" s="4">
        <f ca="1">_xll.DBRW($B$1,$B$2,$B$7,$B$3,$B$4,$B$5,$F121,$B$6,X$10,$A121,$B121)</f>
        <v>0</v>
      </c>
      <c r="Y121" s="4">
        <f ca="1">_xll.DBRW($B$1,$B$2,$B$7,$B$3,$B$4,$B$5,$F121,$B$6,Y$10,$A121,$B121)</f>
        <v>0</v>
      </c>
      <c r="Z121" s="4">
        <f ca="1">_xll.DBRW($B$1,$B$2,$B$7,$B$3,$B$4,$B$5,$F121,$B$6,Z$10,$A121,$B121)</f>
        <v>0</v>
      </c>
      <c r="AA121" s="4">
        <f ca="1">_xll.DBRW($B$1,$B$2,$B$7,$B$3,$B$4,$B$5,$F121,$B$6,AA$10,$A121,$B121)</f>
        <v>0</v>
      </c>
      <c r="AB121" s="4">
        <f ca="1">_xll.DBRW($B$1,$B$2,$B$7,$B$3,$B$4,$B$5,$F121,$B$6,AB$10,$A121,$B121)</f>
        <v>0</v>
      </c>
      <c r="AC121" s="4">
        <f ca="1">_xll.DBRW($B$1,$B$2,$B$7,$B$3,$B$4,$B$5,$F121,$B$6,AC$10,$A121,$B121)</f>
        <v>195.97527741078611</v>
      </c>
      <c r="AD121" s="4">
        <f ca="1">_xll.DBRW($B$1,$B$2,$B$7,$B$3,$B$4,$B$5,$F121,$B$6,AD$10,$A121,$B121)</f>
        <v>723.79633858135719</v>
      </c>
      <c r="AE121" s="4">
        <f ca="1">_xll.DBRW($B$1,$B$2,$B$7,$B$3,$B$4,$B$5,$F121,$B$6,AE$10,$A121,$B121)</f>
        <v>728.12847047764501</v>
      </c>
    </row>
    <row r="122" spans="1:31">
      <c r="A122" s="1" t="s">
        <v>151</v>
      </c>
      <c r="B122" s="5" t="s">
        <v>310</v>
      </c>
      <c r="C122" s="5" t="s">
        <v>311</v>
      </c>
      <c r="D122" s="5" t="s">
        <v>309</v>
      </c>
      <c r="E122" s="5" t="s">
        <v>21</v>
      </c>
      <c r="F122" s="5" t="s">
        <v>22</v>
      </c>
      <c r="G122" s="6"/>
      <c r="H122" s="6"/>
      <c r="I122" s="6"/>
      <c r="J122" s="6"/>
      <c r="K122" s="6"/>
      <c r="L122" s="4">
        <f ca="1">_xll.DBRW($B$1,$B$2,$B$7,$B$3,$B$4,$B$5,$F122,$B$6,L$10,$A122,$B122)</f>
        <v>0</v>
      </c>
      <c r="M122" s="4">
        <f ca="1">_xll.DBRW($B$1,$B$2,$B$7,$B$3,$B$4,$B$5,$F122,$B$6,M$10,$A122,$B122)</f>
        <v>0</v>
      </c>
      <c r="N122" s="4">
        <f ca="1">_xll.DBRW($B$1,$B$2,$B$7,$B$3,$B$4,$B$5,$F122,$B$6,N$10,$A122,$B122)</f>
        <v>0</v>
      </c>
      <c r="O122" s="4">
        <f ca="1">_xll.DBRW($B$1,$B$2,$B$7,$B$3,$B$4,$B$5,$F122,$B$6,O$10,$A122,$B122)</f>
        <v>0</v>
      </c>
      <c r="P122" s="4">
        <f ca="1">_xll.DBRW($B$1,$B$2,$B$7,$B$3,$B$4,$B$5,$F122,$B$6,P$10,$A122,$B122)</f>
        <v>0</v>
      </c>
      <c r="Q122" s="4">
        <f ca="1">_xll.DBRW($B$1,$B$2,$B$7,$B$3,$B$4,$B$5,$F122,$B$6,Q$10,$A122,$B122)</f>
        <v>121.90140490571699</v>
      </c>
      <c r="R122" s="4">
        <f ca="1">_xll.DBRW($B$1,$B$2,$B$7,$B$3,$B$4,$B$5,$F122,$B$6,R$10,$A122,$B122)</f>
        <v>806.42126370365906</v>
      </c>
      <c r="S122" s="4">
        <f ca="1">_xll.DBRW($B$1,$B$2,$B$7,$B$3,$B$4,$B$5,$F122,$B$6,S$10,$A122,$B122)</f>
        <v>868.05181552403496</v>
      </c>
      <c r="T122" s="4">
        <f ca="1">_xll.DBRW($B$1,$B$2,$B$7,$B$3,$B$4,$B$5,$F122,$B$6,T$10,$A122,$B122)</f>
        <v>990.85970222272863</v>
      </c>
      <c r="U122" s="4">
        <f ca="1">_xll.DBRW($B$1,$B$2,$B$7,$B$3,$B$4,$B$5,$F122,$B$6,U$10,$A122,$B122)</f>
        <v>908.13713187056283</v>
      </c>
      <c r="V122" s="4">
        <f ca="1">_xll.DBRW($B$1,$B$2,$B$7,$B$3,$B$4,$B$5,$F122,$B$6,V$10,$A122,$B122)</f>
        <v>926.65174361649815</v>
      </c>
      <c r="W122" s="4">
        <f ca="1">_xll.DBRW($B$1,$B$2,$B$7,$B$3,$B$4,$B$5,$F122,$B$6,W$10,$A122,$B122)</f>
        <v>0</v>
      </c>
      <c r="X122" s="4">
        <f ca="1">_xll.DBRW($B$1,$B$2,$B$7,$B$3,$B$4,$B$5,$F122,$B$6,X$10,$A122,$B122)</f>
        <v>0</v>
      </c>
      <c r="Y122" s="4">
        <f ca="1">_xll.DBRW($B$1,$B$2,$B$7,$B$3,$B$4,$B$5,$F122,$B$6,Y$10,$A122,$B122)</f>
        <v>0</v>
      </c>
      <c r="Z122" s="4">
        <f ca="1">_xll.DBRW($B$1,$B$2,$B$7,$B$3,$B$4,$B$5,$F122,$B$6,Z$10,$A122,$B122)</f>
        <v>0</v>
      </c>
      <c r="AA122" s="4">
        <f ca="1">_xll.DBRW($B$1,$B$2,$B$7,$B$3,$B$4,$B$5,$F122,$B$6,AA$10,$A122,$B122)</f>
        <v>0</v>
      </c>
      <c r="AB122" s="4">
        <f ca="1">_xll.DBRW($B$1,$B$2,$B$7,$B$3,$B$4,$B$5,$F122,$B$6,AB$10,$A122,$B122)</f>
        <v>0</v>
      </c>
      <c r="AC122" s="4">
        <f ca="1">_xll.DBRW($B$1,$B$2,$B$7,$B$3,$B$4,$B$5,$F122,$B$6,AC$10,$A122,$B122)</f>
        <v>195.97527741078611</v>
      </c>
      <c r="AD122" s="4">
        <f ca="1">_xll.DBRW($B$1,$B$2,$B$7,$B$3,$B$4,$B$5,$F122,$B$6,AD$10,$A122,$B122)</f>
        <v>723.79633858135719</v>
      </c>
      <c r="AE122" s="4">
        <f ca="1">_xll.DBRW($B$1,$B$2,$B$7,$B$3,$B$4,$B$5,$F122,$B$6,AE$10,$A122,$B122)</f>
        <v>728.12847047764501</v>
      </c>
    </row>
    <row r="123" spans="1:31">
      <c r="A123" s="1" t="s">
        <v>151</v>
      </c>
      <c r="B123" s="5" t="s">
        <v>158</v>
      </c>
      <c r="C123" s="5" t="s">
        <v>159</v>
      </c>
      <c r="D123" s="5" t="s">
        <v>21</v>
      </c>
      <c r="E123" s="5" t="s">
        <v>38</v>
      </c>
      <c r="F123" s="5" t="s">
        <v>24</v>
      </c>
      <c r="G123" s="6"/>
      <c r="H123" s="6"/>
      <c r="I123" s="6"/>
      <c r="J123" s="6"/>
      <c r="K123" s="6"/>
      <c r="L123" s="4">
        <f ca="1">_xll.DBRW($B$1,$B$2,$B$7,$B$3,$B$4,$B$5,$F123,$B$6,L$10,$A123,$B123)</f>
        <v>1041.8152325808308</v>
      </c>
      <c r="M123" s="4">
        <f ca="1">_xll.DBRW($B$1,$B$2,$B$7,$B$3,$B$4,$B$5,$F123,$B$6,M$10,$A123,$B123)</f>
        <v>1054.4867362994182</v>
      </c>
      <c r="N123" s="4">
        <f ca="1">_xll.DBRW($B$1,$B$2,$B$7,$B$3,$B$4,$B$5,$F123,$B$6,N$10,$A123,$B123)</f>
        <v>1111.9404389535468</v>
      </c>
      <c r="O123" s="4">
        <f ca="1">_xll.DBRW($B$1,$B$2,$B$7,$B$3,$B$4,$B$5,$F123,$B$6,O$10,$A123,$B123)</f>
        <v>1084.4019232375811</v>
      </c>
      <c r="P123" s="4">
        <f ca="1">_xll.DBRW($B$1,$B$2,$B$7,$B$3,$B$4,$B$5,$F123,$B$6,P$10,$A123,$B123)</f>
        <v>1115.4971714790906</v>
      </c>
      <c r="Q123" s="4">
        <f ca="1">_xll.DBRW($B$1,$B$2,$B$7,$B$3,$B$4,$B$5,$F123,$B$6,Q$10,$A123,$B123)</f>
        <v>1140.1736071265043</v>
      </c>
      <c r="R123" s="4">
        <f ca="1">_xll.DBRW($B$1,$B$2,$B$7,$B$3,$B$4,$B$5,$F123,$B$6,R$10,$A123,$B123)</f>
        <v>1466.1699918415688</v>
      </c>
      <c r="S123" s="4">
        <f ca="1">_xll.DBRW($B$1,$B$2,$B$7,$B$3,$B$4,$B$5,$F123,$B$6,S$10,$A123,$B123)</f>
        <v>1805.3729609557502</v>
      </c>
      <c r="T123" s="4">
        <f ca="1">_xll.DBRW($B$1,$B$2,$B$7,$B$3,$B$4,$B$5,$F123,$B$6,T$10,$A123,$B123)</f>
        <v>1129.8220020166234</v>
      </c>
      <c r="U123" s="4">
        <f ca="1">_xll.DBRW($B$1,$B$2,$B$7,$B$3,$B$4,$B$5,$F123,$B$6,U$10,$A123,$B123)</f>
        <v>1003.5861091136771</v>
      </c>
      <c r="V123" s="4">
        <f ca="1">_xll.DBRW($B$1,$B$2,$B$7,$B$3,$B$4,$B$5,$F123,$B$6,V$10,$A123,$B123)</f>
        <v>1284.6148078395804</v>
      </c>
      <c r="W123" s="4">
        <f ca="1">_xll.DBRW($B$1,$B$2,$B$7,$B$3,$B$4,$B$5,$F123,$B$6,W$10,$A123,$B123)</f>
        <v>1432.0455863258667</v>
      </c>
      <c r="X123" s="4">
        <f ca="1">_xll.DBRW($B$1,$B$2,$B$7,$B$3,$B$4,$B$5,$F123,$B$6,X$10,$A123,$B123)</f>
        <v>1503.2540573368838</v>
      </c>
      <c r="Y123" s="4">
        <f ca="1">_xll.DBRW($B$1,$B$2,$B$7,$B$3,$B$4,$B$5,$F123,$B$6,Y$10,$A123,$B123)</f>
        <v>1488.1565649807653</v>
      </c>
      <c r="Z123" s="4">
        <f ca="1">_xll.DBRW($B$1,$B$2,$B$7,$B$3,$B$4,$B$5,$F123,$B$6,Z$10,$A123,$B123)</f>
        <v>1529.2145592993186</v>
      </c>
      <c r="AA123" s="4">
        <f ca="1">_xll.DBRW($B$1,$B$2,$B$7,$B$3,$B$4,$B$5,$F123,$B$6,AA$10,$A123,$B123)</f>
        <v>1392.8303566150544</v>
      </c>
      <c r="AB123" s="4">
        <f ca="1">_xll.DBRW($B$1,$B$2,$B$7,$B$3,$B$4,$B$5,$F123,$B$6,AB$10,$A123,$B123)</f>
        <v>1365.5376844186778</v>
      </c>
      <c r="AC123" s="4">
        <f ca="1">_xll.DBRW($B$1,$B$2,$B$7,$B$3,$B$4,$B$5,$F123,$B$6,AC$10,$A123,$B123)</f>
        <v>1432.3905566260601</v>
      </c>
      <c r="AD123" s="4">
        <f ca="1">_xll.DBRW($B$1,$B$2,$B$7,$B$3,$B$4,$B$5,$F123,$B$6,AD$10,$A123,$B123)</f>
        <v>1250.0970138559367</v>
      </c>
      <c r="AE123" s="4">
        <f ca="1">_xll.DBRW($B$1,$B$2,$B$7,$B$3,$B$4,$B$5,$F123,$B$6,AE$10,$A123,$B123)</f>
        <v>1300.3749169785117</v>
      </c>
    </row>
    <row r="124" spans="1:31">
      <c r="A124" s="1" t="s">
        <v>151</v>
      </c>
      <c r="B124" s="5" t="s">
        <v>36</v>
      </c>
      <c r="C124" s="5" t="s">
        <v>37</v>
      </c>
      <c r="D124" s="5" t="s">
        <v>38</v>
      </c>
      <c r="E124" s="5" t="s">
        <v>21</v>
      </c>
      <c r="F124" s="5" t="s">
        <v>24</v>
      </c>
      <c r="G124" s="6"/>
      <c r="H124" s="6"/>
      <c r="I124" s="6"/>
      <c r="J124" s="6"/>
      <c r="K124" s="6"/>
      <c r="L124" s="4">
        <f ca="1">_xll.DBRW($B$1,$B$2,$B$7,$B$3,$B$4,$B$5,$F124,$B$6,L$10,$A124,$B124)</f>
        <v>1044.2418208554755</v>
      </c>
      <c r="M124" s="4">
        <f ca="1">_xll.DBRW($B$1,$B$2,$B$7,$B$3,$B$4,$B$5,$F124,$B$6,M$10,$A124,$B124)</f>
        <v>1054.4867362994182</v>
      </c>
      <c r="N124" s="4">
        <f ca="1">_xll.DBRW($B$1,$B$2,$B$7,$B$3,$B$4,$B$5,$F124,$B$6,N$10,$A124,$B124)</f>
        <v>1116.9341834398654</v>
      </c>
      <c r="O124" s="4">
        <f ca="1">_xll.DBRW($B$1,$B$2,$B$7,$B$3,$B$4,$B$5,$F124,$B$6,O$10,$A124,$B124)</f>
        <v>1084.4019232375811</v>
      </c>
      <c r="P124" s="4">
        <f ca="1">_xll.DBRW($B$1,$B$2,$B$7,$B$3,$B$4,$B$5,$F124,$B$6,P$10,$A124,$B124)</f>
        <v>1115.4971714790906</v>
      </c>
      <c r="Q124" s="4">
        <f ca="1">_xll.DBRW($B$1,$B$2,$B$7,$B$3,$B$4,$B$5,$F124,$B$6,Q$10,$A124,$B124)</f>
        <v>1140.1736071265043</v>
      </c>
      <c r="R124" s="4">
        <f ca="1">_xll.DBRW($B$1,$B$2,$B$7,$B$3,$B$4,$B$5,$F124,$B$6,R$10,$A124,$B124)</f>
        <v>1466.1699918415688</v>
      </c>
      <c r="S124" s="4">
        <f ca="1">_xll.DBRW($B$1,$B$2,$B$7,$B$3,$B$4,$B$5,$F124,$B$6,S$10,$A124,$B124)</f>
        <v>1805.3729609557502</v>
      </c>
      <c r="T124" s="4">
        <f ca="1">_xll.DBRW($B$1,$B$2,$B$7,$B$3,$B$4,$B$5,$F124,$B$6,T$10,$A124,$B124)</f>
        <v>1125.8604942956674</v>
      </c>
      <c r="U124" s="4">
        <f ca="1">_xll.DBRW($B$1,$B$2,$B$7,$B$3,$B$4,$B$5,$F124,$B$6,U$10,$A124,$B124)</f>
        <v>1000.4693820667403</v>
      </c>
      <c r="V124" s="4">
        <f ca="1">_xll.DBRW($B$1,$B$2,$B$7,$B$3,$B$4,$B$5,$F124,$B$6,V$10,$A124,$B124)</f>
        <v>1273.8798651556842</v>
      </c>
      <c r="W124" s="4">
        <f ca="1">_xll.DBRW($B$1,$B$2,$B$7,$B$3,$B$4,$B$5,$F124,$B$6,W$10,$A124,$B124)</f>
        <v>1376.1608805180283</v>
      </c>
      <c r="X124" s="4">
        <f ca="1">_xll.DBRW($B$1,$B$2,$B$7,$B$3,$B$4,$B$5,$F124,$B$6,X$10,$A124,$B124)</f>
        <v>1439.4366681103179</v>
      </c>
      <c r="Y124" s="4">
        <f ca="1">_xll.DBRW($B$1,$B$2,$B$7,$B$3,$B$4,$B$5,$F124,$B$6,Y$10,$A124,$B124)</f>
        <v>1422.4220418650505</v>
      </c>
      <c r="Z124" s="4">
        <f ca="1">_xll.DBRW($B$1,$B$2,$B$7,$B$3,$B$4,$B$5,$F124,$B$6,Z$10,$A124,$B124)</f>
        <v>1464.2950732913287</v>
      </c>
      <c r="AA124" s="4">
        <f ca="1">_xll.DBRW($B$1,$B$2,$B$7,$B$3,$B$4,$B$5,$F124,$B$6,AA$10,$A124,$B124)</f>
        <v>1339.9589789025017</v>
      </c>
      <c r="AB124" s="4">
        <f ca="1">_xll.DBRW($B$1,$B$2,$B$7,$B$3,$B$4,$B$5,$F124,$B$6,AB$10,$A124,$B124)</f>
        <v>1305.5872494929795</v>
      </c>
      <c r="AC124" s="4">
        <f ca="1">_xll.DBRW($B$1,$B$2,$B$7,$B$3,$B$4,$B$5,$F124,$B$6,AC$10,$A124,$B124)</f>
        <v>1382.7877244707229</v>
      </c>
      <c r="AD124" s="4">
        <f ca="1">_xll.DBRW($B$1,$B$2,$B$7,$B$3,$B$4,$B$5,$F124,$B$6,AD$10,$A124,$B124)</f>
        <v>1246.4735442505569</v>
      </c>
      <c r="AE124" s="4">
        <f ca="1">_xll.DBRW($B$1,$B$2,$B$7,$B$3,$B$4,$B$5,$F124,$B$6,AE$10,$A124,$B124)</f>
        <v>1305.8463401916053</v>
      </c>
    </row>
    <row r="125" spans="1:31">
      <c r="A125" s="1" t="s">
        <v>151</v>
      </c>
      <c r="B125" s="5" t="s">
        <v>160</v>
      </c>
      <c r="C125" s="5" t="s">
        <v>161</v>
      </c>
      <c r="D125" s="5" t="s">
        <v>21</v>
      </c>
      <c r="E125" s="5" t="s">
        <v>69</v>
      </c>
      <c r="F125" s="5" t="s">
        <v>24</v>
      </c>
      <c r="G125" s="6"/>
      <c r="H125" s="6"/>
      <c r="I125" s="6"/>
      <c r="J125" s="6"/>
      <c r="K125" s="6"/>
      <c r="L125" s="4">
        <f ca="1">_xll.DBRW($B$1,$B$2,$B$7,$B$3,$B$4,$B$5,$F125,$B$6,L$10,$A125,$B125)</f>
        <v>1200.6491868843684</v>
      </c>
      <c r="M125" s="4">
        <f ca="1">_xll.DBRW($B$1,$B$2,$B$7,$B$3,$B$4,$B$5,$F125,$B$6,M$10,$A125,$B125)</f>
        <v>1175.9250544932102</v>
      </c>
      <c r="N125" s="4">
        <f ca="1">_xll.DBRW($B$1,$B$2,$B$7,$B$3,$B$4,$B$5,$F125,$B$6,N$10,$A125,$B125)</f>
        <v>1057.7625988882035</v>
      </c>
      <c r="O125" s="4">
        <f ca="1">_xll.DBRW($B$1,$B$2,$B$7,$B$3,$B$4,$B$5,$F125,$B$6,O$10,$A125,$B125)</f>
        <v>1070.9161038319965</v>
      </c>
      <c r="P125" s="4">
        <f ca="1">_xll.DBRW($B$1,$B$2,$B$7,$B$3,$B$4,$B$5,$F125,$B$6,P$10,$A125,$B125)</f>
        <v>799.88770698202984</v>
      </c>
      <c r="Q125" s="4">
        <f ca="1">_xll.DBRW($B$1,$B$2,$B$7,$B$3,$B$4,$B$5,$F125,$B$6,Q$10,$A125,$B125)</f>
        <v>927.72373400073445</v>
      </c>
      <c r="R125" s="4">
        <f ca="1">_xll.DBRW($B$1,$B$2,$B$7,$B$3,$B$4,$B$5,$F125,$B$6,R$10,$A125,$B125)</f>
        <v>895.02309477079189</v>
      </c>
      <c r="S125" s="4">
        <f ca="1">_xll.DBRW($B$1,$B$2,$B$7,$B$3,$B$4,$B$5,$F125,$B$6,S$10,$A125,$B125)</f>
        <v>906.3263453185117</v>
      </c>
      <c r="T125" s="4">
        <f ca="1">_xll.DBRW($B$1,$B$2,$B$7,$B$3,$B$4,$B$5,$F125,$B$6,T$10,$A125,$B125)</f>
        <v>1350.8215730198494</v>
      </c>
      <c r="U125" s="4">
        <f ca="1">_xll.DBRW($B$1,$B$2,$B$7,$B$3,$B$4,$B$5,$F125,$B$6,U$10,$A125,$B125)</f>
        <v>1171.8454268317719</v>
      </c>
      <c r="V125" s="4">
        <f ca="1">_xll.DBRW($B$1,$B$2,$B$7,$B$3,$B$4,$B$5,$F125,$B$6,V$10,$A125,$B125)</f>
        <v>1395.8362437278295</v>
      </c>
      <c r="W125" s="4">
        <f ca="1">_xll.DBRW($B$1,$B$2,$B$7,$B$3,$B$4,$B$5,$F125,$B$6,W$10,$A125,$B125)</f>
        <v>1296.6075196772431</v>
      </c>
      <c r="X125" s="4">
        <f ca="1">_xll.DBRW($B$1,$B$2,$B$7,$B$3,$B$4,$B$5,$F125,$B$6,X$10,$A125,$B125)</f>
        <v>1313.8271775502758</v>
      </c>
      <c r="Y125" s="4">
        <f ca="1">_xll.DBRW($B$1,$B$2,$B$7,$B$3,$B$4,$B$5,$F125,$B$6,Y$10,$A125,$B125)</f>
        <v>1327.5275436820109</v>
      </c>
      <c r="Z125" s="4">
        <f ca="1">_xll.DBRW($B$1,$B$2,$B$7,$B$3,$B$4,$B$5,$F125,$B$6,Z$10,$A125,$B125)</f>
        <v>1358.0045449279644</v>
      </c>
      <c r="AA125" s="4">
        <f ca="1">_xll.DBRW($B$1,$B$2,$B$7,$B$3,$B$4,$B$5,$F125,$B$6,AA$10,$A125,$B125)</f>
        <v>1263.6373906783333</v>
      </c>
      <c r="AB125" s="4">
        <f ca="1">_xll.DBRW($B$1,$B$2,$B$7,$B$3,$B$4,$B$5,$F125,$B$6,AB$10,$A125,$B125)</f>
        <v>1112.3402620318996</v>
      </c>
      <c r="AC125" s="4">
        <f ca="1">_xll.DBRW($B$1,$B$2,$B$7,$B$3,$B$4,$B$5,$F125,$B$6,AC$10,$A125,$B125)</f>
        <v>1185.3215594308163</v>
      </c>
      <c r="AD125" s="4">
        <f ca="1">_xll.DBRW($B$1,$B$2,$B$7,$B$3,$B$4,$B$5,$F125,$B$6,AD$10,$A125,$B125)</f>
        <v>1035.4382410784035</v>
      </c>
      <c r="AE125" s="4">
        <f ca="1">_xll.DBRW($B$1,$B$2,$B$7,$B$3,$B$4,$B$5,$F125,$B$6,AE$10,$A125,$B125)</f>
        <v>1059.9953513634466</v>
      </c>
    </row>
    <row r="126" spans="1:31">
      <c r="A126" s="1" t="s">
        <v>151</v>
      </c>
      <c r="B126" s="5" t="s">
        <v>67</v>
      </c>
      <c r="C126" s="5" t="s">
        <v>68</v>
      </c>
      <c r="D126" s="5" t="s">
        <v>69</v>
      </c>
      <c r="E126" s="5" t="s">
        <v>21</v>
      </c>
      <c r="F126" s="5" t="s">
        <v>24</v>
      </c>
      <c r="G126" s="6"/>
      <c r="H126" s="6"/>
      <c r="I126" s="6"/>
      <c r="J126" s="6"/>
      <c r="K126" s="6"/>
      <c r="L126" s="4">
        <f ca="1">_xll.DBRW($B$1,$B$2,$B$7,$B$3,$B$4,$B$5,$F126,$B$6,L$10,$A126,$B126)</f>
        <v>1200.6491868843684</v>
      </c>
      <c r="M126" s="4">
        <f ca="1">_xll.DBRW($B$1,$B$2,$B$7,$B$3,$B$4,$B$5,$F126,$B$6,M$10,$A126,$B126)</f>
        <v>1175.9250544932102</v>
      </c>
      <c r="N126" s="4">
        <f ca="1">_xll.DBRW($B$1,$B$2,$B$7,$B$3,$B$4,$B$5,$F126,$B$6,N$10,$A126,$B126)</f>
        <v>1057.7625988882035</v>
      </c>
      <c r="O126" s="4">
        <f ca="1">_xll.DBRW($B$1,$B$2,$B$7,$B$3,$B$4,$B$5,$F126,$B$6,O$10,$A126,$B126)</f>
        <v>1070.9161038319965</v>
      </c>
      <c r="P126" s="4">
        <f ca="1">_xll.DBRW($B$1,$B$2,$B$7,$B$3,$B$4,$B$5,$F126,$B$6,P$10,$A126,$B126)</f>
        <v>799.88770698202984</v>
      </c>
      <c r="Q126" s="4">
        <f ca="1">_xll.DBRW($B$1,$B$2,$B$7,$B$3,$B$4,$B$5,$F126,$B$6,Q$10,$A126,$B126)</f>
        <v>927.72373400073445</v>
      </c>
      <c r="R126" s="4">
        <f ca="1">_xll.DBRW($B$1,$B$2,$B$7,$B$3,$B$4,$B$5,$F126,$B$6,R$10,$A126,$B126)</f>
        <v>895.02309477079189</v>
      </c>
      <c r="S126" s="4">
        <f ca="1">_xll.DBRW($B$1,$B$2,$B$7,$B$3,$B$4,$B$5,$F126,$B$6,S$10,$A126,$B126)</f>
        <v>906.3263453185117</v>
      </c>
      <c r="T126" s="4">
        <f ca="1">_xll.DBRW($B$1,$B$2,$B$7,$B$3,$B$4,$B$5,$F126,$B$6,T$10,$A126,$B126)</f>
        <v>1350.8215730198494</v>
      </c>
      <c r="U126" s="4">
        <f ca="1">_xll.DBRW($B$1,$B$2,$B$7,$B$3,$B$4,$B$5,$F126,$B$6,U$10,$A126,$B126)</f>
        <v>1171.8454268317719</v>
      </c>
      <c r="V126" s="4">
        <f ca="1">_xll.DBRW($B$1,$B$2,$B$7,$B$3,$B$4,$B$5,$F126,$B$6,V$10,$A126,$B126)</f>
        <v>1395.8362437278295</v>
      </c>
      <c r="W126" s="4">
        <f ca="1">_xll.DBRW($B$1,$B$2,$B$7,$B$3,$B$4,$B$5,$F126,$B$6,W$10,$A126,$B126)</f>
        <v>1296.6075196772431</v>
      </c>
      <c r="X126" s="4">
        <f ca="1">_xll.DBRW($B$1,$B$2,$B$7,$B$3,$B$4,$B$5,$F126,$B$6,X$10,$A126,$B126)</f>
        <v>1313.8271775502758</v>
      </c>
      <c r="Y126" s="4">
        <f ca="1">_xll.DBRW($B$1,$B$2,$B$7,$B$3,$B$4,$B$5,$F126,$B$6,Y$10,$A126,$B126)</f>
        <v>1327.5275436820109</v>
      </c>
      <c r="Z126" s="4">
        <f ca="1">_xll.DBRW($B$1,$B$2,$B$7,$B$3,$B$4,$B$5,$F126,$B$6,Z$10,$A126,$B126)</f>
        <v>1358.0045449279644</v>
      </c>
      <c r="AA126" s="4">
        <f ca="1">_xll.DBRW($B$1,$B$2,$B$7,$B$3,$B$4,$B$5,$F126,$B$6,AA$10,$A126,$B126)</f>
        <v>1263.6373906783333</v>
      </c>
      <c r="AB126" s="4">
        <f ca="1">_xll.DBRW($B$1,$B$2,$B$7,$B$3,$B$4,$B$5,$F126,$B$6,AB$10,$A126,$B126)</f>
        <v>1112.3402620318996</v>
      </c>
      <c r="AC126" s="4">
        <f ca="1">_xll.DBRW($B$1,$B$2,$B$7,$B$3,$B$4,$B$5,$F126,$B$6,AC$10,$A126,$B126)</f>
        <v>1185.3215594308163</v>
      </c>
      <c r="AD126" s="4">
        <f ca="1">_xll.DBRW($B$1,$B$2,$B$7,$B$3,$B$4,$B$5,$F126,$B$6,AD$10,$A126,$B126)</f>
        <v>1035.4382410784035</v>
      </c>
      <c r="AE126" s="4">
        <f ca="1">_xll.DBRW($B$1,$B$2,$B$7,$B$3,$B$4,$B$5,$F126,$B$6,AE$10,$A126,$B126)</f>
        <v>1025.8019529323676</v>
      </c>
    </row>
    <row r="127" spans="1:31">
      <c r="A127" s="1" t="s">
        <v>151</v>
      </c>
      <c r="B127" s="5" t="s">
        <v>162</v>
      </c>
      <c r="C127" s="5" t="s">
        <v>163</v>
      </c>
      <c r="D127" s="5" t="s">
        <v>21</v>
      </c>
      <c r="E127" s="5" t="s">
        <v>54</v>
      </c>
      <c r="F127" s="5" t="s">
        <v>24</v>
      </c>
      <c r="G127" s="6"/>
      <c r="H127" s="6"/>
      <c r="I127" s="6"/>
      <c r="J127" s="6"/>
      <c r="K127" s="6"/>
      <c r="L127" s="4">
        <f ca="1">_xll.DBRW($B$1,$B$2,$B$7,$B$3,$B$4,$B$5,$F127,$B$6,L$10,$A127,$B127)</f>
        <v>835.41746077134064</v>
      </c>
      <c r="M127" s="4">
        <f ca="1">_xll.DBRW($B$1,$B$2,$B$7,$B$3,$B$4,$B$5,$F127,$B$6,M$10,$A127,$B127)</f>
        <v>1004.1224123474658</v>
      </c>
      <c r="N127" s="4">
        <f ca="1">_xll.DBRW($B$1,$B$2,$B$7,$B$3,$B$4,$B$5,$F127,$B$6,N$10,$A127,$B127)</f>
        <v>1286.5333850217742</v>
      </c>
      <c r="O127" s="4">
        <f ca="1">_xll.DBRW($B$1,$B$2,$B$7,$B$3,$B$4,$B$5,$F127,$B$6,O$10,$A127,$B127)</f>
        <v>1628.8934196136211</v>
      </c>
      <c r="P127" s="4">
        <f ca="1">_xll.DBRW($B$1,$B$2,$B$7,$B$3,$B$4,$B$5,$F127,$B$6,P$10,$A127,$B127)</f>
        <v>1622.3285216770823</v>
      </c>
      <c r="Q127" s="4">
        <f ca="1">_xll.DBRW($B$1,$B$2,$B$7,$B$3,$B$4,$B$5,$F127,$B$6,Q$10,$A127,$B127)</f>
        <v>1497.7463012291073</v>
      </c>
      <c r="R127" s="4">
        <f ca="1">_xll.DBRW($B$1,$B$2,$B$7,$B$3,$B$4,$B$5,$F127,$B$6,R$10,$A127,$B127)</f>
        <v>1415.1894580846401</v>
      </c>
      <c r="S127" s="4">
        <f ca="1">_xll.DBRW($B$1,$B$2,$B$7,$B$3,$B$4,$B$5,$F127,$B$6,S$10,$A127,$B127)</f>
        <v>1480.4058279837152</v>
      </c>
      <c r="T127" s="4">
        <f ca="1">_xll.DBRW($B$1,$B$2,$B$7,$B$3,$B$4,$B$5,$F127,$B$6,T$10,$A127,$B127)</f>
        <v>1349.4142132447507</v>
      </c>
      <c r="U127" s="4">
        <f ca="1">_xll.DBRW($B$1,$B$2,$B$7,$B$3,$B$4,$B$5,$F127,$B$6,U$10,$A127,$B127)</f>
        <v>1167.8142925438974</v>
      </c>
      <c r="V127" s="4">
        <f ca="1">_xll.DBRW($B$1,$B$2,$B$7,$B$3,$B$4,$B$5,$F127,$B$6,V$10,$A127,$B127)</f>
        <v>1509.6237553494038</v>
      </c>
      <c r="W127" s="4">
        <f ca="1">_xll.DBRW($B$1,$B$2,$B$7,$B$3,$B$4,$B$5,$F127,$B$6,W$10,$A127,$B127)</f>
        <v>1549.2374814827006</v>
      </c>
      <c r="X127" s="4">
        <f ca="1">_xll.DBRW($B$1,$B$2,$B$7,$B$3,$B$4,$B$5,$F127,$B$6,X$10,$A127,$B127)</f>
        <v>1680.5420783355771</v>
      </c>
      <c r="Y127" s="4">
        <f ca="1">_xll.DBRW($B$1,$B$2,$B$7,$B$3,$B$4,$B$5,$F127,$B$6,Y$10,$A127,$B127)</f>
        <v>1685.8647417043803</v>
      </c>
      <c r="Z127" s="4">
        <f ca="1">_xll.DBRW($B$1,$B$2,$B$7,$B$3,$B$4,$B$5,$F127,$B$6,Z$10,$A127,$B127)</f>
        <v>1741.5632968073764</v>
      </c>
      <c r="AA127" s="4">
        <f ca="1">_xll.DBRW($B$1,$B$2,$B$7,$B$3,$B$4,$B$5,$F127,$B$6,AA$10,$A127,$B127)</f>
        <v>1642.6537752629997</v>
      </c>
      <c r="AB127" s="4">
        <f ca="1">_xll.DBRW($B$1,$B$2,$B$7,$B$3,$B$4,$B$5,$F127,$B$6,AB$10,$A127,$B127)</f>
        <v>1639.6797321322274</v>
      </c>
      <c r="AC127" s="4">
        <f ca="1">_xll.DBRW($B$1,$B$2,$B$7,$B$3,$B$4,$B$5,$F127,$B$6,AC$10,$A127,$B127)</f>
        <v>1606.9049085280044</v>
      </c>
      <c r="AD127" s="4">
        <f ca="1">_xll.DBRW($B$1,$B$2,$B$7,$B$3,$B$4,$B$5,$F127,$B$6,AD$10,$A127,$B127)</f>
        <v>1557.6785290762625</v>
      </c>
      <c r="AE127" s="4">
        <f ca="1">_xll.DBRW($B$1,$B$2,$B$7,$B$3,$B$4,$B$5,$F127,$B$6,AE$10,$A127,$B127)</f>
        <v>1576.1997884599361</v>
      </c>
    </row>
    <row r="128" spans="1:31">
      <c r="A128" s="1" t="s">
        <v>151</v>
      </c>
      <c r="B128" s="5" t="s">
        <v>52</v>
      </c>
      <c r="C128" s="5" t="s">
        <v>53</v>
      </c>
      <c r="D128" s="5" t="s">
        <v>54</v>
      </c>
      <c r="E128" s="5" t="s">
        <v>21</v>
      </c>
      <c r="F128" s="5" t="s">
        <v>24</v>
      </c>
      <c r="G128" s="6"/>
      <c r="H128" s="6"/>
      <c r="I128" s="6"/>
      <c r="J128" s="6"/>
      <c r="K128" s="6"/>
      <c r="L128" s="4">
        <f ca="1">_xll.DBRW($B$1,$B$2,$B$7,$B$3,$B$4,$B$5,$F128,$B$6,L$10,$A128,$B128)</f>
        <v>835.41746077134064</v>
      </c>
      <c r="M128" s="4">
        <f ca="1">_xll.DBRW($B$1,$B$2,$B$7,$B$3,$B$4,$B$5,$F128,$B$6,M$10,$A128,$B128)</f>
        <v>1004.1224123474658</v>
      </c>
      <c r="N128" s="4">
        <f ca="1">_xll.DBRW($B$1,$B$2,$B$7,$B$3,$B$4,$B$5,$F128,$B$6,N$10,$A128,$B128)</f>
        <v>1340.7032117595331</v>
      </c>
      <c r="O128" s="4">
        <f ca="1">_xll.DBRW($B$1,$B$2,$B$7,$B$3,$B$4,$B$5,$F128,$B$6,O$10,$A128,$B128)</f>
        <v>1628.8934196136211</v>
      </c>
      <c r="P128" s="4">
        <f ca="1">_xll.DBRW($B$1,$B$2,$B$7,$B$3,$B$4,$B$5,$F128,$B$6,P$10,$A128,$B128)</f>
        <v>1622.3285216770823</v>
      </c>
      <c r="Q128" s="4">
        <f ca="1">_xll.DBRW($B$1,$B$2,$B$7,$B$3,$B$4,$B$5,$F128,$B$6,Q$10,$A128,$B128)</f>
        <v>1497.7463012291073</v>
      </c>
      <c r="R128" s="4">
        <f ca="1">_xll.DBRW($B$1,$B$2,$B$7,$B$3,$B$4,$B$5,$F128,$B$6,R$10,$A128,$B128)</f>
        <v>1415.1894580846401</v>
      </c>
      <c r="S128" s="4">
        <f ca="1">_xll.DBRW($B$1,$B$2,$B$7,$B$3,$B$4,$B$5,$F128,$B$6,S$10,$A128,$B128)</f>
        <v>1480.4058279837152</v>
      </c>
      <c r="T128" s="4">
        <f ca="1">_xll.DBRW($B$1,$B$2,$B$7,$B$3,$B$4,$B$5,$F128,$B$6,T$10,$A128,$B128)</f>
        <v>1349.4142132447507</v>
      </c>
      <c r="U128" s="4">
        <f ca="1">_xll.DBRW($B$1,$B$2,$B$7,$B$3,$B$4,$B$5,$F128,$B$6,U$10,$A128,$B128)</f>
        <v>1167.8142925438974</v>
      </c>
      <c r="V128" s="4">
        <f ca="1">_xll.DBRW($B$1,$B$2,$B$7,$B$3,$B$4,$B$5,$F128,$B$6,V$10,$A128,$B128)</f>
        <v>1509.6237553494038</v>
      </c>
      <c r="W128" s="4">
        <f ca="1">_xll.DBRW($B$1,$B$2,$B$7,$B$3,$B$4,$B$5,$F128,$B$6,W$10,$A128,$B128)</f>
        <v>1549.2374814827006</v>
      </c>
      <c r="X128" s="4">
        <f ca="1">_xll.DBRW($B$1,$B$2,$B$7,$B$3,$B$4,$B$5,$F128,$B$6,X$10,$A128,$B128)</f>
        <v>1680.5420783355771</v>
      </c>
      <c r="Y128" s="4">
        <f ca="1">_xll.DBRW($B$1,$B$2,$B$7,$B$3,$B$4,$B$5,$F128,$B$6,Y$10,$A128,$B128)</f>
        <v>1685.8647417043803</v>
      </c>
      <c r="Z128" s="4">
        <f ca="1">_xll.DBRW($B$1,$B$2,$B$7,$B$3,$B$4,$B$5,$F128,$B$6,Z$10,$A128,$B128)</f>
        <v>1741.5632968073764</v>
      </c>
      <c r="AA128" s="4">
        <f ca="1">_xll.DBRW($B$1,$B$2,$B$7,$B$3,$B$4,$B$5,$F128,$B$6,AA$10,$A128,$B128)</f>
        <v>1642.6537752629997</v>
      </c>
      <c r="AB128" s="4">
        <f ca="1">_xll.DBRW($B$1,$B$2,$B$7,$B$3,$B$4,$B$5,$F128,$B$6,AB$10,$A128,$B128)</f>
        <v>1639.6797321322274</v>
      </c>
      <c r="AC128" s="4">
        <f ca="1">_xll.DBRW($B$1,$B$2,$B$7,$B$3,$B$4,$B$5,$F128,$B$6,AC$10,$A128,$B128)</f>
        <v>1606.9049085280044</v>
      </c>
      <c r="AD128" s="4">
        <f ca="1">_xll.DBRW($B$1,$B$2,$B$7,$B$3,$B$4,$B$5,$F128,$B$6,AD$10,$A128,$B128)</f>
        <v>1557.6785290762625</v>
      </c>
      <c r="AE128" s="4">
        <f ca="1">_xll.DBRW($B$1,$B$2,$B$7,$B$3,$B$4,$B$5,$F128,$B$6,AE$10,$A128,$B128)</f>
        <v>1525.3546339934869</v>
      </c>
    </row>
    <row r="129" spans="1:31">
      <c r="A129" s="1" t="s">
        <v>151</v>
      </c>
      <c r="B129" s="5" t="s">
        <v>164</v>
      </c>
      <c r="C129" s="5" t="s">
        <v>159</v>
      </c>
      <c r="D129" s="5" t="s">
        <v>21</v>
      </c>
      <c r="E129" s="5" t="s">
        <v>38</v>
      </c>
      <c r="F129" s="5" t="s">
        <v>24</v>
      </c>
      <c r="G129" s="6"/>
      <c r="H129" s="6"/>
      <c r="I129" s="6"/>
      <c r="J129" s="6"/>
      <c r="K129" s="6"/>
      <c r="L129" s="4">
        <f ca="1">_xll.DBRW($B$1,$B$2,$B$7,$B$3,$B$4,$B$5,$F129,$B$6,L$10,$A129,$B129)</f>
        <v>1161.5269207966403</v>
      </c>
      <c r="M129" s="4">
        <f ca="1">_xll.DBRW($B$1,$B$2,$B$7,$B$3,$B$4,$B$5,$F129,$B$6,M$10,$A129,$B129)</f>
        <v>1212.4050398031957</v>
      </c>
      <c r="N129" s="4">
        <f ca="1">_xll.DBRW($B$1,$B$2,$B$7,$B$3,$B$4,$B$5,$F129,$B$6,N$10,$A129,$B129)</f>
        <v>1221.8028176525504</v>
      </c>
      <c r="O129" s="4">
        <f ca="1">_xll.DBRW($B$1,$B$2,$B$7,$B$3,$B$4,$B$5,$F129,$B$6,O$10,$A129,$B129)</f>
        <v>1172.1945826900987</v>
      </c>
      <c r="P129" s="4">
        <f ca="1">_xll.DBRW($B$1,$B$2,$B$7,$B$3,$B$4,$B$5,$F129,$B$6,P$10,$A129,$B129)</f>
        <v>1205.568371660632</v>
      </c>
      <c r="Q129" s="4">
        <f ca="1">_xll.DBRW($B$1,$B$2,$B$7,$B$3,$B$4,$B$5,$F129,$B$6,Q$10,$A129,$B129)</f>
        <v>1322.0763043160948</v>
      </c>
      <c r="R129" s="4">
        <f ca="1">_xll.DBRW($B$1,$B$2,$B$7,$B$3,$B$4,$B$5,$F129,$B$6,R$10,$A129,$B129)</f>
        <v>1510.7756926515638</v>
      </c>
      <c r="S129" s="4">
        <f ca="1">_xll.DBRW($B$1,$B$2,$B$7,$B$3,$B$4,$B$5,$F129,$B$6,S$10,$A129,$B129)</f>
        <v>1805.3729609557502</v>
      </c>
      <c r="T129" s="4">
        <f ca="1">_xll.DBRW($B$1,$B$2,$B$7,$B$3,$B$4,$B$5,$F129,$B$6,T$10,$A129,$B129)</f>
        <v>1277.1900892361828</v>
      </c>
      <c r="U129" s="4">
        <f ca="1">_xll.DBRW($B$1,$B$2,$B$7,$B$3,$B$4,$B$5,$F129,$B$6,U$10,$A129,$B129)</f>
        <v>1125.1384639442153</v>
      </c>
      <c r="V129" s="4">
        <f ca="1">_xll.DBRW($B$1,$B$2,$B$7,$B$3,$B$4,$B$5,$F129,$B$6,V$10,$A129,$B129)</f>
        <v>1433.1148483001446</v>
      </c>
      <c r="W129" s="4">
        <f ca="1">_xll.DBRW($B$1,$B$2,$B$7,$B$3,$B$4,$B$5,$F129,$B$6,W$10,$A129,$B129)</f>
        <v>1277.4894468260629</v>
      </c>
      <c r="X129" s="4">
        <f ca="1">_xll.DBRW($B$1,$B$2,$B$7,$B$3,$B$4,$B$5,$F129,$B$6,X$10,$A129,$B129)</f>
        <v>1364.9830473459908</v>
      </c>
      <c r="Y129" s="4">
        <f ca="1">_xll.DBRW($B$1,$B$2,$B$7,$B$3,$B$4,$B$5,$F129,$B$6,Y$10,$A129,$B129)</f>
        <v>1353.0356007984628</v>
      </c>
      <c r="Z129" s="4">
        <f ca="1">_xll.DBRW($B$1,$B$2,$B$7,$B$3,$B$4,$B$5,$F129,$B$6,Z$10,$A129,$B129)</f>
        <v>1369.6208228630103</v>
      </c>
      <c r="AA129" s="4">
        <f ca="1">_xll.DBRW($B$1,$B$2,$B$7,$B$3,$B$4,$B$5,$F129,$B$6,AA$10,$A129,$B129)</f>
        <v>1272.2175262082935</v>
      </c>
      <c r="AB129" s="4">
        <f ca="1">_xll.DBRW($B$1,$B$2,$B$7,$B$3,$B$4,$B$5,$F129,$B$6,AB$10,$A129,$B129)</f>
        <v>1216.494242033956</v>
      </c>
      <c r="AC129" s="4">
        <f ca="1">_xll.DBRW($B$1,$B$2,$B$7,$B$3,$B$4,$B$5,$F129,$B$6,AC$10,$A129,$B129)</f>
        <v>1347.1084943239009</v>
      </c>
      <c r="AD129" s="4">
        <f ca="1">_xll.DBRW($B$1,$B$2,$B$7,$B$3,$B$4,$B$5,$F129,$B$6,AD$10,$A129,$B129)</f>
        <v>1400.4710024791868</v>
      </c>
      <c r="AE129" s="4">
        <f ca="1">_xll.DBRW($B$1,$B$2,$B$7,$B$3,$B$4,$B$5,$F129,$B$6,AE$10,$A129,$B129)</f>
        <v>1450.8390553385782</v>
      </c>
    </row>
    <row r="130" spans="1:31">
      <c r="A130" s="1" t="s">
        <v>151</v>
      </c>
      <c r="B130" s="5" t="s">
        <v>39</v>
      </c>
      <c r="C130" s="5" t="s">
        <v>37</v>
      </c>
      <c r="D130" s="5" t="s">
        <v>38</v>
      </c>
      <c r="E130" s="5" t="s">
        <v>21</v>
      </c>
      <c r="F130" s="5" t="s">
        <v>24</v>
      </c>
      <c r="G130" s="6"/>
      <c r="H130" s="6"/>
      <c r="I130" s="6"/>
      <c r="J130" s="6"/>
      <c r="K130" s="6"/>
      <c r="L130" s="4">
        <f ca="1">_xll.DBRW($B$1,$B$2,$B$7,$B$3,$B$4,$B$5,$F130,$B$6,L$10,$A130,$B130)</f>
        <v>1145.3496656323416</v>
      </c>
      <c r="M130" s="4">
        <f ca="1">_xll.DBRW($B$1,$B$2,$B$7,$B$3,$B$4,$B$5,$F130,$B$6,M$10,$A130,$B130)</f>
        <v>1205.6128547062592</v>
      </c>
      <c r="N130" s="4">
        <f ca="1">_xll.DBRW($B$1,$B$2,$B$7,$B$3,$B$4,$B$5,$F130,$B$6,N$10,$A130,$B130)</f>
        <v>1228.461143634308</v>
      </c>
      <c r="O130" s="4">
        <f ca="1">_xll.DBRW($B$1,$B$2,$B$7,$B$3,$B$4,$B$5,$F130,$B$6,O$10,$A130,$B130)</f>
        <v>1191.704062568436</v>
      </c>
      <c r="P130" s="4">
        <f ca="1">_xll.DBRW($B$1,$B$2,$B$7,$B$3,$B$4,$B$5,$F130,$B$6,P$10,$A130,$B130)</f>
        <v>1229.818310171047</v>
      </c>
      <c r="Q130" s="4">
        <f ca="1">_xll.DBRW($B$1,$B$2,$B$7,$B$3,$B$4,$B$5,$F130,$B$6,Q$10,$A130,$B130)</f>
        <v>1265.8177381749845</v>
      </c>
      <c r="R130" s="4">
        <f ca="1">_xll.DBRW($B$1,$B$2,$B$7,$B$3,$B$4,$B$5,$F130,$B$6,R$10,$A130,$B130)</f>
        <v>1510.7756926515638</v>
      </c>
      <c r="S130" s="4">
        <f ca="1">_xll.DBRW($B$1,$B$2,$B$7,$B$3,$B$4,$B$5,$F130,$B$6,S$10,$A130,$B130)</f>
        <v>1805.3729609557502</v>
      </c>
      <c r="T130" s="4">
        <f ca="1">_xll.DBRW($B$1,$B$2,$B$7,$B$3,$B$4,$B$5,$F130,$B$6,T$10,$A130,$B130)</f>
        <v>1277.1900892361828</v>
      </c>
      <c r="U130" s="4">
        <f ca="1">_xll.DBRW($B$1,$B$2,$B$7,$B$3,$B$4,$B$5,$F130,$B$6,U$10,$A130,$B130)</f>
        <v>1125.1384639442153</v>
      </c>
      <c r="V130" s="4">
        <f ca="1">_xll.DBRW($B$1,$B$2,$B$7,$B$3,$B$4,$B$5,$F130,$B$6,V$10,$A130,$B130)</f>
        <v>1433.1148483001446</v>
      </c>
      <c r="W130" s="4">
        <f ca="1">_xll.DBRW($B$1,$B$2,$B$7,$B$3,$B$4,$B$5,$F130,$B$6,W$10,$A130,$B130)</f>
        <v>1277.4894468260629</v>
      </c>
      <c r="X130" s="4">
        <f ca="1">_xll.DBRW($B$1,$B$2,$B$7,$B$3,$B$4,$B$5,$F130,$B$6,X$10,$A130,$B130)</f>
        <v>1364.9830473459908</v>
      </c>
      <c r="Y130" s="4">
        <f ca="1">_xll.DBRW($B$1,$B$2,$B$7,$B$3,$B$4,$B$5,$F130,$B$6,Y$10,$A130,$B130)</f>
        <v>1353.0356007984628</v>
      </c>
      <c r="Z130" s="4">
        <f ca="1">_xll.DBRW($B$1,$B$2,$B$7,$B$3,$B$4,$B$5,$F130,$B$6,Z$10,$A130,$B130)</f>
        <v>1369.6208228630103</v>
      </c>
      <c r="AA130" s="4">
        <f ca="1">_xll.DBRW($B$1,$B$2,$B$7,$B$3,$B$4,$B$5,$F130,$B$6,AA$10,$A130,$B130)</f>
        <v>1272.2175262082935</v>
      </c>
      <c r="AB130" s="4">
        <f ca="1">_xll.DBRW($B$1,$B$2,$B$7,$B$3,$B$4,$B$5,$F130,$B$6,AB$10,$A130,$B130)</f>
        <v>1216.494242033956</v>
      </c>
      <c r="AC130" s="4">
        <f ca="1">_xll.DBRW($B$1,$B$2,$B$7,$B$3,$B$4,$B$5,$F130,$B$6,AC$10,$A130,$B130)</f>
        <v>1347.1084943239009</v>
      </c>
      <c r="AD130" s="4">
        <f ca="1">_xll.DBRW($B$1,$B$2,$B$7,$B$3,$B$4,$B$5,$F130,$B$6,AD$10,$A130,$B130)</f>
        <v>1400.4710024791868</v>
      </c>
      <c r="AE130" s="4">
        <f ca="1">_xll.DBRW($B$1,$B$2,$B$7,$B$3,$B$4,$B$5,$F130,$B$6,AE$10,$A130,$B130)</f>
        <v>1399.7724386830403</v>
      </c>
    </row>
    <row r="131" spans="1:31">
      <c r="A131" s="1" t="s">
        <v>151</v>
      </c>
      <c r="B131" s="5" t="s">
        <v>165</v>
      </c>
      <c r="C131" s="5" t="s">
        <v>166</v>
      </c>
      <c r="D131" s="5" t="s">
        <v>21</v>
      </c>
      <c r="E131" s="5" t="s">
        <v>31</v>
      </c>
      <c r="F131" s="5" t="s">
        <v>24</v>
      </c>
      <c r="G131" s="6"/>
      <c r="H131" s="6"/>
      <c r="I131" s="6"/>
      <c r="J131" s="6"/>
      <c r="K131" s="6"/>
      <c r="L131" s="4">
        <f ca="1">_xll.DBRW($B$1,$B$2,$B$7,$B$3,$B$4,$B$5,$F131,$B$6,L$10,$A131,$B131)</f>
        <v>1136.9572146075227</v>
      </c>
      <c r="M131" s="4">
        <f ca="1">_xll.DBRW($B$1,$B$2,$B$7,$B$3,$B$4,$B$5,$F131,$B$6,M$10,$A131,$B131)</f>
        <v>1329.266812536169</v>
      </c>
      <c r="N131" s="4">
        <f ca="1">_xll.DBRW($B$1,$B$2,$B$7,$B$3,$B$4,$B$5,$F131,$B$6,N$10,$A131,$B131)</f>
        <v>1144.193521147025</v>
      </c>
      <c r="O131" s="4">
        <f ca="1">_xll.DBRW($B$1,$B$2,$B$7,$B$3,$B$4,$B$5,$F131,$B$6,O$10,$A131,$B131)</f>
        <v>1239.1433453763216</v>
      </c>
      <c r="P131" s="4">
        <f ca="1">_xll.DBRW($B$1,$B$2,$B$7,$B$3,$B$4,$B$5,$F131,$B$6,P$10,$A131,$B131)</f>
        <v>1275.3097096286438</v>
      </c>
      <c r="Q131" s="4">
        <f ca="1">_xll.DBRW($B$1,$B$2,$B$7,$B$3,$B$4,$B$5,$F131,$B$6,Q$10,$A131,$B131)</f>
        <v>1293.2001092104356</v>
      </c>
      <c r="R131" s="4">
        <f ca="1">_xll.DBRW($B$1,$B$2,$B$7,$B$3,$B$4,$B$5,$F131,$B$6,R$10,$A131,$B131)</f>
        <v>1202.5624705399036</v>
      </c>
      <c r="S131" s="4">
        <f ca="1">_xll.DBRW($B$1,$B$2,$B$7,$B$3,$B$4,$B$5,$F131,$B$6,S$10,$A131,$B131)</f>
        <v>1141.8983978045119</v>
      </c>
      <c r="T131" s="4">
        <f ca="1">_xll.DBRW($B$1,$B$2,$B$7,$B$3,$B$4,$B$5,$F131,$B$6,T$10,$A131,$B131)</f>
        <v>894.37184992428558</v>
      </c>
      <c r="U131" s="4">
        <f ca="1">_xll.DBRW($B$1,$B$2,$B$7,$B$3,$B$4,$B$5,$F131,$B$6,U$10,$A131,$B131)</f>
        <v>671.83659758249564</v>
      </c>
      <c r="V131" s="4">
        <f ca="1">_xll.DBRW($B$1,$B$2,$B$7,$B$3,$B$4,$B$5,$F131,$B$6,V$10,$A131,$B131)</f>
        <v>1060.9672050633171</v>
      </c>
      <c r="W131" s="4">
        <f ca="1">_xll.DBRW($B$1,$B$2,$B$7,$B$3,$B$4,$B$5,$F131,$B$6,W$10,$A131,$B131)</f>
        <v>951.27722757351353</v>
      </c>
      <c r="X131" s="4">
        <f ca="1">_xll.DBRW($B$1,$B$2,$B$7,$B$3,$B$4,$B$5,$F131,$B$6,X$10,$A131,$B131)</f>
        <v>1185.9524083579352</v>
      </c>
      <c r="Y131" s="4">
        <f ca="1">_xll.DBRW($B$1,$B$2,$B$7,$B$3,$B$4,$B$5,$F131,$B$6,Y$10,$A131,$B131)</f>
        <v>1088.8914160517973</v>
      </c>
      <c r="Z131" s="4">
        <f ca="1">_xll.DBRW($B$1,$B$2,$B$7,$B$3,$B$4,$B$5,$F131,$B$6,Z$10,$A131,$B131)</f>
        <v>1198.1298033534085</v>
      </c>
      <c r="AA131" s="4">
        <f ca="1">_xll.DBRW($B$1,$B$2,$B$7,$B$3,$B$4,$B$5,$F131,$B$6,AA$10,$A131,$B131)</f>
        <v>1357.1779763715986</v>
      </c>
      <c r="AB131" s="4">
        <f ca="1">_xll.DBRW($B$1,$B$2,$B$7,$B$3,$B$4,$B$5,$F131,$B$6,AB$10,$A131,$B131)</f>
        <v>1194.6960929535317</v>
      </c>
      <c r="AC131" s="4">
        <f ca="1">_xll.DBRW($B$1,$B$2,$B$7,$B$3,$B$4,$B$5,$F131,$B$6,AC$10,$A131,$B131)</f>
        <v>1381.2304592373432</v>
      </c>
      <c r="AD131" s="4">
        <f ca="1">_xll.DBRW($B$1,$B$2,$B$7,$B$3,$B$4,$B$5,$F131,$B$6,AD$10,$A131,$B131)</f>
        <v>1198.4426003426956</v>
      </c>
      <c r="AE131" s="4">
        <f ca="1">_xll.DBRW($B$1,$B$2,$B$7,$B$3,$B$4,$B$5,$F131,$B$6,AE$10,$A131,$B131)</f>
        <v>1325.9538381567072</v>
      </c>
    </row>
    <row r="132" spans="1:31">
      <c r="A132" s="1" t="s">
        <v>151</v>
      </c>
      <c r="B132" s="5" t="s">
        <v>29</v>
      </c>
      <c r="C132" s="5" t="s">
        <v>30</v>
      </c>
      <c r="D132" s="5" t="s">
        <v>31</v>
      </c>
      <c r="E132" s="5" t="s">
        <v>21</v>
      </c>
      <c r="F132" s="5" t="s">
        <v>24</v>
      </c>
      <c r="G132" s="6"/>
      <c r="H132" s="6"/>
      <c r="I132" s="6"/>
      <c r="J132" s="6"/>
      <c r="K132" s="6"/>
      <c r="L132" s="4">
        <f ca="1">_xll.DBRW($B$1,$B$2,$B$7,$B$3,$B$4,$B$5,$F132,$B$6,L$10,$A132,$B132)</f>
        <v>1136.9572146075227</v>
      </c>
      <c r="M132" s="4">
        <f ca="1">_xll.DBRW($B$1,$B$2,$B$7,$B$3,$B$4,$B$5,$F132,$B$6,M$10,$A132,$B132)</f>
        <v>1329.266812536169</v>
      </c>
      <c r="N132" s="4">
        <f ca="1">_xll.DBRW($B$1,$B$2,$B$7,$B$3,$B$4,$B$5,$F132,$B$6,N$10,$A132,$B132)</f>
        <v>1144.193521147025</v>
      </c>
      <c r="O132" s="4">
        <f ca="1">_xll.DBRW($B$1,$B$2,$B$7,$B$3,$B$4,$B$5,$F132,$B$6,O$10,$A132,$B132)</f>
        <v>1239.1433453763216</v>
      </c>
      <c r="P132" s="4">
        <f ca="1">_xll.DBRW($B$1,$B$2,$B$7,$B$3,$B$4,$B$5,$F132,$B$6,P$10,$A132,$B132)</f>
        <v>1275.3097096286438</v>
      </c>
      <c r="Q132" s="4">
        <f ca="1">_xll.DBRW($B$1,$B$2,$B$7,$B$3,$B$4,$B$5,$F132,$B$6,Q$10,$A132,$B132)</f>
        <v>1293.2001092104356</v>
      </c>
      <c r="R132" s="4">
        <f ca="1">_xll.DBRW($B$1,$B$2,$B$7,$B$3,$B$4,$B$5,$F132,$B$6,R$10,$A132,$B132)</f>
        <v>1202.5624705399036</v>
      </c>
      <c r="S132" s="4">
        <f ca="1">_xll.DBRW($B$1,$B$2,$B$7,$B$3,$B$4,$B$5,$F132,$B$6,S$10,$A132,$B132)</f>
        <v>1141.8983978045119</v>
      </c>
      <c r="T132" s="4">
        <f ca="1">_xll.DBRW($B$1,$B$2,$B$7,$B$3,$B$4,$B$5,$F132,$B$6,T$10,$A132,$B132)</f>
        <v>894.37184992428558</v>
      </c>
      <c r="U132" s="4">
        <f ca="1">_xll.DBRW($B$1,$B$2,$B$7,$B$3,$B$4,$B$5,$F132,$B$6,U$10,$A132,$B132)</f>
        <v>671.83659758249564</v>
      </c>
      <c r="V132" s="4">
        <f ca="1">_xll.DBRW($B$1,$B$2,$B$7,$B$3,$B$4,$B$5,$F132,$B$6,V$10,$A132,$B132)</f>
        <v>1060.9672050633171</v>
      </c>
      <c r="W132" s="4">
        <f ca="1">_xll.DBRW($B$1,$B$2,$B$7,$B$3,$B$4,$B$5,$F132,$B$6,W$10,$A132,$B132)</f>
        <v>951.27722757351353</v>
      </c>
      <c r="X132" s="4">
        <f ca="1">_xll.DBRW($B$1,$B$2,$B$7,$B$3,$B$4,$B$5,$F132,$B$6,X$10,$A132,$B132)</f>
        <v>1185.9524083579352</v>
      </c>
      <c r="Y132" s="4">
        <f ca="1">_xll.DBRW($B$1,$B$2,$B$7,$B$3,$B$4,$B$5,$F132,$B$6,Y$10,$A132,$B132)</f>
        <v>1088.8914160517973</v>
      </c>
      <c r="Z132" s="4">
        <f ca="1">_xll.DBRW($B$1,$B$2,$B$7,$B$3,$B$4,$B$5,$F132,$B$6,Z$10,$A132,$B132)</f>
        <v>1198.1298033534085</v>
      </c>
      <c r="AA132" s="4">
        <f ca="1">_xll.DBRW($B$1,$B$2,$B$7,$B$3,$B$4,$B$5,$F132,$B$6,AA$10,$A132,$B132)</f>
        <v>1357.1779763715986</v>
      </c>
      <c r="AB132" s="4">
        <f ca="1">_xll.DBRW($B$1,$B$2,$B$7,$B$3,$B$4,$B$5,$F132,$B$6,AB$10,$A132,$B132)</f>
        <v>1194.6960929535317</v>
      </c>
      <c r="AC132" s="4">
        <f ca="1">_xll.DBRW($B$1,$B$2,$B$7,$B$3,$B$4,$B$5,$F132,$B$6,AC$10,$A132,$B132)</f>
        <v>1337.3515910571516</v>
      </c>
      <c r="AD132" s="4">
        <f ca="1">_xll.DBRW($B$1,$B$2,$B$7,$B$3,$B$4,$B$5,$F132,$B$6,AD$10,$A132,$B132)</f>
        <v>1198.4426003426956</v>
      </c>
      <c r="AE132" s="4">
        <f ca="1">_xll.DBRW($B$1,$B$2,$B$7,$B$3,$B$4,$B$5,$F132,$B$6,AE$10,$A132,$B132)</f>
        <v>1283.9470361214399</v>
      </c>
    </row>
    <row r="133" spans="1:31">
      <c r="A133" s="1" t="s">
        <v>151</v>
      </c>
      <c r="B133" s="5" t="s">
        <v>167</v>
      </c>
      <c r="C133" s="5" t="s">
        <v>168</v>
      </c>
      <c r="D133" s="5" t="s">
        <v>21</v>
      </c>
      <c r="E133" s="5" t="s">
        <v>76</v>
      </c>
      <c r="F133" s="5" t="s">
        <v>24</v>
      </c>
      <c r="G133" s="6"/>
      <c r="H133" s="6"/>
      <c r="I133" s="6"/>
      <c r="J133" s="6"/>
      <c r="K133" s="6"/>
      <c r="L133" s="4">
        <f ca="1">_xll.DBRW($B$1,$B$2,$B$7,$B$3,$B$4,$B$5,$F133,$B$6,L$10,$A133,$B133)</f>
        <v>906.65460858905203</v>
      </c>
      <c r="M133" s="4">
        <f ca="1">_xll.DBRW($B$1,$B$2,$B$7,$B$3,$B$4,$B$5,$F133,$B$6,M$10,$A133,$B133)</f>
        <v>960.1011036902039</v>
      </c>
      <c r="N133" s="4">
        <f ca="1">_xll.DBRW($B$1,$B$2,$B$7,$B$3,$B$4,$B$5,$F133,$B$6,N$10,$A133,$B133)</f>
        <v>896.8275836238015</v>
      </c>
      <c r="O133" s="4">
        <f ca="1">_xll.DBRW($B$1,$B$2,$B$7,$B$3,$B$4,$B$5,$F133,$B$6,O$10,$A133,$B133)</f>
        <v>930.48347222552263</v>
      </c>
      <c r="P133" s="4">
        <f ca="1">_xll.DBRW($B$1,$B$2,$B$7,$B$3,$B$4,$B$5,$F133,$B$6,P$10,$A133,$B133)</f>
        <v>990.69613577323594</v>
      </c>
      <c r="Q133" s="4">
        <f ca="1">_xll.DBRW($B$1,$B$2,$B$7,$B$3,$B$4,$B$5,$F133,$B$6,Q$10,$A133,$B133)</f>
        <v>896.79960953404338</v>
      </c>
      <c r="R133" s="4">
        <f ca="1">_xll.DBRW($B$1,$B$2,$B$7,$B$3,$B$4,$B$5,$F133,$B$6,R$10,$A133,$B133)</f>
        <v>905.55277823868357</v>
      </c>
      <c r="S133" s="4">
        <f ca="1">_xll.DBRW($B$1,$B$2,$B$7,$B$3,$B$4,$B$5,$F133,$B$6,S$10,$A133,$B133)</f>
        <v>928.16553436233107</v>
      </c>
      <c r="T133" s="4">
        <f ca="1">_xll.DBRW($B$1,$B$2,$B$7,$B$3,$B$4,$B$5,$F133,$B$6,T$10,$A133,$B133)</f>
        <v>1503.7343447271739</v>
      </c>
      <c r="U133" s="4">
        <f ca="1">_xll.DBRW($B$1,$B$2,$B$7,$B$3,$B$4,$B$5,$F133,$B$6,U$10,$A133,$B133)</f>
        <v>1402.6649562957368</v>
      </c>
      <c r="V133" s="4">
        <f ca="1">_xll.DBRW($B$1,$B$2,$B$7,$B$3,$B$4,$B$5,$F133,$B$6,V$10,$A133,$B133)</f>
        <v>1489.0150274317634</v>
      </c>
      <c r="W133" s="4">
        <f ca="1">_xll.DBRW($B$1,$B$2,$B$7,$B$3,$B$4,$B$5,$F133,$B$6,W$10,$A133,$B133)</f>
        <v>1074.0488616682971</v>
      </c>
      <c r="X133" s="4">
        <f ca="1">_xll.DBRW($B$1,$B$2,$B$7,$B$3,$B$4,$B$5,$F133,$B$6,X$10,$A133,$B133)</f>
        <v>1250.4757913811502</v>
      </c>
      <c r="Y133" s="4">
        <f ca="1">_xll.DBRW($B$1,$B$2,$B$7,$B$3,$B$4,$B$5,$F133,$B$6,Y$10,$A133,$B133)</f>
        <v>1374.8017144585081</v>
      </c>
      <c r="Z133" s="4">
        <f ca="1">_xll.DBRW($B$1,$B$2,$B$7,$B$3,$B$4,$B$5,$F133,$B$6,Z$10,$A133,$B133)</f>
        <v>1330.6482915804827</v>
      </c>
      <c r="AA133" s="4">
        <f ca="1">_xll.DBRW($B$1,$B$2,$B$7,$B$3,$B$4,$B$5,$F133,$B$6,AA$10,$A133,$B133)</f>
        <v>1265.0016256228362</v>
      </c>
      <c r="AB133" s="4">
        <f ca="1">_xll.DBRW($B$1,$B$2,$B$7,$B$3,$B$4,$B$5,$F133,$B$6,AB$10,$A133,$B133)</f>
        <v>1348.9691696619368</v>
      </c>
      <c r="AC133" s="4">
        <f ca="1">_xll.DBRW($B$1,$B$2,$B$7,$B$3,$B$4,$B$5,$F133,$B$6,AC$10,$A133,$B133)</f>
        <v>1294.9823911091667</v>
      </c>
      <c r="AD133" s="4">
        <f ca="1">_xll.DBRW($B$1,$B$2,$B$7,$B$3,$B$4,$B$5,$F133,$B$6,AD$10,$A133,$B133)</f>
        <v>1446.4471413835652</v>
      </c>
      <c r="AE133" s="4">
        <f ca="1">_xll.DBRW($B$1,$B$2,$B$7,$B$3,$B$4,$B$5,$F133,$B$6,AE$10,$A133,$B133)</f>
        <v>1325.0095169716399</v>
      </c>
    </row>
    <row r="134" spans="1:31">
      <c r="A134" s="1" t="s">
        <v>151</v>
      </c>
      <c r="B134" s="5" t="s">
        <v>74</v>
      </c>
      <c r="C134" s="5" t="s">
        <v>75</v>
      </c>
      <c r="D134" s="5" t="s">
        <v>76</v>
      </c>
      <c r="E134" s="5" t="s">
        <v>21</v>
      </c>
      <c r="F134" s="5" t="s">
        <v>24</v>
      </c>
      <c r="G134" s="6"/>
      <c r="H134" s="6"/>
      <c r="I134" s="6"/>
      <c r="J134" s="6"/>
      <c r="K134" s="6"/>
      <c r="L134" s="4">
        <f ca="1">_xll.DBRW($B$1,$B$2,$B$7,$B$3,$B$4,$B$5,$F134,$B$6,L$10,$A134,$B134)</f>
        <v>906.65460858905203</v>
      </c>
      <c r="M134" s="4">
        <f ca="1">_xll.DBRW($B$1,$B$2,$B$7,$B$3,$B$4,$B$5,$F134,$B$6,M$10,$A134,$B134)</f>
        <v>960.1011036902039</v>
      </c>
      <c r="N134" s="4">
        <f ca="1">_xll.DBRW($B$1,$B$2,$B$7,$B$3,$B$4,$B$5,$F134,$B$6,N$10,$A134,$B134)</f>
        <v>896.8275836238015</v>
      </c>
      <c r="O134" s="4">
        <f ca="1">_xll.DBRW($B$1,$B$2,$B$7,$B$3,$B$4,$B$5,$F134,$B$6,O$10,$A134,$B134)</f>
        <v>930.48347222552263</v>
      </c>
      <c r="P134" s="4">
        <f ca="1">_xll.DBRW($B$1,$B$2,$B$7,$B$3,$B$4,$B$5,$F134,$B$6,P$10,$A134,$B134)</f>
        <v>990.69613577323594</v>
      </c>
      <c r="Q134" s="4">
        <f ca="1">_xll.DBRW($B$1,$B$2,$B$7,$B$3,$B$4,$B$5,$F134,$B$6,Q$10,$A134,$B134)</f>
        <v>896.79960953404338</v>
      </c>
      <c r="R134" s="4">
        <f ca="1">_xll.DBRW($B$1,$B$2,$B$7,$B$3,$B$4,$B$5,$F134,$B$6,R$10,$A134,$B134)</f>
        <v>905.55277823868357</v>
      </c>
      <c r="S134" s="4">
        <f ca="1">_xll.DBRW($B$1,$B$2,$B$7,$B$3,$B$4,$B$5,$F134,$B$6,S$10,$A134,$B134)</f>
        <v>928.16553436233107</v>
      </c>
      <c r="T134" s="4">
        <f ca="1">_xll.DBRW($B$1,$B$2,$B$7,$B$3,$B$4,$B$5,$F134,$B$6,T$10,$A134,$B134)</f>
        <v>1503.7343447271739</v>
      </c>
      <c r="U134" s="4">
        <f ca="1">_xll.DBRW($B$1,$B$2,$B$7,$B$3,$B$4,$B$5,$F134,$B$6,U$10,$A134,$B134)</f>
        <v>1402.6649562957368</v>
      </c>
      <c r="V134" s="4">
        <f ca="1">_xll.DBRW($B$1,$B$2,$B$7,$B$3,$B$4,$B$5,$F134,$B$6,V$10,$A134,$B134)</f>
        <v>1489.0150274317634</v>
      </c>
      <c r="W134" s="4">
        <f ca="1">_xll.DBRW($B$1,$B$2,$B$7,$B$3,$B$4,$B$5,$F134,$B$6,W$10,$A134,$B134)</f>
        <v>1074.0488616682971</v>
      </c>
      <c r="X134" s="4">
        <f ca="1">_xll.DBRW($B$1,$B$2,$B$7,$B$3,$B$4,$B$5,$F134,$B$6,X$10,$A134,$B134)</f>
        <v>1250.4757913811502</v>
      </c>
      <c r="Y134" s="4">
        <f ca="1">_xll.DBRW($B$1,$B$2,$B$7,$B$3,$B$4,$B$5,$F134,$B$6,Y$10,$A134,$B134)</f>
        <v>1374.8017144585081</v>
      </c>
      <c r="Z134" s="4">
        <f ca="1">_xll.DBRW($B$1,$B$2,$B$7,$B$3,$B$4,$B$5,$F134,$B$6,Z$10,$A134,$B134)</f>
        <v>1330.6482915804827</v>
      </c>
      <c r="AA134" s="4">
        <f ca="1">_xll.DBRW($B$1,$B$2,$B$7,$B$3,$B$4,$B$5,$F134,$B$6,AA$10,$A134,$B134)</f>
        <v>1265.0016256228362</v>
      </c>
      <c r="AB134" s="4">
        <f ca="1">_xll.DBRW($B$1,$B$2,$B$7,$B$3,$B$4,$B$5,$F134,$B$6,AB$10,$A134,$B134)</f>
        <v>1348.9691696619368</v>
      </c>
      <c r="AC134" s="4">
        <f ca="1">_xll.DBRW($B$1,$B$2,$B$7,$B$3,$B$4,$B$5,$F134,$B$6,AC$10,$A134,$B134)</f>
        <v>1294.9823911091667</v>
      </c>
      <c r="AD134" s="4">
        <f ca="1">_xll.DBRW($B$1,$B$2,$B$7,$B$3,$B$4,$B$5,$F134,$B$6,AD$10,$A134,$B134)</f>
        <v>1446.4471413835652</v>
      </c>
      <c r="AE134" s="4">
        <f ca="1">_xll.DBRW($B$1,$B$2,$B$7,$B$3,$B$4,$B$5,$F134,$B$6,AE$10,$A134,$B134)</f>
        <v>1325.0095169716399</v>
      </c>
    </row>
    <row r="135" spans="1:31">
      <c r="A135" s="1" t="s">
        <v>151</v>
      </c>
      <c r="B135" s="5" t="s">
        <v>169</v>
      </c>
      <c r="C135" s="5" t="s">
        <v>170</v>
      </c>
      <c r="D135" s="5" t="s">
        <v>21</v>
      </c>
      <c r="E135" s="5" t="s">
        <v>35</v>
      </c>
      <c r="F135" s="5" t="s">
        <v>24</v>
      </c>
      <c r="G135" s="6"/>
      <c r="H135" s="6"/>
      <c r="I135" s="6"/>
      <c r="J135" s="6"/>
      <c r="K135" s="6"/>
      <c r="L135" s="4">
        <f ca="1">_xll.DBRW($B$1,$B$2,$B$7,$B$3,$B$4,$B$5,$F135,$B$6,L$10,$A135,$B135)</f>
        <v>1372.6874128406764</v>
      </c>
      <c r="M135" s="4">
        <f ca="1">_xll.DBRW($B$1,$B$2,$B$7,$B$3,$B$4,$B$5,$F135,$B$6,M$10,$A135,$B135)</f>
        <v>1397.0398780486482</v>
      </c>
      <c r="N135" s="4">
        <f ca="1">_xll.DBRW($B$1,$B$2,$B$7,$B$3,$B$4,$B$5,$F135,$B$6,N$10,$A135,$B135)</f>
        <v>1464.8904209296084</v>
      </c>
      <c r="O135" s="4">
        <f ca="1">_xll.DBRW($B$1,$B$2,$B$7,$B$3,$B$4,$B$5,$F135,$B$6,O$10,$A135,$B135)</f>
        <v>1339.3123672378661</v>
      </c>
      <c r="P135" s="4">
        <f ca="1">_xll.DBRW($B$1,$B$2,$B$7,$B$3,$B$4,$B$5,$F135,$B$6,P$10,$A135,$B135)</f>
        <v>959.44159884128499</v>
      </c>
      <c r="Q135" s="4">
        <f ca="1">_xll.DBRW($B$1,$B$2,$B$7,$B$3,$B$4,$B$5,$F135,$B$6,Q$10,$A135,$B135)</f>
        <v>902.25680796934182</v>
      </c>
      <c r="R135" s="4">
        <f ca="1">_xll.DBRW($B$1,$B$2,$B$7,$B$3,$B$4,$B$5,$F135,$B$6,R$10,$A135,$B135)</f>
        <v>917.06799858288059</v>
      </c>
      <c r="S135" s="4">
        <f ca="1">_xll.DBRW($B$1,$B$2,$B$7,$B$3,$B$4,$B$5,$F135,$B$6,S$10,$A135,$B135)</f>
        <v>798.39915298672156</v>
      </c>
      <c r="T135" s="4">
        <f ca="1">_xll.DBRW($B$1,$B$2,$B$7,$B$3,$B$4,$B$5,$F135,$B$6,T$10,$A135,$B135)</f>
        <v>908.54469357491132</v>
      </c>
      <c r="U135" s="4">
        <f ca="1">_xll.DBRW($B$1,$B$2,$B$7,$B$3,$B$4,$B$5,$F135,$B$6,U$10,$A135,$B135)</f>
        <v>750.31160226922009</v>
      </c>
      <c r="V135" s="4">
        <f ca="1">_xll.DBRW($B$1,$B$2,$B$7,$B$3,$B$4,$B$5,$F135,$B$6,V$10,$A135,$B135)</f>
        <v>1216.514952752754</v>
      </c>
      <c r="W135" s="4">
        <f ca="1">_xll.DBRW($B$1,$B$2,$B$7,$B$3,$B$4,$B$5,$F135,$B$6,W$10,$A135,$B135)</f>
        <v>1617.6887033988999</v>
      </c>
      <c r="X135" s="4">
        <f ca="1">_xll.DBRW($B$1,$B$2,$B$7,$B$3,$B$4,$B$5,$F135,$B$6,X$10,$A135,$B135)</f>
        <v>1586.2623830607315</v>
      </c>
      <c r="Y135" s="4">
        <f ca="1">_xll.DBRW($B$1,$B$2,$B$7,$B$3,$B$4,$B$5,$F135,$B$6,Y$10,$A135,$B135)</f>
        <v>1591.4224925533633</v>
      </c>
      <c r="Z135" s="4">
        <f ca="1">_xll.DBRW($B$1,$B$2,$B$7,$B$3,$B$4,$B$5,$F135,$B$6,Z$10,$A135,$B135)</f>
        <v>1640.8055437132582</v>
      </c>
      <c r="AA135" s="4">
        <f ca="1">_xll.DBRW($B$1,$B$2,$B$7,$B$3,$B$4,$B$5,$F135,$B$6,AA$10,$A135,$B135)</f>
        <v>1443.9038581459729</v>
      </c>
      <c r="AB135" s="4">
        <f ca="1">_xll.DBRW($B$1,$B$2,$B$7,$B$3,$B$4,$B$5,$F135,$B$6,AB$10,$A135,$B135)</f>
        <v>1380.808926255871</v>
      </c>
      <c r="AC135" s="4">
        <f ca="1">_xll.DBRW($B$1,$B$2,$B$7,$B$3,$B$4,$B$5,$F135,$B$6,AC$10,$A135,$B135)</f>
        <v>1371.851616847998</v>
      </c>
      <c r="AD135" s="4">
        <f ca="1">_xll.DBRW($B$1,$B$2,$B$7,$B$3,$B$4,$B$5,$F135,$B$6,AD$10,$A135,$B135)</f>
        <v>1164.3689919595054</v>
      </c>
      <c r="AE135" s="4">
        <f ca="1">_xll.DBRW($B$1,$B$2,$B$7,$B$3,$B$4,$B$5,$F135,$B$6,AE$10,$A135,$B135)</f>
        <v>1188.8213673118639</v>
      </c>
    </row>
    <row r="136" spans="1:31">
      <c r="A136" s="1" t="s">
        <v>151</v>
      </c>
      <c r="B136" s="5" t="s">
        <v>33</v>
      </c>
      <c r="C136" s="5" t="s">
        <v>34</v>
      </c>
      <c r="D136" s="5" t="s">
        <v>35</v>
      </c>
      <c r="E136" s="5" t="s">
        <v>21</v>
      </c>
      <c r="F136" s="5" t="s">
        <v>24</v>
      </c>
      <c r="G136" s="6"/>
      <c r="H136" s="6"/>
      <c r="I136" s="6"/>
      <c r="J136" s="6"/>
      <c r="K136" s="6"/>
      <c r="L136" s="4">
        <f ca="1">_xll.DBRW($B$1,$B$2,$B$7,$B$3,$B$4,$B$5,$F136,$B$6,L$10,$A136,$B136)</f>
        <v>1372.6874128406764</v>
      </c>
      <c r="M136" s="4">
        <f ca="1">_xll.DBRW($B$1,$B$2,$B$7,$B$3,$B$4,$B$5,$F136,$B$6,M$10,$A136,$B136)</f>
        <v>1397.0398780486482</v>
      </c>
      <c r="N136" s="4">
        <f ca="1">_xll.DBRW($B$1,$B$2,$B$7,$B$3,$B$4,$B$5,$F136,$B$6,N$10,$A136,$B136)</f>
        <v>1464.8904209296084</v>
      </c>
      <c r="O136" s="4">
        <f ca="1">_xll.DBRW($B$1,$B$2,$B$7,$B$3,$B$4,$B$5,$F136,$B$6,O$10,$A136,$B136)</f>
        <v>1339.3123672378661</v>
      </c>
      <c r="P136" s="4">
        <f ca="1">_xll.DBRW($B$1,$B$2,$B$7,$B$3,$B$4,$B$5,$F136,$B$6,P$10,$A136,$B136)</f>
        <v>959.44159884128499</v>
      </c>
      <c r="Q136" s="4">
        <f ca="1">_xll.DBRW($B$1,$B$2,$B$7,$B$3,$B$4,$B$5,$F136,$B$6,Q$10,$A136,$B136)</f>
        <v>902.25680796934182</v>
      </c>
      <c r="R136" s="4">
        <f ca="1">_xll.DBRW($B$1,$B$2,$B$7,$B$3,$B$4,$B$5,$F136,$B$6,R$10,$A136,$B136)</f>
        <v>917.06799858288059</v>
      </c>
      <c r="S136" s="4">
        <f ca="1">_xll.DBRW($B$1,$B$2,$B$7,$B$3,$B$4,$B$5,$F136,$B$6,S$10,$A136,$B136)</f>
        <v>798.39915298672156</v>
      </c>
      <c r="T136" s="4">
        <f ca="1">_xll.DBRW($B$1,$B$2,$B$7,$B$3,$B$4,$B$5,$F136,$B$6,T$10,$A136,$B136)</f>
        <v>908.54469357491132</v>
      </c>
      <c r="U136" s="4">
        <f ca="1">_xll.DBRW($B$1,$B$2,$B$7,$B$3,$B$4,$B$5,$F136,$B$6,U$10,$A136,$B136)</f>
        <v>750.31160226922009</v>
      </c>
      <c r="V136" s="4">
        <f ca="1">_xll.DBRW($B$1,$B$2,$B$7,$B$3,$B$4,$B$5,$F136,$B$6,V$10,$A136,$B136)</f>
        <v>1216.514952752754</v>
      </c>
      <c r="W136" s="4">
        <f ca="1">_xll.DBRW($B$1,$B$2,$B$7,$B$3,$B$4,$B$5,$F136,$B$6,W$10,$A136,$B136)</f>
        <v>1617.6887033988999</v>
      </c>
      <c r="X136" s="4">
        <f ca="1">_xll.DBRW($B$1,$B$2,$B$7,$B$3,$B$4,$B$5,$F136,$B$6,X$10,$A136,$B136)</f>
        <v>1586.2623830607315</v>
      </c>
      <c r="Y136" s="4">
        <f ca="1">_xll.DBRW($B$1,$B$2,$B$7,$B$3,$B$4,$B$5,$F136,$B$6,Y$10,$A136,$B136)</f>
        <v>1591.4224925533633</v>
      </c>
      <c r="Z136" s="4">
        <f ca="1">_xll.DBRW($B$1,$B$2,$B$7,$B$3,$B$4,$B$5,$F136,$B$6,Z$10,$A136,$B136)</f>
        <v>1640.8055437132582</v>
      </c>
      <c r="AA136" s="4">
        <f ca="1">_xll.DBRW($B$1,$B$2,$B$7,$B$3,$B$4,$B$5,$F136,$B$6,AA$10,$A136,$B136)</f>
        <v>1443.9038581459729</v>
      </c>
      <c r="AB136" s="4">
        <f ca="1">_xll.DBRW($B$1,$B$2,$B$7,$B$3,$B$4,$B$5,$F136,$B$6,AB$10,$A136,$B136)</f>
        <v>1380.808926255871</v>
      </c>
      <c r="AC136" s="4">
        <f ca="1">_xll.DBRW($B$1,$B$2,$B$7,$B$3,$B$4,$B$5,$F136,$B$6,AC$10,$A136,$B136)</f>
        <v>1332.6558563666265</v>
      </c>
      <c r="AD136" s="4">
        <f ca="1">_xll.DBRW($B$1,$B$2,$B$7,$B$3,$B$4,$B$5,$F136,$B$6,AD$10,$A136,$B136)</f>
        <v>1164.3689919595054</v>
      </c>
      <c r="AE136" s="4">
        <f ca="1">_xll.DBRW($B$1,$B$2,$B$7,$B$3,$B$4,$B$5,$F136,$B$6,AE$10,$A136,$B136)</f>
        <v>1188.8213673118639</v>
      </c>
    </row>
    <row r="137" spans="1:31">
      <c r="A137" s="1" t="s">
        <v>151</v>
      </c>
      <c r="B137" s="5" t="s">
        <v>171</v>
      </c>
      <c r="C137" s="5" t="s">
        <v>163</v>
      </c>
      <c r="D137" s="5" t="s">
        <v>21</v>
      </c>
      <c r="E137" s="5" t="s">
        <v>54</v>
      </c>
      <c r="F137" s="5" t="s">
        <v>24</v>
      </c>
      <c r="G137" s="6"/>
      <c r="H137" s="6"/>
      <c r="I137" s="6"/>
      <c r="J137" s="6"/>
      <c r="K137" s="6"/>
      <c r="L137" s="4">
        <f ca="1">_xll.DBRW($B$1,$B$2,$B$7,$B$3,$B$4,$B$5,$F137,$B$6,L$10,$A137,$B137)</f>
        <v>1485.1865969268279</v>
      </c>
      <c r="M137" s="4">
        <f ca="1">_xll.DBRW($B$1,$B$2,$B$7,$B$3,$B$4,$B$5,$F137,$B$6,M$10,$A137,$B137)</f>
        <v>1553.042664430747</v>
      </c>
      <c r="N137" s="4">
        <f ca="1">_xll.DBRW($B$1,$B$2,$B$7,$B$3,$B$4,$B$5,$F137,$B$6,N$10,$A137,$B137)</f>
        <v>1333.9319834173132</v>
      </c>
      <c r="O137" s="4">
        <f ca="1">_xll.DBRW($B$1,$B$2,$B$7,$B$3,$B$4,$B$5,$F137,$B$6,O$10,$A137,$B137)</f>
        <v>1018.0583872585131</v>
      </c>
      <c r="P137" s="4">
        <f ca="1">_xll.DBRW($B$1,$B$2,$B$7,$B$3,$B$4,$B$5,$F137,$B$6,P$10,$A137,$B137)</f>
        <v>1520.9329890722645</v>
      </c>
      <c r="Q137" s="4">
        <f ca="1">_xll.DBRW($B$1,$B$2,$B$7,$B$3,$B$4,$B$5,$F137,$B$6,Q$10,$A137,$B137)</f>
        <v>1358.8424103893112</v>
      </c>
      <c r="R137" s="4">
        <f ca="1">_xll.DBRW($B$1,$B$2,$B$7,$B$3,$B$4,$B$5,$F137,$B$6,R$10,$A137,$B137)</f>
        <v>914.99318410644844</v>
      </c>
      <c r="S137" s="4">
        <f ca="1">_xll.DBRW($B$1,$B$2,$B$7,$B$3,$B$4,$B$5,$F137,$B$6,S$10,$A137,$B137)</f>
        <v>925.25364248982191</v>
      </c>
      <c r="T137" s="4">
        <f ca="1">_xll.DBRW($B$1,$B$2,$B$7,$B$3,$B$4,$B$5,$F137,$B$6,T$10,$A137,$B137)</f>
        <v>1349.4142132447507</v>
      </c>
      <c r="U137" s="4">
        <f ca="1">_xll.DBRW($B$1,$B$2,$B$7,$B$3,$B$4,$B$5,$F137,$B$6,U$10,$A137,$B137)</f>
        <v>1167.8142925438974</v>
      </c>
      <c r="V137" s="4">
        <f ca="1">_xll.DBRW($B$1,$B$2,$B$7,$B$3,$B$4,$B$5,$F137,$B$6,V$10,$A137,$B137)</f>
        <v>1473.1005999780471</v>
      </c>
      <c r="W137" s="4">
        <f ca="1">_xll.DBRW($B$1,$B$2,$B$7,$B$3,$B$4,$B$5,$F137,$B$6,W$10,$A137,$B137)</f>
        <v>968.27342592668788</v>
      </c>
      <c r="X137" s="4">
        <f ca="1">_xll.DBRW($B$1,$B$2,$B$7,$B$3,$B$4,$B$5,$F137,$B$6,X$10,$A137,$B137)</f>
        <v>1050.3387989597354</v>
      </c>
      <c r="Y137" s="4">
        <f ca="1">_xll.DBRW($B$1,$B$2,$B$7,$B$3,$B$4,$B$5,$F137,$B$6,Y$10,$A137,$B137)</f>
        <v>1053.6654635652378</v>
      </c>
      <c r="Z137" s="4">
        <f ca="1">_xll.DBRW($B$1,$B$2,$B$7,$B$3,$B$4,$B$5,$F137,$B$6,Z$10,$A137,$B137)</f>
        <v>1088.4770605046101</v>
      </c>
      <c r="AA137" s="4">
        <f ca="1">_xll.DBRW($B$1,$B$2,$B$7,$B$3,$B$4,$B$5,$F137,$B$6,AA$10,$A137,$B137)</f>
        <v>1026.6586095393748</v>
      </c>
      <c r="AB137" s="4">
        <f ca="1">_xll.DBRW($B$1,$B$2,$B$7,$B$3,$B$4,$B$5,$F137,$B$6,AB$10,$A137,$B137)</f>
        <v>1024.7998325826422</v>
      </c>
      <c r="AC137" s="4">
        <f ca="1">_xll.DBRW($B$1,$B$2,$B$7,$B$3,$B$4,$B$5,$F137,$B$6,AC$10,$A137,$B137)</f>
        <v>1120.9457628038097</v>
      </c>
      <c r="AD137" s="4">
        <f ca="1">_xll.DBRW($B$1,$B$2,$B$7,$B$3,$B$4,$B$5,$F137,$B$6,AD$10,$A137,$B137)</f>
        <v>1557.6785290762625</v>
      </c>
      <c r="AE137" s="4">
        <f ca="1">_xll.DBRW($B$1,$B$2,$B$7,$B$3,$B$4,$B$5,$F137,$B$6,AE$10,$A137,$B137)</f>
        <v>1576.1997884599361</v>
      </c>
    </row>
    <row r="138" spans="1:31">
      <c r="A138" s="1" t="s">
        <v>151</v>
      </c>
      <c r="B138" s="5" t="s">
        <v>55</v>
      </c>
      <c r="C138" s="5" t="s">
        <v>53</v>
      </c>
      <c r="D138" s="5" t="s">
        <v>54</v>
      </c>
      <c r="E138" s="5" t="s">
        <v>21</v>
      </c>
      <c r="F138" s="5" t="s">
        <v>24</v>
      </c>
      <c r="G138" s="6"/>
      <c r="H138" s="6"/>
      <c r="I138" s="6"/>
      <c r="J138" s="6"/>
      <c r="K138" s="6"/>
      <c r="L138" s="4">
        <f ca="1">_xll.DBRW($B$1,$B$2,$B$7,$B$3,$B$4,$B$5,$F138,$B$6,L$10,$A138,$B138)</f>
        <v>1485.1865969268279</v>
      </c>
      <c r="M138" s="4">
        <f ca="1">_xll.DBRW($B$1,$B$2,$B$7,$B$3,$B$4,$B$5,$F138,$B$6,M$10,$A138,$B138)</f>
        <v>1553.042664430747</v>
      </c>
      <c r="N138" s="4">
        <f ca="1">_xll.DBRW($B$1,$B$2,$B$7,$B$3,$B$4,$B$5,$F138,$B$6,N$10,$A138,$B138)</f>
        <v>1333.9319834173132</v>
      </c>
      <c r="O138" s="4">
        <f ca="1">_xll.DBRW($B$1,$B$2,$B$7,$B$3,$B$4,$B$5,$F138,$B$6,O$10,$A138,$B138)</f>
        <v>1018.0583872585131</v>
      </c>
      <c r="P138" s="4">
        <f ca="1">_xll.DBRW($B$1,$B$2,$B$7,$B$3,$B$4,$B$5,$F138,$B$6,P$10,$A138,$B138)</f>
        <v>1520.9329890722645</v>
      </c>
      <c r="Q138" s="4">
        <f ca="1">_xll.DBRW($B$1,$B$2,$B$7,$B$3,$B$4,$B$5,$F138,$B$6,Q$10,$A138,$B138)</f>
        <v>1358.8424103893112</v>
      </c>
      <c r="R138" s="4">
        <f ca="1">_xll.DBRW($B$1,$B$2,$B$7,$B$3,$B$4,$B$5,$F138,$B$6,R$10,$A138,$B138)</f>
        <v>914.99318410644844</v>
      </c>
      <c r="S138" s="4">
        <f ca="1">_xll.DBRW($B$1,$B$2,$B$7,$B$3,$B$4,$B$5,$F138,$B$6,S$10,$A138,$B138)</f>
        <v>925.25364248982191</v>
      </c>
      <c r="T138" s="4">
        <f ca="1">_xll.DBRW($B$1,$B$2,$B$7,$B$3,$B$4,$B$5,$F138,$B$6,T$10,$A138,$B138)</f>
        <v>1349.4142132447507</v>
      </c>
      <c r="U138" s="4">
        <f ca="1">_xll.DBRW($B$1,$B$2,$B$7,$B$3,$B$4,$B$5,$F138,$B$6,U$10,$A138,$B138)</f>
        <v>1167.8142925438974</v>
      </c>
      <c r="V138" s="4">
        <f ca="1">_xll.DBRW($B$1,$B$2,$B$7,$B$3,$B$4,$B$5,$F138,$B$6,V$10,$A138,$B138)</f>
        <v>1473.1005999780471</v>
      </c>
      <c r="W138" s="4">
        <f ca="1">_xll.DBRW($B$1,$B$2,$B$7,$B$3,$B$4,$B$5,$F138,$B$6,W$10,$A138,$B138)</f>
        <v>968.27342592668788</v>
      </c>
      <c r="X138" s="4">
        <f ca="1">_xll.DBRW($B$1,$B$2,$B$7,$B$3,$B$4,$B$5,$F138,$B$6,X$10,$A138,$B138)</f>
        <v>1050.3387989597354</v>
      </c>
      <c r="Y138" s="4">
        <f ca="1">_xll.DBRW($B$1,$B$2,$B$7,$B$3,$B$4,$B$5,$F138,$B$6,Y$10,$A138,$B138)</f>
        <v>1053.6654635652378</v>
      </c>
      <c r="Z138" s="4">
        <f ca="1">_xll.DBRW($B$1,$B$2,$B$7,$B$3,$B$4,$B$5,$F138,$B$6,Z$10,$A138,$B138)</f>
        <v>1088.4770605046101</v>
      </c>
      <c r="AA138" s="4">
        <f ca="1">_xll.DBRW($B$1,$B$2,$B$7,$B$3,$B$4,$B$5,$F138,$B$6,AA$10,$A138,$B138)</f>
        <v>1026.6586095393748</v>
      </c>
      <c r="AB138" s="4">
        <f ca="1">_xll.DBRW($B$1,$B$2,$B$7,$B$3,$B$4,$B$5,$F138,$B$6,AB$10,$A138,$B138)</f>
        <v>1024.7998325826422</v>
      </c>
      <c r="AC138" s="4">
        <f ca="1">_xll.DBRW($B$1,$B$2,$B$7,$B$3,$B$4,$B$5,$F138,$B$6,AC$10,$A138,$B138)</f>
        <v>1088.5484864221967</v>
      </c>
      <c r="AD138" s="4">
        <f ca="1">_xll.DBRW($B$1,$B$2,$B$7,$B$3,$B$4,$B$5,$F138,$B$6,AD$10,$A138,$B138)</f>
        <v>1557.6785290762625</v>
      </c>
      <c r="AE138" s="4">
        <f ca="1">_xll.DBRW($B$1,$B$2,$B$7,$B$3,$B$4,$B$5,$F138,$B$6,AE$10,$A138,$B138)</f>
        <v>1525.3546339934869</v>
      </c>
    </row>
    <row r="139" spans="1:31">
      <c r="A139" s="1" t="s">
        <v>151</v>
      </c>
      <c r="B139" s="5" t="s">
        <v>172</v>
      </c>
      <c r="C139" s="5" t="s">
        <v>159</v>
      </c>
      <c r="D139" s="5" t="s">
        <v>21</v>
      </c>
      <c r="E139" s="5" t="s">
        <v>38</v>
      </c>
      <c r="F139" s="5" t="s">
        <v>24</v>
      </c>
      <c r="G139" s="6"/>
      <c r="H139" s="6"/>
      <c r="I139" s="6"/>
      <c r="J139" s="6"/>
      <c r="K139" s="6"/>
      <c r="L139" s="4">
        <f ca="1">_xll.DBRW($B$1,$B$2,$B$7,$B$3,$B$4,$B$5,$F139,$B$6,L$10,$A139,$B139)</f>
        <v>1404.1857482611197</v>
      </c>
      <c r="M139" s="4">
        <f ca="1">_xll.DBRW($B$1,$B$2,$B$7,$B$3,$B$4,$B$5,$F139,$B$6,M$10,$A139,$B139)</f>
        <v>1426.3588703567009</v>
      </c>
      <c r="N139" s="4">
        <f ca="1">_xll.DBRW($B$1,$B$2,$B$7,$B$3,$B$4,$B$5,$F139,$B$6,N$10,$A139,$B139)</f>
        <v>1444.8567380414354</v>
      </c>
      <c r="O139" s="4">
        <f ca="1">_xll.DBRW($B$1,$B$2,$B$7,$B$3,$B$4,$B$5,$F139,$B$6,O$10,$A139,$B139)</f>
        <v>1411.1857111997303</v>
      </c>
      <c r="P139" s="4">
        <f ca="1">_xll.DBRW($B$1,$B$2,$B$7,$B$3,$B$4,$B$5,$F139,$B$6,P$10,$A139,$B139)</f>
        <v>1454.9963106249006</v>
      </c>
      <c r="Q139" s="4">
        <f ca="1">_xll.DBRW($B$1,$B$2,$B$7,$B$3,$B$4,$B$5,$F139,$B$6,Q$10,$A139,$B139)</f>
        <v>1582.7409941032397</v>
      </c>
      <c r="R139" s="4">
        <f ca="1">_xll.DBRW($B$1,$B$2,$B$7,$B$3,$B$4,$B$5,$F139,$B$6,R$10,$A139,$B139)</f>
        <v>1266.4140273446358</v>
      </c>
      <c r="S139" s="4">
        <f ca="1">_xll.DBRW($B$1,$B$2,$B$7,$B$3,$B$4,$B$5,$F139,$B$6,S$10,$A139,$B139)</f>
        <v>1403.9478671026859</v>
      </c>
      <c r="T139" s="4">
        <f ca="1">_xll.DBRW($B$1,$B$2,$B$7,$B$3,$B$4,$B$5,$F139,$B$6,T$10,$A139,$B139)</f>
        <v>859.64717544743087</v>
      </c>
      <c r="U139" s="4">
        <f ca="1">_xll.DBRW($B$1,$B$2,$B$7,$B$3,$B$4,$B$5,$F139,$B$6,U$10,$A139,$B139)</f>
        <v>763.59812649953699</v>
      </c>
      <c r="V139" s="4">
        <f ca="1">_xll.DBRW($B$1,$B$2,$B$7,$B$3,$B$4,$B$5,$F139,$B$6,V$10,$A139,$B139)</f>
        <v>970.61773433561632</v>
      </c>
      <c r="W139" s="4">
        <f ca="1">_xll.DBRW($B$1,$B$2,$B$7,$B$3,$B$4,$B$5,$F139,$B$6,W$10,$A139,$B139)</f>
        <v>916.85845465985369</v>
      </c>
      <c r="X139" s="4">
        <f ca="1">_xll.DBRW($B$1,$B$2,$B$7,$B$3,$B$4,$B$5,$F139,$B$6,X$10,$A139,$B139)</f>
        <v>961.69260153922096</v>
      </c>
      <c r="Y139" s="4">
        <f ca="1">_xll.DBRW($B$1,$B$2,$B$7,$B$3,$B$4,$B$5,$F139,$B$6,Y$10,$A139,$B139)</f>
        <v>958.62846210417399</v>
      </c>
      <c r="Z139" s="4">
        <f ca="1">_xll.DBRW($B$1,$B$2,$B$7,$B$3,$B$4,$B$5,$F139,$B$6,Z$10,$A139,$B139)</f>
        <v>978.30058775929285</v>
      </c>
      <c r="AA139" s="4">
        <f ca="1">_xll.DBRW($B$1,$B$2,$B$7,$B$3,$B$4,$B$5,$F139,$B$6,AA$10,$A139,$B139)</f>
        <v>896.335075283116</v>
      </c>
      <c r="AB139" s="4">
        <f ca="1">_xll.DBRW($B$1,$B$2,$B$7,$B$3,$B$4,$B$5,$F139,$B$6,AB$10,$A139,$B139)</f>
        <v>874.27717599976313</v>
      </c>
      <c r="AC139" s="4">
        <f ca="1">_xll.DBRW($B$1,$B$2,$B$7,$B$3,$B$4,$B$5,$F139,$B$6,AC$10,$A139,$B139)</f>
        <v>944.19426120247579</v>
      </c>
      <c r="AD139" s="4">
        <f ca="1">_xll.DBRW($B$1,$B$2,$B$7,$B$3,$B$4,$B$5,$F139,$B$6,AD$10,$A139,$B139)</f>
        <v>951.16077141212565</v>
      </c>
      <c r="AE139" s="4">
        <f ca="1">_xll.DBRW($B$1,$B$2,$B$7,$B$3,$B$4,$B$5,$F139,$B$6,AE$10,$A139,$B139)</f>
        <v>989.41569770104161</v>
      </c>
    </row>
    <row r="140" spans="1:31">
      <c r="A140" s="1" t="s">
        <v>151</v>
      </c>
      <c r="B140" s="5" t="s">
        <v>40</v>
      </c>
      <c r="C140" s="5" t="s">
        <v>37</v>
      </c>
      <c r="D140" s="5" t="s">
        <v>38</v>
      </c>
      <c r="E140" s="5" t="s">
        <v>21</v>
      </c>
      <c r="F140" s="5" t="s">
        <v>24</v>
      </c>
      <c r="G140" s="6"/>
      <c r="H140" s="6"/>
      <c r="I140" s="6"/>
      <c r="J140" s="6"/>
      <c r="K140" s="6"/>
      <c r="L140" s="4">
        <f ca="1">_xll.DBRW($B$1,$B$2,$B$7,$B$3,$B$4,$B$5,$F140,$B$6,L$10,$A140,$B140)</f>
        <v>1404.1857482611197</v>
      </c>
      <c r="M140" s="4">
        <f ca="1">_xll.DBRW($B$1,$B$2,$B$7,$B$3,$B$4,$B$5,$F140,$B$6,M$10,$A140,$B140)</f>
        <v>1426.3588703567009</v>
      </c>
      <c r="N140" s="4">
        <f ca="1">_xll.DBRW($B$1,$B$2,$B$7,$B$3,$B$4,$B$5,$F140,$B$6,N$10,$A140,$B140)</f>
        <v>1444.8567380414354</v>
      </c>
      <c r="O140" s="4">
        <f ca="1">_xll.DBRW($B$1,$B$2,$B$7,$B$3,$B$4,$B$5,$F140,$B$6,O$10,$A140,$B140)</f>
        <v>1411.1857111997303</v>
      </c>
      <c r="P140" s="4">
        <f ca="1">_xll.DBRW($B$1,$B$2,$B$7,$B$3,$B$4,$B$5,$F140,$B$6,P$10,$A140,$B140)</f>
        <v>1454.9963106249006</v>
      </c>
      <c r="Q140" s="4">
        <f ca="1">_xll.DBRW($B$1,$B$2,$B$7,$B$3,$B$4,$B$5,$F140,$B$6,Q$10,$A140,$B140)</f>
        <v>1582.7409941032397</v>
      </c>
      <c r="R140" s="4">
        <f ca="1">_xll.DBRW($B$1,$B$2,$B$7,$B$3,$B$4,$B$5,$F140,$B$6,R$10,$A140,$B140)</f>
        <v>1266.4140273446358</v>
      </c>
      <c r="S140" s="4">
        <f ca="1">_xll.DBRW($B$1,$B$2,$B$7,$B$3,$B$4,$B$5,$F140,$B$6,S$10,$A140,$B140)</f>
        <v>1403.9478671026859</v>
      </c>
      <c r="T140" s="4">
        <f ca="1">_xll.DBRW($B$1,$B$2,$B$7,$B$3,$B$4,$B$5,$F140,$B$6,T$10,$A140,$B140)</f>
        <v>859.64717544743087</v>
      </c>
      <c r="U140" s="4">
        <f ca="1">_xll.DBRW($B$1,$B$2,$B$7,$B$3,$B$4,$B$5,$F140,$B$6,U$10,$A140,$B140)</f>
        <v>763.59812649953699</v>
      </c>
      <c r="V140" s="4">
        <f ca="1">_xll.DBRW($B$1,$B$2,$B$7,$B$3,$B$4,$B$5,$F140,$B$6,V$10,$A140,$B140)</f>
        <v>970.61773433561632</v>
      </c>
      <c r="W140" s="4">
        <f ca="1">_xll.DBRW($B$1,$B$2,$B$7,$B$3,$B$4,$B$5,$F140,$B$6,W$10,$A140,$B140)</f>
        <v>916.85845465985369</v>
      </c>
      <c r="X140" s="4">
        <f ca="1">_xll.DBRW($B$1,$B$2,$B$7,$B$3,$B$4,$B$5,$F140,$B$6,X$10,$A140,$B140)</f>
        <v>961.69260153922096</v>
      </c>
      <c r="Y140" s="4">
        <f ca="1">_xll.DBRW($B$1,$B$2,$B$7,$B$3,$B$4,$B$5,$F140,$B$6,Y$10,$A140,$B140)</f>
        <v>958.62846210417399</v>
      </c>
      <c r="Z140" s="4">
        <f ca="1">_xll.DBRW($B$1,$B$2,$B$7,$B$3,$B$4,$B$5,$F140,$B$6,Z$10,$A140,$B140)</f>
        <v>978.30058775929285</v>
      </c>
      <c r="AA140" s="4">
        <f ca="1">_xll.DBRW($B$1,$B$2,$B$7,$B$3,$B$4,$B$5,$F140,$B$6,AA$10,$A140,$B140)</f>
        <v>896.335075283116</v>
      </c>
      <c r="AB140" s="4">
        <f ca="1">_xll.DBRW($B$1,$B$2,$B$7,$B$3,$B$4,$B$5,$F140,$B$6,AB$10,$A140,$B140)</f>
        <v>874.27717599976313</v>
      </c>
      <c r="AC140" s="4">
        <f ca="1">_xll.DBRW($B$1,$B$2,$B$7,$B$3,$B$4,$B$5,$F140,$B$6,AC$10,$A140,$B140)</f>
        <v>944.19426120247579</v>
      </c>
      <c r="AD140" s="4">
        <f ca="1">_xll.DBRW($B$1,$B$2,$B$7,$B$3,$B$4,$B$5,$F140,$B$6,AD$10,$A140,$B140)</f>
        <v>951.16077141212565</v>
      </c>
      <c r="AE140" s="4">
        <f ca="1">_xll.DBRW($B$1,$B$2,$B$7,$B$3,$B$4,$B$5,$F140,$B$6,AE$10,$A140,$B140)</f>
        <v>989.41569770104161</v>
      </c>
    </row>
    <row r="141" spans="1:31">
      <c r="A141" s="1" t="s">
        <v>151</v>
      </c>
      <c r="B141" s="5" t="s">
        <v>173</v>
      </c>
      <c r="C141" s="5" t="s">
        <v>168</v>
      </c>
      <c r="D141" s="5" t="s">
        <v>21</v>
      </c>
      <c r="E141" s="5" t="s">
        <v>76</v>
      </c>
      <c r="F141" s="5" t="s">
        <v>24</v>
      </c>
      <c r="G141" s="6"/>
      <c r="H141" s="6"/>
      <c r="I141" s="6"/>
      <c r="J141" s="6"/>
      <c r="K141" s="6"/>
      <c r="L141" s="4">
        <f ca="1">_xll.DBRW($B$1,$B$2,$B$7,$B$3,$B$4,$B$5,$F141,$B$6,L$10,$A141,$B141)</f>
        <v>936.87642887535367</v>
      </c>
      <c r="M141" s="4">
        <f ca="1">_xll.DBRW($B$1,$B$2,$B$7,$B$3,$B$4,$B$5,$F141,$B$6,M$10,$A141,$B141)</f>
        <v>993.20803830021077</v>
      </c>
      <c r="N141" s="4">
        <f ca="1">_xll.DBRW($B$1,$B$2,$B$7,$B$3,$B$4,$B$5,$F141,$B$6,N$10,$A141,$B141)</f>
        <v>896.8275836238015</v>
      </c>
      <c r="O141" s="4">
        <f ca="1">_xll.DBRW($B$1,$B$2,$B$7,$B$3,$B$4,$B$5,$F141,$B$6,O$10,$A141,$B141)</f>
        <v>961.49958796637338</v>
      </c>
      <c r="P141" s="4">
        <f ca="1">_xll.DBRW($B$1,$B$2,$B$7,$B$3,$B$4,$B$5,$F141,$B$6,P$10,$A141,$B141)</f>
        <v>1024.8580714895545</v>
      </c>
      <c r="Q141" s="4">
        <f ca="1">_xll.DBRW($B$1,$B$2,$B$7,$B$3,$B$4,$B$5,$F141,$B$6,Q$10,$A141,$B141)</f>
        <v>804.02723613396995</v>
      </c>
      <c r="R141" s="4">
        <f ca="1">_xll.DBRW($B$1,$B$2,$B$7,$B$3,$B$4,$B$5,$F141,$B$6,R$10,$A141,$B141)</f>
        <v>0</v>
      </c>
      <c r="S141" s="4">
        <f ca="1">_xll.DBRW($B$1,$B$2,$B$7,$B$3,$B$4,$B$5,$F141,$B$6,S$10,$A141,$B141)</f>
        <v>0</v>
      </c>
      <c r="T141" s="4">
        <f ca="1">_xll.DBRW($B$1,$B$2,$B$7,$B$3,$B$4,$B$5,$F141,$B$6,T$10,$A141,$B141)</f>
        <v>0</v>
      </c>
      <c r="U141" s="4">
        <f ca="1">_xll.DBRW($B$1,$B$2,$B$7,$B$3,$B$4,$B$5,$F141,$B$6,U$10,$A141,$B141)</f>
        <v>0</v>
      </c>
      <c r="V141" s="4">
        <f ca="1">_xll.DBRW($B$1,$B$2,$B$7,$B$3,$B$4,$B$5,$F141,$B$6,V$10,$A141,$B141)</f>
        <v>97.185129995546333</v>
      </c>
      <c r="W141" s="4">
        <f ca="1">_xll.DBRW($B$1,$B$2,$B$7,$B$3,$B$4,$B$5,$F141,$B$6,W$10,$A141,$B141)</f>
        <v>1307.537744639666</v>
      </c>
      <c r="X141" s="4">
        <f ca="1">_xll.DBRW($B$1,$B$2,$B$7,$B$3,$B$4,$B$5,$F141,$B$6,X$10,$A141,$B141)</f>
        <v>1522.3183547248786</v>
      </c>
      <c r="Y141" s="4">
        <f ca="1">_xll.DBRW($B$1,$B$2,$B$7,$B$3,$B$4,$B$5,$F141,$B$6,Y$10,$A141,$B141)</f>
        <v>1673.6716523842704</v>
      </c>
      <c r="Z141" s="4">
        <f ca="1">_xll.DBRW($B$1,$B$2,$B$7,$B$3,$B$4,$B$5,$F141,$B$6,Z$10,$A141,$B141)</f>
        <v>1619.9196593153704</v>
      </c>
      <c r="AA141" s="4">
        <f ca="1">_xll.DBRW($B$1,$B$2,$B$7,$B$3,$B$4,$B$5,$F141,$B$6,AA$10,$A141,$B141)</f>
        <v>1540.0019790191052</v>
      </c>
      <c r="AB141" s="4">
        <f ca="1">_xll.DBRW($B$1,$B$2,$B$7,$B$3,$B$4,$B$5,$F141,$B$6,AB$10,$A141,$B141)</f>
        <v>1642.2233369797489</v>
      </c>
      <c r="AC141" s="4">
        <f ca="1">_xll.DBRW($B$1,$B$2,$B$7,$B$3,$B$4,$B$5,$F141,$B$6,AC$10,$A141,$B141)</f>
        <v>1220.0372459978689</v>
      </c>
      <c r="AD141" s="4">
        <f ca="1">_xll.DBRW($B$1,$B$2,$B$7,$B$3,$B$4,$B$5,$F141,$B$6,AD$10,$A141,$B141)</f>
        <v>0</v>
      </c>
      <c r="AE141" s="4">
        <f ca="1">_xll.DBRW($B$1,$B$2,$B$7,$B$3,$B$4,$B$5,$F141,$B$6,AE$10,$A141,$B141)</f>
        <v>0</v>
      </c>
    </row>
    <row r="142" spans="1:31">
      <c r="A142" s="1" t="s">
        <v>151</v>
      </c>
      <c r="B142" s="5" t="s">
        <v>77</v>
      </c>
      <c r="C142" s="5" t="s">
        <v>75</v>
      </c>
      <c r="D142" s="5" t="s">
        <v>76</v>
      </c>
      <c r="E142" s="5" t="s">
        <v>21</v>
      </c>
      <c r="F142" s="5" t="s">
        <v>24</v>
      </c>
      <c r="G142" s="6"/>
      <c r="H142" s="6"/>
      <c r="I142" s="6"/>
      <c r="J142" s="6"/>
      <c r="K142" s="6"/>
      <c r="L142" s="4">
        <f ca="1">_xll.DBRW($B$1,$B$2,$B$7,$B$3,$B$4,$B$5,$F142,$B$6,L$10,$A142,$B142)</f>
        <v>936.87642887535367</v>
      </c>
      <c r="M142" s="4">
        <f ca="1">_xll.DBRW($B$1,$B$2,$B$7,$B$3,$B$4,$B$5,$F142,$B$6,M$10,$A142,$B142)</f>
        <v>993.20803830021077</v>
      </c>
      <c r="N142" s="4">
        <f ca="1">_xll.DBRW($B$1,$B$2,$B$7,$B$3,$B$4,$B$5,$F142,$B$6,N$10,$A142,$B142)</f>
        <v>944.65838808373758</v>
      </c>
      <c r="O142" s="4">
        <f ca="1">_xll.DBRW($B$1,$B$2,$B$7,$B$3,$B$4,$B$5,$F142,$B$6,O$10,$A142,$B142)</f>
        <v>961.49958796637338</v>
      </c>
      <c r="P142" s="4">
        <f ca="1">_xll.DBRW($B$1,$B$2,$B$7,$B$3,$B$4,$B$5,$F142,$B$6,P$10,$A142,$B142)</f>
        <v>1024.8580714895545</v>
      </c>
      <c r="Q142" s="4">
        <f ca="1">_xll.DBRW($B$1,$B$2,$B$7,$B$3,$B$4,$B$5,$F142,$B$6,Q$10,$A142,$B142)</f>
        <v>804.02723613396995</v>
      </c>
      <c r="R142" s="4">
        <f ca="1">_xll.DBRW($B$1,$B$2,$B$7,$B$3,$B$4,$B$5,$F142,$B$6,R$10,$A142,$B142)</f>
        <v>0</v>
      </c>
      <c r="S142" s="4">
        <f ca="1">_xll.DBRW($B$1,$B$2,$B$7,$B$3,$B$4,$B$5,$F142,$B$6,S$10,$A142,$B142)</f>
        <v>0</v>
      </c>
      <c r="T142" s="4">
        <f ca="1">_xll.DBRW($B$1,$B$2,$B$7,$B$3,$B$4,$B$5,$F142,$B$6,T$10,$A142,$B142)</f>
        <v>0</v>
      </c>
      <c r="U142" s="4">
        <f ca="1">_xll.DBRW($B$1,$B$2,$B$7,$B$3,$B$4,$B$5,$F142,$B$6,U$10,$A142,$B142)</f>
        <v>0</v>
      </c>
      <c r="V142" s="4">
        <f ca="1">_xll.DBRW($B$1,$B$2,$B$7,$B$3,$B$4,$B$5,$F142,$B$6,V$10,$A142,$B142)</f>
        <v>97.185129995546333</v>
      </c>
      <c r="W142" s="4">
        <f ca="1">_xll.DBRW($B$1,$B$2,$B$7,$B$3,$B$4,$B$5,$F142,$B$6,W$10,$A142,$B142)</f>
        <v>1307.537744639666</v>
      </c>
      <c r="X142" s="4">
        <f ca="1">_xll.DBRW($B$1,$B$2,$B$7,$B$3,$B$4,$B$5,$F142,$B$6,X$10,$A142,$B142)</f>
        <v>1522.3183547248786</v>
      </c>
      <c r="Y142" s="4">
        <f ca="1">_xll.DBRW($B$1,$B$2,$B$7,$B$3,$B$4,$B$5,$F142,$B$6,Y$10,$A142,$B142)</f>
        <v>1673.6716523842704</v>
      </c>
      <c r="Z142" s="4">
        <f ca="1">_xll.DBRW($B$1,$B$2,$B$7,$B$3,$B$4,$B$5,$F142,$B$6,Z$10,$A142,$B142)</f>
        <v>1619.9196593153704</v>
      </c>
      <c r="AA142" s="4">
        <f ca="1">_xll.DBRW($B$1,$B$2,$B$7,$B$3,$B$4,$B$5,$F142,$B$6,AA$10,$A142,$B142)</f>
        <v>1540.0019790191052</v>
      </c>
      <c r="AB142" s="4">
        <f ca="1">_xll.DBRW($B$1,$B$2,$B$7,$B$3,$B$4,$B$5,$F142,$B$6,AB$10,$A142,$B142)</f>
        <v>1642.2233369797489</v>
      </c>
      <c r="AC142" s="4">
        <f ca="1">_xll.DBRW($B$1,$B$2,$B$7,$B$3,$B$4,$B$5,$F142,$B$6,AC$10,$A142,$B142)</f>
        <v>1171.235756157954</v>
      </c>
      <c r="AD142" s="4">
        <f ca="1">_xll.DBRW($B$1,$B$2,$B$7,$B$3,$B$4,$B$5,$F142,$B$6,AD$10,$A142,$B142)</f>
        <v>0</v>
      </c>
      <c r="AE142" s="4">
        <f ca="1">_xll.DBRW($B$1,$B$2,$B$7,$B$3,$B$4,$B$5,$F142,$B$6,AE$10,$A142,$B142)</f>
        <v>0</v>
      </c>
    </row>
    <row r="143" spans="1:31">
      <c r="A143" s="1" t="s">
        <v>151</v>
      </c>
      <c r="B143" s="5" t="s">
        <v>174</v>
      </c>
      <c r="C143" s="5" t="s">
        <v>159</v>
      </c>
      <c r="D143" s="5" t="s">
        <v>21</v>
      </c>
      <c r="E143" s="5" t="s">
        <v>38</v>
      </c>
      <c r="F143" s="5" t="s">
        <v>24</v>
      </c>
      <c r="G143" s="6"/>
      <c r="H143" s="6"/>
      <c r="I143" s="6"/>
      <c r="J143" s="6"/>
      <c r="K143" s="6"/>
      <c r="L143" s="4">
        <f ca="1">_xll.DBRW($B$1,$B$2,$B$7,$B$3,$B$4,$B$5,$F143,$B$6,L$10,$A143,$B143)</f>
        <v>1235.1334317941989</v>
      </c>
      <c r="M143" s="4">
        <f ca="1">_xll.DBRW($B$1,$B$2,$B$7,$B$3,$B$4,$B$5,$F143,$B$6,M$10,$A143,$B143)</f>
        <v>1248.0640115621131</v>
      </c>
      <c r="N143" s="4">
        <f ca="1">_xll.DBRW($B$1,$B$2,$B$7,$B$3,$B$4,$B$5,$F143,$B$6,N$10,$A143,$B143)</f>
        <v>1263.4173550385362</v>
      </c>
      <c r="O143" s="4">
        <f ca="1">_xll.DBRW($B$1,$B$2,$B$7,$B$3,$B$4,$B$5,$F143,$B$6,O$10,$A143,$B143)</f>
        <v>1258.3614521527552</v>
      </c>
      <c r="P143" s="4">
        <f ca="1">_xll.DBRW($B$1,$B$2,$B$7,$B$3,$B$4,$B$5,$F143,$B$6,P$10,$A143,$B143)</f>
        <v>1264.4610794716398</v>
      </c>
      <c r="Q143" s="4">
        <f ca="1">_xll.DBRW($B$1,$B$2,$B$7,$B$3,$B$4,$B$5,$F143,$B$6,Q$10,$A143,$B143)</f>
        <v>1440.2192932124267</v>
      </c>
      <c r="R143" s="4">
        <f ca="1">_xll.DBRW($B$1,$B$2,$B$7,$B$3,$B$4,$B$5,$F143,$B$6,R$10,$A143,$B143)</f>
        <v>1541.8057453889514</v>
      </c>
      <c r="S143" s="4">
        <f ca="1">_xll.DBRW($B$1,$B$2,$B$7,$B$3,$B$4,$B$5,$F143,$B$6,S$10,$A143,$B143)</f>
        <v>1701.3768226518475</v>
      </c>
      <c r="T143" s="4">
        <f ca="1">_xll.DBRW($B$1,$B$2,$B$7,$B$3,$B$4,$B$5,$F143,$B$6,T$10,$A143,$B143)</f>
        <v>1090.9992263512556</v>
      </c>
      <c r="U143" s="4">
        <f ca="1">_xll.DBRW($B$1,$B$2,$B$7,$B$3,$B$4,$B$5,$F143,$B$6,U$10,$A143,$B143)</f>
        <v>966.18538455043461</v>
      </c>
      <c r="V143" s="4">
        <f ca="1">_xll.DBRW($B$1,$B$2,$B$7,$B$3,$B$4,$B$5,$F143,$B$6,V$10,$A143,$B143)</f>
        <v>1234.5184086480649</v>
      </c>
      <c r="W143" s="4">
        <f ca="1">_xll.DBRW($B$1,$B$2,$B$7,$B$3,$B$4,$B$5,$F143,$B$6,W$10,$A143,$B143)</f>
        <v>1214.6191527922444</v>
      </c>
      <c r="X143" s="4">
        <f ca="1">_xll.DBRW($B$1,$B$2,$B$7,$B$3,$B$4,$B$5,$F143,$B$6,X$10,$A143,$B143)</f>
        <v>1292.3021318379576</v>
      </c>
      <c r="Y143" s="4">
        <f ca="1">_xll.DBRW($B$1,$B$2,$B$7,$B$3,$B$4,$B$5,$F143,$B$6,Y$10,$A143,$B143)</f>
        <v>1279.997241781002</v>
      </c>
      <c r="Z143" s="4">
        <f ca="1">_xll.DBRW($B$1,$B$2,$B$7,$B$3,$B$4,$B$5,$F143,$B$6,Z$10,$A143,$B143)</f>
        <v>1297.4880606319102</v>
      </c>
      <c r="AA143" s="4">
        <f ca="1">_xll.DBRW($B$1,$B$2,$B$7,$B$3,$B$4,$B$5,$F143,$B$6,AA$10,$A143,$B143)</f>
        <v>1202.8238429605688</v>
      </c>
      <c r="AB143" s="4">
        <f ca="1">_xll.DBRW($B$1,$B$2,$B$7,$B$3,$B$4,$B$5,$F143,$B$6,AB$10,$A143,$B143)</f>
        <v>1169.0334810511117</v>
      </c>
      <c r="AC143" s="4">
        <f ca="1">_xll.DBRW($B$1,$B$2,$B$7,$B$3,$B$4,$B$5,$F143,$B$6,AC$10,$A143,$B143)</f>
        <v>1244.421929511097</v>
      </c>
      <c r="AD143" s="4">
        <f ca="1">_xll.DBRW($B$1,$B$2,$B$7,$B$3,$B$4,$B$5,$F143,$B$6,AD$10,$A143,$B143)</f>
        <v>1206.6153785913821</v>
      </c>
      <c r="AE143" s="4">
        <f ca="1">_xll.DBRW($B$1,$B$2,$B$7,$B$3,$B$4,$B$5,$F143,$B$6,AE$10,$A143,$B143)</f>
        <v>1255.6916274049165</v>
      </c>
    </row>
    <row r="144" spans="1:31">
      <c r="A144" s="1" t="s">
        <v>151</v>
      </c>
      <c r="B144" s="5" t="s">
        <v>41</v>
      </c>
      <c r="C144" s="5" t="s">
        <v>37</v>
      </c>
      <c r="D144" s="5" t="s">
        <v>38</v>
      </c>
      <c r="E144" s="5" t="s">
        <v>21</v>
      </c>
      <c r="F144" s="5" t="s">
        <v>24</v>
      </c>
      <c r="G144" s="6"/>
      <c r="H144" s="6"/>
      <c r="I144" s="6"/>
      <c r="J144" s="6"/>
      <c r="K144" s="6"/>
      <c r="L144" s="4">
        <f ca="1">_xll.DBRW($B$1,$B$2,$B$7,$B$3,$B$4,$B$5,$F144,$B$6,L$10,$A144,$B144)</f>
        <v>1234.324569035984</v>
      </c>
      <c r="M144" s="4">
        <f ca="1">_xll.DBRW($B$1,$B$2,$B$7,$B$3,$B$4,$B$5,$F144,$B$6,M$10,$A144,$B144)</f>
        <v>1248.0640115621131</v>
      </c>
      <c r="N144" s="4">
        <f ca="1">_xll.DBRW($B$1,$B$2,$B$7,$B$3,$B$4,$B$5,$F144,$B$6,N$10,$A144,$B144)</f>
        <v>1215.1444916707924</v>
      </c>
      <c r="O144" s="4">
        <f ca="1">_xll.DBRW($B$1,$B$2,$B$7,$B$3,$B$4,$B$5,$F144,$B$6,O$10,$A144,$B144)</f>
        <v>1225.8456523555265</v>
      </c>
      <c r="P144" s="4">
        <f ca="1">_xll.DBRW($B$1,$B$2,$B$7,$B$3,$B$4,$B$5,$F144,$B$6,P$10,$A144,$B144)</f>
        <v>1264.4610794716398</v>
      </c>
      <c r="Q144" s="4">
        <f ca="1">_xll.DBRW($B$1,$B$2,$B$7,$B$3,$B$4,$B$5,$F144,$B$6,Q$10,$A144,$B144)</f>
        <v>1440.2192932124267</v>
      </c>
      <c r="R144" s="4">
        <f ca="1">_xll.DBRW($B$1,$B$2,$B$7,$B$3,$B$4,$B$5,$F144,$B$6,R$10,$A144,$B144)</f>
        <v>1541.8057453889514</v>
      </c>
      <c r="S144" s="4">
        <f ca="1">_xll.DBRW($B$1,$B$2,$B$7,$B$3,$B$4,$B$5,$F144,$B$6,S$10,$A144,$B144)</f>
        <v>1701.3768226518475</v>
      </c>
      <c r="T144" s="4">
        <f ca="1">_xll.DBRW($B$1,$B$2,$B$7,$B$3,$B$4,$B$5,$F144,$B$6,T$10,$A144,$B144)</f>
        <v>1158.3448576075059</v>
      </c>
      <c r="U144" s="4">
        <f ca="1">_xll.DBRW($B$1,$B$2,$B$7,$B$3,$B$4,$B$5,$F144,$B$6,U$10,$A144,$B144)</f>
        <v>1031.6366525361091</v>
      </c>
      <c r="V144" s="4">
        <f ca="1">_xll.DBRW($B$1,$B$2,$B$7,$B$3,$B$4,$B$5,$F144,$B$6,V$10,$A144,$B144)</f>
        <v>1325.7654214611828</v>
      </c>
      <c r="W144" s="4">
        <f ca="1">_xll.DBRW($B$1,$B$2,$B$7,$B$3,$B$4,$B$5,$F144,$B$6,W$10,$A144,$B144)</f>
        <v>1270.503858600083</v>
      </c>
      <c r="X144" s="4">
        <f ca="1">_xll.DBRW($B$1,$B$2,$B$7,$B$3,$B$4,$B$5,$F144,$B$6,X$10,$A144,$B144)</f>
        <v>1356.1195210645235</v>
      </c>
      <c r="Y144" s="4">
        <f ca="1">_xll.DBRW($B$1,$B$2,$B$7,$B$3,$B$4,$B$5,$F144,$B$6,Y$10,$A144,$B144)</f>
        <v>1345.7317648967166</v>
      </c>
      <c r="Z144" s="4">
        <f ca="1">_xll.DBRW($B$1,$B$2,$B$7,$B$3,$B$4,$B$5,$F144,$B$6,Z$10,$A144,$B144)</f>
        <v>1362.4075466399001</v>
      </c>
      <c r="AA144" s="4">
        <f ca="1">_xll.DBRW($B$1,$B$2,$B$7,$B$3,$B$4,$B$5,$F144,$B$6,AA$10,$A144,$B144)</f>
        <v>1255.6952206731212</v>
      </c>
      <c r="AB144" s="4">
        <f ca="1">_xll.DBRW($B$1,$B$2,$B$7,$B$3,$B$4,$B$5,$F144,$B$6,AB$10,$A144,$B144)</f>
        <v>1228.9839159768098</v>
      </c>
      <c r="AC144" s="4">
        <f ca="1">_xll.DBRW($B$1,$B$2,$B$7,$B$3,$B$4,$B$5,$F144,$B$6,AC$10,$A144,$B144)</f>
        <v>1302.727012921757</v>
      </c>
      <c r="AD144" s="4">
        <f ca="1">_xll.DBRW($B$1,$B$2,$B$7,$B$3,$B$4,$B$5,$F144,$B$6,AD$10,$A144,$B144)</f>
        <v>1291.7669143178011</v>
      </c>
      <c r="AE144" s="4">
        <f ca="1">_xll.DBRW($B$1,$B$2,$B$7,$B$3,$B$4,$B$5,$F144,$B$6,AE$10,$A144,$B144)</f>
        <v>1332.2915523882232</v>
      </c>
    </row>
    <row r="145" spans="1:31">
      <c r="A145" s="1" t="s">
        <v>151</v>
      </c>
      <c r="B145" s="5" t="s">
        <v>175</v>
      </c>
      <c r="C145" s="5" t="s">
        <v>159</v>
      </c>
      <c r="D145" s="5" t="s">
        <v>21</v>
      </c>
      <c r="E145" s="5" t="s">
        <v>38</v>
      </c>
      <c r="F145" s="5" t="s">
        <v>24</v>
      </c>
      <c r="G145" s="6"/>
      <c r="H145" s="6"/>
      <c r="I145" s="6"/>
      <c r="J145" s="6"/>
      <c r="K145" s="6"/>
      <c r="L145" s="4">
        <f ca="1">_xll.DBRW($B$1,$B$2,$B$7,$B$3,$B$4,$B$5,$F145,$B$6,L$10,$A145,$B145)</f>
        <v>464.2872232153702</v>
      </c>
      <c r="M145" s="4">
        <f ca="1">_xll.DBRW($B$1,$B$2,$B$7,$B$3,$B$4,$B$5,$F145,$B$6,M$10,$A145,$B145)</f>
        <v>1205.6128547062592</v>
      </c>
      <c r="N145" s="4">
        <f ca="1">_xll.DBRW($B$1,$B$2,$B$7,$B$3,$B$4,$B$5,$F145,$B$6,N$10,$A145,$B145)</f>
        <v>1231.790306625187</v>
      </c>
      <c r="O145" s="4">
        <f ca="1">_xll.DBRW($B$1,$B$2,$B$7,$B$3,$B$4,$B$5,$F145,$B$6,O$10,$A145,$B145)</f>
        <v>1191.704062568436</v>
      </c>
      <c r="P145" s="4">
        <f ca="1">_xll.DBRW($B$1,$B$2,$B$7,$B$3,$B$4,$B$5,$F145,$B$6,P$10,$A145,$B145)</f>
        <v>1229.818310171047</v>
      </c>
      <c r="Q145" s="4">
        <f ca="1">_xll.DBRW($B$1,$B$2,$B$7,$B$3,$B$4,$B$5,$F145,$B$6,Q$10,$A145,$B145)</f>
        <v>1158.9264625068745</v>
      </c>
      <c r="R145" s="4">
        <f ca="1">_xll.DBRW($B$1,$B$2,$B$7,$B$3,$B$4,$B$5,$F145,$B$6,R$10,$A145,$B145)</f>
        <v>0</v>
      </c>
      <c r="S145" s="4">
        <f ca="1">_xll.DBRW($B$1,$B$2,$B$7,$B$3,$B$4,$B$5,$F145,$B$6,S$10,$A145,$B145)</f>
        <v>0</v>
      </c>
      <c r="T145" s="4">
        <f ca="1">_xll.DBRW($B$1,$B$2,$B$7,$B$3,$B$4,$B$5,$F145,$B$6,T$10,$A145,$B145)</f>
        <v>0</v>
      </c>
      <c r="U145" s="4">
        <f ca="1">_xll.DBRW($B$1,$B$2,$B$7,$B$3,$B$4,$B$5,$F145,$B$6,U$10,$A145,$B145)</f>
        <v>0</v>
      </c>
      <c r="V145" s="4">
        <f ca="1">_xll.DBRW($B$1,$B$2,$B$7,$B$3,$B$4,$B$5,$F145,$B$6,V$10,$A145,$B145)</f>
        <v>62.620498989394584</v>
      </c>
      <c r="W145" s="4">
        <f ca="1">_xll.DBRW($B$1,$B$2,$B$7,$B$3,$B$4,$B$5,$F145,$B$6,W$10,$A145,$B145)</f>
        <v>641.80091826189766</v>
      </c>
      <c r="X145" s="4">
        <f ca="1">_xll.DBRW($B$1,$B$2,$B$7,$B$3,$B$4,$B$5,$F145,$B$6,X$10,$A145,$B145)</f>
        <v>682.49152367299541</v>
      </c>
      <c r="Y145" s="4">
        <f ca="1">_xll.DBRW($B$1,$B$2,$B$7,$B$3,$B$4,$B$5,$F145,$B$6,Y$10,$A145,$B145)</f>
        <v>702.99420554306118</v>
      </c>
      <c r="Z145" s="4">
        <f ca="1">_xll.DBRW($B$1,$B$2,$B$7,$B$3,$B$4,$B$5,$F145,$B$6,Z$10,$A145,$B145)</f>
        <v>694.27783647433682</v>
      </c>
      <c r="AA145" s="4">
        <f ca="1">_xll.DBRW($B$1,$B$2,$B$7,$B$3,$B$4,$B$5,$F145,$B$6,AA$10,$A145,$B145)</f>
        <v>636.10876310414676</v>
      </c>
      <c r="AB145" s="4">
        <f ca="1">_xll.DBRW($B$1,$B$2,$B$7,$B$3,$B$4,$B$5,$F145,$B$6,AB$10,$A145,$B145)</f>
        <v>641.13659573315977</v>
      </c>
      <c r="AC145" s="4">
        <f ca="1">_xll.DBRW($B$1,$B$2,$B$7,$B$3,$B$4,$B$5,$F145,$B$6,AC$10,$A145,$B145)</f>
        <v>487.326070298052</v>
      </c>
      <c r="AD145" s="4">
        <f ca="1">_xll.DBRW($B$1,$B$2,$B$7,$B$3,$B$4,$B$5,$F145,$B$6,AD$10,$A145,$B145)</f>
        <v>0</v>
      </c>
      <c r="AE145" s="4">
        <f ca="1">_xll.DBRW($B$1,$B$2,$B$7,$B$3,$B$4,$B$5,$F145,$B$6,AE$10,$A145,$B145)</f>
        <v>0</v>
      </c>
    </row>
    <row r="146" spans="1:31">
      <c r="A146" s="1" t="s">
        <v>151</v>
      </c>
      <c r="B146" s="5" t="s">
        <v>42</v>
      </c>
      <c r="C146" s="5" t="s">
        <v>37</v>
      </c>
      <c r="D146" s="5" t="s">
        <v>38</v>
      </c>
      <c r="E146" s="5" t="s">
        <v>21</v>
      </c>
      <c r="F146" s="5" t="s">
        <v>24</v>
      </c>
      <c r="G146" s="6"/>
      <c r="H146" s="6"/>
      <c r="I146" s="6"/>
      <c r="J146" s="6"/>
      <c r="K146" s="6"/>
      <c r="L146" s="4">
        <f ca="1">_xll.DBRW($B$1,$B$2,$B$7,$B$3,$B$4,$B$5,$F146,$B$6,L$10,$A146,$B146)</f>
        <v>490.17083147824798</v>
      </c>
      <c r="M146" s="4">
        <f ca="1">_xll.DBRW($B$1,$B$2,$B$7,$B$3,$B$4,$B$5,$F146,$B$6,M$10,$A146,$B146)</f>
        <v>1283.7229833210308</v>
      </c>
      <c r="N146" s="4">
        <f ca="1">_xll.DBRW($B$1,$B$2,$B$7,$B$3,$B$4,$B$5,$F146,$B$6,N$10,$A146,$B146)</f>
        <v>1272.5725532634533</v>
      </c>
      <c r="O146" s="4">
        <f ca="1">_xll.DBRW($B$1,$B$2,$B$7,$B$3,$B$4,$B$5,$F146,$B$6,O$10,$A146,$B146)</f>
        <v>1220.9682823859421</v>
      </c>
      <c r="P146" s="4">
        <f ca="1">_xll.DBRW($B$1,$B$2,$B$7,$B$3,$B$4,$B$5,$F146,$B$6,P$10,$A146,$B146)</f>
        <v>1429.0142336494559</v>
      </c>
      <c r="Q146" s="4">
        <f ca="1">_xll.DBRW($B$1,$B$2,$B$7,$B$3,$B$4,$B$5,$F146,$B$6,Q$10,$A146,$B146)</f>
        <v>1346.455016310576</v>
      </c>
      <c r="R146" s="4">
        <f ca="1">_xll.DBRW($B$1,$B$2,$B$7,$B$3,$B$4,$B$5,$F146,$B$6,R$10,$A146,$B146)</f>
        <v>0</v>
      </c>
      <c r="S146" s="4">
        <f ca="1">_xll.DBRW($B$1,$B$2,$B$7,$B$3,$B$4,$B$5,$F146,$B$6,S$10,$A146,$B146)</f>
        <v>0</v>
      </c>
      <c r="T146" s="4">
        <f ca="1">_xll.DBRW($B$1,$B$2,$B$7,$B$3,$B$4,$B$5,$F146,$B$6,T$10,$A146,$B146)</f>
        <v>0</v>
      </c>
      <c r="U146" s="4">
        <f ca="1">_xll.DBRW($B$1,$B$2,$B$7,$B$3,$B$4,$B$5,$F146,$B$6,U$10,$A146,$B146)</f>
        <v>0</v>
      </c>
      <c r="V146" s="4">
        <f ca="1">_xll.DBRW($B$1,$B$2,$B$7,$B$3,$B$4,$B$5,$F146,$B$6,V$10,$A146,$B146)</f>
        <v>62.620498989394584</v>
      </c>
      <c r="W146" s="4">
        <f ca="1">_xll.DBRW($B$1,$B$2,$B$7,$B$3,$B$4,$B$5,$F146,$B$6,W$10,$A146,$B146)</f>
        <v>641.80091826189766</v>
      </c>
      <c r="X146" s="4">
        <f ca="1">_xll.DBRW($B$1,$B$2,$B$7,$B$3,$B$4,$B$5,$F146,$B$6,X$10,$A146,$B146)</f>
        <v>682.49152367299541</v>
      </c>
      <c r="Y146" s="4">
        <f ca="1">_xll.DBRW($B$1,$B$2,$B$7,$B$3,$B$4,$B$5,$F146,$B$6,Y$10,$A146,$B146)</f>
        <v>702.99420554306118</v>
      </c>
      <c r="Z146" s="4">
        <f ca="1">_xll.DBRW($B$1,$B$2,$B$7,$B$3,$B$4,$B$5,$F146,$B$6,Z$10,$A146,$B146)</f>
        <v>694.27783647433682</v>
      </c>
      <c r="AA146" s="4">
        <f ca="1">_xll.DBRW($B$1,$B$2,$B$7,$B$3,$B$4,$B$5,$F146,$B$6,AA$10,$A146,$B146)</f>
        <v>636.10876310414676</v>
      </c>
      <c r="AB146" s="4">
        <f ca="1">_xll.DBRW($B$1,$B$2,$B$7,$B$3,$B$4,$B$5,$F146,$B$6,AB$10,$A146,$B146)</f>
        <v>641.13659573315977</v>
      </c>
      <c r="AC146" s="4">
        <f ca="1">_xll.DBRW($B$1,$B$2,$B$7,$B$3,$B$4,$B$5,$F146,$B$6,AC$10,$A146,$B146)</f>
        <v>487.326070298052</v>
      </c>
      <c r="AD146" s="4">
        <f ca="1">_xll.DBRW($B$1,$B$2,$B$7,$B$3,$B$4,$B$5,$F146,$B$6,AD$10,$A146,$B146)</f>
        <v>0</v>
      </c>
      <c r="AE146" s="4">
        <f ca="1">_xll.DBRW($B$1,$B$2,$B$7,$B$3,$B$4,$B$5,$F146,$B$6,AE$10,$A146,$B146)</f>
        <v>0</v>
      </c>
    </row>
    <row r="147" spans="1:31">
      <c r="A147" s="1" t="s">
        <v>151</v>
      </c>
      <c r="B147" s="5" t="s">
        <v>176</v>
      </c>
      <c r="C147" s="5" t="s">
        <v>177</v>
      </c>
      <c r="D147" s="5" t="s">
        <v>28</v>
      </c>
      <c r="E147" s="5" t="s">
        <v>59</v>
      </c>
      <c r="F147" s="5" t="s">
        <v>24</v>
      </c>
      <c r="G147" s="6"/>
      <c r="H147" s="6"/>
      <c r="I147" s="6"/>
      <c r="J147" s="6"/>
      <c r="K147" s="6"/>
      <c r="L147" s="4">
        <f ca="1">_xll.DBRW($B$1,$B$2,$B$7,$B$3,$B$4,$B$5,$F147,$B$6,L$10,$A147,$B147)</f>
        <v>1101.8012195806002</v>
      </c>
      <c r="M147" s="4">
        <f ca="1">_xll.DBRW($B$1,$B$2,$B$7,$B$3,$B$4,$B$5,$F147,$B$6,M$10,$A147,$B147)</f>
        <v>775.35713231699958</v>
      </c>
      <c r="N147" s="4">
        <f ca="1">_xll.DBRW($B$1,$B$2,$B$7,$B$3,$B$4,$B$5,$F147,$B$6,N$10,$A147,$B147)</f>
        <v>943.93804464307584</v>
      </c>
      <c r="O147" s="4">
        <f ca="1">_xll.DBRW($B$1,$B$2,$B$7,$B$3,$B$4,$B$5,$F147,$B$6,O$10,$A147,$B147)</f>
        <v>1091.7672740779465</v>
      </c>
      <c r="P147" s="4">
        <f ca="1">_xll.DBRW($B$1,$B$2,$B$7,$B$3,$B$4,$B$5,$F147,$B$6,P$10,$A147,$B147)</f>
        <v>1005.3784996342922</v>
      </c>
      <c r="Q147" s="4">
        <f ca="1">_xll.DBRW($B$1,$B$2,$B$7,$B$3,$B$4,$B$5,$F147,$B$6,Q$10,$A147,$B147)</f>
        <v>1040.7968855801182</v>
      </c>
      <c r="R147" s="4">
        <f ca="1">_xll.DBRW($B$1,$B$2,$B$7,$B$3,$B$4,$B$5,$F147,$B$6,R$10,$A147,$B147)</f>
        <v>1266.7572304407056</v>
      </c>
      <c r="S147" s="4">
        <f ca="1">_xll.DBRW($B$1,$B$2,$B$7,$B$3,$B$4,$B$5,$F147,$B$6,S$10,$A147,$B147)</f>
        <v>1184.7240075580592</v>
      </c>
      <c r="T147" s="4">
        <f ca="1">_xll.DBRW($B$1,$B$2,$B$7,$B$3,$B$4,$B$5,$F147,$B$6,T$10,$A147,$B147)</f>
        <v>1661.9904675675659</v>
      </c>
      <c r="U147" s="4">
        <f ca="1">_xll.DBRW($B$1,$B$2,$B$7,$B$3,$B$4,$B$5,$F147,$B$6,U$10,$A147,$B147)</f>
        <v>1576.6421487110097</v>
      </c>
      <c r="V147" s="4">
        <f ca="1">_xll.DBRW($B$1,$B$2,$B$7,$B$3,$B$4,$B$5,$F147,$B$6,V$10,$A147,$B147)</f>
        <v>1618.0771962434615</v>
      </c>
      <c r="W147" s="4">
        <f ca="1">_xll.DBRW($B$1,$B$2,$B$7,$B$3,$B$4,$B$5,$F147,$B$6,W$10,$A147,$B147)</f>
        <v>1596.1358022110187</v>
      </c>
      <c r="X147" s="4">
        <f ca="1">_xll.DBRW($B$1,$B$2,$B$7,$B$3,$B$4,$B$5,$F147,$B$6,X$10,$A147,$B147)</f>
        <v>1122.8013481225335</v>
      </c>
      <c r="Y147" s="4">
        <f ca="1">_xll.DBRW($B$1,$B$2,$B$7,$B$3,$B$4,$B$5,$F147,$B$6,Y$10,$A147,$B147)</f>
        <v>1287.3758468744772</v>
      </c>
      <c r="Z147" s="4">
        <f ca="1">_xll.DBRW($B$1,$B$2,$B$7,$B$3,$B$4,$B$5,$F147,$B$6,Z$10,$A147,$B147)</f>
        <v>1559.7686623062443</v>
      </c>
      <c r="AA147" s="4">
        <f ca="1">_xll.DBRW($B$1,$B$2,$B$7,$B$3,$B$4,$B$5,$F147,$B$6,AA$10,$A147,$B147)</f>
        <v>1665.3297185369747</v>
      </c>
      <c r="AB147" s="4">
        <f ca="1">_xll.DBRW($B$1,$B$2,$B$7,$B$3,$B$4,$B$5,$F147,$B$6,AB$10,$A147,$B147)</f>
        <v>1472.908860610914</v>
      </c>
      <c r="AC147" s="4">
        <f ca="1">_xll.DBRW($B$1,$B$2,$B$7,$B$3,$B$4,$B$5,$F147,$B$6,AC$10,$A147,$B147)</f>
        <v>1566.3883499263757</v>
      </c>
      <c r="AD147" s="4">
        <f ca="1">_xll.DBRW($B$1,$B$2,$B$7,$B$3,$B$4,$B$5,$F147,$B$6,AD$10,$A147,$B147)</f>
        <v>1535.1836700069994</v>
      </c>
      <c r="AE147" s="4">
        <f ca="1">_xll.DBRW($B$1,$B$2,$B$7,$B$3,$B$4,$B$5,$F147,$B$6,AE$10,$A147,$B147)</f>
        <v>1518.4932121912634</v>
      </c>
    </row>
    <row r="148" spans="1:31">
      <c r="A148" s="1" t="s">
        <v>151</v>
      </c>
      <c r="B148" s="5" t="s">
        <v>64</v>
      </c>
      <c r="C148" s="5" t="s">
        <v>65</v>
      </c>
      <c r="D148" s="5" t="s">
        <v>59</v>
      </c>
      <c r="E148" s="5" t="s">
        <v>28</v>
      </c>
      <c r="F148" s="5" t="s">
        <v>24</v>
      </c>
      <c r="G148" s="6"/>
      <c r="H148" s="6"/>
      <c r="I148" s="6"/>
      <c r="J148" s="6"/>
      <c r="K148" s="6"/>
      <c r="L148" s="4">
        <f ca="1">_xll.DBRW($B$1,$B$2,$B$7,$B$3,$B$4,$B$5,$F148,$B$6,L$10,$A148,$B148)</f>
        <v>1101.8012195806002</v>
      </c>
      <c r="M148" s="4">
        <f ca="1">_xll.DBRW($B$1,$B$2,$B$7,$B$3,$B$4,$B$5,$F148,$B$6,M$10,$A148,$B148)</f>
        <v>947.65871727633282</v>
      </c>
      <c r="N148" s="4">
        <f ca="1">_xll.DBRW($B$1,$B$2,$B$7,$B$3,$B$4,$B$5,$F148,$B$6,N$10,$A148,$B148)</f>
        <v>988.88747534036509</v>
      </c>
      <c r="O148" s="4">
        <f ca="1">_xll.DBRW($B$1,$B$2,$B$7,$B$3,$B$4,$B$5,$F148,$B$6,O$10,$A148,$B148)</f>
        <v>1091.7672740779465</v>
      </c>
      <c r="P148" s="4">
        <f ca="1">_xll.DBRW($B$1,$B$2,$B$7,$B$3,$B$4,$B$5,$F148,$B$6,P$10,$A148,$B148)</f>
        <v>1164.1224732607595</v>
      </c>
      <c r="Q148" s="4">
        <f ca="1">_xll.DBRW($B$1,$B$2,$B$7,$B$3,$B$4,$B$5,$F148,$B$6,Q$10,$A148,$B148)</f>
        <v>1086.2007765618011</v>
      </c>
      <c r="R148" s="4">
        <f ca="1">_xll.DBRW($B$1,$B$2,$B$7,$B$3,$B$4,$B$5,$F148,$B$6,R$10,$A148,$B148)</f>
        <v>1270.4504002087542</v>
      </c>
      <c r="S148" s="4">
        <f ca="1">_xll.DBRW($B$1,$B$2,$B$7,$B$3,$B$4,$B$5,$F148,$B$6,S$10,$A148,$B148)</f>
        <v>1184.7240075580592</v>
      </c>
      <c r="T148" s="4">
        <f ca="1">_xll.DBRW($B$1,$B$2,$B$7,$B$3,$B$4,$B$5,$F148,$B$6,T$10,$A148,$B148)</f>
        <v>1661.9904675675659</v>
      </c>
      <c r="U148" s="4">
        <f ca="1">_xll.DBRW($B$1,$B$2,$B$7,$B$3,$B$4,$B$5,$F148,$B$6,U$10,$A148,$B148)</f>
        <v>1576.6421487110097</v>
      </c>
      <c r="V148" s="4">
        <f ca="1">_xll.DBRW($B$1,$B$2,$B$7,$B$3,$B$4,$B$5,$F148,$B$6,V$10,$A148,$B148)</f>
        <v>1618.0771962434615</v>
      </c>
      <c r="W148" s="4">
        <f ca="1">_xll.DBRW($B$1,$B$2,$B$7,$B$3,$B$4,$B$5,$F148,$B$6,W$10,$A148,$B148)</f>
        <v>1555.8293425592249</v>
      </c>
      <c r="X148" s="4">
        <f ca="1">_xll.DBRW($B$1,$B$2,$B$7,$B$3,$B$4,$B$5,$F148,$B$6,X$10,$A148,$B148)</f>
        <v>1100.7856354142484</v>
      </c>
      <c r="Y148" s="4">
        <f ca="1">_xll.DBRW($B$1,$B$2,$B$7,$B$3,$B$4,$B$5,$F148,$B$6,Y$10,$A148,$B148)</f>
        <v>1261.1028704076509</v>
      </c>
      <c r="Z148" s="4">
        <f ca="1">_xll.DBRW($B$1,$B$2,$B$7,$B$3,$B$4,$B$5,$F148,$B$6,Z$10,$A148,$B148)</f>
        <v>1529.1849630453373</v>
      </c>
      <c r="AA148" s="4">
        <f ca="1">_xll.DBRW($B$1,$B$2,$B$7,$B$3,$B$4,$B$5,$F148,$B$6,AA$10,$A148,$B148)</f>
        <v>1624.5128136708722</v>
      </c>
      <c r="AB148" s="4">
        <f ca="1">_xll.DBRW($B$1,$B$2,$B$7,$B$3,$B$4,$B$5,$F148,$B$6,AB$10,$A148,$B148)</f>
        <v>1443.0020817152604</v>
      </c>
      <c r="AC148" s="4">
        <f ca="1">_xll.DBRW($B$1,$B$2,$B$7,$B$3,$B$4,$B$5,$F148,$B$6,AC$10,$A148,$B148)</f>
        <v>1490.7174151473241</v>
      </c>
      <c r="AD148" s="4">
        <f ca="1">_xll.DBRW($B$1,$B$2,$B$7,$B$3,$B$4,$B$5,$F148,$B$6,AD$10,$A148,$B148)</f>
        <v>1535.1836700069994</v>
      </c>
      <c r="AE148" s="4">
        <f ca="1">_xll.DBRW($B$1,$B$2,$B$7,$B$3,$B$4,$B$5,$F148,$B$6,AE$10,$A148,$B148)</f>
        <v>1469.5095601850937</v>
      </c>
    </row>
    <row r="149" spans="1:31">
      <c r="A149" s="1" t="s">
        <v>151</v>
      </c>
      <c r="B149" s="5" t="s">
        <v>178</v>
      </c>
      <c r="C149" s="5" t="s">
        <v>177</v>
      </c>
      <c r="D149" s="5" t="s">
        <v>28</v>
      </c>
      <c r="E149" s="5" t="s">
        <v>59</v>
      </c>
      <c r="F149" s="5" t="s">
        <v>24</v>
      </c>
      <c r="G149" s="6"/>
      <c r="H149" s="6"/>
      <c r="I149" s="6"/>
      <c r="J149" s="6"/>
      <c r="K149" s="6"/>
      <c r="L149" s="4">
        <f ca="1">_xll.DBRW($B$1,$B$2,$B$7,$B$3,$B$4,$B$5,$F149,$B$6,L$10,$A149,$B149)</f>
        <v>1395.1379079105002</v>
      </c>
      <c r="M149" s="4">
        <f ca="1">_xll.DBRW($B$1,$B$2,$B$7,$B$3,$B$4,$B$5,$F149,$B$6,M$10,$A149,$B149)</f>
        <v>910.7369490707614</v>
      </c>
      <c r="N149" s="4">
        <f ca="1">_xll.DBRW($B$1,$B$2,$B$7,$B$3,$B$4,$B$5,$F149,$B$6,N$10,$A149,$B149)</f>
        <v>1226.4773233117517</v>
      </c>
      <c r="O149" s="4">
        <f ca="1">_xll.DBRW($B$1,$B$2,$B$7,$B$3,$B$4,$B$5,$F149,$B$6,O$10,$A149,$B149)</f>
        <v>1446.2371682590981</v>
      </c>
      <c r="P149" s="4">
        <f ca="1">_xll.DBRW($B$1,$B$2,$B$7,$B$3,$B$4,$B$5,$F149,$B$6,P$10,$A149,$B149)</f>
        <v>1307.7479732085155</v>
      </c>
      <c r="Q149" s="4">
        <f ca="1">_xll.DBRW($B$1,$B$2,$B$7,$B$3,$B$4,$B$5,$F149,$B$6,Q$10,$A149,$B149)</f>
        <v>1110.6490255519382</v>
      </c>
      <c r="R149" s="4">
        <f ca="1">_xll.DBRW($B$1,$B$2,$B$7,$B$3,$B$4,$B$5,$F149,$B$6,R$10,$A149,$B149)</f>
        <v>0</v>
      </c>
      <c r="S149" s="4">
        <f ca="1">_xll.DBRW($B$1,$B$2,$B$7,$B$3,$B$4,$B$5,$F149,$B$6,S$10,$A149,$B149)</f>
        <v>0</v>
      </c>
      <c r="T149" s="4">
        <f ca="1">_xll.DBRW($B$1,$B$2,$B$7,$B$3,$B$4,$B$5,$F149,$B$6,T$10,$A149,$B149)</f>
        <v>0</v>
      </c>
      <c r="U149" s="4">
        <f ca="1">_xll.DBRW($B$1,$B$2,$B$7,$B$3,$B$4,$B$5,$F149,$B$6,U$10,$A149,$B149)</f>
        <v>0</v>
      </c>
      <c r="V149" s="4">
        <f ca="1">_xll.DBRW($B$1,$B$2,$B$7,$B$3,$B$4,$B$5,$F149,$B$6,V$10,$A149,$B149)</f>
        <v>0</v>
      </c>
      <c r="W149" s="4">
        <f ca="1">_xll.DBRW($B$1,$B$2,$B$7,$B$3,$B$4,$B$5,$F149,$B$6,W$10,$A149,$B149)</f>
        <v>507.86139161259678</v>
      </c>
      <c r="X149" s="4">
        <f ca="1">_xll.DBRW($B$1,$B$2,$B$7,$B$3,$B$4,$B$5,$F149,$B$6,X$10,$A149,$B149)</f>
        <v>346.7474751554883</v>
      </c>
      <c r="Y149" s="4">
        <f ca="1">_xll.DBRW($B$1,$B$2,$B$7,$B$3,$B$4,$B$5,$F149,$B$6,Y$10,$A149,$B149)</f>
        <v>367.82167053556498</v>
      </c>
      <c r="Z149" s="4">
        <f ca="1">_xll.DBRW($B$1,$B$2,$B$7,$B$3,$B$4,$B$5,$F149,$B$6,Z$10,$A149,$B149)</f>
        <v>535.21473706586789</v>
      </c>
      <c r="AA149" s="4">
        <f ca="1">_xll.DBRW($B$1,$B$2,$B$7,$B$3,$B$4,$B$5,$F149,$B$6,AA$10,$A149,$B149)</f>
        <v>457.14933450034601</v>
      </c>
      <c r="AB149" s="4">
        <f ca="1">_xll.DBRW($B$1,$B$2,$B$7,$B$3,$B$4,$B$5,$F149,$B$6,AB$10,$A149,$B149)</f>
        <v>471.03176760653594</v>
      </c>
      <c r="AC149" s="4">
        <f ca="1">_xll.DBRW($B$1,$B$2,$B$7,$B$3,$B$4,$B$5,$F149,$B$6,AC$10,$A149,$B149)</f>
        <v>370.78758041735466</v>
      </c>
      <c r="AD149" s="4">
        <f ca="1">_xll.DBRW($B$1,$B$2,$B$7,$B$3,$B$4,$B$5,$F149,$B$6,AD$10,$A149,$B149)</f>
        <v>0</v>
      </c>
      <c r="AE149" s="4">
        <f ca="1">_xll.DBRW($B$1,$B$2,$B$7,$B$3,$B$4,$B$5,$F149,$B$6,AE$10,$A149,$B149)</f>
        <v>0</v>
      </c>
    </row>
    <row r="150" spans="1:31">
      <c r="A150" s="1" t="s">
        <v>151</v>
      </c>
      <c r="B150" s="5" t="s">
        <v>66</v>
      </c>
      <c r="C150" s="5" t="s">
        <v>65</v>
      </c>
      <c r="D150" s="5" t="s">
        <v>59</v>
      </c>
      <c r="E150" s="5" t="s">
        <v>28</v>
      </c>
      <c r="F150" s="5" t="s">
        <v>24</v>
      </c>
      <c r="G150" s="6"/>
      <c r="H150" s="6"/>
      <c r="I150" s="6"/>
      <c r="J150" s="6"/>
      <c r="K150" s="6"/>
      <c r="L150" s="4">
        <f ca="1">_xll.DBRW($B$1,$B$2,$B$7,$B$3,$B$4,$B$5,$F150,$B$6,L$10,$A150,$B150)</f>
        <v>1402.2924612844004</v>
      </c>
      <c r="M150" s="4">
        <f ca="1">_xll.DBRW($B$1,$B$2,$B$7,$B$3,$B$4,$B$5,$F150,$B$6,M$10,$A150,$B150)</f>
        <v>775.35713231699958</v>
      </c>
      <c r="N150" s="4">
        <f ca="1">_xll.DBRW($B$1,$B$2,$B$7,$B$3,$B$4,$B$5,$F150,$B$6,N$10,$A150,$B150)</f>
        <v>1181.5278926144622</v>
      </c>
      <c r="O150" s="4">
        <f ca="1">_xll.DBRW($B$1,$B$2,$B$7,$B$3,$B$4,$B$5,$F150,$B$6,O$10,$A150,$B150)</f>
        <v>1446.2371682590981</v>
      </c>
      <c r="P150" s="4">
        <f ca="1">_xll.DBRW($B$1,$B$2,$B$7,$B$3,$B$4,$B$5,$F150,$B$6,P$10,$A150,$B150)</f>
        <v>1149.0039995820482</v>
      </c>
      <c r="Q150" s="4">
        <f ca="1">_xll.DBRW($B$1,$B$2,$B$7,$B$3,$B$4,$B$5,$F150,$B$6,Q$10,$A150,$B150)</f>
        <v>1061.7525275716641</v>
      </c>
      <c r="R150" s="4">
        <f ca="1">_xll.DBRW($B$1,$B$2,$B$7,$B$3,$B$4,$B$5,$F150,$B$6,R$10,$A150,$B150)</f>
        <v>0</v>
      </c>
      <c r="S150" s="4">
        <f ca="1">_xll.DBRW($B$1,$B$2,$B$7,$B$3,$B$4,$B$5,$F150,$B$6,S$10,$A150,$B150)</f>
        <v>0</v>
      </c>
      <c r="T150" s="4">
        <f ca="1">_xll.DBRW($B$1,$B$2,$B$7,$B$3,$B$4,$B$5,$F150,$B$6,T$10,$A150,$B150)</f>
        <v>0</v>
      </c>
      <c r="U150" s="4">
        <f ca="1">_xll.DBRW($B$1,$B$2,$B$7,$B$3,$B$4,$B$5,$F150,$B$6,U$10,$A150,$B150)</f>
        <v>0</v>
      </c>
      <c r="V150" s="4">
        <f ca="1">_xll.DBRW($B$1,$B$2,$B$7,$B$3,$B$4,$B$5,$F150,$B$6,V$10,$A150,$B150)</f>
        <v>0</v>
      </c>
      <c r="W150" s="4">
        <f ca="1">_xll.DBRW($B$1,$B$2,$B$7,$B$3,$B$4,$B$5,$F150,$B$6,W$10,$A150,$B150)</f>
        <v>507.86139161259678</v>
      </c>
      <c r="X150" s="4">
        <f ca="1">_xll.DBRW($B$1,$B$2,$B$7,$B$3,$B$4,$B$5,$F150,$B$6,X$10,$A150,$B150)</f>
        <v>346.7474751554883</v>
      </c>
      <c r="Y150" s="4">
        <f ca="1">_xll.DBRW($B$1,$B$2,$B$7,$B$3,$B$4,$B$5,$F150,$B$6,Y$10,$A150,$B150)</f>
        <v>367.82167053556498</v>
      </c>
      <c r="Z150" s="4">
        <f ca="1">_xll.DBRW($B$1,$B$2,$B$7,$B$3,$B$4,$B$5,$F150,$B$6,Z$10,$A150,$B150)</f>
        <v>535.21473706586789</v>
      </c>
      <c r="AA150" s="4">
        <f ca="1">_xll.DBRW($B$1,$B$2,$B$7,$B$3,$B$4,$B$5,$F150,$B$6,AA$10,$A150,$B150)</f>
        <v>457.14933450034601</v>
      </c>
      <c r="AB150" s="4">
        <f ca="1">_xll.DBRW($B$1,$B$2,$B$7,$B$3,$B$4,$B$5,$F150,$B$6,AB$10,$A150,$B150)</f>
        <v>471.03176760653594</v>
      </c>
      <c r="AC150" s="4">
        <f ca="1">_xll.DBRW($B$1,$B$2,$B$7,$B$3,$B$4,$B$5,$F150,$B$6,AC$10,$A150,$B150)</f>
        <v>370.78758041735466</v>
      </c>
      <c r="AD150" s="4">
        <f ca="1">_xll.DBRW($B$1,$B$2,$B$7,$B$3,$B$4,$B$5,$F150,$B$6,AD$10,$A150,$B150)</f>
        <v>0</v>
      </c>
      <c r="AE150" s="4">
        <f ca="1">_xll.DBRW($B$1,$B$2,$B$7,$B$3,$B$4,$B$5,$F150,$B$6,AE$10,$A150,$B150)</f>
        <v>0</v>
      </c>
    </row>
    <row r="151" spans="1:31">
      <c r="A151" s="1" t="s">
        <v>151</v>
      </c>
      <c r="B151" s="5" t="s">
        <v>179</v>
      </c>
      <c r="C151" s="5" t="s">
        <v>180</v>
      </c>
      <c r="D151" s="5" t="s">
        <v>28</v>
      </c>
      <c r="E151" s="5" t="s">
        <v>181</v>
      </c>
      <c r="F151" s="5" t="s">
        <v>24</v>
      </c>
      <c r="G151" s="6"/>
      <c r="H151" s="6"/>
      <c r="I151" s="6"/>
      <c r="J151" s="6"/>
      <c r="K151" s="6"/>
      <c r="L151" s="4">
        <f ca="1">_xll.DBRW($B$1,$B$2,$B$7,$B$3,$B$4,$B$5,$F151,$B$6,L$10,$A151,$B151)</f>
        <v>0</v>
      </c>
      <c r="M151" s="4">
        <f ca="1">_xll.DBRW($B$1,$B$2,$B$7,$B$3,$B$4,$B$5,$F151,$B$6,M$10,$A151,$B151)</f>
        <v>0</v>
      </c>
      <c r="N151" s="4">
        <f ca="1">_xll.DBRW($B$1,$B$2,$B$7,$B$3,$B$4,$B$5,$F151,$B$6,N$10,$A151,$B151)</f>
        <v>0</v>
      </c>
      <c r="O151" s="4">
        <f ca="1">_xll.DBRW($B$1,$B$2,$B$7,$B$3,$B$4,$B$5,$F151,$B$6,O$10,$A151,$B151)</f>
        <v>0</v>
      </c>
      <c r="P151" s="4">
        <f ca="1">_xll.DBRW($B$1,$B$2,$B$7,$B$3,$B$4,$B$5,$F151,$B$6,P$10,$A151,$B151)</f>
        <v>0</v>
      </c>
      <c r="Q151" s="4">
        <f ca="1">_xll.DBRW($B$1,$B$2,$B$7,$B$3,$B$4,$B$5,$F151,$B$6,Q$10,$A151,$B151)</f>
        <v>212.55008305710948</v>
      </c>
      <c r="R151" s="4">
        <f ca="1">_xll.DBRW($B$1,$B$2,$B$7,$B$3,$B$4,$B$5,$F151,$B$6,R$10,$A151,$B151)</f>
        <v>719.54566042656768</v>
      </c>
      <c r="S151" s="4">
        <f ca="1">_xll.DBRW($B$1,$B$2,$B$7,$B$3,$B$4,$B$5,$F151,$B$6,S$10,$A151,$B151)</f>
        <v>718.82130795657531</v>
      </c>
      <c r="T151" s="4">
        <f ca="1">_xll.DBRW($B$1,$B$2,$B$7,$B$3,$B$4,$B$5,$F151,$B$6,T$10,$A151,$B151)</f>
        <v>781.23598704001677</v>
      </c>
      <c r="U151" s="4">
        <f ca="1">_xll.DBRW($B$1,$B$2,$B$7,$B$3,$B$4,$B$5,$F151,$B$6,U$10,$A151,$B151)</f>
        <v>780.60031030684604</v>
      </c>
      <c r="V151" s="4">
        <f ca="1">_xll.DBRW($B$1,$B$2,$B$7,$B$3,$B$4,$B$5,$F151,$B$6,V$10,$A151,$B151)</f>
        <v>729.76801463320305</v>
      </c>
      <c r="W151" s="4">
        <f ca="1">_xll.DBRW($B$1,$B$2,$B$7,$B$3,$B$4,$B$5,$F151,$B$6,W$10,$A151,$B151)</f>
        <v>0</v>
      </c>
      <c r="X151" s="4">
        <f ca="1">_xll.DBRW($B$1,$B$2,$B$7,$B$3,$B$4,$B$5,$F151,$B$6,X$10,$A151,$B151)</f>
        <v>0</v>
      </c>
      <c r="Y151" s="4">
        <f ca="1">_xll.DBRW($B$1,$B$2,$B$7,$B$3,$B$4,$B$5,$F151,$B$6,Y$10,$A151,$B151)</f>
        <v>0</v>
      </c>
      <c r="Z151" s="4">
        <f ca="1">_xll.DBRW($B$1,$B$2,$B$7,$B$3,$B$4,$B$5,$F151,$B$6,Z$10,$A151,$B151)</f>
        <v>0</v>
      </c>
      <c r="AA151" s="4">
        <f ca="1">_xll.DBRW($B$1,$B$2,$B$7,$B$3,$B$4,$B$5,$F151,$B$6,AA$10,$A151,$B151)</f>
        <v>0</v>
      </c>
      <c r="AB151" s="4">
        <f ca="1">_xll.DBRW($B$1,$B$2,$B$7,$B$3,$B$4,$B$5,$F151,$B$6,AB$10,$A151,$B151)</f>
        <v>0</v>
      </c>
      <c r="AC151" s="4">
        <f ca="1">_xll.DBRW($B$1,$B$2,$B$7,$B$3,$B$4,$B$5,$F151,$B$6,AC$10,$A151,$B151)</f>
        <v>132.79099206063037</v>
      </c>
      <c r="AD151" s="4">
        <f ca="1">_xll.DBRW($B$1,$B$2,$B$7,$B$3,$B$4,$B$5,$F151,$B$6,AD$10,$A151,$B151)</f>
        <v>749.77088135353381</v>
      </c>
      <c r="AE151" s="4">
        <f ca="1">_xll.DBRW($B$1,$B$2,$B$7,$B$3,$B$4,$B$5,$F151,$B$6,AE$10,$A151,$B151)</f>
        <v>746.90952703491939</v>
      </c>
    </row>
    <row r="152" spans="1:31">
      <c r="A152" s="1" t="s">
        <v>151</v>
      </c>
      <c r="B152" s="5" t="s">
        <v>182</v>
      </c>
      <c r="C152" s="5" t="s">
        <v>183</v>
      </c>
      <c r="D152" s="5" t="s">
        <v>181</v>
      </c>
      <c r="E152" s="5" t="s">
        <v>28</v>
      </c>
      <c r="F152" s="5" t="s">
        <v>24</v>
      </c>
      <c r="G152" s="6"/>
      <c r="H152" s="6"/>
      <c r="I152" s="6"/>
      <c r="J152" s="6"/>
      <c r="K152" s="6"/>
      <c r="L152" s="4">
        <f ca="1">_xll.DBRW($B$1,$B$2,$B$7,$B$3,$B$4,$B$5,$F152,$B$6,L$10,$A152,$B152)</f>
        <v>0</v>
      </c>
      <c r="M152" s="4">
        <f ca="1">_xll.DBRW($B$1,$B$2,$B$7,$B$3,$B$4,$B$5,$F152,$B$6,M$10,$A152,$B152)</f>
        <v>0</v>
      </c>
      <c r="N152" s="4">
        <f ca="1">_xll.DBRW($B$1,$B$2,$B$7,$B$3,$B$4,$B$5,$F152,$B$6,N$10,$A152,$B152)</f>
        <v>0</v>
      </c>
      <c r="O152" s="4">
        <f ca="1">_xll.DBRW($B$1,$B$2,$B$7,$B$3,$B$4,$B$5,$F152,$B$6,O$10,$A152,$B152)</f>
        <v>0</v>
      </c>
      <c r="P152" s="4">
        <f ca="1">_xll.DBRW($B$1,$B$2,$B$7,$B$3,$B$4,$B$5,$F152,$B$6,P$10,$A152,$B152)</f>
        <v>0</v>
      </c>
      <c r="Q152" s="4">
        <f ca="1">_xll.DBRW($B$1,$B$2,$B$7,$B$3,$B$4,$B$5,$F152,$B$6,Q$10,$A152,$B152)</f>
        <v>212.55008305710948</v>
      </c>
      <c r="R152" s="4">
        <f ca="1">_xll.DBRW($B$1,$B$2,$B$7,$B$3,$B$4,$B$5,$F152,$B$6,R$10,$A152,$B152)</f>
        <v>719.54566042656768</v>
      </c>
      <c r="S152" s="4">
        <f ca="1">_xll.DBRW($B$1,$B$2,$B$7,$B$3,$B$4,$B$5,$F152,$B$6,S$10,$A152,$B152)</f>
        <v>718.82130795657531</v>
      </c>
      <c r="T152" s="4">
        <f ca="1">_xll.DBRW($B$1,$B$2,$B$7,$B$3,$B$4,$B$5,$F152,$B$6,T$10,$A152,$B152)</f>
        <v>781.23598704001677</v>
      </c>
      <c r="U152" s="4">
        <f ca="1">_xll.DBRW($B$1,$B$2,$B$7,$B$3,$B$4,$B$5,$F152,$B$6,U$10,$A152,$B152)</f>
        <v>780.60031030684604</v>
      </c>
      <c r="V152" s="4">
        <f ca="1">_xll.DBRW($B$1,$B$2,$B$7,$B$3,$B$4,$B$5,$F152,$B$6,V$10,$A152,$B152)</f>
        <v>729.76801463320305</v>
      </c>
      <c r="W152" s="4">
        <f ca="1">_xll.DBRW($B$1,$B$2,$B$7,$B$3,$B$4,$B$5,$F152,$B$6,W$10,$A152,$B152)</f>
        <v>0</v>
      </c>
      <c r="X152" s="4">
        <f ca="1">_xll.DBRW($B$1,$B$2,$B$7,$B$3,$B$4,$B$5,$F152,$B$6,X$10,$A152,$B152)</f>
        <v>0</v>
      </c>
      <c r="Y152" s="4">
        <f ca="1">_xll.DBRW($B$1,$B$2,$B$7,$B$3,$B$4,$B$5,$F152,$B$6,Y$10,$A152,$B152)</f>
        <v>0</v>
      </c>
      <c r="Z152" s="4">
        <f ca="1">_xll.DBRW($B$1,$B$2,$B$7,$B$3,$B$4,$B$5,$F152,$B$6,Z$10,$A152,$B152)</f>
        <v>0</v>
      </c>
      <c r="AA152" s="4">
        <f ca="1">_xll.DBRW($B$1,$B$2,$B$7,$B$3,$B$4,$B$5,$F152,$B$6,AA$10,$A152,$B152)</f>
        <v>0</v>
      </c>
      <c r="AB152" s="4">
        <f ca="1">_xll.DBRW($B$1,$B$2,$B$7,$B$3,$B$4,$B$5,$F152,$B$6,AB$10,$A152,$B152)</f>
        <v>0</v>
      </c>
      <c r="AC152" s="4">
        <f ca="1">_xll.DBRW($B$1,$B$2,$B$7,$B$3,$B$4,$B$5,$F152,$B$6,AC$10,$A152,$B152)</f>
        <v>132.79099206063037</v>
      </c>
      <c r="AD152" s="4">
        <f ca="1">_xll.DBRW($B$1,$B$2,$B$7,$B$3,$B$4,$B$5,$F152,$B$6,AD$10,$A152,$B152)</f>
        <v>749.77088135353381</v>
      </c>
      <c r="AE152" s="4">
        <f ca="1">_xll.DBRW($B$1,$B$2,$B$7,$B$3,$B$4,$B$5,$F152,$B$6,AE$10,$A152,$B152)</f>
        <v>746.90952703491939</v>
      </c>
    </row>
    <row r="153" spans="1:31">
      <c r="A153" s="1" t="s">
        <v>151</v>
      </c>
      <c r="B153" s="5" t="s">
        <v>184</v>
      </c>
      <c r="C153" s="5" t="s">
        <v>185</v>
      </c>
      <c r="D153" s="5" t="s">
        <v>28</v>
      </c>
      <c r="E153" s="5" t="s">
        <v>49</v>
      </c>
      <c r="F153" s="5" t="s">
        <v>24</v>
      </c>
      <c r="G153" s="6"/>
      <c r="H153" s="6"/>
      <c r="I153" s="6"/>
      <c r="J153" s="6"/>
      <c r="K153" s="6"/>
      <c r="L153" s="4">
        <f ca="1">_xll.DBRW($B$1,$B$2,$B$7,$B$3,$B$4,$B$5,$F153,$B$6,L$10,$A153,$B153)</f>
        <v>0</v>
      </c>
      <c r="M153" s="4">
        <f ca="1">_xll.DBRW($B$1,$B$2,$B$7,$B$3,$B$4,$B$5,$F153,$B$6,M$10,$A153,$B153)</f>
        <v>597.81664781498398</v>
      </c>
      <c r="N153" s="4">
        <f ca="1">_xll.DBRW($B$1,$B$2,$B$7,$B$3,$B$4,$B$5,$F153,$B$6,N$10,$A153,$B153)</f>
        <v>614.30888619628729</v>
      </c>
      <c r="O153" s="4">
        <f ca="1">_xll.DBRW($B$1,$B$2,$B$7,$B$3,$B$4,$B$5,$F153,$B$6,O$10,$A153,$B153)</f>
        <v>599.59625159254074</v>
      </c>
      <c r="P153" s="4">
        <f ca="1">_xll.DBRW($B$1,$B$2,$B$7,$B$3,$B$4,$B$5,$F153,$B$6,P$10,$A153,$B153)</f>
        <v>627.41665766651317</v>
      </c>
      <c r="Q153" s="4">
        <f ca="1">_xll.DBRW($B$1,$B$2,$B$7,$B$3,$B$4,$B$5,$F153,$B$6,Q$10,$A153,$B153)</f>
        <v>499.44280079851302</v>
      </c>
      <c r="R153" s="4">
        <f ca="1">_xll.DBRW($B$1,$B$2,$B$7,$B$3,$B$4,$B$5,$F153,$B$6,R$10,$A153,$B153)</f>
        <v>0</v>
      </c>
      <c r="S153" s="4">
        <f ca="1">_xll.DBRW($B$1,$B$2,$B$7,$B$3,$B$4,$B$5,$F153,$B$6,S$10,$A153,$B153)</f>
        <v>0</v>
      </c>
      <c r="T153" s="4">
        <f ca="1">_xll.DBRW($B$1,$B$2,$B$7,$B$3,$B$4,$B$5,$F153,$B$6,T$10,$A153,$B153)</f>
        <v>0</v>
      </c>
      <c r="U153" s="4">
        <f ca="1">_xll.DBRW($B$1,$B$2,$B$7,$B$3,$B$4,$B$5,$F153,$B$6,U$10,$A153,$B153)</f>
        <v>0</v>
      </c>
      <c r="V153" s="4">
        <f ca="1">_xll.DBRW($B$1,$B$2,$B$7,$B$3,$B$4,$B$5,$F153,$B$6,V$10,$A153,$B153)</f>
        <v>30.955651986363097</v>
      </c>
      <c r="W153" s="4">
        <f ca="1">_xll.DBRW($B$1,$B$2,$B$7,$B$3,$B$4,$B$5,$F153,$B$6,W$10,$A153,$B153)</f>
        <v>452.4087647692117</v>
      </c>
      <c r="X153" s="4">
        <f ca="1">_xll.DBRW($B$1,$B$2,$B$7,$B$3,$B$4,$B$5,$F153,$B$6,X$10,$A153,$B153)</f>
        <v>600.78091947789187</v>
      </c>
      <c r="Y153" s="4">
        <f ca="1">_xll.DBRW($B$1,$B$2,$B$7,$B$3,$B$4,$B$5,$F153,$B$6,Y$10,$A153,$B153)</f>
        <v>733.46498316022371</v>
      </c>
      <c r="Z153" s="4">
        <f ca="1">_xll.DBRW($B$1,$B$2,$B$7,$B$3,$B$4,$B$5,$F153,$B$6,Z$10,$A153,$B153)</f>
        <v>563.75804017601638</v>
      </c>
      <c r="AA153" s="4">
        <f ca="1">_xll.DBRW($B$1,$B$2,$B$7,$B$3,$B$4,$B$5,$F153,$B$6,AA$10,$A153,$B153)</f>
        <v>534.46689332398853</v>
      </c>
      <c r="AB153" s="4">
        <f ca="1">_xll.DBRW($B$1,$B$2,$B$7,$B$3,$B$4,$B$5,$F153,$B$6,AB$10,$A153,$B153)</f>
        <v>632.7353076954588</v>
      </c>
      <c r="AC153" s="4">
        <f ca="1">_xll.DBRW($B$1,$B$2,$B$7,$B$3,$B$4,$B$5,$F153,$B$6,AC$10,$A153,$B153)</f>
        <v>363.88345057246926</v>
      </c>
      <c r="AD153" s="4">
        <f ca="1">_xll.DBRW($B$1,$B$2,$B$7,$B$3,$B$4,$B$5,$F153,$B$6,AD$10,$A153,$B153)</f>
        <v>0</v>
      </c>
      <c r="AE153" s="4">
        <f ca="1">_xll.DBRW($B$1,$B$2,$B$7,$B$3,$B$4,$B$5,$F153,$B$6,AE$10,$A153,$B153)</f>
        <v>0</v>
      </c>
    </row>
    <row r="154" spans="1:31">
      <c r="A154" s="1" t="s">
        <v>151</v>
      </c>
      <c r="B154" s="5" t="s">
        <v>50</v>
      </c>
      <c r="C154" s="5" t="s">
        <v>51</v>
      </c>
      <c r="D154" s="5" t="s">
        <v>49</v>
      </c>
      <c r="E154" s="5" t="s">
        <v>28</v>
      </c>
      <c r="F154" s="5" t="s">
        <v>24</v>
      </c>
      <c r="G154" s="6"/>
      <c r="H154" s="6"/>
      <c r="I154" s="6"/>
      <c r="J154" s="6"/>
      <c r="K154" s="6"/>
      <c r="L154" s="4">
        <f ca="1">_xll.DBRW($B$1,$B$2,$B$7,$B$3,$B$4,$B$5,$F154,$B$6,L$10,$A154,$B154)</f>
        <v>0</v>
      </c>
      <c r="M154" s="4">
        <f ca="1">_xll.DBRW($B$1,$B$2,$B$7,$B$3,$B$4,$B$5,$F154,$B$6,M$10,$A154,$B154)</f>
        <v>597.81664781498398</v>
      </c>
      <c r="N154" s="4">
        <f ca="1">_xll.DBRW($B$1,$B$2,$B$7,$B$3,$B$4,$B$5,$F154,$B$6,N$10,$A154,$B154)</f>
        <v>614.30888619628729</v>
      </c>
      <c r="O154" s="4">
        <f ca="1">_xll.DBRW($B$1,$B$2,$B$7,$B$3,$B$4,$B$5,$F154,$B$6,O$10,$A154,$B154)</f>
        <v>599.59625159254074</v>
      </c>
      <c r="P154" s="4">
        <f ca="1">_xll.DBRW($B$1,$B$2,$B$7,$B$3,$B$4,$B$5,$F154,$B$6,P$10,$A154,$B154)</f>
        <v>627.41665766651317</v>
      </c>
      <c r="Q154" s="4">
        <f ca="1">_xll.DBRW($B$1,$B$2,$B$7,$B$3,$B$4,$B$5,$F154,$B$6,Q$10,$A154,$B154)</f>
        <v>499.44280079851302</v>
      </c>
      <c r="R154" s="4">
        <f ca="1">_xll.DBRW($B$1,$B$2,$B$7,$B$3,$B$4,$B$5,$F154,$B$6,R$10,$A154,$B154)</f>
        <v>0</v>
      </c>
      <c r="S154" s="4">
        <f ca="1">_xll.DBRW($B$1,$B$2,$B$7,$B$3,$B$4,$B$5,$F154,$B$6,S$10,$A154,$B154)</f>
        <v>0</v>
      </c>
      <c r="T154" s="4">
        <f ca="1">_xll.DBRW($B$1,$B$2,$B$7,$B$3,$B$4,$B$5,$F154,$B$6,T$10,$A154,$B154)</f>
        <v>0</v>
      </c>
      <c r="U154" s="4">
        <f ca="1">_xll.DBRW($B$1,$B$2,$B$7,$B$3,$B$4,$B$5,$F154,$B$6,U$10,$A154,$B154)</f>
        <v>0</v>
      </c>
      <c r="V154" s="4">
        <f ca="1">_xll.DBRW($B$1,$B$2,$B$7,$B$3,$B$4,$B$5,$F154,$B$6,V$10,$A154,$B154)</f>
        <v>30.955651986363097</v>
      </c>
      <c r="W154" s="4">
        <f ca="1">_xll.DBRW($B$1,$B$2,$B$7,$B$3,$B$4,$B$5,$F154,$B$6,W$10,$A154,$B154)</f>
        <v>452.4087647692117</v>
      </c>
      <c r="X154" s="4">
        <f ca="1">_xll.DBRW($B$1,$B$2,$B$7,$B$3,$B$4,$B$5,$F154,$B$6,X$10,$A154,$B154)</f>
        <v>600.78091947789187</v>
      </c>
      <c r="Y154" s="4">
        <f ca="1">_xll.DBRW($B$1,$B$2,$B$7,$B$3,$B$4,$B$5,$F154,$B$6,Y$10,$A154,$B154)</f>
        <v>733.46498316022371</v>
      </c>
      <c r="Z154" s="4">
        <f ca="1">_xll.DBRW($B$1,$B$2,$B$7,$B$3,$B$4,$B$5,$F154,$B$6,Z$10,$A154,$B154)</f>
        <v>563.75804017601638</v>
      </c>
      <c r="AA154" s="4">
        <f ca="1">_xll.DBRW($B$1,$B$2,$B$7,$B$3,$B$4,$B$5,$F154,$B$6,AA$10,$A154,$B154)</f>
        <v>534.46689332398853</v>
      </c>
      <c r="AB154" s="4">
        <f ca="1">_xll.DBRW($B$1,$B$2,$B$7,$B$3,$B$4,$B$5,$F154,$B$6,AB$10,$A154,$B154)</f>
        <v>632.7353076954588</v>
      </c>
      <c r="AC154" s="4">
        <f ca="1">_xll.DBRW($B$1,$B$2,$B$7,$B$3,$B$4,$B$5,$F154,$B$6,AC$10,$A154,$B154)</f>
        <v>363.88345057246926</v>
      </c>
      <c r="AD154" s="4">
        <f ca="1">_xll.DBRW($B$1,$B$2,$B$7,$B$3,$B$4,$B$5,$F154,$B$6,AD$10,$A154,$B154)</f>
        <v>0</v>
      </c>
      <c r="AE154" s="4">
        <f ca="1">_xll.DBRW($B$1,$B$2,$B$7,$B$3,$B$4,$B$5,$F154,$B$6,AE$10,$A154,$B154)</f>
        <v>0</v>
      </c>
    </row>
    <row r="155" spans="1:31">
      <c r="A155" s="1" t="s">
        <v>151</v>
      </c>
      <c r="B155" s="5" t="s">
        <v>186</v>
      </c>
      <c r="C155" s="5" t="s">
        <v>187</v>
      </c>
      <c r="D155" s="5" t="s">
        <v>21</v>
      </c>
      <c r="E155" s="5" t="s">
        <v>59</v>
      </c>
      <c r="F155" s="5" t="s">
        <v>24</v>
      </c>
      <c r="G155" s="6"/>
      <c r="H155" s="6"/>
      <c r="I155" s="6"/>
      <c r="J155" s="6"/>
      <c r="K155" s="6"/>
      <c r="L155" s="4">
        <f ca="1">_xll.DBRW($B$1,$B$2,$B$7,$B$3,$B$4,$B$5,$F155,$B$6,L$10,$A155,$B155)</f>
        <v>1451.7986811819612</v>
      </c>
      <c r="M155" s="4">
        <f ca="1">_xll.DBRW($B$1,$B$2,$B$7,$B$3,$B$4,$B$5,$F155,$B$6,M$10,$A155,$B155)</f>
        <v>1315.8785137048692</v>
      </c>
      <c r="N155" s="4">
        <f ca="1">_xll.DBRW($B$1,$B$2,$B$7,$B$3,$B$4,$B$5,$F155,$B$6,N$10,$A155,$B155)</f>
        <v>1296.1242434031556</v>
      </c>
      <c r="O155" s="4">
        <f ca="1">_xll.DBRW($B$1,$B$2,$B$7,$B$3,$B$4,$B$5,$F155,$B$6,O$10,$A155,$B155)</f>
        <v>1354.0749957719988</v>
      </c>
      <c r="P155" s="4">
        <f ca="1">_xll.DBRW($B$1,$B$2,$B$7,$B$3,$B$4,$B$5,$F155,$B$6,P$10,$A155,$B155)</f>
        <v>1299.1919139288052</v>
      </c>
      <c r="Q155" s="4">
        <f ca="1">_xll.DBRW($B$1,$B$2,$B$7,$B$3,$B$4,$B$5,$F155,$B$6,Q$10,$A155,$B155)</f>
        <v>1522.9013873499118</v>
      </c>
      <c r="R155" s="4">
        <f ca="1">_xll.DBRW($B$1,$B$2,$B$7,$B$3,$B$4,$B$5,$F155,$B$6,R$10,$A155,$B155)</f>
        <v>1486.3970909157815</v>
      </c>
      <c r="S155" s="4">
        <f ca="1">_xll.DBRW($B$1,$B$2,$B$7,$B$3,$B$4,$B$5,$F155,$B$6,S$10,$A155,$B155)</f>
        <v>1224.6585246667578</v>
      </c>
      <c r="T155" s="4">
        <f ca="1">_xll.DBRW($B$1,$B$2,$B$7,$B$3,$B$4,$B$5,$F155,$B$6,T$10,$A155,$B155)</f>
        <v>1713.7344089505641</v>
      </c>
      <c r="U155" s="4">
        <f ca="1">_xll.DBRW($B$1,$B$2,$B$7,$B$3,$B$4,$B$5,$F155,$B$6,U$10,$A155,$B155)</f>
        <v>1582.8340934966072</v>
      </c>
      <c r="V155" s="4">
        <f ca="1">_xll.DBRW($B$1,$B$2,$B$7,$B$3,$B$4,$B$5,$F155,$B$6,V$10,$A155,$B155)</f>
        <v>1662.565014614134</v>
      </c>
      <c r="W155" s="4">
        <f ca="1">_xll.DBRW($B$1,$B$2,$B$7,$B$3,$B$4,$B$5,$F155,$B$6,W$10,$A155,$B155)</f>
        <v>1499.1615226222639</v>
      </c>
      <c r="X155" s="4">
        <f ca="1">_xll.DBRW($B$1,$B$2,$B$7,$B$3,$B$4,$B$5,$F155,$B$6,X$10,$A155,$B155)</f>
        <v>1612.8401478441192</v>
      </c>
      <c r="Y155" s="4">
        <f ca="1">_xll.DBRW($B$1,$B$2,$B$7,$B$3,$B$4,$B$5,$F155,$B$6,Y$10,$A155,$B155)</f>
        <v>1500.7898046037642</v>
      </c>
      <c r="Z155" s="4">
        <f ca="1">_xll.DBRW($B$1,$B$2,$B$7,$B$3,$B$4,$B$5,$F155,$B$6,Z$10,$A155,$B155)</f>
        <v>1569.7445383459758</v>
      </c>
      <c r="AA155" s="4">
        <f ca="1">_xll.DBRW($B$1,$B$2,$B$7,$B$3,$B$4,$B$5,$F155,$B$6,AA$10,$A155,$B155)</f>
        <v>1534.9256015211097</v>
      </c>
      <c r="AB155" s="4">
        <f ca="1">_xll.DBRW($B$1,$B$2,$B$7,$B$3,$B$4,$B$5,$F155,$B$6,AB$10,$A155,$B155)</f>
        <v>1533.0344957237155</v>
      </c>
      <c r="AC155" s="4">
        <f ca="1">_xll.DBRW($B$1,$B$2,$B$7,$B$3,$B$4,$B$5,$F155,$B$6,AC$10,$A155,$B155)</f>
        <v>1630.959589144943</v>
      </c>
      <c r="AD155" s="4">
        <f ca="1">_xll.DBRW($B$1,$B$2,$B$7,$B$3,$B$4,$B$5,$F155,$B$6,AD$10,$A155,$B155)</f>
        <v>1698.6499188206703</v>
      </c>
      <c r="AE155" s="4">
        <f ca="1">_xll.DBRW($B$1,$B$2,$B$7,$B$3,$B$4,$B$5,$F155,$B$6,AE$10,$A155,$B155)</f>
        <v>1584.1844181404451</v>
      </c>
    </row>
    <row r="156" spans="1:31">
      <c r="A156" s="1" t="s">
        <v>151</v>
      </c>
      <c r="B156" s="5" t="s">
        <v>61</v>
      </c>
      <c r="C156" s="5" t="s">
        <v>62</v>
      </c>
      <c r="D156" s="5" t="s">
        <v>59</v>
      </c>
      <c r="E156" s="5" t="s">
        <v>21</v>
      </c>
      <c r="F156" s="5" t="s">
        <v>24</v>
      </c>
      <c r="G156" s="6"/>
      <c r="H156" s="6"/>
      <c r="I156" s="6"/>
      <c r="J156" s="6"/>
      <c r="K156" s="6"/>
      <c r="L156" s="4">
        <f ca="1">_xll.DBRW($B$1,$B$2,$B$7,$B$3,$B$4,$B$5,$F156,$B$6,L$10,$A156,$B156)</f>
        <v>1444.3151828253533</v>
      </c>
      <c r="M156" s="4">
        <f ca="1">_xll.DBRW($B$1,$B$2,$B$7,$B$3,$B$4,$B$5,$F156,$B$6,M$10,$A156,$B156)</f>
        <v>1323.0300273663088</v>
      </c>
      <c r="N156" s="4">
        <f ca="1">_xll.DBRW($B$1,$B$2,$B$7,$B$3,$B$4,$B$5,$F156,$B$6,N$10,$A156,$B156)</f>
        <v>1296.1242434031556</v>
      </c>
      <c r="O156" s="4">
        <f ca="1">_xll.DBRW($B$1,$B$2,$B$7,$B$3,$B$4,$B$5,$F156,$B$6,O$10,$A156,$B156)</f>
        <v>1354.0749957719988</v>
      </c>
      <c r="P156" s="4">
        <f ca="1">_xll.DBRW($B$1,$B$2,$B$7,$B$3,$B$4,$B$5,$F156,$B$6,P$10,$A156,$B156)</f>
        <v>1299.1919139288052</v>
      </c>
      <c r="Q156" s="4">
        <f ca="1">_xll.DBRW($B$1,$B$2,$B$7,$B$3,$B$4,$B$5,$F156,$B$6,Q$10,$A156,$B156)</f>
        <v>1526.5187303127382</v>
      </c>
      <c r="R156" s="4">
        <f ca="1">_xll.DBRW($B$1,$B$2,$B$7,$B$3,$B$4,$B$5,$F156,$B$6,R$10,$A156,$B156)</f>
        <v>1482.6624248582043</v>
      </c>
      <c r="S156" s="4">
        <f ca="1">_xll.DBRW($B$1,$B$2,$B$7,$B$3,$B$4,$B$5,$F156,$B$6,S$10,$A156,$B156)</f>
        <v>1224.6585246667578</v>
      </c>
      <c r="T156" s="4">
        <f ca="1">_xll.DBRW($B$1,$B$2,$B$7,$B$3,$B$4,$B$5,$F156,$B$6,T$10,$A156,$B156)</f>
        <v>1713.7344089505641</v>
      </c>
      <c r="U156" s="4">
        <f ca="1">_xll.DBRW($B$1,$B$2,$B$7,$B$3,$B$4,$B$5,$F156,$B$6,U$10,$A156,$B156)</f>
        <v>1582.8340934966072</v>
      </c>
      <c r="V156" s="4">
        <f ca="1">_xll.DBRW($B$1,$B$2,$B$7,$B$3,$B$4,$B$5,$F156,$B$6,V$10,$A156,$B156)</f>
        <v>1662.565014614134</v>
      </c>
      <c r="W156" s="4">
        <f ca="1">_xll.DBRW($B$1,$B$2,$B$7,$B$3,$B$4,$B$5,$F156,$B$6,W$10,$A156,$B156)</f>
        <v>1530.4347747239019</v>
      </c>
      <c r="X156" s="4">
        <f ca="1">_xll.DBRW($B$1,$B$2,$B$7,$B$3,$B$4,$B$5,$F156,$B$6,X$10,$A156,$B156)</f>
        <v>1653.5684344058395</v>
      </c>
      <c r="Y156" s="4">
        <f ca="1">_xll.DBRW($B$1,$B$2,$B$7,$B$3,$B$4,$B$5,$F156,$B$6,Y$10,$A156,$B156)</f>
        <v>1532.0562588663429</v>
      </c>
      <c r="Z156" s="4">
        <f ca="1">_xll.DBRW($B$1,$B$2,$B$7,$B$3,$B$4,$B$5,$F156,$B$6,Z$10,$A156,$B156)</f>
        <v>1601.3368812560834</v>
      </c>
      <c r="AA156" s="4">
        <f ca="1">_xll.DBRW($B$1,$B$2,$B$7,$B$3,$B$4,$B$5,$F156,$B$6,AA$10,$A156,$B156)</f>
        <v>1573.6863490342689</v>
      </c>
      <c r="AB156" s="4">
        <f ca="1">_xll.DBRW($B$1,$B$2,$B$7,$B$3,$B$4,$B$5,$F156,$B$6,AB$10,$A156,$B156)</f>
        <v>1565.1820080848943</v>
      </c>
      <c r="AC156" s="4">
        <f ca="1">_xll.DBRW($B$1,$B$2,$B$7,$B$3,$B$4,$B$5,$F156,$B$6,AC$10,$A156,$B156)</f>
        <v>1663.2158974593053</v>
      </c>
      <c r="AD156" s="4">
        <f ca="1">_xll.DBRW($B$1,$B$2,$B$7,$B$3,$B$4,$B$5,$F156,$B$6,AD$10,$A156,$B156)</f>
        <v>1698.6499188206703</v>
      </c>
      <c r="AE156" s="4">
        <f ca="1">_xll.DBRW($B$1,$B$2,$B$7,$B$3,$B$4,$B$5,$F156,$B$6,AE$10,$A156,$B156)</f>
        <v>1584.1844181404451</v>
      </c>
    </row>
    <row r="157" spans="1:31">
      <c r="A157" s="1" t="s">
        <v>151</v>
      </c>
      <c r="B157" s="5" t="s">
        <v>188</v>
      </c>
      <c r="C157" s="5" t="s">
        <v>189</v>
      </c>
      <c r="D157" s="5" t="s">
        <v>21</v>
      </c>
      <c r="E157" s="5" t="s">
        <v>20</v>
      </c>
      <c r="F157" s="5" t="s">
        <v>24</v>
      </c>
      <c r="G157" s="6"/>
      <c r="H157" s="6"/>
      <c r="I157" s="6"/>
      <c r="J157" s="6"/>
      <c r="K157" s="6"/>
      <c r="L157" s="4">
        <f ca="1">_xll.DBRW($B$1,$B$2,$B$7,$B$3,$B$4,$B$5,$F157,$B$6,L$10,$A157,$B157)</f>
        <v>1623.9191433839464</v>
      </c>
      <c r="M157" s="4">
        <f ca="1">_xll.DBRW($B$1,$B$2,$B$7,$B$3,$B$4,$B$5,$F157,$B$6,M$10,$A157,$B157)</f>
        <v>1624.0588582315534</v>
      </c>
      <c r="N157" s="4">
        <f ca="1">_xll.DBRW($B$1,$B$2,$B$7,$B$3,$B$4,$B$5,$F157,$B$6,N$10,$A157,$B157)</f>
        <v>1589.9420422284775</v>
      </c>
      <c r="O157" s="4">
        <f ca="1">_xll.DBRW($B$1,$B$2,$B$7,$B$3,$B$4,$B$5,$F157,$B$6,O$10,$A157,$B157)</f>
        <v>1511.2511170859702</v>
      </c>
      <c r="P157" s="4">
        <f ca="1">_xll.DBRW($B$1,$B$2,$B$7,$B$3,$B$4,$B$5,$F157,$B$6,P$10,$A157,$B157)</f>
        <v>1569.9953435584666</v>
      </c>
      <c r="Q157" s="4">
        <f ca="1">_xll.DBRW($B$1,$B$2,$B$7,$B$3,$B$4,$B$5,$F157,$B$6,Q$10,$A157,$B157)</f>
        <v>1465.7951839902114</v>
      </c>
      <c r="R157" s="4">
        <f ca="1">_xll.DBRW($B$1,$B$2,$B$7,$B$3,$B$4,$B$5,$F157,$B$6,R$10,$A157,$B157)</f>
        <v>1395.10525395278</v>
      </c>
      <c r="S157" s="4">
        <f ca="1">_xll.DBRW($B$1,$B$2,$B$7,$B$3,$B$4,$B$5,$F157,$B$6,S$10,$A157,$B157)</f>
        <v>1490.3686580332287</v>
      </c>
      <c r="T157" s="4">
        <f ca="1">_xll.DBRW($B$1,$B$2,$B$7,$B$3,$B$4,$B$5,$F157,$B$6,T$10,$A157,$B157)</f>
        <v>1140.0171734106957</v>
      </c>
      <c r="U157" s="4">
        <f ca="1">_xll.DBRW($B$1,$B$2,$B$7,$B$3,$B$4,$B$5,$F157,$B$6,U$10,$A157,$B157)</f>
        <v>983.77844584647119</v>
      </c>
      <c r="V157" s="4">
        <f ca="1">_xll.DBRW($B$1,$B$2,$B$7,$B$3,$B$4,$B$5,$F157,$B$6,V$10,$A157,$B157)</f>
        <v>1301.4716993897982</v>
      </c>
      <c r="W157" s="4">
        <f ca="1">_xll.DBRW($B$1,$B$2,$B$7,$B$3,$B$4,$B$5,$F157,$B$6,W$10,$A157,$B157)</f>
        <v>1275.3855667090993</v>
      </c>
      <c r="X157" s="4">
        <f ca="1">_xll.DBRW($B$1,$B$2,$B$7,$B$3,$B$4,$B$5,$F157,$B$6,X$10,$A157,$B157)</f>
        <v>1353.676451611748</v>
      </c>
      <c r="Y157" s="4">
        <f ca="1">_xll.DBRW($B$1,$B$2,$B$7,$B$3,$B$4,$B$5,$F157,$B$6,Y$10,$A157,$B157)</f>
        <v>1341.2869426500956</v>
      </c>
      <c r="Z157" s="4">
        <f ca="1">_xll.DBRW($B$1,$B$2,$B$7,$B$3,$B$4,$B$5,$F157,$B$6,Z$10,$A157,$B157)</f>
        <v>1318.6175439533122</v>
      </c>
      <c r="AA157" s="4">
        <f ca="1">_xll.DBRW($B$1,$B$2,$B$7,$B$3,$B$4,$B$5,$F157,$B$6,AA$10,$A157,$B157)</f>
        <v>1216.4811543928029</v>
      </c>
      <c r="AB157" s="4">
        <f ca="1">_xll.DBRW($B$1,$B$2,$B$7,$B$3,$B$4,$B$5,$F157,$B$6,AB$10,$A157,$B157)</f>
        <v>1268.355385987938</v>
      </c>
      <c r="AC157" s="4">
        <f ca="1">_xll.DBRW($B$1,$B$2,$B$7,$B$3,$B$4,$B$5,$F157,$B$6,AC$10,$A157,$B157)</f>
        <v>1202.1892848189993</v>
      </c>
      <c r="AD157" s="4">
        <f ca="1">_xll.DBRW($B$1,$B$2,$B$7,$B$3,$B$4,$B$5,$F157,$B$6,AD$10,$A157,$B157)</f>
        <v>1231.5940359466258</v>
      </c>
      <c r="AE157" s="4">
        <f ca="1">_xll.DBRW($B$1,$B$2,$B$7,$B$3,$B$4,$B$5,$F157,$B$6,AE$10,$A157,$B157)</f>
        <v>1327.2829096658825</v>
      </c>
    </row>
    <row r="158" spans="1:31">
      <c r="A158" s="1" t="s">
        <v>151</v>
      </c>
      <c r="B158" s="5" t="s">
        <v>18</v>
      </c>
      <c r="C158" s="5" t="s">
        <v>19</v>
      </c>
      <c r="D158" s="5" t="s">
        <v>20</v>
      </c>
      <c r="E158" s="5" t="s">
        <v>21</v>
      </c>
      <c r="F158" s="5" t="s">
        <v>24</v>
      </c>
      <c r="G158" s="6"/>
      <c r="H158" s="6"/>
      <c r="I158" s="6"/>
      <c r="J158" s="6"/>
      <c r="K158" s="6"/>
      <c r="L158" s="4">
        <f ca="1">_xll.DBRW($B$1,$B$2,$B$7,$B$3,$B$4,$B$5,$F158,$B$6,L$10,$A158,$B158)</f>
        <v>1623.9191433839464</v>
      </c>
      <c r="M158" s="4">
        <f ca="1">_xll.DBRW($B$1,$B$2,$B$7,$B$3,$B$4,$B$5,$F158,$B$6,M$10,$A158,$B158)</f>
        <v>1624.0588582315534</v>
      </c>
      <c r="N158" s="4">
        <f ca="1">_xll.DBRW($B$1,$B$2,$B$7,$B$3,$B$4,$B$5,$F158,$B$6,N$10,$A158,$B158)</f>
        <v>1589.9420422284775</v>
      </c>
      <c r="O158" s="4">
        <f ca="1">_xll.DBRW($B$1,$B$2,$B$7,$B$3,$B$4,$B$5,$F158,$B$6,O$10,$A158,$B158)</f>
        <v>1511.2511170859702</v>
      </c>
      <c r="P158" s="4">
        <f ca="1">_xll.DBRW($B$1,$B$2,$B$7,$B$3,$B$4,$B$5,$F158,$B$6,P$10,$A158,$B158)</f>
        <v>1569.9953435584666</v>
      </c>
      <c r="Q158" s="4">
        <f ca="1">_xll.DBRW($B$1,$B$2,$B$7,$B$3,$B$4,$B$5,$F158,$B$6,Q$10,$A158,$B158)</f>
        <v>1465.7951839902114</v>
      </c>
      <c r="R158" s="4">
        <f ca="1">_xll.DBRW($B$1,$B$2,$B$7,$B$3,$B$4,$B$5,$F158,$B$6,R$10,$A158,$B158)</f>
        <v>1395.10525395278</v>
      </c>
      <c r="S158" s="4">
        <f ca="1">_xll.DBRW($B$1,$B$2,$B$7,$B$3,$B$4,$B$5,$F158,$B$6,S$10,$A158,$B158)</f>
        <v>1490.3686580332287</v>
      </c>
      <c r="T158" s="4">
        <f ca="1">_xll.DBRW($B$1,$B$2,$B$7,$B$3,$B$4,$B$5,$F158,$B$6,T$10,$A158,$B158)</f>
        <v>1140.0171734106957</v>
      </c>
      <c r="U158" s="4">
        <f ca="1">_xll.DBRW($B$1,$B$2,$B$7,$B$3,$B$4,$B$5,$F158,$B$6,U$10,$A158,$B158)</f>
        <v>983.77844584647119</v>
      </c>
      <c r="V158" s="4">
        <f ca="1">_xll.DBRW($B$1,$B$2,$B$7,$B$3,$B$4,$B$5,$F158,$B$6,V$10,$A158,$B158)</f>
        <v>1301.4716993897982</v>
      </c>
      <c r="W158" s="4">
        <f ca="1">_xll.DBRW($B$1,$B$2,$B$7,$B$3,$B$4,$B$5,$F158,$B$6,W$10,$A158,$B158)</f>
        <v>1275.3855667090993</v>
      </c>
      <c r="X158" s="4">
        <f ca="1">_xll.DBRW($B$1,$B$2,$B$7,$B$3,$B$4,$B$5,$F158,$B$6,X$10,$A158,$B158)</f>
        <v>1353.676451611748</v>
      </c>
      <c r="Y158" s="4">
        <f ca="1">_xll.DBRW($B$1,$B$2,$B$7,$B$3,$B$4,$B$5,$F158,$B$6,Y$10,$A158,$B158)</f>
        <v>1341.2869426500956</v>
      </c>
      <c r="Z158" s="4">
        <f ca="1">_xll.DBRW($B$1,$B$2,$B$7,$B$3,$B$4,$B$5,$F158,$B$6,Z$10,$A158,$B158)</f>
        <v>1318.6175439533122</v>
      </c>
      <c r="AA158" s="4">
        <f ca="1">_xll.DBRW($B$1,$B$2,$B$7,$B$3,$B$4,$B$5,$F158,$B$6,AA$10,$A158,$B158)</f>
        <v>1216.4811543928029</v>
      </c>
      <c r="AB158" s="4">
        <f ca="1">_xll.DBRW($B$1,$B$2,$B$7,$B$3,$B$4,$B$5,$F158,$B$6,AB$10,$A158,$B158)</f>
        <v>1268.355385987938</v>
      </c>
      <c r="AC158" s="4">
        <f ca="1">_xll.DBRW($B$1,$B$2,$B$7,$B$3,$B$4,$B$5,$F158,$B$6,AC$10,$A158,$B158)</f>
        <v>1202.1892848189993</v>
      </c>
      <c r="AD158" s="4">
        <f ca="1">_xll.DBRW($B$1,$B$2,$B$7,$B$3,$B$4,$B$5,$F158,$B$6,AD$10,$A158,$B158)</f>
        <v>1231.5940359466258</v>
      </c>
      <c r="AE158" s="4">
        <f ca="1">_xll.DBRW($B$1,$B$2,$B$7,$B$3,$B$4,$B$5,$F158,$B$6,AE$10,$A158,$B158)</f>
        <v>1327.2829096658825</v>
      </c>
    </row>
    <row r="159" spans="1:31">
      <c r="A159" s="1" t="s">
        <v>151</v>
      </c>
      <c r="B159" s="5" t="s">
        <v>190</v>
      </c>
      <c r="C159" s="5" t="s">
        <v>191</v>
      </c>
      <c r="D159" s="5" t="s">
        <v>21</v>
      </c>
      <c r="E159" s="5" t="s">
        <v>73</v>
      </c>
      <c r="F159" s="5" t="s">
        <v>24</v>
      </c>
      <c r="G159" s="6"/>
      <c r="H159" s="6"/>
      <c r="I159" s="6"/>
      <c r="J159" s="6"/>
      <c r="K159" s="6"/>
      <c r="L159" s="4">
        <f ca="1">_xll.DBRW($B$1,$B$2,$B$7,$B$3,$B$4,$B$5,$F159,$B$6,L$10,$A159,$B159)</f>
        <v>1003.7961737950218</v>
      </c>
      <c r="M159" s="4">
        <f ca="1">_xll.DBRW($B$1,$B$2,$B$7,$B$3,$B$4,$B$5,$F159,$B$6,M$10,$A159,$B159)</f>
        <v>949.55054211119034</v>
      </c>
      <c r="N159" s="4">
        <f ca="1">_xll.DBRW($B$1,$B$2,$B$7,$B$3,$B$4,$B$5,$F159,$B$6,N$10,$A159,$B159)</f>
        <v>1004.8790997230545</v>
      </c>
      <c r="O159" s="4">
        <f ca="1">_xll.DBRW($B$1,$B$2,$B$7,$B$3,$B$4,$B$5,$F159,$B$6,O$10,$A159,$B159)</f>
        <v>1006.7466274000851</v>
      </c>
      <c r="P159" s="4">
        <f ca="1">_xll.DBRW($B$1,$B$2,$B$7,$B$3,$B$4,$B$5,$F159,$B$6,P$10,$A159,$B159)</f>
        <v>1046.6635623723109</v>
      </c>
      <c r="Q159" s="4">
        <f ca="1">_xll.DBRW($B$1,$B$2,$B$7,$B$3,$B$4,$B$5,$F159,$B$6,Q$10,$A159,$B159)</f>
        <v>936.09143826819195</v>
      </c>
      <c r="R159" s="4">
        <f ca="1">_xll.DBRW($B$1,$B$2,$B$7,$B$3,$B$4,$B$5,$F159,$B$6,R$10,$A159,$B159)</f>
        <v>773.38709608997431</v>
      </c>
      <c r="S159" s="4">
        <f ca="1">_xll.DBRW($B$1,$B$2,$B$7,$B$3,$B$4,$B$5,$F159,$B$6,S$10,$A159,$B159)</f>
        <v>767.28350840619396</v>
      </c>
      <c r="T159" s="4">
        <f ca="1">_xll.DBRW($B$1,$B$2,$B$7,$B$3,$B$4,$B$5,$F159,$B$6,T$10,$A159,$B159)</f>
        <v>793.20992294512178</v>
      </c>
      <c r="U159" s="4">
        <f ca="1">_xll.DBRW($B$1,$B$2,$B$7,$B$3,$B$4,$B$5,$F159,$B$6,U$10,$A159,$B159)</f>
        <v>702.55091546005042</v>
      </c>
      <c r="V159" s="4">
        <f ca="1">_xll.DBRW($B$1,$B$2,$B$7,$B$3,$B$4,$B$5,$F159,$B$6,V$10,$A159,$B159)</f>
        <v>833.31643472519852</v>
      </c>
      <c r="W159" s="4">
        <f ca="1">_xll.DBRW($B$1,$B$2,$B$7,$B$3,$B$4,$B$5,$F159,$B$6,W$10,$A159,$B159)</f>
        <v>905.32057334790795</v>
      </c>
      <c r="X159" s="4">
        <f ca="1">_xll.DBRW($B$1,$B$2,$B$7,$B$3,$B$4,$B$5,$F159,$B$6,X$10,$A159,$B159)</f>
        <v>1065.19361417699</v>
      </c>
      <c r="Y159" s="4">
        <f ca="1">_xll.DBRW($B$1,$B$2,$B$7,$B$3,$B$4,$B$5,$F159,$B$6,Y$10,$A159,$B159)</f>
        <v>1046.6502354932495</v>
      </c>
      <c r="Z159" s="4">
        <f ca="1">_xll.DBRW($B$1,$B$2,$B$7,$B$3,$B$4,$B$5,$F159,$B$6,Z$10,$A159,$B159)</f>
        <v>1022.3092733460093</v>
      </c>
      <c r="AA159" s="4">
        <f ca="1">_xll.DBRW($B$1,$B$2,$B$7,$B$3,$B$4,$B$5,$F159,$B$6,AA$10,$A159,$B159)</f>
        <v>1029.7246413962757</v>
      </c>
      <c r="AB159" s="4">
        <f ca="1">_xll.DBRW($B$1,$B$2,$B$7,$B$3,$B$4,$B$5,$F159,$B$6,AB$10,$A159,$B159)</f>
        <v>1073.9474245574363</v>
      </c>
      <c r="AC159" s="4">
        <f ca="1">_xll.DBRW($B$1,$B$2,$B$7,$B$3,$B$4,$B$5,$F159,$B$6,AC$10,$A159,$B159)</f>
        <v>978.44749805262472</v>
      </c>
      <c r="AD159" s="4">
        <f ca="1">_xll.DBRW($B$1,$B$2,$B$7,$B$3,$B$4,$B$5,$F159,$B$6,AD$10,$A159,$B159)</f>
        <v>829.42249151097656</v>
      </c>
      <c r="AE159" s="4">
        <f ca="1">_xll.DBRW($B$1,$B$2,$B$7,$B$3,$B$4,$B$5,$F159,$B$6,AE$10,$A159,$B159)</f>
        <v>769.86094169677506</v>
      </c>
    </row>
    <row r="160" spans="1:31">
      <c r="A160" s="1" t="s">
        <v>151</v>
      </c>
      <c r="B160" s="5" t="s">
        <v>71</v>
      </c>
      <c r="C160" s="5" t="s">
        <v>72</v>
      </c>
      <c r="D160" s="5" t="s">
        <v>73</v>
      </c>
      <c r="E160" s="5" t="s">
        <v>21</v>
      </c>
      <c r="F160" s="5" t="s">
        <v>24</v>
      </c>
      <c r="G160" s="6"/>
      <c r="H160" s="6"/>
      <c r="I160" s="6"/>
      <c r="J160" s="6"/>
      <c r="K160" s="6"/>
      <c r="L160" s="4">
        <f ca="1">_xll.DBRW($B$1,$B$2,$B$7,$B$3,$B$4,$B$5,$F160,$B$6,L$10,$A160,$B160)</f>
        <v>1003.7961737950218</v>
      </c>
      <c r="M160" s="4">
        <f ca="1">_xll.DBRW($B$1,$B$2,$B$7,$B$3,$B$4,$B$5,$F160,$B$6,M$10,$A160,$B160)</f>
        <v>949.55054211119034</v>
      </c>
      <c r="N160" s="4">
        <f ca="1">_xll.DBRW($B$1,$B$2,$B$7,$B$3,$B$4,$B$5,$F160,$B$6,N$10,$A160,$B160)</f>
        <v>1004.8790997230545</v>
      </c>
      <c r="O160" s="4">
        <f ca="1">_xll.DBRW($B$1,$B$2,$B$7,$B$3,$B$4,$B$5,$F160,$B$6,O$10,$A160,$B160)</f>
        <v>1006.7466274000851</v>
      </c>
      <c r="P160" s="4">
        <f ca="1">_xll.DBRW($B$1,$B$2,$B$7,$B$3,$B$4,$B$5,$F160,$B$6,P$10,$A160,$B160)</f>
        <v>1046.6635623723109</v>
      </c>
      <c r="Q160" s="4">
        <f ca="1">_xll.DBRW($B$1,$B$2,$B$7,$B$3,$B$4,$B$5,$F160,$B$6,Q$10,$A160,$B160)</f>
        <v>936.09143826819195</v>
      </c>
      <c r="R160" s="4">
        <f ca="1">_xll.DBRW($B$1,$B$2,$B$7,$B$3,$B$4,$B$5,$F160,$B$6,R$10,$A160,$B160)</f>
        <v>773.38709608997431</v>
      </c>
      <c r="S160" s="4">
        <f ca="1">_xll.DBRW($B$1,$B$2,$B$7,$B$3,$B$4,$B$5,$F160,$B$6,S$10,$A160,$B160)</f>
        <v>767.28350840619396</v>
      </c>
      <c r="T160" s="4">
        <f ca="1">_xll.DBRW($B$1,$B$2,$B$7,$B$3,$B$4,$B$5,$F160,$B$6,T$10,$A160,$B160)</f>
        <v>793.20992294512178</v>
      </c>
      <c r="U160" s="4">
        <f ca="1">_xll.DBRW($B$1,$B$2,$B$7,$B$3,$B$4,$B$5,$F160,$B$6,U$10,$A160,$B160)</f>
        <v>702.55091546005042</v>
      </c>
      <c r="V160" s="4">
        <f ca="1">_xll.DBRW($B$1,$B$2,$B$7,$B$3,$B$4,$B$5,$F160,$B$6,V$10,$A160,$B160)</f>
        <v>833.31643472519852</v>
      </c>
      <c r="W160" s="4">
        <f ca="1">_xll.DBRW($B$1,$B$2,$B$7,$B$3,$B$4,$B$5,$F160,$B$6,W$10,$A160,$B160)</f>
        <v>905.32057334790795</v>
      </c>
      <c r="X160" s="4">
        <f ca="1">_xll.DBRW($B$1,$B$2,$B$7,$B$3,$B$4,$B$5,$F160,$B$6,X$10,$A160,$B160)</f>
        <v>1065.19361417699</v>
      </c>
      <c r="Y160" s="4">
        <f ca="1">_xll.DBRW($B$1,$B$2,$B$7,$B$3,$B$4,$B$5,$F160,$B$6,Y$10,$A160,$B160)</f>
        <v>1046.6502354932495</v>
      </c>
      <c r="Z160" s="4">
        <f ca="1">_xll.DBRW($B$1,$B$2,$B$7,$B$3,$B$4,$B$5,$F160,$B$6,Z$10,$A160,$B160)</f>
        <v>1022.3092733460093</v>
      </c>
      <c r="AA160" s="4">
        <f ca="1">_xll.DBRW($B$1,$B$2,$B$7,$B$3,$B$4,$B$5,$F160,$B$6,AA$10,$A160,$B160)</f>
        <v>1029.7246413962757</v>
      </c>
      <c r="AB160" s="4">
        <f ca="1">_xll.DBRW($B$1,$B$2,$B$7,$B$3,$B$4,$B$5,$F160,$B$6,AB$10,$A160,$B160)</f>
        <v>1073.9474245574363</v>
      </c>
      <c r="AC160" s="4">
        <f ca="1">_xll.DBRW($B$1,$B$2,$B$7,$B$3,$B$4,$B$5,$F160,$B$6,AC$10,$A160,$B160)</f>
        <v>978.44749805262472</v>
      </c>
      <c r="AD160" s="4">
        <f ca="1">_xll.DBRW($B$1,$B$2,$B$7,$B$3,$B$4,$B$5,$F160,$B$6,AD$10,$A160,$B160)</f>
        <v>829.42249151097656</v>
      </c>
      <c r="AE160" s="4">
        <f ca="1">_xll.DBRW($B$1,$B$2,$B$7,$B$3,$B$4,$B$5,$F160,$B$6,AE$10,$A160,$B160)</f>
        <v>745.02671777107275</v>
      </c>
    </row>
    <row r="161" spans="1:31">
      <c r="A161" s="1" t="s">
        <v>151</v>
      </c>
      <c r="B161" s="5" t="s">
        <v>192</v>
      </c>
      <c r="C161" s="5" t="s">
        <v>193</v>
      </c>
      <c r="D161" s="5" t="s">
        <v>21</v>
      </c>
      <c r="E161" s="5" t="s">
        <v>194</v>
      </c>
      <c r="F161" s="5" t="s">
        <v>24</v>
      </c>
      <c r="G161" s="6"/>
      <c r="H161" s="6"/>
      <c r="I161" s="6"/>
      <c r="J161" s="6"/>
      <c r="K161" s="6"/>
      <c r="L161" s="4">
        <f ca="1">_xll.DBRW($B$1,$B$2,$B$7,$B$3,$B$4,$B$5,$F161,$B$6,L$10,$A161,$B161)</f>
        <v>242.85391301492464</v>
      </c>
      <c r="M161" s="4">
        <f ca="1">_xll.DBRW($B$1,$B$2,$B$7,$B$3,$B$4,$B$5,$F161,$B$6,M$10,$A161,$B161)</f>
        <v>238.66097916664404</v>
      </c>
      <c r="N161" s="4">
        <f ca="1">_xll.DBRW($B$1,$B$2,$B$7,$B$3,$B$4,$B$5,$F161,$B$6,N$10,$A161,$B161)</f>
        <v>265.8067296041628</v>
      </c>
      <c r="O161" s="4">
        <f ca="1">_xll.DBRW($B$1,$B$2,$B$7,$B$3,$B$4,$B$5,$F161,$B$6,O$10,$A161,$B161)</f>
        <v>236.45227058907395</v>
      </c>
      <c r="P161" s="4">
        <f ca="1">_xll.DBRW($B$1,$B$2,$B$7,$B$3,$B$4,$B$5,$F161,$B$6,P$10,$A161,$B161)</f>
        <v>291.10330328479904</v>
      </c>
      <c r="Q161" s="4">
        <f ca="1">_xll.DBRW($B$1,$B$2,$B$7,$B$3,$B$4,$B$5,$F161,$B$6,Q$10,$A161,$B161)</f>
        <v>356.17315121047807</v>
      </c>
      <c r="R161" s="4">
        <f ca="1">_xll.DBRW($B$1,$B$2,$B$7,$B$3,$B$4,$B$5,$F161,$B$6,R$10,$A161,$B161)</f>
        <v>348.5688320405518</v>
      </c>
      <c r="S161" s="4">
        <f ca="1">_xll.DBRW($B$1,$B$2,$B$7,$B$3,$B$4,$B$5,$F161,$B$6,S$10,$A161,$B161)</f>
        <v>366.89837593616863</v>
      </c>
      <c r="T161" s="4">
        <f ca="1">_xll.DBRW($B$1,$B$2,$B$7,$B$3,$B$4,$B$5,$F161,$B$6,T$10,$A161,$B161)</f>
        <v>436.35774225855249</v>
      </c>
      <c r="U161" s="4">
        <f ca="1">_xll.DBRW($B$1,$B$2,$B$7,$B$3,$B$4,$B$5,$F161,$B$6,U$10,$A161,$B161)</f>
        <v>382.05214921955059</v>
      </c>
      <c r="V161" s="4">
        <f ca="1">_xll.DBRW($B$1,$B$2,$B$7,$B$3,$B$4,$B$5,$F161,$B$6,V$10,$A161,$B161)</f>
        <v>434.60713578057693</v>
      </c>
      <c r="W161" s="4">
        <f ca="1">_xll.DBRW($B$1,$B$2,$B$7,$B$3,$B$4,$B$5,$F161,$B$6,W$10,$A161,$B161)</f>
        <v>263.59720381003365</v>
      </c>
      <c r="X161" s="4">
        <f ca="1">_xll.DBRW($B$1,$B$2,$B$7,$B$3,$B$4,$B$5,$F161,$B$6,X$10,$A161,$B161)</f>
        <v>305.385349038752</v>
      </c>
      <c r="Y161" s="4">
        <f ca="1">_xll.DBRW($B$1,$B$2,$B$7,$B$3,$B$4,$B$5,$F161,$B$6,Y$10,$A161,$B161)</f>
        <v>313.05355311050653</v>
      </c>
      <c r="Z161" s="4">
        <f ca="1">_xll.DBRW($B$1,$B$2,$B$7,$B$3,$B$4,$B$5,$F161,$B$6,Z$10,$A161,$B161)</f>
        <v>272.53485064762327</v>
      </c>
      <c r="AA161" s="4">
        <f ca="1">_xll.DBRW($B$1,$B$2,$B$7,$B$3,$B$4,$B$5,$F161,$B$6,AA$10,$A161,$B161)</f>
        <v>295.94861386181293</v>
      </c>
      <c r="AB161" s="4">
        <f ca="1">_xll.DBRW($B$1,$B$2,$B$7,$B$3,$B$4,$B$5,$F161,$B$6,AB$10,$A161,$B161)</f>
        <v>323.33173736558564</v>
      </c>
      <c r="AC161" s="4">
        <f ca="1">_xll.DBRW($B$1,$B$2,$B$7,$B$3,$B$4,$B$5,$F161,$B$6,AC$10,$A161,$B161)</f>
        <v>360.36395690201499</v>
      </c>
      <c r="AD161" s="4">
        <f ca="1">_xll.DBRW($B$1,$B$2,$B$7,$B$3,$B$4,$B$5,$F161,$B$6,AD$10,$A161,$B161)</f>
        <v>404.63519933173416</v>
      </c>
      <c r="AE161" s="4">
        <f ca="1">_xll.DBRW($B$1,$B$2,$B$7,$B$3,$B$4,$B$5,$F161,$B$6,AE$10,$A161,$B161)</f>
        <v>405.587173797113</v>
      </c>
    </row>
    <row r="162" spans="1:31">
      <c r="A162" s="1" t="s">
        <v>151</v>
      </c>
      <c r="B162" s="5" t="s">
        <v>195</v>
      </c>
      <c r="C162" s="5" t="s">
        <v>196</v>
      </c>
      <c r="D162" s="5" t="s">
        <v>194</v>
      </c>
      <c r="E162" s="5" t="s">
        <v>21</v>
      </c>
      <c r="F162" s="5" t="s">
        <v>24</v>
      </c>
      <c r="G162" s="6"/>
      <c r="H162" s="6"/>
      <c r="I162" s="6"/>
      <c r="J162" s="6"/>
      <c r="K162" s="6"/>
      <c r="L162" s="4">
        <f ca="1">_xll.DBRW($B$1,$B$2,$B$7,$B$3,$B$4,$B$5,$F162,$B$6,L$10,$A162,$B162)</f>
        <v>242.85391301492464</v>
      </c>
      <c r="M162" s="4">
        <f ca="1">_xll.DBRW($B$1,$B$2,$B$7,$B$3,$B$4,$B$5,$F162,$B$6,M$10,$A162,$B162)</f>
        <v>238.66097916664404</v>
      </c>
      <c r="N162" s="4">
        <f ca="1">_xll.DBRW($B$1,$B$2,$B$7,$B$3,$B$4,$B$5,$F162,$B$6,N$10,$A162,$B162)</f>
        <v>265.8067296041628</v>
      </c>
      <c r="O162" s="4">
        <f ca="1">_xll.DBRW($B$1,$B$2,$B$7,$B$3,$B$4,$B$5,$F162,$B$6,O$10,$A162,$B162)</f>
        <v>236.45227058907395</v>
      </c>
      <c r="P162" s="4">
        <f ca="1">_xll.DBRW($B$1,$B$2,$B$7,$B$3,$B$4,$B$5,$F162,$B$6,P$10,$A162,$B162)</f>
        <v>291.10330328479904</v>
      </c>
      <c r="Q162" s="4">
        <f ca="1">_xll.DBRW($B$1,$B$2,$B$7,$B$3,$B$4,$B$5,$F162,$B$6,Q$10,$A162,$B162)</f>
        <v>323.79377382770735</v>
      </c>
      <c r="R162" s="4">
        <f ca="1">_xll.DBRW($B$1,$B$2,$B$7,$B$3,$B$4,$B$5,$F162,$B$6,R$10,$A162,$B162)</f>
        <v>348.5688320405518</v>
      </c>
      <c r="S162" s="4">
        <f ca="1">_xll.DBRW($B$1,$B$2,$B$7,$B$3,$B$4,$B$5,$F162,$B$6,S$10,$A162,$B162)</f>
        <v>366.89837593616863</v>
      </c>
      <c r="T162" s="4">
        <f ca="1">_xll.DBRW($B$1,$B$2,$B$7,$B$3,$B$4,$B$5,$F162,$B$6,T$10,$A162,$B162)</f>
        <v>436.35774225855249</v>
      </c>
      <c r="U162" s="4">
        <f ca="1">_xll.DBRW($B$1,$B$2,$B$7,$B$3,$B$4,$B$5,$F162,$B$6,U$10,$A162,$B162)</f>
        <v>382.05214921955059</v>
      </c>
      <c r="V162" s="4">
        <f ca="1">_xll.DBRW($B$1,$B$2,$B$7,$B$3,$B$4,$B$5,$F162,$B$6,V$10,$A162,$B162)</f>
        <v>434.60713578057693</v>
      </c>
      <c r="W162" s="4">
        <f ca="1">_xll.DBRW($B$1,$B$2,$B$7,$B$3,$B$4,$B$5,$F162,$B$6,W$10,$A162,$B162)</f>
        <v>263.59720381003365</v>
      </c>
      <c r="X162" s="4">
        <f ca="1">_xll.DBRW($B$1,$B$2,$B$7,$B$3,$B$4,$B$5,$F162,$B$6,X$10,$A162,$B162)</f>
        <v>305.385349038752</v>
      </c>
      <c r="Y162" s="4">
        <f ca="1">_xll.DBRW($B$1,$B$2,$B$7,$B$3,$B$4,$B$5,$F162,$B$6,Y$10,$A162,$B162)</f>
        <v>313.05355311050653</v>
      </c>
      <c r="Z162" s="4">
        <f ca="1">_xll.DBRW($B$1,$B$2,$B$7,$B$3,$B$4,$B$5,$F162,$B$6,Z$10,$A162,$B162)</f>
        <v>272.53485064762327</v>
      </c>
      <c r="AA162" s="4">
        <f ca="1">_xll.DBRW($B$1,$B$2,$B$7,$B$3,$B$4,$B$5,$F162,$B$6,AA$10,$A162,$B162)</f>
        <v>295.94861386181293</v>
      </c>
      <c r="AB162" s="4">
        <f ca="1">_xll.DBRW($B$1,$B$2,$B$7,$B$3,$B$4,$B$5,$F162,$B$6,AB$10,$A162,$B162)</f>
        <v>323.33173736558564</v>
      </c>
      <c r="AC162" s="4">
        <f ca="1">_xll.DBRW($B$1,$B$2,$B$7,$B$3,$B$4,$B$5,$F162,$B$6,AC$10,$A162,$B162)</f>
        <v>360.36395690201499</v>
      </c>
      <c r="AD162" s="4">
        <f ca="1">_xll.DBRW($B$1,$B$2,$B$7,$B$3,$B$4,$B$5,$F162,$B$6,AD$10,$A162,$B162)</f>
        <v>404.63519933173416</v>
      </c>
      <c r="AE162" s="4">
        <f ca="1">_xll.DBRW($B$1,$B$2,$B$7,$B$3,$B$4,$B$5,$F162,$B$6,AE$10,$A162,$B162)</f>
        <v>405.587173797113</v>
      </c>
    </row>
    <row r="163" spans="1:31">
      <c r="A163" s="1" t="s">
        <v>151</v>
      </c>
      <c r="B163" s="5" t="s">
        <v>197</v>
      </c>
      <c r="C163" s="5" t="s">
        <v>198</v>
      </c>
      <c r="D163" s="5" t="s">
        <v>28</v>
      </c>
      <c r="E163" s="5" t="s">
        <v>20</v>
      </c>
      <c r="F163" s="5" t="s">
        <v>24</v>
      </c>
      <c r="G163" s="6"/>
      <c r="H163" s="6"/>
      <c r="I163" s="6"/>
      <c r="J163" s="6"/>
      <c r="K163" s="6"/>
      <c r="L163" s="4">
        <f ca="1">_xll.DBRW($B$1,$B$2,$B$7,$B$3,$B$4,$B$5,$F163,$B$6,L$10,$A163,$B163)</f>
        <v>1330.7469275454002</v>
      </c>
      <c r="M163" s="4">
        <f ca="1">_xll.DBRW($B$1,$B$2,$B$7,$B$3,$B$4,$B$5,$F163,$B$6,M$10,$A163,$B163)</f>
        <v>1252.8454049214838</v>
      </c>
      <c r="N163" s="4">
        <f ca="1">_xll.DBRW($B$1,$B$2,$B$7,$B$3,$B$4,$B$5,$F163,$B$6,N$10,$A163,$B163)</f>
        <v>1179.0581436750506</v>
      </c>
      <c r="O163" s="4">
        <f ca="1">_xll.DBRW($B$1,$B$2,$B$7,$B$3,$B$4,$B$5,$F163,$B$6,O$10,$A163,$B163)</f>
        <v>1225.5483823759623</v>
      </c>
      <c r="P163" s="4">
        <f ca="1">_xll.DBRW($B$1,$B$2,$B$7,$B$3,$B$4,$B$5,$F163,$B$6,P$10,$A163,$B163)</f>
        <v>1315.8056212680483</v>
      </c>
      <c r="Q163" s="4">
        <f ca="1">_xll.DBRW($B$1,$B$2,$B$7,$B$3,$B$4,$B$5,$F163,$B$6,Q$10,$A163,$B163)</f>
        <v>1227.5682026952466</v>
      </c>
      <c r="R163" s="4">
        <f ca="1">_xll.DBRW($B$1,$B$2,$B$7,$B$3,$B$4,$B$5,$F163,$B$6,R$10,$A163,$B163)</f>
        <v>861.46297061450673</v>
      </c>
      <c r="S163" s="4">
        <f ca="1">_xll.DBRW($B$1,$B$2,$B$7,$B$3,$B$4,$B$5,$F163,$B$6,S$10,$A163,$B163)</f>
        <v>768.57306052116223</v>
      </c>
      <c r="T163" s="4">
        <f ca="1">_xll.DBRW($B$1,$B$2,$B$7,$B$3,$B$4,$B$5,$F163,$B$6,T$10,$A163,$B163)</f>
        <v>845.30884342619231</v>
      </c>
      <c r="U163" s="4">
        <f ca="1">_xll.DBRW($B$1,$B$2,$B$7,$B$3,$B$4,$B$5,$F163,$B$6,U$10,$A163,$B163)</f>
        <v>717.5781622168887</v>
      </c>
      <c r="V163" s="4">
        <f ca="1">_xll.DBRW($B$1,$B$2,$B$7,$B$3,$B$4,$B$5,$F163,$B$6,V$10,$A163,$B163)</f>
        <v>974.42529339268754</v>
      </c>
      <c r="W163" s="4">
        <f ca="1">_xll.DBRW($B$1,$B$2,$B$7,$B$3,$B$4,$B$5,$F163,$B$6,W$10,$A163,$B163)</f>
        <v>1318.125445301393</v>
      </c>
      <c r="X163" s="4">
        <f ca="1">_xll.DBRW($B$1,$B$2,$B$7,$B$3,$B$4,$B$5,$F163,$B$6,X$10,$A163,$B163)</f>
        <v>1332.9547392742234</v>
      </c>
      <c r="Y163" s="4">
        <f ca="1">_xll.DBRW($B$1,$B$2,$B$7,$B$3,$B$4,$B$5,$F163,$B$6,Y$10,$A163,$B163)</f>
        <v>1334.7269915420577</v>
      </c>
      <c r="Z163" s="4">
        <f ca="1">_xll.DBRW($B$1,$B$2,$B$7,$B$3,$B$4,$B$5,$F163,$B$6,Z$10,$A163,$B163)</f>
        <v>1381.5160505678928</v>
      </c>
      <c r="AA163" s="4">
        <f ca="1">_xll.DBRW($B$1,$B$2,$B$7,$B$3,$B$4,$B$5,$F163,$B$6,AA$10,$A163,$B163)</f>
        <v>1338.4031435052636</v>
      </c>
      <c r="AB163" s="4">
        <f ca="1">_xll.DBRW($B$1,$B$2,$B$7,$B$3,$B$4,$B$5,$F163,$B$6,AB$10,$A163,$B163)</f>
        <v>1318.9757269800859</v>
      </c>
      <c r="AC163" s="4">
        <f ca="1">_xll.DBRW($B$1,$B$2,$B$7,$B$3,$B$4,$B$5,$F163,$B$6,AC$10,$A163,$B163)</f>
        <v>1278.4899085983679</v>
      </c>
      <c r="AD163" s="4">
        <f ca="1">_xll.DBRW($B$1,$B$2,$B$7,$B$3,$B$4,$B$5,$F163,$B$6,AD$10,$A163,$B163)</f>
        <v>879.195647166252</v>
      </c>
      <c r="AE163" s="4">
        <f ca="1">_xll.DBRW($B$1,$B$2,$B$7,$B$3,$B$4,$B$5,$F163,$B$6,AE$10,$A163,$B163)</f>
        <v>917.52828272010129</v>
      </c>
    </row>
    <row r="164" spans="1:31">
      <c r="A164" s="1" t="s">
        <v>151</v>
      </c>
      <c r="B164" s="5" t="s">
        <v>26</v>
      </c>
      <c r="C164" s="5" t="s">
        <v>27</v>
      </c>
      <c r="D164" s="5" t="s">
        <v>20</v>
      </c>
      <c r="E164" s="5" t="s">
        <v>28</v>
      </c>
      <c r="F164" s="5" t="s">
        <v>24</v>
      </c>
      <c r="G164" s="6"/>
      <c r="H164" s="6"/>
      <c r="I164" s="6"/>
      <c r="J164" s="6"/>
      <c r="K164" s="6"/>
      <c r="L164" s="4">
        <f ca="1">_xll.DBRW($B$1,$B$2,$B$7,$B$3,$B$4,$B$5,$F164,$B$6,L$10,$A164,$B164)</f>
        <v>1330.7469275454002</v>
      </c>
      <c r="M164" s="4">
        <f ca="1">_xll.DBRW($B$1,$B$2,$B$7,$B$3,$B$4,$B$5,$F164,$B$6,M$10,$A164,$B164)</f>
        <v>1252.8454049214838</v>
      </c>
      <c r="N164" s="4">
        <f ca="1">_xll.DBRW($B$1,$B$2,$B$7,$B$3,$B$4,$B$5,$F164,$B$6,N$10,$A164,$B164)</f>
        <v>1179.0581436750506</v>
      </c>
      <c r="O164" s="4">
        <f ca="1">_xll.DBRW($B$1,$B$2,$B$7,$B$3,$B$4,$B$5,$F164,$B$6,O$10,$A164,$B164)</f>
        <v>1225.5483823759623</v>
      </c>
      <c r="P164" s="4">
        <f ca="1">_xll.DBRW($B$1,$B$2,$B$7,$B$3,$B$4,$B$5,$F164,$B$6,P$10,$A164,$B164)</f>
        <v>1315.8056212680483</v>
      </c>
      <c r="Q164" s="4">
        <f ca="1">_xll.DBRW($B$1,$B$2,$B$7,$B$3,$B$4,$B$5,$F164,$B$6,Q$10,$A164,$B164)</f>
        <v>1227.5682026952466</v>
      </c>
      <c r="R164" s="4">
        <f ca="1">_xll.DBRW($B$1,$B$2,$B$7,$B$3,$B$4,$B$5,$F164,$B$6,R$10,$A164,$B164)</f>
        <v>861.46297061450673</v>
      </c>
      <c r="S164" s="4">
        <f ca="1">_xll.DBRW($B$1,$B$2,$B$7,$B$3,$B$4,$B$5,$F164,$B$6,S$10,$A164,$B164)</f>
        <v>768.57306052116223</v>
      </c>
      <c r="T164" s="4">
        <f ca="1">_xll.DBRW($B$1,$B$2,$B$7,$B$3,$B$4,$B$5,$F164,$B$6,T$10,$A164,$B164)</f>
        <v>845.30884342619231</v>
      </c>
      <c r="U164" s="4">
        <f ca="1">_xll.DBRW($B$1,$B$2,$B$7,$B$3,$B$4,$B$5,$F164,$B$6,U$10,$A164,$B164)</f>
        <v>717.5781622168887</v>
      </c>
      <c r="V164" s="4">
        <f ca="1">_xll.DBRW($B$1,$B$2,$B$7,$B$3,$B$4,$B$5,$F164,$B$6,V$10,$A164,$B164)</f>
        <v>974.42529339268754</v>
      </c>
      <c r="W164" s="4">
        <f ca="1">_xll.DBRW($B$1,$B$2,$B$7,$B$3,$B$4,$B$5,$F164,$B$6,W$10,$A164,$B164)</f>
        <v>1318.125445301393</v>
      </c>
      <c r="X164" s="4">
        <f ca="1">_xll.DBRW($B$1,$B$2,$B$7,$B$3,$B$4,$B$5,$F164,$B$6,X$10,$A164,$B164)</f>
        <v>1332.9547392742234</v>
      </c>
      <c r="Y164" s="4">
        <f ca="1">_xll.DBRW($B$1,$B$2,$B$7,$B$3,$B$4,$B$5,$F164,$B$6,Y$10,$A164,$B164)</f>
        <v>1334.7269915420577</v>
      </c>
      <c r="Z164" s="4">
        <f ca="1">_xll.DBRW($B$1,$B$2,$B$7,$B$3,$B$4,$B$5,$F164,$B$6,Z$10,$A164,$B164)</f>
        <v>1381.5160505678928</v>
      </c>
      <c r="AA164" s="4">
        <f ca="1">_xll.DBRW($B$1,$B$2,$B$7,$B$3,$B$4,$B$5,$F164,$B$6,AA$10,$A164,$B164)</f>
        <v>1338.4031435052636</v>
      </c>
      <c r="AB164" s="4">
        <f ca="1">_xll.DBRW($B$1,$B$2,$B$7,$B$3,$B$4,$B$5,$F164,$B$6,AB$10,$A164,$B164)</f>
        <v>1318.9757269800859</v>
      </c>
      <c r="AC164" s="4">
        <f ca="1">_xll.DBRW($B$1,$B$2,$B$7,$B$3,$B$4,$B$5,$F164,$B$6,AC$10,$A164,$B164)</f>
        <v>1278.4899085983679</v>
      </c>
      <c r="AD164" s="4">
        <f ca="1">_xll.DBRW($B$1,$B$2,$B$7,$B$3,$B$4,$B$5,$F164,$B$6,AD$10,$A164,$B164)</f>
        <v>879.195647166252</v>
      </c>
      <c r="AE164" s="4">
        <f ca="1">_xll.DBRW($B$1,$B$2,$B$7,$B$3,$B$4,$B$5,$F164,$B$6,AE$10,$A164,$B164)</f>
        <v>875.82245168736949</v>
      </c>
    </row>
    <row r="165" spans="1:31">
      <c r="A165" s="1" t="s">
        <v>151</v>
      </c>
      <c r="B165" s="5" t="s">
        <v>199</v>
      </c>
      <c r="C165" s="5" t="s">
        <v>189</v>
      </c>
      <c r="D165" s="5" t="s">
        <v>21</v>
      </c>
      <c r="E165" s="5" t="s">
        <v>20</v>
      </c>
      <c r="F165" s="5" t="s">
        <v>24</v>
      </c>
      <c r="G165" s="6"/>
      <c r="H165" s="6"/>
      <c r="I165" s="6"/>
      <c r="J165" s="6"/>
      <c r="K165" s="6"/>
      <c r="L165" s="4">
        <f ca="1">_xll.DBRW($B$1,$B$2,$B$7,$B$3,$B$4,$B$5,$F165,$B$6,L$10,$A165,$B165)</f>
        <v>0</v>
      </c>
      <c r="M165" s="4">
        <f ca="1">_xll.DBRW($B$1,$B$2,$B$7,$B$3,$B$4,$B$5,$F165,$B$6,M$10,$A165,$B165)</f>
        <v>0</v>
      </c>
      <c r="N165" s="4">
        <f ca="1">_xll.DBRW($B$1,$B$2,$B$7,$B$3,$B$4,$B$5,$F165,$B$6,N$10,$A165,$B165)</f>
        <v>0</v>
      </c>
      <c r="O165" s="4">
        <f ca="1">_xll.DBRW($B$1,$B$2,$B$7,$B$3,$B$4,$B$5,$F165,$B$6,O$10,$A165,$B165)</f>
        <v>46.76</v>
      </c>
      <c r="P165" s="4">
        <f ca="1">_xll.DBRW($B$1,$B$2,$B$7,$B$3,$B$4,$B$5,$F165,$B$6,P$10,$A165,$B165)</f>
        <v>0</v>
      </c>
      <c r="Q165" s="4">
        <f ca="1">_xll.DBRW($B$1,$B$2,$B$7,$B$3,$B$4,$B$5,$F165,$B$6,Q$10,$A165,$B165)</f>
        <v>0</v>
      </c>
      <c r="R165" s="4">
        <f ca="1">_xll.DBRW($B$1,$B$2,$B$7,$B$3,$B$4,$B$5,$F165,$B$6,R$10,$A165,$B165)</f>
        <v>0</v>
      </c>
      <c r="S165" s="4">
        <f ca="1">_xll.DBRW($B$1,$B$2,$B$7,$B$3,$B$4,$B$5,$F165,$B$6,S$10,$A165,$B165)</f>
        <v>0</v>
      </c>
      <c r="T165" s="4">
        <f ca="1">_xll.DBRW($B$1,$B$2,$B$7,$B$3,$B$4,$B$5,$F165,$B$6,T$10,$A165,$B165)</f>
        <v>0</v>
      </c>
      <c r="U165" s="4">
        <f ca="1">_xll.DBRW($B$1,$B$2,$B$7,$B$3,$B$4,$B$5,$F165,$B$6,U$10,$A165,$B165)</f>
        <v>0</v>
      </c>
      <c r="V165" s="4">
        <f ca="1">_xll.DBRW($B$1,$B$2,$B$7,$B$3,$B$4,$B$5,$F165,$B$6,V$10,$A165,$B165)</f>
        <v>83.965916089664404</v>
      </c>
      <c r="W165" s="4">
        <f ca="1">_xll.DBRW($B$1,$B$2,$B$7,$B$3,$B$4,$B$5,$F165,$B$6,W$10,$A165,$B165)</f>
        <v>1275.3855667090993</v>
      </c>
      <c r="X165" s="4">
        <f ca="1">_xll.DBRW($B$1,$B$2,$B$7,$B$3,$B$4,$B$5,$F165,$B$6,X$10,$A165,$B165)</f>
        <v>1353.676451611748</v>
      </c>
      <c r="Y165" s="4">
        <f ca="1">_xll.DBRW($B$1,$B$2,$B$7,$B$3,$B$4,$B$5,$F165,$B$6,Y$10,$A165,$B165)</f>
        <v>1341.2869426500956</v>
      </c>
      <c r="Z165" s="4">
        <f ca="1">_xll.DBRW($B$1,$B$2,$B$7,$B$3,$B$4,$B$5,$F165,$B$6,Z$10,$A165,$B165)</f>
        <v>1318.6175439533122</v>
      </c>
      <c r="AA165" s="4">
        <f ca="1">_xll.DBRW($B$1,$B$2,$B$7,$B$3,$B$4,$B$5,$F165,$B$6,AA$10,$A165,$B165)</f>
        <v>1216.4811543928029</v>
      </c>
      <c r="AB165" s="4">
        <f ca="1">_xll.DBRW($B$1,$B$2,$B$7,$B$3,$B$4,$B$5,$F165,$B$6,AB$10,$A165,$B165)</f>
        <v>1268.355385987938</v>
      </c>
      <c r="AC165" s="4">
        <f ca="1">_xll.DBRW($B$1,$B$2,$B$7,$B$3,$B$4,$B$5,$F165,$B$6,AC$10,$A165,$B165)</f>
        <v>969.50748775725788</v>
      </c>
      <c r="AD165" s="4">
        <f ca="1">_xll.DBRW($B$1,$B$2,$B$7,$B$3,$B$4,$B$5,$F165,$B$6,AD$10,$A165,$B165)</f>
        <v>0</v>
      </c>
      <c r="AE165" s="4">
        <f ca="1">_xll.DBRW($B$1,$B$2,$B$7,$B$3,$B$4,$B$5,$F165,$B$6,AE$10,$A165,$B165)</f>
        <v>0</v>
      </c>
    </row>
    <row r="166" spans="1:31">
      <c r="A166" s="1" t="s">
        <v>151</v>
      </c>
      <c r="B166" s="5" t="s">
        <v>23</v>
      </c>
      <c r="C166" s="5" t="s">
        <v>19</v>
      </c>
      <c r="D166" s="5" t="s">
        <v>20</v>
      </c>
      <c r="E166" s="5" t="s">
        <v>21</v>
      </c>
      <c r="F166" s="5" t="s">
        <v>24</v>
      </c>
      <c r="G166" s="6"/>
      <c r="H166" s="6"/>
      <c r="I166" s="6"/>
      <c r="J166" s="6"/>
      <c r="K166" s="6"/>
      <c r="L166" s="4">
        <f ca="1">_xll.DBRW($B$1,$B$2,$B$7,$B$3,$B$4,$B$5,$F166,$B$6,L$10,$A166,$B166)</f>
        <v>0</v>
      </c>
      <c r="M166" s="4">
        <f ca="1">_xll.DBRW($B$1,$B$2,$B$7,$B$3,$B$4,$B$5,$F166,$B$6,M$10,$A166,$B166)</f>
        <v>0</v>
      </c>
      <c r="N166" s="4">
        <f ca="1">_xll.DBRW($B$1,$B$2,$B$7,$B$3,$B$4,$B$5,$F166,$B$6,N$10,$A166,$B166)</f>
        <v>0</v>
      </c>
      <c r="O166" s="4">
        <f ca="1">_xll.DBRW($B$1,$B$2,$B$7,$B$3,$B$4,$B$5,$F166,$B$6,O$10,$A166,$B166)</f>
        <v>0</v>
      </c>
      <c r="P166" s="4">
        <f ca="1">_xll.DBRW($B$1,$B$2,$B$7,$B$3,$B$4,$B$5,$F166,$B$6,P$10,$A166,$B166)</f>
        <v>0</v>
      </c>
      <c r="Q166" s="4">
        <f ca="1">_xll.DBRW($B$1,$B$2,$B$7,$B$3,$B$4,$B$5,$F166,$B$6,Q$10,$A166,$B166)</f>
        <v>0</v>
      </c>
      <c r="R166" s="4">
        <f ca="1">_xll.DBRW($B$1,$B$2,$B$7,$B$3,$B$4,$B$5,$F166,$B$6,R$10,$A166,$B166)</f>
        <v>0</v>
      </c>
      <c r="S166" s="4">
        <f ca="1">_xll.DBRW($B$1,$B$2,$B$7,$B$3,$B$4,$B$5,$F166,$B$6,S$10,$A166,$B166)</f>
        <v>0</v>
      </c>
      <c r="T166" s="4">
        <f ca="1">_xll.DBRW($B$1,$B$2,$B$7,$B$3,$B$4,$B$5,$F166,$B$6,T$10,$A166,$B166)</f>
        <v>0</v>
      </c>
      <c r="U166" s="4">
        <f ca="1">_xll.DBRW($B$1,$B$2,$B$7,$B$3,$B$4,$B$5,$F166,$B$6,U$10,$A166,$B166)</f>
        <v>0</v>
      </c>
      <c r="V166" s="4">
        <f ca="1">_xll.DBRW($B$1,$B$2,$B$7,$B$3,$B$4,$B$5,$F166,$B$6,V$10,$A166,$B166)</f>
        <v>83.965916089664404</v>
      </c>
      <c r="W166" s="4">
        <f ca="1">_xll.DBRW($B$1,$B$2,$B$7,$B$3,$B$4,$B$5,$F166,$B$6,W$10,$A166,$B166)</f>
        <v>1275.3855667090993</v>
      </c>
      <c r="X166" s="4">
        <f ca="1">_xll.DBRW($B$1,$B$2,$B$7,$B$3,$B$4,$B$5,$F166,$B$6,X$10,$A166,$B166)</f>
        <v>1353.676451611748</v>
      </c>
      <c r="Y166" s="4">
        <f ca="1">_xll.DBRW($B$1,$B$2,$B$7,$B$3,$B$4,$B$5,$F166,$B$6,Y$10,$A166,$B166)</f>
        <v>1341.2869426500956</v>
      </c>
      <c r="Z166" s="4">
        <f ca="1">_xll.DBRW($B$1,$B$2,$B$7,$B$3,$B$4,$B$5,$F166,$B$6,Z$10,$A166,$B166)</f>
        <v>1318.6175439533122</v>
      </c>
      <c r="AA166" s="4">
        <f ca="1">_xll.DBRW($B$1,$B$2,$B$7,$B$3,$B$4,$B$5,$F166,$B$6,AA$10,$A166,$B166)</f>
        <v>1216.4811543928029</v>
      </c>
      <c r="AB166" s="4">
        <f ca="1">_xll.DBRW($B$1,$B$2,$B$7,$B$3,$B$4,$B$5,$F166,$B$6,AB$10,$A166,$B166)</f>
        <v>1268.355385987938</v>
      </c>
      <c r="AC166" s="4">
        <f ca="1">_xll.DBRW($B$1,$B$2,$B$7,$B$3,$B$4,$B$5,$F166,$B$6,AC$10,$A166,$B166)</f>
        <v>969.50748775725788</v>
      </c>
      <c r="AD166" s="4">
        <f ca="1">_xll.DBRW($B$1,$B$2,$B$7,$B$3,$B$4,$B$5,$F166,$B$6,AD$10,$A166,$B166)</f>
        <v>0</v>
      </c>
      <c r="AE166" s="4">
        <f ca="1">_xll.DBRW($B$1,$B$2,$B$7,$B$3,$B$4,$B$5,$F166,$B$6,AE$10,$A166,$B166)</f>
        <v>0</v>
      </c>
    </row>
    <row r="167" spans="1:31">
      <c r="A167" s="1" t="s">
        <v>151</v>
      </c>
      <c r="B167" s="5" t="s">
        <v>200</v>
      </c>
      <c r="C167" s="5" t="s">
        <v>161</v>
      </c>
      <c r="D167" s="5" t="s">
        <v>21</v>
      </c>
      <c r="E167" s="5" t="s">
        <v>69</v>
      </c>
      <c r="F167" s="5" t="s">
        <v>24</v>
      </c>
      <c r="G167" s="6"/>
      <c r="H167" s="6"/>
      <c r="I167" s="6"/>
      <c r="J167" s="6"/>
      <c r="K167" s="6"/>
      <c r="L167" s="4">
        <f ca="1">_xll.DBRW($B$1,$B$2,$B$7,$B$3,$B$4,$B$5,$F167,$B$6,L$10,$A167,$B167)</f>
        <v>863.48057960862104</v>
      </c>
      <c r="M167" s="4">
        <f ca="1">_xll.DBRW($B$1,$B$2,$B$7,$B$3,$B$4,$B$5,$F167,$B$6,M$10,$A167,$B167)</f>
        <v>833.49436474204492</v>
      </c>
      <c r="N167" s="4">
        <f ca="1">_xll.DBRW($B$1,$B$2,$B$7,$B$3,$B$4,$B$5,$F167,$B$6,N$10,$A167,$B167)</f>
        <v>904.39118975074905</v>
      </c>
      <c r="O167" s="4">
        <f ca="1">_xll.DBRW($B$1,$B$2,$B$7,$B$3,$B$4,$B$5,$F167,$B$6,O$10,$A167,$B167)</f>
        <v>904.94078867423377</v>
      </c>
      <c r="P167" s="4">
        <f ca="1">_xll.DBRW($B$1,$B$2,$B$7,$B$3,$B$4,$B$5,$F167,$B$6,P$10,$A167,$B167)</f>
        <v>806.80316266198975</v>
      </c>
      <c r="Q167" s="4">
        <f ca="1">_xll.DBRW($B$1,$B$2,$B$7,$B$3,$B$4,$B$5,$F167,$B$6,Q$10,$A167,$B167)</f>
        <v>1024.9138394674781</v>
      </c>
      <c r="R167" s="4">
        <f ca="1">_xll.DBRW($B$1,$B$2,$B$7,$B$3,$B$4,$B$5,$F167,$B$6,R$10,$A167,$B167)</f>
        <v>1287.4223826259667</v>
      </c>
      <c r="S167" s="4">
        <f ca="1">_xll.DBRW($B$1,$B$2,$B$7,$B$3,$B$4,$B$5,$F167,$B$6,S$10,$A167,$B167)</f>
        <v>1308.5626090503463</v>
      </c>
      <c r="T167" s="4">
        <f ca="1">_xll.DBRW($B$1,$B$2,$B$7,$B$3,$B$4,$B$5,$F167,$B$6,T$10,$A167,$B167)</f>
        <v>1375.4508583624274</v>
      </c>
      <c r="U167" s="4">
        <f ca="1">_xll.DBRW($B$1,$B$2,$B$7,$B$3,$B$4,$B$5,$F167,$B$6,U$10,$A167,$B167)</f>
        <v>1193.6810559031712</v>
      </c>
      <c r="V167" s="4">
        <f ca="1">_xll.DBRW($B$1,$B$2,$B$7,$B$3,$B$4,$B$5,$F167,$B$6,V$10,$A167,$B167)</f>
        <v>1397.7939383193129</v>
      </c>
      <c r="W167" s="4">
        <f ca="1">_xll.DBRW($B$1,$B$2,$B$7,$B$3,$B$4,$B$5,$F167,$B$6,W$10,$A167,$B167)</f>
        <v>980.86303721981653</v>
      </c>
      <c r="X167" s="4">
        <f ca="1">_xll.DBRW($B$1,$B$2,$B$7,$B$3,$B$4,$B$5,$F167,$B$6,X$10,$A167,$B167)</f>
        <v>992.68975462538231</v>
      </c>
      <c r="Y167" s="4">
        <f ca="1">_xll.DBRW($B$1,$B$2,$B$7,$B$3,$B$4,$B$5,$F167,$B$6,Y$10,$A167,$B167)</f>
        <v>1004.2535452925879</v>
      </c>
      <c r="Z167" s="4">
        <f ca="1">_xll.DBRW($B$1,$B$2,$B$7,$B$3,$B$4,$B$5,$F167,$B$6,Z$10,$A167,$B167)</f>
        <v>1027.49995205498</v>
      </c>
      <c r="AA167" s="4">
        <f ca="1">_xll.DBRW($B$1,$B$2,$B$7,$B$3,$B$4,$B$5,$F167,$B$6,AA$10,$A167,$B167)</f>
        <v>954.76780563091347</v>
      </c>
      <c r="AB167" s="4">
        <f ca="1">_xll.DBRW($B$1,$B$2,$B$7,$B$3,$B$4,$B$5,$F167,$B$6,AB$10,$A167,$B167)</f>
        <v>841.46777747369913</v>
      </c>
      <c r="AC167" s="4">
        <f ca="1">_xll.DBRW($B$1,$B$2,$B$7,$B$3,$B$4,$B$5,$F167,$B$6,AC$10,$A167,$B167)</f>
        <v>956.35777145150246</v>
      </c>
      <c r="AD167" s="4">
        <f ca="1">_xll.DBRW($B$1,$B$2,$B$7,$B$3,$B$4,$B$5,$F167,$B$6,AD$10,$A167,$B167)</f>
        <v>1053.4458626623757</v>
      </c>
      <c r="AE167" s="4">
        <f ca="1">_xll.DBRW($B$1,$B$2,$B$7,$B$3,$B$4,$B$5,$F167,$B$6,AE$10,$A167,$B167)</f>
        <v>1082.2953938184978</v>
      </c>
    </row>
    <row r="168" spans="1:31">
      <c r="A168" s="1" t="s">
        <v>151</v>
      </c>
      <c r="B168" s="5" t="s">
        <v>70</v>
      </c>
      <c r="C168" s="5" t="s">
        <v>68</v>
      </c>
      <c r="D168" s="5" t="s">
        <v>69</v>
      </c>
      <c r="E168" s="5" t="s">
        <v>21</v>
      </c>
      <c r="F168" s="5" t="s">
        <v>24</v>
      </c>
      <c r="G168" s="6"/>
      <c r="H168" s="6"/>
      <c r="I168" s="6"/>
      <c r="J168" s="6"/>
      <c r="K168" s="6"/>
      <c r="L168" s="4">
        <f ca="1">_xll.DBRW($B$1,$B$2,$B$7,$B$3,$B$4,$B$5,$F168,$B$6,L$10,$A168,$B168)</f>
        <v>863.48057960862104</v>
      </c>
      <c r="M168" s="4">
        <f ca="1">_xll.DBRW($B$1,$B$2,$B$7,$B$3,$B$4,$B$5,$F168,$B$6,M$10,$A168,$B168)</f>
        <v>833.49436474204492</v>
      </c>
      <c r="N168" s="4">
        <f ca="1">_xll.DBRW($B$1,$B$2,$B$7,$B$3,$B$4,$B$5,$F168,$B$6,N$10,$A168,$B168)</f>
        <v>904.39118975074905</v>
      </c>
      <c r="O168" s="4">
        <f ca="1">_xll.DBRW($B$1,$B$2,$B$7,$B$3,$B$4,$B$5,$F168,$B$6,O$10,$A168,$B168)</f>
        <v>904.94078867423377</v>
      </c>
      <c r="P168" s="4">
        <f ca="1">_xll.DBRW($B$1,$B$2,$B$7,$B$3,$B$4,$B$5,$F168,$B$6,P$10,$A168,$B168)</f>
        <v>806.80316266198975</v>
      </c>
      <c r="Q168" s="4">
        <f ca="1">_xll.DBRW($B$1,$B$2,$B$7,$B$3,$B$4,$B$5,$F168,$B$6,Q$10,$A168,$B168)</f>
        <v>1024.9138394674781</v>
      </c>
      <c r="R168" s="4">
        <f ca="1">_xll.DBRW($B$1,$B$2,$B$7,$B$3,$B$4,$B$5,$F168,$B$6,R$10,$A168,$B168)</f>
        <v>1287.4223826259667</v>
      </c>
      <c r="S168" s="4">
        <f ca="1">_xll.DBRW($B$1,$B$2,$B$7,$B$3,$B$4,$B$5,$F168,$B$6,S$10,$A168,$B168)</f>
        <v>1308.5626090503463</v>
      </c>
      <c r="T168" s="4">
        <f ca="1">_xll.DBRW($B$1,$B$2,$B$7,$B$3,$B$4,$B$5,$F168,$B$6,T$10,$A168,$B168)</f>
        <v>1375.4508583624274</v>
      </c>
      <c r="U168" s="4">
        <f ca="1">_xll.DBRW($B$1,$B$2,$B$7,$B$3,$B$4,$B$5,$F168,$B$6,U$10,$A168,$B168)</f>
        <v>1193.6810559031712</v>
      </c>
      <c r="V168" s="4">
        <f ca="1">_xll.DBRW($B$1,$B$2,$B$7,$B$3,$B$4,$B$5,$F168,$B$6,V$10,$A168,$B168)</f>
        <v>1397.7939383193129</v>
      </c>
      <c r="W168" s="4">
        <f ca="1">_xll.DBRW($B$1,$B$2,$B$7,$B$3,$B$4,$B$5,$F168,$B$6,W$10,$A168,$B168)</f>
        <v>980.86303721981653</v>
      </c>
      <c r="X168" s="4">
        <f ca="1">_xll.DBRW($B$1,$B$2,$B$7,$B$3,$B$4,$B$5,$F168,$B$6,X$10,$A168,$B168)</f>
        <v>992.68975462538231</v>
      </c>
      <c r="Y168" s="4">
        <f ca="1">_xll.DBRW($B$1,$B$2,$B$7,$B$3,$B$4,$B$5,$F168,$B$6,Y$10,$A168,$B168)</f>
        <v>1004.2535452925879</v>
      </c>
      <c r="Z168" s="4">
        <f ca="1">_xll.DBRW($B$1,$B$2,$B$7,$B$3,$B$4,$B$5,$F168,$B$6,Z$10,$A168,$B168)</f>
        <v>1027.49995205498</v>
      </c>
      <c r="AA168" s="4">
        <f ca="1">_xll.DBRW($B$1,$B$2,$B$7,$B$3,$B$4,$B$5,$F168,$B$6,AA$10,$A168,$B168)</f>
        <v>954.76780563091347</v>
      </c>
      <c r="AB168" s="4">
        <f ca="1">_xll.DBRW($B$1,$B$2,$B$7,$B$3,$B$4,$B$5,$F168,$B$6,AB$10,$A168,$B168)</f>
        <v>841.46777747369913</v>
      </c>
      <c r="AC168" s="4">
        <f ca="1">_xll.DBRW($B$1,$B$2,$B$7,$B$3,$B$4,$B$5,$F168,$B$6,AC$10,$A168,$B168)</f>
        <v>918.33490413363802</v>
      </c>
      <c r="AD168" s="4">
        <f ca="1">_xll.DBRW($B$1,$B$2,$B$7,$B$3,$B$4,$B$5,$F168,$B$6,AD$10,$A168,$B168)</f>
        <v>1053.4458626623757</v>
      </c>
      <c r="AE168" s="4">
        <f ca="1">_xll.DBRW($B$1,$B$2,$B$7,$B$3,$B$4,$B$5,$F168,$B$6,AE$10,$A168,$B168)</f>
        <v>1082.2953938184978</v>
      </c>
    </row>
    <row r="169" spans="1:31">
      <c r="A169" s="1" t="s">
        <v>151</v>
      </c>
      <c r="B169" s="5" t="s">
        <v>201</v>
      </c>
      <c r="C169" s="5" t="s">
        <v>202</v>
      </c>
      <c r="D169" s="5" t="s">
        <v>28</v>
      </c>
      <c r="E169" s="5" t="s">
        <v>38</v>
      </c>
      <c r="F169" s="5" t="s">
        <v>24</v>
      </c>
      <c r="G169" s="6"/>
      <c r="H169" s="6"/>
      <c r="I169" s="6"/>
      <c r="J169" s="6"/>
      <c r="K169" s="6"/>
      <c r="L169" s="4">
        <f ca="1">_xll.DBRW($B$1,$B$2,$B$7,$B$3,$B$4,$B$5,$F169,$B$6,L$10,$A169,$B169)</f>
        <v>1383.558255671802</v>
      </c>
      <c r="M169" s="4">
        <f ca="1">_xll.DBRW($B$1,$B$2,$B$7,$B$3,$B$4,$B$5,$F169,$B$6,M$10,$A169,$B169)</f>
        <v>1383.4805877583399</v>
      </c>
      <c r="N169" s="4">
        <f ca="1">_xll.DBRW($B$1,$B$2,$B$7,$B$3,$B$4,$B$5,$F169,$B$6,N$10,$A169,$B169)</f>
        <v>1300.8063856867882</v>
      </c>
      <c r="O169" s="4">
        <f ca="1">_xll.DBRW($B$1,$B$2,$B$7,$B$3,$B$4,$B$5,$F169,$B$6,O$10,$A169,$B169)</f>
        <v>1277.0572327244149</v>
      </c>
      <c r="P169" s="4">
        <f ca="1">_xll.DBRW($B$1,$B$2,$B$7,$B$3,$B$4,$B$5,$F169,$B$6,P$10,$A169,$B169)</f>
        <v>1437.3694564538509</v>
      </c>
      <c r="Q169" s="4">
        <f ca="1">_xll.DBRW($B$1,$B$2,$B$7,$B$3,$B$4,$B$5,$F169,$B$6,Q$10,$A169,$B169)</f>
        <v>1334.0676193308834</v>
      </c>
      <c r="R169" s="4">
        <f ca="1">_xll.DBRW($B$1,$B$2,$B$7,$B$3,$B$4,$B$5,$F169,$B$6,R$10,$A169,$B169)</f>
        <v>1019.935245396061</v>
      </c>
      <c r="S169" s="4">
        <f ca="1">_xll.DBRW($B$1,$B$2,$B$7,$B$3,$B$4,$B$5,$F169,$B$6,S$10,$A169,$B169)</f>
        <v>1123.2069208321223</v>
      </c>
      <c r="T169" s="4">
        <f ca="1">_xll.DBRW($B$1,$B$2,$B$7,$B$3,$B$4,$B$5,$F169,$B$6,T$10,$A169,$B169)</f>
        <v>981.77214110638624</v>
      </c>
      <c r="U169" s="4">
        <f ca="1">_xll.DBRW($B$1,$B$2,$B$7,$B$3,$B$4,$B$5,$F169,$B$6,U$10,$A169,$B169)</f>
        <v>952.08931214360871</v>
      </c>
      <c r="V169" s="4">
        <f ca="1">_xll.DBRW($B$1,$B$2,$B$7,$B$3,$B$4,$B$5,$F169,$B$6,V$10,$A169,$B169)</f>
        <v>1021.3308061181973</v>
      </c>
      <c r="W169" s="4">
        <f ca="1">_xll.DBRW($B$1,$B$2,$B$7,$B$3,$B$4,$B$5,$F169,$B$6,W$10,$A169,$B169)</f>
        <v>1565.6847776305981</v>
      </c>
      <c r="X169" s="4">
        <f ca="1">_xll.DBRW($B$1,$B$2,$B$7,$B$3,$B$4,$B$5,$F169,$B$6,X$10,$A169,$B169)</f>
        <v>1657.6456513197497</v>
      </c>
      <c r="Y169" s="4">
        <f ca="1">_xll.DBRW($B$1,$B$2,$B$7,$B$3,$B$4,$B$5,$F169,$B$6,Y$10,$A169,$B169)</f>
        <v>1458.846534869291</v>
      </c>
      <c r="Z169" s="4">
        <f ca="1">_xll.DBRW($B$1,$B$2,$B$7,$B$3,$B$4,$B$5,$F169,$B$6,Z$10,$A169,$B169)</f>
        <v>1565.5659621154903</v>
      </c>
      <c r="AA169" s="4">
        <f ca="1">_xll.DBRW($B$1,$B$2,$B$7,$B$3,$B$4,$B$5,$F169,$B$6,AA$10,$A169,$B169)</f>
        <v>1530.5531634007505</v>
      </c>
      <c r="AB169" s="4">
        <f ca="1">_xll.DBRW($B$1,$B$2,$B$7,$B$3,$B$4,$B$5,$F169,$B$6,AB$10,$A169,$B169)</f>
        <v>1503.7964501857753</v>
      </c>
      <c r="AC169" s="4">
        <f ca="1">_xll.DBRW($B$1,$B$2,$B$7,$B$3,$B$4,$B$5,$F169,$B$6,AC$10,$A169,$B169)</f>
        <v>1415.6345024004136</v>
      </c>
      <c r="AD169" s="4">
        <f ca="1">_xll.DBRW($B$1,$B$2,$B$7,$B$3,$B$4,$B$5,$F169,$B$6,AD$10,$A169,$B169)</f>
        <v>1019.1833396140644</v>
      </c>
      <c r="AE169" s="4">
        <f ca="1">_xll.DBRW($B$1,$B$2,$B$7,$B$3,$B$4,$B$5,$F169,$B$6,AE$10,$A169,$B169)</f>
        <v>1089.377582777103</v>
      </c>
    </row>
    <row r="170" spans="1:31">
      <c r="A170" s="1" t="s">
        <v>151</v>
      </c>
      <c r="B170" s="5" t="s">
        <v>45</v>
      </c>
      <c r="C170" s="5" t="s">
        <v>46</v>
      </c>
      <c r="D170" s="5" t="s">
        <v>38</v>
      </c>
      <c r="E170" s="5" t="s">
        <v>28</v>
      </c>
      <c r="F170" s="5" t="s">
        <v>24</v>
      </c>
      <c r="G170" s="6"/>
      <c r="H170" s="6"/>
      <c r="I170" s="6"/>
      <c r="J170" s="6"/>
      <c r="K170" s="6"/>
      <c r="L170" s="4">
        <f ca="1">_xll.DBRW($B$1,$B$2,$B$7,$B$3,$B$4,$B$5,$F170,$B$6,L$10,$A170,$B170)</f>
        <v>1383.558255671802</v>
      </c>
      <c r="M170" s="4">
        <f ca="1">_xll.DBRW($B$1,$B$2,$B$7,$B$3,$B$4,$B$5,$F170,$B$6,M$10,$A170,$B170)</f>
        <v>1383.4805877583399</v>
      </c>
      <c r="N170" s="4">
        <f ca="1">_xll.DBRW($B$1,$B$2,$B$7,$B$3,$B$4,$B$5,$F170,$B$6,N$10,$A170,$B170)</f>
        <v>1300.8063856867882</v>
      </c>
      <c r="O170" s="4">
        <f ca="1">_xll.DBRW($B$1,$B$2,$B$7,$B$3,$B$4,$B$5,$F170,$B$6,O$10,$A170,$B170)</f>
        <v>1277.0572327244149</v>
      </c>
      <c r="P170" s="4">
        <f ca="1">_xll.DBRW($B$1,$B$2,$B$7,$B$3,$B$4,$B$5,$F170,$B$6,P$10,$A170,$B170)</f>
        <v>1437.3694564538509</v>
      </c>
      <c r="Q170" s="4">
        <f ca="1">_xll.DBRW($B$1,$B$2,$B$7,$B$3,$B$4,$B$5,$F170,$B$6,Q$10,$A170,$B170)</f>
        <v>1334.0676193308834</v>
      </c>
      <c r="R170" s="4">
        <f ca="1">_xll.DBRW($B$1,$B$2,$B$7,$B$3,$B$4,$B$5,$F170,$B$6,R$10,$A170,$B170)</f>
        <v>1019.935245396061</v>
      </c>
      <c r="S170" s="4">
        <f ca="1">_xll.DBRW($B$1,$B$2,$B$7,$B$3,$B$4,$B$5,$F170,$B$6,S$10,$A170,$B170)</f>
        <v>1123.2069208321223</v>
      </c>
      <c r="T170" s="4">
        <f ca="1">_xll.DBRW($B$1,$B$2,$B$7,$B$3,$B$4,$B$5,$F170,$B$6,T$10,$A170,$B170)</f>
        <v>981.77214110638624</v>
      </c>
      <c r="U170" s="4">
        <f ca="1">_xll.DBRW($B$1,$B$2,$B$7,$B$3,$B$4,$B$5,$F170,$B$6,U$10,$A170,$B170)</f>
        <v>952.08931214360871</v>
      </c>
      <c r="V170" s="4">
        <f ca="1">_xll.DBRW($B$1,$B$2,$B$7,$B$3,$B$4,$B$5,$F170,$B$6,V$10,$A170,$B170)</f>
        <v>1021.3308061181973</v>
      </c>
      <c r="W170" s="4">
        <f ca="1">_xll.DBRW($B$1,$B$2,$B$7,$B$3,$B$4,$B$5,$F170,$B$6,W$10,$A170,$B170)</f>
        <v>1565.6847776305981</v>
      </c>
      <c r="X170" s="4">
        <f ca="1">_xll.DBRW($B$1,$B$2,$B$7,$B$3,$B$4,$B$5,$F170,$B$6,X$10,$A170,$B170)</f>
        <v>1657.6456513197497</v>
      </c>
      <c r="Y170" s="4">
        <f ca="1">_xll.DBRW($B$1,$B$2,$B$7,$B$3,$B$4,$B$5,$F170,$B$6,Y$10,$A170,$B170)</f>
        <v>1458.846534869291</v>
      </c>
      <c r="Z170" s="4">
        <f ca="1">_xll.DBRW($B$1,$B$2,$B$7,$B$3,$B$4,$B$5,$F170,$B$6,Z$10,$A170,$B170)</f>
        <v>1565.5659621154903</v>
      </c>
      <c r="AA170" s="4">
        <f ca="1">_xll.DBRW($B$1,$B$2,$B$7,$B$3,$B$4,$B$5,$F170,$B$6,AA$10,$A170,$B170)</f>
        <v>1530.5531634007505</v>
      </c>
      <c r="AB170" s="4">
        <f ca="1">_xll.DBRW($B$1,$B$2,$B$7,$B$3,$B$4,$B$5,$F170,$B$6,AB$10,$A170,$B170)</f>
        <v>1503.7964501857753</v>
      </c>
      <c r="AC170" s="4">
        <f ca="1">_xll.DBRW($B$1,$B$2,$B$7,$B$3,$B$4,$B$5,$F170,$B$6,AC$10,$A170,$B170)</f>
        <v>1371.8519920168956</v>
      </c>
      <c r="AD170" s="4">
        <f ca="1">_xll.DBRW($B$1,$B$2,$B$7,$B$3,$B$4,$B$5,$F170,$B$6,AD$10,$A170,$B170)</f>
        <v>1019.1833396140644</v>
      </c>
      <c r="AE170" s="4">
        <f ca="1">_xll.DBRW($B$1,$B$2,$B$7,$B$3,$B$4,$B$5,$F170,$B$6,AE$10,$A170,$B170)</f>
        <v>1089.377582777103</v>
      </c>
    </row>
    <row r="171" spans="1:31">
      <c r="A171" s="1" t="s">
        <v>151</v>
      </c>
      <c r="B171" s="5" t="s">
        <v>203</v>
      </c>
      <c r="C171" s="5" t="s">
        <v>204</v>
      </c>
      <c r="D171" s="5" t="s">
        <v>21</v>
      </c>
      <c r="E171" s="5" t="s">
        <v>80</v>
      </c>
      <c r="F171" s="5" t="s">
        <v>24</v>
      </c>
      <c r="G171" s="6"/>
      <c r="H171" s="6"/>
      <c r="I171" s="6"/>
      <c r="J171" s="6"/>
      <c r="K171" s="6"/>
      <c r="L171" s="4">
        <f ca="1">_xll.DBRW($B$1,$B$2,$B$7,$B$3,$B$4,$B$5,$F171,$B$6,L$10,$A171,$B171)</f>
        <v>1342.4244744315361</v>
      </c>
      <c r="M171" s="4">
        <f ca="1">_xll.DBRW($B$1,$B$2,$B$7,$B$3,$B$4,$B$5,$F171,$B$6,M$10,$A171,$B171)</f>
        <v>1362.1138810974319</v>
      </c>
      <c r="N171" s="4">
        <f ca="1">_xll.DBRW($B$1,$B$2,$B$7,$B$3,$B$4,$B$5,$F171,$B$6,N$10,$A171,$B171)</f>
        <v>1393.4323516159691</v>
      </c>
      <c r="O171" s="4">
        <f ca="1">_xll.DBRW($B$1,$B$2,$B$7,$B$3,$B$4,$B$5,$F171,$B$6,O$10,$A171,$B171)</f>
        <v>1318.6280063538836</v>
      </c>
      <c r="P171" s="4">
        <f ca="1">_xll.DBRW($B$1,$B$2,$B$7,$B$3,$B$4,$B$5,$F171,$B$6,P$10,$A171,$B171)</f>
        <v>1337.4034408090645</v>
      </c>
      <c r="Q171" s="4">
        <f ca="1">_xll.DBRW($B$1,$B$2,$B$7,$B$3,$B$4,$B$5,$F171,$B$6,Q$10,$A171,$B171)</f>
        <v>1470.9696475732426</v>
      </c>
      <c r="R171" s="4">
        <f ca="1">_xll.DBRW($B$1,$B$2,$B$7,$B$3,$B$4,$B$5,$F171,$B$6,R$10,$A171,$B171)</f>
        <v>1374.3571091884612</v>
      </c>
      <c r="S171" s="4">
        <f ca="1">_xll.DBRW($B$1,$B$2,$B$7,$B$3,$B$4,$B$5,$F171,$B$6,S$10,$A171,$B171)</f>
        <v>1216.0476444151948</v>
      </c>
      <c r="T171" s="4">
        <f ca="1">_xll.DBRW($B$1,$B$2,$B$7,$B$3,$B$4,$B$5,$F171,$B$6,T$10,$A171,$B171)</f>
        <v>1428.7138185322285</v>
      </c>
      <c r="U171" s="4">
        <f ca="1">_xll.DBRW($B$1,$B$2,$B$7,$B$3,$B$4,$B$5,$F171,$B$6,U$10,$A171,$B171)</f>
        <v>1242.7067458901456</v>
      </c>
      <c r="V171" s="4">
        <f ca="1">_xll.DBRW($B$1,$B$2,$B$7,$B$3,$B$4,$B$5,$F171,$B$6,V$10,$A171,$B171)</f>
        <v>1400.994700220157</v>
      </c>
      <c r="W171" s="4">
        <f ca="1">_xll.DBRW($B$1,$B$2,$B$7,$B$3,$B$4,$B$5,$F171,$B$6,W$10,$A171,$B171)</f>
        <v>1195.6402494829279</v>
      </c>
      <c r="X171" s="4">
        <f ca="1">_xll.DBRW($B$1,$B$2,$B$7,$B$3,$B$4,$B$5,$F171,$B$6,X$10,$A171,$B171)</f>
        <v>1432.5030189250479</v>
      </c>
      <c r="Y171" s="4">
        <f ca="1">_xll.DBRW($B$1,$B$2,$B$7,$B$3,$B$4,$B$5,$F171,$B$6,Y$10,$A171,$B171)</f>
        <v>1388.074852667733</v>
      </c>
      <c r="Z171" s="4">
        <f ca="1">_xll.DBRW($B$1,$B$2,$B$7,$B$3,$B$4,$B$5,$F171,$B$6,Z$10,$A171,$B171)</f>
        <v>1202.2500589407762</v>
      </c>
      <c r="AA171" s="4">
        <f ca="1">_xll.DBRW($B$1,$B$2,$B$7,$B$3,$B$4,$B$5,$F171,$B$6,AA$10,$A171,$B171)</f>
        <v>1246.2997157756074</v>
      </c>
      <c r="AB171" s="4">
        <f ca="1">_xll.DBRW($B$1,$B$2,$B$7,$B$3,$B$4,$B$5,$F171,$B$6,AB$10,$A171,$B171)</f>
        <v>1213.681431279552</v>
      </c>
      <c r="AC171" s="4">
        <f ca="1">_xll.DBRW($B$1,$B$2,$B$7,$B$3,$B$4,$B$5,$F171,$B$6,AC$10,$A171,$B171)</f>
        <v>1345.8063092226316</v>
      </c>
      <c r="AD171" s="4">
        <f ca="1">_xll.DBRW($B$1,$B$2,$B$7,$B$3,$B$4,$B$5,$F171,$B$6,AD$10,$A171,$B171)</f>
        <v>1338.3988636770755</v>
      </c>
      <c r="AE171" s="4">
        <f ca="1">_xll.DBRW($B$1,$B$2,$B$7,$B$3,$B$4,$B$5,$F171,$B$6,AE$10,$A171,$B171)</f>
        <v>1303.0819356666791</v>
      </c>
    </row>
    <row r="172" spans="1:31">
      <c r="A172" s="1" t="s">
        <v>151</v>
      </c>
      <c r="B172" s="5" t="s">
        <v>78</v>
      </c>
      <c r="C172" s="5" t="s">
        <v>79</v>
      </c>
      <c r="D172" s="5" t="s">
        <v>80</v>
      </c>
      <c r="E172" s="5" t="s">
        <v>21</v>
      </c>
      <c r="F172" s="5" t="s">
        <v>24</v>
      </c>
      <c r="G172" s="6"/>
      <c r="H172" s="6"/>
      <c r="I172" s="6"/>
      <c r="J172" s="6"/>
      <c r="K172" s="6"/>
      <c r="L172" s="4">
        <f ca="1">_xll.DBRW($B$1,$B$2,$B$7,$B$3,$B$4,$B$5,$F172,$B$6,L$10,$A172,$B172)</f>
        <v>1342.4244744315361</v>
      </c>
      <c r="M172" s="4">
        <f ca="1">_xll.DBRW($B$1,$B$2,$B$7,$B$3,$B$4,$B$5,$F172,$B$6,M$10,$A172,$B172)</f>
        <v>1362.1138810974319</v>
      </c>
      <c r="N172" s="4">
        <f ca="1">_xll.DBRW($B$1,$B$2,$B$7,$B$3,$B$4,$B$5,$F172,$B$6,N$10,$A172,$B172)</f>
        <v>1393.4323516159691</v>
      </c>
      <c r="O172" s="4">
        <f ca="1">_xll.DBRW($B$1,$B$2,$B$7,$B$3,$B$4,$B$5,$F172,$B$6,O$10,$A172,$B172)</f>
        <v>1318.6280063538836</v>
      </c>
      <c r="P172" s="4">
        <f ca="1">_xll.DBRW($B$1,$B$2,$B$7,$B$3,$B$4,$B$5,$F172,$B$6,P$10,$A172,$B172)</f>
        <v>1337.4034408090645</v>
      </c>
      <c r="Q172" s="4">
        <f ca="1">_xll.DBRW($B$1,$B$2,$B$7,$B$3,$B$4,$B$5,$F172,$B$6,Q$10,$A172,$B172)</f>
        <v>1470.9696475732426</v>
      </c>
      <c r="R172" s="4">
        <f ca="1">_xll.DBRW($B$1,$B$2,$B$7,$B$3,$B$4,$B$5,$F172,$B$6,R$10,$A172,$B172)</f>
        <v>1374.3571091884612</v>
      </c>
      <c r="S172" s="4">
        <f ca="1">_xll.DBRW($B$1,$B$2,$B$7,$B$3,$B$4,$B$5,$F172,$B$6,S$10,$A172,$B172)</f>
        <v>1216.0476444151948</v>
      </c>
      <c r="T172" s="4">
        <f ca="1">_xll.DBRW($B$1,$B$2,$B$7,$B$3,$B$4,$B$5,$F172,$B$6,T$10,$A172,$B172)</f>
        <v>1428.7138185322285</v>
      </c>
      <c r="U172" s="4">
        <f ca="1">_xll.DBRW($B$1,$B$2,$B$7,$B$3,$B$4,$B$5,$F172,$B$6,U$10,$A172,$B172)</f>
        <v>1242.7067458901456</v>
      </c>
      <c r="V172" s="4">
        <f ca="1">_xll.DBRW($B$1,$B$2,$B$7,$B$3,$B$4,$B$5,$F172,$B$6,V$10,$A172,$B172)</f>
        <v>1400.994700220157</v>
      </c>
      <c r="W172" s="4">
        <f ca="1">_xll.DBRW($B$1,$B$2,$B$7,$B$3,$B$4,$B$5,$F172,$B$6,W$10,$A172,$B172)</f>
        <v>1195.6402494829279</v>
      </c>
      <c r="X172" s="4">
        <f ca="1">_xll.DBRW($B$1,$B$2,$B$7,$B$3,$B$4,$B$5,$F172,$B$6,X$10,$A172,$B172)</f>
        <v>1432.5030189250479</v>
      </c>
      <c r="Y172" s="4">
        <f ca="1">_xll.DBRW($B$1,$B$2,$B$7,$B$3,$B$4,$B$5,$F172,$B$6,Y$10,$A172,$B172)</f>
        <v>1388.074852667733</v>
      </c>
      <c r="Z172" s="4">
        <f ca="1">_xll.DBRW($B$1,$B$2,$B$7,$B$3,$B$4,$B$5,$F172,$B$6,Z$10,$A172,$B172)</f>
        <v>1202.2500589407762</v>
      </c>
      <c r="AA172" s="4">
        <f ca="1">_xll.DBRW($B$1,$B$2,$B$7,$B$3,$B$4,$B$5,$F172,$B$6,AA$10,$A172,$B172)</f>
        <v>1246.2997157756074</v>
      </c>
      <c r="AB172" s="4">
        <f ca="1">_xll.DBRW($B$1,$B$2,$B$7,$B$3,$B$4,$B$5,$F172,$B$6,AB$10,$A172,$B172)</f>
        <v>1213.681431279552</v>
      </c>
      <c r="AC172" s="4">
        <f ca="1">_xll.DBRW($B$1,$B$2,$B$7,$B$3,$B$4,$B$5,$F172,$B$6,AC$10,$A172,$B172)</f>
        <v>1303.2877032993892</v>
      </c>
      <c r="AD172" s="4">
        <f ca="1">_xll.DBRW($B$1,$B$2,$B$7,$B$3,$B$4,$B$5,$F172,$B$6,AD$10,$A172,$B172)</f>
        <v>1338.3988636770755</v>
      </c>
      <c r="AE172" s="4">
        <f ca="1">_xll.DBRW($B$1,$B$2,$B$7,$B$3,$B$4,$B$5,$F172,$B$6,AE$10,$A172,$B172)</f>
        <v>1261.0470345161414</v>
      </c>
    </row>
    <row r="173" spans="1:31">
      <c r="A173" s="1" t="s">
        <v>151</v>
      </c>
      <c r="B173" s="5" t="s">
        <v>205</v>
      </c>
      <c r="C173" s="5" t="s">
        <v>206</v>
      </c>
      <c r="D173" s="5" t="s">
        <v>21</v>
      </c>
      <c r="E173" s="5" t="s">
        <v>181</v>
      </c>
      <c r="F173" s="5" t="s">
        <v>24</v>
      </c>
      <c r="G173" s="6"/>
      <c r="H173" s="6"/>
      <c r="I173" s="6"/>
      <c r="J173" s="6"/>
      <c r="K173" s="6"/>
      <c r="L173" s="4">
        <f ca="1">_xll.DBRW($B$1,$B$2,$B$7,$B$3,$B$4,$B$5,$F173,$B$6,L$10,$A173,$B173)</f>
        <v>351.31324153219322</v>
      </c>
      <c r="M173" s="4">
        <f ca="1">_xll.DBRW($B$1,$B$2,$B$7,$B$3,$B$4,$B$5,$F173,$B$6,M$10,$A173,$B173)</f>
        <v>189.59826916374507</v>
      </c>
      <c r="N173" s="4">
        <f ca="1">_xll.DBRW($B$1,$B$2,$B$7,$B$3,$B$4,$B$5,$F173,$B$6,N$10,$A173,$B173)</f>
        <v>175.84612448609889</v>
      </c>
      <c r="O173" s="4">
        <f ca="1">_xll.DBRW($B$1,$B$2,$B$7,$B$3,$B$4,$B$5,$F173,$B$6,O$10,$A173,$B173)</f>
        <v>215.18407693820495</v>
      </c>
      <c r="P173" s="4">
        <f ca="1">_xll.DBRW($B$1,$B$2,$B$7,$B$3,$B$4,$B$5,$F173,$B$6,P$10,$A173,$B173)</f>
        <v>183.41532902524312</v>
      </c>
      <c r="Q173" s="4">
        <f ca="1">_xll.DBRW($B$1,$B$2,$B$7,$B$3,$B$4,$B$5,$F173,$B$6,Q$10,$A173,$B173)</f>
        <v>407.63713112126391</v>
      </c>
      <c r="R173" s="4">
        <f ca="1">_xll.DBRW($B$1,$B$2,$B$7,$B$3,$B$4,$B$5,$F173,$B$6,R$10,$A173,$B173)</f>
        <v>1246.8597596117238</v>
      </c>
      <c r="S173" s="4">
        <f ca="1">_xll.DBRW($B$1,$B$2,$B$7,$B$3,$B$4,$B$5,$F173,$B$6,S$10,$A173,$B173)</f>
        <v>1499.2083297890606</v>
      </c>
      <c r="T173" s="4">
        <f ca="1">_xll.DBRW($B$1,$B$2,$B$7,$B$3,$B$4,$B$5,$F173,$B$6,T$10,$A173,$B173)</f>
        <v>1563.1864941381666</v>
      </c>
      <c r="U173" s="4">
        <f ca="1">_xll.DBRW($B$1,$B$2,$B$7,$B$3,$B$4,$B$5,$F173,$B$6,U$10,$A173,$B173)</f>
        <v>1419.655377008952</v>
      </c>
      <c r="V173" s="4">
        <f ca="1">_xll.DBRW($B$1,$B$2,$B$7,$B$3,$B$4,$B$5,$F173,$B$6,V$10,$A173,$B173)</f>
        <v>1012.3814045685979</v>
      </c>
      <c r="W173" s="4">
        <f ca="1">_xll.DBRW($B$1,$B$2,$B$7,$B$3,$B$4,$B$5,$F173,$B$6,W$10,$A173,$B173)</f>
        <v>387.17511945611358</v>
      </c>
      <c r="X173" s="4">
        <f ca="1">_xll.DBRW($B$1,$B$2,$B$7,$B$3,$B$4,$B$5,$F173,$B$6,X$10,$A173,$B173)</f>
        <v>439.86549486657805</v>
      </c>
      <c r="Y173" s="4">
        <f ca="1">_xll.DBRW($B$1,$B$2,$B$7,$B$3,$B$4,$B$5,$F173,$B$6,Y$10,$A173,$B173)</f>
        <v>439.3033432665186</v>
      </c>
      <c r="Z173" s="4">
        <f ca="1">_xll.DBRW($B$1,$B$2,$B$7,$B$3,$B$4,$B$5,$F173,$B$6,Z$10,$A173,$B173)</f>
        <v>391.41336460295111</v>
      </c>
      <c r="AA173" s="4">
        <f ca="1">_xll.DBRW($B$1,$B$2,$B$7,$B$3,$B$4,$B$5,$F173,$B$6,AA$10,$A173,$B173)</f>
        <v>437.53304281581421</v>
      </c>
      <c r="AB173" s="4">
        <f ca="1">_xll.DBRW($B$1,$B$2,$B$7,$B$3,$B$4,$B$5,$F173,$B$6,AB$10,$A173,$B173)</f>
        <v>426.50391884779879</v>
      </c>
      <c r="AC173" s="4">
        <f ca="1">_xll.DBRW($B$1,$B$2,$B$7,$B$3,$B$4,$B$5,$F173,$B$6,AC$10,$A173,$B173)</f>
        <v>1595.3272509173999</v>
      </c>
      <c r="AD173" s="4">
        <f ca="1">_xll.DBRW($B$1,$B$2,$B$7,$B$3,$B$4,$B$5,$F173,$B$6,AD$10,$A173,$B173)</f>
        <v>1309.9625781752359</v>
      </c>
      <c r="AE173" s="4">
        <f ca="1">_xll.DBRW($B$1,$B$2,$B$7,$B$3,$B$4,$B$5,$F173,$B$6,AE$10,$A173,$B173)</f>
        <v>1258.297685914908</v>
      </c>
    </row>
    <row r="174" spans="1:31">
      <c r="A174" s="1" t="s">
        <v>151</v>
      </c>
      <c r="B174" s="5" t="s">
        <v>207</v>
      </c>
      <c r="C174" s="5" t="s">
        <v>208</v>
      </c>
      <c r="D174" s="5" t="s">
        <v>181</v>
      </c>
      <c r="E174" s="5" t="s">
        <v>21</v>
      </c>
      <c r="F174" s="5" t="s">
        <v>24</v>
      </c>
      <c r="G174" s="6"/>
      <c r="H174" s="6"/>
      <c r="I174" s="6"/>
      <c r="J174" s="6"/>
      <c r="K174" s="6"/>
      <c r="L174" s="4">
        <f ca="1">_xll.DBRW($B$1,$B$2,$B$7,$B$3,$B$4,$B$5,$F174,$B$6,L$10,$A174,$B174)</f>
        <v>351.31324153219322</v>
      </c>
      <c r="M174" s="4">
        <f ca="1">_xll.DBRW($B$1,$B$2,$B$7,$B$3,$B$4,$B$5,$F174,$B$6,M$10,$A174,$B174)</f>
        <v>189.59826916374507</v>
      </c>
      <c r="N174" s="4">
        <f ca="1">_xll.DBRW($B$1,$B$2,$B$7,$B$3,$B$4,$B$5,$F174,$B$6,N$10,$A174,$B174)</f>
        <v>175.84612448609889</v>
      </c>
      <c r="O174" s="4">
        <f ca="1">_xll.DBRW($B$1,$B$2,$B$7,$B$3,$B$4,$B$5,$F174,$B$6,O$10,$A174,$B174)</f>
        <v>215.18407693820495</v>
      </c>
      <c r="P174" s="4">
        <f ca="1">_xll.DBRW($B$1,$B$2,$B$7,$B$3,$B$4,$B$5,$F174,$B$6,P$10,$A174,$B174)</f>
        <v>183.41532902524312</v>
      </c>
      <c r="Q174" s="4">
        <f ca="1">_xll.DBRW($B$1,$B$2,$B$7,$B$3,$B$4,$B$5,$F174,$B$6,Q$10,$A174,$B174)</f>
        <v>407.63713112126391</v>
      </c>
      <c r="R174" s="4">
        <f ca="1">_xll.DBRW($B$1,$B$2,$B$7,$B$3,$B$4,$B$5,$F174,$B$6,R$10,$A174,$B174)</f>
        <v>1246.8597596117238</v>
      </c>
      <c r="S174" s="4">
        <f ca="1">_xll.DBRW($B$1,$B$2,$B$7,$B$3,$B$4,$B$5,$F174,$B$6,S$10,$A174,$B174)</f>
        <v>1499.2083297890606</v>
      </c>
      <c r="T174" s="4">
        <f ca="1">_xll.DBRW($B$1,$B$2,$B$7,$B$3,$B$4,$B$5,$F174,$B$6,T$10,$A174,$B174)</f>
        <v>1563.1864941381666</v>
      </c>
      <c r="U174" s="4">
        <f ca="1">_xll.DBRW($B$1,$B$2,$B$7,$B$3,$B$4,$B$5,$F174,$B$6,U$10,$A174,$B174)</f>
        <v>1419.655377008952</v>
      </c>
      <c r="V174" s="4">
        <f ca="1">_xll.DBRW($B$1,$B$2,$B$7,$B$3,$B$4,$B$5,$F174,$B$6,V$10,$A174,$B174)</f>
        <v>1012.3814045685979</v>
      </c>
      <c r="W174" s="4">
        <f ca="1">_xll.DBRW($B$1,$B$2,$B$7,$B$3,$B$4,$B$5,$F174,$B$6,W$10,$A174,$B174)</f>
        <v>387.17511945611358</v>
      </c>
      <c r="X174" s="4">
        <f ca="1">_xll.DBRW($B$1,$B$2,$B$7,$B$3,$B$4,$B$5,$F174,$B$6,X$10,$A174,$B174)</f>
        <v>439.86549486657805</v>
      </c>
      <c r="Y174" s="4">
        <f ca="1">_xll.DBRW($B$1,$B$2,$B$7,$B$3,$B$4,$B$5,$F174,$B$6,Y$10,$A174,$B174)</f>
        <v>439.3033432665186</v>
      </c>
      <c r="Z174" s="4">
        <f ca="1">_xll.DBRW($B$1,$B$2,$B$7,$B$3,$B$4,$B$5,$F174,$B$6,Z$10,$A174,$B174)</f>
        <v>391.41336460295111</v>
      </c>
      <c r="AA174" s="4">
        <f ca="1">_xll.DBRW($B$1,$B$2,$B$7,$B$3,$B$4,$B$5,$F174,$B$6,AA$10,$A174,$B174)</f>
        <v>437.53304281581421</v>
      </c>
      <c r="AB174" s="4">
        <f ca="1">_xll.DBRW($B$1,$B$2,$B$7,$B$3,$B$4,$B$5,$F174,$B$6,AB$10,$A174,$B174)</f>
        <v>426.50391884779879</v>
      </c>
      <c r="AC174" s="4">
        <f ca="1">_xll.DBRW($B$1,$B$2,$B$7,$B$3,$B$4,$B$5,$F174,$B$6,AC$10,$A174,$B174)</f>
        <v>1595.3272509173999</v>
      </c>
      <c r="AD174" s="4">
        <f ca="1">_xll.DBRW($B$1,$B$2,$B$7,$B$3,$B$4,$B$5,$F174,$B$6,AD$10,$A174,$B174)</f>
        <v>1309.9625781752359</v>
      </c>
      <c r="AE174" s="4">
        <f ca="1">_xll.DBRW($B$1,$B$2,$B$7,$B$3,$B$4,$B$5,$F174,$B$6,AE$10,$A174,$B174)</f>
        <v>1258.297685914908</v>
      </c>
    </row>
    <row r="175" spans="1:31">
      <c r="A175" s="1" t="s">
        <v>151</v>
      </c>
      <c r="B175" s="5" t="s">
        <v>209</v>
      </c>
      <c r="C175" s="5" t="s">
        <v>210</v>
      </c>
      <c r="D175" s="5" t="s">
        <v>21</v>
      </c>
      <c r="E175" s="5" t="s">
        <v>211</v>
      </c>
      <c r="F175" s="5" t="s">
        <v>24</v>
      </c>
      <c r="G175" s="6"/>
      <c r="H175" s="6"/>
      <c r="I175" s="6"/>
      <c r="J175" s="6"/>
      <c r="K175" s="6"/>
      <c r="L175" s="4">
        <f ca="1">_xll.DBRW($B$1,$B$2,$B$7,$B$3,$B$4,$B$5,$F175,$B$6,L$10,$A175,$B175)</f>
        <v>268.4191058897656</v>
      </c>
      <c r="M175" s="4">
        <f ca="1">_xll.DBRW($B$1,$B$2,$B$7,$B$3,$B$4,$B$5,$F175,$B$6,M$10,$A175,$B175)</f>
        <v>0</v>
      </c>
      <c r="N175" s="4">
        <f ca="1">_xll.DBRW($B$1,$B$2,$B$7,$B$3,$B$4,$B$5,$F175,$B$6,N$10,$A175,$B175)</f>
        <v>0</v>
      </c>
      <c r="O175" s="4">
        <f ca="1">_xll.DBRW($B$1,$B$2,$B$7,$B$3,$B$4,$B$5,$F175,$B$6,O$10,$A175,$B175)</f>
        <v>0</v>
      </c>
      <c r="P175" s="4">
        <f ca="1">_xll.DBRW($B$1,$B$2,$B$7,$B$3,$B$4,$B$5,$F175,$B$6,P$10,$A175,$B175)</f>
        <v>0</v>
      </c>
      <c r="Q175" s="4">
        <f ca="1">_xll.DBRW($B$1,$B$2,$B$7,$B$3,$B$4,$B$5,$F175,$B$6,Q$10,$A175,$B175)</f>
        <v>79.332073253709879</v>
      </c>
      <c r="R175" s="4">
        <f ca="1">_xll.DBRW($B$1,$B$2,$B$7,$B$3,$B$4,$B$5,$F175,$B$6,R$10,$A175,$B175)</f>
        <v>592.56701446893817</v>
      </c>
      <c r="S175" s="4">
        <f ca="1">_xll.DBRW($B$1,$B$2,$B$7,$B$3,$B$4,$B$5,$F175,$B$6,S$10,$A175,$B175)</f>
        <v>718.8213079565752</v>
      </c>
      <c r="T175" s="4">
        <f ca="1">_xll.DBRW($B$1,$B$2,$B$7,$B$3,$B$4,$B$5,$F175,$B$6,T$10,$A175,$B175)</f>
        <v>777.62526067737576</v>
      </c>
      <c r="U175" s="4">
        <f ca="1">_xll.DBRW($B$1,$B$2,$B$7,$B$3,$B$4,$B$5,$F175,$B$6,U$10,$A175,$B175)</f>
        <v>757.98376970608808</v>
      </c>
      <c r="V175" s="4">
        <f ca="1">_xll.DBRW($B$1,$B$2,$B$7,$B$3,$B$4,$B$5,$F175,$B$6,V$10,$A175,$B175)</f>
        <v>729.39738766988535</v>
      </c>
      <c r="W175" s="4">
        <f ca="1">_xll.DBRW($B$1,$B$2,$B$7,$B$3,$B$4,$B$5,$F175,$B$6,W$10,$A175,$B175)</f>
        <v>0</v>
      </c>
      <c r="X175" s="4">
        <f ca="1">_xll.DBRW($B$1,$B$2,$B$7,$B$3,$B$4,$B$5,$F175,$B$6,X$10,$A175,$B175)</f>
        <v>0</v>
      </c>
      <c r="Y175" s="4">
        <f ca="1">_xll.DBRW($B$1,$B$2,$B$7,$B$3,$B$4,$B$5,$F175,$B$6,Y$10,$A175,$B175)</f>
        <v>0</v>
      </c>
      <c r="Z175" s="4">
        <f ca="1">_xll.DBRW($B$1,$B$2,$B$7,$B$3,$B$4,$B$5,$F175,$B$6,Z$10,$A175,$B175)</f>
        <v>0</v>
      </c>
      <c r="AA175" s="4">
        <f ca="1">_xll.DBRW($B$1,$B$2,$B$7,$B$3,$B$4,$B$5,$F175,$B$6,AA$10,$A175,$B175)</f>
        <v>0</v>
      </c>
      <c r="AB175" s="4">
        <f ca="1">_xll.DBRW($B$1,$B$2,$B$7,$B$3,$B$4,$B$5,$F175,$B$6,AB$10,$A175,$B175)</f>
        <v>0</v>
      </c>
      <c r="AC175" s="4">
        <f ca="1">_xll.DBRW($B$1,$B$2,$B$7,$B$3,$B$4,$B$5,$F175,$B$6,AC$10,$A175,$B175)</f>
        <v>135.51857500447554</v>
      </c>
      <c r="AD175" s="4">
        <f ca="1">_xll.DBRW($B$1,$B$2,$B$7,$B$3,$B$4,$B$5,$F175,$B$6,AD$10,$A175,$B175)</f>
        <v>559.33644136346152</v>
      </c>
      <c r="AE175" s="4">
        <f ca="1">_xll.DBRW($B$1,$B$2,$B$7,$B$3,$B$4,$B$5,$F175,$B$6,AE$10,$A175,$B175)</f>
        <v>775.9716149991317</v>
      </c>
    </row>
    <row r="176" spans="1:31">
      <c r="A176" s="1" t="s">
        <v>151</v>
      </c>
      <c r="B176" s="5" t="s">
        <v>212</v>
      </c>
      <c r="C176" s="5" t="s">
        <v>213</v>
      </c>
      <c r="D176" s="5" t="s">
        <v>211</v>
      </c>
      <c r="E176" s="5" t="s">
        <v>21</v>
      </c>
      <c r="F176" s="5" t="s">
        <v>24</v>
      </c>
      <c r="G176" s="6"/>
      <c r="H176" s="6"/>
      <c r="I176" s="6"/>
      <c r="J176" s="6"/>
      <c r="K176" s="6"/>
      <c r="L176" s="4">
        <f ca="1">_xll.DBRW($B$1,$B$2,$B$7,$B$3,$B$4,$B$5,$F176,$B$6,L$10,$A176,$B176)</f>
        <v>268.4191058897656</v>
      </c>
      <c r="M176" s="4">
        <f ca="1">_xll.DBRW($B$1,$B$2,$B$7,$B$3,$B$4,$B$5,$F176,$B$6,M$10,$A176,$B176)</f>
        <v>0</v>
      </c>
      <c r="N176" s="4">
        <f ca="1">_xll.DBRW($B$1,$B$2,$B$7,$B$3,$B$4,$B$5,$F176,$B$6,N$10,$A176,$B176)</f>
        <v>0</v>
      </c>
      <c r="O176" s="4">
        <f ca="1">_xll.DBRW($B$1,$B$2,$B$7,$B$3,$B$4,$B$5,$F176,$B$6,O$10,$A176,$B176)</f>
        <v>0</v>
      </c>
      <c r="P176" s="4">
        <f ca="1">_xll.DBRW($B$1,$B$2,$B$7,$B$3,$B$4,$B$5,$F176,$B$6,P$10,$A176,$B176)</f>
        <v>0</v>
      </c>
      <c r="Q176" s="4">
        <f ca="1">_xll.DBRW($B$1,$B$2,$B$7,$B$3,$B$4,$B$5,$F176,$B$6,Q$10,$A176,$B176)</f>
        <v>79.332073253709879</v>
      </c>
      <c r="R176" s="4">
        <f ca="1">_xll.DBRW($B$1,$B$2,$B$7,$B$3,$B$4,$B$5,$F176,$B$6,R$10,$A176,$B176)</f>
        <v>592.56701446893817</v>
      </c>
      <c r="S176" s="4">
        <f ca="1">_xll.DBRW($B$1,$B$2,$B$7,$B$3,$B$4,$B$5,$F176,$B$6,S$10,$A176,$B176)</f>
        <v>718.8213079565752</v>
      </c>
      <c r="T176" s="4">
        <f ca="1">_xll.DBRW($B$1,$B$2,$B$7,$B$3,$B$4,$B$5,$F176,$B$6,T$10,$A176,$B176)</f>
        <v>777.62526067737576</v>
      </c>
      <c r="U176" s="4">
        <f ca="1">_xll.DBRW($B$1,$B$2,$B$7,$B$3,$B$4,$B$5,$F176,$B$6,U$10,$A176,$B176)</f>
        <v>757.98376970608808</v>
      </c>
      <c r="V176" s="4">
        <f ca="1">_xll.DBRW($B$1,$B$2,$B$7,$B$3,$B$4,$B$5,$F176,$B$6,V$10,$A176,$B176)</f>
        <v>729.39738766988535</v>
      </c>
      <c r="W176" s="4">
        <f ca="1">_xll.DBRW($B$1,$B$2,$B$7,$B$3,$B$4,$B$5,$F176,$B$6,W$10,$A176,$B176)</f>
        <v>0</v>
      </c>
      <c r="X176" s="4">
        <f ca="1">_xll.DBRW($B$1,$B$2,$B$7,$B$3,$B$4,$B$5,$F176,$B$6,X$10,$A176,$B176)</f>
        <v>0</v>
      </c>
      <c r="Y176" s="4">
        <f ca="1">_xll.DBRW($B$1,$B$2,$B$7,$B$3,$B$4,$B$5,$F176,$B$6,Y$10,$A176,$B176)</f>
        <v>0</v>
      </c>
      <c r="Z176" s="4">
        <f ca="1">_xll.DBRW($B$1,$B$2,$B$7,$B$3,$B$4,$B$5,$F176,$B$6,Z$10,$A176,$B176)</f>
        <v>0</v>
      </c>
      <c r="AA176" s="4">
        <f ca="1">_xll.DBRW($B$1,$B$2,$B$7,$B$3,$B$4,$B$5,$F176,$B$6,AA$10,$A176,$B176)</f>
        <v>0</v>
      </c>
      <c r="AB176" s="4">
        <f ca="1">_xll.DBRW($B$1,$B$2,$B$7,$B$3,$B$4,$B$5,$F176,$B$6,AB$10,$A176,$B176)</f>
        <v>0</v>
      </c>
      <c r="AC176" s="4">
        <f ca="1">_xll.DBRW($B$1,$B$2,$B$7,$B$3,$B$4,$B$5,$F176,$B$6,AC$10,$A176,$B176)</f>
        <v>135.51857500447554</v>
      </c>
      <c r="AD176" s="4">
        <f ca="1">_xll.DBRW($B$1,$B$2,$B$7,$B$3,$B$4,$B$5,$F176,$B$6,AD$10,$A176,$B176)</f>
        <v>559.33644136346152</v>
      </c>
      <c r="AE176" s="4">
        <f ca="1">_xll.DBRW($B$1,$B$2,$B$7,$B$3,$B$4,$B$5,$F176,$B$6,AE$10,$A176,$B176)</f>
        <v>775.9716149991317</v>
      </c>
    </row>
    <row r="177" spans="1:31">
      <c r="A177" s="1" t="s">
        <v>151</v>
      </c>
      <c r="B177" s="5" t="s">
        <v>214</v>
      </c>
      <c r="C177" s="5" t="s">
        <v>187</v>
      </c>
      <c r="D177" s="5" t="s">
        <v>21</v>
      </c>
      <c r="E177" s="5" t="s">
        <v>59</v>
      </c>
      <c r="F177" s="5" t="s">
        <v>24</v>
      </c>
      <c r="G177" s="6"/>
      <c r="H177" s="6"/>
      <c r="I177" s="6"/>
      <c r="J177" s="6"/>
      <c r="K177" s="6"/>
      <c r="L177" s="4">
        <f ca="1">_xll.DBRW($B$1,$B$2,$B$7,$B$3,$B$4,$B$5,$F177,$B$6,L$10,$A177,$B177)</f>
        <v>1623.9191433839464</v>
      </c>
      <c r="M177" s="4">
        <f ca="1">_xll.DBRW($B$1,$B$2,$B$7,$B$3,$B$4,$B$5,$F177,$B$6,M$10,$A177,$B177)</f>
        <v>1501.8178689022964</v>
      </c>
      <c r="N177" s="4">
        <f ca="1">_xll.DBRW($B$1,$B$2,$B$7,$B$3,$B$4,$B$5,$F177,$B$6,N$10,$A177,$B177)</f>
        <v>1464.8904209296081</v>
      </c>
      <c r="O177" s="4">
        <f ca="1">_xll.DBRW($B$1,$B$2,$B$7,$B$3,$B$4,$B$5,$F177,$B$6,O$10,$A177,$B177)</f>
        <v>1538.3993407461976</v>
      </c>
      <c r="P177" s="4">
        <f ca="1">_xll.DBRW($B$1,$B$2,$B$7,$B$3,$B$4,$B$5,$F177,$B$6,P$10,$A177,$B177)</f>
        <v>1482.7733800274409</v>
      </c>
      <c r="Q177" s="4">
        <f ca="1">_xll.DBRW($B$1,$B$2,$B$7,$B$3,$B$4,$B$5,$F177,$B$6,Q$10,$A177,$B177)</f>
        <v>1417.9984414279463</v>
      </c>
      <c r="R177" s="4">
        <f ca="1">_xll.DBRW($B$1,$B$2,$B$7,$B$3,$B$4,$B$5,$F177,$B$6,R$10,$A177,$B177)</f>
        <v>679.70922247907606</v>
      </c>
      <c r="S177" s="4">
        <f ca="1">_xll.DBRW($B$1,$B$2,$B$7,$B$3,$B$4,$B$5,$F177,$B$6,S$10,$A177,$B177)</f>
        <v>0</v>
      </c>
      <c r="T177" s="4">
        <f ca="1">_xll.DBRW($B$1,$B$2,$B$7,$B$3,$B$4,$B$5,$F177,$B$6,T$10,$A177,$B177)</f>
        <v>0</v>
      </c>
      <c r="U177" s="4">
        <f ca="1">_xll.DBRW($B$1,$B$2,$B$7,$B$3,$B$4,$B$5,$F177,$B$6,U$10,$A177,$B177)</f>
        <v>0</v>
      </c>
      <c r="V177" s="4">
        <f ca="1">_xll.DBRW($B$1,$B$2,$B$7,$B$3,$B$4,$B$5,$F177,$B$6,V$10,$A177,$B177)</f>
        <v>107.75884353980501</v>
      </c>
      <c r="W177" s="4">
        <f ca="1">_xll.DBRW($B$1,$B$2,$B$7,$B$3,$B$4,$B$5,$F177,$B$6,W$10,$A177,$B177)</f>
        <v>1641.8457353359868</v>
      </c>
      <c r="X177" s="4">
        <f ca="1">_xll.DBRW($B$1,$B$2,$B$7,$B$3,$B$4,$B$5,$F177,$B$6,X$10,$A177,$B177)</f>
        <v>1767.6076367786561</v>
      </c>
      <c r="Y177" s="4">
        <f ca="1">_xll.DBRW($B$1,$B$2,$B$7,$B$3,$B$4,$B$5,$F177,$B$6,Y$10,$A177,$B177)</f>
        <v>1641.4888487853671</v>
      </c>
      <c r="Z177" s="4">
        <f ca="1">_xll.DBRW($B$1,$B$2,$B$7,$B$3,$B$4,$B$5,$F177,$B$6,Z$10,$A177,$B177)</f>
        <v>1713.8846028733419</v>
      </c>
      <c r="AA177" s="4">
        <f ca="1">_xll.DBRW($B$1,$B$2,$B$7,$B$3,$B$4,$B$5,$F177,$B$6,AA$10,$A177,$B177)</f>
        <v>1682.2164420711149</v>
      </c>
      <c r="AB177" s="4">
        <f ca="1">_xll.DBRW($B$1,$B$2,$B$7,$B$3,$B$4,$B$5,$F177,$B$6,AB$10,$A177,$B177)</f>
        <v>1687.7443989618887</v>
      </c>
      <c r="AC177" s="4">
        <f ca="1">_xll.DBRW($B$1,$B$2,$B$7,$B$3,$B$4,$B$5,$F177,$B$6,AC$10,$A177,$B177)</f>
        <v>1411.21348875335</v>
      </c>
      <c r="AD177" s="4">
        <f ca="1">_xll.DBRW($B$1,$B$2,$B$7,$B$3,$B$4,$B$5,$F177,$B$6,AD$10,$A177,$B177)</f>
        <v>0</v>
      </c>
      <c r="AE177" s="4">
        <f ca="1">_xll.DBRW($B$1,$B$2,$B$7,$B$3,$B$4,$B$5,$F177,$B$6,AE$10,$A177,$B177)</f>
        <v>0</v>
      </c>
    </row>
    <row r="178" spans="1:31">
      <c r="A178" s="1" t="s">
        <v>151</v>
      </c>
      <c r="B178" s="5" t="s">
        <v>63</v>
      </c>
      <c r="C178" s="5" t="s">
        <v>62</v>
      </c>
      <c r="D178" s="5" t="s">
        <v>59</v>
      </c>
      <c r="E178" s="5" t="s">
        <v>21</v>
      </c>
      <c r="F178" s="5" t="s">
        <v>24</v>
      </c>
      <c r="G178" s="6"/>
      <c r="H178" s="6"/>
      <c r="I178" s="6"/>
      <c r="J178" s="6"/>
      <c r="K178" s="6"/>
      <c r="L178" s="4">
        <f ca="1">_xll.DBRW($B$1,$B$2,$B$7,$B$3,$B$4,$B$5,$F178,$B$6,L$10,$A178,$B178)</f>
        <v>1623.9191433839464</v>
      </c>
      <c r="M178" s="4">
        <f ca="1">_xll.DBRW($B$1,$B$2,$B$7,$B$3,$B$4,$B$5,$F178,$B$6,M$10,$A178,$B178)</f>
        <v>1501.8178689022964</v>
      </c>
      <c r="N178" s="4">
        <f ca="1">_xll.DBRW($B$1,$B$2,$B$7,$B$3,$B$4,$B$5,$F178,$B$6,N$10,$A178,$B178)</f>
        <v>1464.8904209296081</v>
      </c>
      <c r="O178" s="4">
        <f ca="1">_xll.DBRW($B$1,$B$2,$B$7,$B$3,$B$4,$B$5,$F178,$B$6,O$10,$A178,$B178)</f>
        <v>1538.3993407461976</v>
      </c>
      <c r="P178" s="4">
        <f ca="1">_xll.DBRW($B$1,$B$2,$B$7,$B$3,$B$4,$B$5,$F178,$B$6,P$10,$A178,$B178)</f>
        <v>1482.7733800274409</v>
      </c>
      <c r="Q178" s="4">
        <f ca="1">_xll.DBRW($B$1,$B$2,$B$7,$B$3,$B$4,$B$5,$F178,$B$6,Q$10,$A178,$B178)</f>
        <v>1417.9984414279463</v>
      </c>
      <c r="R178" s="4">
        <f ca="1">_xll.DBRW($B$1,$B$2,$B$7,$B$3,$B$4,$B$5,$F178,$B$6,R$10,$A178,$B178)</f>
        <v>679.70922247907606</v>
      </c>
      <c r="S178" s="4">
        <f ca="1">_xll.DBRW($B$1,$B$2,$B$7,$B$3,$B$4,$B$5,$F178,$B$6,S$10,$A178,$B178)</f>
        <v>0</v>
      </c>
      <c r="T178" s="4">
        <f ca="1">_xll.DBRW($B$1,$B$2,$B$7,$B$3,$B$4,$B$5,$F178,$B$6,T$10,$A178,$B178)</f>
        <v>0</v>
      </c>
      <c r="U178" s="4">
        <f ca="1">_xll.DBRW($B$1,$B$2,$B$7,$B$3,$B$4,$B$5,$F178,$B$6,U$10,$A178,$B178)</f>
        <v>0</v>
      </c>
      <c r="V178" s="4">
        <f ca="1">_xll.DBRW($B$1,$B$2,$B$7,$B$3,$B$4,$B$5,$F178,$B$6,V$10,$A178,$B178)</f>
        <v>107.75884353980501</v>
      </c>
      <c r="W178" s="4">
        <f ca="1">_xll.DBRW($B$1,$B$2,$B$7,$B$3,$B$4,$B$5,$F178,$B$6,W$10,$A178,$B178)</f>
        <v>1610.5724832343487</v>
      </c>
      <c r="X178" s="4">
        <f ca="1">_xll.DBRW($B$1,$B$2,$B$7,$B$3,$B$4,$B$5,$F178,$B$6,X$10,$A178,$B178)</f>
        <v>1726.879350216936</v>
      </c>
      <c r="Y178" s="4">
        <f ca="1">_xll.DBRW($B$1,$B$2,$B$7,$B$3,$B$4,$B$5,$F178,$B$6,Y$10,$A178,$B178)</f>
        <v>1610.2223945227886</v>
      </c>
      <c r="Z178" s="4">
        <f ca="1">_xll.DBRW($B$1,$B$2,$B$7,$B$3,$B$4,$B$5,$F178,$B$6,Z$10,$A178,$B178)</f>
        <v>1674.3941742357074</v>
      </c>
      <c r="AA178" s="4">
        <f ca="1">_xll.DBRW($B$1,$B$2,$B$7,$B$3,$B$4,$B$5,$F178,$B$6,AA$10,$A178,$B178)</f>
        <v>1651.2078440605871</v>
      </c>
      <c r="AB178" s="4">
        <f ca="1">_xll.DBRW($B$1,$B$2,$B$7,$B$3,$B$4,$B$5,$F178,$B$6,AB$10,$A178,$B178)</f>
        <v>1655.5968866007099</v>
      </c>
      <c r="AC178" s="4">
        <f ca="1">_xll.DBRW($B$1,$B$2,$B$7,$B$3,$B$4,$B$5,$F178,$B$6,AC$10,$A178,$B178)</f>
        <v>1378.9571804389875</v>
      </c>
      <c r="AD178" s="4">
        <f ca="1">_xll.DBRW($B$1,$B$2,$B$7,$B$3,$B$4,$B$5,$F178,$B$6,AD$10,$A178,$B178)</f>
        <v>0</v>
      </c>
      <c r="AE178" s="4">
        <f ca="1">_xll.DBRW($B$1,$B$2,$B$7,$B$3,$B$4,$B$5,$F178,$B$6,AE$10,$A178,$B178)</f>
        <v>0</v>
      </c>
    </row>
    <row r="179" spans="1:31">
      <c r="A179" s="1" t="s">
        <v>151</v>
      </c>
      <c r="B179" s="5" t="s">
        <v>215</v>
      </c>
      <c r="C179" s="5" t="s">
        <v>159</v>
      </c>
      <c r="D179" s="5" t="s">
        <v>21</v>
      </c>
      <c r="E179" s="5" t="s">
        <v>38</v>
      </c>
      <c r="F179" s="5" t="s">
        <v>24</v>
      </c>
      <c r="G179" s="6"/>
      <c r="H179" s="6"/>
      <c r="I179" s="6"/>
      <c r="J179" s="6"/>
      <c r="K179" s="6"/>
      <c r="L179" s="4">
        <f ca="1">_xll.DBRW($B$1,$B$2,$B$7,$B$3,$B$4,$B$5,$F179,$B$6,L$10,$A179,$B179)</f>
        <v>1387.1996303386061</v>
      </c>
      <c r="M179" s="4">
        <f ca="1">_xll.DBRW($B$1,$B$2,$B$7,$B$3,$B$4,$B$5,$F179,$B$6,M$10,$A179,$B179)</f>
        <v>1426.3588703567009</v>
      </c>
      <c r="N179" s="4">
        <f ca="1">_xll.DBRW($B$1,$B$2,$B$7,$B$3,$B$4,$B$5,$F179,$B$6,N$10,$A179,$B179)</f>
        <v>1428.210923087041</v>
      </c>
      <c r="O179" s="4">
        <f ca="1">_xll.DBRW($B$1,$B$2,$B$7,$B$3,$B$4,$B$5,$F179,$B$6,O$10,$A179,$B179)</f>
        <v>1312.0125218181827</v>
      </c>
      <c r="P179" s="4">
        <f ca="1">_xll.DBRW($B$1,$B$2,$B$7,$B$3,$B$4,$B$5,$F179,$B$6,P$10,$A179,$B179)</f>
        <v>1454.9963106249006</v>
      </c>
      <c r="Q179" s="4">
        <f ca="1">_xll.DBRW($B$1,$B$2,$B$7,$B$3,$B$4,$B$5,$F179,$B$6,Q$10,$A179,$B179)</f>
        <v>1580.8657085652026</v>
      </c>
      <c r="R179" s="4">
        <f ca="1">_xll.DBRW($B$1,$B$2,$B$7,$B$3,$B$4,$B$5,$F179,$B$6,R$10,$A179,$B179)</f>
        <v>1541.8057453889514</v>
      </c>
      <c r="S179" s="4">
        <f ca="1">_xll.DBRW($B$1,$B$2,$B$7,$B$3,$B$4,$B$5,$F179,$B$6,S$10,$A179,$B179)</f>
        <v>1659.7783673302865</v>
      </c>
      <c r="T179" s="4">
        <f ca="1">_xll.DBRW($B$1,$B$2,$B$7,$B$3,$B$4,$B$5,$F179,$B$6,T$10,$A179,$B179)</f>
        <v>1312.0513571805948</v>
      </c>
      <c r="U179" s="4">
        <f ca="1">_xll.DBRW($B$1,$B$2,$B$7,$B$3,$B$4,$B$5,$F179,$B$6,U$10,$A179,$B179)</f>
        <v>1159.4224614605216</v>
      </c>
      <c r="V179" s="4">
        <f ca="1">_xll.DBRW($B$1,$B$2,$B$7,$B$3,$B$4,$B$5,$F179,$B$6,V$10,$A179,$B179)</f>
        <v>1472.4763048077641</v>
      </c>
      <c r="W179" s="4">
        <f ca="1">_xll.DBRW($B$1,$B$2,$B$7,$B$3,$B$4,$B$5,$F179,$B$6,W$10,$A179,$B179)</f>
        <v>1432.0455863258667</v>
      </c>
      <c r="X179" s="4">
        <f ca="1">_xll.DBRW($B$1,$B$2,$B$7,$B$3,$B$4,$B$5,$F179,$B$6,X$10,$A179,$B179)</f>
        <v>1503.2540573368838</v>
      </c>
      <c r="Y179" s="4">
        <f ca="1">_xll.DBRW($B$1,$B$2,$B$7,$B$3,$B$4,$B$5,$F179,$B$6,Y$10,$A179,$B179)</f>
        <v>1488.1565649807653</v>
      </c>
      <c r="Z179" s="4">
        <f ca="1">_xll.DBRW($B$1,$B$2,$B$7,$B$3,$B$4,$B$5,$F179,$B$6,Z$10,$A179,$B179)</f>
        <v>1529.2145592993186</v>
      </c>
      <c r="AA179" s="4">
        <f ca="1">_xll.DBRW($B$1,$B$2,$B$7,$B$3,$B$4,$B$5,$F179,$B$6,AA$10,$A179,$B179)</f>
        <v>1392.8303566150544</v>
      </c>
      <c r="AB179" s="4">
        <f ca="1">_xll.DBRW($B$1,$B$2,$B$7,$B$3,$B$4,$B$5,$F179,$B$6,AB$10,$A179,$B179)</f>
        <v>1365.5376844186778</v>
      </c>
      <c r="AC179" s="4">
        <f ca="1">_xll.DBRW($B$1,$B$2,$B$7,$B$3,$B$4,$B$5,$F179,$B$6,AC$10,$A179,$B179)</f>
        <v>1467.1995616473491</v>
      </c>
      <c r="AD179" s="4">
        <f ca="1">_xll.DBRW($B$1,$B$2,$B$7,$B$3,$B$4,$B$5,$F179,$B$6,AD$10,$A179,$B179)</f>
        <v>1440.3291681383619</v>
      </c>
      <c r="AE179" s="4">
        <f ca="1">_xll.DBRW($B$1,$B$2,$B$7,$B$3,$B$4,$B$5,$F179,$B$6,AE$10,$A179,$B179)</f>
        <v>1500.9937681252668</v>
      </c>
    </row>
    <row r="180" spans="1:31">
      <c r="A180" s="1" t="s">
        <v>151</v>
      </c>
      <c r="B180" s="5" t="s">
        <v>43</v>
      </c>
      <c r="C180" s="5" t="s">
        <v>37</v>
      </c>
      <c r="D180" s="5" t="s">
        <v>38</v>
      </c>
      <c r="E180" s="5" t="s">
        <v>21</v>
      </c>
      <c r="F180" s="5" t="s">
        <v>24</v>
      </c>
      <c r="G180" s="6"/>
      <c r="H180" s="6"/>
      <c r="I180" s="6"/>
      <c r="J180" s="6"/>
      <c r="K180" s="6"/>
      <c r="L180" s="4">
        <f ca="1">_xll.DBRW($B$1,$B$2,$B$7,$B$3,$B$4,$B$5,$F180,$B$6,L$10,$A180,$B180)</f>
        <v>1345.9476296696446</v>
      </c>
      <c r="M180" s="4">
        <f ca="1">_xll.DBRW($B$1,$B$2,$B$7,$B$3,$B$4,$B$5,$F180,$B$6,M$10,$A180,$B180)</f>
        <v>1390.6998985977832</v>
      </c>
      <c r="N180" s="4">
        <f ca="1">_xll.DBRW($B$1,$B$2,$B$7,$B$3,$B$4,$B$5,$F180,$B$6,N$10,$A180,$B180)</f>
        <v>1409.9005266372071</v>
      </c>
      <c r="O180" s="4">
        <f ca="1">_xll.DBRW($B$1,$B$2,$B$7,$B$3,$B$4,$B$5,$F180,$B$6,O$10,$A180,$B180)</f>
        <v>1248.6067122135864</v>
      </c>
      <c r="P180" s="4">
        <f ca="1">_xll.DBRW($B$1,$B$2,$B$7,$B$3,$B$4,$B$5,$F180,$B$6,P$10,$A180,$B180)</f>
        <v>185.33881575817188</v>
      </c>
      <c r="Q180" s="4">
        <f ca="1">_xll.DBRW($B$1,$B$2,$B$7,$B$3,$B$4,$B$5,$F180,$B$6,Q$10,$A180,$B180)</f>
        <v>330.05025469451442</v>
      </c>
      <c r="R180" s="4">
        <f ca="1">_xll.DBRW($B$1,$B$2,$B$7,$B$3,$B$4,$B$5,$F180,$B$6,R$10,$A180,$B180)</f>
        <v>1541.8057453889514</v>
      </c>
      <c r="S180" s="4">
        <f ca="1">_xll.DBRW($B$1,$B$2,$B$7,$B$3,$B$4,$B$5,$F180,$B$6,S$10,$A180,$B180)</f>
        <v>1659.7783673302865</v>
      </c>
      <c r="T180" s="4">
        <f ca="1">_xll.DBRW($B$1,$B$2,$B$7,$B$3,$B$4,$B$5,$F180,$B$6,T$10,$A180,$B180)</f>
        <v>1343.7434189482422</v>
      </c>
      <c r="U180" s="4">
        <f ca="1">_xll.DBRW($B$1,$B$2,$B$7,$B$3,$B$4,$B$5,$F180,$B$6,U$10,$A180,$B180)</f>
        <v>1190.5897319298904</v>
      </c>
      <c r="V180" s="4">
        <f ca="1">_xll.DBRW($B$1,$B$2,$B$7,$B$3,$B$4,$B$5,$F180,$B$6,V$10,$A180,$B180)</f>
        <v>1508.259447087418</v>
      </c>
      <c r="W180" s="4">
        <f ca="1">_xll.DBRW($B$1,$B$2,$B$7,$B$3,$B$4,$B$5,$F180,$B$6,W$10,$A180,$B180)</f>
        <v>1432.0455863258667</v>
      </c>
      <c r="X180" s="4">
        <f ca="1">_xll.DBRW($B$1,$B$2,$B$7,$B$3,$B$4,$B$5,$F180,$B$6,X$10,$A180,$B180)</f>
        <v>1503.2540573368838</v>
      </c>
      <c r="Y180" s="4">
        <f ca="1">_xll.DBRW($B$1,$B$2,$B$7,$B$3,$B$4,$B$5,$F180,$B$6,Y$10,$A180,$B180)</f>
        <v>1488.1565649807653</v>
      </c>
      <c r="Z180" s="4">
        <f ca="1">_xll.DBRW($B$1,$B$2,$B$7,$B$3,$B$4,$B$5,$F180,$B$6,Z$10,$A180,$B180)</f>
        <v>1529.2145592993186</v>
      </c>
      <c r="AA180" s="4">
        <f ca="1">_xll.DBRW($B$1,$B$2,$B$7,$B$3,$B$4,$B$5,$F180,$B$6,AA$10,$A180,$B180)</f>
        <v>1392.8303566150544</v>
      </c>
      <c r="AB180" s="4">
        <f ca="1">_xll.DBRW($B$1,$B$2,$B$7,$B$3,$B$4,$B$5,$F180,$B$6,AB$10,$A180,$B180)</f>
        <v>1365.5376844186778</v>
      </c>
      <c r="AC180" s="4">
        <f ca="1">_xll.DBRW($B$1,$B$2,$B$7,$B$3,$B$4,$B$5,$F180,$B$6,AC$10,$A180,$B180)</f>
        <v>1427.1692058728668</v>
      </c>
      <c r="AD180" s="4">
        <f ca="1">_xll.DBRW($B$1,$B$2,$B$7,$B$3,$B$4,$B$5,$F180,$B$6,AD$10,$A180,$B180)</f>
        <v>1485.6225382056055</v>
      </c>
      <c r="AE180" s="4">
        <f ca="1">_xll.DBRW($B$1,$B$2,$B$7,$B$3,$B$4,$B$5,$F180,$B$6,AE$10,$A180,$B180)</f>
        <v>1486.4033062236847</v>
      </c>
    </row>
    <row r="181" spans="1:31">
      <c r="A181" s="1" t="s">
        <v>151</v>
      </c>
      <c r="B181" s="5" t="s">
        <v>216</v>
      </c>
      <c r="C181" s="5" t="s">
        <v>163</v>
      </c>
      <c r="D181" s="5" t="s">
        <v>21</v>
      </c>
      <c r="E181" s="5" t="s">
        <v>54</v>
      </c>
      <c r="F181" s="5" t="s">
        <v>24</v>
      </c>
      <c r="G181" s="6"/>
      <c r="H181" s="6"/>
      <c r="I181" s="6"/>
      <c r="J181" s="6"/>
      <c r="K181" s="6"/>
      <c r="L181" s="4">
        <f ca="1">_xll.DBRW($B$1,$B$2,$B$7,$B$3,$B$4,$B$5,$F181,$B$6,L$10,$A181,$B181)</f>
        <v>959.18301051524315</v>
      </c>
      <c r="M181" s="4">
        <f ca="1">_xll.DBRW($B$1,$B$2,$B$7,$B$3,$B$4,$B$5,$F181,$B$6,M$10,$A181,$B181)</f>
        <v>1004.1224123474658</v>
      </c>
      <c r="N181" s="4">
        <f ca="1">_xll.DBRW($B$1,$B$2,$B$7,$B$3,$B$4,$B$5,$F181,$B$6,N$10,$A181,$B181)</f>
        <v>1049.5403930440791</v>
      </c>
      <c r="O181" s="4">
        <f ca="1">_xll.DBRW($B$1,$B$2,$B$7,$B$3,$B$4,$B$5,$F181,$B$6,O$10,$A181,$B181)</f>
        <v>1018.0583872585131</v>
      </c>
      <c r="P181" s="4">
        <f ca="1">_xll.DBRW($B$1,$B$2,$B$7,$B$3,$B$4,$B$5,$F181,$B$6,P$10,$A181,$B181)</f>
        <v>1013.9553260481764</v>
      </c>
      <c r="Q181" s="4">
        <f ca="1">_xll.DBRW($B$1,$B$2,$B$7,$B$3,$B$4,$B$5,$F181,$B$6,Q$10,$A181,$B181)</f>
        <v>785.10894822493526</v>
      </c>
      <c r="R181" s="4">
        <f ca="1">_xll.DBRW($B$1,$B$2,$B$7,$B$3,$B$4,$B$5,$F181,$B$6,R$10,$A181,$B181)</f>
        <v>0</v>
      </c>
      <c r="S181" s="4">
        <f ca="1">_xll.DBRW($B$1,$B$2,$B$7,$B$3,$B$4,$B$5,$F181,$B$6,S$10,$A181,$B181)</f>
        <v>0</v>
      </c>
      <c r="T181" s="4">
        <f ca="1">_xll.DBRW($B$1,$B$2,$B$7,$B$3,$B$4,$B$5,$F181,$B$6,T$10,$A181,$B181)</f>
        <v>0</v>
      </c>
      <c r="U181" s="4">
        <f ca="1">_xll.DBRW($B$1,$B$2,$B$7,$B$3,$B$4,$B$5,$F181,$B$6,U$10,$A181,$B181)</f>
        <v>0</v>
      </c>
      <c r="V181" s="4">
        <f ca="1">_xll.DBRW($B$1,$B$2,$B$7,$B$3,$B$4,$B$5,$F181,$B$6,V$10,$A181,$B181)</f>
        <v>97.395080990284129</v>
      </c>
      <c r="W181" s="4">
        <f ca="1">_xll.DBRW($B$1,$B$2,$B$7,$B$3,$B$4,$B$5,$F181,$B$6,W$10,$A181,$B181)</f>
        <v>1549.2374814827006</v>
      </c>
      <c r="X181" s="4">
        <f ca="1">_xll.DBRW($B$1,$B$2,$B$7,$B$3,$B$4,$B$5,$F181,$B$6,X$10,$A181,$B181)</f>
        <v>1680.5420783355771</v>
      </c>
      <c r="Y181" s="4">
        <f ca="1">_xll.DBRW($B$1,$B$2,$B$7,$B$3,$B$4,$B$5,$F181,$B$6,Y$10,$A181,$B181)</f>
        <v>1685.8647417043803</v>
      </c>
      <c r="Z181" s="4">
        <f ca="1">_xll.DBRW($B$1,$B$2,$B$7,$B$3,$B$4,$B$5,$F181,$B$6,Z$10,$A181,$B181)</f>
        <v>1741.5632968073764</v>
      </c>
      <c r="AA181" s="4">
        <f ca="1">_xll.DBRW($B$1,$B$2,$B$7,$B$3,$B$4,$B$5,$F181,$B$6,AA$10,$A181,$B181)</f>
        <v>1642.6537752629997</v>
      </c>
      <c r="AB181" s="4">
        <f ca="1">_xll.DBRW($B$1,$B$2,$B$7,$B$3,$B$4,$B$5,$F181,$B$6,AB$10,$A181,$B181)</f>
        <v>1639.6797321322274</v>
      </c>
      <c r="AC181" s="4">
        <f ca="1">_xll.DBRW($B$1,$B$2,$B$7,$B$3,$B$4,$B$5,$F181,$B$6,AC$10,$A181,$B181)</f>
        <v>1295.8910552645193</v>
      </c>
      <c r="AD181" s="4">
        <f ca="1">_xll.DBRW($B$1,$B$2,$B$7,$B$3,$B$4,$B$5,$F181,$B$6,AD$10,$A181,$B181)</f>
        <v>0</v>
      </c>
      <c r="AE181" s="4">
        <f ca="1">_xll.DBRW($B$1,$B$2,$B$7,$B$3,$B$4,$B$5,$F181,$B$6,AE$10,$A181,$B181)</f>
        <v>0</v>
      </c>
    </row>
    <row r="182" spans="1:31">
      <c r="A182" s="1" t="s">
        <v>151</v>
      </c>
      <c r="B182" s="5" t="s">
        <v>56</v>
      </c>
      <c r="C182" s="5" t="s">
        <v>53</v>
      </c>
      <c r="D182" s="5" t="s">
        <v>54</v>
      </c>
      <c r="E182" s="5" t="s">
        <v>21</v>
      </c>
      <c r="F182" s="5" t="s">
        <v>24</v>
      </c>
      <c r="G182" s="6"/>
      <c r="H182" s="6"/>
      <c r="I182" s="6"/>
      <c r="J182" s="6"/>
      <c r="K182" s="6"/>
      <c r="L182" s="4">
        <f ca="1">_xll.DBRW($B$1,$B$2,$B$7,$B$3,$B$4,$B$5,$F182,$B$6,L$10,$A182,$B182)</f>
        <v>959.18301051524315</v>
      </c>
      <c r="M182" s="4">
        <f ca="1">_xll.DBRW($B$1,$B$2,$B$7,$B$3,$B$4,$B$5,$F182,$B$6,M$10,$A182,$B182)</f>
        <v>1004.1224123474658</v>
      </c>
      <c r="N182" s="4">
        <f ca="1">_xll.DBRW($B$1,$B$2,$B$7,$B$3,$B$4,$B$5,$F182,$B$6,N$10,$A182,$B182)</f>
        <v>1049.5403930440791</v>
      </c>
      <c r="O182" s="4">
        <f ca="1">_xll.DBRW($B$1,$B$2,$B$7,$B$3,$B$4,$B$5,$F182,$B$6,O$10,$A182,$B182)</f>
        <v>1018.0583872585131</v>
      </c>
      <c r="P182" s="4">
        <f ca="1">_xll.DBRW($B$1,$B$2,$B$7,$B$3,$B$4,$B$5,$F182,$B$6,P$10,$A182,$B182)</f>
        <v>1013.9553260481764</v>
      </c>
      <c r="Q182" s="4">
        <f ca="1">_xll.DBRW($B$1,$B$2,$B$7,$B$3,$B$4,$B$5,$F182,$B$6,Q$10,$A182,$B182)</f>
        <v>785.10894822493526</v>
      </c>
      <c r="R182" s="4">
        <f ca="1">_xll.DBRW($B$1,$B$2,$B$7,$B$3,$B$4,$B$5,$F182,$B$6,R$10,$A182,$B182)</f>
        <v>0</v>
      </c>
      <c r="S182" s="4">
        <f ca="1">_xll.DBRW($B$1,$B$2,$B$7,$B$3,$B$4,$B$5,$F182,$B$6,S$10,$A182,$B182)</f>
        <v>0</v>
      </c>
      <c r="T182" s="4">
        <f ca="1">_xll.DBRW($B$1,$B$2,$B$7,$B$3,$B$4,$B$5,$F182,$B$6,T$10,$A182,$B182)</f>
        <v>0</v>
      </c>
      <c r="U182" s="4">
        <f ca="1">_xll.DBRW($B$1,$B$2,$B$7,$B$3,$B$4,$B$5,$F182,$B$6,U$10,$A182,$B182)</f>
        <v>0</v>
      </c>
      <c r="V182" s="4">
        <f ca="1">_xll.DBRW($B$1,$B$2,$B$7,$B$3,$B$4,$B$5,$F182,$B$6,V$10,$A182,$B182)</f>
        <v>97.395080990284129</v>
      </c>
      <c r="W182" s="4">
        <f ca="1">_xll.DBRW($B$1,$B$2,$B$7,$B$3,$B$4,$B$5,$F182,$B$6,W$10,$A182,$B182)</f>
        <v>1549.2374814827006</v>
      </c>
      <c r="X182" s="4">
        <f ca="1">_xll.DBRW($B$1,$B$2,$B$7,$B$3,$B$4,$B$5,$F182,$B$6,X$10,$A182,$B182)</f>
        <v>1680.5420783355771</v>
      </c>
      <c r="Y182" s="4">
        <f ca="1">_xll.DBRW($B$1,$B$2,$B$7,$B$3,$B$4,$B$5,$F182,$B$6,Y$10,$A182,$B182)</f>
        <v>1685.8647417043803</v>
      </c>
      <c r="Z182" s="4">
        <f ca="1">_xll.DBRW($B$1,$B$2,$B$7,$B$3,$B$4,$B$5,$F182,$B$6,Z$10,$A182,$B182)</f>
        <v>1741.5632968073764</v>
      </c>
      <c r="AA182" s="4">
        <f ca="1">_xll.DBRW($B$1,$B$2,$B$7,$B$3,$B$4,$B$5,$F182,$B$6,AA$10,$A182,$B182)</f>
        <v>1642.6537752629997</v>
      </c>
      <c r="AB182" s="4">
        <f ca="1">_xll.DBRW($B$1,$B$2,$B$7,$B$3,$B$4,$B$5,$F182,$B$6,AB$10,$A182,$B182)</f>
        <v>1639.6797321322274</v>
      </c>
      <c r="AC182" s="4">
        <f ca="1">_xll.DBRW($B$1,$B$2,$B$7,$B$3,$B$4,$B$5,$F182,$B$6,AC$10,$A182,$B182)</f>
        <v>1244.0554130539388</v>
      </c>
      <c r="AD182" s="4">
        <f ca="1">_xll.DBRW($B$1,$B$2,$B$7,$B$3,$B$4,$B$5,$F182,$B$6,AD$10,$A182,$B182)</f>
        <v>0</v>
      </c>
      <c r="AE182" s="4">
        <f ca="1">_xll.DBRW($B$1,$B$2,$B$7,$B$3,$B$4,$B$5,$F182,$B$6,AE$10,$A182,$B182)</f>
        <v>0</v>
      </c>
    </row>
    <row r="183" spans="1:31">
      <c r="A183" s="1" t="s">
        <v>151</v>
      </c>
      <c r="B183" s="5" t="s">
        <v>217</v>
      </c>
      <c r="C183" s="5" t="s">
        <v>159</v>
      </c>
      <c r="D183" s="5" t="s">
        <v>21</v>
      </c>
      <c r="E183" s="5" t="s">
        <v>38</v>
      </c>
      <c r="F183" s="5" t="s">
        <v>24</v>
      </c>
      <c r="G183" s="6"/>
      <c r="H183" s="6"/>
      <c r="I183" s="6"/>
      <c r="J183" s="6"/>
      <c r="K183" s="6"/>
      <c r="L183" s="4">
        <f ca="1">_xll.DBRW($B$1,$B$2,$B$7,$B$3,$B$4,$B$5,$F183,$B$6,L$10,$A183,$B183)</f>
        <v>1168.8066856205749</v>
      </c>
      <c r="M183" s="4">
        <f ca="1">_xll.DBRW($B$1,$B$2,$B$7,$B$3,$B$4,$B$5,$F183,$B$6,M$10,$A183,$B183)</f>
        <v>1248.0640115621131</v>
      </c>
      <c r="N183" s="4">
        <f ca="1">_xll.DBRW($B$1,$B$2,$B$7,$B$3,$B$4,$B$5,$F183,$B$6,N$10,$A183,$B183)</f>
        <v>1254.2621568136192</v>
      </c>
      <c r="O183" s="4">
        <f ca="1">_xll.DBRW($B$1,$B$2,$B$7,$B$3,$B$4,$B$5,$F183,$B$6,O$10,$A183,$B183)</f>
        <v>1203.0845924974662</v>
      </c>
      <c r="P183" s="4">
        <f ca="1">_xll.DBRW($B$1,$B$2,$B$7,$B$3,$B$4,$B$5,$F183,$B$6,P$10,$A183,$B183)</f>
        <v>159.35673878272723</v>
      </c>
      <c r="Q183" s="4">
        <f ca="1">_xll.DBRW($B$1,$B$2,$B$7,$B$3,$B$4,$B$5,$F183,$B$6,Q$10,$A183,$B183)</f>
        <v>0</v>
      </c>
      <c r="R183" s="4">
        <f ca="1">_xll.DBRW($B$1,$B$2,$B$7,$B$3,$B$4,$B$5,$F183,$B$6,R$10,$A183,$B183)</f>
        <v>0</v>
      </c>
      <c r="S183" s="4">
        <f ca="1">_xll.DBRW($B$1,$B$2,$B$7,$B$3,$B$4,$B$5,$F183,$B$6,S$10,$A183,$B183)</f>
        <v>0</v>
      </c>
      <c r="T183" s="4">
        <f ca="1">_xll.DBRW($B$1,$B$2,$B$7,$B$3,$B$4,$B$5,$F183,$B$6,T$10,$A183,$B183)</f>
        <v>1269.2670737942713</v>
      </c>
      <c r="U183" s="4">
        <f ca="1">_xll.DBRW($B$1,$B$2,$B$7,$B$3,$B$4,$B$5,$F183,$B$6,U$10,$A183,$B183)</f>
        <v>1125.1384639442153</v>
      </c>
      <c r="V183" s="4">
        <f ca="1">_xll.DBRW($B$1,$B$2,$B$7,$B$3,$B$4,$B$5,$F183,$B$6,V$10,$A183,$B183)</f>
        <v>1434.9040054141274</v>
      </c>
      <c r="W183" s="4">
        <f ca="1">_xll.DBRW($B$1,$B$2,$B$7,$B$3,$B$4,$B$5,$F183,$B$6,W$10,$A183,$B183)</f>
        <v>1295.8266159192599</v>
      </c>
      <c r="X183" s="4">
        <f ca="1">_xll.DBRW($B$1,$B$2,$B$7,$B$3,$B$4,$B$5,$F183,$B$6,X$10,$A183,$B183)</f>
        <v>1328.6425895919745</v>
      </c>
      <c r="Y183" s="4">
        <f ca="1">_xll.DBRW($B$1,$B$2,$B$7,$B$3,$B$4,$B$5,$F183,$B$6,Y$10,$A183,$B183)</f>
        <v>1347.5577238721535</v>
      </c>
      <c r="Z183" s="4">
        <f ca="1">_xll.DBRW($B$1,$B$2,$B$7,$B$3,$B$4,$B$5,$F183,$B$6,Z$10,$A183,$B183)</f>
        <v>1379.5390776697864</v>
      </c>
      <c r="AA183" s="4">
        <f ca="1">_xll.DBRW($B$1,$B$2,$B$7,$B$3,$B$4,$B$5,$F183,$B$6,AA$10,$A183,$B183)</f>
        <v>1239.9990304147068</v>
      </c>
      <c r="AB183" s="4">
        <f ca="1">_xll.DBRW($B$1,$B$2,$B$7,$B$3,$B$4,$B$5,$F183,$B$6,AB$10,$A183,$B183)</f>
        <v>1235.6450754129987</v>
      </c>
      <c r="AC183" s="4">
        <f ca="1">_xll.DBRW($B$1,$B$2,$B$7,$B$3,$B$4,$B$5,$F183,$B$6,AC$10,$A183,$B183)</f>
        <v>1320.1315154324011</v>
      </c>
      <c r="AD183" s="4">
        <f ca="1">_xll.DBRW($B$1,$B$2,$B$7,$B$3,$B$4,$B$5,$F183,$B$6,AD$10,$A183,$B183)</f>
        <v>1409.5296764926356</v>
      </c>
      <c r="AE183" s="4">
        <f ca="1">_xll.DBRW($B$1,$B$2,$B$7,$B$3,$B$4,$B$5,$F183,$B$6,AE$10,$A183,$B183)</f>
        <v>1441.7200166500891</v>
      </c>
    </row>
    <row r="184" spans="1:31">
      <c r="A184" s="1" t="s">
        <v>151</v>
      </c>
      <c r="B184" s="5" t="s">
        <v>44</v>
      </c>
      <c r="C184" s="5" t="s">
        <v>37</v>
      </c>
      <c r="D184" s="5" t="s">
        <v>38</v>
      </c>
      <c r="E184" s="5" t="s">
        <v>21</v>
      </c>
      <c r="F184" s="5" t="s">
        <v>24</v>
      </c>
      <c r="G184" s="6"/>
      <c r="H184" s="6"/>
      <c r="I184" s="6"/>
      <c r="J184" s="6"/>
      <c r="K184" s="6"/>
      <c r="L184" s="4">
        <f ca="1">_xll.DBRW($B$1,$B$2,$B$7,$B$3,$B$4,$B$5,$F184,$B$6,L$10,$A184,$B184)</f>
        <v>1198.7346076745271</v>
      </c>
      <c r="M184" s="4">
        <f ca="1">_xll.DBRW($B$1,$B$2,$B$7,$B$3,$B$4,$B$5,$F184,$B$6,M$10,$A184,$B184)</f>
        <v>1212.4050398031957</v>
      </c>
      <c r="N184" s="4">
        <f ca="1">_xll.DBRW($B$1,$B$2,$B$7,$B$3,$B$4,$B$5,$F184,$B$6,N$10,$A184,$B184)</f>
        <v>1221.8028176525504</v>
      </c>
      <c r="O184" s="4">
        <f ca="1">_xll.DBRW($B$1,$B$2,$B$7,$B$3,$B$4,$B$5,$F184,$B$6,O$10,$A184,$B184)</f>
        <v>1204.7103824873275</v>
      </c>
      <c r="P184" s="4">
        <f ca="1">_xll.DBRW($B$1,$B$2,$B$7,$B$3,$B$4,$B$5,$F184,$B$6,P$10,$A184,$B184)</f>
        <v>1205.568371660632</v>
      </c>
      <c r="Q184" s="4">
        <f ca="1">_xll.DBRW($B$1,$B$2,$B$7,$B$3,$B$4,$B$5,$F184,$B$6,Q$10,$A184,$B184)</f>
        <v>1067.0374711430609</v>
      </c>
      <c r="R184" s="4">
        <f ca="1">_xll.DBRW($B$1,$B$2,$B$7,$B$3,$B$4,$B$5,$F184,$B$6,R$10,$A184,$B184)</f>
        <v>0</v>
      </c>
      <c r="S184" s="4">
        <f ca="1">_xll.DBRW($B$1,$B$2,$B$7,$B$3,$B$4,$B$5,$F184,$B$6,S$10,$A184,$B184)</f>
        <v>0</v>
      </c>
      <c r="T184" s="4">
        <f ca="1">_xll.DBRW($B$1,$B$2,$B$7,$B$3,$B$4,$B$5,$F184,$B$6,T$10,$A184,$B184)</f>
        <v>1174.1908884913294</v>
      </c>
      <c r="U184" s="4">
        <f ca="1">_xll.DBRW($B$1,$B$2,$B$7,$B$3,$B$4,$B$5,$F184,$B$6,U$10,$A184,$B184)</f>
        <v>1031.6366525361091</v>
      </c>
      <c r="V184" s="4">
        <f ca="1">_xll.DBRW($B$1,$B$2,$B$7,$B$3,$B$4,$B$5,$F184,$B$6,V$10,$A184,$B184)</f>
        <v>1318.6087930052518</v>
      </c>
      <c r="W184" s="4">
        <f ca="1">_xll.DBRW($B$1,$B$2,$B$7,$B$3,$B$4,$B$5,$F184,$B$6,W$10,$A184,$B184)</f>
        <v>1295.8266159192599</v>
      </c>
      <c r="X184" s="4">
        <f ca="1">_xll.DBRW($B$1,$B$2,$B$7,$B$3,$B$4,$B$5,$F184,$B$6,X$10,$A184,$B184)</f>
        <v>1328.6425895919745</v>
      </c>
      <c r="Y184" s="4">
        <f ca="1">_xll.DBRW($B$1,$B$2,$B$7,$B$3,$B$4,$B$5,$F184,$B$6,Y$10,$A184,$B184)</f>
        <v>1347.5577238721535</v>
      </c>
      <c r="Z184" s="4">
        <f ca="1">_xll.DBRW($B$1,$B$2,$B$7,$B$3,$B$4,$B$5,$F184,$B$6,Z$10,$A184,$B184)</f>
        <v>1379.5390776697864</v>
      </c>
      <c r="AA184" s="4">
        <f ca="1">_xll.DBRW($B$1,$B$2,$B$7,$B$3,$B$4,$B$5,$F184,$B$6,AA$10,$A184,$B184)</f>
        <v>1239.9990304147068</v>
      </c>
      <c r="AB184" s="4">
        <f ca="1">_xll.DBRW($B$1,$B$2,$B$7,$B$3,$B$4,$B$5,$F184,$B$6,AB$10,$A184,$B184)</f>
        <v>1235.6450754129987</v>
      </c>
      <c r="AC184" s="4">
        <f ca="1">_xll.DBRW($B$1,$B$2,$B$7,$B$3,$B$4,$B$5,$F184,$B$6,AC$10,$A184,$B184)</f>
        <v>1272.2691335281288</v>
      </c>
      <c r="AD184" s="4">
        <f ca="1">_xll.DBRW($B$1,$B$2,$B$7,$B$3,$B$4,$B$5,$F184,$B$6,AD$10,$A184,$B184)</f>
        <v>1282.7082403043519</v>
      </c>
      <c r="AE184" s="4">
        <f ca="1">_xll.DBRW($B$1,$B$2,$B$7,$B$3,$B$4,$B$5,$F184,$B$6,AE$10,$A184,$B184)</f>
        <v>1281.224935732685</v>
      </c>
    </row>
    <row r="185" spans="1:31">
      <c r="A185" s="1" t="s">
        <v>151</v>
      </c>
      <c r="B185" s="5" t="s">
        <v>218</v>
      </c>
      <c r="C185" s="5" t="s">
        <v>219</v>
      </c>
      <c r="D185" s="5" t="s">
        <v>21</v>
      </c>
      <c r="E185" s="5" t="s">
        <v>49</v>
      </c>
      <c r="F185" s="5" t="s">
        <v>24</v>
      </c>
      <c r="G185" s="6"/>
      <c r="H185" s="6"/>
      <c r="I185" s="6"/>
      <c r="J185" s="6"/>
      <c r="K185" s="6"/>
      <c r="L185" s="4">
        <f ca="1">_xll.DBRW($B$1,$B$2,$B$7,$B$3,$B$4,$B$5,$F185,$B$6,L$10,$A185,$B185)</f>
        <v>970.33630133518761</v>
      </c>
      <c r="M185" s="4">
        <f ca="1">_xll.DBRW($B$1,$B$2,$B$7,$B$3,$B$4,$B$5,$F185,$B$6,M$10,$A185,$B185)</f>
        <v>971.37929020570061</v>
      </c>
      <c r="N185" s="4">
        <f ca="1">_xll.DBRW($B$1,$B$2,$B$7,$B$3,$B$4,$B$5,$F185,$B$6,N$10,$A185,$B185)</f>
        <v>960.21780640202974</v>
      </c>
      <c r="O185" s="4">
        <f ca="1">_xll.DBRW($B$1,$B$2,$B$7,$B$3,$B$4,$B$5,$F185,$B$6,O$10,$A185,$B185)</f>
        <v>972.81134782480115</v>
      </c>
      <c r="P185" s="4">
        <f ca="1">_xll.DBRW($B$1,$B$2,$B$7,$B$3,$B$4,$B$5,$F185,$B$6,P$10,$A185,$B185)</f>
        <v>992.14983516541997</v>
      </c>
      <c r="Q185" s="4">
        <f ca="1">_xll.DBRW($B$1,$B$2,$B$7,$B$3,$B$4,$B$5,$F185,$B$6,Q$10,$A185,$B185)</f>
        <v>1003.7606988658926</v>
      </c>
      <c r="R185" s="4">
        <f ca="1">_xll.DBRW($B$1,$B$2,$B$7,$B$3,$B$4,$B$5,$F185,$B$6,R$10,$A185,$B185)</f>
        <v>925.88596010771573</v>
      </c>
      <c r="S185" s="4">
        <f ca="1">_xll.DBRW($B$1,$B$2,$B$7,$B$3,$B$4,$B$5,$F185,$B$6,S$10,$A185,$B185)</f>
        <v>812.41783243008751</v>
      </c>
      <c r="T185" s="4">
        <f ca="1">_xll.DBRW($B$1,$B$2,$B$7,$B$3,$B$4,$B$5,$F185,$B$6,T$10,$A185,$B185)</f>
        <v>960.24686309780031</v>
      </c>
      <c r="U185" s="4">
        <f ca="1">_xll.DBRW($B$1,$B$2,$B$7,$B$3,$B$4,$B$5,$F185,$B$6,U$10,$A185,$B185)</f>
        <v>957.23989000327526</v>
      </c>
      <c r="V185" s="4">
        <f ca="1">_xll.DBRW($B$1,$B$2,$B$7,$B$3,$B$4,$B$5,$F185,$B$6,V$10,$A185,$B185)</f>
        <v>1092.3595877868008</v>
      </c>
      <c r="W185" s="4">
        <f ca="1">_xll.DBRW($B$1,$B$2,$B$7,$B$3,$B$4,$B$5,$F185,$B$6,W$10,$A185,$B185)</f>
        <v>1078.8837454684763</v>
      </c>
      <c r="X185" s="4">
        <f ca="1">_xll.DBRW($B$1,$B$2,$B$7,$B$3,$B$4,$B$5,$F185,$B$6,X$10,$A185,$B185)</f>
        <v>1104.7547729866596</v>
      </c>
      <c r="Y185" s="4">
        <f ca="1">_xll.DBRW($B$1,$B$2,$B$7,$B$3,$B$4,$B$5,$F185,$B$6,Y$10,$A185,$B185)</f>
        <v>1067.7511815505659</v>
      </c>
      <c r="Z185" s="4">
        <f ca="1">_xll.DBRW($B$1,$B$2,$B$7,$B$3,$B$4,$B$5,$F185,$B$6,Z$10,$A185,$B185)</f>
        <v>1105.9466161307334</v>
      </c>
      <c r="AA185" s="4">
        <f ca="1">_xll.DBRW($B$1,$B$2,$B$7,$B$3,$B$4,$B$5,$F185,$B$6,AA$10,$A185,$B185)</f>
        <v>1120.4514341301042</v>
      </c>
      <c r="AB185" s="4">
        <f ca="1">_xll.DBRW($B$1,$B$2,$B$7,$B$3,$B$4,$B$5,$F185,$B$6,AB$10,$A185,$B185)</f>
        <v>1073.2949042717496</v>
      </c>
      <c r="AC185" s="4">
        <f ca="1">_xll.DBRW($B$1,$B$2,$B$7,$B$3,$B$4,$B$5,$F185,$B$6,AC$10,$A185,$B185)</f>
        <v>1098.2952660497294</v>
      </c>
      <c r="AD185" s="4">
        <f ca="1">_xll.DBRW($B$1,$B$2,$B$7,$B$3,$B$4,$B$5,$F185,$B$6,AD$10,$A185,$B185)</f>
        <v>938.3137853270905</v>
      </c>
      <c r="AE185" s="4">
        <f ca="1">_xll.DBRW($B$1,$B$2,$B$7,$B$3,$B$4,$B$5,$F185,$B$6,AE$10,$A185,$B185)</f>
        <v>859.97272586974623</v>
      </c>
    </row>
    <row r="186" spans="1:31">
      <c r="A186" s="1" t="s">
        <v>151</v>
      </c>
      <c r="B186" s="5" t="s">
        <v>47</v>
      </c>
      <c r="C186" s="5" t="s">
        <v>48</v>
      </c>
      <c r="D186" s="5" t="s">
        <v>49</v>
      </c>
      <c r="E186" s="5" t="s">
        <v>21</v>
      </c>
      <c r="F186" s="5" t="s">
        <v>24</v>
      </c>
      <c r="G186" s="6"/>
      <c r="H186" s="6"/>
      <c r="I186" s="6"/>
      <c r="J186" s="6"/>
      <c r="K186" s="6"/>
      <c r="L186" s="4">
        <f ca="1">_xll.DBRW($B$1,$B$2,$B$7,$B$3,$B$4,$B$5,$F186,$B$6,L$10,$A186,$B186)</f>
        <v>970.33630133518761</v>
      </c>
      <c r="M186" s="4">
        <f ca="1">_xll.DBRW($B$1,$B$2,$B$7,$B$3,$B$4,$B$5,$F186,$B$6,M$10,$A186,$B186)</f>
        <v>971.37929020570061</v>
      </c>
      <c r="N186" s="4">
        <f ca="1">_xll.DBRW($B$1,$B$2,$B$7,$B$3,$B$4,$B$5,$F186,$B$6,N$10,$A186,$B186)</f>
        <v>960.21780640202974</v>
      </c>
      <c r="O186" s="4">
        <f ca="1">_xll.DBRW($B$1,$B$2,$B$7,$B$3,$B$4,$B$5,$F186,$B$6,O$10,$A186,$B186)</f>
        <v>972.81134782480115</v>
      </c>
      <c r="P186" s="4">
        <f ca="1">_xll.DBRW($B$1,$B$2,$B$7,$B$3,$B$4,$B$5,$F186,$B$6,P$10,$A186,$B186)</f>
        <v>992.14983516541997</v>
      </c>
      <c r="Q186" s="4">
        <f ca="1">_xll.DBRW($B$1,$B$2,$B$7,$B$3,$B$4,$B$5,$F186,$B$6,Q$10,$A186,$B186)</f>
        <v>1003.7606988658926</v>
      </c>
      <c r="R186" s="4">
        <f ca="1">_xll.DBRW($B$1,$B$2,$B$7,$B$3,$B$4,$B$5,$F186,$B$6,R$10,$A186,$B186)</f>
        <v>925.88596010771573</v>
      </c>
      <c r="S186" s="4">
        <f ca="1">_xll.DBRW($B$1,$B$2,$B$7,$B$3,$B$4,$B$5,$F186,$B$6,S$10,$A186,$B186)</f>
        <v>812.41783243008751</v>
      </c>
      <c r="T186" s="4">
        <f ca="1">_xll.DBRW($B$1,$B$2,$B$7,$B$3,$B$4,$B$5,$F186,$B$6,T$10,$A186,$B186)</f>
        <v>960.24686309780031</v>
      </c>
      <c r="U186" s="4">
        <f ca="1">_xll.DBRW($B$1,$B$2,$B$7,$B$3,$B$4,$B$5,$F186,$B$6,U$10,$A186,$B186)</f>
        <v>957.23989000327526</v>
      </c>
      <c r="V186" s="4">
        <f ca="1">_xll.DBRW($B$1,$B$2,$B$7,$B$3,$B$4,$B$5,$F186,$B$6,V$10,$A186,$B186)</f>
        <v>1092.3595877868008</v>
      </c>
      <c r="W186" s="4">
        <f ca="1">_xll.DBRW($B$1,$B$2,$B$7,$B$3,$B$4,$B$5,$F186,$B$6,W$10,$A186,$B186)</f>
        <v>1078.8837454684763</v>
      </c>
      <c r="X186" s="4">
        <f ca="1">_xll.DBRW($B$1,$B$2,$B$7,$B$3,$B$4,$B$5,$F186,$B$6,X$10,$A186,$B186)</f>
        <v>1104.7547729866596</v>
      </c>
      <c r="Y186" s="4">
        <f ca="1">_xll.DBRW($B$1,$B$2,$B$7,$B$3,$B$4,$B$5,$F186,$B$6,Y$10,$A186,$B186)</f>
        <v>1067.7511815505659</v>
      </c>
      <c r="Z186" s="4">
        <f ca="1">_xll.DBRW($B$1,$B$2,$B$7,$B$3,$B$4,$B$5,$F186,$B$6,Z$10,$A186,$B186)</f>
        <v>1105.9466161307334</v>
      </c>
      <c r="AA186" s="4">
        <f ca="1">_xll.DBRW($B$1,$B$2,$B$7,$B$3,$B$4,$B$5,$F186,$B$6,AA$10,$A186,$B186)</f>
        <v>1120.4514341301042</v>
      </c>
      <c r="AB186" s="4">
        <f ca="1">_xll.DBRW($B$1,$B$2,$B$7,$B$3,$B$4,$B$5,$F186,$B$6,AB$10,$A186,$B186)</f>
        <v>1073.2949042717496</v>
      </c>
      <c r="AC186" s="4">
        <f ca="1">_xll.DBRW($B$1,$B$2,$B$7,$B$3,$B$4,$B$5,$F186,$B$6,AC$10,$A186,$B186)</f>
        <v>1062.8663864997382</v>
      </c>
      <c r="AD186" s="4">
        <f ca="1">_xll.DBRW($B$1,$B$2,$B$7,$B$3,$B$4,$B$5,$F186,$B$6,AD$10,$A186,$B186)</f>
        <v>938.3137853270905</v>
      </c>
      <c r="AE186" s="4">
        <f ca="1">_xll.DBRW($B$1,$B$2,$B$7,$B$3,$B$4,$B$5,$F186,$B$6,AE$10,$A186,$B186)</f>
        <v>859.97272586974623</v>
      </c>
    </row>
    <row r="187" spans="1:31">
      <c r="A187" s="1" t="s">
        <v>151</v>
      </c>
      <c r="B187" s="5" t="s">
        <v>220</v>
      </c>
      <c r="C187" s="5" t="s">
        <v>166</v>
      </c>
      <c r="D187" s="5" t="s">
        <v>21</v>
      </c>
      <c r="E187" s="5" t="s">
        <v>31</v>
      </c>
      <c r="F187" s="5" t="s">
        <v>24</v>
      </c>
      <c r="G187" s="6"/>
      <c r="H187" s="6"/>
      <c r="I187" s="6"/>
      <c r="J187" s="6"/>
      <c r="K187" s="6"/>
      <c r="L187" s="4">
        <f ca="1">_xll.DBRW($B$1,$B$2,$B$7,$B$3,$B$4,$B$5,$F187,$B$6,L$10,$A187,$B187)</f>
        <v>1178.6509911657677</v>
      </c>
      <c r="M187" s="4">
        <f ca="1">_xll.DBRW($B$1,$B$2,$B$7,$B$3,$B$4,$B$5,$F187,$B$6,M$10,$A187,$B187)</f>
        <v>1352.218181961254</v>
      </c>
      <c r="N187" s="4">
        <f ca="1">_xll.DBRW($B$1,$B$2,$B$7,$B$3,$B$4,$B$5,$F187,$B$6,N$10,$A187,$B187)</f>
        <v>1169.5496102583165</v>
      </c>
      <c r="O187" s="4">
        <f ca="1">_xll.DBRW($B$1,$B$2,$B$7,$B$3,$B$4,$B$5,$F187,$B$6,O$10,$A187,$B187)</f>
        <v>1263.3724052021157</v>
      </c>
      <c r="P187" s="4">
        <f ca="1">_xll.DBRW($B$1,$B$2,$B$7,$B$3,$B$4,$B$5,$F187,$B$6,P$10,$A187,$B187)</f>
        <v>1282.7028093946067</v>
      </c>
      <c r="Q187" s="4">
        <f ca="1">_xll.DBRW($B$1,$B$2,$B$7,$B$3,$B$4,$B$5,$F187,$B$6,Q$10,$A187,$B187)</f>
        <v>1085.2028888479181</v>
      </c>
      <c r="R187" s="4">
        <f ca="1">_xll.DBRW($B$1,$B$2,$B$7,$B$3,$B$4,$B$5,$F187,$B$6,R$10,$A187,$B187)</f>
        <v>0</v>
      </c>
      <c r="S187" s="4">
        <f ca="1">_xll.DBRW($B$1,$B$2,$B$7,$B$3,$B$4,$B$5,$F187,$B$6,S$10,$A187,$B187)</f>
        <v>0</v>
      </c>
      <c r="T187" s="4">
        <f ca="1">_xll.DBRW($B$1,$B$2,$B$7,$B$3,$B$4,$B$5,$F187,$B$6,T$10,$A187,$B187)</f>
        <v>0</v>
      </c>
      <c r="U187" s="4">
        <f ca="1">_xll.DBRW($B$1,$B$2,$B$7,$B$3,$B$4,$B$5,$F187,$B$6,U$10,$A187,$B187)</f>
        <v>0</v>
      </c>
      <c r="V187" s="4">
        <f ca="1">_xll.DBRW($B$1,$B$2,$B$7,$B$3,$B$4,$B$5,$F187,$B$6,V$10,$A187,$B187)</f>
        <v>68.779942948932316</v>
      </c>
      <c r="W187" s="4">
        <f ca="1">_xll.DBRW($B$1,$B$2,$B$7,$B$3,$B$4,$B$5,$F187,$B$6,W$10,$A187,$B187)</f>
        <v>952.6400889310687</v>
      </c>
      <c r="X187" s="4">
        <f ca="1">_xll.DBRW($B$1,$B$2,$B$7,$B$3,$B$4,$B$5,$F187,$B$6,X$10,$A187,$B187)</f>
        <v>1182.6717654579131</v>
      </c>
      <c r="Y187" s="4">
        <f ca="1">_xll.DBRW($B$1,$B$2,$B$7,$B$3,$B$4,$B$5,$F187,$B$6,Y$10,$A187,$B187)</f>
        <v>1090.4514324071724</v>
      </c>
      <c r="Z187" s="4">
        <f ca="1">_xll.DBRW($B$1,$B$2,$B$7,$B$3,$B$4,$B$5,$F187,$B$6,Z$10,$A187,$B187)</f>
        <v>1198.1298033534085</v>
      </c>
      <c r="AA187" s="4">
        <f ca="1">_xll.DBRW($B$1,$B$2,$B$7,$B$3,$B$4,$B$5,$F187,$B$6,AA$10,$A187,$B187)</f>
        <v>1357.1779763715986</v>
      </c>
      <c r="AB187" s="4">
        <f ca="1">_xll.DBRW($B$1,$B$2,$B$7,$B$3,$B$4,$B$5,$F187,$B$6,AB$10,$A187,$B187)</f>
        <v>1194.6960929535317</v>
      </c>
      <c r="AC187" s="4">
        <f ca="1">_xll.DBRW($B$1,$B$2,$B$7,$B$3,$B$4,$B$5,$F187,$B$6,AC$10,$A187,$B187)</f>
        <v>1110.3261426465936</v>
      </c>
      <c r="AD187" s="4">
        <f ca="1">_xll.DBRW($B$1,$B$2,$B$7,$B$3,$B$4,$B$5,$F187,$B$6,AD$10,$A187,$B187)</f>
        <v>0</v>
      </c>
      <c r="AE187" s="4">
        <f ca="1">_xll.DBRW($B$1,$B$2,$B$7,$B$3,$B$4,$B$5,$F187,$B$6,AE$10,$A187,$B187)</f>
        <v>0</v>
      </c>
    </row>
    <row r="188" spans="1:31">
      <c r="A188" s="1" t="s">
        <v>151</v>
      </c>
      <c r="B188" s="5" t="s">
        <v>32</v>
      </c>
      <c r="C188" s="5" t="s">
        <v>30</v>
      </c>
      <c r="D188" s="5" t="s">
        <v>31</v>
      </c>
      <c r="E188" s="5" t="s">
        <v>21</v>
      </c>
      <c r="F188" s="5" t="s">
        <v>24</v>
      </c>
      <c r="G188" s="6"/>
      <c r="H188" s="6"/>
      <c r="I188" s="6"/>
      <c r="J188" s="6"/>
      <c r="K188" s="6"/>
      <c r="L188" s="4">
        <f ca="1">_xll.DBRW($B$1,$B$2,$B$7,$B$3,$B$4,$B$5,$F188,$B$6,L$10,$A188,$B188)</f>
        <v>1178.6509911657677</v>
      </c>
      <c r="M188" s="4">
        <f ca="1">_xll.DBRW($B$1,$B$2,$B$7,$B$3,$B$4,$B$5,$F188,$B$6,M$10,$A188,$B188)</f>
        <v>1352.218181961254</v>
      </c>
      <c r="N188" s="4">
        <f ca="1">_xll.DBRW($B$1,$B$2,$B$7,$B$3,$B$4,$B$5,$F188,$B$6,N$10,$A188,$B188)</f>
        <v>1169.5496102583165</v>
      </c>
      <c r="O188" s="4">
        <f ca="1">_xll.DBRW($B$1,$B$2,$B$7,$B$3,$B$4,$B$5,$F188,$B$6,O$10,$A188,$B188)</f>
        <v>1263.3724052021157</v>
      </c>
      <c r="P188" s="4">
        <f ca="1">_xll.DBRW($B$1,$B$2,$B$7,$B$3,$B$4,$B$5,$F188,$B$6,P$10,$A188,$B188)</f>
        <v>1282.7028093946067</v>
      </c>
      <c r="Q188" s="4">
        <f ca="1">_xll.DBRW($B$1,$B$2,$B$7,$B$3,$B$4,$B$5,$F188,$B$6,Q$10,$A188,$B188)</f>
        <v>1085.2028888479181</v>
      </c>
      <c r="R188" s="4">
        <f ca="1">_xll.DBRW($B$1,$B$2,$B$7,$B$3,$B$4,$B$5,$F188,$B$6,R$10,$A188,$B188)</f>
        <v>0</v>
      </c>
      <c r="S188" s="4">
        <f ca="1">_xll.DBRW($B$1,$B$2,$B$7,$B$3,$B$4,$B$5,$F188,$B$6,S$10,$A188,$B188)</f>
        <v>0</v>
      </c>
      <c r="T188" s="4">
        <f ca="1">_xll.DBRW($B$1,$B$2,$B$7,$B$3,$B$4,$B$5,$F188,$B$6,T$10,$A188,$B188)</f>
        <v>0</v>
      </c>
      <c r="U188" s="4">
        <f ca="1">_xll.DBRW($B$1,$B$2,$B$7,$B$3,$B$4,$B$5,$F188,$B$6,U$10,$A188,$B188)</f>
        <v>0</v>
      </c>
      <c r="V188" s="4">
        <f ca="1">_xll.DBRW($B$1,$B$2,$B$7,$B$3,$B$4,$B$5,$F188,$B$6,V$10,$A188,$B188)</f>
        <v>68.779942948932316</v>
      </c>
      <c r="W188" s="4">
        <f ca="1">_xll.DBRW($B$1,$B$2,$B$7,$B$3,$B$4,$B$5,$F188,$B$6,W$10,$A188,$B188)</f>
        <v>952.6400889310687</v>
      </c>
      <c r="X188" s="4">
        <f ca="1">_xll.DBRW($B$1,$B$2,$B$7,$B$3,$B$4,$B$5,$F188,$B$6,X$10,$A188,$B188)</f>
        <v>1182.6717654579131</v>
      </c>
      <c r="Y188" s="4">
        <f ca="1">_xll.DBRW($B$1,$B$2,$B$7,$B$3,$B$4,$B$5,$F188,$B$6,Y$10,$A188,$B188)</f>
        <v>1090.4514324071724</v>
      </c>
      <c r="Z188" s="4">
        <f ca="1">_xll.DBRW($B$1,$B$2,$B$7,$B$3,$B$4,$B$5,$F188,$B$6,Z$10,$A188,$B188)</f>
        <v>1198.1298033534085</v>
      </c>
      <c r="AA188" s="4">
        <f ca="1">_xll.DBRW($B$1,$B$2,$B$7,$B$3,$B$4,$B$5,$F188,$B$6,AA$10,$A188,$B188)</f>
        <v>1357.1779763715986</v>
      </c>
      <c r="AB188" s="4">
        <f ca="1">_xll.DBRW($B$1,$B$2,$B$7,$B$3,$B$4,$B$5,$F188,$B$6,AB$10,$A188,$B188)</f>
        <v>1194.6960929535317</v>
      </c>
      <c r="AC188" s="4">
        <f ca="1">_xll.DBRW($B$1,$B$2,$B$7,$B$3,$B$4,$B$5,$F188,$B$6,AC$10,$A188,$B188)</f>
        <v>1066.4472744664017</v>
      </c>
      <c r="AD188" s="4">
        <f ca="1">_xll.DBRW($B$1,$B$2,$B$7,$B$3,$B$4,$B$5,$F188,$B$6,AD$10,$A188,$B188)</f>
        <v>0</v>
      </c>
      <c r="AE188" s="4">
        <f ca="1">_xll.DBRW($B$1,$B$2,$B$7,$B$3,$B$4,$B$5,$F188,$B$6,AE$10,$A188,$B188)</f>
        <v>0</v>
      </c>
    </row>
    <row r="189" spans="1:31">
      <c r="A189" s="1" t="s">
        <v>151</v>
      </c>
      <c r="B189" s="5" t="s">
        <v>221</v>
      </c>
      <c r="C189" s="5" t="s">
        <v>193</v>
      </c>
      <c r="D189" s="5" t="s">
        <v>21</v>
      </c>
      <c r="E189" s="5" t="s">
        <v>194</v>
      </c>
      <c r="F189" s="5" t="s">
        <v>24</v>
      </c>
      <c r="G189" s="6"/>
      <c r="H189" s="6"/>
      <c r="I189" s="6"/>
      <c r="J189" s="6"/>
      <c r="K189" s="6"/>
      <c r="L189" s="4">
        <f ca="1">_xll.DBRW($B$1,$B$2,$B$7,$B$3,$B$4,$B$5,$F189,$B$6,L$10,$A189,$B189)</f>
        <v>242.85391301492464</v>
      </c>
      <c r="M189" s="4">
        <f ca="1">_xll.DBRW($B$1,$B$2,$B$7,$B$3,$B$4,$B$5,$F189,$B$6,M$10,$A189,$B189)</f>
        <v>238.66097916664404</v>
      </c>
      <c r="N189" s="4">
        <f ca="1">_xll.DBRW($B$1,$B$2,$B$7,$B$3,$B$4,$B$5,$F189,$B$6,N$10,$A189,$B189)</f>
        <v>265.8067296041628</v>
      </c>
      <c r="O189" s="4">
        <f ca="1">_xll.DBRW($B$1,$B$2,$B$7,$B$3,$B$4,$B$5,$F189,$B$6,O$10,$A189,$B189)</f>
        <v>236.45227058907395</v>
      </c>
      <c r="P189" s="4">
        <f ca="1">_xll.DBRW($B$1,$B$2,$B$7,$B$3,$B$4,$B$5,$F189,$B$6,P$10,$A189,$B189)</f>
        <v>258.75849180871029</v>
      </c>
      <c r="Q189" s="4">
        <f ca="1">_xll.DBRW($B$1,$B$2,$B$7,$B$3,$B$4,$B$5,$F189,$B$6,Q$10,$A189,$B189)</f>
        <v>291.41439644493664</v>
      </c>
      <c r="R189" s="4">
        <f ca="1">_xll.DBRW($B$1,$B$2,$B$7,$B$3,$B$4,$B$5,$F189,$B$6,R$10,$A189,$B189)</f>
        <v>261.42662403041385</v>
      </c>
      <c r="S189" s="4">
        <f ca="1">_xll.DBRW($B$1,$B$2,$B$7,$B$3,$B$4,$B$5,$F189,$B$6,S$10,$A189,$B189)</f>
        <v>209.6562148206678</v>
      </c>
      <c r="T189" s="4">
        <f ca="1">_xll.DBRW($B$1,$B$2,$B$7,$B$3,$B$4,$B$5,$F189,$B$6,T$10,$A189,$B189)</f>
        <v>302.09382156361329</v>
      </c>
      <c r="U189" s="4">
        <f ca="1">_xll.DBRW($B$1,$B$2,$B$7,$B$3,$B$4,$B$5,$F189,$B$6,U$10,$A189,$B189)</f>
        <v>254.7014328130337</v>
      </c>
      <c r="V189" s="4">
        <f ca="1">_xll.DBRW($B$1,$B$2,$B$7,$B$3,$B$4,$B$5,$F189,$B$6,V$10,$A189,$B189)</f>
        <v>300.88186323270708</v>
      </c>
      <c r="W189" s="4">
        <f ca="1">_xll.DBRW($B$1,$B$2,$B$7,$B$3,$B$4,$B$5,$F189,$B$6,W$10,$A189,$B189)</f>
        <v>296.5468542862879</v>
      </c>
      <c r="X189" s="4">
        <f ca="1">_xll.DBRW($B$1,$B$2,$B$7,$B$3,$B$4,$B$5,$F189,$B$6,X$10,$A189,$B189)</f>
        <v>305.385349038752</v>
      </c>
      <c r="Y189" s="4">
        <f ca="1">_xll.DBRW($B$1,$B$2,$B$7,$B$3,$B$4,$B$5,$F189,$B$6,Y$10,$A189,$B189)</f>
        <v>278.26982498711703</v>
      </c>
      <c r="Z189" s="4">
        <f ca="1">_xll.DBRW($B$1,$B$2,$B$7,$B$3,$B$4,$B$5,$F189,$B$6,Z$10,$A189,$B189)</f>
        <v>340.66856330952908</v>
      </c>
      <c r="AA189" s="4">
        <f ca="1">_xll.DBRW($B$1,$B$2,$B$7,$B$3,$B$4,$B$5,$F189,$B$6,AA$10,$A189,$B189)</f>
        <v>263.06543454383376</v>
      </c>
      <c r="AB189" s="4">
        <f ca="1">_xll.DBRW($B$1,$B$2,$B$7,$B$3,$B$4,$B$5,$F189,$B$6,AB$10,$A189,$B189)</f>
        <v>323.33173736558564</v>
      </c>
      <c r="AC189" s="4">
        <f ca="1">_xll.DBRW($B$1,$B$2,$B$7,$B$3,$B$4,$B$5,$F189,$B$6,AC$10,$A189,$B189)</f>
        <v>288.29116552161202</v>
      </c>
      <c r="AD189" s="4">
        <f ca="1">_xll.DBRW($B$1,$B$2,$B$7,$B$3,$B$4,$B$5,$F189,$B$6,AD$10,$A189,$B189)</f>
        <v>280.13206107581595</v>
      </c>
      <c r="AE189" s="4">
        <f ca="1">_xll.DBRW($B$1,$B$2,$B$7,$B$3,$B$4,$B$5,$F189,$B$6,AE$10,$A189,$B189)</f>
        <v>280.79112032107821</v>
      </c>
    </row>
    <row r="190" spans="1:31">
      <c r="A190" s="1" t="s">
        <v>151</v>
      </c>
      <c r="B190" s="5" t="s">
        <v>222</v>
      </c>
      <c r="C190" s="5" t="s">
        <v>196</v>
      </c>
      <c r="D190" s="5" t="s">
        <v>194</v>
      </c>
      <c r="E190" s="5" t="s">
        <v>21</v>
      </c>
      <c r="F190" s="5" t="s">
        <v>24</v>
      </c>
      <c r="G190" s="6"/>
      <c r="H190" s="6"/>
      <c r="I190" s="6"/>
      <c r="J190" s="6"/>
      <c r="K190" s="6"/>
      <c r="L190" s="4">
        <f ca="1">_xll.DBRW($B$1,$B$2,$B$7,$B$3,$B$4,$B$5,$F190,$B$6,L$10,$A190,$B190)</f>
        <v>242.85391301492464</v>
      </c>
      <c r="M190" s="4">
        <f ca="1">_xll.DBRW($B$1,$B$2,$B$7,$B$3,$B$4,$B$5,$F190,$B$6,M$10,$A190,$B190)</f>
        <v>238.66097916664404</v>
      </c>
      <c r="N190" s="4">
        <f ca="1">_xll.DBRW($B$1,$B$2,$B$7,$B$3,$B$4,$B$5,$F190,$B$6,N$10,$A190,$B190)</f>
        <v>265.8067296041628</v>
      </c>
      <c r="O190" s="4">
        <f ca="1">_xll.DBRW($B$1,$B$2,$B$7,$B$3,$B$4,$B$5,$F190,$B$6,O$10,$A190,$B190)</f>
        <v>236.45227058907395</v>
      </c>
      <c r="P190" s="4">
        <f ca="1">_xll.DBRW($B$1,$B$2,$B$7,$B$3,$B$4,$B$5,$F190,$B$6,P$10,$A190,$B190)</f>
        <v>258.75849180871029</v>
      </c>
      <c r="Q190" s="4">
        <f ca="1">_xll.DBRW($B$1,$B$2,$B$7,$B$3,$B$4,$B$5,$F190,$B$6,Q$10,$A190,$B190)</f>
        <v>291.41439644493664</v>
      </c>
      <c r="R190" s="4">
        <f ca="1">_xll.DBRW($B$1,$B$2,$B$7,$B$3,$B$4,$B$5,$F190,$B$6,R$10,$A190,$B190)</f>
        <v>261.42662403041385</v>
      </c>
      <c r="S190" s="4">
        <f ca="1">_xll.DBRW($B$1,$B$2,$B$7,$B$3,$B$4,$B$5,$F190,$B$6,S$10,$A190,$B190)</f>
        <v>209.6562148206678</v>
      </c>
      <c r="T190" s="4">
        <f ca="1">_xll.DBRW($B$1,$B$2,$B$7,$B$3,$B$4,$B$5,$F190,$B$6,T$10,$A190,$B190)</f>
        <v>302.09382156361329</v>
      </c>
      <c r="U190" s="4">
        <f ca="1">_xll.DBRW($B$1,$B$2,$B$7,$B$3,$B$4,$B$5,$F190,$B$6,U$10,$A190,$B190)</f>
        <v>254.7014328130337</v>
      </c>
      <c r="V190" s="4">
        <f ca="1">_xll.DBRW($B$1,$B$2,$B$7,$B$3,$B$4,$B$5,$F190,$B$6,V$10,$A190,$B190)</f>
        <v>300.88186323270708</v>
      </c>
      <c r="W190" s="4">
        <f ca="1">_xll.DBRW($B$1,$B$2,$B$7,$B$3,$B$4,$B$5,$F190,$B$6,W$10,$A190,$B190)</f>
        <v>296.5468542862879</v>
      </c>
      <c r="X190" s="4">
        <f ca="1">_xll.DBRW($B$1,$B$2,$B$7,$B$3,$B$4,$B$5,$F190,$B$6,X$10,$A190,$B190)</f>
        <v>305.385349038752</v>
      </c>
      <c r="Y190" s="4">
        <f ca="1">_xll.DBRW($B$1,$B$2,$B$7,$B$3,$B$4,$B$5,$F190,$B$6,Y$10,$A190,$B190)</f>
        <v>278.26982498711703</v>
      </c>
      <c r="Z190" s="4">
        <f ca="1">_xll.DBRW($B$1,$B$2,$B$7,$B$3,$B$4,$B$5,$F190,$B$6,Z$10,$A190,$B190)</f>
        <v>340.66856330952908</v>
      </c>
      <c r="AA190" s="4">
        <f ca="1">_xll.DBRW($B$1,$B$2,$B$7,$B$3,$B$4,$B$5,$F190,$B$6,AA$10,$A190,$B190)</f>
        <v>263.06543454383376</v>
      </c>
      <c r="AB190" s="4">
        <f ca="1">_xll.DBRW($B$1,$B$2,$B$7,$B$3,$B$4,$B$5,$F190,$B$6,AB$10,$A190,$B190)</f>
        <v>323.33173736558564</v>
      </c>
      <c r="AC190" s="4">
        <f ca="1">_xll.DBRW($B$1,$B$2,$B$7,$B$3,$B$4,$B$5,$F190,$B$6,AC$10,$A190,$B190)</f>
        <v>288.29116552161202</v>
      </c>
      <c r="AD190" s="4">
        <f ca="1">_xll.DBRW($B$1,$B$2,$B$7,$B$3,$B$4,$B$5,$F190,$B$6,AD$10,$A190,$B190)</f>
        <v>280.13206107581595</v>
      </c>
      <c r="AE190" s="4">
        <f ca="1">_xll.DBRW($B$1,$B$2,$B$7,$B$3,$B$4,$B$5,$F190,$B$6,AE$10,$A190,$B190)</f>
        <v>249.59210695206951</v>
      </c>
    </row>
    <row r="191" spans="1:31">
      <c r="A191" s="1" t="s">
        <v>151</v>
      </c>
      <c r="B191" s="5" t="s">
        <v>223</v>
      </c>
      <c r="C191" s="5" t="s">
        <v>193</v>
      </c>
      <c r="D191" s="5" t="s">
        <v>21</v>
      </c>
      <c r="E191" s="5" t="s">
        <v>194</v>
      </c>
      <c r="F191" s="5" t="s">
        <v>24</v>
      </c>
      <c r="G191" s="6"/>
      <c r="H191" s="6"/>
      <c r="I191" s="6"/>
      <c r="J191" s="6"/>
      <c r="K191" s="6"/>
      <c r="L191" s="4">
        <f ca="1">_xll.DBRW($B$1,$B$2,$B$7,$B$3,$B$4,$B$5,$F191,$B$6,L$10,$A191,$B191)</f>
        <v>350.78898546600226</v>
      </c>
      <c r="M191" s="4">
        <f ca="1">_xll.DBRW($B$1,$B$2,$B$7,$B$3,$B$4,$B$5,$F191,$B$6,M$10,$A191,$B191)</f>
        <v>328.15884635413551</v>
      </c>
      <c r="N191" s="4">
        <f ca="1">_xll.DBRW($B$1,$B$2,$B$7,$B$3,$B$4,$B$5,$F191,$B$6,N$10,$A191,$B191)</f>
        <v>383.94305387267957</v>
      </c>
      <c r="O191" s="4">
        <f ca="1">_xll.DBRW($B$1,$B$2,$B$7,$B$3,$B$4,$B$5,$F191,$B$6,O$10,$A191,$B191)</f>
        <v>341.54216862866235</v>
      </c>
      <c r="P191" s="4">
        <f ca="1">_xll.DBRW($B$1,$B$2,$B$7,$B$3,$B$4,$B$5,$F191,$B$6,P$10,$A191,$B191)</f>
        <v>420.48254918915416</v>
      </c>
      <c r="Q191" s="4">
        <f ca="1">_xll.DBRW($B$1,$B$2,$B$7,$B$3,$B$4,$B$5,$F191,$B$6,Q$10,$A191,$B191)</f>
        <v>323.79377382770735</v>
      </c>
      <c r="R191" s="4">
        <f ca="1">_xll.DBRW($B$1,$B$2,$B$7,$B$3,$B$4,$B$5,$F191,$B$6,R$10,$A191,$B191)</f>
        <v>261.42662403041385</v>
      </c>
      <c r="S191" s="4">
        <f ca="1">_xll.DBRW($B$1,$B$2,$B$7,$B$3,$B$4,$B$5,$F191,$B$6,S$10,$A191,$B191)</f>
        <v>235.86324167325128</v>
      </c>
      <c r="T191" s="4">
        <f ca="1">_xll.DBRW($B$1,$B$2,$B$7,$B$3,$B$4,$B$5,$F191,$B$6,T$10,$A191,$B191)</f>
        <v>302.09382156361329</v>
      </c>
      <c r="U191" s="4">
        <f ca="1">_xll.DBRW($B$1,$B$2,$B$7,$B$3,$B$4,$B$5,$F191,$B$6,U$10,$A191,$B191)</f>
        <v>254.7014328130337</v>
      </c>
      <c r="V191" s="4">
        <f ca="1">_xll.DBRW($B$1,$B$2,$B$7,$B$3,$B$4,$B$5,$F191,$B$6,V$10,$A191,$B191)</f>
        <v>267.45054509573964</v>
      </c>
      <c r="W191" s="4">
        <f ca="1">_xll.DBRW($B$1,$B$2,$B$7,$B$3,$B$4,$B$5,$F191,$B$6,W$10,$A191,$B191)</f>
        <v>164.74825238127102</v>
      </c>
      <c r="X191" s="4">
        <f ca="1">_xll.DBRW($B$1,$B$2,$B$7,$B$3,$B$4,$B$5,$F191,$B$6,X$10,$A191,$B191)</f>
        <v>135.72682179500092</v>
      </c>
      <c r="Y191" s="4">
        <f ca="1">_xll.DBRW($B$1,$B$2,$B$7,$B$3,$B$4,$B$5,$F191,$B$6,Y$10,$A191,$B191)</f>
        <v>139.13491249355852</v>
      </c>
      <c r="Z191" s="4">
        <f ca="1">_xll.DBRW($B$1,$B$2,$B$7,$B$3,$B$4,$B$5,$F191,$B$6,Z$10,$A191,$B191)</f>
        <v>170.33428165476454</v>
      </c>
      <c r="AA191" s="4">
        <f ca="1">_xll.DBRW($B$1,$B$2,$B$7,$B$3,$B$4,$B$5,$F191,$B$6,AA$10,$A191,$B191)</f>
        <v>131.53271727191688</v>
      </c>
      <c r="AB191" s="4">
        <f ca="1">_xll.DBRW($B$1,$B$2,$B$7,$B$3,$B$4,$B$5,$F191,$B$6,AB$10,$A191,$B191)</f>
        <v>143.70299438470471</v>
      </c>
      <c r="AC191" s="4">
        <f ca="1">_xll.DBRW($B$1,$B$2,$B$7,$B$3,$B$4,$B$5,$F191,$B$6,AC$10,$A191,$B191)</f>
        <v>216.21837414120907</v>
      </c>
      <c r="AD191" s="4">
        <f ca="1">_xll.DBRW($B$1,$B$2,$B$7,$B$3,$B$4,$B$5,$F191,$B$6,AD$10,$A191,$B191)</f>
        <v>249.0062765118364</v>
      </c>
      <c r="AE191" s="4">
        <f ca="1">_xll.DBRW($B$1,$B$2,$B$7,$B$3,$B$4,$B$5,$F191,$B$6,AE$10,$A191,$B191)</f>
        <v>280.79112032107821</v>
      </c>
    </row>
    <row r="192" spans="1:31">
      <c r="A192" s="1" t="s">
        <v>151</v>
      </c>
      <c r="B192" s="5" t="s">
        <v>224</v>
      </c>
      <c r="C192" s="5" t="s">
        <v>196</v>
      </c>
      <c r="D192" s="5" t="s">
        <v>194</v>
      </c>
      <c r="E192" s="5" t="s">
        <v>21</v>
      </c>
      <c r="F192" s="5" t="s">
        <v>24</v>
      </c>
      <c r="G192" s="6"/>
      <c r="H192" s="6"/>
      <c r="I192" s="6"/>
      <c r="J192" s="6"/>
      <c r="K192" s="6"/>
      <c r="L192" s="4">
        <f ca="1">_xll.DBRW($B$1,$B$2,$B$7,$B$3,$B$4,$B$5,$F192,$B$6,L$10,$A192,$B192)</f>
        <v>350.78898546600226</v>
      </c>
      <c r="M192" s="4">
        <f ca="1">_xll.DBRW($B$1,$B$2,$B$7,$B$3,$B$4,$B$5,$F192,$B$6,M$10,$A192,$B192)</f>
        <v>328.15884635413551</v>
      </c>
      <c r="N192" s="4">
        <f ca="1">_xll.DBRW($B$1,$B$2,$B$7,$B$3,$B$4,$B$5,$F192,$B$6,N$10,$A192,$B192)</f>
        <v>383.94305387267957</v>
      </c>
      <c r="O192" s="4">
        <f ca="1">_xll.DBRW($B$1,$B$2,$B$7,$B$3,$B$4,$B$5,$F192,$B$6,O$10,$A192,$B192)</f>
        <v>341.54216862866235</v>
      </c>
      <c r="P192" s="4">
        <f ca="1">_xll.DBRW($B$1,$B$2,$B$7,$B$3,$B$4,$B$5,$F192,$B$6,P$10,$A192,$B192)</f>
        <v>420.48254918915416</v>
      </c>
      <c r="Q192" s="4">
        <f ca="1">_xll.DBRW($B$1,$B$2,$B$7,$B$3,$B$4,$B$5,$F192,$B$6,Q$10,$A192,$B192)</f>
        <v>356.17315121047807</v>
      </c>
      <c r="R192" s="4">
        <f ca="1">_xll.DBRW($B$1,$B$2,$B$7,$B$3,$B$4,$B$5,$F192,$B$6,R$10,$A192,$B192)</f>
        <v>261.42662403041385</v>
      </c>
      <c r="S192" s="4">
        <f ca="1">_xll.DBRW($B$1,$B$2,$B$7,$B$3,$B$4,$B$5,$F192,$B$6,S$10,$A192,$B192)</f>
        <v>235.86324167325128</v>
      </c>
      <c r="T192" s="4">
        <f ca="1">_xll.DBRW($B$1,$B$2,$B$7,$B$3,$B$4,$B$5,$F192,$B$6,T$10,$A192,$B192)</f>
        <v>302.09382156361329</v>
      </c>
      <c r="U192" s="4">
        <f ca="1">_xll.DBRW($B$1,$B$2,$B$7,$B$3,$B$4,$B$5,$F192,$B$6,U$10,$A192,$B192)</f>
        <v>254.7014328130337</v>
      </c>
      <c r="V192" s="4">
        <f ca="1">_xll.DBRW($B$1,$B$2,$B$7,$B$3,$B$4,$B$5,$F192,$B$6,V$10,$A192,$B192)</f>
        <v>267.45054509573964</v>
      </c>
      <c r="W192" s="4">
        <f ca="1">_xll.DBRW($B$1,$B$2,$B$7,$B$3,$B$4,$B$5,$F192,$B$6,W$10,$A192,$B192)</f>
        <v>164.74825238127102</v>
      </c>
      <c r="X192" s="4">
        <f ca="1">_xll.DBRW($B$1,$B$2,$B$7,$B$3,$B$4,$B$5,$F192,$B$6,X$10,$A192,$B192)</f>
        <v>135.72682179500092</v>
      </c>
      <c r="Y192" s="4">
        <f ca="1">_xll.DBRW($B$1,$B$2,$B$7,$B$3,$B$4,$B$5,$F192,$B$6,Y$10,$A192,$B192)</f>
        <v>139.13491249355852</v>
      </c>
      <c r="Z192" s="4">
        <f ca="1">_xll.DBRW($B$1,$B$2,$B$7,$B$3,$B$4,$B$5,$F192,$B$6,Z$10,$A192,$B192)</f>
        <v>170.33428165476454</v>
      </c>
      <c r="AA192" s="4">
        <f ca="1">_xll.DBRW($B$1,$B$2,$B$7,$B$3,$B$4,$B$5,$F192,$B$6,AA$10,$A192,$B192)</f>
        <v>131.53271727191688</v>
      </c>
      <c r="AB192" s="4">
        <f ca="1">_xll.DBRW($B$1,$B$2,$B$7,$B$3,$B$4,$B$5,$F192,$B$6,AB$10,$A192,$B192)</f>
        <v>143.70299438470471</v>
      </c>
      <c r="AC192" s="4">
        <f ca="1">_xll.DBRW($B$1,$B$2,$B$7,$B$3,$B$4,$B$5,$F192,$B$6,AC$10,$A192,$B192)</f>
        <v>216.21837414120907</v>
      </c>
      <c r="AD192" s="4">
        <f ca="1">_xll.DBRW($B$1,$B$2,$B$7,$B$3,$B$4,$B$5,$F192,$B$6,AD$10,$A192,$B192)</f>
        <v>249.0062765118364</v>
      </c>
      <c r="AE192" s="4">
        <f ca="1">_xll.DBRW($B$1,$B$2,$B$7,$B$3,$B$4,$B$5,$F192,$B$6,AE$10,$A192,$B192)</f>
        <v>280.79112032107821</v>
      </c>
    </row>
    <row r="193" spans="1:31">
      <c r="A193" s="1" t="s">
        <v>151</v>
      </c>
      <c r="B193" s="5" t="s">
        <v>225</v>
      </c>
      <c r="C193" s="5" t="s">
        <v>226</v>
      </c>
      <c r="D193" s="5" t="s">
        <v>21</v>
      </c>
      <c r="E193" s="5" t="s">
        <v>227</v>
      </c>
      <c r="F193" s="5" t="s">
        <v>24</v>
      </c>
      <c r="G193" s="6"/>
      <c r="H193" s="6"/>
      <c r="I193" s="6"/>
      <c r="J193" s="6"/>
      <c r="K193" s="6"/>
      <c r="L193" s="4">
        <f ca="1">_xll.DBRW($B$1,$B$2,$B$7,$B$3,$B$4,$B$5,$F193,$B$6,L$10,$A193,$B193)</f>
        <v>0</v>
      </c>
      <c r="M193" s="4">
        <f ca="1">_xll.DBRW($B$1,$B$2,$B$7,$B$3,$B$4,$B$5,$F193,$B$6,M$10,$A193,$B193)</f>
        <v>0</v>
      </c>
      <c r="N193" s="4">
        <f ca="1">_xll.DBRW($B$1,$B$2,$B$7,$B$3,$B$4,$B$5,$F193,$B$6,N$10,$A193,$B193)</f>
        <v>0</v>
      </c>
      <c r="O193" s="4">
        <f ca="1">_xll.DBRW($B$1,$B$2,$B$7,$B$3,$B$4,$B$5,$F193,$B$6,O$10,$A193,$B193)</f>
        <v>0</v>
      </c>
      <c r="P193" s="4">
        <f ca="1">_xll.DBRW($B$1,$B$2,$B$7,$B$3,$B$4,$B$5,$F193,$B$6,P$10,$A193,$B193)</f>
        <v>0</v>
      </c>
      <c r="Q193" s="4">
        <f ca="1">_xll.DBRW($B$1,$B$2,$B$7,$B$3,$B$4,$B$5,$F193,$B$6,Q$10,$A193,$B193)</f>
        <v>79.11999999999999</v>
      </c>
      <c r="R193" s="4">
        <f ca="1">_xll.DBRW($B$1,$B$2,$B$7,$B$3,$B$4,$B$5,$F193,$B$6,R$10,$A193,$B193)</f>
        <v>312.79999999999995</v>
      </c>
      <c r="S193" s="4">
        <f ca="1">_xll.DBRW($B$1,$B$2,$B$7,$B$3,$B$4,$B$5,$F193,$B$6,S$10,$A193,$B193)</f>
        <v>0</v>
      </c>
      <c r="T193" s="4">
        <f ca="1">_xll.DBRW($B$1,$B$2,$B$7,$B$3,$B$4,$B$5,$F193,$B$6,T$10,$A193,$B193)</f>
        <v>0</v>
      </c>
      <c r="U193" s="4">
        <f ca="1">_xll.DBRW($B$1,$B$2,$B$7,$B$3,$B$4,$B$5,$F193,$B$6,U$10,$A193,$B193)</f>
        <v>0</v>
      </c>
      <c r="V193" s="4">
        <f ca="1">_xll.DBRW($B$1,$B$2,$B$7,$B$3,$B$4,$B$5,$F193,$B$6,V$10,$A193,$B193)</f>
        <v>0</v>
      </c>
      <c r="W193" s="4">
        <f ca="1">_xll.DBRW($B$1,$B$2,$B$7,$B$3,$B$4,$B$5,$F193,$B$6,W$10,$A193,$B193)</f>
        <v>0</v>
      </c>
      <c r="X193" s="4">
        <f ca="1">_xll.DBRW($B$1,$B$2,$B$7,$B$3,$B$4,$B$5,$F193,$B$6,X$10,$A193,$B193)</f>
        <v>0</v>
      </c>
      <c r="Y193" s="4">
        <f ca="1">_xll.DBRW($B$1,$B$2,$B$7,$B$3,$B$4,$B$5,$F193,$B$6,Y$10,$A193,$B193)</f>
        <v>0</v>
      </c>
      <c r="Z193" s="4">
        <f ca="1">_xll.DBRW($B$1,$B$2,$B$7,$B$3,$B$4,$B$5,$F193,$B$6,Z$10,$A193,$B193)</f>
        <v>0</v>
      </c>
      <c r="AA193" s="4">
        <f ca="1">_xll.DBRW($B$1,$B$2,$B$7,$B$3,$B$4,$B$5,$F193,$B$6,AA$10,$A193,$B193)</f>
        <v>0</v>
      </c>
      <c r="AB193" s="4">
        <f ca="1">_xll.DBRW($B$1,$B$2,$B$7,$B$3,$B$4,$B$5,$F193,$B$6,AB$10,$A193,$B193)</f>
        <v>0</v>
      </c>
      <c r="AC193" s="4">
        <f ca="1">_xll.DBRW($B$1,$B$2,$B$7,$B$3,$B$4,$B$5,$F193,$B$6,AC$10,$A193,$B193)</f>
        <v>0</v>
      </c>
      <c r="AD193" s="4">
        <f ca="1">_xll.DBRW($B$1,$B$2,$B$7,$B$3,$B$4,$B$5,$F193,$B$6,AD$10,$A193,$B193)</f>
        <v>0</v>
      </c>
      <c r="AE193" s="4">
        <f ca="1">_xll.DBRW($B$1,$B$2,$B$7,$B$3,$B$4,$B$5,$F193,$B$6,AE$10,$A193,$B193)</f>
        <v>0</v>
      </c>
    </row>
    <row r="194" spans="1:31">
      <c r="A194" s="1" t="s">
        <v>151</v>
      </c>
      <c r="B194" s="5" t="s">
        <v>228</v>
      </c>
      <c r="C194" s="5" t="s">
        <v>229</v>
      </c>
      <c r="D194" s="5" t="s">
        <v>227</v>
      </c>
      <c r="E194" s="5" t="s">
        <v>21</v>
      </c>
      <c r="F194" s="5" t="s">
        <v>24</v>
      </c>
      <c r="G194" s="6"/>
      <c r="H194" s="6"/>
      <c r="I194" s="6"/>
      <c r="J194" s="6"/>
      <c r="K194" s="6"/>
      <c r="L194" s="4">
        <f ca="1">_xll.DBRW($B$1,$B$2,$B$7,$B$3,$B$4,$B$5,$F194,$B$6,L$10,$A194,$B194)</f>
        <v>0</v>
      </c>
      <c r="M194" s="4">
        <f ca="1">_xll.DBRW($B$1,$B$2,$B$7,$B$3,$B$4,$B$5,$F194,$B$6,M$10,$A194,$B194)</f>
        <v>0</v>
      </c>
      <c r="N194" s="4">
        <f ca="1">_xll.DBRW($B$1,$B$2,$B$7,$B$3,$B$4,$B$5,$F194,$B$6,N$10,$A194,$B194)</f>
        <v>0</v>
      </c>
      <c r="O194" s="4">
        <f ca="1">_xll.DBRW($B$1,$B$2,$B$7,$B$3,$B$4,$B$5,$F194,$B$6,O$10,$A194,$B194)</f>
        <v>0</v>
      </c>
      <c r="P194" s="4">
        <f ca="1">_xll.DBRW($B$1,$B$2,$B$7,$B$3,$B$4,$B$5,$F194,$B$6,P$10,$A194,$B194)</f>
        <v>0</v>
      </c>
      <c r="Q194" s="4">
        <f ca="1">_xll.DBRW($B$1,$B$2,$B$7,$B$3,$B$4,$B$5,$F194,$B$6,Q$10,$A194,$B194)</f>
        <v>79.11999999999999</v>
      </c>
      <c r="R194" s="4">
        <f ca="1">_xll.DBRW($B$1,$B$2,$B$7,$B$3,$B$4,$B$5,$F194,$B$6,R$10,$A194,$B194)</f>
        <v>312.79999999999995</v>
      </c>
      <c r="S194" s="4">
        <f ca="1">_xll.DBRW($B$1,$B$2,$B$7,$B$3,$B$4,$B$5,$F194,$B$6,S$10,$A194,$B194)</f>
        <v>0</v>
      </c>
      <c r="T194" s="4">
        <f ca="1">_xll.DBRW($B$1,$B$2,$B$7,$B$3,$B$4,$B$5,$F194,$B$6,T$10,$A194,$B194)</f>
        <v>0</v>
      </c>
      <c r="U194" s="4">
        <f ca="1">_xll.DBRW($B$1,$B$2,$B$7,$B$3,$B$4,$B$5,$F194,$B$6,U$10,$A194,$B194)</f>
        <v>0</v>
      </c>
      <c r="V194" s="4">
        <f ca="1">_xll.DBRW($B$1,$B$2,$B$7,$B$3,$B$4,$B$5,$F194,$B$6,V$10,$A194,$B194)</f>
        <v>0</v>
      </c>
      <c r="W194" s="4">
        <f ca="1">_xll.DBRW($B$1,$B$2,$B$7,$B$3,$B$4,$B$5,$F194,$B$6,W$10,$A194,$B194)</f>
        <v>0</v>
      </c>
      <c r="X194" s="4">
        <f ca="1">_xll.DBRW($B$1,$B$2,$B$7,$B$3,$B$4,$B$5,$F194,$B$6,X$10,$A194,$B194)</f>
        <v>0</v>
      </c>
      <c r="Y194" s="4">
        <f ca="1">_xll.DBRW($B$1,$B$2,$B$7,$B$3,$B$4,$B$5,$F194,$B$6,Y$10,$A194,$B194)</f>
        <v>0</v>
      </c>
      <c r="Z194" s="4">
        <f ca="1">_xll.DBRW($B$1,$B$2,$B$7,$B$3,$B$4,$B$5,$F194,$B$6,Z$10,$A194,$B194)</f>
        <v>0</v>
      </c>
      <c r="AA194" s="4">
        <f ca="1">_xll.DBRW($B$1,$B$2,$B$7,$B$3,$B$4,$B$5,$F194,$B$6,AA$10,$A194,$B194)</f>
        <v>0</v>
      </c>
      <c r="AB194" s="4">
        <f ca="1">_xll.DBRW($B$1,$B$2,$B$7,$B$3,$B$4,$B$5,$F194,$B$6,AB$10,$A194,$B194)</f>
        <v>0</v>
      </c>
      <c r="AC194" s="4">
        <f ca="1">_xll.DBRW($B$1,$B$2,$B$7,$B$3,$B$4,$B$5,$F194,$B$6,AC$10,$A194,$B194)</f>
        <v>0</v>
      </c>
      <c r="AD194" s="4">
        <f ca="1">_xll.DBRW($B$1,$B$2,$B$7,$B$3,$B$4,$B$5,$F194,$B$6,AD$10,$A194,$B194)</f>
        <v>0</v>
      </c>
      <c r="AE194" s="4">
        <f ca="1">_xll.DBRW($B$1,$B$2,$B$7,$B$3,$B$4,$B$5,$F194,$B$6,AE$10,$A194,$B194)</f>
        <v>0</v>
      </c>
    </row>
    <row r="195" spans="1:31">
      <c r="A195" s="1" t="s">
        <v>151</v>
      </c>
      <c r="B195" s="5" t="s">
        <v>230</v>
      </c>
      <c r="C195" s="5" t="s">
        <v>210</v>
      </c>
      <c r="D195" s="5" t="s">
        <v>21</v>
      </c>
      <c r="E195" s="5" t="s">
        <v>211</v>
      </c>
      <c r="F195" s="5" t="s">
        <v>24</v>
      </c>
      <c r="G195" s="6"/>
      <c r="H195" s="6"/>
      <c r="I195" s="6"/>
      <c r="J195" s="6"/>
      <c r="K195" s="6"/>
      <c r="L195" s="4">
        <f ca="1">_xll.DBRW($B$1,$B$2,$B$7,$B$3,$B$4,$B$5,$F195,$B$6,L$10,$A195,$B195)</f>
        <v>87.828310383048304</v>
      </c>
      <c r="M195" s="4">
        <f ca="1">_xll.DBRW($B$1,$B$2,$B$7,$B$3,$B$4,$B$5,$F195,$B$6,M$10,$A195,$B195)</f>
        <v>189.59826916374507</v>
      </c>
      <c r="N195" s="4">
        <f ca="1">_xll.DBRW($B$1,$B$2,$B$7,$B$3,$B$4,$B$5,$F195,$B$6,N$10,$A195,$B195)</f>
        <v>175.84612448609889</v>
      </c>
      <c r="O195" s="4">
        <f ca="1">_xll.DBRW($B$1,$B$2,$B$7,$B$3,$B$4,$B$5,$F195,$B$6,O$10,$A195,$B195)</f>
        <v>215.18407693820495</v>
      </c>
      <c r="P195" s="4">
        <f ca="1">_xll.DBRW($B$1,$B$2,$B$7,$B$3,$B$4,$B$5,$F195,$B$6,P$10,$A195,$B195)</f>
        <v>183.41532902524312</v>
      </c>
      <c r="Q195" s="4">
        <f ca="1">_xll.DBRW($B$1,$B$2,$B$7,$B$3,$B$4,$B$5,$F195,$B$6,Q$10,$A195,$B195)</f>
        <v>171.63668678790057</v>
      </c>
      <c r="R195" s="4">
        <f ca="1">_xll.DBRW($B$1,$B$2,$B$7,$B$3,$B$4,$B$5,$F195,$B$6,R$10,$A195,$B195)</f>
        <v>0</v>
      </c>
      <c r="S195" s="4">
        <f ca="1">_xll.DBRW($B$1,$B$2,$B$7,$B$3,$B$4,$B$5,$F195,$B$6,S$10,$A195,$B195)</f>
        <v>0</v>
      </c>
      <c r="T195" s="4">
        <f ca="1">_xll.DBRW($B$1,$B$2,$B$7,$B$3,$B$4,$B$5,$F195,$B$6,T$10,$A195,$B195)</f>
        <v>0</v>
      </c>
      <c r="U195" s="4">
        <f ca="1">_xll.DBRW($B$1,$B$2,$B$7,$B$3,$B$4,$B$5,$F195,$B$6,U$10,$A195,$B195)</f>
        <v>0</v>
      </c>
      <c r="V195" s="4">
        <f ca="1">_xll.DBRW($B$1,$B$2,$B$7,$B$3,$B$4,$B$5,$F195,$B$6,V$10,$A195,$B195)</f>
        <v>0</v>
      </c>
      <c r="W195" s="4">
        <f ca="1">_xll.DBRW($B$1,$B$2,$B$7,$B$3,$B$4,$B$5,$F195,$B$6,W$10,$A195,$B195)</f>
        <v>185.52141140605445</v>
      </c>
      <c r="X195" s="4">
        <f ca="1">_xll.DBRW($B$1,$B$2,$B$7,$B$3,$B$4,$B$5,$F195,$B$6,X$10,$A195,$B195)</f>
        <v>234.18764772989104</v>
      </c>
      <c r="Y195" s="4">
        <f ca="1">_xll.DBRW($B$1,$B$2,$B$7,$B$3,$B$4,$B$5,$F195,$B$6,Y$10,$A195,$B195)</f>
        <v>187.11068324314681</v>
      </c>
      <c r="Z195" s="4">
        <f ca="1">_xll.DBRW($B$1,$B$2,$B$7,$B$3,$B$4,$B$5,$F195,$B$6,Z$10,$A195,$B195)</f>
        <v>234.44029650697593</v>
      </c>
      <c r="AA195" s="4">
        <f ca="1">_xll.DBRW($B$1,$B$2,$B$7,$B$3,$B$4,$B$5,$F195,$B$6,AA$10,$A195,$B195)</f>
        <v>186.35666638451343</v>
      </c>
      <c r="AB195" s="4">
        <f ca="1">_xll.DBRW($B$1,$B$2,$B$7,$B$3,$B$4,$B$5,$F195,$B$6,AB$10,$A195,$B195)</f>
        <v>181.65907654628467</v>
      </c>
      <c r="AC195" s="4">
        <f ca="1">_xll.DBRW($B$1,$B$2,$B$7,$B$3,$B$4,$B$5,$F195,$B$6,AC$10,$A195,$B195)</f>
        <v>0</v>
      </c>
      <c r="AD195" s="4">
        <f ca="1">_xll.DBRW($B$1,$B$2,$B$7,$B$3,$B$4,$B$5,$F195,$B$6,AD$10,$A195,$B195)</f>
        <v>0</v>
      </c>
      <c r="AE195" s="4">
        <f ca="1">_xll.DBRW($B$1,$B$2,$B$7,$B$3,$B$4,$B$5,$F195,$B$6,AE$10,$A195,$B195)</f>
        <v>0</v>
      </c>
    </row>
    <row r="196" spans="1:31">
      <c r="A196" s="1" t="s">
        <v>151</v>
      </c>
      <c r="B196" s="5" t="s">
        <v>231</v>
      </c>
      <c r="C196" s="5" t="s">
        <v>213</v>
      </c>
      <c r="D196" s="5" t="s">
        <v>211</v>
      </c>
      <c r="E196" s="5" t="s">
        <v>21</v>
      </c>
      <c r="F196" s="5" t="s">
        <v>24</v>
      </c>
      <c r="G196" s="6"/>
      <c r="H196" s="6"/>
      <c r="I196" s="6"/>
      <c r="J196" s="6"/>
      <c r="K196" s="6"/>
      <c r="L196" s="4">
        <f ca="1">_xll.DBRW($B$1,$B$2,$B$7,$B$3,$B$4,$B$5,$F196,$B$6,L$10,$A196,$B196)</f>
        <v>87.828310383048304</v>
      </c>
      <c r="M196" s="4">
        <f ca="1">_xll.DBRW($B$1,$B$2,$B$7,$B$3,$B$4,$B$5,$F196,$B$6,M$10,$A196,$B196)</f>
        <v>189.59826916374507</v>
      </c>
      <c r="N196" s="4">
        <f ca="1">_xll.DBRW($B$1,$B$2,$B$7,$B$3,$B$4,$B$5,$F196,$B$6,N$10,$A196,$B196)</f>
        <v>175.84612448609889</v>
      </c>
      <c r="O196" s="4">
        <f ca="1">_xll.DBRW($B$1,$B$2,$B$7,$B$3,$B$4,$B$5,$F196,$B$6,O$10,$A196,$B196)</f>
        <v>215.18407693820495</v>
      </c>
      <c r="P196" s="4">
        <f ca="1">_xll.DBRW($B$1,$B$2,$B$7,$B$3,$B$4,$B$5,$F196,$B$6,P$10,$A196,$B196)</f>
        <v>183.41532902524312</v>
      </c>
      <c r="Q196" s="4">
        <f ca="1">_xll.DBRW($B$1,$B$2,$B$7,$B$3,$B$4,$B$5,$F196,$B$6,Q$10,$A196,$B196)</f>
        <v>171.63668678790057</v>
      </c>
      <c r="R196" s="4">
        <f ca="1">_xll.DBRW($B$1,$B$2,$B$7,$B$3,$B$4,$B$5,$F196,$B$6,R$10,$A196,$B196)</f>
        <v>0</v>
      </c>
      <c r="S196" s="4">
        <f ca="1">_xll.DBRW($B$1,$B$2,$B$7,$B$3,$B$4,$B$5,$F196,$B$6,S$10,$A196,$B196)</f>
        <v>0</v>
      </c>
      <c r="T196" s="4">
        <f ca="1">_xll.DBRW($B$1,$B$2,$B$7,$B$3,$B$4,$B$5,$F196,$B$6,T$10,$A196,$B196)</f>
        <v>0</v>
      </c>
      <c r="U196" s="4">
        <f ca="1">_xll.DBRW($B$1,$B$2,$B$7,$B$3,$B$4,$B$5,$F196,$B$6,U$10,$A196,$B196)</f>
        <v>0</v>
      </c>
      <c r="V196" s="4">
        <f ca="1">_xll.DBRW($B$1,$B$2,$B$7,$B$3,$B$4,$B$5,$F196,$B$6,V$10,$A196,$B196)</f>
        <v>0</v>
      </c>
      <c r="W196" s="4">
        <f ca="1">_xll.DBRW($B$1,$B$2,$B$7,$B$3,$B$4,$B$5,$F196,$B$6,W$10,$A196,$B196)</f>
        <v>185.52141140605445</v>
      </c>
      <c r="X196" s="4">
        <f ca="1">_xll.DBRW($B$1,$B$2,$B$7,$B$3,$B$4,$B$5,$F196,$B$6,X$10,$A196,$B196)</f>
        <v>234.18764772989104</v>
      </c>
      <c r="Y196" s="4">
        <f ca="1">_xll.DBRW($B$1,$B$2,$B$7,$B$3,$B$4,$B$5,$F196,$B$6,Y$10,$A196,$B196)</f>
        <v>187.11068324314681</v>
      </c>
      <c r="Z196" s="4">
        <f ca="1">_xll.DBRW($B$1,$B$2,$B$7,$B$3,$B$4,$B$5,$F196,$B$6,Z$10,$A196,$B196)</f>
        <v>234.44029650697593</v>
      </c>
      <c r="AA196" s="4">
        <f ca="1">_xll.DBRW($B$1,$B$2,$B$7,$B$3,$B$4,$B$5,$F196,$B$6,AA$10,$A196,$B196)</f>
        <v>186.35666638451343</v>
      </c>
      <c r="AB196" s="4">
        <f ca="1">_xll.DBRW($B$1,$B$2,$B$7,$B$3,$B$4,$B$5,$F196,$B$6,AB$10,$A196,$B196)</f>
        <v>181.65907654628467</v>
      </c>
      <c r="AC196" s="4">
        <f ca="1">_xll.DBRW($B$1,$B$2,$B$7,$B$3,$B$4,$B$5,$F196,$B$6,AC$10,$A196,$B196)</f>
        <v>0</v>
      </c>
      <c r="AD196" s="4">
        <f ca="1">_xll.DBRW($B$1,$B$2,$B$7,$B$3,$B$4,$B$5,$F196,$B$6,AD$10,$A196,$B196)</f>
        <v>0</v>
      </c>
      <c r="AE196" s="4">
        <f ca="1">_xll.DBRW($B$1,$B$2,$B$7,$B$3,$B$4,$B$5,$F196,$B$6,AE$10,$A196,$B196)</f>
        <v>0</v>
      </c>
    </row>
    <row r="197" spans="1:31">
      <c r="A197" s="1" t="s">
        <v>151</v>
      </c>
      <c r="B197" s="5" t="s">
        <v>232</v>
      </c>
      <c r="C197" s="5" t="s">
        <v>233</v>
      </c>
      <c r="D197" s="5" t="s">
        <v>21</v>
      </c>
      <c r="E197" s="5" t="s">
        <v>234</v>
      </c>
      <c r="F197" s="5" t="s">
        <v>24</v>
      </c>
      <c r="G197" s="6"/>
      <c r="H197" s="6"/>
      <c r="I197" s="6"/>
      <c r="J197" s="6"/>
      <c r="K197" s="6"/>
      <c r="L197" s="4">
        <f ca="1">_xll.DBRW($B$1,$B$2,$B$7,$B$3,$B$4,$B$5,$F197,$B$6,L$10,$A197,$B197)</f>
        <v>351.31324153219322</v>
      </c>
      <c r="M197" s="4">
        <f ca="1">_xll.DBRW($B$1,$B$2,$B$7,$B$3,$B$4,$B$5,$F197,$B$6,M$10,$A197,$B197)</f>
        <v>426.59610561842641</v>
      </c>
      <c r="N197" s="4">
        <f ca="1">_xll.DBRW($B$1,$B$2,$B$7,$B$3,$B$4,$B$5,$F197,$B$6,N$10,$A197,$B197)</f>
        <v>395.6537800937225</v>
      </c>
      <c r="O197" s="4">
        <f ca="1">_xll.DBRW($B$1,$B$2,$B$7,$B$3,$B$4,$B$5,$F197,$B$6,O$10,$A197,$B197)</f>
        <v>387.33133848876889</v>
      </c>
      <c r="P197" s="4">
        <f ca="1">_xll.DBRW($B$1,$B$2,$B$7,$B$3,$B$4,$B$5,$F197,$B$6,P$10,$A197,$B197)</f>
        <v>366.83065805048625</v>
      </c>
      <c r="Q197" s="4">
        <f ca="1">_xll.DBRW($B$1,$B$2,$B$7,$B$3,$B$4,$B$5,$F197,$B$6,Q$10,$A197,$B197)</f>
        <v>384.39466311873565</v>
      </c>
      <c r="R197" s="4">
        <f ca="1">_xll.DBRW($B$1,$B$2,$B$7,$B$3,$B$4,$B$5,$F197,$B$6,R$10,$A197,$B197)</f>
        <v>567.87672219939884</v>
      </c>
      <c r="S197" s="4">
        <f ca="1">_xll.DBRW($B$1,$B$2,$B$7,$B$3,$B$4,$B$5,$F197,$B$6,S$10,$A197,$B197)</f>
        <v>528.61237099873722</v>
      </c>
      <c r="T197" s="4">
        <f ca="1">_xll.DBRW($B$1,$B$2,$B$7,$B$3,$B$4,$B$5,$F197,$B$6,T$10,$A197,$B197)</f>
        <v>602.86055150940399</v>
      </c>
      <c r="U197" s="4">
        <f ca="1">_xll.DBRW($B$1,$B$2,$B$7,$B$3,$B$4,$B$5,$F197,$B$6,U$10,$A197,$B197)</f>
        <v>570.23814306635745</v>
      </c>
      <c r="V197" s="4">
        <f ca="1">_xll.DBRW($B$1,$B$2,$B$7,$B$3,$B$4,$B$5,$F197,$B$6,V$10,$A197,$B197)</f>
        <v>616.91991840898925</v>
      </c>
      <c r="W197" s="4">
        <f ca="1">_xll.DBRW($B$1,$B$2,$B$7,$B$3,$B$4,$B$5,$F197,$B$6,W$10,$A197,$B197)</f>
        <v>427.50586106612548</v>
      </c>
      <c r="X197" s="4">
        <f ca="1">_xll.DBRW($B$1,$B$2,$B$7,$B$3,$B$4,$B$5,$F197,$B$6,X$10,$A197,$B197)</f>
        <v>429.68342322614791</v>
      </c>
      <c r="Y197" s="4">
        <f ca="1">_xll.DBRW($B$1,$B$2,$B$7,$B$3,$B$4,$B$5,$F197,$B$6,Y$10,$A197,$B197)</f>
        <v>382.35661358382168</v>
      </c>
      <c r="Z197" s="4">
        <f ca="1">_xll.DBRW($B$1,$B$2,$B$7,$B$3,$B$4,$B$5,$F197,$B$6,Z$10,$A197,$B197)</f>
        <v>432.18559008242499</v>
      </c>
      <c r="AA197" s="4">
        <f ca="1">_xll.DBRW($B$1,$B$2,$B$7,$B$3,$B$4,$B$5,$F197,$B$6,AA$10,$A197,$B197)</f>
        <v>427.40496312100362</v>
      </c>
      <c r="AB197" s="4">
        <f ca="1">_xll.DBRW($B$1,$B$2,$B$7,$B$3,$B$4,$B$5,$F197,$B$6,AB$10,$A197,$B197)</f>
        <v>418.60569812839509</v>
      </c>
      <c r="AC197" s="4">
        <f ca="1">_xll.DBRW($B$1,$B$2,$B$7,$B$3,$B$4,$B$5,$F197,$B$6,AC$10,$A197,$B197)</f>
        <v>579.44365807477141</v>
      </c>
      <c r="AD197" s="4">
        <f ca="1">_xll.DBRW($B$1,$B$2,$B$7,$B$3,$B$4,$B$5,$F197,$B$6,AD$10,$A197,$B197)</f>
        <v>503.33537486536159</v>
      </c>
      <c r="AE197" s="4">
        <f ca="1">_xll.DBRW($B$1,$B$2,$B$7,$B$3,$B$4,$B$5,$F197,$B$6,AE$10,$A197,$B197)</f>
        <v>469.60392105915236</v>
      </c>
    </row>
    <row r="198" spans="1:31">
      <c r="A198" s="1" t="s">
        <v>151</v>
      </c>
      <c r="B198" s="5" t="s">
        <v>235</v>
      </c>
      <c r="C198" s="5" t="s">
        <v>236</v>
      </c>
      <c r="D198" s="5" t="s">
        <v>234</v>
      </c>
      <c r="E198" s="5" t="s">
        <v>21</v>
      </c>
      <c r="F198" s="5" t="s">
        <v>24</v>
      </c>
      <c r="G198" s="6"/>
      <c r="H198" s="6"/>
      <c r="I198" s="6"/>
      <c r="J198" s="6"/>
      <c r="K198" s="6"/>
      <c r="L198" s="4">
        <f ca="1">_xll.DBRW($B$1,$B$2,$B$7,$B$3,$B$4,$B$5,$F198,$B$6,L$10,$A198,$B198)</f>
        <v>351.31324153219322</v>
      </c>
      <c r="M198" s="4">
        <f ca="1">_xll.DBRW($B$1,$B$2,$B$7,$B$3,$B$4,$B$5,$F198,$B$6,M$10,$A198,$B198)</f>
        <v>426.59610561842641</v>
      </c>
      <c r="N198" s="4">
        <f ca="1">_xll.DBRW($B$1,$B$2,$B$7,$B$3,$B$4,$B$5,$F198,$B$6,N$10,$A198,$B198)</f>
        <v>395.6537800937225</v>
      </c>
      <c r="O198" s="4">
        <f ca="1">_xll.DBRW($B$1,$B$2,$B$7,$B$3,$B$4,$B$5,$F198,$B$6,O$10,$A198,$B198)</f>
        <v>387.33133848876889</v>
      </c>
      <c r="P198" s="4">
        <f ca="1">_xll.DBRW($B$1,$B$2,$B$7,$B$3,$B$4,$B$5,$F198,$B$6,P$10,$A198,$B198)</f>
        <v>366.83065805048625</v>
      </c>
      <c r="Q198" s="4">
        <f ca="1">_xll.DBRW($B$1,$B$2,$B$7,$B$3,$B$4,$B$5,$F198,$B$6,Q$10,$A198,$B198)</f>
        <v>384.39466311873565</v>
      </c>
      <c r="R198" s="4">
        <f ca="1">_xll.DBRW($B$1,$B$2,$B$7,$B$3,$B$4,$B$5,$F198,$B$6,R$10,$A198,$B198)</f>
        <v>567.87672219939884</v>
      </c>
      <c r="S198" s="4">
        <f ca="1">_xll.DBRW($B$1,$B$2,$B$7,$B$3,$B$4,$B$5,$F198,$B$6,S$10,$A198,$B198)</f>
        <v>528.61237099873722</v>
      </c>
      <c r="T198" s="4">
        <f ca="1">_xll.DBRW($B$1,$B$2,$B$7,$B$3,$B$4,$B$5,$F198,$B$6,T$10,$A198,$B198)</f>
        <v>602.86055150940399</v>
      </c>
      <c r="U198" s="4">
        <f ca="1">_xll.DBRW($B$1,$B$2,$B$7,$B$3,$B$4,$B$5,$F198,$B$6,U$10,$A198,$B198)</f>
        <v>570.23814306635745</v>
      </c>
      <c r="V198" s="4">
        <f ca="1">_xll.DBRW($B$1,$B$2,$B$7,$B$3,$B$4,$B$5,$F198,$B$6,V$10,$A198,$B198)</f>
        <v>616.91991840898925</v>
      </c>
      <c r="W198" s="4">
        <f ca="1">_xll.DBRW($B$1,$B$2,$B$7,$B$3,$B$4,$B$5,$F198,$B$6,W$10,$A198,$B198)</f>
        <v>427.50586106612548</v>
      </c>
      <c r="X198" s="4">
        <f ca="1">_xll.DBRW($B$1,$B$2,$B$7,$B$3,$B$4,$B$5,$F198,$B$6,X$10,$A198,$B198)</f>
        <v>429.68342322614791</v>
      </c>
      <c r="Y198" s="4">
        <f ca="1">_xll.DBRW($B$1,$B$2,$B$7,$B$3,$B$4,$B$5,$F198,$B$6,Y$10,$A198,$B198)</f>
        <v>382.35661358382168</v>
      </c>
      <c r="Z198" s="4">
        <f ca="1">_xll.DBRW($B$1,$B$2,$B$7,$B$3,$B$4,$B$5,$F198,$B$6,Z$10,$A198,$B198)</f>
        <v>432.18559008242499</v>
      </c>
      <c r="AA198" s="4">
        <f ca="1">_xll.DBRW($B$1,$B$2,$B$7,$B$3,$B$4,$B$5,$F198,$B$6,AA$10,$A198,$B198)</f>
        <v>427.40496312100362</v>
      </c>
      <c r="AB198" s="4">
        <f ca="1">_xll.DBRW($B$1,$B$2,$B$7,$B$3,$B$4,$B$5,$F198,$B$6,AB$10,$A198,$B198)</f>
        <v>418.60569812839509</v>
      </c>
      <c r="AC198" s="4">
        <f ca="1">_xll.DBRW($B$1,$B$2,$B$7,$B$3,$B$4,$B$5,$F198,$B$6,AC$10,$A198,$B198)</f>
        <v>579.44365807477141</v>
      </c>
      <c r="AD198" s="4">
        <f ca="1">_xll.DBRW($B$1,$B$2,$B$7,$B$3,$B$4,$B$5,$F198,$B$6,AD$10,$A198,$B198)</f>
        <v>503.33537486536159</v>
      </c>
      <c r="AE198" s="4">
        <f ca="1">_xll.DBRW($B$1,$B$2,$B$7,$B$3,$B$4,$B$5,$F198,$B$6,AE$10,$A198,$B198)</f>
        <v>469.60392105915236</v>
      </c>
    </row>
    <row r="199" spans="1:31">
      <c r="A199" s="1" t="s">
        <v>151</v>
      </c>
      <c r="B199" s="5" t="s">
        <v>237</v>
      </c>
      <c r="C199" s="5" t="s">
        <v>238</v>
      </c>
      <c r="D199" s="5" t="s">
        <v>21</v>
      </c>
      <c r="E199" s="5" t="s">
        <v>239</v>
      </c>
      <c r="F199" s="5" t="s">
        <v>24</v>
      </c>
      <c r="G199" s="6"/>
      <c r="H199" s="6"/>
      <c r="I199" s="6"/>
      <c r="J199" s="6"/>
      <c r="K199" s="6"/>
      <c r="L199" s="4">
        <f ca="1">_xll.DBRW($B$1,$B$2,$B$7,$B$3,$B$4,$B$5,$F199,$B$6,L$10,$A199,$B199)</f>
        <v>0</v>
      </c>
      <c r="M199" s="4">
        <f ca="1">_xll.DBRW($B$1,$B$2,$B$7,$B$3,$B$4,$B$5,$F199,$B$6,M$10,$A199,$B199)</f>
        <v>0</v>
      </c>
      <c r="N199" s="4">
        <f ca="1">_xll.DBRW($B$1,$B$2,$B$7,$B$3,$B$4,$B$5,$F199,$B$6,N$10,$A199,$B199)</f>
        <v>0</v>
      </c>
      <c r="O199" s="4">
        <f ca="1">_xll.DBRW($B$1,$B$2,$B$7,$B$3,$B$4,$B$5,$F199,$B$6,O$10,$A199,$B199)</f>
        <v>0</v>
      </c>
      <c r="P199" s="4">
        <f ca="1">_xll.DBRW($B$1,$B$2,$B$7,$B$3,$B$4,$B$5,$F199,$B$6,P$10,$A199,$B199)</f>
        <v>0</v>
      </c>
      <c r="Q199" s="4">
        <f ca="1">_xll.DBRW($B$1,$B$2,$B$7,$B$3,$B$4,$B$5,$F199,$B$6,Q$10,$A199,$B199)</f>
        <v>0</v>
      </c>
      <c r="R199" s="4">
        <f ca="1">_xll.DBRW($B$1,$B$2,$B$7,$B$3,$B$4,$B$5,$F199,$B$6,R$10,$A199,$B199)</f>
        <v>0</v>
      </c>
      <c r="S199" s="4">
        <f ca="1">_xll.DBRW($B$1,$B$2,$B$7,$B$3,$B$4,$B$5,$F199,$B$6,S$10,$A199,$B199)</f>
        <v>0</v>
      </c>
      <c r="T199" s="4">
        <f ca="1">_xll.DBRW($B$1,$B$2,$B$7,$B$3,$B$4,$B$5,$F199,$B$6,T$10,$A199,$B199)</f>
        <v>0</v>
      </c>
      <c r="U199" s="4">
        <f ca="1">_xll.DBRW($B$1,$B$2,$B$7,$B$3,$B$4,$B$5,$F199,$B$6,U$10,$A199,$B199)</f>
        <v>0</v>
      </c>
      <c r="V199" s="4">
        <f ca="1">_xll.DBRW($B$1,$B$2,$B$7,$B$3,$B$4,$B$5,$F199,$B$6,V$10,$A199,$B199)</f>
        <v>53.015805261150433</v>
      </c>
      <c r="W199" s="4">
        <f ca="1">_xll.DBRW($B$1,$B$2,$B$7,$B$3,$B$4,$B$5,$F199,$B$6,W$10,$A199,$B199)</f>
        <v>893.56722448236292</v>
      </c>
      <c r="X199" s="4">
        <f ca="1">_xll.DBRW($B$1,$B$2,$B$7,$B$3,$B$4,$B$5,$F199,$B$6,X$10,$A199,$B199)</f>
        <v>1001.5356394582557</v>
      </c>
      <c r="Y199" s="4">
        <f ca="1">_xll.DBRW($B$1,$B$2,$B$7,$B$3,$B$4,$B$5,$F199,$B$6,Y$10,$A199,$B199)</f>
        <v>980.09067096778779</v>
      </c>
      <c r="Z199" s="4">
        <f ca="1">_xll.DBRW($B$1,$B$2,$B$7,$B$3,$B$4,$B$5,$F199,$B$6,Z$10,$A199,$B199)</f>
        <v>951.42732500788759</v>
      </c>
      <c r="AA199" s="4">
        <f ca="1">_xll.DBRW($B$1,$B$2,$B$7,$B$3,$B$4,$B$5,$F199,$B$6,AA$10,$A199,$B199)</f>
        <v>793.8978407703886</v>
      </c>
      <c r="AB199" s="4">
        <f ca="1">_xll.DBRW($B$1,$B$2,$B$7,$B$3,$B$4,$B$5,$F199,$B$6,AB$10,$A199,$B199)</f>
        <v>933.02359249519043</v>
      </c>
      <c r="AC199" s="4">
        <f ca="1">_xll.DBRW($B$1,$B$2,$B$7,$B$3,$B$4,$B$5,$F199,$B$6,AC$10,$A199,$B199)</f>
        <v>1010.5862831422465</v>
      </c>
      <c r="AD199" s="4">
        <f ca="1">_xll.DBRW($B$1,$B$2,$B$7,$B$3,$B$4,$B$5,$F199,$B$6,AD$10,$A199,$B199)</f>
        <v>895.99889606195666</v>
      </c>
      <c r="AE199" s="4">
        <f ca="1">_xll.DBRW($B$1,$B$2,$B$7,$B$3,$B$4,$B$5,$F199,$B$6,AE$10,$A199,$B199)</f>
        <v>776.71661893208341</v>
      </c>
    </row>
    <row r="200" spans="1:31">
      <c r="A200" s="1" t="s">
        <v>151</v>
      </c>
      <c r="B200" s="5" t="s">
        <v>240</v>
      </c>
      <c r="C200" s="5" t="s">
        <v>241</v>
      </c>
      <c r="D200" s="5" t="s">
        <v>239</v>
      </c>
      <c r="E200" s="5" t="s">
        <v>21</v>
      </c>
      <c r="F200" s="5" t="s">
        <v>24</v>
      </c>
      <c r="G200" s="6"/>
      <c r="H200" s="6"/>
      <c r="I200" s="6"/>
      <c r="J200" s="6"/>
      <c r="K200" s="6"/>
      <c r="L200" s="4">
        <f ca="1">_xll.DBRW($B$1,$B$2,$B$7,$B$3,$B$4,$B$5,$F200,$B$6,L$10,$A200,$B200)</f>
        <v>0</v>
      </c>
      <c r="M200" s="4">
        <f ca="1">_xll.DBRW($B$1,$B$2,$B$7,$B$3,$B$4,$B$5,$F200,$B$6,M$10,$A200,$B200)</f>
        <v>0</v>
      </c>
      <c r="N200" s="4">
        <f ca="1">_xll.DBRW($B$1,$B$2,$B$7,$B$3,$B$4,$B$5,$F200,$B$6,N$10,$A200,$B200)</f>
        <v>0</v>
      </c>
      <c r="O200" s="4">
        <f ca="1">_xll.DBRW($B$1,$B$2,$B$7,$B$3,$B$4,$B$5,$F200,$B$6,O$10,$A200,$B200)</f>
        <v>0</v>
      </c>
      <c r="P200" s="4">
        <f ca="1">_xll.DBRW($B$1,$B$2,$B$7,$B$3,$B$4,$B$5,$F200,$B$6,P$10,$A200,$B200)</f>
        <v>0</v>
      </c>
      <c r="Q200" s="4">
        <f ca="1">_xll.DBRW($B$1,$B$2,$B$7,$B$3,$B$4,$B$5,$F200,$B$6,Q$10,$A200,$B200)</f>
        <v>0</v>
      </c>
      <c r="R200" s="4">
        <f ca="1">_xll.DBRW($B$1,$B$2,$B$7,$B$3,$B$4,$B$5,$F200,$B$6,R$10,$A200,$B200)</f>
        <v>0</v>
      </c>
      <c r="S200" s="4">
        <f ca="1">_xll.DBRW($B$1,$B$2,$B$7,$B$3,$B$4,$B$5,$F200,$B$6,S$10,$A200,$B200)</f>
        <v>0</v>
      </c>
      <c r="T200" s="4">
        <f ca="1">_xll.DBRW($B$1,$B$2,$B$7,$B$3,$B$4,$B$5,$F200,$B$6,T$10,$A200,$B200)</f>
        <v>0</v>
      </c>
      <c r="U200" s="4">
        <f ca="1">_xll.DBRW($B$1,$B$2,$B$7,$B$3,$B$4,$B$5,$F200,$B$6,U$10,$A200,$B200)</f>
        <v>0</v>
      </c>
      <c r="V200" s="4">
        <f ca="1">_xll.DBRW($B$1,$B$2,$B$7,$B$3,$B$4,$B$5,$F200,$B$6,V$10,$A200,$B200)</f>
        <v>53.015805261150433</v>
      </c>
      <c r="W200" s="4">
        <f ca="1">_xll.DBRW($B$1,$B$2,$B$7,$B$3,$B$4,$B$5,$F200,$B$6,W$10,$A200,$B200)</f>
        <v>893.56722448236292</v>
      </c>
      <c r="X200" s="4">
        <f ca="1">_xll.DBRW($B$1,$B$2,$B$7,$B$3,$B$4,$B$5,$F200,$B$6,X$10,$A200,$B200)</f>
        <v>1001.5356394582557</v>
      </c>
      <c r="Y200" s="4">
        <f ca="1">_xll.DBRW($B$1,$B$2,$B$7,$B$3,$B$4,$B$5,$F200,$B$6,Y$10,$A200,$B200)</f>
        <v>980.09067096778779</v>
      </c>
      <c r="Z200" s="4">
        <f ca="1">_xll.DBRW($B$1,$B$2,$B$7,$B$3,$B$4,$B$5,$F200,$B$6,Z$10,$A200,$B200)</f>
        <v>951.42732500788759</v>
      </c>
      <c r="AA200" s="4">
        <f ca="1">_xll.DBRW($B$1,$B$2,$B$7,$B$3,$B$4,$B$5,$F200,$B$6,AA$10,$A200,$B200)</f>
        <v>793.8978407703886</v>
      </c>
      <c r="AB200" s="4">
        <f ca="1">_xll.DBRW($B$1,$B$2,$B$7,$B$3,$B$4,$B$5,$F200,$B$6,AB$10,$A200,$B200)</f>
        <v>933.02359249519043</v>
      </c>
      <c r="AC200" s="4">
        <f ca="1">_xll.DBRW($B$1,$B$2,$B$7,$B$3,$B$4,$B$5,$F200,$B$6,AC$10,$A200,$B200)</f>
        <v>977.98672562152888</v>
      </c>
      <c r="AD200" s="4">
        <f ca="1">_xll.DBRW($B$1,$B$2,$B$7,$B$3,$B$4,$B$5,$F200,$B$6,AD$10,$A200,$B200)</f>
        <v>895.99889606195666</v>
      </c>
      <c r="AE200" s="4">
        <f ca="1">_xll.DBRW($B$1,$B$2,$B$7,$B$3,$B$4,$B$5,$F200,$B$6,AE$10,$A200,$B200)</f>
        <v>751.66124412782267</v>
      </c>
    </row>
    <row r="201" spans="1:31">
      <c r="A201" s="1" t="s">
        <v>151</v>
      </c>
      <c r="B201" s="5" t="s">
        <v>242</v>
      </c>
      <c r="C201" s="5" t="s">
        <v>243</v>
      </c>
      <c r="D201" s="5" t="s">
        <v>21</v>
      </c>
      <c r="E201" s="5" t="s">
        <v>244</v>
      </c>
      <c r="F201" s="5" t="s">
        <v>24</v>
      </c>
      <c r="G201" s="6"/>
      <c r="H201" s="6"/>
      <c r="I201" s="6"/>
      <c r="J201" s="6"/>
      <c r="K201" s="6"/>
      <c r="L201" s="4">
        <f ca="1">_xll.DBRW($B$1,$B$2,$B$7,$B$3,$B$4,$B$5,$F201,$B$6,L$10,$A201,$B201)</f>
        <v>570.88401748981391</v>
      </c>
      <c r="M201" s="4">
        <f ca="1">_xll.DBRW($B$1,$B$2,$B$7,$B$3,$B$4,$B$5,$F201,$B$6,M$10,$A201,$B201)</f>
        <v>616.19437478217151</v>
      </c>
      <c r="N201" s="4">
        <f ca="1">_xll.DBRW($B$1,$B$2,$B$7,$B$3,$B$4,$B$5,$F201,$B$6,N$10,$A201,$B201)</f>
        <v>571.49990457982142</v>
      </c>
      <c r="O201" s="4">
        <f ca="1">_xll.DBRW($B$1,$B$2,$B$7,$B$3,$B$4,$B$5,$F201,$B$6,O$10,$A201,$B201)</f>
        <v>473.40496926405086</v>
      </c>
      <c r="P201" s="4">
        <f ca="1">_xll.DBRW($B$1,$B$2,$B$7,$B$3,$B$4,$B$5,$F201,$B$6,P$10,$A201,$B201)</f>
        <v>596.09981933204006</v>
      </c>
      <c r="Q201" s="4">
        <f ca="1">_xll.DBRW($B$1,$B$2,$B$7,$B$3,$B$4,$B$5,$F201,$B$6,Q$10,$A201,$B201)</f>
        <v>470.21300651268598</v>
      </c>
      <c r="R201" s="4">
        <f ca="1">_xll.DBRW($B$1,$B$2,$B$7,$B$3,$B$4,$B$5,$F201,$B$6,R$10,$A201,$B201)</f>
        <v>289.22913801460066</v>
      </c>
      <c r="S201" s="4">
        <f ca="1">_xll.DBRW($B$1,$B$2,$B$7,$B$3,$B$4,$B$5,$F201,$B$6,S$10,$A201,$B201)</f>
        <v>528.61237099873722</v>
      </c>
      <c r="T201" s="4">
        <f ca="1">_xll.DBRW($B$1,$B$2,$B$7,$B$3,$B$4,$B$5,$F201,$B$6,T$10,$A201,$B201)</f>
        <v>602.86055150940399</v>
      </c>
      <c r="U201" s="4">
        <f ca="1">_xll.DBRW($B$1,$B$2,$B$7,$B$3,$B$4,$B$5,$F201,$B$6,U$10,$A201,$B201)</f>
        <v>570.23814306635745</v>
      </c>
      <c r="V201" s="4">
        <f ca="1">_xll.DBRW($B$1,$B$2,$B$7,$B$3,$B$4,$B$5,$F201,$B$6,V$10,$A201,$B201)</f>
        <v>616.91991840898925</v>
      </c>
      <c r="W201" s="4">
        <f ca="1">_xll.DBRW($B$1,$B$2,$B$7,$B$3,$B$4,$B$5,$F201,$B$6,W$10,$A201,$B201)</f>
        <v>435.57200938812787</v>
      </c>
      <c r="X201" s="4">
        <f ca="1">_xll.DBRW($B$1,$B$2,$B$7,$B$3,$B$4,$B$5,$F201,$B$6,X$10,$A201,$B201)</f>
        <v>390.99155099251368</v>
      </c>
      <c r="Y201" s="4">
        <f ca="1">_xll.DBRW($B$1,$B$2,$B$7,$B$3,$B$4,$B$5,$F201,$B$6,Y$10,$A201,$B201)</f>
        <v>439.3033432665186</v>
      </c>
      <c r="Z201" s="4">
        <f ca="1">_xll.DBRW($B$1,$B$2,$B$7,$B$3,$B$4,$B$5,$F201,$B$6,Z$10,$A201,$B201)</f>
        <v>440.34003517831997</v>
      </c>
      <c r="AA201" s="4">
        <f ca="1">_xll.DBRW($B$1,$B$2,$B$7,$B$3,$B$4,$B$5,$F201,$B$6,AA$10,$A201,$B201)</f>
        <v>437.53304281581421</v>
      </c>
      <c r="AB201" s="4">
        <f ca="1">_xll.DBRW($B$1,$B$2,$B$7,$B$3,$B$4,$B$5,$F201,$B$6,AB$10,$A201,$B201)</f>
        <v>379.11459453137672</v>
      </c>
      <c r="AC201" s="4">
        <f ca="1">_xll.DBRW($B$1,$B$2,$B$7,$B$3,$B$4,$B$5,$F201,$B$6,AC$10,$A201,$B201)</f>
        <v>579.44365807477141</v>
      </c>
      <c r="AD201" s="4">
        <f ca="1">_xll.DBRW($B$1,$B$2,$B$7,$B$3,$B$4,$B$5,$F201,$B$6,AD$10,$A201,$B201)</f>
        <v>503.33537486536159</v>
      </c>
      <c r="AE201" s="4">
        <f ca="1">_xll.DBRW($B$1,$B$2,$B$7,$B$3,$B$4,$B$5,$F201,$B$6,AE$10,$A201,$B201)</f>
        <v>505.72729960216401</v>
      </c>
    </row>
    <row r="202" spans="1:31">
      <c r="A202" s="1" t="s">
        <v>151</v>
      </c>
      <c r="B202" s="5" t="s">
        <v>245</v>
      </c>
      <c r="C202" s="5" t="s">
        <v>246</v>
      </c>
      <c r="D202" s="5" t="s">
        <v>244</v>
      </c>
      <c r="E202" s="5" t="s">
        <v>21</v>
      </c>
      <c r="F202" s="5" t="s">
        <v>24</v>
      </c>
      <c r="G202" s="6"/>
      <c r="H202" s="6"/>
      <c r="I202" s="6"/>
      <c r="J202" s="6"/>
      <c r="K202" s="6"/>
      <c r="L202" s="4">
        <f ca="1">_xll.DBRW($B$1,$B$2,$B$7,$B$3,$B$4,$B$5,$F202,$B$6,L$10,$A202,$B202)</f>
        <v>570.88401748981391</v>
      </c>
      <c r="M202" s="4">
        <f ca="1">_xll.DBRW($B$1,$B$2,$B$7,$B$3,$B$4,$B$5,$F202,$B$6,M$10,$A202,$B202)</f>
        <v>616.19437478217151</v>
      </c>
      <c r="N202" s="4">
        <f ca="1">_xll.DBRW($B$1,$B$2,$B$7,$B$3,$B$4,$B$5,$F202,$B$6,N$10,$A202,$B202)</f>
        <v>571.49990457982142</v>
      </c>
      <c r="O202" s="4">
        <f ca="1">_xll.DBRW($B$1,$B$2,$B$7,$B$3,$B$4,$B$5,$F202,$B$6,O$10,$A202,$B202)</f>
        <v>473.40496926405086</v>
      </c>
      <c r="P202" s="4">
        <f ca="1">_xll.DBRW($B$1,$B$2,$B$7,$B$3,$B$4,$B$5,$F202,$B$6,P$10,$A202,$B202)</f>
        <v>596.09981933204006</v>
      </c>
      <c r="Q202" s="4">
        <f ca="1">_xll.DBRW($B$1,$B$2,$B$7,$B$3,$B$4,$B$5,$F202,$B$6,Q$10,$A202,$B202)</f>
        <v>470.21300651268598</v>
      </c>
      <c r="R202" s="4">
        <f ca="1">_xll.DBRW($B$1,$B$2,$B$7,$B$3,$B$4,$B$5,$F202,$B$6,R$10,$A202,$B202)</f>
        <v>289.22913801460066</v>
      </c>
      <c r="S202" s="4">
        <f ca="1">_xll.DBRW($B$1,$B$2,$B$7,$B$3,$B$4,$B$5,$F202,$B$6,S$10,$A202,$B202)</f>
        <v>528.61237099873722</v>
      </c>
      <c r="T202" s="4">
        <f ca="1">_xll.DBRW($B$1,$B$2,$B$7,$B$3,$B$4,$B$5,$F202,$B$6,T$10,$A202,$B202)</f>
        <v>602.86055150940399</v>
      </c>
      <c r="U202" s="4">
        <f ca="1">_xll.DBRW($B$1,$B$2,$B$7,$B$3,$B$4,$B$5,$F202,$B$6,U$10,$A202,$B202)</f>
        <v>570.23814306635745</v>
      </c>
      <c r="V202" s="4">
        <f ca="1">_xll.DBRW($B$1,$B$2,$B$7,$B$3,$B$4,$B$5,$F202,$B$6,V$10,$A202,$B202)</f>
        <v>616.91991840898925</v>
      </c>
      <c r="W202" s="4">
        <f ca="1">_xll.DBRW($B$1,$B$2,$B$7,$B$3,$B$4,$B$5,$F202,$B$6,W$10,$A202,$B202)</f>
        <v>435.57200938812787</v>
      </c>
      <c r="X202" s="4">
        <f ca="1">_xll.DBRW($B$1,$B$2,$B$7,$B$3,$B$4,$B$5,$F202,$B$6,X$10,$A202,$B202)</f>
        <v>390.99155099251368</v>
      </c>
      <c r="Y202" s="4">
        <f ca="1">_xll.DBRW($B$1,$B$2,$B$7,$B$3,$B$4,$B$5,$F202,$B$6,Y$10,$A202,$B202)</f>
        <v>439.3033432665186</v>
      </c>
      <c r="Z202" s="4">
        <f ca="1">_xll.DBRW($B$1,$B$2,$B$7,$B$3,$B$4,$B$5,$F202,$B$6,Z$10,$A202,$B202)</f>
        <v>440.34003517831997</v>
      </c>
      <c r="AA202" s="4">
        <f ca="1">_xll.DBRW($B$1,$B$2,$B$7,$B$3,$B$4,$B$5,$F202,$B$6,AA$10,$A202,$B202)</f>
        <v>437.53304281581421</v>
      </c>
      <c r="AB202" s="4">
        <f ca="1">_xll.DBRW($B$1,$B$2,$B$7,$B$3,$B$4,$B$5,$F202,$B$6,AB$10,$A202,$B202)</f>
        <v>379.11459453137672</v>
      </c>
      <c r="AC202" s="4">
        <f ca="1">_xll.DBRW($B$1,$B$2,$B$7,$B$3,$B$4,$B$5,$F202,$B$6,AC$10,$A202,$B202)</f>
        <v>579.44365807477141</v>
      </c>
      <c r="AD202" s="4">
        <f ca="1">_xll.DBRW($B$1,$B$2,$B$7,$B$3,$B$4,$B$5,$F202,$B$6,AD$10,$A202,$B202)</f>
        <v>503.33537486536159</v>
      </c>
      <c r="AE202" s="4">
        <f ca="1">_xll.DBRW($B$1,$B$2,$B$7,$B$3,$B$4,$B$5,$F202,$B$6,AE$10,$A202,$B202)</f>
        <v>505.72729960216401</v>
      </c>
    </row>
    <row r="203" spans="1:31">
      <c r="A203" s="1" t="s">
        <v>151</v>
      </c>
      <c r="B203" s="5" t="s">
        <v>247</v>
      </c>
      <c r="C203" s="5" t="s">
        <v>248</v>
      </c>
      <c r="D203" s="5" t="s">
        <v>21</v>
      </c>
      <c r="E203" s="5" t="s">
        <v>249</v>
      </c>
      <c r="F203" s="5" t="s">
        <v>24</v>
      </c>
      <c r="G203" s="6"/>
      <c r="H203" s="6"/>
      <c r="I203" s="6"/>
      <c r="J203" s="6"/>
      <c r="K203" s="6"/>
      <c r="L203" s="4">
        <f ca="1">_xll.DBRW($B$1,$B$2,$B$7,$B$3,$B$4,$B$5,$F203,$B$6,L$10,$A203,$B203)</f>
        <v>0</v>
      </c>
      <c r="M203" s="4">
        <f ca="1">_xll.DBRW($B$1,$B$2,$B$7,$B$3,$B$4,$B$5,$F203,$B$6,M$10,$A203,$B203)</f>
        <v>0</v>
      </c>
      <c r="N203" s="4">
        <f ca="1">_xll.DBRW($B$1,$B$2,$B$7,$B$3,$B$4,$B$5,$F203,$B$6,N$10,$A203,$B203)</f>
        <v>0</v>
      </c>
      <c r="O203" s="4">
        <f ca="1">_xll.DBRW($B$1,$B$2,$B$7,$B$3,$B$4,$B$5,$F203,$B$6,O$10,$A203,$B203)</f>
        <v>0</v>
      </c>
      <c r="P203" s="4">
        <f ca="1">_xll.DBRW($B$1,$B$2,$B$7,$B$3,$B$4,$B$5,$F203,$B$6,P$10,$A203,$B203)</f>
        <v>0</v>
      </c>
      <c r="Q203" s="4">
        <f ca="1">_xll.DBRW($B$1,$B$2,$B$7,$B$3,$B$4,$B$5,$F203,$B$6,Q$10,$A203,$B203)</f>
        <v>0</v>
      </c>
      <c r="R203" s="4">
        <f ca="1">_xll.DBRW($B$1,$B$2,$B$7,$B$3,$B$4,$B$5,$F203,$B$6,R$10,$A203,$B203)</f>
        <v>0</v>
      </c>
      <c r="S203" s="4">
        <f ca="1">_xll.DBRW($B$1,$B$2,$B$7,$B$3,$B$4,$B$5,$F203,$B$6,S$10,$A203,$B203)</f>
        <v>0</v>
      </c>
      <c r="T203" s="4">
        <f ca="1">_xll.DBRW($B$1,$B$2,$B$7,$B$3,$B$4,$B$5,$F203,$B$6,T$10,$A203,$B203)</f>
        <v>0</v>
      </c>
      <c r="U203" s="4">
        <f ca="1">_xll.DBRW($B$1,$B$2,$B$7,$B$3,$B$4,$B$5,$F203,$B$6,U$10,$A203,$B203)</f>
        <v>0</v>
      </c>
      <c r="V203" s="4">
        <f ca="1">_xll.DBRW($B$1,$B$2,$B$7,$B$3,$B$4,$B$5,$F203,$B$6,V$10,$A203,$B203)</f>
        <v>0</v>
      </c>
      <c r="W203" s="4">
        <f ca="1">_xll.DBRW($B$1,$B$2,$B$7,$B$3,$B$4,$B$5,$F203,$B$6,W$10,$A203,$B203)</f>
        <v>0</v>
      </c>
      <c r="X203" s="4">
        <f ca="1">_xll.DBRW($B$1,$B$2,$B$7,$B$3,$B$4,$B$5,$F203,$B$6,X$10,$A203,$B203)</f>
        <v>0</v>
      </c>
      <c r="Y203" s="4">
        <f ca="1">_xll.DBRW($B$1,$B$2,$B$7,$B$3,$B$4,$B$5,$F203,$B$6,Y$10,$A203,$B203)</f>
        <v>0</v>
      </c>
      <c r="Z203" s="4">
        <f ca="1">_xll.DBRW($B$1,$B$2,$B$7,$B$3,$B$4,$B$5,$F203,$B$6,Z$10,$A203,$B203)</f>
        <v>0</v>
      </c>
      <c r="AA203" s="4">
        <f ca="1">_xll.DBRW($B$1,$B$2,$B$7,$B$3,$B$4,$B$5,$F203,$B$6,AA$10,$A203,$B203)</f>
        <v>0</v>
      </c>
      <c r="AB203" s="4">
        <f ca="1">_xll.DBRW($B$1,$B$2,$B$7,$B$3,$B$4,$B$5,$F203,$B$6,AB$10,$A203,$B203)</f>
        <v>0</v>
      </c>
      <c r="AC203" s="4">
        <f ca="1">_xll.DBRW($B$1,$B$2,$B$7,$B$3,$B$4,$B$5,$F203,$B$6,AC$10,$A203,$B203)</f>
        <v>0</v>
      </c>
      <c r="AD203" s="4">
        <f ca="1">_xll.DBRW($B$1,$B$2,$B$7,$B$3,$B$4,$B$5,$F203,$B$6,AD$10,$A203,$B203)</f>
        <v>0</v>
      </c>
      <c r="AE203" s="4">
        <f ca="1">_xll.DBRW($B$1,$B$2,$B$7,$B$3,$B$4,$B$5,$F203,$B$6,AE$10,$A203,$B203)</f>
        <v>470.36056870181358</v>
      </c>
    </row>
    <row r="204" spans="1:31">
      <c r="A204" s="1" t="s">
        <v>151</v>
      </c>
      <c r="B204" s="5" t="s">
        <v>250</v>
      </c>
      <c r="C204" s="5" t="s">
        <v>251</v>
      </c>
      <c r="D204" s="5" t="s">
        <v>249</v>
      </c>
      <c r="E204" s="5" t="s">
        <v>21</v>
      </c>
      <c r="F204" s="5" t="s">
        <v>24</v>
      </c>
      <c r="G204" s="6"/>
      <c r="H204" s="6"/>
      <c r="I204" s="6"/>
      <c r="J204" s="6"/>
      <c r="K204" s="6"/>
      <c r="L204" s="4">
        <f ca="1">_xll.DBRW($B$1,$B$2,$B$7,$B$3,$B$4,$B$5,$F204,$B$6,L$10,$A204,$B204)</f>
        <v>0</v>
      </c>
      <c r="M204" s="4">
        <f ca="1">_xll.DBRW($B$1,$B$2,$B$7,$B$3,$B$4,$B$5,$F204,$B$6,M$10,$A204,$B204)</f>
        <v>0</v>
      </c>
      <c r="N204" s="4">
        <f ca="1">_xll.DBRW($B$1,$B$2,$B$7,$B$3,$B$4,$B$5,$F204,$B$6,N$10,$A204,$B204)</f>
        <v>0</v>
      </c>
      <c r="O204" s="4">
        <f ca="1">_xll.DBRW($B$1,$B$2,$B$7,$B$3,$B$4,$B$5,$F204,$B$6,O$10,$A204,$B204)</f>
        <v>0</v>
      </c>
      <c r="P204" s="4">
        <f ca="1">_xll.DBRW($B$1,$B$2,$B$7,$B$3,$B$4,$B$5,$F204,$B$6,P$10,$A204,$B204)</f>
        <v>0</v>
      </c>
      <c r="Q204" s="4">
        <f ca="1">_xll.DBRW($B$1,$B$2,$B$7,$B$3,$B$4,$B$5,$F204,$B$6,Q$10,$A204,$B204)</f>
        <v>0</v>
      </c>
      <c r="R204" s="4">
        <f ca="1">_xll.DBRW($B$1,$B$2,$B$7,$B$3,$B$4,$B$5,$F204,$B$6,R$10,$A204,$B204)</f>
        <v>0</v>
      </c>
      <c r="S204" s="4">
        <f ca="1">_xll.DBRW($B$1,$B$2,$B$7,$B$3,$B$4,$B$5,$F204,$B$6,S$10,$A204,$B204)</f>
        <v>0</v>
      </c>
      <c r="T204" s="4">
        <f ca="1">_xll.DBRW($B$1,$B$2,$B$7,$B$3,$B$4,$B$5,$F204,$B$6,T$10,$A204,$B204)</f>
        <v>0</v>
      </c>
      <c r="U204" s="4">
        <f ca="1">_xll.DBRW($B$1,$B$2,$B$7,$B$3,$B$4,$B$5,$F204,$B$6,U$10,$A204,$B204)</f>
        <v>0</v>
      </c>
      <c r="V204" s="4">
        <f ca="1">_xll.DBRW($B$1,$B$2,$B$7,$B$3,$B$4,$B$5,$F204,$B$6,V$10,$A204,$B204)</f>
        <v>0</v>
      </c>
      <c r="W204" s="4">
        <f ca="1">_xll.DBRW($B$1,$B$2,$B$7,$B$3,$B$4,$B$5,$F204,$B$6,W$10,$A204,$B204)</f>
        <v>0</v>
      </c>
      <c r="X204" s="4">
        <f ca="1">_xll.DBRW($B$1,$B$2,$B$7,$B$3,$B$4,$B$5,$F204,$B$6,X$10,$A204,$B204)</f>
        <v>0</v>
      </c>
      <c r="Y204" s="4">
        <f ca="1">_xll.DBRW($B$1,$B$2,$B$7,$B$3,$B$4,$B$5,$F204,$B$6,Y$10,$A204,$B204)</f>
        <v>0</v>
      </c>
      <c r="Z204" s="4">
        <f ca="1">_xll.DBRW($B$1,$B$2,$B$7,$B$3,$B$4,$B$5,$F204,$B$6,Z$10,$A204,$B204)</f>
        <v>0</v>
      </c>
      <c r="AA204" s="4">
        <f ca="1">_xll.DBRW($B$1,$B$2,$B$7,$B$3,$B$4,$B$5,$F204,$B$6,AA$10,$A204,$B204)</f>
        <v>0</v>
      </c>
      <c r="AB204" s="4">
        <f ca="1">_xll.DBRW($B$1,$B$2,$B$7,$B$3,$B$4,$B$5,$F204,$B$6,AB$10,$A204,$B204)</f>
        <v>0</v>
      </c>
      <c r="AC204" s="4">
        <f ca="1">_xll.DBRW($B$1,$B$2,$B$7,$B$3,$B$4,$B$5,$F204,$B$6,AC$10,$A204,$B204)</f>
        <v>0</v>
      </c>
      <c r="AD204" s="4">
        <f ca="1">_xll.DBRW($B$1,$B$2,$B$7,$B$3,$B$4,$B$5,$F204,$B$6,AD$10,$A204,$B204)</f>
        <v>0</v>
      </c>
      <c r="AE204" s="4">
        <f ca="1">_xll.DBRW($B$1,$B$2,$B$7,$B$3,$B$4,$B$5,$F204,$B$6,AE$10,$A204,$B204)</f>
        <v>470.36056870181358</v>
      </c>
    </row>
    <row r="205" spans="1:31">
      <c r="A205" s="1" t="s">
        <v>151</v>
      </c>
      <c r="B205" s="5" t="s">
        <v>252</v>
      </c>
      <c r="C205" s="5" t="s">
        <v>226</v>
      </c>
      <c r="D205" s="5" t="s">
        <v>21</v>
      </c>
      <c r="E205" s="5" t="s">
        <v>227</v>
      </c>
      <c r="F205" s="5" t="s">
        <v>24</v>
      </c>
      <c r="G205" s="6"/>
      <c r="H205" s="6"/>
      <c r="I205" s="6"/>
      <c r="J205" s="6"/>
      <c r="K205" s="6"/>
      <c r="L205" s="4">
        <f ca="1">_xll.DBRW($B$1,$B$2,$B$7,$B$3,$B$4,$B$5,$F205,$B$6,L$10,$A205,$B205)</f>
        <v>195.39331972857934</v>
      </c>
      <c r="M205" s="4">
        <f ca="1">_xll.DBRW($B$1,$B$2,$B$7,$B$3,$B$4,$B$5,$F205,$B$6,M$10,$A205,$B205)</f>
        <v>0</v>
      </c>
      <c r="N205" s="4">
        <f ca="1">_xll.DBRW($B$1,$B$2,$B$7,$B$3,$B$4,$B$5,$F205,$B$6,N$10,$A205,$B205)</f>
        <v>0</v>
      </c>
      <c r="O205" s="4">
        <f ca="1">_xll.DBRW($B$1,$B$2,$B$7,$B$3,$B$4,$B$5,$F205,$B$6,O$10,$A205,$B205)</f>
        <v>0</v>
      </c>
      <c r="P205" s="4">
        <f ca="1">_xll.DBRW($B$1,$B$2,$B$7,$B$3,$B$4,$B$5,$F205,$B$6,P$10,$A205,$B205)</f>
        <v>0</v>
      </c>
      <c r="Q205" s="4">
        <f ca="1">_xll.DBRW($B$1,$B$2,$B$7,$B$3,$B$4,$B$5,$F205,$B$6,Q$10,$A205,$B205)</f>
        <v>0</v>
      </c>
      <c r="R205" s="4">
        <f ca="1">_xll.DBRW($B$1,$B$2,$B$7,$B$3,$B$4,$B$5,$F205,$B$6,R$10,$A205,$B205)</f>
        <v>0</v>
      </c>
      <c r="S205" s="4">
        <f ca="1">_xll.DBRW($B$1,$B$2,$B$7,$B$3,$B$4,$B$5,$F205,$B$6,S$10,$A205,$B205)</f>
        <v>486.70192726226452</v>
      </c>
      <c r="T205" s="4">
        <f ca="1">_xll.DBRW($B$1,$B$2,$B$7,$B$3,$B$4,$B$5,$F205,$B$6,T$10,$A205,$B205)</f>
        <v>631.57864904572648</v>
      </c>
      <c r="U205" s="4">
        <f ca="1">_xll.DBRW($B$1,$B$2,$B$7,$B$3,$B$4,$B$5,$F205,$B$6,U$10,$A205,$B205)</f>
        <v>585.45023273013442</v>
      </c>
      <c r="V205" s="4">
        <f ca="1">_xll.DBRW($B$1,$B$2,$B$7,$B$3,$B$4,$B$5,$F205,$B$6,V$10,$A205,$B205)</f>
        <v>523.40106460112236</v>
      </c>
      <c r="W205" s="4">
        <f ca="1">_xll.DBRW($B$1,$B$2,$B$7,$B$3,$B$4,$B$5,$F205,$B$6,W$10,$A205,$B205)</f>
        <v>0</v>
      </c>
      <c r="X205" s="4">
        <f ca="1">_xll.DBRW($B$1,$B$2,$B$7,$B$3,$B$4,$B$5,$F205,$B$6,X$10,$A205,$B205)</f>
        <v>0</v>
      </c>
      <c r="Y205" s="4">
        <f ca="1">_xll.DBRW($B$1,$B$2,$B$7,$B$3,$B$4,$B$5,$F205,$B$6,Y$10,$A205,$B205)</f>
        <v>0</v>
      </c>
      <c r="Z205" s="4">
        <f ca="1">_xll.DBRW($B$1,$B$2,$B$7,$B$3,$B$4,$B$5,$F205,$B$6,Z$10,$A205,$B205)</f>
        <v>0</v>
      </c>
      <c r="AA205" s="4">
        <f ca="1">_xll.DBRW($B$1,$B$2,$B$7,$B$3,$B$4,$B$5,$F205,$B$6,AA$10,$A205,$B205)</f>
        <v>0</v>
      </c>
      <c r="AB205" s="4">
        <f ca="1">_xll.DBRW($B$1,$B$2,$B$7,$B$3,$B$4,$B$5,$F205,$B$6,AB$10,$A205,$B205)</f>
        <v>0</v>
      </c>
      <c r="AC205" s="4">
        <f ca="1">_xll.DBRW($B$1,$B$2,$B$7,$B$3,$B$4,$B$5,$F205,$B$6,AC$10,$A205,$B205)</f>
        <v>58.92285308358786</v>
      </c>
      <c r="AD205" s="4">
        <f ca="1">_xll.DBRW($B$1,$B$2,$B$7,$B$3,$B$4,$B$5,$F205,$B$6,AD$10,$A205,$B205)</f>
        <v>412.77126367807625</v>
      </c>
      <c r="AE205" s="4">
        <f ca="1">_xll.DBRW($B$1,$B$2,$B$7,$B$3,$B$4,$B$5,$F205,$B$6,AE$10,$A205,$B205)</f>
        <v>417.9542391041727</v>
      </c>
    </row>
    <row r="206" spans="1:31">
      <c r="A206" s="1" t="s">
        <v>151</v>
      </c>
      <c r="B206" s="5" t="s">
        <v>253</v>
      </c>
      <c r="C206" s="5" t="s">
        <v>229</v>
      </c>
      <c r="D206" s="5" t="s">
        <v>227</v>
      </c>
      <c r="E206" s="5" t="s">
        <v>21</v>
      </c>
      <c r="F206" s="5" t="s">
        <v>24</v>
      </c>
      <c r="G206" s="6"/>
      <c r="H206" s="6"/>
      <c r="I206" s="6"/>
      <c r="J206" s="6"/>
      <c r="K206" s="6"/>
      <c r="L206" s="4">
        <f ca="1">_xll.DBRW($B$1,$B$2,$B$7,$B$3,$B$4,$B$5,$F206,$B$6,L$10,$A206,$B206)</f>
        <v>195.39331972857934</v>
      </c>
      <c r="M206" s="4">
        <f ca="1">_xll.DBRW($B$1,$B$2,$B$7,$B$3,$B$4,$B$5,$F206,$B$6,M$10,$A206,$B206)</f>
        <v>0</v>
      </c>
      <c r="N206" s="4">
        <f ca="1">_xll.DBRW($B$1,$B$2,$B$7,$B$3,$B$4,$B$5,$F206,$B$6,N$10,$A206,$B206)</f>
        <v>0</v>
      </c>
      <c r="O206" s="4">
        <f ca="1">_xll.DBRW($B$1,$B$2,$B$7,$B$3,$B$4,$B$5,$F206,$B$6,O$10,$A206,$B206)</f>
        <v>0</v>
      </c>
      <c r="P206" s="4">
        <f ca="1">_xll.DBRW($B$1,$B$2,$B$7,$B$3,$B$4,$B$5,$F206,$B$6,P$10,$A206,$B206)</f>
        <v>0</v>
      </c>
      <c r="Q206" s="4">
        <f ca="1">_xll.DBRW($B$1,$B$2,$B$7,$B$3,$B$4,$B$5,$F206,$B$6,Q$10,$A206,$B206)</f>
        <v>0</v>
      </c>
      <c r="R206" s="4">
        <f ca="1">_xll.DBRW($B$1,$B$2,$B$7,$B$3,$B$4,$B$5,$F206,$B$6,R$10,$A206,$B206)</f>
        <v>0</v>
      </c>
      <c r="S206" s="4">
        <f ca="1">_xll.DBRW($B$1,$B$2,$B$7,$B$3,$B$4,$B$5,$F206,$B$6,S$10,$A206,$B206)</f>
        <v>486.70192726226452</v>
      </c>
      <c r="T206" s="4">
        <f ca="1">_xll.DBRW($B$1,$B$2,$B$7,$B$3,$B$4,$B$5,$F206,$B$6,T$10,$A206,$B206)</f>
        <v>631.57864904572648</v>
      </c>
      <c r="U206" s="4">
        <f ca="1">_xll.DBRW($B$1,$B$2,$B$7,$B$3,$B$4,$B$5,$F206,$B$6,U$10,$A206,$B206)</f>
        <v>585.45023273013442</v>
      </c>
      <c r="V206" s="4">
        <f ca="1">_xll.DBRW($B$1,$B$2,$B$7,$B$3,$B$4,$B$5,$F206,$B$6,V$10,$A206,$B206)</f>
        <v>523.40106460112236</v>
      </c>
      <c r="W206" s="4">
        <f ca="1">_xll.DBRW($B$1,$B$2,$B$7,$B$3,$B$4,$B$5,$F206,$B$6,W$10,$A206,$B206)</f>
        <v>0</v>
      </c>
      <c r="X206" s="4">
        <f ca="1">_xll.DBRW($B$1,$B$2,$B$7,$B$3,$B$4,$B$5,$F206,$B$6,X$10,$A206,$B206)</f>
        <v>0</v>
      </c>
      <c r="Y206" s="4">
        <f ca="1">_xll.DBRW($B$1,$B$2,$B$7,$B$3,$B$4,$B$5,$F206,$B$6,Y$10,$A206,$B206)</f>
        <v>0</v>
      </c>
      <c r="Z206" s="4">
        <f ca="1">_xll.DBRW($B$1,$B$2,$B$7,$B$3,$B$4,$B$5,$F206,$B$6,Z$10,$A206,$B206)</f>
        <v>0</v>
      </c>
      <c r="AA206" s="4">
        <f ca="1">_xll.DBRW($B$1,$B$2,$B$7,$B$3,$B$4,$B$5,$F206,$B$6,AA$10,$A206,$B206)</f>
        <v>0</v>
      </c>
      <c r="AB206" s="4">
        <f ca="1">_xll.DBRW($B$1,$B$2,$B$7,$B$3,$B$4,$B$5,$F206,$B$6,AB$10,$A206,$B206)</f>
        <v>0</v>
      </c>
      <c r="AC206" s="4">
        <f ca="1">_xll.DBRW($B$1,$B$2,$B$7,$B$3,$B$4,$B$5,$F206,$B$6,AC$10,$A206,$B206)</f>
        <v>58.92285308358786</v>
      </c>
      <c r="AD206" s="4">
        <f ca="1">_xll.DBRW($B$1,$B$2,$B$7,$B$3,$B$4,$B$5,$F206,$B$6,AD$10,$A206,$B206)</f>
        <v>412.77126367807625</v>
      </c>
      <c r="AE206" s="4">
        <f ca="1">_xll.DBRW($B$1,$B$2,$B$7,$B$3,$B$4,$B$5,$F206,$B$6,AE$10,$A206,$B206)</f>
        <v>417.9542391041727</v>
      </c>
    </row>
    <row r="207" spans="1:31">
      <c r="A207" s="1" t="s">
        <v>151</v>
      </c>
      <c r="B207" s="5" t="s">
        <v>254</v>
      </c>
      <c r="C207" s="5" t="s">
        <v>255</v>
      </c>
      <c r="D207" s="5" t="s">
        <v>60</v>
      </c>
      <c r="E207" s="5" t="s">
        <v>59</v>
      </c>
      <c r="F207" s="5" t="s">
        <v>24</v>
      </c>
      <c r="G207" s="6"/>
      <c r="H207" s="6"/>
      <c r="I207" s="6"/>
      <c r="J207" s="6"/>
      <c r="K207" s="6"/>
      <c r="L207" s="4">
        <f ca="1">_xll.DBRW($B$1,$B$2,$B$7,$B$3,$B$4,$B$5,$F207,$B$6,L$10,$A207,$B207)</f>
        <v>435.19421212274489</v>
      </c>
      <c r="M207" s="4">
        <f ca="1">_xll.DBRW($B$1,$B$2,$B$7,$B$3,$B$4,$B$5,$F207,$B$6,M$10,$A207,$B207)</f>
        <v>419.11196341459453</v>
      </c>
      <c r="N207" s="4">
        <f ca="1">_xll.DBRW($B$1,$B$2,$B$7,$B$3,$B$4,$B$5,$F207,$B$6,N$10,$A207,$B207)</f>
        <v>482.34196786706622</v>
      </c>
      <c r="O207" s="4">
        <f ca="1">_xll.DBRW($B$1,$B$2,$B$7,$B$3,$B$4,$B$5,$F207,$B$6,O$10,$A207,$B207)</f>
        <v>446.63206666825079</v>
      </c>
      <c r="P207" s="4">
        <f ca="1">_xll.DBRW($B$1,$B$2,$B$7,$B$3,$B$4,$B$5,$F207,$B$6,P$10,$A207,$B207)</f>
        <v>381.45072050902007</v>
      </c>
      <c r="Q207" s="4">
        <f ca="1">_xll.DBRW($B$1,$B$2,$B$7,$B$3,$B$4,$B$5,$F207,$B$6,Q$10,$A207,$B207)</f>
        <v>409.79922116801077</v>
      </c>
      <c r="R207" s="4">
        <f ca="1">_xll.DBRW($B$1,$B$2,$B$7,$B$3,$B$4,$B$5,$F207,$B$6,R$10,$A207,$B207)</f>
        <v>0</v>
      </c>
      <c r="S207" s="4">
        <f ca="1">_xll.DBRW($B$1,$B$2,$B$7,$B$3,$B$4,$B$5,$F207,$B$6,S$10,$A207,$B207)</f>
        <v>0</v>
      </c>
      <c r="T207" s="4">
        <f ca="1">_xll.DBRW($B$1,$B$2,$B$7,$B$3,$B$4,$B$5,$F207,$B$6,T$10,$A207,$B207)</f>
        <v>0</v>
      </c>
      <c r="U207" s="4">
        <f ca="1">_xll.DBRW($B$1,$B$2,$B$7,$B$3,$B$4,$B$5,$F207,$B$6,U$10,$A207,$B207)</f>
        <v>0</v>
      </c>
      <c r="V207" s="4">
        <f ca="1">_xll.DBRW($B$1,$B$2,$B$7,$B$3,$B$4,$B$5,$F207,$B$6,V$10,$A207,$B207)</f>
        <v>0</v>
      </c>
      <c r="W207" s="4">
        <f ca="1">_xll.DBRW($B$1,$B$2,$B$7,$B$3,$B$4,$B$5,$F207,$B$6,W$10,$A207,$B207)</f>
        <v>343.81963888378806</v>
      </c>
      <c r="X207" s="4">
        <f ca="1">_xll.DBRW($B$1,$B$2,$B$7,$B$3,$B$4,$B$5,$F207,$B$6,X$10,$A207,$B207)</f>
        <v>371.25269644850744</v>
      </c>
      <c r="Y207" s="4">
        <f ca="1">_xll.DBRW($B$1,$B$2,$B$7,$B$3,$B$4,$B$5,$F207,$B$6,Y$10,$A207,$B207)</f>
        <v>387.07682619691417</v>
      </c>
      <c r="Z207" s="4">
        <f ca="1">_xll.DBRW($B$1,$B$2,$B$7,$B$3,$B$4,$B$5,$F207,$B$6,Z$10,$A207,$B207)</f>
        <v>483.23411955596418</v>
      </c>
      <c r="AA207" s="4">
        <f ca="1">_xll.DBRW($B$1,$B$2,$B$7,$B$3,$B$4,$B$5,$F207,$B$6,AA$10,$A207,$B207)</f>
        <v>448.09348481219513</v>
      </c>
      <c r="AB207" s="4">
        <f ca="1">_xll.DBRW($B$1,$B$2,$B$7,$B$3,$B$4,$B$5,$F207,$B$6,AB$10,$A207,$B207)</f>
        <v>429.4476904011176</v>
      </c>
      <c r="AC207" s="4">
        <f ca="1">_xll.DBRW($B$1,$B$2,$B$7,$B$3,$B$4,$B$5,$F207,$B$6,AC$10,$A207,$B207)</f>
        <v>414.51055791364934</v>
      </c>
      <c r="AD207" s="4">
        <f ca="1">_xll.DBRW($B$1,$B$2,$B$7,$B$3,$B$4,$B$5,$F207,$B$6,AD$10,$A207,$B207)</f>
        <v>0</v>
      </c>
      <c r="AE207" s="4">
        <f ca="1">_xll.DBRW($B$1,$B$2,$B$7,$B$3,$B$4,$B$5,$F207,$B$6,AE$10,$A207,$B207)</f>
        <v>0</v>
      </c>
    </row>
    <row r="208" spans="1:31">
      <c r="A208" s="1" t="s">
        <v>151</v>
      </c>
      <c r="B208" s="5" t="s">
        <v>57</v>
      </c>
      <c r="C208" s="5" t="s">
        <v>58</v>
      </c>
      <c r="D208" s="5" t="s">
        <v>59</v>
      </c>
      <c r="E208" s="5" t="s">
        <v>60</v>
      </c>
      <c r="F208" s="5" t="s">
        <v>24</v>
      </c>
      <c r="G208" s="6"/>
      <c r="H208" s="6"/>
      <c r="I208" s="6"/>
      <c r="J208" s="6"/>
      <c r="K208" s="6"/>
      <c r="L208" s="4">
        <f ca="1">_xll.DBRW($B$1,$B$2,$B$7,$B$3,$B$4,$B$5,$F208,$B$6,L$10,$A208,$B208)</f>
        <v>435.19421212274489</v>
      </c>
      <c r="M208" s="4">
        <f ca="1">_xll.DBRW($B$1,$B$2,$B$7,$B$3,$B$4,$B$5,$F208,$B$6,M$10,$A208,$B208)</f>
        <v>372.54396747963955</v>
      </c>
      <c r="N208" s="4">
        <f ca="1">_xll.DBRW($B$1,$B$2,$B$7,$B$3,$B$4,$B$5,$F208,$B$6,N$10,$A208,$B208)</f>
        <v>482.34196786706622</v>
      </c>
      <c r="O208" s="4">
        <f ca="1">_xll.DBRW($B$1,$B$2,$B$7,$B$3,$B$4,$B$5,$F208,$B$6,O$10,$A208,$B208)</f>
        <v>446.63206666825079</v>
      </c>
      <c r="P208" s="4">
        <f ca="1">_xll.DBRW($B$1,$B$2,$B$7,$B$3,$B$4,$B$5,$F208,$B$6,P$10,$A208,$B208)</f>
        <v>381.45072050902007</v>
      </c>
      <c r="Q208" s="4">
        <f ca="1">_xll.DBRW($B$1,$B$2,$B$7,$B$3,$B$4,$B$5,$F208,$B$6,Q$10,$A208,$B208)</f>
        <v>409.79922116801077</v>
      </c>
      <c r="R208" s="4">
        <f ca="1">_xll.DBRW($B$1,$B$2,$B$7,$B$3,$B$4,$B$5,$F208,$B$6,R$10,$A208,$B208)</f>
        <v>0</v>
      </c>
      <c r="S208" s="4">
        <f ca="1">_xll.DBRW($B$1,$B$2,$B$7,$B$3,$B$4,$B$5,$F208,$B$6,S$10,$A208,$B208)</f>
        <v>0</v>
      </c>
      <c r="T208" s="4">
        <f ca="1">_xll.DBRW($B$1,$B$2,$B$7,$B$3,$B$4,$B$5,$F208,$B$6,T$10,$A208,$B208)</f>
        <v>0</v>
      </c>
      <c r="U208" s="4">
        <f ca="1">_xll.DBRW($B$1,$B$2,$B$7,$B$3,$B$4,$B$5,$F208,$B$6,U$10,$A208,$B208)</f>
        <v>0</v>
      </c>
      <c r="V208" s="4">
        <f ca="1">_xll.DBRW($B$1,$B$2,$B$7,$B$3,$B$4,$B$5,$F208,$B$6,V$10,$A208,$B208)</f>
        <v>0</v>
      </c>
      <c r="W208" s="4">
        <f ca="1">_xll.DBRW($B$1,$B$2,$B$7,$B$3,$B$4,$B$5,$F208,$B$6,W$10,$A208,$B208)</f>
        <v>343.81963888378806</v>
      </c>
      <c r="X208" s="4">
        <f ca="1">_xll.DBRW($B$1,$B$2,$B$7,$B$3,$B$4,$B$5,$F208,$B$6,X$10,$A208,$B208)</f>
        <v>371.25269644850744</v>
      </c>
      <c r="Y208" s="4">
        <f ca="1">_xll.DBRW($B$1,$B$2,$B$7,$B$3,$B$4,$B$5,$F208,$B$6,Y$10,$A208,$B208)</f>
        <v>387.07682619691417</v>
      </c>
      <c r="Z208" s="4">
        <f ca="1">_xll.DBRW($B$1,$B$2,$B$7,$B$3,$B$4,$B$5,$F208,$B$6,Z$10,$A208,$B208)</f>
        <v>483.23411955596418</v>
      </c>
      <c r="AA208" s="4">
        <f ca="1">_xll.DBRW($B$1,$B$2,$B$7,$B$3,$B$4,$B$5,$F208,$B$6,AA$10,$A208,$B208)</f>
        <v>448.09348481219513</v>
      </c>
      <c r="AB208" s="4">
        <f ca="1">_xll.DBRW($B$1,$B$2,$B$7,$B$3,$B$4,$B$5,$F208,$B$6,AB$10,$A208,$B208)</f>
        <v>483.12865170125718</v>
      </c>
      <c r="AC208" s="4">
        <f ca="1">_xll.DBRW($B$1,$B$2,$B$7,$B$3,$B$4,$B$5,$F208,$B$6,AC$10,$A208,$B208)</f>
        <v>362.69673817444317</v>
      </c>
      <c r="AD208" s="4">
        <f ca="1">_xll.DBRW($B$1,$B$2,$B$7,$B$3,$B$4,$B$5,$F208,$B$6,AD$10,$A208,$B208)</f>
        <v>0</v>
      </c>
      <c r="AE208" s="4">
        <f ca="1">_xll.DBRW($B$1,$B$2,$B$7,$B$3,$B$4,$B$5,$F208,$B$6,AE$10,$A208,$B208)</f>
        <v>0</v>
      </c>
    </row>
    <row r="209" spans="1:31">
      <c r="A209" s="1" t="s">
        <v>151</v>
      </c>
      <c r="B209" s="5" t="s">
        <v>256</v>
      </c>
      <c r="C209" s="5" t="s">
        <v>206</v>
      </c>
      <c r="D209" s="5" t="s">
        <v>21</v>
      </c>
      <c r="E209" s="5" t="s">
        <v>181</v>
      </c>
      <c r="F209" s="5" t="s">
        <v>24</v>
      </c>
      <c r="G209" s="6"/>
      <c r="H209" s="6"/>
      <c r="I209" s="6"/>
      <c r="J209" s="6"/>
      <c r="K209" s="6"/>
      <c r="L209" s="4">
        <f ca="1">_xll.DBRW($B$1,$B$2,$B$7,$B$3,$B$4,$B$5,$F209,$B$6,L$10,$A209,$B209)</f>
        <v>0</v>
      </c>
      <c r="M209" s="4">
        <f ca="1">_xll.DBRW($B$1,$B$2,$B$7,$B$3,$B$4,$B$5,$F209,$B$6,M$10,$A209,$B209)</f>
        <v>0</v>
      </c>
      <c r="N209" s="4">
        <f ca="1">_xll.DBRW($B$1,$B$2,$B$7,$B$3,$B$4,$B$5,$F209,$B$6,N$10,$A209,$B209)</f>
        <v>0</v>
      </c>
      <c r="O209" s="4">
        <f ca="1">_xll.DBRW($B$1,$B$2,$B$7,$B$3,$B$4,$B$5,$F209,$B$6,O$10,$A209,$B209)</f>
        <v>0</v>
      </c>
      <c r="P209" s="4">
        <f ca="1">_xll.DBRW($B$1,$B$2,$B$7,$B$3,$B$4,$B$5,$F209,$B$6,P$10,$A209,$B209)</f>
        <v>0</v>
      </c>
      <c r="Q209" s="4">
        <f ca="1">_xll.DBRW($B$1,$B$2,$B$7,$B$3,$B$4,$B$5,$F209,$B$6,Q$10,$A209,$B209)</f>
        <v>0</v>
      </c>
      <c r="R209" s="4">
        <f ca="1">_xll.DBRW($B$1,$B$2,$B$7,$B$3,$B$4,$B$5,$F209,$B$6,R$10,$A209,$B209)</f>
        <v>0</v>
      </c>
      <c r="S209" s="4">
        <f ca="1">_xll.DBRW($B$1,$B$2,$B$7,$B$3,$B$4,$B$5,$F209,$B$6,S$10,$A209,$B209)</f>
        <v>0</v>
      </c>
      <c r="T209" s="4">
        <f ca="1">_xll.DBRW($B$1,$B$2,$B$7,$B$3,$B$4,$B$5,$F209,$B$6,T$10,$A209,$B209)</f>
        <v>0</v>
      </c>
      <c r="U209" s="4">
        <f ca="1">_xll.DBRW($B$1,$B$2,$B$7,$B$3,$B$4,$B$5,$F209,$B$6,U$10,$A209,$B209)</f>
        <v>0</v>
      </c>
      <c r="V209" s="4">
        <f ca="1">_xll.DBRW($B$1,$B$2,$B$7,$B$3,$B$4,$B$5,$F209,$B$6,V$10,$A209,$B209)</f>
        <v>0</v>
      </c>
      <c r="W209" s="4">
        <f ca="1">_xll.DBRW($B$1,$B$2,$B$7,$B$3,$B$4,$B$5,$F209,$B$6,W$10,$A209,$B209)</f>
        <v>0</v>
      </c>
      <c r="X209" s="4">
        <f ca="1">_xll.DBRW($B$1,$B$2,$B$7,$B$3,$B$4,$B$5,$F209,$B$6,X$10,$A209,$B209)</f>
        <v>0</v>
      </c>
      <c r="Y209" s="4">
        <f ca="1">_xll.DBRW($B$1,$B$2,$B$7,$B$3,$B$4,$B$5,$F209,$B$6,Y$10,$A209,$B209)</f>
        <v>0</v>
      </c>
      <c r="Z209" s="4">
        <f ca="1">_xll.DBRW($B$1,$B$2,$B$7,$B$3,$B$4,$B$5,$F209,$B$6,Z$10,$A209,$B209)</f>
        <v>0</v>
      </c>
      <c r="AA209" s="4">
        <f ca="1">_xll.DBRW($B$1,$B$2,$B$7,$B$3,$B$4,$B$5,$F209,$B$6,AA$10,$A209,$B209)</f>
        <v>0</v>
      </c>
      <c r="AB209" s="4">
        <f ca="1">_xll.DBRW($B$1,$B$2,$B$7,$B$3,$B$4,$B$5,$F209,$B$6,AB$10,$A209,$B209)</f>
        <v>0</v>
      </c>
      <c r="AC209" s="4">
        <f ca="1">_xll.DBRW($B$1,$B$2,$B$7,$B$3,$B$4,$B$5,$F209,$B$6,AC$10,$A209,$B209)</f>
        <v>0</v>
      </c>
      <c r="AD209" s="4">
        <f ca="1">_xll.DBRW($B$1,$B$2,$B$7,$B$3,$B$4,$B$5,$F209,$B$6,AD$10,$A209,$B209)</f>
        <v>0</v>
      </c>
      <c r="AE209" s="4">
        <f ca="1">_xll.DBRW($B$1,$B$2,$B$7,$B$3,$B$4,$B$5,$F209,$B$6,AE$10,$A209,$B209)</f>
        <v>0</v>
      </c>
    </row>
    <row r="210" spans="1:31">
      <c r="A210" s="1" t="s">
        <v>151</v>
      </c>
      <c r="B210" s="5" t="s">
        <v>257</v>
      </c>
      <c r="C210" s="5" t="s">
        <v>208</v>
      </c>
      <c r="D210" s="5" t="s">
        <v>181</v>
      </c>
      <c r="E210" s="5" t="s">
        <v>21</v>
      </c>
      <c r="F210" s="5" t="s">
        <v>24</v>
      </c>
      <c r="G210" s="6"/>
      <c r="H210" s="6"/>
      <c r="I210" s="6"/>
      <c r="J210" s="6"/>
      <c r="K210" s="6"/>
      <c r="L210" s="4">
        <f ca="1">_xll.DBRW($B$1,$B$2,$B$7,$B$3,$B$4,$B$5,$F210,$B$6,L$10,$A210,$B210)</f>
        <v>0</v>
      </c>
      <c r="M210" s="4">
        <f ca="1">_xll.DBRW($B$1,$B$2,$B$7,$B$3,$B$4,$B$5,$F210,$B$6,M$10,$A210,$B210)</f>
        <v>0</v>
      </c>
      <c r="N210" s="4">
        <f ca="1">_xll.DBRW($B$1,$B$2,$B$7,$B$3,$B$4,$B$5,$F210,$B$6,N$10,$A210,$B210)</f>
        <v>0</v>
      </c>
      <c r="O210" s="4">
        <f ca="1">_xll.DBRW($B$1,$B$2,$B$7,$B$3,$B$4,$B$5,$F210,$B$6,O$10,$A210,$B210)</f>
        <v>0</v>
      </c>
      <c r="P210" s="4">
        <f ca="1">_xll.DBRW($B$1,$B$2,$B$7,$B$3,$B$4,$B$5,$F210,$B$6,P$10,$A210,$B210)</f>
        <v>0</v>
      </c>
      <c r="Q210" s="4">
        <f ca="1">_xll.DBRW($B$1,$B$2,$B$7,$B$3,$B$4,$B$5,$F210,$B$6,Q$10,$A210,$B210)</f>
        <v>0</v>
      </c>
      <c r="R210" s="4">
        <f ca="1">_xll.DBRW($B$1,$B$2,$B$7,$B$3,$B$4,$B$5,$F210,$B$6,R$10,$A210,$B210)</f>
        <v>0</v>
      </c>
      <c r="S210" s="4">
        <f ca="1">_xll.DBRW($B$1,$B$2,$B$7,$B$3,$B$4,$B$5,$F210,$B$6,S$10,$A210,$B210)</f>
        <v>0</v>
      </c>
      <c r="T210" s="4">
        <f ca="1">_xll.DBRW($B$1,$B$2,$B$7,$B$3,$B$4,$B$5,$F210,$B$6,T$10,$A210,$B210)</f>
        <v>0</v>
      </c>
      <c r="U210" s="4">
        <f ca="1">_xll.DBRW($B$1,$B$2,$B$7,$B$3,$B$4,$B$5,$F210,$B$6,U$10,$A210,$B210)</f>
        <v>0</v>
      </c>
      <c r="V210" s="4">
        <f ca="1">_xll.DBRW($B$1,$B$2,$B$7,$B$3,$B$4,$B$5,$F210,$B$6,V$10,$A210,$B210)</f>
        <v>0</v>
      </c>
      <c r="W210" s="4">
        <f ca="1">_xll.DBRW($B$1,$B$2,$B$7,$B$3,$B$4,$B$5,$F210,$B$6,W$10,$A210,$B210)</f>
        <v>0</v>
      </c>
      <c r="X210" s="4">
        <f ca="1">_xll.DBRW($B$1,$B$2,$B$7,$B$3,$B$4,$B$5,$F210,$B$6,X$10,$A210,$B210)</f>
        <v>0</v>
      </c>
      <c r="Y210" s="4">
        <f ca="1">_xll.DBRW($B$1,$B$2,$B$7,$B$3,$B$4,$B$5,$F210,$B$6,Y$10,$A210,$B210)</f>
        <v>0</v>
      </c>
      <c r="Z210" s="4">
        <f ca="1">_xll.DBRW($B$1,$B$2,$B$7,$B$3,$B$4,$B$5,$F210,$B$6,Z$10,$A210,$B210)</f>
        <v>0</v>
      </c>
      <c r="AA210" s="4">
        <f ca="1">_xll.DBRW($B$1,$B$2,$B$7,$B$3,$B$4,$B$5,$F210,$B$6,AA$10,$A210,$B210)</f>
        <v>0</v>
      </c>
      <c r="AB210" s="4">
        <f ca="1">_xll.DBRW($B$1,$B$2,$B$7,$B$3,$B$4,$B$5,$F210,$B$6,AB$10,$A210,$B210)</f>
        <v>0</v>
      </c>
      <c r="AC210" s="4">
        <f ca="1">_xll.DBRW($B$1,$B$2,$B$7,$B$3,$B$4,$B$5,$F210,$B$6,AC$10,$A210,$B210)</f>
        <v>0</v>
      </c>
      <c r="AD210" s="4">
        <f ca="1">_xll.DBRW($B$1,$B$2,$B$7,$B$3,$B$4,$B$5,$F210,$B$6,AD$10,$A210,$B210)</f>
        <v>0</v>
      </c>
      <c r="AE210" s="4">
        <f ca="1">_xll.DBRW($B$1,$B$2,$B$7,$B$3,$B$4,$B$5,$F210,$B$6,AE$10,$A210,$B210)</f>
        <v>0</v>
      </c>
    </row>
    <row r="211" spans="1:31">
      <c r="A211" s="1" t="s">
        <v>151</v>
      </c>
      <c r="B211" s="5" t="s">
        <v>258</v>
      </c>
      <c r="C211" s="5" t="s">
        <v>259</v>
      </c>
      <c r="D211" s="5" t="s">
        <v>21</v>
      </c>
      <c r="E211" s="5" t="s">
        <v>260</v>
      </c>
      <c r="F211" s="5" t="s">
        <v>24</v>
      </c>
      <c r="G211" s="6"/>
      <c r="H211" s="6"/>
      <c r="I211" s="6"/>
      <c r="J211" s="6"/>
      <c r="K211" s="6"/>
      <c r="L211" s="4">
        <f ca="1">_xll.DBRW($B$1,$B$2,$B$7,$B$3,$B$4,$B$5,$F211,$B$6,L$10,$A211,$B211)</f>
        <v>805.91520763471283</v>
      </c>
      <c r="M211" s="4">
        <f ca="1">_xll.DBRW($B$1,$B$2,$B$7,$B$3,$B$4,$B$5,$F211,$B$6,M$10,$A211,$B211)</f>
        <v>782.19680671994604</v>
      </c>
      <c r="N211" s="4">
        <f ca="1">_xll.DBRW($B$1,$B$2,$B$7,$B$3,$B$4,$B$5,$F211,$B$6,N$10,$A211,$B211)</f>
        <v>1015.6842513329796</v>
      </c>
      <c r="O211" s="4">
        <f ca="1">_xll.DBRW($B$1,$B$2,$B$7,$B$3,$B$4,$B$5,$F211,$B$6,O$10,$A211,$B211)</f>
        <v>985.21779412114154</v>
      </c>
      <c r="P211" s="4">
        <f ca="1">_xll.DBRW($B$1,$B$2,$B$7,$B$3,$B$4,$B$5,$F211,$B$6,P$10,$A211,$B211)</f>
        <v>895.84225043324545</v>
      </c>
      <c r="Q211" s="4">
        <f ca="1">_xll.DBRW($B$1,$B$2,$B$7,$B$3,$B$4,$B$5,$F211,$B$6,Q$10,$A211,$B211)</f>
        <v>955.00972617722698</v>
      </c>
      <c r="R211" s="4">
        <f ca="1">_xll.DBRW($B$1,$B$2,$B$7,$B$3,$B$4,$B$5,$F211,$B$6,R$10,$A211,$B211)</f>
        <v>737.07784275241681</v>
      </c>
      <c r="S211" s="4">
        <f ca="1">_xll.DBRW($B$1,$B$2,$B$7,$B$3,$B$4,$B$5,$F211,$B$6,S$10,$A211,$B211)</f>
        <v>862.64796723087272</v>
      </c>
      <c r="T211" s="4">
        <f ca="1">_xll.DBRW($B$1,$B$2,$B$7,$B$3,$B$4,$B$5,$F211,$B$6,T$10,$A211,$B211)</f>
        <v>975.95789046354514</v>
      </c>
      <c r="U211" s="4">
        <f ca="1">_xll.DBRW($B$1,$B$2,$B$7,$B$3,$B$4,$B$5,$F211,$B$6,U$10,$A211,$B211)</f>
        <v>814.35213002842079</v>
      </c>
      <c r="V211" s="4">
        <f ca="1">_xll.DBRW($B$1,$B$2,$B$7,$B$3,$B$4,$B$5,$F211,$B$6,V$10,$A211,$B211)</f>
        <v>1034.532918743774</v>
      </c>
      <c r="W211" s="4">
        <f ca="1">_xll.DBRW($B$1,$B$2,$B$7,$B$3,$B$4,$B$5,$F211,$B$6,W$10,$A211,$B211)</f>
        <v>1008.4431384503458</v>
      </c>
      <c r="X211" s="4">
        <f ca="1">_xll.DBRW($B$1,$B$2,$B$7,$B$3,$B$4,$B$5,$F211,$B$6,X$10,$A211,$B211)</f>
        <v>952.39137666635429</v>
      </c>
      <c r="Y211" s="4">
        <f ca="1">_xll.DBRW($B$1,$B$2,$B$7,$B$3,$B$4,$B$5,$F211,$B$6,Y$10,$A211,$B211)</f>
        <v>1038.3692828137359</v>
      </c>
      <c r="Z211" s="4">
        <f ca="1">_xll.DBRW($B$1,$B$2,$B$7,$B$3,$B$4,$B$5,$F211,$B$6,Z$10,$A211,$B211)</f>
        <v>1105.9466161307337</v>
      </c>
      <c r="AA211" s="4">
        <f ca="1">_xll.DBRW($B$1,$B$2,$B$7,$B$3,$B$4,$B$5,$F211,$B$6,AA$10,$A211,$B211)</f>
        <v>1060.6489304849777</v>
      </c>
      <c r="AB211" s="4">
        <f ca="1">_xll.DBRW($B$1,$B$2,$B$7,$B$3,$B$4,$B$5,$F211,$B$6,AB$10,$A211,$B211)</f>
        <v>1079.937774372577</v>
      </c>
      <c r="AC211" s="4">
        <f ca="1">_xll.DBRW($B$1,$B$2,$B$7,$B$3,$B$4,$B$5,$F211,$B$6,AC$10,$A211,$B211)</f>
        <v>1074.6004941735023</v>
      </c>
      <c r="AD211" s="4">
        <f ca="1">_xll.DBRW($B$1,$B$2,$B$7,$B$3,$B$4,$B$5,$F211,$B$6,AD$10,$A211,$B211)</f>
        <v>1005.1989493020886</v>
      </c>
      <c r="AE211" s="4">
        <f ca="1">_xll.DBRW($B$1,$B$2,$B$7,$B$3,$B$4,$B$5,$F211,$B$6,AE$10,$A211,$B211)</f>
        <v>1032.4591793791194</v>
      </c>
    </row>
    <row r="212" spans="1:31">
      <c r="A212" s="1" t="s">
        <v>151</v>
      </c>
      <c r="B212" s="5" t="s">
        <v>261</v>
      </c>
      <c r="C212" s="5" t="s">
        <v>262</v>
      </c>
      <c r="D212" s="5" t="s">
        <v>260</v>
      </c>
      <c r="E212" s="5" t="s">
        <v>21</v>
      </c>
      <c r="F212" s="5" t="s">
        <v>24</v>
      </c>
      <c r="G212" s="6"/>
      <c r="H212" s="6"/>
      <c r="I212" s="6"/>
      <c r="J212" s="6"/>
      <c r="K212" s="6"/>
      <c r="L212" s="4">
        <f ca="1">_xll.DBRW($B$1,$B$2,$B$7,$B$3,$B$4,$B$5,$F212,$B$6,L$10,$A212,$B212)</f>
        <v>805.91520763471283</v>
      </c>
      <c r="M212" s="4">
        <f ca="1">_xll.DBRW($B$1,$B$2,$B$7,$B$3,$B$4,$B$5,$F212,$B$6,M$10,$A212,$B212)</f>
        <v>782.19680671994604</v>
      </c>
      <c r="N212" s="4">
        <f ca="1">_xll.DBRW($B$1,$B$2,$B$7,$B$3,$B$4,$B$5,$F212,$B$6,N$10,$A212,$B212)</f>
        <v>1015.6842513329796</v>
      </c>
      <c r="O212" s="4">
        <f ca="1">_xll.DBRW($B$1,$B$2,$B$7,$B$3,$B$4,$B$5,$F212,$B$6,O$10,$A212,$B212)</f>
        <v>985.21779412114154</v>
      </c>
      <c r="P212" s="4">
        <f ca="1">_xll.DBRW($B$1,$B$2,$B$7,$B$3,$B$4,$B$5,$F212,$B$6,P$10,$A212,$B212)</f>
        <v>895.84225043324545</v>
      </c>
      <c r="Q212" s="4">
        <f ca="1">_xll.DBRW($B$1,$B$2,$B$7,$B$3,$B$4,$B$5,$F212,$B$6,Q$10,$A212,$B212)</f>
        <v>955.00972617722698</v>
      </c>
      <c r="R212" s="4">
        <f ca="1">_xll.DBRW($B$1,$B$2,$B$7,$B$3,$B$4,$B$5,$F212,$B$6,R$10,$A212,$B212)</f>
        <v>737.07784275241681</v>
      </c>
      <c r="S212" s="4">
        <f ca="1">_xll.DBRW($B$1,$B$2,$B$7,$B$3,$B$4,$B$5,$F212,$B$6,S$10,$A212,$B212)</f>
        <v>862.64796723087272</v>
      </c>
      <c r="T212" s="4">
        <f ca="1">_xll.DBRW($B$1,$B$2,$B$7,$B$3,$B$4,$B$5,$F212,$B$6,T$10,$A212,$B212)</f>
        <v>975.95789046354514</v>
      </c>
      <c r="U212" s="4">
        <f ca="1">_xll.DBRW($B$1,$B$2,$B$7,$B$3,$B$4,$B$5,$F212,$B$6,U$10,$A212,$B212)</f>
        <v>814.35213002842079</v>
      </c>
      <c r="V212" s="4">
        <f ca="1">_xll.DBRW($B$1,$B$2,$B$7,$B$3,$B$4,$B$5,$F212,$B$6,V$10,$A212,$B212)</f>
        <v>1034.532918743774</v>
      </c>
      <c r="W212" s="4">
        <f ca="1">_xll.DBRW($B$1,$B$2,$B$7,$B$3,$B$4,$B$5,$F212,$B$6,W$10,$A212,$B212)</f>
        <v>1008.4431384503458</v>
      </c>
      <c r="X212" s="4">
        <f ca="1">_xll.DBRW($B$1,$B$2,$B$7,$B$3,$B$4,$B$5,$F212,$B$6,X$10,$A212,$B212)</f>
        <v>952.39137666635429</v>
      </c>
      <c r="Y212" s="4">
        <f ca="1">_xll.DBRW($B$1,$B$2,$B$7,$B$3,$B$4,$B$5,$F212,$B$6,Y$10,$A212,$B212)</f>
        <v>1038.3692828137359</v>
      </c>
      <c r="Z212" s="4">
        <f ca="1">_xll.DBRW($B$1,$B$2,$B$7,$B$3,$B$4,$B$5,$F212,$B$6,Z$10,$A212,$B212)</f>
        <v>1105.9466161307337</v>
      </c>
      <c r="AA212" s="4">
        <f ca="1">_xll.DBRW($B$1,$B$2,$B$7,$B$3,$B$4,$B$5,$F212,$B$6,AA$10,$A212,$B212)</f>
        <v>1060.6489304849777</v>
      </c>
      <c r="AB212" s="4">
        <f ca="1">_xll.DBRW($B$1,$B$2,$B$7,$B$3,$B$4,$B$5,$F212,$B$6,AB$10,$A212,$B212)</f>
        <v>1079.937774372577</v>
      </c>
      <c r="AC212" s="4">
        <f ca="1">_xll.DBRW($B$1,$B$2,$B$7,$B$3,$B$4,$B$5,$F212,$B$6,AC$10,$A212,$B212)</f>
        <v>1074.6004941735023</v>
      </c>
      <c r="AD212" s="4">
        <f ca="1">_xll.DBRW($B$1,$B$2,$B$7,$B$3,$B$4,$B$5,$F212,$B$6,AD$10,$A212,$B212)</f>
        <v>1005.1989493020886</v>
      </c>
      <c r="AE212" s="4">
        <f ca="1">_xll.DBRW($B$1,$B$2,$B$7,$B$3,$B$4,$B$5,$F212,$B$6,AE$10,$A212,$B212)</f>
        <v>1032.4591793791194</v>
      </c>
    </row>
    <row r="213" spans="1:31">
      <c r="A213" s="1" t="s">
        <v>151</v>
      </c>
      <c r="B213" s="5" t="s">
        <v>263</v>
      </c>
      <c r="C213" s="5" t="s">
        <v>264</v>
      </c>
      <c r="D213" s="5" t="s">
        <v>21</v>
      </c>
      <c r="E213" s="5" t="s">
        <v>265</v>
      </c>
      <c r="F213" s="5" t="s">
        <v>24</v>
      </c>
      <c r="G213" s="6"/>
      <c r="H213" s="6"/>
      <c r="I213" s="6"/>
      <c r="J213" s="6"/>
      <c r="K213" s="6"/>
      <c r="L213" s="4">
        <f ca="1">_xll.DBRW($B$1,$B$2,$B$7,$B$3,$B$4,$B$5,$F213,$B$6,L$10,$A213,$B213)</f>
        <v>847.65010231579629</v>
      </c>
      <c r="M213" s="4">
        <f ca="1">_xll.DBRW($B$1,$B$2,$B$7,$B$3,$B$4,$B$5,$F213,$B$6,M$10,$A213,$B213)</f>
        <v>1015.0367863947208</v>
      </c>
      <c r="N213" s="4">
        <f ca="1">_xll.DBRW($B$1,$B$2,$B$7,$B$3,$B$4,$B$5,$F213,$B$6,N$10,$A213,$B213)</f>
        <v>1071.8710397045913</v>
      </c>
      <c r="O213" s="4">
        <f ca="1">_xll.DBRW($B$1,$B$2,$B$7,$B$3,$B$4,$B$5,$F213,$B$6,O$10,$A213,$B213)</f>
        <v>972.81134782480137</v>
      </c>
      <c r="P213" s="4">
        <f ca="1">_xll.DBRW($B$1,$B$2,$B$7,$B$3,$B$4,$B$5,$F213,$B$6,P$10,$A213,$B213)</f>
        <v>1003.0525806067983</v>
      </c>
      <c r="Q213" s="4">
        <f ca="1">_xll.DBRW($B$1,$B$2,$B$7,$B$3,$B$4,$B$5,$F213,$B$6,Q$10,$A213,$B213)</f>
        <v>1113.2684808008814</v>
      </c>
      <c r="R213" s="4">
        <f ca="1">_xll.DBRW($B$1,$B$2,$B$7,$B$3,$B$4,$B$5,$F213,$B$6,R$10,$A213,$B213)</f>
        <v>1568.5597441824832</v>
      </c>
      <c r="S213" s="4">
        <f ca="1">_xll.DBRW($B$1,$B$2,$B$7,$B$3,$B$4,$B$5,$F213,$B$6,S$10,$A213,$B213)</f>
        <v>1570.6744760315025</v>
      </c>
      <c r="T213" s="4">
        <f ca="1">_xll.DBRW($B$1,$B$2,$B$7,$B$3,$B$4,$B$5,$F213,$B$6,T$10,$A213,$B213)</f>
        <v>1716.9504104879654</v>
      </c>
      <c r="U213" s="4">
        <f ca="1">_xll.DBRW($B$1,$B$2,$B$7,$B$3,$B$4,$B$5,$F213,$B$6,U$10,$A213,$B213)</f>
        <v>1593.7256335431437</v>
      </c>
      <c r="V213" s="4">
        <f ca="1">_xll.DBRW($B$1,$B$2,$B$7,$B$3,$B$4,$B$5,$F213,$B$6,V$10,$A213,$B213)</f>
        <v>1670.8426960274205</v>
      </c>
      <c r="W213" s="4">
        <f ca="1">_xll.DBRW($B$1,$B$2,$B$7,$B$3,$B$4,$B$5,$F213,$B$6,W$10,$A213,$B213)</f>
        <v>884.07163067584304</v>
      </c>
      <c r="X213" s="4">
        <f ca="1">_xll.DBRW($B$1,$B$2,$B$7,$B$3,$B$4,$B$5,$F213,$B$6,X$10,$A213,$B213)</f>
        <v>831.61163702605086</v>
      </c>
      <c r="Y213" s="4">
        <f ca="1">_xll.DBRW($B$1,$B$2,$B$7,$B$3,$B$4,$B$5,$F213,$B$6,Y$10,$A213,$B213)</f>
        <v>1013.6123993804239</v>
      </c>
      <c r="Z213" s="4">
        <f ca="1">_xll.DBRW($B$1,$B$2,$B$7,$B$3,$B$4,$B$5,$F213,$B$6,Z$10,$A213,$B213)</f>
        <v>1095.9168024758822</v>
      </c>
      <c r="AA213" s="4">
        <f ca="1">_xll.DBRW($B$1,$B$2,$B$7,$B$3,$B$4,$B$5,$F213,$B$6,AA$10,$A213,$B213)</f>
        <v>971.60164764573915</v>
      </c>
      <c r="AB213" s="4">
        <f ca="1">_xll.DBRW($B$1,$B$2,$B$7,$B$3,$B$4,$B$5,$F213,$B$6,AB$10,$A213,$B213)</f>
        <v>1025.0681459732807</v>
      </c>
      <c r="AC213" s="4">
        <f ca="1">_xll.DBRW($B$1,$B$2,$B$7,$B$3,$B$4,$B$5,$F213,$B$6,AC$10,$A213,$B213)</f>
        <v>1165.6983956253166</v>
      </c>
      <c r="AD213" s="4">
        <f ca="1">_xll.DBRW($B$1,$B$2,$B$7,$B$3,$B$4,$B$5,$F213,$B$6,AD$10,$A213,$B213)</f>
        <v>1714.5810435738342</v>
      </c>
      <c r="AE213" s="4">
        <f ca="1">_xll.DBRW($B$1,$B$2,$B$7,$B$3,$B$4,$B$5,$F213,$B$6,AE$10,$A213,$B213)</f>
        <v>1665.0359842359601</v>
      </c>
    </row>
    <row r="214" spans="1:31">
      <c r="A214" s="1" t="s">
        <v>151</v>
      </c>
      <c r="B214" s="5" t="s">
        <v>266</v>
      </c>
      <c r="C214" s="5" t="s">
        <v>267</v>
      </c>
      <c r="D214" s="5" t="s">
        <v>265</v>
      </c>
      <c r="E214" s="5" t="s">
        <v>21</v>
      </c>
      <c r="F214" s="5" t="s">
        <v>24</v>
      </c>
      <c r="G214" s="6"/>
      <c r="H214" s="6"/>
      <c r="I214" s="6"/>
      <c r="J214" s="6"/>
      <c r="K214" s="6"/>
      <c r="L214" s="4">
        <f ca="1">_xll.DBRW($B$1,$B$2,$B$7,$B$3,$B$4,$B$5,$F214,$B$6,L$10,$A214,$B214)</f>
        <v>847.65010231579629</v>
      </c>
      <c r="M214" s="4">
        <f ca="1">_xll.DBRW($B$1,$B$2,$B$7,$B$3,$B$4,$B$5,$F214,$B$6,M$10,$A214,$B214)</f>
        <v>1015.0367863947208</v>
      </c>
      <c r="N214" s="4">
        <f ca="1">_xll.DBRW($B$1,$B$2,$B$7,$B$3,$B$4,$B$5,$F214,$B$6,N$10,$A214,$B214)</f>
        <v>1071.8710397045913</v>
      </c>
      <c r="O214" s="4">
        <f ca="1">_xll.DBRW($B$1,$B$2,$B$7,$B$3,$B$4,$B$5,$F214,$B$6,O$10,$A214,$B214)</f>
        <v>972.81134782480137</v>
      </c>
      <c r="P214" s="4">
        <f ca="1">_xll.DBRW($B$1,$B$2,$B$7,$B$3,$B$4,$B$5,$F214,$B$6,P$10,$A214,$B214)</f>
        <v>1003.0525806067983</v>
      </c>
      <c r="Q214" s="4">
        <f ca="1">_xll.DBRW($B$1,$B$2,$B$7,$B$3,$B$4,$B$5,$F214,$B$6,Q$10,$A214,$B214)</f>
        <v>1113.2684808008814</v>
      </c>
      <c r="R214" s="4">
        <f ca="1">_xll.DBRW($B$1,$B$2,$B$7,$B$3,$B$4,$B$5,$F214,$B$6,R$10,$A214,$B214)</f>
        <v>1568.5597441824832</v>
      </c>
      <c r="S214" s="4">
        <f ca="1">_xll.DBRW($B$1,$B$2,$B$7,$B$3,$B$4,$B$5,$F214,$B$6,S$10,$A214,$B214)</f>
        <v>1570.6744760315025</v>
      </c>
      <c r="T214" s="4">
        <f ca="1">_xll.DBRW($B$1,$B$2,$B$7,$B$3,$B$4,$B$5,$F214,$B$6,T$10,$A214,$B214)</f>
        <v>1716.9504104879654</v>
      </c>
      <c r="U214" s="4">
        <f ca="1">_xll.DBRW($B$1,$B$2,$B$7,$B$3,$B$4,$B$5,$F214,$B$6,U$10,$A214,$B214)</f>
        <v>1593.7256335431437</v>
      </c>
      <c r="V214" s="4">
        <f ca="1">_xll.DBRW($B$1,$B$2,$B$7,$B$3,$B$4,$B$5,$F214,$B$6,V$10,$A214,$B214)</f>
        <v>1670.8426960274205</v>
      </c>
      <c r="W214" s="4">
        <f ca="1">_xll.DBRW($B$1,$B$2,$B$7,$B$3,$B$4,$B$5,$F214,$B$6,W$10,$A214,$B214)</f>
        <v>884.07163067584304</v>
      </c>
      <c r="X214" s="4">
        <f ca="1">_xll.DBRW($B$1,$B$2,$B$7,$B$3,$B$4,$B$5,$F214,$B$6,X$10,$A214,$B214)</f>
        <v>831.61163702605086</v>
      </c>
      <c r="Y214" s="4">
        <f ca="1">_xll.DBRW($B$1,$B$2,$B$7,$B$3,$B$4,$B$5,$F214,$B$6,Y$10,$A214,$B214)</f>
        <v>1013.6123993804239</v>
      </c>
      <c r="Z214" s="4">
        <f ca="1">_xll.DBRW($B$1,$B$2,$B$7,$B$3,$B$4,$B$5,$F214,$B$6,Z$10,$A214,$B214)</f>
        <v>1095.9168024758822</v>
      </c>
      <c r="AA214" s="4">
        <f ca="1">_xll.DBRW($B$1,$B$2,$B$7,$B$3,$B$4,$B$5,$F214,$B$6,AA$10,$A214,$B214)</f>
        <v>971.60164764573915</v>
      </c>
      <c r="AB214" s="4">
        <f ca="1">_xll.DBRW($B$1,$B$2,$B$7,$B$3,$B$4,$B$5,$F214,$B$6,AB$10,$A214,$B214)</f>
        <v>1025.0681459732807</v>
      </c>
      <c r="AC214" s="4">
        <f ca="1">_xll.DBRW($B$1,$B$2,$B$7,$B$3,$B$4,$B$5,$F214,$B$6,AC$10,$A214,$B214)</f>
        <v>1165.6983956253166</v>
      </c>
      <c r="AD214" s="4">
        <f ca="1">_xll.DBRW($B$1,$B$2,$B$7,$B$3,$B$4,$B$5,$F214,$B$6,AD$10,$A214,$B214)</f>
        <v>1714.5810435738342</v>
      </c>
      <c r="AE214" s="4">
        <f ca="1">_xll.DBRW($B$1,$B$2,$B$7,$B$3,$B$4,$B$5,$F214,$B$6,AE$10,$A214,$B214)</f>
        <v>1665.0359842359601</v>
      </c>
    </row>
    <row r="215" spans="1:31">
      <c r="A215" s="1" t="s">
        <v>151</v>
      </c>
      <c r="B215" s="5" t="s">
        <v>268</v>
      </c>
      <c r="C215" s="5" t="s">
        <v>264</v>
      </c>
      <c r="D215" s="5" t="s">
        <v>21</v>
      </c>
      <c r="E215" s="5" t="s">
        <v>265</v>
      </c>
      <c r="F215" s="5" t="s">
        <v>24</v>
      </c>
      <c r="G215" s="6"/>
      <c r="H215" s="6"/>
      <c r="I215" s="6"/>
      <c r="J215" s="6"/>
      <c r="K215" s="6"/>
      <c r="L215" s="4">
        <f ca="1">_xll.DBRW($B$1,$B$2,$B$7,$B$3,$B$4,$B$5,$F215,$B$6,L$10,$A215,$B215)</f>
        <v>1356.240163705274</v>
      </c>
      <c r="M215" s="4">
        <f ca="1">_xll.DBRW($B$1,$B$2,$B$7,$B$3,$B$4,$B$5,$F215,$B$6,M$10,$A215,$B215)</f>
        <v>1624.0588582315534</v>
      </c>
      <c r="N215" s="4">
        <f ca="1">_xll.DBRW($B$1,$B$2,$B$7,$B$3,$B$4,$B$5,$F215,$B$6,N$10,$A215,$B215)</f>
        <v>1714.9936635273464</v>
      </c>
      <c r="O215" s="4">
        <f ca="1">_xll.DBRW($B$1,$B$2,$B$7,$B$3,$B$4,$B$5,$F215,$B$6,O$10,$A215,$B215)</f>
        <v>1556.4981565196822</v>
      </c>
      <c r="P215" s="4">
        <f ca="1">_xll.DBRW($B$1,$B$2,$B$7,$B$3,$B$4,$B$5,$F215,$B$6,P$10,$A215,$B215)</f>
        <v>1604.8841289708773</v>
      </c>
      <c r="Q215" s="4">
        <f ca="1">_xll.DBRW($B$1,$B$2,$B$7,$B$3,$B$4,$B$5,$F215,$B$6,Q$10,$A215,$B215)</f>
        <v>1624.0622543448153</v>
      </c>
      <c r="R215" s="4">
        <f ca="1">_xll.DBRW($B$1,$B$2,$B$7,$B$3,$B$4,$B$5,$F215,$B$6,R$10,$A215,$B215)</f>
        <v>1568.5597441824832</v>
      </c>
      <c r="S215" s="4">
        <f ca="1">_xll.DBRW($B$1,$B$2,$B$7,$B$3,$B$4,$B$5,$F215,$B$6,S$10,$A215,$B215)</f>
        <v>1570.6744760315025</v>
      </c>
      <c r="T215" s="4">
        <f ca="1">_xll.DBRW($B$1,$B$2,$B$7,$B$3,$B$4,$B$5,$F215,$B$6,T$10,$A215,$B215)</f>
        <v>1073.0940065549787</v>
      </c>
      <c r="U215" s="4">
        <f ca="1">_xll.DBRW($B$1,$B$2,$B$7,$B$3,$B$4,$B$5,$F215,$B$6,U$10,$A215,$B215)</f>
        <v>996.07852096446493</v>
      </c>
      <c r="V215" s="4">
        <f ca="1">_xll.DBRW($B$1,$B$2,$B$7,$B$3,$B$4,$B$5,$F215,$B$6,V$10,$A215,$B215)</f>
        <v>1111.5936944645237</v>
      </c>
      <c r="W215" s="4">
        <f ca="1">_xll.DBRW($B$1,$B$2,$B$7,$B$3,$B$4,$B$5,$F215,$B$6,W$10,$A215,$B215)</f>
        <v>1414.5146090813485</v>
      </c>
      <c r="X215" s="4">
        <f ca="1">_xll.DBRW($B$1,$B$2,$B$7,$B$3,$B$4,$B$5,$F215,$B$6,X$10,$A215,$B215)</f>
        <v>1330.5786192416813</v>
      </c>
      <c r="Y215" s="4">
        <f ca="1">_xll.DBRW($B$1,$B$2,$B$7,$B$3,$B$4,$B$5,$F215,$B$6,Y$10,$A215,$B215)</f>
        <v>1621.7798390086787</v>
      </c>
      <c r="Z215" s="4">
        <f ca="1">_xll.DBRW($B$1,$B$2,$B$7,$B$3,$B$4,$B$5,$F215,$B$6,Z$10,$A215,$B215)</f>
        <v>1753.4668839614114</v>
      </c>
      <c r="AA215" s="4">
        <f ca="1">_xll.DBRW($B$1,$B$2,$B$7,$B$3,$B$4,$B$5,$F215,$B$6,AA$10,$A215,$B215)</f>
        <v>1554.5626362331827</v>
      </c>
      <c r="AB215" s="4">
        <f ca="1">_xll.DBRW($B$1,$B$2,$B$7,$B$3,$B$4,$B$5,$F215,$B$6,AB$10,$A215,$B215)</f>
        <v>1640.1090335572494</v>
      </c>
      <c r="AC215" s="4">
        <f ca="1">_xll.DBRW($B$1,$B$2,$B$7,$B$3,$B$4,$B$5,$F215,$B$6,AC$10,$A215,$B215)</f>
        <v>1549.7724334903055</v>
      </c>
      <c r="AD215" s="4">
        <f ca="1">_xll.DBRW($B$1,$B$2,$B$7,$B$3,$B$4,$B$5,$F215,$B$6,AD$10,$A215,$B215)</f>
        <v>1071.6131522336464</v>
      </c>
      <c r="AE215" s="4">
        <f ca="1">_xll.DBRW($B$1,$B$2,$B$7,$B$3,$B$4,$B$5,$F215,$B$6,AE$10,$A215,$B215)</f>
        <v>1040.6474901474751</v>
      </c>
    </row>
    <row r="216" spans="1:31">
      <c r="A216" s="1" t="s">
        <v>151</v>
      </c>
      <c r="B216" s="5" t="s">
        <v>269</v>
      </c>
      <c r="C216" s="5" t="s">
        <v>267</v>
      </c>
      <c r="D216" s="5" t="s">
        <v>265</v>
      </c>
      <c r="E216" s="5" t="s">
        <v>21</v>
      </c>
      <c r="F216" s="5" t="s">
        <v>24</v>
      </c>
      <c r="G216" s="6"/>
      <c r="H216" s="6"/>
      <c r="I216" s="6"/>
      <c r="J216" s="6"/>
      <c r="K216" s="6"/>
      <c r="L216" s="4">
        <f ca="1">_xll.DBRW($B$1,$B$2,$B$7,$B$3,$B$4,$B$5,$F216,$B$6,L$10,$A216,$B216)</f>
        <v>1356.240163705274</v>
      </c>
      <c r="M216" s="4">
        <f ca="1">_xll.DBRW($B$1,$B$2,$B$7,$B$3,$B$4,$B$5,$F216,$B$6,M$10,$A216,$B216)</f>
        <v>1624.0588582315534</v>
      </c>
      <c r="N216" s="4">
        <f ca="1">_xll.DBRW($B$1,$B$2,$B$7,$B$3,$B$4,$B$5,$F216,$B$6,N$10,$A216,$B216)</f>
        <v>1714.9936635273464</v>
      </c>
      <c r="O216" s="4">
        <f ca="1">_xll.DBRW($B$1,$B$2,$B$7,$B$3,$B$4,$B$5,$F216,$B$6,O$10,$A216,$B216)</f>
        <v>1556.4981565196822</v>
      </c>
      <c r="P216" s="4">
        <f ca="1">_xll.DBRW($B$1,$B$2,$B$7,$B$3,$B$4,$B$5,$F216,$B$6,P$10,$A216,$B216)</f>
        <v>1604.8841289708773</v>
      </c>
      <c r="Q216" s="4">
        <f ca="1">_xll.DBRW($B$1,$B$2,$B$7,$B$3,$B$4,$B$5,$F216,$B$6,Q$10,$A216,$B216)</f>
        <v>1624.0622543448153</v>
      </c>
      <c r="R216" s="4">
        <f ca="1">_xll.DBRW($B$1,$B$2,$B$7,$B$3,$B$4,$B$5,$F216,$B$6,R$10,$A216,$B216)</f>
        <v>1568.5597441824832</v>
      </c>
      <c r="S216" s="4">
        <f ca="1">_xll.DBRW($B$1,$B$2,$B$7,$B$3,$B$4,$B$5,$F216,$B$6,S$10,$A216,$B216)</f>
        <v>1570.6744760315025</v>
      </c>
      <c r="T216" s="4">
        <f ca="1">_xll.DBRW($B$1,$B$2,$B$7,$B$3,$B$4,$B$5,$F216,$B$6,T$10,$A216,$B216)</f>
        <v>1073.0940065549787</v>
      </c>
      <c r="U216" s="4">
        <f ca="1">_xll.DBRW($B$1,$B$2,$B$7,$B$3,$B$4,$B$5,$F216,$B$6,U$10,$A216,$B216)</f>
        <v>996.07852096446493</v>
      </c>
      <c r="V216" s="4">
        <f ca="1">_xll.DBRW($B$1,$B$2,$B$7,$B$3,$B$4,$B$5,$F216,$B$6,V$10,$A216,$B216)</f>
        <v>1111.5936944645237</v>
      </c>
      <c r="W216" s="4">
        <f ca="1">_xll.DBRW($B$1,$B$2,$B$7,$B$3,$B$4,$B$5,$F216,$B$6,W$10,$A216,$B216)</f>
        <v>1414.5146090813485</v>
      </c>
      <c r="X216" s="4">
        <f ca="1">_xll.DBRW($B$1,$B$2,$B$7,$B$3,$B$4,$B$5,$F216,$B$6,X$10,$A216,$B216)</f>
        <v>1330.5786192416813</v>
      </c>
      <c r="Y216" s="4">
        <f ca="1">_xll.DBRW($B$1,$B$2,$B$7,$B$3,$B$4,$B$5,$F216,$B$6,Y$10,$A216,$B216)</f>
        <v>1621.7798390086787</v>
      </c>
      <c r="Z216" s="4">
        <f ca="1">_xll.DBRW($B$1,$B$2,$B$7,$B$3,$B$4,$B$5,$F216,$B$6,Z$10,$A216,$B216)</f>
        <v>1753.4668839614114</v>
      </c>
      <c r="AA216" s="4">
        <f ca="1">_xll.DBRW($B$1,$B$2,$B$7,$B$3,$B$4,$B$5,$F216,$B$6,AA$10,$A216,$B216)</f>
        <v>1554.5626362331827</v>
      </c>
      <c r="AB216" s="4">
        <f ca="1">_xll.DBRW($B$1,$B$2,$B$7,$B$3,$B$4,$B$5,$F216,$B$6,AB$10,$A216,$B216)</f>
        <v>1640.1090335572494</v>
      </c>
      <c r="AC216" s="4">
        <f ca="1">_xll.DBRW($B$1,$B$2,$B$7,$B$3,$B$4,$B$5,$F216,$B$6,AC$10,$A216,$B216)</f>
        <v>1516.0817284144289</v>
      </c>
      <c r="AD216" s="4">
        <f ca="1">_xll.DBRW($B$1,$B$2,$B$7,$B$3,$B$4,$B$5,$F216,$B$6,AD$10,$A216,$B216)</f>
        <v>1071.6131522336464</v>
      </c>
      <c r="AE216" s="4">
        <f ca="1">_xll.DBRW($B$1,$B$2,$B$7,$B$3,$B$4,$B$5,$F216,$B$6,AE$10,$A216,$B216)</f>
        <v>1040.6474901474751</v>
      </c>
    </row>
    <row r="217" spans="1:31">
      <c r="A217" s="1" t="s">
        <v>151</v>
      </c>
      <c r="B217" s="5" t="s">
        <v>270</v>
      </c>
      <c r="C217" s="5" t="s">
        <v>271</v>
      </c>
      <c r="D217" s="5" t="s">
        <v>21</v>
      </c>
      <c r="E217" s="5" t="s">
        <v>272</v>
      </c>
      <c r="F217" s="5" t="s">
        <v>24</v>
      </c>
      <c r="G217" s="6"/>
      <c r="H217" s="6"/>
      <c r="I217" s="6"/>
      <c r="J217" s="6"/>
      <c r="K217" s="6"/>
      <c r="L217" s="4">
        <f ca="1">_xll.DBRW($B$1,$B$2,$B$7,$B$3,$B$4,$B$5,$F217,$B$6,L$10,$A217,$B217)</f>
        <v>914.56984723546429</v>
      </c>
      <c r="M217" s="4">
        <f ca="1">_xll.DBRW($B$1,$B$2,$B$7,$B$3,$B$4,$B$5,$F217,$B$6,M$10,$A217,$B217)</f>
        <v>927.72179401668018</v>
      </c>
      <c r="N217" s="4">
        <f ca="1">_xll.DBRW($B$1,$B$2,$B$7,$B$3,$B$4,$B$5,$F217,$B$6,N$10,$A217,$B217)</f>
        <v>960.21780640202985</v>
      </c>
      <c r="O217" s="4">
        <f ca="1">_xll.DBRW($B$1,$B$2,$B$7,$B$3,$B$4,$B$5,$F217,$B$6,O$10,$A217,$B217)</f>
        <v>882.31726895737802</v>
      </c>
      <c r="P217" s="4">
        <f ca="1">_xll.DBRW($B$1,$B$2,$B$7,$B$3,$B$4,$B$5,$F217,$B$6,P$10,$A217,$B217)</f>
        <v>894.02512619301569</v>
      </c>
      <c r="Q217" s="4">
        <f ca="1">_xll.DBRW($B$1,$B$2,$B$7,$B$3,$B$4,$B$5,$F217,$B$6,Q$10,$A217,$B217)</f>
        <v>789.47470697317397</v>
      </c>
      <c r="R217" s="4">
        <f ca="1">_xll.DBRW($B$1,$B$2,$B$7,$B$3,$B$4,$B$5,$F217,$B$6,R$10,$A217,$B217)</f>
        <v>729.81599208490547</v>
      </c>
      <c r="S217" s="4">
        <f ca="1">_xll.DBRW($B$1,$B$2,$B$7,$B$3,$B$4,$B$5,$F217,$B$6,S$10,$A217,$B217)</f>
        <v>868.83573745995466</v>
      </c>
      <c r="T217" s="4">
        <f ca="1">_xll.DBRW($B$1,$B$2,$B$7,$B$3,$B$4,$B$5,$F217,$B$6,T$10,$A217,$B217)</f>
        <v>910.89004486771671</v>
      </c>
      <c r="U217" s="4">
        <f ca="1">_xll.DBRW($B$1,$B$2,$B$7,$B$3,$B$4,$B$5,$F217,$B$6,U$10,$A217,$B217)</f>
        <v>836.1023221989816</v>
      </c>
      <c r="V217" s="4">
        <f ca="1">_xll.DBRW($B$1,$B$2,$B$7,$B$3,$B$4,$B$5,$F217,$B$6,V$10,$A217,$B217)</f>
        <v>951.48996701457804</v>
      </c>
      <c r="W217" s="4">
        <f ca="1">_xll.DBRW($B$1,$B$2,$B$7,$B$3,$B$4,$B$5,$F217,$B$6,W$10,$A217,$B217)</f>
        <v>903.07558434621365</v>
      </c>
      <c r="X217" s="4">
        <f ca="1">_xll.DBRW($B$1,$B$2,$B$7,$B$3,$B$4,$B$5,$F217,$B$6,X$10,$A217,$B217)</f>
        <v>1006.4464310289658</v>
      </c>
      <c r="Y217" s="4">
        <f ca="1">_xll.DBRW($B$1,$B$2,$B$7,$B$3,$B$4,$B$5,$F217,$B$6,Y$10,$A217,$B217)</f>
        <v>984.17005173458165</v>
      </c>
      <c r="Z217" s="4">
        <f ca="1">_xll.DBRW($B$1,$B$2,$B$7,$B$3,$B$4,$B$5,$F217,$B$6,Z$10,$A217,$B217)</f>
        <v>959.16451895893192</v>
      </c>
      <c r="AA217" s="4">
        <f ca="1">_xll.DBRW($B$1,$B$2,$B$7,$B$3,$B$4,$B$5,$F217,$B$6,AA$10,$A217,$B217)</f>
        <v>811.10593425218792</v>
      </c>
      <c r="AB217" s="4">
        <f ca="1">_xll.DBRW($B$1,$B$2,$B$7,$B$3,$B$4,$B$5,$F217,$B$6,AB$10,$A217,$B217)</f>
        <v>940.35996692199626</v>
      </c>
      <c r="AC217" s="4">
        <f ca="1">_xll.DBRW($B$1,$B$2,$B$7,$B$3,$B$4,$B$5,$F217,$B$6,AC$10,$A217,$B217)</f>
        <v>1016.667891091201</v>
      </c>
      <c r="AD217" s="4">
        <f ca="1">_xll.DBRW($B$1,$B$2,$B$7,$B$3,$B$4,$B$5,$F217,$B$6,AD$10,$A217,$B217)</f>
        <v>1075.9119738373381</v>
      </c>
      <c r="AE217" s="4">
        <f ca="1">_xll.DBRW($B$1,$B$2,$B$7,$B$3,$B$4,$B$5,$F217,$B$6,AE$10,$A217,$B217)</f>
        <v>949.38970771190111</v>
      </c>
    </row>
    <row r="218" spans="1:31">
      <c r="A218" s="1" t="s">
        <v>151</v>
      </c>
      <c r="B218" s="5" t="s">
        <v>273</v>
      </c>
      <c r="C218" s="5" t="s">
        <v>274</v>
      </c>
      <c r="D218" s="5" t="s">
        <v>272</v>
      </c>
      <c r="E218" s="5" t="s">
        <v>21</v>
      </c>
      <c r="F218" s="5" t="s">
        <v>24</v>
      </c>
      <c r="G218" s="6"/>
      <c r="H218" s="6"/>
      <c r="I218" s="6"/>
      <c r="J218" s="6"/>
      <c r="K218" s="6"/>
      <c r="L218" s="4">
        <f ca="1">_xll.DBRW($B$1,$B$2,$B$7,$B$3,$B$4,$B$5,$F218,$B$6,L$10,$A218,$B218)</f>
        <v>914.56984723546429</v>
      </c>
      <c r="M218" s="4">
        <f ca="1">_xll.DBRW($B$1,$B$2,$B$7,$B$3,$B$4,$B$5,$F218,$B$6,M$10,$A218,$B218)</f>
        <v>927.72179401668018</v>
      </c>
      <c r="N218" s="4">
        <f ca="1">_xll.DBRW($B$1,$B$2,$B$7,$B$3,$B$4,$B$5,$F218,$B$6,N$10,$A218,$B218)</f>
        <v>960.21780640202985</v>
      </c>
      <c r="O218" s="4">
        <f ca="1">_xll.DBRW($B$1,$B$2,$B$7,$B$3,$B$4,$B$5,$F218,$B$6,O$10,$A218,$B218)</f>
        <v>882.31726895737802</v>
      </c>
      <c r="P218" s="4">
        <f ca="1">_xll.DBRW($B$1,$B$2,$B$7,$B$3,$B$4,$B$5,$F218,$B$6,P$10,$A218,$B218)</f>
        <v>894.02512619301569</v>
      </c>
      <c r="Q218" s="4">
        <f ca="1">_xll.DBRW($B$1,$B$2,$B$7,$B$3,$B$4,$B$5,$F218,$B$6,Q$10,$A218,$B218)</f>
        <v>789.47470697317397</v>
      </c>
      <c r="R218" s="4">
        <f ca="1">_xll.DBRW($B$1,$B$2,$B$7,$B$3,$B$4,$B$5,$F218,$B$6,R$10,$A218,$B218)</f>
        <v>729.81599208490547</v>
      </c>
      <c r="S218" s="4">
        <f ca="1">_xll.DBRW($B$1,$B$2,$B$7,$B$3,$B$4,$B$5,$F218,$B$6,S$10,$A218,$B218)</f>
        <v>868.83573745995466</v>
      </c>
      <c r="T218" s="4">
        <f ca="1">_xll.DBRW($B$1,$B$2,$B$7,$B$3,$B$4,$B$5,$F218,$B$6,T$10,$A218,$B218)</f>
        <v>910.89004486771671</v>
      </c>
      <c r="U218" s="4">
        <f ca="1">_xll.DBRW($B$1,$B$2,$B$7,$B$3,$B$4,$B$5,$F218,$B$6,U$10,$A218,$B218)</f>
        <v>836.1023221989816</v>
      </c>
      <c r="V218" s="4">
        <f ca="1">_xll.DBRW($B$1,$B$2,$B$7,$B$3,$B$4,$B$5,$F218,$B$6,V$10,$A218,$B218)</f>
        <v>951.48996701457804</v>
      </c>
      <c r="W218" s="4">
        <f ca="1">_xll.DBRW($B$1,$B$2,$B$7,$B$3,$B$4,$B$5,$F218,$B$6,W$10,$A218,$B218)</f>
        <v>903.07558434621365</v>
      </c>
      <c r="X218" s="4">
        <f ca="1">_xll.DBRW($B$1,$B$2,$B$7,$B$3,$B$4,$B$5,$F218,$B$6,X$10,$A218,$B218)</f>
        <v>1006.4464310289658</v>
      </c>
      <c r="Y218" s="4">
        <f ca="1">_xll.DBRW($B$1,$B$2,$B$7,$B$3,$B$4,$B$5,$F218,$B$6,Y$10,$A218,$B218)</f>
        <v>984.17005173458165</v>
      </c>
      <c r="Z218" s="4">
        <f ca="1">_xll.DBRW($B$1,$B$2,$B$7,$B$3,$B$4,$B$5,$F218,$B$6,Z$10,$A218,$B218)</f>
        <v>959.16451895893192</v>
      </c>
      <c r="AA218" s="4">
        <f ca="1">_xll.DBRW($B$1,$B$2,$B$7,$B$3,$B$4,$B$5,$F218,$B$6,AA$10,$A218,$B218)</f>
        <v>811.10593425218792</v>
      </c>
      <c r="AB218" s="4">
        <f ca="1">_xll.DBRW($B$1,$B$2,$B$7,$B$3,$B$4,$B$5,$F218,$B$6,AB$10,$A218,$B218)</f>
        <v>940.35996692199626</v>
      </c>
      <c r="AC218" s="4">
        <f ca="1">_xll.DBRW($B$1,$B$2,$B$7,$B$3,$B$4,$B$5,$F218,$B$6,AC$10,$A218,$B218)</f>
        <v>983.87215266890439</v>
      </c>
      <c r="AD218" s="4">
        <f ca="1">_xll.DBRW($B$1,$B$2,$B$7,$B$3,$B$4,$B$5,$F218,$B$6,AD$10,$A218,$B218)</f>
        <v>1075.9119738373381</v>
      </c>
      <c r="AE218" s="4">
        <f ca="1">_xll.DBRW($B$1,$B$2,$B$7,$B$3,$B$4,$B$5,$F218,$B$6,AE$10,$A218,$B218)</f>
        <v>949.38970771190111</v>
      </c>
    </row>
    <row r="219" spans="1:31">
      <c r="A219" s="1" t="s">
        <v>151</v>
      </c>
      <c r="B219" s="5" t="s">
        <v>275</v>
      </c>
      <c r="C219" s="5" t="s">
        <v>276</v>
      </c>
      <c r="D219" s="5" t="s">
        <v>21</v>
      </c>
      <c r="E219" s="5" t="s">
        <v>277</v>
      </c>
      <c r="F219" s="5" t="s">
        <v>24</v>
      </c>
      <c r="G219" s="6"/>
      <c r="H219" s="6"/>
      <c r="I219" s="6"/>
      <c r="J219" s="6"/>
      <c r="K219" s="6"/>
      <c r="L219" s="4">
        <f ca="1">_xll.DBRW($B$1,$B$2,$B$7,$B$3,$B$4,$B$5,$F219,$B$6,L$10,$A219,$B219)</f>
        <v>948.02971969529835</v>
      </c>
      <c r="M219" s="4">
        <f ca="1">_xll.DBRW($B$1,$B$2,$B$7,$B$3,$B$4,$B$5,$F219,$B$6,M$10,$A219,$B219)</f>
        <v>949.55054211119045</v>
      </c>
      <c r="N219" s="4">
        <f ca="1">_xll.DBRW($B$1,$B$2,$B$7,$B$3,$B$4,$B$5,$F219,$B$6,N$10,$A219,$B219)</f>
        <v>1027.2097463835669</v>
      </c>
      <c r="O219" s="4">
        <f ca="1">_xll.DBRW($B$1,$B$2,$B$7,$B$3,$B$4,$B$5,$F219,$B$6,O$10,$A219,$B219)</f>
        <v>927.56430839108953</v>
      </c>
      <c r="P219" s="4">
        <f ca="1">_xll.DBRW($B$1,$B$2,$B$7,$B$3,$B$4,$B$5,$F219,$B$6,P$10,$A219,$B219)</f>
        <v>904.92787163439402</v>
      </c>
      <c r="Q219" s="4">
        <f ca="1">_xll.DBRW($B$1,$B$2,$B$7,$B$3,$B$4,$B$5,$F219,$B$6,Q$10,$A219,$B219)</f>
        <v>902.25680796934182</v>
      </c>
      <c r="R219" s="4">
        <f ca="1">_xll.DBRW($B$1,$B$2,$B$7,$B$3,$B$4,$B$5,$F219,$B$6,R$10,$A219,$B219)</f>
        <v>871.42208010137949</v>
      </c>
      <c r="S219" s="4">
        <f ca="1">_xll.DBRW($B$1,$B$2,$B$7,$B$3,$B$4,$B$5,$F219,$B$6,S$10,$A219,$B219)</f>
        <v>970.38796651371558</v>
      </c>
      <c r="T219" s="4">
        <f ca="1">_xll.DBRW($B$1,$B$2,$B$7,$B$3,$B$4,$B$5,$F219,$B$6,T$10,$A219,$B219)</f>
        <v>1691.1677977134023</v>
      </c>
      <c r="U219" s="4">
        <f ca="1">_xll.DBRW($B$1,$B$2,$B$7,$B$3,$B$4,$B$5,$F219,$B$6,U$10,$A219,$B219)</f>
        <v>1422.3308903994157</v>
      </c>
      <c r="V219" s="4">
        <f ca="1">_xll.DBRW($B$1,$B$2,$B$7,$B$3,$B$4,$B$5,$F219,$B$6,V$10,$A219,$B219)</f>
        <v>1446.4503131918186</v>
      </c>
      <c r="W219" s="4">
        <f ca="1">_xll.DBRW($B$1,$B$2,$B$7,$B$3,$B$4,$B$5,$F219,$B$6,W$10,$A219,$B219)</f>
        <v>833.16616783048266</v>
      </c>
      <c r="X219" s="4">
        <f ca="1">_xll.DBRW($B$1,$B$2,$B$7,$B$3,$B$4,$B$5,$F219,$B$6,X$10,$A219,$B219)</f>
        <v>829.9706098215662</v>
      </c>
      <c r="Y219" s="4">
        <f ca="1">_xll.DBRW($B$1,$B$2,$B$7,$B$3,$B$4,$B$5,$F219,$B$6,Y$10,$A219,$B219)</f>
        <v>997.21872826243919</v>
      </c>
      <c r="Z219" s="4">
        <f ca="1">_xll.DBRW($B$1,$B$2,$B$7,$B$3,$B$4,$B$5,$F219,$B$6,Z$10,$A219,$B219)</f>
        <v>1052.3928960494802</v>
      </c>
      <c r="AA219" s="4">
        <f ca="1">_xll.DBRW($B$1,$B$2,$B$7,$B$3,$B$4,$B$5,$F219,$B$6,AA$10,$A219,$B219)</f>
        <v>908.26553478629558</v>
      </c>
      <c r="AB219" s="4">
        <f ca="1">_xll.DBRW($B$1,$B$2,$B$7,$B$3,$B$4,$B$5,$F219,$B$6,AB$10,$A219,$B219)</f>
        <v>956.00083716294841</v>
      </c>
      <c r="AC219" s="4">
        <f ca="1">_xll.DBRW($B$1,$B$2,$B$7,$B$3,$B$4,$B$5,$F219,$B$6,AC$10,$A219,$B219)</f>
        <v>1047.8174673850392</v>
      </c>
      <c r="AD219" s="4">
        <f ca="1">_xll.DBRW($B$1,$B$2,$B$7,$B$3,$B$4,$B$5,$F219,$B$6,AD$10,$A219,$B219)</f>
        <v>1501.4467885020663</v>
      </c>
      <c r="AE219" s="4">
        <f ca="1">_xll.DBRW($B$1,$B$2,$B$7,$B$3,$B$4,$B$5,$F219,$B$6,AE$10,$A219,$B219)</f>
        <v>1674.1605209757754</v>
      </c>
    </row>
    <row r="220" spans="1:31">
      <c r="A220" s="1" t="s">
        <v>151</v>
      </c>
      <c r="B220" s="5" t="s">
        <v>278</v>
      </c>
      <c r="C220" s="5" t="s">
        <v>279</v>
      </c>
      <c r="D220" s="5" t="s">
        <v>277</v>
      </c>
      <c r="E220" s="5" t="s">
        <v>21</v>
      </c>
      <c r="F220" s="5" t="s">
        <v>24</v>
      </c>
      <c r="G220" s="6"/>
      <c r="H220" s="6"/>
      <c r="I220" s="6"/>
      <c r="J220" s="6"/>
      <c r="K220" s="6"/>
      <c r="L220" s="4">
        <f ca="1">_xll.DBRW($B$1,$B$2,$B$7,$B$3,$B$4,$B$5,$F220,$B$6,L$10,$A220,$B220)</f>
        <v>948.02971969529835</v>
      </c>
      <c r="M220" s="4">
        <f ca="1">_xll.DBRW($B$1,$B$2,$B$7,$B$3,$B$4,$B$5,$F220,$B$6,M$10,$A220,$B220)</f>
        <v>949.55054211119045</v>
      </c>
      <c r="N220" s="4">
        <f ca="1">_xll.DBRW($B$1,$B$2,$B$7,$B$3,$B$4,$B$5,$F220,$B$6,N$10,$A220,$B220)</f>
        <v>1027.2097463835669</v>
      </c>
      <c r="O220" s="4">
        <f ca="1">_xll.DBRW($B$1,$B$2,$B$7,$B$3,$B$4,$B$5,$F220,$B$6,O$10,$A220,$B220)</f>
        <v>927.56430839108953</v>
      </c>
      <c r="P220" s="4">
        <f ca="1">_xll.DBRW($B$1,$B$2,$B$7,$B$3,$B$4,$B$5,$F220,$B$6,P$10,$A220,$B220)</f>
        <v>904.92787163439402</v>
      </c>
      <c r="Q220" s="4">
        <f ca="1">_xll.DBRW($B$1,$B$2,$B$7,$B$3,$B$4,$B$5,$F220,$B$6,Q$10,$A220,$B220)</f>
        <v>902.25680796934182</v>
      </c>
      <c r="R220" s="4">
        <f ca="1">_xll.DBRW($B$1,$B$2,$B$7,$B$3,$B$4,$B$5,$F220,$B$6,R$10,$A220,$B220)</f>
        <v>871.42208010137949</v>
      </c>
      <c r="S220" s="4">
        <f ca="1">_xll.DBRW($B$1,$B$2,$B$7,$B$3,$B$4,$B$5,$F220,$B$6,S$10,$A220,$B220)</f>
        <v>970.38796651371558</v>
      </c>
      <c r="T220" s="4">
        <f ca="1">_xll.DBRW($B$1,$B$2,$B$7,$B$3,$B$4,$B$5,$F220,$B$6,T$10,$A220,$B220)</f>
        <v>1691.1677977134023</v>
      </c>
      <c r="U220" s="4">
        <f ca="1">_xll.DBRW($B$1,$B$2,$B$7,$B$3,$B$4,$B$5,$F220,$B$6,U$10,$A220,$B220)</f>
        <v>1422.3308903994157</v>
      </c>
      <c r="V220" s="4">
        <f ca="1">_xll.DBRW($B$1,$B$2,$B$7,$B$3,$B$4,$B$5,$F220,$B$6,V$10,$A220,$B220)</f>
        <v>1446.4503131918186</v>
      </c>
      <c r="W220" s="4">
        <f ca="1">_xll.DBRW($B$1,$B$2,$B$7,$B$3,$B$4,$B$5,$F220,$B$6,W$10,$A220,$B220)</f>
        <v>833.16616783048266</v>
      </c>
      <c r="X220" s="4">
        <f ca="1">_xll.DBRW($B$1,$B$2,$B$7,$B$3,$B$4,$B$5,$F220,$B$6,X$10,$A220,$B220)</f>
        <v>829.9706098215662</v>
      </c>
      <c r="Y220" s="4">
        <f ca="1">_xll.DBRW($B$1,$B$2,$B$7,$B$3,$B$4,$B$5,$F220,$B$6,Y$10,$A220,$B220)</f>
        <v>997.21872826243919</v>
      </c>
      <c r="Z220" s="4">
        <f ca="1">_xll.DBRW($B$1,$B$2,$B$7,$B$3,$B$4,$B$5,$F220,$B$6,Z$10,$A220,$B220)</f>
        <v>1052.3928960494802</v>
      </c>
      <c r="AA220" s="4">
        <f ca="1">_xll.DBRW($B$1,$B$2,$B$7,$B$3,$B$4,$B$5,$F220,$B$6,AA$10,$A220,$B220)</f>
        <v>908.26553478629558</v>
      </c>
      <c r="AB220" s="4">
        <f ca="1">_xll.DBRW($B$1,$B$2,$B$7,$B$3,$B$4,$B$5,$F220,$B$6,AB$10,$A220,$B220)</f>
        <v>956.00083716294841</v>
      </c>
      <c r="AC220" s="4">
        <f ca="1">_xll.DBRW($B$1,$B$2,$B$7,$B$3,$B$4,$B$5,$F220,$B$6,AC$10,$A220,$B220)</f>
        <v>1047.8174673850392</v>
      </c>
      <c r="AD220" s="4">
        <f ca="1">_xll.DBRW($B$1,$B$2,$B$7,$B$3,$B$4,$B$5,$F220,$B$6,AD$10,$A220,$B220)</f>
        <v>1501.4467885020663</v>
      </c>
      <c r="AE220" s="4">
        <f ca="1">_xll.DBRW($B$1,$B$2,$B$7,$B$3,$B$4,$B$5,$F220,$B$6,AE$10,$A220,$B220)</f>
        <v>1674.1605209757754</v>
      </c>
    </row>
    <row r="221" spans="1:31">
      <c r="A221" s="1" t="s">
        <v>151</v>
      </c>
      <c r="B221" s="5" t="s">
        <v>280</v>
      </c>
      <c r="C221" s="5" t="s">
        <v>276</v>
      </c>
      <c r="D221" s="5" t="s">
        <v>21</v>
      </c>
      <c r="E221" s="5" t="s">
        <v>277</v>
      </c>
      <c r="F221" s="5" t="s">
        <v>24</v>
      </c>
      <c r="G221" s="6"/>
      <c r="H221" s="6"/>
      <c r="I221" s="6"/>
      <c r="J221" s="6"/>
      <c r="K221" s="6"/>
      <c r="L221" s="4">
        <f ca="1">_xll.DBRW($B$1,$B$2,$B$7,$B$3,$B$4,$B$5,$F221,$B$6,L$10,$A221,$B221)</f>
        <v>0</v>
      </c>
      <c r="M221" s="4">
        <f ca="1">_xll.DBRW($B$1,$B$2,$B$7,$B$3,$B$4,$B$5,$F221,$B$6,M$10,$A221,$B221)</f>
        <v>0</v>
      </c>
      <c r="N221" s="4">
        <f ca="1">_xll.DBRW($B$1,$B$2,$B$7,$B$3,$B$4,$B$5,$F221,$B$6,N$10,$A221,$B221)</f>
        <v>0</v>
      </c>
      <c r="O221" s="4">
        <f ca="1">_xll.DBRW($B$1,$B$2,$B$7,$B$3,$B$4,$B$5,$F221,$B$6,O$10,$A221,$B221)</f>
        <v>0</v>
      </c>
      <c r="P221" s="4">
        <f ca="1">_xll.DBRW($B$1,$B$2,$B$7,$B$3,$B$4,$B$5,$F221,$B$6,P$10,$A221,$B221)</f>
        <v>0</v>
      </c>
      <c r="Q221" s="4">
        <f ca="1">_xll.DBRW($B$1,$B$2,$B$7,$B$3,$B$4,$B$5,$F221,$B$6,Q$10,$A221,$B221)</f>
        <v>224</v>
      </c>
      <c r="R221" s="4">
        <f ca="1">_xll.DBRW($B$1,$B$2,$B$7,$B$3,$B$4,$B$5,$F221,$B$6,R$10,$A221,$B221)</f>
        <v>1344</v>
      </c>
      <c r="S221" s="4">
        <f ca="1">_xll.DBRW($B$1,$B$2,$B$7,$B$3,$B$4,$B$5,$F221,$B$6,S$10,$A221,$B221)</f>
        <v>1492.9599999999998</v>
      </c>
      <c r="T221" s="4">
        <f ca="1">_xll.DBRW($B$1,$B$2,$B$7,$B$3,$B$4,$B$5,$F221,$B$6,T$10,$A221,$B221)</f>
        <v>0</v>
      </c>
      <c r="U221" s="4">
        <f ca="1">_xll.DBRW($B$1,$B$2,$B$7,$B$3,$B$4,$B$5,$F221,$B$6,U$10,$A221,$B221)</f>
        <v>0</v>
      </c>
      <c r="V221" s="4">
        <f ca="1">_xll.DBRW($B$1,$B$2,$B$7,$B$3,$B$4,$B$5,$F221,$B$6,V$10,$A221,$B221)</f>
        <v>0</v>
      </c>
      <c r="W221" s="4">
        <f ca="1">_xll.DBRW($B$1,$B$2,$B$7,$B$3,$B$4,$B$5,$F221,$B$6,W$10,$A221,$B221)</f>
        <v>0</v>
      </c>
      <c r="X221" s="4">
        <f ca="1">_xll.DBRW($B$1,$B$2,$B$7,$B$3,$B$4,$B$5,$F221,$B$6,X$10,$A221,$B221)</f>
        <v>0</v>
      </c>
      <c r="Y221" s="4">
        <f ca="1">_xll.DBRW($B$1,$B$2,$B$7,$B$3,$B$4,$B$5,$F221,$B$6,Y$10,$A221,$B221)</f>
        <v>0</v>
      </c>
      <c r="Z221" s="4">
        <f ca="1">_xll.DBRW($B$1,$B$2,$B$7,$B$3,$B$4,$B$5,$F221,$B$6,Z$10,$A221,$B221)</f>
        <v>0</v>
      </c>
      <c r="AA221" s="4">
        <f ca="1">_xll.DBRW($B$1,$B$2,$B$7,$B$3,$B$4,$B$5,$F221,$B$6,AA$10,$A221,$B221)</f>
        <v>0</v>
      </c>
      <c r="AB221" s="4">
        <f ca="1">_xll.DBRW($B$1,$B$2,$B$7,$B$3,$B$4,$B$5,$F221,$B$6,AB$10,$A221,$B221)</f>
        <v>0</v>
      </c>
      <c r="AC221" s="4">
        <f ca="1">_xll.DBRW($B$1,$B$2,$B$7,$B$3,$B$4,$B$5,$F221,$B$6,AC$10,$A221,$B221)</f>
        <v>0</v>
      </c>
      <c r="AD221" s="4">
        <f ca="1">_xll.DBRW($B$1,$B$2,$B$7,$B$3,$B$4,$B$5,$F221,$B$6,AD$10,$A221,$B221)</f>
        <v>0</v>
      </c>
      <c r="AE221" s="4">
        <f ca="1">_xll.DBRW($B$1,$B$2,$B$7,$B$3,$B$4,$B$5,$F221,$B$6,AE$10,$A221,$B221)</f>
        <v>0</v>
      </c>
    </row>
    <row r="222" spans="1:31">
      <c r="A222" s="1" t="s">
        <v>151</v>
      </c>
      <c r="B222" s="5" t="s">
        <v>281</v>
      </c>
      <c r="C222" s="5" t="s">
        <v>279</v>
      </c>
      <c r="D222" s="5" t="s">
        <v>277</v>
      </c>
      <c r="E222" s="5" t="s">
        <v>21</v>
      </c>
      <c r="F222" s="5" t="s">
        <v>24</v>
      </c>
      <c r="G222" s="6"/>
      <c r="H222" s="6"/>
      <c r="I222" s="6"/>
      <c r="J222" s="6"/>
      <c r="K222" s="6"/>
      <c r="L222" s="4">
        <f ca="1">_xll.DBRW($B$1,$B$2,$B$7,$B$3,$B$4,$B$5,$F222,$B$6,L$10,$A222,$B222)</f>
        <v>0</v>
      </c>
      <c r="M222" s="4">
        <f ca="1">_xll.DBRW($B$1,$B$2,$B$7,$B$3,$B$4,$B$5,$F222,$B$6,M$10,$A222,$B222)</f>
        <v>0</v>
      </c>
      <c r="N222" s="4">
        <f ca="1">_xll.DBRW($B$1,$B$2,$B$7,$B$3,$B$4,$B$5,$F222,$B$6,N$10,$A222,$B222)</f>
        <v>0</v>
      </c>
      <c r="O222" s="4">
        <f ca="1">_xll.DBRW($B$1,$B$2,$B$7,$B$3,$B$4,$B$5,$F222,$B$6,O$10,$A222,$B222)</f>
        <v>0</v>
      </c>
      <c r="P222" s="4">
        <f ca="1">_xll.DBRW($B$1,$B$2,$B$7,$B$3,$B$4,$B$5,$F222,$B$6,P$10,$A222,$B222)</f>
        <v>0</v>
      </c>
      <c r="Q222" s="4">
        <f ca="1">_xll.DBRW($B$1,$B$2,$B$7,$B$3,$B$4,$B$5,$F222,$B$6,Q$10,$A222,$B222)</f>
        <v>224</v>
      </c>
      <c r="R222" s="4">
        <f ca="1">_xll.DBRW($B$1,$B$2,$B$7,$B$3,$B$4,$B$5,$F222,$B$6,R$10,$A222,$B222)</f>
        <v>1344</v>
      </c>
      <c r="S222" s="4">
        <f ca="1">_xll.DBRW($B$1,$B$2,$B$7,$B$3,$B$4,$B$5,$F222,$B$6,S$10,$A222,$B222)</f>
        <v>1492.9599999999998</v>
      </c>
      <c r="T222" s="4">
        <f ca="1">_xll.DBRW($B$1,$B$2,$B$7,$B$3,$B$4,$B$5,$F222,$B$6,T$10,$A222,$B222)</f>
        <v>0</v>
      </c>
      <c r="U222" s="4">
        <f ca="1">_xll.DBRW($B$1,$B$2,$B$7,$B$3,$B$4,$B$5,$F222,$B$6,U$10,$A222,$B222)</f>
        <v>0</v>
      </c>
      <c r="V222" s="4">
        <f ca="1">_xll.DBRW($B$1,$B$2,$B$7,$B$3,$B$4,$B$5,$F222,$B$6,V$10,$A222,$B222)</f>
        <v>0</v>
      </c>
      <c r="W222" s="4">
        <f ca="1">_xll.DBRW($B$1,$B$2,$B$7,$B$3,$B$4,$B$5,$F222,$B$6,W$10,$A222,$B222)</f>
        <v>0</v>
      </c>
      <c r="X222" s="4">
        <f ca="1">_xll.DBRW($B$1,$B$2,$B$7,$B$3,$B$4,$B$5,$F222,$B$6,X$10,$A222,$B222)</f>
        <v>0</v>
      </c>
      <c r="Y222" s="4">
        <f ca="1">_xll.DBRW($B$1,$B$2,$B$7,$B$3,$B$4,$B$5,$F222,$B$6,Y$10,$A222,$B222)</f>
        <v>0</v>
      </c>
      <c r="Z222" s="4">
        <f ca="1">_xll.DBRW($B$1,$B$2,$B$7,$B$3,$B$4,$B$5,$F222,$B$6,Z$10,$A222,$B222)</f>
        <v>0</v>
      </c>
      <c r="AA222" s="4">
        <f ca="1">_xll.DBRW($B$1,$B$2,$B$7,$B$3,$B$4,$B$5,$F222,$B$6,AA$10,$A222,$B222)</f>
        <v>0</v>
      </c>
      <c r="AB222" s="4">
        <f ca="1">_xll.DBRW($B$1,$B$2,$B$7,$B$3,$B$4,$B$5,$F222,$B$6,AB$10,$A222,$B222)</f>
        <v>0</v>
      </c>
      <c r="AC222" s="4">
        <f ca="1">_xll.DBRW($B$1,$B$2,$B$7,$B$3,$B$4,$B$5,$F222,$B$6,AC$10,$A222,$B222)</f>
        <v>0</v>
      </c>
      <c r="AD222" s="4">
        <f ca="1">_xll.DBRW($B$1,$B$2,$B$7,$B$3,$B$4,$B$5,$F222,$B$6,AD$10,$A222,$B222)</f>
        <v>0</v>
      </c>
      <c r="AE222" s="4">
        <f ca="1">_xll.DBRW($B$1,$B$2,$B$7,$B$3,$B$4,$B$5,$F222,$B$6,AE$10,$A222,$B222)</f>
        <v>0</v>
      </c>
    </row>
    <row r="223" spans="1:31">
      <c r="A223" s="1" t="s">
        <v>151</v>
      </c>
      <c r="B223" s="5" t="s">
        <v>282</v>
      </c>
      <c r="C223" s="5" t="s">
        <v>283</v>
      </c>
      <c r="D223" s="5" t="s">
        <v>21</v>
      </c>
      <c r="E223" s="5" t="s">
        <v>284</v>
      </c>
      <c r="F223" s="5" t="s">
        <v>24</v>
      </c>
      <c r="G223" s="6"/>
      <c r="H223" s="6"/>
      <c r="I223" s="6"/>
      <c r="J223" s="6"/>
      <c r="K223" s="6"/>
      <c r="L223" s="4">
        <f ca="1">_xll.DBRW($B$1,$B$2,$B$7,$B$3,$B$4,$B$5,$F223,$B$6,L$10,$A223,$B223)</f>
        <v>0</v>
      </c>
      <c r="M223" s="4">
        <f ca="1">_xll.DBRW($B$1,$B$2,$B$7,$B$3,$B$4,$B$5,$F223,$B$6,M$10,$A223,$B223)</f>
        <v>0</v>
      </c>
      <c r="N223" s="4">
        <f ca="1">_xll.DBRW($B$1,$B$2,$B$7,$B$3,$B$4,$B$5,$F223,$B$6,N$10,$A223,$B223)</f>
        <v>0</v>
      </c>
      <c r="O223" s="4">
        <f ca="1">_xll.DBRW($B$1,$B$2,$B$7,$B$3,$B$4,$B$5,$F223,$B$6,O$10,$A223,$B223)</f>
        <v>0</v>
      </c>
      <c r="P223" s="4">
        <f ca="1">_xll.DBRW($B$1,$B$2,$B$7,$B$3,$B$4,$B$5,$F223,$B$6,P$10,$A223,$B223)</f>
        <v>0</v>
      </c>
      <c r="Q223" s="4">
        <f ca="1">_xll.DBRW($B$1,$B$2,$B$7,$B$3,$B$4,$B$5,$F223,$B$6,Q$10,$A223,$B223)</f>
        <v>112.41828776714783</v>
      </c>
      <c r="R223" s="4">
        <f ca="1">_xll.DBRW($B$1,$B$2,$B$7,$B$3,$B$4,$B$5,$F223,$B$6,R$10,$A223,$B223)</f>
        <v>820.22603289542349</v>
      </c>
      <c r="S223" s="4">
        <f ca="1">_xll.DBRW($B$1,$B$2,$B$7,$B$3,$B$4,$B$5,$F223,$B$6,S$10,$A223,$B223)</f>
        <v>925.25364248982191</v>
      </c>
      <c r="T223" s="4">
        <f ca="1">_xll.DBRW($B$1,$B$2,$B$7,$B$3,$B$4,$B$5,$F223,$B$6,T$10,$A223,$B223)</f>
        <v>915.07147862688078</v>
      </c>
      <c r="U223" s="4">
        <f ca="1">_xll.DBRW($B$1,$B$2,$B$7,$B$3,$B$4,$B$5,$F223,$B$6,U$10,$A223,$B223)</f>
        <v>861.81600727335626</v>
      </c>
      <c r="V223" s="4">
        <f ca="1">_xll.DBRW($B$1,$B$2,$B$7,$B$3,$B$4,$B$5,$F223,$B$6,V$10,$A223,$B223)</f>
        <v>862.87654974688417</v>
      </c>
      <c r="W223" s="4">
        <f ca="1">_xll.DBRW($B$1,$B$2,$B$7,$B$3,$B$4,$B$5,$F223,$B$6,W$10,$A223,$B223)</f>
        <v>0</v>
      </c>
      <c r="X223" s="4">
        <f ca="1">_xll.DBRW($B$1,$B$2,$B$7,$B$3,$B$4,$B$5,$F223,$B$6,X$10,$A223,$B223)</f>
        <v>0</v>
      </c>
      <c r="Y223" s="4">
        <f ca="1">_xll.DBRW($B$1,$B$2,$B$7,$B$3,$B$4,$B$5,$F223,$B$6,Y$10,$A223,$B223)</f>
        <v>0</v>
      </c>
      <c r="Z223" s="4">
        <f ca="1">_xll.DBRW($B$1,$B$2,$B$7,$B$3,$B$4,$B$5,$F223,$B$6,Z$10,$A223,$B223)</f>
        <v>0</v>
      </c>
      <c r="AA223" s="4">
        <f ca="1">_xll.DBRW($B$1,$B$2,$B$7,$B$3,$B$4,$B$5,$F223,$B$6,AA$10,$A223,$B223)</f>
        <v>0</v>
      </c>
      <c r="AB223" s="4">
        <f ca="1">_xll.DBRW($B$1,$B$2,$B$7,$B$3,$B$4,$B$5,$F223,$B$6,AB$10,$A223,$B223)</f>
        <v>0</v>
      </c>
      <c r="AC223" s="4">
        <f ca="1">_xll.DBRW($B$1,$B$2,$B$7,$B$3,$B$4,$B$5,$F223,$B$6,AC$10,$A223,$B223)</f>
        <v>143.96299873417348</v>
      </c>
      <c r="AD223" s="4">
        <f ca="1">_xll.DBRW($B$1,$B$2,$B$7,$B$3,$B$4,$B$5,$F223,$B$6,AD$10,$A223,$B223)</f>
        <v>843.30755535660398</v>
      </c>
      <c r="AE223" s="4">
        <f ca="1">_xll.DBRW($B$1,$B$2,$B$7,$B$3,$B$4,$B$5,$F223,$B$6,AE$10,$A223,$B223)</f>
        <v>841.90905741916356</v>
      </c>
    </row>
    <row r="224" spans="1:31">
      <c r="A224" s="1" t="s">
        <v>151</v>
      </c>
      <c r="B224" s="5" t="s">
        <v>285</v>
      </c>
      <c r="C224" s="5" t="s">
        <v>286</v>
      </c>
      <c r="D224" s="5" t="s">
        <v>284</v>
      </c>
      <c r="E224" s="5" t="s">
        <v>21</v>
      </c>
      <c r="F224" s="5" t="s">
        <v>24</v>
      </c>
      <c r="G224" s="6"/>
      <c r="H224" s="6"/>
      <c r="I224" s="6"/>
      <c r="J224" s="6"/>
      <c r="K224" s="6"/>
      <c r="L224" s="4">
        <f ca="1">_xll.DBRW($B$1,$B$2,$B$7,$B$3,$B$4,$B$5,$F224,$B$6,L$10,$A224,$B224)</f>
        <v>0</v>
      </c>
      <c r="M224" s="4">
        <f ca="1">_xll.DBRW($B$1,$B$2,$B$7,$B$3,$B$4,$B$5,$F224,$B$6,M$10,$A224,$B224)</f>
        <v>0</v>
      </c>
      <c r="N224" s="4">
        <f ca="1">_xll.DBRW($B$1,$B$2,$B$7,$B$3,$B$4,$B$5,$F224,$B$6,N$10,$A224,$B224)</f>
        <v>0</v>
      </c>
      <c r="O224" s="4">
        <f ca="1">_xll.DBRW($B$1,$B$2,$B$7,$B$3,$B$4,$B$5,$F224,$B$6,O$10,$A224,$B224)</f>
        <v>0</v>
      </c>
      <c r="P224" s="4">
        <f ca="1">_xll.DBRW($B$1,$B$2,$B$7,$B$3,$B$4,$B$5,$F224,$B$6,P$10,$A224,$B224)</f>
        <v>0</v>
      </c>
      <c r="Q224" s="4">
        <f ca="1">_xll.DBRW($B$1,$B$2,$B$7,$B$3,$B$4,$B$5,$F224,$B$6,Q$10,$A224,$B224)</f>
        <v>112.41828776714783</v>
      </c>
      <c r="R224" s="4">
        <f ca="1">_xll.DBRW($B$1,$B$2,$B$7,$B$3,$B$4,$B$5,$F224,$B$6,R$10,$A224,$B224)</f>
        <v>820.22603289542349</v>
      </c>
      <c r="S224" s="4">
        <f ca="1">_xll.DBRW($B$1,$B$2,$B$7,$B$3,$B$4,$B$5,$F224,$B$6,S$10,$A224,$B224)</f>
        <v>925.25364248982191</v>
      </c>
      <c r="T224" s="4">
        <f ca="1">_xll.DBRW($B$1,$B$2,$B$7,$B$3,$B$4,$B$5,$F224,$B$6,T$10,$A224,$B224)</f>
        <v>885.55304383246528</v>
      </c>
      <c r="U224" s="4">
        <f ca="1">_xll.DBRW($B$1,$B$2,$B$7,$B$3,$B$4,$B$5,$F224,$B$6,U$10,$A224,$B224)</f>
        <v>861.81600727335626</v>
      </c>
      <c r="V224" s="4">
        <f ca="1">_xll.DBRW($B$1,$B$2,$B$7,$B$3,$B$4,$B$5,$F224,$B$6,V$10,$A224,$B224)</f>
        <v>893.69356938070177</v>
      </c>
      <c r="W224" s="4">
        <f ca="1">_xll.DBRW($B$1,$B$2,$B$7,$B$3,$B$4,$B$5,$F224,$B$6,W$10,$A224,$B224)</f>
        <v>0</v>
      </c>
      <c r="X224" s="4">
        <f ca="1">_xll.DBRW($B$1,$B$2,$B$7,$B$3,$B$4,$B$5,$F224,$B$6,X$10,$A224,$B224)</f>
        <v>0</v>
      </c>
      <c r="Y224" s="4">
        <f ca="1">_xll.DBRW($B$1,$B$2,$B$7,$B$3,$B$4,$B$5,$F224,$B$6,Y$10,$A224,$B224)</f>
        <v>0</v>
      </c>
      <c r="Z224" s="4">
        <f ca="1">_xll.DBRW($B$1,$B$2,$B$7,$B$3,$B$4,$B$5,$F224,$B$6,Z$10,$A224,$B224)</f>
        <v>0</v>
      </c>
      <c r="AA224" s="4">
        <f ca="1">_xll.DBRW($B$1,$B$2,$B$7,$B$3,$B$4,$B$5,$F224,$B$6,AA$10,$A224,$B224)</f>
        <v>0</v>
      </c>
      <c r="AB224" s="4">
        <f ca="1">_xll.DBRW($B$1,$B$2,$B$7,$B$3,$B$4,$B$5,$F224,$B$6,AB$10,$A224,$B224)</f>
        <v>0</v>
      </c>
      <c r="AC224" s="4">
        <f ca="1">_xll.DBRW($B$1,$B$2,$B$7,$B$3,$B$4,$B$5,$F224,$B$6,AC$10,$A224,$B224)</f>
        <v>119.96916561181123</v>
      </c>
      <c r="AD224" s="4">
        <f ca="1">_xll.DBRW($B$1,$B$2,$B$7,$B$3,$B$4,$B$5,$F224,$B$6,AD$10,$A224,$B224)</f>
        <v>843.30755535660398</v>
      </c>
      <c r="AE224" s="4">
        <f ca="1">_xll.DBRW($B$1,$B$2,$B$7,$B$3,$B$4,$B$5,$F224,$B$6,AE$10,$A224,$B224)</f>
        <v>787.59234403728203</v>
      </c>
    </row>
    <row r="225" spans="1:31">
      <c r="A225" s="1" t="s">
        <v>151</v>
      </c>
      <c r="B225" s="5" t="s">
        <v>287</v>
      </c>
      <c r="C225" s="5" t="s">
        <v>288</v>
      </c>
      <c r="D225" s="5" t="s">
        <v>21</v>
      </c>
      <c r="E225" s="5" t="s">
        <v>289</v>
      </c>
      <c r="F225" s="5" t="s">
        <v>24</v>
      </c>
      <c r="G225" s="6"/>
      <c r="H225" s="6"/>
      <c r="I225" s="6"/>
      <c r="J225" s="6"/>
      <c r="K225" s="6"/>
      <c r="L225" s="4">
        <f ca="1">_xll.DBRW($B$1,$B$2,$B$7,$B$3,$B$4,$B$5,$F225,$B$6,L$10,$A225,$B225)</f>
        <v>0</v>
      </c>
      <c r="M225" s="4">
        <f ca="1">_xll.DBRW($B$1,$B$2,$B$7,$B$3,$B$4,$B$5,$F225,$B$6,M$10,$A225,$B225)</f>
        <v>0</v>
      </c>
      <c r="N225" s="4">
        <f ca="1">_xll.DBRW($B$1,$B$2,$B$7,$B$3,$B$4,$B$5,$F225,$B$6,N$10,$A225,$B225)</f>
        <v>0</v>
      </c>
      <c r="O225" s="4">
        <f ca="1">_xll.DBRW($B$1,$B$2,$B$7,$B$3,$B$4,$B$5,$F225,$B$6,O$10,$A225,$B225)</f>
        <v>0</v>
      </c>
      <c r="P225" s="4">
        <f ca="1">_xll.DBRW($B$1,$B$2,$B$7,$B$3,$B$4,$B$5,$F225,$B$6,P$10,$A225,$B225)</f>
        <v>0</v>
      </c>
      <c r="Q225" s="4">
        <f ca="1">_xll.DBRW($B$1,$B$2,$B$7,$B$3,$B$4,$B$5,$F225,$B$6,Q$10,$A225,$B225)</f>
        <v>159.66099475493425</v>
      </c>
      <c r="R225" s="4">
        <f ca="1">_xll.DBRW($B$1,$B$2,$B$7,$B$3,$B$4,$B$5,$F225,$B$6,R$10,$A225,$B225)</f>
        <v>1166.8756615452758</v>
      </c>
      <c r="S225" s="4">
        <f ca="1">_xll.DBRW($B$1,$B$2,$B$7,$B$3,$B$4,$B$5,$F225,$B$6,S$10,$A225,$B225)</f>
        <v>1233.2278064629995</v>
      </c>
      <c r="T225" s="4">
        <f ca="1">_xll.DBRW($B$1,$B$2,$B$7,$B$3,$B$4,$B$5,$F225,$B$6,T$10,$A225,$B225)</f>
        <v>870.31733736478918</v>
      </c>
      <c r="U225" s="4">
        <f ca="1">_xll.DBRW($B$1,$B$2,$B$7,$B$3,$B$4,$B$5,$F225,$B$6,U$10,$A225,$B225)</f>
        <v>806.39985476043239</v>
      </c>
      <c r="V225" s="4">
        <f ca="1">_xll.DBRW($B$1,$B$2,$B$7,$B$3,$B$4,$B$5,$F225,$B$6,V$10,$A225,$B225)</f>
        <v>816.68136203823406</v>
      </c>
      <c r="W225" s="4">
        <f ca="1">_xll.DBRW($B$1,$B$2,$B$7,$B$3,$B$4,$B$5,$F225,$B$6,W$10,$A225,$B225)</f>
        <v>0</v>
      </c>
      <c r="X225" s="4">
        <f ca="1">_xll.DBRW($B$1,$B$2,$B$7,$B$3,$B$4,$B$5,$F225,$B$6,X$10,$A225,$B225)</f>
        <v>0</v>
      </c>
      <c r="Y225" s="4">
        <f ca="1">_xll.DBRW($B$1,$B$2,$B$7,$B$3,$B$4,$B$5,$F225,$B$6,Y$10,$A225,$B225)</f>
        <v>0</v>
      </c>
      <c r="Z225" s="4">
        <f ca="1">_xll.DBRW($B$1,$B$2,$B$7,$B$3,$B$4,$B$5,$F225,$B$6,Z$10,$A225,$B225)</f>
        <v>0</v>
      </c>
      <c r="AA225" s="4">
        <f ca="1">_xll.DBRW($B$1,$B$2,$B$7,$B$3,$B$4,$B$5,$F225,$B$6,AA$10,$A225,$B225)</f>
        <v>0</v>
      </c>
      <c r="AB225" s="4">
        <f ca="1">_xll.DBRW($B$1,$B$2,$B$7,$B$3,$B$4,$B$5,$F225,$B$6,AB$10,$A225,$B225)</f>
        <v>0</v>
      </c>
      <c r="AC225" s="4">
        <f ca="1">_xll.DBRW($B$1,$B$2,$B$7,$B$3,$B$4,$B$5,$F225,$B$6,AC$10,$A225,$B225)</f>
        <v>131.53233408745959</v>
      </c>
      <c r="AD225" s="4">
        <f ca="1">_xll.DBRW($B$1,$B$2,$B$7,$B$3,$B$4,$B$5,$F225,$B$6,AD$10,$A225,$B225)</f>
        <v>924.83684185364211</v>
      </c>
      <c r="AE225" s="4">
        <f ca="1">_xll.DBRW($B$1,$B$2,$B$7,$B$3,$B$4,$B$5,$F225,$B$6,AE$10,$A225,$B225)</f>
        <v>922.36463320735015</v>
      </c>
    </row>
    <row r="226" spans="1:31">
      <c r="A226" s="1" t="s">
        <v>151</v>
      </c>
      <c r="B226" s="5" t="s">
        <v>290</v>
      </c>
      <c r="C226" s="5" t="s">
        <v>291</v>
      </c>
      <c r="D226" s="5" t="s">
        <v>289</v>
      </c>
      <c r="E226" s="5" t="s">
        <v>21</v>
      </c>
      <c r="F226" s="5" t="s">
        <v>24</v>
      </c>
      <c r="G226" s="6"/>
      <c r="H226" s="6"/>
      <c r="I226" s="6"/>
      <c r="J226" s="6"/>
      <c r="K226" s="6"/>
      <c r="L226" s="4">
        <f ca="1">_xll.DBRW($B$1,$B$2,$B$7,$B$3,$B$4,$B$5,$F226,$B$6,L$10,$A226,$B226)</f>
        <v>0</v>
      </c>
      <c r="M226" s="4">
        <f ca="1">_xll.DBRW($B$1,$B$2,$B$7,$B$3,$B$4,$B$5,$F226,$B$6,M$10,$A226,$B226)</f>
        <v>0</v>
      </c>
      <c r="N226" s="4">
        <f ca="1">_xll.DBRW($B$1,$B$2,$B$7,$B$3,$B$4,$B$5,$F226,$B$6,N$10,$A226,$B226)</f>
        <v>0</v>
      </c>
      <c r="O226" s="4">
        <f ca="1">_xll.DBRW($B$1,$B$2,$B$7,$B$3,$B$4,$B$5,$F226,$B$6,O$10,$A226,$B226)</f>
        <v>0</v>
      </c>
      <c r="P226" s="4">
        <f ca="1">_xll.DBRW($B$1,$B$2,$B$7,$B$3,$B$4,$B$5,$F226,$B$6,P$10,$A226,$B226)</f>
        <v>0</v>
      </c>
      <c r="Q226" s="4">
        <f ca="1">_xll.DBRW($B$1,$B$2,$B$7,$B$3,$B$4,$B$5,$F226,$B$6,Q$10,$A226,$B226)</f>
        <v>110.39756514653445</v>
      </c>
      <c r="R226" s="4">
        <f ca="1">_xll.DBRW($B$1,$B$2,$B$7,$B$3,$B$4,$B$5,$F226,$B$6,R$10,$A226,$B226)</f>
        <v>1166.8756615452758</v>
      </c>
      <c r="S226" s="4">
        <f ca="1">_xll.DBRW($B$1,$B$2,$B$7,$B$3,$B$4,$B$5,$F226,$B$6,S$10,$A226,$B226)</f>
        <v>1233.2278064629995</v>
      </c>
      <c r="T226" s="4">
        <f ca="1">_xll.DBRW($B$1,$B$2,$B$7,$B$3,$B$4,$B$5,$F226,$B$6,T$10,$A226,$B226)</f>
        <v>870.31733736478918</v>
      </c>
      <c r="U226" s="4">
        <f ca="1">_xll.DBRW($B$1,$B$2,$B$7,$B$3,$B$4,$B$5,$F226,$B$6,U$10,$A226,$B226)</f>
        <v>806.39985476043239</v>
      </c>
      <c r="V226" s="4">
        <f ca="1">_xll.DBRW($B$1,$B$2,$B$7,$B$3,$B$4,$B$5,$F226,$B$6,V$10,$A226,$B226)</f>
        <v>816.68136203823406</v>
      </c>
      <c r="W226" s="4">
        <f ca="1">_xll.DBRW($B$1,$B$2,$B$7,$B$3,$B$4,$B$5,$F226,$B$6,W$10,$A226,$B226)</f>
        <v>0</v>
      </c>
      <c r="X226" s="4">
        <f ca="1">_xll.DBRW($B$1,$B$2,$B$7,$B$3,$B$4,$B$5,$F226,$B$6,X$10,$A226,$B226)</f>
        <v>0</v>
      </c>
      <c r="Y226" s="4">
        <f ca="1">_xll.DBRW($B$1,$B$2,$B$7,$B$3,$B$4,$B$5,$F226,$B$6,Y$10,$A226,$B226)</f>
        <v>0</v>
      </c>
      <c r="Z226" s="4">
        <f ca="1">_xll.DBRW($B$1,$B$2,$B$7,$B$3,$B$4,$B$5,$F226,$B$6,Z$10,$A226,$B226)</f>
        <v>0</v>
      </c>
      <c r="AA226" s="4">
        <f ca="1">_xll.DBRW($B$1,$B$2,$B$7,$B$3,$B$4,$B$5,$F226,$B$6,AA$10,$A226,$B226)</f>
        <v>0</v>
      </c>
      <c r="AB226" s="4">
        <f ca="1">_xll.DBRW($B$1,$B$2,$B$7,$B$3,$B$4,$B$5,$F226,$B$6,AB$10,$A226,$B226)</f>
        <v>0</v>
      </c>
      <c r="AC226" s="4">
        <f ca="1">_xll.DBRW($B$1,$B$2,$B$7,$B$3,$B$4,$B$5,$F226,$B$6,AC$10,$A226,$B226)</f>
        <v>131.53233408745959</v>
      </c>
      <c r="AD226" s="4">
        <f ca="1">_xll.DBRW($B$1,$B$2,$B$7,$B$3,$B$4,$B$5,$F226,$B$6,AD$10,$A226,$B226)</f>
        <v>924.83684185364211</v>
      </c>
      <c r="AE226" s="4">
        <f ca="1">_xll.DBRW($B$1,$B$2,$B$7,$B$3,$B$4,$B$5,$F226,$B$6,AE$10,$A226,$B226)</f>
        <v>922.36463320735015</v>
      </c>
    </row>
    <row r="227" spans="1:31">
      <c r="A227" s="1" t="s">
        <v>151</v>
      </c>
      <c r="B227" s="5" t="s">
        <v>292</v>
      </c>
      <c r="C227" s="5" t="s">
        <v>293</v>
      </c>
      <c r="D227" s="5" t="s">
        <v>21</v>
      </c>
      <c r="E227" s="5" t="s">
        <v>294</v>
      </c>
      <c r="F227" s="5" t="s">
        <v>24</v>
      </c>
      <c r="G227" s="6"/>
      <c r="H227" s="6"/>
      <c r="I227" s="6"/>
      <c r="J227" s="6"/>
      <c r="K227" s="6"/>
      <c r="L227" s="4">
        <f ca="1">_xll.DBRW($B$1,$B$2,$B$7,$B$3,$B$4,$B$5,$F227,$B$6,L$10,$A227,$B227)</f>
        <v>1447.0289789326946</v>
      </c>
      <c r="M227" s="4">
        <f ca="1">_xll.DBRW($B$1,$B$2,$B$7,$B$3,$B$4,$B$5,$F227,$B$6,M$10,$A227,$B227)</f>
        <v>1575.994033855832</v>
      </c>
      <c r="N227" s="4">
        <f ca="1">_xll.DBRW($B$1,$B$2,$B$7,$B$3,$B$4,$B$5,$F227,$B$6,N$10,$A227,$B227)</f>
        <v>1613.2400072235926</v>
      </c>
      <c r="O227" s="4">
        <f ca="1">_xll.DBRW($B$1,$B$2,$B$7,$B$3,$B$4,$B$5,$F227,$B$6,O$10,$A227,$B227)</f>
        <v>1576.3484705938265</v>
      </c>
      <c r="P227" s="4">
        <f ca="1">_xll.DBRW($B$1,$B$2,$B$7,$B$3,$B$4,$B$5,$F227,$B$6,P$10,$A227,$B227)</f>
        <v>1540.0906703478292</v>
      </c>
      <c r="Q227" s="4">
        <f ca="1">_xll.DBRW($B$1,$B$2,$B$7,$B$3,$B$4,$B$5,$F227,$B$6,Q$10,$A227,$B227)</f>
        <v>1540.9881021640435</v>
      </c>
      <c r="R227" s="4">
        <f ca="1">_xll.DBRW($B$1,$B$2,$B$7,$B$3,$B$4,$B$5,$F227,$B$6,R$10,$A227,$B227)</f>
        <v>1516.2744193764004</v>
      </c>
      <c r="S227" s="4">
        <f ca="1">_xll.DBRW($B$1,$B$2,$B$7,$B$3,$B$4,$B$5,$F227,$B$6,S$10,$A227,$B227)</f>
        <v>1534.5670168123872</v>
      </c>
      <c r="T227" s="4">
        <f ca="1">_xll.DBRW($B$1,$B$2,$B$7,$B$3,$B$4,$B$5,$F227,$B$6,T$10,$A227,$B227)</f>
        <v>1525.1541873651072</v>
      </c>
      <c r="U227" s="4">
        <f ca="1">_xll.DBRW($B$1,$B$2,$B$7,$B$3,$B$4,$B$5,$F227,$B$6,U$10,$A227,$B227)</f>
        <v>1164.9772385778838</v>
      </c>
      <c r="V227" s="4">
        <f ca="1">_xll.DBRW($B$1,$B$2,$B$7,$B$3,$B$4,$B$5,$F227,$B$6,V$10,$A227,$B227)</f>
        <v>1231.5254547788131</v>
      </c>
      <c r="W227" s="4">
        <f ca="1">_xll.DBRW($B$1,$B$2,$B$7,$B$3,$B$4,$B$5,$F227,$B$6,W$10,$A227,$B227)</f>
        <v>1474.830640362446</v>
      </c>
      <c r="X227" s="4">
        <f ca="1">_xll.DBRW($B$1,$B$2,$B$7,$B$3,$B$4,$B$5,$F227,$B$6,X$10,$A227,$B227)</f>
        <v>1362.8919581735111</v>
      </c>
      <c r="Y227" s="4">
        <f ca="1">_xll.DBRW($B$1,$B$2,$B$7,$B$3,$B$4,$B$5,$F227,$B$6,Y$10,$A227,$B227)</f>
        <v>1379.6231089134039</v>
      </c>
      <c r="Z227" s="4">
        <f ca="1">_xll.DBRW($B$1,$B$2,$B$7,$B$3,$B$4,$B$5,$F227,$B$6,Z$10,$A227,$B227)</f>
        <v>1493.5309829121891</v>
      </c>
      <c r="AA227" s="4">
        <f ca="1">_xll.DBRW($B$1,$B$2,$B$7,$B$3,$B$4,$B$5,$F227,$B$6,AA$10,$A227,$B227)</f>
        <v>1510.898449383868</v>
      </c>
      <c r="AB227" s="4">
        <f ca="1">_xll.DBRW($B$1,$B$2,$B$7,$B$3,$B$4,$B$5,$F227,$B$6,AB$10,$A227,$B227)</f>
        <v>1481.0575191395344</v>
      </c>
      <c r="AC227" s="4">
        <f ca="1">_xll.DBRW($B$1,$B$2,$B$7,$B$3,$B$4,$B$5,$F227,$B$6,AC$10,$A227,$B227)</f>
        <v>1581.4829651471293</v>
      </c>
      <c r="AD227" s="4">
        <f ca="1">_xll.DBRW($B$1,$B$2,$B$7,$B$3,$B$4,$B$5,$F227,$B$6,AD$10,$A227,$B227)</f>
        <v>1694.3910043014287</v>
      </c>
      <c r="AE227" s="4">
        <f ca="1">_xll.DBRW($B$1,$B$2,$B$7,$B$3,$B$4,$B$5,$F227,$B$6,AE$10,$A227,$B227)</f>
        <v>1742.3057455028695</v>
      </c>
    </row>
    <row r="228" spans="1:31">
      <c r="A228" s="1" t="s">
        <v>151</v>
      </c>
      <c r="B228" s="5" t="s">
        <v>295</v>
      </c>
      <c r="C228" s="5" t="s">
        <v>296</v>
      </c>
      <c r="D228" s="5" t="s">
        <v>294</v>
      </c>
      <c r="E228" s="5" t="s">
        <v>21</v>
      </c>
      <c r="F228" s="5" t="s">
        <v>24</v>
      </c>
      <c r="G228" s="6"/>
      <c r="H228" s="6"/>
      <c r="I228" s="6"/>
      <c r="J228" s="6"/>
      <c r="K228" s="6"/>
      <c r="L228" s="4">
        <f ca="1">_xll.DBRW($B$1,$B$2,$B$7,$B$3,$B$4,$B$5,$F228,$B$6,L$10,$A228,$B228)</f>
        <v>1453.8545873238866</v>
      </c>
      <c r="M228" s="4">
        <f ca="1">_xll.DBRW($B$1,$B$2,$B$7,$B$3,$B$4,$B$5,$F228,$B$6,M$10,$A228,$B228)</f>
        <v>1568.3435773808037</v>
      </c>
      <c r="N228" s="4">
        <f ca="1">_xll.DBRW($B$1,$B$2,$B$7,$B$3,$B$4,$B$5,$F228,$B$6,N$10,$A228,$B228)</f>
        <v>1613.2400072235926</v>
      </c>
      <c r="O228" s="4">
        <f ca="1">_xll.DBRW($B$1,$B$2,$B$7,$B$3,$B$4,$B$5,$F228,$B$6,O$10,$A228,$B228)</f>
        <v>1576.3484705938265</v>
      </c>
      <c r="P228" s="4">
        <f ca="1">_xll.DBRW($B$1,$B$2,$B$7,$B$3,$B$4,$B$5,$F228,$B$6,P$10,$A228,$B228)</f>
        <v>1540.0906703478292</v>
      </c>
      <c r="Q228" s="4">
        <f ca="1">_xll.DBRW($B$1,$B$2,$B$7,$B$3,$B$4,$B$5,$F228,$B$6,Q$10,$A228,$B228)</f>
        <v>1540.9881021640435</v>
      </c>
      <c r="R228" s="4">
        <f ca="1">_xll.DBRW($B$1,$B$2,$B$7,$B$3,$B$4,$B$5,$F228,$B$6,R$10,$A228,$B228)</f>
        <v>1516.2744193764004</v>
      </c>
      <c r="S228" s="4">
        <f ca="1">_xll.DBRW($B$1,$B$2,$B$7,$B$3,$B$4,$B$5,$F228,$B$6,S$10,$A228,$B228)</f>
        <v>1534.5670168123872</v>
      </c>
      <c r="T228" s="4">
        <f ca="1">_xll.DBRW($B$1,$B$2,$B$7,$B$3,$B$4,$B$5,$F228,$B$6,T$10,$A228,$B228)</f>
        <v>1525.1541873651072</v>
      </c>
      <c r="U228" s="4">
        <f ca="1">_xll.DBRW($B$1,$B$2,$B$7,$B$3,$B$4,$B$5,$F228,$B$6,U$10,$A228,$B228)</f>
        <v>1164.9772385778838</v>
      </c>
      <c r="V228" s="4">
        <f ca="1">_xll.DBRW($B$1,$B$2,$B$7,$B$3,$B$4,$B$5,$F228,$B$6,V$10,$A228,$B228)</f>
        <v>1231.5254547788131</v>
      </c>
      <c r="W228" s="4">
        <f ca="1">_xll.DBRW($B$1,$B$2,$B$7,$B$3,$B$4,$B$5,$F228,$B$6,W$10,$A228,$B228)</f>
        <v>1474.830640362446</v>
      </c>
      <c r="X228" s="4">
        <f ca="1">_xll.DBRW($B$1,$B$2,$B$7,$B$3,$B$4,$B$5,$F228,$B$6,X$10,$A228,$B228)</f>
        <v>1362.8919581735111</v>
      </c>
      <c r="Y228" s="4">
        <f ca="1">_xll.DBRW($B$1,$B$2,$B$7,$B$3,$B$4,$B$5,$F228,$B$6,Y$10,$A228,$B228)</f>
        <v>1379.6231089134039</v>
      </c>
      <c r="Z228" s="4">
        <f ca="1">_xll.DBRW($B$1,$B$2,$B$7,$B$3,$B$4,$B$5,$F228,$B$6,Z$10,$A228,$B228)</f>
        <v>1493.5309829121891</v>
      </c>
      <c r="AA228" s="4">
        <f ca="1">_xll.DBRW($B$1,$B$2,$B$7,$B$3,$B$4,$B$5,$F228,$B$6,AA$10,$A228,$B228)</f>
        <v>1510.898449383868</v>
      </c>
      <c r="AB228" s="4">
        <f ca="1">_xll.DBRW($B$1,$B$2,$B$7,$B$3,$B$4,$B$5,$F228,$B$6,AB$10,$A228,$B228)</f>
        <v>1481.0575191395344</v>
      </c>
      <c r="AC228" s="4">
        <f ca="1">_xll.DBRW($B$1,$B$2,$B$7,$B$3,$B$4,$B$5,$F228,$B$6,AC$10,$A228,$B228)</f>
        <v>1581.4829651471293</v>
      </c>
      <c r="AD228" s="4">
        <f ca="1">_xll.DBRW($B$1,$B$2,$B$7,$B$3,$B$4,$B$5,$F228,$B$6,AD$10,$A228,$B228)</f>
        <v>1694.3910043014287</v>
      </c>
      <c r="AE228" s="4">
        <f ca="1">_xll.DBRW($B$1,$B$2,$B$7,$B$3,$B$4,$B$5,$F228,$B$6,AE$10,$A228,$B228)</f>
        <v>1742.3057455028695</v>
      </c>
    </row>
    <row r="229" spans="1:31">
      <c r="A229" s="1" t="s">
        <v>151</v>
      </c>
      <c r="B229" s="5" t="s">
        <v>297</v>
      </c>
      <c r="C229" s="5" t="s">
        <v>298</v>
      </c>
      <c r="D229" s="5" t="s">
        <v>21</v>
      </c>
      <c r="E229" s="5" t="s">
        <v>299</v>
      </c>
      <c r="F229" s="5" t="s">
        <v>24</v>
      </c>
      <c r="G229" s="6"/>
      <c r="H229" s="6"/>
      <c r="I229" s="6"/>
      <c r="J229" s="6"/>
      <c r="K229" s="6"/>
      <c r="L229" s="4">
        <f ca="1">_xll.DBRW($B$1,$B$2,$B$7,$B$3,$B$4,$B$5,$F229,$B$6,L$10,$A229,$B229)</f>
        <v>1026.1027554349112</v>
      </c>
      <c r="M229" s="4">
        <f ca="1">_xll.DBRW($B$1,$B$2,$B$7,$B$3,$B$4,$B$5,$F229,$B$6,M$10,$A229,$B229)</f>
        <v>971.37929020570061</v>
      </c>
      <c r="N229" s="4">
        <f ca="1">_xll.DBRW($B$1,$B$2,$B$7,$B$3,$B$4,$B$5,$F229,$B$6,N$10,$A229,$B229)</f>
        <v>1016.0444230533107</v>
      </c>
      <c r="O229" s="4">
        <f ca="1">_xll.DBRW($B$1,$B$2,$B$7,$B$3,$B$4,$B$5,$F229,$B$6,O$10,$A229,$B229)</f>
        <v>1063.3054266922245</v>
      </c>
      <c r="P229" s="4">
        <f ca="1">_xll.DBRW($B$1,$B$2,$B$7,$B$3,$B$4,$B$5,$F229,$B$6,P$10,$A229,$B229)</f>
        <v>1035.7608169309328</v>
      </c>
      <c r="Q229" s="4">
        <f ca="1">_xll.DBRW($B$1,$B$2,$B$7,$B$3,$B$4,$B$5,$F229,$B$6,Q$10,$A229,$B229)</f>
        <v>969.92606856704242</v>
      </c>
      <c r="R229" s="4">
        <f ca="1">_xll.DBRW($B$1,$B$2,$B$7,$B$3,$B$4,$B$5,$F229,$B$6,R$10,$A229,$B229)</f>
        <v>925.88596010771573</v>
      </c>
      <c r="S229" s="4">
        <f ca="1">_xll.DBRW($B$1,$B$2,$B$7,$B$3,$B$4,$B$5,$F229,$B$6,S$10,$A229,$B229)</f>
        <v>959.10438550774234</v>
      </c>
      <c r="T229" s="4">
        <f ca="1">_xll.DBRW($B$1,$B$2,$B$7,$B$3,$B$4,$B$5,$F229,$B$6,T$10,$A229,$B229)</f>
        <v>975.45503159312557</v>
      </c>
      <c r="U229" s="4">
        <f ca="1">_xll.DBRW($B$1,$B$2,$B$7,$B$3,$B$4,$B$5,$F229,$B$6,U$10,$A229,$B229)</f>
        <v>890.58600628887029</v>
      </c>
      <c r="V229" s="4">
        <f ca="1">_xll.DBRW($B$1,$B$2,$B$7,$B$3,$B$4,$B$5,$F229,$B$6,V$10,$A229,$B229)</f>
        <v>1022.6187267577955</v>
      </c>
      <c r="W229" s="4">
        <f ca="1">_xll.DBRW($B$1,$B$2,$B$7,$B$3,$B$4,$B$5,$F229,$B$6,W$10,$A229,$B229)</f>
        <v>976.69279766460511</v>
      </c>
      <c r="X229" s="4">
        <f ca="1">_xll.DBRW($B$1,$B$2,$B$7,$B$3,$B$4,$B$5,$F229,$B$6,X$10,$A229,$B229)</f>
        <v>977.60539498760295</v>
      </c>
      <c r="Y229" s="4">
        <f ca="1">_xll.DBRW($B$1,$B$2,$B$7,$B$3,$B$4,$B$5,$F229,$B$6,Y$10,$A229,$B229)</f>
        <v>965.89532449460967</v>
      </c>
      <c r="Z229" s="4">
        <f ca="1">_xll.DBRW($B$1,$B$2,$B$7,$B$3,$B$4,$B$5,$F229,$B$6,Z$10,$A229,$B229)</f>
        <v>1086.688576955487</v>
      </c>
      <c r="AA229" s="4">
        <f ca="1">_xll.DBRW($B$1,$B$2,$B$7,$B$3,$B$4,$B$5,$F229,$B$6,AA$10,$A229,$B229)</f>
        <v>1097.8155583098298</v>
      </c>
      <c r="AB229" s="4">
        <f ca="1">_xll.DBRW($B$1,$B$2,$B$7,$B$3,$B$4,$B$5,$F229,$B$6,AB$10,$A229,$B229)</f>
        <v>1076.0488889698772</v>
      </c>
      <c r="AC229" s="4">
        <f ca="1">_xll.DBRW($B$1,$B$2,$B$7,$B$3,$B$4,$B$5,$F229,$B$6,AC$10,$A229,$B229)</f>
        <v>1095.3882655704926</v>
      </c>
      <c r="AD229" s="4">
        <f ca="1">_xll.DBRW($B$1,$B$2,$B$7,$B$3,$B$4,$B$5,$F229,$B$6,AD$10,$A229,$B229)</f>
        <v>978.95681652327755</v>
      </c>
      <c r="AE229" s="4">
        <f ca="1">_xll.DBRW($B$1,$B$2,$B$7,$B$3,$B$4,$B$5,$F229,$B$6,AE$10,$A229,$B229)</f>
        <v>1109.725679391737</v>
      </c>
    </row>
    <row r="230" spans="1:31">
      <c r="A230" s="1" t="s">
        <v>151</v>
      </c>
      <c r="B230" s="5" t="s">
        <v>300</v>
      </c>
      <c r="C230" s="5" t="s">
        <v>301</v>
      </c>
      <c r="D230" s="5" t="s">
        <v>299</v>
      </c>
      <c r="E230" s="5" t="s">
        <v>21</v>
      </c>
      <c r="F230" s="5" t="s">
        <v>24</v>
      </c>
      <c r="G230" s="6"/>
      <c r="H230" s="6"/>
      <c r="I230" s="6"/>
      <c r="J230" s="6"/>
      <c r="K230" s="6"/>
      <c r="L230" s="4">
        <f ca="1">_xll.DBRW($B$1,$B$2,$B$7,$B$3,$B$4,$B$5,$F230,$B$6,L$10,$A230,$B230)</f>
        <v>1026.1027554349112</v>
      </c>
      <c r="M230" s="4">
        <f ca="1">_xll.DBRW($B$1,$B$2,$B$7,$B$3,$B$4,$B$5,$F230,$B$6,M$10,$A230,$B230)</f>
        <v>971.37929020570061</v>
      </c>
      <c r="N230" s="4">
        <f ca="1">_xll.DBRW($B$1,$B$2,$B$7,$B$3,$B$4,$B$5,$F230,$B$6,N$10,$A230,$B230)</f>
        <v>1016.0444230533107</v>
      </c>
      <c r="O230" s="4">
        <f ca="1">_xll.DBRW($B$1,$B$2,$B$7,$B$3,$B$4,$B$5,$F230,$B$6,O$10,$A230,$B230)</f>
        <v>1063.3054266922245</v>
      </c>
      <c r="P230" s="4">
        <f ca="1">_xll.DBRW($B$1,$B$2,$B$7,$B$3,$B$4,$B$5,$F230,$B$6,P$10,$A230,$B230)</f>
        <v>1035.7608169309328</v>
      </c>
      <c r="Q230" s="4">
        <f ca="1">_xll.DBRW($B$1,$B$2,$B$7,$B$3,$B$4,$B$5,$F230,$B$6,Q$10,$A230,$B230)</f>
        <v>969.92606856704242</v>
      </c>
      <c r="R230" s="4">
        <f ca="1">_xll.DBRW($B$1,$B$2,$B$7,$B$3,$B$4,$B$5,$F230,$B$6,R$10,$A230,$B230)</f>
        <v>925.88596010771573</v>
      </c>
      <c r="S230" s="4">
        <f ca="1">_xll.DBRW($B$1,$B$2,$B$7,$B$3,$B$4,$B$5,$F230,$B$6,S$10,$A230,$B230)</f>
        <v>959.10438550774234</v>
      </c>
      <c r="T230" s="4">
        <f ca="1">_xll.DBRW($B$1,$B$2,$B$7,$B$3,$B$4,$B$5,$F230,$B$6,T$10,$A230,$B230)</f>
        <v>975.45503159312557</v>
      </c>
      <c r="U230" s="4">
        <f ca="1">_xll.DBRW($B$1,$B$2,$B$7,$B$3,$B$4,$B$5,$F230,$B$6,U$10,$A230,$B230)</f>
        <v>890.58600628887029</v>
      </c>
      <c r="V230" s="4">
        <f ca="1">_xll.DBRW($B$1,$B$2,$B$7,$B$3,$B$4,$B$5,$F230,$B$6,V$10,$A230,$B230)</f>
        <v>1022.6187267577955</v>
      </c>
      <c r="W230" s="4">
        <f ca="1">_xll.DBRW($B$1,$B$2,$B$7,$B$3,$B$4,$B$5,$F230,$B$6,W$10,$A230,$B230)</f>
        <v>976.69279766460511</v>
      </c>
      <c r="X230" s="4">
        <f ca="1">_xll.DBRW($B$1,$B$2,$B$7,$B$3,$B$4,$B$5,$F230,$B$6,X$10,$A230,$B230)</f>
        <v>977.60539498760295</v>
      </c>
      <c r="Y230" s="4">
        <f ca="1">_xll.DBRW($B$1,$B$2,$B$7,$B$3,$B$4,$B$5,$F230,$B$6,Y$10,$A230,$B230)</f>
        <v>965.89532449460967</v>
      </c>
      <c r="Z230" s="4">
        <f ca="1">_xll.DBRW($B$1,$B$2,$B$7,$B$3,$B$4,$B$5,$F230,$B$6,Z$10,$A230,$B230)</f>
        <v>1086.688576955487</v>
      </c>
      <c r="AA230" s="4">
        <f ca="1">_xll.DBRW($B$1,$B$2,$B$7,$B$3,$B$4,$B$5,$F230,$B$6,AA$10,$A230,$B230)</f>
        <v>1097.8155583098298</v>
      </c>
      <c r="AB230" s="4">
        <f ca="1">_xll.DBRW($B$1,$B$2,$B$7,$B$3,$B$4,$B$5,$F230,$B$6,AB$10,$A230,$B230)</f>
        <v>1076.0488889698772</v>
      </c>
      <c r="AC230" s="4">
        <f ca="1">_xll.DBRW($B$1,$B$2,$B$7,$B$3,$B$4,$B$5,$F230,$B$6,AC$10,$A230,$B230)</f>
        <v>1095.3882655704926</v>
      </c>
      <c r="AD230" s="4">
        <f ca="1">_xll.DBRW($B$1,$B$2,$B$7,$B$3,$B$4,$B$5,$F230,$B$6,AD$10,$A230,$B230)</f>
        <v>978.95681652327755</v>
      </c>
      <c r="AE230" s="4">
        <f ca="1">_xll.DBRW($B$1,$B$2,$B$7,$B$3,$B$4,$B$5,$F230,$B$6,AE$10,$A230,$B230)</f>
        <v>1109.725679391737</v>
      </c>
    </row>
    <row r="231" spans="1:31">
      <c r="A231" s="1" t="s">
        <v>151</v>
      </c>
      <c r="B231" s="5" t="s">
        <v>302</v>
      </c>
      <c r="C231" s="5" t="s">
        <v>303</v>
      </c>
      <c r="D231" s="5" t="s">
        <v>21</v>
      </c>
      <c r="E231" s="5" t="s">
        <v>304</v>
      </c>
      <c r="F231" s="5" t="s">
        <v>24</v>
      </c>
      <c r="G231" s="6"/>
      <c r="H231" s="6"/>
      <c r="I231" s="6"/>
      <c r="J231" s="6"/>
      <c r="K231" s="6"/>
      <c r="L231" s="4">
        <f ca="1">_xll.DBRW($B$1,$B$2,$B$7,$B$3,$B$4,$B$5,$F231,$B$6,L$10,$A231,$B231)</f>
        <v>0</v>
      </c>
      <c r="M231" s="4">
        <f ca="1">_xll.DBRW($B$1,$B$2,$B$7,$B$3,$B$4,$B$5,$F231,$B$6,M$10,$A231,$B231)</f>
        <v>0</v>
      </c>
      <c r="N231" s="4">
        <f ca="1">_xll.DBRW($B$1,$B$2,$B$7,$B$3,$B$4,$B$5,$F231,$B$6,N$10,$A231,$B231)</f>
        <v>0</v>
      </c>
      <c r="O231" s="4">
        <f ca="1">_xll.DBRW($B$1,$B$2,$B$7,$B$3,$B$4,$B$5,$F231,$B$6,O$10,$A231,$B231)</f>
        <v>0</v>
      </c>
      <c r="P231" s="4">
        <f ca="1">_xll.DBRW($B$1,$B$2,$B$7,$B$3,$B$4,$B$5,$F231,$B$6,P$10,$A231,$B231)</f>
        <v>836.91550721436784</v>
      </c>
      <c r="Q231" s="4">
        <f ca="1">_xll.DBRW($B$1,$B$2,$B$7,$B$3,$B$4,$B$5,$F231,$B$6,Q$10,$A231,$B231)</f>
        <v>1058.3222885551909</v>
      </c>
      <c r="R231" s="4">
        <f ca="1">_xll.DBRW($B$1,$B$2,$B$7,$B$3,$B$4,$B$5,$F231,$B$6,R$10,$A231,$B231)</f>
        <v>984.1260024611579</v>
      </c>
      <c r="S231" s="4">
        <f ca="1">_xll.DBRW($B$1,$B$2,$B$7,$B$3,$B$4,$B$5,$F231,$B$6,S$10,$A231,$B231)</f>
        <v>961.70428896533986</v>
      </c>
      <c r="T231" s="4">
        <f ca="1">_xll.DBRW($B$1,$B$2,$B$7,$B$3,$B$4,$B$5,$F231,$B$6,T$10,$A231,$B231)</f>
        <v>520.10706885120055</v>
      </c>
      <c r="U231" s="4">
        <f ca="1">_xll.DBRW($B$1,$B$2,$B$7,$B$3,$B$4,$B$5,$F231,$B$6,U$10,$A231,$B231)</f>
        <v>526.51624533207428</v>
      </c>
      <c r="V231" s="4">
        <f ca="1">_xll.DBRW($B$1,$B$2,$B$7,$B$3,$B$4,$B$5,$F231,$B$6,V$10,$A231,$B231)</f>
        <v>974.52637582323348</v>
      </c>
      <c r="W231" s="4">
        <f ca="1">_xll.DBRW($B$1,$B$2,$B$7,$B$3,$B$4,$B$5,$F231,$B$6,W$10,$A231,$B231)</f>
        <v>1100.9831357394048</v>
      </c>
      <c r="X231" s="4">
        <f ca="1">_xll.DBRW($B$1,$B$2,$B$7,$B$3,$B$4,$B$5,$F231,$B$6,X$10,$A231,$B231)</f>
        <v>1081.5791918652455</v>
      </c>
      <c r="Y231" s="4">
        <f ca="1">_xll.DBRW($B$1,$B$2,$B$7,$B$3,$B$4,$B$5,$F231,$B$6,Y$10,$A231,$B231)</f>
        <v>1216.8135671704981</v>
      </c>
      <c r="Z231" s="4">
        <f ca="1">_xll.DBRW($B$1,$B$2,$B$7,$B$3,$B$4,$B$5,$F231,$B$6,Z$10,$A231,$B231)</f>
        <v>1302.8737283091473</v>
      </c>
      <c r="AA231" s="4">
        <f ca="1">_xll.DBRW($B$1,$B$2,$B$7,$B$3,$B$4,$B$5,$F231,$B$6,AA$10,$A231,$B231)</f>
        <v>1274.9887533360763</v>
      </c>
      <c r="AB231" s="4">
        <f ca="1">_xll.DBRW($B$1,$B$2,$B$7,$B$3,$B$4,$B$5,$F231,$B$6,AB$10,$A231,$B231)</f>
        <v>1063.3692219251973</v>
      </c>
      <c r="AC231" s="4">
        <f ca="1">_xll.DBRW($B$1,$B$2,$B$7,$B$3,$B$4,$B$5,$F231,$B$6,AC$10,$A231,$B231)</f>
        <v>1134.1737459682488</v>
      </c>
      <c r="AD231" s="4">
        <f ca="1">_xll.DBRW($B$1,$B$2,$B$7,$B$3,$B$4,$B$5,$F231,$B$6,AD$10,$A231,$B231)</f>
        <v>1122.6841849982029</v>
      </c>
      <c r="AE231" s="4">
        <f ca="1">_xll.DBRW($B$1,$B$2,$B$7,$B$3,$B$4,$B$5,$F231,$B$6,AE$10,$A231,$B231)</f>
        <v>1107.0323936550708</v>
      </c>
    </row>
    <row r="232" spans="1:31">
      <c r="A232" s="1" t="s">
        <v>151</v>
      </c>
      <c r="B232" s="5" t="s">
        <v>305</v>
      </c>
      <c r="C232" s="5" t="s">
        <v>306</v>
      </c>
      <c r="D232" s="5" t="s">
        <v>304</v>
      </c>
      <c r="E232" s="5" t="s">
        <v>21</v>
      </c>
      <c r="F232" s="5" t="s">
        <v>24</v>
      </c>
      <c r="G232" s="6"/>
      <c r="H232" s="6"/>
      <c r="I232" s="6"/>
      <c r="J232" s="6"/>
      <c r="K232" s="6"/>
      <c r="L232" s="4">
        <f ca="1">_xll.DBRW($B$1,$B$2,$B$7,$B$3,$B$4,$B$5,$F232,$B$6,L$10,$A232,$B232)</f>
        <v>0</v>
      </c>
      <c r="M232" s="4">
        <f ca="1">_xll.DBRW($B$1,$B$2,$B$7,$B$3,$B$4,$B$5,$F232,$B$6,M$10,$A232,$B232)</f>
        <v>0</v>
      </c>
      <c r="N232" s="4">
        <f ca="1">_xll.DBRW($B$1,$B$2,$B$7,$B$3,$B$4,$B$5,$F232,$B$6,N$10,$A232,$B232)</f>
        <v>0</v>
      </c>
      <c r="O232" s="4">
        <f ca="1">_xll.DBRW($B$1,$B$2,$B$7,$B$3,$B$4,$B$5,$F232,$B$6,O$10,$A232,$B232)</f>
        <v>0</v>
      </c>
      <c r="P232" s="4">
        <f ca="1">_xll.DBRW($B$1,$B$2,$B$7,$B$3,$B$4,$B$5,$F232,$B$6,P$10,$A232,$B232)</f>
        <v>804.51877790284402</v>
      </c>
      <c r="Q232" s="4">
        <f ca="1">_xll.DBRW($B$1,$B$2,$B$7,$B$3,$B$4,$B$5,$F232,$B$6,Q$10,$A232,$B232)</f>
        <v>1056.8462463117387</v>
      </c>
      <c r="R232" s="4">
        <f ca="1">_xll.DBRW($B$1,$B$2,$B$7,$B$3,$B$4,$B$5,$F232,$B$6,R$10,$A232,$B232)</f>
        <v>984.1260024611579</v>
      </c>
      <c r="S232" s="4">
        <f ca="1">_xll.DBRW($B$1,$B$2,$B$7,$B$3,$B$4,$B$5,$F232,$B$6,S$10,$A232,$B232)</f>
        <v>971.84391244997039</v>
      </c>
      <c r="T232" s="4">
        <f ca="1">_xll.DBRW($B$1,$B$2,$B$7,$B$3,$B$4,$B$5,$F232,$B$6,T$10,$A232,$B232)</f>
        <v>514.48195080206119</v>
      </c>
      <c r="U232" s="4">
        <f ca="1">_xll.DBRW($B$1,$B$2,$B$7,$B$3,$B$4,$B$5,$F232,$B$6,U$10,$A232,$B232)</f>
        <v>526.51624533207428</v>
      </c>
      <c r="V232" s="4">
        <f ca="1">_xll.DBRW($B$1,$B$2,$B$7,$B$3,$B$4,$B$5,$F232,$B$6,V$10,$A232,$B232)</f>
        <v>974.52637582323348</v>
      </c>
      <c r="W232" s="4">
        <f ca="1">_xll.DBRW($B$1,$B$2,$B$7,$B$3,$B$4,$B$5,$F232,$B$6,W$10,$A232,$B232)</f>
        <v>1100.9831357394048</v>
      </c>
      <c r="X232" s="4">
        <f ca="1">_xll.DBRW($B$1,$B$2,$B$7,$B$3,$B$4,$B$5,$F232,$B$6,X$10,$A232,$B232)</f>
        <v>1081.5791918652455</v>
      </c>
      <c r="Y232" s="4">
        <f ca="1">_xll.DBRW($B$1,$B$2,$B$7,$B$3,$B$4,$B$5,$F232,$B$6,Y$10,$A232,$B232)</f>
        <v>1216.8135671704981</v>
      </c>
      <c r="Z232" s="4">
        <f ca="1">_xll.DBRW($B$1,$B$2,$B$7,$B$3,$B$4,$B$5,$F232,$B$6,Z$10,$A232,$B232)</f>
        <v>1302.8737283091473</v>
      </c>
      <c r="AA232" s="4">
        <f ca="1">_xll.DBRW($B$1,$B$2,$B$7,$B$3,$B$4,$B$5,$F232,$B$6,AA$10,$A232,$B232)</f>
        <v>1274.9887533360763</v>
      </c>
      <c r="AB232" s="4">
        <f ca="1">_xll.DBRW($B$1,$B$2,$B$7,$B$3,$B$4,$B$5,$F232,$B$6,AB$10,$A232,$B232)</f>
        <v>1063.3692219251973</v>
      </c>
      <c r="AC232" s="4">
        <f ca="1">_xll.DBRW($B$1,$B$2,$B$7,$B$3,$B$4,$B$5,$F232,$B$6,AC$10,$A232,$B232)</f>
        <v>1134.1737459682488</v>
      </c>
      <c r="AD232" s="4">
        <f ca="1">_xll.DBRW($B$1,$B$2,$B$7,$B$3,$B$4,$B$5,$F232,$B$6,AD$10,$A232,$B232)</f>
        <v>1135.1905212492538</v>
      </c>
      <c r="AE232" s="4">
        <f ca="1">_xll.DBRW($B$1,$B$2,$B$7,$B$3,$B$4,$B$5,$F232,$B$6,AE$10,$A232,$B232)</f>
        <v>1107.0323936550708</v>
      </c>
    </row>
    <row r="233" spans="1:31">
      <c r="A233" s="1" t="s">
        <v>151</v>
      </c>
      <c r="B233" s="5" t="s">
        <v>307</v>
      </c>
      <c r="C233" s="5" t="s">
        <v>308</v>
      </c>
      <c r="D233" s="5" t="s">
        <v>21</v>
      </c>
      <c r="E233" s="5" t="s">
        <v>309</v>
      </c>
      <c r="F233" s="5" t="s">
        <v>24</v>
      </c>
      <c r="G233" s="6"/>
      <c r="H233" s="6"/>
      <c r="I233" s="6"/>
      <c r="J233" s="6"/>
      <c r="K233" s="6"/>
      <c r="L233" s="4">
        <f ca="1">_xll.DBRW($B$1,$B$2,$B$7,$B$3,$B$4,$B$5,$F233,$B$6,L$10,$A233,$B233)</f>
        <v>0</v>
      </c>
      <c r="M233" s="4">
        <f ca="1">_xll.DBRW($B$1,$B$2,$B$7,$B$3,$B$4,$B$5,$F233,$B$6,M$10,$A233,$B233)</f>
        <v>0</v>
      </c>
      <c r="N233" s="4">
        <f ca="1">_xll.DBRW($B$1,$B$2,$B$7,$B$3,$B$4,$B$5,$F233,$B$6,N$10,$A233,$B233)</f>
        <v>0</v>
      </c>
      <c r="O233" s="4">
        <f ca="1">_xll.DBRW($B$1,$B$2,$B$7,$B$3,$B$4,$B$5,$F233,$B$6,O$10,$A233,$B233)</f>
        <v>0</v>
      </c>
      <c r="P233" s="4">
        <f ca="1">_xll.DBRW($B$1,$B$2,$B$7,$B$3,$B$4,$B$5,$F233,$B$6,P$10,$A233,$B233)</f>
        <v>0</v>
      </c>
      <c r="Q233" s="4">
        <f ca="1">_xll.DBRW($B$1,$B$2,$B$7,$B$3,$B$4,$B$5,$F233,$B$6,Q$10,$A233,$B233)</f>
        <v>168.08171180719191</v>
      </c>
      <c r="R233" s="4">
        <f ca="1">_xll.DBRW($B$1,$B$2,$B$7,$B$3,$B$4,$B$5,$F233,$B$6,R$10,$A233,$B233)</f>
        <v>806.06542409377607</v>
      </c>
      <c r="S233" s="4">
        <f ca="1">_xll.DBRW($B$1,$B$2,$B$7,$B$3,$B$4,$B$5,$F233,$B$6,S$10,$A233,$B233)</f>
        <v>868.83573745995477</v>
      </c>
      <c r="T233" s="4">
        <f ca="1">_xll.DBRW($B$1,$B$2,$B$7,$B$3,$B$4,$B$5,$F233,$B$6,T$10,$A233,$B233)</f>
        <v>1079.1159381486298</v>
      </c>
      <c r="U233" s="4">
        <f ca="1">_xll.DBRW($B$1,$B$2,$B$7,$B$3,$B$4,$B$5,$F233,$B$6,U$10,$A233,$B233)</f>
        <v>996.07852096446504</v>
      </c>
      <c r="V233" s="4">
        <f ca="1">_xll.DBRW($B$1,$B$2,$B$7,$B$3,$B$4,$B$5,$F233,$B$6,V$10,$A233,$B233)</f>
        <v>901.58399864902526</v>
      </c>
      <c r="W233" s="4">
        <f ca="1">_xll.DBRW($B$1,$B$2,$B$7,$B$3,$B$4,$B$5,$F233,$B$6,W$10,$A233,$B233)</f>
        <v>0</v>
      </c>
      <c r="X233" s="4">
        <f ca="1">_xll.DBRW($B$1,$B$2,$B$7,$B$3,$B$4,$B$5,$F233,$B$6,X$10,$A233,$B233)</f>
        <v>0</v>
      </c>
      <c r="Y233" s="4">
        <f ca="1">_xll.DBRW($B$1,$B$2,$B$7,$B$3,$B$4,$B$5,$F233,$B$6,Y$10,$A233,$B233)</f>
        <v>0</v>
      </c>
      <c r="Z233" s="4">
        <f ca="1">_xll.DBRW($B$1,$B$2,$B$7,$B$3,$B$4,$B$5,$F233,$B$6,Z$10,$A233,$B233)</f>
        <v>0</v>
      </c>
      <c r="AA233" s="4">
        <f ca="1">_xll.DBRW($B$1,$B$2,$B$7,$B$3,$B$4,$B$5,$F233,$B$6,AA$10,$A233,$B233)</f>
        <v>0</v>
      </c>
      <c r="AB233" s="4">
        <f ca="1">_xll.DBRW($B$1,$B$2,$B$7,$B$3,$B$4,$B$5,$F233,$B$6,AB$10,$A233,$B233)</f>
        <v>0</v>
      </c>
      <c r="AC233" s="4">
        <f ca="1">_xll.DBRW($B$1,$B$2,$B$7,$B$3,$B$4,$B$5,$F233,$B$6,AC$10,$A233,$B233)</f>
        <v>209.34794763410017</v>
      </c>
      <c r="AD233" s="4">
        <f ca="1">_xll.DBRW($B$1,$B$2,$B$7,$B$3,$B$4,$B$5,$F233,$B$6,AD$10,$A233,$B233)</f>
        <v>905.20284631125276</v>
      </c>
      <c r="AE233" s="4">
        <f ca="1">_xll.DBRW($B$1,$B$2,$B$7,$B$3,$B$4,$B$5,$F233,$B$6,AE$10,$A233,$B233)</f>
        <v>889.63726238513891</v>
      </c>
    </row>
    <row r="234" spans="1:31">
      <c r="A234" s="1" t="s">
        <v>151</v>
      </c>
      <c r="B234" s="5" t="s">
        <v>310</v>
      </c>
      <c r="C234" s="5" t="s">
        <v>311</v>
      </c>
      <c r="D234" s="5" t="s">
        <v>309</v>
      </c>
      <c r="E234" s="5" t="s">
        <v>21</v>
      </c>
      <c r="F234" s="5" t="s">
        <v>24</v>
      </c>
      <c r="G234" s="6"/>
      <c r="H234" s="6"/>
      <c r="I234" s="6"/>
      <c r="J234" s="6"/>
      <c r="K234" s="6"/>
      <c r="L234" s="4">
        <f ca="1">_xll.DBRW($B$1,$B$2,$B$7,$B$3,$B$4,$B$5,$F234,$B$6,L$10,$A234,$B234)</f>
        <v>0</v>
      </c>
      <c r="M234" s="4">
        <f ca="1">_xll.DBRW($B$1,$B$2,$B$7,$B$3,$B$4,$B$5,$F234,$B$6,M$10,$A234,$B234)</f>
        <v>0</v>
      </c>
      <c r="N234" s="4">
        <f ca="1">_xll.DBRW($B$1,$B$2,$B$7,$B$3,$B$4,$B$5,$F234,$B$6,N$10,$A234,$B234)</f>
        <v>0</v>
      </c>
      <c r="O234" s="4">
        <f ca="1">_xll.DBRW($B$1,$B$2,$B$7,$B$3,$B$4,$B$5,$F234,$B$6,O$10,$A234,$B234)</f>
        <v>0</v>
      </c>
      <c r="P234" s="4">
        <f ca="1">_xll.DBRW($B$1,$B$2,$B$7,$B$3,$B$4,$B$5,$F234,$B$6,P$10,$A234,$B234)</f>
        <v>0</v>
      </c>
      <c r="Q234" s="4">
        <f ca="1">_xll.DBRW($B$1,$B$2,$B$7,$B$3,$B$4,$B$5,$F234,$B$6,Q$10,$A234,$B234)</f>
        <v>140.06809317265996</v>
      </c>
      <c r="R234" s="4">
        <f ca="1">_xll.DBRW($B$1,$B$2,$B$7,$B$3,$B$4,$B$5,$F234,$B$6,R$10,$A234,$B234)</f>
        <v>806.06542409377607</v>
      </c>
      <c r="S234" s="4">
        <f ca="1">_xll.DBRW($B$1,$B$2,$B$7,$B$3,$B$4,$B$5,$F234,$B$6,S$10,$A234,$B234)</f>
        <v>868.83573745995477</v>
      </c>
      <c r="T234" s="4">
        <f ca="1">_xll.DBRW($B$1,$B$2,$B$7,$B$3,$B$4,$B$5,$F234,$B$6,T$10,$A234,$B234)</f>
        <v>1079.1159381486298</v>
      </c>
      <c r="U234" s="4">
        <f ca="1">_xll.DBRW($B$1,$B$2,$B$7,$B$3,$B$4,$B$5,$F234,$B$6,U$10,$A234,$B234)</f>
        <v>996.07852096446504</v>
      </c>
      <c r="V234" s="4">
        <f ca="1">_xll.DBRW($B$1,$B$2,$B$7,$B$3,$B$4,$B$5,$F234,$B$6,V$10,$A234,$B234)</f>
        <v>901.58399864902526</v>
      </c>
      <c r="W234" s="4">
        <f ca="1">_xll.DBRW($B$1,$B$2,$B$7,$B$3,$B$4,$B$5,$F234,$B$6,W$10,$A234,$B234)</f>
        <v>0</v>
      </c>
      <c r="X234" s="4">
        <f ca="1">_xll.DBRW($B$1,$B$2,$B$7,$B$3,$B$4,$B$5,$F234,$B$6,X$10,$A234,$B234)</f>
        <v>0</v>
      </c>
      <c r="Y234" s="4">
        <f ca="1">_xll.DBRW($B$1,$B$2,$B$7,$B$3,$B$4,$B$5,$F234,$B$6,Y$10,$A234,$B234)</f>
        <v>0</v>
      </c>
      <c r="Z234" s="4">
        <f ca="1">_xll.DBRW($B$1,$B$2,$B$7,$B$3,$B$4,$B$5,$F234,$B$6,Z$10,$A234,$B234)</f>
        <v>0</v>
      </c>
      <c r="AA234" s="4">
        <f ca="1">_xll.DBRW($B$1,$B$2,$B$7,$B$3,$B$4,$B$5,$F234,$B$6,AA$10,$A234,$B234)</f>
        <v>0</v>
      </c>
      <c r="AB234" s="4">
        <f ca="1">_xll.DBRW($B$1,$B$2,$B$7,$B$3,$B$4,$B$5,$F234,$B$6,AB$10,$A234,$B234)</f>
        <v>0</v>
      </c>
      <c r="AC234" s="4">
        <f ca="1">_xll.DBRW($B$1,$B$2,$B$7,$B$3,$B$4,$B$5,$F234,$B$6,AC$10,$A234,$B234)</f>
        <v>209.34794763410017</v>
      </c>
      <c r="AD234" s="4">
        <f ca="1">_xll.DBRW($B$1,$B$2,$B$7,$B$3,$B$4,$B$5,$F234,$B$6,AD$10,$A234,$B234)</f>
        <v>905.20284631125276</v>
      </c>
      <c r="AE234" s="4">
        <f ca="1">_xll.DBRW($B$1,$B$2,$B$7,$B$3,$B$4,$B$5,$F234,$B$6,AE$10,$A234,$B234)</f>
        <v>889.63726238513891</v>
      </c>
    </row>
    <row r="235" spans="1:31">
      <c r="A235" s="1" t="s">
        <v>151</v>
      </c>
      <c r="B235" s="5" t="s">
        <v>158</v>
      </c>
      <c r="C235" s="5" t="s">
        <v>159</v>
      </c>
      <c r="D235" s="5" t="s">
        <v>21</v>
      </c>
      <c r="E235" s="5" t="s">
        <v>38</v>
      </c>
      <c r="F235" s="5" t="s">
        <v>25</v>
      </c>
      <c r="G235" s="6"/>
      <c r="H235" s="6"/>
      <c r="I235" s="6"/>
      <c r="J235" s="6"/>
      <c r="K235" s="6"/>
      <c r="L235" s="4">
        <f ca="1">_xll.DBRW($B$1,$B$2,$B$7,$B$3,$B$4,$B$5,$F235,$B$6,L$10,$A235,$B235)</f>
        <v>3663.9544486935961</v>
      </c>
      <c r="M235" s="4">
        <f ca="1">_xll.DBRW($B$1,$B$2,$B$7,$B$3,$B$4,$B$5,$F235,$B$6,M$10,$A235,$B235)</f>
        <v>4174.7822194847604</v>
      </c>
      <c r="N235" s="4">
        <f ca="1">_xll.DBRW($B$1,$B$2,$B$7,$B$3,$B$4,$B$5,$F235,$B$6,N$10,$A235,$B235)</f>
        <v>4330.0471079334002</v>
      </c>
      <c r="O235" s="4">
        <f ca="1">_xll.DBRW($B$1,$B$2,$B$7,$B$3,$B$4,$B$5,$F235,$B$6,O$10,$A235,$B235)</f>
        <v>4979.5994956667682</v>
      </c>
      <c r="P235" s="4">
        <f ca="1">_xll.DBRW($B$1,$B$2,$B$7,$B$3,$B$4,$B$5,$F235,$B$6,P$10,$A235,$B235)</f>
        <v>3422.0433875090639</v>
      </c>
      <c r="Q235" s="4">
        <f ca="1">_xll.DBRW($B$1,$B$2,$B$7,$B$3,$B$4,$B$5,$F235,$B$6,Q$10,$A235,$B235)</f>
        <v>3844.5303073850255</v>
      </c>
      <c r="R235" s="4">
        <f ca="1">_xll.DBRW($B$1,$B$2,$B$7,$B$3,$B$4,$B$5,$F235,$B$6,R$10,$A235,$B235)</f>
        <v>4775.5452329289419</v>
      </c>
      <c r="S235" s="4">
        <f ca="1">_xll.DBRW($B$1,$B$2,$B$7,$B$3,$B$4,$B$5,$F235,$B$6,S$10,$A235,$B235)</f>
        <v>6405.0548107742616</v>
      </c>
      <c r="T235" s="4">
        <f ca="1">_xll.DBRW($B$1,$B$2,$B$7,$B$3,$B$4,$B$5,$F235,$B$6,T$10,$A235,$B235)</f>
        <v>3836.8208960707643</v>
      </c>
      <c r="U235" s="4">
        <f ca="1">_xll.DBRW($B$1,$B$2,$B$7,$B$3,$B$4,$B$5,$F235,$B$6,U$10,$A235,$B235)</f>
        <v>3743.1783180665857</v>
      </c>
      <c r="V235" s="4">
        <f ca="1">_xll.DBRW($B$1,$B$2,$B$7,$B$3,$B$4,$B$5,$F235,$B$6,V$10,$A235,$B235)</f>
        <v>4242.9163879426369</v>
      </c>
      <c r="W235" s="4">
        <f ca="1">_xll.DBRW($B$1,$B$2,$B$7,$B$3,$B$4,$B$5,$F235,$B$6,W$10,$A235,$B235)</f>
        <v>5625.3647410273934</v>
      </c>
      <c r="X235" s="4">
        <f ca="1">_xll.DBRW($B$1,$B$2,$B$7,$B$3,$B$4,$B$5,$F235,$B$6,X$10,$A235,$B235)</f>
        <v>5642.0436366228805</v>
      </c>
      <c r="Y235" s="4">
        <f ca="1">_xll.DBRW($B$1,$B$2,$B$7,$B$3,$B$4,$B$5,$F235,$B$6,Y$10,$A235,$B235)</f>
        <v>5975.6887432897629</v>
      </c>
      <c r="Z235" s="4">
        <f ca="1">_xll.DBRW($B$1,$B$2,$B$7,$B$3,$B$4,$B$5,$F235,$B$6,Z$10,$A235,$B235)</f>
        <v>6497.0903814345293</v>
      </c>
      <c r="AA235" s="4">
        <f ca="1">_xll.DBRW($B$1,$B$2,$B$7,$B$3,$B$4,$B$5,$F235,$B$6,AA$10,$A235,$B235)</f>
        <v>6900.4332896605056</v>
      </c>
      <c r="AB235" s="4">
        <f ca="1">_xll.DBRW($B$1,$B$2,$B$7,$B$3,$B$4,$B$5,$F235,$B$6,AB$10,$A235,$B235)</f>
        <v>4740.0392282278044</v>
      </c>
      <c r="AC235" s="4">
        <f ca="1">_xll.DBRW($B$1,$B$2,$B$7,$B$3,$B$4,$B$5,$F235,$B$6,AC$10,$A235,$B235)</f>
        <v>5243.1790759586902</v>
      </c>
      <c r="AD235" s="4">
        <f ca="1">_xll.DBRW($B$1,$B$2,$B$7,$B$3,$B$4,$B$5,$F235,$B$6,AD$10,$A235,$B235)</f>
        <v>3967.2300067420897</v>
      </c>
      <c r="AE235" s="4">
        <f ca="1">_xll.DBRW($B$1,$B$2,$B$7,$B$3,$B$4,$B$5,$F235,$B$6,AE$10,$A235,$B235)</f>
        <v>4803.0733651009496</v>
      </c>
    </row>
    <row r="236" spans="1:31">
      <c r="A236" s="1" t="s">
        <v>151</v>
      </c>
      <c r="B236" s="5" t="s">
        <v>36</v>
      </c>
      <c r="C236" s="5" t="s">
        <v>37</v>
      </c>
      <c r="D236" s="5" t="s">
        <v>38</v>
      </c>
      <c r="E236" s="5" t="s">
        <v>21</v>
      </c>
      <c r="F236" s="5" t="s">
        <v>25</v>
      </c>
      <c r="G236" s="6"/>
      <c r="H236" s="6"/>
      <c r="I236" s="6"/>
      <c r="J236" s="6"/>
      <c r="K236" s="6"/>
      <c r="L236" s="4">
        <f ca="1">_xll.DBRW($B$1,$B$2,$B$7,$B$3,$B$4,$B$5,$F236,$B$6,L$10,$A236,$B236)</f>
        <v>3707.3358969409387</v>
      </c>
      <c r="M236" s="4">
        <f ca="1">_xll.DBRW($B$1,$B$2,$B$7,$B$3,$B$4,$B$5,$F236,$B$6,M$10,$A236,$B236)</f>
        <v>4174.7822194847604</v>
      </c>
      <c r="N236" s="4">
        <f ca="1">_xll.DBRW($B$1,$B$2,$B$7,$B$3,$B$4,$B$5,$F236,$B$6,N$10,$A236,$B236)</f>
        <v>4332.4810860716434</v>
      </c>
      <c r="O236" s="4">
        <f ca="1">_xll.DBRW($B$1,$B$2,$B$7,$B$3,$B$4,$B$5,$F236,$B$6,O$10,$A236,$B236)</f>
        <v>4979.5994956667682</v>
      </c>
      <c r="P236" s="4">
        <f ca="1">_xll.DBRW($B$1,$B$2,$B$7,$B$3,$B$4,$B$5,$F236,$B$6,P$10,$A236,$B236)</f>
        <v>3422.0433875090639</v>
      </c>
      <c r="Q236" s="4">
        <f ca="1">_xll.DBRW($B$1,$B$2,$B$7,$B$3,$B$4,$B$5,$F236,$B$6,Q$10,$A236,$B236)</f>
        <v>3844.5303073850255</v>
      </c>
      <c r="R236" s="4">
        <f ca="1">_xll.DBRW($B$1,$B$2,$B$7,$B$3,$B$4,$B$5,$F236,$B$6,R$10,$A236,$B236)</f>
        <v>4775.5452329289419</v>
      </c>
      <c r="S236" s="4">
        <f ca="1">_xll.DBRW($B$1,$B$2,$B$7,$B$3,$B$4,$B$5,$F236,$B$6,S$10,$A236,$B236)</f>
        <v>6405.0548107742616</v>
      </c>
      <c r="T236" s="4">
        <f ca="1">_xll.DBRW($B$1,$B$2,$B$7,$B$3,$B$4,$B$5,$F236,$B$6,T$10,$A236,$B236)</f>
        <v>4035.2539543352932</v>
      </c>
      <c r="U236" s="4">
        <f ca="1">_xll.DBRW($B$1,$B$2,$B$7,$B$3,$B$4,$B$5,$F236,$B$6,U$10,$A236,$B236)</f>
        <v>3914.6437844997608</v>
      </c>
      <c r="V236" s="4">
        <f ca="1">_xll.DBRW($B$1,$B$2,$B$7,$B$3,$B$4,$B$5,$F236,$B$6,V$10,$A236,$B236)</f>
        <v>4380.0462659890891</v>
      </c>
      <c r="W236" s="4">
        <f ca="1">_xll.DBRW($B$1,$B$2,$B$7,$B$3,$B$4,$B$5,$F236,$B$6,W$10,$A236,$B236)</f>
        <v>5296.6843588464189</v>
      </c>
      <c r="X236" s="4">
        <f ca="1">_xll.DBRW($B$1,$B$2,$B$7,$B$3,$B$4,$B$5,$F236,$B$6,X$10,$A236,$B236)</f>
        <v>5283.489811389114</v>
      </c>
      <c r="Y236" s="4">
        <f ca="1">_xll.DBRW($B$1,$B$2,$B$7,$B$3,$B$4,$B$5,$F236,$B$6,Y$10,$A236,$B236)</f>
        <v>5579.9477669129574</v>
      </c>
      <c r="Z236" s="4">
        <f ca="1">_xll.DBRW($B$1,$B$2,$B$7,$B$3,$B$4,$B$5,$F236,$B$6,Z$10,$A236,$B236)</f>
        <v>6084.198039724949</v>
      </c>
      <c r="AA236" s="4">
        <f ca="1">_xll.DBRW($B$1,$B$2,$B$7,$B$3,$B$4,$B$5,$F236,$B$6,AA$10,$A236,$B236)</f>
        <v>6507.8055064650271</v>
      </c>
      <c r="AB236" s="4">
        <f ca="1">_xll.DBRW($B$1,$B$2,$B$7,$B$3,$B$4,$B$5,$F236,$B$6,AB$10,$A236,$B236)</f>
        <v>4428.4678503863634</v>
      </c>
      <c r="AC236" s="4">
        <f ca="1">_xll.DBRW($B$1,$B$2,$B$7,$B$3,$B$4,$B$5,$F236,$B$6,AC$10,$A236,$B236)</f>
        <v>5019.6564988851514</v>
      </c>
      <c r="AD236" s="4">
        <f ca="1">_xll.DBRW($B$1,$B$2,$B$7,$B$3,$B$4,$B$5,$F236,$B$6,AD$10,$A236,$B236)</f>
        <v>4136.843463552078</v>
      </c>
      <c r="AE236" s="4">
        <f ca="1">_xll.DBRW($B$1,$B$2,$B$7,$B$3,$B$4,$B$5,$F236,$B$6,AE$10,$A236,$B236)</f>
        <v>5044.7427297194581</v>
      </c>
    </row>
    <row r="237" spans="1:31">
      <c r="A237" s="1" t="s">
        <v>151</v>
      </c>
      <c r="B237" s="5" t="s">
        <v>160</v>
      </c>
      <c r="C237" s="5" t="s">
        <v>161</v>
      </c>
      <c r="D237" s="5" t="s">
        <v>21</v>
      </c>
      <c r="E237" s="5" t="s">
        <v>69</v>
      </c>
      <c r="F237" s="5" t="s">
        <v>25</v>
      </c>
      <c r="G237" s="6"/>
      <c r="H237" s="6"/>
      <c r="I237" s="6"/>
      <c r="J237" s="6"/>
      <c r="K237" s="6"/>
      <c r="L237" s="4">
        <f ca="1">_xll.DBRW($B$1,$B$2,$B$7,$B$3,$B$4,$B$5,$F237,$B$6,L$10,$A237,$B237)</f>
        <v>4162.2557184694433</v>
      </c>
      <c r="M237" s="4">
        <f ca="1">_xll.DBRW($B$1,$B$2,$B$7,$B$3,$B$4,$B$5,$F237,$B$6,M$10,$A237,$B237)</f>
        <v>4466.9970608318999</v>
      </c>
      <c r="N237" s="4">
        <f ca="1">_xll.DBRW($B$1,$B$2,$B$7,$B$3,$B$4,$B$5,$F237,$B$6,N$10,$A237,$B237)</f>
        <v>4649.3510131013609</v>
      </c>
      <c r="O237" s="4">
        <f ca="1">_xll.DBRW($B$1,$B$2,$B$7,$B$3,$B$4,$B$5,$F237,$B$6,O$10,$A237,$B237)</f>
        <v>4581.8642325960636</v>
      </c>
      <c r="P237" s="4">
        <f ca="1">_xll.DBRW($B$1,$B$2,$B$7,$B$3,$B$4,$B$5,$F237,$B$6,P$10,$A237,$B237)</f>
        <v>3288.7186900362358</v>
      </c>
      <c r="Q237" s="4">
        <f ca="1">_xll.DBRW($B$1,$B$2,$B$7,$B$3,$B$4,$B$5,$F237,$B$6,Q$10,$A237,$B237)</f>
        <v>3989.1991318126306</v>
      </c>
      <c r="R237" s="4">
        <f ca="1">_xll.DBRW($B$1,$B$2,$B$7,$B$3,$B$4,$B$5,$F237,$B$6,R$10,$A237,$B237)</f>
        <v>4078.9854847538304</v>
      </c>
      <c r="S237" s="4">
        <f ca="1">_xll.DBRW($B$1,$B$2,$B$7,$B$3,$B$4,$B$5,$F237,$B$6,S$10,$A237,$B237)</f>
        <v>4625.3736263525616</v>
      </c>
      <c r="T237" s="4">
        <f ca="1">_xll.DBRW($B$1,$B$2,$B$7,$B$3,$B$4,$B$5,$F237,$B$6,T$10,$A237,$B237)</f>
        <v>4287.4246789087656</v>
      </c>
      <c r="U237" s="4">
        <f ca="1">_xll.DBRW($B$1,$B$2,$B$7,$B$3,$B$4,$B$5,$F237,$B$6,U$10,$A237,$B237)</f>
        <v>3807.2581037728246</v>
      </c>
      <c r="V237" s="4">
        <f ca="1">_xll.DBRW($B$1,$B$2,$B$7,$B$3,$B$4,$B$5,$F237,$B$6,V$10,$A237,$B237)</f>
        <v>4685.2879544742473</v>
      </c>
      <c r="W237" s="4">
        <f ca="1">_xll.DBRW($B$1,$B$2,$B$7,$B$3,$B$4,$B$5,$F237,$B$6,W$10,$A237,$B237)</f>
        <v>4476.2576706269856</v>
      </c>
      <c r="X237" s="4">
        <f ca="1">_xll.DBRW($B$1,$B$2,$B$7,$B$3,$B$4,$B$5,$F237,$B$6,X$10,$A237,$B237)</f>
        <v>4755.0688440410468</v>
      </c>
      <c r="Y237" s="4">
        <f ca="1">_xll.DBRW($B$1,$B$2,$B$7,$B$3,$B$4,$B$5,$F237,$B$6,Y$10,$A237,$B237)</f>
        <v>4832.8195459843882</v>
      </c>
      <c r="Z237" s="4">
        <f ca="1">_xll.DBRW($B$1,$B$2,$B$7,$B$3,$B$4,$B$5,$F237,$B$6,Z$10,$A237,$B237)</f>
        <v>4998.1764783557728</v>
      </c>
      <c r="AA237" s="4">
        <f ca="1">_xll.DBRW($B$1,$B$2,$B$7,$B$3,$B$4,$B$5,$F237,$B$6,AA$10,$A237,$B237)</f>
        <v>4841.6249097552509</v>
      </c>
      <c r="AB237" s="4">
        <f ca="1">_xll.DBRW($B$1,$B$2,$B$7,$B$3,$B$4,$B$5,$F237,$B$6,AB$10,$A237,$B237)</f>
        <v>3302.4678512033724</v>
      </c>
      <c r="AC237" s="4">
        <f ca="1">_xll.DBRW($B$1,$B$2,$B$7,$B$3,$B$4,$B$5,$F237,$B$6,AC$10,$A237,$B237)</f>
        <v>4195.5068544719243</v>
      </c>
      <c r="AD237" s="4">
        <f ca="1">_xll.DBRW($B$1,$B$2,$B$7,$B$3,$B$4,$B$5,$F237,$B$6,AD$10,$A237,$B237)</f>
        <v>3979.1720435194106</v>
      </c>
      <c r="AE237" s="4">
        <f ca="1">_xll.DBRW($B$1,$B$2,$B$7,$B$3,$B$4,$B$5,$F237,$B$6,AE$10,$A237,$B237)</f>
        <v>4224.5202380136816</v>
      </c>
    </row>
    <row r="238" spans="1:31">
      <c r="A238" s="1" t="s">
        <v>151</v>
      </c>
      <c r="B238" s="5" t="s">
        <v>67</v>
      </c>
      <c r="C238" s="5" t="s">
        <v>68</v>
      </c>
      <c r="D238" s="5" t="s">
        <v>69</v>
      </c>
      <c r="E238" s="5" t="s">
        <v>21</v>
      </c>
      <c r="F238" s="5" t="s">
        <v>25</v>
      </c>
      <c r="G238" s="6"/>
      <c r="H238" s="6"/>
      <c r="I238" s="6"/>
      <c r="J238" s="6"/>
      <c r="K238" s="6"/>
      <c r="L238" s="4">
        <f ca="1">_xll.DBRW($B$1,$B$2,$B$7,$B$3,$B$4,$B$5,$F238,$B$6,L$10,$A238,$B238)</f>
        <v>4162.2557184694433</v>
      </c>
      <c r="M238" s="4">
        <f ca="1">_xll.DBRW($B$1,$B$2,$B$7,$B$3,$B$4,$B$5,$F238,$B$6,M$10,$A238,$B238)</f>
        <v>4466.9970608318999</v>
      </c>
      <c r="N238" s="4">
        <f ca="1">_xll.DBRW($B$1,$B$2,$B$7,$B$3,$B$4,$B$5,$F238,$B$6,N$10,$A238,$B238)</f>
        <v>4649.3510131013609</v>
      </c>
      <c r="O238" s="4">
        <f ca="1">_xll.DBRW($B$1,$B$2,$B$7,$B$3,$B$4,$B$5,$F238,$B$6,O$10,$A238,$B238)</f>
        <v>4581.8642325960636</v>
      </c>
      <c r="P238" s="4">
        <f ca="1">_xll.DBRW($B$1,$B$2,$B$7,$B$3,$B$4,$B$5,$F238,$B$6,P$10,$A238,$B238)</f>
        <v>3288.7186900362358</v>
      </c>
      <c r="Q238" s="4">
        <f ca="1">_xll.DBRW($B$1,$B$2,$B$7,$B$3,$B$4,$B$5,$F238,$B$6,Q$10,$A238,$B238)</f>
        <v>3989.1991318126306</v>
      </c>
      <c r="R238" s="4">
        <f ca="1">_xll.DBRW($B$1,$B$2,$B$7,$B$3,$B$4,$B$5,$F238,$B$6,R$10,$A238,$B238)</f>
        <v>4078.9854847538304</v>
      </c>
      <c r="S238" s="4">
        <f ca="1">_xll.DBRW($B$1,$B$2,$B$7,$B$3,$B$4,$B$5,$F238,$B$6,S$10,$A238,$B238)</f>
        <v>4625.3736263525616</v>
      </c>
      <c r="T238" s="4">
        <f ca="1">_xll.DBRW($B$1,$B$2,$B$7,$B$3,$B$4,$B$5,$F238,$B$6,T$10,$A238,$B238)</f>
        <v>4287.4246789087656</v>
      </c>
      <c r="U238" s="4">
        <f ca="1">_xll.DBRW($B$1,$B$2,$B$7,$B$3,$B$4,$B$5,$F238,$B$6,U$10,$A238,$B238)</f>
        <v>3807.2581037728246</v>
      </c>
      <c r="V238" s="4">
        <f ca="1">_xll.DBRW($B$1,$B$2,$B$7,$B$3,$B$4,$B$5,$F238,$B$6,V$10,$A238,$B238)</f>
        <v>4685.2879544742473</v>
      </c>
      <c r="W238" s="4">
        <f ca="1">_xll.DBRW($B$1,$B$2,$B$7,$B$3,$B$4,$B$5,$F238,$B$6,W$10,$A238,$B238)</f>
        <v>4476.2576706269856</v>
      </c>
      <c r="X238" s="4">
        <f ca="1">_xll.DBRW($B$1,$B$2,$B$7,$B$3,$B$4,$B$5,$F238,$B$6,X$10,$A238,$B238)</f>
        <v>4755.0688440410468</v>
      </c>
      <c r="Y238" s="4">
        <f ca="1">_xll.DBRW($B$1,$B$2,$B$7,$B$3,$B$4,$B$5,$F238,$B$6,Y$10,$A238,$B238)</f>
        <v>4832.8195459843882</v>
      </c>
      <c r="Z238" s="4">
        <f ca="1">_xll.DBRW($B$1,$B$2,$B$7,$B$3,$B$4,$B$5,$F238,$B$6,Z$10,$A238,$B238)</f>
        <v>4998.1764783557728</v>
      </c>
      <c r="AA238" s="4">
        <f ca="1">_xll.DBRW($B$1,$B$2,$B$7,$B$3,$B$4,$B$5,$F238,$B$6,AA$10,$A238,$B238)</f>
        <v>4841.6249097552509</v>
      </c>
      <c r="AB238" s="4">
        <f ca="1">_xll.DBRW($B$1,$B$2,$B$7,$B$3,$B$4,$B$5,$F238,$B$6,AB$10,$A238,$B238)</f>
        <v>3302.4678512033724</v>
      </c>
      <c r="AC238" s="4">
        <f ca="1">_xll.DBRW($B$1,$B$2,$B$7,$B$3,$B$4,$B$5,$F238,$B$6,AC$10,$A238,$B238)</f>
        <v>4195.5068544719243</v>
      </c>
      <c r="AD238" s="4">
        <f ca="1">_xll.DBRW($B$1,$B$2,$B$7,$B$3,$B$4,$B$5,$F238,$B$6,AD$10,$A238,$B238)</f>
        <v>3979.1720435194106</v>
      </c>
      <c r="AE238" s="4">
        <f ca="1">_xll.DBRW($B$1,$B$2,$B$7,$B$3,$B$4,$B$5,$F238,$B$6,AE$10,$A238,$B238)</f>
        <v>4088.2453916261438</v>
      </c>
    </row>
    <row r="239" spans="1:31">
      <c r="A239" s="1" t="s">
        <v>151</v>
      </c>
      <c r="B239" s="5" t="s">
        <v>162</v>
      </c>
      <c r="C239" s="5" t="s">
        <v>163</v>
      </c>
      <c r="D239" s="5" t="s">
        <v>21</v>
      </c>
      <c r="E239" s="5" t="s">
        <v>54</v>
      </c>
      <c r="F239" s="5" t="s">
        <v>25</v>
      </c>
      <c r="G239" s="6"/>
      <c r="H239" s="6"/>
      <c r="I239" s="6"/>
      <c r="J239" s="6"/>
      <c r="K239" s="6"/>
      <c r="L239" s="4">
        <f ca="1">_xll.DBRW($B$1,$B$2,$B$7,$B$3,$B$4,$B$5,$F239,$B$6,L$10,$A239,$B239)</f>
        <v>3649.5770391590108</v>
      </c>
      <c r="M239" s="4">
        <f ca="1">_xll.DBRW($B$1,$B$2,$B$7,$B$3,$B$4,$B$5,$F239,$B$6,M$10,$A239,$B239)</f>
        <v>5050.4449872725927</v>
      </c>
      <c r="N239" s="4">
        <f ca="1">_xll.DBRW($B$1,$B$2,$B$7,$B$3,$B$4,$B$5,$F239,$B$6,N$10,$A239,$B239)</f>
        <v>5621.3838565903134</v>
      </c>
      <c r="O239" s="4">
        <f ca="1">_xll.DBRW($B$1,$B$2,$B$7,$B$3,$B$4,$B$5,$F239,$B$6,O$10,$A239,$B239)</f>
        <v>6143.9715626352227</v>
      </c>
      <c r="P239" s="4">
        <f ca="1">_xll.DBRW($B$1,$B$2,$B$7,$B$3,$B$4,$B$5,$F239,$B$6,P$10,$A239,$B239)</f>
        <v>5165.1247652543852</v>
      </c>
      <c r="Q239" s="4">
        <f ca="1">_xll.DBRW($B$1,$B$2,$B$7,$B$3,$B$4,$B$5,$F239,$B$6,Q$10,$A239,$B239)</f>
        <v>5118.488570017741</v>
      </c>
      <c r="R239" s="4">
        <f ca="1">_xll.DBRW($B$1,$B$2,$B$7,$B$3,$B$4,$B$5,$F239,$B$6,R$10,$A239,$B239)</f>
        <v>4650.555653993024</v>
      </c>
      <c r="S239" s="4">
        <f ca="1">_xll.DBRW($B$1,$B$2,$B$7,$B$3,$B$4,$B$5,$F239,$B$6,S$10,$A239,$B239)</f>
        <v>5703.724079215096</v>
      </c>
      <c r="T239" s="4">
        <f ca="1">_xll.DBRW($B$1,$B$2,$B$7,$B$3,$B$4,$B$5,$F239,$B$6,T$10,$A239,$B239)</f>
        <v>4579.46929905047</v>
      </c>
      <c r="U239" s="4">
        <f ca="1">_xll.DBRW($B$1,$B$2,$B$7,$B$3,$B$4,$B$5,$F239,$B$6,U$10,$A239,$B239)</f>
        <v>3707.8739272159182</v>
      </c>
      <c r="V239" s="4">
        <f ca="1">_xll.DBRW($B$1,$B$2,$B$7,$B$3,$B$4,$B$5,$F239,$B$6,V$10,$A239,$B239)</f>
        <v>5324.0923334967802</v>
      </c>
      <c r="W239" s="4">
        <f ca="1">_xll.DBRW($B$1,$B$2,$B$7,$B$3,$B$4,$B$5,$F239,$B$6,W$10,$A239,$B239)</f>
        <v>5322.2977270268375</v>
      </c>
      <c r="X239" s="4">
        <f ca="1">_xll.DBRW($B$1,$B$2,$B$7,$B$3,$B$4,$B$5,$F239,$B$6,X$10,$A239,$B239)</f>
        <v>5400.9875956590458</v>
      </c>
      <c r="Y239" s="4">
        <f ca="1">_xll.DBRW($B$1,$B$2,$B$7,$B$3,$B$4,$B$5,$F239,$B$6,Y$10,$A239,$B239)</f>
        <v>6315.3003238184592</v>
      </c>
      <c r="Z239" s="4">
        <f ca="1">_xll.DBRW($B$1,$B$2,$B$7,$B$3,$B$4,$B$5,$F239,$B$6,Z$10,$A239,$B239)</f>
        <v>6850.6210756274886</v>
      </c>
      <c r="AA239" s="4">
        <f ca="1">_xll.DBRW($B$1,$B$2,$B$7,$B$3,$B$4,$B$5,$F239,$B$6,AA$10,$A239,$B239)</f>
        <v>6363.0445014961851</v>
      </c>
      <c r="AB239" s="4">
        <f ca="1">_xll.DBRW($B$1,$B$2,$B$7,$B$3,$B$4,$B$5,$F239,$B$6,AB$10,$A239,$B239)</f>
        <v>5485.9365825064069</v>
      </c>
      <c r="AC239" s="4">
        <f ca="1">_xll.DBRW($B$1,$B$2,$B$7,$B$3,$B$4,$B$5,$F239,$B$6,AC$10,$A239,$B239)</f>
        <v>5304.085251123839</v>
      </c>
      <c r="AD239" s="4">
        <f ca="1">_xll.DBRW($B$1,$B$2,$B$7,$B$3,$B$4,$B$5,$F239,$B$6,AD$10,$A239,$B239)</f>
        <v>5230.1933304410204</v>
      </c>
      <c r="AE239" s="4">
        <f ca="1">_xll.DBRW($B$1,$B$2,$B$7,$B$3,$B$4,$B$5,$F239,$B$6,AE$10,$A239,$B239)</f>
        <v>6405.7489953826762</v>
      </c>
    </row>
    <row r="240" spans="1:31">
      <c r="A240" s="1" t="s">
        <v>151</v>
      </c>
      <c r="B240" s="5" t="s">
        <v>52</v>
      </c>
      <c r="C240" s="5" t="s">
        <v>53</v>
      </c>
      <c r="D240" s="5" t="s">
        <v>54</v>
      </c>
      <c r="E240" s="5" t="s">
        <v>21</v>
      </c>
      <c r="F240" s="5" t="s">
        <v>25</v>
      </c>
      <c r="G240" s="6"/>
      <c r="H240" s="6"/>
      <c r="I240" s="6"/>
      <c r="J240" s="6"/>
      <c r="K240" s="6"/>
      <c r="L240" s="4">
        <f ca="1">_xll.DBRW($B$1,$B$2,$B$7,$B$3,$B$4,$B$5,$F240,$B$6,L$10,$A240,$B240)</f>
        <v>3649.5770391590108</v>
      </c>
      <c r="M240" s="4">
        <f ca="1">_xll.DBRW($B$1,$B$2,$B$7,$B$3,$B$4,$B$5,$F240,$B$6,M$10,$A240,$B240)</f>
        <v>5050.4449872725927</v>
      </c>
      <c r="N240" s="4">
        <f ca="1">_xll.DBRW($B$1,$B$2,$B$7,$B$3,$B$4,$B$5,$F240,$B$6,N$10,$A240,$B240)</f>
        <v>5834.0066163358033</v>
      </c>
      <c r="O240" s="4">
        <f ca="1">_xll.DBRW($B$1,$B$2,$B$7,$B$3,$B$4,$B$5,$F240,$B$6,O$10,$A240,$B240)</f>
        <v>6143.9715626352227</v>
      </c>
      <c r="P240" s="4">
        <f ca="1">_xll.DBRW($B$1,$B$2,$B$7,$B$3,$B$4,$B$5,$F240,$B$6,P$10,$A240,$B240)</f>
        <v>5165.1247652543852</v>
      </c>
      <c r="Q240" s="4">
        <f ca="1">_xll.DBRW($B$1,$B$2,$B$7,$B$3,$B$4,$B$5,$F240,$B$6,Q$10,$A240,$B240)</f>
        <v>5118.488570017741</v>
      </c>
      <c r="R240" s="4">
        <f ca="1">_xll.DBRW($B$1,$B$2,$B$7,$B$3,$B$4,$B$5,$F240,$B$6,R$10,$A240,$B240)</f>
        <v>4650.555653993024</v>
      </c>
      <c r="S240" s="4">
        <f ca="1">_xll.DBRW($B$1,$B$2,$B$7,$B$3,$B$4,$B$5,$F240,$B$6,S$10,$A240,$B240)</f>
        <v>5703.724079215096</v>
      </c>
      <c r="T240" s="4">
        <f ca="1">_xll.DBRW($B$1,$B$2,$B$7,$B$3,$B$4,$B$5,$F240,$B$6,T$10,$A240,$B240)</f>
        <v>4579.46929905047</v>
      </c>
      <c r="U240" s="4">
        <f ca="1">_xll.DBRW($B$1,$B$2,$B$7,$B$3,$B$4,$B$5,$F240,$B$6,U$10,$A240,$B240)</f>
        <v>3707.8739272159182</v>
      </c>
      <c r="V240" s="4">
        <f ca="1">_xll.DBRW($B$1,$B$2,$B$7,$B$3,$B$4,$B$5,$F240,$B$6,V$10,$A240,$B240)</f>
        <v>5324.0923334967802</v>
      </c>
      <c r="W240" s="4">
        <f ca="1">_xll.DBRW($B$1,$B$2,$B$7,$B$3,$B$4,$B$5,$F240,$B$6,W$10,$A240,$B240)</f>
        <v>5322.2977270268375</v>
      </c>
      <c r="X240" s="4">
        <f ca="1">_xll.DBRW($B$1,$B$2,$B$7,$B$3,$B$4,$B$5,$F240,$B$6,X$10,$A240,$B240)</f>
        <v>5400.9875956590458</v>
      </c>
      <c r="Y240" s="4">
        <f ca="1">_xll.DBRW($B$1,$B$2,$B$7,$B$3,$B$4,$B$5,$F240,$B$6,Y$10,$A240,$B240)</f>
        <v>6315.3003238184592</v>
      </c>
      <c r="Z240" s="4">
        <f ca="1">_xll.DBRW($B$1,$B$2,$B$7,$B$3,$B$4,$B$5,$F240,$B$6,Z$10,$A240,$B240)</f>
        <v>6850.6210756274886</v>
      </c>
      <c r="AA240" s="4">
        <f ca="1">_xll.DBRW($B$1,$B$2,$B$7,$B$3,$B$4,$B$5,$F240,$B$6,AA$10,$A240,$B240)</f>
        <v>6363.0445014961851</v>
      </c>
      <c r="AB240" s="4">
        <f ca="1">_xll.DBRW($B$1,$B$2,$B$7,$B$3,$B$4,$B$5,$F240,$B$6,AB$10,$A240,$B240)</f>
        <v>5485.9365825064069</v>
      </c>
      <c r="AC240" s="4">
        <f ca="1">_xll.DBRW($B$1,$B$2,$B$7,$B$3,$B$4,$B$5,$F240,$B$6,AC$10,$A240,$B240)</f>
        <v>5304.085251123839</v>
      </c>
      <c r="AD240" s="4">
        <f ca="1">_xll.DBRW($B$1,$B$2,$B$7,$B$3,$B$4,$B$5,$F240,$B$6,AD$10,$A240,$B240)</f>
        <v>5230.1933304410204</v>
      </c>
      <c r="AE240" s="4">
        <f ca="1">_xll.DBRW($B$1,$B$2,$B$7,$B$3,$B$4,$B$5,$F240,$B$6,AE$10,$A240,$B240)</f>
        <v>6199.1119310154936</v>
      </c>
    </row>
    <row r="241" spans="1:31">
      <c r="A241" s="1" t="s">
        <v>151</v>
      </c>
      <c r="B241" s="5" t="s">
        <v>164</v>
      </c>
      <c r="C241" s="5" t="s">
        <v>159</v>
      </c>
      <c r="D241" s="5" t="s">
        <v>21</v>
      </c>
      <c r="E241" s="5" t="s">
        <v>38</v>
      </c>
      <c r="F241" s="5" t="s">
        <v>25</v>
      </c>
      <c r="G241" s="6"/>
      <c r="H241" s="6"/>
      <c r="I241" s="6"/>
      <c r="J241" s="6"/>
      <c r="K241" s="6"/>
      <c r="L241" s="4">
        <f ca="1">_xll.DBRW($B$1,$B$2,$B$7,$B$3,$B$4,$B$5,$F241,$B$6,L$10,$A241,$B241)</f>
        <v>4109.1476716909156</v>
      </c>
      <c r="M241" s="4">
        <f ca="1">_xll.DBRW($B$1,$B$2,$B$7,$B$3,$B$4,$B$5,$F241,$B$6,M$10,$A241,$B241)</f>
        <v>4813.4365042690624</v>
      </c>
      <c r="N241" s="4">
        <f ca="1">_xll.DBRW($B$1,$B$2,$B$7,$B$3,$B$4,$B$5,$F241,$B$6,N$10,$A241,$B241)</f>
        <v>4794.1256062916364</v>
      </c>
      <c r="O241" s="4">
        <f ca="1">_xll.DBRW($B$1,$B$2,$B$7,$B$3,$B$4,$B$5,$F241,$B$6,O$10,$A241,$B241)</f>
        <v>5373.4133988098292</v>
      </c>
      <c r="P241" s="4">
        <f ca="1">_xll.DBRW($B$1,$B$2,$B$7,$B$3,$B$4,$B$5,$F241,$B$6,P$10,$A241,$B241)</f>
        <v>3701.0143158386072</v>
      </c>
      <c r="Q241" s="4">
        <f ca="1">_xll.DBRW($B$1,$B$2,$B$7,$B$3,$B$4,$B$5,$F241,$B$6,Q$10,$A241,$B241)</f>
        <v>4694.3241534709496</v>
      </c>
      <c r="R241" s="4">
        <f ca="1">_xll.DBRW($B$1,$B$2,$B$7,$B$3,$B$4,$B$5,$F241,$B$6,R$10,$A241,$B241)</f>
        <v>6133.3204260264683</v>
      </c>
      <c r="S241" s="4">
        <f ca="1">_xll.DBRW($B$1,$B$2,$B$7,$B$3,$B$4,$B$5,$F241,$B$6,S$10,$A241,$B241)</f>
        <v>8304.1513641404126</v>
      </c>
      <c r="T241" s="4">
        <f ca="1">_xll.DBRW($B$1,$B$2,$B$7,$B$3,$B$4,$B$5,$F241,$B$6,T$10,$A241,$B241)</f>
        <v>5192.219582182719</v>
      </c>
      <c r="U241" s="4">
        <f ca="1">_xll.DBRW($B$1,$B$2,$B$7,$B$3,$B$4,$B$5,$F241,$B$6,U$10,$A241,$B241)</f>
        <v>5030.622413488556</v>
      </c>
      <c r="V241" s="4">
        <f ca="1">_xll.DBRW($B$1,$B$2,$B$7,$B$3,$B$4,$B$5,$F241,$B$6,V$10,$A241,$B241)</f>
        <v>5653.2898110763063</v>
      </c>
      <c r="W241" s="4">
        <f ca="1">_xll.DBRW($B$1,$B$2,$B$7,$B$3,$B$4,$B$5,$F241,$B$6,W$10,$A241,$B241)</f>
        <v>5078.9336056515212</v>
      </c>
      <c r="X241" s="4">
        <f ca="1">_xll.DBRW($B$1,$B$2,$B$7,$B$3,$B$4,$B$5,$F241,$B$6,X$10,$A241,$B241)</f>
        <v>5146.4425715219868</v>
      </c>
      <c r="Y241" s="4">
        <f ca="1">_xll.DBRW($B$1,$B$2,$B$7,$B$3,$B$4,$B$5,$F241,$B$6,Y$10,$A241,$B241)</f>
        <v>5472.657991095246</v>
      </c>
      <c r="Z241" s="4">
        <f ca="1">_xll.DBRW($B$1,$B$2,$B$7,$B$3,$B$4,$B$5,$F241,$B$6,Z$10,$A241,$B241)</f>
        <v>5886.9272542414828</v>
      </c>
      <c r="AA241" s="4">
        <f ca="1">_xll.DBRW($B$1,$B$2,$B$7,$B$3,$B$4,$B$5,$F241,$B$6,AA$10,$A241,$B241)</f>
        <v>6339.957129148961</v>
      </c>
      <c r="AB241" s="4">
        <f ca="1">_xll.DBRW($B$1,$B$2,$B$7,$B$3,$B$4,$B$5,$F241,$B$6,AB$10,$A241,$B241)</f>
        <v>4278.9135890224707</v>
      </c>
      <c r="AC241" s="4">
        <f ca="1">_xll.DBRW($B$1,$B$2,$B$7,$B$3,$B$4,$B$5,$F241,$B$6,AC$10,$A241,$B241)</f>
        <v>5068.8161034648983</v>
      </c>
      <c r="AD241" s="4">
        <f ca="1">_xll.DBRW($B$1,$B$2,$B$7,$B$3,$B$4,$B$5,$F241,$B$6,AD$10,$A241,$B241)</f>
        <v>5342.1051884264407</v>
      </c>
      <c r="AE241" s="4">
        <f ca="1">_xll.DBRW($B$1,$B$2,$B$7,$B$3,$B$4,$B$5,$F241,$B$6,AE$10,$A241,$B241)</f>
        <v>6463.6029366260336</v>
      </c>
    </row>
    <row r="242" spans="1:31">
      <c r="A242" s="1" t="s">
        <v>151</v>
      </c>
      <c r="B242" s="5" t="s">
        <v>39</v>
      </c>
      <c r="C242" s="5" t="s">
        <v>37</v>
      </c>
      <c r="D242" s="5" t="s">
        <v>38</v>
      </c>
      <c r="E242" s="5" t="s">
        <v>21</v>
      </c>
      <c r="F242" s="5" t="s">
        <v>25</v>
      </c>
      <c r="G242" s="6"/>
      <c r="H242" s="6"/>
      <c r="I242" s="6"/>
      <c r="J242" s="6"/>
      <c r="K242" s="6"/>
      <c r="L242" s="4">
        <f ca="1">_xll.DBRW($B$1,$B$2,$B$7,$B$3,$B$4,$B$5,$F242,$B$6,L$10,$A242,$B242)</f>
        <v>4085.6790193603861</v>
      </c>
      <c r="M242" s="4">
        <f ca="1">_xll.DBRW($B$1,$B$2,$B$7,$B$3,$B$4,$B$5,$F242,$B$6,M$10,$A242,$B242)</f>
        <v>4810.0751659280922</v>
      </c>
      <c r="N242" s="4">
        <f ca="1">_xll.DBRW($B$1,$B$2,$B$7,$B$3,$B$4,$B$5,$F242,$B$6,N$10,$A242,$B242)</f>
        <v>4834.6919085956779</v>
      </c>
      <c r="O242" s="4">
        <f ca="1">_xll.DBRW($B$1,$B$2,$B$7,$B$3,$B$4,$B$5,$F242,$B$6,O$10,$A242,$B242)</f>
        <v>5513.3946440028603</v>
      </c>
      <c r="P242" s="4">
        <f ca="1">_xll.DBRW($B$1,$B$2,$B$7,$B$3,$B$4,$B$5,$F242,$B$6,P$10,$A242,$B242)</f>
        <v>3801.9752232340611</v>
      </c>
      <c r="Q242" s="4">
        <f ca="1">_xll.DBRW($B$1,$B$2,$B$7,$B$3,$B$4,$B$5,$F242,$B$6,Q$10,$A242,$B242)</f>
        <v>4507.8416150243165</v>
      </c>
      <c r="R242" s="4">
        <f ca="1">_xll.DBRW($B$1,$B$2,$B$7,$B$3,$B$4,$B$5,$F242,$B$6,R$10,$A242,$B242)</f>
        <v>6133.3204260264683</v>
      </c>
      <c r="S242" s="4">
        <f ca="1">_xll.DBRW($B$1,$B$2,$B$7,$B$3,$B$4,$B$5,$F242,$B$6,S$10,$A242,$B242)</f>
        <v>8304.1513641404126</v>
      </c>
      <c r="T242" s="4">
        <f ca="1">_xll.DBRW($B$1,$B$2,$B$7,$B$3,$B$4,$B$5,$F242,$B$6,T$10,$A242,$B242)</f>
        <v>5192.219582182719</v>
      </c>
      <c r="U242" s="4">
        <f ca="1">_xll.DBRW($B$1,$B$2,$B$7,$B$3,$B$4,$B$5,$F242,$B$6,U$10,$A242,$B242)</f>
        <v>5030.622413488556</v>
      </c>
      <c r="V242" s="4">
        <f ca="1">_xll.DBRW($B$1,$B$2,$B$7,$B$3,$B$4,$B$5,$F242,$B$6,V$10,$A242,$B242)</f>
        <v>5653.2898110763063</v>
      </c>
      <c r="W242" s="4">
        <f ca="1">_xll.DBRW($B$1,$B$2,$B$7,$B$3,$B$4,$B$5,$F242,$B$6,W$10,$A242,$B242)</f>
        <v>5078.9336056515212</v>
      </c>
      <c r="X242" s="4">
        <f ca="1">_xll.DBRW($B$1,$B$2,$B$7,$B$3,$B$4,$B$5,$F242,$B$6,X$10,$A242,$B242)</f>
        <v>5146.4425715219868</v>
      </c>
      <c r="Y242" s="4">
        <f ca="1">_xll.DBRW($B$1,$B$2,$B$7,$B$3,$B$4,$B$5,$F242,$B$6,Y$10,$A242,$B242)</f>
        <v>5472.657991095246</v>
      </c>
      <c r="Z242" s="4">
        <f ca="1">_xll.DBRW($B$1,$B$2,$B$7,$B$3,$B$4,$B$5,$F242,$B$6,Z$10,$A242,$B242)</f>
        <v>5886.9272542414828</v>
      </c>
      <c r="AA242" s="4">
        <f ca="1">_xll.DBRW($B$1,$B$2,$B$7,$B$3,$B$4,$B$5,$F242,$B$6,AA$10,$A242,$B242)</f>
        <v>6339.957129148961</v>
      </c>
      <c r="AB242" s="4">
        <f ca="1">_xll.DBRW($B$1,$B$2,$B$7,$B$3,$B$4,$B$5,$F242,$B$6,AB$10,$A242,$B242)</f>
        <v>4278.9135890224707</v>
      </c>
      <c r="AC242" s="4">
        <f ca="1">_xll.DBRW($B$1,$B$2,$B$7,$B$3,$B$4,$B$5,$F242,$B$6,AC$10,$A242,$B242)</f>
        <v>5068.8161034648983</v>
      </c>
      <c r="AD242" s="4">
        <f ca="1">_xll.DBRW($B$1,$B$2,$B$7,$B$3,$B$4,$B$5,$F242,$B$6,AD$10,$A242,$B242)</f>
        <v>5342.1051884264407</v>
      </c>
      <c r="AE242" s="4">
        <f ca="1">_xll.DBRW($B$1,$B$2,$B$7,$B$3,$B$4,$B$5,$F242,$B$6,AE$10,$A242,$B242)</f>
        <v>6189.9355376677922</v>
      </c>
    </row>
    <row r="243" spans="1:31">
      <c r="A243" s="1" t="s">
        <v>151</v>
      </c>
      <c r="B243" s="5" t="s">
        <v>165</v>
      </c>
      <c r="C243" s="5" t="s">
        <v>166</v>
      </c>
      <c r="D243" s="5" t="s">
        <v>21</v>
      </c>
      <c r="E243" s="5" t="s">
        <v>31</v>
      </c>
      <c r="F243" s="5" t="s">
        <v>25</v>
      </c>
      <c r="G243" s="6"/>
      <c r="H243" s="6"/>
      <c r="I243" s="6"/>
      <c r="J243" s="6"/>
      <c r="K243" s="6"/>
      <c r="L243" s="4">
        <f ca="1">_xll.DBRW($B$1,$B$2,$B$7,$B$3,$B$4,$B$5,$F243,$B$6,L$10,$A243,$B243)</f>
        <v>3899.4998495180862</v>
      </c>
      <c r="M243" s="4">
        <f ca="1">_xll.DBRW($B$1,$B$2,$B$7,$B$3,$B$4,$B$5,$F243,$B$6,M$10,$A243,$B243)</f>
        <v>5069.7144903126946</v>
      </c>
      <c r="N243" s="4">
        <f ca="1">_xll.DBRW($B$1,$B$2,$B$7,$B$3,$B$4,$B$5,$F243,$B$6,N$10,$A243,$B243)</f>
        <v>5283.8615617583964</v>
      </c>
      <c r="O243" s="4">
        <f ca="1">_xll.DBRW($B$1,$B$2,$B$7,$B$3,$B$4,$B$5,$F243,$B$6,O$10,$A243,$B243)</f>
        <v>5443.4198487696931</v>
      </c>
      <c r="P243" s="4">
        <f ca="1">_xll.DBRW($B$1,$B$2,$B$7,$B$3,$B$4,$B$5,$F243,$B$6,P$10,$A243,$B243)</f>
        <v>4099.5825592365909</v>
      </c>
      <c r="Q243" s="4">
        <f ca="1">_xll.DBRW($B$1,$B$2,$B$7,$B$3,$B$4,$B$5,$F243,$B$6,Q$10,$A243,$B243)</f>
        <v>3951.8003899518872</v>
      </c>
      <c r="R243" s="4">
        <f ca="1">_xll.DBRW($B$1,$B$2,$B$7,$B$3,$B$4,$B$5,$F243,$B$6,R$10,$A243,$B243)</f>
        <v>3434.4788032941451</v>
      </c>
      <c r="S243" s="4">
        <f ca="1">_xll.DBRW($B$1,$B$2,$B$7,$B$3,$B$4,$B$5,$F243,$B$6,S$10,$A243,$B243)</f>
        <v>4465.8945981939469</v>
      </c>
      <c r="T243" s="4">
        <f ca="1">_xll.DBRW($B$1,$B$2,$B$7,$B$3,$B$4,$B$5,$F243,$B$6,T$10,$A243,$B243)</f>
        <v>3128.9161840629058</v>
      </c>
      <c r="U243" s="4">
        <f ca="1">_xll.DBRW($B$1,$B$2,$B$7,$B$3,$B$4,$B$5,$F243,$B$6,U$10,$A243,$B243)</f>
        <v>2235.0883678038622</v>
      </c>
      <c r="V243" s="4">
        <f ca="1">_xll.DBRW($B$1,$B$2,$B$7,$B$3,$B$4,$B$5,$F243,$B$6,V$10,$A243,$B243)</f>
        <v>3670.3769369333286</v>
      </c>
      <c r="W243" s="4">
        <f ca="1">_xll.DBRW($B$1,$B$2,$B$7,$B$3,$B$4,$B$5,$F243,$B$6,W$10,$A243,$B243)</f>
        <v>4380.9096105107383</v>
      </c>
      <c r="X243" s="4">
        <f ca="1">_xll.DBRW($B$1,$B$2,$B$7,$B$3,$B$4,$B$5,$F243,$B$6,X$10,$A243,$B243)</f>
        <v>5017.2975224768306</v>
      </c>
      <c r="Y243" s="4">
        <f ca="1">_xll.DBRW($B$1,$B$2,$B$7,$B$3,$B$4,$B$5,$F243,$B$6,Y$10,$A243,$B243)</f>
        <v>5006.4584918669689</v>
      </c>
      <c r="Z243" s="4">
        <f ca="1">_xll.DBRW($B$1,$B$2,$B$7,$B$3,$B$4,$B$5,$F243,$B$6,Z$10,$A243,$B243)</f>
        <v>5531.6695619776938</v>
      </c>
      <c r="AA243" s="4">
        <f ca="1">_xll.DBRW($B$1,$B$2,$B$7,$B$3,$B$4,$B$5,$F243,$B$6,AA$10,$A243,$B243)</f>
        <v>5502.3485451621655</v>
      </c>
      <c r="AB243" s="4">
        <f ca="1">_xll.DBRW($B$1,$B$2,$B$7,$B$3,$B$4,$B$5,$F243,$B$6,AB$10,$A243,$B243)</f>
        <v>4373.3778007250485</v>
      </c>
      <c r="AC243" s="4">
        <f ca="1">_xll.DBRW($B$1,$B$2,$B$7,$B$3,$B$4,$B$5,$F243,$B$6,AC$10,$A243,$B243)</f>
        <v>4141.0605768626892</v>
      </c>
      <c r="AD243" s="4">
        <f ca="1">_xll.DBRW($B$1,$B$2,$B$7,$B$3,$B$4,$B$5,$F243,$B$6,AD$10,$A243,$B243)</f>
        <v>3835.3214313814397</v>
      </c>
      <c r="AE243" s="4">
        <f ca="1">_xll.DBRW($B$1,$B$2,$B$7,$B$3,$B$4,$B$5,$F243,$B$6,AE$10,$A243,$B243)</f>
        <v>4807.8109391104963</v>
      </c>
    </row>
    <row r="244" spans="1:31">
      <c r="A244" s="1" t="s">
        <v>151</v>
      </c>
      <c r="B244" s="5" t="s">
        <v>29</v>
      </c>
      <c r="C244" s="5" t="s">
        <v>30</v>
      </c>
      <c r="D244" s="5" t="s">
        <v>31</v>
      </c>
      <c r="E244" s="5" t="s">
        <v>21</v>
      </c>
      <c r="F244" s="5" t="s">
        <v>25</v>
      </c>
      <c r="G244" s="6"/>
      <c r="H244" s="6"/>
      <c r="I244" s="6"/>
      <c r="J244" s="6"/>
      <c r="K244" s="6"/>
      <c r="L244" s="4">
        <f ca="1">_xll.DBRW($B$1,$B$2,$B$7,$B$3,$B$4,$B$5,$F244,$B$6,L$10,$A244,$B244)</f>
        <v>3899.4998495180862</v>
      </c>
      <c r="M244" s="4">
        <f ca="1">_xll.DBRW($B$1,$B$2,$B$7,$B$3,$B$4,$B$5,$F244,$B$6,M$10,$A244,$B244)</f>
        <v>5069.7144903126946</v>
      </c>
      <c r="N244" s="4">
        <f ca="1">_xll.DBRW($B$1,$B$2,$B$7,$B$3,$B$4,$B$5,$F244,$B$6,N$10,$A244,$B244)</f>
        <v>5283.8615617583964</v>
      </c>
      <c r="O244" s="4">
        <f ca="1">_xll.DBRW($B$1,$B$2,$B$7,$B$3,$B$4,$B$5,$F244,$B$6,O$10,$A244,$B244)</f>
        <v>5443.4198487696931</v>
      </c>
      <c r="P244" s="4">
        <f ca="1">_xll.DBRW($B$1,$B$2,$B$7,$B$3,$B$4,$B$5,$F244,$B$6,P$10,$A244,$B244)</f>
        <v>4099.5825592365909</v>
      </c>
      <c r="Q244" s="4">
        <f ca="1">_xll.DBRW($B$1,$B$2,$B$7,$B$3,$B$4,$B$5,$F244,$B$6,Q$10,$A244,$B244)</f>
        <v>3951.8003899518872</v>
      </c>
      <c r="R244" s="4">
        <f ca="1">_xll.DBRW($B$1,$B$2,$B$7,$B$3,$B$4,$B$5,$F244,$B$6,R$10,$A244,$B244)</f>
        <v>3434.4788032941451</v>
      </c>
      <c r="S244" s="4">
        <f ca="1">_xll.DBRW($B$1,$B$2,$B$7,$B$3,$B$4,$B$5,$F244,$B$6,S$10,$A244,$B244)</f>
        <v>4465.8945981939469</v>
      </c>
      <c r="T244" s="4">
        <f ca="1">_xll.DBRW($B$1,$B$2,$B$7,$B$3,$B$4,$B$5,$F244,$B$6,T$10,$A244,$B244)</f>
        <v>3128.9161840629058</v>
      </c>
      <c r="U244" s="4">
        <f ca="1">_xll.DBRW($B$1,$B$2,$B$7,$B$3,$B$4,$B$5,$F244,$B$6,U$10,$A244,$B244)</f>
        <v>2235.0883678038622</v>
      </c>
      <c r="V244" s="4">
        <f ca="1">_xll.DBRW($B$1,$B$2,$B$7,$B$3,$B$4,$B$5,$F244,$B$6,V$10,$A244,$B244)</f>
        <v>3670.3769369333286</v>
      </c>
      <c r="W244" s="4">
        <f ca="1">_xll.DBRW($B$1,$B$2,$B$7,$B$3,$B$4,$B$5,$F244,$B$6,W$10,$A244,$B244)</f>
        <v>4380.9096105107383</v>
      </c>
      <c r="X244" s="4">
        <f ca="1">_xll.DBRW($B$1,$B$2,$B$7,$B$3,$B$4,$B$5,$F244,$B$6,X$10,$A244,$B244)</f>
        <v>5017.2975224768306</v>
      </c>
      <c r="Y244" s="4">
        <f ca="1">_xll.DBRW($B$1,$B$2,$B$7,$B$3,$B$4,$B$5,$F244,$B$6,Y$10,$A244,$B244)</f>
        <v>5006.4584918669689</v>
      </c>
      <c r="Z244" s="4">
        <f ca="1">_xll.DBRW($B$1,$B$2,$B$7,$B$3,$B$4,$B$5,$F244,$B$6,Z$10,$A244,$B244)</f>
        <v>5531.6695619776938</v>
      </c>
      <c r="AA244" s="4">
        <f ca="1">_xll.DBRW($B$1,$B$2,$B$7,$B$3,$B$4,$B$5,$F244,$B$6,AA$10,$A244,$B244)</f>
        <v>5502.3485451621655</v>
      </c>
      <c r="AB244" s="4">
        <f ca="1">_xll.DBRW($B$1,$B$2,$B$7,$B$3,$B$4,$B$5,$F244,$B$6,AB$10,$A244,$B244)</f>
        <v>4373.3778007250485</v>
      </c>
      <c r="AC244" s="4">
        <f ca="1">_xll.DBRW($B$1,$B$2,$B$7,$B$3,$B$4,$B$5,$F244,$B$6,AC$10,$A244,$B244)</f>
        <v>4007.7350919733217</v>
      </c>
      <c r="AD244" s="4">
        <f ca="1">_xll.DBRW($B$1,$B$2,$B$7,$B$3,$B$4,$B$5,$F244,$B$6,AD$10,$A244,$B244)</f>
        <v>3835.3214313814397</v>
      </c>
      <c r="AE244" s="4">
        <f ca="1">_xll.DBRW($B$1,$B$2,$B$7,$B$3,$B$4,$B$5,$F244,$B$6,AE$10,$A244,$B244)</f>
        <v>4653.0729274266887</v>
      </c>
    </row>
    <row r="245" spans="1:31">
      <c r="A245" s="1" t="s">
        <v>151</v>
      </c>
      <c r="B245" s="5" t="s">
        <v>167</v>
      </c>
      <c r="C245" s="5" t="s">
        <v>168</v>
      </c>
      <c r="D245" s="5" t="s">
        <v>21</v>
      </c>
      <c r="E245" s="5" t="s">
        <v>76</v>
      </c>
      <c r="F245" s="5" t="s">
        <v>25</v>
      </c>
      <c r="G245" s="6"/>
      <c r="H245" s="6"/>
      <c r="I245" s="6"/>
      <c r="J245" s="6"/>
      <c r="K245" s="6"/>
      <c r="L245" s="4">
        <f ca="1">_xll.DBRW($B$1,$B$2,$B$7,$B$3,$B$4,$B$5,$F245,$B$6,L$10,$A245,$B245)</f>
        <v>4055.0855990655668</v>
      </c>
      <c r="M245" s="4">
        <f ca="1">_xll.DBRW($B$1,$B$2,$B$7,$B$3,$B$4,$B$5,$F245,$B$6,M$10,$A245,$B245)</f>
        <v>4882.0968210301717</v>
      </c>
      <c r="N245" s="4">
        <f ca="1">_xll.DBRW($B$1,$B$2,$B$7,$B$3,$B$4,$B$5,$F245,$B$6,N$10,$A245,$B245)</f>
        <v>4921.9906936828111</v>
      </c>
      <c r="O245" s="4">
        <f ca="1">_xll.DBRW($B$1,$B$2,$B$7,$B$3,$B$4,$B$5,$F245,$B$6,O$10,$A245,$B245)</f>
        <v>4684.3340397148268</v>
      </c>
      <c r="P245" s="4">
        <f ca="1">_xll.DBRW($B$1,$B$2,$B$7,$B$3,$B$4,$B$5,$F245,$B$6,P$10,$A245,$B245)</f>
        <v>4358.7571088099512</v>
      </c>
      <c r="Q245" s="4">
        <f ca="1">_xll.DBRW($B$1,$B$2,$B$7,$B$3,$B$4,$B$5,$F245,$B$6,Q$10,$A245,$B245)</f>
        <v>3632.6765040902465</v>
      </c>
      <c r="R245" s="4">
        <f ca="1">_xll.DBRW($B$1,$B$2,$B$7,$B$3,$B$4,$B$5,$F245,$B$6,R$10,$A245,$B245)</f>
        <v>3911.3559442844953</v>
      </c>
      <c r="S245" s="4">
        <f ca="1">_xll.DBRW($B$1,$B$2,$B$7,$B$3,$B$4,$B$5,$F245,$B$6,S$10,$A245,$B245)</f>
        <v>4162.8362637173041</v>
      </c>
      <c r="T245" s="4">
        <f ca="1">_xll.DBRW($B$1,$B$2,$B$7,$B$3,$B$4,$B$5,$F245,$B$6,T$10,$A245,$B245)</f>
        <v>5160.5030801259163</v>
      </c>
      <c r="U245" s="4">
        <f ca="1">_xll.DBRW($B$1,$B$2,$B$7,$B$3,$B$4,$B$5,$F245,$B$6,U$10,$A245,$B245)</f>
        <v>4642.0804363254019</v>
      </c>
      <c r="V245" s="4">
        <f ca="1">_xll.DBRW($B$1,$B$2,$B$7,$B$3,$B$4,$B$5,$F245,$B$6,V$10,$A245,$B245)</f>
        <v>4693.2487725050905</v>
      </c>
      <c r="W245" s="4">
        <f ca="1">_xll.DBRW($B$1,$B$2,$B$7,$B$3,$B$4,$B$5,$F245,$B$6,W$10,$A245,$B245)</f>
        <v>3458.8556325326381</v>
      </c>
      <c r="X245" s="4">
        <f ca="1">_xll.DBRW($B$1,$B$2,$B$7,$B$3,$B$4,$B$5,$F245,$B$6,X$10,$A245,$B245)</f>
        <v>3866.5609132623026</v>
      </c>
      <c r="Y245" s="4">
        <f ca="1">_xll.DBRW($B$1,$B$2,$B$7,$B$3,$B$4,$B$5,$F245,$B$6,Y$10,$A245,$B245)</f>
        <v>5172.5596680459694</v>
      </c>
      <c r="Z245" s="4">
        <f ca="1">_xll.DBRW($B$1,$B$2,$B$7,$B$3,$B$4,$B$5,$F245,$B$6,Z$10,$A245,$B245)</f>
        <v>5305.6322366795011</v>
      </c>
      <c r="AA245" s="4">
        <f ca="1">_xll.DBRW($B$1,$B$2,$B$7,$B$3,$B$4,$B$5,$F245,$B$6,AA$10,$A245,$B245)</f>
        <v>5029.7995031903183</v>
      </c>
      <c r="AB245" s="4">
        <f ca="1">_xll.DBRW($B$1,$B$2,$B$7,$B$3,$B$4,$B$5,$F245,$B$6,AB$10,$A245,$B245)</f>
        <v>4697.645295563153</v>
      </c>
      <c r="AC245" s="4">
        <f ca="1">_xll.DBRW($B$1,$B$2,$B$7,$B$3,$B$4,$B$5,$F245,$B$6,AC$10,$A245,$B245)</f>
        <v>3837.4423954339036</v>
      </c>
      <c r="AD245" s="4">
        <f ca="1">_xll.DBRW($B$1,$B$2,$B$7,$B$3,$B$4,$B$5,$F245,$B$6,AD$10,$A245,$B245)</f>
        <v>5119.7153724516429</v>
      </c>
      <c r="AE245" s="4">
        <f ca="1">_xll.DBRW($B$1,$B$2,$B$7,$B$3,$B$4,$B$5,$F245,$B$6,AE$10,$A245,$B245)</f>
        <v>5669.3577766894296</v>
      </c>
    </row>
    <row r="246" spans="1:31">
      <c r="A246" s="1" t="s">
        <v>151</v>
      </c>
      <c r="B246" s="5" t="s">
        <v>74</v>
      </c>
      <c r="C246" s="5" t="s">
        <v>75</v>
      </c>
      <c r="D246" s="5" t="s">
        <v>76</v>
      </c>
      <c r="E246" s="5" t="s">
        <v>21</v>
      </c>
      <c r="F246" s="5" t="s">
        <v>25</v>
      </c>
      <c r="G246" s="6"/>
      <c r="H246" s="6"/>
      <c r="I246" s="6"/>
      <c r="J246" s="6"/>
      <c r="K246" s="6"/>
      <c r="L246" s="4">
        <f ca="1">_xll.DBRW($B$1,$B$2,$B$7,$B$3,$B$4,$B$5,$F246,$B$6,L$10,$A246,$B246)</f>
        <v>4055.0855990655668</v>
      </c>
      <c r="M246" s="4">
        <f ca="1">_xll.DBRW($B$1,$B$2,$B$7,$B$3,$B$4,$B$5,$F246,$B$6,M$10,$A246,$B246)</f>
        <v>4882.0968210301717</v>
      </c>
      <c r="N246" s="4">
        <f ca="1">_xll.DBRW($B$1,$B$2,$B$7,$B$3,$B$4,$B$5,$F246,$B$6,N$10,$A246,$B246)</f>
        <v>4921.9906936828111</v>
      </c>
      <c r="O246" s="4">
        <f ca="1">_xll.DBRW($B$1,$B$2,$B$7,$B$3,$B$4,$B$5,$F246,$B$6,O$10,$A246,$B246)</f>
        <v>4684.3340397148268</v>
      </c>
      <c r="P246" s="4">
        <f ca="1">_xll.DBRW($B$1,$B$2,$B$7,$B$3,$B$4,$B$5,$F246,$B$6,P$10,$A246,$B246)</f>
        <v>4358.7571088099512</v>
      </c>
      <c r="Q246" s="4">
        <f ca="1">_xll.DBRW($B$1,$B$2,$B$7,$B$3,$B$4,$B$5,$F246,$B$6,Q$10,$A246,$B246)</f>
        <v>3632.6765040902465</v>
      </c>
      <c r="R246" s="4">
        <f ca="1">_xll.DBRW($B$1,$B$2,$B$7,$B$3,$B$4,$B$5,$F246,$B$6,R$10,$A246,$B246)</f>
        <v>3911.3559442844953</v>
      </c>
      <c r="S246" s="4">
        <f ca="1">_xll.DBRW($B$1,$B$2,$B$7,$B$3,$B$4,$B$5,$F246,$B$6,S$10,$A246,$B246)</f>
        <v>4162.8362637173041</v>
      </c>
      <c r="T246" s="4">
        <f ca="1">_xll.DBRW($B$1,$B$2,$B$7,$B$3,$B$4,$B$5,$F246,$B$6,T$10,$A246,$B246)</f>
        <v>5160.5030801259163</v>
      </c>
      <c r="U246" s="4">
        <f ca="1">_xll.DBRW($B$1,$B$2,$B$7,$B$3,$B$4,$B$5,$F246,$B$6,U$10,$A246,$B246)</f>
        <v>4642.0804363254019</v>
      </c>
      <c r="V246" s="4">
        <f ca="1">_xll.DBRW($B$1,$B$2,$B$7,$B$3,$B$4,$B$5,$F246,$B$6,V$10,$A246,$B246)</f>
        <v>4693.2487725050905</v>
      </c>
      <c r="W246" s="4">
        <f ca="1">_xll.DBRW($B$1,$B$2,$B$7,$B$3,$B$4,$B$5,$F246,$B$6,W$10,$A246,$B246)</f>
        <v>3458.8556325326381</v>
      </c>
      <c r="X246" s="4">
        <f ca="1">_xll.DBRW($B$1,$B$2,$B$7,$B$3,$B$4,$B$5,$F246,$B$6,X$10,$A246,$B246)</f>
        <v>3866.5609132623026</v>
      </c>
      <c r="Y246" s="4">
        <f ca="1">_xll.DBRW($B$1,$B$2,$B$7,$B$3,$B$4,$B$5,$F246,$B$6,Y$10,$A246,$B246)</f>
        <v>5172.5596680459694</v>
      </c>
      <c r="Z246" s="4">
        <f ca="1">_xll.DBRW($B$1,$B$2,$B$7,$B$3,$B$4,$B$5,$F246,$B$6,Z$10,$A246,$B246)</f>
        <v>5305.6322366795011</v>
      </c>
      <c r="AA246" s="4">
        <f ca="1">_xll.DBRW($B$1,$B$2,$B$7,$B$3,$B$4,$B$5,$F246,$B$6,AA$10,$A246,$B246)</f>
        <v>5029.7995031903183</v>
      </c>
      <c r="AB246" s="4">
        <f ca="1">_xll.DBRW($B$1,$B$2,$B$7,$B$3,$B$4,$B$5,$F246,$B$6,AB$10,$A246,$B246)</f>
        <v>4697.645295563153</v>
      </c>
      <c r="AC246" s="4">
        <f ca="1">_xll.DBRW($B$1,$B$2,$B$7,$B$3,$B$4,$B$5,$F246,$B$6,AC$10,$A246,$B246)</f>
        <v>3837.4423954339036</v>
      </c>
      <c r="AD246" s="4">
        <f ca="1">_xll.DBRW($B$1,$B$2,$B$7,$B$3,$B$4,$B$5,$F246,$B$6,AD$10,$A246,$B246)</f>
        <v>5119.7153724516429</v>
      </c>
      <c r="AE246" s="4">
        <f ca="1">_xll.DBRW($B$1,$B$2,$B$7,$B$3,$B$4,$B$5,$F246,$B$6,AE$10,$A246,$B246)</f>
        <v>5669.3577766894296</v>
      </c>
    </row>
    <row r="247" spans="1:31">
      <c r="A247" s="1" t="s">
        <v>151</v>
      </c>
      <c r="B247" s="5" t="s">
        <v>169</v>
      </c>
      <c r="C247" s="5" t="s">
        <v>170</v>
      </c>
      <c r="D247" s="5" t="s">
        <v>21</v>
      </c>
      <c r="E247" s="5" t="s">
        <v>35</v>
      </c>
      <c r="F247" s="5" t="s">
        <v>25</v>
      </c>
      <c r="G247" s="6"/>
      <c r="H247" s="6"/>
      <c r="I247" s="6"/>
      <c r="J247" s="6"/>
      <c r="K247" s="6"/>
      <c r="L247" s="4">
        <f ca="1">_xll.DBRW($B$1,$B$2,$B$7,$B$3,$B$4,$B$5,$F247,$B$6,L$10,$A247,$B247)</f>
        <v>5238.3720478702789</v>
      </c>
      <c r="M247" s="4">
        <f ca="1">_xll.DBRW($B$1,$B$2,$B$7,$B$3,$B$4,$B$5,$F247,$B$6,M$10,$A247,$B247)</f>
        <v>5678.3860942778392</v>
      </c>
      <c r="N247" s="4">
        <f ca="1">_xll.DBRW($B$1,$B$2,$B$7,$B$3,$B$4,$B$5,$F247,$B$6,N$10,$A247,$B247)</f>
        <v>6298.358638683043</v>
      </c>
      <c r="O247" s="4">
        <f ca="1">_xll.DBRW($B$1,$B$2,$B$7,$B$3,$B$4,$B$5,$F247,$B$6,O$10,$A247,$B247)</f>
        <v>5924.5440068268226</v>
      </c>
      <c r="P247" s="4">
        <f ca="1">_xll.DBRW($B$1,$B$2,$B$7,$B$3,$B$4,$B$5,$F247,$B$6,P$10,$A247,$B247)</f>
        <v>3777.8725148370395</v>
      </c>
      <c r="Q247" s="4">
        <f ca="1">_xll.DBRW($B$1,$B$2,$B$7,$B$3,$B$4,$B$5,$F247,$B$6,Q$10,$A247,$B247)</f>
        <v>3644.2394001244852</v>
      </c>
      <c r="R247" s="4">
        <f ca="1">_xll.DBRW($B$1,$B$2,$B$7,$B$3,$B$4,$B$5,$F247,$B$6,R$10,$A247,$B247)</f>
        <v>3386.7108068481407</v>
      </c>
      <c r="S247" s="4">
        <f ca="1">_xll.DBRW($B$1,$B$2,$B$7,$B$3,$B$4,$B$5,$F247,$B$6,S$10,$A247,$B247)</f>
        <v>3981.3545901833336</v>
      </c>
      <c r="T247" s="4">
        <f ca="1">_xll.DBRW($B$1,$B$2,$B$7,$B$3,$B$4,$B$5,$F247,$B$6,T$10,$A247,$B247)</f>
        <v>2819.9777013274334</v>
      </c>
      <c r="U247" s="4">
        <f ca="1">_xll.DBRW($B$1,$B$2,$B$7,$B$3,$B$4,$B$5,$F247,$B$6,U$10,$A247,$B247)</f>
        <v>2071.8452542040391</v>
      </c>
      <c r="V247" s="4">
        <f ca="1">_xll.DBRW($B$1,$B$2,$B$7,$B$3,$B$4,$B$5,$F247,$B$6,V$10,$A247,$B247)</f>
        <v>3887.1647263714781</v>
      </c>
      <c r="W247" s="4">
        <f ca="1">_xll.DBRW($B$1,$B$2,$B$7,$B$3,$B$4,$B$5,$F247,$B$6,W$10,$A247,$B247)</f>
        <v>5537.164010131185</v>
      </c>
      <c r="X247" s="4">
        <f ca="1">_xll.DBRW($B$1,$B$2,$B$7,$B$3,$B$4,$B$5,$F247,$B$6,X$10,$A247,$B247)</f>
        <v>6220.6299346641044</v>
      </c>
      <c r="Y247" s="4">
        <f ca="1">_xll.DBRW($B$1,$B$2,$B$7,$B$3,$B$4,$B$5,$F247,$B$6,Y$10,$A247,$B247)</f>
        <v>6768.4677655067471</v>
      </c>
      <c r="Z247" s="4">
        <f ca="1">_xll.DBRW($B$1,$B$2,$B$7,$B$3,$B$4,$B$5,$F247,$B$6,Z$10,$A247,$B247)</f>
        <v>7052.5334071365478</v>
      </c>
      <c r="AA247" s="4">
        <f ca="1">_xll.DBRW($B$1,$B$2,$B$7,$B$3,$B$4,$B$5,$F247,$B$6,AA$10,$A247,$B247)</f>
        <v>6308.8750918901542</v>
      </c>
      <c r="AB247" s="4">
        <f ca="1">_xll.DBRW($B$1,$B$2,$B$7,$B$3,$B$4,$B$5,$F247,$B$6,AB$10,$A247,$B247)</f>
        <v>4705.4841025918104</v>
      </c>
      <c r="AC247" s="4">
        <f ca="1">_xll.DBRW($B$1,$B$2,$B$7,$B$3,$B$4,$B$5,$F247,$B$6,AC$10,$A247,$B247)</f>
        <v>5086.1397201639602</v>
      </c>
      <c r="AD247" s="4">
        <f ca="1">_xll.DBRW($B$1,$B$2,$B$7,$B$3,$B$4,$B$5,$F247,$B$6,AD$10,$A247,$B247)</f>
        <v>3293.3532269886541</v>
      </c>
      <c r="AE247" s="4">
        <f ca="1">_xll.DBRW($B$1,$B$2,$B$7,$B$3,$B$4,$B$5,$F247,$B$6,AE$10,$A247,$B247)</f>
        <v>4832.3232146683113</v>
      </c>
    </row>
    <row r="248" spans="1:31">
      <c r="A248" s="1" t="s">
        <v>151</v>
      </c>
      <c r="B248" s="5" t="s">
        <v>33</v>
      </c>
      <c r="C248" s="5" t="s">
        <v>34</v>
      </c>
      <c r="D248" s="5" t="s">
        <v>35</v>
      </c>
      <c r="E248" s="5" t="s">
        <v>21</v>
      </c>
      <c r="F248" s="5" t="s">
        <v>25</v>
      </c>
      <c r="G248" s="6"/>
      <c r="H248" s="6"/>
      <c r="I248" s="6"/>
      <c r="J248" s="6"/>
      <c r="K248" s="6"/>
      <c r="L248" s="4">
        <f ca="1">_xll.DBRW($B$1,$B$2,$B$7,$B$3,$B$4,$B$5,$F248,$B$6,L$10,$A248,$B248)</f>
        <v>5238.3720478702789</v>
      </c>
      <c r="M248" s="4">
        <f ca="1">_xll.DBRW($B$1,$B$2,$B$7,$B$3,$B$4,$B$5,$F248,$B$6,M$10,$A248,$B248)</f>
        <v>5678.3860942778392</v>
      </c>
      <c r="N248" s="4">
        <f ca="1">_xll.DBRW($B$1,$B$2,$B$7,$B$3,$B$4,$B$5,$F248,$B$6,N$10,$A248,$B248)</f>
        <v>6298.358638683043</v>
      </c>
      <c r="O248" s="4">
        <f ca="1">_xll.DBRW($B$1,$B$2,$B$7,$B$3,$B$4,$B$5,$F248,$B$6,O$10,$A248,$B248)</f>
        <v>5924.5440068268226</v>
      </c>
      <c r="P248" s="4">
        <f ca="1">_xll.DBRW($B$1,$B$2,$B$7,$B$3,$B$4,$B$5,$F248,$B$6,P$10,$A248,$B248)</f>
        <v>3777.8725148370395</v>
      </c>
      <c r="Q248" s="4">
        <f ca="1">_xll.DBRW($B$1,$B$2,$B$7,$B$3,$B$4,$B$5,$F248,$B$6,Q$10,$A248,$B248)</f>
        <v>3644.2394001244852</v>
      </c>
      <c r="R248" s="4">
        <f ca="1">_xll.DBRW($B$1,$B$2,$B$7,$B$3,$B$4,$B$5,$F248,$B$6,R$10,$A248,$B248)</f>
        <v>3386.7108068481407</v>
      </c>
      <c r="S248" s="4">
        <f ca="1">_xll.DBRW($B$1,$B$2,$B$7,$B$3,$B$4,$B$5,$F248,$B$6,S$10,$A248,$B248)</f>
        <v>3981.3545901833336</v>
      </c>
      <c r="T248" s="4">
        <f ca="1">_xll.DBRW($B$1,$B$2,$B$7,$B$3,$B$4,$B$5,$F248,$B$6,T$10,$A248,$B248)</f>
        <v>2819.9777013274334</v>
      </c>
      <c r="U248" s="4">
        <f ca="1">_xll.DBRW($B$1,$B$2,$B$7,$B$3,$B$4,$B$5,$F248,$B$6,U$10,$A248,$B248)</f>
        <v>2071.8452542040391</v>
      </c>
      <c r="V248" s="4">
        <f ca="1">_xll.DBRW($B$1,$B$2,$B$7,$B$3,$B$4,$B$5,$F248,$B$6,V$10,$A248,$B248)</f>
        <v>3887.1647263714781</v>
      </c>
      <c r="W248" s="4">
        <f ca="1">_xll.DBRW($B$1,$B$2,$B$7,$B$3,$B$4,$B$5,$F248,$B$6,W$10,$A248,$B248)</f>
        <v>5537.164010131185</v>
      </c>
      <c r="X248" s="4">
        <f ca="1">_xll.DBRW($B$1,$B$2,$B$7,$B$3,$B$4,$B$5,$F248,$B$6,X$10,$A248,$B248)</f>
        <v>6220.6299346641044</v>
      </c>
      <c r="Y248" s="4">
        <f ca="1">_xll.DBRW($B$1,$B$2,$B$7,$B$3,$B$4,$B$5,$F248,$B$6,Y$10,$A248,$B248)</f>
        <v>6768.4677655067471</v>
      </c>
      <c r="Z248" s="4">
        <f ca="1">_xll.DBRW($B$1,$B$2,$B$7,$B$3,$B$4,$B$5,$F248,$B$6,Z$10,$A248,$B248)</f>
        <v>7052.5334071365478</v>
      </c>
      <c r="AA248" s="4">
        <f ca="1">_xll.DBRW($B$1,$B$2,$B$7,$B$3,$B$4,$B$5,$F248,$B$6,AA$10,$A248,$B248)</f>
        <v>6308.8750918901542</v>
      </c>
      <c r="AB248" s="4">
        <f ca="1">_xll.DBRW($B$1,$B$2,$B$7,$B$3,$B$4,$B$5,$F248,$B$6,AB$10,$A248,$B248)</f>
        <v>4705.4841025918104</v>
      </c>
      <c r="AC248" s="4">
        <f ca="1">_xll.DBRW($B$1,$B$2,$B$7,$B$3,$B$4,$B$5,$F248,$B$6,AC$10,$A248,$B248)</f>
        <v>4951.3544675883486</v>
      </c>
      <c r="AD248" s="4">
        <f ca="1">_xll.DBRW($B$1,$B$2,$B$7,$B$3,$B$4,$B$5,$F248,$B$6,AD$10,$A248,$B248)</f>
        <v>3293.3532269886541</v>
      </c>
      <c r="AE248" s="4">
        <f ca="1">_xll.DBRW($B$1,$B$2,$B$7,$B$3,$B$4,$B$5,$F248,$B$6,AE$10,$A248,$B248)</f>
        <v>4832.3232146683113</v>
      </c>
    </row>
    <row r="249" spans="1:31">
      <c r="A249" s="1" t="s">
        <v>151</v>
      </c>
      <c r="B249" s="5" t="s">
        <v>171</v>
      </c>
      <c r="C249" s="5" t="s">
        <v>163</v>
      </c>
      <c r="D249" s="5" t="s">
        <v>21</v>
      </c>
      <c r="E249" s="5" t="s">
        <v>54</v>
      </c>
      <c r="F249" s="5" t="s">
        <v>25</v>
      </c>
      <c r="G249" s="6"/>
      <c r="H249" s="6"/>
      <c r="I249" s="6"/>
      <c r="J249" s="6"/>
      <c r="K249" s="6"/>
      <c r="L249" s="4">
        <f ca="1">_xll.DBRW($B$1,$B$2,$B$7,$B$3,$B$4,$B$5,$F249,$B$6,L$10,$A249,$B249)</f>
        <v>4963.2558113562936</v>
      </c>
      <c r="M249" s="4">
        <f ca="1">_xll.DBRW($B$1,$B$2,$B$7,$B$3,$B$4,$B$5,$F249,$B$6,M$10,$A249,$B249)</f>
        <v>5975.4830882400547</v>
      </c>
      <c r="N249" s="4">
        <f ca="1">_xll.DBRW($B$1,$B$2,$B$7,$B$3,$B$4,$B$5,$F249,$B$6,N$10,$A249,$B249)</f>
        <v>5929.9130526465351</v>
      </c>
      <c r="O249" s="4">
        <f ca="1">_xll.DBRW($B$1,$B$2,$B$7,$B$3,$B$4,$B$5,$F249,$B$6,O$10,$A249,$B249)</f>
        <v>5019.7554894721825</v>
      </c>
      <c r="P249" s="4">
        <f ca="1">_xll.DBRW($B$1,$B$2,$B$7,$B$3,$B$4,$B$5,$F249,$B$6,P$10,$A249,$B249)</f>
        <v>5007.6067759593934</v>
      </c>
      <c r="Q249" s="4">
        <f ca="1">_xll.DBRW($B$1,$B$2,$B$7,$B$3,$B$4,$B$5,$F249,$B$6,Q$10,$A249,$B249)</f>
        <v>4802.3156315815049</v>
      </c>
      <c r="R249" s="4">
        <f ca="1">_xll.DBRW($B$1,$B$2,$B$7,$B$3,$B$4,$B$5,$F249,$B$6,R$10,$A249,$B249)</f>
        <v>3930.6237075568338</v>
      </c>
      <c r="S249" s="4">
        <f ca="1">_xll.DBRW($B$1,$B$2,$B$7,$B$3,$B$4,$B$5,$F249,$B$6,S$10,$A249,$B249)</f>
        <v>4660.0639285502066</v>
      </c>
      <c r="T249" s="4">
        <f ca="1">_xll.DBRW($B$1,$B$2,$B$7,$B$3,$B$4,$B$5,$F249,$B$6,T$10,$A249,$B249)</f>
        <v>4579.46929905047</v>
      </c>
      <c r="U249" s="4">
        <f ca="1">_xll.DBRW($B$1,$B$2,$B$7,$B$3,$B$4,$B$5,$F249,$B$6,U$10,$A249,$B249)</f>
        <v>3707.8739272159182</v>
      </c>
      <c r="V249" s="4">
        <f ca="1">_xll.DBRW($B$1,$B$2,$B$7,$B$3,$B$4,$B$5,$F249,$B$6,V$10,$A249,$B249)</f>
        <v>5261.241003272934</v>
      </c>
      <c r="W249" s="4">
        <f ca="1">_xll.DBRW($B$1,$B$2,$B$7,$B$3,$B$4,$B$5,$F249,$B$6,W$10,$A249,$B249)</f>
        <v>4348.4304833580964</v>
      </c>
      <c r="X249" s="4">
        <f ca="1">_xll.DBRW($B$1,$B$2,$B$7,$B$3,$B$4,$B$5,$F249,$B$6,X$10,$A249,$B249)</f>
        <v>4412.7217802831356</v>
      </c>
      <c r="Y249" s="4">
        <f ca="1">_xll.DBRW($B$1,$B$2,$B$7,$B$3,$B$4,$B$5,$F249,$B$6,Y$10,$A249,$B249)</f>
        <v>5159.7347326516783</v>
      </c>
      <c r="Z249" s="4">
        <f ca="1">_xll.DBRW($B$1,$B$2,$B$7,$B$3,$B$4,$B$5,$F249,$B$6,Z$10,$A249,$B249)</f>
        <v>5597.1031766828837</v>
      </c>
      <c r="AA249" s="4">
        <f ca="1">_xll.DBRW($B$1,$B$2,$B$7,$B$3,$B$4,$B$5,$F249,$B$6,AA$10,$A249,$B249)</f>
        <v>5198.7427416479468</v>
      </c>
      <c r="AB249" s="4">
        <f ca="1">_xll.DBRW($B$1,$B$2,$B$7,$B$3,$B$4,$B$5,$F249,$B$6,AB$10,$A249,$B249)</f>
        <v>4482.1269099626816</v>
      </c>
      <c r="AC249" s="4">
        <f ca="1">_xll.DBRW($B$1,$B$2,$B$7,$B$3,$B$4,$B$5,$F249,$B$6,AC$10,$A249,$B249)</f>
        <v>4521.395938157727</v>
      </c>
      <c r="AD249" s="4">
        <f ca="1">_xll.DBRW($B$1,$B$2,$B$7,$B$3,$B$4,$B$5,$F249,$B$6,AD$10,$A249,$B249)</f>
        <v>5230.1933304410204</v>
      </c>
      <c r="AE249" s="4">
        <f ca="1">_xll.DBRW($B$1,$B$2,$B$7,$B$3,$B$4,$B$5,$F249,$B$6,AE$10,$A249,$B249)</f>
        <v>6405.7489953826762</v>
      </c>
    </row>
    <row r="250" spans="1:31">
      <c r="A250" s="1" t="s">
        <v>151</v>
      </c>
      <c r="B250" s="5" t="s">
        <v>55</v>
      </c>
      <c r="C250" s="5" t="s">
        <v>53</v>
      </c>
      <c r="D250" s="5" t="s">
        <v>54</v>
      </c>
      <c r="E250" s="5" t="s">
        <v>21</v>
      </c>
      <c r="F250" s="5" t="s">
        <v>25</v>
      </c>
      <c r="G250" s="6"/>
      <c r="H250" s="6"/>
      <c r="I250" s="6"/>
      <c r="J250" s="6"/>
      <c r="K250" s="6"/>
      <c r="L250" s="4">
        <f ca="1">_xll.DBRW($B$1,$B$2,$B$7,$B$3,$B$4,$B$5,$F250,$B$6,L$10,$A250,$B250)</f>
        <v>4963.2558113562936</v>
      </c>
      <c r="M250" s="4">
        <f ca="1">_xll.DBRW($B$1,$B$2,$B$7,$B$3,$B$4,$B$5,$F250,$B$6,M$10,$A250,$B250)</f>
        <v>5975.4830882400547</v>
      </c>
      <c r="N250" s="4">
        <f ca="1">_xll.DBRW($B$1,$B$2,$B$7,$B$3,$B$4,$B$5,$F250,$B$6,N$10,$A250,$B250)</f>
        <v>5929.9130526465351</v>
      </c>
      <c r="O250" s="4">
        <f ca="1">_xll.DBRW($B$1,$B$2,$B$7,$B$3,$B$4,$B$5,$F250,$B$6,O$10,$A250,$B250)</f>
        <v>5019.7554894721825</v>
      </c>
      <c r="P250" s="4">
        <f ca="1">_xll.DBRW($B$1,$B$2,$B$7,$B$3,$B$4,$B$5,$F250,$B$6,P$10,$A250,$B250)</f>
        <v>5007.6067759593934</v>
      </c>
      <c r="Q250" s="4">
        <f ca="1">_xll.DBRW($B$1,$B$2,$B$7,$B$3,$B$4,$B$5,$F250,$B$6,Q$10,$A250,$B250)</f>
        <v>4802.3156315815049</v>
      </c>
      <c r="R250" s="4">
        <f ca="1">_xll.DBRW($B$1,$B$2,$B$7,$B$3,$B$4,$B$5,$F250,$B$6,R$10,$A250,$B250)</f>
        <v>3930.6237075568338</v>
      </c>
      <c r="S250" s="4">
        <f ca="1">_xll.DBRW($B$1,$B$2,$B$7,$B$3,$B$4,$B$5,$F250,$B$6,S$10,$A250,$B250)</f>
        <v>4660.0639285502066</v>
      </c>
      <c r="T250" s="4">
        <f ca="1">_xll.DBRW($B$1,$B$2,$B$7,$B$3,$B$4,$B$5,$F250,$B$6,T$10,$A250,$B250)</f>
        <v>4579.46929905047</v>
      </c>
      <c r="U250" s="4">
        <f ca="1">_xll.DBRW($B$1,$B$2,$B$7,$B$3,$B$4,$B$5,$F250,$B$6,U$10,$A250,$B250)</f>
        <v>3707.8739272159182</v>
      </c>
      <c r="V250" s="4">
        <f ca="1">_xll.DBRW($B$1,$B$2,$B$7,$B$3,$B$4,$B$5,$F250,$B$6,V$10,$A250,$B250)</f>
        <v>5261.241003272934</v>
      </c>
      <c r="W250" s="4">
        <f ca="1">_xll.DBRW($B$1,$B$2,$B$7,$B$3,$B$4,$B$5,$F250,$B$6,W$10,$A250,$B250)</f>
        <v>4348.4304833580964</v>
      </c>
      <c r="X250" s="4">
        <f ca="1">_xll.DBRW($B$1,$B$2,$B$7,$B$3,$B$4,$B$5,$F250,$B$6,X$10,$A250,$B250)</f>
        <v>4412.7217802831356</v>
      </c>
      <c r="Y250" s="4">
        <f ca="1">_xll.DBRW($B$1,$B$2,$B$7,$B$3,$B$4,$B$5,$F250,$B$6,Y$10,$A250,$B250)</f>
        <v>5159.7347326516783</v>
      </c>
      <c r="Z250" s="4">
        <f ca="1">_xll.DBRW($B$1,$B$2,$B$7,$B$3,$B$4,$B$5,$F250,$B$6,Z$10,$A250,$B250)</f>
        <v>5597.1031766828837</v>
      </c>
      <c r="AA250" s="4">
        <f ca="1">_xll.DBRW($B$1,$B$2,$B$7,$B$3,$B$4,$B$5,$F250,$B$6,AA$10,$A250,$B250)</f>
        <v>5198.7427416479468</v>
      </c>
      <c r="AB250" s="4">
        <f ca="1">_xll.DBRW($B$1,$B$2,$B$7,$B$3,$B$4,$B$5,$F250,$B$6,AB$10,$A250,$B250)</f>
        <v>4482.1269099626816</v>
      </c>
      <c r="AC250" s="4">
        <f ca="1">_xll.DBRW($B$1,$B$2,$B$7,$B$3,$B$4,$B$5,$F250,$B$6,AC$10,$A250,$B250)</f>
        <v>4381.6039864465702</v>
      </c>
      <c r="AD250" s="4">
        <f ca="1">_xll.DBRW($B$1,$B$2,$B$7,$B$3,$B$4,$B$5,$F250,$B$6,AD$10,$A250,$B250)</f>
        <v>5230.1933304410204</v>
      </c>
      <c r="AE250" s="4">
        <f ca="1">_xll.DBRW($B$1,$B$2,$B$7,$B$3,$B$4,$B$5,$F250,$B$6,AE$10,$A250,$B250)</f>
        <v>6199.1119310154936</v>
      </c>
    </row>
    <row r="251" spans="1:31">
      <c r="A251" s="1" t="s">
        <v>151</v>
      </c>
      <c r="B251" s="5" t="s">
        <v>172</v>
      </c>
      <c r="C251" s="5" t="s">
        <v>159</v>
      </c>
      <c r="D251" s="5" t="s">
        <v>21</v>
      </c>
      <c r="E251" s="5" t="s">
        <v>38</v>
      </c>
      <c r="F251" s="5" t="s">
        <v>25</v>
      </c>
      <c r="G251" s="6"/>
      <c r="H251" s="6"/>
      <c r="I251" s="6"/>
      <c r="J251" s="6"/>
      <c r="K251" s="6"/>
      <c r="L251" s="4">
        <f ca="1">_xll.DBRW($B$1,$B$2,$B$7,$B$3,$B$4,$B$5,$F251,$B$6,L$10,$A251,$B251)</f>
        <v>5180.8827947851023</v>
      </c>
      <c r="M251" s="4">
        <f ca="1">_xll.DBRW($B$1,$B$2,$B$7,$B$3,$B$4,$B$5,$F251,$B$6,M$10,$A251,$B251)</f>
        <v>5924.3588259596527</v>
      </c>
      <c r="N251" s="4">
        <f ca="1">_xll.DBRW($B$1,$B$2,$B$7,$B$3,$B$4,$B$5,$F251,$B$6,N$10,$A251,$B251)</f>
        <v>5910.5102456988616</v>
      </c>
      <c r="O251" s="4">
        <f ca="1">_xll.DBRW($B$1,$B$2,$B$7,$B$3,$B$4,$B$5,$F251,$B$6,O$10,$A251,$B251)</f>
        <v>6798.4224748748875</v>
      </c>
      <c r="P251" s="4">
        <f ca="1">_xll.DBRW($B$1,$B$2,$B$7,$B$3,$B$4,$B$5,$F251,$B$6,P$10,$A251,$B251)</f>
        <v>4682.7262969601907</v>
      </c>
      <c r="Q251" s="4">
        <f ca="1">_xll.DBRW($B$1,$B$2,$B$7,$B$3,$B$4,$B$5,$F251,$B$6,Q$10,$A251,$B251)</f>
        <v>5532.3153072501254</v>
      </c>
      <c r="R251" s="4">
        <f ca="1">_xll.DBRW($B$1,$B$2,$B$7,$B$3,$B$4,$B$5,$F251,$B$6,R$10,$A251,$B251)</f>
        <v>3884.4111815833362</v>
      </c>
      <c r="S251" s="4">
        <f ca="1">_xll.DBRW($B$1,$B$2,$B$7,$B$3,$B$4,$B$5,$F251,$B$6,S$10,$A251,$B251)</f>
        <v>4698.5055468466235</v>
      </c>
      <c r="T251" s="4">
        <f ca="1">_xll.DBRW($B$1,$B$2,$B$7,$B$3,$B$4,$B$5,$F251,$B$6,T$10,$A251,$B251)</f>
        <v>4003.6391958999279</v>
      </c>
      <c r="U251" s="4">
        <f ca="1">_xll.DBRW($B$1,$B$2,$B$7,$B$3,$B$4,$B$5,$F251,$B$6,U$10,$A251,$B251)</f>
        <v>3905.9252014607855</v>
      </c>
      <c r="V251" s="4">
        <f ca="1">_xll.DBRW($B$1,$B$2,$B$7,$B$3,$B$4,$B$5,$F251,$B$6,V$10,$A251,$B251)</f>
        <v>4388.1560974864606</v>
      </c>
      <c r="W251" s="4">
        <f ca="1">_xll.DBRW($B$1,$B$2,$B$7,$B$3,$B$4,$B$5,$F251,$B$6,W$10,$A251,$B251)</f>
        <v>4732.9975034060462</v>
      </c>
      <c r="X251" s="4">
        <f ca="1">_xll.DBRW($B$1,$B$2,$B$7,$B$3,$B$4,$B$5,$F251,$B$6,X$10,$A251,$B251)</f>
        <v>4742.4719284252751</v>
      </c>
      <c r="Y251" s="4">
        <f ca="1">_xll.DBRW($B$1,$B$2,$B$7,$B$3,$B$4,$B$5,$F251,$B$6,Y$10,$A251,$B251)</f>
        <v>5065.4844976231088</v>
      </c>
      <c r="Z251" s="4">
        <f ca="1">_xll.DBRW($B$1,$B$2,$B$7,$B$3,$B$4,$B$5,$F251,$B$6,Z$10,$A251,$B251)</f>
        <v>5461.1893730120491</v>
      </c>
      <c r="AA251" s="4">
        <f ca="1">_xll.DBRW($B$1,$B$2,$B$7,$B$3,$B$4,$B$5,$F251,$B$6,AA$10,$A251,$B251)</f>
        <v>5842.301413948695</v>
      </c>
      <c r="AB251" s="4">
        <f ca="1">_xll.DBRW($B$1,$B$2,$B$7,$B$3,$B$4,$B$5,$F251,$B$6,AB$10,$A251,$B251)</f>
        <v>3988.1136363704568</v>
      </c>
      <c r="AC251" s="4">
        <f ca="1">_xll.DBRW($B$1,$B$2,$B$7,$B$3,$B$4,$B$5,$F251,$B$6,AC$10,$A251,$B251)</f>
        <v>4571.8432259165138</v>
      </c>
      <c r="AD251" s="4">
        <f ca="1">_xll.DBRW($B$1,$B$2,$B$7,$B$3,$B$4,$B$5,$F251,$B$6,AD$10,$A251,$B251)</f>
        <v>4139.7182679047901</v>
      </c>
      <c r="AE251" s="4">
        <f ca="1">_xll.DBRW($B$1,$B$2,$B$7,$B$3,$B$4,$B$5,$F251,$B$6,AE$10,$A251,$B251)</f>
        <v>5011.9026418444691</v>
      </c>
    </row>
    <row r="252" spans="1:31">
      <c r="A252" s="1" t="s">
        <v>151</v>
      </c>
      <c r="B252" s="5" t="s">
        <v>40</v>
      </c>
      <c r="C252" s="5" t="s">
        <v>37</v>
      </c>
      <c r="D252" s="5" t="s">
        <v>38</v>
      </c>
      <c r="E252" s="5" t="s">
        <v>21</v>
      </c>
      <c r="F252" s="5" t="s">
        <v>25</v>
      </c>
      <c r="G252" s="6"/>
      <c r="H252" s="6"/>
      <c r="I252" s="6"/>
      <c r="J252" s="6"/>
      <c r="K252" s="6"/>
      <c r="L252" s="4">
        <f ca="1">_xll.DBRW($B$1,$B$2,$B$7,$B$3,$B$4,$B$5,$F252,$B$6,L$10,$A252,$B252)</f>
        <v>5180.8827947851023</v>
      </c>
      <c r="M252" s="4">
        <f ca="1">_xll.DBRW($B$1,$B$2,$B$7,$B$3,$B$4,$B$5,$F252,$B$6,M$10,$A252,$B252)</f>
        <v>5924.3588259596527</v>
      </c>
      <c r="N252" s="4">
        <f ca="1">_xll.DBRW($B$1,$B$2,$B$7,$B$3,$B$4,$B$5,$F252,$B$6,N$10,$A252,$B252)</f>
        <v>5910.5102456988616</v>
      </c>
      <c r="O252" s="4">
        <f ca="1">_xll.DBRW($B$1,$B$2,$B$7,$B$3,$B$4,$B$5,$F252,$B$6,O$10,$A252,$B252)</f>
        <v>6798.4224748748875</v>
      </c>
      <c r="P252" s="4">
        <f ca="1">_xll.DBRW($B$1,$B$2,$B$7,$B$3,$B$4,$B$5,$F252,$B$6,P$10,$A252,$B252)</f>
        <v>4682.7262969601907</v>
      </c>
      <c r="Q252" s="4">
        <f ca="1">_xll.DBRW($B$1,$B$2,$B$7,$B$3,$B$4,$B$5,$F252,$B$6,Q$10,$A252,$B252)</f>
        <v>5532.3153072501254</v>
      </c>
      <c r="R252" s="4">
        <f ca="1">_xll.DBRW($B$1,$B$2,$B$7,$B$3,$B$4,$B$5,$F252,$B$6,R$10,$A252,$B252)</f>
        <v>3884.4111815833362</v>
      </c>
      <c r="S252" s="4">
        <f ca="1">_xll.DBRW($B$1,$B$2,$B$7,$B$3,$B$4,$B$5,$F252,$B$6,S$10,$A252,$B252)</f>
        <v>4698.5055468466235</v>
      </c>
      <c r="T252" s="4">
        <f ca="1">_xll.DBRW($B$1,$B$2,$B$7,$B$3,$B$4,$B$5,$F252,$B$6,T$10,$A252,$B252)</f>
        <v>4003.6391958999279</v>
      </c>
      <c r="U252" s="4">
        <f ca="1">_xll.DBRW($B$1,$B$2,$B$7,$B$3,$B$4,$B$5,$F252,$B$6,U$10,$A252,$B252)</f>
        <v>3905.9252014607855</v>
      </c>
      <c r="V252" s="4">
        <f ca="1">_xll.DBRW($B$1,$B$2,$B$7,$B$3,$B$4,$B$5,$F252,$B$6,V$10,$A252,$B252)</f>
        <v>4388.1560974864606</v>
      </c>
      <c r="W252" s="4">
        <f ca="1">_xll.DBRW($B$1,$B$2,$B$7,$B$3,$B$4,$B$5,$F252,$B$6,W$10,$A252,$B252)</f>
        <v>4732.9975034060462</v>
      </c>
      <c r="X252" s="4">
        <f ca="1">_xll.DBRW($B$1,$B$2,$B$7,$B$3,$B$4,$B$5,$F252,$B$6,X$10,$A252,$B252)</f>
        <v>4742.4719284252751</v>
      </c>
      <c r="Y252" s="4">
        <f ca="1">_xll.DBRW($B$1,$B$2,$B$7,$B$3,$B$4,$B$5,$F252,$B$6,Y$10,$A252,$B252)</f>
        <v>5065.4844976231088</v>
      </c>
      <c r="Z252" s="4">
        <f ca="1">_xll.DBRW($B$1,$B$2,$B$7,$B$3,$B$4,$B$5,$F252,$B$6,Z$10,$A252,$B252)</f>
        <v>5461.1893730120491</v>
      </c>
      <c r="AA252" s="4">
        <f ca="1">_xll.DBRW($B$1,$B$2,$B$7,$B$3,$B$4,$B$5,$F252,$B$6,AA$10,$A252,$B252)</f>
        <v>5842.301413948695</v>
      </c>
      <c r="AB252" s="4">
        <f ca="1">_xll.DBRW($B$1,$B$2,$B$7,$B$3,$B$4,$B$5,$F252,$B$6,AB$10,$A252,$B252)</f>
        <v>3988.1136363704568</v>
      </c>
      <c r="AC252" s="4">
        <f ca="1">_xll.DBRW($B$1,$B$2,$B$7,$B$3,$B$4,$B$5,$F252,$B$6,AC$10,$A252,$B252)</f>
        <v>4571.8432259165138</v>
      </c>
      <c r="AD252" s="4">
        <f ca="1">_xll.DBRW($B$1,$B$2,$B$7,$B$3,$B$4,$B$5,$F252,$B$6,AD$10,$A252,$B252)</f>
        <v>4139.7182679047901</v>
      </c>
      <c r="AE252" s="4">
        <f ca="1">_xll.DBRW($B$1,$B$2,$B$7,$B$3,$B$4,$B$5,$F252,$B$6,AE$10,$A252,$B252)</f>
        <v>5011.9026418444691</v>
      </c>
    </row>
    <row r="253" spans="1:31">
      <c r="A253" s="1" t="s">
        <v>151</v>
      </c>
      <c r="B253" s="5" t="s">
        <v>173</v>
      </c>
      <c r="C253" s="5" t="s">
        <v>168</v>
      </c>
      <c r="D253" s="5" t="s">
        <v>21</v>
      </c>
      <c r="E253" s="5" t="s">
        <v>76</v>
      </c>
      <c r="F253" s="5" t="s">
        <v>25</v>
      </c>
      <c r="G253" s="6"/>
      <c r="H253" s="6"/>
      <c r="I253" s="6"/>
      <c r="J253" s="6"/>
      <c r="K253" s="6"/>
      <c r="L253" s="4">
        <f ca="1">_xll.DBRW($B$1,$B$2,$B$7,$B$3,$B$4,$B$5,$F253,$B$6,L$10,$A253,$B253)</f>
        <v>4190.2551190344184</v>
      </c>
      <c r="M253" s="4">
        <f ca="1">_xll.DBRW($B$1,$B$2,$B$7,$B$3,$B$4,$B$5,$F253,$B$6,M$10,$A253,$B253)</f>
        <v>5050.4449872725927</v>
      </c>
      <c r="N253" s="4">
        <f ca="1">_xll.DBRW($B$1,$B$2,$B$7,$B$3,$B$4,$B$5,$F253,$B$6,N$10,$A253,$B253)</f>
        <v>4921.9906936828111</v>
      </c>
      <c r="O253" s="4">
        <f ca="1">_xll.DBRW($B$1,$B$2,$B$7,$B$3,$B$4,$B$5,$F253,$B$6,O$10,$A253,$B253)</f>
        <v>4840.4785077053202</v>
      </c>
      <c r="P253" s="4">
        <f ca="1">_xll.DBRW($B$1,$B$2,$B$7,$B$3,$B$4,$B$5,$F253,$B$6,P$10,$A253,$B253)</f>
        <v>4509.05907807926</v>
      </c>
      <c r="Q253" s="4">
        <f ca="1">_xll.DBRW($B$1,$B$2,$B$7,$B$3,$B$4,$B$5,$F253,$B$6,Q$10,$A253,$B253)</f>
        <v>3256.8823829774624</v>
      </c>
      <c r="R253" s="4">
        <f ca="1">_xll.DBRW($B$1,$B$2,$B$7,$B$3,$B$4,$B$5,$F253,$B$6,R$10,$A253,$B253)</f>
        <v>0</v>
      </c>
      <c r="S253" s="4">
        <f ca="1">_xll.DBRW($B$1,$B$2,$B$7,$B$3,$B$4,$B$5,$F253,$B$6,S$10,$A253,$B253)</f>
        <v>0</v>
      </c>
      <c r="T253" s="4">
        <f ca="1">_xll.DBRW($B$1,$B$2,$B$7,$B$3,$B$4,$B$5,$F253,$B$6,T$10,$A253,$B253)</f>
        <v>0</v>
      </c>
      <c r="U253" s="4">
        <f ca="1">_xll.DBRW($B$1,$B$2,$B$7,$B$3,$B$4,$B$5,$F253,$B$6,U$10,$A253,$B253)</f>
        <v>0</v>
      </c>
      <c r="V253" s="4">
        <f ca="1">_xll.DBRW($B$1,$B$2,$B$7,$B$3,$B$4,$B$5,$F253,$B$6,V$10,$A253,$B253)</f>
        <v>307.08992385874876</v>
      </c>
      <c r="W253" s="4">
        <f ca="1">_xll.DBRW($B$1,$B$2,$B$7,$B$3,$B$4,$B$5,$F253,$B$6,W$10,$A253,$B253)</f>
        <v>4417.5601828541839</v>
      </c>
      <c r="X253" s="4">
        <f ca="1">_xll.DBRW($B$1,$B$2,$B$7,$B$3,$B$4,$B$5,$F253,$B$6,X$10,$A253,$B253)</f>
        <v>4938.2707316121787</v>
      </c>
      <c r="Y253" s="4">
        <f ca="1">_xll.DBRW($B$1,$B$2,$B$7,$B$3,$B$4,$B$5,$F253,$B$6,Y$10,$A253,$B253)</f>
        <v>6606.2582716891466</v>
      </c>
      <c r="Z253" s="4">
        <f ca="1">_xll.DBRW($B$1,$B$2,$B$7,$B$3,$B$4,$B$5,$F253,$B$6,Z$10,$A253,$B253)</f>
        <v>6776.2150848895799</v>
      </c>
      <c r="AA253" s="4">
        <f ca="1">_xll.DBRW($B$1,$B$2,$B$7,$B$3,$B$4,$B$5,$F253,$B$6,AA$10,$A253,$B253)</f>
        <v>6423.9287133137232</v>
      </c>
      <c r="AB253" s="4">
        <f ca="1">_xll.DBRW($B$1,$B$2,$B$7,$B$3,$B$4,$B$5,$F253,$B$6,AB$10,$A253,$B253)</f>
        <v>5999.7100242246815</v>
      </c>
      <c r="AC253" s="4">
        <f ca="1">_xll.DBRW($B$1,$B$2,$B$7,$B$3,$B$4,$B$5,$F253,$B$6,AC$10,$A253,$B253)</f>
        <v>3751.2436061853878</v>
      </c>
      <c r="AD253" s="4">
        <f ca="1">_xll.DBRW($B$1,$B$2,$B$7,$B$3,$B$4,$B$5,$F253,$B$6,AD$10,$A253,$B253)</f>
        <v>0</v>
      </c>
      <c r="AE253" s="4">
        <f ca="1">_xll.DBRW($B$1,$B$2,$B$7,$B$3,$B$4,$B$5,$F253,$B$6,AE$10,$A253,$B253)</f>
        <v>0</v>
      </c>
    </row>
    <row r="254" spans="1:31">
      <c r="A254" s="1" t="s">
        <v>151</v>
      </c>
      <c r="B254" s="5" t="s">
        <v>77</v>
      </c>
      <c r="C254" s="5" t="s">
        <v>75</v>
      </c>
      <c r="D254" s="5" t="s">
        <v>76</v>
      </c>
      <c r="E254" s="5" t="s">
        <v>21</v>
      </c>
      <c r="F254" s="5" t="s">
        <v>25</v>
      </c>
      <c r="G254" s="6"/>
      <c r="H254" s="6"/>
      <c r="I254" s="6"/>
      <c r="J254" s="6"/>
      <c r="K254" s="6"/>
      <c r="L254" s="4">
        <f ca="1">_xll.DBRW($B$1,$B$2,$B$7,$B$3,$B$4,$B$5,$F254,$B$6,L$10,$A254,$B254)</f>
        <v>4190.2551190344184</v>
      </c>
      <c r="M254" s="4">
        <f ca="1">_xll.DBRW($B$1,$B$2,$B$7,$B$3,$B$4,$B$5,$F254,$B$6,M$10,$A254,$B254)</f>
        <v>5050.4449872725927</v>
      </c>
      <c r="N254" s="4">
        <f ca="1">_xll.DBRW($B$1,$B$2,$B$7,$B$3,$B$4,$B$5,$F254,$B$6,N$10,$A254,$B254)</f>
        <v>5122.8010778868847</v>
      </c>
      <c r="O254" s="4">
        <f ca="1">_xll.DBRW($B$1,$B$2,$B$7,$B$3,$B$4,$B$5,$F254,$B$6,O$10,$A254,$B254)</f>
        <v>4840.4785077053202</v>
      </c>
      <c r="P254" s="4">
        <f ca="1">_xll.DBRW($B$1,$B$2,$B$7,$B$3,$B$4,$B$5,$F254,$B$6,P$10,$A254,$B254)</f>
        <v>4509.05907807926</v>
      </c>
      <c r="Q254" s="4">
        <f ca="1">_xll.DBRW($B$1,$B$2,$B$7,$B$3,$B$4,$B$5,$F254,$B$6,Q$10,$A254,$B254)</f>
        <v>3256.8823829774624</v>
      </c>
      <c r="R254" s="4">
        <f ca="1">_xll.DBRW($B$1,$B$2,$B$7,$B$3,$B$4,$B$5,$F254,$B$6,R$10,$A254,$B254)</f>
        <v>0</v>
      </c>
      <c r="S254" s="4">
        <f ca="1">_xll.DBRW($B$1,$B$2,$B$7,$B$3,$B$4,$B$5,$F254,$B$6,S$10,$A254,$B254)</f>
        <v>0</v>
      </c>
      <c r="T254" s="4">
        <f ca="1">_xll.DBRW($B$1,$B$2,$B$7,$B$3,$B$4,$B$5,$F254,$B$6,T$10,$A254,$B254)</f>
        <v>0</v>
      </c>
      <c r="U254" s="4">
        <f ca="1">_xll.DBRW($B$1,$B$2,$B$7,$B$3,$B$4,$B$5,$F254,$B$6,U$10,$A254,$B254)</f>
        <v>0</v>
      </c>
      <c r="V254" s="4">
        <f ca="1">_xll.DBRW($B$1,$B$2,$B$7,$B$3,$B$4,$B$5,$F254,$B$6,V$10,$A254,$B254)</f>
        <v>307.08992385874876</v>
      </c>
      <c r="W254" s="4">
        <f ca="1">_xll.DBRW($B$1,$B$2,$B$7,$B$3,$B$4,$B$5,$F254,$B$6,W$10,$A254,$B254)</f>
        <v>4417.5601828541839</v>
      </c>
      <c r="X254" s="4">
        <f ca="1">_xll.DBRW($B$1,$B$2,$B$7,$B$3,$B$4,$B$5,$F254,$B$6,X$10,$A254,$B254)</f>
        <v>4938.2707316121787</v>
      </c>
      <c r="Y254" s="4">
        <f ca="1">_xll.DBRW($B$1,$B$2,$B$7,$B$3,$B$4,$B$5,$F254,$B$6,Y$10,$A254,$B254)</f>
        <v>6606.2582716891466</v>
      </c>
      <c r="Z254" s="4">
        <f ca="1">_xll.DBRW($B$1,$B$2,$B$7,$B$3,$B$4,$B$5,$F254,$B$6,Z$10,$A254,$B254)</f>
        <v>6776.2150848895799</v>
      </c>
      <c r="AA254" s="4">
        <f ca="1">_xll.DBRW($B$1,$B$2,$B$7,$B$3,$B$4,$B$5,$F254,$B$6,AA$10,$A254,$B254)</f>
        <v>6423.9287133137232</v>
      </c>
      <c r="AB254" s="4">
        <f ca="1">_xll.DBRW($B$1,$B$2,$B$7,$B$3,$B$4,$B$5,$F254,$B$6,AB$10,$A254,$B254)</f>
        <v>5999.7100242246815</v>
      </c>
      <c r="AC254" s="4">
        <f ca="1">_xll.DBRW($B$1,$B$2,$B$7,$B$3,$B$4,$B$5,$F254,$B$6,AC$10,$A254,$B254)</f>
        <v>3601.1938619379725</v>
      </c>
      <c r="AD254" s="4">
        <f ca="1">_xll.DBRW($B$1,$B$2,$B$7,$B$3,$B$4,$B$5,$F254,$B$6,AD$10,$A254,$B254)</f>
        <v>0</v>
      </c>
      <c r="AE254" s="4">
        <f ca="1">_xll.DBRW($B$1,$B$2,$B$7,$B$3,$B$4,$B$5,$F254,$B$6,AE$10,$A254,$B254)</f>
        <v>0</v>
      </c>
    </row>
    <row r="255" spans="1:31">
      <c r="A255" s="1" t="s">
        <v>151</v>
      </c>
      <c r="B255" s="5" t="s">
        <v>174</v>
      </c>
      <c r="C255" s="5" t="s">
        <v>159</v>
      </c>
      <c r="D255" s="5" t="s">
        <v>21</v>
      </c>
      <c r="E255" s="5" t="s">
        <v>38</v>
      </c>
      <c r="F255" s="5" t="s">
        <v>25</v>
      </c>
      <c r="G255" s="6"/>
      <c r="H255" s="6"/>
      <c r="I255" s="6"/>
      <c r="J255" s="6"/>
      <c r="K255" s="6"/>
      <c r="L255" s="4">
        <f ca="1">_xll.DBRW($B$1,$B$2,$B$7,$B$3,$B$4,$B$5,$F255,$B$6,L$10,$A255,$B255)</f>
        <v>4461.888627931603</v>
      </c>
      <c r="M255" s="4">
        <f ca="1">_xll.DBRW($B$1,$B$2,$B$7,$B$3,$B$4,$B$5,$F255,$B$6,M$10,$A255,$B255)</f>
        <v>5024.3604851649307</v>
      </c>
      <c r="N255" s="4">
        <f ca="1">_xll.DBRW($B$1,$B$2,$B$7,$B$3,$B$4,$B$5,$F255,$B$6,N$10,$A255,$B255)</f>
        <v>5001.0137480422491</v>
      </c>
      <c r="O255" s="4">
        <f ca="1">_xll.DBRW($B$1,$B$2,$B$7,$B$3,$B$4,$B$5,$F255,$B$6,O$10,$A255,$B255)</f>
        <v>5895.076839229192</v>
      </c>
      <c r="P255" s="4">
        <f ca="1">_xll.DBRW($B$1,$B$2,$B$7,$B$3,$B$4,$B$5,$F255,$B$6,P$10,$A255,$B255)</f>
        <v>3937.4753884226966</v>
      </c>
      <c r="Q255" s="4">
        <f ca="1">_xll.DBRW($B$1,$B$2,$B$7,$B$3,$B$4,$B$5,$F255,$B$6,Q$10,$A255,$B255)</f>
        <v>5000.4073072926394</v>
      </c>
      <c r="R255" s="4">
        <f ca="1">_xll.DBRW($B$1,$B$2,$B$7,$B$3,$B$4,$B$5,$F255,$B$6,R$10,$A255,$B255)</f>
        <v>5231.6493166413038</v>
      </c>
      <c r="S255" s="4">
        <f ca="1">_xll.DBRW($B$1,$B$2,$B$7,$B$3,$B$4,$B$5,$F255,$B$6,S$10,$A255,$B255)</f>
        <v>6352.3021287363135</v>
      </c>
      <c r="T255" s="4">
        <f ca="1">_xll.DBRW($B$1,$B$2,$B$7,$B$3,$B$4,$B$5,$F255,$B$6,T$10,$A255,$B255)</f>
        <v>4056.7788962487343</v>
      </c>
      <c r="U255" s="4">
        <f ca="1">_xll.DBRW($B$1,$B$2,$B$7,$B$3,$B$4,$B$5,$F255,$B$6,U$10,$A255,$B255)</f>
        <v>3937.8933392703602</v>
      </c>
      <c r="V255" s="4">
        <f ca="1">_xll.DBRW($B$1,$B$2,$B$7,$B$3,$B$4,$B$5,$F255,$B$6,V$10,$A255,$B255)</f>
        <v>4403.6385030723495</v>
      </c>
      <c r="W255" s="4">
        <f ca="1">_xll.DBRW($B$1,$B$2,$B$7,$B$3,$B$4,$B$5,$F255,$B$6,W$10,$A255,$B255)</f>
        <v>4746.9664196487365</v>
      </c>
      <c r="X255" s="4">
        <f ca="1">_xll.DBRW($B$1,$B$2,$B$7,$B$3,$B$4,$B$5,$F255,$B$6,X$10,$A255,$B255)</f>
        <v>4783.904814896734</v>
      </c>
      <c r="Y255" s="4">
        <f ca="1">_xll.DBRW($B$1,$B$2,$B$7,$B$3,$B$4,$B$5,$F255,$B$6,Y$10,$A255,$B255)</f>
        <v>5073.3993171506454</v>
      </c>
      <c r="Z255" s="4">
        <f ca="1">_xll.DBRW($B$1,$B$2,$B$7,$B$3,$B$4,$B$5,$F255,$B$6,Z$10,$A255,$B255)</f>
        <v>5470.3647583833736</v>
      </c>
      <c r="AA255" s="4">
        <f ca="1">_xll.DBRW($B$1,$B$2,$B$7,$B$3,$B$4,$B$5,$F255,$B$6,AA$10,$A255,$B255)</f>
        <v>5892.3614563061174</v>
      </c>
      <c r="AB255" s="4">
        <f ca="1">_xll.DBRW($B$1,$B$2,$B$7,$B$3,$B$4,$B$5,$F255,$B$6,AB$10,$A255,$B255)</f>
        <v>3995.0374447669356</v>
      </c>
      <c r="AC255" s="4">
        <f ca="1">_xll.DBRW($B$1,$B$2,$B$7,$B$3,$B$4,$B$5,$F255,$B$6,AC$10,$A255,$B255)</f>
        <v>4621.7709493178199</v>
      </c>
      <c r="AD255" s="4">
        <f ca="1">_xll.DBRW($B$1,$B$2,$B$7,$B$3,$B$4,$B$5,$F255,$B$6,AD$10,$A255,$B255)</f>
        <v>4159.8418983737711</v>
      </c>
      <c r="AE255" s="4">
        <f ca="1">_xll.DBRW($B$1,$B$2,$B$7,$B$3,$B$4,$B$5,$F255,$B$6,AE$10,$A255,$B255)</f>
        <v>5078.4248711297023</v>
      </c>
    </row>
    <row r="256" spans="1:31">
      <c r="A256" s="1" t="s">
        <v>151</v>
      </c>
      <c r="B256" s="5" t="s">
        <v>41</v>
      </c>
      <c r="C256" s="5" t="s">
        <v>37</v>
      </c>
      <c r="D256" s="5" t="s">
        <v>38</v>
      </c>
      <c r="E256" s="5" t="s">
        <v>21</v>
      </c>
      <c r="F256" s="5" t="s">
        <v>25</v>
      </c>
      <c r="G256" s="6"/>
      <c r="H256" s="6"/>
      <c r="I256" s="6"/>
      <c r="J256" s="6"/>
      <c r="K256" s="6"/>
      <c r="L256" s="4">
        <f ca="1">_xll.DBRW($B$1,$B$2,$B$7,$B$3,$B$4,$B$5,$F256,$B$6,L$10,$A256,$B256)</f>
        <v>4419.218350967004</v>
      </c>
      <c r="M256" s="4">
        <f ca="1">_xll.DBRW($B$1,$B$2,$B$7,$B$3,$B$4,$B$5,$F256,$B$6,M$10,$A256,$B256)</f>
        <v>5024.3604851649307</v>
      </c>
      <c r="N256" s="4">
        <f ca="1">_xll.DBRW($B$1,$B$2,$B$7,$B$3,$B$4,$B$5,$F256,$B$6,N$10,$A256,$B256)</f>
        <v>4809.5408011671725</v>
      </c>
      <c r="O256" s="4">
        <f ca="1">_xll.DBRW($B$1,$B$2,$B$7,$B$3,$B$4,$B$5,$F256,$B$6,O$10,$A256,$B256)</f>
        <v>5704.7023457666701</v>
      </c>
      <c r="P256" s="4">
        <f ca="1">_xll.DBRW($B$1,$B$2,$B$7,$B$3,$B$4,$B$5,$F256,$B$6,P$10,$A256,$B256)</f>
        <v>3937.4753884226966</v>
      </c>
      <c r="Q256" s="4">
        <f ca="1">_xll.DBRW($B$1,$B$2,$B$7,$B$3,$B$4,$B$5,$F256,$B$6,Q$10,$A256,$B256)</f>
        <v>5000.4073072926394</v>
      </c>
      <c r="R256" s="4">
        <f ca="1">_xll.DBRW($B$1,$B$2,$B$7,$B$3,$B$4,$B$5,$F256,$B$6,R$10,$A256,$B256)</f>
        <v>5231.6493166413038</v>
      </c>
      <c r="S256" s="4">
        <f ca="1">_xll.DBRW($B$1,$B$2,$B$7,$B$3,$B$4,$B$5,$F256,$B$6,S$10,$A256,$B256)</f>
        <v>6352.3021287363135</v>
      </c>
      <c r="T256" s="4">
        <f ca="1">_xll.DBRW($B$1,$B$2,$B$7,$B$3,$B$4,$B$5,$F256,$B$6,T$10,$A256,$B256)</f>
        <v>4374.9444439067765</v>
      </c>
      <c r="U256" s="4">
        <f ca="1">_xll.DBRW($B$1,$B$2,$B$7,$B$3,$B$4,$B$5,$F256,$B$6,U$10,$A256,$B256)</f>
        <v>4324.4171873315836</v>
      </c>
      <c r="V256" s="4">
        <f ca="1">_xll.DBRW($B$1,$B$2,$B$7,$B$3,$B$4,$B$5,$F256,$B$6,V$10,$A256,$B256)</f>
        <v>4870.3224428755975</v>
      </c>
      <c r="W256" s="4">
        <f ca="1">_xll.DBRW($B$1,$B$2,$B$7,$B$3,$B$4,$B$5,$F256,$B$6,W$10,$A256,$B256)</f>
        <v>5075.6468018297119</v>
      </c>
      <c r="X256" s="4">
        <f ca="1">_xll.DBRW($B$1,$B$2,$B$7,$B$3,$B$4,$B$5,$F256,$B$6,X$10,$A256,$B256)</f>
        <v>5142.4586401304978</v>
      </c>
      <c r="Y256" s="4">
        <f ca="1">_xll.DBRW($B$1,$B$2,$B$7,$B$3,$B$4,$B$5,$F256,$B$6,Y$10,$A256,$B256)</f>
        <v>5469.1402935274518</v>
      </c>
      <c r="Z256" s="4">
        <f ca="1">_xll.DBRW($B$1,$B$2,$B$7,$B$3,$B$4,$B$5,$F256,$B$6,Z$10,$A256,$B256)</f>
        <v>5883.2571000929529</v>
      </c>
      <c r="AA256" s="4">
        <f ca="1">_xll.DBRW($B$1,$B$2,$B$7,$B$3,$B$4,$B$5,$F256,$B$6,AA$10,$A256,$B256)</f>
        <v>6284.9892395015941</v>
      </c>
      <c r="AB256" s="4">
        <f ca="1">_xll.DBRW($B$1,$B$2,$B$7,$B$3,$B$4,$B$5,$F256,$B$6,AB$10,$A256,$B256)</f>
        <v>4306.6088226083766</v>
      </c>
      <c r="AC256" s="4">
        <f ca="1">_xll.DBRW($B$1,$B$2,$B$7,$B$3,$B$4,$B$5,$F256,$B$6,AC$10,$A256,$B256)</f>
        <v>4953.5982802311155</v>
      </c>
      <c r="AD256" s="4">
        <f ca="1">_xll.DBRW($B$1,$B$2,$B$7,$B$3,$B$4,$B$5,$F256,$B$6,AD$10,$A256,$B256)</f>
        <v>4578.8446327814954</v>
      </c>
      <c r="AE256" s="4">
        <f ca="1">_xll.DBRW($B$1,$B$2,$B$7,$B$3,$B$4,$B$5,$F256,$B$6,AE$10,$A256,$B256)</f>
        <v>5602.1821700590144</v>
      </c>
    </row>
    <row r="257" spans="1:31">
      <c r="A257" s="1" t="s">
        <v>151</v>
      </c>
      <c r="B257" s="5" t="s">
        <v>175</v>
      </c>
      <c r="C257" s="5" t="s">
        <v>159</v>
      </c>
      <c r="D257" s="5" t="s">
        <v>21</v>
      </c>
      <c r="E257" s="5" t="s">
        <v>38</v>
      </c>
      <c r="F257" s="5" t="s">
        <v>25</v>
      </c>
      <c r="G257" s="6"/>
      <c r="H257" s="6"/>
      <c r="I257" s="6"/>
      <c r="J257" s="6"/>
      <c r="K257" s="6"/>
      <c r="L257" s="4">
        <f ca="1">_xll.DBRW($B$1,$B$2,$B$7,$B$3,$B$4,$B$5,$F257,$B$6,L$10,$A257,$B257)</f>
        <v>1643.5168344198175</v>
      </c>
      <c r="M257" s="4">
        <f ca="1">_xll.DBRW($B$1,$B$2,$B$7,$B$3,$B$4,$B$5,$F257,$B$6,M$10,$A257,$B257)</f>
        <v>4810.0751659280922</v>
      </c>
      <c r="N257" s="4">
        <f ca="1">_xll.DBRW($B$1,$B$2,$B$7,$B$3,$B$4,$B$5,$F257,$B$6,N$10,$A257,$B257)</f>
        <v>4836.3145606878397</v>
      </c>
      <c r="O257" s="4">
        <f ca="1">_xll.DBRW($B$1,$B$2,$B$7,$B$3,$B$4,$B$5,$F257,$B$6,O$10,$A257,$B257)</f>
        <v>5513.3946440028603</v>
      </c>
      <c r="P257" s="4">
        <f ca="1">_xll.DBRW($B$1,$B$2,$B$7,$B$3,$B$4,$B$5,$F257,$B$6,P$10,$A257,$B257)</f>
        <v>3801.9752232340611</v>
      </c>
      <c r="Q257" s="4">
        <f ca="1">_xll.DBRW($B$1,$B$2,$B$7,$B$3,$B$4,$B$5,$F257,$B$6,Q$10,$A257,$B257)</f>
        <v>3924.7886150709182</v>
      </c>
      <c r="R257" s="4">
        <f ca="1">_xll.DBRW($B$1,$B$2,$B$7,$B$3,$B$4,$B$5,$F257,$B$6,R$10,$A257,$B257)</f>
        <v>0</v>
      </c>
      <c r="S257" s="4">
        <f ca="1">_xll.DBRW($B$1,$B$2,$B$7,$B$3,$B$4,$B$5,$F257,$B$6,S$10,$A257,$B257)</f>
        <v>0</v>
      </c>
      <c r="T257" s="4">
        <f ca="1">_xll.DBRW($B$1,$B$2,$B$7,$B$3,$B$4,$B$5,$F257,$B$6,T$10,$A257,$B257)</f>
        <v>0</v>
      </c>
      <c r="U257" s="4">
        <f ca="1">_xll.DBRW($B$1,$B$2,$B$7,$B$3,$B$4,$B$5,$F257,$B$6,U$10,$A257,$B257)</f>
        <v>0</v>
      </c>
      <c r="V257" s="4">
        <f ca="1">_xll.DBRW($B$1,$B$2,$B$7,$B$3,$B$4,$B$5,$F257,$B$6,V$10,$A257,$B257)</f>
        <v>283.10684499912645</v>
      </c>
      <c r="W257" s="4">
        <f ca="1">_xll.DBRW($B$1,$B$2,$B$7,$B$3,$B$4,$B$5,$F257,$B$6,W$10,$A257,$B257)</f>
        <v>3313.0982523842317</v>
      </c>
      <c r="X257" s="4">
        <f ca="1">_xll.DBRW($B$1,$B$2,$B$7,$B$3,$B$4,$B$5,$F257,$B$6,X$10,$A257,$B257)</f>
        <v>3365.6252395276156</v>
      </c>
      <c r="Y257" s="4">
        <f ca="1">_xll.DBRW($B$1,$B$2,$B$7,$B$3,$B$4,$B$5,$F257,$B$6,Y$10,$A257,$B257)</f>
        <v>3714.6886315902807</v>
      </c>
      <c r="Z257" s="4">
        <f ca="1">_xll.DBRW($B$1,$B$2,$B$7,$B$3,$B$4,$B$5,$F257,$B$6,Z$10,$A257,$B257)</f>
        <v>3875.6827808472608</v>
      </c>
      <c r="AA257" s="4">
        <f ca="1">_xll.DBRW($B$1,$B$2,$B$7,$B$3,$B$4,$B$5,$F257,$B$6,AA$10,$A257,$B257)</f>
        <v>4146.1493905442358</v>
      </c>
      <c r="AB257" s="4">
        <f ca="1">_xll.DBRW($B$1,$B$2,$B$7,$B$3,$B$4,$B$5,$F257,$B$6,AB$10,$A257,$B257)</f>
        <v>2924.6166666716695</v>
      </c>
      <c r="AC257" s="4">
        <f ca="1">_xll.DBRW($B$1,$B$2,$B$7,$B$3,$B$4,$B$5,$F257,$B$6,AC$10,$A257,$B257)</f>
        <v>2359.6610198278781</v>
      </c>
      <c r="AD257" s="4">
        <f ca="1">_xll.DBRW($B$1,$B$2,$B$7,$B$3,$B$4,$B$5,$F257,$B$6,AD$10,$A257,$B257)</f>
        <v>0</v>
      </c>
      <c r="AE257" s="4">
        <f ca="1">_xll.DBRW($B$1,$B$2,$B$7,$B$3,$B$4,$B$5,$F257,$B$6,AE$10,$A257,$B257)</f>
        <v>0</v>
      </c>
    </row>
    <row r="258" spans="1:31">
      <c r="A258" s="1" t="s">
        <v>151</v>
      </c>
      <c r="B258" s="5" t="s">
        <v>42</v>
      </c>
      <c r="C258" s="5" t="s">
        <v>37</v>
      </c>
      <c r="D258" s="5" t="s">
        <v>38</v>
      </c>
      <c r="E258" s="5" t="s">
        <v>21</v>
      </c>
      <c r="F258" s="5" t="s">
        <v>25</v>
      </c>
      <c r="G258" s="6"/>
      <c r="H258" s="6"/>
      <c r="I258" s="6"/>
      <c r="J258" s="6"/>
      <c r="K258" s="6"/>
      <c r="L258" s="4">
        <f ca="1">_xll.DBRW($B$1,$B$2,$B$7,$B$3,$B$4,$B$5,$F258,$B$6,L$10,$A258,$B258)</f>
        <v>1720.3233329560965</v>
      </c>
      <c r="M258" s="4">
        <f ca="1">_xll.DBRW($B$1,$B$2,$B$7,$B$3,$B$4,$B$5,$F258,$B$6,M$10,$A258,$B258)</f>
        <v>5042.0075114550236</v>
      </c>
      <c r="N258" s="4">
        <f ca="1">_xll.DBRW($B$1,$B$2,$B$7,$B$3,$B$4,$B$5,$F258,$B$6,N$10,$A258,$B258)</f>
        <v>4941.7869466783477</v>
      </c>
      <c r="O258" s="4">
        <f ca="1">_xll.DBRW($B$1,$B$2,$B$7,$B$3,$B$4,$B$5,$F258,$B$6,O$10,$A258,$B258)</f>
        <v>5723.3665117924074</v>
      </c>
      <c r="P258" s="4">
        <f ca="1">_xll.DBRW($B$1,$B$2,$B$7,$B$3,$B$4,$B$5,$F258,$B$6,P$10,$A258,$B258)</f>
        <v>4581.1011730687142</v>
      </c>
      <c r="Q258" s="4">
        <f ca="1">_xll.DBRW($B$1,$B$2,$B$7,$B$3,$B$4,$B$5,$F258,$B$6,Q$10,$A258,$B258)</f>
        <v>4727.3716919298467</v>
      </c>
      <c r="R258" s="4">
        <f ca="1">_xll.DBRW($B$1,$B$2,$B$7,$B$3,$B$4,$B$5,$F258,$B$6,R$10,$A258,$B258)</f>
        <v>0</v>
      </c>
      <c r="S258" s="4">
        <f ca="1">_xll.DBRW($B$1,$B$2,$B$7,$B$3,$B$4,$B$5,$F258,$B$6,S$10,$A258,$B258)</f>
        <v>0</v>
      </c>
      <c r="T258" s="4">
        <f ca="1">_xll.DBRW($B$1,$B$2,$B$7,$B$3,$B$4,$B$5,$F258,$B$6,T$10,$A258,$B258)</f>
        <v>0</v>
      </c>
      <c r="U258" s="4">
        <f ca="1">_xll.DBRW($B$1,$B$2,$B$7,$B$3,$B$4,$B$5,$F258,$B$6,U$10,$A258,$B258)</f>
        <v>0</v>
      </c>
      <c r="V258" s="4">
        <f ca="1">_xll.DBRW($B$1,$B$2,$B$7,$B$3,$B$4,$B$5,$F258,$B$6,V$10,$A258,$B258)</f>
        <v>283.10684499912645</v>
      </c>
      <c r="W258" s="4">
        <f ca="1">_xll.DBRW($B$1,$B$2,$B$7,$B$3,$B$4,$B$5,$F258,$B$6,W$10,$A258,$B258)</f>
        <v>3313.0982523842317</v>
      </c>
      <c r="X258" s="4">
        <f ca="1">_xll.DBRW($B$1,$B$2,$B$7,$B$3,$B$4,$B$5,$F258,$B$6,X$10,$A258,$B258)</f>
        <v>3365.6252395276156</v>
      </c>
      <c r="Y258" s="4">
        <f ca="1">_xll.DBRW($B$1,$B$2,$B$7,$B$3,$B$4,$B$5,$F258,$B$6,Y$10,$A258,$B258)</f>
        <v>3714.6886315902807</v>
      </c>
      <c r="Z258" s="4">
        <f ca="1">_xll.DBRW($B$1,$B$2,$B$7,$B$3,$B$4,$B$5,$F258,$B$6,Z$10,$A258,$B258)</f>
        <v>3875.6827808472608</v>
      </c>
      <c r="AA258" s="4">
        <f ca="1">_xll.DBRW($B$1,$B$2,$B$7,$B$3,$B$4,$B$5,$F258,$B$6,AA$10,$A258,$B258)</f>
        <v>4146.1493905442358</v>
      </c>
      <c r="AB258" s="4">
        <f ca="1">_xll.DBRW($B$1,$B$2,$B$7,$B$3,$B$4,$B$5,$F258,$B$6,AB$10,$A258,$B258)</f>
        <v>2924.6166666716695</v>
      </c>
      <c r="AC258" s="4">
        <f ca="1">_xll.DBRW($B$1,$B$2,$B$7,$B$3,$B$4,$B$5,$F258,$B$6,AC$10,$A258,$B258)</f>
        <v>2359.6610198278781</v>
      </c>
      <c r="AD258" s="4">
        <f ca="1">_xll.DBRW($B$1,$B$2,$B$7,$B$3,$B$4,$B$5,$F258,$B$6,AD$10,$A258,$B258)</f>
        <v>0</v>
      </c>
      <c r="AE258" s="4">
        <f ca="1">_xll.DBRW($B$1,$B$2,$B$7,$B$3,$B$4,$B$5,$F258,$B$6,AE$10,$A258,$B258)</f>
        <v>0</v>
      </c>
    </row>
    <row r="259" spans="1:31">
      <c r="A259" s="1" t="s">
        <v>151</v>
      </c>
      <c r="B259" s="5" t="s">
        <v>176</v>
      </c>
      <c r="C259" s="5" t="s">
        <v>177</v>
      </c>
      <c r="D259" s="5" t="s">
        <v>28</v>
      </c>
      <c r="E259" s="5" t="s">
        <v>59</v>
      </c>
      <c r="F259" s="5" t="s">
        <v>25</v>
      </c>
      <c r="G259" s="6"/>
      <c r="H259" s="6"/>
      <c r="I259" s="6"/>
      <c r="J259" s="6"/>
      <c r="K259" s="6"/>
      <c r="L259" s="4">
        <f ca="1">_xll.DBRW($B$1,$B$2,$B$7,$B$3,$B$4,$B$5,$F259,$B$6,L$10,$A259,$B259)</f>
        <v>5608.9316433503645</v>
      </c>
      <c r="M259" s="4">
        <f ca="1">_xll.DBRW($B$1,$B$2,$B$7,$B$3,$B$4,$B$5,$F259,$B$6,M$10,$A259,$B259)</f>
        <v>3459.3345933898386</v>
      </c>
      <c r="N259" s="4">
        <f ca="1">_xll.DBRW($B$1,$B$2,$B$7,$B$3,$B$4,$B$5,$F259,$B$6,N$10,$A259,$B259)</f>
        <v>4802.8616297119343</v>
      </c>
      <c r="O259" s="4">
        <f ca="1">_xll.DBRW($B$1,$B$2,$B$7,$B$3,$B$4,$B$5,$F259,$B$6,O$10,$A259,$B259)</f>
        <v>5599.3936341498584</v>
      </c>
      <c r="P259" s="4">
        <f ca="1">_xll.DBRW($B$1,$B$2,$B$7,$B$3,$B$4,$B$5,$F259,$B$6,P$10,$A259,$B259)</f>
        <v>4338.1427762191943</v>
      </c>
      <c r="Q259" s="4">
        <f ca="1">_xll.DBRW($B$1,$B$2,$B$7,$B$3,$B$4,$B$5,$F259,$B$6,Q$10,$A259,$B259)</f>
        <v>4208.1112520441957</v>
      </c>
      <c r="R259" s="4">
        <f ca="1">_xll.DBRW($B$1,$B$2,$B$7,$B$3,$B$4,$B$5,$F259,$B$6,R$10,$A259,$B259)</f>
        <v>4675.2926521525615</v>
      </c>
      <c r="S259" s="4">
        <f ca="1">_xll.DBRW($B$1,$B$2,$B$7,$B$3,$B$4,$B$5,$F259,$B$6,S$10,$A259,$B259)</f>
        <v>4060.9134256053617</v>
      </c>
      <c r="T259" s="4">
        <f ca="1">_xll.DBRW($B$1,$B$2,$B$7,$B$3,$B$4,$B$5,$F259,$B$6,T$10,$A259,$B259)</f>
        <v>8199.8739204798821</v>
      </c>
      <c r="U259" s="4">
        <f ca="1">_xll.DBRW($B$1,$B$2,$B$7,$B$3,$B$4,$B$5,$F259,$B$6,U$10,$A259,$B259)</f>
        <v>7863.9468160269034</v>
      </c>
      <c r="V259" s="4">
        <f ca="1">_xll.DBRW($B$1,$B$2,$B$7,$B$3,$B$4,$B$5,$F259,$B$6,V$10,$A259,$B259)</f>
        <v>7214.9932293371503</v>
      </c>
      <c r="W259" s="4">
        <f ca="1">_xll.DBRW($B$1,$B$2,$B$7,$B$3,$B$4,$B$5,$F259,$B$6,W$10,$A259,$B259)</f>
        <v>7497.1633815018686</v>
      </c>
      <c r="X259" s="4">
        <f ca="1">_xll.DBRW($B$1,$B$2,$B$7,$B$3,$B$4,$B$5,$F259,$B$6,X$10,$A259,$B259)</f>
        <v>5174.7427996035249</v>
      </c>
      <c r="Y259" s="4">
        <f ca="1">_xll.DBRW($B$1,$B$2,$B$7,$B$3,$B$4,$B$5,$F259,$B$6,Y$10,$A259,$B259)</f>
        <v>5924.6834007980024</v>
      </c>
      <c r="Z259" s="4">
        <f ca="1">_xll.DBRW($B$1,$B$2,$B$7,$B$3,$B$4,$B$5,$F259,$B$6,Z$10,$A259,$B259)</f>
        <v>7243.0155380024225</v>
      </c>
      <c r="AA259" s="4">
        <f ca="1">_xll.DBRW($B$1,$B$2,$B$7,$B$3,$B$4,$B$5,$F259,$B$6,AA$10,$A259,$B259)</f>
        <v>8006.4463485009292</v>
      </c>
      <c r="AB259" s="4">
        <f ca="1">_xll.DBRW($B$1,$B$2,$B$7,$B$3,$B$4,$B$5,$F259,$B$6,AB$10,$A259,$B259)</f>
        <v>6184.4259586042845</v>
      </c>
      <c r="AC259" s="4">
        <f ca="1">_xll.DBRW($B$1,$B$2,$B$7,$B$3,$B$4,$B$5,$F259,$B$6,AC$10,$A259,$B259)</f>
        <v>7176.4020617561155</v>
      </c>
      <c r="AD259" s="4">
        <f ca="1">_xll.DBRW($B$1,$B$2,$B$7,$B$3,$B$4,$B$5,$F259,$B$6,AD$10,$A259,$B259)</f>
        <v>8868.6095385677145</v>
      </c>
      <c r="AE259" s="4">
        <f ca="1">_xll.DBRW($B$1,$B$2,$B$7,$B$3,$B$4,$B$5,$F259,$B$6,AE$10,$A259,$B259)</f>
        <v>8492.0570553480902</v>
      </c>
    </row>
    <row r="260" spans="1:31">
      <c r="A260" s="1" t="s">
        <v>151</v>
      </c>
      <c r="B260" s="5" t="s">
        <v>64</v>
      </c>
      <c r="C260" s="5" t="s">
        <v>65</v>
      </c>
      <c r="D260" s="5" t="s">
        <v>59</v>
      </c>
      <c r="E260" s="5" t="s">
        <v>28</v>
      </c>
      <c r="F260" s="5" t="s">
        <v>25</v>
      </c>
      <c r="G260" s="6"/>
      <c r="H260" s="6"/>
      <c r="I260" s="6"/>
      <c r="J260" s="6"/>
      <c r="K260" s="6"/>
      <c r="L260" s="4">
        <f ca="1">_xll.DBRW($B$1,$B$2,$B$7,$B$3,$B$4,$B$5,$F260,$B$6,L$10,$A260,$B260)</f>
        <v>5608.9316433503645</v>
      </c>
      <c r="M260" s="4">
        <f ca="1">_xll.DBRW($B$1,$B$2,$B$7,$B$3,$B$4,$B$5,$F260,$B$6,M$10,$A260,$B260)</f>
        <v>4228.0756141431366</v>
      </c>
      <c r="N260" s="4">
        <f ca="1">_xll.DBRW($B$1,$B$2,$B$7,$B$3,$B$4,$B$5,$F260,$B$6,N$10,$A260,$B260)</f>
        <v>5031.5693263648836</v>
      </c>
      <c r="O260" s="4">
        <f ca="1">_xll.DBRW($B$1,$B$2,$B$7,$B$3,$B$4,$B$5,$F260,$B$6,O$10,$A260,$B260)</f>
        <v>5599.3936341498584</v>
      </c>
      <c r="P260" s="4">
        <f ca="1">_xll.DBRW($B$1,$B$2,$B$7,$B$3,$B$4,$B$5,$F260,$B$6,P$10,$A260,$B260)</f>
        <v>5023.1126882538047</v>
      </c>
      <c r="Q260" s="4">
        <f ca="1">_xll.DBRW($B$1,$B$2,$B$7,$B$3,$B$4,$B$5,$F260,$B$6,Q$10,$A260,$B260)</f>
        <v>4418.8430248209834</v>
      </c>
      <c r="R260" s="4">
        <f ca="1">_xll.DBRW($B$1,$B$2,$B$7,$B$3,$B$4,$B$5,$F260,$B$6,R$10,$A260,$B260)</f>
        <v>4677.0387931991163</v>
      </c>
      <c r="S260" s="4">
        <f ca="1">_xll.DBRW($B$1,$B$2,$B$7,$B$3,$B$4,$B$5,$F260,$B$6,S$10,$A260,$B260)</f>
        <v>4060.9134256053617</v>
      </c>
      <c r="T260" s="4">
        <f ca="1">_xll.DBRW($B$1,$B$2,$B$7,$B$3,$B$4,$B$5,$F260,$B$6,T$10,$A260,$B260)</f>
        <v>8199.8739204798821</v>
      </c>
      <c r="U260" s="4">
        <f ca="1">_xll.DBRW($B$1,$B$2,$B$7,$B$3,$B$4,$B$5,$F260,$B$6,U$10,$A260,$B260)</f>
        <v>7863.9468160269034</v>
      </c>
      <c r="V260" s="4">
        <f ca="1">_xll.DBRW($B$1,$B$2,$B$7,$B$3,$B$4,$B$5,$F260,$B$6,V$10,$A260,$B260)</f>
        <v>7214.9932293371503</v>
      </c>
      <c r="W260" s="4">
        <f ca="1">_xll.DBRW($B$1,$B$2,$B$7,$B$3,$B$4,$B$5,$F260,$B$6,W$10,$A260,$B260)</f>
        <v>6846.8518118548664</v>
      </c>
      <c r="X260" s="4">
        <f ca="1">_xll.DBRW($B$1,$B$2,$B$7,$B$3,$B$4,$B$5,$F260,$B$6,X$10,$A260,$B260)</f>
        <v>4823.7002838218204</v>
      </c>
      <c r="Y260" s="4">
        <f ca="1">_xll.DBRW($B$1,$B$2,$B$7,$B$3,$B$4,$B$5,$F260,$B$6,Y$10,$A260,$B260)</f>
        <v>5498.7754798163742</v>
      </c>
      <c r="Z260" s="4">
        <f ca="1">_xll.DBRW($B$1,$B$2,$B$7,$B$3,$B$4,$B$5,$F260,$B$6,Z$10,$A260,$B260)</f>
        <v>6751.6662101670072</v>
      </c>
      <c r="AA260" s="4">
        <f ca="1">_xll.DBRW($B$1,$B$2,$B$7,$B$3,$B$4,$B$5,$F260,$B$6,AA$10,$A260,$B260)</f>
        <v>7327.5229755208384</v>
      </c>
      <c r="AB260" s="4">
        <f ca="1">_xll.DBRW($B$1,$B$2,$B$7,$B$3,$B$4,$B$5,$F260,$B$6,AB$10,$A260,$B260)</f>
        <v>5747.6947433686746</v>
      </c>
      <c r="AC260" s="4">
        <f ca="1">_xll.DBRW($B$1,$B$2,$B$7,$B$3,$B$4,$B$5,$F260,$B$6,AC$10,$A260,$B260)</f>
        <v>6560.1000979511236</v>
      </c>
      <c r="AD260" s="4">
        <f ca="1">_xll.DBRW($B$1,$B$2,$B$7,$B$3,$B$4,$B$5,$F260,$B$6,AD$10,$A260,$B260)</f>
        <v>8868.6095385677145</v>
      </c>
      <c r="AE260" s="4">
        <f ca="1">_xll.DBRW($B$1,$B$2,$B$7,$B$3,$B$4,$B$5,$F260,$B$6,AE$10,$A260,$B260)</f>
        <v>8218.1197309820236</v>
      </c>
    </row>
    <row r="261" spans="1:31">
      <c r="A261" s="1" t="s">
        <v>151</v>
      </c>
      <c r="B261" s="5" t="s">
        <v>178</v>
      </c>
      <c r="C261" s="5" t="s">
        <v>177</v>
      </c>
      <c r="D261" s="5" t="s">
        <v>28</v>
      </c>
      <c r="E261" s="5" t="s">
        <v>59</v>
      </c>
      <c r="F261" s="5" t="s">
        <v>25</v>
      </c>
      <c r="G261" s="6"/>
      <c r="H261" s="6"/>
      <c r="I261" s="6"/>
      <c r="J261" s="6"/>
      <c r="K261" s="6"/>
      <c r="L261" s="4">
        <f ca="1">_xll.DBRW($B$1,$B$2,$B$7,$B$3,$B$4,$B$5,$F261,$B$6,L$10,$A261,$B261)</f>
        <v>5487.3394189140981</v>
      </c>
      <c r="M261" s="4">
        <f ca="1">_xll.DBRW($B$1,$B$2,$B$7,$B$3,$B$4,$B$5,$F261,$B$6,M$10,$A261,$B261)</f>
        <v>3344.0234402768442</v>
      </c>
      <c r="N261" s="4">
        <f ca="1">_xll.DBRW($B$1,$B$2,$B$7,$B$3,$B$4,$B$5,$F261,$B$6,N$10,$A261,$B261)</f>
        <v>5450.2803402372065</v>
      </c>
      <c r="O261" s="4">
        <f ca="1">_xll.DBRW($B$1,$B$2,$B$7,$B$3,$B$4,$B$5,$F261,$B$6,O$10,$A261,$B261)</f>
        <v>6464.7544685184739</v>
      </c>
      <c r="P261" s="4">
        <f ca="1">_xll.DBRW($B$1,$B$2,$B$7,$B$3,$B$4,$B$5,$F261,$B$6,P$10,$A261,$B261)</f>
        <v>5051.2140179783009</v>
      </c>
      <c r="Q261" s="4">
        <f ca="1">_xll.DBRW($B$1,$B$2,$B$7,$B$3,$B$4,$B$5,$F261,$B$6,Q$10,$A261,$B261)</f>
        <v>4266.8290834680683</v>
      </c>
      <c r="R261" s="4">
        <f ca="1">_xll.DBRW($B$1,$B$2,$B$7,$B$3,$B$4,$B$5,$F261,$B$6,R$10,$A261,$B261)</f>
        <v>0</v>
      </c>
      <c r="S261" s="4">
        <f ca="1">_xll.DBRW($B$1,$B$2,$B$7,$B$3,$B$4,$B$5,$F261,$B$6,S$10,$A261,$B261)</f>
        <v>0</v>
      </c>
      <c r="T261" s="4">
        <f ca="1">_xll.DBRW($B$1,$B$2,$B$7,$B$3,$B$4,$B$5,$F261,$B$6,T$10,$A261,$B261)</f>
        <v>0</v>
      </c>
      <c r="U261" s="4">
        <f ca="1">_xll.DBRW($B$1,$B$2,$B$7,$B$3,$B$4,$B$5,$F261,$B$6,U$10,$A261,$B261)</f>
        <v>0</v>
      </c>
      <c r="V261" s="4">
        <f ca="1">_xll.DBRW($B$1,$B$2,$B$7,$B$3,$B$4,$B$5,$F261,$B$6,V$10,$A261,$B261)</f>
        <v>0</v>
      </c>
      <c r="W261" s="4">
        <f ca="1">_xll.DBRW($B$1,$B$2,$B$7,$B$3,$B$4,$B$5,$F261,$B$6,W$10,$A261,$B261)</f>
        <v>2717.3733445964017</v>
      </c>
      <c r="X261" s="4">
        <f ca="1">_xll.DBRW($B$1,$B$2,$B$7,$B$3,$B$4,$B$5,$F261,$B$6,X$10,$A261,$B261)</f>
        <v>1833.5702833240839</v>
      </c>
      <c r="Y261" s="4">
        <f ca="1">_xll.DBRW($B$1,$B$2,$B$7,$B$3,$B$4,$B$5,$F261,$B$6,Y$10,$A261,$B261)</f>
        <v>1977.429633128987</v>
      </c>
      <c r="Z261" s="4">
        <f ca="1">_xll.DBRW($B$1,$B$2,$B$7,$B$3,$B$4,$B$5,$F261,$B$6,Z$10,$A261,$B261)</f>
        <v>2851.5809204733946</v>
      </c>
      <c r="AA261" s="4">
        <f ca="1">_xll.DBRW($B$1,$B$2,$B$7,$B$3,$B$4,$B$5,$F261,$B$6,AA$10,$A261,$B261)</f>
        <v>2521.7153853546233</v>
      </c>
      <c r="AB261" s="4">
        <f ca="1">_xll.DBRW($B$1,$B$2,$B$7,$B$3,$B$4,$B$5,$F261,$B$6,AB$10,$A261,$B261)</f>
        <v>2281.1407224360069</v>
      </c>
      <c r="AC261" s="4">
        <f ca="1">_xll.DBRW($B$1,$B$2,$B$7,$B$3,$B$4,$B$5,$F261,$B$6,AC$10,$A261,$B261)</f>
        <v>1881.9959297400765</v>
      </c>
      <c r="AD261" s="4">
        <f ca="1">_xll.DBRW($B$1,$B$2,$B$7,$B$3,$B$4,$B$5,$F261,$B$6,AD$10,$A261,$B261)</f>
        <v>0</v>
      </c>
      <c r="AE261" s="4">
        <f ca="1">_xll.DBRW($B$1,$B$2,$B$7,$B$3,$B$4,$B$5,$F261,$B$6,AE$10,$A261,$B261)</f>
        <v>0</v>
      </c>
    </row>
    <row r="262" spans="1:31">
      <c r="A262" s="1" t="s">
        <v>151</v>
      </c>
      <c r="B262" s="5" t="s">
        <v>66</v>
      </c>
      <c r="C262" s="5" t="s">
        <v>65</v>
      </c>
      <c r="D262" s="5" t="s">
        <v>59</v>
      </c>
      <c r="E262" s="5" t="s">
        <v>28</v>
      </c>
      <c r="F262" s="5" t="s">
        <v>25</v>
      </c>
      <c r="G262" s="6"/>
      <c r="H262" s="6"/>
      <c r="I262" s="6"/>
      <c r="J262" s="6"/>
      <c r="K262" s="6"/>
      <c r="L262" s="4">
        <f ca="1">_xll.DBRW($B$1,$B$2,$B$7,$B$3,$B$4,$B$5,$F262,$B$6,L$10,$A262,$B262)</f>
        <v>5597.1646538887908</v>
      </c>
      <c r="M262" s="4">
        <f ca="1">_xll.DBRW($B$1,$B$2,$B$7,$B$3,$B$4,$B$5,$F262,$B$6,M$10,$A262,$B262)</f>
        <v>2684.6801801692081</v>
      </c>
      <c r="N262" s="4">
        <f ca="1">_xll.DBRW($B$1,$B$2,$B$7,$B$3,$B$4,$B$5,$F262,$B$6,N$10,$A262,$B262)</f>
        <v>5221.5726435842571</v>
      </c>
      <c r="O262" s="4">
        <f ca="1">_xll.DBRW($B$1,$B$2,$B$7,$B$3,$B$4,$B$5,$F262,$B$6,O$10,$A262,$B262)</f>
        <v>6464.7544685184739</v>
      </c>
      <c r="P262" s="4">
        <f ca="1">_xll.DBRW($B$1,$B$2,$B$7,$B$3,$B$4,$B$5,$F262,$B$6,P$10,$A262,$B262)</f>
        <v>4366.2441059436915</v>
      </c>
      <c r="Q262" s="4">
        <f ca="1">_xll.DBRW($B$1,$B$2,$B$7,$B$3,$B$4,$B$5,$F262,$B$6,Q$10,$A262,$B262)</f>
        <v>4054.7924699929736</v>
      </c>
      <c r="R262" s="4">
        <f ca="1">_xll.DBRW($B$1,$B$2,$B$7,$B$3,$B$4,$B$5,$F262,$B$6,R$10,$A262,$B262)</f>
        <v>0</v>
      </c>
      <c r="S262" s="4">
        <f ca="1">_xll.DBRW($B$1,$B$2,$B$7,$B$3,$B$4,$B$5,$F262,$B$6,S$10,$A262,$B262)</f>
        <v>0</v>
      </c>
      <c r="T262" s="4">
        <f ca="1">_xll.DBRW($B$1,$B$2,$B$7,$B$3,$B$4,$B$5,$F262,$B$6,T$10,$A262,$B262)</f>
        <v>0</v>
      </c>
      <c r="U262" s="4">
        <f ca="1">_xll.DBRW($B$1,$B$2,$B$7,$B$3,$B$4,$B$5,$F262,$B$6,U$10,$A262,$B262)</f>
        <v>0</v>
      </c>
      <c r="V262" s="4">
        <f ca="1">_xll.DBRW($B$1,$B$2,$B$7,$B$3,$B$4,$B$5,$F262,$B$6,V$10,$A262,$B262)</f>
        <v>0</v>
      </c>
      <c r="W262" s="4">
        <f ca="1">_xll.DBRW($B$1,$B$2,$B$7,$B$3,$B$4,$B$5,$F262,$B$6,W$10,$A262,$B262)</f>
        <v>2717.3733445964017</v>
      </c>
      <c r="X262" s="4">
        <f ca="1">_xll.DBRW($B$1,$B$2,$B$7,$B$3,$B$4,$B$5,$F262,$B$6,X$10,$A262,$B262)</f>
        <v>1833.5702833240839</v>
      </c>
      <c r="Y262" s="4">
        <f ca="1">_xll.DBRW($B$1,$B$2,$B$7,$B$3,$B$4,$B$5,$F262,$B$6,Y$10,$A262,$B262)</f>
        <v>1977.429633128987</v>
      </c>
      <c r="Z262" s="4">
        <f ca="1">_xll.DBRW($B$1,$B$2,$B$7,$B$3,$B$4,$B$5,$F262,$B$6,Z$10,$A262,$B262)</f>
        <v>2851.5809204733946</v>
      </c>
      <c r="AA262" s="4">
        <f ca="1">_xll.DBRW($B$1,$B$2,$B$7,$B$3,$B$4,$B$5,$F262,$B$6,AA$10,$A262,$B262)</f>
        <v>2521.7153853546233</v>
      </c>
      <c r="AB262" s="4">
        <f ca="1">_xll.DBRW($B$1,$B$2,$B$7,$B$3,$B$4,$B$5,$F262,$B$6,AB$10,$A262,$B262)</f>
        <v>2281.1407224360069</v>
      </c>
      <c r="AC262" s="4">
        <f ca="1">_xll.DBRW($B$1,$B$2,$B$7,$B$3,$B$4,$B$5,$F262,$B$6,AC$10,$A262,$B262)</f>
        <v>1881.9959297400765</v>
      </c>
      <c r="AD262" s="4">
        <f ca="1">_xll.DBRW($B$1,$B$2,$B$7,$B$3,$B$4,$B$5,$F262,$B$6,AD$10,$A262,$B262)</f>
        <v>0</v>
      </c>
      <c r="AE262" s="4">
        <f ca="1">_xll.DBRW($B$1,$B$2,$B$7,$B$3,$B$4,$B$5,$F262,$B$6,AE$10,$A262,$B262)</f>
        <v>0</v>
      </c>
    </row>
    <row r="263" spans="1:31">
      <c r="A263" s="1" t="s">
        <v>151</v>
      </c>
      <c r="B263" s="5" t="s">
        <v>179</v>
      </c>
      <c r="C263" s="5" t="s">
        <v>180</v>
      </c>
      <c r="D263" s="5" t="s">
        <v>28</v>
      </c>
      <c r="E263" s="5" t="s">
        <v>181</v>
      </c>
      <c r="F263" s="5" t="s">
        <v>25</v>
      </c>
      <c r="G263" s="6"/>
      <c r="H263" s="6"/>
      <c r="I263" s="6"/>
      <c r="J263" s="6"/>
      <c r="K263" s="6"/>
      <c r="L263" s="4">
        <f ca="1">_xll.DBRW($B$1,$B$2,$B$7,$B$3,$B$4,$B$5,$F263,$B$6,L$10,$A263,$B263)</f>
        <v>0</v>
      </c>
      <c r="M263" s="4">
        <f ca="1">_xll.DBRW($B$1,$B$2,$B$7,$B$3,$B$4,$B$5,$F263,$B$6,M$10,$A263,$B263)</f>
        <v>0</v>
      </c>
      <c r="N263" s="4">
        <f ca="1">_xll.DBRW($B$1,$B$2,$B$7,$B$3,$B$4,$B$5,$F263,$B$6,N$10,$A263,$B263)</f>
        <v>0</v>
      </c>
      <c r="O263" s="4">
        <f ca="1">_xll.DBRW($B$1,$B$2,$B$7,$B$3,$B$4,$B$5,$F263,$B$6,O$10,$A263,$B263)</f>
        <v>0</v>
      </c>
      <c r="P263" s="4">
        <f ca="1">_xll.DBRW($B$1,$B$2,$B$7,$B$3,$B$4,$B$5,$F263,$B$6,P$10,$A263,$B263)</f>
        <v>0</v>
      </c>
      <c r="Q263" s="4">
        <f ca="1">_xll.DBRW($B$1,$B$2,$B$7,$B$3,$B$4,$B$5,$F263,$B$6,Q$10,$A263,$B263)</f>
        <v>835.59990872433968</v>
      </c>
      <c r="R263" s="4">
        <f ca="1">_xll.DBRW($B$1,$B$2,$B$7,$B$3,$B$4,$B$5,$F263,$B$6,R$10,$A263,$B263)</f>
        <v>2619.5628051013528</v>
      </c>
      <c r="S263" s="4">
        <f ca="1">_xll.DBRW($B$1,$B$2,$B$7,$B$3,$B$4,$B$5,$F263,$B$6,S$10,$A263,$B263)</f>
        <v>2406.6397149615673</v>
      </c>
      <c r="T263" s="4">
        <f ca="1">_xll.DBRW($B$1,$B$2,$B$7,$B$3,$B$4,$B$5,$F263,$B$6,T$10,$A263,$B263)</f>
        <v>2437.7817530263965</v>
      </c>
      <c r="U263" s="4">
        <f ca="1">_xll.DBRW($B$1,$B$2,$B$7,$B$3,$B$4,$B$5,$F263,$B$6,U$10,$A263,$B263)</f>
        <v>2610.0056856942388</v>
      </c>
      <c r="V263" s="4">
        <f ca="1">_xll.DBRW($B$1,$B$2,$B$7,$B$3,$B$4,$B$5,$F263,$B$6,V$10,$A263,$B263)</f>
        <v>2281.6814373425705</v>
      </c>
      <c r="W263" s="4">
        <f ca="1">_xll.DBRW($B$1,$B$2,$B$7,$B$3,$B$4,$B$5,$F263,$B$6,W$10,$A263,$B263)</f>
        <v>0</v>
      </c>
      <c r="X263" s="4">
        <f ca="1">_xll.DBRW($B$1,$B$2,$B$7,$B$3,$B$4,$B$5,$F263,$B$6,X$10,$A263,$B263)</f>
        <v>0</v>
      </c>
      <c r="Y263" s="4">
        <f ca="1">_xll.DBRW($B$1,$B$2,$B$7,$B$3,$B$4,$B$5,$F263,$B$6,Y$10,$A263,$B263)</f>
        <v>0</v>
      </c>
      <c r="Z263" s="4">
        <f ca="1">_xll.DBRW($B$1,$B$2,$B$7,$B$3,$B$4,$B$5,$F263,$B$6,Z$10,$A263,$B263)</f>
        <v>0</v>
      </c>
      <c r="AA263" s="4">
        <f ca="1">_xll.DBRW($B$1,$B$2,$B$7,$B$3,$B$4,$B$5,$F263,$B$6,AA$10,$A263,$B263)</f>
        <v>0</v>
      </c>
      <c r="AB263" s="4">
        <f ca="1">_xll.DBRW($B$1,$B$2,$B$7,$B$3,$B$4,$B$5,$F263,$B$6,AB$10,$A263,$B263)</f>
        <v>0</v>
      </c>
      <c r="AC263" s="4">
        <f ca="1">_xll.DBRW($B$1,$B$2,$B$7,$B$3,$B$4,$B$5,$F263,$B$6,AC$10,$A263,$B263)</f>
        <v>507.52432334941858</v>
      </c>
      <c r="AD263" s="4">
        <f ca="1">_xll.DBRW($B$1,$B$2,$B$7,$B$3,$B$4,$B$5,$F263,$B$6,AD$10,$A263,$B263)</f>
        <v>2932.7318288782085</v>
      </c>
      <c r="AE263" s="4">
        <f ca="1">_xll.DBRW($B$1,$B$2,$B$7,$B$3,$B$4,$B$5,$F263,$B$6,AE$10,$A263,$B263)</f>
        <v>2749.6206882179986</v>
      </c>
    </row>
    <row r="264" spans="1:31">
      <c r="A264" s="1" t="s">
        <v>151</v>
      </c>
      <c r="B264" s="5" t="s">
        <v>182</v>
      </c>
      <c r="C264" s="5" t="s">
        <v>183</v>
      </c>
      <c r="D264" s="5" t="s">
        <v>181</v>
      </c>
      <c r="E264" s="5" t="s">
        <v>28</v>
      </c>
      <c r="F264" s="5" t="s">
        <v>25</v>
      </c>
      <c r="G264" s="6"/>
      <c r="H264" s="6"/>
      <c r="I264" s="6"/>
      <c r="J264" s="6"/>
      <c r="K264" s="6"/>
      <c r="L264" s="4">
        <f ca="1">_xll.DBRW($B$1,$B$2,$B$7,$B$3,$B$4,$B$5,$F264,$B$6,L$10,$A264,$B264)</f>
        <v>0</v>
      </c>
      <c r="M264" s="4">
        <f ca="1">_xll.DBRW($B$1,$B$2,$B$7,$B$3,$B$4,$B$5,$F264,$B$6,M$10,$A264,$B264)</f>
        <v>0</v>
      </c>
      <c r="N264" s="4">
        <f ca="1">_xll.DBRW($B$1,$B$2,$B$7,$B$3,$B$4,$B$5,$F264,$B$6,N$10,$A264,$B264)</f>
        <v>0</v>
      </c>
      <c r="O264" s="4">
        <f ca="1">_xll.DBRW($B$1,$B$2,$B$7,$B$3,$B$4,$B$5,$F264,$B$6,O$10,$A264,$B264)</f>
        <v>0</v>
      </c>
      <c r="P264" s="4">
        <f ca="1">_xll.DBRW($B$1,$B$2,$B$7,$B$3,$B$4,$B$5,$F264,$B$6,P$10,$A264,$B264)</f>
        <v>0</v>
      </c>
      <c r="Q264" s="4">
        <f ca="1">_xll.DBRW($B$1,$B$2,$B$7,$B$3,$B$4,$B$5,$F264,$B$6,Q$10,$A264,$B264)</f>
        <v>835.59990872433968</v>
      </c>
      <c r="R264" s="4">
        <f ca="1">_xll.DBRW($B$1,$B$2,$B$7,$B$3,$B$4,$B$5,$F264,$B$6,R$10,$A264,$B264)</f>
        <v>2619.5628051013528</v>
      </c>
      <c r="S264" s="4">
        <f ca="1">_xll.DBRW($B$1,$B$2,$B$7,$B$3,$B$4,$B$5,$F264,$B$6,S$10,$A264,$B264)</f>
        <v>2406.6397149615673</v>
      </c>
      <c r="T264" s="4">
        <f ca="1">_xll.DBRW($B$1,$B$2,$B$7,$B$3,$B$4,$B$5,$F264,$B$6,T$10,$A264,$B264)</f>
        <v>2437.7817530263965</v>
      </c>
      <c r="U264" s="4">
        <f ca="1">_xll.DBRW($B$1,$B$2,$B$7,$B$3,$B$4,$B$5,$F264,$B$6,U$10,$A264,$B264)</f>
        <v>2610.0056856942388</v>
      </c>
      <c r="V264" s="4">
        <f ca="1">_xll.DBRW($B$1,$B$2,$B$7,$B$3,$B$4,$B$5,$F264,$B$6,V$10,$A264,$B264)</f>
        <v>2281.6814373425705</v>
      </c>
      <c r="W264" s="4">
        <f ca="1">_xll.DBRW($B$1,$B$2,$B$7,$B$3,$B$4,$B$5,$F264,$B$6,W$10,$A264,$B264)</f>
        <v>0</v>
      </c>
      <c r="X264" s="4">
        <f ca="1">_xll.DBRW($B$1,$B$2,$B$7,$B$3,$B$4,$B$5,$F264,$B$6,X$10,$A264,$B264)</f>
        <v>0</v>
      </c>
      <c r="Y264" s="4">
        <f ca="1">_xll.DBRW($B$1,$B$2,$B$7,$B$3,$B$4,$B$5,$F264,$B$6,Y$10,$A264,$B264)</f>
        <v>0</v>
      </c>
      <c r="Z264" s="4">
        <f ca="1">_xll.DBRW($B$1,$B$2,$B$7,$B$3,$B$4,$B$5,$F264,$B$6,Z$10,$A264,$B264)</f>
        <v>0</v>
      </c>
      <c r="AA264" s="4">
        <f ca="1">_xll.DBRW($B$1,$B$2,$B$7,$B$3,$B$4,$B$5,$F264,$B$6,AA$10,$A264,$B264)</f>
        <v>0</v>
      </c>
      <c r="AB264" s="4">
        <f ca="1">_xll.DBRW($B$1,$B$2,$B$7,$B$3,$B$4,$B$5,$F264,$B$6,AB$10,$A264,$B264)</f>
        <v>0</v>
      </c>
      <c r="AC264" s="4">
        <f ca="1">_xll.DBRW($B$1,$B$2,$B$7,$B$3,$B$4,$B$5,$F264,$B$6,AC$10,$A264,$B264)</f>
        <v>507.52432334941858</v>
      </c>
      <c r="AD264" s="4">
        <f ca="1">_xll.DBRW($B$1,$B$2,$B$7,$B$3,$B$4,$B$5,$F264,$B$6,AD$10,$A264,$B264)</f>
        <v>2932.7318288782085</v>
      </c>
      <c r="AE264" s="4">
        <f ca="1">_xll.DBRW($B$1,$B$2,$B$7,$B$3,$B$4,$B$5,$F264,$B$6,AE$10,$A264,$B264)</f>
        <v>2749.6206882179986</v>
      </c>
    </row>
    <row r="265" spans="1:31">
      <c r="A265" s="1" t="s">
        <v>151</v>
      </c>
      <c r="B265" s="5" t="s">
        <v>184</v>
      </c>
      <c r="C265" s="5" t="s">
        <v>185</v>
      </c>
      <c r="D265" s="5" t="s">
        <v>28</v>
      </c>
      <c r="E265" s="5" t="s">
        <v>49</v>
      </c>
      <c r="F265" s="5" t="s">
        <v>25</v>
      </c>
      <c r="G265" s="6"/>
      <c r="H265" s="6"/>
      <c r="I265" s="6"/>
      <c r="J265" s="6"/>
      <c r="K265" s="6"/>
      <c r="L265" s="4">
        <f ca="1">_xll.DBRW($B$1,$B$2,$B$7,$B$3,$B$4,$B$5,$F265,$B$6,L$10,$A265,$B265)</f>
        <v>0</v>
      </c>
      <c r="M265" s="4">
        <f ca="1">_xll.DBRW($B$1,$B$2,$B$7,$B$3,$B$4,$B$5,$F265,$B$6,M$10,$A265,$B265)</f>
        <v>2756.8643502876876</v>
      </c>
      <c r="N265" s="4">
        <f ca="1">_xll.DBRW($B$1,$B$2,$B$7,$B$3,$B$4,$B$5,$F265,$B$6,N$10,$A265,$B265)</f>
        <v>2590.9314777969826</v>
      </c>
      <c r="O265" s="4">
        <f ca="1">_xll.DBRW($B$1,$B$2,$B$7,$B$3,$B$4,$B$5,$F265,$B$6,O$10,$A265,$B265)</f>
        <v>2205.8217346650958</v>
      </c>
      <c r="P265" s="4">
        <f ca="1">_xll.DBRW($B$1,$B$2,$B$7,$B$3,$B$4,$B$5,$F265,$B$6,P$10,$A265,$B265)</f>
        <v>3392.2319453142582</v>
      </c>
      <c r="Q265" s="4">
        <f ca="1">_xll.DBRW($B$1,$B$2,$B$7,$B$3,$B$4,$B$5,$F265,$B$6,Q$10,$A265,$B265)</f>
        <v>2224.7533906156141</v>
      </c>
      <c r="R265" s="4">
        <f ca="1">_xll.DBRW($B$1,$B$2,$B$7,$B$3,$B$4,$B$5,$F265,$B$6,R$10,$A265,$B265)</f>
        <v>0</v>
      </c>
      <c r="S265" s="4">
        <f ca="1">_xll.DBRW($B$1,$B$2,$B$7,$B$3,$B$4,$B$5,$F265,$B$6,S$10,$A265,$B265)</f>
        <v>0</v>
      </c>
      <c r="T265" s="4">
        <f ca="1">_xll.DBRW($B$1,$B$2,$B$7,$B$3,$B$4,$B$5,$F265,$B$6,T$10,$A265,$B265)</f>
        <v>0</v>
      </c>
      <c r="U265" s="4">
        <f ca="1">_xll.DBRW($B$1,$B$2,$B$7,$B$3,$B$4,$B$5,$F265,$B$6,U$10,$A265,$B265)</f>
        <v>0</v>
      </c>
      <c r="V265" s="4">
        <f ca="1">_xll.DBRW($B$1,$B$2,$B$7,$B$3,$B$4,$B$5,$F265,$B$6,V$10,$A265,$B265)</f>
        <v>239.99544835286218</v>
      </c>
      <c r="W265" s="4">
        <f ca="1">_xll.DBRW($B$1,$B$2,$B$7,$B$3,$B$4,$B$5,$F265,$B$6,W$10,$A265,$B265)</f>
        <v>3439.6193486157322</v>
      </c>
      <c r="X265" s="4">
        <f ca="1">_xll.DBRW($B$1,$B$2,$B$7,$B$3,$B$4,$B$5,$F265,$B$6,X$10,$A265,$B265)</f>
        <v>3029.8526930908761</v>
      </c>
      <c r="Y265" s="4">
        <f ca="1">_xll.DBRW($B$1,$B$2,$B$7,$B$3,$B$4,$B$5,$F265,$B$6,Y$10,$A265,$B265)</f>
        <v>3909.8221917713136</v>
      </c>
      <c r="Z265" s="4">
        <f ca="1">_xll.DBRW($B$1,$B$2,$B$7,$B$3,$B$4,$B$5,$F265,$B$6,Z$10,$A265,$B265)</f>
        <v>3250.8550591429998</v>
      </c>
      <c r="AA265" s="4">
        <f ca="1">_xll.DBRW($B$1,$B$2,$B$7,$B$3,$B$4,$B$5,$F265,$B$6,AA$10,$A265,$B265)</f>
        <v>3389.259489333725</v>
      </c>
      <c r="AB265" s="4">
        <f ca="1">_xll.DBRW($B$1,$B$2,$B$7,$B$3,$B$4,$B$5,$F265,$B$6,AB$10,$A265,$B265)</f>
        <v>2741.1508066209954</v>
      </c>
      <c r="AC265" s="4">
        <f ca="1">_xll.DBRW($B$1,$B$2,$B$7,$B$3,$B$4,$B$5,$F265,$B$6,AC$10,$A265,$B265)</f>
        <v>3411.0373535054914</v>
      </c>
      <c r="AD265" s="4">
        <f ca="1">_xll.DBRW($B$1,$B$2,$B$7,$B$3,$B$4,$B$5,$F265,$B$6,AD$10,$A265,$B265)</f>
        <v>0</v>
      </c>
      <c r="AE265" s="4">
        <f ca="1">_xll.DBRW($B$1,$B$2,$B$7,$B$3,$B$4,$B$5,$F265,$B$6,AE$10,$A265,$B265)</f>
        <v>0</v>
      </c>
    </row>
    <row r="266" spans="1:31">
      <c r="A266" s="1" t="s">
        <v>151</v>
      </c>
      <c r="B266" s="5" t="s">
        <v>50</v>
      </c>
      <c r="C266" s="5" t="s">
        <v>51</v>
      </c>
      <c r="D266" s="5" t="s">
        <v>49</v>
      </c>
      <c r="E266" s="5" t="s">
        <v>28</v>
      </c>
      <c r="F266" s="5" t="s">
        <v>25</v>
      </c>
      <c r="G266" s="6"/>
      <c r="H266" s="6"/>
      <c r="I266" s="6"/>
      <c r="J266" s="6"/>
      <c r="K266" s="6"/>
      <c r="L266" s="4">
        <f ca="1">_xll.DBRW($B$1,$B$2,$B$7,$B$3,$B$4,$B$5,$F266,$B$6,L$10,$A266,$B266)</f>
        <v>0</v>
      </c>
      <c r="M266" s="4">
        <f ca="1">_xll.DBRW($B$1,$B$2,$B$7,$B$3,$B$4,$B$5,$F266,$B$6,M$10,$A266,$B266)</f>
        <v>2756.8643502876876</v>
      </c>
      <c r="N266" s="4">
        <f ca="1">_xll.DBRW($B$1,$B$2,$B$7,$B$3,$B$4,$B$5,$F266,$B$6,N$10,$A266,$B266)</f>
        <v>2590.9314777969826</v>
      </c>
      <c r="O266" s="4">
        <f ca="1">_xll.DBRW($B$1,$B$2,$B$7,$B$3,$B$4,$B$5,$F266,$B$6,O$10,$A266,$B266)</f>
        <v>2205.8217346650958</v>
      </c>
      <c r="P266" s="4">
        <f ca="1">_xll.DBRW($B$1,$B$2,$B$7,$B$3,$B$4,$B$5,$F266,$B$6,P$10,$A266,$B266)</f>
        <v>3392.2319453142582</v>
      </c>
      <c r="Q266" s="4">
        <f ca="1">_xll.DBRW($B$1,$B$2,$B$7,$B$3,$B$4,$B$5,$F266,$B$6,Q$10,$A266,$B266)</f>
        <v>2224.7533906156141</v>
      </c>
      <c r="R266" s="4">
        <f ca="1">_xll.DBRW($B$1,$B$2,$B$7,$B$3,$B$4,$B$5,$F266,$B$6,R$10,$A266,$B266)</f>
        <v>0</v>
      </c>
      <c r="S266" s="4">
        <f ca="1">_xll.DBRW($B$1,$B$2,$B$7,$B$3,$B$4,$B$5,$F266,$B$6,S$10,$A266,$B266)</f>
        <v>0</v>
      </c>
      <c r="T266" s="4">
        <f ca="1">_xll.DBRW($B$1,$B$2,$B$7,$B$3,$B$4,$B$5,$F266,$B$6,T$10,$A266,$B266)</f>
        <v>0</v>
      </c>
      <c r="U266" s="4">
        <f ca="1">_xll.DBRW($B$1,$B$2,$B$7,$B$3,$B$4,$B$5,$F266,$B$6,U$10,$A266,$B266)</f>
        <v>0</v>
      </c>
      <c r="V266" s="4">
        <f ca="1">_xll.DBRW($B$1,$B$2,$B$7,$B$3,$B$4,$B$5,$F266,$B$6,V$10,$A266,$B266)</f>
        <v>239.99544835286218</v>
      </c>
      <c r="W266" s="4">
        <f ca="1">_xll.DBRW($B$1,$B$2,$B$7,$B$3,$B$4,$B$5,$F266,$B$6,W$10,$A266,$B266)</f>
        <v>3439.6193486157322</v>
      </c>
      <c r="X266" s="4">
        <f ca="1">_xll.DBRW($B$1,$B$2,$B$7,$B$3,$B$4,$B$5,$F266,$B$6,X$10,$A266,$B266)</f>
        <v>3029.8526930908761</v>
      </c>
      <c r="Y266" s="4">
        <f ca="1">_xll.DBRW($B$1,$B$2,$B$7,$B$3,$B$4,$B$5,$F266,$B$6,Y$10,$A266,$B266)</f>
        <v>3909.8221917713136</v>
      </c>
      <c r="Z266" s="4">
        <f ca="1">_xll.DBRW($B$1,$B$2,$B$7,$B$3,$B$4,$B$5,$F266,$B$6,Z$10,$A266,$B266)</f>
        <v>3250.8550591429998</v>
      </c>
      <c r="AA266" s="4">
        <f ca="1">_xll.DBRW($B$1,$B$2,$B$7,$B$3,$B$4,$B$5,$F266,$B$6,AA$10,$A266,$B266)</f>
        <v>3389.259489333725</v>
      </c>
      <c r="AB266" s="4">
        <f ca="1">_xll.DBRW($B$1,$B$2,$B$7,$B$3,$B$4,$B$5,$F266,$B$6,AB$10,$A266,$B266)</f>
        <v>2741.1508066209954</v>
      </c>
      <c r="AC266" s="4">
        <f ca="1">_xll.DBRW($B$1,$B$2,$B$7,$B$3,$B$4,$B$5,$F266,$B$6,AC$10,$A266,$B266)</f>
        <v>3411.0373535054914</v>
      </c>
      <c r="AD266" s="4">
        <f ca="1">_xll.DBRW($B$1,$B$2,$B$7,$B$3,$B$4,$B$5,$F266,$B$6,AD$10,$A266,$B266)</f>
        <v>0</v>
      </c>
      <c r="AE266" s="4">
        <f ca="1">_xll.DBRW($B$1,$B$2,$B$7,$B$3,$B$4,$B$5,$F266,$B$6,AE$10,$A266,$B266)</f>
        <v>0</v>
      </c>
    </row>
    <row r="267" spans="1:31">
      <c r="A267" s="1" t="s">
        <v>151</v>
      </c>
      <c r="B267" s="5" t="s">
        <v>186</v>
      </c>
      <c r="C267" s="5" t="s">
        <v>187</v>
      </c>
      <c r="D267" s="5" t="s">
        <v>21</v>
      </c>
      <c r="E267" s="5" t="s">
        <v>59</v>
      </c>
      <c r="F267" s="5" t="s">
        <v>25</v>
      </c>
      <c r="G267" s="6"/>
      <c r="H267" s="6"/>
      <c r="I267" s="6"/>
      <c r="J267" s="6"/>
      <c r="K267" s="6"/>
      <c r="L267" s="4">
        <f ca="1">_xll.DBRW($B$1,$B$2,$B$7,$B$3,$B$4,$B$5,$F267,$B$6,L$10,$A267,$B267)</f>
        <v>5929.0541002408845</v>
      </c>
      <c r="M267" s="4">
        <f ca="1">_xll.DBRW($B$1,$B$2,$B$7,$B$3,$B$4,$B$5,$F267,$B$6,M$10,$A267,$B267)</f>
        <v>4796.6788863899719</v>
      </c>
      <c r="N267" s="4">
        <f ca="1">_xll.DBRW($B$1,$B$2,$B$7,$B$3,$B$4,$B$5,$F267,$B$6,N$10,$A267,$B267)</f>
        <v>5287.9230083275315</v>
      </c>
      <c r="O267" s="4">
        <f ca="1">_xll.DBRW($B$1,$B$2,$B$7,$B$3,$B$4,$B$5,$F267,$B$6,O$10,$A267,$B267)</f>
        <v>5427.1045992529407</v>
      </c>
      <c r="P267" s="4">
        <f ca="1">_xll.DBRW($B$1,$B$2,$B$7,$B$3,$B$4,$B$5,$F267,$B$6,P$10,$A267,$B267)</f>
        <v>4905.6892747621569</v>
      </c>
      <c r="Q267" s="4">
        <f ca="1">_xll.DBRW($B$1,$B$2,$B$7,$B$3,$B$4,$B$5,$F267,$B$6,Q$10,$A267,$B267)</f>
        <v>5619.2462810838961</v>
      </c>
      <c r="R267" s="4">
        <f ca="1">_xll.DBRW($B$1,$B$2,$B$7,$B$3,$B$4,$B$5,$F267,$B$6,R$10,$A267,$B267)</f>
        <v>5955.5953804258979</v>
      </c>
      <c r="S267" s="4">
        <f ca="1">_xll.DBRW($B$1,$B$2,$B$7,$B$3,$B$4,$B$5,$F267,$B$6,S$10,$A267,$B267)</f>
        <v>5403.6770556931106</v>
      </c>
      <c r="T267" s="4">
        <f ca="1">_xll.DBRW($B$1,$B$2,$B$7,$B$3,$B$4,$B$5,$F267,$B$6,T$10,$A267,$B267)</f>
        <v>8374.0849473864891</v>
      </c>
      <c r="U267" s="4">
        <f ca="1">_xll.DBRW($B$1,$B$2,$B$7,$B$3,$B$4,$B$5,$F267,$B$6,U$10,$A267,$B267)</f>
        <v>8096.0049224374525</v>
      </c>
      <c r="V267" s="4">
        <f ca="1">_xll.DBRW($B$1,$B$2,$B$7,$B$3,$B$4,$B$5,$F267,$B$6,V$10,$A267,$B267)</f>
        <v>7786.861788302419</v>
      </c>
      <c r="W267" s="4">
        <f ca="1">_xll.DBRW($B$1,$B$2,$B$7,$B$3,$B$4,$B$5,$F267,$B$6,W$10,$A267,$B267)</f>
        <v>6103.106294757099</v>
      </c>
      <c r="X267" s="4">
        <f ca="1">_xll.DBRW($B$1,$B$2,$B$7,$B$3,$B$4,$B$5,$F267,$B$6,X$10,$A267,$B267)</f>
        <v>7306.0539021332961</v>
      </c>
      <c r="Y267" s="4">
        <f ca="1">_xll.DBRW($B$1,$B$2,$B$7,$B$3,$B$4,$B$5,$F267,$B$6,Y$10,$A267,$B267)</f>
        <v>6267.0687588028968</v>
      </c>
      <c r="Z267" s="4">
        <f ca="1">_xll.DBRW($B$1,$B$2,$B$7,$B$3,$B$4,$B$5,$F267,$B$6,Z$10,$A267,$B267)</f>
        <v>7042.7783311163712</v>
      </c>
      <c r="AA267" s="4">
        <f ca="1">_xll.DBRW($B$1,$B$2,$B$7,$B$3,$B$4,$B$5,$F267,$B$6,AA$10,$A267,$B267)</f>
        <v>7146.0989092308628</v>
      </c>
      <c r="AB267" s="4">
        <f ca="1">_xll.DBRW($B$1,$B$2,$B$7,$B$3,$B$4,$B$5,$F267,$B$6,AB$10,$A267,$B267)</f>
        <v>5950.677052245931</v>
      </c>
      <c r="AC267" s="4">
        <f ca="1">_xll.DBRW($B$1,$B$2,$B$7,$B$3,$B$4,$B$5,$F267,$B$6,AC$10,$A267,$B267)</f>
        <v>7030.4024885504068</v>
      </c>
      <c r="AD267" s="4">
        <f ca="1">_xll.DBRW($B$1,$B$2,$B$7,$B$3,$B$4,$B$5,$F267,$B$6,AD$10,$A267,$B267)</f>
        <v>9691.6461412136614</v>
      </c>
      <c r="AE267" s="4">
        <f ca="1">_xll.DBRW($B$1,$B$2,$B$7,$B$3,$B$4,$B$5,$F267,$B$6,AE$10,$A267,$B267)</f>
        <v>9189.5580793111585</v>
      </c>
    </row>
    <row r="268" spans="1:31">
      <c r="A268" s="1" t="s">
        <v>151</v>
      </c>
      <c r="B268" s="5" t="s">
        <v>61</v>
      </c>
      <c r="C268" s="5" t="s">
        <v>62</v>
      </c>
      <c r="D268" s="5" t="s">
        <v>59</v>
      </c>
      <c r="E268" s="5" t="s">
        <v>21</v>
      </c>
      <c r="F268" s="5" t="s">
        <v>25</v>
      </c>
      <c r="G268" s="6"/>
      <c r="H268" s="6"/>
      <c r="I268" s="6"/>
      <c r="J268" s="6"/>
      <c r="K268" s="6"/>
      <c r="L268" s="4">
        <f ca="1">_xll.DBRW($B$1,$B$2,$B$7,$B$3,$B$4,$B$5,$F268,$B$6,L$10,$A268,$B268)</f>
        <v>5807.9647386021206</v>
      </c>
      <c r="M268" s="4">
        <f ca="1">_xll.DBRW($B$1,$B$2,$B$7,$B$3,$B$4,$B$5,$F268,$B$6,M$10,$A268,$B268)</f>
        <v>4906.5864222483342</v>
      </c>
      <c r="N268" s="4">
        <f ca="1">_xll.DBRW($B$1,$B$2,$B$7,$B$3,$B$4,$B$5,$F268,$B$6,N$10,$A268,$B268)</f>
        <v>5287.9230083275315</v>
      </c>
      <c r="O268" s="4">
        <f ca="1">_xll.DBRW($B$1,$B$2,$B$7,$B$3,$B$4,$B$5,$F268,$B$6,O$10,$A268,$B268)</f>
        <v>5427.1045992529407</v>
      </c>
      <c r="P268" s="4">
        <f ca="1">_xll.DBRW($B$1,$B$2,$B$7,$B$3,$B$4,$B$5,$F268,$B$6,P$10,$A268,$B268)</f>
        <v>4905.6892747621569</v>
      </c>
      <c r="Q268" s="4">
        <f ca="1">_xll.DBRW($B$1,$B$2,$B$7,$B$3,$B$4,$B$5,$F268,$B$6,Q$10,$A268,$B268)</f>
        <v>5620.8522388664296</v>
      </c>
      <c r="R268" s="4">
        <f ca="1">_xll.DBRW($B$1,$B$2,$B$7,$B$3,$B$4,$B$5,$F268,$B$6,R$10,$A268,$B268)</f>
        <v>5953.6886746854061</v>
      </c>
      <c r="S268" s="4">
        <f ca="1">_xll.DBRW($B$1,$B$2,$B$7,$B$3,$B$4,$B$5,$F268,$B$6,S$10,$A268,$B268)</f>
        <v>5403.6770556931106</v>
      </c>
      <c r="T268" s="4">
        <f ca="1">_xll.DBRW($B$1,$B$2,$B$7,$B$3,$B$4,$B$5,$F268,$B$6,T$10,$A268,$B268)</f>
        <v>8374.0849473864891</v>
      </c>
      <c r="U268" s="4">
        <f ca="1">_xll.DBRW($B$1,$B$2,$B$7,$B$3,$B$4,$B$5,$F268,$B$6,U$10,$A268,$B268)</f>
        <v>8096.0049224374525</v>
      </c>
      <c r="V268" s="4">
        <f ca="1">_xll.DBRW($B$1,$B$2,$B$7,$B$3,$B$4,$B$5,$F268,$B$6,V$10,$A268,$B268)</f>
        <v>7786.861788302419</v>
      </c>
      <c r="W268" s="4">
        <f ca="1">_xll.DBRW($B$1,$B$2,$B$7,$B$3,$B$4,$B$5,$F268,$B$6,W$10,$A268,$B268)</f>
        <v>6567.1578256551247</v>
      </c>
      <c r="X268" s="4">
        <f ca="1">_xll.DBRW($B$1,$B$2,$B$7,$B$3,$B$4,$B$5,$F268,$B$6,X$10,$A268,$B268)</f>
        <v>7983.3466754736883</v>
      </c>
      <c r="Y268" s="4">
        <f ca="1">_xll.DBRW($B$1,$B$2,$B$7,$B$3,$B$4,$B$5,$F268,$B$6,Y$10,$A268,$B268)</f>
        <v>6743.5225335693403</v>
      </c>
      <c r="Z268" s="4">
        <f ca="1">_xll.DBRW($B$1,$B$2,$B$7,$B$3,$B$4,$B$5,$F268,$B$6,Z$10,$A268,$B268)</f>
        <v>7555.6464540585257</v>
      </c>
      <c r="AA268" s="4">
        <f ca="1">_xll.DBRW($B$1,$B$2,$B$7,$B$3,$B$4,$B$5,$F268,$B$6,AA$10,$A268,$B268)</f>
        <v>7808.5633823419212</v>
      </c>
      <c r="AB268" s="4">
        <f ca="1">_xll.DBRW($B$1,$B$2,$B$7,$B$3,$B$4,$B$5,$F268,$B$6,AB$10,$A268,$B268)</f>
        <v>6411.9060002400784</v>
      </c>
      <c r="AC268" s="4">
        <f ca="1">_xll.DBRW($B$1,$B$2,$B$7,$B$3,$B$4,$B$5,$F268,$B$6,AC$10,$A268,$B268)</f>
        <v>7515.7359936771609</v>
      </c>
      <c r="AD268" s="4">
        <f ca="1">_xll.DBRW($B$1,$B$2,$B$7,$B$3,$B$4,$B$5,$F268,$B$6,AD$10,$A268,$B268)</f>
        <v>9691.6461412136614</v>
      </c>
      <c r="AE268" s="4">
        <f ca="1">_xll.DBRW($B$1,$B$2,$B$7,$B$3,$B$4,$B$5,$F268,$B$6,AE$10,$A268,$B268)</f>
        <v>9189.5580793111585</v>
      </c>
    </row>
    <row r="269" spans="1:31">
      <c r="A269" s="1" t="s">
        <v>151</v>
      </c>
      <c r="B269" s="5" t="s">
        <v>188</v>
      </c>
      <c r="C269" s="5" t="s">
        <v>189</v>
      </c>
      <c r="D269" s="5" t="s">
        <v>21</v>
      </c>
      <c r="E269" s="5" t="s">
        <v>20</v>
      </c>
      <c r="F269" s="5" t="s">
        <v>25</v>
      </c>
      <c r="G269" s="6"/>
      <c r="H269" s="6"/>
      <c r="I269" s="6"/>
      <c r="J269" s="6"/>
      <c r="K269" s="6"/>
      <c r="L269" s="4">
        <f ca="1">_xll.DBRW($B$1,$B$2,$B$7,$B$3,$B$4,$B$5,$F269,$B$6,L$10,$A269,$B269)</f>
        <v>6125.1303622433188</v>
      </c>
      <c r="M269" s="4">
        <f ca="1">_xll.DBRW($B$1,$B$2,$B$7,$B$3,$B$4,$B$5,$F269,$B$6,M$10,$A269,$B269)</f>
        <v>6828.438974131579</v>
      </c>
      <c r="N269" s="4">
        <f ca="1">_xll.DBRW($B$1,$B$2,$B$7,$B$3,$B$4,$B$5,$F269,$B$6,N$10,$A269,$B269)</f>
        <v>6591.3055521101633</v>
      </c>
      <c r="O269" s="4">
        <f ca="1">_xll.DBRW($B$1,$B$2,$B$7,$B$3,$B$4,$B$5,$F269,$B$6,O$10,$A269,$B269)</f>
        <v>5814.8302289226222</v>
      </c>
      <c r="P269" s="4">
        <f ca="1">_xll.DBRW($B$1,$B$2,$B$7,$B$3,$B$4,$B$5,$F269,$B$6,P$10,$A269,$B269)</f>
        <v>5235.8798990249943</v>
      </c>
      <c r="Q269" s="4">
        <f ca="1">_xll.DBRW($B$1,$B$2,$B$7,$B$3,$B$4,$B$5,$F269,$B$6,Q$10,$A269,$B269)</f>
        <v>4937.4369045093981</v>
      </c>
      <c r="R269" s="4">
        <f ca="1">_xll.DBRW($B$1,$B$2,$B$7,$B$3,$B$4,$B$5,$F269,$B$6,R$10,$A269,$B269)</f>
        <v>4396.9035787473986</v>
      </c>
      <c r="S269" s="4">
        <f ca="1">_xll.DBRW($B$1,$B$2,$B$7,$B$3,$B$4,$B$5,$F269,$B$6,S$10,$A269,$B269)</f>
        <v>5645.204269662936</v>
      </c>
      <c r="T269" s="4">
        <f ca="1">_xll.DBRW($B$1,$B$2,$B$7,$B$3,$B$4,$B$5,$F269,$B$6,T$10,$A269,$B269)</f>
        <v>3345.1600746613226</v>
      </c>
      <c r="U269" s="4">
        <f ca="1">_xll.DBRW($B$1,$B$2,$B$7,$B$3,$B$4,$B$5,$F269,$B$6,U$10,$A269,$B269)</f>
        <v>2264.4854041982758</v>
      </c>
      <c r="V269" s="4">
        <f ca="1">_xll.DBRW($B$1,$B$2,$B$7,$B$3,$B$4,$B$5,$F269,$B$6,V$10,$A269,$B269)</f>
        <v>4224.9048060073355</v>
      </c>
      <c r="W269" s="4">
        <f ca="1">_xll.DBRW($B$1,$B$2,$B$7,$B$3,$B$4,$B$5,$F269,$B$6,W$10,$A269,$B269)</f>
        <v>3944.1261224088621</v>
      </c>
      <c r="X269" s="4">
        <f ca="1">_xll.DBRW($B$1,$B$2,$B$7,$B$3,$B$4,$B$5,$F269,$B$6,X$10,$A269,$B269)</f>
        <v>4771.1530565178646</v>
      </c>
      <c r="Y269" s="4">
        <f ca="1">_xll.DBRW($B$1,$B$2,$B$7,$B$3,$B$4,$B$5,$F269,$B$6,Y$10,$A269,$B269)</f>
        <v>5174.8821439477915</v>
      </c>
      <c r="Z269" s="4">
        <f ca="1">_xll.DBRW($B$1,$B$2,$B$7,$B$3,$B$4,$B$5,$F269,$B$6,Z$10,$A269,$B269)</f>
        <v>5052.953265436201</v>
      </c>
      <c r="AA269" s="4">
        <f ca="1">_xll.DBRW($B$1,$B$2,$B$7,$B$3,$B$4,$B$5,$F269,$B$6,AA$10,$A269,$B269)</f>
        <v>4231.9331926306404</v>
      </c>
      <c r="AB269" s="4">
        <f ca="1">_xll.DBRW($B$1,$B$2,$B$7,$B$3,$B$4,$B$5,$F269,$B$6,AB$10,$A269,$B269)</f>
        <v>3966.6075719601376</v>
      </c>
      <c r="AC269" s="4">
        <f ca="1">_xll.DBRW($B$1,$B$2,$B$7,$B$3,$B$4,$B$5,$F269,$B$6,AC$10,$A269,$B269)</f>
        <v>3706.4534300447413</v>
      </c>
      <c r="AD269" s="4">
        <f ca="1">_xll.DBRW($B$1,$B$2,$B$7,$B$3,$B$4,$B$5,$F269,$B$6,AD$10,$A269,$B269)</f>
        <v>3803.5249767122805</v>
      </c>
      <c r="AE269" s="4">
        <f ca="1">_xll.DBRW($B$1,$B$2,$B$7,$B$3,$B$4,$B$5,$F269,$B$6,AE$10,$A269,$B269)</f>
        <v>4817.0926315563083</v>
      </c>
    </row>
    <row r="270" spans="1:31">
      <c r="A270" s="1" t="s">
        <v>151</v>
      </c>
      <c r="B270" s="5" t="s">
        <v>18</v>
      </c>
      <c r="C270" s="5" t="s">
        <v>19</v>
      </c>
      <c r="D270" s="5" t="s">
        <v>20</v>
      </c>
      <c r="E270" s="5" t="s">
        <v>21</v>
      </c>
      <c r="F270" s="5" t="s">
        <v>25</v>
      </c>
      <c r="G270" s="6"/>
      <c r="H270" s="6"/>
      <c r="I270" s="6"/>
      <c r="J270" s="6"/>
      <c r="K270" s="6"/>
      <c r="L270" s="4">
        <f ca="1">_xll.DBRW($B$1,$B$2,$B$7,$B$3,$B$4,$B$5,$F270,$B$6,L$10,$A270,$B270)</f>
        <v>6125.1303622433188</v>
      </c>
      <c r="M270" s="4">
        <f ca="1">_xll.DBRW($B$1,$B$2,$B$7,$B$3,$B$4,$B$5,$F270,$B$6,M$10,$A270,$B270)</f>
        <v>6828.438974131579</v>
      </c>
      <c r="N270" s="4">
        <f ca="1">_xll.DBRW($B$1,$B$2,$B$7,$B$3,$B$4,$B$5,$F270,$B$6,N$10,$A270,$B270)</f>
        <v>6591.3055521101633</v>
      </c>
      <c r="O270" s="4">
        <f ca="1">_xll.DBRW($B$1,$B$2,$B$7,$B$3,$B$4,$B$5,$F270,$B$6,O$10,$A270,$B270)</f>
        <v>5814.8302289226222</v>
      </c>
      <c r="P270" s="4">
        <f ca="1">_xll.DBRW($B$1,$B$2,$B$7,$B$3,$B$4,$B$5,$F270,$B$6,P$10,$A270,$B270)</f>
        <v>5235.8798990249943</v>
      </c>
      <c r="Q270" s="4">
        <f ca="1">_xll.DBRW($B$1,$B$2,$B$7,$B$3,$B$4,$B$5,$F270,$B$6,Q$10,$A270,$B270)</f>
        <v>4937.4369045093981</v>
      </c>
      <c r="R270" s="4">
        <f ca="1">_xll.DBRW($B$1,$B$2,$B$7,$B$3,$B$4,$B$5,$F270,$B$6,R$10,$A270,$B270)</f>
        <v>4396.9035787473986</v>
      </c>
      <c r="S270" s="4">
        <f ca="1">_xll.DBRW($B$1,$B$2,$B$7,$B$3,$B$4,$B$5,$F270,$B$6,S$10,$A270,$B270)</f>
        <v>5645.204269662936</v>
      </c>
      <c r="T270" s="4">
        <f ca="1">_xll.DBRW($B$1,$B$2,$B$7,$B$3,$B$4,$B$5,$F270,$B$6,T$10,$A270,$B270)</f>
        <v>3345.1600746613226</v>
      </c>
      <c r="U270" s="4">
        <f ca="1">_xll.DBRW($B$1,$B$2,$B$7,$B$3,$B$4,$B$5,$F270,$B$6,U$10,$A270,$B270)</f>
        <v>2264.4854041982758</v>
      </c>
      <c r="V270" s="4">
        <f ca="1">_xll.DBRW($B$1,$B$2,$B$7,$B$3,$B$4,$B$5,$F270,$B$6,V$10,$A270,$B270)</f>
        <v>4224.9048060073355</v>
      </c>
      <c r="W270" s="4">
        <f ca="1">_xll.DBRW($B$1,$B$2,$B$7,$B$3,$B$4,$B$5,$F270,$B$6,W$10,$A270,$B270)</f>
        <v>3944.1261224088621</v>
      </c>
      <c r="X270" s="4">
        <f ca="1">_xll.DBRW($B$1,$B$2,$B$7,$B$3,$B$4,$B$5,$F270,$B$6,X$10,$A270,$B270)</f>
        <v>4771.1530565178646</v>
      </c>
      <c r="Y270" s="4">
        <f ca="1">_xll.DBRW($B$1,$B$2,$B$7,$B$3,$B$4,$B$5,$F270,$B$6,Y$10,$A270,$B270)</f>
        <v>5174.8821439477915</v>
      </c>
      <c r="Z270" s="4">
        <f ca="1">_xll.DBRW($B$1,$B$2,$B$7,$B$3,$B$4,$B$5,$F270,$B$6,Z$10,$A270,$B270)</f>
        <v>5052.953265436201</v>
      </c>
      <c r="AA270" s="4">
        <f ca="1">_xll.DBRW($B$1,$B$2,$B$7,$B$3,$B$4,$B$5,$F270,$B$6,AA$10,$A270,$B270)</f>
        <v>4231.9331926306404</v>
      </c>
      <c r="AB270" s="4">
        <f ca="1">_xll.DBRW($B$1,$B$2,$B$7,$B$3,$B$4,$B$5,$F270,$B$6,AB$10,$A270,$B270)</f>
        <v>3966.6075719601376</v>
      </c>
      <c r="AC270" s="4">
        <f ca="1">_xll.DBRW($B$1,$B$2,$B$7,$B$3,$B$4,$B$5,$F270,$B$6,AC$10,$A270,$B270)</f>
        <v>3706.4534300447413</v>
      </c>
      <c r="AD270" s="4">
        <f ca="1">_xll.DBRW($B$1,$B$2,$B$7,$B$3,$B$4,$B$5,$F270,$B$6,AD$10,$A270,$B270)</f>
        <v>3803.5249767122805</v>
      </c>
      <c r="AE270" s="4">
        <f ca="1">_xll.DBRW($B$1,$B$2,$B$7,$B$3,$B$4,$B$5,$F270,$B$6,AE$10,$A270,$B270)</f>
        <v>4817.0926315563083</v>
      </c>
    </row>
    <row r="271" spans="1:31">
      <c r="A271" s="1" t="s">
        <v>151</v>
      </c>
      <c r="B271" s="5" t="s">
        <v>190</v>
      </c>
      <c r="C271" s="5" t="s">
        <v>191</v>
      </c>
      <c r="D271" s="5" t="s">
        <v>21</v>
      </c>
      <c r="E271" s="5" t="s">
        <v>73</v>
      </c>
      <c r="F271" s="5" t="s">
        <v>25</v>
      </c>
      <c r="G271" s="6"/>
      <c r="H271" s="6"/>
      <c r="I271" s="6"/>
      <c r="J271" s="6"/>
      <c r="K271" s="6"/>
      <c r="L271" s="4">
        <f ca="1">_xll.DBRW($B$1,$B$2,$B$7,$B$3,$B$4,$B$5,$F271,$B$6,L$10,$A271,$B271)</f>
        <v>4878.6541743043599</v>
      </c>
      <c r="M271" s="4">
        <f ca="1">_xll.DBRW($B$1,$B$2,$B$7,$B$3,$B$4,$B$5,$F271,$B$6,M$10,$A271,$B271)</f>
        <v>5402.8016142916113</v>
      </c>
      <c r="N271" s="4">
        <f ca="1">_xll.DBRW($B$1,$B$2,$B$7,$B$3,$B$4,$B$5,$F271,$B$6,N$10,$A271,$B271)</f>
        <v>5564.7447725049205</v>
      </c>
      <c r="O271" s="4">
        <f ca="1">_xll.DBRW($B$1,$B$2,$B$7,$B$3,$B$4,$B$5,$F271,$B$6,O$10,$A271,$B271)</f>
        <v>5318.5504590836235</v>
      </c>
      <c r="P271" s="4">
        <f ca="1">_xll.DBRW($B$1,$B$2,$B$7,$B$3,$B$4,$B$5,$F271,$B$6,P$10,$A271,$B271)</f>
        <v>4971.5266758309781</v>
      </c>
      <c r="Q271" s="4">
        <f ca="1">_xll.DBRW($B$1,$B$2,$B$7,$B$3,$B$4,$B$5,$F271,$B$6,Q$10,$A271,$B271)</f>
        <v>5018.2968788599464</v>
      </c>
      <c r="R271" s="4">
        <f ca="1">_xll.DBRW($B$1,$B$2,$B$7,$B$3,$B$4,$B$5,$F271,$B$6,R$10,$A271,$B271)</f>
        <v>4335.2467362759198</v>
      </c>
      <c r="S271" s="4">
        <f ca="1">_xll.DBRW($B$1,$B$2,$B$7,$B$3,$B$4,$B$5,$F271,$B$6,S$10,$A271,$B271)</f>
        <v>4779.5527472309805</v>
      </c>
      <c r="T271" s="4">
        <f ca="1">_xll.DBRW($B$1,$B$2,$B$7,$B$3,$B$4,$B$5,$F271,$B$6,T$10,$A271,$B271)</f>
        <v>3555.2990449969634</v>
      </c>
      <c r="U271" s="4">
        <f ca="1">_xll.DBRW($B$1,$B$2,$B$7,$B$3,$B$4,$B$5,$F271,$B$6,U$10,$A271,$B271)</f>
        <v>2831.2551822723954</v>
      </c>
      <c r="V271" s="4">
        <f ca="1">_xll.DBRW($B$1,$B$2,$B$7,$B$3,$B$4,$B$5,$F271,$B$6,V$10,$A271,$B271)</f>
        <v>3801.5410352386921</v>
      </c>
      <c r="W271" s="4">
        <f ca="1">_xll.DBRW($B$1,$B$2,$B$7,$B$3,$B$4,$B$5,$F271,$B$6,W$10,$A271,$B271)</f>
        <v>3228.3919306783537</v>
      </c>
      <c r="X271" s="4">
        <f ca="1">_xll.DBRW($B$1,$B$2,$B$7,$B$3,$B$4,$B$5,$F271,$B$6,X$10,$A271,$B271)</f>
        <v>4304.2437579967836</v>
      </c>
      <c r="Y271" s="4">
        <f ca="1">_xll.DBRW($B$1,$B$2,$B$7,$B$3,$B$4,$B$5,$F271,$B$6,Y$10,$A271,$B271)</f>
        <v>5268.5545221828979</v>
      </c>
      <c r="Z271" s="4">
        <f ca="1">_xll.DBRW($B$1,$B$2,$B$7,$B$3,$B$4,$B$5,$F271,$B$6,Z$10,$A271,$B271)</f>
        <v>5709.7566274251676</v>
      </c>
      <c r="AA271" s="4">
        <f ca="1">_xll.DBRW($B$1,$B$2,$B$7,$B$3,$B$4,$B$5,$F271,$B$6,AA$10,$A271,$B271)</f>
        <v>5213.8692027521456</v>
      </c>
      <c r="AB271" s="4">
        <f ca="1">_xll.DBRW($B$1,$B$2,$B$7,$B$3,$B$4,$B$5,$F271,$B$6,AB$10,$A271,$B271)</f>
        <v>5300.4084798168333</v>
      </c>
      <c r="AC271" s="4">
        <f ca="1">_xll.DBRW($B$1,$B$2,$B$7,$B$3,$B$4,$B$5,$F271,$B$6,AC$10,$A271,$B271)</f>
        <v>3799.121087886233</v>
      </c>
      <c r="AD271" s="4">
        <f ca="1">_xll.DBRW($B$1,$B$2,$B$7,$B$3,$B$4,$B$5,$F271,$B$6,AD$10,$A271,$B271)</f>
        <v>3090.6438623444037</v>
      </c>
      <c r="AE271" s="4">
        <f ca="1">_xll.DBRW($B$1,$B$2,$B$7,$B$3,$B$4,$B$5,$F271,$B$6,AE$10,$A271,$B271)</f>
        <v>4394.1767987489047</v>
      </c>
    </row>
    <row r="272" spans="1:31">
      <c r="A272" s="1" t="s">
        <v>151</v>
      </c>
      <c r="B272" s="5" t="s">
        <v>71</v>
      </c>
      <c r="C272" s="5" t="s">
        <v>72</v>
      </c>
      <c r="D272" s="5" t="s">
        <v>73</v>
      </c>
      <c r="E272" s="5" t="s">
        <v>21</v>
      </c>
      <c r="F272" s="5" t="s">
        <v>25</v>
      </c>
      <c r="G272" s="6"/>
      <c r="H272" s="6"/>
      <c r="I272" s="6"/>
      <c r="J272" s="6"/>
      <c r="K272" s="6"/>
      <c r="L272" s="4">
        <f ca="1">_xll.DBRW($B$1,$B$2,$B$7,$B$3,$B$4,$B$5,$F272,$B$6,L$10,$A272,$B272)</f>
        <v>4878.6541743043599</v>
      </c>
      <c r="M272" s="4">
        <f ca="1">_xll.DBRW($B$1,$B$2,$B$7,$B$3,$B$4,$B$5,$F272,$B$6,M$10,$A272,$B272)</f>
        <v>5402.8016142916113</v>
      </c>
      <c r="N272" s="4">
        <f ca="1">_xll.DBRW($B$1,$B$2,$B$7,$B$3,$B$4,$B$5,$F272,$B$6,N$10,$A272,$B272)</f>
        <v>5564.7447725049205</v>
      </c>
      <c r="O272" s="4">
        <f ca="1">_xll.DBRW($B$1,$B$2,$B$7,$B$3,$B$4,$B$5,$F272,$B$6,O$10,$A272,$B272)</f>
        <v>5318.5504590836235</v>
      </c>
      <c r="P272" s="4">
        <f ca="1">_xll.DBRW($B$1,$B$2,$B$7,$B$3,$B$4,$B$5,$F272,$B$6,P$10,$A272,$B272)</f>
        <v>4971.5266758309781</v>
      </c>
      <c r="Q272" s="4">
        <f ca="1">_xll.DBRW($B$1,$B$2,$B$7,$B$3,$B$4,$B$5,$F272,$B$6,Q$10,$A272,$B272)</f>
        <v>5018.2968788599464</v>
      </c>
      <c r="R272" s="4">
        <f ca="1">_xll.DBRW($B$1,$B$2,$B$7,$B$3,$B$4,$B$5,$F272,$B$6,R$10,$A272,$B272)</f>
        <v>4335.2467362759198</v>
      </c>
      <c r="S272" s="4">
        <f ca="1">_xll.DBRW($B$1,$B$2,$B$7,$B$3,$B$4,$B$5,$F272,$B$6,S$10,$A272,$B272)</f>
        <v>4779.5527472309805</v>
      </c>
      <c r="T272" s="4">
        <f ca="1">_xll.DBRW($B$1,$B$2,$B$7,$B$3,$B$4,$B$5,$F272,$B$6,T$10,$A272,$B272)</f>
        <v>3555.2990449969634</v>
      </c>
      <c r="U272" s="4">
        <f ca="1">_xll.DBRW($B$1,$B$2,$B$7,$B$3,$B$4,$B$5,$F272,$B$6,U$10,$A272,$B272)</f>
        <v>2831.2551822723954</v>
      </c>
      <c r="V272" s="4">
        <f ca="1">_xll.DBRW($B$1,$B$2,$B$7,$B$3,$B$4,$B$5,$F272,$B$6,V$10,$A272,$B272)</f>
        <v>3801.5410352386921</v>
      </c>
      <c r="W272" s="4">
        <f ca="1">_xll.DBRW($B$1,$B$2,$B$7,$B$3,$B$4,$B$5,$F272,$B$6,W$10,$A272,$B272)</f>
        <v>3228.3919306783537</v>
      </c>
      <c r="X272" s="4">
        <f ca="1">_xll.DBRW($B$1,$B$2,$B$7,$B$3,$B$4,$B$5,$F272,$B$6,X$10,$A272,$B272)</f>
        <v>4304.2437579967836</v>
      </c>
      <c r="Y272" s="4">
        <f ca="1">_xll.DBRW($B$1,$B$2,$B$7,$B$3,$B$4,$B$5,$F272,$B$6,Y$10,$A272,$B272)</f>
        <v>5268.5545221828979</v>
      </c>
      <c r="Z272" s="4">
        <f ca="1">_xll.DBRW($B$1,$B$2,$B$7,$B$3,$B$4,$B$5,$F272,$B$6,Z$10,$A272,$B272)</f>
        <v>5709.7566274251676</v>
      </c>
      <c r="AA272" s="4">
        <f ca="1">_xll.DBRW($B$1,$B$2,$B$7,$B$3,$B$4,$B$5,$F272,$B$6,AA$10,$A272,$B272)</f>
        <v>5213.8692027521456</v>
      </c>
      <c r="AB272" s="4">
        <f ca="1">_xll.DBRW($B$1,$B$2,$B$7,$B$3,$B$4,$B$5,$F272,$B$6,AB$10,$A272,$B272)</f>
        <v>5300.4084798168333</v>
      </c>
      <c r="AC272" s="4">
        <f ca="1">_xll.DBRW($B$1,$B$2,$B$7,$B$3,$B$4,$B$5,$F272,$B$6,AC$10,$A272,$B272)</f>
        <v>3799.121087886233</v>
      </c>
      <c r="AD272" s="4">
        <f ca="1">_xll.DBRW($B$1,$B$2,$B$7,$B$3,$B$4,$B$5,$F272,$B$6,AD$10,$A272,$B272)</f>
        <v>3090.6438623444037</v>
      </c>
      <c r="AE272" s="4">
        <f ca="1">_xll.DBRW($B$1,$B$2,$B$7,$B$3,$B$4,$B$5,$F272,$B$6,AE$10,$A272,$B272)</f>
        <v>4252.4291600795859</v>
      </c>
    </row>
    <row r="273" spans="1:31">
      <c r="A273" s="1" t="s">
        <v>151</v>
      </c>
      <c r="B273" s="5" t="s">
        <v>192</v>
      </c>
      <c r="C273" s="5" t="s">
        <v>193</v>
      </c>
      <c r="D273" s="5" t="s">
        <v>21</v>
      </c>
      <c r="E273" s="5" t="s">
        <v>194</v>
      </c>
      <c r="F273" s="5" t="s">
        <v>25</v>
      </c>
      <c r="G273" s="6"/>
      <c r="H273" s="6"/>
      <c r="I273" s="6"/>
      <c r="J273" s="6"/>
      <c r="K273" s="6"/>
      <c r="L273" s="4">
        <f ca="1">_xll.DBRW($B$1,$B$2,$B$7,$B$3,$B$4,$B$5,$F273,$B$6,L$10,$A273,$B273)</f>
        <v>1477.2097539453139</v>
      </c>
      <c r="M273" s="4">
        <f ca="1">_xll.DBRW($B$1,$B$2,$B$7,$B$3,$B$4,$B$5,$F273,$B$6,M$10,$A273,$B273)</f>
        <v>1440.7470971444293</v>
      </c>
      <c r="N273" s="4">
        <f ca="1">_xll.DBRW($B$1,$B$2,$B$7,$B$3,$B$4,$B$5,$F273,$B$6,N$10,$A273,$B273)</f>
        <v>1563.4558674051284</v>
      </c>
      <c r="O273" s="4">
        <f ca="1">_xll.DBRW($B$1,$B$2,$B$7,$B$3,$B$4,$B$5,$F273,$B$6,O$10,$A273,$B273)</f>
        <v>1561.4446799049417</v>
      </c>
      <c r="P273" s="4">
        <f ca="1">_xll.DBRW($B$1,$B$2,$B$7,$B$3,$B$4,$B$5,$F273,$B$6,P$10,$A273,$B273)</f>
        <v>1578.1706773277406</v>
      </c>
      <c r="Q273" s="4">
        <f ca="1">_xll.DBRW($B$1,$B$2,$B$7,$B$3,$B$4,$B$5,$F273,$B$6,Q$10,$A273,$B273)</f>
        <v>1897.2785242847995</v>
      </c>
      <c r="R273" s="4">
        <f ca="1">_xll.DBRW($B$1,$B$2,$B$7,$B$3,$B$4,$B$5,$F273,$B$6,R$10,$A273,$B273)</f>
        <v>1942.1905378516112</v>
      </c>
      <c r="S273" s="4">
        <f ca="1">_xll.DBRW($B$1,$B$2,$B$7,$B$3,$B$4,$B$5,$F273,$B$6,S$10,$A273,$B273)</f>
        <v>2158.5076922978619</v>
      </c>
      <c r="T273" s="4">
        <f ca="1">_xll.DBRW($B$1,$B$2,$B$7,$B$3,$B$4,$B$5,$F273,$B$6,T$10,$A273,$B273)</f>
        <v>2406.9277783825528</v>
      </c>
      <c r="U273" s="4">
        <f ca="1">_xll.DBRW($B$1,$B$2,$B$7,$B$3,$B$4,$B$5,$F273,$B$6,U$10,$A273,$B273)</f>
        <v>2314.4704945776184</v>
      </c>
      <c r="V273" s="4">
        <f ca="1">_xll.DBRW($B$1,$B$2,$B$7,$B$3,$B$4,$B$5,$F273,$B$6,V$10,$A273,$B273)</f>
        <v>2505.1033641557419</v>
      </c>
      <c r="W273" s="4">
        <f ca="1">_xll.DBRW($B$1,$B$2,$B$7,$B$3,$B$4,$B$5,$F273,$B$6,W$10,$A273,$B273)</f>
        <v>1474.6838390924495</v>
      </c>
      <c r="X273" s="4">
        <f ca="1">_xll.DBRW($B$1,$B$2,$B$7,$B$3,$B$4,$B$5,$F273,$B$6,X$10,$A273,$B273)</f>
        <v>1721.4170531468717</v>
      </c>
      <c r="Y273" s="4">
        <f ca="1">_xll.DBRW($B$1,$B$2,$B$7,$B$3,$B$4,$B$5,$F273,$B$6,Y$10,$A273,$B273)</f>
        <v>1723.5491618566498</v>
      </c>
      <c r="Z273" s="4">
        <f ca="1">_xll.DBRW($B$1,$B$2,$B$7,$B$3,$B$4,$B$5,$F273,$B$6,Z$10,$A273,$B273)</f>
        <v>1511.6157817352976</v>
      </c>
      <c r="AA273" s="4">
        <f ca="1">_xll.DBRW($B$1,$B$2,$B$7,$B$3,$B$4,$B$5,$F273,$B$6,AA$10,$A273,$B273)</f>
        <v>1697.2287186282597</v>
      </c>
      <c r="AB273" s="4">
        <f ca="1">_xll.DBRW($B$1,$B$2,$B$7,$B$3,$B$4,$B$5,$F273,$B$6,AB$10,$A273,$B273)</f>
        <v>1717.8112301648703</v>
      </c>
      <c r="AC273" s="4">
        <f ca="1">_xll.DBRW($B$1,$B$2,$B$7,$B$3,$B$4,$B$5,$F273,$B$6,AC$10,$A273,$B273)</f>
        <v>1908.8782539008478</v>
      </c>
      <c r="AD273" s="4">
        <f ca="1">_xll.DBRW($B$1,$B$2,$B$7,$B$3,$B$4,$B$5,$F273,$B$6,AD$10,$A273,$B273)</f>
        <v>2089.9267320722784</v>
      </c>
      <c r="AE273" s="4">
        <f ca="1">_xll.DBRW($B$1,$B$2,$B$7,$B$3,$B$4,$B$5,$F273,$B$6,AE$10,$A273,$B273)</f>
        <v>2070.0585529685586</v>
      </c>
    </row>
    <row r="274" spans="1:31">
      <c r="A274" s="1" t="s">
        <v>151</v>
      </c>
      <c r="B274" s="5" t="s">
        <v>195</v>
      </c>
      <c r="C274" s="5" t="s">
        <v>196</v>
      </c>
      <c r="D274" s="5" t="s">
        <v>194</v>
      </c>
      <c r="E274" s="5" t="s">
        <v>21</v>
      </c>
      <c r="F274" s="5" t="s">
        <v>25</v>
      </c>
      <c r="G274" s="6"/>
      <c r="H274" s="6"/>
      <c r="I274" s="6"/>
      <c r="J274" s="6"/>
      <c r="K274" s="6"/>
      <c r="L274" s="4">
        <f ca="1">_xll.DBRW($B$1,$B$2,$B$7,$B$3,$B$4,$B$5,$F274,$B$6,L$10,$A274,$B274)</f>
        <v>1477.2097539453139</v>
      </c>
      <c r="M274" s="4">
        <f ca="1">_xll.DBRW($B$1,$B$2,$B$7,$B$3,$B$4,$B$5,$F274,$B$6,M$10,$A274,$B274)</f>
        <v>1440.7470971444293</v>
      </c>
      <c r="N274" s="4">
        <f ca="1">_xll.DBRW($B$1,$B$2,$B$7,$B$3,$B$4,$B$5,$F274,$B$6,N$10,$A274,$B274)</f>
        <v>1563.4558674051284</v>
      </c>
      <c r="O274" s="4">
        <f ca="1">_xll.DBRW($B$1,$B$2,$B$7,$B$3,$B$4,$B$5,$F274,$B$6,O$10,$A274,$B274)</f>
        <v>1561.4446799049417</v>
      </c>
      <c r="P274" s="4">
        <f ca="1">_xll.DBRW($B$1,$B$2,$B$7,$B$3,$B$4,$B$5,$F274,$B$6,P$10,$A274,$B274)</f>
        <v>1578.1706773277406</v>
      </c>
      <c r="Q274" s="4">
        <f ca="1">_xll.DBRW($B$1,$B$2,$B$7,$B$3,$B$4,$B$5,$F274,$B$6,Q$10,$A274,$B274)</f>
        <v>1724.798658440727</v>
      </c>
      <c r="R274" s="4">
        <f ca="1">_xll.DBRW($B$1,$B$2,$B$7,$B$3,$B$4,$B$5,$F274,$B$6,R$10,$A274,$B274)</f>
        <v>1942.1905378516112</v>
      </c>
      <c r="S274" s="4">
        <f ca="1">_xll.DBRW($B$1,$B$2,$B$7,$B$3,$B$4,$B$5,$F274,$B$6,S$10,$A274,$B274)</f>
        <v>2158.5076922978619</v>
      </c>
      <c r="T274" s="4">
        <f ca="1">_xll.DBRW($B$1,$B$2,$B$7,$B$3,$B$4,$B$5,$F274,$B$6,T$10,$A274,$B274)</f>
        <v>2406.9277783825528</v>
      </c>
      <c r="U274" s="4">
        <f ca="1">_xll.DBRW($B$1,$B$2,$B$7,$B$3,$B$4,$B$5,$F274,$B$6,U$10,$A274,$B274)</f>
        <v>2314.4704945776184</v>
      </c>
      <c r="V274" s="4">
        <f ca="1">_xll.DBRW($B$1,$B$2,$B$7,$B$3,$B$4,$B$5,$F274,$B$6,V$10,$A274,$B274)</f>
        <v>2505.1033641557419</v>
      </c>
      <c r="W274" s="4">
        <f ca="1">_xll.DBRW($B$1,$B$2,$B$7,$B$3,$B$4,$B$5,$F274,$B$6,W$10,$A274,$B274)</f>
        <v>1474.6838390924495</v>
      </c>
      <c r="X274" s="4">
        <f ca="1">_xll.DBRW($B$1,$B$2,$B$7,$B$3,$B$4,$B$5,$F274,$B$6,X$10,$A274,$B274)</f>
        <v>1721.4170531468717</v>
      </c>
      <c r="Y274" s="4">
        <f ca="1">_xll.DBRW($B$1,$B$2,$B$7,$B$3,$B$4,$B$5,$F274,$B$6,Y$10,$A274,$B274)</f>
        <v>1723.5491618566498</v>
      </c>
      <c r="Z274" s="4">
        <f ca="1">_xll.DBRW($B$1,$B$2,$B$7,$B$3,$B$4,$B$5,$F274,$B$6,Z$10,$A274,$B274)</f>
        <v>1511.6157817352976</v>
      </c>
      <c r="AA274" s="4">
        <f ca="1">_xll.DBRW($B$1,$B$2,$B$7,$B$3,$B$4,$B$5,$F274,$B$6,AA$10,$A274,$B274)</f>
        <v>1697.2287186282597</v>
      </c>
      <c r="AB274" s="4">
        <f ca="1">_xll.DBRW($B$1,$B$2,$B$7,$B$3,$B$4,$B$5,$F274,$B$6,AB$10,$A274,$B274)</f>
        <v>1717.8112301648703</v>
      </c>
      <c r="AC274" s="4">
        <f ca="1">_xll.DBRW($B$1,$B$2,$B$7,$B$3,$B$4,$B$5,$F274,$B$6,AC$10,$A274,$B274)</f>
        <v>1908.8782539008478</v>
      </c>
      <c r="AD274" s="4">
        <f ca="1">_xll.DBRW($B$1,$B$2,$B$7,$B$3,$B$4,$B$5,$F274,$B$6,AD$10,$A274,$B274)</f>
        <v>2089.9267320722784</v>
      </c>
      <c r="AE274" s="4">
        <f ca="1">_xll.DBRW($B$1,$B$2,$B$7,$B$3,$B$4,$B$5,$F274,$B$6,AE$10,$A274,$B274)</f>
        <v>2070.0585529685586</v>
      </c>
    </row>
    <row r="275" spans="1:31">
      <c r="A275" s="1" t="s">
        <v>151</v>
      </c>
      <c r="B275" s="5" t="s">
        <v>197</v>
      </c>
      <c r="C275" s="5" t="s">
        <v>198</v>
      </c>
      <c r="D275" s="5" t="s">
        <v>28</v>
      </c>
      <c r="E275" s="5" t="s">
        <v>20</v>
      </c>
      <c r="F275" s="5" t="s">
        <v>25</v>
      </c>
      <c r="G275" s="6"/>
      <c r="H275" s="6"/>
      <c r="I275" s="6"/>
      <c r="J275" s="6"/>
      <c r="K275" s="6"/>
      <c r="L275" s="4">
        <f ca="1">_xll.DBRW($B$1,$B$2,$B$7,$B$3,$B$4,$B$5,$F275,$B$6,L$10,$A275,$B275)</f>
        <v>4844.9824813835476</v>
      </c>
      <c r="M275" s="4">
        <f ca="1">_xll.DBRW($B$1,$B$2,$B$7,$B$3,$B$4,$B$5,$F275,$B$6,M$10,$A275,$B275)</f>
        <v>4696.5590346154713</v>
      </c>
      <c r="N275" s="4">
        <f ca="1">_xll.DBRW($B$1,$B$2,$B$7,$B$3,$B$4,$B$5,$F275,$B$6,N$10,$A275,$B275)</f>
        <v>4612.3556582142037</v>
      </c>
      <c r="O275" s="4">
        <f ca="1">_xll.DBRW($B$1,$B$2,$B$7,$B$3,$B$4,$B$5,$F275,$B$6,O$10,$A275,$B275)</f>
        <v>4376.1013257675413</v>
      </c>
      <c r="P275" s="4">
        <f ca="1">_xll.DBRW($B$1,$B$2,$B$7,$B$3,$B$4,$B$5,$F275,$B$6,P$10,$A275,$B275)</f>
        <v>4177.5637492220703</v>
      </c>
      <c r="Q275" s="4">
        <f ca="1">_xll.DBRW($B$1,$B$2,$B$7,$B$3,$B$4,$B$5,$F275,$B$6,Q$10,$A275,$B275)</f>
        <v>3794.7477560562747</v>
      </c>
      <c r="R275" s="4">
        <f ca="1">_xll.DBRW($B$1,$B$2,$B$7,$B$3,$B$4,$B$5,$F275,$B$6,R$10,$A275,$B275)</f>
        <v>3044.2734805611872</v>
      </c>
      <c r="S275" s="4">
        <f ca="1">_xll.DBRW($B$1,$B$2,$B$7,$B$3,$B$4,$B$5,$F275,$B$6,S$10,$A275,$B275)</f>
        <v>2852.5556448974367</v>
      </c>
      <c r="T275" s="4">
        <f ca="1">_xll.DBRW($B$1,$B$2,$B$7,$B$3,$B$4,$B$5,$F275,$B$6,T$10,$A275,$B275)</f>
        <v>2904.7619868546235</v>
      </c>
      <c r="U275" s="4">
        <f ca="1">_xll.DBRW($B$1,$B$2,$B$7,$B$3,$B$4,$B$5,$F275,$B$6,U$10,$A275,$B275)</f>
        <v>2198.2483881371704</v>
      </c>
      <c r="V275" s="4">
        <f ca="1">_xll.DBRW($B$1,$B$2,$B$7,$B$3,$B$4,$B$5,$F275,$B$6,V$10,$A275,$B275)</f>
        <v>3299.957724581071</v>
      </c>
      <c r="W275" s="4">
        <f ca="1">_xll.DBRW($B$1,$B$2,$B$7,$B$3,$B$4,$B$5,$F275,$B$6,W$10,$A275,$B275)</f>
        <v>5526.8870287721611</v>
      </c>
      <c r="X275" s="4">
        <f ca="1">_xll.DBRW($B$1,$B$2,$B$7,$B$3,$B$4,$B$5,$F275,$B$6,X$10,$A275,$B275)</f>
        <v>5261.0185943692213</v>
      </c>
      <c r="Y275" s="4">
        <f ca="1">_xll.DBRW($B$1,$B$2,$B$7,$B$3,$B$4,$B$5,$F275,$B$6,Y$10,$A275,$B275)</f>
        <v>5342.9920186716572</v>
      </c>
      <c r="Z275" s="4">
        <f ca="1">_xll.DBRW($B$1,$B$2,$B$7,$B$3,$B$4,$B$5,$F275,$B$6,Z$10,$A275,$B275)</f>
        <v>5532.8046405575706</v>
      </c>
      <c r="AA275" s="4">
        <f ca="1">_xll.DBRW($B$1,$B$2,$B$7,$B$3,$B$4,$B$5,$F275,$B$6,AA$10,$A275,$B275)</f>
        <v>5171.7675872130721</v>
      </c>
      <c r="AB275" s="4">
        <f ca="1">_xll.DBRW($B$1,$B$2,$B$7,$B$3,$B$4,$B$5,$F275,$B$6,AB$10,$A275,$B275)</f>
        <v>4949.937389752643</v>
      </c>
      <c r="AC275" s="4">
        <f ca="1">_xll.DBRW($B$1,$B$2,$B$7,$B$3,$B$4,$B$5,$F275,$B$6,AC$10,$A275,$B275)</f>
        <v>4719.0521904956695</v>
      </c>
      <c r="AD275" s="4">
        <f ca="1">_xll.DBRW($B$1,$B$2,$B$7,$B$3,$B$4,$B$5,$F275,$B$6,AD$10,$A275,$B275)</f>
        <v>3238.2669411855313</v>
      </c>
      <c r="AE275" s="4">
        <f ca="1">_xll.DBRW($B$1,$B$2,$B$7,$B$3,$B$4,$B$5,$F275,$B$6,AE$10,$A275,$B275)</f>
        <v>3435.8746160571081</v>
      </c>
    </row>
    <row r="276" spans="1:31">
      <c r="A276" s="1" t="s">
        <v>151</v>
      </c>
      <c r="B276" s="5" t="s">
        <v>26</v>
      </c>
      <c r="C276" s="5" t="s">
        <v>27</v>
      </c>
      <c r="D276" s="5" t="s">
        <v>20</v>
      </c>
      <c r="E276" s="5" t="s">
        <v>28</v>
      </c>
      <c r="F276" s="5" t="s">
        <v>25</v>
      </c>
      <c r="G276" s="6"/>
      <c r="H276" s="6"/>
      <c r="I276" s="6"/>
      <c r="J276" s="6"/>
      <c r="K276" s="6"/>
      <c r="L276" s="4">
        <f ca="1">_xll.DBRW($B$1,$B$2,$B$7,$B$3,$B$4,$B$5,$F276,$B$6,L$10,$A276,$B276)</f>
        <v>4844.9824813835476</v>
      </c>
      <c r="M276" s="4">
        <f ca="1">_xll.DBRW($B$1,$B$2,$B$7,$B$3,$B$4,$B$5,$F276,$B$6,M$10,$A276,$B276)</f>
        <v>4696.5590346154713</v>
      </c>
      <c r="N276" s="4">
        <f ca="1">_xll.DBRW($B$1,$B$2,$B$7,$B$3,$B$4,$B$5,$F276,$B$6,N$10,$A276,$B276)</f>
        <v>4612.3556582142037</v>
      </c>
      <c r="O276" s="4">
        <f ca="1">_xll.DBRW($B$1,$B$2,$B$7,$B$3,$B$4,$B$5,$F276,$B$6,O$10,$A276,$B276)</f>
        <v>4376.1013257675413</v>
      </c>
      <c r="P276" s="4">
        <f ca="1">_xll.DBRW($B$1,$B$2,$B$7,$B$3,$B$4,$B$5,$F276,$B$6,P$10,$A276,$B276)</f>
        <v>4177.5637492220703</v>
      </c>
      <c r="Q276" s="4">
        <f ca="1">_xll.DBRW($B$1,$B$2,$B$7,$B$3,$B$4,$B$5,$F276,$B$6,Q$10,$A276,$B276)</f>
        <v>3794.7477560562747</v>
      </c>
      <c r="R276" s="4">
        <f ca="1">_xll.DBRW($B$1,$B$2,$B$7,$B$3,$B$4,$B$5,$F276,$B$6,R$10,$A276,$B276)</f>
        <v>3044.2734805611872</v>
      </c>
      <c r="S276" s="4">
        <f ca="1">_xll.DBRW($B$1,$B$2,$B$7,$B$3,$B$4,$B$5,$F276,$B$6,S$10,$A276,$B276)</f>
        <v>2852.5556448974367</v>
      </c>
      <c r="T276" s="4">
        <f ca="1">_xll.DBRW($B$1,$B$2,$B$7,$B$3,$B$4,$B$5,$F276,$B$6,T$10,$A276,$B276)</f>
        <v>2904.7619868546235</v>
      </c>
      <c r="U276" s="4">
        <f ca="1">_xll.DBRW($B$1,$B$2,$B$7,$B$3,$B$4,$B$5,$F276,$B$6,U$10,$A276,$B276)</f>
        <v>2198.2483881371704</v>
      </c>
      <c r="V276" s="4">
        <f ca="1">_xll.DBRW($B$1,$B$2,$B$7,$B$3,$B$4,$B$5,$F276,$B$6,V$10,$A276,$B276)</f>
        <v>3299.957724581071</v>
      </c>
      <c r="W276" s="4">
        <f ca="1">_xll.DBRW($B$1,$B$2,$B$7,$B$3,$B$4,$B$5,$F276,$B$6,W$10,$A276,$B276)</f>
        <v>5526.8870287721611</v>
      </c>
      <c r="X276" s="4">
        <f ca="1">_xll.DBRW($B$1,$B$2,$B$7,$B$3,$B$4,$B$5,$F276,$B$6,X$10,$A276,$B276)</f>
        <v>5261.0185943692213</v>
      </c>
      <c r="Y276" s="4">
        <f ca="1">_xll.DBRW($B$1,$B$2,$B$7,$B$3,$B$4,$B$5,$F276,$B$6,Y$10,$A276,$B276)</f>
        <v>5342.9920186716572</v>
      </c>
      <c r="Z276" s="4">
        <f ca="1">_xll.DBRW($B$1,$B$2,$B$7,$B$3,$B$4,$B$5,$F276,$B$6,Z$10,$A276,$B276)</f>
        <v>5532.8046405575706</v>
      </c>
      <c r="AA276" s="4">
        <f ca="1">_xll.DBRW($B$1,$B$2,$B$7,$B$3,$B$4,$B$5,$F276,$B$6,AA$10,$A276,$B276)</f>
        <v>5171.7675872130721</v>
      </c>
      <c r="AB276" s="4">
        <f ca="1">_xll.DBRW($B$1,$B$2,$B$7,$B$3,$B$4,$B$5,$F276,$B$6,AB$10,$A276,$B276)</f>
        <v>4949.937389752643</v>
      </c>
      <c r="AC276" s="4">
        <f ca="1">_xll.DBRW($B$1,$B$2,$B$7,$B$3,$B$4,$B$5,$F276,$B$6,AC$10,$A276,$B276)</f>
        <v>4719.0521904956695</v>
      </c>
      <c r="AD276" s="4">
        <f ca="1">_xll.DBRW($B$1,$B$2,$B$7,$B$3,$B$4,$B$5,$F276,$B$6,AD$10,$A276,$B276)</f>
        <v>3238.2669411855313</v>
      </c>
      <c r="AE276" s="4">
        <f ca="1">_xll.DBRW($B$1,$B$2,$B$7,$B$3,$B$4,$B$5,$F276,$B$6,AE$10,$A276,$B276)</f>
        <v>3279.6984971454217</v>
      </c>
    </row>
    <row r="277" spans="1:31">
      <c r="A277" s="1" t="s">
        <v>151</v>
      </c>
      <c r="B277" s="5" t="s">
        <v>199</v>
      </c>
      <c r="C277" s="5" t="s">
        <v>189</v>
      </c>
      <c r="D277" s="5" t="s">
        <v>21</v>
      </c>
      <c r="E277" s="5" t="s">
        <v>20</v>
      </c>
      <c r="F277" s="5" t="s">
        <v>25</v>
      </c>
      <c r="G277" s="6"/>
      <c r="H277" s="6"/>
      <c r="I277" s="6"/>
      <c r="J277" s="6"/>
      <c r="K277" s="6"/>
      <c r="L277" s="4">
        <f ca="1">_xll.DBRW($B$1,$B$2,$B$7,$B$3,$B$4,$B$5,$F277,$B$6,L$10,$A277,$B277)</f>
        <v>0</v>
      </c>
      <c r="M277" s="4">
        <f ca="1">_xll.DBRW($B$1,$B$2,$B$7,$B$3,$B$4,$B$5,$F277,$B$6,M$10,$A277,$B277)</f>
        <v>0</v>
      </c>
      <c r="N277" s="4">
        <f ca="1">_xll.DBRW($B$1,$B$2,$B$7,$B$3,$B$4,$B$5,$F277,$B$6,N$10,$A277,$B277)</f>
        <v>0</v>
      </c>
      <c r="O277" s="4">
        <f ca="1">_xll.DBRW($B$1,$B$2,$B$7,$B$3,$B$4,$B$5,$F277,$B$6,O$10,$A277,$B277)</f>
        <v>186.82499999999999</v>
      </c>
      <c r="P277" s="4">
        <f ca="1">_xll.DBRW($B$1,$B$2,$B$7,$B$3,$B$4,$B$5,$F277,$B$6,P$10,$A277,$B277)</f>
        <v>0</v>
      </c>
      <c r="Q277" s="4">
        <f ca="1">_xll.DBRW($B$1,$B$2,$B$7,$B$3,$B$4,$B$5,$F277,$B$6,Q$10,$A277,$B277)</f>
        <v>0</v>
      </c>
      <c r="R277" s="4">
        <f ca="1">_xll.DBRW($B$1,$B$2,$B$7,$B$3,$B$4,$B$5,$F277,$B$6,R$10,$A277,$B277)</f>
        <v>0</v>
      </c>
      <c r="S277" s="4">
        <f ca="1">_xll.DBRW($B$1,$B$2,$B$7,$B$3,$B$4,$B$5,$F277,$B$6,S$10,$A277,$B277)</f>
        <v>0</v>
      </c>
      <c r="T277" s="4">
        <f ca="1">_xll.DBRW($B$1,$B$2,$B$7,$B$3,$B$4,$B$5,$F277,$B$6,T$10,$A277,$B277)</f>
        <v>0</v>
      </c>
      <c r="U277" s="4">
        <f ca="1">_xll.DBRW($B$1,$B$2,$B$7,$B$3,$B$4,$B$5,$F277,$B$6,U$10,$A277,$B277)</f>
        <v>0</v>
      </c>
      <c r="V277" s="4">
        <f ca="1">_xll.DBRW($B$1,$B$2,$B$7,$B$3,$B$4,$B$5,$F277,$B$6,V$10,$A277,$B277)</f>
        <v>272.57450361337646</v>
      </c>
      <c r="W277" s="4">
        <f ca="1">_xll.DBRW($B$1,$B$2,$B$7,$B$3,$B$4,$B$5,$F277,$B$6,W$10,$A277,$B277)</f>
        <v>3944.1261224088621</v>
      </c>
      <c r="X277" s="4">
        <f ca="1">_xll.DBRW($B$1,$B$2,$B$7,$B$3,$B$4,$B$5,$F277,$B$6,X$10,$A277,$B277)</f>
        <v>4771.1530565178646</v>
      </c>
      <c r="Y277" s="4">
        <f ca="1">_xll.DBRW($B$1,$B$2,$B$7,$B$3,$B$4,$B$5,$F277,$B$6,Y$10,$A277,$B277)</f>
        <v>5174.8821439477915</v>
      </c>
      <c r="Z277" s="4">
        <f ca="1">_xll.DBRW($B$1,$B$2,$B$7,$B$3,$B$4,$B$5,$F277,$B$6,Z$10,$A277,$B277)</f>
        <v>5052.953265436201</v>
      </c>
      <c r="AA277" s="4">
        <f ca="1">_xll.DBRW($B$1,$B$2,$B$7,$B$3,$B$4,$B$5,$F277,$B$6,AA$10,$A277,$B277)</f>
        <v>4231.9331926306404</v>
      </c>
      <c r="AB277" s="4">
        <f ca="1">_xll.DBRW($B$1,$B$2,$B$7,$B$3,$B$4,$B$5,$F277,$B$6,AB$10,$A277,$B277)</f>
        <v>3966.6075719601376</v>
      </c>
      <c r="AC277" s="4">
        <f ca="1">_xll.DBRW($B$1,$B$2,$B$7,$B$3,$B$4,$B$5,$F277,$B$6,AC$10,$A277,$B277)</f>
        <v>2989.0753468102748</v>
      </c>
      <c r="AD277" s="4">
        <f ca="1">_xll.DBRW($B$1,$B$2,$B$7,$B$3,$B$4,$B$5,$F277,$B$6,AD$10,$A277,$B277)</f>
        <v>0</v>
      </c>
      <c r="AE277" s="4">
        <f ca="1">_xll.DBRW($B$1,$B$2,$B$7,$B$3,$B$4,$B$5,$F277,$B$6,AE$10,$A277,$B277)</f>
        <v>0</v>
      </c>
    </row>
    <row r="278" spans="1:31">
      <c r="A278" s="1" t="s">
        <v>151</v>
      </c>
      <c r="B278" s="5" t="s">
        <v>23</v>
      </c>
      <c r="C278" s="5" t="s">
        <v>19</v>
      </c>
      <c r="D278" s="5" t="s">
        <v>20</v>
      </c>
      <c r="E278" s="5" t="s">
        <v>21</v>
      </c>
      <c r="F278" s="5" t="s">
        <v>25</v>
      </c>
      <c r="G278" s="6"/>
      <c r="H278" s="6"/>
      <c r="I278" s="6"/>
      <c r="J278" s="6"/>
      <c r="K278" s="6"/>
      <c r="L278" s="4">
        <f ca="1">_xll.DBRW($B$1,$B$2,$B$7,$B$3,$B$4,$B$5,$F278,$B$6,L$10,$A278,$B278)</f>
        <v>0</v>
      </c>
      <c r="M278" s="4">
        <f ca="1">_xll.DBRW($B$1,$B$2,$B$7,$B$3,$B$4,$B$5,$F278,$B$6,M$10,$A278,$B278)</f>
        <v>0</v>
      </c>
      <c r="N278" s="4">
        <f ca="1">_xll.DBRW($B$1,$B$2,$B$7,$B$3,$B$4,$B$5,$F278,$B$6,N$10,$A278,$B278)</f>
        <v>0</v>
      </c>
      <c r="O278" s="4">
        <f ca="1">_xll.DBRW($B$1,$B$2,$B$7,$B$3,$B$4,$B$5,$F278,$B$6,O$10,$A278,$B278)</f>
        <v>0</v>
      </c>
      <c r="P278" s="4">
        <f ca="1">_xll.DBRW($B$1,$B$2,$B$7,$B$3,$B$4,$B$5,$F278,$B$6,P$10,$A278,$B278)</f>
        <v>0</v>
      </c>
      <c r="Q278" s="4">
        <f ca="1">_xll.DBRW($B$1,$B$2,$B$7,$B$3,$B$4,$B$5,$F278,$B$6,Q$10,$A278,$B278)</f>
        <v>0</v>
      </c>
      <c r="R278" s="4">
        <f ca="1">_xll.DBRW($B$1,$B$2,$B$7,$B$3,$B$4,$B$5,$F278,$B$6,R$10,$A278,$B278)</f>
        <v>0</v>
      </c>
      <c r="S278" s="4">
        <f ca="1">_xll.DBRW($B$1,$B$2,$B$7,$B$3,$B$4,$B$5,$F278,$B$6,S$10,$A278,$B278)</f>
        <v>0</v>
      </c>
      <c r="T278" s="4">
        <f ca="1">_xll.DBRW($B$1,$B$2,$B$7,$B$3,$B$4,$B$5,$F278,$B$6,T$10,$A278,$B278)</f>
        <v>0</v>
      </c>
      <c r="U278" s="4">
        <f ca="1">_xll.DBRW($B$1,$B$2,$B$7,$B$3,$B$4,$B$5,$F278,$B$6,U$10,$A278,$B278)</f>
        <v>0</v>
      </c>
      <c r="V278" s="4">
        <f ca="1">_xll.DBRW($B$1,$B$2,$B$7,$B$3,$B$4,$B$5,$F278,$B$6,V$10,$A278,$B278)</f>
        <v>272.57450361337646</v>
      </c>
      <c r="W278" s="4">
        <f ca="1">_xll.DBRW($B$1,$B$2,$B$7,$B$3,$B$4,$B$5,$F278,$B$6,W$10,$A278,$B278)</f>
        <v>3944.1261224088621</v>
      </c>
      <c r="X278" s="4">
        <f ca="1">_xll.DBRW($B$1,$B$2,$B$7,$B$3,$B$4,$B$5,$F278,$B$6,X$10,$A278,$B278)</f>
        <v>4771.1530565178646</v>
      </c>
      <c r="Y278" s="4">
        <f ca="1">_xll.DBRW($B$1,$B$2,$B$7,$B$3,$B$4,$B$5,$F278,$B$6,Y$10,$A278,$B278)</f>
        <v>5174.8821439477915</v>
      </c>
      <c r="Z278" s="4">
        <f ca="1">_xll.DBRW($B$1,$B$2,$B$7,$B$3,$B$4,$B$5,$F278,$B$6,Z$10,$A278,$B278)</f>
        <v>5052.953265436201</v>
      </c>
      <c r="AA278" s="4">
        <f ca="1">_xll.DBRW($B$1,$B$2,$B$7,$B$3,$B$4,$B$5,$F278,$B$6,AA$10,$A278,$B278)</f>
        <v>4231.9331926306404</v>
      </c>
      <c r="AB278" s="4">
        <f ca="1">_xll.DBRW($B$1,$B$2,$B$7,$B$3,$B$4,$B$5,$F278,$B$6,AB$10,$A278,$B278)</f>
        <v>3966.6075719601376</v>
      </c>
      <c r="AC278" s="4">
        <f ca="1">_xll.DBRW($B$1,$B$2,$B$7,$B$3,$B$4,$B$5,$F278,$B$6,AC$10,$A278,$B278)</f>
        <v>2989.0753468102748</v>
      </c>
      <c r="AD278" s="4">
        <f ca="1">_xll.DBRW($B$1,$B$2,$B$7,$B$3,$B$4,$B$5,$F278,$B$6,AD$10,$A278,$B278)</f>
        <v>0</v>
      </c>
      <c r="AE278" s="4">
        <f ca="1">_xll.DBRW($B$1,$B$2,$B$7,$B$3,$B$4,$B$5,$F278,$B$6,AE$10,$A278,$B278)</f>
        <v>0</v>
      </c>
    </row>
    <row r="279" spans="1:31">
      <c r="A279" s="1" t="s">
        <v>151</v>
      </c>
      <c r="B279" s="5" t="s">
        <v>200</v>
      </c>
      <c r="C279" s="5" t="s">
        <v>161</v>
      </c>
      <c r="D279" s="5" t="s">
        <v>21</v>
      </c>
      <c r="E279" s="5" t="s">
        <v>69</v>
      </c>
      <c r="F279" s="5" t="s">
        <v>25</v>
      </c>
      <c r="G279" s="6"/>
      <c r="H279" s="6"/>
      <c r="I279" s="6"/>
      <c r="J279" s="6"/>
      <c r="K279" s="6"/>
      <c r="L279" s="4">
        <f ca="1">_xll.DBRW($B$1,$B$2,$B$7,$B$3,$B$4,$B$5,$F279,$B$6,L$10,$A279,$B279)</f>
        <v>4170.9451876102976</v>
      </c>
      <c r="M279" s="4">
        <f ca="1">_xll.DBRW($B$1,$B$2,$B$7,$B$3,$B$4,$B$5,$F279,$B$6,M$10,$A279,$B279)</f>
        <v>4484.7168472253907</v>
      </c>
      <c r="N279" s="4">
        <f ca="1">_xll.DBRW($B$1,$B$2,$B$7,$B$3,$B$4,$B$5,$F279,$B$6,N$10,$A279,$B279)</f>
        <v>4906.5491542516493</v>
      </c>
      <c r="O279" s="4">
        <f ca="1">_xll.DBRW($B$1,$B$2,$B$7,$B$3,$B$4,$B$5,$F279,$B$6,O$10,$A279,$B279)</f>
        <v>4840.4785077053193</v>
      </c>
      <c r="P279" s="4">
        <f ca="1">_xll.DBRW($B$1,$B$2,$B$7,$B$3,$B$4,$B$5,$F279,$B$6,P$10,$A279,$B279)</f>
        <v>3410.6985334189267</v>
      </c>
      <c r="Q279" s="4">
        <f ca="1">_xll.DBRW($B$1,$B$2,$B$7,$B$3,$B$4,$B$5,$F279,$B$6,Q$10,$A279,$B279)</f>
        <v>4165.1117324168681</v>
      </c>
      <c r="R279" s="4">
        <f ca="1">_xll.DBRW($B$1,$B$2,$B$7,$B$3,$B$4,$B$5,$F279,$B$6,R$10,$A279,$B279)</f>
        <v>4342.7129945439492</v>
      </c>
      <c r="S279" s="4">
        <f ca="1">_xll.DBRW($B$1,$B$2,$B$7,$B$3,$B$4,$B$5,$F279,$B$6,S$10,$A279,$B279)</f>
        <v>4948.9891769463256</v>
      </c>
      <c r="T279" s="4">
        <f ca="1">_xll.DBRW($B$1,$B$2,$B$7,$B$3,$B$4,$B$5,$F279,$B$6,T$10,$A279,$B279)</f>
        <v>4297.1961587169371</v>
      </c>
      <c r="U279" s="4">
        <f ca="1">_xll.DBRW($B$1,$B$2,$B$7,$B$3,$B$4,$B$5,$F279,$B$6,U$10,$A279,$B279)</f>
        <v>3816.1259409710533</v>
      </c>
      <c r="V279" s="4">
        <f ca="1">_xll.DBRW($B$1,$B$2,$B$7,$B$3,$B$4,$B$5,$F279,$B$6,V$10,$A279,$B279)</f>
        <v>4708.2872642086932</v>
      </c>
      <c r="W279" s="4">
        <f ca="1">_xll.DBRW($B$1,$B$2,$B$7,$B$3,$B$4,$B$5,$F279,$B$6,W$10,$A279,$B279)</f>
        <v>4667.4953263597818</v>
      </c>
      <c r="X279" s="4">
        <f ca="1">_xll.DBRW($B$1,$B$2,$B$7,$B$3,$B$4,$B$5,$F279,$B$6,X$10,$A279,$B279)</f>
        <v>4957.4653634143124</v>
      </c>
      <c r="Y279" s="4">
        <f ca="1">_xll.DBRW($B$1,$B$2,$B$7,$B$3,$B$4,$B$5,$F279,$B$6,Y$10,$A279,$B279)</f>
        <v>5039.2904751756123</v>
      </c>
      <c r="Z279" s="4">
        <f ca="1">_xll.DBRW($B$1,$B$2,$B$7,$B$3,$B$4,$B$5,$F279,$B$6,Z$10,$A279,$B279)</f>
        <v>5211.8336368559148</v>
      </c>
      <c r="AA279" s="4">
        <f ca="1">_xll.DBRW($B$1,$B$2,$B$7,$B$3,$B$4,$B$5,$F279,$B$6,AA$10,$A279,$B279)</f>
        <v>5047.7056337122531</v>
      </c>
      <c r="AB279" s="4">
        <f ca="1">_xll.DBRW($B$1,$B$2,$B$7,$B$3,$B$4,$B$5,$F279,$B$6,AB$10,$A279,$B279)</f>
        <v>3443.5580780107589</v>
      </c>
      <c r="AC279" s="4">
        <f ca="1">_xll.DBRW($B$1,$B$2,$B$7,$B$3,$B$4,$B$5,$F279,$B$6,AC$10,$A279,$B279)</f>
        <v>4341.7762770437384</v>
      </c>
      <c r="AD279" s="4">
        <f ca="1">_xll.DBRW($B$1,$B$2,$B$7,$B$3,$B$4,$B$5,$F279,$B$6,AD$10,$A279,$B279)</f>
        <v>3987.8224175270611</v>
      </c>
      <c r="AE279" s="4">
        <f ca="1">_xll.DBRW($B$1,$B$2,$B$7,$B$3,$B$4,$B$5,$F279,$B$6,AE$10,$A279,$B279)</f>
        <v>4235.6296004909264</v>
      </c>
    </row>
    <row r="280" spans="1:31">
      <c r="A280" s="1" t="s">
        <v>151</v>
      </c>
      <c r="B280" s="5" t="s">
        <v>70</v>
      </c>
      <c r="C280" s="5" t="s">
        <v>68</v>
      </c>
      <c r="D280" s="5" t="s">
        <v>69</v>
      </c>
      <c r="E280" s="5" t="s">
        <v>21</v>
      </c>
      <c r="F280" s="5" t="s">
        <v>25</v>
      </c>
      <c r="G280" s="6"/>
      <c r="H280" s="6"/>
      <c r="I280" s="6"/>
      <c r="J280" s="6"/>
      <c r="K280" s="6"/>
      <c r="L280" s="4">
        <f ca="1">_xll.DBRW($B$1,$B$2,$B$7,$B$3,$B$4,$B$5,$F280,$B$6,L$10,$A280,$B280)</f>
        <v>4170.9451876102976</v>
      </c>
      <c r="M280" s="4">
        <f ca="1">_xll.DBRW($B$1,$B$2,$B$7,$B$3,$B$4,$B$5,$F280,$B$6,M$10,$A280,$B280)</f>
        <v>4484.7168472253907</v>
      </c>
      <c r="N280" s="4">
        <f ca="1">_xll.DBRW($B$1,$B$2,$B$7,$B$3,$B$4,$B$5,$F280,$B$6,N$10,$A280,$B280)</f>
        <v>4906.5491542516493</v>
      </c>
      <c r="O280" s="4">
        <f ca="1">_xll.DBRW($B$1,$B$2,$B$7,$B$3,$B$4,$B$5,$F280,$B$6,O$10,$A280,$B280)</f>
        <v>4840.4785077053193</v>
      </c>
      <c r="P280" s="4">
        <f ca="1">_xll.DBRW($B$1,$B$2,$B$7,$B$3,$B$4,$B$5,$F280,$B$6,P$10,$A280,$B280)</f>
        <v>3410.6985334189267</v>
      </c>
      <c r="Q280" s="4">
        <f ca="1">_xll.DBRW($B$1,$B$2,$B$7,$B$3,$B$4,$B$5,$F280,$B$6,Q$10,$A280,$B280)</f>
        <v>4165.1117324168681</v>
      </c>
      <c r="R280" s="4">
        <f ca="1">_xll.DBRW($B$1,$B$2,$B$7,$B$3,$B$4,$B$5,$F280,$B$6,R$10,$A280,$B280)</f>
        <v>4342.7129945439492</v>
      </c>
      <c r="S280" s="4">
        <f ca="1">_xll.DBRW($B$1,$B$2,$B$7,$B$3,$B$4,$B$5,$F280,$B$6,S$10,$A280,$B280)</f>
        <v>4948.9891769463256</v>
      </c>
      <c r="T280" s="4">
        <f ca="1">_xll.DBRW($B$1,$B$2,$B$7,$B$3,$B$4,$B$5,$F280,$B$6,T$10,$A280,$B280)</f>
        <v>4297.1961587169371</v>
      </c>
      <c r="U280" s="4">
        <f ca="1">_xll.DBRW($B$1,$B$2,$B$7,$B$3,$B$4,$B$5,$F280,$B$6,U$10,$A280,$B280)</f>
        <v>3816.1259409710533</v>
      </c>
      <c r="V280" s="4">
        <f ca="1">_xll.DBRW($B$1,$B$2,$B$7,$B$3,$B$4,$B$5,$F280,$B$6,V$10,$A280,$B280)</f>
        <v>4708.2872642086932</v>
      </c>
      <c r="W280" s="4">
        <f ca="1">_xll.DBRW($B$1,$B$2,$B$7,$B$3,$B$4,$B$5,$F280,$B$6,W$10,$A280,$B280)</f>
        <v>4667.4953263597818</v>
      </c>
      <c r="X280" s="4">
        <f ca="1">_xll.DBRW($B$1,$B$2,$B$7,$B$3,$B$4,$B$5,$F280,$B$6,X$10,$A280,$B280)</f>
        <v>4957.4653634143124</v>
      </c>
      <c r="Y280" s="4">
        <f ca="1">_xll.DBRW($B$1,$B$2,$B$7,$B$3,$B$4,$B$5,$F280,$B$6,Y$10,$A280,$B280)</f>
        <v>5039.2904751756123</v>
      </c>
      <c r="Z280" s="4">
        <f ca="1">_xll.DBRW($B$1,$B$2,$B$7,$B$3,$B$4,$B$5,$F280,$B$6,Z$10,$A280,$B280)</f>
        <v>5211.8336368559148</v>
      </c>
      <c r="AA280" s="4">
        <f ca="1">_xll.DBRW($B$1,$B$2,$B$7,$B$3,$B$4,$B$5,$F280,$B$6,AA$10,$A280,$B280)</f>
        <v>5047.7056337122531</v>
      </c>
      <c r="AB280" s="4">
        <f ca="1">_xll.DBRW($B$1,$B$2,$B$7,$B$3,$B$4,$B$5,$F280,$B$6,AB$10,$A280,$B280)</f>
        <v>3443.5580780107589</v>
      </c>
      <c r="AC280" s="4">
        <f ca="1">_xll.DBRW($B$1,$B$2,$B$7,$B$3,$B$4,$B$5,$F280,$B$6,AC$10,$A280,$B280)</f>
        <v>4206.532187831609</v>
      </c>
      <c r="AD280" s="4">
        <f ca="1">_xll.DBRW($B$1,$B$2,$B$7,$B$3,$B$4,$B$5,$F280,$B$6,AD$10,$A280,$B280)</f>
        <v>3987.8224175270611</v>
      </c>
      <c r="AE280" s="4">
        <f ca="1">_xll.DBRW($B$1,$B$2,$B$7,$B$3,$B$4,$B$5,$F280,$B$6,AE$10,$A280,$B280)</f>
        <v>4235.6296004909264</v>
      </c>
    </row>
    <row r="281" spans="1:31">
      <c r="A281" s="1" t="s">
        <v>151</v>
      </c>
      <c r="B281" s="5" t="s">
        <v>201</v>
      </c>
      <c r="C281" s="5" t="s">
        <v>202</v>
      </c>
      <c r="D281" s="5" t="s">
        <v>28</v>
      </c>
      <c r="E281" s="5" t="s">
        <v>38</v>
      </c>
      <c r="F281" s="5" t="s">
        <v>25</v>
      </c>
      <c r="G281" s="6"/>
      <c r="H281" s="6"/>
      <c r="I281" s="6"/>
      <c r="J281" s="6"/>
      <c r="K281" s="6"/>
      <c r="L281" s="4">
        <f ca="1">_xll.DBRW($B$1,$B$2,$B$7,$B$3,$B$4,$B$5,$F281,$B$6,L$10,$A281,$B281)</f>
        <v>4657.7366282997182</v>
      </c>
      <c r="M281" s="4">
        <f ca="1">_xll.DBRW($B$1,$B$2,$B$7,$B$3,$B$4,$B$5,$F281,$B$6,M$10,$A281,$B281)</f>
        <v>5092.0246630646006</v>
      </c>
      <c r="N281" s="4">
        <f ca="1">_xll.DBRW($B$1,$B$2,$B$7,$B$3,$B$4,$B$5,$F281,$B$6,N$10,$A281,$B281)</f>
        <v>4597.9632789277912</v>
      </c>
      <c r="O281" s="4">
        <f ca="1">_xll.DBRW($B$1,$B$2,$B$7,$B$3,$B$4,$B$5,$F281,$B$6,O$10,$A281,$B281)</f>
        <v>4505.8827832499956</v>
      </c>
      <c r="P281" s="4">
        <f ca="1">_xll.DBRW($B$1,$B$2,$B$7,$B$3,$B$4,$B$5,$F281,$B$6,P$10,$A281,$B281)</f>
        <v>4254.3213657537171</v>
      </c>
      <c r="Q281" s="4">
        <f ca="1">_xll.DBRW($B$1,$B$2,$B$7,$B$3,$B$4,$B$5,$F281,$B$6,Q$10,$A281,$B281)</f>
        <v>3643.5832500711099</v>
      </c>
      <c r="R281" s="4">
        <f ca="1">_xll.DBRW($B$1,$B$2,$B$7,$B$3,$B$4,$B$5,$F281,$B$6,R$10,$A281,$B281)</f>
        <v>2901.7475316703963</v>
      </c>
      <c r="S281" s="4">
        <f ca="1">_xll.DBRW($B$1,$B$2,$B$7,$B$3,$B$4,$B$5,$F281,$B$6,S$10,$A281,$B281)</f>
        <v>3665.1550451155795</v>
      </c>
      <c r="T281" s="4">
        <f ca="1">_xll.DBRW($B$1,$B$2,$B$7,$B$3,$B$4,$B$5,$F281,$B$6,T$10,$A281,$B281)</f>
        <v>3882.6621650775051</v>
      </c>
      <c r="U281" s="4">
        <f ca="1">_xll.DBRW($B$1,$B$2,$B$7,$B$3,$B$4,$B$5,$F281,$B$6,U$10,$A281,$B281)</f>
        <v>3716.8145963269039</v>
      </c>
      <c r="V281" s="4">
        <f ca="1">_xll.DBRW($B$1,$B$2,$B$7,$B$3,$B$4,$B$5,$F281,$B$6,V$10,$A281,$B281)</f>
        <v>3999.3695586949279</v>
      </c>
      <c r="W281" s="4">
        <f ca="1">_xll.DBRW($B$1,$B$2,$B$7,$B$3,$B$4,$B$5,$F281,$B$6,W$10,$A281,$B281)</f>
        <v>7429.5133362249708</v>
      </c>
      <c r="X281" s="4">
        <f ca="1">_xll.DBRW($B$1,$B$2,$B$7,$B$3,$B$4,$B$5,$F281,$B$6,X$10,$A281,$B281)</f>
        <v>7687.0123365482677</v>
      </c>
      <c r="Y281" s="4">
        <f ca="1">_xll.DBRW($B$1,$B$2,$B$7,$B$3,$B$4,$B$5,$F281,$B$6,Y$10,$A281,$B281)</f>
        <v>6723.0084831556005</v>
      </c>
      <c r="Z281" s="4">
        <f ca="1">_xll.DBRW($B$1,$B$2,$B$7,$B$3,$B$4,$B$5,$F281,$B$6,Z$10,$A281,$B281)</f>
        <v>7428.4109538331313</v>
      </c>
      <c r="AA281" s="4">
        <f ca="1">_xll.DBRW($B$1,$B$2,$B$7,$B$3,$B$4,$B$5,$F281,$B$6,AA$10,$A281,$B281)</f>
        <v>7739.9875733579429</v>
      </c>
      <c r="AB281" s="4">
        <f ca="1">_xll.DBRW($B$1,$B$2,$B$7,$B$3,$B$4,$B$5,$F281,$B$6,AB$10,$A281,$B281)</f>
        <v>6416.5244681405911</v>
      </c>
      <c r="AC281" s="4">
        <f ca="1">_xll.DBRW($B$1,$B$2,$B$7,$B$3,$B$4,$B$5,$F281,$B$6,AC$10,$A281,$B281)</f>
        <v>5840.6568448634143</v>
      </c>
      <c r="AD281" s="4">
        <f ca="1">_xll.DBRW($B$1,$B$2,$B$7,$B$3,$B$4,$B$5,$F281,$B$6,AD$10,$A281,$B281)</f>
        <v>3591.291494846439</v>
      </c>
      <c r="AE281" s="4">
        <f ca="1">_xll.DBRW($B$1,$B$2,$B$7,$B$3,$B$4,$B$5,$F281,$B$6,AE$10,$A281,$B281)</f>
        <v>4230.5494307201998</v>
      </c>
    </row>
    <row r="282" spans="1:31">
      <c r="A282" s="1" t="s">
        <v>151</v>
      </c>
      <c r="B282" s="5" t="s">
        <v>45</v>
      </c>
      <c r="C282" s="5" t="s">
        <v>46</v>
      </c>
      <c r="D282" s="5" t="s">
        <v>38</v>
      </c>
      <c r="E282" s="5" t="s">
        <v>28</v>
      </c>
      <c r="F282" s="5" t="s">
        <v>25</v>
      </c>
      <c r="G282" s="6"/>
      <c r="H282" s="6"/>
      <c r="I282" s="6"/>
      <c r="J282" s="6"/>
      <c r="K282" s="6"/>
      <c r="L282" s="4">
        <f ca="1">_xll.DBRW($B$1,$B$2,$B$7,$B$3,$B$4,$B$5,$F282,$B$6,L$10,$A282,$B282)</f>
        <v>4657.7366282997182</v>
      </c>
      <c r="M282" s="4">
        <f ca="1">_xll.DBRW($B$1,$B$2,$B$7,$B$3,$B$4,$B$5,$F282,$B$6,M$10,$A282,$B282)</f>
        <v>5092.0246630646006</v>
      </c>
      <c r="N282" s="4">
        <f ca="1">_xll.DBRW($B$1,$B$2,$B$7,$B$3,$B$4,$B$5,$F282,$B$6,N$10,$A282,$B282)</f>
        <v>4597.9632789277912</v>
      </c>
      <c r="O282" s="4">
        <f ca="1">_xll.DBRW($B$1,$B$2,$B$7,$B$3,$B$4,$B$5,$F282,$B$6,O$10,$A282,$B282)</f>
        <v>4505.8827832499956</v>
      </c>
      <c r="P282" s="4">
        <f ca="1">_xll.DBRW($B$1,$B$2,$B$7,$B$3,$B$4,$B$5,$F282,$B$6,P$10,$A282,$B282)</f>
        <v>4254.3213657537171</v>
      </c>
      <c r="Q282" s="4">
        <f ca="1">_xll.DBRW($B$1,$B$2,$B$7,$B$3,$B$4,$B$5,$F282,$B$6,Q$10,$A282,$B282)</f>
        <v>3643.5832500711099</v>
      </c>
      <c r="R282" s="4">
        <f ca="1">_xll.DBRW($B$1,$B$2,$B$7,$B$3,$B$4,$B$5,$F282,$B$6,R$10,$A282,$B282)</f>
        <v>2901.7475316703963</v>
      </c>
      <c r="S282" s="4">
        <f ca="1">_xll.DBRW($B$1,$B$2,$B$7,$B$3,$B$4,$B$5,$F282,$B$6,S$10,$A282,$B282)</f>
        <v>3665.1550451155795</v>
      </c>
      <c r="T282" s="4">
        <f ca="1">_xll.DBRW($B$1,$B$2,$B$7,$B$3,$B$4,$B$5,$F282,$B$6,T$10,$A282,$B282)</f>
        <v>3882.6621650775051</v>
      </c>
      <c r="U282" s="4">
        <f ca="1">_xll.DBRW($B$1,$B$2,$B$7,$B$3,$B$4,$B$5,$F282,$B$6,U$10,$A282,$B282)</f>
        <v>3716.8145963269039</v>
      </c>
      <c r="V282" s="4">
        <f ca="1">_xll.DBRW($B$1,$B$2,$B$7,$B$3,$B$4,$B$5,$F282,$B$6,V$10,$A282,$B282)</f>
        <v>3999.3695586949279</v>
      </c>
      <c r="W282" s="4">
        <f ca="1">_xll.DBRW($B$1,$B$2,$B$7,$B$3,$B$4,$B$5,$F282,$B$6,W$10,$A282,$B282)</f>
        <v>7429.5133362249708</v>
      </c>
      <c r="X282" s="4">
        <f ca="1">_xll.DBRW($B$1,$B$2,$B$7,$B$3,$B$4,$B$5,$F282,$B$6,X$10,$A282,$B282)</f>
        <v>7687.0123365482677</v>
      </c>
      <c r="Y282" s="4">
        <f ca="1">_xll.DBRW($B$1,$B$2,$B$7,$B$3,$B$4,$B$5,$F282,$B$6,Y$10,$A282,$B282)</f>
        <v>6723.0084831556005</v>
      </c>
      <c r="Z282" s="4">
        <f ca="1">_xll.DBRW($B$1,$B$2,$B$7,$B$3,$B$4,$B$5,$F282,$B$6,Z$10,$A282,$B282)</f>
        <v>7428.4109538331313</v>
      </c>
      <c r="AA282" s="4">
        <f ca="1">_xll.DBRW($B$1,$B$2,$B$7,$B$3,$B$4,$B$5,$F282,$B$6,AA$10,$A282,$B282)</f>
        <v>7739.9875733579429</v>
      </c>
      <c r="AB282" s="4">
        <f ca="1">_xll.DBRW($B$1,$B$2,$B$7,$B$3,$B$4,$B$5,$F282,$B$6,AB$10,$A282,$B282)</f>
        <v>6416.5244681405911</v>
      </c>
      <c r="AC282" s="4">
        <f ca="1">_xll.DBRW($B$1,$B$2,$B$7,$B$3,$B$4,$B$5,$F282,$B$6,AC$10,$A282,$B282)</f>
        <v>5696.779146288216</v>
      </c>
      <c r="AD282" s="4">
        <f ca="1">_xll.DBRW($B$1,$B$2,$B$7,$B$3,$B$4,$B$5,$F282,$B$6,AD$10,$A282,$B282)</f>
        <v>3591.291494846439</v>
      </c>
      <c r="AE282" s="4">
        <f ca="1">_xll.DBRW($B$1,$B$2,$B$7,$B$3,$B$4,$B$5,$F282,$B$6,AE$10,$A282,$B282)</f>
        <v>4230.5494307201998</v>
      </c>
    </row>
    <row r="283" spans="1:31">
      <c r="A283" s="1" t="s">
        <v>151</v>
      </c>
      <c r="B283" s="5" t="s">
        <v>203</v>
      </c>
      <c r="C283" s="5" t="s">
        <v>204</v>
      </c>
      <c r="D283" s="5" t="s">
        <v>21</v>
      </c>
      <c r="E283" s="5" t="s">
        <v>80</v>
      </c>
      <c r="F283" s="5" t="s">
        <v>25</v>
      </c>
      <c r="G283" s="6"/>
      <c r="H283" s="6"/>
      <c r="I283" s="6"/>
      <c r="J283" s="6"/>
      <c r="K283" s="6"/>
      <c r="L283" s="4">
        <f ca="1">_xll.DBRW($B$1,$B$2,$B$7,$B$3,$B$4,$B$5,$F283,$B$6,L$10,$A283,$B283)</f>
        <v>4266.710378766802</v>
      </c>
      <c r="M283" s="4">
        <f ca="1">_xll.DBRW($B$1,$B$2,$B$7,$B$3,$B$4,$B$5,$F283,$B$6,M$10,$A283,$B283)</f>
        <v>4300.4636943466976</v>
      </c>
      <c r="N283" s="4">
        <f ca="1">_xll.DBRW($B$1,$B$2,$B$7,$B$3,$B$4,$B$5,$F283,$B$6,N$10,$A283,$B283)</f>
        <v>4093.4656466651045</v>
      </c>
      <c r="O283" s="4">
        <f ca="1">_xll.DBRW($B$1,$B$2,$B$7,$B$3,$B$4,$B$5,$F283,$B$6,O$10,$A283,$B283)</f>
        <v>4376.1013257675404</v>
      </c>
      <c r="P283" s="4">
        <f ca="1">_xll.DBRW($B$1,$B$2,$B$7,$B$3,$B$4,$B$5,$F283,$B$6,P$10,$A283,$B283)</f>
        <v>2775.0063102940599</v>
      </c>
      <c r="Q283" s="4">
        <f ca="1">_xll.DBRW($B$1,$B$2,$B$7,$B$3,$B$4,$B$5,$F283,$B$6,Q$10,$A283,$B283)</f>
        <v>3440.5638043547037</v>
      </c>
      <c r="R283" s="4">
        <f ca="1">_xll.DBRW($B$1,$B$2,$B$7,$B$3,$B$4,$B$5,$F283,$B$6,R$10,$A283,$B283)</f>
        <v>3434.4788032941447</v>
      </c>
      <c r="S283" s="4">
        <f ca="1">_xll.DBRW($B$1,$B$2,$B$7,$B$3,$B$4,$B$5,$F283,$B$6,S$10,$A283,$B283)</f>
        <v>3435.3035370722673</v>
      </c>
      <c r="T283" s="4">
        <f ca="1">_xll.DBRW($B$1,$B$2,$B$7,$B$3,$B$4,$B$5,$F283,$B$6,T$10,$A283,$B283)</f>
        <v>4276.0395611316535</v>
      </c>
      <c r="U283" s="4">
        <f ca="1">_xll.DBRW($B$1,$B$2,$B$7,$B$3,$B$4,$B$5,$F283,$B$6,U$10,$A283,$B283)</f>
        <v>3807.2533020186925</v>
      </c>
      <c r="V283" s="4">
        <f ca="1">_xll.DBRW($B$1,$B$2,$B$7,$B$3,$B$4,$B$5,$F283,$B$6,V$10,$A283,$B283)</f>
        <v>4738.8308132362135</v>
      </c>
      <c r="W283" s="4">
        <f ca="1">_xll.DBRW($B$1,$B$2,$B$7,$B$3,$B$4,$B$5,$F283,$B$6,W$10,$A283,$B283)</f>
        <v>3645.5794421037526</v>
      </c>
      <c r="X283" s="4">
        <f ca="1">_xll.DBRW($B$1,$B$2,$B$7,$B$3,$B$4,$B$5,$F283,$B$6,X$10,$A283,$B283)</f>
        <v>4767.9873962891443</v>
      </c>
      <c r="Y283" s="4">
        <f ca="1">_xll.DBRW($B$1,$B$2,$B$7,$B$3,$B$4,$B$5,$F283,$B$6,Y$10,$A283,$B283)</f>
        <v>4722.1994743982023</v>
      </c>
      <c r="Z283" s="4">
        <f ca="1">_xll.DBRW($B$1,$B$2,$B$7,$B$3,$B$4,$B$5,$F283,$B$6,Z$10,$A283,$B283)</f>
        <v>4746.1836485266567</v>
      </c>
      <c r="AA283" s="4">
        <f ca="1">_xll.DBRW($B$1,$B$2,$B$7,$B$3,$B$4,$B$5,$F283,$B$6,AA$10,$A283,$B283)</f>
        <v>5177.5788868829304</v>
      </c>
      <c r="AB283" s="4">
        <f ca="1">_xll.DBRW($B$1,$B$2,$B$7,$B$3,$B$4,$B$5,$F283,$B$6,AB$10,$A283,$B283)</f>
        <v>3352.6070143828115</v>
      </c>
      <c r="AC283" s="4">
        <f ca="1">_xll.DBRW($B$1,$B$2,$B$7,$B$3,$B$4,$B$5,$F283,$B$6,AC$10,$A283,$B283)</f>
        <v>4648.5728269522642</v>
      </c>
      <c r="AD283" s="4">
        <f ca="1">_xll.DBRW($B$1,$B$2,$B$7,$B$3,$B$4,$B$5,$F283,$B$6,AD$10,$A283,$B283)</f>
        <v>4444.4113534201188</v>
      </c>
      <c r="AE283" s="4">
        <f ca="1">_xll.DBRW($B$1,$B$2,$B$7,$B$3,$B$4,$B$5,$F283,$B$6,AE$10,$A283,$B283)</f>
        <v>4807.8851595987062</v>
      </c>
    </row>
    <row r="284" spans="1:31">
      <c r="A284" s="1" t="s">
        <v>151</v>
      </c>
      <c r="B284" s="5" t="s">
        <v>78</v>
      </c>
      <c r="C284" s="5" t="s">
        <v>79</v>
      </c>
      <c r="D284" s="5" t="s">
        <v>80</v>
      </c>
      <c r="E284" s="5" t="s">
        <v>21</v>
      </c>
      <c r="F284" s="5" t="s">
        <v>25</v>
      </c>
      <c r="G284" s="6"/>
      <c r="H284" s="6"/>
      <c r="I284" s="6"/>
      <c r="J284" s="6"/>
      <c r="K284" s="6"/>
      <c r="L284" s="4">
        <f ca="1">_xll.DBRW($B$1,$B$2,$B$7,$B$3,$B$4,$B$5,$F284,$B$6,L$10,$A284,$B284)</f>
        <v>4266.710378766802</v>
      </c>
      <c r="M284" s="4">
        <f ca="1">_xll.DBRW($B$1,$B$2,$B$7,$B$3,$B$4,$B$5,$F284,$B$6,M$10,$A284,$B284)</f>
        <v>4300.4636943466976</v>
      </c>
      <c r="N284" s="4">
        <f ca="1">_xll.DBRW($B$1,$B$2,$B$7,$B$3,$B$4,$B$5,$F284,$B$6,N$10,$A284,$B284)</f>
        <v>4093.4656466651045</v>
      </c>
      <c r="O284" s="4">
        <f ca="1">_xll.DBRW($B$1,$B$2,$B$7,$B$3,$B$4,$B$5,$F284,$B$6,O$10,$A284,$B284)</f>
        <v>4376.1013257675404</v>
      </c>
      <c r="P284" s="4">
        <f ca="1">_xll.DBRW($B$1,$B$2,$B$7,$B$3,$B$4,$B$5,$F284,$B$6,P$10,$A284,$B284)</f>
        <v>2775.0063102940599</v>
      </c>
      <c r="Q284" s="4">
        <f ca="1">_xll.DBRW($B$1,$B$2,$B$7,$B$3,$B$4,$B$5,$F284,$B$6,Q$10,$A284,$B284)</f>
        <v>3440.5638043547037</v>
      </c>
      <c r="R284" s="4">
        <f ca="1">_xll.DBRW($B$1,$B$2,$B$7,$B$3,$B$4,$B$5,$F284,$B$6,R$10,$A284,$B284)</f>
        <v>3434.4788032941447</v>
      </c>
      <c r="S284" s="4">
        <f ca="1">_xll.DBRW($B$1,$B$2,$B$7,$B$3,$B$4,$B$5,$F284,$B$6,S$10,$A284,$B284)</f>
        <v>3435.3035370722673</v>
      </c>
      <c r="T284" s="4">
        <f ca="1">_xll.DBRW($B$1,$B$2,$B$7,$B$3,$B$4,$B$5,$F284,$B$6,T$10,$A284,$B284)</f>
        <v>4276.0395611316535</v>
      </c>
      <c r="U284" s="4">
        <f ca="1">_xll.DBRW($B$1,$B$2,$B$7,$B$3,$B$4,$B$5,$F284,$B$6,U$10,$A284,$B284)</f>
        <v>3807.2533020186925</v>
      </c>
      <c r="V284" s="4">
        <f ca="1">_xll.DBRW($B$1,$B$2,$B$7,$B$3,$B$4,$B$5,$F284,$B$6,V$10,$A284,$B284)</f>
        <v>4738.8308132362135</v>
      </c>
      <c r="W284" s="4">
        <f ca="1">_xll.DBRW($B$1,$B$2,$B$7,$B$3,$B$4,$B$5,$F284,$B$6,W$10,$A284,$B284)</f>
        <v>3645.5794421037526</v>
      </c>
      <c r="X284" s="4">
        <f ca="1">_xll.DBRW($B$1,$B$2,$B$7,$B$3,$B$4,$B$5,$F284,$B$6,X$10,$A284,$B284)</f>
        <v>4767.9873962891443</v>
      </c>
      <c r="Y284" s="4">
        <f ca="1">_xll.DBRW($B$1,$B$2,$B$7,$B$3,$B$4,$B$5,$F284,$B$6,Y$10,$A284,$B284)</f>
        <v>4722.1994743982023</v>
      </c>
      <c r="Z284" s="4">
        <f ca="1">_xll.DBRW($B$1,$B$2,$B$7,$B$3,$B$4,$B$5,$F284,$B$6,Z$10,$A284,$B284)</f>
        <v>4746.1836485266567</v>
      </c>
      <c r="AA284" s="4">
        <f ca="1">_xll.DBRW($B$1,$B$2,$B$7,$B$3,$B$4,$B$5,$F284,$B$6,AA$10,$A284,$B284)</f>
        <v>5177.5788868829304</v>
      </c>
      <c r="AB284" s="4">
        <f ca="1">_xll.DBRW($B$1,$B$2,$B$7,$B$3,$B$4,$B$5,$F284,$B$6,AB$10,$A284,$B284)</f>
        <v>3352.6070143828115</v>
      </c>
      <c r="AC284" s="4">
        <f ca="1">_xll.DBRW($B$1,$B$2,$B$7,$B$3,$B$4,$B$5,$F284,$B$6,AC$10,$A284,$B284)</f>
        <v>4499.012169466826</v>
      </c>
      <c r="AD284" s="4">
        <f ca="1">_xll.DBRW($B$1,$B$2,$B$7,$B$3,$B$4,$B$5,$F284,$B$6,AD$10,$A284,$B284)</f>
        <v>4444.4113534201188</v>
      </c>
      <c r="AE284" s="4">
        <f ca="1">_xll.DBRW($B$1,$B$2,$B$7,$B$3,$B$4,$B$5,$F284,$B$6,AE$10,$A284,$B284)</f>
        <v>4652.7920899342316</v>
      </c>
    </row>
    <row r="285" spans="1:31">
      <c r="A285" s="1" t="s">
        <v>151</v>
      </c>
      <c r="B285" s="5" t="s">
        <v>205</v>
      </c>
      <c r="C285" s="5" t="s">
        <v>206</v>
      </c>
      <c r="D285" s="5" t="s">
        <v>21</v>
      </c>
      <c r="E285" s="5" t="s">
        <v>181</v>
      </c>
      <c r="F285" s="5" t="s">
        <v>25</v>
      </c>
      <c r="G285" s="6"/>
      <c r="H285" s="6"/>
      <c r="I285" s="6"/>
      <c r="J285" s="6"/>
      <c r="K285" s="6"/>
      <c r="L285" s="4">
        <f ca="1">_xll.DBRW($B$1,$B$2,$B$7,$B$3,$B$4,$B$5,$F285,$B$6,L$10,$A285,$B285)</f>
        <v>1414.0501865789158</v>
      </c>
      <c r="M285" s="4">
        <f ca="1">_xll.DBRW($B$1,$B$2,$B$7,$B$3,$B$4,$B$5,$F285,$B$6,M$10,$A285,$B285)</f>
        <v>731.83329535373605</v>
      </c>
      <c r="N285" s="4">
        <f ca="1">_xll.DBRW($B$1,$B$2,$B$7,$B$3,$B$4,$B$5,$F285,$B$6,N$10,$A285,$B285)</f>
        <v>699.29263205183076</v>
      </c>
      <c r="O285" s="4">
        <f ca="1">_xll.DBRW($B$1,$B$2,$B$7,$B$3,$B$4,$B$5,$F285,$B$6,O$10,$A285,$B285)</f>
        <v>882.27849309829446</v>
      </c>
      <c r="P285" s="4">
        <f ca="1">_xll.DBRW($B$1,$B$2,$B$7,$B$3,$B$4,$B$5,$F285,$B$6,P$10,$A285,$B285)</f>
        <v>705.5440998686164</v>
      </c>
      <c r="Q285" s="4">
        <f ca="1">_xll.DBRW($B$1,$B$2,$B$7,$B$3,$B$4,$B$5,$F285,$B$6,Q$10,$A285,$B285)</f>
        <v>1566.7121892226085</v>
      </c>
      <c r="R285" s="4">
        <f ca="1">_xll.DBRW($B$1,$B$2,$B$7,$B$3,$B$4,$B$5,$F285,$B$6,R$10,$A285,$B285)</f>
        <v>4784.3461852153159</v>
      </c>
      <c r="S285" s="4">
        <f ca="1">_xll.DBRW($B$1,$B$2,$B$7,$B$3,$B$4,$B$5,$F285,$B$6,S$10,$A285,$B285)</f>
        <v>5544.0041461801093</v>
      </c>
      <c r="T285" s="4">
        <f ca="1">_xll.DBRW($B$1,$B$2,$B$7,$B$3,$B$4,$B$5,$F285,$B$6,T$10,$A285,$B285)</f>
        <v>5817.5771481864031</v>
      </c>
      <c r="U285" s="4">
        <f ca="1">_xll.DBRW($B$1,$B$2,$B$7,$B$3,$B$4,$B$5,$F285,$B$6,U$10,$A285,$B285)</f>
        <v>5488.2772759354666</v>
      </c>
      <c r="V285" s="4">
        <f ca="1">_xll.DBRW($B$1,$B$2,$B$7,$B$3,$B$4,$B$5,$F285,$B$6,V$10,$A285,$B285)</f>
        <v>3880.6303139658962</v>
      </c>
      <c r="W285" s="4">
        <f ca="1">_xll.DBRW($B$1,$B$2,$B$7,$B$3,$B$4,$B$5,$F285,$B$6,W$10,$A285,$B285)</f>
        <v>1436.1651128561689</v>
      </c>
      <c r="X285" s="4">
        <f ca="1">_xll.DBRW($B$1,$B$2,$B$7,$B$3,$B$4,$B$5,$F285,$B$6,X$10,$A285,$B285)</f>
        <v>1658.6570564175588</v>
      </c>
      <c r="Y285" s="4">
        <f ca="1">_xll.DBRW($B$1,$B$2,$B$7,$B$3,$B$4,$B$5,$F285,$B$6,Y$10,$A285,$B285)</f>
        <v>1660.7114319972927</v>
      </c>
      <c r="Z285" s="4">
        <f ca="1">_xll.DBRW($B$1,$B$2,$B$7,$B$3,$B$4,$B$5,$F285,$B$6,Z$10,$A285,$B285)</f>
        <v>1473.750463018903</v>
      </c>
      <c r="AA285" s="4">
        <f ca="1">_xll.DBRW($B$1,$B$2,$B$7,$B$3,$B$4,$B$5,$F285,$B$6,AA$10,$A285,$B285)</f>
        <v>1655.8365039005118</v>
      </c>
      <c r="AB285" s="4">
        <f ca="1">_xll.DBRW($B$1,$B$2,$B$7,$B$3,$B$4,$B$5,$F285,$B$6,AB$10,$A285,$B285)</f>
        <v>1655.1826957317758</v>
      </c>
      <c r="AC285" s="4">
        <f ca="1">_xll.DBRW($B$1,$B$2,$B$7,$B$3,$B$4,$B$5,$F285,$B$6,AC$10,$A285,$B285)</f>
        <v>5938.6449631179321</v>
      </c>
      <c r="AD285" s="4">
        <f ca="1">_xll.DBRW($B$1,$B$2,$B$7,$B$3,$B$4,$B$5,$F285,$B$6,AD$10,$A285,$B285)</f>
        <v>5131.62222519652</v>
      </c>
      <c r="AE285" s="4">
        <f ca="1">_xll.DBRW($B$1,$B$2,$B$7,$B$3,$B$4,$B$5,$F285,$B$6,AE$10,$A285,$B285)</f>
        <v>5163.9106799194287</v>
      </c>
    </row>
    <row r="286" spans="1:31">
      <c r="A286" s="1" t="s">
        <v>151</v>
      </c>
      <c r="B286" s="5" t="s">
        <v>207</v>
      </c>
      <c r="C286" s="5" t="s">
        <v>208</v>
      </c>
      <c r="D286" s="5" t="s">
        <v>181</v>
      </c>
      <c r="E286" s="5" t="s">
        <v>21</v>
      </c>
      <c r="F286" s="5" t="s">
        <v>25</v>
      </c>
      <c r="G286" s="6"/>
      <c r="H286" s="6"/>
      <c r="I286" s="6"/>
      <c r="J286" s="6"/>
      <c r="K286" s="6"/>
      <c r="L286" s="4">
        <f ca="1">_xll.DBRW($B$1,$B$2,$B$7,$B$3,$B$4,$B$5,$F286,$B$6,L$10,$A286,$B286)</f>
        <v>1414.0501865789158</v>
      </c>
      <c r="M286" s="4">
        <f ca="1">_xll.DBRW($B$1,$B$2,$B$7,$B$3,$B$4,$B$5,$F286,$B$6,M$10,$A286,$B286)</f>
        <v>731.83329535373605</v>
      </c>
      <c r="N286" s="4">
        <f ca="1">_xll.DBRW($B$1,$B$2,$B$7,$B$3,$B$4,$B$5,$F286,$B$6,N$10,$A286,$B286)</f>
        <v>699.29263205183076</v>
      </c>
      <c r="O286" s="4">
        <f ca="1">_xll.DBRW($B$1,$B$2,$B$7,$B$3,$B$4,$B$5,$F286,$B$6,O$10,$A286,$B286)</f>
        <v>882.27849309829446</v>
      </c>
      <c r="P286" s="4">
        <f ca="1">_xll.DBRW($B$1,$B$2,$B$7,$B$3,$B$4,$B$5,$F286,$B$6,P$10,$A286,$B286)</f>
        <v>705.5440998686164</v>
      </c>
      <c r="Q286" s="4">
        <f ca="1">_xll.DBRW($B$1,$B$2,$B$7,$B$3,$B$4,$B$5,$F286,$B$6,Q$10,$A286,$B286)</f>
        <v>1566.7121892226085</v>
      </c>
      <c r="R286" s="4">
        <f ca="1">_xll.DBRW($B$1,$B$2,$B$7,$B$3,$B$4,$B$5,$F286,$B$6,R$10,$A286,$B286)</f>
        <v>4784.3461852153159</v>
      </c>
      <c r="S286" s="4">
        <f ca="1">_xll.DBRW($B$1,$B$2,$B$7,$B$3,$B$4,$B$5,$F286,$B$6,S$10,$A286,$B286)</f>
        <v>5544.0041461801093</v>
      </c>
      <c r="T286" s="4">
        <f ca="1">_xll.DBRW($B$1,$B$2,$B$7,$B$3,$B$4,$B$5,$F286,$B$6,T$10,$A286,$B286)</f>
        <v>5817.5771481864031</v>
      </c>
      <c r="U286" s="4">
        <f ca="1">_xll.DBRW($B$1,$B$2,$B$7,$B$3,$B$4,$B$5,$F286,$B$6,U$10,$A286,$B286)</f>
        <v>5488.2772759354666</v>
      </c>
      <c r="V286" s="4">
        <f ca="1">_xll.DBRW($B$1,$B$2,$B$7,$B$3,$B$4,$B$5,$F286,$B$6,V$10,$A286,$B286)</f>
        <v>3880.6303139658962</v>
      </c>
      <c r="W286" s="4">
        <f ca="1">_xll.DBRW($B$1,$B$2,$B$7,$B$3,$B$4,$B$5,$F286,$B$6,W$10,$A286,$B286)</f>
        <v>1436.1651128561689</v>
      </c>
      <c r="X286" s="4">
        <f ca="1">_xll.DBRW($B$1,$B$2,$B$7,$B$3,$B$4,$B$5,$F286,$B$6,X$10,$A286,$B286)</f>
        <v>1658.6570564175588</v>
      </c>
      <c r="Y286" s="4">
        <f ca="1">_xll.DBRW($B$1,$B$2,$B$7,$B$3,$B$4,$B$5,$F286,$B$6,Y$10,$A286,$B286)</f>
        <v>1660.7114319972927</v>
      </c>
      <c r="Z286" s="4">
        <f ca="1">_xll.DBRW($B$1,$B$2,$B$7,$B$3,$B$4,$B$5,$F286,$B$6,Z$10,$A286,$B286)</f>
        <v>1473.750463018903</v>
      </c>
      <c r="AA286" s="4">
        <f ca="1">_xll.DBRW($B$1,$B$2,$B$7,$B$3,$B$4,$B$5,$F286,$B$6,AA$10,$A286,$B286)</f>
        <v>1655.8365039005118</v>
      </c>
      <c r="AB286" s="4">
        <f ca="1">_xll.DBRW($B$1,$B$2,$B$7,$B$3,$B$4,$B$5,$F286,$B$6,AB$10,$A286,$B286)</f>
        <v>1655.1826957317758</v>
      </c>
      <c r="AC286" s="4">
        <f ca="1">_xll.DBRW($B$1,$B$2,$B$7,$B$3,$B$4,$B$5,$F286,$B$6,AC$10,$A286,$B286)</f>
        <v>5938.6449631179321</v>
      </c>
      <c r="AD286" s="4">
        <f ca="1">_xll.DBRW($B$1,$B$2,$B$7,$B$3,$B$4,$B$5,$F286,$B$6,AD$10,$A286,$B286)</f>
        <v>5131.62222519652</v>
      </c>
      <c r="AE286" s="4">
        <f ca="1">_xll.DBRW($B$1,$B$2,$B$7,$B$3,$B$4,$B$5,$F286,$B$6,AE$10,$A286,$B286)</f>
        <v>5163.9106799194287</v>
      </c>
    </row>
    <row r="287" spans="1:31">
      <c r="A287" s="1" t="s">
        <v>151</v>
      </c>
      <c r="B287" s="5" t="s">
        <v>209</v>
      </c>
      <c r="C287" s="5" t="s">
        <v>210</v>
      </c>
      <c r="D287" s="5" t="s">
        <v>21</v>
      </c>
      <c r="E287" s="5" t="s">
        <v>211</v>
      </c>
      <c r="F287" s="5" t="s">
        <v>25</v>
      </c>
      <c r="G287" s="6"/>
      <c r="H287" s="6"/>
      <c r="I287" s="6"/>
      <c r="J287" s="6"/>
      <c r="K287" s="6"/>
      <c r="L287" s="4">
        <f ca="1">_xll.DBRW($B$1,$B$2,$B$7,$B$3,$B$4,$B$5,$F287,$B$6,L$10,$A287,$B287)</f>
        <v>699.58272388641092</v>
      </c>
      <c r="M287" s="4">
        <f ca="1">_xll.DBRW($B$1,$B$2,$B$7,$B$3,$B$4,$B$5,$F287,$B$6,M$10,$A287,$B287)</f>
        <v>0</v>
      </c>
      <c r="N287" s="4">
        <f ca="1">_xll.DBRW($B$1,$B$2,$B$7,$B$3,$B$4,$B$5,$F287,$B$6,N$10,$A287,$B287)</f>
        <v>0</v>
      </c>
      <c r="O287" s="4">
        <f ca="1">_xll.DBRW($B$1,$B$2,$B$7,$B$3,$B$4,$B$5,$F287,$B$6,O$10,$A287,$B287)</f>
        <v>0</v>
      </c>
      <c r="P287" s="4">
        <f ca="1">_xll.DBRW($B$1,$B$2,$B$7,$B$3,$B$4,$B$5,$F287,$B$6,P$10,$A287,$B287)</f>
        <v>0</v>
      </c>
      <c r="Q287" s="4">
        <f ca="1">_xll.DBRW($B$1,$B$2,$B$7,$B$3,$B$4,$B$5,$F287,$B$6,Q$10,$A287,$B287)</f>
        <v>250.67997261730187</v>
      </c>
      <c r="R287" s="4">
        <f ca="1">_xll.DBRW($B$1,$B$2,$B$7,$B$3,$B$4,$B$5,$F287,$B$6,R$10,$A287,$B287)</f>
        <v>1514.9278872875293</v>
      </c>
      <c r="S287" s="4">
        <f ca="1">_xll.DBRW($B$1,$B$2,$B$7,$B$3,$B$4,$B$5,$F287,$B$6,S$10,$A287,$B287)</f>
        <v>2172.6608537847483</v>
      </c>
      <c r="T287" s="4">
        <f ca="1">_xll.DBRW($B$1,$B$2,$B$7,$B$3,$B$4,$B$5,$F287,$B$6,T$10,$A287,$B287)</f>
        <v>2134.7046063777066</v>
      </c>
      <c r="U287" s="4">
        <f ca="1">_xll.DBRW($B$1,$B$2,$B$7,$B$3,$B$4,$B$5,$F287,$B$6,U$10,$A287,$B287)</f>
        <v>2269.0919121766437</v>
      </c>
      <c r="V287" s="4">
        <f ca="1">_xll.DBRW($B$1,$B$2,$B$7,$B$3,$B$4,$B$5,$F287,$B$6,V$10,$A287,$B287)</f>
        <v>2348.2177131078747</v>
      </c>
      <c r="W287" s="4">
        <f ca="1">_xll.DBRW($B$1,$B$2,$B$7,$B$3,$B$4,$B$5,$F287,$B$6,W$10,$A287,$B287)</f>
        <v>0</v>
      </c>
      <c r="X287" s="4">
        <f ca="1">_xll.DBRW($B$1,$B$2,$B$7,$B$3,$B$4,$B$5,$F287,$B$6,X$10,$A287,$B287)</f>
        <v>0</v>
      </c>
      <c r="Y287" s="4">
        <f ca="1">_xll.DBRW($B$1,$B$2,$B$7,$B$3,$B$4,$B$5,$F287,$B$6,Y$10,$A287,$B287)</f>
        <v>0</v>
      </c>
      <c r="Z287" s="4">
        <f ca="1">_xll.DBRW($B$1,$B$2,$B$7,$B$3,$B$4,$B$5,$F287,$B$6,Z$10,$A287,$B287)</f>
        <v>0</v>
      </c>
      <c r="AA287" s="4">
        <f ca="1">_xll.DBRW($B$1,$B$2,$B$7,$B$3,$B$4,$B$5,$F287,$B$6,AA$10,$A287,$B287)</f>
        <v>0</v>
      </c>
      <c r="AB287" s="4">
        <f ca="1">_xll.DBRW($B$1,$B$2,$B$7,$B$3,$B$4,$B$5,$F287,$B$6,AB$10,$A287,$B287)</f>
        <v>0</v>
      </c>
      <c r="AC287" s="4">
        <f ca="1">_xll.DBRW($B$1,$B$2,$B$7,$B$3,$B$4,$B$5,$F287,$B$6,AC$10,$A287,$B287)</f>
        <v>403.85737942213922</v>
      </c>
      <c r="AD287" s="4">
        <f ca="1">_xll.DBRW($B$1,$B$2,$B$7,$B$3,$B$4,$B$5,$F287,$B$6,AD$10,$A287,$B287)</f>
        <v>2077.2177348527039</v>
      </c>
      <c r="AE287" s="4">
        <f ca="1">_xll.DBRW($B$1,$B$2,$B$7,$B$3,$B$4,$B$5,$F287,$B$6,AE$10,$A287,$B287)</f>
        <v>2931.113859379851</v>
      </c>
    </row>
    <row r="288" spans="1:31">
      <c r="A288" s="1" t="s">
        <v>151</v>
      </c>
      <c r="B288" s="5" t="s">
        <v>212</v>
      </c>
      <c r="C288" s="5" t="s">
        <v>213</v>
      </c>
      <c r="D288" s="5" t="s">
        <v>211</v>
      </c>
      <c r="E288" s="5" t="s">
        <v>21</v>
      </c>
      <c r="F288" s="5" t="s">
        <v>25</v>
      </c>
      <c r="G288" s="6"/>
      <c r="H288" s="6"/>
      <c r="I288" s="6"/>
      <c r="J288" s="6"/>
      <c r="K288" s="6"/>
      <c r="L288" s="4">
        <f ca="1">_xll.DBRW($B$1,$B$2,$B$7,$B$3,$B$4,$B$5,$F288,$B$6,L$10,$A288,$B288)</f>
        <v>699.58272388641092</v>
      </c>
      <c r="M288" s="4">
        <f ca="1">_xll.DBRW($B$1,$B$2,$B$7,$B$3,$B$4,$B$5,$F288,$B$6,M$10,$A288,$B288)</f>
        <v>0</v>
      </c>
      <c r="N288" s="4">
        <f ca="1">_xll.DBRW($B$1,$B$2,$B$7,$B$3,$B$4,$B$5,$F288,$B$6,N$10,$A288,$B288)</f>
        <v>0</v>
      </c>
      <c r="O288" s="4">
        <f ca="1">_xll.DBRW($B$1,$B$2,$B$7,$B$3,$B$4,$B$5,$F288,$B$6,O$10,$A288,$B288)</f>
        <v>0</v>
      </c>
      <c r="P288" s="4">
        <f ca="1">_xll.DBRW($B$1,$B$2,$B$7,$B$3,$B$4,$B$5,$F288,$B$6,P$10,$A288,$B288)</f>
        <v>0</v>
      </c>
      <c r="Q288" s="4">
        <f ca="1">_xll.DBRW($B$1,$B$2,$B$7,$B$3,$B$4,$B$5,$F288,$B$6,Q$10,$A288,$B288)</f>
        <v>250.67997261730187</v>
      </c>
      <c r="R288" s="4">
        <f ca="1">_xll.DBRW($B$1,$B$2,$B$7,$B$3,$B$4,$B$5,$F288,$B$6,R$10,$A288,$B288)</f>
        <v>1514.9278872875293</v>
      </c>
      <c r="S288" s="4">
        <f ca="1">_xll.DBRW($B$1,$B$2,$B$7,$B$3,$B$4,$B$5,$F288,$B$6,S$10,$A288,$B288)</f>
        <v>2172.6608537847483</v>
      </c>
      <c r="T288" s="4">
        <f ca="1">_xll.DBRW($B$1,$B$2,$B$7,$B$3,$B$4,$B$5,$F288,$B$6,T$10,$A288,$B288)</f>
        <v>2134.7046063777066</v>
      </c>
      <c r="U288" s="4">
        <f ca="1">_xll.DBRW($B$1,$B$2,$B$7,$B$3,$B$4,$B$5,$F288,$B$6,U$10,$A288,$B288)</f>
        <v>2269.0919121766437</v>
      </c>
      <c r="V288" s="4">
        <f ca="1">_xll.DBRW($B$1,$B$2,$B$7,$B$3,$B$4,$B$5,$F288,$B$6,V$10,$A288,$B288)</f>
        <v>2348.2177131078747</v>
      </c>
      <c r="W288" s="4">
        <f ca="1">_xll.DBRW($B$1,$B$2,$B$7,$B$3,$B$4,$B$5,$F288,$B$6,W$10,$A288,$B288)</f>
        <v>0</v>
      </c>
      <c r="X288" s="4">
        <f ca="1">_xll.DBRW($B$1,$B$2,$B$7,$B$3,$B$4,$B$5,$F288,$B$6,X$10,$A288,$B288)</f>
        <v>0</v>
      </c>
      <c r="Y288" s="4">
        <f ca="1">_xll.DBRW($B$1,$B$2,$B$7,$B$3,$B$4,$B$5,$F288,$B$6,Y$10,$A288,$B288)</f>
        <v>0</v>
      </c>
      <c r="Z288" s="4">
        <f ca="1">_xll.DBRW($B$1,$B$2,$B$7,$B$3,$B$4,$B$5,$F288,$B$6,Z$10,$A288,$B288)</f>
        <v>0</v>
      </c>
      <c r="AA288" s="4">
        <f ca="1">_xll.DBRW($B$1,$B$2,$B$7,$B$3,$B$4,$B$5,$F288,$B$6,AA$10,$A288,$B288)</f>
        <v>0</v>
      </c>
      <c r="AB288" s="4">
        <f ca="1">_xll.DBRW($B$1,$B$2,$B$7,$B$3,$B$4,$B$5,$F288,$B$6,AB$10,$A288,$B288)</f>
        <v>0</v>
      </c>
      <c r="AC288" s="4">
        <f ca="1">_xll.DBRW($B$1,$B$2,$B$7,$B$3,$B$4,$B$5,$F288,$B$6,AC$10,$A288,$B288)</f>
        <v>403.85737942213922</v>
      </c>
      <c r="AD288" s="4">
        <f ca="1">_xll.DBRW($B$1,$B$2,$B$7,$B$3,$B$4,$B$5,$F288,$B$6,AD$10,$A288,$B288)</f>
        <v>2077.2177348527039</v>
      </c>
      <c r="AE288" s="4">
        <f ca="1">_xll.DBRW($B$1,$B$2,$B$7,$B$3,$B$4,$B$5,$F288,$B$6,AE$10,$A288,$B288)</f>
        <v>2931.113859379851</v>
      </c>
    </row>
    <row r="289" spans="1:31">
      <c r="A289" s="1" t="s">
        <v>151</v>
      </c>
      <c r="B289" s="5" t="s">
        <v>214</v>
      </c>
      <c r="C289" s="5" t="s">
        <v>187</v>
      </c>
      <c r="D289" s="5" t="s">
        <v>21</v>
      </c>
      <c r="E289" s="5" t="s">
        <v>59</v>
      </c>
      <c r="F289" s="5" t="s">
        <v>25</v>
      </c>
      <c r="G289" s="6"/>
      <c r="H289" s="6"/>
      <c r="I289" s="6"/>
      <c r="J289" s="6"/>
      <c r="K289" s="6"/>
      <c r="L289" s="4">
        <f ca="1">_xll.DBRW($B$1,$B$2,$B$7,$B$3,$B$4,$B$5,$F289,$B$6,L$10,$A289,$B289)</f>
        <v>8714.1094179324446</v>
      </c>
      <c r="M289" s="4">
        <f ca="1">_xll.DBRW($B$1,$B$2,$B$7,$B$3,$B$4,$B$5,$F289,$B$6,M$10,$A289,$B289)</f>
        <v>7654.2748187074021</v>
      </c>
      <c r="N289" s="4">
        <f ca="1">_xll.DBRW($B$1,$B$2,$B$7,$B$3,$B$4,$B$5,$F289,$B$6,N$10,$A289,$B289)</f>
        <v>8102.7869671330618</v>
      </c>
      <c r="O289" s="4">
        <f ca="1">_xll.DBRW($B$1,$B$2,$B$7,$B$3,$B$4,$B$5,$F289,$B$6,O$10,$A289,$B289)</f>
        <v>8496.9819483253104</v>
      </c>
      <c r="P289" s="4">
        <f ca="1">_xll.DBRW($B$1,$B$2,$B$7,$B$3,$B$4,$B$5,$F289,$B$6,P$10,$A289,$B289)</f>
        <v>7828.2275661098247</v>
      </c>
      <c r="Q289" s="4">
        <f ca="1">_xll.DBRW($B$1,$B$2,$B$7,$B$3,$B$4,$B$5,$F289,$B$6,Q$10,$A289,$B289)</f>
        <v>7307.1079105263589</v>
      </c>
      <c r="R289" s="4">
        <f ca="1">_xll.DBRW($B$1,$B$2,$B$7,$B$3,$B$4,$B$5,$F289,$B$6,R$10,$A289,$B289)</f>
        <v>3856.3123601445104</v>
      </c>
      <c r="S289" s="4">
        <f ca="1">_xll.DBRW($B$1,$B$2,$B$7,$B$3,$B$4,$B$5,$F289,$B$6,S$10,$A289,$B289)</f>
        <v>0</v>
      </c>
      <c r="T289" s="4">
        <f ca="1">_xll.DBRW($B$1,$B$2,$B$7,$B$3,$B$4,$B$5,$F289,$B$6,T$10,$A289,$B289)</f>
        <v>0</v>
      </c>
      <c r="U289" s="4">
        <f ca="1">_xll.DBRW($B$1,$B$2,$B$7,$B$3,$B$4,$B$5,$F289,$B$6,U$10,$A289,$B289)</f>
        <v>0</v>
      </c>
      <c r="V289" s="4">
        <f ca="1">_xll.DBRW($B$1,$B$2,$B$7,$B$3,$B$4,$B$5,$F289,$B$6,V$10,$A289,$B289)</f>
        <v>509.45748992416424</v>
      </c>
      <c r="W289" s="4">
        <f ca="1">_xll.DBRW($B$1,$B$2,$B$7,$B$3,$B$4,$B$5,$F289,$B$6,W$10,$A289,$B289)</f>
        <v>8079.4686183138765</v>
      </c>
      <c r="X289" s="4">
        <f ca="1">_xll.DBRW($B$1,$B$2,$B$7,$B$3,$B$4,$B$5,$F289,$B$6,X$10,$A289,$B289)</f>
        <v>9748.1781305777968</v>
      </c>
      <c r="Y289" s="4">
        <f ca="1">_xll.DBRW($B$1,$B$2,$B$7,$B$3,$B$4,$B$5,$F289,$B$6,Y$10,$A289,$B289)</f>
        <v>8295.4005428086148</v>
      </c>
      <c r="Z289" s="4">
        <f ca="1">_xll.DBRW($B$1,$B$2,$B$7,$B$3,$B$4,$B$5,$F289,$B$6,Z$10,$A289,$B289)</f>
        <v>9227.0470332896548</v>
      </c>
      <c r="AA289" s="4">
        <f ca="1">_xll.DBRW($B$1,$B$2,$B$7,$B$3,$B$4,$B$5,$F289,$B$6,AA$10,$A289,$B289)</f>
        <v>9534.7565237055969</v>
      </c>
      <c r="AB289" s="4">
        <f ca="1">_xll.DBRW($B$1,$B$2,$B$7,$B$3,$B$4,$B$5,$F289,$B$6,AB$10,$A289,$B289)</f>
        <v>8030.3254338266888</v>
      </c>
      <c r="AC289" s="4">
        <f ca="1">_xll.DBRW($B$1,$B$2,$B$7,$B$3,$B$4,$B$5,$F289,$B$6,AC$10,$A289,$B289)</f>
        <v>7041.6691592051357</v>
      </c>
      <c r="AD289" s="4">
        <f ca="1">_xll.DBRW($B$1,$B$2,$B$7,$B$3,$B$4,$B$5,$F289,$B$6,AD$10,$A289,$B289)</f>
        <v>0</v>
      </c>
      <c r="AE289" s="4">
        <f ca="1">_xll.DBRW($B$1,$B$2,$B$7,$B$3,$B$4,$B$5,$F289,$B$6,AE$10,$A289,$B289)</f>
        <v>0</v>
      </c>
    </row>
    <row r="290" spans="1:31">
      <c r="A290" s="1" t="s">
        <v>151</v>
      </c>
      <c r="B290" s="5" t="s">
        <v>63</v>
      </c>
      <c r="C290" s="5" t="s">
        <v>62</v>
      </c>
      <c r="D290" s="5" t="s">
        <v>59</v>
      </c>
      <c r="E290" s="5" t="s">
        <v>21</v>
      </c>
      <c r="F290" s="5" t="s">
        <v>25</v>
      </c>
      <c r="G290" s="6"/>
      <c r="H290" s="6"/>
      <c r="I290" s="6"/>
      <c r="J290" s="6"/>
      <c r="K290" s="6"/>
      <c r="L290" s="4">
        <f ca="1">_xll.DBRW($B$1,$B$2,$B$7,$B$3,$B$4,$B$5,$F290,$B$6,L$10,$A290,$B290)</f>
        <v>8714.1094179324446</v>
      </c>
      <c r="M290" s="4">
        <f ca="1">_xll.DBRW($B$1,$B$2,$B$7,$B$3,$B$4,$B$5,$F290,$B$6,M$10,$A290,$B290)</f>
        <v>7654.2748187074021</v>
      </c>
      <c r="N290" s="4">
        <f ca="1">_xll.DBRW($B$1,$B$2,$B$7,$B$3,$B$4,$B$5,$F290,$B$6,N$10,$A290,$B290)</f>
        <v>8102.7869671330618</v>
      </c>
      <c r="O290" s="4">
        <f ca="1">_xll.DBRW($B$1,$B$2,$B$7,$B$3,$B$4,$B$5,$F290,$B$6,O$10,$A290,$B290)</f>
        <v>8496.9819483253104</v>
      </c>
      <c r="P290" s="4">
        <f ca="1">_xll.DBRW($B$1,$B$2,$B$7,$B$3,$B$4,$B$5,$F290,$B$6,P$10,$A290,$B290)</f>
        <v>7828.2275661098247</v>
      </c>
      <c r="Q290" s="4">
        <f ca="1">_xll.DBRW($B$1,$B$2,$B$7,$B$3,$B$4,$B$5,$F290,$B$6,Q$10,$A290,$B290)</f>
        <v>7307.1079105263589</v>
      </c>
      <c r="R290" s="4">
        <f ca="1">_xll.DBRW($B$1,$B$2,$B$7,$B$3,$B$4,$B$5,$F290,$B$6,R$10,$A290,$B290)</f>
        <v>3856.3123601445104</v>
      </c>
      <c r="S290" s="4">
        <f ca="1">_xll.DBRW($B$1,$B$2,$B$7,$B$3,$B$4,$B$5,$F290,$B$6,S$10,$A290,$B290)</f>
        <v>0</v>
      </c>
      <c r="T290" s="4">
        <f ca="1">_xll.DBRW($B$1,$B$2,$B$7,$B$3,$B$4,$B$5,$F290,$B$6,T$10,$A290,$B290)</f>
        <v>0</v>
      </c>
      <c r="U290" s="4">
        <f ca="1">_xll.DBRW($B$1,$B$2,$B$7,$B$3,$B$4,$B$5,$F290,$B$6,U$10,$A290,$B290)</f>
        <v>0</v>
      </c>
      <c r="V290" s="4">
        <f ca="1">_xll.DBRW($B$1,$B$2,$B$7,$B$3,$B$4,$B$5,$F290,$B$6,V$10,$A290,$B290)</f>
        <v>509.45748992416424</v>
      </c>
      <c r="W290" s="4">
        <f ca="1">_xll.DBRW($B$1,$B$2,$B$7,$B$3,$B$4,$B$5,$F290,$B$6,W$10,$A290,$B290)</f>
        <v>7615.417087415849</v>
      </c>
      <c r="X290" s="4">
        <f ca="1">_xll.DBRW($B$1,$B$2,$B$7,$B$3,$B$4,$B$5,$F290,$B$6,X$10,$A290,$B290)</f>
        <v>9070.8853572374046</v>
      </c>
      <c r="Y290" s="4">
        <f ca="1">_xll.DBRW($B$1,$B$2,$B$7,$B$3,$B$4,$B$5,$F290,$B$6,Y$10,$A290,$B290)</f>
        <v>7818.9467680421712</v>
      </c>
      <c r="Z290" s="4">
        <f ca="1">_xll.DBRW($B$1,$B$2,$B$7,$B$3,$B$4,$B$5,$F290,$B$6,Z$10,$A290,$B290)</f>
        <v>8585.9618796119612</v>
      </c>
      <c r="AA290" s="4">
        <f ca="1">_xll.DBRW($B$1,$B$2,$B$7,$B$3,$B$4,$B$5,$F290,$B$6,AA$10,$A290,$B290)</f>
        <v>9004.7849452167484</v>
      </c>
      <c r="AB290" s="4">
        <f ca="1">_xll.DBRW($B$1,$B$2,$B$7,$B$3,$B$4,$B$5,$F290,$B$6,AB$10,$A290,$B290)</f>
        <v>7569.0964858325406</v>
      </c>
      <c r="AC290" s="4">
        <f ca="1">_xll.DBRW($B$1,$B$2,$B$7,$B$3,$B$4,$B$5,$F290,$B$6,AC$10,$A290,$B290)</f>
        <v>6556.3356540783807</v>
      </c>
      <c r="AD290" s="4">
        <f ca="1">_xll.DBRW($B$1,$B$2,$B$7,$B$3,$B$4,$B$5,$F290,$B$6,AD$10,$A290,$B290)</f>
        <v>0</v>
      </c>
      <c r="AE290" s="4">
        <f ca="1">_xll.DBRW($B$1,$B$2,$B$7,$B$3,$B$4,$B$5,$F290,$B$6,AE$10,$A290,$B290)</f>
        <v>0</v>
      </c>
    </row>
    <row r="291" spans="1:31">
      <c r="A291" s="1" t="s">
        <v>151</v>
      </c>
      <c r="B291" s="5" t="s">
        <v>215</v>
      </c>
      <c r="C291" s="5" t="s">
        <v>159</v>
      </c>
      <c r="D291" s="5" t="s">
        <v>21</v>
      </c>
      <c r="E291" s="5" t="s">
        <v>38</v>
      </c>
      <c r="F291" s="5" t="s">
        <v>25</v>
      </c>
      <c r="G291" s="6"/>
      <c r="H291" s="6"/>
      <c r="I291" s="6"/>
      <c r="J291" s="6"/>
      <c r="K291" s="6"/>
      <c r="L291" s="4">
        <f ca="1">_xll.DBRW($B$1,$B$2,$B$7,$B$3,$B$4,$B$5,$F291,$B$6,L$10,$A291,$B291)</f>
        <v>5150.3024296271396</v>
      </c>
      <c r="M291" s="4">
        <f ca="1">_xll.DBRW($B$1,$B$2,$B$7,$B$3,$B$4,$B$5,$F291,$B$6,M$10,$A291,$B291)</f>
        <v>5924.3588259596527</v>
      </c>
      <c r="N291" s="4">
        <f ca="1">_xll.DBRW($B$1,$B$2,$B$7,$B$3,$B$4,$B$5,$F291,$B$6,N$10,$A291,$B291)</f>
        <v>5827.7549889986167</v>
      </c>
      <c r="O291" s="4">
        <f ca="1">_xll.DBRW($B$1,$B$2,$B$7,$B$3,$B$4,$B$5,$F291,$B$6,O$10,$A291,$B291)</f>
        <v>6312.2209499044257</v>
      </c>
      <c r="P291" s="4">
        <f ca="1">_xll.DBRW($B$1,$B$2,$B$7,$B$3,$B$4,$B$5,$F291,$B$6,P$10,$A291,$B291)</f>
        <v>4682.7262969601907</v>
      </c>
      <c r="Q291" s="4">
        <f ca="1">_xll.DBRW($B$1,$B$2,$B$7,$B$3,$B$4,$B$5,$F291,$B$6,Q$10,$A291,$B291)</f>
        <v>5531.5284610963427</v>
      </c>
      <c r="R291" s="4">
        <f ca="1">_xll.DBRW($B$1,$B$2,$B$7,$B$3,$B$4,$B$5,$F291,$B$6,R$10,$A291,$B291)</f>
        <v>4960.6963956240588</v>
      </c>
      <c r="S291" s="4">
        <f ca="1">_xll.DBRW($B$1,$B$2,$B$7,$B$3,$B$4,$B$5,$F291,$B$6,S$10,$A291,$B291)</f>
        <v>5777.2978945226741</v>
      </c>
      <c r="T291" s="4">
        <f ca="1">_xll.DBRW($B$1,$B$2,$B$7,$B$3,$B$4,$B$5,$F291,$B$6,T$10,$A291,$B291)</f>
        <v>5231.2335394008287</v>
      </c>
      <c r="U291" s="4">
        <f ca="1">_xll.DBRW($B$1,$B$2,$B$7,$B$3,$B$4,$B$5,$F291,$B$6,U$10,$A291,$B291)</f>
        <v>5007.3728587179558</v>
      </c>
      <c r="V291" s="4">
        <f ca="1">_xll.DBRW($B$1,$B$2,$B$7,$B$3,$B$4,$B$5,$F291,$B$6,V$10,$A291,$B291)</f>
        <v>5563.3444071963759</v>
      </c>
      <c r="W291" s="4">
        <f ca="1">_xll.DBRW($B$1,$B$2,$B$7,$B$3,$B$4,$B$5,$F291,$B$6,W$10,$A291,$B291)</f>
        <v>5625.3647410273934</v>
      </c>
      <c r="X291" s="4">
        <f ca="1">_xll.DBRW($B$1,$B$2,$B$7,$B$3,$B$4,$B$5,$F291,$B$6,X$10,$A291,$B291)</f>
        <v>5642.0436366228805</v>
      </c>
      <c r="Y291" s="4">
        <f ca="1">_xll.DBRW($B$1,$B$2,$B$7,$B$3,$B$4,$B$5,$F291,$B$6,Y$10,$A291,$B291)</f>
        <v>5975.6887432897629</v>
      </c>
      <c r="Z291" s="4">
        <f ca="1">_xll.DBRW($B$1,$B$2,$B$7,$B$3,$B$4,$B$5,$F291,$B$6,Z$10,$A291,$B291)</f>
        <v>6497.0903814345293</v>
      </c>
      <c r="AA291" s="4">
        <f ca="1">_xll.DBRW($B$1,$B$2,$B$7,$B$3,$B$4,$B$5,$F291,$B$6,AA$10,$A291,$B291)</f>
        <v>6900.4332896605056</v>
      </c>
      <c r="AB291" s="4">
        <f ca="1">_xll.DBRW($B$1,$B$2,$B$7,$B$3,$B$4,$B$5,$F291,$B$6,AB$10,$A291,$B291)</f>
        <v>4740.0392282278044</v>
      </c>
      <c r="AC291" s="4">
        <f ca="1">_xll.DBRW($B$1,$B$2,$B$7,$B$3,$B$4,$B$5,$F291,$B$6,AC$10,$A291,$B291)</f>
        <v>5538.1367034371742</v>
      </c>
      <c r="AD291" s="4">
        <f ca="1">_xll.DBRW($B$1,$B$2,$B$7,$B$3,$B$4,$B$5,$F291,$B$6,AD$10,$A291,$B291)</f>
        <v>5254.4236556687356</v>
      </c>
      <c r="AE291" s="4">
        <f ca="1">_xll.DBRW($B$1,$B$2,$B$7,$B$3,$B$4,$B$5,$F291,$B$6,AE$10,$A291,$B291)</f>
        <v>6354.1359770427352</v>
      </c>
    </row>
    <row r="292" spans="1:31">
      <c r="A292" s="1" t="s">
        <v>151</v>
      </c>
      <c r="B292" s="5" t="s">
        <v>43</v>
      </c>
      <c r="C292" s="5" t="s">
        <v>37</v>
      </c>
      <c r="D292" s="5" t="s">
        <v>38</v>
      </c>
      <c r="E292" s="5" t="s">
        <v>21</v>
      </c>
      <c r="F292" s="5" t="s">
        <v>25</v>
      </c>
      <c r="G292" s="6"/>
      <c r="H292" s="6"/>
      <c r="I292" s="6"/>
      <c r="J292" s="6"/>
      <c r="K292" s="6"/>
      <c r="L292" s="4">
        <f ca="1">_xll.DBRW($B$1,$B$2,$B$7,$B$3,$B$4,$B$5,$F292,$B$6,L$10,$A292,$B292)</f>
        <v>5010.9128582094481</v>
      </c>
      <c r="M292" s="4">
        <f ca="1">_xll.DBRW($B$1,$B$2,$B$7,$B$3,$B$4,$B$5,$F292,$B$6,M$10,$A292,$B292)</f>
        <v>5713.4348450637845</v>
      </c>
      <c r="N292" s="4">
        <f ca="1">_xll.DBRW($B$1,$B$2,$B$7,$B$3,$B$4,$B$5,$F292,$B$6,N$10,$A292,$B292)</f>
        <v>5706.8674081325726</v>
      </c>
      <c r="O292" s="4">
        <f ca="1">_xll.DBRW($B$1,$B$2,$B$7,$B$3,$B$4,$B$5,$F292,$B$6,O$10,$A292,$B292)</f>
        <v>5932.4051712806677</v>
      </c>
      <c r="P292" s="4">
        <f ca="1">_xll.DBRW($B$1,$B$2,$B$7,$B$3,$B$4,$B$5,$F292,$B$6,P$10,$A292,$B292)</f>
        <v>590.48846496419992</v>
      </c>
      <c r="Q292" s="4">
        <f ca="1">_xll.DBRW($B$1,$B$2,$B$7,$B$3,$B$4,$B$5,$F292,$B$6,Q$10,$A292,$B292)</f>
        <v>1133.8453076016826</v>
      </c>
      <c r="R292" s="4">
        <f ca="1">_xll.DBRW($B$1,$B$2,$B$7,$B$3,$B$4,$B$5,$F292,$B$6,R$10,$A292,$B292)</f>
        <v>4960.6963956240588</v>
      </c>
      <c r="S292" s="4">
        <f ca="1">_xll.DBRW($B$1,$B$2,$B$7,$B$3,$B$4,$B$5,$F292,$B$6,S$10,$A292,$B292)</f>
        <v>5777.2978945226741</v>
      </c>
      <c r="T292" s="4">
        <f ca="1">_xll.DBRW($B$1,$B$2,$B$7,$B$3,$B$4,$B$5,$F292,$B$6,T$10,$A292,$B292)</f>
        <v>4763.0660527834998</v>
      </c>
      <c r="U292" s="4">
        <f ca="1">_xll.DBRW($B$1,$B$2,$B$7,$B$3,$B$4,$B$5,$F292,$B$6,U$10,$A292,$B292)</f>
        <v>4632.4737880420334</v>
      </c>
      <c r="V292" s="4">
        <f ca="1">_xll.DBRW($B$1,$B$2,$B$7,$B$3,$B$4,$B$5,$F292,$B$6,V$10,$A292,$B292)</f>
        <v>5182.9195842287991</v>
      </c>
      <c r="W292" s="4">
        <f ca="1">_xll.DBRW($B$1,$B$2,$B$7,$B$3,$B$4,$B$5,$F292,$B$6,W$10,$A292,$B292)</f>
        <v>5625.3647410273934</v>
      </c>
      <c r="X292" s="4">
        <f ca="1">_xll.DBRW($B$1,$B$2,$B$7,$B$3,$B$4,$B$5,$F292,$B$6,X$10,$A292,$B292)</f>
        <v>5642.0436366228805</v>
      </c>
      <c r="Y292" s="4">
        <f ca="1">_xll.DBRW($B$1,$B$2,$B$7,$B$3,$B$4,$B$5,$F292,$B$6,Y$10,$A292,$B292)</f>
        <v>5975.6887432897629</v>
      </c>
      <c r="Z292" s="4">
        <f ca="1">_xll.DBRW($B$1,$B$2,$B$7,$B$3,$B$4,$B$5,$F292,$B$6,Z$10,$A292,$B292)</f>
        <v>6497.0903814345293</v>
      </c>
      <c r="AA292" s="4">
        <f ca="1">_xll.DBRW($B$1,$B$2,$B$7,$B$3,$B$4,$B$5,$F292,$B$6,AA$10,$A292,$B292)</f>
        <v>6900.4332896605056</v>
      </c>
      <c r="AB292" s="4">
        <f ca="1">_xll.DBRW($B$1,$B$2,$B$7,$B$3,$B$4,$B$5,$F292,$B$6,AB$10,$A292,$B292)</f>
        <v>4740.0392282278044</v>
      </c>
      <c r="AC292" s="4">
        <f ca="1">_xll.DBRW($B$1,$B$2,$B$7,$B$3,$B$4,$B$5,$F292,$B$6,AC$10,$A292,$B292)</f>
        <v>5258.5414523898617</v>
      </c>
      <c r="AD292" s="4">
        <f ca="1">_xll.DBRW($B$1,$B$2,$B$7,$B$3,$B$4,$B$5,$F292,$B$6,AD$10,$A292,$B292)</f>
        <v>4920.2276496660052</v>
      </c>
      <c r="AE292" s="4">
        <f ca="1">_xll.DBRW($B$1,$B$2,$B$7,$B$3,$B$4,$B$5,$F292,$B$6,AE$10,$A292,$B292)</f>
        <v>5721.7537720653845</v>
      </c>
    </row>
    <row r="293" spans="1:31">
      <c r="A293" s="1" t="s">
        <v>151</v>
      </c>
      <c r="B293" s="5" t="s">
        <v>216</v>
      </c>
      <c r="C293" s="5" t="s">
        <v>163</v>
      </c>
      <c r="D293" s="5" t="s">
        <v>21</v>
      </c>
      <c r="E293" s="5" t="s">
        <v>54</v>
      </c>
      <c r="F293" s="5" t="s">
        <v>25</v>
      </c>
      <c r="G293" s="6"/>
      <c r="H293" s="6"/>
      <c r="I293" s="6"/>
      <c r="J293" s="6"/>
      <c r="K293" s="6"/>
      <c r="L293" s="4">
        <f ca="1">_xll.DBRW($B$1,$B$2,$B$7,$B$3,$B$4,$B$5,$F293,$B$6,L$10,$A293,$B293)</f>
        <v>4190.2551190344193</v>
      </c>
      <c r="M293" s="4">
        <f ca="1">_xll.DBRW($B$1,$B$2,$B$7,$B$3,$B$4,$B$5,$F293,$B$6,M$10,$A293,$B293)</f>
        <v>5050.4449872725927</v>
      </c>
      <c r="N293" s="4">
        <f ca="1">_xll.DBRW($B$1,$B$2,$B$7,$B$3,$B$4,$B$5,$F293,$B$6,N$10,$A293,$B293)</f>
        <v>5385.2368766176642</v>
      </c>
      <c r="O293" s="4">
        <f ca="1">_xll.DBRW($B$1,$B$2,$B$7,$B$3,$B$4,$B$5,$F293,$B$6,O$10,$A293,$B293)</f>
        <v>5019.7554894721825</v>
      </c>
      <c r="P293" s="4">
        <f ca="1">_xll.DBRW($B$1,$B$2,$B$7,$B$3,$B$4,$B$5,$F293,$B$6,P$10,$A293,$B293)</f>
        <v>4220.0168294844343</v>
      </c>
      <c r="Q293" s="4">
        <f ca="1">_xll.DBRW($B$1,$B$2,$B$7,$B$3,$B$4,$B$5,$F293,$B$6,Q$10,$A293,$B293)</f>
        <v>3507.4117970526509</v>
      </c>
      <c r="R293" s="4">
        <f ca="1">_xll.DBRW($B$1,$B$2,$B$7,$B$3,$B$4,$B$5,$F293,$B$6,R$10,$A293,$B293)</f>
        <v>0</v>
      </c>
      <c r="S293" s="4">
        <f ca="1">_xll.DBRW($B$1,$B$2,$B$7,$B$3,$B$4,$B$5,$F293,$B$6,S$10,$A293,$B293)</f>
        <v>0</v>
      </c>
      <c r="T293" s="4">
        <f ca="1">_xll.DBRW($B$1,$B$2,$B$7,$B$3,$B$4,$B$5,$F293,$B$6,T$10,$A293,$B293)</f>
        <v>0</v>
      </c>
      <c r="U293" s="4">
        <f ca="1">_xll.DBRW($B$1,$B$2,$B$7,$B$3,$B$4,$B$5,$F293,$B$6,U$10,$A293,$B293)</f>
        <v>0</v>
      </c>
      <c r="V293" s="4">
        <f ca="1">_xll.DBRW($B$1,$B$2,$B$7,$B$3,$B$4,$B$5,$F293,$B$6,V$10,$A293,$B293)</f>
        <v>343.48982796753427</v>
      </c>
      <c r="W293" s="4">
        <f ca="1">_xll.DBRW($B$1,$B$2,$B$7,$B$3,$B$4,$B$5,$F293,$B$6,W$10,$A293,$B293)</f>
        <v>5322.2977270268375</v>
      </c>
      <c r="X293" s="4">
        <f ca="1">_xll.DBRW($B$1,$B$2,$B$7,$B$3,$B$4,$B$5,$F293,$B$6,X$10,$A293,$B293)</f>
        <v>5400.9875956590458</v>
      </c>
      <c r="Y293" s="4">
        <f ca="1">_xll.DBRW($B$1,$B$2,$B$7,$B$3,$B$4,$B$5,$F293,$B$6,Y$10,$A293,$B293)</f>
        <v>6315.3003238184592</v>
      </c>
      <c r="Z293" s="4">
        <f ca="1">_xll.DBRW($B$1,$B$2,$B$7,$B$3,$B$4,$B$5,$F293,$B$6,Z$10,$A293,$B293)</f>
        <v>6850.6210756274886</v>
      </c>
      <c r="AA293" s="4">
        <f ca="1">_xll.DBRW($B$1,$B$2,$B$7,$B$3,$B$4,$B$5,$F293,$B$6,AA$10,$A293,$B293)</f>
        <v>6363.0445014961851</v>
      </c>
      <c r="AB293" s="4">
        <f ca="1">_xll.DBRW($B$1,$B$2,$B$7,$B$3,$B$4,$B$5,$F293,$B$6,AB$10,$A293,$B293)</f>
        <v>5485.9365825064069</v>
      </c>
      <c r="AC293" s="4">
        <f ca="1">_xll.DBRW($B$1,$B$2,$B$7,$B$3,$B$4,$B$5,$F293,$B$6,AC$10,$A293,$B293)</f>
        <v>4277.488105745032</v>
      </c>
      <c r="AD293" s="4">
        <f ca="1">_xll.DBRW($B$1,$B$2,$B$7,$B$3,$B$4,$B$5,$F293,$B$6,AD$10,$A293,$B293)</f>
        <v>0</v>
      </c>
      <c r="AE293" s="4">
        <f ca="1">_xll.DBRW($B$1,$B$2,$B$7,$B$3,$B$4,$B$5,$F293,$B$6,AE$10,$A293,$B293)</f>
        <v>0</v>
      </c>
    </row>
    <row r="294" spans="1:31">
      <c r="A294" s="1" t="s">
        <v>151</v>
      </c>
      <c r="B294" s="5" t="s">
        <v>56</v>
      </c>
      <c r="C294" s="5" t="s">
        <v>53</v>
      </c>
      <c r="D294" s="5" t="s">
        <v>54</v>
      </c>
      <c r="E294" s="5" t="s">
        <v>21</v>
      </c>
      <c r="F294" s="5" t="s">
        <v>25</v>
      </c>
      <c r="G294" s="6"/>
      <c r="H294" s="6"/>
      <c r="I294" s="6"/>
      <c r="J294" s="6"/>
      <c r="K294" s="6"/>
      <c r="L294" s="4">
        <f ca="1">_xll.DBRW($B$1,$B$2,$B$7,$B$3,$B$4,$B$5,$F294,$B$6,L$10,$A294,$B294)</f>
        <v>4190.2551190344193</v>
      </c>
      <c r="M294" s="4">
        <f ca="1">_xll.DBRW($B$1,$B$2,$B$7,$B$3,$B$4,$B$5,$F294,$B$6,M$10,$A294,$B294)</f>
        <v>5050.4449872725927</v>
      </c>
      <c r="N294" s="4">
        <f ca="1">_xll.DBRW($B$1,$B$2,$B$7,$B$3,$B$4,$B$5,$F294,$B$6,N$10,$A294,$B294)</f>
        <v>5385.2368766176642</v>
      </c>
      <c r="O294" s="4">
        <f ca="1">_xll.DBRW($B$1,$B$2,$B$7,$B$3,$B$4,$B$5,$F294,$B$6,O$10,$A294,$B294)</f>
        <v>5019.7554894721825</v>
      </c>
      <c r="P294" s="4">
        <f ca="1">_xll.DBRW($B$1,$B$2,$B$7,$B$3,$B$4,$B$5,$F294,$B$6,P$10,$A294,$B294)</f>
        <v>4220.0168294844343</v>
      </c>
      <c r="Q294" s="4">
        <f ca="1">_xll.DBRW($B$1,$B$2,$B$7,$B$3,$B$4,$B$5,$F294,$B$6,Q$10,$A294,$B294)</f>
        <v>3507.4117970526509</v>
      </c>
      <c r="R294" s="4">
        <f ca="1">_xll.DBRW($B$1,$B$2,$B$7,$B$3,$B$4,$B$5,$F294,$B$6,R$10,$A294,$B294)</f>
        <v>0</v>
      </c>
      <c r="S294" s="4">
        <f ca="1">_xll.DBRW($B$1,$B$2,$B$7,$B$3,$B$4,$B$5,$F294,$B$6,S$10,$A294,$B294)</f>
        <v>0</v>
      </c>
      <c r="T294" s="4">
        <f ca="1">_xll.DBRW($B$1,$B$2,$B$7,$B$3,$B$4,$B$5,$F294,$B$6,T$10,$A294,$B294)</f>
        <v>0</v>
      </c>
      <c r="U294" s="4">
        <f ca="1">_xll.DBRW($B$1,$B$2,$B$7,$B$3,$B$4,$B$5,$F294,$B$6,U$10,$A294,$B294)</f>
        <v>0</v>
      </c>
      <c r="V294" s="4">
        <f ca="1">_xll.DBRW($B$1,$B$2,$B$7,$B$3,$B$4,$B$5,$F294,$B$6,V$10,$A294,$B294)</f>
        <v>343.48982796753427</v>
      </c>
      <c r="W294" s="4">
        <f ca="1">_xll.DBRW($B$1,$B$2,$B$7,$B$3,$B$4,$B$5,$F294,$B$6,W$10,$A294,$B294)</f>
        <v>5322.2977270268375</v>
      </c>
      <c r="X294" s="4">
        <f ca="1">_xll.DBRW($B$1,$B$2,$B$7,$B$3,$B$4,$B$5,$F294,$B$6,X$10,$A294,$B294)</f>
        <v>5400.9875956590458</v>
      </c>
      <c r="Y294" s="4">
        <f ca="1">_xll.DBRW($B$1,$B$2,$B$7,$B$3,$B$4,$B$5,$F294,$B$6,Y$10,$A294,$B294)</f>
        <v>6315.3003238184592</v>
      </c>
      <c r="Z294" s="4">
        <f ca="1">_xll.DBRW($B$1,$B$2,$B$7,$B$3,$B$4,$B$5,$F294,$B$6,Z$10,$A294,$B294)</f>
        <v>6850.6210756274886</v>
      </c>
      <c r="AA294" s="4">
        <f ca="1">_xll.DBRW($B$1,$B$2,$B$7,$B$3,$B$4,$B$5,$F294,$B$6,AA$10,$A294,$B294)</f>
        <v>6363.0445014961851</v>
      </c>
      <c r="AB294" s="4">
        <f ca="1">_xll.DBRW($B$1,$B$2,$B$7,$B$3,$B$4,$B$5,$F294,$B$6,AB$10,$A294,$B294)</f>
        <v>5485.9365825064069</v>
      </c>
      <c r="AC294" s="4">
        <f ca="1">_xll.DBRW($B$1,$B$2,$B$7,$B$3,$B$4,$B$5,$F294,$B$6,AC$10,$A294,$B294)</f>
        <v>4106.3885815152298</v>
      </c>
      <c r="AD294" s="4">
        <f ca="1">_xll.DBRW($B$1,$B$2,$B$7,$B$3,$B$4,$B$5,$F294,$B$6,AD$10,$A294,$B294)</f>
        <v>0</v>
      </c>
      <c r="AE294" s="4">
        <f ca="1">_xll.DBRW($B$1,$B$2,$B$7,$B$3,$B$4,$B$5,$F294,$B$6,AE$10,$A294,$B294)</f>
        <v>0</v>
      </c>
    </row>
    <row r="295" spans="1:31">
      <c r="A295" s="1" t="s">
        <v>151</v>
      </c>
      <c r="B295" s="5" t="s">
        <v>217</v>
      </c>
      <c r="C295" s="5" t="s">
        <v>159</v>
      </c>
      <c r="D295" s="5" t="s">
        <v>21</v>
      </c>
      <c r="E295" s="5" t="s">
        <v>38</v>
      </c>
      <c r="F295" s="5" t="s">
        <v>25</v>
      </c>
      <c r="G295" s="6"/>
      <c r="H295" s="6"/>
      <c r="I295" s="6"/>
      <c r="J295" s="6"/>
      <c r="K295" s="6"/>
      <c r="L295" s="4">
        <f ca="1">_xll.DBRW($B$1,$B$2,$B$7,$B$3,$B$4,$B$5,$F295,$B$6,L$10,$A295,$B295)</f>
        <v>4154.6626337864882</v>
      </c>
      <c r="M295" s="4">
        <f ca="1">_xll.DBRW($B$1,$B$2,$B$7,$B$3,$B$4,$B$5,$F295,$B$6,M$10,$A295,$B295)</f>
        <v>4831.0835305591554</v>
      </c>
      <c r="N295" s="4">
        <f ca="1">_xll.DBRW($B$1,$B$2,$B$7,$B$3,$B$4,$B$5,$F295,$B$6,N$10,$A295,$B295)</f>
        <v>4820.8993658123045</v>
      </c>
      <c r="O295" s="4">
        <f ca="1">_xll.DBRW($B$1,$B$2,$B$7,$B$3,$B$4,$B$5,$F295,$B$6,O$10,$A295,$B295)</f>
        <v>5562.8546839710643</v>
      </c>
      <c r="P295" s="4">
        <f ca="1">_xll.DBRW($B$1,$B$2,$B$7,$B$3,$B$4,$B$5,$F295,$B$6,P$10,$A295,$B295)</f>
        <v>488.86334107272347</v>
      </c>
      <c r="Q295" s="4">
        <f ca="1">_xll.DBRW($B$1,$B$2,$B$7,$B$3,$B$4,$B$5,$F295,$B$6,Q$10,$A295,$B295)</f>
        <v>0</v>
      </c>
      <c r="R295" s="4">
        <f ca="1">_xll.DBRW($B$1,$B$2,$B$7,$B$3,$B$4,$B$5,$F295,$B$6,R$10,$A295,$B295)</f>
        <v>0</v>
      </c>
      <c r="S295" s="4">
        <f ca="1">_xll.DBRW($B$1,$B$2,$B$7,$B$3,$B$4,$B$5,$F295,$B$6,S$10,$A295,$B295)</f>
        <v>0</v>
      </c>
      <c r="T295" s="4">
        <f ca="1">_xll.DBRW($B$1,$B$2,$B$7,$B$3,$B$4,$B$5,$F295,$B$6,T$10,$A295,$B295)</f>
        <v>4855.2197103504159</v>
      </c>
      <c r="U295" s="4">
        <f ca="1">_xll.DBRW($B$1,$B$2,$B$7,$B$3,$B$4,$B$5,$F295,$B$6,U$10,$A295,$B295)</f>
        <v>4769.0649223193068</v>
      </c>
      <c r="V295" s="4">
        <f ca="1">_xll.DBRW($B$1,$B$2,$B$7,$B$3,$B$4,$B$5,$F295,$B$6,V$10,$A295,$B295)</f>
        <v>5322.2612345018069</v>
      </c>
      <c r="W295" s="4">
        <f ca="1">_xll.DBRW($B$1,$B$2,$B$7,$B$3,$B$4,$B$5,$F295,$B$6,W$10,$A295,$B295)</f>
        <v>5152.0649906867893</v>
      </c>
      <c r="X295" s="4">
        <f ca="1">_xll.DBRW($B$1,$B$2,$B$7,$B$3,$B$4,$B$5,$F295,$B$6,X$10,$A295,$B295)</f>
        <v>5067.5607299705571</v>
      </c>
      <c r="Y295" s="4">
        <f ca="1">_xll.DBRW($B$1,$B$2,$B$7,$B$3,$B$4,$B$5,$F295,$B$6,Y$10,$A295,$B295)</f>
        <v>5470.0197179194001</v>
      </c>
      <c r="Z295" s="4">
        <f ca="1">_xll.DBRW($B$1,$B$2,$B$7,$B$3,$B$4,$B$5,$F295,$B$6,Z$10,$A295,$B295)</f>
        <v>5921.7937186525141</v>
      </c>
      <c r="AA295" s="4">
        <f ca="1">_xll.DBRW($B$1,$B$2,$B$7,$B$3,$B$4,$B$5,$F295,$B$6,AA$10,$A295,$B295)</f>
        <v>6243.7633222660688</v>
      </c>
      <c r="AB295" s="4">
        <f ca="1">_xll.DBRW($B$1,$B$2,$B$7,$B$3,$B$4,$B$5,$F295,$B$6,AB$10,$A295,$B295)</f>
        <v>4341.2278645907591</v>
      </c>
      <c r="AC295" s="4">
        <f ca="1">_xll.DBRW($B$1,$B$2,$B$7,$B$3,$B$4,$B$5,$F295,$B$6,AC$10,$A295,$B295)</f>
        <v>5031.9464000300886</v>
      </c>
      <c r="AD295" s="4">
        <f ca="1">_xll.DBRW($B$1,$B$2,$B$7,$B$3,$B$4,$B$5,$F295,$B$6,AD$10,$A295,$B295)</f>
        <v>5055.3434542434525</v>
      </c>
      <c r="AE295" s="4">
        <f ca="1">_xll.DBRW($B$1,$B$2,$B$7,$B$3,$B$4,$B$5,$F295,$B$6,AE$10,$A295,$B295)</f>
        <v>6117.5189336357653</v>
      </c>
    </row>
    <row r="296" spans="1:31">
      <c r="A296" s="1" t="s">
        <v>151</v>
      </c>
      <c r="B296" s="5" t="s">
        <v>44</v>
      </c>
      <c r="C296" s="5" t="s">
        <v>37</v>
      </c>
      <c r="D296" s="5" t="s">
        <v>38</v>
      </c>
      <c r="E296" s="5" t="s">
        <v>21</v>
      </c>
      <c r="F296" s="5" t="s">
        <v>25</v>
      </c>
      <c r="G296" s="6"/>
      <c r="H296" s="6"/>
      <c r="I296" s="6"/>
      <c r="J296" s="6"/>
      <c r="K296" s="6"/>
      <c r="L296" s="4">
        <f ca="1">_xll.DBRW($B$1,$B$2,$B$7,$B$3,$B$4,$B$5,$F296,$B$6,L$10,$A296,$B296)</f>
        <v>4240.0031877156871</v>
      </c>
      <c r="M296" s="4">
        <f ca="1">_xll.DBRW($B$1,$B$2,$B$7,$B$3,$B$4,$B$5,$F296,$B$6,M$10,$A296,$B296)</f>
        <v>4813.4365042690624</v>
      </c>
      <c r="N296" s="4">
        <f ca="1">_xll.DBRW($B$1,$B$2,$B$7,$B$3,$B$4,$B$5,$F296,$B$6,N$10,$A296,$B296)</f>
        <v>4794.1256062916364</v>
      </c>
      <c r="O296" s="4">
        <f ca="1">_xll.DBRW($B$1,$B$2,$B$7,$B$3,$B$4,$B$5,$F296,$B$6,O$10,$A296,$B296)</f>
        <v>5563.7878922723521</v>
      </c>
      <c r="P296" s="4">
        <f ca="1">_xll.DBRW($B$1,$B$2,$B$7,$B$3,$B$4,$B$5,$F296,$B$6,P$10,$A296,$B296)</f>
        <v>3701.0143158386072</v>
      </c>
      <c r="Q296" s="4">
        <f ca="1">_xll.DBRW($B$1,$B$2,$B$7,$B$3,$B$4,$B$5,$F296,$B$6,Q$10,$A296,$B296)</f>
        <v>3596.6737689432971</v>
      </c>
      <c r="R296" s="4">
        <f ca="1">_xll.DBRW($B$1,$B$2,$B$7,$B$3,$B$4,$B$5,$F296,$B$6,R$10,$A296,$B296)</f>
        <v>0</v>
      </c>
      <c r="S296" s="4">
        <f ca="1">_xll.DBRW($B$1,$B$2,$B$7,$B$3,$B$4,$B$5,$F296,$B$6,S$10,$A296,$B296)</f>
        <v>0</v>
      </c>
      <c r="T296" s="4">
        <f ca="1">_xll.DBRW($B$1,$B$2,$B$7,$B$3,$B$4,$B$5,$F296,$B$6,T$10,$A296,$B296)</f>
        <v>4806.788591045176</v>
      </c>
      <c r="U296" s="4">
        <f ca="1">_xll.DBRW($B$1,$B$2,$B$7,$B$3,$B$4,$B$5,$F296,$B$6,U$10,$A296,$B296)</f>
        <v>4585.9746785008329</v>
      </c>
      <c r="V296" s="4">
        <f ca="1">_xll.DBRW($B$1,$B$2,$B$7,$B$3,$B$4,$B$5,$F296,$B$6,V$10,$A296,$B296)</f>
        <v>5098.8722396196827</v>
      </c>
      <c r="W296" s="4">
        <f ca="1">_xll.DBRW($B$1,$B$2,$B$7,$B$3,$B$4,$B$5,$F296,$B$6,W$10,$A296,$B296)</f>
        <v>5152.0649906867893</v>
      </c>
      <c r="X296" s="4">
        <f ca="1">_xll.DBRW($B$1,$B$2,$B$7,$B$3,$B$4,$B$5,$F296,$B$6,X$10,$A296,$B296)</f>
        <v>5067.5607299705571</v>
      </c>
      <c r="Y296" s="4">
        <f ca="1">_xll.DBRW($B$1,$B$2,$B$7,$B$3,$B$4,$B$5,$F296,$B$6,Y$10,$A296,$B296)</f>
        <v>5470.0197179194001</v>
      </c>
      <c r="Z296" s="4">
        <f ca="1">_xll.DBRW($B$1,$B$2,$B$7,$B$3,$B$4,$B$5,$F296,$B$6,Z$10,$A296,$B296)</f>
        <v>5921.7937186525141</v>
      </c>
      <c r="AA296" s="4">
        <f ca="1">_xll.DBRW($B$1,$B$2,$B$7,$B$3,$B$4,$B$5,$F296,$B$6,AA$10,$A296,$B296)</f>
        <v>6243.7633222660688</v>
      </c>
      <c r="AB296" s="4">
        <f ca="1">_xll.DBRW($B$1,$B$2,$B$7,$B$3,$B$4,$B$5,$F296,$B$6,AB$10,$A296,$B296)</f>
        <v>4341.2278645907591</v>
      </c>
      <c r="AC296" s="4">
        <f ca="1">_xll.DBRW($B$1,$B$2,$B$7,$B$3,$B$4,$B$5,$F296,$B$6,AC$10,$A296,$B296)</f>
        <v>4875.2501604321424</v>
      </c>
      <c r="AD296" s="4">
        <f ca="1">_xll.DBRW($B$1,$B$2,$B$7,$B$3,$B$4,$B$5,$F296,$B$6,AD$10,$A296,$B296)</f>
        <v>4800.9232690284716</v>
      </c>
      <c r="AE296" s="4">
        <f ca="1">_xll.DBRW($B$1,$B$2,$B$7,$B$3,$B$4,$B$5,$F296,$B$6,AE$10,$A296,$B296)</f>
        <v>5631.6540437929789</v>
      </c>
    </row>
    <row r="297" spans="1:31">
      <c r="A297" s="1" t="s">
        <v>151</v>
      </c>
      <c r="B297" s="5" t="s">
        <v>218</v>
      </c>
      <c r="C297" s="5" t="s">
        <v>219</v>
      </c>
      <c r="D297" s="5" t="s">
        <v>21</v>
      </c>
      <c r="E297" s="5" t="s">
        <v>49</v>
      </c>
      <c r="F297" s="5" t="s">
        <v>25</v>
      </c>
      <c r="G297" s="6"/>
      <c r="H297" s="6"/>
      <c r="I297" s="6"/>
      <c r="J297" s="6"/>
      <c r="K297" s="6"/>
      <c r="L297" s="4">
        <f ca="1">_xll.DBRW($B$1,$B$2,$B$7,$B$3,$B$4,$B$5,$F297,$B$6,L$10,$A297,$B297)</f>
        <v>5507.192442159524</v>
      </c>
      <c r="M297" s="4">
        <f ca="1">_xll.DBRW($B$1,$B$2,$B$7,$B$3,$B$4,$B$5,$F297,$B$6,M$10,$A297,$B297)</f>
        <v>5050.4449872725918</v>
      </c>
      <c r="N297" s="4">
        <f ca="1">_xll.DBRW($B$1,$B$2,$B$7,$B$3,$B$4,$B$5,$F297,$B$6,N$10,$A297,$B297)</f>
        <v>4966.3851195474008</v>
      </c>
      <c r="O297" s="4">
        <f ca="1">_xll.DBRW($B$1,$B$2,$B$7,$B$3,$B$4,$B$5,$F297,$B$6,O$10,$A297,$B297)</f>
        <v>4840.4785077053193</v>
      </c>
      <c r="P297" s="4">
        <f ca="1">_xll.DBRW($B$1,$B$2,$B$7,$B$3,$B$4,$B$5,$F297,$B$6,P$10,$A297,$B297)</f>
        <v>4971.5266758309781</v>
      </c>
      <c r="Q297" s="4">
        <f ca="1">_xll.DBRW($B$1,$B$2,$B$7,$B$3,$B$4,$B$5,$F297,$B$6,Q$10,$A297,$B297)</f>
        <v>4839.0719903292347</v>
      </c>
      <c r="R297" s="4">
        <f ca="1">_xll.DBRW($B$1,$B$2,$B$7,$B$3,$B$4,$B$5,$F297,$B$6,R$10,$A297,$B297)</f>
        <v>4335.2467362759189</v>
      </c>
      <c r="S297" s="4">
        <f ca="1">_xll.DBRW($B$1,$B$2,$B$7,$B$3,$B$4,$B$5,$F297,$B$6,S$10,$A297,$B297)</f>
        <v>3644.4089697636223</v>
      </c>
      <c r="T297" s="4">
        <f ca="1">_xll.DBRW($B$1,$B$2,$B$7,$B$3,$B$4,$B$5,$F297,$B$6,T$10,$A297,$B297)</f>
        <v>4126.6486732521289</v>
      </c>
      <c r="U297" s="4">
        <f ca="1">_xll.DBRW($B$1,$B$2,$B$7,$B$3,$B$4,$B$5,$F297,$B$6,U$10,$A297,$B297)</f>
        <v>4578.3228190763384</v>
      </c>
      <c r="V297" s="4">
        <f ca="1">_xll.DBRW($B$1,$B$2,$B$7,$B$3,$B$4,$B$5,$F297,$B$6,V$10,$A297,$B297)</f>
        <v>5445.934979034364</v>
      </c>
      <c r="W297" s="4">
        <f ca="1">_xll.DBRW($B$1,$B$2,$B$7,$B$3,$B$4,$B$5,$F297,$B$6,W$10,$A297,$B297)</f>
        <v>5282.0165339246232</v>
      </c>
      <c r="X297" s="4">
        <f ca="1">_xll.DBRW($B$1,$B$2,$B$7,$B$3,$B$4,$B$5,$F297,$B$6,X$10,$A297,$B297)</f>
        <v>5929.3254052836692</v>
      </c>
      <c r="Y297" s="4">
        <f ca="1">_xll.DBRW($B$1,$B$2,$B$7,$B$3,$B$4,$B$5,$F297,$B$6,Y$10,$A297,$B297)</f>
        <v>5745.163872855499</v>
      </c>
      <c r="Z297" s="4">
        <f ca="1">_xll.DBRW($B$1,$B$2,$B$7,$B$3,$B$4,$B$5,$F297,$B$6,Z$10,$A297,$B297)</f>
        <v>5600.9069313124892</v>
      </c>
      <c r="AA297" s="4">
        <f ca="1">_xll.DBRW($B$1,$B$2,$B$7,$B$3,$B$4,$B$5,$F297,$B$6,AA$10,$A297,$B297)</f>
        <v>5396.4441635232861</v>
      </c>
      <c r="AB297" s="4">
        <f ca="1">_xll.DBRW($B$1,$B$2,$B$7,$B$3,$B$4,$B$5,$F297,$B$6,AB$10,$A297,$B297)</f>
        <v>5726.0374338828997</v>
      </c>
      <c r="AC297" s="4">
        <f ca="1">_xll.DBRW($B$1,$B$2,$B$7,$B$3,$B$4,$B$5,$F297,$B$6,AC$10,$A297,$B297)</f>
        <v>5917.5225870926279</v>
      </c>
      <c r="AD297" s="4">
        <f ca="1">_xll.DBRW($B$1,$B$2,$B$7,$B$3,$B$4,$B$5,$F297,$B$6,AD$10,$A297,$B297)</f>
        <v>5055.5158626404409</v>
      </c>
      <c r="AE297" s="4">
        <f ca="1">_xll.DBRW($B$1,$B$2,$B$7,$B$3,$B$4,$B$5,$F297,$B$6,AE$10,$A297,$B297)</f>
        <v>4166.4588152226761</v>
      </c>
    </row>
    <row r="298" spans="1:31">
      <c r="A298" s="1" t="s">
        <v>151</v>
      </c>
      <c r="B298" s="5" t="s">
        <v>47</v>
      </c>
      <c r="C298" s="5" t="s">
        <v>48</v>
      </c>
      <c r="D298" s="5" t="s">
        <v>49</v>
      </c>
      <c r="E298" s="5" t="s">
        <v>21</v>
      </c>
      <c r="F298" s="5" t="s">
        <v>25</v>
      </c>
      <c r="G298" s="6"/>
      <c r="H298" s="6"/>
      <c r="I298" s="6"/>
      <c r="J298" s="6"/>
      <c r="K298" s="6"/>
      <c r="L298" s="4">
        <f ca="1">_xll.DBRW($B$1,$B$2,$B$7,$B$3,$B$4,$B$5,$F298,$B$6,L$10,$A298,$B298)</f>
        <v>5507.192442159524</v>
      </c>
      <c r="M298" s="4">
        <f ca="1">_xll.DBRW($B$1,$B$2,$B$7,$B$3,$B$4,$B$5,$F298,$B$6,M$10,$A298,$B298)</f>
        <v>5050.4449872725918</v>
      </c>
      <c r="N298" s="4">
        <f ca="1">_xll.DBRW($B$1,$B$2,$B$7,$B$3,$B$4,$B$5,$F298,$B$6,N$10,$A298,$B298)</f>
        <v>4966.3851195474008</v>
      </c>
      <c r="O298" s="4">
        <f ca="1">_xll.DBRW($B$1,$B$2,$B$7,$B$3,$B$4,$B$5,$F298,$B$6,O$10,$A298,$B298)</f>
        <v>4840.4785077053193</v>
      </c>
      <c r="P298" s="4">
        <f ca="1">_xll.DBRW($B$1,$B$2,$B$7,$B$3,$B$4,$B$5,$F298,$B$6,P$10,$A298,$B298)</f>
        <v>4971.5266758309781</v>
      </c>
      <c r="Q298" s="4">
        <f ca="1">_xll.DBRW($B$1,$B$2,$B$7,$B$3,$B$4,$B$5,$F298,$B$6,Q$10,$A298,$B298)</f>
        <v>4839.0719903292347</v>
      </c>
      <c r="R298" s="4">
        <f ca="1">_xll.DBRW($B$1,$B$2,$B$7,$B$3,$B$4,$B$5,$F298,$B$6,R$10,$A298,$B298)</f>
        <v>4335.2467362759189</v>
      </c>
      <c r="S298" s="4">
        <f ca="1">_xll.DBRW($B$1,$B$2,$B$7,$B$3,$B$4,$B$5,$F298,$B$6,S$10,$A298,$B298)</f>
        <v>3644.4089697636223</v>
      </c>
      <c r="T298" s="4">
        <f ca="1">_xll.DBRW($B$1,$B$2,$B$7,$B$3,$B$4,$B$5,$F298,$B$6,T$10,$A298,$B298)</f>
        <v>4126.6486732521289</v>
      </c>
      <c r="U298" s="4">
        <f ca="1">_xll.DBRW($B$1,$B$2,$B$7,$B$3,$B$4,$B$5,$F298,$B$6,U$10,$A298,$B298)</f>
        <v>4578.3228190763384</v>
      </c>
      <c r="V298" s="4">
        <f ca="1">_xll.DBRW($B$1,$B$2,$B$7,$B$3,$B$4,$B$5,$F298,$B$6,V$10,$A298,$B298)</f>
        <v>5445.934979034364</v>
      </c>
      <c r="W298" s="4">
        <f ca="1">_xll.DBRW($B$1,$B$2,$B$7,$B$3,$B$4,$B$5,$F298,$B$6,W$10,$A298,$B298)</f>
        <v>5282.0165339246232</v>
      </c>
      <c r="X298" s="4">
        <f ca="1">_xll.DBRW($B$1,$B$2,$B$7,$B$3,$B$4,$B$5,$F298,$B$6,X$10,$A298,$B298)</f>
        <v>5929.3254052836692</v>
      </c>
      <c r="Y298" s="4">
        <f ca="1">_xll.DBRW($B$1,$B$2,$B$7,$B$3,$B$4,$B$5,$F298,$B$6,Y$10,$A298,$B298)</f>
        <v>5745.163872855499</v>
      </c>
      <c r="Z298" s="4">
        <f ca="1">_xll.DBRW($B$1,$B$2,$B$7,$B$3,$B$4,$B$5,$F298,$B$6,Z$10,$A298,$B298)</f>
        <v>5600.9069313124892</v>
      </c>
      <c r="AA298" s="4">
        <f ca="1">_xll.DBRW($B$1,$B$2,$B$7,$B$3,$B$4,$B$5,$F298,$B$6,AA$10,$A298,$B298)</f>
        <v>5396.4441635232861</v>
      </c>
      <c r="AB298" s="4">
        <f ca="1">_xll.DBRW($B$1,$B$2,$B$7,$B$3,$B$4,$B$5,$F298,$B$6,AB$10,$A298,$B298)</f>
        <v>5726.0374338828997</v>
      </c>
      <c r="AC298" s="4">
        <f ca="1">_xll.DBRW($B$1,$B$2,$B$7,$B$3,$B$4,$B$5,$F298,$B$6,AC$10,$A298,$B298)</f>
        <v>5726.6347617025422</v>
      </c>
      <c r="AD298" s="4">
        <f ca="1">_xll.DBRW($B$1,$B$2,$B$7,$B$3,$B$4,$B$5,$F298,$B$6,AD$10,$A298,$B298)</f>
        <v>5055.5158626404409</v>
      </c>
      <c r="AE298" s="4">
        <f ca="1">_xll.DBRW($B$1,$B$2,$B$7,$B$3,$B$4,$B$5,$F298,$B$6,AE$10,$A298,$B298)</f>
        <v>4166.4588152226761</v>
      </c>
    </row>
    <row r="299" spans="1:31">
      <c r="A299" s="1" t="s">
        <v>151</v>
      </c>
      <c r="B299" s="5" t="s">
        <v>220</v>
      </c>
      <c r="C299" s="5" t="s">
        <v>166</v>
      </c>
      <c r="D299" s="5" t="s">
        <v>21</v>
      </c>
      <c r="E299" s="5" t="s">
        <v>31</v>
      </c>
      <c r="F299" s="5" t="s">
        <v>25</v>
      </c>
      <c r="G299" s="6"/>
      <c r="H299" s="6"/>
      <c r="I299" s="6"/>
      <c r="J299" s="6"/>
      <c r="K299" s="6"/>
      <c r="L299" s="4">
        <f ca="1">_xll.DBRW($B$1,$B$2,$B$7,$B$3,$B$4,$B$5,$F299,$B$6,L$10,$A299,$B299)</f>
        <v>4031.1493299044155</v>
      </c>
      <c r="M299" s="4">
        <f ca="1">_xll.DBRW($B$1,$B$2,$B$7,$B$3,$B$4,$B$5,$F299,$B$6,M$10,$A299,$B299)</f>
        <v>5080.7256349070394</v>
      </c>
      <c r="N299" s="4">
        <f ca="1">_xll.DBRW($B$1,$B$2,$B$7,$B$3,$B$4,$B$5,$F299,$B$6,N$10,$A299,$B299)</f>
        <v>5298.6597037132606</v>
      </c>
      <c r="O299" s="4">
        <f ca="1">_xll.DBRW($B$1,$B$2,$B$7,$B$3,$B$4,$B$5,$F299,$B$6,O$10,$A299,$B299)</f>
        <v>5456.7732529895593</v>
      </c>
      <c r="P299" s="4">
        <f ca="1">_xll.DBRW($B$1,$B$2,$B$7,$B$3,$B$4,$B$5,$F299,$B$6,P$10,$A299,$B299)</f>
        <v>4102.5532712360373</v>
      </c>
      <c r="Q299" s="4">
        <f ca="1">_xll.DBRW($B$1,$B$2,$B$7,$B$3,$B$4,$B$5,$F299,$B$6,Q$10,$A299,$B299)</f>
        <v>3314.6366397318143</v>
      </c>
      <c r="R299" s="4">
        <f ca="1">_xll.DBRW($B$1,$B$2,$B$7,$B$3,$B$4,$B$5,$F299,$B$6,R$10,$A299,$B299)</f>
        <v>0</v>
      </c>
      <c r="S299" s="4">
        <f ca="1">_xll.DBRW($B$1,$B$2,$B$7,$B$3,$B$4,$B$5,$F299,$B$6,S$10,$A299,$B299)</f>
        <v>0</v>
      </c>
      <c r="T299" s="4">
        <f ca="1">_xll.DBRW($B$1,$B$2,$B$7,$B$3,$B$4,$B$5,$F299,$B$6,T$10,$A299,$B299)</f>
        <v>0</v>
      </c>
      <c r="U299" s="4">
        <f ca="1">_xll.DBRW($B$1,$B$2,$B$7,$B$3,$B$4,$B$5,$F299,$B$6,U$10,$A299,$B299)</f>
        <v>0</v>
      </c>
      <c r="V299" s="4">
        <f ca="1">_xll.DBRW($B$1,$B$2,$B$7,$B$3,$B$4,$B$5,$F299,$B$6,V$10,$A299,$B299)</f>
        <v>236.94350765017464</v>
      </c>
      <c r="W299" s="4">
        <f ca="1">_xll.DBRW($B$1,$B$2,$B$7,$B$3,$B$4,$B$5,$F299,$B$6,W$10,$A299,$B299)</f>
        <v>4381.7021050133635</v>
      </c>
      <c r="X299" s="4">
        <f ca="1">_xll.DBRW($B$1,$B$2,$B$7,$B$3,$B$4,$B$5,$F299,$B$6,X$10,$A299,$B299)</f>
        <v>5015.5413805368653</v>
      </c>
      <c r="Y299" s="4">
        <f ca="1">_xll.DBRW($B$1,$B$2,$B$7,$B$3,$B$4,$B$5,$F299,$B$6,Y$10,$A299,$B299)</f>
        <v>5007.364146442198</v>
      </c>
      <c r="Z299" s="4">
        <f ca="1">_xll.DBRW($B$1,$B$2,$B$7,$B$3,$B$4,$B$5,$F299,$B$6,Z$10,$A299,$B299)</f>
        <v>5531.6695619776938</v>
      </c>
      <c r="AA299" s="4">
        <f ca="1">_xll.DBRW($B$1,$B$2,$B$7,$B$3,$B$4,$B$5,$F299,$B$6,AA$10,$A299,$B299)</f>
        <v>5502.3485451621655</v>
      </c>
      <c r="AB299" s="4">
        <f ca="1">_xll.DBRW($B$1,$B$2,$B$7,$B$3,$B$4,$B$5,$F299,$B$6,AB$10,$A299,$B299)</f>
        <v>4373.3778007250485</v>
      </c>
      <c r="AC299" s="4">
        <f ca="1">_xll.DBRW($B$1,$B$2,$B$7,$B$3,$B$4,$B$5,$F299,$B$6,AC$10,$A299,$B299)</f>
        <v>3338.209287420194</v>
      </c>
      <c r="AD299" s="4">
        <f ca="1">_xll.DBRW($B$1,$B$2,$B$7,$B$3,$B$4,$B$5,$F299,$B$6,AD$10,$A299,$B299)</f>
        <v>0</v>
      </c>
      <c r="AE299" s="4">
        <f ca="1">_xll.DBRW($B$1,$B$2,$B$7,$B$3,$B$4,$B$5,$F299,$B$6,AE$10,$A299,$B299)</f>
        <v>0</v>
      </c>
    </row>
    <row r="300" spans="1:31">
      <c r="A300" s="1" t="s">
        <v>151</v>
      </c>
      <c r="B300" s="5" t="s">
        <v>32</v>
      </c>
      <c r="C300" s="5" t="s">
        <v>30</v>
      </c>
      <c r="D300" s="5" t="s">
        <v>31</v>
      </c>
      <c r="E300" s="5" t="s">
        <v>21</v>
      </c>
      <c r="F300" s="5" t="s">
        <v>25</v>
      </c>
      <c r="G300" s="6"/>
      <c r="H300" s="6"/>
      <c r="I300" s="6"/>
      <c r="J300" s="6"/>
      <c r="K300" s="6"/>
      <c r="L300" s="4">
        <f ca="1">_xll.DBRW($B$1,$B$2,$B$7,$B$3,$B$4,$B$5,$F300,$B$6,L$10,$A300,$B300)</f>
        <v>4031.1493299044155</v>
      </c>
      <c r="M300" s="4">
        <f ca="1">_xll.DBRW($B$1,$B$2,$B$7,$B$3,$B$4,$B$5,$F300,$B$6,M$10,$A300,$B300)</f>
        <v>5080.7256349070394</v>
      </c>
      <c r="N300" s="4">
        <f ca="1">_xll.DBRW($B$1,$B$2,$B$7,$B$3,$B$4,$B$5,$F300,$B$6,N$10,$A300,$B300)</f>
        <v>5298.6597037132606</v>
      </c>
      <c r="O300" s="4">
        <f ca="1">_xll.DBRW($B$1,$B$2,$B$7,$B$3,$B$4,$B$5,$F300,$B$6,O$10,$A300,$B300)</f>
        <v>5456.7732529895593</v>
      </c>
      <c r="P300" s="4">
        <f ca="1">_xll.DBRW($B$1,$B$2,$B$7,$B$3,$B$4,$B$5,$F300,$B$6,P$10,$A300,$B300)</f>
        <v>4102.5532712360373</v>
      </c>
      <c r="Q300" s="4">
        <f ca="1">_xll.DBRW($B$1,$B$2,$B$7,$B$3,$B$4,$B$5,$F300,$B$6,Q$10,$A300,$B300)</f>
        <v>3314.6366397318143</v>
      </c>
      <c r="R300" s="4">
        <f ca="1">_xll.DBRW($B$1,$B$2,$B$7,$B$3,$B$4,$B$5,$F300,$B$6,R$10,$A300,$B300)</f>
        <v>0</v>
      </c>
      <c r="S300" s="4">
        <f ca="1">_xll.DBRW($B$1,$B$2,$B$7,$B$3,$B$4,$B$5,$F300,$B$6,S$10,$A300,$B300)</f>
        <v>0</v>
      </c>
      <c r="T300" s="4">
        <f ca="1">_xll.DBRW($B$1,$B$2,$B$7,$B$3,$B$4,$B$5,$F300,$B$6,T$10,$A300,$B300)</f>
        <v>0</v>
      </c>
      <c r="U300" s="4">
        <f ca="1">_xll.DBRW($B$1,$B$2,$B$7,$B$3,$B$4,$B$5,$F300,$B$6,U$10,$A300,$B300)</f>
        <v>0</v>
      </c>
      <c r="V300" s="4">
        <f ca="1">_xll.DBRW($B$1,$B$2,$B$7,$B$3,$B$4,$B$5,$F300,$B$6,V$10,$A300,$B300)</f>
        <v>236.94350765017464</v>
      </c>
      <c r="W300" s="4">
        <f ca="1">_xll.DBRW($B$1,$B$2,$B$7,$B$3,$B$4,$B$5,$F300,$B$6,W$10,$A300,$B300)</f>
        <v>4381.7021050133635</v>
      </c>
      <c r="X300" s="4">
        <f ca="1">_xll.DBRW($B$1,$B$2,$B$7,$B$3,$B$4,$B$5,$F300,$B$6,X$10,$A300,$B300)</f>
        <v>5015.5413805368653</v>
      </c>
      <c r="Y300" s="4">
        <f ca="1">_xll.DBRW($B$1,$B$2,$B$7,$B$3,$B$4,$B$5,$F300,$B$6,Y$10,$A300,$B300)</f>
        <v>5007.364146442198</v>
      </c>
      <c r="Z300" s="4">
        <f ca="1">_xll.DBRW($B$1,$B$2,$B$7,$B$3,$B$4,$B$5,$F300,$B$6,Z$10,$A300,$B300)</f>
        <v>5531.6695619776938</v>
      </c>
      <c r="AA300" s="4">
        <f ca="1">_xll.DBRW($B$1,$B$2,$B$7,$B$3,$B$4,$B$5,$F300,$B$6,AA$10,$A300,$B300)</f>
        <v>5502.3485451621655</v>
      </c>
      <c r="AB300" s="4">
        <f ca="1">_xll.DBRW($B$1,$B$2,$B$7,$B$3,$B$4,$B$5,$F300,$B$6,AB$10,$A300,$B300)</f>
        <v>4373.3778007250485</v>
      </c>
      <c r="AC300" s="4">
        <f ca="1">_xll.DBRW($B$1,$B$2,$B$7,$B$3,$B$4,$B$5,$F300,$B$6,AC$10,$A300,$B300)</f>
        <v>3204.8838025308269</v>
      </c>
      <c r="AD300" s="4">
        <f ca="1">_xll.DBRW($B$1,$B$2,$B$7,$B$3,$B$4,$B$5,$F300,$B$6,AD$10,$A300,$B300)</f>
        <v>0</v>
      </c>
      <c r="AE300" s="4">
        <f ca="1">_xll.DBRW($B$1,$B$2,$B$7,$B$3,$B$4,$B$5,$F300,$B$6,AE$10,$A300,$B300)</f>
        <v>0</v>
      </c>
    </row>
    <row r="301" spans="1:31">
      <c r="A301" s="1" t="s">
        <v>151</v>
      </c>
      <c r="B301" s="5" t="s">
        <v>221</v>
      </c>
      <c r="C301" s="5" t="s">
        <v>193</v>
      </c>
      <c r="D301" s="5" t="s">
        <v>21</v>
      </c>
      <c r="E301" s="5" t="s">
        <v>194</v>
      </c>
      <c r="F301" s="5" t="s">
        <v>25</v>
      </c>
      <c r="G301" s="6"/>
      <c r="H301" s="6"/>
      <c r="I301" s="6"/>
      <c r="J301" s="6"/>
      <c r="K301" s="6"/>
      <c r="L301" s="4">
        <f ca="1">_xll.DBRW($B$1,$B$2,$B$7,$B$3,$B$4,$B$5,$F301,$B$6,L$10,$A301,$B301)</f>
        <v>1477.2097539453139</v>
      </c>
      <c r="M301" s="4">
        <f ca="1">_xll.DBRW($B$1,$B$2,$B$7,$B$3,$B$4,$B$5,$F301,$B$6,M$10,$A301,$B301)</f>
        <v>1440.7470971444293</v>
      </c>
      <c r="N301" s="4">
        <f ca="1">_xll.DBRW($B$1,$B$2,$B$7,$B$3,$B$4,$B$5,$F301,$B$6,N$10,$A301,$B301)</f>
        <v>1563.4558674051284</v>
      </c>
      <c r="O301" s="4">
        <f ca="1">_xll.DBRW($B$1,$B$2,$B$7,$B$3,$B$4,$B$5,$F301,$B$6,O$10,$A301,$B301)</f>
        <v>1561.4446799049417</v>
      </c>
      <c r="P301" s="4">
        <f ca="1">_xll.DBRW($B$1,$B$2,$B$7,$B$3,$B$4,$B$5,$F301,$B$6,P$10,$A301,$B301)</f>
        <v>1402.8183798468804</v>
      </c>
      <c r="Q301" s="4">
        <f ca="1">_xll.DBRW($B$1,$B$2,$B$7,$B$3,$B$4,$B$5,$F301,$B$6,Q$10,$A301,$B301)</f>
        <v>1552.318792596654</v>
      </c>
      <c r="R301" s="4">
        <f ca="1">_xll.DBRW($B$1,$B$2,$B$7,$B$3,$B$4,$B$5,$F301,$B$6,R$10,$A301,$B301)</f>
        <v>1456.6429033887084</v>
      </c>
      <c r="S301" s="4">
        <f ca="1">_xll.DBRW($B$1,$B$2,$B$7,$B$3,$B$4,$B$5,$F301,$B$6,S$10,$A301,$B301)</f>
        <v>1233.4329670273498</v>
      </c>
      <c r="T301" s="4">
        <f ca="1">_xll.DBRW($B$1,$B$2,$B$7,$B$3,$B$4,$B$5,$F301,$B$6,T$10,$A301,$B301)</f>
        <v>1666.3346158033057</v>
      </c>
      <c r="U301" s="4">
        <f ca="1">_xll.DBRW($B$1,$B$2,$B$7,$B$3,$B$4,$B$5,$F301,$B$6,U$10,$A301,$B301)</f>
        <v>1542.9803297184126</v>
      </c>
      <c r="V301" s="4">
        <f ca="1">_xll.DBRW($B$1,$B$2,$B$7,$B$3,$B$4,$B$5,$F301,$B$6,V$10,$A301,$B301)</f>
        <v>1734.3023290308984</v>
      </c>
      <c r="W301" s="4">
        <f ca="1">_xll.DBRW($B$1,$B$2,$B$7,$B$3,$B$4,$B$5,$F301,$B$6,W$10,$A301,$B301)</f>
        <v>1659.0193189790057</v>
      </c>
      <c r="X301" s="4">
        <f ca="1">_xll.DBRW($B$1,$B$2,$B$7,$B$3,$B$4,$B$5,$F301,$B$6,X$10,$A301,$B301)</f>
        <v>1721.4170531468717</v>
      </c>
      <c r="Y301" s="4">
        <f ca="1">_xll.DBRW($B$1,$B$2,$B$7,$B$3,$B$4,$B$5,$F301,$B$6,Y$10,$A301,$B301)</f>
        <v>1532.0436994281331</v>
      </c>
      <c r="Z301" s="4">
        <f ca="1">_xll.DBRW($B$1,$B$2,$B$7,$B$3,$B$4,$B$5,$F301,$B$6,Z$10,$A301,$B301)</f>
        <v>1889.5197271691218</v>
      </c>
      <c r="AA301" s="4">
        <f ca="1">_xll.DBRW($B$1,$B$2,$B$7,$B$3,$B$4,$B$5,$F301,$B$6,AA$10,$A301,$B301)</f>
        <v>1508.6477498917864</v>
      </c>
      <c r="AB301" s="4">
        <f ca="1">_xll.DBRW($B$1,$B$2,$B$7,$B$3,$B$4,$B$5,$F301,$B$6,AB$10,$A301,$B301)</f>
        <v>1717.8112301648703</v>
      </c>
      <c r="AC301" s="4">
        <f ca="1">_xll.DBRW($B$1,$B$2,$B$7,$B$3,$B$4,$B$5,$F301,$B$6,AC$10,$A301,$B301)</f>
        <v>1527.1026031206782</v>
      </c>
      <c r="AD301" s="4">
        <f ca="1">_xll.DBRW($B$1,$B$2,$B$7,$B$3,$B$4,$B$5,$F301,$B$6,AD$10,$A301,$B301)</f>
        <v>1446.8723529731158</v>
      </c>
      <c r="AE301" s="4">
        <f ca="1">_xll.DBRW($B$1,$B$2,$B$7,$B$3,$B$4,$B$5,$F301,$B$6,AE$10,$A301,$B301)</f>
        <v>1433.1174597474635</v>
      </c>
    </row>
    <row r="302" spans="1:31">
      <c r="A302" s="1" t="s">
        <v>151</v>
      </c>
      <c r="B302" s="5" t="s">
        <v>222</v>
      </c>
      <c r="C302" s="5" t="s">
        <v>196</v>
      </c>
      <c r="D302" s="5" t="s">
        <v>194</v>
      </c>
      <c r="E302" s="5" t="s">
        <v>21</v>
      </c>
      <c r="F302" s="5" t="s">
        <v>25</v>
      </c>
      <c r="G302" s="6"/>
      <c r="H302" s="6"/>
      <c r="I302" s="6"/>
      <c r="J302" s="6"/>
      <c r="K302" s="6"/>
      <c r="L302" s="4">
        <f ca="1">_xll.DBRW($B$1,$B$2,$B$7,$B$3,$B$4,$B$5,$F302,$B$6,L$10,$A302,$B302)</f>
        <v>1477.2097539453139</v>
      </c>
      <c r="M302" s="4">
        <f ca="1">_xll.DBRW($B$1,$B$2,$B$7,$B$3,$B$4,$B$5,$F302,$B$6,M$10,$A302,$B302)</f>
        <v>1440.7470971444293</v>
      </c>
      <c r="N302" s="4">
        <f ca="1">_xll.DBRW($B$1,$B$2,$B$7,$B$3,$B$4,$B$5,$F302,$B$6,N$10,$A302,$B302)</f>
        <v>1563.4558674051284</v>
      </c>
      <c r="O302" s="4">
        <f ca="1">_xll.DBRW($B$1,$B$2,$B$7,$B$3,$B$4,$B$5,$F302,$B$6,O$10,$A302,$B302)</f>
        <v>1561.4446799049417</v>
      </c>
      <c r="P302" s="4">
        <f ca="1">_xll.DBRW($B$1,$B$2,$B$7,$B$3,$B$4,$B$5,$F302,$B$6,P$10,$A302,$B302)</f>
        <v>1402.8183798468804</v>
      </c>
      <c r="Q302" s="4">
        <f ca="1">_xll.DBRW($B$1,$B$2,$B$7,$B$3,$B$4,$B$5,$F302,$B$6,Q$10,$A302,$B302)</f>
        <v>1552.318792596654</v>
      </c>
      <c r="R302" s="4">
        <f ca="1">_xll.DBRW($B$1,$B$2,$B$7,$B$3,$B$4,$B$5,$F302,$B$6,R$10,$A302,$B302)</f>
        <v>1456.6429033887084</v>
      </c>
      <c r="S302" s="4">
        <f ca="1">_xll.DBRW($B$1,$B$2,$B$7,$B$3,$B$4,$B$5,$F302,$B$6,S$10,$A302,$B302)</f>
        <v>1233.4329670273498</v>
      </c>
      <c r="T302" s="4">
        <f ca="1">_xll.DBRW($B$1,$B$2,$B$7,$B$3,$B$4,$B$5,$F302,$B$6,T$10,$A302,$B302)</f>
        <v>1666.3346158033057</v>
      </c>
      <c r="U302" s="4">
        <f ca="1">_xll.DBRW($B$1,$B$2,$B$7,$B$3,$B$4,$B$5,$F302,$B$6,U$10,$A302,$B302)</f>
        <v>1542.9803297184126</v>
      </c>
      <c r="V302" s="4">
        <f ca="1">_xll.DBRW($B$1,$B$2,$B$7,$B$3,$B$4,$B$5,$F302,$B$6,V$10,$A302,$B302)</f>
        <v>1734.3023290308984</v>
      </c>
      <c r="W302" s="4">
        <f ca="1">_xll.DBRW($B$1,$B$2,$B$7,$B$3,$B$4,$B$5,$F302,$B$6,W$10,$A302,$B302)</f>
        <v>1659.0193189790057</v>
      </c>
      <c r="X302" s="4">
        <f ca="1">_xll.DBRW($B$1,$B$2,$B$7,$B$3,$B$4,$B$5,$F302,$B$6,X$10,$A302,$B302)</f>
        <v>1721.4170531468717</v>
      </c>
      <c r="Y302" s="4">
        <f ca="1">_xll.DBRW($B$1,$B$2,$B$7,$B$3,$B$4,$B$5,$F302,$B$6,Y$10,$A302,$B302)</f>
        <v>1532.0436994281331</v>
      </c>
      <c r="Z302" s="4">
        <f ca="1">_xll.DBRW($B$1,$B$2,$B$7,$B$3,$B$4,$B$5,$F302,$B$6,Z$10,$A302,$B302)</f>
        <v>1889.5197271691218</v>
      </c>
      <c r="AA302" s="4">
        <f ca="1">_xll.DBRW($B$1,$B$2,$B$7,$B$3,$B$4,$B$5,$F302,$B$6,AA$10,$A302,$B302)</f>
        <v>1508.6477498917864</v>
      </c>
      <c r="AB302" s="4">
        <f ca="1">_xll.DBRW($B$1,$B$2,$B$7,$B$3,$B$4,$B$5,$F302,$B$6,AB$10,$A302,$B302)</f>
        <v>1717.8112301648703</v>
      </c>
      <c r="AC302" s="4">
        <f ca="1">_xll.DBRW($B$1,$B$2,$B$7,$B$3,$B$4,$B$5,$F302,$B$6,AC$10,$A302,$B302)</f>
        <v>1527.1026031206782</v>
      </c>
      <c r="AD302" s="4">
        <f ca="1">_xll.DBRW($B$1,$B$2,$B$7,$B$3,$B$4,$B$5,$F302,$B$6,AD$10,$A302,$B302)</f>
        <v>1446.8723529731158</v>
      </c>
      <c r="AE302" s="4">
        <f ca="1">_xll.DBRW($B$1,$B$2,$B$7,$B$3,$B$4,$B$5,$F302,$B$6,AE$10,$A302,$B302)</f>
        <v>1273.8821864421898</v>
      </c>
    </row>
    <row r="303" spans="1:31">
      <c r="A303" s="1" t="s">
        <v>151</v>
      </c>
      <c r="B303" s="5" t="s">
        <v>223</v>
      </c>
      <c r="C303" s="5" t="s">
        <v>193</v>
      </c>
      <c r="D303" s="5" t="s">
        <v>21</v>
      </c>
      <c r="E303" s="5" t="s">
        <v>194</v>
      </c>
      <c r="F303" s="5" t="s">
        <v>25</v>
      </c>
      <c r="G303" s="6"/>
      <c r="H303" s="6"/>
      <c r="I303" s="6"/>
      <c r="J303" s="6"/>
      <c r="K303" s="6"/>
      <c r="L303" s="4">
        <f ca="1">_xll.DBRW($B$1,$B$2,$B$7,$B$3,$B$4,$B$5,$F303,$B$6,L$10,$A303,$B303)</f>
        <v>2133.7474223654535</v>
      </c>
      <c r="M303" s="4">
        <f ca="1">_xll.DBRW($B$1,$B$2,$B$7,$B$3,$B$4,$B$5,$F303,$B$6,M$10,$A303,$B303)</f>
        <v>1981.0272585735904</v>
      </c>
      <c r="N303" s="4">
        <f ca="1">_xll.DBRW($B$1,$B$2,$B$7,$B$3,$B$4,$B$5,$F303,$B$6,N$10,$A303,$B303)</f>
        <v>2258.3251418074078</v>
      </c>
      <c r="O303" s="4">
        <f ca="1">_xll.DBRW($B$1,$B$2,$B$7,$B$3,$B$4,$B$5,$F303,$B$6,O$10,$A303,$B303)</f>
        <v>2255.4200931960272</v>
      </c>
      <c r="P303" s="4">
        <f ca="1">_xll.DBRW($B$1,$B$2,$B$7,$B$3,$B$4,$B$5,$F303,$B$6,P$10,$A303,$B303)</f>
        <v>2279.5798672511805</v>
      </c>
      <c r="Q303" s="4">
        <f ca="1">_xll.DBRW($B$1,$B$2,$B$7,$B$3,$B$4,$B$5,$F303,$B$6,Q$10,$A303,$B303)</f>
        <v>1724.798658440727</v>
      </c>
      <c r="R303" s="4">
        <f ca="1">_xll.DBRW($B$1,$B$2,$B$7,$B$3,$B$4,$B$5,$F303,$B$6,R$10,$A303,$B303)</f>
        <v>1456.6429033887084</v>
      </c>
      <c r="S303" s="4">
        <f ca="1">_xll.DBRW($B$1,$B$2,$B$7,$B$3,$B$4,$B$5,$F303,$B$6,S$10,$A303,$B303)</f>
        <v>1387.6120879057685</v>
      </c>
      <c r="T303" s="4">
        <f ca="1">_xll.DBRW($B$1,$B$2,$B$7,$B$3,$B$4,$B$5,$F303,$B$6,T$10,$A303,$B303)</f>
        <v>1666.3346158033057</v>
      </c>
      <c r="U303" s="4">
        <f ca="1">_xll.DBRW($B$1,$B$2,$B$7,$B$3,$B$4,$B$5,$F303,$B$6,U$10,$A303,$B303)</f>
        <v>1542.9803297184126</v>
      </c>
      <c r="V303" s="4">
        <f ca="1">_xll.DBRW($B$1,$B$2,$B$7,$B$3,$B$4,$B$5,$F303,$B$6,V$10,$A303,$B303)</f>
        <v>1541.6020702496871</v>
      </c>
      <c r="W303" s="4">
        <f ca="1">_xll.DBRW($B$1,$B$2,$B$7,$B$3,$B$4,$B$5,$F303,$B$6,W$10,$A303,$B303)</f>
        <v>921.67739943278093</v>
      </c>
      <c r="X303" s="4">
        <f ca="1">_xll.DBRW($B$1,$B$2,$B$7,$B$3,$B$4,$B$5,$F303,$B$6,X$10,$A303,$B303)</f>
        <v>765.07424584305397</v>
      </c>
      <c r="Y303" s="4">
        <f ca="1">_xll.DBRW($B$1,$B$2,$B$7,$B$3,$B$4,$B$5,$F303,$B$6,Y$10,$A303,$B303)</f>
        <v>766.02184971406655</v>
      </c>
      <c r="Z303" s="4">
        <f ca="1">_xll.DBRW($B$1,$B$2,$B$7,$B$3,$B$4,$B$5,$F303,$B$6,Z$10,$A303,$B303)</f>
        <v>944.75986358456089</v>
      </c>
      <c r="AA303" s="4">
        <f ca="1">_xll.DBRW($B$1,$B$2,$B$7,$B$3,$B$4,$B$5,$F303,$B$6,AA$10,$A303,$B303)</f>
        <v>754.32387494589318</v>
      </c>
      <c r="AB303" s="4">
        <f ca="1">_xll.DBRW($B$1,$B$2,$B$7,$B$3,$B$4,$B$5,$F303,$B$6,AB$10,$A303,$B303)</f>
        <v>763.47165785105335</v>
      </c>
      <c r="AC303" s="4">
        <f ca="1">_xll.DBRW($B$1,$B$2,$B$7,$B$3,$B$4,$B$5,$F303,$B$6,AC$10,$A303,$B303)</f>
        <v>1145.3269523405086</v>
      </c>
      <c r="AD303" s="4">
        <f ca="1">_xll.DBRW($B$1,$B$2,$B$7,$B$3,$B$4,$B$5,$F303,$B$6,AD$10,$A303,$B303)</f>
        <v>1286.1087581983252</v>
      </c>
      <c r="AE303" s="4">
        <f ca="1">_xll.DBRW($B$1,$B$2,$B$7,$B$3,$B$4,$B$5,$F303,$B$6,AE$10,$A303,$B303)</f>
        <v>1433.1174597474635</v>
      </c>
    </row>
    <row r="304" spans="1:31">
      <c r="A304" s="1" t="s">
        <v>151</v>
      </c>
      <c r="B304" s="5" t="s">
        <v>224</v>
      </c>
      <c r="C304" s="5" t="s">
        <v>196</v>
      </c>
      <c r="D304" s="5" t="s">
        <v>194</v>
      </c>
      <c r="E304" s="5" t="s">
        <v>21</v>
      </c>
      <c r="F304" s="5" t="s">
        <v>25</v>
      </c>
      <c r="G304" s="6"/>
      <c r="H304" s="6"/>
      <c r="I304" s="6"/>
      <c r="J304" s="6"/>
      <c r="K304" s="6"/>
      <c r="L304" s="4">
        <f ca="1">_xll.DBRW($B$1,$B$2,$B$7,$B$3,$B$4,$B$5,$F304,$B$6,L$10,$A304,$B304)</f>
        <v>2133.7474223654535</v>
      </c>
      <c r="M304" s="4">
        <f ca="1">_xll.DBRW($B$1,$B$2,$B$7,$B$3,$B$4,$B$5,$F304,$B$6,M$10,$A304,$B304)</f>
        <v>1981.0272585735904</v>
      </c>
      <c r="N304" s="4">
        <f ca="1">_xll.DBRW($B$1,$B$2,$B$7,$B$3,$B$4,$B$5,$F304,$B$6,N$10,$A304,$B304)</f>
        <v>2258.3251418074078</v>
      </c>
      <c r="O304" s="4">
        <f ca="1">_xll.DBRW($B$1,$B$2,$B$7,$B$3,$B$4,$B$5,$F304,$B$6,O$10,$A304,$B304)</f>
        <v>2255.4200931960272</v>
      </c>
      <c r="P304" s="4">
        <f ca="1">_xll.DBRW($B$1,$B$2,$B$7,$B$3,$B$4,$B$5,$F304,$B$6,P$10,$A304,$B304)</f>
        <v>2279.5798672511805</v>
      </c>
      <c r="Q304" s="4">
        <f ca="1">_xll.DBRW($B$1,$B$2,$B$7,$B$3,$B$4,$B$5,$F304,$B$6,Q$10,$A304,$B304)</f>
        <v>1897.2785242847995</v>
      </c>
      <c r="R304" s="4">
        <f ca="1">_xll.DBRW($B$1,$B$2,$B$7,$B$3,$B$4,$B$5,$F304,$B$6,R$10,$A304,$B304)</f>
        <v>1456.6429033887084</v>
      </c>
      <c r="S304" s="4">
        <f ca="1">_xll.DBRW($B$1,$B$2,$B$7,$B$3,$B$4,$B$5,$F304,$B$6,S$10,$A304,$B304)</f>
        <v>1387.6120879057685</v>
      </c>
      <c r="T304" s="4">
        <f ca="1">_xll.DBRW($B$1,$B$2,$B$7,$B$3,$B$4,$B$5,$F304,$B$6,T$10,$A304,$B304)</f>
        <v>1666.3346158033057</v>
      </c>
      <c r="U304" s="4">
        <f ca="1">_xll.DBRW($B$1,$B$2,$B$7,$B$3,$B$4,$B$5,$F304,$B$6,U$10,$A304,$B304)</f>
        <v>1542.9803297184126</v>
      </c>
      <c r="V304" s="4">
        <f ca="1">_xll.DBRW($B$1,$B$2,$B$7,$B$3,$B$4,$B$5,$F304,$B$6,V$10,$A304,$B304)</f>
        <v>1541.6020702496871</v>
      </c>
      <c r="W304" s="4">
        <f ca="1">_xll.DBRW($B$1,$B$2,$B$7,$B$3,$B$4,$B$5,$F304,$B$6,W$10,$A304,$B304)</f>
        <v>921.67739943278093</v>
      </c>
      <c r="X304" s="4">
        <f ca="1">_xll.DBRW($B$1,$B$2,$B$7,$B$3,$B$4,$B$5,$F304,$B$6,X$10,$A304,$B304)</f>
        <v>765.07424584305397</v>
      </c>
      <c r="Y304" s="4">
        <f ca="1">_xll.DBRW($B$1,$B$2,$B$7,$B$3,$B$4,$B$5,$F304,$B$6,Y$10,$A304,$B304)</f>
        <v>766.02184971406655</v>
      </c>
      <c r="Z304" s="4">
        <f ca="1">_xll.DBRW($B$1,$B$2,$B$7,$B$3,$B$4,$B$5,$F304,$B$6,Z$10,$A304,$B304)</f>
        <v>944.75986358456089</v>
      </c>
      <c r="AA304" s="4">
        <f ca="1">_xll.DBRW($B$1,$B$2,$B$7,$B$3,$B$4,$B$5,$F304,$B$6,AA$10,$A304,$B304)</f>
        <v>754.32387494589318</v>
      </c>
      <c r="AB304" s="4">
        <f ca="1">_xll.DBRW($B$1,$B$2,$B$7,$B$3,$B$4,$B$5,$F304,$B$6,AB$10,$A304,$B304)</f>
        <v>763.47165785105335</v>
      </c>
      <c r="AC304" s="4">
        <f ca="1">_xll.DBRW($B$1,$B$2,$B$7,$B$3,$B$4,$B$5,$F304,$B$6,AC$10,$A304,$B304)</f>
        <v>1145.3269523405086</v>
      </c>
      <c r="AD304" s="4">
        <f ca="1">_xll.DBRW($B$1,$B$2,$B$7,$B$3,$B$4,$B$5,$F304,$B$6,AD$10,$A304,$B304)</f>
        <v>1286.1087581983252</v>
      </c>
      <c r="AE304" s="4">
        <f ca="1">_xll.DBRW($B$1,$B$2,$B$7,$B$3,$B$4,$B$5,$F304,$B$6,AE$10,$A304,$B304)</f>
        <v>1433.1174597474635</v>
      </c>
    </row>
    <row r="305" spans="1:31">
      <c r="A305" s="1" t="s">
        <v>151</v>
      </c>
      <c r="B305" s="5" t="s">
        <v>225</v>
      </c>
      <c r="C305" s="5" t="s">
        <v>226</v>
      </c>
      <c r="D305" s="5" t="s">
        <v>21</v>
      </c>
      <c r="E305" s="5" t="s">
        <v>227</v>
      </c>
      <c r="F305" s="5" t="s">
        <v>25</v>
      </c>
      <c r="G305" s="6"/>
      <c r="H305" s="6"/>
      <c r="I305" s="6"/>
      <c r="J305" s="6"/>
      <c r="K305" s="6"/>
      <c r="L305" s="4">
        <f ca="1">_xll.DBRW($B$1,$B$2,$B$7,$B$3,$B$4,$B$5,$F305,$B$6,L$10,$A305,$B305)</f>
        <v>0</v>
      </c>
      <c r="M305" s="4">
        <f ca="1">_xll.DBRW($B$1,$B$2,$B$7,$B$3,$B$4,$B$5,$F305,$B$6,M$10,$A305,$B305)</f>
        <v>0</v>
      </c>
      <c r="N305" s="4">
        <f ca="1">_xll.DBRW($B$1,$B$2,$B$7,$B$3,$B$4,$B$5,$F305,$B$6,N$10,$A305,$B305)</f>
        <v>0</v>
      </c>
      <c r="O305" s="4">
        <f ca="1">_xll.DBRW($B$1,$B$2,$B$7,$B$3,$B$4,$B$5,$F305,$B$6,O$10,$A305,$B305)</f>
        <v>0</v>
      </c>
      <c r="P305" s="4">
        <f ca="1">_xll.DBRW($B$1,$B$2,$B$7,$B$3,$B$4,$B$5,$F305,$B$6,P$10,$A305,$B305)</f>
        <v>0</v>
      </c>
      <c r="Q305" s="4">
        <f ca="1">_xll.DBRW($B$1,$B$2,$B$7,$B$3,$B$4,$B$5,$F305,$B$6,Q$10,$A305,$B305)</f>
        <v>316.48</v>
      </c>
      <c r="R305" s="4">
        <f ca="1">_xll.DBRW($B$1,$B$2,$B$7,$B$3,$B$4,$B$5,$F305,$B$6,R$10,$A305,$B305)</f>
        <v>1221.7599999999998</v>
      </c>
      <c r="S305" s="4">
        <f ca="1">_xll.DBRW($B$1,$B$2,$B$7,$B$3,$B$4,$B$5,$F305,$B$6,S$10,$A305,$B305)</f>
        <v>0</v>
      </c>
      <c r="T305" s="4">
        <f ca="1">_xll.DBRW($B$1,$B$2,$B$7,$B$3,$B$4,$B$5,$F305,$B$6,T$10,$A305,$B305)</f>
        <v>0</v>
      </c>
      <c r="U305" s="4">
        <f ca="1">_xll.DBRW($B$1,$B$2,$B$7,$B$3,$B$4,$B$5,$F305,$B$6,U$10,$A305,$B305)</f>
        <v>0</v>
      </c>
      <c r="V305" s="4">
        <f ca="1">_xll.DBRW($B$1,$B$2,$B$7,$B$3,$B$4,$B$5,$F305,$B$6,V$10,$A305,$B305)</f>
        <v>0</v>
      </c>
      <c r="W305" s="4">
        <f ca="1">_xll.DBRW($B$1,$B$2,$B$7,$B$3,$B$4,$B$5,$F305,$B$6,W$10,$A305,$B305)</f>
        <v>0</v>
      </c>
      <c r="X305" s="4">
        <f ca="1">_xll.DBRW($B$1,$B$2,$B$7,$B$3,$B$4,$B$5,$F305,$B$6,X$10,$A305,$B305)</f>
        <v>0</v>
      </c>
      <c r="Y305" s="4">
        <f ca="1">_xll.DBRW($B$1,$B$2,$B$7,$B$3,$B$4,$B$5,$F305,$B$6,Y$10,$A305,$B305)</f>
        <v>0</v>
      </c>
      <c r="Z305" s="4">
        <f ca="1">_xll.DBRW($B$1,$B$2,$B$7,$B$3,$B$4,$B$5,$F305,$B$6,Z$10,$A305,$B305)</f>
        <v>0</v>
      </c>
      <c r="AA305" s="4">
        <f ca="1">_xll.DBRW($B$1,$B$2,$B$7,$B$3,$B$4,$B$5,$F305,$B$6,AA$10,$A305,$B305)</f>
        <v>0</v>
      </c>
      <c r="AB305" s="4">
        <f ca="1">_xll.DBRW($B$1,$B$2,$B$7,$B$3,$B$4,$B$5,$F305,$B$6,AB$10,$A305,$B305)</f>
        <v>0</v>
      </c>
      <c r="AC305" s="4">
        <f ca="1">_xll.DBRW($B$1,$B$2,$B$7,$B$3,$B$4,$B$5,$F305,$B$6,AC$10,$A305,$B305)</f>
        <v>0</v>
      </c>
      <c r="AD305" s="4">
        <f ca="1">_xll.DBRW($B$1,$B$2,$B$7,$B$3,$B$4,$B$5,$F305,$B$6,AD$10,$A305,$B305)</f>
        <v>0</v>
      </c>
      <c r="AE305" s="4">
        <f ca="1">_xll.DBRW($B$1,$B$2,$B$7,$B$3,$B$4,$B$5,$F305,$B$6,AE$10,$A305,$B305)</f>
        <v>0</v>
      </c>
    </row>
    <row r="306" spans="1:31">
      <c r="A306" s="1" t="s">
        <v>151</v>
      </c>
      <c r="B306" s="5" t="s">
        <v>228</v>
      </c>
      <c r="C306" s="5" t="s">
        <v>229</v>
      </c>
      <c r="D306" s="5" t="s">
        <v>227</v>
      </c>
      <c r="E306" s="5" t="s">
        <v>21</v>
      </c>
      <c r="F306" s="5" t="s">
        <v>25</v>
      </c>
      <c r="G306" s="6"/>
      <c r="H306" s="6"/>
      <c r="I306" s="6"/>
      <c r="J306" s="6"/>
      <c r="K306" s="6"/>
      <c r="L306" s="4">
        <f ca="1">_xll.DBRW($B$1,$B$2,$B$7,$B$3,$B$4,$B$5,$F306,$B$6,L$10,$A306,$B306)</f>
        <v>0</v>
      </c>
      <c r="M306" s="4">
        <f ca="1">_xll.DBRW($B$1,$B$2,$B$7,$B$3,$B$4,$B$5,$F306,$B$6,M$10,$A306,$B306)</f>
        <v>0</v>
      </c>
      <c r="N306" s="4">
        <f ca="1">_xll.DBRW($B$1,$B$2,$B$7,$B$3,$B$4,$B$5,$F306,$B$6,N$10,$A306,$B306)</f>
        <v>0</v>
      </c>
      <c r="O306" s="4">
        <f ca="1">_xll.DBRW($B$1,$B$2,$B$7,$B$3,$B$4,$B$5,$F306,$B$6,O$10,$A306,$B306)</f>
        <v>0</v>
      </c>
      <c r="P306" s="4">
        <f ca="1">_xll.DBRW($B$1,$B$2,$B$7,$B$3,$B$4,$B$5,$F306,$B$6,P$10,$A306,$B306)</f>
        <v>0</v>
      </c>
      <c r="Q306" s="4">
        <f ca="1">_xll.DBRW($B$1,$B$2,$B$7,$B$3,$B$4,$B$5,$F306,$B$6,Q$10,$A306,$B306)</f>
        <v>316.48</v>
      </c>
      <c r="R306" s="4">
        <f ca="1">_xll.DBRW($B$1,$B$2,$B$7,$B$3,$B$4,$B$5,$F306,$B$6,R$10,$A306,$B306)</f>
        <v>1221.7599999999998</v>
      </c>
      <c r="S306" s="4">
        <f ca="1">_xll.DBRW($B$1,$B$2,$B$7,$B$3,$B$4,$B$5,$F306,$B$6,S$10,$A306,$B306)</f>
        <v>0</v>
      </c>
      <c r="T306" s="4">
        <f ca="1">_xll.DBRW($B$1,$B$2,$B$7,$B$3,$B$4,$B$5,$F306,$B$6,T$10,$A306,$B306)</f>
        <v>0</v>
      </c>
      <c r="U306" s="4">
        <f ca="1">_xll.DBRW($B$1,$B$2,$B$7,$B$3,$B$4,$B$5,$F306,$B$6,U$10,$A306,$B306)</f>
        <v>0</v>
      </c>
      <c r="V306" s="4">
        <f ca="1">_xll.DBRW($B$1,$B$2,$B$7,$B$3,$B$4,$B$5,$F306,$B$6,V$10,$A306,$B306)</f>
        <v>0</v>
      </c>
      <c r="W306" s="4">
        <f ca="1">_xll.DBRW($B$1,$B$2,$B$7,$B$3,$B$4,$B$5,$F306,$B$6,W$10,$A306,$B306)</f>
        <v>0</v>
      </c>
      <c r="X306" s="4">
        <f ca="1">_xll.DBRW($B$1,$B$2,$B$7,$B$3,$B$4,$B$5,$F306,$B$6,X$10,$A306,$B306)</f>
        <v>0</v>
      </c>
      <c r="Y306" s="4">
        <f ca="1">_xll.DBRW($B$1,$B$2,$B$7,$B$3,$B$4,$B$5,$F306,$B$6,Y$10,$A306,$B306)</f>
        <v>0</v>
      </c>
      <c r="Z306" s="4">
        <f ca="1">_xll.DBRW($B$1,$B$2,$B$7,$B$3,$B$4,$B$5,$F306,$B$6,Z$10,$A306,$B306)</f>
        <v>0</v>
      </c>
      <c r="AA306" s="4">
        <f ca="1">_xll.DBRW($B$1,$B$2,$B$7,$B$3,$B$4,$B$5,$F306,$B$6,AA$10,$A306,$B306)</f>
        <v>0</v>
      </c>
      <c r="AB306" s="4">
        <f ca="1">_xll.DBRW($B$1,$B$2,$B$7,$B$3,$B$4,$B$5,$F306,$B$6,AB$10,$A306,$B306)</f>
        <v>0</v>
      </c>
      <c r="AC306" s="4">
        <f ca="1">_xll.DBRW($B$1,$B$2,$B$7,$B$3,$B$4,$B$5,$F306,$B$6,AC$10,$A306,$B306)</f>
        <v>0</v>
      </c>
      <c r="AD306" s="4">
        <f ca="1">_xll.DBRW($B$1,$B$2,$B$7,$B$3,$B$4,$B$5,$F306,$B$6,AD$10,$A306,$B306)</f>
        <v>0</v>
      </c>
      <c r="AE306" s="4">
        <f ca="1">_xll.DBRW($B$1,$B$2,$B$7,$B$3,$B$4,$B$5,$F306,$B$6,AE$10,$A306,$B306)</f>
        <v>0</v>
      </c>
    </row>
    <row r="307" spans="1:31">
      <c r="A307" s="1" t="s">
        <v>151</v>
      </c>
      <c r="B307" s="5" t="s">
        <v>230</v>
      </c>
      <c r="C307" s="5" t="s">
        <v>210</v>
      </c>
      <c r="D307" s="5" t="s">
        <v>21</v>
      </c>
      <c r="E307" s="5" t="s">
        <v>211</v>
      </c>
      <c r="F307" s="5" t="s">
        <v>25</v>
      </c>
      <c r="G307" s="6"/>
      <c r="H307" s="6"/>
      <c r="I307" s="6"/>
      <c r="J307" s="6"/>
      <c r="K307" s="6"/>
      <c r="L307" s="4">
        <f ca="1">_xll.DBRW($B$1,$B$2,$B$7,$B$3,$B$4,$B$5,$F307,$B$6,L$10,$A307,$B307)</f>
        <v>353.51254664472896</v>
      </c>
      <c r="M307" s="4">
        <f ca="1">_xll.DBRW($B$1,$B$2,$B$7,$B$3,$B$4,$B$5,$F307,$B$6,M$10,$A307,$B307)</f>
        <v>731.83329535373605</v>
      </c>
      <c r="N307" s="4">
        <f ca="1">_xll.DBRW($B$1,$B$2,$B$7,$B$3,$B$4,$B$5,$F307,$B$6,N$10,$A307,$B307)</f>
        <v>699.29263205183076</v>
      </c>
      <c r="O307" s="4">
        <f ca="1">_xll.DBRW($B$1,$B$2,$B$7,$B$3,$B$4,$B$5,$F307,$B$6,O$10,$A307,$B307)</f>
        <v>882.27849309829446</v>
      </c>
      <c r="P307" s="4">
        <f ca="1">_xll.DBRW($B$1,$B$2,$B$7,$B$3,$B$4,$B$5,$F307,$B$6,P$10,$A307,$B307)</f>
        <v>705.5440998686164</v>
      </c>
      <c r="Q307" s="4">
        <f ca="1">_xll.DBRW($B$1,$B$2,$B$7,$B$3,$B$4,$B$5,$F307,$B$6,Q$10,$A307,$B307)</f>
        <v>638.76970800260619</v>
      </c>
      <c r="R307" s="4">
        <f ca="1">_xll.DBRW($B$1,$B$2,$B$7,$B$3,$B$4,$B$5,$F307,$B$6,R$10,$A307,$B307)</f>
        <v>0</v>
      </c>
      <c r="S307" s="4">
        <f ca="1">_xll.DBRW($B$1,$B$2,$B$7,$B$3,$B$4,$B$5,$F307,$B$6,S$10,$A307,$B307)</f>
        <v>0</v>
      </c>
      <c r="T307" s="4">
        <f ca="1">_xll.DBRW($B$1,$B$2,$B$7,$B$3,$B$4,$B$5,$F307,$B$6,T$10,$A307,$B307)</f>
        <v>0</v>
      </c>
      <c r="U307" s="4">
        <f ca="1">_xll.DBRW($B$1,$B$2,$B$7,$B$3,$B$4,$B$5,$F307,$B$6,U$10,$A307,$B307)</f>
        <v>0</v>
      </c>
      <c r="V307" s="4">
        <f ca="1">_xll.DBRW($B$1,$B$2,$B$7,$B$3,$B$4,$B$5,$F307,$B$6,V$10,$A307,$B307)</f>
        <v>0</v>
      </c>
      <c r="W307" s="4">
        <f ca="1">_xll.DBRW($B$1,$B$2,$B$7,$B$3,$B$4,$B$5,$F307,$B$6,W$10,$A307,$B307)</f>
        <v>714.20102909604088</v>
      </c>
      <c r="X307" s="4">
        <f ca="1">_xll.DBRW($B$1,$B$2,$B$7,$B$3,$B$4,$B$5,$F307,$B$6,X$10,$A307,$B307)</f>
        <v>916.49519033282502</v>
      </c>
      <c r="Y307" s="4">
        <f ca="1">_xll.DBRW($B$1,$B$2,$B$7,$B$3,$B$4,$B$5,$F307,$B$6,Y$10,$A307,$B307)</f>
        <v>734.10427264264729</v>
      </c>
      <c r="Z307" s="4">
        <f ca="1">_xll.DBRW($B$1,$B$2,$B$7,$B$3,$B$4,$B$5,$F307,$B$6,Z$10,$A307,$B307)</f>
        <v>916.1151526874263</v>
      </c>
      <c r="AA307" s="4">
        <f ca="1">_xll.DBRW($B$1,$B$2,$B$7,$B$3,$B$4,$B$5,$F307,$B$6,AA$10,$A307,$B307)</f>
        <v>731.94934947193792</v>
      </c>
      <c r="AB307" s="4">
        <f ca="1">_xll.DBRW($B$1,$B$2,$B$7,$B$3,$B$4,$B$5,$F307,$B$6,AB$10,$A307,$B307)</f>
        <v>731.66033877392613</v>
      </c>
      <c r="AC307" s="4">
        <f ca="1">_xll.DBRW($B$1,$B$2,$B$7,$B$3,$B$4,$B$5,$F307,$B$6,AC$10,$A307,$B307)</f>
        <v>0</v>
      </c>
      <c r="AD307" s="4">
        <f ca="1">_xll.DBRW($B$1,$B$2,$B$7,$B$3,$B$4,$B$5,$F307,$B$6,AD$10,$A307,$B307)</f>
        <v>0</v>
      </c>
      <c r="AE307" s="4">
        <f ca="1">_xll.DBRW($B$1,$B$2,$B$7,$B$3,$B$4,$B$5,$F307,$B$6,AE$10,$A307,$B307)</f>
        <v>0</v>
      </c>
    </row>
    <row r="308" spans="1:31">
      <c r="A308" s="1" t="s">
        <v>151</v>
      </c>
      <c r="B308" s="5" t="s">
        <v>231</v>
      </c>
      <c r="C308" s="5" t="s">
        <v>213</v>
      </c>
      <c r="D308" s="5" t="s">
        <v>211</v>
      </c>
      <c r="E308" s="5" t="s">
        <v>21</v>
      </c>
      <c r="F308" s="5" t="s">
        <v>25</v>
      </c>
      <c r="G308" s="6"/>
      <c r="H308" s="6"/>
      <c r="I308" s="6"/>
      <c r="J308" s="6"/>
      <c r="K308" s="6"/>
      <c r="L308" s="4">
        <f ca="1">_xll.DBRW($B$1,$B$2,$B$7,$B$3,$B$4,$B$5,$F308,$B$6,L$10,$A308,$B308)</f>
        <v>353.51254664472896</v>
      </c>
      <c r="M308" s="4">
        <f ca="1">_xll.DBRW($B$1,$B$2,$B$7,$B$3,$B$4,$B$5,$F308,$B$6,M$10,$A308,$B308)</f>
        <v>731.83329535373605</v>
      </c>
      <c r="N308" s="4">
        <f ca="1">_xll.DBRW($B$1,$B$2,$B$7,$B$3,$B$4,$B$5,$F308,$B$6,N$10,$A308,$B308)</f>
        <v>699.29263205183076</v>
      </c>
      <c r="O308" s="4">
        <f ca="1">_xll.DBRW($B$1,$B$2,$B$7,$B$3,$B$4,$B$5,$F308,$B$6,O$10,$A308,$B308)</f>
        <v>882.27849309829446</v>
      </c>
      <c r="P308" s="4">
        <f ca="1">_xll.DBRW($B$1,$B$2,$B$7,$B$3,$B$4,$B$5,$F308,$B$6,P$10,$A308,$B308)</f>
        <v>705.5440998686164</v>
      </c>
      <c r="Q308" s="4">
        <f ca="1">_xll.DBRW($B$1,$B$2,$B$7,$B$3,$B$4,$B$5,$F308,$B$6,Q$10,$A308,$B308)</f>
        <v>638.76970800260619</v>
      </c>
      <c r="R308" s="4">
        <f ca="1">_xll.DBRW($B$1,$B$2,$B$7,$B$3,$B$4,$B$5,$F308,$B$6,R$10,$A308,$B308)</f>
        <v>0</v>
      </c>
      <c r="S308" s="4">
        <f ca="1">_xll.DBRW($B$1,$B$2,$B$7,$B$3,$B$4,$B$5,$F308,$B$6,S$10,$A308,$B308)</f>
        <v>0</v>
      </c>
      <c r="T308" s="4">
        <f ca="1">_xll.DBRW($B$1,$B$2,$B$7,$B$3,$B$4,$B$5,$F308,$B$6,T$10,$A308,$B308)</f>
        <v>0</v>
      </c>
      <c r="U308" s="4">
        <f ca="1">_xll.DBRW($B$1,$B$2,$B$7,$B$3,$B$4,$B$5,$F308,$B$6,U$10,$A308,$B308)</f>
        <v>0</v>
      </c>
      <c r="V308" s="4">
        <f ca="1">_xll.DBRW($B$1,$B$2,$B$7,$B$3,$B$4,$B$5,$F308,$B$6,V$10,$A308,$B308)</f>
        <v>0</v>
      </c>
      <c r="W308" s="4">
        <f ca="1">_xll.DBRW($B$1,$B$2,$B$7,$B$3,$B$4,$B$5,$F308,$B$6,W$10,$A308,$B308)</f>
        <v>714.20102909604088</v>
      </c>
      <c r="X308" s="4">
        <f ca="1">_xll.DBRW($B$1,$B$2,$B$7,$B$3,$B$4,$B$5,$F308,$B$6,X$10,$A308,$B308)</f>
        <v>916.49519033282502</v>
      </c>
      <c r="Y308" s="4">
        <f ca="1">_xll.DBRW($B$1,$B$2,$B$7,$B$3,$B$4,$B$5,$F308,$B$6,Y$10,$A308,$B308)</f>
        <v>734.10427264264729</v>
      </c>
      <c r="Z308" s="4">
        <f ca="1">_xll.DBRW($B$1,$B$2,$B$7,$B$3,$B$4,$B$5,$F308,$B$6,Z$10,$A308,$B308)</f>
        <v>916.1151526874263</v>
      </c>
      <c r="AA308" s="4">
        <f ca="1">_xll.DBRW($B$1,$B$2,$B$7,$B$3,$B$4,$B$5,$F308,$B$6,AA$10,$A308,$B308)</f>
        <v>731.94934947193792</v>
      </c>
      <c r="AB308" s="4">
        <f ca="1">_xll.DBRW($B$1,$B$2,$B$7,$B$3,$B$4,$B$5,$F308,$B$6,AB$10,$A308,$B308)</f>
        <v>731.66033877392613</v>
      </c>
      <c r="AC308" s="4">
        <f ca="1">_xll.DBRW($B$1,$B$2,$B$7,$B$3,$B$4,$B$5,$F308,$B$6,AC$10,$A308,$B308)</f>
        <v>0</v>
      </c>
      <c r="AD308" s="4">
        <f ca="1">_xll.DBRW($B$1,$B$2,$B$7,$B$3,$B$4,$B$5,$F308,$B$6,AD$10,$A308,$B308)</f>
        <v>0</v>
      </c>
      <c r="AE308" s="4">
        <f ca="1">_xll.DBRW($B$1,$B$2,$B$7,$B$3,$B$4,$B$5,$F308,$B$6,AE$10,$A308,$B308)</f>
        <v>0</v>
      </c>
    </row>
    <row r="309" spans="1:31">
      <c r="A309" s="1" t="s">
        <v>151</v>
      </c>
      <c r="B309" s="5" t="s">
        <v>232</v>
      </c>
      <c r="C309" s="5" t="s">
        <v>233</v>
      </c>
      <c r="D309" s="5" t="s">
        <v>21</v>
      </c>
      <c r="E309" s="5" t="s">
        <v>234</v>
      </c>
      <c r="F309" s="5" t="s">
        <v>25</v>
      </c>
      <c r="G309" s="6"/>
      <c r="H309" s="6"/>
      <c r="I309" s="6"/>
      <c r="J309" s="6"/>
      <c r="K309" s="6"/>
      <c r="L309" s="4">
        <f ca="1">_xll.DBRW($B$1,$B$2,$B$7,$B$3,$B$4,$B$5,$F309,$B$6,L$10,$A309,$B309)</f>
        <v>1414.0501865789158</v>
      </c>
      <c r="M309" s="4">
        <f ca="1">_xll.DBRW($B$1,$B$2,$B$7,$B$3,$B$4,$B$5,$F309,$B$6,M$10,$A309,$B309)</f>
        <v>1646.624914545906</v>
      </c>
      <c r="N309" s="4">
        <f ca="1">_xll.DBRW($B$1,$B$2,$B$7,$B$3,$B$4,$B$5,$F309,$B$6,N$10,$A309,$B309)</f>
        <v>1573.4084221166192</v>
      </c>
      <c r="O309" s="4">
        <f ca="1">_xll.DBRW($B$1,$B$2,$B$7,$B$3,$B$4,$B$5,$F309,$B$6,O$10,$A309,$B309)</f>
        <v>1588.10128757693</v>
      </c>
      <c r="P309" s="4">
        <f ca="1">_xll.DBRW($B$1,$B$2,$B$7,$B$3,$B$4,$B$5,$F309,$B$6,P$10,$A309,$B309)</f>
        <v>1411.0881997372328</v>
      </c>
      <c r="Q309" s="4">
        <f ca="1">_xll.DBRW($B$1,$B$2,$B$7,$B$3,$B$4,$B$5,$F309,$B$6,Q$10,$A309,$B309)</f>
        <v>1436.3686406977524</v>
      </c>
      <c r="R309" s="4">
        <f ca="1">_xll.DBRW($B$1,$B$2,$B$7,$B$3,$B$4,$B$5,$F309,$B$6,R$10,$A309,$B309)</f>
        <v>2145.6260050687069</v>
      </c>
      <c r="S309" s="4">
        <f ca="1">_xll.DBRW($B$1,$B$2,$B$7,$B$3,$B$4,$B$5,$F309,$B$6,S$10,$A309,$B309)</f>
        <v>1872.7945089200425</v>
      </c>
      <c r="T309" s="4">
        <f ca="1">_xll.DBRW($B$1,$B$2,$B$7,$B$3,$B$4,$B$5,$F309,$B$6,T$10,$A309,$B309)</f>
        <v>2171.2093484463535</v>
      </c>
      <c r="U309" s="4">
        <f ca="1">_xll.DBRW($B$1,$B$2,$B$7,$B$3,$B$4,$B$5,$F309,$B$6,U$10,$A309,$B309)</f>
        <v>2134.5437197927008</v>
      </c>
      <c r="V309" s="4">
        <f ca="1">_xll.DBRW($B$1,$B$2,$B$7,$B$3,$B$4,$B$5,$F309,$B$6,V$10,$A309,$B309)</f>
        <v>2302.1499519210611</v>
      </c>
      <c r="W309" s="4">
        <f ca="1">_xll.DBRW($B$1,$B$2,$B$7,$B$3,$B$4,$B$5,$F309,$B$6,W$10,$A309,$B309)</f>
        <v>1611.8042246311461</v>
      </c>
      <c r="X309" s="4">
        <f ca="1">_xll.DBRW($B$1,$B$2,$B$7,$B$3,$B$4,$B$5,$F309,$B$6,X$10,$A309,$B309)</f>
        <v>1653.6761042961841</v>
      </c>
      <c r="Y309" s="4">
        <f ca="1">_xll.DBRW($B$1,$B$2,$B$7,$B$3,$B$4,$B$5,$F309,$B$6,Y$10,$A309,$B309)</f>
        <v>1472.1982424192217</v>
      </c>
      <c r="Z309" s="4">
        <f ca="1">_xll.DBRW($B$1,$B$2,$B$7,$B$3,$B$4,$B$5,$F309,$B$6,Z$10,$A309,$B309)</f>
        <v>1653.9861615367554</v>
      </c>
      <c r="AA309" s="4">
        <f ca="1">_xll.DBRW($B$1,$B$2,$B$7,$B$3,$B$4,$B$5,$F309,$B$6,AA$10,$A309,$B309)</f>
        <v>1650.8640219068168</v>
      </c>
      <c r="AB309" s="4">
        <f ca="1">_xll.DBRW($B$1,$B$2,$B$7,$B$3,$B$4,$B$5,$F309,$B$6,AB$10,$A309,$B309)</f>
        <v>1651.2062808471351</v>
      </c>
      <c r="AC309" s="4">
        <f ca="1">_xll.DBRW($B$1,$B$2,$B$7,$B$3,$B$4,$B$5,$F309,$B$6,AC$10,$A309,$B309)</f>
        <v>2146.1218837413412</v>
      </c>
      <c r="AD309" s="4">
        <f ca="1">_xll.DBRW($B$1,$B$2,$B$7,$B$3,$B$4,$B$5,$F309,$B$6,AD$10,$A309,$B309)</f>
        <v>1963.339397327017</v>
      </c>
      <c r="AE309" s="4">
        <f ca="1">_xll.DBRW($B$1,$B$2,$B$7,$B$3,$B$4,$B$5,$F309,$B$6,AE$10,$A309,$B309)</f>
        <v>1919.2095789223035</v>
      </c>
    </row>
    <row r="310" spans="1:31">
      <c r="A310" s="1" t="s">
        <v>151</v>
      </c>
      <c r="B310" s="5" t="s">
        <v>235</v>
      </c>
      <c r="C310" s="5" t="s">
        <v>236</v>
      </c>
      <c r="D310" s="5" t="s">
        <v>234</v>
      </c>
      <c r="E310" s="5" t="s">
        <v>21</v>
      </c>
      <c r="F310" s="5" t="s">
        <v>25</v>
      </c>
      <c r="G310" s="6"/>
      <c r="H310" s="6"/>
      <c r="I310" s="6"/>
      <c r="J310" s="6"/>
      <c r="K310" s="6"/>
      <c r="L310" s="4">
        <f ca="1">_xll.DBRW($B$1,$B$2,$B$7,$B$3,$B$4,$B$5,$F310,$B$6,L$10,$A310,$B310)</f>
        <v>1414.0501865789158</v>
      </c>
      <c r="M310" s="4">
        <f ca="1">_xll.DBRW($B$1,$B$2,$B$7,$B$3,$B$4,$B$5,$F310,$B$6,M$10,$A310,$B310)</f>
        <v>1646.624914545906</v>
      </c>
      <c r="N310" s="4">
        <f ca="1">_xll.DBRW($B$1,$B$2,$B$7,$B$3,$B$4,$B$5,$F310,$B$6,N$10,$A310,$B310)</f>
        <v>1573.4084221166192</v>
      </c>
      <c r="O310" s="4">
        <f ca="1">_xll.DBRW($B$1,$B$2,$B$7,$B$3,$B$4,$B$5,$F310,$B$6,O$10,$A310,$B310)</f>
        <v>1588.10128757693</v>
      </c>
      <c r="P310" s="4">
        <f ca="1">_xll.DBRW($B$1,$B$2,$B$7,$B$3,$B$4,$B$5,$F310,$B$6,P$10,$A310,$B310)</f>
        <v>1411.0881997372328</v>
      </c>
      <c r="Q310" s="4">
        <f ca="1">_xll.DBRW($B$1,$B$2,$B$7,$B$3,$B$4,$B$5,$F310,$B$6,Q$10,$A310,$B310)</f>
        <v>1436.3686406977524</v>
      </c>
      <c r="R310" s="4">
        <f ca="1">_xll.DBRW($B$1,$B$2,$B$7,$B$3,$B$4,$B$5,$F310,$B$6,R$10,$A310,$B310)</f>
        <v>2145.6260050687069</v>
      </c>
      <c r="S310" s="4">
        <f ca="1">_xll.DBRW($B$1,$B$2,$B$7,$B$3,$B$4,$B$5,$F310,$B$6,S$10,$A310,$B310)</f>
        <v>1872.7945089200425</v>
      </c>
      <c r="T310" s="4">
        <f ca="1">_xll.DBRW($B$1,$B$2,$B$7,$B$3,$B$4,$B$5,$F310,$B$6,T$10,$A310,$B310)</f>
        <v>2171.2093484463535</v>
      </c>
      <c r="U310" s="4">
        <f ca="1">_xll.DBRW($B$1,$B$2,$B$7,$B$3,$B$4,$B$5,$F310,$B$6,U$10,$A310,$B310)</f>
        <v>2134.5437197927008</v>
      </c>
      <c r="V310" s="4">
        <f ca="1">_xll.DBRW($B$1,$B$2,$B$7,$B$3,$B$4,$B$5,$F310,$B$6,V$10,$A310,$B310)</f>
        <v>2302.1499519210611</v>
      </c>
      <c r="W310" s="4">
        <f ca="1">_xll.DBRW($B$1,$B$2,$B$7,$B$3,$B$4,$B$5,$F310,$B$6,W$10,$A310,$B310)</f>
        <v>1611.8042246311461</v>
      </c>
      <c r="X310" s="4">
        <f ca="1">_xll.DBRW($B$1,$B$2,$B$7,$B$3,$B$4,$B$5,$F310,$B$6,X$10,$A310,$B310)</f>
        <v>1653.6761042961841</v>
      </c>
      <c r="Y310" s="4">
        <f ca="1">_xll.DBRW($B$1,$B$2,$B$7,$B$3,$B$4,$B$5,$F310,$B$6,Y$10,$A310,$B310)</f>
        <v>1472.1982424192217</v>
      </c>
      <c r="Z310" s="4">
        <f ca="1">_xll.DBRW($B$1,$B$2,$B$7,$B$3,$B$4,$B$5,$F310,$B$6,Z$10,$A310,$B310)</f>
        <v>1653.9861615367554</v>
      </c>
      <c r="AA310" s="4">
        <f ca="1">_xll.DBRW($B$1,$B$2,$B$7,$B$3,$B$4,$B$5,$F310,$B$6,AA$10,$A310,$B310)</f>
        <v>1650.8640219068168</v>
      </c>
      <c r="AB310" s="4">
        <f ca="1">_xll.DBRW($B$1,$B$2,$B$7,$B$3,$B$4,$B$5,$F310,$B$6,AB$10,$A310,$B310)</f>
        <v>1651.2062808471351</v>
      </c>
      <c r="AC310" s="4">
        <f ca="1">_xll.DBRW($B$1,$B$2,$B$7,$B$3,$B$4,$B$5,$F310,$B$6,AC$10,$A310,$B310)</f>
        <v>2146.1218837413412</v>
      </c>
      <c r="AD310" s="4">
        <f ca="1">_xll.DBRW($B$1,$B$2,$B$7,$B$3,$B$4,$B$5,$F310,$B$6,AD$10,$A310,$B310)</f>
        <v>1963.339397327017</v>
      </c>
      <c r="AE310" s="4">
        <f ca="1">_xll.DBRW($B$1,$B$2,$B$7,$B$3,$B$4,$B$5,$F310,$B$6,AE$10,$A310,$B310)</f>
        <v>1919.2095789223035</v>
      </c>
    </row>
    <row r="311" spans="1:31">
      <c r="A311" s="1" t="s">
        <v>151</v>
      </c>
      <c r="B311" s="5" t="s">
        <v>237</v>
      </c>
      <c r="C311" s="5" t="s">
        <v>238</v>
      </c>
      <c r="D311" s="5" t="s">
        <v>21</v>
      </c>
      <c r="E311" s="5" t="s">
        <v>239</v>
      </c>
      <c r="F311" s="5" t="s">
        <v>25</v>
      </c>
      <c r="G311" s="6"/>
      <c r="H311" s="6"/>
      <c r="I311" s="6"/>
      <c r="J311" s="6"/>
      <c r="K311" s="6"/>
      <c r="L311" s="4">
        <f ca="1">_xll.DBRW($B$1,$B$2,$B$7,$B$3,$B$4,$B$5,$F311,$B$6,L$10,$A311,$B311)</f>
        <v>0</v>
      </c>
      <c r="M311" s="4">
        <f ca="1">_xll.DBRW($B$1,$B$2,$B$7,$B$3,$B$4,$B$5,$F311,$B$6,M$10,$A311,$B311)</f>
        <v>0</v>
      </c>
      <c r="N311" s="4">
        <f ca="1">_xll.DBRW($B$1,$B$2,$B$7,$B$3,$B$4,$B$5,$F311,$B$6,N$10,$A311,$B311)</f>
        <v>0</v>
      </c>
      <c r="O311" s="4">
        <f ca="1">_xll.DBRW($B$1,$B$2,$B$7,$B$3,$B$4,$B$5,$F311,$B$6,O$10,$A311,$B311)</f>
        <v>0</v>
      </c>
      <c r="P311" s="4">
        <f ca="1">_xll.DBRW($B$1,$B$2,$B$7,$B$3,$B$4,$B$5,$F311,$B$6,P$10,$A311,$B311)</f>
        <v>0</v>
      </c>
      <c r="Q311" s="4">
        <f ca="1">_xll.DBRW($B$1,$B$2,$B$7,$B$3,$B$4,$B$5,$F311,$B$6,Q$10,$A311,$B311)</f>
        <v>0</v>
      </c>
      <c r="R311" s="4">
        <f ca="1">_xll.DBRW($B$1,$B$2,$B$7,$B$3,$B$4,$B$5,$F311,$B$6,R$10,$A311,$B311)</f>
        <v>0</v>
      </c>
      <c r="S311" s="4">
        <f ca="1">_xll.DBRW($B$1,$B$2,$B$7,$B$3,$B$4,$B$5,$F311,$B$6,S$10,$A311,$B311)</f>
        <v>0</v>
      </c>
      <c r="T311" s="4">
        <f ca="1">_xll.DBRW($B$1,$B$2,$B$7,$B$3,$B$4,$B$5,$F311,$B$6,T$10,$A311,$B311)</f>
        <v>0</v>
      </c>
      <c r="U311" s="4">
        <f ca="1">_xll.DBRW($B$1,$B$2,$B$7,$B$3,$B$4,$B$5,$F311,$B$6,U$10,$A311,$B311)</f>
        <v>0</v>
      </c>
      <c r="V311" s="4">
        <f ca="1">_xll.DBRW($B$1,$B$2,$B$7,$B$3,$B$4,$B$5,$F311,$B$6,V$10,$A311,$B311)</f>
        <v>300.00979807456605</v>
      </c>
      <c r="W311" s="4">
        <f ca="1">_xll.DBRW($B$1,$B$2,$B$7,$B$3,$B$4,$B$5,$F311,$B$6,W$10,$A311,$B311)</f>
        <v>4958.7661801736358</v>
      </c>
      <c r="X311" s="4">
        <f ca="1">_xll.DBRW($B$1,$B$2,$B$7,$B$3,$B$4,$B$5,$F311,$B$6,X$10,$A311,$B311)</f>
        <v>4982.6410909058604</v>
      </c>
      <c r="Y311" s="4">
        <f ca="1">_xll.DBRW($B$1,$B$2,$B$7,$B$3,$B$4,$B$5,$F311,$B$6,Y$10,$A311,$B311)</f>
        <v>5071.3188493166463</v>
      </c>
      <c r="Z311" s="4">
        <f ca="1">_xll.DBRW($B$1,$B$2,$B$7,$B$3,$B$4,$B$5,$F311,$B$6,Z$10,$A311,$B311)</f>
        <v>4940.142155808182</v>
      </c>
      <c r="AA311" s="4">
        <f ca="1">_xll.DBRW($B$1,$B$2,$B$7,$B$3,$B$4,$B$5,$F311,$B$6,AA$10,$A311,$B311)</f>
        <v>5329.19117469925</v>
      </c>
      <c r="AB311" s="4">
        <f ca="1">_xll.DBRW($B$1,$B$2,$B$7,$B$3,$B$4,$B$5,$F311,$B$6,AB$10,$A311,$B311)</f>
        <v>4937.0293223296576</v>
      </c>
      <c r="AC311" s="4">
        <f ca="1">_xll.DBRW($B$1,$B$2,$B$7,$B$3,$B$4,$B$5,$F311,$B$6,AC$10,$A311,$B311)</f>
        <v>5341.875316827327</v>
      </c>
      <c r="AD311" s="4">
        <f ca="1">_xll.DBRW($B$1,$B$2,$B$7,$B$3,$B$4,$B$5,$F311,$B$6,AD$10,$A311,$B311)</f>
        <v>4786.715310030273</v>
      </c>
      <c r="AE311" s="4">
        <f ca="1">_xll.DBRW($B$1,$B$2,$B$7,$B$3,$B$4,$B$5,$F311,$B$6,AE$10,$A311,$B311)</f>
        <v>4971.5000746117739</v>
      </c>
    </row>
    <row r="312" spans="1:31">
      <c r="A312" s="1" t="s">
        <v>151</v>
      </c>
      <c r="B312" s="5" t="s">
        <v>240</v>
      </c>
      <c r="C312" s="5" t="s">
        <v>241</v>
      </c>
      <c r="D312" s="5" t="s">
        <v>239</v>
      </c>
      <c r="E312" s="5" t="s">
        <v>21</v>
      </c>
      <c r="F312" s="5" t="s">
        <v>25</v>
      </c>
      <c r="G312" s="6"/>
      <c r="H312" s="6"/>
      <c r="I312" s="6"/>
      <c r="J312" s="6"/>
      <c r="K312" s="6"/>
      <c r="L312" s="4">
        <f ca="1">_xll.DBRW($B$1,$B$2,$B$7,$B$3,$B$4,$B$5,$F312,$B$6,L$10,$A312,$B312)</f>
        <v>0</v>
      </c>
      <c r="M312" s="4">
        <f ca="1">_xll.DBRW($B$1,$B$2,$B$7,$B$3,$B$4,$B$5,$F312,$B$6,M$10,$A312,$B312)</f>
        <v>0</v>
      </c>
      <c r="N312" s="4">
        <f ca="1">_xll.DBRW($B$1,$B$2,$B$7,$B$3,$B$4,$B$5,$F312,$B$6,N$10,$A312,$B312)</f>
        <v>0</v>
      </c>
      <c r="O312" s="4">
        <f ca="1">_xll.DBRW($B$1,$B$2,$B$7,$B$3,$B$4,$B$5,$F312,$B$6,O$10,$A312,$B312)</f>
        <v>0</v>
      </c>
      <c r="P312" s="4">
        <f ca="1">_xll.DBRW($B$1,$B$2,$B$7,$B$3,$B$4,$B$5,$F312,$B$6,P$10,$A312,$B312)</f>
        <v>0</v>
      </c>
      <c r="Q312" s="4">
        <f ca="1">_xll.DBRW($B$1,$B$2,$B$7,$B$3,$B$4,$B$5,$F312,$B$6,Q$10,$A312,$B312)</f>
        <v>0</v>
      </c>
      <c r="R312" s="4">
        <f ca="1">_xll.DBRW($B$1,$B$2,$B$7,$B$3,$B$4,$B$5,$F312,$B$6,R$10,$A312,$B312)</f>
        <v>0</v>
      </c>
      <c r="S312" s="4">
        <f ca="1">_xll.DBRW($B$1,$B$2,$B$7,$B$3,$B$4,$B$5,$F312,$B$6,S$10,$A312,$B312)</f>
        <v>0</v>
      </c>
      <c r="T312" s="4">
        <f ca="1">_xll.DBRW($B$1,$B$2,$B$7,$B$3,$B$4,$B$5,$F312,$B$6,T$10,$A312,$B312)</f>
        <v>0</v>
      </c>
      <c r="U312" s="4">
        <f ca="1">_xll.DBRW($B$1,$B$2,$B$7,$B$3,$B$4,$B$5,$F312,$B$6,U$10,$A312,$B312)</f>
        <v>0</v>
      </c>
      <c r="V312" s="4">
        <f ca="1">_xll.DBRW($B$1,$B$2,$B$7,$B$3,$B$4,$B$5,$F312,$B$6,V$10,$A312,$B312)</f>
        <v>300.00979807456605</v>
      </c>
      <c r="W312" s="4">
        <f ca="1">_xll.DBRW($B$1,$B$2,$B$7,$B$3,$B$4,$B$5,$F312,$B$6,W$10,$A312,$B312)</f>
        <v>4958.7661801736358</v>
      </c>
      <c r="X312" s="4">
        <f ca="1">_xll.DBRW($B$1,$B$2,$B$7,$B$3,$B$4,$B$5,$F312,$B$6,X$10,$A312,$B312)</f>
        <v>4982.6410909058604</v>
      </c>
      <c r="Y312" s="4">
        <f ca="1">_xll.DBRW($B$1,$B$2,$B$7,$B$3,$B$4,$B$5,$F312,$B$6,Y$10,$A312,$B312)</f>
        <v>5071.3188493166463</v>
      </c>
      <c r="Z312" s="4">
        <f ca="1">_xll.DBRW($B$1,$B$2,$B$7,$B$3,$B$4,$B$5,$F312,$B$6,Z$10,$A312,$B312)</f>
        <v>4940.142155808182</v>
      </c>
      <c r="AA312" s="4">
        <f ca="1">_xll.DBRW($B$1,$B$2,$B$7,$B$3,$B$4,$B$5,$F312,$B$6,AA$10,$A312,$B312)</f>
        <v>5329.19117469925</v>
      </c>
      <c r="AB312" s="4">
        <f ca="1">_xll.DBRW($B$1,$B$2,$B$7,$B$3,$B$4,$B$5,$F312,$B$6,AB$10,$A312,$B312)</f>
        <v>4937.0293223296576</v>
      </c>
      <c r="AC312" s="4">
        <f ca="1">_xll.DBRW($B$1,$B$2,$B$7,$B$3,$B$4,$B$5,$F312,$B$6,AC$10,$A312,$B312)</f>
        <v>5169.5567582199947</v>
      </c>
      <c r="AD312" s="4">
        <f ca="1">_xll.DBRW($B$1,$B$2,$B$7,$B$3,$B$4,$B$5,$F312,$B$6,AD$10,$A312,$B312)</f>
        <v>4786.715310030273</v>
      </c>
      <c r="AE312" s="4">
        <f ca="1">_xll.DBRW($B$1,$B$2,$B$7,$B$3,$B$4,$B$5,$F312,$B$6,AE$10,$A312,$B312)</f>
        <v>4811.129104463007</v>
      </c>
    </row>
    <row r="313" spans="1:31">
      <c r="A313" s="1" t="s">
        <v>151</v>
      </c>
      <c r="B313" s="5" t="s">
        <v>242</v>
      </c>
      <c r="C313" s="5" t="s">
        <v>243</v>
      </c>
      <c r="D313" s="5" t="s">
        <v>21</v>
      </c>
      <c r="E313" s="5" t="s">
        <v>244</v>
      </c>
      <c r="F313" s="5" t="s">
        <v>25</v>
      </c>
      <c r="G313" s="6"/>
      <c r="H313" s="6"/>
      <c r="I313" s="6"/>
      <c r="J313" s="6"/>
      <c r="K313" s="6"/>
      <c r="L313" s="4">
        <f ca="1">_xll.DBRW($B$1,$B$2,$B$7,$B$3,$B$4,$B$5,$F313,$B$6,L$10,$A313,$B313)</f>
        <v>2297.8315531907378</v>
      </c>
      <c r="M313" s="4">
        <f ca="1">_xll.DBRW($B$1,$B$2,$B$7,$B$3,$B$4,$B$5,$F313,$B$6,M$10,$A313,$B313)</f>
        <v>2378.458209899642</v>
      </c>
      <c r="N313" s="4">
        <f ca="1">_xll.DBRW($B$1,$B$2,$B$7,$B$3,$B$4,$B$5,$F313,$B$6,N$10,$A313,$B313)</f>
        <v>2272.7010541684499</v>
      </c>
      <c r="O313" s="4">
        <f ca="1">_xll.DBRW($B$1,$B$2,$B$7,$B$3,$B$4,$B$5,$F313,$B$6,O$10,$A313,$B313)</f>
        <v>1941.0126848162479</v>
      </c>
      <c r="P313" s="4">
        <f ca="1">_xll.DBRW($B$1,$B$2,$B$7,$B$3,$B$4,$B$5,$F313,$B$6,P$10,$A313,$B313)</f>
        <v>2293.0183245730032</v>
      </c>
      <c r="Q313" s="4">
        <f ca="1">_xll.DBRW($B$1,$B$2,$B$7,$B$3,$B$4,$B$5,$F313,$B$6,Q$10,$A313,$B313)</f>
        <v>1755.7534946990556</v>
      </c>
      <c r="R313" s="4">
        <f ca="1">_xll.DBRW($B$1,$B$2,$B$7,$B$3,$B$4,$B$5,$F313,$B$6,R$10,$A313,$B313)</f>
        <v>1075.3117905837346</v>
      </c>
      <c r="S313" s="4">
        <f ca="1">_xll.DBRW($B$1,$B$2,$B$7,$B$3,$B$4,$B$5,$F313,$B$6,S$10,$A313,$B313)</f>
        <v>1872.7945089200425</v>
      </c>
      <c r="T313" s="4">
        <f ca="1">_xll.DBRW($B$1,$B$2,$B$7,$B$3,$B$4,$B$5,$F313,$B$6,T$10,$A313,$B313)</f>
        <v>2171.2093484463535</v>
      </c>
      <c r="U313" s="4">
        <f ca="1">_xll.DBRW($B$1,$B$2,$B$7,$B$3,$B$4,$B$5,$F313,$B$6,U$10,$A313,$B313)</f>
        <v>2134.5437197927008</v>
      </c>
      <c r="V313" s="4">
        <f ca="1">_xll.DBRW($B$1,$B$2,$B$7,$B$3,$B$4,$B$5,$F313,$B$6,V$10,$A313,$B313)</f>
        <v>2302.1499519210611</v>
      </c>
      <c r="W313" s="4">
        <f ca="1">_xll.DBRW($B$1,$B$2,$B$7,$B$3,$B$4,$B$5,$F313,$B$6,W$10,$A313,$B313)</f>
        <v>1615.6857519631899</v>
      </c>
      <c r="X313" s="4">
        <f ca="1">_xll.DBRW($B$1,$B$2,$B$7,$B$3,$B$4,$B$5,$F313,$B$6,X$10,$A313,$B313)</f>
        <v>1474.3618279267187</v>
      </c>
      <c r="Y313" s="4">
        <f ca="1">_xll.DBRW($B$1,$B$2,$B$7,$B$3,$B$4,$B$5,$F313,$B$6,Y$10,$A313,$B313)</f>
        <v>1660.7114319972927</v>
      </c>
      <c r="Z313" s="4">
        <f ca="1">_xll.DBRW($B$1,$B$2,$B$7,$B$3,$B$4,$B$5,$F313,$B$6,Z$10,$A313,$B313)</f>
        <v>1657.9692708962659</v>
      </c>
      <c r="AA313" s="4">
        <f ca="1">_xll.DBRW($B$1,$B$2,$B$7,$B$3,$B$4,$B$5,$F313,$B$6,AA$10,$A313,$B313)</f>
        <v>1655.8365039005118</v>
      </c>
      <c r="AB313" s="4">
        <f ca="1">_xll.DBRW($B$1,$B$2,$B$7,$B$3,$B$4,$B$5,$F313,$B$6,AB$10,$A313,$B313)</f>
        <v>1471.2735073171341</v>
      </c>
      <c r="AC313" s="4">
        <f ca="1">_xll.DBRW($B$1,$B$2,$B$7,$B$3,$B$4,$B$5,$F313,$B$6,AC$10,$A313,$B313)</f>
        <v>2146.1218837413412</v>
      </c>
      <c r="AD313" s="4">
        <f ca="1">_xll.DBRW($B$1,$B$2,$B$7,$B$3,$B$4,$B$5,$F313,$B$6,AD$10,$A313,$B313)</f>
        <v>1963.339397327017</v>
      </c>
      <c r="AE313" s="4">
        <f ca="1">_xll.DBRW($B$1,$B$2,$B$7,$B$3,$B$4,$B$5,$F313,$B$6,AE$10,$A313,$B313)</f>
        <v>2066.8410849932502</v>
      </c>
    </row>
    <row r="314" spans="1:31">
      <c r="A314" s="1" t="s">
        <v>151</v>
      </c>
      <c r="B314" s="5" t="s">
        <v>245</v>
      </c>
      <c r="C314" s="5" t="s">
        <v>246</v>
      </c>
      <c r="D314" s="5" t="s">
        <v>244</v>
      </c>
      <c r="E314" s="5" t="s">
        <v>21</v>
      </c>
      <c r="F314" s="5" t="s">
        <v>25</v>
      </c>
      <c r="G314" s="6"/>
      <c r="H314" s="6"/>
      <c r="I314" s="6"/>
      <c r="J314" s="6"/>
      <c r="K314" s="6"/>
      <c r="L314" s="4">
        <f ca="1">_xll.DBRW($B$1,$B$2,$B$7,$B$3,$B$4,$B$5,$F314,$B$6,L$10,$A314,$B314)</f>
        <v>2297.8315531907378</v>
      </c>
      <c r="M314" s="4">
        <f ca="1">_xll.DBRW($B$1,$B$2,$B$7,$B$3,$B$4,$B$5,$F314,$B$6,M$10,$A314,$B314)</f>
        <v>2378.458209899642</v>
      </c>
      <c r="N314" s="4">
        <f ca="1">_xll.DBRW($B$1,$B$2,$B$7,$B$3,$B$4,$B$5,$F314,$B$6,N$10,$A314,$B314)</f>
        <v>2272.7010541684499</v>
      </c>
      <c r="O314" s="4">
        <f ca="1">_xll.DBRW($B$1,$B$2,$B$7,$B$3,$B$4,$B$5,$F314,$B$6,O$10,$A314,$B314)</f>
        <v>1941.0126848162479</v>
      </c>
      <c r="P314" s="4">
        <f ca="1">_xll.DBRW($B$1,$B$2,$B$7,$B$3,$B$4,$B$5,$F314,$B$6,P$10,$A314,$B314)</f>
        <v>2293.0183245730032</v>
      </c>
      <c r="Q314" s="4">
        <f ca="1">_xll.DBRW($B$1,$B$2,$B$7,$B$3,$B$4,$B$5,$F314,$B$6,Q$10,$A314,$B314)</f>
        <v>1755.7534946990556</v>
      </c>
      <c r="R314" s="4">
        <f ca="1">_xll.DBRW($B$1,$B$2,$B$7,$B$3,$B$4,$B$5,$F314,$B$6,R$10,$A314,$B314)</f>
        <v>1075.3117905837346</v>
      </c>
      <c r="S314" s="4">
        <f ca="1">_xll.DBRW($B$1,$B$2,$B$7,$B$3,$B$4,$B$5,$F314,$B$6,S$10,$A314,$B314)</f>
        <v>1872.7945089200425</v>
      </c>
      <c r="T314" s="4">
        <f ca="1">_xll.DBRW($B$1,$B$2,$B$7,$B$3,$B$4,$B$5,$F314,$B$6,T$10,$A314,$B314)</f>
        <v>2171.2093484463535</v>
      </c>
      <c r="U314" s="4">
        <f ca="1">_xll.DBRW($B$1,$B$2,$B$7,$B$3,$B$4,$B$5,$F314,$B$6,U$10,$A314,$B314)</f>
        <v>2134.5437197927008</v>
      </c>
      <c r="V314" s="4">
        <f ca="1">_xll.DBRW($B$1,$B$2,$B$7,$B$3,$B$4,$B$5,$F314,$B$6,V$10,$A314,$B314)</f>
        <v>2302.1499519210611</v>
      </c>
      <c r="W314" s="4">
        <f ca="1">_xll.DBRW($B$1,$B$2,$B$7,$B$3,$B$4,$B$5,$F314,$B$6,W$10,$A314,$B314)</f>
        <v>1615.6857519631899</v>
      </c>
      <c r="X314" s="4">
        <f ca="1">_xll.DBRW($B$1,$B$2,$B$7,$B$3,$B$4,$B$5,$F314,$B$6,X$10,$A314,$B314)</f>
        <v>1474.3618279267187</v>
      </c>
      <c r="Y314" s="4">
        <f ca="1">_xll.DBRW($B$1,$B$2,$B$7,$B$3,$B$4,$B$5,$F314,$B$6,Y$10,$A314,$B314)</f>
        <v>1660.7114319972927</v>
      </c>
      <c r="Z314" s="4">
        <f ca="1">_xll.DBRW($B$1,$B$2,$B$7,$B$3,$B$4,$B$5,$F314,$B$6,Z$10,$A314,$B314)</f>
        <v>1657.9692708962659</v>
      </c>
      <c r="AA314" s="4">
        <f ca="1">_xll.DBRW($B$1,$B$2,$B$7,$B$3,$B$4,$B$5,$F314,$B$6,AA$10,$A314,$B314)</f>
        <v>1655.8365039005118</v>
      </c>
      <c r="AB314" s="4">
        <f ca="1">_xll.DBRW($B$1,$B$2,$B$7,$B$3,$B$4,$B$5,$F314,$B$6,AB$10,$A314,$B314)</f>
        <v>1471.2735073171341</v>
      </c>
      <c r="AC314" s="4">
        <f ca="1">_xll.DBRW($B$1,$B$2,$B$7,$B$3,$B$4,$B$5,$F314,$B$6,AC$10,$A314,$B314)</f>
        <v>2146.1218837413412</v>
      </c>
      <c r="AD314" s="4">
        <f ca="1">_xll.DBRW($B$1,$B$2,$B$7,$B$3,$B$4,$B$5,$F314,$B$6,AD$10,$A314,$B314)</f>
        <v>1963.339397327017</v>
      </c>
      <c r="AE314" s="4">
        <f ca="1">_xll.DBRW($B$1,$B$2,$B$7,$B$3,$B$4,$B$5,$F314,$B$6,AE$10,$A314,$B314)</f>
        <v>2066.8410849932502</v>
      </c>
    </row>
    <row r="315" spans="1:31">
      <c r="A315" s="1" t="s">
        <v>151</v>
      </c>
      <c r="B315" s="5" t="s">
        <v>247</v>
      </c>
      <c r="C315" s="5" t="s">
        <v>248</v>
      </c>
      <c r="D315" s="5" t="s">
        <v>21</v>
      </c>
      <c r="E315" s="5" t="s">
        <v>249</v>
      </c>
      <c r="F315" s="5" t="s">
        <v>25</v>
      </c>
      <c r="G315" s="6"/>
      <c r="H315" s="6"/>
      <c r="I315" s="6"/>
      <c r="J315" s="6"/>
      <c r="K315" s="6"/>
      <c r="L315" s="4">
        <f ca="1">_xll.DBRW($B$1,$B$2,$B$7,$B$3,$B$4,$B$5,$F315,$B$6,L$10,$A315,$B315)</f>
        <v>0</v>
      </c>
      <c r="M315" s="4">
        <f ca="1">_xll.DBRW($B$1,$B$2,$B$7,$B$3,$B$4,$B$5,$F315,$B$6,M$10,$A315,$B315)</f>
        <v>0</v>
      </c>
      <c r="N315" s="4">
        <f ca="1">_xll.DBRW($B$1,$B$2,$B$7,$B$3,$B$4,$B$5,$F315,$B$6,N$10,$A315,$B315)</f>
        <v>0</v>
      </c>
      <c r="O315" s="4">
        <f ca="1">_xll.DBRW($B$1,$B$2,$B$7,$B$3,$B$4,$B$5,$F315,$B$6,O$10,$A315,$B315)</f>
        <v>0</v>
      </c>
      <c r="P315" s="4">
        <f ca="1">_xll.DBRW($B$1,$B$2,$B$7,$B$3,$B$4,$B$5,$F315,$B$6,P$10,$A315,$B315)</f>
        <v>0</v>
      </c>
      <c r="Q315" s="4">
        <f ca="1">_xll.DBRW($B$1,$B$2,$B$7,$B$3,$B$4,$B$5,$F315,$B$6,Q$10,$A315,$B315)</f>
        <v>0</v>
      </c>
      <c r="R315" s="4">
        <f ca="1">_xll.DBRW($B$1,$B$2,$B$7,$B$3,$B$4,$B$5,$F315,$B$6,R$10,$A315,$B315)</f>
        <v>0</v>
      </c>
      <c r="S315" s="4">
        <f ca="1">_xll.DBRW($B$1,$B$2,$B$7,$B$3,$B$4,$B$5,$F315,$B$6,S$10,$A315,$B315)</f>
        <v>0</v>
      </c>
      <c r="T315" s="4">
        <f ca="1">_xll.DBRW($B$1,$B$2,$B$7,$B$3,$B$4,$B$5,$F315,$B$6,T$10,$A315,$B315)</f>
        <v>0</v>
      </c>
      <c r="U315" s="4">
        <f ca="1">_xll.DBRW($B$1,$B$2,$B$7,$B$3,$B$4,$B$5,$F315,$B$6,U$10,$A315,$B315)</f>
        <v>0</v>
      </c>
      <c r="V315" s="4">
        <f ca="1">_xll.DBRW($B$1,$B$2,$B$7,$B$3,$B$4,$B$5,$F315,$B$6,V$10,$A315,$B315)</f>
        <v>0</v>
      </c>
      <c r="W315" s="4">
        <f ca="1">_xll.DBRW($B$1,$B$2,$B$7,$B$3,$B$4,$B$5,$F315,$B$6,W$10,$A315,$B315)</f>
        <v>0</v>
      </c>
      <c r="X315" s="4">
        <f ca="1">_xll.DBRW($B$1,$B$2,$B$7,$B$3,$B$4,$B$5,$F315,$B$6,X$10,$A315,$B315)</f>
        <v>0</v>
      </c>
      <c r="Y315" s="4">
        <f ca="1">_xll.DBRW($B$1,$B$2,$B$7,$B$3,$B$4,$B$5,$F315,$B$6,Y$10,$A315,$B315)</f>
        <v>0</v>
      </c>
      <c r="Z315" s="4">
        <f ca="1">_xll.DBRW($B$1,$B$2,$B$7,$B$3,$B$4,$B$5,$F315,$B$6,Z$10,$A315,$B315)</f>
        <v>0</v>
      </c>
      <c r="AA315" s="4">
        <f ca="1">_xll.DBRW($B$1,$B$2,$B$7,$B$3,$B$4,$B$5,$F315,$B$6,AA$10,$A315,$B315)</f>
        <v>0</v>
      </c>
      <c r="AB315" s="4">
        <f ca="1">_xll.DBRW($B$1,$B$2,$B$7,$B$3,$B$4,$B$5,$F315,$B$6,AB$10,$A315,$B315)</f>
        <v>0</v>
      </c>
      <c r="AC315" s="4">
        <f ca="1">_xll.DBRW($B$1,$B$2,$B$7,$B$3,$B$4,$B$5,$F315,$B$6,AC$10,$A315,$B315)</f>
        <v>0</v>
      </c>
      <c r="AD315" s="4">
        <f ca="1">_xll.DBRW($B$1,$B$2,$B$7,$B$3,$B$4,$B$5,$F315,$B$6,AD$10,$A315,$B315)</f>
        <v>0</v>
      </c>
      <c r="AE315" s="4">
        <f ca="1">_xll.DBRW($B$1,$B$2,$B$7,$B$3,$B$4,$B$5,$F315,$B$6,AE$10,$A315,$B315)</f>
        <v>2465.0565466150679</v>
      </c>
    </row>
    <row r="316" spans="1:31">
      <c r="A316" s="1" t="s">
        <v>151</v>
      </c>
      <c r="B316" s="5" t="s">
        <v>250</v>
      </c>
      <c r="C316" s="5" t="s">
        <v>251</v>
      </c>
      <c r="D316" s="5" t="s">
        <v>249</v>
      </c>
      <c r="E316" s="5" t="s">
        <v>21</v>
      </c>
      <c r="F316" s="5" t="s">
        <v>25</v>
      </c>
      <c r="G316" s="6"/>
      <c r="H316" s="6"/>
      <c r="I316" s="6"/>
      <c r="J316" s="6"/>
      <c r="K316" s="6"/>
      <c r="L316" s="4">
        <f ca="1">_xll.DBRW($B$1,$B$2,$B$7,$B$3,$B$4,$B$5,$F316,$B$6,L$10,$A316,$B316)</f>
        <v>0</v>
      </c>
      <c r="M316" s="4">
        <f ca="1">_xll.DBRW($B$1,$B$2,$B$7,$B$3,$B$4,$B$5,$F316,$B$6,M$10,$A316,$B316)</f>
        <v>0</v>
      </c>
      <c r="N316" s="4">
        <f ca="1">_xll.DBRW($B$1,$B$2,$B$7,$B$3,$B$4,$B$5,$F316,$B$6,N$10,$A316,$B316)</f>
        <v>0</v>
      </c>
      <c r="O316" s="4">
        <f ca="1">_xll.DBRW($B$1,$B$2,$B$7,$B$3,$B$4,$B$5,$F316,$B$6,O$10,$A316,$B316)</f>
        <v>0</v>
      </c>
      <c r="P316" s="4">
        <f ca="1">_xll.DBRW($B$1,$B$2,$B$7,$B$3,$B$4,$B$5,$F316,$B$6,P$10,$A316,$B316)</f>
        <v>0</v>
      </c>
      <c r="Q316" s="4">
        <f ca="1">_xll.DBRW($B$1,$B$2,$B$7,$B$3,$B$4,$B$5,$F316,$B$6,Q$10,$A316,$B316)</f>
        <v>0</v>
      </c>
      <c r="R316" s="4">
        <f ca="1">_xll.DBRW($B$1,$B$2,$B$7,$B$3,$B$4,$B$5,$F316,$B$6,R$10,$A316,$B316)</f>
        <v>0</v>
      </c>
      <c r="S316" s="4">
        <f ca="1">_xll.DBRW($B$1,$B$2,$B$7,$B$3,$B$4,$B$5,$F316,$B$6,S$10,$A316,$B316)</f>
        <v>0</v>
      </c>
      <c r="T316" s="4">
        <f ca="1">_xll.DBRW($B$1,$B$2,$B$7,$B$3,$B$4,$B$5,$F316,$B$6,T$10,$A316,$B316)</f>
        <v>0</v>
      </c>
      <c r="U316" s="4">
        <f ca="1">_xll.DBRW($B$1,$B$2,$B$7,$B$3,$B$4,$B$5,$F316,$B$6,U$10,$A316,$B316)</f>
        <v>0</v>
      </c>
      <c r="V316" s="4">
        <f ca="1">_xll.DBRW($B$1,$B$2,$B$7,$B$3,$B$4,$B$5,$F316,$B$6,V$10,$A316,$B316)</f>
        <v>0</v>
      </c>
      <c r="W316" s="4">
        <f ca="1">_xll.DBRW($B$1,$B$2,$B$7,$B$3,$B$4,$B$5,$F316,$B$6,W$10,$A316,$B316)</f>
        <v>0</v>
      </c>
      <c r="X316" s="4">
        <f ca="1">_xll.DBRW($B$1,$B$2,$B$7,$B$3,$B$4,$B$5,$F316,$B$6,X$10,$A316,$B316)</f>
        <v>0</v>
      </c>
      <c r="Y316" s="4">
        <f ca="1">_xll.DBRW($B$1,$B$2,$B$7,$B$3,$B$4,$B$5,$F316,$B$6,Y$10,$A316,$B316)</f>
        <v>0</v>
      </c>
      <c r="Z316" s="4">
        <f ca="1">_xll.DBRW($B$1,$B$2,$B$7,$B$3,$B$4,$B$5,$F316,$B$6,Z$10,$A316,$B316)</f>
        <v>0</v>
      </c>
      <c r="AA316" s="4">
        <f ca="1">_xll.DBRW($B$1,$B$2,$B$7,$B$3,$B$4,$B$5,$F316,$B$6,AA$10,$A316,$B316)</f>
        <v>0</v>
      </c>
      <c r="AB316" s="4">
        <f ca="1">_xll.DBRW($B$1,$B$2,$B$7,$B$3,$B$4,$B$5,$F316,$B$6,AB$10,$A316,$B316)</f>
        <v>0</v>
      </c>
      <c r="AC316" s="4">
        <f ca="1">_xll.DBRW($B$1,$B$2,$B$7,$B$3,$B$4,$B$5,$F316,$B$6,AC$10,$A316,$B316)</f>
        <v>0</v>
      </c>
      <c r="AD316" s="4">
        <f ca="1">_xll.DBRW($B$1,$B$2,$B$7,$B$3,$B$4,$B$5,$F316,$B$6,AD$10,$A316,$B316)</f>
        <v>0</v>
      </c>
      <c r="AE316" s="4">
        <f ca="1">_xll.DBRW($B$1,$B$2,$B$7,$B$3,$B$4,$B$5,$F316,$B$6,AE$10,$A316,$B316)</f>
        <v>2465.0565466150679</v>
      </c>
    </row>
    <row r="317" spans="1:31">
      <c r="A317" s="1" t="s">
        <v>151</v>
      </c>
      <c r="B317" s="5" t="s">
        <v>252</v>
      </c>
      <c r="C317" s="5" t="s">
        <v>226</v>
      </c>
      <c r="D317" s="5" t="s">
        <v>21</v>
      </c>
      <c r="E317" s="5" t="s">
        <v>227</v>
      </c>
      <c r="F317" s="5" t="s">
        <v>25</v>
      </c>
      <c r="G317" s="6"/>
      <c r="H317" s="6"/>
      <c r="I317" s="6"/>
      <c r="J317" s="6"/>
      <c r="K317" s="6"/>
      <c r="L317" s="4">
        <f ca="1">_xll.DBRW($B$1,$B$2,$B$7,$B$3,$B$4,$B$5,$F317,$B$6,L$10,$A317,$B317)</f>
        <v>613.99547575137126</v>
      </c>
      <c r="M317" s="4">
        <f ca="1">_xll.DBRW($B$1,$B$2,$B$7,$B$3,$B$4,$B$5,$F317,$B$6,M$10,$A317,$B317)</f>
        <v>0</v>
      </c>
      <c r="N317" s="4">
        <f ca="1">_xll.DBRW($B$1,$B$2,$B$7,$B$3,$B$4,$B$5,$F317,$B$6,N$10,$A317,$B317)</f>
        <v>0</v>
      </c>
      <c r="O317" s="4">
        <f ca="1">_xll.DBRW($B$1,$B$2,$B$7,$B$3,$B$4,$B$5,$F317,$B$6,O$10,$A317,$B317)</f>
        <v>0</v>
      </c>
      <c r="P317" s="4">
        <f ca="1">_xll.DBRW($B$1,$B$2,$B$7,$B$3,$B$4,$B$5,$F317,$B$6,P$10,$A317,$B317)</f>
        <v>0</v>
      </c>
      <c r="Q317" s="4">
        <f ca="1">_xll.DBRW($B$1,$B$2,$B$7,$B$3,$B$4,$B$5,$F317,$B$6,Q$10,$A317,$B317)</f>
        <v>0</v>
      </c>
      <c r="R317" s="4">
        <f ca="1">_xll.DBRW($B$1,$B$2,$B$7,$B$3,$B$4,$B$5,$F317,$B$6,R$10,$A317,$B317)</f>
        <v>0</v>
      </c>
      <c r="S317" s="4">
        <f ca="1">_xll.DBRW($B$1,$B$2,$B$7,$B$3,$B$4,$B$5,$F317,$B$6,S$10,$A317,$B317)</f>
        <v>1448.4405691898321</v>
      </c>
      <c r="T317" s="4">
        <f ca="1">_xll.DBRW($B$1,$B$2,$B$7,$B$3,$B$4,$B$5,$F317,$B$6,T$10,$A317,$B317)</f>
        <v>1767.818070348025</v>
      </c>
      <c r="U317" s="4">
        <f ca="1">_xll.DBRW($B$1,$B$2,$B$7,$B$3,$B$4,$B$5,$F317,$B$6,U$10,$A317,$B317)</f>
        <v>2038.7874499143359</v>
      </c>
      <c r="V317" s="4">
        <f ca="1">_xll.DBRW($B$1,$B$2,$B$7,$B$3,$B$4,$B$5,$F317,$B$6,V$10,$A317,$B317)</f>
        <v>1775.4403384654631</v>
      </c>
      <c r="W317" s="4">
        <f ca="1">_xll.DBRW($B$1,$B$2,$B$7,$B$3,$B$4,$B$5,$F317,$B$6,W$10,$A317,$B317)</f>
        <v>0</v>
      </c>
      <c r="X317" s="4">
        <f ca="1">_xll.DBRW($B$1,$B$2,$B$7,$B$3,$B$4,$B$5,$F317,$B$6,X$10,$A317,$B317)</f>
        <v>0</v>
      </c>
      <c r="Y317" s="4">
        <f ca="1">_xll.DBRW($B$1,$B$2,$B$7,$B$3,$B$4,$B$5,$F317,$B$6,Y$10,$A317,$B317)</f>
        <v>0</v>
      </c>
      <c r="Z317" s="4">
        <f ca="1">_xll.DBRW($B$1,$B$2,$B$7,$B$3,$B$4,$B$5,$F317,$B$6,Z$10,$A317,$B317)</f>
        <v>0</v>
      </c>
      <c r="AA317" s="4">
        <f ca="1">_xll.DBRW($B$1,$B$2,$B$7,$B$3,$B$4,$B$5,$F317,$B$6,AA$10,$A317,$B317)</f>
        <v>0</v>
      </c>
      <c r="AB317" s="4">
        <f ca="1">_xll.DBRW($B$1,$B$2,$B$7,$B$3,$B$4,$B$5,$F317,$B$6,AB$10,$A317,$B317)</f>
        <v>0</v>
      </c>
      <c r="AC317" s="4">
        <f ca="1">_xll.DBRW($B$1,$B$2,$B$7,$B$3,$B$4,$B$5,$F317,$B$6,AC$10,$A317,$B317)</f>
        <v>175.48182658263087</v>
      </c>
      <c r="AD317" s="4">
        <f ca="1">_xll.DBRW($B$1,$B$2,$B$7,$B$3,$B$4,$B$5,$F317,$B$6,AD$10,$A317,$B317)</f>
        <v>1235.928493930702</v>
      </c>
      <c r="AE317" s="4">
        <f ca="1">_xll.DBRW($B$1,$B$2,$B$7,$B$3,$B$4,$B$5,$F317,$B$6,AE$10,$A317,$B317)</f>
        <v>1445.5106142519185</v>
      </c>
    </row>
    <row r="318" spans="1:31">
      <c r="A318" s="1" t="s">
        <v>151</v>
      </c>
      <c r="B318" s="5" t="s">
        <v>253</v>
      </c>
      <c r="C318" s="5" t="s">
        <v>229</v>
      </c>
      <c r="D318" s="5" t="s">
        <v>227</v>
      </c>
      <c r="E318" s="5" t="s">
        <v>21</v>
      </c>
      <c r="F318" s="5" t="s">
        <v>25</v>
      </c>
      <c r="G318" s="6"/>
      <c r="H318" s="6"/>
      <c r="I318" s="6"/>
      <c r="J318" s="6"/>
      <c r="K318" s="6"/>
      <c r="L318" s="4">
        <f ca="1">_xll.DBRW($B$1,$B$2,$B$7,$B$3,$B$4,$B$5,$F318,$B$6,L$10,$A318,$B318)</f>
        <v>613.99547575137126</v>
      </c>
      <c r="M318" s="4">
        <f ca="1">_xll.DBRW($B$1,$B$2,$B$7,$B$3,$B$4,$B$5,$F318,$B$6,M$10,$A318,$B318)</f>
        <v>0</v>
      </c>
      <c r="N318" s="4">
        <f ca="1">_xll.DBRW($B$1,$B$2,$B$7,$B$3,$B$4,$B$5,$F318,$B$6,N$10,$A318,$B318)</f>
        <v>0</v>
      </c>
      <c r="O318" s="4">
        <f ca="1">_xll.DBRW($B$1,$B$2,$B$7,$B$3,$B$4,$B$5,$F318,$B$6,O$10,$A318,$B318)</f>
        <v>0</v>
      </c>
      <c r="P318" s="4">
        <f ca="1">_xll.DBRW($B$1,$B$2,$B$7,$B$3,$B$4,$B$5,$F318,$B$6,P$10,$A318,$B318)</f>
        <v>0</v>
      </c>
      <c r="Q318" s="4">
        <f ca="1">_xll.DBRW($B$1,$B$2,$B$7,$B$3,$B$4,$B$5,$F318,$B$6,Q$10,$A318,$B318)</f>
        <v>0</v>
      </c>
      <c r="R318" s="4">
        <f ca="1">_xll.DBRW($B$1,$B$2,$B$7,$B$3,$B$4,$B$5,$F318,$B$6,R$10,$A318,$B318)</f>
        <v>0</v>
      </c>
      <c r="S318" s="4">
        <f ca="1">_xll.DBRW($B$1,$B$2,$B$7,$B$3,$B$4,$B$5,$F318,$B$6,S$10,$A318,$B318)</f>
        <v>1448.4405691898321</v>
      </c>
      <c r="T318" s="4">
        <f ca="1">_xll.DBRW($B$1,$B$2,$B$7,$B$3,$B$4,$B$5,$F318,$B$6,T$10,$A318,$B318)</f>
        <v>1767.818070348025</v>
      </c>
      <c r="U318" s="4">
        <f ca="1">_xll.DBRW($B$1,$B$2,$B$7,$B$3,$B$4,$B$5,$F318,$B$6,U$10,$A318,$B318)</f>
        <v>2038.7874499143359</v>
      </c>
      <c r="V318" s="4">
        <f ca="1">_xll.DBRW($B$1,$B$2,$B$7,$B$3,$B$4,$B$5,$F318,$B$6,V$10,$A318,$B318)</f>
        <v>1775.4403384654631</v>
      </c>
      <c r="W318" s="4">
        <f ca="1">_xll.DBRW($B$1,$B$2,$B$7,$B$3,$B$4,$B$5,$F318,$B$6,W$10,$A318,$B318)</f>
        <v>0</v>
      </c>
      <c r="X318" s="4">
        <f ca="1">_xll.DBRW($B$1,$B$2,$B$7,$B$3,$B$4,$B$5,$F318,$B$6,X$10,$A318,$B318)</f>
        <v>0</v>
      </c>
      <c r="Y318" s="4">
        <f ca="1">_xll.DBRW($B$1,$B$2,$B$7,$B$3,$B$4,$B$5,$F318,$B$6,Y$10,$A318,$B318)</f>
        <v>0</v>
      </c>
      <c r="Z318" s="4">
        <f ca="1">_xll.DBRW($B$1,$B$2,$B$7,$B$3,$B$4,$B$5,$F318,$B$6,Z$10,$A318,$B318)</f>
        <v>0</v>
      </c>
      <c r="AA318" s="4">
        <f ca="1">_xll.DBRW($B$1,$B$2,$B$7,$B$3,$B$4,$B$5,$F318,$B$6,AA$10,$A318,$B318)</f>
        <v>0</v>
      </c>
      <c r="AB318" s="4">
        <f ca="1">_xll.DBRW($B$1,$B$2,$B$7,$B$3,$B$4,$B$5,$F318,$B$6,AB$10,$A318,$B318)</f>
        <v>0</v>
      </c>
      <c r="AC318" s="4">
        <f ca="1">_xll.DBRW($B$1,$B$2,$B$7,$B$3,$B$4,$B$5,$F318,$B$6,AC$10,$A318,$B318)</f>
        <v>175.48182658263087</v>
      </c>
      <c r="AD318" s="4">
        <f ca="1">_xll.DBRW($B$1,$B$2,$B$7,$B$3,$B$4,$B$5,$F318,$B$6,AD$10,$A318,$B318)</f>
        <v>1235.928493930702</v>
      </c>
      <c r="AE318" s="4">
        <f ca="1">_xll.DBRW($B$1,$B$2,$B$7,$B$3,$B$4,$B$5,$F318,$B$6,AE$10,$A318,$B318)</f>
        <v>1445.5106142519185</v>
      </c>
    </row>
    <row r="319" spans="1:31">
      <c r="A319" s="1" t="s">
        <v>151</v>
      </c>
      <c r="B319" s="5" t="s">
        <v>254</v>
      </c>
      <c r="C319" s="5" t="s">
        <v>255</v>
      </c>
      <c r="D319" s="5" t="s">
        <v>60</v>
      </c>
      <c r="E319" s="5" t="s">
        <v>59</v>
      </c>
      <c r="F319" s="5" t="s">
        <v>25</v>
      </c>
      <c r="G319" s="6"/>
      <c r="H319" s="6"/>
      <c r="I319" s="6"/>
      <c r="J319" s="6"/>
      <c r="K319" s="6"/>
      <c r="L319" s="4">
        <f ca="1">_xll.DBRW($B$1,$B$2,$B$7,$B$3,$B$4,$B$5,$F319,$B$6,L$10,$A319,$B319)</f>
        <v>2353.3978923148384</v>
      </c>
      <c r="M319" s="4">
        <f ca="1">_xll.DBRW($B$1,$B$2,$B$7,$B$3,$B$4,$B$5,$F319,$B$6,M$10,$A319,$B319)</f>
        <v>2176.9950458401568</v>
      </c>
      <c r="N319" s="4">
        <f ca="1">_xll.DBRW($B$1,$B$2,$B$7,$B$3,$B$4,$B$5,$F319,$B$6,N$10,$A319,$B319)</f>
        <v>2705.2853261234573</v>
      </c>
      <c r="O319" s="4">
        <f ca="1">_xll.DBRW($B$1,$B$2,$B$7,$B$3,$B$4,$B$5,$F319,$B$6,O$10,$A319,$B319)</f>
        <v>2114.4563373712754</v>
      </c>
      <c r="P319" s="4">
        <f ca="1">_xll.DBRW($B$1,$B$2,$B$7,$B$3,$B$4,$B$5,$F319,$B$6,P$10,$A319,$B319)</f>
        <v>2296.2800860588823</v>
      </c>
      <c r="Q319" s="4">
        <f ca="1">_xll.DBRW($B$1,$B$2,$B$7,$B$3,$B$4,$B$5,$F319,$B$6,Q$10,$A319,$B319)</f>
        <v>2348.7132569549003</v>
      </c>
      <c r="R319" s="4">
        <f ca="1">_xll.DBRW($B$1,$B$2,$B$7,$B$3,$B$4,$B$5,$F319,$B$6,R$10,$A319,$B319)</f>
        <v>0</v>
      </c>
      <c r="S319" s="4">
        <f ca="1">_xll.DBRW($B$1,$B$2,$B$7,$B$3,$B$4,$B$5,$F319,$B$6,S$10,$A319,$B319)</f>
        <v>0</v>
      </c>
      <c r="T319" s="4">
        <f ca="1">_xll.DBRW($B$1,$B$2,$B$7,$B$3,$B$4,$B$5,$F319,$B$6,T$10,$A319,$B319)</f>
        <v>0</v>
      </c>
      <c r="U319" s="4">
        <f ca="1">_xll.DBRW($B$1,$B$2,$B$7,$B$3,$B$4,$B$5,$F319,$B$6,U$10,$A319,$B319)</f>
        <v>0</v>
      </c>
      <c r="V319" s="4">
        <f ca="1">_xll.DBRW($B$1,$B$2,$B$7,$B$3,$B$4,$B$5,$F319,$B$6,V$10,$A319,$B319)</f>
        <v>0</v>
      </c>
      <c r="W319" s="4">
        <f ca="1">_xll.DBRW($B$1,$B$2,$B$7,$B$3,$B$4,$B$5,$F319,$B$6,W$10,$A319,$B319)</f>
        <v>2061.9842603672728</v>
      </c>
      <c r="X319" s="4">
        <f ca="1">_xll.DBRW($B$1,$B$2,$B$7,$B$3,$B$4,$B$5,$F319,$B$6,X$10,$A319,$B319)</f>
        <v>2249.7469368456291</v>
      </c>
      <c r="Y319" s="4">
        <f ca="1">_xll.DBRW($B$1,$B$2,$B$7,$B$3,$B$4,$B$5,$F319,$B$6,Y$10,$A319,$B319)</f>
        <v>2349.951888560674</v>
      </c>
      <c r="Z319" s="4">
        <f ca="1">_xll.DBRW($B$1,$B$2,$B$7,$B$3,$B$4,$B$5,$F319,$B$6,Z$10,$A319,$B319)</f>
        <v>2852.1705063772029</v>
      </c>
      <c r="AA319" s="4">
        <f ca="1">_xll.DBRW($B$1,$B$2,$B$7,$B$3,$B$4,$B$5,$F319,$B$6,AA$10,$A319,$B319)</f>
        <v>2024.6207402564523</v>
      </c>
      <c r="AB319" s="4">
        <f ca="1">_xll.DBRW($B$1,$B$2,$B$7,$B$3,$B$4,$B$5,$F319,$B$6,AB$10,$A319,$B319)</f>
        <v>2217.7826378413884</v>
      </c>
      <c r="AC319" s="4">
        <f ca="1">_xll.DBRW($B$1,$B$2,$B$7,$B$3,$B$4,$B$5,$F319,$B$6,AC$10,$A319,$B319)</f>
        <v>2194.9245215857304</v>
      </c>
      <c r="AD319" s="4">
        <f ca="1">_xll.DBRW($B$1,$B$2,$B$7,$B$3,$B$4,$B$5,$F319,$B$6,AD$10,$A319,$B319)</f>
        <v>0</v>
      </c>
      <c r="AE319" s="4">
        <f ca="1">_xll.DBRW($B$1,$B$2,$B$7,$B$3,$B$4,$B$5,$F319,$B$6,AE$10,$A319,$B319)</f>
        <v>0</v>
      </c>
    </row>
    <row r="320" spans="1:31">
      <c r="A320" s="1" t="s">
        <v>151</v>
      </c>
      <c r="B320" s="5" t="s">
        <v>57</v>
      </c>
      <c r="C320" s="5" t="s">
        <v>58</v>
      </c>
      <c r="D320" s="5" t="s">
        <v>59</v>
      </c>
      <c r="E320" s="5" t="s">
        <v>60</v>
      </c>
      <c r="F320" s="5" t="s">
        <v>25</v>
      </c>
      <c r="G320" s="6"/>
      <c r="H320" s="6"/>
      <c r="I320" s="6"/>
      <c r="J320" s="6"/>
      <c r="K320" s="6"/>
      <c r="L320" s="4">
        <f ca="1">_xll.DBRW($B$1,$B$2,$B$7,$B$3,$B$4,$B$5,$F320,$B$6,L$10,$A320,$B320)</f>
        <v>2353.3978923148384</v>
      </c>
      <c r="M320" s="4">
        <f ca="1">_xll.DBRW($B$1,$B$2,$B$7,$B$3,$B$4,$B$5,$F320,$B$6,M$10,$A320,$B320)</f>
        <v>1935.1067074134728</v>
      </c>
      <c r="N320" s="4">
        <f ca="1">_xll.DBRW($B$1,$B$2,$B$7,$B$3,$B$4,$B$5,$F320,$B$6,N$10,$A320,$B320)</f>
        <v>2705.2853261234573</v>
      </c>
      <c r="O320" s="4">
        <f ca="1">_xll.DBRW($B$1,$B$2,$B$7,$B$3,$B$4,$B$5,$F320,$B$6,O$10,$A320,$B320)</f>
        <v>2114.4563373712754</v>
      </c>
      <c r="P320" s="4">
        <f ca="1">_xll.DBRW($B$1,$B$2,$B$7,$B$3,$B$4,$B$5,$F320,$B$6,P$10,$A320,$B320)</f>
        <v>2296.2800860588823</v>
      </c>
      <c r="Q320" s="4">
        <f ca="1">_xll.DBRW($B$1,$B$2,$B$7,$B$3,$B$4,$B$5,$F320,$B$6,Q$10,$A320,$B320)</f>
        <v>2348.7132569549003</v>
      </c>
      <c r="R320" s="4">
        <f ca="1">_xll.DBRW($B$1,$B$2,$B$7,$B$3,$B$4,$B$5,$F320,$B$6,R$10,$A320,$B320)</f>
        <v>0</v>
      </c>
      <c r="S320" s="4">
        <f ca="1">_xll.DBRW($B$1,$B$2,$B$7,$B$3,$B$4,$B$5,$F320,$B$6,S$10,$A320,$B320)</f>
        <v>0</v>
      </c>
      <c r="T320" s="4">
        <f ca="1">_xll.DBRW($B$1,$B$2,$B$7,$B$3,$B$4,$B$5,$F320,$B$6,T$10,$A320,$B320)</f>
        <v>0</v>
      </c>
      <c r="U320" s="4">
        <f ca="1">_xll.DBRW($B$1,$B$2,$B$7,$B$3,$B$4,$B$5,$F320,$B$6,U$10,$A320,$B320)</f>
        <v>0</v>
      </c>
      <c r="V320" s="4">
        <f ca="1">_xll.DBRW($B$1,$B$2,$B$7,$B$3,$B$4,$B$5,$F320,$B$6,V$10,$A320,$B320)</f>
        <v>0</v>
      </c>
      <c r="W320" s="4">
        <f ca="1">_xll.DBRW($B$1,$B$2,$B$7,$B$3,$B$4,$B$5,$F320,$B$6,W$10,$A320,$B320)</f>
        <v>2061.9842603672728</v>
      </c>
      <c r="X320" s="4">
        <f ca="1">_xll.DBRW($B$1,$B$2,$B$7,$B$3,$B$4,$B$5,$F320,$B$6,X$10,$A320,$B320)</f>
        <v>2249.7469368456291</v>
      </c>
      <c r="Y320" s="4">
        <f ca="1">_xll.DBRW($B$1,$B$2,$B$7,$B$3,$B$4,$B$5,$F320,$B$6,Y$10,$A320,$B320)</f>
        <v>2349.951888560674</v>
      </c>
      <c r="Z320" s="4">
        <f ca="1">_xll.DBRW($B$1,$B$2,$B$7,$B$3,$B$4,$B$5,$F320,$B$6,Z$10,$A320,$B320)</f>
        <v>2852.1705063772029</v>
      </c>
      <c r="AA320" s="4">
        <f ca="1">_xll.DBRW($B$1,$B$2,$B$7,$B$3,$B$4,$B$5,$F320,$B$6,AA$10,$A320,$B320)</f>
        <v>2024.6207402564523</v>
      </c>
      <c r="AB320" s="4">
        <f ca="1">_xll.DBRW($B$1,$B$2,$B$7,$B$3,$B$4,$B$5,$F320,$B$6,AB$10,$A320,$B320)</f>
        <v>2495.0054675715619</v>
      </c>
      <c r="AC320" s="4">
        <f ca="1">_xll.DBRW($B$1,$B$2,$B$7,$B$3,$B$4,$B$5,$F320,$B$6,AC$10,$A320,$B320)</f>
        <v>1920.5589563875142</v>
      </c>
      <c r="AD320" s="4">
        <f ca="1">_xll.DBRW($B$1,$B$2,$B$7,$B$3,$B$4,$B$5,$F320,$B$6,AD$10,$A320,$B320)</f>
        <v>0</v>
      </c>
      <c r="AE320" s="4">
        <f ca="1">_xll.DBRW($B$1,$B$2,$B$7,$B$3,$B$4,$B$5,$F320,$B$6,AE$10,$A320,$B320)</f>
        <v>0</v>
      </c>
    </row>
    <row r="321" spans="1:31">
      <c r="A321" s="1" t="s">
        <v>151</v>
      </c>
      <c r="B321" s="5" t="s">
        <v>256</v>
      </c>
      <c r="C321" s="5" t="s">
        <v>206</v>
      </c>
      <c r="D321" s="5" t="s">
        <v>21</v>
      </c>
      <c r="E321" s="5" t="s">
        <v>181</v>
      </c>
      <c r="F321" s="5" t="s">
        <v>25</v>
      </c>
      <c r="G321" s="6"/>
      <c r="H321" s="6"/>
      <c r="I321" s="6"/>
      <c r="J321" s="6"/>
      <c r="K321" s="6"/>
      <c r="L321" s="4">
        <f ca="1">_xll.DBRW($B$1,$B$2,$B$7,$B$3,$B$4,$B$5,$F321,$B$6,L$10,$A321,$B321)</f>
        <v>0</v>
      </c>
      <c r="M321" s="4">
        <f ca="1">_xll.DBRW($B$1,$B$2,$B$7,$B$3,$B$4,$B$5,$F321,$B$6,M$10,$A321,$B321)</f>
        <v>0</v>
      </c>
      <c r="N321" s="4">
        <f ca="1">_xll.DBRW($B$1,$B$2,$B$7,$B$3,$B$4,$B$5,$F321,$B$6,N$10,$A321,$B321)</f>
        <v>0</v>
      </c>
      <c r="O321" s="4">
        <f ca="1">_xll.DBRW($B$1,$B$2,$B$7,$B$3,$B$4,$B$5,$F321,$B$6,O$10,$A321,$B321)</f>
        <v>0</v>
      </c>
      <c r="P321" s="4">
        <f ca="1">_xll.DBRW($B$1,$B$2,$B$7,$B$3,$B$4,$B$5,$F321,$B$6,P$10,$A321,$B321)</f>
        <v>0</v>
      </c>
      <c r="Q321" s="4">
        <f ca="1">_xll.DBRW($B$1,$B$2,$B$7,$B$3,$B$4,$B$5,$F321,$B$6,Q$10,$A321,$B321)</f>
        <v>0</v>
      </c>
      <c r="R321" s="4">
        <f ca="1">_xll.DBRW($B$1,$B$2,$B$7,$B$3,$B$4,$B$5,$F321,$B$6,R$10,$A321,$B321)</f>
        <v>0</v>
      </c>
      <c r="S321" s="4">
        <f ca="1">_xll.DBRW($B$1,$B$2,$B$7,$B$3,$B$4,$B$5,$F321,$B$6,S$10,$A321,$B321)</f>
        <v>0</v>
      </c>
      <c r="T321" s="4">
        <f ca="1">_xll.DBRW($B$1,$B$2,$B$7,$B$3,$B$4,$B$5,$F321,$B$6,T$10,$A321,$B321)</f>
        <v>0</v>
      </c>
      <c r="U321" s="4">
        <f ca="1">_xll.DBRW($B$1,$B$2,$B$7,$B$3,$B$4,$B$5,$F321,$B$6,U$10,$A321,$B321)</f>
        <v>0</v>
      </c>
      <c r="V321" s="4">
        <f ca="1">_xll.DBRW($B$1,$B$2,$B$7,$B$3,$B$4,$B$5,$F321,$B$6,V$10,$A321,$B321)</f>
        <v>0</v>
      </c>
      <c r="W321" s="4">
        <f ca="1">_xll.DBRW($B$1,$B$2,$B$7,$B$3,$B$4,$B$5,$F321,$B$6,W$10,$A321,$B321)</f>
        <v>0</v>
      </c>
      <c r="X321" s="4">
        <f ca="1">_xll.DBRW($B$1,$B$2,$B$7,$B$3,$B$4,$B$5,$F321,$B$6,X$10,$A321,$B321)</f>
        <v>0</v>
      </c>
      <c r="Y321" s="4">
        <f ca="1">_xll.DBRW($B$1,$B$2,$B$7,$B$3,$B$4,$B$5,$F321,$B$6,Y$10,$A321,$B321)</f>
        <v>0</v>
      </c>
      <c r="Z321" s="4">
        <f ca="1">_xll.DBRW($B$1,$B$2,$B$7,$B$3,$B$4,$B$5,$F321,$B$6,Z$10,$A321,$B321)</f>
        <v>0</v>
      </c>
      <c r="AA321" s="4">
        <f ca="1">_xll.DBRW($B$1,$B$2,$B$7,$B$3,$B$4,$B$5,$F321,$B$6,AA$10,$A321,$B321)</f>
        <v>0</v>
      </c>
      <c r="AB321" s="4">
        <f ca="1">_xll.DBRW($B$1,$B$2,$B$7,$B$3,$B$4,$B$5,$F321,$B$6,AB$10,$A321,$B321)</f>
        <v>0</v>
      </c>
      <c r="AC321" s="4">
        <f ca="1">_xll.DBRW($B$1,$B$2,$B$7,$B$3,$B$4,$B$5,$F321,$B$6,AC$10,$A321,$B321)</f>
        <v>0</v>
      </c>
      <c r="AD321" s="4">
        <f ca="1">_xll.DBRW($B$1,$B$2,$B$7,$B$3,$B$4,$B$5,$F321,$B$6,AD$10,$A321,$B321)</f>
        <v>0</v>
      </c>
      <c r="AE321" s="4">
        <f ca="1">_xll.DBRW($B$1,$B$2,$B$7,$B$3,$B$4,$B$5,$F321,$B$6,AE$10,$A321,$B321)</f>
        <v>0</v>
      </c>
    </row>
    <row r="322" spans="1:31">
      <c r="A322" s="1" t="s">
        <v>151</v>
      </c>
      <c r="B322" s="5" t="s">
        <v>257</v>
      </c>
      <c r="C322" s="5" t="s">
        <v>208</v>
      </c>
      <c r="D322" s="5" t="s">
        <v>181</v>
      </c>
      <c r="E322" s="5" t="s">
        <v>21</v>
      </c>
      <c r="F322" s="5" t="s">
        <v>25</v>
      </c>
      <c r="G322" s="6"/>
      <c r="H322" s="6"/>
      <c r="I322" s="6"/>
      <c r="J322" s="6"/>
      <c r="K322" s="6"/>
      <c r="L322" s="4">
        <f ca="1">_xll.DBRW($B$1,$B$2,$B$7,$B$3,$B$4,$B$5,$F322,$B$6,L$10,$A322,$B322)</f>
        <v>0</v>
      </c>
      <c r="M322" s="4">
        <f ca="1">_xll.DBRW($B$1,$B$2,$B$7,$B$3,$B$4,$B$5,$F322,$B$6,M$10,$A322,$B322)</f>
        <v>0</v>
      </c>
      <c r="N322" s="4">
        <f ca="1">_xll.DBRW($B$1,$B$2,$B$7,$B$3,$B$4,$B$5,$F322,$B$6,N$10,$A322,$B322)</f>
        <v>0</v>
      </c>
      <c r="O322" s="4">
        <f ca="1">_xll.DBRW($B$1,$B$2,$B$7,$B$3,$B$4,$B$5,$F322,$B$6,O$10,$A322,$B322)</f>
        <v>0</v>
      </c>
      <c r="P322" s="4">
        <f ca="1">_xll.DBRW($B$1,$B$2,$B$7,$B$3,$B$4,$B$5,$F322,$B$6,P$10,$A322,$B322)</f>
        <v>0</v>
      </c>
      <c r="Q322" s="4">
        <f ca="1">_xll.DBRW($B$1,$B$2,$B$7,$B$3,$B$4,$B$5,$F322,$B$6,Q$10,$A322,$B322)</f>
        <v>0</v>
      </c>
      <c r="R322" s="4">
        <f ca="1">_xll.DBRW($B$1,$B$2,$B$7,$B$3,$B$4,$B$5,$F322,$B$6,R$10,$A322,$B322)</f>
        <v>0</v>
      </c>
      <c r="S322" s="4">
        <f ca="1">_xll.DBRW($B$1,$B$2,$B$7,$B$3,$B$4,$B$5,$F322,$B$6,S$10,$A322,$B322)</f>
        <v>0</v>
      </c>
      <c r="T322" s="4">
        <f ca="1">_xll.DBRW($B$1,$B$2,$B$7,$B$3,$B$4,$B$5,$F322,$B$6,T$10,$A322,$B322)</f>
        <v>0</v>
      </c>
      <c r="U322" s="4">
        <f ca="1">_xll.DBRW($B$1,$B$2,$B$7,$B$3,$B$4,$B$5,$F322,$B$6,U$10,$A322,$B322)</f>
        <v>0</v>
      </c>
      <c r="V322" s="4">
        <f ca="1">_xll.DBRW($B$1,$B$2,$B$7,$B$3,$B$4,$B$5,$F322,$B$6,V$10,$A322,$B322)</f>
        <v>0</v>
      </c>
      <c r="W322" s="4">
        <f ca="1">_xll.DBRW($B$1,$B$2,$B$7,$B$3,$B$4,$B$5,$F322,$B$6,W$10,$A322,$B322)</f>
        <v>0</v>
      </c>
      <c r="X322" s="4">
        <f ca="1">_xll.DBRW($B$1,$B$2,$B$7,$B$3,$B$4,$B$5,$F322,$B$6,X$10,$A322,$B322)</f>
        <v>0</v>
      </c>
      <c r="Y322" s="4">
        <f ca="1">_xll.DBRW($B$1,$B$2,$B$7,$B$3,$B$4,$B$5,$F322,$B$6,Y$10,$A322,$B322)</f>
        <v>0</v>
      </c>
      <c r="Z322" s="4">
        <f ca="1">_xll.DBRW($B$1,$B$2,$B$7,$B$3,$B$4,$B$5,$F322,$B$6,Z$10,$A322,$B322)</f>
        <v>0</v>
      </c>
      <c r="AA322" s="4">
        <f ca="1">_xll.DBRW($B$1,$B$2,$B$7,$B$3,$B$4,$B$5,$F322,$B$6,AA$10,$A322,$B322)</f>
        <v>0</v>
      </c>
      <c r="AB322" s="4">
        <f ca="1">_xll.DBRW($B$1,$B$2,$B$7,$B$3,$B$4,$B$5,$F322,$B$6,AB$10,$A322,$B322)</f>
        <v>0</v>
      </c>
      <c r="AC322" s="4">
        <f ca="1">_xll.DBRW($B$1,$B$2,$B$7,$B$3,$B$4,$B$5,$F322,$B$6,AC$10,$A322,$B322)</f>
        <v>0</v>
      </c>
      <c r="AD322" s="4">
        <f ca="1">_xll.DBRW($B$1,$B$2,$B$7,$B$3,$B$4,$B$5,$F322,$B$6,AD$10,$A322,$B322)</f>
        <v>0</v>
      </c>
      <c r="AE322" s="4">
        <f ca="1">_xll.DBRW($B$1,$B$2,$B$7,$B$3,$B$4,$B$5,$F322,$B$6,AE$10,$A322,$B322)</f>
        <v>0</v>
      </c>
    </row>
    <row r="323" spans="1:31">
      <c r="A323" s="1" t="s">
        <v>151</v>
      </c>
      <c r="B323" s="5" t="s">
        <v>258</v>
      </c>
      <c r="C323" s="5" t="s">
        <v>259</v>
      </c>
      <c r="D323" s="5" t="s">
        <v>21</v>
      </c>
      <c r="E323" s="5" t="s">
        <v>260</v>
      </c>
      <c r="F323" s="5" t="s">
        <v>25</v>
      </c>
      <c r="G323" s="6"/>
      <c r="H323" s="6"/>
      <c r="I323" s="6"/>
      <c r="J323" s="6"/>
      <c r="K323" s="6"/>
      <c r="L323" s="4">
        <f ca="1">_xll.DBRW($B$1,$B$2,$B$7,$B$3,$B$4,$B$5,$F323,$B$6,L$10,$A323,$B323)</f>
        <v>4163.2212150406503</v>
      </c>
      <c r="M323" s="4">
        <f ca="1">_xll.DBRW($B$1,$B$2,$B$7,$B$3,$B$4,$B$5,$F323,$B$6,M$10,$A323,$B323)</f>
        <v>4159.7657356411864</v>
      </c>
      <c r="N323" s="4">
        <f ca="1">_xll.DBRW($B$1,$B$2,$B$7,$B$3,$B$4,$B$5,$F323,$B$6,N$10,$A323,$B323)</f>
        <v>5211.5195580170948</v>
      </c>
      <c r="O323" s="4">
        <f ca="1">_xll.DBRW($B$1,$B$2,$B$7,$B$3,$B$4,$B$5,$F323,$B$6,O$10,$A323,$B323)</f>
        <v>5204.8155996831392</v>
      </c>
      <c r="P323" s="4">
        <f ca="1">_xll.DBRW($B$1,$B$2,$B$7,$B$3,$B$4,$B$5,$F323,$B$6,P$10,$A323,$B323)</f>
        <v>4749.9276185749459</v>
      </c>
      <c r="Q323" s="4">
        <f ca="1">_xll.DBRW($B$1,$B$2,$B$7,$B$3,$B$4,$B$5,$F323,$B$6,Q$10,$A323,$B323)</f>
        <v>4914.2308145517918</v>
      </c>
      <c r="R323" s="4">
        <f ca="1">_xll.DBRW($B$1,$B$2,$B$7,$B$3,$B$4,$B$5,$F323,$B$6,R$10,$A323,$B323)</f>
        <v>3743.7264038151593</v>
      </c>
      <c r="S323" s="4">
        <f ca="1">_xll.DBRW($B$1,$B$2,$B$7,$B$3,$B$4,$B$5,$F323,$B$6,S$10,$A323,$B323)</f>
        <v>4047.2019230584906</v>
      </c>
      <c r="T323" s="4">
        <f ca="1">_xll.DBRW($B$1,$B$2,$B$7,$B$3,$B$4,$B$5,$F323,$B$6,T$10,$A323,$B323)</f>
        <v>4697.3101952464576</v>
      </c>
      <c r="U323" s="4">
        <f ca="1">_xll.DBRW($B$1,$B$2,$B$7,$B$3,$B$4,$B$5,$F323,$B$6,U$10,$A323,$B323)</f>
        <v>4266.3746975017757</v>
      </c>
      <c r="V323" s="4">
        <f ca="1">_xll.DBRW($B$1,$B$2,$B$7,$B$3,$B$4,$B$5,$F323,$B$6,V$10,$A323,$B323)</f>
        <v>3986.2883400731002</v>
      </c>
      <c r="W323" s="4">
        <f ca="1">_xll.DBRW($B$1,$B$2,$B$7,$B$3,$B$4,$B$5,$F323,$B$6,W$10,$A323,$B323)</f>
        <v>4751.4501053174226</v>
      </c>
      <c r="X323" s="4">
        <f ca="1">_xll.DBRW($B$1,$B$2,$B$7,$B$3,$B$4,$B$5,$F323,$B$6,X$10,$A323,$B323)</f>
        <v>5386.3548803726371</v>
      </c>
      <c r="Y323" s="4">
        <f ca="1">_xll.DBRW($B$1,$B$2,$B$7,$B$3,$B$4,$B$5,$F323,$B$6,Y$10,$A323,$B323)</f>
        <v>5598.9615280164562</v>
      </c>
      <c r="Z323" s="4">
        <f ca="1">_xll.DBRW($B$1,$B$2,$B$7,$B$3,$B$4,$B$5,$F323,$B$6,Z$10,$A323,$B323)</f>
        <v>5926.8667269516982</v>
      </c>
      <c r="AA323" s="4">
        <f ca="1">_xll.DBRW($B$1,$B$2,$B$7,$B$3,$B$4,$B$5,$F323,$B$6,AA$10,$A323,$B323)</f>
        <v>5652.7553485910785</v>
      </c>
      <c r="AB323" s="4">
        <f ca="1">_xll.DBRW($B$1,$B$2,$B$7,$B$3,$B$4,$B$5,$F323,$B$6,AB$10,$A323,$B323)</f>
        <v>5674.4310301336836</v>
      </c>
      <c r="AC323" s="4">
        <f ca="1">_xll.DBRW($B$1,$B$2,$B$7,$B$3,$B$4,$B$5,$F323,$B$6,AC$10,$A323,$B323)</f>
        <v>5352.0191452024756</v>
      </c>
      <c r="AD323" s="4">
        <f ca="1">_xll.DBRW($B$1,$B$2,$B$7,$B$3,$B$4,$B$5,$F323,$B$6,AD$10,$A323,$B323)</f>
        <v>4336.2358211305791</v>
      </c>
      <c r="AE323" s="4">
        <f ca="1">_xll.DBRW($B$1,$B$2,$B$7,$B$3,$B$4,$B$5,$F323,$B$6,AE$10,$A323,$B323)</f>
        <v>5238.5836000844083</v>
      </c>
    </row>
    <row r="324" spans="1:31">
      <c r="A324" s="1" t="s">
        <v>151</v>
      </c>
      <c r="B324" s="5" t="s">
        <v>261</v>
      </c>
      <c r="C324" s="5" t="s">
        <v>262</v>
      </c>
      <c r="D324" s="5" t="s">
        <v>260</v>
      </c>
      <c r="E324" s="5" t="s">
        <v>21</v>
      </c>
      <c r="F324" s="5" t="s">
        <v>25</v>
      </c>
      <c r="G324" s="6"/>
      <c r="H324" s="6"/>
      <c r="I324" s="6"/>
      <c r="J324" s="6"/>
      <c r="K324" s="6"/>
      <c r="L324" s="4">
        <f ca="1">_xll.DBRW($B$1,$B$2,$B$7,$B$3,$B$4,$B$5,$F324,$B$6,L$10,$A324,$B324)</f>
        <v>4163.2212150406503</v>
      </c>
      <c r="M324" s="4">
        <f ca="1">_xll.DBRW($B$1,$B$2,$B$7,$B$3,$B$4,$B$5,$F324,$B$6,M$10,$A324,$B324)</f>
        <v>4159.7657356411864</v>
      </c>
      <c r="N324" s="4">
        <f ca="1">_xll.DBRW($B$1,$B$2,$B$7,$B$3,$B$4,$B$5,$F324,$B$6,N$10,$A324,$B324)</f>
        <v>5211.5195580170948</v>
      </c>
      <c r="O324" s="4">
        <f ca="1">_xll.DBRW($B$1,$B$2,$B$7,$B$3,$B$4,$B$5,$F324,$B$6,O$10,$A324,$B324)</f>
        <v>5204.8155996831392</v>
      </c>
      <c r="P324" s="4">
        <f ca="1">_xll.DBRW($B$1,$B$2,$B$7,$B$3,$B$4,$B$5,$F324,$B$6,P$10,$A324,$B324)</f>
        <v>4749.9276185749459</v>
      </c>
      <c r="Q324" s="4">
        <f ca="1">_xll.DBRW($B$1,$B$2,$B$7,$B$3,$B$4,$B$5,$F324,$B$6,Q$10,$A324,$B324)</f>
        <v>4914.2308145517918</v>
      </c>
      <c r="R324" s="4">
        <f ca="1">_xll.DBRW($B$1,$B$2,$B$7,$B$3,$B$4,$B$5,$F324,$B$6,R$10,$A324,$B324)</f>
        <v>3743.7264038151593</v>
      </c>
      <c r="S324" s="4">
        <f ca="1">_xll.DBRW($B$1,$B$2,$B$7,$B$3,$B$4,$B$5,$F324,$B$6,S$10,$A324,$B324)</f>
        <v>4047.2019230584906</v>
      </c>
      <c r="T324" s="4">
        <f ca="1">_xll.DBRW($B$1,$B$2,$B$7,$B$3,$B$4,$B$5,$F324,$B$6,T$10,$A324,$B324)</f>
        <v>4697.3101952464576</v>
      </c>
      <c r="U324" s="4">
        <f ca="1">_xll.DBRW($B$1,$B$2,$B$7,$B$3,$B$4,$B$5,$F324,$B$6,U$10,$A324,$B324)</f>
        <v>4266.3746975017757</v>
      </c>
      <c r="V324" s="4">
        <f ca="1">_xll.DBRW($B$1,$B$2,$B$7,$B$3,$B$4,$B$5,$F324,$B$6,V$10,$A324,$B324)</f>
        <v>3986.2883400731002</v>
      </c>
      <c r="W324" s="4">
        <f ca="1">_xll.DBRW($B$1,$B$2,$B$7,$B$3,$B$4,$B$5,$F324,$B$6,W$10,$A324,$B324)</f>
        <v>4751.4501053174226</v>
      </c>
      <c r="X324" s="4">
        <f ca="1">_xll.DBRW($B$1,$B$2,$B$7,$B$3,$B$4,$B$5,$F324,$B$6,X$10,$A324,$B324)</f>
        <v>5386.3548803726371</v>
      </c>
      <c r="Y324" s="4">
        <f ca="1">_xll.DBRW($B$1,$B$2,$B$7,$B$3,$B$4,$B$5,$F324,$B$6,Y$10,$A324,$B324)</f>
        <v>5598.9615280164562</v>
      </c>
      <c r="Z324" s="4">
        <f ca="1">_xll.DBRW($B$1,$B$2,$B$7,$B$3,$B$4,$B$5,$F324,$B$6,Z$10,$A324,$B324)</f>
        <v>5926.8667269516982</v>
      </c>
      <c r="AA324" s="4">
        <f ca="1">_xll.DBRW($B$1,$B$2,$B$7,$B$3,$B$4,$B$5,$F324,$B$6,AA$10,$A324,$B324)</f>
        <v>5652.7553485910785</v>
      </c>
      <c r="AB324" s="4">
        <f ca="1">_xll.DBRW($B$1,$B$2,$B$7,$B$3,$B$4,$B$5,$F324,$B$6,AB$10,$A324,$B324)</f>
        <v>5674.4310301336836</v>
      </c>
      <c r="AC324" s="4">
        <f ca="1">_xll.DBRW($B$1,$B$2,$B$7,$B$3,$B$4,$B$5,$F324,$B$6,AC$10,$A324,$B324)</f>
        <v>5352.0191452024756</v>
      </c>
      <c r="AD324" s="4">
        <f ca="1">_xll.DBRW($B$1,$B$2,$B$7,$B$3,$B$4,$B$5,$F324,$B$6,AD$10,$A324,$B324)</f>
        <v>4336.2358211305791</v>
      </c>
      <c r="AE324" s="4">
        <f ca="1">_xll.DBRW($B$1,$B$2,$B$7,$B$3,$B$4,$B$5,$F324,$B$6,AE$10,$A324,$B324)</f>
        <v>5238.5836000844083</v>
      </c>
    </row>
    <row r="325" spans="1:31">
      <c r="A325" s="1" t="s">
        <v>151</v>
      </c>
      <c r="B325" s="5" t="s">
        <v>263</v>
      </c>
      <c r="C325" s="5" t="s">
        <v>264</v>
      </c>
      <c r="D325" s="5" t="s">
        <v>21</v>
      </c>
      <c r="E325" s="5" t="s">
        <v>265</v>
      </c>
      <c r="F325" s="5" t="s">
        <v>25</v>
      </c>
      <c r="G325" s="6"/>
      <c r="H325" s="6"/>
      <c r="I325" s="6"/>
      <c r="J325" s="6"/>
      <c r="K325" s="6"/>
      <c r="L325" s="4">
        <f ca="1">_xll.DBRW($B$1,$B$2,$B$7,$B$3,$B$4,$B$5,$F325,$B$6,L$10,$A325,$B325)</f>
        <v>5088.1669302560822</v>
      </c>
      <c r="M325" s="4">
        <f ca="1">_xll.DBRW($B$1,$B$2,$B$7,$B$3,$B$4,$B$5,$F325,$B$6,M$10,$A325,$B325)</f>
        <v>5637.7060323042897</v>
      </c>
      <c r="N325" s="4">
        <f ca="1">_xll.DBRW($B$1,$B$2,$B$7,$B$3,$B$4,$B$5,$F325,$B$6,N$10,$A325,$B325)</f>
        <v>5385.2368766176651</v>
      </c>
      <c r="O325" s="4">
        <f ca="1">_xll.DBRW($B$1,$B$2,$B$7,$B$3,$B$4,$B$5,$F325,$B$6,O$10,$A325,$B325)</f>
        <v>4840.4785077053202</v>
      </c>
      <c r="P325" s="4">
        <f ca="1">_xll.DBRW($B$1,$B$2,$B$7,$B$3,$B$4,$B$5,$F325,$B$6,P$10,$A325,$B325)</f>
        <v>4740.2928769551181</v>
      </c>
      <c r="Q325" s="4">
        <f ca="1">_xll.DBRW($B$1,$B$2,$B$7,$B$3,$B$4,$B$5,$F325,$B$6,Q$10,$A325,$B325)</f>
        <v>5503.0953844621763</v>
      </c>
      <c r="R325" s="4">
        <f ca="1">_xll.DBRW($B$1,$B$2,$B$7,$B$3,$B$4,$B$5,$F325,$B$6,R$10,$A325,$B325)</f>
        <v>8292.363618332216</v>
      </c>
      <c r="S325" s="4">
        <f ca="1">_xll.DBRW($B$1,$B$2,$B$7,$B$3,$B$4,$B$5,$F325,$B$6,S$10,$A325,$B325)</f>
        <v>7922.2572365424448</v>
      </c>
      <c r="T325" s="4">
        <f ca="1">_xll.DBRW($B$1,$B$2,$B$7,$B$3,$B$4,$B$5,$F325,$B$6,T$10,$A325,$B325)</f>
        <v>9694.8145366679073</v>
      </c>
      <c r="U325" s="4">
        <f ca="1">_xll.DBRW($B$1,$B$2,$B$7,$B$3,$B$4,$B$5,$F325,$B$6,U$10,$A325,$B325)</f>
        <v>8779.7188032154463</v>
      </c>
      <c r="V325" s="4">
        <f ca="1">_xll.DBRW($B$1,$B$2,$B$7,$B$3,$B$4,$B$5,$F325,$B$6,V$10,$A325,$B325)</f>
        <v>8636.9418078326325</v>
      </c>
      <c r="W325" s="4">
        <f ca="1">_xll.DBRW($B$1,$B$2,$B$7,$B$3,$B$4,$B$5,$F325,$B$6,W$10,$A325,$B325)</f>
        <v>4805.3607996816399</v>
      </c>
      <c r="X325" s="4">
        <f ca="1">_xll.DBRW($B$1,$B$2,$B$7,$B$3,$B$4,$B$5,$F325,$B$6,X$10,$A325,$B325)</f>
        <v>5262.3827155914596</v>
      </c>
      <c r="Y325" s="4">
        <f ca="1">_xll.DBRW($B$1,$B$2,$B$7,$B$3,$B$4,$B$5,$F325,$B$6,Y$10,$A325,$B325)</f>
        <v>5745.163872855499</v>
      </c>
      <c r="Z325" s="4">
        <f ca="1">_xll.DBRW($B$1,$B$2,$B$7,$B$3,$B$4,$B$5,$F325,$B$6,Z$10,$A325,$B325)</f>
        <v>5896.4804272195843</v>
      </c>
      <c r="AA325" s="4">
        <f ca="1">_xll.DBRW($B$1,$B$2,$B$7,$B$3,$B$4,$B$5,$F325,$B$6,AA$10,$A325,$B325)</f>
        <v>5211.2927083231125</v>
      </c>
      <c r="AB325" s="4">
        <f ca="1">_xll.DBRW($B$1,$B$2,$B$7,$B$3,$B$4,$B$5,$F325,$B$6,AB$10,$A325,$B325)</f>
        <v>5195.3777599089162</v>
      </c>
      <c r="AC325" s="4">
        <f ca="1">_xll.DBRW($B$1,$B$2,$B$7,$B$3,$B$4,$B$5,$F325,$B$6,AC$10,$A325,$B325)</f>
        <v>5774.2980477533993</v>
      </c>
      <c r="AD325" s="4">
        <f ca="1">_xll.DBRW($B$1,$B$2,$B$7,$B$3,$B$4,$B$5,$F325,$B$6,AD$10,$A325,$B325)</f>
        <v>8682.4918426358036</v>
      </c>
      <c r="AE325" s="4">
        <f ca="1">_xll.DBRW($B$1,$B$2,$B$7,$B$3,$B$4,$B$5,$F325,$B$6,AE$10,$A325,$B325)</f>
        <v>8388.474494111475</v>
      </c>
    </row>
    <row r="326" spans="1:31">
      <c r="A326" s="1" t="s">
        <v>151</v>
      </c>
      <c r="B326" s="5" t="s">
        <v>266</v>
      </c>
      <c r="C326" s="5" t="s">
        <v>267</v>
      </c>
      <c r="D326" s="5" t="s">
        <v>265</v>
      </c>
      <c r="E326" s="5" t="s">
        <v>21</v>
      </c>
      <c r="F326" s="5" t="s">
        <v>25</v>
      </c>
      <c r="G326" s="6"/>
      <c r="H326" s="6"/>
      <c r="I326" s="6"/>
      <c r="J326" s="6"/>
      <c r="K326" s="6"/>
      <c r="L326" s="4">
        <f ca="1">_xll.DBRW($B$1,$B$2,$B$7,$B$3,$B$4,$B$5,$F326,$B$6,L$10,$A326,$B326)</f>
        <v>5088.1669302560822</v>
      </c>
      <c r="M326" s="4">
        <f ca="1">_xll.DBRW($B$1,$B$2,$B$7,$B$3,$B$4,$B$5,$F326,$B$6,M$10,$A326,$B326)</f>
        <v>5637.7060323042897</v>
      </c>
      <c r="N326" s="4">
        <f ca="1">_xll.DBRW($B$1,$B$2,$B$7,$B$3,$B$4,$B$5,$F326,$B$6,N$10,$A326,$B326)</f>
        <v>5385.2368766176651</v>
      </c>
      <c r="O326" s="4">
        <f ca="1">_xll.DBRW($B$1,$B$2,$B$7,$B$3,$B$4,$B$5,$F326,$B$6,O$10,$A326,$B326)</f>
        <v>4840.4785077053202</v>
      </c>
      <c r="P326" s="4">
        <f ca="1">_xll.DBRW($B$1,$B$2,$B$7,$B$3,$B$4,$B$5,$F326,$B$6,P$10,$A326,$B326)</f>
        <v>4740.2928769551181</v>
      </c>
      <c r="Q326" s="4">
        <f ca="1">_xll.DBRW($B$1,$B$2,$B$7,$B$3,$B$4,$B$5,$F326,$B$6,Q$10,$A326,$B326)</f>
        <v>5503.0953844621763</v>
      </c>
      <c r="R326" s="4">
        <f ca="1">_xll.DBRW($B$1,$B$2,$B$7,$B$3,$B$4,$B$5,$F326,$B$6,R$10,$A326,$B326)</f>
        <v>8292.363618332216</v>
      </c>
      <c r="S326" s="4">
        <f ca="1">_xll.DBRW($B$1,$B$2,$B$7,$B$3,$B$4,$B$5,$F326,$B$6,S$10,$A326,$B326)</f>
        <v>7922.2572365424448</v>
      </c>
      <c r="T326" s="4">
        <f ca="1">_xll.DBRW($B$1,$B$2,$B$7,$B$3,$B$4,$B$5,$F326,$B$6,T$10,$A326,$B326)</f>
        <v>9694.8145366679073</v>
      </c>
      <c r="U326" s="4">
        <f ca="1">_xll.DBRW($B$1,$B$2,$B$7,$B$3,$B$4,$B$5,$F326,$B$6,U$10,$A326,$B326)</f>
        <v>8779.7188032154463</v>
      </c>
      <c r="V326" s="4">
        <f ca="1">_xll.DBRW($B$1,$B$2,$B$7,$B$3,$B$4,$B$5,$F326,$B$6,V$10,$A326,$B326)</f>
        <v>8636.9418078326325</v>
      </c>
      <c r="W326" s="4">
        <f ca="1">_xll.DBRW($B$1,$B$2,$B$7,$B$3,$B$4,$B$5,$F326,$B$6,W$10,$A326,$B326)</f>
        <v>4805.3607996816399</v>
      </c>
      <c r="X326" s="4">
        <f ca="1">_xll.DBRW($B$1,$B$2,$B$7,$B$3,$B$4,$B$5,$F326,$B$6,X$10,$A326,$B326)</f>
        <v>5262.3827155914596</v>
      </c>
      <c r="Y326" s="4">
        <f ca="1">_xll.DBRW($B$1,$B$2,$B$7,$B$3,$B$4,$B$5,$F326,$B$6,Y$10,$A326,$B326)</f>
        <v>5745.163872855499</v>
      </c>
      <c r="Z326" s="4">
        <f ca="1">_xll.DBRW($B$1,$B$2,$B$7,$B$3,$B$4,$B$5,$F326,$B$6,Z$10,$A326,$B326)</f>
        <v>5896.4804272195843</v>
      </c>
      <c r="AA326" s="4">
        <f ca="1">_xll.DBRW($B$1,$B$2,$B$7,$B$3,$B$4,$B$5,$F326,$B$6,AA$10,$A326,$B326)</f>
        <v>5211.2927083231125</v>
      </c>
      <c r="AB326" s="4">
        <f ca="1">_xll.DBRW($B$1,$B$2,$B$7,$B$3,$B$4,$B$5,$F326,$B$6,AB$10,$A326,$B326)</f>
        <v>5195.3777599089162</v>
      </c>
      <c r="AC326" s="4">
        <f ca="1">_xll.DBRW($B$1,$B$2,$B$7,$B$3,$B$4,$B$5,$F326,$B$6,AC$10,$A326,$B326)</f>
        <v>5774.2980477533993</v>
      </c>
      <c r="AD326" s="4">
        <f ca="1">_xll.DBRW($B$1,$B$2,$B$7,$B$3,$B$4,$B$5,$F326,$B$6,AD$10,$A326,$B326)</f>
        <v>8682.4918426358036</v>
      </c>
      <c r="AE326" s="4">
        <f ca="1">_xll.DBRW($B$1,$B$2,$B$7,$B$3,$B$4,$B$5,$F326,$B$6,AE$10,$A326,$B326)</f>
        <v>8388.474494111475</v>
      </c>
    </row>
    <row r="327" spans="1:31">
      <c r="A327" s="1" t="s">
        <v>151</v>
      </c>
      <c r="B327" s="5" t="s">
        <v>268</v>
      </c>
      <c r="C327" s="5" t="s">
        <v>264</v>
      </c>
      <c r="D327" s="5" t="s">
        <v>21</v>
      </c>
      <c r="E327" s="5" t="s">
        <v>265</v>
      </c>
      <c r="F327" s="5" t="s">
        <v>25</v>
      </c>
      <c r="G327" s="6"/>
      <c r="H327" s="6"/>
      <c r="I327" s="6"/>
      <c r="J327" s="6"/>
      <c r="K327" s="6"/>
      <c r="L327" s="4">
        <f ca="1">_xll.DBRW($B$1,$B$2,$B$7,$B$3,$B$4,$B$5,$F327,$B$6,L$10,$A327,$B327)</f>
        <v>8612.7825642355547</v>
      </c>
      <c r="M327" s="4">
        <f ca="1">_xll.DBRW($B$1,$B$2,$B$7,$B$3,$B$4,$B$5,$F327,$B$6,M$10,$A327,$B327)</f>
        <v>9542.9919817650734</v>
      </c>
      <c r="N327" s="4">
        <f ca="1">_xll.DBRW($B$1,$B$2,$B$7,$B$3,$B$4,$B$5,$F327,$B$6,N$10,$A327,$B327)</f>
        <v>9115.6353380246946</v>
      </c>
      <c r="O327" s="4">
        <f ca="1">_xll.DBRW($B$1,$B$2,$B$7,$B$3,$B$4,$B$5,$F327,$B$6,O$10,$A327,$B327)</f>
        <v>8193.5183073136941</v>
      </c>
      <c r="P327" s="4">
        <f ca="1">_xll.DBRW($B$1,$B$2,$B$7,$B$3,$B$4,$B$5,$F327,$B$6,P$10,$A327,$B327)</f>
        <v>8023.9332552625701</v>
      </c>
      <c r="Q327" s="4">
        <f ca="1">_xll.DBRW($B$1,$B$2,$B$7,$B$3,$B$4,$B$5,$F327,$B$6,Q$10,$A327,$B327)</f>
        <v>8418.6314407621903</v>
      </c>
      <c r="R327" s="4">
        <f ca="1">_xll.DBRW($B$1,$B$2,$B$7,$B$3,$B$4,$B$5,$F327,$B$6,R$10,$A327,$B327)</f>
        <v>8610.2817123257828</v>
      </c>
      <c r="S327" s="4">
        <f ca="1">_xll.DBRW($B$1,$B$2,$B$7,$B$3,$B$4,$B$5,$F327,$B$6,S$10,$A327,$B327)</f>
        <v>8292.6484839652076</v>
      </c>
      <c r="T327" s="4">
        <f ca="1">_xll.DBRW($B$1,$B$2,$B$7,$B$3,$B$4,$B$5,$F327,$B$6,T$10,$A327,$B327)</f>
        <v>5939.6331572050813</v>
      </c>
      <c r="U327" s="4">
        <f ca="1">_xll.DBRW($B$1,$B$2,$B$7,$B$3,$B$4,$B$5,$F327,$B$6,U$10,$A327,$B327)</f>
        <v>5400.4311540144436</v>
      </c>
      <c r="V327" s="4">
        <f ca="1">_xll.DBRW($B$1,$B$2,$B$7,$B$3,$B$4,$B$5,$F327,$B$6,V$10,$A327,$B327)</f>
        <v>5683.6177543764752</v>
      </c>
      <c r="W327" s="4">
        <f ca="1">_xll.DBRW($B$1,$B$2,$B$7,$B$3,$B$4,$B$5,$F327,$B$6,W$10,$A327,$B327)</f>
        <v>8134.0742702944426</v>
      </c>
      <c r="X327" s="4">
        <f ca="1">_xll.DBRW($B$1,$B$2,$B$7,$B$3,$B$4,$B$5,$F327,$B$6,X$10,$A327,$B327)</f>
        <v>8907.6790758709612</v>
      </c>
      <c r="Y327" s="4">
        <f ca="1">_xll.DBRW($B$1,$B$2,$B$7,$B$3,$B$4,$B$5,$F327,$B$6,Y$10,$A327,$B327)</f>
        <v>9724.8867639481123</v>
      </c>
      <c r="Z327" s="4">
        <f ca="1">_xll.DBRW($B$1,$B$2,$B$7,$B$3,$B$4,$B$5,$F327,$B$6,Z$10,$A327,$B327)</f>
        <v>9981.0215564914852</v>
      </c>
      <c r="AA327" s="4">
        <f ca="1">_xll.DBRW($B$1,$B$2,$B$7,$B$3,$B$4,$B$5,$F327,$B$6,AA$10,$A327,$B327)</f>
        <v>8821.198594817768</v>
      </c>
      <c r="AB327" s="4">
        <f ca="1">_xll.DBRW($B$1,$B$2,$B$7,$B$3,$B$4,$B$5,$F327,$B$6,AB$10,$A327,$B327)</f>
        <v>8794.2592290124867</v>
      </c>
      <c r="AC327" s="4">
        <f ca="1">_xll.DBRW($B$1,$B$2,$B$7,$B$3,$B$4,$B$5,$F327,$B$6,AC$10,$A327,$B327)</f>
        <v>8043.2677160673093</v>
      </c>
      <c r="AD327" s="4">
        <f ca="1">_xll.DBRW($B$1,$B$2,$B$7,$B$3,$B$4,$B$5,$F327,$B$6,AD$10,$A327,$B327)</f>
        <v>5326.001385898001</v>
      </c>
      <c r="AE327" s="4">
        <f ca="1">_xll.DBRW($B$1,$B$2,$B$7,$B$3,$B$4,$B$5,$F327,$B$6,AE$10,$A327,$B327)</f>
        <v>5187.3454741767791</v>
      </c>
    </row>
    <row r="328" spans="1:31">
      <c r="A328" s="1" t="s">
        <v>151</v>
      </c>
      <c r="B328" s="5" t="s">
        <v>269</v>
      </c>
      <c r="C328" s="5" t="s">
        <v>267</v>
      </c>
      <c r="D328" s="5" t="s">
        <v>265</v>
      </c>
      <c r="E328" s="5" t="s">
        <v>21</v>
      </c>
      <c r="F328" s="5" t="s">
        <v>25</v>
      </c>
      <c r="G328" s="6"/>
      <c r="H328" s="6"/>
      <c r="I328" s="6"/>
      <c r="J328" s="6"/>
      <c r="K328" s="6"/>
      <c r="L328" s="4">
        <f ca="1">_xll.DBRW($B$1,$B$2,$B$7,$B$3,$B$4,$B$5,$F328,$B$6,L$10,$A328,$B328)</f>
        <v>8612.7825642355547</v>
      </c>
      <c r="M328" s="4">
        <f ca="1">_xll.DBRW($B$1,$B$2,$B$7,$B$3,$B$4,$B$5,$F328,$B$6,M$10,$A328,$B328)</f>
        <v>9542.9919817650734</v>
      </c>
      <c r="N328" s="4">
        <f ca="1">_xll.DBRW($B$1,$B$2,$B$7,$B$3,$B$4,$B$5,$F328,$B$6,N$10,$A328,$B328)</f>
        <v>9115.6353380246946</v>
      </c>
      <c r="O328" s="4">
        <f ca="1">_xll.DBRW($B$1,$B$2,$B$7,$B$3,$B$4,$B$5,$F328,$B$6,O$10,$A328,$B328)</f>
        <v>8193.5183073136941</v>
      </c>
      <c r="P328" s="4">
        <f ca="1">_xll.DBRW($B$1,$B$2,$B$7,$B$3,$B$4,$B$5,$F328,$B$6,P$10,$A328,$B328)</f>
        <v>8023.9332552625701</v>
      </c>
      <c r="Q328" s="4">
        <f ca="1">_xll.DBRW($B$1,$B$2,$B$7,$B$3,$B$4,$B$5,$F328,$B$6,Q$10,$A328,$B328)</f>
        <v>8418.6314407621903</v>
      </c>
      <c r="R328" s="4">
        <f ca="1">_xll.DBRW($B$1,$B$2,$B$7,$B$3,$B$4,$B$5,$F328,$B$6,R$10,$A328,$B328)</f>
        <v>8610.2817123257828</v>
      </c>
      <c r="S328" s="4">
        <f ca="1">_xll.DBRW($B$1,$B$2,$B$7,$B$3,$B$4,$B$5,$F328,$B$6,S$10,$A328,$B328)</f>
        <v>8292.6484839652076</v>
      </c>
      <c r="T328" s="4">
        <f ca="1">_xll.DBRW($B$1,$B$2,$B$7,$B$3,$B$4,$B$5,$F328,$B$6,T$10,$A328,$B328)</f>
        <v>5939.6331572050813</v>
      </c>
      <c r="U328" s="4">
        <f ca="1">_xll.DBRW($B$1,$B$2,$B$7,$B$3,$B$4,$B$5,$F328,$B$6,U$10,$A328,$B328)</f>
        <v>5400.4311540144436</v>
      </c>
      <c r="V328" s="4">
        <f ca="1">_xll.DBRW($B$1,$B$2,$B$7,$B$3,$B$4,$B$5,$F328,$B$6,V$10,$A328,$B328)</f>
        <v>5683.6177543764752</v>
      </c>
      <c r="W328" s="4">
        <f ca="1">_xll.DBRW($B$1,$B$2,$B$7,$B$3,$B$4,$B$5,$F328,$B$6,W$10,$A328,$B328)</f>
        <v>8134.0742702944426</v>
      </c>
      <c r="X328" s="4">
        <f ca="1">_xll.DBRW($B$1,$B$2,$B$7,$B$3,$B$4,$B$5,$F328,$B$6,X$10,$A328,$B328)</f>
        <v>8907.6790758709612</v>
      </c>
      <c r="Y328" s="4">
        <f ca="1">_xll.DBRW($B$1,$B$2,$B$7,$B$3,$B$4,$B$5,$F328,$B$6,Y$10,$A328,$B328)</f>
        <v>9724.8867639481123</v>
      </c>
      <c r="Z328" s="4">
        <f ca="1">_xll.DBRW($B$1,$B$2,$B$7,$B$3,$B$4,$B$5,$F328,$B$6,Z$10,$A328,$B328)</f>
        <v>9981.0215564914852</v>
      </c>
      <c r="AA328" s="4">
        <f ca="1">_xll.DBRW($B$1,$B$2,$B$7,$B$3,$B$4,$B$5,$F328,$B$6,AA$10,$A328,$B328)</f>
        <v>8821.198594817768</v>
      </c>
      <c r="AB328" s="4">
        <f ca="1">_xll.DBRW($B$1,$B$2,$B$7,$B$3,$B$4,$B$5,$F328,$B$6,AB$10,$A328,$B328)</f>
        <v>8794.2592290124867</v>
      </c>
      <c r="AC328" s="4">
        <f ca="1">_xll.DBRW($B$1,$B$2,$B$7,$B$3,$B$4,$B$5,$F328,$B$6,AC$10,$A328,$B328)</f>
        <v>7876.8014660419876</v>
      </c>
      <c r="AD328" s="4">
        <f ca="1">_xll.DBRW($B$1,$B$2,$B$7,$B$3,$B$4,$B$5,$F328,$B$6,AD$10,$A328,$B328)</f>
        <v>5326.001385898001</v>
      </c>
      <c r="AE328" s="4">
        <f ca="1">_xll.DBRW($B$1,$B$2,$B$7,$B$3,$B$4,$B$5,$F328,$B$6,AE$10,$A328,$B328)</f>
        <v>5187.3454741767791</v>
      </c>
    </row>
    <row r="329" spans="1:31">
      <c r="A329" s="1" t="s">
        <v>151</v>
      </c>
      <c r="B329" s="5" t="s">
        <v>270</v>
      </c>
      <c r="C329" s="5" t="s">
        <v>271</v>
      </c>
      <c r="D329" s="5" t="s">
        <v>21</v>
      </c>
      <c r="E329" s="5" t="s">
        <v>272</v>
      </c>
      <c r="F329" s="5" t="s">
        <v>25</v>
      </c>
      <c r="G329" s="6"/>
      <c r="H329" s="6"/>
      <c r="I329" s="6"/>
      <c r="J329" s="6"/>
      <c r="K329" s="6"/>
      <c r="L329" s="4">
        <f ca="1">_xll.DBRW($B$1,$B$2,$B$7,$B$3,$B$4,$B$5,$F329,$B$6,L$10,$A329,$B329)</f>
        <v>5207.888505085637</v>
      </c>
      <c r="M329" s="4">
        <f ca="1">_xll.DBRW($B$1,$B$2,$B$7,$B$3,$B$4,$B$5,$F329,$B$6,M$10,$A329,$B329)</f>
        <v>5520.2538232979496</v>
      </c>
      <c r="N329" s="4">
        <f ca="1">_xll.DBRW($B$1,$B$2,$B$7,$B$3,$B$4,$B$5,$F329,$B$6,N$10,$A329,$B329)</f>
        <v>4667.2052930686432</v>
      </c>
      <c r="O329" s="4">
        <f ca="1">_xll.DBRW($B$1,$B$2,$B$7,$B$3,$B$4,$B$5,$F329,$B$6,O$10,$A329,$B329)</f>
        <v>5019.7554894721825</v>
      </c>
      <c r="P329" s="4">
        <f ca="1">_xll.DBRW($B$1,$B$2,$B$7,$B$3,$B$4,$B$5,$F329,$B$6,P$10,$A329,$B329)</f>
        <v>4682.4844272361543</v>
      </c>
      <c r="Q329" s="4">
        <f ca="1">_xll.DBRW($B$1,$B$2,$B$7,$B$3,$B$4,$B$5,$F329,$B$6,Q$10,$A329,$B329)</f>
        <v>4480.6222132678104</v>
      </c>
      <c r="R329" s="4">
        <f ca="1">_xll.DBRW($B$1,$B$2,$B$7,$B$3,$B$4,$B$5,$F329,$B$6,R$10,$A329,$B329)</f>
        <v>4046.2302871908569</v>
      </c>
      <c r="S329" s="4">
        <f ca="1">_xll.DBRW($B$1,$B$2,$B$7,$B$3,$B$4,$B$5,$F329,$B$6,S$10,$A329,$B329)</f>
        <v>4899.0415659117552</v>
      </c>
      <c r="T329" s="4">
        <f ca="1">_xll.DBRW($B$1,$B$2,$B$7,$B$3,$B$4,$B$5,$F329,$B$6,T$10,$A329,$B329)</f>
        <v>4793.9826195041478</v>
      </c>
      <c r="U329" s="4">
        <f ca="1">_xll.DBRW($B$1,$B$2,$B$7,$B$3,$B$4,$B$5,$F329,$B$6,U$10,$A329,$B329)</f>
        <v>4430.7766811916772</v>
      </c>
      <c r="V329" s="4">
        <f ca="1">_xll.DBRW($B$1,$B$2,$B$7,$B$3,$B$4,$B$5,$F329,$B$6,V$10,$A329,$B329)</f>
        <v>4655.8323280895193</v>
      </c>
      <c r="W329" s="4">
        <f ca="1">_xll.DBRW($B$1,$B$2,$B$7,$B$3,$B$4,$B$5,$F329,$B$6,W$10,$A329,$B329)</f>
        <v>4909.1475612308996</v>
      </c>
      <c r="X329" s="4">
        <f ca="1">_xll.DBRW($B$1,$B$2,$B$7,$B$3,$B$4,$B$5,$F329,$B$6,X$10,$A329,$B329)</f>
        <v>4938.8938712569106</v>
      </c>
      <c r="Y329" s="4">
        <f ca="1">_xll.DBRW($B$1,$B$2,$B$7,$B$3,$B$4,$B$5,$F329,$B$6,Y$10,$A329,$B329)</f>
        <v>5016.1103474060792</v>
      </c>
      <c r="Z329" s="4">
        <f ca="1">_xll.DBRW($B$1,$B$2,$B$7,$B$3,$B$4,$B$5,$F329,$B$6,Z$10,$A329,$B329)</f>
        <v>4898.5423875588276</v>
      </c>
      <c r="AA329" s="4">
        <f ca="1">_xll.DBRW($B$1,$B$2,$B$7,$B$3,$B$4,$B$5,$F329,$B$6,AA$10,$A329,$B329)</f>
        <v>5266.8217862008205</v>
      </c>
      <c r="AB329" s="4">
        <f ca="1">_xll.DBRW($B$1,$B$2,$B$7,$B$3,$B$4,$B$5,$F329,$B$6,AB$10,$A329,$B329)</f>
        <v>4888.1875844530723</v>
      </c>
      <c r="AC329" s="4">
        <f ca="1">_xll.DBRW($B$1,$B$2,$B$7,$B$3,$B$4,$B$5,$F329,$B$6,AC$10,$A329,$B329)</f>
        <v>5282.3518627936319</v>
      </c>
      <c r="AD329" s="4">
        <f ca="1">_xll.DBRW($B$1,$B$2,$B$7,$B$3,$B$4,$B$5,$F329,$B$6,AD$10,$A329,$B329)</f>
        <v>5202.1780965341641</v>
      </c>
      <c r="AE329" s="4">
        <f ca="1">_xll.DBRW($B$1,$B$2,$B$7,$B$3,$B$4,$B$5,$F329,$B$6,AE$10,$A329,$B329)</f>
        <v>5320.3574820823915</v>
      </c>
    </row>
    <row r="330" spans="1:31">
      <c r="A330" s="1" t="s">
        <v>151</v>
      </c>
      <c r="B330" s="5" t="s">
        <v>273</v>
      </c>
      <c r="C330" s="5" t="s">
        <v>274</v>
      </c>
      <c r="D330" s="5" t="s">
        <v>272</v>
      </c>
      <c r="E330" s="5" t="s">
        <v>21</v>
      </c>
      <c r="F330" s="5" t="s">
        <v>25</v>
      </c>
      <c r="G330" s="6"/>
      <c r="H330" s="6"/>
      <c r="I330" s="6"/>
      <c r="J330" s="6"/>
      <c r="K330" s="6"/>
      <c r="L330" s="4">
        <f ca="1">_xll.DBRW($B$1,$B$2,$B$7,$B$3,$B$4,$B$5,$F330,$B$6,L$10,$A330,$B330)</f>
        <v>5207.888505085637</v>
      </c>
      <c r="M330" s="4">
        <f ca="1">_xll.DBRW($B$1,$B$2,$B$7,$B$3,$B$4,$B$5,$F330,$B$6,M$10,$A330,$B330)</f>
        <v>5520.2538232979496</v>
      </c>
      <c r="N330" s="4">
        <f ca="1">_xll.DBRW($B$1,$B$2,$B$7,$B$3,$B$4,$B$5,$F330,$B$6,N$10,$A330,$B330)</f>
        <v>4667.2052930686432</v>
      </c>
      <c r="O330" s="4">
        <f ca="1">_xll.DBRW($B$1,$B$2,$B$7,$B$3,$B$4,$B$5,$F330,$B$6,O$10,$A330,$B330)</f>
        <v>5019.7554894721825</v>
      </c>
      <c r="P330" s="4">
        <f ca="1">_xll.DBRW($B$1,$B$2,$B$7,$B$3,$B$4,$B$5,$F330,$B$6,P$10,$A330,$B330)</f>
        <v>4682.4844272361543</v>
      </c>
      <c r="Q330" s="4">
        <f ca="1">_xll.DBRW($B$1,$B$2,$B$7,$B$3,$B$4,$B$5,$F330,$B$6,Q$10,$A330,$B330)</f>
        <v>4480.6222132678104</v>
      </c>
      <c r="R330" s="4">
        <f ca="1">_xll.DBRW($B$1,$B$2,$B$7,$B$3,$B$4,$B$5,$F330,$B$6,R$10,$A330,$B330)</f>
        <v>4046.2302871908569</v>
      </c>
      <c r="S330" s="4">
        <f ca="1">_xll.DBRW($B$1,$B$2,$B$7,$B$3,$B$4,$B$5,$F330,$B$6,S$10,$A330,$B330)</f>
        <v>4899.0415659117552</v>
      </c>
      <c r="T330" s="4">
        <f ca="1">_xll.DBRW($B$1,$B$2,$B$7,$B$3,$B$4,$B$5,$F330,$B$6,T$10,$A330,$B330)</f>
        <v>4793.9826195041478</v>
      </c>
      <c r="U330" s="4">
        <f ca="1">_xll.DBRW($B$1,$B$2,$B$7,$B$3,$B$4,$B$5,$F330,$B$6,U$10,$A330,$B330)</f>
        <v>4430.7766811916772</v>
      </c>
      <c r="V330" s="4">
        <f ca="1">_xll.DBRW($B$1,$B$2,$B$7,$B$3,$B$4,$B$5,$F330,$B$6,V$10,$A330,$B330)</f>
        <v>4655.8323280895193</v>
      </c>
      <c r="W330" s="4">
        <f ca="1">_xll.DBRW($B$1,$B$2,$B$7,$B$3,$B$4,$B$5,$F330,$B$6,W$10,$A330,$B330)</f>
        <v>4909.1475612308996</v>
      </c>
      <c r="X330" s="4">
        <f ca="1">_xll.DBRW($B$1,$B$2,$B$7,$B$3,$B$4,$B$5,$F330,$B$6,X$10,$A330,$B330)</f>
        <v>4938.8938712569106</v>
      </c>
      <c r="Y330" s="4">
        <f ca="1">_xll.DBRW($B$1,$B$2,$B$7,$B$3,$B$4,$B$5,$F330,$B$6,Y$10,$A330,$B330)</f>
        <v>5016.1103474060792</v>
      </c>
      <c r="Z330" s="4">
        <f ca="1">_xll.DBRW($B$1,$B$2,$B$7,$B$3,$B$4,$B$5,$F330,$B$6,Z$10,$A330,$B330)</f>
        <v>4898.5423875588276</v>
      </c>
      <c r="AA330" s="4">
        <f ca="1">_xll.DBRW($B$1,$B$2,$B$7,$B$3,$B$4,$B$5,$F330,$B$6,AA$10,$A330,$B330)</f>
        <v>5266.8217862008205</v>
      </c>
      <c r="AB330" s="4">
        <f ca="1">_xll.DBRW($B$1,$B$2,$B$7,$B$3,$B$4,$B$5,$F330,$B$6,AB$10,$A330,$B330)</f>
        <v>4888.1875844530723</v>
      </c>
      <c r="AC330" s="4">
        <f ca="1">_xll.DBRW($B$1,$B$2,$B$7,$B$3,$B$4,$B$5,$F330,$B$6,AC$10,$A330,$B330)</f>
        <v>5111.9534156067411</v>
      </c>
      <c r="AD330" s="4">
        <f ca="1">_xll.DBRW($B$1,$B$2,$B$7,$B$3,$B$4,$B$5,$F330,$B$6,AD$10,$A330,$B330)</f>
        <v>5202.1780965341641</v>
      </c>
      <c r="AE330" s="4">
        <f ca="1">_xll.DBRW($B$1,$B$2,$B$7,$B$3,$B$4,$B$5,$F330,$B$6,AE$10,$A330,$B330)</f>
        <v>5320.3574820823915</v>
      </c>
    </row>
    <row r="331" spans="1:31">
      <c r="A331" s="1" t="s">
        <v>151</v>
      </c>
      <c r="B331" s="5" t="s">
        <v>275</v>
      </c>
      <c r="C331" s="5" t="s">
        <v>276</v>
      </c>
      <c r="D331" s="5" t="s">
        <v>21</v>
      </c>
      <c r="E331" s="5" t="s">
        <v>277</v>
      </c>
      <c r="F331" s="5" t="s">
        <v>25</v>
      </c>
      <c r="G331" s="6"/>
      <c r="H331" s="6"/>
      <c r="I331" s="6"/>
      <c r="J331" s="6"/>
      <c r="K331" s="6"/>
      <c r="L331" s="4">
        <f ca="1">_xll.DBRW($B$1,$B$2,$B$7,$B$3,$B$4,$B$5,$F331,$B$6,L$10,$A331,$B331)</f>
        <v>5267.7492925004135</v>
      </c>
      <c r="M331" s="4">
        <f ca="1">_xll.DBRW($B$1,$B$2,$B$7,$B$3,$B$4,$B$5,$F331,$B$6,M$10,$A331,$B331)</f>
        <v>5578.9799278011196</v>
      </c>
      <c r="N331" s="4">
        <f ca="1">_xll.DBRW($B$1,$B$2,$B$7,$B$3,$B$4,$B$5,$F331,$B$6,N$10,$A331,$B331)</f>
        <v>5445.0728419134157</v>
      </c>
      <c r="O331" s="4">
        <f ca="1">_xll.DBRW($B$1,$B$2,$B$7,$B$3,$B$4,$B$5,$F331,$B$6,O$10,$A331,$B331)</f>
        <v>5019.7554894721825</v>
      </c>
      <c r="P331" s="4">
        <f ca="1">_xll.DBRW($B$1,$B$2,$B$7,$B$3,$B$4,$B$5,$F331,$B$6,P$10,$A331,$B331)</f>
        <v>4740.2928769551172</v>
      </c>
      <c r="Q331" s="4">
        <f ca="1">_xll.DBRW($B$1,$B$2,$B$7,$B$3,$B$4,$B$5,$F331,$B$6,Q$10,$A331,$B331)</f>
        <v>4301.3973247370968</v>
      </c>
      <c r="R331" s="4">
        <f ca="1">_xll.DBRW($B$1,$B$2,$B$7,$B$3,$B$4,$B$5,$F331,$B$6,R$10,$A331,$B331)</f>
        <v>4046.2302871908569</v>
      </c>
      <c r="S331" s="4">
        <f ca="1">_xll.DBRW($B$1,$B$2,$B$7,$B$3,$B$4,$B$5,$F331,$B$6,S$10,$A331,$B331)</f>
        <v>4779.5527472309795</v>
      </c>
      <c r="T331" s="4">
        <f ca="1">_xll.DBRW($B$1,$B$2,$B$7,$B$3,$B$4,$B$5,$F331,$B$6,T$10,$A331,$B331)</f>
        <v>10054.066542144019</v>
      </c>
      <c r="U331" s="4">
        <f ca="1">_xll.DBRW($B$1,$B$2,$B$7,$B$3,$B$4,$B$5,$F331,$B$6,U$10,$A331,$B331)</f>
        <v>8464.761021600938</v>
      </c>
      <c r="V331" s="4">
        <f ca="1">_xll.DBRW($B$1,$B$2,$B$7,$B$3,$B$4,$B$5,$F331,$B$6,V$10,$A331,$B331)</f>
        <v>8119.0078350403355</v>
      </c>
      <c r="W331" s="4">
        <f ca="1">_xll.DBRW($B$1,$B$2,$B$7,$B$3,$B$4,$B$5,$F331,$B$6,W$10,$A331,$B331)</f>
        <v>4962.7229849088035</v>
      </c>
      <c r="X331" s="4">
        <f ca="1">_xll.DBRW($B$1,$B$2,$B$7,$B$3,$B$4,$B$5,$F331,$B$6,X$10,$A331,$B331)</f>
        <v>5221.2877078491883</v>
      </c>
      <c r="Y331" s="4">
        <f ca="1">_xll.DBRW($B$1,$B$2,$B$7,$B$3,$B$4,$B$5,$F331,$B$6,Y$10,$A331,$B331)</f>
        <v>5694.1876027582039</v>
      </c>
      <c r="Z331" s="4">
        <f ca="1">_xll.DBRW($B$1,$B$2,$B$7,$B$3,$B$4,$B$5,$F331,$B$6,Z$10,$A331,$B331)</f>
        <v>5926.8667269516982</v>
      </c>
      <c r="AA331" s="4">
        <f ca="1">_xll.DBRW($B$1,$B$2,$B$7,$B$3,$B$4,$B$5,$F331,$B$6,AA$10,$A331,$B331)</f>
        <v>5218.5801197071269</v>
      </c>
      <c r="AB331" s="4">
        <f ca="1">_xll.DBRW($B$1,$B$2,$B$7,$B$3,$B$4,$B$5,$F331,$B$6,AB$10,$A331,$B331)</f>
        <v>4989.1920578954241</v>
      </c>
      <c r="AC331" s="4">
        <f ca="1">_xll.DBRW($B$1,$B$2,$B$7,$B$3,$B$4,$B$5,$F331,$B$6,AC$10,$A331,$B331)</f>
        <v>5276.7703688305628</v>
      </c>
      <c r="AD331" s="4">
        <f ca="1">_xll.DBRW($B$1,$B$2,$B$7,$B$3,$B$4,$B$5,$F331,$B$6,AD$10,$A331,$B331)</f>
        <v>7437.4224176637599</v>
      </c>
      <c r="AE331" s="4">
        <f ca="1">_xll.DBRW($B$1,$B$2,$B$7,$B$3,$B$4,$B$5,$F331,$B$6,AE$10,$A331,$B331)</f>
        <v>8393.4564295501259</v>
      </c>
    </row>
    <row r="332" spans="1:31">
      <c r="A332" s="1" t="s">
        <v>151</v>
      </c>
      <c r="B332" s="5" t="s">
        <v>278</v>
      </c>
      <c r="C332" s="5" t="s">
        <v>279</v>
      </c>
      <c r="D332" s="5" t="s">
        <v>277</v>
      </c>
      <c r="E332" s="5" t="s">
        <v>21</v>
      </c>
      <c r="F332" s="5" t="s">
        <v>25</v>
      </c>
      <c r="G332" s="6"/>
      <c r="H332" s="6"/>
      <c r="I332" s="6"/>
      <c r="J332" s="6"/>
      <c r="K332" s="6"/>
      <c r="L332" s="4">
        <f ca="1">_xll.DBRW($B$1,$B$2,$B$7,$B$3,$B$4,$B$5,$F332,$B$6,L$10,$A332,$B332)</f>
        <v>5267.7492925004135</v>
      </c>
      <c r="M332" s="4">
        <f ca="1">_xll.DBRW($B$1,$B$2,$B$7,$B$3,$B$4,$B$5,$F332,$B$6,M$10,$A332,$B332)</f>
        <v>5578.9799278011196</v>
      </c>
      <c r="N332" s="4">
        <f ca="1">_xll.DBRW($B$1,$B$2,$B$7,$B$3,$B$4,$B$5,$F332,$B$6,N$10,$A332,$B332)</f>
        <v>5445.0728419134157</v>
      </c>
      <c r="O332" s="4">
        <f ca="1">_xll.DBRW($B$1,$B$2,$B$7,$B$3,$B$4,$B$5,$F332,$B$6,O$10,$A332,$B332)</f>
        <v>5019.7554894721825</v>
      </c>
      <c r="P332" s="4">
        <f ca="1">_xll.DBRW($B$1,$B$2,$B$7,$B$3,$B$4,$B$5,$F332,$B$6,P$10,$A332,$B332)</f>
        <v>4740.2928769551172</v>
      </c>
      <c r="Q332" s="4">
        <f ca="1">_xll.DBRW($B$1,$B$2,$B$7,$B$3,$B$4,$B$5,$F332,$B$6,Q$10,$A332,$B332)</f>
        <v>4301.3973247370968</v>
      </c>
      <c r="R332" s="4">
        <f ca="1">_xll.DBRW($B$1,$B$2,$B$7,$B$3,$B$4,$B$5,$F332,$B$6,R$10,$A332,$B332)</f>
        <v>4046.2302871908569</v>
      </c>
      <c r="S332" s="4">
        <f ca="1">_xll.DBRW($B$1,$B$2,$B$7,$B$3,$B$4,$B$5,$F332,$B$6,S$10,$A332,$B332)</f>
        <v>4779.5527472309795</v>
      </c>
      <c r="T332" s="4">
        <f ca="1">_xll.DBRW($B$1,$B$2,$B$7,$B$3,$B$4,$B$5,$F332,$B$6,T$10,$A332,$B332)</f>
        <v>10054.066542144019</v>
      </c>
      <c r="U332" s="4">
        <f ca="1">_xll.DBRW($B$1,$B$2,$B$7,$B$3,$B$4,$B$5,$F332,$B$6,U$10,$A332,$B332)</f>
        <v>8464.761021600938</v>
      </c>
      <c r="V332" s="4">
        <f ca="1">_xll.DBRW($B$1,$B$2,$B$7,$B$3,$B$4,$B$5,$F332,$B$6,V$10,$A332,$B332)</f>
        <v>8119.0078350403355</v>
      </c>
      <c r="W332" s="4">
        <f ca="1">_xll.DBRW($B$1,$B$2,$B$7,$B$3,$B$4,$B$5,$F332,$B$6,W$10,$A332,$B332)</f>
        <v>4962.7229849088035</v>
      </c>
      <c r="X332" s="4">
        <f ca="1">_xll.DBRW($B$1,$B$2,$B$7,$B$3,$B$4,$B$5,$F332,$B$6,X$10,$A332,$B332)</f>
        <v>5221.2877078491883</v>
      </c>
      <c r="Y332" s="4">
        <f ca="1">_xll.DBRW($B$1,$B$2,$B$7,$B$3,$B$4,$B$5,$F332,$B$6,Y$10,$A332,$B332)</f>
        <v>5694.1876027582039</v>
      </c>
      <c r="Z332" s="4">
        <f ca="1">_xll.DBRW($B$1,$B$2,$B$7,$B$3,$B$4,$B$5,$F332,$B$6,Z$10,$A332,$B332)</f>
        <v>5926.8667269516982</v>
      </c>
      <c r="AA332" s="4">
        <f ca="1">_xll.DBRW($B$1,$B$2,$B$7,$B$3,$B$4,$B$5,$F332,$B$6,AA$10,$A332,$B332)</f>
        <v>5218.5801197071269</v>
      </c>
      <c r="AB332" s="4">
        <f ca="1">_xll.DBRW($B$1,$B$2,$B$7,$B$3,$B$4,$B$5,$F332,$B$6,AB$10,$A332,$B332)</f>
        <v>4989.1920578954241</v>
      </c>
      <c r="AC332" s="4">
        <f ca="1">_xll.DBRW($B$1,$B$2,$B$7,$B$3,$B$4,$B$5,$F332,$B$6,AC$10,$A332,$B332)</f>
        <v>5276.7703688305628</v>
      </c>
      <c r="AD332" s="4">
        <f ca="1">_xll.DBRW($B$1,$B$2,$B$7,$B$3,$B$4,$B$5,$F332,$B$6,AD$10,$A332,$B332)</f>
        <v>7437.4224176637599</v>
      </c>
      <c r="AE332" s="4">
        <f ca="1">_xll.DBRW($B$1,$B$2,$B$7,$B$3,$B$4,$B$5,$F332,$B$6,AE$10,$A332,$B332)</f>
        <v>8393.4564295501259</v>
      </c>
    </row>
    <row r="333" spans="1:31">
      <c r="A333" s="1" t="s">
        <v>151</v>
      </c>
      <c r="B333" s="5" t="s">
        <v>280</v>
      </c>
      <c r="C333" s="5" t="s">
        <v>276</v>
      </c>
      <c r="D333" s="5" t="s">
        <v>21</v>
      </c>
      <c r="E333" s="5" t="s">
        <v>277</v>
      </c>
      <c r="F333" s="5" t="s">
        <v>25</v>
      </c>
      <c r="G333" s="6"/>
      <c r="H333" s="6"/>
      <c r="I333" s="6"/>
      <c r="J333" s="6"/>
      <c r="K333" s="6"/>
      <c r="L333" s="4">
        <f ca="1">_xll.DBRW($B$1,$B$2,$B$7,$B$3,$B$4,$B$5,$F333,$B$6,L$10,$A333,$B333)</f>
        <v>0</v>
      </c>
      <c r="M333" s="4">
        <f ca="1">_xll.DBRW($B$1,$B$2,$B$7,$B$3,$B$4,$B$5,$F333,$B$6,M$10,$A333,$B333)</f>
        <v>0</v>
      </c>
      <c r="N333" s="4">
        <f ca="1">_xll.DBRW($B$1,$B$2,$B$7,$B$3,$B$4,$B$5,$F333,$B$6,N$10,$A333,$B333)</f>
        <v>0</v>
      </c>
      <c r="O333" s="4">
        <f ca="1">_xll.DBRW($B$1,$B$2,$B$7,$B$3,$B$4,$B$5,$F333,$B$6,O$10,$A333,$B333)</f>
        <v>0</v>
      </c>
      <c r="P333" s="4">
        <f ca="1">_xll.DBRW($B$1,$B$2,$B$7,$B$3,$B$4,$B$5,$F333,$B$6,P$10,$A333,$B333)</f>
        <v>0</v>
      </c>
      <c r="Q333" s="4">
        <f ca="1">_xll.DBRW($B$1,$B$2,$B$7,$B$3,$B$4,$B$5,$F333,$B$6,Q$10,$A333,$B333)</f>
        <v>1169.9999999999998</v>
      </c>
      <c r="R333" s="4">
        <f ca="1">_xll.DBRW($B$1,$B$2,$B$7,$B$3,$B$4,$B$5,$F333,$B$6,R$10,$A333,$B333)</f>
        <v>6636</v>
      </c>
      <c r="S333" s="4">
        <f ca="1">_xll.DBRW($B$1,$B$2,$B$7,$B$3,$B$4,$B$5,$F333,$B$6,S$10,$A333,$B333)</f>
        <v>8059.9999999999991</v>
      </c>
      <c r="T333" s="4">
        <f ca="1">_xll.DBRW($B$1,$B$2,$B$7,$B$3,$B$4,$B$5,$F333,$B$6,T$10,$A333,$B333)</f>
        <v>0</v>
      </c>
      <c r="U333" s="4">
        <f ca="1">_xll.DBRW($B$1,$B$2,$B$7,$B$3,$B$4,$B$5,$F333,$B$6,U$10,$A333,$B333)</f>
        <v>0</v>
      </c>
      <c r="V333" s="4">
        <f ca="1">_xll.DBRW($B$1,$B$2,$B$7,$B$3,$B$4,$B$5,$F333,$B$6,V$10,$A333,$B333)</f>
        <v>0</v>
      </c>
      <c r="W333" s="4">
        <f ca="1">_xll.DBRW($B$1,$B$2,$B$7,$B$3,$B$4,$B$5,$F333,$B$6,W$10,$A333,$B333)</f>
        <v>0</v>
      </c>
      <c r="X333" s="4">
        <f ca="1">_xll.DBRW($B$1,$B$2,$B$7,$B$3,$B$4,$B$5,$F333,$B$6,X$10,$A333,$B333)</f>
        <v>0</v>
      </c>
      <c r="Y333" s="4">
        <f ca="1">_xll.DBRW($B$1,$B$2,$B$7,$B$3,$B$4,$B$5,$F333,$B$6,Y$10,$A333,$B333)</f>
        <v>0</v>
      </c>
      <c r="Z333" s="4">
        <f ca="1">_xll.DBRW($B$1,$B$2,$B$7,$B$3,$B$4,$B$5,$F333,$B$6,Z$10,$A333,$B333)</f>
        <v>0</v>
      </c>
      <c r="AA333" s="4">
        <f ca="1">_xll.DBRW($B$1,$B$2,$B$7,$B$3,$B$4,$B$5,$F333,$B$6,AA$10,$A333,$B333)</f>
        <v>0</v>
      </c>
      <c r="AB333" s="4">
        <f ca="1">_xll.DBRW($B$1,$B$2,$B$7,$B$3,$B$4,$B$5,$F333,$B$6,AB$10,$A333,$B333)</f>
        <v>0</v>
      </c>
      <c r="AC333" s="4">
        <f ca="1">_xll.DBRW($B$1,$B$2,$B$7,$B$3,$B$4,$B$5,$F333,$B$6,AC$10,$A333,$B333)</f>
        <v>0</v>
      </c>
      <c r="AD333" s="4">
        <f ca="1">_xll.DBRW($B$1,$B$2,$B$7,$B$3,$B$4,$B$5,$F333,$B$6,AD$10,$A333,$B333)</f>
        <v>0</v>
      </c>
      <c r="AE333" s="4">
        <f ca="1">_xll.DBRW($B$1,$B$2,$B$7,$B$3,$B$4,$B$5,$F333,$B$6,AE$10,$A333,$B333)</f>
        <v>0</v>
      </c>
    </row>
    <row r="334" spans="1:31">
      <c r="A334" s="1" t="s">
        <v>151</v>
      </c>
      <c r="B334" s="5" t="s">
        <v>281</v>
      </c>
      <c r="C334" s="5" t="s">
        <v>279</v>
      </c>
      <c r="D334" s="5" t="s">
        <v>277</v>
      </c>
      <c r="E334" s="5" t="s">
        <v>21</v>
      </c>
      <c r="F334" s="5" t="s">
        <v>25</v>
      </c>
      <c r="G334" s="6"/>
      <c r="H334" s="6"/>
      <c r="I334" s="6"/>
      <c r="J334" s="6"/>
      <c r="K334" s="6"/>
      <c r="L334" s="4">
        <f ca="1">_xll.DBRW($B$1,$B$2,$B$7,$B$3,$B$4,$B$5,$F334,$B$6,L$10,$A334,$B334)</f>
        <v>0</v>
      </c>
      <c r="M334" s="4">
        <f ca="1">_xll.DBRW($B$1,$B$2,$B$7,$B$3,$B$4,$B$5,$F334,$B$6,M$10,$A334,$B334)</f>
        <v>0</v>
      </c>
      <c r="N334" s="4">
        <f ca="1">_xll.DBRW($B$1,$B$2,$B$7,$B$3,$B$4,$B$5,$F334,$B$6,N$10,$A334,$B334)</f>
        <v>0</v>
      </c>
      <c r="O334" s="4">
        <f ca="1">_xll.DBRW($B$1,$B$2,$B$7,$B$3,$B$4,$B$5,$F334,$B$6,O$10,$A334,$B334)</f>
        <v>0</v>
      </c>
      <c r="P334" s="4">
        <f ca="1">_xll.DBRW($B$1,$B$2,$B$7,$B$3,$B$4,$B$5,$F334,$B$6,P$10,$A334,$B334)</f>
        <v>0</v>
      </c>
      <c r="Q334" s="4">
        <f ca="1">_xll.DBRW($B$1,$B$2,$B$7,$B$3,$B$4,$B$5,$F334,$B$6,Q$10,$A334,$B334)</f>
        <v>1169.9999999999998</v>
      </c>
      <c r="R334" s="4">
        <f ca="1">_xll.DBRW($B$1,$B$2,$B$7,$B$3,$B$4,$B$5,$F334,$B$6,R$10,$A334,$B334)</f>
        <v>6636</v>
      </c>
      <c r="S334" s="4">
        <f ca="1">_xll.DBRW($B$1,$B$2,$B$7,$B$3,$B$4,$B$5,$F334,$B$6,S$10,$A334,$B334)</f>
        <v>8059.9999999999991</v>
      </c>
      <c r="T334" s="4">
        <f ca="1">_xll.DBRW($B$1,$B$2,$B$7,$B$3,$B$4,$B$5,$F334,$B$6,T$10,$A334,$B334)</f>
        <v>0</v>
      </c>
      <c r="U334" s="4">
        <f ca="1">_xll.DBRW($B$1,$B$2,$B$7,$B$3,$B$4,$B$5,$F334,$B$6,U$10,$A334,$B334)</f>
        <v>0</v>
      </c>
      <c r="V334" s="4">
        <f ca="1">_xll.DBRW($B$1,$B$2,$B$7,$B$3,$B$4,$B$5,$F334,$B$6,V$10,$A334,$B334)</f>
        <v>0</v>
      </c>
      <c r="W334" s="4">
        <f ca="1">_xll.DBRW($B$1,$B$2,$B$7,$B$3,$B$4,$B$5,$F334,$B$6,W$10,$A334,$B334)</f>
        <v>0</v>
      </c>
      <c r="X334" s="4">
        <f ca="1">_xll.DBRW($B$1,$B$2,$B$7,$B$3,$B$4,$B$5,$F334,$B$6,X$10,$A334,$B334)</f>
        <v>0</v>
      </c>
      <c r="Y334" s="4">
        <f ca="1">_xll.DBRW($B$1,$B$2,$B$7,$B$3,$B$4,$B$5,$F334,$B$6,Y$10,$A334,$B334)</f>
        <v>0</v>
      </c>
      <c r="Z334" s="4">
        <f ca="1">_xll.DBRW($B$1,$B$2,$B$7,$B$3,$B$4,$B$5,$F334,$B$6,Z$10,$A334,$B334)</f>
        <v>0</v>
      </c>
      <c r="AA334" s="4">
        <f ca="1">_xll.DBRW($B$1,$B$2,$B$7,$B$3,$B$4,$B$5,$F334,$B$6,AA$10,$A334,$B334)</f>
        <v>0</v>
      </c>
      <c r="AB334" s="4">
        <f ca="1">_xll.DBRW($B$1,$B$2,$B$7,$B$3,$B$4,$B$5,$F334,$B$6,AB$10,$A334,$B334)</f>
        <v>0</v>
      </c>
      <c r="AC334" s="4">
        <f ca="1">_xll.DBRW($B$1,$B$2,$B$7,$B$3,$B$4,$B$5,$F334,$B$6,AC$10,$A334,$B334)</f>
        <v>0</v>
      </c>
      <c r="AD334" s="4">
        <f ca="1">_xll.DBRW($B$1,$B$2,$B$7,$B$3,$B$4,$B$5,$F334,$B$6,AD$10,$A334,$B334)</f>
        <v>0</v>
      </c>
      <c r="AE334" s="4">
        <f ca="1">_xll.DBRW($B$1,$B$2,$B$7,$B$3,$B$4,$B$5,$F334,$B$6,AE$10,$A334,$B334)</f>
        <v>0</v>
      </c>
    </row>
    <row r="335" spans="1:31">
      <c r="A335" s="1" t="s">
        <v>151</v>
      </c>
      <c r="B335" s="5" t="s">
        <v>282</v>
      </c>
      <c r="C335" s="5" t="s">
        <v>283</v>
      </c>
      <c r="D335" s="5" t="s">
        <v>21</v>
      </c>
      <c r="E335" s="5" t="s">
        <v>284</v>
      </c>
      <c r="F335" s="5" t="s">
        <v>25</v>
      </c>
      <c r="G335" s="6"/>
      <c r="H335" s="6"/>
      <c r="I335" s="6"/>
      <c r="J335" s="6"/>
      <c r="K335" s="6"/>
      <c r="L335" s="4">
        <f ca="1">_xll.DBRW($B$1,$B$2,$B$7,$B$3,$B$4,$B$5,$F335,$B$6,L$10,$A335,$B335)</f>
        <v>0</v>
      </c>
      <c r="M335" s="4">
        <f ca="1">_xll.DBRW($B$1,$B$2,$B$7,$B$3,$B$4,$B$5,$F335,$B$6,M$10,$A335,$B335)</f>
        <v>0</v>
      </c>
      <c r="N335" s="4">
        <f ca="1">_xll.DBRW($B$1,$B$2,$B$7,$B$3,$B$4,$B$5,$F335,$B$6,N$10,$A335,$B335)</f>
        <v>0</v>
      </c>
      <c r="O335" s="4">
        <f ca="1">_xll.DBRW($B$1,$B$2,$B$7,$B$3,$B$4,$B$5,$F335,$B$6,O$10,$A335,$B335)</f>
        <v>0</v>
      </c>
      <c r="P335" s="4">
        <f ca="1">_xll.DBRW($B$1,$B$2,$B$7,$B$3,$B$4,$B$5,$F335,$B$6,P$10,$A335,$B335)</f>
        <v>0</v>
      </c>
      <c r="Q335" s="4">
        <f ca="1">_xll.DBRW($B$1,$B$2,$B$7,$B$3,$B$4,$B$5,$F335,$B$6,Q$10,$A335,$B335)</f>
        <v>582.96267505957519</v>
      </c>
      <c r="R335" s="4">
        <f ca="1">_xll.DBRW($B$1,$B$2,$B$7,$B$3,$B$4,$B$5,$F335,$B$6,R$10,$A335,$B335)</f>
        <v>4046.2302871908569</v>
      </c>
      <c r="S335" s="4">
        <f ca="1">_xll.DBRW($B$1,$B$2,$B$7,$B$3,$B$4,$B$5,$F335,$B$6,S$10,$A335,$B335)</f>
        <v>4361.3418818482696</v>
      </c>
      <c r="T335" s="4">
        <f ca="1">_xll.DBRW($B$1,$B$2,$B$7,$B$3,$B$4,$B$5,$F335,$B$6,T$10,$A335,$B335)</f>
        <v>4734.9512635524679</v>
      </c>
      <c r="U335" s="4">
        <f ca="1">_xll.DBRW($B$1,$B$2,$B$7,$B$3,$B$4,$B$5,$F335,$B$6,U$10,$A335,$B335)</f>
        <v>4742.1435214098228</v>
      </c>
      <c r="V335" s="4">
        <f ca="1">_xll.DBRW($B$1,$B$2,$B$7,$B$3,$B$4,$B$5,$F335,$B$6,V$10,$A335,$B335)</f>
        <v>4431.2901661201058</v>
      </c>
      <c r="W335" s="4">
        <f ca="1">_xll.DBRW($B$1,$B$2,$B$7,$B$3,$B$4,$B$5,$F335,$B$6,W$10,$A335,$B335)</f>
        <v>0</v>
      </c>
      <c r="X335" s="4">
        <f ca="1">_xll.DBRW($B$1,$B$2,$B$7,$B$3,$B$4,$B$5,$F335,$B$6,X$10,$A335,$B335)</f>
        <v>0</v>
      </c>
      <c r="Y335" s="4">
        <f ca="1">_xll.DBRW($B$1,$B$2,$B$7,$B$3,$B$4,$B$5,$F335,$B$6,Y$10,$A335,$B335)</f>
        <v>0</v>
      </c>
      <c r="Z335" s="4">
        <f ca="1">_xll.DBRW($B$1,$B$2,$B$7,$B$3,$B$4,$B$5,$F335,$B$6,Z$10,$A335,$B335)</f>
        <v>0</v>
      </c>
      <c r="AA335" s="4">
        <f ca="1">_xll.DBRW($B$1,$B$2,$B$7,$B$3,$B$4,$B$5,$F335,$B$6,AA$10,$A335,$B335)</f>
        <v>0</v>
      </c>
      <c r="AB335" s="4">
        <f ca="1">_xll.DBRW($B$1,$B$2,$B$7,$B$3,$B$4,$B$5,$F335,$B$6,AB$10,$A335,$B335)</f>
        <v>0</v>
      </c>
      <c r="AC335" s="4">
        <f ca="1">_xll.DBRW($B$1,$B$2,$B$7,$B$3,$B$4,$B$5,$F335,$B$6,AC$10,$A335,$B335)</f>
        <v>681.08808684638609</v>
      </c>
      <c r="AD335" s="4">
        <f ca="1">_xll.DBRW($B$1,$B$2,$B$7,$B$3,$B$4,$B$5,$F335,$B$6,AD$10,$A335,$B335)</f>
        <v>4160.8545768558733</v>
      </c>
      <c r="AE335" s="4">
        <f ca="1">_xll.DBRW($B$1,$B$2,$B$7,$B$3,$B$4,$B$5,$F335,$B$6,AE$10,$A335,$B335)</f>
        <v>4701.6177347561988</v>
      </c>
    </row>
    <row r="336" spans="1:31">
      <c r="A336" s="1" t="s">
        <v>151</v>
      </c>
      <c r="B336" s="5" t="s">
        <v>285</v>
      </c>
      <c r="C336" s="5" t="s">
        <v>286</v>
      </c>
      <c r="D336" s="5" t="s">
        <v>284</v>
      </c>
      <c r="E336" s="5" t="s">
        <v>21</v>
      </c>
      <c r="F336" s="5" t="s">
        <v>25</v>
      </c>
      <c r="G336" s="6"/>
      <c r="H336" s="6"/>
      <c r="I336" s="6"/>
      <c r="J336" s="6"/>
      <c r="K336" s="6"/>
      <c r="L336" s="4">
        <f ca="1">_xll.DBRW($B$1,$B$2,$B$7,$B$3,$B$4,$B$5,$F336,$B$6,L$10,$A336,$B336)</f>
        <v>0</v>
      </c>
      <c r="M336" s="4">
        <f ca="1">_xll.DBRW($B$1,$B$2,$B$7,$B$3,$B$4,$B$5,$F336,$B$6,M$10,$A336,$B336)</f>
        <v>0</v>
      </c>
      <c r="N336" s="4">
        <f ca="1">_xll.DBRW($B$1,$B$2,$B$7,$B$3,$B$4,$B$5,$F336,$B$6,N$10,$A336,$B336)</f>
        <v>0</v>
      </c>
      <c r="O336" s="4">
        <f ca="1">_xll.DBRW($B$1,$B$2,$B$7,$B$3,$B$4,$B$5,$F336,$B$6,O$10,$A336,$B336)</f>
        <v>0</v>
      </c>
      <c r="P336" s="4">
        <f ca="1">_xll.DBRW($B$1,$B$2,$B$7,$B$3,$B$4,$B$5,$F336,$B$6,P$10,$A336,$B336)</f>
        <v>0</v>
      </c>
      <c r="Q336" s="4">
        <f ca="1">_xll.DBRW($B$1,$B$2,$B$7,$B$3,$B$4,$B$5,$F336,$B$6,Q$10,$A336,$B336)</f>
        <v>582.96267505957519</v>
      </c>
      <c r="R336" s="4">
        <f ca="1">_xll.DBRW($B$1,$B$2,$B$7,$B$3,$B$4,$B$5,$F336,$B$6,R$10,$A336,$B336)</f>
        <v>4046.2302871908569</v>
      </c>
      <c r="S336" s="4">
        <f ca="1">_xll.DBRW($B$1,$B$2,$B$7,$B$3,$B$4,$B$5,$F336,$B$6,S$10,$A336,$B336)</f>
        <v>4361.3418818482696</v>
      </c>
      <c r="T336" s="4">
        <f ca="1">_xll.DBRW($B$1,$B$2,$B$7,$B$3,$B$4,$B$5,$F336,$B$6,T$10,$A336,$B336)</f>
        <v>4582.210900212066</v>
      </c>
      <c r="U336" s="4">
        <f ca="1">_xll.DBRW($B$1,$B$2,$B$7,$B$3,$B$4,$B$5,$F336,$B$6,U$10,$A336,$B336)</f>
        <v>4742.1435214098228</v>
      </c>
      <c r="V336" s="4">
        <f ca="1">_xll.DBRW($B$1,$B$2,$B$7,$B$3,$B$4,$B$5,$F336,$B$6,V$10,$A336,$B336)</f>
        <v>4589.5505291958234</v>
      </c>
      <c r="W336" s="4">
        <f ca="1">_xll.DBRW($B$1,$B$2,$B$7,$B$3,$B$4,$B$5,$F336,$B$6,W$10,$A336,$B336)</f>
        <v>0</v>
      </c>
      <c r="X336" s="4">
        <f ca="1">_xll.DBRW($B$1,$B$2,$B$7,$B$3,$B$4,$B$5,$F336,$B$6,X$10,$A336,$B336)</f>
        <v>0</v>
      </c>
      <c r="Y336" s="4">
        <f ca="1">_xll.DBRW($B$1,$B$2,$B$7,$B$3,$B$4,$B$5,$F336,$B$6,Y$10,$A336,$B336)</f>
        <v>0</v>
      </c>
      <c r="Z336" s="4">
        <f ca="1">_xll.DBRW($B$1,$B$2,$B$7,$B$3,$B$4,$B$5,$F336,$B$6,Z$10,$A336,$B336)</f>
        <v>0</v>
      </c>
      <c r="AA336" s="4">
        <f ca="1">_xll.DBRW($B$1,$B$2,$B$7,$B$3,$B$4,$B$5,$F336,$B$6,AA$10,$A336,$B336)</f>
        <v>0</v>
      </c>
      <c r="AB336" s="4">
        <f ca="1">_xll.DBRW($B$1,$B$2,$B$7,$B$3,$B$4,$B$5,$F336,$B$6,AB$10,$A336,$B336)</f>
        <v>0</v>
      </c>
      <c r="AC336" s="4">
        <f ca="1">_xll.DBRW($B$1,$B$2,$B$7,$B$3,$B$4,$B$5,$F336,$B$6,AC$10,$A336,$B336)</f>
        <v>567.57340570532176</v>
      </c>
      <c r="AD336" s="4">
        <f ca="1">_xll.DBRW($B$1,$B$2,$B$7,$B$3,$B$4,$B$5,$F336,$B$6,AD$10,$A336,$B336)</f>
        <v>4160.8545768558733</v>
      </c>
      <c r="AE336" s="4">
        <f ca="1">_xll.DBRW($B$1,$B$2,$B$7,$B$3,$B$4,$B$5,$F336,$B$6,AE$10,$A336,$B336)</f>
        <v>4398.2875583203149</v>
      </c>
    </row>
    <row r="337" spans="1:31">
      <c r="A337" s="1" t="s">
        <v>151</v>
      </c>
      <c r="B337" s="5" t="s">
        <v>287</v>
      </c>
      <c r="C337" s="5" t="s">
        <v>288</v>
      </c>
      <c r="D337" s="5" t="s">
        <v>21</v>
      </c>
      <c r="E337" s="5" t="s">
        <v>289</v>
      </c>
      <c r="F337" s="5" t="s">
        <v>25</v>
      </c>
      <c r="G337" s="6"/>
      <c r="H337" s="6"/>
      <c r="I337" s="6"/>
      <c r="J337" s="6"/>
      <c r="K337" s="6"/>
      <c r="L337" s="4">
        <f ca="1">_xll.DBRW($B$1,$B$2,$B$7,$B$3,$B$4,$B$5,$F337,$B$6,L$10,$A337,$B337)</f>
        <v>0</v>
      </c>
      <c r="M337" s="4">
        <f ca="1">_xll.DBRW($B$1,$B$2,$B$7,$B$3,$B$4,$B$5,$F337,$B$6,M$10,$A337,$B337)</f>
        <v>0</v>
      </c>
      <c r="N337" s="4">
        <f ca="1">_xll.DBRW($B$1,$B$2,$B$7,$B$3,$B$4,$B$5,$F337,$B$6,N$10,$A337,$B337)</f>
        <v>0</v>
      </c>
      <c r="O337" s="4">
        <f ca="1">_xll.DBRW($B$1,$B$2,$B$7,$B$3,$B$4,$B$5,$F337,$B$6,O$10,$A337,$B337)</f>
        <v>0</v>
      </c>
      <c r="P337" s="4">
        <f ca="1">_xll.DBRW($B$1,$B$2,$B$7,$B$3,$B$4,$B$5,$F337,$B$6,P$10,$A337,$B337)</f>
        <v>0</v>
      </c>
      <c r="Q337" s="4">
        <f ca="1">_xll.DBRW($B$1,$B$2,$B$7,$B$3,$B$4,$B$5,$F337,$B$6,Q$10,$A337,$B337)</f>
        <v>770.4040450951735</v>
      </c>
      <c r="R337" s="4">
        <f ca="1">_xll.DBRW($B$1,$B$2,$B$7,$B$3,$B$4,$B$5,$F337,$B$6,R$10,$A337,$B337)</f>
        <v>3886.7694755255229</v>
      </c>
      <c r="S337" s="4">
        <f ca="1">_xll.DBRW($B$1,$B$2,$B$7,$B$3,$B$4,$B$5,$F337,$B$6,S$10,$A337,$B337)</f>
        <v>4825.4451261799459</v>
      </c>
      <c r="T337" s="4">
        <f ca="1">_xll.DBRW($B$1,$B$2,$B$7,$B$3,$B$4,$B$5,$F337,$B$6,T$10,$A337,$B337)</f>
        <v>5400.8837500070476</v>
      </c>
      <c r="U337" s="4">
        <f ca="1">_xll.DBRW($B$1,$B$2,$B$7,$B$3,$B$4,$B$5,$F337,$B$6,U$10,$A337,$B337)</f>
        <v>4671.3985653133714</v>
      </c>
      <c r="V337" s="4">
        <f ca="1">_xll.DBRW($B$1,$B$2,$B$7,$B$3,$B$4,$B$5,$F337,$B$6,V$10,$A337,$B337)</f>
        <v>4988.2086189136153</v>
      </c>
      <c r="W337" s="4">
        <f ca="1">_xll.DBRW($B$1,$B$2,$B$7,$B$3,$B$4,$B$5,$F337,$B$6,W$10,$A337,$B337)</f>
        <v>0</v>
      </c>
      <c r="X337" s="4">
        <f ca="1">_xll.DBRW($B$1,$B$2,$B$7,$B$3,$B$4,$B$5,$F337,$B$6,X$10,$A337,$B337)</f>
        <v>0</v>
      </c>
      <c r="Y337" s="4">
        <f ca="1">_xll.DBRW($B$1,$B$2,$B$7,$B$3,$B$4,$B$5,$F337,$B$6,Y$10,$A337,$B337)</f>
        <v>0</v>
      </c>
      <c r="Z337" s="4">
        <f ca="1">_xll.DBRW($B$1,$B$2,$B$7,$B$3,$B$4,$B$5,$F337,$B$6,Z$10,$A337,$B337)</f>
        <v>0</v>
      </c>
      <c r="AA337" s="4">
        <f ca="1">_xll.DBRW($B$1,$B$2,$B$7,$B$3,$B$4,$B$5,$F337,$B$6,AA$10,$A337,$B337)</f>
        <v>0</v>
      </c>
      <c r="AB337" s="4">
        <f ca="1">_xll.DBRW($B$1,$B$2,$B$7,$B$3,$B$4,$B$5,$F337,$B$6,AB$10,$A337,$B337)</f>
        <v>0</v>
      </c>
      <c r="AC337" s="4">
        <f ca="1">_xll.DBRW($B$1,$B$2,$B$7,$B$3,$B$4,$B$5,$F337,$B$6,AC$10,$A337,$B337)</f>
        <v>421.77491047798594</v>
      </c>
      <c r="AD337" s="4">
        <f ca="1">_xll.DBRW($B$1,$B$2,$B$7,$B$3,$B$4,$B$5,$F337,$B$6,AD$10,$A337,$B337)</f>
        <v>4741.8112421870355</v>
      </c>
      <c r="AE337" s="4">
        <f ca="1">_xll.DBRW($B$1,$B$2,$B$7,$B$3,$B$4,$B$5,$F337,$B$6,AE$10,$A337,$B337)</f>
        <v>5067.0619211082103</v>
      </c>
    </row>
    <row r="338" spans="1:31">
      <c r="A338" s="1" t="s">
        <v>151</v>
      </c>
      <c r="B338" s="5" t="s">
        <v>290</v>
      </c>
      <c r="C338" s="5" t="s">
        <v>291</v>
      </c>
      <c r="D338" s="5" t="s">
        <v>289</v>
      </c>
      <c r="E338" s="5" t="s">
        <v>21</v>
      </c>
      <c r="F338" s="5" t="s">
        <v>25</v>
      </c>
      <c r="G338" s="6"/>
      <c r="H338" s="6"/>
      <c r="I338" s="6"/>
      <c r="J338" s="6"/>
      <c r="K338" s="6"/>
      <c r="L338" s="4">
        <f ca="1">_xll.DBRW($B$1,$B$2,$B$7,$B$3,$B$4,$B$5,$F338,$B$6,L$10,$A338,$B338)</f>
        <v>0</v>
      </c>
      <c r="M338" s="4">
        <f ca="1">_xll.DBRW($B$1,$B$2,$B$7,$B$3,$B$4,$B$5,$F338,$B$6,M$10,$A338,$B338)</f>
        <v>0</v>
      </c>
      <c r="N338" s="4">
        <f ca="1">_xll.DBRW($B$1,$B$2,$B$7,$B$3,$B$4,$B$5,$F338,$B$6,N$10,$A338,$B338)</f>
        <v>0</v>
      </c>
      <c r="O338" s="4">
        <f ca="1">_xll.DBRW($B$1,$B$2,$B$7,$B$3,$B$4,$B$5,$F338,$B$6,O$10,$A338,$B338)</f>
        <v>0</v>
      </c>
      <c r="P338" s="4">
        <f ca="1">_xll.DBRW($B$1,$B$2,$B$7,$B$3,$B$4,$B$5,$F338,$B$6,P$10,$A338,$B338)</f>
        <v>0</v>
      </c>
      <c r="Q338" s="4">
        <f ca="1">_xll.DBRW($B$1,$B$2,$B$7,$B$3,$B$4,$B$5,$F338,$B$6,Q$10,$A338,$B338)</f>
        <v>509.68382516619653</v>
      </c>
      <c r="R338" s="4">
        <f ca="1">_xll.DBRW($B$1,$B$2,$B$7,$B$3,$B$4,$B$5,$F338,$B$6,R$10,$A338,$B338)</f>
        <v>3886.7694755255229</v>
      </c>
      <c r="S338" s="4">
        <f ca="1">_xll.DBRW($B$1,$B$2,$B$7,$B$3,$B$4,$B$5,$F338,$B$6,S$10,$A338,$B338)</f>
        <v>4825.4451261799459</v>
      </c>
      <c r="T338" s="4">
        <f ca="1">_xll.DBRW($B$1,$B$2,$B$7,$B$3,$B$4,$B$5,$F338,$B$6,T$10,$A338,$B338)</f>
        <v>5400.8837500070476</v>
      </c>
      <c r="U338" s="4">
        <f ca="1">_xll.DBRW($B$1,$B$2,$B$7,$B$3,$B$4,$B$5,$F338,$B$6,U$10,$A338,$B338)</f>
        <v>4671.3985653133714</v>
      </c>
      <c r="V338" s="4">
        <f ca="1">_xll.DBRW($B$1,$B$2,$B$7,$B$3,$B$4,$B$5,$F338,$B$6,V$10,$A338,$B338)</f>
        <v>4988.2086189136153</v>
      </c>
      <c r="W338" s="4">
        <f ca="1">_xll.DBRW($B$1,$B$2,$B$7,$B$3,$B$4,$B$5,$F338,$B$6,W$10,$A338,$B338)</f>
        <v>0</v>
      </c>
      <c r="X338" s="4">
        <f ca="1">_xll.DBRW($B$1,$B$2,$B$7,$B$3,$B$4,$B$5,$F338,$B$6,X$10,$A338,$B338)</f>
        <v>0</v>
      </c>
      <c r="Y338" s="4">
        <f ca="1">_xll.DBRW($B$1,$B$2,$B$7,$B$3,$B$4,$B$5,$F338,$B$6,Y$10,$A338,$B338)</f>
        <v>0</v>
      </c>
      <c r="Z338" s="4">
        <f ca="1">_xll.DBRW($B$1,$B$2,$B$7,$B$3,$B$4,$B$5,$F338,$B$6,Z$10,$A338,$B338)</f>
        <v>0</v>
      </c>
      <c r="AA338" s="4">
        <f ca="1">_xll.DBRW($B$1,$B$2,$B$7,$B$3,$B$4,$B$5,$F338,$B$6,AA$10,$A338,$B338)</f>
        <v>0</v>
      </c>
      <c r="AB338" s="4">
        <f ca="1">_xll.DBRW($B$1,$B$2,$B$7,$B$3,$B$4,$B$5,$F338,$B$6,AB$10,$A338,$B338)</f>
        <v>0</v>
      </c>
      <c r="AC338" s="4">
        <f ca="1">_xll.DBRW($B$1,$B$2,$B$7,$B$3,$B$4,$B$5,$F338,$B$6,AC$10,$A338,$B338)</f>
        <v>421.77491047798594</v>
      </c>
      <c r="AD338" s="4">
        <f ca="1">_xll.DBRW($B$1,$B$2,$B$7,$B$3,$B$4,$B$5,$F338,$B$6,AD$10,$A338,$B338)</f>
        <v>4741.8112421870355</v>
      </c>
      <c r="AE338" s="4">
        <f ca="1">_xll.DBRW($B$1,$B$2,$B$7,$B$3,$B$4,$B$5,$F338,$B$6,AE$10,$A338,$B338)</f>
        <v>5067.0619211082103</v>
      </c>
    </row>
    <row r="339" spans="1:31">
      <c r="A339" s="1" t="s">
        <v>151</v>
      </c>
      <c r="B339" s="5" t="s">
        <v>292</v>
      </c>
      <c r="C339" s="5" t="s">
        <v>293</v>
      </c>
      <c r="D339" s="5" t="s">
        <v>21</v>
      </c>
      <c r="E339" s="5" t="s">
        <v>294</v>
      </c>
      <c r="F339" s="5" t="s">
        <v>25</v>
      </c>
      <c r="G339" s="6"/>
      <c r="H339" s="6"/>
      <c r="I339" s="6"/>
      <c r="J339" s="6"/>
      <c r="K339" s="6"/>
      <c r="L339" s="4">
        <f ca="1">_xll.DBRW($B$1,$B$2,$B$7,$B$3,$B$4,$B$5,$F339,$B$6,L$10,$A339,$B339)</f>
        <v>6807.5051211991722</v>
      </c>
      <c r="M339" s="4">
        <f ca="1">_xll.DBRW($B$1,$B$2,$B$7,$B$3,$B$4,$B$5,$F339,$B$6,M$10,$A339,$B339)</f>
        <v>6564.8851891650966</v>
      </c>
      <c r="N339" s="4">
        <f ca="1">_xll.DBRW($B$1,$B$2,$B$7,$B$3,$B$4,$B$5,$F339,$B$6,N$10,$A339,$B339)</f>
        <v>6339.123900657889</v>
      </c>
      <c r="O339" s="4">
        <f ca="1">_xll.DBRW($B$1,$B$2,$B$7,$B$3,$B$4,$B$5,$F339,$B$6,O$10,$A339,$B339)</f>
        <v>6405.8187671871856</v>
      </c>
      <c r="P339" s="4">
        <f ca="1">_xll.DBRW($B$1,$B$2,$B$7,$B$3,$B$4,$B$5,$F339,$B$6,P$10,$A339,$B339)</f>
        <v>6462.3022177155335</v>
      </c>
      <c r="Q339" s="4">
        <f ca="1">_xll.DBRW($B$1,$B$2,$B$7,$B$3,$B$4,$B$5,$F339,$B$6,Q$10,$A339,$B339)</f>
        <v>6352.9682429787799</v>
      </c>
      <c r="R339" s="4">
        <f ca="1">_xll.DBRW($B$1,$B$2,$B$7,$B$3,$B$4,$B$5,$F339,$B$6,R$10,$A339,$B339)</f>
        <v>8433.8612548634446</v>
      </c>
      <c r="S339" s="4">
        <f ca="1">_xll.DBRW($B$1,$B$2,$B$7,$B$3,$B$4,$B$5,$F339,$B$6,S$10,$A339,$B339)</f>
        <v>8939.0765688981646</v>
      </c>
      <c r="T339" s="4">
        <f ca="1">_xll.DBRW($B$1,$B$2,$B$7,$B$3,$B$4,$B$5,$F339,$B$6,T$10,$A339,$B339)</f>
        <v>7055.308529197554</v>
      </c>
      <c r="U339" s="4">
        <f ca="1">_xll.DBRW($B$1,$B$2,$B$7,$B$3,$B$4,$B$5,$F339,$B$6,U$10,$A339,$B339)</f>
        <v>5124.7250374986052</v>
      </c>
      <c r="V339" s="4">
        <f ca="1">_xll.DBRW($B$1,$B$2,$B$7,$B$3,$B$4,$B$5,$F339,$B$6,V$10,$A339,$B339)</f>
        <v>5392.165353051023</v>
      </c>
      <c r="W339" s="4">
        <f ca="1">_xll.DBRW($B$1,$B$2,$B$7,$B$3,$B$4,$B$5,$F339,$B$6,W$10,$A339,$B339)</f>
        <v>5458.5229049839736</v>
      </c>
      <c r="X339" s="4">
        <f ca="1">_xll.DBRW($B$1,$B$2,$B$7,$B$3,$B$4,$B$5,$F339,$B$6,X$10,$A339,$B339)</f>
        <v>5437.4796522884271</v>
      </c>
      <c r="Y339" s="4">
        <f ca="1">_xll.DBRW($B$1,$B$2,$B$7,$B$3,$B$4,$B$5,$F339,$B$6,Y$10,$A339,$B339)</f>
        <v>5522.5223224378824</v>
      </c>
      <c r="Z339" s="4">
        <f ca="1">_xll.DBRW($B$1,$B$2,$B$7,$B$3,$B$4,$B$5,$F339,$B$6,Z$10,$A339,$B339)</f>
        <v>5710.7830441982496</v>
      </c>
      <c r="AA339" s="4">
        <f ca="1">_xll.DBRW($B$1,$B$2,$B$7,$B$3,$B$4,$B$5,$F339,$B$6,AA$10,$A339,$B339)</f>
        <v>5703.4368467684289</v>
      </c>
      <c r="AB339" s="4">
        <f ca="1">_xll.DBRW($B$1,$B$2,$B$7,$B$3,$B$4,$B$5,$F339,$B$6,AB$10,$A339,$B339)</f>
        <v>5517.2756524392535</v>
      </c>
      <c r="AC339" s="4">
        <f ca="1">_xll.DBRW($B$1,$B$2,$B$7,$B$3,$B$4,$B$5,$F339,$B$6,AC$10,$A339,$B339)</f>
        <v>6089.5204714284864</v>
      </c>
      <c r="AD339" s="4">
        <f ca="1">_xll.DBRW($B$1,$B$2,$B$7,$B$3,$B$4,$B$5,$F339,$B$6,AD$10,$A339,$B339)</f>
        <v>7296.7484077961544</v>
      </c>
      <c r="AE339" s="4">
        <f ca="1">_xll.DBRW($B$1,$B$2,$B$7,$B$3,$B$4,$B$5,$F339,$B$6,AE$10,$A339,$B339)</f>
        <v>7239.4454382099693</v>
      </c>
    </row>
    <row r="340" spans="1:31">
      <c r="A340" s="1" t="s">
        <v>151</v>
      </c>
      <c r="B340" s="5" t="s">
        <v>295</v>
      </c>
      <c r="C340" s="5" t="s">
        <v>296</v>
      </c>
      <c r="D340" s="5" t="s">
        <v>294</v>
      </c>
      <c r="E340" s="5" t="s">
        <v>21</v>
      </c>
      <c r="F340" s="5" t="s">
        <v>25</v>
      </c>
      <c r="G340" s="6"/>
      <c r="H340" s="6"/>
      <c r="I340" s="6"/>
      <c r="J340" s="6"/>
      <c r="K340" s="6"/>
      <c r="L340" s="4">
        <f ca="1">_xll.DBRW($B$1,$B$2,$B$7,$B$3,$B$4,$B$5,$F340,$B$6,L$10,$A340,$B340)</f>
        <v>6855.2770869619735</v>
      </c>
      <c r="M340" s="4">
        <f ca="1">_xll.DBRW($B$1,$B$2,$B$7,$B$3,$B$4,$B$5,$F340,$B$6,M$10,$A340,$B340)</f>
        <v>6516.9663191711907</v>
      </c>
      <c r="N340" s="4">
        <f ca="1">_xll.DBRW($B$1,$B$2,$B$7,$B$3,$B$4,$B$5,$F340,$B$6,N$10,$A340,$B340)</f>
        <v>6339.123900657889</v>
      </c>
      <c r="O340" s="4">
        <f ca="1">_xll.DBRW($B$1,$B$2,$B$7,$B$3,$B$4,$B$5,$F340,$B$6,O$10,$A340,$B340)</f>
        <v>6405.8187671871856</v>
      </c>
      <c r="P340" s="4">
        <f ca="1">_xll.DBRW($B$1,$B$2,$B$7,$B$3,$B$4,$B$5,$F340,$B$6,P$10,$A340,$B340)</f>
        <v>6462.3022177155335</v>
      </c>
      <c r="Q340" s="4">
        <f ca="1">_xll.DBRW($B$1,$B$2,$B$7,$B$3,$B$4,$B$5,$F340,$B$6,Q$10,$A340,$B340)</f>
        <v>6352.9682429787799</v>
      </c>
      <c r="R340" s="4">
        <f ca="1">_xll.DBRW($B$1,$B$2,$B$7,$B$3,$B$4,$B$5,$F340,$B$6,R$10,$A340,$B340)</f>
        <v>8433.8612548634446</v>
      </c>
      <c r="S340" s="4">
        <f ca="1">_xll.DBRW($B$1,$B$2,$B$7,$B$3,$B$4,$B$5,$F340,$B$6,S$10,$A340,$B340)</f>
        <v>8939.0765688981646</v>
      </c>
      <c r="T340" s="4">
        <f ca="1">_xll.DBRW($B$1,$B$2,$B$7,$B$3,$B$4,$B$5,$F340,$B$6,T$10,$A340,$B340)</f>
        <v>7138.3664451724117</v>
      </c>
      <c r="U340" s="4">
        <f ca="1">_xll.DBRW($B$1,$B$2,$B$7,$B$3,$B$4,$B$5,$F340,$B$6,U$10,$A340,$B340)</f>
        <v>5124.7250374986052</v>
      </c>
      <c r="V340" s="4">
        <f ca="1">_xll.DBRW($B$1,$B$2,$B$7,$B$3,$B$4,$B$5,$F340,$B$6,V$10,$A340,$B340)</f>
        <v>5392.165353051023</v>
      </c>
      <c r="W340" s="4">
        <f ca="1">_xll.DBRW($B$1,$B$2,$B$7,$B$3,$B$4,$B$5,$F340,$B$6,W$10,$A340,$B340)</f>
        <v>5458.5229049839736</v>
      </c>
      <c r="X340" s="4">
        <f ca="1">_xll.DBRW($B$1,$B$2,$B$7,$B$3,$B$4,$B$5,$F340,$B$6,X$10,$A340,$B340)</f>
        <v>5437.4796522884271</v>
      </c>
      <c r="Y340" s="4">
        <f ca="1">_xll.DBRW($B$1,$B$2,$B$7,$B$3,$B$4,$B$5,$F340,$B$6,Y$10,$A340,$B340)</f>
        <v>5522.5223224378824</v>
      </c>
      <c r="Z340" s="4">
        <f ca="1">_xll.DBRW($B$1,$B$2,$B$7,$B$3,$B$4,$B$5,$F340,$B$6,Z$10,$A340,$B340)</f>
        <v>5710.7830441982496</v>
      </c>
      <c r="AA340" s="4">
        <f ca="1">_xll.DBRW($B$1,$B$2,$B$7,$B$3,$B$4,$B$5,$F340,$B$6,AA$10,$A340,$B340)</f>
        <v>5703.4368467684289</v>
      </c>
      <c r="AB340" s="4">
        <f ca="1">_xll.DBRW($B$1,$B$2,$B$7,$B$3,$B$4,$B$5,$F340,$B$6,AB$10,$A340,$B340)</f>
        <v>5517.2756524392535</v>
      </c>
      <c r="AC340" s="4">
        <f ca="1">_xll.DBRW($B$1,$B$2,$B$7,$B$3,$B$4,$B$5,$F340,$B$6,AC$10,$A340,$B340)</f>
        <v>6089.5204714284864</v>
      </c>
      <c r="AD340" s="4">
        <f ca="1">_xll.DBRW($B$1,$B$2,$B$7,$B$3,$B$4,$B$5,$F340,$B$6,AD$10,$A340,$B340)</f>
        <v>7296.7484077961544</v>
      </c>
      <c r="AE340" s="4">
        <f ca="1">_xll.DBRW($B$1,$B$2,$B$7,$B$3,$B$4,$B$5,$F340,$B$6,AE$10,$A340,$B340)</f>
        <v>7239.4454382099693</v>
      </c>
    </row>
    <row r="341" spans="1:31">
      <c r="A341" s="1" t="s">
        <v>151</v>
      </c>
      <c r="B341" s="5" t="s">
        <v>297</v>
      </c>
      <c r="C341" s="5" t="s">
        <v>298</v>
      </c>
      <c r="D341" s="5" t="s">
        <v>21</v>
      </c>
      <c r="E341" s="5" t="s">
        <v>299</v>
      </c>
      <c r="F341" s="5" t="s">
        <v>25</v>
      </c>
      <c r="G341" s="6"/>
      <c r="H341" s="6"/>
      <c r="I341" s="6"/>
      <c r="J341" s="6"/>
      <c r="K341" s="6"/>
      <c r="L341" s="4">
        <f ca="1">_xll.DBRW($B$1,$B$2,$B$7,$B$3,$B$4,$B$5,$F341,$B$6,L$10,$A341,$B341)</f>
        <v>5088.1669302560813</v>
      </c>
      <c r="M341" s="4">
        <f ca="1">_xll.DBRW($B$1,$B$2,$B$7,$B$3,$B$4,$B$5,$F341,$B$6,M$10,$A341,$B341)</f>
        <v>5402.8016142916103</v>
      </c>
      <c r="N341" s="4">
        <f ca="1">_xll.DBRW($B$1,$B$2,$B$7,$B$3,$B$4,$B$5,$F341,$B$6,N$10,$A341,$B341)</f>
        <v>5744.2526683921751</v>
      </c>
      <c r="O341" s="4">
        <f ca="1">_xll.DBRW($B$1,$B$2,$B$7,$B$3,$B$4,$B$5,$F341,$B$6,O$10,$A341,$B341)</f>
        <v>5736.8634165396379</v>
      </c>
      <c r="P341" s="4">
        <f ca="1">_xll.DBRW($B$1,$B$2,$B$7,$B$3,$B$4,$B$5,$F341,$B$6,P$10,$A341,$B341)</f>
        <v>5491.8027233016619</v>
      </c>
      <c r="Q341" s="4">
        <f ca="1">_xll.DBRW($B$1,$B$2,$B$7,$B$3,$B$4,$B$5,$F341,$B$6,Q$10,$A341,$B341)</f>
        <v>5496.2299149418459</v>
      </c>
      <c r="R341" s="4">
        <f ca="1">_xll.DBRW($B$1,$B$2,$B$7,$B$3,$B$4,$B$5,$F341,$B$6,R$10,$A341,$B341)</f>
        <v>4739.8697649950045</v>
      </c>
      <c r="S341" s="4">
        <f ca="1">_xll.DBRW($B$1,$B$2,$B$7,$B$3,$B$4,$B$5,$F341,$B$6,S$10,$A341,$B341)</f>
        <v>5197.7636126136913</v>
      </c>
      <c r="T341" s="4">
        <f ca="1">_xll.DBRW($B$1,$B$2,$B$7,$B$3,$B$4,$B$5,$F341,$B$6,T$10,$A341,$B341)</f>
        <v>5162.9017625698752</v>
      </c>
      <c r="U341" s="4">
        <f ca="1">_xll.DBRW($B$1,$B$2,$B$7,$B$3,$B$4,$B$5,$F341,$B$6,U$10,$A341,$B341)</f>
        <v>4189.838427486814</v>
      </c>
      <c r="V341" s="4">
        <f ca="1">_xll.DBRW($B$1,$B$2,$B$7,$B$3,$B$4,$B$5,$F341,$B$6,V$10,$A341,$B341)</f>
        <v>5354.9355018058368</v>
      </c>
      <c r="W341" s="4">
        <f ca="1">_xll.DBRW($B$1,$B$2,$B$7,$B$3,$B$4,$B$5,$F341,$B$6,W$10,$A341,$B341)</f>
        <v>5069.7782196875987</v>
      </c>
      <c r="X341" s="4">
        <f ca="1">_xll.DBRW($B$1,$B$2,$B$7,$B$3,$B$4,$B$5,$F341,$B$6,X$10,$A341,$B341)</f>
        <v>4789.3972482577901</v>
      </c>
      <c r="Y341" s="4">
        <f ca="1">_xll.DBRW($B$1,$B$2,$B$7,$B$3,$B$4,$B$5,$F341,$B$6,Y$10,$A341,$B341)</f>
        <v>5312.3368989245291</v>
      </c>
      <c r="Z341" s="4">
        <f ca="1">_xll.DBRW($B$1,$B$2,$B$7,$B$3,$B$4,$B$5,$F341,$B$6,Z$10,$A341,$B341)</f>
        <v>5926.8667269516991</v>
      </c>
      <c r="AA341" s="4">
        <f ca="1">_xll.DBRW($B$1,$B$2,$B$7,$B$3,$B$4,$B$5,$F341,$B$6,AA$10,$A341,$B341)</f>
        <v>5919.2425652948023</v>
      </c>
      <c r="AB341" s="4">
        <f ca="1">_xll.DBRW($B$1,$B$2,$B$7,$B$3,$B$4,$B$5,$F341,$B$6,AB$10,$A341,$B341)</f>
        <v>5726.0374338828997</v>
      </c>
      <c r="AC341" s="4">
        <f ca="1">_xll.DBRW($B$1,$B$2,$B$7,$B$3,$B$4,$B$5,$F341,$B$6,AC$10,$A341,$B341)</f>
        <v>5862.9366725815262</v>
      </c>
      <c r="AD341" s="4">
        <f ca="1">_xll.DBRW($B$1,$B$2,$B$7,$B$3,$B$4,$B$5,$F341,$B$6,AD$10,$A341,$B341)</f>
        <v>5367.1162051080501</v>
      </c>
      <c r="AE341" s="4">
        <f ca="1">_xll.DBRW($B$1,$B$2,$B$7,$B$3,$B$4,$B$5,$F341,$B$6,AE$10,$A341,$B341)</f>
        <v>5917.7979345820513</v>
      </c>
    </row>
    <row r="342" spans="1:31">
      <c r="A342" s="1" t="s">
        <v>151</v>
      </c>
      <c r="B342" s="5" t="s">
        <v>300</v>
      </c>
      <c r="C342" s="5" t="s">
        <v>301</v>
      </c>
      <c r="D342" s="5" t="s">
        <v>299</v>
      </c>
      <c r="E342" s="5" t="s">
        <v>21</v>
      </c>
      <c r="F342" s="5" t="s">
        <v>25</v>
      </c>
      <c r="G342" s="6"/>
      <c r="H342" s="6"/>
      <c r="I342" s="6"/>
      <c r="J342" s="6"/>
      <c r="K342" s="6"/>
      <c r="L342" s="4">
        <f ca="1">_xll.DBRW($B$1,$B$2,$B$7,$B$3,$B$4,$B$5,$F342,$B$6,L$10,$A342,$B342)</f>
        <v>5088.1669302560813</v>
      </c>
      <c r="M342" s="4">
        <f ca="1">_xll.DBRW($B$1,$B$2,$B$7,$B$3,$B$4,$B$5,$F342,$B$6,M$10,$A342,$B342)</f>
        <v>5402.8016142916103</v>
      </c>
      <c r="N342" s="4">
        <f ca="1">_xll.DBRW($B$1,$B$2,$B$7,$B$3,$B$4,$B$5,$F342,$B$6,N$10,$A342,$B342)</f>
        <v>5744.2526683921751</v>
      </c>
      <c r="O342" s="4">
        <f ca="1">_xll.DBRW($B$1,$B$2,$B$7,$B$3,$B$4,$B$5,$F342,$B$6,O$10,$A342,$B342)</f>
        <v>5736.8634165396379</v>
      </c>
      <c r="P342" s="4">
        <f ca="1">_xll.DBRW($B$1,$B$2,$B$7,$B$3,$B$4,$B$5,$F342,$B$6,P$10,$A342,$B342)</f>
        <v>5491.8027233016619</v>
      </c>
      <c r="Q342" s="4">
        <f ca="1">_xll.DBRW($B$1,$B$2,$B$7,$B$3,$B$4,$B$5,$F342,$B$6,Q$10,$A342,$B342)</f>
        <v>5496.2299149418459</v>
      </c>
      <c r="R342" s="4">
        <f ca="1">_xll.DBRW($B$1,$B$2,$B$7,$B$3,$B$4,$B$5,$F342,$B$6,R$10,$A342,$B342)</f>
        <v>4739.8697649950045</v>
      </c>
      <c r="S342" s="4">
        <f ca="1">_xll.DBRW($B$1,$B$2,$B$7,$B$3,$B$4,$B$5,$F342,$B$6,S$10,$A342,$B342)</f>
        <v>5197.7636126136913</v>
      </c>
      <c r="T342" s="4">
        <f ca="1">_xll.DBRW($B$1,$B$2,$B$7,$B$3,$B$4,$B$5,$F342,$B$6,T$10,$A342,$B342)</f>
        <v>5162.9017625698752</v>
      </c>
      <c r="U342" s="4">
        <f ca="1">_xll.DBRW($B$1,$B$2,$B$7,$B$3,$B$4,$B$5,$F342,$B$6,U$10,$A342,$B342)</f>
        <v>4189.838427486814</v>
      </c>
      <c r="V342" s="4">
        <f ca="1">_xll.DBRW($B$1,$B$2,$B$7,$B$3,$B$4,$B$5,$F342,$B$6,V$10,$A342,$B342)</f>
        <v>5354.9355018058368</v>
      </c>
      <c r="W342" s="4">
        <f ca="1">_xll.DBRW($B$1,$B$2,$B$7,$B$3,$B$4,$B$5,$F342,$B$6,W$10,$A342,$B342)</f>
        <v>5069.7782196875987</v>
      </c>
      <c r="X342" s="4">
        <f ca="1">_xll.DBRW($B$1,$B$2,$B$7,$B$3,$B$4,$B$5,$F342,$B$6,X$10,$A342,$B342)</f>
        <v>4789.3972482577901</v>
      </c>
      <c r="Y342" s="4">
        <f ca="1">_xll.DBRW($B$1,$B$2,$B$7,$B$3,$B$4,$B$5,$F342,$B$6,Y$10,$A342,$B342)</f>
        <v>5312.3368989245291</v>
      </c>
      <c r="Z342" s="4">
        <f ca="1">_xll.DBRW($B$1,$B$2,$B$7,$B$3,$B$4,$B$5,$F342,$B$6,Z$10,$A342,$B342)</f>
        <v>5926.8667269516991</v>
      </c>
      <c r="AA342" s="4">
        <f ca="1">_xll.DBRW($B$1,$B$2,$B$7,$B$3,$B$4,$B$5,$F342,$B$6,AA$10,$A342,$B342)</f>
        <v>5919.2425652948023</v>
      </c>
      <c r="AB342" s="4">
        <f ca="1">_xll.DBRW($B$1,$B$2,$B$7,$B$3,$B$4,$B$5,$F342,$B$6,AB$10,$A342,$B342)</f>
        <v>5726.0374338828997</v>
      </c>
      <c r="AC342" s="4">
        <f ca="1">_xll.DBRW($B$1,$B$2,$B$7,$B$3,$B$4,$B$5,$F342,$B$6,AC$10,$A342,$B342)</f>
        <v>5862.9366725815262</v>
      </c>
      <c r="AD342" s="4">
        <f ca="1">_xll.DBRW($B$1,$B$2,$B$7,$B$3,$B$4,$B$5,$F342,$B$6,AD$10,$A342,$B342)</f>
        <v>5367.1162051080501</v>
      </c>
      <c r="AE342" s="4">
        <f ca="1">_xll.DBRW($B$1,$B$2,$B$7,$B$3,$B$4,$B$5,$F342,$B$6,AE$10,$A342,$B342)</f>
        <v>5917.7979345820513</v>
      </c>
    </row>
    <row r="343" spans="1:31">
      <c r="A343" s="1" t="s">
        <v>151</v>
      </c>
      <c r="B343" s="5" t="s">
        <v>302</v>
      </c>
      <c r="C343" s="5" t="s">
        <v>303</v>
      </c>
      <c r="D343" s="5" t="s">
        <v>21</v>
      </c>
      <c r="E343" s="5" t="s">
        <v>304</v>
      </c>
      <c r="F343" s="5" t="s">
        <v>25</v>
      </c>
      <c r="G343" s="6"/>
      <c r="H343" s="6"/>
      <c r="I343" s="6"/>
      <c r="J343" s="6"/>
      <c r="K343" s="6"/>
      <c r="L343" s="4">
        <f ca="1">_xll.DBRW($B$1,$B$2,$B$7,$B$3,$B$4,$B$5,$F343,$B$6,L$10,$A343,$B343)</f>
        <v>0</v>
      </c>
      <c r="M343" s="4">
        <f ca="1">_xll.DBRW($B$1,$B$2,$B$7,$B$3,$B$4,$B$5,$F343,$B$6,M$10,$A343,$B343)</f>
        <v>0</v>
      </c>
      <c r="N343" s="4">
        <f ca="1">_xll.DBRW($B$1,$B$2,$B$7,$B$3,$B$4,$B$5,$F343,$B$6,N$10,$A343,$B343)</f>
        <v>0</v>
      </c>
      <c r="O343" s="4">
        <f ca="1">_xll.DBRW($B$1,$B$2,$B$7,$B$3,$B$4,$B$5,$F343,$B$6,O$10,$A343,$B343)</f>
        <v>0</v>
      </c>
      <c r="P343" s="4">
        <f ca="1">_xll.DBRW($B$1,$B$2,$B$7,$B$3,$B$4,$B$5,$F343,$B$6,P$10,$A343,$B343)</f>
        <v>3545.1935047182055</v>
      </c>
      <c r="Q343" s="4">
        <f ca="1">_xll.DBRW($B$1,$B$2,$B$7,$B$3,$B$4,$B$5,$F343,$B$6,Q$10,$A343,$B343)</f>
        <v>4898.5867783026897</v>
      </c>
      <c r="R343" s="4">
        <f ca="1">_xll.DBRW($B$1,$B$2,$B$7,$B$3,$B$4,$B$5,$F343,$B$6,R$10,$A343,$B343)</f>
        <v>4670.5901136789071</v>
      </c>
      <c r="S343" s="4">
        <f ca="1">_xll.DBRW($B$1,$B$2,$B$7,$B$3,$B$4,$B$5,$F343,$B$6,S$10,$A343,$B343)</f>
        <v>4714.7734259744075</v>
      </c>
      <c r="T343" s="4">
        <f ca="1">_xll.DBRW($B$1,$B$2,$B$7,$B$3,$B$4,$B$5,$F343,$B$6,T$10,$A343,$B343)</f>
        <v>3012.4677000535899</v>
      </c>
      <c r="U343" s="4">
        <f ca="1">_xll.DBRW($B$1,$B$2,$B$7,$B$3,$B$4,$B$5,$F343,$B$6,U$10,$A343,$B343)</f>
        <v>3464.5730111306912</v>
      </c>
      <c r="V343" s="4">
        <f ca="1">_xll.DBRW($B$1,$B$2,$B$7,$B$3,$B$4,$B$5,$F343,$B$6,V$10,$A343,$B343)</f>
        <v>5299.970368287165</v>
      </c>
      <c r="W343" s="4">
        <f ca="1">_xll.DBRW($B$1,$B$2,$B$7,$B$3,$B$4,$B$5,$F343,$B$6,W$10,$A343,$B343)</f>
        <v>5179.419575719603</v>
      </c>
      <c r="X343" s="4">
        <f ca="1">_xll.DBRW($B$1,$B$2,$B$7,$B$3,$B$4,$B$5,$F343,$B$6,X$10,$A343,$B343)</f>
        <v>4922.467766286225</v>
      </c>
      <c r="Y343" s="4">
        <f ca="1">_xll.DBRW($B$1,$B$2,$B$7,$B$3,$B$4,$B$5,$F343,$B$6,Y$10,$A343,$B343)</f>
        <v>5451.6930906061962</v>
      </c>
      <c r="Z343" s="4">
        <f ca="1">_xll.DBRW($B$1,$B$2,$B$7,$B$3,$B$4,$B$5,$F343,$B$6,Z$10,$A343,$B343)</f>
        <v>4377.5145576224349</v>
      </c>
      <c r="AA343" s="4">
        <f ca="1">_xll.DBRW($B$1,$B$2,$B$7,$B$3,$B$4,$B$5,$F343,$B$6,AA$10,$A343,$B343)</f>
        <v>5457.4320806552796</v>
      </c>
      <c r="AB343" s="4">
        <f ca="1">_xll.DBRW($B$1,$B$2,$B$7,$B$3,$B$4,$B$5,$F343,$B$6,AB$10,$A343,$B343)</f>
        <v>5141.7941309600101</v>
      </c>
      <c r="AC343" s="4">
        <f ca="1">_xll.DBRW($B$1,$B$2,$B$7,$B$3,$B$4,$B$5,$F343,$B$6,AC$10,$A343,$B343)</f>
        <v>4660.2720912526966</v>
      </c>
      <c r="AD343" s="4">
        <f ca="1">_xll.DBRW($B$1,$B$2,$B$7,$B$3,$B$4,$B$5,$F343,$B$6,AD$10,$A343,$B343)</f>
        <v>5672.3338710621338</v>
      </c>
      <c r="AE343" s="4">
        <f ca="1">_xll.DBRW($B$1,$B$2,$B$7,$B$3,$B$4,$B$5,$F343,$B$6,AE$10,$A343,$B343)</f>
        <v>5699.2403746547152</v>
      </c>
    </row>
    <row r="344" spans="1:31">
      <c r="A344" s="1" t="s">
        <v>151</v>
      </c>
      <c r="B344" s="5" t="s">
        <v>305</v>
      </c>
      <c r="C344" s="5" t="s">
        <v>306</v>
      </c>
      <c r="D344" s="5" t="s">
        <v>304</v>
      </c>
      <c r="E344" s="5" t="s">
        <v>21</v>
      </c>
      <c r="F344" s="5" t="s">
        <v>25</v>
      </c>
      <c r="G344" s="6"/>
      <c r="H344" s="6"/>
      <c r="I344" s="6"/>
      <c r="J344" s="6"/>
      <c r="K344" s="6"/>
      <c r="L344" s="4">
        <f ca="1">_xll.DBRW($B$1,$B$2,$B$7,$B$3,$B$4,$B$5,$F344,$B$6,L$10,$A344,$B344)</f>
        <v>0</v>
      </c>
      <c r="M344" s="4">
        <f ca="1">_xll.DBRW($B$1,$B$2,$B$7,$B$3,$B$4,$B$5,$F344,$B$6,M$10,$A344,$B344)</f>
        <v>0</v>
      </c>
      <c r="N344" s="4">
        <f ca="1">_xll.DBRW($B$1,$B$2,$B$7,$B$3,$B$4,$B$5,$F344,$B$6,N$10,$A344,$B344)</f>
        <v>0</v>
      </c>
      <c r="O344" s="4">
        <f ca="1">_xll.DBRW($B$1,$B$2,$B$7,$B$3,$B$4,$B$5,$F344,$B$6,O$10,$A344,$B344)</f>
        <v>0</v>
      </c>
      <c r="P344" s="4">
        <f ca="1">_xll.DBRW($B$1,$B$2,$B$7,$B$3,$B$4,$B$5,$F344,$B$6,P$10,$A344,$B344)</f>
        <v>3408.7264222436179</v>
      </c>
      <c r="Q344" s="4">
        <f ca="1">_xll.DBRW($B$1,$B$2,$B$7,$B$3,$B$4,$B$5,$F344,$B$6,Q$10,$A344,$B344)</f>
        <v>4897.736624401562</v>
      </c>
      <c r="R344" s="4">
        <f ca="1">_xll.DBRW($B$1,$B$2,$B$7,$B$3,$B$4,$B$5,$F344,$B$6,R$10,$A344,$B344)</f>
        <v>4670.5901136789071</v>
      </c>
      <c r="S344" s="4">
        <f ca="1">_xll.DBRW($B$1,$B$2,$B$7,$B$3,$B$4,$B$5,$F344,$B$6,S$10,$A344,$B344)</f>
        <v>4709.1452858001549</v>
      </c>
      <c r="T344" s="4">
        <f ca="1">_xll.DBRW($B$1,$B$2,$B$7,$B$3,$B$4,$B$5,$F344,$B$6,T$10,$A344,$B344)</f>
        <v>3016.0484903236488</v>
      </c>
      <c r="U344" s="4">
        <f ca="1">_xll.DBRW($B$1,$B$2,$B$7,$B$3,$B$4,$B$5,$F344,$B$6,U$10,$A344,$B344)</f>
        <v>3464.5730111306912</v>
      </c>
      <c r="V344" s="4">
        <f ca="1">_xll.DBRW($B$1,$B$2,$B$7,$B$3,$B$4,$B$5,$F344,$B$6,V$10,$A344,$B344)</f>
        <v>5299.970368287165</v>
      </c>
      <c r="W344" s="4">
        <f ca="1">_xll.DBRW($B$1,$B$2,$B$7,$B$3,$B$4,$B$5,$F344,$B$6,W$10,$A344,$B344)</f>
        <v>5179.419575719603</v>
      </c>
      <c r="X344" s="4">
        <f ca="1">_xll.DBRW($B$1,$B$2,$B$7,$B$3,$B$4,$B$5,$F344,$B$6,X$10,$A344,$B344)</f>
        <v>4922.467766286225</v>
      </c>
      <c r="Y344" s="4">
        <f ca="1">_xll.DBRW($B$1,$B$2,$B$7,$B$3,$B$4,$B$5,$F344,$B$6,Y$10,$A344,$B344)</f>
        <v>5451.6930906061962</v>
      </c>
      <c r="Z344" s="4">
        <f ca="1">_xll.DBRW($B$1,$B$2,$B$7,$B$3,$B$4,$B$5,$F344,$B$6,Z$10,$A344,$B344)</f>
        <v>4377.5145576224349</v>
      </c>
      <c r="AA344" s="4">
        <f ca="1">_xll.DBRW($B$1,$B$2,$B$7,$B$3,$B$4,$B$5,$F344,$B$6,AA$10,$A344,$B344)</f>
        <v>5457.4320806552796</v>
      </c>
      <c r="AB344" s="4">
        <f ca="1">_xll.DBRW($B$1,$B$2,$B$7,$B$3,$B$4,$B$5,$F344,$B$6,AB$10,$A344,$B344)</f>
        <v>5141.7941309600101</v>
      </c>
      <c r="AC344" s="4">
        <f ca="1">_xll.DBRW($B$1,$B$2,$B$7,$B$3,$B$4,$B$5,$F344,$B$6,AC$10,$A344,$B344)</f>
        <v>4660.2720912526966</v>
      </c>
      <c r="AD344" s="4">
        <f ca="1">_xll.DBRW($B$1,$B$2,$B$7,$B$3,$B$4,$B$5,$F344,$B$6,AD$10,$A344,$B344)</f>
        <v>5665.3641787508413</v>
      </c>
      <c r="AE344" s="4">
        <f ca="1">_xll.DBRW($B$1,$B$2,$B$7,$B$3,$B$4,$B$5,$F344,$B$6,AE$10,$A344,$B344)</f>
        <v>5699.2403746547152</v>
      </c>
    </row>
    <row r="345" spans="1:31">
      <c r="A345" s="1" t="s">
        <v>151</v>
      </c>
      <c r="B345" s="5" t="s">
        <v>307</v>
      </c>
      <c r="C345" s="5" t="s">
        <v>308</v>
      </c>
      <c r="D345" s="5" t="s">
        <v>21</v>
      </c>
      <c r="E345" s="5" t="s">
        <v>309</v>
      </c>
      <c r="F345" s="5" t="s">
        <v>25</v>
      </c>
      <c r="G345" s="6"/>
      <c r="H345" s="6"/>
      <c r="I345" s="6"/>
      <c r="J345" s="6"/>
      <c r="K345" s="6"/>
      <c r="L345" s="4">
        <f ca="1">_xll.DBRW($B$1,$B$2,$B$7,$B$3,$B$4,$B$5,$F345,$B$6,L$10,$A345,$B345)</f>
        <v>0</v>
      </c>
      <c r="M345" s="4">
        <f ca="1">_xll.DBRW($B$1,$B$2,$B$7,$B$3,$B$4,$B$5,$F345,$B$6,M$10,$A345,$B345)</f>
        <v>0</v>
      </c>
      <c r="N345" s="4">
        <f ca="1">_xll.DBRW($B$1,$B$2,$B$7,$B$3,$B$4,$B$5,$F345,$B$6,N$10,$A345,$B345)</f>
        <v>0</v>
      </c>
      <c r="O345" s="4">
        <f ca="1">_xll.DBRW($B$1,$B$2,$B$7,$B$3,$B$4,$B$5,$F345,$B$6,O$10,$A345,$B345)</f>
        <v>0</v>
      </c>
      <c r="P345" s="4">
        <f ca="1">_xll.DBRW($B$1,$B$2,$B$7,$B$3,$B$4,$B$5,$F345,$B$6,P$10,$A345,$B345)</f>
        <v>0</v>
      </c>
      <c r="Q345" s="4">
        <f ca="1">_xll.DBRW($B$1,$B$2,$B$7,$B$3,$B$4,$B$5,$F345,$B$6,Q$10,$A345,$B345)</f>
        <v>693.77376205437054</v>
      </c>
      <c r="R345" s="4">
        <f ca="1">_xll.DBRW($B$1,$B$2,$B$7,$B$3,$B$4,$B$5,$F345,$B$6,R$10,$A345,$B345)</f>
        <v>3757.2138381057962</v>
      </c>
      <c r="S345" s="4">
        <f ca="1">_xll.DBRW($B$1,$B$2,$B$7,$B$3,$B$4,$B$5,$F345,$B$6,S$10,$A345,$B345)</f>
        <v>4540.5751098694318</v>
      </c>
      <c r="T345" s="4">
        <f ca="1">_xll.DBRW($B$1,$B$2,$B$7,$B$3,$B$4,$B$5,$F345,$B$6,T$10,$A345,$B345)</f>
        <v>5138.9583316074286</v>
      </c>
      <c r="U345" s="4">
        <f ca="1">_xll.DBRW($B$1,$B$2,$B$7,$B$3,$B$4,$B$5,$F345,$B$6,U$10,$A345,$B345)</f>
        <v>4449.5735314567291</v>
      </c>
      <c r="V345" s="4">
        <f ca="1">_xll.DBRW($B$1,$B$2,$B$7,$B$3,$B$4,$B$5,$F345,$B$6,V$10,$A345,$B345)</f>
        <v>4312.1320974216778</v>
      </c>
      <c r="W345" s="4">
        <f ca="1">_xll.DBRW($B$1,$B$2,$B$7,$B$3,$B$4,$B$5,$F345,$B$6,W$10,$A345,$B345)</f>
        <v>0</v>
      </c>
      <c r="X345" s="4">
        <f ca="1">_xll.DBRW($B$1,$B$2,$B$7,$B$3,$B$4,$B$5,$F345,$B$6,X$10,$A345,$B345)</f>
        <v>0</v>
      </c>
      <c r="Y345" s="4">
        <f ca="1">_xll.DBRW($B$1,$B$2,$B$7,$B$3,$B$4,$B$5,$F345,$B$6,Y$10,$A345,$B345)</f>
        <v>0</v>
      </c>
      <c r="Z345" s="4">
        <f ca="1">_xll.DBRW($B$1,$B$2,$B$7,$B$3,$B$4,$B$5,$F345,$B$6,Z$10,$A345,$B345)</f>
        <v>0</v>
      </c>
      <c r="AA345" s="4">
        <f ca="1">_xll.DBRW($B$1,$B$2,$B$7,$B$3,$B$4,$B$5,$F345,$B$6,AA$10,$A345,$B345)</f>
        <v>0</v>
      </c>
      <c r="AB345" s="4">
        <f ca="1">_xll.DBRW($B$1,$B$2,$B$7,$B$3,$B$4,$B$5,$F345,$B$6,AB$10,$A345,$B345)</f>
        <v>0</v>
      </c>
      <c r="AC345" s="4">
        <f ca="1">_xll.DBRW($B$1,$B$2,$B$7,$B$3,$B$4,$B$5,$F345,$B$6,AC$10,$A345,$B345)</f>
        <v>856.99572962280183</v>
      </c>
      <c r="AD345" s="4">
        <f ca="1">_xll.DBRW($B$1,$B$2,$B$7,$B$3,$B$4,$B$5,$F345,$B$6,AD$10,$A345,$B345)</f>
        <v>3975.770166203115</v>
      </c>
      <c r="AE345" s="4">
        <f ca="1">_xll.DBRW($B$1,$B$2,$B$7,$B$3,$B$4,$B$5,$F345,$B$6,AE$10,$A345,$B345)</f>
        <v>5075.8149557952074</v>
      </c>
    </row>
    <row r="346" spans="1:31">
      <c r="A346" s="1" t="s">
        <v>151</v>
      </c>
      <c r="B346" s="5" t="s">
        <v>310</v>
      </c>
      <c r="C346" s="5" t="s">
        <v>311</v>
      </c>
      <c r="D346" s="5" t="s">
        <v>309</v>
      </c>
      <c r="E346" s="5" t="s">
        <v>21</v>
      </c>
      <c r="F346" s="5" t="s">
        <v>25</v>
      </c>
      <c r="G346" s="6"/>
      <c r="H346" s="6"/>
      <c r="I346" s="6"/>
      <c r="J346" s="6"/>
      <c r="K346" s="6"/>
      <c r="L346" s="4">
        <f ca="1">_xll.DBRW($B$1,$B$2,$B$7,$B$3,$B$4,$B$5,$F346,$B$6,L$10,$A346,$B346)</f>
        <v>0</v>
      </c>
      <c r="M346" s="4">
        <f ca="1">_xll.DBRW($B$1,$B$2,$B$7,$B$3,$B$4,$B$5,$F346,$B$6,M$10,$A346,$B346)</f>
        <v>0</v>
      </c>
      <c r="N346" s="4">
        <f ca="1">_xll.DBRW($B$1,$B$2,$B$7,$B$3,$B$4,$B$5,$F346,$B$6,N$10,$A346,$B346)</f>
        <v>0</v>
      </c>
      <c r="O346" s="4">
        <f ca="1">_xll.DBRW($B$1,$B$2,$B$7,$B$3,$B$4,$B$5,$F346,$B$6,O$10,$A346,$B346)</f>
        <v>0</v>
      </c>
      <c r="P346" s="4">
        <f ca="1">_xll.DBRW($B$1,$B$2,$B$7,$B$3,$B$4,$B$5,$F346,$B$6,P$10,$A346,$B346)</f>
        <v>0</v>
      </c>
      <c r="Q346" s="4">
        <f ca="1">_xll.DBRW($B$1,$B$2,$B$7,$B$3,$B$4,$B$5,$F346,$B$6,Q$10,$A346,$B346)</f>
        <v>578.14480171197545</v>
      </c>
      <c r="R346" s="4">
        <f ca="1">_xll.DBRW($B$1,$B$2,$B$7,$B$3,$B$4,$B$5,$F346,$B$6,R$10,$A346,$B346)</f>
        <v>3757.2138381057962</v>
      </c>
      <c r="S346" s="4">
        <f ca="1">_xll.DBRW($B$1,$B$2,$B$7,$B$3,$B$4,$B$5,$F346,$B$6,S$10,$A346,$B346)</f>
        <v>4540.5751098694318</v>
      </c>
      <c r="T346" s="4">
        <f ca="1">_xll.DBRW($B$1,$B$2,$B$7,$B$3,$B$4,$B$5,$F346,$B$6,T$10,$A346,$B346)</f>
        <v>5138.9583316074286</v>
      </c>
      <c r="U346" s="4">
        <f ca="1">_xll.DBRW($B$1,$B$2,$B$7,$B$3,$B$4,$B$5,$F346,$B$6,U$10,$A346,$B346)</f>
        <v>4449.5735314567291</v>
      </c>
      <c r="V346" s="4">
        <f ca="1">_xll.DBRW($B$1,$B$2,$B$7,$B$3,$B$4,$B$5,$F346,$B$6,V$10,$A346,$B346)</f>
        <v>4312.1320974216778</v>
      </c>
      <c r="W346" s="4">
        <f ca="1">_xll.DBRW($B$1,$B$2,$B$7,$B$3,$B$4,$B$5,$F346,$B$6,W$10,$A346,$B346)</f>
        <v>0</v>
      </c>
      <c r="X346" s="4">
        <f ca="1">_xll.DBRW($B$1,$B$2,$B$7,$B$3,$B$4,$B$5,$F346,$B$6,X$10,$A346,$B346)</f>
        <v>0</v>
      </c>
      <c r="Y346" s="4">
        <f ca="1">_xll.DBRW($B$1,$B$2,$B$7,$B$3,$B$4,$B$5,$F346,$B$6,Y$10,$A346,$B346)</f>
        <v>0</v>
      </c>
      <c r="Z346" s="4">
        <f ca="1">_xll.DBRW($B$1,$B$2,$B$7,$B$3,$B$4,$B$5,$F346,$B$6,Z$10,$A346,$B346)</f>
        <v>0</v>
      </c>
      <c r="AA346" s="4">
        <f ca="1">_xll.DBRW($B$1,$B$2,$B$7,$B$3,$B$4,$B$5,$F346,$B$6,AA$10,$A346,$B346)</f>
        <v>0</v>
      </c>
      <c r="AB346" s="4">
        <f ca="1">_xll.DBRW($B$1,$B$2,$B$7,$B$3,$B$4,$B$5,$F346,$B$6,AB$10,$A346,$B346)</f>
        <v>0</v>
      </c>
      <c r="AC346" s="4">
        <f ca="1">_xll.DBRW($B$1,$B$2,$B$7,$B$3,$B$4,$B$5,$F346,$B$6,AC$10,$A346,$B346)</f>
        <v>856.99572962280183</v>
      </c>
      <c r="AD346" s="4">
        <f ca="1">_xll.DBRW($B$1,$B$2,$B$7,$B$3,$B$4,$B$5,$F346,$B$6,AD$10,$A346,$B346)</f>
        <v>3975.770166203115</v>
      </c>
      <c r="AE346" s="4">
        <f ca="1">_xll.DBRW($B$1,$B$2,$B$7,$B$3,$B$4,$B$5,$F346,$B$6,AE$10,$A346,$B346)</f>
        <v>5075.8149557952074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82"/>
  <sheetViews>
    <sheetView workbookViewId="0">
      <pane ySplit="10" topLeftCell="A15" activePane="bottomLeft" state="frozen"/>
      <selection pane="bottomLeft" activeCell="G47" sqref="G47"/>
      <selection activeCell="G47" sqref="G47"/>
    </sheetView>
  </sheetViews>
  <sheetFormatPr defaultRowHeight="16.5"/>
  <cols>
    <col min="1" max="1" width="16" style="1" bestFit="1" customWidth="1"/>
    <col min="2" max="2" width="25.85546875" style="1" bestFit="1" customWidth="1"/>
    <col min="3" max="5" width="25.85546875" style="1" customWidth="1"/>
    <col min="6" max="6" width="17.7109375" style="1" customWidth="1"/>
    <col min="7" max="7" width="13.140625" style="1" bestFit="1" customWidth="1"/>
    <col min="8" max="8" width="9.28515625" style="1" bestFit="1" customWidth="1"/>
    <col min="9" max="9" width="9.42578125" style="1" bestFit="1" customWidth="1"/>
    <col min="10" max="10" width="9.85546875" style="1" bestFit="1" customWidth="1"/>
    <col min="11" max="11" width="9.28515625" style="1" bestFit="1" customWidth="1"/>
    <col min="12" max="12" width="10.28515625" style="1" bestFit="1" customWidth="1"/>
    <col min="13" max="13" width="9.140625" style="1" bestFit="1" customWidth="1"/>
    <col min="14" max="14" width="8.28515625" style="1" bestFit="1" customWidth="1"/>
    <col min="15" max="15" width="9.85546875" style="1" bestFit="1" customWidth="1"/>
    <col min="16" max="16" width="9.42578125" style="1" bestFit="1" customWidth="1"/>
    <col min="17" max="17" width="9.5703125" style="1" bestFit="1" customWidth="1"/>
    <col min="18" max="19" width="10" style="1" bestFit="1" customWidth="1"/>
    <col min="20" max="20" width="9.28515625" style="1" bestFit="1" customWidth="1"/>
    <col min="21" max="21" width="9.42578125" style="1" bestFit="1" customWidth="1"/>
    <col min="22" max="22" width="9.85546875" style="1" bestFit="1" customWidth="1"/>
    <col min="23" max="23" width="9.28515625" style="1" bestFit="1" customWidth="1"/>
    <col min="24" max="24" width="10.28515625" style="1" bestFit="1" customWidth="1"/>
    <col min="25" max="25" width="9.140625" style="1"/>
    <col min="26" max="26" width="8.28515625" style="1" bestFit="1" customWidth="1"/>
    <col min="27" max="27" width="9.85546875" style="1" bestFit="1" customWidth="1"/>
    <col min="28" max="28" width="9.42578125" style="1" bestFit="1" customWidth="1"/>
    <col min="29" max="29" width="9.5703125" style="1" bestFit="1" customWidth="1"/>
    <col min="30" max="31" width="10" style="1" bestFit="1" customWidth="1"/>
    <col min="32" max="16384" width="9.140625" style="1"/>
  </cols>
  <sheetData>
    <row r="1" spans="1:31">
      <c r="A1" s="1" t="s">
        <v>122</v>
      </c>
      <c r="B1" s="1" t="str">
        <f ca="1">_xll.VIEW("planning:oraclegl-reporting",$B$2,$B$7,$B$3,$B$4,$B$5,"!",$B$6,"!","!","!")</f>
        <v>planning:oraclegl-reporting</v>
      </c>
    </row>
    <row r="2" spans="1:31">
      <c r="A2" s="2" t="s">
        <v>123</v>
      </c>
      <c r="B2" s="1" t="str">
        <f ca="1">_xll.SUBNM("planning:translation","","translated")</f>
        <v>translated</v>
      </c>
    </row>
    <row r="3" spans="1:31">
      <c r="A3" s="2" t="s">
        <v>125</v>
      </c>
      <c r="B3" s="1" t="str">
        <f ca="1">_xll.SUBNM("planning:sob","","Total SOB")</f>
        <v>Total SOB</v>
      </c>
    </row>
    <row r="4" spans="1:31">
      <c r="A4" s="2" t="s">
        <v>127</v>
      </c>
      <c r="B4" s="1" t="str">
        <f ca="1">_xll.SUBNM("planning:lob","","VA")</f>
        <v>VA</v>
      </c>
    </row>
    <row r="5" spans="1:31">
      <c r="A5" s="2" t="s">
        <v>129</v>
      </c>
      <c r="B5" s="1" t="str">
        <f ca="1">_xll.SUBNM("planning:currency","","Total Currency")</f>
        <v>Total Currency</v>
      </c>
    </row>
    <row r="6" spans="1:31">
      <c r="A6" s="2" t="s">
        <v>132</v>
      </c>
      <c r="B6" s="1" t="str">
        <f ca="1">_xll.SUBNM("planning:rcentre","Default","VALT","desc")</f>
        <v>VALT - Total VAAL</v>
      </c>
    </row>
    <row r="7" spans="1:31">
      <c r="A7" s="2" t="s">
        <v>133</v>
      </c>
      <c r="B7" s="1" t="s">
        <v>134</v>
      </c>
    </row>
    <row r="10" spans="1:31">
      <c r="B10" s="3" t="s">
        <v>1</v>
      </c>
      <c r="C10" s="3" t="s">
        <v>2</v>
      </c>
      <c r="D10" s="3" t="s">
        <v>3</v>
      </c>
      <c r="E10" s="3" t="s">
        <v>4</v>
      </c>
      <c r="F10" s="3" t="s">
        <v>157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3" t="s">
        <v>148</v>
      </c>
      <c r="S10" s="3" t="s">
        <v>149</v>
      </c>
      <c r="T10" s="3" t="s">
        <v>6</v>
      </c>
      <c r="U10" s="3" t="s">
        <v>7</v>
      </c>
      <c r="V10" s="3" t="s">
        <v>8</v>
      </c>
      <c r="W10" s="3" t="s">
        <v>9</v>
      </c>
      <c r="X10" s="3" t="s">
        <v>10</v>
      </c>
      <c r="Y10" s="3" t="s">
        <v>11</v>
      </c>
      <c r="Z10" s="3" t="s">
        <v>12</v>
      </c>
      <c r="AA10" s="3" t="s">
        <v>13</v>
      </c>
      <c r="AB10" s="3" t="s">
        <v>14</v>
      </c>
      <c r="AC10" s="3" t="s">
        <v>15</v>
      </c>
      <c r="AD10" s="3" t="s">
        <v>16</v>
      </c>
      <c r="AE10" s="3" t="s">
        <v>17</v>
      </c>
    </row>
    <row r="11" spans="1:31">
      <c r="A11" s="1" t="s">
        <v>150</v>
      </c>
      <c r="B11" s="5" t="s">
        <v>158</v>
      </c>
      <c r="C11" s="5" t="s">
        <v>159</v>
      </c>
      <c r="D11" s="5" t="s">
        <v>21</v>
      </c>
      <c r="E11" s="5" t="s">
        <v>38</v>
      </c>
      <c r="F11" s="5" t="s">
        <v>312</v>
      </c>
      <c r="G11" s="6"/>
      <c r="H11" s="6"/>
      <c r="I11" s="6"/>
      <c r="J11" s="6"/>
      <c r="K11" s="6"/>
      <c r="L11" s="4">
        <f ca="1">_xll.DBRW($B$1,$B$2,$B$7,$B$3,$B$4,$B$5,$F11,$B$6,L$10,$A11,$B11)</f>
        <v>0</v>
      </c>
      <c r="M11" s="4">
        <f ca="1">_xll.DBRW($B$1,$B$2,$B$7,$B$3,$B$4,$B$5,$F11,$B$6,M$10,$A11,$B11)</f>
        <v>0</v>
      </c>
      <c r="N11" s="4">
        <f ca="1">_xll.DBRW($B$1,$B$2,$B$7,$B$3,$B$4,$B$5,$F11,$B$6,N$10,$A11,$B11)</f>
        <v>1</v>
      </c>
      <c r="O11" s="4">
        <f ca="1">_xll.DBRW($B$1,$B$2,$B$7,$B$3,$B$4,$B$5,$F11,$B$6,O$10,$A11,$B11)</f>
        <v>0</v>
      </c>
      <c r="P11" s="4">
        <f ca="1">_xll.DBRW($B$1,$B$2,$B$7,$B$3,$B$4,$B$5,$F11,$B$6,P$10,$A11,$B11)</f>
        <v>0</v>
      </c>
      <c r="Q11" s="4">
        <f ca="1">_xll.DBRW($B$1,$B$2,$B$7,$B$3,$B$4,$B$5,$F11,$B$6,Q$10,$A11,$B11)</f>
        <v>0</v>
      </c>
      <c r="R11" s="4">
        <f ca="1">_xll.DBRW($B$1,$B$2,$B$7,$B$3,$B$4,$B$5,$F11,$B$6,R$10,$A11,$B11)</f>
        <v>0</v>
      </c>
      <c r="S11" s="4">
        <f ca="1">_xll.DBRW($B$1,$B$2,$B$7,$B$3,$B$4,$B$5,$F11,$B$6,S$10,$A11,$B11)</f>
        <v>0</v>
      </c>
      <c r="T11" s="4">
        <f ca="1">_xll.DBRW($B$1,$B$2,$B$7,$B$3,$B$4,$B$5,$F11,$B$6,T$10,$A11,$B11)</f>
        <v>0</v>
      </c>
      <c r="U11" s="4">
        <f ca="1">_xll.DBRW($B$1,$B$2,$B$7,$B$3,$B$4,$B$5,$F11,$B$6,U$10,$A11,$B11)</f>
        <v>0</v>
      </c>
      <c r="V11" s="4">
        <f ca="1">_xll.DBRW($B$1,$B$2,$B$7,$B$3,$B$4,$B$5,$F11,$B$6,V$10,$A11,$B11)</f>
        <v>0</v>
      </c>
      <c r="W11" s="4">
        <f ca="1">_xll.DBRW($B$1,$B$2,$B$7,$B$3,$B$4,$B$5,$F11,$B$6,W$10,$A11,$B11)</f>
        <v>0</v>
      </c>
      <c r="X11" s="4">
        <f ca="1">_xll.DBRW($B$1,$B$2,$B$7,$B$3,$B$4,$B$5,$F11,$B$6,X$10,$A11,$B11)</f>
        <v>0</v>
      </c>
      <c r="Y11" s="4">
        <f ca="1">_xll.DBRW($B$1,$B$2,$B$7,$B$3,$B$4,$B$5,$F11,$B$6,Y$10,$A11,$B11)</f>
        <v>0</v>
      </c>
      <c r="Z11" s="4">
        <f ca="1">_xll.DBRW($B$1,$B$2,$B$7,$B$3,$B$4,$B$5,$F11,$B$6,Z$10,$A11,$B11)</f>
        <v>0</v>
      </c>
      <c r="AA11" s="4">
        <f ca="1">_xll.DBRW($B$1,$B$2,$B$7,$B$3,$B$4,$B$5,$F11,$B$6,AA$10,$A11,$B11)</f>
        <v>0</v>
      </c>
      <c r="AB11" s="4">
        <f ca="1">_xll.DBRW($B$1,$B$2,$B$7,$B$3,$B$4,$B$5,$F11,$B$6,AB$10,$A11,$B11)</f>
        <v>0</v>
      </c>
      <c r="AC11" s="4">
        <f ca="1">_xll.DBRW($B$1,$B$2,$B$7,$B$3,$B$4,$B$5,$F11,$B$6,AC$10,$A11,$B11)</f>
        <v>0</v>
      </c>
      <c r="AD11" s="4">
        <f ca="1">_xll.DBRW($B$1,$B$2,$B$7,$B$3,$B$4,$B$5,$F11,$B$6,AD$10,$A11,$B11)</f>
        <v>0</v>
      </c>
      <c r="AE11" s="4">
        <f ca="1">_xll.DBRW($B$1,$B$2,$B$7,$B$3,$B$4,$B$5,$F11,$B$6,AE$10,$A11,$B11)</f>
        <v>0</v>
      </c>
    </row>
    <row r="12" spans="1:31">
      <c r="A12" s="1" t="s">
        <v>150</v>
      </c>
      <c r="B12" s="5" t="s">
        <v>36</v>
      </c>
      <c r="C12" s="5" t="s">
        <v>37</v>
      </c>
      <c r="D12" s="5" t="s">
        <v>38</v>
      </c>
      <c r="E12" s="5" t="s">
        <v>21</v>
      </c>
      <c r="F12" s="5" t="s">
        <v>312</v>
      </c>
      <c r="G12" s="6"/>
      <c r="H12" s="6"/>
      <c r="I12" s="6"/>
      <c r="J12" s="6"/>
      <c r="K12" s="6"/>
      <c r="L12" s="4">
        <f ca="1">_xll.DBRW($B$1,$B$2,$B$7,$B$3,$B$4,$B$5,$F12,$B$6,L$10,$A12,$B12)</f>
        <v>2</v>
      </c>
      <c r="M12" s="4">
        <f ca="1">_xll.DBRW($B$1,$B$2,$B$7,$B$3,$B$4,$B$5,$F12,$B$6,M$10,$A12,$B12)</f>
        <v>0</v>
      </c>
      <c r="N12" s="4">
        <f ca="1">_xll.DBRW($B$1,$B$2,$B$7,$B$3,$B$4,$B$5,$F12,$B$6,N$10,$A12,$B12)</f>
        <v>4</v>
      </c>
      <c r="O12" s="4">
        <f ca="1">_xll.DBRW($B$1,$B$2,$B$7,$B$3,$B$4,$B$5,$F12,$B$6,O$10,$A12,$B12)</f>
        <v>0</v>
      </c>
      <c r="P12" s="4">
        <f ca="1">_xll.DBRW($B$1,$B$2,$B$7,$B$3,$B$4,$B$5,$F12,$B$6,P$10,$A12,$B12)</f>
        <v>0</v>
      </c>
      <c r="Q12" s="4">
        <f ca="1">_xll.DBRW($B$1,$B$2,$B$7,$B$3,$B$4,$B$5,$F12,$B$6,Q$10,$A12,$B12)</f>
        <v>0</v>
      </c>
      <c r="R12" s="4">
        <f ca="1">_xll.DBRW($B$1,$B$2,$B$7,$B$3,$B$4,$B$5,$F12,$B$6,R$10,$A12,$B12)</f>
        <v>0</v>
      </c>
      <c r="S12" s="4">
        <f ca="1">_xll.DBRW($B$1,$B$2,$B$7,$B$3,$B$4,$B$5,$F12,$B$6,S$10,$A12,$B12)</f>
        <v>0</v>
      </c>
      <c r="T12" s="4">
        <f ca="1">_xll.DBRW($B$1,$B$2,$B$7,$B$3,$B$4,$B$5,$F12,$B$6,T$10,$A12,$B12)</f>
        <v>0</v>
      </c>
      <c r="U12" s="4">
        <f ca="1">_xll.DBRW($B$1,$B$2,$B$7,$B$3,$B$4,$B$5,$F12,$B$6,U$10,$A12,$B12)</f>
        <v>0</v>
      </c>
      <c r="V12" s="4">
        <f ca="1">_xll.DBRW($B$1,$B$2,$B$7,$B$3,$B$4,$B$5,$F12,$B$6,V$10,$A12,$B12)</f>
        <v>1</v>
      </c>
      <c r="W12" s="4">
        <f ca="1">_xll.DBRW($B$1,$B$2,$B$7,$B$3,$B$4,$B$5,$F12,$B$6,W$10,$A12,$B12)</f>
        <v>8</v>
      </c>
      <c r="X12" s="4">
        <f ca="1">_xll.DBRW($B$1,$B$2,$B$7,$B$3,$B$4,$B$5,$F12,$B$6,X$10,$A12,$B12)</f>
        <v>9</v>
      </c>
      <c r="Y12" s="4">
        <f ca="1">_xll.DBRW($B$1,$B$2,$B$7,$B$3,$B$4,$B$5,$F12,$B$6,Y$10,$A12,$B12)</f>
        <v>9</v>
      </c>
      <c r="Z12" s="4">
        <f ca="1">_xll.DBRW($B$1,$B$2,$B$7,$B$3,$B$4,$B$5,$F12,$B$6,Z$10,$A12,$B12)</f>
        <v>9</v>
      </c>
      <c r="AA12" s="4">
        <f ca="1">_xll.DBRW($B$1,$B$2,$B$7,$B$3,$B$4,$B$5,$F12,$B$6,AA$10,$A12,$B12)</f>
        <v>8</v>
      </c>
      <c r="AB12" s="4">
        <f ca="1">_xll.DBRW($B$1,$B$2,$B$7,$B$3,$B$4,$B$5,$F12,$B$6,AB$10,$A12,$B12)</f>
        <v>9</v>
      </c>
      <c r="AC12" s="4">
        <f ca="1">_xll.DBRW($B$1,$B$2,$B$7,$B$3,$B$4,$B$5,$F12,$B$6,AC$10,$A12,$B12)</f>
        <v>7</v>
      </c>
      <c r="AD12" s="4">
        <f ca="1">_xll.DBRW($B$1,$B$2,$B$7,$B$3,$B$4,$B$5,$F12,$B$6,AD$10,$A12,$B12)</f>
        <v>0</v>
      </c>
      <c r="AE12" s="4">
        <f ca="1">_xll.DBRW($B$1,$B$2,$B$7,$B$3,$B$4,$B$5,$F12,$B$6,AE$10,$A12,$B12)</f>
        <v>0</v>
      </c>
    </row>
    <row r="13" spans="1:31">
      <c r="A13" s="1" t="s">
        <v>150</v>
      </c>
      <c r="B13" s="5" t="s">
        <v>160</v>
      </c>
      <c r="C13" s="5" t="s">
        <v>161</v>
      </c>
      <c r="D13" s="5" t="s">
        <v>21</v>
      </c>
      <c r="E13" s="5" t="s">
        <v>69</v>
      </c>
      <c r="F13" s="5" t="s">
        <v>312</v>
      </c>
      <c r="G13" s="6"/>
      <c r="H13" s="6"/>
      <c r="I13" s="6"/>
      <c r="J13" s="6"/>
      <c r="K13" s="6"/>
      <c r="L13" s="4">
        <f ca="1">_xll.DBRW($B$1,$B$2,$B$7,$B$3,$B$4,$B$5,$F13,$B$6,L$10,$A13,$B13)</f>
        <v>28</v>
      </c>
      <c r="M13" s="4">
        <f ca="1">_xll.DBRW($B$1,$B$2,$B$7,$B$3,$B$4,$B$5,$F13,$B$6,M$10,$A13,$B13)</f>
        <v>26</v>
      </c>
      <c r="N13" s="4">
        <f ca="1">_xll.DBRW($B$1,$B$2,$B$7,$B$3,$B$4,$B$5,$F13,$B$6,N$10,$A13,$B13)</f>
        <v>16</v>
      </c>
      <c r="O13" s="4">
        <f ca="1">_xll.DBRW($B$1,$B$2,$B$7,$B$3,$B$4,$B$5,$F13,$B$6,O$10,$A13,$B13)</f>
        <v>18</v>
      </c>
      <c r="P13" s="4">
        <f ca="1">_xll.DBRW($B$1,$B$2,$B$7,$B$3,$B$4,$B$5,$F13,$B$6,P$10,$A13,$B13)</f>
        <v>2</v>
      </c>
      <c r="Q13" s="4">
        <f ca="1">_xll.DBRW($B$1,$B$2,$B$7,$B$3,$B$4,$B$5,$F13,$B$6,Q$10,$A13,$B13)</f>
        <v>0</v>
      </c>
      <c r="R13" s="4">
        <f ca="1">_xll.DBRW($B$1,$B$2,$B$7,$B$3,$B$4,$B$5,$F13,$B$6,R$10,$A13,$B13)</f>
        <v>0</v>
      </c>
      <c r="S13" s="4">
        <f ca="1">_xll.DBRW($B$1,$B$2,$B$7,$B$3,$B$4,$B$5,$F13,$B$6,S$10,$A13,$B13)</f>
        <v>0</v>
      </c>
      <c r="T13" s="4">
        <f ca="1">_xll.DBRW($B$1,$B$2,$B$7,$B$3,$B$4,$B$5,$F13,$B$6,T$10,$A13,$B13)</f>
        <v>0</v>
      </c>
      <c r="U13" s="4">
        <f ca="1">_xll.DBRW($B$1,$B$2,$B$7,$B$3,$B$4,$B$5,$F13,$B$6,U$10,$A13,$B13)</f>
        <v>0</v>
      </c>
      <c r="V13" s="4">
        <f ca="1">_xll.DBRW($B$1,$B$2,$B$7,$B$3,$B$4,$B$5,$F13,$B$6,V$10,$A13,$B13)</f>
        <v>0</v>
      </c>
      <c r="W13" s="4">
        <f ca="1">_xll.DBRW($B$1,$B$2,$B$7,$B$3,$B$4,$B$5,$F13,$B$6,W$10,$A13,$B13)</f>
        <v>4</v>
      </c>
      <c r="X13" s="4">
        <f ca="1">_xll.DBRW($B$1,$B$2,$B$7,$B$3,$B$4,$B$5,$F13,$B$6,X$10,$A13,$B13)</f>
        <v>5</v>
      </c>
      <c r="Y13" s="4">
        <f ca="1">_xll.DBRW($B$1,$B$2,$B$7,$B$3,$B$4,$B$5,$F13,$B$6,Y$10,$A13,$B13)</f>
        <v>4</v>
      </c>
      <c r="Z13" s="4">
        <f ca="1">_xll.DBRW($B$1,$B$2,$B$7,$B$3,$B$4,$B$5,$F13,$B$6,Z$10,$A13,$B13)</f>
        <v>4</v>
      </c>
      <c r="AA13" s="4">
        <f ca="1">_xll.DBRW($B$1,$B$2,$B$7,$B$3,$B$4,$B$5,$F13,$B$6,AA$10,$A13,$B13)</f>
        <v>5</v>
      </c>
      <c r="AB13" s="4">
        <f ca="1">_xll.DBRW($B$1,$B$2,$B$7,$B$3,$B$4,$B$5,$F13,$B$6,AB$10,$A13,$B13)</f>
        <v>4</v>
      </c>
      <c r="AC13" s="4">
        <f ca="1">_xll.DBRW($B$1,$B$2,$B$7,$B$3,$B$4,$B$5,$F13,$B$6,AC$10,$A13,$B13)</f>
        <v>4</v>
      </c>
      <c r="AD13" s="4">
        <f ca="1">_xll.DBRW($B$1,$B$2,$B$7,$B$3,$B$4,$B$5,$F13,$B$6,AD$10,$A13,$B13)</f>
        <v>0</v>
      </c>
      <c r="AE13" s="4">
        <f ca="1">_xll.DBRW($B$1,$B$2,$B$7,$B$3,$B$4,$B$5,$F13,$B$6,AE$10,$A13,$B13)</f>
        <v>0</v>
      </c>
    </row>
    <row r="14" spans="1:31">
      <c r="A14" s="1" t="s">
        <v>150</v>
      </c>
      <c r="B14" s="5" t="s">
        <v>67</v>
      </c>
      <c r="C14" s="5" t="s">
        <v>68</v>
      </c>
      <c r="D14" s="5" t="s">
        <v>69</v>
      </c>
      <c r="E14" s="5" t="s">
        <v>21</v>
      </c>
      <c r="F14" s="5" t="s">
        <v>312</v>
      </c>
      <c r="G14" s="6"/>
      <c r="H14" s="6"/>
      <c r="I14" s="6"/>
      <c r="J14" s="6"/>
      <c r="K14" s="6"/>
      <c r="L14" s="4">
        <f ca="1">_xll.DBRW($B$1,$B$2,$B$7,$B$3,$B$4,$B$5,$F14,$B$6,L$10,$A14,$B14)</f>
        <v>28</v>
      </c>
      <c r="M14" s="4">
        <f ca="1">_xll.DBRW($B$1,$B$2,$B$7,$B$3,$B$4,$B$5,$F14,$B$6,M$10,$A14,$B14)</f>
        <v>26</v>
      </c>
      <c r="N14" s="4">
        <f ca="1">_xll.DBRW($B$1,$B$2,$B$7,$B$3,$B$4,$B$5,$F14,$B$6,N$10,$A14,$B14)</f>
        <v>16</v>
      </c>
      <c r="O14" s="4">
        <f ca="1">_xll.DBRW($B$1,$B$2,$B$7,$B$3,$B$4,$B$5,$F14,$B$6,O$10,$A14,$B14)</f>
        <v>18</v>
      </c>
      <c r="P14" s="4">
        <f ca="1">_xll.DBRW($B$1,$B$2,$B$7,$B$3,$B$4,$B$5,$F14,$B$6,P$10,$A14,$B14)</f>
        <v>2</v>
      </c>
      <c r="Q14" s="4">
        <f ca="1">_xll.DBRW($B$1,$B$2,$B$7,$B$3,$B$4,$B$5,$F14,$B$6,Q$10,$A14,$B14)</f>
        <v>0</v>
      </c>
      <c r="R14" s="4">
        <f ca="1">_xll.DBRW($B$1,$B$2,$B$7,$B$3,$B$4,$B$5,$F14,$B$6,R$10,$A14,$B14)</f>
        <v>0</v>
      </c>
      <c r="S14" s="4">
        <f ca="1">_xll.DBRW($B$1,$B$2,$B$7,$B$3,$B$4,$B$5,$F14,$B$6,S$10,$A14,$B14)</f>
        <v>0</v>
      </c>
      <c r="T14" s="4">
        <f ca="1">_xll.DBRW($B$1,$B$2,$B$7,$B$3,$B$4,$B$5,$F14,$B$6,T$10,$A14,$B14)</f>
        <v>0</v>
      </c>
      <c r="U14" s="4">
        <f ca="1">_xll.DBRW($B$1,$B$2,$B$7,$B$3,$B$4,$B$5,$F14,$B$6,U$10,$A14,$B14)</f>
        <v>0</v>
      </c>
      <c r="V14" s="4">
        <f ca="1">_xll.DBRW($B$1,$B$2,$B$7,$B$3,$B$4,$B$5,$F14,$B$6,V$10,$A14,$B14)</f>
        <v>0</v>
      </c>
      <c r="W14" s="4">
        <f ca="1">_xll.DBRW($B$1,$B$2,$B$7,$B$3,$B$4,$B$5,$F14,$B$6,W$10,$A14,$B14)</f>
        <v>4</v>
      </c>
      <c r="X14" s="4">
        <f ca="1">_xll.DBRW($B$1,$B$2,$B$7,$B$3,$B$4,$B$5,$F14,$B$6,X$10,$A14,$B14)</f>
        <v>5</v>
      </c>
      <c r="Y14" s="4">
        <f ca="1">_xll.DBRW($B$1,$B$2,$B$7,$B$3,$B$4,$B$5,$F14,$B$6,Y$10,$A14,$B14)</f>
        <v>4</v>
      </c>
      <c r="Z14" s="4">
        <f ca="1">_xll.DBRW($B$1,$B$2,$B$7,$B$3,$B$4,$B$5,$F14,$B$6,Z$10,$A14,$B14)</f>
        <v>4</v>
      </c>
      <c r="AA14" s="4">
        <f ca="1">_xll.DBRW($B$1,$B$2,$B$7,$B$3,$B$4,$B$5,$F14,$B$6,AA$10,$A14,$B14)</f>
        <v>5</v>
      </c>
      <c r="AB14" s="4">
        <f ca="1">_xll.DBRW($B$1,$B$2,$B$7,$B$3,$B$4,$B$5,$F14,$B$6,AB$10,$A14,$B14)</f>
        <v>4</v>
      </c>
      <c r="AC14" s="4">
        <f ca="1">_xll.DBRW($B$1,$B$2,$B$7,$B$3,$B$4,$B$5,$F14,$B$6,AC$10,$A14,$B14)</f>
        <v>4</v>
      </c>
      <c r="AD14" s="4">
        <f ca="1">_xll.DBRW($B$1,$B$2,$B$7,$B$3,$B$4,$B$5,$F14,$B$6,AD$10,$A14,$B14)</f>
        <v>0</v>
      </c>
      <c r="AE14" s="4">
        <f ca="1">_xll.DBRW($B$1,$B$2,$B$7,$B$3,$B$4,$B$5,$F14,$B$6,AE$10,$A14,$B14)</f>
        <v>0</v>
      </c>
    </row>
    <row r="15" spans="1:31">
      <c r="A15" s="1" t="s">
        <v>150</v>
      </c>
      <c r="B15" s="5" t="s">
        <v>162</v>
      </c>
      <c r="C15" s="5" t="s">
        <v>163</v>
      </c>
      <c r="D15" s="5" t="s">
        <v>21</v>
      </c>
      <c r="E15" s="5" t="s">
        <v>54</v>
      </c>
      <c r="F15" s="5" t="s">
        <v>312</v>
      </c>
      <c r="G15" s="6"/>
      <c r="H15" s="6"/>
      <c r="I15" s="6"/>
      <c r="J15" s="6"/>
      <c r="K15" s="6"/>
      <c r="L15" s="4">
        <f ca="1">_xll.DBRW($B$1,$B$2,$B$7,$B$3,$B$4,$B$5,$F15,$B$6,L$10,$A15,$B15)</f>
        <v>0</v>
      </c>
      <c r="M15" s="4">
        <f ca="1">_xll.DBRW($B$1,$B$2,$B$7,$B$3,$B$4,$B$5,$F15,$B$6,M$10,$A15,$B15)</f>
        <v>0</v>
      </c>
      <c r="N15" s="4">
        <f ca="1">_xll.DBRW($B$1,$B$2,$B$7,$B$3,$B$4,$B$5,$F15,$B$6,N$10,$A15,$B15)</f>
        <v>0</v>
      </c>
      <c r="O15" s="4">
        <f ca="1">_xll.DBRW($B$1,$B$2,$B$7,$B$3,$B$4,$B$5,$F15,$B$6,O$10,$A15,$B15)</f>
        <v>0</v>
      </c>
      <c r="P15" s="4">
        <f ca="1">_xll.DBRW($B$1,$B$2,$B$7,$B$3,$B$4,$B$5,$F15,$B$6,P$10,$A15,$B15)</f>
        <v>0</v>
      </c>
      <c r="Q15" s="4">
        <f ca="1">_xll.DBRW($B$1,$B$2,$B$7,$B$3,$B$4,$B$5,$F15,$B$6,Q$10,$A15,$B15)</f>
        <v>0</v>
      </c>
      <c r="R15" s="4">
        <f ca="1">_xll.DBRW($B$1,$B$2,$B$7,$B$3,$B$4,$B$5,$F15,$B$6,R$10,$A15,$B15)</f>
        <v>0</v>
      </c>
      <c r="S15" s="4">
        <f ca="1">_xll.DBRW($B$1,$B$2,$B$7,$B$3,$B$4,$B$5,$F15,$B$6,S$10,$A15,$B15)</f>
        <v>0</v>
      </c>
      <c r="T15" s="4">
        <f ca="1">_xll.DBRW($B$1,$B$2,$B$7,$B$3,$B$4,$B$5,$F15,$B$6,T$10,$A15,$B15)</f>
        <v>0</v>
      </c>
      <c r="U15" s="4">
        <f ca="1">_xll.DBRW($B$1,$B$2,$B$7,$B$3,$B$4,$B$5,$F15,$B$6,U$10,$A15,$B15)</f>
        <v>0</v>
      </c>
      <c r="V15" s="4">
        <f ca="1">_xll.DBRW($B$1,$B$2,$B$7,$B$3,$B$4,$B$5,$F15,$B$6,V$10,$A15,$B15)</f>
        <v>0</v>
      </c>
      <c r="W15" s="4">
        <f ca="1">_xll.DBRW($B$1,$B$2,$B$7,$B$3,$B$4,$B$5,$F15,$B$6,W$10,$A15,$B15)</f>
        <v>0</v>
      </c>
      <c r="X15" s="4">
        <f ca="1">_xll.DBRW($B$1,$B$2,$B$7,$B$3,$B$4,$B$5,$F15,$B$6,X$10,$A15,$B15)</f>
        <v>0</v>
      </c>
      <c r="Y15" s="4">
        <f ca="1">_xll.DBRW($B$1,$B$2,$B$7,$B$3,$B$4,$B$5,$F15,$B$6,Y$10,$A15,$B15)</f>
        <v>0</v>
      </c>
      <c r="Z15" s="4">
        <f ca="1">_xll.DBRW($B$1,$B$2,$B$7,$B$3,$B$4,$B$5,$F15,$B$6,Z$10,$A15,$B15)</f>
        <v>0</v>
      </c>
      <c r="AA15" s="4">
        <f ca="1">_xll.DBRW($B$1,$B$2,$B$7,$B$3,$B$4,$B$5,$F15,$B$6,AA$10,$A15,$B15)</f>
        <v>0</v>
      </c>
      <c r="AB15" s="4">
        <f ca="1">_xll.DBRW($B$1,$B$2,$B$7,$B$3,$B$4,$B$5,$F15,$B$6,AB$10,$A15,$B15)</f>
        <v>0</v>
      </c>
      <c r="AC15" s="4">
        <f ca="1">_xll.DBRW($B$1,$B$2,$B$7,$B$3,$B$4,$B$5,$F15,$B$6,AC$10,$A15,$B15)</f>
        <v>0</v>
      </c>
      <c r="AD15" s="4">
        <f ca="1">_xll.DBRW($B$1,$B$2,$B$7,$B$3,$B$4,$B$5,$F15,$B$6,AD$10,$A15,$B15)</f>
        <v>0</v>
      </c>
      <c r="AE15" s="4">
        <f ca="1">_xll.DBRW($B$1,$B$2,$B$7,$B$3,$B$4,$B$5,$F15,$B$6,AE$10,$A15,$B15)</f>
        <v>0</v>
      </c>
    </row>
    <row r="16" spans="1:31">
      <c r="A16" s="1" t="s">
        <v>150</v>
      </c>
      <c r="B16" s="5" t="s">
        <v>52</v>
      </c>
      <c r="C16" s="5" t="s">
        <v>53</v>
      </c>
      <c r="D16" s="5" t="s">
        <v>54</v>
      </c>
      <c r="E16" s="5" t="s">
        <v>21</v>
      </c>
      <c r="F16" s="5" t="s">
        <v>312</v>
      </c>
      <c r="G16" s="6"/>
      <c r="H16" s="6"/>
      <c r="I16" s="6"/>
      <c r="J16" s="6"/>
      <c r="K16" s="6"/>
      <c r="L16" s="4">
        <f ca="1">_xll.DBRW($B$1,$B$2,$B$7,$B$3,$B$4,$B$5,$F16,$B$6,L$10,$A16,$B16)</f>
        <v>0</v>
      </c>
      <c r="M16" s="4">
        <f ca="1">_xll.DBRW($B$1,$B$2,$B$7,$B$3,$B$4,$B$5,$F16,$B$6,M$10,$A16,$B16)</f>
        <v>0</v>
      </c>
      <c r="N16" s="4">
        <f ca="1">_xll.DBRW($B$1,$B$2,$B$7,$B$3,$B$4,$B$5,$F16,$B$6,N$10,$A16,$B16)</f>
        <v>0</v>
      </c>
      <c r="O16" s="4">
        <f ca="1">_xll.DBRW($B$1,$B$2,$B$7,$B$3,$B$4,$B$5,$F16,$B$6,O$10,$A16,$B16)</f>
        <v>0</v>
      </c>
      <c r="P16" s="4">
        <f ca="1">_xll.DBRW($B$1,$B$2,$B$7,$B$3,$B$4,$B$5,$F16,$B$6,P$10,$A16,$B16)</f>
        <v>0</v>
      </c>
      <c r="Q16" s="4">
        <f ca="1">_xll.DBRW($B$1,$B$2,$B$7,$B$3,$B$4,$B$5,$F16,$B$6,Q$10,$A16,$B16)</f>
        <v>0</v>
      </c>
      <c r="R16" s="4">
        <f ca="1">_xll.DBRW($B$1,$B$2,$B$7,$B$3,$B$4,$B$5,$F16,$B$6,R$10,$A16,$B16)</f>
        <v>0</v>
      </c>
      <c r="S16" s="4">
        <f ca="1">_xll.DBRW($B$1,$B$2,$B$7,$B$3,$B$4,$B$5,$F16,$B$6,S$10,$A16,$B16)</f>
        <v>0</v>
      </c>
      <c r="T16" s="4">
        <f ca="1">_xll.DBRW($B$1,$B$2,$B$7,$B$3,$B$4,$B$5,$F16,$B$6,T$10,$A16,$B16)</f>
        <v>0</v>
      </c>
      <c r="U16" s="4">
        <f ca="1">_xll.DBRW($B$1,$B$2,$B$7,$B$3,$B$4,$B$5,$F16,$B$6,U$10,$A16,$B16)</f>
        <v>0</v>
      </c>
      <c r="V16" s="4">
        <f ca="1">_xll.DBRW($B$1,$B$2,$B$7,$B$3,$B$4,$B$5,$F16,$B$6,V$10,$A16,$B16)</f>
        <v>0</v>
      </c>
      <c r="W16" s="4">
        <f ca="1">_xll.DBRW($B$1,$B$2,$B$7,$B$3,$B$4,$B$5,$F16,$B$6,W$10,$A16,$B16)</f>
        <v>0</v>
      </c>
      <c r="X16" s="4">
        <f ca="1">_xll.DBRW($B$1,$B$2,$B$7,$B$3,$B$4,$B$5,$F16,$B$6,X$10,$A16,$B16)</f>
        <v>0</v>
      </c>
      <c r="Y16" s="4">
        <f ca="1">_xll.DBRW($B$1,$B$2,$B$7,$B$3,$B$4,$B$5,$F16,$B$6,Y$10,$A16,$B16)</f>
        <v>0</v>
      </c>
      <c r="Z16" s="4">
        <f ca="1">_xll.DBRW($B$1,$B$2,$B$7,$B$3,$B$4,$B$5,$F16,$B$6,Z$10,$A16,$B16)</f>
        <v>0</v>
      </c>
      <c r="AA16" s="4">
        <f ca="1">_xll.DBRW($B$1,$B$2,$B$7,$B$3,$B$4,$B$5,$F16,$B$6,AA$10,$A16,$B16)</f>
        <v>0</v>
      </c>
      <c r="AB16" s="4">
        <f ca="1">_xll.DBRW($B$1,$B$2,$B$7,$B$3,$B$4,$B$5,$F16,$B$6,AB$10,$A16,$B16)</f>
        <v>0</v>
      </c>
      <c r="AC16" s="4">
        <f ca="1">_xll.DBRW($B$1,$B$2,$B$7,$B$3,$B$4,$B$5,$F16,$B$6,AC$10,$A16,$B16)</f>
        <v>0</v>
      </c>
      <c r="AD16" s="4">
        <f ca="1">_xll.DBRW($B$1,$B$2,$B$7,$B$3,$B$4,$B$5,$F16,$B$6,AD$10,$A16,$B16)</f>
        <v>0</v>
      </c>
      <c r="AE16" s="4">
        <f ca="1">_xll.DBRW($B$1,$B$2,$B$7,$B$3,$B$4,$B$5,$F16,$B$6,AE$10,$A16,$B16)</f>
        <v>0</v>
      </c>
    </row>
    <row r="17" spans="1:31">
      <c r="A17" s="1" t="s">
        <v>150</v>
      </c>
      <c r="B17" s="5" t="s">
        <v>164</v>
      </c>
      <c r="C17" s="5" t="s">
        <v>159</v>
      </c>
      <c r="D17" s="5" t="s">
        <v>21</v>
      </c>
      <c r="E17" s="5" t="s">
        <v>38</v>
      </c>
      <c r="F17" s="5" t="s">
        <v>312</v>
      </c>
      <c r="G17" s="6"/>
      <c r="H17" s="6"/>
      <c r="I17" s="6"/>
      <c r="J17" s="6"/>
      <c r="K17" s="6"/>
      <c r="L17" s="4">
        <f ca="1">_xll.DBRW($B$1,$B$2,$B$7,$B$3,$B$4,$B$5,$F17,$B$6,L$10,$A17,$B17)</f>
        <v>3</v>
      </c>
      <c r="M17" s="4">
        <f ca="1">_xll.DBRW($B$1,$B$2,$B$7,$B$3,$B$4,$B$5,$F17,$B$6,M$10,$A17,$B17)</f>
        <v>4</v>
      </c>
      <c r="N17" s="4">
        <f ca="1">_xll.DBRW($B$1,$B$2,$B$7,$B$3,$B$4,$B$5,$F17,$B$6,N$10,$A17,$B17)</f>
        <v>1</v>
      </c>
      <c r="O17" s="4">
        <f ca="1">_xll.DBRW($B$1,$B$2,$B$7,$B$3,$B$4,$B$5,$F17,$B$6,O$10,$A17,$B17)</f>
        <v>3</v>
      </c>
      <c r="P17" s="4">
        <f ca="1">_xll.DBRW($B$1,$B$2,$B$7,$B$3,$B$4,$B$5,$F17,$B$6,P$10,$A17,$B17)</f>
        <v>1</v>
      </c>
      <c r="Q17" s="4">
        <f ca="1">_xll.DBRW($B$1,$B$2,$B$7,$B$3,$B$4,$B$5,$F17,$B$6,Q$10,$A17,$B17)</f>
        <v>3</v>
      </c>
      <c r="R17" s="4">
        <f ca="1">_xll.DBRW($B$1,$B$2,$B$7,$B$3,$B$4,$B$5,$F17,$B$6,R$10,$A17,$B17)</f>
        <v>0</v>
      </c>
      <c r="S17" s="4">
        <f ca="1">_xll.DBRW($B$1,$B$2,$B$7,$B$3,$B$4,$B$5,$F17,$B$6,S$10,$A17,$B17)</f>
        <v>0</v>
      </c>
      <c r="T17" s="4">
        <f ca="1">_xll.DBRW($B$1,$B$2,$B$7,$B$3,$B$4,$B$5,$F17,$B$6,T$10,$A17,$B17)</f>
        <v>0</v>
      </c>
      <c r="U17" s="4">
        <f ca="1">_xll.DBRW($B$1,$B$2,$B$7,$B$3,$B$4,$B$5,$F17,$B$6,U$10,$A17,$B17)</f>
        <v>0</v>
      </c>
      <c r="V17" s="4">
        <f ca="1">_xll.DBRW($B$1,$B$2,$B$7,$B$3,$B$4,$B$5,$F17,$B$6,V$10,$A17,$B17)</f>
        <v>0</v>
      </c>
      <c r="W17" s="4">
        <f ca="1">_xll.DBRW($B$1,$B$2,$B$7,$B$3,$B$4,$B$5,$F17,$B$6,W$10,$A17,$B17)</f>
        <v>9</v>
      </c>
      <c r="X17" s="4">
        <f ca="1">_xll.DBRW($B$1,$B$2,$B$7,$B$3,$B$4,$B$5,$F17,$B$6,X$10,$A17,$B17)</f>
        <v>9</v>
      </c>
      <c r="Y17" s="4">
        <f ca="1">_xll.DBRW($B$1,$B$2,$B$7,$B$3,$B$4,$B$5,$F17,$B$6,Y$10,$A17,$B17)</f>
        <v>8</v>
      </c>
      <c r="Z17" s="4">
        <f ca="1">_xll.DBRW($B$1,$B$2,$B$7,$B$3,$B$4,$B$5,$F17,$B$6,Z$10,$A17,$B17)</f>
        <v>9</v>
      </c>
      <c r="AA17" s="4">
        <f ca="1">_xll.DBRW($B$1,$B$2,$B$7,$B$3,$B$4,$B$5,$F17,$B$6,AA$10,$A17,$B17)</f>
        <v>9</v>
      </c>
      <c r="AB17" s="4">
        <f ca="1">_xll.DBRW($B$1,$B$2,$B$7,$B$3,$B$4,$B$5,$F17,$B$6,AB$10,$A17,$B17)</f>
        <v>8</v>
      </c>
      <c r="AC17" s="4">
        <f ca="1">_xll.DBRW($B$1,$B$2,$B$7,$B$3,$B$4,$B$5,$F17,$B$6,AC$10,$A17,$B17)</f>
        <v>8</v>
      </c>
      <c r="AD17" s="4">
        <f ca="1">_xll.DBRW($B$1,$B$2,$B$7,$B$3,$B$4,$B$5,$F17,$B$6,AD$10,$A17,$B17)</f>
        <v>0</v>
      </c>
      <c r="AE17" s="4">
        <f ca="1">_xll.DBRW($B$1,$B$2,$B$7,$B$3,$B$4,$B$5,$F17,$B$6,AE$10,$A17,$B17)</f>
        <v>0</v>
      </c>
    </row>
    <row r="18" spans="1:31">
      <c r="A18" s="1" t="s">
        <v>150</v>
      </c>
      <c r="B18" s="5" t="s">
        <v>39</v>
      </c>
      <c r="C18" s="5" t="s">
        <v>37</v>
      </c>
      <c r="D18" s="5" t="s">
        <v>38</v>
      </c>
      <c r="E18" s="5" t="s">
        <v>21</v>
      </c>
      <c r="F18" s="5" t="s">
        <v>312</v>
      </c>
      <c r="G18" s="6"/>
      <c r="H18" s="6"/>
      <c r="I18" s="6"/>
      <c r="J18" s="6"/>
      <c r="K18" s="6"/>
      <c r="L18" s="4">
        <f ca="1">_xll.DBRW($B$1,$B$2,$B$7,$B$3,$B$4,$B$5,$F18,$B$6,L$10,$A18,$B18)</f>
        <v>1</v>
      </c>
      <c r="M18" s="4">
        <f ca="1">_xll.DBRW($B$1,$B$2,$B$7,$B$3,$B$4,$B$5,$F18,$B$6,M$10,$A18,$B18)</f>
        <v>0</v>
      </c>
      <c r="N18" s="4">
        <f ca="1">_xll.DBRW($B$1,$B$2,$B$7,$B$3,$B$4,$B$5,$F18,$B$6,N$10,$A18,$B18)</f>
        <v>0</v>
      </c>
      <c r="O18" s="4">
        <f ca="1">_xll.DBRW($B$1,$B$2,$B$7,$B$3,$B$4,$B$5,$F18,$B$6,O$10,$A18,$B18)</f>
        <v>0</v>
      </c>
      <c r="P18" s="4">
        <f ca="1">_xll.DBRW($B$1,$B$2,$B$7,$B$3,$B$4,$B$5,$F18,$B$6,P$10,$A18,$B18)</f>
        <v>0</v>
      </c>
      <c r="Q18" s="4">
        <f ca="1">_xll.DBRW($B$1,$B$2,$B$7,$B$3,$B$4,$B$5,$F18,$B$6,Q$10,$A18,$B18)</f>
        <v>1</v>
      </c>
      <c r="R18" s="4">
        <f ca="1">_xll.DBRW($B$1,$B$2,$B$7,$B$3,$B$4,$B$5,$F18,$B$6,R$10,$A18,$B18)</f>
        <v>0</v>
      </c>
      <c r="S18" s="4">
        <f ca="1">_xll.DBRW($B$1,$B$2,$B$7,$B$3,$B$4,$B$5,$F18,$B$6,S$10,$A18,$B18)</f>
        <v>0</v>
      </c>
      <c r="T18" s="4">
        <f ca="1">_xll.DBRW($B$1,$B$2,$B$7,$B$3,$B$4,$B$5,$F18,$B$6,T$10,$A18,$B18)</f>
        <v>0</v>
      </c>
      <c r="U18" s="4">
        <f ca="1">_xll.DBRW($B$1,$B$2,$B$7,$B$3,$B$4,$B$5,$F18,$B$6,U$10,$A18,$B18)</f>
        <v>0</v>
      </c>
      <c r="V18" s="4">
        <f ca="1">_xll.DBRW($B$1,$B$2,$B$7,$B$3,$B$4,$B$5,$F18,$B$6,V$10,$A18,$B18)</f>
        <v>0</v>
      </c>
      <c r="W18" s="4">
        <f ca="1">_xll.DBRW($B$1,$B$2,$B$7,$B$3,$B$4,$B$5,$F18,$B$6,W$10,$A18,$B18)</f>
        <v>9</v>
      </c>
      <c r="X18" s="4">
        <f ca="1">_xll.DBRW($B$1,$B$2,$B$7,$B$3,$B$4,$B$5,$F18,$B$6,X$10,$A18,$B18)</f>
        <v>9</v>
      </c>
      <c r="Y18" s="4">
        <f ca="1">_xll.DBRW($B$1,$B$2,$B$7,$B$3,$B$4,$B$5,$F18,$B$6,Y$10,$A18,$B18)</f>
        <v>8</v>
      </c>
      <c r="Z18" s="4">
        <f ca="1">_xll.DBRW($B$1,$B$2,$B$7,$B$3,$B$4,$B$5,$F18,$B$6,Z$10,$A18,$B18)</f>
        <v>9</v>
      </c>
      <c r="AA18" s="4">
        <f ca="1">_xll.DBRW($B$1,$B$2,$B$7,$B$3,$B$4,$B$5,$F18,$B$6,AA$10,$A18,$B18)</f>
        <v>9</v>
      </c>
      <c r="AB18" s="4">
        <f ca="1">_xll.DBRW($B$1,$B$2,$B$7,$B$3,$B$4,$B$5,$F18,$B$6,AB$10,$A18,$B18)</f>
        <v>8</v>
      </c>
      <c r="AC18" s="4">
        <f ca="1">_xll.DBRW($B$1,$B$2,$B$7,$B$3,$B$4,$B$5,$F18,$B$6,AC$10,$A18,$B18)</f>
        <v>8</v>
      </c>
      <c r="AD18" s="4">
        <f ca="1">_xll.DBRW($B$1,$B$2,$B$7,$B$3,$B$4,$B$5,$F18,$B$6,AD$10,$A18,$B18)</f>
        <v>0</v>
      </c>
      <c r="AE18" s="4">
        <f ca="1">_xll.DBRW($B$1,$B$2,$B$7,$B$3,$B$4,$B$5,$F18,$B$6,AE$10,$A18,$B18)</f>
        <v>0</v>
      </c>
    </row>
    <row r="19" spans="1:31">
      <c r="A19" s="1" t="s">
        <v>150</v>
      </c>
      <c r="B19" s="5" t="s">
        <v>165</v>
      </c>
      <c r="C19" s="5" t="s">
        <v>166</v>
      </c>
      <c r="D19" s="5" t="s">
        <v>21</v>
      </c>
      <c r="E19" s="5" t="s">
        <v>31</v>
      </c>
      <c r="F19" s="5" t="s">
        <v>312</v>
      </c>
      <c r="G19" s="6"/>
      <c r="H19" s="6"/>
      <c r="I19" s="6"/>
      <c r="J19" s="6"/>
      <c r="K19" s="6"/>
      <c r="L19" s="4">
        <f ca="1">_xll.DBRW($B$1,$B$2,$B$7,$B$3,$B$4,$B$5,$F19,$B$6,L$10,$A19,$B19)</f>
        <v>19</v>
      </c>
      <c r="M19" s="4">
        <f ca="1">_xll.DBRW($B$1,$B$2,$B$7,$B$3,$B$4,$B$5,$F19,$B$6,M$10,$A19,$B19)</f>
        <v>5</v>
      </c>
      <c r="N19" s="4">
        <f ca="1">_xll.DBRW($B$1,$B$2,$B$7,$B$3,$B$4,$B$5,$F19,$B$6,N$10,$A19,$B19)</f>
        <v>9</v>
      </c>
      <c r="O19" s="4">
        <f ca="1">_xll.DBRW($B$1,$B$2,$B$7,$B$3,$B$4,$B$5,$F19,$B$6,O$10,$A19,$B19)</f>
        <v>3</v>
      </c>
      <c r="P19" s="4">
        <f ca="1">_xll.DBRW($B$1,$B$2,$B$7,$B$3,$B$4,$B$5,$F19,$B$6,P$10,$A19,$B19)</f>
        <v>0</v>
      </c>
      <c r="Q19" s="4">
        <f ca="1">_xll.DBRW($B$1,$B$2,$B$7,$B$3,$B$4,$B$5,$F19,$B$6,Q$10,$A19,$B19)</f>
        <v>2</v>
      </c>
      <c r="R19" s="4">
        <f ca="1">_xll.DBRW($B$1,$B$2,$B$7,$B$3,$B$4,$B$5,$F19,$B$6,R$10,$A19,$B19)</f>
        <v>0</v>
      </c>
      <c r="S19" s="4">
        <f ca="1">_xll.DBRW($B$1,$B$2,$B$7,$B$3,$B$4,$B$5,$F19,$B$6,S$10,$A19,$B19)</f>
        <v>0</v>
      </c>
      <c r="T19" s="4">
        <f ca="1">_xll.DBRW($B$1,$B$2,$B$7,$B$3,$B$4,$B$5,$F19,$B$6,T$10,$A19,$B19)</f>
        <v>13</v>
      </c>
      <c r="U19" s="4">
        <f ca="1">_xll.DBRW($B$1,$B$2,$B$7,$B$3,$B$4,$B$5,$F19,$B$6,U$10,$A19,$B19)</f>
        <v>12</v>
      </c>
      <c r="V19" s="4">
        <f ca="1">_xll.DBRW($B$1,$B$2,$B$7,$B$3,$B$4,$B$5,$F19,$B$6,V$10,$A19,$B19)</f>
        <v>12</v>
      </c>
      <c r="W19" s="4">
        <f ca="1">_xll.DBRW($B$1,$B$2,$B$7,$B$3,$B$4,$B$5,$F19,$B$6,W$10,$A19,$B19)</f>
        <v>8</v>
      </c>
      <c r="X19" s="4">
        <f ca="1">_xll.DBRW($B$1,$B$2,$B$7,$B$3,$B$4,$B$5,$F19,$B$6,X$10,$A19,$B19)</f>
        <v>10</v>
      </c>
      <c r="Y19" s="4">
        <f ca="1">_xll.DBRW($B$1,$B$2,$B$7,$B$3,$B$4,$B$5,$F19,$B$6,Y$10,$A19,$B19)</f>
        <v>8</v>
      </c>
      <c r="Z19" s="4">
        <f ca="1">_xll.DBRW($B$1,$B$2,$B$7,$B$3,$B$4,$B$5,$F19,$B$6,Z$10,$A19,$B19)</f>
        <v>9</v>
      </c>
      <c r="AA19" s="4">
        <f ca="1">_xll.DBRW($B$1,$B$2,$B$7,$B$3,$B$4,$B$5,$F19,$B$6,AA$10,$A19,$B19)</f>
        <v>9</v>
      </c>
      <c r="AB19" s="4">
        <f ca="1">_xll.DBRW($B$1,$B$2,$B$7,$B$3,$B$4,$B$5,$F19,$B$6,AB$10,$A19,$B19)</f>
        <v>8</v>
      </c>
      <c r="AC19" s="4">
        <f ca="1">_xll.DBRW($B$1,$B$2,$B$7,$B$3,$B$4,$B$5,$F19,$B$6,AC$10,$A19,$B19)</f>
        <v>11</v>
      </c>
      <c r="AD19" s="4">
        <f ca="1">_xll.DBRW($B$1,$B$2,$B$7,$B$3,$B$4,$B$5,$F19,$B$6,AD$10,$A19,$B19)</f>
        <v>13</v>
      </c>
      <c r="AE19" s="4">
        <f ca="1">_xll.DBRW($B$1,$B$2,$B$7,$B$3,$B$4,$B$5,$F19,$B$6,AE$10,$A19,$B19)</f>
        <v>13</v>
      </c>
    </row>
    <row r="20" spans="1:31">
      <c r="A20" s="1" t="s">
        <v>150</v>
      </c>
      <c r="B20" s="5" t="s">
        <v>29</v>
      </c>
      <c r="C20" s="5" t="s">
        <v>30</v>
      </c>
      <c r="D20" s="5" t="s">
        <v>31</v>
      </c>
      <c r="E20" s="5" t="s">
        <v>21</v>
      </c>
      <c r="F20" s="5" t="s">
        <v>312</v>
      </c>
      <c r="G20" s="6"/>
      <c r="H20" s="6"/>
      <c r="I20" s="6"/>
      <c r="J20" s="6"/>
      <c r="K20" s="6"/>
      <c r="L20" s="4">
        <f ca="1">_xll.DBRW($B$1,$B$2,$B$7,$B$3,$B$4,$B$5,$F20,$B$6,L$10,$A20,$B20)</f>
        <v>19</v>
      </c>
      <c r="M20" s="4">
        <f ca="1">_xll.DBRW($B$1,$B$2,$B$7,$B$3,$B$4,$B$5,$F20,$B$6,M$10,$A20,$B20)</f>
        <v>5</v>
      </c>
      <c r="N20" s="4">
        <f ca="1">_xll.DBRW($B$1,$B$2,$B$7,$B$3,$B$4,$B$5,$F20,$B$6,N$10,$A20,$B20)</f>
        <v>9</v>
      </c>
      <c r="O20" s="4">
        <f ca="1">_xll.DBRW($B$1,$B$2,$B$7,$B$3,$B$4,$B$5,$F20,$B$6,O$10,$A20,$B20)</f>
        <v>3</v>
      </c>
      <c r="P20" s="4">
        <f ca="1">_xll.DBRW($B$1,$B$2,$B$7,$B$3,$B$4,$B$5,$F20,$B$6,P$10,$A20,$B20)</f>
        <v>0</v>
      </c>
      <c r="Q20" s="4">
        <f ca="1">_xll.DBRW($B$1,$B$2,$B$7,$B$3,$B$4,$B$5,$F20,$B$6,Q$10,$A20,$B20)</f>
        <v>2</v>
      </c>
      <c r="R20" s="4">
        <f ca="1">_xll.DBRW($B$1,$B$2,$B$7,$B$3,$B$4,$B$5,$F20,$B$6,R$10,$A20,$B20)</f>
        <v>0</v>
      </c>
      <c r="S20" s="4">
        <f ca="1">_xll.DBRW($B$1,$B$2,$B$7,$B$3,$B$4,$B$5,$F20,$B$6,S$10,$A20,$B20)</f>
        <v>0</v>
      </c>
      <c r="T20" s="4">
        <f ca="1">_xll.DBRW($B$1,$B$2,$B$7,$B$3,$B$4,$B$5,$F20,$B$6,T$10,$A20,$B20)</f>
        <v>13</v>
      </c>
      <c r="U20" s="4">
        <f ca="1">_xll.DBRW($B$1,$B$2,$B$7,$B$3,$B$4,$B$5,$F20,$B$6,U$10,$A20,$B20)</f>
        <v>12</v>
      </c>
      <c r="V20" s="4">
        <f ca="1">_xll.DBRW($B$1,$B$2,$B$7,$B$3,$B$4,$B$5,$F20,$B$6,V$10,$A20,$B20)</f>
        <v>12</v>
      </c>
      <c r="W20" s="4">
        <f ca="1">_xll.DBRW($B$1,$B$2,$B$7,$B$3,$B$4,$B$5,$F20,$B$6,W$10,$A20,$B20)</f>
        <v>8</v>
      </c>
      <c r="X20" s="4">
        <f ca="1">_xll.DBRW($B$1,$B$2,$B$7,$B$3,$B$4,$B$5,$F20,$B$6,X$10,$A20,$B20)</f>
        <v>10</v>
      </c>
      <c r="Y20" s="4">
        <f ca="1">_xll.DBRW($B$1,$B$2,$B$7,$B$3,$B$4,$B$5,$F20,$B$6,Y$10,$A20,$B20)</f>
        <v>8</v>
      </c>
      <c r="Z20" s="4">
        <f ca="1">_xll.DBRW($B$1,$B$2,$B$7,$B$3,$B$4,$B$5,$F20,$B$6,Z$10,$A20,$B20)</f>
        <v>9</v>
      </c>
      <c r="AA20" s="4">
        <f ca="1">_xll.DBRW($B$1,$B$2,$B$7,$B$3,$B$4,$B$5,$F20,$B$6,AA$10,$A20,$B20)</f>
        <v>9</v>
      </c>
      <c r="AB20" s="4">
        <f ca="1">_xll.DBRW($B$1,$B$2,$B$7,$B$3,$B$4,$B$5,$F20,$B$6,AB$10,$A20,$B20)</f>
        <v>8</v>
      </c>
      <c r="AC20" s="4">
        <f ca="1">_xll.DBRW($B$1,$B$2,$B$7,$B$3,$B$4,$B$5,$F20,$B$6,AC$10,$A20,$B20)</f>
        <v>11</v>
      </c>
      <c r="AD20" s="4">
        <f ca="1">_xll.DBRW($B$1,$B$2,$B$7,$B$3,$B$4,$B$5,$F20,$B$6,AD$10,$A20,$B20)</f>
        <v>13</v>
      </c>
      <c r="AE20" s="4">
        <f ca="1">_xll.DBRW($B$1,$B$2,$B$7,$B$3,$B$4,$B$5,$F20,$B$6,AE$10,$A20,$B20)</f>
        <v>13</v>
      </c>
    </row>
    <row r="21" spans="1:31">
      <c r="A21" s="1" t="s">
        <v>150</v>
      </c>
      <c r="B21" s="5" t="s">
        <v>167</v>
      </c>
      <c r="C21" s="5" t="s">
        <v>168</v>
      </c>
      <c r="D21" s="5" t="s">
        <v>21</v>
      </c>
      <c r="E21" s="5" t="s">
        <v>76</v>
      </c>
      <c r="F21" s="5" t="s">
        <v>312</v>
      </c>
      <c r="G21" s="6"/>
      <c r="H21" s="6"/>
      <c r="I21" s="6"/>
      <c r="J21" s="6"/>
      <c r="K21" s="6"/>
      <c r="L21" s="4">
        <f ca="1">_xll.DBRW($B$1,$B$2,$B$7,$B$3,$B$4,$B$5,$F21,$B$6,L$10,$A21,$B21)</f>
        <v>0</v>
      </c>
      <c r="M21" s="4">
        <f ca="1">_xll.DBRW($B$1,$B$2,$B$7,$B$3,$B$4,$B$5,$F21,$B$6,M$10,$A21,$B21)</f>
        <v>0</v>
      </c>
      <c r="N21" s="4">
        <f ca="1">_xll.DBRW($B$1,$B$2,$B$7,$B$3,$B$4,$B$5,$F21,$B$6,N$10,$A21,$B21)</f>
        <v>0</v>
      </c>
      <c r="O21" s="4">
        <f ca="1">_xll.DBRW($B$1,$B$2,$B$7,$B$3,$B$4,$B$5,$F21,$B$6,O$10,$A21,$B21)</f>
        <v>0</v>
      </c>
      <c r="P21" s="4">
        <f ca="1">_xll.DBRW($B$1,$B$2,$B$7,$B$3,$B$4,$B$5,$F21,$B$6,P$10,$A21,$B21)</f>
        <v>0</v>
      </c>
      <c r="Q21" s="4">
        <f ca="1">_xll.DBRW($B$1,$B$2,$B$7,$B$3,$B$4,$B$5,$F21,$B$6,Q$10,$A21,$B21)</f>
        <v>0</v>
      </c>
      <c r="R21" s="4">
        <f ca="1">_xll.DBRW($B$1,$B$2,$B$7,$B$3,$B$4,$B$5,$F21,$B$6,R$10,$A21,$B21)</f>
        <v>0</v>
      </c>
      <c r="S21" s="4">
        <f ca="1">_xll.DBRW($B$1,$B$2,$B$7,$B$3,$B$4,$B$5,$F21,$B$6,S$10,$A21,$B21)</f>
        <v>0</v>
      </c>
      <c r="T21" s="4">
        <f ca="1">_xll.DBRW($B$1,$B$2,$B$7,$B$3,$B$4,$B$5,$F21,$B$6,T$10,$A21,$B21)</f>
        <v>0</v>
      </c>
      <c r="U21" s="4">
        <f ca="1">_xll.DBRW($B$1,$B$2,$B$7,$B$3,$B$4,$B$5,$F21,$B$6,U$10,$A21,$B21)</f>
        <v>0</v>
      </c>
      <c r="V21" s="4">
        <f ca="1">_xll.DBRW($B$1,$B$2,$B$7,$B$3,$B$4,$B$5,$F21,$B$6,V$10,$A21,$B21)</f>
        <v>0</v>
      </c>
      <c r="W21" s="4">
        <f ca="1">_xll.DBRW($B$1,$B$2,$B$7,$B$3,$B$4,$B$5,$F21,$B$6,W$10,$A21,$B21)</f>
        <v>0</v>
      </c>
      <c r="X21" s="4">
        <f ca="1">_xll.DBRW($B$1,$B$2,$B$7,$B$3,$B$4,$B$5,$F21,$B$6,X$10,$A21,$B21)</f>
        <v>0</v>
      </c>
      <c r="Y21" s="4">
        <f ca="1">_xll.DBRW($B$1,$B$2,$B$7,$B$3,$B$4,$B$5,$F21,$B$6,Y$10,$A21,$B21)</f>
        <v>0</v>
      </c>
      <c r="Z21" s="4">
        <f ca="1">_xll.DBRW($B$1,$B$2,$B$7,$B$3,$B$4,$B$5,$F21,$B$6,Z$10,$A21,$B21)</f>
        <v>0</v>
      </c>
      <c r="AA21" s="4">
        <f ca="1">_xll.DBRW($B$1,$B$2,$B$7,$B$3,$B$4,$B$5,$F21,$B$6,AA$10,$A21,$B21)</f>
        <v>0</v>
      </c>
      <c r="AB21" s="4">
        <f ca="1">_xll.DBRW($B$1,$B$2,$B$7,$B$3,$B$4,$B$5,$F21,$B$6,AB$10,$A21,$B21)</f>
        <v>0</v>
      </c>
      <c r="AC21" s="4">
        <f ca="1">_xll.DBRW($B$1,$B$2,$B$7,$B$3,$B$4,$B$5,$F21,$B$6,AC$10,$A21,$B21)</f>
        <v>0</v>
      </c>
      <c r="AD21" s="4">
        <f ca="1">_xll.DBRW($B$1,$B$2,$B$7,$B$3,$B$4,$B$5,$F21,$B$6,AD$10,$A21,$B21)</f>
        <v>0</v>
      </c>
      <c r="AE21" s="4">
        <f ca="1">_xll.DBRW($B$1,$B$2,$B$7,$B$3,$B$4,$B$5,$F21,$B$6,AE$10,$A21,$B21)</f>
        <v>0</v>
      </c>
    </row>
    <row r="22" spans="1:31">
      <c r="A22" s="1" t="s">
        <v>150</v>
      </c>
      <c r="B22" s="5" t="s">
        <v>74</v>
      </c>
      <c r="C22" s="5" t="s">
        <v>75</v>
      </c>
      <c r="D22" s="5" t="s">
        <v>76</v>
      </c>
      <c r="E22" s="5" t="s">
        <v>21</v>
      </c>
      <c r="F22" s="5" t="s">
        <v>312</v>
      </c>
      <c r="G22" s="6"/>
      <c r="H22" s="6"/>
      <c r="I22" s="6"/>
      <c r="J22" s="6"/>
      <c r="K22" s="6"/>
      <c r="L22" s="4">
        <f ca="1">_xll.DBRW($B$1,$B$2,$B$7,$B$3,$B$4,$B$5,$F22,$B$6,L$10,$A22,$B22)</f>
        <v>0</v>
      </c>
      <c r="M22" s="4">
        <f ca="1">_xll.DBRW($B$1,$B$2,$B$7,$B$3,$B$4,$B$5,$F22,$B$6,M$10,$A22,$B22)</f>
        <v>0</v>
      </c>
      <c r="N22" s="4">
        <f ca="1">_xll.DBRW($B$1,$B$2,$B$7,$B$3,$B$4,$B$5,$F22,$B$6,N$10,$A22,$B22)</f>
        <v>0</v>
      </c>
      <c r="O22" s="4">
        <f ca="1">_xll.DBRW($B$1,$B$2,$B$7,$B$3,$B$4,$B$5,$F22,$B$6,O$10,$A22,$B22)</f>
        <v>0</v>
      </c>
      <c r="P22" s="4">
        <f ca="1">_xll.DBRW($B$1,$B$2,$B$7,$B$3,$B$4,$B$5,$F22,$B$6,P$10,$A22,$B22)</f>
        <v>0</v>
      </c>
      <c r="Q22" s="4">
        <f ca="1">_xll.DBRW($B$1,$B$2,$B$7,$B$3,$B$4,$B$5,$F22,$B$6,Q$10,$A22,$B22)</f>
        <v>0</v>
      </c>
      <c r="R22" s="4">
        <f ca="1">_xll.DBRW($B$1,$B$2,$B$7,$B$3,$B$4,$B$5,$F22,$B$6,R$10,$A22,$B22)</f>
        <v>0</v>
      </c>
      <c r="S22" s="4">
        <f ca="1">_xll.DBRW($B$1,$B$2,$B$7,$B$3,$B$4,$B$5,$F22,$B$6,S$10,$A22,$B22)</f>
        <v>0</v>
      </c>
      <c r="T22" s="4">
        <f ca="1">_xll.DBRW($B$1,$B$2,$B$7,$B$3,$B$4,$B$5,$F22,$B$6,T$10,$A22,$B22)</f>
        <v>0</v>
      </c>
      <c r="U22" s="4">
        <f ca="1">_xll.DBRW($B$1,$B$2,$B$7,$B$3,$B$4,$B$5,$F22,$B$6,U$10,$A22,$B22)</f>
        <v>0</v>
      </c>
      <c r="V22" s="4">
        <f ca="1">_xll.DBRW($B$1,$B$2,$B$7,$B$3,$B$4,$B$5,$F22,$B$6,V$10,$A22,$B22)</f>
        <v>0</v>
      </c>
      <c r="W22" s="4">
        <f ca="1">_xll.DBRW($B$1,$B$2,$B$7,$B$3,$B$4,$B$5,$F22,$B$6,W$10,$A22,$B22)</f>
        <v>0</v>
      </c>
      <c r="X22" s="4">
        <f ca="1">_xll.DBRW($B$1,$B$2,$B$7,$B$3,$B$4,$B$5,$F22,$B$6,X$10,$A22,$B22)</f>
        <v>0</v>
      </c>
      <c r="Y22" s="4">
        <f ca="1">_xll.DBRW($B$1,$B$2,$B$7,$B$3,$B$4,$B$5,$F22,$B$6,Y$10,$A22,$B22)</f>
        <v>0</v>
      </c>
      <c r="Z22" s="4">
        <f ca="1">_xll.DBRW($B$1,$B$2,$B$7,$B$3,$B$4,$B$5,$F22,$B$6,Z$10,$A22,$B22)</f>
        <v>0</v>
      </c>
      <c r="AA22" s="4">
        <f ca="1">_xll.DBRW($B$1,$B$2,$B$7,$B$3,$B$4,$B$5,$F22,$B$6,AA$10,$A22,$B22)</f>
        <v>0</v>
      </c>
      <c r="AB22" s="4">
        <f ca="1">_xll.DBRW($B$1,$B$2,$B$7,$B$3,$B$4,$B$5,$F22,$B$6,AB$10,$A22,$B22)</f>
        <v>0</v>
      </c>
      <c r="AC22" s="4">
        <f ca="1">_xll.DBRW($B$1,$B$2,$B$7,$B$3,$B$4,$B$5,$F22,$B$6,AC$10,$A22,$B22)</f>
        <v>0</v>
      </c>
      <c r="AD22" s="4">
        <f ca="1">_xll.DBRW($B$1,$B$2,$B$7,$B$3,$B$4,$B$5,$F22,$B$6,AD$10,$A22,$B22)</f>
        <v>0</v>
      </c>
      <c r="AE22" s="4">
        <f ca="1">_xll.DBRW($B$1,$B$2,$B$7,$B$3,$B$4,$B$5,$F22,$B$6,AE$10,$A22,$B22)</f>
        <v>0</v>
      </c>
    </row>
    <row r="23" spans="1:31">
      <c r="A23" s="1" t="s">
        <v>150</v>
      </c>
      <c r="B23" s="5" t="s">
        <v>169</v>
      </c>
      <c r="C23" s="5" t="s">
        <v>170</v>
      </c>
      <c r="D23" s="5" t="s">
        <v>21</v>
      </c>
      <c r="E23" s="5" t="s">
        <v>35</v>
      </c>
      <c r="F23" s="5" t="s">
        <v>312</v>
      </c>
      <c r="G23" s="6"/>
      <c r="H23" s="6"/>
      <c r="I23" s="6"/>
      <c r="J23" s="6"/>
      <c r="K23" s="6"/>
      <c r="L23" s="4">
        <f ca="1">_xll.DBRW($B$1,$B$2,$B$7,$B$3,$B$4,$B$5,$F23,$B$6,L$10,$A23,$B23)</f>
        <v>3</v>
      </c>
      <c r="M23" s="4">
        <f ca="1">_xll.DBRW($B$1,$B$2,$B$7,$B$3,$B$4,$B$5,$F23,$B$6,M$10,$A23,$B23)</f>
        <v>0</v>
      </c>
      <c r="N23" s="4">
        <f ca="1">_xll.DBRW($B$1,$B$2,$B$7,$B$3,$B$4,$B$5,$F23,$B$6,N$10,$A23,$B23)</f>
        <v>0</v>
      </c>
      <c r="O23" s="4">
        <f ca="1">_xll.DBRW($B$1,$B$2,$B$7,$B$3,$B$4,$B$5,$F23,$B$6,O$10,$A23,$B23)</f>
        <v>0</v>
      </c>
      <c r="P23" s="4">
        <f ca="1">_xll.DBRW($B$1,$B$2,$B$7,$B$3,$B$4,$B$5,$F23,$B$6,P$10,$A23,$B23)</f>
        <v>0</v>
      </c>
      <c r="Q23" s="4">
        <f ca="1">_xll.DBRW($B$1,$B$2,$B$7,$B$3,$B$4,$B$5,$F23,$B$6,Q$10,$A23,$B23)</f>
        <v>0</v>
      </c>
      <c r="R23" s="4">
        <f ca="1">_xll.DBRW($B$1,$B$2,$B$7,$B$3,$B$4,$B$5,$F23,$B$6,R$10,$A23,$B23)</f>
        <v>0</v>
      </c>
      <c r="S23" s="4">
        <f ca="1">_xll.DBRW($B$1,$B$2,$B$7,$B$3,$B$4,$B$5,$F23,$B$6,S$10,$A23,$B23)</f>
        <v>0</v>
      </c>
      <c r="T23" s="4">
        <f ca="1">_xll.DBRW($B$1,$B$2,$B$7,$B$3,$B$4,$B$5,$F23,$B$6,T$10,$A23,$B23)</f>
        <v>8</v>
      </c>
      <c r="U23" s="4">
        <f ca="1">_xll.DBRW($B$1,$B$2,$B$7,$B$3,$B$4,$B$5,$F23,$B$6,U$10,$A23,$B23)</f>
        <v>8</v>
      </c>
      <c r="V23" s="4">
        <f ca="1">_xll.DBRW($B$1,$B$2,$B$7,$B$3,$B$4,$B$5,$F23,$B$6,V$10,$A23,$B23)</f>
        <v>8</v>
      </c>
      <c r="W23" s="4">
        <f ca="1">_xll.DBRW($B$1,$B$2,$B$7,$B$3,$B$4,$B$5,$F23,$B$6,W$10,$A23,$B23)</f>
        <v>0</v>
      </c>
      <c r="X23" s="4">
        <f ca="1">_xll.DBRW($B$1,$B$2,$B$7,$B$3,$B$4,$B$5,$F23,$B$6,X$10,$A23,$B23)</f>
        <v>0</v>
      </c>
      <c r="Y23" s="4">
        <f ca="1">_xll.DBRW($B$1,$B$2,$B$7,$B$3,$B$4,$B$5,$F23,$B$6,Y$10,$A23,$B23)</f>
        <v>0</v>
      </c>
      <c r="Z23" s="4">
        <f ca="1">_xll.DBRW($B$1,$B$2,$B$7,$B$3,$B$4,$B$5,$F23,$B$6,Z$10,$A23,$B23)</f>
        <v>0</v>
      </c>
      <c r="AA23" s="4">
        <f ca="1">_xll.DBRW($B$1,$B$2,$B$7,$B$3,$B$4,$B$5,$F23,$B$6,AA$10,$A23,$B23)</f>
        <v>0</v>
      </c>
      <c r="AB23" s="4">
        <f ca="1">_xll.DBRW($B$1,$B$2,$B$7,$B$3,$B$4,$B$5,$F23,$B$6,AB$10,$A23,$B23)</f>
        <v>0</v>
      </c>
      <c r="AC23" s="4">
        <f ca="1">_xll.DBRW($B$1,$B$2,$B$7,$B$3,$B$4,$B$5,$F23,$B$6,AC$10,$A23,$B23)</f>
        <v>2</v>
      </c>
      <c r="AD23" s="4">
        <f ca="1">_xll.DBRW($B$1,$B$2,$B$7,$B$3,$B$4,$B$5,$F23,$B$6,AD$10,$A23,$B23)</f>
        <v>9</v>
      </c>
      <c r="AE23" s="4">
        <f ca="1">_xll.DBRW($B$1,$B$2,$B$7,$B$3,$B$4,$B$5,$F23,$B$6,AE$10,$A23,$B23)</f>
        <v>9</v>
      </c>
    </row>
    <row r="24" spans="1:31">
      <c r="A24" s="1" t="s">
        <v>150</v>
      </c>
      <c r="B24" s="5" t="s">
        <v>33</v>
      </c>
      <c r="C24" s="5" t="s">
        <v>34</v>
      </c>
      <c r="D24" s="5" t="s">
        <v>35</v>
      </c>
      <c r="E24" s="5" t="s">
        <v>21</v>
      </c>
      <c r="F24" s="5" t="s">
        <v>312</v>
      </c>
      <c r="G24" s="6"/>
      <c r="H24" s="6"/>
      <c r="I24" s="6"/>
      <c r="J24" s="6"/>
      <c r="K24" s="6"/>
      <c r="L24" s="4">
        <f ca="1">_xll.DBRW($B$1,$B$2,$B$7,$B$3,$B$4,$B$5,$F24,$B$6,L$10,$A24,$B24)</f>
        <v>3</v>
      </c>
      <c r="M24" s="4">
        <f ca="1">_xll.DBRW($B$1,$B$2,$B$7,$B$3,$B$4,$B$5,$F24,$B$6,M$10,$A24,$B24)</f>
        <v>0</v>
      </c>
      <c r="N24" s="4">
        <f ca="1">_xll.DBRW($B$1,$B$2,$B$7,$B$3,$B$4,$B$5,$F24,$B$6,N$10,$A24,$B24)</f>
        <v>0</v>
      </c>
      <c r="O24" s="4">
        <f ca="1">_xll.DBRW($B$1,$B$2,$B$7,$B$3,$B$4,$B$5,$F24,$B$6,O$10,$A24,$B24)</f>
        <v>0</v>
      </c>
      <c r="P24" s="4">
        <f ca="1">_xll.DBRW($B$1,$B$2,$B$7,$B$3,$B$4,$B$5,$F24,$B$6,P$10,$A24,$B24)</f>
        <v>0</v>
      </c>
      <c r="Q24" s="4">
        <f ca="1">_xll.DBRW($B$1,$B$2,$B$7,$B$3,$B$4,$B$5,$F24,$B$6,Q$10,$A24,$B24)</f>
        <v>0</v>
      </c>
      <c r="R24" s="4">
        <f ca="1">_xll.DBRW($B$1,$B$2,$B$7,$B$3,$B$4,$B$5,$F24,$B$6,R$10,$A24,$B24)</f>
        <v>0</v>
      </c>
      <c r="S24" s="4">
        <f ca="1">_xll.DBRW($B$1,$B$2,$B$7,$B$3,$B$4,$B$5,$F24,$B$6,S$10,$A24,$B24)</f>
        <v>0</v>
      </c>
      <c r="T24" s="4">
        <f ca="1">_xll.DBRW($B$1,$B$2,$B$7,$B$3,$B$4,$B$5,$F24,$B$6,T$10,$A24,$B24)</f>
        <v>8</v>
      </c>
      <c r="U24" s="4">
        <f ca="1">_xll.DBRW($B$1,$B$2,$B$7,$B$3,$B$4,$B$5,$F24,$B$6,U$10,$A24,$B24)</f>
        <v>8</v>
      </c>
      <c r="V24" s="4">
        <f ca="1">_xll.DBRW($B$1,$B$2,$B$7,$B$3,$B$4,$B$5,$F24,$B$6,V$10,$A24,$B24)</f>
        <v>8</v>
      </c>
      <c r="W24" s="4">
        <f ca="1">_xll.DBRW($B$1,$B$2,$B$7,$B$3,$B$4,$B$5,$F24,$B$6,W$10,$A24,$B24)</f>
        <v>0</v>
      </c>
      <c r="X24" s="4">
        <f ca="1">_xll.DBRW($B$1,$B$2,$B$7,$B$3,$B$4,$B$5,$F24,$B$6,X$10,$A24,$B24)</f>
        <v>0</v>
      </c>
      <c r="Y24" s="4">
        <f ca="1">_xll.DBRW($B$1,$B$2,$B$7,$B$3,$B$4,$B$5,$F24,$B$6,Y$10,$A24,$B24)</f>
        <v>0</v>
      </c>
      <c r="Z24" s="4">
        <f ca="1">_xll.DBRW($B$1,$B$2,$B$7,$B$3,$B$4,$B$5,$F24,$B$6,Z$10,$A24,$B24)</f>
        <v>0</v>
      </c>
      <c r="AA24" s="4">
        <f ca="1">_xll.DBRW($B$1,$B$2,$B$7,$B$3,$B$4,$B$5,$F24,$B$6,AA$10,$A24,$B24)</f>
        <v>0</v>
      </c>
      <c r="AB24" s="4">
        <f ca="1">_xll.DBRW($B$1,$B$2,$B$7,$B$3,$B$4,$B$5,$F24,$B$6,AB$10,$A24,$B24)</f>
        <v>0</v>
      </c>
      <c r="AC24" s="4">
        <f ca="1">_xll.DBRW($B$1,$B$2,$B$7,$B$3,$B$4,$B$5,$F24,$B$6,AC$10,$A24,$B24)</f>
        <v>1</v>
      </c>
      <c r="AD24" s="4">
        <f ca="1">_xll.DBRW($B$1,$B$2,$B$7,$B$3,$B$4,$B$5,$F24,$B$6,AD$10,$A24,$B24)</f>
        <v>9</v>
      </c>
      <c r="AE24" s="4">
        <f ca="1">_xll.DBRW($B$1,$B$2,$B$7,$B$3,$B$4,$B$5,$F24,$B$6,AE$10,$A24,$B24)</f>
        <v>9</v>
      </c>
    </row>
    <row r="25" spans="1:31">
      <c r="A25" s="1" t="s">
        <v>150</v>
      </c>
      <c r="B25" s="5" t="s">
        <v>171</v>
      </c>
      <c r="C25" s="5" t="s">
        <v>163</v>
      </c>
      <c r="D25" s="5" t="s">
        <v>21</v>
      </c>
      <c r="E25" s="5" t="s">
        <v>54</v>
      </c>
      <c r="F25" s="5" t="s">
        <v>312</v>
      </c>
      <c r="G25" s="6"/>
      <c r="H25" s="6"/>
      <c r="I25" s="6"/>
      <c r="J25" s="6"/>
      <c r="K25" s="6"/>
      <c r="L25" s="4">
        <f ca="1">_xll.DBRW($B$1,$B$2,$B$7,$B$3,$B$4,$B$5,$F25,$B$6,L$10,$A25,$B25)</f>
        <v>0</v>
      </c>
      <c r="M25" s="4">
        <f ca="1">_xll.DBRW($B$1,$B$2,$B$7,$B$3,$B$4,$B$5,$F25,$B$6,M$10,$A25,$B25)</f>
        <v>0</v>
      </c>
      <c r="N25" s="4">
        <f ca="1">_xll.DBRW($B$1,$B$2,$B$7,$B$3,$B$4,$B$5,$F25,$B$6,N$10,$A25,$B25)</f>
        <v>0</v>
      </c>
      <c r="O25" s="4">
        <f ca="1">_xll.DBRW($B$1,$B$2,$B$7,$B$3,$B$4,$B$5,$F25,$B$6,O$10,$A25,$B25)</f>
        <v>0</v>
      </c>
      <c r="P25" s="4">
        <f ca="1">_xll.DBRW($B$1,$B$2,$B$7,$B$3,$B$4,$B$5,$F25,$B$6,P$10,$A25,$B25)</f>
        <v>0</v>
      </c>
      <c r="Q25" s="4">
        <f ca="1">_xll.DBRW($B$1,$B$2,$B$7,$B$3,$B$4,$B$5,$F25,$B$6,Q$10,$A25,$B25)</f>
        <v>0</v>
      </c>
      <c r="R25" s="4">
        <f ca="1">_xll.DBRW($B$1,$B$2,$B$7,$B$3,$B$4,$B$5,$F25,$B$6,R$10,$A25,$B25)</f>
        <v>0</v>
      </c>
      <c r="S25" s="4">
        <f ca="1">_xll.DBRW($B$1,$B$2,$B$7,$B$3,$B$4,$B$5,$F25,$B$6,S$10,$A25,$B25)</f>
        <v>0</v>
      </c>
      <c r="T25" s="4">
        <f ca="1">_xll.DBRW($B$1,$B$2,$B$7,$B$3,$B$4,$B$5,$F25,$B$6,T$10,$A25,$B25)</f>
        <v>0</v>
      </c>
      <c r="U25" s="4">
        <f ca="1">_xll.DBRW($B$1,$B$2,$B$7,$B$3,$B$4,$B$5,$F25,$B$6,U$10,$A25,$B25)</f>
        <v>0</v>
      </c>
      <c r="V25" s="4">
        <f ca="1">_xll.DBRW($B$1,$B$2,$B$7,$B$3,$B$4,$B$5,$F25,$B$6,V$10,$A25,$B25)</f>
        <v>0</v>
      </c>
      <c r="W25" s="4">
        <f ca="1">_xll.DBRW($B$1,$B$2,$B$7,$B$3,$B$4,$B$5,$F25,$B$6,W$10,$A25,$B25)</f>
        <v>0</v>
      </c>
      <c r="X25" s="4">
        <f ca="1">_xll.DBRW($B$1,$B$2,$B$7,$B$3,$B$4,$B$5,$F25,$B$6,X$10,$A25,$B25)</f>
        <v>0</v>
      </c>
      <c r="Y25" s="4">
        <f ca="1">_xll.DBRW($B$1,$B$2,$B$7,$B$3,$B$4,$B$5,$F25,$B$6,Y$10,$A25,$B25)</f>
        <v>0</v>
      </c>
      <c r="Z25" s="4">
        <f ca="1">_xll.DBRW($B$1,$B$2,$B$7,$B$3,$B$4,$B$5,$F25,$B$6,Z$10,$A25,$B25)</f>
        <v>0</v>
      </c>
      <c r="AA25" s="4">
        <f ca="1">_xll.DBRW($B$1,$B$2,$B$7,$B$3,$B$4,$B$5,$F25,$B$6,AA$10,$A25,$B25)</f>
        <v>0</v>
      </c>
      <c r="AB25" s="4">
        <f ca="1">_xll.DBRW($B$1,$B$2,$B$7,$B$3,$B$4,$B$5,$F25,$B$6,AB$10,$A25,$B25)</f>
        <v>0</v>
      </c>
      <c r="AC25" s="4">
        <f ca="1">_xll.DBRW($B$1,$B$2,$B$7,$B$3,$B$4,$B$5,$F25,$B$6,AC$10,$A25,$B25)</f>
        <v>0</v>
      </c>
      <c r="AD25" s="4">
        <f ca="1">_xll.DBRW($B$1,$B$2,$B$7,$B$3,$B$4,$B$5,$F25,$B$6,AD$10,$A25,$B25)</f>
        <v>0</v>
      </c>
      <c r="AE25" s="4">
        <f ca="1">_xll.DBRW($B$1,$B$2,$B$7,$B$3,$B$4,$B$5,$F25,$B$6,AE$10,$A25,$B25)</f>
        <v>0</v>
      </c>
    </row>
    <row r="26" spans="1:31">
      <c r="A26" s="1" t="s">
        <v>150</v>
      </c>
      <c r="B26" s="5" t="s">
        <v>55</v>
      </c>
      <c r="C26" s="5" t="s">
        <v>53</v>
      </c>
      <c r="D26" s="5" t="s">
        <v>54</v>
      </c>
      <c r="E26" s="5" t="s">
        <v>21</v>
      </c>
      <c r="F26" s="5" t="s">
        <v>312</v>
      </c>
      <c r="G26" s="6"/>
      <c r="H26" s="6"/>
      <c r="I26" s="6"/>
      <c r="J26" s="6"/>
      <c r="K26" s="6"/>
      <c r="L26" s="4">
        <f ca="1">_xll.DBRW($B$1,$B$2,$B$7,$B$3,$B$4,$B$5,$F26,$B$6,L$10,$A26,$B26)</f>
        <v>0</v>
      </c>
      <c r="M26" s="4">
        <f ca="1">_xll.DBRW($B$1,$B$2,$B$7,$B$3,$B$4,$B$5,$F26,$B$6,M$10,$A26,$B26)</f>
        <v>0</v>
      </c>
      <c r="N26" s="4">
        <f ca="1">_xll.DBRW($B$1,$B$2,$B$7,$B$3,$B$4,$B$5,$F26,$B$6,N$10,$A26,$B26)</f>
        <v>0</v>
      </c>
      <c r="O26" s="4">
        <f ca="1">_xll.DBRW($B$1,$B$2,$B$7,$B$3,$B$4,$B$5,$F26,$B$6,O$10,$A26,$B26)</f>
        <v>0</v>
      </c>
      <c r="P26" s="4">
        <f ca="1">_xll.DBRW($B$1,$B$2,$B$7,$B$3,$B$4,$B$5,$F26,$B$6,P$10,$A26,$B26)</f>
        <v>0</v>
      </c>
      <c r="Q26" s="4">
        <f ca="1">_xll.DBRW($B$1,$B$2,$B$7,$B$3,$B$4,$B$5,$F26,$B$6,Q$10,$A26,$B26)</f>
        <v>0</v>
      </c>
      <c r="R26" s="4">
        <f ca="1">_xll.DBRW($B$1,$B$2,$B$7,$B$3,$B$4,$B$5,$F26,$B$6,R$10,$A26,$B26)</f>
        <v>0</v>
      </c>
      <c r="S26" s="4">
        <f ca="1">_xll.DBRW($B$1,$B$2,$B$7,$B$3,$B$4,$B$5,$F26,$B$6,S$10,$A26,$B26)</f>
        <v>0</v>
      </c>
      <c r="T26" s="4">
        <f ca="1">_xll.DBRW($B$1,$B$2,$B$7,$B$3,$B$4,$B$5,$F26,$B$6,T$10,$A26,$B26)</f>
        <v>0</v>
      </c>
      <c r="U26" s="4">
        <f ca="1">_xll.DBRW($B$1,$B$2,$B$7,$B$3,$B$4,$B$5,$F26,$B$6,U$10,$A26,$B26)</f>
        <v>0</v>
      </c>
      <c r="V26" s="4">
        <f ca="1">_xll.DBRW($B$1,$B$2,$B$7,$B$3,$B$4,$B$5,$F26,$B$6,V$10,$A26,$B26)</f>
        <v>0</v>
      </c>
      <c r="W26" s="4">
        <f ca="1">_xll.DBRW($B$1,$B$2,$B$7,$B$3,$B$4,$B$5,$F26,$B$6,W$10,$A26,$B26)</f>
        <v>0</v>
      </c>
      <c r="X26" s="4">
        <f ca="1">_xll.DBRW($B$1,$B$2,$B$7,$B$3,$B$4,$B$5,$F26,$B$6,X$10,$A26,$B26)</f>
        <v>0</v>
      </c>
      <c r="Y26" s="4">
        <f ca="1">_xll.DBRW($B$1,$B$2,$B$7,$B$3,$B$4,$B$5,$F26,$B$6,Y$10,$A26,$B26)</f>
        <v>0</v>
      </c>
      <c r="Z26" s="4">
        <f ca="1">_xll.DBRW($B$1,$B$2,$B$7,$B$3,$B$4,$B$5,$F26,$B$6,Z$10,$A26,$B26)</f>
        <v>0</v>
      </c>
      <c r="AA26" s="4">
        <f ca="1">_xll.DBRW($B$1,$B$2,$B$7,$B$3,$B$4,$B$5,$F26,$B$6,AA$10,$A26,$B26)</f>
        <v>0</v>
      </c>
      <c r="AB26" s="4">
        <f ca="1">_xll.DBRW($B$1,$B$2,$B$7,$B$3,$B$4,$B$5,$F26,$B$6,AB$10,$A26,$B26)</f>
        <v>0</v>
      </c>
      <c r="AC26" s="4">
        <f ca="1">_xll.DBRW($B$1,$B$2,$B$7,$B$3,$B$4,$B$5,$F26,$B$6,AC$10,$A26,$B26)</f>
        <v>0</v>
      </c>
      <c r="AD26" s="4">
        <f ca="1">_xll.DBRW($B$1,$B$2,$B$7,$B$3,$B$4,$B$5,$F26,$B$6,AD$10,$A26,$B26)</f>
        <v>0</v>
      </c>
      <c r="AE26" s="4">
        <f ca="1">_xll.DBRW($B$1,$B$2,$B$7,$B$3,$B$4,$B$5,$F26,$B$6,AE$10,$A26,$B26)</f>
        <v>0</v>
      </c>
    </row>
    <row r="27" spans="1:31">
      <c r="A27" s="1" t="s">
        <v>150</v>
      </c>
      <c r="B27" s="5" t="s">
        <v>172</v>
      </c>
      <c r="C27" s="5" t="s">
        <v>159</v>
      </c>
      <c r="D27" s="5" t="s">
        <v>21</v>
      </c>
      <c r="E27" s="5" t="s">
        <v>38</v>
      </c>
      <c r="F27" s="5" t="s">
        <v>312</v>
      </c>
      <c r="G27" s="6"/>
      <c r="H27" s="6"/>
      <c r="I27" s="6"/>
      <c r="J27" s="6"/>
      <c r="K27" s="6"/>
      <c r="L27" s="4">
        <f ca="1">_xll.DBRW($B$1,$B$2,$B$7,$B$3,$B$4,$B$5,$F27,$B$6,L$10,$A27,$B27)</f>
        <v>0</v>
      </c>
      <c r="M27" s="4">
        <f ca="1">_xll.DBRW($B$1,$B$2,$B$7,$B$3,$B$4,$B$5,$F27,$B$6,M$10,$A27,$B27)</f>
        <v>0</v>
      </c>
      <c r="N27" s="4">
        <f ca="1">_xll.DBRW($B$1,$B$2,$B$7,$B$3,$B$4,$B$5,$F27,$B$6,N$10,$A27,$B27)</f>
        <v>0</v>
      </c>
      <c r="O27" s="4">
        <f ca="1">_xll.DBRW($B$1,$B$2,$B$7,$B$3,$B$4,$B$5,$F27,$B$6,O$10,$A27,$B27)</f>
        <v>0</v>
      </c>
      <c r="P27" s="4">
        <f ca="1">_xll.DBRW($B$1,$B$2,$B$7,$B$3,$B$4,$B$5,$F27,$B$6,P$10,$A27,$B27)</f>
        <v>0</v>
      </c>
      <c r="Q27" s="4">
        <f ca="1">_xll.DBRW($B$1,$B$2,$B$7,$B$3,$B$4,$B$5,$F27,$B$6,Q$10,$A27,$B27)</f>
        <v>1</v>
      </c>
      <c r="R27" s="4">
        <f ca="1">_xll.DBRW($B$1,$B$2,$B$7,$B$3,$B$4,$B$5,$F27,$B$6,R$10,$A27,$B27)</f>
        <v>9</v>
      </c>
      <c r="S27" s="4">
        <f ca="1">_xll.DBRW($B$1,$B$2,$B$7,$B$3,$B$4,$B$5,$F27,$B$6,S$10,$A27,$B27)</f>
        <v>8</v>
      </c>
      <c r="T27" s="4">
        <f ca="1">_xll.DBRW($B$1,$B$2,$B$7,$B$3,$B$4,$B$5,$F27,$B$6,T$10,$A27,$B27)</f>
        <v>0</v>
      </c>
      <c r="U27" s="4">
        <f ca="1">_xll.DBRW($B$1,$B$2,$B$7,$B$3,$B$4,$B$5,$F27,$B$6,U$10,$A27,$B27)</f>
        <v>0</v>
      </c>
      <c r="V27" s="4">
        <f ca="1">_xll.DBRW($B$1,$B$2,$B$7,$B$3,$B$4,$B$5,$F27,$B$6,V$10,$A27,$B27)</f>
        <v>0</v>
      </c>
      <c r="W27" s="4">
        <f ca="1">_xll.DBRW($B$1,$B$2,$B$7,$B$3,$B$4,$B$5,$F27,$B$6,W$10,$A27,$B27)</f>
        <v>0</v>
      </c>
      <c r="X27" s="4">
        <f ca="1">_xll.DBRW($B$1,$B$2,$B$7,$B$3,$B$4,$B$5,$F27,$B$6,X$10,$A27,$B27)</f>
        <v>0</v>
      </c>
      <c r="Y27" s="4">
        <f ca="1">_xll.DBRW($B$1,$B$2,$B$7,$B$3,$B$4,$B$5,$F27,$B$6,Y$10,$A27,$B27)</f>
        <v>0</v>
      </c>
      <c r="Z27" s="4">
        <f ca="1">_xll.DBRW($B$1,$B$2,$B$7,$B$3,$B$4,$B$5,$F27,$B$6,Z$10,$A27,$B27)</f>
        <v>0</v>
      </c>
      <c r="AA27" s="4">
        <f ca="1">_xll.DBRW($B$1,$B$2,$B$7,$B$3,$B$4,$B$5,$F27,$B$6,AA$10,$A27,$B27)</f>
        <v>0</v>
      </c>
      <c r="AB27" s="4">
        <f ca="1">_xll.DBRW($B$1,$B$2,$B$7,$B$3,$B$4,$B$5,$F27,$B$6,AB$10,$A27,$B27)</f>
        <v>0</v>
      </c>
      <c r="AC27" s="4">
        <f ca="1">_xll.DBRW($B$1,$B$2,$B$7,$B$3,$B$4,$B$5,$F27,$B$6,AC$10,$A27,$B27)</f>
        <v>0</v>
      </c>
      <c r="AD27" s="4">
        <f ca="1">_xll.DBRW($B$1,$B$2,$B$7,$B$3,$B$4,$B$5,$F27,$B$6,AD$10,$A27,$B27)</f>
        <v>0</v>
      </c>
      <c r="AE27" s="4">
        <f ca="1">_xll.DBRW($B$1,$B$2,$B$7,$B$3,$B$4,$B$5,$F27,$B$6,AE$10,$A27,$B27)</f>
        <v>0</v>
      </c>
    </row>
    <row r="28" spans="1:31">
      <c r="A28" s="1" t="s">
        <v>150</v>
      </c>
      <c r="B28" s="5" t="s">
        <v>40</v>
      </c>
      <c r="C28" s="5" t="s">
        <v>37</v>
      </c>
      <c r="D28" s="5" t="s">
        <v>38</v>
      </c>
      <c r="E28" s="5" t="s">
        <v>21</v>
      </c>
      <c r="F28" s="5" t="s">
        <v>312</v>
      </c>
      <c r="G28" s="6"/>
      <c r="H28" s="6"/>
      <c r="I28" s="6"/>
      <c r="J28" s="6"/>
      <c r="K28" s="6"/>
      <c r="L28" s="4">
        <f ca="1">_xll.DBRW($B$1,$B$2,$B$7,$B$3,$B$4,$B$5,$F28,$B$6,L$10,$A28,$B28)</f>
        <v>0</v>
      </c>
      <c r="M28" s="4">
        <f ca="1">_xll.DBRW($B$1,$B$2,$B$7,$B$3,$B$4,$B$5,$F28,$B$6,M$10,$A28,$B28)</f>
        <v>0</v>
      </c>
      <c r="N28" s="4">
        <f ca="1">_xll.DBRW($B$1,$B$2,$B$7,$B$3,$B$4,$B$5,$F28,$B$6,N$10,$A28,$B28)</f>
        <v>0</v>
      </c>
      <c r="O28" s="4">
        <f ca="1">_xll.DBRW($B$1,$B$2,$B$7,$B$3,$B$4,$B$5,$F28,$B$6,O$10,$A28,$B28)</f>
        <v>0</v>
      </c>
      <c r="P28" s="4">
        <f ca="1">_xll.DBRW($B$1,$B$2,$B$7,$B$3,$B$4,$B$5,$F28,$B$6,P$10,$A28,$B28)</f>
        <v>0</v>
      </c>
      <c r="Q28" s="4">
        <f ca="1">_xll.DBRW($B$1,$B$2,$B$7,$B$3,$B$4,$B$5,$F28,$B$6,Q$10,$A28,$B28)</f>
        <v>1</v>
      </c>
      <c r="R28" s="4">
        <f ca="1">_xll.DBRW($B$1,$B$2,$B$7,$B$3,$B$4,$B$5,$F28,$B$6,R$10,$A28,$B28)</f>
        <v>9</v>
      </c>
      <c r="S28" s="4">
        <f ca="1">_xll.DBRW($B$1,$B$2,$B$7,$B$3,$B$4,$B$5,$F28,$B$6,S$10,$A28,$B28)</f>
        <v>8</v>
      </c>
      <c r="T28" s="4">
        <f ca="1">_xll.DBRW($B$1,$B$2,$B$7,$B$3,$B$4,$B$5,$F28,$B$6,T$10,$A28,$B28)</f>
        <v>0</v>
      </c>
      <c r="U28" s="4">
        <f ca="1">_xll.DBRW($B$1,$B$2,$B$7,$B$3,$B$4,$B$5,$F28,$B$6,U$10,$A28,$B28)</f>
        <v>0</v>
      </c>
      <c r="V28" s="4">
        <f ca="1">_xll.DBRW($B$1,$B$2,$B$7,$B$3,$B$4,$B$5,$F28,$B$6,V$10,$A28,$B28)</f>
        <v>0</v>
      </c>
      <c r="W28" s="4">
        <f ca="1">_xll.DBRW($B$1,$B$2,$B$7,$B$3,$B$4,$B$5,$F28,$B$6,W$10,$A28,$B28)</f>
        <v>0</v>
      </c>
      <c r="X28" s="4">
        <f ca="1">_xll.DBRW($B$1,$B$2,$B$7,$B$3,$B$4,$B$5,$F28,$B$6,X$10,$A28,$B28)</f>
        <v>0</v>
      </c>
      <c r="Y28" s="4">
        <f ca="1">_xll.DBRW($B$1,$B$2,$B$7,$B$3,$B$4,$B$5,$F28,$B$6,Y$10,$A28,$B28)</f>
        <v>0</v>
      </c>
      <c r="Z28" s="4">
        <f ca="1">_xll.DBRW($B$1,$B$2,$B$7,$B$3,$B$4,$B$5,$F28,$B$6,Z$10,$A28,$B28)</f>
        <v>0</v>
      </c>
      <c r="AA28" s="4">
        <f ca="1">_xll.DBRW($B$1,$B$2,$B$7,$B$3,$B$4,$B$5,$F28,$B$6,AA$10,$A28,$B28)</f>
        <v>0</v>
      </c>
      <c r="AB28" s="4">
        <f ca="1">_xll.DBRW($B$1,$B$2,$B$7,$B$3,$B$4,$B$5,$F28,$B$6,AB$10,$A28,$B28)</f>
        <v>0</v>
      </c>
      <c r="AC28" s="4">
        <f ca="1">_xll.DBRW($B$1,$B$2,$B$7,$B$3,$B$4,$B$5,$F28,$B$6,AC$10,$A28,$B28)</f>
        <v>0</v>
      </c>
      <c r="AD28" s="4">
        <f ca="1">_xll.DBRW($B$1,$B$2,$B$7,$B$3,$B$4,$B$5,$F28,$B$6,AD$10,$A28,$B28)</f>
        <v>0</v>
      </c>
      <c r="AE28" s="4">
        <f ca="1">_xll.DBRW($B$1,$B$2,$B$7,$B$3,$B$4,$B$5,$F28,$B$6,AE$10,$A28,$B28)</f>
        <v>0</v>
      </c>
    </row>
    <row r="29" spans="1:31">
      <c r="A29" s="1" t="s">
        <v>150</v>
      </c>
      <c r="B29" s="5" t="s">
        <v>173</v>
      </c>
      <c r="C29" s="5" t="s">
        <v>168</v>
      </c>
      <c r="D29" s="5" t="s">
        <v>21</v>
      </c>
      <c r="E29" s="5" t="s">
        <v>76</v>
      </c>
      <c r="F29" s="5" t="s">
        <v>312</v>
      </c>
      <c r="G29" s="6"/>
      <c r="H29" s="6"/>
      <c r="I29" s="6"/>
      <c r="J29" s="6"/>
      <c r="K29" s="6"/>
      <c r="L29" s="4">
        <f ca="1">_xll.DBRW($B$1,$B$2,$B$7,$B$3,$B$4,$B$5,$F29,$B$6,L$10,$A29,$B29)</f>
        <v>0</v>
      </c>
      <c r="M29" s="4">
        <f ca="1">_xll.DBRW($B$1,$B$2,$B$7,$B$3,$B$4,$B$5,$F29,$B$6,M$10,$A29,$B29)</f>
        <v>0</v>
      </c>
      <c r="N29" s="4">
        <f ca="1">_xll.DBRW($B$1,$B$2,$B$7,$B$3,$B$4,$B$5,$F29,$B$6,N$10,$A29,$B29)</f>
        <v>0</v>
      </c>
      <c r="O29" s="4">
        <f ca="1">_xll.DBRW($B$1,$B$2,$B$7,$B$3,$B$4,$B$5,$F29,$B$6,O$10,$A29,$B29)</f>
        <v>0</v>
      </c>
      <c r="P29" s="4">
        <f ca="1">_xll.DBRW($B$1,$B$2,$B$7,$B$3,$B$4,$B$5,$F29,$B$6,P$10,$A29,$B29)</f>
        <v>0</v>
      </c>
      <c r="Q29" s="4">
        <f ca="1">_xll.DBRW($B$1,$B$2,$B$7,$B$3,$B$4,$B$5,$F29,$B$6,Q$10,$A29,$B29)</f>
        <v>0</v>
      </c>
      <c r="R29" s="4">
        <f ca="1">_xll.DBRW($B$1,$B$2,$B$7,$B$3,$B$4,$B$5,$F29,$B$6,R$10,$A29,$B29)</f>
        <v>0</v>
      </c>
      <c r="S29" s="4">
        <f ca="1">_xll.DBRW($B$1,$B$2,$B$7,$B$3,$B$4,$B$5,$F29,$B$6,S$10,$A29,$B29)</f>
        <v>0</v>
      </c>
      <c r="T29" s="4">
        <f ca="1">_xll.DBRW($B$1,$B$2,$B$7,$B$3,$B$4,$B$5,$F29,$B$6,T$10,$A29,$B29)</f>
        <v>0</v>
      </c>
      <c r="U29" s="4">
        <f ca="1">_xll.DBRW($B$1,$B$2,$B$7,$B$3,$B$4,$B$5,$F29,$B$6,U$10,$A29,$B29)</f>
        <v>0</v>
      </c>
      <c r="V29" s="4">
        <f ca="1">_xll.DBRW($B$1,$B$2,$B$7,$B$3,$B$4,$B$5,$F29,$B$6,V$10,$A29,$B29)</f>
        <v>0</v>
      </c>
      <c r="W29" s="4">
        <f ca="1">_xll.DBRW($B$1,$B$2,$B$7,$B$3,$B$4,$B$5,$F29,$B$6,W$10,$A29,$B29)</f>
        <v>0</v>
      </c>
      <c r="X29" s="4">
        <f ca="1">_xll.DBRW($B$1,$B$2,$B$7,$B$3,$B$4,$B$5,$F29,$B$6,X$10,$A29,$B29)</f>
        <v>0</v>
      </c>
      <c r="Y29" s="4">
        <f ca="1">_xll.DBRW($B$1,$B$2,$B$7,$B$3,$B$4,$B$5,$F29,$B$6,Y$10,$A29,$B29)</f>
        <v>0</v>
      </c>
      <c r="Z29" s="4">
        <f ca="1">_xll.DBRW($B$1,$B$2,$B$7,$B$3,$B$4,$B$5,$F29,$B$6,Z$10,$A29,$B29)</f>
        <v>0</v>
      </c>
      <c r="AA29" s="4">
        <f ca="1">_xll.DBRW($B$1,$B$2,$B$7,$B$3,$B$4,$B$5,$F29,$B$6,AA$10,$A29,$B29)</f>
        <v>0</v>
      </c>
      <c r="AB29" s="4">
        <f ca="1">_xll.DBRW($B$1,$B$2,$B$7,$B$3,$B$4,$B$5,$F29,$B$6,AB$10,$A29,$B29)</f>
        <v>0</v>
      </c>
      <c r="AC29" s="4">
        <f ca="1">_xll.DBRW($B$1,$B$2,$B$7,$B$3,$B$4,$B$5,$F29,$B$6,AC$10,$A29,$B29)</f>
        <v>0</v>
      </c>
      <c r="AD29" s="4">
        <f ca="1">_xll.DBRW($B$1,$B$2,$B$7,$B$3,$B$4,$B$5,$F29,$B$6,AD$10,$A29,$B29)</f>
        <v>0</v>
      </c>
      <c r="AE29" s="4">
        <f ca="1">_xll.DBRW($B$1,$B$2,$B$7,$B$3,$B$4,$B$5,$F29,$B$6,AE$10,$A29,$B29)</f>
        <v>0</v>
      </c>
    </row>
    <row r="30" spans="1:31">
      <c r="A30" s="1" t="s">
        <v>150</v>
      </c>
      <c r="B30" s="5" t="s">
        <v>77</v>
      </c>
      <c r="C30" s="5" t="s">
        <v>75</v>
      </c>
      <c r="D30" s="5" t="s">
        <v>76</v>
      </c>
      <c r="E30" s="5" t="s">
        <v>21</v>
      </c>
      <c r="F30" s="5" t="s">
        <v>312</v>
      </c>
      <c r="G30" s="6"/>
      <c r="H30" s="6"/>
      <c r="I30" s="6"/>
      <c r="J30" s="6"/>
      <c r="K30" s="6"/>
      <c r="L30" s="4">
        <f ca="1">_xll.DBRW($B$1,$B$2,$B$7,$B$3,$B$4,$B$5,$F30,$B$6,L$10,$A30,$B30)</f>
        <v>0</v>
      </c>
      <c r="M30" s="4">
        <f ca="1">_xll.DBRW($B$1,$B$2,$B$7,$B$3,$B$4,$B$5,$F30,$B$6,M$10,$A30,$B30)</f>
        <v>0</v>
      </c>
      <c r="N30" s="4">
        <f ca="1">_xll.DBRW($B$1,$B$2,$B$7,$B$3,$B$4,$B$5,$F30,$B$6,N$10,$A30,$B30)</f>
        <v>0</v>
      </c>
      <c r="O30" s="4">
        <f ca="1">_xll.DBRW($B$1,$B$2,$B$7,$B$3,$B$4,$B$5,$F30,$B$6,O$10,$A30,$B30)</f>
        <v>0</v>
      </c>
      <c r="P30" s="4">
        <f ca="1">_xll.DBRW($B$1,$B$2,$B$7,$B$3,$B$4,$B$5,$F30,$B$6,P$10,$A30,$B30)</f>
        <v>0</v>
      </c>
      <c r="Q30" s="4">
        <f ca="1">_xll.DBRW($B$1,$B$2,$B$7,$B$3,$B$4,$B$5,$F30,$B$6,Q$10,$A30,$B30)</f>
        <v>0</v>
      </c>
      <c r="R30" s="4">
        <f ca="1">_xll.DBRW($B$1,$B$2,$B$7,$B$3,$B$4,$B$5,$F30,$B$6,R$10,$A30,$B30)</f>
        <v>0</v>
      </c>
      <c r="S30" s="4">
        <f ca="1">_xll.DBRW($B$1,$B$2,$B$7,$B$3,$B$4,$B$5,$F30,$B$6,S$10,$A30,$B30)</f>
        <v>0</v>
      </c>
      <c r="T30" s="4">
        <f ca="1">_xll.DBRW($B$1,$B$2,$B$7,$B$3,$B$4,$B$5,$F30,$B$6,T$10,$A30,$B30)</f>
        <v>0</v>
      </c>
      <c r="U30" s="4">
        <f ca="1">_xll.DBRW($B$1,$B$2,$B$7,$B$3,$B$4,$B$5,$F30,$B$6,U$10,$A30,$B30)</f>
        <v>0</v>
      </c>
      <c r="V30" s="4">
        <f ca="1">_xll.DBRW($B$1,$B$2,$B$7,$B$3,$B$4,$B$5,$F30,$B$6,V$10,$A30,$B30)</f>
        <v>0</v>
      </c>
      <c r="W30" s="4">
        <f ca="1">_xll.DBRW($B$1,$B$2,$B$7,$B$3,$B$4,$B$5,$F30,$B$6,W$10,$A30,$B30)</f>
        <v>0</v>
      </c>
      <c r="X30" s="4">
        <f ca="1">_xll.DBRW($B$1,$B$2,$B$7,$B$3,$B$4,$B$5,$F30,$B$6,X$10,$A30,$B30)</f>
        <v>0</v>
      </c>
      <c r="Y30" s="4">
        <f ca="1">_xll.DBRW($B$1,$B$2,$B$7,$B$3,$B$4,$B$5,$F30,$B$6,Y$10,$A30,$B30)</f>
        <v>0</v>
      </c>
      <c r="Z30" s="4">
        <f ca="1">_xll.DBRW($B$1,$B$2,$B$7,$B$3,$B$4,$B$5,$F30,$B$6,Z$10,$A30,$B30)</f>
        <v>0</v>
      </c>
      <c r="AA30" s="4">
        <f ca="1">_xll.DBRW($B$1,$B$2,$B$7,$B$3,$B$4,$B$5,$F30,$B$6,AA$10,$A30,$B30)</f>
        <v>0</v>
      </c>
      <c r="AB30" s="4">
        <f ca="1">_xll.DBRW($B$1,$B$2,$B$7,$B$3,$B$4,$B$5,$F30,$B$6,AB$10,$A30,$B30)</f>
        <v>0</v>
      </c>
      <c r="AC30" s="4">
        <f ca="1">_xll.DBRW($B$1,$B$2,$B$7,$B$3,$B$4,$B$5,$F30,$B$6,AC$10,$A30,$B30)</f>
        <v>0</v>
      </c>
      <c r="AD30" s="4">
        <f ca="1">_xll.DBRW($B$1,$B$2,$B$7,$B$3,$B$4,$B$5,$F30,$B$6,AD$10,$A30,$B30)</f>
        <v>0</v>
      </c>
      <c r="AE30" s="4">
        <f ca="1">_xll.DBRW($B$1,$B$2,$B$7,$B$3,$B$4,$B$5,$F30,$B$6,AE$10,$A30,$B30)</f>
        <v>0</v>
      </c>
    </row>
    <row r="31" spans="1:31">
      <c r="A31" s="1" t="s">
        <v>150</v>
      </c>
      <c r="B31" s="5" t="s">
        <v>174</v>
      </c>
      <c r="C31" s="5" t="s">
        <v>159</v>
      </c>
      <c r="D31" s="5" t="s">
        <v>21</v>
      </c>
      <c r="E31" s="5" t="s">
        <v>38</v>
      </c>
      <c r="F31" s="5" t="s">
        <v>312</v>
      </c>
      <c r="G31" s="6"/>
      <c r="H31" s="6"/>
      <c r="I31" s="6"/>
      <c r="J31" s="6"/>
      <c r="K31" s="6"/>
      <c r="L31" s="4">
        <f ca="1">_xll.DBRW($B$1,$B$2,$B$7,$B$3,$B$4,$B$5,$F31,$B$6,L$10,$A31,$B31)</f>
        <v>1</v>
      </c>
      <c r="M31" s="4">
        <f ca="1">_xll.DBRW($B$1,$B$2,$B$7,$B$3,$B$4,$B$5,$F31,$B$6,M$10,$A31,$B31)</f>
        <v>0</v>
      </c>
      <c r="N31" s="4">
        <f ca="1">_xll.DBRW($B$1,$B$2,$B$7,$B$3,$B$4,$B$5,$F31,$B$6,N$10,$A31,$B31)</f>
        <v>1</v>
      </c>
      <c r="O31" s="4">
        <f ca="1">_xll.DBRW($B$1,$B$2,$B$7,$B$3,$B$4,$B$5,$F31,$B$6,O$10,$A31,$B31)</f>
        <v>1</v>
      </c>
      <c r="P31" s="4">
        <f ca="1">_xll.DBRW($B$1,$B$2,$B$7,$B$3,$B$4,$B$5,$F31,$B$6,P$10,$A31,$B31)</f>
        <v>0</v>
      </c>
      <c r="Q31" s="4">
        <f ca="1">_xll.DBRW($B$1,$B$2,$B$7,$B$3,$B$4,$B$5,$F31,$B$6,Q$10,$A31,$B31)</f>
        <v>0</v>
      </c>
      <c r="R31" s="4">
        <f ca="1">_xll.DBRW($B$1,$B$2,$B$7,$B$3,$B$4,$B$5,$F31,$B$6,R$10,$A31,$B31)</f>
        <v>0</v>
      </c>
      <c r="S31" s="4">
        <f ca="1">_xll.DBRW($B$1,$B$2,$B$7,$B$3,$B$4,$B$5,$F31,$B$6,S$10,$A31,$B31)</f>
        <v>0</v>
      </c>
      <c r="T31" s="4">
        <f ca="1">_xll.DBRW($B$1,$B$2,$B$7,$B$3,$B$4,$B$5,$F31,$B$6,T$10,$A31,$B31)</f>
        <v>0</v>
      </c>
      <c r="U31" s="4">
        <f ca="1">_xll.DBRW($B$1,$B$2,$B$7,$B$3,$B$4,$B$5,$F31,$B$6,U$10,$A31,$B31)</f>
        <v>0</v>
      </c>
      <c r="V31" s="4">
        <f ca="1">_xll.DBRW($B$1,$B$2,$B$7,$B$3,$B$4,$B$5,$F31,$B$6,V$10,$A31,$B31)</f>
        <v>1</v>
      </c>
      <c r="W31" s="4">
        <f ca="1">_xll.DBRW($B$1,$B$2,$B$7,$B$3,$B$4,$B$5,$F31,$B$6,W$10,$A31,$B31)</f>
        <v>13</v>
      </c>
      <c r="X31" s="4">
        <f ca="1">_xll.DBRW($B$1,$B$2,$B$7,$B$3,$B$4,$B$5,$F31,$B$6,X$10,$A31,$B31)</f>
        <v>13</v>
      </c>
      <c r="Y31" s="4">
        <f ca="1">_xll.DBRW($B$1,$B$2,$B$7,$B$3,$B$4,$B$5,$F31,$B$6,Y$10,$A31,$B31)</f>
        <v>13</v>
      </c>
      <c r="Z31" s="4">
        <f ca="1">_xll.DBRW($B$1,$B$2,$B$7,$B$3,$B$4,$B$5,$F31,$B$6,Z$10,$A31,$B31)</f>
        <v>14</v>
      </c>
      <c r="AA31" s="4">
        <f ca="1">_xll.DBRW($B$1,$B$2,$B$7,$B$3,$B$4,$B$5,$F31,$B$6,AA$10,$A31,$B31)</f>
        <v>12</v>
      </c>
      <c r="AB31" s="4">
        <f ca="1">_xll.DBRW($B$1,$B$2,$B$7,$B$3,$B$4,$B$5,$F31,$B$6,AB$10,$A31,$B31)</f>
        <v>14</v>
      </c>
      <c r="AC31" s="4">
        <f ca="1">_xll.DBRW($B$1,$B$2,$B$7,$B$3,$B$4,$B$5,$F31,$B$6,AC$10,$A31,$B31)</f>
        <v>10</v>
      </c>
      <c r="AD31" s="4">
        <f ca="1">_xll.DBRW($B$1,$B$2,$B$7,$B$3,$B$4,$B$5,$F31,$B$6,AD$10,$A31,$B31)</f>
        <v>0</v>
      </c>
      <c r="AE31" s="4">
        <f ca="1">_xll.DBRW($B$1,$B$2,$B$7,$B$3,$B$4,$B$5,$F31,$B$6,AE$10,$A31,$B31)</f>
        <v>0</v>
      </c>
    </row>
    <row r="32" spans="1:31">
      <c r="A32" s="1" t="s">
        <v>150</v>
      </c>
      <c r="B32" s="5" t="s">
        <v>41</v>
      </c>
      <c r="C32" s="5" t="s">
        <v>37</v>
      </c>
      <c r="D32" s="5" t="s">
        <v>38</v>
      </c>
      <c r="E32" s="5" t="s">
        <v>21</v>
      </c>
      <c r="F32" s="5" t="s">
        <v>312</v>
      </c>
      <c r="G32" s="6"/>
      <c r="H32" s="6"/>
      <c r="I32" s="6"/>
      <c r="J32" s="6"/>
      <c r="K32" s="6"/>
      <c r="L32" s="4">
        <f ca="1">_xll.DBRW($B$1,$B$2,$B$7,$B$3,$B$4,$B$5,$F32,$B$6,L$10,$A32,$B32)</f>
        <v>0</v>
      </c>
      <c r="M32" s="4">
        <f ca="1">_xll.DBRW($B$1,$B$2,$B$7,$B$3,$B$4,$B$5,$F32,$B$6,M$10,$A32,$B32)</f>
        <v>0</v>
      </c>
      <c r="N32" s="4">
        <f ca="1">_xll.DBRW($B$1,$B$2,$B$7,$B$3,$B$4,$B$5,$F32,$B$6,N$10,$A32,$B32)</f>
        <v>0</v>
      </c>
      <c r="O32" s="4">
        <f ca="1">_xll.DBRW($B$1,$B$2,$B$7,$B$3,$B$4,$B$5,$F32,$B$6,O$10,$A32,$B32)</f>
        <v>1</v>
      </c>
      <c r="P32" s="4">
        <f ca="1">_xll.DBRW($B$1,$B$2,$B$7,$B$3,$B$4,$B$5,$F32,$B$6,P$10,$A32,$B32)</f>
        <v>0</v>
      </c>
      <c r="Q32" s="4">
        <f ca="1">_xll.DBRW($B$1,$B$2,$B$7,$B$3,$B$4,$B$5,$F32,$B$6,Q$10,$A32,$B32)</f>
        <v>0</v>
      </c>
      <c r="R32" s="4">
        <f ca="1">_xll.DBRW($B$1,$B$2,$B$7,$B$3,$B$4,$B$5,$F32,$B$6,R$10,$A32,$B32)</f>
        <v>0</v>
      </c>
      <c r="S32" s="4">
        <f ca="1">_xll.DBRW($B$1,$B$2,$B$7,$B$3,$B$4,$B$5,$F32,$B$6,S$10,$A32,$B32)</f>
        <v>0</v>
      </c>
      <c r="T32" s="4">
        <f ca="1">_xll.DBRW($B$1,$B$2,$B$7,$B$3,$B$4,$B$5,$F32,$B$6,T$10,$A32,$B32)</f>
        <v>0</v>
      </c>
      <c r="U32" s="4">
        <f ca="1">_xll.DBRW($B$1,$B$2,$B$7,$B$3,$B$4,$B$5,$F32,$B$6,U$10,$A32,$B32)</f>
        <v>0</v>
      </c>
      <c r="V32" s="4">
        <f ca="1">_xll.DBRW($B$1,$B$2,$B$7,$B$3,$B$4,$B$5,$F32,$B$6,V$10,$A32,$B32)</f>
        <v>0</v>
      </c>
      <c r="W32" s="4">
        <f ca="1">_xll.DBRW($B$1,$B$2,$B$7,$B$3,$B$4,$B$5,$F32,$B$6,W$10,$A32,$B32)</f>
        <v>5</v>
      </c>
      <c r="X32" s="4">
        <f ca="1">_xll.DBRW($B$1,$B$2,$B$7,$B$3,$B$4,$B$5,$F32,$B$6,X$10,$A32,$B32)</f>
        <v>4</v>
      </c>
      <c r="Y32" s="4">
        <f ca="1">_xll.DBRW($B$1,$B$2,$B$7,$B$3,$B$4,$B$5,$F32,$B$6,Y$10,$A32,$B32)</f>
        <v>4</v>
      </c>
      <c r="Z32" s="4">
        <f ca="1">_xll.DBRW($B$1,$B$2,$B$7,$B$3,$B$4,$B$5,$F32,$B$6,Z$10,$A32,$B32)</f>
        <v>5</v>
      </c>
      <c r="AA32" s="4">
        <f ca="1">_xll.DBRW($B$1,$B$2,$B$7,$B$3,$B$4,$B$5,$F32,$B$6,AA$10,$A32,$B32)</f>
        <v>4</v>
      </c>
      <c r="AB32" s="4">
        <f ca="1">_xll.DBRW($B$1,$B$2,$B$7,$B$3,$B$4,$B$5,$F32,$B$6,AB$10,$A32,$B32)</f>
        <v>5</v>
      </c>
      <c r="AC32" s="4">
        <f ca="1">_xll.DBRW($B$1,$B$2,$B$7,$B$3,$B$4,$B$5,$F32,$B$6,AC$10,$A32,$B32)</f>
        <v>3</v>
      </c>
      <c r="AD32" s="4">
        <f ca="1">_xll.DBRW($B$1,$B$2,$B$7,$B$3,$B$4,$B$5,$F32,$B$6,AD$10,$A32,$B32)</f>
        <v>0</v>
      </c>
      <c r="AE32" s="4">
        <f ca="1">_xll.DBRW($B$1,$B$2,$B$7,$B$3,$B$4,$B$5,$F32,$B$6,AE$10,$A32,$B32)</f>
        <v>0</v>
      </c>
    </row>
    <row r="33" spans="1:31">
      <c r="A33" s="1" t="s">
        <v>150</v>
      </c>
      <c r="B33" s="5" t="s">
        <v>175</v>
      </c>
      <c r="C33" s="5" t="s">
        <v>159</v>
      </c>
      <c r="D33" s="5" t="s">
        <v>21</v>
      </c>
      <c r="E33" s="5" t="s">
        <v>38</v>
      </c>
      <c r="F33" s="5" t="s">
        <v>312</v>
      </c>
      <c r="G33" s="6"/>
      <c r="H33" s="6"/>
      <c r="I33" s="6"/>
      <c r="J33" s="6"/>
      <c r="K33" s="6"/>
      <c r="L33" s="4">
        <f ca="1">_xll.DBRW($B$1,$B$2,$B$7,$B$3,$B$4,$B$5,$F33,$B$6,L$10,$A33,$B33)</f>
        <v>1</v>
      </c>
      <c r="M33" s="4">
        <f ca="1">_xll.DBRW($B$1,$B$2,$B$7,$B$3,$B$4,$B$5,$F33,$B$6,M$10,$A33,$B33)</f>
        <v>0</v>
      </c>
      <c r="N33" s="4">
        <f ca="1">_xll.DBRW($B$1,$B$2,$B$7,$B$3,$B$4,$B$5,$F33,$B$6,N$10,$A33,$B33)</f>
        <v>2</v>
      </c>
      <c r="O33" s="4">
        <f ca="1">_xll.DBRW($B$1,$B$2,$B$7,$B$3,$B$4,$B$5,$F33,$B$6,O$10,$A33,$B33)</f>
        <v>0</v>
      </c>
      <c r="P33" s="4">
        <f ca="1">_xll.DBRW($B$1,$B$2,$B$7,$B$3,$B$4,$B$5,$F33,$B$6,P$10,$A33,$B33)</f>
        <v>0</v>
      </c>
      <c r="Q33" s="4">
        <f ca="1">_xll.DBRW($B$1,$B$2,$B$7,$B$3,$B$4,$B$5,$F33,$B$6,Q$10,$A33,$B33)</f>
        <v>0</v>
      </c>
      <c r="R33" s="4">
        <f ca="1">_xll.DBRW($B$1,$B$2,$B$7,$B$3,$B$4,$B$5,$F33,$B$6,R$10,$A33,$B33)</f>
        <v>0</v>
      </c>
      <c r="S33" s="4">
        <f ca="1">_xll.DBRW($B$1,$B$2,$B$7,$B$3,$B$4,$B$5,$F33,$B$6,S$10,$A33,$B33)</f>
        <v>0</v>
      </c>
      <c r="T33" s="4">
        <f ca="1">_xll.DBRW($B$1,$B$2,$B$7,$B$3,$B$4,$B$5,$F33,$B$6,T$10,$A33,$B33)</f>
        <v>0</v>
      </c>
      <c r="U33" s="4">
        <f ca="1">_xll.DBRW($B$1,$B$2,$B$7,$B$3,$B$4,$B$5,$F33,$B$6,U$10,$A33,$B33)</f>
        <v>0</v>
      </c>
      <c r="V33" s="4">
        <f ca="1">_xll.DBRW($B$1,$B$2,$B$7,$B$3,$B$4,$B$5,$F33,$B$6,V$10,$A33,$B33)</f>
        <v>0</v>
      </c>
      <c r="W33" s="4">
        <f ca="1">_xll.DBRW($B$1,$B$2,$B$7,$B$3,$B$4,$B$5,$F33,$B$6,W$10,$A33,$B33)</f>
        <v>0</v>
      </c>
      <c r="X33" s="4">
        <f ca="1">_xll.DBRW($B$1,$B$2,$B$7,$B$3,$B$4,$B$5,$F33,$B$6,X$10,$A33,$B33)</f>
        <v>0</v>
      </c>
      <c r="Y33" s="4">
        <f ca="1">_xll.DBRW($B$1,$B$2,$B$7,$B$3,$B$4,$B$5,$F33,$B$6,Y$10,$A33,$B33)</f>
        <v>0</v>
      </c>
      <c r="Z33" s="4">
        <f ca="1">_xll.DBRW($B$1,$B$2,$B$7,$B$3,$B$4,$B$5,$F33,$B$6,Z$10,$A33,$B33)</f>
        <v>0</v>
      </c>
      <c r="AA33" s="4">
        <f ca="1">_xll.DBRW($B$1,$B$2,$B$7,$B$3,$B$4,$B$5,$F33,$B$6,AA$10,$A33,$B33)</f>
        <v>0</v>
      </c>
      <c r="AB33" s="4">
        <f ca="1">_xll.DBRW($B$1,$B$2,$B$7,$B$3,$B$4,$B$5,$F33,$B$6,AB$10,$A33,$B33)</f>
        <v>0</v>
      </c>
      <c r="AC33" s="4">
        <f ca="1">_xll.DBRW($B$1,$B$2,$B$7,$B$3,$B$4,$B$5,$F33,$B$6,AC$10,$A33,$B33)</f>
        <v>0</v>
      </c>
      <c r="AD33" s="4">
        <f ca="1">_xll.DBRW($B$1,$B$2,$B$7,$B$3,$B$4,$B$5,$F33,$B$6,AD$10,$A33,$B33)</f>
        <v>0</v>
      </c>
      <c r="AE33" s="4">
        <f ca="1">_xll.DBRW($B$1,$B$2,$B$7,$B$3,$B$4,$B$5,$F33,$B$6,AE$10,$A33,$B33)</f>
        <v>0</v>
      </c>
    </row>
    <row r="34" spans="1:31">
      <c r="A34" s="1" t="s">
        <v>150</v>
      </c>
      <c r="B34" s="5" t="s">
        <v>42</v>
      </c>
      <c r="C34" s="5" t="s">
        <v>37</v>
      </c>
      <c r="D34" s="5" t="s">
        <v>38</v>
      </c>
      <c r="E34" s="5" t="s">
        <v>21</v>
      </c>
      <c r="F34" s="5" t="s">
        <v>312</v>
      </c>
      <c r="G34" s="6"/>
      <c r="H34" s="6"/>
      <c r="I34" s="6"/>
      <c r="J34" s="6"/>
      <c r="K34" s="6"/>
      <c r="L34" s="4">
        <f ca="1">_xll.DBRW($B$1,$B$2,$B$7,$B$3,$B$4,$B$5,$F34,$B$6,L$10,$A34,$B34)</f>
        <v>7</v>
      </c>
      <c r="M34" s="4">
        <f ca="1">_xll.DBRW($B$1,$B$2,$B$7,$B$3,$B$4,$B$5,$F34,$B$6,M$10,$A34,$B34)</f>
        <v>21</v>
      </c>
      <c r="N34" s="4">
        <f ca="1">_xll.DBRW($B$1,$B$2,$B$7,$B$3,$B$4,$B$5,$F34,$B$6,N$10,$A34,$B34)</f>
        <v>22</v>
      </c>
      <c r="O34" s="4">
        <f ca="1">_xll.DBRW($B$1,$B$2,$B$7,$B$3,$B$4,$B$5,$F34,$B$6,O$10,$A34,$B34)</f>
        <v>1</v>
      </c>
      <c r="P34" s="4">
        <f ca="1">_xll.DBRW($B$1,$B$2,$B$7,$B$3,$B$4,$B$5,$F34,$B$6,P$10,$A34,$B34)</f>
        <v>0</v>
      </c>
      <c r="Q34" s="4">
        <f ca="1">_xll.DBRW($B$1,$B$2,$B$7,$B$3,$B$4,$B$5,$F34,$B$6,Q$10,$A34,$B34)</f>
        <v>0</v>
      </c>
      <c r="R34" s="4">
        <f ca="1">_xll.DBRW($B$1,$B$2,$B$7,$B$3,$B$4,$B$5,$F34,$B$6,R$10,$A34,$B34)</f>
        <v>0</v>
      </c>
      <c r="S34" s="4">
        <f ca="1">_xll.DBRW($B$1,$B$2,$B$7,$B$3,$B$4,$B$5,$F34,$B$6,S$10,$A34,$B34)</f>
        <v>0</v>
      </c>
      <c r="T34" s="4">
        <f ca="1">_xll.DBRW($B$1,$B$2,$B$7,$B$3,$B$4,$B$5,$F34,$B$6,T$10,$A34,$B34)</f>
        <v>0</v>
      </c>
      <c r="U34" s="4">
        <f ca="1">_xll.DBRW($B$1,$B$2,$B$7,$B$3,$B$4,$B$5,$F34,$B$6,U$10,$A34,$B34)</f>
        <v>0</v>
      </c>
      <c r="V34" s="4">
        <f ca="1">_xll.DBRW($B$1,$B$2,$B$7,$B$3,$B$4,$B$5,$F34,$B$6,V$10,$A34,$B34)</f>
        <v>0</v>
      </c>
      <c r="W34" s="4">
        <f ca="1">_xll.DBRW($B$1,$B$2,$B$7,$B$3,$B$4,$B$5,$F34,$B$6,W$10,$A34,$B34)</f>
        <v>0</v>
      </c>
      <c r="X34" s="4">
        <f ca="1">_xll.DBRW($B$1,$B$2,$B$7,$B$3,$B$4,$B$5,$F34,$B$6,X$10,$A34,$B34)</f>
        <v>0</v>
      </c>
      <c r="Y34" s="4">
        <f ca="1">_xll.DBRW($B$1,$B$2,$B$7,$B$3,$B$4,$B$5,$F34,$B$6,Y$10,$A34,$B34)</f>
        <v>0</v>
      </c>
      <c r="Z34" s="4">
        <f ca="1">_xll.DBRW($B$1,$B$2,$B$7,$B$3,$B$4,$B$5,$F34,$B$6,Z$10,$A34,$B34)</f>
        <v>0</v>
      </c>
      <c r="AA34" s="4">
        <f ca="1">_xll.DBRW($B$1,$B$2,$B$7,$B$3,$B$4,$B$5,$F34,$B$6,AA$10,$A34,$B34)</f>
        <v>0</v>
      </c>
      <c r="AB34" s="4">
        <f ca="1">_xll.DBRW($B$1,$B$2,$B$7,$B$3,$B$4,$B$5,$F34,$B$6,AB$10,$A34,$B34)</f>
        <v>0</v>
      </c>
      <c r="AC34" s="4">
        <f ca="1">_xll.DBRW($B$1,$B$2,$B$7,$B$3,$B$4,$B$5,$F34,$B$6,AC$10,$A34,$B34)</f>
        <v>0</v>
      </c>
      <c r="AD34" s="4">
        <f ca="1">_xll.DBRW($B$1,$B$2,$B$7,$B$3,$B$4,$B$5,$F34,$B$6,AD$10,$A34,$B34)</f>
        <v>0</v>
      </c>
      <c r="AE34" s="4">
        <f ca="1">_xll.DBRW($B$1,$B$2,$B$7,$B$3,$B$4,$B$5,$F34,$B$6,AE$10,$A34,$B34)</f>
        <v>0</v>
      </c>
    </row>
    <row r="35" spans="1:31">
      <c r="A35" s="1" t="s">
        <v>150</v>
      </c>
      <c r="B35" s="5" t="s">
        <v>176</v>
      </c>
      <c r="C35" s="5" t="s">
        <v>177</v>
      </c>
      <c r="D35" s="5" t="s">
        <v>28</v>
      </c>
      <c r="E35" s="5" t="s">
        <v>59</v>
      </c>
      <c r="F35" s="5" t="s">
        <v>312</v>
      </c>
      <c r="G35" s="6"/>
      <c r="H35" s="6"/>
      <c r="I35" s="6"/>
      <c r="J35" s="6"/>
      <c r="K35" s="6"/>
      <c r="L35" s="4">
        <f ca="1">_xll.DBRW($B$1,$B$2,$B$7,$B$3,$B$4,$B$5,$F35,$B$6,L$10,$A35,$B35)</f>
        <v>0</v>
      </c>
      <c r="M35" s="4">
        <f ca="1">_xll.DBRW($B$1,$B$2,$B$7,$B$3,$B$4,$B$5,$F35,$B$6,M$10,$A35,$B35)</f>
        <v>0</v>
      </c>
      <c r="N35" s="4">
        <f ca="1">_xll.DBRW($B$1,$B$2,$B$7,$B$3,$B$4,$B$5,$F35,$B$6,N$10,$A35,$B35)</f>
        <v>0</v>
      </c>
      <c r="O35" s="4">
        <f ca="1">_xll.DBRW($B$1,$B$2,$B$7,$B$3,$B$4,$B$5,$F35,$B$6,O$10,$A35,$B35)</f>
        <v>0</v>
      </c>
      <c r="P35" s="4">
        <f ca="1">_xll.DBRW($B$1,$B$2,$B$7,$B$3,$B$4,$B$5,$F35,$B$6,P$10,$A35,$B35)</f>
        <v>0</v>
      </c>
      <c r="Q35" s="4">
        <f ca="1">_xll.DBRW($B$1,$B$2,$B$7,$B$3,$B$4,$B$5,$F35,$B$6,Q$10,$A35,$B35)</f>
        <v>5</v>
      </c>
      <c r="R35" s="4">
        <f ca="1">_xll.DBRW($B$1,$B$2,$B$7,$B$3,$B$4,$B$5,$F35,$B$6,R$10,$A35,$B35)</f>
        <v>19</v>
      </c>
      <c r="S35" s="4">
        <f ca="1">_xll.DBRW($B$1,$B$2,$B$7,$B$3,$B$4,$B$5,$F35,$B$6,S$10,$A35,$B35)</f>
        <v>22</v>
      </c>
      <c r="T35" s="4">
        <f ca="1">_xll.DBRW($B$1,$B$2,$B$7,$B$3,$B$4,$B$5,$F35,$B$6,T$10,$A35,$B35)</f>
        <v>0</v>
      </c>
      <c r="U35" s="4">
        <f ca="1">_xll.DBRW($B$1,$B$2,$B$7,$B$3,$B$4,$B$5,$F35,$B$6,U$10,$A35,$B35)</f>
        <v>0</v>
      </c>
      <c r="V35" s="4">
        <f ca="1">_xll.DBRW($B$1,$B$2,$B$7,$B$3,$B$4,$B$5,$F35,$B$6,V$10,$A35,$B35)</f>
        <v>2</v>
      </c>
      <c r="W35" s="4">
        <f ca="1">_xll.DBRW($B$1,$B$2,$B$7,$B$3,$B$4,$B$5,$F35,$B$6,W$10,$A35,$B35)</f>
        <v>12</v>
      </c>
      <c r="X35" s="4">
        <f ca="1">_xll.DBRW($B$1,$B$2,$B$7,$B$3,$B$4,$B$5,$F35,$B$6,X$10,$A35,$B35)</f>
        <v>13</v>
      </c>
      <c r="Y35" s="4">
        <f ca="1">_xll.DBRW($B$1,$B$2,$B$7,$B$3,$B$4,$B$5,$F35,$B$6,Y$10,$A35,$B35)</f>
        <v>14</v>
      </c>
      <c r="Z35" s="4">
        <f ca="1">_xll.DBRW($B$1,$B$2,$B$7,$B$3,$B$4,$B$5,$F35,$B$6,Z$10,$A35,$B35)</f>
        <v>13</v>
      </c>
      <c r="AA35" s="4">
        <f ca="1">_xll.DBRW($B$1,$B$2,$B$7,$B$3,$B$4,$B$5,$F35,$B$6,AA$10,$A35,$B35)</f>
        <v>13</v>
      </c>
      <c r="AB35" s="4">
        <f ca="1">_xll.DBRW($B$1,$B$2,$B$7,$B$3,$B$4,$B$5,$F35,$B$6,AB$10,$A35,$B35)</f>
        <v>13</v>
      </c>
      <c r="AC35" s="4">
        <f ca="1">_xll.DBRW($B$1,$B$2,$B$7,$B$3,$B$4,$B$5,$F35,$B$6,AC$10,$A35,$B35)</f>
        <v>10</v>
      </c>
      <c r="AD35" s="4">
        <f ca="1">_xll.DBRW($B$1,$B$2,$B$7,$B$3,$B$4,$B$5,$F35,$B$6,AD$10,$A35,$B35)</f>
        <v>0</v>
      </c>
      <c r="AE35" s="4">
        <f ca="1">_xll.DBRW($B$1,$B$2,$B$7,$B$3,$B$4,$B$5,$F35,$B$6,AE$10,$A35,$B35)</f>
        <v>0</v>
      </c>
    </row>
    <row r="36" spans="1:31">
      <c r="A36" s="1" t="s">
        <v>150</v>
      </c>
      <c r="B36" s="5" t="s">
        <v>64</v>
      </c>
      <c r="C36" s="5" t="s">
        <v>65</v>
      </c>
      <c r="D36" s="5" t="s">
        <v>59</v>
      </c>
      <c r="E36" s="5" t="s">
        <v>28</v>
      </c>
      <c r="F36" s="5" t="s">
        <v>312</v>
      </c>
      <c r="G36" s="6"/>
      <c r="H36" s="6"/>
      <c r="I36" s="6"/>
      <c r="J36" s="6"/>
      <c r="K36" s="6"/>
      <c r="L36" s="4">
        <f ca="1">_xll.DBRW($B$1,$B$2,$B$7,$B$3,$B$4,$B$5,$F36,$B$6,L$10,$A36,$B36)</f>
        <v>0</v>
      </c>
      <c r="M36" s="4">
        <f ca="1">_xll.DBRW($B$1,$B$2,$B$7,$B$3,$B$4,$B$5,$F36,$B$6,M$10,$A36,$B36)</f>
        <v>0</v>
      </c>
      <c r="N36" s="4">
        <f ca="1">_xll.DBRW($B$1,$B$2,$B$7,$B$3,$B$4,$B$5,$F36,$B$6,N$10,$A36,$B36)</f>
        <v>0</v>
      </c>
      <c r="O36" s="4">
        <f ca="1">_xll.DBRW($B$1,$B$2,$B$7,$B$3,$B$4,$B$5,$F36,$B$6,O$10,$A36,$B36)</f>
        <v>0</v>
      </c>
      <c r="P36" s="4">
        <f ca="1">_xll.DBRW($B$1,$B$2,$B$7,$B$3,$B$4,$B$5,$F36,$B$6,P$10,$A36,$B36)</f>
        <v>0</v>
      </c>
      <c r="Q36" s="4">
        <f ca="1">_xll.DBRW($B$1,$B$2,$B$7,$B$3,$B$4,$B$5,$F36,$B$6,Q$10,$A36,$B36)</f>
        <v>3</v>
      </c>
      <c r="R36" s="4">
        <f ca="1">_xll.DBRW($B$1,$B$2,$B$7,$B$3,$B$4,$B$5,$F36,$B$6,R$10,$A36,$B36)</f>
        <v>21</v>
      </c>
      <c r="S36" s="4">
        <f ca="1">_xll.DBRW($B$1,$B$2,$B$7,$B$3,$B$4,$B$5,$F36,$B$6,S$10,$A36,$B36)</f>
        <v>22</v>
      </c>
      <c r="T36" s="4">
        <f ca="1">_xll.DBRW($B$1,$B$2,$B$7,$B$3,$B$4,$B$5,$F36,$B$6,T$10,$A36,$B36)</f>
        <v>0</v>
      </c>
      <c r="U36" s="4">
        <f ca="1">_xll.DBRW($B$1,$B$2,$B$7,$B$3,$B$4,$B$5,$F36,$B$6,U$10,$A36,$B36)</f>
        <v>0</v>
      </c>
      <c r="V36" s="4">
        <f ca="1">_xll.DBRW($B$1,$B$2,$B$7,$B$3,$B$4,$B$5,$F36,$B$6,V$10,$A36,$B36)</f>
        <v>2</v>
      </c>
      <c r="W36" s="4">
        <f ca="1">_xll.DBRW($B$1,$B$2,$B$7,$B$3,$B$4,$B$5,$F36,$B$6,W$10,$A36,$B36)</f>
        <v>17</v>
      </c>
      <c r="X36" s="4">
        <f ca="1">_xll.DBRW($B$1,$B$2,$B$7,$B$3,$B$4,$B$5,$F36,$B$6,X$10,$A36,$B36)</f>
        <v>17</v>
      </c>
      <c r="Y36" s="4">
        <f ca="1">_xll.DBRW($B$1,$B$2,$B$7,$B$3,$B$4,$B$5,$F36,$B$6,Y$10,$A36,$B36)</f>
        <v>18</v>
      </c>
      <c r="Z36" s="4">
        <f ca="1">_xll.DBRW($B$1,$B$2,$B$7,$B$3,$B$4,$B$5,$F36,$B$6,Z$10,$A36,$B36)</f>
        <v>17</v>
      </c>
      <c r="AA36" s="4">
        <f ca="1">_xll.DBRW($B$1,$B$2,$B$7,$B$3,$B$4,$B$5,$F36,$B$6,AA$10,$A36,$B36)</f>
        <v>18</v>
      </c>
      <c r="AB36" s="4">
        <f ca="1">_xll.DBRW($B$1,$B$2,$B$7,$B$3,$B$4,$B$5,$F36,$B$6,AB$10,$A36,$B36)</f>
        <v>17</v>
      </c>
      <c r="AC36" s="4">
        <f ca="1">_xll.DBRW($B$1,$B$2,$B$7,$B$3,$B$4,$B$5,$F36,$B$6,AC$10,$A36,$B36)</f>
        <v>13</v>
      </c>
      <c r="AD36" s="4">
        <f ca="1">_xll.DBRW($B$1,$B$2,$B$7,$B$3,$B$4,$B$5,$F36,$B$6,AD$10,$A36,$B36)</f>
        <v>0</v>
      </c>
      <c r="AE36" s="4">
        <f ca="1">_xll.DBRW($B$1,$B$2,$B$7,$B$3,$B$4,$B$5,$F36,$B$6,AE$10,$A36,$B36)</f>
        <v>0</v>
      </c>
    </row>
    <row r="37" spans="1:31">
      <c r="A37" s="1" t="s">
        <v>150</v>
      </c>
      <c r="B37" s="5" t="s">
        <v>178</v>
      </c>
      <c r="C37" s="5" t="s">
        <v>177</v>
      </c>
      <c r="D37" s="5" t="s">
        <v>28</v>
      </c>
      <c r="E37" s="5" t="s">
        <v>59</v>
      </c>
      <c r="F37" s="5" t="s">
        <v>312</v>
      </c>
      <c r="G37" s="6"/>
      <c r="H37" s="6"/>
      <c r="I37" s="6"/>
      <c r="J37" s="6"/>
      <c r="K37" s="6"/>
      <c r="L37" s="4">
        <f ca="1">_xll.DBRW($B$1,$B$2,$B$7,$B$3,$B$4,$B$5,$F37,$B$6,L$10,$A37,$B37)</f>
        <v>22</v>
      </c>
      <c r="M37" s="4">
        <f ca="1">_xll.DBRW($B$1,$B$2,$B$7,$B$3,$B$4,$B$5,$F37,$B$6,M$10,$A37,$B37)</f>
        <v>13</v>
      </c>
      <c r="N37" s="4">
        <f ca="1">_xll.DBRW($B$1,$B$2,$B$7,$B$3,$B$4,$B$5,$F37,$B$6,N$10,$A37,$B37)</f>
        <v>12</v>
      </c>
      <c r="O37" s="4">
        <f ca="1">_xll.DBRW($B$1,$B$2,$B$7,$B$3,$B$4,$B$5,$F37,$B$6,O$10,$A37,$B37)</f>
        <v>13</v>
      </c>
      <c r="P37" s="4">
        <f ca="1">_xll.DBRW($B$1,$B$2,$B$7,$B$3,$B$4,$B$5,$F37,$B$6,P$10,$A37,$B37)</f>
        <v>9</v>
      </c>
      <c r="Q37" s="4">
        <f ca="1">_xll.DBRW($B$1,$B$2,$B$7,$B$3,$B$4,$B$5,$F37,$B$6,Q$10,$A37,$B37)</f>
        <v>9</v>
      </c>
      <c r="R37" s="4">
        <f ca="1">_xll.DBRW($B$1,$B$2,$B$7,$B$3,$B$4,$B$5,$F37,$B$6,R$10,$A37,$B37)</f>
        <v>0</v>
      </c>
      <c r="S37" s="4">
        <f ca="1">_xll.DBRW($B$1,$B$2,$B$7,$B$3,$B$4,$B$5,$F37,$B$6,S$10,$A37,$B37)</f>
        <v>0</v>
      </c>
      <c r="T37" s="4">
        <f ca="1">_xll.DBRW($B$1,$B$2,$B$7,$B$3,$B$4,$B$5,$F37,$B$6,T$10,$A37,$B37)</f>
        <v>0</v>
      </c>
      <c r="U37" s="4">
        <f ca="1">_xll.DBRW($B$1,$B$2,$B$7,$B$3,$B$4,$B$5,$F37,$B$6,U$10,$A37,$B37)</f>
        <v>0</v>
      </c>
      <c r="V37" s="4">
        <f ca="1">_xll.DBRW($B$1,$B$2,$B$7,$B$3,$B$4,$B$5,$F37,$B$6,V$10,$A37,$B37)</f>
        <v>0</v>
      </c>
      <c r="W37" s="4">
        <f ca="1">_xll.DBRW($B$1,$B$2,$B$7,$B$3,$B$4,$B$5,$F37,$B$6,W$10,$A37,$B37)</f>
        <v>0</v>
      </c>
      <c r="X37" s="4">
        <f ca="1">_xll.DBRW($B$1,$B$2,$B$7,$B$3,$B$4,$B$5,$F37,$B$6,X$10,$A37,$B37)</f>
        <v>0</v>
      </c>
      <c r="Y37" s="4">
        <f ca="1">_xll.DBRW($B$1,$B$2,$B$7,$B$3,$B$4,$B$5,$F37,$B$6,Y$10,$A37,$B37)</f>
        <v>0</v>
      </c>
      <c r="Z37" s="4">
        <f ca="1">_xll.DBRW($B$1,$B$2,$B$7,$B$3,$B$4,$B$5,$F37,$B$6,Z$10,$A37,$B37)</f>
        <v>0</v>
      </c>
      <c r="AA37" s="4">
        <f ca="1">_xll.DBRW($B$1,$B$2,$B$7,$B$3,$B$4,$B$5,$F37,$B$6,AA$10,$A37,$B37)</f>
        <v>0</v>
      </c>
      <c r="AB37" s="4">
        <f ca="1">_xll.DBRW($B$1,$B$2,$B$7,$B$3,$B$4,$B$5,$F37,$B$6,AB$10,$A37,$B37)</f>
        <v>0</v>
      </c>
      <c r="AC37" s="4">
        <f ca="1">_xll.DBRW($B$1,$B$2,$B$7,$B$3,$B$4,$B$5,$F37,$B$6,AC$10,$A37,$B37)</f>
        <v>0</v>
      </c>
      <c r="AD37" s="4">
        <f ca="1">_xll.DBRW($B$1,$B$2,$B$7,$B$3,$B$4,$B$5,$F37,$B$6,AD$10,$A37,$B37)</f>
        <v>0</v>
      </c>
      <c r="AE37" s="4">
        <f ca="1">_xll.DBRW($B$1,$B$2,$B$7,$B$3,$B$4,$B$5,$F37,$B$6,AE$10,$A37,$B37)</f>
        <v>0</v>
      </c>
    </row>
    <row r="38" spans="1:31">
      <c r="A38" s="1" t="s">
        <v>150</v>
      </c>
      <c r="B38" s="5" t="s">
        <v>66</v>
      </c>
      <c r="C38" s="5" t="s">
        <v>65</v>
      </c>
      <c r="D38" s="5" t="s">
        <v>59</v>
      </c>
      <c r="E38" s="5" t="s">
        <v>28</v>
      </c>
      <c r="F38" s="5" t="s">
        <v>312</v>
      </c>
      <c r="G38" s="6"/>
      <c r="H38" s="6"/>
      <c r="I38" s="6"/>
      <c r="J38" s="6"/>
      <c r="K38" s="6"/>
      <c r="L38" s="4">
        <f ca="1">_xll.DBRW($B$1,$B$2,$B$7,$B$3,$B$4,$B$5,$F38,$B$6,L$10,$A38,$B38)</f>
        <v>21</v>
      </c>
      <c r="M38" s="4">
        <f ca="1">_xll.DBRW($B$1,$B$2,$B$7,$B$3,$B$4,$B$5,$F38,$B$6,M$10,$A38,$B38)</f>
        <v>14</v>
      </c>
      <c r="N38" s="4">
        <f ca="1">_xll.DBRW($B$1,$B$2,$B$7,$B$3,$B$4,$B$5,$F38,$B$6,N$10,$A38,$B38)</f>
        <v>12</v>
      </c>
      <c r="O38" s="4">
        <f ca="1">_xll.DBRW($B$1,$B$2,$B$7,$B$3,$B$4,$B$5,$F38,$B$6,O$10,$A38,$B38)</f>
        <v>13</v>
      </c>
      <c r="P38" s="4">
        <f ca="1">_xll.DBRW($B$1,$B$2,$B$7,$B$3,$B$4,$B$5,$F38,$B$6,P$10,$A38,$B38)</f>
        <v>9</v>
      </c>
      <c r="Q38" s="4">
        <f ca="1">_xll.DBRW($B$1,$B$2,$B$7,$B$3,$B$4,$B$5,$F38,$B$6,Q$10,$A38,$B38)</f>
        <v>9</v>
      </c>
      <c r="R38" s="4">
        <f ca="1">_xll.DBRW($B$1,$B$2,$B$7,$B$3,$B$4,$B$5,$F38,$B$6,R$10,$A38,$B38)</f>
        <v>0</v>
      </c>
      <c r="S38" s="4">
        <f ca="1">_xll.DBRW($B$1,$B$2,$B$7,$B$3,$B$4,$B$5,$F38,$B$6,S$10,$A38,$B38)</f>
        <v>0</v>
      </c>
      <c r="T38" s="4">
        <f ca="1">_xll.DBRW($B$1,$B$2,$B$7,$B$3,$B$4,$B$5,$F38,$B$6,T$10,$A38,$B38)</f>
        <v>0</v>
      </c>
      <c r="U38" s="4">
        <f ca="1">_xll.DBRW($B$1,$B$2,$B$7,$B$3,$B$4,$B$5,$F38,$B$6,U$10,$A38,$B38)</f>
        <v>0</v>
      </c>
      <c r="V38" s="4">
        <f ca="1">_xll.DBRW($B$1,$B$2,$B$7,$B$3,$B$4,$B$5,$F38,$B$6,V$10,$A38,$B38)</f>
        <v>0</v>
      </c>
      <c r="W38" s="4">
        <f ca="1">_xll.DBRW($B$1,$B$2,$B$7,$B$3,$B$4,$B$5,$F38,$B$6,W$10,$A38,$B38)</f>
        <v>0</v>
      </c>
      <c r="X38" s="4">
        <f ca="1">_xll.DBRW($B$1,$B$2,$B$7,$B$3,$B$4,$B$5,$F38,$B$6,X$10,$A38,$B38)</f>
        <v>0</v>
      </c>
      <c r="Y38" s="4">
        <f ca="1">_xll.DBRW($B$1,$B$2,$B$7,$B$3,$B$4,$B$5,$F38,$B$6,Y$10,$A38,$B38)</f>
        <v>0</v>
      </c>
      <c r="Z38" s="4">
        <f ca="1">_xll.DBRW($B$1,$B$2,$B$7,$B$3,$B$4,$B$5,$F38,$B$6,Z$10,$A38,$B38)</f>
        <v>0</v>
      </c>
      <c r="AA38" s="4">
        <f ca="1">_xll.DBRW($B$1,$B$2,$B$7,$B$3,$B$4,$B$5,$F38,$B$6,AA$10,$A38,$B38)</f>
        <v>0</v>
      </c>
      <c r="AB38" s="4">
        <f ca="1">_xll.DBRW($B$1,$B$2,$B$7,$B$3,$B$4,$B$5,$F38,$B$6,AB$10,$A38,$B38)</f>
        <v>0</v>
      </c>
      <c r="AC38" s="4">
        <f ca="1">_xll.DBRW($B$1,$B$2,$B$7,$B$3,$B$4,$B$5,$F38,$B$6,AC$10,$A38,$B38)</f>
        <v>0</v>
      </c>
      <c r="AD38" s="4">
        <f ca="1">_xll.DBRW($B$1,$B$2,$B$7,$B$3,$B$4,$B$5,$F38,$B$6,AD$10,$A38,$B38)</f>
        <v>0</v>
      </c>
      <c r="AE38" s="4">
        <f ca="1">_xll.DBRW($B$1,$B$2,$B$7,$B$3,$B$4,$B$5,$F38,$B$6,AE$10,$A38,$B38)</f>
        <v>0</v>
      </c>
    </row>
    <row r="39" spans="1:31">
      <c r="A39" s="1" t="s">
        <v>150</v>
      </c>
      <c r="B39" s="5" t="s">
        <v>179</v>
      </c>
      <c r="C39" s="5" t="s">
        <v>180</v>
      </c>
      <c r="D39" s="5" t="s">
        <v>28</v>
      </c>
      <c r="E39" s="5" t="s">
        <v>181</v>
      </c>
      <c r="F39" s="5" t="s">
        <v>312</v>
      </c>
      <c r="G39" s="6"/>
      <c r="H39" s="6"/>
      <c r="I39" s="6"/>
      <c r="J39" s="6"/>
      <c r="K39" s="6"/>
      <c r="L39" s="4">
        <f ca="1">_xll.DBRW($B$1,$B$2,$B$7,$B$3,$B$4,$B$5,$F39,$B$6,L$10,$A39,$B39)</f>
        <v>0</v>
      </c>
      <c r="M39" s="4">
        <f ca="1">_xll.DBRW($B$1,$B$2,$B$7,$B$3,$B$4,$B$5,$F39,$B$6,M$10,$A39,$B39)</f>
        <v>0</v>
      </c>
      <c r="N39" s="4">
        <f ca="1">_xll.DBRW($B$1,$B$2,$B$7,$B$3,$B$4,$B$5,$F39,$B$6,N$10,$A39,$B39)</f>
        <v>0</v>
      </c>
      <c r="O39" s="4">
        <f ca="1">_xll.DBRW($B$1,$B$2,$B$7,$B$3,$B$4,$B$5,$F39,$B$6,O$10,$A39,$B39)</f>
        <v>0</v>
      </c>
      <c r="P39" s="4">
        <f ca="1">_xll.DBRW($B$1,$B$2,$B$7,$B$3,$B$4,$B$5,$F39,$B$6,P$10,$A39,$B39)</f>
        <v>0</v>
      </c>
      <c r="Q39" s="4">
        <f ca="1">_xll.DBRW($B$1,$B$2,$B$7,$B$3,$B$4,$B$5,$F39,$B$6,Q$10,$A39,$B39)</f>
        <v>6</v>
      </c>
      <c r="R39" s="4">
        <f ca="1">_xll.DBRW($B$1,$B$2,$B$7,$B$3,$B$4,$B$5,$F39,$B$6,R$10,$A39,$B39)</f>
        <v>17</v>
      </c>
      <c r="S39" s="4">
        <f ca="1">_xll.DBRW($B$1,$B$2,$B$7,$B$3,$B$4,$B$5,$F39,$B$6,S$10,$A39,$B39)</f>
        <v>18</v>
      </c>
      <c r="T39" s="4">
        <f ca="1">_xll.DBRW($B$1,$B$2,$B$7,$B$3,$B$4,$B$5,$F39,$B$6,T$10,$A39,$B39)</f>
        <v>17</v>
      </c>
      <c r="U39" s="4">
        <f ca="1">_xll.DBRW($B$1,$B$2,$B$7,$B$3,$B$4,$B$5,$F39,$B$6,U$10,$A39,$B39)</f>
        <v>16</v>
      </c>
      <c r="V39" s="4">
        <f ca="1">_xll.DBRW($B$1,$B$2,$B$7,$B$3,$B$4,$B$5,$F39,$B$6,V$10,$A39,$B39)</f>
        <v>17</v>
      </c>
      <c r="W39" s="4">
        <f ca="1">_xll.DBRW($B$1,$B$2,$B$7,$B$3,$B$4,$B$5,$F39,$B$6,W$10,$A39,$B39)</f>
        <v>0</v>
      </c>
      <c r="X39" s="4">
        <f ca="1">_xll.DBRW($B$1,$B$2,$B$7,$B$3,$B$4,$B$5,$F39,$B$6,X$10,$A39,$B39)</f>
        <v>0</v>
      </c>
      <c r="Y39" s="4">
        <f ca="1">_xll.DBRW($B$1,$B$2,$B$7,$B$3,$B$4,$B$5,$F39,$B$6,Y$10,$A39,$B39)</f>
        <v>0</v>
      </c>
      <c r="Z39" s="4">
        <f ca="1">_xll.DBRW($B$1,$B$2,$B$7,$B$3,$B$4,$B$5,$F39,$B$6,Z$10,$A39,$B39)</f>
        <v>0</v>
      </c>
      <c r="AA39" s="4">
        <f ca="1">_xll.DBRW($B$1,$B$2,$B$7,$B$3,$B$4,$B$5,$F39,$B$6,AA$10,$A39,$B39)</f>
        <v>0</v>
      </c>
      <c r="AB39" s="4">
        <f ca="1">_xll.DBRW($B$1,$B$2,$B$7,$B$3,$B$4,$B$5,$F39,$B$6,AB$10,$A39,$B39)</f>
        <v>0</v>
      </c>
      <c r="AC39" s="4">
        <f ca="1">_xll.DBRW($B$1,$B$2,$B$7,$B$3,$B$4,$B$5,$F39,$B$6,AC$10,$A39,$B39)</f>
        <v>3</v>
      </c>
      <c r="AD39" s="4">
        <f ca="1">_xll.DBRW($B$1,$B$2,$B$7,$B$3,$B$4,$B$5,$F39,$B$6,AD$10,$A39,$B39)</f>
        <v>18</v>
      </c>
      <c r="AE39" s="4">
        <f ca="1">_xll.DBRW($B$1,$B$2,$B$7,$B$3,$B$4,$B$5,$F39,$B$6,AE$10,$A39,$B39)</f>
        <v>17</v>
      </c>
    </row>
    <row r="40" spans="1:31">
      <c r="A40" s="1" t="s">
        <v>150</v>
      </c>
      <c r="B40" s="5" t="s">
        <v>182</v>
      </c>
      <c r="C40" s="5" t="s">
        <v>183</v>
      </c>
      <c r="D40" s="5" t="s">
        <v>181</v>
      </c>
      <c r="E40" s="5" t="s">
        <v>28</v>
      </c>
      <c r="F40" s="5" t="s">
        <v>312</v>
      </c>
      <c r="G40" s="6"/>
      <c r="H40" s="6"/>
      <c r="I40" s="6"/>
      <c r="J40" s="6"/>
      <c r="K40" s="6"/>
      <c r="L40" s="4">
        <f ca="1">_xll.DBRW($B$1,$B$2,$B$7,$B$3,$B$4,$B$5,$F40,$B$6,L$10,$A40,$B40)</f>
        <v>0</v>
      </c>
      <c r="M40" s="4">
        <f ca="1">_xll.DBRW($B$1,$B$2,$B$7,$B$3,$B$4,$B$5,$F40,$B$6,M$10,$A40,$B40)</f>
        <v>0</v>
      </c>
      <c r="N40" s="4">
        <f ca="1">_xll.DBRW($B$1,$B$2,$B$7,$B$3,$B$4,$B$5,$F40,$B$6,N$10,$A40,$B40)</f>
        <v>0</v>
      </c>
      <c r="O40" s="4">
        <f ca="1">_xll.DBRW($B$1,$B$2,$B$7,$B$3,$B$4,$B$5,$F40,$B$6,O$10,$A40,$B40)</f>
        <v>0</v>
      </c>
      <c r="P40" s="4">
        <f ca="1">_xll.DBRW($B$1,$B$2,$B$7,$B$3,$B$4,$B$5,$F40,$B$6,P$10,$A40,$B40)</f>
        <v>0</v>
      </c>
      <c r="Q40" s="4">
        <f ca="1">_xll.DBRW($B$1,$B$2,$B$7,$B$3,$B$4,$B$5,$F40,$B$6,Q$10,$A40,$B40)</f>
        <v>6</v>
      </c>
      <c r="R40" s="4">
        <f ca="1">_xll.DBRW($B$1,$B$2,$B$7,$B$3,$B$4,$B$5,$F40,$B$6,R$10,$A40,$B40)</f>
        <v>17</v>
      </c>
      <c r="S40" s="4">
        <f ca="1">_xll.DBRW($B$1,$B$2,$B$7,$B$3,$B$4,$B$5,$F40,$B$6,S$10,$A40,$B40)</f>
        <v>18</v>
      </c>
      <c r="T40" s="4">
        <f ca="1">_xll.DBRW($B$1,$B$2,$B$7,$B$3,$B$4,$B$5,$F40,$B$6,T$10,$A40,$B40)</f>
        <v>17</v>
      </c>
      <c r="U40" s="4">
        <f ca="1">_xll.DBRW($B$1,$B$2,$B$7,$B$3,$B$4,$B$5,$F40,$B$6,U$10,$A40,$B40)</f>
        <v>16</v>
      </c>
      <c r="V40" s="4">
        <f ca="1">_xll.DBRW($B$1,$B$2,$B$7,$B$3,$B$4,$B$5,$F40,$B$6,V$10,$A40,$B40)</f>
        <v>17</v>
      </c>
      <c r="W40" s="4">
        <f ca="1">_xll.DBRW($B$1,$B$2,$B$7,$B$3,$B$4,$B$5,$F40,$B$6,W$10,$A40,$B40)</f>
        <v>0</v>
      </c>
      <c r="X40" s="4">
        <f ca="1">_xll.DBRW($B$1,$B$2,$B$7,$B$3,$B$4,$B$5,$F40,$B$6,X$10,$A40,$B40)</f>
        <v>0</v>
      </c>
      <c r="Y40" s="4">
        <f ca="1">_xll.DBRW($B$1,$B$2,$B$7,$B$3,$B$4,$B$5,$F40,$B$6,Y$10,$A40,$B40)</f>
        <v>0</v>
      </c>
      <c r="Z40" s="4">
        <f ca="1">_xll.DBRW($B$1,$B$2,$B$7,$B$3,$B$4,$B$5,$F40,$B$6,Z$10,$A40,$B40)</f>
        <v>0</v>
      </c>
      <c r="AA40" s="4">
        <f ca="1">_xll.DBRW($B$1,$B$2,$B$7,$B$3,$B$4,$B$5,$F40,$B$6,AA$10,$A40,$B40)</f>
        <v>0</v>
      </c>
      <c r="AB40" s="4">
        <f ca="1">_xll.DBRW($B$1,$B$2,$B$7,$B$3,$B$4,$B$5,$F40,$B$6,AB$10,$A40,$B40)</f>
        <v>0</v>
      </c>
      <c r="AC40" s="4">
        <f ca="1">_xll.DBRW($B$1,$B$2,$B$7,$B$3,$B$4,$B$5,$F40,$B$6,AC$10,$A40,$B40)</f>
        <v>3</v>
      </c>
      <c r="AD40" s="4">
        <f ca="1">_xll.DBRW($B$1,$B$2,$B$7,$B$3,$B$4,$B$5,$F40,$B$6,AD$10,$A40,$B40)</f>
        <v>18</v>
      </c>
      <c r="AE40" s="4">
        <f ca="1">_xll.DBRW($B$1,$B$2,$B$7,$B$3,$B$4,$B$5,$F40,$B$6,AE$10,$A40,$B40)</f>
        <v>17</v>
      </c>
    </row>
    <row r="41" spans="1:31">
      <c r="A41" s="1" t="s">
        <v>150</v>
      </c>
      <c r="B41" s="5" t="s">
        <v>184</v>
      </c>
      <c r="C41" s="5" t="s">
        <v>185</v>
      </c>
      <c r="D41" s="5" t="s">
        <v>28</v>
      </c>
      <c r="E41" s="5" t="s">
        <v>49</v>
      </c>
      <c r="F41" s="5" t="s">
        <v>312</v>
      </c>
      <c r="G41" s="6"/>
      <c r="H41" s="6"/>
      <c r="I41" s="6"/>
      <c r="J41" s="6"/>
      <c r="K41" s="6"/>
      <c r="L41" s="4">
        <f ca="1">_xll.DBRW($B$1,$B$2,$B$7,$B$3,$B$4,$B$5,$F41,$B$6,L$10,$A41,$B41)</f>
        <v>0</v>
      </c>
      <c r="M41" s="4">
        <f ca="1">_xll.DBRW($B$1,$B$2,$B$7,$B$3,$B$4,$B$5,$F41,$B$6,M$10,$A41,$B41)</f>
        <v>0</v>
      </c>
      <c r="N41" s="4">
        <f ca="1">_xll.DBRW($B$1,$B$2,$B$7,$B$3,$B$4,$B$5,$F41,$B$6,N$10,$A41,$B41)</f>
        <v>0</v>
      </c>
      <c r="O41" s="4">
        <f ca="1">_xll.DBRW($B$1,$B$2,$B$7,$B$3,$B$4,$B$5,$F41,$B$6,O$10,$A41,$B41)</f>
        <v>0</v>
      </c>
      <c r="P41" s="4">
        <f ca="1">_xll.DBRW($B$1,$B$2,$B$7,$B$3,$B$4,$B$5,$F41,$B$6,P$10,$A41,$B41)</f>
        <v>0</v>
      </c>
      <c r="Q41" s="4">
        <f ca="1">_xll.DBRW($B$1,$B$2,$B$7,$B$3,$B$4,$B$5,$F41,$B$6,Q$10,$A41,$B41)</f>
        <v>0</v>
      </c>
      <c r="R41" s="4">
        <f ca="1">_xll.DBRW($B$1,$B$2,$B$7,$B$3,$B$4,$B$5,$F41,$B$6,R$10,$A41,$B41)</f>
        <v>0</v>
      </c>
      <c r="S41" s="4">
        <f ca="1">_xll.DBRW($B$1,$B$2,$B$7,$B$3,$B$4,$B$5,$F41,$B$6,S$10,$A41,$B41)</f>
        <v>0</v>
      </c>
      <c r="T41" s="4">
        <f ca="1">_xll.DBRW($B$1,$B$2,$B$7,$B$3,$B$4,$B$5,$F41,$B$6,T$10,$A41,$B41)</f>
        <v>0</v>
      </c>
      <c r="U41" s="4">
        <f ca="1">_xll.DBRW($B$1,$B$2,$B$7,$B$3,$B$4,$B$5,$F41,$B$6,U$10,$A41,$B41)</f>
        <v>0</v>
      </c>
      <c r="V41" s="4">
        <f ca="1">_xll.DBRW($B$1,$B$2,$B$7,$B$3,$B$4,$B$5,$F41,$B$6,V$10,$A41,$B41)</f>
        <v>0</v>
      </c>
      <c r="W41" s="4">
        <f ca="1">_xll.DBRW($B$1,$B$2,$B$7,$B$3,$B$4,$B$5,$F41,$B$6,W$10,$A41,$B41)</f>
        <v>0</v>
      </c>
      <c r="X41" s="4">
        <f ca="1">_xll.DBRW($B$1,$B$2,$B$7,$B$3,$B$4,$B$5,$F41,$B$6,X$10,$A41,$B41)</f>
        <v>0</v>
      </c>
      <c r="Y41" s="4">
        <f ca="1">_xll.DBRW($B$1,$B$2,$B$7,$B$3,$B$4,$B$5,$F41,$B$6,Y$10,$A41,$B41)</f>
        <v>0</v>
      </c>
      <c r="Z41" s="4">
        <f ca="1">_xll.DBRW($B$1,$B$2,$B$7,$B$3,$B$4,$B$5,$F41,$B$6,Z$10,$A41,$B41)</f>
        <v>0</v>
      </c>
      <c r="AA41" s="4">
        <f ca="1">_xll.DBRW($B$1,$B$2,$B$7,$B$3,$B$4,$B$5,$F41,$B$6,AA$10,$A41,$B41)</f>
        <v>0</v>
      </c>
      <c r="AB41" s="4">
        <f ca="1">_xll.DBRW($B$1,$B$2,$B$7,$B$3,$B$4,$B$5,$F41,$B$6,AB$10,$A41,$B41)</f>
        <v>0</v>
      </c>
      <c r="AC41" s="4">
        <f ca="1">_xll.DBRW($B$1,$B$2,$B$7,$B$3,$B$4,$B$5,$F41,$B$6,AC$10,$A41,$B41)</f>
        <v>0</v>
      </c>
      <c r="AD41" s="4">
        <f ca="1">_xll.DBRW($B$1,$B$2,$B$7,$B$3,$B$4,$B$5,$F41,$B$6,AD$10,$A41,$B41)</f>
        <v>0</v>
      </c>
      <c r="AE41" s="4">
        <f ca="1">_xll.DBRW($B$1,$B$2,$B$7,$B$3,$B$4,$B$5,$F41,$B$6,AE$10,$A41,$B41)</f>
        <v>0</v>
      </c>
    </row>
    <row r="42" spans="1:31">
      <c r="A42" s="1" t="s">
        <v>150</v>
      </c>
      <c r="B42" s="5" t="s">
        <v>50</v>
      </c>
      <c r="C42" s="5" t="s">
        <v>51</v>
      </c>
      <c r="D42" s="5" t="s">
        <v>49</v>
      </c>
      <c r="E42" s="5" t="s">
        <v>28</v>
      </c>
      <c r="F42" s="5" t="s">
        <v>312</v>
      </c>
      <c r="G42" s="6"/>
      <c r="H42" s="6"/>
      <c r="I42" s="6"/>
      <c r="J42" s="6"/>
      <c r="K42" s="6"/>
      <c r="L42" s="4">
        <f ca="1">_xll.DBRW($B$1,$B$2,$B$7,$B$3,$B$4,$B$5,$F42,$B$6,L$10,$A42,$B42)</f>
        <v>0</v>
      </c>
      <c r="M42" s="4">
        <f ca="1">_xll.DBRW($B$1,$B$2,$B$7,$B$3,$B$4,$B$5,$F42,$B$6,M$10,$A42,$B42)</f>
        <v>0</v>
      </c>
      <c r="N42" s="4">
        <f ca="1">_xll.DBRW($B$1,$B$2,$B$7,$B$3,$B$4,$B$5,$F42,$B$6,N$10,$A42,$B42)</f>
        <v>0</v>
      </c>
      <c r="O42" s="4">
        <f ca="1">_xll.DBRW($B$1,$B$2,$B$7,$B$3,$B$4,$B$5,$F42,$B$6,O$10,$A42,$B42)</f>
        <v>0</v>
      </c>
      <c r="P42" s="4">
        <f ca="1">_xll.DBRW($B$1,$B$2,$B$7,$B$3,$B$4,$B$5,$F42,$B$6,P$10,$A42,$B42)</f>
        <v>0</v>
      </c>
      <c r="Q42" s="4">
        <f ca="1">_xll.DBRW($B$1,$B$2,$B$7,$B$3,$B$4,$B$5,$F42,$B$6,Q$10,$A42,$B42)</f>
        <v>0</v>
      </c>
      <c r="R42" s="4">
        <f ca="1">_xll.DBRW($B$1,$B$2,$B$7,$B$3,$B$4,$B$5,$F42,$B$6,R$10,$A42,$B42)</f>
        <v>0</v>
      </c>
      <c r="S42" s="4">
        <f ca="1">_xll.DBRW($B$1,$B$2,$B$7,$B$3,$B$4,$B$5,$F42,$B$6,S$10,$A42,$B42)</f>
        <v>0</v>
      </c>
      <c r="T42" s="4">
        <f ca="1">_xll.DBRW($B$1,$B$2,$B$7,$B$3,$B$4,$B$5,$F42,$B$6,T$10,$A42,$B42)</f>
        <v>0</v>
      </c>
      <c r="U42" s="4">
        <f ca="1">_xll.DBRW($B$1,$B$2,$B$7,$B$3,$B$4,$B$5,$F42,$B$6,U$10,$A42,$B42)</f>
        <v>0</v>
      </c>
      <c r="V42" s="4">
        <f ca="1">_xll.DBRW($B$1,$B$2,$B$7,$B$3,$B$4,$B$5,$F42,$B$6,V$10,$A42,$B42)</f>
        <v>0</v>
      </c>
      <c r="W42" s="4">
        <f ca="1">_xll.DBRW($B$1,$B$2,$B$7,$B$3,$B$4,$B$5,$F42,$B$6,W$10,$A42,$B42)</f>
        <v>0</v>
      </c>
      <c r="X42" s="4">
        <f ca="1">_xll.DBRW($B$1,$B$2,$B$7,$B$3,$B$4,$B$5,$F42,$B$6,X$10,$A42,$B42)</f>
        <v>0</v>
      </c>
      <c r="Y42" s="4">
        <f ca="1">_xll.DBRW($B$1,$B$2,$B$7,$B$3,$B$4,$B$5,$F42,$B$6,Y$10,$A42,$B42)</f>
        <v>0</v>
      </c>
      <c r="Z42" s="4">
        <f ca="1">_xll.DBRW($B$1,$B$2,$B$7,$B$3,$B$4,$B$5,$F42,$B$6,Z$10,$A42,$B42)</f>
        <v>0</v>
      </c>
      <c r="AA42" s="4">
        <f ca="1">_xll.DBRW($B$1,$B$2,$B$7,$B$3,$B$4,$B$5,$F42,$B$6,AA$10,$A42,$B42)</f>
        <v>0</v>
      </c>
      <c r="AB42" s="4">
        <f ca="1">_xll.DBRW($B$1,$B$2,$B$7,$B$3,$B$4,$B$5,$F42,$B$6,AB$10,$A42,$B42)</f>
        <v>0</v>
      </c>
      <c r="AC42" s="4">
        <f ca="1">_xll.DBRW($B$1,$B$2,$B$7,$B$3,$B$4,$B$5,$F42,$B$6,AC$10,$A42,$B42)</f>
        <v>0</v>
      </c>
      <c r="AD42" s="4">
        <f ca="1">_xll.DBRW($B$1,$B$2,$B$7,$B$3,$B$4,$B$5,$F42,$B$6,AD$10,$A42,$B42)</f>
        <v>0</v>
      </c>
      <c r="AE42" s="4">
        <f ca="1">_xll.DBRW($B$1,$B$2,$B$7,$B$3,$B$4,$B$5,$F42,$B$6,AE$10,$A42,$B42)</f>
        <v>0</v>
      </c>
    </row>
    <row r="43" spans="1:31">
      <c r="A43" s="1" t="s">
        <v>150</v>
      </c>
      <c r="B43" s="5" t="s">
        <v>186</v>
      </c>
      <c r="C43" s="5" t="s">
        <v>187</v>
      </c>
      <c r="D43" s="5" t="s">
        <v>21</v>
      </c>
      <c r="E43" s="5" t="s">
        <v>59</v>
      </c>
      <c r="F43" s="5" t="s">
        <v>312</v>
      </c>
      <c r="G43" s="6"/>
      <c r="H43" s="6"/>
      <c r="I43" s="6"/>
      <c r="J43" s="6"/>
      <c r="K43" s="6"/>
      <c r="L43" s="4">
        <f ca="1">_xll.DBRW($B$1,$B$2,$B$7,$B$3,$B$4,$B$5,$F43,$B$6,L$10,$A43,$B43)</f>
        <v>23</v>
      </c>
      <c r="M43" s="4">
        <f ca="1">_xll.DBRW($B$1,$B$2,$B$7,$B$3,$B$4,$B$5,$F43,$B$6,M$10,$A43,$B43)</f>
        <v>26</v>
      </c>
      <c r="N43" s="4">
        <f ca="1">_xll.DBRW($B$1,$B$2,$B$7,$B$3,$B$4,$B$5,$F43,$B$6,N$10,$A43,$B43)</f>
        <v>25</v>
      </c>
      <c r="O43" s="4">
        <f ca="1">_xll.DBRW($B$1,$B$2,$B$7,$B$3,$B$4,$B$5,$F43,$B$6,O$10,$A43,$B43)</f>
        <v>26</v>
      </c>
      <c r="P43" s="4">
        <f ca="1">_xll.DBRW($B$1,$B$2,$B$7,$B$3,$B$4,$B$5,$F43,$B$6,P$10,$A43,$B43)</f>
        <v>26</v>
      </c>
      <c r="Q43" s="4">
        <f ca="1">_xll.DBRW($B$1,$B$2,$B$7,$B$3,$B$4,$B$5,$F43,$B$6,Q$10,$A43,$B43)</f>
        <v>25</v>
      </c>
      <c r="R43" s="4">
        <f ca="1">_xll.DBRW($B$1,$B$2,$B$7,$B$3,$B$4,$B$5,$F43,$B$6,R$10,$A43,$B43)</f>
        <v>22</v>
      </c>
      <c r="S43" s="4">
        <f ca="1">_xll.DBRW($B$1,$B$2,$B$7,$B$3,$B$4,$B$5,$F43,$B$6,S$10,$A43,$B43)</f>
        <v>23</v>
      </c>
      <c r="T43" s="4">
        <f ca="1">_xll.DBRW($B$1,$B$2,$B$7,$B$3,$B$4,$B$5,$F43,$B$6,T$10,$A43,$B43)</f>
        <v>0</v>
      </c>
      <c r="U43" s="4">
        <f ca="1">_xll.DBRW($B$1,$B$2,$B$7,$B$3,$B$4,$B$5,$F43,$B$6,U$10,$A43,$B43)</f>
        <v>0</v>
      </c>
      <c r="V43" s="4">
        <f ca="1">_xll.DBRW($B$1,$B$2,$B$7,$B$3,$B$4,$B$5,$F43,$B$6,V$10,$A43,$B43)</f>
        <v>1</v>
      </c>
      <c r="W43" s="4">
        <f ca="1">_xll.DBRW($B$1,$B$2,$B$7,$B$3,$B$4,$B$5,$F43,$B$6,W$10,$A43,$B43)</f>
        <v>12</v>
      </c>
      <c r="X43" s="4">
        <f ca="1">_xll.DBRW($B$1,$B$2,$B$7,$B$3,$B$4,$B$5,$F43,$B$6,X$10,$A43,$B43)</f>
        <v>14</v>
      </c>
      <c r="Y43" s="4">
        <f ca="1">_xll.DBRW($B$1,$B$2,$B$7,$B$3,$B$4,$B$5,$F43,$B$6,Y$10,$A43,$B43)</f>
        <v>13</v>
      </c>
      <c r="Z43" s="4">
        <f ca="1">_xll.DBRW($B$1,$B$2,$B$7,$B$3,$B$4,$B$5,$F43,$B$6,Z$10,$A43,$B43)</f>
        <v>12</v>
      </c>
      <c r="AA43" s="4">
        <f ca="1">_xll.DBRW($B$1,$B$2,$B$7,$B$3,$B$4,$B$5,$F43,$B$6,AA$10,$A43,$B43)</f>
        <v>14</v>
      </c>
      <c r="AB43" s="4">
        <f ca="1">_xll.DBRW($B$1,$B$2,$B$7,$B$3,$B$4,$B$5,$F43,$B$6,AB$10,$A43,$B43)</f>
        <v>13</v>
      </c>
      <c r="AC43" s="4">
        <f ca="1">_xll.DBRW($B$1,$B$2,$B$7,$B$3,$B$4,$B$5,$F43,$B$6,AC$10,$A43,$B43)</f>
        <v>11</v>
      </c>
      <c r="AD43" s="4">
        <f ca="1">_xll.DBRW($B$1,$B$2,$B$7,$B$3,$B$4,$B$5,$F43,$B$6,AD$10,$A43,$B43)</f>
        <v>0</v>
      </c>
      <c r="AE43" s="4">
        <f ca="1">_xll.DBRW($B$1,$B$2,$B$7,$B$3,$B$4,$B$5,$F43,$B$6,AE$10,$A43,$B43)</f>
        <v>0</v>
      </c>
    </row>
    <row r="44" spans="1:31">
      <c r="A44" s="1" t="s">
        <v>150</v>
      </c>
      <c r="B44" s="5" t="s">
        <v>61</v>
      </c>
      <c r="C44" s="5" t="s">
        <v>62</v>
      </c>
      <c r="D44" s="5" t="s">
        <v>59</v>
      </c>
      <c r="E44" s="5" t="s">
        <v>21</v>
      </c>
      <c r="F44" s="5" t="s">
        <v>312</v>
      </c>
      <c r="G44" s="6"/>
      <c r="H44" s="6"/>
      <c r="I44" s="6"/>
      <c r="J44" s="6"/>
      <c r="K44" s="6"/>
      <c r="L44" s="4">
        <f ca="1">_xll.DBRW($B$1,$B$2,$B$7,$B$3,$B$4,$B$5,$F44,$B$6,L$10,$A44,$B44)</f>
        <v>24</v>
      </c>
      <c r="M44" s="4">
        <f ca="1">_xll.DBRW($B$1,$B$2,$B$7,$B$3,$B$4,$B$5,$F44,$B$6,M$10,$A44,$B44)</f>
        <v>25</v>
      </c>
      <c r="N44" s="4">
        <f ca="1">_xll.DBRW($B$1,$B$2,$B$7,$B$3,$B$4,$B$5,$F44,$B$6,N$10,$A44,$B44)</f>
        <v>25</v>
      </c>
      <c r="O44" s="4">
        <f ca="1">_xll.DBRW($B$1,$B$2,$B$7,$B$3,$B$4,$B$5,$F44,$B$6,O$10,$A44,$B44)</f>
        <v>26</v>
      </c>
      <c r="P44" s="4">
        <f ca="1">_xll.DBRW($B$1,$B$2,$B$7,$B$3,$B$4,$B$5,$F44,$B$6,P$10,$A44,$B44)</f>
        <v>26</v>
      </c>
      <c r="Q44" s="4">
        <f ca="1">_xll.DBRW($B$1,$B$2,$B$7,$B$3,$B$4,$B$5,$F44,$B$6,Q$10,$A44,$B44)</f>
        <v>27</v>
      </c>
      <c r="R44" s="4">
        <f ca="1">_xll.DBRW($B$1,$B$2,$B$7,$B$3,$B$4,$B$5,$F44,$B$6,R$10,$A44,$B44)</f>
        <v>20</v>
      </c>
      <c r="S44" s="4">
        <f ca="1">_xll.DBRW($B$1,$B$2,$B$7,$B$3,$B$4,$B$5,$F44,$B$6,S$10,$A44,$B44)</f>
        <v>23</v>
      </c>
      <c r="T44" s="4">
        <f ca="1">_xll.DBRW($B$1,$B$2,$B$7,$B$3,$B$4,$B$5,$F44,$B$6,T$10,$A44,$B44)</f>
        <v>0</v>
      </c>
      <c r="U44" s="4">
        <f ca="1">_xll.DBRW($B$1,$B$2,$B$7,$B$3,$B$4,$B$5,$F44,$B$6,U$10,$A44,$B44)</f>
        <v>0</v>
      </c>
      <c r="V44" s="4">
        <f ca="1">_xll.DBRW($B$1,$B$2,$B$7,$B$3,$B$4,$B$5,$F44,$B$6,V$10,$A44,$B44)</f>
        <v>1</v>
      </c>
      <c r="W44" s="4">
        <f ca="1">_xll.DBRW($B$1,$B$2,$B$7,$B$3,$B$4,$B$5,$F44,$B$6,W$10,$A44,$B44)</f>
        <v>8</v>
      </c>
      <c r="X44" s="4">
        <f ca="1">_xll.DBRW($B$1,$B$2,$B$7,$B$3,$B$4,$B$5,$F44,$B$6,X$10,$A44,$B44)</f>
        <v>9</v>
      </c>
      <c r="Y44" s="4">
        <f ca="1">_xll.DBRW($B$1,$B$2,$B$7,$B$3,$B$4,$B$5,$F44,$B$6,Y$10,$A44,$B44)</f>
        <v>9</v>
      </c>
      <c r="Z44" s="4">
        <f ca="1">_xll.DBRW($B$1,$B$2,$B$7,$B$3,$B$4,$B$5,$F44,$B$6,Z$10,$A44,$B44)</f>
        <v>8</v>
      </c>
      <c r="AA44" s="4">
        <f ca="1">_xll.DBRW($B$1,$B$2,$B$7,$B$3,$B$4,$B$5,$F44,$B$6,AA$10,$A44,$B44)</f>
        <v>9</v>
      </c>
      <c r="AB44" s="4">
        <f ca="1">_xll.DBRW($B$1,$B$2,$B$7,$B$3,$B$4,$B$5,$F44,$B$6,AB$10,$A44,$B44)</f>
        <v>9</v>
      </c>
      <c r="AC44" s="4">
        <f ca="1">_xll.DBRW($B$1,$B$2,$B$7,$B$3,$B$4,$B$5,$F44,$B$6,AC$10,$A44,$B44)</f>
        <v>7</v>
      </c>
      <c r="AD44" s="4">
        <f ca="1">_xll.DBRW($B$1,$B$2,$B$7,$B$3,$B$4,$B$5,$F44,$B$6,AD$10,$A44,$B44)</f>
        <v>0</v>
      </c>
      <c r="AE44" s="4">
        <f ca="1">_xll.DBRW($B$1,$B$2,$B$7,$B$3,$B$4,$B$5,$F44,$B$6,AE$10,$A44,$B44)</f>
        <v>0</v>
      </c>
    </row>
    <row r="45" spans="1:31">
      <c r="A45" s="1" t="s">
        <v>150</v>
      </c>
      <c r="B45" s="5" t="s">
        <v>188</v>
      </c>
      <c r="C45" s="5" t="s">
        <v>189</v>
      </c>
      <c r="D45" s="5" t="s">
        <v>21</v>
      </c>
      <c r="E45" s="5" t="s">
        <v>20</v>
      </c>
      <c r="F45" s="5" t="s">
        <v>312</v>
      </c>
      <c r="G45" s="6"/>
      <c r="H45" s="6"/>
      <c r="I45" s="6"/>
      <c r="J45" s="6"/>
      <c r="K45" s="6"/>
      <c r="L45" s="4">
        <f ca="1">_xll.DBRW($B$1,$B$2,$B$7,$B$3,$B$4,$B$5,$F45,$B$6,L$10,$A45,$B45)</f>
        <v>0</v>
      </c>
      <c r="M45" s="4">
        <f ca="1">_xll.DBRW($B$1,$B$2,$B$7,$B$3,$B$4,$B$5,$F45,$B$6,M$10,$A45,$B45)</f>
        <v>0</v>
      </c>
      <c r="N45" s="4">
        <f ca="1">_xll.DBRW($B$1,$B$2,$B$7,$B$3,$B$4,$B$5,$F45,$B$6,N$10,$A45,$B45)</f>
        <v>0</v>
      </c>
      <c r="O45" s="4">
        <f ca="1">_xll.DBRW($B$1,$B$2,$B$7,$B$3,$B$4,$B$5,$F45,$B$6,O$10,$A45,$B45)</f>
        <v>0</v>
      </c>
      <c r="P45" s="4">
        <f ca="1">_xll.DBRW($B$1,$B$2,$B$7,$B$3,$B$4,$B$5,$F45,$B$6,P$10,$A45,$B45)</f>
        <v>0</v>
      </c>
      <c r="Q45" s="4">
        <f ca="1">_xll.DBRW($B$1,$B$2,$B$7,$B$3,$B$4,$B$5,$F45,$B$6,Q$10,$A45,$B45)</f>
        <v>0</v>
      </c>
      <c r="R45" s="4">
        <f ca="1">_xll.DBRW($B$1,$B$2,$B$7,$B$3,$B$4,$B$5,$F45,$B$6,R$10,$A45,$B45)</f>
        <v>0</v>
      </c>
      <c r="S45" s="4">
        <f ca="1">_xll.DBRW($B$1,$B$2,$B$7,$B$3,$B$4,$B$5,$F45,$B$6,S$10,$A45,$B45)</f>
        <v>0</v>
      </c>
      <c r="T45" s="4">
        <f ca="1">_xll.DBRW($B$1,$B$2,$B$7,$B$3,$B$4,$B$5,$F45,$B$6,T$10,$A45,$B45)</f>
        <v>0</v>
      </c>
      <c r="U45" s="4">
        <f ca="1">_xll.DBRW($B$1,$B$2,$B$7,$B$3,$B$4,$B$5,$F45,$B$6,U$10,$A45,$B45)</f>
        <v>0</v>
      </c>
      <c r="V45" s="4">
        <f ca="1">_xll.DBRW($B$1,$B$2,$B$7,$B$3,$B$4,$B$5,$F45,$B$6,V$10,$A45,$B45)</f>
        <v>0</v>
      </c>
      <c r="W45" s="4">
        <f ca="1">_xll.DBRW($B$1,$B$2,$B$7,$B$3,$B$4,$B$5,$F45,$B$6,W$10,$A45,$B45)</f>
        <v>0</v>
      </c>
      <c r="X45" s="4">
        <f ca="1">_xll.DBRW($B$1,$B$2,$B$7,$B$3,$B$4,$B$5,$F45,$B$6,X$10,$A45,$B45)</f>
        <v>0</v>
      </c>
      <c r="Y45" s="4">
        <f ca="1">_xll.DBRW($B$1,$B$2,$B$7,$B$3,$B$4,$B$5,$F45,$B$6,Y$10,$A45,$B45)</f>
        <v>0</v>
      </c>
      <c r="Z45" s="4">
        <f ca="1">_xll.DBRW($B$1,$B$2,$B$7,$B$3,$B$4,$B$5,$F45,$B$6,Z$10,$A45,$B45)</f>
        <v>0</v>
      </c>
      <c r="AA45" s="4">
        <f ca="1">_xll.DBRW($B$1,$B$2,$B$7,$B$3,$B$4,$B$5,$F45,$B$6,AA$10,$A45,$B45)</f>
        <v>0</v>
      </c>
      <c r="AB45" s="4">
        <f ca="1">_xll.DBRW($B$1,$B$2,$B$7,$B$3,$B$4,$B$5,$F45,$B$6,AB$10,$A45,$B45)</f>
        <v>0</v>
      </c>
      <c r="AC45" s="4">
        <f ca="1">_xll.DBRW($B$1,$B$2,$B$7,$B$3,$B$4,$B$5,$F45,$B$6,AC$10,$A45,$B45)</f>
        <v>0</v>
      </c>
      <c r="AD45" s="4">
        <f ca="1">_xll.DBRW($B$1,$B$2,$B$7,$B$3,$B$4,$B$5,$F45,$B$6,AD$10,$A45,$B45)</f>
        <v>0</v>
      </c>
      <c r="AE45" s="4">
        <f ca="1">_xll.DBRW($B$1,$B$2,$B$7,$B$3,$B$4,$B$5,$F45,$B$6,AE$10,$A45,$B45)</f>
        <v>0</v>
      </c>
    </row>
    <row r="46" spans="1:31">
      <c r="A46" s="1" t="s">
        <v>150</v>
      </c>
      <c r="B46" s="5" t="s">
        <v>18</v>
      </c>
      <c r="C46" s="5" t="s">
        <v>19</v>
      </c>
      <c r="D46" s="5" t="s">
        <v>20</v>
      </c>
      <c r="E46" s="5" t="s">
        <v>21</v>
      </c>
      <c r="F46" s="5" t="s">
        <v>312</v>
      </c>
      <c r="G46" s="6"/>
      <c r="H46" s="6"/>
      <c r="I46" s="6"/>
      <c r="J46" s="6"/>
      <c r="K46" s="6"/>
      <c r="L46" s="4">
        <f ca="1">_xll.DBRW($B$1,$B$2,$B$7,$B$3,$B$4,$B$5,$F46,$B$6,L$10,$A46,$B46)</f>
        <v>0</v>
      </c>
      <c r="M46" s="4">
        <f ca="1">_xll.DBRW($B$1,$B$2,$B$7,$B$3,$B$4,$B$5,$F46,$B$6,M$10,$A46,$B46)</f>
        <v>0</v>
      </c>
      <c r="N46" s="4">
        <f ca="1">_xll.DBRW($B$1,$B$2,$B$7,$B$3,$B$4,$B$5,$F46,$B$6,N$10,$A46,$B46)</f>
        <v>0</v>
      </c>
      <c r="O46" s="4">
        <f ca="1">_xll.DBRW($B$1,$B$2,$B$7,$B$3,$B$4,$B$5,$F46,$B$6,O$10,$A46,$B46)</f>
        <v>0</v>
      </c>
      <c r="P46" s="4">
        <f ca="1">_xll.DBRW($B$1,$B$2,$B$7,$B$3,$B$4,$B$5,$F46,$B$6,P$10,$A46,$B46)</f>
        <v>0</v>
      </c>
      <c r="Q46" s="4">
        <f ca="1">_xll.DBRW($B$1,$B$2,$B$7,$B$3,$B$4,$B$5,$F46,$B$6,Q$10,$A46,$B46)</f>
        <v>0</v>
      </c>
      <c r="R46" s="4">
        <f ca="1">_xll.DBRW($B$1,$B$2,$B$7,$B$3,$B$4,$B$5,$F46,$B$6,R$10,$A46,$B46)</f>
        <v>0</v>
      </c>
      <c r="S46" s="4">
        <f ca="1">_xll.DBRW($B$1,$B$2,$B$7,$B$3,$B$4,$B$5,$F46,$B$6,S$10,$A46,$B46)</f>
        <v>0</v>
      </c>
      <c r="T46" s="4">
        <f ca="1">_xll.DBRW($B$1,$B$2,$B$7,$B$3,$B$4,$B$5,$F46,$B$6,T$10,$A46,$B46)</f>
        <v>0</v>
      </c>
      <c r="U46" s="4">
        <f ca="1">_xll.DBRW($B$1,$B$2,$B$7,$B$3,$B$4,$B$5,$F46,$B$6,U$10,$A46,$B46)</f>
        <v>0</v>
      </c>
      <c r="V46" s="4">
        <f ca="1">_xll.DBRW($B$1,$B$2,$B$7,$B$3,$B$4,$B$5,$F46,$B$6,V$10,$A46,$B46)</f>
        <v>0</v>
      </c>
      <c r="W46" s="4">
        <f ca="1">_xll.DBRW($B$1,$B$2,$B$7,$B$3,$B$4,$B$5,$F46,$B$6,W$10,$A46,$B46)</f>
        <v>0</v>
      </c>
      <c r="X46" s="4">
        <f ca="1">_xll.DBRW($B$1,$B$2,$B$7,$B$3,$B$4,$B$5,$F46,$B$6,X$10,$A46,$B46)</f>
        <v>0</v>
      </c>
      <c r="Y46" s="4">
        <f ca="1">_xll.DBRW($B$1,$B$2,$B$7,$B$3,$B$4,$B$5,$F46,$B$6,Y$10,$A46,$B46)</f>
        <v>0</v>
      </c>
      <c r="Z46" s="4">
        <f ca="1">_xll.DBRW($B$1,$B$2,$B$7,$B$3,$B$4,$B$5,$F46,$B$6,Z$10,$A46,$B46)</f>
        <v>0</v>
      </c>
      <c r="AA46" s="4">
        <f ca="1">_xll.DBRW($B$1,$B$2,$B$7,$B$3,$B$4,$B$5,$F46,$B$6,AA$10,$A46,$B46)</f>
        <v>0</v>
      </c>
      <c r="AB46" s="4">
        <f ca="1">_xll.DBRW($B$1,$B$2,$B$7,$B$3,$B$4,$B$5,$F46,$B$6,AB$10,$A46,$B46)</f>
        <v>0</v>
      </c>
      <c r="AC46" s="4">
        <f ca="1">_xll.DBRW($B$1,$B$2,$B$7,$B$3,$B$4,$B$5,$F46,$B$6,AC$10,$A46,$B46)</f>
        <v>0</v>
      </c>
      <c r="AD46" s="4">
        <f ca="1">_xll.DBRW($B$1,$B$2,$B$7,$B$3,$B$4,$B$5,$F46,$B$6,AD$10,$A46,$B46)</f>
        <v>0</v>
      </c>
      <c r="AE46" s="4">
        <f ca="1">_xll.DBRW($B$1,$B$2,$B$7,$B$3,$B$4,$B$5,$F46,$B$6,AE$10,$A46,$B46)</f>
        <v>0</v>
      </c>
    </row>
    <row r="47" spans="1:31">
      <c r="A47" s="1" t="s">
        <v>150</v>
      </c>
      <c r="B47" s="5" t="s">
        <v>190</v>
      </c>
      <c r="C47" s="5" t="s">
        <v>191</v>
      </c>
      <c r="D47" s="5" t="s">
        <v>21</v>
      </c>
      <c r="E47" s="5" t="s">
        <v>73</v>
      </c>
      <c r="F47" s="5" t="s">
        <v>312</v>
      </c>
      <c r="G47" s="6"/>
      <c r="H47" s="6"/>
      <c r="I47" s="6"/>
      <c r="J47" s="6"/>
      <c r="K47" s="6"/>
      <c r="L47" s="4">
        <f ca="1">_xll.DBRW($B$1,$B$2,$B$7,$B$3,$B$4,$B$5,$F47,$B$6,L$10,$A47,$B47)</f>
        <v>0</v>
      </c>
      <c r="M47" s="4">
        <f ca="1">_xll.DBRW($B$1,$B$2,$B$7,$B$3,$B$4,$B$5,$F47,$B$6,M$10,$A47,$B47)</f>
        <v>0</v>
      </c>
      <c r="N47" s="4">
        <f ca="1">_xll.DBRW($B$1,$B$2,$B$7,$B$3,$B$4,$B$5,$F47,$B$6,N$10,$A47,$B47)</f>
        <v>0</v>
      </c>
      <c r="O47" s="4">
        <f ca="1">_xll.DBRW($B$1,$B$2,$B$7,$B$3,$B$4,$B$5,$F47,$B$6,O$10,$A47,$B47)</f>
        <v>0</v>
      </c>
      <c r="P47" s="4">
        <f ca="1">_xll.DBRW($B$1,$B$2,$B$7,$B$3,$B$4,$B$5,$F47,$B$6,P$10,$A47,$B47)</f>
        <v>0</v>
      </c>
      <c r="Q47" s="4">
        <f ca="1">_xll.DBRW($B$1,$B$2,$B$7,$B$3,$B$4,$B$5,$F47,$B$6,Q$10,$A47,$B47)</f>
        <v>0</v>
      </c>
      <c r="R47" s="4">
        <f ca="1">_xll.DBRW($B$1,$B$2,$B$7,$B$3,$B$4,$B$5,$F47,$B$6,R$10,$A47,$B47)</f>
        <v>0</v>
      </c>
      <c r="S47" s="4">
        <f ca="1">_xll.DBRW($B$1,$B$2,$B$7,$B$3,$B$4,$B$5,$F47,$B$6,S$10,$A47,$B47)</f>
        <v>0</v>
      </c>
      <c r="T47" s="4">
        <f ca="1">_xll.DBRW($B$1,$B$2,$B$7,$B$3,$B$4,$B$5,$F47,$B$6,T$10,$A47,$B47)</f>
        <v>0</v>
      </c>
      <c r="U47" s="4">
        <f ca="1">_xll.DBRW($B$1,$B$2,$B$7,$B$3,$B$4,$B$5,$F47,$B$6,U$10,$A47,$B47)</f>
        <v>0</v>
      </c>
      <c r="V47" s="4">
        <f ca="1">_xll.DBRW($B$1,$B$2,$B$7,$B$3,$B$4,$B$5,$F47,$B$6,V$10,$A47,$B47)</f>
        <v>0</v>
      </c>
      <c r="W47" s="4">
        <f ca="1">_xll.DBRW($B$1,$B$2,$B$7,$B$3,$B$4,$B$5,$F47,$B$6,W$10,$A47,$B47)</f>
        <v>0</v>
      </c>
      <c r="X47" s="4">
        <f ca="1">_xll.DBRW($B$1,$B$2,$B$7,$B$3,$B$4,$B$5,$F47,$B$6,X$10,$A47,$B47)</f>
        <v>0</v>
      </c>
      <c r="Y47" s="4">
        <f ca="1">_xll.DBRW($B$1,$B$2,$B$7,$B$3,$B$4,$B$5,$F47,$B$6,Y$10,$A47,$B47)</f>
        <v>0</v>
      </c>
      <c r="Z47" s="4">
        <f ca="1">_xll.DBRW($B$1,$B$2,$B$7,$B$3,$B$4,$B$5,$F47,$B$6,Z$10,$A47,$B47)</f>
        <v>0</v>
      </c>
      <c r="AA47" s="4">
        <f ca="1">_xll.DBRW($B$1,$B$2,$B$7,$B$3,$B$4,$B$5,$F47,$B$6,AA$10,$A47,$B47)</f>
        <v>0</v>
      </c>
      <c r="AB47" s="4">
        <f ca="1">_xll.DBRW($B$1,$B$2,$B$7,$B$3,$B$4,$B$5,$F47,$B$6,AB$10,$A47,$B47)</f>
        <v>0</v>
      </c>
      <c r="AC47" s="4">
        <f ca="1">_xll.DBRW($B$1,$B$2,$B$7,$B$3,$B$4,$B$5,$F47,$B$6,AC$10,$A47,$B47)</f>
        <v>0</v>
      </c>
      <c r="AD47" s="4">
        <f ca="1">_xll.DBRW($B$1,$B$2,$B$7,$B$3,$B$4,$B$5,$F47,$B$6,AD$10,$A47,$B47)</f>
        <v>0</v>
      </c>
      <c r="AE47" s="4">
        <f ca="1">_xll.DBRW($B$1,$B$2,$B$7,$B$3,$B$4,$B$5,$F47,$B$6,AE$10,$A47,$B47)</f>
        <v>0</v>
      </c>
    </row>
    <row r="48" spans="1:31">
      <c r="A48" s="1" t="s">
        <v>150</v>
      </c>
      <c r="B48" s="5" t="s">
        <v>71</v>
      </c>
      <c r="C48" s="5" t="s">
        <v>72</v>
      </c>
      <c r="D48" s="5" t="s">
        <v>73</v>
      </c>
      <c r="E48" s="5" t="s">
        <v>21</v>
      </c>
      <c r="F48" s="5" t="s">
        <v>312</v>
      </c>
      <c r="G48" s="6"/>
      <c r="H48" s="6"/>
      <c r="I48" s="6"/>
      <c r="J48" s="6"/>
      <c r="K48" s="6"/>
      <c r="L48" s="4">
        <f ca="1">_xll.DBRW($B$1,$B$2,$B$7,$B$3,$B$4,$B$5,$F48,$B$6,L$10,$A48,$B48)</f>
        <v>0</v>
      </c>
      <c r="M48" s="4">
        <f ca="1">_xll.DBRW($B$1,$B$2,$B$7,$B$3,$B$4,$B$5,$F48,$B$6,M$10,$A48,$B48)</f>
        <v>0</v>
      </c>
      <c r="N48" s="4">
        <f ca="1">_xll.DBRW($B$1,$B$2,$B$7,$B$3,$B$4,$B$5,$F48,$B$6,N$10,$A48,$B48)</f>
        <v>0</v>
      </c>
      <c r="O48" s="4">
        <f ca="1">_xll.DBRW($B$1,$B$2,$B$7,$B$3,$B$4,$B$5,$F48,$B$6,O$10,$A48,$B48)</f>
        <v>0</v>
      </c>
      <c r="P48" s="4">
        <f ca="1">_xll.DBRW($B$1,$B$2,$B$7,$B$3,$B$4,$B$5,$F48,$B$6,P$10,$A48,$B48)</f>
        <v>0</v>
      </c>
      <c r="Q48" s="4">
        <f ca="1">_xll.DBRW($B$1,$B$2,$B$7,$B$3,$B$4,$B$5,$F48,$B$6,Q$10,$A48,$B48)</f>
        <v>0</v>
      </c>
      <c r="R48" s="4">
        <f ca="1">_xll.DBRW($B$1,$B$2,$B$7,$B$3,$B$4,$B$5,$F48,$B$6,R$10,$A48,$B48)</f>
        <v>0</v>
      </c>
      <c r="S48" s="4">
        <f ca="1">_xll.DBRW($B$1,$B$2,$B$7,$B$3,$B$4,$B$5,$F48,$B$6,S$10,$A48,$B48)</f>
        <v>0</v>
      </c>
      <c r="T48" s="4">
        <f ca="1">_xll.DBRW($B$1,$B$2,$B$7,$B$3,$B$4,$B$5,$F48,$B$6,T$10,$A48,$B48)</f>
        <v>0</v>
      </c>
      <c r="U48" s="4">
        <f ca="1">_xll.DBRW($B$1,$B$2,$B$7,$B$3,$B$4,$B$5,$F48,$B$6,U$10,$A48,$B48)</f>
        <v>0</v>
      </c>
      <c r="V48" s="4">
        <f ca="1">_xll.DBRW($B$1,$B$2,$B$7,$B$3,$B$4,$B$5,$F48,$B$6,V$10,$A48,$B48)</f>
        <v>0</v>
      </c>
      <c r="W48" s="4">
        <f ca="1">_xll.DBRW($B$1,$B$2,$B$7,$B$3,$B$4,$B$5,$F48,$B$6,W$10,$A48,$B48)</f>
        <v>0</v>
      </c>
      <c r="X48" s="4">
        <f ca="1">_xll.DBRW($B$1,$B$2,$B$7,$B$3,$B$4,$B$5,$F48,$B$6,X$10,$A48,$B48)</f>
        <v>0</v>
      </c>
      <c r="Y48" s="4">
        <f ca="1">_xll.DBRW($B$1,$B$2,$B$7,$B$3,$B$4,$B$5,$F48,$B$6,Y$10,$A48,$B48)</f>
        <v>0</v>
      </c>
      <c r="Z48" s="4">
        <f ca="1">_xll.DBRW($B$1,$B$2,$B$7,$B$3,$B$4,$B$5,$F48,$B$6,Z$10,$A48,$B48)</f>
        <v>0</v>
      </c>
      <c r="AA48" s="4">
        <f ca="1">_xll.DBRW($B$1,$B$2,$B$7,$B$3,$B$4,$B$5,$F48,$B$6,AA$10,$A48,$B48)</f>
        <v>0</v>
      </c>
      <c r="AB48" s="4">
        <f ca="1">_xll.DBRW($B$1,$B$2,$B$7,$B$3,$B$4,$B$5,$F48,$B$6,AB$10,$A48,$B48)</f>
        <v>0</v>
      </c>
      <c r="AC48" s="4">
        <f ca="1">_xll.DBRW($B$1,$B$2,$B$7,$B$3,$B$4,$B$5,$F48,$B$6,AC$10,$A48,$B48)</f>
        <v>0</v>
      </c>
      <c r="AD48" s="4">
        <f ca="1">_xll.DBRW($B$1,$B$2,$B$7,$B$3,$B$4,$B$5,$F48,$B$6,AD$10,$A48,$B48)</f>
        <v>0</v>
      </c>
      <c r="AE48" s="4">
        <f ca="1">_xll.DBRW($B$1,$B$2,$B$7,$B$3,$B$4,$B$5,$F48,$B$6,AE$10,$A48,$B48)</f>
        <v>0</v>
      </c>
    </row>
    <row r="49" spans="1:31">
      <c r="A49" s="1" t="s">
        <v>150</v>
      </c>
      <c r="B49" s="5" t="s">
        <v>192</v>
      </c>
      <c r="C49" s="5" t="s">
        <v>193</v>
      </c>
      <c r="D49" s="5" t="s">
        <v>21</v>
      </c>
      <c r="E49" s="5" t="s">
        <v>194</v>
      </c>
      <c r="F49" s="5" t="s">
        <v>312</v>
      </c>
      <c r="G49" s="6"/>
      <c r="H49" s="6"/>
      <c r="I49" s="6"/>
      <c r="J49" s="6"/>
      <c r="K49" s="6"/>
      <c r="L49" s="4">
        <f ca="1">_xll.DBRW($B$1,$B$2,$B$7,$B$3,$B$4,$B$5,$F49,$B$6,L$10,$A49,$B49)</f>
        <v>0</v>
      </c>
      <c r="M49" s="4">
        <f ca="1">_xll.DBRW($B$1,$B$2,$B$7,$B$3,$B$4,$B$5,$F49,$B$6,M$10,$A49,$B49)</f>
        <v>0</v>
      </c>
      <c r="N49" s="4">
        <f ca="1">_xll.DBRW($B$1,$B$2,$B$7,$B$3,$B$4,$B$5,$F49,$B$6,N$10,$A49,$B49)</f>
        <v>0</v>
      </c>
      <c r="O49" s="4">
        <f ca="1">_xll.DBRW($B$1,$B$2,$B$7,$B$3,$B$4,$B$5,$F49,$B$6,O$10,$A49,$B49)</f>
        <v>0</v>
      </c>
      <c r="P49" s="4">
        <f ca="1">_xll.DBRW($B$1,$B$2,$B$7,$B$3,$B$4,$B$5,$F49,$B$6,P$10,$A49,$B49)</f>
        <v>0</v>
      </c>
      <c r="Q49" s="4">
        <f ca="1">_xll.DBRW($B$1,$B$2,$B$7,$B$3,$B$4,$B$5,$F49,$B$6,Q$10,$A49,$B49)</f>
        <v>0</v>
      </c>
      <c r="R49" s="4">
        <f ca="1">_xll.DBRW($B$1,$B$2,$B$7,$B$3,$B$4,$B$5,$F49,$B$6,R$10,$A49,$B49)</f>
        <v>0</v>
      </c>
      <c r="S49" s="4">
        <f ca="1">_xll.DBRW($B$1,$B$2,$B$7,$B$3,$B$4,$B$5,$F49,$B$6,S$10,$A49,$B49)</f>
        <v>0</v>
      </c>
      <c r="T49" s="4">
        <f ca="1">_xll.DBRW($B$1,$B$2,$B$7,$B$3,$B$4,$B$5,$F49,$B$6,T$10,$A49,$B49)</f>
        <v>0</v>
      </c>
      <c r="U49" s="4">
        <f ca="1">_xll.DBRW($B$1,$B$2,$B$7,$B$3,$B$4,$B$5,$F49,$B$6,U$10,$A49,$B49)</f>
        <v>0</v>
      </c>
      <c r="V49" s="4">
        <f ca="1">_xll.DBRW($B$1,$B$2,$B$7,$B$3,$B$4,$B$5,$F49,$B$6,V$10,$A49,$B49)</f>
        <v>0</v>
      </c>
      <c r="W49" s="4">
        <f ca="1">_xll.DBRW($B$1,$B$2,$B$7,$B$3,$B$4,$B$5,$F49,$B$6,W$10,$A49,$B49)</f>
        <v>0</v>
      </c>
      <c r="X49" s="4">
        <f ca="1">_xll.DBRW($B$1,$B$2,$B$7,$B$3,$B$4,$B$5,$F49,$B$6,X$10,$A49,$B49)</f>
        <v>0</v>
      </c>
      <c r="Y49" s="4">
        <f ca="1">_xll.DBRW($B$1,$B$2,$B$7,$B$3,$B$4,$B$5,$F49,$B$6,Y$10,$A49,$B49)</f>
        <v>0</v>
      </c>
      <c r="Z49" s="4">
        <f ca="1">_xll.DBRW($B$1,$B$2,$B$7,$B$3,$B$4,$B$5,$F49,$B$6,Z$10,$A49,$B49)</f>
        <v>0</v>
      </c>
      <c r="AA49" s="4">
        <f ca="1">_xll.DBRW($B$1,$B$2,$B$7,$B$3,$B$4,$B$5,$F49,$B$6,AA$10,$A49,$B49)</f>
        <v>0</v>
      </c>
      <c r="AB49" s="4">
        <f ca="1">_xll.DBRW($B$1,$B$2,$B$7,$B$3,$B$4,$B$5,$F49,$B$6,AB$10,$A49,$B49)</f>
        <v>0</v>
      </c>
      <c r="AC49" s="4">
        <f ca="1">_xll.DBRW($B$1,$B$2,$B$7,$B$3,$B$4,$B$5,$F49,$B$6,AC$10,$A49,$B49)</f>
        <v>0</v>
      </c>
      <c r="AD49" s="4">
        <f ca="1">_xll.DBRW($B$1,$B$2,$B$7,$B$3,$B$4,$B$5,$F49,$B$6,AD$10,$A49,$B49)</f>
        <v>0</v>
      </c>
      <c r="AE49" s="4">
        <f ca="1">_xll.DBRW($B$1,$B$2,$B$7,$B$3,$B$4,$B$5,$F49,$B$6,AE$10,$A49,$B49)</f>
        <v>0</v>
      </c>
    </row>
    <row r="50" spans="1:31">
      <c r="A50" s="1" t="s">
        <v>150</v>
      </c>
      <c r="B50" s="5" t="s">
        <v>195</v>
      </c>
      <c r="C50" s="5" t="s">
        <v>196</v>
      </c>
      <c r="D50" s="5" t="s">
        <v>194</v>
      </c>
      <c r="E50" s="5" t="s">
        <v>21</v>
      </c>
      <c r="F50" s="5" t="s">
        <v>312</v>
      </c>
      <c r="G50" s="6"/>
      <c r="H50" s="6"/>
      <c r="I50" s="6"/>
      <c r="J50" s="6"/>
      <c r="K50" s="6"/>
      <c r="L50" s="4">
        <f ca="1">_xll.DBRW($B$1,$B$2,$B$7,$B$3,$B$4,$B$5,$F50,$B$6,L$10,$A50,$B50)</f>
        <v>0</v>
      </c>
      <c r="M50" s="4">
        <f ca="1">_xll.DBRW($B$1,$B$2,$B$7,$B$3,$B$4,$B$5,$F50,$B$6,M$10,$A50,$B50)</f>
        <v>0</v>
      </c>
      <c r="N50" s="4">
        <f ca="1">_xll.DBRW($B$1,$B$2,$B$7,$B$3,$B$4,$B$5,$F50,$B$6,N$10,$A50,$B50)</f>
        <v>0</v>
      </c>
      <c r="O50" s="4">
        <f ca="1">_xll.DBRW($B$1,$B$2,$B$7,$B$3,$B$4,$B$5,$F50,$B$6,O$10,$A50,$B50)</f>
        <v>0</v>
      </c>
      <c r="P50" s="4">
        <f ca="1">_xll.DBRW($B$1,$B$2,$B$7,$B$3,$B$4,$B$5,$F50,$B$6,P$10,$A50,$B50)</f>
        <v>0</v>
      </c>
      <c r="Q50" s="4">
        <f ca="1">_xll.DBRW($B$1,$B$2,$B$7,$B$3,$B$4,$B$5,$F50,$B$6,Q$10,$A50,$B50)</f>
        <v>0</v>
      </c>
      <c r="R50" s="4">
        <f ca="1">_xll.DBRW($B$1,$B$2,$B$7,$B$3,$B$4,$B$5,$F50,$B$6,R$10,$A50,$B50)</f>
        <v>0</v>
      </c>
      <c r="S50" s="4">
        <f ca="1">_xll.DBRW($B$1,$B$2,$B$7,$B$3,$B$4,$B$5,$F50,$B$6,S$10,$A50,$B50)</f>
        <v>0</v>
      </c>
      <c r="T50" s="4">
        <f ca="1">_xll.DBRW($B$1,$B$2,$B$7,$B$3,$B$4,$B$5,$F50,$B$6,T$10,$A50,$B50)</f>
        <v>0</v>
      </c>
      <c r="U50" s="4">
        <f ca="1">_xll.DBRW($B$1,$B$2,$B$7,$B$3,$B$4,$B$5,$F50,$B$6,U$10,$A50,$B50)</f>
        <v>0</v>
      </c>
      <c r="V50" s="4">
        <f ca="1">_xll.DBRW($B$1,$B$2,$B$7,$B$3,$B$4,$B$5,$F50,$B$6,V$10,$A50,$B50)</f>
        <v>0</v>
      </c>
      <c r="W50" s="4">
        <f ca="1">_xll.DBRW($B$1,$B$2,$B$7,$B$3,$B$4,$B$5,$F50,$B$6,W$10,$A50,$B50)</f>
        <v>0</v>
      </c>
      <c r="X50" s="4">
        <f ca="1">_xll.DBRW($B$1,$B$2,$B$7,$B$3,$B$4,$B$5,$F50,$B$6,X$10,$A50,$B50)</f>
        <v>0</v>
      </c>
      <c r="Y50" s="4">
        <f ca="1">_xll.DBRW($B$1,$B$2,$B$7,$B$3,$B$4,$B$5,$F50,$B$6,Y$10,$A50,$B50)</f>
        <v>0</v>
      </c>
      <c r="Z50" s="4">
        <f ca="1">_xll.DBRW($B$1,$B$2,$B$7,$B$3,$B$4,$B$5,$F50,$B$6,Z$10,$A50,$B50)</f>
        <v>0</v>
      </c>
      <c r="AA50" s="4">
        <f ca="1">_xll.DBRW($B$1,$B$2,$B$7,$B$3,$B$4,$B$5,$F50,$B$6,AA$10,$A50,$B50)</f>
        <v>0</v>
      </c>
      <c r="AB50" s="4">
        <f ca="1">_xll.DBRW($B$1,$B$2,$B$7,$B$3,$B$4,$B$5,$F50,$B$6,AB$10,$A50,$B50)</f>
        <v>0</v>
      </c>
      <c r="AC50" s="4">
        <f ca="1">_xll.DBRW($B$1,$B$2,$B$7,$B$3,$B$4,$B$5,$F50,$B$6,AC$10,$A50,$B50)</f>
        <v>0</v>
      </c>
      <c r="AD50" s="4">
        <f ca="1">_xll.DBRW($B$1,$B$2,$B$7,$B$3,$B$4,$B$5,$F50,$B$6,AD$10,$A50,$B50)</f>
        <v>0</v>
      </c>
      <c r="AE50" s="4">
        <f ca="1">_xll.DBRW($B$1,$B$2,$B$7,$B$3,$B$4,$B$5,$F50,$B$6,AE$10,$A50,$B50)</f>
        <v>0</v>
      </c>
    </row>
    <row r="51" spans="1:31">
      <c r="A51" s="1" t="s">
        <v>150</v>
      </c>
      <c r="B51" s="5" t="s">
        <v>197</v>
      </c>
      <c r="C51" s="5" t="s">
        <v>198</v>
      </c>
      <c r="D51" s="5" t="s">
        <v>28</v>
      </c>
      <c r="E51" s="5" t="s">
        <v>20</v>
      </c>
      <c r="F51" s="5" t="s">
        <v>312</v>
      </c>
      <c r="G51" s="6"/>
      <c r="H51" s="6"/>
      <c r="I51" s="6"/>
      <c r="J51" s="6"/>
      <c r="K51" s="6"/>
      <c r="L51" s="4">
        <f ca="1">_xll.DBRW($B$1,$B$2,$B$7,$B$3,$B$4,$B$5,$F51,$B$6,L$10,$A51,$B51)</f>
        <v>31</v>
      </c>
      <c r="M51" s="4">
        <f ca="1">_xll.DBRW($B$1,$B$2,$B$7,$B$3,$B$4,$B$5,$F51,$B$6,M$10,$A51,$B51)</f>
        <v>30</v>
      </c>
      <c r="N51" s="4">
        <f ca="1">_xll.DBRW($B$1,$B$2,$B$7,$B$3,$B$4,$B$5,$F51,$B$6,N$10,$A51,$B51)</f>
        <v>31</v>
      </c>
      <c r="O51" s="4">
        <f ca="1">_xll.DBRW($B$1,$B$2,$B$7,$B$3,$B$4,$B$5,$F51,$B$6,O$10,$A51,$B51)</f>
        <v>31</v>
      </c>
      <c r="P51" s="4">
        <f ca="1">_xll.DBRW($B$1,$B$2,$B$7,$B$3,$B$4,$B$5,$F51,$B$6,P$10,$A51,$B51)</f>
        <v>30</v>
      </c>
      <c r="Q51" s="4">
        <f ca="1">_xll.DBRW($B$1,$B$2,$B$7,$B$3,$B$4,$B$5,$F51,$B$6,Q$10,$A51,$B51)</f>
        <v>27</v>
      </c>
      <c r="R51" s="4">
        <f ca="1">_xll.DBRW($B$1,$B$2,$B$7,$B$3,$B$4,$B$5,$F51,$B$6,R$10,$A51,$B51)</f>
        <v>13</v>
      </c>
      <c r="S51" s="4">
        <f ca="1">_xll.DBRW($B$1,$B$2,$B$7,$B$3,$B$4,$B$5,$F51,$B$6,S$10,$A51,$B51)</f>
        <v>13</v>
      </c>
      <c r="T51" s="4">
        <f ca="1">_xll.DBRW($B$1,$B$2,$B$7,$B$3,$B$4,$B$5,$F51,$B$6,T$10,$A51,$B51)</f>
        <v>23</v>
      </c>
      <c r="U51" s="4">
        <f ca="1">_xll.DBRW($B$1,$B$2,$B$7,$B$3,$B$4,$B$5,$F51,$B$6,U$10,$A51,$B51)</f>
        <v>20</v>
      </c>
      <c r="V51" s="4">
        <f ca="1">_xll.DBRW($B$1,$B$2,$B$7,$B$3,$B$4,$B$5,$F51,$B$6,V$10,$A51,$B51)</f>
        <v>23</v>
      </c>
      <c r="W51" s="4">
        <f ca="1">_xll.DBRW($B$1,$B$2,$B$7,$B$3,$B$4,$B$5,$F51,$B$6,W$10,$A51,$B51)</f>
        <v>30</v>
      </c>
      <c r="X51" s="4">
        <f ca="1">_xll.DBRW($B$1,$B$2,$B$7,$B$3,$B$4,$B$5,$F51,$B$6,X$10,$A51,$B51)</f>
        <v>31</v>
      </c>
      <c r="Y51" s="4">
        <f ca="1">_xll.DBRW($B$1,$B$2,$B$7,$B$3,$B$4,$B$5,$F51,$B$6,Y$10,$A51,$B51)</f>
        <v>30</v>
      </c>
      <c r="Z51" s="4">
        <f ca="1">_xll.DBRW($B$1,$B$2,$B$7,$B$3,$B$4,$B$5,$F51,$B$6,Z$10,$A51,$B51)</f>
        <v>31</v>
      </c>
      <c r="AA51" s="4">
        <f ca="1">_xll.DBRW($B$1,$B$2,$B$7,$B$3,$B$4,$B$5,$F51,$B$6,AA$10,$A51,$B51)</f>
        <v>31</v>
      </c>
      <c r="AB51" s="4">
        <f ca="1">_xll.DBRW($B$1,$B$2,$B$7,$B$3,$B$4,$B$5,$F51,$B$6,AB$10,$A51,$B51)</f>
        <v>30</v>
      </c>
      <c r="AC51" s="4">
        <f ca="1">_xll.DBRW($B$1,$B$2,$B$7,$B$3,$B$4,$B$5,$F51,$B$6,AC$10,$A51,$B51)</f>
        <v>29</v>
      </c>
      <c r="AD51" s="4">
        <f ca="1">_xll.DBRW($B$1,$B$2,$B$7,$B$3,$B$4,$B$5,$F51,$B$6,AD$10,$A51,$B51)</f>
        <v>21</v>
      </c>
      <c r="AE51" s="4">
        <f ca="1">_xll.DBRW($B$1,$B$2,$B$7,$B$3,$B$4,$B$5,$F51,$B$6,AE$10,$A51,$B51)</f>
        <v>22</v>
      </c>
    </row>
    <row r="52" spans="1:31">
      <c r="A52" s="1" t="s">
        <v>150</v>
      </c>
      <c r="B52" s="5" t="s">
        <v>26</v>
      </c>
      <c r="C52" s="5" t="s">
        <v>27</v>
      </c>
      <c r="D52" s="5" t="s">
        <v>20</v>
      </c>
      <c r="E52" s="5" t="s">
        <v>28</v>
      </c>
      <c r="F52" s="5" t="s">
        <v>312</v>
      </c>
      <c r="G52" s="6"/>
      <c r="H52" s="6"/>
      <c r="I52" s="6"/>
      <c r="J52" s="6"/>
      <c r="K52" s="6"/>
      <c r="L52" s="4">
        <f ca="1">_xll.DBRW($B$1,$B$2,$B$7,$B$3,$B$4,$B$5,$F52,$B$6,L$10,$A52,$B52)</f>
        <v>31</v>
      </c>
      <c r="M52" s="4">
        <f ca="1">_xll.DBRW($B$1,$B$2,$B$7,$B$3,$B$4,$B$5,$F52,$B$6,M$10,$A52,$B52)</f>
        <v>30</v>
      </c>
      <c r="N52" s="4">
        <f ca="1">_xll.DBRW($B$1,$B$2,$B$7,$B$3,$B$4,$B$5,$F52,$B$6,N$10,$A52,$B52)</f>
        <v>31</v>
      </c>
      <c r="O52" s="4">
        <f ca="1">_xll.DBRW($B$1,$B$2,$B$7,$B$3,$B$4,$B$5,$F52,$B$6,O$10,$A52,$B52)</f>
        <v>31</v>
      </c>
      <c r="P52" s="4">
        <f ca="1">_xll.DBRW($B$1,$B$2,$B$7,$B$3,$B$4,$B$5,$F52,$B$6,P$10,$A52,$B52)</f>
        <v>30</v>
      </c>
      <c r="Q52" s="4">
        <f ca="1">_xll.DBRW($B$1,$B$2,$B$7,$B$3,$B$4,$B$5,$F52,$B$6,Q$10,$A52,$B52)</f>
        <v>27</v>
      </c>
      <c r="R52" s="4">
        <f ca="1">_xll.DBRW($B$1,$B$2,$B$7,$B$3,$B$4,$B$5,$F52,$B$6,R$10,$A52,$B52)</f>
        <v>13</v>
      </c>
      <c r="S52" s="4">
        <f ca="1">_xll.DBRW($B$1,$B$2,$B$7,$B$3,$B$4,$B$5,$F52,$B$6,S$10,$A52,$B52)</f>
        <v>13</v>
      </c>
      <c r="T52" s="4">
        <f ca="1">_xll.DBRW($B$1,$B$2,$B$7,$B$3,$B$4,$B$5,$F52,$B$6,T$10,$A52,$B52)</f>
        <v>23</v>
      </c>
      <c r="U52" s="4">
        <f ca="1">_xll.DBRW($B$1,$B$2,$B$7,$B$3,$B$4,$B$5,$F52,$B$6,U$10,$A52,$B52)</f>
        <v>20</v>
      </c>
      <c r="V52" s="4">
        <f ca="1">_xll.DBRW($B$1,$B$2,$B$7,$B$3,$B$4,$B$5,$F52,$B$6,V$10,$A52,$B52)</f>
        <v>23</v>
      </c>
      <c r="W52" s="4">
        <f ca="1">_xll.DBRW($B$1,$B$2,$B$7,$B$3,$B$4,$B$5,$F52,$B$6,W$10,$A52,$B52)</f>
        <v>30</v>
      </c>
      <c r="X52" s="4">
        <f ca="1">_xll.DBRW($B$1,$B$2,$B$7,$B$3,$B$4,$B$5,$F52,$B$6,X$10,$A52,$B52)</f>
        <v>31</v>
      </c>
      <c r="Y52" s="4">
        <f ca="1">_xll.DBRW($B$1,$B$2,$B$7,$B$3,$B$4,$B$5,$F52,$B$6,Y$10,$A52,$B52)</f>
        <v>30</v>
      </c>
      <c r="Z52" s="4">
        <f ca="1">_xll.DBRW($B$1,$B$2,$B$7,$B$3,$B$4,$B$5,$F52,$B$6,Z$10,$A52,$B52)</f>
        <v>31</v>
      </c>
      <c r="AA52" s="4">
        <f ca="1">_xll.DBRW($B$1,$B$2,$B$7,$B$3,$B$4,$B$5,$F52,$B$6,AA$10,$A52,$B52)</f>
        <v>31</v>
      </c>
      <c r="AB52" s="4">
        <f ca="1">_xll.DBRW($B$1,$B$2,$B$7,$B$3,$B$4,$B$5,$F52,$B$6,AB$10,$A52,$B52)</f>
        <v>30</v>
      </c>
      <c r="AC52" s="4">
        <f ca="1">_xll.DBRW($B$1,$B$2,$B$7,$B$3,$B$4,$B$5,$F52,$B$6,AC$10,$A52,$B52)</f>
        <v>29</v>
      </c>
      <c r="AD52" s="4">
        <f ca="1">_xll.DBRW($B$1,$B$2,$B$7,$B$3,$B$4,$B$5,$F52,$B$6,AD$10,$A52,$B52)</f>
        <v>21</v>
      </c>
      <c r="AE52" s="4">
        <f ca="1">_xll.DBRW($B$1,$B$2,$B$7,$B$3,$B$4,$B$5,$F52,$B$6,AE$10,$A52,$B52)</f>
        <v>21</v>
      </c>
    </row>
    <row r="53" spans="1:31">
      <c r="A53" s="1" t="s">
        <v>150</v>
      </c>
      <c r="B53" s="5" t="s">
        <v>199</v>
      </c>
      <c r="C53" s="5" t="s">
        <v>189</v>
      </c>
      <c r="D53" s="5" t="s">
        <v>21</v>
      </c>
      <c r="E53" s="5" t="s">
        <v>20</v>
      </c>
      <c r="F53" s="5" t="s">
        <v>312</v>
      </c>
      <c r="G53" s="6"/>
      <c r="H53" s="6"/>
      <c r="I53" s="6"/>
      <c r="J53" s="6"/>
      <c r="K53" s="6"/>
      <c r="L53" s="4">
        <f ca="1">_xll.DBRW($B$1,$B$2,$B$7,$B$3,$B$4,$B$5,$F53,$B$6,L$10,$A53,$B53)</f>
        <v>0</v>
      </c>
      <c r="M53" s="4">
        <f ca="1">_xll.DBRW($B$1,$B$2,$B$7,$B$3,$B$4,$B$5,$F53,$B$6,M$10,$A53,$B53)</f>
        <v>0</v>
      </c>
      <c r="N53" s="4">
        <f ca="1">_xll.DBRW($B$1,$B$2,$B$7,$B$3,$B$4,$B$5,$F53,$B$6,N$10,$A53,$B53)</f>
        <v>0</v>
      </c>
      <c r="O53" s="4">
        <f ca="1">_xll.DBRW($B$1,$B$2,$B$7,$B$3,$B$4,$B$5,$F53,$B$6,O$10,$A53,$B53)</f>
        <v>0</v>
      </c>
      <c r="P53" s="4">
        <f ca="1">_xll.DBRW($B$1,$B$2,$B$7,$B$3,$B$4,$B$5,$F53,$B$6,P$10,$A53,$B53)</f>
        <v>0</v>
      </c>
      <c r="Q53" s="4">
        <f ca="1">_xll.DBRW($B$1,$B$2,$B$7,$B$3,$B$4,$B$5,$F53,$B$6,Q$10,$A53,$B53)</f>
        <v>0</v>
      </c>
      <c r="R53" s="4">
        <f ca="1">_xll.DBRW($B$1,$B$2,$B$7,$B$3,$B$4,$B$5,$F53,$B$6,R$10,$A53,$B53)</f>
        <v>0</v>
      </c>
      <c r="S53" s="4">
        <f ca="1">_xll.DBRW($B$1,$B$2,$B$7,$B$3,$B$4,$B$5,$F53,$B$6,S$10,$A53,$B53)</f>
        <v>0</v>
      </c>
      <c r="T53" s="4">
        <f ca="1">_xll.DBRW($B$1,$B$2,$B$7,$B$3,$B$4,$B$5,$F53,$B$6,T$10,$A53,$B53)</f>
        <v>0</v>
      </c>
      <c r="U53" s="4">
        <f ca="1">_xll.DBRW($B$1,$B$2,$B$7,$B$3,$B$4,$B$5,$F53,$B$6,U$10,$A53,$B53)</f>
        <v>0</v>
      </c>
      <c r="V53" s="4">
        <f ca="1">_xll.DBRW($B$1,$B$2,$B$7,$B$3,$B$4,$B$5,$F53,$B$6,V$10,$A53,$B53)</f>
        <v>0</v>
      </c>
      <c r="W53" s="4">
        <f ca="1">_xll.DBRW($B$1,$B$2,$B$7,$B$3,$B$4,$B$5,$F53,$B$6,W$10,$A53,$B53)</f>
        <v>0</v>
      </c>
      <c r="X53" s="4">
        <f ca="1">_xll.DBRW($B$1,$B$2,$B$7,$B$3,$B$4,$B$5,$F53,$B$6,X$10,$A53,$B53)</f>
        <v>0</v>
      </c>
      <c r="Y53" s="4">
        <f ca="1">_xll.DBRW($B$1,$B$2,$B$7,$B$3,$B$4,$B$5,$F53,$B$6,Y$10,$A53,$B53)</f>
        <v>0</v>
      </c>
      <c r="Z53" s="4">
        <f ca="1">_xll.DBRW($B$1,$B$2,$B$7,$B$3,$B$4,$B$5,$F53,$B$6,Z$10,$A53,$B53)</f>
        <v>0</v>
      </c>
      <c r="AA53" s="4">
        <f ca="1">_xll.DBRW($B$1,$B$2,$B$7,$B$3,$B$4,$B$5,$F53,$B$6,AA$10,$A53,$B53)</f>
        <v>0</v>
      </c>
      <c r="AB53" s="4">
        <f ca="1">_xll.DBRW($B$1,$B$2,$B$7,$B$3,$B$4,$B$5,$F53,$B$6,AB$10,$A53,$B53)</f>
        <v>0</v>
      </c>
      <c r="AC53" s="4">
        <f ca="1">_xll.DBRW($B$1,$B$2,$B$7,$B$3,$B$4,$B$5,$F53,$B$6,AC$10,$A53,$B53)</f>
        <v>0</v>
      </c>
      <c r="AD53" s="4">
        <f ca="1">_xll.DBRW($B$1,$B$2,$B$7,$B$3,$B$4,$B$5,$F53,$B$6,AD$10,$A53,$B53)</f>
        <v>0</v>
      </c>
      <c r="AE53" s="4">
        <f ca="1">_xll.DBRW($B$1,$B$2,$B$7,$B$3,$B$4,$B$5,$F53,$B$6,AE$10,$A53,$B53)</f>
        <v>0</v>
      </c>
    </row>
    <row r="54" spans="1:31">
      <c r="A54" s="1" t="s">
        <v>150</v>
      </c>
      <c r="B54" s="5" t="s">
        <v>23</v>
      </c>
      <c r="C54" s="5" t="s">
        <v>19</v>
      </c>
      <c r="D54" s="5" t="s">
        <v>20</v>
      </c>
      <c r="E54" s="5" t="s">
        <v>21</v>
      </c>
      <c r="F54" s="5" t="s">
        <v>312</v>
      </c>
      <c r="G54" s="6"/>
      <c r="H54" s="6"/>
      <c r="I54" s="6"/>
      <c r="J54" s="6"/>
      <c r="K54" s="6"/>
      <c r="L54" s="4">
        <f ca="1">_xll.DBRW($B$1,$B$2,$B$7,$B$3,$B$4,$B$5,$F54,$B$6,L$10,$A54,$B54)</f>
        <v>0</v>
      </c>
      <c r="M54" s="4">
        <f ca="1">_xll.DBRW($B$1,$B$2,$B$7,$B$3,$B$4,$B$5,$F54,$B$6,M$10,$A54,$B54)</f>
        <v>0</v>
      </c>
      <c r="N54" s="4">
        <f ca="1">_xll.DBRW($B$1,$B$2,$B$7,$B$3,$B$4,$B$5,$F54,$B$6,N$10,$A54,$B54)</f>
        <v>0</v>
      </c>
      <c r="O54" s="4">
        <f ca="1">_xll.DBRW($B$1,$B$2,$B$7,$B$3,$B$4,$B$5,$F54,$B$6,O$10,$A54,$B54)</f>
        <v>0</v>
      </c>
      <c r="P54" s="4">
        <f ca="1">_xll.DBRW($B$1,$B$2,$B$7,$B$3,$B$4,$B$5,$F54,$B$6,P$10,$A54,$B54)</f>
        <v>0</v>
      </c>
      <c r="Q54" s="4">
        <f ca="1">_xll.DBRW($B$1,$B$2,$B$7,$B$3,$B$4,$B$5,$F54,$B$6,Q$10,$A54,$B54)</f>
        <v>0</v>
      </c>
      <c r="R54" s="4">
        <f ca="1">_xll.DBRW($B$1,$B$2,$B$7,$B$3,$B$4,$B$5,$F54,$B$6,R$10,$A54,$B54)</f>
        <v>0</v>
      </c>
      <c r="S54" s="4">
        <f ca="1">_xll.DBRW($B$1,$B$2,$B$7,$B$3,$B$4,$B$5,$F54,$B$6,S$10,$A54,$B54)</f>
        <v>0</v>
      </c>
      <c r="T54" s="4">
        <f ca="1">_xll.DBRW($B$1,$B$2,$B$7,$B$3,$B$4,$B$5,$F54,$B$6,T$10,$A54,$B54)</f>
        <v>0</v>
      </c>
      <c r="U54" s="4">
        <f ca="1">_xll.DBRW($B$1,$B$2,$B$7,$B$3,$B$4,$B$5,$F54,$B$6,U$10,$A54,$B54)</f>
        <v>0</v>
      </c>
      <c r="V54" s="4">
        <f ca="1">_xll.DBRW($B$1,$B$2,$B$7,$B$3,$B$4,$B$5,$F54,$B$6,V$10,$A54,$B54)</f>
        <v>0</v>
      </c>
      <c r="W54" s="4">
        <f ca="1">_xll.DBRW($B$1,$B$2,$B$7,$B$3,$B$4,$B$5,$F54,$B$6,W$10,$A54,$B54)</f>
        <v>0</v>
      </c>
      <c r="X54" s="4">
        <f ca="1">_xll.DBRW($B$1,$B$2,$B$7,$B$3,$B$4,$B$5,$F54,$B$6,X$10,$A54,$B54)</f>
        <v>0</v>
      </c>
      <c r="Y54" s="4">
        <f ca="1">_xll.DBRW($B$1,$B$2,$B$7,$B$3,$B$4,$B$5,$F54,$B$6,Y$10,$A54,$B54)</f>
        <v>0</v>
      </c>
      <c r="Z54" s="4">
        <f ca="1">_xll.DBRW($B$1,$B$2,$B$7,$B$3,$B$4,$B$5,$F54,$B$6,Z$10,$A54,$B54)</f>
        <v>0</v>
      </c>
      <c r="AA54" s="4">
        <f ca="1">_xll.DBRW($B$1,$B$2,$B$7,$B$3,$B$4,$B$5,$F54,$B$6,AA$10,$A54,$B54)</f>
        <v>0</v>
      </c>
      <c r="AB54" s="4">
        <f ca="1">_xll.DBRW($B$1,$B$2,$B$7,$B$3,$B$4,$B$5,$F54,$B$6,AB$10,$A54,$B54)</f>
        <v>0</v>
      </c>
      <c r="AC54" s="4">
        <f ca="1">_xll.DBRW($B$1,$B$2,$B$7,$B$3,$B$4,$B$5,$F54,$B$6,AC$10,$A54,$B54)</f>
        <v>0</v>
      </c>
      <c r="AD54" s="4">
        <f ca="1">_xll.DBRW($B$1,$B$2,$B$7,$B$3,$B$4,$B$5,$F54,$B$6,AD$10,$A54,$B54)</f>
        <v>0</v>
      </c>
      <c r="AE54" s="4">
        <f ca="1">_xll.DBRW($B$1,$B$2,$B$7,$B$3,$B$4,$B$5,$F54,$B$6,AE$10,$A54,$B54)</f>
        <v>0</v>
      </c>
    </row>
    <row r="55" spans="1:31">
      <c r="A55" s="1" t="s">
        <v>150</v>
      </c>
      <c r="B55" s="5" t="s">
        <v>200</v>
      </c>
      <c r="C55" s="5" t="s">
        <v>161</v>
      </c>
      <c r="D55" s="5" t="s">
        <v>21</v>
      </c>
      <c r="E55" s="5" t="s">
        <v>69</v>
      </c>
      <c r="F55" s="5" t="s">
        <v>312</v>
      </c>
      <c r="G55" s="6"/>
      <c r="H55" s="6"/>
      <c r="I55" s="6"/>
      <c r="J55" s="6"/>
      <c r="K55" s="6"/>
      <c r="L55" s="4">
        <f ca="1">_xll.DBRW($B$1,$B$2,$B$7,$B$3,$B$4,$B$5,$F55,$B$6,L$10,$A55,$B55)</f>
        <v>0</v>
      </c>
      <c r="M55" s="4">
        <f ca="1">_xll.DBRW($B$1,$B$2,$B$7,$B$3,$B$4,$B$5,$F55,$B$6,M$10,$A55,$B55)</f>
        <v>0</v>
      </c>
      <c r="N55" s="4">
        <f ca="1">_xll.DBRW($B$1,$B$2,$B$7,$B$3,$B$4,$B$5,$F55,$B$6,N$10,$A55,$B55)</f>
        <v>0</v>
      </c>
      <c r="O55" s="4">
        <f ca="1">_xll.DBRW($B$1,$B$2,$B$7,$B$3,$B$4,$B$5,$F55,$B$6,O$10,$A55,$B55)</f>
        <v>0</v>
      </c>
      <c r="P55" s="4">
        <f ca="1">_xll.DBRW($B$1,$B$2,$B$7,$B$3,$B$4,$B$5,$F55,$B$6,P$10,$A55,$B55)</f>
        <v>0</v>
      </c>
      <c r="Q55" s="4">
        <f ca="1">_xll.DBRW($B$1,$B$2,$B$7,$B$3,$B$4,$B$5,$F55,$B$6,Q$10,$A55,$B55)</f>
        <v>0</v>
      </c>
      <c r="R55" s="4">
        <f ca="1">_xll.DBRW($B$1,$B$2,$B$7,$B$3,$B$4,$B$5,$F55,$B$6,R$10,$A55,$B55)</f>
        <v>0</v>
      </c>
      <c r="S55" s="4">
        <f ca="1">_xll.DBRW($B$1,$B$2,$B$7,$B$3,$B$4,$B$5,$F55,$B$6,S$10,$A55,$B55)</f>
        <v>0</v>
      </c>
      <c r="T55" s="4">
        <f ca="1">_xll.DBRW($B$1,$B$2,$B$7,$B$3,$B$4,$B$5,$F55,$B$6,T$10,$A55,$B55)</f>
        <v>13</v>
      </c>
      <c r="U55" s="4">
        <f ca="1">_xll.DBRW($B$1,$B$2,$B$7,$B$3,$B$4,$B$5,$F55,$B$6,U$10,$A55,$B55)</f>
        <v>12</v>
      </c>
      <c r="V55" s="4">
        <f ca="1">_xll.DBRW($B$1,$B$2,$B$7,$B$3,$B$4,$B$5,$F55,$B$6,V$10,$A55,$B55)</f>
        <v>12</v>
      </c>
      <c r="W55" s="4">
        <f ca="1">_xll.DBRW($B$1,$B$2,$B$7,$B$3,$B$4,$B$5,$F55,$B$6,W$10,$A55,$B55)</f>
        <v>0</v>
      </c>
      <c r="X55" s="4">
        <f ca="1">_xll.DBRW($B$1,$B$2,$B$7,$B$3,$B$4,$B$5,$F55,$B$6,X$10,$A55,$B55)</f>
        <v>0</v>
      </c>
      <c r="Y55" s="4">
        <f ca="1">_xll.DBRW($B$1,$B$2,$B$7,$B$3,$B$4,$B$5,$F55,$B$6,Y$10,$A55,$B55)</f>
        <v>0</v>
      </c>
      <c r="Z55" s="4">
        <f ca="1">_xll.DBRW($B$1,$B$2,$B$7,$B$3,$B$4,$B$5,$F55,$B$6,Z$10,$A55,$B55)</f>
        <v>0</v>
      </c>
      <c r="AA55" s="4">
        <f ca="1">_xll.DBRW($B$1,$B$2,$B$7,$B$3,$B$4,$B$5,$F55,$B$6,AA$10,$A55,$B55)</f>
        <v>0</v>
      </c>
      <c r="AB55" s="4">
        <f ca="1">_xll.DBRW($B$1,$B$2,$B$7,$B$3,$B$4,$B$5,$F55,$B$6,AB$10,$A55,$B55)</f>
        <v>0</v>
      </c>
      <c r="AC55" s="4">
        <f ca="1">_xll.DBRW($B$1,$B$2,$B$7,$B$3,$B$4,$B$5,$F55,$B$6,AC$10,$A55,$B55)</f>
        <v>3</v>
      </c>
      <c r="AD55" s="4">
        <f ca="1">_xll.DBRW($B$1,$B$2,$B$7,$B$3,$B$4,$B$5,$F55,$B$6,AD$10,$A55,$B55)</f>
        <v>12</v>
      </c>
      <c r="AE55" s="4">
        <f ca="1">_xll.DBRW($B$1,$B$2,$B$7,$B$3,$B$4,$B$5,$F55,$B$6,AE$10,$A55,$B55)</f>
        <v>15</v>
      </c>
    </row>
    <row r="56" spans="1:31">
      <c r="A56" s="1" t="s">
        <v>150</v>
      </c>
      <c r="B56" s="5" t="s">
        <v>70</v>
      </c>
      <c r="C56" s="5" t="s">
        <v>68</v>
      </c>
      <c r="D56" s="5" t="s">
        <v>69</v>
      </c>
      <c r="E56" s="5" t="s">
        <v>21</v>
      </c>
      <c r="F56" s="5" t="s">
        <v>312</v>
      </c>
      <c r="G56" s="6"/>
      <c r="H56" s="6"/>
      <c r="I56" s="6"/>
      <c r="J56" s="6"/>
      <c r="K56" s="6"/>
      <c r="L56" s="4">
        <f ca="1">_xll.DBRW($B$1,$B$2,$B$7,$B$3,$B$4,$B$5,$F56,$B$6,L$10,$A56,$B56)</f>
        <v>0</v>
      </c>
      <c r="M56" s="4">
        <f ca="1">_xll.DBRW($B$1,$B$2,$B$7,$B$3,$B$4,$B$5,$F56,$B$6,M$10,$A56,$B56)</f>
        <v>0</v>
      </c>
      <c r="N56" s="4">
        <f ca="1">_xll.DBRW($B$1,$B$2,$B$7,$B$3,$B$4,$B$5,$F56,$B$6,N$10,$A56,$B56)</f>
        <v>0</v>
      </c>
      <c r="O56" s="4">
        <f ca="1">_xll.DBRW($B$1,$B$2,$B$7,$B$3,$B$4,$B$5,$F56,$B$6,O$10,$A56,$B56)</f>
        <v>0</v>
      </c>
      <c r="P56" s="4">
        <f ca="1">_xll.DBRW($B$1,$B$2,$B$7,$B$3,$B$4,$B$5,$F56,$B$6,P$10,$A56,$B56)</f>
        <v>0</v>
      </c>
      <c r="Q56" s="4">
        <f ca="1">_xll.DBRW($B$1,$B$2,$B$7,$B$3,$B$4,$B$5,$F56,$B$6,Q$10,$A56,$B56)</f>
        <v>0</v>
      </c>
      <c r="R56" s="4">
        <f ca="1">_xll.DBRW($B$1,$B$2,$B$7,$B$3,$B$4,$B$5,$F56,$B$6,R$10,$A56,$B56)</f>
        <v>0</v>
      </c>
      <c r="S56" s="4">
        <f ca="1">_xll.DBRW($B$1,$B$2,$B$7,$B$3,$B$4,$B$5,$F56,$B$6,S$10,$A56,$B56)</f>
        <v>0</v>
      </c>
      <c r="T56" s="4">
        <f ca="1">_xll.DBRW($B$1,$B$2,$B$7,$B$3,$B$4,$B$5,$F56,$B$6,T$10,$A56,$B56)</f>
        <v>13</v>
      </c>
      <c r="U56" s="4">
        <f ca="1">_xll.DBRW($B$1,$B$2,$B$7,$B$3,$B$4,$B$5,$F56,$B$6,U$10,$A56,$B56)</f>
        <v>12</v>
      </c>
      <c r="V56" s="4">
        <f ca="1">_xll.DBRW($B$1,$B$2,$B$7,$B$3,$B$4,$B$5,$F56,$B$6,V$10,$A56,$B56)</f>
        <v>12</v>
      </c>
      <c r="W56" s="4">
        <f ca="1">_xll.DBRW($B$1,$B$2,$B$7,$B$3,$B$4,$B$5,$F56,$B$6,W$10,$A56,$B56)</f>
        <v>0</v>
      </c>
      <c r="X56" s="4">
        <f ca="1">_xll.DBRW($B$1,$B$2,$B$7,$B$3,$B$4,$B$5,$F56,$B$6,X$10,$A56,$B56)</f>
        <v>0</v>
      </c>
      <c r="Y56" s="4">
        <f ca="1">_xll.DBRW($B$1,$B$2,$B$7,$B$3,$B$4,$B$5,$F56,$B$6,Y$10,$A56,$B56)</f>
        <v>0</v>
      </c>
      <c r="Z56" s="4">
        <f ca="1">_xll.DBRW($B$1,$B$2,$B$7,$B$3,$B$4,$B$5,$F56,$B$6,Z$10,$A56,$B56)</f>
        <v>0</v>
      </c>
      <c r="AA56" s="4">
        <f ca="1">_xll.DBRW($B$1,$B$2,$B$7,$B$3,$B$4,$B$5,$F56,$B$6,AA$10,$A56,$B56)</f>
        <v>0</v>
      </c>
      <c r="AB56" s="4">
        <f ca="1">_xll.DBRW($B$1,$B$2,$B$7,$B$3,$B$4,$B$5,$F56,$B$6,AB$10,$A56,$B56)</f>
        <v>0</v>
      </c>
      <c r="AC56" s="4">
        <f ca="1">_xll.DBRW($B$1,$B$2,$B$7,$B$3,$B$4,$B$5,$F56,$B$6,AC$10,$A56,$B56)</f>
        <v>3</v>
      </c>
      <c r="AD56" s="4">
        <f ca="1">_xll.DBRW($B$1,$B$2,$B$7,$B$3,$B$4,$B$5,$F56,$B$6,AD$10,$A56,$B56)</f>
        <v>12</v>
      </c>
      <c r="AE56" s="4">
        <f ca="1">_xll.DBRW($B$1,$B$2,$B$7,$B$3,$B$4,$B$5,$F56,$B$6,AE$10,$A56,$B56)</f>
        <v>15</v>
      </c>
    </row>
    <row r="57" spans="1:31">
      <c r="A57" s="1" t="s">
        <v>150</v>
      </c>
      <c r="B57" s="5" t="s">
        <v>201</v>
      </c>
      <c r="C57" s="5" t="s">
        <v>202</v>
      </c>
      <c r="D57" s="5" t="s">
        <v>28</v>
      </c>
      <c r="E57" s="5" t="s">
        <v>38</v>
      </c>
      <c r="F57" s="5" t="s">
        <v>312</v>
      </c>
      <c r="G57" s="6"/>
      <c r="H57" s="6"/>
      <c r="I57" s="6"/>
      <c r="J57" s="6"/>
      <c r="K57" s="6"/>
      <c r="L57" s="4">
        <f ca="1">_xll.DBRW($B$1,$B$2,$B$7,$B$3,$B$4,$B$5,$F57,$B$6,L$10,$A57,$B57)</f>
        <v>31</v>
      </c>
      <c r="M57" s="4">
        <f ca="1">_xll.DBRW($B$1,$B$2,$B$7,$B$3,$B$4,$B$5,$F57,$B$6,M$10,$A57,$B57)</f>
        <v>30</v>
      </c>
      <c r="N57" s="4">
        <f ca="1">_xll.DBRW($B$1,$B$2,$B$7,$B$3,$B$4,$B$5,$F57,$B$6,N$10,$A57,$B57)</f>
        <v>31</v>
      </c>
      <c r="O57" s="4">
        <f ca="1">_xll.DBRW($B$1,$B$2,$B$7,$B$3,$B$4,$B$5,$F57,$B$6,O$10,$A57,$B57)</f>
        <v>31</v>
      </c>
      <c r="P57" s="4">
        <f ca="1">_xll.DBRW($B$1,$B$2,$B$7,$B$3,$B$4,$B$5,$F57,$B$6,P$10,$A57,$B57)</f>
        <v>30</v>
      </c>
      <c r="Q57" s="4">
        <f ca="1">_xll.DBRW($B$1,$B$2,$B$7,$B$3,$B$4,$B$5,$F57,$B$6,Q$10,$A57,$B57)</f>
        <v>28</v>
      </c>
      <c r="R57" s="4">
        <f ca="1">_xll.DBRW($B$1,$B$2,$B$7,$B$3,$B$4,$B$5,$F57,$B$6,R$10,$A57,$B57)</f>
        <v>21</v>
      </c>
      <c r="S57" s="4">
        <f ca="1">_xll.DBRW($B$1,$B$2,$B$7,$B$3,$B$4,$B$5,$F57,$B$6,S$10,$A57,$B57)</f>
        <v>23</v>
      </c>
      <c r="T57" s="4">
        <f ca="1">_xll.DBRW($B$1,$B$2,$B$7,$B$3,$B$4,$B$5,$F57,$B$6,T$10,$A57,$B57)</f>
        <v>22</v>
      </c>
      <c r="U57" s="4">
        <f ca="1">_xll.DBRW($B$1,$B$2,$B$7,$B$3,$B$4,$B$5,$F57,$B$6,U$10,$A57,$B57)</f>
        <v>20</v>
      </c>
      <c r="V57" s="4">
        <f ca="1">_xll.DBRW($B$1,$B$2,$B$7,$B$3,$B$4,$B$5,$F57,$B$6,V$10,$A57,$B57)</f>
        <v>21</v>
      </c>
      <c r="W57" s="4">
        <f ca="1">_xll.DBRW($B$1,$B$2,$B$7,$B$3,$B$4,$B$5,$F57,$B$6,W$10,$A57,$B57)</f>
        <v>13</v>
      </c>
      <c r="X57" s="4">
        <f ca="1">_xll.DBRW($B$1,$B$2,$B$7,$B$3,$B$4,$B$5,$F57,$B$6,X$10,$A57,$B57)</f>
        <v>13</v>
      </c>
      <c r="Y57" s="4">
        <f ca="1">_xll.DBRW($B$1,$B$2,$B$7,$B$3,$B$4,$B$5,$F57,$B$6,Y$10,$A57,$B57)</f>
        <v>13</v>
      </c>
      <c r="Z57" s="4">
        <f ca="1">_xll.DBRW($B$1,$B$2,$B$7,$B$3,$B$4,$B$5,$F57,$B$6,Z$10,$A57,$B57)</f>
        <v>13</v>
      </c>
      <c r="AA57" s="4">
        <f ca="1">_xll.DBRW($B$1,$B$2,$B$7,$B$3,$B$4,$B$5,$F57,$B$6,AA$10,$A57,$B57)</f>
        <v>14</v>
      </c>
      <c r="AB57" s="4">
        <f ca="1">_xll.DBRW($B$1,$B$2,$B$7,$B$3,$B$4,$B$5,$F57,$B$6,AB$10,$A57,$B57)</f>
        <v>12</v>
      </c>
      <c r="AC57" s="4">
        <f ca="1">_xll.DBRW($B$1,$B$2,$B$7,$B$3,$B$4,$B$5,$F57,$B$6,AC$10,$A57,$B57)</f>
        <v>16</v>
      </c>
      <c r="AD57" s="4">
        <f ca="1">_xll.DBRW($B$1,$B$2,$B$7,$B$3,$B$4,$B$5,$F57,$B$6,AD$10,$A57,$B57)</f>
        <v>21</v>
      </c>
      <c r="AE57" s="4">
        <f ca="1">_xll.DBRW($B$1,$B$2,$B$7,$B$3,$B$4,$B$5,$F57,$B$6,AE$10,$A57,$B57)</f>
        <v>23</v>
      </c>
    </row>
    <row r="58" spans="1:31">
      <c r="A58" s="1" t="s">
        <v>150</v>
      </c>
      <c r="B58" s="5" t="s">
        <v>45</v>
      </c>
      <c r="C58" s="5" t="s">
        <v>46</v>
      </c>
      <c r="D58" s="5" t="s">
        <v>38</v>
      </c>
      <c r="E58" s="5" t="s">
        <v>28</v>
      </c>
      <c r="F58" s="5" t="s">
        <v>312</v>
      </c>
      <c r="G58" s="6"/>
      <c r="H58" s="6"/>
      <c r="I58" s="6"/>
      <c r="J58" s="6"/>
      <c r="K58" s="6"/>
      <c r="L58" s="4">
        <f ca="1">_xll.DBRW($B$1,$B$2,$B$7,$B$3,$B$4,$B$5,$F58,$B$6,L$10,$A58,$B58)</f>
        <v>31</v>
      </c>
      <c r="M58" s="4">
        <f ca="1">_xll.DBRW($B$1,$B$2,$B$7,$B$3,$B$4,$B$5,$F58,$B$6,M$10,$A58,$B58)</f>
        <v>30</v>
      </c>
      <c r="N58" s="4">
        <f ca="1">_xll.DBRW($B$1,$B$2,$B$7,$B$3,$B$4,$B$5,$F58,$B$6,N$10,$A58,$B58)</f>
        <v>31</v>
      </c>
      <c r="O58" s="4">
        <f ca="1">_xll.DBRW($B$1,$B$2,$B$7,$B$3,$B$4,$B$5,$F58,$B$6,O$10,$A58,$B58)</f>
        <v>31</v>
      </c>
      <c r="P58" s="4">
        <f ca="1">_xll.DBRW($B$1,$B$2,$B$7,$B$3,$B$4,$B$5,$F58,$B$6,P$10,$A58,$B58)</f>
        <v>30</v>
      </c>
      <c r="Q58" s="4">
        <f ca="1">_xll.DBRW($B$1,$B$2,$B$7,$B$3,$B$4,$B$5,$F58,$B$6,Q$10,$A58,$B58)</f>
        <v>28</v>
      </c>
      <c r="R58" s="4">
        <f ca="1">_xll.DBRW($B$1,$B$2,$B$7,$B$3,$B$4,$B$5,$F58,$B$6,R$10,$A58,$B58)</f>
        <v>21</v>
      </c>
      <c r="S58" s="4">
        <f ca="1">_xll.DBRW($B$1,$B$2,$B$7,$B$3,$B$4,$B$5,$F58,$B$6,S$10,$A58,$B58)</f>
        <v>23</v>
      </c>
      <c r="T58" s="4">
        <f ca="1">_xll.DBRW($B$1,$B$2,$B$7,$B$3,$B$4,$B$5,$F58,$B$6,T$10,$A58,$B58)</f>
        <v>22</v>
      </c>
      <c r="U58" s="4">
        <f ca="1">_xll.DBRW($B$1,$B$2,$B$7,$B$3,$B$4,$B$5,$F58,$B$6,U$10,$A58,$B58)</f>
        <v>20</v>
      </c>
      <c r="V58" s="4">
        <f ca="1">_xll.DBRW($B$1,$B$2,$B$7,$B$3,$B$4,$B$5,$F58,$B$6,V$10,$A58,$B58)</f>
        <v>21</v>
      </c>
      <c r="W58" s="4">
        <f ca="1">_xll.DBRW($B$1,$B$2,$B$7,$B$3,$B$4,$B$5,$F58,$B$6,W$10,$A58,$B58)</f>
        <v>13</v>
      </c>
      <c r="X58" s="4">
        <f ca="1">_xll.DBRW($B$1,$B$2,$B$7,$B$3,$B$4,$B$5,$F58,$B$6,X$10,$A58,$B58)</f>
        <v>13</v>
      </c>
      <c r="Y58" s="4">
        <f ca="1">_xll.DBRW($B$1,$B$2,$B$7,$B$3,$B$4,$B$5,$F58,$B$6,Y$10,$A58,$B58)</f>
        <v>13</v>
      </c>
      <c r="Z58" s="4">
        <f ca="1">_xll.DBRW($B$1,$B$2,$B$7,$B$3,$B$4,$B$5,$F58,$B$6,Z$10,$A58,$B58)</f>
        <v>13</v>
      </c>
      <c r="AA58" s="4">
        <f ca="1">_xll.DBRW($B$1,$B$2,$B$7,$B$3,$B$4,$B$5,$F58,$B$6,AA$10,$A58,$B58)</f>
        <v>14</v>
      </c>
      <c r="AB58" s="4">
        <f ca="1">_xll.DBRW($B$1,$B$2,$B$7,$B$3,$B$4,$B$5,$F58,$B$6,AB$10,$A58,$B58)</f>
        <v>12</v>
      </c>
      <c r="AC58" s="4">
        <f ca="1">_xll.DBRW($B$1,$B$2,$B$7,$B$3,$B$4,$B$5,$F58,$B$6,AC$10,$A58,$B58)</f>
        <v>15</v>
      </c>
      <c r="AD58" s="4">
        <f ca="1">_xll.DBRW($B$1,$B$2,$B$7,$B$3,$B$4,$B$5,$F58,$B$6,AD$10,$A58,$B58)</f>
        <v>21</v>
      </c>
      <c r="AE58" s="4">
        <f ca="1">_xll.DBRW($B$1,$B$2,$B$7,$B$3,$B$4,$B$5,$F58,$B$6,AE$10,$A58,$B58)</f>
        <v>23</v>
      </c>
    </row>
    <row r="59" spans="1:31">
      <c r="A59" s="1" t="s">
        <v>150</v>
      </c>
      <c r="B59" s="5" t="s">
        <v>203</v>
      </c>
      <c r="C59" s="5" t="s">
        <v>204</v>
      </c>
      <c r="D59" s="5" t="s">
        <v>21</v>
      </c>
      <c r="E59" s="5" t="s">
        <v>80</v>
      </c>
      <c r="F59" s="5" t="s">
        <v>312</v>
      </c>
      <c r="G59" s="6"/>
      <c r="H59" s="6"/>
      <c r="I59" s="6"/>
      <c r="J59" s="6"/>
      <c r="K59" s="6"/>
      <c r="L59" s="4">
        <f ca="1">_xll.DBRW($B$1,$B$2,$B$7,$B$3,$B$4,$B$5,$F59,$B$6,L$10,$A59,$B59)</f>
        <v>29</v>
      </c>
      <c r="M59" s="4">
        <f ca="1">_xll.DBRW($B$1,$B$2,$B$7,$B$3,$B$4,$B$5,$F59,$B$6,M$10,$A59,$B59)</f>
        <v>30</v>
      </c>
      <c r="N59" s="4">
        <f ca="1">_xll.DBRW($B$1,$B$2,$B$7,$B$3,$B$4,$B$5,$F59,$B$6,N$10,$A59,$B59)</f>
        <v>31</v>
      </c>
      <c r="O59" s="4">
        <f ca="1">_xll.DBRW($B$1,$B$2,$B$7,$B$3,$B$4,$B$5,$F59,$B$6,O$10,$A59,$B59)</f>
        <v>31</v>
      </c>
      <c r="P59" s="4">
        <f ca="1">_xll.DBRW($B$1,$B$2,$B$7,$B$3,$B$4,$B$5,$F59,$B$6,P$10,$A59,$B59)</f>
        <v>10</v>
      </c>
      <c r="Q59" s="4">
        <f ca="1">_xll.DBRW($B$1,$B$2,$B$7,$B$3,$B$4,$B$5,$F59,$B$6,Q$10,$A59,$B59)</f>
        <v>9</v>
      </c>
      <c r="R59" s="4">
        <f ca="1">_xll.DBRW($B$1,$B$2,$B$7,$B$3,$B$4,$B$5,$F59,$B$6,R$10,$A59,$B59)</f>
        <v>0</v>
      </c>
      <c r="S59" s="4">
        <f ca="1">_xll.DBRW($B$1,$B$2,$B$7,$B$3,$B$4,$B$5,$F59,$B$6,S$10,$A59,$B59)</f>
        <v>0</v>
      </c>
      <c r="T59" s="4">
        <f ca="1">_xll.DBRW($B$1,$B$2,$B$7,$B$3,$B$4,$B$5,$F59,$B$6,T$10,$A59,$B59)</f>
        <v>31</v>
      </c>
      <c r="U59" s="4">
        <f ca="1">_xll.DBRW($B$1,$B$2,$B$7,$B$3,$B$4,$B$5,$F59,$B$6,U$10,$A59,$B59)</f>
        <v>28</v>
      </c>
      <c r="V59" s="4">
        <f ca="1">_xll.DBRW($B$1,$B$2,$B$7,$B$3,$B$4,$B$5,$F59,$B$6,V$10,$A59,$B59)</f>
        <v>31</v>
      </c>
      <c r="W59" s="4">
        <f ca="1">_xll.DBRW($B$1,$B$2,$B$7,$B$3,$B$4,$B$5,$F59,$B$6,W$10,$A59,$B59)</f>
        <v>13</v>
      </c>
      <c r="X59" s="4">
        <f ca="1">_xll.DBRW($B$1,$B$2,$B$7,$B$3,$B$4,$B$5,$F59,$B$6,X$10,$A59,$B59)</f>
        <v>12</v>
      </c>
      <c r="Y59" s="4">
        <f ca="1">_xll.DBRW($B$1,$B$2,$B$7,$B$3,$B$4,$B$5,$F59,$B$6,Y$10,$A59,$B59)</f>
        <v>14</v>
      </c>
      <c r="Z59" s="4">
        <f ca="1">_xll.DBRW($B$1,$B$2,$B$7,$B$3,$B$4,$B$5,$F59,$B$6,Z$10,$A59,$B59)</f>
        <v>13</v>
      </c>
      <c r="AA59" s="4">
        <f ca="1">_xll.DBRW($B$1,$B$2,$B$7,$B$3,$B$4,$B$5,$F59,$B$6,AA$10,$A59,$B59)</f>
        <v>13</v>
      </c>
      <c r="AB59" s="4">
        <f ca="1">_xll.DBRW($B$1,$B$2,$B$7,$B$3,$B$4,$B$5,$F59,$B$6,AB$10,$A59,$B59)</f>
        <v>14</v>
      </c>
      <c r="AC59" s="4">
        <f ca="1">_xll.DBRW($B$1,$B$2,$B$7,$B$3,$B$4,$B$5,$F59,$B$6,AC$10,$A59,$B59)</f>
        <v>15</v>
      </c>
      <c r="AD59" s="4">
        <f ca="1">_xll.DBRW($B$1,$B$2,$B$7,$B$3,$B$4,$B$5,$F59,$B$6,AD$10,$A59,$B59)</f>
        <v>30</v>
      </c>
      <c r="AE59" s="4">
        <f ca="1">_xll.DBRW($B$1,$B$2,$B$7,$B$3,$B$4,$B$5,$F59,$B$6,AE$10,$A59,$B59)</f>
        <v>31</v>
      </c>
    </row>
    <row r="60" spans="1:31">
      <c r="A60" s="1" t="s">
        <v>150</v>
      </c>
      <c r="B60" s="5" t="s">
        <v>78</v>
      </c>
      <c r="C60" s="5" t="s">
        <v>79</v>
      </c>
      <c r="D60" s="5" t="s">
        <v>80</v>
      </c>
      <c r="E60" s="5" t="s">
        <v>21</v>
      </c>
      <c r="F60" s="5" t="s">
        <v>312</v>
      </c>
      <c r="G60" s="6"/>
      <c r="H60" s="6"/>
      <c r="I60" s="6"/>
      <c r="J60" s="6"/>
      <c r="K60" s="6"/>
      <c r="L60" s="4">
        <f ca="1">_xll.DBRW($B$1,$B$2,$B$7,$B$3,$B$4,$B$5,$F60,$B$6,L$10,$A60,$B60)</f>
        <v>29</v>
      </c>
      <c r="M60" s="4">
        <f ca="1">_xll.DBRW($B$1,$B$2,$B$7,$B$3,$B$4,$B$5,$F60,$B$6,M$10,$A60,$B60)</f>
        <v>30</v>
      </c>
      <c r="N60" s="4">
        <f ca="1">_xll.DBRW($B$1,$B$2,$B$7,$B$3,$B$4,$B$5,$F60,$B$6,N$10,$A60,$B60)</f>
        <v>31</v>
      </c>
      <c r="O60" s="4">
        <f ca="1">_xll.DBRW($B$1,$B$2,$B$7,$B$3,$B$4,$B$5,$F60,$B$6,O$10,$A60,$B60)</f>
        <v>31</v>
      </c>
      <c r="P60" s="4">
        <f ca="1">_xll.DBRW($B$1,$B$2,$B$7,$B$3,$B$4,$B$5,$F60,$B$6,P$10,$A60,$B60)</f>
        <v>10</v>
      </c>
      <c r="Q60" s="4">
        <f ca="1">_xll.DBRW($B$1,$B$2,$B$7,$B$3,$B$4,$B$5,$F60,$B$6,Q$10,$A60,$B60)</f>
        <v>9</v>
      </c>
      <c r="R60" s="4">
        <f ca="1">_xll.DBRW($B$1,$B$2,$B$7,$B$3,$B$4,$B$5,$F60,$B$6,R$10,$A60,$B60)</f>
        <v>0</v>
      </c>
      <c r="S60" s="4">
        <f ca="1">_xll.DBRW($B$1,$B$2,$B$7,$B$3,$B$4,$B$5,$F60,$B$6,S$10,$A60,$B60)</f>
        <v>0</v>
      </c>
      <c r="T60" s="4">
        <f ca="1">_xll.DBRW($B$1,$B$2,$B$7,$B$3,$B$4,$B$5,$F60,$B$6,T$10,$A60,$B60)</f>
        <v>31</v>
      </c>
      <c r="U60" s="4">
        <f ca="1">_xll.DBRW($B$1,$B$2,$B$7,$B$3,$B$4,$B$5,$F60,$B$6,U$10,$A60,$B60)</f>
        <v>28</v>
      </c>
      <c r="V60" s="4">
        <f ca="1">_xll.DBRW($B$1,$B$2,$B$7,$B$3,$B$4,$B$5,$F60,$B$6,V$10,$A60,$B60)</f>
        <v>31</v>
      </c>
      <c r="W60" s="4">
        <f ca="1">_xll.DBRW($B$1,$B$2,$B$7,$B$3,$B$4,$B$5,$F60,$B$6,W$10,$A60,$B60)</f>
        <v>13</v>
      </c>
      <c r="X60" s="4">
        <f ca="1">_xll.DBRW($B$1,$B$2,$B$7,$B$3,$B$4,$B$5,$F60,$B$6,X$10,$A60,$B60)</f>
        <v>12</v>
      </c>
      <c r="Y60" s="4">
        <f ca="1">_xll.DBRW($B$1,$B$2,$B$7,$B$3,$B$4,$B$5,$F60,$B$6,Y$10,$A60,$B60)</f>
        <v>14</v>
      </c>
      <c r="Z60" s="4">
        <f ca="1">_xll.DBRW($B$1,$B$2,$B$7,$B$3,$B$4,$B$5,$F60,$B$6,Z$10,$A60,$B60)</f>
        <v>13</v>
      </c>
      <c r="AA60" s="4">
        <f ca="1">_xll.DBRW($B$1,$B$2,$B$7,$B$3,$B$4,$B$5,$F60,$B$6,AA$10,$A60,$B60)</f>
        <v>13</v>
      </c>
      <c r="AB60" s="4">
        <f ca="1">_xll.DBRW($B$1,$B$2,$B$7,$B$3,$B$4,$B$5,$F60,$B$6,AB$10,$A60,$B60)</f>
        <v>14</v>
      </c>
      <c r="AC60" s="4">
        <f ca="1">_xll.DBRW($B$1,$B$2,$B$7,$B$3,$B$4,$B$5,$F60,$B$6,AC$10,$A60,$B60)</f>
        <v>15</v>
      </c>
      <c r="AD60" s="4">
        <f ca="1">_xll.DBRW($B$1,$B$2,$B$7,$B$3,$B$4,$B$5,$F60,$B$6,AD$10,$A60,$B60)</f>
        <v>30</v>
      </c>
      <c r="AE60" s="4">
        <f ca="1">_xll.DBRW($B$1,$B$2,$B$7,$B$3,$B$4,$B$5,$F60,$B$6,AE$10,$A60,$B60)</f>
        <v>30</v>
      </c>
    </row>
    <row r="61" spans="1:31">
      <c r="A61" s="1" t="s">
        <v>150</v>
      </c>
      <c r="B61" s="5" t="s">
        <v>205</v>
      </c>
      <c r="C61" s="5" t="s">
        <v>206</v>
      </c>
      <c r="D61" s="5" t="s">
        <v>21</v>
      </c>
      <c r="E61" s="5" t="s">
        <v>181</v>
      </c>
      <c r="F61" s="5" t="s">
        <v>312</v>
      </c>
      <c r="G61" s="6"/>
      <c r="H61" s="6"/>
      <c r="I61" s="6"/>
      <c r="J61" s="6"/>
      <c r="K61" s="6"/>
      <c r="L61" s="4">
        <f ca="1">_xll.DBRW($B$1,$B$2,$B$7,$B$3,$B$4,$B$5,$F61,$B$6,L$10,$A61,$B61)</f>
        <v>8</v>
      </c>
      <c r="M61" s="4">
        <f ca="1">_xll.DBRW($B$1,$B$2,$B$7,$B$3,$B$4,$B$5,$F61,$B$6,M$10,$A61,$B61)</f>
        <v>4</v>
      </c>
      <c r="N61" s="4">
        <f ca="1">_xll.DBRW($B$1,$B$2,$B$7,$B$3,$B$4,$B$5,$F61,$B$6,N$10,$A61,$B61)</f>
        <v>4</v>
      </c>
      <c r="O61" s="4">
        <f ca="1">_xll.DBRW($B$1,$B$2,$B$7,$B$3,$B$4,$B$5,$F61,$B$6,O$10,$A61,$B61)</f>
        <v>5</v>
      </c>
      <c r="P61" s="4">
        <f ca="1">_xll.DBRW($B$1,$B$2,$B$7,$B$3,$B$4,$B$5,$F61,$B$6,P$10,$A61,$B61)</f>
        <v>4</v>
      </c>
      <c r="Q61" s="4">
        <f ca="1">_xll.DBRW($B$1,$B$2,$B$7,$B$3,$B$4,$B$5,$F61,$B$6,Q$10,$A61,$B61)</f>
        <v>6</v>
      </c>
      <c r="R61" s="4">
        <f ca="1">_xll.DBRW($B$1,$B$2,$B$7,$B$3,$B$4,$B$5,$F61,$B$6,R$10,$A61,$B61)</f>
        <v>11</v>
      </c>
      <c r="S61" s="4">
        <f ca="1">_xll.DBRW($B$1,$B$2,$B$7,$B$3,$B$4,$B$5,$F61,$B$6,S$10,$A61,$B61)</f>
        <v>0</v>
      </c>
      <c r="T61" s="4">
        <f ca="1">_xll.DBRW($B$1,$B$2,$B$7,$B$3,$B$4,$B$5,$F61,$B$6,T$10,$A61,$B61)</f>
        <v>4</v>
      </c>
      <c r="U61" s="4">
        <f ca="1">_xll.DBRW($B$1,$B$2,$B$7,$B$3,$B$4,$B$5,$F61,$B$6,U$10,$A61,$B61)</f>
        <v>4</v>
      </c>
      <c r="V61" s="4">
        <f ca="1">_xll.DBRW($B$1,$B$2,$B$7,$B$3,$B$4,$B$5,$F61,$B$6,V$10,$A61,$B61)</f>
        <v>6</v>
      </c>
      <c r="W61" s="4">
        <f ca="1">_xll.DBRW($B$1,$B$2,$B$7,$B$3,$B$4,$B$5,$F61,$B$6,W$10,$A61,$B61)</f>
        <v>8</v>
      </c>
      <c r="X61" s="4">
        <f ca="1">_xll.DBRW($B$1,$B$2,$B$7,$B$3,$B$4,$B$5,$F61,$B$6,X$10,$A61,$B61)</f>
        <v>9</v>
      </c>
      <c r="Y61" s="4">
        <f ca="1">_xll.DBRW($B$1,$B$2,$B$7,$B$3,$B$4,$B$5,$F61,$B$6,Y$10,$A61,$B61)</f>
        <v>9</v>
      </c>
      <c r="Z61" s="4">
        <f ca="1">_xll.DBRW($B$1,$B$2,$B$7,$B$3,$B$4,$B$5,$F61,$B$6,Z$10,$A61,$B61)</f>
        <v>8</v>
      </c>
      <c r="AA61" s="4">
        <f ca="1">_xll.DBRW($B$1,$B$2,$B$7,$B$3,$B$4,$B$5,$F61,$B$6,AA$10,$A61,$B61)</f>
        <v>9</v>
      </c>
      <c r="AB61" s="4">
        <f ca="1">_xll.DBRW($B$1,$B$2,$B$7,$B$3,$B$4,$B$5,$F61,$B$6,AB$10,$A61,$B61)</f>
        <v>9</v>
      </c>
      <c r="AC61" s="4">
        <f ca="1">_xll.DBRW($B$1,$B$2,$B$7,$B$3,$B$4,$B$5,$F61,$B$6,AC$10,$A61,$B61)</f>
        <v>31</v>
      </c>
      <c r="AD61" s="4">
        <f ca="1">_xll.DBRW($B$1,$B$2,$B$7,$B$3,$B$4,$B$5,$F61,$B$6,AD$10,$A61,$B61)</f>
        <v>30</v>
      </c>
      <c r="AE61" s="4">
        <f ca="1">_xll.DBRW($B$1,$B$2,$B$7,$B$3,$B$4,$B$5,$F61,$B$6,AE$10,$A61,$B61)</f>
        <v>31</v>
      </c>
    </row>
    <row r="62" spans="1:31">
      <c r="A62" s="1" t="s">
        <v>150</v>
      </c>
      <c r="B62" s="5" t="s">
        <v>207</v>
      </c>
      <c r="C62" s="5" t="s">
        <v>208</v>
      </c>
      <c r="D62" s="5" t="s">
        <v>181</v>
      </c>
      <c r="E62" s="5" t="s">
        <v>21</v>
      </c>
      <c r="F62" s="5" t="s">
        <v>312</v>
      </c>
      <c r="G62" s="6"/>
      <c r="H62" s="6"/>
      <c r="I62" s="6"/>
      <c r="J62" s="6"/>
      <c r="K62" s="6"/>
      <c r="L62" s="4">
        <f ca="1">_xll.DBRW($B$1,$B$2,$B$7,$B$3,$B$4,$B$5,$F62,$B$6,L$10,$A62,$B62)</f>
        <v>8</v>
      </c>
      <c r="M62" s="4">
        <f ca="1">_xll.DBRW($B$1,$B$2,$B$7,$B$3,$B$4,$B$5,$F62,$B$6,M$10,$A62,$B62)</f>
        <v>4</v>
      </c>
      <c r="N62" s="4">
        <f ca="1">_xll.DBRW($B$1,$B$2,$B$7,$B$3,$B$4,$B$5,$F62,$B$6,N$10,$A62,$B62)</f>
        <v>4</v>
      </c>
      <c r="O62" s="4">
        <f ca="1">_xll.DBRW($B$1,$B$2,$B$7,$B$3,$B$4,$B$5,$F62,$B$6,O$10,$A62,$B62)</f>
        <v>5</v>
      </c>
      <c r="P62" s="4">
        <f ca="1">_xll.DBRW($B$1,$B$2,$B$7,$B$3,$B$4,$B$5,$F62,$B$6,P$10,$A62,$B62)</f>
        <v>4</v>
      </c>
      <c r="Q62" s="4">
        <f ca="1">_xll.DBRW($B$1,$B$2,$B$7,$B$3,$B$4,$B$5,$F62,$B$6,Q$10,$A62,$B62)</f>
        <v>6</v>
      </c>
      <c r="R62" s="4">
        <f ca="1">_xll.DBRW($B$1,$B$2,$B$7,$B$3,$B$4,$B$5,$F62,$B$6,R$10,$A62,$B62)</f>
        <v>11</v>
      </c>
      <c r="S62" s="4">
        <f ca="1">_xll.DBRW($B$1,$B$2,$B$7,$B$3,$B$4,$B$5,$F62,$B$6,S$10,$A62,$B62)</f>
        <v>0</v>
      </c>
      <c r="T62" s="4">
        <f ca="1">_xll.DBRW($B$1,$B$2,$B$7,$B$3,$B$4,$B$5,$F62,$B$6,T$10,$A62,$B62)</f>
        <v>4</v>
      </c>
      <c r="U62" s="4">
        <f ca="1">_xll.DBRW($B$1,$B$2,$B$7,$B$3,$B$4,$B$5,$F62,$B$6,U$10,$A62,$B62)</f>
        <v>4</v>
      </c>
      <c r="V62" s="4">
        <f ca="1">_xll.DBRW($B$1,$B$2,$B$7,$B$3,$B$4,$B$5,$F62,$B$6,V$10,$A62,$B62)</f>
        <v>6</v>
      </c>
      <c r="W62" s="4">
        <f ca="1">_xll.DBRW($B$1,$B$2,$B$7,$B$3,$B$4,$B$5,$F62,$B$6,W$10,$A62,$B62)</f>
        <v>8</v>
      </c>
      <c r="X62" s="4">
        <f ca="1">_xll.DBRW($B$1,$B$2,$B$7,$B$3,$B$4,$B$5,$F62,$B$6,X$10,$A62,$B62)</f>
        <v>9</v>
      </c>
      <c r="Y62" s="4">
        <f ca="1">_xll.DBRW($B$1,$B$2,$B$7,$B$3,$B$4,$B$5,$F62,$B$6,Y$10,$A62,$B62)</f>
        <v>9</v>
      </c>
      <c r="Z62" s="4">
        <f ca="1">_xll.DBRW($B$1,$B$2,$B$7,$B$3,$B$4,$B$5,$F62,$B$6,Z$10,$A62,$B62)</f>
        <v>8</v>
      </c>
      <c r="AA62" s="4">
        <f ca="1">_xll.DBRW($B$1,$B$2,$B$7,$B$3,$B$4,$B$5,$F62,$B$6,AA$10,$A62,$B62)</f>
        <v>9</v>
      </c>
      <c r="AB62" s="4">
        <f ca="1">_xll.DBRW($B$1,$B$2,$B$7,$B$3,$B$4,$B$5,$F62,$B$6,AB$10,$A62,$B62)</f>
        <v>9</v>
      </c>
      <c r="AC62" s="4">
        <f ca="1">_xll.DBRW($B$1,$B$2,$B$7,$B$3,$B$4,$B$5,$F62,$B$6,AC$10,$A62,$B62)</f>
        <v>31</v>
      </c>
      <c r="AD62" s="4">
        <f ca="1">_xll.DBRW($B$1,$B$2,$B$7,$B$3,$B$4,$B$5,$F62,$B$6,AD$10,$A62,$B62)</f>
        <v>30</v>
      </c>
      <c r="AE62" s="4">
        <f ca="1">_xll.DBRW($B$1,$B$2,$B$7,$B$3,$B$4,$B$5,$F62,$B$6,AE$10,$A62,$B62)</f>
        <v>31</v>
      </c>
    </row>
    <row r="63" spans="1:31">
      <c r="A63" s="1" t="s">
        <v>150</v>
      </c>
      <c r="B63" s="5" t="s">
        <v>209</v>
      </c>
      <c r="C63" s="5" t="s">
        <v>210</v>
      </c>
      <c r="D63" s="5" t="s">
        <v>21</v>
      </c>
      <c r="E63" s="5" t="s">
        <v>211</v>
      </c>
      <c r="F63" s="5" t="s">
        <v>312</v>
      </c>
      <c r="G63" s="6"/>
      <c r="H63" s="6"/>
      <c r="I63" s="6"/>
      <c r="J63" s="6"/>
      <c r="K63" s="6"/>
      <c r="L63" s="4">
        <f ca="1">_xll.DBRW($B$1,$B$2,$B$7,$B$3,$B$4,$B$5,$F63,$B$6,L$10,$A63,$B63)</f>
        <v>8</v>
      </c>
      <c r="M63" s="4">
        <f ca="1">_xll.DBRW($B$1,$B$2,$B$7,$B$3,$B$4,$B$5,$F63,$B$6,M$10,$A63,$B63)</f>
        <v>0</v>
      </c>
      <c r="N63" s="4">
        <f ca="1">_xll.DBRW($B$1,$B$2,$B$7,$B$3,$B$4,$B$5,$F63,$B$6,N$10,$A63,$B63)</f>
        <v>0</v>
      </c>
      <c r="O63" s="4">
        <f ca="1">_xll.DBRW($B$1,$B$2,$B$7,$B$3,$B$4,$B$5,$F63,$B$6,O$10,$A63,$B63)</f>
        <v>0</v>
      </c>
      <c r="P63" s="4">
        <f ca="1">_xll.DBRW($B$1,$B$2,$B$7,$B$3,$B$4,$B$5,$F63,$B$6,P$10,$A63,$B63)</f>
        <v>0</v>
      </c>
      <c r="Q63" s="4">
        <f ca="1">_xll.DBRW($B$1,$B$2,$B$7,$B$3,$B$4,$B$5,$F63,$B$6,Q$10,$A63,$B63)</f>
        <v>3</v>
      </c>
      <c r="R63" s="4">
        <f ca="1">_xll.DBRW($B$1,$B$2,$B$7,$B$3,$B$4,$B$5,$F63,$B$6,R$10,$A63,$B63)</f>
        <v>17</v>
      </c>
      <c r="S63" s="4">
        <f ca="1">_xll.DBRW($B$1,$B$2,$B$7,$B$3,$B$4,$B$5,$F63,$B$6,S$10,$A63,$B63)</f>
        <v>18</v>
      </c>
      <c r="T63" s="4">
        <f ca="1">_xll.DBRW($B$1,$B$2,$B$7,$B$3,$B$4,$B$5,$F63,$B$6,T$10,$A63,$B63)</f>
        <v>18</v>
      </c>
      <c r="U63" s="4">
        <f ca="1">_xll.DBRW($B$1,$B$2,$B$7,$B$3,$B$4,$B$5,$F63,$B$6,U$10,$A63,$B63)</f>
        <v>16</v>
      </c>
      <c r="V63" s="4">
        <f ca="1">_xll.DBRW($B$1,$B$2,$B$7,$B$3,$B$4,$B$5,$F63,$B$6,V$10,$A63,$B63)</f>
        <v>16</v>
      </c>
      <c r="W63" s="4">
        <f ca="1">_xll.DBRW($B$1,$B$2,$B$7,$B$3,$B$4,$B$5,$F63,$B$6,W$10,$A63,$B63)</f>
        <v>0</v>
      </c>
      <c r="X63" s="4">
        <f ca="1">_xll.DBRW($B$1,$B$2,$B$7,$B$3,$B$4,$B$5,$F63,$B$6,X$10,$A63,$B63)</f>
        <v>0</v>
      </c>
      <c r="Y63" s="4">
        <f ca="1">_xll.DBRW($B$1,$B$2,$B$7,$B$3,$B$4,$B$5,$F63,$B$6,Y$10,$A63,$B63)</f>
        <v>0</v>
      </c>
      <c r="Z63" s="4">
        <f ca="1">_xll.DBRW($B$1,$B$2,$B$7,$B$3,$B$4,$B$5,$F63,$B$6,Z$10,$A63,$B63)</f>
        <v>0</v>
      </c>
      <c r="AA63" s="4">
        <f ca="1">_xll.DBRW($B$1,$B$2,$B$7,$B$3,$B$4,$B$5,$F63,$B$6,AA$10,$A63,$B63)</f>
        <v>0</v>
      </c>
      <c r="AB63" s="4">
        <f ca="1">_xll.DBRW($B$1,$B$2,$B$7,$B$3,$B$4,$B$5,$F63,$B$6,AB$10,$A63,$B63)</f>
        <v>0</v>
      </c>
      <c r="AC63" s="4">
        <f ca="1">_xll.DBRW($B$1,$B$2,$B$7,$B$3,$B$4,$B$5,$F63,$B$6,AC$10,$A63,$B63)</f>
        <v>4</v>
      </c>
      <c r="AD63" s="4">
        <f ca="1">_xll.DBRW($B$1,$B$2,$B$7,$B$3,$B$4,$B$5,$F63,$B$6,AD$10,$A63,$B63)</f>
        <v>17</v>
      </c>
      <c r="AE63" s="4">
        <f ca="1">_xll.DBRW($B$1,$B$2,$B$7,$B$3,$B$4,$B$5,$F63,$B$6,AE$10,$A63,$B63)</f>
        <v>18</v>
      </c>
    </row>
    <row r="64" spans="1:31">
      <c r="A64" s="1" t="s">
        <v>150</v>
      </c>
      <c r="B64" s="5" t="s">
        <v>212</v>
      </c>
      <c r="C64" s="5" t="s">
        <v>213</v>
      </c>
      <c r="D64" s="5" t="s">
        <v>211</v>
      </c>
      <c r="E64" s="5" t="s">
        <v>21</v>
      </c>
      <c r="F64" s="5" t="s">
        <v>312</v>
      </c>
      <c r="G64" s="6"/>
      <c r="H64" s="6"/>
      <c r="I64" s="6"/>
      <c r="J64" s="6"/>
      <c r="K64" s="6"/>
      <c r="L64" s="4">
        <f ca="1">_xll.DBRW($B$1,$B$2,$B$7,$B$3,$B$4,$B$5,$F64,$B$6,L$10,$A64,$B64)</f>
        <v>8</v>
      </c>
      <c r="M64" s="4">
        <f ca="1">_xll.DBRW($B$1,$B$2,$B$7,$B$3,$B$4,$B$5,$F64,$B$6,M$10,$A64,$B64)</f>
        <v>0</v>
      </c>
      <c r="N64" s="4">
        <f ca="1">_xll.DBRW($B$1,$B$2,$B$7,$B$3,$B$4,$B$5,$F64,$B$6,N$10,$A64,$B64)</f>
        <v>0</v>
      </c>
      <c r="O64" s="4">
        <f ca="1">_xll.DBRW($B$1,$B$2,$B$7,$B$3,$B$4,$B$5,$F64,$B$6,O$10,$A64,$B64)</f>
        <v>0</v>
      </c>
      <c r="P64" s="4">
        <f ca="1">_xll.DBRW($B$1,$B$2,$B$7,$B$3,$B$4,$B$5,$F64,$B$6,P$10,$A64,$B64)</f>
        <v>0</v>
      </c>
      <c r="Q64" s="4">
        <f ca="1">_xll.DBRW($B$1,$B$2,$B$7,$B$3,$B$4,$B$5,$F64,$B$6,Q$10,$A64,$B64)</f>
        <v>3</v>
      </c>
      <c r="R64" s="4">
        <f ca="1">_xll.DBRW($B$1,$B$2,$B$7,$B$3,$B$4,$B$5,$F64,$B$6,R$10,$A64,$B64)</f>
        <v>17</v>
      </c>
      <c r="S64" s="4">
        <f ca="1">_xll.DBRW($B$1,$B$2,$B$7,$B$3,$B$4,$B$5,$F64,$B$6,S$10,$A64,$B64)</f>
        <v>18</v>
      </c>
      <c r="T64" s="4">
        <f ca="1">_xll.DBRW($B$1,$B$2,$B$7,$B$3,$B$4,$B$5,$F64,$B$6,T$10,$A64,$B64)</f>
        <v>18</v>
      </c>
      <c r="U64" s="4">
        <f ca="1">_xll.DBRW($B$1,$B$2,$B$7,$B$3,$B$4,$B$5,$F64,$B$6,U$10,$A64,$B64)</f>
        <v>16</v>
      </c>
      <c r="V64" s="4">
        <f ca="1">_xll.DBRW($B$1,$B$2,$B$7,$B$3,$B$4,$B$5,$F64,$B$6,V$10,$A64,$B64)</f>
        <v>16</v>
      </c>
      <c r="W64" s="4">
        <f ca="1">_xll.DBRW($B$1,$B$2,$B$7,$B$3,$B$4,$B$5,$F64,$B$6,W$10,$A64,$B64)</f>
        <v>0</v>
      </c>
      <c r="X64" s="4">
        <f ca="1">_xll.DBRW($B$1,$B$2,$B$7,$B$3,$B$4,$B$5,$F64,$B$6,X$10,$A64,$B64)</f>
        <v>0</v>
      </c>
      <c r="Y64" s="4">
        <f ca="1">_xll.DBRW($B$1,$B$2,$B$7,$B$3,$B$4,$B$5,$F64,$B$6,Y$10,$A64,$B64)</f>
        <v>0</v>
      </c>
      <c r="Z64" s="4">
        <f ca="1">_xll.DBRW($B$1,$B$2,$B$7,$B$3,$B$4,$B$5,$F64,$B$6,Z$10,$A64,$B64)</f>
        <v>0</v>
      </c>
      <c r="AA64" s="4">
        <f ca="1">_xll.DBRW($B$1,$B$2,$B$7,$B$3,$B$4,$B$5,$F64,$B$6,AA$10,$A64,$B64)</f>
        <v>0</v>
      </c>
      <c r="AB64" s="4">
        <f ca="1">_xll.DBRW($B$1,$B$2,$B$7,$B$3,$B$4,$B$5,$F64,$B$6,AB$10,$A64,$B64)</f>
        <v>0</v>
      </c>
      <c r="AC64" s="4">
        <f ca="1">_xll.DBRW($B$1,$B$2,$B$7,$B$3,$B$4,$B$5,$F64,$B$6,AC$10,$A64,$B64)</f>
        <v>4</v>
      </c>
      <c r="AD64" s="4">
        <f ca="1">_xll.DBRW($B$1,$B$2,$B$7,$B$3,$B$4,$B$5,$F64,$B$6,AD$10,$A64,$B64)</f>
        <v>17</v>
      </c>
      <c r="AE64" s="4">
        <f ca="1">_xll.DBRW($B$1,$B$2,$B$7,$B$3,$B$4,$B$5,$F64,$B$6,AE$10,$A64,$B64)</f>
        <v>18</v>
      </c>
    </row>
    <row r="65" spans="1:31">
      <c r="A65" s="1" t="s">
        <v>150</v>
      </c>
      <c r="B65" s="5" t="s">
        <v>214</v>
      </c>
      <c r="C65" s="5" t="s">
        <v>187</v>
      </c>
      <c r="D65" s="5" t="s">
        <v>21</v>
      </c>
      <c r="E65" s="5" t="s">
        <v>59</v>
      </c>
      <c r="F65" s="5" t="s">
        <v>312</v>
      </c>
      <c r="G65" s="6"/>
      <c r="H65" s="6"/>
      <c r="I65" s="6"/>
      <c r="J65" s="6"/>
      <c r="K65" s="6"/>
      <c r="L65" s="4">
        <f ca="1">_xll.DBRW($B$1,$B$2,$B$7,$B$3,$B$4,$B$5,$F65,$B$6,L$10,$A65,$B65)</f>
        <v>0</v>
      </c>
      <c r="M65" s="4">
        <f ca="1">_xll.DBRW($B$1,$B$2,$B$7,$B$3,$B$4,$B$5,$F65,$B$6,M$10,$A65,$B65)</f>
        <v>0</v>
      </c>
      <c r="N65" s="4">
        <f ca="1">_xll.DBRW($B$1,$B$2,$B$7,$B$3,$B$4,$B$5,$F65,$B$6,N$10,$A65,$B65)</f>
        <v>0</v>
      </c>
      <c r="O65" s="4">
        <f ca="1">_xll.DBRW($B$1,$B$2,$B$7,$B$3,$B$4,$B$5,$F65,$B$6,O$10,$A65,$B65)</f>
        <v>0</v>
      </c>
      <c r="P65" s="4">
        <f ca="1">_xll.DBRW($B$1,$B$2,$B$7,$B$3,$B$4,$B$5,$F65,$B$6,P$10,$A65,$B65)</f>
        <v>0</v>
      </c>
      <c r="Q65" s="4">
        <f ca="1">_xll.DBRW($B$1,$B$2,$B$7,$B$3,$B$4,$B$5,$F65,$B$6,Q$10,$A65,$B65)</f>
        <v>0</v>
      </c>
      <c r="R65" s="4">
        <f ca="1">_xll.DBRW($B$1,$B$2,$B$7,$B$3,$B$4,$B$5,$F65,$B$6,R$10,$A65,$B65)</f>
        <v>0</v>
      </c>
      <c r="S65" s="4">
        <f ca="1">_xll.DBRW($B$1,$B$2,$B$7,$B$3,$B$4,$B$5,$F65,$B$6,S$10,$A65,$B65)</f>
        <v>0</v>
      </c>
      <c r="T65" s="4">
        <f ca="1">_xll.DBRW($B$1,$B$2,$B$7,$B$3,$B$4,$B$5,$F65,$B$6,T$10,$A65,$B65)</f>
        <v>0</v>
      </c>
      <c r="U65" s="4">
        <f ca="1">_xll.DBRW($B$1,$B$2,$B$7,$B$3,$B$4,$B$5,$F65,$B$6,U$10,$A65,$B65)</f>
        <v>0</v>
      </c>
      <c r="V65" s="4">
        <f ca="1">_xll.DBRW($B$1,$B$2,$B$7,$B$3,$B$4,$B$5,$F65,$B$6,V$10,$A65,$B65)</f>
        <v>0</v>
      </c>
      <c r="W65" s="4">
        <f ca="1">_xll.DBRW($B$1,$B$2,$B$7,$B$3,$B$4,$B$5,$F65,$B$6,W$10,$A65,$B65)</f>
        <v>0</v>
      </c>
      <c r="X65" s="4">
        <f ca="1">_xll.DBRW($B$1,$B$2,$B$7,$B$3,$B$4,$B$5,$F65,$B$6,X$10,$A65,$B65)</f>
        <v>0</v>
      </c>
      <c r="Y65" s="4">
        <f ca="1">_xll.DBRW($B$1,$B$2,$B$7,$B$3,$B$4,$B$5,$F65,$B$6,Y$10,$A65,$B65)</f>
        <v>0</v>
      </c>
      <c r="Z65" s="4">
        <f ca="1">_xll.DBRW($B$1,$B$2,$B$7,$B$3,$B$4,$B$5,$F65,$B$6,Z$10,$A65,$B65)</f>
        <v>0</v>
      </c>
      <c r="AA65" s="4">
        <f ca="1">_xll.DBRW($B$1,$B$2,$B$7,$B$3,$B$4,$B$5,$F65,$B$6,AA$10,$A65,$B65)</f>
        <v>0</v>
      </c>
      <c r="AB65" s="4">
        <f ca="1">_xll.DBRW($B$1,$B$2,$B$7,$B$3,$B$4,$B$5,$F65,$B$6,AB$10,$A65,$B65)</f>
        <v>0</v>
      </c>
      <c r="AC65" s="4">
        <f ca="1">_xll.DBRW($B$1,$B$2,$B$7,$B$3,$B$4,$B$5,$F65,$B$6,AC$10,$A65,$B65)</f>
        <v>0</v>
      </c>
      <c r="AD65" s="4">
        <f ca="1">_xll.DBRW($B$1,$B$2,$B$7,$B$3,$B$4,$B$5,$F65,$B$6,AD$10,$A65,$B65)</f>
        <v>0</v>
      </c>
      <c r="AE65" s="4">
        <f ca="1">_xll.DBRW($B$1,$B$2,$B$7,$B$3,$B$4,$B$5,$F65,$B$6,AE$10,$A65,$B65)</f>
        <v>0</v>
      </c>
    </row>
    <row r="66" spans="1:31">
      <c r="A66" s="1" t="s">
        <v>150</v>
      </c>
      <c r="B66" s="5" t="s">
        <v>63</v>
      </c>
      <c r="C66" s="5" t="s">
        <v>62</v>
      </c>
      <c r="D66" s="5" t="s">
        <v>59</v>
      </c>
      <c r="E66" s="5" t="s">
        <v>21</v>
      </c>
      <c r="F66" s="5" t="s">
        <v>312</v>
      </c>
      <c r="G66" s="6"/>
      <c r="H66" s="6"/>
      <c r="I66" s="6"/>
      <c r="J66" s="6"/>
      <c r="K66" s="6"/>
      <c r="L66" s="4">
        <f ca="1">_xll.DBRW($B$1,$B$2,$B$7,$B$3,$B$4,$B$5,$F66,$B$6,L$10,$A66,$B66)</f>
        <v>0</v>
      </c>
      <c r="M66" s="4">
        <f ca="1">_xll.DBRW($B$1,$B$2,$B$7,$B$3,$B$4,$B$5,$F66,$B$6,M$10,$A66,$B66)</f>
        <v>0</v>
      </c>
      <c r="N66" s="4">
        <f ca="1">_xll.DBRW($B$1,$B$2,$B$7,$B$3,$B$4,$B$5,$F66,$B$6,N$10,$A66,$B66)</f>
        <v>0</v>
      </c>
      <c r="O66" s="4">
        <f ca="1">_xll.DBRW($B$1,$B$2,$B$7,$B$3,$B$4,$B$5,$F66,$B$6,O$10,$A66,$B66)</f>
        <v>0</v>
      </c>
      <c r="P66" s="4">
        <f ca="1">_xll.DBRW($B$1,$B$2,$B$7,$B$3,$B$4,$B$5,$F66,$B$6,P$10,$A66,$B66)</f>
        <v>0</v>
      </c>
      <c r="Q66" s="4">
        <f ca="1">_xll.DBRW($B$1,$B$2,$B$7,$B$3,$B$4,$B$5,$F66,$B$6,Q$10,$A66,$B66)</f>
        <v>0</v>
      </c>
      <c r="R66" s="4">
        <f ca="1">_xll.DBRW($B$1,$B$2,$B$7,$B$3,$B$4,$B$5,$F66,$B$6,R$10,$A66,$B66)</f>
        <v>0</v>
      </c>
      <c r="S66" s="4">
        <f ca="1">_xll.DBRW($B$1,$B$2,$B$7,$B$3,$B$4,$B$5,$F66,$B$6,S$10,$A66,$B66)</f>
        <v>0</v>
      </c>
      <c r="T66" s="4">
        <f ca="1">_xll.DBRW($B$1,$B$2,$B$7,$B$3,$B$4,$B$5,$F66,$B$6,T$10,$A66,$B66)</f>
        <v>0</v>
      </c>
      <c r="U66" s="4">
        <f ca="1">_xll.DBRW($B$1,$B$2,$B$7,$B$3,$B$4,$B$5,$F66,$B$6,U$10,$A66,$B66)</f>
        <v>0</v>
      </c>
      <c r="V66" s="4">
        <f ca="1">_xll.DBRW($B$1,$B$2,$B$7,$B$3,$B$4,$B$5,$F66,$B$6,V$10,$A66,$B66)</f>
        <v>0</v>
      </c>
      <c r="W66" s="4">
        <f ca="1">_xll.DBRW($B$1,$B$2,$B$7,$B$3,$B$4,$B$5,$F66,$B$6,W$10,$A66,$B66)</f>
        <v>4</v>
      </c>
      <c r="X66" s="4">
        <f ca="1">_xll.DBRW($B$1,$B$2,$B$7,$B$3,$B$4,$B$5,$F66,$B$6,X$10,$A66,$B66)</f>
        <v>5</v>
      </c>
      <c r="Y66" s="4">
        <f ca="1">_xll.DBRW($B$1,$B$2,$B$7,$B$3,$B$4,$B$5,$F66,$B$6,Y$10,$A66,$B66)</f>
        <v>4</v>
      </c>
      <c r="Z66" s="4">
        <f ca="1">_xll.DBRW($B$1,$B$2,$B$7,$B$3,$B$4,$B$5,$F66,$B$6,Z$10,$A66,$B66)</f>
        <v>5</v>
      </c>
      <c r="AA66" s="4">
        <f ca="1">_xll.DBRW($B$1,$B$2,$B$7,$B$3,$B$4,$B$5,$F66,$B$6,AA$10,$A66,$B66)</f>
        <v>4</v>
      </c>
      <c r="AB66" s="4">
        <f ca="1">_xll.DBRW($B$1,$B$2,$B$7,$B$3,$B$4,$B$5,$F66,$B$6,AB$10,$A66,$B66)</f>
        <v>4</v>
      </c>
      <c r="AC66" s="4">
        <f ca="1">_xll.DBRW($B$1,$B$2,$B$7,$B$3,$B$4,$B$5,$F66,$B$6,AC$10,$A66,$B66)</f>
        <v>4</v>
      </c>
      <c r="AD66" s="4">
        <f ca="1">_xll.DBRW($B$1,$B$2,$B$7,$B$3,$B$4,$B$5,$F66,$B$6,AD$10,$A66,$B66)</f>
        <v>0</v>
      </c>
      <c r="AE66" s="4">
        <f ca="1">_xll.DBRW($B$1,$B$2,$B$7,$B$3,$B$4,$B$5,$F66,$B$6,AE$10,$A66,$B66)</f>
        <v>0</v>
      </c>
    </row>
    <row r="67" spans="1:31">
      <c r="A67" s="1" t="s">
        <v>150</v>
      </c>
      <c r="B67" s="5" t="s">
        <v>215</v>
      </c>
      <c r="C67" s="5" t="s">
        <v>159</v>
      </c>
      <c r="D67" s="5" t="s">
        <v>21</v>
      </c>
      <c r="E67" s="5" t="s">
        <v>38</v>
      </c>
      <c r="F67" s="5" t="s">
        <v>312</v>
      </c>
      <c r="G67" s="6"/>
      <c r="H67" s="6"/>
      <c r="I67" s="6"/>
      <c r="J67" s="6"/>
      <c r="K67" s="6"/>
      <c r="L67" s="4">
        <f ca="1">_xll.DBRW($B$1,$B$2,$B$7,$B$3,$B$4,$B$5,$F67,$B$6,L$10,$A67,$B67)</f>
        <v>0</v>
      </c>
      <c r="M67" s="4">
        <f ca="1">_xll.DBRW($B$1,$B$2,$B$7,$B$3,$B$4,$B$5,$F67,$B$6,M$10,$A67,$B67)</f>
        <v>0</v>
      </c>
      <c r="N67" s="4">
        <f ca="1">_xll.DBRW($B$1,$B$2,$B$7,$B$3,$B$4,$B$5,$F67,$B$6,N$10,$A67,$B67)</f>
        <v>0</v>
      </c>
      <c r="O67" s="4">
        <f ca="1">_xll.DBRW($B$1,$B$2,$B$7,$B$3,$B$4,$B$5,$F67,$B$6,O$10,$A67,$B67)</f>
        <v>0</v>
      </c>
      <c r="P67" s="4">
        <f ca="1">_xll.DBRW($B$1,$B$2,$B$7,$B$3,$B$4,$B$5,$F67,$B$6,P$10,$A67,$B67)</f>
        <v>0</v>
      </c>
      <c r="Q67" s="4">
        <f ca="1">_xll.DBRW($B$1,$B$2,$B$7,$B$3,$B$4,$B$5,$F67,$B$6,Q$10,$A67,$B67)</f>
        <v>0</v>
      </c>
      <c r="R67" s="4">
        <f ca="1">_xll.DBRW($B$1,$B$2,$B$7,$B$3,$B$4,$B$5,$F67,$B$6,R$10,$A67,$B67)</f>
        <v>0</v>
      </c>
      <c r="S67" s="4">
        <f ca="1">_xll.DBRW($B$1,$B$2,$B$7,$B$3,$B$4,$B$5,$F67,$B$6,S$10,$A67,$B67)</f>
        <v>0</v>
      </c>
      <c r="T67" s="4">
        <f ca="1">_xll.DBRW($B$1,$B$2,$B$7,$B$3,$B$4,$B$5,$F67,$B$6,T$10,$A67,$B67)</f>
        <v>0</v>
      </c>
      <c r="U67" s="4">
        <f ca="1">_xll.DBRW($B$1,$B$2,$B$7,$B$3,$B$4,$B$5,$F67,$B$6,U$10,$A67,$B67)</f>
        <v>0</v>
      </c>
      <c r="V67" s="4">
        <f ca="1">_xll.DBRW($B$1,$B$2,$B$7,$B$3,$B$4,$B$5,$F67,$B$6,V$10,$A67,$B67)</f>
        <v>0</v>
      </c>
      <c r="W67" s="4">
        <f ca="1">_xll.DBRW($B$1,$B$2,$B$7,$B$3,$B$4,$B$5,$F67,$B$6,W$10,$A67,$B67)</f>
        <v>0</v>
      </c>
      <c r="X67" s="4">
        <f ca="1">_xll.DBRW($B$1,$B$2,$B$7,$B$3,$B$4,$B$5,$F67,$B$6,X$10,$A67,$B67)</f>
        <v>0</v>
      </c>
      <c r="Y67" s="4">
        <f ca="1">_xll.DBRW($B$1,$B$2,$B$7,$B$3,$B$4,$B$5,$F67,$B$6,Y$10,$A67,$B67)</f>
        <v>0</v>
      </c>
      <c r="Z67" s="4">
        <f ca="1">_xll.DBRW($B$1,$B$2,$B$7,$B$3,$B$4,$B$5,$F67,$B$6,Z$10,$A67,$B67)</f>
        <v>0</v>
      </c>
      <c r="AA67" s="4">
        <f ca="1">_xll.DBRW($B$1,$B$2,$B$7,$B$3,$B$4,$B$5,$F67,$B$6,AA$10,$A67,$B67)</f>
        <v>0</v>
      </c>
      <c r="AB67" s="4">
        <f ca="1">_xll.DBRW($B$1,$B$2,$B$7,$B$3,$B$4,$B$5,$F67,$B$6,AB$10,$A67,$B67)</f>
        <v>0</v>
      </c>
      <c r="AC67" s="4">
        <f ca="1">_xll.DBRW($B$1,$B$2,$B$7,$B$3,$B$4,$B$5,$F67,$B$6,AC$10,$A67,$B67)</f>
        <v>0</v>
      </c>
      <c r="AD67" s="4">
        <f ca="1">_xll.DBRW($B$1,$B$2,$B$7,$B$3,$B$4,$B$5,$F67,$B$6,AD$10,$A67,$B67)</f>
        <v>0</v>
      </c>
      <c r="AE67" s="4">
        <f ca="1">_xll.DBRW($B$1,$B$2,$B$7,$B$3,$B$4,$B$5,$F67,$B$6,AE$10,$A67,$B67)</f>
        <v>0</v>
      </c>
    </row>
    <row r="68" spans="1:31">
      <c r="A68" s="1" t="s">
        <v>150</v>
      </c>
      <c r="B68" s="5" t="s">
        <v>43</v>
      </c>
      <c r="C68" s="5" t="s">
        <v>37</v>
      </c>
      <c r="D68" s="5" t="s">
        <v>38</v>
      </c>
      <c r="E68" s="5" t="s">
        <v>21</v>
      </c>
      <c r="F68" s="5" t="s">
        <v>312</v>
      </c>
      <c r="G68" s="6"/>
      <c r="H68" s="6"/>
      <c r="I68" s="6"/>
      <c r="J68" s="6"/>
      <c r="K68" s="6"/>
      <c r="L68" s="4">
        <f ca="1">_xll.DBRW($B$1,$B$2,$B$7,$B$3,$B$4,$B$5,$F68,$B$6,L$10,$A68,$B68)</f>
        <v>0</v>
      </c>
      <c r="M68" s="4">
        <f ca="1">_xll.DBRW($B$1,$B$2,$B$7,$B$3,$B$4,$B$5,$F68,$B$6,M$10,$A68,$B68)</f>
        <v>4</v>
      </c>
      <c r="N68" s="4">
        <f ca="1">_xll.DBRW($B$1,$B$2,$B$7,$B$3,$B$4,$B$5,$F68,$B$6,N$10,$A68,$B68)</f>
        <v>4</v>
      </c>
      <c r="O68" s="4">
        <f ca="1">_xll.DBRW($B$1,$B$2,$B$7,$B$3,$B$4,$B$5,$F68,$B$6,O$10,$A68,$B68)</f>
        <v>1</v>
      </c>
      <c r="P68" s="4">
        <f ca="1">_xll.DBRW($B$1,$B$2,$B$7,$B$3,$B$4,$B$5,$F68,$B$6,P$10,$A68,$B68)</f>
        <v>0</v>
      </c>
      <c r="Q68" s="4">
        <f ca="1">_xll.DBRW($B$1,$B$2,$B$7,$B$3,$B$4,$B$5,$F68,$B$6,Q$10,$A68,$B68)</f>
        <v>0</v>
      </c>
      <c r="R68" s="4">
        <f ca="1">_xll.DBRW($B$1,$B$2,$B$7,$B$3,$B$4,$B$5,$F68,$B$6,R$10,$A68,$B68)</f>
        <v>0</v>
      </c>
      <c r="S68" s="4">
        <f ca="1">_xll.DBRW($B$1,$B$2,$B$7,$B$3,$B$4,$B$5,$F68,$B$6,S$10,$A68,$B68)</f>
        <v>0</v>
      </c>
      <c r="T68" s="4">
        <f ca="1">_xll.DBRW($B$1,$B$2,$B$7,$B$3,$B$4,$B$5,$F68,$B$6,T$10,$A68,$B68)</f>
        <v>0</v>
      </c>
      <c r="U68" s="4">
        <f ca="1">_xll.DBRW($B$1,$B$2,$B$7,$B$3,$B$4,$B$5,$F68,$B$6,U$10,$A68,$B68)</f>
        <v>0</v>
      </c>
      <c r="V68" s="4">
        <f ca="1">_xll.DBRW($B$1,$B$2,$B$7,$B$3,$B$4,$B$5,$F68,$B$6,V$10,$A68,$B68)</f>
        <v>0</v>
      </c>
      <c r="W68" s="4">
        <f ca="1">_xll.DBRW($B$1,$B$2,$B$7,$B$3,$B$4,$B$5,$F68,$B$6,W$10,$A68,$B68)</f>
        <v>0</v>
      </c>
      <c r="X68" s="4">
        <f ca="1">_xll.DBRW($B$1,$B$2,$B$7,$B$3,$B$4,$B$5,$F68,$B$6,X$10,$A68,$B68)</f>
        <v>0</v>
      </c>
      <c r="Y68" s="4">
        <f ca="1">_xll.DBRW($B$1,$B$2,$B$7,$B$3,$B$4,$B$5,$F68,$B$6,Y$10,$A68,$B68)</f>
        <v>0</v>
      </c>
      <c r="Z68" s="4">
        <f ca="1">_xll.DBRW($B$1,$B$2,$B$7,$B$3,$B$4,$B$5,$F68,$B$6,Z$10,$A68,$B68)</f>
        <v>0</v>
      </c>
      <c r="AA68" s="4">
        <f ca="1">_xll.DBRW($B$1,$B$2,$B$7,$B$3,$B$4,$B$5,$F68,$B$6,AA$10,$A68,$B68)</f>
        <v>0</v>
      </c>
      <c r="AB68" s="4">
        <f ca="1">_xll.DBRW($B$1,$B$2,$B$7,$B$3,$B$4,$B$5,$F68,$B$6,AB$10,$A68,$B68)</f>
        <v>0</v>
      </c>
      <c r="AC68" s="4">
        <f ca="1">_xll.DBRW($B$1,$B$2,$B$7,$B$3,$B$4,$B$5,$F68,$B$6,AC$10,$A68,$B68)</f>
        <v>0</v>
      </c>
      <c r="AD68" s="4">
        <f ca="1">_xll.DBRW($B$1,$B$2,$B$7,$B$3,$B$4,$B$5,$F68,$B$6,AD$10,$A68,$B68)</f>
        <v>0</v>
      </c>
      <c r="AE68" s="4">
        <f ca="1">_xll.DBRW($B$1,$B$2,$B$7,$B$3,$B$4,$B$5,$F68,$B$6,AE$10,$A68,$B68)</f>
        <v>0</v>
      </c>
    </row>
    <row r="69" spans="1:31">
      <c r="A69" s="1" t="s">
        <v>150</v>
      </c>
      <c r="B69" s="5" t="s">
        <v>216</v>
      </c>
      <c r="C69" s="5" t="s">
        <v>163</v>
      </c>
      <c r="D69" s="5" t="s">
        <v>21</v>
      </c>
      <c r="E69" s="5" t="s">
        <v>54</v>
      </c>
      <c r="F69" s="5" t="s">
        <v>312</v>
      </c>
      <c r="G69" s="6"/>
      <c r="H69" s="6"/>
      <c r="I69" s="6"/>
      <c r="J69" s="6"/>
      <c r="K69" s="6"/>
      <c r="L69" s="4">
        <f ca="1">_xll.DBRW($B$1,$B$2,$B$7,$B$3,$B$4,$B$5,$F69,$B$6,L$10,$A69,$B69)</f>
        <v>0</v>
      </c>
      <c r="M69" s="4">
        <f ca="1">_xll.DBRW($B$1,$B$2,$B$7,$B$3,$B$4,$B$5,$F69,$B$6,M$10,$A69,$B69)</f>
        <v>0</v>
      </c>
      <c r="N69" s="4">
        <f ca="1">_xll.DBRW($B$1,$B$2,$B$7,$B$3,$B$4,$B$5,$F69,$B$6,N$10,$A69,$B69)</f>
        <v>0</v>
      </c>
      <c r="O69" s="4">
        <f ca="1">_xll.DBRW($B$1,$B$2,$B$7,$B$3,$B$4,$B$5,$F69,$B$6,O$10,$A69,$B69)</f>
        <v>0</v>
      </c>
      <c r="P69" s="4">
        <f ca="1">_xll.DBRW($B$1,$B$2,$B$7,$B$3,$B$4,$B$5,$F69,$B$6,P$10,$A69,$B69)</f>
        <v>0</v>
      </c>
      <c r="Q69" s="4">
        <f ca="1">_xll.DBRW($B$1,$B$2,$B$7,$B$3,$B$4,$B$5,$F69,$B$6,Q$10,$A69,$B69)</f>
        <v>0</v>
      </c>
      <c r="R69" s="4">
        <f ca="1">_xll.DBRW($B$1,$B$2,$B$7,$B$3,$B$4,$B$5,$F69,$B$6,R$10,$A69,$B69)</f>
        <v>0</v>
      </c>
      <c r="S69" s="4">
        <f ca="1">_xll.DBRW($B$1,$B$2,$B$7,$B$3,$B$4,$B$5,$F69,$B$6,S$10,$A69,$B69)</f>
        <v>0</v>
      </c>
      <c r="T69" s="4">
        <f ca="1">_xll.DBRW($B$1,$B$2,$B$7,$B$3,$B$4,$B$5,$F69,$B$6,T$10,$A69,$B69)</f>
        <v>0</v>
      </c>
      <c r="U69" s="4">
        <f ca="1">_xll.DBRW($B$1,$B$2,$B$7,$B$3,$B$4,$B$5,$F69,$B$6,U$10,$A69,$B69)</f>
        <v>0</v>
      </c>
      <c r="V69" s="4">
        <f ca="1">_xll.DBRW($B$1,$B$2,$B$7,$B$3,$B$4,$B$5,$F69,$B$6,V$10,$A69,$B69)</f>
        <v>0</v>
      </c>
      <c r="W69" s="4">
        <f ca="1">_xll.DBRW($B$1,$B$2,$B$7,$B$3,$B$4,$B$5,$F69,$B$6,W$10,$A69,$B69)</f>
        <v>0</v>
      </c>
      <c r="X69" s="4">
        <f ca="1">_xll.DBRW($B$1,$B$2,$B$7,$B$3,$B$4,$B$5,$F69,$B$6,X$10,$A69,$B69)</f>
        <v>0</v>
      </c>
      <c r="Y69" s="4">
        <f ca="1">_xll.DBRW($B$1,$B$2,$B$7,$B$3,$B$4,$B$5,$F69,$B$6,Y$10,$A69,$B69)</f>
        <v>0</v>
      </c>
      <c r="Z69" s="4">
        <f ca="1">_xll.DBRW($B$1,$B$2,$B$7,$B$3,$B$4,$B$5,$F69,$B$6,Z$10,$A69,$B69)</f>
        <v>0</v>
      </c>
      <c r="AA69" s="4">
        <f ca="1">_xll.DBRW($B$1,$B$2,$B$7,$B$3,$B$4,$B$5,$F69,$B$6,AA$10,$A69,$B69)</f>
        <v>0</v>
      </c>
      <c r="AB69" s="4">
        <f ca="1">_xll.DBRW($B$1,$B$2,$B$7,$B$3,$B$4,$B$5,$F69,$B$6,AB$10,$A69,$B69)</f>
        <v>0</v>
      </c>
      <c r="AC69" s="4">
        <f ca="1">_xll.DBRW($B$1,$B$2,$B$7,$B$3,$B$4,$B$5,$F69,$B$6,AC$10,$A69,$B69)</f>
        <v>0</v>
      </c>
      <c r="AD69" s="4">
        <f ca="1">_xll.DBRW($B$1,$B$2,$B$7,$B$3,$B$4,$B$5,$F69,$B$6,AD$10,$A69,$B69)</f>
        <v>0</v>
      </c>
      <c r="AE69" s="4">
        <f ca="1">_xll.DBRW($B$1,$B$2,$B$7,$B$3,$B$4,$B$5,$F69,$B$6,AE$10,$A69,$B69)</f>
        <v>0</v>
      </c>
    </row>
    <row r="70" spans="1:31">
      <c r="A70" s="1" t="s">
        <v>150</v>
      </c>
      <c r="B70" s="5" t="s">
        <v>56</v>
      </c>
      <c r="C70" s="5" t="s">
        <v>53</v>
      </c>
      <c r="D70" s="5" t="s">
        <v>54</v>
      </c>
      <c r="E70" s="5" t="s">
        <v>21</v>
      </c>
      <c r="F70" s="5" t="s">
        <v>312</v>
      </c>
      <c r="G70" s="6"/>
      <c r="H70" s="6"/>
      <c r="I70" s="6"/>
      <c r="J70" s="6"/>
      <c r="K70" s="6"/>
      <c r="L70" s="4">
        <f ca="1">_xll.DBRW($B$1,$B$2,$B$7,$B$3,$B$4,$B$5,$F70,$B$6,L$10,$A70,$B70)</f>
        <v>0</v>
      </c>
      <c r="M70" s="4">
        <f ca="1">_xll.DBRW($B$1,$B$2,$B$7,$B$3,$B$4,$B$5,$F70,$B$6,M$10,$A70,$B70)</f>
        <v>0</v>
      </c>
      <c r="N70" s="4">
        <f ca="1">_xll.DBRW($B$1,$B$2,$B$7,$B$3,$B$4,$B$5,$F70,$B$6,N$10,$A70,$B70)</f>
        <v>0</v>
      </c>
      <c r="O70" s="4">
        <f ca="1">_xll.DBRW($B$1,$B$2,$B$7,$B$3,$B$4,$B$5,$F70,$B$6,O$10,$A70,$B70)</f>
        <v>0</v>
      </c>
      <c r="P70" s="4">
        <f ca="1">_xll.DBRW($B$1,$B$2,$B$7,$B$3,$B$4,$B$5,$F70,$B$6,P$10,$A70,$B70)</f>
        <v>0</v>
      </c>
      <c r="Q70" s="4">
        <f ca="1">_xll.DBRW($B$1,$B$2,$B$7,$B$3,$B$4,$B$5,$F70,$B$6,Q$10,$A70,$B70)</f>
        <v>0</v>
      </c>
      <c r="R70" s="4">
        <f ca="1">_xll.DBRW($B$1,$B$2,$B$7,$B$3,$B$4,$B$5,$F70,$B$6,R$10,$A70,$B70)</f>
        <v>0</v>
      </c>
      <c r="S70" s="4">
        <f ca="1">_xll.DBRW($B$1,$B$2,$B$7,$B$3,$B$4,$B$5,$F70,$B$6,S$10,$A70,$B70)</f>
        <v>0</v>
      </c>
      <c r="T70" s="4">
        <f ca="1">_xll.DBRW($B$1,$B$2,$B$7,$B$3,$B$4,$B$5,$F70,$B$6,T$10,$A70,$B70)</f>
        <v>0</v>
      </c>
      <c r="U70" s="4">
        <f ca="1">_xll.DBRW($B$1,$B$2,$B$7,$B$3,$B$4,$B$5,$F70,$B$6,U$10,$A70,$B70)</f>
        <v>0</v>
      </c>
      <c r="V70" s="4">
        <f ca="1">_xll.DBRW($B$1,$B$2,$B$7,$B$3,$B$4,$B$5,$F70,$B$6,V$10,$A70,$B70)</f>
        <v>0</v>
      </c>
      <c r="W70" s="4">
        <f ca="1">_xll.DBRW($B$1,$B$2,$B$7,$B$3,$B$4,$B$5,$F70,$B$6,W$10,$A70,$B70)</f>
        <v>0</v>
      </c>
      <c r="X70" s="4">
        <f ca="1">_xll.DBRW($B$1,$B$2,$B$7,$B$3,$B$4,$B$5,$F70,$B$6,X$10,$A70,$B70)</f>
        <v>0</v>
      </c>
      <c r="Y70" s="4">
        <f ca="1">_xll.DBRW($B$1,$B$2,$B$7,$B$3,$B$4,$B$5,$F70,$B$6,Y$10,$A70,$B70)</f>
        <v>0</v>
      </c>
      <c r="Z70" s="4">
        <f ca="1">_xll.DBRW($B$1,$B$2,$B$7,$B$3,$B$4,$B$5,$F70,$B$6,Z$10,$A70,$B70)</f>
        <v>0</v>
      </c>
      <c r="AA70" s="4">
        <f ca="1">_xll.DBRW($B$1,$B$2,$B$7,$B$3,$B$4,$B$5,$F70,$B$6,AA$10,$A70,$B70)</f>
        <v>0</v>
      </c>
      <c r="AB70" s="4">
        <f ca="1">_xll.DBRW($B$1,$B$2,$B$7,$B$3,$B$4,$B$5,$F70,$B$6,AB$10,$A70,$B70)</f>
        <v>0</v>
      </c>
      <c r="AC70" s="4">
        <f ca="1">_xll.DBRW($B$1,$B$2,$B$7,$B$3,$B$4,$B$5,$F70,$B$6,AC$10,$A70,$B70)</f>
        <v>0</v>
      </c>
      <c r="AD70" s="4">
        <f ca="1">_xll.DBRW($B$1,$B$2,$B$7,$B$3,$B$4,$B$5,$F70,$B$6,AD$10,$A70,$B70)</f>
        <v>0</v>
      </c>
      <c r="AE70" s="4">
        <f ca="1">_xll.DBRW($B$1,$B$2,$B$7,$B$3,$B$4,$B$5,$F70,$B$6,AE$10,$A70,$B70)</f>
        <v>0</v>
      </c>
    </row>
    <row r="71" spans="1:31">
      <c r="A71" s="1" t="s">
        <v>150</v>
      </c>
      <c r="B71" s="5" t="s">
        <v>217</v>
      </c>
      <c r="C71" s="5" t="s">
        <v>159</v>
      </c>
      <c r="D71" s="5" t="s">
        <v>21</v>
      </c>
      <c r="E71" s="5" t="s">
        <v>38</v>
      </c>
      <c r="F71" s="5" t="s">
        <v>312</v>
      </c>
      <c r="G71" s="6"/>
      <c r="H71" s="6"/>
      <c r="I71" s="6"/>
      <c r="J71" s="6"/>
      <c r="K71" s="6"/>
      <c r="L71" s="4">
        <f ca="1">_xll.DBRW($B$1,$B$2,$B$7,$B$3,$B$4,$B$5,$F71,$B$6,L$10,$A71,$B71)</f>
        <v>8</v>
      </c>
      <c r="M71" s="4">
        <f ca="1">_xll.DBRW($B$1,$B$2,$B$7,$B$3,$B$4,$B$5,$F71,$B$6,M$10,$A71,$B71)</f>
        <v>25</v>
      </c>
      <c r="N71" s="4">
        <f ca="1">_xll.DBRW($B$1,$B$2,$B$7,$B$3,$B$4,$B$5,$F71,$B$6,N$10,$A71,$B71)</f>
        <v>26</v>
      </c>
      <c r="O71" s="4">
        <f ca="1">_xll.DBRW($B$1,$B$2,$B$7,$B$3,$B$4,$B$5,$F71,$B$6,O$10,$A71,$B71)</f>
        <v>2</v>
      </c>
      <c r="P71" s="4">
        <f ca="1">_xll.DBRW($B$1,$B$2,$B$7,$B$3,$B$4,$B$5,$F71,$B$6,P$10,$A71,$B71)</f>
        <v>0</v>
      </c>
      <c r="Q71" s="4">
        <f ca="1">_xll.DBRW($B$1,$B$2,$B$7,$B$3,$B$4,$B$5,$F71,$B$6,Q$10,$A71,$B71)</f>
        <v>0</v>
      </c>
      <c r="R71" s="4">
        <f ca="1">_xll.DBRW($B$1,$B$2,$B$7,$B$3,$B$4,$B$5,$F71,$B$6,R$10,$A71,$B71)</f>
        <v>0</v>
      </c>
      <c r="S71" s="4">
        <f ca="1">_xll.DBRW($B$1,$B$2,$B$7,$B$3,$B$4,$B$5,$F71,$B$6,S$10,$A71,$B71)</f>
        <v>0</v>
      </c>
      <c r="T71" s="4">
        <f ca="1">_xll.DBRW($B$1,$B$2,$B$7,$B$3,$B$4,$B$5,$F71,$B$6,T$10,$A71,$B71)</f>
        <v>0</v>
      </c>
      <c r="U71" s="4">
        <f ca="1">_xll.DBRW($B$1,$B$2,$B$7,$B$3,$B$4,$B$5,$F71,$B$6,U$10,$A71,$B71)</f>
        <v>0</v>
      </c>
      <c r="V71" s="4">
        <f ca="1">_xll.DBRW($B$1,$B$2,$B$7,$B$3,$B$4,$B$5,$F71,$B$6,V$10,$A71,$B71)</f>
        <v>1</v>
      </c>
      <c r="W71" s="4">
        <f ca="1">_xll.DBRW($B$1,$B$2,$B$7,$B$3,$B$4,$B$5,$F71,$B$6,W$10,$A71,$B71)</f>
        <v>4</v>
      </c>
      <c r="X71" s="4">
        <f ca="1">_xll.DBRW($B$1,$B$2,$B$7,$B$3,$B$4,$B$5,$F71,$B$6,X$10,$A71,$B71)</f>
        <v>4</v>
      </c>
      <c r="Y71" s="4">
        <f ca="1">_xll.DBRW($B$1,$B$2,$B$7,$B$3,$B$4,$B$5,$F71,$B$6,Y$10,$A71,$B71)</f>
        <v>5</v>
      </c>
      <c r="Z71" s="4">
        <f ca="1">_xll.DBRW($B$1,$B$2,$B$7,$B$3,$B$4,$B$5,$F71,$B$6,Z$10,$A71,$B71)</f>
        <v>4</v>
      </c>
      <c r="AA71" s="4">
        <f ca="1">_xll.DBRW($B$1,$B$2,$B$7,$B$3,$B$4,$B$5,$F71,$B$6,AA$10,$A71,$B71)</f>
        <v>5</v>
      </c>
      <c r="AB71" s="4">
        <f ca="1">_xll.DBRW($B$1,$B$2,$B$7,$B$3,$B$4,$B$5,$F71,$B$6,AB$10,$A71,$B71)</f>
        <v>4</v>
      </c>
      <c r="AC71" s="4">
        <f ca="1">_xll.DBRW($B$1,$B$2,$B$7,$B$3,$B$4,$B$5,$F71,$B$6,AC$10,$A71,$B71)</f>
        <v>3</v>
      </c>
      <c r="AD71" s="4">
        <f ca="1">_xll.DBRW($B$1,$B$2,$B$7,$B$3,$B$4,$B$5,$F71,$B$6,AD$10,$A71,$B71)</f>
        <v>0</v>
      </c>
      <c r="AE71" s="4">
        <f ca="1">_xll.DBRW($B$1,$B$2,$B$7,$B$3,$B$4,$B$5,$F71,$B$6,AE$10,$A71,$B71)</f>
        <v>0</v>
      </c>
    </row>
    <row r="72" spans="1:31">
      <c r="A72" s="1" t="s">
        <v>150</v>
      </c>
      <c r="B72" s="5" t="s">
        <v>44</v>
      </c>
      <c r="C72" s="5" t="s">
        <v>37</v>
      </c>
      <c r="D72" s="5" t="s">
        <v>38</v>
      </c>
      <c r="E72" s="5" t="s">
        <v>21</v>
      </c>
      <c r="F72" s="5" t="s">
        <v>312</v>
      </c>
      <c r="G72" s="6"/>
      <c r="H72" s="6"/>
      <c r="I72" s="6"/>
      <c r="J72" s="6"/>
      <c r="K72" s="6"/>
      <c r="L72" s="4">
        <f ca="1">_xll.DBRW($B$1,$B$2,$B$7,$B$3,$B$4,$B$5,$F72,$B$6,L$10,$A72,$B72)</f>
        <v>3</v>
      </c>
      <c r="M72" s="4">
        <f ca="1">_xll.DBRW($B$1,$B$2,$B$7,$B$3,$B$4,$B$5,$F72,$B$6,M$10,$A72,$B72)</f>
        <v>4</v>
      </c>
      <c r="N72" s="4">
        <f ca="1">_xll.DBRW($B$1,$B$2,$B$7,$B$3,$B$4,$B$5,$F72,$B$6,N$10,$A72,$B72)</f>
        <v>1</v>
      </c>
      <c r="O72" s="4">
        <f ca="1">_xll.DBRW($B$1,$B$2,$B$7,$B$3,$B$4,$B$5,$F72,$B$6,O$10,$A72,$B72)</f>
        <v>3</v>
      </c>
      <c r="P72" s="4">
        <f ca="1">_xll.DBRW($B$1,$B$2,$B$7,$B$3,$B$4,$B$5,$F72,$B$6,P$10,$A72,$B72)</f>
        <v>1</v>
      </c>
      <c r="Q72" s="4">
        <f ca="1">_xll.DBRW($B$1,$B$2,$B$7,$B$3,$B$4,$B$5,$F72,$B$6,Q$10,$A72,$B72)</f>
        <v>2</v>
      </c>
      <c r="R72" s="4">
        <f ca="1">_xll.DBRW($B$1,$B$2,$B$7,$B$3,$B$4,$B$5,$F72,$B$6,R$10,$A72,$B72)</f>
        <v>0</v>
      </c>
      <c r="S72" s="4">
        <f ca="1">_xll.DBRW($B$1,$B$2,$B$7,$B$3,$B$4,$B$5,$F72,$B$6,S$10,$A72,$B72)</f>
        <v>0</v>
      </c>
      <c r="T72" s="4">
        <f ca="1">_xll.DBRW($B$1,$B$2,$B$7,$B$3,$B$4,$B$5,$F72,$B$6,T$10,$A72,$B72)</f>
        <v>0</v>
      </c>
      <c r="U72" s="4">
        <f ca="1">_xll.DBRW($B$1,$B$2,$B$7,$B$3,$B$4,$B$5,$F72,$B$6,U$10,$A72,$B72)</f>
        <v>0</v>
      </c>
      <c r="V72" s="4">
        <f ca="1">_xll.DBRW($B$1,$B$2,$B$7,$B$3,$B$4,$B$5,$F72,$B$6,V$10,$A72,$B72)</f>
        <v>1</v>
      </c>
      <c r="W72" s="4">
        <f ca="1">_xll.DBRW($B$1,$B$2,$B$7,$B$3,$B$4,$B$5,$F72,$B$6,W$10,$A72,$B72)</f>
        <v>4</v>
      </c>
      <c r="X72" s="4">
        <f ca="1">_xll.DBRW($B$1,$B$2,$B$7,$B$3,$B$4,$B$5,$F72,$B$6,X$10,$A72,$B72)</f>
        <v>4</v>
      </c>
      <c r="Y72" s="4">
        <f ca="1">_xll.DBRW($B$1,$B$2,$B$7,$B$3,$B$4,$B$5,$F72,$B$6,Y$10,$A72,$B72)</f>
        <v>5</v>
      </c>
      <c r="Z72" s="4">
        <f ca="1">_xll.DBRW($B$1,$B$2,$B$7,$B$3,$B$4,$B$5,$F72,$B$6,Z$10,$A72,$B72)</f>
        <v>4</v>
      </c>
      <c r="AA72" s="4">
        <f ca="1">_xll.DBRW($B$1,$B$2,$B$7,$B$3,$B$4,$B$5,$F72,$B$6,AA$10,$A72,$B72)</f>
        <v>5</v>
      </c>
      <c r="AB72" s="4">
        <f ca="1">_xll.DBRW($B$1,$B$2,$B$7,$B$3,$B$4,$B$5,$F72,$B$6,AB$10,$A72,$B72)</f>
        <v>4</v>
      </c>
      <c r="AC72" s="4">
        <f ca="1">_xll.DBRW($B$1,$B$2,$B$7,$B$3,$B$4,$B$5,$F72,$B$6,AC$10,$A72,$B72)</f>
        <v>3</v>
      </c>
      <c r="AD72" s="4">
        <f ca="1">_xll.DBRW($B$1,$B$2,$B$7,$B$3,$B$4,$B$5,$F72,$B$6,AD$10,$A72,$B72)</f>
        <v>0</v>
      </c>
      <c r="AE72" s="4">
        <f ca="1">_xll.DBRW($B$1,$B$2,$B$7,$B$3,$B$4,$B$5,$F72,$B$6,AE$10,$A72,$B72)</f>
        <v>0</v>
      </c>
    </row>
    <row r="73" spans="1:31">
      <c r="A73" s="1" t="s">
        <v>150</v>
      </c>
      <c r="B73" s="5" t="s">
        <v>218</v>
      </c>
      <c r="C73" s="5" t="s">
        <v>219</v>
      </c>
      <c r="D73" s="5" t="s">
        <v>21</v>
      </c>
      <c r="E73" s="5" t="s">
        <v>49</v>
      </c>
      <c r="F73" s="5" t="s">
        <v>312</v>
      </c>
      <c r="G73" s="6"/>
      <c r="H73" s="6"/>
      <c r="I73" s="6"/>
      <c r="J73" s="6"/>
      <c r="K73" s="6"/>
      <c r="L73" s="4">
        <f ca="1">_xll.DBRW($B$1,$B$2,$B$7,$B$3,$B$4,$B$5,$F73,$B$6,L$10,$A73,$B73)</f>
        <v>0</v>
      </c>
      <c r="M73" s="4">
        <f ca="1">_xll.DBRW($B$1,$B$2,$B$7,$B$3,$B$4,$B$5,$F73,$B$6,M$10,$A73,$B73)</f>
        <v>0</v>
      </c>
      <c r="N73" s="4">
        <f ca="1">_xll.DBRW($B$1,$B$2,$B$7,$B$3,$B$4,$B$5,$F73,$B$6,N$10,$A73,$B73)</f>
        <v>0</v>
      </c>
      <c r="O73" s="4">
        <f ca="1">_xll.DBRW($B$1,$B$2,$B$7,$B$3,$B$4,$B$5,$F73,$B$6,O$10,$A73,$B73)</f>
        <v>0</v>
      </c>
      <c r="P73" s="4">
        <f ca="1">_xll.DBRW($B$1,$B$2,$B$7,$B$3,$B$4,$B$5,$F73,$B$6,P$10,$A73,$B73)</f>
        <v>0</v>
      </c>
      <c r="Q73" s="4">
        <f ca="1">_xll.DBRW($B$1,$B$2,$B$7,$B$3,$B$4,$B$5,$F73,$B$6,Q$10,$A73,$B73)</f>
        <v>0</v>
      </c>
      <c r="R73" s="4">
        <f ca="1">_xll.DBRW($B$1,$B$2,$B$7,$B$3,$B$4,$B$5,$F73,$B$6,R$10,$A73,$B73)</f>
        <v>0</v>
      </c>
      <c r="S73" s="4">
        <f ca="1">_xll.DBRW($B$1,$B$2,$B$7,$B$3,$B$4,$B$5,$F73,$B$6,S$10,$A73,$B73)</f>
        <v>0</v>
      </c>
      <c r="T73" s="4">
        <f ca="1">_xll.DBRW($B$1,$B$2,$B$7,$B$3,$B$4,$B$5,$F73,$B$6,T$10,$A73,$B73)</f>
        <v>0</v>
      </c>
      <c r="U73" s="4">
        <f ca="1">_xll.DBRW($B$1,$B$2,$B$7,$B$3,$B$4,$B$5,$F73,$B$6,U$10,$A73,$B73)</f>
        <v>0</v>
      </c>
      <c r="V73" s="4">
        <f ca="1">_xll.DBRW($B$1,$B$2,$B$7,$B$3,$B$4,$B$5,$F73,$B$6,V$10,$A73,$B73)</f>
        <v>0</v>
      </c>
      <c r="W73" s="4">
        <f ca="1">_xll.DBRW($B$1,$B$2,$B$7,$B$3,$B$4,$B$5,$F73,$B$6,W$10,$A73,$B73)</f>
        <v>0</v>
      </c>
      <c r="X73" s="4">
        <f ca="1">_xll.DBRW($B$1,$B$2,$B$7,$B$3,$B$4,$B$5,$F73,$B$6,X$10,$A73,$B73)</f>
        <v>0</v>
      </c>
      <c r="Y73" s="4">
        <f ca="1">_xll.DBRW($B$1,$B$2,$B$7,$B$3,$B$4,$B$5,$F73,$B$6,Y$10,$A73,$B73)</f>
        <v>0</v>
      </c>
      <c r="Z73" s="4">
        <f ca="1">_xll.DBRW($B$1,$B$2,$B$7,$B$3,$B$4,$B$5,$F73,$B$6,Z$10,$A73,$B73)</f>
        <v>0</v>
      </c>
      <c r="AA73" s="4">
        <f ca="1">_xll.DBRW($B$1,$B$2,$B$7,$B$3,$B$4,$B$5,$F73,$B$6,AA$10,$A73,$B73)</f>
        <v>0</v>
      </c>
      <c r="AB73" s="4">
        <f ca="1">_xll.DBRW($B$1,$B$2,$B$7,$B$3,$B$4,$B$5,$F73,$B$6,AB$10,$A73,$B73)</f>
        <v>0</v>
      </c>
      <c r="AC73" s="4">
        <f ca="1">_xll.DBRW($B$1,$B$2,$B$7,$B$3,$B$4,$B$5,$F73,$B$6,AC$10,$A73,$B73)</f>
        <v>0</v>
      </c>
      <c r="AD73" s="4">
        <f ca="1">_xll.DBRW($B$1,$B$2,$B$7,$B$3,$B$4,$B$5,$F73,$B$6,AD$10,$A73,$B73)</f>
        <v>0</v>
      </c>
      <c r="AE73" s="4">
        <f ca="1">_xll.DBRW($B$1,$B$2,$B$7,$B$3,$B$4,$B$5,$F73,$B$6,AE$10,$A73,$B73)</f>
        <v>0</v>
      </c>
    </row>
    <row r="74" spans="1:31">
      <c r="A74" s="1" t="s">
        <v>150</v>
      </c>
      <c r="B74" s="5" t="s">
        <v>47</v>
      </c>
      <c r="C74" s="5" t="s">
        <v>48</v>
      </c>
      <c r="D74" s="5" t="s">
        <v>49</v>
      </c>
      <c r="E74" s="5" t="s">
        <v>21</v>
      </c>
      <c r="F74" s="5" t="s">
        <v>312</v>
      </c>
      <c r="G74" s="6"/>
      <c r="H74" s="6"/>
      <c r="I74" s="6"/>
      <c r="J74" s="6"/>
      <c r="K74" s="6"/>
      <c r="L74" s="4">
        <f ca="1">_xll.DBRW($B$1,$B$2,$B$7,$B$3,$B$4,$B$5,$F74,$B$6,L$10,$A74,$B74)</f>
        <v>0</v>
      </c>
      <c r="M74" s="4">
        <f ca="1">_xll.DBRW($B$1,$B$2,$B$7,$B$3,$B$4,$B$5,$F74,$B$6,M$10,$A74,$B74)</f>
        <v>0</v>
      </c>
      <c r="N74" s="4">
        <f ca="1">_xll.DBRW($B$1,$B$2,$B$7,$B$3,$B$4,$B$5,$F74,$B$6,N$10,$A74,$B74)</f>
        <v>0</v>
      </c>
      <c r="O74" s="4">
        <f ca="1">_xll.DBRW($B$1,$B$2,$B$7,$B$3,$B$4,$B$5,$F74,$B$6,O$10,$A74,$B74)</f>
        <v>0</v>
      </c>
      <c r="P74" s="4">
        <f ca="1">_xll.DBRW($B$1,$B$2,$B$7,$B$3,$B$4,$B$5,$F74,$B$6,P$10,$A74,$B74)</f>
        <v>0</v>
      </c>
      <c r="Q74" s="4">
        <f ca="1">_xll.DBRW($B$1,$B$2,$B$7,$B$3,$B$4,$B$5,$F74,$B$6,Q$10,$A74,$B74)</f>
        <v>0</v>
      </c>
      <c r="R74" s="4">
        <f ca="1">_xll.DBRW($B$1,$B$2,$B$7,$B$3,$B$4,$B$5,$F74,$B$6,R$10,$A74,$B74)</f>
        <v>0</v>
      </c>
      <c r="S74" s="4">
        <f ca="1">_xll.DBRW($B$1,$B$2,$B$7,$B$3,$B$4,$B$5,$F74,$B$6,S$10,$A74,$B74)</f>
        <v>0</v>
      </c>
      <c r="T74" s="4">
        <f ca="1">_xll.DBRW($B$1,$B$2,$B$7,$B$3,$B$4,$B$5,$F74,$B$6,T$10,$A74,$B74)</f>
        <v>0</v>
      </c>
      <c r="U74" s="4">
        <f ca="1">_xll.DBRW($B$1,$B$2,$B$7,$B$3,$B$4,$B$5,$F74,$B$6,U$10,$A74,$B74)</f>
        <v>0</v>
      </c>
      <c r="V74" s="4">
        <f ca="1">_xll.DBRW($B$1,$B$2,$B$7,$B$3,$B$4,$B$5,$F74,$B$6,V$10,$A74,$B74)</f>
        <v>0</v>
      </c>
      <c r="W74" s="4">
        <f ca="1">_xll.DBRW($B$1,$B$2,$B$7,$B$3,$B$4,$B$5,$F74,$B$6,W$10,$A74,$B74)</f>
        <v>0</v>
      </c>
      <c r="X74" s="4">
        <f ca="1">_xll.DBRW($B$1,$B$2,$B$7,$B$3,$B$4,$B$5,$F74,$B$6,X$10,$A74,$B74)</f>
        <v>0</v>
      </c>
      <c r="Y74" s="4">
        <f ca="1">_xll.DBRW($B$1,$B$2,$B$7,$B$3,$B$4,$B$5,$F74,$B$6,Y$10,$A74,$B74)</f>
        <v>0</v>
      </c>
      <c r="Z74" s="4">
        <f ca="1">_xll.DBRW($B$1,$B$2,$B$7,$B$3,$B$4,$B$5,$F74,$B$6,Z$10,$A74,$B74)</f>
        <v>0</v>
      </c>
      <c r="AA74" s="4">
        <f ca="1">_xll.DBRW($B$1,$B$2,$B$7,$B$3,$B$4,$B$5,$F74,$B$6,AA$10,$A74,$B74)</f>
        <v>0</v>
      </c>
      <c r="AB74" s="4">
        <f ca="1">_xll.DBRW($B$1,$B$2,$B$7,$B$3,$B$4,$B$5,$F74,$B$6,AB$10,$A74,$B74)</f>
        <v>0</v>
      </c>
      <c r="AC74" s="4">
        <f ca="1">_xll.DBRW($B$1,$B$2,$B$7,$B$3,$B$4,$B$5,$F74,$B$6,AC$10,$A74,$B74)</f>
        <v>0</v>
      </c>
      <c r="AD74" s="4">
        <f ca="1">_xll.DBRW($B$1,$B$2,$B$7,$B$3,$B$4,$B$5,$F74,$B$6,AD$10,$A74,$B74)</f>
        <v>0</v>
      </c>
      <c r="AE74" s="4">
        <f ca="1">_xll.DBRW($B$1,$B$2,$B$7,$B$3,$B$4,$B$5,$F74,$B$6,AE$10,$A74,$B74)</f>
        <v>0</v>
      </c>
    </row>
    <row r="75" spans="1:31">
      <c r="A75" s="1" t="s">
        <v>150</v>
      </c>
      <c r="B75" s="5" t="s">
        <v>220</v>
      </c>
      <c r="C75" s="5" t="s">
        <v>166</v>
      </c>
      <c r="D75" s="5" t="s">
        <v>21</v>
      </c>
      <c r="E75" s="5" t="s">
        <v>31</v>
      </c>
      <c r="F75" s="5" t="s">
        <v>312</v>
      </c>
      <c r="G75" s="6"/>
      <c r="H75" s="6"/>
      <c r="I75" s="6"/>
      <c r="J75" s="6"/>
      <c r="K75" s="6"/>
      <c r="L75" s="4">
        <f ca="1">_xll.DBRW($B$1,$B$2,$B$7,$B$3,$B$4,$B$5,$F75,$B$6,L$10,$A75,$B75)</f>
        <v>22</v>
      </c>
      <c r="M75" s="4">
        <f ca="1">_xll.DBRW($B$1,$B$2,$B$7,$B$3,$B$4,$B$5,$F75,$B$6,M$10,$A75,$B75)</f>
        <v>17</v>
      </c>
      <c r="N75" s="4">
        <f ca="1">_xll.DBRW($B$1,$B$2,$B$7,$B$3,$B$4,$B$5,$F75,$B$6,N$10,$A75,$B75)</f>
        <v>25</v>
      </c>
      <c r="O75" s="4">
        <f ca="1">_xll.DBRW($B$1,$B$2,$B$7,$B$3,$B$4,$B$5,$F75,$B$6,O$10,$A75,$B75)</f>
        <v>17</v>
      </c>
      <c r="P75" s="4">
        <f ca="1">_xll.DBRW($B$1,$B$2,$B$7,$B$3,$B$4,$B$5,$F75,$B$6,P$10,$A75,$B75)</f>
        <v>4</v>
      </c>
      <c r="Q75" s="4">
        <f ca="1">_xll.DBRW($B$1,$B$2,$B$7,$B$3,$B$4,$B$5,$F75,$B$6,Q$10,$A75,$B75)</f>
        <v>2</v>
      </c>
      <c r="R75" s="4">
        <f ca="1">_xll.DBRW($B$1,$B$2,$B$7,$B$3,$B$4,$B$5,$F75,$B$6,R$10,$A75,$B75)</f>
        <v>0</v>
      </c>
      <c r="S75" s="4">
        <f ca="1">_xll.DBRW($B$1,$B$2,$B$7,$B$3,$B$4,$B$5,$F75,$B$6,S$10,$A75,$B75)</f>
        <v>0</v>
      </c>
      <c r="T75" s="4">
        <f ca="1">_xll.DBRW($B$1,$B$2,$B$7,$B$3,$B$4,$B$5,$F75,$B$6,T$10,$A75,$B75)</f>
        <v>0</v>
      </c>
      <c r="U75" s="4">
        <f ca="1">_xll.DBRW($B$1,$B$2,$B$7,$B$3,$B$4,$B$5,$F75,$B$6,U$10,$A75,$B75)</f>
        <v>0</v>
      </c>
      <c r="V75" s="4">
        <f ca="1">_xll.DBRW($B$1,$B$2,$B$7,$B$3,$B$4,$B$5,$F75,$B$6,V$10,$A75,$B75)</f>
        <v>1</v>
      </c>
      <c r="W75" s="4">
        <f ca="1">_xll.DBRW($B$1,$B$2,$B$7,$B$3,$B$4,$B$5,$F75,$B$6,W$10,$A75,$B75)</f>
        <v>9</v>
      </c>
      <c r="X75" s="4">
        <f ca="1">_xll.DBRW($B$1,$B$2,$B$7,$B$3,$B$4,$B$5,$F75,$B$6,X$10,$A75,$B75)</f>
        <v>8</v>
      </c>
      <c r="Y75" s="4">
        <f ca="1">_xll.DBRW($B$1,$B$2,$B$7,$B$3,$B$4,$B$5,$F75,$B$6,Y$10,$A75,$B75)</f>
        <v>9</v>
      </c>
      <c r="Z75" s="4">
        <f ca="1">_xll.DBRW($B$1,$B$2,$B$7,$B$3,$B$4,$B$5,$F75,$B$6,Z$10,$A75,$B75)</f>
        <v>9</v>
      </c>
      <c r="AA75" s="4">
        <f ca="1">_xll.DBRW($B$1,$B$2,$B$7,$B$3,$B$4,$B$5,$F75,$B$6,AA$10,$A75,$B75)</f>
        <v>9</v>
      </c>
      <c r="AB75" s="4">
        <f ca="1">_xll.DBRW($B$1,$B$2,$B$7,$B$3,$B$4,$B$5,$F75,$B$6,AB$10,$A75,$B75)</f>
        <v>8</v>
      </c>
      <c r="AC75" s="4">
        <f ca="1">_xll.DBRW($B$1,$B$2,$B$7,$B$3,$B$4,$B$5,$F75,$B$6,AC$10,$A75,$B75)</f>
        <v>7</v>
      </c>
      <c r="AD75" s="4">
        <f ca="1">_xll.DBRW($B$1,$B$2,$B$7,$B$3,$B$4,$B$5,$F75,$B$6,AD$10,$A75,$B75)</f>
        <v>0</v>
      </c>
      <c r="AE75" s="4">
        <f ca="1">_xll.DBRW($B$1,$B$2,$B$7,$B$3,$B$4,$B$5,$F75,$B$6,AE$10,$A75,$B75)</f>
        <v>0</v>
      </c>
    </row>
    <row r="76" spans="1:31">
      <c r="A76" s="1" t="s">
        <v>150</v>
      </c>
      <c r="B76" s="5" t="s">
        <v>32</v>
      </c>
      <c r="C76" s="5" t="s">
        <v>30</v>
      </c>
      <c r="D76" s="5" t="s">
        <v>31</v>
      </c>
      <c r="E76" s="5" t="s">
        <v>21</v>
      </c>
      <c r="F76" s="5" t="s">
        <v>312</v>
      </c>
      <c r="G76" s="6"/>
      <c r="H76" s="6"/>
      <c r="I76" s="6"/>
      <c r="J76" s="6"/>
      <c r="K76" s="6"/>
      <c r="L76" s="4">
        <f ca="1">_xll.DBRW($B$1,$B$2,$B$7,$B$3,$B$4,$B$5,$F76,$B$6,L$10,$A76,$B76)</f>
        <v>22</v>
      </c>
      <c r="M76" s="4">
        <f ca="1">_xll.DBRW($B$1,$B$2,$B$7,$B$3,$B$4,$B$5,$F76,$B$6,M$10,$A76,$B76)</f>
        <v>17</v>
      </c>
      <c r="N76" s="4">
        <f ca="1">_xll.DBRW($B$1,$B$2,$B$7,$B$3,$B$4,$B$5,$F76,$B$6,N$10,$A76,$B76)</f>
        <v>25</v>
      </c>
      <c r="O76" s="4">
        <f ca="1">_xll.DBRW($B$1,$B$2,$B$7,$B$3,$B$4,$B$5,$F76,$B$6,O$10,$A76,$B76)</f>
        <v>17</v>
      </c>
      <c r="P76" s="4">
        <f ca="1">_xll.DBRW($B$1,$B$2,$B$7,$B$3,$B$4,$B$5,$F76,$B$6,P$10,$A76,$B76)</f>
        <v>4</v>
      </c>
      <c r="Q76" s="4">
        <f ca="1">_xll.DBRW($B$1,$B$2,$B$7,$B$3,$B$4,$B$5,$F76,$B$6,Q$10,$A76,$B76)</f>
        <v>2</v>
      </c>
      <c r="R76" s="4">
        <f ca="1">_xll.DBRW($B$1,$B$2,$B$7,$B$3,$B$4,$B$5,$F76,$B$6,R$10,$A76,$B76)</f>
        <v>0</v>
      </c>
      <c r="S76" s="4">
        <f ca="1">_xll.DBRW($B$1,$B$2,$B$7,$B$3,$B$4,$B$5,$F76,$B$6,S$10,$A76,$B76)</f>
        <v>0</v>
      </c>
      <c r="T76" s="4">
        <f ca="1">_xll.DBRW($B$1,$B$2,$B$7,$B$3,$B$4,$B$5,$F76,$B$6,T$10,$A76,$B76)</f>
        <v>0</v>
      </c>
      <c r="U76" s="4">
        <f ca="1">_xll.DBRW($B$1,$B$2,$B$7,$B$3,$B$4,$B$5,$F76,$B$6,U$10,$A76,$B76)</f>
        <v>0</v>
      </c>
      <c r="V76" s="4">
        <f ca="1">_xll.DBRW($B$1,$B$2,$B$7,$B$3,$B$4,$B$5,$F76,$B$6,V$10,$A76,$B76)</f>
        <v>1</v>
      </c>
      <c r="W76" s="4">
        <f ca="1">_xll.DBRW($B$1,$B$2,$B$7,$B$3,$B$4,$B$5,$F76,$B$6,W$10,$A76,$B76)</f>
        <v>9</v>
      </c>
      <c r="X76" s="4">
        <f ca="1">_xll.DBRW($B$1,$B$2,$B$7,$B$3,$B$4,$B$5,$F76,$B$6,X$10,$A76,$B76)</f>
        <v>8</v>
      </c>
      <c r="Y76" s="4">
        <f ca="1">_xll.DBRW($B$1,$B$2,$B$7,$B$3,$B$4,$B$5,$F76,$B$6,Y$10,$A76,$B76)</f>
        <v>9</v>
      </c>
      <c r="Z76" s="4">
        <f ca="1">_xll.DBRW($B$1,$B$2,$B$7,$B$3,$B$4,$B$5,$F76,$B$6,Z$10,$A76,$B76)</f>
        <v>9</v>
      </c>
      <c r="AA76" s="4">
        <f ca="1">_xll.DBRW($B$1,$B$2,$B$7,$B$3,$B$4,$B$5,$F76,$B$6,AA$10,$A76,$B76)</f>
        <v>9</v>
      </c>
      <c r="AB76" s="4">
        <f ca="1">_xll.DBRW($B$1,$B$2,$B$7,$B$3,$B$4,$B$5,$F76,$B$6,AB$10,$A76,$B76)</f>
        <v>8</v>
      </c>
      <c r="AC76" s="4">
        <f ca="1">_xll.DBRW($B$1,$B$2,$B$7,$B$3,$B$4,$B$5,$F76,$B$6,AC$10,$A76,$B76)</f>
        <v>7</v>
      </c>
      <c r="AD76" s="4">
        <f ca="1">_xll.DBRW($B$1,$B$2,$B$7,$B$3,$B$4,$B$5,$F76,$B$6,AD$10,$A76,$B76)</f>
        <v>0</v>
      </c>
      <c r="AE76" s="4">
        <f ca="1">_xll.DBRW($B$1,$B$2,$B$7,$B$3,$B$4,$B$5,$F76,$B$6,AE$10,$A76,$B76)</f>
        <v>0</v>
      </c>
    </row>
    <row r="77" spans="1:31">
      <c r="A77" s="1" t="s">
        <v>150</v>
      </c>
      <c r="B77" s="5" t="s">
        <v>221</v>
      </c>
      <c r="C77" s="5" t="s">
        <v>193</v>
      </c>
      <c r="D77" s="5" t="s">
        <v>21</v>
      </c>
      <c r="E77" s="5" t="s">
        <v>194</v>
      </c>
      <c r="F77" s="5" t="s">
        <v>312</v>
      </c>
      <c r="G77" s="6"/>
      <c r="H77" s="6"/>
      <c r="I77" s="6"/>
      <c r="J77" s="6"/>
      <c r="K77" s="6"/>
      <c r="L77" s="4">
        <f ca="1">_xll.DBRW($B$1,$B$2,$B$7,$B$3,$B$4,$B$5,$F77,$B$6,L$10,$A77,$B77)</f>
        <v>0</v>
      </c>
      <c r="M77" s="4">
        <f ca="1">_xll.DBRW($B$1,$B$2,$B$7,$B$3,$B$4,$B$5,$F77,$B$6,M$10,$A77,$B77)</f>
        <v>0</v>
      </c>
      <c r="N77" s="4">
        <f ca="1">_xll.DBRW($B$1,$B$2,$B$7,$B$3,$B$4,$B$5,$F77,$B$6,N$10,$A77,$B77)</f>
        <v>0</v>
      </c>
      <c r="O77" s="4">
        <f ca="1">_xll.DBRW($B$1,$B$2,$B$7,$B$3,$B$4,$B$5,$F77,$B$6,O$10,$A77,$B77)</f>
        <v>0</v>
      </c>
      <c r="P77" s="4">
        <f ca="1">_xll.DBRW($B$1,$B$2,$B$7,$B$3,$B$4,$B$5,$F77,$B$6,P$10,$A77,$B77)</f>
        <v>0</v>
      </c>
      <c r="Q77" s="4">
        <f ca="1">_xll.DBRW($B$1,$B$2,$B$7,$B$3,$B$4,$B$5,$F77,$B$6,Q$10,$A77,$B77)</f>
        <v>0</v>
      </c>
      <c r="R77" s="4">
        <f ca="1">_xll.DBRW($B$1,$B$2,$B$7,$B$3,$B$4,$B$5,$F77,$B$6,R$10,$A77,$B77)</f>
        <v>0</v>
      </c>
      <c r="S77" s="4">
        <f ca="1">_xll.DBRW($B$1,$B$2,$B$7,$B$3,$B$4,$B$5,$F77,$B$6,S$10,$A77,$B77)</f>
        <v>0</v>
      </c>
      <c r="T77" s="4">
        <f ca="1">_xll.DBRW($B$1,$B$2,$B$7,$B$3,$B$4,$B$5,$F77,$B$6,T$10,$A77,$B77)</f>
        <v>0</v>
      </c>
      <c r="U77" s="4">
        <f ca="1">_xll.DBRW($B$1,$B$2,$B$7,$B$3,$B$4,$B$5,$F77,$B$6,U$10,$A77,$B77)</f>
        <v>0</v>
      </c>
      <c r="V77" s="4">
        <f ca="1">_xll.DBRW($B$1,$B$2,$B$7,$B$3,$B$4,$B$5,$F77,$B$6,V$10,$A77,$B77)</f>
        <v>0</v>
      </c>
      <c r="W77" s="4">
        <f ca="1">_xll.DBRW($B$1,$B$2,$B$7,$B$3,$B$4,$B$5,$F77,$B$6,W$10,$A77,$B77)</f>
        <v>0</v>
      </c>
      <c r="X77" s="4">
        <f ca="1">_xll.DBRW($B$1,$B$2,$B$7,$B$3,$B$4,$B$5,$F77,$B$6,X$10,$A77,$B77)</f>
        <v>0</v>
      </c>
      <c r="Y77" s="4">
        <f ca="1">_xll.DBRW($B$1,$B$2,$B$7,$B$3,$B$4,$B$5,$F77,$B$6,Y$10,$A77,$B77)</f>
        <v>0</v>
      </c>
      <c r="Z77" s="4">
        <f ca="1">_xll.DBRW($B$1,$B$2,$B$7,$B$3,$B$4,$B$5,$F77,$B$6,Z$10,$A77,$B77)</f>
        <v>0</v>
      </c>
      <c r="AA77" s="4">
        <f ca="1">_xll.DBRW($B$1,$B$2,$B$7,$B$3,$B$4,$B$5,$F77,$B$6,AA$10,$A77,$B77)</f>
        <v>0</v>
      </c>
      <c r="AB77" s="4">
        <f ca="1">_xll.DBRW($B$1,$B$2,$B$7,$B$3,$B$4,$B$5,$F77,$B$6,AB$10,$A77,$B77)</f>
        <v>0</v>
      </c>
      <c r="AC77" s="4">
        <f ca="1">_xll.DBRW($B$1,$B$2,$B$7,$B$3,$B$4,$B$5,$F77,$B$6,AC$10,$A77,$B77)</f>
        <v>0</v>
      </c>
      <c r="AD77" s="4">
        <f ca="1">_xll.DBRW($B$1,$B$2,$B$7,$B$3,$B$4,$B$5,$F77,$B$6,AD$10,$A77,$B77)</f>
        <v>0</v>
      </c>
      <c r="AE77" s="4">
        <f ca="1">_xll.DBRW($B$1,$B$2,$B$7,$B$3,$B$4,$B$5,$F77,$B$6,AE$10,$A77,$B77)</f>
        <v>0</v>
      </c>
    </row>
    <row r="78" spans="1:31">
      <c r="A78" s="1" t="s">
        <v>150</v>
      </c>
      <c r="B78" s="5" t="s">
        <v>222</v>
      </c>
      <c r="C78" s="5" t="s">
        <v>196</v>
      </c>
      <c r="D78" s="5" t="s">
        <v>194</v>
      </c>
      <c r="E78" s="5" t="s">
        <v>21</v>
      </c>
      <c r="F78" s="5" t="s">
        <v>312</v>
      </c>
      <c r="G78" s="6"/>
      <c r="H78" s="6"/>
      <c r="I78" s="6"/>
      <c r="J78" s="6"/>
      <c r="K78" s="6"/>
      <c r="L78" s="4">
        <f ca="1">_xll.DBRW($B$1,$B$2,$B$7,$B$3,$B$4,$B$5,$F78,$B$6,L$10,$A78,$B78)</f>
        <v>0</v>
      </c>
      <c r="M78" s="4">
        <f ca="1">_xll.DBRW($B$1,$B$2,$B$7,$B$3,$B$4,$B$5,$F78,$B$6,M$10,$A78,$B78)</f>
        <v>0</v>
      </c>
      <c r="N78" s="4">
        <f ca="1">_xll.DBRW($B$1,$B$2,$B$7,$B$3,$B$4,$B$5,$F78,$B$6,N$10,$A78,$B78)</f>
        <v>0</v>
      </c>
      <c r="O78" s="4">
        <f ca="1">_xll.DBRW($B$1,$B$2,$B$7,$B$3,$B$4,$B$5,$F78,$B$6,O$10,$A78,$B78)</f>
        <v>0</v>
      </c>
      <c r="P78" s="4">
        <f ca="1">_xll.DBRW($B$1,$B$2,$B$7,$B$3,$B$4,$B$5,$F78,$B$6,P$10,$A78,$B78)</f>
        <v>0</v>
      </c>
      <c r="Q78" s="4">
        <f ca="1">_xll.DBRW($B$1,$B$2,$B$7,$B$3,$B$4,$B$5,$F78,$B$6,Q$10,$A78,$B78)</f>
        <v>0</v>
      </c>
      <c r="R78" s="4">
        <f ca="1">_xll.DBRW($B$1,$B$2,$B$7,$B$3,$B$4,$B$5,$F78,$B$6,R$10,$A78,$B78)</f>
        <v>0</v>
      </c>
      <c r="S78" s="4">
        <f ca="1">_xll.DBRW($B$1,$B$2,$B$7,$B$3,$B$4,$B$5,$F78,$B$6,S$10,$A78,$B78)</f>
        <v>0</v>
      </c>
      <c r="T78" s="4">
        <f ca="1">_xll.DBRW($B$1,$B$2,$B$7,$B$3,$B$4,$B$5,$F78,$B$6,T$10,$A78,$B78)</f>
        <v>0</v>
      </c>
      <c r="U78" s="4">
        <f ca="1">_xll.DBRW($B$1,$B$2,$B$7,$B$3,$B$4,$B$5,$F78,$B$6,U$10,$A78,$B78)</f>
        <v>0</v>
      </c>
      <c r="V78" s="4">
        <f ca="1">_xll.DBRW($B$1,$B$2,$B$7,$B$3,$B$4,$B$5,$F78,$B$6,V$10,$A78,$B78)</f>
        <v>0</v>
      </c>
      <c r="W78" s="4">
        <f ca="1">_xll.DBRW($B$1,$B$2,$B$7,$B$3,$B$4,$B$5,$F78,$B$6,W$10,$A78,$B78)</f>
        <v>0</v>
      </c>
      <c r="X78" s="4">
        <f ca="1">_xll.DBRW($B$1,$B$2,$B$7,$B$3,$B$4,$B$5,$F78,$B$6,X$10,$A78,$B78)</f>
        <v>0</v>
      </c>
      <c r="Y78" s="4">
        <f ca="1">_xll.DBRW($B$1,$B$2,$B$7,$B$3,$B$4,$B$5,$F78,$B$6,Y$10,$A78,$B78)</f>
        <v>0</v>
      </c>
      <c r="Z78" s="4">
        <f ca="1">_xll.DBRW($B$1,$B$2,$B$7,$B$3,$B$4,$B$5,$F78,$B$6,Z$10,$A78,$B78)</f>
        <v>0</v>
      </c>
      <c r="AA78" s="4">
        <f ca="1">_xll.DBRW($B$1,$B$2,$B$7,$B$3,$B$4,$B$5,$F78,$B$6,AA$10,$A78,$B78)</f>
        <v>0</v>
      </c>
      <c r="AB78" s="4">
        <f ca="1">_xll.DBRW($B$1,$B$2,$B$7,$B$3,$B$4,$B$5,$F78,$B$6,AB$10,$A78,$B78)</f>
        <v>0</v>
      </c>
      <c r="AC78" s="4">
        <f ca="1">_xll.DBRW($B$1,$B$2,$B$7,$B$3,$B$4,$B$5,$F78,$B$6,AC$10,$A78,$B78)</f>
        <v>0</v>
      </c>
      <c r="AD78" s="4">
        <f ca="1">_xll.DBRW($B$1,$B$2,$B$7,$B$3,$B$4,$B$5,$F78,$B$6,AD$10,$A78,$B78)</f>
        <v>0</v>
      </c>
      <c r="AE78" s="4">
        <f ca="1">_xll.DBRW($B$1,$B$2,$B$7,$B$3,$B$4,$B$5,$F78,$B$6,AE$10,$A78,$B78)</f>
        <v>0</v>
      </c>
    </row>
    <row r="79" spans="1:31">
      <c r="A79" s="1" t="s">
        <v>150</v>
      </c>
      <c r="B79" s="5" t="s">
        <v>223</v>
      </c>
      <c r="C79" s="5" t="s">
        <v>193</v>
      </c>
      <c r="D79" s="5" t="s">
        <v>21</v>
      </c>
      <c r="E79" s="5" t="s">
        <v>194</v>
      </c>
      <c r="F79" s="5" t="s">
        <v>312</v>
      </c>
      <c r="G79" s="6"/>
      <c r="H79" s="6"/>
      <c r="I79" s="6"/>
      <c r="J79" s="6"/>
      <c r="K79" s="6"/>
      <c r="L79" s="4">
        <f ca="1">_xll.DBRW($B$1,$B$2,$B$7,$B$3,$B$4,$B$5,$F79,$B$6,L$10,$A79,$B79)</f>
        <v>0</v>
      </c>
      <c r="M79" s="4">
        <f ca="1">_xll.DBRW($B$1,$B$2,$B$7,$B$3,$B$4,$B$5,$F79,$B$6,M$10,$A79,$B79)</f>
        <v>0</v>
      </c>
      <c r="N79" s="4">
        <f ca="1">_xll.DBRW($B$1,$B$2,$B$7,$B$3,$B$4,$B$5,$F79,$B$6,N$10,$A79,$B79)</f>
        <v>0</v>
      </c>
      <c r="O79" s="4">
        <f ca="1">_xll.DBRW($B$1,$B$2,$B$7,$B$3,$B$4,$B$5,$F79,$B$6,O$10,$A79,$B79)</f>
        <v>0</v>
      </c>
      <c r="P79" s="4">
        <f ca="1">_xll.DBRW($B$1,$B$2,$B$7,$B$3,$B$4,$B$5,$F79,$B$6,P$10,$A79,$B79)</f>
        <v>0</v>
      </c>
      <c r="Q79" s="4">
        <f ca="1">_xll.DBRW($B$1,$B$2,$B$7,$B$3,$B$4,$B$5,$F79,$B$6,Q$10,$A79,$B79)</f>
        <v>0</v>
      </c>
      <c r="R79" s="4">
        <f ca="1">_xll.DBRW($B$1,$B$2,$B$7,$B$3,$B$4,$B$5,$F79,$B$6,R$10,$A79,$B79)</f>
        <v>0</v>
      </c>
      <c r="S79" s="4">
        <f ca="1">_xll.DBRW($B$1,$B$2,$B$7,$B$3,$B$4,$B$5,$F79,$B$6,S$10,$A79,$B79)</f>
        <v>0</v>
      </c>
      <c r="T79" s="4">
        <f ca="1">_xll.DBRW($B$1,$B$2,$B$7,$B$3,$B$4,$B$5,$F79,$B$6,T$10,$A79,$B79)</f>
        <v>0</v>
      </c>
      <c r="U79" s="4">
        <f ca="1">_xll.DBRW($B$1,$B$2,$B$7,$B$3,$B$4,$B$5,$F79,$B$6,U$10,$A79,$B79)</f>
        <v>0</v>
      </c>
      <c r="V79" s="4">
        <f ca="1">_xll.DBRW($B$1,$B$2,$B$7,$B$3,$B$4,$B$5,$F79,$B$6,V$10,$A79,$B79)</f>
        <v>0</v>
      </c>
      <c r="W79" s="4">
        <f ca="1">_xll.DBRW($B$1,$B$2,$B$7,$B$3,$B$4,$B$5,$F79,$B$6,W$10,$A79,$B79)</f>
        <v>0</v>
      </c>
      <c r="X79" s="4">
        <f ca="1">_xll.DBRW($B$1,$B$2,$B$7,$B$3,$B$4,$B$5,$F79,$B$6,X$10,$A79,$B79)</f>
        <v>0</v>
      </c>
      <c r="Y79" s="4">
        <f ca="1">_xll.DBRW($B$1,$B$2,$B$7,$B$3,$B$4,$B$5,$F79,$B$6,Y$10,$A79,$B79)</f>
        <v>0</v>
      </c>
      <c r="Z79" s="4">
        <f ca="1">_xll.DBRW($B$1,$B$2,$B$7,$B$3,$B$4,$B$5,$F79,$B$6,Z$10,$A79,$B79)</f>
        <v>0</v>
      </c>
      <c r="AA79" s="4">
        <f ca="1">_xll.DBRW($B$1,$B$2,$B$7,$B$3,$B$4,$B$5,$F79,$B$6,AA$10,$A79,$B79)</f>
        <v>0</v>
      </c>
      <c r="AB79" s="4">
        <f ca="1">_xll.DBRW($B$1,$B$2,$B$7,$B$3,$B$4,$B$5,$F79,$B$6,AB$10,$A79,$B79)</f>
        <v>0</v>
      </c>
      <c r="AC79" s="4">
        <f ca="1">_xll.DBRW($B$1,$B$2,$B$7,$B$3,$B$4,$B$5,$F79,$B$6,AC$10,$A79,$B79)</f>
        <v>0</v>
      </c>
      <c r="AD79" s="4">
        <f ca="1">_xll.DBRW($B$1,$B$2,$B$7,$B$3,$B$4,$B$5,$F79,$B$6,AD$10,$A79,$B79)</f>
        <v>0</v>
      </c>
      <c r="AE79" s="4">
        <f ca="1">_xll.DBRW($B$1,$B$2,$B$7,$B$3,$B$4,$B$5,$F79,$B$6,AE$10,$A79,$B79)</f>
        <v>0</v>
      </c>
    </row>
    <row r="80" spans="1:31">
      <c r="A80" s="1" t="s">
        <v>150</v>
      </c>
      <c r="B80" s="5" t="s">
        <v>224</v>
      </c>
      <c r="C80" s="5" t="s">
        <v>196</v>
      </c>
      <c r="D80" s="5" t="s">
        <v>194</v>
      </c>
      <c r="E80" s="5" t="s">
        <v>21</v>
      </c>
      <c r="F80" s="5" t="s">
        <v>312</v>
      </c>
      <c r="G80" s="6"/>
      <c r="H80" s="6"/>
      <c r="I80" s="6"/>
      <c r="J80" s="6"/>
      <c r="K80" s="6"/>
      <c r="L80" s="4">
        <f ca="1">_xll.DBRW($B$1,$B$2,$B$7,$B$3,$B$4,$B$5,$F80,$B$6,L$10,$A80,$B80)</f>
        <v>0</v>
      </c>
      <c r="M80" s="4">
        <f ca="1">_xll.DBRW($B$1,$B$2,$B$7,$B$3,$B$4,$B$5,$F80,$B$6,M$10,$A80,$B80)</f>
        <v>0</v>
      </c>
      <c r="N80" s="4">
        <f ca="1">_xll.DBRW($B$1,$B$2,$B$7,$B$3,$B$4,$B$5,$F80,$B$6,N$10,$A80,$B80)</f>
        <v>0</v>
      </c>
      <c r="O80" s="4">
        <f ca="1">_xll.DBRW($B$1,$B$2,$B$7,$B$3,$B$4,$B$5,$F80,$B$6,O$10,$A80,$B80)</f>
        <v>0</v>
      </c>
      <c r="P80" s="4">
        <f ca="1">_xll.DBRW($B$1,$B$2,$B$7,$B$3,$B$4,$B$5,$F80,$B$6,P$10,$A80,$B80)</f>
        <v>0</v>
      </c>
      <c r="Q80" s="4">
        <f ca="1">_xll.DBRW($B$1,$B$2,$B$7,$B$3,$B$4,$B$5,$F80,$B$6,Q$10,$A80,$B80)</f>
        <v>0</v>
      </c>
      <c r="R80" s="4">
        <f ca="1">_xll.DBRW($B$1,$B$2,$B$7,$B$3,$B$4,$B$5,$F80,$B$6,R$10,$A80,$B80)</f>
        <v>0</v>
      </c>
      <c r="S80" s="4">
        <f ca="1">_xll.DBRW($B$1,$B$2,$B$7,$B$3,$B$4,$B$5,$F80,$B$6,S$10,$A80,$B80)</f>
        <v>0</v>
      </c>
      <c r="T80" s="4">
        <f ca="1">_xll.DBRW($B$1,$B$2,$B$7,$B$3,$B$4,$B$5,$F80,$B$6,T$10,$A80,$B80)</f>
        <v>0</v>
      </c>
      <c r="U80" s="4">
        <f ca="1">_xll.DBRW($B$1,$B$2,$B$7,$B$3,$B$4,$B$5,$F80,$B$6,U$10,$A80,$B80)</f>
        <v>0</v>
      </c>
      <c r="V80" s="4">
        <f ca="1">_xll.DBRW($B$1,$B$2,$B$7,$B$3,$B$4,$B$5,$F80,$B$6,V$10,$A80,$B80)</f>
        <v>0</v>
      </c>
      <c r="W80" s="4">
        <f ca="1">_xll.DBRW($B$1,$B$2,$B$7,$B$3,$B$4,$B$5,$F80,$B$6,W$10,$A80,$B80)</f>
        <v>0</v>
      </c>
      <c r="X80" s="4">
        <f ca="1">_xll.DBRW($B$1,$B$2,$B$7,$B$3,$B$4,$B$5,$F80,$B$6,X$10,$A80,$B80)</f>
        <v>0</v>
      </c>
      <c r="Y80" s="4">
        <f ca="1">_xll.DBRW($B$1,$B$2,$B$7,$B$3,$B$4,$B$5,$F80,$B$6,Y$10,$A80,$B80)</f>
        <v>0</v>
      </c>
      <c r="Z80" s="4">
        <f ca="1">_xll.DBRW($B$1,$B$2,$B$7,$B$3,$B$4,$B$5,$F80,$B$6,Z$10,$A80,$B80)</f>
        <v>0</v>
      </c>
      <c r="AA80" s="4">
        <f ca="1">_xll.DBRW($B$1,$B$2,$B$7,$B$3,$B$4,$B$5,$F80,$B$6,AA$10,$A80,$B80)</f>
        <v>0</v>
      </c>
      <c r="AB80" s="4">
        <f ca="1">_xll.DBRW($B$1,$B$2,$B$7,$B$3,$B$4,$B$5,$F80,$B$6,AB$10,$A80,$B80)</f>
        <v>0</v>
      </c>
      <c r="AC80" s="4">
        <f ca="1">_xll.DBRW($B$1,$B$2,$B$7,$B$3,$B$4,$B$5,$F80,$B$6,AC$10,$A80,$B80)</f>
        <v>0</v>
      </c>
      <c r="AD80" s="4">
        <f ca="1">_xll.DBRW($B$1,$B$2,$B$7,$B$3,$B$4,$B$5,$F80,$B$6,AD$10,$A80,$B80)</f>
        <v>0</v>
      </c>
      <c r="AE80" s="4">
        <f ca="1">_xll.DBRW($B$1,$B$2,$B$7,$B$3,$B$4,$B$5,$F80,$B$6,AE$10,$A80,$B80)</f>
        <v>0</v>
      </c>
    </row>
    <row r="81" spans="1:31">
      <c r="A81" s="1" t="s">
        <v>150</v>
      </c>
      <c r="B81" s="5" t="s">
        <v>225</v>
      </c>
      <c r="C81" s="5" t="s">
        <v>226</v>
      </c>
      <c r="D81" s="5" t="s">
        <v>21</v>
      </c>
      <c r="E81" s="5" t="s">
        <v>227</v>
      </c>
      <c r="F81" s="5" t="s">
        <v>312</v>
      </c>
      <c r="G81" s="6"/>
      <c r="H81" s="6"/>
      <c r="I81" s="6"/>
      <c r="J81" s="6"/>
      <c r="K81" s="6"/>
      <c r="L81" s="4">
        <f ca="1">_xll.DBRW($B$1,$B$2,$B$7,$B$3,$B$4,$B$5,$F81,$B$6,L$10,$A81,$B81)</f>
        <v>0</v>
      </c>
      <c r="M81" s="4">
        <f ca="1">_xll.DBRW($B$1,$B$2,$B$7,$B$3,$B$4,$B$5,$F81,$B$6,M$10,$A81,$B81)</f>
        <v>0</v>
      </c>
      <c r="N81" s="4">
        <f ca="1">_xll.DBRW($B$1,$B$2,$B$7,$B$3,$B$4,$B$5,$F81,$B$6,N$10,$A81,$B81)</f>
        <v>0</v>
      </c>
      <c r="O81" s="4">
        <f ca="1">_xll.DBRW($B$1,$B$2,$B$7,$B$3,$B$4,$B$5,$F81,$B$6,O$10,$A81,$B81)</f>
        <v>0</v>
      </c>
      <c r="P81" s="4">
        <f ca="1">_xll.DBRW($B$1,$B$2,$B$7,$B$3,$B$4,$B$5,$F81,$B$6,P$10,$A81,$B81)</f>
        <v>0</v>
      </c>
      <c r="Q81" s="4">
        <f ca="1">_xll.DBRW($B$1,$B$2,$B$7,$B$3,$B$4,$B$5,$F81,$B$6,Q$10,$A81,$B81)</f>
        <v>0</v>
      </c>
      <c r="R81" s="4">
        <f ca="1">_xll.DBRW($B$1,$B$2,$B$7,$B$3,$B$4,$B$5,$F81,$B$6,R$10,$A81,$B81)</f>
        <v>0</v>
      </c>
      <c r="S81" s="4">
        <f ca="1">_xll.DBRW($B$1,$B$2,$B$7,$B$3,$B$4,$B$5,$F81,$B$6,S$10,$A81,$B81)</f>
        <v>0</v>
      </c>
      <c r="T81" s="4">
        <f ca="1">_xll.DBRW($B$1,$B$2,$B$7,$B$3,$B$4,$B$5,$F81,$B$6,T$10,$A81,$B81)</f>
        <v>0</v>
      </c>
      <c r="U81" s="4">
        <f ca="1">_xll.DBRW($B$1,$B$2,$B$7,$B$3,$B$4,$B$5,$F81,$B$6,U$10,$A81,$B81)</f>
        <v>0</v>
      </c>
      <c r="V81" s="4">
        <f ca="1">_xll.DBRW($B$1,$B$2,$B$7,$B$3,$B$4,$B$5,$F81,$B$6,V$10,$A81,$B81)</f>
        <v>0</v>
      </c>
      <c r="W81" s="4">
        <f ca="1">_xll.DBRW($B$1,$B$2,$B$7,$B$3,$B$4,$B$5,$F81,$B$6,W$10,$A81,$B81)</f>
        <v>0</v>
      </c>
      <c r="X81" s="4">
        <f ca="1">_xll.DBRW($B$1,$B$2,$B$7,$B$3,$B$4,$B$5,$F81,$B$6,X$10,$A81,$B81)</f>
        <v>0</v>
      </c>
      <c r="Y81" s="4">
        <f ca="1">_xll.DBRW($B$1,$B$2,$B$7,$B$3,$B$4,$B$5,$F81,$B$6,Y$10,$A81,$B81)</f>
        <v>0</v>
      </c>
      <c r="Z81" s="4">
        <f ca="1">_xll.DBRW($B$1,$B$2,$B$7,$B$3,$B$4,$B$5,$F81,$B$6,Z$10,$A81,$B81)</f>
        <v>0</v>
      </c>
      <c r="AA81" s="4">
        <f ca="1">_xll.DBRW($B$1,$B$2,$B$7,$B$3,$B$4,$B$5,$F81,$B$6,AA$10,$A81,$B81)</f>
        <v>0</v>
      </c>
      <c r="AB81" s="4">
        <f ca="1">_xll.DBRW($B$1,$B$2,$B$7,$B$3,$B$4,$B$5,$F81,$B$6,AB$10,$A81,$B81)</f>
        <v>0</v>
      </c>
      <c r="AC81" s="4">
        <f ca="1">_xll.DBRW($B$1,$B$2,$B$7,$B$3,$B$4,$B$5,$F81,$B$6,AC$10,$A81,$B81)</f>
        <v>0</v>
      </c>
      <c r="AD81" s="4">
        <f ca="1">_xll.DBRW($B$1,$B$2,$B$7,$B$3,$B$4,$B$5,$F81,$B$6,AD$10,$A81,$B81)</f>
        <v>0</v>
      </c>
      <c r="AE81" s="4">
        <f ca="1">_xll.DBRW($B$1,$B$2,$B$7,$B$3,$B$4,$B$5,$F81,$B$6,AE$10,$A81,$B81)</f>
        <v>0</v>
      </c>
    </row>
    <row r="82" spans="1:31">
      <c r="A82" s="1" t="s">
        <v>150</v>
      </c>
      <c r="B82" s="5" t="s">
        <v>228</v>
      </c>
      <c r="C82" s="5" t="s">
        <v>229</v>
      </c>
      <c r="D82" s="5" t="s">
        <v>227</v>
      </c>
      <c r="E82" s="5" t="s">
        <v>21</v>
      </c>
      <c r="F82" s="5" t="s">
        <v>312</v>
      </c>
      <c r="G82" s="6"/>
      <c r="H82" s="6"/>
      <c r="I82" s="6"/>
      <c r="J82" s="6"/>
      <c r="K82" s="6"/>
      <c r="L82" s="4">
        <f ca="1">_xll.DBRW($B$1,$B$2,$B$7,$B$3,$B$4,$B$5,$F82,$B$6,L$10,$A82,$B82)</f>
        <v>0</v>
      </c>
      <c r="M82" s="4">
        <f ca="1">_xll.DBRW($B$1,$B$2,$B$7,$B$3,$B$4,$B$5,$F82,$B$6,M$10,$A82,$B82)</f>
        <v>0</v>
      </c>
      <c r="N82" s="4">
        <f ca="1">_xll.DBRW($B$1,$B$2,$B$7,$B$3,$B$4,$B$5,$F82,$B$6,N$10,$A82,$B82)</f>
        <v>0</v>
      </c>
      <c r="O82" s="4">
        <f ca="1">_xll.DBRW($B$1,$B$2,$B$7,$B$3,$B$4,$B$5,$F82,$B$6,O$10,$A82,$B82)</f>
        <v>0</v>
      </c>
      <c r="P82" s="4">
        <f ca="1">_xll.DBRW($B$1,$B$2,$B$7,$B$3,$B$4,$B$5,$F82,$B$6,P$10,$A82,$B82)</f>
        <v>0</v>
      </c>
      <c r="Q82" s="4">
        <f ca="1">_xll.DBRW($B$1,$B$2,$B$7,$B$3,$B$4,$B$5,$F82,$B$6,Q$10,$A82,$B82)</f>
        <v>0</v>
      </c>
      <c r="R82" s="4">
        <f ca="1">_xll.DBRW($B$1,$B$2,$B$7,$B$3,$B$4,$B$5,$F82,$B$6,R$10,$A82,$B82)</f>
        <v>0</v>
      </c>
      <c r="S82" s="4">
        <f ca="1">_xll.DBRW($B$1,$B$2,$B$7,$B$3,$B$4,$B$5,$F82,$B$6,S$10,$A82,$B82)</f>
        <v>0</v>
      </c>
      <c r="T82" s="4">
        <f ca="1">_xll.DBRW($B$1,$B$2,$B$7,$B$3,$B$4,$B$5,$F82,$B$6,T$10,$A82,$B82)</f>
        <v>0</v>
      </c>
      <c r="U82" s="4">
        <f ca="1">_xll.DBRW($B$1,$B$2,$B$7,$B$3,$B$4,$B$5,$F82,$B$6,U$10,$A82,$B82)</f>
        <v>0</v>
      </c>
      <c r="V82" s="4">
        <f ca="1">_xll.DBRW($B$1,$B$2,$B$7,$B$3,$B$4,$B$5,$F82,$B$6,V$10,$A82,$B82)</f>
        <v>0</v>
      </c>
      <c r="W82" s="4">
        <f ca="1">_xll.DBRW($B$1,$B$2,$B$7,$B$3,$B$4,$B$5,$F82,$B$6,W$10,$A82,$B82)</f>
        <v>0</v>
      </c>
      <c r="X82" s="4">
        <f ca="1">_xll.DBRW($B$1,$B$2,$B$7,$B$3,$B$4,$B$5,$F82,$B$6,X$10,$A82,$B82)</f>
        <v>0</v>
      </c>
      <c r="Y82" s="4">
        <f ca="1">_xll.DBRW($B$1,$B$2,$B$7,$B$3,$B$4,$B$5,$F82,$B$6,Y$10,$A82,$B82)</f>
        <v>0</v>
      </c>
      <c r="Z82" s="4">
        <f ca="1">_xll.DBRW($B$1,$B$2,$B$7,$B$3,$B$4,$B$5,$F82,$B$6,Z$10,$A82,$B82)</f>
        <v>0</v>
      </c>
      <c r="AA82" s="4">
        <f ca="1">_xll.DBRW($B$1,$B$2,$B$7,$B$3,$B$4,$B$5,$F82,$B$6,AA$10,$A82,$B82)</f>
        <v>0</v>
      </c>
      <c r="AB82" s="4">
        <f ca="1">_xll.DBRW($B$1,$B$2,$B$7,$B$3,$B$4,$B$5,$F82,$B$6,AB$10,$A82,$B82)</f>
        <v>0</v>
      </c>
      <c r="AC82" s="4">
        <f ca="1">_xll.DBRW($B$1,$B$2,$B$7,$B$3,$B$4,$B$5,$F82,$B$6,AC$10,$A82,$B82)</f>
        <v>0</v>
      </c>
      <c r="AD82" s="4">
        <f ca="1">_xll.DBRW($B$1,$B$2,$B$7,$B$3,$B$4,$B$5,$F82,$B$6,AD$10,$A82,$B82)</f>
        <v>0</v>
      </c>
      <c r="AE82" s="4">
        <f ca="1">_xll.DBRW($B$1,$B$2,$B$7,$B$3,$B$4,$B$5,$F82,$B$6,AE$10,$A82,$B82)</f>
        <v>0</v>
      </c>
    </row>
    <row r="83" spans="1:31">
      <c r="A83" s="1" t="s">
        <v>150</v>
      </c>
      <c r="B83" s="5" t="s">
        <v>230</v>
      </c>
      <c r="C83" s="5" t="s">
        <v>210</v>
      </c>
      <c r="D83" s="5" t="s">
        <v>21</v>
      </c>
      <c r="E83" s="5" t="s">
        <v>211</v>
      </c>
      <c r="F83" s="5" t="s">
        <v>312</v>
      </c>
      <c r="G83" s="6"/>
      <c r="H83" s="6"/>
      <c r="I83" s="6"/>
      <c r="J83" s="6"/>
      <c r="K83" s="6"/>
      <c r="L83" s="4">
        <f ca="1">_xll.DBRW($B$1,$B$2,$B$7,$B$3,$B$4,$B$5,$F83,$B$6,L$10,$A83,$B83)</f>
        <v>2</v>
      </c>
      <c r="M83" s="4">
        <f ca="1">_xll.DBRW($B$1,$B$2,$B$7,$B$3,$B$4,$B$5,$F83,$B$6,M$10,$A83,$B83)</f>
        <v>4</v>
      </c>
      <c r="N83" s="4">
        <f ca="1">_xll.DBRW($B$1,$B$2,$B$7,$B$3,$B$4,$B$5,$F83,$B$6,N$10,$A83,$B83)</f>
        <v>4</v>
      </c>
      <c r="O83" s="4">
        <f ca="1">_xll.DBRW($B$1,$B$2,$B$7,$B$3,$B$4,$B$5,$F83,$B$6,O$10,$A83,$B83)</f>
        <v>5</v>
      </c>
      <c r="P83" s="4">
        <f ca="1">_xll.DBRW($B$1,$B$2,$B$7,$B$3,$B$4,$B$5,$F83,$B$6,P$10,$A83,$B83)</f>
        <v>4</v>
      </c>
      <c r="Q83" s="4">
        <f ca="1">_xll.DBRW($B$1,$B$2,$B$7,$B$3,$B$4,$B$5,$F83,$B$6,Q$10,$A83,$B83)</f>
        <v>4</v>
      </c>
      <c r="R83" s="4">
        <f ca="1">_xll.DBRW($B$1,$B$2,$B$7,$B$3,$B$4,$B$5,$F83,$B$6,R$10,$A83,$B83)</f>
        <v>0</v>
      </c>
      <c r="S83" s="4">
        <f ca="1">_xll.DBRW($B$1,$B$2,$B$7,$B$3,$B$4,$B$5,$F83,$B$6,S$10,$A83,$B83)</f>
        <v>0</v>
      </c>
      <c r="T83" s="4">
        <f ca="1">_xll.DBRW($B$1,$B$2,$B$7,$B$3,$B$4,$B$5,$F83,$B$6,T$10,$A83,$B83)</f>
        <v>0</v>
      </c>
      <c r="U83" s="4">
        <f ca="1">_xll.DBRW($B$1,$B$2,$B$7,$B$3,$B$4,$B$5,$F83,$B$6,U$10,$A83,$B83)</f>
        <v>0</v>
      </c>
      <c r="V83" s="4">
        <f ca="1">_xll.DBRW($B$1,$B$2,$B$7,$B$3,$B$4,$B$5,$F83,$B$6,V$10,$A83,$B83)</f>
        <v>0</v>
      </c>
      <c r="W83" s="4">
        <f ca="1">_xll.DBRW($B$1,$B$2,$B$7,$B$3,$B$4,$B$5,$F83,$B$6,W$10,$A83,$B83)</f>
        <v>0</v>
      </c>
      <c r="X83" s="4">
        <f ca="1">_xll.DBRW($B$1,$B$2,$B$7,$B$3,$B$4,$B$5,$F83,$B$6,X$10,$A83,$B83)</f>
        <v>0</v>
      </c>
      <c r="Y83" s="4">
        <f ca="1">_xll.DBRW($B$1,$B$2,$B$7,$B$3,$B$4,$B$5,$F83,$B$6,Y$10,$A83,$B83)</f>
        <v>0</v>
      </c>
      <c r="Z83" s="4">
        <f ca="1">_xll.DBRW($B$1,$B$2,$B$7,$B$3,$B$4,$B$5,$F83,$B$6,Z$10,$A83,$B83)</f>
        <v>0</v>
      </c>
      <c r="AA83" s="4">
        <f ca="1">_xll.DBRW($B$1,$B$2,$B$7,$B$3,$B$4,$B$5,$F83,$B$6,AA$10,$A83,$B83)</f>
        <v>0</v>
      </c>
      <c r="AB83" s="4">
        <f ca="1">_xll.DBRW($B$1,$B$2,$B$7,$B$3,$B$4,$B$5,$F83,$B$6,AB$10,$A83,$B83)</f>
        <v>0</v>
      </c>
      <c r="AC83" s="4">
        <f ca="1">_xll.DBRW($B$1,$B$2,$B$7,$B$3,$B$4,$B$5,$F83,$B$6,AC$10,$A83,$B83)</f>
        <v>0</v>
      </c>
      <c r="AD83" s="4">
        <f ca="1">_xll.DBRW($B$1,$B$2,$B$7,$B$3,$B$4,$B$5,$F83,$B$6,AD$10,$A83,$B83)</f>
        <v>0</v>
      </c>
      <c r="AE83" s="4">
        <f ca="1">_xll.DBRW($B$1,$B$2,$B$7,$B$3,$B$4,$B$5,$F83,$B$6,AE$10,$A83,$B83)</f>
        <v>0</v>
      </c>
    </row>
    <row r="84" spans="1:31">
      <c r="A84" s="1" t="s">
        <v>150</v>
      </c>
      <c r="B84" s="5" t="s">
        <v>231</v>
      </c>
      <c r="C84" s="5" t="s">
        <v>213</v>
      </c>
      <c r="D84" s="5" t="s">
        <v>211</v>
      </c>
      <c r="E84" s="5" t="s">
        <v>21</v>
      </c>
      <c r="F84" s="5" t="s">
        <v>312</v>
      </c>
      <c r="G84" s="6"/>
      <c r="H84" s="6"/>
      <c r="I84" s="6"/>
      <c r="J84" s="6"/>
      <c r="K84" s="6"/>
      <c r="L84" s="4">
        <f ca="1">_xll.DBRW($B$1,$B$2,$B$7,$B$3,$B$4,$B$5,$F84,$B$6,L$10,$A84,$B84)</f>
        <v>2</v>
      </c>
      <c r="M84" s="4">
        <f ca="1">_xll.DBRW($B$1,$B$2,$B$7,$B$3,$B$4,$B$5,$F84,$B$6,M$10,$A84,$B84)</f>
        <v>4</v>
      </c>
      <c r="N84" s="4">
        <f ca="1">_xll.DBRW($B$1,$B$2,$B$7,$B$3,$B$4,$B$5,$F84,$B$6,N$10,$A84,$B84)</f>
        <v>4</v>
      </c>
      <c r="O84" s="4">
        <f ca="1">_xll.DBRW($B$1,$B$2,$B$7,$B$3,$B$4,$B$5,$F84,$B$6,O$10,$A84,$B84)</f>
        <v>5</v>
      </c>
      <c r="P84" s="4">
        <f ca="1">_xll.DBRW($B$1,$B$2,$B$7,$B$3,$B$4,$B$5,$F84,$B$6,P$10,$A84,$B84)</f>
        <v>4</v>
      </c>
      <c r="Q84" s="4">
        <f ca="1">_xll.DBRW($B$1,$B$2,$B$7,$B$3,$B$4,$B$5,$F84,$B$6,Q$10,$A84,$B84)</f>
        <v>4</v>
      </c>
      <c r="R84" s="4">
        <f ca="1">_xll.DBRW($B$1,$B$2,$B$7,$B$3,$B$4,$B$5,$F84,$B$6,R$10,$A84,$B84)</f>
        <v>0</v>
      </c>
      <c r="S84" s="4">
        <f ca="1">_xll.DBRW($B$1,$B$2,$B$7,$B$3,$B$4,$B$5,$F84,$B$6,S$10,$A84,$B84)</f>
        <v>0</v>
      </c>
      <c r="T84" s="4">
        <f ca="1">_xll.DBRW($B$1,$B$2,$B$7,$B$3,$B$4,$B$5,$F84,$B$6,T$10,$A84,$B84)</f>
        <v>0</v>
      </c>
      <c r="U84" s="4">
        <f ca="1">_xll.DBRW($B$1,$B$2,$B$7,$B$3,$B$4,$B$5,$F84,$B$6,U$10,$A84,$B84)</f>
        <v>0</v>
      </c>
      <c r="V84" s="4">
        <f ca="1">_xll.DBRW($B$1,$B$2,$B$7,$B$3,$B$4,$B$5,$F84,$B$6,V$10,$A84,$B84)</f>
        <v>0</v>
      </c>
      <c r="W84" s="4">
        <f ca="1">_xll.DBRW($B$1,$B$2,$B$7,$B$3,$B$4,$B$5,$F84,$B$6,W$10,$A84,$B84)</f>
        <v>0</v>
      </c>
      <c r="X84" s="4">
        <f ca="1">_xll.DBRW($B$1,$B$2,$B$7,$B$3,$B$4,$B$5,$F84,$B$6,X$10,$A84,$B84)</f>
        <v>0</v>
      </c>
      <c r="Y84" s="4">
        <f ca="1">_xll.DBRW($B$1,$B$2,$B$7,$B$3,$B$4,$B$5,$F84,$B$6,Y$10,$A84,$B84)</f>
        <v>0</v>
      </c>
      <c r="Z84" s="4">
        <f ca="1">_xll.DBRW($B$1,$B$2,$B$7,$B$3,$B$4,$B$5,$F84,$B$6,Z$10,$A84,$B84)</f>
        <v>0</v>
      </c>
      <c r="AA84" s="4">
        <f ca="1">_xll.DBRW($B$1,$B$2,$B$7,$B$3,$B$4,$B$5,$F84,$B$6,AA$10,$A84,$B84)</f>
        <v>0</v>
      </c>
      <c r="AB84" s="4">
        <f ca="1">_xll.DBRW($B$1,$B$2,$B$7,$B$3,$B$4,$B$5,$F84,$B$6,AB$10,$A84,$B84)</f>
        <v>0</v>
      </c>
      <c r="AC84" s="4">
        <f ca="1">_xll.DBRW($B$1,$B$2,$B$7,$B$3,$B$4,$B$5,$F84,$B$6,AC$10,$A84,$B84)</f>
        <v>0</v>
      </c>
      <c r="AD84" s="4">
        <f ca="1">_xll.DBRW($B$1,$B$2,$B$7,$B$3,$B$4,$B$5,$F84,$B$6,AD$10,$A84,$B84)</f>
        <v>0</v>
      </c>
      <c r="AE84" s="4">
        <f ca="1">_xll.DBRW($B$1,$B$2,$B$7,$B$3,$B$4,$B$5,$F84,$B$6,AE$10,$A84,$B84)</f>
        <v>0</v>
      </c>
    </row>
    <row r="85" spans="1:31">
      <c r="A85" s="1" t="s">
        <v>150</v>
      </c>
      <c r="B85" s="5" t="s">
        <v>232</v>
      </c>
      <c r="C85" s="5" t="s">
        <v>233</v>
      </c>
      <c r="D85" s="5" t="s">
        <v>21</v>
      </c>
      <c r="E85" s="5" t="s">
        <v>234</v>
      </c>
      <c r="F85" s="5" t="s">
        <v>312</v>
      </c>
      <c r="G85" s="6"/>
      <c r="H85" s="6"/>
      <c r="I85" s="6"/>
      <c r="J85" s="6"/>
      <c r="K85" s="6"/>
      <c r="L85" s="4">
        <f ca="1">_xll.DBRW($B$1,$B$2,$B$7,$B$3,$B$4,$B$5,$F85,$B$6,L$10,$A85,$B85)</f>
        <v>8</v>
      </c>
      <c r="M85" s="4">
        <f ca="1">_xll.DBRW($B$1,$B$2,$B$7,$B$3,$B$4,$B$5,$F85,$B$6,M$10,$A85,$B85)</f>
        <v>9</v>
      </c>
      <c r="N85" s="4">
        <f ca="1">_xll.DBRW($B$1,$B$2,$B$7,$B$3,$B$4,$B$5,$F85,$B$6,N$10,$A85,$B85)</f>
        <v>9</v>
      </c>
      <c r="O85" s="4">
        <f ca="1">_xll.DBRW($B$1,$B$2,$B$7,$B$3,$B$4,$B$5,$F85,$B$6,O$10,$A85,$B85)</f>
        <v>9</v>
      </c>
      <c r="P85" s="4">
        <f ca="1">_xll.DBRW($B$1,$B$2,$B$7,$B$3,$B$4,$B$5,$F85,$B$6,P$10,$A85,$B85)</f>
        <v>8</v>
      </c>
      <c r="Q85" s="4">
        <f ca="1">_xll.DBRW($B$1,$B$2,$B$7,$B$3,$B$4,$B$5,$F85,$B$6,Q$10,$A85,$B85)</f>
        <v>8</v>
      </c>
      <c r="R85" s="4">
        <f ca="1">_xll.DBRW($B$1,$B$2,$B$7,$B$3,$B$4,$B$5,$F85,$B$6,R$10,$A85,$B85)</f>
        <v>0</v>
      </c>
      <c r="S85" s="4">
        <f ca="1">_xll.DBRW($B$1,$B$2,$B$7,$B$3,$B$4,$B$5,$F85,$B$6,S$10,$A85,$B85)</f>
        <v>0</v>
      </c>
      <c r="T85" s="4">
        <f ca="1">_xll.DBRW($B$1,$B$2,$B$7,$B$3,$B$4,$B$5,$F85,$B$6,T$10,$A85,$B85)</f>
        <v>13</v>
      </c>
      <c r="U85" s="4">
        <f ca="1">_xll.DBRW($B$1,$B$2,$B$7,$B$3,$B$4,$B$5,$F85,$B$6,U$10,$A85,$B85)</f>
        <v>12</v>
      </c>
      <c r="V85" s="4">
        <f ca="1">_xll.DBRW($B$1,$B$2,$B$7,$B$3,$B$4,$B$5,$F85,$B$6,V$10,$A85,$B85)</f>
        <v>13</v>
      </c>
      <c r="W85" s="4">
        <f ca="1">_xll.DBRW($B$1,$B$2,$B$7,$B$3,$B$4,$B$5,$F85,$B$6,W$10,$A85,$B85)</f>
        <v>5</v>
      </c>
      <c r="X85" s="4">
        <f ca="1">_xll.DBRW($B$1,$B$2,$B$7,$B$3,$B$4,$B$5,$F85,$B$6,X$10,$A85,$B85)</f>
        <v>4</v>
      </c>
      <c r="Y85" s="4">
        <f ca="1">_xll.DBRW($B$1,$B$2,$B$7,$B$3,$B$4,$B$5,$F85,$B$6,Y$10,$A85,$B85)</f>
        <v>4</v>
      </c>
      <c r="Z85" s="4">
        <f ca="1">_xll.DBRW($B$1,$B$2,$B$7,$B$3,$B$4,$B$5,$F85,$B$6,Z$10,$A85,$B85)</f>
        <v>5</v>
      </c>
      <c r="AA85" s="4">
        <f ca="1">_xll.DBRW($B$1,$B$2,$B$7,$B$3,$B$4,$B$5,$F85,$B$6,AA$10,$A85,$B85)</f>
        <v>4</v>
      </c>
      <c r="AB85" s="4">
        <f ca="1">_xll.DBRW($B$1,$B$2,$B$7,$B$3,$B$4,$B$5,$F85,$B$6,AB$10,$A85,$B85)</f>
        <v>5</v>
      </c>
      <c r="AC85" s="4">
        <f ca="1">_xll.DBRW($B$1,$B$2,$B$7,$B$3,$B$4,$B$5,$F85,$B$6,AC$10,$A85,$B85)</f>
        <v>13</v>
      </c>
      <c r="AD85" s="4">
        <f ca="1">_xll.DBRW($B$1,$B$2,$B$7,$B$3,$B$4,$B$5,$F85,$B$6,AD$10,$A85,$B85)</f>
        <v>13</v>
      </c>
      <c r="AE85" s="4">
        <f ca="1">_xll.DBRW($B$1,$B$2,$B$7,$B$3,$B$4,$B$5,$F85,$B$6,AE$10,$A85,$B85)</f>
        <v>13</v>
      </c>
    </row>
    <row r="86" spans="1:31">
      <c r="A86" s="1" t="s">
        <v>150</v>
      </c>
      <c r="B86" s="5" t="s">
        <v>235</v>
      </c>
      <c r="C86" s="5" t="s">
        <v>236</v>
      </c>
      <c r="D86" s="5" t="s">
        <v>234</v>
      </c>
      <c r="E86" s="5" t="s">
        <v>21</v>
      </c>
      <c r="F86" s="5" t="s">
        <v>312</v>
      </c>
      <c r="G86" s="6"/>
      <c r="H86" s="6"/>
      <c r="I86" s="6"/>
      <c r="J86" s="6"/>
      <c r="K86" s="6"/>
      <c r="L86" s="4">
        <f ca="1">_xll.DBRW($B$1,$B$2,$B$7,$B$3,$B$4,$B$5,$F86,$B$6,L$10,$A86,$B86)</f>
        <v>8</v>
      </c>
      <c r="M86" s="4">
        <f ca="1">_xll.DBRW($B$1,$B$2,$B$7,$B$3,$B$4,$B$5,$F86,$B$6,M$10,$A86,$B86)</f>
        <v>9</v>
      </c>
      <c r="N86" s="4">
        <f ca="1">_xll.DBRW($B$1,$B$2,$B$7,$B$3,$B$4,$B$5,$F86,$B$6,N$10,$A86,$B86)</f>
        <v>9</v>
      </c>
      <c r="O86" s="4">
        <f ca="1">_xll.DBRW($B$1,$B$2,$B$7,$B$3,$B$4,$B$5,$F86,$B$6,O$10,$A86,$B86)</f>
        <v>9</v>
      </c>
      <c r="P86" s="4">
        <f ca="1">_xll.DBRW($B$1,$B$2,$B$7,$B$3,$B$4,$B$5,$F86,$B$6,P$10,$A86,$B86)</f>
        <v>8</v>
      </c>
      <c r="Q86" s="4">
        <f ca="1">_xll.DBRW($B$1,$B$2,$B$7,$B$3,$B$4,$B$5,$F86,$B$6,Q$10,$A86,$B86)</f>
        <v>8</v>
      </c>
      <c r="R86" s="4">
        <f ca="1">_xll.DBRW($B$1,$B$2,$B$7,$B$3,$B$4,$B$5,$F86,$B$6,R$10,$A86,$B86)</f>
        <v>0</v>
      </c>
      <c r="S86" s="4">
        <f ca="1">_xll.DBRW($B$1,$B$2,$B$7,$B$3,$B$4,$B$5,$F86,$B$6,S$10,$A86,$B86)</f>
        <v>0</v>
      </c>
      <c r="T86" s="4">
        <f ca="1">_xll.DBRW($B$1,$B$2,$B$7,$B$3,$B$4,$B$5,$F86,$B$6,T$10,$A86,$B86)</f>
        <v>13</v>
      </c>
      <c r="U86" s="4">
        <f ca="1">_xll.DBRW($B$1,$B$2,$B$7,$B$3,$B$4,$B$5,$F86,$B$6,U$10,$A86,$B86)</f>
        <v>12</v>
      </c>
      <c r="V86" s="4">
        <f ca="1">_xll.DBRW($B$1,$B$2,$B$7,$B$3,$B$4,$B$5,$F86,$B$6,V$10,$A86,$B86)</f>
        <v>13</v>
      </c>
      <c r="W86" s="4">
        <f ca="1">_xll.DBRW($B$1,$B$2,$B$7,$B$3,$B$4,$B$5,$F86,$B$6,W$10,$A86,$B86)</f>
        <v>5</v>
      </c>
      <c r="X86" s="4">
        <f ca="1">_xll.DBRW($B$1,$B$2,$B$7,$B$3,$B$4,$B$5,$F86,$B$6,X$10,$A86,$B86)</f>
        <v>4</v>
      </c>
      <c r="Y86" s="4">
        <f ca="1">_xll.DBRW($B$1,$B$2,$B$7,$B$3,$B$4,$B$5,$F86,$B$6,Y$10,$A86,$B86)</f>
        <v>4</v>
      </c>
      <c r="Z86" s="4">
        <f ca="1">_xll.DBRW($B$1,$B$2,$B$7,$B$3,$B$4,$B$5,$F86,$B$6,Z$10,$A86,$B86)</f>
        <v>5</v>
      </c>
      <c r="AA86" s="4">
        <f ca="1">_xll.DBRW($B$1,$B$2,$B$7,$B$3,$B$4,$B$5,$F86,$B$6,AA$10,$A86,$B86)</f>
        <v>4</v>
      </c>
      <c r="AB86" s="4">
        <f ca="1">_xll.DBRW($B$1,$B$2,$B$7,$B$3,$B$4,$B$5,$F86,$B$6,AB$10,$A86,$B86)</f>
        <v>5</v>
      </c>
      <c r="AC86" s="4">
        <f ca="1">_xll.DBRW($B$1,$B$2,$B$7,$B$3,$B$4,$B$5,$F86,$B$6,AC$10,$A86,$B86)</f>
        <v>13</v>
      </c>
      <c r="AD86" s="4">
        <f ca="1">_xll.DBRW($B$1,$B$2,$B$7,$B$3,$B$4,$B$5,$F86,$B$6,AD$10,$A86,$B86)</f>
        <v>13</v>
      </c>
      <c r="AE86" s="4">
        <f ca="1">_xll.DBRW($B$1,$B$2,$B$7,$B$3,$B$4,$B$5,$F86,$B$6,AE$10,$A86,$B86)</f>
        <v>13</v>
      </c>
    </row>
    <row r="87" spans="1:31">
      <c r="A87" s="1" t="s">
        <v>150</v>
      </c>
      <c r="B87" s="5" t="s">
        <v>237</v>
      </c>
      <c r="C87" s="5" t="s">
        <v>238</v>
      </c>
      <c r="D87" s="5" t="s">
        <v>21</v>
      </c>
      <c r="E87" s="5" t="s">
        <v>239</v>
      </c>
      <c r="F87" s="5" t="s">
        <v>312</v>
      </c>
      <c r="G87" s="6"/>
      <c r="H87" s="6"/>
      <c r="I87" s="6"/>
      <c r="J87" s="6"/>
      <c r="K87" s="6"/>
      <c r="L87" s="4">
        <f ca="1">_xll.DBRW($B$1,$B$2,$B$7,$B$3,$B$4,$B$5,$F87,$B$6,L$10,$A87,$B87)</f>
        <v>0</v>
      </c>
      <c r="M87" s="4">
        <f ca="1">_xll.DBRW($B$1,$B$2,$B$7,$B$3,$B$4,$B$5,$F87,$B$6,M$10,$A87,$B87)</f>
        <v>0</v>
      </c>
      <c r="N87" s="4">
        <f ca="1">_xll.DBRW($B$1,$B$2,$B$7,$B$3,$B$4,$B$5,$F87,$B$6,N$10,$A87,$B87)</f>
        <v>0</v>
      </c>
      <c r="O87" s="4">
        <f ca="1">_xll.DBRW($B$1,$B$2,$B$7,$B$3,$B$4,$B$5,$F87,$B$6,O$10,$A87,$B87)</f>
        <v>0</v>
      </c>
      <c r="P87" s="4">
        <f ca="1">_xll.DBRW($B$1,$B$2,$B$7,$B$3,$B$4,$B$5,$F87,$B$6,P$10,$A87,$B87)</f>
        <v>0</v>
      </c>
      <c r="Q87" s="4">
        <f ca="1">_xll.DBRW($B$1,$B$2,$B$7,$B$3,$B$4,$B$5,$F87,$B$6,Q$10,$A87,$B87)</f>
        <v>0</v>
      </c>
      <c r="R87" s="4">
        <f ca="1">_xll.DBRW($B$1,$B$2,$B$7,$B$3,$B$4,$B$5,$F87,$B$6,R$10,$A87,$B87)</f>
        <v>0</v>
      </c>
      <c r="S87" s="4">
        <f ca="1">_xll.DBRW($B$1,$B$2,$B$7,$B$3,$B$4,$B$5,$F87,$B$6,S$10,$A87,$B87)</f>
        <v>0</v>
      </c>
      <c r="T87" s="4">
        <f ca="1">_xll.DBRW($B$1,$B$2,$B$7,$B$3,$B$4,$B$5,$F87,$B$6,T$10,$A87,$B87)</f>
        <v>0</v>
      </c>
      <c r="U87" s="4">
        <f ca="1">_xll.DBRW($B$1,$B$2,$B$7,$B$3,$B$4,$B$5,$F87,$B$6,U$10,$A87,$B87)</f>
        <v>0</v>
      </c>
      <c r="V87" s="4">
        <f ca="1">_xll.DBRW($B$1,$B$2,$B$7,$B$3,$B$4,$B$5,$F87,$B$6,V$10,$A87,$B87)</f>
        <v>0</v>
      </c>
      <c r="W87" s="4">
        <f ca="1">_xll.DBRW($B$1,$B$2,$B$7,$B$3,$B$4,$B$5,$F87,$B$6,W$10,$A87,$B87)</f>
        <v>0</v>
      </c>
      <c r="X87" s="4">
        <f ca="1">_xll.DBRW($B$1,$B$2,$B$7,$B$3,$B$4,$B$5,$F87,$B$6,X$10,$A87,$B87)</f>
        <v>0</v>
      </c>
      <c r="Y87" s="4">
        <f ca="1">_xll.DBRW($B$1,$B$2,$B$7,$B$3,$B$4,$B$5,$F87,$B$6,Y$10,$A87,$B87)</f>
        <v>0</v>
      </c>
      <c r="Z87" s="4">
        <f ca="1">_xll.DBRW($B$1,$B$2,$B$7,$B$3,$B$4,$B$5,$F87,$B$6,Z$10,$A87,$B87)</f>
        <v>0</v>
      </c>
      <c r="AA87" s="4">
        <f ca="1">_xll.DBRW($B$1,$B$2,$B$7,$B$3,$B$4,$B$5,$F87,$B$6,AA$10,$A87,$B87)</f>
        <v>0</v>
      </c>
      <c r="AB87" s="4">
        <f ca="1">_xll.DBRW($B$1,$B$2,$B$7,$B$3,$B$4,$B$5,$F87,$B$6,AB$10,$A87,$B87)</f>
        <v>0</v>
      </c>
      <c r="AC87" s="4">
        <f ca="1">_xll.DBRW($B$1,$B$2,$B$7,$B$3,$B$4,$B$5,$F87,$B$6,AC$10,$A87,$B87)</f>
        <v>0</v>
      </c>
      <c r="AD87" s="4">
        <f ca="1">_xll.DBRW($B$1,$B$2,$B$7,$B$3,$B$4,$B$5,$F87,$B$6,AD$10,$A87,$B87)</f>
        <v>0</v>
      </c>
      <c r="AE87" s="4">
        <f ca="1">_xll.DBRW($B$1,$B$2,$B$7,$B$3,$B$4,$B$5,$F87,$B$6,AE$10,$A87,$B87)</f>
        <v>0</v>
      </c>
    </row>
    <row r="88" spans="1:31">
      <c r="A88" s="1" t="s">
        <v>150</v>
      </c>
      <c r="B88" s="5" t="s">
        <v>240</v>
      </c>
      <c r="C88" s="5" t="s">
        <v>241</v>
      </c>
      <c r="D88" s="5" t="s">
        <v>239</v>
      </c>
      <c r="E88" s="5" t="s">
        <v>21</v>
      </c>
      <c r="F88" s="5" t="s">
        <v>312</v>
      </c>
      <c r="G88" s="6"/>
      <c r="H88" s="6"/>
      <c r="I88" s="6"/>
      <c r="J88" s="6"/>
      <c r="K88" s="6"/>
      <c r="L88" s="4">
        <f ca="1">_xll.DBRW($B$1,$B$2,$B$7,$B$3,$B$4,$B$5,$F88,$B$6,L$10,$A88,$B88)</f>
        <v>0</v>
      </c>
      <c r="M88" s="4">
        <f ca="1">_xll.DBRW($B$1,$B$2,$B$7,$B$3,$B$4,$B$5,$F88,$B$6,M$10,$A88,$B88)</f>
        <v>0</v>
      </c>
      <c r="N88" s="4">
        <f ca="1">_xll.DBRW($B$1,$B$2,$B$7,$B$3,$B$4,$B$5,$F88,$B$6,N$10,$A88,$B88)</f>
        <v>0</v>
      </c>
      <c r="O88" s="4">
        <f ca="1">_xll.DBRW($B$1,$B$2,$B$7,$B$3,$B$4,$B$5,$F88,$B$6,O$10,$A88,$B88)</f>
        <v>0</v>
      </c>
      <c r="P88" s="4">
        <f ca="1">_xll.DBRW($B$1,$B$2,$B$7,$B$3,$B$4,$B$5,$F88,$B$6,P$10,$A88,$B88)</f>
        <v>0</v>
      </c>
      <c r="Q88" s="4">
        <f ca="1">_xll.DBRW($B$1,$B$2,$B$7,$B$3,$B$4,$B$5,$F88,$B$6,Q$10,$A88,$B88)</f>
        <v>0</v>
      </c>
      <c r="R88" s="4">
        <f ca="1">_xll.DBRW($B$1,$B$2,$B$7,$B$3,$B$4,$B$5,$F88,$B$6,R$10,$A88,$B88)</f>
        <v>0</v>
      </c>
      <c r="S88" s="4">
        <f ca="1">_xll.DBRW($B$1,$B$2,$B$7,$B$3,$B$4,$B$5,$F88,$B$6,S$10,$A88,$B88)</f>
        <v>0</v>
      </c>
      <c r="T88" s="4">
        <f ca="1">_xll.DBRW($B$1,$B$2,$B$7,$B$3,$B$4,$B$5,$F88,$B$6,T$10,$A88,$B88)</f>
        <v>0</v>
      </c>
      <c r="U88" s="4">
        <f ca="1">_xll.DBRW($B$1,$B$2,$B$7,$B$3,$B$4,$B$5,$F88,$B$6,U$10,$A88,$B88)</f>
        <v>0</v>
      </c>
      <c r="V88" s="4">
        <f ca="1">_xll.DBRW($B$1,$B$2,$B$7,$B$3,$B$4,$B$5,$F88,$B$6,V$10,$A88,$B88)</f>
        <v>0</v>
      </c>
      <c r="W88" s="4">
        <f ca="1">_xll.DBRW($B$1,$B$2,$B$7,$B$3,$B$4,$B$5,$F88,$B$6,W$10,$A88,$B88)</f>
        <v>0</v>
      </c>
      <c r="X88" s="4">
        <f ca="1">_xll.DBRW($B$1,$B$2,$B$7,$B$3,$B$4,$B$5,$F88,$B$6,X$10,$A88,$B88)</f>
        <v>0</v>
      </c>
      <c r="Y88" s="4">
        <f ca="1">_xll.DBRW($B$1,$B$2,$B$7,$B$3,$B$4,$B$5,$F88,$B$6,Y$10,$A88,$B88)</f>
        <v>0</v>
      </c>
      <c r="Z88" s="4">
        <f ca="1">_xll.DBRW($B$1,$B$2,$B$7,$B$3,$B$4,$B$5,$F88,$B$6,Z$10,$A88,$B88)</f>
        <v>0</v>
      </c>
      <c r="AA88" s="4">
        <f ca="1">_xll.DBRW($B$1,$B$2,$B$7,$B$3,$B$4,$B$5,$F88,$B$6,AA$10,$A88,$B88)</f>
        <v>0</v>
      </c>
      <c r="AB88" s="4">
        <f ca="1">_xll.DBRW($B$1,$B$2,$B$7,$B$3,$B$4,$B$5,$F88,$B$6,AB$10,$A88,$B88)</f>
        <v>0</v>
      </c>
      <c r="AC88" s="4">
        <f ca="1">_xll.DBRW($B$1,$B$2,$B$7,$B$3,$B$4,$B$5,$F88,$B$6,AC$10,$A88,$B88)</f>
        <v>0</v>
      </c>
      <c r="AD88" s="4">
        <f ca="1">_xll.DBRW($B$1,$B$2,$B$7,$B$3,$B$4,$B$5,$F88,$B$6,AD$10,$A88,$B88)</f>
        <v>0</v>
      </c>
      <c r="AE88" s="4">
        <f ca="1">_xll.DBRW($B$1,$B$2,$B$7,$B$3,$B$4,$B$5,$F88,$B$6,AE$10,$A88,$B88)</f>
        <v>0</v>
      </c>
    </row>
    <row r="89" spans="1:31">
      <c r="A89" s="1" t="s">
        <v>150</v>
      </c>
      <c r="B89" s="5" t="s">
        <v>242</v>
      </c>
      <c r="C89" s="5" t="s">
        <v>243</v>
      </c>
      <c r="D89" s="5" t="s">
        <v>21</v>
      </c>
      <c r="E89" s="5" t="s">
        <v>244</v>
      </c>
      <c r="F89" s="5" t="s">
        <v>312</v>
      </c>
      <c r="G89" s="6"/>
      <c r="H89" s="6"/>
      <c r="I89" s="6"/>
      <c r="J89" s="6"/>
      <c r="K89" s="6"/>
      <c r="L89" s="4">
        <f ca="1">_xll.DBRW($B$1,$B$2,$B$7,$B$3,$B$4,$B$5,$F89,$B$6,L$10,$A89,$B89)</f>
        <v>13</v>
      </c>
      <c r="M89" s="4">
        <f ca="1">_xll.DBRW($B$1,$B$2,$B$7,$B$3,$B$4,$B$5,$F89,$B$6,M$10,$A89,$B89)</f>
        <v>13</v>
      </c>
      <c r="N89" s="4">
        <f ca="1">_xll.DBRW($B$1,$B$2,$B$7,$B$3,$B$4,$B$5,$F89,$B$6,N$10,$A89,$B89)</f>
        <v>13</v>
      </c>
      <c r="O89" s="4">
        <f ca="1">_xll.DBRW($B$1,$B$2,$B$7,$B$3,$B$4,$B$5,$F89,$B$6,O$10,$A89,$B89)</f>
        <v>11</v>
      </c>
      <c r="P89" s="4">
        <f ca="1">_xll.DBRW($B$1,$B$2,$B$7,$B$3,$B$4,$B$5,$F89,$B$6,P$10,$A89,$B89)</f>
        <v>13</v>
      </c>
      <c r="Q89" s="4">
        <f ca="1">_xll.DBRW($B$1,$B$2,$B$7,$B$3,$B$4,$B$5,$F89,$B$6,Q$10,$A89,$B89)</f>
        <v>10</v>
      </c>
      <c r="R89" s="4">
        <f ca="1">_xll.DBRW($B$1,$B$2,$B$7,$B$3,$B$4,$B$5,$F89,$B$6,R$10,$A89,$B89)</f>
        <v>3</v>
      </c>
      <c r="S89" s="4">
        <f ca="1">_xll.DBRW($B$1,$B$2,$B$7,$B$3,$B$4,$B$5,$F89,$B$6,S$10,$A89,$B89)</f>
        <v>0</v>
      </c>
      <c r="T89" s="4">
        <f ca="1">_xll.DBRW($B$1,$B$2,$B$7,$B$3,$B$4,$B$5,$F89,$B$6,T$10,$A89,$B89)</f>
        <v>13</v>
      </c>
      <c r="U89" s="4">
        <f ca="1">_xll.DBRW($B$1,$B$2,$B$7,$B$3,$B$4,$B$5,$F89,$B$6,U$10,$A89,$B89)</f>
        <v>12</v>
      </c>
      <c r="V89" s="4">
        <f ca="1">_xll.DBRW($B$1,$B$2,$B$7,$B$3,$B$4,$B$5,$F89,$B$6,V$10,$A89,$B89)</f>
        <v>13</v>
      </c>
      <c r="W89" s="4">
        <f ca="1">_xll.DBRW($B$1,$B$2,$B$7,$B$3,$B$4,$B$5,$F89,$B$6,W$10,$A89,$B89)</f>
        <v>9</v>
      </c>
      <c r="X89" s="4">
        <f ca="1">_xll.DBRW($B$1,$B$2,$B$7,$B$3,$B$4,$B$5,$F89,$B$6,X$10,$A89,$B89)</f>
        <v>8</v>
      </c>
      <c r="Y89" s="4">
        <f ca="1">_xll.DBRW($B$1,$B$2,$B$7,$B$3,$B$4,$B$5,$F89,$B$6,Y$10,$A89,$B89)</f>
        <v>9</v>
      </c>
      <c r="Z89" s="4">
        <f ca="1">_xll.DBRW($B$1,$B$2,$B$7,$B$3,$B$4,$B$5,$F89,$B$6,Z$10,$A89,$B89)</f>
        <v>9</v>
      </c>
      <c r="AA89" s="4">
        <f ca="1">_xll.DBRW($B$1,$B$2,$B$7,$B$3,$B$4,$B$5,$F89,$B$6,AA$10,$A89,$B89)</f>
        <v>9</v>
      </c>
      <c r="AB89" s="4">
        <f ca="1">_xll.DBRW($B$1,$B$2,$B$7,$B$3,$B$4,$B$5,$F89,$B$6,AB$10,$A89,$B89)</f>
        <v>8</v>
      </c>
      <c r="AC89" s="4">
        <f ca="1">_xll.DBRW($B$1,$B$2,$B$7,$B$3,$B$4,$B$5,$F89,$B$6,AC$10,$A89,$B89)</f>
        <v>13</v>
      </c>
      <c r="AD89" s="4">
        <f ca="1">_xll.DBRW($B$1,$B$2,$B$7,$B$3,$B$4,$B$5,$F89,$B$6,AD$10,$A89,$B89)</f>
        <v>13</v>
      </c>
      <c r="AE89" s="4">
        <f ca="1">_xll.DBRW($B$1,$B$2,$B$7,$B$3,$B$4,$B$5,$F89,$B$6,AE$10,$A89,$B89)</f>
        <v>14</v>
      </c>
    </row>
    <row r="90" spans="1:31">
      <c r="A90" s="1" t="s">
        <v>150</v>
      </c>
      <c r="B90" s="5" t="s">
        <v>245</v>
      </c>
      <c r="C90" s="5" t="s">
        <v>246</v>
      </c>
      <c r="D90" s="5" t="s">
        <v>244</v>
      </c>
      <c r="E90" s="5" t="s">
        <v>21</v>
      </c>
      <c r="F90" s="5" t="s">
        <v>312</v>
      </c>
      <c r="G90" s="6"/>
      <c r="H90" s="6"/>
      <c r="I90" s="6"/>
      <c r="J90" s="6"/>
      <c r="K90" s="6"/>
      <c r="L90" s="4">
        <f ca="1">_xll.DBRW($B$1,$B$2,$B$7,$B$3,$B$4,$B$5,$F90,$B$6,L$10,$A90,$B90)</f>
        <v>13</v>
      </c>
      <c r="M90" s="4">
        <f ca="1">_xll.DBRW($B$1,$B$2,$B$7,$B$3,$B$4,$B$5,$F90,$B$6,M$10,$A90,$B90)</f>
        <v>13</v>
      </c>
      <c r="N90" s="4">
        <f ca="1">_xll.DBRW($B$1,$B$2,$B$7,$B$3,$B$4,$B$5,$F90,$B$6,N$10,$A90,$B90)</f>
        <v>13</v>
      </c>
      <c r="O90" s="4">
        <f ca="1">_xll.DBRW($B$1,$B$2,$B$7,$B$3,$B$4,$B$5,$F90,$B$6,O$10,$A90,$B90)</f>
        <v>11</v>
      </c>
      <c r="P90" s="4">
        <f ca="1">_xll.DBRW($B$1,$B$2,$B$7,$B$3,$B$4,$B$5,$F90,$B$6,P$10,$A90,$B90)</f>
        <v>13</v>
      </c>
      <c r="Q90" s="4">
        <f ca="1">_xll.DBRW($B$1,$B$2,$B$7,$B$3,$B$4,$B$5,$F90,$B$6,Q$10,$A90,$B90)</f>
        <v>10</v>
      </c>
      <c r="R90" s="4">
        <f ca="1">_xll.DBRW($B$1,$B$2,$B$7,$B$3,$B$4,$B$5,$F90,$B$6,R$10,$A90,$B90)</f>
        <v>3</v>
      </c>
      <c r="S90" s="4">
        <f ca="1">_xll.DBRW($B$1,$B$2,$B$7,$B$3,$B$4,$B$5,$F90,$B$6,S$10,$A90,$B90)</f>
        <v>0</v>
      </c>
      <c r="T90" s="4">
        <f ca="1">_xll.DBRW($B$1,$B$2,$B$7,$B$3,$B$4,$B$5,$F90,$B$6,T$10,$A90,$B90)</f>
        <v>13</v>
      </c>
      <c r="U90" s="4">
        <f ca="1">_xll.DBRW($B$1,$B$2,$B$7,$B$3,$B$4,$B$5,$F90,$B$6,U$10,$A90,$B90)</f>
        <v>12</v>
      </c>
      <c r="V90" s="4">
        <f ca="1">_xll.DBRW($B$1,$B$2,$B$7,$B$3,$B$4,$B$5,$F90,$B$6,V$10,$A90,$B90)</f>
        <v>13</v>
      </c>
      <c r="W90" s="4">
        <f ca="1">_xll.DBRW($B$1,$B$2,$B$7,$B$3,$B$4,$B$5,$F90,$B$6,W$10,$A90,$B90)</f>
        <v>9</v>
      </c>
      <c r="X90" s="4">
        <f ca="1">_xll.DBRW($B$1,$B$2,$B$7,$B$3,$B$4,$B$5,$F90,$B$6,X$10,$A90,$B90)</f>
        <v>8</v>
      </c>
      <c r="Y90" s="4">
        <f ca="1">_xll.DBRW($B$1,$B$2,$B$7,$B$3,$B$4,$B$5,$F90,$B$6,Y$10,$A90,$B90)</f>
        <v>9</v>
      </c>
      <c r="Z90" s="4">
        <f ca="1">_xll.DBRW($B$1,$B$2,$B$7,$B$3,$B$4,$B$5,$F90,$B$6,Z$10,$A90,$B90)</f>
        <v>9</v>
      </c>
      <c r="AA90" s="4">
        <f ca="1">_xll.DBRW($B$1,$B$2,$B$7,$B$3,$B$4,$B$5,$F90,$B$6,AA$10,$A90,$B90)</f>
        <v>9</v>
      </c>
      <c r="AB90" s="4">
        <f ca="1">_xll.DBRW($B$1,$B$2,$B$7,$B$3,$B$4,$B$5,$F90,$B$6,AB$10,$A90,$B90)</f>
        <v>8</v>
      </c>
      <c r="AC90" s="4">
        <f ca="1">_xll.DBRW($B$1,$B$2,$B$7,$B$3,$B$4,$B$5,$F90,$B$6,AC$10,$A90,$B90)</f>
        <v>13</v>
      </c>
      <c r="AD90" s="4">
        <f ca="1">_xll.DBRW($B$1,$B$2,$B$7,$B$3,$B$4,$B$5,$F90,$B$6,AD$10,$A90,$B90)</f>
        <v>13</v>
      </c>
      <c r="AE90" s="4">
        <f ca="1">_xll.DBRW($B$1,$B$2,$B$7,$B$3,$B$4,$B$5,$F90,$B$6,AE$10,$A90,$B90)</f>
        <v>14</v>
      </c>
    </row>
    <row r="91" spans="1:31">
      <c r="A91" s="1" t="s">
        <v>150</v>
      </c>
      <c r="B91" s="5" t="s">
        <v>247</v>
      </c>
      <c r="C91" s="5" t="s">
        <v>248</v>
      </c>
      <c r="D91" s="5" t="s">
        <v>21</v>
      </c>
      <c r="E91" s="5" t="s">
        <v>249</v>
      </c>
      <c r="F91" s="5" t="s">
        <v>312</v>
      </c>
      <c r="G91" s="6"/>
      <c r="H91" s="6"/>
      <c r="I91" s="6"/>
      <c r="J91" s="6"/>
      <c r="K91" s="6"/>
      <c r="L91" s="4">
        <f ca="1">_xll.DBRW($B$1,$B$2,$B$7,$B$3,$B$4,$B$5,$F91,$B$6,L$10,$A91,$B91)</f>
        <v>0</v>
      </c>
      <c r="M91" s="4">
        <f ca="1">_xll.DBRW($B$1,$B$2,$B$7,$B$3,$B$4,$B$5,$F91,$B$6,M$10,$A91,$B91)</f>
        <v>0</v>
      </c>
      <c r="N91" s="4">
        <f ca="1">_xll.DBRW($B$1,$B$2,$B$7,$B$3,$B$4,$B$5,$F91,$B$6,N$10,$A91,$B91)</f>
        <v>0</v>
      </c>
      <c r="O91" s="4">
        <f ca="1">_xll.DBRW($B$1,$B$2,$B$7,$B$3,$B$4,$B$5,$F91,$B$6,O$10,$A91,$B91)</f>
        <v>0</v>
      </c>
      <c r="P91" s="4">
        <f ca="1">_xll.DBRW($B$1,$B$2,$B$7,$B$3,$B$4,$B$5,$F91,$B$6,P$10,$A91,$B91)</f>
        <v>0</v>
      </c>
      <c r="Q91" s="4">
        <f ca="1">_xll.DBRW($B$1,$B$2,$B$7,$B$3,$B$4,$B$5,$F91,$B$6,Q$10,$A91,$B91)</f>
        <v>0</v>
      </c>
      <c r="R91" s="4">
        <f ca="1">_xll.DBRW($B$1,$B$2,$B$7,$B$3,$B$4,$B$5,$F91,$B$6,R$10,$A91,$B91)</f>
        <v>0</v>
      </c>
      <c r="S91" s="4">
        <f ca="1">_xll.DBRW($B$1,$B$2,$B$7,$B$3,$B$4,$B$5,$F91,$B$6,S$10,$A91,$B91)</f>
        <v>0</v>
      </c>
      <c r="T91" s="4">
        <f ca="1">_xll.DBRW($B$1,$B$2,$B$7,$B$3,$B$4,$B$5,$F91,$B$6,T$10,$A91,$B91)</f>
        <v>0</v>
      </c>
      <c r="U91" s="4">
        <f ca="1">_xll.DBRW($B$1,$B$2,$B$7,$B$3,$B$4,$B$5,$F91,$B$6,U$10,$A91,$B91)</f>
        <v>0</v>
      </c>
      <c r="V91" s="4">
        <f ca="1">_xll.DBRW($B$1,$B$2,$B$7,$B$3,$B$4,$B$5,$F91,$B$6,V$10,$A91,$B91)</f>
        <v>0</v>
      </c>
      <c r="W91" s="4">
        <f ca="1">_xll.DBRW($B$1,$B$2,$B$7,$B$3,$B$4,$B$5,$F91,$B$6,W$10,$A91,$B91)</f>
        <v>0</v>
      </c>
      <c r="X91" s="4">
        <f ca="1">_xll.DBRW($B$1,$B$2,$B$7,$B$3,$B$4,$B$5,$F91,$B$6,X$10,$A91,$B91)</f>
        <v>0</v>
      </c>
      <c r="Y91" s="4">
        <f ca="1">_xll.DBRW($B$1,$B$2,$B$7,$B$3,$B$4,$B$5,$F91,$B$6,Y$10,$A91,$B91)</f>
        <v>0</v>
      </c>
      <c r="Z91" s="4">
        <f ca="1">_xll.DBRW($B$1,$B$2,$B$7,$B$3,$B$4,$B$5,$F91,$B$6,Z$10,$A91,$B91)</f>
        <v>0</v>
      </c>
      <c r="AA91" s="4">
        <f ca="1">_xll.DBRW($B$1,$B$2,$B$7,$B$3,$B$4,$B$5,$F91,$B$6,AA$10,$A91,$B91)</f>
        <v>0</v>
      </c>
      <c r="AB91" s="4">
        <f ca="1">_xll.DBRW($B$1,$B$2,$B$7,$B$3,$B$4,$B$5,$F91,$B$6,AB$10,$A91,$B91)</f>
        <v>0</v>
      </c>
      <c r="AC91" s="4">
        <f ca="1">_xll.DBRW($B$1,$B$2,$B$7,$B$3,$B$4,$B$5,$F91,$B$6,AC$10,$A91,$B91)</f>
        <v>0</v>
      </c>
      <c r="AD91" s="4">
        <f ca="1">_xll.DBRW($B$1,$B$2,$B$7,$B$3,$B$4,$B$5,$F91,$B$6,AD$10,$A91,$B91)</f>
        <v>0</v>
      </c>
      <c r="AE91" s="4">
        <f ca="1">_xll.DBRW($B$1,$B$2,$B$7,$B$3,$B$4,$B$5,$F91,$B$6,AE$10,$A91,$B91)</f>
        <v>0</v>
      </c>
    </row>
    <row r="92" spans="1:31">
      <c r="A92" s="1" t="s">
        <v>150</v>
      </c>
      <c r="B92" s="5" t="s">
        <v>250</v>
      </c>
      <c r="C92" s="5" t="s">
        <v>251</v>
      </c>
      <c r="D92" s="5" t="s">
        <v>249</v>
      </c>
      <c r="E92" s="5" t="s">
        <v>21</v>
      </c>
      <c r="F92" s="5" t="s">
        <v>312</v>
      </c>
      <c r="G92" s="6"/>
      <c r="H92" s="6"/>
      <c r="I92" s="6"/>
      <c r="J92" s="6"/>
      <c r="K92" s="6"/>
      <c r="L92" s="4">
        <f ca="1">_xll.DBRW($B$1,$B$2,$B$7,$B$3,$B$4,$B$5,$F92,$B$6,L$10,$A92,$B92)</f>
        <v>0</v>
      </c>
      <c r="M92" s="4">
        <f ca="1">_xll.DBRW($B$1,$B$2,$B$7,$B$3,$B$4,$B$5,$F92,$B$6,M$10,$A92,$B92)</f>
        <v>0</v>
      </c>
      <c r="N92" s="4">
        <f ca="1">_xll.DBRW($B$1,$B$2,$B$7,$B$3,$B$4,$B$5,$F92,$B$6,N$10,$A92,$B92)</f>
        <v>0</v>
      </c>
      <c r="O92" s="4">
        <f ca="1">_xll.DBRW($B$1,$B$2,$B$7,$B$3,$B$4,$B$5,$F92,$B$6,O$10,$A92,$B92)</f>
        <v>0</v>
      </c>
      <c r="P92" s="4">
        <f ca="1">_xll.DBRW($B$1,$B$2,$B$7,$B$3,$B$4,$B$5,$F92,$B$6,P$10,$A92,$B92)</f>
        <v>0</v>
      </c>
      <c r="Q92" s="4">
        <f ca="1">_xll.DBRW($B$1,$B$2,$B$7,$B$3,$B$4,$B$5,$F92,$B$6,Q$10,$A92,$B92)</f>
        <v>0</v>
      </c>
      <c r="R92" s="4">
        <f ca="1">_xll.DBRW($B$1,$B$2,$B$7,$B$3,$B$4,$B$5,$F92,$B$6,R$10,$A92,$B92)</f>
        <v>0</v>
      </c>
      <c r="S92" s="4">
        <f ca="1">_xll.DBRW($B$1,$B$2,$B$7,$B$3,$B$4,$B$5,$F92,$B$6,S$10,$A92,$B92)</f>
        <v>0</v>
      </c>
      <c r="T92" s="4">
        <f ca="1">_xll.DBRW($B$1,$B$2,$B$7,$B$3,$B$4,$B$5,$F92,$B$6,T$10,$A92,$B92)</f>
        <v>0</v>
      </c>
      <c r="U92" s="4">
        <f ca="1">_xll.DBRW($B$1,$B$2,$B$7,$B$3,$B$4,$B$5,$F92,$B$6,U$10,$A92,$B92)</f>
        <v>0</v>
      </c>
      <c r="V92" s="4">
        <f ca="1">_xll.DBRW($B$1,$B$2,$B$7,$B$3,$B$4,$B$5,$F92,$B$6,V$10,$A92,$B92)</f>
        <v>0</v>
      </c>
      <c r="W92" s="4">
        <f ca="1">_xll.DBRW($B$1,$B$2,$B$7,$B$3,$B$4,$B$5,$F92,$B$6,W$10,$A92,$B92)</f>
        <v>0</v>
      </c>
      <c r="X92" s="4">
        <f ca="1">_xll.DBRW($B$1,$B$2,$B$7,$B$3,$B$4,$B$5,$F92,$B$6,X$10,$A92,$B92)</f>
        <v>0</v>
      </c>
      <c r="Y92" s="4">
        <f ca="1">_xll.DBRW($B$1,$B$2,$B$7,$B$3,$B$4,$B$5,$F92,$B$6,Y$10,$A92,$B92)</f>
        <v>0</v>
      </c>
      <c r="Z92" s="4">
        <f ca="1">_xll.DBRW($B$1,$B$2,$B$7,$B$3,$B$4,$B$5,$F92,$B$6,Z$10,$A92,$B92)</f>
        <v>0</v>
      </c>
      <c r="AA92" s="4">
        <f ca="1">_xll.DBRW($B$1,$B$2,$B$7,$B$3,$B$4,$B$5,$F92,$B$6,AA$10,$A92,$B92)</f>
        <v>0</v>
      </c>
      <c r="AB92" s="4">
        <f ca="1">_xll.DBRW($B$1,$B$2,$B$7,$B$3,$B$4,$B$5,$F92,$B$6,AB$10,$A92,$B92)</f>
        <v>0</v>
      </c>
      <c r="AC92" s="4">
        <f ca="1">_xll.DBRW($B$1,$B$2,$B$7,$B$3,$B$4,$B$5,$F92,$B$6,AC$10,$A92,$B92)</f>
        <v>0</v>
      </c>
      <c r="AD92" s="4">
        <f ca="1">_xll.DBRW($B$1,$B$2,$B$7,$B$3,$B$4,$B$5,$F92,$B$6,AD$10,$A92,$B92)</f>
        <v>0</v>
      </c>
      <c r="AE92" s="4">
        <f ca="1">_xll.DBRW($B$1,$B$2,$B$7,$B$3,$B$4,$B$5,$F92,$B$6,AE$10,$A92,$B92)</f>
        <v>0</v>
      </c>
    </row>
    <row r="93" spans="1:31">
      <c r="A93" s="1" t="s">
        <v>150</v>
      </c>
      <c r="B93" s="5" t="s">
        <v>252</v>
      </c>
      <c r="C93" s="5" t="s">
        <v>226</v>
      </c>
      <c r="D93" s="5" t="s">
        <v>21</v>
      </c>
      <c r="E93" s="5" t="s">
        <v>227</v>
      </c>
      <c r="F93" s="5" t="s">
        <v>312</v>
      </c>
      <c r="G93" s="6"/>
      <c r="H93" s="6"/>
      <c r="I93" s="6"/>
      <c r="J93" s="6"/>
      <c r="K93" s="6"/>
      <c r="L93" s="4">
        <f ca="1">_xll.DBRW($B$1,$B$2,$B$7,$B$3,$B$4,$B$5,$F93,$B$6,L$10,$A93,$B93)</f>
        <v>11</v>
      </c>
      <c r="M93" s="4">
        <f ca="1">_xll.DBRW($B$1,$B$2,$B$7,$B$3,$B$4,$B$5,$F93,$B$6,M$10,$A93,$B93)</f>
        <v>0</v>
      </c>
      <c r="N93" s="4">
        <f ca="1">_xll.DBRW($B$1,$B$2,$B$7,$B$3,$B$4,$B$5,$F93,$B$6,N$10,$A93,$B93)</f>
        <v>0</v>
      </c>
      <c r="O93" s="4">
        <f ca="1">_xll.DBRW($B$1,$B$2,$B$7,$B$3,$B$4,$B$5,$F93,$B$6,O$10,$A93,$B93)</f>
        <v>0</v>
      </c>
      <c r="P93" s="4">
        <f ca="1">_xll.DBRW($B$1,$B$2,$B$7,$B$3,$B$4,$B$5,$F93,$B$6,P$10,$A93,$B93)</f>
        <v>0</v>
      </c>
      <c r="Q93" s="4">
        <f ca="1">_xll.DBRW($B$1,$B$2,$B$7,$B$3,$B$4,$B$5,$F93,$B$6,Q$10,$A93,$B93)</f>
        <v>0</v>
      </c>
      <c r="R93" s="4">
        <f ca="1">_xll.DBRW($B$1,$B$2,$B$7,$B$3,$B$4,$B$5,$F93,$B$6,R$10,$A93,$B93)</f>
        <v>0</v>
      </c>
      <c r="S93" s="4">
        <f ca="1">_xll.DBRW($B$1,$B$2,$B$7,$B$3,$B$4,$B$5,$F93,$B$6,S$10,$A93,$B93)</f>
        <v>13</v>
      </c>
      <c r="T93" s="4">
        <f ca="1">_xll.DBRW($B$1,$B$2,$B$7,$B$3,$B$4,$B$5,$F93,$B$6,T$10,$A93,$B93)</f>
        <v>13</v>
      </c>
      <c r="U93" s="4">
        <f ca="1">_xll.DBRW($B$1,$B$2,$B$7,$B$3,$B$4,$B$5,$F93,$B$6,U$10,$A93,$B93)</f>
        <v>12</v>
      </c>
      <c r="V93" s="4">
        <f ca="1">_xll.DBRW($B$1,$B$2,$B$7,$B$3,$B$4,$B$5,$F93,$B$6,V$10,$A93,$B93)</f>
        <v>13</v>
      </c>
      <c r="W93" s="4">
        <f ca="1">_xll.DBRW($B$1,$B$2,$B$7,$B$3,$B$4,$B$5,$F93,$B$6,W$10,$A93,$B93)</f>
        <v>0</v>
      </c>
      <c r="X93" s="4">
        <f ca="1">_xll.DBRW($B$1,$B$2,$B$7,$B$3,$B$4,$B$5,$F93,$B$6,X$10,$A93,$B93)</f>
        <v>0</v>
      </c>
      <c r="Y93" s="4">
        <f ca="1">_xll.DBRW($B$1,$B$2,$B$7,$B$3,$B$4,$B$5,$F93,$B$6,Y$10,$A93,$B93)</f>
        <v>0</v>
      </c>
      <c r="Z93" s="4">
        <f ca="1">_xll.DBRW($B$1,$B$2,$B$7,$B$3,$B$4,$B$5,$F93,$B$6,Z$10,$A93,$B93)</f>
        <v>0</v>
      </c>
      <c r="AA93" s="4">
        <f ca="1">_xll.DBRW($B$1,$B$2,$B$7,$B$3,$B$4,$B$5,$F93,$B$6,AA$10,$A93,$B93)</f>
        <v>0</v>
      </c>
      <c r="AB93" s="4">
        <f ca="1">_xll.DBRW($B$1,$B$2,$B$7,$B$3,$B$4,$B$5,$F93,$B$6,AB$10,$A93,$B93)</f>
        <v>0</v>
      </c>
      <c r="AC93" s="4">
        <f ca="1">_xll.DBRW($B$1,$B$2,$B$7,$B$3,$B$4,$B$5,$F93,$B$6,AC$10,$A93,$B93)</f>
        <v>2</v>
      </c>
      <c r="AD93" s="4">
        <f ca="1">_xll.DBRW($B$1,$B$2,$B$7,$B$3,$B$4,$B$5,$F93,$B$6,AD$10,$A93,$B93)</f>
        <v>13</v>
      </c>
      <c r="AE93" s="4">
        <f ca="1">_xll.DBRW($B$1,$B$2,$B$7,$B$3,$B$4,$B$5,$F93,$B$6,AE$10,$A93,$B93)</f>
        <v>13</v>
      </c>
    </row>
    <row r="94" spans="1:31">
      <c r="A94" s="1" t="s">
        <v>150</v>
      </c>
      <c r="B94" s="5" t="s">
        <v>253</v>
      </c>
      <c r="C94" s="5" t="s">
        <v>229</v>
      </c>
      <c r="D94" s="5" t="s">
        <v>227</v>
      </c>
      <c r="E94" s="5" t="s">
        <v>21</v>
      </c>
      <c r="F94" s="5" t="s">
        <v>312</v>
      </c>
      <c r="G94" s="6"/>
      <c r="H94" s="6"/>
      <c r="I94" s="6"/>
      <c r="J94" s="6"/>
      <c r="K94" s="6"/>
      <c r="L94" s="4">
        <f ca="1">_xll.DBRW($B$1,$B$2,$B$7,$B$3,$B$4,$B$5,$F94,$B$6,L$10,$A94,$B94)</f>
        <v>11</v>
      </c>
      <c r="M94" s="4">
        <f ca="1">_xll.DBRW($B$1,$B$2,$B$7,$B$3,$B$4,$B$5,$F94,$B$6,M$10,$A94,$B94)</f>
        <v>0</v>
      </c>
      <c r="N94" s="4">
        <f ca="1">_xll.DBRW($B$1,$B$2,$B$7,$B$3,$B$4,$B$5,$F94,$B$6,N$10,$A94,$B94)</f>
        <v>0</v>
      </c>
      <c r="O94" s="4">
        <f ca="1">_xll.DBRW($B$1,$B$2,$B$7,$B$3,$B$4,$B$5,$F94,$B$6,O$10,$A94,$B94)</f>
        <v>0</v>
      </c>
      <c r="P94" s="4">
        <f ca="1">_xll.DBRW($B$1,$B$2,$B$7,$B$3,$B$4,$B$5,$F94,$B$6,P$10,$A94,$B94)</f>
        <v>0</v>
      </c>
      <c r="Q94" s="4">
        <f ca="1">_xll.DBRW($B$1,$B$2,$B$7,$B$3,$B$4,$B$5,$F94,$B$6,Q$10,$A94,$B94)</f>
        <v>0</v>
      </c>
      <c r="R94" s="4">
        <f ca="1">_xll.DBRW($B$1,$B$2,$B$7,$B$3,$B$4,$B$5,$F94,$B$6,R$10,$A94,$B94)</f>
        <v>0</v>
      </c>
      <c r="S94" s="4">
        <f ca="1">_xll.DBRW($B$1,$B$2,$B$7,$B$3,$B$4,$B$5,$F94,$B$6,S$10,$A94,$B94)</f>
        <v>13</v>
      </c>
      <c r="T94" s="4">
        <f ca="1">_xll.DBRW($B$1,$B$2,$B$7,$B$3,$B$4,$B$5,$F94,$B$6,T$10,$A94,$B94)</f>
        <v>13</v>
      </c>
      <c r="U94" s="4">
        <f ca="1">_xll.DBRW($B$1,$B$2,$B$7,$B$3,$B$4,$B$5,$F94,$B$6,U$10,$A94,$B94)</f>
        <v>12</v>
      </c>
      <c r="V94" s="4">
        <f ca="1">_xll.DBRW($B$1,$B$2,$B$7,$B$3,$B$4,$B$5,$F94,$B$6,V$10,$A94,$B94)</f>
        <v>13</v>
      </c>
      <c r="W94" s="4">
        <f ca="1">_xll.DBRW($B$1,$B$2,$B$7,$B$3,$B$4,$B$5,$F94,$B$6,W$10,$A94,$B94)</f>
        <v>0</v>
      </c>
      <c r="X94" s="4">
        <f ca="1">_xll.DBRW($B$1,$B$2,$B$7,$B$3,$B$4,$B$5,$F94,$B$6,X$10,$A94,$B94)</f>
        <v>0</v>
      </c>
      <c r="Y94" s="4">
        <f ca="1">_xll.DBRW($B$1,$B$2,$B$7,$B$3,$B$4,$B$5,$F94,$B$6,Y$10,$A94,$B94)</f>
        <v>0</v>
      </c>
      <c r="Z94" s="4">
        <f ca="1">_xll.DBRW($B$1,$B$2,$B$7,$B$3,$B$4,$B$5,$F94,$B$6,Z$10,$A94,$B94)</f>
        <v>0</v>
      </c>
      <c r="AA94" s="4">
        <f ca="1">_xll.DBRW($B$1,$B$2,$B$7,$B$3,$B$4,$B$5,$F94,$B$6,AA$10,$A94,$B94)</f>
        <v>0</v>
      </c>
      <c r="AB94" s="4">
        <f ca="1">_xll.DBRW($B$1,$B$2,$B$7,$B$3,$B$4,$B$5,$F94,$B$6,AB$10,$A94,$B94)</f>
        <v>0</v>
      </c>
      <c r="AC94" s="4">
        <f ca="1">_xll.DBRW($B$1,$B$2,$B$7,$B$3,$B$4,$B$5,$F94,$B$6,AC$10,$A94,$B94)</f>
        <v>2</v>
      </c>
      <c r="AD94" s="4">
        <f ca="1">_xll.DBRW($B$1,$B$2,$B$7,$B$3,$B$4,$B$5,$F94,$B$6,AD$10,$A94,$B94)</f>
        <v>13</v>
      </c>
      <c r="AE94" s="4">
        <f ca="1">_xll.DBRW($B$1,$B$2,$B$7,$B$3,$B$4,$B$5,$F94,$B$6,AE$10,$A94,$B94)</f>
        <v>13</v>
      </c>
    </row>
    <row r="95" spans="1:31">
      <c r="A95" s="1" t="s">
        <v>150</v>
      </c>
      <c r="B95" s="5" t="s">
        <v>254</v>
      </c>
      <c r="C95" s="5" t="s">
        <v>255</v>
      </c>
      <c r="D95" s="5" t="s">
        <v>60</v>
      </c>
      <c r="E95" s="5" t="s">
        <v>59</v>
      </c>
      <c r="F95" s="5" t="s">
        <v>312</v>
      </c>
      <c r="G95" s="6"/>
      <c r="H95" s="6"/>
      <c r="I95" s="6"/>
      <c r="J95" s="6"/>
      <c r="K95" s="6"/>
      <c r="L95" s="4">
        <f ca="1">_xll.DBRW($B$1,$B$2,$B$7,$B$3,$B$4,$B$5,$F95,$B$6,L$10,$A95,$B95)</f>
        <v>0</v>
      </c>
      <c r="M95" s="4">
        <f ca="1">_xll.DBRW($B$1,$B$2,$B$7,$B$3,$B$4,$B$5,$F95,$B$6,M$10,$A95,$B95)</f>
        <v>0</v>
      </c>
      <c r="N95" s="4">
        <f ca="1">_xll.DBRW($B$1,$B$2,$B$7,$B$3,$B$4,$B$5,$F95,$B$6,N$10,$A95,$B95)</f>
        <v>0</v>
      </c>
      <c r="O95" s="4">
        <f ca="1">_xll.DBRW($B$1,$B$2,$B$7,$B$3,$B$4,$B$5,$F95,$B$6,O$10,$A95,$B95)</f>
        <v>0</v>
      </c>
      <c r="P95" s="4">
        <f ca="1">_xll.DBRW($B$1,$B$2,$B$7,$B$3,$B$4,$B$5,$F95,$B$6,P$10,$A95,$B95)</f>
        <v>0</v>
      </c>
      <c r="Q95" s="4">
        <f ca="1">_xll.DBRW($B$1,$B$2,$B$7,$B$3,$B$4,$B$5,$F95,$B$6,Q$10,$A95,$B95)</f>
        <v>0</v>
      </c>
      <c r="R95" s="4">
        <f ca="1">_xll.DBRW($B$1,$B$2,$B$7,$B$3,$B$4,$B$5,$F95,$B$6,R$10,$A95,$B95)</f>
        <v>0</v>
      </c>
      <c r="S95" s="4">
        <f ca="1">_xll.DBRW($B$1,$B$2,$B$7,$B$3,$B$4,$B$5,$F95,$B$6,S$10,$A95,$B95)</f>
        <v>0</v>
      </c>
      <c r="T95" s="4">
        <f ca="1">_xll.DBRW($B$1,$B$2,$B$7,$B$3,$B$4,$B$5,$F95,$B$6,T$10,$A95,$B95)</f>
        <v>0</v>
      </c>
      <c r="U95" s="4">
        <f ca="1">_xll.DBRW($B$1,$B$2,$B$7,$B$3,$B$4,$B$5,$F95,$B$6,U$10,$A95,$B95)</f>
        <v>0</v>
      </c>
      <c r="V95" s="4">
        <f ca="1">_xll.DBRW($B$1,$B$2,$B$7,$B$3,$B$4,$B$5,$F95,$B$6,V$10,$A95,$B95)</f>
        <v>0</v>
      </c>
      <c r="W95" s="4">
        <f ca="1">_xll.DBRW($B$1,$B$2,$B$7,$B$3,$B$4,$B$5,$F95,$B$6,W$10,$A95,$B95)</f>
        <v>0</v>
      </c>
      <c r="X95" s="4">
        <f ca="1">_xll.DBRW($B$1,$B$2,$B$7,$B$3,$B$4,$B$5,$F95,$B$6,X$10,$A95,$B95)</f>
        <v>0</v>
      </c>
      <c r="Y95" s="4">
        <f ca="1">_xll.DBRW($B$1,$B$2,$B$7,$B$3,$B$4,$B$5,$F95,$B$6,Y$10,$A95,$B95)</f>
        <v>0</v>
      </c>
      <c r="Z95" s="4">
        <f ca="1">_xll.DBRW($B$1,$B$2,$B$7,$B$3,$B$4,$B$5,$F95,$B$6,Z$10,$A95,$B95)</f>
        <v>0</v>
      </c>
      <c r="AA95" s="4">
        <f ca="1">_xll.DBRW($B$1,$B$2,$B$7,$B$3,$B$4,$B$5,$F95,$B$6,AA$10,$A95,$B95)</f>
        <v>0</v>
      </c>
      <c r="AB95" s="4">
        <f ca="1">_xll.DBRW($B$1,$B$2,$B$7,$B$3,$B$4,$B$5,$F95,$B$6,AB$10,$A95,$B95)</f>
        <v>0</v>
      </c>
      <c r="AC95" s="4">
        <f ca="1">_xll.DBRW($B$1,$B$2,$B$7,$B$3,$B$4,$B$5,$F95,$B$6,AC$10,$A95,$B95)</f>
        <v>0</v>
      </c>
      <c r="AD95" s="4">
        <f ca="1">_xll.DBRW($B$1,$B$2,$B$7,$B$3,$B$4,$B$5,$F95,$B$6,AD$10,$A95,$B95)</f>
        <v>0</v>
      </c>
      <c r="AE95" s="4">
        <f ca="1">_xll.DBRW($B$1,$B$2,$B$7,$B$3,$B$4,$B$5,$F95,$B$6,AE$10,$A95,$B95)</f>
        <v>0</v>
      </c>
    </row>
    <row r="96" spans="1:31">
      <c r="A96" s="1" t="s">
        <v>150</v>
      </c>
      <c r="B96" s="5" t="s">
        <v>57</v>
      </c>
      <c r="C96" s="5" t="s">
        <v>58</v>
      </c>
      <c r="D96" s="5" t="s">
        <v>59</v>
      </c>
      <c r="E96" s="5" t="s">
        <v>60</v>
      </c>
      <c r="F96" s="5" t="s">
        <v>312</v>
      </c>
      <c r="G96" s="6"/>
      <c r="H96" s="6"/>
      <c r="I96" s="6"/>
      <c r="J96" s="6"/>
      <c r="K96" s="6"/>
      <c r="L96" s="4">
        <f ca="1">_xll.DBRW($B$1,$B$2,$B$7,$B$3,$B$4,$B$5,$F96,$B$6,L$10,$A96,$B96)</f>
        <v>0</v>
      </c>
      <c r="M96" s="4">
        <f ca="1">_xll.DBRW($B$1,$B$2,$B$7,$B$3,$B$4,$B$5,$F96,$B$6,M$10,$A96,$B96)</f>
        <v>0</v>
      </c>
      <c r="N96" s="4">
        <f ca="1">_xll.DBRW($B$1,$B$2,$B$7,$B$3,$B$4,$B$5,$F96,$B$6,N$10,$A96,$B96)</f>
        <v>0</v>
      </c>
      <c r="O96" s="4">
        <f ca="1">_xll.DBRW($B$1,$B$2,$B$7,$B$3,$B$4,$B$5,$F96,$B$6,O$10,$A96,$B96)</f>
        <v>0</v>
      </c>
      <c r="P96" s="4">
        <f ca="1">_xll.DBRW($B$1,$B$2,$B$7,$B$3,$B$4,$B$5,$F96,$B$6,P$10,$A96,$B96)</f>
        <v>0</v>
      </c>
      <c r="Q96" s="4">
        <f ca="1">_xll.DBRW($B$1,$B$2,$B$7,$B$3,$B$4,$B$5,$F96,$B$6,Q$10,$A96,$B96)</f>
        <v>0</v>
      </c>
      <c r="R96" s="4">
        <f ca="1">_xll.DBRW($B$1,$B$2,$B$7,$B$3,$B$4,$B$5,$F96,$B$6,R$10,$A96,$B96)</f>
        <v>0</v>
      </c>
      <c r="S96" s="4">
        <f ca="1">_xll.DBRW($B$1,$B$2,$B$7,$B$3,$B$4,$B$5,$F96,$B$6,S$10,$A96,$B96)</f>
        <v>0</v>
      </c>
      <c r="T96" s="4">
        <f ca="1">_xll.DBRW($B$1,$B$2,$B$7,$B$3,$B$4,$B$5,$F96,$B$6,T$10,$A96,$B96)</f>
        <v>0</v>
      </c>
      <c r="U96" s="4">
        <f ca="1">_xll.DBRW($B$1,$B$2,$B$7,$B$3,$B$4,$B$5,$F96,$B$6,U$10,$A96,$B96)</f>
        <v>0</v>
      </c>
      <c r="V96" s="4">
        <f ca="1">_xll.DBRW($B$1,$B$2,$B$7,$B$3,$B$4,$B$5,$F96,$B$6,V$10,$A96,$B96)</f>
        <v>0</v>
      </c>
      <c r="W96" s="4">
        <f ca="1">_xll.DBRW($B$1,$B$2,$B$7,$B$3,$B$4,$B$5,$F96,$B$6,W$10,$A96,$B96)</f>
        <v>0</v>
      </c>
      <c r="X96" s="4">
        <f ca="1">_xll.DBRW($B$1,$B$2,$B$7,$B$3,$B$4,$B$5,$F96,$B$6,X$10,$A96,$B96)</f>
        <v>0</v>
      </c>
      <c r="Y96" s="4">
        <f ca="1">_xll.DBRW($B$1,$B$2,$B$7,$B$3,$B$4,$B$5,$F96,$B$6,Y$10,$A96,$B96)</f>
        <v>0</v>
      </c>
      <c r="Z96" s="4">
        <f ca="1">_xll.DBRW($B$1,$B$2,$B$7,$B$3,$B$4,$B$5,$F96,$B$6,Z$10,$A96,$B96)</f>
        <v>0</v>
      </c>
      <c r="AA96" s="4">
        <f ca="1">_xll.DBRW($B$1,$B$2,$B$7,$B$3,$B$4,$B$5,$F96,$B$6,AA$10,$A96,$B96)</f>
        <v>0</v>
      </c>
      <c r="AB96" s="4">
        <f ca="1">_xll.DBRW($B$1,$B$2,$B$7,$B$3,$B$4,$B$5,$F96,$B$6,AB$10,$A96,$B96)</f>
        <v>0</v>
      </c>
      <c r="AC96" s="4">
        <f ca="1">_xll.DBRW($B$1,$B$2,$B$7,$B$3,$B$4,$B$5,$F96,$B$6,AC$10,$A96,$B96)</f>
        <v>0</v>
      </c>
      <c r="AD96" s="4">
        <f ca="1">_xll.DBRW($B$1,$B$2,$B$7,$B$3,$B$4,$B$5,$F96,$B$6,AD$10,$A96,$B96)</f>
        <v>0</v>
      </c>
      <c r="AE96" s="4">
        <f ca="1">_xll.DBRW($B$1,$B$2,$B$7,$B$3,$B$4,$B$5,$F96,$B$6,AE$10,$A96,$B96)</f>
        <v>0</v>
      </c>
    </row>
    <row r="97" spans="1:31">
      <c r="A97" s="1" t="s">
        <v>150</v>
      </c>
      <c r="B97" s="5" t="s">
        <v>256</v>
      </c>
      <c r="C97" s="5" t="s">
        <v>206</v>
      </c>
      <c r="D97" s="5" t="s">
        <v>21</v>
      </c>
      <c r="E97" s="5" t="s">
        <v>181</v>
      </c>
      <c r="F97" s="5" t="s">
        <v>312</v>
      </c>
      <c r="G97" s="6"/>
      <c r="H97" s="6"/>
      <c r="I97" s="6"/>
      <c r="J97" s="6"/>
      <c r="K97" s="6"/>
      <c r="L97" s="4">
        <f ca="1">_xll.DBRW($B$1,$B$2,$B$7,$B$3,$B$4,$B$5,$F97,$B$6,L$10,$A97,$B97)</f>
        <v>0</v>
      </c>
      <c r="M97" s="4">
        <f ca="1">_xll.DBRW($B$1,$B$2,$B$7,$B$3,$B$4,$B$5,$F97,$B$6,M$10,$A97,$B97)</f>
        <v>0</v>
      </c>
      <c r="N97" s="4">
        <f ca="1">_xll.DBRW($B$1,$B$2,$B$7,$B$3,$B$4,$B$5,$F97,$B$6,N$10,$A97,$B97)</f>
        <v>0</v>
      </c>
      <c r="O97" s="4">
        <f ca="1">_xll.DBRW($B$1,$B$2,$B$7,$B$3,$B$4,$B$5,$F97,$B$6,O$10,$A97,$B97)</f>
        <v>0</v>
      </c>
      <c r="P97" s="4">
        <f ca="1">_xll.DBRW($B$1,$B$2,$B$7,$B$3,$B$4,$B$5,$F97,$B$6,P$10,$A97,$B97)</f>
        <v>0</v>
      </c>
      <c r="Q97" s="4">
        <f ca="1">_xll.DBRW($B$1,$B$2,$B$7,$B$3,$B$4,$B$5,$F97,$B$6,Q$10,$A97,$B97)</f>
        <v>0</v>
      </c>
      <c r="R97" s="4">
        <f ca="1">_xll.DBRW($B$1,$B$2,$B$7,$B$3,$B$4,$B$5,$F97,$B$6,R$10,$A97,$B97)</f>
        <v>0</v>
      </c>
      <c r="S97" s="4">
        <f ca="1">_xll.DBRW($B$1,$B$2,$B$7,$B$3,$B$4,$B$5,$F97,$B$6,S$10,$A97,$B97)</f>
        <v>0</v>
      </c>
      <c r="T97" s="4">
        <f ca="1">_xll.DBRW($B$1,$B$2,$B$7,$B$3,$B$4,$B$5,$F97,$B$6,T$10,$A97,$B97)</f>
        <v>0</v>
      </c>
      <c r="U97" s="4">
        <f ca="1">_xll.DBRW($B$1,$B$2,$B$7,$B$3,$B$4,$B$5,$F97,$B$6,U$10,$A97,$B97)</f>
        <v>0</v>
      </c>
      <c r="V97" s="4">
        <f ca="1">_xll.DBRW($B$1,$B$2,$B$7,$B$3,$B$4,$B$5,$F97,$B$6,V$10,$A97,$B97)</f>
        <v>0</v>
      </c>
      <c r="W97" s="4">
        <f ca="1">_xll.DBRW($B$1,$B$2,$B$7,$B$3,$B$4,$B$5,$F97,$B$6,W$10,$A97,$B97)</f>
        <v>0</v>
      </c>
      <c r="X97" s="4">
        <f ca="1">_xll.DBRW($B$1,$B$2,$B$7,$B$3,$B$4,$B$5,$F97,$B$6,X$10,$A97,$B97)</f>
        <v>0</v>
      </c>
      <c r="Y97" s="4">
        <f ca="1">_xll.DBRW($B$1,$B$2,$B$7,$B$3,$B$4,$B$5,$F97,$B$6,Y$10,$A97,$B97)</f>
        <v>0</v>
      </c>
      <c r="Z97" s="4">
        <f ca="1">_xll.DBRW($B$1,$B$2,$B$7,$B$3,$B$4,$B$5,$F97,$B$6,Z$10,$A97,$B97)</f>
        <v>0</v>
      </c>
      <c r="AA97" s="4">
        <f ca="1">_xll.DBRW($B$1,$B$2,$B$7,$B$3,$B$4,$B$5,$F97,$B$6,AA$10,$A97,$B97)</f>
        <v>0</v>
      </c>
      <c r="AB97" s="4">
        <f ca="1">_xll.DBRW($B$1,$B$2,$B$7,$B$3,$B$4,$B$5,$F97,$B$6,AB$10,$A97,$B97)</f>
        <v>0</v>
      </c>
      <c r="AC97" s="4">
        <f ca="1">_xll.DBRW($B$1,$B$2,$B$7,$B$3,$B$4,$B$5,$F97,$B$6,AC$10,$A97,$B97)</f>
        <v>0</v>
      </c>
      <c r="AD97" s="4">
        <f ca="1">_xll.DBRW($B$1,$B$2,$B$7,$B$3,$B$4,$B$5,$F97,$B$6,AD$10,$A97,$B97)</f>
        <v>0</v>
      </c>
      <c r="AE97" s="4">
        <f ca="1">_xll.DBRW($B$1,$B$2,$B$7,$B$3,$B$4,$B$5,$F97,$B$6,AE$10,$A97,$B97)</f>
        <v>0</v>
      </c>
    </row>
    <row r="98" spans="1:31">
      <c r="A98" s="1" t="s">
        <v>150</v>
      </c>
      <c r="B98" s="5" t="s">
        <v>257</v>
      </c>
      <c r="C98" s="5" t="s">
        <v>208</v>
      </c>
      <c r="D98" s="5" t="s">
        <v>181</v>
      </c>
      <c r="E98" s="5" t="s">
        <v>21</v>
      </c>
      <c r="F98" s="5" t="s">
        <v>312</v>
      </c>
      <c r="G98" s="6"/>
      <c r="H98" s="6"/>
      <c r="I98" s="6"/>
      <c r="J98" s="6"/>
      <c r="K98" s="6"/>
      <c r="L98" s="4">
        <f ca="1">_xll.DBRW($B$1,$B$2,$B$7,$B$3,$B$4,$B$5,$F98,$B$6,L$10,$A98,$B98)</f>
        <v>0</v>
      </c>
      <c r="M98" s="4">
        <f ca="1">_xll.DBRW($B$1,$B$2,$B$7,$B$3,$B$4,$B$5,$F98,$B$6,M$10,$A98,$B98)</f>
        <v>0</v>
      </c>
      <c r="N98" s="4">
        <f ca="1">_xll.DBRW($B$1,$B$2,$B$7,$B$3,$B$4,$B$5,$F98,$B$6,N$10,$A98,$B98)</f>
        <v>0</v>
      </c>
      <c r="O98" s="4">
        <f ca="1">_xll.DBRW($B$1,$B$2,$B$7,$B$3,$B$4,$B$5,$F98,$B$6,O$10,$A98,$B98)</f>
        <v>0</v>
      </c>
      <c r="P98" s="4">
        <f ca="1">_xll.DBRW($B$1,$B$2,$B$7,$B$3,$B$4,$B$5,$F98,$B$6,P$10,$A98,$B98)</f>
        <v>0</v>
      </c>
      <c r="Q98" s="4">
        <f ca="1">_xll.DBRW($B$1,$B$2,$B$7,$B$3,$B$4,$B$5,$F98,$B$6,Q$10,$A98,$B98)</f>
        <v>0</v>
      </c>
      <c r="R98" s="4">
        <f ca="1">_xll.DBRW($B$1,$B$2,$B$7,$B$3,$B$4,$B$5,$F98,$B$6,R$10,$A98,$B98)</f>
        <v>0</v>
      </c>
      <c r="S98" s="4">
        <f ca="1">_xll.DBRW($B$1,$B$2,$B$7,$B$3,$B$4,$B$5,$F98,$B$6,S$10,$A98,$B98)</f>
        <v>0</v>
      </c>
      <c r="T98" s="4">
        <f ca="1">_xll.DBRW($B$1,$B$2,$B$7,$B$3,$B$4,$B$5,$F98,$B$6,T$10,$A98,$B98)</f>
        <v>0</v>
      </c>
      <c r="U98" s="4">
        <f ca="1">_xll.DBRW($B$1,$B$2,$B$7,$B$3,$B$4,$B$5,$F98,$B$6,U$10,$A98,$B98)</f>
        <v>0</v>
      </c>
      <c r="V98" s="4">
        <f ca="1">_xll.DBRW($B$1,$B$2,$B$7,$B$3,$B$4,$B$5,$F98,$B$6,V$10,$A98,$B98)</f>
        <v>0</v>
      </c>
      <c r="W98" s="4">
        <f ca="1">_xll.DBRW($B$1,$B$2,$B$7,$B$3,$B$4,$B$5,$F98,$B$6,W$10,$A98,$B98)</f>
        <v>0</v>
      </c>
      <c r="X98" s="4">
        <f ca="1">_xll.DBRW($B$1,$B$2,$B$7,$B$3,$B$4,$B$5,$F98,$B$6,X$10,$A98,$B98)</f>
        <v>0</v>
      </c>
      <c r="Y98" s="4">
        <f ca="1">_xll.DBRW($B$1,$B$2,$B$7,$B$3,$B$4,$B$5,$F98,$B$6,Y$10,$A98,$B98)</f>
        <v>0</v>
      </c>
      <c r="Z98" s="4">
        <f ca="1">_xll.DBRW($B$1,$B$2,$B$7,$B$3,$B$4,$B$5,$F98,$B$6,Z$10,$A98,$B98)</f>
        <v>0</v>
      </c>
      <c r="AA98" s="4">
        <f ca="1">_xll.DBRW($B$1,$B$2,$B$7,$B$3,$B$4,$B$5,$F98,$B$6,AA$10,$A98,$B98)</f>
        <v>0</v>
      </c>
      <c r="AB98" s="4">
        <f ca="1">_xll.DBRW($B$1,$B$2,$B$7,$B$3,$B$4,$B$5,$F98,$B$6,AB$10,$A98,$B98)</f>
        <v>0</v>
      </c>
      <c r="AC98" s="4">
        <f ca="1">_xll.DBRW($B$1,$B$2,$B$7,$B$3,$B$4,$B$5,$F98,$B$6,AC$10,$A98,$B98)</f>
        <v>0</v>
      </c>
      <c r="AD98" s="4">
        <f ca="1">_xll.DBRW($B$1,$B$2,$B$7,$B$3,$B$4,$B$5,$F98,$B$6,AD$10,$A98,$B98)</f>
        <v>0</v>
      </c>
      <c r="AE98" s="4">
        <f ca="1">_xll.DBRW($B$1,$B$2,$B$7,$B$3,$B$4,$B$5,$F98,$B$6,AE$10,$A98,$B98)</f>
        <v>0</v>
      </c>
    </row>
    <row r="99" spans="1:31">
      <c r="A99" s="1" t="s">
        <v>150</v>
      </c>
      <c r="B99" s="5" t="s">
        <v>258</v>
      </c>
      <c r="C99" s="5" t="s">
        <v>259</v>
      </c>
      <c r="D99" s="5" t="s">
        <v>21</v>
      </c>
      <c r="E99" s="5" t="s">
        <v>260</v>
      </c>
      <c r="F99" s="5" t="s">
        <v>312</v>
      </c>
      <c r="G99" s="6"/>
      <c r="H99" s="6"/>
      <c r="I99" s="6"/>
      <c r="J99" s="6"/>
      <c r="K99" s="6"/>
      <c r="L99" s="4">
        <f ca="1">_xll.DBRW($B$1,$B$2,$B$7,$B$3,$B$4,$B$5,$F99,$B$6,L$10,$A99,$B99)</f>
        <v>0</v>
      </c>
      <c r="M99" s="4">
        <f ca="1">_xll.DBRW($B$1,$B$2,$B$7,$B$3,$B$4,$B$5,$F99,$B$6,M$10,$A99,$B99)</f>
        <v>0</v>
      </c>
      <c r="N99" s="4">
        <f ca="1">_xll.DBRW($B$1,$B$2,$B$7,$B$3,$B$4,$B$5,$F99,$B$6,N$10,$A99,$B99)</f>
        <v>0</v>
      </c>
      <c r="O99" s="4">
        <f ca="1">_xll.DBRW($B$1,$B$2,$B$7,$B$3,$B$4,$B$5,$F99,$B$6,O$10,$A99,$B99)</f>
        <v>0</v>
      </c>
      <c r="P99" s="4">
        <f ca="1">_xll.DBRW($B$1,$B$2,$B$7,$B$3,$B$4,$B$5,$F99,$B$6,P$10,$A99,$B99)</f>
        <v>0</v>
      </c>
      <c r="Q99" s="4">
        <f ca="1">_xll.DBRW($B$1,$B$2,$B$7,$B$3,$B$4,$B$5,$F99,$B$6,Q$10,$A99,$B99)</f>
        <v>0</v>
      </c>
      <c r="R99" s="4">
        <f ca="1">_xll.DBRW($B$1,$B$2,$B$7,$B$3,$B$4,$B$5,$F99,$B$6,R$10,$A99,$B99)</f>
        <v>0</v>
      </c>
      <c r="S99" s="4">
        <f ca="1">_xll.DBRW($B$1,$B$2,$B$7,$B$3,$B$4,$B$5,$F99,$B$6,S$10,$A99,$B99)</f>
        <v>0</v>
      </c>
      <c r="T99" s="4">
        <f ca="1">_xll.DBRW($B$1,$B$2,$B$7,$B$3,$B$4,$B$5,$F99,$B$6,T$10,$A99,$B99)</f>
        <v>0</v>
      </c>
      <c r="U99" s="4">
        <f ca="1">_xll.DBRW($B$1,$B$2,$B$7,$B$3,$B$4,$B$5,$F99,$B$6,U$10,$A99,$B99)</f>
        <v>0</v>
      </c>
      <c r="V99" s="4">
        <f ca="1">_xll.DBRW($B$1,$B$2,$B$7,$B$3,$B$4,$B$5,$F99,$B$6,V$10,$A99,$B99)</f>
        <v>0</v>
      </c>
      <c r="W99" s="4">
        <f ca="1">_xll.DBRW($B$1,$B$2,$B$7,$B$3,$B$4,$B$5,$F99,$B$6,W$10,$A99,$B99)</f>
        <v>0</v>
      </c>
      <c r="X99" s="4">
        <f ca="1">_xll.DBRW($B$1,$B$2,$B$7,$B$3,$B$4,$B$5,$F99,$B$6,X$10,$A99,$B99)</f>
        <v>0</v>
      </c>
      <c r="Y99" s="4">
        <f ca="1">_xll.DBRW($B$1,$B$2,$B$7,$B$3,$B$4,$B$5,$F99,$B$6,Y$10,$A99,$B99)</f>
        <v>0</v>
      </c>
      <c r="Z99" s="4">
        <f ca="1">_xll.DBRW($B$1,$B$2,$B$7,$B$3,$B$4,$B$5,$F99,$B$6,Z$10,$A99,$B99)</f>
        <v>0</v>
      </c>
      <c r="AA99" s="4">
        <f ca="1">_xll.DBRW($B$1,$B$2,$B$7,$B$3,$B$4,$B$5,$F99,$B$6,AA$10,$A99,$B99)</f>
        <v>0</v>
      </c>
      <c r="AB99" s="4">
        <f ca="1">_xll.DBRW($B$1,$B$2,$B$7,$B$3,$B$4,$B$5,$F99,$B$6,AB$10,$A99,$B99)</f>
        <v>0</v>
      </c>
      <c r="AC99" s="4">
        <f ca="1">_xll.DBRW($B$1,$B$2,$B$7,$B$3,$B$4,$B$5,$F99,$B$6,AC$10,$A99,$B99)</f>
        <v>0</v>
      </c>
      <c r="AD99" s="4">
        <f ca="1">_xll.DBRW($B$1,$B$2,$B$7,$B$3,$B$4,$B$5,$F99,$B$6,AD$10,$A99,$B99)</f>
        <v>0</v>
      </c>
      <c r="AE99" s="4">
        <f ca="1">_xll.DBRW($B$1,$B$2,$B$7,$B$3,$B$4,$B$5,$F99,$B$6,AE$10,$A99,$B99)</f>
        <v>0</v>
      </c>
    </row>
    <row r="100" spans="1:31">
      <c r="A100" s="1" t="s">
        <v>150</v>
      </c>
      <c r="B100" s="5" t="s">
        <v>261</v>
      </c>
      <c r="C100" s="5" t="s">
        <v>262</v>
      </c>
      <c r="D100" s="5" t="s">
        <v>260</v>
      </c>
      <c r="E100" s="5" t="s">
        <v>21</v>
      </c>
      <c r="F100" s="5" t="s">
        <v>312</v>
      </c>
      <c r="G100" s="6"/>
      <c r="H100" s="6"/>
      <c r="I100" s="6"/>
      <c r="J100" s="6"/>
      <c r="K100" s="6"/>
      <c r="L100" s="4">
        <f ca="1">_xll.DBRW($B$1,$B$2,$B$7,$B$3,$B$4,$B$5,$F100,$B$6,L$10,$A100,$B100)</f>
        <v>0</v>
      </c>
      <c r="M100" s="4">
        <f ca="1">_xll.DBRW($B$1,$B$2,$B$7,$B$3,$B$4,$B$5,$F100,$B$6,M$10,$A100,$B100)</f>
        <v>0</v>
      </c>
      <c r="N100" s="4">
        <f ca="1">_xll.DBRW($B$1,$B$2,$B$7,$B$3,$B$4,$B$5,$F100,$B$6,N$10,$A100,$B100)</f>
        <v>0</v>
      </c>
      <c r="O100" s="4">
        <f ca="1">_xll.DBRW($B$1,$B$2,$B$7,$B$3,$B$4,$B$5,$F100,$B$6,O$10,$A100,$B100)</f>
        <v>0</v>
      </c>
      <c r="P100" s="4">
        <f ca="1">_xll.DBRW($B$1,$B$2,$B$7,$B$3,$B$4,$B$5,$F100,$B$6,P$10,$A100,$B100)</f>
        <v>0</v>
      </c>
      <c r="Q100" s="4">
        <f ca="1">_xll.DBRW($B$1,$B$2,$B$7,$B$3,$B$4,$B$5,$F100,$B$6,Q$10,$A100,$B100)</f>
        <v>0</v>
      </c>
      <c r="R100" s="4">
        <f ca="1">_xll.DBRW($B$1,$B$2,$B$7,$B$3,$B$4,$B$5,$F100,$B$6,R$10,$A100,$B100)</f>
        <v>0</v>
      </c>
      <c r="S100" s="4">
        <f ca="1">_xll.DBRW($B$1,$B$2,$B$7,$B$3,$B$4,$B$5,$F100,$B$6,S$10,$A100,$B100)</f>
        <v>0</v>
      </c>
      <c r="T100" s="4">
        <f ca="1">_xll.DBRW($B$1,$B$2,$B$7,$B$3,$B$4,$B$5,$F100,$B$6,T$10,$A100,$B100)</f>
        <v>0</v>
      </c>
      <c r="U100" s="4">
        <f ca="1">_xll.DBRW($B$1,$B$2,$B$7,$B$3,$B$4,$B$5,$F100,$B$6,U$10,$A100,$B100)</f>
        <v>0</v>
      </c>
      <c r="V100" s="4">
        <f ca="1">_xll.DBRW($B$1,$B$2,$B$7,$B$3,$B$4,$B$5,$F100,$B$6,V$10,$A100,$B100)</f>
        <v>0</v>
      </c>
      <c r="W100" s="4">
        <f ca="1">_xll.DBRW($B$1,$B$2,$B$7,$B$3,$B$4,$B$5,$F100,$B$6,W$10,$A100,$B100)</f>
        <v>0</v>
      </c>
      <c r="X100" s="4">
        <f ca="1">_xll.DBRW($B$1,$B$2,$B$7,$B$3,$B$4,$B$5,$F100,$B$6,X$10,$A100,$B100)</f>
        <v>0</v>
      </c>
      <c r="Y100" s="4">
        <f ca="1">_xll.DBRW($B$1,$B$2,$B$7,$B$3,$B$4,$B$5,$F100,$B$6,Y$10,$A100,$B100)</f>
        <v>0</v>
      </c>
      <c r="Z100" s="4">
        <f ca="1">_xll.DBRW($B$1,$B$2,$B$7,$B$3,$B$4,$B$5,$F100,$B$6,Z$10,$A100,$B100)</f>
        <v>0</v>
      </c>
      <c r="AA100" s="4">
        <f ca="1">_xll.DBRW($B$1,$B$2,$B$7,$B$3,$B$4,$B$5,$F100,$B$6,AA$10,$A100,$B100)</f>
        <v>0</v>
      </c>
      <c r="AB100" s="4">
        <f ca="1">_xll.DBRW($B$1,$B$2,$B$7,$B$3,$B$4,$B$5,$F100,$B$6,AB$10,$A100,$B100)</f>
        <v>0</v>
      </c>
      <c r="AC100" s="4">
        <f ca="1">_xll.DBRW($B$1,$B$2,$B$7,$B$3,$B$4,$B$5,$F100,$B$6,AC$10,$A100,$B100)</f>
        <v>0</v>
      </c>
      <c r="AD100" s="4">
        <f ca="1">_xll.DBRW($B$1,$B$2,$B$7,$B$3,$B$4,$B$5,$F100,$B$6,AD$10,$A100,$B100)</f>
        <v>0</v>
      </c>
      <c r="AE100" s="4">
        <f ca="1">_xll.DBRW($B$1,$B$2,$B$7,$B$3,$B$4,$B$5,$F100,$B$6,AE$10,$A100,$B100)</f>
        <v>0</v>
      </c>
    </row>
    <row r="101" spans="1:31">
      <c r="A101" s="1" t="s">
        <v>150</v>
      </c>
      <c r="B101" s="5" t="s">
        <v>263</v>
      </c>
      <c r="C101" s="5" t="s">
        <v>264</v>
      </c>
      <c r="D101" s="5" t="s">
        <v>21</v>
      </c>
      <c r="E101" s="5" t="s">
        <v>265</v>
      </c>
      <c r="F101" s="5" t="s">
        <v>312</v>
      </c>
      <c r="G101" s="6"/>
      <c r="H101" s="6"/>
      <c r="I101" s="6"/>
      <c r="J101" s="6"/>
      <c r="K101" s="6"/>
      <c r="L101" s="4">
        <f ca="1">_xll.DBRW($B$1,$B$2,$B$7,$B$3,$B$4,$B$5,$F101,$B$6,L$10,$A101,$B101)</f>
        <v>0</v>
      </c>
      <c r="M101" s="4">
        <f ca="1">_xll.DBRW($B$1,$B$2,$B$7,$B$3,$B$4,$B$5,$F101,$B$6,M$10,$A101,$B101)</f>
        <v>0</v>
      </c>
      <c r="N101" s="4">
        <f ca="1">_xll.DBRW($B$1,$B$2,$B$7,$B$3,$B$4,$B$5,$F101,$B$6,N$10,$A101,$B101)</f>
        <v>0</v>
      </c>
      <c r="O101" s="4">
        <f ca="1">_xll.DBRW($B$1,$B$2,$B$7,$B$3,$B$4,$B$5,$F101,$B$6,O$10,$A101,$B101)</f>
        <v>0</v>
      </c>
      <c r="P101" s="4">
        <f ca="1">_xll.DBRW($B$1,$B$2,$B$7,$B$3,$B$4,$B$5,$F101,$B$6,P$10,$A101,$B101)</f>
        <v>0</v>
      </c>
      <c r="Q101" s="4">
        <f ca="1">_xll.DBRW($B$1,$B$2,$B$7,$B$3,$B$4,$B$5,$F101,$B$6,Q$10,$A101,$B101)</f>
        <v>0</v>
      </c>
      <c r="R101" s="4">
        <f ca="1">_xll.DBRW($B$1,$B$2,$B$7,$B$3,$B$4,$B$5,$F101,$B$6,R$10,$A101,$B101)</f>
        <v>0</v>
      </c>
      <c r="S101" s="4">
        <f ca="1">_xll.DBRW($B$1,$B$2,$B$7,$B$3,$B$4,$B$5,$F101,$B$6,S$10,$A101,$B101)</f>
        <v>0</v>
      </c>
      <c r="T101" s="4">
        <f ca="1">_xll.DBRW($B$1,$B$2,$B$7,$B$3,$B$4,$B$5,$F101,$B$6,T$10,$A101,$B101)</f>
        <v>0</v>
      </c>
      <c r="U101" s="4">
        <f ca="1">_xll.DBRW($B$1,$B$2,$B$7,$B$3,$B$4,$B$5,$F101,$B$6,U$10,$A101,$B101)</f>
        <v>0</v>
      </c>
      <c r="V101" s="4">
        <f ca="1">_xll.DBRW($B$1,$B$2,$B$7,$B$3,$B$4,$B$5,$F101,$B$6,V$10,$A101,$B101)</f>
        <v>0</v>
      </c>
      <c r="W101" s="4">
        <f ca="1">_xll.DBRW($B$1,$B$2,$B$7,$B$3,$B$4,$B$5,$F101,$B$6,W$10,$A101,$B101)</f>
        <v>0</v>
      </c>
      <c r="X101" s="4">
        <f ca="1">_xll.DBRW($B$1,$B$2,$B$7,$B$3,$B$4,$B$5,$F101,$B$6,X$10,$A101,$B101)</f>
        <v>0</v>
      </c>
      <c r="Y101" s="4">
        <f ca="1">_xll.DBRW($B$1,$B$2,$B$7,$B$3,$B$4,$B$5,$F101,$B$6,Y$10,$A101,$B101)</f>
        <v>0</v>
      </c>
      <c r="Z101" s="4">
        <f ca="1">_xll.DBRW($B$1,$B$2,$B$7,$B$3,$B$4,$B$5,$F101,$B$6,Z$10,$A101,$B101)</f>
        <v>0</v>
      </c>
      <c r="AA101" s="4">
        <f ca="1">_xll.DBRW($B$1,$B$2,$B$7,$B$3,$B$4,$B$5,$F101,$B$6,AA$10,$A101,$B101)</f>
        <v>0</v>
      </c>
      <c r="AB101" s="4">
        <f ca="1">_xll.DBRW($B$1,$B$2,$B$7,$B$3,$B$4,$B$5,$F101,$B$6,AB$10,$A101,$B101)</f>
        <v>0</v>
      </c>
      <c r="AC101" s="4">
        <f ca="1">_xll.DBRW($B$1,$B$2,$B$7,$B$3,$B$4,$B$5,$F101,$B$6,AC$10,$A101,$B101)</f>
        <v>0</v>
      </c>
      <c r="AD101" s="4">
        <f ca="1">_xll.DBRW($B$1,$B$2,$B$7,$B$3,$B$4,$B$5,$F101,$B$6,AD$10,$A101,$B101)</f>
        <v>0</v>
      </c>
      <c r="AE101" s="4">
        <f ca="1">_xll.DBRW($B$1,$B$2,$B$7,$B$3,$B$4,$B$5,$F101,$B$6,AE$10,$A101,$B101)</f>
        <v>0</v>
      </c>
    </row>
    <row r="102" spans="1:31">
      <c r="A102" s="1" t="s">
        <v>150</v>
      </c>
      <c r="B102" s="5" t="s">
        <v>266</v>
      </c>
      <c r="C102" s="5" t="s">
        <v>267</v>
      </c>
      <c r="D102" s="5" t="s">
        <v>265</v>
      </c>
      <c r="E102" s="5" t="s">
        <v>21</v>
      </c>
      <c r="F102" s="5" t="s">
        <v>312</v>
      </c>
      <c r="G102" s="6"/>
      <c r="H102" s="6"/>
      <c r="I102" s="6"/>
      <c r="J102" s="6"/>
      <c r="K102" s="6"/>
      <c r="L102" s="4">
        <f ca="1">_xll.DBRW($B$1,$B$2,$B$7,$B$3,$B$4,$B$5,$F102,$B$6,L$10,$A102,$B102)</f>
        <v>0</v>
      </c>
      <c r="M102" s="4">
        <f ca="1">_xll.DBRW($B$1,$B$2,$B$7,$B$3,$B$4,$B$5,$F102,$B$6,M$10,$A102,$B102)</f>
        <v>0</v>
      </c>
      <c r="N102" s="4">
        <f ca="1">_xll.DBRW($B$1,$B$2,$B$7,$B$3,$B$4,$B$5,$F102,$B$6,N$10,$A102,$B102)</f>
        <v>0</v>
      </c>
      <c r="O102" s="4">
        <f ca="1">_xll.DBRW($B$1,$B$2,$B$7,$B$3,$B$4,$B$5,$F102,$B$6,O$10,$A102,$B102)</f>
        <v>0</v>
      </c>
      <c r="P102" s="4">
        <f ca="1">_xll.DBRW($B$1,$B$2,$B$7,$B$3,$B$4,$B$5,$F102,$B$6,P$10,$A102,$B102)</f>
        <v>0</v>
      </c>
      <c r="Q102" s="4">
        <f ca="1">_xll.DBRW($B$1,$B$2,$B$7,$B$3,$B$4,$B$5,$F102,$B$6,Q$10,$A102,$B102)</f>
        <v>0</v>
      </c>
      <c r="R102" s="4">
        <f ca="1">_xll.DBRW($B$1,$B$2,$B$7,$B$3,$B$4,$B$5,$F102,$B$6,R$10,$A102,$B102)</f>
        <v>0</v>
      </c>
      <c r="S102" s="4">
        <f ca="1">_xll.DBRW($B$1,$B$2,$B$7,$B$3,$B$4,$B$5,$F102,$B$6,S$10,$A102,$B102)</f>
        <v>0</v>
      </c>
      <c r="T102" s="4">
        <f ca="1">_xll.DBRW($B$1,$B$2,$B$7,$B$3,$B$4,$B$5,$F102,$B$6,T$10,$A102,$B102)</f>
        <v>0</v>
      </c>
      <c r="U102" s="4">
        <f ca="1">_xll.DBRW($B$1,$B$2,$B$7,$B$3,$B$4,$B$5,$F102,$B$6,U$10,$A102,$B102)</f>
        <v>0</v>
      </c>
      <c r="V102" s="4">
        <f ca="1">_xll.DBRW($B$1,$B$2,$B$7,$B$3,$B$4,$B$5,$F102,$B$6,V$10,$A102,$B102)</f>
        <v>0</v>
      </c>
      <c r="W102" s="4">
        <f ca="1">_xll.DBRW($B$1,$B$2,$B$7,$B$3,$B$4,$B$5,$F102,$B$6,W$10,$A102,$B102)</f>
        <v>0</v>
      </c>
      <c r="X102" s="4">
        <f ca="1">_xll.DBRW($B$1,$B$2,$B$7,$B$3,$B$4,$B$5,$F102,$B$6,X$10,$A102,$B102)</f>
        <v>0</v>
      </c>
      <c r="Y102" s="4">
        <f ca="1">_xll.DBRW($B$1,$B$2,$B$7,$B$3,$B$4,$B$5,$F102,$B$6,Y$10,$A102,$B102)</f>
        <v>0</v>
      </c>
      <c r="Z102" s="4">
        <f ca="1">_xll.DBRW($B$1,$B$2,$B$7,$B$3,$B$4,$B$5,$F102,$B$6,Z$10,$A102,$B102)</f>
        <v>0</v>
      </c>
      <c r="AA102" s="4">
        <f ca="1">_xll.DBRW($B$1,$B$2,$B$7,$B$3,$B$4,$B$5,$F102,$B$6,AA$10,$A102,$B102)</f>
        <v>0</v>
      </c>
      <c r="AB102" s="4">
        <f ca="1">_xll.DBRW($B$1,$B$2,$B$7,$B$3,$B$4,$B$5,$F102,$B$6,AB$10,$A102,$B102)</f>
        <v>0</v>
      </c>
      <c r="AC102" s="4">
        <f ca="1">_xll.DBRW($B$1,$B$2,$B$7,$B$3,$B$4,$B$5,$F102,$B$6,AC$10,$A102,$B102)</f>
        <v>0</v>
      </c>
      <c r="AD102" s="4">
        <f ca="1">_xll.DBRW($B$1,$B$2,$B$7,$B$3,$B$4,$B$5,$F102,$B$6,AD$10,$A102,$B102)</f>
        <v>0</v>
      </c>
      <c r="AE102" s="4">
        <f ca="1">_xll.DBRW($B$1,$B$2,$B$7,$B$3,$B$4,$B$5,$F102,$B$6,AE$10,$A102,$B102)</f>
        <v>0</v>
      </c>
    </row>
    <row r="103" spans="1:31">
      <c r="A103" s="1" t="s">
        <v>150</v>
      </c>
      <c r="B103" s="5" t="s">
        <v>268</v>
      </c>
      <c r="C103" s="5" t="s">
        <v>264</v>
      </c>
      <c r="D103" s="5" t="s">
        <v>21</v>
      </c>
      <c r="E103" s="5" t="s">
        <v>265</v>
      </c>
      <c r="F103" s="5" t="s">
        <v>312</v>
      </c>
      <c r="G103" s="6"/>
      <c r="H103" s="6"/>
      <c r="I103" s="6"/>
      <c r="J103" s="6"/>
      <c r="K103" s="6"/>
      <c r="L103" s="4">
        <f ca="1">_xll.DBRW($B$1,$B$2,$B$7,$B$3,$B$4,$B$5,$F103,$B$6,L$10,$A103,$B103)</f>
        <v>0</v>
      </c>
      <c r="M103" s="4">
        <f ca="1">_xll.DBRW($B$1,$B$2,$B$7,$B$3,$B$4,$B$5,$F103,$B$6,M$10,$A103,$B103)</f>
        <v>0</v>
      </c>
      <c r="N103" s="4">
        <f ca="1">_xll.DBRW($B$1,$B$2,$B$7,$B$3,$B$4,$B$5,$F103,$B$6,N$10,$A103,$B103)</f>
        <v>0</v>
      </c>
      <c r="O103" s="4">
        <f ca="1">_xll.DBRW($B$1,$B$2,$B$7,$B$3,$B$4,$B$5,$F103,$B$6,O$10,$A103,$B103)</f>
        <v>0</v>
      </c>
      <c r="P103" s="4">
        <f ca="1">_xll.DBRW($B$1,$B$2,$B$7,$B$3,$B$4,$B$5,$F103,$B$6,P$10,$A103,$B103)</f>
        <v>0</v>
      </c>
      <c r="Q103" s="4">
        <f ca="1">_xll.DBRW($B$1,$B$2,$B$7,$B$3,$B$4,$B$5,$F103,$B$6,Q$10,$A103,$B103)</f>
        <v>0</v>
      </c>
      <c r="R103" s="4">
        <f ca="1">_xll.DBRW($B$1,$B$2,$B$7,$B$3,$B$4,$B$5,$F103,$B$6,R$10,$A103,$B103)</f>
        <v>0</v>
      </c>
      <c r="S103" s="4">
        <f ca="1">_xll.DBRW($B$1,$B$2,$B$7,$B$3,$B$4,$B$5,$F103,$B$6,S$10,$A103,$B103)</f>
        <v>0</v>
      </c>
      <c r="T103" s="4">
        <f ca="1">_xll.DBRW($B$1,$B$2,$B$7,$B$3,$B$4,$B$5,$F103,$B$6,T$10,$A103,$B103)</f>
        <v>0</v>
      </c>
      <c r="U103" s="4">
        <f ca="1">_xll.DBRW($B$1,$B$2,$B$7,$B$3,$B$4,$B$5,$F103,$B$6,U$10,$A103,$B103)</f>
        <v>0</v>
      </c>
      <c r="V103" s="4">
        <f ca="1">_xll.DBRW($B$1,$B$2,$B$7,$B$3,$B$4,$B$5,$F103,$B$6,V$10,$A103,$B103)</f>
        <v>0</v>
      </c>
      <c r="W103" s="4">
        <f ca="1">_xll.DBRW($B$1,$B$2,$B$7,$B$3,$B$4,$B$5,$F103,$B$6,W$10,$A103,$B103)</f>
        <v>0</v>
      </c>
      <c r="X103" s="4">
        <f ca="1">_xll.DBRW($B$1,$B$2,$B$7,$B$3,$B$4,$B$5,$F103,$B$6,X$10,$A103,$B103)</f>
        <v>0</v>
      </c>
      <c r="Y103" s="4">
        <f ca="1">_xll.DBRW($B$1,$B$2,$B$7,$B$3,$B$4,$B$5,$F103,$B$6,Y$10,$A103,$B103)</f>
        <v>0</v>
      </c>
      <c r="Z103" s="4">
        <f ca="1">_xll.DBRW($B$1,$B$2,$B$7,$B$3,$B$4,$B$5,$F103,$B$6,Z$10,$A103,$B103)</f>
        <v>0</v>
      </c>
      <c r="AA103" s="4">
        <f ca="1">_xll.DBRW($B$1,$B$2,$B$7,$B$3,$B$4,$B$5,$F103,$B$6,AA$10,$A103,$B103)</f>
        <v>0</v>
      </c>
      <c r="AB103" s="4">
        <f ca="1">_xll.DBRW($B$1,$B$2,$B$7,$B$3,$B$4,$B$5,$F103,$B$6,AB$10,$A103,$B103)</f>
        <v>0</v>
      </c>
      <c r="AC103" s="4">
        <f ca="1">_xll.DBRW($B$1,$B$2,$B$7,$B$3,$B$4,$B$5,$F103,$B$6,AC$10,$A103,$B103)</f>
        <v>0</v>
      </c>
      <c r="AD103" s="4">
        <f ca="1">_xll.DBRW($B$1,$B$2,$B$7,$B$3,$B$4,$B$5,$F103,$B$6,AD$10,$A103,$B103)</f>
        <v>0</v>
      </c>
      <c r="AE103" s="4">
        <f ca="1">_xll.DBRW($B$1,$B$2,$B$7,$B$3,$B$4,$B$5,$F103,$B$6,AE$10,$A103,$B103)</f>
        <v>0</v>
      </c>
    </row>
    <row r="104" spans="1:31">
      <c r="A104" s="1" t="s">
        <v>150</v>
      </c>
      <c r="B104" s="5" t="s">
        <v>269</v>
      </c>
      <c r="C104" s="5" t="s">
        <v>267</v>
      </c>
      <c r="D104" s="5" t="s">
        <v>265</v>
      </c>
      <c r="E104" s="5" t="s">
        <v>21</v>
      </c>
      <c r="F104" s="5" t="s">
        <v>312</v>
      </c>
      <c r="G104" s="6"/>
      <c r="H104" s="6"/>
      <c r="I104" s="6"/>
      <c r="J104" s="6"/>
      <c r="K104" s="6"/>
      <c r="L104" s="4">
        <f ca="1">_xll.DBRW($B$1,$B$2,$B$7,$B$3,$B$4,$B$5,$F104,$B$6,L$10,$A104,$B104)</f>
        <v>0</v>
      </c>
      <c r="M104" s="4">
        <f ca="1">_xll.DBRW($B$1,$B$2,$B$7,$B$3,$B$4,$B$5,$F104,$B$6,M$10,$A104,$B104)</f>
        <v>0</v>
      </c>
      <c r="N104" s="4">
        <f ca="1">_xll.DBRW($B$1,$B$2,$B$7,$B$3,$B$4,$B$5,$F104,$B$6,N$10,$A104,$B104)</f>
        <v>0</v>
      </c>
      <c r="O104" s="4">
        <f ca="1">_xll.DBRW($B$1,$B$2,$B$7,$B$3,$B$4,$B$5,$F104,$B$6,O$10,$A104,$B104)</f>
        <v>0</v>
      </c>
      <c r="P104" s="4">
        <f ca="1">_xll.DBRW($B$1,$B$2,$B$7,$B$3,$B$4,$B$5,$F104,$B$6,P$10,$A104,$B104)</f>
        <v>0</v>
      </c>
      <c r="Q104" s="4">
        <f ca="1">_xll.DBRW($B$1,$B$2,$B$7,$B$3,$B$4,$B$5,$F104,$B$6,Q$10,$A104,$B104)</f>
        <v>0</v>
      </c>
      <c r="R104" s="4">
        <f ca="1">_xll.DBRW($B$1,$B$2,$B$7,$B$3,$B$4,$B$5,$F104,$B$6,R$10,$A104,$B104)</f>
        <v>0</v>
      </c>
      <c r="S104" s="4">
        <f ca="1">_xll.DBRW($B$1,$B$2,$B$7,$B$3,$B$4,$B$5,$F104,$B$6,S$10,$A104,$B104)</f>
        <v>0</v>
      </c>
      <c r="T104" s="4">
        <f ca="1">_xll.DBRW($B$1,$B$2,$B$7,$B$3,$B$4,$B$5,$F104,$B$6,T$10,$A104,$B104)</f>
        <v>0</v>
      </c>
      <c r="U104" s="4">
        <f ca="1">_xll.DBRW($B$1,$B$2,$B$7,$B$3,$B$4,$B$5,$F104,$B$6,U$10,$A104,$B104)</f>
        <v>0</v>
      </c>
      <c r="V104" s="4">
        <f ca="1">_xll.DBRW($B$1,$B$2,$B$7,$B$3,$B$4,$B$5,$F104,$B$6,V$10,$A104,$B104)</f>
        <v>0</v>
      </c>
      <c r="W104" s="4">
        <f ca="1">_xll.DBRW($B$1,$B$2,$B$7,$B$3,$B$4,$B$5,$F104,$B$6,W$10,$A104,$B104)</f>
        <v>0</v>
      </c>
      <c r="X104" s="4">
        <f ca="1">_xll.DBRW($B$1,$B$2,$B$7,$B$3,$B$4,$B$5,$F104,$B$6,X$10,$A104,$B104)</f>
        <v>0</v>
      </c>
      <c r="Y104" s="4">
        <f ca="1">_xll.DBRW($B$1,$B$2,$B$7,$B$3,$B$4,$B$5,$F104,$B$6,Y$10,$A104,$B104)</f>
        <v>0</v>
      </c>
      <c r="Z104" s="4">
        <f ca="1">_xll.DBRW($B$1,$B$2,$B$7,$B$3,$B$4,$B$5,$F104,$B$6,Z$10,$A104,$B104)</f>
        <v>0</v>
      </c>
      <c r="AA104" s="4">
        <f ca="1">_xll.DBRW($B$1,$B$2,$B$7,$B$3,$B$4,$B$5,$F104,$B$6,AA$10,$A104,$B104)</f>
        <v>0</v>
      </c>
      <c r="AB104" s="4">
        <f ca="1">_xll.DBRW($B$1,$B$2,$B$7,$B$3,$B$4,$B$5,$F104,$B$6,AB$10,$A104,$B104)</f>
        <v>0</v>
      </c>
      <c r="AC104" s="4">
        <f ca="1">_xll.DBRW($B$1,$B$2,$B$7,$B$3,$B$4,$B$5,$F104,$B$6,AC$10,$A104,$B104)</f>
        <v>0</v>
      </c>
      <c r="AD104" s="4">
        <f ca="1">_xll.DBRW($B$1,$B$2,$B$7,$B$3,$B$4,$B$5,$F104,$B$6,AD$10,$A104,$B104)</f>
        <v>0</v>
      </c>
      <c r="AE104" s="4">
        <f ca="1">_xll.DBRW($B$1,$B$2,$B$7,$B$3,$B$4,$B$5,$F104,$B$6,AE$10,$A104,$B104)</f>
        <v>0</v>
      </c>
    </row>
    <row r="105" spans="1:31">
      <c r="A105" s="1" t="s">
        <v>150</v>
      </c>
      <c r="B105" s="5" t="s">
        <v>270</v>
      </c>
      <c r="C105" s="5" t="s">
        <v>271</v>
      </c>
      <c r="D105" s="5" t="s">
        <v>21</v>
      </c>
      <c r="E105" s="5" t="s">
        <v>272</v>
      </c>
      <c r="F105" s="5" t="s">
        <v>312</v>
      </c>
      <c r="G105" s="6"/>
      <c r="H105" s="6"/>
      <c r="I105" s="6"/>
      <c r="J105" s="6"/>
      <c r="K105" s="6"/>
      <c r="L105" s="4">
        <f ca="1">_xll.DBRW($B$1,$B$2,$B$7,$B$3,$B$4,$B$5,$F105,$B$6,L$10,$A105,$B105)</f>
        <v>0</v>
      </c>
      <c r="M105" s="4">
        <f ca="1">_xll.DBRW($B$1,$B$2,$B$7,$B$3,$B$4,$B$5,$F105,$B$6,M$10,$A105,$B105)</f>
        <v>0</v>
      </c>
      <c r="N105" s="4">
        <f ca="1">_xll.DBRW($B$1,$B$2,$B$7,$B$3,$B$4,$B$5,$F105,$B$6,N$10,$A105,$B105)</f>
        <v>0</v>
      </c>
      <c r="O105" s="4">
        <f ca="1">_xll.DBRW($B$1,$B$2,$B$7,$B$3,$B$4,$B$5,$F105,$B$6,O$10,$A105,$B105)</f>
        <v>0</v>
      </c>
      <c r="P105" s="4">
        <f ca="1">_xll.DBRW($B$1,$B$2,$B$7,$B$3,$B$4,$B$5,$F105,$B$6,P$10,$A105,$B105)</f>
        <v>0</v>
      </c>
      <c r="Q105" s="4">
        <f ca="1">_xll.DBRW($B$1,$B$2,$B$7,$B$3,$B$4,$B$5,$F105,$B$6,Q$10,$A105,$B105)</f>
        <v>0</v>
      </c>
      <c r="R105" s="4">
        <f ca="1">_xll.DBRW($B$1,$B$2,$B$7,$B$3,$B$4,$B$5,$F105,$B$6,R$10,$A105,$B105)</f>
        <v>0</v>
      </c>
      <c r="S105" s="4">
        <f ca="1">_xll.DBRW($B$1,$B$2,$B$7,$B$3,$B$4,$B$5,$F105,$B$6,S$10,$A105,$B105)</f>
        <v>0</v>
      </c>
      <c r="T105" s="4">
        <f ca="1">_xll.DBRW($B$1,$B$2,$B$7,$B$3,$B$4,$B$5,$F105,$B$6,T$10,$A105,$B105)</f>
        <v>0</v>
      </c>
      <c r="U105" s="4">
        <f ca="1">_xll.DBRW($B$1,$B$2,$B$7,$B$3,$B$4,$B$5,$F105,$B$6,U$10,$A105,$B105)</f>
        <v>0</v>
      </c>
      <c r="V105" s="4">
        <f ca="1">_xll.DBRW($B$1,$B$2,$B$7,$B$3,$B$4,$B$5,$F105,$B$6,V$10,$A105,$B105)</f>
        <v>0</v>
      </c>
      <c r="W105" s="4">
        <f ca="1">_xll.DBRW($B$1,$B$2,$B$7,$B$3,$B$4,$B$5,$F105,$B$6,W$10,$A105,$B105)</f>
        <v>0</v>
      </c>
      <c r="X105" s="4">
        <f ca="1">_xll.DBRW($B$1,$B$2,$B$7,$B$3,$B$4,$B$5,$F105,$B$6,X$10,$A105,$B105)</f>
        <v>0</v>
      </c>
      <c r="Y105" s="4">
        <f ca="1">_xll.DBRW($B$1,$B$2,$B$7,$B$3,$B$4,$B$5,$F105,$B$6,Y$10,$A105,$B105)</f>
        <v>0</v>
      </c>
      <c r="Z105" s="4">
        <f ca="1">_xll.DBRW($B$1,$B$2,$B$7,$B$3,$B$4,$B$5,$F105,$B$6,Z$10,$A105,$B105)</f>
        <v>0</v>
      </c>
      <c r="AA105" s="4">
        <f ca="1">_xll.DBRW($B$1,$B$2,$B$7,$B$3,$B$4,$B$5,$F105,$B$6,AA$10,$A105,$B105)</f>
        <v>0</v>
      </c>
      <c r="AB105" s="4">
        <f ca="1">_xll.DBRW($B$1,$B$2,$B$7,$B$3,$B$4,$B$5,$F105,$B$6,AB$10,$A105,$B105)</f>
        <v>0</v>
      </c>
      <c r="AC105" s="4">
        <f ca="1">_xll.DBRW($B$1,$B$2,$B$7,$B$3,$B$4,$B$5,$F105,$B$6,AC$10,$A105,$B105)</f>
        <v>0</v>
      </c>
      <c r="AD105" s="4">
        <f ca="1">_xll.DBRW($B$1,$B$2,$B$7,$B$3,$B$4,$B$5,$F105,$B$6,AD$10,$A105,$B105)</f>
        <v>0</v>
      </c>
      <c r="AE105" s="4">
        <f ca="1">_xll.DBRW($B$1,$B$2,$B$7,$B$3,$B$4,$B$5,$F105,$B$6,AE$10,$A105,$B105)</f>
        <v>0</v>
      </c>
    </row>
    <row r="106" spans="1:31">
      <c r="A106" s="1" t="s">
        <v>150</v>
      </c>
      <c r="B106" s="5" t="s">
        <v>273</v>
      </c>
      <c r="C106" s="5" t="s">
        <v>274</v>
      </c>
      <c r="D106" s="5" t="s">
        <v>272</v>
      </c>
      <c r="E106" s="5" t="s">
        <v>21</v>
      </c>
      <c r="F106" s="5" t="s">
        <v>312</v>
      </c>
      <c r="G106" s="6"/>
      <c r="H106" s="6"/>
      <c r="I106" s="6"/>
      <c r="J106" s="6"/>
      <c r="K106" s="6"/>
      <c r="L106" s="4">
        <f ca="1">_xll.DBRW($B$1,$B$2,$B$7,$B$3,$B$4,$B$5,$F106,$B$6,L$10,$A106,$B106)</f>
        <v>0</v>
      </c>
      <c r="M106" s="4">
        <f ca="1">_xll.DBRW($B$1,$B$2,$B$7,$B$3,$B$4,$B$5,$F106,$B$6,M$10,$A106,$B106)</f>
        <v>0</v>
      </c>
      <c r="N106" s="4">
        <f ca="1">_xll.DBRW($B$1,$B$2,$B$7,$B$3,$B$4,$B$5,$F106,$B$6,N$10,$A106,$B106)</f>
        <v>0</v>
      </c>
      <c r="O106" s="4">
        <f ca="1">_xll.DBRW($B$1,$B$2,$B$7,$B$3,$B$4,$B$5,$F106,$B$6,O$10,$A106,$B106)</f>
        <v>0</v>
      </c>
      <c r="P106" s="4">
        <f ca="1">_xll.DBRW($B$1,$B$2,$B$7,$B$3,$B$4,$B$5,$F106,$B$6,P$10,$A106,$B106)</f>
        <v>0</v>
      </c>
      <c r="Q106" s="4">
        <f ca="1">_xll.DBRW($B$1,$B$2,$B$7,$B$3,$B$4,$B$5,$F106,$B$6,Q$10,$A106,$B106)</f>
        <v>0</v>
      </c>
      <c r="R106" s="4">
        <f ca="1">_xll.DBRW($B$1,$B$2,$B$7,$B$3,$B$4,$B$5,$F106,$B$6,R$10,$A106,$B106)</f>
        <v>0</v>
      </c>
      <c r="S106" s="4">
        <f ca="1">_xll.DBRW($B$1,$B$2,$B$7,$B$3,$B$4,$B$5,$F106,$B$6,S$10,$A106,$B106)</f>
        <v>0</v>
      </c>
      <c r="T106" s="4">
        <f ca="1">_xll.DBRW($B$1,$B$2,$B$7,$B$3,$B$4,$B$5,$F106,$B$6,T$10,$A106,$B106)</f>
        <v>0</v>
      </c>
      <c r="U106" s="4">
        <f ca="1">_xll.DBRW($B$1,$B$2,$B$7,$B$3,$B$4,$B$5,$F106,$B$6,U$10,$A106,$B106)</f>
        <v>0</v>
      </c>
      <c r="V106" s="4">
        <f ca="1">_xll.DBRW($B$1,$B$2,$B$7,$B$3,$B$4,$B$5,$F106,$B$6,V$10,$A106,$B106)</f>
        <v>0</v>
      </c>
      <c r="W106" s="4">
        <f ca="1">_xll.DBRW($B$1,$B$2,$B$7,$B$3,$B$4,$B$5,$F106,$B$6,W$10,$A106,$B106)</f>
        <v>0</v>
      </c>
      <c r="X106" s="4">
        <f ca="1">_xll.DBRW($B$1,$B$2,$B$7,$B$3,$B$4,$B$5,$F106,$B$6,X$10,$A106,$B106)</f>
        <v>0</v>
      </c>
      <c r="Y106" s="4">
        <f ca="1">_xll.DBRW($B$1,$B$2,$B$7,$B$3,$B$4,$B$5,$F106,$B$6,Y$10,$A106,$B106)</f>
        <v>0</v>
      </c>
      <c r="Z106" s="4">
        <f ca="1">_xll.DBRW($B$1,$B$2,$B$7,$B$3,$B$4,$B$5,$F106,$B$6,Z$10,$A106,$B106)</f>
        <v>0</v>
      </c>
      <c r="AA106" s="4">
        <f ca="1">_xll.DBRW($B$1,$B$2,$B$7,$B$3,$B$4,$B$5,$F106,$B$6,AA$10,$A106,$B106)</f>
        <v>0</v>
      </c>
      <c r="AB106" s="4">
        <f ca="1">_xll.DBRW($B$1,$B$2,$B$7,$B$3,$B$4,$B$5,$F106,$B$6,AB$10,$A106,$B106)</f>
        <v>0</v>
      </c>
      <c r="AC106" s="4">
        <f ca="1">_xll.DBRW($B$1,$B$2,$B$7,$B$3,$B$4,$B$5,$F106,$B$6,AC$10,$A106,$B106)</f>
        <v>0</v>
      </c>
      <c r="AD106" s="4">
        <f ca="1">_xll.DBRW($B$1,$B$2,$B$7,$B$3,$B$4,$B$5,$F106,$B$6,AD$10,$A106,$B106)</f>
        <v>0</v>
      </c>
      <c r="AE106" s="4">
        <f ca="1">_xll.DBRW($B$1,$B$2,$B$7,$B$3,$B$4,$B$5,$F106,$B$6,AE$10,$A106,$B106)</f>
        <v>0</v>
      </c>
    </row>
    <row r="107" spans="1:31">
      <c r="A107" s="1" t="s">
        <v>150</v>
      </c>
      <c r="B107" s="5" t="s">
        <v>275</v>
      </c>
      <c r="C107" s="5" t="s">
        <v>276</v>
      </c>
      <c r="D107" s="5" t="s">
        <v>21</v>
      </c>
      <c r="E107" s="5" t="s">
        <v>277</v>
      </c>
      <c r="F107" s="5" t="s">
        <v>312</v>
      </c>
      <c r="G107" s="6"/>
      <c r="H107" s="6"/>
      <c r="I107" s="6"/>
      <c r="J107" s="6"/>
      <c r="K107" s="6"/>
      <c r="L107" s="4">
        <f ca="1">_xll.DBRW($B$1,$B$2,$B$7,$B$3,$B$4,$B$5,$F107,$B$6,L$10,$A107,$B107)</f>
        <v>0</v>
      </c>
      <c r="M107" s="4">
        <f ca="1">_xll.DBRW($B$1,$B$2,$B$7,$B$3,$B$4,$B$5,$F107,$B$6,M$10,$A107,$B107)</f>
        <v>0</v>
      </c>
      <c r="N107" s="4">
        <f ca="1">_xll.DBRW($B$1,$B$2,$B$7,$B$3,$B$4,$B$5,$F107,$B$6,N$10,$A107,$B107)</f>
        <v>0</v>
      </c>
      <c r="O107" s="4">
        <f ca="1">_xll.DBRW($B$1,$B$2,$B$7,$B$3,$B$4,$B$5,$F107,$B$6,O$10,$A107,$B107)</f>
        <v>0</v>
      </c>
      <c r="P107" s="4">
        <f ca="1">_xll.DBRW($B$1,$B$2,$B$7,$B$3,$B$4,$B$5,$F107,$B$6,P$10,$A107,$B107)</f>
        <v>0</v>
      </c>
      <c r="Q107" s="4">
        <f ca="1">_xll.DBRW($B$1,$B$2,$B$7,$B$3,$B$4,$B$5,$F107,$B$6,Q$10,$A107,$B107)</f>
        <v>0</v>
      </c>
      <c r="R107" s="4">
        <f ca="1">_xll.DBRW($B$1,$B$2,$B$7,$B$3,$B$4,$B$5,$F107,$B$6,R$10,$A107,$B107)</f>
        <v>0</v>
      </c>
      <c r="S107" s="4">
        <f ca="1">_xll.DBRW($B$1,$B$2,$B$7,$B$3,$B$4,$B$5,$F107,$B$6,S$10,$A107,$B107)</f>
        <v>0</v>
      </c>
      <c r="T107" s="4">
        <f ca="1">_xll.DBRW($B$1,$B$2,$B$7,$B$3,$B$4,$B$5,$F107,$B$6,T$10,$A107,$B107)</f>
        <v>0</v>
      </c>
      <c r="U107" s="4">
        <f ca="1">_xll.DBRW($B$1,$B$2,$B$7,$B$3,$B$4,$B$5,$F107,$B$6,U$10,$A107,$B107)</f>
        <v>0</v>
      </c>
      <c r="V107" s="4">
        <f ca="1">_xll.DBRW($B$1,$B$2,$B$7,$B$3,$B$4,$B$5,$F107,$B$6,V$10,$A107,$B107)</f>
        <v>0</v>
      </c>
      <c r="W107" s="4">
        <f ca="1">_xll.DBRW($B$1,$B$2,$B$7,$B$3,$B$4,$B$5,$F107,$B$6,W$10,$A107,$B107)</f>
        <v>0</v>
      </c>
      <c r="X107" s="4">
        <f ca="1">_xll.DBRW($B$1,$B$2,$B$7,$B$3,$B$4,$B$5,$F107,$B$6,X$10,$A107,$B107)</f>
        <v>0</v>
      </c>
      <c r="Y107" s="4">
        <f ca="1">_xll.DBRW($B$1,$B$2,$B$7,$B$3,$B$4,$B$5,$F107,$B$6,Y$10,$A107,$B107)</f>
        <v>0</v>
      </c>
      <c r="Z107" s="4">
        <f ca="1">_xll.DBRW($B$1,$B$2,$B$7,$B$3,$B$4,$B$5,$F107,$B$6,Z$10,$A107,$B107)</f>
        <v>0</v>
      </c>
      <c r="AA107" s="4">
        <f ca="1">_xll.DBRW($B$1,$B$2,$B$7,$B$3,$B$4,$B$5,$F107,$B$6,AA$10,$A107,$B107)</f>
        <v>0</v>
      </c>
      <c r="AB107" s="4">
        <f ca="1">_xll.DBRW($B$1,$B$2,$B$7,$B$3,$B$4,$B$5,$F107,$B$6,AB$10,$A107,$B107)</f>
        <v>0</v>
      </c>
      <c r="AC107" s="4">
        <f ca="1">_xll.DBRW($B$1,$B$2,$B$7,$B$3,$B$4,$B$5,$F107,$B$6,AC$10,$A107,$B107)</f>
        <v>0</v>
      </c>
      <c r="AD107" s="4">
        <f ca="1">_xll.DBRW($B$1,$B$2,$B$7,$B$3,$B$4,$B$5,$F107,$B$6,AD$10,$A107,$B107)</f>
        <v>0</v>
      </c>
      <c r="AE107" s="4">
        <f ca="1">_xll.DBRW($B$1,$B$2,$B$7,$B$3,$B$4,$B$5,$F107,$B$6,AE$10,$A107,$B107)</f>
        <v>0</v>
      </c>
    </row>
    <row r="108" spans="1:31">
      <c r="A108" s="1" t="s">
        <v>150</v>
      </c>
      <c r="B108" s="5" t="s">
        <v>278</v>
      </c>
      <c r="C108" s="5" t="s">
        <v>279</v>
      </c>
      <c r="D108" s="5" t="s">
        <v>277</v>
      </c>
      <c r="E108" s="5" t="s">
        <v>21</v>
      </c>
      <c r="F108" s="5" t="s">
        <v>312</v>
      </c>
      <c r="G108" s="6"/>
      <c r="H108" s="6"/>
      <c r="I108" s="6"/>
      <c r="J108" s="6"/>
      <c r="K108" s="6"/>
      <c r="L108" s="4">
        <f ca="1">_xll.DBRW($B$1,$B$2,$B$7,$B$3,$B$4,$B$5,$F108,$B$6,L$10,$A108,$B108)</f>
        <v>0</v>
      </c>
      <c r="M108" s="4">
        <f ca="1">_xll.DBRW($B$1,$B$2,$B$7,$B$3,$B$4,$B$5,$F108,$B$6,M$10,$A108,$B108)</f>
        <v>0</v>
      </c>
      <c r="N108" s="4">
        <f ca="1">_xll.DBRW($B$1,$B$2,$B$7,$B$3,$B$4,$B$5,$F108,$B$6,N$10,$A108,$B108)</f>
        <v>0</v>
      </c>
      <c r="O108" s="4">
        <f ca="1">_xll.DBRW($B$1,$B$2,$B$7,$B$3,$B$4,$B$5,$F108,$B$6,O$10,$A108,$B108)</f>
        <v>0</v>
      </c>
      <c r="P108" s="4">
        <f ca="1">_xll.DBRW($B$1,$B$2,$B$7,$B$3,$B$4,$B$5,$F108,$B$6,P$10,$A108,$B108)</f>
        <v>0</v>
      </c>
      <c r="Q108" s="4">
        <f ca="1">_xll.DBRW($B$1,$B$2,$B$7,$B$3,$B$4,$B$5,$F108,$B$6,Q$10,$A108,$B108)</f>
        <v>0</v>
      </c>
      <c r="R108" s="4">
        <f ca="1">_xll.DBRW($B$1,$B$2,$B$7,$B$3,$B$4,$B$5,$F108,$B$6,R$10,$A108,$B108)</f>
        <v>0</v>
      </c>
      <c r="S108" s="4">
        <f ca="1">_xll.DBRW($B$1,$B$2,$B$7,$B$3,$B$4,$B$5,$F108,$B$6,S$10,$A108,$B108)</f>
        <v>0</v>
      </c>
      <c r="T108" s="4">
        <f ca="1">_xll.DBRW($B$1,$B$2,$B$7,$B$3,$B$4,$B$5,$F108,$B$6,T$10,$A108,$B108)</f>
        <v>0</v>
      </c>
      <c r="U108" s="4">
        <f ca="1">_xll.DBRW($B$1,$B$2,$B$7,$B$3,$B$4,$B$5,$F108,$B$6,U$10,$A108,$B108)</f>
        <v>0</v>
      </c>
      <c r="V108" s="4">
        <f ca="1">_xll.DBRW($B$1,$B$2,$B$7,$B$3,$B$4,$B$5,$F108,$B$6,V$10,$A108,$B108)</f>
        <v>0</v>
      </c>
      <c r="W108" s="4">
        <f ca="1">_xll.DBRW($B$1,$B$2,$B$7,$B$3,$B$4,$B$5,$F108,$B$6,W$10,$A108,$B108)</f>
        <v>0</v>
      </c>
      <c r="X108" s="4">
        <f ca="1">_xll.DBRW($B$1,$B$2,$B$7,$B$3,$B$4,$B$5,$F108,$B$6,X$10,$A108,$B108)</f>
        <v>0</v>
      </c>
      <c r="Y108" s="4">
        <f ca="1">_xll.DBRW($B$1,$B$2,$B$7,$B$3,$B$4,$B$5,$F108,$B$6,Y$10,$A108,$B108)</f>
        <v>0</v>
      </c>
      <c r="Z108" s="4">
        <f ca="1">_xll.DBRW($B$1,$B$2,$B$7,$B$3,$B$4,$B$5,$F108,$B$6,Z$10,$A108,$B108)</f>
        <v>0</v>
      </c>
      <c r="AA108" s="4">
        <f ca="1">_xll.DBRW($B$1,$B$2,$B$7,$B$3,$B$4,$B$5,$F108,$B$6,AA$10,$A108,$B108)</f>
        <v>0</v>
      </c>
      <c r="AB108" s="4">
        <f ca="1">_xll.DBRW($B$1,$B$2,$B$7,$B$3,$B$4,$B$5,$F108,$B$6,AB$10,$A108,$B108)</f>
        <v>0</v>
      </c>
      <c r="AC108" s="4">
        <f ca="1">_xll.DBRW($B$1,$B$2,$B$7,$B$3,$B$4,$B$5,$F108,$B$6,AC$10,$A108,$B108)</f>
        <v>0</v>
      </c>
      <c r="AD108" s="4">
        <f ca="1">_xll.DBRW($B$1,$B$2,$B$7,$B$3,$B$4,$B$5,$F108,$B$6,AD$10,$A108,$B108)</f>
        <v>0</v>
      </c>
      <c r="AE108" s="4">
        <f ca="1">_xll.DBRW($B$1,$B$2,$B$7,$B$3,$B$4,$B$5,$F108,$B$6,AE$10,$A108,$B108)</f>
        <v>0</v>
      </c>
    </row>
    <row r="109" spans="1:31">
      <c r="A109" s="1" t="s">
        <v>150</v>
      </c>
      <c r="B109" s="5" t="s">
        <v>280</v>
      </c>
      <c r="C109" s="5" t="s">
        <v>276</v>
      </c>
      <c r="D109" s="5" t="s">
        <v>21</v>
      </c>
      <c r="E109" s="5" t="s">
        <v>277</v>
      </c>
      <c r="F109" s="5" t="s">
        <v>312</v>
      </c>
      <c r="G109" s="6"/>
      <c r="H109" s="6"/>
      <c r="I109" s="6"/>
      <c r="J109" s="6"/>
      <c r="K109" s="6"/>
      <c r="L109" s="4">
        <f ca="1">_xll.DBRW($B$1,$B$2,$B$7,$B$3,$B$4,$B$5,$F109,$B$6,L$10,$A109,$B109)</f>
        <v>0</v>
      </c>
      <c r="M109" s="4">
        <f ca="1">_xll.DBRW($B$1,$B$2,$B$7,$B$3,$B$4,$B$5,$F109,$B$6,M$10,$A109,$B109)</f>
        <v>0</v>
      </c>
      <c r="N109" s="4">
        <f ca="1">_xll.DBRW($B$1,$B$2,$B$7,$B$3,$B$4,$B$5,$F109,$B$6,N$10,$A109,$B109)</f>
        <v>0</v>
      </c>
      <c r="O109" s="4">
        <f ca="1">_xll.DBRW($B$1,$B$2,$B$7,$B$3,$B$4,$B$5,$F109,$B$6,O$10,$A109,$B109)</f>
        <v>0</v>
      </c>
      <c r="P109" s="4">
        <f ca="1">_xll.DBRW($B$1,$B$2,$B$7,$B$3,$B$4,$B$5,$F109,$B$6,P$10,$A109,$B109)</f>
        <v>0</v>
      </c>
      <c r="Q109" s="4">
        <f ca="1">_xll.DBRW($B$1,$B$2,$B$7,$B$3,$B$4,$B$5,$F109,$B$6,Q$10,$A109,$B109)</f>
        <v>0</v>
      </c>
      <c r="R109" s="4">
        <f ca="1">_xll.DBRW($B$1,$B$2,$B$7,$B$3,$B$4,$B$5,$F109,$B$6,R$10,$A109,$B109)</f>
        <v>0</v>
      </c>
      <c r="S109" s="4">
        <f ca="1">_xll.DBRW($B$1,$B$2,$B$7,$B$3,$B$4,$B$5,$F109,$B$6,S$10,$A109,$B109)</f>
        <v>0</v>
      </c>
      <c r="T109" s="4">
        <f ca="1">_xll.DBRW($B$1,$B$2,$B$7,$B$3,$B$4,$B$5,$F109,$B$6,T$10,$A109,$B109)</f>
        <v>0</v>
      </c>
      <c r="U109" s="4">
        <f ca="1">_xll.DBRW($B$1,$B$2,$B$7,$B$3,$B$4,$B$5,$F109,$B$6,U$10,$A109,$B109)</f>
        <v>0</v>
      </c>
      <c r="V109" s="4">
        <f ca="1">_xll.DBRW($B$1,$B$2,$B$7,$B$3,$B$4,$B$5,$F109,$B$6,V$10,$A109,$B109)</f>
        <v>0</v>
      </c>
      <c r="W109" s="4">
        <f ca="1">_xll.DBRW($B$1,$B$2,$B$7,$B$3,$B$4,$B$5,$F109,$B$6,W$10,$A109,$B109)</f>
        <v>0</v>
      </c>
      <c r="X109" s="4">
        <f ca="1">_xll.DBRW($B$1,$B$2,$B$7,$B$3,$B$4,$B$5,$F109,$B$6,X$10,$A109,$B109)</f>
        <v>0</v>
      </c>
      <c r="Y109" s="4">
        <f ca="1">_xll.DBRW($B$1,$B$2,$B$7,$B$3,$B$4,$B$5,$F109,$B$6,Y$10,$A109,$B109)</f>
        <v>0</v>
      </c>
      <c r="Z109" s="4">
        <f ca="1">_xll.DBRW($B$1,$B$2,$B$7,$B$3,$B$4,$B$5,$F109,$B$6,Z$10,$A109,$B109)</f>
        <v>0</v>
      </c>
      <c r="AA109" s="4">
        <f ca="1">_xll.DBRW($B$1,$B$2,$B$7,$B$3,$B$4,$B$5,$F109,$B$6,AA$10,$A109,$B109)</f>
        <v>0</v>
      </c>
      <c r="AB109" s="4">
        <f ca="1">_xll.DBRW($B$1,$B$2,$B$7,$B$3,$B$4,$B$5,$F109,$B$6,AB$10,$A109,$B109)</f>
        <v>0</v>
      </c>
      <c r="AC109" s="4">
        <f ca="1">_xll.DBRW($B$1,$B$2,$B$7,$B$3,$B$4,$B$5,$F109,$B$6,AC$10,$A109,$B109)</f>
        <v>0</v>
      </c>
      <c r="AD109" s="4">
        <f ca="1">_xll.DBRW($B$1,$B$2,$B$7,$B$3,$B$4,$B$5,$F109,$B$6,AD$10,$A109,$B109)</f>
        <v>0</v>
      </c>
      <c r="AE109" s="4">
        <f ca="1">_xll.DBRW($B$1,$B$2,$B$7,$B$3,$B$4,$B$5,$F109,$B$6,AE$10,$A109,$B109)</f>
        <v>0</v>
      </c>
    </row>
    <row r="110" spans="1:31">
      <c r="A110" s="1" t="s">
        <v>150</v>
      </c>
      <c r="B110" s="5" t="s">
        <v>281</v>
      </c>
      <c r="C110" s="5" t="s">
        <v>279</v>
      </c>
      <c r="D110" s="5" t="s">
        <v>277</v>
      </c>
      <c r="E110" s="5" t="s">
        <v>21</v>
      </c>
      <c r="F110" s="5" t="s">
        <v>312</v>
      </c>
      <c r="G110" s="6"/>
      <c r="H110" s="6"/>
      <c r="I110" s="6"/>
      <c r="J110" s="6"/>
      <c r="K110" s="6"/>
      <c r="L110" s="4">
        <f ca="1">_xll.DBRW($B$1,$B$2,$B$7,$B$3,$B$4,$B$5,$F110,$B$6,L$10,$A110,$B110)</f>
        <v>0</v>
      </c>
      <c r="M110" s="4">
        <f ca="1">_xll.DBRW($B$1,$B$2,$B$7,$B$3,$B$4,$B$5,$F110,$B$6,M$10,$A110,$B110)</f>
        <v>0</v>
      </c>
      <c r="N110" s="4">
        <f ca="1">_xll.DBRW($B$1,$B$2,$B$7,$B$3,$B$4,$B$5,$F110,$B$6,N$10,$A110,$B110)</f>
        <v>0</v>
      </c>
      <c r="O110" s="4">
        <f ca="1">_xll.DBRW($B$1,$B$2,$B$7,$B$3,$B$4,$B$5,$F110,$B$6,O$10,$A110,$B110)</f>
        <v>0</v>
      </c>
      <c r="P110" s="4">
        <f ca="1">_xll.DBRW($B$1,$B$2,$B$7,$B$3,$B$4,$B$5,$F110,$B$6,P$10,$A110,$B110)</f>
        <v>0</v>
      </c>
      <c r="Q110" s="4">
        <f ca="1">_xll.DBRW($B$1,$B$2,$B$7,$B$3,$B$4,$B$5,$F110,$B$6,Q$10,$A110,$B110)</f>
        <v>0</v>
      </c>
      <c r="R110" s="4">
        <f ca="1">_xll.DBRW($B$1,$B$2,$B$7,$B$3,$B$4,$B$5,$F110,$B$6,R$10,$A110,$B110)</f>
        <v>0</v>
      </c>
      <c r="S110" s="4">
        <f ca="1">_xll.DBRW($B$1,$B$2,$B$7,$B$3,$B$4,$B$5,$F110,$B$6,S$10,$A110,$B110)</f>
        <v>0</v>
      </c>
      <c r="T110" s="4">
        <f ca="1">_xll.DBRW($B$1,$B$2,$B$7,$B$3,$B$4,$B$5,$F110,$B$6,T$10,$A110,$B110)</f>
        <v>0</v>
      </c>
      <c r="U110" s="4">
        <f ca="1">_xll.DBRW($B$1,$B$2,$B$7,$B$3,$B$4,$B$5,$F110,$B$6,U$10,$A110,$B110)</f>
        <v>0</v>
      </c>
      <c r="V110" s="4">
        <f ca="1">_xll.DBRW($B$1,$B$2,$B$7,$B$3,$B$4,$B$5,$F110,$B$6,V$10,$A110,$B110)</f>
        <v>0</v>
      </c>
      <c r="W110" s="4">
        <f ca="1">_xll.DBRW($B$1,$B$2,$B$7,$B$3,$B$4,$B$5,$F110,$B$6,W$10,$A110,$B110)</f>
        <v>0</v>
      </c>
      <c r="X110" s="4">
        <f ca="1">_xll.DBRW($B$1,$B$2,$B$7,$B$3,$B$4,$B$5,$F110,$B$6,X$10,$A110,$B110)</f>
        <v>0</v>
      </c>
      <c r="Y110" s="4">
        <f ca="1">_xll.DBRW($B$1,$B$2,$B$7,$B$3,$B$4,$B$5,$F110,$B$6,Y$10,$A110,$B110)</f>
        <v>0</v>
      </c>
      <c r="Z110" s="4">
        <f ca="1">_xll.DBRW($B$1,$B$2,$B$7,$B$3,$B$4,$B$5,$F110,$B$6,Z$10,$A110,$B110)</f>
        <v>0</v>
      </c>
      <c r="AA110" s="4">
        <f ca="1">_xll.DBRW($B$1,$B$2,$B$7,$B$3,$B$4,$B$5,$F110,$B$6,AA$10,$A110,$B110)</f>
        <v>0</v>
      </c>
      <c r="AB110" s="4">
        <f ca="1">_xll.DBRW($B$1,$B$2,$B$7,$B$3,$B$4,$B$5,$F110,$B$6,AB$10,$A110,$B110)</f>
        <v>0</v>
      </c>
      <c r="AC110" s="4">
        <f ca="1">_xll.DBRW($B$1,$B$2,$B$7,$B$3,$B$4,$B$5,$F110,$B$6,AC$10,$A110,$B110)</f>
        <v>0</v>
      </c>
      <c r="AD110" s="4">
        <f ca="1">_xll.DBRW($B$1,$B$2,$B$7,$B$3,$B$4,$B$5,$F110,$B$6,AD$10,$A110,$B110)</f>
        <v>0</v>
      </c>
      <c r="AE110" s="4">
        <f ca="1">_xll.DBRW($B$1,$B$2,$B$7,$B$3,$B$4,$B$5,$F110,$B$6,AE$10,$A110,$B110)</f>
        <v>0</v>
      </c>
    </row>
    <row r="111" spans="1:31">
      <c r="A111" s="1" t="s">
        <v>150</v>
      </c>
      <c r="B111" s="5" t="s">
        <v>282</v>
      </c>
      <c r="C111" s="5" t="s">
        <v>283</v>
      </c>
      <c r="D111" s="5" t="s">
        <v>21</v>
      </c>
      <c r="E111" s="5" t="s">
        <v>284</v>
      </c>
      <c r="F111" s="5" t="s">
        <v>312</v>
      </c>
      <c r="G111" s="6"/>
      <c r="H111" s="6"/>
      <c r="I111" s="6"/>
      <c r="J111" s="6"/>
      <c r="K111" s="6"/>
      <c r="L111" s="4">
        <f ca="1">_xll.DBRW($B$1,$B$2,$B$7,$B$3,$B$4,$B$5,$F111,$B$6,L$10,$A111,$B111)</f>
        <v>0</v>
      </c>
      <c r="M111" s="4">
        <f ca="1">_xll.DBRW($B$1,$B$2,$B$7,$B$3,$B$4,$B$5,$F111,$B$6,M$10,$A111,$B111)</f>
        <v>0</v>
      </c>
      <c r="N111" s="4">
        <f ca="1">_xll.DBRW($B$1,$B$2,$B$7,$B$3,$B$4,$B$5,$F111,$B$6,N$10,$A111,$B111)</f>
        <v>0</v>
      </c>
      <c r="O111" s="4">
        <f ca="1">_xll.DBRW($B$1,$B$2,$B$7,$B$3,$B$4,$B$5,$F111,$B$6,O$10,$A111,$B111)</f>
        <v>0</v>
      </c>
      <c r="P111" s="4">
        <f ca="1">_xll.DBRW($B$1,$B$2,$B$7,$B$3,$B$4,$B$5,$F111,$B$6,P$10,$A111,$B111)</f>
        <v>0</v>
      </c>
      <c r="Q111" s="4">
        <f ca="1">_xll.DBRW($B$1,$B$2,$B$7,$B$3,$B$4,$B$5,$F111,$B$6,Q$10,$A111,$B111)</f>
        <v>0</v>
      </c>
      <c r="R111" s="4">
        <f ca="1">_xll.DBRW($B$1,$B$2,$B$7,$B$3,$B$4,$B$5,$F111,$B$6,R$10,$A111,$B111)</f>
        <v>0</v>
      </c>
      <c r="S111" s="4">
        <f ca="1">_xll.DBRW($B$1,$B$2,$B$7,$B$3,$B$4,$B$5,$F111,$B$6,S$10,$A111,$B111)</f>
        <v>0</v>
      </c>
      <c r="T111" s="4">
        <f ca="1">_xll.DBRW($B$1,$B$2,$B$7,$B$3,$B$4,$B$5,$F111,$B$6,T$10,$A111,$B111)</f>
        <v>0</v>
      </c>
      <c r="U111" s="4">
        <f ca="1">_xll.DBRW($B$1,$B$2,$B$7,$B$3,$B$4,$B$5,$F111,$B$6,U$10,$A111,$B111)</f>
        <v>0</v>
      </c>
      <c r="V111" s="4">
        <f ca="1">_xll.DBRW($B$1,$B$2,$B$7,$B$3,$B$4,$B$5,$F111,$B$6,V$10,$A111,$B111)</f>
        <v>0</v>
      </c>
      <c r="W111" s="4">
        <f ca="1">_xll.DBRW($B$1,$B$2,$B$7,$B$3,$B$4,$B$5,$F111,$B$6,W$10,$A111,$B111)</f>
        <v>0</v>
      </c>
      <c r="X111" s="4">
        <f ca="1">_xll.DBRW($B$1,$B$2,$B$7,$B$3,$B$4,$B$5,$F111,$B$6,X$10,$A111,$B111)</f>
        <v>0</v>
      </c>
      <c r="Y111" s="4">
        <f ca="1">_xll.DBRW($B$1,$B$2,$B$7,$B$3,$B$4,$B$5,$F111,$B$6,Y$10,$A111,$B111)</f>
        <v>0</v>
      </c>
      <c r="Z111" s="4">
        <f ca="1">_xll.DBRW($B$1,$B$2,$B$7,$B$3,$B$4,$B$5,$F111,$B$6,Z$10,$A111,$B111)</f>
        <v>0</v>
      </c>
      <c r="AA111" s="4">
        <f ca="1">_xll.DBRW($B$1,$B$2,$B$7,$B$3,$B$4,$B$5,$F111,$B$6,AA$10,$A111,$B111)</f>
        <v>0</v>
      </c>
      <c r="AB111" s="4">
        <f ca="1">_xll.DBRW($B$1,$B$2,$B$7,$B$3,$B$4,$B$5,$F111,$B$6,AB$10,$A111,$B111)</f>
        <v>0</v>
      </c>
      <c r="AC111" s="4">
        <f ca="1">_xll.DBRW($B$1,$B$2,$B$7,$B$3,$B$4,$B$5,$F111,$B$6,AC$10,$A111,$B111)</f>
        <v>0</v>
      </c>
      <c r="AD111" s="4">
        <f ca="1">_xll.DBRW($B$1,$B$2,$B$7,$B$3,$B$4,$B$5,$F111,$B$6,AD$10,$A111,$B111)</f>
        <v>0</v>
      </c>
      <c r="AE111" s="4">
        <f ca="1">_xll.DBRW($B$1,$B$2,$B$7,$B$3,$B$4,$B$5,$F111,$B$6,AE$10,$A111,$B111)</f>
        <v>0</v>
      </c>
    </row>
    <row r="112" spans="1:31">
      <c r="A112" s="1" t="s">
        <v>150</v>
      </c>
      <c r="B112" s="5" t="s">
        <v>285</v>
      </c>
      <c r="C112" s="5" t="s">
        <v>286</v>
      </c>
      <c r="D112" s="5" t="s">
        <v>284</v>
      </c>
      <c r="E112" s="5" t="s">
        <v>21</v>
      </c>
      <c r="F112" s="5" t="s">
        <v>312</v>
      </c>
      <c r="G112" s="6"/>
      <c r="H112" s="6"/>
      <c r="I112" s="6"/>
      <c r="J112" s="6"/>
      <c r="K112" s="6"/>
      <c r="L112" s="4">
        <f ca="1">_xll.DBRW($B$1,$B$2,$B$7,$B$3,$B$4,$B$5,$F112,$B$6,L$10,$A112,$B112)</f>
        <v>0</v>
      </c>
      <c r="M112" s="4">
        <f ca="1">_xll.DBRW($B$1,$B$2,$B$7,$B$3,$B$4,$B$5,$F112,$B$6,M$10,$A112,$B112)</f>
        <v>0</v>
      </c>
      <c r="N112" s="4">
        <f ca="1">_xll.DBRW($B$1,$B$2,$B$7,$B$3,$B$4,$B$5,$F112,$B$6,N$10,$A112,$B112)</f>
        <v>0</v>
      </c>
      <c r="O112" s="4">
        <f ca="1">_xll.DBRW($B$1,$B$2,$B$7,$B$3,$B$4,$B$5,$F112,$B$6,O$10,$A112,$B112)</f>
        <v>0</v>
      </c>
      <c r="P112" s="4">
        <f ca="1">_xll.DBRW($B$1,$B$2,$B$7,$B$3,$B$4,$B$5,$F112,$B$6,P$10,$A112,$B112)</f>
        <v>0</v>
      </c>
      <c r="Q112" s="4">
        <f ca="1">_xll.DBRW($B$1,$B$2,$B$7,$B$3,$B$4,$B$5,$F112,$B$6,Q$10,$A112,$B112)</f>
        <v>0</v>
      </c>
      <c r="R112" s="4">
        <f ca="1">_xll.DBRW($B$1,$B$2,$B$7,$B$3,$B$4,$B$5,$F112,$B$6,R$10,$A112,$B112)</f>
        <v>0</v>
      </c>
      <c r="S112" s="4">
        <f ca="1">_xll.DBRW($B$1,$B$2,$B$7,$B$3,$B$4,$B$5,$F112,$B$6,S$10,$A112,$B112)</f>
        <v>0</v>
      </c>
      <c r="T112" s="4">
        <f ca="1">_xll.DBRW($B$1,$B$2,$B$7,$B$3,$B$4,$B$5,$F112,$B$6,T$10,$A112,$B112)</f>
        <v>0</v>
      </c>
      <c r="U112" s="4">
        <f ca="1">_xll.DBRW($B$1,$B$2,$B$7,$B$3,$B$4,$B$5,$F112,$B$6,U$10,$A112,$B112)</f>
        <v>0</v>
      </c>
      <c r="V112" s="4">
        <f ca="1">_xll.DBRW($B$1,$B$2,$B$7,$B$3,$B$4,$B$5,$F112,$B$6,V$10,$A112,$B112)</f>
        <v>0</v>
      </c>
      <c r="W112" s="4">
        <f ca="1">_xll.DBRW($B$1,$B$2,$B$7,$B$3,$B$4,$B$5,$F112,$B$6,W$10,$A112,$B112)</f>
        <v>0</v>
      </c>
      <c r="X112" s="4">
        <f ca="1">_xll.DBRW($B$1,$B$2,$B$7,$B$3,$B$4,$B$5,$F112,$B$6,X$10,$A112,$B112)</f>
        <v>0</v>
      </c>
      <c r="Y112" s="4">
        <f ca="1">_xll.DBRW($B$1,$B$2,$B$7,$B$3,$B$4,$B$5,$F112,$B$6,Y$10,$A112,$B112)</f>
        <v>0</v>
      </c>
      <c r="Z112" s="4">
        <f ca="1">_xll.DBRW($B$1,$B$2,$B$7,$B$3,$B$4,$B$5,$F112,$B$6,Z$10,$A112,$B112)</f>
        <v>0</v>
      </c>
      <c r="AA112" s="4">
        <f ca="1">_xll.DBRW($B$1,$B$2,$B$7,$B$3,$B$4,$B$5,$F112,$B$6,AA$10,$A112,$B112)</f>
        <v>0</v>
      </c>
      <c r="AB112" s="4">
        <f ca="1">_xll.DBRW($B$1,$B$2,$B$7,$B$3,$B$4,$B$5,$F112,$B$6,AB$10,$A112,$B112)</f>
        <v>0</v>
      </c>
      <c r="AC112" s="4">
        <f ca="1">_xll.DBRW($B$1,$B$2,$B$7,$B$3,$B$4,$B$5,$F112,$B$6,AC$10,$A112,$B112)</f>
        <v>0</v>
      </c>
      <c r="AD112" s="4">
        <f ca="1">_xll.DBRW($B$1,$B$2,$B$7,$B$3,$B$4,$B$5,$F112,$B$6,AD$10,$A112,$B112)</f>
        <v>0</v>
      </c>
      <c r="AE112" s="4">
        <f ca="1">_xll.DBRW($B$1,$B$2,$B$7,$B$3,$B$4,$B$5,$F112,$B$6,AE$10,$A112,$B112)</f>
        <v>0</v>
      </c>
    </row>
    <row r="113" spans="1:31">
      <c r="A113" s="1" t="s">
        <v>150</v>
      </c>
      <c r="B113" s="5" t="s">
        <v>287</v>
      </c>
      <c r="C113" s="5" t="s">
        <v>288</v>
      </c>
      <c r="D113" s="5" t="s">
        <v>21</v>
      </c>
      <c r="E113" s="5" t="s">
        <v>289</v>
      </c>
      <c r="F113" s="5" t="s">
        <v>312</v>
      </c>
      <c r="G113" s="6"/>
      <c r="H113" s="6"/>
      <c r="I113" s="6"/>
      <c r="J113" s="6"/>
      <c r="K113" s="6"/>
      <c r="L113" s="4">
        <f ca="1">_xll.DBRW($B$1,$B$2,$B$7,$B$3,$B$4,$B$5,$F113,$B$6,L$10,$A113,$B113)</f>
        <v>0</v>
      </c>
      <c r="M113" s="4">
        <f ca="1">_xll.DBRW($B$1,$B$2,$B$7,$B$3,$B$4,$B$5,$F113,$B$6,M$10,$A113,$B113)</f>
        <v>0</v>
      </c>
      <c r="N113" s="4">
        <f ca="1">_xll.DBRW($B$1,$B$2,$B$7,$B$3,$B$4,$B$5,$F113,$B$6,N$10,$A113,$B113)</f>
        <v>0</v>
      </c>
      <c r="O113" s="4">
        <f ca="1">_xll.DBRW($B$1,$B$2,$B$7,$B$3,$B$4,$B$5,$F113,$B$6,O$10,$A113,$B113)</f>
        <v>0</v>
      </c>
      <c r="P113" s="4">
        <f ca="1">_xll.DBRW($B$1,$B$2,$B$7,$B$3,$B$4,$B$5,$F113,$B$6,P$10,$A113,$B113)</f>
        <v>0</v>
      </c>
      <c r="Q113" s="4">
        <f ca="1">_xll.DBRW($B$1,$B$2,$B$7,$B$3,$B$4,$B$5,$F113,$B$6,Q$10,$A113,$B113)</f>
        <v>2</v>
      </c>
      <c r="R113" s="4">
        <f ca="1">_xll.DBRW($B$1,$B$2,$B$7,$B$3,$B$4,$B$5,$F113,$B$6,R$10,$A113,$B113)</f>
        <v>13</v>
      </c>
      <c r="S113" s="4">
        <f ca="1">_xll.DBRW($B$1,$B$2,$B$7,$B$3,$B$4,$B$5,$F113,$B$6,S$10,$A113,$B113)</f>
        <v>19</v>
      </c>
      <c r="T113" s="4">
        <f ca="1">_xll.DBRW($B$1,$B$2,$B$7,$B$3,$B$4,$B$5,$F113,$B$6,T$10,$A113,$B113)</f>
        <v>0</v>
      </c>
      <c r="U113" s="4">
        <f ca="1">_xll.DBRW($B$1,$B$2,$B$7,$B$3,$B$4,$B$5,$F113,$B$6,U$10,$A113,$B113)</f>
        <v>0</v>
      </c>
      <c r="V113" s="4">
        <f ca="1">_xll.DBRW($B$1,$B$2,$B$7,$B$3,$B$4,$B$5,$F113,$B$6,V$10,$A113,$B113)</f>
        <v>0</v>
      </c>
      <c r="W113" s="4">
        <f ca="1">_xll.DBRW($B$1,$B$2,$B$7,$B$3,$B$4,$B$5,$F113,$B$6,W$10,$A113,$B113)</f>
        <v>0</v>
      </c>
      <c r="X113" s="4">
        <f ca="1">_xll.DBRW($B$1,$B$2,$B$7,$B$3,$B$4,$B$5,$F113,$B$6,X$10,$A113,$B113)</f>
        <v>0</v>
      </c>
      <c r="Y113" s="4">
        <f ca="1">_xll.DBRW($B$1,$B$2,$B$7,$B$3,$B$4,$B$5,$F113,$B$6,Y$10,$A113,$B113)</f>
        <v>0</v>
      </c>
      <c r="Z113" s="4">
        <f ca="1">_xll.DBRW($B$1,$B$2,$B$7,$B$3,$B$4,$B$5,$F113,$B$6,Z$10,$A113,$B113)</f>
        <v>0</v>
      </c>
      <c r="AA113" s="4">
        <f ca="1">_xll.DBRW($B$1,$B$2,$B$7,$B$3,$B$4,$B$5,$F113,$B$6,AA$10,$A113,$B113)</f>
        <v>0</v>
      </c>
      <c r="AB113" s="4">
        <f ca="1">_xll.DBRW($B$1,$B$2,$B$7,$B$3,$B$4,$B$5,$F113,$B$6,AB$10,$A113,$B113)</f>
        <v>0</v>
      </c>
      <c r="AC113" s="4">
        <f ca="1">_xll.DBRW($B$1,$B$2,$B$7,$B$3,$B$4,$B$5,$F113,$B$6,AC$10,$A113,$B113)</f>
        <v>0</v>
      </c>
      <c r="AD113" s="4">
        <f ca="1">_xll.DBRW($B$1,$B$2,$B$7,$B$3,$B$4,$B$5,$F113,$B$6,AD$10,$A113,$B113)</f>
        <v>0</v>
      </c>
      <c r="AE113" s="4">
        <f ca="1">_xll.DBRW($B$1,$B$2,$B$7,$B$3,$B$4,$B$5,$F113,$B$6,AE$10,$A113,$B113)</f>
        <v>0</v>
      </c>
    </row>
    <row r="114" spans="1:31">
      <c r="A114" s="1" t="s">
        <v>150</v>
      </c>
      <c r="B114" s="5" t="s">
        <v>290</v>
      </c>
      <c r="C114" s="5" t="s">
        <v>291</v>
      </c>
      <c r="D114" s="5" t="s">
        <v>289</v>
      </c>
      <c r="E114" s="5" t="s">
        <v>21</v>
      </c>
      <c r="F114" s="5" t="s">
        <v>312</v>
      </c>
      <c r="G114" s="6"/>
      <c r="H114" s="6"/>
      <c r="I114" s="6"/>
      <c r="J114" s="6"/>
      <c r="K114" s="6"/>
      <c r="L114" s="4">
        <f ca="1">_xll.DBRW($B$1,$B$2,$B$7,$B$3,$B$4,$B$5,$F114,$B$6,L$10,$A114,$B114)</f>
        <v>0</v>
      </c>
      <c r="M114" s="4">
        <f ca="1">_xll.DBRW($B$1,$B$2,$B$7,$B$3,$B$4,$B$5,$F114,$B$6,M$10,$A114,$B114)</f>
        <v>0</v>
      </c>
      <c r="N114" s="4">
        <f ca="1">_xll.DBRW($B$1,$B$2,$B$7,$B$3,$B$4,$B$5,$F114,$B$6,N$10,$A114,$B114)</f>
        <v>0</v>
      </c>
      <c r="O114" s="4">
        <f ca="1">_xll.DBRW($B$1,$B$2,$B$7,$B$3,$B$4,$B$5,$F114,$B$6,O$10,$A114,$B114)</f>
        <v>0</v>
      </c>
      <c r="P114" s="4">
        <f ca="1">_xll.DBRW($B$1,$B$2,$B$7,$B$3,$B$4,$B$5,$F114,$B$6,P$10,$A114,$B114)</f>
        <v>0</v>
      </c>
      <c r="Q114" s="4">
        <f ca="1">_xll.DBRW($B$1,$B$2,$B$7,$B$3,$B$4,$B$5,$F114,$B$6,Q$10,$A114,$B114)</f>
        <v>1</v>
      </c>
      <c r="R114" s="4">
        <f ca="1">_xll.DBRW($B$1,$B$2,$B$7,$B$3,$B$4,$B$5,$F114,$B$6,R$10,$A114,$B114)</f>
        <v>13</v>
      </c>
      <c r="S114" s="4">
        <f ca="1">_xll.DBRW($B$1,$B$2,$B$7,$B$3,$B$4,$B$5,$F114,$B$6,S$10,$A114,$B114)</f>
        <v>19</v>
      </c>
      <c r="T114" s="4">
        <f ca="1">_xll.DBRW($B$1,$B$2,$B$7,$B$3,$B$4,$B$5,$F114,$B$6,T$10,$A114,$B114)</f>
        <v>0</v>
      </c>
      <c r="U114" s="4">
        <f ca="1">_xll.DBRW($B$1,$B$2,$B$7,$B$3,$B$4,$B$5,$F114,$B$6,U$10,$A114,$B114)</f>
        <v>0</v>
      </c>
      <c r="V114" s="4">
        <f ca="1">_xll.DBRW($B$1,$B$2,$B$7,$B$3,$B$4,$B$5,$F114,$B$6,V$10,$A114,$B114)</f>
        <v>0</v>
      </c>
      <c r="W114" s="4">
        <f ca="1">_xll.DBRW($B$1,$B$2,$B$7,$B$3,$B$4,$B$5,$F114,$B$6,W$10,$A114,$B114)</f>
        <v>0</v>
      </c>
      <c r="X114" s="4">
        <f ca="1">_xll.DBRW($B$1,$B$2,$B$7,$B$3,$B$4,$B$5,$F114,$B$6,X$10,$A114,$B114)</f>
        <v>0</v>
      </c>
      <c r="Y114" s="4">
        <f ca="1">_xll.DBRW($B$1,$B$2,$B$7,$B$3,$B$4,$B$5,$F114,$B$6,Y$10,$A114,$B114)</f>
        <v>0</v>
      </c>
      <c r="Z114" s="4">
        <f ca="1">_xll.DBRW($B$1,$B$2,$B$7,$B$3,$B$4,$B$5,$F114,$B$6,Z$10,$A114,$B114)</f>
        <v>0</v>
      </c>
      <c r="AA114" s="4">
        <f ca="1">_xll.DBRW($B$1,$B$2,$B$7,$B$3,$B$4,$B$5,$F114,$B$6,AA$10,$A114,$B114)</f>
        <v>0</v>
      </c>
      <c r="AB114" s="4">
        <f ca="1">_xll.DBRW($B$1,$B$2,$B$7,$B$3,$B$4,$B$5,$F114,$B$6,AB$10,$A114,$B114)</f>
        <v>0</v>
      </c>
      <c r="AC114" s="4">
        <f ca="1">_xll.DBRW($B$1,$B$2,$B$7,$B$3,$B$4,$B$5,$F114,$B$6,AC$10,$A114,$B114)</f>
        <v>0</v>
      </c>
      <c r="AD114" s="4">
        <f ca="1">_xll.DBRW($B$1,$B$2,$B$7,$B$3,$B$4,$B$5,$F114,$B$6,AD$10,$A114,$B114)</f>
        <v>0</v>
      </c>
      <c r="AE114" s="4">
        <f ca="1">_xll.DBRW($B$1,$B$2,$B$7,$B$3,$B$4,$B$5,$F114,$B$6,AE$10,$A114,$B114)</f>
        <v>0</v>
      </c>
    </row>
    <row r="115" spans="1:31">
      <c r="A115" s="1" t="s">
        <v>150</v>
      </c>
      <c r="B115" s="5" t="s">
        <v>292</v>
      </c>
      <c r="C115" s="5" t="s">
        <v>293</v>
      </c>
      <c r="D115" s="5" t="s">
        <v>21</v>
      </c>
      <c r="E115" s="5" t="s">
        <v>294</v>
      </c>
      <c r="F115" s="5" t="s">
        <v>312</v>
      </c>
      <c r="G115" s="6"/>
      <c r="H115" s="6"/>
      <c r="I115" s="6"/>
      <c r="J115" s="6"/>
      <c r="K115" s="6"/>
      <c r="L115" s="4">
        <f ca="1">_xll.DBRW($B$1,$B$2,$B$7,$B$3,$B$4,$B$5,$F115,$B$6,L$10,$A115,$B115)</f>
        <v>5</v>
      </c>
      <c r="M115" s="4">
        <f ca="1">_xll.DBRW($B$1,$B$2,$B$7,$B$3,$B$4,$B$5,$F115,$B$6,M$10,$A115,$B115)</f>
        <v>4</v>
      </c>
      <c r="N115" s="4">
        <f ca="1">_xll.DBRW($B$1,$B$2,$B$7,$B$3,$B$4,$B$5,$F115,$B$6,N$10,$A115,$B115)</f>
        <v>4</v>
      </c>
      <c r="O115" s="4">
        <f ca="1">_xll.DBRW($B$1,$B$2,$B$7,$B$3,$B$4,$B$5,$F115,$B$6,O$10,$A115,$B115)</f>
        <v>7</v>
      </c>
      <c r="P115" s="4">
        <f ca="1">_xll.DBRW($B$1,$B$2,$B$7,$B$3,$B$4,$B$5,$F115,$B$6,P$10,$A115,$B115)</f>
        <v>4</v>
      </c>
      <c r="Q115" s="4">
        <f ca="1">_xll.DBRW($B$1,$B$2,$B$7,$B$3,$B$4,$B$5,$F115,$B$6,Q$10,$A115,$B115)</f>
        <v>4</v>
      </c>
      <c r="R115" s="4">
        <f ca="1">_xll.DBRW($B$1,$B$2,$B$7,$B$3,$B$4,$B$5,$F115,$B$6,R$10,$A115,$B115)</f>
        <v>0</v>
      </c>
      <c r="S115" s="4">
        <f ca="1">_xll.DBRW($B$1,$B$2,$B$7,$B$3,$B$4,$B$5,$F115,$B$6,S$10,$A115,$B115)</f>
        <v>0</v>
      </c>
      <c r="T115" s="4">
        <f ca="1">_xll.DBRW($B$1,$B$2,$B$7,$B$3,$B$4,$B$5,$F115,$B$6,T$10,$A115,$B115)</f>
        <v>0</v>
      </c>
      <c r="U115" s="4">
        <f ca="1">_xll.DBRW($B$1,$B$2,$B$7,$B$3,$B$4,$B$5,$F115,$B$6,U$10,$A115,$B115)</f>
        <v>0</v>
      </c>
      <c r="V115" s="4">
        <f ca="1">_xll.DBRW($B$1,$B$2,$B$7,$B$3,$B$4,$B$5,$F115,$B$6,V$10,$A115,$B115)</f>
        <v>2</v>
      </c>
      <c r="W115" s="4">
        <f ca="1">_xll.DBRW($B$1,$B$2,$B$7,$B$3,$B$4,$B$5,$F115,$B$6,W$10,$A115,$B115)</f>
        <v>30</v>
      </c>
      <c r="X115" s="4">
        <f ca="1">_xll.DBRW($B$1,$B$2,$B$7,$B$3,$B$4,$B$5,$F115,$B$6,X$10,$A115,$B115)</f>
        <v>31</v>
      </c>
      <c r="Y115" s="4">
        <f ca="1">_xll.DBRW($B$1,$B$2,$B$7,$B$3,$B$4,$B$5,$F115,$B$6,Y$10,$A115,$B115)</f>
        <v>30</v>
      </c>
      <c r="Z115" s="4">
        <f ca="1">_xll.DBRW($B$1,$B$2,$B$7,$B$3,$B$4,$B$5,$F115,$B$6,Z$10,$A115,$B115)</f>
        <v>31</v>
      </c>
      <c r="AA115" s="4">
        <f ca="1">_xll.DBRW($B$1,$B$2,$B$7,$B$3,$B$4,$B$5,$F115,$B$6,AA$10,$A115,$B115)</f>
        <v>31</v>
      </c>
      <c r="AB115" s="4">
        <f ca="1">_xll.DBRW($B$1,$B$2,$B$7,$B$3,$B$4,$B$5,$F115,$B$6,AB$10,$A115,$B115)</f>
        <v>30</v>
      </c>
      <c r="AC115" s="4">
        <f ca="1">_xll.DBRW($B$1,$B$2,$B$7,$B$3,$B$4,$B$5,$F115,$B$6,AC$10,$A115,$B115)</f>
        <v>25</v>
      </c>
      <c r="AD115" s="4">
        <f ca="1">_xll.DBRW($B$1,$B$2,$B$7,$B$3,$B$4,$B$5,$F115,$B$6,AD$10,$A115,$B115)</f>
        <v>0</v>
      </c>
      <c r="AE115" s="4">
        <f ca="1">_xll.DBRW($B$1,$B$2,$B$7,$B$3,$B$4,$B$5,$F115,$B$6,AE$10,$A115,$B115)</f>
        <v>0</v>
      </c>
    </row>
    <row r="116" spans="1:31">
      <c r="A116" s="1" t="s">
        <v>150</v>
      </c>
      <c r="B116" s="5" t="s">
        <v>295</v>
      </c>
      <c r="C116" s="5" t="s">
        <v>296</v>
      </c>
      <c r="D116" s="5" t="s">
        <v>294</v>
      </c>
      <c r="E116" s="5" t="s">
        <v>21</v>
      </c>
      <c r="F116" s="5" t="s">
        <v>312</v>
      </c>
      <c r="G116" s="6"/>
      <c r="H116" s="6"/>
      <c r="I116" s="6"/>
      <c r="J116" s="6"/>
      <c r="K116" s="6"/>
      <c r="L116" s="4">
        <f ca="1">_xll.DBRW($B$1,$B$2,$B$7,$B$3,$B$4,$B$5,$F116,$B$6,L$10,$A116,$B116)</f>
        <v>4</v>
      </c>
      <c r="M116" s="4">
        <f ca="1">_xll.DBRW($B$1,$B$2,$B$7,$B$3,$B$4,$B$5,$F116,$B$6,M$10,$A116,$B116)</f>
        <v>5</v>
      </c>
      <c r="N116" s="4">
        <f ca="1">_xll.DBRW($B$1,$B$2,$B$7,$B$3,$B$4,$B$5,$F116,$B$6,N$10,$A116,$B116)</f>
        <v>4</v>
      </c>
      <c r="O116" s="4">
        <f ca="1">_xll.DBRW($B$1,$B$2,$B$7,$B$3,$B$4,$B$5,$F116,$B$6,O$10,$A116,$B116)</f>
        <v>7</v>
      </c>
      <c r="P116" s="4">
        <f ca="1">_xll.DBRW($B$1,$B$2,$B$7,$B$3,$B$4,$B$5,$F116,$B$6,P$10,$A116,$B116)</f>
        <v>4</v>
      </c>
      <c r="Q116" s="4">
        <f ca="1">_xll.DBRW($B$1,$B$2,$B$7,$B$3,$B$4,$B$5,$F116,$B$6,Q$10,$A116,$B116)</f>
        <v>4</v>
      </c>
      <c r="R116" s="4">
        <f ca="1">_xll.DBRW($B$1,$B$2,$B$7,$B$3,$B$4,$B$5,$F116,$B$6,R$10,$A116,$B116)</f>
        <v>0</v>
      </c>
      <c r="S116" s="4">
        <f ca="1">_xll.DBRW($B$1,$B$2,$B$7,$B$3,$B$4,$B$5,$F116,$B$6,S$10,$A116,$B116)</f>
        <v>0</v>
      </c>
      <c r="T116" s="4">
        <f ca="1">_xll.DBRW($B$1,$B$2,$B$7,$B$3,$B$4,$B$5,$F116,$B$6,T$10,$A116,$B116)</f>
        <v>0</v>
      </c>
      <c r="U116" s="4">
        <f ca="1">_xll.DBRW($B$1,$B$2,$B$7,$B$3,$B$4,$B$5,$F116,$B$6,U$10,$A116,$B116)</f>
        <v>0</v>
      </c>
      <c r="V116" s="4">
        <f ca="1">_xll.DBRW($B$1,$B$2,$B$7,$B$3,$B$4,$B$5,$F116,$B$6,V$10,$A116,$B116)</f>
        <v>2</v>
      </c>
      <c r="W116" s="4">
        <f ca="1">_xll.DBRW($B$1,$B$2,$B$7,$B$3,$B$4,$B$5,$F116,$B$6,W$10,$A116,$B116)</f>
        <v>30</v>
      </c>
      <c r="X116" s="4">
        <f ca="1">_xll.DBRW($B$1,$B$2,$B$7,$B$3,$B$4,$B$5,$F116,$B$6,X$10,$A116,$B116)</f>
        <v>31</v>
      </c>
      <c r="Y116" s="4">
        <f ca="1">_xll.DBRW($B$1,$B$2,$B$7,$B$3,$B$4,$B$5,$F116,$B$6,Y$10,$A116,$B116)</f>
        <v>30</v>
      </c>
      <c r="Z116" s="4">
        <f ca="1">_xll.DBRW($B$1,$B$2,$B$7,$B$3,$B$4,$B$5,$F116,$B$6,Z$10,$A116,$B116)</f>
        <v>31</v>
      </c>
      <c r="AA116" s="4">
        <f ca="1">_xll.DBRW($B$1,$B$2,$B$7,$B$3,$B$4,$B$5,$F116,$B$6,AA$10,$A116,$B116)</f>
        <v>31</v>
      </c>
      <c r="AB116" s="4">
        <f ca="1">_xll.DBRW($B$1,$B$2,$B$7,$B$3,$B$4,$B$5,$F116,$B$6,AB$10,$A116,$B116)</f>
        <v>30</v>
      </c>
      <c r="AC116" s="4">
        <f ca="1">_xll.DBRW($B$1,$B$2,$B$7,$B$3,$B$4,$B$5,$F116,$B$6,AC$10,$A116,$B116)</f>
        <v>25</v>
      </c>
      <c r="AD116" s="4">
        <f ca="1">_xll.DBRW($B$1,$B$2,$B$7,$B$3,$B$4,$B$5,$F116,$B$6,AD$10,$A116,$B116)</f>
        <v>0</v>
      </c>
      <c r="AE116" s="4">
        <f ca="1">_xll.DBRW($B$1,$B$2,$B$7,$B$3,$B$4,$B$5,$F116,$B$6,AE$10,$A116,$B116)</f>
        <v>0</v>
      </c>
    </row>
    <row r="117" spans="1:31">
      <c r="A117" s="1" t="s">
        <v>150</v>
      </c>
      <c r="B117" s="5" t="s">
        <v>297</v>
      </c>
      <c r="C117" s="5" t="s">
        <v>298</v>
      </c>
      <c r="D117" s="5" t="s">
        <v>21</v>
      </c>
      <c r="E117" s="5" t="s">
        <v>299</v>
      </c>
      <c r="F117" s="5" t="s">
        <v>312</v>
      </c>
      <c r="G117" s="6"/>
      <c r="H117" s="6"/>
      <c r="I117" s="6"/>
      <c r="J117" s="6"/>
      <c r="K117" s="6"/>
      <c r="L117" s="4">
        <f ca="1">_xll.DBRW($B$1,$B$2,$B$7,$B$3,$B$4,$B$5,$F117,$B$6,L$10,$A117,$B117)</f>
        <v>0</v>
      </c>
      <c r="M117" s="4">
        <f ca="1">_xll.DBRW($B$1,$B$2,$B$7,$B$3,$B$4,$B$5,$F117,$B$6,M$10,$A117,$B117)</f>
        <v>0</v>
      </c>
      <c r="N117" s="4">
        <f ca="1">_xll.DBRW($B$1,$B$2,$B$7,$B$3,$B$4,$B$5,$F117,$B$6,N$10,$A117,$B117)</f>
        <v>0</v>
      </c>
      <c r="O117" s="4">
        <f ca="1">_xll.DBRW($B$1,$B$2,$B$7,$B$3,$B$4,$B$5,$F117,$B$6,O$10,$A117,$B117)</f>
        <v>0</v>
      </c>
      <c r="P117" s="4">
        <f ca="1">_xll.DBRW($B$1,$B$2,$B$7,$B$3,$B$4,$B$5,$F117,$B$6,P$10,$A117,$B117)</f>
        <v>0</v>
      </c>
      <c r="Q117" s="4">
        <f ca="1">_xll.DBRW($B$1,$B$2,$B$7,$B$3,$B$4,$B$5,$F117,$B$6,Q$10,$A117,$B117)</f>
        <v>0</v>
      </c>
      <c r="R117" s="4">
        <f ca="1">_xll.DBRW($B$1,$B$2,$B$7,$B$3,$B$4,$B$5,$F117,$B$6,R$10,$A117,$B117)</f>
        <v>0</v>
      </c>
      <c r="S117" s="4">
        <f ca="1">_xll.DBRW($B$1,$B$2,$B$7,$B$3,$B$4,$B$5,$F117,$B$6,S$10,$A117,$B117)</f>
        <v>0</v>
      </c>
      <c r="T117" s="4">
        <f ca="1">_xll.DBRW($B$1,$B$2,$B$7,$B$3,$B$4,$B$5,$F117,$B$6,T$10,$A117,$B117)</f>
        <v>0</v>
      </c>
      <c r="U117" s="4">
        <f ca="1">_xll.DBRW($B$1,$B$2,$B$7,$B$3,$B$4,$B$5,$F117,$B$6,U$10,$A117,$B117)</f>
        <v>0</v>
      </c>
      <c r="V117" s="4">
        <f ca="1">_xll.DBRW($B$1,$B$2,$B$7,$B$3,$B$4,$B$5,$F117,$B$6,V$10,$A117,$B117)</f>
        <v>0</v>
      </c>
      <c r="W117" s="4">
        <f ca="1">_xll.DBRW($B$1,$B$2,$B$7,$B$3,$B$4,$B$5,$F117,$B$6,W$10,$A117,$B117)</f>
        <v>0</v>
      </c>
      <c r="X117" s="4">
        <f ca="1">_xll.DBRW($B$1,$B$2,$B$7,$B$3,$B$4,$B$5,$F117,$B$6,X$10,$A117,$B117)</f>
        <v>0</v>
      </c>
      <c r="Y117" s="4">
        <f ca="1">_xll.DBRW($B$1,$B$2,$B$7,$B$3,$B$4,$B$5,$F117,$B$6,Y$10,$A117,$B117)</f>
        <v>0</v>
      </c>
      <c r="Z117" s="4">
        <f ca="1">_xll.DBRW($B$1,$B$2,$B$7,$B$3,$B$4,$B$5,$F117,$B$6,Z$10,$A117,$B117)</f>
        <v>0</v>
      </c>
      <c r="AA117" s="4">
        <f ca="1">_xll.DBRW($B$1,$B$2,$B$7,$B$3,$B$4,$B$5,$F117,$B$6,AA$10,$A117,$B117)</f>
        <v>0</v>
      </c>
      <c r="AB117" s="4">
        <f ca="1">_xll.DBRW($B$1,$B$2,$B$7,$B$3,$B$4,$B$5,$F117,$B$6,AB$10,$A117,$B117)</f>
        <v>0</v>
      </c>
      <c r="AC117" s="4">
        <f ca="1">_xll.DBRW($B$1,$B$2,$B$7,$B$3,$B$4,$B$5,$F117,$B$6,AC$10,$A117,$B117)</f>
        <v>0</v>
      </c>
      <c r="AD117" s="4">
        <f ca="1">_xll.DBRW($B$1,$B$2,$B$7,$B$3,$B$4,$B$5,$F117,$B$6,AD$10,$A117,$B117)</f>
        <v>0</v>
      </c>
      <c r="AE117" s="4">
        <f ca="1">_xll.DBRW($B$1,$B$2,$B$7,$B$3,$B$4,$B$5,$F117,$B$6,AE$10,$A117,$B117)</f>
        <v>0</v>
      </c>
    </row>
    <row r="118" spans="1:31">
      <c r="A118" s="1" t="s">
        <v>150</v>
      </c>
      <c r="B118" s="5" t="s">
        <v>300</v>
      </c>
      <c r="C118" s="5" t="s">
        <v>301</v>
      </c>
      <c r="D118" s="5" t="s">
        <v>299</v>
      </c>
      <c r="E118" s="5" t="s">
        <v>21</v>
      </c>
      <c r="F118" s="5" t="s">
        <v>312</v>
      </c>
      <c r="G118" s="6"/>
      <c r="H118" s="6"/>
      <c r="I118" s="6"/>
      <c r="J118" s="6"/>
      <c r="K118" s="6"/>
      <c r="L118" s="4">
        <f ca="1">_xll.DBRW($B$1,$B$2,$B$7,$B$3,$B$4,$B$5,$F118,$B$6,L$10,$A118,$B118)</f>
        <v>0</v>
      </c>
      <c r="M118" s="4">
        <f ca="1">_xll.DBRW($B$1,$B$2,$B$7,$B$3,$B$4,$B$5,$F118,$B$6,M$10,$A118,$B118)</f>
        <v>0</v>
      </c>
      <c r="N118" s="4">
        <f ca="1">_xll.DBRW($B$1,$B$2,$B$7,$B$3,$B$4,$B$5,$F118,$B$6,N$10,$A118,$B118)</f>
        <v>0</v>
      </c>
      <c r="O118" s="4">
        <f ca="1">_xll.DBRW($B$1,$B$2,$B$7,$B$3,$B$4,$B$5,$F118,$B$6,O$10,$A118,$B118)</f>
        <v>0</v>
      </c>
      <c r="P118" s="4">
        <f ca="1">_xll.DBRW($B$1,$B$2,$B$7,$B$3,$B$4,$B$5,$F118,$B$6,P$10,$A118,$B118)</f>
        <v>0</v>
      </c>
      <c r="Q118" s="4">
        <f ca="1">_xll.DBRW($B$1,$B$2,$B$7,$B$3,$B$4,$B$5,$F118,$B$6,Q$10,$A118,$B118)</f>
        <v>0</v>
      </c>
      <c r="R118" s="4">
        <f ca="1">_xll.DBRW($B$1,$B$2,$B$7,$B$3,$B$4,$B$5,$F118,$B$6,R$10,$A118,$B118)</f>
        <v>0</v>
      </c>
      <c r="S118" s="4">
        <f ca="1">_xll.DBRW($B$1,$B$2,$B$7,$B$3,$B$4,$B$5,$F118,$B$6,S$10,$A118,$B118)</f>
        <v>0</v>
      </c>
      <c r="T118" s="4">
        <f ca="1">_xll.DBRW($B$1,$B$2,$B$7,$B$3,$B$4,$B$5,$F118,$B$6,T$10,$A118,$B118)</f>
        <v>0</v>
      </c>
      <c r="U118" s="4">
        <f ca="1">_xll.DBRW($B$1,$B$2,$B$7,$B$3,$B$4,$B$5,$F118,$B$6,U$10,$A118,$B118)</f>
        <v>0</v>
      </c>
      <c r="V118" s="4">
        <f ca="1">_xll.DBRW($B$1,$B$2,$B$7,$B$3,$B$4,$B$5,$F118,$B$6,V$10,$A118,$B118)</f>
        <v>0</v>
      </c>
      <c r="W118" s="4">
        <f ca="1">_xll.DBRW($B$1,$B$2,$B$7,$B$3,$B$4,$B$5,$F118,$B$6,W$10,$A118,$B118)</f>
        <v>0</v>
      </c>
      <c r="X118" s="4">
        <f ca="1">_xll.DBRW($B$1,$B$2,$B$7,$B$3,$B$4,$B$5,$F118,$B$6,X$10,$A118,$B118)</f>
        <v>0</v>
      </c>
      <c r="Y118" s="4">
        <f ca="1">_xll.DBRW($B$1,$B$2,$B$7,$B$3,$B$4,$B$5,$F118,$B$6,Y$10,$A118,$B118)</f>
        <v>0</v>
      </c>
      <c r="Z118" s="4">
        <f ca="1">_xll.DBRW($B$1,$B$2,$B$7,$B$3,$B$4,$B$5,$F118,$B$6,Z$10,$A118,$B118)</f>
        <v>0</v>
      </c>
      <c r="AA118" s="4">
        <f ca="1">_xll.DBRW($B$1,$B$2,$B$7,$B$3,$B$4,$B$5,$F118,$B$6,AA$10,$A118,$B118)</f>
        <v>0</v>
      </c>
      <c r="AB118" s="4">
        <f ca="1">_xll.DBRW($B$1,$B$2,$B$7,$B$3,$B$4,$B$5,$F118,$B$6,AB$10,$A118,$B118)</f>
        <v>0</v>
      </c>
      <c r="AC118" s="4">
        <f ca="1">_xll.DBRW($B$1,$B$2,$B$7,$B$3,$B$4,$B$5,$F118,$B$6,AC$10,$A118,$B118)</f>
        <v>0</v>
      </c>
      <c r="AD118" s="4">
        <f ca="1">_xll.DBRW($B$1,$B$2,$B$7,$B$3,$B$4,$B$5,$F118,$B$6,AD$10,$A118,$B118)</f>
        <v>0</v>
      </c>
      <c r="AE118" s="4">
        <f ca="1">_xll.DBRW($B$1,$B$2,$B$7,$B$3,$B$4,$B$5,$F118,$B$6,AE$10,$A118,$B118)</f>
        <v>0</v>
      </c>
    </row>
    <row r="119" spans="1:31">
      <c r="A119" s="1" t="s">
        <v>150</v>
      </c>
      <c r="B119" s="5" t="s">
        <v>302</v>
      </c>
      <c r="C119" s="5" t="s">
        <v>303</v>
      </c>
      <c r="D119" s="5" t="s">
        <v>21</v>
      </c>
      <c r="E119" s="5" t="s">
        <v>304</v>
      </c>
      <c r="F119" s="5" t="s">
        <v>312</v>
      </c>
      <c r="G119" s="6"/>
      <c r="H119" s="6"/>
      <c r="I119" s="6"/>
      <c r="J119" s="6"/>
      <c r="K119" s="6"/>
      <c r="L119" s="4">
        <f ca="1">_xll.DBRW($B$1,$B$2,$B$7,$B$3,$B$4,$B$5,$F119,$B$6,L$10,$A119,$B119)</f>
        <v>0</v>
      </c>
      <c r="M119" s="4">
        <f ca="1">_xll.DBRW($B$1,$B$2,$B$7,$B$3,$B$4,$B$5,$F119,$B$6,M$10,$A119,$B119)</f>
        <v>0</v>
      </c>
      <c r="N119" s="4">
        <f ca="1">_xll.DBRW($B$1,$B$2,$B$7,$B$3,$B$4,$B$5,$F119,$B$6,N$10,$A119,$B119)</f>
        <v>0</v>
      </c>
      <c r="O119" s="4">
        <f ca="1">_xll.DBRW($B$1,$B$2,$B$7,$B$3,$B$4,$B$5,$F119,$B$6,O$10,$A119,$B119)</f>
        <v>0</v>
      </c>
      <c r="P119" s="4">
        <f ca="1">_xll.DBRW($B$1,$B$2,$B$7,$B$3,$B$4,$B$5,$F119,$B$6,P$10,$A119,$B119)</f>
        <v>22</v>
      </c>
      <c r="Q119" s="4">
        <f ca="1">_xll.DBRW($B$1,$B$2,$B$7,$B$3,$B$4,$B$5,$F119,$B$6,Q$10,$A119,$B119)</f>
        <v>26</v>
      </c>
      <c r="R119" s="4">
        <f ca="1">_xll.DBRW($B$1,$B$2,$B$7,$B$3,$B$4,$B$5,$F119,$B$6,R$10,$A119,$B119)</f>
        <v>14</v>
      </c>
      <c r="S119" s="4">
        <f ca="1">_xll.DBRW($B$1,$B$2,$B$7,$B$3,$B$4,$B$5,$F119,$B$6,S$10,$A119,$B119)</f>
        <v>8</v>
      </c>
      <c r="T119" s="4">
        <f ca="1">_xll.DBRW($B$1,$B$2,$B$7,$B$3,$B$4,$B$5,$F119,$B$6,T$10,$A119,$B119)</f>
        <v>9</v>
      </c>
      <c r="U119" s="4">
        <f ca="1">_xll.DBRW($B$1,$B$2,$B$7,$B$3,$B$4,$B$5,$F119,$B$6,U$10,$A119,$B119)</f>
        <v>8</v>
      </c>
      <c r="V119" s="4">
        <f ca="1">_xll.DBRW($B$1,$B$2,$B$7,$B$3,$B$4,$B$5,$F119,$B$6,V$10,$A119,$B119)</f>
        <v>11</v>
      </c>
      <c r="W119" s="4">
        <f ca="1">_xll.DBRW($B$1,$B$2,$B$7,$B$3,$B$4,$B$5,$F119,$B$6,W$10,$A119,$B119)</f>
        <v>30</v>
      </c>
      <c r="X119" s="4">
        <f ca="1">_xll.DBRW($B$1,$B$2,$B$7,$B$3,$B$4,$B$5,$F119,$B$6,X$10,$A119,$B119)</f>
        <v>31</v>
      </c>
      <c r="Y119" s="4">
        <f ca="1">_xll.DBRW($B$1,$B$2,$B$7,$B$3,$B$4,$B$5,$F119,$B$6,Y$10,$A119,$B119)</f>
        <v>30</v>
      </c>
      <c r="Z119" s="4">
        <f ca="1">_xll.DBRW($B$1,$B$2,$B$7,$B$3,$B$4,$B$5,$F119,$B$6,Z$10,$A119,$B119)</f>
        <v>31</v>
      </c>
      <c r="AA119" s="4">
        <f ca="1">_xll.DBRW($B$1,$B$2,$B$7,$B$3,$B$4,$B$5,$F119,$B$6,AA$10,$A119,$B119)</f>
        <v>31</v>
      </c>
      <c r="AB119" s="4">
        <f ca="1">_xll.DBRW($B$1,$B$2,$B$7,$B$3,$B$4,$B$5,$F119,$B$6,AB$10,$A119,$B119)</f>
        <v>30</v>
      </c>
      <c r="AC119" s="4">
        <f ca="1">_xll.DBRW($B$1,$B$2,$B$7,$B$3,$B$4,$B$5,$F119,$B$6,AC$10,$A119,$B119)</f>
        <v>26</v>
      </c>
      <c r="AD119" s="4">
        <f ca="1">_xll.DBRW($B$1,$B$2,$B$7,$B$3,$B$4,$B$5,$F119,$B$6,AD$10,$A119,$B119)</f>
        <v>9</v>
      </c>
      <c r="AE119" s="4">
        <f ca="1">_xll.DBRW($B$1,$B$2,$B$7,$B$3,$B$4,$B$5,$F119,$B$6,AE$10,$A119,$B119)</f>
        <v>8</v>
      </c>
    </row>
    <row r="120" spans="1:31">
      <c r="A120" s="1" t="s">
        <v>150</v>
      </c>
      <c r="B120" s="5" t="s">
        <v>305</v>
      </c>
      <c r="C120" s="5" t="s">
        <v>306</v>
      </c>
      <c r="D120" s="5" t="s">
        <v>304</v>
      </c>
      <c r="E120" s="5" t="s">
        <v>21</v>
      </c>
      <c r="F120" s="5" t="s">
        <v>312</v>
      </c>
      <c r="G120" s="6"/>
      <c r="H120" s="6"/>
      <c r="I120" s="6"/>
      <c r="J120" s="6"/>
      <c r="K120" s="6"/>
      <c r="L120" s="4">
        <f ca="1">_xll.DBRW($B$1,$B$2,$B$7,$B$3,$B$4,$B$5,$F120,$B$6,L$10,$A120,$B120)</f>
        <v>0</v>
      </c>
      <c r="M120" s="4">
        <f ca="1">_xll.DBRW($B$1,$B$2,$B$7,$B$3,$B$4,$B$5,$F120,$B$6,M$10,$A120,$B120)</f>
        <v>0</v>
      </c>
      <c r="N120" s="4">
        <f ca="1">_xll.DBRW($B$1,$B$2,$B$7,$B$3,$B$4,$B$5,$F120,$B$6,N$10,$A120,$B120)</f>
        <v>0</v>
      </c>
      <c r="O120" s="4">
        <f ca="1">_xll.DBRW($B$1,$B$2,$B$7,$B$3,$B$4,$B$5,$F120,$B$6,O$10,$A120,$B120)</f>
        <v>0</v>
      </c>
      <c r="P120" s="4">
        <f ca="1">_xll.DBRW($B$1,$B$2,$B$7,$B$3,$B$4,$B$5,$F120,$B$6,P$10,$A120,$B120)</f>
        <v>21</v>
      </c>
      <c r="Q120" s="4">
        <f ca="1">_xll.DBRW($B$1,$B$2,$B$7,$B$3,$B$4,$B$5,$F120,$B$6,Q$10,$A120,$B120)</f>
        <v>25</v>
      </c>
      <c r="R120" s="4">
        <f ca="1">_xll.DBRW($B$1,$B$2,$B$7,$B$3,$B$4,$B$5,$F120,$B$6,R$10,$A120,$B120)</f>
        <v>14</v>
      </c>
      <c r="S120" s="4">
        <f ca="1">_xll.DBRW($B$1,$B$2,$B$7,$B$3,$B$4,$B$5,$F120,$B$6,S$10,$A120,$B120)</f>
        <v>9</v>
      </c>
      <c r="T120" s="4">
        <f ca="1">_xll.DBRW($B$1,$B$2,$B$7,$B$3,$B$4,$B$5,$F120,$B$6,T$10,$A120,$B120)</f>
        <v>8</v>
      </c>
      <c r="U120" s="4">
        <f ca="1">_xll.DBRW($B$1,$B$2,$B$7,$B$3,$B$4,$B$5,$F120,$B$6,U$10,$A120,$B120)</f>
        <v>8</v>
      </c>
      <c r="V120" s="4">
        <f ca="1">_xll.DBRW($B$1,$B$2,$B$7,$B$3,$B$4,$B$5,$F120,$B$6,V$10,$A120,$B120)</f>
        <v>11</v>
      </c>
      <c r="W120" s="4">
        <f ca="1">_xll.DBRW($B$1,$B$2,$B$7,$B$3,$B$4,$B$5,$F120,$B$6,W$10,$A120,$B120)</f>
        <v>30</v>
      </c>
      <c r="X120" s="4">
        <f ca="1">_xll.DBRW($B$1,$B$2,$B$7,$B$3,$B$4,$B$5,$F120,$B$6,X$10,$A120,$B120)</f>
        <v>31</v>
      </c>
      <c r="Y120" s="4">
        <f ca="1">_xll.DBRW($B$1,$B$2,$B$7,$B$3,$B$4,$B$5,$F120,$B$6,Y$10,$A120,$B120)</f>
        <v>30</v>
      </c>
      <c r="Z120" s="4">
        <f ca="1">_xll.DBRW($B$1,$B$2,$B$7,$B$3,$B$4,$B$5,$F120,$B$6,Z$10,$A120,$B120)</f>
        <v>31</v>
      </c>
      <c r="AA120" s="4">
        <f ca="1">_xll.DBRW($B$1,$B$2,$B$7,$B$3,$B$4,$B$5,$F120,$B$6,AA$10,$A120,$B120)</f>
        <v>31</v>
      </c>
      <c r="AB120" s="4">
        <f ca="1">_xll.DBRW($B$1,$B$2,$B$7,$B$3,$B$4,$B$5,$F120,$B$6,AB$10,$A120,$B120)</f>
        <v>30</v>
      </c>
      <c r="AC120" s="4">
        <f ca="1">_xll.DBRW($B$1,$B$2,$B$7,$B$3,$B$4,$B$5,$F120,$B$6,AC$10,$A120,$B120)</f>
        <v>26</v>
      </c>
      <c r="AD120" s="4">
        <f ca="1">_xll.DBRW($B$1,$B$2,$B$7,$B$3,$B$4,$B$5,$F120,$B$6,AD$10,$A120,$B120)</f>
        <v>10</v>
      </c>
      <c r="AE120" s="4">
        <f ca="1">_xll.DBRW($B$1,$B$2,$B$7,$B$3,$B$4,$B$5,$F120,$B$6,AE$10,$A120,$B120)</f>
        <v>8</v>
      </c>
    </row>
    <row r="121" spans="1:31">
      <c r="A121" s="1" t="s">
        <v>150</v>
      </c>
      <c r="B121" s="5" t="s">
        <v>307</v>
      </c>
      <c r="C121" s="5" t="s">
        <v>308</v>
      </c>
      <c r="D121" s="5" t="s">
        <v>21</v>
      </c>
      <c r="E121" s="5" t="s">
        <v>309</v>
      </c>
      <c r="F121" s="5" t="s">
        <v>312</v>
      </c>
      <c r="G121" s="6"/>
      <c r="H121" s="6"/>
      <c r="I121" s="6"/>
      <c r="J121" s="6"/>
      <c r="K121" s="6"/>
      <c r="L121" s="4">
        <f ca="1">_xll.DBRW($B$1,$B$2,$B$7,$B$3,$B$4,$B$5,$F121,$B$6,L$10,$A121,$B121)</f>
        <v>0</v>
      </c>
      <c r="M121" s="4">
        <f ca="1">_xll.DBRW($B$1,$B$2,$B$7,$B$3,$B$4,$B$5,$F121,$B$6,M$10,$A121,$B121)</f>
        <v>0</v>
      </c>
      <c r="N121" s="4">
        <f ca="1">_xll.DBRW($B$1,$B$2,$B$7,$B$3,$B$4,$B$5,$F121,$B$6,N$10,$A121,$B121)</f>
        <v>0</v>
      </c>
      <c r="O121" s="4">
        <f ca="1">_xll.DBRW($B$1,$B$2,$B$7,$B$3,$B$4,$B$5,$F121,$B$6,O$10,$A121,$B121)</f>
        <v>0</v>
      </c>
      <c r="P121" s="4">
        <f ca="1">_xll.DBRW($B$1,$B$2,$B$7,$B$3,$B$4,$B$5,$F121,$B$6,P$10,$A121,$B121)</f>
        <v>0</v>
      </c>
      <c r="Q121" s="4">
        <f ca="1">_xll.DBRW($B$1,$B$2,$B$7,$B$3,$B$4,$B$5,$F121,$B$6,Q$10,$A121,$B121)</f>
        <v>0</v>
      </c>
      <c r="R121" s="4">
        <f ca="1">_xll.DBRW($B$1,$B$2,$B$7,$B$3,$B$4,$B$5,$F121,$B$6,R$10,$A121,$B121)</f>
        <v>0</v>
      </c>
      <c r="S121" s="4">
        <f ca="1">_xll.DBRW($B$1,$B$2,$B$7,$B$3,$B$4,$B$5,$F121,$B$6,S$10,$A121,$B121)</f>
        <v>0</v>
      </c>
      <c r="T121" s="4">
        <f ca="1">_xll.DBRW($B$1,$B$2,$B$7,$B$3,$B$4,$B$5,$F121,$B$6,T$10,$A121,$B121)</f>
        <v>0</v>
      </c>
      <c r="U121" s="4">
        <f ca="1">_xll.DBRW($B$1,$B$2,$B$7,$B$3,$B$4,$B$5,$F121,$B$6,U$10,$A121,$B121)</f>
        <v>0</v>
      </c>
      <c r="V121" s="4">
        <f ca="1">_xll.DBRW($B$1,$B$2,$B$7,$B$3,$B$4,$B$5,$F121,$B$6,V$10,$A121,$B121)</f>
        <v>0</v>
      </c>
      <c r="W121" s="4">
        <f ca="1">_xll.DBRW($B$1,$B$2,$B$7,$B$3,$B$4,$B$5,$F121,$B$6,W$10,$A121,$B121)</f>
        <v>0</v>
      </c>
      <c r="X121" s="4">
        <f ca="1">_xll.DBRW($B$1,$B$2,$B$7,$B$3,$B$4,$B$5,$F121,$B$6,X$10,$A121,$B121)</f>
        <v>0</v>
      </c>
      <c r="Y121" s="4">
        <f ca="1">_xll.DBRW($B$1,$B$2,$B$7,$B$3,$B$4,$B$5,$F121,$B$6,Y$10,$A121,$B121)</f>
        <v>0</v>
      </c>
      <c r="Z121" s="4">
        <f ca="1">_xll.DBRW($B$1,$B$2,$B$7,$B$3,$B$4,$B$5,$F121,$B$6,Z$10,$A121,$B121)</f>
        <v>0</v>
      </c>
      <c r="AA121" s="4">
        <f ca="1">_xll.DBRW($B$1,$B$2,$B$7,$B$3,$B$4,$B$5,$F121,$B$6,AA$10,$A121,$B121)</f>
        <v>0</v>
      </c>
      <c r="AB121" s="4">
        <f ca="1">_xll.DBRW($B$1,$B$2,$B$7,$B$3,$B$4,$B$5,$F121,$B$6,AB$10,$A121,$B121)</f>
        <v>0</v>
      </c>
      <c r="AC121" s="4">
        <f ca="1">_xll.DBRW($B$1,$B$2,$B$7,$B$3,$B$4,$B$5,$F121,$B$6,AC$10,$A121,$B121)</f>
        <v>0</v>
      </c>
      <c r="AD121" s="4">
        <f ca="1">_xll.DBRW($B$1,$B$2,$B$7,$B$3,$B$4,$B$5,$F121,$B$6,AD$10,$A121,$B121)</f>
        <v>0</v>
      </c>
      <c r="AE121" s="4">
        <f ca="1">_xll.DBRW($B$1,$B$2,$B$7,$B$3,$B$4,$B$5,$F121,$B$6,AE$10,$A121,$B121)</f>
        <v>0</v>
      </c>
    </row>
    <row r="122" spans="1:31">
      <c r="A122" s="1" t="s">
        <v>150</v>
      </c>
      <c r="B122" s="5" t="s">
        <v>310</v>
      </c>
      <c r="C122" s="5" t="s">
        <v>311</v>
      </c>
      <c r="D122" s="5" t="s">
        <v>309</v>
      </c>
      <c r="E122" s="5" t="s">
        <v>21</v>
      </c>
      <c r="F122" s="5" t="s">
        <v>312</v>
      </c>
      <c r="G122" s="6"/>
      <c r="H122" s="6"/>
      <c r="I122" s="6"/>
      <c r="J122" s="6"/>
      <c r="K122" s="6"/>
      <c r="L122" s="4">
        <f ca="1">_xll.DBRW($B$1,$B$2,$B$7,$B$3,$B$4,$B$5,$F122,$B$6,L$10,$A122,$B122)</f>
        <v>0</v>
      </c>
      <c r="M122" s="4">
        <f ca="1">_xll.DBRW($B$1,$B$2,$B$7,$B$3,$B$4,$B$5,$F122,$B$6,M$10,$A122,$B122)</f>
        <v>0</v>
      </c>
      <c r="N122" s="4">
        <f ca="1">_xll.DBRW($B$1,$B$2,$B$7,$B$3,$B$4,$B$5,$F122,$B$6,N$10,$A122,$B122)</f>
        <v>0</v>
      </c>
      <c r="O122" s="4">
        <f ca="1">_xll.DBRW($B$1,$B$2,$B$7,$B$3,$B$4,$B$5,$F122,$B$6,O$10,$A122,$B122)</f>
        <v>0</v>
      </c>
      <c r="P122" s="4">
        <f ca="1">_xll.DBRW($B$1,$B$2,$B$7,$B$3,$B$4,$B$5,$F122,$B$6,P$10,$A122,$B122)</f>
        <v>0</v>
      </c>
      <c r="Q122" s="4">
        <f ca="1">_xll.DBRW($B$1,$B$2,$B$7,$B$3,$B$4,$B$5,$F122,$B$6,Q$10,$A122,$B122)</f>
        <v>0</v>
      </c>
      <c r="R122" s="4">
        <f ca="1">_xll.DBRW($B$1,$B$2,$B$7,$B$3,$B$4,$B$5,$F122,$B$6,R$10,$A122,$B122)</f>
        <v>0</v>
      </c>
      <c r="S122" s="4">
        <f ca="1">_xll.DBRW($B$1,$B$2,$B$7,$B$3,$B$4,$B$5,$F122,$B$6,S$10,$A122,$B122)</f>
        <v>0</v>
      </c>
      <c r="T122" s="4">
        <f ca="1">_xll.DBRW($B$1,$B$2,$B$7,$B$3,$B$4,$B$5,$F122,$B$6,T$10,$A122,$B122)</f>
        <v>0</v>
      </c>
      <c r="U122" s="4">
        <f ca="1">_xll.DBRW($B$1,$B$2,$B$7,$B$3,$B$4,$B$5,$F122,$B$6,U$10,$A122,$B122)</f>
        <v>0</v>
      </c>
      <c r="V122" s="4">
        <f ca="1">_xll.DBRW($B$1,$B$2,$B$7,$B$3,$B$4,$B$5,$F122,$B$6,V$10,$A122,$B122)</f>
        <v>0</v>
      </c>
      <c r="W122" s="4">
        <f ca="1">_xll.DBRW($B$1,$B$2,$B$7,$B$3,$B$4,$B$5,$F122,$B$6,W$10,$A122,$B122)</f>
        <v>0</v>
      </c>
      <c r="X122" s="4">
        <f ca="1">_xll.DBRW($B$1,$B$2,$B$7,$B$3,$B$4,$B$5,$F122,$B$6,X$10,$A122,$B122)</f>
        <v>0</v>
      </c>
      <c r="Y122" s="4">
        <f ca="1">_xll.DBRW($B$1,$B$2,$B$7,$B$3,$B$4,$B$5,$F122,$B$6,Y$10,$A122,$B122)</f>
        <v>0</v>
      </c>
      <c r="Z122" s="4">
        <f ca="1">_xll.DBRW($B$1,$B$2,$B$7,$B$3,$B$4,$B$5,$F122,$B$6,Z$10,$A122,$B122)</f>
        <v>0</v>
      </c>
      <c r="AA122" s="4">
        <f ca="1">_xll.DBRW($B$1,$B$2,$B$7,$B$3,$B$4,$B$5,$F122,$B$6,AA$10,$A122,$B122)</f>
        <v>0</v>
      </c>
      <c r="AB122" s="4">
        <f ca="1">_xll.DBRW($B$1,$B$2,$B$7,$B$3,$B$4,$B$5,$F122,$B$6,AB$10,$A122,$B122)</f>
        <v>0</v>
      </c>
      <c r="AC122" s="4">
        <f ca="1">_xll.DBRW($B$1,$B$2,$B$7,$B$3,$B$4,$B$5,$F122,$B$6,AC$10,$A122,$B122)</f>
        <v>0</v>
      </c>
      <c r="AD122" s="4">
        <f ca="1">_xll.DBRW($B$1,$B$2,$B$7,$B$3,$B$4,$B$5,$F122,$B$6,AD$10,$A122,$B122)</f>
        <v>0</v>
      </c>
      <c r="AE122" s="4">
        <f ca="1">_xll.DBRW($B$1,$B$2,$B$7,$B$3,$B$4,$B$5,$F122,$B$6,AE$10,$A122,$B122)</f>
        <v>0</v>
      </c>
    </row>
    <row r="123" spans="1:31">
      <c r="A123" s="1" t="s">
        <v>150</v>
      </c>
      <c r="B123" s="5" t="s">
        <v>158</v>
      </c>
      <c r="C123" s="5" t="s">
        <v>159</v>
      </c>
      <c r="D123" s="5" t="s">
        <v>21</v>
      </c>
      <c r="E123" s="5" t="s">
        <v>38</v>
      </c>
      <c r="F123" s="5" t="s">
        <v>313</v>
      </c>
      <c r="G123" s="6"/>
      <c r="H123" s="6"/>
      <c r="I123" s="6"/>
      <c r="J123" s="6"/>
      <c r="K123" s="6"/>
      <c r="L123" s="4">
        <f ca="1">_xll.DBRW($B$1,$B$2,$B$7,$B$3,$B$4,$B$5,$F123,$B$6,L$10,$A123,$B123)</f>
        <v>0</v>
      </c>
      <c r="M123" s="4">
        <f ca="1">_xll.DBRW($B$1,$B$2,$B$7,$B$3,$B$4,$B$5,$F123,$B$6,M$10,$A123,$B123)</f>
        <v>0</v>
      </c>
      <c r="N123" s="4">
        <f ca="1">_xll.DBRW($B$1,$B$2,$B$7,$B$3,$B$4,$B$5,$F123,$B$6,N$10,$A123,$B123)</f>
        <v>0</v>
      </c>
      <c r="O123" s="4">
        <f ca="1">_xll.DBRW($B$1,$B$2,$B$7,$B$3,$B$4,$B$5,$F123,$B$6,O$10,$A123,$B123)</f>
        <v>0</v>
      </c>
      <c r="P123" s="4">
        <f ca="1">_xll.DBRW($B$1,$B$2,$B$7,$B$3,$B$4,$B$5,$F123,$B$6,P$10,$A123,$B123)</f>
        <v>0</v>
      </c>
      <c r="Q123" s="4">
        <f ca="1">_xll.DBRW($B$1,$B$2,$B$7,$B$3,$B$4,$B$5,$F123,$B$6,Q$10,$A123,$B123)</f>
        <v>0</v>
      </c>
      <c r="R123" s="4">
        <f ca="1">_xll.DBRW($B$1,$B$2,$B$7,$B$3,$B$4,$B$5,$F123,$B$6,R$10,$A123,$B123)</f>
        <v>0</v>
      </c>
      <c r="S123" s="4">
        <f ca="1">_xll.DBRW($B$1,$B$2,$B$7,$B$3,$B$4,$B$5,$F123,$B$6,S$10,$A123,$B123)</f>
        <v>0</v>
      </c>
      <c r="T123" s="4">
        <f ca="1">_xll.DBRW($B$1,$B$2,$B$7,$B$3,$B$4,$B$5,$F123,$B$6,T$10,$A123,$B123)</f>
        <v>0</v>
      </c>
      <c r="U123" s="4">
        <f ca="1">_xll.DBRW($B$1,$B$2,$B$7,$B$3,$B$4,$B$5,$F123,$B$6,U$10,$A123,$B123)</f>
        <v>0</v>
      </c>
      <c r="V123" s="4">
        <f ca="1">_xll.DBRW($B$1,$B$2,$B$7,$B$3,$B$4,$B$5,$F123,$B$6,V$10,$A123,$B123)</f>
        <v>0</v>
      </c>
      <c r="W123" s="4">
        <f ca="1">_xll.DBRW($B$1,$B$2,$B$7,$B$3,$B$4,$B$5,$F123,$B$6,W$10,$A123,$B123)</f>
        <v>0</v>
      </c>
      <c r="X123" s="4">
        <f ca="1">_xll.DBRW($B$1,$B$2,$B$7,$B$3,$B$4,$B$5,$F123,$B$6,X$10,$A123,$B123)</f>
        <v>0</v>
      </c>
      <c r="Y123" s="4">
        <f ca="1">_xll.DBRW($B$1,$B$2,$B$7,$B$3,$B$4,$B$5,$F123,$B$6,Y$10,$A123,$B123)</f>
        <v>0</v>
      </c>
      <c r="Z123" s="4">
        <f ca="1">_xll.DBRW($B$1,$B$2,$B$7,$B$3,$B$4,$B$5,$F123,$B$6,Z$10,$A123,$B123)</f>
        <v>0</v>
      </c>
      <c r="AA123" s="4">
        <f ca="1">_xll.DBRW($B$1,$B$2,$B$7,$B$3,$B$4,$B$5,$F123,$B$6,AA$10,$A123,$B123)</f>
        <v>0</v>
      </c>
      <c r="AB123" s="4">
        <f ca="1">_xll.DBRW($B$1,$B$2,$B$7,$B$3,$B$4,$B$5,$F123,$B$6,AB$10,$A123,$B123)</f>
        <v>0</v>
      </c>
      <c r="AC123" s="4">
        <f ca="1">_xll.DBRW($B$1,$B$2,$B$7,$B$3,$B$4,$B$5,$F123,$B$6,AC$10,$A123,$B123)</f>
        <v>0</v>
      </c>
      <c r="AD123" s="4">
        <f ca="1">_xll.DBRW($B$1,$B$2,$B$7,$B$3,$B$4,$B$5,$F123,$B$6,AD$10,$A123,$B123)</f>
        <v>0</v>
      </c>
      <c r="AE123" s="4">
        <f ca="1">_xll.DBRW($B$1,$B$2,$B$7,$B$3,$B$4,$B$5,$F123,$B$6,AE$10,$A123,$B123)</f>
        <v>0</v>
      </c>
    </row>
    <row r="124" spans="1:31">
      <c r="A124" s="1" t="s">
        <v>150</v>
      </c>
      <c r="B124" s="5" t="s">
        <v>36</v>
      </c>
      <c r="C124" s="5" t="s">
        <v>37</v>
      </c>
      <c r="D124" s="5" t="s">
        <v>38</v>
      </c>
      <c r="E124" s="5" t="s">
        <v>21</v>
      </c>
      <c r="F124" s="5" t="s">
        <v>313</v>
      </c>
      <c r="G124" s="6"/>
      <c r="H124" s="6"/>
      <c r="I124" s="6"/>
      <c r="J124" s="6"/>
      <c r="K124" s="6"/>
      <c r="L124" s="4">
        <f ca="1">_xll.DBRW($B$1,$B$2,$B$7,$B$3,$B$4,$B$5,$F124,$B$6,L$10,$A124,$B124)</f>
        <v>0</v>
      </c>
      <c r="M124" s="4">
        <f ca="1">_xll.DBRW($B$1,$B$2,$B$7,$B$3,$B$4,$B$5,$F124,$B$6,M$10,$A124,$B124)</f>
        <v>0</v>
      </c>
      <c r="N124" s="4">
        <f ca="1">_xll.DBRW($B$1,$B$2,$B$7,$B$3,$B$4,$B$5,$F124,$B$6,N$10,$A124,$B124)</f>
        <v>0</v>
      </c>
      <c r="O124" s="4">
        <f ca="1">_xll.DBRW($B$1,$B$2,$B$7,$B$3,$B$4,$B$5,$F124,$B$6,O$10,$A124,$B124)</f>
        <v>0</v>
      </c>
      <c r="P124" s="4">
        <f ca="1">_xll.DBRW($B$1,$B$2,$B$7,$B$3,$B$4,$B$5,$F124,$B$6,P$10,$A124,$B124)</f>
        <v>0</v>
      </c>
      <c r="Q124" s="4">
        <f ca="1">_xll.DBRW($B$1,$B$2,$B$7,$B$3,$B$4,$B$5,$F124,$B$6,Q$10,$A124,$B124)</f>
        <v>0</v>
      </c>
      <c r="R124" s="4">
        <f ca="1">_xll.DBRW($B$1,$B$2,$B$7,$B$3,$B$4,$B$5,$F124,$B$6,R$10,$A124,$B124)</f>
        <v>0</v>
      </c>
      <c r="S124" s="4">
        <f ca="1">_xll.DBRW($B$1,$B$2,$B$7,$B$3,$B$4,$B$5,$F124,$B$6,S$10,$A124,$B124)</f>
        <v>0</v>
      </c>
      <c r="T124" s="4">
        <f ca="1">_xll.DBRW($B$1,$B$2,$B$7,$B$3,$B$4,$B$5,$F124,$B$6,T$10,$A124,$B124)</f>
        <v>0</v>
      </c>
      <c r="U124" s="4">
        <f ca="1">_xll.DBRW($B$1,$B$2,$B$7,$B$3,$B$4,$B$5,$F124,$B$6,U$10,$A124,$B124)</f>
        <v>0</v>
      </c>
      <c r="V124" s="4">
        <f ca="1">_xll.DBRW($B$1,$B$2,$B$7,$B$3,$B$4,$B$5,$F124,$B$6,V$10,$A124,$B124)</f>
        <v>0</v>
      </c>
      <c r="W124" s="4">
        <f ca="1">_xll.DBRW($B$1,$B$2,$B$7,$B$3,$B$4,$B$5,$F124,$B$6,W$10,$A124,$B124)</f>
        <v>0</v>
      </c>
      <c r="X124" s="4">
        <f ca="1">_xll.DBRW($B$1,$B$2,$B$7,$B$3,$B$4,$B$5,$F124,$B$6,X$10,$A124,$B124)</f>
        <v>0</v>
      </c>
      <c r="Y124" s="4">
        <f ca="1">_xll.DBRW($B$1,$B$2,$B$7,$B$3,$B$4,$B$5,$F124,$B$6,Y$10,$A124,$B124)</f>
        <v>0</v>
      </c>
      <c r="Z124" s="4">
        <f ca="1">_xll.DBRW($B$1,$B$2,$B$7,$B$3,$B$4,$B$5,$F124,$B$6,Z$10,$A124,$B124)</f>
        <v>0</v>
      </c>
      <c r="AA124" s="4">
        <f ca="1">_xll.DBRW($B$1,$B$2,$B$7,$B$3,$B$4,$B$5,$F124,$B$6,AA$10,$A124,$B124)</f>
        <v>0</v>
      </c>
      <c r="AB124" s="4">
        <f ca="1">_xll.DBRW($B$1,$B$2,$B$7,$B$3,$B$4,$B$5,$F124,$B$6,AB$10,$A124,$B124)</f>
        <v>0</v>
      </c>
      <c r="AC124" s="4">
        <f ca="1">_xll.DBRW($B$1,$B$2,$B$7,$B$3,$B$4,$B$5,$F124,$B$6,AC$10,$A124,$B124)</f>
        <v>0</v>
      </c>
      <c r="AD124" s="4">
        <f ca="1">_xll.DBRW($B$1,$B$2,$B$7,$B$3,$B$4,$B$5,$F124,$B$6,AD$10,$A124,$B124)</f>
        <v>0</v>
      </c>
      <c r="AE124" s="4">
        <f ca="1">_xll.DBRW($B$1,$B$2,$B$7,$B$3,$B$4,$B$5,$F124,$B$6,AE$10,$A124,$B124)</f>
        <v>0</v>
      </c>
    </row>
    <row r="125" spans="1:31">
      <c r="A125" s="1" t="s">
        <v>150</v>
      </c>
      <c r="B125" s="5" t="s">
        <v>160</v>
      </c>
      <c r="C125" s="5" t="s">
        <v>161</v>
      </c>
      <c r="D125" s="5" t="s">
        <v>21</v>
      </c>
      <c r="E125" s="5" t="s">
        <v>69</v>
      </c>
      <c r="F125" s="5" t="s">
        <v>313</v>
      </c>
      <c r="G125" s="6"/>
      <c r="H125" s="6"/>
      <c r="I125" s="6"/>
      <c r="J125" s="6"/>
      <c r="K125" s="6"/>
      <c r="L125" s="4">
        <f ca="1">_xll.DBRW($B$1,$B$2,$B$7,$B$3,$B$4,$B$5,$F125,$B$6,L$10,$A125,$B125)</f>
        <v>0</v>
      </c>
      <c r="M125" s="4">
        <f ca="1">_xll.DBRW($B$1,$B$2,$B$7,$B$3,$B$4,$B$5,$F125,$B$6,M$10,$A125,$B125)</f>
        <v>0</v>
      </c>
      <c r="N125" s="4">
        <f ca="1">_xll.DBRW($B$1,$B$2,$B$7,$B$3,$B$4,$B$5,$F125,$B$6,N$10,$A125,$B125)</f>
        <v>0</v>
      </c>
      <c r="O125" s="4">
        <f ca="1">_xll.DBRW($B$1,$B$2,$B$7,$B$3,$B$4,$B$5,$F125,$B$6,O$10,$A125,$B125)</f>
        <v>0</v>
      </c>
      <c r="P125" s="4">
        <f ca="1">_xll.DBRW($B$1,$B$2,$B$7,$B$3,$B$4,$B$5,$F125,$B$6,P$10,$A125,$B125)</f>
        <v>0</v>
      </c>
      <c r="Q125" s="4">
        <f ca="1">_xll.DBRW($B$1,$B$2,$B$7,$B$3,$B$4,$B$5,$F125,$B$6,Q$10,$A125,$B125)</f>
        <v>0</v>
      </c>
      <c r="R125" s="4">
        <f ca="1">_xll.DBRW($B$1,$B$2,$B$7,$B$3,$B$4,$B$5,$F125,$B$6,R$10,$A125,$B125)</f>
        <v>0</v>
      </c>
      <c r="S125" s="4">
        <f ca="1">_xll.DBRW($B$1,$B$2,$B$7,$B$3,$B$4,$B$5,$F125,$B$6,S$10,$A125,$B125)</f>
        <v>0</v>
      </c>
      <c r="T125" s="4">
        <f ca="1">_xll.DBRW($B$1,$B$2,$B$7,$B$3,$B$4,$B$5,$F125,$B$6,T$10,$A125,$B125)</f>
        <v>0</v>
      </c>
      <c r="U125" s="4">
        <f ca="1">_xll.DBRW($B$1,$B$2,$B$7,$B$3,$B$4,$B$5,$F125,$B$6,U$10,$A125,$B125)</f>
        <v>0</v>
      </c>
      <c r="V125" s="4">
        <f ca="1">_xll.DBRW($B$1,$B$2,$B$7,$B$3,$B$4,$B$5,$F125,$B$6,V$10,$A125,$B125)</f>
        <v>0</v>
      </c>
      <c r="W125" s="4">
        <f ca="1">_xll.DBRW($B$1,$B$2,$B$7,$B$3,$B$4,$B$5,$F125,$B$6,W$10,$A125,$B125)</f>
        <v>0</v>
      </c>
      <c r="X125" s="4">
        <f ca="1">_xll.DBRW($B$1,$B$2,$B$7,$B$3,$B$4,$B$5,$F125,$B$6,X$10,$A125,$B125)</f>
        <v>0</v>
      </c>
      <c r="Y125" s="4">
        <f ca="1">_xll.DBRW($B$1,$B$2,$B$7,$B$3,$B$4,$B$5,$F125,$B$6,Y$10,$A125,$B125)</f>
        <v>0</v>
      </c>
      <c r="Z125" s="4">
        <f ca="1">_xll.DBRW($B$1,$B$2,$B$7,$B$3,$B$4,$B$5,$F125,$B$6,Z$10,$A125,$B125)</f>
        <v>0</v>
      </c>
      <c r="AA125" s="4">
        <f ca="1">_xll.DBRW($B$1,$B$2,$B$7,$B$3,$B$4,$B$5,$F125,$B$6,AA$10,$A125,$B125)</f>
        <v>0</v>
      </c>
      <c r="AB125" s="4">
        <f ca="1">_xll.DBRW($B$1,$B$2,$B$7,$B$3,$B$4,$B$5,$F125,$B$6,AB$10,$A125,$B125)</f>
        <v>0</v>
      </c>
      <c r="AC125" s="4">
        <f ca="1">_xll.DBRW($B$1,$B$2,$B$7,$B$3,$B$4,$B$5,$F125,$B$6,AC$10,$A125,$B125)</f>
        <v>0</v>
      </c>
      <c r="AD125" s="4">
        <f ca="1">_xll.DBRW($B$1,$B$2,$B$7,$B$3,$B$4,$B$5,$F125,$B$6,AD$10,$A125,$B125)</f>
        <v>0</v>
      </c>
      <c r="AE125" s="4">
        <f ca="1">_xll.DBRW($B$1,$B$2,$B$7,$B$3,$B$4,$B$5,$F125,$B$6,AE$10,$A125,$B125)</f>
        <v>0</v>
      </c>
    </row>
    <row r="126" spans="1:31">
      <c r="A126" s="1" t="s">
        <v>150</v>
      </c>
      <c r="B126" s="5" t="s">
        <v>67</v>
      </c>
      <c r="C126" s="5" t="s">
        <v>68</v>
      </c>
      <c r="D126" s="5" t="s">
        <v>69</v>
      </c>
      <c r="E126" s="5" t="s">
        <v>21</v>
      </c>
      <c r="F126" s="5" t="s">
        <v>313</v>
      </c>
      <c r="G126" s="6"/>
      <c r="H126" s="6"/>
      <c r="I126" s="6"/>
      <c r="J126" s="6"/>
      <c r="K126" s="6"/>
      <c r="L126" s="4">
        <f ca="1">_xll.DBRW($B$1,$B$2,$B$7,$B$3,$B$4,$B$5,$F126,$B$6,L$10,$A126,$B126)</f>
        <v>0</v>
      </c>
      <c r="M126" s="4">
        <f ca="1">_xll.DBRW($B$1,$B$2,$B$7,$B$3,$B$4,$B$5,$F126,$B$6,M$10,$A126,$B126)</f>
        <v>0</v>
      </c>
      <c r="N126" s="4">
        <f ca="1">_xll.DBRW($B$1,$B$2,$B$7,$B$3,$B$4,$B$5,$F126,$B$6,N$10,$A126,$B126)</f>
        <v>0</v>
      </c>
      <c r="O126" s="4">
        <f ca="1">_xll.DBRW($B$1,$B$2,$B$7,$B$3,$B$4,$B$5,$F126,$B$6,O$10,$A126,$B126)</f>
        <v>0</v>
      </c>
      <c r="P126" s="4">
        <f ca="1">_xll.DBRW($B$1,$B$2,$B$7,$B$3,$B$4,$B$5,$F126,$B$6,P$10,$A126,$B126)</f>
        <v>0</v>
      </c>
      <c r="Q126" s="4">
        <f ca="1">_xll.DBRW($B$1,$B$2,$B$7,$B$3,$B$4,$B$5,$F126,$B$6,Q$10,$A126,$B126)</f>
        <v>0</v>
      </c>
      <c r="R126" s="4">
        <f ca="1">_xll.DBRW($B$1,$B$2,$B$7,$B$3,$B$4,$B$5,$F126,$B$6,R$10,$A126,$B126)</f>
        <v>0</v>
      </c>
      <c r="S126" s="4">
        <f ca="1">_xll.DBRW($B$1,$B$2,$B$7,$B$3,$B$4,$B$5,$F126,$B$6,S$10,$A126,$B126)</f>
        <v>0</v>
      </c>
      <c r="T126" s="4">
        <f ca="1">_xll.DBRW($B$1,$B$2,$B$7,$B$3,$B$4,$B$5,$F126,$B$6,T$10,$A126,$B126)</f>
        <v>0</v>
      </c>
      <c r="U126" s="4">
        <f ca="1">_xll.DBRW($B$1,$B$2,$B$7,$B$3,$B$4,$B$5,$F126,$B$6,U$10,$A126,$B126)</f>
        <v>0</v>
      </c>
      <c r="V126" s="4">
        <f ca="1">_xll.DBRW($B$1,$B$2,$B$7,$B$3,$B$4,$B$5,$F126,$B$6,V$10,$A126,$B126)</f>
        <v>0</v>
      </c>
      <c r="W126" s="4">
        <f ca="1">_xll.DBRW($B$1,$B$2,$B$7,$B$3,$B$4,$B$5,$F126,$B$6,W$10,$A126,$B126)</f>
        <v>0</v>
      </c>
      <c r="X126" s="4">
        <f ca="1">_xll.DBRW($B$1,$B$2,$B$7,$B$3,$B$4,$B$5,$F126,$B$6,X$10,$A126,$B126)</f>
        <v>0</v>
      </c>
      <c r="Y126" s="4">
        <f ca="1">_xll.DBRW($B$1,$B$2,$B$7,$B$3,$B$4,$B$5,$F126,$B$6,Y$10,$A126,$B126)</f>
        <v>0</v>
      </c>
      <c r="Z126" s="4">
        <f ca="1">_xll.DBRW($B$1,$B$2,$B$7,$B$3,$B$4,$B$5,$F126,$B$6,Z$10,$A126,$B126)</f>
        <v>0</v>
      </c>
      <c r="AA126" s="4">
        <f ca="1">_xll.DBRW($B$1,$B$2,$B$7,$B$3,$B$4,$B$5,$F126,$B$6,AA$10,$A126,$B126)</f>
        <v>0</v>
      </c>
      <c r="AB126" s="4">
        <f ca="1">_xll.DBRW($B$1,$B$2,$B$7,$B$3,$B$4,$B$5,$F126,$B$6,AB$10,$A126,$B126)</f>
        <v>0</v>
      </c>
      <c r="AC126" s="4">
        <f ca="1">_xll.DBRW($B$1,$B$2,$B$7,$B$3,$B$4,$B$5,$F126,$B$6,AC$10,$A126,$B126)</f>
        <v>0</v>
      </c>
      <c r="AD126" s="4">
        <f ca="1">_xll.DBRW($B$1,$B$2,$B$7,$B$3,$B$4,$B$5,$F126,$B$6,AD$10,$A126,$B126)</f>
        <v>0</v>
      </c>
      <c r="AE126" s="4">
        <f ca="1">_xll.DBRW($B$1,$B$2,$B$7,$B$3,$B$4,$B$5,$F126,$B$6,AE$10,$A126,$B126)</f>
        <v>0</v>
      </c>
    </row>
    <row r="127" spans="1:31">
      <c r="A127" s="1" t="s">
        <v>150</v>
      </c>
      <c r="B127" s="5" t="s">
        <v>162</v>
      </c>
      <c r="C127" s="5" t="s">
        <v>163</v>
      </c>
      <c r="D127" s="5" t="s">
        <v>21</v>
      </c>
      <c r="E127" s="5" t="s">
        <v>54</v>
      </c>
      <c r="F127" s="5" t="s">
        <v>313</v>
      </c>
      <c r="G127" s="6"/>
      <c r="H127" s="6"/>
      <c r="I127" s="6"/>
      <c r="J127" s="6"/>
      <c r="K127" s="6"/>
      <c r="L127" s="4">
        <f ca="1">_xll.DBRW($B$1,$B$2,$B$7,$B$3,$B$4,$B$5,$F127,$B$6,L$10,$A127,$B127)</f>
        <v>0</v>
      </c>
      <c r="M127" s="4">
        <f ca="1">_xll.DBRW($B$1,$B$2,$B$7,$B$3,$B$4,$B$5,$F127,$B$6,M$10,$A127,$B127)</f>
        <v>0</v>
      </c>
      <c r="N127" s="4">
        <f ca="1">_xll.DBRW($B$1,$B$2,$B$7,$B$3,$B$4,$B$5,$F127,$B$6,N$10,$A127,$B127)</f>
        <v>0</v>
      </c>
      <c r="O127" s="4">
        <f ca="1">_xll.DBRW($B$1,$B$2,$B$7,$B$3,$B$4,$B$5,$F127,$B$6,O$10,$A127,$B127)</f>
        <v>0</v>
      </c>
      <c r="P127" s="4">
        <f ca="1">_xll.DBRW($B$1,$B$2,$B$7,$B$3,$B$4,$B$5,$F127,$B$6,P$10,$A127,$B127)</f>
        <v>0</v>
      </c>
      <c r="Q127" s="4">
        <f ca="1">_xll.DBRW($B$1,$B$2,$B$7,$B$3,$B$4,$B$5,$F127,$B$6,Q$10,$A127,$B127)</f>
        <v>0</v>
      </c>
      <c r="R127" s="4">
        <f ca="1">_xll.DBRW($B$1,$B$2,$B$7,$B$3,$B$4,$B$5,$F127,$B$6,R$10,$A127,$B127)</f>
        <v>0</v>
      </c>
      <c r="S127" s="4">
        <f ca="1">_xll.DBRW($B$1,$B$2,$B$7,$B$3,$B$4,$B$5,$F127,$B$6,S$10,$A127,$B127)</f>
        <v>0</v>
      </c>
      <c r="T127" s="4">
        <f ca="1">_xll.DBRW($B$1,$B$2,$B$7,$B$3,$B$4,$B$5,$F127,$B$6,T$10,$A127,$B127)</f>
        <v>0</v>
      </c>
      <c r="U127" s="4">
        <f ca="1">_xll.DBRW($B$1,$B$2,$B$7,$B$3,$B$4,$B$5,$F127,$B$6,U$10,$A127,$B127)</f>
        <v>0</v>
      </c>
      <c r="V127" s="4">
        <f ca="1">_xll.DBRW($B$1,$B$2,$B$7,$B$3,$B$4,$B$5,$F127,$B$6,V$10,$A127,$B127)</f>
        <v>0</v>
      </c>
      <c r="W127" s="4">
        <f ca="1">_xll.DBRW($B$1,$B$2,$B$7,$B$3,$B$4,$B$5,$F127,$B$6,W$10,$A127,$B127)</f>
        <v>0</v>
      </c>
      <c r="X127" s="4">
        <f ca="1">_xll.DBRW($B$1,$B$2,$B$7,$B$3,$B$4,$B$5,$F127,$B$6,X$10,$A127,$B127)</f>
        <v>0</v>
      </c>
      <c r="Y127" s="4">
        <f ca="1">_xll.DBRW($B$1,$B$2,$B$7,$B$3,$B$4,$B$5,$F127,$B$6,Y$10,$A127,$B127)</f>
        <v>0</v>
      </c>
      <c r="Z127" s="4">
        <f ca="1">_xll.DBRW($B$1,$B$2,$B$7,$B$3,$B$4,$B$5,$F127,$B$6,Z$10,$A127,$B127)</f>
        <v>0</v>
      </c>
      <c r="AA127" s="4">
        <f ca="1">_xll.DBRW($B$1,$B$2,$B$7,$B$3,$B$4,$B$5,$F127,$B$6,AA$10,$A127,$B127)</f>
        <v>0</v>
      </c>
      <c r="AB127" s="4">
        <f ca="1">_xll.DBRW($B$1,$B$2,$B$7,$B$3,$B$4,$B$5,$F127,$B$6,AB$10,$A127,$B127)</f>
        <v>0</v>
      </c>
      <c r="AC127" s="4">
        <f ca="1">_xll.DBRW($B$1,$B$2,$B$7,$B$3,$B$4,$B$5,$F127,$B$6,AC$10,$A127,$B127)</f>
        <v>0</v>
      </c>
      <c r="AD127" s="4">
        <f ca="1">_xll.DBRW($B$1,$B$2,$B$7,$B$3,$B$4,$B$5,$F127,$B$6,AD$10,$A127,$B127)</f>
        <v>0</v>
      </c>
      <c r="AE127" s="4">
        <f ca="1">_xll.DBRW($B$1,$B$2,$B$7,$B$3,$B$4,$B$5,$F127,$B$6,AE$10,$A127,$B127)</f>
        <v>0</v>
      </c>
    </row>
    <row r="128" spans="1:31">
      <c r="A128" s="1" t="s">
        <v>150</v>
      </c>
      <c r="B128" s="5" t="s">
        <v>52</v>
      </c>
      <c r="C128" s="5" t="s">
        <v>53</v>
      </c>
      <c r="D128" s="5" t="s">
        <v>54</v>
      </c>
      <c r="E128" s="5" t="s">
        <v>21</v>
      </c>
      <c r="F128" s="5" t="s">
        <v>313</v>
      </c>
      <c r="G128" s="6"/>
      <c r="H128" s="6"/>
      <c r="I128" s="6"/>
      <c r="J128" s="6"/>
      <c r="K128" s="6"/>
      <c r="L128" s="4">
        <f ca="1">_xll.DBRW($B$1,$B$2,$B$7,$B$3,$B$4,$B$5,$F128,$B$6,L$10,$A128,$B128)</f>
        <v>0</v>
      </c>
      <c r="M128" s="4">
        <f ca="1">_xll.DBRW($B$1,$B$2,$B$7,$B$3,$B$4,$B$5,$F128,$B$6,M$10,$A128,$B128)</f>
        <v>0</v>
      </c>
      <c r="N128" s="4">
        <f ca="1">_xll.DBRW($B$1,$B$2,$B$7,$B$3,$B$4,$B$5,$F128,$B$6,N$10,$A128,$B128)</f>
        <v>0</v>
      </c>
      <c r="O128" s="4">
        <f ca="1">_xll.DBRW($B$1,$B$2,$B$7,$B$3,$B$4,$B$5,$F128,$B$6,O$10,$A128,$B128)</f>
        <v>0</v>
      </c>
      <c r="P128" s="4">
        <f ca="1">_xll.DBRW($B$1,$B$2,$B$7,$B$3,$B$4,$B$5,$F128,$B$6,P$10,$A128,$B128)</f>
        <v>0</v>
      </c>
      <c r="Q128" s="4">
        <f ca="1">_xll.DBRW($B$1,$B$2,$B$7,$B$3,$B$4,$B$5,$F128,$B$6,Q$10,$A128,$B128)</f>
        <v>0</v>
      </c>
      <c r="R128" s="4">
        <f ca="1">_xll.DBRW($B$1,$B$2,$B$7,$B$3,$B$4,$B$5,$F128,$B$6,R$10,$A128,$B128)</f>
        <v>0</v>
      </c>
      <c r="S128" s="4">
        <f ca="1">_xll.DBRW($B$1,$B$2,$B$7,$B$3,$B$4,$B$5,$F128,$B$6,S$10,$A128,$B128)</f>
        <v>0</v>
      </c>
      <c r="T128" s="4">
        <f ca="1">_xll.DBRW($B$1,$B$2,$B$7,$B$3,$B$4,$B$5,$F128,$B$6,T$10,$A128,$B128)</f>
        <v>0</v>
      </c>
      <c r="U128" s="4">
        <f ca="1">_xll.DBRW($B$1,$B$2,$B$7,$B$3,$B$4,$B$5,$F128,$B$6,U$10,$A128,$B128)</f>
        <v>0</v>
      </c>
      <c r="V128" s="4">
        <f ca="1">_xll.DBRW($B$1,$B$2,$B$7,$B$3,$B$4,$B$5,$F128,$B$6,V$10,$A128,$B128)</f>
        <v>0</v>
      </c>
      <c r="W128" s="4">
        <f ca="1">_xll.DBRW($B$1,$B$2,$B$7,$B$3,$B$4,$B$5,$F128,$B$6,W$10,$A128,$B128)</f>
        <v>0</v>
      </c>
      <c r="X128" s="4">
        <f ca="1">_xll.DBRW($B$1,$B$2,$B$7,$B$3,$B$4,$B$5,$F128,$B$6,X$10,$A128,$B128)</f>
        <v>0</v>
      </c>
      <c r="Y128" s="4">
        <f ca="1">_xll.DBRW($B$1,$B$2,$B$7,$B$3,$B$4,$B$5,$F128,$B$6,Y$10,$A128,$B128)</f>
        <v>0</v>
      </c>
      <c r="Z128" s="4">
        <f ca="1">_xll.DBRW($B$1,$B$2,$B$7,$B$3,$B$4,$B$5,$F128,$B$6,Z$10,$A128,$B128)</f>
        <v>0</v>
      </c>
      <c r="AA128" s="4">
        <f ca="1">_xll.DBRW($B$1,$B$2,$B$7,$B$3,$B$4,$B$5,$F128,$B$6,AA$10,$A128,$B128)</f>
        <v>0</v>
      </c>
      <c r="AB128" s="4">
        <f ca="1">_xll.DBRW($B$1,$B$2,$B$7,$B$3,$B$4,$B$5,$F128,$B$6,AB$10,$A128,$B128)</f>
        <v>0</v>
      </c>
      <c r="AC128" s="4">
        <f ca="1">_xll.DBRW($B$1,$B$2,$B$7,$B$3,$B$4,$B$5,$F128,$B$6,AC$10,$A128,$B128)</f>
        <v>0</v>
      </c>
      <c r="AD128" s="4">
        <f ca="1">_xll.DBRW($B$1,$B$2,$B$7,$B$3,$B$4,$B$5,$F128,$B$6,AD$10,$A128,$B128)</f>
        <v>0</v>
      </c>
      <c r="AE128" s="4">
        <f ca="1">_xll.DBRW($B$1,$B$2,$B$7,$B$3,$B$4,$B$5,$F128,$B$6,AE$10,$A128,$B128)</f>
        <v>0</v>
      </c>
    </row>
    <row r="129" spans="1:31">
      <c r="A129" s="1" t="s">
        <v>150</v>
      </c>
      <c r="B129" s="5" t="s">
        <v>164</v>
      </c>
      <c r="C129" s="5" t="s">
        <v>159</v>
      </c>
      <c r="D129" s="5" t="s">
        <v>21</v>
      </c>
      <c r="E129" s="5" t="s">
        <v>38</v>
      </c>
      <c r="F129" s="5" t="s">
        <v>313</v>
      </c>
      <c r="G129" s="6"/>
      <c r="H129" s="6"/>
      <c r="I129" s="6"/>
      <c r="J129" s="6"/>
      <c r="K129" s="6"/>
      <c r="L129" s="4">
        <f ca="1">_xll.DBRW($B$1,$B$2,$B$7,$B$3,$B$4,$B$5,$F129,$B$6,L$10,$A129,$B129)</f>
        <v>0</v>
      </c>
      <c r="M129" s="4">
        <f ca="1">_xll.DBRW($B$1,$B$2,$B$7,$B$3,$B$4,$B$5,$F129,$B$6,M$10,$A129,$B129)</f>
        <v>0</v>
      </c>
      <c r="N129" s="4">
        <f ca="1">_xll.DBRW($B$1,$B$2,$B$7,$B$3,$B$4,$B$5,$F129,$B$6,N$10,$A129,$B129)</f>
        <v>0</v>
      </c>
      <c r="O129" s="4">
        <f ca="1">_xll.DBRW($B$1,$B$2,$B$7,$B$3,$B$4,$B$5,$F129,$B$6,O$10,$A129,$B129)</f>
        <v>0</v>
      </c>
      <c r="P129" s="4">
        <f ca="1">_xll.DBRW($B$1,$B$2,$B$7,$B$3,$B$4,$B$5,$F129,$B$6,P$10,$A129,$B129)</f>
        <v>0</v>
      </c>
      <c r="Q129" s="4">
        <f ca="1">_xll.DBRW($B$1,$B$2,$B$7,$B$3,$B$4,$B$5,$F129,$B$6,Q$10,$A129,$B129)</f>
        <v>0</v>
      </c>
      <c r="R129" s="4">
        <f ca="1">_xll.DBRW($B$1,$B$2,$B$7,$B$3,$B$4,$B$5,$F129,$B$6,R$10,$A129,$B129)</f>
        <v>0</v>
      </c>
      <c r="S129" s="4">
        <f ca="1">_xll.DBRW($B$1,$B$2,$B$7,$B$3,$B$4,$B$5,$F129,$B$6,S$10,$A129,$B129)</f>
        <v>0</v>
      </c>
      <c r="T129" s="4">
        <f ca="1">_xll.DBRW($B$1,$B$2,$B$7,$B$3,$B$4,$B$5,$F129,$B$6,T$10,$A129,$B129)</f>
        <v>0</v>
      </c>
      <c r="U129" s="4">
        <f ca="1">_xll.DBRW($B$1,$B$2,$B$7,$B$3,$B$4,$B$5,$F129,$B$6,U$10,$A129,$B129)</f>
        <v>0</v>
      </c>
      <c r="V129" s="4">
        <f ca="1">_xll.DBRW($B$1,$B$2,$B$7,$B$3,$B$4,$B$5,$F129,$B$6,V$10,$A129,$B129)</f>
        <v>0</v>
      </c>
      <c r="W129" s="4">
        <f ca="1">_xll.DBRW($B$1,$B$2,$B$7,$B$3,$B$4,$B$5,$F129,$B$6,W$10,$A129,$B129)</f>
        <v>0</v>
      </c>
      <c r="X129" s="4">
        <f ca="1">_xll.DBRW($B$1,$B$2,$B$7,$B$3,$B$4,$B$5,$F129,$B$6,X$10,$A129,$B129)</f>
        <v>0</v>
      </c>
      <c r="Y129" s="4">
        <f ca="1">_xll.DBRW($B$1,$B$2,$B$7,$B$3,$B$4,$B$5,$F129,$B$6,Y$10,$A129,$B129)</f>
        <v>0</v>
      </c>
      <c r="Z129" s="4">
        <f ca="1">_xll.DBRW($B$1,$B$2,$B$7,$B$3,$B$4,$B$5,$F129,$B$6,Z$10,$A129,$B129)</f>
        <v>0</v>
      </c>
      <c r="AA129" s="4">
        <f ca="1">_xll.DBRW($B$1,$B$2,$B$7,$B$3,$B$4,$B$5,$F129,$B$6,AA$10,$A129,$B129)</f>
        <v>0</v>
      </c>
      <c r="AB129" s="4">
        <f ca="1">_xll.DBRW($B$1,$B$2,$B$7,$B$3,$B$4,$B$5,$F129,$B$6,AB$10,$A129,$B129)</f>
        <v>0</v>
      </c>
      <c r="AC129" s="4">
        <f ca="1">_xll.DBRW($B$1,$B$2,$B$7,$B$3,$B$4,$B$5,$F129,$B$6,AC$10,$A129,$B129)</f>
        <v>0</v>
      </c>
      <c r="AD129" s="4">
        <f ca="1">_xll.DBRW($B$1,$B$2,$B$7,$B$3,$B$4,$B$5,$F129,$B$6,AD$10,$A129,$B129)</f>
        <v>0</v>
      </c>
      <c r="AE129" s="4">
        <f ca="1">_xll.DBRW($B$1,$B$2,$B$7,$B$3,$B$4,$B$5,$F129,$B$6,AE$10,$A129,$B129)</f>
        <v>0</v>
      </c>
    </row>
    <row r="130" spans="1:31">
      <c r="A130" s="1" t="s">
        <v>150</v>
      </c>
      <c r="B130" s="5" t="s">
        <v>39</v>
      </c>
      <c r="C130" s="5" t="s">
        <v>37</v>
      </c>
      <c r="D130" s="5" t="s">
        <v>38</v>
      </c>
      <c r="E130" s="5" t="s">
        <v>21</v>
      </c>
      <c r="F130" s="5" t="s">
        <v>313</v>
      </c>
      <c r="G130" s="6"/>
      <c r="H130" s="6"/>
      <c r="I130" s="6"/>
      <c r="J130" s="6"/>
      <c r="K130" s="6"/>
      <c r="L130" s="4">
        <f ca="1">_xll.DBRW($B$1,$B$2,$B$7,$B$3,$B$4,$B$5,$F130,$B$6,L$10,$A130,$B130)</f>
        <v>0</v>
      </c>
      <c r="M130" s="4">
        <f ca="1">_xll.DBRW($B$1,$B$2,$B$7,$B$3,$B$4,$B$5,$F130,$B$6,M$10,$A130,$B130)</f>
        <v>0</v>
      </c>
      <c r="N130" s="4">
        <f ca="1">_xll.DBRW($B$1,$B$2,$B$7,$B$3,$B$4,$B$5,$F130,$B$6,N$10,$A130,$B130)</f>
        <v>0</v>
      </c>
      <c r="O130" s="4">
        <f ca="1">_xll.DBRW($B$1,$B$2,$B$7,$B$3,$B$4,$B$5,$F130,$B$6,O$10,$A130,$B130)</f>
        <v>0</v>
      </c>
      <c r="P130" s="4">
        <f ca="1">_xll.DBRW($B$1,$B$2,$B$7,$B$3,$B$4,$B$5,$F130,$B$6,P$10,$A130,$B130)</f>
        <v>0</v>
      </c>
      <c r="Q130" s="4">
        <f ca="1">_xll.DBRW($B$1,$B$2,$B$7,$B$3,$B$4,$B$5,$F130,$B$6,Q$10,$A130,$B130)</f>
        <v>0</v>
      </c>
      <c r="R130" s="4">
        <f ca="1">_xll.DBRW($B$1,$B$2,$B$7,$B$3,$B$4,$B$5,$F130,$B$6,R$10,$A130,$B130)</f>
        <v>0</v>
      </c>
      <c r="S130" s="4">
        <f ca="1">_xll.DBRW($B$1,$B$2,$B$7,$B$3,$B$4,$B$5,$F130,$B$6,S$10,$A130,$B130)</f>
        <v>0</v>
      </c>
      <c r="T130" s="4">
        <f ca="1">_xll.DBRW($B$1,$B$2,$B$7,$B$3,$B$4,$B$5,$F130,$B$6,T$10,$A130,$B130)</f>
        <v>0</v>
      </c>
      <c r="U130" s="4">
        <f ca="1">_xll.DBRW($B$1,$B$2,$B$7,$B$3,$B$4,$B$5,$F130,$B$6,U$10,$A130,$B130)</f>
        <v>0</v>
      </c>
      <c r="V130" s="4">
        <f ca="1">_xll.DBRW($B$1,$B$2,$B$7,$B$3,$B$4,$B$5,$F130,$B$6,V$10,$A130,$B130)</f>
        <v>0</v>
      </c>
      <c r="W130" s="4">
        <f ca="1">_xll.DBRW($B$1,$B$2,$B$7,$B$3,$B$4,$B$5,$F130,$B$6,W$10,$A130,$B130)</f>
        <v>0</v>
      </c>
      <c r="X130" s="4">
        <f ca="1">_xll.DBRW($B$1,$B$2,$B$7,$B$3,$B$4,$B$5,$F130,$B$6,X$10,$A130,$B130)</f>
        <v>0</v>
      </c>
      <c r="Y130" s="4">
        <f ca="1">_xll.DBRW($B$1,$B$2,$B$7,$B$3,$B$4,$B$5,$F130,$B$6,Y$10,$A130,$B130)</f>
        <v>0</v>
      </c>
      <c r="Z130" s="4">
        <f ca="1">_xll.DBRW($B$1,$B$2,$B$7,$B$3,$B$4,$B$5,$F130,$B$6,Z$10,$A130,$B130)</f>
        <v>0</v>
      </c>
      <c r="AA130" s="4">
        <f ca="1">_xll.DBRW($B$1,$B$2,$B$7,$B$3,$B$4,$B$5,$F130,$B$6,AA$10,$A130,$B130)</f>
        <v>0</v>
      </c>
      <c r="AB130" s="4">
        <f ca="1">_xll.DBRW($B$1,$B$2,$B$7,$B$3,$B$4,$B$5,$F130,$B$6,AB$10,$A130,$B130)</f>
        <v>0</v>
      </c>
      <c r="AC130" s="4">
        <f ca="1">_xll.DBRW($B$1,$B$2,$B$7,$B$3,$B$4,$B$5,$F130,$B$6,AC$10,$A130,$B130)</f>
        <v>0</v>
      </c>
      <c r="AD130" s="4">
        <f ca="1">_xll.DBRW($B$1,$B$2,$B$7,$B$3,$B$4,$B$5,$F130,$B$6,AD$10,$A130,$B130)</f>
        <v>0</v>
      </c>
      <c r="AE130" s="4">
        <f ca="1">_xll.DBRW($B$1,$B$2,$B$7,$B$3,$B$4,$B$5,$F130,$B$6,AE$10,$A130,$B130)</f>
        <v>0</v>
      </c>
    </row>
    <row r="131" spans="1:31">
      <c r="A131" s="1" t="s">
        <v>150</v>
      </c>
      <c r="B131" s="5" t="s">
        <v>165</v>
      </c>
      <c r="C131" s="5" t="s">
        <v>166</v>
      </c>
      <c r="D131" s="5" t="s">
        <v>21</v>
      </c>
      <c r="E131" s="5" t="s">
        <v>31</v>
      </c>
      <c r="F131" s="5" t="s">
        <v>313</v>
      </c>
      <c r="G131" s="6"/>
      <c r="H131" s="6"/>
      <c r="I131" s="6"/>
      <c r="J131" s="6"/>
      <c r="K131" s="6"/>
      <c r="L131" s="4">
        <f ca="1">_xll.DBRW($B$1,$B$2,$B$7,$B$3,$B$4,$B$5,$F131,$B$6,L$10,$A131,$B131)</f>
        <v>0</v>
      </c>
      <c r="M131" s="4">
        <f ca="1">_xll.DBRW($B$1,$B$2,$B$7,$B$3,$B$4,$B$5,$F131,$B$6,M$10,$A131,$B131)</f>
        <v>0</v>
      </c>
      <c r="N131" s="4">
        <f ca="1">_xll.DBRW($B$1,$B$2,$B$7,$B$3,$B$4,$B$5,$F131,$B$6,N$10,$A131,$B131)</f>
        <v>0</v>
      </c>
      <c r="O131" s="4">
        <f ca="1">_xll.DBRW($B$1,$B$2,$B$7,$B$3,$B$4,$B$5,$F131,$B$6,O$10,$A131,$B131)</f>
        <v>0</v>
      </c>
      <c r="P131" s="4">
        <f ca="1">_xll.DBRW($B$1,$B$2,$B$7,$B$3,$B$4,$B$5,$F131,$B$6,P$10,$A131,$B131)</f>
        <v>0</v>
      </c>
      <c r="Q131" s="4">
        <f ca="1">_xll.DBRW($B$1,$B$2,$B$7,$B$3,$B$4,$B$5,$F131,$B$6,Q$10,$A131,$B131)</f>
        <v>0</v>
      </c>
      <c r="R131" s="4">
        <f ca="1">_xll.DBRW($B$1,$B$2,$B$7,$B$3,$B$4,$B$5,$F131,$B$6,R$10,$A131,$B131)</f>
        <v>0</v>
      </c>
      <c r="S131" s="4">
        <f ca="1">_xll.DBRW($B$1,$B$2,$B$7,$B$3,$B$4,$B$5,$F131,$B$6,S$10,$A131,$B131)</f>
        <v>0</v>
      </c>
      <c r="T131" s="4">
        <f ca="1">_xll.DBRW($B$1,$B$2,$B$7,$B$3,$B$4,$B$5,$F131,$B$6,T$10,$A131,$B131)</f>
        <v>0</v>
      </c>
      <c r="U131" s="4">
        <f ca="1">_xll.DBRW($B$1,$B$2,$B$7,$B$3,$B$4,$B$5,$F131,$B$6,U$10,$A131,$B131)</f>
        <v>0</v>
      </c>
      <c r="V131" s="4">
        <f ca="1">_xll.DBRW($B$1,$B$2,$B$7,$B$3,$B$4,$B$5,$F131,$B$6,V$10,$A131,$B131)</f>
        <v>0</v>
      </c>
      <c r="W131" s="4">
        <f ca="1">_xll.DBRW($B$1,$B$2,$B$7,$B$3,$B$4,$B$5,$F131,$B$6,W$10,$A131,$B131)</f>
        <v>0</v>
      </c>
      <c r="X131" s="4">
        <f ca="1">_xll.DBRW($B$1,$B$2,$B$7,$B$3,$B$4,$B$5,$F131,$B$6,X$10,$A131,$B131)</f>
        <v>0</v>
      </c>
      <c r="Y131" s="4">
        <f ca="1">_xll.DBRW($B$1,$B$2,$B$7,$B$3,$B$4,$B$5,$F131,$B$6,Y$10,$A131,$B131)</f>
        <v>0</v>
      </c>
      <c r="Z131" s="4">
        <f ca="1">_xll.DBRW($B$1,$B$2,$B$7,$B$3,$B$4,$B$5,$F131,$B$6,Z$10,$A131,$B131)</f>
        <v>0</v>
      </c>
      <c r="AA131" s="4">
        <f ca="1">_xll.DBRW($B$1,$B$2,$B$7,$B$3,$B$4,$B$5,$F131,$B$6,AA$10,$A131,$B131)</f>
        <v>0</v>
      </c>
      <c r="AB131" s="4">
        <f ca="1">_xll.DBRW($B$1,$B$2,$B$7,$B$3,$B$4,$B$5,$F131,$B$6,AB$10,$A131,$B131)</f>
        <v>0</v>
      </c>
      <c r="AC131" s="4">
        <f ca="1">_xll.DBRW($B$1,$B$2,$B$7,$B$3,$B$4,$B$5,$F131,$B$6,AC$10,$A131,$B131)</f>
        <v>0</v>
      </c>
      <c r="AD131" s="4">
        <f ca="1">_xll.DBRW($B$1,$B$2,$B$7,$B$3,$B$4,$B$5,$F131,$B$6,AD$10,$A131,$B131)</f>
        <v>0</v>
      </c>
      <c r="AE131" s="4">
        <f ca="1">_xll.DBRW($B$1,$B$2,$B$7,$B$3,$B$4,$B$5,$F131,$B$6,AE$10,$A131,$B131)</f>
        <v>0</v>
      </c>
    </row>
    <row r="132" spans="1:31">
      <c r="A132" s="1" t="s">
        <v>150</v>
      </c>
      <c r="B132" s="5" t="s">
        <v>29</v>
      </c>
      <c r="C132" s="5" t="s">
        <v>30</v>
      </c>
      <c r="D132" s="5" t="s">
        <v>31</v>
      </c>
      <c r="E132" s="5" t="s">
        <v>21</v>
      </c>
      <c r="F132" s="5" t="s">
        <v>313</v>
      </c>
      <c r="G132" s="6"/>
      <c r="H132" s="6"/>
      <c r="I132" s="6"/>
      <c r="J132" s="6"/>
      <c r="K132" s="6"/>
      <c r="L132" s="4">
        <f ca="1">_xll.DBRW($B$1,$B$2,$B$7,$B$3,$B$4,$B$5,$F132,$B$6,L$10,$A132,$B132)</f>
        <v>0</v>
      </c>
      <c r="M132" s="4">
        <f ca="1">_xll.DBRW($B$1,$B$2,$B$7,$B$3,$B$4,$B$5,$F132,$B$6,M$10,$A132,$B132)</f>
        <v>0</v>
      </c>
      <c r="N132" s="4">
        <f ca="1">_xll.DBRW($B$1,$B$2,$B$7,$B$3,$B$4,$B$5,$F132,$B$6,N$10,$A132,$B132)</f>
        <v>0</v>
      </c>
      <c r="O132" s="4">
        <f ca="1">_xll.DBRW($B$1,$B$2,$B$7,$B$3,$B$4,$B$5,$F132,$B$6,O$10,$A132,$B132)</f>
        <v>0</v>
      </c>
      <c r="P132" s="4">
        <f ca="1">_xll.DBRW($B$1,$B$2,$B$7,$B$3,$B$4,$B$5,$F132,$B$6,P$10,$A132,$B132)</f>
        <v>0</v>
      </c>
      <c r="Q132" s="4">
        <f ca="1">_xll.DBRW($B$1,$B$2,$B$7,$B$3,$B$4,$B$5,$F132,$B$6,Q$10,$A132,$B132)</f>
        <v>0</v>
      </c>
      <c r="R132" s="4">
        <f ca="1">_xll.DBRW($B$1,$B$2,$B$7,$B$3,$B$4,$B$5,$F132,$B$6,R$10,$A132,$B132)</f>
        <v>0</v>
      </c>
      <c r="S132" s="4">
        <f ca="1">_xll.DBRW($B$1,$B$2,$B$7,$B$3,$B$4,$B$5,$F132,$B$6,S$10,$A132,$B132)</f>
        <v>0</v>
      </c>
      <c r="T132" s="4">
        <f ca="1">_xll.DBRW($B$1,$B$2,$B$7,$B$3,$B$4,$B$5,$F132,$B$6,T$10,$A132,$B132)</f>
        <v>0</v>
      </c>
      <c r="U132" s="4">
        <f ca="1">_xll.DBRW($B$1,$B$2,$B$7,$B$3,$B$4,$B$5,$F132,$B$6,U$10,$A132,$B132)</f>
        <v>0</v>
      </c>
      <c r="V132" s="4">
        <f ca="1">_xll.DBRW($B$1,$B$2,$B$7,$B$3,$B$4,$B$5,$F132,$B$6,V$10,$A132,$B132)</f>
        <v>0</v>
      </c>
      <c r="W132" s="4">
        <f ca="1">_xll.DBRW($B$1,$B$2,$B$7,$B$3,$B$4,$B$5,$F132,$B$6,W$10,$A132,$B132)</f>
        <v>0</v>
      </c>
      <c r="X132" s="4">
        <f ca="1">_xll.DBRW($B$1,$B$2,$B$7,$B$3,$B$4,$B$5,$F132,$B$6,X$10,$A132,$B132)</f>
        <v>0</v>
      </c>
      <c r="Y132" s="4">
        <f ca="1">_xll.DBRW($B$1,$B$2,$B$7,$B$3,$B$4,$B$5,$F132,$B$6,Y$10,$A132,$B132)</f>
        <v>0</v>
      </c>
      <c r="Z132" s="4">
        <f ca="1">_xll.DBRW($B$1,$B$2,$B$7,$B$3,$B$4,$B$5,$F132,$B$6,Z$10,$A132,$B132)</f>
        <v>0</v>
      </c>
      <c r="AA132" s="4">
        <f ca="1">_xll.DBRW($B$1,$B$2,$B$7,$B$3,$B$4,$B$5,$F132,$B$6,AA$10,$A132,$B132)</f>
        <v>0</v>
      </c>
      <c r="AB132" s="4">
        <f ca="1">_xll.DBRW($B$1,$B$2,$B$7,$B$3,$B$4,$B$5,$F132,$B$6,AB$10,$A132,$B132)</f>
        <v>0</v>
      </c>
      <c r="AC132" s="4">
        <f ca="1">_xll.DBRW($B$1,$B$2,$B$7,$B$3,$B$4,$B$5,$F132,$B$6,AC$10,$A132,$B132)</f>
        <v>0</v>
      </c>
      <c r="AD132" s="4">
        <f ca="1">_xll.DBRW($B$1,$B$2,$B$7,$B$3,$B$4,$B$5,$F132,$B$6,AD$10,$A132,$B132)</f>
        <v>0</v>
      </c>
      <c r="AE132" s="4">
        <f ca="1">_xll.DBRW($B$1,$B$2,$B$7,$B$3,$B$4,$B$5,$F132,$B$6,AE$10,$A132,$B132)</f>
        <v>0</v>
      </c>
    </row>
    <row r="133" spans="1:31">
      <c r="A133" s="1" t="s">
        <v>150</v>
      </c>
      <c r="B133" s="5" t="s">
        <v>167</v>
      </c>
      <c r="C133" s="5" t="s">
        <v>168</v>
      </c>
      <c r="D133" s="5" t="s">
        <v>21</v>
      </c>
      <c r="E133" s="5" t="s">
        <v>76</v>
      </c>
      <c r="F133" s="5" t="s">
        <v>313</v>
      </c>
      <c r="G133" s="6"/>
      <c r="H133" s="6"/>
      <c r="I133" s="6"/>
      <c r="J133" s="6"/>
      <c r="K133" s="6"/>
      <c r="L133" s="4">
        <f ca="1">_xll.DBRW($B$1,$B$2,$B$7,$B$3,$B$4,$B$5,$F133,$B$6,L$10,$A133,$B133)</f>
        <v>0</v>
      </c>
      <c r="M133" s="4">
        <f ca="1">_xll.DBRW($B$1,$B$2,$B$7,$B$3,$B$4,$B$5,$F133,$B$6,M$10,$A133,$B133)</f>
        <v>0</v>
      </c>
      <c r="N133" s="4">
        <f ca="1">_xll.DBRW($B$1,$B$2,$B$7,$B$3,$B$4,$B$5,$F133,$B$6,N$10,$A133,$B133)</f>
        <v>0</v>
      </c>
      <c r="O133" s="4">
        <f ca="1">_xll.DBRW($B$1,$B$2,$B$7,$B$3,$B$4,$B$5,$F133,$B$6,O$10,$A133,$B133)</f>
        <v>0</v>
      </c>
      <c r="P133" s="4">
        <f ca="1">_xll.DBRW($B$1,$B$2,$B$7,$B$3,$B$4,$B$5,$F133,$B$6,P$10,$A133,$B133)</f>
        <v>0</v>
      </c>
      <c r="Q133" s="4">
        <f ca="1">_xll.DBRW($B$1,$B$2,$B$7,$B$3,$B$4,$B$5,$F133,$B$6,Q$10,$A133,$B133)</f>
        <v>0</v>
      </c>
      <c r="R133" s="4">
        <f ca="1">_xll.DBRW($B$1,$B$2,$B$7,$B$3,$B$4,$B$5,$F133,$B$6,R$10,$A133,$B133)</f>
        <v>0</v>
      </c>
      <c r="S133" s="4">
        <f ca="1">_xll.DBRW($B$1,$B$2,$B$7,$B$3,$B$4,$B$5,$F133,$B$6,S$10,$A133,$B133)</f>
        <v>0</v>
      </c>
      <c r="T133" s="4">
        <f ca="1">_xll.DBRW($B$1,$B$2,$B$7,$B$3,$B$4,$B$5,$F133,$B$6,T$10,$A133,$B133)</f>
        <v>0</v>
      </c>
      <c r="U133" s="4">
        <f ca="1">_xll.DBRW($B$1,$B$2,$B$7,$B$3,$B$4,$B$5,$F133,$B$6,U$10,$A133,$B133)</f>
        <v>0</v>
      </c>
      <c r="V133" s="4">
        <f ca="1">_xll.DBRW($B$1,$B$2,$B$7,$B$3,$B$4,$B$5,$F133,$B$6,V$10,$A133,$B133)</f>
        <v>0</v>
      </c>
      <c r="W133" s="4">
        <f ca="1">_xll.DBRW($B$1,$B$2,$B$7,$B$3,$B$4,$B$5,$F133,$B$6,W$10,$A133,$B133)</f>
        <v>0</v>
      </c>
      <c r="X133" s="4">
        <f ca="1">_xll.DBRW($B$1,$B$2,$B$7,$B$3,$B$4,$B$5,$F133,$B$6,X$10,$A133,$B133)</f>
        <v>0</v>
      </c>
      <c r="Y133" s="4">
        <f ca="1">_xll.DBRW($B$1,$B$2,$B$7,$B$3,$B$4,$B$5,$F133,$B$6,Y$10,$A133,$B133)</f>
        <v>0</v>
      </c>
      <c r="Z133" s="4">
        <f ca="1">_xll.DBRW($B$1,$B$2,$B$7,$B$3,$B$4,$B$5,$F133,$B$6,Z$10,$A133,$B133)</f>
        <v>0</v>
      </c>
      <c r="AA133" s="4">
        <f ca="1">_xll.DBRW($B$1,$B$2,$B$7,$B$3,$B$4,$B$5,$F133,$B$6,AA$10,$A133,$B133)</f>
        <v>0</v>
      </c>
      <c r="AB133" s="4">
        <f ca="1">_xll.DBRW($B$1,$B$2,$B$7,$B$3,$B$4,$B$5,$F133,$B$6,AB$10,$A133,$B133)</f>
        <v>0</v>
      </c>
      <c r="AC133" s="4">
        <f ca="1">_xll.DBRW($B$1,$B$2,$B$7,$B$3,$B$4,$B$5,$F133,$B$6,AC$10,$A133,$B133)</f>
        <v>0</v>
      </c>
      <c r="AD133" s="4">
        <f ca="1">_xll.DBRW($B$1,$B$2,$B$7,$B$3,$B$4,$B$5,$F133,$B$6,AD$10,$A133,$B133)</f>
        <v>0</v>
      </c>
      <c r="AE133" s="4">
        <f ca="1">_xll.DBRW($B$1,$B$2,$B$7,$B$3,$B$4,$B$5,$F133,$B$6,AE$10,$A133,$B133)</f>
        <v>0</v>
      </c>
    </row>
    <row r="134" spans="1:31">
      <c r="A134" s="1" t="s">
        <v>150</v>
      </c>
      <c r="B134" s="5" t="s">
        <v>74</v>
      </c>
      <c r="C134" s="5" t="s">
        <v>75</v>
      </c>
      <c r="D134" s="5" t="s">
        <v>76</v>
      </c>
      <c r="E134" s="5" t="s">
        <v>21</v>
      </c>
      <c r="F134" s="5" t="s">
        <v>313</v>
      </c>
      <c r="G134" s="6"/>
      <c r="H134" s="6"/>
      <c r="I134" s="6"/>
      <c r="J134" s="6"/>
      <c r="K134" s="6"/>
      <c r="L134" s="4">
        <f ca="1">_xll.DBRW($B$1,$B$2,$B$7,$B$3,$B$4,$B$5,$F134,$B$6,L$10,$A134,$B134)</f>
        <v>0</v>
      </c>
      <c r="M134" s="4">
        <f ca="1">_xll.DBRW($B$1,$B$2,$B$7,$B$3,$B$4,$B$5,$F134,$B$6,M$10,$A134,$B134)</f>
        <v>0</v>
      </c>
      <c r="N134" s="4">
        <f ca="1">_xll.DBRW($B$1,$B$2,$B$7,$B$3,$B$4,$B$5,$F134,$B$6,N$10,$A134,$B134)</f>
        <v>0</v>
      </c>
      <c r="O134" s="4">
        <f ca="1">_xll.DBRW($B$1,$B$2,$B$7,$B$3,$B$4,$B$5,$F134,$B$6,O$10,$A134,$B134)</f>
        <v>0</v>
      </c>
      <c r="P134" s="4">
        <f ca="1">_xll.DBRW($B$1,$B$2,$B$7,$B$3,$B$4,$B$5,$F134,$B$6,P$10,$A134,$B134)</f>
        <v>0</v>
      </c>
      <c r="Q134" s="4">
        <f ca="1">_xll.DBRW($B$1,$B$2,$B$7,$B$3,$B$4,$B$5,$F134,$B$6,Q$10,$A134,$B134)</f>
        <v>0</v>
      </c>
      <c r="R134" s="4">
        <f ca="1">_xll.DBRW($B$1,$B$2,$B$7,$B$3,$B$4,$B$5,$F134,$B$6,R$10,$A134,$B134)</f>
        <v>0</v>
      </c>
      <c r="S134" s="4">
        <f ca="1">_xll.DBRW($B$1,$B$2,$B$7,$B$3,$B$4,$B$5,$F134,$B$6,S$10,$A134,$B134)</f>
        <v>0</v>
      </c>
      <c r="T134" s="4">
        <f ca="1">_xll.DBRW($B$1,$B$2,$B$7,$B$3,$B$4,$B$5,$F134,$B$6,T$10,$A134,$B134)</f>
        <v>0</v>
      </c>
      <c r="U134" s="4">
        <f ca="1">_xll.DBRW($B$1,$B$2,$B$7,$B$3,$B$4,$B$5,$F134,$B$6,U$10,$A134,$B134)</f>
        <v>0</v>
      </c>
      <c r="V134" s="4">
        <f ca="1">_xll.DBRW($B$1,$B$2,$B$7,$B$3,$B$4,$B$5,$F134,$B$6,V$10,$A134,$B134)</f>
        <v>0</v>
      </c>
      <c r="W134" s="4">
        <f ca="1">_xll.DBRW($B$1,$B$2,$B$7,$B$3,$B$4,$B$5,$F134,$B$6,W$10,$A134,$B134)</f>
        <v>0</v>
      </c>
      <c r="X134" s="4">
        <f ca="1">_xll.DBRW($B$1,$B$2,$B$7,$B$3,$B$4,$B$5,$F134,$B$6,X$10,$A134,$B134)</f>
        <v>0</v>
      </c>
      <c r="Y134" s="4">
        <f ca="1">_xll.DBRW($B$1,$B$2,$B$7,$B$3,$B$4,$B$5,$F134,$B$6,Y$10,$A134,$B134)</f>
        <v>0</v>
      </c>
      <c r="Z134" s="4">
        <f ca="1">_xll.DBRW($B$1,$B$2,$B$7,$B$3,$B$4,$B$5,$F134,$B$6,Z$10,$A134,$B134)</f>
        <v>0</v>
      </c>
      <c r="AA134" s="4">
        <f ca="1">_xll.DBRW($B$1,$B$2,$B$7,$B$3,$B$4,$B$5,$F134,$B$6,AA$10,$A134,$B134)</f>
        <v>0</v>
      </c>
      <c r="AB134" s="4">
        <f ca="1">_xll.DBRW($B$1,$B$2,$B$7,$B$3,$B$4,$B$5,$F134,$B$6,AB$10,$A134,$B134)</f>
        <v>0</v>
      </c>
      <c r="AC134" s="4">
        <f ca="1">_xll.DBRW($B$1,$B$2,$B$7,$B$3,$B$4,$B$5,$F134,$B$6,AC$10,$A134,$B134)</f>
        <v>0</v>
      </c>
      <c r="AD134" s="4">
        <f ca="1">_xll.DBRW($B$1,$B$2,$B$7,$B$3,$B$4,$B$5,$F134,$B$6,AD$10,$A134,$B134)</f>
        <v>0</v>
      </c>
      <c r="AE134" s="4">
        <f ca="1">_xll.DBRW($B$1,$B$2,$B$7,$B$3,$B$4,$B$5,$F134,$B$6,AE$10,$A134,$B134)</f>
        <v>0</v>
      </c>
    </row>
    <row r="135" spans="1:31">
      <c r="A135" s="1" t="s">
        <v>150</v>
      </c>
      <c r="B135" s="5" t="s">
        <v>169</v>
      </c>
      <c r="C135" s="5" t="s">
        <v>170</v>
      </c>
      <c r="D135" s="5" t="s">
        <v>21</v>
      </c>
      <c r="E135" s="5" t="s">
        <v>35</v>
      </c>
      <c r="F135" s="5" t="s">
        <v>313</v>
      </c>
      <c r="G135" s="6"/>
      <c r="H135" s="6"/>
      <c r="I135" s="6"/>
      <c r="J135" s="6"/>
      <c r="K135" s="6"/>
      <c r="L135" s="4">
        <f ca="1">_xll.DBRW($B$1,$B$2,$B$7,$B$3,$B$4,$B$5,$F135,$B$6,L$10,$A135,$B135)</f>
        <v>0</v>
      </c>
      <c r="M135" s="4">
        <f ca="1">_xll.DBRW($B$1,$B$2,$B$7,$B$3,$B$4,$B$5,$F135,$B$6,M$10,$A135,$B135)</f>
        <v>0</v>
      </c>
      <c r="N135" s="4">
        <f ca="1">_xll.DBRW($B$1,$B$2,$B$7,$B$3,$B$4,$B$5,$F135,$B$6,N$10,$A135,$B135)</f>
        <v>0</v>
      </c>
      <c r="O135" s="4">
        <f ca="1">_xll.DBRW($B$1,$B$2,$B$7,$B$3,$B$4,$B$5,$F135,$B$6,O$10,$A135,$B135)</f>
        <v>0</v>
      </c>
      <c r="P135" s="4">
        <f ca="1">_xll.DBRW($B$1,$B$2,$B$7,$B$3,$B$4,$B$5,$F135,$B$6,P$10,$A135,$B135)</f>
        <v>0</v>
      </c>
      <c r="Q135" s="4">
        <f ca="1">_xll.DBRW($B$1,$B$2,$B$7,$B$3,$B$4,$B$5,$F135,$B$6,Q$10,$A135,$B135)</f>
        <v>0</v>
      </c>
      <c r="R135" s="4">
        <f ca="1">_xll.DBRW($B$1,$B$2,$B$7,$B$3,$B$4,$B$5,$F135,$B$6,R$10,$A135,$B135)</f>
        <v>0</v>
      </c>
      <c r="S135" s="4">
        <f ca="1">_xll.DBRW($B$1,$B$2,$B$7,$B$3,$B$4,$B$5,$F135,$B$6,S$10,$A135,$B135)</f>
        <v>0</v>
      </c>
      <c r="T135" s="4">
        <f ca="1">_xll.DBRW($B$1,$B$2,$B$7,$B$3,$B$4,$B$5,$F135,$B$6,T$10,$A135,$B135)</f>
        <v>0</v>
      </c>
      <c r="U135" s="4">
        <f ca="1">_xll.DBRW($B$1,$B$2,$B$7,$B$3,$B$4,$B$5,$F135,$B$6,U$10,$A135,$B135)</f>
        <v>0</v>
      </c>
      <c r="V135" s="4">
        <f ca="1">_xll.DBRW($B$1,$B$2,$B$7,$B$3,$B$4,$B$5,$F135,$B$6,V$10,$A135,$B135)</f>
        <v>0</v>
      </c>
      <c r="W135" s="4">
        <f ca="1">_xll.DBRW($B$1,$B$2,$B$7,$B$3,$B$4,$B$5,$F135,$B$6,W$10,$A135,$B135)</f>
        <v>0</v>
      </c>
      <c r="X135" s="4">
        <f ca="1">_xll.DBRW($B$1,$B$2,$B$7,$B$3,$B$4,$B$5,$F135,$B$6,X$10,$A135,$B135)</f>
        <v>0</v>
      </c>
      <c r="Y135" s="4">
        <f ca="1">_xll.DBRW($B$1,$B$2,$B$7,$B$3,$B$4,$B$5,$F135,$B$6,Y$10,$A135,$B135)</f>
        <v>0</v>
      </c>
      <c r="Z135" s="4">
        <f ca="1">_xll.DBRW($B$1,$B$2,$B$7,$B$3,$B$4,$B$5,$F135,$B$6,Z$10,$A135,$B135)</f>
        <v>0</v>
      </c>
      <c r="AA135" s="4">
        <f ca="1">_xll.DBRW($B$1,$B$2,$B$7,$B$3,$B$4,$B$5,$F135,$B$6,AA$10,$A135,$B135)</f>
        <v>0</v>
      </c>
      <c r="AB135" s="4">
        <f ca="1">_xll.DBRW($B$1,$B$2,$B$7,$B$3,$B$4,$B$5,$F135,$B$6,AB$10,$A135,$B135)</f>
        <v>0</v>
      </c>
      <c r="AC135" s="4">
        <f ca="1">_xll.DBRW($B$1,$B$2,$B$7,$B$3,$B$4,$B$5,$F135,$B$6,AC$10,$A135,$B135)</f>
        <v>0</v>
      </c>
      <c r="AD135" s="4">
        <f ca="1">_xll.DBRW($B$1,$B$2,$B$7,$B$3,$B$4,$B$5,$F135,$B$6,AD$10,$A135,$B135)</f>
        <v>0</v>
      </c>
      <c r="AE135" s="4">
        <f ca="1">_xll.DBRW($B$1,$B$2,$B$7,$B$3,$B$4,$B$5,$F135,$B$6,AE$10,$A135,$B135)</f>
        <v>0</v>
      </c>
    </row>
    <row r="136" spans="1:31">
      <c r="A136" s="1" t="s">
        <v>150</v>
      </c>
      <c r="B136" s="5" t="s">
        <v>33</v>
      </c>
      <c r="C136" s="5" t="s">
        <v>34</v>
      </c>
      <c r="D136" s="5" t="s">
        <v>35</v>
      </c>
      <c r="E136" s="5" t="s">
        <v>21</v>
      </c>
      <c r="F136" s="5" t="s">
        <v>313</v>
      </c>
      <c r="G136" s="6"/>
      <c r="H136" s="6"/>
      <c r="I136" s="6"/>
      <c r="J136" s="6"/>
      <c r="K136" s="6"/>
      <c r="L136" s="4">
        <f ca="1">_xll.DBRW($B$1,$B$2,$B$7,$B$3,$B$4,$B$5,$F136,$B$6,L$10,$A136,$B136)</f>
        <v>0</v>
      </c>
      <c r="M136" s="4">
        <f ca="1">_xll.DBRW($B$1,$B$2,$B$7,$B$3,$B$4,$B$5,$F136,$B$6,M$10,$A136,$B136)</f>
        <v>0</v>
      </c>
      <c r="N136" s="4">
        <f ca="1">_xll.DBRW($B$1,$B$2,$B$7,$B$3,$B$4,$B$5,$F136,$B$6,N$10,$A136,$B136)</f>
        <v>0</v>
      </c>
      <c r="O136" s="4">
        <f ca="1">_xll.DBRW($B$1,$B$2,$B$7,$B$3,$B$4,$B$5,$F136,$B$6,O$10,$A136,$B136)</f>
        <v>0</v>
      </c>
      <c r="P136" s="4">
        <f ca="1">_xll.DBRW($B$1,$B$2,$B$7,$B$3,$B$4,$B$5,$F136,$B$6,P$10,$A136,$B136)</f>
        <v>0</v>
      </c>
      <c r="Q136" s="4">
        <f ca="1">_xll.DBRW($B$1,$B$2,$B$7,$B$3,$B$4,$B$5,$F136,$B$6,Q$10,$A136,$B136)</f>
        <v>0</v>
      </c>
      <c r="R136" s="4">
        <f ca="1">_xll.DBRW($B$1,$B$2,$B$7,$B$3,$B$4,$B$5,$F136,$B$6,R$10,$A136,$B136)</f>
        <v>0</v>
      </c>
      <c r="S136" s="4">
        <f ca="1">_xll.DBRW($B$1,$B$2,$B$7,$B$3,$B$4,$B$5,$F136,$B$6,S$10,$A136,$B136)</f>
        <v>0</v>
      </c>
      <c r="T136" s="4">
        <f ca="1">_xll.DBRW($B$1,$B$2,$B$7,$B$3,$B$4,$B$5,$F136,$B$6,T$10,$A136,$B136)</f>
        <v>0</v>
      </c>
      <c r="U136" s="4">
        <f ca="1">_xll.DBRW($B$1,$B$2,$B$7,$B$3,$B$4,$B$5,$F136,$B$6,U$10,$A136,$B136)</f>
        <v>0</v>
      </c>
      <c r="V136" s="4">
        <f ca="1">_xll.DBRW($B$1,$B$2,$B$7,$B$3,$B$4,$B$5,$F136,$B$6,V$10,$A136,$B136)</f>
        <v>0</v>
      </c>
      <c r="W136" s="4">
        <f ca="1">_xll.DBRW($B$1,$B$2,$B$7,$B$3,$B$4,$B$5,$F136,$B$6,W$10,$A136,$B136)</f>
        <v>0</v>
      </c>
      <c r="X136" s="4">
        <f ca="1">_xll.DBRW($B$1,$B$2,$B$7,$B$3,$B$4,$B$5,$F136,$B$6,X$10,$A136,$B136)</f>
        <v>0</v>
      </c>
      <c r="Y136" s="4">
        <f ca="1">_xll.DBRW($B$1,$B$2,$B$7,$B$3,$B$4,$B$5,$F136,$B$6,Y$10,$A136,$B136)</f>
        <v>0</v>
      </c>
      <c r="Z136" s="4">
        <f ca="1">_xll.DBRW($B$1,$B$2,$B$7,$B$3,$B$4,$B$5,$F136,$B$6,Z$10,$A136,$B136)</f>
        <v>0</v>
      </c>
      <c r="AA136" s="4">
        <f ca="1">_xll.DBRW($B$1,$B$2,$B$7,$B$3,$B$4,$B$5,$F136,$B$6,AA$10,$A136,$B136)</f>
        <v>0</v>
      </c>
      <c r="AB136" s="4">
        <f ca="1">_xll.DBRW($B$1,$B$2,$B$7,$B$3,$B$4,$B$5,$F136,$B$6,AB$10,$A136,$B136)</f>
        <v>0</v>
      </c>
      <c r="AC136" s="4">
        <f ca="1">_xll.DBRW($B$1,$B$2,$B$7,$B$3,$B$4,$B$5,$F136,$B$6,AC$10,$A136,$B136)</f>
        <v>0</v>
      </c>
      <c r="AD136" s="4">
        <f ca="1">_xll.DBRW($B$1,$B$2,$B$7,$B$3,$B$4,$B$5,$F136,$B$6,AD$10,$A136,$B136)</f>
        <v>0</v>
      </c>
      <c r="AE136" s="4">
        <f ca="1">_xll.DBRW($B$1,$B$2,$B$7,$B$3,$B$4,$B$5,$F136,$B$6,AE$10,$A136,$B136)</f>
        <v>0</v>
      </c>
    </row>
    <row r="137" spans="1:31">
      <c r="A137" s="1" t="s">
        <v>150</v>
      </c>
      <c r="B137" s="5" t="s">
        <v>171</v>
      </c>
      <c r="C137" s="5" t="s">
        <v>163</v>
      </c>
      <c r="D137" s="5" t="s">
        <v>21</v>
      </c>
      <c r="E137" s="5" t="s">
        <v>54</v>
      </c>
      <c r="F137" s="5" t="s">
        <v>313</v>
      </c>
      <c r="G137" s="6"/>
      <c r="H137" s="6"/>
      <c r="I137" s="6"/>
      <c r="J137" s="6"/>
      <c r="K137" s="6"/>
      <c r="L137" s="4">
        <f ca="1">_xll.DBRW($B$1,$B$2,$B$7,$B$3,$B$4,$B$5,$F137,$B$6,L$10,$A137,$B137)</f>
        <v>0</v>
      </c>
      <c r="M137" s="4">
        <f ca="1">_xll.DBRW($B$1,$B$2,$B$7,$B$3,$B$4,$B$5,$F137,$B$6,M$10,$A137,$B137)</f>
        <v>0</v>
      </c>
      <c r="N137" s="4">
        <f ca="1">_xll.DBRW($B$1,$B$2,$B$7,$B$3,$B$4,$B$5,$F137,$B$6,N$10,$A137,$B137)</f>
        <v>0</v>
      </c>
      <c r="O137" s="4">
        <f ca="1">_xll.DBRW($B$1,$B$2,$B$7,$B$3,$B$4,$B$5,$F137,$B$6,O$10,$A137,$B137)</f>
        <v>0</v>
      </c>
      <c r="P137" s="4">
        <f ca="1">_xll.DBRW($B$1,$B$2,$B$7,$B$3,$B$4,$B$5,$F137,$B$6,P$10,$A137,$B137)</f>
        <v>0</v>
      </c>
      <c r="Q137" s="4">
        <f ca="1">_xll.DBRW($B$1,$B$2,$B$7,$B$3,$B$4,$B$5,$F137,$B$6,Q$10,$A137,$B137)</f>
        <v>0</v>
      </c>
      <c r="R137" s="4">
        <f ca="1">_xll.DBRW($B$1,$B$2,$B$7,$B$3,$B$4,$B$5,$F137,$B$6,R$10,$A137,$B137)</f>
        <v>0</v>
      </c>
      <c r="S137" s="4">
        <f ca="1">_xll.DBRW($B$1,$B$2,$B$7,$B$3,$B$4,$B$5,$F137,$B$6,S$10,$A137,$B137)</f>
        <v>0</v>
      </c>
      <c r="T137" s="4">
        <f ca="1">_xll.DBRW($B$1,$B$2,$B$7,$B$3,$B$4,$B$5,$F137,$B$6,T$10,$A137,$B137)</f>
        <v>0</v>
      </c>
      <c r="U137" s="4">
        <f ca="1">_xll.DBRW($B$1,$B$2,$B$7,$B$3,$B$4,$B$5,$F137,$B$6,U$10,$A137,$B137)</f>
        <v>0</v>
      </c>
      <c r="V137" s="4">
        <f ca="1">_xll.DBRW($B$1,$B$2,$B$7,$B$3,$B$4,$B$5,$F137,$B$6,V$10,$A137,$B137)</f>
        <v>0</v>
      </c>
      <c r="W137" s="4">
        <f ca="1">_xll.DBRW($B$1,$B$2,$B$7,$B$3,$B$4,$B$5,$F137,$B$6,W$10,$A137,$B137)</f>
        <v>0</v>
      </c>
      <c r="X137" s="4">
        <f ca="1">_xll.DBRW($B$1,$B$2,$B$7,$B$3,$B$4,$B$5,$F137,$B$6,X$10,$A137,$B137)</f>
        <v>0</v>
      </c>
      <c r="Y137" s="4">
        <f ca="1">_xll.DBRW($B$1,$B$2,$B$7,$B$3,$B$4,$B$5,$F137,$B$6,Y$10,$A137,$B137)</f>
        <v>0</v>
      </c>
      <c r="Z137" s="4">
        <f ca="1">_xll.DBRW($B$1,$B$2,$B$7,$B$3,$B$4,$B$5,$F137,$B$6,Z$10,$A137,$B137)</f>
        <v>0</v>
      </c>
      <c r="AA137" s="4">
        <f ca="1">_xll.DBRW($B$1,$B$2,$B$7,$B$3,$B$4,$B$5,$F137,$B$6,AA$10,$A137,$B137)</f>
        <v>0</v>
      </c>
      <c r="AB137" s="4">
        <f ca="1">_xll.DBRW($B$1,$B$2,$B$7,$B$3,$B$4,$B$5,$F137,$B$6,AB$10,$A137,$B137)</f>
        <v>0</v>
      </c>
      <c r="AC137" s="4">
        <f ca="1">_xll.DBRW($B$1,$B$2,$B$7,$B$3,$B$4,$B$5,$F137,$B$6,AC$10,$A137,$B137)</f>
        <v>0</v>
      </c>
      <c r="AD137" s="4">
        <f ca="1">_xll.DBRW($B$1,$B$2,$B$7,$B$3,$B$4,$B$5,$F137,$B$6,AD$10,$A137,$B137)</f>
        <v>0</v>
      </c>
      <c r="AE137" s="4">
        <f ca="1">_xll.DBRW($B$1,$B$2,$B$7,$B$3,$B$4,$B$5,$F137,$B$6,AE$10,$A137,$B137)</f>
        <v>0</v>
      </c>
    </row>
    <row r="138" spans="1:31">
      <c r="A138" s="1" t="s">
        <v>150</v>
      </c>
      <c r="B138" s="5" t="s">
        <v>55</v>
      </c>
      <c r="C138" s="5" t="s">
        <v>53</v>
      </c>
      <c r="D138" s="5" t="s">
        <v>54</v>
      </c>
      <c r="E138" s="5" t="s">
        <v>21</v>
      </c>
      <c r="F138" s="5" t="s">
        <v>313</v>
      </c>
      <c r="G138" s="6"/>
      <c r="H138" s="6"/>
      <c r="I138" s="6"/>
      <c r="J138" s="6"/>
      <c r="K138" s="6"/>
      <c r="L138" s="4">
        <f ca="1">_xll.DBRW($B$1,$B$2,$B$7,$B$3,$B$4,$B$5,$F138,$B$6,L$10,$A138,$B138)</f>
        <v>0</v>
      </c>
      <c r="M138" s="4">
        <f ca="1">_xll.DBRW($B$1,$B$2,$B$7,$B$3,$B$4,$B$5,$F138,$B$6,M$10,$A138,$B138)</f>
        <v>0</v>
      </c>
      <c r="N138" s="4">
        <f ca="1">_xll.DBRW($B$1,$B$2,$B$7,$B$3,$B$4,$B$5,$F138,$B$6,N$10,$A138,$B138)</f>
        <v>0</v>
      </c>
      <c r="O138" s="4">
        <f ca="1">_xll.DBRW($B$1,$B$2,$B$7,$B$3,$B$4,$B$5,$F138,$B$6,O$10,$A138,$B138)</f>
        <v>0</v>
      </c>
      <c r="P138" s="4">
        <f ca="1">_xll.DBRW($B$1,$B$2,$B$7,$B$3,$B$4,$B$5,$F138,$B$6,P$10,$A138,$B138)</f>
        <v>0</v>
      </c>
      <c r="Q138" s="4">
        <f ca="1">_xll.DBRW($B$1,$B$2,$B$7,$B$3,$B$4,$B$5,$F138,$B$6,Q$10,$A138,$B138)</f>
        <v>0</v>
      </c>
      <c r="R138" s="4">
        <f ca="1">_xll.DBRW($B$1,$B$2,$B$7,$B$3,$B$4,$B$5,$F138,$B$6,R$10,$A138,$B138)</f>
        <v>0</v>
      </c>
      <c r="S138" s="4">
        <f ca="1">_xll.DBRW($B$1,$B$2,$B$7,$B$3,$B$4,$B$5,$F138,$B$6,S$10,$A138,$B138)</f>
        <v>0</v>
      </c>
      <c r="T138" s="4">
        <f ca="1">_xll.DBRW($B$1,$B$2,$B$7,$B$3,$B$4,$B$5,$F138,$B$6,T$10,$A138,$B138)</f>
        <v>0</v>
      </c>
      <c r="U138" s="4">
        <f ca="1">_xll.DBRW($B$1,$B$2,$B$7,$B$3,$B$4,$B$5,$F138,$B$6,U$10,$A138,$B138)</f>
        <v>0</v>
      </c>
      <c r="V138" s="4">
        <f ca="1">_xll.DBRW($B$1,$B$2,$B$7,$B$3,$B$4,$B$5,$F138,$B$6,V$10,$A138,$B138)</f>
        <v>0</v>
      </c>
      <c r="W138" s="4">
        <f ca="1">_xll.DBRW($B$1,$B$2,$B$7,$B$3,$B$4,$B$5,$F138,$B$6,W$10,$A138,$B138)</f>
        <v>0</v>
      </c>
      <c r="X138" s="4">
        <f ca="1">_xll.DBRW($B$1,$B$2,$B$7,$B$3,$B$4,$B$5,$F138,$B$6,X$10,$A138,$B138)</f>
        <v>0</v>
      </c>
      <c r="Y138" s="4">
        <f ca="1">_xll.DBRW($B$1,$B$2,$B$7,$B$3,$B$4,$B$5,$F138,$B$6,Y$10,$A138,$B138)</f>
        <v>0</v>
      </c>
      <c r="Z138" s="4">
        <f ca="1">_xll.DBRW($B$1,$B$2,$B$7,$B$3,$B$4,$B$5,$F138,$B$6,Z$10,$A138,$B138)</f>
        <v>0</v>
      </c>
      <c r="AA138" s="4">
        <f ca="1">_xll.DBRW($B$1,$B$2,$B$7,$B$3,$B$4,$B$5,$F138,$B$6,AA$10,$A138,$B138)</f>
        <v>0</v>
      </c>
      <c r="AB138" s="4">
        <f ca="1">_xll.DBRW($B$1,$B$2,$B$7,$B$3,$B$4,$B$5,$F138,$B$6,AB$10,$A138,$B138)</f>
        <v>0</v>
      </c>
      <c r="AC138" s="4">
        <f ca="1">_xll.DBRW($B$1,$B$2,$B$7,$B$3,$B$4,$B$5,$F138,$B$6,AC$10,$A138,$B138)</f>
        <v>0</v>
      </c>
      <c r="AD138" s="4">
        <f ca="1">_xll.DBRW($B$1,$B$2,$B$7,$B$3,$B$4,$B$5,$F138,$B$6,AD$10,$A138,$B138)</f>
        <v>0</v>
      </c>
      <c r="AE138" s="4">
        <f ca="1">_xll.DBRW($B$1,$B$2,$B$7,$B$3,$B$4,$B$5,$F138,$B$6,AE$10,$A138,$B138)</f>
        <v>0</v>
      </c>
    </row>
    <row r="139" spans="1:31">
      <c r="A139" s="1" t="s">
        <v>150</v>
      </c>
      <c r="B139" s="5" t="s">
        <v>172</v>
      </c>
      <c r="C139" s="5" t="s">
        <v>159</v>
      </c>
      <c r="D139" s="5" t="s">
        <v>21</v>
      </c>
      <c r="E139" s="5" t="s">
        <v>38</v>
      </c>
      <c r="F139" s="5" t="s">
        <v>313</v>
      </c>
      <c r="G139" s="6"/>
      <c r="H139" s="6"/>
      <c r="I139" s="6"/>
      <c r="J139" s="6"/>
      <c r="K139" s="6"/>
      <c r="L139" s="4">
        <f ca="1">_xll.DBRW($B$1,$B$2,$B$7,$B$3,$B$4,$B$5,$F139,$B$6,L$10,$A139,$B139)</f>
        <v>0</v>
      </c>
      <c r="M139" s="4">
        <f ca="1">_xll.DBRW($B$1,$B$2,$B$7,$B$3,$B$4,$B$5,$F139,$B$6,M$10,$A139,$B139)</f>
        <v>0</v>
      </c>
      <c r="N139" s="4">
        <f ca="1">_xll.DBRW($B$1,$B$2,$B$7,$B$3,$B$4,$B$5,$F139,$B$6,N$10,$A139,$B139)</f>
        <v>0</v>
      </c>
      <c r="O139" s="4">
        <f ca="1">_xll.DBRW($B$1,$B$2,$B$7,$B$3,$B$4,$B$5,$F139,$B$6,O$10,$A139,$B139)</f>
        <v>0</v>
      </c>
      <c r="P139" s="4">
        <f ca="1">_xll.DBRW($B$1,$B$2,$B$7,$B$3,$B$4,$B$5,$F139,$B$6,P$10,$A139,$B139)</f>
        <v>0</v>
      </c>
      <c r="Q139" s="4">
        <f ca="1">_xll.DBRW($B$1,$B$2,$B$7,$B$3,$B$4,$B$5,$F139,$B$6,Q$10,$A139,$B139)</f>
        <v>0</v>
      </c>
      <c r="R139" s="4">
        <f ca="1">_xll.DBRW($B$1,$B$2,$B$7,$B$3,$B$4,$B$5,$F139,$B$6,R$10,$A139,$B139)</f>
        <v>0</v>
      </c>
      <c r="S139" s="4">
        <f ca="1">_xll.DBRW($B$1,$B$2,$B$7,$B$3,$B$4,$B$5,$F139,$B$6,S$10,$A139,$B139)</f>
        <v>0</v>
      </c>
      <c r="T139" s="4">
        <f ca="1">_xll.DBRW($B$1,$B$2,$B$7,$B$3,$B$4,$B$5,$F139,$B$6,T$10,$A139,$B139)</f>
        <v>0</v>
      </c>
      <c r="U139" s="4">
        <f ca="1">_xll.DBRW($B$1,$B$2,$B$7,$B$3,$B$4,$B$5,$F139,$B$6,U$10,$A139,$B139)</f>
        <v>0</v>
      </c>
      <c r="V139" s="4">
        <f ca="1">_xll.DBRW($B$1,$B$2,$B$7,$B$3,$B$4,$B$5,$F139,$B$6,V$10,$A139,$B139)</f>
        <v>0</v>
      </c>
      <c r="W139" s="4">
        <f ca="1">_xll.DBRW($B$1,$B$2,$B$7,$B$3,$B$4,$B$5,$F139,$B$6,W$10,$A139,$B139)</f>
        <v>0</v>
      </c>
      <c r="X139" s="4">
        <f ca="1">_xll.DBRW($B$1,$B$2,$B$7,$B$3,$B$4,$B$5,$F139,$B$6,X$10,$A139,$B139)</f>
        <v>0</v>
      </c>
      <c r="Y139" s="4">
        <f ca="1">_xll.DBRW($B$1,$B$2,$B$7,$B$3,$B$4,$B$5,$F139,$B$6,Y$10,$A139,$B139)</f>
        <v>0</v>
      </c>
      <c r="Z139" s="4">
        <f ca="1">_xll.DBRW($B$1,$B$2,$B$7,$B$3,$B$4,$B$5,$F139,$B$6,Z$10,$A139,$B139)</f>
        <v>0</v>
      </c>
      <c r="AA139" s="4">
        <f ca="1">_xll.DBRW($B$1,$B$2,$B$7,$B$3,$B$4,$B$5,$F139,$B$6,AA$10,$A139,$B139)</f>
        <v>0</v>
      </c>
      <c r="AB139" s="4">
        <f ca="1">_xll.DBRW($B$1,$B$2,$B$7,$B$3,$B$4,$B$5,$F139,$B$6,AB$10,$A139,$B139)</f>
        <v>0</v>
      </c>
      <c r="AC139" s="4">
        <f ca="1">_xll.DBRW($B$1,$B$2,$B$7,$B$3,$B$4,$B$5,$F139,$B$6,AC$10,$A139,$B139)</f>
        <v>0</v>
      </c>
      <c r="AD139" s="4">
        <f ca="1">_xll.DBRW($B$1,$B$2,$B$7,$B$3,$B$4,$B$5,$F139,$B$6,AD$10,$A139,$B139)</f>
        <v>0</v>
      </c>
      <c r="AE139" s="4">
        <f ca="1">_xll.DBRW($B$1,$B$2,$B$7,$B$3,$B$4,$B$5,$F139,$B$6,AE$10,$A139,$B139)</f>
        <v>0</v>
      </c>
    </row>
    <row r="140" spans="1:31">
      <c r="A140" s="1" t="s">
        <v>150</v>
      </c>
      <c r="B140" s="5" t="s">
        <v>40</v>
      </c>
      <c r="C140" s="5" t="s">
        <v>37</v>
      </c>
      <c r="D140" s="5" t="s">
        <v>38</v>
      </c>
      <c r="E140" s="5" t="s">
        <v>21</v>
      </c>
      <c r="F140" s="5" t="s">
        <v>313</v>
      </c>
      <c r="G140" s="6"/>
      <c r="H140" s="6"/>
      <c r="I140" s="6"/>
      <c r="J140" s="6"/>
      <c r="K140" s="6"/>
      <c r="L140" s="4">
        <f ca="1">_xll.DBRW($B$1,$B$2,$B$7,$B$3,$B$4,$B$5,$F140,$B$6,L$10,$A140,$B140)</f>
        <v>0</v>
      </c>
      <c r="M140" s="4">
        <f ca="1">_xll.DBRW($B$1,$B$2,$B$7,$B$3,$B$4,$B$5,$F140,$B$6,M$10,$A140,$B140)</f>
        <v>0</v>
      </c>
      <c r="N140" s="4">
        <f ca="1">_xll.DBRW($B$1,$B$2,$B$7,$B$3,$B$4,$B$5,$F140,$B$6,N$10,$A140,$B140)</f>
        <v>0</v>
      </c>
      <c r="O140" s="4">
        <f ca="1">_xll.DBRW($B$1,$B$2,$B$7,$B$3,$B$4,$B$5,$F140,$B$6,O$10,$A140,$B140)</f>
        <v>0</v>
      </c>
      <c r="P140" s="4">
        <f ca="1">_xll.DBRW($B$1,$B$2,$B$7,$B$3,$B$4,$B$5,$F140,$B$6,P$10,$A140,$B140)</f>
        <v>0</v>
      </c>
      <c r="Q140" s="4">
        <f ca="1">_xll.DBRW($B$1,$B$2,$B$7,$B$3,$B$4,$B$5,$F140,$B$6,Q$10,$A140,$B140)</f>
        <v>0</v>
      </c>
      <c r="R140" s="4">
        <f ca="1">_xll.DBRW($B$1,$B$2,$B$7,$B$3,$B$4,$B$5,$F140,$B$6,R$10,$A140,$B140)</f>
        <v>0</v>
      </c>
      <c r="S140" s="4">
        <f ca="1">_xll.DBRW($B$1,$B$2,$B$7,$B$3,$B$4,$B$5,$F140,$B$6,S$10,$A140,$B140)</f>
        <v>0</v>
      </c>
      <c r="T140" s="4">
        <f ca="1">_xll.DBRW($B$1,$B$2,$B$7,$B$3,$B$4,$B$5,$F140,$B$6,T$10,$A140,$B140)</f>
        <v>0</v>
      </c>
      <c r="U140" s="4">
        <f ca="1">_xll.DBRW($B$1,$B$2,$B$7,$B$3,$B$4,$B$5,$F140,$B$6,U$10,$A140,$B140)</f>
        <v>0</v>
      </c>
      <c r="V140" s="4">
        <f ca="1">_xll.DBRW($B$1,$B$2,$B$7,$B$3,$B$4,$B$5,$F140,$B$6,V$10,$A140,$B140)</f>
        <v>0</v>
      </c>
      <c r="W140" s="4">
        <f ca="1">_xll.DBRW($B$1,$B$2,$B$7,$B$3,$B$4,$B$5,$F140,$B$6,W$10,$A140,$B140)</f>
        <v>0</v>
      </c>
      <c r="X140" s="4">
        <f ca="1">_xll.DBRW($B$1,$B$2,$B$7,$B$3,$B$4,$B$5,$F140,$B$6,X$10,$A140,$B140)</f>
        <v>0</v>
      </c>
      <c r="Y140" s="4">
        <f ca="1">_xll.DBRW($B$1,$B$2,$B$7,$B$3,$B$4,$B$5,$F140,$B$6,Y$10,$A140,$B140)</f>
        <v>0</v>
      </c>
      <c r="Z140" s="4">
        <f ca="1">_xll.DBRW($B$1,$B$2,$B$7,$B$3,$B$4,$B$5,$F140,$B$6,Z$10,$A140,$B140)</f>
        <v>0</v>
      </c>
      <c r="AA140" s="4">
        <f ca="1">_xll.DBRW($B$1,$B$2,$B$7,$B$3,$B$4,$B$5,$F140,$B$6,AA$10,$A140,$B140)</f>
        <v>0</v>
      </c>
      <c r="AB140" s="4">
        <f ca="1">_xll.DBRW($B$1,$B$2,$B$7,$B$3,$B$4,$B$5,$F140,$B$6,AB$10,$A140,$B140)</f>
        <v>0</v>
      </c>
      <c r="AC140" s="4">
        <f ca="1">_xll.DBRW($B$1,$B$2,$B$7,$B$3,$B$4,$B$5,$F140,$B$6,AC$10,$A140,$B140)</f>
        <v>0</v>
      </c>
      <c r="AD140" s="4">
        <f ca="1">_xll.DBRW($B$1,$B$2,$B$7,$B$3,$B$4,$B$5,$F140,$B$6,AD$10,$A140,$B140)</f>
        <v>0</v>
      </c>
      <c r="AE140" s="4">
        <f ca="1">_xll.DBRW($B$1,$B$2,$B$7,$B$3,$B$4,$B$5,$F140,$B$6,AE$10,$A140,$B140)</f>
        <v>0</v>
      </c>
    </row>
    <row r="141" spans="1:31">
      <c r="A141" s="1" t="s">
        <v>150</v>
      </c>
      <c r="B141" s="5" t="s">
        <v>173</v>
      </c>
      <c r="C141" s="5" t="s">
        <v>168</v>
      </c>
      <c r="D141" s="5" t="s">
        <v>21</v>
      </c>
      <c r="E141" s="5" t="s">
        <v>76</v>
      </c>
      <c r="F141" s="5" t="s">
        <v>313</v>
      </c>
      <c r="G141" s="6"/>
      <c r="H141" s="6"/>
      <c r="I141" s="6"/>
      <c r="J141" s="6"/>
      <c r="K141" s="6"/>
      <c r="L141" s="4">
        <f ca="1">_xll.DBRW($B$1,$B$2,$B$7,$B$3,$B$4,$B$5,$F141,$B$6,L$10,$A141,$B141)</f>
        <v>0</v>
      </c>
      <c r="M141" s="4">
        <f ca="1">_xll.DBRW($B$1,$B$2,$B$7,$B$3,$B$4,$B$5,$F141,$B$6,M$10,$A141,$B141)</f>
        <v>0</v>
      </c>
      <c r="N141" s="4">
        <f ca="1">_xll.DBRW($B$1,$B$2,$B$7,$B$3,$B$4,$B$5,$F141,$B$6,N$10,$A141,$B141)</f>
        <v>0</v>
      </c>
      <c r="O141" s="4">
        <f ca="1">_xll.DBRW($B$1,$B$2,$B$7,$B$3,$B$4,$B$5,$F141,$B$6,O$10,$A141,$B141)</f>
        <v>0</v>
      </c>
      <c r="P141" s="4">
        <f ca="1">_xll.DBRW($B$1,$B$2,$B$7,$B$3,$B$4,$B$5,$F141,$B$6,P$10,$A141,$B141)</f>
        <v>0</v>
      </c>
      <c r="Q141" s="4">
        <f ca="1">_xll.DBRW($B$1,$B$2,$B$7,$B$3,$B$4,$B$5,$F141,$B$6,Q$10,$A141,$B141)</f>
        <v>0</v>
      </c>
      <c r="R141" s="4">
        <f ca="1">_xll.DBRW($B$1,$B$2,$B$7,$B$3,$B$4,$B$5,$F141,$B$6,R$10,$A141,$B141)</f>
        <v>0</v>
      </c>
      <c r="S141" s="4">
        <f ca="1">_xll.DBRW($B$1,$B$2,$B$7,$B$3,$B$4,$B$5,$F141,$B$6,S$10,$A141,$B141)</f>
        <v>0</v>
      </c>
      <c r="T141" s="4">
        <f ca="1">_xll.DBRW($B$1,$B$2,$B$7,$B$3,$B$4,$B$5,$F141,$B$6,T$10,$A141,$B141)</f>
        <v>0</v>
      </c>
      <c r="U141" s="4">
        <f ca="1">_xll.DBRW($B$1,$B$2,$B$7,$B$3,$B$4,$B$5,$F141,$B$6,U$10,$A141,$B141)</f>
        <v>0</v>
      </c>
      <c r="V141" s="4">
        <f ca="1">_xll.DBRW($B$1,$B$2,$B$7,$B$3,$B$4,$B$5,$F141,$B$6,V$10,$A141,$B141)</f>
        <v>0</v>
      </c>
      <c r="W141" s="4">
        <f ca="1">_xll.DBRW($B$1,$B$2,$B$7,$B$3,$B$4,$B$5,$F141,$B$6,W$10,$A141,$B141)</f>
        <v>0</v>
      </c>
      <c r="X141" s="4">
        <f ca="1">_xll.DBRW($B$1,$B$2,$B$7,$B$3,$B$4,$B$5,$F141,$B$6,X$10,$A141,$B141)</f>
        <v>0</v>
      </c>
      <c r="Y141" s="4">
        <f ca="1">_xll.DBRW($B$1,$B$2,$B$7,$B$3,$B$4,$B$5,$F141,$B$6,Y$10,$A141,$B141)</f>
        <v>0</v>
      </c>
      <c r="Z141" s="4">
        <f ca="1">_xll.DBRW($B$1,$B$2,$B$7,$B$3,$B$4,$B$5,$F141,$B$6,Z$10,$A141,$B141)</f>
        <v>0</v>
      </c>
      <c r="AA141" s="4">
        <f ca="1">_xll.DBRW($B$1,$B$2,$B$7,$B$3,$B$4,$B$5,$F141,$B$6,AA$10,$A141,$B141)</f>
        <v>0</v>
      </c>
      <c r="AB141" s="4">
        <f ca="1">_xll.DBRW($B$1,$B$2,$B$7,$B$3,$B$4,$B$5,$F141,$B$6,AB$10,$A141,$B141)</f>
        <v>0</v>
      </c>
      <c r="AC141" s="4">
        <f ca="1">_xll.DBRW($B$1,$B$2,$B$7,$B$3,$B$4,$B$5,$F141,$B$6,AC$10,$A141,$B141)</f>
        <v>0</v>
      </c>
      <c r="AD141" s="4">
        <f ca="1">_xll.DBRW($B$1,$B$2,$B$7,$B$3,$B$4,$B$5,$F141,$B$6,AD$10,$A141,$B141)</f>
        <v>0</v>
      </c>
      <c r="AE141" s="4">
        <f ca="1">_xll.DBRW($B$1,$B$2,$B$7,$B$3,$B$4,$B$5,$F141,$B$6,AE$10,$A141,$B141)</f>
        <v>0</v>
      </c>
    </row>
    <row r="142" spans="1:31">
      <c r="A142" s="1" t="s">
        <v>150</v>
      </c>
      <c r="B142" s="5" t="s">
        <v>77</v>
      </c>
      <c r="C142" s="5" t="s">
        <v>75</v>
      </c>
      <c r="D142" s="5" t="s">
        <v>76</v>
      </c>
      <c r="E142" s="5" t="s">
        <v>21</v>
      </c>
      <c r="F142" s="5" t="s">
        <v>313</v>
      </c>
      <c r="G142" s="6"/>
      <c r="H142" s="6"/>
      <c r="I142" s="6"/>
      <c r="J142" s="6"/>
      <c r="K142" s="6"/>
      <c r="L142" s="4">
        <f ca="1">_xll.DBRW($B$1,$B$2,$B$7,$B$3,$B$4,$B$5,$F142,$B$6,L$10,$A142,$B142)</f>
        <v>0</v>
      </c>
      <c r="M142" s="4">
        <f ca="1">_xll.DBRW($B$1,$B$2,$B$7,$B$3,$B$4,$B$5,$F142,$B$6,M$10,$A142,$B142)</f>
        <v>0</v>
      </c>
      <c r="N142" s="4">
        <f ca="1">_xll.DBRW($B$1,$B$2,$B$7,$B$3,$B$4,$B$5,$F142,$B$6,N$10,$A142,$B142)</f>
        <v>0</v>
      </c>
      <c r="O142" s="4">
        <f ca="1">_xll.DBRW($B$1,$B$2,$B$7,$B$3,$B$4,$B$5,$F142,$B$6,O$10,$A142,$B142)</f>
        <v>0</v>
      </c>
      <c r="P142" s="4">
        <f ca="1">_xll.DBRW($B$1,$B$2,$B$7,$B$3,$B$4,$B$5,$F142,$B$6,P$10,$A142,$B142)</f>
        <v>0</v>
      </c>
      <c r="Q142" s="4">
        <f ca="1">_xll.DBRW($B$1,$B$2,$B$7,$B$3,$B$4,$B$5,$F142,$B$6,Q$10,$A142,$B142)</f>
        <v>0</v>
      </c>
      <c r="R142" s="4">
        <f ca="1">_xll.DBRW($B$1,$B$2,$B$7,$B$3,$B$4,$B$5,$F142,$B$6,R$10,$A142,$B142)</f>
        <v>0</v>
      </c>
      <c r="S142" s="4">
        <f ca="1">_xll.DBRW($B$1,$B$2,$B$7,$B$3,$B$4,$B$5,$F142,$B$6,S$10,$A142,$B142)</f>
        <v>0</v>
      </c>
      <c r="T142" s="4">
        <f ca="1">_xll.DBRW($B$1,$B$2,$B$7,$B$3,$B$4,$B$5,$F142,$B$6,T$10,$A142,$B142)</f>
        <v>0</v>
      </c>
      <c r="U142" s="4">
        <f ca="1">_xll.DBRW($B$1,$B$2,$B$7,$B$3,$B$4,$B$5,$F142,$B$6,U$10,$A142,$B142)</f>
        <v>0</v>
      </c>
      <c r="V142" s="4">
        <f ca="1">_xll.DBRW($B$1,$B$2,$B$7,$B$3,$B$4,$B$5,$F142,$B$6,V$10,$A142,$B142)</f>
        <v>0</v>
      </c>
      <c r="W142" s="4">
        <f ca="1">_xll.DBRW($B$1,$B$2,$B$7,$B$3,$B$4,$B$5,$F142,$B$6,W$10,$A142,$B142)</f>
        <v>0</v>
      </c>
      <c r="X142" s="4">
        <f ca="1">_xll.DBRW($B$1,$B$2,$B$7,$B$3,$B$4,$B$5,$F142,$B$6,X$10,$A142,$B142)</f>
        <v>0</v>
      </c>
      <c r="Y142" s="4">
        <f ca="1">_xll.DBRW($B$1,$B$2,$B$7,$B$3,$B$4,$B$5,$F142,$B$6,Y$10,$A142,$B142)</f>
        <v>0</v>
      </c>
      <c r="Z142" s="4">
        <f ca="1">_xll.DBRW($B$1,$B$2,$B$7,$B$3,$B$4,$B$5,$F142,$B$6,Z$10,$A142,$B142)</f>
        <v>0</v>
      </c>
      <c r="AA142" s="4">
        <f ca="1">_xll.DBRW($B$1,$B$2,$B$7,$B$3,$B$4,$B$5,$F142,$B$6,AA$10,$A142,$B142)</f>
        <v>0</v>
      </c>
      <c r="AB142" s="4">
        <f ca="1">_xll.DBRW($B$1,$B$2,$B$7,$B$3,$B$4,$B$5,$F142,$B$6,AB$10,$A142,$B142)</f>
        <v>0</v>
      </c>
      <c r="AC142" s="4">
        <f ca="1">_xll.DBRW($B$1,$B$2,$B$7,$B$3,$B$4,$B$5,$F142,$B$6,AC$10,$A142,$B142)</f>
        <v>0</v>
      </c>
      <c r="AD142" s="4">
        <f ca="1">_xll.DBRW($B$1,$B$2,$B$7,$B$3,$B$4,$B$5,$F142,$B$6,AD$10,$A142,$B142)</f>
        <v>0</v>
      </c>
      <c r="AE142" s="4">
        <f ca="1">_xll.DBRW($B$1,$B$2,$B$7,$B$3,$B$4,$B$5,$F142,$B$6,AE$10,$A142,$B142)</f>
        <v>0</v>
      </c>
    </row>
    <row r="143" spans="1:31">
      <c r="A143" s="1" t="s">
        <v>150</v>
      </c>
      <c r="B143" s="5" t="s">
        <v>174</v>
      </c>
      <c r="C143" s="5" t="s">
        <v>159</v>
      </c>
      <c r="D143" s="5" t="s">
        <v>21</v>
      </c>
      <c r="E143" s="5" t="s">
        <v>38</v>
      </c>
      <c r="F143" s="5" t="s">
        <v>313</v>
      </c>
      <c r="G143" s="6"/>
      <c r="H143" s="6"/>
      <c r="I143" s="6"/>
      <c r="J143" s="6"/>
      <c r="K143" s="6"/>
      <c r="L143" s="4">
        <f ca="1">_xll.DBRW($B$1,$B$2,$B$7,$B$3,$B$4,$B$5,$F143,$B$6,L$10,$A143,$B143)</f>
        <v>0</v>
      </c>
      <c r="M143" s="4">
        <f ca="1">_xll.DBRW($B$1,$B$2,$B$7,$B$3,$B$4,$B$5,$F143,$B$6,M$10,$A143,$B143)</f>
        <v>0</v>
      </c>
      <c r="N143" s="4">
        <f ca="1">_xll.DBRW($B$1,$B$2,$B$7,$B$3,$B$4,$B$5,$F143,$B$6,N$10,$A143,$B143)</f>
        <v>0</v>
      </c>
      <c r="O143" s="4">
        <f ca="1">_xll.DBRW($B$1,$B$2,$B$7,$B$3,$B$4,$B$5,$F143,$B$6,O$10,$A143,$B143)</f>
        <v>0</v>
      </c>
      <c r="P143" s="4">
        <f ca="1">_xll.DBRW($B$1,$B$2,$B$7,$B$3,$B$4,$B$5,$F143,$B$6,P$10,$A143,$B143)</f>
        <v>0</v>
      </c>
      <c r="Q143" s="4">
        <f ca="1">_xll.DBRW($B$1,$B$2,$B$7,$B$3,$B$4,$B$5,$F143,$B$6,Q$10,$A143,$B143)</f>
        <v>0</v>
      </c>
      <c r="R143" s="4">
        <f ca="1">_xll.DBRW($B$1,$B$2,$B$7,$B$3,$B$4,$B$5,$F143,$B$6,R$10,$A143,$B143)</f>
        <v>0</v>
      </c>
      <c r="S143" s="4">
        <f ca="1">_xll.DBRW($B$1,$B$2,$B$7,$B$3,$B$4,$B$5,$F143,$B$6,S$10,$A143,$B143)</f>
        <v>0</v>
      </c>
      <c r="T143" s="4">
        <f ca="1">_xll.DBRW($B$1,$B$2,$B$7,$B$3,$B$4,$B$5,$F143,$B$6,T$10,$A143,$B143)</f>
        <v>0</v>
      </c>
      <c r="U143" s="4">
        <f ca="1">_xll.DBRW($B$1,$B$2,$B$7,$B$3,$B$4,$B$5,$F143,$B$6,U$10,$A143,$B143)</f>
        <v>0</v>
      </c>
      <c r="V143" s="4">
        <f ca="1">_xll.DBRW($B$1,$B$2,$B$7,$B$3,$B$4,$B$5,$F143,$B$6,V$10,$A143,$B143)</f>
        <v>0</v>
      </c>
      <c r="W143" s="4">
        <f ca="1">_xll.DBRW($B$1,$B$2,$B$7,$B$3,$B$4,$B$5,$F143,$B$6,W$10,$A143,$B143)</f>
        <v>0</v>
      </c>
      <c r="X143" s="4">
        <f ca="1">_xll.DBRW($B$1,$B$2,$B$7,$B$3,$B$4,$B$5,$F143,$B$6,X$10,$A143,$B143)</f>
        <v>0</v>
      </c>
      <c r="Y143" s="4">
        <f ca="1">_xll.DBRW($B$1,$B$2,$B$7,$B$3,$B$4,$B$5,$F143,$B$6,Y$10,$A143,$B143)</f>
        <v>0</v>
      </c>
      <c r="Z143" s="4">
        <f ca="1">_xll.DBRW($B$1,$B$2,$B$7,$B$3,$B$4,$B$5,$F143,$B$6,Z$10,$A143,$B143)</f>
        <v>0</v>
      </c>
      <c r="AA143" s="4">
        <f ca="1">_xll.DBRW($B$1,$B$2,$B$7,$B$3,$B$4,$B$5,$F143,$B$6,AA$10,$A143,$B143)</f>
        <v>0</v>
      </c>
      <c r="AB143" s="4">
        <f ca="1">_xll.DBRW($B$1,$B$2,$B$7,$B$3,$B$4,$B$5,$F143,$B$6,AB$10,$A143,$B143)</f>
        <v>0</v>
      </c>
      <c r="AC143" s="4">
        <f ca="1">_xll.DBRW($B$1,$B$2,$B$7,$B$3,$B$4,$B$5,$F143,$B$6,AC$10,$A143,$B143)</f>
        <v>0</v>
      </c>
      <c r="AD143" s="4">
        <f ca="1">_xll.DBRW($B$1,$B$2,$B$7,$B$3,$B$4,$B$5,$F143,$B$6,AD$10,$A143,$B143)</f>
        <v>0</v>
      </c>
      <c r="AE143" s="4">
        <f ca="1">_xll.DBRW($B$1,$B$2,$B$7,$B$3,$B$4,$B$5,$F143,$B$6,AE$10,$A143,$B143)</f>
        <v>0</v>
      </c>
    </row>
    <row r="144" spans="1:31">
      <c r="A144" s="1" t="s">
        <v>150</v>
      </c>
      <c r="B144" s="5" t="s">
        <v>41</v>
      </c>
      <c r="C144" s="5" t="s">
        <v>37</v>
      </c>
      <c r="D144" s="5" t="s">
        <v>38</v>
      </c>
      <c r="E144" s="5" t="s">
        <v>21</v>
      </c>
      <c r="F144" s="5" t="s">
        <v>313</v>
      </c>
      <c r="G144" s="6"/>
      <c r="H144" s="6"/>
      <c r="I144" s="6"/>
      <c r="J144" s="6"/>
      <c r="K144" s="6"/>
      <c r="L144" s="4">
        <f ca="1">_xll.DBRW($B$1,$B$2,$B$7,$B$3,$B$4,$B$5,$F144,$B$6,L$10,$A144,$B144)</f>
        <v>0</v>
      </c>
      <c r="M144" s="4">
        <f ca="1">_xll.DBRW($B$1,$B$2,$B$7,$B$3,$B$4,$B$5,$F144,$B$6,M$10,$A144,$B144)</f>
        <v>0</v>
      </c>
      <c r="N144" s="4">
        <f ca="1">_xll.DBRW($B$1,$B$2,$B$7,$B$3,$B$4,$B$5,$F144,$B$6,N$10,$A144,$B144)</f>
        <v>0</v>
      </c>
      <c r="O144" s="4">
        <f ca="1">_xll.DBRW($B$1,$B$2,$B$7,$B$3,$B$4,$B$5,$F144,$B$6,O$10,$A144,$B144)</f>
        <v>0</v>
      </c>
      <c r="P144" s="4">
        <f ca="1">_xll.DBRW($B$1,$B$2,$B$7,$B$3,$B$4,$B$5,$F144,$B$6,P$10,$A144,$B144)</f>
        <v>0</v>
      </c>
      <c r="Q144" s="4">
        <f ca="1">_xll.DBRW($B$1,$B$2,$B$7,$B$3,$B$4,$B$5,$F144,$B$6,Q$10,$A144,$B144)</f>
        <v>0</v>
      </c>
      <c r="R144" s="4">
        <f ca="1">_xll.DBRW($B$1,$B$2,$B$7,$B$3,$B$4,$B$5,$F144,$B$6,R$10,$A144,$B144)</f>
        <v>0</v>
      </c>
      <c r="S144" s="4">
        <f ca="1">_xll.DBRW($B$1,$B$2,$B$7,$B$3,$B$4,$B$5,$F144,$B$6,S$10,$A144,$B144)</f>
        <v>0</v>
      </c>
      <c r="T144" s="4">
        <f ca="1">_xll.DBRW($B$1,$B$2,$B$7,$B$3,$B$4,$B$5,$F144,$B$6,T$10,$A144,$B144)</f>
        <v>0</v>
      </c>
      <c r="U144" s="4">
        <f ca="1">_xll.DBRW($B$1,$B$2,$B$7,$B$3,$B$4,$B$5,$F144,$B$6,U$10,$A144,$B144)</f>
        <v>0</v>
      </c>
      <c r="V144" s="4">
        <f ca="1">_xll.DBRW($B$1,$B$2,$B$7,$B$3,$B$4,$B$5,$F144,$B$6,V$10,$A144,$B144)</f>
        <v>0</v>
      </c>
      <c r="W144" s="4">
        <f ca="1">_xll.DBRW($B$1,$B$2,$B$7,$B$3,$B$4,$B$5,$F144,$B$6,W$10,$A144,$B144)</f>
        <v>0</v>
      </c>
      <c r="X144" s="4">
        <f ca="1">_xll.DBRW($B$1,$B$2,$B$7,$B$3,$B$4,$B$5,$F144,$B$6,X$10,$A144,$B144)</f>
        <v>0</v>
      </c>
      <c r="Y144" s="4">
        <f ca="1">_xll.DBRW($B$1,$B$2,$B$7,$B$3,$B$4,$B$5,$F144,$B$6,Y$10,$A144,$B144)</f>
        <v>0</v>
      </c>
      <c r="Z144" s="4">
        <f ca="1">_xll.DBRW($B$1,$B$2,$B$7,$B$3,$B$4,$B$5,$F144,$B$6,Z$10,$A144,$B144)</f>
        <v>0</v>
      </c>
      <c r="AA144" s="4">
        <f ca="1">_xll.DBRW($B$1,$B$2,$B$7,$B$3,$B$4,$B$5,$F144,$B$6,AA$10,$A144,$B144)</f>
        <v>0</v>
      </c>
      <c r="AB144" s="4">
        <f ca="1">_xll.DBRW($B$1,$B$2,$B$7,$B$3,$B$4,$B$5,$F144,$B$6,AB$10,$A144,$B144)</f>
        <v>0</v>
      </c>
      <c r="AC144" s="4">
        <f ca="1">_xll.DBRW($B$1,$B$2,$B$7,$B$3,$B$4,$B$5,$F144,$B$6,AC$10,$A144,$B144)</f>
        <v>0</v>
      </c>
      <c r="AD144" s="4">
        <f ca="1">_xll.DBRW($B$1,$B$2,$B$7,$B$3,$B$4,$B$5,$F144,$B$6,AD$10,$A144,$B144)</f>
        <v>0</v>
      </c>
      <c r="AE144" s="4">
        <f ca="1">_xll.DBRW($B$1,$B$2,$B$7,$B$3,$B$4,$B$5,$F144,$B$6,AE$10,$A144,$B144)</f>
        <v>0</v>
      </c>
    </row>
    <row r="145" spans="1:31">
      <c r="A145" s="1" t="s">
        <v>150</v>
      </c>
      <c r="B145" s="5" t="s">
        <v>175</v>
      </c>
      <c r="C145" s="5" t="s">
        <v>159</v>
      </c>
      <c r="D145" s="5" t="s">
        <v>21</v>
      </c>
      <c r="E145" s="5" t="s">
        <v>38</v>
      </c>
      <c r="F145" s="5" t="s">
        <v>313</v>
      </c>
      <c r="G145" s="6"/>
      <c r="H145" s="6"/>
      <c r="I145" s="6"/>
      <c r="J145" s="6"/>
      <c r="K145" s="6"/>
      <c r="L145" s="4">
        <f ca="1">_xll.DBRW($B$1,$B$2,$B$7,$B$3,$B$4,$B$5,$F145,$B$6,L$10,$A145,$B145)</f>
        <v>0</v>
      </c>
      <c r="M145" s="4">
        <f ca="1">_xll.DBRW($B$1,$B$2,$B$7,$B$3,$B$4,$B$5,$F145,$B$6,M$10,$A145,$B145)</f>
        <v>0</v>
      </c>
      <c r="N145" s="4">
        <f ca="1">_xll.DBRW($B$1,$B$2,$B$7,$B$3,$B$4,$B$5,$F145,$B$6,N$10,$A145,$B145)</f>
        <v>0</v>
      </c>
      <c r="O145" s="4">
        <f ca="1">_xll.DBRW($B$1,$B$2,$B$7,$B$3,$B$4,$B$5,$F145,$B$6,O$10,$A145,$B145)</f>
        <v>0</v>
      </c>
      <c r="P145" s="4">
        <f ca="1">_xll.DBRW($B$1,$B$2,$B$7,$B$3,$B$4,$B$5,$F145,$B$6,P$10,$A145,$B145)</f>
        <v>0</v>
      </c>
      <c r="Q145" s="4">
        <f ca="1">_xll.DBRW($B$1,$B$2,$B$7,$B$3,$B$4,$B$5,$F145,$B$6,Q$10,$A145,$B145)</f>
        <v>0</v>
      </c>
      <c r="R145" s="4">
        <f ca="1">_xll.DBRW($B$1,$B$2,$B$7,$B$3,$B$4,$B$5,$F145,$B$6,R$10,$A145,$B145)</f>
        <v>0</v>
      </c>
      <c r="S145" s="4">
        <f ca="1">_xll.DBRW($B$1,$B$2,$B$7,$B$3,$B$4,$B$5,$F145,$B$6,S$10,$A145,$B145)</f>
        <v>0</v>
      </c>
      <c r="T145" s="4">
        <f ca="1">_xll.DBRW($B$1,$B$2,$B$7,$B$3,$B$4,$B$5,$F145,$B$6,T$10,$A145,$B145)</f>
        <v>0</v>
      </c>
      <c r="U145" s="4">
        <f ca="1">_xll.DBRW($B$1,$B$2,$B$7,$B$3,$B$4,$B$5,$F145,$B$6,U$10,$A145,$B145)</f>
        <v>0</v>
      </c>
      <c r="V145" s="4">
        <f ca="1">_xll.DBRW($B$1,$B$2,$B$7,$B$3,$B$4,$B$5,$F145,$B$6,V$10,$A145,$B145)</f>
        <v>0</v>
      </c>
      <c r="W145" s="4">
        <f ca="1">_xll.DBRW($B$1,$B$2,$B$7,$B$3,$B$4,$B$5,$F145,$B$6,W$10,$A145,$B145)</f>
        <v>0</v>
      </c>
      <c r="X145" s="4">
        <f ca="1">_xll.DBRW($B$1,$B$2,$B$7,$B$3,$B$4,$B$5,$F145,$B$6,X$10,$A145,$B145)</f>
        <v>0</v>
      </c>
      <c r="Y145" s="4">
        <f ca="1">_xll.DBRW($B$1,$B$2,$B$7,$B$3,$B$4,$B$5,$F145,$B$6,Y$10,$A145,$B145)</f>
        <v>0</v>
      </c>
      <c r="Z145" s="4">
        <f ca="1">_xll.DBRW($B$1,$B$2,$B$7,$B$3,$B$4,$B$5,$F145,$B$6,Z$10,$A145,$B145)</f>
        <v>0</v>
      </c>
      <c r="AA145" s="4">
        <f ca="1">_xll.DBRW($B$1,$B$2,$B$7,$B$3,$B$4,$B$5,$F145,$B$6,AA$10,$A145,$B145)</f>
        <v>0</v>
      </c>
      <c r="AB145" s="4">
        <f ca="1">_xll.DBRW($B$1,$B$2,$B$7,$B$3,$B$4,$B$5,$F145,$B$6,AB$10,$A145,$B145)</f>
        <v>0</v>
      </c>
      <c r="AC145" s="4">
        <f ca="1">_xll.DBRW($B$1,$B$2,$B$7,$B$3,$B$4,$B$5,$F145,$B$6,AC$10,$A145,$B145)</f>
        <v>0</v>
      </c>
      <c r="AD145" s="4">
        <f ca="1">_xll.DBRW($B$1,$B$2,$B$7,$B$3,$B$4,$B$5,$F145,$B$6,AD$10,$A145,$B145)</f>
        <v>0</v>
      </c>
      <c r="AE145" s="4">
        <f ca="1">_xll.DBRW($B$1,$B$2,$B$7,$B$3,$B$4,$B$5,$F145,$B$6,AE$10,$A145,$B145)</f>
        <v>0</v>
      </c>
    </row>
    <row r="146" spans="1:31">
      <c r="A146" s="1" t="s">
        <v>150</v>
      </c>
      <c r="B146" s="5" t="s">
        <v>42</v>
      </c>
      <c r="C146" s="5" t="s">
        <v>37</v>
      </c>
      <c r="D146" s="5" t="s">
        <v>38</v>
      </c>
      <c r="E146" s="5" t="s">
        <v>21</v>
      </c>
      <c r="F146" s="5" t="s">
        <v>313</v>
      </c>
      <c r="G146" s="6"/>
      <c r="H146" s="6"/>
      <c r="I146" s="6"/>
      <c r="J146" s="6"/>
      <c r="K146" s="6"/>
      <c r="L146" s="4">
        <f ca="1">_xll.DBRW($B$1,$B$2,$B$7,$B$3,$B$4,$B$5,$F146,$B$6,L$10,$A146,$B146)</f>
        <v>0</v>
      </c>
      <c r="M146" s="4">
        <f ca="1">_xll.DBRW($B$1,$B$2,$B$7,$B$3,$B$4,$B$5,$F146,$B$6,M$10,$A146,$B146)</f>
        <v>0</v>
      </c>
      <c r="N146" s="4">
        <f ca="1">_xll.DBRW($B$1,$B$2,$B$7,$B$3,$B$4,$B$5,$F146,$B$6,N$10,$A146,$B146)</f>
        <v>0</v>
      </c>
      <c r="O146" s="4">
        <f ca="1">_xll.DBRW($B$1,$B$2,$B$7,$B$3,$B$4,$B$5,$F146,$B$6,O$10,$A146,$B146)</f>
        <v>0</v>
      </c>
      <c r="P146" s="4">
        <f ca="1">_xll.DBRW($B$1,$B$2,$B$7,$B$3,$B$4,$B$5,$F146,$B$6,P$10,$A146,$B146)</f>
        <v>0</v>
      </c>
      <c r="Q146" s="4">
        <f ca="1">_xll.DBRW($B$1,$B$2,$B$7,$B$3,$B$4,$B$5,$F146,$B$6,Q$10,$A146,$B146)</f>
        <v>0</v>
      </c>
      <c r="R146" s="4">
        <f ca="1">_xll.DBRW($B$1,$B$2,$B$7,$B$3,$B$4,$B$5,$F146,$B$6,R$10,$A146,$B146)</f>
        <v>0</v>
      </c>
      <c r="S146" s="4">
        <f ca="1">_xll.DBRW($B$1,$B$2,$B$7,$B$3,$B$4,$B$5,$F146,$B$6,S$10,$A146,$B146)</f>
        <v>0</v>
      </c>
      <c r="T146" s="4">
        <f ca="1">_xll.DBRW($B$1,$B$2,$B$7,$B$3,$B$4,$B$5,$F146,$B$6,T$10,$A146,$B146)</f>
        <v>0</v>
      </c>
      <c r="U146" s="4">
        <f ca="1">_xll.DBRW($B$1,$B$2,$B$7,$B$3,$B$4,$B$5,$F146,$B$6,U$10,$A146,$B146)</f>
        <v>0</v>
      </c>
      <c r="V146" s="4">
        <f ca="1">_xll.DBRW($B$1,$B$2,$B$7,$B$3,$B$4,$B$5,$F146,$B$6,V$10,$A146,$B146)</f>
        <v>0</v>
      </c>
      <c r="W146" s="4">
        <f ca="1">_xll.DBRW($B$1,$B$2,$B$7,$B$3,$B$4,$B$5,$F146,$B$6,W$10,$A146,$B146)</f>
        <v>0</v>
      </c>
      <c r="X146" s="4">
        <f ca="1">_xll.DBRW($B$1,$B$2,$B$7,$B$3,$B$4,$B$5,$F146,$B$6,X$10,$A146,$B146)</f>
        <v>0</v>
      </c>
      <c r="Y146" s="4">
        <f ca="1">_xll.DBRW($B$1,$B$2,$B$7,$B$3,$B$4,$B$5,$F146,$B$6,Y$10,$A146,$B146)</f>
        <v>0</v>
      </c>
      <c r="Z146" s="4">
        <f ca="1">_xll.DBRW($B$1,$B$2,$B$7,$B$3,$B$4,$B$5,$F146,$B$6,Z$10,$A146,$B146)</f>
        <v>0</v>
      </c>
      <c r="AA146" s="4">
        <f ca="1">_xll.DBRW($B$1,$B$2,$B$7,$B$3,$B$4,$B$5,$F146,$B$6,AA$10,$A146,$B146)</f>
        <v>0</v>
      </c>
      <c r="AB146" s="4">
        <f ca="1">_xll.DBRW($B$1,$B$2,$B$7,$B$3,$B$4,$B$5,$F146,$B$6,AB$10,$A146,$B146)</f>
        <v>0</v>
      </c>
      <c r="AC146" s="4">
        <f ca="1">_xll.DBRW($B$1,$B$2,$B$7,$B$3,$B$4,$B$5,$F146,$B$6,AC$10,$A146,$B146)</f>
        <v>0</v>
      </c>
      <c r="AD146" s="4">
        <f ca="1">_xll.DBRW($B$1,$B$2,$B$7,$B$3,$B$4,$B$5,$F146,$B$6,AD$10,$A146,$B146)</f>
        <v>0</v>
      </c>
      <c r="AE146" s="4">
        <f ca="1">_xll.DBRW($B$1,$B$2,$B$7,$B$3,$B$4,$B$5,$F146,$B$6,AE$10,$A146,$B146)</f>
        <v>0</v>
      </c>
    </row>
    <row r="147" spans="1:31">
      <c r="A147" s="1" t="s">
        <v>150</v>
      </c>
      <c r="B147" s="5" t="s">
        <v>176</v>
      </c>
      <c r="C147" s="5" t="s">
        <v>177</v>
      </c>
      <c r="D147" s="5" t="s">
        <v>28</v>
      </c>
      <c r="E147" s="5" t="s">
        <v>59</v>
      </c>
      <c r="F147" s="5" t="s">
        <v>313</v>
      </c>
      <c r="G147" s="6"/>
      <c r="H147" s="6"/>
      <c r="I147" s="6"/>
      <c r="J147" s="6"/>
      <c r="K147" s="6"/>
      <c r="L147" s="4">
        <f ca="1">_xll.DBRW($B$1,$B$2,$B$7,$B$3,$B$4,$B$5,$F147,$B$6,L$10,$A147,$B147)</f>
        <v>0</v>
      </c>
      <c r="M147" s="4">
        <f ca="1">_xll.DBRW($B$1,$B$2,$B$7,$B$3,$B$4,$B$5,$F147,$B$6,M$10,$A147,$B147)</f>
        <v>0</v>
      </c>
      <c r="N147" s="4">
        <f ca="1">_xll.DBRW($B$1,$B$2,$B$7,$B$3,$B$4,$B$5,$F147,$B$6,N$10,$A147,$B147)</f>
        <v>0</v>
      </c>
      <c r="O147" s="4">
        <f ca="1">_xll.DBRW($B$1,$B$2,$B$7,$B$3,$B$4,$B$5,$F147,$B$6,O$10,$A147,$B147)</f>
        <v>0</v>
      </c>
      <c r="P147" s="4">
        <f ca="1">_xll.DBRW($B$1,$B$2,$B$7,$B$3,$B$4,$B$5,$F147,$B$6,P$10,$A147,$B147)</f>
        <v>0</v>
      </c>
      <c r="Q147" s="4">
        <f ca="1">_xll.DBRW($B$1,$B$2,$B$7,$B$3,$B$4,$B$5,$F147,$B$6,Q$10,$A147,$B147)</f>
        <v>0</v>
      </c>
      <c r="R147" s="4">
        <f ca="1">_xll.DBRW($B$1,$B$2,$B$7,$B$3,$B$4,$B$5,$F147,$B$6,R$10,$A147,$B147)</f>
        <v>0</v>
      </c>
      <c r="S147" s="4">
        <f ca="1">_xll.DBRW($B$1,$B$2,$B$7,$B$3,$B$4,$B$5,$F147,$B$6,S$10,$A147,$B147)</f>
        <v>0</v>
      </c>
      <c r="T147" s="4">
        <f ca="1">_xll.DBRW($B$1,$B$2,$B$7,$B$3,$B$4,$B$5,$F147,$B$6,T$10,$A147,$B147)</f>
        <v>0</v>
      </c>
      <c r="U147" s="4">
        <f ca="1">_xll.DBRW($B$1,$B$2,$B$7,$B$3,$B$4,$B$5,$F147,$B$6,U$10,$A147,$B147)</f>
        <v>0</v>
      </c>
      <c r="V147" s="4">
        <f ca="1">_xll.DBRW($B$1,$B$2,$B$7,$B$3,$B$4,$B$5,$F147,$B$6,V$10,$A147,$B147)</f>
        <v>0</v>
      </c>
      <c r="W147" s="4">
        <f ca="1">_xll.DBRW($B$1,$B$2,$B$7,$B$3,$B$4,$B$5,$F147,$B$6,W$10,$A147,$B147)</f>
        <v>0</v>
      </c>
      <c r="X147" s="4">
        <f ca="1">_xll.DBRW($B$1,$B$2,$B$7,$B$3,$B$4,$B$5,$F147,$B$6,X$10,$A147,$B147)</f>
        <v>0</v>
      </c>
      <c r="Y147" s="4">
        <f ca="1">_xll.DBRW($B$1,$B$2,$B$7,$B$3,$B$4,$B$5,$F147,$B$6,Y$10,$A147,$B147)</f>
        <v>0</v>
      </c>
      <c r="Z147" s="4">
        <f ca="1">_xll.DBRW($B$1,$B$2,$B$7,$B$3,$B$4,$B$5,$F147,$B$6,Z$10,$A147,$B147)</f>
        <v>0</v>
      </c>
      <c r="AA147" s="4">
        <f ca="1">_xll.DBRW($B$1,$B$2,$B$7,$B$3,$B$4,$B$5,$F147,$B$6,AA$10,$A147,$B147)</f>
        <v>0</v>
      </c>
      <c r="AB147" s="4">
        <f ca="1">_xll.DBRW($B$1,$B$2,$B$7,$B$3,$B$4,$B$5,$F147,$B$6,AB$10,$A147,$B147)</f>
        <v>0</v>
      </c>
      <c r="AC147" s="4">
        <f ca="1">_xll.DBRW($B$1,$B$2,$B$7,$B$3,$B$4,$B$5,$F147,$B$6,AC$10,$A147,$B147)</f>
        <v>0</v>
      </c>
      <c r="AD147" s="4">
        <f ca="1">_xll.DBRW($B$1,$B$2,$B$7,$B$3,$B$4,$B$5,$F147,$B$6,AD$10,$A147,$B147)</f>
        <v>0</v>
      </c>
      <c r="AE147" s="4">
        <f ca="1">_xll.DBRW($B$1,$B$2,$B$7,$B$3,$B$4,$B$5,$F147,$B$6,AE$10,$A147,$B147)</f>
        <v>0</v>
      </c>
    </row>
    <row r="148" spans="1:31">
      <c r="A148" s="1" t="s">
        <v>150</v>
      </c>
      <c r="B148" s="5" t="s">
        <v>64</v>
      </c>
      <c r="C148" s="5" t="s">
        <v>65</v>
      </c>
      <c r="D148" s="5" t="s">
        <v>59</v>
      </c>
      <c r="E148" s="5" t="s">
        <v>28</v>
      </c>
      <c r="F148" s="5" t="s">
        <v>313</v>
      </c>
      <c r="G148" s="6"/>
      <c r="H148" s="6"/>
      <c r="I148" s="6"/>
      <c r="J148" s="6"/>
      <c r="K148" s="6"/>
      <c r="L148" s="4">
        <f ca="1">_xll.DBRW($B$1,$B$2,$B$7,$B$3,$B$4,$B$5,$F148,$B$6,L$10,$A148,$B148)</f>
        <v>0</v>
      </c>
      <c r="M148" s="4">
        <f ca="1">_xll.DBRW($B$1,$B$2,$B$7,$B$3,$B$4,$B$5,$F148,$B$6,M$10,$A148,$B148)</f>
        <v>0</v>
      </c>
      <c r="N148" s="4">
        <f ca="1">_xll.DBRW($B$1,$B$2,$B$7,$B$3,$B$4,$B$5,$F148,$B$6,N$10,$A148,$B148)</f>
        <v>0</v>
      </c>
      <c r="O148" s="4">
        <f ca="1">_xll.DBRW($B$1,$B$2,$B$7,$B$3,$B$4,$B$5,$F148,$B$6,O$10,$A148,$B148)</f>
        <v>0</v>
      </c>
      <c r="P148" s="4">
        <f ca="1">_xll.DBRW($B$1,$B$2,$B$7,$B$3,$B$4,$B$5,$F148,$B$6,P$10,$A148,$B148)</f>
        <v>0</v>
      </c>
      <c r="Q148" s="4">
        <f ca="1">_xll.DBRW($B$1,$B$2,$B$7,$B$3,$B$4,$B$5,$F148,$B$6,Q$10,$A148,$B148)</f>
        <v>0</v>
      </c>
      <c r="R148" s="4">
        <f ca="1">_xll.DBRW($B$1,$B$2,$B$7,$B$3,$B$4,$B$5,$F148,$B$6,R$10,$A148,$B148)</f>
        <v>0</v>
      </c>
      <c r="S148" s="4">
        <f ca="1">_xll.DBRW($B$1,$B$2,$B$7,$B$3,$B$4,$B$5,$F148,$B$6,S$10,$A148,$B148)</f>
        <v>0</v>
      </c>
      <c r="T148" s="4">
        <f ca="1">_xll.DBRW($B$1,$B$2,$B$7,$B$3,$B$4,$B$5,$F148,$B$6,T$10,$A148,$B148)</f>
        <v>0</v>
      </c>
      <c r="U148" s="4">
        <f ca="1">_xll.DBRW($B$1,$B$2,$B$7,$B$3,$B$4,$B$5,$F148,$B$6,U$10,$A148,$B148)</f>
        <v>0</v>
      </c>
      <c r="V148" s="4">
        <f ca="1">_xll.DBRW($B$1,$B$2,$B$7,$B$3,$B$4,$B$5,$F148,$B$6,V$10,$A148,$B148)</f>
        <v>0</v>
      </c>
      <c r="W148" s="4">
        <f ca="1">_xll.DBRW($B$1,$B$2,$B$7,$B$3,$B$4,$B$5,$F148,$B$6,W$10,$A148,$B148)</f>
        <v>0</v>
      </c>
      <c r="X148" s="4">
        <f ca="1">_xll.DBRW($B$1,$B$2,$B$7,$B$3,$B$4,$B$5,$F148,$B$6,X$10,$A148,$B148)</f>
        <v>0</v>
      </c>
      <c r="Y148" s="4">
        <f ca="1">_xll.DBRW($B$1,$B$2,$B$7,$B$3,$B$4,$B$5,$F148,$B$6,Y$10,$A148,$B148)</f>
        <v>0</v>
      </c>
      <c r="Z148" s="4">
        <f ca="1">_xll.DBRW($B$1,$B$2,$B$7,$B$3,$B$4,$B$5,$F148,$B$6,Z$10,$A148,$B148)</f>
        <v>0</v>
      </c>
      <c r="AA148" s="4">
        <f ca="1">_xll.DBRW($B$1,$B$2,$B$7,$B$3,$B$4,$B$5,$F148,$B$6,AA$10,$A148,$B148)</f>
        <v>0</v>
      </c>
      <c r="AB148" s="4">
        <f ca="1">_xll.DBRW($B$1,$B$2,$B$7,$B$3,$B$4,$B$5,$F148,$B$6,AB$10,$A148,$B148)</f>
        <v>0</v>
      </c>
      <c r="AC148" s="4">
        <f ca="1">_xll.DBRW($B$1,$B$2,$B$7,$B$3,$B$4,$B$5,$F148,$B$6,AC$10,$A148,$B148)</f>
        <v>0</v>
      </c>
      <c r="AD148" s="4">
        <f ca="1">_xll.DBRW($B$1,$B$2,$B$7,$B$3,$B$4,$B$5,$F148,$B$6,AD$10,$A148,$B148)</f>
        <v>0</v>
      </c>
      <c r="AE148" s="4">
        <f ca="1">_xll.DBRW($B$1,$B$2,$B$7,$B$3,$B$4,$B$5,$F148,$B$6,AE$10,$A148,$B148)</f>
        <v>0</v>
      </c>
    </row>
    <row r="149" spans="1:31">
      <c r="A149" s="1" t="s">
        <v>150</v>
      </c>
      <c r="B149" s="5" t="s">
        <v>178</v>
      </c>
      <c r="C149" s="5" t="s">
        <v>177</v>
      </c>
      <c r="D149" s="5" t="s">
        <v>28</v>
      </c>
      <c r="E149" s="5" t="s">
        <v>59</v>
      </c>
      <c r="F149" s="5" t="s">
        <v>313</v>
      </c>
      <c r="G149" s="6"/>
      <c r="H149" s="6"/>
      <c r="I149" s="6"/>
      <c r="J149" s="6"/>
      <c r="K149" s="6"/>
      <c r="L149" s="4">
        <f ca="1">_xll.DBRW($B$1,$B$2,$B$7,$B$3,$B$4,$B$5,$F149,$B$6,L$10,$A149,$B149)</f>
        <v>0</v>
      </c>
      <c r="M149" s="4">
        <f ca="1">_xll.DBRW($B$1,$B$2,$B$7,$B$3,$B$4,$B$5,$F149,$B$6,M$10,$A149,$B149)</f>
        <v>0</v>
      </c>
      <c r="N149" s="4">
        <f ca="1">_xll.DBRW($B$1,$B$2,$B$7,$B$3,$B$4,$B$5,$F149,$B$6,N$10,$A149,$B149)</f>
        <v>0</v>
      </c>
      <c r="O149" s="4">
        <f ca="1">_xll.DBRW($B$1,$B$2,$B$7,$B$3,$B$4,$B$5,$F149,$B$6,O$10,$A149,$B149)</f>
        <v>0</v>
      </c>
      <c r="P149" s="4">
        <f ca="1">_xll.DBRW($B$1,$B$2,$B$7,$B$3,$B$4,$B$5,$F149,$B$6,P$10,$A149,$B149)</f>
        <v>0</v>
      </c>
      <c r="Q149" s="4">
        <f ca="1">_xll.DBRW($B$1,$B$2,$B$7,$B$3,$B$4,$B$5,$F149,$B$6,Q$10,$A149,$B149)</f>
        <v>0</v>
      </c>
      <c r="R149" s="4">
        <f ca="1">_xll.DBRW($B$1,$B$2,$B$7,$B$3,$B$4,$B$5,$F149,$B$6,R$10,$A149,$B149)</f>
        <v>0</v>
      </c>
      <c r="S149" s="4">
        <f ca="1">_xll.DBRW($B$1,$B$2,$B$7,$B$3,$B$4,$B$5,$F149,$B$6,S$10,$A149,$B149)</f>
        <v>0</v>
      </c>
      <c r="T149" s="4">
        <f ca="1">_xll.DBRW($B$1,$B$2,$B$7,$B$3,$B$4,$B$5,$F149,$B$6,T$10,$A149,$B149)</f>
        <v>0</v>
      </c>
      <c r="U149" s="4">
        <f ca="1">_xll.DBRW($B$1,$B$2,$B$7,$B$3,$B$4,$B$5,$F149,$B$6,U$10,$A149,$B149)</f>
        <v>0</v>
      </c>
      <c r="V149" s="4">
        <f ca="1">_xll.DBRW($B$1,$B$2,$B$7,$B$3,$B$4,$B$5,$F149,$B$6,V$10,$A149,$B149)</f>
        <v>0</v>
      </c>
      <c r="W149" s="4">
        <f ca="1">_xll.DBRW($B$1,$B$2,$B$7,$B$3,$B$4,$B$5,$F149,$B$6,W$10,$A149,$B149)</f>
        <v>0</v>
      </c>
      <c r="X149" s="4">
        <f ca="1">_xll.DBRW($B$1,$B$2,$B$7,$B$3,$B$4,$B$5,$F149,$B$6,X$10,$A149,$B149)</f>
        <v>0</v>
      </c>
      <c r="Y149" s="4">
        <f ca="1">_xll.DBRW($B$1,$B$2,$B$7,$B$3,$B$4,$B$5,$F149,$B$6,Y$10,$A149,$B149)</f>
        <v>0</v>
      </c>
      <c r="Z149" s="4">
        <f ca="1">_xll.DBRW($B$1,$B$2,$B$7,$B$3,$B$4,$B$5,$F149,$B$6,Z$10,$A149,$B149)</f>
        <v>0</v>
      </c>
      <c r="AA149" s="4">
        <f ca="1">_xll.DBRW($B$1,$B$2,$B$7,$B$3,$B$4,$B$5,$F149,$B$6,AA$10,$A149,$B149)</f>
        <v>0</v>
      </c>
      <c r="AB149" s="4">
        <f ca="1">_xll.DBRW($B$1,$B$2,$B$7,$B$3,$B$4,$B$5,$F149,$B$6,AB$10,$A149,$B149)</f>
        <v>0</v>
      </c>
      <c r="AC149" s="4">
        <f ca="1">_xll.DBRW($B$1,$B$2,$B$7,$B$3,$B$4,$B$5,$F149,$B$6,AC$10,$A149,$B149)</f>
        <v>0</v>
      </c>
      <c r="AD149" s="4">
        <f ca="1">_xll.DBRW($B$1,$B$2,$B$7,$B$3,$B$4,$B$5,$F149,$B$6,AD$10,$A149,$B149)</f>
        <v>0</v>
      </c>
      <c r="AE149" s="4">
        <f ca="1">_xll.DBRW($B$1,$B$2,$B$7,$B$3,$B$4,$B$5,$F149,$B$6,AE$10,$A149,$B149)</f>
        <v>0</v>
      </c>
    </row>
    <row r="150" spans="1:31">
      <c r="A150" s="1" t="s">
        <v>150</v>
      </c>
      <c r="B150" s="5" t="s">
        <v>66</v>
      </c>
      <c r="C150" s="5" t="s">
        <v>65</v>
      </c>
      <c r="D150" s="5" t="s">
        <v>59</v>
      </c>
      <c r="E150" s="5" t="s">
        <v>28</v>
      </c>
      <c r="F150" s="5" t="s">
        <v>313</v>
      </c>
      <c r="G150" s="6"/>
      <c r="H150" s="6"/>
      <c r="I150" s="6"/>
      <c r="J150" s="6"/>
      <c r="K150" s="6"/>
      <c r="L150" s="4">
        <f ca="1">_xll.DBRW($B$1,$B$2,$B$7,$B$3,$B$4,$B$5,$F150,$B$6,L$10,$A150,$B150)</f>
        <v>0</v>
      </c>
      <c r="M150" s="4">
        <f ca="1">_xll.DBRW($B$1,$B$2,$B$7,$B$3,$B$4,$B$5,$F150,$B$6,M$10,$A150,$B150)</f>
        <v>0</v>
      </c>
      <c r="N150" s="4">
        <f ca="1">_xll.DBRW($B$1,$B$2,$B$7,$B$3,$B$4,$B$5,$F150,$B$6,N$10,$A150,$B150)</f>
        <v>0</v>
      </c>
      <c r="O150" s="4">
        <f ca="1">_xll.DBRW($B$1,$B$2,$B$7,$B$3,$B$4,$B$5,$F150,$B$6,O$10,$A150,$B150)</f>
        <v>0</v>
      </c>
      <c r="P150" s="4">
        <f ca="1">_xll.DBRW($B$1,$B$2,$B$7,$B$3,$B$4,$B$5,$F150,$B$6,P$10,$A150,$B150)</f>
        <v>0</v>
      </c>
      <c r="Q150" s="4">
        <f ca="1">_xll.DBRW($B$1,$B$2,$B$7,$B$3,$B$4,$B$5,$F150,$B$6,Q$10,$A150,$B150)</f>
        <v>0</v>
      </c>
      <c r="R150" s="4">
        <f ca="1">_xll.DBRW($B$1,$B$2,$B$7,$B$3,$B$4,$B$5,$F150,$B$6,R$10,$A150,$B150)</f>
        <v>0</v>
      </c>
      <c r="S150" s="4">
        <f ca="1">_xll.DBRW($B$1,$B$2,$B$7,$B$3,$B$4,$B$5,$F150,$B$6,S$10,$A150,$B150)</f>
        <v>0</v>
      </c>
      <c r="T150" s="4">
        <f ca="1">_xll.DBRW($B$1,$B$2,$B$7,$B$3,$B$4,$B$5,$F150,$B$6,T$10,$A150,$B150)</f>
        <v>0</v>
      </c>
      <c r="U150" s="4">
        <f ca="1">_xll.DBRW($B$1,$B$2,$B$7,$B$3,$B$4,$B$5,$F150,$B$6,U$10,$A150,$B150)</f>
        <v>0</v>
      </c>
      <c r="V150" s="4">
        <f ca="1">_xll.DBRW($B$1,$B$2,$B$7,$B$3,$B$4,$B$5,$F150,$B$6,V$10,$A150,$B150)</f>
        <v>0</v>
      </c>
      <c r="W150" s="4">
        <f ca="1">_xll.DBRW($B$1,$B$2,$B$7,$B$3,$B$4,$B$5,$F150,$B$6,W$10,$A150,$B150)</f>
        <v>0</v>
      </c>
      <c r="X150" s="4">
        <f ca="1">_xll.DBRW($B$1,$B$2,$B$7,$B$3,$B$4,$B$5,$F150,$B$6,X$10,$A150,$B150)</f>
        <v>0</v>
      </c>
      <c r="Y150" s="4">
        <f ca="1">_xll.DBRW($B$1,$B$2,$B$7,$B$3,$B$4,$B$5,$F150,$B$6,Y$10,$A150,$B150)</f>
        <v>0</v>
      </c>
      <c r="Z150" s="4">
        <f ca="1">_xll.DBRW($B$1,$B$2,$B$7,$B$3,$B$4,$B$5,$F150,$B$6,Z$10,$A150,$B150)</f>
        <v>0</v>
      </c>
      <c r="AA150" s="4">
        <f ca="1">_xll.DBRW($B$1,$B$2,$B$7,$B$3,$B$4,$B$5,$F150,$B$6,AA$10,$A150,$B150)</f>
        <v>0</v>
      </c>
      <c r="AB150" s="4">
        <f ca="1">_xll.DBRW($B$1,$B$2,$B$7,$B$3,$B$4,$B$5,$F150,$B$6,AB$10,$A150,$B150)</f>
        <v>0</v>
      </c>
      <c r="AC150" s="4">
        <f ca="1">_xll.DBRW($B$1,$B$2,$B$7,$B$3,$B$4,$B$5,$F150,$B$6,AC$10,$A150,$B150)</f>
        <v>0</v>
      </c>
      <c r="AD150" s="4">
        <f ca="1">_xll.DBRW($B$1,$B$2,$B$7,$B$3,$B$4,$B$5,$F150,$B$6,AD$10,$A150,$B150)</f>
        <v>0</v>
      </c>
      <c r="AE150" s="4">
        <f ca="1">_xll.DBRW($B$1,$B$2,$B$7,$B$3,$B$4,$B$5,$F150,$B$6,AE$10,$A150,$B150)</f>
        <v>0</v>
      </c>
    </row>
    <row r="151" spans="1:31">
      <c r="A151" s="1" t="s">
        <v>150</v>
      </c>
      <c r="B151" s="5" t="s">
        <v>179</v>
      </c>
      <c r="C151" s="5" t="s">
        <v>180</v>
      </c>
      <c r="D151" s="5" t="s">
        <v>28</v>
      </c>
      <c r="E151" s="5" t="s">
        <v>181</v>
      </c>
      <c r="F151" s="5" t="s">
        <v>313</v>
      </c>
      <c r="G151" s="6"/>
      <c r="H151" s="6"/>
      <c r="I151" s="6"/>
      <c r="J151" s="6"/>
      <c r="K151" s="6"/>
      <c r="L151" s="4">
        <f ca="1">_xll.DBRW($B$1,$B$2,$B$7,$B$3,$B$4,$B$5,$F151,$B$6,L$10,$A151,$B151)</f>
        <v>0</v>
      </c>
      <c r="M151" s="4">
        <f ca="1">_xll.DBRW($B$1,$B$2,$B$7,$B$3,$B$4,$B$5,$F151,$B$6,M$10,$A151,$B151)</f>
        <v>0</v>
      </c>
      <c r="N151" s="4">
        <f ca="1">_xll.DBRW($B$1,$B$2,$B$7,$B$3,$B$4,$B$5,$F151,$B$6,N$10,$A151,$B151)</f>
        <v>0</v>
      </c>
      <c r="O151" s="4">
        <f ca="1">_xll.DBRW($B$1,$B$2,$B$7,$B$3,$B$4,$B$5,$F151,$B$6,O$10,$A151,$B151)</f>
        <v>0</v>
      </c>
      <c r="P151" s="4">
        <f ca="1">_xll.DBRW($B$1,$B$2,$B$7,$B$3,$B$4,$B$5,$F151,$B$6,P$10,$A151,$B151)</f>
        <v>0</v>
      </c>
      <c r="Q151" s="4">
        <f ca="1">_xll.DBRW($B$1,$B$2,$B$7,$B$3,$B$4,$B$5,$F151,$B$6,Q$10,$A151,$B151)</f>
        <v>0</v>
      </c>
      <c r="R151" s="4">
        <f ca="1">_xll.DBRW($B$1,$B$2,$B$7,$B$3,$B$4,$B$5,$F151,$B$6,R$10,$A151,$B151)</f>
        <v>0</v>
      </c>
      <c r="S151" s="4">
        <f ca="1">_xll.DBRW($B$1,$B$2,$B$7,$B$3,$B$4,$B$5,$F151,$B$6,S$10,$A151,$B151)</f>
        <v>0</v>
      </c>
      <c r="T151" s="4">
        <f ca="1">_xll.DBRW($B$1,$B$2,$B$7,$B$3,$B$4,$B$5,$F151,$B$6,T$10,$A151,$B151)</f>
        <v>0</v>
      </c>
      <c r="U151" s="4">
        <f ca="1">_xll.DBRW($B$1,$B$2,$B$7,$B$3,$B$4,$B$5,$F151,$B$6,U$10,$A151,$B151)</f>
        <v>0</v>
      </c>
      <c r="V151" s="4">
        <f ca="1">_xll.DBRW($B$1,$B$2,$B$7,$B$3,$B$4,$B$5,$F151,$B$6,V$10,$A151,$B151)</f>
        <v>0</v>
      </c>
      <c r="W151" s="4">
        <f ca="1">_xll.DBRW($B$1,$B$2,$B$7,$B$3,$B$4,$B$5,$F151,$B$6,W$10,$A151,$B151)</f>
        <v>0</v>
      </c>
      <c r="X151" s="4">
        <f ca="1">_xll.DBRW($B$1,$B$2,$B$7,$B$3,$B$4,$B$5,$F151,$B$6,X$10,$A151,$B151)</f>
        <v>0</v>
      </c>
      <c r="Y151" s="4">
        <f ca="1">_xll.DBRW($B$1,$B$2,$B$7,$B$3,$B$4,$B$5,$F151,$B$6,Y$10,$A151,$B151)</f>
        <v>0</v>
      </c>
      <c r="Z151" s="4">
        <f ca="1">_xll.DBRW($B$1,$B$2,$B$7,$B$3,$B$4,$B$5,$F151,$B$6,Z$10,$A151,$B151)</f>
        <v>0</v>
      </c>
      <c r="AA151" s="4">
        <f ca="1">_xll.DBRW($B$1,$B$2,$B$7,$B$3,$B$4,$B$5,$F151,$B$6,AA$10,$A151,$B151)</f>
        <v>0</v>
      </c>
      <c r="AB151" s="4">
        <f ca="1">_xll.DBRW($B$1,$B$2,$B$7,$B$3,$B$4,$B$5,$F151,$B$6,AB$10,$A151,$B151)</f>
        <v>0</v>
      </c>
      <c r="AC151" s="4">
        <f ca="1">_xll.DBRW($B$1,$B$2,$B$7,$B$3,$B$4,$B$5,$F151,$B$6,AC$10,$A151,$B151)</f>
        <v>0</v>
      </c>
      <c r="AD151" s="4">
        <f ca="1">_xll.DBRW($B$1,$B$2,$B$7,$B$3,$B$4,$B$5,$F151,$B$6,AD$10,$A151,$B151)</f>
        <v>0</v>
      </c>
      <c r="AE151" s="4">
        <f ca="1">_xll.DBRW($B$1,$B$2,$B$7,$B$3,$B$4,$B$5,$F151,$B$6,AE$10,$A151,$B151)</f>
        <v>0</v>
      </c>
    </row>
    <row r="152" spans="1:31">
      <c r="A152" s="1" t="s">
        <v>150</v>
      </c>
      <c r="B152" s="5" t="s">
        <v>182</v>
      </c>
      <c r="C152" s="5" t="s">
        <v>183</v>
      </c>
      <c r="D152" s="5" t="s">
        <v>181</v>
      </c>
      <c r="E152" s="5" t="s">
        <v>28</v>
      </c>
      <c r="F152" s="5" t="s">
        <v>313</v>
      </c>
      <c r="G152" s="6"/>
      <c r="H152" s="6"/>
      <c r="I152" s="6"/>
      <c r="J152" s="6"/>
      <c r="K152" s="6"/>
      <c r="L152" s="4">
        <f ca="1">_xll.DBRW($B$1,$B$2,$B$7,$B$3,$B$4,$B$5,$F152,$B$6,L$10,$A152,$B152)</f>
        <v>0</v>
      </c>
      <c r="M152" s="4">
        <f ca="1">_xll.DBRW($B$1,$B$2,$B$7,$B$3,$B$4,$B$5,$F152,$B$6,M$10,$A152,$B152)</f>
        <v>0</v>
      </c>
      <c r="N152" s="4">
        <f ca="1">_xll.DBRW($B$1,$B$2,$B$7,$B$3,$B$4,$B$5,$F152,$B$6,N$10,$A152,$B152)</f>
        <v>0</v>
      </c>
      <c r="O152" s="4">
        <f ca="1">_xll.DBRW($B$1,$B$2,$B$7,$B$3,$B$4,$B$5,$F152,$B$6,O$10,$A152,$B152)</f>
        <v>0</v>
      </c>
      <c r="P152" s="4">
        <f ca="1">_xll.DBRW($B$1,$B$2,$B$7,$B$3,$B$4,$B$5,$F152,$B$6,P$10,$A152,$B152)</f>
        <v>0</v>
      </c>
      <c r="Q152" s="4">
        <f ca="1">_xll.DBRW($B$1,$B$2,$B$7,$B$3,$B$4,$B$5,$F152,$B$6,Q$10,$A152,$B152)</f>
        <v>0</v>
      </c>
      <c r="R152" s="4">
        <f ca="1">_xll.DBRW($B$1,$B$2,$B$7,$B$3,$B$4,$B$5,$F152,$B$6,R$10,$A152,$B152)</f>
        <v>0</v>
      </c>
      <c r="S152" s="4">
        <f ca="1">_xll.DBRW($B$1,$B$2,$B$7,$B$3,$B$4,$B$5,$F152,$B$6,S$10,$A152,$B152)</f>
        <v>0</v>
      </c>
      <c r="T152" s="4">
        <f ca="1">_xll.DBRW($B$1,$B$2,$B$7,$B$3,$B$4,$B$5,$F152,$B$6,T$10,$A152,$B152)</f>
        <v>0</v>
      </c>
      <c r="U152" s="4">
        <f ca="1">_xll.DBRW($B$1,$B$2,$B$7,$B$3,$B$4,$B$5,$F152,$B$6,U$10,$A152,$B152)</f>
        <v>0</v>
      </c>
      <c r="V152" s="4">
        <f ca="1">_xll.DBRW($B$1,$B$2,$B$7,$B$3,$B$4,$B$5,$F152,$B$6,V$10,$A152,$B152)</f>
        <v>0</v>
      </c>
      <c r="W152" s="4">
        <f ca="1">_xll.DBRW($B$1,$B$2,$B$7,$B$3,$B$4,$B$5,$F152,$B$6,W$10,$A152,$B152)</f>
        <v>0</v>
      </c>
      <c r="X152" s="4">
        <f ca="1">_xll.DBRW($B$1,$B$2,$B$7,$B$3,$B$4,$B$5,$F152,$B$6,X$10,$A152,$B152)</f>
        <v>0</v>
      </c>
      <c r="Y152" s="4">
        <f ca="1">_xll.DBRW($B$1,$B$2,$B$7,$B$3,$B$4,$B$5,$F152,$B$6,Y$10,$A152,$B152)</f>
        <v>0</v>
      </c>
      <c r="Z152" s="4">
        <f ca="1">_xll.DBRW($B$1,$B$2,$B$7,$B$3,$B$4,$B$5,$F152,$B$6,Z$10,$A152,$B152)</f>
        <v>0</v>
      </c>
      <c r="AA152" s="4">
        <f ca="1">_xll.DBRW($B$1,$B$2,$B$7,$B$3,$B$4,$B$5,$F152,$B$6,AA$10,$A152,$B152)</f>
        <v>0</v>
      </c>
      <c r="AB152" s="4">
        <f ca="1">_xll.DBRW($B$1,$B$2,$B$7,$B$3,$B$4,$B$5,$F152,$B$6,AB$10,$A152,$B152)</f>
        <v>0</v>
      </c>
      <c r="AC152" s="4">
        <f ca="1">_xll.DBRW($B$1,$B$2,$B$7,$B$3,$B$4,$B$5,$F152,$B$6,AC$10,$A152,$B152)</f>
        <v>0</v>
      </c>
      <c r="AD152" s="4">
        <f ca="1">_xll.DBRW($B$1,$B$2,$B$7,$B$3,$B$4,$B$5,$F152,$B$6,AD$10,$A152,$B152)</f>
        <v>0</v>
      </c>
      <c r="AE152" s="4">
        <f ca="1">_xll.DBRW($B$1,$B$2,$B$7,$B$3,$B$4,$B$5,$F152,$B$6,AE$10,$A152,$B152)</f>
        <v>0</v>
      </c>
    </row>
    <row r="153" spans="1:31">
      <c r="A153" s="1" t="s">
        <v>150</v>
      </c>
      <c r="B153" s="5" t="s">
        <v>184</v>
      </c>
      <c r="C153" s="5" t="s">
        <v>185</v>
      </c>
      <c r="D153" s="5" t="s">
        <v>28</v>
      </c>
      <c r="E153" s="5" t="s">
        <v>49</v>
      </c>
      <c r="F153" s="5" t="s">
        <v>313</v>
      </c>
      <c r="G153" s="6"/>
      <c r="H153" s="6"/>
      <c r="I153" s="6"/>
      <c r="J153" s="6"/>
      <c r="K153" s="6"/>
      <c r="L153" s="4">
        <f ca="1">_xll.DBRW($B$1,$B$2,$B$7,$B$3,$B$4,$B$5,$F153,$B$6,L$10,$A153,$B153)</f>
        <v>0</v>
      </c>
      <c r="M153" s="4">
        <f ca="1">_xll.DBRW($B$1,$B$2,$B$7,$B$3,$B$4,$B$5,$F153,$B$6,M$10,$A153,$B153)</f>
        <v>0</v>
      </c>
      <c r="N153" s="4">
        <f ca="1">_xll.DBRW($B$1,$B$2,$B$7,$B$3,$B$4,$B$5,$F153,$B$6,N$10,$A153,$B153)</f>
        <v>0</v>
      </c>
      <c r="O153" s="4">
        <f ca="1">_xll.DBRW($B$1,$B$2,$B$7,$B$3,$B$4,$B$5,$F153,$B$6,O$10,$A153,$B153)</f>
        <v>0</v>
      </c>
      <c r="P153" s="4">
        <f ca="1">_xll.DBRW($B$1,$B$2,$B$7,$B$3,$B$4,$B$5,$F153,$B$6,P$10,$A153,$B153)</f>
        <v>0</v>
      </c>
      <c r="Q153" s="4">
        <f ca="1">_xll.DBRW($B$1,$B$2,$B$7,$B$3,$B$4,$B$5,$F153,$B$6,Q$10,$A153,$B153)</f>
        <v>0</v>
      </c>
      <c r="R153" s="4">
        <f ca="1">_xll.DBRW($B$1,$B$2,$B$7,$B$3,$B$4,$B$5,$F153,$B$6,R$10,$A153,$B153)</f>
        <v>0</v>
      </c>
      <c r="S153" s="4">
        <f ca="1">_xll.DBRW($B$1,$B$2,$B$7,$B$3,$B$4,$B$5,$F153,$B$6,S$10,$A153,$B153)</f>
        <v>0</v>
      </c>
      <c r="T153" s="4">
        <f ca="1">_xll.DBRW($B$1,$B$2,$B$7,$B$3,$B$4,$B$5,$F153,$B$6,T$10,$A153,$B153)</f>
        <v>0</v>
      </c>
      <c r="U153" s="4">
        <f ca="1">_xll.DBRW($B$1,$B$2,$B$7,$B$3,$B$4,$B$5,$F153,$B$6,U$10,$A153,$B153)</f>
        <v>0</v>
      </c>
      <c r="V153" s="4">
        <f ca="1">_xll.DBRW($B$1,$B$2,$B$7,$B$3,$B$4,$B$5,$F153,$B$6,V$10,$A153,$B153)</f>
        <v>0</v>
      </c>
      <c r="W153" s="4">
        <f ca="1">_xll.DBRW($B$1,$B$2,$B$7,$B$3,$B$4,$B$5,$F153,$B$6,W$10,$A153,$B153)</f>
        <v>0</v>
      </c>
      <c r="X153" s="4">
        <f ca="1">_xll.DBRW($B$1,$B$2,$B$7,$B$3,$B$4,$B$5,$F153,$B$6,X$10,$A153,$B153)</f>
        <v>0</v>
      </c>
      <c r="Y153" s="4">
        <f ca="1">_xll.DBRW($B$1,$B$2,$B$7,$B$3,$B$4,$B$5,$F153,$B$6,Y$10,$A153,$B153)</f>
        <v>0</v>
      </c>
      <c r="Z153" s="4">
        <f ca="1">_xll.DBRW($B$1,$B$2,$B$7,$B$3,$B$4,$B$5,$F153,$B$6,Z$10,$A153,$B153)</f>
        <v>0</v>
      </c>
      <c r="AA153" s="4">
        <f ca="1">_xll.DBRW($B$1,$B$2,$B$7,$B$3,$B$4,$B$5,$F153,$B$6,AA$10,$A153,$B153)</f>
        <v>0</v>
      </c>
      <c r="AB153" s="4">
        <f ca="1">_xll.DBRW($B$1,$B$2,$B$7,$B$3,$B$4,$B$5,$F153,$B$6,AB$10,$A153,$B153)</f>
        <v>0</v>
      </c>
      <c r="AC153" s="4">
        <f ca="1">_xll.DBRW($B$1,$B$2,$B$7,$B$3,$B$4,$B$5,$F153,$B$6,AC$10,$A153,$B153)</f>
        <v>0</v>
      </c>
      <c r="AD153" s="4">
        <f ca="1">_xll.DBRW($B$1,$B$2,$B$7,$B$3,$B$4,$B$5,$F153,$B$6,AD$10,$A153,$B153)</f>
        <v>0</v>
      </c>
      <c r="AE153" s="4">
        <f ca="1">_xll.DBRW($B$1,$B$2,$B$7,$B$3,$B$4,$B$5,$F153,$B$6,AE$10,$A153,$B153)</f>
        <v>0</v>
      </c>
    </row>
    <row r="154" spans="1:31">
      <c r="A154" s="1" t="s">
        <v>150</v>
      </c>
      <c r="B154" s="5" t="s">
        <v>50</v>
      </c>
      <c r="C154" s="5" t="s">
        <v>51</v>
      </c>
      <c r="D154" s="5" t="s">
        <v>49</v>
      </c>
      <c r="E154" s="5" t="s">
        <v>28</v>
      </c>
      <c r="F154" s="5" t="s">
        <v>313</v>
      </c>
      <c r="G154" s="6"/>
      <c r="H154" s="6"/>
      <c r="I154" s="6"/>
      <c r="J154" s="6"/>
      <c r="K154" s="6"/>
      <c r="L154" s="4">
        <f ca="1">_xll.DBRW($B$1,$B$2,$B$7,$B$3,$B$4,$B$5,$F154,$B$6,L$10,$A154,$B154)</f>
        <v>0</v>
      </c>
      <c r="M154" s="4">
        <f ca="1">_xll.DBRW($B$1,$B$2,$B$7,$B$3,$B$4,$B$5,$F154,$B$6,M$10,$A154,$B154)</f>
        <v>0</v>
      </c>
      <c r="N154" s="4">
        <f ca="1">_xll.DBRW($B$1,$B$2,$B$7,$B$3,$B$4,$B$5,$F154,$B$6,N$10,$A154,$B154)</f>
        <v>0</v>
      </c>
      <c r="O154" s="4">
        <f ca="1">_xll.DBRW($B$1,$B$2,$B$7,$B$3,$B$4,$B$5,$F154,$B$6,O$10,$A154,$B154)</f>
        <v>0</v>
      </c>
      <c r="P154" s="4">
        <f ca="1">_xll.DBRW($B$1,$B$2,$B$7,$B$3,$B$4,$B$5,$F154,$B$6,P$10,$A154,$B154)</f>
        <v>0</v>
      </c>
      <c r="Q154" s="4">
        <f ca="1">_xll.DBRW($B$1,$B$2,$B$7,$B$3,$B$4,$B$5,$F154,$B$6,Q$10,$A154,$B154)</f>
        <v>0</v>
      </c>
      <c r="R154" s="4">
        <f ca="1">_xll.DBRW($B$1,$B$2,$B$7,$B$3,$B$4,$B$5,$F154,$B$6,R$10,$A154,$B154)</f>
        <v>0</v>
      </c>
      <c r="S154" s="4">
        <f ca="1">_xll.DBRW($B$1,$B$2,$B$7,$B$3,$B$4,$B$5,$F154,$B$6,S$10,$A154,$B154)</f>
        <v>0</v>
      </c>
      <c r="T154" s="4">
        <f ca="1">_xll.DBRW($B$1,$B$2,$B$7,$B$3,$B$4,$B$5,$F154,$B$6,T$10,$A154,$B154)</f>
        <v>0</v>
      </c>
      <c r="U154" s="4">
        <f ca="1">_xll.DBRW($B$1,$B$2,$B$7,$B$3,$B$4,$B$5,$F154,$B$6,U$10,$A154,$B154)</f>
        <v>0</v>
      </c>
      <c r="V154" s="4">
        <f ca="1">_xll.DBRW($B$1,$B$2,$B$7,$B$3,$B$4,$B$5,$F154,$B$6,V$10,$A154,$B154)</f>
        <v>0</v>
      </c>
      <c r="W154" s="4">
        <f ca="1">_xll.DBRW($B$1,$B$2,$B$7,$B$3,$B$4,$B$5,$F154,$B$6,W$10,$A154,$B154)</f>
        <v>0</v>
      </c>
      <c r="X154" s="4">
        <f ca="1">_xll.DBRW($B$1,$B$2,$B$7,$B$3,$B$4,$B$5,$F154,$B$6,X$10,$A154,$B154)</f>
        <v>0</v>
      </c>
      <c r="Y154" s="4">
        <f ca="1">_xll.DBRW($B$1,$B$2,$B$7,$B$3,$B$4,$B$5,$F154,$B$6,Y$10,$A154,$B154)</f>
        <v>0</v>
      </c>
      <c r="Z154" s="4">
        <f ca="1">_xll.DBRW($B$1,$B$2,$B$7,$B$3,$B$4,$B$5,$F154,$B$6,Z$10,$A154,$B154)</f>
        <v>0</v>
      </c>
      <c r="AA154" s="4">
        <f ca="1">_xll.DBRW($B$1,$B$2,$B$7,$B$3,$B$4,$B$5,$F154,$B$6,AA$10,$A154,$B154)</f>
        <v>0</v>
      </c>
      <c r="AB154" s="4">
        <f ca="1">_xll.DBRW($B$1,$B$2,$B$7,$B$3,$B$4,$B$5,$F154,$B$6,AB$10,$A154,$B154)</f>
        <v>0</v>
      </c>
      <c r="AC154" s="4">
        <f ca="1">_xll.DBRW($B$1,$B$2,$B$7,$B$3,$B$4,$B$5,$F154,$B$6,AC$10,$A154,$B154)</f>
        <v>0</v>
      </c>
      <c r="AD154" s="4">
        <f ca="1">_xll.DBRW($B$1,$B$2,$B$7,$B$3,$B$4,$B$5,$F154,$B$6,AD$10,$A154,$B154)</f>
        <v>0</v>
      </c>
      <c r="AE154" s="4">
        <f ca="1">_xll.DBRW($B$1,$B$2,$B$7,$B$3,$B$4,$B$5,$F154,$B$6,AE$10,$A154,$B154)</f>
        <v>0</v>
      </c>
    </row>
    <row r="155" spans="1:31">
      <c r="A155" s="1" t="s">
        <v>150</v>
      </c>
      <c r="B155" s="5" t="s">
        <v>186</v>
      </c>
      <c r="C155" s="5" t="s">
        <v>187</v>
      </c>
      <c r="D155" s="5" t="s">
        <v>21</v>
      </c>
      <c r="E155" s="5" t="s">
        <v>59</v>
      </c>
      <c r="F155" s="5" t="s">
        <v>313</v>
      </c>
      <c r="G155" s="6"/>
      <c r="H155" s="6"/>
      <c r="I155" s="6"/>
      <c r="J155" s="6"/>
      <c r="K155" s="6"/>
      <c r="L155" s="4">
        <f ca="1">_xll.DBRW($B$1,$B$2,$B$7,$B$3,$B$4,$B$5,$F155,$B$6,L$10,$A155,$B155)</f>
        <v>0</v>
      </c>
      <c r="M155" s="4">
        <f ca="1">_xll.DBRW($B$1,$B$2,$B$7,$B$3,$B$4,$B$5,$F155,$B$6,M$10,$A155,$B155)</f>
        <v>0</v>
      </c>
      <c r="N155" s="4">
        <f ca="1">_xll.DBRW($B$1,$B$2,$B$7,$B$3,$B$4,$B$5,$F155,$B$6,N$10,$A155,$B155)</f>
        <v>0</v>
      </c>
      <c r="O155" s="4">
        <f ca="1">_xll.DBRW($B$1,$B$2,$B$7,$B$3,$B$4,$B$5,$F155,$B$6,O$10,$A155,$B155)</f>
        <v>0</v>
      </c>
      <c r="P155" s="4">
        <f ca="1">_xll.DBRW($B$1,$B$2,$B$7,$B$3,$B$4,$B$5,$F155,$B$6,P$10,$A155,$B155)</f>
        <v>0</v>
      </c>
      <c r="Q155" s="4">
        <f ca="1">_xll.DBRW($B$1,$B$2,$B$7,$B$3,$B$4,$B$5,$F155,$B$6,Q$10,$A155,$B155)</f>
        <v>0</v>
      </c>
      <c r="R155" s="4">
        <f ca="1">_xll.DBRW($B$1,$B$2,$B$7,$B$3,$B$4,$B$5,$F155,$B$6,R$10,$A155,$B155)</f>
        <v>0</v>
      </c>
      <c r="S155" s="4">
        <f ca="1">_xll.DBRW($B$1,$B$2,$B$7,$B$3,$B$4,$B$5,$F155,$B$6,S$10,$A155,$B155)</f>
        <v>0</v>
      </c>
      <c r="T155" s="4">
        <f ca="1">_xll.DBRW($B$1,$B$2,$B$7,$B$3,$B$4,$B$5,$F155,$B$6,T$10,$A155,$B155)</f>
        <v>0</v>
      </c>
      <c r="U155" s="4">
        <f ca="1">_xll.DBRW($B$1,$B$2,$B$7,$B$3,$B$4,$B$5,$F155,$B$6,U$10,$A155,$B155)</f>
        <v>0</v>
      </c>
      <c r="V155" s="4">
        <f ca="1">_xll.DBRW($B$1,$B$2,$B$7,$B$3,$B$4,$B$5,$F155,$B$6,V$10,$A155,$B155)</f>
        <v>0</v>
      </c>
      <c r="W155" s="4">
        <f ca="1">_xll.DBRW($B$1,$B$2,$B$7,$B$3,$B$4,$B$5,$F155,$B$6,W$10,$A155,$B155)</f>
        <v>0</v>
      </c>
      <c r="X155" s="4">
        <f ca="1">_xll.DBRW($B$1,$B$2,$B$7,$B$3,$B$4,$B$5,$F155,$B$6,X$10,$A155,$B155)</f>
        <v>0</v>
      </c>
      <c r="Y155" s="4">
        <f ca="1">_xll.DBRW($B$1,$B$2,$B$7,$B$3,$B$4,$B$5,$F155,$B$6,Y$10,$A155,$B155)</f>
        <v>0</v>
      </c>
      <c r="Z155" s="4">
        <f ca="1">_xll.DBRW($B$1,$B$2,$B$7,$B$3,$B$4,$B$5,$F155,$B$6,Z$10,$A155,$B155)</f>
        <v>0</v>
      </c>
      <c r="AA155" s="4">
        <f ca="1">_xll.DBRW($B$1,$B$2,$B$7,$B$3,$B$4,$B$5,$F155,$B$6,AA$10,$A155,$B155)</f>
        <v>0</v>
      </c>
      <c r="AB155" s="4">
        <f ca="1">_xll.DBRW($B$1,$B$2,$B$7,$B$3,$B$4,$B$5,$F155,$B$6,AB$10,$A155,$B155)</f>
        <v>0</v>
      </c>
      <c r="AC155" s="4">
        <f ca="1">_xll.DBRW($B$1,$B$2,$B$7,$B$3,$B$4,$B$5,$F155,$B$6,AC$10,$A155,$B155)</f>
        <v>0</v>
      </c>
      <c r="AD155" s="4">
        <f ca="1">_xll.DBRW($B$1,$B$2,$B$7,$B$3,$B$4,$B$5,$F155,$B$6,AD$10,$A155,$B155)</f>
        <v>0</v>
      </c>
      <c r="AE155" s="4">
        <f ca="1">_xll.DBRW($B$1,$B$2,$B$7,$B$3,$B$4,$B$5,$F155,$B$6,AE$10,$A155,$B155)</f>
        <v>0</v>
      </c>
    </row>
    <row r="156" spans="1:31">
      <c r="A156" s="1" t="s">
        <v>150</v>
      </c>
      <c r="B156" s="5" t="s">
        <v>61</v>
      </c>
      <c r="C156" s="5" t="s">
        <v>62</v>
      </c>
      <c r="D156" s="5" t="s">
        <v>59</v>
      </c>
      <c r="E156" s="5" t="s">
        <v>21</v>
      </c>
      <c r="F156" s="5" t="s">
        <v>313</v>
      </c>
      <c r="G156" s="6"/>
      <c r="H156" s="6"/>
      <c r="I156" s="6"/>
      <c r="J156" s="6"/>
      <c r="K156" s="6"/>
      <c r="L156" s="4">
        <f ca="1">_xll.DBRW($B$1,$B$2,$B$7,$B$3,$B$4,$B$5,$F156,$B$6,L$10,$A156,$B156)</f>
        <v>0</v>
      </c>
      <c r="M156" s="4">
        <f ca="1">_xll.DBRW($B$1,$B$2,$B$7,$B$3,$B$4,$B$5,$F156,$B$6,M$10,$A156,$B156)</f>
        <v>0</v>
      </c>
      <c r="N156" s="4">
        <f ca="1">_xll.DBRW($B$1,$B$2,$B$7,$B$3,$B$4,$B$5,$F156,$B$6,N$10,$A156,$B156)</f>
        <v>0</v>
      </c>
      <c r="O156" s="4">
        <f ca="1">_xll.DBRW($B$1,$B$2,$B$7,$B$3,$B$4,$B$5,$F156,$B$6,O$10,$A156,$B156)</f>
        <v>0</v>
      </c>
      <c r="P156" s="4">
        <f ca="1">_xll.DBRW($B$1,$B$2,$B$7,$B$3,$B$4,$B$5,$F156,$B$6,P$10,$A156,$B156)</f>
        <v>0</v>
      </c>
      <c r="Q156" s="4">
        <f ca="1">_xll.DBRW($B$1,$B$2,$B$7,$B$3,$B$4,$B$5,$F156,$B$6,Q$10,$A156,$B156)</f>
        <v>0</v>
      </c>
      <c r="R156" s="4">
        <f ca="1">_xll.DBRW($B$1,$B$2,$B$7,$B$3,$B$4,$B$5,$F156,$B$6,R$10,$A156,$B156)</f>
        <v>0</v>
      </c>
      <c r="S156" s="4">
        <f ca="1">_xll.DBRW($B$1,$B$2,$B$7,$B$3,$B$4,$B$5,$F156,$B$6,S$10,$A156,$B156)</f>
        <v>0</v>
      </c>
      <c r="T156" s="4">
        <f ca="1">_xll.DBRW($B$1,$B$2,$B$7,$B$3,$B$4,$B$5,$F156,$B$6,T$10,$A156,$B156)</f>
        <v>0</v>
      </c>
      <c r="U156" s="4">
        <f ca="1">_xll.DBRW($B$1,$B$2,$B$7,$B$3,$B$4,$B$5,$F156,$B$6,U$10,$A156,$B156)</f>
        <v>0</v>
      </c>
      <c r="V156" s="4">
        <f ca="1">_xll.DBRW($B$1,$B$2,$B$7,$B$3,$B$4,$B$5,$F156,$B$6,V$10,$A156,$B156)</f>
        <v>0</v>
      </c>
      <c r="W156" s="4">
        <f ca="1">_xll.DBRW($B$1,$B$2,$B$7,$B$3,$B$4,$B$5,$F156,$B$6,W$10,$A156,$B156)</f>
        <v>0</v>
      </c>
      <c r="X156" s="4">
        <f ca="1">_xll.DBRW($B$1,$B$2,$B$7,$B$3,$B$4,$B$5,$F156,$B$6,X$10,$A156,$B156)</f>
        <v>0</v>
      </c>
      <c r="Y156" s="4">
        <f ca="1">_xll.DBRW($B$1,$B$2,$B$7,$B$3,$B$4,$B$5,$F156,$B$6,Y$10,$A156,$B156)</f>
        <v>0</v>
      </c>
      <c r="Z156" s="4">
        <f ca="1">_xll.DBRW($B$1,$B$2,$B$7,$B$3,$B$4,$B$5,$F156,$B$6,Z$10,$A156,$B156)</f>
        <v>0</v>
      </c>
      <c r="AA156" s="4">
        <f ca="1">_xll.DBRW($B$1,$B$2,$B$7,$B$3,$B$4,$B$5,$F156,$B$6,AA$10,$A156,$B156)</f>
        <v>0</v>
      </c>
      <c r="AB156" s="4">
        <f ca="1">_xll.DBRW($B$1,$B$2,$B$7,$B$3,$B$4,$B$5,$F156,$B$6,AB$10,$A156,$B156)</f>
        <v>0</v>
      </c>
      <c r="AC156" s="4">
        <f ca="1">_xll.DBRW($B$1,$B$2,$B$7,$B$3,$B$4,$B$5,$F156,$B$6,AC$10,$A156,$B156)</f>
        <v>0</v>
      </c>
      <c r="AD156" s="4">
        <f ca="1">_xll.DBRW($B$1,$B$2,$B$7,$B$3,$B$4,$B$5,$F156,$B$6,AD$10,$A156,$B156)</f>
        <v>0</v>
      </c>
      <c r="AE156" s="4">
        <f ca="1">_xll.DBRW($B$1,$B$2,$B$7,$B$3,$B$4,$B$5,$F156,$B$6,AE$10,$A156,$B156)</f>
        <v>0</v>
      </c>
    </row>
    <row r="157" spans="1:31">
      <c r="A157" s="1" t="s">
        <v>150</v>
      </c>
      <c r="B157" s="5" t="s">
        <v>188</v>
      </c>
      <c r="C157" s="5" t="s">
        <v>189</v>
      </c>
      <c r="D157" s="5" t="s">
        <v>21</v>
      </c>
      <c r="E157" s="5" t="s">
        <v>20</v>
      </c>
      <c r="F157" s="5" t="s">
        <v>313</v>
      </c>
      <c r="G157" s="6"/>
      <c r="H157" s="6"/>
      <c r="I157" s="6"/>
      <c r="J157" s="6"/>
      <c r="K157" s="6"/>
      <c r="L157" s="4">
        <f ca="1">_xll.DBRW($B$1,$B$2,$B$7,$B$3,$B$4,$B$5,$F157,$B$6,L$10,$A157,$B157)</f>
        <v>0</v>
      </c>
      <c r="M157" s="4">
        <f ca="1">_xll.DBRW($B$1,$B$2,$B$7,$B$3,$B$4,$B$5,$F157,$B$6,M$10,$A157,$B157)</f>
        <v>0</v>
      </c>
      <c r="N157" s="4">
        <f ca="1">_xll.DBRW($B$1,$B$2,$B$7,$B$3,$B$4,$B$5,$F157,$B$6,N$10,$A157,$B157)</f>
        <v>0</v>
      </c>
      <c r="O157" s="4">
        <f ca="1">_xll.DBRW($B$1,$B$2,$B$7,$B$3,$B$4,$B$5,$F157,$B$6,O$10,$A157,$B157)</f>
        <v>0</v>
      </c>
      <c r="P157" s="4">
        <f ca="1">_xll.DBRW($B$1,$B$2,$B$7,$B$3,$B$4,$B$5,$F157,$B$6,P$10,$A157,$B157)</f>
        <v>0</v>
      </c>
      <c r="Q157" s="4">
        <f ca="1">_xll.DBRW($B$1,$B$2,$B$7,$B$3,$B$4,$B$5,$F157,$B$6,Q$10,$A157,$B157)</f>
        <v>0</v>
      </c>
      <c r="R157" s="4">
        <f ca="1">_xll.DBRW($B$1,$B$2,$B$7,$B$3,$B$4,$B$5,$F157,$B$6,R$10,$A157,$B157)</f>
        <v>0</v>
      </c>
      <c r="S157" s="4">
        <f ca="1">_xll.DBRW($B$1,$B$2,$B$7,$B$3,$B$4,$B$5,$F157,$B$6,S$10,$A157,$B157)</f>
        <v>0</v>
      </c>
      <c r="T157" s="4">
        <f ca="1">_xll.DBRW($B$1,$B$2,$B$7,$B$3,$B$4,$B$5,$F157,$B$6,T$10,$A157,$B157)</f>
        <v>0</v>
      </c>
      <c r="U157" s="4">
        <f ca="1">_xll.DBRW($B$1,$B$2,$B$7,$B$3,$B$4,$B$5,$F157,$B$6,U$10,$A157,$B157)</f>
        <v>0</v>
      </c>
      <c r="V157" s="4">
        <f ca="1">_xll.DBRW($B$1,$B$2,$B$7,$B$3,$B$4,$B$5,$F157,$B$6,V$10,$A157,$B157)</f>
        <v>0</v>
      </c>
      <c r="W157" s="4">
        <f ca="1">_xll.DBRW($B$1,$B$2,$B$7,$B$3,$B$4,$B$5,$F157,$B$6,W$10,$A157,$B157)</f>
        <v>0</v>
      </c>
      <c r="X157" s="4">
        <f ca="1">_xll.DBRW($B$1,$B$2,$B$7,$B$3,$B$4,$B$5,$F157,$B$6,X$10,$A157,$B157)</f>
        <v>0</v>
      </c>
      <c r="Y157" s="4">
        <f ca="1">_xll.DBRW($B$1,$B$2,$B$7,$B$3,$B$4,$B$5,$F157,$B$6,Y$10,$A157,$B157)</f>
        <v>0</v>
      </c>
      <c r="Z157" s="4">
        <f ca="1">_xll.DBRW($B$1,$B$2,$B$7,$B$3,$B$4,$B$5,$F157,$B$6,Z$10,$A157,$B157)</f>
        <v>0</v>
      </c>
      <c r="AA157" s="4">
        <f ca="1">_xll.DBRW($B$1,$B$2,$B$7,$B$3,$B$4,$B$5,$F157,$B$6,AA$10,$A157,$B157)</f>
        <v>0</v>
      </c>
      <c r="AB157" s="4">
        <f ca="1">_xll.DBRW($B$1,$B$2,$B$7,$B$3,$B$4,$B$5,$F157,$B$6,AB$10,$A157,$B157)</f>
        <v>0</v>
      </c>
      <c r="AC157" s="4">
        <f ca="1">_xll.DBRW($B$1,$B$2,$B$7,$B$3,$B$4,$B$5,$F157,$B$6,AC$10,$A157,$B157)</f>
        <v>0</v>
      </c>
      <c r="AD157" s="4">
        <f ca="1">_xll.DBRW($B$1,$B$2,$B$7,$B$3,$B$4,$B$5,$F157,$B$6,AD$10,$A157,$B157)</f>
        <v>0</v>
      </c>
      <c r="AE157" s="4">
        <f ca="1">_xll.DBRW($B$1,$B$2,$B$7,$B$3,$B$4,$B$5,$F157,$B$6,AE$10,$A157,$B157)</f>
        <v>0</v>
      </c>
    </row>
    <row r="158" spans="1:31">
      <c r="A158" s="1" t="s">
        <v>150</v>
      </c>
      <c r="B158" s="5" t="s">
        <v>18</v>
      </c>
      <c r="C158" s="5" t="s">
        <v>19</v>
      </c>
      <c r="D158" s="5" t="s">
        <v>20</v>
      </c>
      <c r="E158" s="5" t="s">
        <v>21</v>
      </c>
      <c r="F158" s="5" t="s">
        <v>313</v>
      </c>
      <c r="G158" s="6"/>
      <c r="H158" s="6"/>
      <c r="I158" s="6"/>
      <c r="J158" s="6"/>
      <c r="K158" s="6"/>
      <c r="L158" s="4">
        <f ca="1">_xll.DBRW($B$1,$B$2,$B$7,$B$3,$B$4,$B$5,$F158,$B$6,L$10,$A158,$B158)</f>
        <v>0</v>
      </c>
      <c r="M158" s="4">
        <f ca="1">_xll.DBRW($B$1,$B$2,$B$7,$B$3,$B$4,$B$5,$F158,$B$6,M$10,$A158,$B158)</f>
        <v>0</v>
      </c>
      <c r="N158" s="4">
        <f ca="1">_xll.DBRW($B$1,$B$2,$B$7,$B$3,$B$4,$B$5,$F158,$B$6,N$10,$A158,$B158)</f>
        <v>0</v>
      </c>
      <c r="O158" s="4">
        <f ca="1">_xll.DBRW($B$1,$B$2,$B$7,$B$3,$B$4,$B$5,$F158,$B$6,O$10,$A158,$B158)</f>
        <v>0</v>
      </c>
      <c r="P158" s="4">
        <f ca="1">_xll.DBRW($B$1,$B$2,$B$7,$B$3,$B$4,$B$5,$F158,$B$6,P$10,$A158,$B158)</f>
        <v>0</v>
      </c>
      <c r="Q158" s="4">
        <f ca="1">_xll.DBRW($B$1,$B$2,$B$7,$B$3,$B$4,$B$5,$F158,$B$6,Q$10,$A158,$B158)</f>
        <v>0</v>
      </c>
      <c r="R158" s="4">
        <f ca="1">_xll.DBRW($B$1,$B$2,$B$7,$B$3,$B$4,$B$5,$F158,$B$6,R$10,$A158,$B158)</f>
        <v>0</v>
      </c>
      <c r="S158" s="4">
        <f ca="1">_xll.DBRW($B$1,$B$2,$B$7,$B$3,$B$4,$B$5,$F158,$B$6,S$10,$A158,$B158)</f>
        <v>0</v>
      </c>
      <c r="T158" s="4">
        <f ca="1">_xll.DBRW($B$1,$B$2,$B$7,$B$3,$B$4,$B$5,$F158,$B$6,T$10,$A158,$B158)</f>
        <v>0</v>
      </c>
      <c r="U158" s="4">
        <f ca="1">_xll.DBRW($B$1,$B$2,$B$7,$B$3,$B$4,$B$5,$F158,$B$6,U$10,$A158,$B158)</f>
        <v>0</v>
      </c>
      <c r="V158" s="4">
        <f ca="1">_xll.DBRW($B$1,$B$2,$B$7,$B$3,$B$4,$B$5,$F158,$B$6,V$10,$A158,$B158)</f>
        <v>0</v>
      </c>
      <c r="W158" s="4">
        <f ca="1">_xll.DBRW($B$1,$B$2,$B$7,$B$3,$B$4,$B$5,$F158,$B$6,W$10,$A158,$B158)</f>
        <v>0</v>
      </c>
      <c r="X158" s="4">
        <f ca="1">_xll.DBRW($B$1,$B$2,$B$7,$B$3,$B$4,$B$5,$F158,$B$6,X$10,$A158,$B158)</f>
        <v>0</v>
      </c>
      <c r="Y158" s="4">
        <f ca="1">_xll.DBRW($B$1,$B$2,$B$7,$B$3,$B$4,$B$5,$F158,$B$6,Y$10,$A158,$B158)</f>
        <v>0</v>
      </c>
      <c r="Z158" s="4">
        <f ca="1">_xll.DBRW($B$1,$B$2,$B$7,$B$3,$B$4,$B$5,$F158,$B$6,Z$10,$A158,$B158)</f>
        <v>0</v>
      </c>
      <c r="AA158" s="4">
        <f ca="1">_xll.DBRW($B$1,$B$2,$B$7,$B$3,$B$4,$B$5,$F158,$B$6,AA$10,$A158,$B158)</f>
        <v>0</v>
      </c>
      <c r="AB158" s="4">
        <f ca="1">_xll.DBRW($B$1,$B$2,$B$7,$B$3,$B$4,$B$5,$F158,$B$6,AB$10,$A158,$B158)</f>
        <v>0</v>
      </c>
      <c r="AC158" s="4">
        <f ca="1">_xll.DBRW($B$1,$B$2,$B$7,$B$3,$B$4,$B$5,$F158,$B$6,AC$10,$A158,$B158)</f>
        <v>0</v>
      </c>
      <c r="AD158" s="4">
        <f ca="1">_xll.DBRW($B$1,$B$2,$B$7,$B$3,$B$4,$B$5,$F158,$B$6,AD$10,$A158,$B158)</f>
        <v>0</v>
      </c>
      <c r="AE158" s="4">
        <f ca="1">_xll.DBRW($B$1,$B$2,$B$7,$B$3,$B$4,$B$5,$F158,$B$6,AE$10,$A158,$B158)</f>
        <v>0</v>
      </c>
    </row>
    <row r="159" spans="1:31">
      <c r="A159" s="1" t="s">
        <v>150</v>
      </c>
      <c r="B159" s="5" t="s">
        <v>190</v>
      </c>
      <c r="C159" s="5" t="s">
        <v>191</v>
      </c>
      <c r="D159" s="5" t="s">
        <v>21</v>
      </c>
      <c r="E159" s="5" t="s">
        <v>73</v>
      </c>
      <c r="F159" s="5" t="s">
        <v>313</v>
      </c>
      <c r="G159" s="6"/>
      <c r="H159" s="6"/>
      <c r="I159" s="6"/>
      <c r="J159" s="6"/>
      <c r="K159" s="6"/>
      <c r="L159" s="4">
        <f ca="1">_xll.DBRW($B$1,$B$2,$B$7,$B$3,$B$4,$B$5,$F159,$B$6,L$10,$A159,$B159)</f>
        <v>0</v>
      </c>
      <c r="M159" s="4">
        <f ca="1">_xll.DBRW($B$1,$B$2,$B$7,$B$3,$B$4,$B$5,$F159,$B$6,M$10,$A159,$B159)</f>
        <v>0</v>
      </c>
      <c r="N159" s="4">
        <f ca="1">_xll.DBRW($B$1,$B$2,$B$7,$B$3,$B$4,$B$5,$F159,$B$6,N$10,$A159,$B159)</f>
        <v>0</v>
      </c>
      <c r="O159" s="4">
        <f ca="1">_xll.DBRW($B$1,$B$2,$B$7,$B$3,$B$4,$B$5,$F159,$B$6,O$10,$A159,$B159)</f>
        <v>0</v>
      </c>
      <c r="P159" s="4">
        <f ca="1">_xll.DBRW($B$1,$B$2,$B$7,$B$3,$B$4,$B$5,$F159,$B$6,P$10,$A159,$B159)</f>
        <v>0</v>
      </c>
      <c r="Q159" s="4">
        <f ca="1">_xll.DBRW($B$1,$B$2,$B$7,$B$3,$B$4,$B$5,$F159,$B$6,Q$10,$A159,$B159)</f>
        <v>0</v>
      </c>
      <c r="R159" s="4">
        <f ca="1">_xll.DBRW($B$1,$B$2,$B$7,$B$3,$B$4,$B$5,$F159,$B$6,R$10,$A159,$B159)</f>
        <v>0</v>
      </c>
      <c r="S159" s="4">
        <f ca="1">_xll.DBRW($B$1,$B$2,$B$7,$B$3,$B$4,$B$5,$F159,$B$6,S$10,$A159,$B159)</f>
        <v>0</v>
      </c>
      <c r="T159" s="4">
        <f ca="1">_xll.DBRW($B$1,$B$2,$B$7,$B$3,$B$4,$B$5,$F159,$B$6,T$10,$A159,$B159)</f>
        <v>0</v>
      </c>
      <c r="U159" s="4">
        <f ca="1">_xll.DBRW($B$1,$B$2,$B$7,$B$3,$B$4,$B$5,$F159,$B$6,U$10,$A159,$B159)</f>
        <v>0</v>
      </c>
      <c r="V159" s="4">
        <f ca="1">_xll.DBRW($B$1,$B$2,$B$7,$B$3,$B$4,$B$5,$F159,$B$6,V$10,$A159,$B159)</f>
        <v>0</v>
      </c>
      <c r="W159" s="4">
        <f ca="1">_xll.DBRW($B$1,$B$2,$B$7,$B$3,$B$4,$B$5,$F159,$B$6,W$10,$A159,$B159)</f>
        <v>0</v>
      </c>
      <c r="X159" s="4">
        <f ca="1">_xll.DBRW($B$1,$B$2,$B$7,$B$3,$B$4,$B$5,$F159,$B$6,X$10,$A159,$B159)</f>
        <v>0</v>
      </c>
      <c r="Y159" s="4">
        <f ca="1">_xll.DBRW($B$1,$B$2,$B$7,$B$3,$B$4,$B$5,$F159,$B$6,Y$10,$A159,$B159)</f>
        <v>0</v>
      </c>
      <c r="Z159" s="4">
        <f ca="1">_xll.DBRW($B$1,$B$2,$B$7,$B$3,$B$4,$B$5,$F159,$B$6,Z$10,$A159,$B159)</f>
        <v>0</v>
      </c>
      <c r="AA159" s="4">
        <f ca="1">_xll.DBRW($B$1,$B$2,$B$7,$B$3,$B$4,$B$5,$F159,$B$6,AA$10,$A159,$B159)</f>
        <v>0</v>
      </c>
      <c r="AB159" s="4">
        <f ca="1">_xll.DBRW($B$1,$B$2,$B$7,$B$3,$B$4,$B$5,$F159,$B$6,AB$10,$A159,$B159)</f>
        <v>0</v>
      </c>
      <c r="AC159" s="4">
        <f ca="1">_xll.DBRW($B$1,$B$2,$B$7,$B$3,$B$4,$B$5,$F159,$B$6,AC$10,$A159,$B159)</f>
        <v>0</v>
      </c>
      <c r="AD159" s="4">
        <f ca="1">_xll.DBRW($B$1,$B$2,$B$7,$B$3,$B$4,$B$5,$F159,$B$6,AD$10,$A159,$B159)</f>
        <v>0</v>
      </c>
      <c r="AE159" s="4">
        <f ca="1">_xll.DBRW($B$1,$B$2,$B$7,$B$3,$B$4,$B$5,$F159,$B$6,AE$10,$A159,$B159)</f>
        <v>0</v>
      </c>
    </row>
    <row r="160" spans="1:31">
      <c r="A160" s="1" t="s">
        <v>150</v>
      </c>
      <c r="B160" s="5" t="s">
        <v>71</v>
      </c>
      <c r="C160" s="5" t="s">
        <v>72</v>
      </c>
      <c r="D160" s="5" t="s">
        <v>73</v>
      </c>
      <c r="E160" s="5" t="s">
        <v>21</v>
      </c>
      <c r="F160" s="5" t="s">
        <v>313</v>
      </c>
      <c r="G160" s="6"/>
      <c r="H160" s="6"/>
      <c r="I160" s="6"/>
      <c r="J160" s="6"/>
      <c r="K160" s="6"/>
      <c r="L160" s="4">
        <f ca="1">_xll.DBRW($B$1,$B$2,$B$7,$B$3,$B$4,$B$5,$F160,$B$6,L$10,$A160,$B160)</f>
        <v>0</v>
      </c>
      <c r="M160" s="4">
        <f ca="1">_xll.DBRW($B$1,$B$2,$B$7,$B$3,$B$4,$B$5,$F160,$B$6,M$10,$A160,$B160)</f>
        <v>0</v>
      </c>
      <c r="N160" s="4">
        <f ca="1">_xll.DBRW($B$1,$B$2,$B$7,$B$3,$B$4,$B$5,$F160,$B$6,N$10,$A160,$B160)</f>
        <v>0</v>
      </c>
      <c r="O160" s="4">
        <f ca="1">_xll.DBRW($B$1,$B$2,$B$7,$B$3,$B$4,$B$5,$F160,$B$6,O$10,$A160,$B160)</f>
        <v>0</v>
      </c>
      <c r="P160" s="4">
        <f ca="1">_xll.DBRW($B$1,$B$2,$B$7,$B$3,$B$4,$B$5,$F160,$B$6,P$10,$A160,$B160)</f>
        <v>0</v>
      </c>
      <c r="Q160" s="4">
        <f ca="1">_xll.DBRW($B$1,$B$2,$B$7,$B$3,$B$4,$B$5,$F160,$B$6,Q$10,$A160,$B160)</f>
        <v>0</v>
      </c>
      <c r="R160" s="4">
        <f ca="1">_xll.DBRW($B$1,$B$2,$B$7,$B$3,$B$4,$B$5,$F160,$B$6,R$10,$A160,$B160)</f>
        <v>0</v>
      </c>
      <c r="S160" s="4">
        <f ca="1">_xll.DBRW($B$1,$B$2,$B$7,$B$3,$B$4,$B$5,$F160,$B$6,S$10,$A160,$B160)</f>
        <v>0</v>
      </c>
      <c r="T160" s="4">
        <f ca="1">_xll.DBRW($B$1,$B$2,$B$7,$B$3,$B$4,$B$5,$F160,$B$6,T$10,$A160,$B160)</f>
        <v>0</v>
      </c>
      <c r="U160" s="4">
        <f ca="1">_xll.DBRW($B$1,$B$2,$B$7,$B$3,$B$4,$B$5,$F160,$B$6,U$10,$A160,$B160)</f>
        <v>0</v>
      </c>
      <c r="V160" s="4">
        <f ca="1">_xll.DBRW($B$1,$B$2,$B$7,$B$3,$B$4,$B$5,$F160,$B$6,V$10,$A160,$B160)</f>
        <v>0</v>
      </c>
      <c r="W160" s="4">
        <f ca="1">_xll.DBRW($B$1,$B$2,$B$7,$B$3,$B$4,$B$5,$F160,$B$6,W$10,$A160,$B160)</f>
        <v>0</v>
      </c>
      <c r="X160" s="4">
        <f ca="1">_xll.DBRW($B$1,$B$2,$B$7,$B$3,$B$4,$B$5,$F160,$B$6,X$10,$A160,$B160)</f>
        <v>0</v>
      </c>
      <c r="Y160" s="4">
        <f ca="1">_xll.DBRW($B$1,$B$2,$B$7,$B$3,$B$4,$B$5,$F160,$B$6,Y$10,$A160,$B160)</f>
        <v>0</v>
      </c>
      <c r="Z160" s="4">
        <f ca="1">_xll.DBRW($B$1,$B$2,$B$7,$B$3,$B$4,$B$5,$F160,$B$6,Z$10,$A160,$B160)</f>
        <v>0</v>
      </c>
      <c r="AA160" s="4">
        <f ca="1">_xll.DBRW($B$1,$B$2,$B$7,$B$3,$B$4,$B$5,$F160,$B$6,AA$10,$A160,$B160)</f>
        <v>0</v>
      </c>
      <c r="AB160" s="4">
        <f ca="1">_xll.DBRW($B$1,$B$2,$B$7,$B$3,$B$4,$B$5,$F160,$B$6,AB$10,$A160,$B160)</f>
        <v>0</v>
      </c>
      <c r="AC160" s="4">
        <f ca="1">_xll.DBRW($B$1,$B$2,$B$7,$B$3,$B$4,$B$5,$F160,$B$6,AC$10,$A160,$B160)</f>
        <v>0</v>
      </c>
      <c r="AD160" s="4">
        <f ca="1">_xll.DBRW($B$1,$B$2,$B$7,$B$3,$B$4,$B$5,$F160,$B$6,AD$10,$A160,$B160)</f>
        <v>0</v>
      </c>
      <c r="AE160" s="4">
        <f ca="1">_xll.DBRW($B$1,$B$2,$B$7,$B$3,$B$4,$B$5,$F160,$B$6,AE$10,$A160,$B160)</f>
        <v>0</v>
      </c>
    </row>
    <row r="161" spans="1:31">
      <c r="A161" s="1" t="s">
        <v>150</v>
      </c>
      <c r="B161" s="5" t="s">
        <v>192</v>
      </c>
      <c r="C161" s="5" t="s">
        <v>193</v>
      </c>
      <c r="D161" s="5" t="s">
        <v>21</v>
      </c>
      <c r="E161" s="5" t="s">
        <v>194</v>
      </c>
      <c r="F161" s="5" t="s">
        <v>313</v>
      </c>
      <c r="G161" s="6"/>
      <c r="H161" s="6"/>
      <c r="I161" s="6"/>
      <c r="J161" s="6"/>
      <c r="K161" s="6"/>
      <c r="L161" s="4">
        <f ca="1">_xll.DBRW($B$1,$B$2,$B$7,$B$3,$B$4,$B$5,$F161,$B$6,L$10,$A161,$B161)</f>
        <v>0</v>
      </c>
      <c r="M161" s="4">
        <f ca="1">_xll.DBRW($B$1,$B$2,$B$7,$B$3,$B$4,$B$5,$F161,$B$6,M$10,$A161,$B161)</f>
        <v>0</v>
      </c>
      <c r="N161" s="4">
        <f ca="1">_xll.DBRW($B$1,$B$2,$B$7,$B$3,$B$4,$B$5,$F161,$B$6,N$10,$A161,$B161)</f>
        <v>0</v>
      </c>
      <c r="O161" s="4">
        <f ca="1">_xll.DBRW($B$1,$B$2,$B$7,$B$3,$B$4,$B$5,$F161,$B$6,O$10,$A161,$B161)</f>
        <v>0</v>
      </c>
      <c r="P161" s="4">
        <f ca="1">_xll.DBRW($B$1,$B$2,$B$7,$B$3,$B$4,$B$5,$F161,$B$6,P$10,$A161,$B161)</f>
        <v>0</v>
      </c>
      <c r="Q161" s="4">
        <f ca="1">_xll.DBRW($B$1,$B$2,$B$7,$B$3,$B$4,$B$5,$F161,$B$6,Q$10,$A161,$B161)</f>
        <v>0</v>
      </c>
      <c r="R161" s="4">
        <f ca="1">_xll.DBRW($B$1,$B$2,$B$7,$B$3,$B$4,$B$5,$F161,$B$6,R$10,$A161,$B161)</f>
        <v>0</v>
      </c>
      <c r="S161" s="4">
        <f ca="1">_xll.DBRW($B$1,$B$2,$B$7,$B$3,$B$4,$B$5,$F161,$B$6,S$10,$A161,$B161)</f>
        <v>0</v>
      </c>
      <c r="T161" s="4">
        <f ca="1">_xll.DBRW($B$1,$B$2,$B$7,$B$3,$B$4,$B$5,$F161,$B$6,T$10,$A161,$B161)</f>
        <v>0</v>
      </c>
      <c r="U161" s="4">
        <f ca="1">_xll.DBRW($B$1,$B$2,$B$7,$B$3,$B$4,$B$5,$F161,$B$6,U$10,$A161,$B161)</f>
        <v>0</v>
      </c>
      <c r="V161" s="4">
        <f ca="1">_xll.DBRW($B$1,$B$2,$B$7,$B$3,$B$4,$B$5,$F161,$B$6,V$10,$A161,$B161)</f>
        <v>0</v>
      </c>
      <c r="W161" s="4">
        <f ca="1">_xll.DBRW($B$1,$B$2,$B$7,$B$3,$B$4,$B$5,$F161,$B$6,W$10,$A161,$B161)</f>
        <v>0</v>
      </c>
      <c r="X161" s="4">
        <f ca="1">_xll.DBRW($B$1,$B$2,$B$7,$B$3,$B$4,$B$5,$F161,$B$6,X$10,$A161,$B161)</f>
        <v>0</v>
      </c>
      <c r="Y161" s="4">
        <f ca="1">_xll.DBRW($B$1,$B$2,$B$7,$B$3,$B$4,$B$5,$F161,$B$6,Y$10,$A161,$B161)</f>
        <v>0</v>
      </c>
      <c r="Z161" s="4">
        <f ca="1">_xll.DBRW($B$1,$B$2,$B$7,$B$3,$B$4,$B$5,$F161,$B$6,Z$10,$A161,$B161)</f>
        <v>0</v>
      </c>
      <c r="AA161" s="4">
        <f ca="1">_xll.DBRW($B$1,$B$2,$B$7,$B$3,$B$4,$B$5,$F161,$B$6,AA$10,$A161,$B161)</f>
        <v>0</v>
      </c>
      <c r="AB161" s="4">
        <f ca="1">_xll.DBRW($B$1,$B$2,$B$7,$B$3,$B$4,$B$5,$F161,$B$6,AB$10,$A161,$B161)</f>
        <v>0</v>
      </c>
      <c r="AC161" s="4">
        <f ca="1">_xll.DBRW($B$1,$B$2,$B$7,$B$3,$B$4,$B$5,$F161,$B$6,AC$10,$A161,$B161)</f>
        <v>0</v>
      </c>
      <c r="AD161" s="4">
        <f ca="1">_xll.DBRW($B$1,$B$2,$B$7,$B$3,$B$4,$B$5,$F161,$B$6,AD$10,$A161,$B161)</f>
        <v>0</v>
      </c>
      <c r="AE161" s="4">
        <f ca="1">_xll.DBRW($B$1,$B$2,$B$7,$B$3,$B$4,$B$5,$F161,$B$6,AE$10,$A161,$B161)</f>
        <v>0</v>
      </c>
    </row>
    <row r="162" spans="1:31">
      <c r="A162" s="1" t="s">
        <v>150</v>
      </c>
      <c r="B162" s="5" t="s">
        <v>195</v>
      </c>
      <c r="C162" s="5" t="s">
        <v>196</v>
      </c>
      <c r="D162" s="5" t="s">
        <v>194</v>
      </c>
      <c r="E162" s="5" t="s">
        <v>21</v>
      </c>
      <c r="F162" s="5" t="s">
        <v>313</v>
      </c>
      <c r="G162" s="6"/>
      <c r="H162" s="6"/>
      <c r="I162" s="6"/>
      <c r="J162" s="6"/>
      <c r="K162" s="6"/>
      <c r="L162" s="4">
        <f ca="1">_xll.DBRW($B$1,$B$2,$B$7,$B$3,$B$4,$B$5,$F162,$B$6,L$10,$A162,$B162)</f>
        <v>0</v>
      </c>
      <c r="M162" s="4">
        <f ca="1">_xll.DBRW($B$1,$B$2,$B$7,$B$3,$B$4,$B$5,$F162,$B$6,M$10,$A162,$B162)</f>
        <v>0</v>
      </c>
      <c r="N162" s="4">
        <f ca="1">_xll.DBRW($B$1,$B$2,$B$7,$B$3,$B$4,$B$5,$F162,$B$6,N$10,$A162,$B162)</f>
        <v>0</v>
      </c>
      <c r="O162" s="4">
        <f ca="1">_xll.DBRW($B$1,$B$2,$B$7,$B$3,$B$4,$B$5,$F162,$B$6,O$10,$A162,$B162)</f>
        <v>0</v>
      </c>
      <c r="P162" s="4">
        <f ca="1">_xll.DBRW($B$1,$B$2,$B$7,$B$3,$B$4,$B$5,$F162,$B$6,P$10,$A162,$B162)</f>
        <v>0</v>
      </c>
      <c r="Q162" s="4">
        <f ca="1">_xll.DBRW($B$1,$B$2,$B$7,$B$3,$B$4,$B$5,$F162,$B$6,Q$10,$A162,$B162)</f>
        <v>0</v>
      </c>
      <c r="R162" s="4">
        <f ca="1">_xll.DBRW($B$1,$B$2,$B$7,$B$3,$B$4,$B$5,$F162,$B$6,R$10,$A162,$B162)</f>
        <v>0</v>
      </c>
      <c r="S162" s="4">
        <f ca="1">_xll.DBRW($B$1,$B$2,$B$7,$B$3,$B$4,$B$5,$F162,$B$6,S$10,$A162,$B162)</f>
        <v>0</v>
      </c>
      <c r="T162" s="4">
        <f ca="1">_xll.DBRW($B$1,$B$2,$B$7,$B$3,$B$4,$B$5,$F162,$B$6,T$10,$A162,$B162)</f>
        <v>0</v>
      </c>
      <c r="U162" s="4">
        <f ca="1">_xll.DBRW($B$1,$B$2,$B$7,$B$3,$B$4,$B$5,$F162,$B$6,U$10,$A162,$B162)</f>
        <v>0</v>
      </c>
      <c r="V162" s="4">
        <f ca="1">_xll.DBRW($B$1,$B$2,$B$7,$B$3,$B$4,$B$5,$F162,$B$6,V$10,$A162,$B162)</f>
        <v>0</v>
      </c>
      <c r="W162" s="4">
        <f ca="1">_xll.DBRW($B$1,$B$2,$B$7,$B$3,$B$4,$B$5,$F162,$B$6,W$10,$A162,$B162)</f>
        <v>0</v>
      </c>
      <c r="X162" s="4">
        <f ca="1">_xll.DBRW($B$1,$B$2,$B$7,$B$3,$B$4,$B$5,$F162,$B$6,X$10,$A162,$B162)</f>
        <v>0</v>
      </c>
      <c r="Y162" s="4">
        <f ca="1">_xll.DBRW($B$1,$B$2,$B$7,$B$3,$B$4,$B$5,$F162,$B$6,Y$10,$A162,$B162)</f>
        <v>0</v>
      </c>
      <c r="Z162" s="4">
        <f ca="1">_xll.DBRW($B$1,$B$2,$B$7,$B$3,$B$4,$B$5,$F162,$B$6,Z$10,$A162,$B162)</f>
        <v>0</v>
      </c>
      <c r="AA162" s="4">
        <f ca="1">_xll.DBRW($B$1,$B$2,$B$7,$B$3,$B$4,$B$5,$F162,$B$6,AA$10,$A162,$B162)</f>
        <v>0</v>
      </c>
      <c r="AB162" s="4">
        <f ca="1">_xll.DBRW($B$1,$B$2,$B$7,$B$3,$B$4,$B$5,$F162,$B$6,AB$10,$A162,$B162)</f>
        <v>0</v>
      </c>
      <c r="AC162" s="4">
        <f ca="1">_xll.DBRW($B$1,$B$2,$B$7,$B$3,$B$4,$B$5,$F162,$B$6,AC$10,$A162,$B162)</f>
        <v>0</v>
      </c>
      <c r="AD162" s="4">
        <f ca="1">_xll.DBRW($B$1,$B$2,$B$7,$B$3,$B$4,$B$5,$F162,$B$6,AD$10,$A162,$B162)</f>
        <v>0</v>
      </c>
      <c r="AE162" s="4">
        <f ca="1">_xll.DBRW($B$1,$B$2,$B$7,$B$3,$B$4,$B$5,$F162,$B$6,AE$10,$A162,$B162)</f>
        <v>0</v>
      </c>
    </row>
    <row r="163" spans="1:31">
      <c r="A163" s="1" t="s">
        <v>150</v>
      </c>
      <c r="B163" s="5" t="s">
        <v>197</v>
      </c>
      <c r="C163" s="5" t="s">
        <v>198</v>
      </c>
      <c r="D163" s="5" t="s">
        <v>28</v>
      </c>
      <c r="E163" s="5" t="s">
        <v>20</v>
      </c>
      <c r="F163" s="5" t="s">
        <v>313</v>
      </c>
      <c r="G163" s="6"/>
      <c r="H163" s="6"/>
      <c r="I163" s="6"/>
      <c r="J163" s="6"/>
      <c r="K163" s="6"/>
      <c r="L163" s="4">
        <f ca="1">_xll.DBRW($B$1,$B$2,$B$7,$B$3,$B$4,$B$5,$F163,$B$6,L$10,$A163,$B163)</f>
        <v>0</v>
      </c>
      <c r="M163" s="4">
        <f ca="1">_xll.DBRW($B$1,$B$2,$B$7,$B$3,$B$4,$B$5,$F163,$B$6,M$10,$A163,$B163)</f>
        <v>0</v>
      </c>
      <c r="N163" s="4">
        <f ca="1">_xll.DBRW($B$1,$B$2,$B$7,$B$3,$B$4,$B$5,$F163,$B$6,N$10,$A163,$B163)</f>
        <v>0</v>
      </c>
      <c r="O163" s="4">
        <f ca="1">_xll.DBRW($B$1,$B$2,$B$7,$B$3,$B$4,$B$5,$F163,$B$6,O$10,$A163,$B163)</f>
        <v>0</v>
      </c>
      <c r="P163" s="4">
        <f ca="1">_xll.DBRW($B$1,$B$2,$B$7,$B$3,$B$4,$B$5,$F163,$B$6,P$10,$A163,$B163)</f>
        <v>0</v>
      </c>
      <c r="Q163" s="4">
        <f ca="1">_xll.DBRW($B$1,$B$2,$B$7,$B$3,$B$4,$B$5,$F163,$B$6,Q$10,$A163,$B163)</f>
        <v>0</v>
      </c>
      <c r="R163" s="4">
        <f ca="1">_xll.DBRW($B$1,$B$2,$B$7,$B$3,$B$4,$B$5,$F163,$B$6,R$10,$A163,$B163)</f>
        <v>0</v>
      </c>
      <c r="S163" s="4">
        <f ca="1">_xll.DBRW($B$1,$B$2,$B$7,$B$3,$B$4,$B$5,$F163,$B$6,S$10,$A163,$B163)</f>
        <v>0</v>
      </c>
      <c r="T163" s="4">
        <f ca="1">_xll.DBRW($B$1,$B$2,$B$7,$B$3,$B$4,$B$5,$F163,$B$6,T$10,$A163,$B163)</f>
        <v>0</v>
      </c>
      <c r="U163" s="4">
        <f ca="1">_xll.DBRW($B$1,$B$2,$B$7,$B$3,$B$4,$B$5,$F163,$B$6,U$10,$A163,$B163)</f>
        <v>0</v>
      </c>
      <c r="V163" s="4">
        <f ca="1">_xll.DBRW($B$1,$B$2,$B$7,$B$3,$B$4,$B$5,$F163,$B$6,V$10,$A163,$B163)</f>
        <v>0</v>
      </c>
      <c r="W163" s="4">
        <f ca="1">_xll.DBRW($B$1,$B$2,$B$7,$B$3,$B$4,$B$5,$F163,$B$6,W$10,$A163,$B163)</f>
        <v>0</v>
      </c>
      <c r="X163" s="4">
        <f ca="1">_xll.DBRW($B$1,$B$2,$B$7,$B$3,$B$4,$B$5,$F163,$B$6,X$10,$A163,$B163)</f>
        <v>0</v>
      </c>
      <c r="Y163" s="4">
        <f ca="1">_xll.DBRW($B$1,$B$2,$B$7,$B$3,$B$4,$B$5,$F163,$B$6,Y$10,$A163,$B163)</f>
        <v>0</v>
      </c>
      <c r="Z163" s="4">
        <f ca="1">_xll.DBRW($B$1,$B$2,$B$7,$B$3,$B$4,$B$5,$F163,$B$6,Z$10,$A163,$B163)</f>
        <v>0</v>
      </c>
      <c r="AA163" s="4">
        <f ca="1">_xll.DBRW($B$1,$B$2,$B$7,$B$3,$B$4,$B$5,$F163,$B$6,AA$10,$A163,$B163)</f>
        <v>0</v>
      </c>
      <c r="AB163" s="4">
        <f ca="1">_xll.DBRW($B$1,$B$2,$B$7,$B$3,$B$4,$B$5,$F163,$B$6,AB$10,$A163,$B163)</f>
        <v>0</v>
      </c>
      <c r="AC163" s="4">
        <f ca="1">_xll.DBRW($B$1,$B$2,$B$7,$B$3,$B$4,$B$5,$F163,$B$6,AC$10,$A163,$B163)</f>
        <v>0</v>
      </c>
      <c r="AD163" s="4">
        <f ca="1">_xll.DBRW($B$1,$B$2,$B$7,$B$3,$B$4,$B$5,$F163,$B$6,AD$10,$A163,$B163)</f>
        <v>0</v>
      </c>
      <c r="AE163" s="4">
        <f ca="1">_xll.DBRW($B$1,$B$2,$B$7,$B$3,$B$4,$B$5,$F163,$B$6,AE$10,$A163,$B163)</f>
        <v>0</v>
      </c>
    </row>
    <row r="164" spans="1:31">
      <c r="A164" s="1" t="s">
        <v>150</v>
      </c>
      <c r="B164" s="5" t="s">
        <v>26</v>
      </c>
      <c r="C164" s="5" t="s">
        <v>27</v>
      </c>
      <c r="D164" s="5" t="s">
        <v>20</v>
      </c>
      <c r="E164" s="5" t="s">
        <v>28</v>
      </c>
      <c r="F164" s="5" t="s">
        <v>313</v>
      </c>
      <c r="G164" s="6"/>
      <c r="H164" s="6"/>
      <c r="I164" s="6"/>
      <c r="J164" s="6"/>
      <c r="K164" s="6"/>
      <c r="L164" s="4">
        <f ca="1">_xll.DBRW($B$1,$B$2,$B$7,$B$3,$B$4,$B$5,$F164,$B$6,L$10,$A164,$B164)</f>
        <v>0</v>
      </c>
      <c r="M164" s="4">
        <f ca="1">_xll.DBRW($B$1,$B$2,$B$7,$B$3,$B$4,$B$5,$F164,$B$6,M$10,$A164,$B164)</f>
        <v>0</v>
      </c>
      <c r="N164" s="4">
        <f ca="1">_xll.DBRW($B$1,$B$2,$B$7,$B$3,$B$4,$B$5,$F164,$B$6,N$10,$A164,$B164)</f>
        <v>0</v>
      </c>
      <c r="O164" s="4">
        <f ca="1">_xll.DBRW($B$1,$B$2,$B$7,$B$3,$B$4,$B$5,$F164,$B$6,O$10,$A164,$B164)</f>
        <v>0</v>
      </c>
      <c r="P164" s="4">
        <f ca="1">_xll.DBRW($B$1,$B$2,$B$7,$B$3,$B$4,$B$5,$F164,$B$6,P$10,$A164,$B164)</f>
        <v>0</v>
      </c>
      <c r="Q164" s="4">
        <f ca="1">_xll.DBRW($B$1,$B$2,$B$7,$B$3,$B$4,$B$5,$F164,$B$6,Q$10,$A164,$B164)</f>
        <v>0</v>
      </c>
      <c r="R164" s="4">
        <f ca="1">_xll.DBRW($B$1,$B$2,$B$7,$B$3,$B$4,$B$5,$F164,$B$6,R$10,$A164,$B164)</f>
        <v>0</v>
      </c>
      <c r="S164" s="4">
        <f ca="1">_xll.DBRW($B$1,$B$2,$B$7,$B$3,$B$4,$B$5,$F164,$B$6,S$10,$A164,$B164)</f>
        <v>0</v>
      </c>
      <c r="T164" s="4">
        <f ca="1">_xll.DBRW($B$1,$B$2,$B$7,$B$3,$B$4,$B$5,$F164,$B$6,T$10,$A164,$B164)</f>
        <v>0</v>
      </c>
      <c r="U164" s="4">
        <f ca="1">_xll.DBRW($B$1,$B$2,$B$7,$B$3,$B$4,$B$5,$F164,$B$6,U$10,$A164,$B164)</f>
        <v>0</v>
      </c>
      <c r="V164" s="4">
        <f ca="1">_xll.DBRW($B$1,$B$2,$B$7,$B$3,$B$4,$B$5,$F164,$B$6,V$10,$A164,$B164)</f>
        <v>0</v>
      </c>
      <c r="W164" s="4">
        <f ca="1">_xll.DBRW($B$1,$B$2,$B$7,$B$3,$B$4,$B$5,$F164,$B$6,W$10,$A164,$B164)</f>
        <v>0</v>
      </c>
      <c r="X164" s="4">
        <f ca="1">_xll.DBRW($B$1,$B$2,$B$7,$B$3,$B$4,$B$5,$F164,$B$6,X$10,$A164,$B164)</f>
        <v>0</v>
      </c>
      <c r="Y164" s="4">
        <f ca="1">_xll.DBRW($B$1,$B$2,$B$7,$B$3,$B$4,$B$5,$F164,$B$6,Y$10,$A164,$B164)</f>
        <v>0</v>
      </c>
      <c r="Z164" s="4">
        <f ca="1">_xll.DBRW($B$1,$B$2,$B$7,$B$3,$B$4,$B$5,$F164,$B$6,Z$10,$A164,$B164)</f>
        <v>0</v>
      </c>
      <c r="AA164" s="4">
        <f ca="1">_xll.DBRW($B$1,$B$2,$B$7,$B$3,$B$4,$B$5,$F164,$B$6,AA$10,$A164,$B164)</f>
        <v>0</v>
      </c>
      <c r="AB164" s="4">
        <f ca="1">_xll.DBRW($B$1,$B$2,$B$7,$B$3,$B$4,$B$5,$F164,$B$6,AB$10,$A164,$B164)</f>
        <v>0</v>
      </c>
      <c r="AC164" s="4">
        <f ca="1">_xll.DBRW($B$1,$B$2,$B$7,$B$3,$B$4,$B$5,$F164,$B$6,AC$10,$A164,$B164)</f>
        <v>0</v>
      </c>
      <c r="AD164" s="4">
        <f ca="1">_xll.DBRW($B$1,$B$2,$B$7,$B$3,$B$4,$B$5,$F164,$B$6,AD$10,$A164,$B164)</f>
        <v>0</v>
      </c>
      <c r="AE164" s="4">
        <f ca="1">_xll.DBRW($B$1,$B$2,$B$7,$B$3,$B$4,$B$5,$F164,$B$6,AE$10,$A164,$B164)</f>
        <v>0</v>
      </c>
    </row>
    <row r="165" spans="1:31">
      <c r="A165" s="1" t="s">
        <v>150</v>
      </c>
      <c r="B165" s="5" t="s">
        <v>199</v>
      </c>
      <c r="C165" s="5" t="s">
        <v>189</v>
      </c>
      <c r="D165" s="5" t="s">
        <v>21</v>
      </c>
      <c r="E165" s="5" t="s">
        <v>20</v>
      </c>
      <c r="F165" s="5" t="s">
        <v>313</v>
      </c>
      <c r="G165" s="6"/>
      <c r="H165" s="6"/>
      <c r="I165" s="6"/>
      <c r="J165" s="6"/>
      <c r="K165" s="6"/>
      <c r="L165" s="4">
        <f ca="1">_xll.DBRW($B$1,$B$2,$B$7,$B$3,$B$4,$B$5,$F165,$B$6,L$10,$A165,$B165)</f>
        <v>0</v>
      </c>
      <c r="M165" s="4">
        <f ca="1">_xll.DBRW($B$1,$B$2,$B$7,$B$3,$B$4,$B$5,$F165,$B$6,M$10,$A165,$B165)</f>
        <v>0</v>
      </c>
      <c r="N165" s="4">
        <f ca="1">_xll.DBRW($B$1,$B$2,$B$7,$B$3,$B$4,$B$5,$F165,$B$6,N$10,$A165,$B165)</f>
        <v>0</v>
      </c>
      <c r="O165" s="4">
        <f ca="1">_xll.DBRW($B$1,$B$2,$B$7,$B$3,$B$4,$B$5,$F165,$B$6,O$10,$A165,$B165)</f>
        <v>0</v>
      </c>
      <c r="P165" s="4">
        <f ca="1">_xll.DBRW($B$1,$B$2,$B$7,$B$3,$B$4,$B$5,$F165,$B$6,P$10,$A165,$B165)</f>
        <v>0</v>
      </c>
      <c r="Q165" s="4">
        <f ca="1">_xll.DBRW($B$1,$B$2,$B$7,$B$3,$B$4,$B$5,$F165,$B$6,Q$10,$A165,$B165)</f>
        <v>0</v>
      </c>
      <c r="R165" s="4">
        <f ca="1">_xll.DBRW($B$1,$B$2,$B$7,$B$3,$B$4,$B$5,$F165,$B$6,R$10,$A165,$B165)</f>
        <v>0</v>
      </c>
      <c r="S165" s="4">
        <f ca="1">_xll.DBRW($B$1,$B$2,$B$7,$B$3,$B$4,$B$5,$F165,$B$6,S$10,$A165,$B165)</f>
        <v>0</v>
      </c>
      <c r="T165" s="4">
        <f ca="1">_xll.DBRW($B$1,$B$2,$B$7,$B$3,$B$4,$B$5,$F165,$B$6,T$10,$A165,$B165)</f>
        <v>0</v>
      </c>
      <c r="U165" s="4">
        <f ca="1">_xll.DBRW($B$1,$B$2,$B$7,$B$3,$B$4,$B$5,$F165,$B$6,U$10,$A165,$B165)</f>
        <v>0</v>
      </c>
      <c r="V165" s="4">
        <f ca="1">_xll.DBRW($B$1,$B$2,$B$7,$B$3,$B$4,$B$5,$F165,$B$6,V$10,$A165,$B165)</f>
        <v>0</v>
      </c>
      <c r="W165" s="4">
        <f ca="1">_xll.DBRW($B$1,$B$2,$B$7,$B$3,$B$4,$B$5,$F165,$B$6,W$10,$A165,$B165)</f>
        <v>0</v>
      </c>
      <c r="X165" s="4">
        <f ca="1">_xll.DBRW($B$1,$B$2,$B$7,$B$3,$B$4,$B$5,$F165,$B$6,X$10,$A165,$B165)</f>
        <v>0</v>
      </c>
      <c r="Y165" s="4">
        <f ca="1">_xll.DBRW($B$1,$B$2,$B$7,$B$3,$B$4,$B$5,$F165,$B$6,Y$10,$A165,$B165)</f>
        <v>0</v>
      </c>
      <c r="Z165" s="4">
        <f ca="1">_xll.DBRW($B$1,$B$2,$B$7,$B$3,$B$4,$B$5,$F165,$B$6,Z$10,$A165,$B165)</f>
        <v>0</v>
      </c>
      <c r="AA165" s="4">
        <f ca="1">_xll.DBRW($B$1,$B$2,$B$7,$B$3,$B$4,$B$5,$F165,$B$6,AA$10,$A165,$B165)</f>
        <v>0</v>
      </c>
      <c r="AB165" s="4">
        <f ca="1">_xll.DBRW($B$1,$B$2,$B$7,$B$3,$B$4,$B$5,$F165,$B$6,AB$10,$A165,$B165)</f>
        <v>0</v>
      </c>
      <c r="AC165" s="4">
        <f ca="1">_xll.DBRW($B$1,$B$2,$B$7,$B$3,$B$4,$B$5,$F165,$B$6,AC$10,$A165,$B165)</f>
        <v>0</v>
      </c>
      <c r="AD165" s="4">
        <f ca="1">_xll.DBRW($B$1,$B$2,$B$7,$B$3,$B$4,$B$5,$F165,$B$6,AD$10,$A165,$B165)</f>
        <v>0</v>
      </c>
      <c r="AE165" s="4">
        <f ca="1">_xll.DBRW($B$1,$B$2,$B$7,$B$3,$B$4,$B$5,$F165,$B$6,AE$10,$A165,$B165)</f>
        <v>0</v>
      </c>
    </row>
    <row r="166" spans="1:31">
      <c r="A166" s="1" t="s">
        <v>150</v>
      </c>
      <c r="B166" s="5" t="s">
        <v>23</v>
      </c>
      <c r="C166" s="5" t="s">
        <v>19</v>
      </c>
      <c r="D166" s="5" t="s">
        <v>20</v>
      </c>
      <c r="E166" s="5" t="s">
        <v>21</v>
      </c>
      <c r="F166" s="5" t="s">
        <v>313</v>
      </c>
      <c r="G166" s="6"/>
      <c r="H166" s="6"/>
      <c r="I166" s="6"/>
      <c r="J166" s="6"/>
      <c r="K166" s="6"/>
      <c r="L166" s="4">
        <f ca="1">_xll.DBRW($B$1,$B$2,$B$7,$B$3,$B$4,$B$5,$F166,$B$6,L$10,$A166,$B166)</f>
        <v>0</v>
      </c>
      <c r="M166" s="4">
        <f ca="1">_xll.DBRW($B$1,$B$2,$B$7,$B$3,$B$4,$B$5,$F166,$B$6,M$10,$A166,$B166)</f>
        <v>0</v>
      </c>
      <c r="N166" s="4">
        <f ca="1">_xll.DBRW($B$1,$B$2,$B$7,$B$3,$B$4,$B$5,$F166,$B$6,N$10,$A166,$B166)</f>
        <v>0</v>
      </c>
      <c r="O166" s="4">
        <f ca="1">_xll.DBRW($B$1,$B$2,$B$7,$B$3,$B$4,$B$5,$F166,$B$6,O$10,$A166,$B166)</f>
        <v>0</v>
      </c>
      <c r="P166" s="4">
        <f ca="1">_xll.DBRW($B$1,$B$2,$B$7,$B$3,$B$4,$B$5,$F166,$B$6,P$10,$A166,$B166)</f>
        <v>0</v>
      </c>
      <c r="Q166" s="4">
        <f ca="1">_xll.DBRW($B$1,$B$2,$B$7,$B$3,$B$4,$B$5,$F166,$B$6,Q$10,$A166,$B166)</f>
        <v>0</v>
      </c>
      <c r="R166" s="4">
        <f ca="1">_xll.DBRW($B$1,$B$2,$B$7,$B$3,$B$4,$B$5,$F166,$B$6,R$10,$A166,$B166)</f>
        <v>0</v>
      </c>
      <c r="S166" s="4">
        <f ca="1">_xll.DBRW($B$1,$B$2,$B$7,$B$3,$B$4,$B$5,$F166,$B$6,S$10,$A166,$B166)</f>
        <v>0</v>
      </c>
      <c r="T166" s="4">
        <f ca="1">_xll.DBRW($B$1,$B$2,$B$7,$B$3,$B$4,$B$5,$F166,$B$6,T$10,$A166,$B166)</f>
        <v>0</v>
      </c>
      <c r="U166" s="4">
        <f ca="1">_xll.DBRW($B$1,$B$2,$B$7,$B$3,$B$4,$B$5,$F166,$B$6,U$10,$A166,$B166)</f>
        <v>0</v>
      </c>
      <c r="V166" s="4">
        <f ca="1">_xll.DBRW($B$1,$B$2,$B$7,$B$3,$B$4,$B$5,$F166,$B$6,V$10,$A166,$B166)</f>
        <v>0</v>
      </c>
      <c r="W166" s="4">
        <f ca="1">_xll.DBRW($B$1,$B$2,$B$7,$B$3,$B$4,$B$5,$F166,$B$6,W$10,$A166,$B166)</f>
        <v>0</v>
      </c>
      <c r="X166" s="4">
        <f ca="1">_xll.DBRW($B$1,$B$2,$B$7,$B$3,$B$4,$B$5,$F166,$B$6,X$10,$A166,$B166)</f>
        <v>0</v>
      </c>
      <c r="Y166" s="4">
        <f ca="1">_xll.DBRW($B$1,$B$2,$B$7,$B$3,$B$4,$B$5,$F166,$B$6,Y$10,$A166,$B166)</f>
        <v>0</v>
      </c>
      <c r="Z166" s="4">
        <f ca="1">_xll.DBRW($B$1,$B$2,$B$7,$B$3,$B$4,$B$5,$F166,$B$6,Z$10,$A166,$B166)</f>
        <v>0</v>
      </c>
      <c r="AA166" s="4">
        <f ca="1">_xll.DBRW($B$1,$B$2,$B$7,$B$3,$B$4,$B$5,$F166,$B$6,AA$10,$A166,$B166)</f>
        <v>0</v>
      </c>
      <c r="AB166" s="4">
        <f ca="1">_xll.DBRW($B$1,$B$2,$B$7,$B$3,$B$4,$B$5,$F166,$B$6,AB$10,$A166,$B166)</f>
        <v>0</v>
      </c>
      <c r="AC166" s="4">
        <f ca="1">_xll.DBRW($B$1,$B$2,$B$7,$B$3,$B$4,$B$5,$F166,$B$6,AC$10,$A166,$B166)</f>
        <v>0</v>
      </c>
      <c r="AD166" s="4">
        <f ca="1">_xll.DBRW($B$1,$B$2,$B$7,$B$3,$B$4,$B$5,$F166,$B$6,AD$10,$A166,$B166)</f>
        <v>0</v>
      </c>
      <c r="AE166" s="4">
        <f ca="1">_xll.DBRW($B$1,$B$2,$B$7,$B$3,$B$4,$B$5,$F166,$B$6,AE$10,$A166,$B166)</f>
        <v>0</v>
      </c>
    </row>
    <row r="167" spans="1:31">
      <c r="A167" s="1" t="s">
        <v>150</v>
      </c>
      <c r="B167" s="5" t="s">
        <v>200</v>
      </c>
      <c r="C167" s="5" t="s">
        <v>161</v>
      </c>
      <c r="D167" s="5" t="s">
        <v>21</v>
      </c>
      <c r="E167" s="5" t="s">
        <v>69</v>
      </c>
      <c r="F167" s="5" t="s">
        <v>313</v>
      </c>
      <c r="G167" s="6"/>
      <c r="H167" s="6"/>
      <c r="I167" s="6"/>
      <c r="J167" s="6"/>
      <c r="K167" s="6"/>
      <c r="L167" s="4">
        <f ca="1">_xll.DBRW($B$1,$B$2,$B$7,$B$3,$B$4,$B$5,$F167,$B$6,L$10,$A167,$B167)</f>
        <v>0</v>
      </c>
      <c r="M167" s="4">
        <f ca="1">_xll.DBRW($B$1,$B$2,$B$7,$B$3,$B$4,$B$5,$F167,$B$6,M$10,$A167,$B167)</f>
        <v>0</v>
      </c>
      <c r="N167" s="4">
        <f ca="1">_xll.DBRW($B$1,$B$2,$B$7,$B$3,$B$4,$B$5,$F167,$B$6,N$10,$A167,$B167)</f>
        <v>0</v>
      </c>
      <c r="O167" s="4">
        <f ca="1">_xll.DBRW($B$1,$B$2,$B$7,$B$3,$B$4,$B$5,$F167,$B$6,O$10,$A167,$B167)</f>
        <v>0</v>
      </c>
      <c r="P167" s="4">
        <f ca="1">_xll.DBRW($B$1,$B$2,$B$7,$B$3,$B$4,$B$5,$F167,$B$6,P$10,$A167,$B167)</f>
        <v>0</v>
      </c>
      <c r="Q167" s="4">
        <f ca="1">_xll.DBRW($B$1,$B$2,$B$7,$B$3,$B$4,$B$5,$F167,$B$6,Q$10,$A167,$B167)</f>
        <v>0</v>
      </c>
      <c r="R167" s="4">
        <f ca="1">_xll.DBRW($B$1,$B$2,$B$7,$B$3,$B$4,$B$5,$F167,$B$6,R$10,$A167,$B167)</f>
        <v>0</v>
      </c>
      <c r="S167" s="4">
        <f ca="1">_xll.DBRW($B$1,$B$2,$B$7,$B$3,$B$4,$B$5,$F167,$B$6,S$10,$A167,$B167)</f>
        <v>0</v>
      </c>
      <c r="T167" s="4">
        <f ca="1">_xll.DBRW($B$1,$B$2,$B$7,$B$3,$B$4,$B$5,$F167,$B$6,T$10,$A167,$B167)</f>
        <v>0</v>
      </c>
      <c r="U167" s="4">
        <f ca="1">_xll.DBRW($B$1,$B$2,$B$7,$B$3,$B$4,$B$5,$F167,$B$6,U$10,$A167,$B167)</f>
        <v>0</v>
      </c>
      <c r="V167" s="4">
        <f ca="1">_xll.DBRW($B$1,$B$2,$B$7,$B$3,$B$4,$B$5,$F167,$B$6,V$10,$A167,$B167)</f>
        <v>0</v>
      </c>
      <c r="W167" s="4">
        <f ca="1">_xll.DBRW($B$1,$B$2,$B$7,$B$3,$B$4,$B$5,$F167,$B$6,W$10,$A167,$B167)</f>
        <v>0</v>
      </c>
      <c r="X167" s="4">
        <f ca="1">_xll.DBRW($B$1,$B$2,$B$7,$B$3,$B$4,$B$5,$F167,$B$6,X$10,$A167,$B167)</f>
        <v>0</v>
      </c>
      <c r="Y167" s="4">
        <f ca="1">_xll.DBRW($B$1,$B$2,$B$7,$B$3,$B$4,$B$5,$F167,$B$6,Y$10,$A167,$B167)</f>
        <v>0</v>
      </c>
      <c r="Z167" s="4">
        <f ca="1">_xll.DBRW($B$1,$B$2,$B$7,$B$3,$B$4,$B$5,$F167,$B$6,Z$10,$A167,$B167)</f>
        <v>0</v>
      </c>
      <c r="AA167" s="4">
        <f ca="1">_xll.DBRW($B$1,$B$2,$B$7,$B$3,$B$4,$B$5,$F167,$B$6,AA$10,$A167,$B167)</f>
        <v>0</v>
      </c>
      <c r="AB167" s="4">
        <f ca="1">_xll.DBRW($B$1,$B$2,$B$7,$B$3,$B$4,$B$5,$F167,$B$6,AB$10,$A167,$B167)</f>
        <v>0</v>
      </c>
      <c r="AC167" s="4">
        <f ca="1">_xll.DBRW($B$1,$B$2,$B$7,$B$3,$B$4,$B$5,$F167,$B$6,AC$10,$A167,$B167)</f>
        <v>0</v>
      </c>
      <c r="AD167" s="4">
        <f ca="1">_xll.DBRW($B$1,$B$2,$B$7,$B$3,$B$4,$B$5,$F167,$B$6,AD$10,$A167,$B167)</f>
        <v>0</v>
      </c>
      <c r="AE167" s="4">
        <f ca="1">_xll.DBRW($B$1,$B$2,$B$7,$B$3,$B$4,$B$5,$F167,$B$6,AE$10,$A167,$B167)</f>
        <v>0</v>
      </c>
    </row>
    <row r="168" spans="1:31">
      <c r="A168" s="1" t="s">
        <v>150</v>
      </c>
      <c r="B168" s="5" t="s">
        <v>70</v>
      </c>
      <c r="C168" s="5" t="s">
        <v>68</v>
      </c>
      <c r="D168" s="5" t="s">
        <v>69</v>
      </c>
      <c r="E168" s="5" t="s">
        <v>21</v>
      </c>
      <c r="F168" s="5" t="s">
        <v>313</v>
      </c>
      <c r="G168" s="6"/>
      <c r="H168" s="6"/>
      <c r="I168" s="6"/>
      <c r="J168" s="6"/>
      <c r="K168" s="6"/>
      <c r="L168" s="4">
        <f ca="1">_xll.DBRW($B$1,$B$2,$B$7,$B$3,$B$4,$B$5,$F168,$B$6,L$10,$A168,$B168)</f>
        <v>0</v>
      </c>
      <c r="M168" s="4">
        <f ca="1">_xll.DBRW($B$1,$B$2,$B$7,$B$3,$B$4,$B$5,$F168,$B$6,M$10,$A168,$B168)</f>
        <v>0</v>
      </c>
      <c r="N168" s="4">
        <f ca="1">_xll.DBRW($B$1,$B$2,$B$7,$B$3,$B$4,$B$5,$F168,$B$6,N$10,$A168,$B168)</f>
        <v>0</v>
      </c>
      <c r="O168" s="4">
        <f ca="1">_xll.DBRW($B$1,$B$2,$B$7,$B$3,$B$4,$B$5,$F168,$B$6,O$10,$A168,$B168)</f>
        <v>0</v>
      </c>
      <c r="P168" s="4">
        <f ca="1">_xll.DBRW($B$1,$B$2,$B$7,$B$3,$B$4,$B$5,$F168,$B$6,P$10,$A168,$B168)</f>
        <v>0</v>
      </c>
      <c r="Q168" s="4">
        <f ca="1">_xll.DBRW($B$1,$B$2,$B$7,$B$3,$B$4,$B$5,$F168,$B$6,Q$10,$A168,$B168)</f>
        <v>0</v>
      </c>
      <c r="R168" s="4">
        <f ca="1">_xll.DBRW($B$1,$B$2,$B$7,$B$3,$B$4,$B$5,$F168,$B$6,R$10,$A168,$B168)</f>
        <v>0</v>
      </c>
      <c r="S168" s="4">
        <f ca="1">_xll.DBRW($B$1,$B$2,$B$7,$B$3,$B$4,$B$5,$F168,$B$6,S$10,$A168,$B168)</f>
        <v>0</v>
      </c>
      <c r="T168" s="4">
        <f ca="1">_xll.DBRW($B$1,$B$2,$B$7,$B$3,$B$4,$B$5,$F168,$B$6,T$10,$A168,$B168)</f>
        <v>0</v>
      </c>
      <c r="U168" s="4">
        <f ca="1">_xll.DBRW($B$1,$B$2,$B$7,$B$3,$B$4,$B$5,$F168,$B$6,U$10,$A168,$B168)</f>
        <v>0</v>
      </c>
      <c r="V168" s="4">
        <f ca="1">_xll.DBRW($B$1,$B$2,$B$7,$B$3,$B$4,$B$5,$F168,$B$6,V$10,$A168,$B168)</f>
        <v>0</v>
      </c>
      <c r="W168" s="4">
        <f ca="1">_xll.DBRW($B$1,$B$2,$B$7,$B$3,$B$4,$B$5,$F168,$B$6,W$10,$A168,$B168)</f>
        <v>0</v>
      </c>
      <c r="X168" s="4">
        <f ca="1">_xll.DBRW($B$1,$B$2,$B$7,$B$3,$B$4,$B$5,$F168,$B$6,X$10,$A168,$B168)</f>
        <v>0</v>
      </c>
      <c r="Y168" s="4">
        <f ca="1">_xll.DBRW($B$1,$B$2,$B$7,$B$3,$B$4,$B$5,$F168,$B$6,Y$10,$A168,$B168)</f>
        <v>0</v>
      </c>
      <c r="Z168" s="4">
        <f ca="1">_xll.DBRW($B$1,$B$2,$B$7,$B$3,$B$4,$B$5,$F168,$B$6,Z$10,$A168,$B168)</f>
        <v>0</v>
      </c>
      <c r="AA168" s="4">
        <f ca="1">_xll.DBRW($B$1,$B$2,$B$7,$B$3,$B$4,$B$5,$F168,$B$6,AA$10,$A168,$B168)</f>
        <v>0</v>
      </c>
      <c r="AB168" s="4">
        <f ca="1">_xll.DBRW($B$1,$B$2,$B$7,$B$3,$B$4,$B$5,$F168,$B$6,AB$10,$A168,$B168)</f>
        <v>0</v>
      </c>
      <c r="AC168" s="4">
        <f ca="1">_xll.DBRW($B$1,$B$2,$B$7,$B$3,$B$4,$B$5,$F168,$B$6,AC$10,$A168,$B168)</f>
        <v>0</v>
      </c>
      <c r="AD168" s="4">
        <f ca="1">_xll.DBRW($B$1,$B$2,$B$7,$B$3,$B$4,$B$5,$F168,$B$6,AD$10,$A168,$B168)</f>
        <v>0</v>
      </c>
      <c r="AE168" s="4">
        <f ca="1">_xll.DBRW($B$1,$B$2,$B$7,$B$3,$B$4,$B$5,$F168,$B$6,AE$10,$A168,$B168)</f>
        <v>0</v>
      </c>
    </row>
    <row r="169" spans="1:31">
      <c r="A169" s="1" t="s">
        <v>150</v>
      </c>
      <c r="B169" s="5" t="s">
        <v>201</v>
      </c>
      <c r="C169" s="5" t="s">
        <v>202</v>
      </c>
      <c r="D169" s="5" t="s">
        <v>28</v>
      </c>
      <c r="E169" s="5" t="s">
        <v>38</v>
      </c>
      <c r="F169" s="5" t="s">
        <v>313</v>
      </c>
      <c r="G169" s="6"/>
      <c r="H169" s="6"/>
      <c r="I169" s="6"/>
      <c r="J169" s="6"/>
      <c r="K169" s="6"/>
      <c r="L169" s="4">
        <f ca="1">_xll.DBRW($B$1,$B$2,$B$7,$B$3,$B$4,$B$5,$F169,$B$6,L$10,$A169,$B169)</f>
        <v>0</v>
      </c>
      <c r="M169" s="4">
        <f ca="1">_xll.DBRW($B$1,$B$2,$B$7,$B$3,$B$4,$B$5,$F169,$B$6,M$10,$A169,$B169)</f>
        <v>0</v>
      </c>
      <c r="N169" s="4">
        <f ca="1">_xll.DBRW($B$1,$B$2,$B$7,$B$3,$B$4,$B$5,$F169,$B$6,N$10,$A169,$B169)</f>
        <v>0</v>
      </c>
      <c r="O169" s="4">
        <f ca="1">_xll.DBRW($B$1,$B$2,$B$7,$B$3,$B$4,$B$5,$F169,$B$6,O$10,$A169,$B169)</f>
        <v>0</v>
      </c>
      <c r="P169" s="4">
        <f ca="1">_xll.DBRW($B$1,$B$2,$B$7,$B$3,$B$4,$B$5,$F169,$B$6,P$10,$A169,$B169)</f>
        <v>0</v>
      </c>
      <c r="Q169" s="4">
        <f ca="1">_xll.DBRW($B$1,$B$2,$B$7,$B$3,$B$4,$B$5,$F169,$B$6,Q$10,$A169,$B169)</f>
        <v>0</v>
      </c>
      <c r="R169" s="4">
        <f ca="1">_xll.DBRW($B$1,$B$2,$B$7,$B$3,$B$4,$B$5,$F169,$B$6,R$10,$A169,$B169)</f>
        <v>0</v>
      </c>
      <c r="S169" s="4">
        <f ca="1">_xll.DBRW($B$1,$B$2,$B$7,$B$3,$B$4,$B$5,$F169,$B$6,S$10,$A169,$B169)</f>
        <v>0</v>
      </c>
      <c r="T169" s="4">
        <f ca="1">_xll.DBRW($B$1,$B$2,$B$7,$B$3,$B$4,$B$5,$F169,$B$6,T$10,$A169,$B169)</f>
        <v>0</v>
      </c>
      <c r="U169" s="4">
        <f ca="1">_xll.DBRW($B$1,$B$2,$B$7,$B$3,$B$4,$B$5,$F169,$B$6,U$10,$A169,$B169)</f>
        <v>0</v>
      </c>
      <c r="V169" s="4">
        <f ca="1">_xll.DBRW($B$1,$B$2,$B$7,$B$3,$B$4,$B$5,$F169,$B$6,V$10,$A169,$B169)</f>
        <v>0</v>
      </c>
      <c r="W169" s="4">
        <f ca="1">_xll.DBRW($B$1,$B$2,$B$7,$B$3,$B$4,$B$5,$F169,$B$6,W$10,$A169,$B169)</f>
        <v>0</v>
      </c>
      <c r="X169" s="4">
        <f ca="1">_xll.DBRW($B$1,$B$2,$B$7,$B$3,$B$4,$B$5,$F169,$B$6,X$10,$A169,$B169)</f>
        <v>0</v>
      </c>
      <c r="Y169" s="4">
        <f ca="1">_xll.DBRW($B$1,$B$2,$B$7,$B$3,$B$4,$B$5,$F169,$B$6,Y$10,$A169,$B169)</f>
        <v>0</v>
      </c>
      <c r="Z169" s="4">
        <f ca="1">_xll.DBRW($B$1,$B$2,$B$7,$B$3,$B$4,$B$5,$F169,$B$6,Z$10,$A169,$B169)</f>
        <v>0</v>
      </c>
      <c r="AA169" s="4">
        <f ca="1">_xll.DBRW($B$1,$B$2,$B$7,$B$3,$B$4,$B$5,$F169,$B$6,AA$10,$A169,$B169)</f>
        <v>0</v>
      </c>
      <c r="AB169" s="4">
        <f ca="1">_xll.DBRW($B$1,$B$2,$B$7,$B$3,$B$4,$B$5,$F169,$B$6,AB$10,$A169,$B169)</f>
        <v>0</v>
      </c>
      <c r="AC169" s="4">
        <f ca="1">_xll.DBRW($B$1,$B$2,$B$7,$B$3,$B$4,$B$5,$F169,$B$6,AC$10,$A169,$B169)</f>
        <v>0</v>
      </c>
      <c r="AD169" s="4">
        <f ca="1">_xll.DBRW($B$1,$B$2,$B$7,$B$3,$B$4,$B$5,$F169,$B$6,AD$10,$A169,$B169)</f>
        <v>0</v>
      </c>
      <c r="AE169" s="4">
        <f ca="1">_xll.DBRW($B$1,$B$2,$B$7,$B$3,$B$4,$B$5,$F169,$B$6,AE$10,$A169,$B169)</f>
        <v>0</v>
      </c>
    </row>
    <row r="170" spans="1:31">
      <c r="A170" s="1" t="s">
        <v>150</v>
      </c>
      <c r="B170" s="5" t="s">
        <v>45</v>
      </c>
      <c r="C170" s="5" t="s">
        <v>46</v>
      </c>
      <c r="D170" s="5" t="s">
        <v>38</v>
      </c>
      <c r="E170" s="5" t="s">
        <v>28</v>
      </c>
      <c r="F170" s="5" t="s">
        <v>313</v>
      </c>
      <c r="G170" s="6"/>
      <c r="H170" s="6"/>
      <c r="I170" s="6"/>
      <c r="J170" s="6"/>
      <c r="K170" s="6"/>
      <c r="L170" s="4">
        <f ca="1">_xll.DBRW($B$1,$B$2,$B$7,$B$3,$B$4,$B$5,$F170,$B$6,L$10,$A170,$B170)</f>
        <v>0</v>
      </c>
      <c r="M170" s="4">
        <f ca="1">_xll.DBRW($B$1,$B$2,$B$7,$B$3,$B$4,$B$5,$F170,$B$6,M$10,$A170,$B170)</f>
        <v>0</v>
      </c>
      <c r="N170" s="4">
        <f ca="1">_xll.DBRW($B$1,$B$2,$B$7,$B$3,$B$4,$B$5,$F170,$B$6,N$10,$A170,$B170)</f>
        <v>0</v>
      </c>
      <c r="O170" s="4">
        <f ca="1">_xll.DBRW($B$1,$B$2,$B$7,$B$3,$B$4,$B$5,$F170,$B$6,O$10,$A170,$B170)</f>
        <v>0</v>
      </c>
      <c r="P170" s="4">
        <f ca="1">_xll.DBRW($B$1,$B$2,$B$7,$B$3,$B$4,$B$5,$F170,$B$6,P$10,$A170,$B170)</f>
        <v>0</v>
      </c>
      <c r="Q170" s="4">
        <f ca="1">_xll.DBRW($B$1,$B$2,$B$7,$B$3,$B$4,$B$5,$F170,$B$6,Q$10,$A170,$B170)</f>
        <v>0</v>
      </c>
      <c r="R170" s="4">
        <f ca="1">_xll.DBRW($B$1,$B$2,$B$7,$B$3,$B$4,$B$5,$F170,$B$6,R$10,$A170,$B170)</f>
        <v>0</v>
      </c>
      <c r="S170" s="4">
        <f ca="1">_xll.DBRW($B$1,$B$2,$B$7,$B$3,$B$4,$B$5,$F170,$B$6,S$10,$A170,$B170)</f>
        <v>0</v>
      </c>
      <c r="T170" s="4">
        <f ca="1">_xll.DBRW($B$1,$B$2,$B$7,$B$3,$B$4,$B$5,$F170,$B$6,T$10,$A170,$B170)</f>
        <v>0</v>
      </c>
      <c r="U170" s="4">
        <f ca="1">_xll.DBRW($B$1,$B$2,$B$7,$B$3,$B$4,$B$5,$F170,$B$6,U$10,$A170,$B170)</f>
        <v>0</v>
      </c>
      <c r="V170" s="4">
        <f ca="1">_xll.DBRW($B$1,$B$2,$B$7,$B$3,$B$4,$B$5,$F170,$B$6,V$10,$A170,$B170)</f>
        <v>0</v>
      </c>
      <c r="W170" s="4">
        <f ca="1">_xll.DBRW($B$1,$B$2,$B$7,$B$3,$B$4,$B$5,$F170,$B$6,W$10,$A170,$B170)</f>
        <v>0</v>
      </c>
      <c r="X170" s="4">
        <f ca="1">_xll.DBRW($B$1,$B$2,$B$7,$B$3,$B$4,$B$5,$F170,$B$6,X$10,$A170,$B170)</f>
        <v>0</v>
      </c>
      <c r="Y170" s="4">
        <f ca="1">_xll.DBRW($B$1,$B$2,$B$7,$B$3,$B$4,$B$5,$F170,$B$6,Y$10,$A170,$B170)</f>
        <v>0</v>
      </c>
      <c r="Z170" s="4">
        <f ca="1">_xll.DBRW($B$1,$B$2,$B$7,$B$3,$B$4,$B$5,$F170,$B$6,Z$10,$A170,$B170)</f>
        <v>0</v>
      </c>
      <c r="AA170" s="4">
        <f ca="1">_xll.DBRW($B$1,$B$2,$B$7,$B$3,$B$4,$B$5,$F170,$B$6,AA$10,$A170,$B170)</f>
        <v>0</v>
      </c>
      <c r="AB170" s="4">
        <f ca="1">_xll.DBRW($B$1,$B$2,$B$7,$B$3,$B$4,$B$5,$F170,$B$6,AB$10,$A170,$B170)</f>
        <v>0</v>
      </c>
      <c r="AC170" s="4">
        <f ca="1">_xll.DBRW($B$1,$B$2,$B$7,$B$3,$B$4,$B$5,$F170,$B$6,AC$10,$A170,$B170)</f>
        <v>0</v>
      </c>
      <c r="AD170" s="4">
        <f ca="1">_xll.DBRW($B$1,$B$2,$B$7,$B$3,$B$4,$B$5,$F170,$B$6,AD$10,$A170,$B170)</f>
        <v>0</v>
      </c>
      <c r="AE170" s="4">
        <f ca="1">_xll.DBRW($B$1,$B$2,$B$7,$B$3,$B$4,$B$5,$F170,$B$6,AE$10,$A170,$B170)</f>
        <v>0</v>
      </c>
    </row>
    <row r="171" spans="1:31">
      <c r="A171" s="1" t="s">
        <v>150</v>
      </c>
      <c r="B171" s="5" t="s">
        <v>203</v>
      </c>
      <c r="C171" s="5" t="s">
        <v>204</v>
      </c>
      <c r="D171" s="5" t="s">
        <v>21</v>
      </c>
      <c r="E171" s="5" t="s">
        <v>80</v>
      </c>
      <c r="F171" s="5" t="s">
        <v>313</v>
      </c>
      <c r="G171" s="6"/>
      <c r="H171" s="6"/>
      <c r="I171" s="6"/>
      <c r="J171" s="6"/>
      <c r="K171" s="6"/>
      <c r="L171" s="4">
        <f ca="1">_xll.DBRW($B$1,$B$2,$B$7,$B$3,$B$4,$B$5,$F171,$B$6,L$10,$A171,$B171)</f>
        <v>0</v>
      </c>
      <c r="M171" s="4">
        <f ca="1">_xll.DBRW($B$1,$B$2,$B$7,$B$3,$B$4,$B$5,$F171,$B$6,M$10,$A171,$B171)</f>
        <v>0</v>
      </c>
      <c r="N171" s="4">
        <f ca="1">_xll.DBRW($B$1,$B$2,$B$7,$B$3,$B$4,$B$5,$F171,$B$6,N$10,$A171,$B171)</f>
        <v>0</v>
      </c>
      <c r="O171" s="4">
        <f ca="1">_xll.DBRW($B$1,$B$2,$B$7,$B$3,$B$4,$B$5,$F171,$B$6,O$10,$A171,$B171)</f>
        <v>0</v>
      </c>
      <c r="P171" s="4">
        <f ca="1">_xll.DBRW($B$1,$B$2,$B$7,$B$3,$B$4,$B$5,$F171,$B$6,P$10,$A171,$B171)</f>
        <v>0</v>
      </c>
      <c r="Q171" s="4">
        <f ca="1">_xll.DBRW($B$1,$B$2,$B$7,$B$3,$B$4,$B$5,$F171,$B$6,Q$10,$A171,$B171)</f>
        <v>0</v>
      </c>
      <c r="R171" s="4">
        <f ca="1">_xll.DBRW($B$1,$B$2,$B$7,$B$3,$B$4,$B$5,$F171,$B$6,R$10,$A171,$B171)</f>
        <v>0</v>
      </c>
      <c r="S171" s="4">
        <f ca="1">_xll.DBRW($B$1,$B$2,$B$7,$B$3,$B$4,$B$5,$F171,$B$6,S$10,$A171,$B171)</f>
        <v>0</v>
      </c>
      <c r="T171" s="4">
        <f ca="1">_xll.DBRW($B$1,$B$2,$B$7,$B$3,$B$4,$B$5,$F171,$B$6,T$10,$A171,$B171)</f>
        <v>0</v>
      </c>
      <c r="U171" s="4">
        <f ca="1">_xll.DBRW($B$1,$B$2,$B$7,$B$3,$B$4,$B$5,$F171,$B$6,U$10,$A171,$B171)</f>
        <v>0</v>
      </c>
      <c r="V171" s="4">
        <f ca="1">_xll.DBRW($B$1,$B$2,$B$7,$B$3,$B$4,$B$5,$F171,$B$6,V$10,$A171,$B171)</f>
        <v>0</v>
      </c>
      <c r="W171" s="4">
        <f ca="1">_xll.DBRW($B$1,$B$2,$B$7,$B$3,$B$4,$B$5,$F171,$B$6,W$10,$A171,$B171)</f>
        <v>0</v>
      </c>
      <c r="X171" s="4">
        <f ca="1">_xll.DBRW($B$1,$B$2,$B$7,$B$3,$B$4,$B$5,$F171,$B$6,X$10,$A171,$B171)</f>
        <v>0</v>
      </c>
      <c r="Y171" s="4">
        <f ca="1">_xll.DBRW($B$1,$B$2,$B$7,$B$3,$B$4,$B$5,$F171,$B$6,Y$10,$A171,$B171)</f>
        <v>0</v>
      </c>
      <c r="Z171" s="4">
        <f ca="1">_xll.DBRW($B$1,$B$2,$B$7,$B$3,$B$4,$B$5,$F171,$B$6,Z$10,$A171,$B171)</f>
        <v>0</v>
      </c>
      <c r="AA171" s="4">
        <f ca="1">_xll.DBRW($B$1,$B$2,$B$7,$B$3,$B$4,$B$5,$F171,$B$6,AA$10,$A171,$B171)</f>
        <v>0</v>
      </c>
      <c r="AB171" s="4">
        <f ca="1">_xll.DBRW($B$1,$B$2,$B$7,$B$3,$B$4,$B$5,$F171,$B$6,AB$10,$A171,$B171)</f>
        <v>0</v>
      </c>
      <c r="AC171" s="4">
        <f ca="1">_xll.DBRW($B$1,$B$2,$B$7,$B$3,$B$4,$B$5,$F171,$B$6,AC$10,$A171,$B171)</f>
        <v>0</v>
      </c>
      <c r="AD171" s="4">
        <f ca="1">_xll.DBRW($B$1,$B$2,$B$7,$B$3,$B$4,$B$5,$F171,$B$6,AD$10,$A171,$B171)</f>
        <v>0</v>
      </c>
      <c r="AE171" s="4">
        <f ca="1">_xll.DBRW($B$1,$B$2,$B$7,$B$3,$B$4,$B$5,$F171,$B$6,AE$10,$A171,$B171)</f>
        <v>0</v>
      </c>
    </row>
    <row r="172" spans="1:31">
      <c r="A172" s="1" t="s">
        <v>150</v>
      </c>
      <c r="B172" s="5" t="s">
        <v>78</v>
      </c>
      <c r="C172" s="5" t="s">
        <v>79</v>
      </c>
      <c r="D172" s="5" t="s">
        <v>80</v>
      </c>
      <c r="E172" s="5" t="s">
        <v>21</v>
      </c>
      <c r="F172" s="5" t="s">
        <v>313</v>
      </c>
      <c r="G172" s="6"/>
      <c r="H172" s="6"/>
      <c r="I172" s="6"/>
      <c r="J172" s="6"/>
      <c r="K172" s="6"/>
      <c r="L172" s="4">
        <f ca="1">_xll.DBRW($B$1,$B$2,$B$7,$B$3,$B$4,$B$5,$F172,$B$6,L$10,$A172,$B172)</f>
        <v>0</v>
      </c>
      <c r="M172" s="4">
        <f ca="1">_xll.DBRW($B$1,$B$2,$B$7,$B$3,$B$4,$B$5,$F172,$B$6,M$10,$A172,$B172)</f>
        <v>0</v>
      </c>
      <c r="N172" s="4">
        <f ca="1">_xll.DBRW($B$1,$B$2,$B$7,$B$3,$B$4,$B$5,$F172,$B$6,N$10,$A172,$B172)</f>
        <v>0</v>
      </c>
      <c r="O172" s="4">
        <f ca="1">_xll.DBRW($B$1,$B$2,$B$7,$B$3,$B$4,$B$5,$F172,$B$6,O$10,$A172,$B172)</f>
        <v>0</v>
      </c>
      <c r="P172" s="4">
        <f ca="1">_xll.DBRW($B$1,$B$2,$B$7,$B$3,$B$4,$B$5,$F172,$B$6,P$10,$A172,$B172)</f>
        <v>0</v>
      </c>
      <c r="Q172" s="4">
        <f ca="1">_xll.DBRW($B$1,$B$2,$B$7,$B$3,$B$4,$B$5,$F172,$B$6,Q$10,$A172,$B172)</f>
        <v>0</v>
      </c>
      <c r="R172" s="4">
        <f ca="1">_xll.DBRW($B$1,$B$2,$B$7,$B$3,$B$4,$B$5,$F172,$B$6,R$10,$A172,$B172)</f>
        <v>0</v>
      </c>
      <c r="S172" s="4">
        <f ca="1">_xll.DBRW($B$1,$B$2,$B$7,$B$3,$B$4,$B$5,$F172,$B$6,S$10,$A172,$B172)</f>
        <v>0</v>
      </c>
      <c r="T172" s="4">
        <f ca="1">_xll.DBRW($B$1,$B$2,$B$7,$B$3,$B$4,$B$5,$F172,$B$6,T$10,$A172,$B172)</f>
        <v>0</v>
      </c>
      <c r="U172" s="4">
        <f ca="1">_xll.DBRW($B$1,$B$2,$B$7,$B$3,$B$4,$B$5,$F172,$B$6,U$10,$A172,$B172)</f>
        <v>0</v>
      </c>
      <c r="V172" s="4">
        <f ca="1">_xll.DBRW($B$1,$B$2,$B$7,$B$3,$B$4,$B$5,$F172,$B$6,V$10,$A172,$B172)</f>
        <v>0</v>
      </c>
      <c r="W172" s="4">
        <f ca="1">_xll.DBRW($B$1,$B$2,$B$7,$B$3,$B$4,$B$5,$F172,$B$6,W$10,$A172,$B172)</f>
        <v>0</v>
      </c>
      <c r="X172" s="4">
        <f ca="1">_xll.DBRW($B$1,$B$2,$B$7,$B$3,$B$4,$B$5,$F172,$B$6,X$10,$A172,$B172)</f>
        <v>0</v>
      </c>
      <c r="Y172" s="4">
        <f ca="1">_xll.DBRW($B$1,$B$2,$B$7,$B$3,$B$4,$B$5,$F172,$B$6,Y$10,$A172,$B172)</f>
        <v>0</v>
      </c>
      <c r="Z172" s="4">
        <f ca="1">_xll.DBRW($B$1,$B$2,$B$7,$B$3,$B$4,$B$5,$F172,$B$6,Z$10,$A172,$B172)</f>
        <v>0</v>
      </c>
      <c r="AA172" s="4">
        <f ca="1">_xll.DBRW($B$1,$B$2,$B$7,$B$3,$B$4,$B$5,$F172,$B$6,AA$10,$A172,$B172)</f>
        <v>0</v>
      </c>
      <c r="AB172" s="4">
        <f ca="1">_xll.DBRW($B$1,$B$2,$B$7,$B$3,$B$4,$B$5,$F172,$B$6,AB$10,$A172,$B172)</f>
        <v>0</v>
      </c>
      <c r="AC172" s="4">
        <f ca="1">_xll.DBRW($B$1,$B$2,$B$7,$B$3,$B$4,$B$5,$F172,$B$6,AC$10,$A172,$B172)</f>
        <v>0</v>
      </c>
      <c r="AD172" s="4">
        <f ca="1">_xll.DBRW($B$1,$B$2,$B$7,$B$3,$B$4,$B$5,$F172,$B$6,AD$10,$A172,$B172)</f>
        <v>0</v>
      </c>
      <c r="AE172" s="4">
        <f ca="1">_xll.DBRW($B$1,$B$2,$B$7,$B$3,$B$4,$B$5,$F172,$B$6,AE$10,$A172,$B172)</f>
        <v>0</v>
      </c>
    </row>
    <row r="173" spans="1:31">
      <c r="A173" s="1" t="s">
        <v>150</v>
      </c>
      <c r="B173" s="5" t="s">
        <v>205</v>
      </c>
      <c r="C173" s="5" t="s">
        <v>206</v>
      </c>
      <c r="D173" s="5" t="s">
        <v>21</v>
      </c>
      <c r="E173" s="5" t="s">
        <v>181</v>
      </c>
      <c r="F173" s="5" t="s">
        <v>313</v>
      </c>
      <c r="G173" s="6"/>
      <c r="H173" s="6"/>
      <c r="I173" s="6"/>
      <c r="J173" s="6"/>
      <c r="K173" s="6"/>
      <c r="L173" s="4">
        <f ca="1">_xll.DBRW($B$1,$B$2,$B$7,$B$3,$B$4,$B$5,$F173,$B$6,L$10,$A173,$B173)</f>
        <v>0</v>
      </c>
      <c r="M173" s="4">
        <f ca="1">_xll.DBRW($B$1,$B$2,$B$7,$B$3,$B$4,$B$5,$F173,$B$6,M$10,$A173,$B173)</f>
        <v>0</v>
      </c>
      <c r="N173" s="4">
        <f ca="1">_xll.DBRW($B$1,$B$2,$B$7,$B$3,$B$4,$B$5,$F173,$B$6,N$10,$A173,$B173)</f>
        <v>0</v>
      </c>
      <c r="O173" s="4">
        <f ca="1">_xll.DBRW($B$1,$B$2,$B$7,$B$3,$B$4,$B$5,$F173,$B$6,O$10,$A173,$B173)</f>
        <v>0</v>
      </c>
      <c r="P173" s="4">
        <f ca="1">_xll.DBRW($B$1,$B$2,$B$7,$B$3,$B$4,$B$5,$F173,$B$6,P$10,$A173,$B173)</f>
        <v>0</v>
      </c>
      <c r="Q173" s="4">
        <f ca="1">_xll.DBRW($B$1,$B$2,$B$7,$B$3,$B$4,$B$5,$F173,$B$6,Q$10,$A173,$B173)</f>
        <v>0</v>
      </c>
      <c r="R173" s="4">
        <f ca="1">_xll.DBRW($B$1,$B$2,$B$7,$B$3,$B$4,$B$5,$F173,$B$6,R$10,$A173,$B173)</f>
        <v>0</v>
      </c>
      <c r="S173" s="4">
        <f ca="1">_xll.DBRW($B$1,$B$2,$B$7,$B$3,$B$4,$B$5,$F173,$B$6,S$10,$A173,$B173)</f>
        <v>0</v>
      </c>
      <c r="T173" s="4">
        <f ca="1">_xll.DBRW($B$1,$B$2,$B$7,$B$3,$B$4,$B$5,$F173,$B$6,T$10,$A173,$B173)</f>
        <v>0</v>
      </c>
      <c r="U173" s="4">
        <f ca="1">_xll.DBRW($B$1,$B$2,$B$7,$B$3,$B$4,$B$5,$F173,$B$6,U$10,$A173,$B173)</f>
        <v>0</v>
      </c>
      <c r="V173" s="4">
        <f ca="1">_xll.DBRW($B$1,$B$2,$B$7,$B$3,$B$4,$B$5,$F173,$B$6,V$10,$A173,$B173)</f>
        <v>0</v>
      </c>
      <c r="W173" s="4">
        <f ca="1">_xll.DBRW($B$1,$B$2,$B$7,$B$3,$B$4,$B$5,$F173,$B$6,W$10,$A173,$B173)</f>
        <v>0</v>
      </c>
      <c r="X173" s="4">
        <f ca="1">_xll.DBRW($B$1,$B$2,$B$7,$B$3,$B$4,$B$5,$F173,$B$6,X$10,$A173,$B173)</f>
        <v>0</v>
      </c>
      <c r="Y173" s="4">
        <f ca="1">_xll.DBRW($B$1,$B$2,$B$7,$B$3,$B$4,$B$5,$F173,$B$6,Y$10,$A173,$B173)</f>
        <v>0</v>
      </c>
      <c r="Z173" s="4">
        <f ca="1">_xll.DBRW($B$1,$B$2,$B$7,$B$3,$B$4,$B$5,$F173,$B$6,Z$10,$A173,$B173)</f>
        <v>0</v>
      </c>
      <c r="AA173" s="4">
        <f ca="1">_xll.DBRW($B$1,$B$2,$B$7,$B$3,$B$4,$B$5,$F173,$B$6,AA$10,$A173,$B173)</f>
        <v>0</v>
      </c>
      <c r="AB173" s="4">
        <f ca="1">_xll.DBRW($B$1,$B$2,$B$7,$B$3,$B$4,$B$5,$F173,$B$6,AB$10,$A173,$B173)</f>
        <v>0</v>
      </c>
      <c r="AC173" s="4">
        <f ca="1">_xll.DBRW($B$1,$B$2,$B$7,$B$3,$B$4,$B$5,$F173,$B$6,AC$10,$A173,$B173)</f>
        <v>0</v>
      </c>
      <c r="AD173" s="4">
        <f ca="1">_xll.DBRW($B$1,$B$2,$B$7,$B$3,$B$4,$B$5,$F173,$B$6,AD$10,$A173,$B173)</f>
        <v>0</v>
      </c>
      <c r="AE173" s="4">
        <f ca="1">_xll.DBRW($B$1,$B$2,$B$7,$B$3,$B$4,$B$5,$F173,$B$6,AE$10,$A173,$B173)</f>
        <v>0</v>
      </c>
    </row>
    <row r="174" spans="1:31">
      <c r="A174" s="1" t="s">
        <v>150</v>
      </c>
      <c r="B174" s="5" t="s">
        <v>207</v>
      </c>
      <c r="C174" s="5" t="s">
        <v>208</v>
      </c>
      <c r="D174" s="5" t="s">
        <v>181</v>
      </c>
      <c r="E174" s="5" t="s">
        <v>21</v>
      </c>
      <c r="F174" s="5" t="s">
        <v>313</v>
      </c>
      <c r="G174" s="6"/>
      <c r="H174" s="6"/>
      <c r="I174" s="6"/>
      <c r="J174" s="6"/>
      <c r="K174" s="6"/>
      <c r="L174" s="4">
        <f ca="1">_xll.DBRW($B$1,$B$2,$B$7,$B$3,$B$4,$B$5,$F174,$B$6,L$10,$A174,$B174)</f>
        <v>0</v>
      </c>
      <c r="M174" s="4">
        <f ca="1">_xll.DBRW($B$1,$B$2,$B$7,$B$3,$B$4,$B$5,$F174,$B$6,M$10,$A174,$B174)</f>
        <v>0</v>
      </c>
      <c r="N174" s="4">
        <f ca="1">_xll.DBRW($B$1,$B$2,$B$7,$B$3,$B$4,$B$5,$F174,$B$6,N$10,$A174,$B174)</f>
        <v>0</v>
      </c>
      <c r="O174" s="4">
        <f ca="1">_xll.DBRW($B$1,$B$2,$B$7,$B$3,$B$4,$B$5,$F174,$B$6,O$10,$A174,$B174)</f>
        <v>0</v>
      </c>
      <c r="P174" s="4">
        <f ca="1">_xll.DBRW($B$1,$B$2,$B$7,$B$3,$B$4,$B$5,$F174,$B$6,P$10,$A174,$B174)</f>
        <v>0</v>
      </c>
      <c r="Q174" s="4">
        <f ca="1">_xll.DBRW($B$1,$B$2,$B$7,$B$3,$B$4,$B$5,$F174,$B$6,Q$10,$A174,$B174)</f>
        <v>0</v>
      </c>
      <c r="R174" s="4">
        <f ca="1">_xll.DBRW($B$1,$B$2,$B$7,$B$3,$B$4,$B$5,$F174,$B$6,R$10,$A174,$B174)</f>
        <v>0</v>
      </c>
      <c r="S174" s="4">
        <f ca="1">_xll.DBRW($B$1,$B$2,$B$7,$B$3,$B$4,$B$5,$F174,$B$6,S$10,$A174,$B174)</f>
        <v>0</v>
      </c>
      <c r="T174" s="4">
        <f ca="1">_xll.DBRW($B$1,$B$2,$B$7,$B$3,$B$4,$B$5,$F174,$B$6,T$10,$A174,$B174)</f>
        <v>0</v>
      </c>
      <c r="U174" s="4">
        <f ca="1">_xll.DBRW($B$1,$B$2,$B$7,$B$3,$B$4,$B$5,$F174,$B$6,U$10,$A174,$B174)</f>
        <v>0</v>
      </c>
      <c r="V174" s="4">
        <f ca="1">_xll.DBRW($B$1,$B$2,$B$7,$B$3,$B$4,$B$5,$F174,$B$6,V$10,$A174,$B174)</f>
        <v>0</v>
      </c>
      <c r="W174" s="4">
        <f ca="1">_xll.DBRW($B$1,$B$2,$B$7,$B$3,$B$4,$B$5,$F174,$B$6,W$10,$A174,$B174)</f>
        <v>0</v>
      </c>
      <c r="X174" s="4">
        <f ca="1">_xll.DBRW($B$1,$B$2,$B$7,$B$3,$B$4,$B$5,$F174,$B$6,X$10,$A174,$B174)</f>
        <v>0</v>
      </c>
      <c r="Y174" s="4">
        <f ca="1">_xll.DBRW($B$1,$B$2,$B$7,$B$3,$B$4,$B$5,$F174,$B$6,Y$10,$A174,$B174)</f>
        <v>0</v>
      </c>
      <c r="Z174" s="4">
        <f ca="1">_xll.DBRW($B$1,$B$2,$B$7,$B$3,$B$4,$B$5,$F174,$B$6,Z$10,$A174,$B174)</f>
        <v>0</v>
      </c>
      <c r="AA174" s="4">
        <f ca="1">_xll.DBRW($B$1,$B$2,$B$7,$B$3,$B$4,$B$5,$F174,$B$6,AA$10,$A174,$B174)</f>
        <v>0</v>
      </c>
      <c r="AB174" s="4">
        <f ca="1">_xll.DBRW($B$1,$B$2,$B$7,$B$3,$B$4,$B$5,$F174,$B$6,AB$10,$A174,$B174)</f>
        <v>0</v>
      </c>
      <c r="AC174" s="4">
        <f ca="1">_xll.DBRW($B$1,$B$2,$B$7,$B$3,$B$4,$B$5,$F174,$B$6,AC$10,$A174,$B174)</f>
        <v>0</v>
      </c>
      <c r="AD174" s="4">
        <f ca="1">_xll.DBRW($B$1,$B$2,$B$7,$B$3,$B$4,$B$5,$F174,$B$6,AD$10,$A174,$B174)</f>
        <v>0</v>
      </c>
      <c r="AE174" s="4">
        <f ca="1">_xll.DBRW($B$1,$B$2,$B$7,$B$3,$B$4,$B$5,$F174,$B$6,AE$10,$A174,$B174)</f>
        <v>0</v>
      </c>
    </row>
    <row r="175" spans="1:31">
      <c r="A175" s="1" t="s">
        <v>150</v>
      </c>
      <c r="B175" s="5" t="s">
        <v>209</v>
      </c>
      <c r="C175" s="5" t="s">
        <v>210</v>
      </c>
      <c r="D175" s="5" t="s">
        <v>21</v>
      </c>
      <c r="E175" s="5" t="s">
        <v>211</v>
      </c>
      <c r="F175" s="5" t="s">
        <v>313</v>
      </c>
      <c r="G175" s="6"/>
      <c r="H175" s="6"/>
      <c r="I175" s="6"/>
      <c r="J175" s="6"/>
      <c r="K175" s="6"/>
      <c r="L175" s="4">
        <f ca="1">_xll.DBRW($B$1,$B$2,$B$7,$B$3,$B$4,$B$5,$F175,$B$6,L$10,$A175,$B175)</f>
        <v>0</v>
      </c>
      <c r="M175" s="4">
        <f ca="1">_xll.DBRW($B$1,$B$2,$B$7,$B$3,$B$4,$B$5,$F175,$B$6,M$10,$A175,$B175)</f>
        <v>0</v>
      </c>
      <c r="N175" s="4">
        <f ca="1">_xll.DBRW($B$1,$B$2,$B$7,$B$3,$B$4,$B$5,$F175,$B$6,N$10,$A175,$B175)</f>
        <v>0</v>
      </c>
      <c r="O175" s="4">
        <f ca="1">_xll.DBRW($B$1,$B$2,$B$7,$B$3,$B$4,$B$5,$F175,$B$6,O$10,$A175,$B175)</f>
        <v>0</v>
      </c>
      <c r="P175" s="4">
        <f ca="1">_xll.DBRW($B$1,$B$2,$B$7,$B$3,$B$4,$B$5,$F175,$B$6,P$10,$A175,$B175)</f>
        <v>0</v>
      </c>
      <c r="Q175" s="4">
        <f ca="1">_xll.DBRW($B$1,$B$2,$B$7,$B$3,$B$4,$B$5,$F175,$B$6,Q$10,$A175,$B175)</f>
        <v>0</v>
      </c>
      <c r="R175" s="4">
        <f ca="1">_xll.DBRW($B$1,$B$2,$B$7,$B$3,$B$4,$B$5,$F175,$B$6,R$10,$A175,$B175)</f>
        <v>0</v>
      </c>
      <c r="S175" s="4">
        <f ca="1">_xll.DBRW($B$1,$B$2,$B$7,$B$3,$B$4,$B$5,$F175,$B$6,S$10,$A175,$B175)</f>
        <v>0</v>
      </c>
      <c r="T175" s="4">
        <f ca="1">_xll.DBRW($B$1,$B$2,$B$7,$B$3,$B$4,$B$5,$F175,$B$6,T$10,$A175,$B175)</f>
        <v>0</v>
      </c>
      <c r="U175" s="4">
        <f ca="1">_xll.DBRW($B$1,$B$2,$B$7,$B$3,$B$4,$B$5,$F175,$B$6,U$10,$A175,$B175)</f>
        <v>0</v>
      </c>
      <c r="V175" s="4">
        <f ca="1">_xll.DBRW($B$1,$B$2,$B$7,$B$3,$B$4,$B$5,$F175,$B$6,V$10,$A175,$B175)</f>
        <v>0</v>
      </c>
      <c r="W175" s="4">
        <f ca="1">_xll.DBRW($B$1,$B$2,$B$7,$B$3,$B$4,$B$5,$F175,$B$6,W$10,$A175,$B175)</f>
        <v>0</v>
      </c>
      <c r="X175" s="4">
        <f ca="1">_xll.DBRW($B$1,$B$2,$B$7,$B$3,$B$4,$B$5,$F175,$B$6,X$10,$A175,$B175)</f>
        <v>0</v>
      </c>
      <c r="Y175" s="4">
        <f ca="1">_xll.DBRW($B$1,$B$2,$B$7,$B$3,$B$4,$B$5,$F175,$B$6,Y$10,$A175,$B175)</f>
        <v>0</v>
      </c>
      <c r="Z175" s="4">
        <f ca="1">_xll.DBRW($B$1,$B$2,$B$7,$B$3,$B$4,$B$5,$F175,$B$6,Z$10,$A175,$B175)</f>
        <v>0</v>
      </c>
      <c r="AA175" s="4">
        <f ca="1">_xll.DBRW($B$1,$B$2,$B$7,$B$3,$B$4,$B$5,$F175,$B$6,AA$10,$A175,$B175)</f>
        <v>0</v>
      </c>
      <c r="AB175" s="4">
        <f ca="1">_xll.DBRW($B$1,$B$2,$B$7,$B$3,$B$4,$B$5,$F175,$B$6,AB$10,$A175,$B175)</f>
        <v>0</v>
      </c>
      <c r="AC175" s="4">
        <f ca="1">_xll.DBRW($B$1,$B$2,$B$7,$B$3,$B$4,$B$5,$F175,$B$6,AC$10,$A175,$B175)</f>
        <v>0</v>
      </c>
      <c r="AD175" s="4">
        <f ca="1">_xll.DBRW($B$1,$B$2,$B$7,$B$3,$B$4,$B$5,$F175,$B$6,AD$10,$A175,$B175)</f>
        <v>0</v>
      </c>
      <c r="AE175" s="4">
        <f ca="1">_xll.DBRW($B$1,$B$2,$B$7,$B$3,$B$4,$B$5,$F175,$B$6,AE$10,$A175,$B175)</f>
        <v>0</v>
      </c>
    </row>
    <row r="176" spans="1:31">
      <c r="A176" s="1" t="s">
        <v>150</v>
      </c>
      <c r="B176" s="5" t="s">
        <v>212</v>
      </c>
      <c r="C176" s="5" t="s">
        <v>213</v>
      </c>
      <c r="D176" s="5" t="s">
        <v>211</v>
      </c>
      <c r="E176" s="5" t="s">
        <v>21</v>
      </c>
      <c r="F176" s="5" t="s">
        <v>313</v>
      </c>
      <c r="G176" s="6"/>
      <c r="H176" s="6"/>
      <c r="I176" s="6"/>
      <c r="J176" s="6"/>
      <c r="K176" s="6"/>
      <c r="L176" s="4">
        <f ca="1">_xll.DBRW($B$1,$B$2,$B$7,$B$3,$B$4,$B$5,$F176,$B$6,L$10,$A176,$B176)</f>
        <v>0</v>
      </c>
      <c r="M176" s="4">
        <f ca="1">_xll.DBRW($B$1,$B$2,$B$7,$B$3,$B$4,$B$5,$F176,$B$6,M$10,$A176,$B176)</f>
        <v>0</v>
      </c>
      <c r="N176" s="4">
        <f ca="1">_xll.DBRW($B$1,$B$2,$B$7,$B$3,$B$4,$B$5,$F176,$B$6,N$10,$A176,$B176)</f>
        <v>0</v>
      </c>
      <c r="O176" s="4">
        <f ca="1">_xll.DBRW($B$1,$B$2,$B$7,$B$3,$B$4,$B$5,$F176,$B$6,O$10,$A176,$B176)</f>
        <v>0</v>
      </c>
      <c r="P176" s="4">
        <f ca="1">_xll.DBRW($B$1,$B$2,$B$7,$B$3,$B$4,$B$5,$F176,$B$6,P$10,$A176,$B176)</f>
        <v>0</v>
      </c>
      <c r="Q176" s="4">
        <f ca="1">_xll.DBRW($B$1,$B$2,$B$7,$B$3,$B$4,$B$5,$F176,$B$6,Q$10,$A176,$B176)</f>
        <v>0</v>
      </c>
      <c r="R176" s="4">
        <f ca="1">_xll.DBRW($B$1,$B$2,$B$7,$B$3,$B$4,$B$5,$F176,$B$6,R$10,$A176,$B176)</f>
        <v>0</v>
      </c>
      <c r="S176" s="4">
        <f ca="1">_xll.DBRW($B$1,$B$2,$B$7,$B$3,$B$4,$B$5,$F176,$B$6,S$10,$A176,$B176)</f>
        <v>0</v>
      </c>
      <c r="T176" s="4">
        <f ca="1">_xll.DBRW($B$1,$B$2,$B$7,$B$3,$B$4,$B$5,$F176,$B$6,T$10,$A176,$B176)</f>
        <v>0</v>
      </c>
      <c r="U176" s="4">
        <f ca="1">_xll.DBRW($B$1,$B$2,$B$7,$B$3,$B$4,$B$5,$F176,$B$6,U$10,$A176,$B176)</f>
        <v>0</v>
      </c>
      <c r="V176" s="4">
        <f ca="1">_xll.DBRW($B$1,$B$2,$B$7,$B$3,$B$4,$B$5,$F176,$B$6,V$10,$A176,$B176)</f>
        <v>0</v>
      </c>
      <c r="W176" s="4">
        <f ca="1">_xll.DBRW($B$1,$B$2,$B$7,$B$3,$B$4,$B$5,$F176,$B$6,W$10,$A176,$B176)</f>
        <v>0</v>
      </c>
      <c r="X176" s="4">
        <f ca="1">_xll.DBRW($B$1,$B$2,$B$7,$B$3,$B$4,$B$5,$F176,$B$6,X$10,$A176,$B176)</f>
        <v>0</v>
      </c>
      <c r="Y176" s="4">
        <f ca="1">_xll.DBRW($B$1,$B$2,$B$7,$B$3,$B$4,$B$5,$F176,$B$6,Y$10,$A176,$B176)</f>
        <v>0</v>
      </c>
      <c r="Z176" s="4">
        <f ca="1">_xll.DBRW($B$1,$B$2,$B$7,$B$3,$B$4,$B$5,$F176,$B$6,Z$10,$A176,$B176)</f>
        <v>0</v>
      </c>
      <c r="AA176" s="4">
        <f ca="1">_xll.DBRW($B$1,$B$2,$B$7,$B$3,$B$4,$B$5,$F176,$B$6,AA$10,$A176,$B176)</f>
        <v>0</v>
      </c>
      <c r="AB176" s="4">
        <f ca="1">_xll.DBRW($B$1,$B$2,$B$7,$B$3,$B$4,$B$5,$F176,$B$6,AB$10,$A176,$B176)</f>
        <v>0</v>
      </c>
      <c r="AC176" s="4">
        <f ca="1">_xll.DBRW($B$1,$B$2,$B$7,$B$3,$B$4,$B$5,$F176,$B$6,AC$10,$A176,$B176)</f>
        <v>0</v>
      </c>
      <c r="AD176" s="4">
        <f ca="1">_xll.DBRW($B$1,$B$2,$B$7,$B$3,$B$4,$B$5,$F176,$B$6,AD$10,$A176,$B176)</f>
        <v>0</v>
      </c>
      <c r="AE176" s="4">
        <f ca="1">_xll.DBRW($B$1,$B$2,$B$7,$B$3,$B$4,$B$5,$F176,$B$6,AE$10,$A176,$B176)</f>
        <v>0</v>
      </c>
    </row>
    <row r="177" spans="1:31">
      <c r="A177" s="1" t="s">
        <v>150</v>
      </c>
      <c r="B177" s="5" t="s">
        <v>214</v>
      </c>
      <c r="C177" s="5" t="s">
        <v>187</v>
      </c>
      <c r="D177" s="5" t="s">
        <v>21</v>
      </c>
      <c r="E177" s="5" t="s">
        <v>59</v>
      </c>
      <c r="F177" s="5" t="s">
        <v>313</v>
      </c>
      <c r="G177" s="6"/>
      <c r="H177" s="6"/>
      <c r="I177" s="6"/>
      <c r="J177" s="6"/>
      <c r="K177" s="6"/>
      <c r="L177" s="4">
        <f ca="1">_xll.DBRW($B$1,$B$2,$B$7,$B$3,$B$4,$B$5,$F177,$B$6,L$10,$A177,$B177)</f>
        <v>0</v>
      </c>
      <c r="M177" s="4">
        <f ca="1">_xll.DBRW($B$1,$B$2,$B$7,$B$3,$B$4,$B$5,$F177,$B$6,M$10,$A177,$B177)</f>
        <v>0</v>
      </c>
      <c r="N177" s="4">
        <f ca="1">_xll.DBRW($B$1,$B$2,$B$7,$B$3,$B$4,$B$5,$F177,$B$6,N$10,$A177,$B177)</f>
        <v>0</v>
      </c>
      <c r="O177" s="4">
        <f ca="1">_xll.DBRW($B$1,$B$2,$B$7,$B$3,$B$4,$B$5,$F177,$B$6,O$10,$A177,$B177)</f>
        <v>0</v>
      </c>
      <c r="P177" s="4">
        <f ca="1">_xll.DBRW($B$1,$B$2,$B$7,$B$3,$B$4,$B$5,$F177,$B$6,P$10,$A177,$B177)</f>
        <v>0</v>
      </c>
      <c r="Q177" s="4">
        <f ca="1">_xll.DBRW($B$1,$B$2,$B$7,$B$3,$B$4,$B$5,$F177,$B$6,Q$10,$A177,$B177)</f>
        <v>0</v>
      </c>
      <c r="R177" s="4">
        <f ca="1">_xll.DBRW($B$1,$B$2,$B$7,$B$3,$B$4,$B$5,$F177,$B$6,R$10,$A177,$B177)</f>
        <v>0</v>
      </c>
      <c r="S177" s="4">
        <f ca="1">_xll.DBRW($B$1,$B$2,$B$7,$B$3,$B$4,$B$5,$F177,$B$6,S$10,$A177,$B177)</f>
        <v>0</v>
      </c>
      <c r="T177" s="4">
        <f ca="1">_xll.DBRW($B$1,$B$2,$B$7,$B$3,$B$4,$B$5,$F177,$B$6,T$10,$A177,$B177)</f>
        <v>0</v>
      </c>
      <c r="U177" s="4">
        <f ca="1">_xll.DBRW($B$1,$B$2,$B$7,$B$3,$B$4,$B$5,$F177,$B$6,U$10,$A177,$B177)</f>
        <v>0</v>
      </c>
      <c r="V177" s="4">
        <f ca="1">_xll.DBRW($B$1,$B$2,$B$7,$B$3,$B$4,$B$5,$F177,$B$6,V$10,$A177,$B177)</f>
        <v>0</v>
      </c>
      <c r="W177" s="4">
        <f ca="1">_xll.DBRW($B$1,$B$2,$B$7,$B$3,$B$4,$B$5,$F177,$B$6,W$10,$A177,$B177)</f>
        <v>0</v>
      </c>
      <c r="X177" s="4">
        <f ca="1">_xll.DBRW($B$1,$B$2,$B$7,$B$3,$B$4,$B$5,$F177,$B$6,X$10,$A177,$B177)</f>
        <v>0</v>
      </c>
      <c r="Y177" s="4">
        <f ca="1">_xll.DBRW($B$1,$B$2,$B$7,$B$3,$B$4,$B$5,$F177,$B$6,Y$10,$A177,$B177)</f>
        <v>0</v>
      </c>
      <c r="Z177" s="4">
        <f ca="1">_xll.DBRW($B$1,$B$2,$B$7,$B$3,$B$4,$B$5,$F177,$B$6,Z$10,$A177,$B177)</f>
        <v>0</v>
      </c>
      <c r="AA177" s="4">
        <f ca="1">_xll.DBRW($B$1,$B$2,$B$7,$B$3,$B$4,$B$5,$F177,$B$6,AA$10,$A177,$B177)</f>
        <v>0</v>
      </c>
      <c r="AB177" s="4">
        <f ca="1">_xll.DBRW($B$1,$B$2,$B$7,$B$3,$B$4,$B$5,$F177,$B$6,AB$10,$A177,$B177)</f>
        <v>0</v>
      </c>
      <c r="AC177" s="4">
        <f ca="1">_xll.DBRW($B$1,$B$2,$B$7,$B$3,$B$4,$B$5,$F177,$B$6,AC$10,$A177,$B177)</f>
        <v>0</v>
      </c>
      <c r="AD177" s="4">
        <f ca="1">_xll.DBRW($B$1,$B$2,$B$7,$B$3,$B$4,$B$5,$F177,$B$6,AD$10,$A177,$B177)</f>
        <v>0</v>
      </c>
      <c r="AE177" s="4">
        <f ca="1">_xll.DBRW($B$1,$B$2,$B$7,$B$3,$B$4,$B$5,$F177,$B$6,AE$10,$A177,$B177)</f>
        <v>0</v>
      </c>
    </row>
    <row r="178" spans="1:31">
      <c r="A178" s="1" t="s">
        <v>150</v>
      </c>
      <c r="B178" s="5" t="s">
        <v>63</v>
      </c>
      <c r="C178" s="5" t="s">
        <v>62</v>
      </c>
      <c r="D178" s="5" t="s">
        <v>59</v>
      </c>
      <c r="E178" s="5" t="s">
        <v>21</v>
      </c>
      <c r="F178" s="5" t="s">
        <v>313</v>
      </c>
      <c r="G178" s="6"/>
      <c r="H178" s="6"/>
      <c r="I178" s="6"/>
      <c r="J178" s="6"/>
      <c r="K178" s="6"/>
      <c r="L178" s="4">
        <f ca="1">_xll.DBRW($B$1,$B$2,$B$7,$B$3,$B$4,$B$5,$F178,$B$6,L$10,$A178,$B178)</f>
        <v>0</v>
      </c>
      <c r="M178" s="4">
        <f ca="1">_xll.DBRW($B$1,$B$2,$B$7,$B$3,$B$4,$B$5,$F178,$B$6,M$10,$A178,$B178)</f>
        <v>0</v>
      </c>
      <c r="N178" s="4">
        <f ca="1">_xll.DBRW($B$1,$B$2,$B$7,$B$3,$B$4,$B$5,$F178,$B$6,N$10,$A178,$B178)</f>
        <v>0</v>
      </c>
      <c r="O178" s="4">
        <f ca="1">_xll.DBRW($B$1,$B$2,$B$7,$B$3,$B$4,$B$5,$F178,$B$6,O$10,$A178,$B178)</f>
        <v>0</v>
      </c>
      <c r="P178" s="4">
        <f ca="1">_xll.DBRW($B$1,$B$2,$B$7,$B$3,$B$4,$B$5,$F178,$B$6,P$10,$A178,$B178)</f>
        <v>0</v>
      </c>
      <c r="Q178" s="4">
        <f ca="1">_xll.DBRW($B$1,$B$2,$B$7,$B$3,$B$4,$B$5,$F178,$B$6,Q$10,$A178,$B178)</f>
        <v>0</v>
      </c>
      <c r="R178" s="4">
        <f ca="1">_xll.DBRW($B$1,$B$2,$B$7,$B$3,$B$4,$B$5,$F178,$B$6,R$10,$A178,$B178)</f>
        <v>0</v>
      </c>
      <c r="S178" s="4">
        <f ca="1">_xll.DBRW($B$1,$B$2,$B$7,$B$3,$B$4,$B$5,$F178,$B$6,S$10,$A178,$B178)</f>
        <v>0</v>
      </c>
      <c r="T178" s="4">
        <f ca="1">_xll.DBRW($B$1,$B$2,$B$7,$B$3,$B$4,$B$5,$F178,$B$6,T$10,$A178,$B178)</f>
        <v>0</v>
      </c>
      <c r="U178" s="4">
        <f ca="1">_xll.DBRW($B$1,$B$2,$B$7,$B$3,$B$4,$B$5,$F178,$B$6,U$10,$A178,$B178)</f>
        <v>0</v>
      </c>
      <c r="V178" s="4">
        <f ca="1">_xll.DBRW($B$1,$B$2,$B$7,$B$3,$B$4,$B$5,$F178,$B$6,V$10,$A178,$B178)</f>
        <v>0</v>
      </c>
      <c r="W178" s="4">
        <f ca="1">_xll.DBRW($B$1,$B$2,$B$7,$B$3,$B$4,$B$5,$F178,$B$6,W$10,$A178,$B178)</f>
        <v>0</v>
      </c>
      <c r="X178" s="4">
        <f ca="1">_xll.DBRW($B$1,$B$2,$B$7,$B$3,$B$4,$B$5,$F178,$B$6,X$10,$A178,$B178)</f>
        <v>0</v>
      </c>
      <c r="Y178" s="4">
        <f ca="1">_xll.DBRW($B$1,$B$2,$B$7,$B$3,$B$4,$B$5,$F178,$B$6,Y$10,$A178,$B178)</f>
        <v>0</v>
      </c>
      <c r="Z178" s="4">
        <f ca="1">_xll.DBRW($B$1,$B$2,$B$7,$B$3,$B$4,$B$5,$F178,$B$6,Z$10,$A178,$B178)</f>
        <v>0</v>
      </c>
      <c r="AA178" s="4">
        <f ca="1">_xll.DBRW($B$1,$B$2,$B$7,$B$3,$B$4,$B$5,$F178,$B$6,AA$10,$A178,$B178)</f>
        <v>0</v>
      </c>
      <c r="AB178" s="4">
        <f ca="1">_xll.DBRW($B$1,$B$2,$B$7,$B$3,$B$4,$B$5,$F178,$B$6,AB$10,$A178,$B178)</f>
        <v>0</v>
      </c>
      <c r="AC178" s="4">
        <f ca="1">_xll.DBRW($B$1,$B$2,$B$7,$B$3,$B$4,$B$5,$F178,$B$6,AC$10,$A178,$B178)</f>
        <v>0</v>
      </c>
      <c r="AD178" s="4">
        <f ca="1">_xll.DBRW($B$1,$B$2,$B$7,$B$3,$B$4,$B$5,$F178,$B$6,AD$10,$A178,$B178)</f>
        <v>0</v>
      </c>
      <c r="AE178" s="4">
        <f ca="1">_xll.DBRW($B$1,$B$2,$B$7,$B$3,$B$4,$B$5,$F178,$B$6,AE$10,$A178,$B178)</f>
        <v>0</v>
      </c>
    </row>
    <row r="179" spans="1:31">
      <c r="A179" s="1" t="s">
        <v>150</v>
      </c>
      <c r="B179" s="5" t="s">
        <v>215</v>
      </c>
      <c r="C179" s="5" t="s">
        <v>159</v>
      </c>
      <c r="D179" s="5" t="s">
        <v>21</v>
      </c>
      <c r="E179" s="5" t="s">
        <v>38</v>
      </c>
      <c r="F179" s="5" t="s">
        <v>313</v>
      </c>
      <c r="G179" s="6"/>
      <c r="H179" s="6"/>
      <c r="I179" s="6"/>
      <c r="J179" s="6"/>
      <c r="K179" s="6"/>
      <c r="L179" s="4">
        <f ca="1">_xll.DBRW($B$1,$B$2,$B$7,$B$3,$B$4,$B$5,$F179,$B$6,L$10,$A179,$B179)</f>
        <v>0</v>
      </c>
      <c r="M179" s="4">
        <f ca="1">_xll.DBRW($B$1,$B$2,$B$7,$B$3,$B$4,$B$5,$F179,$B$6,M$10,$A179,$B179)</f>
        <v>0</v>
      </c>
      <c r="N179" s="4">
        <f ca="1">_xll.DBRW($B$1,$B$2,$B$7,$B$3,$B$4,$B$5,$F179,$B$6,N$10,$A179,$B179)</f>
        <v>0</v>
      </c>
      <c r="O179" s="4">
        <f ca="1">_xll.DBRW($B$1,$B$2,$B$7,$B$3,$B$4,$B$5,$F179,$B$6,O$10,$A179,$B179)</f>
        <v>0</v>
      </c>
      <c r="P179" s="4">
        <f ca="1">_xll.DBRW($B$1,$B$2,$B$7,$B$3,$B$4,$B$5,$F179,$B$6,P$10,$A179,$B179)</f>
        <v>0</v>
      </c>
      <c r="Q179" s="4">
        <f ca="1">_xll.DBRW($B$1,$B$2,$B$7,$B$3,$B$4,$B$5,$F179,$B$6,Q$10,$A179,$B179)</f>
        <v>0</v>
      </c>
      <c r="R179" s="4">
        <f ca="1">_xll.DBRW($B$1,$B$2,$B$7,$B$3,$B$4,$B$5,$F179,$B$6,R$10,$A179,$B179)</f>
        <v>0</v>
      </c>
      <c r="S179" s="4">
        <f ca="1">_xll.DBRW($B$1,$B$2,$B$7,$B$3,$B$4,$B$5,$F179,$B$6,S$10,$A179,$B179)</f>
        <v>0</v>
      </c>
      <c r="T179" s="4">
        <f ca="1">_xll.DBRW($B$1,$B$2,$B$7,$B$3,$B$4,$B$5,$F179,$B$6,T$10,$A179,$B179)</f>
        <v>0</v>
      </c>
      <c r="U179" s="4">
        <f ca="1">_xll.DBRW($B$1,$B$2,$B$7,$B$3,$B$4,$B$5,$F179,$B$6,U$10,$A179,$B179)</f>
        <v>0</v>
      </c>
      <c r="V179" s="4">
        <f ca="1">_xll.DBRW($B$1,$B$2,$B$7,$B$3,$B$4,$B$5,$F179,$B$6,V$10,$A179,$B179)</f>
        <v>0</v>
      </c>
      <c r="W179" s="4">
        <f ca="1">_xll.DBRW($B$1,$B$2,$B$7,$B$3,$B$4,$B$5,$F179,$B$6,W$10,$A179,$B179)</f>
        <v>0</v>
      </c>
      <c r="X179" s="4">
        <f ca="1">_xll.DBRW($B$1,$B$2,$B$7,$B$3,$B$4,$B$5,$F179,$B$6,X$10,$A179,$B179)</f>
        <v>0</v>
      </c>
      <c r="Y179" s="4">
        <f ca="1">_xll.DBRW($B$1,$B$2,$B$7,$B$3,$B$4,$B$5,$F179,$B$6,Y$10,$A179,$B179)</f>
        <v>0</v>
      </c>
      <c r="Z179" s="4">
        <f ca="1">_xll.DBRW($B$1,$B$2,$B$7,$B$3,$B$4,$B$5,$F179,$B$6,Z$10,$A179,$B179)</f>
        <v>0</v>
      </c>
      <c r="AA179" s="4">
        <f ca="1">_xll.DBRW($B$1,$B$2,$B$7,$B$3,$B$4,$B$5,$F179,$B$6,AA$10,$A179,$B179)</f>
        <v>0</v>
      </c>
      <c r="AB179" s="4">
        <f ca="1">_xll.DBRW($B$1,$B$2,$B$7,$B$3,$B$4,$B$5,$F179,$B$6,AB$10,$A179,$B179)</f>
        <v>0</v>
      </c>
      <c r="AC179" s="4">
        <f ca="1">_xll.DBRW($B$1,$B$2,$B$7,$B$3,$B$4,$B$5,$F179,$B$6,AC$10,$A179,$B179)</f>
        <v>0</v>
      </c>
      <c r="AD179" s="4">
        <f ca="1">_xll.DBRW($B$1,$B$2,$B$7,$B$3,$B$4,$B$5,$F179,$B$6,AD$10,$A179,$B179)</f>
        <v>0</v>
      </c>
      <c r="AE179" s="4">
        <f ca="1">_xll.DBRW($B$1,$B$2,$B$7,$B$3,$B$4,$B$5,$F179,$B$6,AE$10,$A179,$B179)</f>
        <v>0</v>
      </c>
    </row>
    <row r="180" spans="1:31">
      <c r="A180" s="1" t="s">
        <v>150</v>
      </c>
      <c r="B180" s="5" t="s">
        <v>43</v>
      </c>
      <c r="C180" s="5" t="s">
        <v>37</v>
      </c>
      <c r="D180" s="5" t="s">
        <v>38</v>
      </c>
      <c r="E180" s="5" t="s">
        <v>21</v>
      </c>
      <c r="F180" s="5" t="s">
        <v>313</v>
      </c>
      <c r="G180" s="6"/>
      <c r="H180" s="6"/>
      <c r="I180" s="6"/>
      <c r="J180" s="6"/>
      <c r="K180" s="6"/>
      <c r="L180" s="4">
        <f ca="1">_xll.DBRW($B$1,$B$2,$B$7,$B$3,$B$4,$B$5,$F180,$B$6,L$10,$A180,$B180)</f>
        <v>0</v>
      </c>
      <c r="M180" s="4">
        <f ca="1">_xll.DBRW($B$1,$B$2,$B$7,$B$3,$B$4,$B$5,$F180,$B$6,M$10,$A180,$B180)</f>
        <v>0</v>
      </c>
      <c r="N180" s="4">
        <f ca="1">_xll.DBRW($B$1,$B$2,$B$7,$B$3,$B$4,$B$5,$F180,$B$6,N$10,$A180,$B180)</f>
        <v>0</v>
      </c>
      <c r="O180" s="4">
        <f ca="1">_xll.DBRW($B$1,$B$2,$B$7,$B$3,$B$4,$B$5,$F180,$B$6,O$10,$A180,$B180)</f>
        <v>0</v>
      </c>
      <c r="P180" s="4">
        <f ca="1">_xll.DBRW($B$1,$B$2,$B$7,$B$3,$B$4,$B$5,$F180,$B$6,P$10,$A180,$B180)</f>
        <v>0</v>
      </c>
      <c r="Q180" s="4">
        <f ca="1">_xll.DBRW($B$1,$B$2,$B$7,$B$3,$B$4,$B$5,$F180,$B$6,Q$10,$A180,$B180)</f>
        <v>0</v>
      </c>
      <c r="R180" s="4">
        <f ca="1">_xll.DBRW($B$1,$B$2,$B$7,$B$3,$B$4,$B$5,$F180,$B$6,R$10,$A180,$B180)</f>
        <v>0</v>
      </c>
      <c r="S180" s="4">
        <f ca="1">_xll.DBRW($B$1,$B$2,$B$7,$B$3,$B$4,$B$5,$F180,$B$6,S$10,$A180,$B180)</f>
        <v>0</v>
      </c>
      <c r="T180" s="4">
        <f ca="1">_xll.DBRW($B$1,$B$2,$B$7,$B$3,$B$4,$B$5,$F180,$B$6,T$10,$A180,$B180)</f>
        <v>0</v>
      </c>
      <c r="U180" s="4">
        <f ca="1">_xll.DBRW($B$1,$B$2,$B$7,$B$3,$B$4,$B$5,$F180,$B$6,U$10,$A180,$B180)</f>
        <v>0</v>
      </c>
      <c r="V180" s="4">
        <f ca="1">_xll.DBRW($B$1,$B$2,$B$7,$B$3,$B$4,$B$5,$F180,$B$6,V$10,$A180,$B180)</f>
        <v>0</v>
      </c>
      <c r="W180" s="4">
        <f ca="1">_xll.DBRW($B$1,$B$2,$B$7,$B$3,$B$4,$B$5,$F180,$B$6,W$10,$A180,$B180)</f>
        <v>0</v>
      </c>
      <c r="X180" s="4">
        <f ca="1">_xll.DBRW($B$1,$B$2,$B$7,$B$3,$B$4,$B$5,$F180,$B$6,X$10,$A180,$B180)</f>
        <v>0</v>
      </c>
      <c r="Y180" s="4">
        <f ca="1">_xll.DBRW($B$1,$B$2,$B$7,$B$3,$B$4,$B$5,$F180,$B$6,Y$10,$A180,$B180)</f>
        <v>0</v>
      </c>
      <c r="Z180" s="4">
        <f ca="1">_xll.DBRW($B$1,$B$2,$B$7,$B$3,$B$4,$B$5,$F180,$B$6,Z$10,$A180,$B180)</f>
        <v>0</v>
      </c>
      <c r="AA180" s="4">
        <f ca="1">_xll.DBRW($B$1,$B$2,$B$7,$B$3,$B$4,$B$5,$F180,$B$6,AA$10,$A180,$B180)</f>
        <v>0</v>
      </c>
      <c r="AB180" s="4">
        <f ca="1">_xll.DBRW($B$1,$B$2,$B$7,$B$3,$B$4,$B$5,$F180,$B$6,AB$10,$A180,$B180)</f>
        <v>0</v>
      </c>
      <c r="AC180" s="4">
        <f ca="1">_xll.DBRW($B$1,$B$2,$B$7,$B$3,$B$4,$B$5,$F180,$B$6,AC$10,$A180,$B180)</f>
        <v>0</v>
      </c>
      <c r="AD180" s="4">
        <f ca="1">_xll.DBRW($B$1,$B$2,$B$7,$B$3,$B$4,$B$5,$F180,$B$6,AD$10,$A180,$B180)</f>
        <v>0</v>
      </c>
      <c r="AE180" s="4">
        <f ca="1">_xll.DBRW($B$1,$B$2,$B$7,$B$3,$B$4,$B$5,$F180,$B$6,AE$10,$A180,$B180)</f>
        <v>0</v>
      </c>
    </row>
    <row r="181" spans="1:31">
      <c r="A181" s="1" t="s">
        <v>150</v>
      </c>
      <c r="B181" s="5" t="s">
        <v>216</v>
      </c>
      <c r="C181" s="5" t="s">
        <v>163</v>
      </c>
      <c r="D181" s="5" t="s">
        <v>21</v>
      </c>
      <c r="E181" s="5" t="s">
        <v>54</v>
      </c>
      <c r="F181" s="5" t="s">
        <v>313</v>
      </c>
      <c r="G181" s="6"/>
      <c r="H181" s="6"/>
      <c r="I181" s="6"/>
      <c r="J181" s="6"/>
      <c r="K181" s="6"/>
      <c r="L181" s="4">
        <f ca="1">_xll.DBRW($B$1,$B$2,$B$7,$B$3,$B$4,$B$5,$F181,$B$6,L$10,$A181,$B181)</f>
        <v>0</v>
      </c>
      <c r="M181" s="4">
        <f ca="1">_xll.DBRW($B$1,$B$2,$B$7,$B$3,$B$4,$B$5,$F181,$B$6,M$10,$A181,$B181)</f>
        <v>0</v>
      </c>
      <c r="N181" s="4">
        <f ca="1">_xll.DBRW($B$1,$B$2,$B$7,$B$3,$B$4,$B$5,$F181,$B$6,N$10,$A181,$B181)</f>
        <v>0</v>
      </c>
      <c r="O181" s="4">
        <f ca="1">_xll.DBRW($B$1,$B$2,$B$7,$B$3,$B$4,$B$5,$F181,$B$6,O$10,$A181,$B181)</f>
        <v>0</v>
      </c>
      <c r="P181" s="4">
        <f ca="1">_xll.DBRW($B$1,$B$2,$B$7,$B$3,$B$4,$B$5,$F181,$B$6,P$10,$A181,$B181)</f>
        <v>0</v>
      </c>
      <c r="Q181" s="4">
        <f ca="1">_xll.DBRW($B$1,$B$2,$B$7,$B$3,$B$4,$B$5,$F181,$B$6,Q$10,$A181,$B181)</f>
        <v>0</v>
      </c>
      <c r="R181" s="4">
        <f ca="1">_xll.DBRW($B$1,$B$2,$B$7,$B$3,$B$4,$B$5,$F181,$B$6,R$10,$A181,$B181)</f>
        <v>0</v>
      </c>
      <c r="S181" s="4">
        <f ca="1">_xll.DBRW($B$1,$B$2,$B$7,$B$3,$B$4,$B$5,$F181,$B$6,S$10,$A181,$B181)</f>
        <v>0</v>
      </c>
      <c r="T181" s="4">
        <f ca="1">_xll.DBRW($B$1,$B$2,$B$7,$B$3,$B$4,$B$5,$F181,$B$6,T$10,$A181,$B181)</f>
        <v>0</v>
      </c>
      <c r="U181" s="4">
        <f ca="1">_xll.DBRW($B$1,$B$2,$B$7,$B$3,$B$4,$B$5,$F181,$B$6,U$10,$A181,$B181)</f>
        <v>0</v>
      </c>
      <c r="V181" s="4">
        <f ca="1">_xll.DBRW($B$1,$B$2,$B$7,$B$3,$B$4,$B$5,$F181,$B$6,V$10,$A181,$B181)</f>
        <v>0</v>
      </c>
      <c r="W181" s="4">
        <f ca="1">_xll.DBRW($B$1,$B$2,$B$7,$B$3,$B$4,$B$5,$F181,$B$6,W$10,$A181,$B181)</f>
        <v>0</v>
      </c>
      <c r="X181" s="4">
        <f ca="1">_xll.DBRW($B$1,$B$2,$B$7,$B$3,$B$4,$B$5,$F181,$B$6,X$10,$A181,$B181)</f>
        <v>0</v>
      </c>
      <c r="Y181" s="4">
        <f ca="1">_xll.DBRW($B$1,$B$2,$B$7,$B$3,$B$4,$B$5,$F181,$B$6,Y$10,$A181,$B181)</f>
        <v>0</v>
      </c>
      <c r="Z181" s="4">
        <f ca="1">_xll.DBRW($B$1,$B$2,$B$7,$B$3,$B$4,$B$5,$F181,$B$6,Z$10,$A181,$B181)</f>
        <v>0</v>
      </c>
      <c r="AA181" s="4">
        <f ca="1">_xll.DBRW($B$1,$B$2,$B$7,$B$3,$B$4,$B$5,$F181,$B$6,AA$10,$A181,$B181)</f>
        <v>0</v>
      </c>
      <c r="AB181" s="4">
        <f ca="1">_xll.DBRW($B$1,$B$2,$B$7,$B$3,$B$4,$B$5,$F181,$B$6,AB$10,$A181,$B181)</f>
        <v>0</v>
      </c>
      <c r="AC181" s="4">
        <f ca="1">_xll.DBRW($B$1,$B$2,$B$7,$B$3,$B$4,$B$5,$F181,$B$6,AC$10,$A181,$B181)</f>
        <v>0</v>
      </c>
      <c r="AD181" s="4">
        <f ca="1">_xll.DBRW($B$1,$B$2,$B$7,$B$3,$B$4,$B$5,$F181,$B$6,AD$10,$A181,$B181)</f>
        <v>0</v>
      </c>
      <c r="AE181" s="4">
        <f ca="1">_xll.DBRW($B$1,$B$2,$B$7,$B$3,$B$4,$B$5,$F181,$B$6,AE$10,$A181,$B181)</f>
        <v>0</v>
      </c>
    </row>
    <row r="182" spans="1:31">
      <c r="A182" s="1" t="s">
        <v>150</v>
      </c>
      <c r="B182" s="5" t="s">
        <v>56</v>
      </c>
      <c r="C182" s="5" t="s">
        <v>53</v>
      </c>
      <c r="D182" s="5" t="s">
        <v>54</v>
      </c>
      <c r="E182" s="5" t="s">
        <v>21</v>
      </c>
      <c r="F182" s="5" t="s">
        <v>313</v>
      </c>
      <c r="G182" s="6"/>
      <c r="H182" s="6"/>
      <c r="I182" s="6"/>
      <c r="J182" s="6"/>
      <c r="K182" s="6"/>
      <c r="L182" s="4">
        <f ca="1">_xll.DBRW($B$1,$B$2,$B$7,$B$3,$B$4,$B$5,$F182,$B$6,L$10,$A182,$B182)</f>
        <v>0</v>
      </c>
      <c r="M182" s="4">
        <f ca="1">_xll.DBRW($B$1,$B$2,$B$7,$B$3,$B$4,$B$5,$F182,$B$6,M$10,$A182,$B182)</f>
        <v>0</v>
      </c>
      <c r="N182" s="4">
        <f ca="1">_xll.DBRW($B$1,$B$2,$B$7,$B$3,$B$4,$B$5,$F182,$B$6,N$10,$A182,$B182)</f>
        <v>0</v>
      </c>
      <c r="O182" s="4">
        <f ca="1">_xll.DBRW($B$1,$B$2,$B$7,$B$3,$B$4,$B$5,$F182,$B$6,O$10,$A182,$B182)</f>
        <v>0</v>
      </c>
      <c r="P182" s="4">
        <f ca="1">_xll.DBRW($B$1,$B$2,$B$7,$B$3,$B$4,$B$5,$F182,$B$6,P$10,$A182,$B182)</f>
        <v>0</v>
      </c>
      <c r="Q182" s="4">
        <f ca="1">_xll.DBRW($B$1,$B$2,$B$7,$B$3,$B$4,$B$5,$F182,$B$6,Q$10,$A182,$B182)</f>
        <v>0</v>
      </c>
      <c r="R182" s="4">
        <f ca="1">_xll.DBRW($B$1,$B$2,$B$7,$B$3,$B$4,$B$5,$F182,$B$6,R$10,$A182,$B182)</f>
        <v>0</v>
      </c>
      <c r="S182" s="4">
        <f ca="1">_xll.DBRW($B$1,$B$2,$B$7,$B$3,$B$4,$B$5,$F182,$B$6,S$10,$A182,$B182)</f>
        <v>0</v>
      </c>
      <c r="T182" s="4">
        <f ca="1">_xll.DBRW($B$1,$B$2,$B$7,$B$3,$B$4,$B$5,$F182,$B$6,T$10,$A182,$B182)</f>
        <v>0</v>
      </c>
      <c r="U182" s="4">
        <f ca="1">_xll.DBRW($B$1,$B$2,$B$7,$B$3,$B$4,$B$5,$F182,$B$6,U$10,$A182,$B182)</f>
        <v>0</v>
      </c>
      <c r="V182" s="4">
        <f ca="1">_xll.DBRW($B$1,$B$2,$B$7,$B$3,$B$4,$B$5,$F182,$B$6,V$10,$A182,$B182)</f>
        <v>0</v>
      </c>
      <c r="W182" s="4">
        <f ca="1">_xll.DBRW($B$1,$B$2,$B$7,$B$3,$B$4,$B$5,$F182,$B$6,W$10,$A182,$B182)</f>
        <v>0</v>
      </c>
      <c r="X182" s="4">
        <f ca="1">_xll.DBRW($B$1,$B$2,$B$7,$B$3,$B$4,$B$5,$F182,$B$6,X$10,$A182,$B182)</f>
        <v>0</v>
      </c>
      <c r="Y182" s="4">
        <f ca="1">_xll.DBRW($B$1,$B$2,$B$7,$B$3,$B$4,$B$5,$F182,$B$6,Y$10,$A182,$B182)</f>
        <v>0</v>
      </c>
      <c r="Z182" s="4">
        <f ca="1">_xll.DBRW($B$1,$B$2,$B$7,$B$3,$B$4,$B$5,$F182,$B$6,Z$10,$A182,$B182)</f>
        <v>0</v>
      </c>
      <c r="AA182" s="4">
        <f ca="1">_xll.DBRW($B$1,$B$2,$B$7,$B$3,$B$4,$B$5,$F182,$B$6,AA$10,$A182,$B182)</f>
        <v>0</v>
      </c>
      <c r="AB182" s="4">
        <f ca="1">_xll.DBRW($B$1,$B$2,$B$7,$B$3,$B$4,$B$5,$F182,$B$6,AB$10,$A182,$B182)</f>
        <v>0</v>
      </c>
      <c r="AC182" s="4">
        <f ca="1">_xll.DBRW($B$1,$B$2,$B$7,$B$3,$B$4,$B$5,$F182,$B$6,AC$10,$A182,$B182)</f>
        <v>0</v>
      </c>
      <c r="AD182" s="4">
        <f ca="1">_xll.DBRW($B$1,$B$2,$B$7,$B$3,$B$4,$B$5,$F182,$B$6,AD$10,$A182,$B182)</f>
        <v>0</v>
      </c>
      <c r="AE182" s="4">
        <f ca="1">_xll.DBRW($B$1,$B$2,$B$7,$B$3,$B$4,$B$5,$F182,$B$6,AE$10,$A182,$B182)</f>
        <v>0</v>
      </c>
    </row>
    <row r="183" spans="1:31">
      <c r="A183" s="1" t="s">
        <v>150</v>
      </c>
      <c r="B183" s="5" t="s">
        <v>217</v>
      </c>
      <c r="C183" s="5" t="s">
        <v>159</v>
      </c>
      <c r="D183" s="5" t="s">
        <v>21</v>
      </c>
      <c r="E183" s="5" t="s">
        <v>38</v>
      </c>
      <c r="F183" s="5" t="s">
        <v>313</v>
      </c>
      <c r="G183" s="6"/>
      <c r="H183" s="6"/>
      <c r="I183" s="6"/>
      <c r="J183" s="6"/>
      <c r="K183" s="6"/>
      <c r="L183" s="4">
        <f ca="1">_xll.DBRW($B$1,$B$2,$B$7,$B$3,$B$4,$B$5,$F183,$B$6,L$10,$A183,$B183)</f>
        <v>0</v>
      </c>
      <c r="M183" s="4">
        <f ca="1">_xll.DBRW($B$1,$B$2,$B$7,$B$3,$B$4,$B$5,$F183,$B$6,M$10,$A183,$B183)</f>
        <v>0</v>
      </c>
      <c r="N183" s="4">
        <f ca="1">_xll.DBRW($B$1,$B$2,$B$7,$B$3,$B$4,$B$5,$F183,$B$6,N$10,$A183,$B183)</f>
        <v>0</v>
      </c>
      <c r="O183" s="4">
        <f ca="1">_xll.DBRW($B$1,$B$2,$B$7,$B$3,$B$4,$B$5,$F183,$B$6,O$10,$A183,$B183)</f>
        <v>0</v>
      </c>
      <c r="P183" s="4">
        <f ca="1">_xll.DBRW($B$1,$B$2,$B$7,$B$3,$B$4,$B$5,$F183,$B$6,P$10,$A183,$B183)</f>
        <v>0</v>
      </c>
      <c r="Q183" s="4">
        <f ca="1">_xll.DBRW($B$1,$B$2,$B$7,$B$3,$B$4,$B$5,$F183,$B$6,Q$10,$A183,$B183)</f>
        <v>0</v>
      </c>
      <c r="R183" s="4">
        <f ca="1">_xll.DBRW($B$1,$B$2,$B$7,$B$3,$B$4,$B$5,$F183,$B$6,R$10,$A183,$B183)</f>
        <v>0</v>
      </c>
      <c r="S183" s="4">
        <f ca="1">_xll.DBRW($B$1,$B$2,$B$7,$B$3,$B$4,$B$5,$F183,$B$6,S$10,$A183,$B183)</f>
        <v>0</v>
      </c>
      <c r="T183" s="4">
        <f ca="1">_xll.DBRW($B$1,$B$2,$B$7,$B$3,$B$4,$B$5,$F183,$B$6,T$10,$A183,$B183)</f>
        <v>0</v>
      </c>
      <c r="U183" s="4">
        <f ca="1">_xll.DBRW($B$1,$B$2,$B$7,$B$3,$B$4,$B$5,$F183,$B$6,U$10,$A183,$B183)</f>
        <v>0</v>
      </c>
      <c r="V183" s="4">
        <f ca="1">_xll.DBRW($B$1,$B$2,$B$7,$B$3,$B$4,$B$5,$F183,$B$6,V$10,$A183,$B183)</f>
        <v>0</v>
      </c>
      <c r="W183" s="4">
        <f ca="1">_xll.DBRW($B$1,$B$2,$B$7,$B$3,$B$4,$B$5,$F183,$B$6,W$10,$A183,$B183)</f>
        <v>0</v>
      </c>
      <c r="X183" s="4">
        <f ca="1">_xll.DBRW($B$1,$B$2,$B$7,$B$3,$B$4,$B$5,$F183,$B$6,X$10,$A183,$B183)</f>
        <v>0</v>
      </c>
      <c r="Y183" s="4">
        <f ca="1">_xll.DBRW($B$1,$B$2,$B$7,$B$3,$B$4,$B$5,$F183,$B$6,Y$10,$A183,$B183)</f>
        <v>0</v>
      </c>
      <c r="Z183" s="4">
        <f ca="1">_xll.DBRW($B$1,$B$2,$B$7,$B$3,$B$4,$B$5,$F183,$B$6,Z$10,$A183,$B183)</f>
        <v>0</v>
      </c>
      <c r="AA183" s="4">
        <f ca="1">_xll.DBRW($B$1,$B$2,$B$7,$B$3,$B$4,$B$5,$F183,$B$6,AA$10,$A183,$B183)</f>
        <v>0</v>
      </c>
      <c r="AB183" s="4">
        <f ca="1">_xll.DBRW($B$1,$B$2,$B$7,$B$3,$B$4,$B$5,$F183,$B$6,AB$10,$A183,$B183)</f>
        <v>0</v>
      </c>
      <c r="AC183" s="4">
        <f ca="1">_xll.DBRW($B$1,$B$2,$B$7,$B$3,$B$4,$B$5,$F183,$B$6,AC$10,$A183,$B183)</f>
        <v>0</v>
      </c>
      <c r="AD183" s="4">
        <f ca="1">_xll.DBRW($B$1,$B$2,$B$7,$B$3,$B$4,$B$5,$F183,$B$6,AD$10,$A183,$B183)</f>
        <v>0</v>
      </c>
      <c r="AE183" s="4">
        <f ca="1">_xll.DBRW($B$1,$B$2,$B$7,$B$3,$B$4,$B$5,$F183,$B$6,AE$10,$A183,$B183)</f>
        <v>0</v>
      </c>
    </row>
    <row r="184" spans="1:31">
      <c r="A184" s="1" t="s">
        <v>150</v>
      </c>
      <c r="B184" s="5" t="s">
        <v>44</v>
      </c>
      <c r="C184" s="5" t="s">
        <v>37</v>
      </c>
      <c r="D184" s="5" t="s">
        <v>38</v>
      </c>
      <c r="E184" s="5" t="s">
        <v>21</v>
      </c>
      <c r="F184" s="5" t="s">
        <v>313</v>
      </c>
      <c r="G184" s="6"/>
      <c r="H184" s="6"/>
      <c r="I184" s="6"/>
      <c r="J184" s="6"/>
      <c r="K184" s="6"/>
      <c r="L184" s="4">
        <f ca="1">_xll.DBRW($B$1,$B$2,$B$7,$B$3,$B$4,$B$5,$F184,$B$6,L$10,$A184,$B184)</f>
        <v>0</v>
      </c>
      <c r="M184" s="4">
        <f ca="1">_xll.DBRW($B$1,$B$2,$B$7,$B$3,$B$4,$B$5,$F184,$B$6,M$10,$A184,$B184)</f>
        <v>0</v>
      </c>
      <c r="N184" s="4">
        <f ca="1">_xll.DBRW($B$1,$B$2,$B$7,$B$3,$B$4,$B$5,$F184,$B$6,N$10,$A184,$B184)</f>
        <v>0</v>
      </c>
      <c r="O184" s="4">
        <f ca="1">_xll.DBRW($B$1,$B$2,$B$7,$B$3,$B$4,$B$5,$F184,$B$6,O$10,$A184,$B184)</f>
        <v>0</v>
      </c>
      <c r="P184" s="4">
        <f ca="1">_xll.DBRW($B$1,$B$2,$B$7,$B$3,$B$4,$B$5,$F184,$B$6,P$10,$A184,$B184)</f>
        <v>0</v>
      </c>
      <c r="Q184" s="4">
        <f ca="1">_xll.DBRW($B$1,$B$2,$B$7,$B$3,$B$4,$B$5,$F184,$B$6,Q$10,$A184,$B184)</f>
        <v>0</v>
      </c>
      <c r="R184" s="4">
        <f ca="1">_xll.DBRW($B$1,$B$2,$B$7,$B$3,$B$4,$B$5,$F184,$B$6,R$10,$A184,$B184)</f>
        <v>0</v>
      </c>
      <c r="S184" s="4">
        <f ca="1">_xll.DBRW($B$1,$B$2,$B$7,$B$3,$B$4,$B$5,$F184,$B$6,S$10,$A184,$B184)</f>
        <v>0</v>
      </c>
      <c r="T184" s="4">
        <f ca="1">_xll.DBRW($B$1,$B$2,$B$7,$B$3,$B$4,$B$5,$F184,$B$6,T$10,$A184,$B184)</f>
        <v>0</v>
      </c>
      <c r="U184" s="4">
        <f ca="1">_xll.DBRW($B$1,$B$2,$B$7,$B$3,$B$4,$B$5,$F184,$B$6,U$10,$A184,$B184)</f>
        <v>0</v>
      </c>
      <c r="V184" s="4">
        <f ca="1">_xll.DBRW($B$1,$B$2,$B$7,$B$3,$B$4,$B$5,$F184,$B$6,V$10,$A184,$B184)</f>
        <v>0</v>
      </c>
      <c r="W184" s="4">
        <f ca="1">_xll.DBRW($B$1,$B$2,$B$7,$B$3,$B$4,$B$5,$F184,$B$6,W$10,$A184,$B184)</f>
        <v>0</v>
      </c>
      <c r="X184" s="4">
        <f ca="1">_xll.DBRW($B$1,$B$2,$B$7,$B$3,$B$4,$B$5,$F184,$B$6,X$10,$A184,$B184)</f>
        <v>0</v>
      </c>
      <c r="Y184" s="4">
        <f ca="1">_xll.DBRW($B$1,$B$2,$B$7,$B$3,$B$4,$B$5,$F184,$B$6,Y$10,$A184,$B184)</f>
        <v>0</v>
      </c>
      <c r="Z184" s="4">
        <f ca="1">_xll.DBRW($B$1,$B$2,$B$7,$B$3,$B$4,$B$5,$F184,$B$6,Z$10,$A184,$B184)</f>
        <v>0</v>
      </c>
      <c r="AA184" s="4">
        <f ca="1">_xll.DBRW($B$1,$B$2,$B$7,$B$3,$B$4,$B$5,$F184,$B$6,AA$10,$A184,$B184)</f>
        <v>0</v>
      </c>
      <c r="AB184" s="4">
        <f ca="1">_xll.DBRW($B$1,$B$2,$B$7,$B$3,$B$4,$B$5,$F184,$B$6,AB$10,$A184,$B184)</f>
        <v>0</v>
      </c>
      <c r="AC184" s="4">
        <f ca="1">_xll.DBRW($B$1,$B$2,$B$7,$B$3,$B$4,$B$5,$F184,$B$6,AC$10,$A184,$B184)</f>
        <v>0</v>
      </c>
      <c r="AD184" s="4">
        <f ca="1">_xll.DBRW($B$1,$B$2,$B$7,$B$3,$B$4,$B$5,$F184,$B$6,AD$10,$A184,$B184)</f>
        <v>0</v>
      </c>
      <c r="AE184" s="4">
        <f ca="1">_xll.DBRW($B$1,$B$2,$B$7,$B$3,$B$4,$B$5,$F184,$B$6,AE$10,$A184,$B184)</f>
        <v>0</v>
      </c>
    </row>
    <row r="185" spans="1:31">
      <c r="A185" s="1" t="s">
        <v>150</v>
      </c>
      <c r="B185" s="5" t="s">
        <v>218</v>
      </c>
      <c r="C185" s="5" t="s">
        <v>219</v>
      </c>
      <c r="D185" s="5" t="s">
        <v>21</v>
      </c>
      <c r="E185" s="5" t="s">
        <v>49</v>
      </c>
      <c r="F185" s="5" t="s">
        <v>313</v>
      </c>
      <c r="G185" s="6"/>
      <c r="H185" s="6"/>
      <c r="I185" s="6"/>
      <c r="J185" s="6"/>
      <c r="K185" s="6"/>
      <c r="L185" s="4">
        <f ca="1">_xll.DBRW($B$1,$B$2,$B$7,$B$3,$B$4,$B$5,$F185,$B$6,L$10,$A185,$B185)</f>
        <v>0</v>
      </c>
      <c r="M185" s="4">
        <f ca="1">_xll.DBRW($B$1,$B$2,$B$7,$B$3,$B$4,$B$5,$F185,$B$6,M$10,$A185,$B185)</f>
        <v>0</v>
      </c>
      <c r="N185" s="4">
        <f ca="1">_xll.DBRW($B$1,$B$2,$B$7,$B$3,$B$4,$B$5,$F185,$B$6,N$10,$A185,$B185)</f>
        <v>0</v>
      </c>
      <c r="O185" s="4">
        <f ca="1">_xll.DBRW($B$1,$B$2,$B$7,$B$3,$B$4,$B$5,$F185,$B$6,O$10,$A185,$B185)</f>
        <v>0</v>
      </c>
      <c r="P185" s="4">
        <f ca="1">_xll.DBRW($B$1,$B$2,$B$7,$B$3,$B$4,$B$5,$F185,$B$6,P$10,$A185,$B185)</f>
        <v>0</v>
      </c>
      <c r="Q185" s="4">
        <f ca="1">_xll.DBRW($B$1,$B$2,$B$7,$B$3,$B$4,$B$5,$F185,$B$6,Q$10,$A185,$B185)</f>
        <v>0</v>
      </c>
      <c r="R185" s="4">
        <f ca="1">_xll.DBRW($B$1,$B$2,$B$7,$B$3,$B$4,$B$5,$F185,$B$6,R$10,$A185,$B185)</f>
        <v>0</v>
      </c>
      <c r="S185" s="4">
        <f ca="1">_xll.DBRW($B$1,$B$2,$B$7,$B$3,$B$4,$B$5,$F185,$B$6,S$10,$A185,$B185)</f>
        <v>0</v>
      </c>
      <c r="T185" s="4">
        <f ca="1">_xll.DBRW($B$1,$B$2,$B$7,$B$3,$B$4,$B$5,$F185,$B$6,T$10,$A185,$B185)</f>
        <v>0</v>
      </c>
      <c r="U185" s="4">
        <f ca="1">_xll.DBRW($B$1,$B$2,$B$7,$B$3,$B$4,$B$5,$F185,$B$6,U$10,$A185,$B185)</f>
        <v>0</v>
      </c>
      <c r="V185" s="4">
        <f ca="1">_xll.DBRW($B$1,$B$2,$B$7,$B$3,$B$4,$B$5,$F185,$B$6,V$10,$A185,$B185)</f>
        <v>0</v>
      </c>
      <c r="W185" s="4">
        <f ca="1">_xll.DBRW($B$1,$B$2,$B$7,$B$3,$B$4,$B$5,$F185,$B$6,W$10,$A185,$B185)</f>
        <v>0</v>
      </c>
      <c r="X185" s="4">
        <f ca="1">_xll.DBRW($B$1,$B$2,$B$7,$B$3,$B$4,$B$5,$F185,$B$6,X$10,$A185,$B185)</f>
        <v>0</v>
      </c>
      <c r="Y185" s="4">
        <f ca="1">_xll.DBRW($B$1,$B$2,$B$7,$B$3,$B$4,$B$5,$F185,$B$6,Y$10,$A185,$B185)</f>
        <v>0</v>
      </c>
      <c r="Z185" s="4">
        <f ca="1">_xll.DBRW($B$1,$B$2,$B$7,$B$3,$B$4,$B$5,$F185,$B$6,Z$10,$A185,$B185)</f>
        <v>0</v>
      </c>
      <c r="AA185" s="4">
        <f ca="1">_xll.DBRW($B$1,$B$2,$B$7,$B$3,$B$4,$B$5,$F185,$B$6,AA$10,$A185,$B185)</f>
        <v>0</v>
      </c>
      <c r="AB185" s="4">
        <f ca="1">_xll.DBRW($B$1,$B$2,$B$7,$B$3,$B$4,$B$5,$F185,$B$6,AB$10,$A185,$B185)</f>
        <v>0</v>
      </c>
      <c r="AC185" s="4">
        <f ca="1">_xll.DBRW($B$1,$B$2,$B$7,$B$3,$B$4,$B$5,$F185,$B$6,AC$10,$A185,$B185)</f>
        <v>0</v>
      </c>
      <c r="AD185" s="4">
        <f ca="1">_xll.DBRW($B$1,$B$2,$B$7,$B$3,$B$4,$B$5,$F185,$B$6,AD$10,$A185,$B185)</f>
        <v>0</v>
      </c>
      <c r="AE185" s="4">
        <f ca="1">_xll.DBRW($B$1,$B$2,$B$7,$B$3,$B$4,$B$5,$F185,$B$6,AE$10,$A185,$B185)</f>
        <v>0</v>
      </c>
    </row>
    <row r="186" spans="1:31">
      <c r="A186" s="1" t="s">
        <v>150</v>
      </c>
      <c r="B186" s="5" t="s">
        <v>47</v>
      </c>
      <c r="C186" s="5" t="s">
        <v>48</v>
      </c>
      <c r="D186" s="5" t="s">
        <v>49</v>
      </c>
      <c r="E186" s="5" t="s">
        <v>21</v>
      </c>
      <c r="F186" s="5" t="s">
        <v>313</v>
      </c>
      <c r="G186" s="6"/>
      <c r="H186" s="6"/>
      <c r="I186" s="6"/>
      <c r="J186" s="6"/>
      <c r="K186" s="6"/>
      <c r="L186" s="4">
        <f ca="1">_xll.DBRW($B$1,$B$2,$B$7,$B$3,$B$4,$B$5,$F186,$B$6,L$10,$A186,$B186)</f>
        <v>0</v>
      </c>
      <c r="M186" s="4">
        <f ca="1">_xll.DBRW($B$1,$B$2,$B$7,$B$3,$B$4,$B$5,$F186,$B$6,M$10,$A186,$B186)</f>
        <v>0</v>
      </c>
      <c r="N186" s="4">
        <f ca="1">_xll.DBRW($B$1,$B$2,$B$7,$B$3,$B$4,$B$5,$F186,$B$6,N$10,$A186,$B186)</f>
        <v>0</v>
      </c>
      <c r="O186" s="4">
        <f ca="1">_xll.DBRW($B$1,$B$2,$B$7,$B$3,$B$4,$B$5,$F186,$B$6,O$10,$A186,$B186)</f>
        <v>0</v>
      </c>
      <c r="P186" s="4">
        <f ca="1">_xll.DBRW($B$1,$B$2,$B$7,$B$3,$B$4,$B$5,$F186,$B$6,P$10,$A186,$B186)</f>
        <v>0</v>
      </c>
      <c r="Q186" s="4">
        <f ca="1">_xll.DBRW($B$1,$B$2,$B$7,$B$3,$B$4,$B$5,$F186,$B$6,Q$10,$A186,$B186)</f>
        <v>0</v>
      </c>
      <c r="R186" s="4">
        <f ca="1">_xll.DBRW($B$1,$B$2,$B$7,$B$3,$B$4,$B$5,$F186,$B$6,R$10,$A186,$B186)</f>
        <v>0</v>
      </c>
      <c r="S186" s="4">
        <f ca="1">_xll.DBRW($B$1,$B$2,$B$7,$B$3,$B$4,$B$5,$F186,$B$6,S$10,$A186,$B186)</f>
        <v>0</v>
      </c>
      <c r="T186" s="4">
        <f ca="1">_xll.DBRW($B$1,$B$2,$B$7,$B$3,$B$4,$B$5,$F186,$B$6,T$10,$A186,$B186)</f>
        <v>0</v>
      </c>
      <c r="U186" s="4">
        <f ca="1">_xll.DBRW($B$1,$B$2,$B$7,$B$3,$B$4,$B$5,$F186,$B$6,U$10,$A186,$B186)</f>
        <v>0</v>
      </c>
      <c r="V186" s="4">
        <f ca="1">_xll.DBRW($B$1,$B$2,$B$7,$B$3,$B$4,$B$5,$F186,$B$6,V$10,$A186,$B186)</f>
        <v>0</v>
      </c>
      <c r="W186" s="4">
        <f ca="1">_xll.DBRW($B$1,$B$2,$B$7,$B$3,$B$4,$B$5,$F186,$B$6,W$10,$A186,$B186)</f>
        <v>0</v>
      </c>
      <c r="X186" s="4">
        <f ca="1">_xll.DBRW($B$1,$B$2,$B$7,$B$3,$B$4,$B$5,$F186,$B$6,X$10,$A186,$B186)</f>
        <v>0</v>
      </c>
      <c r="Y186" s="4">
        <f ca="1">_xll.DBRW($B$1,$B$2,$B$7,$B$3,$B$4,$B$5,$F186,$B$6,Y$10,$A186,$B186)</f>
        <v>0</v>
      </c>
      <c r="Z186" s="4">
        <f ca="1">_xll.DBRW($B$1,$B$2,$B$7,$B$3,$B$4,$B$5,$F186,$B$6,Z$10,$A186,$B186)</f>
        <v>0</v>
      </c>
      <c r="AA186" s="4">
        <f ca="1">_xll.DBRW($B$1,$B$2,$B$7,$B$3,$B$4,$B$5,$F186,$B$6,AA$10,$A186,$B186)</f>
        <v>0</v>
      </c>
      <c r="AB186" s="4">
        <f ca="1">_xll.DBRW($B$1,$B$2,$B$7,$B$3,$B$4,$B$5,$F186,$B$6,AB$10,$A186,$B186)</f>
        <v>0</v>
      </c>
      <c r="AC186" s="4">
        <f ca="1">_xll.DBRW($B$1,$B$2,$B$7,$B$3,$B$4,$B$5,$F186,$B$6,AC$10,$A186,$B186)</f>
        <v>0</v>
      </c>
      <c r="AD186" s="4">
        <f ca="1">_xll.DBRW($B$1,$B$2,$B$7,$B$3,$B$4,$B$5,$F186,$B$6,AD$10,$A186,$B186)</f>
        <v>0</v>
      </c>
      <c r="AE186" s="4">
        <f ca="1">_xll.DBRW($B$1,$B$2,$B$7,$B$3,$B$4,$B$5,$F186,$B$6,AE$10,$A186,$B186)</f>
        <v>0</v>
      </c>
    </row>
    <row r="187" spans="1:31">
      <c r="A187" s="1" t="s">
        <v>150</v>
      </c>
      <c r="B187" s="5" t="s">
        <v>220</v>
      </c>
      <c r="C187" s="5" t="s">
        <v>166</v>
      </c>
      <c r="D187" s="5" t="s">
        <v>21</v>
      </c>
      <c r="E187" s="5" t="s">
        <v>31</v>
      </c>
      <c r="F187" s="5" t="s">
        <v>313</v>
      </c>
      <c r="G187" s="6"/>
      <c r="H187" s="6"/>
      <c r="I187" s="6"/>
      <c r="J187" s="6"/>
      <c r="K187" s="6"/>
      <c r="L187" s="4">
        <f ca="1">_xll.DBRW($B$1,$B$2,$B$7,$B$3,$B$4,$B$5,$F187,$B$6,L$10,$A187,$B187)</f>
        <v>0</v>
      </c>
      <c r="M187" s="4">
        <f ca="1">_xll.DBRW($B$1,$B$2,$B$7,$B$3,$B$4,$B$5,$F187,$B$6,M$10,$A187,$B187)</f>
        <v>0</v>
      </c>
      <c r="N187" s="4">
        <f ca="1">_xll.DBRW($B$1,$B$2,$B$7,$B$3,$B$4,$B$5,$F187,$B$6,N$10,$A187,$B187)</f>
        <v>0</v>
      </c>
      <c r="O187" s="4">
        <f ca="1">_xll.DBRW($B$1,$B$2,$B$7,$B$3,$B$4,$B$5,$F187,$B$6,O$10,$A187,$B187)</f>
        <v>0</v>
      </c>
      <c r="P187" s="4">
        <f ca="1">_xll.DBRW($B$1,$B$2,$B$7,$B$3,$B$4,$B$5,$F187,$B$6,P$10,$A187,$B187)</f>
        <v>0</v>
      </c>
      <c r="Q187" s="4">
        <f ca="1">_xll.DBRW($B$1,$B$2,$B$7,$B$3,$B$4,$B$5,$F187,$B$6,Q$10,$A187,$B187)</f>
        <v>0</v>
      </c>
      <c r="R187" s="4">
        <f ca="1">_xll.DBRW($B$1,$B$2,$B$7,$B$3,$B$4,$B$5,$F187,$B$6,R$10,$A187,$B187)</f>
        <v>0</v>
      </c>
      <c r="S187" s="4">
        <f ca="1">_xll.DBRW($B$1,$B$2,$B$7,$B$3,$B$4,$B$5,$F187,$B$6,S$10,$A187,$B187)</f>
        <v>0</v>
      </c>
      <c r="T187" s="4">
        <f ca="1">_xll.DBRW($B$1,$B$2,$B$7,$B$3,$B$4,$B$5,$F187,$B$6,T$10,$A187,$B187)</f>
        <v>0</v>
      </c>
      <c r="U187" s="4">
        <f ca="1">_xll.DBRW($B$1,$B$2,$B$7,$B$3,$B$4,$B$5,$F187,$B$6,U$10,$A187,$B187)</f>
        <v>0</v>
      </c>
      <c r="V187" s="4">
        <f ca="1">_xll.DBRW($B$1,$B$2,$B$7,$B$3,$B$4,$B$5,$F187,$B$6,V$10,$A187,$B187)</f>
        <v>0</v>
      </c>
      <c r="W187" s="4">
        <f ca="1">_xll.DBRW($B$1,$B$2,$B$7,$B$3,$B$4,$B$5,$F187,$B$6,W$10,$A187,$B187)</f>
        <v>0</v>
      </c>
      <c r="X187" s="4">
        <f ca="1">_xll.DBRW($B$1,$B$2,$B$7,$B$3,$B$4,$B$5,$F187,$B$6,X$10,$A187,$B187)</f>
        <v>0</v>
      </c>
      <c r="Y187" s="4">
        <f ca="1">_xll.DBRW($B$1,$B$2,$B$7,$B$3,$B$4,$B$5,$F187,$B$6,Y$10,$A187,$B187)</f>
        <v>0</v>
      </c>
      <c r="Z187" s="4">
        <f ca="1">_xll.DBRW($B$1,$B$2,$B$7,$B$3,$B$4,$B$5,$F187,$B$6,Z$10,$A187,$B187)</f>
        <v>0</v>
      </c>
      <c r="AA187" s="4">
        <f ca="1">_xll.DBRW($B$1,$B$2,$B$7,$B$3,$B$4,$B$5,$F187,$B$6,AA$10,$A187,$B187)</f>
        <v>0</v>
      </c>
      <c r="AB187" s="4">
        <f ca="1">_xll.DBRW($B$1,$B$2,$B$7,$B$3,$B$4,$B$5,$F187,$B$6,AB$10,$A187,$B187)</f>
        <v>0</v>
      </c>
      <c r="AC187" s="4">
        <f ca="1">_xll.DBRW($B$1,$B$2,$B$7,$B$3,$B$4,$B$5,$F187,$B$6,AC$10,$A187,$B187)</f>
        <v>0</v>
      </c>
      <c r="AD187" s="4">
        <f ca="1">_xll.DBRW($B$1,$B$2,$B$7,$B$3,$B$4,$B$5,$F187,$B$6,AD$10,$A187,$B187)</f>
        <v>0</v>
      </c>
      <c r="AE187" s="4">
        <f ca="1">_xll.DBRW($B$1,$B$2,$B$7,$B$3,$B$4,$B$5,$F187,$B$6,AE$10,$A187,$B187)</f>
        <v>0</v>
      </c>
    </row>
    <row r="188" spans="1:31">
      <c r="A188" s="1" t="s">
        <v>150</v>
      </c>
      <c r="B188" s="5" t="s">
        <v>32</v>
      </c>
      <c r="C188" s="5" t="s">
        <v>30</v>
      </c>
      <c r="D188" s="5" t="s">
        <v>31</v>
      </c>
      <c r="E188" s="5" t="s">
        <v>21</v>
      </c>
      <c r="F188" s="5" t="s">
        <v>313</v>
      </c>
      <c r="G188" s="6"/>
      <c r="H188" s="6"/>
      <c r="I188" s="6"/>
      <c r="J188" s="6"/>
      <c r="K188" s="6"/>
      <c r="L188" s="4">
        <f ca="1">_xll.DBRW($B$1,$B$2,$B$7,$B$3,$B$4,$B$5,$F188,$B$6,L$10,$A188,$B188)</f>
        <v>0</v>
      </c>
      <c r="M188" s="4">
        <f ca="1">_xll.DBRW($B$1,$B$2,$B$7,$B$3,$B$4,$B$5,$F188,$B$6,M$10,$A188,$B188)</f>
        <v>0</v>
      </c>
      <c r="N188" s="4">
        <f ca="1">_xll.DBRW($B$1,$B$2,$B$7,$B$3,$B$4,$B$5,$F188,$B$6,N$10,$A188,$B188)</f>
        <v>0</v>
      </c>
      <c r="O188" s="4">
        <f ca="1">_xll.DBRW($B$1,$B$2,$B$7,$B$3,$B$4,$B$5,$F188,$B$6,O$10,$A188,$B188)</f>
        <v>0</v>
      </c>
      <c r="P188" s="4">
        <f ca="1">_xll.DBRW($B$1,$B$2,$B$7,$B$3,$B$4,$B$5,$F188,$B$6,P$10,$A188,$B188)</f>
        <v>0</v>
      </c>
      <c r="Q188" s="4">
        <f ca="1">_xll.DBRW($B$1,$B$2,$B$7,$B$3,$B$4,$B$5,$F188,$B$6,Q$10,$A188,$B188)</f>
        <v>0</v>
      </c>
      <c r="R188" s="4">
        <f ca="1">_xll.DBRW($B$1,$B$2,$B$7,$B$3,$B$4,$B$5,$F188,$B$6,R$10,$A188,$B188)</f>
        <v>0</v>
      </c>
      <c r="S188" s="4">
        <f ca="1">_xll.DBRW($B$1,$B$2,$B$7,$B$3,$B$4,$B$5,$F188,$B$6,S$10,$A188,$B188)</f>
        <v>0</v>
      </c>
      <c r="T188" s="4">
        <f ca="1">_xll.DBRW($B$1,$B$2,$B$7,$B$3,$B$4,$B$5,$F188,$B$6,T$10,$A188,$B188)</f>
        <v>0</v>
      </c>
      <c r="U188" s="4">
        <f ca="1">_xll.DBRW($B$1,$B$2,$B$7,$B$3,$B$4,$B$5,$F188,$B$6,U$10,$A188,$B188)</f>
        <v>0</v>
      </c>
      <c r="V188" s="4">
        <f ca="1">_xll.DBRW($B$1,$B$2,$B$7,$B$3,$B$4,$B$5,$F188,$B$6,V$10,$A188,$B188)</f>
        <v>0</v>
      </c>
      <c r="W188" s="4">
        <f ca="1">_xll.DBRW($B$1,$B$2,$B$7,$B$3,$B$4,$B$5,$F188,$B$6,W$10,$A188,$B188)</f>
        <v>0</v>
      </c>
      <c r="X188" s="4">
        <f ca="1">_xll.DBRW($B$1,$B$2,$B$7,$B$3,$B$4,$B$5,$F188,$B$6,X$10,$A188,$B188)</f>
        <v>0</v>
      </c>
      <c r="Y188" s="4">
        <f ca="1">_xll.DBRW($B$1,$B$2,$B$7,$B$3,$B$4,$B$5,$F188,$B$6,Y$10,$A188,$B188)</f>
        <v>0</v>
      </c>
      <c r="Z188" s="4">
        <f ca="1">_xll.DBRW($B$1,$B$2,$B$7,$B$3,$B$4,$B$5,$F188,$B$6,Z$10,$A188,$B188)</f>
        <v>0</v>
      </c>
      <c r="AA188" s="4">
        <f ca="1">_xll.DBRW($B$1,$B$2,$B$7,$B$3,$B$4,$B$5,$F188,$B$6,AA$10,$A188,$B188)</f>
        <v>0</v>
      </c>
      <c r="AB188" s="4">
        <f ca="1">_xll.DBRW($B$1,$B$2,$B$7,$B$3,$B$4,$B$5,$F188,$B$6,AB$10,$A188,$B188)</f>
        <v>0</v>
      </c>
      <c r="AC188" s="4">
        <f ca="1">_xll.DBRW($B$1,$B$2,$B$7,$B$3,$B$4,$B$5,$F188,$B$6,AC$10,$A188,$B188)</f>
        <v>0</v>
      </c>
      <c r="AD188" s="4">
        <f ca="1">_xll.DBRW($B$1,$B$2,$B$7,$B$3,$B$4,$B$5,$F188,$B$6,AD$10,$A188,$B188)</f>
        <v>0</v>
      </c>
      <c r="AE188" s="4">
        <f ca="1">_xll.DBRW($B$1,$B$2,$B$7,$B$3,$B$4,$B$5,$F188,$B$6,AE$10,$A188,$B188)</f>
        <v>0</v>
      </c>
    </row>
    <row r="189" spans="1:31">
      <c r="A189" s="1" t="s">
        <v>150</v>
      </c>
      <c r="B189" s="5" t="s">
        <v>221</v>
      </c>
      <c r="C189" s="5" t="s">
        <v>193</v>
      </c>
      <c r="D189" s="5" t="s">
        <v>21</v>
      </c>
      <c r="E189" s="5" t="s">
        <v>194</v>
      </c>
      <c r="F189" s="5" t="s">
        <v>313</v>
      </c>
      <c r="G189" s="6"/>
      <c r="H189" s="6"/>
      <c r="I189" s="6"/>
      <c r="J189" s="6"/>
      <c r="K189" s="6"/>
      <c r="L189" s="4">
        <f ca="1">_xll.DBRW($B$1,$B$2,$B$7,$B$3,$B$4,$B$5,$F189,$B$6,L$10,$A189,$B189)</f>
        <v>0</v>
      </c>
      <c r="M189" s="4">
        <f ca="1">_xll.DBRW($B$1,$B$2,$B$7,$B$3,$B$4,$B$5,$F189,$B$6,M$10,$A189,$B189)</f>
        <v>0</v>
      </c>
      <c r="N189" s="4">
        <f ca="1">_xll.DBRW($B$1,$B$2,$B$7,$B$3,$B$4,$B$5,$F189,$B$6,N$10,$A189,$B189)</f>
        <v>0</v>
      </c>
      <c r="O189" s="4">
        <f ca="1">_xll.DBRW($B$1,$B$2,$B$7,$B$3,$B$4,$B$5,$F189,$B$6,O$10,$A189,$B189)</f>
        <v>0</v>
      </c>
      <c r="P189" s="4">
        <f ca="1">_xll.DBRW($B$1,$B$2,$B$7,$B$3,$B$4,$B$5,$F189,$B$6,P$10,$A189,$B189)</f>
        <v>0</v>
      </c>
      <c r="Q189" s="4">
        <f ca="1">_xll.DBRW($B$1,$B$2,$B$7,$B$3,$B$4,$B$5,$F189,$B$6,Q$10,$A189,$B189)</f>
        <v>0</v>
      </c>
      <c r="R189" s="4">
        <f ca="1">_xll.DBRW($B$1,$B$2,$B$7,$B$3,$B$4,$B$5,$F189,$B$6,R$10,$A189,$B189)</f>
        <v>0</v>
      </c>
      <c r="S189" s="4">
        <f ca="1">_xll.DBRW($B$1,$B$2,$B$7,$B$3,$B$4,$B$5,$F189,$B$6,S$10,$A189,$B189)</f>
        <v>0</v>
      </c>
      <c r="T189" s="4">
        <f ca="1">_xll.DBRW($B$1,$B$2,$B$7,$B$3,$B$4,$B$5,$F189,$B$6,T$10,$A189,$B189)</f>
        <v>0</v>
      </c>
      <c r="U189" s="4">
        <f ca="1">_xll.DBRW($B$1,$B$2,$B$7,$B$3,$B$4,$B$5,$F189,$B$6,U$10,$A189,$B189)</f>
        <v>0</v>
      </c>
      <c r="V189" s="4">
        <f ca="1">_xll.DBRW($B$1,$B$2,$B$7,$B$3,$B$4,$B$5,$F189,$B$6,V$10,$A189,$B189)</f>
        <v>0</v>
      </c>
      <c r="W189" s="4">
        <f ca="1">_xll.DBRW($B$1,$B$2,$B$7,$B$3,$B$4,$B$5,$F189,$B$6,W$10,$A189,$B189)</f>
        <v>0</v>
      </c>
      <c r="X189" s="4">
        <f ca="1">_xll.DBRW($B$1,$B$2,$B$7,$B$3,$B$4,$B$5,$F189,$B$6,X$10,$A189,$B189)</f>
        <v>0</v>
      </c>
      <c r="Y189" s="4">
        <f ca="1">_xll.DBRW($B$1,$B$2,$B$7,$B$3,$B$4,$B$5,$F189,$B$6,Y$10,$A189,$B189)</f>
        <v>0</v>
      </c>
      <c r="Z189" s="4">
        <f ca="1">_xll.DBRW($B$1,$B$2,$B$7,$B$3,$B$4,$B$5,$F189,$B$6,Z$10,$A189,$B189)</f>
        <v>0</v>
      </c>
      <c r="AA189" s="4">
        <f ca="1">_xll.DBRW($B$1,$B$2,$B$7,$B$3,$B$4,$B$5,$F189,$B$6,AA$10,$A189,$B189)</f>
        <v>0</v>
      </c>
      <c r="AB189" s="4">
        <f ca="1">_xll.DBRW($B$1,$B$2,$B$7,$B$3,$B$4,$B$5,$F189,$B$6,AB$10,$A189,$B189)</f>
        <v>0</v>
      </c>
      <c r="AC189" s="4">
        <f ca="1">_xll.DBRW($B$1,$B$2,$B$7,$B$3,$B$4,$B$5,$F189,$B$6,AC$10,$A189,$B189)</f>
        <v>0</v>
      </c>
      <c r="AD189" s="4">
        <f ca="1">_xll.DBRW($B$1,$B$2,$B$7,$B$3,$B$4,$B$5,$F189,$B$6,AD$10,$A189,$B189)</f>
        <v>0</v>
      </c>
      <c r="AE189" s="4">
        <f ca="1">_xll.DBRW($B$1,$B$2,$B$7,$B$3,$B$4,$B$5,$F189,$B$6,AE$10,$A189,$B189)</f>
        <v>0</v>
      </c>
    </row>
    <row r="190" spans="1:31">
      <c r="A190" s="1" t="s">
        <v>150</v>
      </c>
      <c r="B190" s="5" t="s">
        <v>222</v>
      </c>
      <c r="C190" s="5" t="s">
        <v>196</v>
      </c>
      <c r="D190" s="5" t="s">
        <v>194</v>
      </c>
      <c r="E190" s="5" t="s">
        <v>21</v>
      </c>
      <c r="F190" s="5" t="s">
        <v>313</v>
      </c>
      <c r="G190" s="6"/>
      <c r="H190" s="6"/>
      <c r="I190" s="6"/>
      <c r="J190" s="6"/>
      <c r="K190" s="6"/>
      <c r="L190" s="4">
        <f ca="1">_xll.DBRW($B$1,$B$2,$B$7,$B$3,$B$4,$B$5,$F190,$B$6,L$10,$A190,$B190)</f>
        <v>0</v>
      </c>
      <c r="M190" s="4">
        <f ca="1">_xll.DBRW($B$1,$B$2,$B$7,$B$3,$B$4,$B$5,$F190,$B$6,M$10,$A190,$B190)</f>
        <v>0</v>
      </c>
      <c r="N190" s="4">
        <f ca="1">_xll.DBRW($B$1,$B$2,$B$7,$B$3,$B$4,$B$5,$F190,$B$6,N$10,$A190,$B190)</f>
        <v>0</v>
      </c>
      <c r="O190" s="4">
        <f ca="1">_xll.DBRW($B$1,$B$2,$B$7,$B$3,$B$4,$B$5,$F190,$B$6,O$10,$A190,$B190)</f>
        <v>0</v>
      </c>
      <c r="P190" s="4">
        <f ca="1">_xll.DBRW($B$1,$B$2,$B$7,$B$3,$B$4,$B$5,$F190,$B$6,P$10,$A190,$B190)</f>
        <v>0</v>
      </c>
      <c r="Q190" s="4">
        <f ca="1">_xll.DBRW($B$1,$B$2,$B$7,$B$3,$B$4,$B$5,$F190,$B$6,Q$10,$A190,$B190)</f>
        <v>0</v>
      </c>
      <c r="R190" s="4">
        <f ca="1">_xll.DBRW($B$1,$B$2,$B$7,$B$3,$B$4,$B$5,$F190,$B$6,R$10,$A190,$B190)</f>
        <v>0</v>
      </c>
      <c r="S190" s="4">
        <f ca="1">_xll.DBRW($B$1,$B$2,$B$7,$B$3,$B$4,$B$5,$F190,$B$6,S$10,$A190,$B190)</f>
        <v>0</v>
      </c>
      <c r="T190" s="4">
        <f ca="1">_xll.DBRW($B$1,$B$2,$B$7,$B$3,$B$4,$B$5,$F190,$B$6,T$10,$A190,$B190)</f>
        <v>0</v>
      </c>
      <c r="U190" s="4">
        <f ca="1">_xll.DBRW($B$1,$B$2,$B$7,$B$3,$B$4,$B$5,$F190,$B$6,U$10,$A190,$B190)</f>
        <v>0</v>
      </c>
      <c r="V190" s="4">
        <f ca="1">_xll.DBRW($B$1,$B$2,$B$7,$B$3,$B$4,$B$5,$F190,$B$6,V$10,$A190,$B190)</f>
        <v>0</v>
      </c>
      <c r="W190" s="4">
        <f ca="1">_xll.DBRW($B$1,$B$2,$B$7,$B$3,$B$4,$B$5,$F190,$B$6,W$10,$A190,$B190)</f>
        <v>0</v>
      </c>
      <c r="X190" s="4">
        <f ca="1">_xll.DBRW($B$1,$B$2,$B$7,$B$3,$B$4,$B$5,$F190,$B$6,X$10,$A190,$B190)</f>
        <v>0</v>
      </c>
      <c r="Y190" s="4">
        <f ca="1">_xll.DBRW($B$1,$B$2,$B$7,$B$3,$B$4,$B$5,$F190,$B$6,Y$10,$A190,$B190)</f>
        <v>0</v>
      </c>
      <c r="Z190" s="4">
        <f ca="1">_xll.DBRW($B$1,$B$2,$B$7,$B$3,$B$4,$B$5,$F190,$B$6,Z$10,$A190,$B190)</f>
        <v>0</v>
      </c>
      <c r="AA190" s="4">
        <f ca="1">_xll.DBRW($B$1,$B$2,$B$7,$B$3,$B$4,$B$5,$F190,$B$6,AA$10,$A190,$B190)</f>
        <v>0</v>
      </c>
      <c r="AB190" s="4">
        <f ca="1">_xll.DBRW($B$1,$B$2,$B$7,$B$3,$B$4,$B$5,$F190,$B$6,AB$10,$A190,$B190)</f>
        <v>0</v>
      </c>
      <c r="AC190" s="4">
        <f ca="1">_xll.DBRW($B$1,$B$2,$B$7,$B$3,$B$4,$B$5,$F190,$B$6,AC$10,$A190,$B190)</f>
        <v>0</v>
      </c>
      <c r="AD190" s="4">
        <f ca="1">_xll.DBRW($B$1,$B$2,$B$7,$B$3,$B$4,$B$5,$F190,$B$6,AD$10,$A190,$B190)</f>
        <v>0</v>
      </c>
      <c r="AE190" s="4">
        <f ca="1">_xll.DBRW($B$1,$B$2,$B$7,$B$3,$B$4,$B$5,$F190,$B$6,AE$10,$A190,$B190)</f>
        <v>0</v>
      </c>
    </row>
    <row r="191" spans="1:31">
      <c r="A191" s="1" t="s">
        <v>150</v>
      </c>
      <c r="B191" s="5" t="s">
        <v>223</v>
      </c>
      <c r="C191" s="5" t="s">
        <v>193</v>
      </c>
      <c r="D191" s="5" t="s">
        <v>21</v>
      </c>
      <c r="E191" s="5" t="s">
        <v>194</v>
      </c>
      <c r="F191" s="5" t="s">
        <v>313</v>
      </c>
      <c r="G191" s="6"/>
      <c r="H191" s="6"/>
      <c r="I191" s="6"/>
      <c r="J191" s="6"/>
      <c r="K191" s="6"/>
      <c r="L191" s="4">
        <f ca="1">_xll.DBRW($B$1,$B$2,$B$7,$B$3,$B$4,$B$5,$F191,$B$6,L$10,$A191,$B191)</f>
        <v>0</v>
      </c>
      <c r="M191" s="4">
        <f ca="1">_xll.DBRW($B$1,$B$2,$B$7,$B$3,$B$4,$B$5,$F191,$B$6,M$10,$A191,$B191)</f>
        <v>0</v>
      </c>
      <c r="N191" s="4">
        <f ca="1">_xll.DBRW($B$1,$B$2,$B$7,$B$3,$B$4,$B$5,$F191,$B$6,N$10,$A191,$B191)</f>
        <v>0</v>
      </c>
      <c r="O191" s="4">
        <f ca="1">_xll.DBRW($B$1,$B$2,$B$7,$B$3,$B$4,$B$5,$F191,$B$6,O$10,$A191,$B191)</f>
        <v>0</v>
      </c>
      <c r="P191" s="4">
        <f ca="1">_xll.DBRW($B$1,$B$2,$B$7,$B$3,$B$4,$B$5,$F191,$B$6,P$10,$A191,$B191)</f>
        <v>0</v>
      </c>
      <c r="Q191" s="4">
        <f ca="1">_xll.DBRW($B$1,$B$2,$B$7,$B$3,$B$4,$B$5,$F191,$B$6,Q$10,$A191,$B191)</f>
        <v>0</v>
      </c>
      <c r="R191" s="4">
        <f ca="1">_xll.DBRW($B$1,$B$2,$B$7,$B$3,$B$4,$B$5,$F191,$B$6,R$10,$A191,$B191)</f>
        <v>0</v>
      </c>
      <c r="S191" s="4">
        <f ca="1">_xll.DBRW($B$1,$B$2,$B$7,$B$3,$B$4,$B$5,$F191,$B$6,S$10,$A191,$B191)</f>
        <v>0</v>
      </c>
      <c r="T191" s="4">
        <f ca="1">_xll.DBRW($B$1,$B$2,$B$7,$B$3,$B$4,$B$5,$F191,$B$6,T$10,$A191,$B191)</f>
        <v>0</v>
      </c>
      <c r="U191" s="4">
        <f ca="1">_xll.DBRW($B$1,$B$2,$B$7,$B$3,$B$4,$B$5,$F191,$B$6,U$10,$A191,$B191)</f>
        <v>0</v>
      </c>
      <c r="V191" s="4">
        <f ca="1">_xll.DBRW($B$1,$B$2,$B$7,$B$3,$B$4,$B$5,$F191,$B$6,V$10,$A191,$B191)</f>
        <v>0</v>
      </c>
      <c r="W191" s="4">
        <f ca="1">_xll.DBRW($B$1,$B$2,$B$7,$B$3,$B$4,$B$5,$F191,$B$6,W$10,$A191,$B191)</f>
        <v>0</v>
      </c>
      <c r="X191" s="4">
        <f ca="1">_xll.DBRW($B$1,$B$2,$B$7,$B$3,$B$4,$B$5,$F191,$B$6,X$10,$A191,$B191)</f>
        <v>0</v>
      </c>
      <c r="Y191" s="4">
        <f ca="1">_xll.DBRW($B$1,$B$2,$B$7,$B$3,$B$4,$B$5,$F191,$B$6,Y$10,$A191,$B191)</f>
        <v>0</v>
      </c>
      <c r="Z191" s="4">
        <f ca="1">_xll.DBRW($B$1,$B$2,$B$7,$B$3,$B$4,$B$5,$F191,$B$6,Z$10,$A191,$B191)</f>
        <v>0</v>
      </c>
      <c r="AA191" s="4">
        <f ca="1">_xll.DBRW($B$1,$B$2,$B$7,$B$3,$B$4,$B$5,$F191,$B$6,AA$10,$A191,$B191)</f>
        <v>0</v>
      </c>
      <c r="AB191" s="4">
        <f ca="1">_xll.DBRW($B$1,$B$2,$B$7,$B$3,$B$4,$B$5,$F191,$B$6,AB$10,$A191,$B191)</f>
        <v>0</v>
      </c>
      <c r="AC191" s="4">
        <f ca="1">_xll.DBRW($B$1,$B$2,$B$7,$B$3,$B$4,$B$5,$F191,$B$6,AC$10,$A191,$B191)</f>
        <v>0</v>
      </c>
      <c r="AD191" s="4">
        <f ca="1">_xll.DBRW($B$1,$B$2,$B$7,$B$3,$B$4,$B$5,$F191,$B$6,AD$10,$A191,$B191)</f>
        <v>0</v>
      </c>
      <c r="AE191" s="4">
        <f ca="1">_xll.DBRW($B$1,$B$2,$B$7,$B$3,$B$4,$B$5,$F191,$B$6,AE$10,$A191,$B191)</f>
        <v>0</v>
      </c>
    </row>
    <row r="192" spans="1:31">
      <c r="A192" s="1" t="s">
        <v>150</v>
      </c>
      <c r="B192" s="5" t="s">
        <v>224</v>
      </c>
      <c r="C192" s="5" t="s">
        <v>196</v>
      </c>
      <c r="D192" s="5" t="s">
        <v>194</v>
      </c>
      <c r="E192" s="5" t="s">
        <v>21</v>
      </c>
      <c r="F192" s="5" t="s">
        <v>313</v>
      </c>
      <c r="G192" s="6"/>
      <c r="H192" s="6"/>
      <c r="I192" s="6"/>
      <c r="J192" s="6"/>
      <c r="K192" s="6"/>
      <c r="L192" s="4">
        <f ca="1">_xll.DBRW($B$1,$B$2,$B$7,$B$3,$B$4,$B$5,$F192,$B$6,L$10,$A192,$B192)</f>
        <v>0</v>
      </c>
      <c r="M192" s="4">
        <f ca="1">_xll.DBRW($B$1,$B$2,$B$7,$B$3,$B$4,$B$5,$F192,$B$6,M$10,$A192,$B192)</f>
        <v>0</v>
      </c>
      <c r="N192" s="4">
        <f ca="1">_xll.DBRW($B$1,$B$2,$B$7,$B$3,$B$4,$B$5,$F192,$B$6,N$10,$A192,$B192)</f>
        <v>0</v>
      </c>
      <c r="O192" s="4">
        <f ca="1">_xll.DBRW($B$1,$B$2,$B$7,$B$3,$B$4,$B$5,$F192,$B$6,O$10,$A192,$B192)</f>
        <v>0</v>
      </c>
      <c r="P192" s="4">
        <f ca="1">_xll.DBRW($B$1,$B$2,$B$7,$B$3,$B$4,$B$5,$F192,$B$6,P$10,$A192,$B192)</f>
        <v>0</v>
      </c>
      <c r="Q192" s="4">
        <f ca="1">_xll.DBRW($B$1,$B$2,$B$7,$B$3,$B$4,$B$5,$F192,$B$6,Q$10,$A192,$B192)</f>
        <v>0</v>
      </c>
      <c r="R192" s="4">
        <f ca="1">_xll.DBRW($B$1,$B$2,$B$7,$B$3,$B$4,$B$5,$F192,$B$6,R$10,$A192,$B192)</f>
        <v>0</v>
      </c>
      <c r="S192" s="4">
        <f ca="1">_xll.DBRW($B$1,$B$2,$B$7,$B$3,$B$4,$B$5,$F192,$B$6,S$10,$A192,$B192)</f>
        <v>0</v>
      </c>
      <c r="T192" s="4">
        <f ca="1">_xll.DBRW($B$1,$B$2,$B$7,$B$3,$B$4,$B$5,$F192,$B$6,T$10,$A192,$B192)</f>
        <v>0</v>
      </c>
      <c r="U192" s="4">
        <f ca="1">_xll.DBRW($B$1,$B$2,$B$7,$B$3,$B$4,$B$5,$F192,$B$6,U$10,$A192,$B192)</f>
        <v>0</v>
      </c>
      <c r="V192" s="4">
        <f ca="1">_xll.DBRW($B$1,$B$2,$B$7,$B$3,$B$4,$B$5,$F192,$B$6,V$10,$A192,$B192)</f>
        <v>0</v>
      </c>
      <c r="W192" s="4">
        <f ca="1">_xll.DBRW($B$1,$B$2,$B$7,$B$3,$B$4,$B$5,$F192,$B$6,W$10,$A192,$B192)</f>
        <v>0</v>
      </c>
      <c r="X192" s="4">
        <f ca="1">_xll.DBRW($B$1,$B$2,$B$7,$B$3,$B$4,$B$5,$F192,$B$6,X$10,$A192,$B192)</f>
        <v>0</v>
      </c>
      <c r="Y192" s="4">
        <f ca="1">_xll.DBRW($B$1,$B$2,$B$7,$B$3,$B$4,$B$5,$F192,$B$6,Y$10,$A192,$B192)</f>
        <v>0</v>
      </c>
      <c r="Z192" s="4">
        <f ca="1">_xll.DBRW($B$1,$B$2,$B$7,$B$3,$B$4,$B$5,$F192,$B$6,Z$10,$A192,$B192)</f>
        <v>0</v>
      </c>
      <c r="AA192" s="4">
        <f ca="1">_xll.DBRW($B$1,$B$2,$B$7,$B$3,$B$4,$B$5,$F192,$B$6,AA$10,$A192,$B192)</f>
        <v>0</v>
      </c>
      <c r="AB192" s="4">
        <f ca="1">_xll.DBRW($B$1,$B$2,$B$7,$B$3,$B$4,$B$5,$F192,$B$6,AB$10,$A192,$B192)</f>
        <v>0</v>
      </c>
      <c r="AC192" s="4">
        <f ca="1">_xll.DBRW($B$1,$B$2,$B$7,$B$3,$B$4,$B$5,$F192,$B$6,AC$10,$A192,$B192)</f>
        <v>0</v>
      </c>
      <c r="AD192" s="4">
        <f ca="1">_xll.DBRW($B$1,$B$2,$B$7,$B$3,$B$4,$B$5,$F192,$B$6,AD$10,$A192,$B192)</f>
        <v>0</v>
      </c>
      <c r="AE192" s="4">
        <f ca="1">_xll.DBRW($B$1,$B$2,$B$7,$B$3,$B$4,$B$5,$F192,$B$6,AE$10,$A192,$B192)</f>
        <v>0</v>
      </c>
    </row>
    <row r="193" spans="1:31">
      <c r="A193" s="1" t="s">
        <v>150</v>
      </c>
      <c r="B193" s="5" t="s">
        <v>225</v>
      </c>
      <c r="C193" s="5" t="s">
        <v>226</v>
      </c>
      <c r="D193" s="5" t="s">
        <v>21</v>
      </c>
      <c r="E193" s="5" t="s">
        <v>227</v>
      </c>
      <c r="F193" s="5" t="s">
        <v>313</v>
      </c>
      <c r="G193" s="6"/>
      <c r="H193" s="6"/>
      <c r="I193" s="6"/>
      <c r="J193" s="6"/>
      <c r="K193" s="6"/>
      <c r="L193" s="4">
        <f ca="1">_xll.DBRW($B$1,$B$2,$B$7,$B$3,$B$4,$B$5,$F193,$B$6,L$10,$A193,$B193)</f>
        <v>0</v>
      </c>
      <c r="M193" s="4">
        <f ca="1">_xll.DBRW($B$1,$B$2,$B$7,$B$3,$B$4,$B$5,$F193,$B$6,M$10,$A193,$B193)</f>
        <v>0</v>
      </c>
      <c r="N193" s="4">
        <f ca="1">_xll.DBRW($B$1,$B$2,$B$7,$B$3,$B$4,$B$5,$F193,$B$6,N$10,$A193,$B193)</f>
        <v>0</v>
      </c>
      <c r="O193" s="4">
        <f ca="1">_xll.DBRW($B$1,$B$2,$B$7,$B$3,$B$4,$B$5,$F193,$B$6,O$10,$A193,$B193)</f>
        <v>0</v>
      </c>
      <c r="P193" s="4">
        <f ca="1">_xll.DBRW($B$1,$B$2,$B$7,$B$3,$B$4,$B$5,$F193,$B$6,P$10,$A193,$B193)</f>
        <v>0</v>
      </c>
      <c r="Q193" s="4">
        <f ca="1">_xll.DBRW($B$1,$B$2,$B$7,$B$3,$B$4,$B$5,$F193,$B$6,Q$10,$A193,$B193)</f>
        <v>0</v>
      </c>
      <c r="R193" s="4">
        <f ca="1">_xll.DBRW($B$1,$B$2,$B$7,$B$3,$B$4,$B$5,$F193,$B$6,R$10,$A193,$B193)</f>
        <v>0</v>
      </c>
      <c r="S193" s="4">
        <f ca="1">_xll.DBRW($B$1,$B$2,$B$7,$B$3,$B$4,$B$5,$F193,$B$6,S$10,$A193,$B193)</f>
        <v>0</v>
      </c>
      <c r="T193" s="4">
        <f ca="1">_xll.DBRW($B$1,$B$2,$B$7,$B$3,$B$4,$B$5,$F193,$B$6,T$10,$A193,$B193)</f>
        <v>0</v>
      </c>
      <c r="U193" s="4">
        <f ca="1">_xll.DBRW($B$1,$B$2,$B$7,$B$3,$B$4,$B$5,$F193,$B$6,U$10,$A193,$B193)</f>
        <v>0</v>
      </c>
      <c r="V193" s="4">
        <f ca="1">_xll.DBRW($B$1,$B$2,$B$7,$B$3,$B$4,$B$5,$F193,$B$6,V$10,$A193,$B193)</f>
        <v>0</v>
      </c>
      <c r="W193" s="4">
        <f ca="1">_xll.DBRW($B$1,$B$2,$B$7,$B$3,$B$4,$B$5,$F193,$B$6,W$10,$A193,$B193)</f>
        <v>0</v>
      </c>
      <c r="X193" s="4">
        <f ca="1">_xll.DBRW($B$1,$B$2,$B$7,$B$3,$B$4,$B$5,$F193,$B$6,X$10,$A193,$B193)</f>
        <v>0</v>
      </c>
      <c r="Y193" s="4">
        <f ca="1">_xll.DBRW($B$1,$B$2,$B$7,$B$3,$B$4,$B$5,$F193,$B$6,Y$10,$A193,$B193)</f>
        <v>0</v>
      </c>
      <c r="Z193" s="4">
        <f ca="1">_xll.DBRW($B$1,$B$2,$B$7,$B$3,$B$4,$B$5,$F193,$B$6,Z$10,$A193,$B193)</f>
        <v>0</v>
      </c>
      <c r="AA193" s="4">
        <f ca="1">_xll.DBRW($B$1,$B$2,$B$7,$B$3,$B$4,$B$5,$F193,$B$6,AA$10,$A193,$B193)</f>
        <v>0</v>
      </c>
      <c r="AB193" s="4">
        <f ca="1">_xll.DBRW($B$1,$B$2,$B$7,$B$3,$B$4,$B$5,$F193,$B$6,AB$10,$A193,$B193)</f>
        <v>0</v>
      </c>
      <c r="AC193" s="4">
        <f ca="1">_xll.DBRW($B$1,$B$2,$B$7,$B$3,$B$4,$B$5,$F193,$B$6,AC$10,$A193,$B193)</f>
        <v>0</v>
      </c>
      <c r="AD193" s="4">
        <f ca="1">_xll.DBRW($B$1,$B$2,$B$7,$B$3,$B$4,$B$5,$F193,$B$6,AD$10,$A193,$B193)</f>
        <v>0</v>
      </c>
      <c r="AE193" s="4">
        <f ca="1">_xll.DBRW($B$1,$B$2,$B$7,$B$3,$B$4,$B$5,$F193,$B$6,AE$10,$A193,$B193)</f>
        <v>0</v>
      </c>
    </row>
    <row r="194" spans="1:31">
      <c r="A194" s="1" t="s">
        <v>150</v>
      </c>
      <c r="B194" s="5" t="s">
        <v>228</v>
      </c>
      <c r="C194" s="5" t="s">
        <v>229</v>
      </c>
      <c r="D194" s="5" t="s">
        <v>227</v>
      </c>
      <c r="E194" s="5" t="s">
        <v>21</v>
      </c>
      <c r="F194" s="5" t="s">
        <v>313</v>
      </c>
      <c r="G194" s="6"/>
      <c r="H194" s="6"/>
      <c r="I194" s="6"/>
      <c r="J194" s="6"/>
      <c r="K194" s="6"/>
      <c r="L194" s="4">
        <f ca="1">_xll.DBRW($B$1,$B$2,$B$7,$B$3,$B$4,$B$5,$F194,$B$6,L$10,$A194,$B194)</f>
        <v>0</v>
      </c>
      <c r="M194" s="4">
        <f ca="1">_xll.DBRW($B$1,$B$2,$B$7,$B$3,$B$4,$B$5,$F194,$B$6,M$10,$A194,$B194)</f>
        <v>0</v>
      </c>
      <c r="N194" s="4">
        <f ca="1">_xll.DBRW($B$1,$B$2,$B$7,$B$3,$B$4,$B$5,$F194,$B$6,N$10,$A194,$B194)</f>
        <v>0</v>
      </c>
      <c r="O194" s="4">
        <f ca="1">_xll.DBRW($B$1,$B$2,$B$7,$B$3,$B$4,$B$5,$F194,$B$6,O$10,$A194,$B194)</f>
        <v>0</v>
      </c>
      <c r="P194" s="4">
        <f ca="1">_xll.DBRW($B$1,$B$2,$B$7,$B$3,$B$4,$B$5,$F194,$B$6,P$10,$A194,$B194)</f>
        <v>0</v>
      </c>
      <c r="Q194" s="4">
        <f ca="1">_xll.DBRW($B$1,$B$2,$B$7,$B$3,$B$4,$B$5,$F194,$B$6,Q$10,$A194,$B194)</f>
        <v>0</v>
      </c>
      <c r="R194" s="4">
        <f ca="1">_xll.DBRW($B$1,$B$2,$B$7,$B$3,$B$4,$B$5,$F194,$B$6,R$10,$A194,$B194)</f>
        <v>0</v>
      </c>
      <c r="S194" s="4">
        <f ca="1">_xll.DBRW($B$1,$B$2,$B$7,$B$3,$B$4,$B$5,$F194,$B$6,S$10,$A194,$B194)</f>
        <v>0</v>
      </c>
      <c r="T194" s="4">
        <f ca="1">_xll.DBRW($B$1,$B$2,$B$7,$B$3,$B$4,$B$5,$F194,$B$6,T$10,$A194,$B194)</f>
        <v>0</v>
      </c>
      <c r="U194" s="4">
        <f ca="1">_xll.DBRW($B$1,$B$2,$B$7,$B$3,$B$4,$B$5,$F194,$B$6,U$10,$A194,$B194)</f>
        <v>0</v>
      </c>
      <c r="V194" s="4">
        <f ca="1">_xll.DBRW($B$1,$B$2,$B$7,$B$3,$B$4,$B$5,$F194,$B$6,V$10,$A194,$B194)</f>
        <v>0</v>
      </c>
      <c r="W194" s="4">
        <f ca="1">_xll.DBRW($B$1,$B$2,$B$7,$B$3,$B$4,$B$5,$F194,$B$6,W$10,$A194,$B194)</f>
        <v>0</v>
      </c>
      <c r="X194" s="4">
        <f ca="1">_xll.DBRW($B$1,$B$2,$B$7,$B$3,$B$4,$B$5,$F194,$B$6,X$10,$A194,$B194)</f>
        <v>0</v>
      </c>
      <c r="Y194" s="4">
        <f ca="1">_xll.DBRW($B$1,$B$2,$B$7,$B$3,$B$4,$B$5,$F194,$B$6,Y$10,$A194,$B194)</f>
        <v>0</v>
      </c>
      <c r="Z194" s="4">
        <f ca="1">_xll.DBRW($B$1,$B$2,$B$7,$B$3,$B$4,$B$5,$F194,$B$6,Z$10,$A194,$B194)</f>
        <v>0</v>
      </c>
      <c r="AA194" s="4">
        <f ca="1">_xll.DBRW($B$1,$B$2,$B$7,$B$3,$B$4,$B$5,$F194,$B$6,AA$10,$A194,$B194)</f>
        <v>0</v>
      </c>
      <c r="AB194" s="4">
        <f ca="1">_xll.DBRW($B$1,$B$2,$B$7,$B$3,$B$4,$B$5,$F194,$B$6,AB$10,$A194,$B194)</f>
        <v>0</v>
      </c>
      <c r="AC194" s="4">
        <f ca="1">_xll.DBRW($B$1,$B$2,$B$7,$B$3,$B$4,$B$5,$F194,$B$6,AC$10,$A194,$B194)</f>
        <v>0</v>
      </c>
      <c r="AD194" s="4">
        <f ca="1">_xll.DBRW($B$1,$B$2,$B$7,$B$3,$B$4,$B$5,$F194,$B$6,AD$10,$A194,$B194)</f>
        <v>0</v>
      </c>
      <c r="AE194" s="4">
        <f ca="1">_xll.DBRW($B$1,$B$2,$B$7,$B$3,$B$4,$B$5,$F194,$B$6,AE$10,$A194,$B194)</f>
        <v>0</v>
      </c>
    </row>
    <row r="195" spans="1:31">
      <c r="A195" s="1" t="s">
        <v>150</v>
      </c>
      <c r="B195" s="5" t="s">
        <v>230</v>
      </c>
      <c r="C195" s="5" t="s">
        <v>210</v>
      </c>
      <c r="D195" s="5" t="s">
        <v>21</v>
      </c>
      <c r="E195" s="5" t="s">
        <v>211</v>
      </c>
      <c r="F195" s="5" t="s">
        <v>313</v>
      </c>
      <c r="G195" s="6"/>
      <c r="H195" s="6"/>
      <c r="I195" s="6"/>
      <c r="J195" s="6"/>
      <c r="K195" s="6"/>
      <c r="L195" s="4">
        <f ca="1">_xll.DBRW($B$1,$B$2,$B$7,$B$3,$B$4,$B$5,$F195,$B$6,L$10,$A195,$B195)</f>
        <v>0</v>
      </c>
      <c r="M195" s="4">
        <f ca="1">_xll.DBRW($B$1,$B$2,$B$7,$B$3,$B$4,$B$5,$F195,$B$6,M$10,$A195,$B195)</f>
        <v>0</v>
      </c>
      <c r="N195" s="4">
        <f ca="1">_xll.DBRW($B$1,$B$2,$B$7,$B$3,$B$4,$B$5,$F195,$B$6,N$10,$A195,$B195)</f>
        <v>0</v>
      </c>
      <c r="O195" s="4">
        <f ca="1">_xll.DBRW($B$1,$B$2,$B$7,$B$3,$B$4,$B$5,$F195,$B$6,O$10,$A195,$B195)</f>
        <v>0</v>
      </c>
      <c r="P195" s="4">
        <f ca="1">_xll.DBRW($B$1,$B$2,$B$7,$B$3,$B$4,$B$5,$F195,$B$6,P$10,$A195,$B195)</f>
        <v>0</v>
      </c>
      <c r="Q195" s="4">
        <f ca="1">_xll.DBRW($B$1,$B$2,$B$7,$B$3,$B$4,$B$5,$F195,$B$6,Q$10,$A195,$B195)</f>
        <v>0</v>
      </c>
      <c r="R195" s="4">
        <f ca="1">_xll.DBRW($B$1,$B$2,$B$7,$B$3,$B$4,$B$5,$F195,$B$6,R$10,$A195,$B195)</f>
        <v>0</v>
      </c>
      <c r="S195" s="4">
        <f ca="1">_xll.DBRW($B$1,$B$2,$B$7,$B$3,$B$4,$B$5,$F195,$B$6,S$10,$A195,$B195)</f>
        <v>0</v>
      </c>
      <c r="T195" s="4">
        <f ca="1">_xll.DBRW($B$1,$B$2,$B$7,$B$3,$B$4,$B$5,$F195,$B$6,T$10,$A195,$B195)</f>
        <v>0</v>
      </c>
      <c r="U195" s="4">
        <f ca="1">_xll.DBRW($B$1,$B$2,$B$7,$B$3,$B$4,$B$5,$F195,$B$6,U$10,$A195,$B195)</f>
        <v>0</v>
      </c>
      <c r="V195" s="4">
        <f ca="1">_xll.DBRW($B$1,$B$2,$B$7,$B$3,$B$4,$B$5,$F195,$B$6,V$10,$A195,$B195)</f>
        <v>0</v>
      </c>
      <c r="W195" s="4">
        <f ca="1">_xll.DBRW($B$1,$B$2,$B$7,$B$3,$B$4,$B$5,$F195,$B$6,W$10,$A195,$B195)</f>
        <v>0</v>
      </c>
      <c r="X195" s="4">
        <f ca="1">_xll.DBRW($B$1,$B$2,$B$7,$B$3,$B$4,$B$5,$F195,$B$6,X$10,$A195,$B195)</f>
        <v>0</v>
      </c>
      <c r="Y195" s="4">
        <f ca="1">_xll.DBRW($B$1,$B$2,$B$7,$B$3,$B$4,$B$5,$F195,$B$6,Y$10,$A195,$B195)</f>
        <v>0</v>
      </c>
      <c r="Z195" s="4">
        <f ca="1">_xll.DBRW($B$1,$B$2,$B$7,$B$3,$B$4,$B$5,$F195,$B$6,Z$10,$A195,$B195)</f>
        <v>0</v>
      </c>
      <c r="AA195" s="4">
        <f ca="1">_xll.DBRW($B$1,$B$2,$B$7,$B$3,$B$4,$B$5,$F195,$B$6,AA$10,$A195,$B195)</f>
        <v>0</v>
      </c>
      <c r="AB195" s="4">
        <f ca="1">_xll.DBRW($B$1,$B$2,$B$7,$B$3,$B$4,$B$5,$F195,$B$6,AB$10,$A195,$B195)</f>
        <v>0</v>
      </c>
      <c r="AC195" s="4">
        <f ca="1">_xll.DBRW($B$1,$B$2,$B$7,$B$3,$B$4,$B$5,$F195,$B$6,AC$10,$A195,$B195)</f>
        <v>0</v>
      </c>
      <c r="AD195" s="4">
        <f ca="1">_xll.DBRW($B$1,$B$2,$B$7,$B$3,$B$4,$B$5,$F195,$B$6,AD$10,$A195,$B195)</f>
        <v>0</v>
      </c>
      <c r="AE195" s="4">
        <f ca="1">_xll.DBRW($B$1,$B$2,$B$7,$B$3,$B$4,$B$5,$F195,$B$6,AE$10,$A195,$B195)</f>
        <v>0</v>
      </c>
    </row>
    <row r="196" spans="1:31">
      <c r="A196" s="1" t="s">
        <v>150</v>
      </c>
      <c r="B196" s="5" t="s">
        <v>231</v>
      </c>
      <c r="C196" s="5" t="s">
        <v>213</v>
      </c>
      <c r="D196" s="5" t="s">
        <v>211</v>
      </c>
      <c r="E196" s="5" t="s">
        <v>21</v>
      </c>
      <c r="F196" s="5" t="s">
        <v>313</v>
      </c>
      <c r="G196" s="6"/>
      <c r="H196" s="6"/>
      <c r="I196" s="6"/>
      <c r="J196" s="6"/>
      <c r="K196" s="6"/>
      <c r="L196" s="4">
        <f ca="1">_xll.DBRW($B$1,$B$2,$B$7,$B$3,$B$4,$B$5,$F196,$B$6,L$10,$A196,$B196)</f>
        <v>0</v>
      </c>
      <c r="M196" s="4">
        <f ca="1">_xll.DBRW($B$1,$B$2,$B$7,$B$3,$B$4,$B$5,$F196,$B$6,M$10,$A196,$B196)</f>
        <v>0</v>
      </c>
      <c r="N196" s="4">
        <f ca="1">_xll.DBRW($B$1,$B$2,$B$7,$B$3,$B$4,$B$5,$F196,$B$6,N$10,$A196,$B196)</f>
        <v>0</v>
      </c>
      <c r="O196" s="4">
        <f ca="1">_xll.DBRW($B$1,$B$2,$B$7,$B$3,$B$4,$B$5,$F196,$B$6,O$10,$A196,$B196)</f>
        <v>0</v>
      </c>
      <c r="P196" s="4">
        <f ca="1">_xll.DBRW($B$1,$B$2,$B$7,$B$3,$B$4,$B$5,$F196,$B$6,P$10,$A196,$B196)</f>
        <v>0</v>
      </c>
      <c r="Q196" s="4">
        <f ca="1">_xll.DBRW($B$1,$B$2,$B$7,$B$3,$B$4,$B$5,$F196,$B$6,Q$10,$A196,$B196)</f>
        <v>0</v>
      </c>
      <c r="R196" s="4">
        <f ca="1">_xll.DBRW($B$1,$B$2,$B$7,$B$3,$B$4,$B$5,$F196,$B$6,R$10,$A196,$B196)</f>
        <v>0</v>
      </c>
      <c r="S196" s="4">
        <f ca="1">_xll.DBRW($B$1,$B$2,$B$7,$B$3,$B$4,$B$5,$F196,$B$6,S$10,$A196,$B196)</f>
        <v>0</v>
      </c>
      <c r="T196" s="4">
        <f ca="1">_xll.DBRW($B$1,$B$2,$B$7,$B$3,$B$4,$B$5,$F196,$B$6,T$10,$A196,$B196)</f>
        <v>0</v>
      </c>
      <c r="U196" s="4">
        <f ca="1">_xll.DBRW($B$1,$B$2,$B$7,$B$3,$B$4,$B$5,$F196,$B$6,U$10,$A196,$B196)</f>
        <v>0</v>
      </c>
      <c r="V196" s="4">
        <f ca="1">_xll.DBRW($B$1,$B$2,$B$7,$B$3,$B$4,$B$5,$F196,$B$6,V$10,$A196,$B196)</f>
        <v>0</v>
      </c>
      <c r="W196" s="4">
        <f ca="1">_xll.DBRW($B$1,$B$2,$B$7,$B$3,$B$4,$B$5,$F196,$B$6,W$10,$A196,$B196)</f>
        <v>0</v>
      </c>
      <c r="X196" s="4">
        <f ca="1">_xll.DBRW($B$1,$B$2,$B$7,$B$3,$B$4,$B$5,$F196,$B$6,X$10,$A196,$B196)</f>
        <v>0</v>
      </c>
      <c r="Y196" s="4">
        <f ca="1">_xll.DBRW($B$1,$B$2,$B$7,$B$3,$B$4,$B$5,$F196,$B$6,Y$10,$A196,$B196)</f>
        <v>0</v>
      </c>
      <c r="Z196" s="4">
        <f ca="1">_xll.DBRW($B$1,$B$2,$B$7,$B$3,$B$4,$B$5,$F196,$B$6,Z$10,$A196,$B196)</f>
        <v>0</v>
      </c>
      <c r="AA196" s="4">
        <f ca="1">_xll.DBRW($B$1,$B$2,$B$7,$B$3,$B$4,$B$5,$F196,$B$6,AA$10,$A196,$B196)</f>
        <v>0</v>
      </c>
      <c r="AB196" s="4">
        <f ca="1">_xll.DBRW($B$1,$B$2,$B$7,$B$3,$B$4,$B$5,$F196,$B$6,AB$10,$A196,$B196)</f>
        <v>0</v>
      </c>
      <c r="AC196" s="4">
        <f ca="1">_xll.DBRW($B$1,$B$2,$B$7,$B$3,$B$4,$B$5,$F196,$B$6,AC$10,$A196,$B196)</f>
        <v>0</v>
      </c>
      <c r="AD196" s="4">
        <f ca="1">_xll.DBRW($B$1,$B$2,$B$7,$B$3,$B$4,$B$5,$F196,$B$6,AD$10,$A196,$B196)</f>
        <v>0</v>
      </c>
      <c r="AE196" s="4">
        <f ca="1">_xll.DBRW($B$1,$B$2,$B$7,$B$3,$B$4,$B$5,$F196,$B$6,AE$10,$A196,$B196)</f>
        <v>0</v>
      </c>
    </row>
    <row r="197" spans="1:31">
      <c r="A197" s="1" t="s">
        <v>150</v>
      </c>
      <c r="B197" s="5" t="s">
        <v>232</v>
      </c>
      <c r="C197" s="5" t="s">
        <v>233</v>
      </c>
      <c r="D197" s="5" t="s">
        <v>21</v>
      </c>
      <c r="E197" s="5" t="s">
        <v>234</v>
      </c>
      <c r="F197" s="5" t="s">
        <v>313</v>
      </c>
      <c r="G197" s="6"/>
      <c r="H197" s="6"/>
      <c r="I197" s="6"/>
      <c r="J197" s="6"/>
      <c r="K197" s="6"/>
      <c r="L197" s="4">
        <f ca="1">_xll.DBRW($B$1,$B$2,$B$7,$B$3,$B$4,$B$5,$F197,$B$6,L$10,$A197,$B197)</f>
        <v>0</v>
      </c>
      <c r="M197" s="4">
        <f ca="1">_xll.DBRW($B$1,$B$2,$B$7,$B$3,$B$4,$B$5,$F197,$B$6,M$10,$A197,$B197)</f>
        <v>0</v>
      </c>
      <c r="N197" s="4">
        <f ca="1">_xll.DBRW($B$1,$B$2,$B$7,$B$3,$B$4,$B$5,$F197,$B$6,N$10,$A197,$B197)</f>
        <v>0</v>
      </c>
      <c r="O197" s="4">
        <f ca="1">_xll.DBRW($B$1,$B$2,$B$7,$B$3,$B$4,$B$5,$F197,$B$6,O$10,$A197,$B197)</f>
        <v>0</v>
      </c>
      <c r="P197" s="4">
        <f ca="1">_xll.DBRW($B$1,$B$2,$B$7,$B$3,$B$4,$B$5,$F197,$B$6,P$10,$A197,$B197)</f>
        <v>0</v>
      </c>
      <c r="Q197" s="4">
        <f ca="1">_xll.DBRW($B$1,$B$2,$B$7,$B$3,$B$4,$B$5,$F197,$B$6,Q$10,$A197,$B197)</f>
        <v>0</v>
      </c>
      <c r="R197" s="4">
        <f ca="1">_xll.DBRW($B$1,$B$2,$B$7,$B$3,$B$4,$B$5,$F197,$B$6,R$10,$A197,$B197)</f>
        <v>0</v>
      </c>
      <c r="S197" s="4">
        <f ca="1">_xll.DBRW($B$1,$B$2,$B$7,$B$3,$B$4,$B$5,$F197,$B$6,S$10,$A197,$B197)</f>
        <v>0</v>
      </c>
      <c r="T197" s="4">
        <f ca="1">_xll.DBRW($B$1,$B$2,$B$7,$B$3,$B$4,$B$5,$F197,$B$6,T$10,$A197,$B197)</f>
        <v>0</v>
      </c>
      <c r="U197" s="4">
        <f ca="1">_xll.DBRW($B$1,$B$2,$B$7,$B$3,$B$4,$B$5,$F197,$B$6,U$10,$A197,$B197)</f>
        <v>0</v>
      </c>
      <c r="V197" s="4">
        <f ca="1">_xll.DBRW($B$1,$B$2,$B$7,$B$3,$B$4,$B$5,$F197,$B$6,V$10,$A197,$B197)</f>
        <v>0</v>
      </c>
      <c r="W197" s="4">
        <f ca="1">_xll.DBRW($B$1,$B$2,$B$7,$B$3,$B$4,$B$5,$F197,$B$6,W$10,$A197,$B197)</f>
        <v>0</v>
      </c>
      <c r="X197" s="4">
        <f ca="1">_xll.DBRW($B$1,$B$2,$B$7,$B$3,$B$4,$B$5,$F197,$B$6,X$10,$A197,$B197)</f>
        <v>0</v>
      </c>
      <c r="Y197" s="4">
        <f ca="1">_xll.DBRW($B$1,$B$2,$B$7,$B$3,$B$4,$B$5,$F197,$B$6,Y$10,$A197,$B197)</f>
        <v>0</v>
      </c>
      <c r="Z197" s="4">
        <f ca="1">_xll.DBRW($B$1,$B$2,$B$7,$B$3,$B$4,$B$5,$F197,$B$6,Z$10,$A197,$B197)</f>
        <v>0</v>
      </c>
      <c r="AA197" s="4">
        <f ca="1">_xll.DBRW($B$1,$B$2,$B$7,$B$3,$B$4,$B$5,$F197,$B$6,AA$10,$A197,$B197)</f>
        <v>0</v>
      </c>
      <c r="AB197" s="4">
        <f ca="1">_xll.DBRW($B$1,$B$2,$B$7,$B$3,$B$4,$B$5,$F197,$B$6,AB$10,$A197,$B197)</f>
        <v>0</v>
      </c>
      <c r="AC197" s="4">
        <f ca="1">_xll.DBRW($B$1,$B$2,$B$7,$B$3,$B$4,$B$5,$F197,$B$6,AC$10,$A197,$B197)</f>
        <v>0</v>
      </c>
      <c r="AD197" s="4">
        <f ca="1">_xll.DBRW($B$1,$B$2,$B$7,$B$3,$B$4,$B$5,$F197,$B$6,AD$10,$A197,$B197)</f>
        <v>0</v>
      </c>
      <c r="AE197" s="4">
        <f ca="1">_xll.DBRW($B$1,$B$2,$B$7,$B$3,$B$4,$B$5,$F197,$B$6,AE$10,$A197,$B197)</f>
        <v>0</v>
      </c>
    </row>
    <row r="198" spans="1:31">
      <c r="A198" s="1" t="s">
        <v>150</v>
      </c>
      <c r="B198" s="5" t="s">
        <v>235</v>
      </c>
      <c r="C198" s="5" t="s">
        <v>236</v>
      </c>
      <c r="D198" s="5" t="s">
        <v>234</v>
      </c>
      <c r="E198" s="5" t="s">
        <v>21</v>
      </c>
      <c r="F198" s="5" t="s">
        <v>313</v>
      </c>
      <c r="G198" s="6"/>
      <c r="H198" s="6"/>
      <c r="I198" s="6"/>
      <c r="J198" s="6"/>
      <c r="K198" s="6"/>
      <c r="L198" s="4">
        <f ca="1">_xll.DBRW($B$1,$B$2,$B$7,$B$3,$B$4,$B$5,$F198,$B$6,L$10,$A198,$B198)</f>
        <v>0</v>
      </c>
      <c r="M198" s="4">
        <f ca="1">_xll.DBRW($B$1,$B$2,$B$7,$B$3,$B$4,$B$5,$F198,$B$6,M$10,$A198,$B198)</f>
        <v>0</v>
      </c>
      <c r="N198" s="4">
        <f ca="1">_xll.DBRW($B$1,$B$2,$B$7,$B$3,$B$4,$B$5,$F198,$B$6,N$10,$A198,$B198)</f>
        <v>0</v>
      </c>
      <c r="O198" s="4">
        <f ca="1">_xll.DBRW($B$1,$B$2,$B$7,$B$3,$B$4,$B$5,$F198,$B$6,O$10,$A198,$B198)</f>
        <v>0</v>
      </c>
      <c r="P198" s="4">
        <f ca="1">_xll.DBRW($B$1,$B$2,$B$7,$B$3,$B$4,$B$5,$F198,$B$6,P$10,$A198,$B198)</f>
        <v>0</v>
      </c>
      <c r="Q198" s="4">
        <f ca="1">_xll.DBRW($B$1,$B$2,$B$7,$B$3,$B$4,$B$5,$F198,$B$6,Q$10,$A198,$B198)</f>
        <v>0</v>
      </c>
      <c r="R198" s="4">
        <f ca="1">_xll.DBRW($B$1,$B$2,$B$7,$B$3,$B$4,$B$5,$F198,$B$6,R$10,$A198,$B198)</f>
        <v>0</v>
      </c>
      <c r="S198" s="4">
        <f ca="1">_xll.DBRW($B$1,$B$2,$B$7,$B$3,$B$4,$B$5,$F198,$B$6,S$10,$A198,$B198)</f>
        <v>0</v>
      </c>
      <c r="T198" s="4">
        <f ca="1">_xll.DBRW($B$1,$B$2,$B$7,$B$3,$B$4,$B$5,$F198,$B$6,T$10,$A198,$B198)</f>
        <v>0</v>
      </c>
      <c r="U198" s="4">
        <f ca="1">_xll.DBRW($B$1,$B$2,$B$7,$B$3,$B$4,$B$5,$F198,$B$6,U$10,$A198,$B198)</f>
        <v>0</v>
      </c>
      <c r="V198" s="4">
        <f ca="1">_xll.DBRW($B$1,$B$2,$B$7,$B$3,$B$4,$B$5,$F198,$B$6,V$10,$A198,$B198)</f>
        <v>0</v>
      </c>
      <c r="W198" s="4">
        <f ca="1">_xll.DBRW($B$1,$B$2,$B$7,$B$3,$B$4,$B$5,$F198,$B$6,W$10,$A198,$B198)</f>
        <v>0</v>
      </c>
      <c r="X198" s="4">
        <f ca="1">_xll.DBRW($B$1,$B$2,$B$7,$B$3,$B$4,$B$5,$F198,$B$6,X$10,$A198,$B198)</f>
        <v>0</v>
      </c>
      <c r="Y198" s="4">
        <f ca="1">_xll.DBRW($B$1,$B$2,$B$7,$B$3,$B$4,$B$5,$F198,$B$6,Y$10,$A198,$B198)</f>
        <v>0</v>
      </c>
      <c r="Z198" s="4">
        <f ca="1">_xll.DBRW($B$1,$B$2,$B$7,$B$3,$B$4,$B$5,$F198,$B$6,Z$10,$A198,$B198)</f>
        <v>0</v>
      </c>
      <c r="AA198" s="4">
        <f ca="1">_xll.DBRW($B$1,$B$2,$B$7,$B$3,$B$4,$B$5,$F198,$B$6,AA$10,$A198,$B198)</f>
        <v>0</v>
      </c>
      <c r="AB198" s="4">
        <f ca="1">_xll.DBRW($B$1,$B$2,$B$7,$B$3,$B$4,$B$5,$F198,$B$6,AB$10,$A198,$B198)</f>
        <v>0</v>
      </c>
      <c r="AC198" s="4">
        <f ca="1">_xll.DBRW($B$1,$B$2,$B$7,$B$3,$B$4,$B$5,$F198,$B$6,AC$10,$A198,$B198)</f>
        <v>0</v>
      </c>
      <c r="AD198" s="4">
        <f ca="1">_xll.DBRW($B$1,$B$2,$B$7,$B$3,$B$4,$B$5,$F198,$B$6,AD$10,$A198,$B198)</f>
        <v>0</v>
      </c>
      <c r="AE198" s="4">
        <f ca="1">_xll.DBRW($B$1,$B$2,$B$7,$B$3,$B$4,$B$5,$F198,$B$6,AE$10,$A198,$B198)</f>
        <v>0</v>
      </c>
    </row>
    <row r="199" spans="1:31">
      <c r="A199" s="1" t="s">
        <v>150</v>
      </c>
      <c r="B199" s="5" t="s">
        <v>237</v>
      </c>
      <c r="C199" s="5" t="s">
        <v>238</v>
      </c>
      <c r="D199" s="5" t="s">
        <v>21</v>
      </c>
      <c r="E199" s="5" t="s">
        <v>239</v>
      </c>
      <c r="F199" s="5" t="s">
        <v>313</v>
      </c>
      <c r="G199" s="6"/>
      <c r="H199" s="6"/>
      <c r="I199" s="6"/>
      <c r="J199" s="6"/>
      <c r="K199" s="6"/>
      <c r="L199" s="4">
        <f ca="1">_xll.DBRW($B$1,$B$2,$B$7,$B$3,$B$4,$B$5,$F199,$B$6,L$10,$A199,$B199)</f>
        <v>0</v>
      </c>
      <c r="M199" s="4">
        <f ca="1">_xll.DBRW($B$1,$B$2,$B$7,$B$3,$B$4,$B$5,$F199,$B$6,M$10,$A199,$B199)</f>
        <v>0</v>
      </c>
      <c r="N199" s="4">
        <f ca="1">_xll.DBRW($B$1,$B$2,$B$7,$B$3,$B$4,$B$5,$F199,$B$6,N$10,$A199,$B199)</f>
        <v>0</v>
      </c>
      <c r="O199" s="4">
        <f ca="1">_xll.DBRW($B$1,$B$2,$B$7,$B$3,$B$4,$B$5,$F199,$B$6,O$10,$A199,$B199)</f>
        <v>0</v>
      </c>
      <c r="P199" s="4">
        <f ca="1">_xll.DBRW($B$1,$B$2,$B$7,$B$3,$B$4,$B$5,$F199,$B$6,P$10,$A199,$B199)</f>
        <v>0</v>
      </c>
      <c r="Q199" s="4">
        <f ca="1">_xll.DBRW($B$1,$B$2,$B$7,$B$3,$B$4,$B$5,$F199,$B$6,Q$10,$A199,$B199)</f>
        <v>0</v>
      </c>
      <c r="R199" s="4">
        <f ca="1">_xll.DBRW($B$1,$B$2,$B$7,$B$3,$B$4,$B$5,$F199,$B$6,R$10,$A199,$B199)</f>
        <v>0</v>
      </c>
      <c r="S199" s="4">
        <f ca="1">_xll.DBRW($B$1,$B$2,$B$7,$B$3,$B$4,$B$5,$F199,$B$6,S$10,$A199,$B199)</f>
        <v>0</v>
      </c>
      <c r="T199" s="4">
        <f ca="1">_xll.DBRW($B$1,$B$2,$B$7,$B$3,$B$4,$B$5,$F199,$B$6,T$10,$A199,$B199)</f>
        <v>0</v>
      </c>
      <c r="U199" s="4">
        <f ca="1">_xll.DBRW($B$1,$B$2,$B$7,$B$3,$B$4,$B$5,$F199,$B$6,U$10,$A199,$B199)</f>
        <v>0</v>
      </c>
      <c r="V199" s="4">
        <f ca="1">_xll.DBRW($B$1,$B$2,$B$7,$B$3,$B$4,$B$5,$F199,$B$6,V$10,$A199,$B199)</f>
        <v>0</v>
      </c>
      <c r="W199" s="4">
        <f ca="1">_xll.DBRW($B$1,$B$2,$B$7,$B$3,$B$4,$B$5,$F199,$B$6,W$10,$A199,$B199)</f>
        <v>0</v>
      </c>
      <c r="X199" s="4">
        <f ca="1">_xll.DBRW($B$1,$B$2,$B$7,$B$3,$B$4,$B$5,$F199,$B$6,X$10,$A199,$B199)</f>
        <v>0</v>
      </c>
      <c r="Y199" s="4">
        <f ca="1">_xll.DBRW($B$1,$B$2,$B$7,$B$3,$B$4,$B$5,$F199,$B$6,Y$10,$A199,$B199)</f>
        <v>0</v>
      </c>
      <c r="Z199" s="4">
        <f ca="1">_xll.DBRW($B$1,$B$2,$B$7,$B$3,$B$4,$B$5,$F199,$B$6,Z$10,$A199,$B199)</f>
        <v>0</v>
      </c>
      <c r="AA199" s="4">
        <f ca="1">_xll.DBRW($B$1,$B$2,$B$7,$B$3,$B$4,$B$5,$F199,$B$6,AA$10,$A199,$B199)</f>
        <v>0</v>
      </c>
      <c r="AB199" s="4">
        <f ca="1">_xll.DBRW($B$1,$B$2,$B$7,$B$3,$B$4,$B$5,$F199,$B$6,AB$10,$A199,$B199)</f>
        <v>0</v>
      </c>
      <c r="AC199" s="4">
        <f ca="1">_xll.DBRW($B$1,$B$2,$B$7,$B$3,$B$4,$B$5,$F199,$B$6,AC$10,$A199,$B199)</f>
        <v>0</v>
      </c>
      <c r="AD199" s="4">
        <f ca="1">_xll.DBRW($B$1,$B$2,$B$7,$B$3,$B$4,$B$5,$F199,$B$6,AD$10,$A199,$B199)</f>
        <v>0</v>
      </c>
      <c r="AE199" s="4">
        <f ca="1">_xll.DBRW($B$1,$B$2,$B$7,$B$3,$B$4,$B$5,$F199,$B$6,AE$10,$A199,$B199)</f>
        <v>0</v>
      </c>
    </row>
    <row r="200" spans="1:31">
      <c r="A200" s="1" t="s">
        <v>150</v>
      </c>
      <c r="B200" s="5" t="s">
        <v>240</v>
      </c>
      <c r="C200" s="5" t="s">
        <v>241</v>
      </c>
      <c r="D200" s="5" t="s">
        <v>239</v>
      </c>
      <c r="E200" s="5" t="s">
        <v>21</v>
      </c>
      <c r="F200" s="5" t="s">
        <v>313</v>
      </c>
      <c r="G200" s="6"/>
      <c r="H200" s="6"/>
      <c r="I200" s="6"/>
      <c r="J200" s="6"/>
      <c r="K200" s="6"/>
      <c r="L200" s="4">
        <f ca="1">_xll.DBRW($B$1,$B$2,$B$7,$B$3,$B$4,$B$5,$F200,$B$6,L$10,$A200,$B200)</f>
        <v>0</v>
      </c>
      <c r="M200" s="4">
        <f ca="1">_xll.DBRW($B$1,$B$2,$B$7,$B$3,$B$4,$B$5,$F200,$B$6,M$10,$A200,$B200)</f>
        <v>0</v>
      </c>
      <c r="N200" s="4">
        <f ca="1">_xll.DBRW($B$1,$B$2,$B$7,$B$3,$B$4,$B$5,$F200,$B$6,N$10,$A200,$B200)</f>
        <v>0</v>
      </c>
      <c r="O200" s="4">
        <f ca="1">_xll.DBRW($B$1,$B$2,$B$7,$B$3,$B$4,$B$5,$F200,$B$6,O$10,$A200,$B200)</f>
        <v>0</v>
      </c>
      <c r="P200" s="4">
        <f ca="1">_xll.DBRW($B$1,$B$2,$B$7,$B$3,$B$4,$B$5,$F200,$B$6,P$10,$A200,$B200)</f>
        <v>0</v>
      </c>
      <c r="Q200" s="4">
        <f ca="1">_xll.DBRW($B$1,$B$2,$B$7,$B$3,$B$4,$B$5,$F200,$B$6,Q$10,$A200,$B200)</f>
        <v>0</v>
      </c>
      <c r="R200" s="4">
        <f ca="1">_xll.DBRW($B$1,$B$2,$B$7,$B$3,$B$4,$B$5,$F200,$B$6,R$10,$A200,$B200)</f>
        <v>0</v>
      </c>
      <c r="S200" s="4">
        <f ca="1">_xll.DBRW($B$1,$B$2,$B$7,$B$3,$B$4,$B$5,$F200,$B$6,S$10,$A200,$B200)</f>
        <v>0</v>
      </c>
      <c r="T200" s="4">
        <f ca="1">_xll.DBRW($B$1,$B$2,$B$7,$B$3,$B$4,$B$5,$F200,$B$6,T$10,$A200,$B200)</f>
        <v>0</v>
      </c>
      <c r="U200" s="4">
        <f ca="1">_xll.DBRW($B$1,$B$2,$B$7,$B$3,$B$4,$B$5,$F200,$B$6,U$10,$A200,$B200)</f>
        <v>0</v>
      </c>
      <c r="V200" s="4">
        <f ca="1">_xll.DBRW($B$1,$B$2,$B$7,$B$3,$B$4,$B$5,$F200,$B$6,V$10,$A200,$B200)</f>
        <v>0</v>
      </c>
      <c r="W200" s="4">
        <f ca="1">_xll.DBRW($B$1,$B$2,$B$7,$B$3,$B$4,$B$5,$F200,$B$6,W$10,$A200,$B200)</f>
        <v>0</v>
      </c>
      <c r="X200" s="4">
        <f ca="1">_xll.DBRW($B$1,$B$2,$B$7,$B$3,$B$4,$B$5,$F200,$B$6,X$10,$A200,$B200)</f>
        <v>0</v>
      </c>
      <c r="Y200" s="4">
        <f ca="1">_xll.DBRW($B$1,$B$2,$B$7,$B$3,$B$4,$B$5,$F200,$B$6,Y$10,$A200,$B200)</f>
        <v>0</v>
      </c>
      <c r="Z200" s="4">
        <f ca="1">_xll.DBRW($B$1,$B$2,$B$7,$B$3,$B$4,$B$5,$F200,$B$6,Z$10,$A200,$B200)</f>
        <v>0</v>
      </c>
      <c r="AA200" s="4">
        <f ca="1">_xll.DBRW($B$1,$B$2,$B$7,$B$3,$B$4,$B$5,$F200,$B$6,AA$10,$A200,$B200)</f>
        <v>0</v>
      </c>
      <c r="AB200" s="4">
        <f ca="1">_xll.DBRW($B$1,$B$2,$B$7,$B$3,$B$4,$B$5,$F200,$B$6,AB$10,$A200,$B200)</f>
        <v>0</v>
      </c>
      <c r="AC200" s="4">
        <f ca="1">_xll.DBRW($B$1,$B$2,$B$7,$B$3,$B$4,$B$5,$F200,$B$6,AC$10,$A200,$B200)</f>
        <v>0</v>
      </c>
      <c r="AD200" s="4">
        <f ca="1">_xll.DBRW($B$1,$B$2,$B$7,$B$3,$B$4,$B$5,$F200,$B$6,AD$10,$A200,$B200)</f>
        <v>0</v>
      </c>
      <c r="AE200" s="4">
        <f ca="1">_xll.DBRW($B$1,$B$2,$B$7,$B$3,$B$4,$B$5,$F200,$B$6,AE$10,$A200,$B200)</f>
        <v>0</v>
      </c>
    </row>
    <row r="201" spans="1:31">
      <c r="A201" s="1" t="s">
        <v>150</v>
      </c>
      <c r="B201" s="5" t="s">
        <v>242</v>
      </c>
      <c r="C201" s="5" t="s">
        <v>243</v>
      </c>
      <c r="D201" s="5" t="s">
        <v>21</v>
      </c>
      <c r="E201" s="5" t="s">
        <v>244</v>
      </c>
      <c r="F201" s="5" t="s">
        <v>313</v>
      </c>
      <c r="G201" s="6"/>
      <c r="H201" s="6"/>
      <c r="I201" s="6"/>
      <c r="J201" s="6"/>
      <c r="K201" s="6"/>
      <c r="L201" s="4">
        <f ca="1">_xll.DBRW($B$1,$B$2,$B$7,$B$3,$B$4,$B$5,$F201,$B$6,L$10,$A201,$B201)</f>
        <v>0</v>
      </c>
      <c r="M201" s="4">
        <f ca="1">_xll.DBRW($B$1,$B$2,$B$7,$B$3,$B$4,$B$5,$F201,$B$6,M$10,$A201,$B201)</f>
        <v>0</v>
      </c>
      <c r="N201" s="4">
        <f ca="1">_xll.DBRW($B$1,$B$2,$B$7,$B$3,$B$4,$B$5,$F201,$B$6,N$10,$A201,$B201)</f>
        <v>0</v>
      </c>
      <c r="O201" s="4">
        <f ca="1">_xll.DBRW($B$1,$B$2,$B$7,$B$3,$B$4,$B$5,$F201,$B$6,O$10,$A201,$B201)</f>
        <v>0</v>
      </c>
      <c r="P201" s="4">
        <f ca="1">_xll.DBRW($B$1,$B$2,$B$7,$B$3,$B$4,$B$5,$F201,$B$6,P$10,$A201,$B201)</f>
        <v>0</v>
      </c>
      <c r="Q201" s="4">
        <f ca="1">_xll.DBRW($B$1,$B$2,$B$7,$B$3,$B$4,$B$5,$F201,$B$6,Q$10,$A201,$B201)</f>
        <v>0</v>
      </c>
      <c r="R201" s="4">
        <f ca="1">_xll.DBRW($B$1,$B$2,$B$7,$B$3,$B$4,$B$5,$F201,$B$6,R$10,$A201,$B201)</f>
        <v>0</v>
      </c>
      <c r="S201" s="4">
        <f ca="1">_xll.DBRW($B$1,$B$2,$B$7,$B$3,$B$4,$B$5,$F201,$B$6,S$10,$A201,$B201)</f>
        <v>0</v>
      </c>
      <c r="T201" s="4">
        <f ca="1">_xll.DBRW($B$1,$B$2,$B$7,$B$3,$B$4,$B$5,$F201,$B$6,T$10,$A201,$B201)</f>
        <v>0</v>
      </c>
      <c r="U201" s="4">
        <f ca="1">_xll.DBRW($B$1,$B$2,$B$7,$B$3,$B$4,$B$5,$F201,$B$6,U$10,$A201,$B201)</f>
        <v>0</v>
      </c>
      <c r="V201" s="4">
        <f ca="1">_xll.DBRW($B$1,$B$2,$B$7,$B$3,$B$4,$B$5,$F201,$B$6,V$10,$A201,$B201)</f>
        <v>0</v>
      </c>
      <c r="W201" s="4">
        <f ca="1">_xll.DBRW($B$1,$B$2,$B$7,$B$3,$B$4,$B$5,$F201,$B$6,W$10,$A201,$B201)</f>
        <v>0</v>
      </c>
      <c r="X201" s="4">
        <f ca="1">_xll.DBRW($B$1,$B$2,$B$7,$B$3,$B$4,$B$5,$F201,$B$6,X$10,$A201,$B201)</f>
        <v>0</v>
      </c>
      <c r="Y201" s="4">
        <f ca="1">_xll.DBRW($B$1,$B$2,$B$7,$B$3,$B$4,$B$5,$F201,$B$6,Y$10,$A201,$B201)</f>
        <v>0</v>
      </c>
      <c r="Z201" s="4">
        <f ca="1">_xll.DBRW($B$1,$B$2,$B$7,$B$3,$B$4,$B$5,$F201,$B$6,Z$10,$A201,$B201)</f>
        <v>0</v>
      </c>
      <c r="AA201" s="4">
        <f ca="1">_xll.DBRW($B$1,$B$2,$B$7,$B$3,$B$4,$B$5,$F201,$B$6,AA$10,$A201,$B201)</f>
        <v>0</v>
      </c>
      <c r="AB201" s="4">
        <f ca="1">_xll.DBRW($B$1,$B$2,$B$7,$B$3,$B$4,$B$5,$F201,$B$6,AB$10,$A201,$B201)</f>
        <v>0</v>
      </c>
      <c r="AC201" s="4">
        <f ca="1">_xll.DBRW($B$1,$B$2,$B$7,$B$3,$B$4,$B$5,$F201,$B$6,AC$10,$A201,$B201)</f>
        <v>0</v>
      </c>
      <c r="AD201" s="4">
        <f ca="1">_xll.DBRW($B$1,$B$2,$B$7,$B$3,$B$4,$B$5,$F201,$B$6,AD$10,$A201,$B201)</f>
        <v>0</v>
      </c>
      <c r="AE201" s="4">
        <f ca="1">_xll.DBRW($B$1,$B$2,$B$7,$B$3,$B$4,$B$5,$F201,$B$6,AE$10,$A201,$B201)</f>
        <v>0</v>
      </c>
    </row>
    <row r="202" spans="1:31">
      <c r="A202" s="1" t="s">
        <v>150</v>
      </c>
      <c r="B202" s="5" t="s">
        <v>245</v>
      </c>
      <c r="C202" s="5" t="s">
        <v>246</v>
      </c>
      <c r="D202" s="5" t="s">
        <v>244</v>
      </c>
      <c r="E202" s="5" t="s">
        <v>21</v>
      </c>
      <c r="F202" s="5" t="s">
        <v>313</v>
      </c>
      <c r="G202" s="6"/>
      <c r="H202" s="6"/>
      <c r="I202" s="6"/>
      <c r="J202" s="6"/>
      <c r="K202" s="6"/>
      <c r="L202" s="4">
        <f ca="1">_xll.DBRW($B$1,$B$2,$B$7,$B$3,$B$4,$B$5,$F202,$B$6,L$10,$A202,$B202)</f>
        <v>0</v>
      </c>
      <c r="M202" s="4">
        <f ca="1">_xll.DBRW($B$1,$B$2,$B$7,$B$3,$B$4,$B$5,$F202,$B$6,M$10,$A202,$B202)</f>
        <v>0</v>
      </c>
      <c r="N202" s="4">
        <f ca="1">_xll.DBRW($B$1,$B$2,$B$7,$B$3,$B$4,$B$5,$F202,$B$6,N$10,$A202,$B202)</f>
        <v>0</v>
      </c>
      <c r="O202" s="4">
        <f ca="1">_xll.DBRW($B$1,$B$2,$B$7,$B$3,$B$4,$B$5,$F202,$B$6,O$10,$A202,$B202)</f>
        <v>0</v>
      </c>
      <c r="P202" s="4">
        <f ca="1">_xll.DBRW($B$1,$B$2,$B$7,$B$3,$B$4,$B$5,$F202,$B$6,P$10,$A202,$B202)</f>
        <v>0</v>
      </c>
      <c r="Q202" s="4">
        <f ca="1">_xll.DBRW($B$1,$B$2,$B$7,$B$3,$B$4,$B$5,$F202,$B$6,Q$10,$A202,$B202)</f>
        <v>0</v>
      </c>
      <c r="R202" s="4">
        <f ca="1">_xll.DBRW($B$1,$B$2,$B$7,$B$3,$B$4,$B$5,$F202,$B$6,R$10,$A202,$B202)</f>
        <v>0</v>
      </c>
      <c r="S202" s="4">
        <f ca="1">_xll.DBRW($B$1,$B$2,$B$7,$B$3,$B$4,$B$5,$F202,$B$6,S$10,$A202,$B202)</f>
        <v>0</v>
      </c>
      <c r="T202" s="4">
        <f ca="1">_xll.DBRW($B$1,$B$2,$B$7,$B$3,$B$4,$B$5,$F202,$B$6,T$10,$A202,$B202)</f>
        <v>0</v>
      </c>
      <c r="U202" s="4">
        <f ca="1">_xll.DBRW($B$1,$B$2,$B$7,$B$3,$B$4,$B$5,$F202,$B$6,U$10,$A202,$B202)</f>
        <v>0</v>
      </c>
      <c r="V202" s="4">
        <f ca="1">_xll.DBRW($B$1,$B$2,$B$7,$B$3,$B$4,$B$5,$F202,$B$6,V$10,$A202,$B202)</f>
        <v>0</v>
      </c>
      <c r="W202" s="4">
        <f ca="1">_xll.DBRW($B$1,$B$2,$B$7,$B$3,$B$4,$B$5,$F202,$B$6,W$10,$A202,$B202)</f>
        <v>0</v>
      </c>
      <c r="X202" s="4">
        <f ca="1">_xll.DBRW($B$1,$B$2,$B$7,$B$3,$B$4,$B$5,$F202,$B$6,X$10,$A202,$B202)</f>
        <v>0</v>
      </c>
      <c r="Y202" s="4">
        <f ca="1">_xll.DBRW($B$1,$B$2,$B$7,$B$3,$B$4,$B$5,$F202,$B$6,Y$10,$A202,$B202)</f>
        <v>0</v>
      </c>
      <c r="Z202" s="4">
        <f ca="1">_xll.DBRW($B$1,$B$2,$B$7,$B$3,$B$4,$B$5,$F202,$B$6,Z$10,$A202,$B202)</f>
        <v>0</v>
      </c>
      <c r="AA202" s="4">
        <f ca="1">_xll.DBRW($B$1,$B$2,$B$7,$B$3,$B$4,$B$5,$F202,$B$6,AA$10,$A202,$B202)</f>
        <v>0</v>
      </c>
      <c r="AB202" s="4">
        <f ca="1">_xll.DBRW($B$1,$B$2,$B$7,$B$3,$B$4,$B$5,$F202,$B$6,AB$10,$A202,$B202)</f>
        <v>0</v>
      </c>
      <c r="AC202" s="4">
        <f ca="1">_xll.DBRW($B$1,$B$2,$B$7,$B$3,$B$4,$B$5,$F202,$B$6,AC$10,$A202,$B202)</f>
        <v>0</v>
      </c>
      <c r="AD202" s="4">
        <f ca="1">_xll.DBRW($B$1,$B$2,$B$7,$B$3,$B$4,$B$5,$F202,$B$6,AD$10,$A202,$B202)</f>
        <v>0</v>
      </c>
      <c r="AE202" s="4">
        <f ca="1">_xll.DBRW($B$1,$B$2,$B$7,$B$3,$B$4,$B$5,$F202,$B$6,AE$10,$A202,$B202)</f>
        <v>0</v>
      </c>
    </row>
    <row r="203" spans="1:31">
      <c r="A203" s="1" t="s">
        <v>150</v>
      </c>
      <c r="B203" s="5" t="s">
        <v>247</v>
      </c>
      <c r="C203" s="5" t="s">
        <v>248</v>
      </c>
      <c r="D203" s="5" t="s">
        <v>21</v>
      </c>
      <c r="E203" s="5" t="s">
        <v>249</v>
      </c>
      <c r="F203" s="5" t="s">
        <v>313</v>
      </c>
      <c r="G203" s="6"/>
      <c r="H203" s="6"/>
      <c r="I203" s="6"/>
      <c r="J203" s="6"/>
      <c r="K203" s="6"/>
      <c r="L203" s="4">
        <f ca="1">_xll.DBRW($B$1,$B$2,$B$7,$B$3,$B$4,$B$5,$F203,$B$6,L$10,$A203,$B203)</f>
        <v>0</v>
      </c>
      <c r="M203" s="4">
        <f ca="1">_xll.DBRW($B$1,$B$2,$B$7,$B$3,$B$4,$B$5,$F203,$B$6,M$10,$A203,$B203)</f>
        <v>0</v>
      </c>
      <c r="N203" s="4">
        <f ca="1">_xll.DBRW($B$1,$B$2,$B$7,$B$3,$B$4,$B$5,$F203,$B$6,N$10,$A203,$B203)</f>
        <v>0</v>
      </c>
      <c r="O203" s="4">
        <f ca="1">_xll.DBRW($B$1,$B$2,$B$7,$B$3,$B$4,$B$5,$F203,$B$6,O$10,$A203,$B203)</f>
        <v>0</v>
      </c>
      <c r="P203" s="4">
        <f ca="1">_xll.DBRW($B$1,$B$2,$B$7,$B$3,$B$4,$B$5,$F203,$B$6,P$10,$A203,$B203)</f>
        <v>0</v>
      </c>
      <c r="Q203" s="4">
        <f ca="1">_xll.DBRW($B$1,$B$2,$B$7,$B$3,$B$4,$B$5,$F203,$B$6,Q$10,$A203,$B203)</f>
        <v>0</v>
      </c>
      <c r="R203" s="4">
        <f ca="1">_xll.DBRW($B$1,$B$2,$B$7,$B$3,$B$4,$B$5,$F203,$B$6,R$10,$A203,$B203)</f>
        <v>0</v>
      </c>
      <c r="S203" s="4">
        <f ca="1">_xll.DBRW($B$1,$B$2,$B$7,$B$3,$B$4,$B$5,$F203,$B$6,S$10,$A203,$B203)</f>
        <v>0</v>
      </c>
      <c r="T203" s="4">
        <f ca="1">_xll.DBRW($B$1,$B$2,$B$7,$B$3,$B$4,$B$5,$F203,$B$6,T$10,$A203,$B203)</f>
        <v>0</v>
      </c>
      <c r="U203" s="4">
        <f ca="1">_xll.DBRW($B$1,$B$2,$B$7,$B$3,$B$4,$B$5,$F203,$B$6,U$10,$A203,$B203)</f>
        <v>0</v>
      </c>
      <c r="V203" s="4">
        <f ca="1">_xll.DBRW($B$1,$B$2,$B$7,$B$3,$B$4,$B$5,$F203,$B$6,V$10,$A203,$B203)</f>
        <v>0</v>
      </c>
      <c r="W203" s="4">
        <f ca="1">_xll.DBRW($B$1,$B$2,$B$7,$B$3,$B$4,$B$5,$F203,$B$6,W$10,$A203,$B203)</f>
        <v>0</v>
      </c>
      <c r="X203" s="4">
        <f ca="1">_xll.DBRW($B$1,$B$2,$B$7,$B$3,$B$4,$B$5,$F203,$B$6,X$10,$A203,$B203)</f>
        <v>0</v>
      </c>
      <c r="Y203" s="4">
        <f ca="1">_xll.DBRW($B$1,$B$2,$B$7,$B$3,$B$4,$B$5,$F203,$B$6,Y$10,$A203,$B203)</f>
        <v>0</v>
      </c>
      <c r="Z203" s="4">
        <f ca="1">_xll.DBRW($B$1,$B$2,$B$7,$B$3,$B$4,$B$5,$F203,$B$6,Z$10,$A203,$B203)</f>
        <v>0</v>
      </c>
      <c r="AA203" s="4">
        <f ca="1">_xll.DBRW($B$1,$B$2,$B$7,$B$3,$B$4,$B$5,$F203,$B$6,AA$10,$A203,$B203)</f>
        <v>0</v>
      </c>
      <c r="AB203" s="4">
        <f ca="1">_xll.DBRW($B$1,$B$2,$B$7,$B$3,$B$4,$B$5,$F203,$B$6,AB$10,$A203,$B203)</f>
        <v>0</v>
      </c>
      <c r="AC203" s="4">
        <f ca="1">_xll.DBRW($B$1,$B$2,$B$7,$B$3,$B$4,$B$5,$F203,$B$6,AC$10,$A203,$B203)</f>
        <v>0</v>
      </c>
      <c r="AD203" s="4">
        <f ca="1">_xll.DBRW($B$1,$B$2,$B$7,$B$3,$B$4,$B$5,$F203,$B$6,AD$10,$A203,$B203)</f>
        <v>0</v>
      </c>
      <c r="AE203" s="4">
        <f ca="1">_xll.DBRW($B$1,$B$2,$B$7,$B$3,$B$4,$B$5,$F203,$B$6,AE$10,$A203,$B203)</f>
        <v>0</v>
      </c>
    </row>
    <row r="204" spans="1:31">
      <c r="A204" s="1" t="s">
        <v>150</v>
      </c>
      <c r="B204" s="5" t="s">
        <v>250</v>
      </c>
      <c r="C204" s="5" t="s">
        <v>251</v>
      </c>
      <c r="D204" s="5" t="s">
        <v>249</v>
      </c>
      <c r="E204" s="5" t="s">
        <v>21</v>
      </c>
      <c r="F204" s="5" t="s">
        <v>313</v>
      </c>
      <c r="G204" s="6"/>
      <c r="H204" s="6"/>
      <c r="I204" s="6"/>
      <c r="J204" s="6"/>
      <c r="K204" s="6"/>
      <c r="L204" s="4">
        <f ca="1">_xll.DBRW($B$1,$B$2,$B$7,$B$3,$B$4,$B$5,$F204,$B$6,L$10,$A204,$B204)</f>
        <v>0</v>
      </c>
      <c r="M204" s="4">
        <f ca="1">_xll.DBRW($B$1,$B$2,$B$7,$B$3,$B$4,$B$5,$F204,$B$6,M$10,$A204,$B204)</f>
        <v>0</v>
      </c>
      <c r="N204" s="4">
        <f ca="1">_xll.DBRW($B$1,$B$2,$B$7,$B$3,$B$4,$B$5,$F204,$B$6,N$10,$A204,$B204)</f>
        <v>0</v>
      </c>
      <c r="O204" s="4">
        <f ca="1">_xll.DBRW($B$1,$B$2,$B$7,$B$3,$B$4,$B$5,$F204,$B$6,O$10,$A204,$B204)</f>
        <v>0</v>
      </c>
      <c r="P204" s="4">
        <f ca="1">_xll.DBRW($B$1,$B$2,$B$7,$B$3,$B$4,$B$5,$F204,$B$6,P$10,$A204,$B204)</f>
        <v>0</v>
      </c>
      <c r="Q204" s="4">
        <f ca="1">_xll.DBRW($B$1,$B$2,$B$7,$B$3,$B$4,$B$5,$F204,$B$6,Q$10,$A204,$B204)</f>
        <v>0</v>
      </c>
      <c r="R204" s="4">
        <f ca="1">_xll.DBRW($B$1,$B$2,$B$7,$B$3,$B$4,$B$5,$F204,$B$6,R$10,$A204,$B204)</f>
        <v>0</v>
      </c>
      <c r="S204" s="4">
        <f ca="1">_xll.DBRW($B$1,$B$2,$B$7,$B$3,$B$4,$B$5,$F204,$B$6,S$10,$A204,$B204)</f>
        <v>0</v>
      </c>
      <c r="T204" s="4">
        <f ca="1">_xll.DBRW($B$1,$B$2,$B$7,$B$3,$B$4,$B$5,$F204,$B$6,T$10,$A204,$B204)</f>
        <v>0</v>
      </c>
      <c r="U204" s="4">
        <f ca="1">_xll.DBRW($B$1,$B$2,$B$7,$B$3,$B$4,$B$5,$F204,$B$6,U$10,$A204,$B204)</f>
        <v>0</v>
      </c>
      <c r="V204" s="4">
        <f ca="1">_xll.DBRW($B$1,$B$2,$B$7,$B$3,$B$4,$B$5,$F204,$B$6,V$10,$A204,$B204)</f>
        <v>0</v>
      </c>
      <c r="W204" s="4">
        <f ca="1">_xll.DBRW($B$1,$B$2,$B$7,$B$3,$B$4,$B$5,$F204,$B$6,W$10,$A204,$B204)</f>
        <v>0</v>
      </c>
      <c r="X204" s="4">
        <f ca="1">_xll.DBRW($B$1,$B$2,$B$7,$B$3,$B$4,$B$5,$F204,$B$6,X$10,$A204,$B204)</f>
        <v>0</v>
      </c>
      <c r="Y204" s="4">
        <f ca="1">_xll.DBRW($B$1,$B$2,$B$7,$B$3,$B$4,$B$5,$F204,$B$6,Y$10,$A204,$B204)</f>
        <v>0</v>
      </c>
      <c r="Z204" s="4">
        <f ca="1">_xll.DBRW($B$1,$B$2,$B$7,$B$3,$B$4,$B$5,$F204,$B$6,Z$10,$A204,$B204)</f>
        <v>0</v>
      </c>
      <c r="AA204" s="4">
        <f ca="1">_xll.DBRW($B$1,$B$2,$B$7,$B$3,$B$4,$B$5,$F204,$B$6,AA$10,$A204,$B204)</f>
        <v>0</v>
      </c>
      <c r="AB204" s="4">
        <f ca="1">_xll.DBRW($B$1,$B$2,$B$7,$B$3,$B$4,$B$5,$F204,$B$6,AB$10,$A204,$B204)</f>
        <v>0</v>
      </c>
      <c r="AC204" s="4">
        <f ca="1">_xll.DBRW($B$1,$B$2,$B$7,$B$3,$B$4,$B$5,$F204,$B$6,AC$10,$A204,$B204)</f>
        <v>0</v>
      </c>
      <c r="AD204" s="4">
        <f ca="1">_xll.DBRW($B$1,$B$2,$B$7,$B$3,$B$4,$B$5,$F204,$B$6,AD$10,$A204,$B204)</f>
        <v>0</v>
      </c>
      <c r="AE204" s="4">
        <f ca="1">_xll.DBRW($B$1,$B$2,$B$7,$B$3,$B$4,$B$5,$F204,$B$6,AE$10,$A204,$B204)</f>
        <v>0</v>
      </c>
    </row>
    <row r="205" spans="1:31">
      <c r="A205" s="1" t="s">
        <v>150</v>
      </c>
      <c r="B205" s="5" t="s">
        <v>252</v>
      </c>
      <c r="C205" s="5" t="s">
        <v>226</v>
      </c>
      <c r="D205" s="5" t="s">
        <v>21</v>
      </c>
      <c r="E205" s="5" t="s">
        <v>227</v>
      </c>
      <c r="F205" s="5" t="s">
        <v>313</v>
      </c>
      <c r="G205" s="6"/>
      <c r="H205" s="6"/>
      <c r="I205" s="6"/>
      <c r="J205" s="6"/>
      <c r="K205" s="6"/>
      <c r="L205" s="4">
        <f ca="1">_xll.DBRW($B$1,$B$2,$B$7,$B$3,$B$4,$B$5,$F205,$B$6,L$10,$A205,$B205)</f>
        <v>0</v>
      </c>
      <c r="M205" s="4">
        <f ca="1">_xll.DBRW($B$1,$B$2,$B$7,$B$3,$B$4,$B$5,$F205,$B$6,M$10,$A205,$B205)</f>
        <v>0</v>
      </c>
      <c r="N205" s="4">
        <f ca="1">_xll.DBRW($B$1,$B$2,$B$7,$B$3,$B$4,$B$5,$F205,$B$6,N$10,$A205,$B205)</f>
        <v>0</v>
      </c>
      <c r="O205" s="4">
        <f ca="1">_xll.DBRW($B$1,$B$2,$B$7,$B$3,$B$4,$B$5,$F205,$B$6,O$10,$A205,$B205)</f>
        <v>0</v>
      </c>
      <c r="P205" s="4">
        <f ca="1">_xll.DBRW($B$1,$B$2,$B$7,$B$3,$B$4,$B$5,$F205,$B$6,P$10,$A205,$B205)</f>
        <v>0</v>
      </c>
      <c r="Q205" s="4">
        <f ca="1">_xll.DBRW($B$1,$B$2,$B$7,$B$3,$B$4,$B$5,$F205,$B$6,Q$10,$A205,$B205)</f>
        <v>0</v>
      </c>
      <c r="R205" s="4">
        <f ca="1">_xll.DBRW($B$1,$B$2,$B$7,$B$3,$B$4,$B$5,$F205,$B$6,R$10,$A205,$B205)</f>
        <v>0</v>
      </c>
      <c r="S205" s="4">
        <f ca="1">_xll.DBRW($B$1,$B$2,$B$7,$B$3,$B$4,$B$5,$F205,$B$6,S$10,$A205,$B205)</f>
        <v>0</v>
      </c>
      <c r="T205" s="4">
        <f ca="1">_xll.DBRW($B$1,$B$2,$B$7,$B$3,$B$4,$B$5,$F205,$B$6,T$10,$A205,$B205)</f>
        <v>0</v>
      </c>
      <c r="U205" s="4">
        <f ca="1">_xll.DBRW($B$1,$B$2,$B$7,$B$3,$B$4,$B$5,$F205,$B$6,U$10,$A205,$B205)</f>
        <v>0</v>
      </c>
      <c r="V205" s="4">
        <f ca="1">_xll.DBRW($B$1,$B$2,$B$7,$B$3,$B$4,$B$5,$F205,$B$6,V$10,$A205,$B205)</f>
        <v>0</v>
      </c>
      <c r="W205" s="4">
        <f ca="1">_xll.DBRW($B$1,$B$2,$B$7,$B$3,$B$4,$B$5,$F205,$B$6,W$10,$A205,$B205)</f>
        <v>0</v>
      </c>
      <c r="X205" s="4">
        <f ca="1">_xll.DBRW($B$1,$B$2,$B$7,$B$3,$B$4,$B$5,$F205,$B$6,X$10,$A205,$B205)</f>
        <v>0</v>
      </c>
      <c r="Y205" s="4">
        <f ca="1">_xll.DBRW($B$1,$B$2,$B$7,$B$3,$B$4,$B$5,$F205,$B$6,Y$10,$A205,$B205)</f>
        <v>0</v>
      </c>
      <c r="Z205" s="4">
        <f ca="1">_xll.DBRW($B$1,$B$2,$B$7,$B$3,$B$4,$B$5,$F205,$B$6,Z$10,$A205,$B205)</f>
        <v>0</v>
      </c>
      <c r="AA205" s="4">
        <f ca="1">_xll.DBRW($B$1,$B$2,$B$7,$B$3,$B$4,$B$5,$F205,$B$6,AA$10,$A205,$B205)</f>
        <v>0</v>
      </c>
      <c r="AB205" s="4">
        <f ca="1">_xll.DBRW($B$1,$B$2,$B$7,$B$3,$B$4,$B$5,$F205,$B$6,AB$10,$A205,$B205)</f>
        <v>0</v>
      </c>
      <c r="AC205" s="4">
        <f ca="1">_xll.DBRW($B$1,$B$2,$B$7,$B$3,$B$4,$B$5,$F205,$B$6,AC$10,$A205,$B205)</f>
        <v>0</v>
      </c>
      <c r="AD205" s="4">
        <f ca="1">_xll.DBRW($B$1,$B$2,$B$7,$B$3,$B$4,$B$5,$F205,$B$6,AD$10,$A205,$B205)</f>
        <v>0</v>
      </c>
      <c r="AE205" s="4">
        <f ca="1">_xll.DBRW($B$1,$B$2,$B$7,$B$3,$B$4,$B$5,$F205,$B$6,AE$10,$A205,$B205)</f>
        <v>0</v>
      </c>
    </row>
    <row r="206" spans="1:31">
      <c r="A206" s="1" t="s">
        <v>150</v>
      </c>
      <c r="B206" s="5" t="s">
        <v>253</v>
      </c>
      <c r="C206" s="5" t="s">
        <v>229</v>
      </c>
      <c r="D206" s="5" t="s">
        <v>227</v>
      </c>
      <c r="E206" s="5" t="s">
        <v>21</v>
      </c>
      <c r="F206" s="5" t="s">
        <v>313</v>
      </c>
      <c r="G206" s="6"/>
      <c r="H206" s="6"/>
      <c r="I206" s="6"/>
      <c r="J206" s="6"/>
      <c r="K206" s="6"/>
      <c r="L206" s="4">
        <f ca="1">_xll.DBRW($B$1,$B$2,$B$7,$B$3,$B$4,$B$5,$F206,$B$6,L$10,$A206,$B206)</f>
        <v>0</v>
      </c>
      <c r="M206" s="4">
        <f ca="1">_xll.DBRW($B$1,$B$2,$B$7,$B$3,$B$4,$B$5,$F206,$B$6,M$10,$A206,$B206)</f>
        <v>0</v>
      </c>
      <c r="N206" s="4">
        <f ca="1">_xll.DBRW($B$1,$B$2,$B$7,$B$3,$B$4,$B$5,$F206,$B$6,N$10,$A206,$B206)</f>
        <v>0</v>
      </c>
      <c r="O206" s="4">
        <f ca="1">_xll.DBRW($B$1,$B$2,$B$7,$B$3,$B$4,$B$5,$F206,$B$6,O$10,$A206,$B206)</f>
        <v>0</v>
      </c>
      <c r="P206" s="4">
        <f ca="1">_xll.DBRW($B$1,$B$2,$B$7,$B$3,$B$4,$B$5,$F206,$B$6,P$10,$A206,$B206)</f>
        <v>0</v>
      </c>
      <c r="Q206" s="4">
        <f ca="1">_xll.DBRW($B$1,$B$2,$B$7,$B$3,$B$4,$B$5,$F206,$B$6,Q$10,$A206,$B206)</f>
        <v>0</v>
      </c>
      <c r="R206" s="4">
        <f ca="1">_xll.DBRW($B$1,$B$2,$B$7,$B$3,$B$4,$B$5,$F206,$B$6,R$10,$A206,$B206)</f>
        <v>0</v>
      </c>
      <c r="S206" s="4">
        <f ca="1">_xll.DBRW($B$1,$B$2,$B$7,$B$3,$B$4,$B$5,$F206,$B$6,S$10,$A206,$B206)</f>
        <v>0</v>
      </c>
      <c r="T206" s="4">
        <f ca="1">_xll.DBRW($B$1,$B$2,$B$7,$B$3,$B$4,$B$5,$F206,$B$6,T$10,$A206,$B206)</f>
        <v>0</v>
      </c>
      <c r="U206" s="4">
        <f ca="1">_xll.DBRW($B$1,$B$2,$B$7,$B$3,$B$4,$B$5,$F206,$B$6,U$10,$A206,$B206)</f>
        <v>0</v>
      </c>
      <c r="V206" s="4">
        <f ca="1">_xll.DBRW($B$1,$B$2,$B$7,$B$3,$B$4,$B$5,$F206,$B$6,V$10,$A206,$B206)</f>
        <v>0</v>
      </c>
      <c r="W206" s="4">
        <f ca="1">_xll.DBRW($B$1,$B$2,$B$7,$B$3,$B$4,$B$5,$F206,$B$6,W$10,$A206,$B206)</f>
        <v>0</v>
      </c>
      <c r="X206" s="4">
        <f ca="1">_xll.DBRW($B$1,$B$2,$B$7,$B$3,$B$4,$B$5,$F206,$B$6,X$10,$A206,$B206)</f>
        <v>0</v>
      </c>
      <c r="Y206" s="4">
        <f ca="1">_xll.DBRW($B$1,$B$2,$B$7,$B$3,$B$4,$B$5,$F206,$B$6,Y$10,$A206,$B206)</f>
        <v>0</v>
      </c>
      <c r="Z206" s="4">
        <f ca="1">_xll.DBRW($B$1,$B$2,$B$7,$B$3,$B$4,$B$5,$F206,$B$6,Z$10,$A206,$B206)</f>
        <v>0</v>
      </c>
      <c r="AA206" s="4">
        <f ca="1">_xll.DBRW($B$1,$B$2,$B$7,$B$3,$B$4,$B$5,$F206,$B$6,AA$10,$A206,$B206)</f>
        <v>0</v>
      </c>
      <c r="AB206" s="4">
        <f ca="1">_xll.DBRW($B$1,$B$2,$B$7,$B$3,$B$4,$B$5,$F206,$B$6,AB$10,$A206,$B206)</f>
        <v>0</v>
      </c>
      <c r="AC206" s="4">
        <f ca="1">_xll.DBRW($B$1,$B$2,$B$7,$B$3,$B$4,$B$5,$F206,$B$6,AC$10,$A206,$B206)</f>
        <v>0</v>
      </c>
      <c r="AD206" s="4">
        <f ca="1">_xll.DBRW($B$1,$B$2,$B$7,$B$3,$B$4,$B$5,$F206,$B$6,AD$10,$A206,$B206)</f>
        <v>0</v>
      </c>
      <c r="AE206" s="4">
        <f ca="1">_xll.DBRW($B$1,$B$2,$B$7,$B$3,$B$4,$B$5,$F206,$B$6,AE$10,$A206,$B206)</f>
        <v>0</v>
      </c>
    </row>
    <row r="207" spans="1:31">
      <c r="A207" s="1" t="s">
        <v>150</v>
      </c>
      <c r="B207" s="5" t="s">
        <v>254</v>
      </c>
      <c r="C207" s="5" t="s">
        <v>255</v>
      </c>
      <c r="D207" s="5" t="s">
        <v>60</v>
      </c>
      <c r="E207" s="5" t="s">
        <v>59</v>
      </c>
      <c r="F207" s="5" t="s">
        <v>313</v>
      </c>
      <c r="G207" s="6"/>
      <c r="H207" s="6"/>
      <c r="I207" s="6"/>
      <c r="J207" s="6"/>
      <c r="K207" s="6"/>
      <c r="L207" s="4">
        <f ca="1">_xll.DBRW($B$1,$B$2,$B$7,$B$3,$B$4,$B$5,$F207,$B$6,L$10,$A207,$B207)</f>
        <v>0</v>
      </c>
      <c r="M207" s="4">
        <f ca="1">_xll.DBRW($B$1,$B$2,$B$7,$B$3,$B$4,$B$5,$F207,$B$6,M$10,$A207,$B207)</f>
        <v>0</v>
      </c>
      <c r="N207" s="4">
        <f ca="1">_xll.DBRW($B$1,$B$2,$B$7,$B$3,$B$4,$B$5,$F207,$B$6,N$10,$A207,$B207)</f>
        <v>0</v>
      </c>
      <c r="O207" s="4">
        <f ca="1">_xll.DBRW($B$1,$B$2,$B$7,$B$3,$B$4,$B$5,$F207,$B$6,O$10,$A207,$B207)</f>
        <v>0</v>
      </c>
      <c r="P207" s="4">
        <f ca="1">_xll.DBRW($B$1,$B$2,$B$7,$B$3,$B$4,$B$5,$F207,$B$6,P$10,$A207,$B207)</f>
        <v>0</v>
      </c>
      <c r="Q207" s="4">
        <f ca="1">_xll.DBRW($B$1,$B$2,$B$7,$B$3,$B$4,$B$5,$F207,$B$6,Q$10,$A207,$B207)</f>
        <v>0</v>
      </c>
      <c r="R207" s="4">
        <f ca="1">_xll.DBRW($B$1,$B$2,$B$7,$B$3,$B$4,$B$5,$F207,$B$6,R$10,$A207,$B207)</f>
        <v>0</v>
      </c>
      <c r="S207" s="4">
        <f ca="1">_xll.DBRW($B$1,$B$2,$B$7,$B$3,$B$4,$B$5,$F207,$B$6,S$10,$A207,$B207)</f>
        <v>0</v>
      </c>
      <c r="T207" s="4">
        <f ca="1">_xll.DBRW($B$1,$B$2,$B$7,$B$3,$B$4,$B$5,$F207,$B$6,T$10,$A207,$B207)</f>
        <v>0</v>
      </c>
      <c r="U207" s="4">
        <f ca="1">_xll.DBRW($B$1,$B$2,$B$7,$B$3,$B$4,$B$5,$F207,$B$6,U$10,$A207,$B207)</f>
        <v>0</v>
      </c>
      <c r="V207" s="4">
        <f ca="1">_xll.DBRW($B$1,$B$2,$B$7,$B$3,$B$4,$B$5,$F207,$B$6,V$10,$A207,$B207)</f>
        <v>0</v>
      </c>
      <c r="W207" s="4">
        <f ca="1">_xll.DBRW($B$1,$B$2,$B$7,$B$3,$B$4,$B$5,$F207,$B$6,W$10,$A207,$B207)</f>
        <v>0</v>
      </c>
      <c r="X207" s="4">
        <f ca="1">_xll.DBRW($B$1,$B$2,$B$7,$B$3,$B$4,$B$5,$F207,$B$6,X$10,$A207,$B207)</f>
        <v>0</v>
      </c>
      <c r="Y207" s="4">
        <f ca="1">_xll.DBRW($B$1,$B$2,$B$7,$B$3,$B$4,$B$5,$F207,$B$6,Y$10,$A207,$B207)</f>
        <v>0</v>
      </c>
      <c r="Z207" s="4">
        <f ca="1">_xll.DBRW($B$1,$B$2,$B$7,$B$3,$B$4,$B$5,$F207,$B$6,Z$10,$A207,$B207)</f>
        <v>0</v>
      </c>
      <c r="AA207" s="4">
        <f ca="1">_xll.DBRW($B$1,$B$2,$B$7,$B$3,$B$4,$B$5,$F207,$B$6,AA$10,$A207,$B207)</f>
        <v>0</v>
      </c>
      <c r="AB207" s="4">
        <f ca="1">_xll.DBRW($B$1,$B$2,$B$7,$B$3,$B$4,$B$5,$F207,$B$6,AB$10,$A207,$B207)</f>
        <v>0</v>
      </c>
      <c r="AC207" s="4">
        <f ca="1">_xll.DBRW($B$1,$B$2,$B$7,$B$3,$B$4,$B$5,$F207,$B$6,AC$10,$A207,$B207)</f>
        <v>0</v>
      </c>
      <c r="AD207" s="4">
        <f ca="1">_xll.DBRW($B$1,$B$2,$B$7,$B$3,$B$4,$B$5,$F207,$B$6,AD$10,$A207,$B207)</f>
        <v>0</v>
      </c>
      <c r="AE207" s="4">
        <f ca="1">_xll.DBRW($B$1,$B$2,$B$7,$B$3,$B$4,$B$5,$F207,$B$6,AE$10,$A207,$B207)</f>
        <v>0</v>
      </c>
    </row>
    <row r="208" spans="1:31">
      <c r="A208" s="1" t="s">
        <v>150</v>
      </c>
      <c r="B208" s="5" t="s">
        <v>57</v>
      </c>
      <c r="C208" s="5" t="s">
        <v>58</v>
      </c>
      <c r="D208" s="5" t="s">
        <v>59</v>
      </c>
      <c r="E208" s="5" t="s">
        <v>60</v>
      </c>
      <c r="F208" s="5" t="s">
        <v>313</v>
      </c>
      <c r="G208" s="6"/>
      <c r="H208" s="6"/>
      <c r="I208" s="6"/>
      <c r="J208" s="6"/>
      <c r="K208" s="6"/>
      <c r="L208" s="4">
        <f ca="1">_xll.DBRW($B$1,$B$2,$B$7,$B$3,$B$4,$B$5,$F208,$B$6,L$10,$A208,$B208)</f>
        <v>0</v>
      </c>
      <c r="M208" s="4">
        <f ca="1">_xll.DBRW($B$1,$B$2,$B$7,$B$3,$B$4,$B$5,$F208,$B$6,M$10,$A208,$B208)</f>
        <v>0</v>
      </c>
      <c r="N208" s="4">
        <f ca="1">_xll.DBRW($B$1,$B$2,$B$7,$B$3,$B$4,$B$5,$F208,$B$6,N$10,$A208,$B208)</f>
        <v>0</v>
      </c>
      <c r="O208" s="4">
        <f ca="1">_xll.DBRW($B$1,$B$2,$B$7,$B$3,$B$4,$B$5,$F208,$B$6,O$10,$A208,$B208)</f>
        <v>0</v>
      </c>
      <c r="P208" s="4">
        <f ca="1">_xll.DBRW($B$1,$B$2,$B$7,$B$3,$B$4,$B$5,$F208,$B$6,P$10,$A208,$B208)</f>
        <v>0</v>
      </c>
      <c r="Q208" s="4">
        <f ca="1">_xll.DBRW($B$1,$B$2,$B$7,$B$3,$B$4,$B$5,$F208,$B$6,Q$10,$A208,$B208)</f>
        <v>0</v>
      </c>
      <c r="R208" s="4">
        <f ca="1">_xll.DBRW($B$1,$B$2,$B$7,$B$3,$B$4,$B$5,$F208,$B$6,R$10,$A208,$B208)</f>
        <v>0</v>
      </c>
      <c r="S208" s="4">
        <f ca="1">_xll.DBRW($B$1,$B$2,$B$7,$B$3,$B$4,$B$5,$F208,$B$6,S$10,$A208,$B208)</f>
        <v>0</v>
      </c>
      <c r="T208" s="4">
        <f ca="1">_xll.DBRW($B$1,$B$2,$B$7,$B$3,$B$4,$B$5,$F208,$B$6,T$10,$A208,$B208)</f>
        <v>0</v>
      </c>
      <c r="U208" s="4">
        <f ca="1">_xll.DBRW($B$1,$B$2,$B$7,$B$3,$B$4,$B$5,$F208,$B$6,U$10,$A208,$B208)</f>
        <v>0</v>
      </c>
      <c r="V208" s="4">
        <f ca="1">_xll.DBRW($B$1,$B$2,$B$7,$B$3,$B$4,$B$5,$F208,$B$6,V$10,$A208,$B208)</f>
        <v>0</v>
      </c>
      <c r="W208" s="4">
        <f ca="1">_xll.DBRW($B$1,$B$2,$B$7,$B$3,$B$4,$B$5,$F208,$B$6,W$10,$A208,$B208)</f>
        <v>0</v>
      </c>
      <c r="X208" s="4">
        <f ca="1">_xll.DBRW($B$1,$B$2,$B$7,$B$3,$B$4,$B$5,$F208,$B$6,X$10,$A208,$B208)</f>
        <v>0</v>
      </c>
      <c r="Y208" s="4">
        <f ca="1">_xll.DBRW($B$1,$B$2,$B$7,$B$3,$B$4,$B$5,$F208,$B$6,Y$10,$A208,$B208)</f>
        <v>0</v>
      </c>
      <c r="Z208" s="4">
        <f ca="1">_xll.DBRW($B$1,$B$2,$B$7,$B$3,$B$4,$B$5,$F208,$B$6,Z$10,$A208,$B208)</f>
        <v>0</v>
      </c>
      <c r="AA208" s="4">
        <f ca="1">_xll.DBRW($B$1,$B$2,$B$7,$B$3,$B$4,$B$5,$F208,$B$6,AA$10,$A208,$B208)</f>
        <v>0</v>
      </c>
      <c r="AB208" s="4">
        <f ca="1">_xll.DBRW($B$1,$B$2,$B$7,$B$3,$B$4,$B$5,$F208,$B$6,AB$10,$A208,$B208)</f>
        <v>0</v>
      </c>
      <c r="AC208" s="4">
        <f ca="1">_xll.DBRW($B$1,$B$2,$B$7,$B$3,$B$4,$B$5,$F208,$B$6,AC$10,$A208,$B208)</f>
        <v>0</v>
      </c>
      <c r="AD208" s="4">
        <f ca="1">_xll.DBRW($B$1,$B$2,$B$7,$B$3,$B$4,$B$5,$F208,$B$6,AD$10,$A208,$B208)</f>
        <v>0</v>
      </c>
      <c r="AE208" s="4">
        <f ca="1">_xll.DBRW($B$1,$B$2,$B$7,$B$3,$B$4,$B$5,$F208,$B$6,AE$10,$A208,$B208)</f>
        <v>0</v>
      </c>
    </row>
    <row r="209" spans="1:31">
      <c r="A209" s="1" t="s">
        <v>150</v>
      </c>
      <c r="B209" s="5" t="s">
        <v>256</v>
      </c>
      <c r="C209" s="5" t="s">
        <v>206</v>
      </c>
      <c r="D209" s="5" t="s">
        <v>21</v>
      </c>
      <c r="E209" s="5" t="s">
        <v>181</v>
      </c>
      <c r="F209" s="5" t="s">
        <v>313</v>
      </c>
      <c r="G209" s="6"/>
      <c r="H209" s="6"/>
      <c r="I209" s="6"/>
      <c r="J209" s="6"/>
      <c r="K209" s="6"/>
      <c r="L209" s="4">
        <f ca="1">_xll.DBRW($B$1,$B$2,$B$7,$B$3,$B$4,$B$5,$F209,$B$6,L$10,$A209,$B209)</f>
        <v>0</v>
      </c>
      <c r="M209" s="4">
        <f ca="1">_xll.DBRW($B$1,$B$2,$B$7,$B$3,$B$4,$B$5,$F209,$B$6,M$10,$A209,$B209)</f>
        <v>0</v>
      </c>
      <c r="N209" s="4">
        <f ca="1">_xll.DBRW($B$1,$B$2,$B$7,$B$3,$B$4,$B$5,$F209,$B$6,N$10,$A209,$B209)</f>
        <v>0</v>
      </c>
      <c r="O209" s="4">
        <f ca="1">_xll.DBRW($B$1,$B$2,$B$7,$B$3,$B$4,$B$5,$F209,$B$6,O$10,$A209,$B209)</f>
        <v>0</v>
      </c>
      <c r="P209" s="4">
        <f ca="1">_xll.DBRW($B$1,$B$2,$B$7,$B$3,$B$4,$B$5,$F209,$B$6,P$10,$A209,$B209)</f>
        <v>0</v>
      </c>
      <c r="Q209" s="4">
        <f ca="1">_xll.DBRW($B$1,$B$2,$B$7,$B$3,$B$4,$B$5,$F209,$B$6,Q$10,$A209,$B209)</f>
        <v>0</v>
      </c>
      <c r="R209" s="4">
        <f ca="1">_xll.DBRW($B$1,$B$2,$B$7,$B$3,$B$4,$B$5,$F209,$B$6,R$10,$A209,$B209)</f>
        <v>0</v>
      </c>
      <c r="S209" s="4">
        <f ca="1">_xll.DBRW($B$1,$B$2,$B$7,$B$3,$B$4,$B$5,$F209,$B$6,S$10,$A209,$B209)</f>
        <v>0</v>
      </c>
      <c r="T209" s="4">
        <f ca="1">_xll.DBRW($B$1,$B$2,$B$7,$B$3,$B$4,$B$5,$F209,$B$6,T$10,$A209,$B209)</f>
        <v>0</v>
      </c>
      <c r="U209" s="4">
        <f ca="1">_xll.DBRW($B$1,$B$2,$B$7,$B$3,$B$4,$B$5,$F209,$B$6,U$10,$A209,$B209)</f>
        <v>0</v>
      </c>
      <c r="V209" s="4">
        <f ca="1">_xll.DBRW($B$1,$B$2,$B$7,$B$3,$B$4,$B$5,$F209,$B$6,V$10,$A209,$B209)</f>
        <v>0</v>
      </c>
      <c r="W209" s="4">
        <f ca="1">_xll.DBRW($B$1,$B$2,$B$7,$B$3,$B$4,$B$5,$F209,$B$6,W$10,$A209,$B209)</f>
        <v>0</v>
      </c>
      <c r="X209" s="4">
        <f ca="1">_xll.DBRW($B$1,$B$2,$B$7,$B$3,$B$4,$B$5,$F209,$B$6,X$10,$A209,$B209)</f>
        <v>0</v>
      </c>
      <c r="Y209" s="4">
        <f ca="1">_xll.DBRW($B$1,$B$2,$B$7,$B$3,$B$4,$B$5,$F209,$B$6,Y$10,$A209,$B209)</f>
        <v>0</v>
      </c>
      <c r="Z209" s="4">
        <f ca="1">_xll.DBRW($B$1,$B$2,$B$7,$B$3,$B$4,$B$5,$F209,$B$6,Z$10,$A209,$B209)</f>
        <v>0</v>
      </c>
      <c r="AA209" s="4">
        <f ca="1">_xll.DBRW($B$1,$B$2,$B$7,$B$3,$B$4,$B$5,$F209,$B$6,AA$10,$A209,$B209)</f>
        <v>0</v>
      </c>
      <c r="AB209" s="4">
        <f ca="1">_xll.DBRW($B$1,$B$2,$B$7,$B$3,$B$4,$B$5,$F209,$B$6,AB$10,$A209,$B209)</f>
        <v>0</v>
      </c>
      <c r="AC209" s="4">
        <f ca="1">_xll.DBRW($B$1,$B$2,$B$7,$B$3,$B$4,$B$5,$F209,$B$6,AC$10,$A209,$B209)</f>
        <v>0</v>
      </c>
      <c r="AD209" s="4">
        <f ca="1">_xll.DBRW($B$1,$B$2,$B$7,$B$3,$B$4,$B$5,$F209,$B$6,AD$10,$A209,$B209)</f>
        <v>0</v>
      </c>
      <c r="AE209" s="4">
        <f ca="1">_xll.DBRW($B$1,$B$2,$B$7,$B$3,$B$4,$B$5,$F209,$B$6,AE$10,$A209,$B209)</f>
        <v>0</v>
      </c>
    </row>
    <row r="210" spans="1:31">
      <c r="A210" s="1" t="s">
        <v>150</v>
      </c>
      <c r="B210" s="5" t="s">
        <v>257</v>
      </c>
      <c r="C210" s="5" t="s">
        <v>208</v>
      </c>
      <c r="D210" s="5" t="s">
        <v>181</v>
      </c>
      <c r="E210" s="5" t="s">
        <v>21</v>
      </c>
      <c r="F210" s="5" t="s">
        <v>313</v>
      </c>
      <c r="G210" s="6"/>
      <c r="H210" s="6"/>
      <c r="I210" s="6"/>
      <c r="J210" s="6"/>
      <c r="K210" s="6"/>
      <c r="L210" s="4">
        <f ca="1">_xll.DBRW($B$1,$B$2,$B$7,$B$3,$B$4,$B$5,$F210,$B$6,L$10,$A210,$B210)</f>
        <v>0</v>
      </c>
      <c r="M210" s="4">
        <f ca="1">_xll.DBRW($B$1,$B$2,$B$7,$B$3,$B$4,$B$5,$F210,$B$6,M$10,$A210,$B210)</f>
        <v>0</v>
      </c>
      <c r="N210" s="4">
        <f ca="1">_xll.DBRW($B$1,$B$2,$B$7,$B$3,$B$4,$B$5,$F210,$B$6,N$10,$A210,$B210)</f>
        <v>0</v>
      </c>
      <c r="O210" s="4">
        <f ca="1">_xll.DBRW($B$1,$B$2,$B$7,$B$3,$B$4,$B$5,$F210,$B$6,O$10,$A210,$B210)</f>
        <v>0</v>
      </c>
      <c r="P210" s="4">
        <f ca="1">_xll.DBRW($B$1,$B$2,$B$7,$B$3,$B$4,$B$5,$F210,$B$6,P$10,$A210,$B210)</f>
        <v>0</v>
      </c>
      <c r="Q210" s="4">
        <f ca="1">_xll.DBRW($B$1,$B$2,$B$7,$B$3,$B$4,$B$5,$F210,$B$6,Q$10,$A210,$B210)</f>
        <v>0</v>
      </c>
      <c r="R210" s="4">
        <f ca="1">_xll.DBRW($B$1,$B$2,$B$7,$B$3,$B$4,$B$5,$F210,$B$6,R$10,$A210,$B210)</f>
        <v>0</v>
      </c>
      <c r="S210" s="4">
        <f ca="1">_xll.DBRW($B$1,$B$2,$B$7,$B$3,$B$4,$B$5,$F210,$B$6,S$10,$A210,$B210)</f>
        <v>0</v>
      </c>
      <c r="T210" s="4">
        <f ca="1">_xll.DBRW($B$1,$B$2,$B$7,$B$3,$B$4,$B$5,$F210,$B$6,T$10,$A210,$B210)</f>
        <v>0</v>
      </c>
      <c r="U210" s="4">
        <f ca="1">_xll.DBRW($B$1,$B$2,$B$7,$B$3,$B$4,$B$5,$F210,$B$6,U$10,$A210,$B210)</f>
        <v>0</v>
      </c>
      <c r="V210" s="4">
        <f ca="1">_xll.DBRW($B$1,$B$2,$B$7,$B$3,$B$4,$B$5,$F210,$B$6,V$10,$A210,$B210)</f>
        <v>0</v>
      </c>
      <c r="W210" s="4">
        <f ca="1">_xll.DBRW($B$1,$B$2,$B$7,$B$3,$B$4,$B$5,$F210,$B$6,W$10,$A210,$B210)</f>
        <v>0</v>
      </c>
      <c r="X210" s="4">
        <f ca="1">_xll.DBRW($B$1,$B$2,$B$7,$B$3,$B$4,$B$5,$F210,$B$6,X$10,$A210,$B210)</f>
        <v>0</v>
      </c>
      <c r="Y210" s="4">
        <f ca="1">_xll.DBRW($B$1,$B$2,$B$7,$B$3,$B$4,$B$5,$F210,$B$6,Y$10,$A210,$B210)</f>
        <v>0</v>
      </c>
      <c r="Z210" s="4">
        <f ca="1">_xll.DBRW($B$1,$B$2,$B$7,$B$3,$B$4,$B$5,$F210,$B$6,Z$10,$A210,$B210)</f>
        <v>0</v>
      </c>
      <c r="AA210" s="4">
        <f ca="1">_xll.DBRW($B$1,$B$2,$B$7,$B$3,$B$4,$B$5,$F210,$B$6,AA$10,$A210,$B210)</f>
        <v>0</v>
      </c>
      <c r="AB210" s="4">
        <f ca="1">_xll.DBRW($B$1,$B$2,$B$7,$B$3,$B$4,$B$5,$F210,$B$6,AB$10,$A210,$B210)</f>
        <v>0</v>
      </c>
      <c r="AC210" s="4">
        <f ca="1">_xll.DBRW($B$1,$B$2,$B$7,$B$3,$B$4,$B$5,$F210,$B$6,AC$10,$A210,$B210)</f>
        <v>0</v>
      </c>
      <c r="AD210" s="4">
        <f ca="1">_xll.DBRW($B$1,$B$2,$B$7,$B$3,$B$4,$B$5,$F210,$B$6,AD$10,$A210,$B210)</f>
        <v>0</v>
      </c>
      <c r="AE210" s="4">
        <f ca="1">_xll.DBRW($B$1,$B$2,$B$7,$B$3,$B$4,$B$5,$F210,$B$6,AE$10,$A210,$B210)</f>
        <v>0</v>
      </c>
    </row>
    <row r="211" spans="1:31">
      <c r="A211" s="1" t="s">
        <v>150</v>
      </c>
      <c r="B211" s="5" t="s">
        <v>258</v>
      </c>
      <c r="C211" s="5" t="s">
        <v>259</v>
      </c>
      <c r="D211" s="5" t="s">
        <v>21</v>
      </c>
      <c r="E211" s="5" t="s">
        <v>260</v>
      </c>
      <c r="F211" s="5" t="s">
        <v>313</v>
      </c>
      <c r="G211" s="6"/>
      <c r="H211" s="6"/>
      <c r="I211" s="6"/>
      <c r="J211" s="6"/>
      <c r="K211" s="6"/>
      <c r="L211" s="4">
        <f ca="1">_xll.DBRW($B$1,$B$2,$B$7,$B$3,$B$4,$B$5,$F211,$B$6,L$10,$A211,$B211)</f>
        <v>0</v>
      </c>
      <c r="M211" s="4">
        <f ca="1">_xll.DBRW($B$1,$B$2,$B$7,$B$3,$B$4,$B$5,$F211,$B$6,M$10,$A211,$B211)</f>
        <v>0</v>
      </c>
      <c r="N211" s="4">
        <f ca="1">_xll.DBRW($B$1,$B$2,$B$7,$B$3,$B$4,$B$5,$F211,$B$6,N$10,$A211,$B211)</f>
        <v>0</v>
      </c>
      <c r="O211" s="4">
        <f ca="1">_xll.DBRW($B$1,$B$2,$B$7,$B$3,$B$4,$B$5,$F211,$B$6,O$10,$A211,$B211)</f>
        <v>0</v>
      </c>
      <c r="P211" s="4">
        <f ca="1">_xll.DBRW($B$1,$B$2,$B$7,$B$3,$B$4,$B$5,$F211,$B$6,P$10,$A211,$B211)</f>
        <v>0</v>
      </c>
      <c r="Q211" s="4">
        <f ca="1">_xll.DBRW($B$1,$B$2,$B$7,$B$3,$B$4,$B$5,$F211,$B$6,Q$10,$A211,$B211)</f>
        <v>0</v>
      </c>
      <c r="R211" s="4">
        <f ca="1">_xll.DBRW($B$1,$B$2,$B$7,$B$3,$B$4,$B$5,$F211,$B$6,R$10,$A211,$B211)</f>
        <v>0</v>
      </c>
      <c r="S211" s="4">
        <f ca="1">_xll.DBRW($B$1,$B$2,$B$7,$B$3,$B$4,$B$5,$F211,$B$6,S$10,$A211,$B211)</f>
        <v>0</v>
      </c>
      <c r="T211" s="4">
        <f ca="1">_xll.DBRW($B$1,$B$2,$B$7,$B$3,$B$4,$B$5,$F211,$B$6,T$10,$A211,$B211)</f>
        <v>0</v>
      </c>
      <c r="U211" s="4">
        <f ca="1">_xll.DBRW($B$1,$B$2,$B$7,$B$3,$B$4,$B$5,$F211,$B$6,U$10,$A211,$B211)</f>
        <v>0</v>
      </c>
      <c r="V211" s="4">
        <f ca="1">_xll.DBRW($B$1,$B$2,$B$7,$B$3,$B$4,$B$5,$F211,$B$6,V$10,$A211,$B211)</f>
        <v>0</v>
      </c>
      <c r="W211" s="4">
        <f ca="1">_xll.DBRW($B$1,$B$2,$B$7,$B$3,$B$4,$B$5,$F211,$B$6,W$10,$A211,$B211)</f>
        <v>0</v>
      </c>
      <c r="X211" s="4">
        <f ca="1">_xll.DBRW($B$1,$B$2,$B$7,$B$3,$B$4,$B$5,$F211,$B$6,X$10,$A211,$B211)</f>
        <v>0</v>
      </c>
      <c r="Y211" s="4">
        <f ca="1">_xll.DBRW($B$1,$B$2,$B$7,$B$3,$B$4,$B$5,$F211,$B$6,Y$10,$A211,$B211)</f>
        <v>0</v>
      </c>
      <c r="Z211" s="4">
        <f ca="1">_xll.DBRW($B$1,$B$2,$B$7,$B$3,$B$4,$B$5,$F211,$B$6,Z$10,$A211,$B211)</f>
        <v>0</v>
      </c>
      <c r="AA211" s="4">
        <f ca="1">_xll.DBRW($B$1,$B$2,$B$7,$B$3,$B$4,$B$5,$F211,$B$6,AA$10,$A211,$B211)</f>
        <v>0</v>
      </c>
      <c r="AB211" s="4">
        <f ca="1">_xll.DBRW($B$1,$B$2,$B$7,$B$3,$B$4,$B$5,$F211,$B$6,AB$10,$A211,$B211)</f>
        <v>0</v>
      </c>
      <c r="AC211" s="4">
        <f ca="1">_xll.DBRW($B$1,$B$2,$B$7,$B$3,$B$4,$B$5,$F211,$B$6,AC$10,$A211,$B211)</f>
        <v>0</v>
      </c>
      <c r="AD211" s="4">
        <f ca="1">_xll.DBRW($B$1,$B$2,$B$7,$B$3,$B$4,$B$5,$F211,$B$6,AD$10,$A211,$B211)</f>
        <v>0</v>
      </c>
      <c r="AE211" s="4">
        <f ca="1">_xll.DBRW($B$1,$B$2,$B$7,$B$3,$B$4,$B$5,$F211,$B$6,AE$10,$A211,$B211)</f>
        <v>0</v>
      </c>
    </row>
    <row r="212" spans="1:31">
      <c r="A212" s="1" t="s">
        <v>150</v>
      </c>
      <c r="B212" s="5" t="s">
        <v>261</v>
      </c>
      <c r="C212" s="5" t="s">
        <v>262</v>
      </c>
      <c r="D212" s="5" t="s">
        <v>260</v>
      </c>
      <c r="E212" s="5" t="s">
        <v>21</v>
      </c>
      <c r="F212" s="5" t="s">
        <v>313</v>
      </c>
      <c r="G212" s="6"/>
      <c r="H212" s="6"/>
      <c r="I212" s="6"/>
      <c r="J212" s="6"/>
      <c r="K212" s="6"/>
      <c r="L212" s="4">
        <f ca="1">_xll.DBRW($B$1,$B$2,$B$7,$B$3,$B$4,$B$5,$F212,$B$6,L$10,$A212,$B212)</f>
        <v>0</v>
      </c>
      <c r="M212" s="4">
        <f ca="1">_xll.DBRW($B$1,$B$2,$B$7,$B$3,$B$4,$B$5,$F212,$B$6,M$10,$A212,$B212)</f>
        <v>0</v>
      </c>
      <c r="N212" s="4">
        <f ca="1">_xll.DBRW($B$1,$B$2,$B$7,$B$3,$B$4,$B$5,$F212,$B$6,N$10,$A212,$B212)</f>
        <v>0</v>
      </c>
      <c r="O212" s="4">
        <f ca="1">_xll.DBRW($B$1,$B$2,$B$7,$B$3,$B$4,$B$5,$F212,$B$6,O$10,$A212,$B212)</f>
        <v>0</v>
      </c>
      <c r="P212" s="4">
        <f ca="1">_xll.DBRW($B$1,$B$2,$B$7,$B$3,$B$4,$B$5,$F212,$B$6,P$10,$A212,$B212)</f>
        <v>0</v>
      </c>
      <c r="Q212" s="4">
        <f ca="1">_xll.DBRW($B$1,$B$2,$B$7,$B$3,$B$4,$B$5,$F212,$B$6,Q$10,$A212,$B212)</f>
        <v>0</v>
      </c>
      <c r="R212" s="4">
        <f ca="1">_xll.DBRW($B$1,$B$2,$B$7,$B$3,$B$4,$B$5,$F212,$B$6,R$10,$A212,$B212)</f>
        <v>0</v>
      </c>
      <c r="S212" s="4">
        <f ca="1">_xll.DBRW($B$1,$B$2,$B$7,$B$3,$B$4,$B$5,$F212,$B$6,S$10,$A212,$B212)</f>
        <v>0</v>
      </c>
      <c r="T212" s="4">
        <f ca="1">_xll.DBRW($B$1,$B$2,$B$7,$B$3,$B$4,$B$5,$F212,$B$6,T$10,$A212,$B212)</f>
        <v>0</v>
      </c>
      <c r="U212" s="4">
        <f ca="1">_xll.DBRW($B$1,$B$2,$B$7,$B$3,$B$4,$B$5,$F212,$B$6,U$10,$A212,$B212)</f>
        <v>0</v>
      </c>
      <c r="V212" s="4">
        <f ca="1">_xll.DBRW($B$1,$B$2,$B$7,$B$3,$B$4,$B$5,$F212,$B$6,V$10,$A212,$B212)</f>
        <v>0</v>
      </c>
      <c r="W212" s="4">
        <f ca="1">_xll.DBRW($B$1,$B$2,$B$7,$B$3,$B$4,$B$5,$F212,$B$6,W$10,$A212,$B212)</f>
        <v>0</v>
      </c>
      <c r="X212" s="4">
        <f ca="1">_xll.DBRW($B$1,$B$2,$B$7,$B$3,$B$4,$B$5,$F212,$B$6,X$10,$A212,$B212)</f>
        <v>0</v>
      </c>
      <c r="Y212" s="4">
        <f ca="1">_xll.DBRW($B$1,$B$2,$B$7,$B$3,$B$4,$B$5,$F212,$B$6,Y$10,$A212,$B212)</f>
        <v>0</v>
      </c>
      <c r="Z212" s="4">
        <f ca="1">_xll.DBRW($B$1,$B$2,$B$7,$B$3,$B$4,$B$5,$F212,$B$6,Z$10,$A212,$B212)</f>
        <v>0</v>
      </c>
      <c r="AA212" s="4">
        <f ca="1">_xll.DBRW($B$1,$B$2,$B$7,$B$3,$B$4,$B$5,$F212,$B$6,AA$10,$A212,$B212)</f>
        <v>0</v>
      </c>
      <c r="AB212" s="4">
        <f ca="1">_xll.DBRW($B$1,$B$2,$B$7,$B$3,$B$4,$B$5,$F212,$B$6,AB$10,$A212,$B212)</f>
        <v>0</v>
      </c>
      <c r="AC212" s="4">
        <f ca="1">_xll.DBRW($B$1,$B$2,$B$7,$B$3,$B$4,$B$5,$F212,$B$6,AC$10,$A212,$B212)</f>
        <v>0</v>
      </c>
      <c r="AD212" s="4">
        <f ca="1">_xll.DBRW($B$1,$B$2,$B$7,$B$3,$B$4,$B$5,$F212,$B$6,AD$10,$A212,$B212)</f>
        <v>0</v>
      </c>
      <c r="AE212" s="4">
        <f ca="1">_xll.DBRW($B$1,$B$2,$B$7,$B$3,$B$4,$B$5,$F212,$B$6,AE$10,$A212,$B212)</f>
        <v>0</v>
      </c>
    </row>
    <row r="213" spans="1:31">
      <c r="A213" s="1" t="s">
        <v>150</v>
      </c>
      <c r="B213" s="5" t="s">
        <v>263</v>
      </c>
      <c r="C213" s="5" t="s">
        <v>264</v>
      </c>
      <c r="D213" s="5" t="s">
        <v>21</v>
      </c>
      <c r="E213" s="5" t="s">
        <v>265</v>
      </c>
      <c r="F213" s="5" t="s">
        <v>313</v>
      </c>
      <c r="G213" s="6"/>
      <c r="H213" s="6"/>
      <c r="I213" s="6"/>
      <c r="J213" s="6"/>
      <c r="K213" s="6"/>
      <c r="L213" s="4">
        <f ca="1">_xll.DBRW($B$1,$B$2,$B$7,$B$3,$B$4,$B$5,$F213,$B$6,L$10,$A213,$B213)</f>
        <v>0</v>
      </c>
      <c r="M213" s="4">
        <f ca="1">_xll.DBRW($B$1,$B$2,$B$7,$B$3,$B$4,$B$5,$F213,$B$6,M$10,$A213,$B213)</f>
        <v>0</v>
      </c>
      <c r="N213" s="4">
        <f ca="1">_xll.DBRW($B$1,$B$2,$B$7,$B$3,$B$4,$B$5,$F213,$B$6,N$10,$A213,$B213)</f>
        <v>0</v>
      </c>
      <c r="O213" s="4">
        <f ca="1">_xll.DBRW($B$1,$B$2,$B$7,$B$3,$B$4,$B$5,$F213,$B$6,O$10,$A213,$B213)</f>
        <v>0</v>
      </c>
      <c r="P213" s="4">
        <f ca="1">_xll.DBRW($B$1,$B$2,$B$7,$B$3,$B$4,$B$5,$F213,$B$6,P$10,$A213,$B213)</f>
        <v>0</v>
      </c>
      <c r="Q213" s="4">
        <f ca="1">_xll.DBRW($B$1,$B$2,$B$7,$B$3,$B$4,$B$5,$F213,$B$6,Q$10,$A213,$B213)</f>
        <v>0</v>
      </c>
      <c r="R213" s="4">
        <f ca="1">_xll.DBRW($B$1,$B$2,$B$7,$B$3,$B$4,$B$5,$F213,$B$6,R$10,$A213,$B213)</f>
        <v>0</v>
      </c>
      <c r="S213" s="4">
        <f ca="1">_xll.DBRW($B$1,$B$2,$B$7,$B$3,$B$4,$B$5,$F213,$B$6,S$10,$A213,$B213)</f>
        <v>0</v>
      </c>
      <c r="T213" s="4">
        <f ca="1">_xll.DBRW($B$1,$B$2,$B$7,$B$3,$B$4,$B$5,$F213,$B$6,T$10,$A213,$B213)</f>
        <v>0</v>
      </c>
      <c r="U213" s="4">
        <f ca="1">_xll.DBRW($B$1,$B$2,$B$7,$B$3,$B$4,$B$5,$F213,$B$6,U$10,$A213,$B213)</f>
        <v>0</v>
      </c>
      <c r="V213" s="4">
        <f ca="1">_xll.DBRW($B$1,$B$2,$B$7,$B$3,$B$4,$B$5,$F213,$B$6,V$10,$A213,$B213)</f>
        <v>0</v>
      </c>
      <c r="W213" s="4">
        <f ca="1">_xll.DBRW($B$1,$B$2,$B$7,$B$3,$B$4,$B$5,$F213,$B$6,W$10,$A213,$B213)</f>
        <v>0</v>
      </c>
      <c r="X213" s="4">
        <f ca="1">_xll.DBRW($B$1,$B$2,$B$7,$B$3,$B$4,$B$5,$F213,$B$6,X$10,$A213,$B213)</f>
        <v>0</v>
      </c>
      <c r="Y213" s="4">
        <f ca="1">_xll.DBRW($B$1,$B$2,$B$7,$B$3,$B$4,$B$5,$F213,$B$6,Y$10,$A213,$B213)</f>
        <v>0</v>
      </c>
      <c r="Z213" s="4">
        <f ca="1">_xll.DBRW($B$1,$B$2,$B$7,$B$3,$B$4,$B$5,$F213,$B$6,Z$10,$A213,$B213)</f>
        <v>0</v>
      </c>
      <c r="AA213" s="4">
        <f ca="1">_xll.DBRW($B$1,$B$2,$B$7,$B$3,$B$4,$B$5,$F213,$B$6,AA$10,$A213,$B213)</f>
        <v>0</v>
      </c>
      <c r="AB213" s="4">
        <f ca="1">_xll.DBRW($B$1,$B$2,$B$7,$B$3,$B$4,$B$5,$F213,$B$6,AB$10,$A213,$B213)</f>
        <v>0</v>
      </c>
      <c r="AC213" s="4">
        <f ca="1">_xll.DBRW($B$1,$B$2,$B$7,$B$3,$B$4,$B$5,$F213,$B$6,AC$10,$A213,$B213)</f>
        <v>0</v>
      </c>
      <c r="AD213" s="4">
        <f ca="1">_xll.DBRW($B$1,$B$2,$B$7,$B$3,$B$4,$B$5,$F213,$B$6,AD$10,$A213,$B213)</f>
        <v>0</v>
      </c>
      <c r="AE213" s="4">
        <f ca="1">_xll.DBRW($B$1,$B$2,$B$7,$B$3,$B$4,$B$5,$F213,$B$6,AE$10,$A213,$B213)</f>
        <v>0</v>
      </c>
    </row>
    <row r="214" spans="1:31">
      <c r="A214" s="1" t="s">
        <v>150</v>
      </c>
      <c r="B214" s="5" t="s">
        <v>266</v>
      </c>
      <c r="C214" s="5" t="s">
        <v>267</v>
      </c>
      <c r="D214" s="5" t="s">
        <v>265</v>
      </c>
      <c r="E214" s="5" t="s">
        <v>21</v>
      </c>
      <c r="F214" s="5" t="s">
        <v>313</v>
      </c>
      <c r="G214" s="6"/>
      <c r="H214" s="6"/>
      <c r="I214" s="6"/>
      <c r="J214" s="6"/>
      <c r="K214" s="6"/>
      <c r="L214" s="4">
        <f ca="1">_xll.DBRW($B$1,$B$2,$B$7,$B$3,$B$4,$B$5,$F214,$B$6,L$10,$A214,$B214)</f>
        <v>0</v>
      </c>
      <c r="M214" s="4">
        <f ca="1">_xll.DBRW($B$1,$B$2,$B$7,$B$3,$B$4,$B$5,$F214,$B$6,M$10,$A214,$B214)</f>
        <v>0</v>
      </c>
      <c r="N214" s="4">
        <f ca="1">_xll.DBRW($B$1,$B$2,$B$7,$B$3,$B$4,$B$5,$F214,$B$6,N$10,$A214,$B214)</f>
        <v>0</v>
      </c>
      <c r="O214" s="4">
        <f ca="1">_xll.DBRW($B$1,$B$2,$B$7,$B$3,$B$4,$B$5,$F214,$B$6,O$10,$A214,$B214)</f>
        <v>0</v>
      </c>
      <c r="P214" s="4">
        <f ca="1">_xll.DBRW($B$1,$B$2,$B$7,$B$3,$B$4,$B$5,$F214,$B$6,P$10,$A214,$B214)</f>
        <v>0</v>
      </c>
      <c r="Q214" s="4">
        <f ca="1">_xll.DBRW($B$1,$B$2,$B$7,$B$3,$B$4,$B$5,$F214,$B$6,Q$10,$A214,$B214)</f>
        <v>0</v>
      </c>
      <c r="R214" s="4">
        <f ca="1">_xll.DBRW($B$1,$B$2,$B$7,$B$3,$B$4,$B$5,$F214,$B$6,R$10,$A214,$B214)</f>
        <v>0</v>
      </c>
      <c r="S214" s="4">
        <f ca="1">_xll.DBRW($B$1,$B$2,$B$7,$B$3,$B$4,$B$5,$F214,$B$6,S$10,$A214,$B214)</f>
        <v>0</v>
      </c>
      <c r="T214" s="4">
        <f ca="1">_xll.DBRW($B$1,$B$2,$B$7,$B$3,$B$4,$B$5,$F214,$B$6,T$10,$A214,$B214)</f>
        <v>0</v>
      </c>
      <c r="U214" s="4">
        <f ca="1">_xll.DBRW($B$1,$B$2,$B$7,$B$3,$B$4,$B$5,$F214,$B$6,U$10,$A214,$B214)</f>
        <v>0</v>
      </c>
      <c r="V214" s="4">
        <f ca="1">_xll.DBRW($B$1,$B$2,$B$7,$B$3,$B$4,$B$5,$F214,$B$6,V$10,$A214,$B214)</f>
        <v>0</v>
      </c>
      <c r="W214" s="4">
        <f ca="1">_xll.DBRW($B$1,$B$2,$B$7,$B$3,$B$4,$B$5,$F214,$B$6,W$10,$A214,$B214)</f>
        <v>0</v>
      </c>
      <c r="X214" s="4">
        <f ca="1">_xll.DBRW($B$1,$B$2,$B$7,$B$3,$B$4,$B$5,$F214,$B$6,X$10,$A214,$B214)</f>
        <v>0</v>
      </c>
      <c r="Y214" s="4">
        <f ca="1">_xll.DBRW($B$1,$B$2,$B$7,$B$3,$B$4,$B$5,$F214,$B$6,Y$10,$A214,$B214)</f>
        <v>0</v>
      </c>
      <c r="Z214" s="4">
        <f ca="1">_xll.DBRW($B$1,$B$2,$B$7,$B$3,$B$4,$B$5,$F214,$B$6,Z$10,$A214,$B214)</f>
        <v>0</v>
      </c>
      <c r="AA214" s="4">
        <f ca="1">_xll.DBRW($B$1,$B$2,$B$7,$B$3,$B$4,$B$5,$F214,$B$6,AA$10,$A214,$B214)</f>
        <v>0</v>
      </c>
      <c r="AB214" s="4">
        <f ca="1">_xll.DBRW($B$1,$B$2,$B$7,$B$3,$B$4,$B$5,$F214,$B$6,AB$10,$A214,$B214)</f>
        <v>0</v>
      </c>
      <c r="AC214" s="4">
        <f ca="1">_xll.DBRW($B$1,$B$2,$B$7,$B$3,$B$4,$B$5,$F214,$B$6,AC$10,$A214,$B214)</f>
        <v>0</v>
      </c>
      <c r="AD214" s="4">
        <f ca="1">_xll.DBRW($B$1,$B$2,$B$7,$B$3,$B$4,$B$5,$F214,$B$6,AD$10,$A214,$B214)</f>
        <v>0</v>
      </c>
      <c r="AE214" s="4">
        <f ca="1">_xll.DBRW($B$1,$B$2,$B$7,$B$3,$B$4,$B$5,$F214,$B$6,AE$10,$A214,$B214)</f>
        <v>0</v>
      </c>
    </row>
    <row r="215" spans="1:31">
      <c r="A215" s="1" t="s">
        <v>150</v>
      </c>
      <c r="B215" s="5" t="s">
        <v>268</v>
      </c>
      <c r="C215" s="5" t="s">
        <v>264</v>
      </c>
      <c r="D215" s="5" t="s">
        <v>21</v>
      </c>
      <c r="E215" s="5" t="s">
        <v>265</v>
      </c>
      <c r="F215" s="5" t="s">
        <v>313</v>
      </c>
      <c r="G215" s="6"/>
      <c r="H215" s="6"/>
      <c r="I215" s="6"/>
      <c r="J215" s="6"/>
      <c r="K215" s="6"/>
      <c r="L215" s="4">
        <f ca="1">_xll.DBRW($B$1,$B$2,$B$7,$B$3,$B$4,$B$5,$F215,$B$6,L$10,$A215,$B215)</f>
        <v>0</v>
      </c>
      <c r="M215" s="4">
        <f ca="1">_xll.DBRW($B$1,$B$2,$B$7,$B$3,$B$4,$B$5,$F215,$B$6,M$10,$A215,$B215)</f>
        <v>0</v>
      </c>
      <c r="N215" s="4">
        <f ca="1">_xll.DBRW($B$1,$B$2,$B$7,$B$3,$B$4,$B$5,$F215,$B$6,N$10,$A215,$B215)</f>
        <v>0</v>
      </c>
      <c r="O215" s="4">
        <f ca="1">_xll.DBRW($B$1,$B$2,$B$7,$B$3,$B$4,$B$5,$F215,$B$6,O$10,$A215,$B215)</f>
        <v>0</v>
      </c>
      <c r="P215" s="4">
        <f ca="1">_xll.DBRW($B$1,$B$2,$B$7,$B$3,$B$4,$B$5,$F215,$B$6,P$10,$A215,$B215)</f>
        <v>0</v>
      </c>
      <c r="Q215" s="4">
        <f ca="1">_xll.DBRW($B$1,$B$2,$B$7,$B$3,$B$4,$B$5,$F215,$B$6,Q$10,$A215,$B215)</f>
        <v>0</v>
      </c>
      <c r="R215" s="4">
        <f ca="1">_xll.DBRW($B$1,$B$2,$B$7,$B$3,$B$4,$B$5,$F215,$B$6,R$10,$A215,$B215)</f>
        <v>0</v>
      </c>
      <c r="S215" s="4">
        <f ca="1">_xll.DBRW($B$1,$B$2,$B$7,$B$3,$B$4,$B$5,$F215,$B$6,S$10,$A215,$B215)</f>
        <v>0</v>
      </c>
      <c r="T215" s="4">
        <f ca="1">_xll.DBRW($B$1,$B$2,$B$7,$B$3,$B$4,$B$5,$F215,$B$6,T$10,$A215,$B215)</f>
        <v>0</v>
      </c>
      <c r="U215" s="4">
        <f ca="1">_xll.DBRW($B$1,$B$2,$B$7,$B$3,$B$4,$B$5,$F215,$B$6,U$10,$A215,$B215)</f>
        <v>0</v>
      </c>
      <c r="V215" s="4">
        <f ca="1">_xll.DBRW($B$1,$B$2,$B$7,$B$3,$B$4,$B$5,$F215,$B$6,V$10,$A215,$B215)</f>
        <v>0</v>
      </c>
      <c r="W215" s="4">
        <f ca="1">_xll.DBRW($B$1,$B$2,$B$7,$B$3,$B$4,$B$5,$F215,$B$6,W$10,$A215,$B215)</f>
        <v>0</v>
      </c>
      <c r="X215" s="4">
        <f ca="1">_xll.DBRW($B$1,$B$2,$B$7,$B$3,$B$4,$B$5,$F215,$B$6,X$10,$A215,$B215)</f>
        <v>0</v>
      </c>
      <c r="Y215" s="4">
        <f ca="1">_xll.DBRW($B$1,$B$2,$B$7,$B$3,$B$4,$B$5,$F215,$B$6,Y$10,$A215,$B215)</f>
        <v>0</v>
      </c>
      <c r="Z215" s="4">
        <f ca="1">_xll.DBRW($B$1,$B$2,$B$7,$B$3,$B$4,$B$5,$F215,$B$6,Z$10,$A215,$B215)</f>
        <v>0</v>
      </c>
      <c r="AA215" s="4">
        <f ca="1">_xll.DBRW($B$1,$B$2,$B$7,$B$3,$B$4,$B$5,$F215,$B$6,AA$10,$A215,$B215)</f>
        <v>0</v>
      </c>
      <c r="AB215" s="4">
        <f ca="1">_xll.DBRW($B$1,$B$2,$B$7,$B$3,$B$4,$B$5,$F215,$B$6,AB$10,$A215,$B215)</f>
        <v>0</v>
      </c>
      <c r="AC215" s="4">
        <f ca="1">_xll.DBRW($B$1,$B$2,$B$7,$B$3,$B$4,$B$5,$F215,$B$6,AC$10,$A215,$B215)</f>
        <v>0</v>
      </c>
      <c r="AD215" s="4">
        <f ca="1">_xll.DBRW($B$1,$B$2,$B$7,$B$3,$B$4,$B$5,$F215,$B$6,AD$10,$A215,$B215)</f>
        <v>0</v>
      </c>
      <c r="AE215" s="4">
        <f ca="1">_xll.DBRW($B$1,$B$2,$B$7,$B$3,$B$4,$B$5,$F215,$B$6,AE$10,$A215,$B215)</f>
        <v>0</v>
      </c>
    </row>
    <row r="216" spans="1:31">
      <c r="A216" s="1" t="s">
        <v>150</v>
      </c>
      <c r="B216" s="5" t="s">
        <v>269</v>
      </c>
      <c r="C216" s="5" t="s">
        <v>267</v>
      </c>
      <c r="D216" s="5" t="s">
        <v>265</v>
      </c>
      <c r="E216" s="5" t="s">
        <v>21</v>
      </c>
      <c r="F216" s="5" t="s">
        <v>313</v>
      </c>
      <c r="G216" s="6"/>
      <c r="H216" s="6"/>
      <c r="I216" s="6"/>
      <c r="J216" s="6"/>
      <c r="K216" s="6"/>
      <c r="L216" s="4">
        <f ca="1">_xll.DBRW($B$1,$B$2,$B$7,$B$3,$B$4,$B$5,$F216,$B$6,L$10,$A216,$B216)</f>
        <v>0</v>
      </c>
      <c r="M216" s="4">
        <f ca="1">_xll.DBRW($B$1,$B$2,$B$7,$B$3,$B$4,$B$5,$F216,$B$6,M$10,$A216,$B216)</f>
        <v>0</v>
      </c>
      <c r="N216" s="4">
        <f ca="1">_xll.DBRW($B$1,$B$2,$B$7,$B$3,$B$4,$B$5,$F216,$B$6,N$10,$A216,$B216)</f>
        <v>0</v>
      </c>
      <c r="O216" s="4">
        <f ca="1">_xll.DBRW($B$1,$B$2,$B$7,$B$3,$B$4,$B$5,$F216,$B$6,O$10,$A216,$B216)</f>
        <v>0</v>
      </c>
      <c r="P216" s="4">
        <f ca="1">_xll.DBRW($B$1,$B$2,$B$7,$B$3,$B$4,$B$5,$F216,$B$6,P$10,$A216,$B216)</f>
        <v>0</v>
      </c>
      <c r="Q216" s="4">
        <f ca="1">_xll.DBRW($B$1,$B$2,$B$7,$B$3,$B$4,$B$5,$F216,$B$6,Q$10,$A216,$B216)</f>
        <v>0</v>
      </c>
      <c r="R216" s="4">
        <f ca="1">_xll.DBRW($B$1,$B$2,$B$7,$B$3,$B$4,$B$5,$F216,$B$6,R$10,$A216,$B216)</f>
        <v>0</v>
      </c>
      <c r="S216" s="4">
        <f ca="1">_xll.DBRW($B$1,$B$2,$B$7,$B$3,$B$4,$B$5,$F216,$B$6,S$10,$A216,$B216)</f>
        <v>0</v>
      </c>
      <c r="T216" s="4">
        <f ca="1">_xll.DBRW($B$1,$B$2,$B$7,$B$3,$B$4,$B$5,$F216,$B$6,T$10,$A216,$B216)</f>
        <v>0</v>
      </c>
      <c r="U216" s="4">
        <f ca="1">_xll.DBRW($B$1,$B$2,$B$7,$B$3,$B$4,$B$5,$F216,$B$6,U$10,$A216,$B216)</f>
        <v>0</v>
      </c>
      <c r="V216" s="4">
        <f ca="1">_xll.DBRW($B$1,$B$2,$B$7,$B$3,$B$4,$B$5,$F216,$B$6,V$10,$A216,$B216)</f>
        <v>0</v>
      </c>
      <c r="W216" s="4">
        <f ca="1">_xll.DBRW($B$1,$B$2,$B$7,$B$3,$B$4,$B$5,$F216,$B$6,W$10,$A216,$B216)</f>
        <v>0</v>
      </c>
      <c r="X216" s="4">
        <f ca="1">_xll.DBRW($B$1,$B$2,$B$7,$B$3,$B$4,$B$5,$F216,$B$6,X$10,$A216,$B216)</f>
        <v>0</v>
      </c>
      <c r="Y216" s="4">
        <f ca="1">_xll.DBRW($B$1,$B$2,$B$7,$B$3,$B$4,$B$5,$F216,$B$6,Y$10,$A216,$B216)</f>
        <v>0</v>
      </c>
      <c r="Z216" s="4">
        <f ca="1">_xll.DBRW($B$1,$B$2,$B$7,$B$3,$B$4,$B$5,$F216,$B$6,Z$10,$A216,$B216)</f>
        <v>0</v>
      </c>
      <c r="AA216" s="4">
        <f ca="1">_xll.DBRW($B$1,$B$2,$B$7,$B$3,$B$4,$B$5,$F216,$B$6,AA$10,$A216,$B216)</f>
        <v>0</v>
      </c>
      <c r="AB216" s="4">
        <f ca="1">_xll.DBRW($B$1,$B$2,$B$7,$B$3,$B$4,$B$5,$F216,$B$6,AB$10,$A216,$B216)</f>
        <v>0</v>
      </c>
      <c r="AC216" s="4">
        <f ca="1">_xll.DBRW($B$1,$B$2,$B$7,$B$3,$B$4,$B$5,$F216,$B$6,AC$10,$A216,$B216)</f>
        <v>0</v>
      </c>
      <c r="AD216" s="4">
        <f ca="1">_xll.DBRW($B$1,$B$2,$B$7,$B$3,$B$4,$B$5,$F216,$B$6,AD$10,$A216,$B216)</f>
        <v>0</v>
      </c>
      <c r="AE216" s="4">
        <f ca="1">_xll.DBRW($B$1,$B$2,$B$7,$B$3,$B$4,$B$5,$F216,$B$6,AE$10,$A216,$B216)</f>
        <v>0</v>
      </c>
    </row>
    <row r="217" spans="1:31">
      <c r="A217" s="1" t="s">
        <v>150</v>
      </c>
      <c r="B217" s="5" t="s">
        <v>270</v>
      </c>
      <c r="C217" s="5" t="s">
        <v>271</v>
      </c>
      <c r="D217" s="5" t="s">
        <v>21</v>
      </c>
      <c r="E217" s="5" t="s">
        <v>272</v>
      </c>
      <c r="F217" s="5" t="s">
        <v>313</v>
      </c>
      <c r="G217" s="6"/>
      <c r="H217" s="6"/>
      <c r="I217" s="6"/>
      <c r="J217" s="6"/>
      <c r="K217" s="6"/>
      <c r="L217" s="4">
        <f ca="1">_xll.DBRW($B$1,$B$2,$B$7,$B$3,$B$4,$B$5,$F217,$B$6,L$10,$A217,$B217)</f>
        <v>0</v>
      </c>
      <c r="M217" s="4">
        <f ca="1">_xll.DBRW($B$1,$B$2,$B$7,$B$3,$B$4,$B$5,$F217,$B$6,M$10,$A217,$B217)</f>
        <v>0</v>
      </c>
      <c r="N217" s="4">
        <f ca="1">_xll.DBRW($B$1,$B$2,$B$7,$B$3,$B$4,$B$5,$F217,$B$6,N$10,$A217,$B217)</f>
        <v>0</v>
      </c>
      <c r="O217" s="4">
        <f ca="1">_xll.DBRW($B$1,$B$2,$B$7,$B$3,$B$4,$B$5,$F217,$B$6,O$10,$A217,$B217)</f>
        <v>0</v>
      </c>
      <c r="P217" s="4">
        <f ca="1">_xll.DBRW($B$1,$B$2,$B$7,$B$3,$B$4,$B$5,$F217,$B$6,P$10,$A217,$B217)</f>
        <v>0</v>
      </c>
      <c r="Q217" s="4">
        <f ca="1">_xll.DBRW($B$1,$B$2,$B$7,$B$3,$B$4,$B$5,$F217,$B$6,Q$10,$A217,$B217)</f>
        <v>0</v>
      </c>
      <c r="R217" s="4">
        <f ca="1">_xll.DBRW($B$1,$B$2,$B$7,$B$3,$B$4,$B$5,$F217,$B$6,R$10,$A217,$B217)</f>
        <v>0</v>
      </c>
      <c r="S217" s="4">
        <f ca="1">_xll.DBRW($B$1,$B$2,$B$7,$B$3,$B$4,$B$5,$F217,$B$6,S$10,$A217,$B217)</f>
        <v>0</v>
      </c>
      <c r="T217" s="4">
        <f ca="1">_xll.DBRW($B$1,$B$2,$B$7,$B$3,$B$4,$B$5,$F217,$B$6,T$10,$A217,$B217)</f>
        <v>0</v>
      </c>
      <c r="U217" s="4">
        <f ca="1">_xll.DBRW($B$1,$B$2,$B$7,$B$3,$B$4,$B$5,$F217,$B$6,U$10,$A217,$B217)</f>
        <v>0</v>
      </c>
      <c r="V217" s="4">
        <f ca="1">_xll.DBRW($B$1,$B$2,$B$7,$B$3,$B$4,$B$5,$F217,$B$6,V$10,$A217,$B217)</f>
        <v>0</v>
      </c>
      <c r="W217" s="4">
        <f ca="1">_xll.DBRW($B$1,$B$2,$B$7,$B$3,$B$4,$B$5,$F217,$B$6,W$10,$A217,$B217)</f>
        <v>0</v>
      </c>
      <c r="X217" s="4">
        <f ca="1">_xll.DBRW($B$1,$B$2,$B$7,$B$3,$B$4,$B$5,$F217,$B$6,X$10,$A217,$B217)</f>
        <v>0</v>
      </c>
      <c r="Y217" s="4">
        <f ca="1">_xll.DBRW($B$1,$B$2,$B$7,$B$3,$B$4,$B$5,$F217,$B$6,Y$10,$A217,$B217)</f>
        <v>0</v>
      </c>
      <c r="Z217" s="4">
        <f ca="1">_xll.DBRW($B$1,$B$2,$B$7,$B$3,$B$4,$B$5,$F217,$B$6,Z$10,$A217,$B217)</f>
        <v>0</v>
      </c>
      <c r="AA217" s="4">
        <f ca="1">_xll.DBRW($B$1,$B$2,$B$7,$B$3,$B$4,$B$5,$F217,$B$6,AA$10,$A217,$B217)</f>
        <v>0</v>
      </c>
      <c r="AB217" s="4">
        <f ca="1">_xll.DBRW($B$1,$B$2,$B$7,$B$3,$B$4,$B$5,$F217,$B$6,AB$10,$A217,$B217)</f>
        <v>0</v>
      </c>
      <c r="AC217" s="4">
        <f ca="1">_xll.DBRW($B$1,$B$2,$B$7,$B$3,$B$4,$B$5,$F217,$B$6,AC$10,$A217,$B217)</f>
        <v>0</v>
      </c>
      <c r="AD217" s="4">
        <f ca="1">_xll.DBRW($B$1,$B$2,$B$7,$B$3,$B$4,$B$5,$F217,$B$6,AD$10,$A217,$B217)</f>
        <v>0</v>
      </c>
      <c r="AE217" s="4">
        <f ca="1">_xll.DBRW($B$1,$B$2,$B$7,$B$3,$B$4,$B$5,$F217,$B$6,AE$10,$A217,$B217)</f>
        <v>0</v>
      </c>
    </row>
    <row r="218" spans="1:31">
      <c r="A218" s="1" t="s">
        <v>150</v>
      </c>
      <c r="B218" s="5" t="s">
        <v>273</v>
      </c>
      <c r="C218" s="5" t="s">
        <v>274</v>
      </c>
      <c r="D218" s="5" t="s">
        <v>272</v>
      </c>
      <c r="E218" s="5" t="s">
        <v>21</v>
      </c>
      <c r="F218" s="5" t="s">
        <v>313</v>
      </c>
      <c r="G218" s="6"/>
      <c r="H218" s="6"/>
      <c r="I218" s="6"/>
      <c r="J218" s="6"/>
      <c r="K218" s="6"/>
      <c r="L218" s="4">
        <f ca="1">_xll.DBRW($B$1,$B$2,$B$7,$B$3,$B$4,$B$5,$F218,$B$6,L$10,$A218,$B218)</f>
        <v>0</v>
      </c>
      <c r="M218" s="4">
        <f ca="1">_xll.DBRW($B$1,$B$2,$B$7,$B$3,$B$4,$B$5,$F218,$B$6,M$10,$A218,$B218)</f>
        <v>0</v>
      </c>
      <c r="N218" s="4">
        <f ca="1">_xll.DBRW($B$1,$B$2,$B$7,$B$3,$B$4,$B$5,$F218,$B$6,N$10,$A218,$B218)</f>
        <v>0</v>
      </c>
      <c r="O218" s="4">
        <f ca="1">_xll.DBRW($B$1,$B$2,$B$7,$B$3,$B$4,$B$5,$F218,$B$6,O$10,$A218,$B218)</f>
        <v>0</v>
      </c>
      <c r="P218" s="4">
        <f ca="1">_xll.DBRW($B$1,$B$2,$B$7,$B$3,$B$4,$B$5,$F218,$B$6,P$10,$A218,$B218)</f>
        <v>0</v>
      </c>
      <c r="Q218" s="4">
        <f ca="1">_xll.DBRW($B$1,$B$2,$B$7,$B$3,$B$4,$B$5,$F218,$B$6,Q$10,$A218,$B218)</f>
        <v>0</v>
      </c>
      <c r="R218" s="4">
        <f ca="1">_xll.DBRW($B$1,$B$2,$B$7,$B$3,$B$4,$B$5,$F218,$B$6,R$10,$A218,$B218)</f>
        <v>0</v>
      </c>
      <c r="S218" s="4">
        <f ca="1">_xll.DBRW($B$1,$B$2,$B$7,$B$3,$B$4,$B$5,$F218,$B$6,S$10,$A218,$B218)</f>
        <v>0</v>
      </c>
      <c r="T218" s="4">
        <f ca="1">_xll.DBRW($B$1,$B$2,$B$7,$B$3,$B$4,$B$5,$F218,$B$6,T$10,$A218,$B218)</f>
        <v>0</v>
      </c>
      <c r="U218" s="4">
        <f ca="1">_xll.DBRW($B$1,$B$2,$B$7,$B$3,$B$4,$B$5,$F218,$B$6,U$10,$A218,$B218)</f>
        <v>0</v>
      </c>
      <c r="V218" s="4">
        <f ca="1">_xll.DBRW($B$1,$B$2,$B$7,$B$3,$B$4,$B$5,$F218,$B$6,V$10,$A218,$B218)</f>
        <v>0</v>
      </c>
      <c r="W218" s="4">
        <f ca="1">_xll.DBRW($B$1,$B$2,$B$7,$B$3,$B$4,$B$5,$F218,$B$6,W$10,$A218,$B218)</f>
        <v>0</v>
      </c>
      <c r="X218" s="4">
        <f ca="1">_xll.DBRW($B$1,$B$2,$B$7,$B$3,$B$4,$B$5,$F218,$B$6,X$10,$A218,$B218)</f>
        <v>0</v>
      </c>
      <c r="Y218" s="4">
        <f ca="1">_xll.DBRW($B$1,$B$2,$B$7,$B$3,$B$4,$B$5,$F218,$B$6,Y$10,$A218,$B218)</f>
        <v>0</v>
      </c>
      <c r="Z218" s="4">
        <f ca="1">_xll.DBRW($B$1,$B$2,$B$7,$B$3,$B$4,$B$5,$F218,$B$6,Z$10,$A218,$B218)</f>
        <v>0</v>
      </c>
      <c r="AA218" s="4">
        <f ca="1">_xll.DBRW($B$1,$B$2,$B$7,$B$3,$B$4,$B$5,$F218,$B$6,AA$10,$A218,$B218)</f>
        <v>0</v>
      </c>
      <c r="AB218" s="4">
        <f ca="1">_xll.DBRW($B$1,$B$2,$B$7,$B$3,$B$4,$B$5,$F218,$B$6,AB$10,$A218,$B218)</f>
        <v>0</v>
      </c>
      <c r="AC218" s="4">
        <f ca="1">_xll.DBRW($B$1,$B$2,$B$7,$B$3,$B$4,$B$5,$F218,$B$6,AC$10,$A218,$B218)</f>
        <v>0</v>
      </c>
      <c r="AD218" s="4">
        <f ca="1">_xll.DBRW($B$1,$B$2,$B$7,$B$3,$B$4,$B$5,$F218,$B$6,AD$10,$A218,$B218)</f>
        <v>0</v>
      </c>
      <c r="AE218" s="4">
        <f ca="1">_xll.DBRW($B$1,$B$2,$B$7,$B$3,$B$4,$B$5,$F218,$B$6,AE$10,$A218,$B218)</f>
        <v>0</v>
      </c>
    </row>
    <row r="219" spans="1:31">
      <c r="A219" s="1" t="s">
        <v>150</v>
      </c>
      <c r="B219" s="5" t="s">
        <v>275</v>
      </c>
      <c r="C219" s="5" t="s">
        <v>276</v>
      </c>
      <c r="D219" s="5" t="s">
        <v>21</v>
      </c>
      <c r="E219" s="5" t="s">
        <v>277</v>
      </c>
      <c r="F219" s="5" t="s">
        <v>313</v>
      </c>
      <c r="G219" s="6"/>
      <c r="H219" s="6"/>
      <c r="I219" s="6"/>
      <c r="J219" s="6"/>
      <c r="K219" s="6"/>
      <c r="L219" s="4">
        <f ca="1">_xll.DBRW($B$1,$B$2,$B$7,$B$3,$B$4,$B$5,$F219,$B$6,L$10,$A219,$B219)</f>
        <v>0</v>
      </c>
      <c r="M219" s="4">
        <f ca="1">_xll.DBRW($B$1,$B$2,$B$7,$B$3,$B$4,$B$5,$F219,$B$6,M$10,$A219,$B219)</f>
        <v>0</v>
      </c>
      <c r="N219" s="4">
        <f ca="1">_xll.DBRW($B$1,$B$2,$B$7,$B$3,$B$4,$B$5,$F219,$B$6,N$10,$A219,$B219)</f>
        <v>0</v>
      </c>
      <c r="O219" s="4">
        <f ca="1">_xll.DBRW($B$1,$B$2,$B$7,$B$3,$B$4,$B$5,$F219,$B$6,O$10,$A219,$B219)</f>
        <v>0</v>
      </c>
      <c r="P219" s="4">
        <f ca="1">_xll.DBRW($B$1,$B$2,$B$7,$B$3,$B$4,$B$5,$F219,$B$6,P$10,$A219,$B219)</f>
        <v>0</v>
      </c>
      <c r="Q219" s="4">
        <f ca="1">_xll.DBRW($B$1,$B$2,$B$7,$B$3,$B$4,$B$5,$F219,$B$6,Q$10,$A219,$B219)</f>
        <v>0</v>
      </c>
      <c r="R219" s="4">
        <f ca="1">_xll.DBRW($B$1,$B$2,$B$7,$B$3,$B$4,$B$5,$F219,$B$6,R$10,$A219,$B219)</f>
        <v>0</v>
      </c>
      <c r="S219" s="4">
        <f ca="1">_xll.DBRW($B$1,$B$2,$B$7,$B$3,$B$4,$B$5,$F219,$B$6,S$10,$A219,$B219)</f>
        <v>0</v>
      </c>
      <c r="T219" s="4">
        <f ca="1">_xll.DBRW($B$1,$B$2,$B$7,$B$3,$B$4,$B$5,$F219,$B$6,T$10,$A219,$B219)</f>
        <v>0</v>
      </c>
      <c r="U219" s="4">
        <f ca="1">_xll.DBRW($B$1,$B$2,$B$7,$B$3,$B$4,$B$5,$F219,$B$6,U$10,$A219,$B219)</f>
        <v>0</v>
      </c>
      <c r="V219" s="4">
        <f ca="1">_xll.DBRW($B$1,$B$2,$B$7,$B$3,$B$4,$B$5,$F219,$B$6,V$10,$A219,$B219)</f>
        <v>0</v>
      </c>
      <c r="W219" s="4">
        <f ca="1">_xll.DBRW($B$1,$B$2,$B$7,$B$3,$B$4,$B$5,$F219,$B$6,W$10,$A219,$B219)</f>
        <v>0</v>
      </c>
      <c r="X219" s="4">
        <f ca="1">_xll.DBRW($B$1,$B$2,$B$7,$B$3,$B$4,$B$5,$F219,$B$6,X$10,$A219,$B219)</f>
        <v>0</v>
      </c>
      <c r="Y219" s="4">
        <f ca="1">_xll.DBRW($B$1,$B$2,$B$7,$B$3,$B$4,$B$5,$F219,$B$6,Y$10,$A219,$B219)</f>
        <v>0</v>
      </c>
      <c r="Z219" s="4">
        <f ca="1">_xll.DBRW($B$1,$B$2,$B$7,$B$3,$B$4,$B$5,$F219,$B$6,Z$10,$A219,$B219)</f>
        <v>0</v>
      </c>
      <c r="AA219" s="4">
        <f ca="1">_xll.DBRW($B$1,$B$2,$B$7,$B$3,$B$4,$B$5,$F219,$B$6,AA$10,$A219,$B219)</f>
        <v>0</v>
      </c>
      <c r="AB219" s="4">
        <f ca="1">_xll.DBRW($B$1,$B$2,$B$7,$B$3,$B$4,$B$5,$F219,$B$6,AB$10,$A219,$B219)</f>
        <v>0</v>
      </c>
      <c r="AC219" s="4">
        <f ca="1">_xll.DBRW($B$1,$B$2,$B$7,$B$3,$B$4,$B$5,$F219,$B$6,AC$10,$A219,$B219)</f>
        <v>0</v>
      </c>
      <c r="AD219" s="4">
        <f ca="1">_xll.DBRW($B$1,$B$2,$B$7,$B$3,$B$4,$B$5,$F219,$B$6,AD$10,$A219,$B219)</f>
        <v>0</v>
      </c>
      <c r="AE219" s="4">
        <f ca="1">_xll.DBRW($B$1,$B$2,$B$7,$B$3,$B$4,$B$5,$F219,$B$6,AE$10,$A219,$B219)</f>
        <v>0</v>
      </c>
    </row>
    <row r="220" spans="1:31">
      <c r="A220" s="1" t="s">
        <v>150</v>
      </c>
      <c r="B220" s="5" t="s">
        <v>278</v>
      </c>
      <c r="C220" s="5" t="s">
        <v>279</v>
      </c>
      <c r="D220" s="5" t="s">
        <v>277</v>
      </c>
      <c r="E220" s="5" t="s">
        <v>21</v>
      </c>
      <c r="F220" s="5" t="s">
        <v>313</v>
      </c>
      <c r="G220" s="6"/>
      <c r="H220" s="6"/>
      <c r="I220" s="6"/>
      <c r="J220" s="6"/>
      <c r="K220" s="6"/>
      <c r="L220" s="4">
        <f ca="1">_xll.DBRW($B$1,$B$2,$B$7,$B$3,$B$4,$B$5,$F220,$B$6,L$10,$A220,$B220)</f>
        <v>0</v>
      </c>
      <c r="M220" s="4">
        <f ca="1">_xll.DBRW($B$1,$B$2,$B$7,$B$3,$B$4,$B$5,$F220,$B$6,M$10,$A220,$B220)</f>
        <v>0</v>
      </c>
      <c r="N220" s="4">
        <f ca="1">_xll.DBRW($B$1,$B$2,$B$7,$B$3,$B$4,$B$5,$F220,$B$6,N$10,$A220,$B220)</f>
        <v>0</v>
      </c>
      <c r="O220" s="4">
        <f ca="1">_xll.DBRW($B$1,$B$2,$B$7,$B$3,$B$4,$B$5,$F220,$B$6,O$10,$A220,$B220)</f>
        <v>0</v>
      </c>
      <c r="P220" s="4">
        <f ca="1">_xll.DBRW($B$1,$B$2,$B$7,$B$3,$B$4,$B$5,$F220,$B$6,P$10,$A220,$B220)</f>
        <v>0</v>
      </c>
      <c r="Q220" s="4">
        <f ca="1">_xll.DBRW($B$1,$B$2,$B$7,$B$3,$B$4,$B$5,$F220,$B$6,Q$10,$A220,$B220)</f>
        <v>0</v>
      </c>
      <c r="R220" s="4">
        <f ca="1">_xll.DBRW($B$1,$B$2,$B$7,$B$3,$B$4,$B$5,$F220,$B$6,R$10,$A220,$B220)</f>
        <v>0</v>
      </c>
      <c r="S220" s="4">
        <f ca="1">_xll.DBRW($B$1,$B$2,$B$7,$B$3,$B$4,$B$5,$F220,$B$6,S$10,$A220,$B220)</f>
        <v>0</v>
      </c>
      <c r="T220" s="4">
        <f ca="1">_xll.DBRW($B$1,$B$2,$B$7,$B$3,$B$4,$B$5,$F220,$B$6,T$10,$A220,$B220)</f>
        <v>0</v>
      </c>
      <c r="U220" s="4">
        <f ca="1">_xll.DBRW($B$1,$B$2,$B$7,$B$3,$B$4,$B$5,$F220,$B$6,U$10,$A220,$B220)</f>
        <v>0</v>
      </c>
      <c r="V220" s="4">
        <f ca="1">_xll.DBRW($B$1,$B$2,$B$7,$B$3,$B$4,$B$5,$F220,$B$6,V$10,$A220,$B220)</f>
        <v>0</v>
      </c>
      <c r="W220" s="4">
        <f ca="1">_xll.DBRW($B$1,$B$2,$B$7,$B$3,$B$4,$B$5,$F220,$B$6,W$10,$A220,$B220)</f>
        <v>0</v>
      </c>
      <c r="X220" s="4">
        <f ca="1">_xll.DBRW($B$1,$B$2,$B$7,$B$3,$B$4,$B$5,$F220,$B$6,X$10,$A220,$B220)</f>
        <v>0</v>
      </c>
      <c r="Y220" s="4">
        <f ca="1">_xll.DBRW($B$1,$B$2,$B$7,$B$3,$B$4,$B$5,$F220,$B$6,Y$10,$A220,$B220)</f>
        <v>0</v>
      </c>
      <c r="Z220" s="4">
        <f ca="1">_xll.DBRW($B$1,$B$2,$B$7,$B$3,$B$4,$B$5,$F220,$B$6,Z$10,$A220,$B220)</f>
        <v>0</v>
      </c>
      <c r="AA220" s="4">
        <f ca="1">_xll.DBRW($B$1,$B$2,$B$7,$B$3,$B$4,$B$5,$F220,$B$6,AA$10,$A220,$B220)</f>
        <v>0</v>
      </c>
      <c r="AB220" s="4">
        <f ca="1">_xll.DBRW($B$1,$B$2,$B$7,$B$3,$B$4,$B$5,$F220,$B$6,AB$10,$A220,$B220)</f>
        <v>0</v>
      </c>
      <c r="AC220" s="4">
        <f ca="1">_xll.DBRW($B$1,$B$2,$B$7,$B$3,$B$4,$B$5,$F220,$B$6,AC$10,$A220,$B220)</f>
        <v>0</v>
      </c>
      <c r="AD220" s="4">
        <f ca="1">_xll.DBRW($B$1,$B$2,$B$7,$B$3,$B$4,$B$5,$F220,$B$6,AD$10,$A220,$B220)</f>
        <v>0</v>
      </c>
      <c r="AE220" s="4">
        <f ca="1">_xll.DBRW($B$1,$B$2,$B$7,$B$3,$B$4,$B$5,$F220,$B$6,AE$10,$A220,$B220)</f>
        <v>0</v>
      </c>
    </row>
    <row r="221" spans="1:31">
      <c r="A221" s="1" t="s">
        <v>150</v>
      </c>
      <c r="B221" s="5" t="s">
        <v>280</v>
      </c>
      <c r="C221" s="5" t="s">
        <v>276</v>
      </c>
      <c r="D221" s="5" t="s">
        <v>21</v>
      </c>
      <c r="E221" s="5" t="s">
        <v>277</v>
      </c>
      <c r="F221" s="5" t="s">
        <v>313</v>
      </c>
      <c r="G221" s="6"/>
      <c r="H221" s="6"/>
      <c r="I221" s="6"/>
      <c r="J221" s="6"/>
      <c r="K221" s="6"/>
      <c r="L221" s="4">
        <f ca="1">_xll.DBRW($B$1,$B$2,$B$7,$B$3,$B$4,$B$5,$F221,$B$6,L$10,$A221,$B221)</f>
        <v>0</v>
      </c>
      <c r="M221" s="4">
        <f ca="1">_xll.DBRW($B$1,$B$2,$B$7,$B$3,$B$4,$B$5,$F221,$B$6,M$10,$A221,$B221)</f>
        <v>0</v>
      </c>
      <c r="N221" s="4">
        <f ca="1">_xll.DBRW($B$1,$B$2,$B$7,$B$3,$B$4,$B$5,$F221,$B$6,N$10,$A221,$B221)</f>
        <v>0</v>
      </c>
      <c r="O221" s="4">
        <f ca="1">_xll.DBRW($B$1,$B$2,$B$7,$B$3,$B$4,$B$5,$F221,$B$6,O$10,$A221,$B221)</f>
        <v>0</v>
      </c>
      <c r="P221" s="4">
        <f ca="1">_xll.DBRW($B$1,$B$2,$B$7,$B$3,$B$4,$B$5,$F221,$B$6,P$10,$A221,$B221)</f>
        <v>0</v>
      </c>
      <c r="Q221" s="4">
        <f ca="1">_xll.DBRW($B$1,$B$2,$B$7,$B$3,$B$4,$B$5,$F221,$B$6,Q$10,$A221,$B221)</f>
        <v>0</v>
      </c>
      <c r="R221" s="4">
        <f ca="1">_xll.DBRW($B$1,$B$2,$B$7,$B$3,$B$4,$B$5,$F221,$B$6,R$10,$A221,$B221)</f>
        <v>0</v>
      </c>
      <c r="S221" s="4">
        <f ca="1">_xll.DBRW($B$1,$B$2,$B$7,$B$3,$B$4,$B$5,$F221,$B$6,S$10,$A221,$B221)</f>
        <v>0</v>
      </c>
      <c r="T221" s="4">
        <f ca="1">_xll.DBRW($B$1,$B$2,$B$7,$B$3,$B$4,$B$5,$F221,$B$6,T$10,$A221,$B221)</f>
        <v>0</v>
      </c>
      <c r="U221" s="4">
        <f ca="1">_xll.DBRW($B$1,$B$2,$B$7,$B$3,$B$4,$B$5,$F221,$B$6,U$10,$A221,$B221)</f>
        <v>0</v>
      </c>
      <c r="V221" s="4">
        <f ca="1">_xll.DBRW($B$1,$B$2,$B$7,$B$3,$B$4,$B$5,$F221,$B$6,V$10,$A221,$B221)</f>
        <v>0</v>
      </c>
      <c r="W221" s="4">
        <f ca="1">_xll.DBRW($B$1,$B$2,$B$7,$B$3,$B$4,$B$5,$F221,$B$6,W$10,$A221,$B221)</f>
        <v>0</v>
      </c>
      <c r="X221" s="4">
        <f ca="1">_xll.DBRW($B$1,$B$2,$B$7,$B$3,$B$4,$B$5,$F221,$B$6,X$10,$A221,$B221)</f>
        <v>0</v>
      </c>
      <c r="Y221" s="4">
        <f ca="1">_xll.DBRW($B$1,$B$2,$B$7,$B$3,$B$4,$B$5,$F221,$B$6,Y$10,$A221,$B221)</f>
        <v>0</v>
      </c>
      <c r="Z221" s="4">
        <f ca="1">_xll.DBRW($B$1,$B$2,$B$7,$B$3,$B$4,$B$5,$F221,$B$6,Z$10,$A221,$B221)</f>
        <v>0</v>
      </c>
      <c r="AA221" s="4">
        <f ca="1">_xll.DBRW($B$1,$B$2,$B$7,$B$3,$B$4,$B$5,$F221,$B$6,AA$10,$A221,$B221)</f>
        <v>0</v>
      </c>
      <c r="AB221" s="4">
        <f ca="1">_xll.DBRW($B$1,$B$2,$B$7,$B$3,$B$4,$B$5,$F221,$B$6,AB$10,$A221,$B221)</f>
        <v>0</v>
      </c>
      <c r="AC221" s="4">
        <f ca="1">_xll.DBRW($B$1,$B$2,$B$7,$B$3,$B$4,$B$5,$F221,$B$6,AC$10,$A221,$B221)</f>
        <v>0</v>
      </c>
      <c r="AD221" s="4">
        <f ca="1">_xll.DBRW($B$1,$B$2,$B$7,$B$3,$B$4,$B$5,$F221,$B$6,AD$10,$A221,$B221)</f>
        <v>0</v>
      </c>
      <c r="AE221" s="4">
        <f ca="1">_xll.DBRW($B$1,$B$2,$B$7,$B$3,$B$4,$B$5,$F221,$B$6,AE$10,$A221,$B221)</f>
        <v>0</v>
      </c>
    </row>
    <row r="222" spans="1:31">
      <c r="A222" s="1" t="s">
        <v>150</v>
      </c>
      <c r="B222" s="5" t="s">
        <v>281</v>
      </c>
      <c r="C222" s="5" t="s">
        <v>279</v>
      </c>
      <c r="D222" s="5" t="s">
        <v>277</v>
      </c>
      <c r="E222" s="5" t="s">
        <v>21</v>
      </c>
      <c r="F222" s="5" t="s">
        <v>313</v>
      </c>
      <c r="G222" s="6"/>
      <c r="H222" s="6"/>
      <c r="I222" s="6"/>
      <c r="J222" s="6"/>
      <c r="K222" s="6"/>
      <c r="L222" s="4">
        <f ca="1">_xll.DBRW($B$1,$B$2,$B$7,$B$3,$B$4,$B$5,$F222,$B$6,L$10,$A222,$B222)</f>
        <v>0</v>
      </c>
      <c r="M222" s="4">
        <f ca="1">_xll.DBRW($B$1,$B$2,$B$7,$B$3,$B$4,$B$5,$F222,$B$6,M$10,$A222,$B222)</f>
        <v>0</v>
      </c>
      <c r="N222" s="4">
        <f ca="1">_xll.DBRW($B$1,$B$2,$B$7,$B$3,$B$4,$B$5,$F222,$B$6,N$10,$A222,$B222)</f>
        <v>0</v>
      </c>
      <c r="O222" s="4">
        <f ca="1">_xll.DBRW($B$1,$B$2,$B$7,$B$3,$B$4,$B$5,$F222,$B$6,O$10,$A222,$B222)</f>
        <v>0</v>
      </c>
      <c r="P222" s="4">
        <f ca="1">_xll.DBRW($B$1,$B$2,$B$7,$B$3,$B$4,$B$5,$F222,$B$6,P$10,$A222,$B222)</f>
        <v>0</v>
      </c>
      <c r="Q222" s="4">
        <f ca="1">_xll.DBRW($B$1,$B$2,$B$7,$B$3,$B$4,$B$5,$F222,$B$6,Q$10,$A222,$B222)</f>
        <v>0</v>
      </c>
      <c r="R222" s="4">
        <f ca="1">_xll.DBRW($B$1,$B$2,$B$7,$B$3,$B$4,$B$5,$F222,$B$6,R$10,$A222,$B222)</f>
        <v>0</v>
      </c>
      <c r="S222" s="4">
        <f ca="1">_xll.DBRW($B$1,$B$2,$B$7,$B$3,$B$4,$B$5,$F222,$B$6,S$10,$A222,$B222)</f>
        <v>0</v>
      </c>
      <c r="T222" s="4">
        <f ca="1">_xll.DBRW($B$1,$B$2,$B$7,$B$3,$B$4,$B$5,$F222,$B$6,T$10,$A222,$B222)</f>
        <v>0</v>
      </c>
      <c r="U222" s="4">
        <f ca="1">_xll.DBRW($B$1,$B$2,$B$7,$B$3,$B$4,$B$5,$F222,$B$6,U$10,$A222,$B222)</f>
        <v>0</v>
      </c>
      <c r="V222" s="4">
        <f ca="1">_xll.DBRW($B$1,$B$2,$B$7,$B$3,$B$4,$B$5,$F222,$B$6,V$10,$A222,$B222)</f>
        <v>0</v>
      </c>
      <c r="W222" s="4">
        <f ca="1">_xll.DBRW($B$1,$B$2,$B$7,$B$3,$B$4,$B$5,$F222,$B$6,W$10,$A222,$B222)</f>
        <v>0</v>
      </c>
      <c r="X222" s="4">
        <f ca="1">_xll.DBRW($B$1,$B$2,$B$7,$B$3,$B$4,$B$5,$F222,$B$6,X$10,$A222,$B222)</f>
        <v>0</v>
      </c>
      <c r="Y222" s="4">
        <f ca="1">_xll.DBRW($B$1,$B$2,$B$7,$B$3,$B$4,$B$5,$F222,$B$6,Y$10,$A222,$B222)</f>
        <v>0</v>
      </c>
      <c r="Z222" s="4">
        <f ca="1">_xll.DBRW($B$1,$B$2,$B$7,$B$3,$B$4,$B$5,$F222,$B$6,Z$10,$A222,$B222)</f>
        <v>0</v>
      </c>
      <c r="AA222" s="4">
        <f ca="1">_xll.DBRW($B$1,$B$2,$B$7,$B$3,$B$4,$B$5,$F222,$B$6,AA$10,$A222,$B222)</f>
        <v>0</v>
      </c>
      <c r="AB222" s="4">
        <f ca="1">_xll.DBRW($B$1,$B$2,$B$7,$B$3,$B$4,$B$5,$F222,$B$6,AB$10,$A222,$B222)</f>
        <v>0</v>
      </c>
      <c r="AC222" s="4">
        <f ca="1">_xll.DBRW($B$1,$B$2,$B$7,$B$3,$B$4,$B$5,$F222,$B$6,AC$10,$A222,$B222)</f>
        <v>0</v>
      </c>
      <c r="AD222" s="4">
        <f ca="1">_xll.DBRW($B$1,$B$2,$B$7,$B$3,$B$4,$B$5,$F222,$B$6,AD$10,$A222,$B222)</f>
        <v>0</v>
      </c>
      <c r="AE222" s="4">
        <f ca="1">_xll.DBRW($B$1,$B$2,$B$7,$B$3,$B$4,$B$5,$F222,$B$6,AE$10,$A222,$B222)</f>
        <v>0</v>
      </c>
    </row>
    <row r="223" spans="1:31">
      <c r="A223" s="1" t="s">
        <v>150</v>
      </c>
      <c r="B223" s="5" t="s">
        <v>282</v>
      </c>
      <c r="C223" s="5" t="s">
        <v>283</v>
      </c>
      <c r="D223" s="5" t="s">
        <v>21</v>
      </c>
      <c r="E223" s="5" t="s">
        <v>284</v>
      </c>
      <c r="F223" s="5" t="s">
        <v>313</v>
      </c>
      <c r="G223" s="6"/>
      <c r="H223" s="6"/>
      <c r="I223" s="6"/>
      <c r="J223" s="6"/>
      <c r="K223" s="6"/>
      <c r="L223" s="4">
        <f ca="1">_xll.DBRW($B$1,$B$2,$B$7,$B$3,$B$4,$B$5,$F223,$B$6,L$10,$A223,$B223)</f>
        <v>0</v>
      </c>
      <c r="M223" s="4">
        <f ca="1">_xll.DBRW($B$1,$B$2,$B$7,$B$3,$B$4,$B$5,$F223,$B$6,M$10,$A223,$B223)</f>
        <v>0</v>
      </c>
      <c r="N223" s="4">
        <f ca="1">_xll.DBRW($B$1,$B$2,$B$7,$B$3,$B$4,$B$5,$F223,$B$6,N$10,$A223,$B223)</f>
        <v>0</v>
      </c>
      <c r="O223" s="4">
        <f ca="1">_xll.DBRW($B$1,$B$2,$B$7,$B$3,$B$4,$B$5,$F223,$B$6,O$10,$A223,$B223)</f>
        <v>0</v>
      </c>
      <c r="P223" s="4">
        <f ca="1">_xll.DBRW($B$1,$B$2,$B$7,$B$3,$B$4,$B$5,$F223,$B$6,P$10,$A223,$B223)</f>
        <v>0</v>
      </c>
      <c r="Q223" s="4">
        <f ca="1">_xll.DBRW($B$1,$B$2,$B$7,$B$3,$B$4,$B$5,$F223,$B$6,Q$10,$A223,$B223)</f>
        <v>0</v>
      </c>
      <c r="R223" s="4">
        <f ca="1">_xll.DBRW($B$1,$B$2,$B$7,$B$3,$B$4,$B$5,$F223,$B$6,R$10,$A223,$B223)</f>
        <v>0</v>
      </c>
      <c r="S223" s="4">
        <f ca="1">_xll.DBRW($B$1,$B$2,$B$7,$B$3,$B$4,$B$5,$F223,$B$6,S$10,$A223,$B223)</f>
        <v>0</v>
      </c>
      <c r="T223" s="4">
        <f ca="1">_xll.DBRW($B$1,$B$2,$B$7,$B$3,$B$4,$B$5,$F223,$B$6,T$10,$A223,$B223)</f>
        <v>0</v>
      </c>
      <c r="U223" s="4">
        <f ca="1">_xll.DBRW($B$1,$B$2,$B$7,$B$3,$B$4,$B$5,$F223,$B$6,U$10,$A223,$B223)</f>
        <v>0</v>
      </c>
      <c r="V223" s="4">
        <f ca="1">_xll.DBRW($B$1,$B$2,$B$7,$B$3,$B$4,$B$5,$F223,$B$6,V$10,$A223,$B223)</f>
        <v>0</v>
      </c>
      <c r="W223" s="4">
        <f ca="1">_xll.DBRW($B$1,$B$2,$B$7,$B$3,$B$4,$B$5,$F223,$B$6,W$10,$A223,$B223)</f>
        <v>0</v>
      </c>
      <c r="X223" s="4">
        <f ca="1">_xll.DBRW($B$1,$B$2,$B$7,$B$3,$B$4,$B$5,$F223,$B$6,X$10,$A223,$B223)</f>
        <v>0</v>
      </c>
      <c r="Y223" s="4">
        <f ca="1">_xll.DBRW($B$1,$B$2,$B$7,$B$3,$B$4,$B$5,$F223,$B$6,Y$10,$A223,$B223)</f>
        <v>0</v>
      </c>
      <c r="Z223" s="4">
        <f ca="1">_xll.DBRW($B$1,$B$2,$B$7,$B$3,$B$4,$B$5,$F223,$B$6,Z$10,$A223,$B223)</f>
        <v>0</v>
      </c>
      <c r="AA223" s="4">
        <f ca="1">_xll.DBRW($B$1,$B$2,$B$7,$B$3,$B$4,$B$5,$F223,$B$6,AA$10,$A223,$B223)</f>
        <v>0</v>
      </c>
      <c r="AB223" s="4">
        <f ca="1">_xll.DBRW($B$1,$B$2,$B$7,$B$3,$B$4,$B$5,$F223,$B$6,AB$10,$A223,$B223)</f>
        <v>0</v>
      </c>
      <c r="AC223" s="4">
        <f ca="1">_xll.DBRW($B$1,$B$2,$B$7,$B$3,$B$4,$B$5,$F223,$B$6,AC$10,$A223,$B223)</f>
        <v>0</v>
      </c>
      <c r="AD223" s="4">
        <f ca="1">_xll.DBRW($B$1,$B$2,$B$7,$B$3,$B$4,$B$5,$F223,$B$6,AD$10,$A223,$B223)</f>
        <v>0</v>
      </c>
      <c r="AE223" s="4">
        <f ca="1">_xll.DBRW($B$1,$B$2,$B$7,$B$3,$B$4,$B$5,$F223,$B$6,AE$10,$A223,$B223)</f>
        <v>0</v>
      </c>
    </row>
    <row r="224" spans="1:31">
      <c r="A224" s="1" t="s">
        <v>150</v>
      </c>
      <c r="B224" s="5" t="s">
        <v>285</v>
      </c>
      <c r="C224" s="5" t="s">
        <v>286</v>
      </c>
      <c r="D224" s="5" t="s">
        <v>284</v>
      </c>
      <c r="E224" s="5" t="s">
        <v>21</v>
      </c>
      <c r="F224" s="5" t="s">
        <v>313</v>
      </c>
      <c r="G224" s="6"/>
      <c r="H224" s="6"/>
      <c r="I224" s="6"/>
      <c r="J224" s="6"/>
      <c r="K224" s="6"/>
      <c r="L224" s="4">
        <f ca="1">_xll.DBRW($B$1,$B$2,$B$7,$B$3,$B$4,$B$5,$F224,$B$6,L$10,$A224,$B224)</f>
        <v>0</v>
      </c>
      <c r="M224" s="4">
        <f ca="1">_xll.DBRW($B$1,$B$2,$B$7,$B$3,$B$4,$B$5,$F224,$B$6,M$10,$A224,$B224)</f>
        <v>0</v>
      </c>
      <c r="N224" s="4">
        <f ca="1">_xll.DBRW($B$1,$B$2,$B$7,$B$3,$B$4,$B$5,$F224,$B$6,N$10,$A224,$B224)</f>
        <v>0</v>
      </c>
      <c r="O224" s="4">
        <f ca="1">_xll.DBRW($B$1,$B$2,$B$7,$B$3,$B$4,$B$5,$F224,$B$6,O$10,$A224,$B224)</f>
        <v>0</v>
      </c>
      <c r="P224" s="4">
        <f ca="1">_xll.DBRW($B$1,$B$2,$B$7,$B$3,$B$4,$B$5,$F224,$B$6,P$10,$A224,$B224)</f>
        <v>0</v>
      </c>
      <c r="Q224" s="4">
        <f ca="1">_xll.DBRW($B$1,$B$2,$B$7,$B$3,$B$4,$B$5,$F224,$B$6,Q$10,$A224,$B224)</f>
        <v>0</v>
      </c>
      <c r="R224" s="4">
        <f ca="1">_xll.DBRW($B$1,$B$2,$B$7,$B$3,$B$4,$B$5,$F224,$B$6,R$10,$A224,$B224)</f>
        <v>0</v>
      </c>
      <c r="S224" s="4">
        <f ca="1">_xll.DBRW($B$1,$B$2,$B$7,$B$3,$B$4,$B$5,$F224,$B$6,S$10,$A224,$B224)</f>
        <v>0</v>
      </c>
      <c r="T224" s="4">
        <f ca="1">_xll.DBRW($B$1,$B$2,$B$7,$B$3,$B$4,$B$5,$F224,$B$6,T$10,$A224,$B224)</f>
        <v>0</v>
      </c>
      <c r="U224" s="4">
        <f ca="1">_xll.DBRW($B$1,$B$2,$B$7,$B$3,$B$4,$B$5,$F224,$B$6,U$10,$A224,$B224)</f>
        <v>0</v>
      </c>
      <c r="V224" s="4">
        <f ca="1">_xll.DBRW($B$1,$B$2,$B$7,$B$3,$B$4,$B$5,$F224,$B$6,V$10,$A224,$B224)</f>
        <v>0</v>
      </c>
      <c r="W224" s="4">
        <f ca="1">_xll.DBRW($B$1,$B$2,$B$7,$B$3,$B$4,$B$5,$F224,$B$6,W$10,$A224,$B224)</f>
        <v>0</v>
      </c>
      <c r="X224" s="4">
        <f ca="1">_xll.DBRW($B$1,$B$2,$B$7,$B$3,$B$4,$B$5,$F224,$B$6,X$10,$A224,$B224)</f>
        <v>0</v>
      </c>
      <c r="Y224" s="4">
        <f ca="1">_xll.DBRW($B$1,$B$2,$B$7,$B$3,$B$4,$B$5,$F224,$B$6,Y$10,$A224,$B224)</f>
        <v>0</v>
      </c>
      <c r="Z224" s="4">
        <f ca="1">_xll.DBRW($B$1,$B$2,$B$7,$B$3,$B$4,$B$5,$F224,$B$6,Z$10,$A224,$B224)</f>
        <v>0</v>
      </c>
      <c r="AA224" s="4">
        <f ca="1">_xll.DBRW($B$1,$B$2,$B$7,$B$3,$B$4,$B$5,$F224,$B$6,AA$10,$A224,$B224)</f>
        <v>0</v>
      </c>
      <c r="AB224" s="4">
        <f ca="1">_xll.DBRW($B$1,$B$2,$B$7,$B$3,$B$4,$B$5,$F224,$B$6,AB$10,$A224,$B224)</f>
        <v>0</v>
      </c>
      <c r="AC224" s="4">
        <f ca="1">_xll.DBRW($B$1,$B$2,$B$7,$B$3,$B$4,$B$5,$F224,$B$6,AC$10,$A224,$B224)</f>
        <v>0</v>
      </c>
      <c r="AD224" s="4">
        <f ca="1">_xll.DBRW($B$1,$B$2,$B$7,$B$3,$B$4,$B$5,$F224,$B$6,AD$10,$A224,$B224)</f>
        <v>0</v>
      </c>
      <c r="AE224" s="4">
        <f ca="1">_xll.DBRW($B$1,$B$2,$B$7,$B$3,$B$4,$B$5,$F224,$B$6,AE$10,$A224,$B224)</f>
        <v>0</v>
      </c>
    </row>
    <row r="225" spans="1:31">
      <c r="A225" s="1" t="s">
        <v>150</v>
      </c>
      <c r="B225" s="5" t="s">
        <v>287</v>
      </c>
      <c r="C225" s="5" t="s">
        <v>288</v>
      </c>
      <c r="D225" s="5" t="s">
        <v>21</v>
      </c>
      <c r="E225" s="5" t="s">
        <v>289</v>
      </c>
      <c r="F225" s="5" t="s">
        <v>313</v>
      </c>
      <c r="G225" s="6"/>
      <c r="H225" s="6"/>
      <c r="I225" s="6"/>
      <c r="J225" s="6"/>
      <c r="K225" s="6"/>
      <c r="L225" s="4">
        <f ca="1">_xll.DBRW($B$1,$B$2,$B$7,$B$3,$B$4,$B$5,$F225,$B$6,L$10,$A225,$B225)</f>
        <v>0</v>
      </c>
      <c r="M225" s="4">
        <f ca="1">_xll.DBRW($B$1,$B$2,$B$7,$B$3,$B$4,$B$5,$F225,$B$6,M$10,$A225,$B225)</f>
        <v>0</v>
      </c>
      <c r="N225" s="4">
        <f ca="1">_xll.DBRW($B$1,$B$2,$B$7,$B$3,$B$4,$B$5,$F225,$B$6,N$10,$A225,$B225)</f>
        <v>0</v>
      </c>
      <c r="O225" s="4">
        <f ca="1">_xll.DBRW($B$1,$B$2,$B$7,$B$3,$B$4,$B$5,$F225,$B$6,O$10,$A225,$B225)</f>
        <v>0</v>
      </c>
      <c r="P225" s="4">
        <f ca="1">_xll.DBRW($B$1,$B$2,$B$7,$B$3,$B$4,$B$5,$F225,$B$6,P$10,$A225,$B225)</f>
        <v>0</v>
      </c>
      <c r="Q225" s="4">
        <f ca="1">_xll.DBRW($B$1,$B$2,$B$7,$B$3,$B$4,$B$5,$F225,$B$6,Q$10,$A225,$B225)</f>
        <v>0</v>
      </c>
      <c r="R225" s="4">
        <f ca="1">_xll.DBRW($B$1,$B$2,$B$7,$B$3,$B$4,$B$5,$F225,$B$6,R$10,$A225,$B225)</f>
        <v>0</v>
      </c>
      <c r="S225" s="4">
        <f ca="1">_xll.DBRW($B$1,$B$2,$B$7,$B$3,$B$4,$B$5,$F225,$B$6,S$10,$A225,$B225)</f>
        <v>0</v>
      </c>
      <c r="T225" s="4">
        <f ca="1">_xll.DBRW($B$1,$B$2,$B$7,$B$3,$B$4,$B$5,$F225,$B$6,T$10,$A225,$B225)</f>
        <v>0</v>
      </c>
      <c r="U225" s="4">
        <f ca="1">_xll.DBRW($B$1,$B$2,$B$7,$B$3,$B$4,$B$5,$F225,$B$6,U$10,$A225,$B225)</f>
        <v>0</v>
      </c>
      <c r="V225" s="4">
        <f ca="1">_xll.DBRW($B$1,$B$2,$B$7,$B$3,$B$4,$B$5,$F225,$B$6,V$10,$A225,$B225)</f>
        <v>0</v>
      </c>
      <c r="W225" s="4">
        <f ca="1">_xll.DBRW($B$1,$B$2,$B$7,$B$3,$B$4,$B$5,$F225,$B$6,W$10,$A225,$B225)</f>
        <v>0</v>
      </c>
      <c r="X225" s="4">
        <f ca="1">_xll.DBRW($B$1,$B$2,$B$7,$B$3,$B$4,$B$5,$F225,$B$6,X$10,$A225,$B225)</f>
        <v>0</v>
      </c>
      <c r="Y225" s="4">
        <f ca="1">_xll.DBRW($B$1,$B$2,$B$7,$B$3,$B$4,$B$5,$F225,$B$6,Y$10,$A225,$B225)</f>
        <v>0</v>
      </c>
      <c r="Z225" s="4">
        <f ca="1">_xll.DBRW($B$1,$B$2,$B$7,$B$3,$B$4,$B$5,$F225,$B$6,Z$10,$A225,$B225)</f>
        <v>0</v>
      </c>
      <c r="AA225" s="4">
        <f ca="1">_xll.DBRW($B$1,$B$2,$B$7,$B$3,$B$4,$B$5,$F225,$B$6,AA$10,$A225,$B225)</f>
        <v>0</v>
      </c>
      <c r="AB225" s="4">
        <f ca="1">_xll.DBRW($B$1,$B$2,$B$7,$B$3,$B$4,$B$5,$F225,$B$6,AB$10,$A225,$B225)</f>
        <v>0</v>
      </c>
      <c r="AC225" s="4">
        <f ca="1">_xll.DBRW($B$1,$B$2,$B$7,$B$3,$B$4,$B$5,$F225,$B$6,AC$10,$A225,$B225)</f>
        <v>0</v>
      </c>
      <c r="AD225" s="4">
        <f ca="1">_xll.DBRW($B$1,$B$2,$B$7,$B$3,$B$4,$B$5,$F225,$B$6,AD$10,$A225,$B225)</f>
        <v>0</v>
      </c>
      <c r="AE225" s="4">
        <f ca="1">_xll.DBRW($B$1,$B$2,$B$7,$B$3,$B$4,$B$5,$F225,$B$6,AE$10,$A225,$B225)</f>
        <v>0</v>
      </c>
    </row>
    <row r="226" spans="1:31">
      <c r="A226" s="1" t="s">
        <v>150</v>
      </c>
      <c r="B226" s="5" t="s">
        <v>290</v>
      </c>
      <c r="C226" s="5" t="s">
        <v>291</v>
      </c>
      <c r="D226" s="5" t="s">
        <v>289</v>
      </c>
      <c r="E226" s="5" t="s">
        <v>21</v>
      </c>
      <c r="F226" s="5" t="s">
        <v>313</v>
      </c>
      <c r="G226" s="6"/>
      <c r="H226" s="6"/>
      <c r="I226" s="6"/>
      <c r="J226" s="6"/>
      <c r="K226" s="6"/>
      <c r="L226" s="4">
        <f ca="1">_xll.DBRW($B$1,$B$2,$B$7,$B$3,$B$4,$B$5,$F226,$B$6,L$10,$A226,$B226)</f>
        <v>0</v>
      </c>
      <c r="M226" s="4">
        <f ca="1">_xll.DBRW($B$1,$B$2,$B$7,$B$3,$B$4,$B$5,$F226,$B$6,M$10,$A226,$B226)</f>
        <v>0</v>
      </c>
      <c r="N226" s="4">
        <f ca="1">_xll.DBRW($B$1,$B$2,$B$7,$B$3,$B$4,$B$5,$F226,$B$6,N$10,$A226,$B226)</f>
        <v>0</v>
      </c>
      <c r="O226" s="4">
        <f ca="1">_xll.DBRW($B$1,$B$2,$B$7,$B$3,$B$4,$B$5,$F226,$B$6,O$10,$A226,$B226)</f>
        <v>0</v>
      </c>
      <c r="P226" s="4">
        <f ca="1">_xll.DBRW($B$1,$B$2,$B$7,$B$3,$B$4,$B$5,$F226,$B$6,P$10,$A226,$B226)</f>
        <v>0</v>
      </c>
      <c r="Q226" s="4">
        <f ca="1">_xll.DBRW($B$1,$B$2,$B$7,$B$3,$B$4,$B$5,$F226,$B$6,Q$10,$A226,$B226)</f>
        <v>0</v>
      </c>
      <c r="R226" s="4">
        <f ca="1">_xll.DBRW($B$1,$B$2,$B$7,$B$3,$B$4,$B$5,$F226,$B$6,R$10,$A226,$B226)</f>
        <v>0</v>
      </c>
      <c r="S226" s="4">
        <f ca="1">_xll.DBRW($B$1,$B$2,$B$7,$B$3,$B$4,$B$5,$F226,$B$6,S$10,$A226,$B226)</f>
        <v>0</v>
      </c>
      <c r="T226" s="4">
        <f ca="1">_xll.DBRW($B$1,$B$2,$B$7,$B$3,$B$4,$B$5,$F226,$B$6,T$10,$A226,$B226)</f>
        <v>0</v>
      </c>
      <c r="U226" s="4">
        <f ca="1">_xll.DBRW($B$1,$B$2,$B$7,$B$3,$B$4,$B$5,$F226,$B$6,U$10,$A226,$B226)</f>
        <v>0</v>
      </c>
      <c r="V226" s="4">
        <f ca="1">_xll.DBRW($B$1,$B$2,$B$7,$B$3,$B$4,$B$5,$F226,$B$6,V$10,$A226,$B226)</f>
        <v>0</v>
      </c>
      <c r="W226" s="4">
        <f ca="1">_xll.DBRW($B$1,$B$2,$B$7,$B$3,$B$4,$B$5,$F226,$B$6,W$10,$A226,$B226)</f>
        <v>0</v>
      </c>
      <c r="X226" s="4">
        <f ca="1">_xll.DBRW($B$1,$B$2,$B$7,$B$3,$B$4,$B$5,$F226,$B$6,X$10,$A226,$B226)</f>
        <v>0</v>
      </c>
      <c r="Y226" s="4">
        <f ca="1">_xll.DBRW($B$1,$B$2,$B$7,$B$3,$B$4,$B$5,$F226,$B$6,Y$10,$A226,$B226)</f>
        <v>0</v>
      </c>
      <c r="Z226" s="4">
        <f ca="1">_xll.DBRW($B$1,$B$2,$B$7,$B$3,$B$4,$B$5,$F226,$B$6,Z$10,$A226,$B226)</f>
        <v>0</v>
      </c>
      <c r="AA226" s="4">
        <f ca="1">_xll.DBRW($B$1,$B$2,$B$7,$B$3,$B$4,$B$5,$F226,$B$6,AA$10,$A226,$B226)</f>
        <v>0</v>
      </c>
      <c r="AB226" s="4">
        <f ca="1">_xll.DBRW($B$1,$B$2,$B$7,$B$3,$B$4,$B$5,$F226,$B$6,AB$10,$A226,$B226)</f>
        <v>0</v>
      </c>
      <c r="AC226" s="4">
        <f ca="1">_xll.DBRW($B$1,$B$2,$B$7,$B$3,$B$4,$B$5,$F226,$B$6,AC$10,$A226,$B226)</f>
        <v>0</v>
      </c>
      <c r="AD226" s="4">
        <f ca="1">_xll.DBRW($B$1,$B$2,$B$7,$B$3,$B$4,$B$5,$F226,$B$6,AD$10,$A226,$B226)</f>
        <v>0</v>
      </c>
      <c r="AE226" s="4">
        <f ca="1">_xll.DBRW($B$1,$B$2,$B$7,$B$3,$B$4,$B$5,$F226,$B$6,AE$10,$A226,$B226)</f>
        <v>0</v>
      </c>
    </row>
    <row r="227" spans="1:31">
      <c r="A227" s="1" t="s">
        <v>150</v>
      </c>
      <c r="B227" s="5" t="s">
        <v>292</v>
      </c>
      <c r="C227" s="5" t="s">
        <v>293</v>
      </c>
      <c r="D227" s="5" t="s">
        <v>21</v>
      </c>
      <c r="E227" s="5" t="s">
        <v>294</v>
      </c>
      <c r="F227" s="5" t="s">
        <v>313</v>
      </c>
      <c r="G227" s="6"/>
      <c r="H227" s="6"/>
      <c r="I227" s="6"/>
      <c r="J227" s="6"/>
      <c r="K227" s="6"/>
      <c r="L227" s="4">
        <f ca="1">_xll.DBRW($B$1,$B$2,$B$7,$B$3,$B$4,$B$5,$F227,$B$6,L$10,$A227,$B227)</f>
        <v>0</v>
      </c>
      <c r="M227" s="4">
        <f ca="1">_xll.DBRW($B$1,$B$2,$B$7,$B$3,$B$4,$B$5,$F227,$B$6,M$10,$A227,$B227)</f>
        <v>0</v>
      </c>
      <c r="N227" s="4">
        <f ca="1">_xll.DBRW($B$1,$B$2,$B$7,$B$3,$B$4,$B$5,$F227,$B$6,N$10,$A227,$B227)</f>
        <v>0</v>
      </c>
      <c r="O227" s="4">
        <f ca="1">_xll.DBRW($B$1,$B$2,$B$7,$B$3,$B$4,$B$5,$F227,$B$6,O$10,$A227,$B227)</f>
        <v>0</v>
      </c>
      <c r="P227" s="4">
        <f ca="1">_xll.DBRW($B$1,$B$2,$B$7,$B$3,$B$4,$B$5,$F227,$B$6,P$10,$A227,$B227)</f>
        <v>0</v>
      </c>
      <c r="Q227" s="4">
        <f ca="1">_xll.DBRW($B$1,$B$2,$B$7,$B$3,$B$4,$B$5,$F227,$B$6,Q$10,$A227,$B227)</f>
        <v>0</v>
      </c>
      <c r="R227" s="4">
        <f ca="1">_xll.DBRW($B$1,$B$2,$B$7,$B$3,$B$4,$B$5,$F227,$B$6,R$10,$A227,$B227)</f>
        <v>0</v>
      </c>
      <c r="S227" s="4">
        <f ca="1">_xll.DBRW($B$1,$B$2,$B$7,$B$3,$B$4,$B$5,$F227,$B$6,S$10,$A227,$B227)</f>
        <v>0</v>
      </c>
      <c r="T227" s="4">
        <f ca="1">_xll.DBRW($B$1,$B$2,$B$7,$B$3,$B$4,$B$5,$F227,$B$6,T$10,$A227,$B227)</f>
        <v>0</v>
      </c>
      <c r="U227" s="4">
        <f ca="1">_xll.DBRW($B$1,$B$2,$B$7,$B$3,$B$4,$B$5,$F227,$B$6,U$10,$A227,$B227)</f>
        <v>0</v>
      </c>
      <c r="V227" s="4">
        <f ca="1">_xll.DBRW($B$1,$B$2,$B$7,$B$3,$B$4,$B$5,$F227,$B$6,V$10,$A227,$B227)</f>
        <v>0</v>
      </c>
      <c r="W227" s="4">
        <f ca="1">_xll.DBRW($B$1,$B$2,$B$7,$B$3,$B$4,$B$5,$F227,$B$6,W$10,$A227,$B227)</f>
        <v>0</v>
      </c>
      <c r="X227" s="4">
        <f ca="1">_xll.DBRW($B$1,$B$2,$B$7,$B$3,$B$4,$B$5,$F227,$B$6,X$10,$A227,$B227)</f>
        <v>0</v>
      </c>
      <c r="Y227" s="4">
        <f ca="1">_xll.DBRW($B$1,$B$2,$B$7,$B$3,$B$4,$B$5,$F227,$B$6,Y$10,$A227,$B227)</f>
        <v>0</v>
      </c>
      <c r="Z227" s="4">
        <f ca="1">_xll.DBRW($B$1,$B$2,$B$7,$B$3,$B$4,$B$5,$F227,$B$6,Z$10,$A227,$B227)</f>
        <v>0</v>
      </c>
      <c r="AA227" s="4">
        <f ca="1">_xll.DBRW($B$1,$B$2,$B$7,$B$3,$B$4,$B$5,$F227,$B$6,AA$10,$A227,$B227)</f>
        <v>0</v>
      </c>
      <c r="AB227" s="4">
        <f ca="1">_xll.DBRW($B$1,$B$2,$B$7,$B$3,$B$4,$B$5,$F227,$B$6,AB$10,$A227,$B227)</f>
        <v>0</v>
      </c>
      <c r="AC227" s="4">
        <f ca="1">_xll.DBRW($B$1,$B$2,$B$7,$B$3,$B$4,$B$5,$F227,$B$6,AC$10,$A227,$B227)</f>
        <v>0</v>
      </c>
      <c r="AD227" s="4">
        <f ca="1">_xll.DBRW($B$1,$B$2,$B$7,$B$3,$B$4,$B$5,$F227,$B$6,AD$10,$A227,$B227)</f>
        <v>0</v>
      </c>
      <c r="AE227" s="4">
        <f ca="1">_xll.DBRW($B$1,$B$2,$B$7,$B$3,$B$4,$B$5,$F227,$B$6,AE$10,$A227,$B227)</f>
        <v>0</v>
      </c>
    </row>
    <row r="228" spans="1:31">
      <c r="A228" s="1" t="s">
        <v>150</v>
      </c>
      <c r="B228" s="5" t="s">
        <v>295</v>
      </c>
      <c r="C228" s="5" t="s">
        <v>296</v>
      </c>
      <c r="D228" s="5" t="s">
        <v>294</v>
      </c>
      <c r="E228" s="5" t="s">
        <v>21</v>
      </c>
      <c r="F228" s="5" t="s">
        <v>313</v>
      </c>
      <c r="G228" s="6"/>
      <c r="H228" s="6"/>
      <c r="I228" s="6"/>
      <c r="J228" s="6"/>
      <c r="K228" s="6"/>
      <c r="L228" s="4">
        <f ca="1">_xll.DBRW($B$1,$B$2,$B$7,$B$3,$B$4,$B$5,$F228,$B$6,L$10,$A228,$B228)</f>
        <v>0</v>
      </c>
      <c r="M228" s="4">
        <f ca="1">_xll.DBRW($B$1,$B$2,$B$7,$B$3,$B$4,$B$5,$F228,$B$6,M$10,$A228,$B228)</f>
        <v>0</v>
      </c>
      <c r="N228" s="4">
        <f ca="1">_xll.DBRW($B$1,$B$2,$B$7,$B$3,$B$4,$B$5,$F228,$B$6,N$10,$A228,$B228)</f>
        <v>0</v>
      </c>
      <c r="O228" s="4">
        <f ca="1">_xll.DBRW($B$1,$B$2,$B$7,$B$3,$B$4,$B$5,$F228,$B$6,O$10,$A228,$B228)</f>
        <v>0</v>
      </c>
      <c r="P228" s="4">
        <f ca="1">_xll.DBRW($B$1,$B$2,$B$7,$B$3,$B$4,$B$5,$F228,$B$6,P$10,$A228,$B228)</f>
        <v>0</v>
      </c>
      <c r="Q228" s="4">
        <f ca="1">_xll.DBRW($B$1,$B$2,$B$7,$B$3,$B$4,$B$5,$F228,$B$6,Q$10,$A228,$B228)</f>
        <v>0</v>
      </c>
      <c r="R228" s="4">
        <f ca="1">_xll.DBRW($B$1,$B$2,$B$7,$B$3,$B$4,$B$5,$F228,$B$6,R$10,$A228,$B228)</f>
        <v>0</v>
      </c>
      <c r="S228" s="4">
        <f ca="1">_xll.DBRW($B$1,$B$2,$B$7,$B$3,$B$4,$B$5,$F228,$B$6,S$10,$A228,$B228)</f>
        <v>0</v>
      </c>
      <c r="T228" s="4">
        <f ca="1">_xll.DBRW($B$1,$B$2,$B$7,$B$3,$B$4,$B$5,$F228,$B$6,T$10,$A228,$B228)</f>
        <v>0</v>
      </c>
      <c r="U228" s="4">
        <f ca="1">_xll.DBRW($B$1,$B$2,$B$7,$B$3,$B$4,$B$5,$F228,$B$6,U$10,$A228,$B228)</f>
        <v>0</v>
      </c>
      <c r="V228" s="4">
        <f ca="1">_xll.DBRW($B$1,$B$2,$B$7,$B$3,$B$4,$B$5,$F228,$B$6,V$10,$A228,$B228)</f>
        <v>0</v>
      </c>
      <c r="W228" s="4">
        <f ca="1">_xll.DBRW($B$1,$B$2,$B$7,$B$3,$B$4,$B$5,$F228,$B$6,W$10,$A228,$B228)</f>
        <v>0</v>
      </c>
      <c r="X228" s="4">
        <f ca="1">_xll.DBRW($B$1,$B$2,$B$7,$B$3,$B$4,$B$5,$F228,$B$6,X$10,$A228,$B228)</f>
        <v>0</v>
      </c>
      <c r="Y228" s="4">
        <f ca="1">_xll.DBRW($B$1,$B$2,$B$7,$B$3,$B$4,$B$5,$F228,$B$6,Y$10,$A228,$B228)</f>
        <v>0</v>
      </c>
      <c r="Z228" s="4">
        <f ca="1">_xll.DBRW($B$1,$B$2,$B$7,$B$3,$B$4,$B$5,$F228,$B$6,Z$10,$A228,$B228)</f>
        <v>0</v>
      </c>
      <c r="AA228" s="4">
        <f ca="1">_xll.DBRW($B$1,$B$2,$B$7,$B$3,$B$4,$B$5,$F228,$B$6,AA$10,$A228,$B228)</f>
        <v>0</v>
      </c>
      <c r="AB228" s="4">
        <f ca="1">_xll.DBRW($B$1,$B$2,$B$7,$B$3,$B$4,$B$5,$F228,$B$6,AB$10,$A228,$B228)</f>
        <v>0</v>
      </c>
      <c r="AC228" s="4">
        <f ca="1">_xll.DBRW($B$1,$B$2,$B$7,$B$3,$B$4,$B$5,$F228,$B$6,AC$10,$A228,$B228)</f>
        <v>0</v>
      </c>
      <c r="AD228" s="4">
        <f ca="1">_xll.DBRW($B$1,$B$2,$B$7,$B$3,$B$4,$B$5,$F228,$B$6,AD$10,$A228,$B228)</f>
        <v>0</v>
      </c>
      <c r="AE228" s="4">
        <f ca="1">_xll.DBRW($B$1,$B$2,$B$7,$B$3,$B$4,$B$5,$F228,$B$6,AE$10,$A228,$B228)</f>
        <v>0</v>
      </c>
    </row>
    <row r="229" spans="1:31">
      <c r="A229" s="1" t="s">
        <v>150</v>
      </c>
      <c r="B229" s="5" t="s">
        <v>297</v>
      </c>
      <c r="C229" s="5" t="s">
        <v>298</v>
      </c>
      <c r="D229" s="5" t="s">
        <v>21</v>
      </c>
      <c r="E229" s="5" t="s">
        <v>299</v>
      </c>
      <c r="F229" s="5" t="s">
        <v>313</v>
      </c>
      <c r="G229" s="6"/>
      <c r="H229" s="6"/>
      <c r="I229" s="6"/>
      <c r="J229" s="6"/>
      <c r="K229" s="6"/>
      <c r="L229" s="4">
        <f ca="1">_xll.DBRW($B$1,$B$2,$B$7,$B$3,$B$4,$B$5,$F229,$B$6,L$10,$A229,$B229)</f>
        <v>0</v>
      </c>
      <c r="M229" s="4">
        <f ca="1">_xll.DBRW($B$1,$B$2,$B$7,$B$3,$B$4,$B$5,$F229,$B$6,M$10,$A229,$B229)</f>
        <v>0</v>
      </c>
      <c r="N229" s="4">
        <f ca="1">_xll.DBRW($B$1,$B$2,$B$7,$B$3,$B$4,$B$5,$F229,$B$6,N$10,$A229,$B229)</f>
        <v>0</v>
      </c>
      <c r="O229" s="4">
        <f ca="1">_xll.DBRW($B$1,$B$2,$B$7,$B$3,$B$4,$B$5,$F229,$B$6,O$10,$A229,$B229)</f>
        <v>0</v>
      </c>
      <c r="P229" s="4">
        <f ca="1">_xll.DBRW($B$1,$B$2,$B$7,$B$3,$B$4,$B$5,$F229,$B$6,P$10,$A229,$B229)</f>
        <v>0</v>
      </c>
      <c r="Q229" s="4">
        <f ca="1">_xll.DBRW($B$1,$B$2,$B$7,$B$3,$B$4,$B$5,$F229,$B$6,Q$10,$A229,$B229)</f>
        <v>0</v>
      </c>
      <c r="R229" s="4">
        <f ca="1">_xll.DBRW($B$1,$B$2,$B$7,$B$3,$B$4,$B$5,$F229,$B$6,R$10,$A229,$B229)</f>
        <v>0</v>
      </c>
      <c r="S229" s="4">
        <f ca="1">_xll.DBRW($B$1,$B$2,$B$7,$B$3,$B$4,$B$5,$F229,$B$6,S$10,$A229,$B229)</f>
        <v>0</v>
      </c>
      <c r="T229" s="4">
        <f ca="1">_xll.DBRW($B$1,$B$2,$B$7,$B$3,$B$4,$B$5,$F229,$B$6,T$10,$A229,$B229)</f>
        <v>0</v>
      </c>
      <c r="U229" s="4">
        <f ca="1">_xll.DBRW($B$1,$B$2,$B$7,$B$3,$B$4,$B$5,$F229,$B$6,U$10,$A229,$B229)</f>
        <v>0</v>
      </c>
      <c r="V229" s="4">
        <f ca="1">_xll.DBRW($B$1,$B$2,$B$7,$B$3,$B$4,$B$5,$F229,$B$6,V$10,$A229,$B229)</f>
        <v>0</v>
      </c>
      <c r="W229" s="4">
        <f ca="1">_xll.DBRW($B$1,$B$2,$B$7,$B$3,$B$4,$B$5,$F229,$B$6,W$10,$A229,$B229)</f>
        <v>0</v>
      </c>
      <c r="X229" s="4">
        <f ca="1">_xll.DBRW($B$1,$B$2,$B$7,$B$3,$B$4,$B$5,$F229,$B$6,X$10,$A229,$B229)</f>
        <v>0</v>
      </c>
      <c r="Y229" s="4">
        <f ca="1">_xll.DBRW($B$1,$B$2,$B$7,$B$3,$B$4,$B$5,$F229,$B$6,Y$10,$A229,$B229)</f>
        <v>0</v>
      </c>
      <c r="Z229" s="4">
        <f ca="1">_xll.DBRW($B$1,$B$2,$B$7,$B$3,$B$4,$B$5,$F229,$B$6,Z$10,$A229,$B229)</f>
        <v>0</v>
      </c>
      <c r="AA229" s="4">
        <f ca="1">_xll.DBRW($B$1,$B$2,$B$7,$B$3,$B$4,$B$5,$F229,$B$6,AA$10,$A229,$B229)</f>
        <v>0</v>
      </c>
      <c r="AB229" s="4">
        <f ca="1">_xll.DBRW($B$1,$B$2,$B$7,$B$3,$B$4,$B$5,$F229,$B$6,AB$10,$A229,$B229)</f>
        <v>0</v>
      </c>
      <c r="AC229" s="4">
        <f ca="1">_xll.DBRW($B$1,$B$2,$B$7,$B$3,$B$4,$B$5,$F229,$B$6,AC$10,$A229,$B229)</f>
        <v>0</v>
      </c>
      <c r="AD229" s="4">
        <f ca="1">_xll.DBRW($B$1,$B$2,$B$7,$B$3,$B$4,$B$5,$F229,$B$6,AD$10,$A229,$B229)</f>
        <v>0</v>
      </c>
      <c r="AE229" s="4">
        <f ca="1">_xll.DBRW($B$1,$B$2,$B$7,$B$3,$B$4,$B$5,$F229,$B$6,AE$10,$A229,$B229)</f>
        <v>0</v>
      </c>
    </row>
    <row r="230" spans="1:31">
      <c r="A230" s="1" t="s">
        <v>150</v>
      </c>
      <c r="B230" s="5" t="s">
        <v>300</v>
      </c>
      <c r="C230" s="5" t="s">
        <v>301</v>
      </c>
      <c r="D230" s="5" t="s">
        <v>299</v>
      </c>
      <c r="E230" s="5" t="s">
        <v>21</v>
      </c>
      <c r="F230" s="5" t="s">
        <v>313</v>
      </c>
      <c r="G230" s="6"/>
      <c r="H230" s="6"/>
      <c r="I230" s="6"/>
      <c r="J230" s="6"/>
      <c r="K230" s="6"/>
      <c r="L230" s="4">
        <f ca="1">_xll.DBRW($B$1,$B$2,$B$7,$B$3,$B$4,$B$5,$F230,$B$6,L$10,$A230,$B230)</f>
        <v>0</v>
      </c>
      <c r="M230" s="4">
        <f ca="1">_xll.DBRW($B$1,$B$2,$B$7,$B$3,$B$4,$B$5,$F230,$B$6,M$10,$A230,$B230)</f>
        <v>0</v>
      </c>
      <c r="N230" s="4">
        <f ca="1">_xll.DBRW($B$1,$B$2,$B$7,$B$3,$B$4,$B$5,$F230,$B$6,N$10,$A230,$B230)</f>
        <v>0</v>
      </c>
      <c r="O230" s="4">
        <f ca="1">_xll.DBRW($B$1,$B$2,$B$7,$B$3,$B$4,$B$5,$F230,$B$6,O$10,$A230,$B230)</f>
        <v>0</v>
      </c>
      <c r="P230" s="4">
        <f ca="1">_xll.DBRW($B$1,$B$2,$B$7,$B$3,$B$4,$B$5,$F230,$B$6,P$10,$A230,$B230)</f>
        <v>0</v>
      </c>
      <c r="Q230" s="4">
        <f ca="1">_xll.DBRW($B$1,$B$2,$B$7,$B$3,$B$4,$B$5,$F230,$B$6,Q$10,$A230,$B230)</f>
        <v>0</v>
      </c>
      <c r="R230" s="4">
        <f ca="1">_xll.DBRW($B$1,$B$2,$B$7,$B$3,$B$4,$B$5,$F230,$B$6,R$10,$A230,$B230)</f>
        <v>0</v>
      </c>
      <c r="S230" s="4">
        <f ca="1">_xll.DBRW($B$1,$B$2,$B$7,$B$3,$B$4,$B$5,$F230,$B$6,S$10,$A230,$B230)</f>
        <v>0</v>
      </c>
      <c r="T230" s="4">
        <f ca="1">_xll.DBRW($B$1,$B$2,$B$7,$B$3,$B$4,$B$5,$F230,$B$6,T$10,$A230,$B230)</f>
        <v>0</v>
      </c>
      <c r="U230" s="4">
        <f ca="1">_xll.DBRW($B$1,$B$2,$B$7,$B$3,$B$4,$B$5,$F230,$B$6,U$10,$A230,$B230)</f>
        <v>0</v>
      </c>
      <c r="V230" s="4">
        <f ca="1">_xll.DBRW($B$1,$B$2,$B$7,$B$3,$B$4,$B$5,$F230,$B$6,V$10,$A230,$B230)</f>
        <v>0</v>
      </c>
      <c r="W230" s="4">
        <f ca="1">_xll.DBRW($B$1,$B$2,$B$7,$B$3,$B$4,$B$5,$F230,$B$6,W$10,$A230,$B230)</f>
        <v>0</v>
      </c>
      <c r="X230" s="4">
        <f ca="1">_xll.DBRW($B$1,$B$2,$B$7,$B$3,$B$4,$B$5,$F230,$B$6,X$10,$A230,$B230)</f>
        <v>0</v>
      </c>
      <c r="Y230" s="4">
        <f ca="1">_xll.DBRW($B$1,$B$2,$B$7,$B$3,$B$4,$B$5,$F230,$B$6,Y$10,$A230,$B230)</f>
        <v>0</v>
      </c>
      <c r="Z230" s="4">
        <f ca="1">_xll.DBRW($B$1,$B$2,$B$7,$B$3,$B$4,$B$5,$F230,$B$6,Z$10,$A230,$B230)</f>
        <v>0</v>
      </c>
      <c r="AA230" s="4">
        <f ca="1">_xll.DBRW($B$1,$B$2,$B$7,$B$3,$B$4,$B$5,$F230,$B$6,AA$10,$A230,$B230)</f>
        <v>0</v>
      </c>
      <c r="AB230" s="4">
        <f ca="1">_xll.DBRW($B$1,$B$2,$B$7,$B$3,$B$4,$B$5,$F230,$B$6,AB$10,$A230,$B230)</f>
        <v>0</v>
      </c>
      <c r="AC230" s="4">
        <f ca="1">_xll.DBRW($B$1,$B$2,$B$7,$B$3,$B$4,$B$5,$F230,$B$6,AC$10,$A230,$B230)</f>
        <v>0</v>
      </c>
      <c r="AD230" s="4">
        <f ca="1">_xll.DBRW($B$1,$B$2,$B$7,$B$3,$B$4,$B$5,$F230,$B$6,AD$10,$A230,$B230)</f>
        <v>0</v>
      </c>
      <c r="AE230" s="4">
        <f ca="1">_xll.DBRW($B$1,$B$2,$B$7,$B$3,$B$4,$B$5,$F230,$B$6,AE$10,$A230,$B230)</f>
        <v>0</v>
      </c>
    </row>
    <row r="231" spans="1:31">
      <c r="A231" s="1" t="s">
        <v>150</v>
      </c>
      <c r="B231" s="5" t="s">
        <v>302</v>
      </c>
      <c r="C231" s="5" t="s">
        <v>303</v>
      </c>
      <c r="D231" s="5" t="s">
        <v>21</v>
      </c>
      <c r="E231" s="5" t="s">
        <v>304</v>
      </c>
      <c r="F231" s="5" t="s">
        <v>313</v>
      </c>
      <c r="G231" s="6"/>
      <c r="H231" s="6"/>
      <c r="I231" s="6"/>
      <c r="J231" s="6"/>
      <c r="K231" s="6"/>
      <c r="L231" s="4">
        <f ca="1">_xll.DBRW($B$1,$B$2,$B$7,$B$3,$B$4,$B$5,$F231,$B$6,L$10,$A231,$B231)</f>
        <v>0</v>
      </c>
      <c r="M231" s="4">
        <f ca="1">_xll.DBRW($B$1,$B$2,$B$7,$B$3,$B$4,$B$5,$F231,$B$6,M$10,$A231,$B231)</f>
        <v>0</v>
      </c>
      <c r="N231" s="4">
        <f ca="1">_xll.DBRW($B$1,$B$2,$B$7,$B$3,$B$4,$B$5,$F231,$B$6,N$10,$A231,$B231)</f>
        <v>0</v>
      </c>
      <c r="O231" s="4">
        <f ca="1">_xll.DBRW($B$1,$B$2,$B$7,$B$3,$B$4,$B$5,$F231,$B$6,O$10,$A231,$B231)</f>
        <v>0</v>
      </c>
      <c r="P231" s="4">
        <f ca="1">_xll.DBRW($B$1,$B$2,$B$7,$B$3,$B$4,$B$5,$F231,$B$6,P$10,$A231,$B231)</f>
        <v>0</v>
      </c>
      <c r="Q231" s="4">
        <f ca="1">_xll.DBRW($B$1,$B$2,$B$7,$B$3,$B$4,$B$5,$F231,$B$6,Q$10,$A231,$B231)</f>
        <v>0</v>
      </c>
      <c r="R231" s="4">
        <f ca="1">_xll.DBRW($B$1,$B$2,$B$7,$B$3,$B$4,$B$5,$F231,$B$6,R$10,$A231,$B231)</f>
        <v>0</v>
      </c>
      <c r="S231" s="4">
        <f ca="1">_xll.DBRW($B$1,$B$2,$B$7,$B$3,$B$4,$B$5,$F231,$B$6,S$10,$A231,$B231)</f>
        <v>0</v>
      </c>
      <c r="T231" s="4">
        <f ca="1">_xll.DBRW($B$1,$B$2,$B$7,$B$3,$B$4,$B$5,$F231,$B$6,T$10,$A231,$B231)</f>
        <v>0</v>
      </c>
      <c r="U231" s="4">
        <f ca="1">_xll.DBRW($B$1,$B$2,$B$7,$B$3,$B$4,$B$5,$F231,$B$6,U$10,$A231,$B231)</f>
        <v>0</v>
      </c>
      <c r="V231" s="4">
        <f ca="1">_xll.DBRW($B$1,$B$2,$B$7,$B$3,$B$4,$B$5,$F231,$B$6,V$10,$A231,$B231)</f>
        <v>0</v>
      </c>
      <c r="W231" s="4">
        <f ca="1">_xll.DBRW($B$1,$B$2,$B$7,$B$3,$B$4,$B$5,$F231,$B$6,W$10,$A231,$B231)</f>
        <v>0</v>
      </c>
      <c r="X231" s="4">
        <f ca="1">_xll.DBRW($B$1,$B$2,$B$7,$B$3,$B$4,$B$5,$F231,$B$6,X$10,$A231,$B231)</f>
        <v>0</v>
      </c>
      <c r="Y231" s="4">
        <f ca="1">_xll.DBRW($B$1,$B$2,$B$7,$B$3,$B$4,$B$5,$F231,$B$6,Y$10,$A231,$B231)</f>
        <v>0</v>
      </c>
      <c r="Z231" s="4">
        <f ca="1">_xll.DBRW($B$1,$B$2,$B$7,$B$3,$B$4,$B$5,$F231,$B$6,Z$10,$A231,$B231)</f>
        <v>0</v>
      </c>
      <c r="AA231" s="4">
        <f ca="1">_xll.DBRW($B$1,$B$2,$B$7,$B$3,$B$4,$B$5,$F231,$B$6,AA$10,$A231,$B231)</f>
        <v>0</v>
      </c>
      <c r="AB231" s="4">
        <f ca="1">_xll.DBRW($B$1,$B$2,$B$7,$B$3,$B$4,$B$5,$F231,$B$6,AB$10,$A231,$B231)</f>
        <v>0</v>
      </c>
      <c r="AC231" s="4">
        <f ca="1">_xll.DBRW($B$1,$B$2,$B$7,$B$3,$B$4,$B$5,$F231,$B$6,AC$10,$A231,$B231)</f>
        <v>0</v>
      </c>
      <c r="AD231" s="4">
        <f ca="1">_xll.DBRW($B$1,$B$2,$B$7,$B$3,$B$4,$B$5,$F231,$B$6,AD$10,$A231,$B231)</f>
        <v>0</v>
      </c>
      <c r="AE231" s="4">
        <f ca="1">_xll.DBRW($B$1,$B$2,$B$7,$B$3,$B$4,$B$5,$F231,$B$6,AE$10,$A231,$B231)</f>
        <v>0</v>
      </c>
    </row>
    <row r="232" spans="1:31">
      <c r="A232" s="1" t="s">
        <v>150</v>
      </c>
      <c r="B232" s="5" t="s">
        <v>305</v>
      </c>
      <c r="C232" s="5" t="s">
        <v>306</v>
      </c>
      <c r="D232" s="5" t="s">
        <v>304</v>
      </c>
      <c r="E232" s="5" t="s">
        <v>21</v>
      </c>
      <c r="F232" s="5" t="s">
        <v>313</v>
      </c>
      <c r="G232" s="6"/>
      <c r="H232" s="6"/>
      <c r="I232" s="6"/>
      <c r="J232" s="6"/>
      <c r="K232" s="6"/>
      <c r="L232" s="4">
        <f ca="1">_xll.DBRW($B$1,$B$2,$B$7,$B$3,$B$4,$B$5,$F232,$B$6,L$10,$A232,$B232)</f>
        <v>0</v>
      </c>
      <c r="M232" s="4">
        <f ca="1">_xll.DBRW($B$1,$B$2,$B$7,$B$3,$B$4,$B$5,$F232,$B$6,M$10,$A232,$B232)</f>
        <v>0</v>
      </c>
      <c r="N232" s="4">
        <f ca="1">_xll.DBRW($B$1,$B$2,$B$7,$B$3,$B$4,$B$5,$F232,$B$6,N$10,$A232,$B232)</f>
        <v>0</v>
      </c>
      <c r="O232" s="4">
        <f ca="1">_xll.DBRW($B$1,$B$2,$B$7,$B$3,$B$4,$B$5,$F232,$B$6,O$10,$A232,$B232)</f>
        <v>0</v>
      </c>
      <c r="P232" s="4">
        <f ca="1">_xll.DBRW($B$1,$B$2,$B$7,$B$3,$B$4,$B$5,$F232,$B$6,P$10,$A232,$B232)</f>
        <v>0</v>
      </c>
      <c r="Q232" s="4">
        <f ca="1">_xll.DBRW($B$1,$B$2,$B$7,$B$3,$B$4,$B$5,$F232,$B$6,Q$10,$A232,$B232)</f>
        <v>0</v>
      </c>
      <c r="R232" s="4">
        <f ca="1">_xll.DBRW($B$1,$B$2,$B$7,$B$3,$B$4,$B$5,$F232,$B$6,R$10,$A232,$B232)</f>
        <v>0</v>
      </c>
      <c r="S232" s="4">
        <f ca="1">_xll.DBRW($B$1,$B$2,$B$7,$B$3,$B$4,$B$5,$F232,$B$6,S$10,$A232,$B232)</f>
        <v>0</v>
      </c>
      <c r="T232" s="4">
        <f ca="1">_xll.DBRW($B$1,$B$2,$B$7,$B$3,$B$4,$B$5,$F232,$B$6,T$10,$A232,$B232)</f>
        <v>0</v>
      </c>
      <c r="U232" s="4">
        <f ca="1">_xll.DBRW($B$1,$B$2,$B$7,$B$3,$B$4,$B$5,$F232,$B$6,U$10,$A232,$B232)</f>
        <v>0</v>
      </c>
      <c r="V232" s="4">
        <f ca="1">_xll.DBRW($B$1,$B$2,$B$7,$B$3,$B$4,$B$5,$F232,$B$6,V$10,$A232,$B232)</f>
        <v>0</v>
      </c>
      <c r="W232" s="4">
        <f ca="1">_xll.DBRW($B$1,$B$2,$B$7,$B$3,$B$4,$B$5,$F232,$B$6,W$10,$A232,$B232)</f>
        <v>0</v>
      </c>
      <c r="X232" s="4">
        <f ca="1">_xll.DBRW($B$1,$B$2,$B$7,$B$3,$B$4,$B$5,$F232,$B$6,X$10,$A232,$B232)</f>
        <v>0</v>
      </c>
      <c r="Y232" s="4">
        <f ca="1">_xll.DBRW($B$1,$B$2,$B$7,$B$3,$B$4,$B$5,$F232,$B$6,Y$10,$A232,$B232)</f>
        <v>0</v>
      </c>
      <c r="Z232" s="4">
        <f ca="1">_xll.DBRW($B$1,$B$2,$B$7,$B$3,$B$4,$B$5,$F232,$B$6,Z$10,$A232,$B232)</f>
        <v>0</v>
      </c>
      <c r="AA232" s="4">
        <f ca="1">_xll.DBRW($B$1,$B$2,$B$7,$B$3,$B$4,$B$5,$F232,$B$6,AA$10,$A232,$B232)</f>
        <v>0</v>
      </c>
      <c r="AB232" s="4">
        <f ca="1">_xll.DBRW($B$1,$B$2,$B$7,$B$3,$B$4,$B$5,$F232,$B$6,AB$10,$A232,$B232)</f>
        <v>0</v>
      </c>
      <c r="AC232" s="4">
        <f ca="1">_xll.DBRW($B$1,$B$2,$B$7,$B$3,$B$4,$B$5,$F232,$B$6,AC$10,$A232,$B232)</f>
        <v>0</v>
      </c>
      <c r="AD232" s="4">
        <f ca="1">_xll.DBRW($B$1,$B$2,$B$7,$B$3,$B$4,$B$5,$F232,$B$6,AD$10,$A232,$B232)</f>
        <v>0</v>
      </c>
      <c r="AE232" s="4">
        <f ca="1">_xll.DBRW($B$1,$B$2,$B$7,$B$3,$B$4,$B$5,$F232,$B$6,AE$10,$A232,$B232)</f>
        <v>0</v>
      </c>
    </row>
    <row r="233" spans="1:31">
      <c r="A233" s="1" t="s">
        <v>150</v>
      </c>
      <c r="B233" s="5" t="s">
        <v>307</v>
      </c>
      <c r="C233" s="5" t="s">
        <v>308</v>
      </c>
      <c r="D233" s="5" t="s">
        <v>21</v>
      </c>
      <c r="E233" s="5" t="s">
        <v>309</v>
      </c>
      <c r="F233" s="5" t="s">
        <v>313</v>
      </c>
      <c r="G233" s="6"/>
      <c r="H233" s="6"/>
      <c r="I233" s="6"/>
      <c r="J233" s="6"/>
      <c r="K233" s="6"/>
      <c r="L233" s="4">
        <f ca="1">_xll.DBRW($B$1,$B$2,$B$7,$B$3,$B$4,$B$5,$F233,$B$6,L$10,$A233,$B233)</f>
        <v>0</v>
      </c>
      <c r="M233" s="4">
        <f ca="1">_xll.DBRW($B$1,$B$2,$B$7,$B$3,$B$4,$B$5,$F233,$B$6,M$10,$A233,$B233)</f>
        <v>0</v>
      </c>
      <c r="N233" s="4">
        <f ca="1">_xll.DBRW($B$1,$B$2,$B$7,$B$3,$B$4,$B$5,$F233,$B$6,N$10,$A233,$B233)</f>
        <v>0</v>
      </c>
      <c r="O233" s="4">
        <f ca="1">_xll.DBRW($B$1,$B$2,$B$7,$B$3,$B$4,$B$5,$F233,$B$6,O$10,$A233,$B233)</f>
        <v>0</v>
      </c>
      <c r="P233" s="4">
        <f ca="1">_xll.DBRW($B$1,$B$2,$B$7,$B$3,$B$4,$B$5,$F233,$B$6,P$10,$A233,$B233)</f>
        <v>0</v>
      </c>
      <c r="Q233" s="4">
        <f ca="1">_xll.DBRW($B$1,$B$2,$B$7,$B$3,$B$4,$B$5,$F233,$B$6,Q$10,$A233,$B233)</f>
        <v>0</v>
      </c>
      <c r="R233" s="4">
        <f ca="1">_xll.DBRW($B$1,$B$2,$B$7,$B$3,$B$4,$B$5,$F233,$B$6,R$10,$A233,$B233)</f>
        <v>0</v>
      </c>
      <c r="S233" s="4">
        <f ca="1">_xll.DBRW($B$1,$B$2,$B$7,$B$3,$B$4,$B$5,$F233,$B$6,S$10,$A233,$B233)</f>
        <v>0</v>
      </c>
      <c r="T233" s="4">
        <f ca="1">_xll.DBRW($B$1,$B$2,$B$7,$B$3,$B$4,$B$5,$F233,$B$6,T$10,$A233,$B233)</f>
        <v>0</v>
      </c>
      <c r="U233" s="4">
        <f ca="1">_xll.DBRW($B$1,$B$2,$B$7,$B$3,$B$4,$B$5,$F233,$B$6,U$10,$A233,$B233)</f>
        <v>0</v>
      </c>
      <c r="V233" s="4">
        <f ca="1">_xll.DBRW($B$1,$B$2,$B$7,$B$3,$B$4,$B$5,$F233,$B$6,V$10,$A233,$B233)</f>
        <v>0</v>
      </c>
      <c r="W233" s="4">
        <f ca="1">_xll.DBRW($B$1,$B$2,$B$7,$B$3,$B$4,$B$5,$F233,$B$6,W$10,$A233,$B233)</f>
        <v>0</v>
      </c>
      <c r="X233" s="4">
        <f ca="1">_xll.DBRW($B$1,$B$2,$B$7,$B$3,$B$4,$B$5,$F233,$B$6,X$10,$A233,$B233)</f>
        <v>0</v>
      </c>
      <c r="Y233" s="4">
        <f ca="1">_xll.DBRW($B$1,$B$2,$B$7,$B$3,$B$4,$B$5,$F233,$B$6,Y$10,$A233,$B233)</f>
        <v>0</v>
      </c>
      <c r="Z233" s="4">
        <f ca="1">_xll.DBRW($B$1,$B$2,$B$7,$B$3,$B$4,$B$5,$F233,$B$6,Z$10,$A233,$B233)</f>
        <v>0</v>
      </c>
      <c r="AA233" s="4">
        <f ca="1">_xll.DBRW($B$1,$B$2,$B$7,$B$3,$B$4,$B$5,$F233,$B$6,AA$10,$A233,$B233)</f>
        <v>0</v>
      </c>
      <c r="AB233" s="4">
        <f ca="1">_xll.DBRW($B$1,$B$2,$B$7,$B$3,$B$4,$B$5,$F233,$B$6,AB$10,$A233,$B233)</f>
        <v>0</v>
      </c>
      <c r="AC233" s="4">
        <f ca="1">_xll.DBRW($B$1,$B$2,$B$7,$B$3,$B$4,$B$5,$F233,$B$6,AC$10,$A233,$B233)</f>
        <v>0</v>
      </c>
      <c r="AD233" s="4">
        <f ca="1">_xll.DBRW($B$1,$B$2,$B$7,$B$3,$B$4,$B$5,$F233,$B$6,AD$10,$A233,$B233)</f>
        <v>0</v>
      </c>
      <c r="AE233" s="4">
        <f ca="1">_xll.DBRW($B$1,$B$2,$B$7,$B$3,$B$4,$B$5,$F233,$B$6,AE$10,$A233,$B233)</f>
        <v>0</v>
      </c>
    </row>
    <row r="234" spans="1:31">
      <c r="A234" s="1" t="s">
        <v>150</v>
      </c>
      <c r="B234" s="5" t="s">
        <v>310</v>
      </c>
      <c r="C234" s="5" t="s">
        <v>311</v>
      </c>
      <c r="D234" s="5" t="s">
        <v>309</v>
      </c>
      <c r="E234" s="5" t="s">
        <v>21</v>
      </c>
      <c r="F234" s="5" t="s">
        <v>313</v>
      </c>
      <c r="G234" s="6"/>
      <c r="H234" s="6"/>
      <c r="I234" s="6"/>
      <c r="J234" s="6"/>
      <c r="K234" s="6"/>
      <c r="L234" s="4">
        <f ca="1">_xll.DBRW($B$1,$B$2,$B$7,$B$3,$B$4,$B$5,$F234,$B$6,L$10,$A234,$B234)</f>
        <v>0</v>
      </c>
      <c r="M234" s="4">
        <f ca="1">_xll.DBRW($B$1,$B$2,$B$7,$B$3,$B$4,$B$5,$F234,$B$6,M$10,$A234,$B234)</f>
        <v>0</v>
      </c>
      <c r="N234" s="4">
        <f ca="1">_xll.DBRW($B$1,$B$2,$B$7,$B$3,$B$4,$B$5,$F234,$B$6,N$10,$A234,$B234)</f>
        <v>0</v>
      </c>
      <c r="O234" s="4">
        <f ca="1">_xll.DBRW($B$1,$B$2,$B$7,$B$3,$B$4,$B$5,$F234,$B$6,O$10,$A234,$B234)</f>
        <v>0</v>
      </c>
      <c r="P234" s="4">
        <f ca="1">_xll.DBRW($B$1,$B$2,$B$7,$B$3,$B$4,$B$5,$F234,$B$6,P$10,$A234,$B234)</f>
        <v>0</v>
      </c>
      <c r="Q234" s="4">
        <f ca="1">_xll.DBRW($B$1,$B$2,$B$7,$B$3,$B$4,$B$5,$F234,$B$6,Q$10,$A234,$B234)</f>
        <v>0</v>
      </c>
      <c r="R234" s="4">
        <f ca="1">_xll.DBRW($B$1,$B$2,$B$7,$B$3,$B$4,$B$5,$F234,$B$6,R$10,$A234,$B234)</f>
        <v>0</v>
      </c>
      <c r="S234" s="4">
        <f ca="1">_xll.DBRW($B$1,$B$2,$B$7,$B$3,$B$4,$B$5,$F234,$B$6,S$10,$A234,$B234)</f>
        <v>0</v>
      </c>
      <c r="T234" s="4">
        <f ca="1">_xll.DBRW($B$1,$B$2,$B$7,$B$3,$B$4,$B$5,$F234,$B$6,T$10,$A234,$B234)</f>
        <v>0</v>
      </c>
      <c r="U234" s="4">
        <f ca="1">_xll.DBRW($B$1,$B$2,$B$7,$B$3,$B$4,$B$5,$F234,$B$6,U$10,$A234,$B234)</f>
        <v>0</v>
      </c>
      <c r="V234" s="4">
        <f ca="1">_xll.DBRW($B$1,$B$2,$B$7,$B$3,$B$4,$B$5,$F234,$B$6,V$10,$A234,$B234)</f>
        <v>0</v>
      </c>
      <c r="W234" s="4">
        <f ca="1">_xll.DBRW($B$1,$B$2,$B$7,$B$3,$B$4,$B$5,$F234,$B$6,W$10,$A234,$B234)</f>
        <v>0</v>
      </c>
      <c r="X234" s="4">
        <f ca="1">_xll.DBRW($B$1,$B$2,$B$7,$B$3,$B$4,$B$5,$F234,$B$6,X$10,$A234,$B234)</f>
        <v>0</v>
      </c>
      <c r="Y234" s="4">
        <f ca="1">_xll.DBRW($B$1,$B$2,$B$7,$B$3,$B$4,$B$5,$F234,$B$6,Y$10,$A234,$B234)</f>
        <v>0</v>
      </c>
      <c r="Z234" s="4">
        <f ca="1">_xll.DBRW($B$1,$B$2,$B$7,$B$3,$B$4,$B$5,$F234,$B$6,Z$10,$A234,$B234)</f>
        <v>0</v>
      </c>
      <c r="AA234" s="4">
        <f ca="1">_xll.DBRW($B$1,$B$2,$B$7,$B$3,$B$4,$B$5,$F234,$B$6,AA$10,$A234,$B234)</f>
        <v>0</v>
      </c>
      <c r="AB234" s="4">
        <f ca="1">_xll.DBRW($B$1,$B$2,$B$7,$B$3,$B$4,$B$5,$F234,$B$6,AB$10,$A234,$B234)</f>
        <v>0</v>
      </c>
      <c r="AC234" s="4">
        <f ca="1">_xll.DBRW($B$1,$B$2,$B$7,$B$3,$B$4,$B$5,$F234,$B$6,AC$10,$A234,$B234)</f>
        <v>0</v>
      </c>
      <c r="AD234" s="4">
        <f ca="1">_xll.DBRW($B$1,$B$2,$B$7,$B$3,$B$4,$B$5,$F234,$B$6,AD$10,$A234,$B234)</f>
        <v>0</v>
      </c>
      <c r="AE234" s="4">
        <f ca="1">_xll.DBRW($B$1,$B$2,$B$7,$B$3,$B$4,$B$5,$F234,$B$6,AE$10,$A234,$B234)</f>
        <v>0</v>
      </c>
    </row>
    <row r="235" spans="1:31">
      <c r="A235" s="1" t="s">
        <v>150</v>
      </c>
      <c r="B235" s="5" t="s">
        <v>158</v>
      </c>
      <c r="C235" s="5" t="s">
        <v>159</v>
      </c>
      <c r="D235" s="5" t="s">
        <v>21</v>
      </c>
      <c r="E235" s="5" t="s">
        <v>38</v>
      </c>
      <c r="F235" s="5" t="s">
        <v>314</v>
      </c>
      <c r="G235" s="6"/>
      <c r="H235" s="6"/>
      <c r="I235" s="6"/>
      <c r="J235" s="6"/>
      <c r="K235" s="6"/>
      <c r="L235" s="4">
        <f ca="1">_xll.DBRW($B$1,$B$2,$B$7,$B$3,$B$4,$B$5,$F235,$B$6,L$10,$A235,$B235)</f>
        <v>28</v>
      </c>
      <c r="M235" s="4">
        <f ca="1">_xll.DBRW($B$1,$B$2,$B$7,$B$3,$B$4,$B$5,$F235,$B$6,M$10,$A235,$B235)</f>
        <v>27</v>
      </c>
      <c r="N235" s="4">
        <f ca="1">_xll.DBRW($B$1,$B$2,$B$7,$B$3,$B$4,$B$5,$F235,$B$6,N$10,$A235,$B235)</f>
        <v>28</v>
      </c>
      <c r="O235" s="4">
        <f ca="1">_xll.DBRW($B$1,$B$2,$B$7,$B$3,$B$4,$B$5,$F235,$B$6,O$10,$A235,$B235)</f>
        <v>29</v>
      </c>
      <c r="P235" s="4">
        <f ca="1">_xll.DBRW($B$1,$B$2,$B$7,$B$3,$B$4,$B$5,$F235,$B$6,P$10,$A235,$B235)</f>
        <v>28</v>
      </c>
      <c r="Q235" s="4">
        <f ca="1">_xll.DBRW($B$1,$B$2,$B$7,$B$3,$B$4,$B$5,$F235,$B$6,Q$10,$A235,$B235)</f>
        <v>24</v>
      </c>
      <c r="R235" s="4">
        <f ca="1">_xll.DBRW($B$1,$B$2,$B$7,$B$3,$B$4,$B$5,$F235,$B$6,R$10,$A235,$B235)</f>
        <v>0</v>
      </c>
      <c r="S235" s="4">
        <f ca="1">_xll.DBRW($B$1,$B$2,$B$7,$B$3,$B$4,$B$5,$F235,$B$6,S$10,$A235,$B235)</f>
        <v>0</v>
      </c>
      <c r="T235" s="4">
        <f ca="1">_xll.DBRW($B$1,$B$2,$B$7,$B$3,$B$4,$B$5,$F235,$B$6,T$10,$A235,$B235)</f>
        <v>31</v>
      </c>
      <c r="U235" s="4">
        <f ca="1">_xll.DBRW($B$1,$B$2,$B$7,$B$3,$B$4,$B$5,$F235,$B$6,U$10,$A235,$B235)</f>
        <v>28</v>
      </c>
      <c r="V235" s="4">
        <f ca="1">_xll.DBRW($B$1,$B$2,$B$7,$B$3,$B$4,$B$5,$F235,$B$6,V$10,$A235,$B235)</f>
        <v>30</v>
      </c>
      <c r="W235" s="4">
        <f ca="1">_xll.DBRW($B$1,$B$2,$B$7,$B$3,$B$4,$B$5,$F235,$B$6,W$10,$A235,$B235)</f>
        <v>4</v>
      </c>
      <c r="X235" s="4">
        <f ca="1">_xll.DBRW($B$1,$B$2,$B$7,$B$3,$B$4,$B$5,$F235,$B$6,X$10,$A235,$B235)</f>
        <v>4</v>
      </c>
      <c r="Y235" s="4">
        <f ca="1">_xll.DBRW($B$1,$B$2,$B$7,$B$3,$B$4,$B$5,$F235,$B$6,Y$10,$A235,$B235)</f>
        <v>5</v>
      </c>
      <c r="Z235" s="4">
        <f ca="1">_xll.DBRW($B$1,$B$2,$B$7,$B$3,$B$4,$B$5,$F235,$B$6,Z$10,$A235,$B235)</f>
        <v>4</v>
      </c>
      <c r="AA235" s="4">
        <f ca="1">_xll.DBRW($B$1,$B$2,$B$7,$B$3,$B$4,$B$5,$F235,$B$6,AA$10,$A235,$B235)</f>
        <v>5</v>
      </c>
      <c r="AB235" s="4">
        <f ca="1">_xll.DBRW($B$1,$B$2,$B$7,$B$3,$B$4,$B$5,$F235,$B$6,AB$10,$A235,$B235)</f>
        <v>4</v>
      </c>
      <c r="AC235" s="4">
        <f ca="1">_xll.DBRW($B$1,$B$2,$B$7,$B$3,$B$4,$B$5,$F235,$B$6,AC$10,$A235,$B235)</f>
        <v>9</v>
      </c>
      <c r="AD235" s="4">
        <f ca="1">_xll.DBRW($B$1,$B$2,$B$7,$B$3,$B$4,$B$5,$F235,$B$6,AD$10,$A235,$B235)</f>
        <v>30</v>
      </c>
      <c r="AE235" s="4">
        <f ca="1">_xll.DBRW($B$1,$B$2,$B$7,$B$3,$B$4,$B$5,$F235,$B$6,AE$10,$A235,$B235)</f>
        <v>31</v>
      </c>
    </row>
    <row r="236" spans="1:31">
      <c r="A236" s="1" t="s">
        <v>150</v>
      </c>
      <c r="B236" s="5" t="s">
        <v>36</v>
      </c>
      <c r="C236" s="5" t="s">
        <v>37</v>
      </c>
      <c r="D236" s="5" t="s">
        <v>38</v>
      </c>
      <c r="E236" s="5" t="s">
        <v>21</v>
      </c>
      <c r="F236" s="5" t="s">
        <v>314</v>
      </c>
      <c r="G236" s="6"/>
      <c r="H236" s="6"/>
      <c r="I236" s="6"/>
      <c r="J236" s="6"/>
      <c r="K236" s="6"/>
      <c r="L236" s="4">
        <f ca="1">_xll.DBRW($B$1,$B$2,$B$7,$B$3,$B$4,$B$5,$F236,$B$6,L$10,$A236,$B236)</f>
        <v>24</v>
      </c>
      <c r="M236" s="4">
        <f ca="1">_xll.DBRW($B$1,$B$2,$B$7,$B$3,$B$4,$B$5,$F236,$B$6,M$10,$A236,$B236)</f>
        <v>27</v>
      </c>
      <c r="N236" s="4">
        <f ca="1">_xll.DBRW($B$1,$B$2,$B$7,$B$3,$B$4,$B$5,$F236,$B$6,N$10,$A236,$B236)</f>
        <v>25</v>
      </c>
      <c r="O236" s="4">
        <f ca="1">_xll.DBRW($B$1,$B$2,$B$7,$B$3,$B$4,$B$5,$F236,$B$6,O$10,$A236,$B236)</f>
        <v>29</v>
      </c>
      <c r="P236" s="4">
        <f ca="1">_xll.DBRW($B$1,$B$2,$B$7,$B$3,$B$4,$B$5,$F236,$B$6,P$10,$A236,$B236)</f>
        <v>28</v>
      </c>
      <c r="Q236" s="4">
        <f ca="1">_xll.DBRW($B$1,$B$2,$B$7,$B$3,$B$4,$B$5,$F236,$B$6,Q$10,$A236,$B236)</f>
        <v>24</v>
      </c>
      <c r="R236" s="4">
        <f ca="1">_xll.DBRW($B$1,$B$2,$B$7,$B$3,$B$4,$B$5,$F236,$B$6,R$10,$A236,$B236)</f>
        <v>0</v>
      </c>
      <c r="S236" s="4">
        <f ca="1">_xll.DBRW($B$1,$B$2,$B$7,$B$3,$B$4,$B$5,$F236,$B$6,S$10,$A236,$B236)</f>
        <v>0</v>
      </c>
      <c r="T236" s="4">
        <f ca="1">_xll.DBRW($B$1,$B$2,$B$7,$B$3,$B$4,$B$5,$F236,$B$6,T$10,$A236,$B236)</f>
        <v>21</v>
      </c>
      <c r="U236" s="4">
        <f ca="1">_xll.DBRW($B$1,$B$2,$B$7,$B$3,$B$4,$B$5,$F236,$B$6,U$10,$A236,$B236)</f>
        <v>20</v>
      </c>
      <c r="V236" s="4">
        <f ca="1">_xll.DBRW($B$1,$B$2,$B$7,$B$3,$B$4,$B$5,$F236,$B$6,V$10,$A236,$B236)</f>
        <v>22</v>
      </c>
      <c r="W236" s="4">
        <f ca="1">_xll.DBRW($B$1,$B$2,$B$7,$B$3,$B$4,$B$5,$F236,$B$6,W$10,$A236,$B236)</f>
        <v>4</v>
      </c>
      <c r="X236" s="4">
        <f ca="1">_xll.DBRW($B$1,$B$2,$B$7,$B$3,$B$4,$B$5,$F236,$B$6,X$10,$A236,$B236)</f>
        <v>4</v>
      </c>
      <c r="Y236" s="4">
        <f ca="1">_xll.DBRW($B$1,$B$2,$B$7,$B$3,$B$4,$B$5,$F236,$B$6,Y$10,$A236,$B236)</f>
        <v>5</v>
      </c>
      <c r="Z236" s="4">
        <f ca="1">_xll.DBRW($B$1,$B$2,$B$7,$B$3,$B$4,$B$5,$F236,$B$6,Z$10,$A236,$B236)</f>
        <v>4</v>
      </c>
      <c r="AA236" s="4">
        <f ca="1">_xll.DBRW($B$1,$B$2,$B$7,$B$3,$B$4,$B$5,$F236,$B$6,AA$10,$A236,$B236)</f>
        <v>5</v>
      </c>
      <c r="AB236" s="4">
        <f ca="1">_xll.DBRW($B$1,$B$2,$B$7,$B$3,$B$4,$B$5,$F236,$B$6,AB$10,$A236,$B236)</f>
        <v>4</v>
      </c>
      <c r="AC236" s="4">
        <f ca="1">_xll.DBRW($B$1,$B$2,$B$7,$B$3,$B$4,$B$5,$F236,$B$6,AC$10,$A236,$B236)</f>
        <v>7</v>
      </c>
      <c r="AD236" s="4">
        <f ca="1">_xll.DBRW($B$1,$B$2,$B$7,$B$3,$B$4,$B$5,$F236,$B$6,AD$10,$A236,$B236)</f>
        <v>22</v>
      </c>
      <c r="AE236" s="4">
        <f ca="1">_xll.DBRW($B$1,$B$2,$B$7,$B$3,$B$4,$B$5,$F236,$B$6,AE$10,$A236,$B236)</f>
        <v>22</v>
      </c>
    </row>
    <row r="237" spans="1:31">
      <c r="A237" s="1" t="s">
        <v>150</v>
      </c>
      <c r="B237" s="5" t="s">
        <v>160</v>
      </c>
      <c r="C237" s="5" t="s">
        <v>161</v>
      </c>
      <c r="D237" s="5" t="s">
        <v>21</v>
      </c>
      <c r="E237" s="5" t="s">
        <v>69</v>
      </c>
      <c r="F237" s="5" t="s">
        <v>314</v>
      </c>
      <c r="G237" s="6"/>
      <c r="H237" s="6"/>
      <c r="I237" s="6"/>
      <c r="J237" s="6"/>
      <c r="K237" s="6"/>
      <c r="L237" s="4">
        <f ca="1">_xll.DBRW($B$1,$B$2,$B$7,$B$3,$B$4,$B$5,$F237,$B$6,L$10,$A237,$B237)</f>
        <v>1</v>
      </c>
      <c r="M237" s="4">
        <f ca="1">_xll.DBRW($B$1,$B$2,$B$7,$B$3,$B$4,$B$5,$F237,$B$6,M$10,$A237,$B237)</f>
        <v>4</v>
      </c>
      <c r="N237" s="4">
        <f ca="1">_xll.DBRW($B$1,$B$2,$B$7,$B$3,$B$4,$B$5,$F237,$B$6,N$10,$A237,$B237)</f>
        <v>1</v>
      </c>
      <c r="O237" s="4">
        <f ca="1">_xll.DBRW($B$1,$B$2,$B$7,$B$3,$B$4,$B$5,$F237,$B$6,O$10,$A237,$B237)</f>
        <v>0</v>
      </c>
      <c r="P237" s="4">
        <f ca="1">_xll.DBRW($B$1,$B$2,$B$7,$B$3,$B$4,$B$5,$F237,$B$6,P$10,$A237,$B237)</f>
        <v>0</v>
      </c>
      <c r="Q237" s="4">
        <f ca="1">_xll.DBRW($B$1,$B$2,$B$7,$B$3,$B$4,$B$5,$F237,$B$6,Q$10,$A237,$B237)</f>
        <v>0</v>
      </c>
      <c r="R237" s="4">
        <f ca="1">_xll.DBRW($B$1,$B$2,$B$7,$B$3,$B$4,$B$5,$F237,$B$6,R$10,$A237,$B237)</f>
        <v>0</v>
      </c>
      <c r="S237" s="4">
        <f ca="1">_xll.DBRW($B$1,$B$2,$B$7,$B$3,$B$4,$B$5,$F237,$B$6,S$10,$A237,$B237)</f>
        <v>0</v>
      </c>
      <c r="T237" s="4">
        <f ca="1">_xll.DBRW($B$1,$B$2,$B$7,$B$3,$B$4,$B$5,$F237,$B$6,T$10,$A237,$B237)</f>
        <v>31</v>
      </c>
      <c r="U237" s="4">
        <f ca="1">_xll.DBRW($B$1,$B$2,$B$7,$B$3,$B$4,$B$5,$F237,$B$6,U$10,$A237,$B237)</f>
        <v>28</v>
      </c>
      <c r="V237" s="4">
        <f ca="1">_xll.DBRW($B$1,$B$2,$B$7,$B$3,$B$4,$B$5,$F237,$B$6,V$10,$A237,$B237)</f>
        <v>31</v>
      </c>
      <c r="W237" s="4">
        <f ca="1">_xll.DBRW($B$1,$B$2,$B$7,$B$3,$B$4,$B$5,$F237,$B$6,W$10,$A237,$B237)</f>
        <v>26</v>
      </c>
      <c r="X237" s="4">
        <f ca="1">_xll.DBRW($B$1,$B$2,$B$7,$B$3,$B$4,$B$5,$F237,$B$6,X$10,$A237,$B237)</f>
        <v>26</v>
      </c>
      <c r="Y237" s="4">
        <f ca="1">_xll.DBRW($B$1,$B$2,$B$7,$B$3,$B$4,$B$5,$F237,$B$6,Y$10,$A237,$B237)</f>
        <v>26</v>
      </c>
      <c r="Z237" s="4">
        <f ca="1">_xll.DBRW($B$1,$B$2,$B$7,$B$3,$B$4,$B$5,$F237,$B$6,Z$10,$A237,$B237)</f>
        <v>27</v>
      </c>
      <c r="AA237" s="4">
        <f ca="1">_xll.DBRW($B$1,$B$2,$B$7,$B$3,$B$4,$B$5,$F237,$B$6,AA$10,$A237,$B237)</f>
        <v>26</v>
      </c>
      <c r="AB237" s="4">
        <f ca="1">_xll.DBRW($B$1,$B$2,$B$7,$B$3,$B$4,$B$5,$F237,$B$6,AB$10,$A237,$B237)</f>
        <v>26</v>
      </c>
      <c r="AC237" s="4">
        <f ca="1">_xll.DBRW($B$1,$B$2,$B$7,$B$3,$B$4,$B$5,$F237,$B$6,AC$10,$A237,$B237)</f>
        <v>27</v>
      </c>
      <c r="AD237" s="4">
        <f ca="1">_xll.DBRW($B$1,$B$2,$B$7,$B$3,$B$4,$B$5,$F237,$B$6,AD$10,$A237,$B237)</f>
        <v>30</v>
      </c>
      <c r="AE237" s="4">
        <f ca="1">_xll.DBRW($B$1,$B$2,$B$7,$B$3,$B$4,$B$5,$F237,$B$6,AE$10,$A237,$B237)</f>
        <v>31</v>
      </c>
    </row>
    <row r="238" spans="1:31">
      <c r="A238" s="1" t="s">
        <v>150</v>
      </c>
      <c r="B238" s="5" t="s">
        <v>67</v>
      </c>
      <c r="C238" s="5" t="s">
        <v>68</v>
      </c>
      <c r="D238" s="5" t="s">
        <v>69</v>
      </c>
      <c r="E238" s="5" t="s">
        <v>21</v>
      </c>
      <c r="F238" s="5" t="s">
        <v>314</v>
      </c>
      <c r="G238" s="6"/>
      <c r="H238" s="6"/>
      <c r="I238" s="6"/>
      <c r="J238" s="6"/>
      <c r="K238" s="6"/>
      <c r="L238" s="4">
        <f ca="1">_xll.DBRW($B$1,$B$2,$B$7,$B$3,$B$4,$B$5,$F238,$B$6,L$10,$A238,$B238)</f>
        <v>1</v>
      </c>
      <c r="M238" s="4">
        <f ca="1">_xll.DBRW($B$1,$B$2,$B$7,$B$3,$B$4,$B$5,$F238,$B$6,M$10,$A238,$B238)</f>
        <v>4</v>
      </c>
      <c r="N238" s="4">
        <f ca="1">_xll.DBRW($B$1,$B$2,$B$7,$B$3,$B$4,$B$5,$F238,$B$6,N$10,$A238,$B238)</f>
        <v>1</v>
      </c>
      <c r="O238" s="4">
        <f ca="1">_xll.DBRW($B$1,$B$2,$B$7,$B$3,$B$4,$B$5,$F238,$B$6,O$10,$A238,$B238)</f>
        <v>0</v>
      </c>
      <c r="P238" s="4">
        <f ca="1">_xll.DBRW($B$1,$B$2,$B$7,$B$3,$B$4,$B$5,$F238,$B$6,P$10,$A238,$B238)</f>
        <v>0</v>
      </c>
      <c r="Q238" s="4">
        <f ca="1">_xll.DBRW($B$1,$B$2,$B$7,$B$3,$B$4,$B$5,$F238,$B$6,Q$10,$A238,$B238)</f>
        <v>0</v>
      </c>
      <c r="R238" s="4">
        <f ca="1">_xll.DBRW($B$1,$B$2,$B$7,$B$3,$B$4,$B$5,$F238,$B$6,R$10,$A238,$B238)</f>
        <v>0</v>
      </c>
      <c r="S238" s="4">
        <f ca="1">_xll.DBRW($B$1,$B$2,$B$7,$B$3,$B$4,$B$5,$F238,$B$6,S$10,$A238,$B238)</f>
        <v>0</v>
      </c>
      <c r="T238" s="4">
        <f ca="1">_xll.DBRW($B$1,$B$2,$B$7,$B$3,$B$4,$B$5,$F238,$B$6,T$10,$A238,$B238)</f>
        <v>31</v>
      </c>
      <c r="U238" s="4">
        <f ca="1">_xll.DBRW($B$1,$B$2,$B$7,$B$3,$B$4,$B$5,$F238,$B$6,U$10,$A238,$B238)</f>
        <v>28</v>
      </c>
      <c r="V238" s="4">
        <f ca="1">_xll.DBRW($B$1,$B$2,$B$7,$B$3,$B$4,$B$5,$F238,$B$6,V$10,$A238,$B238)</f>
        <v>31</v>
      </c>
      <c r="W238" s="4">
        <f ca="1">_xll.DBRW($B$1,$B$2,$B$7,$B$3,$B$4,$B$5,$F238,$B$6,W$10,$A238,$B238)</f>
        <v>26</v>
      </c>
      <c r="X238" s="4">
        <f ca="1">_xll.DBRW($B$1,$B$2,$B$7,$B$3,$B$4,$B$5,$F238,$B$6,X$10,$A238,$B238)</f>
        <v>26</v>
      </c>
      <c r="Y238" s="4">
        <f ca="1">_xll.DBRW($B$1,$B$2,$B$7,$B$3,$B$4,$B$5,$F238,$B$6,Y$10,$A238,$B238)</f>
        <v>26</v>
      </c>
      <c r="Z238" s="4">
        <f ca="1">_xll.DBRW($B$1,$B$2,$B$7,$B$3,$B$4,$B$5,$F238,$B$6,Z$10,$A238,$B238)</f>
        <v>27</v>
      </c>
      <c r="AA238" s="4">
        <f ca="1">_xll.DBRW($B$1,$B$2,$B$7,$B$3,$B$4,$B$5,$F238,$B$6,AA$10,$A238,$B238)</f>
        <v>26</v>
      </c>
      <c r="AB238" s="4">
        <f ca="1">_xll.DBRW($B$1,$B$2,$B$7,$B$3,$B$4,$B$5,$F238,$B$6,AB$10,$A238,$B238)</f>
        <v>26</v>
      </c>
      <c r="AC238" s="4">
        <f ca="1">_xll.DBRW($B$1,$B$2,$B$7,$B$3,$B$4,$B$5,$F238,$B$6,AC$10,$A238,$B238)</f>
        <v>27</v>
      </c>
      <c r="AD238" s="4">
        <f ca="1">_xll.DBRW($B$1,$B$2,$B$7,$B$3,$B$4,$B$5,$F238,$B$6,AD$10,$A238,$B238)</f>
        <v>30</v>
      </c>
      <c r="AE238" s="4">
        <f ca="1">_xll.DBRW($B$1,$B$2,$B$7,$B$3,$B$4,$B$5,$F238,$B$6,AE$10,$A238,$B238)</f>
        <v>30</v>
      </c>
    </row>
    <row r="239" spans="1:31">
      <c r="A239" s="1" t="s">
        <v>150</v>
      </c>
      <c r="B239" s="5" t="s">
        <v>162</v>
      </c>
      <c r="C239" s="5" t="s">
        <v>163</v>
      </c>
      <c r="D239" s="5" t="s">
        <v>21</v>
      </c>
      <c r="E239" s="5" t="s">
        <v>54</v>
      </c>
      <c r="F239" s="5" t="s">
        <v>314</v>
      </c>
      <c r="G239" s="6"/>
      <c r="H239" s="6"/>
      <c r="I239" s="6"/>
      <c r="J239" s="6"/>
      <c r="K239" s="6"/>
      <c r="L239" s="4">
        <f ca="1">_xll.DBRW($B$1,$B$2,$B$7,$B$3,$B$4,$B$5,$F239,$B$6,L$10,$A239,$B239)</f>
        <v>0</v>
      </c>
      <c r="M239" s="4">
        <f ca="1">_xll.DBRW($B$1,$B$2,$B$7,$B$3,$B$4,$B$5,$F239,$B$6,M$10,$A239,$B239)</f>
        <v>0</v>
      </c>
      <c r="N239" s="4">
        <f ca="1">_xll.DBRW($B$1,$B$2,$B$7,$B$3,$B$4,$B$5,$F239,$B$6,N$10,$A239,$B239)</f>
        <v>0</v>
      </c>
      <c r="O239" s="4">
        <f ca="1">_xll.DBRW($B$1,$B$2,$B$7,$B$3,$B$4,$B$5,$F239,$B$6,O$10,$A239,$B239)</f>
        <v>0</v>
      </c>
      <c r="P239" s="4">
        <f ca="1">_xll.DBRW($B$1,$B$2,$B$7,$B$3,$B$4,$B$5,$F239,$B$6,P$10,$A239,$B239)</f>
        <v>0</v>
      </c>
      <c r="Q239" s="4">
        <f ca="1">_xll.DBRW($B$1,$B$2,$B$7,$B$3,$B$4,$B$5,$F239,$B$6,Q$10,$A239,$B239)</f>
        <v>0</v>
      </c>
      <c r="R239" s="4">
        <f ca="1">_xll.DBRW($B$1,$B$2,$B$7,$B$3,$B$4,$B$5,$F239,$B$6,R$10,$A239,$B239)</f>
        <v>0</v>
      </c>
      <c r="S239" s="4">
        <f ca="1">_xll.DBRW($B$1,$B$2,$B$7,$B$3,$B$4,$B$5,$F239,$B$6,S$10,$A239,$B239)</f>
        <v>0</v>
      </c>
      <c r="T239" s="4">
        <f ca="1">_xll.DBRW($B$1,$B$2,$B$7,$B$3,$B$4,$B$5,$F239,$B$6,T$10,$A239,$B239)</f>
        <v>0</v>
      </c>
      <c r="U239" s="4">
        <f ca="1">_xll.DBRW($B$1,$B$2,$B$7,$B$3,$B$4,$B$5,$F239,$B$6,U$10,$A239,$B239)</f>
        <v>0</v>
      </c>
      <c r="V239" s="4">
        <f ca="1">_xll.DBRW($B$1,$B$2,$B$7,$B$3,$B$4,$B$5,$F239,$B$6,V$10,$A239,$B239)</f>
        <v>0</v>
      </c>
      <c r="W239" s="4">
        <f ca="1">_xll.DBRW($B$1,$B$2,$B$7,$B$3,$B$4,$B$5,$F239,$B$6,W$10,$A239,$B239)</f>
        <v>0</v>
      </c>
      <c r="X239" s="4">
        <f ca="1">_xll.DBRW($B$1,$B$2,$B$7,$B$3,$B$4,$B$5,$F239,$B$6,X$10,$A239,$B239)</f>
        <v>0</v>
      </c>
      <c r="Y239" s="4">
        <f ca="1">_xll.DBRW($B$1,$B$2,$B$7,$B$3,$B$4,$B$5,$F239,$B$6,Y$10,$A239,$B239)</f>
        <v>0</v>
      </c>
      <c r="Z239" s="4">
        <f ca="1">_xll.DBRW($B$1,$B$2,$B$7,$B$3,$B$4,$B$5,$F239,$B$6,Z$10,$A239,$B239)</f>
        <v>0</v>
      </c>
      <c r="AA239" s="4">
        <f ca="1">_xll.DBRW($B$1,$B$2,$B$7,$B$3,$B$4,$B$5,$F239,$B$6,AA$10,$A239,$B239)</f>
        <v>0</v>
      </c>
      <c r="AB239" s="4">
        <f ca="1">_xll.DBRW($B$1,$B$2,$B$7,$B$3,$B$4,$B$5,$F239,$B$6,AB$10,$A239,$B239)</f>
        <v>0</v>
      </c>
      <c r="AC239" s="4">
        <f ca="1">_xll.DBRW($B$1,$B$2,$B$7,$B$3,$B$4,$B$5,$F239,$B$6,AC$10,$A239,$B239)</f>
        <v>0</v>
      </c>
      <c r="AD239" s="4">
        <f ca="1">_xll.DBRW($B$1,$B$2,$B$7,$B$3,$B$4,$B$5,$F239,$B$6,AD$10,$A239,$B239)</f>
        <v>0</v>
      </c>
      <c r="AE239" s="4">
        <f ca="1">_xll.DBRW($B$1,$B$2,$B$7,$B$3,$B$4,$B$5,$F239,$B$6,AE$10,$A239,$B239)</f>
        <v>0</v>
      </c>
    </row>
    <row r="240" spans="1:31">
      <c r="A240" s="1" t="s">
        <v>150</v>
      </c>
      <c r="B240" s="5" t="s">
        <v>52</v>
      </c>
      <c r="C240" s="5" t="s">
        <v>53</v>
      </c>
      <c r="D240" s="5" t="s">
        <v>54</v>
      </c>
      <c r="E240" s="5" t="s">
        <v>21</v>
      </c>
      <c r="F240" s="5" t="s">
        <v>314</v>
      </c>
      <c r="G240" s="6"/>
      <c r="H240" s="6"/>
      <c r="I240" s="6"/>
      <c r="J240" s="6"/>
      <c r="K240" s="6"/>
      <c r="L240" s="4">
        <f ca="1">_xll.DBRW($B$1,$B$2,$B$7,$B$3,$B$4,$B$5,$F240,$B$6,L$10,$A240,$B240)</f>
        <v>0</v>
      </c>
      <c r="M240" s="4">
        <f ca="1">_xll.DBRW($B$1,$B$2,$B$7,$B$3,$B$4,$B$5,$F240,$B$6,M$10,$A240,$B240)</f>
        <v>0</v>
      </c>
      <c r="N240" s="4">
        <f ca="1">_xll.DBRW($B$1,$B$2,$B$7,$B$3,$B$4,$B$5,$F240,$B$6,N$10,$A240,$B240)</f>
        <v>0</v>
      </c>
      <c r="O240" s="4">
        <f ca="1">_xll.DBRW($B$1,$B$2,$B$7,$B$3,$B$4,$B$5,$F240,$B$6,O$10,$A240,$B240)</f>
        <v>0</v>
      </c>
      <c r="P240" s="4">
        <f ca="1">_xll.DBRW($B$1,$B$2,$B$7,$B$3,$B$4,$B$5,$F240,$B$6,P$10,$A240,$B240)</f>
        <v>0</v>
      </c>
      <c r="Q240" s="4">
        <f ca="1">_xll.DBRW($B$1,$B$2,$B$7,$B$3,$B$4,$B$5,$F240,$B$6,Q$10,$A240,$B240)</f>
        <v>0</v>
      </c>
      <c r="R240" s="4">
        <f ca="1">_xll.DBRW($B$1,$B$2,$B$7,$B$3,$B$4,$B$5,$F240,$B$6,R$10,$A240,$B240)</f>
        <v>0</v>
      </c>
      <c r="S240" s="4">
        <f ca="1">_xll.DBRW($B$1,$B$2,$B$7,$B$3,$B$4,$B$5,$F240,$B$6,S$10,$A240,$B240)</f>
        <v>0</v>
      </c>
      <c r="T240" s="4">
        <f ca="1">_xll.DBRW($B$1,$B$2,$B$7,$B$3,$B$4,$B$5,$F240,$B$6,T$10,$A240,$B240)</f>
        <v>0</v>
      </c>
      <c r="U240" s="4">
        <f ca="1">_xll.DBRW($B$1,$B$2,$B$7,$B$3,$B$4,$B$5,$F240,$B$6,U$10,$A240,$B240)</f>
        <v>0</v>
      </c>
      <c r="V240" s="4">
        <f ca="1">_xll.DBRW($B$1,$B$2,$B$7,$B$3,$B$4,$B$5,$F240,$B$6,V$10,$A240,$B240)</f>
        <v>0</v>
      </c>
      <c r="W240" s="4">
        <f ca="1">_xll.DBRW($B$1,$B$2,$B$7,$B$3,$B$4,$B$5,$F240,$B$6,W$10,$A240,$B240)</f>
        <v>0</v>
      </c>
      <c r="X240" s="4">
        <f ca="1">_xll.DBRW($B$1,$B$2,$B$7,$B$3,$B$4,$B$5,$F240,$B$6,X$10,$A240,$B240)</f>
        <v>0</v>
      </c>
      <c r="Y240" s="4">
        <f ca="1">_xll.DBRW($B$1,$B$2,$B$7,$B$3,$B$4,$B$5,$F240,$B$6,Y$10,$A240,$B240)</f>
        <v>0</v>
      </c>
      <c r="Z240" s="4">
        <f ca="1">_xll.DBRW($B$1,$B$2,$B$7,$B$3,$B$4,$B$5,$F240,$B$6,Z$10,$A240,$B240)</f>
        <v>0</v>
      </c>
      <c r="AA240" s="4">
        <f ca="1">_xll.DBRW($B$1,$B$2,$B$7,$B$3,$B$4,$B$5,$F240,$B$6,AA$10,$A240,$B240)</f>
        <v>0</v>
      </c>
      <c r="AB240" s="4">
        <f ca="1">_xll.DBRW($B$1,$B$2,$B$7,$B$3,$B$4,$B$5,$F240,$B$6,AB$10,$A240,$B240)</f>
        <v>0</v>
      </c>
      <c r="AC240" s="4">
        <f ca="1">_xll.DBRW($B$1,$B$2,$B$7,$B$3,$B$4,$B$5,$F240,$B$6,AC$10,$A240,$B240)</f>
        <v>0</v>
      </c>
      <c r="AD240" s="4">
        <f ca="1">_xll.DBRW($B$1,$B$2,$B$7,$B$3,$B$4,$B$5,$F240,$B$6,AD$10,$A240,$B240)</f>
        <v>0</v>
      </c>
      <c r="AE240" s="4">
        <f ca="1">_xll.DBRW($B$1,$B$2,$B$7,$B$3,$B$4,$B$5,$F240,$B$6,AE$10,$A240,$B240)</f>
        <v>0</v>
      </c>
    </row>
    <row r="241" spans="1:31">
      <c r="A241" s="1" t="s">
        <v>150</v>
      </c>
      <c r="B241" s="5" t="s">
        <v>164</v>
      </c>
      <c r="C241" s="5" t="s">
        <v>159</v>
      </c>
      <c r="D241" s="5" t="s">
        <v>21</v>
      </c>
      <c r="E241" s="5" t="s">
        <v>38</v>
      </c>
      <c r="F241" s="5" t="s">
        <v>314</v>
      </c>
      <c r="G241" s="6"/>
      <c r="H241" s="6"/>
      <c r="I241" s="6"/>
      <c r="J241" s="6"/>
      <c r="K241" s="6"/>
      <c r="L241" s="4">
        <f ca="1">_xll.DBRW($B$1,$B$2,$B$7,$B$3,$B$4,$B$5,$F241,$B$6,L$10,$A241,$B241)</f>
        <v>22</v>
      </c>
      <c r="M241" s="4">
        <f ca="1">_xll.DBRW($B$1,$B$2,$B$7,$B$3,$B$4,$B$5,$F241,$B$6,M$10,$A241,$B241)</f>
        <v>22</v>
      </c>
      <c r="N241" s="4">
        <f ca="1">_xll.DBRW($B$1,$B$2,$B$7,$B$3,$B$4,$B$5,$F241,$B$6,N$10,$A241,$B241)</f>
        <v>26</v>
      </c>
      <c r="O241" s="4">
        <f ca="1">_xll.DBRW($B$1,$B$2,$B$7,$B$3,$B$4,$B$5,$F241,$B$6,O$10,$A241,$B241)</f>
        <v>27</v>
      </c>
      <c r="P241" s="4">
        <f ca="1">_xll.DBRW($B$1,$B$2,$B$7,$B$3,$B$4,$B$5,$F241,$B$6,P$10,$A241,$B241)</f>
        <v>28</v>
      </c>
      <c r="Q241" s="4">
        <f ca="1">_xll.DBRW($B$1,$B$2,$B$7,$B$3,$B$4,$B$5,$F241,$B$6,Q$10,$A241,$B241)</f>
        <v>19</v>
      </c>
      <c r="R241" s="4">
        <f ca="1">_xll.DBRW($B$1,$B$2,$B$7,$B$3,$B$4,$B$5,$F241,$B$6,R$10,$A241,$B241)</f>
        <v>1</v>
      </c>
      <c r="S241" s="4">
        <f ca="1">_xll.DBRW($B$1,$B$2,$B$7,$B$3,$B$4,$B$5,$F241,$B$6,S$10,$A241,$B241)</f>
        <v>0</v>
      </c>
      <c r="T241" s="4">
        <f ca="1">_xll.DBRW($B$1,$B$2,$B$7,$B$3,$B$4,$B$5,$F241,$B$6,T$10,$A241,$B241)</f>
        <v>4</v>
      </c>
      <c r="U241" s="4">
        <f ca="1">_xll.DBRW($B$1,$B$2,$B$7,$B$3,$B$4,$B$5,$F241,$B$6,U$10,$A241,$B241)</f>
        <v>4</v>
      </c>
      <c r="V241" s="4">
        <f ca="1">_xll.DBRW($B$1,$B$2,$B$7,$B$3,$B$4,$B$5,$F241,$B$6,V$10,$A241,$B241)</f>
        <v>5</v>
      </c>
      <c r="W241" s="4">
        <f ca="1">_xll.DBRW($B$1,$B$2,$B$7,$B$3,$B$4,$B$5,$F241,$B$6,W$10,$A241,$B241)</f>
        <v>4</v>
      </c>
      <c r="X241" s="4">
        <f ca="1">_xll.DBRW($B$1,$B$2,$B$7,$B$3,$B$4,$B$5,$F241,$B$6,X$10,$A241,$B241)</f>
        <v>4</v>
      </c>
      <c r="Y241" s="4">
        <f ca="1">_xll.DBRW($B$1,$B$2,$B$7,$B$3,$B$4,$B$5,$F241,$B$6,Y$10,$A241,$B241)</f>
        <v>5</v>
      </c>
      <c r="Z241" s="4">
        <f ca="1">_xll.DBRW($B$1,$B$2,$B$7,$B$3,$B$4,$B$5,$F241,$B$6,Z$10,$A241,$B241)</f>
        <v>4</v>
      </c>
      <c r="AA241" s="4">
        <f ca="1">_xll.DBRW($B$1,$B$2,$B$7,$B$3,$B$4,$B$5,$F241,$B$6,AA$10,$A241,$B241)</f>
        <v>4</v>
      </c>
      <c r="AB241" s="4">
        <f ca="1">_xll.DBRW($B$1,$B$2,$B$7,$B$3,$B$4,$B$5,$F241,$B$6,AB$10,$A241,$B241)</f>
        <v>5</v>
      </c>
      <c r="AC241" s="4">
        <f ca="1">_xll.DBRW($B$1,$B$2,$B$7,$B$3,$B$4,$B$5,$F241,$B$6,AC$10,$A241,$B241)</f>
        <v>4</v>
      </c>
      <c r="AD241" s="4">
        <f ca="1">_xll.DBRW($B$1,$B$2,$B$7,$B$3,$B$4,$B$5,$F241,$B$6,AD$10,$A241,$B241)</f>
        <v>5</v>
      </c>
      <c r="AE241" s="4">
        <f ca="1">_xll.DBRW($B$1,$B$2,$B$7,$B$3,$B$4,$B$5,$F241,$B$6,AE$10,$A241,$B241)</f>
        <v>4</v>
      </c>
    </row>
    <row r="242" spans="1:31">
      <c r="A242" s="1" t="s">
        <v>150</v>
      </c>
      <c r="B242" s="5" t="s">
        <v>39</v>
      </c>
      <c r="C242" s="5" t="s">
        <v>37</v>
      </c>
      <c r="D242" s="5" t="s">
        <v>38</v>
      </c>
      <c r="E242" s="5" t="s">
        <v>21</v>
      </c>
      <c r="F242" s="5" t="s">
        <v>314</v>
      </c>
      <c r="G242" s="6"/>
      <c r="H242" s="6"/>
      <c r="I242" s="6"/>
      <c r="J242" s="6"/>
      <c r="K242" s="6"/>
      <c r="L242" s="4">
        <f ca="1">_xll.DBRW($B$1,$B$2,$B$7,$B$3,$B$4,$B$5,$F242,$B$6,L$10,$A242,$B242)</f>
        <v>20</v>
      </c>
      <c r="M242" s="4">
        <f ca="1">_xll.DBRW($B$1,$B$2,$B$7,$B$3,$B$4,$B$5,$F242,$B$6,M$10,$A242,$B242)</f>
        <v>26</v>
      </c>
      <c r="N242" s="4">
        <f ca="1">_xll.DBRW($B$1,$B$2,$B$7,$B$3,$B$4,$B$5,$F242,$B$6,N$10,$A242,$B242)</f>
        <v>26</v>
      </c>
      <c r="O242" s="4">
        <f ca="1">_xll.DBRW($B$1,$B$2,$B$7,$B$3,$B$4,$B$5,$F242,$B$6,O$10,$A242,$B242)</f>
        <v>27</v>
      </c>
      <c r="P242" s="4">
        <f ca="1">_xll.DBRW($B$1,$B$2,$B$7,$B$3,$B$4,$B$5,$F242,$B$6,P$10,$A242,$B242)</f>
        <v>26</v>
      </c>
      <c r="Q242" s="4">
        <f ca="1">_xll.DBRW($B$1,$B$2,$B$7,$B$3,$B$4,$B$5,$F242,$B$6,Q$10,$A242,$B242)</f>
        <v>21</v>
      </c>
      <c r="R242" s="4">
        <f ca="1">_xll.DBRW($B$1,$B$2,$B$7,$B$3,$B$4,$B$5,$F242,$B$6,R$10,$A242,$B242)</f>
        <v>1</v>
      </c>
      <c r="S242" s="4">
        <f ca="1">_xll.DBRW($B$1,$B$2,$B$7,$B$3,$B$4,$B$5,$F242,$B$6,S$10,$A242,$B242)</f>
        <v>0</v>
      </c>
      <c r="T242" s="4">
        <f ca="1">_xll.DBRW($B$1,$B$2,$B$7,$B$3,$B$4,$B$5,$F242,$B$6,T$10,$A242,$B242)</f>
        <v>4</v>
      </c>
      <c r="U242" s="4">
        <f ca="1">_xll.DBRW($B$1,$B$2,$B$7,$B$3,$B$4,$B$5,$F242,$B$6,U$10,$A242,$B242)</f>
        <v>4</v>
      </c>
      <c r="V242" s="4">
        <f ca="1">_xll.DBRW($B$1,$B$2,$B$7,$B$3,$B$4,$B$5,$F242,$B$6,V$10,$A242,$B242)</f>
        <v>5</v>
      </c>
      <c r="W242" s="4">
        <f ca="1">_xll.DBRW($B$1,$B$2,$B$7,$B$3,$B$4,$B$5,$F242,$B$6,W$10,$A242,$B242)</f>
        <v>4</v>
      </c>
      <c r="X242" s="4">
        <f ca="1">_xll.DBRW($B$1,$B$2,$B$7,$B$3,$B$4,$B$5,$F242,$B$6,X$10,$A242,$B242)</f>
        <v>4</v>
      </c>
      <c r="Y242" s="4">
        <f ca="1">_xll.DBRW($B$1,$B$2,$B$7,$B$3,$B$4,$B$5,$F242,$B$6,Y$10,$A242,$B242)</f>
        <v>5</v>
      </c>
      <c r="Z242" s="4">
        <f ca="1">_xll.DBRW($B$1,$B$2,$B$7,$B$3,$B$4,$B$5,$F242,$B$6,Z$10,$A242,$B242)</f>
        <v>4</v>
      </c>
      <c r="AA242" s="4">
        <f ca="1">_xll.DBRW($B$1,$B$2,$B$7,$B$3,$B$4,$B$5,$F242,$B$6,AA$10,$A242,$B242)</f>
        <v>4</v>
      </c>
      <c r="AB242" s="4">
        <f ca="1">_xll.DBRW($B$1,$B$2,$B$7,$B$3,$B$4,$B$5,$F242,$B$6,AB$10,$A242,$B242)</f>
        <v>5</v>
      </c>
      <c r="AC242" s="4">
        <f ca="1">_xll.DBRW($B$1,$B$2,$B$7,$B$3,$B$4,$B$5,$F242,$B$6,AC$10,$A242,$B242)</f>
        <v>4</v>
      </c>
      <c r="AD242" s="4">
        <f ca="1">_xll.DBRW($B$1,$B$2,$B$7,$B$3,$B$4,$B$5,$F242,$B$6,AD$10,$A242,$B242)</f>
        <v>5</v>
      </c>
      <c r="AE242" s="4">
        <f ca="1">_xll.DBRW($B$1,$B$2,$B$7,$B$3,$B$4,$B$5,$F242,$B$6,AE$10,$A242,$B242)</f>
        <v>4</v>
      </c>
    </row>
    <row r="243" spans="1:31">
      <c r="A243" s="1" t="s">
        <v>150</v>
      </c>
      <c r="B243" s="5" t="s">
        <v>165</v>
      </c>
      <c r="C243" s="5" t="s">
        <v>166</v>
      </c>
      <c r="D243" s="5" t="s">
        <v>21</v>
      </c>
      <c r="E243" s="5" t="s">
        <v>31</v>
      </c>
      <c r="F243" s="5" t="s">
        <v>314</v>
      </c>
      <c r="G243" s="6"/>
      <c r="H243" s="6"/>
      <c r="I243" s="6"/>
      <c r="J243" s="6"/>
      <c r="K243" s="6"/>
      <c r="L243" s="4">
        <f ca="1">_xll.DBRW($B$1,$B$2,$B$7,$B$3,$B$4,$B$5,$F243,$B$6,L$10,$A243,$B243)</f>
        <v>11</v>
      </c>
      <c r="M243" s="4">
        <f ca="1">_xll.DBRW($B$1,$B$2,$B$7,$B$3,$B$4,$B$5,$F243,$B$6,M$10,$A243,$B243)</f>
        <v>25</v>
      </c>
      <c r="N243" s="4">
        <f ca="1">_xll.DBRW($B$1,$B$2,$B$7,$B$3,$B$4,$B$5,$F243,$B$6,N$10,$A243,$B243)</f>
        <v>22</v>
      </c>
      <c r="O243" s="4">
        <f ca="1">_xll.DBRW($B$1,$B$2,$B$7,$B$3,$B$4,$B$5,$F243,$B$6,O$10,$A243,$B243)</f>
        <v>28</v>
      </c>
      <c r="P243" s="4">
        <f ca="1">_xll.DBRW($B$1,$B$2,$B$7,$B$3,$B$4,$B$5,$F243,$B$6,P$10,$A243,$B243)</f>
        <v>30</v>
      </c>
      <c r="Q243" s="4">
        <f ca="1">_xll.DBRW($B$1,$B$2,$B$7,$B$3,$B$4,$B$5,$F243,$B$6,Q$10,$A243,$B243)</f>
        <v>29</v>
      </c>
      <c r="R243" s="4">
        <f ca="1">_xll.DBRW($B$1,$B$2,$B$7,$B$3,$B$4,$B$5,$F243,$B$6,R$10,$A243,$B243)</f>
        <v>30</v>
      </c>
      <c r="S243" s="4">
        <f ca="1">_xll.DBRW($B$1,$B$2,$B$7,$B$3,$B$4,$B$5,$F243,$B$6,S$10,$A243,$B243)</f>
        <v>31</v>
      </c>
      <c r="T243" s="4">
        <f ca="1">_xll.DBRW($B$1,$B$2,$B$7,$B$3,$B$4,$B$5,$F243,$B$6,T$10,$A243,$B243)</f>
        <v>18</v>
      </c>
      <c r="U243" s="4">
        <f ca="1">_xll.DBRW($B$1,$B$2,$B$7,$B$3,$B$4,$B$5,$F243,$B$6,U$10,$A243,$B243)</f>
        <v>16</v>
      </c>
      <c r="V243" s="4">
        <f ca="1">_xll.DBRW($B$1,$B$2,$B$7,$B$3,$B$4,$B$5,$F243,$B$6,V$10,$A243,$B243)</f>
        <v>19</v>
      </c>
      <c r="W243" s="4">
        <f ca="1">_xll.DBRW($B$1,$B$2,$B$7,$B$3,$B$4,$B$5,$F243,$B$6,W$10,$A243,$B243)</f>
        <v>22</v>
      </c>
      <c r="X243" s="4">
        <f ca="1">_xll.DBRW($B$1,$B$2,$B$7,$B$3,$B$4,$B$5,$F243,$B$6,X$10,$A243,$B243)</f>
        <v>21</v>
      </c>
      <c r="Y243" s="4">
        <f ca="1">_xll.DBRW($B$1,$B$2,$B$7,$B$3,$B$4,$B$5,$F243,$B$6,Y$10,$A243,$B243)</f>
        <v>22</v>
      </c>
      <c r="Z243" s="4">
        <f ca="1">_xll.DBRW($B$1,$B$2,$B$7,$B$3,$B$4,$B$5,$F243,$B$6,Z$10,$A243,$B243)</f>
        <v>22</v>
      </c>
      <c r="AA243" s="4">
        <f ca="1">_xll.DBRW($B$1,$B$2,$B$7,$B$3,$B$4,$B$5,$F243,$B$6,AA$10,$A243,$B243)</f>
        <v>22</v>
      </c>
      <c r="AB243" s="4">
        <f ca="1">_xll.DBRW($B$1,$B$2,$B$7,$B$3,$B$4,$B$5,$F243,$B$6,AB$10,$A243,$B243)</f>
        <v>22</v>
      </c>
      <c r="AC243" s="4">
        <f ca="1">_xll.DBRW($B$1,$B$2,$B$7,$B$3,$B$4,$B$5,$F243,$B$6,AC$10,$A243,$B243)</f>
        <v>20</v>
      </c>
      <c r="AD243" s="4">
        <f ca="1">_xll.DBRW($B$1,$B$2,$B$7,$B$3,$B$4,$B$5,$F243,$B$6,AD$10,$A243,$B243)</f>
        <v>17</v>
      </c>
      <c r="AE243" s="4">
        <f ca="1">_xll.DBRW($B$1,$B$2,$B$7,$B$3,$B$4,$B$5,$F243,$B$6,AE$10,$A243,$B243)</f>
        <v>18</v>
      </c>
    </row>
    <row r="244" spans="1:31">
      <c r="A244" s="1" t="s">
        <v>150</v>
      </c>
      <c r="B244" s="5" t="s">
        <v>29</v>
      </c>
      <c r="C244" s="5" t="s">
        <v>30</v>
      </c>
      <c r="D244" s="5" t="s">
        <v>31</v>
      </c>
      <c r="E244" s="5" t="s">
        <v>21</v>
      </c>
      <c r="F244" s="5" t="s">
        <v>314</v>
      </c>
      <c r="G244" s="6"/>
      <c r="H244" s="6"/>
      <c r="I244" s="6"/>
      <c r="J244" s="6"/>
      <c r="K244" s="6"/>
      <c r="L244" s="4">
        <f ca="1">_xll.DBRW($B$1,$B$2,$B$7,$B$3,$B$4,$B$5,$F244,$B$6,L$10,$A244,$B244)</f>
        <v>11</v>
      </c>
      <c r="M244" s="4">
        <f ca="1">_xll.DBRW($B$1,$B$2,$B$7,$B$3,$B$4,$B$5,$F244,$B$6,M$10,$A244,$B244)</f>
        <v>25</v>
      </c>
      <c r="N244" s="4">
        <f ca="1">_xll.DBRW($B$1,$B$2,$B$7,$B$3,$B$4,$B$5,$F244,$B$6,N$10,$A244,$B244)</f>
        <v>22</v>
      </c>
      <c r="O244" s="4">
        <f ca="1">_xll.DBRW($B$1,$B$2,$B$7,$B$3,$B$4,$B$5,$F244,$B$6,O$10,$A244,$B244)</f>
        <v>28</v>
      </c>
      <c r="P244" s="4">
        <f ca="1">_xll.DBRW($B$1,$B$2,$B$7,$B$3,$B$4,$B$5,$F244,$B$6,P$10,$A244,$B244)</f>
        <v>30</v>
      </c>
      <c r="Q244" s="4">
        <f ca="1">_xll.DBRW($B$1,$B$2,$B$7,$B$3,$B$4,$B$5,$F244,$B$6,Q$10,$A244,$B244)</f>
        <v>29</v>
      </c>
      <c r="R244" s="4">
        <f ca="1">_xll.DBRW($B$1,$B$2,$B$7,$B$3,$B$4,$B$5,$F244,$B$6,R$10,$A244,$B244)</f>
        <v>30</v>
      </c>
      <c r="S244" s="4">
        <f ca="1">_xll.DBRW($B$1,$B$2,$B$7,$B$3,$B$4,$B$5,$F244,$B$6,S$10,$A244,$B244)</f>
        <v>31</v>
      </c>
      <c r="T244" s="4">
        <f ca="1">_xll.DBRW($B$1,$B$2,$B$7,$B$3,$B$4,$B$5,$F244,$B$6,T$10,$A244,$B244)</f>
        <v>18</v>
      </c>
      <c r="U244" s="4">
        <f ca="1">_xll.DBRW($B$1,$B$2,$B$7,$B$3,$B$4,$B$5,$F244,$B$6,U$10,$A244,$B244)</f>
        <v>16</v>
      </c>
      <c r="V244" s="4">
        <f ca="1">_xll.DBRW($B$1,$B$2,$B$7,$B$3,$B$4,$B$5,$F244,$B$6,V$10,$A244,$B244)</f>
        <v>19</v>
      </c>
      <c r="W244" s="4">
        <f ca="1">_xll.DBRW($B$1,$B$2,$B$7,$B$3,$B$4,$B$5,$F244,$B$6,W$10,$A244,$B244)</f>
        <v>22</v>
      </c>
      <c r="X244" s="4">
        <f ca="1">_xll.DBRW($B$1,$B$2,$B$7,$B$3,$B$4,$B$5,$F244,$B$6,X$10,$A244,$B244)</f>
        <v>21</v>
      </c>
      <c r="Y244" s="4">
        <f ca="1">_xll.DBRW($B$1,$B$2,$B$7,$B$3,$B$4,$B$5,$F244,$B$6,Y$10,$A244,$B244)</f>
        <v>22</v>
      </c>
      <c r="Z244" s="4">
        <f ca="1">_xll.DBRW($B$1,$B$2,$B$7,$B$3,$B$4,$B$5,$F244,$B$6,Z$10,$A244,$B244)</f>
        <v>22</v>
      </c>
      <c r="AA244" s="4">
        <f ca="1">_xll.DBRW($B$1,$B$2,$B$7,$B$3,$B$4,$B$5,$F244,$B$6,AA$10,$A244,$B244)</f>
        <v>22</v>
      </c>
      <c r="AB244" s="4">
        <f ca="1">_xll.DBRW($B$1,$B$2,$B$7,$B$3,$B$4,$B$5,$F244,$B$6,AB$10,$A244,$B244)</f>
        <v>22</v>
      </c>
      <c r="AC244" s="4">
        <f ca="1">_xll.DBRW($B$1,$B$2,$B$7,$B$3,$B$4,$B$5,$F244,$B$6,AC$10,$A244,$B244)</f>
        <v>19</v>
      </c>
      <c r="AD244" s="4">
        <f ca="1">_xll.DBRW($B$1,$B$2,$B$7,$B$3,$B$4,$B$5,$F244,$B$6,AD$10,$A244,$B244)</f>
        <v>17</v>
      </c>
      <c r="AE244" s="4">
        <f ca="1">_xll.DBRW($B$1,$B$2,$B$7,$B$3,$B$4,$B$5,$F244,$B$6,AE$10,$A244,$B244)</f>
        <v>17</v>
      </c>
    </row>
    <row r="245" spans="1:31">
      <c r="A245" s="1" t="s">
        <v>150</v>
      </c>
      <c r="B245" s="5" t="s">
        <v>167</v>
      </c>
      <c r="C245" s="5" t="s">
        <v>168</v>
      </c>
      <c r="D245" s="5" t="s">
        <v>21</v>
      </c>
      <c r="E245" s="5" t="s">
        <v>76</v>
      </c>
      <c r="F245" s="5" t="s">
        <v>314</v>
      </c>
      <c r="G245" s="6"/>
      <c r="H245" s="6"/>
      <c r="I245" s="6"/>
      <c r="J245" s="6"/>
      <c r="K245" s="6"/>
      <c r="L245" s="4">
        <f ca="1">_xll.DBRW($B$1,$B$2,$B$7,$B$3,$B$4,$B$5,$F245,$B$6,L$10,$A245,$B245)</f>
        <v>0</v>
      </c>
      <c r="M245" s="4">
        <f ca="1">_xll.DBRW($B$1,$B$2,$B$7,$B$3,$B$4,$B$5,$F245,$B$6,M$10,$A245,$B245)</f>
        <v>0</v>
      </c>
      <c r="N245" s="4">
        <f ca="1">_xll.DBRW($B$1,$B$2,$B$7,$B$3,$B$4,$B$5,$F245,$B$6,N$10,$A245,$B245)</f>
        <v>0</v>
      </c>
      <c r="O245" s="4">
        <f ca="1">_xll.DBRW($B$1,$B$2,$B$7,$B$3,$B$4,$B$5,$F245,$B$6,O$10,$A245,$B245)</f>
        <v>0</v>
      </c>
      <c r="P245" s="4">
        <f ca="1">_xll.DBRW($B$1,$B$2,$B$7,$B$3,$B$4,$B$5,$F245,$B$6,P$10,$A245,$B245)</f>
        <v>0</v>
      </c>
      <c r="Q245" s="4">
        <f ca="1">_xll.DBRW($B$1,$B$2,$B$7,$B$3,$B$4,$B$5,$F245,$B$6,Q$10,$A245,$B245)</f>
        <v>0</v>
      </c>
      <c r="R245" s="4">
        <f ca="1">_xll.DBRW($B$1,$B$2,$B$7,$B$3,$B$4,$B$5,$F245,$B$6,R$10,$A245,$B245)</f>
        <v>0</v>
      </c>
      <c r="S245" s="4">
        <f ca="1">_xll.DBRW($B$1,$B$2,$B$7,$B$3,$B$4,$B$5,$F245,$B$6,S$10,$A245,$B245)</f>
        <v>0</v>
      </c>
      <c r="T245" s="4">
        <f ca="1">_xll.DBRW($B$1,$B$2,$B$7,$B$3,$B$4,$B$5,$F245,$B$6,T$10,$A245,$B245)</f>
        <v>0</v>
      </c>
      <c r="U245" s="4">
        <f ca="1">_xll.DBRW($B$1,$B$2,$B$7,$B$3,$B$4,$B$5,$F245,$B$6,U$10,$A245,$B245)</f>
        <v>0</v>
      </c>
      <c r="V245" s="4">
        <f ca="1">_xll.DBRW($B$1,$B$2,$B$7,$B$3,$B$4,$B$5,$F245,$B$6,V$10,$A245,$B245)</f>
        <v>2</v>
      </c>
      <c r="W245" s="4">
        <f ca="1">_xll.DBRW($B$1,$B$2,$B$7,$B$3,$B$4,$B$5,$F245,$B$6,W$10,$A245,$B245)</f>
        <v>30</v>
      </c>
      <c r="X245" s="4">
        <f ca="1">_xll.DBRW($B$1,$B$2,$B$7,$B$3,$B$4,$B$5,$F245,$B$6,X$10,$A245,$B245)</f>
        <v>31</v>
      </c>
      <c r="Y245" s="4">
        <f ca="1">_xll.DBRW($B$1,$B$2,$B$7,$B$3,$B$4,$B$5,$F245,$B$6,Y$10,$A245,$B245)</f>
        <v>30</v>
      </c>
      <c r="Z245" s="4">
        <f ca="1">_xll.DBRW($B$1,$B$2,$B$7,$B$3,$B$4,$B$5,$F245,$B$6,Z$10,$A245,$B245)</f>
        <v>31</v>
      </c>
      <c r="AA245" s="4">
        <f ca="1">_xll.DBRW($B$1,$B$2,$B$7,$B$3,$B$4,$B$5,$F245,$B$6,AA$10,$A245,$B245)</f>
        <v>31</v>
      </c>
      <c r="AB245" s="4">
        <f ca="1">_xll.DBRW($B$1,$B$2,$B$7,$B$3,$B$4,$B$5,$F245,$B$6,AB$10,$A245,$B245)</f>
        <v>30</v>
      </c>
      <c r="AC245" s="4">
        <f ca="1">_xll.DBRW($B$1,$B$2,$B$7,$B$3,$B$4,$B$5,$F245,$B$6,AC$10,$A245,$B245)</f>
        <v>25</v>
      </c>
      <c r="AD245" s="4">
        <f ca="1">_xll.DBRW($B$1,$B$2,$B$7,$B$3,$B$4,$B$5,$F245,$B$6,AD$10,$A245,$B245)</f>
        <v>0</v>
      </c>
      <c r="AE245" s="4">
        <f ca="1">_xll.DBRW($B$1,$B$2,$B$7,$B$3,$B$4,$B$5,$F245,$B$6,AE$10,$A245,$B245)</f>
        <v>0</v>
      </c>
    </row>
    <row r="246" spans="1:31">
      <c r="A246" s="1" t="s">
        <v>150</v>
      </c>
      <c r="B246" s="5" t="s">
        <v>74</v>
      </c>
      <c r="C246" s="5" t="s">
        <v>75</v>
      </c>
      <c r="D246" s="5" t="s">
        <v>76</v>
      </c>
      <c r="E246" s="5" t="s">
        <v>21</v>
      </c>
      <c r="F246" s="5" t="s">
        <v>314</v>
      </c>
      <c r="G246" s="6"/>
      <c r="H246" s="6"/>
      <c r="I246" s="6"/>
      <c r="J246" s="6"/>
      <c r="K246" s="6"/>
      <c r="L246" s="4">
        <f ca="1">_xll.DBRW($B$1,$B$2,$B$7,$B$3,$B$4,$B$5,$F246,$B$6,L$10,$A246,$B246)</f>
        <v>0</v>
      </c>
      <c r="M246" s="4">
        <f ca="1">_xll.DBRW($B$1,$B$2,$B$7,$B$3,$B$4,$B$5,$F246,$B$6,M$10,$A246,$B246)</f>
        <v>0</v>
      </c>
      <c r="N246" s="4">
        <f ca="1">_xll.DBRW($B$1,$B$2,$B$7,$B$3,$B$4,$B$5,$F246,$B$6,N$10,$A246,$B246)</f>
        <v>0</v>
      </c>
      <c r="O246" s="4">
        <f ca="1">_xll.DBRW($B$1,$B$2,$B$7,$B$3,$B$4,$B$5,$F246,$B$6,O$10,$A246,$B246)</f>
        <v>0</v>
      </c>
      <c r="P246" s="4">
        <f ca="1">_xll.DBRW($B$1,$B$2,$B$7,$B$3,$B$4,$B$5,$F246,$B$6,P$10,$A246,$B246)</f>
        <v>0</v>
      </c>
      <c r="Q246" s="4">
        <f ca="1">_xll.DBRW($B$1,$B$2,$B$7,$B$3,$B$4,$B$5,$F246,$B$6,Q$10,$A246,$B246)</f>
        <v>0</v>
      </c>
      <c r="R246" s="4">
        <f ca="1">_xll.DBRW($B$1,$B$2,$B$7,$B$3,$B$4,$B$5,$F246,$B$6,R$10,$A246,$B246)</f>
        <v>0</v>
      </c>
      <c r="S246" s="4">
        <f ca="1">_xll.DBRW($B$1,$B$2,$B$7,$B$3,$B$4,$B$5,$F246,$B$6,S$10,$A246,$B246)</f>
        <v>0</v>
      </c>
      <c r="T246" s="4">
        <f ca="1">_xll.DBRW($B$1,$B$2,$B$7,$B$3,$B$4,$B$5,$F246,$B$6,T$10,$A246,$B246)</f>
        <v>0</v>
      </c>
      <c r="U246" s="4">
        <f ca="1">_xll.DBRW($B$1,$B$2,$B$7,$B$3,$B$4,$B$5,$F246,$B$6,U$10,$A246,$B246)</f>
        <v>0</v>
      </c>
      <c r="V246" s="4">
        <f ca="1">_xll.DBRW($B$1,$B$2,$B$7,$B$3,$B$4,$B$5,$F246,$B$6,V$10,$A246,$B246)</f>
        <v>2</v>
      </c>
      <c r="W246" s="4">
        <f ca="1">_xll.DBRW($B$1,$B$2,$B$7,$B$3,$B$4,$B$5,$F246,$B$6,W$10,$A246,$B246)</f>
        <v>30</v>
      </c>
      <c r="X246" s="4">
        <f ca="1">_xll.DBRW($B$1,$B$2,$B$7,$B$3,$B$4,$B$5,$F246,$B$6,X$10,$A246,$B246)</f>
        <v>31</v>
      </c>
      <c r="Y246" s="4">
        <f ca="1">_xll.DBRW($B$1,$B$2,$B$7,$B$3,$B$4,$B$5,$F246,$B$6,Y$10,$A246,$B246)</f>
        <v>30</v>
      </c>
      <c r="Z246" s="4">
        <f ca="1">_xll.DBRW($B$1,$B$2,$B$7,$B$3,$B$4,$B$5,$F246,$B$6,Z$10,$A246,$B246)</f>
        <v>31</v>
      </c>
      <c r="AA246" s="4">
        <f ca="1">_xll.DBRW($B$1,$B$2,$B$7,$B$3,$B$4,$B$5,$F246,$B$6,AA$10,$A246,$B246)</f>
        <v>31</v>
      </c>
      <c r="AB246" s="4">
        <f ca="1">_xll.DBRW($B$1,$B$2,$B$7,$B$3,$B$4,$B$5,$F246,$B$6,AB$10,$A246,$B246)</f>
        <v>30</v>
      </c>
      <c r="AC246" s="4">
        <f ca="1">_xll.DBRW($B$1,$B$2,$B$7,$B$3,$B$4,$B$5,$F246,$B$6,AC$10,$A246,$B246)</f>
        <v>25</v>
      </c>
      <c r="AD246" s="4">
        <f ca="1">_xll.DBRW($B$1,$B$2,$B$7,$B$3,$B$4,$B$5,$F246,$B$6,AD$10,$A246,$B246)</f>
        <v>0</v>
      </c>
      <c r="AE246" s="4">
        <f ca="1">_xll.DBRW($B$1,$B$2,$B$7,$B$3,$B$4,$B$5,$F246,$B$6,AE$10,$A246,$B246)</f>
        <v>0</v>
      </c>
    </row>
    <row r="247" spans="1:31">
      <c r="A247" s="1" t="s">
        <v>150</v>
      </c>
      <c r="B247" s="5" t="s">
        <v>169</v>
      </c>
      <c r="C247" s="5" t="s">
        <v>170</v>
      </c>
      <c r="D247" s="5" t="s">
        <v>21</v>
      </c>
      <c r="E247" s="5" t="s">
        <v>35</v>
      </c>
      <c r="F247" s="5" t="s">
        <v>314</v>
      </c>
      <c r="G247" s="6"/>
      <c r="H247" s="6"/>
      <c r="I247" s="6"/>
      <c r="J247" s="6"/>
      <c r="K247" s="6"/>
      <c r="L247" s="4">
        <f ca="1">_xll.DBRW($B$1,$B$2,$B$7,$B$3,$B$4,$B$5,$F247,$B$6,L$10,$A247,$B247)</f>
        <v>0</v>
      </c>
      <c r="M247" s="4">
        <f ca="1">_xll.DBRW($B$1,$B$2,$B$7,$B$3,$B$4,$B$5,$F247,$B$6,M$10,$A247,$B247)</f>
        <v>0</v>
      </c>
      <c r="N247" s="4">
        <f ca="1">_xll.DBRW($B$1,$B$2,$B$7,$B$3,$B$4,$B$5,$F247,$B$6,N$10,$A247,$B247)</f>
        <v>0</v>
      </c>
      <c r="O247" s="4">
        <f ca="1">_xll.DBRW($B$1,$B$2,$B$7,$B$3,$B$4,$B$5,$F247,$B$6,O$10,$A247,$B247)</f>
        <v>0</v>
      </c>
      <c r="P247" s="4">
        <f ca="1">_xll.DBRW($B$1,$B$2,$B$7,$B$3,$B$4,$B$5,$F247,$B$6,P$10,$A247,$B247)</f>
        <v>0</v>
      </c>
      <c r="Q247" s="4">
        <f ca="1">_xll.DBRW($B$1,$B$2,$B$7,$B$3,$B$4,$B$5,$F247,$B$6,Q$10,$A247,$B247)</f>
        <v>0</v>
      </c>
      <c r="R247" s="4">
        <f ca="1">_xll.DBRW($B$1,$B$2,$B$7,$B$3,$B$4,$B$5,$F247,$B$6,R$10,$A247,$B247)</f>
        <v>5</v>
      </c>
      <c r="S247" s="4">
        <f ca="1">_xll.DBRW($B$1,$B$2,$B$7,$B$3,$B$4,$B$5,$F247,$B$6,S$10,$A247,$B247)</f>
        <v>4</v>
      </c>
      <c r="T247" s="4">
        <f ca="1">_xll.DBRW($B$1,$B$2,$B$7,$B$3,$B$4,$B$5,$F247,$B$6,T$10,$A247,$B247)</f>
        <v>23</v>
      </c>
      <c r="U247" s="4">
        <f ca="1">_xll.DBRW($B$1,$B$2,$B$7,$B$3,$B$4,$B$5,$F247,$B$6,U$10,$A247,$B247)</f>
        <v>20</v>
      </c>
      <c r="V247" s="4">
        <f ca="1">_xll.DBRW($B$1,$B$2,$B$7,$B$3,$B$4,$B$5,$F247,$B$6,V$10,$A247,$B247)</f>
        <v>21</v>
      </c>
      <c r="W247" s="4">
        <f ca="1">_xll.DBRW($B$1,$B$2,$B$7,$B$3,$B$4,$B$5,$F247,$B$6,W$10,$A247,$B247)</f>
        <v>0</v>
      </c>
      <c r="X247" s="4">
        <f ca="1">_xll.DBRW($B$1,$B$2,$B$7,$B$3,$B$4,$B$5,$F247,$B$6,X$10,$A247,$B247)</f>
        <v>0</v>
      </c>
      <c r="Y247" s="4">
        <f ca="1">_xll.DBRW($B$1,$B$2,$B$7,$B$3,$B$4,$B$5,$F247,$B$6,Y$10,$A247,$B247)</f>
        <v>0</v>
      </c>
      <c r="Z247" s="4">
        <f ca="1">_xll.DBRW($B$1,$B$2,$B$7,$B$3,$B$4,$B$5,$F247,$B$6,Z$10,$A247,$B247)</f>
        <v>0</v>
      </c>
      <c r="AA247" s="4">
        <f ca="1">_xll.DBRW($B$1,$B$2,$B$7,$B$3,$B$4,$B$5,$F247,$B$6,AA$10,$A247,$B247)</f>
        <v>0</v>
      </c>
      <c r="AB247" s="4">
        <f ca="1">_xll.DBRW($B$1,$B$2,$B$7,$B$3,$B$4,$B$5,$F247,$B$6,AB$10,$A247,$B247)</f>
        <v>0</v>
      </c>
      <c r="AC247" s="4">
        <f ca="1">_xll.DBRW($B$1,$B$2,$B$7,$B$3,$B$4,$B$5,$F247,$B$6,AC$10,$A247,$B247)</f>
        <v>4</v>
      </c>
      <c r="AD247" s="4">
        <f ca="1">_xll.DBRW($B$1,$B$2,$B$7,$B$3,$B$4,$B$5,$F247,$B$6,AD$10,$A247,$B247)</f>
        <v>21</v>
      </c>
      <c r="AE247" s="4">
        <f ca="1">_xll.DBRW($B$1,$B$2,$B$7,$B$3,$B$4,$B$5,$F247,$B$6,AE$10,$A247,$B247)</f>
        <v>22</v>
      </c>
    </row>
    <row r="248" spans="1:31">
      <c r="A248" s="1" t="s">
        <v>150</v>
      </c>
      <c r="B248" s="5" t="s">
        <v>33</v>
      </c>
      <c r="C248" s="5" t="s">
        <v>34</v>
      </c>
      <c r="D248" s="5" t="s">
        <v>35</v>
      </c>
      <c r="E248" s="5" t="s">
        <v>21</v>
      </c>
      <c r="F248" s="5" t="s">
        <v>314</v>
      </c>
      <c r="G248" s="6"/>
      <c r="H248" s="6"/>
      <c r="I248" s="6"/>
      <c r="J248" s="6"/>
      <c r="K248" s="6"/>
      <c r="L248" s="4">
        <f ca="1">_xll.DBRW($B$1,$B$2,$B$7,$B$3,$B$4,$B$5,$F248,$B$6,L$10,$A248,$B248)</f>
        <v>0</v>
      </c>
      <c r="M248" s="4">
        <f ca="1">_xll.DBRW($B$1,$B$2,$B$7,$B$3,$B$4,$B$5,$F248,$B$6,M$10,$A248,$B248)</f>
        <v>0</v>
      </c>
      <c r="N248" s="4">
        <f ca="1">_xll.DBRW($B$1,$B$2,$B$7,$B$3,$B$4,$B$5,$F248,$B$6,N$10,$A248,$B248)</f>
        <v>0</v>
      </c>
      <c r="O248" s="4">
        <f ca="1">_xll.DBRW($B$1,$B$2,$B$7,$B$3,$B$4,$B$5,$F248,$B$6,O$10,$A248,$B248)</f>
        <v>0</v>
      </c>
      <c r="P248" s="4">
        <f ca="1">_xll.DBRW($B$1,$B$2,$B$7,$B$3,$B$4,$B$5,$F248,$B$6,P$10,$A248,$B248)</f>
        <v>0</v>
      </c>
      <c r="Q248" s="4">
        <f ca="1">_xll.DBRW($B$1,$B$2,$B$7,$B$3,$B$4,$B$5,$F248,$B$6,Q$10,$A248,$B248)</f>
        <v>0</v>
      </c>
      <c r="R248" s="4">
        <f ca="1">_xll.DBRW($B$1,$B$2,$B$7,$B$3,$B$4,$B$5,$F248,$B$6,R$10,$A248,$B248)</f>
        <v>5</v>
      </c>
      <c r="S248" s="4">
        <f ca="1">_xll.DBRW($B$1,$B$2,$B$7,$B$3,$B$4,$B$5,$F248,$B$6,S$10,$A248,$B248)</f>
        <v>4</v>
      </c>
      <c r="T248" s="4">
        <f ca="1">_xll.DBRW($B$1,$B$2,$B$7,$B$3,$B$4,$B$5,$F248,$B$6,T$10,$A248,$B248)</f>
        <v>23</v>
      </c>
      <c r="U248" s="4">
        <f ca="1">_xll.DBRW($B$1,$B$2,$B$7,$B$3,$B$4,$B$5,$F248,$B$6,U$10,$A248,$B248)</f>
        <v>20</v>
      </c>
      <c r="V248" s="4">
        <f ca="1">_xll.DBRW($B$1,$B$2,$B$7,$B$3,$B$4,$B$5,$F248,$B$6,V$10,$A248,$B248)</f>
        <v>21</v>
      </c>
      <c r="W248" s="4">
        <f ca="1">_xll.DBRW($B$1,$B$2,$B$7,$B$3,$B$4,$B$5,$F248,$B$6,W$10,$A248,$B248)</f>
        <v>0</v>
      </c>
      <c r="X248" s="4">
        <f ca="1">_xll.DBRW($B$1,$B$2,$B$7,$B$3,$B$4,$B$5,$F248,$B$6,X$10,$A248,$B248)</f>
        <v>0</v>
      </c>
      <c r="Y248" s="4">
        <f ca="1">_xll.DBRW($B$1,$B$2,$B$7,$B$3,$B$4,$B$5,$F248,$B$6,Y$10,$A248,$B248)</f>
        <v>0</v>
      </c>
      <c r="Z248" s="4">
        <f ca="1">_xll.DBRW($B$1,$B$2,$B$7,$B$3,$B$4,$B$5,$F248,$B$6,Z$10,$A248,$B248)</f>
        <v>0</v>
      </c>
      <c r="AA248" s="4">
        <f ca="1">_xll.DBRW($B$1,$B$2,$B$7,$B$3,$B$4,$B$5,$F248,$B$6,AA$10,$A248,$B248)</f>
        <v>0</v>
      </c>
      <c r="AB248" s="4">
        <f ca="1">_xll.DBRW($B$1,$B$2,$B$7,$B$3,$B$4,$B$5,$F248,$B$6,AB$10,$A248,$B248)</f>
        <v>0</v>
      </c>
      <c r="AC248" s="4">
        <f ca="1">_xll.DBRW($B$1,$B$2,$B$7,$B$3,$B$4,$B$5,$F248,$B$6,AC$10,$A248,$B248)</f>
        <v>4</v>
      </c>
      <c r="AD248" s="4">
        <f ca="1">_xll.DBRW($B$1,$B$2,$B$7,$B$3,$B$4,$B$5,$F248,$B$6,AD$10,$A248,$B248)</f>
        <v>21</v>
      </c>
      <c r="AE248" s="4">
        <f ca="1">_xll.DBRW($B$1,$B$2,$B$7,$B$3,$B$4,$B$5,$F248,$B$6,AE$10,$A248,$B248)</f>
        <v>22</v>
      </c>
    </row>
    <row r="249" spans="1:31">
      <c r="A249" s="1" t="s">
        <v>150</v>
      </c>
      <c r="B249" s="5" t="s">
        <v>171</v>
      </c>
      <c r="C249" s="5" t="s">
        <v>163</v>
      </c>
      <c r="D249" s="5" t="s">
        <v>21</v>
      </c>
      <c r="E249" s="5" t="s">
        <v>54</v>
      </c>
      <c r="F249" s="5" t="s">
        <v>314</v>
      </c>
      <c r="G249" s="6"/>
      <c r="H249" s="6"/>
      <c r="I249" s="6"/>
      <c r="J249" s="6"/>
      <c r="K249" s="6"/>
      <c r="L249" s="4">
        <f ca="1">_xll.DBRW($B$1,$B$2,$B$7,$B$3,$B$4,$B$5,$F249,$B$6,L$10,$A249,$B249)</f>
        <v>0</v>
      </c>
      <c r="M249" s="4">
        <f ca="1">_xll.DBRW($B$1,$B$2,$B$7,$B$3,$B$4,$B$5,$F249,$B$6,M$10,$A249,$B249)</f>
        <v>0</v>
      </c>
      <c r="N249" s="4">
        <f ca="1">_xll.DBRW($B$1,$B$2,$B$7,$B$3,$B$4,$B$5,$F249,$B$6,N$10,$A249,$B249)</f>
        <v>0</v>
      </c>
      <c r="O249" s="4">
        <f ca="1">_xll.DBRW($B$1,$B$2,$B$7,$B$3,$B$4,$B$5,$F249,$B$6,O$10,$A249,$B249)</f>
        <v>0</v>
      </c>
      <c r="P249" s="4">
        <f ca="1">_xll.DBRW($B$1,$B$2,$B$7,$B$3,$B$4,$B$5,$F249,$B$6,P$10,$A249,$B249)</f>
        <v>0</v>
      </c>
      <c r="Q249" s="4">
        <f ca="1">_xll.DBRW($B$1,$B$2,$B$7,$B$3,$B$4,$B$5,$F249,$B$6,Q$10,$A249,$B249)</f>
        <v>0</v>
      </c>
      <c r="R249" s="4">
        <f ca="1">_xll.DBRW($B$1,$B$2,$B$7,$B$3,$B$4,$B$5,$F249,$B$6,R$10,$A249,$B249)</f>
        <v>0</v>
      </c>
      <c r="S249" s="4">
        <f ca="1">_xll.DBRW($B$1,$B$2,$B$7,$B$3,$B$4,$B$5,$F249,$B$6,S$10,$A249,$B249)</f>
        <v>0</v>
      </c>
      <c r="T249" s="4">
        <f ca="1">_xll.DBRW($B$1,$B$2,$B$7,$B$3,$B$4,$B$5,$F249,$B$6,T$10,$A249,$B249)</f>
        <v>0</v>
      </c>
      <c r="U249" s="4">
        <f ca="1">_xll.DBRW($B$1,$B$2,$B$7,$B$3,$B$4,$B$5,$F249,$B$6,U$10,$A249,$B249)</f>
        <v>0</v>
      </c>
      <c r="V249" s="4">
        <f ca="1">_xll.DBRW($B$1,$B$2,$B$7,$B$3,$B$4,$B$5,$F249,$B$6,V$10,$A249,$B249)</f>
        <v>0</v>
      </c>
      <c r="W249" s="4">
        <f ca="1">_xll.DBRW($B$1,$B$2,$B$7,$B$3,$B$4,$B$5,$F249,$B$6,W$10,$A249,$B249)</f>
        <v>0</v>
      </c>
      <c r="X249" s="4">
        <f ca="1">_xll.DBRW($B$1,$B$2,$B$7,$B$3,$B$4,$B$5,$F249,$B$6,X$10,$A249,$B249)</f>
        <v>0</v>
      </c>
      <c r="Y249" s="4">
        <f ca="1">_xll.DBRW($B$1,$B$2,$B$7,$B$3,$B$4,$B$5,$F249,$B$6,Y$10,$A249,$B249)</f>
        <v>0</v>
      </c>
      <c r="Z249" s="4">
        <f ca="1">_xll.DBRW($B$1,$B$2,$B$7,$B$3,$B$4,$B$5,$F249,$B$6,Z$10,$A249,$B249)</f>
        <v>0</v>
      </c>
      <c r="AA249" s="4">
        <f ca="1">_xll.DBRW($B$1,$B$2,$B$7,$B$3,$B$4,$B$5,$F249,$B$6,AA$10,$A249,$B249)</f>
        <v>0</v>
      </c>
      <c r="AB249" s="4">
        <f ca="1">_xll.DBRW($B$1,$B$2,$B$7,$B$3,$B$4,$B$5,$F249,$B$6,AB$10,$A249,$B249)</f>
        <v>0</v>
      </c>
      <c r="AC249" s="4">
        <f ca="1">_xll.DBRW($B$1,$B$2,$B$7,$B$3,$B$4,$B$5,$F249,$B$6,AC$10,$A249,$B249)</f>
        <v>0</v>
      </c>
      <c r="AD249" s="4">
        <f ca="1">_xll.DBRW($B$1,$B$2,$B$7,$B$3,$B$4,$B$5,$F249,$B$6,AD$10,$A249,$B249)</f>
        <v>0</v>
      </c>
      <c r="AE249" s="4">
        <f ca="1">_xll.DBRW($B$1,$B$2,$B$7,$B$3,$B$4,$B$5,$F249,$B$6,AE$10,$A249,$B249)</f>
        <v>0</v>
      </c>
    </row>
    <row r="250" spans="1:31">
      <c r="A250" s="1" t="s">
        <v>150</v>
      </c>
      <c r="B250" s="5" t="s">
        <v>55</v>
      </c>
      <c r="C250" s="5" t="s">
        <v>53</v>
      </c>
      <c r="D250" s="5" t="s">
        <v>54</v>
      </c>
      <c r="E250" s="5" t="s">
        <v>21</v>
      </c>
      <c r="F250" s="5" t="s">
        <v>314</v>
      </c>
      <c r="G250" s="6"/>
      <c r="H250" s="6"/>
      <c r="I250" s="6"/>
      <c r="J250" s="6"/>
      <c r="K250" s="6"/>
      <c r="L250" s="4">
        <f ca="1">_xll.DBRW($B$1,$B$2,$B$7,$B$3,$B$4,$B$5,$F250,$B$6,L$10,$A250,$B250)</f>
        <v>0</v>
      </c>
      <c r="M250" s="4">
        <f ca="1">_xll.DBRW($B$1,$B$2,$B$7,$B$3,$B$4,$B$5,$F250,$B$6,M$10,$A250,$B250)</f>
        <v>0</v>
      </c>
      <c r="N250" s="4">
        <f ca="1">_xll.DBRW($B$1,$B$2,$B$7,$B$3,$B$4,$B$5,$F250,$B$6,N$10,$A250,$B250)</f>
        <v>0</v>
      </c>
      <c r="O250" s="4">
        <f ca="1">_xll.DBRW($B$1,$B$2,$B$7,$B$3,$B$4,$B$5,$F250,$B$6,O$10,$A250,$B250)</f>
        <v>0</v>
      </c>
      <c r="P250" s="4">
        <f ca="1">_xll.DBRW($B$1,$B$2,$B$7,$B$3,$B$4,$B$5,$F250,$B$6,P$10,$A250,$B250)</f>
        <v>0</v>
      </c>
      <c r="Q250" s="4">
        <f ca="1">_xll.DBRW($B$1,$B$2,$B$7,$B$3,$B$4,$B$5,$F250,$B$6,Q$10,$A250,$B250)</f>
        <v>0</v>
      </c>
      <c r="R250" s="4">
        <f ca="1">_xll.DBRW($B$1,$B$2,$B$7,$B$3,$B$4,$B$5,$F250,$B$6,R$10,$A250,$B250)</f>
        <v>0</v>
      </c>
      <c r="S250" s="4">
        <f ca="1">_xll.DBRW($B$1,$B$2,$B$7,$B$3,$B$4,$B$5,$F250,$B$6,S$10,$A250,$B250)</f>
        <v>0</v>
      </c>
      <c r="T250" s="4">
        <f ca="1">_xll.DBRW($B$1,$B$2,$B$7,$B$3,$B$4,$B$5,$F250,$B$6,T$10,$A250,$B250)</f>
        <v>0</v>
      </c>
      <c r="U250" s="4">
        <f ca="1">_xll.DBRW($B$1,$B$2,$B$7,$B$3,$B$4,$B$5,$F250,$B$6,U$10,$A250,$B250)</f>
        <v>0</v>
      </c>
      <c r="V250" s="4">
        <f ca="1">_xll.DBRW($B$1,$B$2,$B$7,$B$3,$B$4,$B$5,$F250,$B$6,V$10,$A250,$B250)</f>
        <v>0</v>
      </c>
      <c r="W250" s="4">
        <f ca="1">_xll.DBRW($B$1,$B$2,$B$7,$B$3,$B$4,$B$5,$F250,$B$6,W$10,$A250,$B250)</f>
        <v>0</v>
      </c>
      <c r="X250" s="4">
        <f ca="1">_xll.DBRW($B$1,$B$2,$B$7,$B$3,$B$4,$B$5,$F250,$B$6,X$10,$A250,$B250)</f>
        <v>0</v>
      </c>
      <c r="Y250" s="4">
        <f ca="1">_xll.DBRW($B$1,$B$2,$B$7,$B$3,$B$4,$B$5,$F250,$B$6,Y$10,$A250,$B250)</f>
        <v>0</v>
      </c>
      <c r="Z250" s="4">
        <f ca="1">_xll.DBRW($B$1,$B$2,$B$7,$B$3,$B$4,$B$5,$F250,$B$6,Z$10,$A250,$B250)</f>
        <v>0</v>
      </c>
      <c r="AA250" s="4">
        <f ca="1">_xll.DBRW($B$1,$B$2,$B$7,$B$3,$B$4,$B$5,$F250,$B$6,AA$10,$A250,$B250)</f>
        <v>0</v>
      </c>
      <c r="AB250" s="4">
        <f ca="1">_xll.DBRW($B$1,$B$2,$B$7,$B$3,$B$4,$B$5,$F250,$B$6,AB$10,$A250,$B250)</f>
        <v>0</v>
      </c>
      <c r="AC250" s="4">
        <f ca="1">_xll.DBRW($B$1,$B$2,$B$7,$B$3,$B$4,$B$5,$F250,$B$6,AC$10,$A250,$B250)</f>
        <v>0</v>
      </c>
      <c r="AD250" s="4">
        <f ca="1">_xll.DBRW($B$1,$B$2,$B$7,$B$3,$B$4,$B$5,$F250,$B$6,AD$10,$A250,$B250)</f>
        <v>0</v>
      </c>
      <c r="AE250" s="4">
        <f ca="1">_xll.DBRW($B$1,$B$2,$B$7,$B$3,$B$4,$B$5,$F250,$B$6,AE$10,$A250,$B250)</f>
        <v>0</v>
      </c>
    </row>
    <row r="251" spans="1:31">
      <c r="A251" s="1" t="s">
        <v>150</v>
      </c>
      <c r="B251" s="5" t="s">
        <v>172</v>
      </c>
      <c r="C251" s="5" t="s">
        <v>159</v>
      </c>
      <c r="D251" s="5" t="s">
        <v>21</v>
      </c>
      <c r="E251" s="5" t="s">
        <v>38</v>
      </c>
      <c r="F251" s="5" t="s">
        <v>314</v>
      </c>
      <c r="G251" s="6"/>
      <c r="H251" s="6"/>
      <c r="I251" s="6"/>
      <c r="J251" s="6"/>
      <c r="K251" s="6"/>
      <c r="L251" s="4">
        <f ca="1">_xll.DBRW($B$1,$B$2,$B$7,$B$3,$B$4,$B$5,$F251,$B$6,L$10,$A251,$B251)</f>
        <v>0</v>
      </c>
      <c r="M251" s="4">
        <f ca="1">_xll.DBRW($B$1,$B$2,$B$7,$B$3,$B$4,$B$5,$F251,$B$6,M$10,$A251,$B251)</f>
        <v>0</v>
      </c>
      <c r="N251" s="4">
        <f ca="1">_xll.DBRW($B$1,$B$2,$B$7,$B$3,$B$4,$B$5,$F251,$B$6,N$10,$A251,$B251)</f>
        <v>0</v>
      </c>
      <c r="O251" s="4">
        <f ca="1">_xll.DBRW($B$1,$B$2,$B$7,$B$3,$B$4,$B$5,$F251,$B$6,O$10,$A251,$B251)</f>
        <v>0</v>
      </c>
      <c r="P251" s="4">
        <f ca="1">_xll.DBRW($B$1,$B$2,$B$7,$B$3,$B$4,$B$5,$F251,$B$6,P$10,$A251,$B251)</f>
        <v>0</v>
      </c>
      <c r="Q251" s="4">
        <f ca="1">_xll.DBRW($B$1,$B$2,$B$7,$B$3,$B$4,$B$5,$F251,$B$6,Q$10,$A251,$B251)</f>
        <v>4</v>
      </c>
      <c r="R251" s="4">
        <f ca="1">_xll.DBRW($B$1,$B$2,$B$7,$B$3,$B$4,$B$5,$F251,$B$6,R$10,$A251,$B251)</f>
        <v>19</v>
      </c>
      <c r="S251" s="4">
        <f ca="1">_xll.DBRW($B$1,$B$2,$B$7,$B$3,$B$4,$B$5,$F251,$B$6,S$10,$A251,$B251)</f>
        <v>21</v>
      </c>
      <c r="T251" s="4">
        <f ca="1">_xll.DBRW($B$1,$B$2,$B$7,$B$3,$B$4,$B$5,$F251,$B$6,T$10,$A251,$B251)</f>
        <v>0</v>
      </c>
      <c r="U251" s="4">
        <f ca="1">_xll.DBRW($B$1,$B$2,$B$7,$B$3,$B$4,$B$5,$F251,$B$6,U$10,$A251,$B251)</f>
        <v>0</v>
      </c>
      <c r="V251" s="4">
        <f ca="1">_xll.DBRW($B$1,$B$2,$B$7,$B$3,$B$4,$B$5,$F251,$B$6,V$10,$A251,$B251)</f>
        <v>0</v>
      </c>
      <c r="W251" s="4">
        <f ca="1">_xll.DBRW($B$1,$B$2,$B$7,$B$3,$B$4,$B$5,$F251,$B$6,W$10,$A251,$B251)</f>
        <v>0</v>
      </c>
      <c r="X251" s="4">
        <f ca="1">_xll.DBRW($B$1,$B$2,$B$7,$B$3,$B$4,$B$5,$F251,$B$6,X$10,$A251,$B251)</f>
        <v>0</v>
      </c>
      <c r="Y251" s="4">
        <f ca="1">_xll.DBRW($B$1,$B$2,$B$7,$B$3,$B$4,$B$5,$F251,$B$6,Y$10,$A251,$B251)</f>
        <v>0</v>
      </c>
      <c r="Z251" s="4">
        <f ca="1">_xll.DBRW($B$1,$B$2,$B$7,$B$3,$B$4,$B$5,$F251,$B$6,Z$10,$A251,$B251)</f>
        <v>0</v>
      </c>
      <c r="AA251" s="4">
        <f ca="1">_xll.DBRW($B$1,$B$2,$B$7,$B$3,$B$4,$B$5,$F251,$B$6,AA$10,$A251,$B251)</f>
        <v>0</v>
      </c>
      <c r="AB251" s="4">
        <f ca="1">_xll.DBRW($B$1,$B$2,$B$7,$B$3,$B$4,$B$5,$F251,$B$6,AB$10,$A251,$B251)</f>
        <v>0</v>
      </c>
      <c r="AC251" s="4">
        <f ca="1">_xll.DBRW($B$1,$B$2,$B$7,$B$3,$B$4,$B$5,$F251,$B$6,AC$10,$A251,$B251)</f>
        <v>0</v>
      </c>
      <c r="AD251" s="4">
        <f ca="1">_xll.DBRW($B$1,$B$2,$B$7,$B$3,$B$4,$B$5,$F251,$B$6,AD$10,$A251,$B251)</f>
        <v>0</v>
      </c>
      <c r="AE251" s="4">
        <f ca="1">_xll.DBRW($B$1,$B$2,$B$7,$B$3,$B$4,$B$5,$F251,$B$6,AE$10,$A251,$B251)</f>
        <v>0</v>
      </c>
    </row>
    <row r="252" spans="1:31">
      <c r="A252" s="1" t="s">
        <v>150</v>
      </c>
      <c r="B252" s="5" t="s">
        <v>40</v>
      </c>
      <c r="C252" s="5" t="s">
        <v>37</v>
      </c>
      <c r="D252" s="5" t="s">
        <v>38</v>
      </c>
      <c r="E252" s="5" t="s">
        <v>21</v>
      </c>
      <c r="F252" s="5" t="s">
        <v>314</v>
      </c>
      <c r="G252" s="6"/>
      <c r="H252" s="6"/>
      <c r="I252" s="6"/>
      <c r="J252" s="6"/>
      <c r="K252" s="6"/>
      <c r="L252" s="4">
        <f ca="1">_xll.DBRW($B$1,$B$2,$B$7,$B$3,$B$4,$B$5,$F252,$B$6,L$10,$A252,$B252)</f>
        <v>0</v>
      </c>
      <c r="M252" s="4">
        <f ca="1">_xll.DBRW($B$1,$B$2,$B$7,$B$3,$B$4,$B$5,$F252,$B$6,M$10,$A252,$B252)</f>
        <v>0</v>
      </c>
      <c r="N252" s="4">
        <f ca="1">_xll.DBRW($B$1,$B$2,$B$7,$B$3,$B$4,$B$5,$F252,$B$6,N$10,$A252,$B252)</f>
        <v>0</v>
      </c>
      <c r="O252" s="4">
        <f ca="1">_xll.DBRW($B$1,$B$2,$B$7,$B$3,$B$4,$B$5,$F252,$B$6,O$10,$A252,$B252)</f>
        <v>0</v>
      </c>
      <c r="P252" s="4">
        <f ca="1">_xll.DBRW($B$1,$B$2,$B$7,$B$3,$B$4,$B$5,$F252,$B$6,P$10,$A252,$B252)</f>
        <v>0</v>
      </c>
      <c r="Q252" s="4">
        <f ca="1">_xll.DBRW($B$1,$B$2,$B$7,$B$3,$B$4,$B$5,$F252,$B$6,Q$10,$A252,$B252)</f>
        <v>4</v>
      </c>
      <c r="R252" s="4">
        <f ca="1">_xll.DBRW($B$1,$B$2,$B$7,$B$3,$B$4,$B$5,$F252,$B$6,R$10,$A252,$B252)</f>
        <v>19</v>
      </c>
      <c r="S252" s="4">
        <f ca="1">_xll.DBRW($B$1,$B$2,$B$7,$B$3,$B$4,$B$5,$F252,$B$6,S$10,$A252,$B252)</f>
        <v>21</v>
      </c>
      <c r="T252" s="4">
        <f ca="1">_xll.DBRW($B$1,$B$2,$B$7,$B$3,$B$4,$B$5,$F252,$B$6,T$10,$A252,$B252)</f>
        <v>0</v>
      </c>
      <c r="U252" s="4">
        <f ca="1">_xll.DBRW($B$1,$B$2,$B$7,$B$3,$B$4,$B$5,$F252,$B$6,U$10,$A252,$B252)</f>
        <v>0</v>
      </c>
      <c r="V252" s="4">
        <f ca="1">_xll.DBRW($B$1,$B$2,$B$7,$B$3,$B$4,$B$5,$F252,$B$6,V$10,$A252,$B252)</f>
        <v>0</v>
      </c>
      <c r="W252" s="4">
        <f ca="1">_xll.DBRW($B$1,$B$2,$B$7,$B$3,$B$4,$B$5,$F252,$B$6,W$10,$A252,$B252)</f>
        <v>0</v>
      </c>
      <c r="X252" s="4">
        <f ca="1">_xll.DBRW($B$1,$B$2,$B$7,$B$3,$B$4,$B$5,$F252,$B$6,X$10,$A252,$B252)</f>
        <v>0</v>
      </c>
      <c r="Y252" s="4">
        <f ca="1">_xll.DBRW($B$1,$B$2,$B$7,$B$3,$B$4,$B$5,$F252,$B$6,Y$10,$A252,$B252)</f>
        <v>0</v>
      </c>
      <c r="Z252" s="4">
        <f ca="1">_xll.DBRW($B$1,$B$2,$B$7,$B$3,$B$4,$B$5,$F252,$B$6,Z$10,$A252,$B252)</f>
        <v>0</v>
      </c>
      <c r="AA252" s="4">
        <f ca="1">_xll.DBRW($B$1,$B$2,$B$7,$B$3,$B$4,$B$5,$F252,$B$6,AA$10,$A252,$B252)</f>
        <v>0</v>
      </c>
      <c r="AB252" s="4">
        <f ca="1">_xll.DBRW($B$1,$B$2,$B$7,$B$3,$B$4,$B$5,$F252,$B$6,AB$10,$A252,$B252)</f>
        <v>0</v>
      </c>
      <c r="AC252" s="4">
        <f ca="1">_xll.DBRW($B$1,$B$2,$B$7,$B$3,$B$4,$B$5,$F252,$B$6,AC$10,$A252,$B252)</f>
        <v>0</v>
      </c>
      <c r="AD252" s="4">
        <f ca="1">_xll.DBRW($B$1,$B$2,$B$7,$B$3,$B$4,$B$5,$F252,$B$6,AD$10,$A252,$B252)</f>
        <v>0</v>
      </c>
      <c r="AE252" s="4">
        <f ca="1">_xll.DBRW($B$1,$B$2,$B$7,$B$3,$B$4,$B$5,$F252,$B$6,AE$10,$A252,$B252)</f>
        <v>0</v>
      </c>
    </row>
    <row r="253" spans="1:31">
      <c r="A253" s="1" t="s">
        <v>150</v>
      </c>
      <c r="B253" s="5" t="s">
        <v>173</v>
      </c>
      <c r="C253" s="5" t="s">
        <v>168</v>
      </c>
      <c r="D253" s="5" t="s">
        <v>21</v>
      </c>
      <c r="E253" s="5" t="s">
        <v>76</v>
      </c>
      <c r="F253" s="5" t="s">
        <v>314</v>
      </c>
      <c r="G253" s="6"/>
      <c r="H253" s="6"/>
      <c r="I253" s="6"/>
      <c r="J253" s="6"/>
      <c r="K253" s="6"/>
      <c r="L253" s="4">
        <f ca="1">_xll.DBRW($B$1,$B$2,$B$7,$B$3,$B$4,$B$5,$F253,$B$6,L$10,$A253,$B253)</f>
        <v>0</v>
      </c>
      <c r="M253" s="4">
        <f ca="1">_xll.DBRW($B$1,$B$2,$B$7,$B$3,$B$4,$B$5,$F253,$B$6,M$10,$A253,$B253)</f>
        <v>0</v>
      </c>
      <c r="N253" s="4">
        <f ca="1">_xll.DBRW($B$1,$B$2,$B$7,$B$3,$B$4,$B$5,$F253,$B$6,N$10,$A253,$B253)</f>
        <v>0</v>
      </c>
      <c r="O253" s="4">
        <f ca="1">_xll.DBRW($B$1,$B$2,$B$7,$B$3,$B$4,$B$5,$F253,$B$6,O$10,$A253,$B253)</f>
        <v>0</v>
      </c>
      <c r="P253" s="4">
        <f ca="1">_xll.DBRW($B$1,$B$2,$B$7,$B$3,$B$4,$B$5,$F253,$B$6,P$10,$A253,$B253)</f>
        <v>0</v>
      </c>
      <c r="Q253" s="4">
        <f ca="1">_xll.DBRW($B$1,$B$2,$B$7,$B$3,$B$4,$B$5,$F253,$B$6,Q$10,$A253,$B253)</f>
        <v>0</v>
      </c>
      <c r="R253" s="4">
        <f ca="1">_xll.DBRW($B$1,$B$2,$B$7,$B$3,$B$4,$B$5,$F253,$B$6,R$10,$A253,$B253)</f>
        <v>0</v>
      </c>
      <c r="S253" s="4">
        <f ca="1">_xll.DBRW($B$1,$B$2,$B$7,$B$3,$B$4,$B$5,$F253,$B$6,S$10,$A253,$B253)</f>
        <v>0</v>
      </c>
      <c r="T253" s="4">
        <f ca="1">_xll.DBRW($B$1,$B$2,$B$7,$B$3,$B$4,$B$5,$F253,$B$6,T$10,$A253,$B253)</f>
        <v>0</v>
      </c>
      <c r="U253" s="4">
        <f ca="1">_xll.DBRW($B$1,$B$2,$B$7,$B$3,$B$4,$B$5,$F253,$B$6,U$10,$A253,$B253)</f>
        <v>0</v>
      </c>
      <c r="V253" s="4">
        <f ca="1">_xll.DBRW($B$1,$B$2,$B$7,$B$3,$B$4,$B$5,$F253,$B$6,V$10,$A253,$B253)</f>
        <v>0</v>
      </c>
      <c r="W253" s="4">
        <f ca="1">_xll.DBRW($B$1,$B$2,$B$7,$B$3,$B$4,$B$5,$F253,$B$6,W$10,$A253,$B253)</f>
        <v>0</v>
      </c>
      <c r="X253" s="4">
        <f ca="1">_xll.DBRW($B$1,$B$2,$B$7,$B$3,$B$4,$B$5,$F253,$B$6,X$10,$A253,$B253)</f>
        <v>0</v>
      </c>
      <c r="Y253" s="4">
        <f ca="1">_xll.DBRW($B$1,$B$2,$B$7,$B$3,$B$4,$B$5,$F253,$B$6,Y$10,$A253,$B253)</f>
        <v>0</v>
      </c>
      <c r="Z253" s="4">
        <f ca="1">_xll.DBRW($B$1,$B$2,$B$7,$B$3,$B$4,$B$5,$F253,$B$6,Z$10,$A253,$B253)</f>
        <v>0</v>
      </c>
      <c r="AA253" s="4">
        <f ca="1">_xll.DBRW($B$1,$B$2,$B$7,$B$3,$B$4,$B$5,$F253,$B$6,AA$10,$A253,$B253)</f>
        <v>0</v>
      </c>
      <c r="AB253" s="4">
        <f ca="1">_xll.DBRW($B$1,$B$2,$B$7,$B$3,$B$4,$B$5,$F253,$B$6,AB$10,$A253,$B253)</f>
        <v>0</v>
      </c>
      <c r="AC253" s="4">
        <f ca="1">_xll.DBRW($B$1,$B$2,$B$7,$B$3,$B$4,$B$5,$F253,$B$6,AC$10,$A253,$B253)</f>
        <v>0</v>
      </c>
      <c r="AD253" s="4">
        <f ca="1">_xll.DBRW($B$1,$B$2,$B$7,$B$3,$B$4,$B$5,$F253,$B$6,AD$10,$A253,$B253)</f>
        <v>0</v>
      </c>
      <c r="AE253" s="4">
        <f ca="1">_xll.DBRW($B$1,$B$2,$B$7,$B$3,$B$4,$B$5,$F253,$B$6,AE$10,$A253,$B253)</f>
        <v>0</v>
      </c>
    </row>
    <row r="254" spans="1:31">
      <c r="A254" s="1" t="s">
        <v>150</v>
      </c>
      <c r="B254" s="5" t="s">
        <v>77</v>
      </c>
      <c r="C254" s="5" t="s">
        <v>75</v>
      </c>
      <c r="D254" s="5" t="s">
        <v>76</v>
      </c>
      <c r="E254" s="5" t="s">
        <v>21</v>
      </c>
      <c r="F254" s="5" t="s">
        <v>314</v>
      </c>
      <c r="G254" s="6"/>
      <c r="H254" s="6"/>
      <c r="I254" s="6"/>
      <c r="J254" s="6"/>
      <c r="K254" s="6"/>
      <c r="L254" s="4">
        <f ca="1">_xll.DBRW($B$1,$B$2,$B$7,$B$3,$B$4,$B$5,$F254,$B$6,L$10,$A254,$B254)</f>
        <v>0</v>
      </c>
      <c r="M254" s="4">
        <f ca="1">_xll.DBRW($B$1,$B$2,$B$7,$B$3,$B$4,$B$5,$F254,$B$6,M$10,$A254,$B254)</f>
        <v>0</v>
      </c>
      <c r="N254" s="4">
        <f ca="1">_xll.DBRW($B$1,$B$2,$B$7,$B$3,$B$4,$B$5,$F254,$B$6,N$10,$A254,$B254)</f>
        <v>0</v>
      </c>
      <c r="O254" s="4">
        <f ca="1">_xll.DBRW($B$1,$B$2,$B$7,$B$3,$B$4,$B$5,$F254,$B$6,O$10,$A254,$B254)</f>
        <v>0</v>
      </c>
      <c r="P254" s="4">
        <f ca="1">_xll.DBRW($B$1,$B$2,$B$7,$B$3,$B$4,$B$5,$F254,$B$6,P$10,$A254,$B254)</f>
        <v>0</v>
      </c>
      <c r="Q254" s="4">
        <f ca="1">_xll.DBRW($B$1,$B$2,$B$7,$B$3,$B$4,$B$5,$F254,$B$6,Q$10,$A254,$B254)</f>
        <v>0</v>
      </c>
      <c r="R254" s="4">
        <f ca="1">_xll.DBRW($B$1,$B$2,$B$7,$B$3,$B$4,$B$5,$F254,$B$6,R$10,$A254,$B254)</f>
        <v>0</v>
      </c>
      <c r="S254" s="4">
        <f ca="1">_xll.DBRW($B$1,$B$2,$B$7,$B$3,$B$4,$B$5,$F254,$B$6,S$10,$A254,$B254)</f>
        <v>0</v>
      </c>
      <c r="T254" s="4">
        <f ca="1">_xll.DBRW($B$1,$B$2,$B$7,$B$3,$B$4,$B$5,$F254,$B$6,T$10,$A254,$B254)</f>
        <v>0</v>
      </c>
      <c r="U254" s="4">
        <f ca="1">_xll.DBRW($B$1,$B$2,$B$7,$B$3,$B$4,$B$5,$F254,$B$6,U$10,$A254,$B254)</f>
        <v>0</v>
      </c>
      <c r="V254" s="4">
        <f ca="1">_xll.DBRW($B$1,$B$2,$B$7,$B$3,$B$4,$B$5,$F254,$B$6,V$10,$A254,$B254)</f>
        <v>0</v>
      </c>
      <c r="W254" s="4">
        <f ca="1">_xll.DBRW($B$1,$B$2,$B$7,$B$3,$B$4,$B$5,$F254,$B$6,W$10,$A254,$B254)</f>
        <v>0</v>
      </c>
      <c r="X254" s="4">
        <f ca="1">_xll.DBRW($B$1,$B$2,$B$7,$B$3,$B$4,$B$5,$F254,$B$6,X$10,$A254,$B254)</f>
        <v>0</v>
      </c>
      <c r="Y254" s="4">
        <f ca="1">_xll.DBRW($B$1,$B$2,$B$7,$B$3,$B$4,$B$5,$F254,$B$6,Y$10,$A254,$B254)</f>
        <v>0</v>
      </c>
      <c r="Z254" s="4">
        <f ca="1">_xll.DBRW($B$1,$B$2,$B$7,$B$3,$B$4,$B$5,$F254,$B$6,Z$10,$A254,$B254)</f>
        <v>0</v>
      </c>
      <c r="AA254" s="4">
        <f ca="1">_xll.DBRW($B$1,$B$2,$B$7,$B$3,$B$4,$B$5,$F254,$B$6,AA$10,$A254,$B254)</f>
        <v>0</v>
      </c>
      <c r="AB254" s="4">
        <f ca="1">_xll.DBRW($B$1,$B$2,$B$7,$B$3,$B$4,$B$5,$F254,$B$6,AB$10,$A254,$B254)</f>
        <v>0</v>
      </c>
      <c r="AC254" s="4">
        <f ca="1">_xll.DBRW($B$1,$B$2,$B$7,$B$3,$B$4,$B$5,$F254,$B$6,AC$10,$A254,$B254)</f>
        <v>0</v>
      </c>
      <c r="AD254" s="4">
        <f ca="1">_xll.DBRW($B$1,$B$2,$B$7,$B$3,$B$4,$B$5,$F254,$B$6,AD$10,$A254,$B254)</f>
        <v>0</v>
      </c>
      <c r="AE254" s="4">
        <f ca="1">_xll.DBRW($B$1,$B$2,$B$7,$B$3,$B$4,$B$5,$F254,$B$6,AE$10,$A254,$B254)</f>
        <v>0</v>
      </c>
    </row>
    <row r="255" spans="1:31">
      <c r="A255" s="1" t="s">
        <v>150</v>
      </c>
      <c r="B255" s="5" t="s">
        <v>174</v>
      </c>
      <c r="C255" s="5" t="s">
        <v>159</v>
      </c>
      <c r="D255" s="5" t="s">
        <v>21</v>
      </c>
      <c r="E255" s="5" t="s">
        <v>38</v>
      </c>
      <c r="F255" s="5" t="s">
        <v>314</v>
      </c>
      <c r="G255" s="6"/>
      <c r="H255" s="6"/>
      <c r="I255" s="6"/>
      <c r="J255" s="6"/>
      <c r="K255" s="6"/>
      <c r="L255" s="4">
        <f ca="1">_xll.DBRW($B$1,$B$2,$B$7,$B$3,$B$4,$B$5,$F255,$B$6,L$10,$A255,$B255)</f>
        <v>18</v>
      </c>
      <c r="M255" s="4">
        <f ca="1">_xll.DBRW($B$1,$B$2,$B$7,$B$3,$B$4,$B$5,$F255,$B$6,M$10,$A255,$B255)</f>
        <v>21</v>
      </c>
      <c r="N255" s="4">
        <f ca="1">_xll.DBRW($B$1,$B$2,$B$7,$B$3,$B$4,$B$5,$F255,$B$6,N$10,$A255,$B255)</f>
        <v>21</v>
      </c>
      <c r="O255" s="4">
        <f ca="1">_xll.DBRW($B$1,$B$2,$B$7,$B$3,$B$4,$B$5,$F255,$B$6,O$10,$A255,$B255)</f>
        <v>18</v>
      </c>
      <c r="P255" s="4">
        <f ca="1">_xll.DBRW($B$1,$B$2,$B$7,$B$3,$B$4,$B$5,$F255,$B$6,P$10,$A255,$B255)</f>
        <v>22</v>
      </c>
      <c r="Q255" s="4">
        <f ca="1">_xll.DBRW($B$1,$B$2,$B$7,$B$3,$B$4,$B$5,$F255,$B$6,Q$10,$A255,$B255)</f>
        <v>20</v>
      </c>
      <c r="R255" s="4">
        <f ca="1">_xll.DBRW($B$1,$B$2,$B$7,$B$3,$B$4,$B$5,$F255,$B$6,R$10,$A255,$B255)</f>
        <v>9</v>
      </c>
      <c r="S255" s="4">
        <f ca="1">_xll.DBRW($B$1,$B$2,$B$7,$B$3,$B$4,$B$5,$F255,$B$6,S$10,$A255,$B255)</f>
        <v>10</v>
      </c>
      <c r="T255" s="4">
        <f ca="1">_xll.DBRW($B$1,$B$2,$B$7,$B$3,$B$4,$B$5,$F255,$B$6,T$10,$A255,$B255)</f>
        <v>17</v>
      </c>
      <c r="U255" s="4">
        <f ca="1">_xll.DBRW($B$1,$B$2,$B$7,$B$3,$B$4,$B$5,$F255,$B$6,U$10,$A255,$B255)</f>
        <v>16</v>
      </c>
      <c r="V255" s="4">
        <f ca="1">_xll.DBRW($B$1,$B$2,$B$7,$B$3,$B$4,$B$5,$F255,$B$6,V$10,$A255,$B255)</f>
        <v>18</v>
      </c>
      <c r="W255" s="4">
        <f ca="1">_xll.DBRW($B$1,$B$2,$B$7,$B$3,$B$4,$B$5,$F255,$B$6,W$10,$A255,$B255)</f>
        <v>8</v>
      </c>
      <c r="X255" s="4">
        <f ca="1">_xll.DBRW($B$1,$B$2,$B$7,$B$3,$B$4,$B$5,$F255,$B$6,X$10,$A255,$B255)</f>
        <v>9</v>
      </c>
      <c r="Y255" s="4">
        <f ca="1">_xll.DBRW($B$1,$B$2,$B$7,$B$3,$B$4,$B$5,$F255,$B$6,Y$10,$A255,$B255)</f>
        <v>9</v>
      </c>
      <c r="Z255" s="4">
        <f ca="1">_xll.DBRW($B$1,$B$2,$B$7,$B$3,$B$4,$B$5,$F255,$B$6,Z$10,$A255,$B255)</f>
        <v>8</v>
      </c>
      <c r="AA255" s="4">
        <f ca="1">_xll.DBRW($B$1,$B$2,$B$7,$B$3,$B$4,$B$5,$F255,$B$6,AA$10,$A255,$B255)</f>
        <v>10</v>
      </c>
      <c r="AB255" s="4">
        <f ca="1">_xll.DBRW($B$1,$B$2,$B$7,$B$3,$B$4,$B$5,$F255,$B$6,AB$10,$A255,$B255)</f>
        <v>8</v>
      </c>
      <c r="AC255" s="4">
        <f ca="1">_xll.DBRW($B$1,$B$2,$B$7,$B$3,$B$4,$B$5,$F255,$B$6,AC$10,$A255,$B255)</f>
        <v>10</v>
      </c>
      <c r="AD255" s="4">
        <f ca="1">_xll.DBRW($B$1,$B$2,$B$7,$B$3,$B$4,$B$5,$F255,$B$6,AD$10,$A255,$B255)</f>
        <v>18</v>
      </c>
      <c r="AE255" s="4">
        <f ca="1">_xll.DBRW($B$1,$B$2,$B$7,$B$3,$B$4,$B$5,$F255,$B$6,AE$10,$A255,$B255)</f>
        <v>17</v>
      </c>
    </row>
    <row r="256" spans="1:31">
      <c r="A256" s="1" t="s">
        <v>150</v>
      </c>
      <c r="B256" s="5" t="s">
        <v>41</v>
      </c>
      <c r="C256" s="5" t="s">
        <v>37</v>
      </c>
      <c r="D256" s="5" t="s">
        <v>38</v>
      </c>
      <c r="E256" s="5" t="s">
        <v>21</v>
      </c>
      <c r="F256" s="5" t="s">
        <v>314</v>
      </c>
      <c r="G256" s="6"/>
      <c r="H256" s="6"/>
      <c r="I256" s="6"/>
      <c r="J256" s="6"/>
      <c r="K256" s="6"/>
      <c r="L256" s="4">
        <f ca="1">_xll.DBRW($B$1,$B$2,$B$7,$B$3,$B$4,$B$5,$F256,$B$6,L$10,$A256,$B256)</f>
        <v>21</v>
      </c>
      <c r="M256" s="4">
        <f ca="1">_xll.DBRW($B$1,$B$2,$B$7,$B$3,$B$4,$B$5,$F256,$B$6,M$10,$A256,$B256)</f>
        <v>21</v>
      </c>
      <c r="N256" s="4">
        <f ca="1">_xll.DBRW($B$1,$B$2,$B$7,$B$3,$B$4,$B$5,$F256,$B$6,N$10,$A256,$B256)</f>
        <v>22</v>
      </c>
      <c r="O256" s="4">
        <f ca="1">_xll.DBRW($B$1,$B$2,$B$7,$B$3,$B$4,$B$5,$F256,$B$6,O$10,$A256,$B256)</f>
        <v>22</v>
      </c>
      <c r="P256" s="4">
        <f ca="1">_xll.DBRW($B$1,$B$2,$B$7,$B$3,$B$4,$B$5,$F256,$B$6,P$10,$A256,$B256)</f>
        <v>22</v>
      </c>
      <c r="Q256" s="4">
        <f ca="1">_xll.DBRW($B$1,$B$2,$B$7,$B$3,$B$4,$B$5,$F256,$B$6,Q$10,$A256,$B256)</f>
        <v>20</v>
      </c>
      <c r="R256" s="4">
        <f ca="1">_xll.DBRW($B$1,$B$2,$B$7,$B$3,$B$4,$B$5,$F256,$B$6,R$10,$A256,$B256)</f>
        <v>9</v>
      </c>
      <c r="S256" s="4">
        <f ca="1">_xll.DBRW($B$1,$B$2,$B$7,$B$3,$B$4,$B$5,$F256,$B$6,S$10,$A256,$B256)</f>
        <v>10</v>
      </c>
      <c r="T256" s="4">
        <f ca="1">_xll.DBRW($B$1,$B$2,$B$7,$B$3,$B$4,$B$5,$F256,$B$6,T$10,$A256,$B256)</f>
        <v>19</v>
      </c>
      <c r="U256" s="4">
        <f ca="1">_xll.DBRW($B$1,$B$2,$B$7,$B$3,$B$4,$B$5,$F256,$B$6,U$10,$A256,$B256)</f>
        <v>16</v>
      </c>
      <c r="V256" s="4">
        <f ca="1">_xll.DBRW($B$1,$B$2,$B$7,$B$3,$B$4,$B$5,$F256,$B$6,V$10,$A256,$B256)</f>
        <v>17</v>
      </c>
      <c r="W256" s="4">
        <f ca="1">_xll.DBRW($B$1,$B$2,$B$7,$B$3,$B$4,$B$5,$F256,$B$6,W$10,$A256,$B256)</f>
        <v>8</v>
      </c>
      <c r="X256" s="4">
        <f ca="1">_xll.DBRW($B$1,$B$2,$B$7,$B$3,$B$4,$B$5,$F256,$B$6,X$10,$A256,$B256)</f>
        <v>9</v>
      </c>
      <c r="Y256" s="4">
        <f ca="1">_xll.DBRW($B$1,$B$2,$B$7,$B$3,$B$4,$B$5,$F256,$B$6,Y$10,$A256,$B256)</f>
        <v>9</v>
      </c>
      <c r="Z256" s="4">
        <f ca="1">_xll.DBRW($B$1,$B$2,$B$7,$B$3,$B$4,$B$5,$F256,$B$6,Z$10,$A256,$B256)</f>
        <v>8</v>
      </c>
      <c r="AA256" s="4">
        <f ca="1">_xll.DBRW($B$1,$B$2,$B$7,$B$3,$B$4,$B$5,$F256,$B$6,AA$10,$A256,$B256)</f>
        <v>10</v>
      </c>
      <c r="AB256" s="4">
        <f ca="1">_xll.DBRW($B$1,$B$2,$B$7,$B$3,$B$4,$B$5,$F256,$B$6,AB$10,$A256,$B256)</f>
        <v>8</v>
      </c>
      <c r="AC256" s="4">
        <f ca="1">_xll.DBRW($B$1,$B$2,$B$7,$B$3,$B$4,$B$5,$F256,$B$6,AC$10,$A256,$B256)</f>
        <v>11</v>
      </c>
      <c r="AD256" s="4">
        <f ca="1">_xll.DBRW($B$1,$B$2,$B$7,$B$3,$B$4,$B$5,$F256,$B$6,AD$10,$A256,$B256)</f>
        <v>17</v>
      </c>
      <c r="AE256" s="4">
        <f ca="1">_xll.DBRW($B$1,$B$2,$B$7,$B$3,$B$4,$B$5,$F256,$B$6,AE$10,$A256,$B256)</f>
        <v>17</v>
      </c>
    </row>
    <row r="257" spans="1:31">
      <c r="A257" s="1" t="s">
        <v>150</v>
      </c>
      <c r="B257" s="5" t="s">
        <v>175</v>
      </c>
      <c r="C257" s="5" t="s">
        <v>159</v>
      </c>
      <c r="D257" s="5" t="s">
        <v>21</v>
      </c>
      <c r="E257" s="5" t="s">
        <v>38</v>
      </c>
      <c r="F257" s="5" t="s">
        <v>314</v>
      </c>
      <c r="G257" s="6"/>
      <c r="H257" s="6"/>
      <c r="I257" s="6"/>
      <c r="J257" s="6"/>
      <c r="K257" s="6"/>
      <c r="L257" s="4">
        <f ca="1">_xll.DBRW($B$1,$B$2,$B$7,$B$3,$B$4,$B$5,$F257,$B$6,L$10,$A257,$B257)</f>
        <v>9</v>
      </c>
      <c r="M257" s="4">
        <f ca="1">_xll.DBRW($B$1,$B$2,$B$7,$B$3,$B$4,$B$5,$F257,$B$6,M$10,$A257,$B257)</f>
        <v>26</v>
      </c>
      <c r="N257" s="4">
        <f ca="1">_xll.DBRW($B$1,$B$2,$B$7,$B$3,$B$4,$B$5,$F257,$B$6,N$10,$A257,$B257)</f>
        <v>24</v>
      </c>
      <c r="O257" s="4">
        <f ca="1">_xll.DBRW($B$1,$B$2,$B$7,$B$3,$B$4,$B$5,$F257,$B$6,O$10,$A257,$B257)</f>
        <v>27</v>
      </c>
      <c r="P257" s="4">
        <f ca="1">_xll.DBRW($B$1,$B$2,$B$7,$B$3,$B$4,$B$5,$F257,$B$6,P$10,$A257,$B257)</f>
        <v>26</v>
      </c>
      <c r="Q257" s="4">
        <f ca="1">_xll.DBRW($B$1,$B$2,$B$7,$B$3,$B$4,$B$5,$F257,$B$6,Q$10,$A257,$B257)</f>
        <v>22</v>
      </c>
      <c r="R257" s="4">
        <f ca="1">_xll.DBRW($B$1,$B$2,$B$7,$B$3,$B$4,$B$5,$F257,$B$6,R$10,$A257,$B257)</f>
        <v>0</v>
      </c>
      <c r="S257" s="4">
        <f ca="1">_xll.DBRW($B$1,$B$2,$B$7,$B$3,$B$4,$B$5,$F257,$B$6,S$10,$A257,$B257)</f>
        <v>0</v>
      </c>
      <c r="T257" s="4">
        <f ca="1">_xll.DBRW($B$1,$B$2,$B$7,$B$3,$B$4,$B$5,$F257,$B$6,T$10,$A257,$B257)</f>
        <v>0</v>
      </c>
      <c r="U257" s="4">
        <f ca="1">_xll.DBRW($B$1,$B$2,$B$7,$B$3,$B$4,$B$5,$F257,$B$6,U$10,$A257,$B257)</f>
        <v>0</v>
      </c>
      <c r="V257" s="4">
        <f ca="1">_xll.DBRW($B$1,$B$2,$B$7,$B$3,$B$4,$B$5,$F257,$B$6,V$10,$A257,$B257)</f>
        <v>0</v>
      </c>
      <c r="W257" s="4">
        <f ca="1">_xll.DBRW($B$1,$B$2,$B$7,$B$3,$B$4,$B$5,$F257,$B$6,W$10,$A257,$B257)</f>
        <v>0</v>
      </c>
      <c r="X257" s="4">
        <f ca="1">_xll.DBRW($B$1,$B$2,$B$7,$B$3,$B$4,$B$5,$F257,$B$6,X$10,$A257,$B257)</f>
        <v>0</v>
      </c>
      <c r="Y257" s="4">
        <f ca="1">_xll.DBRW($B$1,$B$2,$B$7,$B$3,$B$4,$B$5,$F257,$B$6,Y$10,$A257,$B257)</f>
        <v>0</v>
      </c>
      <c r="Z257" s="4">
        <f ca="1">_xll.DBRW($B$1,$B$2,$B$7,$B$3,$B$4,$B$5,$F257,$B$6,Z$10,$A257,$B257)</f>
        <v>0</v>
      </c>
      <c r="AA257" s="4">
        <f ca="1">_xll.DBRW($B$1,$B$2,$B$7,$B$3,$B$4,$B$5,$F257,$B$6,AA$10,$A257,$B257)</f>
        <v>0</v>
      </c>
      <c r="AB257" s="4">
        <f ca="1">_xll.DBRW($B$1,$B$2,$B$7,$B$3,$B$4,$B$5,$F257,$B$6,AB$10,$A257,$B257)</f>
        <v>0</v>
      </c>
      <c r="AC257" s="4">
        <f ca="1">_xll.DBRW($B$1,$B$2,$B$7,$B$3,$B$4,$B$5,$F257,$B$6,AC$10,$A257,$B257)</f>
        <v>0</v>
      </c>
      <c r="AD257" s="4">
        <f ca="1">_xll.DBRW($B$1,$B$2,$B$7,$B$3,$B$4,$B$5,$F257,$B$6,AD$10,$A257,$B257)</f>
        <v>0</v>
      </c>
      <c r="AE257" s="4">
        <f ca="1">_xll.DBRW($B$1,$B$2,$B$7,$B$3,$B$4,$B$5,$F257,$B$6,AE$10,$A257,$B257)</f>
        <v>0</v>
      </c>
    </row>
    <row r="258" spans="1:31">
      <c r="A258" s="1" t="s">
        <v>150</v>
      </c>
      <c r="B258" s="5" t="s">
        <v>42</v>
      </c>
      <c r="C258" s="5" t="s">
        <v>37</v>
      </c>
      <c r="D258" s="5" t="s">
        <v>38</v>
      </c>
      <c r="E258" s="5" t="s">
        <v>21</v>
      </c>
      <c r="F258" s="5" t="s">
        <v>314</v>
      </c>
      <c r="G258" s="6"/>
      <c r="H258" s="6"/>
      <c r="I258" s="6"/>
      <c r="J258" s="6"/>
      <c r="K258" s="6"/>
      <c r="L258" s="4">
        <f ca="1">_xll.DBRW($B$1,$B$2,$B$7,$B$3,$B$4,$B$5,$F258,$B$6,L$10,$A258,$B258)</f>
        <v>1</v>
      </c>
      <c r="M258" s="4">
        <f ca="1">_xll.DBRW($B$1,$B$2,$B$7,$B$3,$B$4,$B$5,$F258,$B$6,M$10,$A258,$B258)</f>
        <v>0</v>
      </c>
      <c r="N258" s="4">
        <f ca="1">_xll.DBRW($B$1,$B$2,$B$7,$B$3,$B$4,$B$5,$F258,$B$6,N$10,$A258,$B258)</f>
        <v>1</v>
      </c>
      <c r="O258" s="4">
        <f ca="1">_xll.DBRW($B$1,$B$2,$B$7,$B$3,$B$4,$B$5,$F258,$B$6,O$10,$A258,$B258)</f>
        <v>17</v>
      </c>
      <c r="P258" s="4">
        <f ca="1">_xll.DBRW($B$1,$B$2,$B$7,$B$3,$B$4,$B$5,$F258,$B$6,P$10,$A258,$B258)</f>
        <v>3</v>
      </c>
      <c r="Q258" s="4">
        <f ca="1">_xll.DBRW($B$1,$B$2,$B$7,$B$3,$B$4,$B$5,$F258,$B$6,Q$10,$A258,$B258)</f>
        <v>2</v>
      </c>
      <c r="R258" s="4">
        <f ca="1">_xll.DBRW($B$1,$B$2,$B$7,$B$3,$B$4,$B$5,$F258,$B$6,R$10,$A258,$B258)</f>
        <v>0</v>
      </c>
      <c r="S258" s="4">
        <f ca="1">_xll.DBRW($B$1,$B$2,$B$7,$B$3,$B$4,$B$5,$F258,$B$6,S$10,$A258,$B258)</f>
        <v>0</v>
      </c>
      <c r="T258" s="4">
        <f ca="1">_xll.DBRW($B$1,$B$2,$B$7,$B$3,$B$4,$B$5,$F258,$B$6,T$10,$A258,$B258)</f>
        <v>0</v>
      </c>
      <c r="U258" s="4">
        <f ca="1">_xll.DBRW($B$1,$B$2,$B$7,$B$3,$B$4,$B$5,$F258,$B$6,U$10,$A258,$B258)</f>
        <v>0</v>
      </c>
      <c r="V258" s="4">
        <f ca="1">_xll.DBRW($B$1,$B$2,$B$7,$B$3,$B$4,$B$5,$F258,$B$6,V$10,$A258,$B258)</f>
        <v>0</v>
      </c>
      <c r="W258" s="4">
        <f ca="1">_xll.DBRW($B$1,$B$2,$B$7,$B$3,$B$4,$B$5,$F258,$B$6,W$10,$A258,$B258)</f>
        <v>0</v>
      </c>
      <c r="X258" s="4">
        <f ca="1">_xll.DBRW($B$1,$B$2,$B$7,$B$3,$B$4,$B$5,$F258,$B$6,X$10,$A258,$B258)</f>
        <v>0</v>
      </c>
      <c r="Y258" s="4">
        <f ca="1">_xll.DBRW($B$1,$B$2,$B$7,$B$3,$B$4,$B$5,$F258,$B$6,Y$10,$A258,$B258)</f>
        <v>0</v>
      </c>
      <c r="Z258" s="4">
        <f ca="1">_xll.DBRW($B$1,$B$2,$B$7,$B$3,$B$4,$B$5,$F258,$B$6,Z$10,$A258,$B258)</f>
        <v>0</v>
      </c>
      <c r="AA258" s="4">
        <f ca="1">_xll.DBRW($B$1,$B$2,$B$7,$B$3,$B$4,$B$5,$F258,$B$6,AA$10,$A258,$B258)</f>
        <v>0</v>
      </c>
      <c r="AB258" s="4">
        <f ca="1">_xll.DBRW($B$1,$B$2,$B$7,$B$3,$B$4,$B$5,$F258,$B$6,AB$10,$A258,$B258)</f>
        <v>0</v>
      </c>
      <c r="AC258" s="4">
        <f ca="1">_xll.DBRW($B$1,$B$2,$B$7,$B$3,$B$4,$B$5,$F258,$B$6,AC$10,$A258,$B258)</f>
        <v>0</v>
      </c>
      <c r="AD258" s="4">
        <f ca="1">_xll.DBRW($B$1,$B$2,$B$7,$B$3,$B$4,$B$5,$F258,$B$6,AD$10,$A258,$B258)</f>
        <v>0</v>
      </c>
      <c r="AE258" s="4">
        <f ca="1">_xll.DBRW($B$1,$B$2,$B$7,$B$3,$B$4,$B$5,$F258,$B$6,AE$10,$A258,$B258)</f>
        <v>0</v>
      </c>
    </row>
    <row r="259" spans="1:31">
      <c r="A259" s="1" t="s">
        <v>150</v>
      </c>
      <c r="B259" s="5" t="s">
        <v>176</v>
      </c>
      <c r="C259" s="5" t="s">
        <v>177</v>
      </c>
      <c r="D259" s="5" t="s">
        <v>28</v>
      </c>
      <c r="E259" s="5" t="s">
        <v>59</v>
      </c>
      <c r="F259" s="5" t="s">
        <v>314</v>
      </c>
      <c r="G259" s="6"/>
      <c r="H259" s="6"/>
      <c r="I259" s="6"/>
      <c r="J259" s="6"/>
      <c r="K259" s="6"/>
      <c r="L259" s="4">
        <f ca="1">_xll.DBRW($B$1,$B$2,$B$7,$B$3,$B$4,$B$5,$F259,$B$6,L$10,$A259,$B259)</f>
        <v>0</v>
      </c>
      <c r="M259" s="4">
        <f ca="1">_xll.DBRW($B$1,$B$2,$B$7,$B$3,$B$4,$B$5,$F259,$B$6,M$10,$A259,$B259)</f>
        <v>0</v>
      </c>
      <c r="N259" s="4">
        <f ca="1">_xll.DBRW($B$1,$B$2,$B$7,$B$3,$B$4,$B$5,$F259,$B$6,N$10,$A259,$B259)</f>
        <v>0</v>
      </c>
      <c r="O259" s="4">
        <f ca="1">_xll.DBRW($B$1,$B$2,$B$7,$B$3,$B$4,$B$5,$F259,$B$6,O$10,$A259,$B259)</f>
        <v>0</v>
      </c>
      <c r="P259" s="4">
        <f ca="1">_xll.DBRW($B$1,$B$2,$B$7,$B$3,$B$4,$B$5,$F259,$B$6,P$10,$A259,$B259)</f>
        <v>0</v>
      </c>
      <c r="Q259" s="4">
        <f ca="1">_xll.DBRW($B$1,$B$2,$B$7,$B$3,$B$4,$B$5,$F259,$B$6,Q$10,$A259,$B259)</f>
        <v>0</v>
      </c>
      <c r="R259" s="4">
        <f ca="1">_xll.DBRW($B$1,$B$2,$B$7,$B$3,$B$4,$B$5,$F259,$B$6,R$10,$A259,$B259)</f>
        <v>10</v>
      </c>
      <c r="S259" s="4">
        <f ca="1">_xll.DBRW($B$1,$B$2,$B$7,$B$3,$B$4,$B$5,$F259,$B$6,S$10,$A259,$B259)</f>
        <v>8</v>
      </c>
      <c r="T259" s="4">
        <f ca="1">_xll.DBRW($B$1,$B$2,$B$7,$B$3,$B$4,$B$5,$F259,$B$6,T$10,$A259,$B259)</f>
        <v>0</v>
      </c>
      <c r="U259" s="4">
        <f ca="1">_xll.DBRW($B$1,$B$2,$B$7,$B$3,$B$4,$B$5,$F259,$B$6,U$10,$A259,$B259)</f>
        <v>0</v>
      </c>
      <c r="V259" s="4">
        <f ca="1">_xll.DBRW($B$1,$B$2,$B$7,$B$3,$B$4,$B$5,$F259,$B$6,V$10,$A259,$B259)</f>
        <v>0</v>
      </c>
      <c r="W259" s="4">
        <f ca="1">_xll.DBRW($B$1,$B$2,$B$7,$B$3,$B$4,$B$5,$F259,$B$6,W$10,$A259,$B259)</f>
        <v>0</v>
      </c>
      <c r="X259" s="4">
        <f ca="1">_xll.DBRW($B$1,$B$2,$B$7,$B$3,$B$4,$B$5,$F259,$B$6,X$10,$A259,$B259)</f>
        <v>0</v>
      </c>
      <c r="Y259" s="4">
        <f ca="1">_xll.DBRW($B$1,$B$2,$B$7,$B$3,$B$4,$B$5,$F259,$B$6,Y$10,$A259,$B259)</f>
        <v>0</v>
      </c>
      <c r="Z259" s="4">
        <f ca="1">_xll.DBRW($B$1,$B$2,$B$7,$B$3,$B$4,$B$5,$F259,$B$6,Z$10,$A259,$B259)</f>
        <v>0</v>
      </c>
      <c r="AA259" s="4">
        <f ca="1">_xll.DBRW($B$1,$B$2,$B$7,$B$3,$B$4,$B$5,$F259,$B$6,AA$10,$A259,$B259)</f>
        <v>0</v>
      </c>
      <c r="AB259" s="4">
        <f ca="1">_xll.DBRW($B$1,$B$2,$B$7,$B$3,$B$4,$B$5,$F259,$B$6,AB$10,$A259,$B259)</f>
        <v>0</v>
      </c>
      <c r="AC259" s="4">
        <f ca="1">_xll.DBRW($B$1,$B$2,$B$7,$B$3,$B$4,$B$5,$F259,$B$6,AC$10,$A259,$B259)</f>
        <v>0</v>
      </c>
      <c r="AD259" s="4">
        <f ca="1">_xll.DBRW($B$1,$B$2,$B$7,$B$3,$B$4,$B$5,$F259,$B$6,AD$10,$A259,$B259)</f>
        <v>0</v>
      </c>
      <c r="AE259" s="4">
        <f ca="1">_xll.DBRW($B$1,$B$2,$B$7,$B$3,$B$4,$B$5,$F259,$B$6,AE$10,$A259,$B259)</f>
        <v>0</v>
      </c>
    </row>
    <row r="260" spans="1:31">
      <c r="A260" s="1" t="s">
        <v>150</v>
      </c>
      <c r="B260" s="5" t="s">
        <v>64</v>
      </c>
      <c r="C260" s="5" t="s">
        <v>65</v>
      </c>
      <c r="D260" s="5" t="s">
        <v>59</v>
      </c>
      <c r="E260" s="5" t="s">
        <v>28</v>
      </c>
      <c r="F260" s="5" t="s">
        <v>314</v>
      </c>
      <c r="G260" s="6"/>
      <c r="H260" s="6"/>
      <c r="I260" s="6"/>
      <c r="J260" s="6"/>
      <c r="K260" s="6"/>
      <c r="L260" s="4">
        <f ca="1">_xll.DBRW($B$1,$B$2,$B$7,$B$3,$B$4,$B$5,$F260,$B$6,L$10,$A260,$B260)</f>
        <v>0</v>
      </c>
      <c r="M260" s="4">
        <f ca="1">_xll.DBRW($B$1,$B$2,$B$7,$B$3,$B$4,$B$5,$F260,$B$6,M$10,$A260,$B260)</f>
        <v>0</v>
      </c>
      <c r="N260" s="4">
        <f ca="1">_xll.DBRW($B$1,$B$2,$B$7,$B$3,$B$4,$B$5,$F260,$B$6,N$10,$A260,$B260)</f>
        <v>0</v>
      </c>
      <c r="O260" s="4">
        <f ca="1">_xll.DBRW($B$1,$B$2,$B$7,$B$3,$B$4,$B$5,$F260,$B$6,O$10,$A260,$B260)</f>
        <v>0</v>
      </c>
      <c r="P260" s="4">
        <f ca="1">_xll.DBRW($B$1,$B$2,$B$7,$B$3,$B$4,$B$5,$F260,$B$6,P$10,$A260,$B260)</f>
        <v>0</v>
      </c>
      <c r="Q260" s="4">
        <f ca="1">_xll.DBRW($B$1,$B$2,$B$7,$B$3,$B$4,$B$5,$F260,$B$6,Q$10,$A260,$B260)</f>
        <v>2</v>
      </c>
      <c r="R260" s="4">
        <f ca="1">_xll.DBRW($B$1,$B$2,$B$7,$B$3,$B$4,$B$5,$F260,$B$6,R$10,$A260,$B260)</f>
        <v>8</v>
      </c>
      <c r="S260" s="4">
        <f ca="1">_xll.DBRW($B$1,$B$2,$B$7,$B$3,$B$4,$B$5,$F260,$B$6,S$10,$A260,$B260)</f>
        <v>8</v>
      </c>
      <c r="T260" s="4">
        <f ca="1">_xll.DBRW($B$1,$B$2,$B$7,$B$3,$B$4,$B$5,$F260,$B$6,T$10,$A260,$B260)</f>
        <v>0</v>
      </c>
      <c r="U260" s="4">
        <f ca="1">_xll.DBRW($B$1,$B$2,$B$7,$B$3,$B$4,$B$5,$F260,$B$6,U$10,$A260,$B260)</f>
        <v>0</v>
      </c>
      <c r="V260" s="4">
        <f ca="1">_xll.DBRW($B$1,$B$2,$B$7,$B$3,$B$4,$B$5,$F260,$B$6,V$10,$A260,$B260)</f>
        <v>0</v>
      </c>
      <c r="W260" s="4">
        <f ca="1">_xll.DBRW($B$1,$B$2,$B$7,$B$3,$B$4,$B$5,$F260,$B$6,W$10,$A260,$B260)</f>
        <v>0</v>
      </c>
      <c r="X260" s="4">
        <f ca="1">_xll.DBRW($B$1,$B$2,$B$7,$B$3,$B$4,$B$5,$F260,$B$6,X$10,$A260,$B260)</f>
        <v>0</v>
      </c>
      <c r="Y260" s="4">
        <f ca="1">_xll.DBRW($B$1,$B$2,$B$7,$B$3,$B$4,$B$5,$F260,$B$6,Y$10,$A260,$B260)</f>
        <v>0</v>
      </c>
      <c r="Z260" s="4">
        <f ca="1">_xll.DBRW($B$1,$B$2,$B$7,$B$3,$B$4,$B$5,$F260,$B$6,Z$10,$A260,$B260)</f>
        <v>0</v>
      </c>
      <c r="AA260" s="4">
        <f ca="1">_xll.DBRW($B$1,$B$2,$B$7,$B$3,$B$4,$B$5,$F260,$B$6,AA$10,$A260,$B260)</f>
        <v>0</v>
      </c>
      <c r="AB260" s="4">
        <f ca="1">_xll.DBRW($B$1,$B$2,$B$7,$B$3,$B$4,$B$5,$F260,$B$6,AB$10,$A260,$B260)</f>
        <v>0</v>
      </c>
      <c r="AC260" s="4">
        <f ca="1">_xll.DBRW($B$1,$B$2,$B$7,$B$3,$B$4,$B$5,$F260,$B$6,AC$10,$A260,$B260)</f>
        <v>0</v>
      </c>
      <c r="AD260" s="4">
        <f ca="1">_xll.DBRW($B$1,$B$2,$B$7,$B$3,$B$4,$B$5,$F260,$B$6,AD$10,$A260,$B260)</f>
        <v>0</v>
      </c>
      <c r="AE260" s="4">
        <f ca="1">_xll.DBRW($B$1,$B$2,$B$7,$B$3,$B$4,$B$5,$F260,$B$6,AE$10,$A260,$B260)</f>
        <v>0</v>
      </c>
    </row>
    <row r="261" spans="1:31">
      <c r="A261" s="1" t="s">
        <v>150</v>
      </c>
      <c r="B261" s="5" t="s">
        <v>178</v>
      </c>
      <c r="C261" s="5" t="s">
        <v>177</v>
      </c>
      <c r="D261" s="5" t="s">
        <v>28</v>
      </c>
      <c r="E261" s="5" t="s">
        <v>59</v>
      </c>
      <c r="F261" s="5" t="s">
        <v>314</v>
      </c>
      <c r="G261" s="6"/>
      <c r="H261" s="6"/>
      <c r="I261" s="6"/>
      <c r="J261" s="6"/>
      <c r="K261" s="6"/>
      <c r="L261" s="4">
        <f ca="1">_xll.DBRW($B$1,$B$2,$B$7,$B$3,$B$4,$B$5,$F261,$B$6,L$10,$A261,$B261)</f>
        <v>0</v>
      </c>
      <c r="M261" s="4">
        <f ca="1">_xll.DBRW($B$1,$B$2,$B$7,$B$3,$B$4,$B$5,$F261,$B$6,M$10,$A261,$B261)</f>
        <v>0</v>
      </c>
      <c r="N261" s="4">
        <f ca="1">_xll.DBRW($B$1,$B$2,$B$7,$B$3,$B$4,$B$5,$F261,$B$6,N$10,$A261,$B261)</f>
        <v>0</v>
      </c>
      <c r="O261" s="4">
        <f ca="1">_xll.DBRW($B$1,$B$2,$B$7,$B$3,$B$4,$B$5,$F261,$B$6,O$10,$A261,$B261)</f>
        <v>0</v>
      </c>
      <c r="P261" s="4">
        <f ca="1">_xll.DBRW($B$1,$B$2,$B$7,$B$3,$B$4,$B$5,$F261,$B$6,P$10,$A261,$B261)</f>
        <v>0</v>
      </c>
      <c r="Q261" s="4">
        <f ca="1">_xll.DBRW($B$1,$B$2,$B$7,$B$3,$B$4,$B$5,$F261,$B$6,Q$10,$A261,$B261)</f>
        <v>0</v>
      </c>
      <c r="R261" s="4">
        <f ca="1">_xll.DBRW($B$1,$B$2,$B$7,$B$3,$B$4,$B$5,$F261,$B$6,R$10,$A261,$B261)</f>
        <v>0</v>
      </c>
      <c r="S261" s="4">
        <f ca="1">_xll.DBRW($B$1,$B$2,$B$7,$B$3,$B$4,$B$5,$F261,$B$6,S$10,$A261,$B261)</f>
        <v>0</v>
      </c>
      <c r="T261" s="4">
        <f ca="1">_xll.DBRW($B$1,$B$2,$B$7,$B$3,$B$4,$B$5,$F261,$B$6,T$10,$A261,$B261)</f>
        <v>0</v>
      </c>
      <c r="U261" s="4">
        <f ca="1">_xll.DBRW($B$1,$B$2,$B$7,$B$3,$B$4,$B$5,$F261,$B$6,U$10,$A261,$B261)</f>
        <v>0</v>
      </c>
      <c r="V261" s="4">
        <f ca="1">_xll.DBRW($B$1,$B$2,$B$7,$B$3,$B$4,$B$5,$F261,$B$6,V$10,$A261,$B261)</f>
        <v>0</v>
      </c>
      <c r="W261" s="4">
        <f ca="1">_xll.DBRW($B$1,$B$2,$B$7,$B$3,$B$4,$B$5,$F261,$B$6,W$10,$A261,$B261)</f>
        <v>0</v>
      </c>
      <c r="X261" s="4">
        <f ca="1">_xll.DBRW($B$1,$B$2,$B$7,$B$3,$B$4,$B$5,$F261,$B$6,X$10,$A261,$B261)</f>
        <v>0</v>
      </c>
      <c r="Y261" s="4">
        <f ca="1">_xll.DBRW($B$1,$B$2,$B$7,$B$3,$B$4,$B$5,$F261,$B$6,Y$10,$A261,$B261)</f>
        <v>0</v>
      </c>
      <c r="Z261" s="4">
        <f ca="1">_xll.DBRW($B$1,$B$2,$B$7,$B$3,$B$4,$B$5,$F261,$B$6,Z$10,$A261,$B261)</f>
        <v>0</v>
      </c>
      <c r="AA261" s="4">
        <f ca="1">_xll.DBRW($B$1,$B$2,$B$7,$B$3,$B$4,$B$5,$F261,$B$6,AA$10,$A261,$B261)</f>
        <v>0</v>
      </c>
      <c r="AB261" s="4">
        <f ca="1">_xll.DBRW($B$1,$B$2,$B$7,$B$3,$B$4,$B$5,$F261,$B$6,AB$10,$A261,$B261)</f>
        <v>0</v>
      </c>
      <c r="AC261" s="4">
        <f ca="1">_xll.DBRW($B$1,$B$2,$B$7,$B$3,$B$4,$B$5,$F261,$B$6,AC$10,$A261,$B261)</f>
        <v>0</v>
      </c>
      <c r="AD261" s="4">
        <f ca="1">_xll.DBRW($B$1,$B$2,$B$7,$B$3,$B$4,$B$5,$F261,$B$6,AD$10,$A261,$B261)</f>
        <v>0</v>
      </c>
      <c r="AE261" s="4">
        <f ca="1">_xll.DBRW($B$1,$B$2,$B$7,$B$3,$B$4,$B$5,$F261,$B$6,AE$10,$A261,$B261)</f>
        <v>0</v>
      </c>
    </row>
    <row r="262" spans="1:31">
      <c r="A262" s="1" t="s">
        <v>150</v>
      </c>
      <c r="B262" s="5" t="s">
        <v>66</v>
      </c>
      <c r="C262" s="5" t="s">
        <v>65</v>
      </c>
      <c r="D262" s="5" t="s">
        <v>59</v>
      </c>
      <c r="E262" s="5" t="s">
        <v>28</v>
      </c>
      <c r="F262" s="5" t="s">
        <v>314</v>
      </c>
      <c r="G262" s="6"/>
      <c r="H262" s="6"/>
      <c r="I262" s="6"/>
      <c r="J262" s="6"/>
      <c r="K262" s="6"/>
      <c r="L262" s="4">
        <f ca="1">_xll.DBRW($B$1,$B$2,$B$7,$B$3,$B$4,$B$5,$F262,$B$6,L$10,$A262,$B262)</f>
        <v>0</v>
      </c>
      <c r="M262" s="4">
        <f ca="1">_xll.DBRW($B$1,$B$2,$B$7,$B$3,$B$4,$B$5,$F262,$B$6,M$10,$A262,$B262)</f>
        <v>0</v>
      </c>
      <c r="N262" s="4">
        <f ca="1">_xll.DBRW($B$1,$B$2,$B$7,$B$3,$B$4,$B$5,$F262,$B$6,N$10,$A262,$B262)</f>
        <v>0</v>
      </c>
      <c r="O262" s="4">
        <f ca="1">_xll.DBRW($B$1,$B$2,$B$7,$B$3,$B$4,$B$5,$F262,$B$6,O$10,$A262,$B262)</f>
        <v>0</v>
      </c>
      <c r="P262" s="4">
        <f ca="1">_xll.DBRW($B$1,$B$2,$B$7,$B$3,$B$4,$B$5,$F262,$B$6,P$10,$A262,$B262)</f>
        <v>0</v>
      </c>
      <c r="Q262" s="4">
        <f ca="1">_xll.DBRW($B$1,$B$2,$B$7,$B$3,$B$4,$B$5,$F262,$B$6,Q$10,$A262,$B262)</f>
        <v>0</v>
      </c>
      <c r="R262" s="4">
        <f ca="1">_xll.DBRW($B$1,$B$2,$B$7,$B$3,$B$4,$B$5,$F262,$B$6,R$10,$A262,$B262)</f>
        <v>0</v>
      </c>
      <c r="S262" s="4">
        <f ca="1">_xll.DBRW($B$1,$B$2,$B$7,$B$3,$B$4,$B$5,$F262,$B$6,S$10,$A262,$B262)</f>
        <v>0</v>
      </c>
      <c r="T262" s="4">
        <f ca="1">_xll.DBRW($B$1,$B$2,$B$7,$B$3,$B$4,$B$5,$F262,$B$6,T$10,$A262,$B262)</f>
        <v>0</v>
      </c>
      <c r="U262" s="4">
        <f ca="1">_xll.DBRW($B$1,$B$2,$B$7,$B$3,$B$4,$B$5,$F262,$B$6,U$10,$A262,$B262)</f>
        <v>0</v>
      </c>
      <c r="V262" s="4">
        <f ca="1">_xll.DBRW($B$1,$B$2,$B$7,$B$3,$B$4,$B$5,$F262,$B$6,V$10,$A262,$B262)</f>
        <v>0</v>
      </c>
      <c r="W262" s="4">
        <f ca="1">_xll.DBRW($B$1,$B$2,$B$7,$B$3,$B$4,$B$5,$F262,$B$6,W$10,$A262,$B262)</f>
        <v>0</v>
      </c>
      <c r="X262" s="4">
        <f ca="1">_xll.DBRW($B$1,$B$2,$B$7,$B$3,$B$4,$B$5,$F262,$B$6,X$10,$A262,$B262)</f>
        <v>0</v>
      </c>
      <c r="Y262" s="4">
        <f ca="1">_xll.DBRW($B$1,$B$2,$B$7,$B$3,$B$4,$B$5,$F262,$B$6,Y$10,$A262,$B262)</f>
        <v>0</v>
      </c>
      <c r="Z262" s="4">
        <f ca="1">_xll.DBRW($B$1,$B$2,$B$7,$B$3,$B$4,$B$5,$F262,$B$6,Z$10,$A262,$B262)</f>
        <v>0</v>
      </c>
      <c r="AA262" s="4">
        <f ca="1">_xll.DBRW($B$1,$B$2,$B$7,$B$3,$B$4,$B$5,$F262,$B$6,AA$10,$A262,$B262)</f>
        <v>0</v>
      </c>
      <c r="AB262" s="4">
        <f ca="1">_xll.DBRW($B$1,$B$2,$B$7,$B$3,$B$4,$B$5,$F262,$B$6,AB$10,$A262,$B262)</f>
        <v>0</v>
      </c>
      <c r="AC262" s="4">
        <f ca="1">_xll.DBRW($B$1,$B$2,$B$7,$B$3,$B$4,$B$5,$F262,$B$6,AC$10,$A262,$B262)</f>
        <v>0</v>
      </c>
      <c r="AD262" s="4">
        <f ca="1">_xll.DBRW($B$1,$B$2,$B$7,$B$3,$B$4,$B$5,$F262,$B$6,AD$10,$A262,$B262)</f>
        <v>0</v>
      </c>
      <c r="AE262" s="4">
        <f ca="1">_xll.DBRW($B$1,$B$2,$B$7,$B$3,$B$4,$B$5,$F262,$B$6,AE$10,$A262,$B262)</f>
        <v>0</v>
      </c>
    </row>
    <row r="263" spans="1:31">
      <c r="A263" s="1" t="s">
        <v>150</v>
      </c>
      <c r="B263" s="5" t="s">
        <v>179</v>
      </c>
      <c r="C263" s="5" t="s">
        <v>180</v>
      </c>
      <c r="D263" s="5" t="s">
        <v>28</v>
      </c>
      <c r="E263" s="5" t="s">
        <v>181</v>
      </c>
      <c r="F263" s="5" t="s">
        <v>314</v>
      </c>
      <c r="G263" s="6"/>
      <c r="H263" s="6"/>
      <c r="I263" s="6"/>
      <c r="J263" s="6"/>
      <c r="K263" s="6"/>
      <c r="L263" s="4">
        <f ca="1">_xll.DBRW($B$1,$B$2,$B$7,$B$3,$B$4,$B$5,$F263,$B$6,L$10,$A263,$B263)</f>
        <v>0</v>
      </c>
      <c r="M263" s="4">
        <f ca="1">_xll.DBRW($B$1,$B$2,$B$7,$B$3,$B$4,$B$5,$F263,$B$6,M$10,$A263,$B263)</f>
        <v>0</v>
      </c>
      <c r="N263" s="4">
        <f ca="1">_xll.DBRW($B$1,$B$2,$B$7,$B$3,$B$4,$B$5,$F263,$B$6,N$10,$A263,$B263)</f>
        <v>0</v>
      </c>
      <c r="O263" s="4">
        <f ca="1">_xll.DBRW($B$1,$B$2,$B$7,$B$3,$B$4,$B$5,$F263,$B$6,O$10,$A263,$B263)</f>
        <v>0</v>
      </c>
      <c r="P263" s="4">
        <f ca="1">_xll.DBRW($B$1,$B$2,$B$7,$B$3,$B$4,$B$5,$F263,$B$6,P$10,$A263,$B263)</f>
        <v>0</v>
      </c>
      <c r="Q263" s="4">
        <f ca="1">_xll.DBRW($B$1,$B$2,$B$7,$B$3,$B$4,$B$5,$F263,$B$6,Q$10,$A263,$B263)</f>
        <v>0</v>
      </c>
      <c r="R263" s="4">
        <f ca="1">_xll.DBRW($B$1,$B$2,$B$7,$B$3,$B$4,$B$5,$F263,$B$6,R$10,$A263,$B263)</f>
        <v>0</v>
      </c>
      <c r="S263" s="4">
        <f ca="1">_xll.DBRW($B$1,$B$2,$B$7,$B$3,$B$4,$B$5,$F263,$B$6,S$10,$A263,$B263)</f>
        <v>0</v>
      </c>
      <c r="T263" s="4">
        <f ca="1">_xll.DBRW($B$1,$B$2,$B$7,$B$3,$B$4,$B$5,$F263,$B$6,T$10,$A263,$B263)</f>
        <v>0</v>
      </c>
      <c r="U263" s="4">
        <f ca="1">_xll.DBRW($B$1,$B$2,$B$7,$B$3,$B$4,$B$5,$F263,$B$6,U$10,$A263,$B263)</f>
        <v>0</v>
      </c>
      <c r="V263" s="4">
        <f ca="1">_xll.DBRW($B$1,$B$2,$B$7,$B$3,$B$4,$B$5,$F263,$B$6,V$10,$A263,$B263)</f>
        <v>0</v>
      </c>
      <c r="W263" s="4">
        <f ca="1">_xll.DBRW($B$1,$B$2,$B$7,$B$3,$B$4,$B$5,$F263,$B$6,W$10,$A263,$B263)</f>
        <v>0</v>
      </c>
      <c r="X263" s="4">
        <f ca="1">_xll.DBRW($B$1,$B$2,$B$7,$B$3,$B$4,$B$5,$F263,$B$6,X$10,$A263,$B263)</f>
        <v>0</v>
      </c>
      <c r="Y263" s="4">
        <f ca="1">_xll.DBRW($B$1,$B$2,$B$7,$B$3,$B$4,$B$5,$F263,$B$6,Y$10,$A263,$B263)</f>
        <v>0</v>
      </c>
      <c r="Z263" s="4">
        <f ca="1">_xll.DBRW($B$1,$B$2,$B$7,$B$3,$B$4,$B$5,$F263,$B$6,Z$10,$A263,$B263)</f>
        <v>0</v>
      </c>
      <c r="AA263" s="4">
        <f ca="1">_xll.DBRW($B$1,$B$2,$B$7,$B$3,$B$4,$B$5,$F263,$B$6,AA$10,$A263,$B263)</f>
        <v>0</v>
      </c>
      <c r="AB263" s="4">
        <f ca="1">_xll.DBRW($B$1,$B$2,$B$7,$B$3,$B$4,$B$5,$F263,$B$6,AB$10,$A263,$B263)</f>
        <v>0</v>
      </c>
      <c r="AC263" s="4">
        <f ca="1">_xll.DBRW($B$1,$B$2,$B$7,$B$3,$B$4,$B$5,$F263,$B$6,AC$10,$A263,$B263)</f>
        <v>0</v>
      </c>
      <c r="AD263" s="4">
        <f ca="1">_xll.DBRW($B$1,$B$2,$B$7,$B$3,$B$4,$B$5,$F263,$B$6,AD$10,$A263,$B263)</f>
        <v>0</v>
      </c>
      <c r="AE263" s="4">
        <f ca="1">_xll.DBRW($B$1,$B$2,$B$7,$B$3,$B$4,$B$5,$F263,$B$6,AE$10,$A263,$B263)</f>
        <v>0</v>
      </c>
    </row>
    <row r="264" spans="1:31">
      <c r="A264" s="1" t="s">
        <v>150</v>
      </c>
      <c r="B264" s="5" t="s">
        <v>182</v>
      </c>
      <c r="C264" s="5" t="s">
        <v>183</v>
      </c>
      <c r="D264" s="5" t="s">
        <v>181</v>
      </c>
      <c r="E264" s="5" t="s">
        <v>28</v>
      </c>
      <c r="F264" s="5" t="s">
        <v>314</v>
      </c>
      <c r="G264" s="6"/>
      <c r="H264" s="6"/>
      <c r="I264" s="6"/>
      <c r="J264" s="6"/>
      <c r="K264" s="6"/>
      <c r="L264" s="4">
        <f ca="1">_xll.DBRW($B$1,$B$2,$B$7,$B$3,$B$4,$B$5,$F264,$B$6,L$10,$A264,$B264)</f>
        <v>0</v>
      </c>
      <c r="M264" s="4">
        <f ca="1">_xll.DBRW($B$1,$B$2,$B$7,$B$3,$B$4,$B$5,$F264,$B$6,M$10,$A264,$B264)</f>
        <v>0</v>
      </c>
      <c r="N264" s="4">
        <f ca="1">_xll.DBRW($B$1,$B$2,$B$7,$B$3,$B$4,$B$5,$F264,$B$6,N$10,$A264,$B264)</f>
        <v>0</v>
      </c>
      <c r="O264" s="4">
        <f ca="1">_xll.DBRW($B$1,$B$2,$B$7,$B$3,$B$4,$B$5,$F264,$B$6,O$10,$A264,$B264)</f>
        <v>0</v>
      </c>
      <c r="P264" s="4">
        <f ca="1">_xll.DBRW($B$1,$B$2,$B$7,$B$3,$B$4,$B$5,$F264,$B$6,P$10,$A264,$B264)</f>
        <v>0</v>
      </c>
      <c r="Q264" s="4">
        <f ca="1">_xll.DBRW($B$1,$B$2,$B$7,$B$3,$B$4,$B$5,$F264,$B$6,Q$10,$A264,$B264)</f>
        <v>0</v>
      </c>
      <c r="R264" s="4">
        <f ca="1">_xll.DBRW($B$1,$B$2,$B$7,$B$3,$B$4,$B$5,$F264,$B$6,R$10,$A264,$B264)</f>
        <v>0</v>
      </c>
      <c r="S264" s="4">
        <f ca="1">_xll.DBRW($B$1,$B$2,$B$7,$B$3,$B$4,$B$5,$F264,$B$6,S$10,$A264,$B264)</f>
        <v>0</v>
      </c>
      <c r="T264" s="4">
        <f ca="1">_xll.DBRW($B$1,$B$2,$B$7,$B$3,$B$4,$B$5,$F264,$B$6,T$10,$A264,$B264)</f>
        <v>0</v>
      </c>
      <c r="U264" s="4">
        <f ca="1">_xll.DBRW($B$1,$B$2,$B$7,$B$3,$B$4,$B$5,$F264,$B$6,U$10,$A264,$B264)</f>
        <v>0</v>
      </c>
      <c r="V264" s="4">
        <f ca="1">_xll.DBRW($B$1,$B$2,$B$7,$B$3,$B$4,$B$5,$F264,$B$6,V$10,$A264,$B264)</f>
        <v>0</v>
      </c>
      <c r="W264" s="4">
        <f ca="1">_xll.DBRW($B$1,$B$2,$B$7,$B$3,$B$4,$B$5,$F264,$B$6,W$10,$A264,$B264)</f>
        <v>0</v>
      </c>
      <c r="X264" s="4">
        <f ca="1">_xll.DBRW($B$1,$B$2,$B$7,$B$3,$B$4,$B$5,$F264,$B$6,X$10,$A264,$B264)</f>
        <v>0</v>
      </c>
      <c r="Y264" s="4">
        <f ca="1">_xll.DBRW($B$1,$B$2,$B$7,$B$3,$B$4,$B$5,$F264,$B$6,Y$10,$A264,$B264)</f>
        <v>0</v>
      </c>
      <c r="Z264" s="4">
        <f ca="1">_xll.DBRW($B$1,$B$2,$B$7,$B$3,$B$4,$B$5,$F264,$B$6,Z$10,$A264,$B264)</f>
        <v>0</v>
      </c>
      <c r="AA264" s="4">
        <f ca="1">_xll.DBRW($B$1,$B$2,$B$7,$B$3,$B$4,$B$5,$F264,$B$6,AA$10,$A264,$B264)</f>
        <v>0</v>
      </c>
      <c r="AB264" s="4">
        <f ca="1">_xll.DBRW($B$1,$B$2,$B$7,$B$3,$B$4,$B$5,$F264,$B$6,AB$10,$A264,$B264)</f>
        <v>0</v>
      </c>
      <c r="AC264" s="4">
        <f ca="1">_xll.DBRW($B$1,$B$2,$B$7,$B$3,$B$4,$B$5,$F264,$B$6,AC$10,$A264,$B264)</f>
        <v>0</v>
      </c>
      <c r="AD264" s="4">
        <f ca="1">_xll.DBRW($B$1,$B$2,$B$7,$B$3,$B$4,$B$5,$F264,$B$6,AD$10,$A264,$B264)</f>
        <v>0</v>
      </c>
      <c r="AE264" s="4">
        <f ca="1">_xll.DBRW($B$1,$B$2,$B$7,$B$3,$B$4,$B$5,$F264,$B$6,AE$10,$A264,$B264)</f>
        <v>0</v>
      </c>
    </row>
    <row r="265" spans="1:31">
      <c r="A265" s="1" t="s">
        <v>150</v>
      </c>
      <c r="B265" s="5" t="s">
        <v>184</v>
      </c>
      <c r="C265" s="5" t="s">
        <v>185</v>
      </c>
      <c r="D265" s="5" t="s">
        <v>28</v>
      </c>
      <c r="E265" s="5" t="s">
        <v>49</v>
      </c>
      <c r="F265" s="5" t="s">
        <v>314</v>
      </c>
      <c r="G265" s="6"/>
      <c r="H265" s="6"/>
      <c r="I265" s="6"/>
      <c r="J265" s="6"/>
      <c r="K265" s="6"/>
      <c r="L265" s="4">
        <f ca="1">_xll.DBRW($B$1,$B$2,$B$7,$B$3,$B$4,$B$5,$F265,$B$6,L$10,$A265,$B265)</f>
        <v>0</v>
      </c>
      <c r="M265" s="4">
        <f ca="1">_xll.DBRW($B$1,$B$2,$B$7,$B$3,$B$4,$B$5,$F265,$B$6,M$10,$A265,$B265)</f>
        <v>0</v>
      </c>
      <c r="N265" s="4">
        <f ca="1">_xll.DBRW($B$1,$B$2,$B$7,$B$3,$B$4,$B$5,$F265,$B$6,N$10,$A265,$B265)</f>
        <v>0</v>
      </c>
      <c r="O265" s="4">
        <f ca="1">_xll.DBRW($B$1,$B$2,$B$7,$B$3,$B$4,$B$5,$F265,$B$6,O$10,$A265,$B265)</f>
        <v>0</v>
      </c>
      <c r="P265" s="4">
        <f ca="1">_xll.DBRW($B$1,$B$2,$B$7,$B$3,$B$4,$B$5,$F265,$B$6,P$10,$A265,$B265)</f>
        <v>0</v>
      </c>
      <c r="Q265" s="4">
        <f ca="1">_xll.DBRW($B$1,$B$2,$B$7,$B$3,$B$4,$B$5,$F265,$B$6,Q$10,$A265,$B265)</f>
        <v>0</v>
      </c>
      <c r="R265" s="4">
        <f ca="1">_xll.DBRW($B$1,$B$2,$B$7,$B$3,$B$4,$B$5,$F265,$B$6,R$10,$A265,$B265)</f>
        <v>0</v>
      </c>
      <c r="S265" s="4">
        <f ca="1">_xll.DBRW($B$1,$B$2,$B$7,$B$3,$B$4,$B$5,$F265,$B$6,S$10,$A265,$B265)</f>
        <v>0</v>
      </c>
      <c r="T265" s="4">
        <f ca="1">_xll.DBRW($B$1,$B$2,$B$7,$B$3,$B$4,$B$5,$F265,$B$6,T$10,$A265,$B265)</f>
        <v>0</v>
      </c>
      <c r="U265" s="4">
        <f ca="1">_xll.DBRW($B$1,$B$2,$B$7,$B$3,$B$4,$B$5,$F265,$B$6,U$10,$A265,$B265)</f>
        <v>0</v>
      </c>
      <c r="V265" s="4">
        <f ca="1">_xll.DBRW($B$1,$B$2,$B$7,$B$3,$B$4,$B$5,$F265,$B$6,V$10,$A265,$B265)</f>
        <v>0</v>
      </c>
      <c r="W265" s="4">
        <f ca="1">_xll.DBRW($B$1,$B$2,$B$7,$B$3,$B$4,$B$5,$F265,$B$6,W$10,$A265,$B265)</f>
        <v>0</v>
      </c>
      <c r="X265" s="4">
        <f ca="1">_xll.DBRW($B$1,$B$2,$B$7,$B$3,$B$4,$B$5,$F265,$B$6,X$10,$A265,$B265)</f>
        <v>0</v>
      </c>
      <c r="Y265" s="4">
        <f ca="1">_xll.DBRW($B$1,$B$2,$B$7,$B$3,$B$4,$B$5,$F265,$B$6,Y$10,$A265,$B265)</f>
        <v>0</v>
      </c>
      <c r="Z265" s="4">
        <f ca="1">_xll.DBRW($B$1,$B$2,$B$7,$B$3,$B$4,$B$5,$F265,$B$6,Z$10,$A265,$B265)</f>
        <v>0</v>
      </c>
      <c r="AA265" s="4">
        <f ca="1">_xll.DBRW($B$1,$B$2,$B$7,$B$3,$B$4,$B$5,$F265,$B$6,AA$10,$A265,$B265)</f>
        <v>0</v>
      </c>
      <c r="AB265" s="4">
        <f ca="1">_xll.DBRW($B$1,$B$2,$B$7,$B$3,$B$4,$B$5,$F265,$B$6,AB$10,$A265,$B265)</f>
        <v>0</v>
      </c>
      <c r="AC265" s="4">
        <f ca="1">_xll.DBRW($B$1,$B$2,$B$7,$B$3,$B$4,$B$5,$F265,$B$6,AC$10,$A265,$B265)</f>
        <v>0</v>
      </c>
      <c r="AD265" s="4">
        <f ca="1">_xll.DBRW($B$1,$B$2,$B$7,$B$3,$B$4,$B$5,$F265,$B$6,AD$10,$A265,$B265)</f>
        <v>0</v>
      </c>
      <c r="AE265" s="4">
        <f ca="1">_xll.DBRW($B$1,$B$2,$B$7,$B$3,$B$4,$B$5,$F265,$B$6,AE$10,$A265,$B265)</f>
        <v>0</v>
      </c>
    </row>
    <row r="266" spans="1:31">
      <c r="A266" s="1" t="s">
        <v>150</v>
      </c>
      <c r="B266" s="5" t="s">
        <v>50</v>
      </c>
      <c r="C266" s="5" t="s">
        <v>51</v>
      </c>
      <c r="D266" s="5" t="s">
        <v>49</v>
      </c>
      <c r="E266" s="5" t="s">
        <v>28</v>
      </c>
      <c r="F266" s="5" t="s">
        <v>314</v>
      </c>
      <c r="G266" s="6"/>
      <c r="H266" s="6"/>
      <c r="I266" s="6"/>
      <c r="J266" s="6"/>
      <c r="K266" s="6"/>
      <c r="L266" s="4">
        <f ca="1">_xll.DBRW($B$1,$B$2,$B$7,$B$3,$B$4,$B$5,$F266,$B$6,L$10,$A266,$B266)</f>
        <v>0</v>
      </c>
      <c r="M266" s="4">
        <f ca="1">_xll.DBRW($B$1,$B$2,$B$7,$B$3,$B$4,$B$5,$F266,$B$6,M$10,$A266,$B266)</f>
        <v>0</v>
      </c>
      <c r="N266" s="4">
        <f ca="1">_xll.DBRW($B$1,$B$2,$B$7,$B$3,$B$4,$B$5,$F266,$B$6,N$10,$A266,$B266)</f>
        <v>0</v>
      </c>
      <c r="O266" s="4">
        <f ca="1">_xll.DBRW($B$1,$B$2,$B$7,$B$3,$B$4,$B$5,$F266,$B$6,O$10,$A266,$B266)</f>
        <v>0</v>
      </c>
      <c r="P266" s="4">
        <f ca="1">_xll.DBRW($B$1,$B$2,$B$7,$B$3,$B$4,$B$5,$F266,$B$6,P$10,$A266,$B266)</f>
        <v>0</v>
      </c>
      <c r="Q266" s="4">
        <f ca="1">_xll.DBRW($B$1,$B$2,$B$7,$B$3,$B$4,$B$5,$F266,$B$6,Q$10,$A266,$B266)</f>
        <v>0</v>
      </c>
      <c r="R266" s="4">
        <f ca="1">_xll.DBRW($B$1,$B$2,$B$7,$B$3,$B$4,$B$5,$F266,$B$6,R$10,$A266,$B266)</f>
        <v>0</v>
      </c>
      <c r="S266" s="4">
        <f ca="1">_xll.DBRW($B$1,$B$2,$B$7,$B$3,$B$4,$B$5,$F266,$B$6,S$10,$A266,$B266)</f>
        <v>0</v>
      </c>
      <c r="T266" s="4">
        <f ca="1">_xll.DBRW($B$1,$B$2,$B$7,$B$3,$B$4,$B$5,$F266,$B$6,T$10,$A266,$B266)</f>
        <v>0</v>
      </c>
      <c r="U266" s="4">
        <f ca="1">_xll.DBRW($B$1,$B$2,$B$7,$B$3,$B$4,$B$5,$F266,$B$6,U$10,$A266,$B266)</f>
        <v>0</v>
      </c>
      <c r="V266" s="4">
        <f ca="1">_xll.DBRW($B$1,$B$2,$B$7,$B$3,$B$4,$B$5,$F266,$B$6,V$10,$A266,$B266)</f>
        <v>0</v>
      </c>
      <c r="W266" s="4">
        <f ca="1">_xll.DBRW($B$1,$B$2,$B$7,$B$3,$B$4,$B$5,$F266,$B$6,W$10,$A266,$B266)</f>
        <v>0</v>
      </c>
      <c r="X266" s="4">
        <f ca="1">_xll.DBRW($B$1,$B$2,$B$7,$B$3,$B$4,$B$5,$F266,$B$6,X$10,$A266,$B266)</f>
        <v>0</v>
      </c>
      <c r="Y266" s="4">
        <f ca="1">_xll.DBRW($B$1,$B$2,$B$7,$B$3,$B$4,$B$5,$F266,$B$6,Y$10,$A266,$B266)</f>
        <v>0</v>
      </c>
      <c r="Z266" s="4">
        <f ca="1">_xll.DBRW($B$1,$B$2,$B$7,$B$3,$B$4,$B$5,$F266,$B$6,Z$10,$A266,$B266)</f>
        <v>0</v>
      </c>
      <c r="AA266" s="4">
        <f ca="1">_xll.DBRW($B$1,$B$2,$B$7,$B$3,$B$4,$B$5,$F266,$B$6,AA$10,$A266,$B266)</f>
        <v>0</v>
      </c>
      <c r="AB266" s="4">
        <f ca="1">_xll.DBRW($B$1,$B$2,$B$7,$B$3,$B$4,$B$5,$F266,$B$6,AB$10,$A266,$B266)</f>
        <v>0</v>
      </c>
      <c r="AC266" s="4">
        <f ca="1">_xll.DBRW($B$1,$B$2,$B$7,$B$3,$B$4,$B$5,$F266,$B$6,AC$10,$A266,$B266)</f>
        <v>0</v>
      </c>
      <c r="AD266" s="4">
        <f ca="1">_xll.DBRW($B$1,$B$2,$B$7,$B$3,$B$4,$B$5,$F266,$B$6,AD$10,$A266,$B266)</f>
        <v>0</v>
      </c>
      <c r="AE266" s="4">
        <f ca="1">_xll.DBRW($B$1,$B$2,$B$7,$B$3,$B$4,$B$5,$F266,$B$6,AE$10,$A266,$B266)</f>
        <v>0</v>
      </c>
    </row>
    <row r="267" spans="1:31">
      <c r="A267" s="1" t="s">
        <v>150</v>
      </c>
      <c r="B267" s="5" t="s">
        <v>186</v>
      </c>
      <c r="C267" s="5" t="s">
        <v>187</v>
      </c>
      <c r="D267" s="5" t="s">
        <v>21</v>
      </c>
      <c r="E267" s="5" t="s">
        <v>59</v>
      </c>
      <c r="F267" s="5" t="s">
        <v>314</v>
      </c>
      <c r="G267" s="6"/>
      <c r="H267" s="6"/>
      <c r="I267" s="6"/>
      <c r="J267" s="6"/>
      <c r="K267" s="6"/>
      <c r="L267" s="4">
        <f ca="1">_xll.DBRW($B$1,$B$2,$B$7,$B$3,$B$4,$B$5,$F267,$B$6,L$10,$A267,$B267)</f>
        <v>0</v>
      </c>
      <c r="M267" s="4">
        <f ca="1">_xll.DBRW($B$1,$B$2,$B$7,$B$3,$B$4,$B$5,$F267,$B$6,M$10,$A267,$B267)</f>
        <v>0</v>
      </c>
      <c r="N267" s="4">
        <f ca="1">_xll.DBRW($B$1,$B$2,$B$7,$B$3,$B$4,$B$5,$F267,$B$6,N$10,$A267,$B267)</f>
        <v>0</v>
      </c>
      <c r="O267" s="4">
        <f ca="1">_xll.DBRW($B$1,$B$2,$B$7,$B$3,$B$4,$B$5,$F267,$B$6,O$10,$A267,$B267)</f>
        <v>0</v>
      </c>
      <c r="P267" s="4">
        <f ca="1">_xll.DBRW($B$1,$B$2,$B$7,$B$3,$B$4,$B$5,$F267,$B$6,P$10,$A267,$B267)</f>
        <v>0</v>
      </c>
      <c r="Q267" s="4">
        <f ca="1">_xll.DBRW($B$1,$B$2,$B$7,$B$3,$B$4,$B$5,$F267,$B$6,Q$10,$A267,$B267)</f>
        <v>2</v>
      </c>
      <c r="R267" s="4">
        <f ca="1">_xll.DBRW($B$1,$B$2,$B$7,$B$3,$B$4,$B$5,$F267,$B$6,R$10,$A267,$B267)</f>
        <v>8</v>
      </c>
      <c r="S267" s="4">
        <f ca="1">_xll.DBRW($B$1,$B$2,$B$7,$B$3,$B$4,$B$5,$F267,$B$6,S$10,$A267,$B267)</f>
        <v>8</v>
      </c>
      <c r="T267" s="4">
        <f ca="1">_xll.DBRW($B$1,$B$2,$B$7,$B$3,$B$4,$B$5,$F267,$B$6,T$10,$A267,$B267)</f>
        <v>0</v>
      </c>
      <c r="U267" s="4">
        <f ca="1">_xll.DBRW($B$1,$B$2,$B$7,$B$3,$B$4,$B$5,$F267,$B$6,U$10,$A267,$B267)</f>
        <v>0</v>
      </c>
      <c r="V267" s="4">
        <f ca="1">_xll.DBRW($B$1,$B$2,$B$7,$B$3,$B$4,$B$5,$F267,$B$6,V$10,$A267,$B267)</f>
        <v>0</v>
      </c>
      <c r="W267" s="4">
        <f ca="1">_xll.DBRW($B$1,$B$2,$B$7,$B$3,$B$4,$B$5,$F267,$B$6,W$10,$A267,$B267)</f>
        <v>5</v>
      </c>
      <c r="X267" s="4">
        <f ca="1">_xll.DBRW($B$1,$B$2,$B$7,$B$3,$B$4,$B$5,$F267,$B$6,X$10,$A267,$B267)</f>
        <v>4</v>
      </c>
      <c r="Y267" s="4">
        <f ca="1">_xll.DBRW($B$1,$B$2,$B$7,$B$3,$B$4,$B$5,$F267,$B$6,Y$10,$A267,$B267)</f>
        <v>4</v>
      </c>
      <c r="Z267" s="4">
        <f ca="1">_xll.DBRW($B$1,$B$2,$B$7,$B$3,$B$4,$B$5,$F267,$B$6,Z$10,$A267,$B267)</f>
        <v>5</v>
      </c>
      <c r="AA267" s="4">
        <f ca="1">_xll.DBRW($B$1,$B$2,$B$7,$B$3,$B$4,$B$5,$F267,$B$6,AA$10,$A267,$B267)</f>
        <v>4</v>
      </c>
      <c r="AB267" s="4">
        <f ca="1">_xll.DBRW($B$1,$B$2,$B$7,$B$3,$B$4,$B$5,$F267,$B$6,AB$10,$A267,$B267)</f>
        <v>5</v>
      </c>
      <c r="AC267" s="4">
        <f ca="1">_xll.DBRW($B$1,$B$2,$B$7,$B$3,$B$4,$B$5,$F267,$B$6,AC$10,$A267,$B267)</f>
        <v>3</v>
      </c>
      <c r="AD267" s="4">
        <f ca="1">_xll.DBRW($B$1,$B$2,$B$7,$B$3,$B$4,$B$5,$F267,$B$6,AD$10,$A267,$B267)</f>
        <v>0</v>
      </c>
      <c r="AE267" s="4">
        <f ca="1">_xll.DBRW($B$1,$B$2,$B$7,$B$3,$B$4,$B$5,$F267,$B$6,AE$10,$A267,$B267)</f>
        <v>0</v>
      </c>
    </row>
    <row r="268" spans="1:31">
      <c r="A268" s="1" t="s">
        <v>150</v>
      </c>
      <c r="B268" s="5" t="s">
        <v>61</v>
      </c>
      <c r="C268" s="5" t="s">
        <v>62</v>
      </c>
      <c r="D268" s="5" t="s">
        <v>59</v>
      </c>
      <c r="E268" s="5" t="s">
        <v>21</v>
      </c>
      <c r="F268" s="5" t="s">
        <v>314</v>
      </c>
      <c r="G268" s="6"/>
      <c r="H268" s="6"/>
      <c r="I268" s="6"/>
      <c r="J268" s="6"/>
      <c r="K268" s="6"/>
      <c r="L268" s="4">
        <f ca="1">_xll.DBRW($B$1,$B$2,$B$7,$B$3,$B$4,$B$5,$F268,$B$6,L$10,$A268,$B268)</f>
        <v>0</v>
      </c>
      <c r="M268" s="4">
        <f ca="1">_xll.DBRW($B$1,$B$2,$B$7,$B$3,$B$4,$B$5,$F268,$B$6,M$10,$A268,$B268)</f>
        <v>0</v>
      </c>
      <c r="N268" s="4">
        <f ca="1">_xll.DBRW($B$1,$B$2,$B$7,$B$3,$B$4,$B$5,$F268,$B$6,N$10,$A268,$B268)</f>
        <v>0</v>
      </c>
      <c r="O268" s="4">
        <f ca="1">_xll.DBRW($B$1,$B$2,$B$7,$B$3,$B$4,$B$5,$F268,$B$6,O$10,$A268,$B268)</f>
        <v>0</v>
      </c>
      <c r="P268" s="4">
        <f ca="1">_xll.DBRW($B$1,$B$2,$B$7,$B$3,$B$4,$B$5,$F268,$B$6,P$10,$A268,$B268)</f>
        <v>0</v>
      </c>
      <c r="Q268" s="4">
        <f ca="1">_xll.DBRW($B$1,$B$2,$B$7,$B$3,$B$4,$B$5,$F268,$B$6,Q$10,$A268,$B268)</f>
        <v>0</v>
      </c>
      <c r="R268" s="4">
        <f ca="1">_xll.DBRW($B$1,$B$2,$B$7,$B$3,$B$4,$B$5,$F268,$B$6,R$10,$A268,$B268)</f>
        <v>10</v>
      </c>
      <c r="S268" s="4">
        <f ca="1">_xll.DBRW($B$1,$B$2,$B$7,$B$3,$B$4,$B$5,$F268,$B$6,S$10,$A268,$B268)</f>
        <v>8</v>
      </c>
      <c r="T268" s="4">
        <f ca="1">_xll.DBRW($B$1,$B$2,$B$7,$B$3,$B$4,$B$5,$F268,$B$6,T$10,$A268,$B268)</f>
        <v>0</v>
      </c>
      <c r="U268" s="4">
        <f ca="1">_xll.DBRW($B$1,$B$2,$B$7,$B$3,$B$4,$B$5,$F268,$B$6,U$10,$A268,$B268)</f>
        <v>0</v>
      </c>
      <c r="V268" s="4">
        <f ca="1">_xll.DBRW($B$1,$B$2,$B$7,$B$3,$B$4,$B$5,$F268,$B$6,V$10,$A268,$B268)</f>
        <v>0</v>
      </c>
      <c r="W268" s="4">
        <f ca="1">_xll.DBRW($B$1,$B$2,$B$7,$B$3,$B$4,$B$5,$F268,$B$6,W$10,$A268,$B268)</f>
        <v>5</v>
      </c>
      <c r="X268" s="4">
        <f ca="1">_xll.DBRW($B$1,$B$2,$B$7,$B$3,$B$4,$B$5,$F268,$B$6,X$10,$A268,$B268)</f>
        <v>4</v>
      </c>
      <c r="Y268" s="4">
        <f ca="1">_xll.DBRW($B$1,$B$2,$B$7,$B$3,$B$4,$B$5,$F268,$B$6,Y$10,$A268,$B268)</f>
        <v>4</v>
      </c>
      <c r="Z268" s="4">
        <f ca="1">_xll.DBRW($B$1,$B$2,$B$7,$B$3,$B$4,$B$5,$F268,$B$6,Z$10,$A268,$B268)</f>
        <v>5</v>
      </c>
      <c r="AA268" s="4">
        <f ca="1">_xll.DBRW($B$1,$B$2,$B$7,$B$3,$B$4,$B$5,$F268,$B$6,AA$10,$A268,$B268)</f>
        <v>4</v>
      </c>
      <c r="AB268" s="4">
        <f ca="1">_xll.DBRW($B$1,$B$2,$B$7,$B$3,$B$4,$B$5,$F268,$B$6,AB$10,$A268,$B268)</f>
        <v>5</v>
      </c>
      <c r="AC268" s="4">
        <f ca="1">_xll.DBRW($B$1,$B$2,$B$7,$B$3,$B$4,$B$5,$F268,$B$6,AC$10,$A268,$B268)</f>
        <v>3</v>
      </c>
      <c r="AD268" s="4">
        <f ca="1">_xll.DBRW($B$1,$B$2,$B$7,$B$3,$B$4,$B$5,$F268,$B$6,AD$10,$A268,$B268)</f>
        <v>0</v>
      </c>
      <c r="AE268" s="4">
        <f ca="1">_xll.DBRW($B$1,$B$2,$B$7,$B$3,$B$4,$B$5,$F268,$B$6,AE$10,$A268,$B268)</f>
        <v>0</v>
      </c>
    </row>
    <row r="269" spans="1:31">
      <c r="A269" s="1" t="s">
        <v>150</v>
      </c>
      <c r="B269" s="5" t="s">
        <v>188</v>
      </c>
      <c r="C269" s="5" t="s">
        <v>189</v>
      </c>
      <c r="D269" s="5" t="s">
        <v>21</v>
      </c>
      <c r="E269" s="5" t="s">
        <v>20</v>
      </c>
      <c r="F269" s="5" t="s">
        <v>314</v>
      </c>
      <c r="G269" s="6"/>
      <c r="H269" s="6"/>
      <c r="I269" s="6"/>
      <c r="J269" s="6"/>
      <c r="K269" s="6"/>
      <c r="L269" s="4">
        <f ca="1">_xll.DBRW($B$1,$B$2,$B$7,$B$3,$B$4,$B$5,$F269,$B$6,L$10,$A269,$B269)</f>
        <v>0</v>
      </c>
      <c r="M269" s="4">
        <f ca="1">_xll.DBRW($B$1,$B$2,$B$7,$B$3,$B$4,$B$5,$F269,$B$6,M$10,$A269,$B269)</f>
        <v>0</v>
      </c>
      <c r="N269" s="4">
        <f ca="1">_xll.DBRW($B$1,$B$2,$B$7,$B$3,$B$4,$B$5,$F269,$B$6,N$10,$A269,$B269)</f>
        <v>0</v>
      </c>
      <c r="O269" s="4">
        <f ca="1">_xll.DBRW($B$1,$B$2,$B$7,$B$3,$B$4,$B$5,$F269,$B$6,O$10,$A269,$B269)</f>
        <v>0</v>
      </c>
      <c r="P269" s="4">
        <f ca="1">_xll.DBRW($B$1,$B$2,$B$7,$B$3,$B$4,$B$5,$F269,$B$6,P$10,$A269,$B269)</f>
        <v>0</v>
      </c>
      <c r="Q269" s="4">
        <f ca="1">_xll.DBRW($B$1,$B$2,$B$7,$B$3,$B$4,$B$5,$F269,$B$6,Q$10,$A269,$B269)</f>
        <v>1</v>
      </c>
      <c r="R269" s="4">
        <f ca="1">_xll.DBRW($B$1,$B$2,$B$7,$B$3,$B$4,$B$5,$F269,$B$6,R$10,$A269,$B269)</f>
        <v>4</v>
      </c>
      <c r="S269" s="4">
        <f ca="1">_xll.DBRW($B$1,$B$2,$B$7,$B$3,$B$4,$B$5,$F269,$B$6,S$10,$A269,$B269)</f>
        <v>5</v>
      </c>
      <c r="T269" s="4">
        <f ca="1">_xll.DBRW($B$1,$B$2,$B$7,$B$3,$B$4,$B$5,$F269,$B$6,T$10,$A269,$B269)</f>
        <v>31</v>
      </c>
      <c r="U269" s="4">
        <f ca="1">_xll.DBRW($B$1,$B$2,$B$7,$B$3,$B$4,$B$5,$F269,$B$6,U$10,$A269,$B269)</f>
        <v>28</v>
      </c>
      <c r="V269" s="4">
        <f ca="1">_xll.DBRW($B$1,$B$2,$B$7,$B$3,$B$4,$B$5,$F269,$B$6,V$10,$A269,$B269)</f>
        <v>31</v>
      </c>
      <c r="W269" s="4">
        <f ca="1">_xll.DBRW($B$1,$B$2,$B$7,$B$3,$B$4,$B$5,$F269,$B$6,W$10,$A269,$B269)</f>
        <v>30</v>
      </c>
      <c r="X269" s="4">
        <f ca="1">_xll.DBRW($B$1,$B$2,$B$7,$B$3,$B$4,$B$5,$F269,$B$6,X$10,$A269,$B269)</f>
        <v>31</v>
      </c>
      <c r="Y269" s="4">
        <f ca="1">_xll.DBRW($B$1,$B$2,$B$7,$B$3,$B$4,$B$5,$F269,$B$6,Y$10,$A269,$B269)</f>
        <v>30</v>
      </c>
      <c r="Z269" s="4">
        <f ca="1">_xll.DBRW($B$1,$B$2,$B$7,$B$3,$B$4,$B$5,$F269,$B$6,Z$10,$A269,$B269)</f>
        <v>31</v>
      </c>
      <c r="AA269" s="4">
        <f ca="1">_xll.DBRW($B$1,$B$2,$B$7,$B$3,$B$4,$B$5,$F269,$B$6,AA$10,$A269,$B269)</f>
        <v>31</v>
      </c>
      <c r="AB269" s="4">
        <f ca="1">_xll.DBRW($B$1,$B$2,$B$7,$B$3,$B$4,$B$5,$F269,$B$6,AB$10,$A269,$B269)</f>
        <v>30</v>
      </c>
      <c r="AC269" s="4">
        <f ca="1">_xll.DBRW($B$1,$B$2,$B$7,$B$3,$B$4,$B$5,$F269,$B$6,AC$10,$A269,$B269)</f>
        <v>31</v>
      </c>
      <c r="AD269" s="4">
        <f ca="1">_xll.DBRW($B$1,$B$2,$B$7,$B$3,$B$4,$B$5,$F269,$B$6,AD$10,$A269,$B269)</f>
        <v>30</v>
      </c>
      <c r="AE269" s="4">
        <f ca="1">_xll.DBRW($B$1,$B$2,$B$7,$B$3,$B$4,$B$5,$F269,$B$6,AE$10,$A269,$B269)</f>
        <v>31</v>
      </c>
    </row>
    <row r="270" spans="1:31">
      <c r="A270" s="1" t="s">
        <v>150</v>
      </c>
      <c r="B270" s="5" t="s">
        <v>18</v>
      </c>
      <c r="C270" s="5" t="s">
        <v>19</v>
      </c>
      <c r="D270" s="5" t="s">
        <v>20</v>
      </c>
      <c r="E270" s="5" t="s">
        <v>21</v>
      </c>
      <c r="F270" s="5" t="s">
        <v>314</v>
      </c>
      <c r="G270" s="6"/>
      <c r="H270" s="6"/>
      <c r="I270" s="6"/>
      <c r="J270" s="6"/>
      <c r="K270" s="6"/>
      <c r="L270" s="4">
        <f ca="1">_xll.DBRW($B$1,$B$2,$B$7,$B$3,$B$4,$B$5,$F270,$B$6,L$10,$A270,$B270)</f>
        <v>0</v>
      </c>
      <c r="M270" s="4">
        <f ca="1">_xll.DBRW($B$1,$B$2,$B$7,$B$3,$B$4,$B$5,$F270,$B$6,M$10,$A270,$B270)</f>
        <v>0</v>
      </c>
      <c r="N270" s="4">
        <f ca="1">_xll.DBRW($B$1,$B$2,$B$7,$B$3,$B$4,$B$5,$F270,$B$6,N$10,$A270,$B270)</f>
        <v>0</v>
      </c>
      <c r="O270" s="4">
        <f ca="1">_xll.DBRW($B$1,$B$2,$B$7,$B$3,$B$4,$B$5,$F270,$B$6,O$10,$A270,$B270)</f>
        <v>0</v>
      </c>
      <c r="P270" s="4">
        <f ca="1">_xll.DBRW($B$1,$B$2,$B$7,$B$3,$B$4,$B$5,$F270,$B$6,P$10,$A270,$B270)</f>
        <v>0</v>
      </c>
      <c r="Q270" s="4">
        <f ca="1">_xll.DBRW($B$1,$B$2,$B$7,$B$3,$B$4,$B$5,$F270,$B$6,Q$10,$A270,$B270)</f>
        <v>1</v>
      </c>
      <c r="R270" s="4">
        <f ca="1">_xll.DBRW($B$1,$B$2,$B$7,$B$3,$B$4,$B$5,$F270,$B$6,R$10,$A270,$B270)</f>
        <v>4</v>
      </c>
      <c r="S270" s="4">
        <f ca="1">_xll.DBRW($B$1,$B$2,$B$7,$B$3,$B$4,$B$5,$F270,$B$6,S$10,$A270,$B270)</f>
        <v>5</v>
      </c>
      <c r="T270" s="4">
        <f ca="1">_xll.DBRW($B$1,$B$2,$B$7,$B$3,$B$4,$B$5,$F270,$B$6,T$10,$A270,$B270)</f>
        <v>31</v>
      </c>
      <c r="U270" s="4">
        <f ca="1">_xll.DBRW($B$1,$B$2,$B$7,$B$3,$B$4,$B$5,$F270,$B$6,U$10,$A270,$B270)</f>
        <v>28</v>
      </c>
      <c r="V270" s="4">
        <f ca="1">_xll.DBRW($B$1,$B$2,$B$7,$B$3,$B$4,$B$5,$F270,$B$6,V$10,$A270,$B270)</f>
        <v>31</v>
      </c>
      <c r="W270" s="4">
        <f ca="1">_xll.DBRW($B$1,$B$2,$B$7,$B$3,$B$4,$B$5,$F270,$B$6,W$10,$A270,$B270)</f>
        <v>30</v>
      </c>
      <c r="X270" s="4">
        <f ca="1">_xll.DBRW($B$1,$B$2,$B$7,$B$3,$B$4,$B$5,$F270,$B$6,X$10,$A270,$B270)</f>
        <v>31</v>
      </c>
      <c r="Y270" s="4">
        <f ca="1">_xll.DBRW($B$1,$B$2,$B$7,$B$3,$B$4,$B$5,$F270,$B$6,Y$10,$A270,$B270)</f>
        <v>30</v>
      </c>
      <c r="Z270" s="4">
        <f ca="1">_xll.DBRW($B$1,$B$2,$B$7,$B$3,$B$4,$B$5,$F270,$B$6,Z$10,$A270,$B270)</f>
        <v>31</v>
      </c>
      <c r="AA270" s="4">
        <f ca="1">_xll.DBRW($B$1,$B$2,$B$7,$B$3,$B$4,$B$5,$F270,$B$6,AA$10,$A270,$B270)</f>
        <v>31</v>
      </c>
      <c r="AB270" s="4">
        <f ca="1">_xll.DBRW($B$1,$B$2,$B$7,$B$3,$B$4,$B$5,$F270,$B$6,AB$10,$A270,$B270)</f>
        <v>30</v>
      </c>
      <c r="AC270" s="4">
        <f ca="1">_xll.DBRW($B$1,$B$2,$B$7,$B$3,$B$4,$B$5,$F270,$B$6,AC$10,$A270,$B270)</f>
        <v>31</v>
      </c>
      <c r="AD270" s="4">
        <f ca="1">_xll.DBRW($B$1,$B$2,$B$7,$B$3,$B$4,$B$5,$F270,$B$6,AD$10,$A270,$B270)</f>
        <v>30</v>
      </c>
      <c r="AE270" s="4">
        <f ca="1">_xll.DBRW($B$1,$B$2,$B$7,$B$3,$B$4,$B$5,$F270,$B$6,AE$10,$A270,$B270)</f>
        <v>31</v>
      </c>
    </row>
    <row r="271" spans="1:31">
      <c r="A271" s="1" t="s">
        <v>150</v>
      </c>
      <c r="B271" s="5" t="s">
        <v>190</v>
      </c>
      <c r="C271" s="5" t="s">
        <v>191</v>
      </c>
      <c r="D271" s="5" t="s">
        <v>21</v>
      </c>
      <c r="E271" s="5" t="s">
        <v>73</v>
      </c>
      <c r="F271" s="5" t="s">
        <v>314</v>
      </c>
      <c r="G271" s="6"/>
      <c r="H271" s="6"/>
      <c r="I271" s="6"/>
      <c r="J271" s="6"/>
      <c r="K271" s="6"/>
      <c r="L271" s="4">
        <f ca="1">_xll.DBRW($B$1,$B$2,$B$7,$B$3,$B$4,$B$5,$F271,$B$6,L$10,$A271,$B271)</f>
        <v>0</v>
      </c>
      <c r="M271" s="4">
        <f ca="1">_xll.DBRW($B$1,$B$2,$B$7,$B$3,$B$4,$B$5,$F271,$B$6,M$10,$A271,$B271)</f>
        <v>0</v>
      </c>
      <c r="N271" s="4">
        <f ca="1">_xll.DBRW($B$1,$B$2,$B$7,$B$3,$B$4,$B$5,$F271,$B$6,N$10,$A271,$B271)</f>
        <v>0</v>
      </c>
      <c r="O271" s="4">
        <f ca="1">_xll.DBRW($B$1,$B$2,$B$7,$B$3,$B$4,$B$5,$F271,$B$6,O$10,$A271,$B271)</f>
        <v>0</v>
      </c>
      <c r="P271" s="4">
        <f ca="1">_xll.DBRW($B$1,$B$2,$B$7,$B$3,$B$4,$B$5,$F271,$B$6,P$10,$A271,$B271)</f>
        <v>0</v>
      </c>
      <c r="Q271" s="4">
        <f ca="1">_xll.DBRW($B$1,$B$2,$B$7,$B$3,$B$4,$B$5,$F271,$B$6,Q$10,$A271,$B271)</f>
        <v>0</v>
      </c>
      <c r="R271" s="4">
        <f ca="1">_xll.DBRW($B$1,$B$2,$B$7,$B$3,$B$4,$B$5,$F271,$B$6,R$10,$A271,$B271)</f>
        <v>0</v>
      </c>
      <c r="S271" s="4">
        <f ca="1">_xll.DBRW($B$1,$B$2,$B$7,$B$3,$B$4,$B$5,$F271,$B$6,S$10,$A271,$B271)</f>
        <v>0</v>
      </c>
      <c r="T271" s="4">
        <f ca="1">_xll.DBRW($B$1,$B$2,$B$7,$B$3,$B$4,$B$5,$F271,$B$6,T$10,$A271,$B271)</f>
        <v>0</v>
      </c>
      <c r="U271" s="4">
        <f ca="1">_xll.DBRW($B$1,$B$2,$B$7,$B$3,$B$4,$B$5,$F271,$B$6,U$10,$A271,$B271)</f>
        <v>0</v>
      </c>
      <c r="V271" s="4">
        <f ca="1">_xll.DBRW($B$1,$B$2,$B$7,$B$3,$B$4,$B$5,$F271,$B$6,V$10,$A271,$B271)</f>
        <v>0</v>
      </c>
      <c r="W271" s="4">
        <f ca="1">_xll.DBRW($B$1,$B$2,$B$7,$B$3,$B$4,$B$5,$F271,$B$6,W$10,$A271,$B271)</f>
        <v>0</v>
      </c>
      <c r="X271" s="4">
        <f ca="1">_xll.DBRW($B$1,$B$2,$B$7,$B$3,$B$4,$B$5,$F271,$B$6,X$10,$A271,$B271)</f>
        <v>0</v>
      </c>
      <c r="Y271" s="4">
        <f ca="1">_xll.DBRW($B$1,$B$2,$B$7,$B$3,$B$4,$B$5,$F271,$B$6,Y$10,$A271,$B271)</f>
        <v>0</v>
      </c>
      <c r="Z271" s="4">
        <f ca="1">_xll.DBRW($B$1,$B$2,$B$7,$B$3,$B$4,$B$5,$F271,$B$6,Z$10,$A271,$B271)</f>
        <v>0</v>
      </c>
      <c r="AA271" s="4">
        <f ca="1">_xll.DBRW($B$1,$B$2,$B$7,$B$3,$B$4,$B$5,$F271,$B$6,AA$10,$A271,$B271)</f>
        <v>0</v>
      </c>
      <c r="AB271" s="4">
        <f ca="1">_xll.DBRW($B$1,$B$2,$B$7,$B$3,$B$4,$B$5,$F271,$B$6,AB$10,$A271,$B271)</f>
        <v>0</v>
      </c>
      <c r="AC271" s="4">
        <f ca="1">_xll.DBRW($B$1,$B$2,$B$7,$B$3,$B$4,$B$5,$F271,$B$6,AC$10,$A271,$B271)</f>
        <v>0</v>
      </c>
      <c r="AD271" s="4">
        <f ca="1">_xll.DBRW($B$1,$B$2,$B$7,$B$3,$B$4,$B$5,$F271,$B$6,AD$10,$A271,$B271)</f>
        <v>0</v>
      </c>
      <c r="AE271" s="4">
        <f ca="1">_xll.DBRW($B$1,$B$2,$B$7,$B$3,$B$4,$B$5,$F271,$B$6,AE$10,$A271,$B271)</f>
        <v>0</v>
      </c>
    </row>
    <row r="272" spans="1:31">
      <c r="A272" s="1" t="s">
        <v>150</v>
      </c>
      <c r="B272" s="5" t="s">
        <v>71</v>
      </c>
      <c r="C272" s="5" t="s">
        <v>72</v>
      </c>
      <c r="D272" s="5" t="s">
        <v>73</v>
      </c>
      <c r="E272" s="5" t="s">
        <v>21</v>
      </c>
      <c r="F272" s="5" t="s">
        <v>314</v>
      </c>
      <c r="G272" s="6"/>
      <c r="H272" s="6"/>
      <c r="I272" s="6"/>
      <c r="J272" s="6"/>
      <c r="K272" s="6"/>
      <c r="L272" s="4">
        <f ca="1">_xll.DBRW($B$1,$B$2,$B$7,$B$3,$B$4,$B$5,$F272,$B$6,L$10,$A272,$B272)</f>
        <v>0</v>
      </c>
      <c r="M272" s="4">
        <f ca="1">_xll.DBRW($B$1,$B$2,$B$7,$B$3,$B$4,$B$5,$F272,$B$6,M$10,$A272,$B272)</f>
        <v>0</v>
      </c>
      <c r="N272" s="4">
        <f ca="1">_xll.DBRW($B$1,$B$2,$B$7,$B$3,$B$4,$B$5,$F272,$B$6,N$10,$A272,$B272)</f>
        <v>0</v>
      </c>
      <c r="O272" s="4">
        <f ca="1">_xll.DBRW($B$1,$B$2,$B$7,$B$3,$B$4,$B$5,$F272,$B$6,O$10,$A272,$B272)</f>
        <v>0</v>
      </c>
      <c r="P272" s="4">
        <f ca="1">_xll.DBRW($B$1,$B$2,$B$7,$B$3,$B$4,$B$5,$F272,$B$6,P$10,$A272,$B272)</f>
        <v>0</v>
      </c>
      <c r="Q272" s="4">
        <f ca="1">_xll.DBRW($B$1,$B$2,$B$7,$B$3,$B$4,$B$5,$F272,$B$6,Q$10,$A272,$B272)</f>
        <v>0</v>
      </c>
      <c r="R272" s="4">
        <f ca="1">_xll.DBRW($B$1,$B$2,$B$7,$B$3,$B$4,$B$5,$F272,$B$6,R$10,$A272,$B272)</f>
        <v>0</v>
      </c>
      <c r="S272" s="4">
        <f ca="1">_xll.DBRW($B$1,$B$2,$B$7,$B$3,$B$4,$B$5,$F272,$B$6,S$10,$A272,$B272)</f>
        <v>0</v>
      </c>
      <c r="T272" s="4">
        <f ca="1">_xll.DBRW($B$1,$B$2,$B$7,$B$3,$B$4,$B$5,$F272,$B$6,T$10,$A272,$B272)</f>
        <v>0</v>
      </c>
      <c r="U272" s="4">
        <f ca="1">_xll.DBRW($B$1,$B$2,$B$7,$B$3,$B$4,$B$5,$F272,$B$6,U$10,$A272,$B272)</f>
        <v>0</v>
      </c>
      <c r="V272" s="4">
        <f ca="1">_xll.DBRW($B$1,$B$2,$B$7,$B$3,$B$4,$B$5,$F272,$B$6,V$10,$A272,$B272)</f>
        <v>0</v>
      </c>
      <c r="W272" s="4">
        <f ca="1">_xll.DBRW($B$1,$B$2,$B$7,$B$3,$B$4,$B$5,$F272,$B$6,W$10,$A272,$B272)</f>
        <v>0</v>
      </c>
      <c r="X272" s="4">
        <f ca="1">_xll.DBRW($B$1,$B$2,$B$7,$B$3,$B$4,$B$5,$F272,$B$6,X$10,$A272,$B272)</f>
        <v>0</v>
      </c>
      <c r="Y272" s="4">
        <f ca="1">_xll.DBRW($B$1,$B$2,$B$7,$B$3,$B$4,$B$5,$F272,$B$6,Y$10,$A272,$B272)</f>
        <v>0</v>
      </c>
      <c r="Z272" s="4">
        <f ca="1">_xll.DBRW($B$1,$B$2,$B$7,$B$3,$B$4,$B$5,$F272,$B$6,Z$10,$A272,$B272)</f>
        <v>0</v>
      </c>
      <c r="AA272" s="4">
        <f ca="1">_xll.DBRW($B$1,$B$2,$B$7,$B$3,$B$4,$B$5,$F272,$B$6,AA$10,$A272,$B272)</f>
        <v>0</v>
      </c>
      <c r="AB272" s="4">
        <f ca="1">_xll.DBRW($B$1,$B$2,$B$7,$B$3,$B$4,$B$5,$F272,$B$6,AB$10,$A272,$B272)</f>
        <v>0</v>
      </c>
      <c r="AC272" s="4">
        <f ca="1">_xll.DBRW($B$1,$B$2,$B$7,$B$3,$B$4,$B$5,$F272,$B$6,AC$10,$A272,$B272)</f>
        <v>0</v>
      </c>
      <c r="AD272" s="4">
        <f ca="1">_xll.DBRW($B$1,$B$2,$B$7,$B$3,$B$4,$B$5,$F272,$B$6,AD$10,$A272,$B272)</f>
        <v>0</v>
      </c>
      <c r="AE272" s="4">
        <f ca="1">_xll.DBRW($B$1,$B$2,$B$7,$B$3,$B$4,$B$5,$F272,$B$6,AE$10,$A272,$B272)</f>
        <v>0</v>
      </c>
    </row>
    <row r="273" spans="1:31">
      <c r="A273" s="1" t="s">
        <v>150</v>
      </c>
      <c r="B273" s="5" t="s">
        <v>192</v>
      </c>
      <c r="C273" s="5" t="s">
        <v>193</v>
      </c>
      <c r="D273" s="5" t="s">
        <v>21</v>
      </c>
      <c r="E273" s="5" t="s">
        <v>194</v>
      </c>
      <c r="F273" s="5" t="s">
        <v>314</v>
      </c>
      <c r="G273" s="6"/>
      <c r="H273" s="6"/>
      <c r="I273" s="6"/>
      <c r="J273" s="6"/>
      <c r="K273" s="6"/>
      <c r="L273" s="4">
        <f ca="1">_xll.DBRW($B$1,$B$2,$B$7,$B$3,$B$4,$B$5,$F273,$B$6,L$10,$A273,$B273)</f>
        <v>0</v>
      </c>
      <c r="M273" s="4">
        <f ca="1">_xll.DBRW($B$1,$B$2,$B$7,$B$3,$B$4,$B$5,$F273,$B$6,M$10,$A273,$B273)</f>
        <v>0</v>
      </c>
      <c r="N273" s="4">
        <f ca="1">_xll.DBRW($B$1,$B$2,$B$7,$B$3,$B$4,$B$5,$F273,$B$6,N$10,$A273,$B273)</f>
        <v>0</v>
      </c>
      <c r="O273" s="4">
        <f ca="1">_xll.DBRW($B$1,$B$2,$B$7,$B$3,$B$4,$B$5,$F273,$B$6,O$10,$A273,$B273)</f>
        <v>0</v>
      </c>
      <c r="P273" s="4">
        <f ca="1">_xll.DBRW($B$1,$B$2,$B$7,$B$3,$B$4,$B$5,$F273,$B$6,P$10,$A273,$B273)</f>
        <v>0</v>
      </c>
      <c r="Q273" s="4">
        <f ca="1">_xll.DBRW($B$1,$B$2,$B$7,$B$3,$B$4,$B$5,$F273,$B$6,Q$10,$A273,$B273)</f>
        <v>0</v>
      </c>
      <c r="R273" s="4">
        <f ca="1">_xll.DBRW($B$1,$B$2,$B$7,$B$3,$B$4,$B$5,$F273,$B$6,R$10,$A273,$B273)</f>
        <v>0</v>
      </c>
      <c r="S273" s="4">
        <f ca="1">_xll.DBRW($B$1,$B$2,$B$7,$B$3,$B$4,$B$5,$F273,$B$6,S$10,$A273,$B273)</f>
        <v>0</v>
      </c>
      <c r="T273" s="4">
        <f ca="1">_xll.DBRW($B$1,$B$2,$B$7,$B$3,$B$4,$B$5,$F273,$B$6,T$10,$A273,$B273)</f>
        <v>0</v>
      </c>
      <c r="U273" s="4">
        <f ca="1">_xll.DBRW($B$1,$B$2,$B$7,$B$3,$B$4,$B$5,$F273,$B$6,U$10,$A273,$B273)</f>
        <v>0</v>
      </c>
      <c r="V273" s="4">
        <f ca="1">_xll.DBRW($B$1,$B$2,$B$7,$B$3,$B$4,$B$5,$F273,$B$6,V$10,$A273,$B273)</f>
        <v>0</v>
      </c>
      <c r="W273" s="4">
        <f ca="1">_xll.DBRW($B$1,$B$2,$B$7,$B$3,$B$4,$B$5,$F273,$B$6,W$10,$A273,$B273)</f>
        <v>0</v>
      </c>
      <c r="X273" s="4">
        <f ca="1">_xll.DBRW($B$1,$B$2,$B$7,$B$3,$B$4,$B$5,$F273,$B$6,X$10,$A273,$B273)</f>
        <v>0</v>
      </c>
      <c r="Y273" s="4">
        <f ca="1">_xll.DBRW($B$1,$B$2,$B$7,$B$3,$B$4,$B$5,$F273,$B$6,Y$10,$A273,$B273)</f>
        <v>0</v>
      </c>
      <c r="Z273" s="4">
        <f ca="1">_xll.DBRW($B$1,$B$2,$B$7,$B$3,$B$4,$B$5,$F273,$B$6,Z$10,$A273,$B273)</f>
        <v>0</v>
      </c>
      <c r="AA273" s="4">
        <f ca="1">_xll.DBRW($B$1,$B$2,$B$7,$B$3,$B$4,$B$5,$F273,$B$6,AA$10,$A273,$B273)</f>
        <v>0</v>
      </c>
      <c r="AB273" s="4">
        <f ca="1">_xll.DBRW($B$1,$B$2,$B$7,$B$3,$B$4,$B$5,$F273,$B$6,AB$10,$A273,$B273)</f>
        <v>0</v>
      </c>
      <c r="AC273" s="4">
        <f ca="1">_xll.DBRW($B$1,$B$2,$B$7,$B$3,$B$4,$B$5,$F273,$B$6,AC$10,$A273,$B273)</f>
        <v>0</v>
      </c>
      <c r="AD273" s="4">
        <f ca="1">_xll.DBRW($B$1,$B$2,$B$7,$B$3,$B$4,$B$5,$F273,$B$6,AD$10,$A273,$B273)</f>
        <v>0</v>
      </c>
      <c r="AE273" s="4">
        <f ca="1">_xll.DBRW($B$1,$B$2,$B$7,$B$3,$B$4,$B$5,$F273,$B$6,AE$10,$A273,$B273)</f>
        <v>0</v>
      </c>
    </row>
    <row r="274" spans="1:31">
      <c r="A274" s="1" t="s">
        <v>150</v>
      </c>
      <c r="B274" s="5" t="s">
        <v>195</v>
      </c>
      <c r="C274" s="5" t="s">
        <v>196</v>
      </c>
      <c r="D274" s="5" t="s">
        <v>194</v>
      </c>
      <c r="E274" s="5" t="s">
        <v>21</v>
      </c>
      <c r="F274" s="5" t="s">
        <v>314</v>
      </c>
      <c r="G274" s="6"/>
      <c r="H274" s="6"/>
      <c r="I274" s="6"/>
      <c r="J274" s="6"/>
      <c r="K274" s="6"/>
      <c r="L274" s="4">
        <f ca="1">_xll.DBRW($B$1,$B$2,$B$7,$B$3,$B$4,$B$5,$F274,$B$6,L$10,$A274,$B274)</f>
        <v>0</v>
      </c>
      <c r="M274" s="4">
        <f ca="1">_xll.DBRW($B$1,$B$2,$B$7,$B$3,$B$4,$B$5,$F274,$B$6,M$10,$A274,$B274)</f>
        <v>0</v>
      </c>
      <c r="N274" s="4">
        <f ca="1">_xll.DBRW($B$1,$B$2,$B$7,$B$3,$B$4,$B$5,$F274,$B$6,N$10,$A274,$B274)</f>
        <v>0</v>
      </c>
      <c r="O274" s="4">
        <f ca="1">_xll.DBRW($B$1,$B$2,$B$7,$B$3,$B$4,$B$5,$F274,$B$6,O$10,$A274,$B274)</f>
        <v>0</v>
      </c>
      <c r="P274" s="4">
        <f ca="1">_xll.DBRW($B$1,$B$2,$B$7,$B$3,$B$4,$B$5,$F274,$B$6,P$10,$A274,$B274)</f>
        <v>0</v>
      </c>
      <c r="Q274" s="4">
        <f ca="1">_xll.DBRW($B$1,$B$2,$B$7,$B$3,$B$4,$B$5,$F274,$B$6,Q$10,$A274,$B274)</f>
        <v>0</v>
      </c>
      <c r="R274" s="4">
        <f ca="1">_xll.DBRW($B$1,$B$2,$B$7,$B$3,$B$4,$B$5,$F274,$B$6,R$10,$A274,$B274)</f>
        <v>0</v>
      </c>
      <c r="S274" s="4">
        <f ca="1">_xll.DBRW($B$1,$B$2,$B$7,$B$3,$B$4,$B$5,$F274,$B$6,S$10,$A274,$B274)</f>
        <v>0</v>
      </c>
      <c r="T274" s="4">
        <f ca="1">_xll.DBRW($B$1,$B$2,$B$7,$B$3,$B$4,$B$5,$F274,$B$6,T$10,$A274,$B274)</f>
        <v>0</v>
      </c>
      <c r="U274" s="4">
        <f ca="1">_xll.DBRW($B$1,$B$2,$B$7,$B$3,$B$4,$B$5,$F274,$B$6,U$10,$A274,$B274)</f>
        <v>0</v>
      </c>
      <c r="V274" s="4">
        <f ca="1">_xll.DBRW($B$1,$B$2,$B$7,$B$3,$B$4,$B$5,$F274,$B$6,V$10,$A274,$B274)</f>
        <v>0</v>
      </c>
      <c r="W274" s="4">
        <f ca="1">_xll.DBRW($B$1,$B$2,$B$7,$B$3,$B$4,$B$5,$F274,$B$6,W$10,$A274,$B274)</f>
        <v>0</v>
      </c>
      <c r="X274" s="4">
        <f ca="1">_xll.DBRW($B$1,$B$2,$B$7,$B$3,$B$4,$B$5,$F274,$B$6,X$10,$A274,$B274)</f>
        <v>0</v>
      </c>
      <c r="Y274" s="4">
        <f ca="1">_xll.DBRW($B$1,$B$2,$B$7,$B$3,$B$4,$B$5,$F274,$B$6,Y$10,$A274,$B274)</f>
        <v>0</v>
      </c>
      <c r="Z274" s="4">
        <f ca="1">_xll.DBRW($B$1,$B$2,$B$7,$B$3,$B$4,$B$5,$F274,$B$6,Z$10,$A274,$B274)</f>
        <v>0</v>
      </c>
      <c r="AA274" s="4">
        <f ca="1">_xll.DBRW($B$1,$B$2,$B$7,$B$3,$B$4,$B$5,$F274,$B$6,AA$10,$A274,$B274)</f>
        <v>0</v>
      </c>
      <c r="AB274" s="4">
        <f ca="1">_xll.DBRW($B$1,$B$2,$B$7,$B$3,$B$4,$B$5,$F274,$B$6,AB$10,$A274,$B274)</f>
        <v>0</v>
      </c>
      <c r="AC274" s="4">
        <f ca="1">_xll.DBRW($B$1,$B$2,$B$7,$B$3,$B$4,$B$5,$F274,$B$6,AC$10,$A274,$B274)</f>
        <v>0</v>
      </c>
      <c r="AD274" s="4">
        <f ca="1">_xll.DBRW($B$1,$B$2,$B$7,$B$3,$B$4,$B$5,$F274,$B$6,AD$10,$A274,$B274)</f>
        <v>0</v>
      </c>
      <c r="AE274" s="4">
        <f ca="1">_xll.DBRW($B$1,$B$2,$B$7,$B$3,$B$4,$B$5,$F274,$B$6,AE$10,$A274,$B274)</f>
        <v>0</v>
      </c>
    </row>
    <row r="275" spans="1:31">
      <c r="A275" s="1" t="s">
        <v>150</v>
      </c>
      <c r="B275" s="5" t="s">
        <v>197</v>
      </c>
      <c r="C275" s="5" t="s">
        <v>198</v>
      </c>
      <c r="D275" s="5" t="s">
        <v>28</v>
      </c>
      <c r="E275" s="5" t="s">
        <v>20</v>
      </c>
      <c r="F275" s="5" t="s">
        <v>314</v>
      </c>
      <c r="G275" s="6"/>
      <c r="H275" s="6"/>
      <c r="I275" s="6"/>
      <c r="J275" s="6"/>
      <c r="K275" s="6"/>
      <c r="L275" s="4">
        <f ca="1">_xll.DBRW($B$1,$B$2,$B$7,$B$3,$B$4,$B$5,$F275,$B$6,L$10,$A275,$B275)</f>
        <v>0</v>
      </c>
      <c r="M275" s="4">
        <f ca="1">_xll.DBRW($B$1,$B$2,$B$7,$B$3,$B$4,$B$5,$F275,$B$6,M$10,$A275,$B275)</f>
        <v>0</v>
      </c>
      <c r="N275" s="4">
        <f ca="1">_xll.DBRW($B$1,$B$2,$B$7,$B$3,$B$4,$B$5,$F275,$B$6,N$10,$A275,$B275)</f>
        <v>0</v>
      </c>
      <c r="O275" s="4">
        <f ca="1">_xll.DBRW($B$1,$B$2,$B$7,$B$3,$B$4,$B$5,$F275,$B$6,O$10,$A275,$B275)</f>
        <v>0</v>
      </c>
      <c r="P275" s="4">
        <f ca="1">_xll.DBRW($B$1,$B$2,$B$7,$B$3,$B$4,$B$5,$F275,$B$6,P$10,$A275,$B275)</f>
        <v>0</v>
      </c>
      <c r="Q275" s="4">
        <f ca="1">_xll.DBRW($B$1,$B$2,$B$7,$B$3,$B$4,$B$5,$F275,$B$6,Q$10,$A275,$B275)</f>
        <v>1</v>
      </c>
      <c r="R275" s="4">
        <f ca="1">_xll.DBRW($B$1,$B$2,$B$7,$B$3,$B$4,$B$5,$F275,$B$6,R$10,$A275,$B275)</f>
        <v>9</v>
      </c>
      <c r="S275" s="4">
        <f ca="1">_xll.DBRW($B$1,$B$2,$B$7,$B$3,$B$4,$B$5,$F275,$B$6,S$10,$A275,$B275)</f>
        <v>8</v>
      </c>
      <c r="T275" s="4">
        <f ca="1">_xll.DBRW($B$1,$B$2,$B$7,$B$3,$B$4,$B$5,$F275,$B$6,T$10,$A275,$B275)</f>
        <v>0</v>
      </c>
      <c r="U275" s="4">
        <f ca="1">_xll.DBRW($B$1,$B$2,$B$7,$B$3,$B$4,$B$5,$F275,$B$6,U$10,$A275,$B275)</f>
        <v>0</v>
      </c>
      <c r="V275" s="4">
        <f ca="1">_xll.DBRW($B$1,$B$2,$B$7,$B$3,$B$4,$B$5,$F275,$B$6,V$10,$A275,$B275)</f>
        <v>0</v>
      </c>
      <c r="W275" s="4">
        <f ca="1">_xll.DBRW($B$1,$B$2,$B$7,$B$3,$B$4,$B$5,$F275,$B$6,W$10,$A275,$B275)</f>
        <v>0</v>
      </c>
      <c r="X275" s="4">
        <f ca="1">_xll.DBRW($B$1,$B$2,$B$7,$B$3,$B$4,$B$5,$F275,$B$6,X$10,$A275,$B275)</f>
        <v>0</v>
      </c>
      <c r="Y275" s="4">
        <f ca="1">_xll.DBRW($B$1,$B$2,$B$7,$B$3,$B$4,$B$5,$F275,$B$6,Y$10,$A275,$B275)</f>
        <v>0</v>
      </c>
      <c r="Z275" s="4">
        <f ca="1">_xll.DBRW($B$1,$B$2,$B$7,$B$3,$B$4,$B$5,$F275,$B$6,Z$10,$A275,$B275)</f>
        <v>0</v>
      </c>
      <c r="AA275" s="4">
        <f ca="1">_xll.DBRW($B$1,$B$2,$B$7,$B$3,$B$4,$B$5,$F275,$B$6,AA$10,$A275,$B275)</f>
        <v>0</v>
      </c>
      <c r="AB275" s="4">
        <f ca="1">_xll.DBRW($B$1,$B$2,$B$7,$B$3,$B$4,$B$5,$F275,$B$6,AB$10,$A275,$B275)</f>
        <v>0</v>
      </c>
      <c r="AC275" s="4">
        <f ca="1">_xll.DBRW($B$1,$B$2,$B$7,$B$3,$B$4,$B$5,$F275,$B$6,AC$10,$A275,$B275)</f>
        <v>0</v>
      </c>
      <c r="AD275" s="4">
        <f ca="1">_xll.DBRW($B$1,$B$2,$B$7,$B$3,$B$4,$B$5,$F275,$B$6,AD$10,$A275,$B275)</f>
        <v>0</v>
      </c>
      <c r="AE275" s="4">
        <f ca="1">_xll.DBRW($B$1,$B$2,$B$7,$B$3,$B$4,$B$5,$F275,$B$6,AE$10,$A275,$B275)</f>
        <v>0</v>
      </c>
    </row>
    <row r="276" spans="1:31">
      <c r="A276" s="1" t="s">
        <v>150</v>
      </c>
      <c r="B276" s="5" t="s">
        <v>26</v>
      </c>
      <c r="C276" s="5" t="s">
        <v>27</v>
      </c>
      <c r="D276" s="5" t="s">
        <v>20</v>
      </c>
      <c r="E276" s="5" t="s">
        <v>28</v>
      </c>
      <c r="F276" s="5" t="s">
        <v>314</v>
      </c>
      <c r="G276" s="6"/>
      <c r="H276" s="6"/>
      <c r="I276" s="6"/>
      <c r="J276" s="6"/>
      <c r="K276" s="6"/>
      <c r="L276" s="4">
        <f ca="1">_xll.DBRW($B$1,$B$2,$B$7,$B$3,$B$4,$B$5,$F276,$B$6,L$10,$A276,$B276)</f>
        <v>0</v>
      </c>
      <c r="M276" s="4">
        <f ca="1">_xll.DBRW($B$1,$B$2,$B$7,$B$3,$B$4,$B$5,$F276,$B$6,M$10,$A276,$B276)</f>
        <v>0</v>
      </c>
      <c r="N276" s="4">
        <f ca="1">_xll.DBRW($B$1,$B$2,$B$7,$B$3,$B$4,$B$5,$F276,$B$6,N$10,$A276,$B276)</f>
        <v>0</v>
      </c>
      <c r="O276" s="4">
        <f ca="1">_xll.DBRW($B$1,$B$2,$B$7,$B$3,$B$4,$B$5,$F276,$B$6,O$10,$A276,$B276)</f>
        <v>0</v>
      </c>
      <c r="P276" s="4">
        <f ca="1">_xll.DBRW($B$1,$B$2,$B$7,$B$3,$B$4,$B$5,$F276,$B$6,P$10,$A276,$B276)</f>
        <v>0</v>
      </c>
      <c r="Q276" s="4">
        <f ca="1">_xll.DBRW($B$1,$B$2,$B$7,$B$3,$B$4,$B$5,$F276,$B$6,Q$10,$A276,$B276)</f>
        <v>1</v>
      </c>
      <c r="R276" s="4">
        <f ca="1">_xll.DBRW($B$1,$B$2,$B$7,$B$3,$B$4,$B$5,$F276,$B$6,R$10,$A276,$B276)</f>
        <v>9</v>
      </c>
      <c r="S276" s="4">
        <f ca="1">_xll.DBRW($B$1,$B$2,$B$7,$B$3,$B$4,$B$5,$F276,$B$6,S$10,$A276,$B276)</f>
        <v>8</v>
      </c>
      <c r="T276" s="4">
        <f ca="1">_xll.DBRW($B$1,$B$2,$B$7,$B$3,$B$4,$B$5,$F276,$B$6,T$10,$A276,$B276)</f>
        <v>0</v>
      </c>
      <c r="U276" s="4">
        <f ca="1">_xll.DBRW($B$1,$B$2,$B$7,$B$3,$B$4,$B$5,$F276,$B$6,U$10,$A276,$B276)</f>
        <v>0</v>
      </c>
      <c r="V276" s="4">
        <f ca="1">_xll.DBRW($B$1,$B$2,$B$7,$B$3,$B$4,$B$5,$F276,$B$6,V$10,$A276,$B276)</f>
        <v>0</v>
      </c>
      <c r="W276" s="4">
        <f ca="1">_xll.DBRW($B$1,$B$2,$B$7,$B$3,$B$4,$B$5,$F276,$B$6,W$10,$A276,$B276)</f>
        <v>0</v>
      </c>
      <c r="X276" s="4">
        <f ca="1">_xll.DBRW($B$1,$B$2,$B$7,$B$3,$B$4,$B$5,$F276,$B$6,X$10,$A276,$B276)</f>
        <v>0</v>
      </c>
      <c r="Y276" s="4">
        <f ca="1">_xll.DBRW($B$1,$B$2,$B$7,$B$3,$B$4,$B$5,$F276,$B$6,Y$10,$A276,$B276)</f>
        <v>0</v>
      </c>
      <c r="Z276" s="4">
        <f ca="1">_xll.DBRW($B$1,$B$2,$B$7,$B$3,$B$4,$B$5,$F276,$B$6,Z$10,$A276,$B276)</f>
        <v>0</v>
      </c>
      <c r="AA276" s="4">
        <f ca="1">_xll.DBRW($B$1,$B$2,$B$7,$B$3,$B$4,$B$5,$F276,$B$6,AA$10,$A276,$B276)</f>
        <v>0</v>
      </c>
      <c r="AB276" s="4">
        <f ca="1">_xll.DBRW($B$1,$B$2,$B$7,$B$3,$B$4,$B$5,$F276,$B$6,AB$10,$A276,$B276)</f>
        <v>0</v>
      </c>
      <c r="AC276" s="4">
        <f ca="1">_xll.DBRW($B$1,$B$2,$B$7,$B$3,$B$4,$B$5,$F276,$B$6,AC$10,$A276,$B276)</f>
        <v>0</v>
      </c>
      <c r="AD276" s="4">
        <f ca="1">_xll.DBRW($B$1,$B$2,$B$7,$B$3,$B$4,$B$5,$F276,$B$6,AD$10,$A276,$B276)</f>
        <v>0</v>
      </c>
      <c r="AE276" s="4">
        <f ca="1">_xll.DBRW($B$1,$B$2,$B$7,$B$3,$B$4,$B$5,$F276,$B$6,AE$10,$A276,$B276)</f>
        <v>0</v>
      </c>
    </row>
    <row r="277" spans="1:31">
      <c r="A277" s="1" t="s">
        <v>150</v>
      </c>
      <c r="B277" s="5" t="s">
        <v>199</v>
      </c>
      <c r="C277" s="5" t="s">
        <v>189</v>
      </c>
      <c r="D277" s="5" t="s">
        <v>21</v>
      </c>
      <c r="E277" s="5" t="s">
        <v>20</v>
      </c>
      <c r="F277" s="5" t="s">
        <v>314</v>
      </c>
      <c r="G277" s="6"/>
      <c r="H277" s="6"/>
      <c r="I277" s="6"/>
      <c r="J277" s="6"/>
      <c r="K277" s="6"/>
      <c r="L277" s="4">
        <f ca="1">_xll.DBRW($B$1,$B$2,$B$7,$B$3,$B$4,$B$5,$F277,$B$6,L$10,$A277,$B277)</f>
        <v>0</v>
      </c>
      <c r="M277" s="4">
        <f ca="1">_xll.DBRW($B$1,$B$2,$B$7,$B$3,$B$4,$B$5,$F277,$B$6,M$10,$A277,$B277)</f>
        <v>0</v>
      </c>
      <c r="N277" s="4">
        <f ca="1">_xll.DBRW($B$1,$B$2,$B$7,$B$3,$B$4,$B$5,$F277,$B$6,N$10,$A277,$B277)</f>
        <v>0</v>
      </c>
      <c r="O277" s="4">
        <f ca="1">_xll.DBRW($B$1,$B$2,$B$7,$B$3,$B$4,$B$5,$F277,$B$6,O$10,$A277,$B277)</f>
        <v>0</v>
      </c>
      <c r="P277" s="4">
        <f ca="1">_xll.DBRW($B$1,$B$2,$B$7,$B$3,$B$4,$B$5,$F277,$B$6,P$10,$A277,$B277)</f>
        <v>0</v>
      </c>
      <c r="Q277" s="4">
        <f ca="1">_xll.DBRW($B$1,$B$2,$B$7,$B$3,$B$4,$B$5,$F277,$B$6,Q$10,$A277,$B277)</f>
        <v>0</v>
      </c>
      <c r="R277" s="4">
        <f ca="1">_xll.DBRW($B$1,$B$2,$B$7,$B$3,$B$4,$B$5,$F277,$B$6,R$10,$A277,$B277)</f>
        <v>0</v>
      </c>
      <c r="S277" s="4">
        <f ca="1">_xll.DBRW($B$1,$B$2,$B$7,$B$3,$B$4,$B$5,$F277,$B$6,S$10,$A277,$B277)</f>
        <v>0</v>
      </c>
      <c r="T277" s="4">
        <f ca="1">_xll.DBRW($B$1,$B$2,$B$7,$B$3,$B$4,$B$5,$F277,$B$6,T$10,$A277,$B277)</f>
        <v>0</v>
      </c>
      <c r="U277" s="4">
        <f ca="1">_xll.DBRW($B$1,$B$2,$B$7,$B$3,$B$4,$B$5,$F277,$B$6,U$10,$A277,$B277)</f>
        <v>0</v>
      </c>
      <c r="V277" s="4">
        <f ca="1">_xll.DBRW($B$1,$B$2,$B$7,$B$3,$B$4,$B$5,$F277,$B$6,V$10,$A277,$B277)</f>
        <v>2</v>
      </c>
      <c r="W277" s="4">
        <f ca="1">_xll.DBRW($B$1,$B$2,$B$7,$B$3,$B$4,$B$5,$F277,$B$6,W$10,$A277,$B277)</f>
        <v>30</v>
      </c>
      <c r="X277" s="4">
        <f ca="1">_xll.DBRW($B$1,$B$2,$B$7,$B$3,$B$4,$B$5,$F277,$B$6,X$10,$A277,$B277)</f>
        <v>31</v>
      </c>
      <c r="Y277" s="4">
        <f ca="1">_xll.DBRW($B$1,$B$2,$B$7,$B$3,$B$4,$B$5,$F277,$B$6,Y$10,$A277,$B277)</f>
        <v>30</v>
      </c>
      <c r="Z277" s="4">
        <f ca="1">_xll.DBRW($B$1,$B$2,$B$7,$B$3,$B$4,$B$5,$F277,$B$6,Z$10,$A277,$B277)</f>
        <v>31</v>
      </c>
      <c r="AA277" s="4">
        <f ca="1">_xll.DBRW($B$1,$B$2,$B$7,$B$3,$B$4,$B$5,$F277,$B$6,AA$10,$A277,$B277)</f>
        <v>31</v>
      </c>
      <c r="AB277" s="4">
        <f ca="1">_xll.DBRW($B$1,$B$2,$B$7,$B$3,$B$4,$B$5,$F277,$B$6,AB$10,$A277,$B277)</f>
        <v>30</v>
      </c>
      <c r="AC277" s="4">
        <f ca="1">_xll.DBRW($B$1,$B$2,$B$7,$B$3,$B$4,$B$5,$F277,$B$6,AC$10,$A277,$B277)</f>
        <v>25</v>
      </c>
      <c r="AD277" s="4">
        <f ca="1">_xll.DBRW($B$1,$B$2,$B$7,$B$3,$B$4,$B$5,$F277,$B$6,AD$10,$A277,$B277)</f>
        <v>0</v>
      </c>
      <c r="AE277" s="4">
        <f ca="1">_xll.DBRW($B$1,$B$2,$B$7,$B$3,$B$4,$B$5,$F277,$B$6,AE$10,$A277,$B277)</f>
        <v>0</v>
      </c>
    </row>
    <row r="278" spans="1:31">
      <c r="A278" s="1" t="s">
        <v>150</v>
      </c>
      <c r="B278" s="5" t="s">
        <v>23</v>
      </c>
      <c r="C278" s="5" t="s">
        <v>19</v>
      </c>
      <c r="D278" s="5" t="s">
        <v>20</v>
      </c>
      <c r="E278" s="5" t="s">
        <v>21</v>
      </c>
      <c r="F278" s="5" t="s">
        <v>314</v>
      </c>
      <c r="G278" s="6"/>
      <c r="H278" s="6"/>
      <c r="I278" s="6"/>
      <c r="J278" s="6"/>
      <c r="K278" s="6"/>
      <c r="L278" s="4">
        <f ca="1">_xll.DBRW($B$1,$B$2,$B$7,$B$3,$B$4,$B$5,$F278,$B$6,L$10,$A278,$B278)</f>
        <v>0</v>
      </c>
      <c r="M278" s="4">
        <f ca="1">_xll.DBRW($B$1,$B$2,$B$7,$B$3,$B$4,$B$5,$F278,$B$6,M$10,$A278,$B278)</f>
        <v>0</v>
      </c>
      <c r="N278" s="4">
        <f ca="1">_xll.DBRW($B$1,$B$2,$B$7,$B$3,$B$4,$B$5,$F278,$B$6,N$10,$A278,$B278)</f>
        <v>0</v>
      </c>
      <c r="O278" s="4">
        <f ca="1">_xll.DBRW($B$1,$B$2,$B$7,$B$3,$B$4,$B$5,$F278,$B$6,O$10,$A278,$B278)</f>
        <v>0</v>
      </c>
      <c r="P278" s="4">
        <f ca="1">_xll.DBRW($B$1,$B$2,$B$7,$B$3,$B$4,$B$5,$F278,$B$6,P$10,$A278,$B278)</f>
        <v>0</v>
      </c>
      <c r="Q278" s="4">
        <f ca="1">_xll.DBRW($B$1,$B$2,$B$7,$B$3,$B$4,$B$5,$F278,$B$6,Q$10,$A278,$B278)</f>
        <v>0</v>
      </c>
      <c r="R278" s="4">
        <f ca="1">_xll.DBRW($B$1,$B$2,$B$7,$B$3,$B$4,$B$5,$F278,$B$6,R$10,$A278,$B278)</f>
        <v>0</v>
      </c>
      <c r="S278" s="4">
        <f ca="1">_xll.DBRW($B$1,$B$2,$B$7,$B$3,$B$4,$B$5,$F278,$B$6,S$10,$A278,$B278)</f>
        <v>0</v>
      </c>
      <c r="T278" s="4">
        <f ca="1">_xll.DBRW($B$1,$B$2,$B$7,$B$3,$B$4,$B$5,$F278,$B$6,T$10,$A278,$B278)</f>
        <v>0</v>
      </c>
      <c r="U278" s="4">
        <f ca="1">_xll.DBRW($B$1,$B$2,$B$7,$B$3,$B$4,$B$5,$F278,$B$6,U$10,$A278,$B278)</f>
        <v>0</v>
      </c>
      <c r="V278" s="4">
        <f ca="1">_xll.DBRW($B$1,$B$2,$B$7,$B$3,$B$4,$B$5,$F278,$B$6,V$10,$A278,$B278)</f>
        <v>2</v>
      </c>
      <c r="W278" s="4">
        <f ca="1">_xll.DBRW($B$1,$B$2,$B$7,$B$3,$B$4,$B$5,$F278,$B$6,W$10,$A278,$B278)</f>
        <v>30</v>
      </c>
      <c r="X278" s="4">
        <f ca="1">_xll.DBRW($B$1,$B$2,$B$7,$B$3,$B$4,$B$5,$F278,$B$6,X$10,$A278,$B278)</f>
        <v>31</v>
      </c>
      <c r="Y278" s="4">
        <f ca="1">_xll.DBRW($B$1,$B$2,$B$7,$B$3,$B$4,$B$5,$F278,$B$6,Y$10,$A278,$B278)</f>
        <v>30</v>
      </c>
      <c r="Z278" s="4">
        <f ca="1">_xll.DBRW($B$1,$B$2,$B$7,$B$3,$B$4,$B$5,$F278,$B$6,Z$10,$A278,$B278)</f>
        <v>31</v>
      </c>
      <c r="AA278" s="4">
        <f ca="1">_xll.DBRW($B$1,$B$2,$B$7,$B$3,$B$4,$B$5,$F278,$B$6,AA$10,$A278,$B278)</f>
        <v>31</v>
      </c>
      <c r="AB278" s="4">
        <f ca="1">_xll.DBRW($B$1,$B$2,$B$7,$B$3,$B$4,$B$5,$F278,$B$6,AB$10,$A278,$B278)</f>
        <v>30</v>
      </c>
      <c r="AC278" s="4">
        <f ca="1">_xll.DBRW($B$1,$B$2,$B$7,$B$3,$B$4,$B$5,$F278,$B$6,AC$10,$A278,$B278)</f>
        <v>25</v>
      </c>
      <c r="AD278" s="4">
        <f ca="1">_xll.DBRW($B$1,$B$2,$B$7,$B$3,$B$4,$B$5,$F278,$B$6,AD$10,$A278,$B278)</f>
        <v>0</v>
      </c>
      <c r="AE278" s="4">
        <f ca="1">_xll.DBRW($B$1,$B$2,$B$7,$B$3,$B$4,$B$5,$F278,$B$6,AE$10,$A278,$B278)</f>
        <v>0</v>
      </c>
    </row>
    <row r="279" spans="1:31">
      <c r="A279" s="1" t="s">
        <v>150</v>
      </c>
      <c r="B279" s="5" t="s">
        <v>200</v>
      </c>
      <c r="C279" s="5" t="s">
        <v>161</v>
      </c>
      <c r="D279" s="5" t="s">
        <v>21</v>
      </c>
      <c r="E279" s="5" t="s">
        <v>69</v>
      </c>
      <c r="F279" s="5" t="s">
        <v>314</v>
      </c>
      <c r="G279" s="6"/>
      <c r="H279" s="6"/>
      <c r="I279" s="6"/>
      <c r="J279" s="6"/>
      <c r="K279" s="6"/>
      <c r="L279" s="4">
        <f ca="1">_xll.DBRW($B$1,$B$2,$B$7,$B$3,$B$4,$B$5,$F279,$B$6,L$10,$A279,$B279)</f>
        <v>0</v>
      </c>
      <c r="M279" s="4">
        <f ca="1">_xll.DBRW($B$1,$B$2,$B$7,$B$3,$B$4,$B$5,$F279,$B$6,M$10,$A279,$B279)</f>
        <v>0</v>
      </c>
      <c r="N279" s="4">
        <f ca="1">_xll.DBRW($B$1,$B$2,$B$7,$B$3,$B$4,$B$5,$F279,$B$6,N$10,$A279,$B279)</f>
        <v>0</v>
      </c>
      <c r="O279" s="4">
        <f ca="1">_xll.DBRW($B$1,$B$2,$B$7,$B$3,$B$4,$B$5,$F279,$B$6,O$10,$A279,$B279)</f>
        <v>0</v>
      </c>
      <c r="P279" s="4">
        <f ca="1">_xll.DBRW($B$1,$B$2,$B$7,$B$3,$B$4,$B$5,$F279,$B$6,P$10,$A279,$B279)</f>
        <v>0</v>
      </c>
      <c r="Q279" s="4">
        <f ca="1">_xll.DBRW($B$1,$B$2,$B$7,$B$3,$B$4,$B$5,$F279,$B$6,Q$10,$A279,$B279)</f>
        <v>3</v>
      </c>
      <c r="R279" s="4">
        <f ca="1">_xll.DBRW($B$1,$B$2,$B$7,$B$3,$B$4,$B$5,$F279,$B$6,R$10,$A279,$B279)</f>
        <v>22</v>
      </c>
      <c r="S279" s="4">
        <f ca="1">_xll.DBRW($B$1,$B$2,$B$7,$B$3,$B$4,$B$5,$F279,$B$6,S$10,$A279,$B279)</f>
        <v>22</v>
      </c>
      <c r="T279" s="4">
        <f ca="1">_xll.DBRW($B$1,$B$2,$B$7,$B$3,$B$4,$B$5,$F279,$B$6,T$10,$A279,$B279)</f>
        <v>18</v>
      </c>
      <c r="U279" s="4">
        <f ca="1">_xll.DBRW($B$1,$B$2,$B$7,$B$3,$B$4,$B$5,$F279,$B$6,U$10,$A279,$B279)</f>
        <v>16</v>
      </c>
      <c r="V279" s="4">
        <f ca="1">_xll.DBRW($B$1,$B$2,$B$7,$B$3,$B$4,$B$5,$F279,$B$6,V$10,$A279,$B279)</f>
        <v>17</v>
      </c>
      <c r="W279" s="4">
        <f ca="1">_xll.DBRW($B$1,$B$2,$B$7,$B$3,$B$4,$B$5,$F279,$B$6,W$10,$A279,$B279)</f>
        <v>0</v>
      </c>
      <c r="X279" s="4">
        <f ca="1">_xll.DBRW($B$1,$B$2,$B$7,$B$3,$B$4,$B$5,$F279,$B$6,X$10,$A279,$B279)</f>
        <v>0</v>
      </c>
      <c r="Y279" s="4">
        <f ca="1">_xll.DBRW($B$1,$B$2,$B$7,$B$3,$B$4,$B$5,$F279,$B$6,Y$10,$A279,$B279)</f>
        <v>0</v>
      </c>
      <c r="Z279" s="4">
        <f ca="1">_xll.DBRW($B$1,$B$2,$B$7,$B$3,$B$4,$B$5,$F279,$B$6,Z$10,$A279,$B279)</f>
        <v>0</v>
      </c>
      <c r="AA279" s="4">
        <f ca="1">_xll.DBRW($B$1,$B$2,$B$7,$B$3,$B$4,$B$5,$F279,$B$6,AA$10,$A279,$B279)</f>
        <v>0</v>
      </c>
      <c r="AB279" s="4">
        <f ca="1">_xll.DBRW($B$1,$B$2,$B$7,$B$3,$B$4,$B$5,$F279,$B$6,AB$10,$A279,$B279)</f>
        <v>0</v>
      </c>
      <c r="AC279" s="4">
        <f ca="1">_xll.DBRW($B$1,$B$2,$B$7,$B$3,$B$4,$B$5,$F279,$B$6,AC$10,$A279,$B279)</f>
        <v>3</v>
      </c>
      <c r="AD279" s="4">
        <f ca="1">_xll.DBRW($B$1,$B$2,$B$7,$B$3,$B$4,$B$5,$F279,$B$6,AD$10,$A279,$B279)</f>
        <v>18</v>
      </c>
      <c r="AE279" s="4">
        <f ca="1">_xll.DBRW($B$1,$B$2,$B$7,$B$3,$B$4,$B$5,$F279,$B$6,AE$10,$A279,$B279)</f>
        <v>16</v>
      </c>
    </row>
    <row r="280" spans="1:31">
      <c r="A280" s="1" t="s">
        <v>150</v>
      </c>
      <c r="B280" s="5" t="s">
        <v>70</v>
      </c>
      <c r="C280" s="5" t="s">
        <v>68</v>
      </c>
      <c r="D280" s="5" t="s">
        <v>69</v>
      </c>
      <c r="E280" s="5" t="s">
        <v>21</v>
      </c>
      <c r="F280" s="5" t="s">
        <v>314</v>
      </c>
      <c r="G280" s="6"/>
      <c r="H280" s="6"/>
      <c r="I280" s="6"/>
      <c r="J280" s="6"/>
      <c r="K280" s="6"/>
      <c r="L280" s="4">
        <f ca="1">_xll.DBRW($B$1,$B$2,$B$7,$B$3,$B$4,$B$5,$F280,$B$6,L$10,$A280,$B280)</f>
        <v>0</v>
      </c>
      <c r="M280" s="4">
        <f ca="1">_xll.DBRW($B$1,$B$2,$B$7,$B$3,$B$4,$B$5,$F280,$B$6,M$10,$A280,$B280)</f>
        <v>0</v>
      </c>
      <c r="N280" s="4">
        <f ca="1">_xll.DBRW($B$1,$B$2,$B$7,$B$3,$B$4,$B$5,$F280,$B$6,N$10,$A280,$B280)</f>
        <v>0</v>
      </c>
      <c r="O280" s="4">
        <f ca="1">_xll.DBRW($B$1,$B$2,$B$7,$B$3,$B$4,$B$5,$F280,$B$6,O$10,$A280,$B280)</f>
        <v>0</v>
      </c>
      <c r="P280" s="4">
        <f ca="1">_xll.DBRW($B$1,$B$2,$B$7,$B$3,$B$4,$B$5,$F280,$B$6,P$10,$A280,$B280)</f>
        <v>0</v>
      </c>
      <c r="Q280" s="4">
        <f ca="1">_xll.DBRW($B$1,$B$2,$B$7,$B$3,$B$4,$B$5,$F280,$B$6,Q$10,$A280,$B280)</f>
        <v>3</v>
      </c>
      <c r="R280" s="4">
        <f ca="1">_xll.DBRW($B$1,$B$2,$B$7,$B$3,$B$4,$B$5,$F280,$B$6,R$10,$A280,$B280)</f>
        <v>22</v>
      </c>
      <c r="S280" s="4">
        <f ca="1">_xll.DBRW($B$1,$B$2,$B$7,$B$3,$B$4,$B$5,$F280,$B$6,S$10,$A280,$B280)</f>
        <v>22</v>
      </c>
      <c r="T280" s="4">
        <f ca="1">_xll.DBRW($B$1,$B$2,$B$7,$B$3,$B$4,$B$5,$F280,$B$6,T$10,$A280,$B280)</f>
        <v>18</v>
      </c>
      <c r="U280" s="4">
        <f ca="1">_xll.DBRW($B$1,$B$2,$B$7,$B$3,$B$4,$B$5,$F280,$B$6,U$10,$A280,$B280)</f>
        <v>16</v>
      </c>
      <c r="V280" s="4">
        <f ca="1">_xll.DBRW($B$1,$B$2,$B$7,$B$3,$B$4,$B$5,$F280,$B$6,V$10,$A280,$B280)</f>
        <v>17</v>
      </c>
      <c r="W280" s="4">
        <f ca="1">_xll.DBRW($B$1,$B$2,$B$7,$B$3,$B$4,$B$5,$F280,$B$6,W$10,$A280,$B280)</f>
        <v>0</v>
      </c>
      <c r="X280" s="4">
        <f ca="1">_xll.DBRW($B$1,$B$2,$B$7,$B$3,$B$4,$B$5,$F280,$B$6,X$10,$A280,$B280)</f>
        <v>0</v>
      </c>
      <c r="Y280" s="4">
        <f ca="1">_xll.DBRW($B$1,$B$2,$B$7,$B$3,$B$4,$B$5,$F280,$B$6,Y$10,$A280,$B280)</f>
        <v>0</v>
      </c>
      <c r="Z280" s="4">
        <f ca="1">_xll.DBRW($B$1,$B$2,$B$7,$B$3,$B$4,$B$5,$F280,$B$6,Z$10,$A280,$B280)</f>
        <v>0</v>
      </c>
      <c r="AA280" s="4">
        <f ca="1">_xll.DBRW($B$1,$B$2,$B$7,$B$3,$B$4,$B$5,$F280,$B$6,AA$10,$A280,$B280)</f>
        <v>0</v>
      </c>
      <c r="AB280" s="4">
        <f ca="1">_xll.DBRW($B$1,$B$2,$B$7,$B$3,$B$4,$B$5,$F280,$B$6,AB$10,$A280,$B280)</f>
        <v>0</v>
      </c>
      <c r="AC280" s="4">
        <f ca="1">_xll.DBRW($B$1,$B$2,$B$7,$B$3,$B$4,$B$5,$F280,$B$6,AC$10,$A280,$B280)</f>
        <v>2</v>
      </c>
      <c r="AD280" s="4">
        <f ca="1">_xll.DBRW($B$1,$B$2,$B$7,$B$3,$B$4,$B$5,$F280,$B$6,AD$10,$A280,$B280)</f>
        <v>18</v>
      </c>
      <c r="AE280" s="4">
        <f ca="1">_xll.DBRW($B$1,$B$2,$B$7,$B$3,$B$4,$B$5,$F280,$B$6,AE$10,$A280,$B280)</f>
        <v>16</v>
      </c>
    </row>
    <row r="281" spans="1:31">
      <c r="A281" s="1" t="s">
        <v>150</v>
      </c>
      <c r="B281" s="5" t="s">
        <v>201</v>
      </c>
      <c r="C281" s="5" t="s">
        <v>202</v>
      </c>
      <c r="D281" s="5" t="s">
        <v>28</v>
      </c>
      <c r="E281" s="5" t="s">
        <v>38</v>
      </c>
      <c r="F281" s="5" t="s">
        <v>314</v>
      </c>
      <c r="G281" s="6"/>
      <c r="H281" s="6"/>
      <c r="I281" s="6"/>
      <c r="J281" s="6"/>
      <c r="K281" s="6"/>
      <c r="L281" s="4">
        <f ca="1">_xll.DBRW($B$1,$B$2,$B$7,$B$3,$B$4,$B$5,$F281,$B$6,L$10,$A281,$B281)</f>
        <v>0</v>
      </c>
      <c r="M281" s="4">
        <f ca="1">_xll.DBRW($B$1,$B$2,$B$7,$B$3,$B$4,$B$5,$F281,$B$6,M$10,$A281,$B281)</f>
        <v>0</v>
      </c>
      <c r="N281" s="4">
        <f ca="1">_xll.DBRW($B$1,$B$2,$B$7,$B$3,$B$4,$B$5,$F281,$B$6,N$10,$A281,$B281)</f>
        <v>0</v>
      </c>
      <c r="O281" s="4">
        <f ca="1">_xll.DBRW($B$1,$B$2,$B$7,$B$3,$B$4,$B$5,$F281,$B$6,O$10,$A281,$B281)</f>
        <v>0</v>
      </c>
      <c r="P281" s="4">
        <f ca="1">_xll.DBRW($B$1,$B$2,$B$7,$B$3,$B$4,$B$5,$F281,$B$6,P$10,$A281,$B281)</f>
        <v>0</v>
      </c>
      <c r="Q281" s="4">
        <f ca="1">_xll.DBRW($B$1,$B$2,$B$7,$B$3,$B$4,$B$5,$F281,$B$6,Q$10,$A281,$B281)</f>
        <v>0</v>
      </c>
      <c r="R281" s="4">
        <f ca="1">_xll.DBRW($B$1,$B$2,$B$7,$B$3,$B$4,$B$5,$F281,$B$6,R$10,$A281,$B281)</f>
        <v>0</v>
      </c>
      <c r="S281" s="4">
        <f ca="1">_xll.DBRW($B$1,$B$2,$B$7,$B$3,$B$4,$B$5,$F281,$B$6,S$10,$A281,$B281)</f>
        <v>0</v>
      </c>
      <c r="T281" s="4">
        <f ca="1">_xll.DBRW($B$1,$B$2,$B$7,$B$3,$B$4,$B$5,$F281,$B$6,T$10,$A281,$B281)</f>
        <v>0</v>
      </c>
      <c r="U281" s="4">
        <f ca="1">_xll.DBRW($B$1,$B$2,$B$7,$B$3,$B$4,$B$5,$F281,$B$6,U$10,$A281,$B281)</f>
        <v>0</v>
      </c>
      <c r="V281" s="4">
        <f ca="1">_xll.DBRW($B$1,$B$2,$B$7,$B$3,$B$4,$B$5,$F281,$B$6,V$10,$A281,$B281)</f>
        <v>0</v>
      </c>
      <c r="W281" s="4">
        <f ca="1">_xll.DBRW($B$1,$B$2,$B$7,$B$3,$B$4,$B$5,$F281,$B$6,W$10,$A281,$B281)</f>
        <v>0</v>
      </c>
      <c r="X281" s="4">
        <f ca="1">_xll.DBRW($B$1,$B$2,$B$7,$B$3,$B$4,$B$5,$F281,$B$6,X$10,$A281,$B281)</f>
        <v>0</v>
      </c>
      <c r="Y281" s="4">
        <f ca="1">_xll.DBRW($B$1,$B$2,$B$7,$B$3,$B$4,$B$5,$F281,$B$6,Y$10,$A281,$B281)</f>
        <v>0</v>
      </c>
      <c r="Z281" s="4">
        <f ca="1">_xll.DBRW($B$1,$B$2,$B$7,$B$3,$B$4,$B$5,$F281,$B$6,Z$10,$A281,$B281)</f>
        <v>0</v>
      </c>
      <c r="AA281" s="4">
        <f ca="1">_xll.DBRW($B$1,$B$2,$B$7,$B$3,$B$4,$B$5,$F281,$B$6,AA$10,$A281,$B281)</f>
        <v>0</v>
      </c>
      <c r="AB281" s="4">
        <f ca="1">_xll.DBRW($B$1,$B$2,$B$7,$B$3,$B$4,$B$5,$F281,$B$6,AB$10,$A281,$B281)</f>
        <v>0</v>
      </c>
      <c r="AC281" s="4">
        <f ca="1">_xll.DBRW($B$1,$B$2,$B$7,$B$3,$B$4,$B$5,$F281,$B$6,AC$10,$A281,$B281)</f>
        <v>0</v>
      </c>
      <c r="AD281" s="4">
        <f ca="1">_xll.DBRW($B$1,$B$2,$B$7,$B$3,$B$4,$B$5,$F281,$B$6,AD$10,$A281,$B281)</f>
        <v>0</v>
      </c>
      <c r="AE281" s="4">
        <f ca="1">_xll.DBRW($B$1,$B$2,$B$7,$B$3,$B$4,$B$5,$F281,$B$6,AE$10,$A281,$B281)</f>
        <v>0</v>
      </c>
    </row>
    <row r="282" spans="1:31">
      <c r="A282" s="1" t="s">
        <v>150</v>
      </c>
      <c r="B282" s="5" t="s">
        <v>45</v>
      </c>
      <c r="C282" s="5" t="s">
        <v>46</v>
      </c>
      <c r="D282" s="5" t="s">
        <v>38</v>
      </c>
      <c r="E282" s="5" t="s">
        <v>28</v>
      </c>
      <c r="F282" s="5" t="s">
        <v>314</v>
      </c>
      <c r="G282" s="6"/>
      <c r="H282" s="6"/>
      <c r="I282" s="6"/>
      <c r="J282" s="6"/>
      <c r="K282" s="6"/>
      <c r="L282" s="4">
        <f ca="1">_xll.DBRW($B$1,$B$2,$B$7,$B$3,$B$4,$B$5,$F282,$B$6,L$10,$A282,$B282)</f>
        <v>0</v>
      </c>
      <c r="M282" s="4">
        <f ca="1">_xll.DBRW($B$1,$B$2,$B$7,$B$3,$B$4,$B$5,$F282,$B$6,M$10,$A282,$B282)</f>
        <v>0</v>
      </c>
      <c r="N282" s="4">
        <f ca="1">_xll.DBRW($B$1,$B$2,$B$7,$B$3,$B$4,$B$5,$F282,$B$6,N$10,$A282,$B282)</f>
        <v>0</v>
      </c>
      <c r="O282" s="4">
        <f ca="1">_xll.DBRW($B$1,$B$2,$B$7,$B$3,$B$4,$B$5,$F282,$B$6,O$10,$A282,$B282)</f>
        <v>0</v>
      </c>
      <c r="P282" s="4">
        <f ca="1">_xll.DBRW($B$1,$B$2,$B$7,$B$3,$B$4,$B$5,$F282,$B$6,P$10,$A282,$B282)</f>
        <v>0</v>
      </c>
      <c r="Q282" s="4">
        <f ca="1">_xll.DBRW($B$1,$B$2,$B$7,$B$3,$B$4,$B$5,$F282,$B$6,Q$10,$A282,$B282)</f>
        <v>0</v>
      </c>
      <c r="R282" s="4">
        <f ca="1">_xll.DBRW($B$1,$B$2,$B$7,$B$3,$B$4,$B$5,$F282,$B$6,R$10,$A282,$B282)</f>
        <v>0</v>
      </c>
      <c r="S282" s="4">
        <f ca="1">_xll.DBRW($B$1,$B$2,$B$7,$B$3,$B$4,$B$5,$F282,$B$6,S$10,$A282,$B282)</f>
        <v>0</v>
      </c>
      <c r="T282" s="4">
        <f ca="1">_xll.DBRW($B$1,$B$2,$B$7,$B$3,$B$4,$B$5,$F282,$B$6,T$10,$A282,$B282)</f>
        <v>0</v>
      </c>
      <c r="U282" s="4">
        <f ca="1">_xll.DBRW($B$1,$B$2,$B$7,$B$3,$B$4,$B$5,$F282,$B$6,U$10,$A282,$B282)</f>
        <v>0</v>
      </c>
      <c r="V282" s="4">
        <f ca="1">_xll.DBRW($B$1,$B$2,$B$7,$B$3,$B$4,$B$5,$F282,$B$6,V$10,$A282,$B282)</f>
        <v>0</v>
      </c>
      <c r="W282" s="4">
        <f ca="1">_xll.DBRW($B$1,$B$2,$B$7,$B$3,$B$4,$B$5,$F282,$B$6,W$10,$A282,$B282)</f>
        <v>0</v>
      </c>
      <c r="X282" s="4">
        <f ca="1">_xll.DBRW($B$1,$B$2,$B$7,$B$3,$B$4,$B$5,$F282,$B$6,X$10,$A282,$B282)</f>
        <v>0</v>
      </c>
      <c r="Y282" s="4">
        <f ca="1">_xll.DBRW($B$1,$B$2,$B$7,$B$3,$B$4,$B$5,$F282,$B$6,Y$10,$A282,$B282)</f>
        <v>0</v>
      </c>
      <c r="Z282" s="4">
        <f ca="1">_xll.DBRW($B$1,$B$2,$B$7,$B$3,$B$4,$B$5,$F282,$B$6,Z$10,$A282,$B282)</f>
        <v>0</v>
      </c>
      <c r="AA282" s="4">
        <f ca="1">_xll.DBRW($B$1,$B$2,$B$7,$B$3,$B$4,$B$5,$F282,$B$6,AA$10,$A282,$B282)</f>
        <v>0</v>
      </c>
      <c r="AB282" s="4">
        <f ca="1">_xll.DBRW($B$1,$B$2,$B$7,$B$3,$B$4,$B$5,$F282,$B$6,AB$10,$A282,$B282)</f>
        <v>0</v>
      </c>
      <c r="AC282" s="4">
        <f ca="1">_xll.DBRW($B$1,$B$2,$B$7,$B$3,$B$4,$B$5,$F282,$B$6,AC$10,$A282,$B282)</f>
        <v>0</v>
      </c>
      <c r="AD282" s="4">
        <f ca="1">_xll.DBRW($B$1,$B$2,$B$7,$B$3,$B$4,$B$5,$F282,$B$6,AD$10,$A282,$B282)</f>
        <v>0</v>
      </c>
      <c r="AE282" s="4">
        <f ca="1">_xll.DBRW($B$1,$B$2,$B$7,$B$3,$B$4,$B$5,$F282,$B$6,AE$10,$A282,$B282)</f>
        <v>0</v>
      </c>
    </row>
    <row r="283" spans="1:31">
      <c r="A283" s="1" t="s">
        <v>150</v>
      </c>
      <c r="B283" s="5" t="s">
        <v>203</v>
      </c>
      <c r="C283" s="5" t="s">
        <v>204</v>
      </c>
      <c r="D283" s="5" t="s">
        <v>21</v>
      </c>
      <c r="E283" s="5" t="s">
        <v>80</v>
      </c>
      <c r="F283" s="5" t="s">
        <v>314</v>
      </c>
      <c r="G283" s="6"/>
      <c r="H283" s="6"/>
      <c r="I283" s="6"/>
      <c r="J283" s="6"/>
      <c r="K283" s="6"/>
      <c r="L283" s="4">
        <f ca="1">_xll.DBRW($B$1,$B$2,$B$7,$B$3,$B$4,$B$5,$F283,$B$6,L$10,$A283,$B283)</f>
        <v>2</v>
      </c>
      <c r="M283" s="4">
        <f ca="1">_xll.DBRW($B$1,$B$2,$B$7,$B$3,$B$4,$B$5,$F283,$B$6,M$10,$A283,$B283)</f>
        <v>0</v>
      </c>
      <c r="N283" s="4">
        <f ca="1">_xll.DBRW($B$1,$B$2,$B$7,$B$3,$B$4,$B$5,$F283,$B$6,N$10,$A283,$B283)</f>
        <v>0</v>
      </c>
      <c r="O283" s="4">
        <f ca="1">_xll.DBRW($B$1,$B$2,$B$7,$B$3,$B$4,$B$5,$F283,$B$6,O$10,$A283,$B283)</f>
        <v>0</v>
      </c>
      <c r="P283" s="4">
        <f ca="1">_xll.DBRW($B$1,$B$2,$B$7,$B$3,$B$4,$B$5,$F283,$B$6,P$10,$A283,$B283)</f>
        <v>20</v>
      </c>
      <c r="Q283" s="4">
        <f ca="1">_xll.DBRW($B$1,$B$2,$B$7,$B$3,$B$4,$B$5,$F283,$B$6,Q$10,$A283,$B283)</f>
        <v>22</v>
      </c>
      <c r="R283" s="4">
        <f ca="1">_xll.DBRW($B$1,$B$2,$B$7,$B$3,$B$4,$B$5,$F283,$B$6,R$10,$A283,$B283)</f>
        <v>30</v>
      </c>
      <c r="S283" s="4">
        <f ca="1">_xll.DBRW($B$1,$B$2,$B$7,$B$3,$B$4,$B$5,$F283,$B$6,S$10,$A283,$B283)</f>
        <v>31</v>
      </c>
      <c r="T283" s="4">
        <f ca="1">_xll.DBRW($B$1,$B$2,$B$7,$B$3,$B$4,$B$5,$F283,$B$6,T$10,$A283,$B283)</f>
        <v>0</v>
      </c>
      <c r="U283" s="4">
        <f ca="1">_xll.DBRW($B$1,$B$2,$B$7,$B$3,$B$4,$B$5,$F283,$B$6,U$10,$A283,$B283)</f>
        <v>0</v>
      </c>
      <c r="V283" s="4">
        <f ca="1">_xll.DBRW($B$1,$B$2,$B$7,$B$3,$B$4,$B$5,$F283,$B$6,V$10,$A283,$B283)</f>
        <v>0</v>
      </c>
      <c r="W283" s="4">
        <f ca="1">_xll.DBRW($B$1,$B$2,$B$7,$B$3,$B$4,$B$5,$F283,$B$6,W$10,$A283,$B283)</f>
        <v>17</v>
      </c>
      <c r="X283" s="4">
        <f ca="1">_xll.DBRW($B$1,$B$2,$B$7,$B$3,$B$4,$B$5,$F283,$B$6,X$10,$A283,$B283)</f>
        <v>19</v>
      </c>
      <c r="Y283" s="4">
        <f ca="1">_xll.DBRW($B$1,$B$2,$B$7,$B$3,$B$4,$B$5,$F283,$B$6,Y$10,$A283,$B283)</f>
        <v>16</v>
      </c>
      <c r="Z283" s="4">
        <f ca="1">_xll.DBRW($B$1,$B$2,$B$7,$B$3,$B$4,$B$5,$F283,$B$6,Z$10,$A283,$B283)</f>
        <v>18</v>
      </c>
      <c r="AA283" s="4">
        <f ca="1">_xll.DBRW($B$1,$B$2,$B$7,$B$3,$B$4,$B$5,$F283,$B$6,AA$10,$A283,$B283)</f>
        <v>18</v>
      </c>
      <c r="AB283" s="4">
        <f ca="1">_xll.DBRW($B$1,$B$2,$B$7,$B$3,$B$4,$B$5,$F283,$B$6,AB$10,$A283,$B283)</f>
        <v>16</v>
      </c>
      <c r="AC283" s="4">
        <f ca="1">_xll.DBRW($B$1,$B$2,$B$7,$B$3,$B$4,$B$5,$F283,$B$6,AC$10,$A283,$B283)</f>
        <v>16</v>
      </c>
      <c r="AD283" s="4">
        <f ca="1">_xll.DBRW($B$1,$B$2,$B$7,$B$3,$B$4,$B$5,$F283,$B$6,AD$10,$A283,$B283)</f>
        <v>0</v>
      </c>
      <c r="AE283" s="4">
        <f ca="1">_xll.DBRW($B$1,$B$2,$B$7,$B$3,$B$4,$B$5,$F283,$B$6,AE$10,$A283,$B283)</f>
        <v>0</v>
      </c>
    </row>
    <row r="284" spans="1:31">
      <c r="A284" s="1" t="s">
        <v>150</v>
      </c>
      <c r="B284" s="5" t="s">
        <v>78</v>
      </c>
      <c r="C284" s="5" t="s">
        <v>79</v>
      </c>
      <c r="D284" s="5" t="s">
        <v>80</v>
      </c>
      <c r="E284" s="5" t="s">
        <v>21</v>
      </c>
      <c r="F284" s="5" t="s">
        <v>314</v>
      </c>
      <c r="G284" s="6"/>
      <c r="H284" s="6"/>
      <c r="I284" s="6"/>
      <c r="J284" s="6"/>
      <c r="K284" s="6"/>
      <c r="L284" s="4">
        <f ca="1">_xll.DBRW($B$1,$B$2,$B$7,$B$3,$B$4,$B$5,$F284,$B$6,L$10,$A284,$B284)</f>
        <v>2</v>
      </c>
      <c r="M284" s="4">
        <f ca="1">_xll.DBRW($B$1,$B$2,$B$7,$B$3,$B$4,$B$5,$F284,$B$6,M$10,$A284,$B284)</f>
        <v>0</v>
      </c>
      <c r="N284" s="4">
        <f ca="1">_xll.DBRW($B$1,$B$2,$B$7,$B$3,$B$4,$B$5,$F284,$B$6,N$10,$A284,$B284)</f>
        <v>0</v>
      </c>
      <c r="O284" s="4">
        <f ca="1">_xll.DBRW($B$1,$B$2,$B$7,$B$3,$B$4,$B$5,$F284,$B$6,O$10,$A284,$B284)</f>
        <v>0</v>
      </c>
      <c r="P284" s="4">
        <f ca="1">_xll.DBRW($B$1,$B$2,$B$7,$B$3,$B$4,$B$5,$F284,$B$6,P$10,$A284,$B284)</f>
        <v>20</v>
      </c>
      <c r="Q284" s="4">
        <f ca="1">_xll.DBRW($B$1,$B$2,$B$7,$B$3,$B$4,$B$5,$F284,$B$6,Q$10,$A284,$B284)</f>
        <v>22</v>
      </c>
      <c r="R284" s="4">
        <f ca="1">_xll.DBRW($B$1,$B$2,$B$7,$B$3,$B$4,$B$5,$F284,$B$6,R$10,$A284,$B284)</f>
        <v>30</v>
      </c>
      <c r="S284" s="4">
        <f ca="1">_xll.DBRW($B$1,$B$2,$B$7,$B$3,$B$4,$B$5,$F284,$B$6,S$10,$A284,$B284)</f>
        <v>31</v>
      </c>
      <c r="T284" s="4">
        <f ca="1">_xll.DBRW($B$1,$B$2,$B$7,$B$3,$B$4,$B$5,$F284,$B$6,T$10,$A284,$B284)</f>
        <v>0</v>
      </c>
      <c r="U284" s="4">
        <f ca="1">_xll.DBRW($B$1,$B$2,$B$7,$B$3,$B$4,$B$5,$F284,$B$6,U$10,$A284,$B284)</f>
        <v>0</v>
      </c>
      <c r="V284" s="4">
        <f ca="1">_xll.DBRW($B$1,$B$2,$B$7,$B$3,$B$4,$B$5,$F284,$B$6,V$10,$A284,$B284)</f>
        <v>0</v>
      </c>
      <c r="W284" s="4">
        <f ca="1">_xll.DBRW($B$1,$B$2,$B$7,$B$3,$B$4,$B$5,$F284,$B$6,W$10,$A284,$B284)</f>
        <v>17</v>
      </c>
      <c r="X284" s="4">
        <f ca="1">_xll.DBRW($B$1,$B$2,$B$7,$B$3,$B$4,$B$5,$F284,$B$6,X$10,$A284,$B284)</f>
        <v>19</v>
      </c>
      <c r="Y284" s="4">
        <f ca="1">_xll.DBRW($B$1,$B$2,$B$7,$B$3,$B$4,$B$5,$F284,$B$6,Y$10,$A284,$B284)</f>
        <v>16</v>
      </c>
      <c r="Z284" s="4">
        <f ca="1">_xll.DBRW($B$1,$B$2,$B$7,$B$3,$B$4,$B$5,$F284,$B$6,Z$10,$A284,$B284)</f>
        <v>18</v>
      </c>
      <c r="AA284" s="4">
        <f ca="1">_xll.DBRW($B$1,$B$2,$B$7,$B$3,$B$4,$B$5,$F284,$B$6,AA$10,$A284,$B284)</f>
        <v>18</v>
      </c>
      <c r="AB284" s="4">
        <f ca="1">_xll.DBRW($B$1,$B$2,$B$7,$B$3,$B$4,$B$5,$F284,$B$6,AB$10,$A284,$B284)</f>
        <v>16</v>
      </c>
      <c r="AC284" s="4">
        <f ca="1">_xll.DBRW($B$1,$B$2,$B$7,$B$3,$B$4,$B$5,$F284,$B$6,AC$10,$A284,$B284)</f>
        <v>15</v>
      </c>
      <c r="AD284" s="4">
        <f ca="1">_xll.DBRW($B$1,$B$2,$B$7,$B$3,$B$4,$B$5,$F284,$B$6,AD$10,$A284,$B284)</f>
        <v>0</v>
      </c>
      <c r="AE284" s="4">
        <f ca="1">_xll.DBRW($B$1,$B$2,$B$7,$B$3,$B$4,$B$5,$F284,$B$6,AE$10,$A284,$B284)</f>
        <v>0</v>
      </c>
    </row>
    <row r="285" spans="1:31">
      <c r="A285" s="1" t="s">
        <v>150</v>
      </c>
      <c r="B285" s="5" t="s">
        <v>205</v>
      </c>
      <c r="C285" s="5" t="s">
        <v>206</v>
      </c>
      <c r="D285" s="5" t="s">
        <v>21</v>
      </c>
      <c r="E285" s="5" t="s">
        <v>181</v>
      </c>
      <c r="F285" s="5" t="s">
        <v>314</v>
      </c>
      <c r="G285" s="6"/>
      <c r="H285" s="6"/>
      <c r="I285" s="6"/>
      <c r="J285" s="6"/>
      <c r="K285" s="6"/>
      <c r="L285" s="4">
        <f ca="1">_xll.DBRW($B$1,$B$2,$B$7,$B$3,$B$4,$B$5,$F285,$B$6,L$10,$A285,$B285)</f>
        <v>0</v>
      </c>
      <c r="M285" s="4">
        <f ca="1">_xll.DBRW($B$1,$B$2,$B$7,$B$3,$B$4,$B$5,$F285,$B$6,M$10,$A285,$B285)</f>
        <v>0</v>
      </c>
      <c r="N285" s="4">
        <f ca="1">_xll.DBRW($B$1,$B$2,$B$7,$B$3,$B$4,$B$5,$F285,$B$6,N$10,$A285,$B285)</f>
        <v>0</v>
      </c>
      <c r="O285" s="4">
        <f ca="1">_xll.DBRW($B$1,$B$2,$B$7,$B$3,$B$4,$B$5,$F285,$B$6,O$10,$A285,$B285)</f>
        <v>0</v>
      </c>
      <c r="P285" s="4">
        <f ca="1">_xll.DBRW($B$1,$B$2,$B$7,$B$3,$B$4,$B$5,$F285,$B$6,P$10,$A285,$B285)</f>
        <v>0</v>
      </c>
      <c r="Q285" s="4">
        <f ca="1">_xll.DBRW($B$1,$B$2,$B$7,$B$3,$B$4,$B$5,$F285,$B$6,Q$10,$A285,$B285)</f>
        <v>0</v>
      </c>
      <c r="R285" s="4">
        <f ca="1">_xll.DBRW($B$1,$B$2,$B$7,$B$3,$B$4,$B$5,$F285,$B$6,R$10,$A285,$B285)</f>
        <v>1</v>
      </c>
      <c r="S285" s="4">
        <f ca="1">_xll.DBRW($B$1,$B$2,$B$7,$B$3,$B$4,$B$5,$F285,$B$6,S$10,$A285,$B285)</f>
        <v>4</v>
      </c>
      <c r="T285" s="4">
        <f ca="1">_xll.DBRW($B$1,$B$2,$B$7,$B$3,$B$4,$B$5,$F285,$B$6,T$10,$A285,$B285)</f>
        <v>31</v>
      </c>
      <c r="U285" s="4">
        <f ca="1">_xll.DBRW($B$1,$B$2,$B$7,$B$3,$B$4,$B$5,$F285,$B$6,U$10,$A285,$B285)</f>
        <v>27</v>
      </c>
      <c r="V285" s="4">
        <f ca="1">_xll.DBRW($B$1,$B$2,$B$7,$B$3,$B$4,$B$5,$F285,$B$6,V$10,$A285,$B285)</f>
        <v>16</v>
      </c>
      <c r="W285" s="4">
        <f ca="1">_xll.DBRW($B$1,$B$2,$B$7,$B$3,$B$4,$B$5,$F285,$B$6,W$10,$A285,$B285)</f>
        <v>0</v>
      </c>
      <c r="X285" s="4">
        <f ca="1">_xll.DBRW($B$1,$B$2,$B$7,$B$3,$B$4,$B$5,$F285,$B$6,X$10,$A285,$B285)</f>
        <v>0</v>
      </c>
      <c r="Y285" s="4">
        <f ca="1">_xll.DBRW($B$1,$B$2,$B$7,$B$3,$B$4,$B$5,$F285,$B$6,Y$10,$A285,$B285)</f>
        <v>0</v>
      </c>
      <c r="Z285" s="4">
        <f ca="1">_xll.DBRW($B$1,$B$2,$B$7,$B$3,$B$4,$B$5,$F285,$B$6,Z$10,$A285,$B285)</f>
        <v>0</v>
      </c>
      <c r="AA285" s="4">
        <f ca="1">_xll.DBRW($B$1,$B$2,$B$7,$B$3,$B$4,$B$5,$F285,$B$6,AA$10,$A285,$B285)</f>
        <v>0</v>
      </c>
      <c r="AB285" s="4">
        <f ca="1">_xll.DBRW($B$1,$B$2,$B$7,$B$3,$B$4,$B$5,$F285,$B$6,AB$10,$A285,$B285)</f>
        <v>0</v>
      </c>
      <c r="AC285" s="4">
        <f ca="1">_xll.DBRW($B$1,$B$2,$B$7,$B$3,$B$4,$B$5,$F285,$B$6,AC$10,$A285,$B285)</f>
        <v>5</v>
      </c>
      <c r="AD285" s="4">
        <f ca="1">_xll.DBRW($B$1,$B$2,$B$7,$B$3,$B$4,$B$5,$F285,$B$6,AD$10,$A285,$B285)</f>
        <v>4</v>
      </c>
      <c r="AE285" s="4">
        <f ca="1">_xll.DBRW($B$1,$B$2,$B$7,$B$3,$B$4,$B$5,$F285,$B$6,AE$10,$A285,$B285)</f>
        <v>4</v>
      </c>
    </row>
    <row r="286" spans="1:31">
      <c r="A286" s="1" t="s">
        <v>150</v>
      </c>
      <c r="B286" s="5" t="s">
        <v>207</v>
      </c>
      <c r="C286" s="5" t="s">
        <v>208</v>
      </c>
      <c r="D286" s="5" t="s">
        <v>181</v>
      </c>
      <c r="E286" s="5" t="s">
        <v>21</v>
      </c>
      <c r="F286" s="5" t="s">
        <v>314</v>
      </c>
      <c r="G286" s="6"/>
      <c r="H286" s="6"/>
      <c r="I286" s="6"/>
      <c r="J286" s="6"/>
      <c r="K286" s="6"/>
      <c r="L286" s="4">
        <f ca="1">_xll.DBRW($B$1,$B$2,$B$7,$B$3,$B$4,$B$5,$F286,$B$6,L$10,$A286,$B286)</f>
        <v>0</v>
      </c>
      <c r="M286" s="4">
        <f ca="1">_xll.DBRW($B$1,$B$2,$B$7,$B$3,$B$4,$B$5,$F286,$B$6,M$10,$A286,$B286)</f>
        <v>0</v>
      </c>
      <c r="N286" s="4">
        <f ca="1">_xll.DBRW($B$1,$B$2,$B$7,$B$3,$B$4,$B$5,$F286,$B$6,N$10,$A286,$B286)</f>
        <v>0</v>
      </c>
      <c r="O286" s="4">
        <f ca="1">_xll.DBRW($B$1,$B$2,$B$7,$B$3,$B$4,$B$5,$F286,$B$6,O$10,$A286,$B286)</f>
        <v>0</v>
      </c>
      <c r="P286" s="4">
        <f ca="1">_xll.DBRW($B$1,$B$2,$B$7,$B$3,$B$4,$B$5,$F286,$B$6,P$10,$A286,$B286)</f>
        <v>0</v>
      </c>
      <c r="Q286" s="4">
        <f ca="1">_xll.DBRW($B$1,$B$2,$B$7,$B$3,$B$4,$B$5,$F286,$B$6,Q$10,$A286,$B286)</f>
        <v>0</v>
      </c>
      <c r="R286" s="4">
        <f ca="1">_xll.DBRW($B$1,$B$2,$B$7,$B$3,$B$4,$B$5,$F286,$B$6,R$10,$A286,$B286)</f>
        <v>1</v>
      </c>
      <c r="S286" s="4">
        <f ca="1">_xll.DBRW($B$1,$B$2,$B$7,$B$3,$B$4,$B$5,$F286,$B$6,S$10,$A286,$B286)</f>
        <v>4</v>
      </c>
      <c r="T286" s="4">
        <f ca="1">_xll.DBRW($B$1,$B$2,$B$7,$B$3,$B$4,$B$5,$F286,$B$6,T$10,$A286,$B286)</f>
        <v>31</v>
      </c>
      <c r="U286" s="4">
        <f ca="1">_xll.DBRW($B$1,$B$2,$B$7,$B$3,$B$4,$B$5,$F286,$B$6,U$10,$A286,$B286)</f>
        <v>27</v>
      </c>
      <c r="V286" s="4">
        <f ca="1">_xll.DBRW($B$1,$B$2,$B$7,$B$3,$B$4,$B$5,$F286,$B$6,V$10,$A286,$B286)</f>
        <v>16</v>
      </c>
      <c r="W286" s="4">
        <f ca="1">_xll.DBRW($B$1,$B$2,$B$7,$B$3,$B$4,$B$5,$F286,$B$6,W$10,$A286,$B286)</f>
        <v>0</v>
      </c>
      <c r="X286" s="4">
        <f ca="1">_xll.DBRW($B$1,$B$2,$B$7,$B$3,$B$4,$B$5,$F286,$B$6,X$10,$A286,$B286)</f>
        <v>0</v>
      </c>
      <c r="Y286" s="4">
        <f ca="1">_xll.DBRW($B$1,$B$2,$B$7,$B$3,$B$4,$B$5,$F286,$B$6,Y$10,$A286,$B286)</f>
        <v>0</v>
      </c>
      <c r="Z286" s="4">
        <f ca="1">_xll.DBRW($B$1,$B$2,$B$7,$B$3,$B$4,$B$5,$F286,$B$6,Z$10,$A286,$B286)</f>
        <v>0</v>
      </c>
      <c r="AA286" s="4">
        <f ca="1">_xll.DBRW($B$1,$B$2,$B$7,$B$3,$B$4,$B$5,$F286,$B$6,AA$10,$A286,$B286)</f>
        <v>0</v>
      </c>
      <c r="AB286" s="4">
        <f ca="1">_xll.DBRW($B$1,$B$2,$B$7,$B$3,$B$4,$B$5,$F286,$B$6,AB$10,$A286,$B286)</f>
        <v>0</v>
      </c>
      <c r="AC286" s="4">
        <f ca="1">_xll.DBRW($B$1,$B$2,$B$7,$B$3,$B$4,$B$5,$F286,$B$6,AC$10,$A286,$B286)</f>
        <v>5</v>
      </c>
      <c r="AD286" s="4">
        <f ca="1">_xll.DBRW($B$1,$B$2,$B$7,$B$3,$B$4,$B$5,$F286,$B$6,AD$10,$A286,$B286)</f>
        <v>4</v>
      </c>
      <c r="AE286" s="4">
        <f ca="1">_xll.DBRW($B$1,$B$2,$B$7,$B$3,$B$4,$B$5,$F286,$B$6,AE$10,$A286,$B286)</f>
        <v>4</v>
      </c>
    </row>
    <row r="287" spans="1:31">
      <c r="A287" s="1" t="s">
        <v>150</v>
      </c>
      <c r="B287" s="5" t="s">
        <v>209</v>
      </c>
      <c r="C287" s="5" t="s">
        <v>210</v>
      </c>
      <c r="D287" s="5" t="s">
        <v>21</v>
      </c>
      <c r="E287" s="5" t="s">
        <v>211</v>
      </c>
      <c r="F287" s="5" t="s">
        <v>314</v>
      </c>
      <c r="G287" s="6"/>
      <c r="H287" s="6"/>
      <c r="I287" s="6"/>
      <c r="J287" s="6"/>
      <c r="K287" s="6"/>
      <c r="L287" s="4">
        <f ca="1">_xll.DBRW($B$1,$B$2,$B$7,$B$3,$B$4,$B$5,$F287,$B$6,L$10,$A287,$B287)</f>
        <v>0</v>
      </c>
      <c r="M287" s="4">
        <f ca="1">_xll.DBRW($B$1,$B$2,$B$7,$B$3,$B$4,$B$5,$F287,$B$6,M$10,$A287,$B287)</f>
        <v>0</v>
      </c>
      <c r="N287" s="4">
        <f ca="1">_xll.DBRW($B$1,$B$2,$B$7,$B$3,$B$4,$B$5,$F287,$B$6,N$10,$A287,$B287)</f>
        <v>0</v>
      </c>
      <c r="O287" s="4">
        <f ca="1">_xll.DBRW($B$1,$B$2,$B$7,$B$3,$B$4,$B$5,$F287,$B$6,O$10,$A287,$B287)</f>
        <v>0</v>
      </c>
      <c r="P287" s="4">
        <f ca="1">_xll.DBRW($B$1,$B$2,$B$7,$B$3,$B$4,$B$5,$F287,$B$6,P$10,$A287,$B287)</f>
        <v>0</v>
      </c>
      <c r="Q287" s="4">
        <f ca="1">_xll.DBRW($B$1,$B$2,$B$7,$B$3,$B$4,$B$5,$F287,$B$6,Q$10,$A287,$B287)</f>
        <v>0</v>
      </c>
      <c r="R287" s="4">
        <f ca="1">_xll.DBRW($B$1,$B$2,$B$7,$B$3,$B$4,$B$5,$F287,$B$6,R$10,$A287,$B287)</f>
        <v>0</v>
      </c>
      <c r="S287" s="4">
        <f ca="1">_xll.DBRW($B$1,$B$2,$B$7,$B$3,$B$4,$B$5,$F287,$B$6,S$10,$A287,$B287)</f>
        <v>0</v>
      </c>
      <c r="T287" s="4">
        <f ca="1">_xll.DBRW($B$1,$B$2,$B$7,$B$3,$B$4,$B$5,$F287,$B$6,T$10,$A287,$B287)</f>
        <v>0</v>
      </c>
      <c r="U287" s="4">
        <f ca="1">_xll.DBRW($B$1,$B$2,$B$7,$B$3,$B$4,$B$5,$F287,$B$6,U$10,$A287,$B287)</f>
        <v>0</v>
      </c>
      <c r="V287" s="4">
        <f ca="1">_xll.DBRW($B$1,$B$2,$B$7,$B$3,$B$4,$B$5,$F287,$B$6,V$10,$A287,$B287)</f>
        <v>0</v>
      </c>
      <c r="W287" s="4">
        <f ca="1">_xll.DBRW($B$1,$B$2,$B$7,$B$3,$B$4,$B$5,$F287,$B$6,W$10,$A287,$B287)</f>
        <v>0</v>
      </c>
      <c r="X287" s="4">
        <f ca="1">_xll.DBRW($B$1,$B$2,$B$7,$B$3,$B$4,$B$5,$F287,$B$6,X$10,$A287,$B287)</f>
        <v>0</v>
      </c>
      <c r="Y287" s="4">
        <f ca="1">_xll.DBRW($B$1,$B$2,$B$7,$B$3,$B$4,$B$5,$F287,$B$6,Y$10,$A287,$B287)</f>
        <v>0</v>
      </c>
      <c r="Z287" s="4">
        <f ca="1">_xll.DBRW($B$1,$B$2,$B$7,$B$3,$B$4,$B$5,$F287,$B$6,Z$10,$A287,$B287)</f>
        <v>0</v>
      </c>
      <c r="AA287" s="4">
        <f ca="1">_xll.DBRW($B$1,$B$2,$B$7,$B$3,$B$4,$B$5,$F287,$B$6,AA$10,$A287,$B287)</f>
        <v>0</v>
      </c>
      <c r="AB287" s="4">
        <f ca="1">_xll.DBRW($B$1,$B$2,$B$7,$B$3,$B$4,$B$5,$F287,$B$6,AB$10,$A287,$B287)</f>
        <v>0</v>
      </c>
      <c r="AC287" s="4">
        <f ca="1">_xll.DBRW($B$1,$B$2,$B$7,$B$3,$B$4,$B$5,$F287,$B$6,AC$10,$A287,$B287)</f>
        <v>0</v>
      </c>
      <c r="AD287" s="4">
        <f ca="1">_xll.DBRW($B$1,$B$2,$B$7,$B$3,$B$4,$B$5,$F287,$B$6,AD$10,$A287,$B287)</f>
        <v>0</v>
      </c>
      <c r="AE287" s="4">
        <f ca="1">_xll.DBRW($B$1,$B$2,$B$7,$B$3,$B$4,$B$5,$F287,$B$6,AE$10,$A287,$B287)</f>
        <v>0</v>
      </c>
    </row>
    <row r="288" spans="1:31">
      <c r="A288" s="1" t="s">
        <v>150</v>
      </c>
      <c r="B288" s="5" t="s">
        <v>212</v>
      </c>
      <c r="C288" s="5" t="s">
        <v>213</v>
      </c>
      <c r="D288" s="5" t="s">
        <v>211</v>
      </c>
      <c r="E288" s="5" t="s">
        <v>21</v>
      </c>
      <c r="F288" s="5" t="s">
        <v>314</v>
      </c>
      <c r="G288" s="6"/>
      <c r="H288" s="6"/>
      <c r="I288" s="6"/>
      <c r="J288" s="6"/>
      <c r="K288" s="6"/>
      <c r="L288" s="4">
        <f ca="1">_xll.DBRW($B$1,$B$2,$B$7,$B$3,$B$4,$B$5,$F288,$B$6,L$10,$A288,$B288)</f>
        <v>0</v>
      </c>
      <c r="M288" s="4">
        <f ca="1">_xll.DBRW($B$1,$B$2,$B$7,$B$3,$B$4,$B$5,$F288,$B$6,M$10,$A288,$B288)</f>
        <v>0</v>
      </c>
      <c r="N288" s="4">
        <f ca="1">_xll.DBRW($B$1,$B$2,$B$7,$B$3,$B$4,$B$5,$F288,$B$6,N$10,$A288,$B288)</f>
        <v>0</v>
      </c>
      <c r="O288" s="4">
        <f ca="1">_xll.DBRW($B$1,$B$2,$B$7,$B$3,$B$4,$B$5,$F288,$B$6,O$10,$A288,$B288)</f>
        <v>0</v>
      </c>
      <c r="P288" s="4">
        <f ca="1">_xll.DBRW($B$1,$B$2,$B$7,$B$3,$B$4,$B$5,$F288,$B$6,P$10,$A288,$B288)</f>
        <v>0</v>
      </c>
      <c r="Q288" s="4">
        <f ca="1">_xll.DBRW($B$1,$B$2,$B$7,$B$3,$B$4,$B$5,$F288,$B$6,Q$10,$A288,$B288)</f>
        <v>0</v>
      </c>
      <c r="R288" s="4">
        <f ca="1">_xll.DBRW($B$1,$B$2,$B$7,$B$3,$B$4,$B$5,$F288,$B$6,R$10,$A288,$B288)</f>
        <v>0</v>
      </c>
      <c r="S288" s="4">
        <f ca="1">_xll.DBRW($B$1,$B$2,$B$7,$B$3,$B$4,$B$5,$F288,$B$6,S$10,$A288,$B288)</f>
        <v>0</v>
      </c>
      <c r="T288" s="4">
        <f ca="1">_xll.DBRW($B$1,$B$2,$B$7,$B$3,$B$4,$B$5,$F288,$B$6,T$10,$A288,$B288)</f>
        <v>0</v>
      </c>
      <c r="U288" s="4">
        <f ca="1">_xll.DBRW($B$1,$B$2,$B$7,$B$3,$B$4,$B$5,$F288,$B$6,U$10,$A288,$B288)</f>
        <v>0</v>
      </c>
      <c r="V288" s="4">
        <f ca="1">_xll.DBRW($B$1,$B$2,$B$7,$B$3,$B$4,$B$5,$F288,$B$6,V$10,$A288,$B288)</f>
        <v>0</v>
      </c>
      <c r="W288" s="4">
        <f ca="1">_xll.DBRW($B$1,$B$2,$B$7,$B$3,$B$4,$B$5,$F288,$B$6,W$10,$A288,$B288)</f>
        <v>0</v>
      </c>
      <c r="X288" s="4">
        <f ca="1">_xll.DBRW($B$1,$B$2,$B$7,$B$3,$B$4,$B$5,$F288,$B$6,X$10,$A288,$B288)</f>
        <v>0</v>
      </c>
      <c r="Y288" s="4">
        <f ca="1">_xll.DBRW($B$1,$B$2,$B$7,$B$3,$B$4,$B$5,$F288,$B$6,Y$10,$A288,$B288)</f>
        <v>0</v>
      </c>
      <c r="Z288" s="4">
        <f ca="1">_xll.DBRW($B$1,$B$2,$B$7,$B$3,$B$4,$B$5,$F288,$B$6,Z$10,$A288,$B288)</f>
        <v>0</v>
      </c>
      <c r="AA288" s="4">
        <f ca="1">_xll.DBRW($B$1,$B$2,$B$7,$B$3,$B$4,$B$5,$F288,$B$6,AA$10,$A288,$B288)</f>
        <v>0</v>
      </c>
      <c r="AB288" s="4">
        <f ca="1">_xll.DBRW($B$1,$B$2,$B$7,$B$3,$B$4,$B$5,$F288,$B$6,AB$10,$A288,$B288)</f>
        <v>0</v>
      </c>
      <c r="AC288" s="4">
        <f ca="1">_xll.DBRW($B$1,$B$2,$B$7,$B$3,$B$4,$B$5,$F288,$B$6,AC$10,$A288,$B288)</f>
        <v>0</v>
      </c>
      <c r="AD288" s="4">
        <f ca="1">_xll.DBRW($B$1,$B$2,$B$7,$B$3,$B$4,$B$5,$F288,$B$6,AD$10,$A288,$B288)</f>
        <v>0</v>
      </c>
      <c r="AE288" s="4">
        <f ca="1">_xll.DBRW($B$1,$B$2,$B$7,$B$3,$B$4,$B$5,$F288,$B$6,AE$10,$A288,$B288)</f>
        <v>0</v>
      </c>
    </row>
    <row r="289" spans="1:31">
      <c r="A289" s="1" t="s">
        <v>150</v>
      </c>
      <c r="B289" s="5" t="s">
        <v>214</v>
      </c>
      <c r="C289" s="5" t="s">
        <v>187</v>
      </c>
      <c r="D289" s="5" t="s">
        <v>21</v>
      </c>
      <c r="E289" s="5" t="s">
        <v>59</v>
      </c>
      <c r="F289" s="5" t="s">
        <v>314</v>
      </c>
      <c r="G289" s="6"/>
      <c r="H289" s="6"/>
      <c r="I289" s="6"/>
      <c r="J289" s="6"/>
      <c r="K289" s="6"/>
      <c r="L289" s="4">
        <f ca="1">_xll.DBRW($B$1,$B$2,$B$7,$B$3,$B$4,$B$5,$F289,$B$6,L$10,$A289,$B289)</f>
        <v>0</v>
      </c>
      <c r="M289" s="4">
        <f ca="1">_xll.DBRW($B$1,$B$2,$B$7,$B$3,$B$4,$B$5,$F289,$B$6,M$10,$A289,$B289)</f>
        <v>0</v>
      </c>
      <c r="N289" s="4">
        <f ca="1">_xll.DBRW($B$1,$B$2,$B$7,$B$3,$B$4,$B$5,$F289,$B$6,N$10,$A289,$B289)</f>
        <v>0</v>
      </c>
      <c r="O289" s="4">
        <f ca="1">_xll.DBRW($B$1,$B$2,$B$7,$B$3,$B$4,$B$5,$F289,$B$6,O$10,$A289,$B289)</f>
        <v>0</v>
      </c>
      <c r="P289" s="4">
        <f ca="1">_xll.DBRW($B$1,$B$2,$B$7,$B$3,$B$4,$B$5,$F289,$B$6,P$10,$A289,$B289)</f>
        <v>0</v>
      </c>
      <c r="Q289" s="4">
        <f ca="1">_xll.DBRW($B$1,$B$2,$B$7,$B$3,$B$4,$B$5,$F289,$B$6,Q$10,$A289,$B289)</f>
        <v>0</v>
      </c>
      <c r="R289" s="4">
        <f ca="1">_xll.DBRW($B$1,$B$2,$B$7,$B$3,$B$4,$B$5,$F289,$B$6,R$10,$A289,$B289)</f>
        <v>0</v>
      </c>
      <c r="S289" s="4">
        <f ca="1">_xll.DBRW($B$1,$B$2,$B$7,$B$3,$B$4,$B$5,$F289,$B$6,S$10,$A289,$B289)</f>
        <v>0</v>
      </c>
      <c r="T289" s="4">
        <f ca="1">_xll.DBRW($B$1,$B$2,$B$7,$B$3,$B$4,$B$5,$F289,$B$6,T$10,$A289,$B289)</f>
        <v>0</v>
      </c>
      <c r="U289" s="4">
        <f ca="1">_xll.DBRW($B$1,$B$2,$B$7,$B$3,$B$4,$B$5,$F289,$B$6,U$10,$A289,$B289)</f>
        <v>0</v>
      </c>
      <c r="V289" s="4">
        <f ca="1">_xll.DBRW($B$1,$B$2,$B$7,$B$3,$B$4,$B$5,$F289,$B$6,V$10,$A289,$B289)</f>
        <v>0</v>
      </c>
      <c r="W289" s="4">
        <f ca="1">_xll.DBRW($B$1,$B$2,$B$7,$B$3,$B$4,$B$5,$F289,$B$6,W$10,$A289,$B289)</f>
        <v>0</v>
      </c>
      <c r="X289" s="4">
        <f ca="1">_xll.DBRW($B$1,$B$2,$B$7,$B$3,$B$4,$B$5,$F289,$B$6,X$10,$A289,$B289)</f>
        <v>0</v>
      </c>
      <c r="Y289" s="4">
        <f ca="1">_xll.DBRW($B$1,$B$2,$B$7,$B$3,$B$4,$B$5,$F289,$B$6,Y$10,$A289,$B289)</f>
        <v>0</v>
      </c>
      <c r="Z289" s="4">
        <f ca="1">_xll.DBRW($B$1,$B$2,$B$7,$B$3,$B$4,$B$5,$F289,$B$6,Z$10,$A289,$B289)</f>
        <v>0</v>
      </c>
      <c r="AA289" s="4">
        <f ca="1">_xll.DBRW($B$1,$B$2,$B$7,$B$3,$B$4,$B$5,$F289,$B$6,AA$10,$A289,$B289)</f>
        <v>0</v>
      </c>
      <c r="AB289" s="4">
        <f ca="1">_xll.DBRW($B$1,$B$2,$B$7,$B$3,$B$4,$B$5,$F289,$B$6,AB$10,$A289,$B289)</f>
        <v>0</v>
      </c>
      <c r="AC289" s="4">
        <f ca="1">_xll.DBRW($B$1,$B$2,$B$7,$B$3,$B$4,$B$5,$F289,$B$6,AC$10,$A289,$B289)</f>
        <v>0</v>
      </c>
      <c r="AD289" s="4">
        <f ca="1">_xll.DBRW($B$1,$B$2,$B$7,$B$3,$B$4,$B$5,$F289,$B$6,AD$10,$A289,$B289)</f>
        <v>0</v>
      </c>
      <c r="AE289" s="4">
        <f ca="1">_xll.DBRW($B$1,$B$2,$B$7,$B$3,$B$4,$B$5,$F289,$B$6,AE$10,$A289,$B289)</f>
        <v>0</v>
      </c>
    </row>
    <row r="290" spans="1:31">
      <c r="A290" s="1" t="s">
        <v>150</v>
      </c>
      <c r="B290" s="5" t="s">
        <v>63</v>
      </c>
      <c r="C290" s="5" t="s">
        <v>62</v>
      </c>
      <c r="D290" s="5" t="s">
        <v>59</v>
      </c>
      <c r="E290" s="5" t="s">
        <v>21</v>
      </c>
      <c r="F290" s="5" t="s">
        <v>314</v>
      </c>
      <c r="G290" s="6"/>
      <c r="H290" s="6"/>
      <c r="I290" s="6"/>
      <c r="J290" s="6"/>
      <c r="K290" s="6"/>
      <c r="L290" s="4">
        <f ca="1">_xll.DBRW($B$1,$B$2,$B$7,$B$3,$B$4,$B$5,$F290,$B$6,L$10,$A290,$B290)</f>
        <v>0</v>
      </c>
      <c r="M290" s="4">
        <f ca="1">_xll.DBRW($B$1,$B$2,$B$7,$B$3,$B$4,$B$5,$F290,$B$6,M$10,$A290,$B290)</f>
        <v>0</v>
      </c>
      <c r="N290" s="4">
        <f ca="1">_xll.DBRW($B$1,$B$2,$B$7,$B$3,$B$4,$B$5,$F290,$B$6,N$10,$A290,$B290)</f>
        <v>0</v>
      </c>
      <c r="O290" s="4">
        <f ca="1">_xll.DBRW($B$1,$B$2,$B$7,$B$3,$B$4,$B$5,$F290,$B$6,O$10,$A290,$B290)</f>
        <v>0</v>
      </c>
      <c r="P290" s="4">
        <f ca="1">_xll.DBRW($B$1,$B$2,$B$7,$B$3,$B$4,$B$5,$F290,$B$6,P$10,$A290,$B290)</f>
        <v>0</v>
      </c>
      <c r="Q290" s="4">
        <f ca="1">_xll.DBRW($B$1,$B$2,$B$7,$B$3,$B$4,$B$5,$F290,$B$6,Q$10,$A290,$B290)</f>
        <v>0</v>
      </c>
      <c r="R290" s="4">
        <f ca="1">_xll.DBRW($B$1,$B$2,$B$7,$B$3,$B$4,$B$5,$F290,$B$6,R$10,$A290,$B290)</f>
        <v>0</v>
      </c>
      <c r="S290" s="4">
        <f ca="1">_xll.DBRW($B$1,$B$2,$B$7,$B$3,$B$4,$B$5,$F290,$B$6,S$10,$A290,$B290)</f>
        <v>0</v>
      </c>
      <c r="T290" s="4">
        <f ca="1">_xll.DBRW($B$1,$B$2,$B$7,$B$3,$B$4,$B$5,$F290,$B$6,T$10,$A290,$B290)</f>
        <v>0</v>
      </c>
      <c r="U290" s="4">
        <f ca="1">_xll.DBRW($B$1,$B$2,$B$7,$B$3,$B$4,$B$5,$F290,$B$6,U$10,$A290,$B290)</f>
        <v>0</v>
      </c>
      <c r="V290" s="4">
        <f ca="1">_xll.DBRW($B$1,$B$2,$B$7,$B$3,$B$4,$B$5,$F290,$B$6,V$10,$A290,$B290)</f>
        <v>0</v>
      </c>
      <c r="W290" s="4">
        <f ca="1">_xll.DBRW($B$1,$B$2,$B$7,$B$3,$B$4,$B$5,$F290,$B$6,W$10,$A290,$B290)</f>
        <v>0</v>
      </c>
      <c r="X290" s="4">
        <f ca="1">_xll.DBRW($B$1,$B$2,$B$7,$B$3,$B$4,$B$5,$F290,$B$6,X$10,$A290,$B290)</f>
        <v>0</v>
      </c>
      <c r="Y290" s="4">
        <f ca="1">_xll.DBRW($B$1,$B$2,$B$7,$B$3,$B$4,$B$5,$F290,$B$6,Y$10,$A290,$B290)</f>
        <v>0</v>
      </c>
      <c r="Z290" s="4">
        <f ca="1">_xll.DBRW($B$1,$B$2,$B$7,$B$3,$B$4,$B$5,$F290,$B$6,Z$10,$A290,$B290)</f>
        <v>0</v>
      </c>
      <c r="AA290" s="4">
        <f ca="1">_xll.DBRW($B$1,$B$2,$B$7,$B$3,$B$4,$B$5,$F290,$B$6,AA$10,$A290,$B290)</f>
        <v>0</v>
      </c>
      <c r="AB290" s="4">
        <f ca="1">_xll.DBRW($B$1,$B$2,$B$7,$B$3,$B$4,$B$5,$F290,$B$6,AB$10,$A290,$B290)</f>
        <v>0</v>
      </c>
      <c r="AC290" s="4">
        <f ca="1">_xll.DBRW($B$1,$B$2,$B$7,$B$3,$B$4,$B$5,$F290,$B$6,AC$10,$A290,$B290)</f>
        <v>0</v>
      </c>
      <c r="AD290" s="4">
        <f ca="1">_xll.DBRW($B$1,$B$2,$B$7,$B$3,$B$4,$B$5,$F290,$B$6,AD$10,$A290,$B290)</f>
        <v>0</v>
      </c>
      <c r="AE290" s="4">
        <f ca="1">_xll.DBRW($B$1,$B$2,$B$7,$B$3,$B$4,$B$5,$F290,$B$6,AE$10,$A290,$B290)</f>
        <v>0</v>
      </c>
    </row>
    <row r="291" spans="1:31">
      <c r="A291" s="1" t="s">
        <v>150</v>
      </c>
      <c r="B291" s="5" t="s">
        <v>215</v>
      </c>
      <c r="C291" s="5" t="s">
        <v>159</v>
      </c>
      <c r="D291" s="5" t="s">
        <v>21</v>
      </c>
      <c r="E291" s="5" t="s">
        <v>38</v>
      </c>
      <c r="F291" s="5" t="s">
        <v>314</v>
      </c>
      <c r="G291" s="6"/>
      <c r="H291" s="6"/>
      <c r="I291" s="6"/>
      <c r="J291" s="6"/>
      <c r="K291" s="6"/>
      <c r="L291" s="4">
        <f ca="1">_xll.DBRW($B$1,$B$2,$B$7,$B$3,$B$4,$B$5,$F291,$B$6,L$10,$A291,$B291)</f>
        <v>0</v>
      </c>
      <c r="M291" s="4">
        <f ca="1">_xll.DBRW($B$1,$B$2,$B$7,$B$3,$B$4,$B$5,$F291,$B$6,M$10,$A291,$B291)</f>
        <v>0</v>
      </c>
      <c r="N291" s="4">
        <f ca="1">_xll.DBRW($B$1,$B$2,$B$7,$B$3,$B$4,$B$5,$F291,$B$6,N$10,$A291,$B291)</f>
        <v>2</v>
      </c>
      <c r="O291" s="4">
        <f ca="1">_xll.DBRW($B$1,$B$2,$B$7,$B$3,$B$4,$B$5,$F291,$B$6,O$10,$A291,$B291)</f>
        <v>1</v>
      </c>
      <c r="P291" s="4">
        <f ca="1">_xll.DBRW($B$1,$B$2,$B$7,$B$3,$B$4,$B$5,$F291,$B$6,P$10,$A291,$B291)</f>
        <v>0</v>
      </c>
      <c r="Q291" s="4">
        <f ca="1">_xll.DBRW($B$1,$B$2,$B$7,$B$3,$B$4,$B$5,$F291,$B$6,Q$10,$A291,$B291)</f>
        <v>5</v>
      </c>
      <c r="R291" s="4">
        <f ca="1">_xll.DBRW($B$1,$B$2,$B$7,$B$3,$B$4,$B$5,$F291,$B$6,R$10,$A291,$B291)</f>
        <v>9</v>
      </c>
      <c r="S291" s="4">
        <f ca="1">_xll.DBRW($B$1,$B$2,$B$7,$B$3,$B$4,$B$5,$F291,$B$6,S$10,$A291,$B291)</f>
        <v>14</v>
      </c>
      <c r="T291" s="4">
        <f ca="1">_xll.DBRW($B$1,$B$2,$B$7,$B$3,$B$4,$B$5,$F291,$B$6,T$10,$A291,$B291)</f>
        <v>8</v>
      </c>
      <c r="U291" s="4">
        <f ca="1">_xll.DBRW($B$1,$B$2,$B$7,$B$3,$B$4,$B$5,$F291,$B$6,U$10,$A291,$B291)</f>
        <v>8</v>
      </c>
      <c r="V291" s="4">
        <f ca="1">_xll.DBRW($B$1,$B$2,$B$7,$B$3,$B$4,$B$5,$F291,$B$6,V$10,$A291,$B291)</f>
        <v>9</v>
      </c>
      <c r="W291" s="4">
        <f ca="1">_xll.DBRW($B$1,$B$2,$B$7,$B$3,$B$4,$B$5,$F291,$B$6,W$10,$A291,$B291)</f>
        <v>4</v>
      </c>
      <c r="X291" s="4">
        <f ca="1">_xll.DBRW($B$1,$B$2,$B$7,$B$3,$B$4,$B$5,$F291,$B$6,X$10,$A291,$B291)</f>
        <v>4</v>
      </c>
      <c r="Y291" s="4">
        <f ca="1">_xll.DBRW($B$1,$B$2,$B$7,$B$3,$B$4,$B$5,$F291,$B$6,Y$10,$A291,$B291)</f>
        <v>5</v>
      </c>
      <c r="Z291" s="4">
        <f ca="1">_xll.DBRW($B$1,$B$2,$B$7,$B$3,$B$4,$B$5,$F291,$B$6,Z$10,$A291,$B291)</f>
        <v>4</v>
      </c>
      <c r="AA291" s="4">
        <f ca="1">_xll.DBRW($B$1,$B$2,$B$7,$B$3,$B$4,$B$5,$F291,$B$6,AA$10,$A291,$B291)</f>
        <v>5</v>
      </c>
      <c r="AB291" s="4">
        <f ca="1">_xll.DBRW($B$1,$B$2,$B$7,$B$3,$B$4,$B$5,$F291,$B$6,AB$10,$A291,$B291)</f>
        <v>4</v>
      </c>
      <c r="AC291" s="4">
        <f ca="1">_xll.DBRW($B$1,$B$2,$B$7,$B$3,$B$4,$B$5,$F291,$B$6,AC$10,$A291,$B291)</f>
        <v>5</v>
      </c>
      <c r="AD291" s="4">
        <f ca="1">_xll.DBRW($B$1,$B$2,$B$7,$B$3,$B$4,$B$5,$F291,$B$6,AD$10,$A291,$B291)</f>
        <v>9</v>
      </c>
      <c r="AE291" s="4">
        <f ca="1">_xll.DBRW($B$1,$B$2,$B$7,$B$3,$B$4,$B$5,$F291,$B$6,AE$10,$A291,$B291)</f>
        <v>9</v>
      </c>
    </row>
    <row r="292" spans="1:31">
      <c r="A292" s="1" t="s">
        <v>150</v>
      </c>
      <c r="B292" s="5" t="s">
        <v>43</v>
      </c>
      <c r="C292" s="5" t="s">
        <v>37</v>
      </c>
      <c r="D292" s="5" t="s">
        <v>38</v>
      </c>
      <c r="E292" s="5" t="s">
        <v>21</v>
      </c>
      <c r="F292" s="5" t="s">
        <v>314</v>
      </c>
      <c r="G292" s="6"/>
      <c r="H292" s="6"/>
      <c r="I292" s="6"/>
      <c r="J292" s="6"/>
      <c r="K292" s="6"/>
      <c r="L292" s="4">
        <f ca="1">_xll.DBRW($B$1,$B$2,$B$7,$B$3,$B$4,$B$5,$F292,$B$6,L$10,$A292,$B292)</f>
        <v>3</v>
      </c>
      <c r="M292" s="4">
        <f ca="1">_xll.DBRW($B$1,$B$2,$B$7,$B$3,$B$4,$B$5,$F292,$B$6,M$10,$A292,$B292)</f>
        <v>1</v>
      </c>
      <c r="N292" s="4">
        <f ca="1">_xll.DBRW($B$1,$B$2,$B$7,$B$3,$B$4,$B$5,$F292,$B$6,N$10,$A292,$B292)</f>
        <v>1</v>
      </c>
      <c r="O292" s="4">
        <f ca="1">_xll.DBRW($B$1,$B$2,$B$7,$B$3,$B$4,$B$5,$F292,$B$6,O$10,$A292,$B292)</f>
        <v>8</v>
      </c>
      <c r="P292" s="4">
        <f ca="1">_xll.DBRW($B$1,$B$2,$B$7,$B$3,$B$4,$B$5,$F292,$B$6,P$10,$A292,$B292)</f>
        <v>1</v>
      </c>
      <c r="Q292" s="4">
        <f ca="1">_xll.DBRW($B$1,$B$2,$B$7,$B$3,$B$4,$B$5,$F292,$B$6,Q$10,$A292,$B292)</f>
        <v>4</v>
      </c>
      <c r="R292" s="4">
        <f ca="1">_xll.DBRW($B$1,$B$2,$B$7,$B$3,$B$4,$B$5,$F292,$B$6,R$10,$A292,$B292)</f>
        <v>9</v>
      </c>
      <c r="S292" s="4">
        <f ca="1">_xll.DBRW($B$1,$B$2,$B$7,$B$3,$B$4,$B$5,$F292,$B$6,S$10,$A292,$B292)</f>
        <v>14</v>
      </c>
      <c r="T292" s="4">
        <f ca="1">_xll.DBRW($B$1,$B$2,$B$7,$B$3,$B$4,$B$5,$F292,$B$6,T$10,$A292,$B292)</f>
        <v>4</v>
      </c>
      <c r="U292" s="4">
        <f ca="1">_xll.DBRW($B$1,$B$2,$B$7,$B$3,$B$4,$B$5,$F292,$B$6,U$10,$A292,$B292)</f>
        <v>4</v>
      </c>
      <c r="V292" s="4">
        <f ca="1">_xll.DBRW($B$1,$B$2,$B$7,$B$3,$B$4,$B$5,$F292,$B$6,V$10,$A292,$B292)</f>
        <v>5</v>
      </c>
      <c r="W292" s="4">
        <f ca="1">_xll.DBRW($B$1,$B$2,$B$7,$B$3,$B$4,$B$5,$F292,$B$6,W$10,$A292,$B292)</f>
        <v>4</v>
      </c>
      <c r="X292" s="4">
        <f ca="1">_xll.DBRW($B$1,$B$2,$B$7,$B$3,$B$4,$B$5,$F292,$B$6,X$10,$A292,$B292)</f>
        <v>4</v>
      </c>
      <c r="Y292" s="4">
        <f ca="1">_xll.DBRW($B$1,$B$2,$B$7,$B$3,$B$4,$B$5,$F292,$B$6,Y$10,$A292,$B292)</f>
        <v>5</v>
      </c>
      <c r="Z292" s="4">
        <f ca="1">_xll.DBRW($B$1,$B$2,$B$7,$B$3,$B$4,$B$5,$F292,$B$6,Z$10,$A292,$B292)</f>
        <v>4</v>
      </c>
      <c r="AA292" s="4">
        <f ca="1">_xll.DBRW($B$1,$B$2,$B$7,$B$3,$B$4,$B$5,$F292,$B$6,AA$10,$A292,$B292)</f>
        <v>5</v>
      </c>
      <c r="AB292" s="4">
        <f ca="1">_xll.DBRW($B$1,$B$2,$B$7,$B$3,$B$4,$B$5,$F292,$B$6,AB$10,$A292,$B292)</f>
        <v>4</v>
      </c>
      <c r="AC292" s="4">
        <f ca="1">_xll.DBRW($B$1,$B$2,$B$7,$B$3,$B$4,$B$5,$F292,$B$6,AC$10,$A292,$B292)</f>
        <v>4</v>
      </c>
      <c r="AD292" s="4">
        <f ca="1">_xll.DBRW($B$1,$B$2,$B$7,$B$3,$B$4,$B$5,$F292,$B$6,AD$10,$A292,$B292)</f>
        <v>4</v>
      </c>
      <c r="AE292" s="4">
        <f ca="1">_xll.DBRW($B$1,$B$2,$B$7,$B$3,$B$4,$B$5,$F292,$B$6,AE$10,$A292,$B292)</f>
        <v>5</v>
      </c>
    </row>
    <row r="293" spans="1:31">
      <c r="A293" s="1" t="s">
        <v>150</v>
      </c>
      <c r="B293" s="5" t="s">
        <v>216</v>
      </c>
      <c r="C293" s="5" t="s">
        <v>163</v>
      </c>
      <c r="D293" s="5" t="s">
        <v>21</v>
      </c>
      <c r="E293" s="5" t="s">
        <v>54</v>
      </c>
      <c r="F293" s="5" t="s">
        <v>314</v>
      </c>
      <c r="G293" s="6"/>
      <c r="H293" s="6"/>
      <c r="I293" s="6"/>
      <c r="J293" s="6"/>
      <c r="K293" s="6"/>
      <c r="L293" s="4">
        <f ca="1">_xll.DBRW($B$1,$B$2,$B$7,$B$3,$B$4,$B$5,$F293,$B$6,L$10,$A293,$B293)</f>
        <v>0</v>
      </c>
      <c r="M293" s="4">
        <f ca="1">_xll.DBRW($B$1,$B$2,$B$7,$B$3,$B$4,$B$5,$F293,$B$6,M$10,$A293,$B293)</f>
        <v>0</v>
      </c>
      <c r="N293" s="4">
        <f ca="1">_xll.DBRW($B$1,$B$2,$B$7,$B$3,$B$4,$B$5,$F293,$B$6,N$10,$A293,$B293)</f>
        <v>0</v>
      </c>
      <c r="O293" s="4">
        <f ca="1">_xll.DBRW($B$1,$B$2,$B$7,$B$3,$B$4,$B$5,$F293,$B$6,O$10,$A293,$B293)</f>
        <v>0</v>
      </c>
      <c r="P293" s="4">
        <f ca="1">_xll.DBRW($B$1,$B$2,$B$7,$B$3,$B$4,$B$5,$F293,$B$6,P$10,$A293,$B293)</f>
        <v>0</v>
      </c>
      <c r="Q293" s="4">
        <f ca="1">_xll.DBRW($B$1,$B$2,$B$7,$B$3,$B$4,$B$5,$F293,$B$6,Q$10,$A293,$B293)</f>
        <v>0</v>
      </c>
      <c r="R293" s="4">
        <f ca="1">_xll.DBRW($B$1,$B$2,$B$7,$B$3,$B$4,$B$5,$F293,$B$6,R$10,$A293,$B293)</f>
        <v>0</v>
      </c>
      <c r="S293" s="4">
        <f ca="1">_xll.DBRW($B$1,$B$2,$B$7,$B$3,$B$4,$B$5,$F293,$B$6,S$10,$A293,$B293)</f>
        <v>0</v>
      </c>
      <c r="T293" s="4">
        <f ca="1">_xll.DBRW($B$1,$B$2,$B$7,$B$3,$B$4,$B$5,$F293,$B$6,T$10,$A293,$B293)</f>
        <v>0</v>
      </c>
      <c r="U293" s="4">
        <f ca="1">_xll.DBRW($B$1,$B$2,$B$7,$B$3,$B$4,$B$5,$F293,$B$6,U$10,$A293,$B293)</f>
        <v>0</v>
      </c>
      <c r="V293" s="4">
        <f ca="1">_xll.DBRW($B$1,$B$2,$B$7,$B$3,$B$4,$B$5,$F293,$B$6,V$10,$A293,$B293)</f>
        <v>0</v>
      </c>
      <c r="W293" s="4">
        <f ca="1">_xll.DBRW($B$1,$B$2,$B$7,$B$3,$B$4,$B$5,$F293,$B$6,W$10,$A293,$B293)</f>
        <v>0</v>
      </c>
      <c r="X293" s="4">
        <f ca="1">_xll.DBRW($B$1,$B$2,$B$7,$B$3,$B$4,$B$5,$F293,$B$6,X$10,$A293,$B293)</f>
        <v>0</v>
      </c>
      <c r="Y293" s="4">
        <f ca="1">_xll.DBRW($B$1,$B$2,$B$7,$B$3,$B$4,$B$5,$F293,$B$6,Y$10,$A293,$B293)</f>
        <v>0</v>
      </c>
      <c r="Z293" s="4">
        <f ca="1">_xll.DBRW($B$1,$B$2,$B$7,$B$3,$B$4,$B$5,$F293,$B$6,Z$10,$A293,$B293)</f>
        <v>0</v>
      </c>
      <c r="AA293" s="4">
        <f ca="1">_xll.DBRW($B$1,$B$2,$B$7,$B$3,$B$4,$B$5,$F293,$B$6,AA$10,$A293,$B293)</f>
        <v>0</v>
      </c>
      <c r="AB293" s="4">
        <f ca="1">_xll.DBRW($B$1,$B$2,$B$7,$B$3,$B$4,$B$5,$F293,$B$6,AB$10,$A293,$B293)</f>
        <v>0</v>
      </c>
      <c r="AC293" s="4">
        <f ca="1">_xll.DBRW($B$1,$B$2,$B$7,$B$3,$B$4,$B$5,$F293,$B$6,AC$10,$A293,$B293)</f>
        <v>0</v>
      </c>
      <c r="AD293" s="4">
        <f ca="1">_xll.DBRW($B$1,$B$2,$B$7,$B$3,$B$4,$B$5,$F293,$B$6,AD$10,$A293,$B293)</f>
        <v>0</v>
      </c>
      <c r="AE293" s="4">
        <f ca="1">_xll.DBRW($B$1,$B$2,$B$7,$B$3,$B$4,$B$5,$F293,$B$6,AE$10,$A293,$B293)</f>
        <v>0</v>
      </c>
    </row>
    <row r="294" spans="1:31">
      <c r="A294" s="1" t="s">
        <v>150</v>
      </c>
      <c r="B294" s="5" t="s">
        <v>56</v>
      </c>
      <c r="C294" s="5" t="s">
        <v>53</v>
      </c>
      <c r="D294" s="5" t="s">
        <v>54</v>
      </c>
      <c r="E294" s="5" t="s">
        <v>21</v>
      </c>
      <c r="F294" s="5" t="s">
        <v>314</v>
      </c>
      <c r="G294" s="6"/>
      <c r="H294" s="6"/>
      <c r="I294" s="6"/>
      <c r="J294" s="6"/>
      <c r="K294" s="6"/>
      <c r="L294" s="4">
        <f ca="1">_xll.DBRW($B$1,$B$2,$B$7,$B$3,$B$4,$B$5,$F294,$B$6,L$10,$A294,$B294)</f>
        <v>0</v>
      </c>
      <c r="M294" s="4">
        <f ca="1">_xll.DBRW($B$1,$B$2,$B$7,$B$3,$B$4,$B$5,$F294,$B$6,M$10,$A294,$B294)</f>
        <v>0</v>
      </c>
      <c r="N294" s="4">
        <f ca="1">_xll.DBRW($B$1,$B$2,$B$7,$B$3,$B$4,$B$5,$F294,$B$6,N$10,$A294,$B294)</f>
        <v>0</v>
      </c>
      <c r="O294" s="4">
        <f ca="1">_xll.DBRW($B$1,$B$2,$B$7,$B$3,$B$4,$B$5,$F294,$B$6,O$10,$A294,$B294)</f>
        <v>0</v>
      </c>
      <c r="P294" s="4">
        <f ca="1">_xll.DBRW($B$1,$B$2,$B$7,$B$3,$B$4,$B$5,$F294,$B$6,P$10,$A294,$B294)</f>
        <v>0</v>
      </c>
      <c r="Q294" s="4">
        <f ca="1">_xll.DBRW($B$1,$B$2,$B$7,$B$3,$B$4,$B$5,$F294,$B$6,Q$10,$A294,$B294)</f>
        <v>0</v>
      </c>
      <c r="R294" s="4">
        <f ca="1">_xll.DBRW($B$1,$B$2,$B$7,$B$3,$B$4,$B$5,$F294,$B$6,R$10,$A294,$B294)</f>
        <v>0</v>
      </c>
      <c r="S294" s="4">
        <f ca="1">_xll.DBRW($B$1,$B$2,$B$7,$B$3,$B$4,$B$5,$F294,$B$6,S$10,$A294,$B294)</f>
        <v>0</v>
      </c>
      <c r="T294" s="4">
        <f ca="1">_xll.DBRW($B$1,$B$2,$B$7,$B$3,$B$4,$B$5,$F294,$B$6,T$10,$A294,$B294)</f>
        <v>0</v>
      </c>
      <c r="U294" s="4">
        <f ca="1">_xll.DBRW($B$1,$B$2,$B$7,$B$3,$B$4,$B$5,$F294,$B$6,U$10,$A294,$B294)</f>
        <v>0</v>
      </c>
      <c r="V294" s="4">
        <f ca="1">_xll.DBRW($B$1,$B$2,$B$7,$B$3,$B$4,$B$5,$F294,$B$6,V$10,$A294,$B294)</f>
        <v>0</v>
      </c>
      <c r="W294" s="4">
        <f ca="1">_xll.DBRW($B$1,$B$2,$B$7,$B$3,$B$4,$B$5,$F294,$B$6,W$10,$A294,$B294)</f>
        <v>0</v>
      </c>
      <c r="X294" s="4">
        <f ca="1">_xll.DBRW($B$1,$B$2,$B$7,$B$3,$B$4,$B$5,$F294,$B$6,X$10,$A294,$B294)</f>
        <v>0</v>
      </c>
      <c r="Y294" s="4">
        <f ca="1">_xll.DBRW($B$1,$B$2,$B$7,$B$3,$B$4,$B$5,$F294,$B$6,Y$10,$A294,$B294)</f>
        <v>0</v>
      </c>
      <c r="Z294" s="4">
        <f ca="1">_xll.DBRW($B$1,$B$2,$B$7,$B$3,$B$4,$B$5,$F294,$B$6,Z$10,$A294,$B294)</f>
        <v>0</v>
      </c>
      <c r="AA294" s="4">
        <f ca="1">_xll.DBRW($B$1,$B$2,$B$7,$B$3,$B$4,$B$5,$F294,$B$6,AA$10,$A294,$B294)</f>
        <v>0</v>
      </c>
      <c r="AB294" s="4">
        <f ca="1">_xll.DBRW($B$1,$B$2,$B$7,$B$3,$B$4,$B$5,$F294,$B$6,AB$10,$A294,$B294)</f>
        <v>0</v>
      </c>
      <c r="AC294" s="4">
        <f ca="1">_xll.DBRW($B$1,$B$2,$B$7,$B$3,$B$4,$B$5,$F294,$B$6,AC$10,$A294,$B294)</f>
        <v>0</v>
      </c>
      <c r="AD294" s="4">
        <f ca="1">_xll.DBRW($B$1,$B$2,$B$7,$B$3,$B$4,$B$5,$F294,$B$6,AD$10,$A294,$B294)</f>
        <v>0</v>
      </c>
      <c r="AE294" s="4">
        <f ca="1">_xll.DBRW($B$1,$B$2,$B$7,$B$3,$B$4,$B$5,$F294,$B$6,AE$10,$A294,$B294)</f>
        <v>0</v>
      </c>
    </row>
    <row r="295" spans="1:31">
      <c r="A295" s="1" t="s">
        <v>150</v>
      </c>
      <c r="B295" s="5" t="s">
        <v>217</v>
      </c>
      <c r="C295" s="5" t="s">
        <v>159</v>
      </c>
      <c r="D295" s="5" t="s">
        <v>21</v>
      </c>
      <c r="E295" s="5" t="s">
        <v>38</v>
      </c>
      <c r="F295" s="5" t="s">
        <v>314</v>
      </c>
      <c r="G295" s="6"/>
      <c r="H295" s="6"/>
      <c r="I295" s="6"/>
      <c r="J295" s="6"/>
      <c r="K295" s="6"/>
      <c r="L295" s="4">
        <f ca="1">_xll.DBRW($B$1,$B$2,$B$7,$B$3,$B$4,$B$5,$F295,$B$6,L$10,$A295,$B295)</f>
        <v>15</v>
      </c>
      <c r="M295" s="4">
        <f ca="1">_xll.DBRW($B$1,$B$2,$B$7,$B$3,$B$4,$B$5,$F295,$B$6,M$10,$A295,$B295)</f>
        <v>1</v>
      </c>
      <c r="N295" s="4">
        <f ca="1">_xll.DBRW($B$1,$B$2,$B$7,$B$3,$B$4,$B$5,$F295,$B$6,N$10,$A295,$B295)</f>
        <v>0</v>
      </c>
      <c r="O295" s="4">
        <f ca="1">_xll.DBRW($B$1,$B$2,$B$7,$B$3,$B$4,$B$5,$F295,$B$6,O$10,$A295,$B295)</f>
        <v>24</v>
      </c>
      <c r="P295" s="4">
        <f ca="1">_xll.DBRW($B$1,$B$2,$B$7,$B$3,$B$4,$B$5,$F295,$B$6,P$10,$A295,$B295)</f>
        <v>4</v>
      </c>
      <c r="Q295" s="4">
        <f ca="1">_xll.DBRW($B$1,$B$2,$B$7,$B$3,$B$4,$B$5,$F295,$B$6,Q$10,$A295,$B295)</f>
        <v>0</v>
      </c>
      <c r="R295" s="4">
        <f ca="1">_xll.DBRW($B$1,$B$2,$B$7,$B$3,$B$4,$B$5,$F295,$B$6,R$10,$A295,$B295)</f>
        <v>0</v>
      </c>
      <c r="S295" s="4">
        <f ca="1">_xll.DBRW($B$1,$B$2,$B$7,$B$3,$B$4,$B$5,$F295,$B$6,S$10,$A295,$B295)</f>
        <v>0</v>
      </c>
      <c r="T295" s="4">
        <f ca="1">_xll.DBRW($B$1,$B$2,$B$7,$B$3,$B$4,$B$5,$F295,$B$6,T$10,$A295,$B295)</f>
        <v>5</v>
      </c>
      <c r="U295" s="4">
        <f ca="1">_xll.DBRW($B$1,$B$2,$B$7,$B$3,$B$4,$B$5,$F295,$B$6,U$10,$A295,$B295)</f>
        <v>4</v>
      </c>
      <c r="V295" s="4">
        <f ca="1">_xll.DBRW($B$1,$B$2,$B$7,$B$3,$B$4,$B$5,$F295,$B$6,V$10,$A295,$B295)</f>
        <v>4</v>
      </c>
      <c r="W295" s="4">
        <f ca="1">_xll.DBRW($B$1,$B$2,$B$7,$B$3,$B$4,$B$5,$F295,$B$6,W$10,$A295,$B295)</f>
        <v>8</v>
      </c>
      <c r="X295" s="4">
        <f ca="1">_xll.DBRW($B$1,$B$2,$B$7,$B$3,$B$4,$B$5,$F295,$B$6,X$10,$A295,$B295)</f>
        <v>10</v>
      </c>
      <c r="Y295" s="4">
        <f ca="1">_xll.DBRW($B$1,$B$2,$B$7,$B$3,$B$4,$B$5,$F295,$B$6,Y$10,$A295,$B295)</f>
        <v>8</v>
      </c>
      <c r="Z295" s="4">
        <f ca="1">_xll.DBRW($B$1,$B$2,$B$7,$B$3,$B$4,$B$5,$F295,$B$6,Z$10,$A295,$B295)</f>
        <v>9</v>
      </c>
      <c r="AA295" s="4">
        <f ca="1">_xll.DBRW($B$1,$B$2,$B$7,$B$3,$B$4,$B$5,$F295,$B$6,AA$10,$A295,$B295)</f>
        <v>9</v>
      </c>
      <c r="AB295" s="4">
        <f ca="1">_xll.DBRW($B$1,$B$2,$B$7,$B$3,$B$4,$B$5,$F295,$B$6,AB$10,$A295,$B295)</f>
        <v>8</v>
      </c>
      <c r="AC295" s="4">
        <f ca="1">_xll.DBRW($B$1,$B$2,$B$7,$B$3,$B$4,$B$5,$F295,$B$6,AC$10,$A295,$B295)</f>
        <v>9</v>
      </c>
      <c r="AD295" s="4">
        <f ca="1">_xll.DBRW($B$1,$B$2,$B$7,$B$3,$B$4,$B$5,$F295,$B$6,AD$10,$A295,$B295)</f>
        <v>4</v>
      </c>
      <c r="AE295" s="4">
        <f ca="1">_xll.DBRW($B$1,$B$2,$B$7,$B$3,$B$4,$B$5,$F295,$B$6,AE$10,$A295,$B295)</f>
        <v>5</v>
      </c>
    </row>
    <row r="296" spans="1:31">
      <c r="A296" s="1" t="s">
        <v>150</v>
      </c>
      <c r="B296" s="5" t="s">
        <v>44</v>
      </c>
      <c r="C296" s="5" t="s">
        <v>37</v>
      </c>
      <c r="D296" s="5" t="s">
        <v>38</v>
      </c>
      <c r="E296" s="5" t="s">
        <v>21</v>
      </c>
      <c r="F296" s="5" t="s">
        <v>314</v>
      </c>
      <c r="G296" s="6"/>
      <c r="H296" s="6"/>
      <c r="I296" s="6"/>
      <c r="J296" s="6"/>
      <c r="K296" s="6"/>
      <c r="L296" s="4">
        <f ca="1">_xll.DBRW($B$1,$B$2,$B$7,$B$3,$B$4,$B$5,$F296,$B$6,L$10,$A296,$B296)</f>
        <v>23</v>
      </c>
      <c r="M296" s="4">
        <f ca="1">_xll.DBRW($B$1,$B$2,$B$7,$B$3,$B$4,$B$5,$F296,$B$6,M$10,$A296,$B296)</f>
        <v>22</v>
      </c>
      <c r="N296" s="4">
        <f ca="1">_xll.DBRW($B$1,$B$2,$B$7,$B$3,$B$4,$B$5,$F296,$B$6,N$10,$A296,$B296)</f>
        <v>26</v>
      </c>
      <c r="O296" s="4">
        <f ca="1">_xll.DBRW($B$1,$B$2,$B$7,$B$3,$B$4,$B$5,$F296,$B$6,O$10,$A296,$B296)</f>
        <v>23</v>
      </c>
      <c r="P296" s="4">
        <f ca="1">_xll.DBRW($B$1,$B$2,$B$7,$B$3,$B$4,$B$5,$F296,$B$6,P$10,$A296,$B296)</f>
        <v>28</v>
      </c>
      <c r="Q296" s="4">
        <f ca="1">_xll.DBRW($B$1,$B$2,$B$7,$B$3,$B$4,$B$5,$F296,$B$6,Q$10,$A296,$B296)</f>
        <v>19</v>
      </c>
      <c r="R296" s="4">
        <f ca="1">_xll.DBRW($B$1,$B$2,$B$7,$B$3,$B$4,$B$5,$F296,$B$6,R$10,$A296,$B296)</f>
        <v>0</v>
      </c>
      <c r="S296" s="4">
        <f ca="1">_xll.DBRW($B$1,$B$2,$B$7,$B$3,$B$4,$B$5,$F296,$B$6,S$10,$A296,$B296)</f>
        <v>0</v>
      </c>
      <c r="T296" s="4">
        <f ca="1">_xll.DBRW($B$1,$B$2,$B$7,$B$3,$B$4,$B$5,$F296,$B$6,T$10,$A296,$B296)</f>
        <v>17</v>
      </c>
      <c r="U296" s="4">
        <f ca="1">_xll.DBRW($B$1,$B$2,$B$7,$B$3,$B$4,$B$5,$F296,$B$6,U$10,$A296,$B296)</f>
        <v>16</v>
      </c>
      <c r="V296" s="4">
        <f ca="1">_xll.DBRW($B$1,$B$2,$B$7,$B$3,$B$4,$B$5,$F296,$B$6,V$10,$A296,$B296)</f>
        <v>17</v>
      </c>
      <c r="W296" s="4">
        <f ca="1">_xll.DBRW($B$1,$B$2,$B$7,$B$3,$B$4,$B$5,$F296,$B$6,W$10,$A296,$B296)</f>
        <v>8</v>
      </c>
      <c r="X296" s="4">
        <f ca="1">_xll.DBRW($B$1,$B$2,$B$7,$B$3,$B$4,$B$5,$F296,$B$6,X$10,$A296,$B296)</f>
        <v>10</v>
      </c>
      <c r="Y296" s="4">
        <f ca="1">_xll.DBRW($B$1,$B$2,$B$7,$B$3,$B$4,$B$5,$F296,$B$6,Y$10,$A296,$B296)</f>
        <v>8</v>
      </c>
      <c r="Z296" s="4">
        <f ca="1">_xll.DBRW($B$1,$B$2,$B$7,$B$3,$B$4,$B$5,$F296,$B$6,Z$10,$A296,$B296)</f>
        <v>9</v>
      </c>
      <c r="AA296" s="4">
        <f ca="1">_xll.DBRW($B$1,$B$2,$B$7,$B$3,$B$4,$B$5,$F296,$B$6,AA$10,$A296,$B296)</f>
        <v>9</v>
      </c>
      <c r="AB296" s="4">
        <f ca="1">_xll.DBRW($B$1,$B$2,$B$7,$B$3,$B$4,$B$5,$F296,$B$6,AB$10,$A296,$B296)</f>
        <v>8</v>
      </c>
      <c r="AC296" s="4">
        <f ca="1">_xll.DBRW($B$1,$B$2,$B$7,$B$3,$B$4,$B$5,$F296,$B$6,AC$10,$A296,$B296)</f>
        <v>11</v>
      </c>
      <c r="AD296" s="4">
        <f ca="1">_xll.DBRW($B$1,$B$2,$B$7,$B$3,$B$4,$B$5,$F296,$B$6,AD$10,$A296,$B296)</f>
        <v>18</v>
      </c>
      <c r="AE296" s="4">
        <f ca="1">_xll.DBRW($B$1,$B$2,$B$7,$B$3,$B$4,$B$5,$F296,$B$6,AE$10,$A296,$B296)</f>
        <v>17</v>
      </c>
    </row>
    <row r="297" spans="1:31">
      <c r="A297" s="1" t="s">
        <v>150</v>
      </c>
      <c r="B297" s="5" t="s">
        <v>218</v>
      </c>
      <c r="C297" s="5" t="s">
        <v>219</v>
      </c>
      <c r="D297" s="5" t="s">
        <v>21</v>
      </c>
      <c r="E297" s="5" t="s">
        <v>49</v>
      </c>
      <c r="F297" s="5" t="s">
        <v>314</v>
      </c>
      <c r="G297" s="6"/>
      <c r="H297" s="6"/>
      <c r="I297" s="6"/>
      <c r="J297" s="6"/>
      <c r="K297" s="6"/>
      <c r="L297" s="4">
        <f ca="1">_xll.DBRW($B$1,$B$2,$B$7,$B$3,$B$4,$B$5,$F297,$B$6,L$10,$A297,$B297)</f>
        <v>0</v>
      </c>
      <c r="M297" s="4">
        <f ca="1">_xll.DBRW($B$1,$B$2,$B$7,$B$3,$B$4,$B$5,$F297,$B$6,M$10,$A297,$B297)</f>
        <v>0</v>
      </c>
      <c r="N297" s="4">
        <f ca="1">_xll.DBRW($B$1,$B$2,$B$7,$B$3,$B$4,$B$5,$F297,$B$6,N$10,$A297,$B297)</f>
        <v>0</v>
      </c>
      <c r="O297" s="4">
        <f ca="1">_xll.DBRW($B$1,$B$2,$B$7,$B$3,$B$4,$B$5,$F297,$B$6,O$10,$A297,$B297)</f>
        <v>0</v>
      </c>
      <c r="P297" s="4">
        <f ca="1">_xll.DBRW($B$1,$B$2,$B$7,$B$3,$B$4,$B$5,$F297,$B$6,P$10,$A297,$B297)</f>
        <v>0</v>
      </c>
      <c r="Q297" s="4">
        <f ca="1">_xll.DBRW($B$1,$B$2,$B$7,$B$3,$B$4,$B$5,$F297,$B$6,Q$10,$A297,$B297)</f>
        <v>0</v>
      </c>
      <c r="R297" s="4">
        <f ca="1">_xll.DBRW($B$1,$B$2,$B$7,$B$3,$B$4,$B$5,$F297,$B$6,R$10,$A297,$B297)</f>
        <v>0</v>
      </c>
      <c r="S297" s="4">
        <f ca="1">_xll.DBRW($B$1,$B$2,$B$7,$B$3,$B$4,$B$5,$F297,$B$6,S$10,$A297,$B297)</f>
        <v>0</v>
      </c>
      <c r="T297" s="4">
        <f ca="1">_xll.DBRW($B$1,$B$2,$B$7,$B$3,$B$4,$B$5,$F297,$B$6,T$10,$A297,$B297)</f>
        <v>0</v>
      </c>
      <c r="U297" s="4">
        <f ca="1">_xll.DBRW($B$1,$B$2,$B$7,$B$3,$B$4,$B$5,$F297,$B$6,U$10,$A297,$B297)</f>
        <v>0</v>
      </c>
      <c r="V297" s="4">
        <f ca="1">_xll.DBRW($B$1,$B$2,$B$7,$B$3,$B$4,$B$5,$F297,$B$6,V$10,$A297,$B297)</f>
        <v>0</v>
      </c>
      <c r="W297" s="4">
        <f ca="1">_xll.DBRW($B$1,$B$2,$B$7,$B$3,$B$4,$B$5,$F297,$B$6,W$10,$A297,$B297)</f>
        <v>0</v>
      </c>
      <c r="X297" s="4">
        <f ca="1">_xll.DBRW($B$1,$B$2,$B$7,$B$3,$B$4,$B$5,$F297,$B$6,X$10,$A297,$B297)</f>
        <v>0</v>
      </c>
      <c r="Y297" s="4">
        <f ca="1">_xll.DBRW($B$1,$B$2,$B$7,$B$3,$B$4,$B$5,$F297,$B$6,Y$10,$A297,$B297)</f>
        <v>0</v>
      </c>
      <c r="Z297" s="4">
        <f ca="1">_xll.DBRW($B$1,$B$2,$B$7,$B$3,$B$4,$B$5,$F297,$B$6,Z$10,$A297,$B297)</f>
        <v>0</v>
      </c>
      <c r="AA297" s="4">
        <f ca="1">_xll.DBRW($B$1,$B$2,$B$7,$B$3,$B$4,$B$5,$F297,$B$6,AA$10,$A297,$B297)</f>
        <v>0</v>
      </c>
      <c r="AB297" s="4">
        <f ca="1">_xll.DBRW($B$1,$B$2,$B$7,$B$3,$B$4,$B$5,$F297,$B$6,AB$10,$A297,$B297)</f>
        <v>0</v>
      </c>
      <c r="AC297" s="4">
        <f ca="1">_xll.DBRW($B$1,$B$2,$B$7,$B$3,$B$4,$B$5,$F297,$B$6,AC$10,$A297,$B297)</f>
        <v>0</v>
      </c>
      <c r="AD297" s="4">
        <f ca="1">_xll.DBRW($B$1,$B$2,$B$7,$B$3,$B$4,$B$5,$F297,$B$6,AD$10,$A297,$B297)</f>
        <v>0</v>
      </c>
      <c r="AE297" s="4">
        <f ca="1">_xll.DBRW($B$1,$B$2,$B$7,$B$3,$B$4,$B$5,$F297,$B$6,AE$10,$A297,$B297)</f>
        <v>0</v>
      </c>
    </row>
    <row r="298" spans="1:31">
      <c r="A298" s="1" t="s">
        <v>150</v>
      </c>
      <c r="B298" s="5" t="s">
        <v>47</v>
      </c>
      <c r="C298" s="5" t="s">
        <v>48</v>
      </c>
      <c r="D298" s="5" t="s">
        <v>49</v>
      </c>
      <c r="E298" s="5" t="s">
        <v>21</v>
      </c>
      <c r="F298" s="5" t="s">
        <v>314</v>
      </c>
      <c r="G298" s="6"/>
      <c r="H298" s="6"/>
      <c r="I298" s="6"/>
      <c r="J298" s="6"/>
      <c r="K298" s="6"/>
      <c r="L298" s="4">
        <f ca="1">_xll.DBRW($B$1,$B$2,$B$7,$B$3,$B$4,$B$5,$F298,$B$6,L$10,$A298,$B298)</f>
        <v>0</v>
      </c>
      <c r="M298" s="4">
        <f ca="1">_xll.DBRW($B$1,$B$2,$B$7,$B$3,$B$4,$B$5,$F298,$B$6,M$10,$A298,$B298)</f>
        <v>0</v>
      </c>
      <c r="N298" s="4">
        <f ca="1">_xll.DBRW($B$1,$B$2,$B$7,$B$3,$B$4,$B$5,$F298,$B$6,N$10,$A298,$B298)</f>
        <v>0</v>
      </c>
      <c r="O298" s="4">
        <f ca="1">_xll.DBRW($B$1,$B$2,$B$7,$B$3,$B$4,$B$5,$F298,$B$6,O$10,$A298,$B298)</f>
        <v>0</v>
      </c>
      <c r="P298" s="4">
        <f ca="1">_xll.DBRW($B$1,$B$2,$B$7,$B$3,$B$4,$B$5,$F298,$B$6,P$10,$A298,$B298)</f>
        <v>0</v>
      </c>
      <c r="Q298" s="4">
        <f ca="1">_xll.DBRW($B$1,$B$2,$B$7,$B$3,$B$4,$B$5,$F298,$B$6,Q$10,$A298,$B298)</f>
        <v>0</v>
      </c>
      <c r="R298" s="4">
        <f ca="1">_xll.DBRW($B$1,$B$2,$B$7,$B$3,$B$4,$B$5,$F298,$B$6,R$10,$A298,$B298)</f>
        <v>0</v>
      </c>
      <c r="S298" s="4">
        <f ca="1">_xll.DBRW($B$1,$B$2,$B$7,$B$3,$B$4,$B$5,$F298,$B$6,S$10,$A298,$B298)</f>
        <v>0</v>
      </c>
      <c r="T298" s="4">
        <f ca="1">_xll.DBRW($B$1,$B$2,$B$7,$B$3,$B$4,$B$5,$F298,$B$6,T$10,$A298,$B298)</f>
        <v>0</v>
      </c>
      <c r="U298" s="4">
        <f ca="1">_xll.DBRW($B$1,$B$2,$B$7,$B$3,$B$4,$B$5,$F298,$B$6,U$10,$A298,$B298)</f>
        <v>0</v>
      </c>
      <c r="V298" s="4">
        <f ca="1">_xll.DBRW($B$1,$B$2,$B$7,$B$3,$B$4,$B$5,$F298,$B$6,V$10,$A298,$B298)</f>
        <v>0</v>
      </c>
      <c r="W298" s="4">
        <f ca="1">_xll.DBRW($B$1,$B$2,$B$7,$B$3,$B$4,$B$5,$F298,$B$6,W$10,$A298,$B298)</f>
        <v>0</v>
      </c>
      <c r="X298" s="4">
        <f ca="1">_xll.DBRW($B$1,$B$2,$B$7,$B$3,$B$4,$B$5,$F298,$B$6,X$10,$A298,$B298)</f>
        <v>0</v>
      </c>
      <c r="Y298" s="4">
        <f ca="1">_xll.DBRW($B$1,$B$2,$B$7,$B$3,$B$4,$B$5,$F298,$B$6,Y$10,$A298,$B298)</f>
        <v>0</v>
      </c>
      <c r="Z298" s="4">
        <f ca="1">_xll.DBRW($B$1,$B$2,$B$7,$B$3,$B$4,$B$5,$F298,$B$6,Z$10,$A298,$B298)</f>
        <v>0</v>
      </c>
      <c r="AA298" s="4">
        <f ca="1">_xll.DBRW($B$1,$B$2,$B$7,$B$3,$B$4,$B$5,$F298,$B$6,AA$10,$A298,$B298)</f>
        <v>0</v>
      </c>
      <c r="AB298" s="4">
        <f ca="1">_xll.DBRW($B$1,$B$2,$B$7,$B$3,$B$4,$B$5,$F298,$B$6,AB$10,$A298,$B298)</f>
        <v>0</v>
      </c>
      <c r="AC298" s="4">
        <f ca="1">_xll.DBRW($B$1,$B$2,$B$7,$B$3,$B$4,$B$5,$F298,$B$6,AC$10,$A298,$B298)</f>
        <v>0</v>
      </c>
      <c r="AD298" s="4">
        <f ca="1">_xll.DBRW($B$1,$B$2,$B$7,$B$3,$B$4,$B$5,$F298,$B$6,AD$10,$A298,$B298)</f>
        <v>0</v>
      </c>
      <c r="AE298" s="4">
        <f ca="1">_xll.DBRW($B$1,$B$2,$B$7,$B$3,$B$4,$B$5,$F298,$B$6,AE$10,$A298,$B298)</f>
        <v>0</v>
      </c>
    </row>
    <row r="299" spans="1:31">
      <c r="A299" s="1" t="s">
        <v>150</v>
      </c>
      <c r="B299" s="5" t="s">
        <v>220</v>
      </c>
      <c r="C299" s="5" t="s">
        <v>166</v>
      </c>
      <c r="D299" s="5" t="s">
        <v>21</v>
      </c>
      <c r="E299" s="5" t="s">
        <v>31</v>
      </c>
      <c r="F299" s="5" t="s">
        <v>314</v>
      </c>
      <c r="G299" s="6"/>
      <c r="H299" s="6"/>
      <c r="I299" s="6"/>
      <c r="J299" s="6"/>
      <c r="K299" s="6"/>
      <c r="L299" s="4">
        <f ca="1">_xll.DBRW($B$1,$B$2,$B$7,$B$3,$B$4,$B$5,$F299,$B$6,L$10,$A299,$B299)</f>
        <v>9</v>
      </c>
      <c r="M299" s="4">
        <f ca="1">_xll.DBRW($B$1,$B$2,$B$7,$B$3,$B$4,$B$5,$F299,$B$6,M$10,$A299,$B299)</f>
        <v>13</v>
      </c>
      <c r="N299" s="4">
        <f ca="1">_xll.DBRW($B$1,$B$2,$B$7,$B$3,$B$4,$B$5,$F299,$B$6,N$10,$A299,$B299)</f>
        <v>6</v>
      </c>
      <c r="O299" s="4">
        <f ca="1">_xll.DBRW($B$1,$B$2,$B$7,$B$3,$B$4,$B$5,$F299,$B$6,O$10,$A299,$B299)</f>
        <v>14</v>
      </c>
      <c r="P299" s="4">
        <f ca="1">_xll.DBRW($B$1,$B$2,$B$7,$B$3,$B$4,$B$5,$F299,$B$6,P$10,$A299,$B299)</f>
        <v>26</v>
      </c>
      <c r="Q299" s="4">
        <f ca="1">_xll.DBRW($B$1,$B$2,$B$7,$B$3,$B$4,$B$5,$F299,$B$6,Q$10,$A299,$B299)</f>
        <v>24</v>
      </c>
      <c r="R299" s="4">
        <f ca="1">_xll.DBRW($B$1,$B$2,$B$7,$B$3,$B$4,$B$5,$F299,$B$6,R$10,$A299,$B299)</f>
        <v>0</v>
      </c>
      <c r="S299" s="4">
        <f ca="1">_xll.DBRW($B$1,$B$2,$B$7,$B$3,$B$4,$B$5,$F299,$B$6,S$10,$A299,$B299)</f>
        <v>0</v>
      </c>
      <c r="T299" s="4">
        <f ca="1">_xll.DBRW($B$1,$B$2,$B$7,$B$3,$B$4,$B$5,$F299,$B$6,T$10,$A299,$B299)</f>
        <v>0</v>
      </c>
      <c r="U299" s="4">
        <f ca="1">_xll.DBRW($B$1,$B$2,$B$7,$B$3,$B$4,$B$5,$F299,$B$6,U$10,$A299,$B299)</f>
        <v>0</v>
      </c>
      <c r="V299" s="4">
        <f ca="1">_xll.DBRW($B$1,$B$2,$B$7,$B$3,$B$4,$B$5,$F299,$B$6,V$10,$A299,$B299)</f>
        <v>1</v>
      </c>
      <c r="W299" s="4">
        <f ca="1">_xll.DBRW($B$1,$B$2,$B$7,$B$3,$B$4,$B$5,$F299,$B$6,W$10,$A299,$B299)</f>
        <v>21</v>
      </c>
      <c r="X299" s="4">
        <f ca="1">_xll.DBRW($B$1,$B$2,$B$7,$B$3,$B$4,$B$5,$F299,$B$6,X$10,$A299,$B299)</f>
        <v>23</v>
      </c>
      <c r="Y299" s="4">
        <f ca="1">_xll.DBRW($B$1,$B$2,$B$7,$B$3,$B$4,$B$5,$F299,$B$6,Y$10,$A299,$B299)</f>
        <v>21</v>
      </c>
      <c r="Z299" s="4">
        <f ca="1">_xll.DBRW($B$1,$B$2,$B$7,$B$3,$B$4,$B$5,$F299,$B$6,Z$10,$A299,$B299)</f>
        <v>22</v>
      </c>
      <c r="AA299" s="4">
        <f ca="1">_xll.DBRW($B$1,$B$2,$B$7,$B$3,$B$4,$B$5,$F299,$B$6,AA$10,$A299,$B299)</f>
        <v>22</v>
      </c>
      <c r="AB299" s="4">
        <f ca="1">_xll.DBRW($B$1,$B$2,$B$7,$B$3,$B$4,$B$5,$F299,$B$6,AB$10,$A299,$B299)</f>
        <v>22</v>
      </c>
      <c r="AC299" s="4">
        <f ca="1">_xll.DBRW($B$1,$B$2,$B$7,$B$3,$B$4,$B$5,$F299,$B$6,AC$10,$A299,$B299)</f>
        <v>18</v>
      </c>
      <c r="AD299" s="4">
        <f ca="1">_xll.DBRW($B$1,$B$2,$B$7,$B$3,$B$4,$B$5,$F299,$B$6,AD$10,$A299,$B299)</f>
        <v>0</v>
      </c>
      <c r="AE299" s="4">
        <f ca="1">_xll.DBRW($B$1,$B$2,$B$7,$B$3,$B$4,$B$5,$F299,$B$6,AE$10,$A299,$B299)</f>
        <v>0</v>
      </c>
    </row>
    <row r="300" spans="1:31">
      <c r="A300" s="1" t="s">
        <v>150</v>
      </c>
      <c r="B300" s="5" t="s">
        <v>32</v>
      </c>
      <c r="C300" s="5" t="s">
        <v>30</v>
      </c>
      <c r="D300" s="5" t="s">
        <v>31</v>
      </c>
      <c r="E300" s="5" t="s">
        <v>21</v>
      </c>
      <c r="F300" s="5" t="s">
        <v>314</v>
      </c>
      <c r="G300" s="6"/>
      <c r="H300" s="6"/>
      <c r="I300" s="6"/>
      <c r="J300" s="6"/>
      <c r="K300" s="6"/>
      <c r="L300" s="4">
        <f ca="1">_xll.DBRW($B$1,$B$2,$B$7,$B$3,$B$4,$B$5,$F300,$B$6,L$10,$A300,$B300)</f>
        <v>9</v>
      </c>
      <c r="M300" s="4">
        <f ca="1">_xll.DBRW($B$1,$B$2,$B$7,$B$3,$B$4,$B$5,$F300,$B$6,M$10,$A300,$B300)</f>
        <v>13</v>
      </c>
      <c r="N300" s="4">
        <f ca="1">_xll.DBRW($B$1,$B$2,$B$7,$B$3,$B$4,$B$5,$F300,$B$6,N$10,$A300,$B300)</f>
        <v>6</v>
      </c>
      <c r="O300" s="4">
        <f ca="1">_xll.DBRW($B$1,$B$2,$B$7,$B$3,$B$4,$B$5,$F300,$B$6,O$10,$A300,$B300)</f>
        <v>14</v>
      </c>
      <c r="P300" s="4">
        <f ca="1">_xll.DBRW($B$1,$B$2,$B$7,$B$3,$B$4,$B$5,$F300,$B$6,P$10,$A300,$B300)</f>
        <v>26</v>
      </c>
      <c r="Q300" s="4">
        <f ca="1">_xll.DBRW($B$1,$B$2,$B$7,$B$3,$B$4,$B$5,$F300,$B$6,Q$10,$A300,$B300)</f>
        <v>24</v>
      </c>
      <c r="R300" s="4">
        <f ca="1">_xll.DBRW($B$1,$B$2,$B$7,$B$3,$B$4,$B$5,$F300,$B$6,R$10,$A300,$B300)</f>
        <v>0</v>
      </c>
      <c r="S300" s="4">
        <f ca="1">_xll.DBRW($B$1,$B$2,$B$7,$B$3,$B$4,$B$5,$F300,$B$6,S$10,$A300,$B300)</f>
        <v>0</v>
      </c>
      <c r="T300" s="4">
        <f ca="1">_xll.DBRW($B$1,$B$2,$B$7,$B$3,$B$4,$B$5,$F300,$B$6,T$10,$A300,$B300)</f>
        <v>0</v>
      </c>
      <c r="U300" s="4">
        <f ca="1">_xll.DBRW($B$1,$B$2,$B$7,$B$3,$B$4,$B$5,$F300,$B$6,U$10,$A300,$B300)</f>
        <v>0</v>
      </c>
      <c r="V300" s="4">
        <f ca="1">_xll.DBRW($B$1,$B$2,$B$7,$B$3,$B$4,$B$5,$F300,$B$6,V$10,$A300,$B300)</f>
        <v>1</v>
      </c>
      <c r="W300" s="4">
        <f ca="1">_xll.DBRW($B$1,$B$2,$B$7,$B$3,$B$4,$B$5,$F300,$B$6,W$10,$A300,$B300)</f>
        <v>21</v>
      </c>
      <c r="X300" s="4">
        <f ca="1">_xll.DBRW($B$1,$B$2,$B$7,$B$3,$B$4,$B$5,$F300,$B$6,X$10,$A300,$B300)</f>
        <v>23</v>
      </c>
      <c r="Y300" s="4">
        <f ca="1">_xll.DBRW($B$1,$B$2,$B$7,$B$3,$B$4,$B$5,$F300,$B$6,Y$10,$A300,$B300)</f>
        <v>21</v>
      </c>
      <c r="Z300" s="4">
        <f ca="1">_xll.DBRW($B$1,$B$2,$B$7,$B$3,$B$4,$B$5,$F300,$B$6,Z$10,$A300,$B300)</f>
        <v>22</v>
      </c>
      <c r="AA300" s="4">
        <f ca="1">_xll.DBRW($B$1,$B$2,$B$7,$B$3,$B$4,$B$5,$F300,$B$6,AA$10,$A300,$B300)</f>
        <v>22</v>
      </c>
      <c r="AB300" s="4">
        <f ca="1">_xll.DBRW($B$1,$B$2,$B$7,$B$3,$B$4,$B$5,$F300,$B$6,AB$10,$A300,$B300)</f>
        <v>22</v>
      </c>
      <c r="AC300" s="4">
        <f ca="1">_xll.DBRW($B$1,$B$2,$B$7,$B$3,$B$4,$B$5,$F300,$B$6,AC$10,$A300,$B300)</f>
        <v>17</v>
      </c>
      <c r="AD300" s="4">
        <f ca="1">_xll.DBRW($B$1,$B$2,$B$7,$B$3,$B$4,$B$5,$F300,$B$6,AD$10,$A300,$B300)</f>
        <v>0</v>
      </c>
      <c r="AE300" s="4">
        <f ca="1">_xll.DBRW($B$1,$B$2,$B$7,$B$3,$B$4,$B$5,$F300,$B$6,AE$10,$A300,$B300)</f>
        <v>0</v>
      </c>
    </row>
    <row r="301" spans="1:31">
      <c r="A301" s="1" t="s">
        <v>150</v>
      </c>
      <c r="B301" s="5" t="s">
        <v>221</v>
      </c>
      <c r="C301" s="5" t="s">
        <v>193</v>
      </c>
      <c r="D301" s="5" t="s">
        <v>21</v>
      </c>
      <c r="E301" s="5" t="s">
        <v>194</v>
      </c>
      <c r="F301" s="5" t="s">
        <v>314</v>
      </c>
      <c r="G301" s="6"/>
      <c r="H301" s="6"/>
      <c r="I301" s="6"/>
      <c r="J301" s="6"/>
      <c r="K301" s="6"/>
      <c r="L301" s="4">
        <f ca="1">_xll.DBRW($B$1,$B$2,$B$7,$B$3,$B$4,$B$5,$F301,$B$6,L$10,$A301,$B301)</f>
        <v>0</v>
      </c>
      <c r="M301" s="4">
        <f ca="1">_xll.DBRW($B$1,$B$2,$B$7,$B$3,$B$4,$B$5,$F301,$B$6,M$10,$A301,$B301)</f>
        <v>0</v>
      </c>
      <c r="N301" s="4">
        <f ca="1">_xll.DBRW($B$1,$B$2,$B$7,$B$3,$B$4,$B$5,$F301,$B$6,N$10,$A301,$B301)</f>
        <v>0</v>
      </c>
      <c r="O301" s="4">
        <f ca="1">_xll.DBRW($B$1,$B$2,$B$7,$B$3,$B$4,$B$5,$F301,$B$6,O$10,$A301,$B301)</f>
        <v>0</v>
      </c>
      <c r="P301" s="4">
        <f ca="1">_xll.DBRW($B$1,$B$2,$B$7,$B$3,$B$4,$B$5,$F301,$B$6,P$10,$A301,$B301)</f>
        <v>0</v>
      </c>
      <c r="Q301" s="4">
        <f ca="1">_xll.DBRW($B$1,$B$2,$B$7,$B$3,$B$4,$B$5,$F301,$B$6,Q$10,$A301,$B301)</f>
        <v>0</v>
      </c>
      <c r="R301" s="4">
        <f ca="1">_xll.DBRW($B$1,$B$2,$B$7,$B$3,$B$4,$B$5,$F301,$B$6,R$10,$A301,$B301)</f>
        <v>0</v>
      </c>
      <c r="S301" s="4">
        <f ca="1">_xll.DBRW($B$1,$B$2,$B$7,$B$3,$B$4,$B$5,$F301,$B$6,S$10,$A301,$B301)</f>
        <v>0</v>
      </c>
      <c r="T301" s="4">
        <f ca="1">_xll.DBRW($B$1,$B$2,$B$7,$B$3,$B$4,$B$5,$F301,$B$6,T$10,$A301,$B301)</f>
        <v>0</v>
      </c>
      <c r="U301" s="4">
        <f ca="1">_xll.DBRW($B$1,$B$2,$B$7,$B$3,$B$4,$B$5,$F301,$B$6,U$10,$A301,$B301)</f>
        <v>0</v>
      </c>
      <c r="V301" s="4">
        <f ca="1">_xll.DBRW($B$1,$B$2,$B$7,$B$3,$B$4,$B$5,$F301,$B$6,V$10,$A301,$B301)</f>
        <v>0</v>
      </c>
      <c r="W301" s="4">
        <f ca="1">_xll.DBRW($B$1,$B$2,$B$7,$B$3,$B$4,$B$5,$F301,$B$6,W$10,$A301,$B301)</f>
        <v>0</v>
      </c>
      <c r="X301" s="4">
        <f ca="1">_xll.DBRW($B$1,$B$2,$B$7,$B$3,$B$4,$B$5,$F301,$B$6,X$10,$A301,$B301)</f>
        <v>0</v>
      </c>
      <c r="Y301" s="4">
        <f ca="1">_xll.DBRW($B$1,$B$2,$B$7,$B$3,$B$4,$B$5,$F301,$B$6,Y$10,$A301,$B301)</f>
        <v>0</v>
      </c>
      <c r="Z301" s="4">
        <f ca="1">_xll.DBRW($B$1,$B$2,$B$7,$B$3,$B$4,$B$5,$F301,$B$6,Z$10,$A301,$B301)</f>
        <v>0</v>
      </c>
      <c r="AA301" s="4">
        <f ca="1">_xll.DBRW($B$1,$B$2,$B$7,$B$3,$B$4,$B$5,$F301,$B$6,AA$10,$A301,$B301)</f>
        <v>0</v>
      </c>
      <c r="AB301" s="4">
        <f ca="1">_xll.DBRW($B$1,$B$2,$B$7,$B$3,$B$4,$B$5,$F301,$B$6,AB$10,$A301,$B301)</f>
        <v>0</v>
      </c>
      <c r="AC301" s="4">
        <f ca="1">_xll.DBRW($B$1,$B$2,$B$7,$B$3,$B$4,$B$5,$F301,$B$6,AC$10,$A301,$B301)</f>
        <v>0</v>
      </c>
      <c r="AD301" s="4">
        <f ca="1">_xll.DBRW($B$1,$B$2,$B$7,$B$3,$B$4,$B$5,$F301,$B$6,AD$10,$A301,$B301)</f>
        <v>0</v>
      </c>
      <c r="AE301" s="4">
        <f ca="1">_xll.DBRW($B$1,$B$2,$B$7,$B$3,$B$4,$B$5,$F301,$B$6,AE$10,$A301,$B301)</f>
        <v>0</v>
      </c>
    </row>
    <row r="302" spans="1:31">
      <c r="A302" s="1" t="s">
        <v>150</v>
      </c>
      <c r="B302" s="5" t="s">
        <v>222</v>
      </c>
      <c r="C302" s="5" t="s">
        <v>196</v>
      </c>
      <c r="D302" s="5" t="s">
        <v>194</v>
      </c>
      <c r="E302" s="5" t="s">
        <v>21</v>
      </c>
      <c r="F302" s="5" t="s">
        <v>314</v>
      </c>
      <c r="G302" s="6"/>
      <c r="H302" s="6"/>
      <c r="I302" s="6"/>
      <c r="J302" s="6"/>
      <c r="K302" s="6"/>
      <c r="L302" s="4">
        <f ca="1">_xll.DBRW($B$1,$B$2,$B$7,$B$3,$B$4,$B$5,$F302,$B$6,L$10,$A302,$B302)</f>
        <v>0</v>
      </c>
      <c r="M302" s="4">
        <f ca="1">_xll.DBRW($B$1,$B$2,$B$7,$B$3,$B$4,$B$5,$F302,$B$6,M$10,$A302,$B302)</f>
        <v>0</v>
      </c>
      <c r="N302" s="4">
        <f ca="1">_xll.DBRW($B$1,$B$2,$B$7,$B$3,$B$4,$B$5,$F302,$B$6,N$10,$A302,$B302)</f>
        <v>0</v>
      </c>
      <c r="O302" s="4">
        <f ca="1">_xll.DBRW($B$1,$B$2,$B$7,$B$3,$B$4,$B$5,$F302,$B$6,O$10,$A302,$B302)</f>
        <v>0</v>
      </c>
      <c r="P302" s="4">
        <f ca="1">_xll.DBRW($B$1,$B$2,$B$7,$B$3,$B$4,$B$5,$F302,$B$6,P$10,$A302,$B302)</f>
        <v>0</v>
      </c>
      <c r="Q302" s="4">
        <f ca="1">_xll.DBRW($B$1,$B$2,$B$7,$B$3,$B$4,$B$5,$F302,$B$6,Q$10,$A302,$B302)</f>
        <v>0</v>
      </c>
      <c r="R302" s="4">
        <f ca="1">_xll.DBRW($B$1,$B$2,$B$7,$B$3,$B$4,$B$5,$F302,$B$6,R$10,$A302,$B302)</f>
        <v>0</v>
      </c>
      <c r="S302" s="4">
        <f ca="1">_xll.DBRW($B$1,$B$2,$B$7,$B$3,$B$4,$B$5,$F302,$B$6,S$10,$A302,$B302)</f>
        <v>0</v>
      </c>
      <c r="T302" s="4">
        <f ca="1">_xll.DBRW($B$1,$B$2,$B$7,$B$3,$B$4,$B$5,$F302,$B$6,T$10,$A302,$B302)</f>
        <v>0</v>
      </c>
      <c r="U302" s="4">
        <f ca="1">_xll.DBRW($B$1,$B$2,$B$7,$B$3,$B$4,$B$5,$F302,$B$6,U$10,$A302,$B302)</f>
        <v>0</v>
      </c>
      <c r="V302" s="4">
        <f ca="1">_xll.DBRW($B$1,$B$2,$B$7,$B$3,$B$4,$B$5,$F302,$B$6,V$10,$A302,$B302)</f>
        <v>0</v>
      </c>
      <c r="W302" s="4">
        <f ca="1">_xll.DBRW($B$1,$B$2,$B$7,$B$3,$B$4,$B$5,$F302,$B$6,W$10,$A302,$B302)</f>
        <v>0</v>
      </c>
      <c r="X302" s="4">
        <f ca="1">_xll.DBRW($B$1,$B$2,$B$7,$B$3,$B$4,$B$5,$F302,$B$6,X$10,$A302,$B302)</f>
        <v>0</v>
      </c>
      <c r="Y302" s="4">
        <f ca="1">_xll.DBRW($B$1,$B$2,$B$7,$B$3,$B$4,$B$5,$F302,$B$6,Y$10,$A302,$B302)</f>
        <v>0</v>
      </c>
      <c r="Z302" s="4">
        <f ca="1">_xll.DBRW($B$1,$B$2,$B$7,$B$3,$B$4,$B$5,$F302,$B$6,Z$10,$A302,$B302)</f>
        <v>0</v>
      </c>
      <c r="AA302" s="4">
        <f ca="1">_xll.DBRW($B$1,$B$2,$B$7,$B$3,$B$4,$B$5,$F302,$B$6,AA$10,$A302,$B302)</f>
        <v>0</v>
      </c>
      <c r="AB302" s="4">
        <f ca="1">_xll.DBRW($B$1,$B$2,$B$7,$B$3,$B$4,$B$5,$F302,$B$6,AB$10,$A302,$B302)</f>
        <v>0</v>
      </c>
      <c r="AC302" s="4">
        <f ca="1">_xll.DBRW($B$1,$B$2,$B$7,$B$3,$B$4,$B$5,$F302,$B$6,AC$10,$A302,$B302)</f>
        <v>0</v>
      </c>
      <c r="AD302" s="4">
        <f ca="1">_xll.DBRW($B$1,$B$2,$B$7,$B$3,$B$4,$B$5,$F302,$B$6,AD$10,$A302,$B302)</f>
        <v>0</v>
      </c>
      <c r="AE302" s="4">
        <f ca="1">_xll.DBRW($B$1,$B$2,$B$7,$B$3,$B$4,$B$5,$F302,$B$6,AE$10,$A302,$B302)</f>
        <v>0</v>
      </c>
    </row>
    <row r="303" spans="1:31">
      <c r="A303" s="1" t="s">
        <v>150</v>
      </c>
      <c r="B303" s="5" t="s">
        <v>223</v>
      </c>
      <c r="C303" s="5" t="s">
        <v>193</v>
      </c>
      <c r="D303" s="5" t="s">
        <v>21</v>
      </c>
      <c r="E303" s="5" t="s">
        <v>194</v>
      </c>
      <c r="F303" s="5" t="s">
        <v>314</v>
      </c>
      <c r="G303" s="6"/>
      <c r="H303" s="6"/>
      <c r="I303" s="6"/>
      <c r="J303" s="6"/>
      <c r="K303" s="6"/>
      <c r="L303" s="4">
        <f ca="1">_xll.DBRW($B$1,$B$2,$B$7,$B$3,$B$4,$B$5,$F303,$B$6,L$10,$A303,$B303)</f>
        <v>0</v>
      </c>
      <c r="M303" s="4">
        <f ca="1">_xll.DBRW($B$1,$B$2,$B$7,$B$3,$B$4,$B$5,$F303,$B$6,M$10,$A303,$B303)</f>
        <v>0</v>
      </c>
      <c r="N303" s="4">
        <f ca="1">_xll.DBRW($B$1,$B$2,$B$7,$B$3,$B$4,$B$5,$F303,$B$6,N$10,$A303,$B303)</f>
        <v>0</v>
      </c>
      <c r="O303" s="4">
        <f ca="1">_xll.DBRW($B$1,$B$2,$B$7,$B$3,$B$4,$B$5,$F303,$B$6,O$10,$A303,$B303)</f>
        <v>0</v>
      </c>
      <c r="P303" s="4">
        <f ca="1">_xll.DBRW($B$1,$B$2,$B$7,$B$3,$B$4,$B$5,$F303,$B$6,P$10,$A303,$B303)</f>
        <v>0</v>
      </c>
      <c r="Q303" s="4">
        <f ca="1">_xll.DBRW($B$1,$B$2,$B$7,$B$3,$B$4,$B$5,$F303,$B$6,Q$10,$A303,$B303)</f>
        <v>0</v>
      </c>
      <c r="R303" s="4">
        <f ca="1">_xll.DBRW($B$1,$B$2,$B$7,$B$3,$B$4,$B$5,$F303,$B$6,R$10,$A303,$B303)</f>
        <v>0</v>
      </c>
      <c r="S303" s="4">
        <f ca="1">_xll.DBRW($B$1,$B$2,$B$7,$B$3,$B$4,$B$5,$F303,$B$6,S$10,$A303,$B303)</f>
        <v>0</v>
      </c>
      <c r="T303" s="4">
        <f ca="1">_xll.DBRW($B$1,$B$2,$B$7,$B$3,$B$4,$B$5,$F303,$B$6,T$10,$A303,$B303)</f>
        <v>0</v>
      </c>
      <c r="U303" s="4">
        <f ca="1">_xll.DBRW($B$1,$B$2,$B$7,$B$3,$B$4,$B$5,$F303,$B$6,U$10,$A303,$B303)</f>
        <v>0</v>
      </c>
      <c r="V303" s="4">
        <f ca="1">_xll.DBRW($B$1,$B$2,$B$7,$B$3,$B$4,$B$5,$F303,$B$6,V$10,$A303,$B303)</f>
        <v>0</v>
      </c>
      <c r="W303" s="4">
        <f ca="1">_xll.DBRW($B$1,$B$2,$B$7,$B$3,$B$4,$B$5,$F303,$B$6,W$10,$A303,$B303)</f>
        <v>0</v>
      </c>
      <c r="X303" s="4">
        <f ca="1">_xll.DBRW($B$1,$B$2,$B$7,$B$3,$B$4,$B$5,$F303,$B$6,X$10,$A303,$B303)</f>
        <v>0</v>
      </c>
      <c r="Y303" s="4">
        <f ca="1">_xll.DBRW($B$1,$B$2,$B$7,$B$3,$B$4,$B$5,$F303,$B$6,Y$10,$A303,$B303)</f>
        <v>0</v>
      </c>
      <c r="Z303" s="4">
        <f ca="1">_xll.DBRW($B$1,$B$2,$B$7,$B$3,$B$4,$B$5,$F303,$B$6,Z$10,$A303,$B303)</f>
        <v>0</v>
      </c>
      <c r="AA303" s="4">
        <f ca="1">_xll.DBRW($B$1,$B$2,$B$7,$B$3,$B$4,$B$5,$F303,$B$6,AA$10,$A303,$B303)</f>
        <v>0</v>
      </c>
      <c r="AB303" s="4">
        <f ca="1">_xll.DBRW($B$1,$B$2,$B$7,$B$3,$B$4,$B$5,$F303,$B$6,AB$10,$A303,$B303)</f>
        <v>0</v>
      </c>
      <c r="AC303" s="4">
        <f ca="1">_xll.DBRW($B$1,$B$2,$B$7,$B$3,$B$4,$B$5,$F303,$B$6,AC$10,$A303,$B303)</f>
        <v>0</v>
      </c>
      <c r="AD303" s="4">
        <f ca="1">_xll.DBRW($B$1,$B$2,$B$7,$B$3,$B$4,$B$5,$F303,$B$6,AD$10,$A303,$B303)</f>
        <v>0</v>
      </c>
      <c r="AE303" s="4">
        <f ca="1">_xll.DBRW($B$1,$B$2,$B$7,$B$3,$B$4,$B$5,$F303,$B$6,AE$10,$A303,$B303)</f>
        <v>0</v>
      </c>
    </row>
    <row r="304" spans="1:31">
      <c r="A304" s="1" t="s">
        <v>150</v>
      </c>
      <c r="B304" s="5" t="s">
        <v>224</v>
      </c>
      <c r="C304" s="5" t="s">
        <v>196</v>
      </c>
      <c r="D304" s="5" t="s">
        <v>194</v>
      </c>
      <c r="E304" s="5" t="s">
        <v>21</v>
      </c>
      <c r="F304" s="5" t="s">
        <v>314</v>
      </c>
      <c r="G304" s="6"/>
      <c r="H304" s="6"/>
      <c r="I304" s="6"/>
      <c r="J304" s="6"/>
      <c r="K304" s="6"/>
      <c r="L304" s="4">
        <f ca="1">_xll.DBRW($B$1,$B$2,$B$7,$B$3,$B$4,$B$5,$F304,$B$6,L$10,$A304,$B304)</f>
        <v>0</v>
      </c>
      <c r="M304" s="4">
        <f ca="1">_xll.DBRW($B$1,$B$2,$B$7,$B$3,$B$4,$B$5,$F304,$B$6,M$10,$A304,$B304)</f>
        <v>0</v>
      </c>
      <c r="N304" s="4">
        <f ca="1">_xll.DBRW($B$1,$B$2,$B$7,$B$3,$B$4,$B$5,$F304,$B$6,N$10,$A304,$B304)</f>
        <v>0</v>
      </c>
      <c r="O304" s="4">
        <f ca="1">_xll.DBRW($B$1,$B$2,$B$7,$B$3,$B$4,$B$5,$F304,$B$6,O$10,$A304,$B304)</f>
        <v>0</v>
      </c>
      <c r="P304" s="4">
        <f ca="1">_xll.DBRW($B$1,$B$2,$B$7,$B$3,$B$4,$B$5,$F304,$B$6,P$10,$A304,$B304)</f>
        <v>0</v>
      </c>
      <c r="Q304" s="4">
        <f ca="1">_xll.DBRW($B$1,$B$2,$B$7,$B$3,$B$4,$B$5,$F304,$B$6,Q$10,$A304,$B304)</f>
        <v>0</v>
      </c>
      <c r="R304" s="4">
        <f ca="1">_xll.DBRW($B$1,$B$2,$B$7,$B$3,$B$4,$B$5,$F304,$B$6,R$10,$A304,$B304)</f>
        <v>0</v>
      </c>
      <c r="S304" s="4">
        <f ca="1">_xll.DBRW($B$1,$B$2,$B$7,$B$3,$B$4,$B$5,$F304,$B$6,S$10,$A304,$B304)</f>
        <v>0</v>
      </c>
      <c r="T304" s="4">
        <f ca="1">_xll.DBRW($B$1,$B$2,$B$7,$B$3,$B$4,$B$5,$F304,$B$6,T$10,$A304,$B304)</f>
        <v>0</v>
      </c>
      <c r="U304" s="4">
        <f ca="1">_xll.DBRW($B$1,$B$2,$B$7,$B$3,$B$4,$B$5,$F304,$B$6,U$10,$A304,$B304)</f>
        <v>0</v>
      </c>
      <c r="V304" s="4">
        <f ca="1">_xll.DBRW($B$1,$B$2,$B$7,$B$3,$B$4,$B$5,$F304,$B$6,V$10,$A304,$B304)</f>
        <v>0</v>
      </c>
      <c r="W304" s="4">
        <f ca="1">_xll.DBRW($B$1,$B$2,$B$7,$B$3,$B$4,$B$5,$F304,$B$6,W$10,$A304,$B304)</f>
        <v>0</v>
      </c>
      <c r="X304" s="4">
        <f ca="1">_xll.DBRW($B$1,$B$2,$B$7,$B$3,$B$4,$B$5,$F304,$B$6,X$10,$A304,$B304)</f>
        <v>0</v>
      </c>
      <c r="Y304" s="4">
        <f ca="1">_xll.DBRW($B$1,$B$2,$B$7,$B$3,$B$4,$B$5,$F304,$B$6,Y$10,$A304,$B304)</f>
        <v>0</v>
      </c>
      <c r="Z304" s="4">
        <f ca="1">_xll.DBRW($B$1,$B$2,$B$7,$B$3,$B$4,$B$5,$F304,$B$6,Z$10,$A304,$B304)</f>
        <v>0</v>
      </c>
      <c r="AA304" s="4">
        <f ca="1">_xll.DBRW($B$1,$B$2,$B$7,$B$3,$B$4,$B$5,$F304,$B$6,AA$10,$A304,$B304)</f>
        <v>0</v>
      </c>
      <c r="AB304" s="4">
        <f ca="1">_xll.DBRW($B$1,$B$2,$B$7,$B$3,$B$4,$B$5,$F304,$B$6,AB$10,$A304,$B304)</f>
        <v>0</v>
      </c>
      <c r="AC304" s="4">
        <f ca="1">_xll.DBRW($B$1,$B$2,$B$7,$B$3,$B$4,$B$5,$F304,$B$6,AC$10,$A304,$B304)</f>
        <v>0</v>
      </c>
      <c r="AD304" s="4">
        <f ca="1">_xll.DBRW($B$1,$B$2,$B$7,$B$3,$B$4,$B$5,$F304,$B$6,AD$10,$A304,$B304)</f>
        <v>0</v>
      </c>
      <c r="AE304" s="4">
        <f ca="1">_xll.DBRW($B$1,$B$2,$B$7,$B$3,$B$4,$B$5,$F304,$B$6,AE$10,$A304,$B304)</f>
        <v>0</v>
      </c>
    </row>
    <row r="305" spans="1:31">
      <c r="A305" s="1" t="s">
        <v>150</v>
      </c>
      <c r="B305" s="5" t="s">
        <v>225</v>
      </c>
      <c r="C305" s="5" t="s">
        <v>226</v>
      </c>
      <c r="D305" s="5" t="s">
        <v>21</v>
      </c>
      <c r="E305" s="5" t="s">
        <v>227</v>
      </c>
      <c r="F305" s="5" t="s">
        <v>314</v>
      </c>
      <c r="G305" s="6"/>
      <c r="H305" s="6"/>
      <c r="I305" s="6"/>
      <c r="J305" s="6"/>
      <c r="K305" s="6"/>
      <c r="L305" s="4">
        <f ca="1">_xll.DBRW($B$1,$B$2,$B$7,$B$3,$B$4,$B$5,$F305,$B$6,L$10,$A305,$B305)</f>
        <v>0</v>
      </c>
      <c r="M305" s="4">
        <f ca="1">_xll.DBRW($B$1,$B$2,$B$7,$B$3,$B$4,$B$5,$F305,$B$6,M$10,$A305,$B305)</f>
        <v>0</v>
      </c>
      <c r="N305" s="4">
        <f ca="1">_xll.DBRW($B$1,$B$2,$B$7,$B$3,$B$4,$B$5,$F305,$B$6,N$10,$A305,$B305)</f>
        <v>0</v>
      </c>
      <c r="O305" s="4">
        <f ca="1">_xll.DBRW($B$1,$B$2,$B$7,$B$3,$B$4,$B$5,$F305,$B$6,O$10,$A305,$B305)</f>
        <v>0</v>
      </c>
      <c r="P305" s="4">
        <f ca="1">_xll.DBRW($B$1,$B$2,$B$7,$B$3,$B$4,$B$5,$F305,$B$6,P$10,$A305,$B305)</f>
        <v>0</v>
      </c>
      <c r="Q305" s="4">
        <f ca="1">_xll.DBRW($B$1,$B$2,$B$7,$B$3,$B$4,$B$5,$F305,$B$6,Q$10,$A305,$B305)</f>
        <v>2</v>
      </c>
      <c r="R305" s="4">
        <f ca="1">_xll.DBRW($B$1,$B$2,$B$7,$B$3,$B$4,$B$5,$F305,$B$6,R$10,$A305,$B305)</f>
        <v>8</v>
      </c>
      <c r="S305" s="4">
        <f ca="1">_xll.DBRW($B$1,$B$2,$B$7,$B$3,$B$4,$B$5,$F305,$B$6,S$10,$A305,$B305)</f>
        <v>0</v>
      </c>
      <c r="T305" s="4">
        <f ca="1">_xll.DBRW($B$1,$B$2,$B$7,$B$3,$B$4,$B$5,$F305,$B$6,T$10,$A305,$B305)</f>
        <v>0</v>
      </c>
      <c r="U305" s="4">
        <f ca="1">_xll.DBRW($B$1,$B$2,$B$7,$B$3,$B$4,$B$5,$F305,$B$6,U$10,$A305,$B305)</f>
        <v>0</v>
      </c>
      <c r="V305" s="4">
        <f ca="1">_xll.DBRW($B$1,$B$2,$B$7,$B$3,$B$4,$B$5,$F305,$B$6,V$10,$A305,$B305)</f>
        <v>0</v>
      </c>
      <c r="W305" s="4">
        <f ca="1">_xll.DBRW($B$1,$B$2,$B$7,$B$3,$B$4,$B$5,$F305,$B$6,W$10,$A305,$B305)</f>
        <v>0</v>
      </c>
      <c r="X305" s="4">
        <f ca="1">_xll.DBRW($B$1,$B$2,$B$7,$B$3,$B$4,$B$5,$F305,$B$6,X$10,$A305,$B305)</f>
        <v>0</v>
      </c>
      <c r="Y305" s="4">
        <f ca="1">_xll.DBRW($B$1,$B$2,$B$7,$B$3,$B$4,$B$5,$F305,$B$6,Y$10,$A305,$B305)</f>
        <v>0</v>
      </c>
      <c r="Z305" s="4">
        <f ca="1">_xll.DBRW($B$1,$B$2,$B$7,$B$3,$B$4,$B$5,$F305,$B$6,Z$10,$A305,$B305)</f>
        <v>0</v>
      </c>
      <c r="AA305" s="4">
        <f ca="1">_xll.DBRW($B$1,$B$2,$B$7,$B$3,$B$4,$B$5,$F305,$B$6,AA$10,$A305,$B305)</f>
        <v>0</v>
      </c>
      <c r="AB305" s="4">
        <f ca="1">_xll.DBRW($B$1,$B$2,$B$7,$B$3,$B$4,$B$5,$F305,$B$6,AB$10,$A305,$B305)</f>
        <v>0</v>
      </c>
      <c r="AC305" s="4">
        <f ca="1">_xll.DBRW($B$1,$B$2,$B$7,$B$3,$B$4,$B$5,$F305,$B$6,AC$10,$A305,$B305)</f>
        <v>0</v>
      </c>
      <c r="AD305" s="4">
        <f ca="1">_xll.DBRW($B$1,$B$2,$B$7,$B$3,$B$4,$B$5,$F305,$B$6,AD$10,$A305,$B305)</f>
        <v>0</v>
      </c>
      <c r="AE305" s="4">
        <f ca="1">_xll.DBRW($B$1,$B$2,$B$7,$B$3,$B$4,$B$5,$F305,$B$6,AE$10,$A305,$B305)</f>
        <v>0</v>
      </c>
    </row>
    <row r="306" spans="1:31">
      <c r="A306" s="1" t="s">
        <v>150</v>
      </c>
      <c r="B306" s="5" t="s">
        <v>228</v>
      </c>
      <c r="C306" s="5" t="s">
        <v>229</v>
      </c>
      <c r="D306" s="5" t="s">
        <v>227</v>
      </c>
      <c r="E306" s="5" t="s">
        <v>21</v>
      </c>
      <c r="F306" s="5" t="s">
        <v>314</v>
      </c>
      <c r="G306" s="6"/>
      <c r="H306" s="6"/>
      <c r="I306" s="6"/>
      <c r="J306" s="6"/>
      <c r="K306" s="6"/>
      <c r="L306" s="4">
        <f ca="1">_xll.DBRW($B$1,$B$2,$B$7,$B$3,$B$4,$B$5,$F306,$B$6,L$10,$A306,$B306)</f>
        <v>0</v>
      </c>
      <c r="M306" s="4">
        <f ca="1">_xll.DBRW($B$1,$B$2,$B$7,$B$3,$B$4,$B$5,$F306,$B$6,M$10,$A306,$B306)</f>
        <v>0</v>
      </c>
      <c r="N306" s="4">
        <f ca="1">_xll.DBRW($B$1,$B$2,$B$7,$B$3,$B$4,$B$5,$F306,$B$6,N$10,$A306,$B306)</f>
        <v>0</v>
      </c>
      <c r="O306" s="4">
        <f ca="1">_xll.DBRW($B$1,$B$2,$B$7,$B$3,$B$4,$B$5,$F306,$B$6,O$10,$A306,$B306)</f>
        <v>0</v>
      </c>
      <c r="P306" s="4">
        <f ca="1">_xll.DBRW($B$1,$B$2,$B$7,$B$3,$B$4,$B$5,$F306,$B$6,P$10,$A306,$B306)</f>
        <v>0</v>
      </c>
      <c r="Q306" s="4">
        <f ca="1">_xll.DBRW($B$1,$B$2,$B$7,$B$3,$B$4,$B$5,$F306,$B$6,Q$10,$A306,$B306)</f>
        <v>2</v>
      </c>
      <c r="R306" s="4">
        <f ca="1">_xll.DBRW($B$1,$B$2,$B$7,$B$3,$B$4,$B$5,$F306,$B$6,R$10,$A306,$B306)</f>
        <v>8</v>
      </c>
      <c r="S306" s="4">
        <f ca="1">_xll.DBRW($B$1,$B$2,$B$7,$B$3,$B$4,$B$5,$F306,$B$6,S$10,$A306,$B306)</f>
        <v>0</v>
      </c>
      <c r="T306" s="4">
        <f ca="1">_xll.DBRW($B$1,$B$2,$B$7,$B$3,$B$4,$B$5,$F306,$B$6,T$10,$A306,$B306)</f>
        <v>0</v>
      </c>
      <c r="U306" s="4">
        <f ca="1">_xll.DBRW($B$1,$B$2,$B$7,$B$3,$B$4,$B$5,$F306,$B$6,U$10,$A306,$B306)</f>
        <v>0</v>
      </c>
      <c r="V306" s="4">
        <f ca="1">_xll.DBRW($B$1,$B$2,$B$7,$B$3,$B$4,$B$5,$F306,$B$6,V$10,$A306,$B306)</f>
        <v>0</v>
      </c>
      <c r="W306" s="4">
        <f ca="1">_xll.DBRW($B$1,$B$2,$B$7,$B$3,$B$4,$B$5,$F306,$B$6,W$10,$A306,$B306)</f>
        <v>0</v>
      </c>
      <c r="X306" s="4">
        <f ca="1">_xll.DBRW($B$1,$B$2,$B$7,$B$3,$B$4,$B$5,$F306,$B$6,X$10,$A306,$B306)</f>
        <v>0</v>
      </c>
      <c r="Y306" s="4">
        <f ca="1">_xll.DBRW($B$1,$B$2,$B$7,$B$3,$B$4,$B$5,$F306,$B$6,Y$10,$A306,$B306)</f>
        <v>0</v>
      </c>
      <c r="Z306" s="4">
        <f ca="1">_xll.DBRW($B$1,$B$2,$B$7,$B$3,$B$4,$B$5,$F306,$B$6,Z$10,$A306,$B306)</f>
        <v>0</v>
      </c>
      <c r="AA306" s="4">
        <f ca="1">_xll.DBRW($B$1,$B$2,$B$7,$B$3,$B$4,$B$5,$F306,$B$6,AA$10,$A306,$B306)</f>
        <v>0</v>
      </c>
      <c r="AB306" s="4">
        <f ca="1">_xll.DBRW($B$1,$B$2,$B$7,$B$3,$B$4,$B$5,$F306,$B$6,AB$10,$A306,$B306)</f>
        <v>0</v>
      </c>
      <c r="AC306" s="4">
        <f ca="1">_xll.DBRW($B$1,$B$2,$B$7,$B$3,$B$4,$B$5,$F306,$B$6,AC$10,$A306,$B306)</f>
        <v>0</v>
      </c>
      <c r="AD306" s="4">
        <f ca="1">_xll.DBRW($B$1,$B$2,$B$7,$B$3,$B$4,$B$5,$F306,$B$6,AD$10,$A306,$B306)</f>
        <v>0</v>
      </c>
      <c r="AE306" s="4">
        <f ca="1">_xll.DBRW($B$1,$B$2,$B$7,$B$3,$B$4,$B$5,$F306,$B$6,AE$10,$A306,$B306)</f>
        <v>0</v>
      </c>
    </row>
    <row r="307" spans="1:31">
      <c r="A307" s="1" t="s">
        <v>150</v>
      </c>
      <c r="B307" s="5" t="s">
        <v>230</v>
      </c>
      <c r="C307" s="5" t="s">
        <v>210</v>
      </c>
      <c r="D307" s="5" t="s">
        <v>21</v>
      </c>
      <c r="E307" s="5" t="s">
        <v>211</v>
      </c>
      <c r="F307" s="5" t="s">
        <v>314</v>
      </c>
      <c r="G307" s="6"/>
      <c r="H307" s="6"/>
      <c r="I307" s="6"/>
      <c r="J307" s="6"/>
      <c r="K307" s="6"/>
      <c r="L307" s="4">
        <f ca="1">_xll.DBRW($B$1,$B$2,$B$7,$B$3,$B$4,$B$5,$F307,$B$6,L$10,$A307,$B307)</f>
        <v>0</v>
      </c>
      <c r="M307" s="4">
        <f ca="1">_xll.DBRW($B$1,$B$2,$B$7,$B$3,$B$4,$B$5,$F307,$B$6,M$10,$A307,$B307)</f>
        <v>0</v>
      </c>
      <c r="N307" s="4">
        <f ca="1">_xll.DBRW($B$1,$B$2,$B$7,$B$3,$B$4,$B$5,$F307,$B$6,N$10,$A307,$B307)</f>
        <v>0</v>
      </c>
      <c r="O307" s="4">
        <f ca="1">_xll.DBRW($B$1,$B$2,$B$7,$B$3,$B$4,$B$5,$F307,$B$6,O$10,$A307,$B307)</f>
        <v>0</v>
      </c>
      <c r="P307" s="4">
        <f ca="1">_xll.DBRW($B$1,$B$2,$B$7,$B$3,$B$4,$B$5,$F307,$B$6,P$10,$A307,$B307)</f>
        <v>0</v>
      </c>
      <c r="Q307" s="4">
        <f ca="1">_xll.DBRW($B$1,$B$2,$B$7,$B$3,$B$4,$B$5,$F307,$B$6,Q$10,$A307,$B307)</f>
        <v>0</v>
      </c>
      <c r="R307" s="4">
        <f ca="1">_xll.DBRW($B$1,$B$2,$B$7,$B$3,$B$4,$B$5,$F307,$B$6,R$10,$A307,$B307)</f>
        <v>0</v>
      </c>
      <c r="S307" s="4">
        <f ca="1">_xll.DBRW($B$1,$B$2,$B$7,$B$3,$B$4,$B$5,$F307,$B$6,S$10,$A307,$B307)</f>
        <v>0</v>
      </c>
      <c r="T307" s="4">
        <f ca="1">_xll.DBRW($B$1,$B$2,$B$7,$B$3,$B$4,$B$5,$F307,$B$6,T$10,$A307,$B307)</f>
        <v>0</v>
      </c>
      <c r="U307" s="4">
        <f ca="1">_xll.DBRW($B$1,$B$2,$B$7,$B$3,$B$4,$B$5,$F307,$B$6,U$10,$A307,$B307)</f>
        <v>0</v>
      </c>
      <c r="V307" s="4">
        <f ca="1">_xll.DBRW($B$1,$B$2,$B$7,$B$3,$B$4,$B$5,$F307,$B$6,V$10,$A307,$B307)</f>
        <v>0</v>
      </c>
      <c r="W307" s="4">
        <f ca="1">_xll.DBRW($B$1,$B$2,$B$7,$B$3,$B$4,$B$5,$F307,$B$6,W$10,$A307,$B307)</f>
        <v>4</v>
      </c>
      <c r="X307" s="4">
        <f ca="1">_xll.DBRW($B$1,$B$2,$B$7,$B$3,$B$4,$B$5,$F307,$B$6,X$10,$A307,$B307)</f>
        <v>5</v>
      </c>
      <c r="Y307" s="4">
        <f ca="1">_xll.DBRW($B$1,$B$2,$B$7,$B$3,$B$4,$B$5,$F307,$B$6,Y$10,$A307,$B307)</f>
        <v>4</v>
      </c>
      <c r="Z307" s="4">
        <f ca="1">_xll.DBRW($B$1,$B$2,$B$7,$B$3,$B$4,$B$5,$F307,$B$6,Z$10,$A307,$B307)</f>
        <v>5</v>
      </c>
      <c r="AA307" s="4">
        <f ca="1">_xll.DBRW($B$1,$B$2,$B$7,$B$3,$B$4,$B$5,$F307,$B$6,AA$10,$A307,$B307)</f>
        <v>4</v>
      </c>
      <c r="AB307" s="4">
        <f ca="1">_xll.DBRW($B$1,$B$2,$B$7,$B$3,$B$4,$B$5,$F307,$B$6,AB$10,$A307,$B307)</f>
        <v>4</v>
      </c>
      <c r="AC307" s="4">
        <f ca="1">_xll.DBRW($B$1,$B$2,$B$7,$B$3,$B$4,$B$5,$F307,$B$6,AC$10,$A307,$B307)</f>
        <v>0</v>
      </c>
      <c r="AD307" s="4">
        <f ca="1">_xll.DBRW($B$1,$B$2,$B$7,$B$3,$B$4,$B$5,$F307,$B$6,AD$10,$A307,$B307)</f>
        <v>0</v>
      </c>
      <c r="AE307" s="4">
        <f ca="1">_xll.DBRW($B$1,$B$2,$B$7,$B$3,$B$4,$B$5,$F307,$B$6,AE$10,$A307,$B307)</f>
        <v>0</v>
      </c>
    </row>
    <row r="308" spans="1:31">
      <c r="A308" s="1" t="s">
        <v>150</v>
      </c>
      <c r="B308" s="5" t="s">
        <v>231</v>
      </c>
      <c r="C308" s="5" t="s">
        <v>213</v>
      </c>
      <c r="D308" s="5" t="s">
        <v>211</v>
      </c>
      <c r="E308" s="5" t="s">
        <v>21</v>
      </c>
      <c r="F308" s="5" t="s">
        <v>314</v>
      </c>
      <c r="G308" s="6"/>
      <c r="H308" s="6"/>
      <c r="I308" s="6"/>
      <c r="J308" s="6"/>
      <c r="K308" s="6"/>
      <c r="L308" s="4">
        <f ca="1">_xll.DBRW($B$1,$B$2,$B$7,$B$3,$B$4,$B$5,$F308,$B$6,L$10,$A308,$B308)</f>
        <v>0</v>
      </c>
      <c r="M308" s="4">
        <f ca="1">_xll.DBRW($B$1,$B$2,$B$7,$B$3,$B$4,$B$5,$F308,$B$6,M$10,$A308,$B308)</f>
        <v>0</v>
      </c>
      <c r="N308" s="4">
        <f ca="1">_xll.DBRW($B$1,$B$2,$B$7,$B$3,$B$4,$B$5,$F308,$B$6,N$10,$A308,$B308)</f>
        <v>0</v>
      </c>
      <c r="O308" s="4">
        <f ca="1">_xll.DBRW($B$1,$B$2,$B$7,$B$3,$B$4,$B$5,$F308,$B$6,O$10,$A308,$B308)</f>
        <v>0</v>
      </c>
      <c r="P308" s="4">
        <f ca="1">_xll.DBRW($B$1,$B$2,$B$7,$B$3,$B$4,$B$5,$F308,$B$6,P$10,$A308,$B308)</f>
        <v>0</v>
      </c>
      <c r="Q308" s="4">
        <f ca="1">_xll.DBRW($B$1,$B$2,$B$7,$B$3,$B$4,$B$5,$F308,$B$6,Q$10,$A308,$B308)</f>
        <v>0</v>
      </c>
      <c r="R308" s="4">
        <f ca="1">_xll.DBRW($B$1,$B$2,$B$7,$B$3,$B$4,$B$5,$F308,$B$6,R$10,$A308,$B308)</f>
        <v>0</v>
      </c>
      <c r="S308" s="4">
        <f ca="1">_xll.DBRW($B$1,$B$2,$B$7,$B$3,$B$4,$B$5,$F308,$B$6,S$10,$A308,$B308)</f>
        <v>0</v>
      </c>
      <c r="T308" s="4">
        <f ca="1">_xll.DBRW($B$1,$B$2,$B$7,$B$3,$B$4,$B$5,$F308,$B$6,T$10,$A308,$B308)</f>
        <v>0</v>
      </c>
      <c r="U308" s="4">
        <f ca="1">_xll.DBRW($B$1,$B$2,$B$7,$B$3,$B$4,$B$5,$F308,$B$6,U$10,$A308,$B308)</f>
        <v>0</v>
      </c>
      <c r="V308" s="4">
        <f ca="1">_xll.DBRW($B$1,$B$2,$B$7,$B$3,$B$4,$B$5,$F308,$B$6,V$10,$A308,$B308)</f>
        <v>0</v>
      </c>
      <c r="W308" s="4">
        <f ca="1">_xll.DBRW($B$1,$B$2,$B$7,$B$3,$B$4,$B$5,$F308,$B$6,W$10,$A308,$B308)</f>
        <v>4</v>
      </c>
      <c r="X308" s="4">
        <f ca="1">_xll.DBRW($B$1,$B$2,$B$7,$B$3,$B$4,$B$5,$F308,$B$6,X$10,$A308,$B308)</f>
        <v>5</v>
      </c>
      <c r="Y308" s="4">
        <f ca="1">_xll.DBRW($B$1,$B$2,$B$7,$B$3,$B$4,$B$5,$F308,$B$6,Y$10,$A308,$B308)</f>
        <v>4</v>
      </c>
      <c r="Z308" s="4">
        <f ca="1">_xll.DBRW($B$1,$B$2,$B$7,$B$3,$B$4,$B$5,$F308,$B$6,Z$10,$A308,$B308)</f>
        <v>5</v>
      </c>
      <c r="AA308" s="4">
        <f ca="1">_xll.DBRW($B$1,$B$2,$B$7,$B$3,$B$4,$B$5,$F308,$B$6,AA$10,$A308,$B308)</f>
        <v>4</v>
      </c>
      <c r="AB308" s="4">
        <f ca="1">_xll.DBRW($B$1,$B$2,$B$7,$B$3,$B$4,$B$5,$F308,$B$6,AB$10,$A308,$B308)</f>
        <v>4</v>
      </c>
      <c r="AC308" s="4">
        <f ca="1">_xll.DBRW($B$1,$B$2,$B$7,$B$3,$B$4,$B$5,$F308,$B$6,AC$10,$A308,$B308)</f>
        <v>0</v>
      </c>
      <c r="AD308" s="4">
        <f ca="1">_xll.DBRW($B$1,$B$2,$B$7,$B$3,$B$4,$B$5,$F308,$B$6,AD$10,$A308,$B308)</f>
        <v>0</v>
      </c>
      <c r="AE308" s="4">
        <f ca="1">_xll.DBRW($B$1,$B$2,$B$7,$B$3,$B$4,$B$5,$F308,$B$6,AE$10,$A308,$B308)</f>
        <v>0</v>
      </c>
    </row>
    <row r="309" spans="1:31">
      <c r="A309" s="1" t="s">
        <v>150</v>
      </c>
      <c r="B309" s="5" t="s">
        <v>232</v>
      </c>
      <c r="C309" s="5" t="s">
        <v>233</v>
      </c>
      <c r="D309" s="5" t="s">
        <v>21</v>
      </c>
      <c r="E309" s="5" t="s">
        <v>234</v>
      </c>
      <c r="F309" s="5" t="s">
        <v>314</v>
      </c>
      <c r="G309" s="6"/>
      <c r="H309" s="6"/>
      <c r="I309" s="6"/>
      <c r="J309" s="6"/>
      <c r="K309" s="6"/>
      <c r="L309" s="4">
        <f ca="1">_xll.DBRW($B$1,$B$2,$B$7,$B$3,$B$4,$B$5,$F309,$B$6,L$10,$A309,$B309)</f>
        <v>0</v>
      </c>
      <c r="M309" s="4">
        <f ca="1">_xll.DBRW($B$1,$B$2,$B$7,$B$3,$B$4,$B$5,$F309,$B$6,M$10,$A309,$B309)</f>
        <v>0</v>
      </c>
      <c r="N309" s="4">
        <f ca="1">_xll.DBRW($B$1,$B$2,$B$7,$B$3,$B$4,$B$5,$F309,$B$6,N$10,$A309,$B309)</f>
        <v>0</v>
      </c>
      <c r="O309" s="4">
        <f ca="1">_xll.DBRW($B$1,$B$2,$B$7,$B$3,$B$4,$B$5,$F309,$B$6,O$10,$A309,$B309)</f>
        <v>0</v>
      </c>
      <c r="P309" s="4">
        <f ca="1">_xll.DBRW($B$1,$B$2,$B$7,$B$3,$B$4,$B$5,$F309,$B$6,P$10,$A309,$B309)</f>
        <v>0</v>
      </c>
      <c r="Q309" s="4">
        <f ca="1">_xll.DBRW($B$1,$B$2,$B$7,$B$3,$B$4,$B$5,$F309,$B$6,Q$10,$A309,$B309)</f>
        <v>1</v>
      </c>
      <c r="R309" s="4">
        <f ca="1">_xll.DBRW($B$1,$B$2,$B$7,$B$3,$B$4,$B$5,$F309,$B$6,R$10,$A309,$B309)</f>
        <v>14</v>
      </c>
      <c r="S309" s="4">
        <f ca="1">_xll.DBRW($B$1,$B$2,$B$7,$B$3,$B$4,$B$5,$F309,$B$6,S$10,$A309,$B309)</f>
        <v>13</v>
      </c>
      <c r="T309" s="4">
        <f ca="1">_xll.DBRW($B$1,$B$2,$B$7,$B$3,$B$4,$B$5,$F309,$B$6,T$10,$A309,$B309)</f>
        <v>0</v>
      </c>
      <c r="U309" s="4">
        <f ca="1">_xll.DBRW($B$1,$B$2,$B$7,$B$3,$B$4,$B$5,$F309,$B$6,U$10,$A309,$B309)</f>
        <v>0</v>
      </c>
      <c r="V309" s="4">
        <f ca="1">_xll.DBRW($B$1,$B$2,$B$7,$B$3,$B$4,$B$5,$F309,$B$6,V$10,$A309,$B309)</f>
        <v>0</v>
      </c>
      <c r="W309" s="4">
        <f ca="1">_xll.DBRW($B$1,$B$2,$B$7,$B$3,$B$4,$B$5,$F309,$B$6,W$10,$A309,$B309)</f>
        <v>4</v>
      </c>
      <c r="X309" s="4">
        <f ca="1">_xll.DBRW($B$1,$B$2,$B$7,$B$3,$B$4,$B$5,$F309,$B$6,X$10,$A309,$B309)</f>
        <v>5</v>
      </c>
      <c r="Y309" s="4">
        <f ca="1">_xll.DBRW($B$1,$B$2,$B$7,$B$3,$B$4,$B$5,$F309,$B$6,Y$10,$A309,$B309)</f>
        <v>4</v>
      </c>
      <c r="Z309" s="4">
        <f ca="1">_xll.DBRW($B$1,$B$2,$B$7,$B$3,$B$4,$B$5,$F309,$B$6,Z$10,$A309,$B309)</f>
        <v>4</v>
      </c>
      <c r="AA309" s="4">
        <f ca="1">_xll.DBRW($B$1,$B$2,$B$7,$B$3,$B$4,$B$5,$F309,$B$6,AA$10,$A309,$B309)</f>
        <v>5</v>
      </c>
      <c r="AB309" s="4">
        <f ca="1">_xll.DBRW($B$1,$B$2,$B$7,$B$3,$B$4,$B$5,$F309,$B$6,AB$10,$A309,$B309)</f>
        <v>4</v>
      </c>
      <c r="AC309" s="4">
        <f ca="1">_xll.DBRW($B$1,$B$2,$B$7,$B$3,$B$4,$B$5,$F309,$B$6,AC$10,$A309,$B309)</f>
        <v>0</v>
      </c>
      <c r="AD309" s="4">
        <f ca="1">_xll.DBRW($B$1,$B$2,$B$7,$B$3,$B$4,$B$5,$F309,$B$6,AD$10,$A309,$B309)</f>
        <v>0</v>
      </c>
      <c r="AE309" s="4">
        <f ca="1">_xll.DBRW($B$1,$B$2,$B$7,$B$3,$B$4,$B$5,$F309,$B$6,AE$10,$A309,$B309)</f>
        <v>0</v>
      </c>
    </row>
    <row r="310" spans="1:31">
      <c r="A310" s="1" t="s">
        <v>150</v>
      </c>
      <c r="B310" s="5" t="s">
        <v>235</v>
      </c>
      <c r="C310" s="5" t="s">
        <v>236</v>
      </c>
      <c r="D310" s="5" t="s">
        <v>234</v>
      </c>
      <c r="E310" s="5" t="s">
        <v>21</v>
      </c>
      <c r="F310" s="5" t="s">
        <v>314</v>
      </c>
      <c r="G310" s="6"/>
      <c r="H310" s="6"/>
      <c r="I310" s="6"/>
      <c r="J310" s="6"/>
      <c r="K310" s="6"/>
      <c r="L310" s="4">
        <f ca="1">_xll.DBRW($B$1,$B$2,$B$7,$B$3,$B$4,$B$5,$F310,$B$6,L$10,$A310,$B310)</f>
        <v>0</v>
      </c>
      <c r="M310" s="4">
        <f ca="1">_xll.DBRW($B$1,$B$2,$B$7,$B$3,$B$4,$B$5,$F310,$B$6,M$10,$A310,$B310)</f>
        <v>0</v>
      </c>
      <c r="N310" s="4">
        <f ca="1">_xll.DBRW($B$1,$B$2,$B$7,$B$3,$B$4,$B$5,$F310,$B$6,N$10,$A310,$B310)</f>
        <v>0</v>
      </c>
      <c r="O310" s="4">
        <f ca="1">_xll.DBRW($B$1,$B$2,$B$7,$B$3,$B$4,$B$5,$F310,$B$6,O$10,$A310,$B310)</f>
        <v>0</v>
      </c>
      <c r="P310" s="4">
        <f ca="1">_xll.DBRW($B$1,$B$2,$B$7,$B$3,$B$4,$B$5,$F310,$B$6,P$10,$A310,$B310)</f>
        <v>0</v>
      </c>
      <c r="Q310" s="4">
        <f ca="1">_xll.DBRW($B$1,$B$2,$B$7,$B$3,$B$4,$B$5,$F310,$B$6,Q$10,$A310,$B310)</f>
        <v>1</v>
      </c>
      <c r="R310" s="4">
        <f ca="1">_xll.DBRW($B$1,$B$2,$B$7,$B$3,$B$4,$B$5,$F310,$B$6,R$10,$A310,$B310)</f>
        <v>14</v>
      </c>
      <c r="S310" s="4">
        <f ca="1">_xll.DBRW($B$1,$B$2,$B$7,$B$3,$B$4,$B$5,$F310,$B$6,S$10,$A310,$B310)</f>
        <v>13</v>
      </c>
      <c r="T310" s="4">
        <f ca="1">_xll.DBRW($B$1,$B$2,$B$7,$B$3,$B$4,$B$5,$F310,$B$6,T$10,$A310,$B310)</f>
        <v>0</v>
      </c>
      <c r="U310" s="4">
        <f ca="1">_xll.DBRW($B$1,$B$2,$B$7,$B$3,$B$4,$B$5,$F310,$B$6,U$10,$A310,$B310)</f>
        <v>0</v>
      </c>
      <c r="V310" s="4">
        <f ca="1">_xll.DBRW($B$1,$B$2,$B$7,$B$3,$B$4,$B$5,$F310,$B$6,V$10,$A310,$B310)</f>
        <v>0</v>
      </c>
      <c r="W310" s="4">
        <f ca="1">_xll.DBRW($B$1,$B$2,$B$7,$B$3,$B$4,$B$5,$F310,$B$6,W$10,$A310,$B310)</f>
        <v>4</v>
      </c>
      <c r="X310" s="4">
        <f ca="1">_xll.DBRW($B$1,$B$2,$B$7,$B$3,$B$4,$B$5,$F310,$B$6,X$10,$A310,$B310)</f>
        <v>5</v>
      </c>
      <c r="Y310" s="4">
        <f ca="1">_xll.DBRW($B$1,$B$2,$B$7,$B$3,$B$4,$B$5,$F310,$B$6,Y$10,$A310,$B310)</f>
        <v>4</v>
      </c>
      <c r="Z310" s="4">
        <f ca="1">_xll.DBRW($B$1,$B$2,$B$7,$B$3,$B$4,$B$5,$F310,$B$6,Z$10,$A310,$B310)</f>
        <v>4</v>
      </c>
      <c r="AA310" s="4">
        <f ca="1">_xll.DBRW($B$1,$B$2,$B$7,$B$3,$B$4,$B$5,$F310,$B$6,AA$10,$A310,$B310)</f>
        <v>5</v>
      </c>
      <c r="AB310" s="4">
        <f ca="1">_xll.DBRW($B$1,$B$2,$B$7,$B$3,$B$4,$B$5,$F310,$B$6,AB$10,$A310,$B310)</f>
        <v>4</v>
      </c>
      <c r="AC310" s="4">
        <f ca="1">_xll.DBRW($B$1,$B$2,$B$7,$B$3,$B$4,$B$5,$F310,$B$6,AC$10,$A310,$B310)</f>
        <v>0</v>
      </c>
      <c r="AD310" s="4">
        <f ca="1">_xll.DBRW($B$1,$B$2,$B$7,$B$3,$B$4,$B$5,$F310,$B$6,AD$10,$A310,$B310)</f>
        <v>0</v>
      </c>
      <c r="AE310" s="4">
        <f ca="1">_xll.DBRW($B$1,$B$2,$B$7,$B$3,$B$4,$B$5,$F310,$B$6,AE$10,$A310,$B310)</f>
        <v>0</v>
      </c>
    </row>
    <row r="311" spans="1:31">
      <c r="A311" s="1" t="s">
        <v>150</v>
      </c>
      <c r="B311" s="5" t="s">
        <v>237</v>
      </c>
      <c r="C311" s="5" t="s">
        <v>238</v>
      </c>
      <c r="D311" s="5" t="s">
        <v>21</v>
      </c>
      <c r="E311" s="5" t="s">
        <v>239</v>
      </c>
      <c r="F311" s="5" t="s">
        <v>314</v>
      </c>
      <c r="G311" s="6"/>
      <c r="H311" s="6"/>
      <c r="I311" s="6"/>
      <c r="J311" s="6"/>
      <c r="K311" s="6"/>
      <c r="L311" s="4">
        <f ca="1">_xll.DBRW($B$1,$B$2,$B$7,$B$3,$B$4,$B$5,$F311,$B$6,L$10,$A311,$B311)</f>
        <v>0</v>
      </c>
      <c r="M311" s="4">
        <f ca="1">_xll.DBRW($B$1,$B$2,$B$7,$B$3,$B$4,$B$5,$F311,$B$6,M$10,$A311,$B311)</f>
        <v>0</v>
      </c>
      <c r="N311" s="4">
        <f ca="1">_xll.DBRW($B$1,$B$2,$B$7,$B$3,$B$4,$B$5,$F311,$B$6,N$10,$A311,$B311)</f>
        <v>0</v>
      </c>
      <c r="O311" s="4">
        <f ca="1">_xll.DBRW($B$1,$B$2,$B$7,$B$3,$B$4,$B$5,$F311,$B$6,O$10,$A311,$B311)</f>
        <v>0</v>
      </c>
      <c r="P311" s="4">
        <f ca="1">_xll.DBRW($B$1,$B$2,$B$7,$B$3,$B$4,$B$5,$F311,$B$6,P$10,$A311,$B311)</f>
        <v>0</v>
      </c>
      <c r="Q311" s="4">
        <f ca="1">_xll.DBRW($B$1,$B$2,$B$7,$B$3,$B$4,$B$5,$F311,$B$6,Q$10,$A311,$B311)</f>
        <v>0</v>
      </c>
      <c r="R311" s="4">
        <f ca="1">_xll.DBRW($B$1,$B$2,$B$7,$B$3,$B$4,$B$5,$F311,$B$6,R$10,$A311,$B311)</f>
        <v>0</v>
      </c>
      <c r="S311" s="4">
        <f ca="1">_xll.DBRW($B$1,$B$2,$B$7,$B$3,$B$4,$B$5,$F311,$B$6,S$10,$A311,$B311)</f>
        <v>0</v>
      </c>
      <c r="T311" s="4">
        <f ca="1">_xll.DBRW($B$1,$B$2,$B$7,$B$3,$B$4,$B$5,$F311,$B$6,T$10,$A311,$B311)</f>
        <v>0</v>
      </c>
      <c r="U311" s="4">
        <f ca="1">_xll.DBRW($B$1,$B$2,$B$7,$B$3,$B$4,$B$5,$F311,$B$6,U$10,$A311,$B311)</f>
        <v>0</v>
      </c>
      <c r="V311" s="4">
        <f ca="1">_xll.DBRW($B$1,$B$2,$B$7,$B$3,$B$4,$B$5,$F311,$B$6,V$10,$A311,$B311)</f>
        <v>0</v>
      </c>
      <c r="W311" s="4">
        <f ca="1">_xll.DBRW($B$1,$B$2,$B$7,$B$3,$B$4,$B$5,$F311,$B$6,W$10,$A311,$B311)</f>
        <v>0</v>
      </c>
      <c r="X311" s="4">
        <f ca="1">_xll.DBRW($B$1,$B$2,$B$7,$B$3,$B$4,$B$5,$F311,$B$6,X$10,$A311,$B311)</f>
        <v>0</v>
      </c>
      <c r="Y311" s="4">
        <f ca="1">_xll.DBRW($B$1,$B$2,$B$7,$B$3,$B$4,$B$5,$F311,$B$6,Y$10,$A311,$B311)</f>
        <v>0</v>
      </c>
      <c r="Z311" s="4">
        <f ca="1">_xll.DBRW($B$1,$B$2,$B$7,$B$3,$B$4,$B$5,$F311,$B$6,Z$10,$A311,$B311)</f>
        <v>0</v>
      </c>
      <c r="AA311" s="4">
        <f ca="1">_xll.DBRW($B$1,$B$2,$B$7,$B$3,$B$4,$B$5,$F311,$B$6,AA$10,$A311,$B311)</f>
        <v>0</v>
      </c>
      <c r="AB311" s="4">
        <f ca="1">_xll.DBRW($B$1,$B$2,$B$7,$B$3,$B$4,$B$5,$F311,$B$6,AB$10,$A311,$B311)</f>
        <v>0</v>
      </c>
      <c r="AC311" s="4">
        <f ca="1">_xll.DBRW($B$1,$B$2,$B$7,$B$3,$B$4,$B$5,$F311,$B$6,AC$10,$A311,$B311)</f>
        <v>0</v>
      </c>
      <c r="AD311" s="4">
        <f ca="1">_xll.DBRW($B$1,$B$2,$B$7,$B$3,$B$4,$B$5,$F311,$B$6,AD$10,$A311,$B311)</f>
        <v>0</v>
      </c>
      <c r="AE311" s="4">
        <f ca="1">_xll.DBRW($B$1,$B$2,$B$7,$B$3,$B$4,$B$5,$F311,$B$6,AE$10,$A311,$B311)</f>
        <v>0</v>
      </c>
    </row>
    <row r="312" spans="1:31">
      <c r="A312" s="1" t="s">
        <v>150</v>
      </c>
      <c r="B312" s="5" t="s">
        <v>240</v>
      </c>
      <c r="C312" s="5" t="s">
        <v>241</v>
      </c>
      <c r="D312" s="5" t="s">
        <v>239</v>
      </c>
      <c r="E312" s="5" t="s">
        <v>21</v>
      </c>
      <c r="F312" s="5" t="s">
        <v>314</v>
      </c>
      <c r="G312" s="6"/>
      <c r="H312" s="6"/>
      <c r="I312" s="6"/>
      <c r="J312" s="6"/>
      <c r="K312" s="6"/>
      <c r="L312" s="4">
        <f ca="1">_xll.DBRW($B$1,$B$2,$B$7,$B$3,$B$4,$B$5,$F312,$B$6,L$10,$A312,$B312)</f>
        <v>0</v>
      </c>
      <c r="M312" s="4">
        <f ca="1">_xll.DBRW($B$1,$B$2,$B$7,$B$3,$B$4,$B$5,$F312,$B$6,M$10,$A312,$B312)</f>
        <v>0</v>
      </c>
      <c r="N312" s="4">
        <f ca="1">_xll.DBRW($B$1,$B$2,$B$7,$B$3,$B$4,$B$5,$F312,$B$6,N$10,$A312,$B312)</f>
        <v>0</v>
      </c>
      <c r="O312" s="4">
        <f ca="1">_xll.DBRW($B$1,$B$2,$B$7,$B$3,$B$4,$B$5,$F312,$B$6,O$10,$A312,$B312)</f>
        <v>0</v>
      </c>
      <c r="P312" s="4">
        <f ca="1">_xll.DBRW($B$1,$B$2,$B$7,$B$3,$B$4,$B$5,$F312,$B$6,P$10,$A312,$B312)</f>
        <v>0</v>
      </c>
      <c r="Q312" s="4">
        <f ca="1">_xll.DBRW($B$1,$B$2,$B$7,$B$3,$B$4,$B$5,$F312,$B$6,Q$10,$A312,$B312)</f>
        <v>0</v>
      </c>
      <c r="R312" s="4">
        <f ca="1">_xll.DBRW($B$1,$B$2,$B$7,$B$3,$B$4,$B$5,$F312,$B$6,R$10,$A312,$B312)</f>
        <v>0</v>
      </c>
      <c r="S312" s="4">
        <f ca="1">_xll.DBRW($B$1,$B$2,$B$7,$B$3,$B$4,$B$5,$F312,$B$6,S$10,$A312,$B312)</f>
        <v>0</v>
      </c>
      <c r="T312" s="4">
        <f ca="1">_xll.DBRW($B$1,$B$2,$B$7,$B$3,$B$4,$B$5,$F312,$B$6,T$10,$A312,$B312)</f>
        <v>0</v>
      </c>
      <c r="U312" s="4">
        <f ca="1">_xll.DBRW($B$1,$B$2,$B$7,$B$3,$B$4,$B$5,$F312,$B$6,U$10,$A312,$B312)</f>
        <v>0</v>
      </c>
      <c r="V312" s="4">
        <f ca="1">_xll.DBRW($B$1,$B$2,$B$7,$B$3,$B$4,$B$5,$F312,$B$6,V$10,$A312,$B312)</f>
        <v>0</v>
      </c>
      <c r="W312" s="4">
        <f ca="1">_xll.DBRW($B$1,$B$2,$B$7,$B$3,$B$4,$B$5,$F312,$B$6,W$10,$A312,$B312)</f>
        <v>0</v>
      </c>
      <c r="X312" s="4">
        <f ca="1">_xll.DBRW($B$1,$B$2,$B$7,$B$3,$B$4,$B$5,$F312,$B$6,X$10,$A312,$B312)</f>
        <v>0</v>
      </c>
      <c r="Y312" s="4">
        <f ca="1">_xll.DBRW($B$1,$B$2,$B$7,$B$3,$B$4,$B$5,$F312,$B$6,Y$10,$A312,$B312)</f>
        <v>0</v>
      </c>
      <c r="Z312" s="4">
        <f ca="1">_xll.DBRW($B$1,$B$2,$B$7,$B$3,$B$4,$B$5,$F312,$B$6,Z$10,$A312,$B312)</f>
        <v>0</v>
      </c>
      <c r="AA312" s="4">
        <f ca="1">_xll.DBRW($B$1,$B$2,$B$7,$B$3,$B$4,$B$5,$F312,$B$6,AA$10,$A312,$B312)</f>
        <v>0</v>
      </c>
      <c r="AB312" s="4">
        <f ca="1">_xll.DBRW($B$1,$B$2,$B$7,$B$3,$B$4,$B$5,$F312,$B$6,AB$10,$A312,$B312)</f>
        <v>0</v>
      </c>
      <c r="AC312" s="4">
        <f ca="1">_xll.DBRW($B$1,$B$2,$B$7,$B$3,$B$4,$B$5,$F312,$B$6,AC$10,$A312,$B312)</f>
        <v>0</v>
      </c>
      <c r="AD312" s="4">
        <f ca="1">_xll.DBRW($B$1,$B$2,$B$7,$B$3,$B$4,$B$5,$F312,$B$6,AD$10,$A312,$B312)</f>
        <v>0</v>
      </c>
      <c r="AE312" s="4">
        <f ca="1">_xll.DBRW($B$1,$B$2,$B$7,$B$3,$B$4,$B$5,$F312,$B$6,AE$10,$A312,$B312)</f>
        <v>0</v>
      </c>
    </row>
    <row r="313" spans="1:31">
      <c r="A313" s="1" t="s">
        <v>150</v>
      </c>
      <c r="B313" s="5" t="s">
        <v>242</v>
      </c>
      <c r="C313" s="5" t="s">
        <v>243</v>
      </c>
      <c r="D313" s="5" t="s">
        <v>21</v>
      </c>
      <c r="E313" s="5" t="s">
        <v>244</v>
      </c>
      <c r="F313" s="5" t="s">
        <v>314</v>
      </c>
      <c r="G313" s="6"/>
      <c r="H313" s="6"/>
      <c r="I313" s="6"/>
      <c r="J313" s="6"/>
      <c r="K313" s="6"/>
      <c r="L313" s="4">
        <f ca="1">_xll.DBRW($B$1,$B$2,$B$7,$B$3,$B$4,$B$5,$F313,$B$6,L$10,$A313,$B313)</f>
        <v>0</v>
      </c>
      <c r="M313" s="4">
        <f ca="1">_xll.DBRW($B$1,$B$2,$B$7,$B$3,$B$4,$B$5,$F313,$B$6,M$10,$A313,$B313)</f>
        <v>0</v>
      </c>
      <c r="N313" s="4">
        <f ca="1">_xll.DBRW($B$1,$B$2,$B$7,$B$3,$B$4,$B$5,$F313,$B$6,N$10,$A313,$B313)</f>
        <v>0</v>
      </c>
      <c r="O313" s="4">
        <f ca="1">_xll.DBRW($B$1,$B$2,$B$7,$B$3,$B$4,$B$5,$F313,$B$6,O$10,$A313,$B313)</f>
        <v>0</v>
      </c>
      <c r="P313" s="4">
        <f ca="1">_xll.DBRW($B$1,$B$2,$B$7,$B$3,$B$4,$B$5,$F313,$B$6,P$10,$A313,$B313)</f>
        <v>0</v>
      </c>
      <c r="Q313" s="4">
        <f ca="1">_xll.DBRW($B$1,$B$2,$B$7,$B$3,$B$4,$B$5,$F313,$B$6,Q$10,$A313,$B313)</f>
        <v>1</v>
      </c>
      <c r="R313" s="4">
        <f ca="1">_xll.DBRW($B$1,$B$2,$B$7,$B$3,$B$4,$B$5,$F313,$B$6,R$10,$A313,$B313)</f>
        <v>4</v>
      </c>
      <c r="S313" s="4">
        <f ca="1">_xll.DBRW($B$1,$B$2,$B$7,$B$3,$B$4,$B$5,$F313,$B$6,S$10,$A313,$B313)</f>
        <v>13</v>
      </c>
      <c r="T313" s="4">
        <f ca="1">_xll.DBRW($B$1,$B$2,$B$7,$B$3,$B$4,$B$5,$F313,$B$6,T$10,$A313,$B313)</f>
        <v>0</v>
      </c>
      <c r="U313" s="4">
        <f ca="1">_xll.DBRW($B$1,$B$2,$B$7,$B$3,$B$4,$B$5,$F313,$B$6,U$10,$A313,$B313)</f>
        <v>0</v>
      </c>
      <c r="V313" s="4">
        <f ca="1">_xll.DBRW($B$1,$B$2,$B$7,$B$3,$B$4,$B$5,$F313,$B$6,V$10,$A313,$B313)</f>
        <v>0</v>
      </c>
      <c r="W313" s="4">
        <f ca="1">_xll.DBRW($B$1,$B$2,$B$7,$B$3,$B$4,$B$5,$F313,$B$6,W$10,$A313,$B313)</f>
        <v>0</v>
      </c>
      <c r="X313" s="4">
        <f ca="1">_xll.DBRW($B$1,$B$2,$B$7,$B$3,$B$4,$B$5,$F313,$B$6,X$10,$A313,$B313)</f>
        <v>0</v>
      </c>
      <c r="Y313" s="4">
        <f ca="1">_xll.DBRW($B$1,$B$2,$B$7,$B$3,$B$4,$B$5,$F313,$B$6,Y$10,$A313,$B313)</f>
        <v>0</v>
      </c>
      <c r="Z313" s="4">
        <f ca="1">_xll.DBRW($B$1,$B$2,$B$7,$B$3,$B$4,$B$5,$F313,$B$6,Z$10,$A313,$B313)</f>
        <v>0</v>
      </c>
      <c r="AA313" s="4">
        <f ca="1">_xll.DBRW($B$1,$B$2,$B$7,$B$3,$B$4,$B$5,$F313,$B$6,AA$10,$A313,$B313)</f>
        <v>0</v>
      </c>
      <c r="AB313" s="4">
        <f ca="1">_xll.DBRW($B$1,$B$2,$B$7,$B$3,$B$4,$B$5,$F313,$B$6,AB$10,$A313,$B313)</f>
        <v>0</v>
      </c>
      <c r="AC313" s="4">
        <f ca="1">_xll.DBRW($B$1,$B$2,$B$7,$B$3,$B$4,$B$5,$F313,$B$6,AC$10,$A313,$B313)</f>
        <v>0</v>
      </c>
      <c r="AD313" s="4">
        <f ca="1">_xll.DBRW($B$1,$B$2,$B$7,$B$3,$B$4,$B$5,$F313,$B$6,AD$10,$A313,$B313)</f>
        <v>0</v>
      </c>
      <c r="AE313" s="4">
        <f ca="1">_xll.DBRW($B$1,$B$2,$B$7,$B$3,$B$4,$B$5,$F313,$B$6,AE$10,$A313,$B313)</f>
        <v>0</v>
      </c>
    </row>
    <row r="314" spans="1:31">
      <c r="A314" s="1" t="s">
        <v>150</v>
      </c>
      <c r="B314" s="5" t="s">
        <v>245</v>
      </c>
      <c r="C314" s="5" t="s">
        <v>246</v>
      </c>
      <c r="D314" s="5" t="s">
        <v>244</v>
      </c>
      <c r="E314" s="5" t="s">
        <v>21</v>
      </c>
      <c r="F314" s="5" t="s">
        <v>314</v>
      </c>
      <c r="G314" s="6"/>
      <c r="H314" s="6"/>
      <c r="I314" s="6"/>
      <c r="J314" s="6"/>
      <c r="K314" s="6"/>
      <c r="L314" s="4">
        <f ca="1">_xll.DBRW($B$1,$B$2,$B$7,$B$3,$B$4,$B$5,$F314,$B$6,L$10,$A314,$B314)</f>
        <v>0</v>
      </c>
      <c r="M314" s="4">
        <f ca="1">_xll.DBRW($B$1,$B$2,$B$7,$B$3,$B$4,$B$5,$F314,$B$6,M$10,$A314,$B314)</f>
        <v>0</v>
      </c>
      <c r="N314" s="4">
        <f ca="1">_xll.DBRW($B$1,$B$2,$B$7,$B$3,$B$4,$B$5,$F314,$B$6,N$10,$A314,$B314)</f>
        <v>0</v>
      </c>
      <c r="O314" s="4">
        <f ca="1">_xll.DBRW($B$1,$B$2,$B$7,$B$3,$B$4,$B$5,$F314,$B$6,O$10,$A314,$B314)</f>
        <v>0</v>
      </c>
      <c r="P314" s="4">
        <f ca="1">_xll.DBRW($B$1,$B$2,$B$7,$B$3,$B$4,$B$5,$F314,$B$6,P$10,$A314,$B314)</f>
        <v>0</v>
      </c>
      <c r="Q314" s="4">
        <f ca="1">_xll.DBRW($B$1,$B$2,$B$7,$B$3,$B$4,$B$5,$F314,$B$6,Q$10,$A314,$B314)</f>
        <v>1</v>
      </c>
      <c r="R314" s="4">
        <f ca="1">_xll.DBRW($B$1,$B$2,$B$7,$B$3,$B$4,$B$5,$F314,$B$6,R$10,$A314,$B314)</f>
        <v>4</v>
      </c>
      <c r="S314" s="4">
        <f ca="1">_xll.DBRW($B$1,$B$2,$B$7,$B$3,$B$4,$B$5,$F314,$B$6,S$10,$A314,$B314)</f>
        <v>13</v>
      </c>
      <c r="T314" s="4">
        <f ca="1">_xll.DBRW($B$1,$B$2,$B$7,$B$3,$B$4,$B$5,$F314,$B$6,T$10,$A314,$B314)</f>
        <v>0</v>
      </c>
      <c r="U314" s="4">
        <f ca="1">_xll.DBRW($B$1,$B$2,$B$7,$B$3,$B$4,$B$5,$F314,$B$6,U$10,$A314,$B314)</f>
        <v>0</v>
      </c>
      <c r="V314" s="4">
        <f ca="1">_xll.DBRW($B$1,$B$2,$B$7,$B$3,$B$4,$B$5,$F314,$B$6,V$10,$A314,$B314)</f>
        <v>0</v>
      </c>
      <c r="W314" s="4">
        <f ca="1">_xll.DBRW($B$1,$B$2,$B$7,$B$3,$B$4,$B$5,$F314,$B$6,W$10,$A314,$B314)</f>
        <v>0</v>
      </c>
      <c r="X314" s="4">
        <f ca="1">_xll.DBRW($B$1,$B$2,$B$7,$B$3,$B$4,$B$5,$F314,$B$6,X$10,$A314,$B314)</f>
        <v>0</v>
      </c>
      <c r="Y314" s="4">
        <f ca="1">_xll.DBRW($B$1,$B$2,$B$7,$B$3,$B$4,$B$5,$F314,$B$6,Y$10,$A314,$B314)</f>
        <v>0</v>
      </c>
      <c r="Z314" s="4">
        <f ca="1">_xll.DBRW($B$1,$B$2,$B$7,$B$3,$B$4,$B$5,$F314,$B$6,Z$10,$A314,$B314)</f>
        <v>0</v>
      </c>
      <c r="AA314" s="4">
        <f ca="1">_xll.DBRW($B$1,$B$2,$B$7,$B$3,$B$4,$B$5,$F314,$B$6,AA$10,$A314,$B314)</f>
        <v>0</v>
      </c>
      <c r="AB314" s="4">
        <f ca="1">_xll.DBRW($B$1,$B$2,$B$7,$B$3,$B$4,$B$5,$F314,$B$6,AB$10,$A314,$B314)</f>
        <v>0</v>
      </c>
      <c r="AC314" s="4">
        <f ca="1">_xll.DBRW($B$1,$B$2,$B$7,$B$3,$B$4,$B$5,$F314,$B$6,AC$10,$A314,$B314)</f>
        <v>0</v>
      </c>
      <c r="AD314" s="4">
        <f ca="1">_xll.DBRW($B$1,$B$2,$B$7,$B$3,$B$4,$B$5,$F314,$B$6,AD$10,$A314,$B314)</f>
        <v>0</v>
      </c>
      <c r="AE314" s="4">
        <f ca="1">_xll.DBRW($B$1,$B$2,$B$7,$B$3,$B$4,$B$5,$F314,$B$6,AE$10,$A314,$B314)</f>
        <v>0</v>
      </c>
    </row>
    <row r="315" spans="1:31">
      <c r="A315" s="1" t="s">
        <v>150</v>
      </c>
      <c r="B315" s="5" t="s">
        <v>247</v>
      </c>
      <c r="C315" s="5" t="s">
        <v>248</v>
      </c>
      <c r="D315" s="5" t="s">
        <v>21</v>
      </c>
      <c r="E315" s="5" t="s">
        <v>249</v>
      </c>
      <c r="F315" s="5" t="s">
        <v>314</v>
      </c>
      <c r="G315" s="6"/>
      <c r="H315" s="6"/>
      <c r="I315" s="6"/>
      <c r="J315" s="6"/>
      <c r="K315" s="6"/>
      <c r="L315" s="4">
        <f ca="1">_xll.DBRW($B$1,$B$2,$B$7,$B$3,$B$4,$B$5,$F315,$B$6,L$10,$A315,$B315)</f>
        <v>0</v>
      </c>
      <c r="M315" s="4">
        <f ca="1">_xll.DBRW($B$1,$B$2,$B$7,$B$3,$B$4,$B$5,$F315,$B$6,M$10,$A315,$B315)</f>
        <v>0</v>
      </c>
      <c r="N315" s="4">
        <f ca="1">_xll.DBRW($B$1,$B$2,$B$7,$B$3,$B$4,$B$5,$F315,$B$6,N$10,$A315,$B315)</f>
        <v>0</v>
      </c>
      <c r="O315" s="4">
        <f ca="1">_xll.DBRW($B$1,$B$2,$B$7,$B$3,$B$4,$B$5,$F315,$B$6,O$10,$A315,$B315)</f>
        <v>0</v>
      </c>
      <c r="P315" s="4">
        <f ca="1">_xll.DBRW($B$1,$B$2,$B$7,$B$3,$B$4,$B$5,$F315,$B$6,P$10,$A315,$B315)</f>
        <v>0</v>
      </c>
      <c r="Q315" s="4">
        <f ca="1">_xll.DBRW($B$1,$B$2,$B$7,$B$3,$B$4,$B$5,$F315,$B$6,Q$10,$A315,$B315)</f>
        <v>0</v>
      </c>
      <c r="R315" s="4">
        <f ca="1">_xll.DBRW($B$1,$B$2,$B$7,$B$3,$B$4,$B$5,$F315,$B$6,R$10,$A315,$B315)</f>
        <v>0</v>
      </c>
      <c r="S315" s="4">
        <f ca="1">_xll.DBRW($B$1,$B$2,$B$7,$B$3,$B$4,$B$5,$F315,$B$6,S$10,$A315,$B315)</f>
        <v>0</v>
      </c>
      <c r="T315" s="4">
        <f ca="1">_xll.DBRW($B$1,$B$2,$B$7,$B$3,$B$4,$B$5,$F315,$B$6,T$10,$A315,$B315)</f>
        <v>0</v>
      </c>
      <c r="U315" s="4">
        <f ca="1">_xll.DBRW($B$1,$B$2,$B$7,$B$3,$B$4,$B$5,$F315,$B$6,U$10,$A315,$B315)</f>
        <v>0</v>
      </c>
      <c r="V315" s="4">
        <f ca="1">_xll.DBRW($B$1,$B$2,$B$7,$B$3,$B$4,$B$5,$F315,$B$6,V$10,$A315,$B315)</f>
        <v>0</v>
      </c>
      <c r="W315" s="4">
        <f ca="1">_xll.DBRW($B$1,$B$2,$B$7,$B$3,$B$4,$B$5,$F315,$B$6,W$10,$A315,$B315)</f>
        <v>0</v>
      </c>
      <c r="X315" s="4">
        <f ca="1">_xll.DBRW($B$1,$B$2,$B$7,$B$3,$B$4,$B$5,$F315,$B$6,X$10,$A315,$B315)</f>
        <v>0</v>
      </c>
      <c r="Y315" s="4">
        <f ca="1">_xll.DBRW($B$1,$B$2,$B$7,$B$3,$B$4,$B$5,$F315,$B$6,Y$10,$A315,$B315)</f>
        <v>0</v>
      </c>
      <c r="Z315" s="4">
        <f ca="1">_xll.DBRW($B$1,$B$2,$B$7,$B$3,$B$4,$B$5,$F315,$B$6,Z$10,$A315,$B315)</f>
        <v>0</v>
      </c>
      <c r="AA315" s="4">
        <f ca="1">_xll.DBRW($B$1,$B$2,$B$7,$B$3,$B$4,$B$5,$F315,$B$6,AA$10,$A315,$B315)</f>
        <v>0</v>
      </c>
      <c r="AB315" s="4">
        <f ca="1">_xll.DBRW($B$1,$B$2,$B$7,$B$3,$B$4,$B$5,$F315,$B$6,AB$10,$A315,$B315)</f>
        <v>0</v>
      </c>
      <c r="AC315" s="4">
        <f ca="1">_xll.DBRW($B$1,$B$2,$B$7,$B$3,$B$4,$B$5,$F315,$B$6,AC$10,$A315,$B315)</f>
        <v>0</v>
      </c>
      <c r="AD315" s="4">
        <f ca="1">_xll.DBRW($B$1,$B$2,$B$7,$B$3,$B$4,$B$5,$F315,$B$6,AD$10,$A315,$B315)</f>
        <v>0</v>
      </c>
      <c r="AE315" s="4">
        <f ca="1">_xll.DBRW($B$1,$B$2,$B$7,$B$3,$B$4,$B$5,$F315,$B$6,AE$10,$A315,$B315)</f>
        <v>0</v>
      </c>
    </row>
    <row r="316" spans="1:31">
      <c r="A316" s="1" t="s">
        <v>150</v>
      </c>
      <c r="B316" s="5" t="s">
        <v>250</v>
      </c>
      <c r="C316" s="5" t="s">
        <v>251</v>
      </c>
      <c r="D316" s="5" t="s">
        <v>249</v>
      </c>
      <c r="E316" s="5" t="s">
        <v>21</v>
      </c>
      <c r="F316" s="5" t="s">
        <v>314</v>
      </c>
      <c r="G316" s="6"/>
      <c r="H316" s="6"/>
      <c r="I316" s="6"/>
      <c r="J316" s="6"/>
      <c r="K316" s="6"/>
      <c r="L316" s="4">
        <f ca="1">_xll.DBRW($B$1,$B$2,$B$7,$B$3,$B$4,$B$5,$F316,$B$6,L$10,$A316,$B316)</f>
        <v>0</v>
      </c>
      <c r="M316" s="4">
        <f ca="1">_xll.DBRW($B$1,$B$2,$B$7,$B$3,$B$4,$B$5,$F316,$B$6,M$10,$A316,$B316)</f>
        <v>0</v>
      </c>
      <c r="N316" s="4">
        <f ca="1">_xll.DBRW($B$1,$B$2,$B$7,$B$3,$B$4,$B$5,$F316,$B$6,N$10,$A316,$B316)</f>
        <v>0</v>
      </c>
      <c r="O316" s="4">
        <f ca="1">_xll.DBRW($B$1,$B$2,$B$7,$B$3,$B$4,$B$5,$F316,$B$6,O$10,$A316,$B316)</f>
        <v>0</v>
      </c>
      <c r="P316" s="4">
        <f ca="1">_xll.DBRW($B$1,$B$2,$B$7,$B$3,$B$4,$B$5,$F316,$B$6,P$10,$A316,$B316)</f>
        <v>0</v>
      </c>
      <c r="Q316" s="4">
        <f ca="1">_xll.DBRW($B$1,$B$2,$B$7,$B$3,$B$4,$B$5,$F316,$B$6,Q$10,$A316,$B316)</f>
        <v>0</v>
      </c>
      <c r="R316" s="4">
        <f ca="1">_xll.DBRW($B$1,$B$2,$B$7,$B$3,$B$4,$B$5,$F316,$B$6,R$10,$A316,$B316)</f>
        <v>0</v>
      </c>
      <c r="S316" s="4">
        <f ca="1">_xll.DBRW($B$1,$B$2,$B$7,$B$3,$B$4,$B$5,$F316,$B$6,S$10,$A316,$B316)</f>
        <v>0</v>
      </c>
      <c r="T316" s="4">
        <f ca="1">_xll.DBRW($B$1,$B$2,$B$7,$B$3,$B$4,$B$5,$F316,$B$6,T$10,$A316,$B316)</f>
        <v>0</v>
      </c>
      <c r="U316" s="4">
        <f ca="1">_xll.DBRW($B$1,$B$2,$B$7,$B$3,$B$4,$B$5,$F316,$B$6,U$10,$A316,$B316)</f>
        <v>0</v>
      </c>
      <c r="V316" s="4">
        <f ca="1">_xll.DBRW($B$1,$B$2,$B$7,$B$3,$B$4,$B$5,$F316,$B$6,V$10,$A316,$B316)</f>
        <v>0</v>
      </c>
      <c r="W316" s="4">
        <f ca="1">_xll.DBRW($B$1,$B$2,$B$7,$B$3,$B$4,$B$5,$F316,$B$6,W$10,$A316,$B316)</f>
        <v>0</v>
      </c>
      <c r="X316" s="4">
        <f ca="1">_xll.DBRW($B$1,$B$2,$B$7,$B$3,$B$4,$B$5,$F316,$B$6,X$10,$A316,$B316)</f>
        <v>0</v>
      </c>
      <c r="Y316" s="4">
        <f ca="1">_xll.DBRW($B$1,$B$2,$B$7,$B$3,$B$4,$B$5,$F316,$B$6,Y$10,$A316,$B316)</f>
        <v>0</v>
      </c>
      <c r="Z316" s="4">
        <f ca="1">_xll.DBRW($B$1,$B$2,$B$7,$B$3,$B$4,$B$5,$F316,$B$6,Z$10,$A316,$B316)</f>
        <v>0</v>
      </c>
      <c r="AA316" s="4">
        <f ca="1">_xll.DBRW($B$1,$B$2,$B$7,$B$3,$B$4,$B$5,$F316,$B$6,AA$10,$A316,$B316)</f>
        <v>0</v>
      </c>
      <c r="AB316" s="4">
        <f ca="1">_xll.DBRW($B$1,$B$2,$B$7,$B$3,$B$4,$B$5,$F316,$B$6,AB$10,$A316,$B316)</f>
        <v>0</v>
      </c>
      <c r="AC316" s="4">
        <f ca="1">_xll.DBRW($B$1,$B$2,$B$7,$B$3,$B$4,$B$5,$F316,$B$6,AC$10,$A316,$B316)</f>
        <v>0</v>
      </c>
      <c r="AD316" s="4">
        <f ca="1">_xll.DBRW($B$1,$B$2,$B$7,$B$3,$B$4,$B$5,$F316,$B$6,AD$10,$A316,$B316)</f>
        <v>0</v>
      </c>
      <c r="AE316" s="4">
        <f ca="1">_xll.DBRW($B$1,$B$2,$B$7,$B$3,$B$4,$B$5,$F316,$B$6,AE$10,$A316,$B316)</f>
        <v>0</v>
      </c>
    </row>
    <row r="317" spans="1:31">
      <c r="A317" s="1" t="s">
        <v>150</v>
      </c>
      <c r="B317" s="5" t="s">
        <v>252</v>
      </c>
      <c r="C317" s="5" t="s">
        <v>226</v>
      </c>
      <c r="D317" s="5" t="s">
        <v>21</v>
      </c>
      <c r="E317" s="5" t="s">
        <v>227</v>
      </c>
      <c r="F317" s="5" t="s">
        <v>314</v>
      </c>
      <c r="G317" s="6"/>
      <c r="H317" s="6"/>
      <c r="I317" s="6"/>
      <c r="J317" s="6"/>
      <c r="K317" s="6"/>
      <c r="L317" s="4">
        <f ca="1">_xll.DBRW($B$1,$B$2,$B$7,$B$3,$B$4,$B$5,$F317,$B$6,L$10,$A317,$B317)</f>
        <v>0</v>
      </c>
      <c r="M317" s="4">
        <f ca="1">_xll.DBRW($B$1,$B$2,$B$7,$B$3,$B$4,$B$5,$F317,$B$6,M$10,$A317,$B317)</f>
        <v>0</v>
      </c>
      <c r="N317" s="4">
        <f ca="1">_xll.DBRW($B$1,$B$2,$B$7,$B$3,$B$4,$B$5,$F317,$B$6,N$10,$A317,$B317)</f>
        <v>0</v>
      </c>
      <c r="O317" s="4">
        <f ca="1">_xll.DBRW($B$1,$B$2,$B$7,$B$3,$B$4,$B$5,$F317,$B$6,O$10,$A317,$B317)</f>
        <v>0</v>
      </c>
      <c r="P317" s="4">
        <f ca="1">_xll.DBRW($B$1,$B$2,$B$7,$B$3,$B$4,$B$5,$F317,$B$6,P$10,$A317,$B317)</f>
        <v>0</v>
      </c>
      <c r="Q317" s="4">
        <f ca="1">_xll.DBRW($B$1,$B$2,$B$7,$B$3,$B$4,$B$5,$F317,$B$6,Q$10,$A317,$B317)</f>
        <v>0</v>
      </c>
      <c r="R317" s="4">
        <f ca="1">_xll.DBRW($B$1,$B$2,$B$7,$B$3,$B$4,$B$5,$F317,$B$6,R$10,$A317,$B317)</f>
        <v>0</v>
      </c>
      <c r="S317" s="4">
        <f ca="1">_xll.DBRW($B$1,$B$2,$B$7,$B$3,$B$4,$B$5,$F317,$B$6,S$10,$A317,$B317)</f>
        <v>0</v>
      </c>
      <c r="T317" s="4">
        <f ca="1">_xll.DBRW($B$1,$B$2,$B$7,$B$3,$B$4,$B$5,$F317,$B$6,T$10,$A317,$B317)</f>
        <v>0</v>
      </c>
      <c r="U317" s="4">
        <f ca="1">_xll.DBRW($B$1,$B$2,$B$7,$B$3,$B$4,$B$5,$F317,$B$6,U$10,$A317,$B317)</f>
        <v>0</v>
      </c>
      <c r="V317" s="4">
        <f ca="1">_xll.DBRW($B$1,$B$2,$B$7,$B$3,$B$4,$B$5,$F317,$B$6,V$10,$A317,$B317)</f>
        <v>0</v>
      </c>
      <c r="W317" s="4">
        <f ca="1">_xll.DBRW($B$1,$B$2,$B$7,$B$3,$B$4,$B$5,$F317,$B$6,W$10,$A317,$B317)</f>
        <v>0</v>
      </c>
      <c r="X317" s="4">
        <f ca="1">_xll.DBRW($B$1,$B$2,$B$7,$B$3,$B$4,$B$5,$F317,$B$6,X$10,$A317,$B317)</f>
        <v>0</v>
      </c>
      <c r="Y317" s="4">
        <f ca="1">_xll.DBRW($B$1,$B$2,$B$7,$B$3,$B$4,$B$5,$F317,$B$6,Y$10,$A317,$B317)</f>
        <v>0</v>
      </c>
      <c r="Z317" s="4">
        <f ca="1">_xll.DBRW($B$1,$B$2,$B$7,$B$3,$B$4,$B$5,$F317,$B$6,Z$10,$A317,$B317)</f>
        <v>0</v>
      </c>
      <c r="AA317" s="4">
        <f ca="1">_xll.DBRW($B$1,$B$2,$B$7,$B$3,$B$4,$B$5,$F317,$B$6,AA$10,$A317,$B317)</f>
        <v>0</v>
      </c>
      <c r="AB317" s="4">
        <f ca="1">_xll.DBRW($B$1,$B$2,$B$7,$B$3,$B$4,$B$5,$F317,$B$6,AB$10,$A317,$B317)</f>
        <v>0</v>
      </c>
      <c r="AC317" s="4">
        <f ca="1">_xll.DBRW($B$1,$B$2,$B$7,$B$3,$B$4,$B$5,$F317,$B$6,AC$10,$A317,$B317)</f>
        <v>0</v>
      </c>
      <c r="AD317" s="4">
        <f ca="1">_xll.DBRW($B$1,$B$2,$B$7,$B$3,$B$4,$B$5,$F317,$B$6,AD$10,$A317,$B317)</f>
        <v>0</v>
      </c>
      <c r="AE317" s="4">
        <f ca="1">_xll.DBRW($B$1,$B$2,$B$7,$B$3,$B$4,$B$5,$F317,$B$6,AE$10,$A317,$B317)</f>
        <v>0</v>
      </c>
    </row>
    <row r="318" spans="1:31">
      <c r="A318" s="1" t="s">
        <v>150</v>
      </c>
      <c r="B318" s="5" t="s">
        <v>253</v>
      </c>
      <c r="C318" s="5" t="s">
        <v>229</v>
      </c>
      <c r="D318" s="5" t="s">
        <v>227</v>
      </c>
      <c r="E318" s="5" t="s">
        <v>21</v>
      </c>
      <c r="F318" s="5" t="s">
        <v>314</v>
      </c>
      <c r="G318" s="6"/>
      <c r="H318" s="6"/>
      <c r="I318" s="6"/>
      <c r="J318" s="6"/>
      <c r="K318" s="6"/>
      <c r="L318" s="4">
        <f ca="1">_xll.DBRW($B$1,$B$2,$B$7,$B$3,$B$4,$B$5,$F318,$B$6,L$10,$A318,$B318)</f>
        <v>0</v>
      </c>
      <c r="M318" s="4">
        <f ca="1">_xll.DBRW($B$1,$B$2,$B$7,$B$3,$B$4,$B$5,$F318,$B$6,M$10,$A318,$B318)</f>
        <v>0</v>
      </c>
      <c r="N318" s="4">
        <f ca="1">_xll.DBRW($B$1,$B$2,$B$7,$B$3,$B$4,$B$5,$F318,$B$6,N$10,$A318,$B318)</f>
        <v>0</v>
      </c>
      <c r="O318" s="4">
        <f ca="1">_xll.DBRW($B$1,$B$2,$B$7,$B$3,$B$4,$B$5,$F318,$B$6,O$10,$A318,$B318)</f>
        <v>0</v>
      </c>
      <c r="P318" s="4">
        <f ca="1">_xll.DBRW($B$1,$B$2,$B$7,$B$3,$B$4,$B$5,$F318,$B$6,P$10,$A318,$B318)</f>
        <v>0</v>
      </c>
      <c r="Q318" s="4">
        <f ca="1">_xll.DBRW($B$1,$B$2,$B$7,$B$3,$B$4,$B$5,$F318,$B$6,Q$10,$A318,$B318)</f>
        <v>0</v>
      </c>
      <c r="R318" s="4">
        <f ca="1">_xll.DBRW($B$1,$B$2,$B$7,$B$3,$B$4,$B$5,$F318,$B$6,R$10,$A318,$B318)</f>
        <v>0</v>
      </c>
      <c r="S318" s="4">
        <f ca="1">_xll.DBRW($B$1,$B$2,$B$7,$B$3,$B$4,$B$5,$F318,$B$6,S$10,$A318,$B318)</f>
        <v>0</v>
      </c>
      <c r="T318" s="4">
        <f ca="1">_xll.DBRW($B$1,$B$2,$B$7,$B$3,$B$4,$B$5,$F318,$B$6,T$10,$A318,$B318)</f>
        <v>0</v>
      </c>
      <c r="U318" s="4">
        <f ca="1">_xll.DBRW($B$1,$B$2,$B$7,$B$3,$B$4,$B$5,$F318,$B$6,U$10,$A318,$B318)</f>
        <v>0</v>
      </c>
      <c r="V318" s="4">
        <f ca="1">_xll.DBRW($B$1,$B$2,$B$7,$B$3,$B$4,$B$5,$F318,$B$6,V$10,$A318,$B318)</f>
        <v>0</v>
      </c>
      <c r="W318" s="4">
        <f ca="1">_xll.DBRW($B$1,$B$2,$B$7,$B$3,$B$4,$B$5,$F318,$B$6,W$10,$A318,$B318)</f>
        <v>0</v>
      </c>
      <c r="X318" s="4">
        <f ca="1">_xll.DBRW($B$1,$B$2,$B$7,$B$3,$B$4,$B$5,$F318,$B$6,X$10,$A318,$B318)</f>
        <v>0</v>
      </c>
      <c r="Y318" s="4">
        <f ca="1">_xll.DBRW($B$1,$B$2,$B$7,$B$3,$B$4,$B$5,$F318,$B$6,Y$10,$A318,$B318)</f>
        <v>0</v>
      </c>
      <c r="Z318" s="4">
        <f ca="1">_xll.DBRW($B$1,$B$2,$B$7,$B$3,$B$4,$B$5,$F318,$B$6,Z$10,$A318,$B318)</f>
        <v>0</v>
      </c>
      <c r="AA318" s="4">
        <f ca="1">_xll.DBRW($B$1,$B$2,$B$7,$B$3,$B$4,$B$5,$F318,$B$6,AA$10,$A318,$B318)</f>
        <v>0</v>
      </c>
      <c r="AB318" s="4">
        <f ca="1">_xll.DBRW($B$1,$B$2,$B$7,$B$3,$B$4,$B$5,$F318,$B$6,AB$10,$A318,$B318)</f>
        <v>0</v>
      </c>
      <c r="AC318" s="4">
        <f ca="1">_xll.DBRW($B$1,$B$2,$B$7,$B$3,$B$4,$B$5,$F318,$B$6,AC$10,$A318,$B318)</f>
        <v>0</v>
      </c>
      <c r="AD318" s="4">
        <f ca="1">_xll.DBRW($B$1,$B$2,$B$7,$B$3,$B$4,$B$5,$F318,$B$6,AD$10,$A318,$B318)</f>
        <v>0</v>
      </c>
      <c r="AE318" s="4">
        <f ca="1">_xll.DBRW($B$1,$B$2,$B$7,$B$3,$B$4,$B$5,$F318,$B$6,AE$10,$A318,$B318)</f>
        <v>0</v>
      </c>
    </row>
    <row r="319" spans="1:31">
      <c r="A319" s="1" t="s">
        <v>150</v>
      </c>
      <c r="B319" s="5" t="s">
        <v>254</v>
      </c>
      <c r="C319" s="5" t="s">
        <v>255</v>
      </c>
      <c r="D319" s="5" t="s">
        <v>60</v>
      </c>
      <c r="E319" s="5" t="s">
        <v>59</v>
      </c>
      <c r="F319" s="5" t="s">
        <v>314</v>
      </c>
      <c r="G319" s="6"/>
      <c r="H319" s="6"/>
      <c r="I319" s="6"/>
      <c r="J319" s="6"/>
      <c r="K319" s="6"/>
      <c r="L319" s="4">
        <f ca="1">_xll.DBRW($B$1,$B$2,$B$7,$B$3,$B$4,$B$5,$F319,$B$6,L$10,$A319,$B319)</f>
        <v>0</v>
      </c>
      <c r="M319" s="4">
        <f ca="1">_xll.DBRW($B$1,$B$2,$B$7,$B$3,$B$4,$B$5,$F319,$B$6,M$10,$A319,$B319)</f>
        <v>0</v>
      </c>
      <c r="N319" s="4">
        <f ca="1">_xll.DBRW($B$1,$B$2,$B$7,$B$3,$B$4,$B$5,$F319,$B$6,N$10,$A319,$B319)</f>
        <v>0</v>
      </c>
      <c r="O319" s="4">
        <f ca="1">_xll.DBRW($B$1,$B$2,$B$7,$B$3,$B$4,$B$5,$F319,$B$6,O$10,$A319,$B319)</f>
        <v>0</v>
      </c>
      <c r="P319" s="4">
        <f ca="1">_xll.DBRW($B$1,$B$2,$B$7,$B$3,$B$4,$B$5,$F319,$B$6,P$10,$A319,$B319)</f>
        <v>0</v>
      </c>
      <c r="Q319" s="4">
        <f ca="1">_xll.DBRW($B$1,$B$2,$B$7,$B$3,$B$4,$B$5,$F319,$B$6,Q$10,$A319,$B319)</f>
        <v>0</v>
      </c>
      <c r="R319" s="4">
        <f ca="1">_xll.DBRW($B$1,$B$2,$B$7,$B$3,$B$4,$B$5,$F319,$B$6,R$10,$A319,$B319)</f>
        <v>0</v>
      </c>
      <c r="S319" s="4">
        <f ca="1">_xll.DBRW($B$1,$B$2,$B$7,$B$3,$B$4,$B$5,$F319,$B$6,S$10,$A319,$B319)</f>
        <v>0</v>
      </c>
      <c r="T319" s="4">
        <f ca="1">_xll.DBRW($B$1,$B$2,$B$7,$B$3,$B$4,$B$5,$F319,$B$6,T$10,$A319,$B319)</f>
        <v>0</v>
      </c>
      <c r="U319" s="4">
        <f ca="1">_xll.DBRW($B$1,$B$2,$B$7,$B$3,$B$4,$B$5,$F319,$B$6,U$10,$A319,$B319)</f>
        <v>0</v>
      </c>
      <c r="V319" s="4">
        <f ca="1">_xll.DBRW($B$1,$B$2,$B$7,$B$3,$B$4,$B$5,$F319,$B$6,V$10,$A319,$B319)</f>
        <v>0</v>
      </c>
      <c r="W319" s="4">
        <f ca="1">_xll.DBRW($B$1,$B$2,$B$7,$B$3,$B$4,$B$5,$F319,$B$6,W$10,$A319,$B319)</f>
        <v>0</v>
      </c>
      <c r="X319" s="4">
        <f ca="1">_xll.DBRW($B$1,$B$2,$B$7,$B$3,$B$4,$B$5,$F319,$B$6,X$10,$A319,$B319)</f>
        <v>0</v>
      </c>
      <c r="Y319" s="4">
        <f ca="1">_xll.DBRW($B$1,$B$2,$B$7,$B$3,$B$4,$B$5,$F319,$B$6,Y$10,$A319,$B319)</f>
        <v>0</v>
      </c>
      <c r="Z319" s="4">
        <f ca="1">_xll.DBRW($B$1,$B$2,$B$7,$B$3,$B$4,$B$5,$F319,$B$6,Z$10,$A319,$B319)</f>
        <v>0</v>
      </c>
      <c r="AA319" s="4">
        <f ca="1">_xll.DBRW($B$1,$B$2,$B$7,$B$3,$B$4,$B$5,$F319,$B$6,AA$10,$A319,$B319)</f>
        <v>0</v>
      </c>
      <c r="AB319" s="4">
        <f ca="1">_xll.DBRW($B$1,$B$2,$B$7,$B$3,$B$4,$B$5,$F319,$B$6,AB$10,$A319,$B319)</f>
        <v>0</v>
      </c>
      <c r="AC319" s="4">
        <f ca="1">_xll.DBRW($B$1,$B$2,$B$7,$B$3,$B$4,$B$5,$F319,$B$6,AC$10,$A319,$B319)</f>
        <v>0</v>
      </c>
      <c r="AD319" s="4">
        <f ca="1">_xll.DBRW($B$1,$B$2,$B$7,$B$3,$B$4,$B$5,$F319,$B$6,AD$10,$A319,$B319)</f>
        <v>0</v>
      </c>
      <c r="AE319" s="4">
        <f ca="1">_xll.DBRW($B$1,$B$2,$B$7,$B$3,$B$4,$B$5,$F319,$B$6,AE$10,$A319,$B319)</f>
        <v>0</v>
      </c>
    </row>
    <row r="320" spans="1:31">
      <c r="A320" s="1" t="s">
        <v>150</v>
      </c>
      <c r="B320" s="5" t="s">
        <v>57</v>
      </c>
      <c r="C320" s="5" t="s">
        <v>58</v>
      </c>
      <c r="D320" s="5" t="s">
        <v>59</v>
      </c>
      <c r="E320" s="5" t="s">
        <v>60</v>
      </c>
      <c r="F320" s="5" t="s">
        <v>314</v>
      </c>
      <c r="G320" s="6"/>
      <c r="H320" s="6"/>
      <c r="I320" s="6"/>
      <c r="J320" s="6"/>
      <c r="K320" s="6"/>
      <c r="L320" s="4">
        <f ca="1">_xll.DBRW($B$1,$B$2,$B$7,$B$3,$B$4,$B$5,$F320,$B$6,L$10,$A320,$B320)</f>
        <v>0</v>
      </c>
      <c r="M320" s="4">
        <f ca="1">_xll.DBRW($B$1,$B$2,$B$7,$B$3,$B$4,$B$5,$F320,$B$6,M$10,$A320,$B320)</f>
        <v>0</v>
      </c>
      <c r="N320" s="4">
        <f ca="1">_xll.DBRW($B$1,$B$2,$B$7,$B$3,$B$4,$B$5,$F320,$B$6,N$10,$A320,$B320)</f>
        <v>0</v>
      </c>
      <c r="O320" s="4">
        <f ca="1">_xll.DBRW($B$1,$B$2,$B$7,$B$3,$B$4,$B$5,$F320,$B$6,O$10,$A320,$B320)</f>
        <v>0</v>
      </c>
      <c r="P320" s="4">
        <f ca="1">_xll.DBRW($B$1,$B$2,$B$7,$B$3,$B$4,$B$5,$F320,$B$6,P$10,$A320,$B320)</f>
        <v>0</v>
      </c>
      <c r="Q320" s="4">
        <f ca="1">_xll.DBRW($B$1,$B$2,$B$7,$B$3,$B$4,$B$5,$F320,$B$6,Q$10,$A320,$B320)</f>
        <v>0</v>
      </c>
      <c r="R320" s="4">
        <f ca="1">_xll.DBRW($B$1,$B$2,$B$7,$B$3,$B$4,$B$5,$F320,$B$6,R$10,$A320,$B320)</f>
        <v>0</v>
      </c>
      <c r="S320" s="4">
        <f ca="1">_xll.DBRW($B$1,$B$2,$B$7,$B$3,$B$4,$B$5,$F320,$B$6,S$10,$A320,$B320)</f>
        <v>0</v>
      </c>
      <c r="T320" s="4">
        <f ca="1">_xll.DBRW($B$1,$B$2,$B$7,$B$3,$B$4,$B$5,$F320,$B$6,T$10,$A320,$B320)</f>
        <v>0</v>
      </c>
      <c r="U320" s="4">
        <f ca="1">_xll.DBRW($B$1,$B$2,$B$7,$B$3,$B$4,$B$5,$F320,$B$6,U$10,$A320,$B320)</f>
        <v>0</v>
      </c>
      <c r="V320" s="4">
        <f ca="1">_xll.DBRW($B$1,$B$2,$B$7,$B$3,$B$4,$B$5,$F320,$B$6,V$10,$A320,$B320)</f>
        <v>0</v>
      </c>
      <c r="W320" s="4">
        <f ca="1">_xll.DBRW($B$1,$B$2,$B$7,$B$3,$B$4,$B$5,$F320,$B$6,W$10,$A320,$B320)</f>
        <v>0</v>
      </c>
      <c r="X320" s="4">
        <f ca="1">_xll.DBRW($B$1,$B$2,$B$7,$B$3,$B$4,$B$5,$F320,$B$6,X$10,$A320,$B320)</f>
        <v>0</v>
      </c>
      <c r="Y320" s="4">
        <f ca="1">_xll.DBRW($B$1,$B$2,$B$7,$B$3,$B$4,$B$5,$F320,$B$6,Y$10,$A320,$B320)</f>
        <v>0</v>
      </c>
      <c r="Z320" s="4">
        <f ca="1">_xll.DBRW($B$1,$B$2,$B$7,$B$3,$B$4,$B$5,$F320,$B$6,Z$10,$A320,$B320)</f>
        <v>0</v>
      </c>
      <c r="AA320" s="4">
        <f ca="1">_xll.DBRW($B$1,$B$2,$B$7,$B$3,$B$4,$B$5,$F320,$B$6,AA$10,$A320,$B320)</f>
        <v>0</v>
      </c>
      <c r="AB320" s="4">
        <f ca="1">_xll.DBRW($B$1,$B$2,$B$7,$B$3,$B$4,$B$5,$F320,$B$6,AB$10,$A320,$B320)</f>
        <v>0</v>
      </c>
      <c r="AC320" s="4">
        <f ca="1">_xll.DBRW($B$1,$B$2,$B$7,$B$3,$B$4,$B$5,$F320,$B$6,AC$10,$A320,$B320)</f>
        <v>0</v>
      </c>
      <c r="AD320" s="4">
        <f ca="1">_xll.DBRW($B$1,$B$2,$B$7,$B$3,$B$4,$B$5,$F320,$B$6,AD$10,$A320,$B320)</f>
        <v>0</v>
      </c>
      <c r="AE320" s="4">
        <f ca="1">_xll.DBRW($B$1,$B$2,$B$7,$B$3,$B$4,$B$5,$F320,$B$6,AE$10,$A320,$B320)</f>
        <v>0</v>
      </c>
    </row>
    <row r="321" spans="1:31">
      <c r="A321" s="1" t="s">
        <v>150</v>
      </c>
      <c r="B321" s="5" t="s">
        <v>256</v>
      </c>
      <c r="C321" s="5" t="s">
        <v>206</v>
      </c>
      <c r="D321" s="5" t="s">
        <v>21</v>
      </c>
      <c r="E321" s="5" t="s">
        <v>181</v>
      </c>
      <c r="F321" s="5" t="s">
        <v>314</v>
      </c>
      <c r="G321" s="6"/>
      <c r="H321" s="6"/>
      <c r="I321" s="6"/>
      <c r="J321" s="6"/>
      <c r="K321" s="6"/>
      <c r="L321" s="4">
        <f ca="1">_xll.DBRW($B$1,$B$2,$B$7,$B$3,$B$4,$B$5,$F321,$B$6,L$10,$A321,$B321)</f>
        <v>0</v>
      </c>
      <c r="M321" s="4">
        <f ca="1">_xll.DBRW($B$1,$B$2,$B$7,$B$3,$B$4,$B$5,$F321,$B$6,M$10,$A321,$B321)</f>
        <v>0</v>
      </c>
      <c r="N321" s="4">
        <f ca="1">_xll.DBRW($B$1,$B$2,$B$7,$B$3,$B$4,$B$5,$F321,$B$6,N$10,$A321,$B321)</f>
        <v>0</v>
      </c>
      <c r="O321" s="4">
        <f ca="1">_xll.DBRW($B$1,$B$2,$B$7,$B$3,$B$4,$B$5,$F321,$B$6,O$10,$A321,$B321)</f>
        <v>0</v>
      </c>
      <c r="P321" s="4">
        <f ca="1">_xll.DBRW($B$1,$B$2,$B$7,$B$3,$B$4,$B$5,$F321,$B$6,P$10,$A321,$B321)</f>
        <v>0</v>
      </c>
      <c r="Q321" s="4">
        <f ca="1">_xll.DBRW($B$1,$B$2,$B$7,$B$3,$B$4,$B$5,$F321,$B$6,Q$10,$A321,$B321)</f>
        <v>0</v>
      </c>
      <c r="R321" s="4">
        <f ca="1">_xll.DBRW($B$1,$B$2,$B$7,$B$3,$B$4,$B$5,$F321,$B$6,R$10,$A321,$B321)</f>
        <v>0</v>
      </c>
      <c r="S321" s="4">
        <f ca="1">_xll.DBRW($B$1,$B$2,$B$7,$B$3,$B$4,$B$5,$F321,$B$6,S$10,$A321,$B321)</f>
        <v>0</v>
      </c>
      <c r="T321" s="4">
        <f ca="1">_xll.DBRW($B$1,$B$2,$B$7,$B$3,$B$4,$B$5,$F321,$B$6,T$10,$A321,$B321)</f>
        <v>0</v>
      </c>
      <c r="U321" s="4">
        <f ca="1">_xll.DBRW($B$1,$B$2,$B$7,$B$3,$B$4,$B$5,$F321,$B$6,U$10,$A321,$B321)</f>
        <v>0</v>
      </c>
      <c r="V321" s="4">
        <f ca="1">_xll.DBRW($B$1,$B$2,$B$7,$B$3,$B$4,$B$5,$F321,$B$6,V$10,$A321,$B321)</f>
        <v>0</v>
      </c>
      <c r="W321" s="4">
        <f ca="1">_xll.DBRW($B$1,$B$2,$B$7,$B$3,$B$4,$B$5,$F321,$B$6,W$10,$A321,$B321)</f>
        <v>0</v>
      </c>
      <c r="X321" s="4">
        <f ca="1">_xll.DBRW($B$1,$B$2,$B$7,$B$3,$B$4,$B$5,$F321,$B$6,X$10,$A321,$B321)</f>
        <v>0</v>
      </c>
      <c r="Y321" s="4">
        <f ca="1">_xll.DBRW($B$1,$B$2,$B$7,$B$3,$B$4,$B$5,$F321,$B$6,Y$10,$A321,$B321)</f>
        <v>0</v>
      </c>
      <c r="Z321" s="4">
        <f ca="1">_xll.DBRW($B$1,$B$2,$B$7,$B$3,$B$4,$B$5,$F321,$B$6,Z$10,$A321,$B321)</f>
        <v>0</v>
      </c>
      <c r="AA321" s="4">
        <f ca="1">_xll.DBRW($B$1,$B$2,$B$7,$B$3,$B$4,$B$5,$F321,$B$6,AA$10,$A321,$B321)</f>
        <v>0</v>
      </c>
      <c r="AB321" s="4">
        <f ca="1">_xll.DBRW($B$1,$B$2,$B$7,$B$3,$B$4,$B$5,$F321,$B$6,AB$10,$A321,$B321)</f>
        <v>0</v>
      </c>
      <c r="AC321" s="4">
        <f ca="1">_xll.DBRW($B$1,$B$2,$B$7,$B$3,$B$4,$B$5,$F321,$B$6,AC$10,$A321,$B321)</f>
        <v>0</v>
      </c>
      <c r="AD321" s="4">
        <f ca="1">_xll.DBRW($B$1,$B$2,$B$7,$B$3,$B$4,$B$5,$F321,$B$6,AD$10,$A321,$B321)</f>
        <v>0</v>
      </c>
      <c r="AE321" s="4">
        <f ca="1">_xll.DBRW($B$1,$B$2,$B$7,$B$3,$B$4,$B$5,$F321,$B$6,AE$10,$A321,$B321)</f>
        <v>0</v>
      </c>
    </row>
    <row r="322" spans="1:31">
      <c r="A322" s="1" t="s">
        <v>150</v>
      </c>
      <c r="B322" s="5" t="s">
        <v>257</v>
      </c>
      <c r="C322" s="5" t="s">
        <v>208</v>
      </c>
      <c r="D322" s="5" t="s">
        <v>181</v>
      </c>
      <c r="E322" s="5" t="s">
        <v>21</v>
      </c>
      <c r="F322" s="5" t="s">
        <v>314</v>
      </c>
      <c r="G322" s="6"/>
      <c r="H322" s="6"/>
      <c r="I322" s="6"/>
      <c r="J322" s="6"/>
      <c r="K322" s="6"/>
      <c r="L322" s="4">
        <f ca="1">_xll.DBRW($B$1,$B$2,$B$7,$B$3,$B$4,$B$5,$F322,$B$6,L$10,$A322,$B322)</f>
        <v>0</v>
      </c>
      <c r="M322" s="4">
        <f ca="1">_xll.DBRW($B$1,$B$2,$B$7,$B$3,$B$4,$B$5,$F322,$B$6,M$10,$A322,$B322)</f>
        <v>0</v>
      </c>
      <c r="N322" s="4">
        <f ca="1">_xll.DBRW($B$1,$B$2,$B$7,$B$3,$B$4,$B$5,$F322,$B$6,N$10,$A322,$B322)</f>
        <v>0</v>
      </c>
      <c r="O322" s="4">
        <f ca="1">_xll.DBRW($B$1,$B$2,$B$7,$B$3,$B$4,$B$5,$F322,$B$6,O$10,$A322,$B322)</f>
        <v>0</v>
      </c>
      <c r="P322" s="4">
        <f ca="1">_xll.DBRW($B$1,$B$2,$B$7,$B$3,$B$4,$B$5,$F322,$B$6,P$10,$A322,$B322)</f>
        <v>0</v>
      </c>
      <c r="Q322" s="4">
        <f ca="1">_xll.DBRW($B$1,$B$2,$B$7,$B$3,$B$4,$B$5,$F322,$B$6,Q$10,$A322,$B322)</f>
        <v>0</v>
      </c>
      <c r="R322" s="4">
        <f ca="1">_xll.DBRW($B$1,$B$2,$B$7,$B$3,$B$4,$B$5,$F322,$B$6,R$10,$A322,$B322)</f>
        <v>0</v>
      </c>
      <c r="S322" s="4">
        <f ca="1">_xll.DBRW($B$1,$B$2,$B$7,$B$3,$B$4,$B$5,$F322,$B$6,S$10,$A322,$B322)</f>
        <v>0</v>
      </c>
      <c r="T322" s="4">
        <f ca="1">_xll.DBRW($B$1,$B$2,$B$7,$B$3,$B$4,$B$5,$F322,$B$6,T$10,$A322,$B322)</f>
        <v>0</v>
      </c>
      <c r="U322" s="4">
        <f ca="1">_xll.DBRW($B$1,$B$2,$B$7,$B$3,$B$4,$B$5,$F322,$B$6,U$10,$A322,$B322)</f>
        <v>0</v>
      </c>
      <c r="V322" s="4">
        <f ca="1">_xll.DBRW($B$1,$B$2,$B$7,$B$3,$B$4,$B$5,$F322,$B$6,V$10,$A322,$B322)</f>
        <v>0</v>
      </c>
      <c r="W322" s="4">
        <f ca="1">_xll.DBRW($B$1,$B$2,$B$7,$B$3,$B$4,$B$5,$F322,$B$6,W$10,$A322,$B322)</f>
        <v>0</v>
      </c>
      <c r="X322" s="4">
        <f ca="1">_xll.DBRW($B$1,$B$2,$B$7,$B$3,$B$4,$B$5,$F322,$B$6,X$10,$A322,$B322)</f>
        <v>0</v>
      </c>
      <c r="Y322" s="4">
        <f ca="1">_xll.DBRW($B$1,$B$2,$B$7,$B$3,$B$4,$B$5,$F322,$B$6,Y$10,$A322,$B322)</f>
        <v>0</v>
      </c>
      <c r="Z322" s="4">
        <f ca="1">_xll.DBRW($B$1,$B$2,$B$7,$B$3,$B$4,$B$5,$F322,$B$6,Z$10,$A322,$B322)</f>
        <v>0</v>
      </c>
      <c r="AA322" s="4">
        <f ca="1">_xll.DBRW($B$1,$B$2,$B$7,$B$3,$B$4,$B$5,$F322,$B$6,AA$10,$A322,$B322)</f>
        <v>0</v>
      </c>
      <c r="AB322" s="4">
        <f ca="1">_xll.DBRW($B$1,$B$2,$B$7,$B$3,$B$4,$B$5,$F322,$B$6,AB$10,$A322,$B322)</f>
        <v>0</v>
      </c>
      <c r="AC322" s="4">
        <f ca="1">_xll.DBRW($B$1,$B$2,$B$7,$B$3,$B$4,$B$5,$F322,$B$6,AC$10,$A322,$B322)</f>
        <v>0</v>
      </c>
      <c r="AD322" s="4">
        <f ca="1">_xll.DBRW($B$1,$B$2,$B$7,$B$3,$B$4,$B$5,$F322,$B$6,AD$10,$A322,$B322)</f>
        <v>0</v>
      </c>
      <c r="AE322" s="4">
        <f ca="1">_xll.DBRW($B$1,$B$2,$B$7,$B$3,$B$4,$B$5,$F322,$B$6,AE$10,$A322,$B322)</f>
        <v>0</v>
      </c>
    </row>
    <row r="323" spans="1:31">
      <c r="A323" s="1" t="s">
        <v>150</v>
      </c>
      <c r="B323" s="5" t="s">
        <v>258</v>
      </c>
      <c r="C323" s="5" t="s">
        <v>259</v>
      </c>
      <c r="D323" s="5" t="s">
        <v>21</v>
      </c>
      <c r="E323" s="5" t="s">
        <v>260</v>
      </c>
      <c r="F323" s="5" t="s">
        <v>314</v>
      </c>
      <c r="G323" s="6"/>
      <c r="H323" s="6"/>
      <c r="I323" s="6"/>
      <c r="J323" s="6"/>
      <c r="K323" s="6"/>
      <c r="L323" s="4">
        <f ca="1">_xll.DBRW($B$1,$B$2,$B$7,$B$3,$B$4,$B$5,$F323,$B$6,L$10,$A323,$B323)</f>
        <v>0</v>
      </c>
      <c r="M323" s="4">
        <f ca="1">_xll.DBRW($B$1,$B$2,$B$7,$B$3,$B$4,$B$5,$F323,$B$6,M$10,$A323,$B323)</f>
        <v>0</v>
      </c>
      <c r="N323" s="4">
        <f ca="1">_xll.DBRW($B$1,$B$2,$B$7,$B$3,$B$4,$B$5,$F323,$B$6,N$10,$A323,$B323)</f>
        <v>0</v>
      </c>
      <c r="O323" s="4">
        <f ca="1">_xll.DBRW($B$1,$B$2,$B$7,$B$3,$B$4,$B$5,$F323,$B$6,O$10,$A323,$B323)</f>
        <v>0</v>
      </c>
      <c r="P323" s="4">
        <f ca="1">_xll.DBRW($B$1,$B$2,$B$7,$B$3,$B$4,$B$5,$F323,$B$6,P$10,$A323,$B323)</f>
        <v>0</v>
      </c>
      <c r="Q323" s="4">
        <f ca="1">_xll.DBRW($B$1,$B$2,$B$7,$B$3,$B$4,$B$5,$F323,$B$6,Q$10,$A323,$B323)</f>
        <v>0</v>
      </c>
      <c r="R323" s="4">
        <f ca="1">_xll.DBRW($B$1,$B$2,$B$7,$B$3,$B$4,$B$5,$F323,$B$6,R$10,$A323,$B323)</f>
        <v>0</v>
      </c>
      <c r="S323" s="4">
        <f ca="1">_xll.DBRW($B$1,$B$2,$B$7,$B$3,$B$4,$B$5,$F323,$B$6,S$10,$A323,$B323)</f>
        <v>0</v>
      </c>
      <c r="T323" s="4">
        <f ca="1">_xll.DBRW($B$1,$B$2,$B$7,$B$3,$B$4,$B$5,$F323,$B$6,T$10,$A323,$B323)</f>
        <v>0</v>
      </c>
      <c r="U323" s="4">
        <f ca="1">_xll.DBRW($B$1,$B$2,$B$7,$B$3,$B$4,$B$5,$F323,$B$6,U$10,$A323,$B323)</f>
        <v>0</v>
      </c>
      <c r="V323" s="4">
        <f ca="1">_xll.DBRW($B$1,$B$2,$B$7,$B$3,$B$4,$B$5,$F323,$B$6,V$10,$A323,$B323)</f>
        <v>0</v>
      </c>
      <c r="W323" s="4">
        <f ca="1">_xll.DBRW($B$1,$B$2,$B$7,$B$3,$B$4,$B$5,$F323,$B$6,W$10,$A323,$B323)</f>
        <v>0</v>
      </c>
      <c r="X323" s="4">
        <f ca="1">_xll.DBRW($B$1,$B$2,$B$7,$B$3,$B$4,$B$5,$F323,$B$6,X$10,$A323,$B323)</f>
        <v>0</v>
      </c>
      <c r="Y323" s="4">
        <f ca="1">_xll.DBRW($B$1,$B$2,$B$7,$B$3,$B$4,$B$5,$F323,$B$6,Y$10,$A323,$B323)</f>
        <v>0</v>
      </c>
      <c r="Z323" s="4">
        <f ca="1">_xll.DBRW($B$1,$B$2,$B$7,$B$3,$B$4,$B$5,$F323,$B$6,Z$10,$A323,$B323)</f>
        <v>0</v>
      </c>
      <c r="AA323" s="4">
        <f ca="1">_xll.DBRW($B$1,$B$2,$B$7,$B$3,$B$4,$B$5,$F323,$B$6,AA$10,$A323,$B323)</f>
        <v>0</v>
      </c>
      <c r="AB323" s="4">
        <f ca="1">_xll.DBRW($B$1,$B$2,$B$7,$B$3,$B$4,$B$5,$F323,$B$6,AB$10,$A323,$B323)</f>
        <v>0</v>
      </c>
      <c r="AC323" s="4">
        <f ca="1">_xll.DBRW($B$1,$B$2,$B$7,$B$3,$B$4,$B$5,$F323,$B$6,AC$10,$A323,$B323)</f>
        <v>0</v>
      </c>
      <c r="AD323" s="4">
        <f ca="1">_xll.DBRW($B$1,$B$2,$B$7,$B$3,$B$4,$B$5,$F323,$B$6,AD$10,$A323,$B323)</f>
        <v>0</v>
      </c>
      <c r="AE323" s="4">
        <f ca="1">_xll.DBRW($B$1,$B$2,$B$7,$B$3,$B$4,$B$5,$F323,$B$6,AE$10,$A323,$B323)</f>
        <v>0</v>
      </c>
    </row>
    <row r="324" spans="1:31">
      <c r="A324" s="1" t="s">
        <v>150</v>
      </c>
      <c r="B324" s="5" t="s">
        <v>261</v>
      </c>
      <c r="C324" s="5" t="s">
        <v>262</v>
      </c>
      <c r="D324" s="5" t="s">
        <v>260</v>
      </c>
      <c r="E324" s="5" t="s">
        <v>21</v>
      </c>
      <c r="F324" s="5" t="s">
        <v>314</v>
      </c>
      <c r="G324" s="6"/>
      <c r="H324" s="6"/>
      <c r="I324" s="6"/>
      <c r="J324" s="6"/>
      <c r="K324" s="6"/>
      <c r="L324" s="4">
        <f ca="1">_xll.DBRW($B$1,$B$2,$B$7,$B$3,$B$4,$B$5,$F324,$B$6,L$10,$A324,$B324)</f>
        <v>0</v>
      </c>
      <c r="M324" s="4">
        <f ca="1">_xll.DBRW($B$1,$B$2,$B$7,$B$3,$B$4,$B$5,$F324,$B$6,M$10,$A324,$B324)</f>
        <v>0</v>
      </c>
      <c r="N324" s="4">
        <f ca="1">_xll.DBRW($B$1,$B$2,$B$7,$B$3,$B$4,$B$5,$F324,$B$6,N$10,$A324,$B324)</f>
        <v>0</v>
      </c>
      <c r="O324" s="4">
        <f ca="1">_xll.DBRW($B$1,$B$2,$B$7,$B$3,$B$4,$B$5,$F324,$B$6,O$10,$A324,$B324)</f>
        <v>0</v>
      </c>
      <c r="P324" s="4">
        <f ca="1">_xll.DBRW($B$1,$B$2,$B$7,$B$3,$B$4,$B$5,$F324,$B$6,P$10,$A324,$B324)</f>
        <v>0</v>
      </c>
      <c r="Q324" s="4">
        <f ca="1">_xll.DBRW($B$1,$B$2,$B$7,$B$3,$B$4,$B$5,$F324,$B$6,Q$10,$A324,$B324)</f>
        <v>0</v>
      </c>
      <c r="R324" s="4">
        <f ca="1">_xll.DBRW($B$1,$B$2,$B$7,$B$3,$B$4,$B$5,$F324,$B$6,R$10,$A324,$B324)</f>
        <v>0</v>
      </c>
      <c r="S324" s="4">
        <f ca="1">_xll.DBRW($B$1,$B$2,$B$7,$B$3,$B$4,$B$5,$F324,$B$6,S$10,$A324,$B324)</f>
        <v>0</v>
      </c>
      <c r="T324" s="4">
        <f ca="1">_xll.DBRW($B$1,$B$2,$B$7,$B$3,$B$4,$B$5,$F324,$B$6,T$10,$A324,$B324)</f>
        <v>0</v>
      </c>
      <c r="U324" s="4">
        <f ca="1">_xll.DBRW($B$1,$B$2,$B$7,$B$3,$B$4,$B$5,$F324,$B$6,U$10,$A324,$B324)</f>
        <v>0</v>
      </c>
      <c r="V324" s="4">
        <f ca="1">_xll.DBRW($B$1,$B$2,$B$7,$B$3,$B$4,$B$5,$F324,$B$6,V$10,$A324,$B324)</f>
        <v>0</v>
      </c>
      <c r="W324" s="4">
        <f ca="1">_xll.DBRW($B$1,$B$2,$B$7,$B$3,$B$4,$B$5,$F324,$B$6,W$10,$A324,$B324)</f>
        <v>0</v>
      </c>
      <c r="X324" s="4">
        <f ca="1">_xll.DBRW($B$1,$B$2,$B$7,$B$3,$B$4,$B$5,$F324,$B$6,X$10,$A324,$B324)</f>
        <v>0</v>
      </c>
      <c r="Y324" s="4">
        <f ca="1">_xll.DBRW($B$1,$B$2,$B$7,$B$3,$B$4,$B$5,$F324,$B$6,Y$10,$A324,$B324)</f>
        <v>0</v>
      </c>
      <c r="Z324" s="4">
        <f ca="1">_xll.DBRW($B$1,$B$2,$B$7,$B$3,$B$4,$B$5,$F324,$B$6,Z$10,$A324,$B324)</f>
        <v>0</v>
      </c>
      <c r="AA324" s="4">
        <f ca="1">_xll.DBRW($B$1,$B$2,$B$7,$B$3,$B$4,$B$5,$F324,$B$6,AA$10,$A324,$B324)</f>
        <v>0</v>
      </c>
      <c r="AB324" s="4">
        <f ca="1">_xll.DBRW($B$1,$B$2,$B$7,$B$3,$B$4,$B$5,$F324,$B$6,AB$10,$A324,$B324)</f>
        <v>0</v>
      </c>
      <c r="AC324" s="4">
        <f ca="1">_xll.DBRW($B$1,$B$2,$B$7,$B$3,$B$4,$B$5,$F324,$B$6,AC$10,$A324,$B324)</f>
        <v>0</v>
      </c>
      <c r="AD324" s="4">
        <f ca="1">_xll.DBRW($B$1,$B$2,$B$7,$B$3,$B$4,$B$5,$F324,$B$6,AD$10,$A324,$B324)</f>
        <v>0</v>
      </c>
      <c r="AE324" s="4">
        <f ca="1">_xll.DBRW($B$1,$B$2,$B$7,$B$3,$B$4,$B$5,$F324,$B$6,AE$10,$A324,$B324)</f>
        <v>0</v>
      </c>
    </row>
    <row r="325" spans="1:31">
      <c r="A325" s="1" t="s">
        <v>150</v>
      </c>
      <c r="B325" s="5" t="s">
        <v>263</v>
      </c>
      <c r="C325" s="5" t="s">
        <v>264</v>
      </c>
      <c r="D325" s="5" t="s">
        <v>21</v>
      </c>
      <c r="E325" s="5" t="s">
        <v>265</v>
      </c>
      <c r="F325" s="5" t="s">
        <v>314</v>
      </c>
      <c r="G325" s="6"/>
      <c r="H325" s="6"/>
      <c r="I325" s="6"/>
      <c r="J325" s="6"/>
      <c r="K325" s="6"/>
      <c r="L325" s="4">
        <f ca="1">_xll.DBRW($B$1,$B$2,$B$7,$B$3,$B$4,$B$5,$F325,$B$6,L$10,$A325,$B325)</f>
        <v>0</v>
      </c>
      <c r="M325" s="4">
        <f ca="1">_xll.DBRW($B$1,$B$2,$B$7,$B$3,$B$4,$B$5,$F325,$B$6,M$10,$A325,$B325)</f>
        <v>0</v>
      </c>
      <c r="N325" s="4">
        <f ca="1">_xll.DBRW($B$1,$B$2,$B$7,$B$3,$B$4,$B$5,$F325,$B$6,N$10,$A325,$B325)</f>
        <v>0</v>
      </c>
      <c r="O325" s="4">
        <f ca="1">_xll.DBRW($B$1,$B$2,$B$7,$B$3,$B$4,$B$5,$F325,$B$6,O$10,$A325,$B325)</f>
        <v>0</v>
      </c>
      <c r="P325" s="4">
        <f ca="1">_xll.DBRW($B$1,$B$2,$B$7,$B$3,$B$4,$B$5,$F325,$B$6,P$10,$A325,$B325)</f>
        <v>0</v>
      </c>
      <c r="Q325" s="4">
        <f ca="1">_xll.DBRW($B$1,$B$2,$B$7,$B$3,$B$4,$B$5,$F325,$B$6,Q$10,$A325,$B325)</f>
        <v>0</v>
      </c>
      <c r="R325" s="4">
        <f ca="1">_xll.DBRW($B$1,$B$2,$B$7,$B$3,$B$4,$B$5,$F325,$B$6,R$10,$A325,$B325)</f>
        <v>0</v>
      </c>
      <c r="S325" s="4">
        <f ca="1">_xll.DBRW($B$1,$B$2,$B$7,$B$3,$B$4,$B$5,$F325,$B$6,S$10,$A325,$B325)</f>
        <v>0</v>
      </c>
      <c r="T325" s="4">
        <f ca="1">_xll.DBRW($B$1,$B$2,$B$7,$B$3,$B$4,$B$5,$F325,$B$6,T$10,$A325,$B325)</f>
        <v>0</v>
      </c>
      <c r="U325" s="4">
        <f ca="1">_xll.DBRW($B$1,$B$2,$B$7,$B$3,$B$4,$B$5,$F325,$B$6,U$10,$A325,$B325)</f>
        <v>0</v>
      </c>
      <c r="V325" s="4">
        <f ca="1">_xll.DBRW($B$1,$B$2,$B$7,$B$3,$B$4,$B$5,$F325,$B$6,V$10,$A325,$B325)</f>
        <v>0</v>
      </c>
      <c r="W325" s="4">
        <f ca="1">_xll.DBRW($B$1,$B$2,$B$7,$B$3,$B$4,$B$5,$F325,$B$6,W$10,$A325,$B325)</f>
        <v>0</v>
      </c>
      <c r="X325" s="4">
        <f ca="1">_xll.DBRW($B$1,$B$2,$B$7,$B$3,$B$4,$B$5,$F325,$B$6,X$10,$A325,$B325)</f>
        <v>0</v>
      </c>
      <c r="Y325" s="4">
        <f ca="1">_xll.DBRW($B$1,$B$2,$B$7,$B$3,$B$4,$B$5,$F325,$B$6,Y$10,$A325,$B325)</f>
        <v>0</v>
      </c>
      <c r="Z325" s="4">
        <f ca="1">_xll.DBRW($B$1,$B$2,$B$7,$B$3,$B$4,$B$5,$F325,$B$6,Z$10,$A325,$B325)</f>
        <v>0</v>
      </c>
      <c r="AA325" s="4">
        <f ca="1">_xll.DBRW($B$1,$B$2,$B$7,$B$3,$B$4,$B$5,$F325,$B$6,AA$10,$A325,$B325)</f>
        <v>0</v>
      </c>
      <c r="AB325" s="4">
        <f ca="1">_xll.DBRW($B$1,$B$2,$B$7,$B$3,$B$4,$B$5,$F325,$B$6,AB$10,$A325,$B325)</f>
        <v>0</v>
      </c>
      <c r="AC325" s="4">
        <f ca="1">_xll.DBRW($B$1,$B$2,$B$7,$B$3,$B$4,$B$5,$F325,$B$6,AC$10,$A325,$B325)</f>
        <v>0</v>
      </c>
      <c r="AD325" s="4">
        <f ca="1">_xll.DBRW($B$1,$B$2,$B$7,$B$3,$B$4,$B$5,$F325,$B$6,AD$10,$A325,$B325)</f>
        <v>0</v>
      </c>
      <c r="AE325" s="4">
        <f ca="1">_xll.DBRW($B$1,$B$2,$B$7,$B$3,$B$4,$B$5,$F325,$B$6,AE$10,$A325,$B325)</f>
        <v>0</v>
      </c>
    </row>
    <row r="326" spans="1:31">
      <c r="A326" s="1" t="s">
        <v>150</v>
      </c>
      <c r="B326" s="5" t="s">
        <v>266</v>
      </c>
      <c r="C326" s="5" t="s">
        <v>267</v>
      </c>
      <c r="D326" s="5" t="s">
        <v>265</v>
      </c>
      <c r="E326" s="5" t="s">
        <v>21</v>
      </c>
      <c r="F326" s="5" t="s">
        <v>314</v>
      </c>
      <c r="G326" s="6"/>
      <c r="H326" s="6"/>
      <c r="I326" s="6"/>
      <c r="J326" s="6"/>
      <c r="K326" s="6"/>
      <c r="L326" s="4">
        <f ca="1">_xll.DBRW($B$1,$B$2,$B$7,$B$3,$B$4,$B$5,$F326,$B$6,L$10,$A326,$B326)</f>
        <v>0</v>
      </c>
      <c r="M326" s="4">
        <f ca="1">_xll.DBRW($B$1,$B$2,$B$7,$B$3,$B$4,$B$5,$F326,$B$6,M$10,$A326,$B326)</f>
        <v>0</v>
      </c>
      <c r="N326" s="4">
        <f ca="1">_xll.DBRW($B$1,$B$2,$B$7,$B$3,$B$4,$B$5,$F326,$B$6,N$10,$A326,$B326)</f>
        <v>0</v>
      </c>
      <c r="O326" s="4">
        <f ca="1">_xll.DBRW($B$1,$B$2,$B$7,$B$3,$B$4,$B$5,$F326,$B$6,O$10,$A326,$B326)</f>
        <v>0</v>
      </c>
      <c r="P326" s="4">
        <f ca="1">_xll.DBRW($B$1,$B$2,$B$7,$B$3,$B$4,$B$5,$F326,$B$6,P$10,$A326,$B326)</f>
        <v>0</v>
      </c>
      <c r="Q326" s="4">
        <f ca="1">_xll.DBRW($B$1,$B$2,$B$7,$B$3,$B$4,$B$5,$F326,$B$6,Q$10,$A326,$B326)</f>
        <v>0</v>
      </c>
      <c r="R326" s="4">
        <f ca="1">_xll.DBRW($B$1,$B$2,$B$7,$B$3,$B$4,$B$5,$F326,$B$6,R$10,$A326,$B326)</f>
        <v>0</v>
      </c>
      <c r="S326" s="4">
        <f ca="1">_xll.DBRW($B$1,$B$2,$B$7,$B$3,$B$4,$B$5,$F326,$B$6,S$10,$A326,$B326)</f>
        <v>0</v>
      </c>
      <c r="T326" s="4">
        <f ca="1">_xll.DBRW($B$1,$B$2,$B$7,$B$3,$B$4,$B$5,$F326,$B$6,T$10,$A326,$B326)</f>
        <v>0</v>
      </c>
      <c r="U326" s="4">
        <f ca="1">_xll.DBRW($B$1,$B$2,$B$7,$B$3,$B$4,$B$5,$F326,$B$6,U$10,$A326,$B326)</f>
        <v>0</v>
      </c>
      <c r="V326" s="4">
        <f ca="1">_xll.DBRW($B$1,$B$2,$B$7,$B$3,$B$4,$B$5,$F326,$B$6,V$10,$A326,$B326)</f>
        <v>0</v>
      </c>
      <c r="W326" s="4">
        <f ca="1">_xll.DBRW($B$1,$B$2,$B$7,$B$3,$B$4,$B$5,$F326,$B$6,W$10,$A326,$B326)</f>
        <v>0</v>
      </c>
      <c r="X326" s="4">
        <f ca="1">_xll.DBRW($B$1,$B$2,$B$7,$B$3,$B$4,$B$5,$F326,$B$6,X$10,$A326,$B326)</f>
        <v>0</v>
      </c>
      <c r="Y326" s="4">
        <f ca="1">_xll.DBRW($B$1,$B$2,$B$7,$B$3,$B$4,$B$5,$F326,$B$6,Y$10,$A326,$B326)</f>
        <v>0</v>
      </c>
      <c r="Z326" s="4">
        <f ca="1">_xll.DBRW($B$1,$B$2,$B$7,$B$3,$B$4,$B$5,$F326,$B$6,Z$10,$A326,$B326)</f>
        <v>0</v>
      </c>
      <c r="AA326" s="4">
        <f ca="1">_xll.DBRW($B$1,$B$2,$B$7,$B$3,$B$4,$B$5,$F326,$B$6,AA$10,$A326,$B326)</f>
        <v>0</v>
      </c>
      <c r="AB326" s="4">
        <f ca="1">_xll.DBRW($B$1,$B$2,$B$7,$B$3,$B$4,$B$5,$F326,$B$6,AB$10,$A326,$B326)</f>
        <v>0</v>
      </c>
      <c r="AC326" s="4">
        <f ca="1">_xll.DBRW($B$1,$B$2,$B$7,$B$3,$B$4,$B$5,$F326,$B$6,AC$10,$A326,$B326)</f>
        <v>0</v>
      </c>
      <c r="AD326" s="4">
        <f ca="1">_xll.DBRW($B$1,$B$2,$B$7,$B$3,$B$4,$B$5,$F326,$B$6,AD$10,$A326,$B326)</f>
        <v>0</v>
      </c>
      <c r="AE326" s="4">
        <f ca="1">_xll.DBRW($B$1,$B$2,$B$7,$B$3,$B$4,$B$5,$F326,$B$6,AE$10,$A326,$B326)</f>
        <v>0</v>
      </c>
    </row>
    <row r="327" spans="1:31">
      <c r="A327" s="1" t="s">
        <v>150</v>
      </c>
      <c r="B327" s="5" t="s">
        <v>268</v>
      </c>
      <c r="C327" s="5" t="s">
        <v>264</v>
      </c>
      <c r="D327" s="5" t="s">
        <v>21</v>
      </c>
      <c r="E327" s="5" t="s">
        <v>265</v>
      </c>
      <c r="F327" s="5" t="s">
        <v>314</v>
      </c>
      <c r="G327" s="6"/>
      <c r="H327" s="6"/>
      <c r="I327" s="6"/>
      <c r="J327" s="6"/>
      <c r="K327" s="6"/>
      <c r="L327" s="4">
        <f ca="1">_xll.DBRW($B$1,$B$2,$B$7,$B$3,$B$4,$B$5,$F327,$B$6,L$10,$A327,$B327)</f>
        <v>0</v>
      </c>
      <c r="M327" s="4">
        <f ca="1">_xll.DBRW($B$1,$B$2,$B$7,$B$3,$B$4,$B$5,$F327,$B$6,M$10,$A327,$B327)</f>
        <v>0</v>
      </c>
      <c r="N327" s="4">
        <f ca="1">_xll.DBRW($B$1,$B$2,$B$7,$B$3,$B$4,$B$5,$F327,$B$6,N$10,$A327,$B327)</f>
        <v>0</v>
      </c>
      <c r="O327" s="4">
        <f ca="1">_xll.DBRW($B$1,$B$2,$B$7,$B$3,$B$4,$B$5,$F327,$B$6,O$10,$A327,$B327)</f>
        <v>0</v>
      </c>
      <c r="P327" s="4">
        <f ca="1">_xll.DBRW($B$1,$B$2,$B$7,$B$3,$B$4,$B$5,$F327,$B$6,P$10,$A327,$B327)</f>
        <v>0</v>
      </c>
      <c r="Q327" s="4">
        <f ca="1">_xll.DBRW($B$1,$B$2,$B$7,$B$3,$B$4,$B$5,$F327,$B$6,Q$10,$A327,$B327)</f>
        <v>0</v>
      </c>
      <c r="R327" s="4">
        <f ca="1">_xll.DBRW($B$1,$B$2,$B$7,$B$3,$B$4,$B$5,$F327,$B$6,R$10,$A327,$B327)</f>
        <v>0</v>
      </c>
      <c r="S327" s="4">
        <f ca="1">_xll.DBRW($B$1,$B$2,$B$7,$B$3,$B$4,$B$5,$F327,$B$6,S$10,$A327,$B327)</f>
        <v>0</v>
      </c>
      <c r="T327" s="4">
        <f ca="1">_xll.DBRW($B$1,$B$2,$B$7,$B$3,$B$4,$B$5,$F327,$B$6,T$10,$A327,$B327)</f>
        <v>0</v>
      </c>
      <c r="U327" s="4">
        <f ca="1">_xll.DBRW($B$1,$B$2,$B$7,$B$3,$B$4,$B$5,$F327,$B$6,U$10,$A327,$B327)</f>
        <v>0</v>
      </c>
      <c r="V327" s="4">
        <f ca="1">_xll.DBRW($B$1,$B$2,$B$7,$B$3,$B$4,$B$5,$F327,$B$6,V$10,$A327,$B327)</f>
        <v>0</v>
      </c>
      <c r="W327" s="4">
        <f ca="1">_xll.DBRW($B$1,$B$2,$B$7,$B$3,$B$4,$B$5,$F327,$B$6,W$10,$A327,$B327)</f>
        <v>0</v>
      </c>
      <c r="X327" s="4">
        <f ca="1">_xll.DBRW($B$1,$B$2,$B$7,$B$3,$B$4,$B$5,$F327,$B$6,X$10,$A327,$B327)</f>
        <v>0</v>
      </c>
      <c r="Y327" s="4">
        <f ca="1">_xll.DBRW($B$1,$B$2,$B$7,$B$3,$B$4,$B$5,$F327,$B$6,Y$10,$A327,$B327)</f>
        <v>0</v>
      </c>
      <c r="Z327" s="4">
        <f ca="1">_xll.DBRW($B$1,$B$2,$B$7,$B$3,$B$4,$B$5,$F327,$B$6,Z$10,$A327,$B327)</f>
        <v>0</v>
      </c>
      <c r="AA327" s="4">
        <f ca="1">_xll.DBRW($B$1,$B$2,$B$7,$B$3,$B$4,$B$5,$F327,$B$6,AA$10,$A327,$B327)</f>
        <v>0</v>
      </c>
      <c r="AB327" s="4">
        <f ca="1">_xll.DBRW($B$1,$B$2,$B$7,$B$3,$B$4,$B$5,$F327,$B$6,AB$10,$A327,$B327)</f>
        <v>0</v>
      </c>
      <c r="AC327" s="4">
        <f ca="1">_xll.DBRW($B$1,$B$2,$B$7,$B$3,$B$4,$B$5,$F327,$B$6,AC$10,$A327,$B327)</f>
        <v>0</v>
      </c>
      <c r="AD327" s="4">
        <f ca="1">_xll.DBRW($B$1,$B$2,$B$7,$B$3,$B$4,$B$5,$F327,$B$6,AD$10,$A327,$B327)</f>
        <v>0</v>
      </c>
      <c r="AE327" s="4">
        <f ca="1">_xll.DBRW($B$1,$B$2,$B$7,$B$3,$B$4,$B$5,$F327,$B$6,AE$10,$A327,$B327)</f>
        <v>0</v>
      </c>
    </row>
    <row r="328" spans="1:31">
      <c r="A328" s="1" t="s">
        <v>150</v>
      </c>
      <c r="B328" s="5" t="s">
        <v>269</v>
      </c>
      <c r="C328" s="5" t="s">
        <v>267</v>
      </c>
      <c r="D328" s="5" t="s">
        <v>265</v>
      </c>
      <c r="E328" s="5" t="s">
        <v>21</v>
      </c>
      <c r="F328" s="5" t="s">
        <v>314</v>
      </c>
      <c r="G328" s="6"/>
      <c r="H328" s="6"/>
      <c r="I328" s="6"/>
      <c r="J328" s="6"/>
      <c r="K328" s="6"/>
      <c r="L328" s="4">
        <f ca="1">_xll.DBRW($B$1,$B$2,$B$7,$B$3,$B$4,$B$5,$F328,$B$6,L$10,$A328,$B328)</f>
        <v>0</v>
      </c>
      <c r="M328" s="4">
        <f ca="1">_xll.DBRW($B$1,$B$2,$B$7,$B$3,$B$4,$B$5,$F328,$B$6,M$10,$A328,$B328)</f>
        <v>0</v>
      </c>
      <c r="N328" s="4">
        <f ca="1">_xll.DBRW($B$1,$B$2,$B$7,$B$3,$B$4,$B$5,$F328,$B$6,N$10,$A328,$B328)</f>
        <v>0</v>
      </c>
      <c r="O328" s="4">
        <f ca="1">_xll.DBRW($B$1,$B$2,$B$7,$B$3,$B$4,$B$5,$F328,$B$6,O$10,$A328,$B328)</f>
        <v>0</v>
      </c>
      <c r="P328" s="4">
        <f ca="1">_xll.DBRW($B$1,$B$2,$B$7,$B$3,$B$4,$B$5,$F328,$B$6,P$10,$A328,$B328)</f>
        <v>0</v>
      </c>
      <c r="Q328" s="4">
        <f ca="1">_xll.DBRW($B$1,$B$2,$B$7,$B$3,$B$4,$B$5,$F328,$B$6,Q$10,$A328,$B328)</f>
        <v>0</v>
      </c>
      <c r="R328" s="4">
        <f ca="1">_xll.DBRW($B$1,$B$2,$B$7,$B$3,$B$4,$B$5,$F328,$B$6,R$10,$A328,$B328)</f>
        <v>0</v>
      </c>
      <c r="S328" s="4">
        <f ca="1">_xll.DBRW($B$1,$B$2,$B$7,$B$3,$B$4,$B$5,$F328,$B$6,S$10,$A328,$B328)</f>
        <v>0</v>
      </c>
      <c r="T328" s="4">
        <f ca="1">_xll.DBRW($B$1,$B$2,$B$7,$B$3,$B$4,$B$5,$F328,$B$6,T$10,$A328,$B328)</f>
        <v>0</v>
      </c>
      <c r="U328" s="4">
        <f ca="1">_xll.DBRW($B$1,$B$2,$B$7,$B$3,$B$4,$B$5,$F328,$B$6,U$10,$A328,$B328)</f>
        <v>0</v>
      </c>
      <c r="V328" s="4">
        <f ca="1">_xll.DBRW($B$1,$B$2,$B$7,$B$3,$B$4,$B$5,$F328,$B$6,V$10,$A328,$B328)</f>
        <v>0</v>
      </c>
      <c r="W328" s="4">
        <f ca="1">_xll.DBRW($B$1,$B$2,$B$7,$B$3,$B$4,$B$5,$F328,$B$6,W$10,$A328,$B328)</f>
        <v>0</v>
      </c>
      <c r="X328" s="4">
        <f ca="1">_xll.DBRW($B$1,$B$2,$B$7,$B$3,$B$4,$B$5,$F328,$B$6,X$10,$A328,$B328)</f>
        <v>0</v>
      </c>
      <c r="Y328" s="4">
        <f ca="1">_xll.DBRW($B$1,$B$2,$B$7,$B$3,$B$4,$B$5,$F328,$B$6,Y$10,$A328,$B328)</f>
        <v>0</v>
      </c>
      <c r="Z328" s="4">
        <f ca="1">_xll.DBRW($B$1,$B$2,$B$7,$B$3,$B$4,$B$5,$F328,$B$6,Z$10,$A328,$B328)</f>
        <v>0</v>
      </c>
      <c r="AA328" s="4">
        <f ca="1">_xll.DBRW($B$1,$B$2,$B$7,$B$3,$B$4,$B$5,$F328,$B$6,AA$10,$A328,$B328)</f>
        <v>0</v>
      </c>
      <c r="AB328" s="4">
        <f ca="1">_xll.DBRW($B$1,$B$2,$B$7,$B$3,$B$4,$B$5,$F328,$B$6,AB$10,$A328,$B328)</f>
        <v>0</v>
      </c>
      <c r="AC328" s="4">
        <f ca="1">_xll.DBRW($B$1,$B$2,$B$7,$B$3,$B$4,$B$5,$F328,$B$6,AC$10,$A328,$B328)</f>
        <v>0</v>
      </c>
      <c r="AD328" s="4">
        <f ca="1">_xll.DBRW($B$1,$B$2,$B$7,$B$3,$B$4,$B$5,$F328,$B$6,AD$10,$A328,$B328)</f>
        <v>0</v>
      </c>
      <c r="AE328" s="4">
        <f ca="1">_xll.DBRW($B$1,$B$2,$B$7,$B$3,$B$4,$B$5,$F328,$B$6,AE$10,$A328,$B328)</f>
        <v>0</v>
      </c>
    </row>
    <row r="329" spans="1:31">
      <c r="A329" s="1" t="s">
        <v>150</v>
      </c>
      <c r="B329" s="5" t="s">
        <v>270</v>
      </c>
      <c r="C329" s="5" t="s">
        <v>271</v>
      </c>
      <c r="D329" s="5" t="s">
        <v>21</v>
      </c>
      <c r="E329" s="5" t="s">
        <v>272</v>
      </c>
      <c r="F329" s="5" t="s">
        <v>314</v>
      </c>
      <c r="G329" s="6"/>
      <c r="H329" s="6"/>
      <c r="I329" s="6"/>
      <c r="J329" s="6"/>
      <c r="K329" s="6"/>
      <c r="L329" s="4">
        <f ca="1">_xll.DBRW($B$1,$B$2,$B$7,$B$3,$B$4,$B$5,$F329,$B$6,L$10,$A329,$B329)</f>
        <v>0</v>
      </c>
      <c r="M329" s="4">
        <f ca="1">_xll.DBRW($B$1,$B$2,$B$7,$B$3,$B$4,$B$5,$F329,$B$6,M$10,$A329,$B329)</f>
        <v>0</v>
      </c>
      <c r="N329" s="4">
        <f ca="1">_xll.DBRW($B$1,$B$2,$B$7,$B$3,$B$4,$B$5,$F329,$B$6,N$10,$A329,$B329)</f>
        <v>0</v>
      </c>
      <c r="O329" s="4">
        <f ca="1">_xll.DBRW($B$1,$B$2,$B$7,$B$3,$B$4,$B$5,$F329,$B$6,O$10,$A329,$B329)</f>
        <v>0</v>
      </c>
      <c r="P329" s="4">
        <f ca="1">_xll.DBRW($B$1,$B$2,$B$7,$B$3,$B$4,$B$5,$F329,$B$6,P$10,$A329,$B329)</f>
        <v>0</v>
      </c>
      <c r="Q329" s="4">
        <f ca="1">_xll.DBRW($B$1,$B$2,$B$7,$B$3,$B$4,$B$5,$F329,$B$6,Q$10,$A329,$B329)</f>
        <v>0</v>
      </c>
      <c r="R329" s="4">
        <f ca="1">_xll.DBRW($B$1,$B$2,$B$7,$B$3,$B$4,$B$5,$F329,$B$6,R$10,$A329,$B329)</f>
        <v>0</v>
      </c>
      <c r="S329" s="4">
        <f ca="1">_xll.DBRW($B$1,$B$2,$B$7,$B$3,$B$4,$B$5,$F329,$B$6,S$10,$A329,$B329)</f>
        <v>0</v>
      </c>
      <c r="T329" s="4">
        <f ca="1">_xll.DBRW($B$1,$B$2,$B$7,$B$3,$B$4,$B$5,$F329,$B$6,T$10,$A329,$B329)</f>
        <v>0</v>
      </c>
      <c r="U329" s="4">
        <f ca="1">_xll.DBRW($B$1,$B$2,$B$7,$B$3,$B$4,$B$5,$F329,$B$6,U$10,$A329,$B329)</f>
        <v>0</v>
      </c>
      <c r="V329" s="4">
        <f ca="1">_xll.DBRW($B$1,$B$2,$B$7,$B$3,$B$4,$B$5,$F329,$B$6,V$10,$A329,$B329)</f>
        <v>0</v>
      </c>
      <c r="W329" s="4">
        <f ca="1">_xll.DBRW($B$1,$B$2,$B$7,$B$3,$B$4,$B$5,$F329,$B$6,W$10,$A329,$B329)</f>
        <v>0</v>
      </c>
      <c r="X329" s="4">
        <f ca="1">_xll.DBRW($B$1,$B$2,$B$7,$B$3,$B$4,$B$5,$F329,$B$6,X$10,$A329,$B329)</f>
        <v>0</v>
      </c>
      <c r="Y329" s="4">
        <f ca="1">_xll.DBRW($B$1,$B$2,$B$7,$B$3,$B$4,$B$5,$F329,$B$6,Y$10,$A329,$B329)</f>
        <v>0</v>
      </c>
      <c r="Z329" s="4">
        <f ca="1">_xll.DBRW($B$1,$B$2,$B$7,$B$3,$B$4,$B$5,$F329,$B$6,Z$10,$A329,$B329)</f>
        <v>0</v>
      </c>
      <c r="AA329" s="4">
        <f ca="1">_xll.DBRW($B$1,$B$2,$B$7,$B$3,$B$4,$B$5,$F329,$B$6,AA$10,$A329,$B329)</f>
        <v>0</v>
      </c>
      <c r="AB329" s="4">
        <f ca="1">_xll.DBRW($B$1,$B$2,$B$7,$B$3,$B$4,$B$5,$F329,$B$6,AB$10,$A329,$B329)</f>
        <v>0</v>
      </c>
      <c r="AC329" s="4">
        <f ca="1">_xll.DBRW($B$1,$B$2,$B$7,$B$3,$B$4,$B$5,$F329,$B$6,AC$10,$A329,$B329)</f>
        <v>0</v>
      </c>
      <c r="AD329" s="4">
        <f ca="1">_xll.DBRW($B$1,$B$2,$B$7,$B$3,$B$4,$B$5,$F329,$B$6,AD$10,$A329,$B329)</f>
        <v>0</v>
      </c>
      <c r="AE329" s="4">
        <f ca="1">_xll.DBRW($B$1,$B$2,$B$7,$B$3,$B$4,$B$5,$F329,$B$6,AE$10,$A329,$B329)</f>
        <v>0</v>
      </c>
    </row>
    <row r="330" spans="1:31">
      <c r="A330" s="1" t="s">
        <v>150</v>
      </c>
      <c r="B330" s="5" t="s">
        <v>273</v>
      </c>
      <c r="C330" s="5" t="s">
        <v>274</v>
      </c>
      <c r="D330" s="5" t="s">
        <v>272</v>
      </c>
      <c r="E330" s="5" t="s">
        <v>21</v>
      </c>
      <c r="F330" s="5" t="s">
        <v>314</v>
      </c>
      <c r="G330" s="6"/>
      <c r="H330" s="6"/>
      <c r="I330" s="6"/>
      <c r="J330" s="6"/>
      <c r="K330" s="6"/>
      <c r="L330" s="4">
        <f ca="1">_xll.DBRW($B$1,$B$2,$B$7,$B$3,$B$4,$B$5,$F330,$B$6,L$10,$A330,$B330)</f>
        <v>0</v>
      </c>
      <c r="M330" s="4">
        <f ca="1">_xll.DBRW($B$1,$B$2,$B$7,$B$3,$B$4,$B$5,$F330,$B$6,M$10,$A330,$B330)</f>
        <v>0</v>
      </c>
      <c r="N330" s="4">
        <f ca="1">_xll.DBRW($B$1,$B$2,$B$7,$B$3,$B$4,$B$5,$F330,$B$6,N$10,$A330,$B330)</f>
        <v>0</v>
      </c>
      <c r="O330" s="4">
        <f ca="1">_xll.DBRW($B$1,$B$2,$B$7,$B$3,$B$4,$B$5,$F330,$B$6,O$10,$A330,$B330)</f>
        <v>0</v>
      </c>
      <c r="P330" s="4">
        <f ca="1">_xll.DBRW($B$1,$B$2,$B$7,$B$3,$B$4,$B$5,$F330,$B$6,P$10,$A330,$B330)</f>
        <v>0</v>
      </c>
      <c r="Q330" s="4">
        <f ca="1">_xll.DBRW($B$1,$B$2,$B$7,$B$3,$B$4,$B$5,$F330,$B$6,Q$10,$A330,$B330)</f>
        <v>0</v>
      </c>
      <c r="R330" s="4">
        <f ca="1">_xll.DBRW($B$1,$B$2,$B$7,$B$3,$B$4,$B$5,$F330,$B$6,R$10,$A330,$B330)</f>
        <v>0</v>
      </c>
      <c r="S330" s="4">
        <f ca="1">_xll.DBRW($B$1,$B$2,$B$7,$B$3,$B$4,$B$5,$F330,$B$6,S$10,$A330,$B330)</f>
        <v>0</v>
      </c>
      <c r="T330" s="4">
        <f ca="1">_xll.DBRW($B$1,$B$2,$B$7,$B$3,$B$4,$B$5,$F330,$B$6,T$10,$A330,$B330)</f>
        <v>0</v>
      </c>
      <c r="U330" s="4">
        <f ca="1">_xll.DBRW($B$1,$B$2,$B$7,$B$3,$B$4,$B$5,$F330,$B$6,U$10,$A330,$B330)</f>
        <v>0</v>
      </c>
      <c r="V330" s="4">
        <f ca="1">_xll.DBRW($B$1,$B$2,$B$7,$B$3,$B$4,$B$5,$F330,$B$6,V$10,$A330,$B330)</f>
        <v>0</v>
      </c>
      <c r="W330" s="4">
        <f ca="1">_xll.DBRW($B$1,$B$2,$B$7,$B$3,$B$4,$B$5,$F330,$B$6,W$10,$A330,$B330)</f>
        <v>0</v>
      </c>
      <c r="X330" s="4">
        <f ca="1">_xll.DBRW($B$1,$B$2,$B$7,$B$3,$B$4,$B$5,$F330,$B$6,X$10,$A330,$B330)</f>
        <v>0</v>
      </c>
      <c r="Y330" s="4">
        <f ca="1">_xll.DBRW($B$1,$B$2,$B$7,$B$3,$B$4,$B$5,$F330,$B$6,Y$10,$A330,$B330)</f>
        <v>0</v>
      </c>
      <c r="Z330" s="4">
        <f ca="1">_xll.DBRW($B$1,$B$2,$B$7,$B$3,$B$4,$B$5,$F330,$B$6,Z$10,$A330,$B330)</f>
        <v>0</v>
      </c>
      <c r="AA330" s="4">
        <f ca="1">_xll.DBRW($B$1,$B$2,$B$7,$B$3,$B$4,$B$5,$F330,$B$6,AA$10,$A330,$B330)</f>
        <v>0</v>
      </c>
      <c r="AB330" s="4">
        <f ca="1">_xll.DBRW($B$1,$B$2,$B$7,$B$3,$B$4,$B$5,$F330,$B$6,AB$10,$A330,$B330)</f>
        <v>0</v>
      </c>
      <c r="AC330" s="4">
        <f ca="1">_xll.DBRW($B$1,$B$2,$B$7,$B$3,$B$4,$B$5,$F330,$B$6,AC$10,$A330,$B330)</f>
        <v>0</v>
      </c>
      <c r="AD330" s="4">
        <f ca="1">_xll.DBRW($B$1,$B$2,$B$7,$B$3,$B$4,$B$5,$F330,$B$6,AD$10,$A330,$B330)</f>
        <v>0</v>
      </c>
      <c r="AE330" s="4">
        <f ca="1">_xll.DBRW($B$1,$B$2,$B$7,$B$3,$B$4,$B$5,$F330,$B$6,AE$10,$A330,$B330)</f>
        <v>0</v>
      </c>
    </row>
    <row r="331" spans="1:31">
      <c r="A331" s="1" t="s">
        <v>150</v>
      </c>
      <c r="B331" s="5" t="s">
        <v>275</v>
      </c>
      <c r="C331" s="5" t="s">
        <v>276</v>
      </c>
      <c r="D331" s="5" t="s">
        <v>21</v>
      </c>
      <c r="E331" s="5" t="s">
        <v>277</v>
      </c>
      <c r="F331" s="5" t="s">
        <v>314</v>
      </c>
      <c r="G331" s="6"/>
      <c r="H331" s="6"/>
      <c r="I331" s="6"/>
      <c r="J331" s="6"/>
      <c r="K331" s="6"/>
      <c r="L331" s="4">
        <f ca="1">_xll.DBRW($B$1,$B$2,$B$7,$B$3,$B$4,$B$5,$F331,$B$6,L$10,$A331,$B331)</f>
        <v>0</v>
      </c>
      <c r="M331" s="4">
        <f ca="1">_xll.DBRW($B$1,$B$2,$B$7,$B$3,$B$4,$B$5,$F331,$B$6,M$10,$A331,$B331)</f>
        <v>0</v>
      </c>
      <c r="N331" s="4">
        <f ca="1">_xll.DBRW($B$1,$B$2,$B$7,$B$3,$B$4,$B$5,$F331,$B$6,N$10,$A331,$B331)</f>
        <v>0</v>
      </c>
      <c r="O331" s="4">
        <f ca="1">_xll.DBRW($B$1,$B$2,$B$7,$B$3,$B$4,$B$5,$F331,$B$6,O$10,$A331,$B331)</f>
        <v>0</v>
      </c>
      <c r="P331" s="4">
        <f ca="1">_xll.DBRW($B$1,$B$2,$B$7,$B$3,$B$4,$B$5,$F331,$B$6,P$10,$A331,$B331)</f>
        <v>0</v>
      </c>
      <c r="Q331" s="4">
        <f ca="1">_xll.DBRW($B$1,$B$2,$B$7,$B$3,$B$4,$B$5,$F331,$B$6,Q$10,$A331,$B331)</f>
        <v>0</v>
      </c>
      <c r="R331" s="4">
        <f ca="1">_xll.DBRW($B$1,$B$2,$B$7,$B$3,$B$4,$B$5,$F331,$B$6,R$10,$A331,$B331)</f>
        <v>0</v>
      </c>
      <c r="S331" s="4">
        <f ca="1">_xll.DBRW($B$1,$B$2,$B$7,$B$3,$B$4,$B$5,$F331,$B$6,S$10,$A331,$B331)</f>
        <v>0</v>
      </c>
      <c r="T331" s="4">
        <f ca="1">_xll.DBRW($B$1,$B$2,$B$7,$B$3,$B$4,$B$5,$F331,$B$6,T$10,$A331,$B331)</f>
        <v>0</v>
      </c>
      <c r="U331" s="4">
        <f ca="1">_xll.DBRW($B$1,$B$2,$B$7,$B$3,$B$4,$B$5,$F331,$B$6,U$10,$A331,$B331)</f>
        <v>0</v>
      </c>
      <c r="V331" s="4">
        <f ca="1">_xll.DBRW($B$1,$B$2,$B$7,$B$3,$B$4,$B$5,$F331,$B$6,V$10,$A331,$B331)</f>
        <v>0</v>
      </c>
      <c r="W331" s="4">
        <f ca="1">_xll.DBRW($B$1,$B$2,$B$7,$B$3,$B$4,$B$5,$F331,$B$6,W$10,$A331,$B331)</f>
        <v>0</v>
      </c>
      <c r="X331" s="4">
        <f ca="1">_xll.DBRW($B$1,$B$2,$B$7,$B$3,$B$4,$B$5,$F331,$B$6,X$10,$A331,$B331)</f>
        <v>0</v>
      </c>
      <c r="Y331" s="4">
        <f ca="1">_xll.DBRW($B$1,$B$2,$B$7,$B$3,$B$4,$B$5,$F331,$B$6,Y$10,$A331,$B331)</f>
        <v>0</v>
      </c>
      <c r="Z331" s="4">
        <f ca="1">_xll.DBRW($B$1,$B$2,$B$7,$B$3,$B$4,$B$5,$F331,$B$6,Z$10,$A331,$B331)</f>
        <v>0</v>
      </c>
      <c r="AA331" s="4">
        <f ca="1">_xll.DBRW($B$1,$B$2,$B$7,$B$3,$B$4,$B$5,$F331,$B$6,AA$10,$A331,$B331)</f>
        <v>0</v>
      </c>
      <c r="AB331" s="4">
        <f ca="1">_xll.DBRW($B$1,$B$2,$B$7,$B$3,$B$4,$B$5,$F331,$B$6,AB$10,$A331,$B331)</f>
        <v>0</v>
      </c>
      <c r="AC331" s="4">
        <f ca="1">_xll.DBRW($B$1,$B$2,$B$7,$B$3,$B$4,$B$5,$F331,$B$6,AC$10,$A331,$B331)</f>
        <v>0</v>
      </c>
      <c r="AD331" s="4">
        <f ca="1">_xll.DBRW($B$1,$B$2,$B$7,$B$3,$B$4,$B$5,$F331,$B$6,AD$10,$A331,$B331)</f>
        <v>0</v>
      </c>
      <c r="AE331" s="4">
        <f ca="1">_xll.DBRW($B$1,$B$2,$B$7,$B$3,$B$4,$B$5,$F331,$B$6,AE$10,$A331,$B331)</f>
        <v>0</v>
      </c>
    </row>
    <row r="332" spans="1:31">
      <c r="A332" s="1" t="s">
        <v>150</v>
      </c>
      <c r="B332" s="5" t="s">
        <v>278</v>
      </c>
      <c r="C332" s="5" t="s">
        <v>279</v>
      </c>
      <c r="D332" s="5" t="s">
        <v>277</v>
      </c>
      <c r="E332" s="5" t="s">
        <v>21</v>
      </c>
      <c r="F332" s="5" t="s">
        <v>314</v>
      </c>
      <c r="G332" s="6"/>
      <c r="H332" s="6"/>
      <c r="I332" s="6"/>
      <c r="J332" s="6"/>
      <c r="K332" s="6"/>
      <c r="L332" s="4">
        <f ca="1">_xll.DBRW($B$1,$B$2,$B$7,$B$3,$B$4,$B$5,$F332,$B$6,L$10,$A332,$B332)</f>
        <v>0</v>
      </c>
      <c r="M332" s="4">
        <f ca="1">_xll.DBRW($B$1,$B$2,$B$7,$B$3,$B$4,$B$5,$F332,$B$6,M$10,$A332,$B332)</f>
        <v>0</v>
      </c>
      <c r="N332" s="4">
        <f ca="1">_xll.DBRW($B$1,$B$2,$B$7,$B$3,$B$4,$B$5,$F332,$B$6,N$10,$A332,$B332)</f>
        <v>0</v>
      </c>
      <c r="O332" s="4">
        <f ca="1">_xll.DBRW($B$1,$B$2,$B$7,$B$3,$B$4,$B$5,$F332,$B$6,O$10,$A332,$B332)</f>
        <v>0</v>
      </c>
      <c r="P332" s="4">
        <f ca="1">_xll.DBRW($B$1,$B$2,$B$7,$B$3,$B$4,$B$5,$F332,$B$6,P$10,$A332,$B332)</f>
        <v>0</v>
      </c>
      <c r="Q332" s="4">
        <f ca="1">_xll.DBRW($B$1,$B$2,$B$7,$B$3,$B$4,$B$5,$F332,$B$6,Q$10,$A332,$B332)</f>
        <v>0</v>
      </c>
      <c r="R332" s="4">
        <f ca="1">_xll.DBRW($B$1,$B$2,$B$7,$B$3,$B$4,$B$5,$F332,$B$6,R$10,$A332,$B332)</f>
        <v>0</v>
      </c>
      <c r="S332" s="4">
        <f ca="1">_xll.DBRW($B$1,$B$2,$B$7,$B$3,$B$4,$B$5,$F332,$B$6,S$10,$A332,$B332)</f>
        <v>0</v>
      </c>
      <c r="T332" s="4">
        <f ca="1">_xll.DBRW($B$1,$B$2,$B$7,$B$3,$B$4,$B$5,$F332,$B$6,T$10,$A332,$B332)</f>
        <v>0</v>
      </c>
      <c r="U332" s="4">
        <f ca="1">_xll.DBRW($B$1,$B$2,$B$7,$B$3,$B$4,$B$5,$F332,$B$6,U$10,$A332,$B332)</f>
        <v>0</v>
      </c>
      <c r="V332" s="4">
        <f ca="1">_xll.DBRW($B$1,$B$2,$B$7,$B$3,$B$4,$B$5,$F332,$B$6,V$10,$A332,$B332)</f>
        <v>0</v>
      </c>
      <c r="W332" s="4">
        <f ca="1">_xll.DBRW($B$1,$B$2,$B$7,$B$3,$B$4,$B$5,$F332,$B$6,W$10,$A332,$B332)</f>
        <v>0</v>
      </c>
      <c r="X332" s="4">
        <f ca="1">_xll.DBRW($B$1,$B$2,$B$7,$B$3,$B$4,$B$5,$F332,$B$6,X$10,$A332,$B332)</f>
        <v>0</v>
      </c>
      <c r="Y332" s="4">
        <f ca="1">_xll.DBRW($B$1,$B$2,$B$7,$B$3,$B$4,$B$5,$F332,$B$6,Y$10,$A332,$B332)</f>
        <v>0</v>
      </c>
      <c r="Z332" s="4">
        <f ca="1">_xll.DBRW($B$1,$B$2,$B$7,$B$3,$B$4,$B$5,$F332,$B$6,Z$10,$A332,$B332)</f>
        <v>0</v>
      </c>
      <c r="AA332" s="4">
        <f ca="1">_xll.DBRW($B$1,$B$2,$B$7,$B$3,$B$4,$B$5,$F332,$B$6,AA$10,$A332,$B332)</f>
        <v>0</v>
      </c>
      <c r="AB332" s="4">
        <f ca="1">_xll.DBRW($B$1,$B$2,$B$7,$B$3,$B$4,$B$5,$F332,$B$6,AB$10,$A332,$B332)</f>
        <v>0</v>
      </c>
      <c r="AC332" s="4">
        <f ca="1">_xll.DBRW($B$1,$B$2,$B$7,$B$3,$B$4,$B$5,$F332,$B$6,AC$10,$A332,$B332)</f>
        <v>0</v>
      </c>
      <c r="AD332" s="4">
        <f ca="1">_xll.DBRW($B$1,$B$2,$B$7,$B$3,$B$4,$B$5,$F332,$B$6,AD$10,$A332,$B332)</f>
        <v>0</v>
      </c>
      <c r="AE332" s="4">
        <f ca="1">_xll.DBRW($B$1,$B$2,$B$7,$B$3,$B$4,$B$5,$F332,$B$6,AE$10,$A332,$B332)</f>
        <v>0</v>
      </c>
    </row>
    <row r="333" spans="1:31">
      <c r="A333" s="1" t="s">
        <v>150</v>
      </c>
      <c r="B333" s="5" t="s">
        <v>280</v>
      </c>
      <c r="C333" s="5" t="s">
        <v>276</v>
      </c>
      <c r="D333" s="5" t="s">
        <v>21</v>
      </c>
      <c r="E333" s="5" t="s">
        <v>277</v>
      </c>
      <c r="F333" s="5" t="s">
        <v>314</v>
      </c>
      <c r="G333" s="6"/>
      <c r="H333" s="6"/>
      <c r="I333" s="6"/>
      <c r="J333" s="6"/>
      <c r="K333" s="6"/>
      <c r="L333" s="4">
        <f ca="1">_xll.DBRW($B$1,$B$2,$B$7,$B$3,$B$4,$B$5,$F333,$B$6,L$10,$A333,$B333)</f>
        <v>0</v>
      </c>
      <c r="M333" s="4">
        <f ca="1">_xll.DBRW($B$1,$B$2,$B$7,$B$3,$B$4,$B$5,$F333,$B$6,M$10,$A333,$B333)</f>
        <v>0</v>
      </c>
      <c r="N333" s="4">
        <f ca="1">_xll.DBRW($B$1,$B$2,$B$7,$B$3,$B$4,$B$5,$F333,$B$6,N$10,$A333,$B333)</f>
        <v>0</v>
      </c>
      <c r="O333" s="4">
        <f ca="1">_xll.DBRW($B$1,$B$2,$B$7,$B$3,$B$4,$B$5,$F333,$B$6,O$10,$A333,$B333)</f>
        <v>0</v>
      </c>
      <c r="P333" s="4">
        <f ca="1">_xll.DBRW($B$1,$B$2,$B$7,$B$3,$B$4,$B$5,$F333,$B$6,P$10,$A333,$B333)</f>
        <v>0</v>
      </c>
      <c r="Q333" s="4">
        <f ca="1">_xll.DBRW($B$1,$B$2,$B$7,$B$3,$B$4,$B$5,$F333,$B$6,Q$10,$A333,$B333)</f>
        <v>0</v>
      </c>
      <c r="R333" s="4">
        <f ca="1">_xll.DBRW($B$1,$B$2,$B$7,$B$3,$B$4,$B$5,$F333,$B$6,R$10,$A333,$B333)</f>
        <v>0</v>
      </c>
      <c r="S333" s="4">
        <f ca="1">_xll.DBRW($B$1,$B$2,$B$7,$B$3,$B$4,$B$5,$F333,$B$6,S$10,$A333,$B333)</f>
        <v>0</v>
      </c>
      <c r="T333" s="4">
        <f ca="1">_xll.DBRW($B$1,$B$2,$B$7,$B$3,$B$4,$B$5,$F333,$B$6,T$10,$A333,$B333)</f>
        <v>0</v>
      </c>
      <c r="U333" s="4">
        <f ca="1">_xll.DBRW($B$1,$B$2,$B$7,$B$3,$B$4,$B$5,$F333,$B$6,U$10,$A333,$B333)</f>
        <v>0</v>
      </c>
      <c r="V333" s="4">
        <f ca="1">_xll.DBRW($B$1,$B$2,$B$7,$B$3,$B$4,$B$5,$F333,$B$6,V$10,$A333,$B333)</f>
        <v>0</v>
      </c>
      <c r="W333" s="4">
        <f ca="1">_xll.DBRW($B$1,$B$2,$B$7,$B$3,$B$4,$B$5,$F333,$B$6,W$10,$A333,$B333)</f>
        <v>0</v>
      </c>
      <c r="X333" s="4">
        <f ca="1">_xll.DBRW($B$1,$B$2,$B$7,$B$3,$B$4,$B$5,$F333,$B$6,X$10,$A333,$B333)</f>
        <v>0</v>
      </c>
      <c r="Y333" s="4">
        <f ca="1">_xll.DBRW($B$1,$B$2,$B$7,$B$3,$B$4,$B$5,$F333,$B$6,Y$10,$A333,$B333)</f>
        <v>0</v>
      </c>
      <c r="Z333" s="4">
        <f ca="1">_xll.DBRW($B$1,$B$2,$B$7,$B$3,$B$4,$B$5,$F333,$B$6,Z$10,$A333,$B333)</f>
        <v>0</v>
      </c>
      <c r="AA333" s="4">
        <f ca="1">_xll.DBRW($B$1,$B$2,$B$7,$B$3,$B$4,$B$5,$F333,$B$6,AA$10,$A333,$B333)</f>
        <v>0</v>
      </c>
      <c r="AB333" s="4">
        <f ca="1">_xll.DBRW($B$1,$B$2,$B$7,$B$3,$B$4,$B$5,$F333,$B$6,AB$10,$A333,$B333)</f>
        <v>0</v>
      </c>
      <c r="AC333" s="4">
        <f ca="1">_xll.DBRW($B$1,$B$2,$B$7,$B$3,$B$4,$B$5,$F333,$B$6,AC$10,$A333,$B333)</f>
        <v>0</v>
      </c>
      <c r="AD333" s="4">
        <f ca="1">_xll.DBRW($B$1,$B$2,$B$7,$B$3,$B$4,$B$5,$F333,$B$6,AD$10,$A333,$B333)</f>
        <v>0</v>
      </c>
      <c r="AE333" s="4">
        <f ca="1">_xll.DBRW($B$1,$B$2,$B$7,$B$3,$B$4,$B$5,$F333,$B$6,AE$10,$A333,$B333)</f>
        <v>0</v>
      </c>
    </row>
    <row r="334" spans="1:31">
      <c r="A334" s="1" t="s">
        <v>150</v>
      </c>
      <c r="B334" s="5" t="s">
        <v>281</v>
      </c>
      <c r="C334" s="5" t="s">
        <v>279</v>
      </c>
      <c r="D334" s="5" t="s">
        <v>277</v>
      </c>
      <c r="E334" s="5" t="s">
        <v>21</v>
      </c>
      <c r="F334" s="5" t="s">
        <v>314</v>
      </c>
      <c r="G334" s="6"/>
      <c r="H334" s="6"/>
      <c r="I334" s="6"/>
      <c r="J334" s="6"/>
      <c r="K334" s="6"/>
      <c r="L334" s="4">
        <f ca="1">_xll.DBRW($B$1,$B$2,$B$7,$B$3,$B$4,$B$5,$F334,$B$6,L$10,$A334,$B334)</f>
        <v>0</v>
      </c>
      <c r="M334" s="4">
        <f ca="1">_xll.DBRW($B$1,$B$2,$B$7,$B$3,$B$4,$B$5,$F334,$B$6,M$10,$A334,$B334)</f>
        <v>0</v>
      </c>
      <c r="N334" s="4">
        <f ca="1">_xll.DBRW($B$1,$B$2,$B$7,$B$3,$B$4,$B$5,$F334,$B$6,N$10,$A334,$B334)</f>
        <v>0</v>
      </c>
      <c r="O334" s="4">
        <f ca="1">_xll.DBRW($B$1,$B$2,$B$7,$B$3,$B$4,$B$5,$F334,$B$6,O$10,$A334,$B334)</f>
        <v>0</v>
      </c>
      <c r="P334" s="4">
        <f ca="1">_xll.DBRW($B$1,$B$2,$B$7,$B$3,$B$4,$B$5,$F334,$B$6,P$10,$A334,$B334)</f>
        <v>0</v>
      </c>
      <c r="Q334" s="4">
        <f ca="1">_xll.DBRW($B$1,$B$2,$B$7,$B$3,$B$4,$B$5,$F334,$B$6,Q$10,$A334,$B334)</f>
        <v>0</v>
      </c>
      <c r="R334" s="4">
        <f ca="1">_xll.DBRW($B$1,$B$2,$B$7,$B$3,$B$4,$B$5,$F334,$B$6,R$10,$A334,$B334)</f>
        <v>0</v>
      </c>
      <c r="S334" s="4">
        <f ca="1">_xll.DBRW($B$1,$B$2,$B$7,$B$3,$B$4,$B$5,$F334,$B$6,S$10,$A334,$B334)</f>
        <v>0</v>
      </c>
      <c r="T334" s="4">
        <f ca="1">_xll.DBRW($B$1,$B$2,$B$7,$B$3,$B$4,$B$5,$F334,$B$6,T$10,$A334,$B334)</f>
        <v>0</v>
      </c>
      <c r="U334" s="4">
        <f ca="1">_xll.DBRW($B$1,$B$2,$B$7,$B$3,$B$4,$B$5,$F334,$B$6,U$10,$A334,$B334)</f>
        <v>0</v>
      </c>
      <c r="V334" s="4">
        <f ca="1">_xll.DBRW($B$1,$B$2,$B$7,$B$3,$B$4,$B$5,$F334,$B$6,V$10,$A334,$B334)</f>
        <v>0</v>
      </c>
      <c r="W334" s="4">
        <f ca="1">_xll.DBRW($B$1,$B$2,$B$7,$B$3,$B$4,$B$5,$F334,$B$6,W$10,$A334,$B334)</f>
        <v>0</v>
      </c>
      <c r="X334" s="4">
        <f ca="1">_xll.DBRW($B$1,$B$2,$B$7,$B$3,$B$4,$B$5,$F334,$B$6,X$10,$A334,$B334)</f>
        <v>0</v>
      </c>
      <c r="Y334" s="4">
        <f ca="1">_xll.DBRW($B$1,$B$2,$B$7,$B$3,$B$4,$B$5,$F334,$B$6,Y$10,$A334,$B334)</f>
        <v>0</v>
      </c>
      <c r="Z334" s="4">
        <f ca="1">_xll.DBRW($B$1,$B$2,$B$7,$B$3,$B$4,$B$5,$F334,$B$6,Z$10,$A334,$B334)</f>
        <v>0</v>
      </c>
      <c r="AA334" s="4">
        <f ca="1">_xll.DBRW($B$1,$B$2,$B$7,$B$3,$B$4,$B$5,$F334,$B$6,AA$10,$A334,$B334)</f>
        <v>0</v>
      </c>
      <c r="AB334" s="4">
        <f ca="1">_xll.DBRW($B$1,$B$2,$B$7,$B$3,$B$4,$B$5,$F334,$B$6,AB$10,$A334,$B334)</f>
        <v>0</v>
      </c>
      <c r="AC334" s="4">
        <f ca="1">_xll.DBRW($B$1,$B$2,$B$7,$B$3,$B$4,$B$5,$F334,$B$6,AC$10,$A334,$B334)</f>
        <v>0</v>
      </c>
      <c r="AD334" s="4">
        <f ca="1">_xll.DBRW($B$1,$B$2,$B$7,$B$3,$B$4,$B$5,$F334,$B$6,AD$10,$A334,$B334)</f>
        <v>0</v>
      </c>
      <c r="AE334" s="4">
        <f ca="1">_xll.DBRW($B$1,$B$2,$B$7,$B$3,$B$4,$B$5,$F334,$B$6,AE$10,$A334,$B334)</f>
        <v>0</v>
      </c>
    </row>
    <row r="335" spans="1:31">
      <c r="A335" s="1" t="s">
        <v>150</v>
      </c>
      <c r="B335" s="5" t="s">
        <v>282</v>
      </c>
      <c r="C335" s="5" t="s">
        <v>283</v>
      </c>
      <c r="D335" s="5" t="s">
        <v>21</v>
      </c>
      <c r="E335" s="5" t="s">
        <v>284</v>
      </c>
      <c r="F335" s="5" t="s">
        <v>314</v>
      </c>
      <c r="G335" s="6"/>
      <c r="H335" s="6"/>
      <c r="I335" s="6"/>
      <c r="J335" s="6"/>
      <c r="K335" s="6"/>
      <c r="L335" s="4">
        <f ca="1">_xll.DBRW($B$1,$B$2,$B$7,$B$3,$B$4,$B$5,$F335,$B$6,L$10,$A335,$B335)</f>
        <v>0</v>
      </c>
      <c r="M335" s="4">
        <f ca="1">_xll.DBRW($B$1,$B$2,$B$7,$B$3,$B$4,$B$5,$F335,$B$6,M$10,$A335,$B335)</f>
        <v>0</v>
      </c>
      <c r="N335" s="4">
        <f ca="1">_xll.DBRW($B$1,$B$2,$B$7,$B$3,$B$4,$B$5,$F335,$B$6,N$10,$A335,$B335)</f>
        <v>0</v>
      </c>
      <c r="O335" s="4">
        <f ca="1">_xll.DBRW($B$1,$B$2,$B$7,$B$3,$B$4,$B$5,$F335,$B$6,O$10,$A335,$B335)</f>
        <v>0</v>
      </c>
      <c r="P335" s="4">
        <f ca="1">_xll.DBRW($B$1,$B$2,$B$7,$B$3,$B$4,$B$5,$F335,$B$6,P$10,$A335,$B335)</f>
        <v>0</v>
      </c>
      <c r="Q335" s="4">
        <f ca="1">_xll.DBRW($B$1,$B$2,$B$7,$B$3,$B$4,$B$5,$F335,$B$6,Q$10,$A335,$B335)</f>
        <v>0</v>
      </c>
      <c r="R335" s="4">
        <f ca="1">_xll.DBRW($B$1,$B$2,$B$7,$B$3,$B$4,$B$5,$F335,$B$6,R$10,$A335,$B335)</f>
        <v>0</v>
      </c>
      <c r="S335" s="4">
        <f ca="1">_xll.DBRW($B$1,$B$2,$B$7,$B$3,$B$4,$B$5,$F335,$B$6,S$10,$A335,$B335)</f>
        <v>0</v>
      </c>
      <c r="T335" s="4">
        <f ca="1">_xll.DBRW($B$1,$B$2,$B$7,$B$3,$B$4,$B$5,$F335,$B$6,T$10,$A335,$B335)</f>
        <v>0</v>
      </c>
      <c r="U335" s="4">
        <f ca="1">_xll.DBRW($B$1,$B$2,$B$7,$B$3,$B$4,$B$5,$F335,$B$6,U$10,$A335,$B335)</f>
        <v>0</v>
      </c>
      <c r="V335" s="4">
        <f ca="1">_xll.DBRW($B$1,$B$2,$B$7,$B$3,$B$4,$B$5,$F335,$B$6,V$10,$A335,$B335)</f>
        <v>0</v>
      </c>
      <c r="W335" s="4">
        <f ca="1">_xll.DBRW($B$1,$B$2,$B$7,$B$3,$B$4,$B$5,$F335,$B$6,W$10,$A335,$B335)</f>
        <v>0</v>
      </c>
      <c r="X335" s="4">
        <f ca="1">_xll.DBRW($B$1,$B$2,$B$7,$B$3,$B$4,$B$5,$F335,$B$6,X$10,$A335,$B335)</f>
        <v>0</v>
      </c>
      <c r="Y335" s="4">
        <f ca="1">_xll.DBRW($B$1,$B$2,$B$7,$B$3,$B$4,$B$5,$F335,$B$6,Y$10,$A335,$B335)</f>
        <v>0</v>
      </c>
      <c r="Z335" s="4">
        <f ca="1">_xll.DBRW($B$1,$B$2,$B$7,$B$3,$B$4,$B$5,$F335,$B$6,Z$10,$A335,$B335)</f>
        <v>0</v>
      </c>
      <c r="AA335" s="4">
        <f ca="1">_xll.DBRW($B$1,$B$2,$B$7,$B$3,$B$4,$B$5,$F335,$B$6,AA$10,$A335,$B335)</f>
        <v>0</v>
      </c>
      <c r="AB335" s="4">
        <f ca="1">_xll.DBRW($B$1,$B$2,$B$7,$B$3,$B$4,$B$5,$F335,$B$6,AB$10,$A335,$B335)</f>
        <v>0</v>
      </c>
      <c r="AC335" s="4">
        <f ca="1">_xll.DBRW($B$1,$B$2,$B$7,$B$3,$B$4,$B$5,$F335,$B$6,AC$10,$A335,$B335)</f>
        <v>0</v>
      </c>
      <c r="AD335" s="4">
        <f ca="1">_xll.DBRW($B$1,$B$2,$B$7,$B$3,$B$4,$B$5,$F335,$B$6,AD$10,$A335,$B335)</f>
        <v>0</v>
      </c>
      <c r="AE335" s="4">
        <f ca="1">_xll.DBRW($B$1,$B$2,$B$7,$B$3,$B$4,$B$5,$F335,$B$6,AE$10,$A335,$B335)</f>
        <v>0</v>
      </c>
    </row>
    <row r="336" spans="1:31">
      <c r="A336" s="1" t="s">
        <v>150</v>
      </c>
      <c r="B336" s="5" t="s">
        <v>285</v>
      </c>
      <c r="C336" s="5" t="s">
        <v>286</v>
      </c>
      <c r="D336" s="5" t="s">
        <v>284</v>
      </c>
      <c r="E336" s="5" t="s">
        <v>21</v>
      </c>
      <c r="F336" s="5" t="s">
        <v>314</v>
      </c>
      <c r="G336" s="6"/>
      <c r="H336" s="6"/>
      <c r="I336" s="6"/>
      <c r="J336" s="6"/>
      <c r="K336" s="6"/>
      <c r="L336" s="4">
        <f ca="1">_xll.DBRW($B$1,$B$2,$B$7,$B$3,$B$4,$B$5,$F336,$B$6,L$10,$A336,$B336)</f>
        <v>0</v>
      </c>
      <c r="M336" s="4">
        <f ca="1">_xll.DBRW($B$1,$B$2,$B$7,$B$3,$B$4,$B$5,$F336,$B$6,M$10,$A336,$B336)</f>
        <v>0</v>
      </c>
      <c r="N336" s="4">
        <f ca="1">_xll.DBRW($B$1,$B$2,$B$7,$B$3,$B$4,$B$5,$F336,$B$6,N$10,$A336,$B336)</f>
        <v>0</v>
      </c>
      <c r="O336" s="4">
        <f ca="1">_xll.DBRW($B$1,$B$2,$B$7,$B$3,$B$4,$B$5,$F336,$B$6,O$10,$A336,$B336)</f>
        <v>0</v>
      </c>
      <c r="P336" s="4">
        <f ca="1">_xll.DBRW($B$1,$B$2,$B$7,$B$3,$B$4,$B$5,$F336,$B$6,P$10,$A336,$B336)</f>
        <v>0</v>
      </c>
      <c r="Q336" s="4">
        <f ca="1">_xll.DBRW($B$1,$B$2,$B$7,$B$3,$B$4,$B$5,$F336,$B$6,Q$10,$A336,$B336)</f>
        <v>0</v>
      </c>
      <c r="R336" s="4">
        <f ca="1">_xll.DBRW($B$1,$B$2,$B$7,$B$3,$B$4,$B$5,$F336,$B$6,R$10,$A336,$B336)</f>
        <v>0</v>
      </c>
      <c r="S336" s="4">
        <f ca="1">_xll.DBRW($B$1,$B$2,$B$7,$B$3,$B$4,$B$5,$F336,$B$6,S$10,$A336,$B336)</f>
        <v>0</v>
      </c>
      <c r="T336" s="4">
        <f ca="1">_xll.DBRW($B$1,$B$2,$B$7,$B$3,$B$4,$B$5,$F336,$B$6,T$10,$A336,$B336)</f>
        <v>0</v>
      </c>
      <c r="U336" s="4">
        <f ca="1">_xll.DBRW($B$1,$B$2,$B$7,$B$3,$B$4,$B$5,$F336,$B$6,U$10,$A336,$B336)</f>
        <v>0</v>
      </c>
      <c r="V336" s="4">
        <f ca="1">_xll.DBRW($B$1,$B$2,$B$7,$B$3,$B$4,$B$5,$F336,$B$6,V$10,$A336,$B336)</f>
        <v>0</v>
      </c>
      <c r="W336" s="4">
        <f ca="1">_xll.DBRW($B$1,$B$2,$B$7,$B$3,$B$4,$B$5,$F336,$B$6,W$10,$A336,$B336)</f>
        <v>0</v>
      </c>
      <c r="X336" s="4">
        <f ca="1">_xll.DBRW($B$1,$B$2,$B$7,$B$3,$B$4,$B$5,$F336,$B$6,X$10,$A336,$B336)</f>
        <v>0</v>
      </c>
      <c r="Y336" s="4">
        <f ca="1">_xll.DBRW($B$1,$B$2,$B$7,$B$3,$B$4,$B$5,$F336,$B$6,Y$10,$A336,$B336)</f>
        <v>0</v>
      </c>
      <c r="Z336" s="4">
        <f ca="1">_xll.DBRW($B$1,$B$2,$B$7,$B$3,$B$4,$B$5,$F336,$B$6,Z$10,$A336,$B336)</f>
        <v>0</v>
      </c>
      <c r="AA336" s="4">
        <f ca="1">_xll.DBRW($B$1,$B$2,$B$7,$B$3,$B$4,$B$5,$F336,$B$6,AA$10,$A336,$B336)</f>
        <v>0</v>
      </c>
      <c r="AB336" s="4">
        <f ca="1">_xll.DBRW($B$1,$B$2,$B$7,$B$3,$B$4,$B$5,$F336,$B$6,AB$10,$A336,$B336)</f>
        <v>0</v>
      </c>
      <c r="AC336" s="4">
        <f ca="1">_xll.DBRW($B$1,$B$2,$B$7,$B$3,$B$4,$B$5,$F336,$B$6,AC$10,$A336,$B336)</f>
        <v>0</v>
      </c>
      <c r="AD336" s="4">
        <f ca="1">_xll.DBRW($B$1,$B$2,$B$7,$B$3,$B$4,$B$5,$F336,$B$6,AD$10,$A336,$B336)</f>
        <v>0</v>
      </c>
      <c r="AE336" s="4">
        <f ca="1">_xll.DBRW($B$1,$B$2,$B$7,$B$3,$B$4,$B$5,$F336,$B$6,AE$10,$A336,$B336)</f>
        <v>0</v>
      </c>
    </row>
    <row r="337" spans="1:31">
      <c r="A337" s="1" t="s">
        <v>150</v>
      </c>
      <c r="B337" s="5" t="s">
        <v>287</v>
      </c>
      <c r="C337" s="5" t="s">
        <v>288</v>
      </c>
      <c r="D337" s="5" t="s">
        <v>21</v>
      </c>
      <c r="E337" s="5" t="s">
        <v>289</v>
      </c>
      <c r="F337" s="5" t="s">
        <v>314</v>
      </c>
      <c r="G337" s="6"/>
      <c r="H337" s="6"/>
      <c r="I337" s="6"/>
      <c r="J337" s="6"/>
      <c r="K337" s="6"/>
      <c r="L337" s="4">
        <f ca="1">_xll.DBRW($B$1,$B$2,$B$7,$B$3,$B$4,$B$5,$F337,$B$6,L$10,$A337,$B337)</f>
        <v>0</v>
      </c>
      <c r="M337" s="4">
        <f ca="1">_xll.DBRW($B$1,$B$2,$B$7,$B$3,$B$4,$B$5,$F337,$B$6,M$10,$A337,$B337)</f>
        <v>0</v>
      </c>
      <c r="N337" s="4">
        <f ca="1">_xll.DBRW($B$1,$B$2,$B$7,$B$3,$B$4,$B$5,$F337,$B$6,N$10,$A337,$B337)</f>
        <v>0</v>
      </c>
      <c r="O337" s="4">
        <f ca="1">_xll.DBRW($B$1,$B$2,$B$7,$B$3,$B$4,$B$5,$F337,$B$6,O$10,$A337,$B337)</f>
        <v>0</v>
      </c>
      <c r="P337" s="4">
        <f ca="1">_xll.DBRW($B$1,$B$2,$B$7,$B$3,$B$4,$B$5,$F337,$B$6,P$10,$A337,$B337)</f>
        <v>0</v>
      </c>
      <c r="Q337" s="4">
        <f ca="1">_xll.DBRW($B$1,$B$2,$B$7,$B$3,$B$4,$B$5,$F337,$B$6,Q$10,$A337,$B337)</f>
        <v>3</v>
      </c>
      <c r="R337" s="4">
        <f ca="1">_xll.DBRW($B$1,$B$2,$B$7,$B$3,$B$4,$B$5,$F337,$B$6,R$10,$A337,$B337)</f>
        <v>17</v>
      </c>
      <c r="S337" s="4">
        <f ca="1">_xll.DBRW($B$1,$B$2,$B$7,$B$3,$B$4,$B$5,$F337,$B$6,S$10,$A337,$B337)</f>
        <v>12</v>
      </c>
      <c r="T337" s="4">
        <f ca="1">_xll.DBRW($B$1,$B$2,$B$7,$B$3,$B$4,$B$5,$F337,$B$6,T$10,$A337,$B337)</f>
        <v>0</v>
      </c>
      <c r="U337" s="4">
        <f ca="1">_xll.DBRW($B$1,$B$2,$B$7,$B$3,$B$4,$B$5,$F337,$B$6,U$10,$A337,$B337)</f>
        <v>0</v>
      </c>
      <c r="V337" s="4">
        <f ca="1">_xll.DBRW($B$1,$B$2,$B$7,$B$3,$B$4,$B$5,$F337,$B$6,V$10,$A337,$B337)</f>
        <v>0</v>
      </c>
      <c r="W337" s="4">
        <f ca="1">_xll.DBRW($B$1,$B$2,$B$7,$B$3,$B$4,$B$5,$F337,$B$6,W$10,$A337,$B337)</f>
        <v>0</v>
      </c>
      <c r="X337" s="4">
        <f ca="1">_xll.DBRW($B$1,$B$2,$B$7,$B$3,$B$4,$B$5,$F337,$B$6,X$10,$A337,$B337)</f>
        <v>0</v>
      </c>
      <c r="Y337" s="4">
        <f ca="1">_xll.DBRW($B$1,$B$2,$B$7,$B$3,$B$4,$B$5,$F337,$B$6,Y$10,$A337,$B337)</f>
        <v>0</v>
      </c>
      <c r="Z337" s="4">
        <f ca="1">_xll.DBRW($B$1,$B$2,$B$7,$B$3,$B$4,$B$5,$F337,$B$6,Z$10,$A337,$B337)</f>
        <v>0</v>
      </c>
      <c r="AA337" s="4">
        <f ca="1">_xll.DBRW($B$1,$B$2,$B$7,$B$3,$B$4,$B$5,$F337,$B$6,AA$10,$A337,$B337)</f>
        <v>0</v>
      </c>
      <c r="AB337" s="4">
        <f ca="1">_xll.DBRW($B$1,$B$2,$B$7,$B$3,$B$4,$B$5,$F337,$B$6,AB$10,$A337,$B337)</f>
        <v>0</v>
      </c>
      <c r="AC337" s="4">
        <f ca="1">_xll.DBRW($B$1,$B$2,$B$7,$B$3,$B$4,$B$5,$F337,$B$6,AC$10,$A337,$B337)</f>
        <v>0</v>
      </c>
      <c r="AD337" s="4">
        <f ca="1">_xll.DBRW($B$1,$B$2,$B$7,$B$3,$B$4,$B$5,$F337,$B$6,AD$10,$A337,$B337)</f>
        <v>0</v>
      </c>
      <c r="AE337" s="4">
        <f ca="1">_xll.DBRW($B$1,$B$2,$B$7,$B$3,$B$4,$B$5,$F337,$B$6,AE$10,$A337,$B337)</f>
        <v>0</v>
      </c>
    </row>
    <row r="338" spans="1:31">
      <c r="A338" s="1" t="s">
        <v>150</v>
      </c>
      <c r="B338" s="5" t="s">
        <v>290</v>
      </c>
      <c r="C338" s="5" t="s">
        <v>291</v>
      </c>
      <c r="D338" s="5" t="s">
        <v>289</v>
      </c>
      <c r="E338" s="5" t="s">
        <v>21</v>
      </c>
      <c r="F338" s="5" t="s">
        <v>314</v>
      </c>
      <c r="G338" s="6"/>
      <c r="H338" s="6"/>
      <c r="I338" s="6"/>
      <c r="J338" s="6"/>
      <c r="K338" s="6"/>
      <c r="L338" s="4">
        <f ca="1">_xll.DBRW($B$1,$B$2,$B$7,$B$3,$B$4,$B$5,$F338,$B$6,L$10,$A338,$B338)</f>
        <v>0</v>
      </c>
      <c r="M338" s="4">
        <f ca="1">_xll.DBRW($B$1,$B$2,$B$7,$B$3,$B$4,$B$5,$F338,$B$6,M$10,$A338,$B338)</f>
        <v>0</v>
      </c>
      <c r="N338" s="4">
        <f ca="1">_xll.DBRW($B$1,$B$2,$B$7,$B$3,$B$4,$B$5,$F338,$B$6,N$10,$A338,$B338)</f>
        <v>0</v>
      </c>
      <c r="O338" s="4">
        <f ca="1">_xll.DBRW($B$1,$B$2,$B$7,$B$3,$B$4,$B$5,$F338,$B$6,O$10,$A338,$B338)</f>
        <v>0</v>
      </c>
      <c r="P338" s="4">
        <f ca="1">_xll.DBRW($B$1,$B$2,$B$7,$B$3,$B$4,$B$5,$F338,$B$6,P$10,$A338,$B338)</f>
        <v>0</v>
      </c>
      <c r="Q338" s="4">
        <f ca="1">_xll.DBRW($B$1,$B$2,$B$7,$B$3,$B$4,$B$5,$F338,$B$6,Q$10,$A338,$B338)</f>
        <v>3</v>
      </c>
      <c r="R338" s="4">
        <f ca="1">_xll.DBRW($B$1,$B$2,$B$7,$B$3,$B$4,$B$5,$F338,$B$6,R$10,$A338,$B338)</f>
        <v>17</v>
      </c>
      <c r="S338" s="4">
        <f ca="1">_xll.DBRW($B$1,$B$2,$B$7,$B$3,$B$4,$B$5,$F338,$B$6,S$10,$A338,$B338)</f>
        <v>12</v>
      </c>
      <c r="T338" s="4">
        <f ca="1">_xll.DBRW($B$1,$B$2,$B$7,$B$3,$B$4,$B$5,$F338,$B$6,T$10,$A338,$B338)</f>
        <v>0</v>
      </c>
      <c r="U338" s="4">
        <f ca="1">_xll.DBRW($B$1,$B$2,$B$7,$B$3,$B$4,$B$5,$F338,$B$6,U$10,$A338,$B338)</f>
        <v>0</v>
      </c>
      <c r="V338" s="4">
        <f ca="1">_xll.DBRW($B$1,$B$2,$B$7,$B$3,$B$4,$B$5,$F338,$B$6,V$10,$A338,$B338)</f>
        <v>0</v>
      </c>
      <c r="W338" s="4">
        <f ca="1">_xll.DBRW($B$1,$B$2,$B$7,$B$3,$B$4,$B$5,$F338,$B$6,W$10,$A338,$B338)</f>
        <v>0</v>
      </c>
      <c r="X338" s="4">
        <f ca="1">_xll.DBRW($B$1,$B$2,$B$7,$B$3,$B$4,$B$5,$F338,$B$6,X$10,$A338,$B338)</f>
        <v>0</v>
      </c>
      <c r="Y338" s="4">
        <f ca="1">_xll.DBRW($B$1,$B$2,$B$7,$B$3,$B$4,$B$5,$F338,$B$6,Y$10,$A338,$B338)</f>
        <v>0</v>
      </c>
      <c r="Z338" s="4">
        <f ca="1">_xll.DBRW($B$1,$B$2,$B$7,$B$3,$B$4,$B$5,$F338,$B$6,Z$10,$A338,$B338)</f>
        <v>0</v>
      </c>
      <c r="AA338" s="4">
        <f ca="1">_xll.DBRW($B$1,$B$2,$B$7,$B$3,$B$4,$B$5,$F338,$B$6,AA$10,$A338,$B338)</f>
        <v>0</v>
      </c>
      <c r="AB338" s="4">
        <f ca="1">_xll.DBRW($B$1,$B$2,$B$7,$B$3,$B$4,$B$5,$F338,$B$6,AB$10,$A338,$B338)</f>
        <v>0</v>
      </c>
      <c r="AC338" s="4">
        <f ca="1">_xll.DBRW($B$1,$B$2,$B$7,$B$3,$B$4,$B$5,$F338,$B$6,AC$10,$A338,$B338)</f>
        <v>0</v>
      </c>
      <c r="AD338" s="4">
        <f ca="1">_xll.DBRW($B$1,$B$2,$B$7,$B$3,$B$4,$B$5,$F338,$B$6,AD$10,$A338,$B338)</f>
        <v>0</v>
      </c>
      <c r="AE338" s="4">
        <f ca="1">_xll.DBRW($B$1,$B$2,$B$7,$B$3,$B$4,$B$5,$F338,$B$6,AE$10,$A338,$B338)</f>
        <v>0</v>
      </c>
    </row>
    <row r="339" spans="1:31">
      <c r="A339" s="1" t="s">
        <v>150</v>
      </c>
      <c r="B339" s="5" t="s">
        <v>292</v>
      </c>
      <c r="C339" s="5" t="s">
        <v>293</v>
      </c>
      <c r="D339" s="5" t="s">
        <v>21</v>
      </c>
      <c r="E339" s="5" t="s">
        <v>294</v>
      </c>
      <c r="F339" s="5" t="s">
        <v>314</v>
      </c>
      <c r="G339" s="6"/>
      <c r="H339" s="6"/>
      <c r="I339" s="6"/>
      <c r="J339" s="6"/>
      <c r="K339" s="6"/>
      <c r="L339" s="4">
        <f ca="1">_xll.DBRW($B$1,$B$2,$B$7,$B$3,$B$4,$B$5,$F339,$B$6,L$10,$A339,$B339)</f>
        <v>0</v>
      </c>
      <c r="M339" s="4">
        <f ca="1">_xll.DBRW($B$1,$B$2,$B$7,$B$3,$B$4,$B$5,$F339,$B$6,M$10,$A339,$B339)</f>
        <v>0</v>
      </c>
      <c r="N339" s="4">
        <f ca="1">_xll.DBRW($B$1,$B$2,$B$7,$B$3,$B$4,$B$5,$F339,$B$6,N$10,$A339,$B339)</f>
        <v>0</v>
      </c>
      <c r="O339" s="4">
        <f ca="1">_xll.DBRW($B$1,$B$2,$B$7,$B$3,$B$4,$B$5,$F339,$B$6,O$10,$A339,$B339)</f>
        <v>0</v>
      </c>
      <c r="P339" s="4">
        <f ca="1">_xll.DBRW($B$1,$B$2,$B$7,$B$3,$B$4,$B$5,$F339,$B$6,P$10,$A339,$B339)</f>
        <v>0</v>
      </c>
      <c r="Q339" s="4">
        <f ca="1">_xll.DBRW($B$1,$B$2,$B$7,$B$3,$B$4,$B$5,$F339,$B$6,Q$10,$A339,$B339)</f>
        <v>0</v>
      </c>
      <c r="R339" s="4">
        <f ca="1">_xll.DBRW($B$1,$B$2,$B$7,$B$3,$B$4,$B$5,$F339,$B$6,R$10,$A339,$B339)</f>
        <v>0</v>
      </c>
      <c r="S339" s="4">
        <f ca="1">_xll.DBRW($B$1,$B$2,$B$7,$B$3,$B$4,$B$5,$F339,$B$6,S$10,$A339,$B339)</f>
        <v>0</v>
      </c>
      <c r="T339" s="4">
        <f ca="1">_xll.DBRW($B$1,$B$2,$B$7,$B$3,$B$4,$B$5,$F339,$B$6,T$10,$A339,$B339)</f>
        <v>0</v>
      </c>
      <c r="U339" s="4">
        <f ca="1">_xll.DBRW($B$1,$B$2,$B$7,$B$3,$B$4,$B$5,$F339,$B$6,U$10,$A339,$B339)</f>
        <v>0</v>
      </c>
      <c r="V339" s="4">
        <f ca="1">_xll.DBRW($B$1,$B$2,$B$7,$B$3,$B$4,$B$5,$F339,$B$6,V$10,$A339,$B339)</f>
        <v>0</v>
      </c>
      <c r="W339" s="4">
        <f ca="1">_xll.DBRW($B$1,$B$2,$B$7,$B$3,$B$4,$B$5,$F339,$B$6,W$10,$A339,$B339)</f>
        <v>0</v>
      </c>
      <c r="X339" s="4">
        <f ca="1">_xll.DBRW($B$1,$B$2,$B$7,$B$3,$B$4,$B$5,$F339,$B$6,X$10,$A339,$B339)</f>
        <v>0</v>
      </c>
      <c r="Y339" s="4">
        <f ca="1">_xll.DBRW($B$1,$B$2,$B$7,$B$3,$B$4,$B$5,$F339,$B$6,Y$10,$A339,$B339)</f>
        <v>0</v>
      </c>
      <c r="Z339" s="4">
        <f ca="1">_xll.DBRW($B$1,$B$2,$B$7,$B$3,$B$4,$B$5,$F339,$B$6,Z$10,$A339,$B339)</f>
        <v>0</v>
      </c>
      <c r="AA339" s="4">
        <f ca="1">_xll.DBRW($B$1,$B$2,$B$7,$B$3,$B$4,$B$5,$F339,$B$6,AA$10,$A339,$B339)</f>
        <v>0</v>
      </c>
      <c r="AB339" s="4">
        <f ca="1">_xll.DBRW($B$1,$B$2,$B$7,$B$3,$B$4,$B$5,$F339,$B$6,AB$10,$A339,$B339)</f>
        <v>0</v>
      </c>
      <c r="AC339" s="4">
        <f ca="1">_xll.DBRW($B$1,$B$2,$B$7,$B$3,$B$4,$B$5,$F339,$B$6,AC$10,$A339,$B339)</f>
        <v>0</v>
      </c>
      <c r="AD339" s="4">
        <f ca="1">_xll.DBRW($B$1,$B$2,$B$7,$B$3,$B$4,$B$5,$F339,$B$6,AD$10,$A339,$B339)</f>
        <v>0</v>
      </c>
      <c r="AE339" s="4">
        <f ca="1">_xll.DBRW($B$1,$B$2,$B$7,$B$3,$B$4,$B$5,$F339,$B$6,AE$10,$A339,$B339)</f>
        <v>0</v>
      </c>
    </row>
    <row r="340" spans="1:31">
      <c r="A340" s="1" t="s">
        <v>150</v>
      </c>
      <c r="B340" s="5" t="s">
        <v>295</v>
      </c>
      <c r="C340" s="5" t="s">
        <v>296</v>
      </c>
      <c r="D340" s="5" t="s">
        <v>294</v>
      </c>
      <c r="E340" s="5" t="s">
        <v>21</v>
      </c>
      <c r="F340" s="5" t="s">
        <v>314</v>
      </c>
      <c r="G340" s="6"/>
      <c r="H340" s="6"/>
      <c r="I340" s="6"/>
      <c r="J340" s="6"/>
      <c r="K340" s="6"/>
      <c r="L340" s="4">
        <f ca="1">_xll.DBRW($B$1,$B$2,$B$7,$B$3,$B$4,$B$5,$F340,$B$6,L$10,$A340,$B340)</f>
        <v>0</v>
      </c>
      <c r="M340" s="4">
        <f ca="1">_xll.DBRW($B$1,$B$2,$B$7,$B$3,$B$4,$B$5,$F340,$B$6,M$10,$A340,$B340)</f>
        <v>0</v>
      </c>
      <c r="N340" s="4">
        <f ca="1">_xll.DBRW($B$1,$B$2,$B$7,$B$3,$B$4,$B$5,$F340,$B$6,N$10,$A340,$B340)</f>
        <v>0</v>
      </c>
      <c r="O340" s="4">
        <f ca="1">_xll.DBRW($B$1,$B$2,$B$7,$B$3,$B$4,$B$5,$F340,$B$6,O$10,$A340,$B340)</f>
        <v>0</v>
      </c>
      <c r="P340" s="4">
        <f ca="1">_xll.DBRW($B$1,$B$2,$B$7,$B$3,$B$4,$B$5,$F340,$B$6,P$10,$A340,$B340)</f>
        <v>0</v>
      </c>
      <c r="Q340" s="4">
        <f ca="1">_xll.DBRW($B$1,$B$2,$B$7,$B$3,$B$4,$B$5,$F340,$B$6,Q$10,$A340,$B340)</f>
        <v>0</v>
      </c>
      <c r="R340" s="4">
        <f ca="1">_xll.DBRW($B$1,$B$2,$B$7,$B$3,$B$4,$B$5,$F340,$B$6,R$10,$A340,$B340)</f>
        <v>0</v>
      </c>
      <c r="S340" s="4">
        <f ca="1">_xll.DBRW($B$1,$B$2,$B$7,$B$3,$B$4,$B$5,$F340,$B$6,S$10,$A340,$B340)</f>
        <v>0</v>
      </c>
      <c r="T340" s="4">
        <f ca="1">_xll.DBRW($B$1,$B$2,$B$7,$B$3,$B$4,$B$5,$F340,$B$6,T$10,$A340,$B340)</f>
        <v>0</v>
      </c>
      <c r="U340" s="4">
        <f ca="1">_xll.DBRW($B$1,$B$2,$B$7,$B$3,$B$4,$B$5,$F340,$B$6,U$10,$A340,$B340)</f>
        <v>0</v>
      </c>
      <c r="V340" s="4">
        <f ca="1">_xll.DBRW($B$1,$B$2,$B$7,$B$3,$B$4,$B$5,$F340,$B$6,V$10,$A340,$B340)</f>
        <v>0</v>
      </c>
      <c r="W340" s="4">
        <f ca="1">_xll.DBRW($B$1,$B$2,$B$7,$B$3,$B$4,$B$5,$F340,$B$6,W$10,$A340,$B340)</f>
        <v>0</v>
      </c>
      <c r="X340" s="4">
        <f ca="1">_xll.DBRW($B$1,$B$2,$B$7,$B$3,$B$4,$B$5,$F340,$B$6,X$10,$A340,$B340)</f>
        <v>0</v>
      </c>
      <c r="Y340" s="4">
        <f ca="1">_xll.DBRW($B$1,$B$2,$B$7,$B$3,$B$4,$B$5,$F340,$B$6,Y$10,$A340,$B340)</f>
        <v>0</v>
      </c>
      <c r="Z340" s="4">
        <f ca="1">_xll.DBRW($B$1,$B$2,$B$7,$B$3,$B$4,$B$5,$F340,$B$6,Z$10,$A340,$B340)</f>
        <v>0</v>
      </c>
      <c r="AA340" s="4">
        <f ca="1">_xll.DBRW($B$1,$B$2,$B$7,$B$3,$B$4,$B$5,$F340,$B$6,AA$10,$A340,$B340)</f>
        <v>0</v>
      </c>
      <c r="AB340" s="4">
        <f ca="1">_xll.DBRW($B$1,$B$2,$B$7,$B$3,$B$4,$B$5,$F340,$B$6,AB$10,$A340,$B340)</f>
        <v>0</v>
      </c>
      <c r="AC340" s="4">
        <f ca="1">_xll.DBRW($B$1,$B$2,$B$7,$B$3,$B$4,$B$5,$F340,$B$6,AC$10,$A340,$B340)</f>
        <v>0</v>
      </c>
      <c r="AD340" s="4">
        <f ca="1">_xll.DBRW($B$1,$B$2,$B$7,$B$3,$B$4,$B$5,$F340,$B$6,AD$10,$A340,$B340)</f>
        <v>0</v>
      </c>
      <c r="AE340" s="4">
        <f ca="1">_xll.DBRW($B$1,$B$2,$B$7,$B$3,$B$4,$B$5,$F340,$B$6,AE$10,$A340,$B340)</f>
        <v>0</v>
      </c>
    </row>
    <row r="341" spans="1:31">
      <c r="A341" s="1" t="s">
        <v>150</v>
      </c>
      <c r="B341" s="5" t="s">
        <v>297</v>
      </c>
      <c r="C341" s="5" t="s">
        <v>298</v>
      </c>
      <c r="D341" s="5" t="s">
        <v>21</v>
      </c>
      <c r="E341" s="5" t="s">
        <v>299</v>
      </c>
      <c r="F341" s="5" t="s">
        <v>314</v>
      </c>
      <c r="G341" s="6"/>
      <c r="H341" s="6"/>
      <c r="I341" s="6"/>
      <c r="J341" s="6"/>
      <c r="K341" s="6"/>
      <c r="L341" s="4">
        <f ca="1">_xll.DBRW($B$1,$B$2,$B$7,$B$3,$B$4,$B$5,$F341,$B$6,L$10,$A341,$B341)</f>
        <v>0</v>
      </c>
      <c r="M341" s="4">
        <f ca="1">_xll.DBRW($B$1,$B$2,$B$7,$B$3,$B$4,$B$5,$F341,$B$6,M$10,$A341,$B341)</f>
        <v>0</v>
      </c>
      <c r="N341" s="4">
        <f ca="1">_xll.DBRW($B$1,$B$2,$B$7,$B$3,$B$4,$B$5,$F341,$B$6,N$10,$A341,$B341)</f>
        <v>0</v>
      </c>
      <c r="O341" s="4">
        <f ca="1">_xll.DBRW($B$1,$B$2,$B$7,$B$3,$B$4,$B$5,$F341,$B$6,O$10,$A341,$B341)</f>
        <v>0</v>
      </c>
      <c r="P341" s="4">
        <f ca="1">_xll.DBRW($B$1,$B$2,$B$7,$B$3,$B$4,$B$5,$F341,$B$6,P$10,$A341,$B341)</f>
        <v>0</v>
      </c>
      <c r="Q341" s="4">
        <f ca="1">_xll.DBRW($B$1,$B$2,$B$7,$B$3,$B$4,$B$5,$F341,$B$6,Q$10,$A341,$B341)</f>
        <v>0</v>
      </c>
      <c r="R341" s="4">
        <f ca="1">_xll.DBRW($B$1,$B$2,$B$7,$B$3,$B$4,$B$5,$F341,$B$6,R$10,$A341,$B341)</f>
        <v>0</v>
      </c>
      <c r="S341" s="4">
        <f ca="1">_xll.DBRW($B$1,$B$2,$B$7,$B$3,$B$4,$B$5,$F341,$B$6,S$10,$A341,$B341)</f>
        <v>0</v>
      </c>
      <c r="T341" s="4">
        <f ca="1">_xll.DBRW($B$1,$B$2,$B$7,$B$3,$B$4,$B$5,$F341,$B$6,T$10,$A341,$B341)</f>
        <v>0</v>
      </c>
      <c r="U341" s="4">
        <f ca="1">_xll.DBRW($B$1,$B$2,$B$7,$B$3,$B$4,$B$5,$F341,$B$6,U$10,$A341,$B341)</f>
        <v>0</v>
      </c>
      <c r="V341" s="4">
        <f ca="1">_xll.DBRW($B$1,$B$2,$B$7,$B$3,$B$4,$B$5,$F341,$B$6,V$10,$A341,$B341)</f>
        <v>0</v>
      </c>
      <c r="W341" s="4">
        <f ca="1">_xll.DBRW($B$1,$B$2,$B$7,$B$3,$B$4,$B$5,$F341,$B$6,W$10,$A341,$B341)</f>
        <v>0</v>
      </c>
      <c r="X341" s="4">
        <f ca="1">_xll.DBRW($B$1,$B$2,$B$7,$B$3,$B$4,$B$5,$F341,$B$6,X$10,$A341,$B341)</f>
        <v>0</v>
      </c>
      <c r="Y341" s="4">
        <f ca="1">_xll.DBRW($B$1,$B$2,$B$7,$B$3,$B$4,$B$5,$F341,$B$6,Y$10,$A341,$B341)</f>
        <v>0</v>
      </c>
      <c r="Z341" s="4">
        <f ca="1">_xll.DBRW($B$1,$B$2,$B$7,$B$3,$B$4,$B$5,$F341,$B$6,Z$10,$A341,$B341)</f>
        <v>0</v>
      </c>
      <c r="AA341" s="4">
        <f ca="1">_xll.DBRW($B$1,$B$2,$B$7,$B$3,$B$4,$B$5,$F341,$B$6,AA$10,$A341,$B341)</f>
        <v>0</v>
      </c>
      <c r="AB341" s="4">
        <f ca="1">_xll.DBRW($B$1,$B$2,$B$7,$B$3,$B$4,$B$5,$F341,$B$6,AB$10,$A341,$B341)</f>
        <v>0</v>
      </c>
      <c r="AC341" s="4">
        <f ca="1">_xll.DBRW($B$1,$B$2,$B$7,$B$3,$B$4,$B$5,$F341,$B$6,AC$10,$A341,$B341)</f>
        <v>0</v>
      </c>
      <c r="AD341" s="4">
        <f ca="1">_xll.DBRW($B$1,$B$2,$B$7,$B$3,$B$4,$B$5,$F341,$B$6,AD$10,$A341,$B341)</f>
        <v>0</v>
      </c>
      <c r="AE341" s="4">
        <f ca="1">_xll.DBRW($B$1,$B$2,$B$7,$B$3,$B$4,$B$5,$F341,$B$6,AE$10,$A341,$B341)</f>
        <v>0</v>
      </c>
    </row>
    <row r="342" spans="1:31">
      <c r="A342" s="1" t="s">
        <v>150</v>
      </c>
      <c r="B342" s="5" t="s">
        <v>300</v>
      </c>
      <c r="C342" s="5" t="s">
        <v>301</v>
      </c>
      <c r="D342" s="5" t="s">
        <v>299</v>
      </c>
      <c r="E342" s="5" t="s">
        <v>21</v>
      </c>
      <c r="F342" s="5" t="s">
        <v>314</v>
      </c>
      <c r="G342" s="6"/>
      <c r="H342" s="6"/>
      <c r="I342" s="6"/>
      <c r="J342" s="6"/>
      <c r="K342" s="6"/>
      <c r="L342" s="4">
        <f ca="1">_xll.DBRW($B$1,$B$2,$B$7,$B$3,$B$4,$B$5,$F342,$B$6,L$10,$A342,$B342)</f>
        <v>0</v>
      </c>
      <c r="M342" s="4">
        <f ca="1">_xll.DBRW($B$1,$B$2,$B$7,$B$3,$B$4,$B$5,$F342,$B$6,M$10,$A342,$B342)</f>
        <v>0</v>
      </c>
      <c r="N342" s="4">
        <f ca="1">_xll.DBRW($B$1,$B$2,$B$7,$B$3,$B$4,$B$5,$F342,$B$6,N$10,$A342,$B342)</f>
        <v>0</v>
      </c>
      <c r="O342" s="4">
        <f ca="1">_xll.DBRW($B$1,$B$2,$B$7,$B$3,$B$4,$B$5,$F342,$B$6,O$10,$A342,$B342)</f>
        <v>0</v>
      </c>
      <c r="P342" s="4">
        <f ca="1">_xll.DBRW($B$1,$B$2,$B$7,$B$3,$B$4,$B$5,$F342,$B$6,P$10,$A342,$B342)</f>
        <v>0</v>
      </c>
      <c r="Q342" s="4">
        <f ca="1">_xll.DBRW($B$1,$B$2,$B$7,$B$3,$B$4,$B$5,$F342,$B$6,Q$10,$A342,$B342)</f>
        <v>0</v>
      </c>
      <c r="R342" s="4">
        <f ca="1">_xll.DBRW($B$1,$B$2,$B$7,$B$3,$B$4,$B$5,$F342,$B$6,R$10,$A342,$B342)</f>
        <v>0</v>
      </c>
      <c r="S342" s="4">
        <f ca="1">_xll.DBRW($B$1,$B$2,$B$7,$B$3,$B$4,$B$5,$F342,$B$6,S$10,$A342,$B342)</f>
        <v>0</v>
      </c>
      <c r="T342" s="4">
        <f ca="1">_xll.DBRW($B$1,$B$2,$B$7,$B$3,$B$4,$B$5,$F342,$B$6,T$10,$A342,$B342)</f>
        <v>0</v>
      </c>
      <c r="U342" s="4">
        <f ca="1">_xll.DBRW($B$1,$B$2,$B$7,$B$3,$B$4,$B$5,$F342,$B$6,U$10,$A342,$B342)</f>
        <v>0</v>
      </c>
      <c r="V342" s="4">
        <f ca="1">_xll.DBRW($B$1,$B$2,$B$7,$B$3,$B$4,$B$5,$F342,$B$6,V$10,$A342,$B342)</f>
        <v>0</v>
      </c>
      <c r="W342" s="4">
        <f ca="1">_xll.DBRW($B$1,$B$2,$B$7,$B$3,$B$4,$B$5,$F342,$B$6,W$10,$A342,$B342)</f>
        <v>0</v>
      </c>
      <c r="X342" s="4">
        <f ca="1">_xll.DBRW($B$1,$B$2,$B$7,$B$3,$B$4,$B$5,$F342,$B$6,X$10,$A342,$B342)</f>
        <v>0</v>
      </c>
      <c r="Y342" s="4">
        <f ca="1">_xll.DBRW($B$1,$B$2,$B$7,$B$3,$B$4,$B$5,$F342,$B$6,Y$10,$A342,$B342)</f>
        <v>0</v>
      </c>
      <c r="Z342" s="4">
        <f ca="1">_xll.DBRW($B$1,$B$2,$B$7,$B$3,$B$4,$B$5,$F342,$B$6,Z$10,$A342,$B342)</f>
        <v>0</v>
      </c>
      <c r="AA342" s="4">
        <f ca="1">_xll.DBRW($B$1,$B$2,$B$7,$B$3,$B$4,$B$5,$F342,$B$6,AA$10,$A342,$B342)</f>
        <v>0</v>
      </c>
      <c r="AB342" s="4">
        <f ca="1">_xll.DBRW($B$1,$B$2,$B$7,$B$3,$B$4,$B$5,$F342,$B$6,AB$10,$A342,$B342)</f>
        <v>0</v>
      </c>
      <c r="AC342" s="4">
        <f ca="1">_xll.DBRW($B$1,$B$2,$B$7,$B$3,$B$4,$B$5,$F342,$B$6,AC$10,$A342,$B342)</f>
        <v>0</v>
      </c>
      <c r="AD342" s="4">
        <f ca="1">_xll.DBRW($B$1,$B$2,$B$7,$B$3,$B$4,$B$5,$F342,$B$6,AD$10,$A342,$B342)</f>
        <v>0</v>
      </c>
      <c r="AE342" s="4">
        <f ca="1">_xll.DBRW($B$1,$B$2,$B$7,$B$3,$B$4,$B$5,$F342,$B$6,AE$10,$A342,$B342)</f>
        <v>0</v>
      </c>
    </row>
    <row r="343" spans="1:31">
      <c r="A343" s="1" t="s">
        <v>150</v>
      </c>
      <c r="B343" s="5" t="s">
        <v>302</v>
      </c>
      <c r="C343" s="5" t="s">
        <v>303</v>
      </c>
      <c r="D343" s="5" t="s">
        <v>21</v>
      </c>
      <c r="E343" s="5" t="s">
        <v>304</v>
      </c>
      <c r="F343" s="5" t="s">
        <v>314</v>
      </c>
      <c r="G343" s="6"/>
      <c r="H343" s="6"/>
      <c r="I343" s="6"/>
      <c r="J343" s="6"/>
      <c r="K343" s="6"/>
      <c r="L343" s="4">
        <f ca="1">_xll.DBRW($B$1,$B$2,$B$7,$B$3,$B$4,$B$5,$F343,$B$6,L$10,$A343,$B343)</f>
        <v>0</v>
      </c>
      <c r="M343" s="4">
        <f ca="1">_xll.DBRW($B$1,$B$2,$B$7,$B$3,$B$4,$B$5,$F343,$B$6,M$10,$A343,$B343)</f>
        <v>0</v>
      </c>
      <c r="N343" s="4">
        <f ca="1">_xll.DBRW($B$1,$B$2,$B$7,$B$3,$B$4,$B$5,$F343,$B$6,N$10,$A343,$B343)</f>
        <v>0</v>
      </c>
      <c r="O343" s="4">
        <f ca="1">_xll.DBRW($B$1,$B$2,$B$7,$B$3,$B$4,$B$5,$F343,$B$6,O$10,$A343,$B343)</f>
        <v>0</v>
      </c>
      <c r="P343" s="4">
        <f ca="1">_xll.DBRW($B$1,$B$2,$B$7,$B$3,$B$4,$B$5,$F343,$B$6,P$10,$A343,$B343)</f>
        <v>4</v>
      </c>
      <c r="Q343" s="4">
        <f ca="1">_xll.DBRW($B$1,$B$2,$B$7,$B$3,$B$4,$B$5,$F343,$B$6,Q$10,$A343,$B343)</f>
        <v>1</v>
      </c>
      <c r="R343" s="4">
        <f ca="1">_xll.DBRW($B$1,$B$2,$B$7,$B$3,$B$4,$B$5,$F343,$B$6,R$10,$A343,$B343)</f>
        <v>0</v>
      </c>
      <c r="S343" s="4">
        <f ca="1">_xll.DBRW($B$1,$B$2,$B$7,$B$3,$B$4,$B$5,$F343,$B$6,S$10,$A343,$B343)</f>
        <v>4</v>
      </c>
      <c r="T343" s="4">
        <f ca="1">_xll.DBRW($B$1,$B$2,$B$7,$B$3,$B$4,$B$5,$F343,$B$6,T$10,$A343,$B343)</f>
        <v>0</v>
      </c>
      <c r="U343" s="4">
        <f ca="1">_xll.DBRW($B$1,$B$2,$B$7,$B$3,$B$4,$B$5,$F343,$B$6,U$10,$A343,$B343)</f>
        <v>0</v>
      </c>
      <c r="V343" s="4">
        <f ca="1">_xll.DBRW($B$1,$B$2,$B$7,$B$3,$B$4,$B$5,$F343,$B$6,V$10,$A343,$B343)</f>
        <v>0</v>
      </c>
      <c r="W343" s="4">
        <f ca="1">_xll.DBRW($B$1,$B$2,$B$7,$B$3,$B$4,$B$5,$F343,$B$6,W$10,$A343,$B343)</f>
        <v>0</v>
      </c>
      <c r="X343" s="4">
        <f ca="1">_xll.DBRW($B$1,$B$2,$B$7,$B$3,$B$4,$B$5,$F343,$B$6,X$10,$A343,$B343)</f>
        <v>0</v>
      </c>
      <c r="Y343" s="4">
        <f ca="1">_xll.DBRW($B$1,$B$2,$B$7,$B$3,$B$4,$B$5,$F343,$B$6,Y$10,$A343,$B343)</f>
        <v>0</v>
      </c>
      <c r="Z343" s="4">
        <f ca="1">_xll.DBRW($B$1,$B$2,$B$7,$B$3,$B$4,$B$5,$F343,$B$6,Z$10,$A343,$B343)</f>
        <v>0</v>
      </c>
      <c r="AA343" s="4">
        <f ca="1">_xll.DBRW($B$1,$B$2,$B$7,$B$3,$B$4,$B$5,$F343,$B$6,AA$10,$A343,$B343)</f>
        <v>0</v>
      </c>
      <c r="AB343" s="4">
        <f ca="1">_xll.DBRW($B$1,$B$2,$B$7,$B$3,$B$4,$B$5,$F343,$B$6,AB$10,$A343,$B343)</f>
        <v>0</v>
      </c>
      <c r="AC343" s="4">
        <f ca="1">_xll.DBRW($B$1,$B$2,$B$7,$B$3,$B$4,$B$5,$F343,$B$6,AC$10,$A343,$B343)</f>
        <v>0</v>
      </c>
      <c r="AD343" s="4">
        <f ca="1">_xll.DBRW($B$1,$B$2,$B$7,$B$3,$B$4,$B$5,$F343,$B$6,AD$10,$A343,$B343)</f>
        <v>0</v>
      </c>
      <c r="AE343" s="4">
        <f ca="1">_xll.DBRW($B$1,$B$2,$B$7,$B$3,$B$4,$B$5,$F343,$B$6,AE$10,$A343,$B343)</f>
        <v>0</v>
      </c>
    </row>
    <row r="344" spans="1:31">
      <c r="A344" s="1" t="s">
        <v>150</v>
      </c>
      <c r="B344" s="5" t="s">
        <v>305</v>
      </c>
      <c r="C344" s="5" t="s">
        <v>306</v>
      </c>
      <c r="D344" s="5" t="s">
        <v>304</v>
      </c>
      <c r="E344" s="5" t="s">
        <v>21</v>
      </c>
      <c r="F344" s="5" t="s">
        <v>314</v>
      </c>
      <c r="G344" s="6"/>
      <c r="H344" s="6"/>
      <c r="I344" s="6"/>
      <c r="J344" s="6"/>
      <c r="K344" s="6"/>
      <c r="L344" s="4">
        <f ca="1">_xll.DBRW($B$1,$B$2,$B$7,$B$3,$B$4,$B$5,$F344,$B$6,L$10,$A344,$B344)</f>
        <v>0</v>
      </c>
      <c r="M344" s="4">
        <f ca="1">_xll.DBRW($B$1,$B$2,$B$7,$B$3,$B$4,$B$5,$F344,$B$6,M$10,$A344,$B344)</f>
        <v>0</v>
      </c>
      <c r="N344" s="4">
        <f ca="1">_xll.DBRW($B$1,$B$2,$B$7,$B$3,$B$4,$B$5,$F344,$B$6,N$10,$A344,$B344)</f>
        <v>0</v>
      </c>
      <c r="O344" s="4">
        <f ca="1">_xll.DBRW($B$1,$B$2,$B$7,$B$3,$B$4,$B$5,$F344,$B$6,O$10,$A344,$B344)</f>
        <v>0</v>
      </c>
      <c r="P344" s="4">
        <f ca="1">_xll.DBRW($B$1,$B$2,$B$7,$B$3,$B$4,$B$5,$F344,$B$6,P$10,$A344,$B344)</f>
        <v>4</v>
      </c>
      <c r="Q344" s="4">
        <f ca="1">_xll.DBRW($B$1,$B$2,$B$7,$B$3,$B$4,$B$5,$F344,$B$6,Q$10,$A344,$B344)</f>
        <v>2</v>
      </c>
      <c r="R344" s="4">
        <f ca="1">_xll.DBRW($B$1,$B$2,$B$7,$B$3,$B$4,$B$5,$F344,$B$6,R$10,$A344,$B344)</f>
        <v>0</v>
      </c>
      <c r="S344" s="4">
        <f ca="1">_xll.DBRW($B$1,$B$2,$B$7,$B$3,$B$4,$B$5,$F344,$B$6,S$10,$A344,$B344)</f>
        <v>4</v>
      </c>
      <c r="T344" s="4">
        <f ca="1">_xll.DBRW($B$1,$B$2,$B$7,$B$3,$B$4,$B$5,$F344,$B$6,T$10,$A344,$B344)</f>
        <v>0</v>
      </c>
      <c r="U344" s="4">
        <f ca="1">_xll.DBRW($B$1,$B$2,$B$7,$B$3,$B$4,$B$5,$F344,$B$6,U$10,$A344,$B344)</f>
        <v>0</v>
      </c>
      <c r="V344" s="4">
        <f ca="1">_xll.DBRW($B$1,$B$2,$B$7,$B$3,$B$4,$B$5,$F344,$B$6,V$10,$A344,$B344)</f>
        <v>0</v>
      </c>
      <c r="W344" s="4">
        <f ca="1">_xll.DBRW($B$1,$B$2,$B$7,$B$3,$B$4,$B$5,$F344,$B$6,W$10,$A344,$B344)</f>
        <v>0</v>
      </c>
      <c r="X344" s="4">
        <f ca="1">_xll.DBRW($B$1,$B$2,$B$7,$B$3,$B$4,$B$5,$F344,$B$6,X$10,$A344,$B344)</f>
        <v>0</v>
      </c>
      <c r="Y344" s="4">
        <f ca="1">_xll.DBRW($B$1,$B$2,$B$7,$B$3,$B$4,$B$5,$F344,$B$6,Y$10,$A344,$B344)</f>
        <v>0</v>
      </c>
      <c r="Z344" s="4">
        <f ca="1">_xll.DBRW($B$1,$B$2,$B$7,$B$3,$B$4,$B$5,$F344,$B$6,Z$10,$A344,$B344)</f>
        <v>0</v>
      </c>
      <c r="AA344" s="4">
        <f ca="1">_xll.DBRW($B$1,$B$2,$B$7,$B$3,$B$4,$B$5,$F344,$B$6,AA$10,$A344,$B344)</f>
        <v>0</v>
      </c>
      <c r="AB344" s="4">
        <f ca="1">_xll.DBRW($B$1,$B$2,$B$7,$B$3,$B$4,$B$5,$F344,$B$6,AB$10,$A344,$B344)</f>
        <v>0</v>
      </c>
      <c r="AC344" s="4">
        <f ca="1">_xll.DBRW($B$1,$B$2,$B$7,$B$3,$B$4,$B$5,$F344,$B$6,AC$10,$A344,$B344)</f>
        <v>0</v>
      </c>
      <c r="AD344" s="4">
        <f ca="1">_xll.DBRW($B$1,$B$2,$B$7,$B$3,$B$4,$B$5,$F344,$B$6,AD$10,$A344,$B344)</f>
        <v>0</v>
      </c>
      <c r="AE344" s="4">
        <f ca="1">_xll.DBRW($B$1,$B$2,$B$7,$B$3,$B$4,$B$5,$F344,$B$6,AE$10,$A344,$B344)</f>
        <v>0</v>
      </c>
    </row>
    <row r="345" spans="1:31">
      <c r="A345" s="1" t="s">
        <v>150</v>
      </c>
      <c r="B345" s="5" t="s">
        <v>307</v>
      </c>
      <c r="C345" s="5" t="s">
        <v>308</v>
      </c>
      <c r="D345" s="5" t="s">
        <v>21</v>
      </c>
      <c r="E345" s="5" t="s">
        <v>309</v>
      </c>
      <c r="F345" s="5" t="s">
        <v>314</v>
      </c>
      <c r="G345" s="6"/>
      <c r="H345" s="6"/>
      <c r="I345" s="6"/>
      <c r="J345" s="6"/>
      <c r="K345" s="6"/>
      <c r="L345" s="4">
        <f ca="1">_xll.DBRW($B$1,$B$2,$B$7,$B$3,$B$4,$B$5,$F345,$B$6,L$10,$A345,$B345)</f>
        <v>0</v>
      </c>
      <c r="M345" s="4">
        <f ca="1">_xll.DBRW($B$1,$B$2,$B$7,$B$3,$B$4,$B$5,$F345,$B$6,M$10,$A345,$B345)</f>
        <v>0</v>
      </c>
      <c r="N345" s="4">
        <f ca="1">_xll.DBRW($B$1,$B$2,$B$7,$B$3,$B$4,$B$5,$F345,$B$6,N$10,$A345,$B345)</f>
        <v>0</v>
      </c>
      <c r="O345" s="4">
        <f ca="1">_xll.DBRW($B$1,$B$2,$B$7,$B$3,$B$4,$B$5,$F345,$B$6,O$10,$A345,$B345)</f>
        <v>0</v>
      </c>
      <c r="P345" s="4">
        <f ca="1">_xll.DBRW($B$1,$B$2,$B$7,$B$3,$B$4,$B$5,$F345,$B$6,P$10,$A345,$B345)</f>
        <v>0</v>
      </c>
      <c r="Q345" s="4">
        <f ca="1">_xll.DBRW($B$1,$B$2,$B$7,$B$3,$B$4,$B$5,$F345,$B$6,Q$10,$A345,$B345)</f>
        <v>0</v>
      </c>
      <c r="R345" s="4">
        <f ca="1">_xll.DBRW($B$1,$B$2,$B$7,$B$3,$B$4,$B$5,$F345,$B$6,R$10,$A345,$B345)</f>
        <v>0</v>
      </c>
      <c r="S345" s="4">
        <f ca="1">_xll.DBRW($B$1,$B$2,$B$7,$B$3,$B$4,$B$5,$F345,$B$6,S$10,$A345,$B345)</f>
        <v>0</v>
      </c>
      <c r="T345" s="4">
        <f ca="1">_xll.DBRW($B$1,$B$2,$B$7,$B$3,$B$4,$B$5,$F345,$B$6,T$10,$A345,$B345)</f>
        <v>0</v>
      </c>
      <c r="U345" s="4">
        <f ca="1">_xll.DBRW($B$1,$B$2,$B$7,$B$3,$B$4,$B$5,$F345,$B$6,U$10,$A345,$B345)</f>
        <v>0</v>
      </c>
      <c r="V345" s="4">
        <f ca="1">_xll.DBRW($B$1,$B$2,$B$7,$B$3,$B$4,$B$5,$F345,$B$6,V$10,$A345,$B345)</f>
        <v>0</v>
      </c>
      <c r="W345" s="4">
        <f ca="1">_xll.DBRW($B$1,$B$2,$B$7,$B$3,$B$4,$B$5,$F345,$B$6,W$10,$A345,$B345)</f>
        <v>0</v>
      </c>
      <c r="X345" s="4">
        <f ca="1">_xll.DBRW($B$1,$B$2,$B$7,$B$3,$B$4,$B$5,$F345,$B$6,X$10,$A345,$B345)</f>
        <v>0</v>
      </c>
      <c r="Y345" s="4">
        <f ca="1">_xll.DBRW($B$1,$B$2,$B$7,$B$3,$B$4,$B$5,$F345,$B$6,Y$10,$A345,$B345)</f>
        <v>0</v>
      </c>
      <c r="Z345" s="4">
        <f ca="1">_xll.DBRW($B$1,$B$2,$B$7,$B$3,$B$4,$B$5,$F345,$B$6,Z$10,$A345,$B345)</f>
        <v>0</v>
      </c>
      <c r="AA345" s="4">
        <f ca="1">_xll.DBRW($B$1,$B$2,$B$7,$B$3,$B$4,$B$5,$F345,$B$6,AA$10,$A345,$B345)</f>
        <v>0</v>
      </c>
      <c r="AB345" s="4">
        <f ca="1">_xll.DBRW($B$1,$B$2,$B$7,$B$3,$B$4,$B$5,$F345,$B$6,AB$10,$A345,$B345)</f>
        <v>0</v>
      </c>
      <c r="AC345" s="4">
        <f ca="1">_xll.DBRW($B$1,$B$2,$B$7,$B$3,$B$4,$B$5,$F345,$B$6,AC$10,$A345,$B345)</f>
        <v>0</v>
      </c>
      <c r="AD345" s="4">
        <f ca="1">_xll.DBRW($B$1,$B$2,$B$7,$B$3,$B$4,$B$5,$F345,$B$6,AD$10,$A345,$B345)</f>
        <v>0</v>
      </c>
      <c r="AE345" s="4">
        <f ca="1">_xll.DBRW($B$1,$B$2,$B$7,$B$3,$B$4,$B$5,$F345,$B$6,AE$10,$A345,$B345)</f>
        <v>0</v>
      </c>
    </row>
    <row r="346" spans="1:31">
      <c r="A346" s="1" t="s">
        <v>150</v>
      </c>
      <c r="B346" s="5" t="s">
        <v>310</v>
      </c>
      <c r="C346" s="5" t="s">
        <v>311</v>
      </c>
      <c r="D346" s="5" t="s">
        <v>309</v>
      </c>
      <c r="E346" s="5" t="s">
        <v>21</v>
      </c>
      <c r="F346" s="5" t="s">
        <v>314</v>
      </c>
      <c r="G346" s="6"/>
      <c r="H346" s="6"/>
      <c r="I346" s="6"/>
      <c r="J346" s="6"/>
      <c r="K346" s="6"/>
      <c r="L346" s="4">
        <f ca="1">_xll.DBRW($B$1,$B$2,$B$7,$B$3,$B$4,$B$5,$F346,$B$6,L$10,$A346,$B346)</f>
        <v>0</v>
      </c>
      <c r="M346" s="4">
        <f ca="1">_xll.DBRW($B$1,$B$2,$B$7,$B$3,$B$4,$B$5,$F346,$B$6,M$10,$A346,$B346)</f>
        <v>0</v>
      </c>
      <c r="N346" s="4">
        <f ca="1">_xll.DBRW($B$1,$B$2,$B$7,$B$3,$B$4,$B$5,$F346,$B$6,N$10,$A346,$B346)</f>
        <v>0</v>
      </c>
      <c r="O346" s="4">
        <f ca="1">_xll.DBRW($B$1,$B$2,$B$7,$B$3,$B$4,$B$5,$F346,$B$6,O$10,$A346,$B346)</f>
        <v>0</v>
      </c>
      <c r="P346" s="4">
        <f ca="1">_xll.DBRW($B$1,$B$2,$B$7,$B$3,$B$4,$B$5,$F346,$B$6,P$10,$A346,$B346)</f>
        <v>0</v>
      </c>
      <c r="Q346" s="4">
        <f ca="1">_xll.DBRW($B$1,$B$2,$B$7,$B$3,$B$4,$B$5,$F346,$B$6,Q$10,$A346,$B346)</f>
        <v>0</v>
      </c>
      <c r="R346" s="4">
        <f ca="1">_xll.DBRW($B$1,$B$2,$B$7,$B$3,$B$4,$B$5,$F346,$B$6,R$10,$A346,$B346)</f>
        <v>0</v>
      </c>
      <c r="S346" s="4">
        <f ca="1">_xll.DBRW($B$1,$B$2,$B$7,$B$3,$B$4,$B$5,$F346,$B$6,S$10,$A346,$B346)</f>
        <v>0</v>
      </c>
      <c r="T346" s="4">
        <f ca="1">_xll.DBRW($B$1,$B$2,$B$7,$B$3,$B$4,$B$5,$F346,$B$6,T$10,$A346,$B346)</f>
        <v>0</v>
      </c>
      <c r="U346" s="4">
        <f ca="1">_xll.DBRW($B$1,$B$2,$B$7,$B$3,$B$4,$B$5,$F346,$B$6,U$10,$A346,$B346)</f>
        <v>0</v>
      </c>
      <c r="V346" s="4">
        <f ca="1">_xll.DBRW($B$1,$B$2,$B$7,$B$3,$B$4,$B$5,$F346,$B$6,V$10,$A346,$B346)</f>
        <v>0</v>
      </c>
      <c r="W346" s="4">
        <f ca="1">_xll.DBRW($B$1,$B$2,$B$7,$B$3,$B$4,$B$5,$F346,$B$6,W$10,$A346,$B346)</f>
        <v>0</v>
      </c>
      <c r="X346" s="4">
        <f ca="1">_xll.DBRW($B$1,$B$2,$B$7,$B$3,$B$4,$B$5,$F346,$B$6,X$10,$A346,$B346)</f>
        <v>0</v>
      </c>
      <c r="Y346" s="4">
        <f ca="1">_xll.DBRW($B$1,$B$2,$B$7,$B$3,$B$4,$B$5,$F346,$B$6,Y$10,$A346,$B346)</f>
        <v>0</v>
      </c>
      <c r="Z346" s="4">
        <f ca="1">_xll.DBRW($B$1,$B$2,$B$7,$B$3,$B$4,$B$5,$F346,$B$6,Z$10,$A346,$B346)</f>
        <v>0</v>
      </c>
      <c r="AA346" s="4">
        <f ca="1">_xll.DBRW($B$1,$B$2,$B$7,$B$3,$B$4,$B$5,$F346,$B$6,AA$10,$A346,$B346)</f>
        <v>0</v>
      </c>
      <c r="AB346" s="4">
        <f ca="1">_xll.DBRW($B$1,$B$2,$B$7,$B$3,$B$4,$B$5,$F346,$B$6,AB$10,$A346,$B346)</f>
        <v>0</v>
      </c>
      <c r="AC346" s="4">
        <f ca="1">_xll.DBRW($B$1,$B$2,$B$7,$B$3,$B$4,$B$5,$F346,$B$6,AC$10,$A346,$B346)</f>
        <v>0</v>
      </c>
      <c r="AD346" s="4">
        <f ca="1">_xll.DBRW($B$1,$B$2,$B$7,$B$3,$B$4,$B$5,$F346,$B$6,AD$10,$A346,$B346)</f>
        <v>0</v>
      </c>
      <c r="AE346" s="4">
        <f ca="1">_xll.DBRW($B$1,$B$2,$B$7,$B$3,$B$4,$B$5,$F346,$B$6,AE$10,$A346,$B346)</f>
        <v>0</v>
      </c>
    </row>
    <row r="347" spans="1:31">
      <c r="A347" s="1" t="s">
        <v>150</v>
      </c>
      <c r="B347" s="5" t="s">
        <v>158</v>
      </c>
      <c r="C347" s="5" t="s">
        <v>159</v>
      </c>
      <c r="D347" s="5" t="s">
        <v>21</v>
      </c>
      <c r="E347" s="5" t="s">
        <v>38</v>
      </c>
      <c r="F347" s="5" t="s">
        <v>315</v>
      </c>
      <c r="G347" s="6"/>
      <c r="H347" s="6"/>
      <c r="I347" s="6"/>
      <c r="J347" s="6"/>
      <c r="K347" s="6"/>
      <c r="L347" s="4">
        <f ca="1">_xll.DBRW($B$1,$B$2,$B$7,$B$3,$B$4,$B$5,$F347,$B$6,L$10,$A347,$B347)</f>
        <v>0</v>
      </c>
      <c r="M347" s="4">
        <f ca="1">_xll.DBRW($B$1,$B$2,$B$7,$B$3,$B$4,$B$5,$F347,$B$6,M$10,$A347,$B347)</f>
        <v>0</v>
      </c>
      <c r="N347" s="4">
        <f ca="1">_xll.DBRW($B$1,$B$2,$B$7,$B$3,$B$4,$B$5,$F347,$B$6,N$10,$A347,$B347)</f>
        <v>0</v>
      </c>
      <c r="O347" s="4">
        <f ca="1">_xll.DBRW($B$1,$B$2,$B$7,$B$3,$B$4,$B$5,$F347,$B$6,O$10,$A347,$B347)</f>
        <v>0</v>
      </c>
      <c r="P347" s="4">
        <f ca="1">_xll.DBRW($B$1,$B$2,$B$7,$B$3,$B$4,$B$5,$F347,$B$6,P$10,$A347,$B347)</f>
        <v>0</v>
      </c>
      <c r="Q347" s="4">
        <f ca="1">_xll.DBRW($B$1,$B$2,$B$7,$B$3,$B$4,$B$5,$F347,$B$6,Q$10,$A347,$B347)</f>
        <v>0</v>
      </c>
      <c r="R347" s="4">
        <f ca="1">_xll.DBRW($B$1,$B$2,$B$7,$B$3,$B$4,$B$5,$F347,$B$6,R$10,$A347,$B347)</f>
        <v>0</v>
      </c>
      <c r="S347" s="4">
        <f ca="1">_xll.DBRW($B$1,$B$2,$B$7,$B$3,$B$4,$B$5,$F347,$B$6,S$10,$A347,$B347)</f>
        <v>0</v>
      </c>
      <c r="T347" s="4">
        <f ca="1">_xll.DBRW($B$1,$B$2,$B$7,$B$3,$B$4,$B$5,$F347,$B$6,T$10,$A347,$B347)</f>
        <v>0</v>
      </c>
      <c r="U347" s="4">
        <f ca="1">_xll.DBRW($B$1,$B$2,$B$7,$B$3,$B$4,$B$5,$F347,$B$6,U$10,$A347,$B347)</f>
        <v>0</v>
      </c>
      <c r="V347" s="4">
        <f ca="1">_xll.DBRW($B$1,$B$2,$B$7,$B$3,$B$4,$B$5,$F347,$B$6,V$10,$A347,$B347)</f>
        <v>0</v>
      </c>
      <c r="W347" s="4">
        <f ca="1">_xll.DBRW($B$1,$B$2,$B$7,$B$3,$B$4,$B$5,$F347,$B$6,W$10,$A347,$B347)</f>
        <v>0</v>
      </c>
      <c r="X347" s="4">
        <f ca="1">_xll.DBRW($B$1,$B$2,$B$7,$B$3,$B$4,$B$5,$F347,$B$6,X$10,$A347,$B347)</f>
        <v>0</v>
      </c>
      <c r="Y347" s="4">
        <f ca="1">_xll.DBRW($B$1,$B$2,$B$7,$B$3,$B$4,$B$5,$F347,$B$6,Y$10,$A347,$B347)</f>
        <v>0</v>
      </c>
      <c r="Z347" s="4">
        <f ca="1">_xll.DBRW($B$1,$B$2,$B$7,$B$3,$B$4,$B$5,$F347,$B$6,Z$10,$A347,$B347)</f>
        <v>0</v>
      </c>
      <c r="AA347" s="4">
        <f ca="1">_xll.DBRW($B$1,$B$2,$B$7,$B$3,$B$4,$B$5,$F347,$B$6,AA$10,$A347,$B347)</f>
        <v>0</v>
      </c>
      <c r="AB347" s="4">
        <f ca="1">_xll.DBRW($B$1,$B$2,$B$7,$B$3,$B$4,$B$5,$F347,$B$6,AB$10,$A347,$B347)</f>
        <v>0</v>
      </c>
      <c r="AC347" s="4">
        <f ca="1">_xll.DBRW($B$1,$B$2,$B$7,$B$3,$B$4,$B$5,$F347,$B$6,AC$10,$A347,$B347)</f>
        <v>0</v>
      </c>
      <c r="AD347" s="4">
        <f ca="1">_xll.DBRW($B$1,$B$2,$B$7,$B$3,$B$4,$B$5,$F347,$B$6,AD$10,$A347,$B347)</f>
        <v>0</v>
      </c>
      <c r="AE347" s="4">
        <f ca="1">_xll.DBRW($B$1,$B$2,$B$7,$B$3,$B$4,$B$5,$F347,$B$6,AE$10,$A347,$B347)</f>
        <v>0</v>
      </c>
    </row>
    <row r="348" spans="1:31">
      <c r="A348" s="1" t="s">
        <v>150</v>
      </c>
      <c r="B348" s="5" t="s">
        <v>36</v>
      </c>
      <c r="C348" s="5" t="s">
        <v>37</v>
      </c>
      <c r="D348" s="5" t="s">
        <v>38</v>
      </c>
      <c r="E348" s="5" t="s">
        <v>21</v>
      </c>
      <c r="F348" s="5" t="s">
        <v>315</v>
      </c>
      <c r="G348" s="6"/>
      <c r="H348" s="6"/>
      <c r="I348" s="6"/>
      <c r="J348" s="6"/>
      <c r="K348" s="6"/>
      <c r="L348" s="4">
        <f ca="1">_xll.DBRW($B$1,$B$2,$B$7,$B$3,$B$4,$B$5,$F348,$B$6,L$10,$A348,$B348)</f>
        <v>0</v>
      </c>
      <c r="M348" s="4">
        <f ca="1">_xll.DBRW($B$1,$B$2,$B$7,$B$3,$B$4,$B$5,$F348,$B$6,M$10,$A348,$B348)</f>
        <v>0</v>
      </c>
      <c r="N348" s="4">
        <f ca="1">_xll.DBRW($B$1,$B$2,$B$7,$B$3,$B$4,$B$5,$F348,$B$6,N$10,$A348,$B348)</f>
        <v>0</v>
      </c>
      <c r="O348" s="4">
        <f ca="1">_xll.DBRW($B$1,$B$2,$B$7,$B$3,$B$4,$B$5,$F348,$B$6,O$10,$A348,$B348)</f>
        <v>0</v>
      </c>
      <c r="P348" s="4">
        <f ca="1">_xll.DBRW($B$1,$B$2,$B$7,$B$3,$B$4,$B$5,$F348,$B$6,P$10,$A348,$B348)</f>
        <v>0</v>
      </c>
      <c r="Q348" s="4">
        <f ca="1">_xll.DBRW($B$1,$B$2,$B$7,$B$3,$B$4,$B$5,$F348,$B$6,Q$10,$A348,$B348)</f>
        <v>0</v>
      </c>
      <c r="R348" s="4">
        <f ca="1">_xll.DBRW($B$1,$B$2,$B$7,$B$3,$B$4,$B$5,$F348,$B$6,R$10,$A348,$B348)</f>
        <v>0</v>
      </c>
      <c r="S348" s="4">
        <f ca="1">_xll.DBRW($B$1,$B$2,$B$7,$B$3,$B$4,$B$5,$F348,$B$6,S$10,$A348,$B348)</f>
        <v>0</v>
      </c>
      <c r="T348" s="4">
        <f ca="1">_xll.DBRW($B$1,$B$2,$B$7,$B$3,$B$4,$B$5,$F348,$B$6,T$10,$A348,$B348)</f>
        <v>0</v>
      </c>
      <c r="U348" s="4">
        <f ca="1">_xll.DBRW($B$1,$B$2,$B$7,$B$3,$B$4,$B$5,$F348,$B$6,U$10,$A348,$B348)</f>
        <v>0</v>
      </c>
      <c r="V348" s="4">
        <f ca="1">_xll.DBRW($B$1,$B$2,$B$7,$B$3,$B$4,$B$5,$F348,$B$6,V$10,$A348,$B348)</f>
        <v>0</v>
      </c>
      <c r="W348" s="4">
        <f ca="1">_xll.DBRW($B$1,$B$2,$B$7,$B$3,$B$4,$B$5,$F348,$B$6,W$10,$A348,$B348)</f>
        <v>0</v>
      </c>
      <c r="X348" s="4">
        <f ca="1">_xll.DBRW($B$1,$B$2,$B$7,$B$3,$B$4,$B$5,$F348,$B$6,X$10,$A348,$B348)</f>
        <v>0</v>
      </c>
      <c r="Y348" s="4">
        <f ca="1">_xll.DBRW($B$1,$B$2,$B$7,$B$3,$B$4,$B$5,$F348,$B$6,Y$10,$A348,$B348)</f>
        <v>0</v>
      </c>
      <c r="Z348" s="4">
        <f ca="1">_xll.DBRW($B$1,$B$2,$B$7,$B$3,$B$4,$B$5,$F348,$B$6,Z$10,$A348,$B348)</f>
        <v>0</v>
      </c>
      <c r="AA348" s="4">
        <f ca="1">_xll.DBRW($B$1,$B$2,$B$7,$B$3,$B$4,$B$5,$F348,$B$6,AA$10,$A348,$B348)</f>
        <v>0</v>
      </c>
      <c r="AB348" s="4">
        <f ca="1">_xll.DBRW($B$1,$B$2,$B$7,$B$3,$B$4,$B$5,$F348,$B$6,AB$10,$A348,$B348)</f>
        <v>0</v>
      </c>
      <c r="AC348" s="4">
        <f ca="1">_xll.DBRW($B$1,$B$2,$B$7,$B$3,$B$4,$B$5,$F348,$B$6,AC$10,$A348,$B348)</f>
        <v>0</v>
      </c>
      <c r="AD348" s="4">
        <f ca="1">_xll.DBRW($B$1,$B$2,$B$7,$B$3,$B$4,$B$5,$F348,$B$6,AD$10,$A348,$B348)</f>
        <v>0</v>
      </c>
      <c r="AE348" s="4">
        <f ca="1">_xll.DBRW($B$1,$B$2,$B$7,$B$3,$B$4,$B$5,$F348,$B$6,AE$10,$A348,$B348)</f>
        <v>0</v>
      </c>
    </row>
    <row r="349" spans="1:31">
      <c r="A349" s="1" t="s">
        <v>150</v>
      </c>
      <c r="B349" s="5" t="s">
        <v>160</v>
      </c>
      <c r="C349" s="5" t="s">
        <v>161</v>
      </c>
      <c r="D349" s="5" t="s">
        <v>21</v>
      </c>
      <c r="E349" s="5" t="s">
        <v>69</v>
      </c>
      <c r="F349" s="5" t="s">
        <v>315</v>
      </c>
      <c r="G349" s="6"/>
      <c r="H349" s="6"/>
      <c r="I349" s="6"/>
      <c r="J349" s="6"/>
      <c r="K349" s="6"/>
      <c r="L349" s="4">
        <f ca="1">_xll.DBRW($B$1,$B$2,$B$7,$B$3,$B$4,$B$5,$F349,$B$6,L$10,$A349,$B349)</f>
        <v>0</v>
      </c>
      <c r="M349" s="4">
        <f ca="1">_xll.DBRW($B$1,$B$2,$B$7,$B$3,$B$4,$B$5,$F349,$B$6,M$10,$A349,$B349)</f>
        <v>0</v>
      </c>
      <c r="N349" s="4">
        <f ca="1">_xll.DBRW($B$1,$B$2,$B$7,$B$3,$B$4,$B$5,$F349,$B$6,N$10,$A349,$B349)</f>
        <v>0</v>
      </c>
      <c r="O349" s="4">
        <f ca="1">_xll.DBRW($B$1,$B$2,$B$7,$B$3,$B$4,$B$5,$F349,$B$6,O$10,$A349,$B349)</f>
        <v>0</v>
      </c>
      <c r="P349" s="4">
        <f ca="1">_xll.DBRW($B$1,$B$2,$B$7,$B$3,$B$4,$B$5,$F349,$B$6,P$10,$A349,$B349)</f>
        <v>0</v>
      </c>
      <c r="Q349" s="4">
        <f ca="1">_xll.DBRW($B$1,$B$2,$B$7,$B$3,$B$4,$B$5,$F349,$B$6,Q$10,$A349,$B349)</f>
        <v>0</v>
      </c>
      <c r="R349" s="4">
        <f ca="1">_xll.DBRW($B$1,$B$2,$B$7,$B$3,$B$4,$B$5,$F349,$B$6,R$10,$A349,$B349)</f>
        <v>0</v>
      </c>
      <c r="S349" s="4">
        <f ca="1">_xll.DBRW($B$1,$B$2,$B$7,$B$3,$B$4,$B$5,$F349,$B$6,S$10,$A349,$B349)</f>
        <v>0</v>
      </c>
      <c r="T349" s="4">
        <f ca="1">_xll.DBRW($B$1,$B$2,$B$7,$B$3,$B$4,$B$5,$F349,$B$6,T$10,$A349,$B349)</f>
        <v>0</v>
      </c>
      <c r="U349" s="4">
        <f ca="1">_xll.DBRW($B$1,$B$2,$B$7,$B$3,$B$4,$B$5,$F349,$B$6,U$10,$A349,$B349)</f>
        <v>0</v>
      </c>
      <c r="V349" s="4">
        <f ca="1">_xll.DBRW($B$1,$B$2,$B$7,$B$3,$B$4,$B$5,$F349,$B$6,V$10,$A349,$B349)</f>
        <v>0</v>
      </c>
      <c r="W349" s="4">
        <f ca="1">_xll.DBRW($B$1,$B$2,$B$7,$B$3,$B$4,$B$5,$F349,$B$6,W$10,$A349,$B349)</f>
        <v>0</v>
      </c>
      <c r="X349" s="4">
        <f ca="1">_xll.DBRW($B$1,$B$2,$B$7,$B$3,$B$4,$B$5,$F349,$B$6,X$10,$A349,$B349)</f>
        <v>0</v>
      </c>
      <c r="Y349" s="4">
        <f ca="1">_xll.DBRW($B$1,$B$2,$B$7,$B$3,$B$4,$B$5,$F349,$B$6,Y$10,$A349,$B349)</f>
        <v>0</v>
      </c>
      <c r="Z349" s="4">
        <f ca="1">_xll.DBRW($B$1,$B$2,$B$7,$B$3,$B$4,$B$5,$F349,$B$6,Z$10,$A349,$B349)</f>
        <v>0</v>
      </c>
      <c r="AA349" s="4">
        <f ca="1">_xll.DBRW($B$1,$B$2,$B$7,$B$3,$B$4,$B$5,$F349,$B$6,AA$10,$A349,$B349)</f>
        <v>0</v>
      </c>
      <c r="AB349" s="4">
        <f ca="1">_xll.DBRW($B$1,$B$2,$B$7,$B$3,$B$4,$B$5,$F349,$B$6,AB$10,$A349,$B349)</f>
        <v>0</v>
      </c>
      <c r="AC349" s="4">
        <f ca="1">_xll.DBRW($B$1,$B$2,$B$7,$B$3,$B$4,$B$5,$F349,$B$6,AC$10,$A349,$B349)</f>
        <v>0</v>
      </c>
      <c r="AD349" s="4">
        <f ca="1">_xll.DBRW($B$1,$B$2,$B$7,$B$3,$B$4,$B$5,$F349,$B$6,AD$10,$A349,$B349)</f>
        <v>0</v>
      </c>
      <c r="AE349" s="4">
        <f ca="1">_xll.DBRW($B$1,$B$2,$B$7,$B$3,$B$4,$B$5,$F349,$B$6,AE$10,$A349,$B349)</f>
        <v>0</v>
      </c>
    </row>
    <row r="350" spans="1:31">
      <c r="A350" s="1" t="s">
        <v>150</v>
      </c>
      <c r="B350" s="5" t="s">
        <v>67</v>
      </c>
      <c r="C350" s="5" t="s">
        <v>68</v>
      </c>
      <c r="D350" s="5" t="s">
        <v>69</v>
      </c>
      <c r="E350" s="5" t="s">
        <v>21</v>
      </c>
      <c r="F350" s="5" t="s">
        <v>315</v>
      </c>
      <c r="G350" s="6"/>
      <c r="H350" s="6"/>
      <c r="I350" s="6"/>
      <c r="J350" s="6"/>
      <c r="K350" s="6"/>
      <c r="L350" s="4">
        <f ca="1">_xll.DBRW($B$1,$B$2,$B$7,$B$3,$B$4,$B$5,$F350,$B$6,L$10,$A350,$B350)</f>
        <v>0</v>
      </c>
      <c r="M350" s="4">
        <f ca="1">_xll.DBRW($B$1,$B$2,$B$7,$B$3,$B$4,$B$5,$F350,$B$6,M$10,$A350,$B350)</f>
        <v>0</v>
      </c>
      <c r="N350" s="4">
        <f ca="1">_xll.DBRW($B$1,$B$2,$B$7,$B$3,$B$4,$B$5,$F350,$B$6,N$10,$A350,$B350)</f>
        <v>0</v>
      </c>
      <c r="O350" s="4">
        <f ca="1">_xll.DBRW($B$1,$B$2,$B$7,$B$3,$B$4,$B$5,$F350,$B$6,O$10,$A350,$B350)</f>
        <v>0</v>
      </c>
      <c r="P350" s="4">
        <f ca="1">_xll.DBRW($B$1,$B$2,$B$7,$B$3,$B$4,$B$5,$F350,$B$6,P$10,$A350,$B350)</f>
        <v>0</v>
      </c>
      <c r="Q350" s="4">
        <f ca="1">_xll.DBRW($B$1,$B$2,$B$7,$B$3,$B$4,$B$5,$F350,$B$6,Q$10,$A350,$B350)</f>
        <v>0</v>
      </c>
      <c r="R350" s="4">
        <f ca="1">_xll.DBRW($B$1,$B$2,$B$7,$B$3,$B$4,$B$5,$F350,$B$6,R$10,$A350,$B350)</f>
        <v>0</v>
      </c>
      <c r="S350" s="4">
        <f ca="1">_xll.DBRW($B$1,$B$2,$B$7,$B$3,$B$4,$B$5,$F350,$B$6,S$10,$A350,$B350)</f>
        <v>0</v>
      </c>
      <c r="T350" s="4">
        <f ca="1">_xll.DBRW($B$1,$B$2,$B$7,$B$3,$B$4,$B$5,$F350,$B$6,T$10,$A350,$B350)</f>
        <v>0</v>
      </c>
      <c r="U350" s="4">
        <f ca="1">_xll.DBRW($B$1,$B$2,$B$7,$B$3,$B$4,$B$5,$F350,$B$6,U$10,$A350,$B350)</f>
        <v>0</v>
      </c>
      <c r="V350" s="4">
        <f ca="1">_xll.DBRW($B$1,$B$2,$B$7,$B$3,$B$4,$B$5,$F350,$B$6,V$10,$A350,$B350)</f>
        <v>0</v>
      </c>
      <c r="W350" s="4">
        <f ca="1">_xll.DBRW($B$1,$B$2,$B$7,$B$3,$B$4,$B$5,$F350,$B$6,W$10,$A350,$B350)</f>
        <v>0</v>
      </c>
      <c r="X350" s="4">
        <f ca="1">_xll.DBRW($B$1,$B$2,$B$7,$B$3,$B$4,$B$5,$F350,$B$6,X$10,$A350,$B350)</f>
        <v>0</v>
      </c>
      <c r="Y350" s="4">
        <f ca="1">_xll.DBRW($B$1,$B$2,$B$7,$B$3,$B$4,$B$5,$F350,$B$6,Y$10,$A350,$B350)</f>
        <v>0</v>
      </c>
      <c r="Z350" s="4">
        <f ca="1">_xll.DBRW($B$1,$B$2,$B$7,$B$3,$B$4,$B$5,$F350,$B$6,Z$10,$A350,$B350)</f>
        <v>0</v>
      </c>
      <c r="AA350" s="4">
        <f ca="1">_xll.DBRW($B$1,$B$2,$B$7,$B$3,$B$4,$B$5,$F350,$B$6,AA$10,$A350,$B350)</f>
        <v>0</v>
      </c>
      <c r="AB350" s="4">
        <f ca="1">_xll.DBRW($B$1,$B$2,$B$7,$B$3,$B$4,$B$5,$F350,$B$6,AB$10,$A350,$B350)</f>
        <v>0</v>
      </c>
      <c r="AC350" s="4">
        <f ca="1">_xll.DBRW($B$1,$B$2,$B$7,$B$3,$B$4,$B$5,$F350,$B$6,AC$10,$A350,$B350)</f>
        <v>0</v>
      </c>
      <c r="AD350" s="4">
        <f ca="1">_xll.DBRW($B$1,$B$2,$B$7,$B$3,$B$4,$B$5,$F350,$B$6,AD$10,$A350,$B350)</f>
        <v>0</v>
      </c>
      <c r="AE350" s="4">
        <f ca="1">_xll.DBRW($B$1,$B$2,$B$7,$B$3,$B$4,$B$5,$F350,$B$6,AE$10,$A350,$B350)</f>
        <v>0</v>
      </c>
    </row>
    <row r="351" spans="1:31">
      <c r="A351" s="1" t="s">
        <v>150</v>
      </c>
      <c r="B351" s="5" t="s">
        <v>162</v>
      </c>
      <c r="C351" s="5" t="s">
        <v>163</v>
      </c>
      <c r="D351" s="5" t="s">
        <v>21</v>
      </c>
      <c r="E351" s="5" t="s">
        <v>54</v>
      </c>
      <c r="F351" s="5" t="s">
        <v>315</v>
      </c>
      <c r="G351" s="6"/>
      <c r="H351" s="6"/>
      <c r="I351" s="6"/>
      <c r="J351" s="6"/>
      <c r="K351" s="6"/>
      <c r="L351" s="4">
        <f ca="1">_xll.DBRW($B$1,$B$2,$B$7,$B$3,$B$4,$B$5,$F351,$B$6,L$10,$A351,$B351)</f>
        <v>0</v>
      </c>
      <c r="M351" s="4">
        <f ca="1">_xll.DBRW($B$1,$B$2,$B$7,$B$3,$B$4,$B$5,$F351,$B$6,M$10,$A351,$B351)</f>
        <v>0</v>
      </c>
      <c r="N351" s="4">
        <f ca="1">_xll.DBRW($B$1,$B$2,$B$7,$B$3,$B$4,$B$5,$F351,$B$6,N$10,$A351,$B351)</f>
        <v>0</v>
      </c>
      <c r="O351" s="4">
        <f ca="1">_xll.DBRW($B$1,$B$2,$B$7,$B$3,$B$4,$B$5,$F351,$B$6,O$10,$A351,$B351)</f>
        <v>0</v>
      </c>
      <c r="P351" s="4">
        <f ca="1">_xll.DBRW($B$1,$B$2,$B$7,$B$3,$B$4,$B$5,$F351,$B$6,P$10,$A351,$B351)</f>
        <v>0</v>
      </c>
      <c r="Q351" s="4">
        <f ca="1">_xll.DBRW($B$1,$B$2,$B$7,$B$3,$B$4,$B$5,$F351,$B$6,Q$10,$A351,$B351)</f>
        <v>0</v>
      </c>
      <c r="R351" s="4">
        <f ca="1">_xll.DBRW($B$1,$B$2,$B$7,$B$3,$B$4,$B$5,$F351,$B$6,R$10,$A351,$B351)</f>
        <v>0</v>
      </c>
      <c r="S351" s="4">
        <f ca="1">_xll.DBRW($B$1,$B$2,$B$7,$B$3,$B$4,$B$5,$F351,$B$6,S$10,$A351,$B351)</f>
        <v>0</v>
      </c>
      <c r="T351" s="4">
        <f ca="1">_xll.DBRW($B$1,$B$2,$B$7,$B$3,$B$4,$B$5,$F351,$B$6,T$10,$A351,$B351)</f>
        <v>0</v>
      </c>
      <c r="U351" s="4">
        <f ca="1">_xll.DBRW($B$1,$B$2,$B$7,$B$3,$B$4,$B$5,$F351,$B$6,U$10,$A351,$B351)</f>
        <v>0</v>
      </c>
      <c r="V351" s="4">
        <f ca="1">_xll.DBRW($B$1,$B$2,$B$7,$B$3,$B$4,$B$5,$F351,$B$6,V$10,$A351,$B351)</f>
        <v>0</v>
      </c>
      <c r="W351" s="4">
        <f ca="1">_xll.DBRW($B$1,$B$2,$B$7,$B$3,$B$4,$B$5,$F351,$B$6,W$10,$A351,$B351)</f>
        <v>0</v>
      </c>
      <c r="X351" s="4">
        <f ca="1">_xll.DBRW($B$1,$B$2,$B$7,$B$3,$B$4,$B$5,$F351,$B$6,X$10,$A351,$B351)</f>
        <v>0</v>
      </c>
      <c r="Y351" s="4">
        <f ca="1">_xll.DBRW($B$1,$B$2,$B$7,$B$3,$B$4,$B$5,$F351,$B$6,Y$10,$A351,$B351)</f>
        <v>0</v>
      </c>
      <c r="Z351" s="4">
        <f ca="1">_xll.DBRW($B$1,$B$2,$B$7,$B$3,$B$4,$B$5,$F351,$B$6,Z$10,$A351,$B351)</f>
        <v>0</v>
      </c>
      <c r="AA351" s="4">
        <f ca="1">_xll.DBRW($B$1,$B$2,$B$7,$B$3,$B$4,$B$5,$F351,$B$6,AA$10,$A351,$B351)</f>
        <v>0</v>
      </c>
      <c r="AB351" s="4">
        <f ca="1">_xll.DBRW($B$1,$B$2,$B$7,$B$3,$B$4,$B$5,$F351,$B$6,AB$10,$A351,$B351)</f>
        <v>0</v>
      </c>
      <c r="AC351" s="4">
        <f ca="1">_xll.DBRW($B$1,$B$2,$B$7,$B$3,$B$4,$B$5,$F351,$B$6,AC$10,$A351,$B351)</f>
        <v>0</v>
      </c>
      <c r="AD351" s="4">
        <f ca="1">_xll.DBRW($B$1,$B$2,$B$7,$B$3,$B$4,$B$5,$F351,$B$6,AD$10,$A351,$B351)</f>
        <v>0</v>
      </c>
      <c r="AE351" s="4">
        <f ca="1">_xll.DBRW($B$1,$B$2,$B$7,$B$3,$B$4,$B$5,$F351,$B$6,AE$10,$A351,$B351)</f>
        <v>0</v>
      </c>
    </row>
    <row r="352" spans="1:31">
      <c r="A352" s="1" t="s">
        <v>150</v>
      </c>
      <c r="B352" s="5" t="s">
        <v>52</v>
      </c>
      <c r="C352" s="5" t="s">
        <v>53</v>
      </c>
      <c r="D352" s="5" t="s">
        <v>54</v>
      </c>
      <c r="E352" s="5" t="s">
        <v>21</v>
      </c>
      <c r="F352" s="5" t="s">
        <v>315</v>
      </c>
      <c r="G352" s="6"/>
      <c r="H352" s="6"/>
      <c r="I352" s="6"/>
      <c r="J352" s="6"/>
      <c r="K352" s="6"/>
      <c r="L352" s="4">
        <f ca="1">_xll.DBRW($B$1,$B$2,$B$7,$B$3,$B$4,$B$5,$F352,$B$6,L$10,$A352,$B352)</f>
        <v>0</v>
      </c>
      <c r="M352" s="4">
        <f ca="1">_xll.DBRW($B$1,$B$2,$B$7,$B$3,$B$4,$B$5,$F352,$B$6,M$10,$A352,$B352)</f>
        <v>0</v>
      </c>
      <c r="N352" s="4">
        <f ca="1">_xll.DBRW($B$1,$B$2,$B$7,$B$3,$B$4,$B$5,$F352,$B$6,N$10,$A352,$B352)</f>
        <v>0</v>
      </c>
      <c r="O352" s="4">
        <f ca="1">_xll.DBRW($B$1,$B$2,$B$7,$B$3,$B$4,$B$5,$F352,$B$6,O$10,$A352,$B352)</f>
        <v>0</v>
      </c>
      <c r="P352" s="4">
        <f ca="1">_xll.DBRW($B$1,$B$2,$B$7,$B$3,$B$4,$B$5,$F352,$B$6,P$10,$A352,$B352)</f>
        <v>0</v>
      </c>
      <c r="Q352" s="4">
        <f ca="1">_xll.DBRW($B$1,$B$2,$B$7,$B$3,$B$4,$B$5,$F352,$B$6,Q$10,$A352,$B352)</f>
        <v>0</v>
      </c>
      <c r="R352" s="4">
        <f ca="1">_xll.DBRW($B$1,$B$2,$B$7,$B$3,$B$4,$B$5,$F352,$B$6,R$10,$A352,$B352)</f>
        <v>0</v>
      </c>
      <c r="S352" s="4">
        <f ca="1">_xll.DBRW($B$1,$B$2,$B$7,$B$3,$B$4,$B$5,$F352,$B$6,S$10,$A352,$B352)</f>
        <v>0</v>
      </c>
      <c r="T352" s="4">
        <f ca="1">_xll.DBRW($B$1,$B$2,$B$7,$B$3,$B$4,$B$5,$F352,$B$6,T$10,$A352,$B352)</f>
        <v>0</v>
      </c>
      <c r="U352" s="4">
        <f ca="1">_xll.DBRW($B$1,$B$2,$B$7,$B$3,$B$4,$B$5,$F352,$B$6,U$10,$A352,$B352)</f>
        <v>0</v>
      </c>
      <c r="V352" s="4">
        <f ca="1">_xll.DBRW($B$1,$B$2,$B$7,$B$3,$B$4,$B$5,$F352,$B$6,V$10,$A352,$B352)</f>
        <v>0</v>
      </c>
      <c r="W352" s="4">
        <f ca="1">_xll.DBRW($B$1,$B$2,$B$7,$B$3,$B$4,$B$5,$F352,$B$6,W$10,$A352,$B352)</f>
        <v>0</v>
      </c>
      <c r="X352" s="4">
        <f ca="1">_xll.DBRW($B$1,$B$2,$B$7,$B$3,$B$4,$B$5,$F352,$B$6,X$10,$A352,$B352)</f>
        <v>0</v>
      </c>
      <c r="Y352" s="4">
        <f ca="1">_xll.DBRW($B$1,$B$2,$B$7,$B$3,$B$4,$B$5,$F352,$B$6,Y$10,$A352,$B352)</f>
        <v>0</v>
      </c>
      <c r="Z352" s="4">
        <f ca="1">_xll.DBRW($B$1,$B$2,$B$7,$B$3,$B$4,$B$5,$F352,$B$6,Z$10,$A352,$B352)</f>
        <v>0</v>
      </c>
      <c r="AA352" s="4">
        <f ca="1">_xll.DBRW($B$1,$B$2,$B$7,$B$3,$B$4,$B$5,$F352,$B$6,AA$10,$A352,$B352)</f>
        <v>0</v>
      </c>
      <c r="AB352" s="4">
        <f ca="1">_xll.DBRW($B$1,$B$2,$B$7,$B$3,$B$4,$B$5,$F352,$B$6,AB$10,$A352,$B352)</f>
        <v>0</v>
      </c>
      <c r="AC352" s="4">
        <f ca="1">_xll.DBRW($B$1,$B$2,$B$7,$B$3,$B$4,$B$5,$F352,$B$6,AC$10,$A352,$B352)</f>
        <v>0</v>
      </c>
      <c r="AD352" s="4">
        <f ca="1">_xll.DBRW($B$1,$B$2,$B$7,$B$3,$B$4,$B$5,$F352,$B$6,AD$10,$A352,$B352)</f>
        <v>0</v>
      </c>
      <c r="AE352" s="4">
        <f ca="1">_xll.DBRW($B$1,$B$2,$B$7,$B$3,$B$4,$B$5,$F352,$B$6,AE$10,$A352,$B352)</f>
        <v>0</v>
      </c>
    </row>
    <row r="353" spans="1:31">
      <c r="A353" s="1" t="s">
        <v>150</v>
      </c>
      <c r="B353" s="5" t="s">
        <v>164</v>
      </c>
      <c r="C353" s="5" t="s">
        <v>159</v>
      </c>
      <c r="D353" s="5" t="s">
        <v>21</v>
      </c>
      <c r="E353" s="5" t="s">
        <v>38</v>
      </c>
      <c r="F353" s="5" t="s">
        <v>315</v>
      </c>
      <c r="G353" s="6"/>
      <c r="H353" s="6"/>
      <c r="I353" s="6"/>
      <c r="J353" s="6"/>
      <c r="K353" s="6"/>
      <c r="L353" s="4">
        <f ca="1">_xll.DBRW($B$1,$B$2,$B$7,$B$3,$B$4,$B$5,$F353,$B$6,L$10,$A353,$B353)</f>
        <v>0</v>
      </c>
      <c r="M353" s="4">
        <f ca="1">_xll.DBRW($B$1,$B$2,$B$7,$B$3,$B$4,$B$5,$F353,$B$6,M$10,$A353,$B353)</f>
        <v>0</v>
      </c>
      <c r="N353" s="4">
        <f ca="1">_xll.DBRW($B$1,$B$2,$B$7,$B$3,$B$4,$B$5,$F353,$B$6,N$10,$A353,$B353)</f>
        <v>0</v>
      </c>
      <c r="O353" s="4">
        <f ca="1">_xll.DBRW($B$1,$B$2,$B$7,$B$3,$B$4,$B$5,$F353,$B$6,O$10,$A353,$B353)</f>
        <v>0</v>
      </c>
      <c r="P353" s="4">
        <f ca="1">_xll.DBRW($B$1,$B$2,$B$7,$B$3,$B$4,$B$5,$F353,$B$6,P$10,$A353,$B353)</f>
        <v>0</v>
      </c>
      <c r="Q353" s="4">
        <f ca="1">_xll.DBRW($B$1,$B$2,$B$7,$B$3,$B$4,$B$5,$F353,$B$6,Q$10,$A353,$B353)</f>
        <v>3</v>
      </c>
      <c r="R353" s="4">
        <f ca="1">_xll.DBRW($B$1,$B$2,$B$7,$B$3,$B$4,$B$5,$F353,$B$6,R$10,$A353,$B353)</f>
        <v>18</v>
      </c>
      <c r="S353" s="4">
        <f ca="1">_xll.DBRW($B$1,$B$2,$B$7,$B$3,$B$4,$B$5,$F353,$B$6,S$10,$A353,$B353)</f>
        <v>24</v>
      </c>
      <c r="T353" s="4">
        <f ca="1">_xll.DBRW($B$1,$B$2,$B$7,$B$3,$B$4,$B$5,$F353,$B$6,T$10,$A353,$B353)</f>
        <v>9</v>
      </c>
      <c r="U353" s="4">
        <f ca="1">_xll.DBRW($B$1,$B$2,$B$7,$B$3,$B$4,$B$5,$F353,$B$6,U$10,$A353,$B353)</f>
        <v>8</v>
      </c>
      <c r="V353" s="4">
        <f ca="1">_xll.DBRW($B$1,$B$2,$B$7,$B$3,$B$4,$B$5,$F353,$B$6,V$10,$A353,$B353)</f>
        <v>9</v>
      </c>
      <c r="W353" s="4">
        <f ca="1">_xll.DBRW($B$1,$B$2,$B$7,$B$3,$B$4,$B$5,$F353,$B$6,W$10,$A353,$B353)</f>
        <v>0</v>
      </c>
      <c r="X353" s="4">
        <f ca="1">_xll.DBRW($B$1,$B$2,$B$7,$B$3,$B$4,$B$5,$F353,$B$6,X$10,$A353,$B353)</f>
        <v>0</v>
      </c>
      <c r="Y353" s="4">
        <f ca="1">_xll.DBRW($B$1,$B$2,$B$7,$B$3,$B$4,$B$5,$F353,$B$6,Y$10,$A353,$B353)</f>
        <v>0</v>
      </c>
      <c r="Z353" s="4">
        <f ca="1">_xll.DBRW($B$1,$B$2,$B$7,$B$3,$B$4,$B$5,$F353,$B$6,Z$10,$A353,$B353)</f>
        <v>0</v>
      </c>
      <c r="AA353" s="4">
        <f ca="1">_xll.DBRW($B$1,$B$2,$B$7,$B$3,$B$4,$B$5,$F353,$B$6,AA$10,$A353,$B353)</f>
        <v>0</v>
      </c>
      <c r="AB353" s="4">
        <f ca="1">_xll.DBRW($B$1,$B$2,$B$7,$B$3,$B$4,$B$5,$F353,$B$6,AB$10,$A353,$B353)</f>
        <v>0</v>
      </c>
      <c r="AC353" s="4">
        <f ca="1">_xll.DBRW($B$1,$B$2,$B$7,$B$3,$B$4,$B$5,$F353,$B$6,AC$10,$A353,$B353)</f>
        <v>1</v>
      </c>
      <c r="AD353" s="4">
        <f ca="1">_xll.DBRW($B$1,$B$2,$B$7,$B$3,$B$4,$B$5,$F353,$B$6,AD$10,$A353,$B353)</f>
        <v>9</v>
      </c>
      <c r="AE353" s="4">
        <f ca="1">_xll.DBRW($B$1,$B$2,$B$7,$B$3,$B$4,$B$5,$F353,$B$6,AE$10,$A353,$B353)</f>
        <v>9</v>
      </c>
    </row>
    <row r="354" spans="1:31">
      <c r="A354" s="1" t="s">
        <v>150</v>
      </c>
      <c r="B354" s="5" t="s">
        <v>39</v>
      </c>
      <c r="C354" s="5" t="s">
        <v>37</v>
      </c>
      <c r="D354" s="5" t="s">
        <v>38</v>
      </c>
      <c r="E354" s="5" t="s">
        <v>21</v>
      </c>
      <c r="F354" s="5" t="s">
        <v>315</v>
      </c>
      <c r="G354" s="6"/>
      <c r="H354" s="6"/>
      <c r="I354" s="6"/>
      <c r="J354" s="6"/>
      <c r="K354" s="6"/>
      <c r="L354" s="4">
        <f ca="1">_xll.DBRW($B$1,$B$2,$B$7,$B$3,$B$4,$B$5,$F354,$B$6,L$10,$A354,$B354)</f>
        <v>0</v>
      </c>
      <c r="M354" s="4">
        <f ca="1">_xll.DBRW($B$1,$B$2,$B$7,$B$3,$B$4,$B$5,$F354,$B$6,M$10,$A354,$B354)</f>
        <v>0</v>
      </c>
      <c r="N354" s="4">
        <f ca="1">_xll.DBRW($B$1,$B$2,$B$7,$B$3,$B$4,$B$5,$F354,$B$6,N$10,$A354,$B354)</f>
        <v>0</v>
      </c>
      <c r="O354" s="4">
        <f ca="1">_xll.DBRW($B$1,$B$2,$B$7,$B$3,$B$4,$B$5,$F354,$B$6,O$10,$A354,$B354)</f>
        <v>0</v>
      </c>
      <c r="P354" s="4">
        <f ca="1">_xll.DBRW($B$1,$B$2,$B$7,$B$3,$B$4,$B$5,$F354,$B$6,P$10,$A354,$B354)</f>
        <v>0</v>
      </c>
      <c r="Q354" s="4">
        <f ca="1">_xll.DBRW($B$1,$B$2,$B$7,$B$3,$B$4,$B$5,$F354,$B$6,Q$10,$A354,$B354)</f>
        <v>3</v>
      </c>
      <c r="R354" s="4">
        <f ca="1">_xll.DBRW($B$1,$B$2,$B$7,$B$3,$B$4,$B$5,$F354,$B$6,R$10,$A354,$B354)</f>
        <v>18</v>
      </c>
      <c r="S354" s="4">
        <f ca="1">_xll.DBRW($B$1,$B$2,$B$7,$B$3,$B$4,$B$5,$F354,$B$6,S$10,$A354,$B354)</f>
        <v>24</v>
      </c>
      <c r="T354" s="4">
        <f ca="1">_xll.DBRW($B$1,$B$2,$B$7,$B$3,$B$4,$B$5,$F354,$B$6,T$10,$A354,$B354)</f>
        <v>9</v>
      </c>
      <c r="U354" s="4">
        <f ca="1">_xll.DBRW($B$1,$B$2,$B$7,$B$3,$B$4,$B$5,$F354,$B$6,U$10,$A354,$B354)</f>
        <v>8</v>
      </c>
      <c r="V354" s="4">
        <f ca="1">_xll.DBRW($B$1,$B$2,$B$7,$B$3,$B$4,$B$5,$F354,$B$6,V$10,$A354,$B354)</f>
        <v>9</v>
      </c>
      <c r="W354" s="4">
        <f ca="1">_xll.DBRW($B$1,$B$2,$B$7,$B$3,$B$4,$B$5,$F354,$B$6,W$10,$A354,$B354)</f>
        <v>0</v>
      </c>
      <c r="X354" s="4">
        <f ca="1">_xll.DBRW($B$1,$B$2,$B$7,$B$3,$B$4,$B$5,$F354,$B$6,X$10,$A354,$B354)</f>
        <v>0</v>
      </c>
      <c r="Y354" s="4">
        <f ca="1">_xll.DBRW($B$1,$B$2,$B$7,$B$3,$B$4,$B$5,$F354,$B$6,Y$10,$A354,$B354)</f>
        <v>0</v>
      </c>
      <c r="Z354" s="4">
        <f ca="1">_xll.DBRW($B$1,$B$2,$B$7,$B$3,$B$4,$B$5,$F354,$B$6,Z$10,$A354,$B354)</f>
        <v>0</v>
      </c>
      <c r="AA354" s="4">
        <f ca="1">_xll.DBRW($B$1,$B$2,$B$7,$B$3,$B$4,$B$5,$F354,$B$6,AA$10,$A354,$B354)</f>
        <v>0</v>
      </c>
      <c r="AB354" s="4">
        <f ca="1">_xll.DBRW($B$1,$B$2,$B$7,$B$3,$B$4,$B$5,$F354,$B$6,AB$10,$A354,$B354)</f>
        <v>0</v>
      </c>
      <c r="AC354" s="4">
        <f ca="1">_xll.DBRW($B$1,$B$2,$B$7,$B$3,$B$4,$B$5,$F354,$B$6,AC$10,$A354,$B354)</f>
        <v>1</v>
      </c>
      <c r="AD354" s="4">
        <f ca="1">_xll.DBRW($B$1,$B$2,$B$7,$B$3,$B$4,$B$5,$F354,$B$6,AD$10,$A354,$B354)</f>
        <v>9</v>
      </c>
      <c r="AE354" s="4">
        <f ca="1">_xll.DBRW($B$1,$B$2,$B$7,$B$3,$B$4,$B$5,$F354,$B$6,AE$10,$A354,$B354)</f>
        <v>8</v>
      </c>
    </row>
    <row r="355" spans="1:31">
      <c r="A355" s="1" t="s">
        <v>150</v>
      </c>
      <c r="B355" s="5" t="s">
        <v>165</v>
      </c>
      <c r="C355" s="5" t="s">
        <v>166</v>
      </c>
      <c r="D355" s="5" t="s">
        <v>21</v>
      </c>
      <c r="E355" s="5" t="s">
        <v>31</v>
      </c>
      <c r="F355" s="5" t="s">
        <v>315</v>
      </c>
      <c r="G355" s="6"/>
      <c r="H355" s="6"/>
      <c r="I355" s="6"/>
      <c r="J355" s="6"/>
      <c r="K355" s="6"/>
      <c r="L355" s="4">
        <f ca="1">_xll.DBRW($B$1,$B$2,$B$7,$B$3,$B$4,$B$5,$F355,$B$6,L$10,$A355,$B355)</f>
        <v>0</v>
      </c>
      <c r="M355" s="4">
        <f ca="1">_xll.DBRW($B$1,$B$2,$B$7,$B$3,$B$4,$B$5,$F355,$B$6,M$10,$A355,$B355)</f>
        <v>0</v>
      </c>
      <c r="N355" s="4">
        <f ca="1">_xll.DBRW($B$1,$B$2,$B$7,$B$3,$B$4,$B$5,$F355,$B$6,N$10,$A355,$B355)</f>
        <v>0</v>
      </c>
      <c r="O355" s="4">
        <f ca="1">_xll.DBRW($B$1,$B$2,$B$7,$B$3,$B$4,$B$5,$F355,$B$6,O$10,$A355,$B355)</f>
        <v>0</v>
      </c>
      <c r="P355" s="4">
        <f ca="1">_xll.DBRW($B$1,$B$2,$B$7,$B$3,$B$4,$B$5,$F355,$B$6,P$10,$A355,$B355)</f>
        <v>0</v>
      </c>
      <c r="Q355" s="4">
        <f ca="1">_xll.DBRW($B$1,$B$2,$B$7,$B$3,$B$4,$B$5,$F355,$B$6,Q$10,$A355,$B355)</f>
        <v>0</v>
      </c>
      <c r="R355" s="4">
        <f ca="1">_xll.DBRW($B$1,$B$2,$B$7,$B$3,$B$4,$B$5,$F355,$B$6,R$10,$A355,$B355)</f>
        <v>0</v>
      </c>
      <c r="S355" s="4">
        <f ca="1">_xll.DBRW($B$1,$B$2,$B$7,$B$3,$B$4,$B$5,$F355,$B$6,S$10,$A355,$B355)</f>
        <v>0</v>
      </c>
      <c r="T355" s="4">
        <f ca="1">_xll.DBRW($B$1,$B$2,$B$7,$B$3,$B$4,$B$5,$F355,$B$6,T$10,$A355,$B355)</f>
        <v>0</v>
      </c>
      <c r="U355" s="4">
        <f ca="1">_xll.DBRW($B$1,$B$2,$B$7,$B$3,$B$4,$B$5,$F355,$B$6,U$10,$A355,$B355)</f>
        <v>0</v>
      </c>
      <c r="V355" s="4">
        <f ca="1">_xll.DBRW($B$1,$B$2,$B$7,$B$3,$B$4,$B$5,$F355,$B$6,V$10,$A355,$B355)</f>
        <v>0</v>
      </c>
      <c r="W355" s="4">
        <f ca="1">_xll.DBRW($B$1,$B$2,$B$7,$B$3,$B$4,$B$5,$F355,$B$6,W$10,$A355,$B355)</f>
        <v>0</v>
      </c>
      <c r="X355" s="4">
        <f ca="1">_xll.DBRW($B$1,$B$2,$B$7,$B$3,$B$4,$B$5,$F355,$B$6,X$10,$A355,$B355)</f>
        <v>0</v>
      </c>
      <c r="Y355" s="4">
        <f ca="1">_xll.DBRW($B$1,$B$2,$B$7,$B$3,$B$4,$B$5,$F355,$B$6,Y$10,$A355,$B355)</f>
        <v>0</v>
      </c>
      <c r="Z355" s="4">
        <f ca="1">_xll.DBRW($B$1,$B$2,$B$7,$B$3,$B$4,$B$5,$F355,$B$6,Z$10,$A355,$B355)</f>
        <v>0</v>
      </c>
      <c r="AA355" s="4">
        <f ca="1">_xll.DBRW($B$1,$B$2,$B$7,$B$3,$B$4,$B$5,$F355,$B$6,AA$10,$A355,$B355)</f>
        <v>0</v>
      </c>
      <c r="AB355" s="4">
        <f ca="1">_xll.DBRW($B$1,$B$2,$B$7,$B$3,$B$4,$B$5,$F355,$B$6,AB$10,$A355,$B355)</f>
        <v>0</v>
      </c>
      <c r="AC355" s="4">
        <f ca="1">_xll.DBRW($B$1,$B$2,$B$7,$B$3,$B$4,$B$5,$F355,$B$6,AC$10,$A355,$B355)</f>
        <v>0</v>
      </c>
      <c r="AD355" s="4">
        <f ca="1">_xll.DBRW($B$1,$B$2,$B$7,$B$3,$B$4,$B$5,$F355,$B$6,AD$10,$A355,$B355)</f>
        <v>0</v>
      </c>
      <c r="AE355" s="4">
        <f ca="1">_xll.DBRW($B$1,$B$2,$B$7,$B$3,$B$4,$B$5,$F355,$B$6,AE$10,$A355,$B355)</f>
        <v>0</v>
      </c>
    </row>
    <row r="356" spans="1:31">
      <c r="A356" s="1" t="s">
        <v>150</v>
      </c>
      <c r="B356" s="5" t="s">
        <v>29</v>
      </c>
      <c r="C356" s="5" t="s">
        <v>30</v>
      </c>
      <c r="D356" s="5" t="s">
        <v>31</v>
      </c>
      <c r="E356" s="5" t="s">
        <v>21</v>
      </c>
      <c r="F356" s="5" t="s">
        <v>315</v>
      </c>
      <c r="G356" s="6"/>
      <c r="H356" s="6"/>
      <c r="I356" s="6"/>
      <c r="J356" s="6"/>
      <c r="K356" s="6"/>
      <c r="L356" s="4">
        <f ca="1">_xll.DBRW($B$1,$B$2,$B$7,$B$3,$B$4,$B$5,$F356,$B$6,L$10,$A356,$B356)</f>
        <v>0</v>
      </c>
      <c r="M356" s="4">
        <f ca="1">_xll.DBRW($B$1,$B$2,$B$7,$B$3,$B$4,$B$5,$F356,$B$6,M$10,$A356,$B356)</f>
        <v>0</v>
      </c>
      <c r="N356" s="4">
        <f ca="1">_xll.DBRW($B$1,$B$2,$B$7,$B$3,$B$4,$B$5,$F356,$B$6,N$10,$A356,$B356)</f>
        <v>0</v>
      </c>
      <c r="O356" s="4">
        <f ca="1">_xll.DBRW($B$1,$B$2,$B$7,$B$3,$B$4,$B$5,$F356,$B$6,O$10,$A356,$B356)</f>
        <v>0</v>
      </c>
      <c r="P356" s="4">
        <f ca="1">_xll.DBRW($B$1,$B$2,$B$7,$B$3,$B$4,$B$5,$F356,$B$6,P$10,$A356,$B356)</f>
        <v>0</v>
      </c>
      <c r="Q356" s="4">
        <f ca="1">_xll.DBRW($B$1,$B$2,$B$7,$B$3,$B$4,$B$5,$F356,$B$6,Q$10,$A356,$B356)</f>
        <v>0</v>
      </c>
      <c r="R356" s="4">
        <f ca="1">_xll.DBRW($B$1,$B$2,$B$7,$B$3,$B$4,$B$5,$F356,$B$6,R$10,$A356,$B356)</f>
        <v>0</v>
      </c>
      <c r="S356" s="4">
        <f ca="1">_xll.DBRW($B$1,$B$2,$B$7,$B$3,$B$4,$B$5,$F356,$B$6,S$10,$A356,$B356)</f>
        <v>0</v>
      </c>
      <c r="T356" s="4">
        <f ca="1">_xll.DBRW($B$1,$B$2,$B$7,$B$3,$B$4,$B$5,$F356,$B$6,T$10,$A356,$B356)</f>
        <v>0</v>
      </c>
      <c r="U356" s="4">
        <f ca="1">_xll.DBRW($B$1,$B$2,$B$7,$B$3,$B$4,$B$5,$F356,$B$6,U$10,$A356,$B356)</f>
        <v>0</v>
      </c>
      <c r="V356" s="4">
        <f ca="1">_xll.DBRW($B$1,$B$2,$B$7,$B$3,$B$4,$B$5,$F356,$B$6,V$10,$A356,$B356)</f>
        <v>0</v>
      </c>
      <c r="W356" s="4">
        <f ca="1">_xll.DBRW($B$1,$B$2,$B$7,$B$3,$B$4,$B$5,$F356,$B$6,W$10,$A356,$B356)</f>
        <v>0</v>
      </c>
      <c r="X356" s="4">
        <f ca="1">_xll.DBRW($B$1,$B$2,$B$7,$B$3,$B$4,$B$5,$F356,$B$6,X$10,$A356,$B356)</f>
        <v>0</v>
      </c>
      <c r="Y356" s="4">
        <f ca="1">_xll.DBRW($B$1,$B$2,$B$7,$B$3,$B$4,$B$5,$F356,$B$6,Y$10,$A356,$B356)</f>
        <v>0</v>
      </c>
      <c r="Z356" s="4">
        <f ca="1">_xll.DBRW($B$1,$B$2,$B$7,$B$3,$B$4,$B$5,$F356,$B$6,Z$10,$A356,$B356)</f>
        <v>0</v>
      </c>
      <c r="AA356" s="4">
        <f ca="1">_xll.DBRW($B$1,$B$2,$B$7,$B$3,$B$4,$B$5,$F356,$B$6,AA$10,$A356,$B356)</f>
        <v>0</v>
      </c>
      <c r="AB356" s="4">
        <f ca="1">_xll.DBRW($B$1,$B$2,$B$7,$B$3,$B$4,$B$5,$F356,$B$6,AB$10,$A356,$B356)</f>
        <v>0</v>
      </c>
      <c r="AC356" s="4">
        <f ca="1">_xll.DBRW($B$1,$B$2,$B$7,$B$3,$B$4,$B$5,$F356,$B$6,AC$10,$A356,$B356)</f>
        <v>0</v>
      </c>
      <c r="AD356" s="4">
        <f ca="1">_xll.DBRW($B$1,$B$2,$B$7,$B$3,$B$4,$B$5,$F356,$B$6,AD$10,$A356,$B356)</f>
        <v>0</v>
      </c>
      <c r="AE356" s="4">
        <f ca="1">_xll.DBRW($B$1,$B$2,$B$7,$B$3,$B$4,$B$5,$F356,$B$6,AE$10,$A356,$B356)</f>
        <v>0</v>
      </c>
    </row>
    <row r="357" spans="1:31">
      <c r="A357" s="1" t="s">
        <v>150</v>
      </c>
      <c r="B357" s="5" t="s">
        <v>167</v>
      </c>
      <c r="C357" s="5" t="s">
        <v>168</v>
      </c>
      <c r="D357" s="5" t="s">
        <v>21</v>
      </c>
      <c r="E357" s="5" t="s">
        <v>76</v>
      </c>
      <c r="F357" s="5" t="s">
        <v>315</v>
      </c>
      <c r="G357" s="6"/>
      <c r="H357" s="6"/>
      <c r="I357" s="6"/>
      <c r="J357" s="6"/>
      <c r="K357" s="6"/>
      <c r="L357" s="4">
        <f ca="1">_xll.DBRW($B$1,$B$2,$B$7,$B$3,$B$4,$B$5,$F357,$B$6,L$10,$A357,$B357)</f>
        <v>0</v>
      </c>
      <c r="M357" s="4">
        <f ca="1">_xll.DBRW($B$1,$B$2,$B$7,$B$3,$B$4,$B$5,$F357,$B$6,M$10,$A357,$B357)</f>
        <v>0</v>
      </c>
      <c r="N357" s="4">
        <f ca="1">_xll.DBRW($B$1,$B$2,$B$7,$B$3,$B$4,$B$5,$F357,$B$6,N$10,$A357,$B357)</f>
        <v>0</v>
      </c>
      <c r="O357" s="4">
        <f ca="1">_xll.DBRW($B$1,$B$2,$B$7,$B$3,$B$4,$B$5,$F357,$B$6,O$10,$A357,$B357)</f>
        <v>0</v>
      </c>
      <c r="P357" s="4">
        <f ca="1">_xll.DBRW($B$1,$B$2,$B$7,$B$3,$B$4,$B$5,$F357,$B$6,P$10,$A357,$B357)</f>
        <v>0</v>
      </c>
      <c r="Q357" s="4">
        <f ca="1">_xll.DBRW($B$1,$B$2,$B$7,$B$3,$B$4,$B$5,$F357,$B$6,Q$10,$A357,$B357)</f>
        <v>0</v>
      </c>
      <c r="R357" s="4">
        <f ca="1">_xll.DBRW($B$1,$B$2,$B$7,$B$3,$B$4,$B$5,$F357,$B$6,R$10,$A357,$B357)</f>
        <v>0</v>
      </c>
      <c r="S357" s="4">
        <f ca="1">_xll.DBRW($B$1,$B$2,$B$7,$B$3,$B$4,$B$5,$F357,$B$6,S$10,$A357,$B357)</f>
        <v>0</v>
      </c>
      <c r="T357" s="4">
        <f ca="1">_xll.DBRW($B$1,$B$2,$B$7,$B$3,$B$4,$B$5,$F357,$B$6,T$10,$A357,$B357)</f>
        <v>0</v>
      </c>
      <c r="U357" s="4">
        <f ca="1">_xll.DBRW($B$1,$B$2,$B$7,$B$3,$B$4,$B$5,$F357,$B$6,U$10,$A357,$B357)</f>
        <v>0</v>
      </c>
      <c r="V357" s="4">
        <f ca="1">_xll.DBRW($B$1,$B$2,$B$7,$B$3,$B$4,$B$5,$F357,$B$6,V$10,$A357,$B357)</f>
        <v>0</v>
      </c>
      <c r="W357" s="4">
        <f ca="1">_xll.DBRW($B$1,$B$2,$B$7,$B$3,$B$4,$B$5,$F357,$B$6,W$10,$A357,$B357)</f>
        <v>0</v>
      </c>
      <c r="X357" s="4">
        <f ca="1">_xll.DBRW($B$1,$B$2,$B$7,$B$3,$B$4,$B$5,$F357,$B$6,X$10,$A357,$B357)</f>
        <v>0</v>
      </c>
      <c r="Y357" s="4">
        <f ca="1">_xll.DBRW($B$1,$B$2,$B$7,$B$3,$B$4,$B$5,$F357,$B$6,Y$10,$A357,$B357)</f>
        <v>0</v>
      </c>
      <c r="Z357" s="4">
        <f ca="1">_xll.DBRW($B$1,$B$2,$B$7,$B$3,$B$4,$B$5,$F357,$B$6,Z$10,$A357,$B357)</f>
        <v>0</v>
      </c>
      <c r="AA357" s="4">
        <f ca="1">_xll.DBRW($B$1,$B$2,$B$7,$B$3,$B$4,$B$5,$F357,$B$6,AA$10,$A357,$B357)</f>
        <v>0</v>
      </c>
      <c r="AB357" s="4">
        <f ca="1">_xll.DBRW($B$1,$B$2,$B$7,$B$3,$B$4,$B$5,$F357,$B$6,AB$10,$A357,$B357)</f>
        <v>0</v>
      </c>
      <c r="AC357" s="4">
        <f ca="1">_xll.DBRW($B$1,$B$2,$B$7,$B$3,$B$4,$B$5,$F357,$B$6,AC$10,$A357,$B357)</f>
        <v>0</v>
      </c>
      <c r="AD357" s="4">
        <f ca="1">_xll.DBRW($B$1,$B$2,$B$7,$B$3,$B$4,$B$5,$F357,$B$6,AD$10,$A357,$B357)</f>
        <v>0</v>
      </c>
      <c r="AE357" s="4">
        <f ca="1">_xll.DBRW($B$1,$B$2,$B$7,$B$3,$B$4,$B$5,$F357,$B$6,AE$10,$A357,$B357)</f>
        <v>0</v>
      </c>
    </row>
    <row r="358" spans="1:31">
      <c r="A358" s="1" t="s">
        <v>150</v>
      </c>
      <c r="B358" s="5" t="s">
        <v>74</v>
      </c>
      <c r="C358" s="5" t="s">
        <v>75</v>
      </c>
      <c r="D358" s="5" t="s">
        <v>76</v>
      </c>
      <c r="E358" s="5" t="s">
        <v>21</v>
      </c>
      <c r="F358" s="5" t="s">
        <v>315</v>
      </c>
      <c r="G358" s="6"/>
      <c r="H358" s="6"/>
      <c r="I358" s="6"/>
      <c r="J358" s="6"/>
      <c r="K358" s="6"/>
      <c r="L358" s="4">
        <f ca="1">_xll.DBRW($B$1,$B$2,$B$7,$B$3,$B$4,$B$5,$F358,$B$6,L$10,$A358,$B358)</f>
        <v>0</v>
      </c>
      <c r="M358" s="4">
        <f ca="1">_xll.DBRW($B$1,$B$2,$B$7,$B$3,$B$4,$B$5,$F358,$B$6,M$10,$A358,$B358)</f>
        <v>0</v>
      </c>
      <c r="N358" s="4">
        <f ca="1">_xll.DBRW($B$1,$B$2,$B$7,$B$3,$B$4,$B$5,$F358,$B$6,N$10,$A358,$B358)</f>
        <v>0</v>
      </c>
      <c r="O358" s="4">
        <f ca="1">_xll.DBRW($B$1,$B$2,$B$7,$B$3,$B$4,$B$5,$F358,$B$6,O$10,$A358,$B358)</f>
        <v>0</v>
      </c>
      <c r="P358" s="4">
        <f ca="1">_xll.DBRW($B$1,$B$2,$B$7,$B$3,$B$4,$B$5,$F358,$B$6,P$10,$A358,$B358)</f>
        <v>0</v>
      </c>
      <c r="Q358" s="4">
        <f ca="1">_xll.DBRW($B$1,$B$2,$B$7,$B$3,$B$4,$B$5,$F358,$B$6,Q$10,$A358,$B358)</f>
        <v>0</v>
      </c>
      <c r="R358" s="4">
        <f ca="1">_xll.DBRW($B$1,$B$2,$B$7,$B$3,$B$4,$B$5,$F358,$B$6,R$10,$A358,$B358)</f>
        <v>0</v>
      </c>
      <c r="S358" s="4">
        <f ca="1">_xll.DBRW($B$1,$B$2,$B$7,$B$3,$B$4,$B$5,$F358,$B$6,S$10,$A358,$B358)</f>
        <v>0</v>
      </c>
      <c r="T358" s="4">
        <f ca="1">_xll.DBRW($B$1,$B$2,$B$7,$B$3,$B$4,$B$5,$F358,$B$6,T$10,$A358,$B358)</f>
        <v>0</v>
      </c>
      <c r="U358" s="4">
        <f ca="1">_xll.DBRW($B$1,$B$2,$B$7,$B$3,$B$4,$B$5,$F358,$B$6,U$10,$A358,$B358)</f>
        <v>0</v>
      </c>
      <c r="V358" s="4">
        <f ca="1">_xll.DBRW($B$1,$B$2,$B$7,$B$3,$B$4,$B$5,$F358,$B$6,V$10,$A358,$B358)</f>
        <v>0</v>
      </c>
      <c r="W358" s="4">
        <f ca="1">_xll.DBRW($B$1,$B$2,$B$7,$B$3,$B$4,$B$5,$F358,$B$6,W$10,$A358,$B358)</f>
        <v>0</v>
      </c>
      <c r="X358" s="4">
        <f ca="1">_xll.DBRW($B$1,$B$2,$B$7,$B$3,$B$4,$B$5,$F358,$B$6,X$10,$A358,$B358)</f>
        <v>0</v>
      </c>
      <c r="Y358" s="4">
        <f ca="1">_xll.DBRW($B$1,$B$2,$B$7,$B$3,$B$4,$B$5,$F358,$B$6,Y$10,$A358,$B358)</f>
        <v>0</v>
      </c>
      <c r="Z358" s="4">
        <f ca="1">_xll.DBRW($B$1,$B$2,$B$7,$B$3,$B$4,$B$5,$F358,$B$6,Z$10,$A358,$B358)</f>
        <v>0</v>
      </c>
      <c r="AA358" s="4">
        <f ca="1">_xll.DBRW($B$1,$B$2,$B$7,$B$3,$B$4,$B$5,$F358,$B$6,AA$10,$A358,$B358)</f>
        <v>0</v>
      </c>
      <c r="AB358" s="4">
        <f ca="1">_xll.DBRW($B$1,$B$2,$B$7,$B$3,$B$4,$B$5,$F358,$B$6,AB$10,$A358,$B358)</f>
        <v>0</v>
      </c>
      <c r="AC358" s="4">
        <f ca="1">_xll.DBRW($B$1,$B$2,$B$7,$B$3,$B$4,$B$5,$F358,$B$6,AC$10,$A358,$B358)</f>
        <v>0</v>
      </c>
      <c r="AD358" s="4">
        <f ca="1">_xll.DBRW($B$1,$B$2,$B$7,$B$3,$B$4,$B$5,$F358,$B$6,AD$10,$A358,$B358)</f>
        <v>0</v>
      </c>
      <c r="AE358" s="4">
        <f ca="1">_xll.DBRW($B$1,$B$2,$B$7,$B$3,$B$4,$B$5,$F358,$B$6,AE$10,$A358,$B358)</f>
        <v>0</v>
      </c>
    </row>
    <row r="359" spans="1:31">
      <c r="A359" s="1" t="s">
        <v>150</v>
      </c>
      <c r="B359" s="5" t="s">
        <v>169</v>
      </c>
      <c r="C359" s="5" t="s">
        <v>170</v>
      </c>
      <c r="D359" s="5" t="s">
        <v>21</v>
      </c>
      <c r="E359" s="5" t="s">
        <v>35</v>
      </c>
      <c r="F359" s="5" t="s">
        <v>315</v>
      </c>
      <c r="G359" s="6"/>
      <c r="H359" s="6"/>
      <c r="I359" s="6"/>
      <c r="J359" s="6"/>
      <c r="K359" s="6"/>
      <c r="L359" s="4">
        <f ca="1">_xll.DBRW($B$1,$B$2,$B$7,$B$3,$B$4,$B$5,$F359,$B$6,L$10,$A359,$B359)</f>
        <v>0</v>
      </c>
      <c r="M359" s="4">
        <f ca="1">_xll.DBRW($B$1,$B$2,$B$7,$B$3,$B$4,$B$5,$F359,$B$6,M$10,$A359,$B359)</f>
        <v>0</v>
      </c>
      <c r="N359" s="4">
        <f ca="1">_xll.DBRW($B$1,$B$2,$B$7,$B$3,$B$4,$B$5,$F359,$B$6,N$10,$A359,$B359)</f>
        <v>0</v>
      </c>
      <c r="O359" s="4">
        <f ca="1">_xll.DBRW($B$1,$B$2,$B$7,$B$3,$B$4,$B$5,$F359,$B$6,O$10,$A359,$B359)</f>
        <v>0</v>
      </c>
      <c r="P359" s="4">
        <f ca="1">_xll.DBRW($B$1,$B$2,$B$7,$B$3,$B$4,$B$5,$F359,$B$6,P$10,$A359,$B359)</f>
        <v>0</v>
      </c>
      <c r="Q359" s="4">
        <f ca="1">_xll.DBRW($B$1,$B$2,$B$7,$B$3,$B$4,$B$5,$F359,$B$6,Q$10,$A359,$B359)</f>
        <v>0</v>
      </c>
      <c r="R359" s="4">
        <f ca="1">_xll.DBRW($B$1,$B$2,$B$7,$B$3,$B$4,$B$5,$F359,$B$6,R$10,$A359,$B359)</f>
        <v>0</v>
      </c>
      <c r="S359" s="4">
        <f ca="1">_xll.DBRW($B$1,$B$2,$B$7,$B$3,$B$4,$B$5,$F359,$B$6,S$10,$A359,$B359)</f>
        <v>0</v>
      </c>
      <c r="T359" s="4">
        <f ca="1">_xll.DBRW($B$1,$B$2,$B$7,$B$3,$B$4,$B$5,$F359,$B$6,T$10,$A359,$B359)</f>
        <v>0</v>
      </c>
      <c r="U359" s="4">
        <f ca="1">_xll.DBRW($B$1,$B$2,$B$7,$B$3,$B$4,$B$5,$F359,$B$6,U$10,$A359,$B359)</f>
        <v>0</v>
      </c>
      <c r="V359" s="4">
        <f ca="1">_xll.DBRW($B$1,$B$2,$B$7,$B$3,$B$4,$B$5,$F359,$B$6,V$10,$A359,$B359)</f>
        <v>0</v>
      </c>
      <c r="W359" s="4">
        <f ca="1">_xll.DBRW($B$1,$B$2,$B$7,$B$3,$B$4,$B$5,$F359,$B$6,W$10,$A359,$B359)</f>
        <v>0</v>
      </c>
      <c r="X359" s="4">
        <f ca="1">_xll.DBRW($B$1,$B$2,$B$7,$B$3,$B$4,$B$5,$F359,$B$6,X$10,$A359,$B359)</f>
        <v>0</v>
      </c>
      <c r="Y359" s="4">
        <f ca="1">_xll.DBRW($B$1,$B$2,$B$7,$B$3,$B$4,$B$5,$F359,$B$6,Y$10,$A359,$B359)</f>
        <v>0</v>
      </c>
      <c r="Z359" s="4">
        <f ca="1">_xll.DBRW($B$1,$B$2,$B$7,$B$3,$B$4,$B$5,$F359,$B$6,Z$10,$A359,$B359)</f>
        <v>0</v>
      </c>
      <c r="AA359" s="4">
        <f ca="1">_xll.DBRW($B$1,$B$2,$B$7,$B$3,$B$4,$B$5,$F359,$B$6,AA$10,$A359,$B359)</f>
        <v>0</v>
      </c>
      <c r="AB359" s="4">
        <f ca="1">_xll.DBRW($B$1,$B$2,$B$7,$B$3,$B$4,$B$5,$F359,$B$6,AB$10,$A359,$B359)</f>
        <v>0</v>
      </c>
      <c r="AC359" s="4">
        <f ca="1">_xll.DBRW($B$1,$B$2,$B$7,$B$3,$B$4,$B$5,$F359,$B$6,AC$10,$A359,$B359)</f>
        <v>0</v>
      </c>
      <c r="AD359" s="4">
        <f ca="1">_xll.DBRW($B$1,$B$2,$B$7,$B$3,$B$4,$B$5,$F359,$B$6,AD$10,$A359,$B359)</f>
        <v>0</v>
      </c>
      <c r="AE359" s="4">
        <f ca="1">_xll.DBRW($B$1,$B$2,$B$7,$B$3,$B$4,$B$5,$F359,$B$6,AE$10,$A359,$B359)</f>
        <v>0</v>
      </c>
    </row>
    <row r="360" spans="1:31">
      <c r="A360" s="1" t="s">
        <v>150</v>
      </c>
      <c r="B360" s="5" t="s">
        <v>33</v>
      </c>
      <c r="C360" s="5" t="s">
        <v>34</v>
      </c>
      <c r="D360" s="5" t="s">
        <v>35</v>
      </c>
      <c r="E360" s="5" t="s">
        <v>21</v>
      </c>
      <c r="F360" s="5" t="s">
        <v>315</v>
      </c>
      <c r="G360" s="6"/>
      <c r="H360" s="6"/>
      <c r="I360" s="6"/>
      <c r="J360" s="6"/>
      <c r="K360" s="6"/>
      <c r="L360" s="4">
        <f ca="1">_xll.DBRW($B$1,$B$2,$B$7,$B$3,$B$4,$B$5,$F360,$B$6,L$10,$A360,$B360)</f>
        <v>0</v>
      </c>
      <c r="M360" s="4">
        <f ca="1">_xll.DBRW($B$1,$B$2,$B$7,$B$3,$B$4,$B$5,$F360,$B$6,M$10,$A360,$B360)</f>
        <v>0</v>
      </c>
      <c r="N360" s="4">
        <f ca="1">_xll.DBRW($B$1,$B$2,$B$7,$B$3,$B$4,$B$5,$F360,$B$6,N$10,$A360,$B360)</f>
        <v>0</v>
      </c>
      <c r="O360" s="4">
        <f ca="1">_xll.DBRW($B$1,$B$2,$B$7,$B$3,$B$4,$B$5,$F360,$B$6,O$10,$A360,$B360)</f>
        <v>0</v>
      </c>
      <c r="P360" s="4">
        <f ca="1">_xll.DBRW($B$1,$B$2,$B$7,$B$3,$B$4,$B$5,$F360,$B$6,P$10,$A360,$B360)</f>
        <v>0</v>
      </c>
      <c r="Q360" s="4">
        <f ca="1">_xll.DBRW($B$1,$B$2,$B$7,$B$3,$B$4,$B$5,$F360,$B$6,Q$10,$A360,$B360)</f>
        <v>0</v>
      </c>
      <c r="R360" s="4">
        <f ca="1">_xll.DBRW($B$1,$B$2,$B$7,$B$3,$B$4,$B$5,$F360,$B$6,R$10,$A360,$B360)</f>
        <v>0</v>
      </c>
      <c r="S360" s="4">
        <f ca="1">_xll.DBRW($B$1,$B$2,$B$7,$B$3,$B$4,$B$5,$F360,$B$6,S$10,$A360,$B360)</f>
        <v>0</v>
      </c>
      <c r="T360" s="4">
        <f ca="1">_xll.DBRW($B$1,$B$2,$B$7,$B$3,$B$4,$B$5,$F360,$B$6,T$10,$A360,$B360)</f>
        <v>0</v>
      </c>
      <c r="U360" s="4">
        <f ca="1">_xll.DBRW($B$1,$B$2,$B$7,$B$3,$B$4,$B$5,$F360,$B$6,U$10,$A360,$B360)</f>
        <v>0</v>
      </c>
      <c r="V360" s="4">
        <f ca="1">_xll.DBRW($B$1,$B$2,$B$7,$B$3,$B$4,$B$5,$F360,$B$6,V$10,$A360,$B360)</f>
        <v>0</v>
      </c>
      <c r="W360" s="4">
        <f ca="1">_xll.DBRW($B$1,$B$2,$B$7,$B$3,$B$4,$B$5,$F360,$B$6,W$10,$A360,$B360)</f>
        <v>0</v>
      </c>
      <c r="X360" s="4">
        <f ca="1">_xll.DBRW($B$1,$B$2,$B$7,$B$3,$B$4,$B$5,$F360,$B$6,X$10,$A360,$B360)</f>
        <v>0</v>
      </c>
      <c r="Y360" s="4">
        <f ca="1">_xll.DBRW($B$1,$B$2,$B$7,$B$3,$B$4,$B$5,$F360,$B$6,Y$10,$A360,$B360)</f>
        <v>0</v>
      </c>
      <c r="Z360" s="4">
        <f ca="1">_xll.DBRW($B$1,$B$2,$B$7,$B$3,$B$4,$B$5,$F360,$B$6,Z$10,$A360,$B360)</f>
        <v>0</v>
      </c>
      <c r="AA360" s="4">
        <f ca="1">_xll.DBRW($B$1,$B$2,$B$7,$B$3,$B$4,$B$5,$F360,$B$6,AA$10,$A360,$B360)</f>
        <v>0</v>
      </c>
      <c r="AB360" s="4">
        <f ca="1">_xll.DBRW($B$1,$B$2,$B$7,$B$3,$B$4,$B$5,$F360,$B$6,AB$10,$A360,$B360)</f>
        <v>0</v>
      </c>
      <c r="AC360" s="4">
        <f ca="1">_xll.DBRW($B$1,$B$2,$B$7,$B$3,$B$4,$B$5,$F360,$B$6,AC$10,$A360,$B360)</f>
        <v>0</v>
      </c>
      <c r="AD360" s="4">
        <f ca="1">_xll.DBRW($B$1,$B$2,$B$7,$B$3,$B$4,$B$5,$F360,$B$6,AD$10,$A360,$B360)</f>
        <v>0</v>
      </c>
      <c r="AE360" s="4">
        <f ca="1">_xll.DBRW($B$1,$B$2,$B$7,$B$3,$B$4,$B$5,$F360,$B$6,AE$10,$A360,$B360)</f>
        <v>0</v>
      </c>
    </row>
    <row r="361" spans="1:31">
      <c r="A361" s="1" t="s">
        <v>150</v>
      </c>
      <c r="B361" s="5" t="s">
        <v>171</v>
      </c>
      <c r="C361" s="5" t="s">
        <v>163</v>
      </c>
      <c r="D361" s="5" t="s">
        <v>21</v>
      </c>
      <c r="E361" s="5" t="s">
        <v>54</v>
      </c>
      <c r="F361" s="5" t="s">
        <v>315</v>
      </c>
      <c r="G361" s="6"/>
      <c r="H361" s="6"/>
      <c r="I361" s="6"/>
      <c r="J361" s="6"/>
      <c r="K361" s="6"/>
      <c r="L361" s="4">
        <f ca="1">_xll.DBRW($B$1,$B$2,$B$7,$B$3,$B$4,$B$5,$F361,$B$6,L$10,$A361,$B361)</f>
        <v>0</v>
      </c>
      <c r="M361" s="4">
        <f ca="1">_xll.DBRW($B$1,$B$2,$B$7,$B$3,$B$4,$B$5,$F361,$B$6,M$10,$A361,$B361)</f>
        <v>0</v>
      </c>
      <c r="N361" s="4">
        <f ca="1">_xll.DBRW($B$1,$B$2,$B$7,$B$3,$B$4,$B$5,$F361,$B$6,N$10,$A361,$B361)</f>
        <v>0</v>
      </c>
      <c r="O361" s="4">
        <f ca="1">_xll.DBRW($B$1,$B$2,$B$7,$B$3,$B$4,$B$5,$F361,$B$6,O$10,$A361,$B361)</f>
        <v>0</v>
      </c>
      <c r="P361" s="4">
        <f ca="1">_xll.DBRW($B$1,$B$2,$B$7,$B$3,$B$4,$B$5,$F361,$B$6,P$10,$A361,$B361)</f>
        <v>0</v>
      </c>
      <c r="Q361" s="4">
        <f ca="1">_xll.DBRW($B$1,$B$2,$B$7,$B$3,$B$4,$B$5,$F361,$B$6,Q$10,$A361,$B361)</f>
        <v>0</v>
      </c>
      <c r="R361" s="4">
        <f ca="1">_xll.DBRW($B$1,$B$2,$B$7,$B$3,$B$4,$B$5,$F361,$B$6,R$10,$A361,$B361)</f>
        <v>0</v>
      </c>
      <c r="S361" s="4">
        <f ca="1">_xll.DBRW($B$1,$B$2,$B$7,$B$3,$B$4,$B$5,$F361,$B$6,S$10,$A361,$B361)</f>
        <v>0</v>
      </c>
      <c r="T361" s="4">
        <f ca="1">_xll.DBRW($B$1,$B$2,$B$7,$B$3,$B$4,$B$5,$F361,$B$6,T$10,$A361,$B361)</f>
        <v>0</v>
      </c>
      <c r="U361" s="4">
        <f ca="1">_xll.DBRW($B$1,$B$2,$B$7,$B$3,$B$4,$B$5,$F361,$B$6,U$10,$A361,$B361)</f>
        <v>0</v>
      </c>
      <c r="V361" s="4">
        <f ca="1">_xll.DBRW($B$1,$B$2,$B$7,$B$3,$B$4,$B$5,$F361,$B$6,V$10,$A361,$B361)</f>
        <v>0</v>
      </c>
      <c r="W361" s="4">
        <f ca="1">_xll.DBRW($B$1,$B$2,$B$7,$B$3,$B$4,$B$5,$F361,$B$6,W$10,$A361,$B361)</f>
        <v>0</v>
      </c>
      <c r="X361" s="4">
        <f ca="1">_xll.DBRW($B$1,$B$2,$B$7,$B$3,$B$4,$B$5,$F361,$B$6,X$10,$A361,$B361)</f>
        <v>0</v>
      </c>
      <c r="Y361" s="4">
        <f ca="1">_xll.DBRW($B$1,$B$2,$B$7,$B$3,$B$4,$B$5,$F361,$B$6,Y$10,$A361,$B361)</f>
        <v>0</v>
      </c>
      <c r="Z361" s="4">
        <f ca="1">_xll.DBRW($B$1,$B$2,$B$7,$B$3,$B$4,$B$5,$F361,$B$6,Z$10,$A361,$B361)</f>
        <v>0</v>
      </c>
      <c r="AA361" s="4">
        <f ca="1">_xll.DBRW($B$1,$B$2,$B$7,$B$3,$B$4,$B$5,$F361,$B$6,AA$10,$A361,$B361)</f>
        <v>0</v>
      </c>
      <c r="AB361" s="4">
        <f ca="1">_xll.DBRW($B$1,$B$2,$B$7,$B$3,$B$4,$B$5,$F361,$B$6,AB$10,$A361,$B361)</f>
        <v>0</v>
      </c>
      <c r="AC361" s="4">
        <f ca="1">_xll.DBRW($B$1,$B$2,$B$7,$B$3,$B$4,$B$5,$F361,$B$6,AC$10,$A361,$B361)</f>
        <v>0</v>
      </c>
      <c r="AD361" s="4">
        <f ca="1">_xll.DBRW($B$1,$B$2,$B$7,$B$3,$B$4,$B$5,$F361,$B$6,AD$10,$A361,$B361)</f>
        <v>0</v>
      </c>
      <c r="AE361" s="4">
        <f ca="1">_xll.DBRW($B$1,$B$2,$B$7,$B$3,$B$4,$B$5,$F361,$B$6,AE$10,$A361,$B361)</f>
        <v>0</v>
      </c>
    </row>
    <row r="362" spans="1:31">
      <c r="A362" s="1" t="s">
        <v>150</v>
      </c>
      <c r="B362" s="5" t="s">
        <v>55</v>
      </c>
      <c r="C362" s="5" t="s">
        <v>53</v>
      </c>
      <c r="D362" s="5" t="s">
        <v>54</v>
      </c>
      <c r="E362" s="5" t="s">
        <v>21</v>
      </c>
      <c r="F362" s="5" t="s">
        <v>315</v>
      </c>
      <c r="G362" s="6"/>
      <c r="H362" s="6"/>
      <c r="I362" s="6"/>
      <c r="J362" s="6"/>
      <c r="K362" s="6"/>
      <c r="L362" s="4">
        <f ca="1">_xll.DBRW($B$1,$B$2,$B$7,$B$3,$B$4,$B$5,$F362,$B$6,L$10,$A362,$B362)</f>
        <v>0</v>
      </c>
      <c r="M362" s="4">
        <f ca="1">_xll.DBRW($B$1,$B$2,$B$7,$B$3,$B$4,$B$5,$F362,$B$6,M$10,$A362,$B362)</f>
        <v>0</v>
      </c>
      <c r="N362" s="4">
        <f ca="1">_xll.DBRW($B$1,$B$2,$B$7,$B$3,$B$4,$B$5,$F362,$B$6,N$10,$A362,$B362)</f>
        <v>0</v>
      </c>
      <c r="O362" s="4">
        <f ca="1">_xll.DBRW($B$1,$B$2,$B$7,$B$3,$B$4,$B$5,$F362,$B$6,O$10,$A362,$B362)</f>
        <v>0</v>
      </c>
      <c r="P362" s="4">
        <f ca="1">_xll.DBRW($B$1,$B$2,$B$7,$B$3,$B$4,$B$5,$F362,$B$6,P$10,$A362,$B362)</f>
        <v>0</v>
      </c>
      <c r="Q362" s="4">
        <f ca="1">_xll.DBRW($B$1,$B$2,$B$7,$B$3,$B$4,$B$5,$F362,$B$6,Q$10,$A362,$B362)</f>
        <v>0</v>
      </c>
      <c r="R362" s="4">
        <f ca="1">_xll.DBRW($B$1,$B$2,$B$7,$B$3,$B$4,$B$5,$F362,$B$6,R$10,$A362,$B362)</f>
        <v>0</v>
      </c>
      <c r="S362" s="4">
        <f ca="1">_xll.DBRW($B$1,$B$2,$B$7,$B$3,$B$4,$B$5,$F362,$B$6,S$10,$A362,$B362)</f>
        <v>0</v>
      </c>
      <c r="T362" s="4">
        <f ca="1">_xll.DBRW($B$1,$B$2,$B$7,$B$3,$B$4,$B$5,$F362,$B$6,T$10,$A362,$B362)</f>
        <v>0</v>
      </c>
      <c r="U362" s="4">
        <f ca="1">_xll.DBRW($B$1,$B$2,$B$7,$B$3,$B$4,$B$5,$F362,$B$6,U$10,$A362,$B362)</f>
        <v>0</v>
      </c>
      <c r="V362" s="4">
        <f ca="1">_xll.DBRW($B$1,$B$2,$B$7,$B$3,$B$4,$B$5,$F362,$B$6,V$10,$A362,$B362)</f>
        <v>0</v>
      </c>
      <c r="W362" s="4">
        <f ca="1">_xll.DBRW($B$1,$B$2,$B$7,$B$3,$B$4,$B$5,$F362,$B$6,W$10,$A362,$B362)</f>
        <v>0</v>
      </c>
      <c r="X362" s="4">
        <f ca="1">_xll.DBRW($B$1,$B$2,$B$7,$B$3,$B$4,$B$5,$F362,$B$6,X$10,$A362,$B362)</f>
        <v>0</v>
      </c>
      <c r="Y362" s="4">
        <f ca="1">_xll.DBRW($B$1,$B$2,$B$7,$B$3,$B$4,$B$5,$F362,$B$6,Y$10,$A362,$B362)</f>
        <v>0</v>
      </c>
      <c r="Z362" s="4">
        <f ca="1">_xll.DBRW($B$1,$B$2,$B$7,$B$3,$B$4,$B$5,$F362,$B$6,Z$10,$A362,$B362)</f>
        <v>0</v>
      </c>
      <c r="AA362" s="4">
        <f ca="1">_xll.DBRW($B$1,$B$2,$B$7,$B$3,$B$4,$B$5,$F362,$B$6,AA$10,$A362,$B362)</f>
        <v>0</v>
      </c>
      <c r="AB362" s="4">
        <f ca="1">_xll.DBRW($B$1,$B$2,$B$7,$B$3,$B$4,$B$5,$F362,$B$6,AB$10,$A362,$B362)</f>
        <v>0</v>
      </c>
      <c r="AC362" s="4">
        <f ca="1">_xll.DBRW($B$1,$B$2,$B$7,$B$3,$B$4,$B$5,$F362,$B$6,AC$10,$A362,$B362)</f>
        <v>0</v>
      </c>
      <c r="AD362" s="4">
        <f ca="1">_xll.DBRW($B$1,$B$2,$B$7,$B$3,$B$4,$B$5,$F362,$B$6,AD$10,$A362,$B362)</f>
        <v>0</v>
      </c>
      <c r="AE362" s="4">
        <f ca="1">_xll.DBRW($B$1,$B$2,$B$7,$B$3,$B$4,$B$5,$F362,$B$6,AE$10,$A362,$B362)</f>
        <v>0</v>
      </c>
    </row>
    <row r="363" spans="1:31">
      <c r="A363" s="1" t="s">
        <v>150</v>
      </c>
      <c r="B363" s="5" t="s">
        <v>172</v>
      </c>
      <c r="C363" s="5" t="s">
        <v>159</v>
      </c>
      <c r="D363" s="5" t="s">
        <v>21</v>
      </c>
      <c r="E363" s="5" t="s">
        <v>38</v>
      </c>
      <c r="F363" s="5" t="s">
        <v>315</v>
      </c>
      <c r="G363" s="6"/>
      <c r="H363" s="6"/>
      <c r="I363" s="6"/>
      <c r="J363" s="6"/>
      <c r="K363" s="6"/>
      <c r="L363" s="4">
        <f ca="1">_xll.DBRW($B$1,$B$2,$B$7,$B$3,$B$4,$B$5,$F363,$B$6,L$10,$A363,$B363)</f>
        <v>0</v>
      </c>
      <c r="M363" s="4">
        <f ca="1">_xll.DBRW($B$1,$B$2,$B$7,$B$3,$B$4,$B$5,$F363,$B$6,M$10,$A363,$B363)</f>
        <v>0</v>
      </c>
      <c r="N363" s="4">
        <f ca="1">_xll.DBRW($B$1,$B$2,$B$7,$B$3,$B$4,$B$5,$F363,$B$6,N$10,$A363,$B363)</f>
        <v>0</v>
      </c>
      <c r="O363" s="4">
        <f ca="1">_xll.DBRW($B$1,$B$2,$B$7,$B$3,$B$4,$B$5,$F363,$B$6,O$10,$A363,$B363)</f>
        <v>0</v>
      </c>
      <c r="P363" s="4">
        <f ca="1">_xll.DBRW($B$1,$B$2,$B$7,$B$3,$B$4,$B$5,$F363,$B$6,P$10,$A363,$B363)</f>
        <v>0</v>
      </c>
      <c r="Q363" s="4">
        <f ca="1">_xll.DBRW($B$1,$B$2,$B$7,$B$3,$B$4,$B$5,$F363,$B$6,Q$10,$A363,$B363)</f>
        <v>0</v>
      </c>
      <c r="R363" s="4">
        <f ca="1">_xll.DBRW($B$1,$B$2,$B$7,$B$3,$B$4,$B$5,$F363,$B$6,R$10,$A363,$B363)</f>
        <v>0</v>
      </c>
      <c r="S363" s="4">
        <f ca="1">_xll.DBRW($B$1,$B$2,$B$7,$B$3,$B$4,$B$5,$F363,$B$6,S$10,$A363,$B363)</f>
        <v>0</v>
      </c>
      <c r="T363" s="4">
        <f ca="1">_xll.DBRW($B$1,$B$2,$B$7,$B$3,$B$4,$B$5,$F363,$B$6,T$10,$A363,$B363)</f>
        <v>0</v>
      </c>
      <c r="U363" s="4">
        <f ca="1">_xll.DBRW($B$1,$B$2,$B$7,$B$3,$B$4,$B$5,$F363,$B$6,U$10,$A363,$B363)</f>
        <v>0</v>
      </c>
      <c r="V363" s="4">
        <f ca="1">_xll.DBRW($B$1,$B$2,$B$7,$B$3,$B$4,$B$5,$F363,$B$6,V$10,$A363,$B363)</f>
        <v>0</v>
      </c>
      <c r="W363" s="4">
        <f ca="1">_xll.DBRW($B$1,$B$2,$B$7,$B$3,$B$4,$B$5,$F363,$B$6,W$10,$A363,$B363)</f>
        <v>0</v>
      </c>
      <c r="X363" s="4">
        <f ca="1">_xll.DBRW($B$1,$B$2,$B$7,$B$3,$B$4,$B$5,$F363,$B$6,X$10,$A363,$B363)</f>
        <v>0</v>
      </c>
      <c r="Y363" s="4">
        <f ca="1">_xll.DBRW($B$1,$B$2,$B$7,$B$3,$B$4,$B$5,$F363,$B$6,Y$10,$A363,$B363)</f>
        <v>0</v>
      </c>
      <c r="Z363" s="4">
        <f ca="1">_xll.DBRW($B$1,$B$2,$B$7,$B$3,$B$4,$B$5,$F363,$B$6,Z$10,$A363,$B363)</f>
        <v>0</v>
      </c>
      <c r="AA363" s="4">
        <f ca="1">_xll.DBRW($B$1,$B$2,$B$7,$B$3,$B$4,$B$5,$F363,$B$6,AA$10,$A363,$B363)</f>
        <v>0</v>
      </c>
      <c r="AB363" s="4">
        <f ca="1">_xll.DBRW($B$1,$B$2,$B$7,$B$3,$B$4,$B$5,$F363,$B$6,AB$10,$A363,$B363)</f>
        <v>0</v>
      </c>
      <c r="AC363" s="4">
        <f ca="1">_xll.DBRW($B$1,$B$2,$B$7,$B$3,$B$4,$B$5,$F363,$B$6,AC$10,$A363,$B363)</f>
        <v>0</v>
      </c>
      <c r="AD363" s="4">
        <f ca="1">_xll.DBRW($B$1,$B$2,$B$7,$B$3,$B$4,$B$5,$F363,$B$6,AD$10,$A363,$B363)</f>
        <v>0</v>
      </c>
      <c r="AE363" s="4">
        <f ca="1">_xll.DBRW($B$1,$B$2,$B$7,$B$3,$B$4,$B$5,$F363,$B$6,AE$10,$A363,$B363)</f>
        <v>0</v>
      </c>
    </row>
    <row r="364" spans="1:31">
      <c r="A364" s="1" t="s">
        <v>150</v>
      </c>
      <c r="B364" s="5" t="s">
        <v>40</v>
      </c>
      <c r="C364" s="5" t="s">
        <v>37</v>
      </c>
      <c r="D364" s="5" t="s">
        <v>38</v>
      </c>
      <c r="E364" s="5" t="s">
        <v>21</v>
      </c>
      <c r="F364" s="5" t="s">
        <v>315</v>
      </c>
      <c r="G364" s="6"/>
      <c r="H364" s="6"/>
      <c r="I364" s="6"/>
      <c r="J364" s="6"/>
      <c r="K364" s="6"/>
      <c r="L364" s="4">
        <f ca="1">_xll.DBRW($B$1,$B$2,$B$7,$B$3,$B$4,$B$5,$F364,$B$6,L$10,$A364,$B364)</f>
        <v>0</v>
      </c>
      <c r="M364" s="4">
        <f ca="1">_xll.DBRW($B$1,$B$2,$B$7,$B$3,$B$4,$B$5,$F364,$B$6,M$10,$A364,$B364)</f>
        <v>0</v>
      </c>
      <c r="N364" s="4">
        <f ca="1">_xll.DBRW($B$1,$B$2,$B$7,$B$3,$B$4,$B$5,$F364,$B$6,N$10,$A364,$B364)</f>
        <v>0</v>
      </c>
      <c r="O364" s="4">
        <f ca="1">_xll.DBRW($B$1,$B$2,$B$7,$B$3,$B$4,$B$5,$F364,$B$6,O$10,$A364,$B364)</f>
        <v>0</v>
      </c>
      <c r="P364" s="4">
        <f ca="1">_xll.DBRW($B$1,$B$2,$B$7,$B$3,$B$4,$B$5,$F364,$B$6,P$10,$A364,$B364)</f>
        <v>0</v>
      </c>
      <c r="Q364" s="4">
        <f ca="1">_xll.DBRW($B$1,$B$2,$B$7,$B$3,$B$4,$B$5,$F364,$B$6,Q$10,$A364,$B364)</f>
        <v>0</v>
      </c>
      <c r="R364" s="4">
        <f ca="1">_xll.DBRW($B$1,$B$2,$B$7,$B$3,$B$4,$B$5,$F364,$B$6,R$10,$A364,$B364)</f>
        <v>0</v>
      </c>
      <c r="S364" s="4">
        <f ca="1">_xll.DBRW($B$1,$B$2,$B$7,$B$3,$B$4,$B$5,$F364,$B$6,S$10,$A364,$B364)</f>
        <v>0</v>
      </c>
      <c r="T364" s="4">
        <f ca="1">_xll.DBRW($B$1,$B$2,$B$7,$B$3,$B$4,$B$5,$F364,$B$6,T$10,$A364,$B364)</f>
        <v>0</v>
      </c>
      <c r="U364" s="4">
        <f ca="1">_xll.DBRW($B$1,$B$2,$B$7,$B$3,$B$4,$B$5,$F364,$B$6,U$10,$A364,$B364)</f>
        <v>0</v>
      </c>
      <c r="V364" s="4">
        <f ca="1">_xll.DBRW($B$1,$B$2,$B$7,$B$3,$B$4,$B$5,$F364,$B$6,V$10,$A364,$B364)</f>
        <v>0</v>
      </c>
      <c r="W364" s="4">
        <f ca="1">_xll.DBRW($B$1,$B$2,$B$7,$B$3,$B$4,$B$5,$F364,$B$6,W$10,$A364,$B364)</f>
        <v>0</v>
      </c>
      <c r="X364" s="4">
        <f ca="1">_xll.DBRW($B$1,$B$2,$B$7,$B$3,$B$4,$B$5,$F364,$B$6,X$10,$A364,$B364)</f>
        <v>0</v>
      </c>
      <c r="Y364" s="4">
        <f ca="1">_xll.DBRW($B$1,$B$2,$B$7,$B$3,$B$4,$B$5,$F364,$B$6,Y$10,$A364,$B364)</f>
        <v>0</v>
      </c>
      <c r="Z364" s="4">
        <f ca="1">_xll.DBRW($B$1,$B$2,$B$7,$B$3,$B$4,$B$5,$F364,$B$6,Z$10,$A364,$B364)</f>
        <v>0</v>
      </c>
      <c r="AA364" s="4">
        <f ca="1">_xll.DBRW($B$1,$B$2,$B$7,$B$3,$B$4,$B$5,$F364,$B$6,AA$10,$A364,$B364)</f>
        <v>0</v>
      </c>
      <c r="AB364" s="4">
        <f ca="1">_xll.DBRW($B$1,$B$2,$B$7,$B$3,$B$4,$B$5,$F364,$B$6,AB$10,$A364,$B364)</f>
        <v>0</v>
      </c>
      <c r="AC364" s="4">
        <f ca="1">_xll.DBRW($B$1,$B$2,$B$7,$B$3,$B$4,$B$5,$F364,$B$6,AC$10,$A364,$B364)</f>
        <v>0</v>
      </c>
      <c r="AD364" s="4">
        <f ca="1">_xll.DBRW($B$1,$B$2,$B$7,$B$3,$B$4,$B$5,$F364,$B$6,AD$10,$A364,$B364)</f>
        <v>0</v>
      </c>
      <c r="AE364" s="4">
        <f ca="1">_xll.DBRW($B$1,$B$2,$B$7,$B$3,$B$4,$B$5,$F364,$B$6,AE$10,$A364,$B364)</f>
        <v>0</v>
      </c>
    </row>
    <row r="365" spans="1:31">
      <c r="A365" s="1" t="s">
        <v>150</v>
      </c>
      <c r="B365" s="5" t="s">
        <v>173</v>
      </c>
      <c r="C365" s="5" t="s">
        <v>168</v>
      </c>
      <c r="D365" s="5" t="s">
        <v>21</v>
      </c>
      <c r="E365" s="5" t="s">
        <v>76</v>
      </c>
      <c r="F365" s="5" t="s">
        <v>315</v>
      </c>
      <c r="G365" s="6"/>
      <c r="H365" s="6"/>
      <c r="I365" s="6"/>
      <c r="J365" s="6"/>
      <c r="K365" s="6"/>
      <c r="L365" s="4">
        <f ca="1">_xll.DBRW($B$1,$B$2,$B$7,$B$3,$B$4,$B$5,$F365,$B$6,L$10,$A365,$B365)</f>
        <v>0</v>
      </c>
      <c r="M365" s="4">
        <f ca="1">_xll.DBRW($B$1,$B$2,$B$7,$B$3,$B$4,$B$5,$F365,$B$6,M$10,$A365,$B365)</f>
        <v>0</v>
      </c>
      <c r="N365" s="4">
        <f ca="1">_xll.DBRW($B$1,$B$2,$B$7,$B$3,$B$4,$B$5,$F365,$B$6,N$10,$A365,$B365)</f>
        <v>0</v>
      </c>
      <c r="O365" s="4">
        <f ca="1">_xll.DBRW($B$1,$B$2,$B$7,$B$3,$B$4,$B$5,$F365,$B$6,O$10,$A365,$B365)</f>
        <v>0</v>
      </c>
      <c r="P365" s="4">
        <f ca="1">_xll.DBRW($B$1,$B$2,$B$7,$B$3,$B$4,$B$5,$F365,$B$6,P$10,$A365,$B365)</f>
        <v>0</v>
      </c>
      <c r="Q365" s="4">
        <f ca="1">_xll.DBRW($B$1,$B$2,$B$7,$B$3,$B$4,$B$5,$F365,$B$6,Q$10,$A365,$B365)</f>
        <v>0</v>
      </c>
      <c r="R365" s="4">
        <f ca="1">_xll.DBRW($B$1,$B$2,$B$7,$B$3,$B$4,$B$5,$F365,$B$6,R$10,$A365,$B365)</f>
        <v>0</v>
      </c>
      <c r="S365" s="4">
        <f ca="1">_xll.DBRW($B$1,$B$2,$B$7,$B$3,$B$4,$B$5,$F365,$B$6,S$10,$A365,$B365)</f>
        <v>0</v>
      </c>
      <c r="T365" s="4">
        <f ca="1">_xll.DBRW($B$1,$B$2,$B$7,$B$3,$B$4,$B$5,$F365,$B$6,T$10,$A365,$B365)</f>
        <v>0</v>
      </c>
      <c r="U365" s="4">
        <f ca="1">_xll.DBRW($B$1,$B$2,$B$7,$B$3,$B$4,$B$5,$F365,$B$6,U$10,$A365,$B365)</f>
        <v>0</v>
      </c>
      <c r="V365" s="4">
        <f ca="1">_xll.DBRW($B$1,$B$2,$B$7,$B$3,$B$4,$B$5,$F365,$B$6,V$10,$A365,$B365)</f>
        <v>0</v>
      </c>
      <c r="W365" s="4">
        <f ca="1">_xll.DBRW($B$1,$B$2,$B$7,$B$3,$B$4,$B$5,$F365,$B$6,W$10,$A365,$B365)</f>
        <v>0</v>
      </c>
      <c r="X365" s="4">
        <f ca="1">_xll.DBRW($B$1,$B$2,$B$7,$B$3,$B$4,$B$5,$F365,$B$6,X$10,$A365,$B365)</f>
        <v>0</v>
      </c>
      <c r="Y365" s="4">
        <f ca="1">_xll.DBRW($B$1,$B$2,$B$7,$B$3,$B$4,$B$5,$F365,$B$6,Y$10,$A365,$B365)</f>
        <v>0</v>
      </c>
      <c r="Z365" s="4">
        <f ca="1">_xll.DBRW($B$1,$B$2,$B$7,$B$3,$B$4,$B$5,$F365,$B$6,Z$10,$A365,$B365)</f>
        <v>0</v>
      </c>
      <c r="AA365" s="4">
        <f ca="1">_xll.DBRW($B$1,$B$2,$B$7,$B$3,$B$4,$B$5,$F365,$B$6,AA$10,$A365,$B365)</f>
        <v>0</v>
      </c>
      <c r="AB365" s="4">
        <f ca="1">_xll.DBRW($B$1,$B$2,$B$7,$B$3,$B$4,$B$5,$F365,$B$6,AB$10,$A365,$B365)</f>
        <v>0</v>
      </c>
      <c r="AC365" s="4">
        <f ca="1">_xll.DBRW($B$1,$B$2,$B$7,$B$3,$B$4,$B$5,$F365,$B$6,AC$10,$A365,$B365)</f>
        <v>0</v>
      </c>
      <c r="AD365" s="4">
        <f ca="1">_xll.DBRW($B$1,$B$2,$B$7,$B$3,$B$4,$B$5,$F365,$B$6,AD$10,$A365,$B365)</f>
        <v>0</v>
      </c>
      <c r="AE365" s="4">
        <f ca="1">_xll.DBRW($B$1,$B$2,$B$7,$B$3,$B$4,$B$5,$F365,$B$6,AE$10,$A365,$B365)</f>
        <v>0</v>
      </c>
    </row>
    <row r="366" spans="1:31">
      <c r="A366" s="1" t="s">
        <v>150</v>
      </c>
      <c r="B366" s="5" t="s">
        <v>77</v>
      </c>
      <c r="C366" s="5" t="s">
        <v>75</v>
      </c>
      <c r="D366" s="5" t="s">
        <v>76</v>
      </c>
      <c r="E366" s="5" t="s">
        <v>21</v>
      </c>
      <c r="F366" s="5" t="s">
        <v>315</v>
      </c>
      <c r="G366" s="6"/>
      <c r="H366" s="6"/>
      <c r="I366" s="6"/>
      <c r="J366" s="6"/>
      <c r="K366" s="6"/>
      <c r="L366" s="4">
        <f ca="1">_xll.DBRW($B$1,$B$2,$B$7,$B$3,$B$4,$B$5,$F366,$B$6,L$10,$A366,$B366)</f>
        <v>0</v>
      </c>
      <c r="M366" s="4">
        <f ca="1">_xll.DBRW($B$1,$B$2,$B$7,$B$3,$B$4,$B$5,$F366,$B$6,M$10,$A366,$B366)</f>
        <v>0</v>
      </c>
      <c r="N366" s="4">
        <f ca="1">_xll.DBRW($B$1,$B$2,$B$7,$B$3,$B$4,$B$5,$F366,$B$6,N$10,$A366,$B366)</f>
        <v>0</v>
      </c>
      <c r="O366" s="4">
        <f ca="1">_xll.DBRW($B$1,$B$2,$B$7,$B$3,$B$4,$B$5,$F366,$B$6,O$10,$A366,$B366)</f>
        <v>0</v>
      </c>
      <c r="P366" s="4">
        <f ca="1">_xll.DBRW($B$1,$B$2,$B$7,$B$3,$B$4,$B$5,$F366,$B$6,P$10,$A366,$B366)</f>
        <v>0</v>
      </c>
      <c r="Q366" s="4">
        <f ca="1">_xll.DBRW($B$1,$B$2,$B$7,$B$3,$B$4,$B$5,$F366,$B$6,Q$10,$A366,$B366)</f>
        <v>0</v>
      </c>
      <c r="R366" s="4">
        <f ca="1">_xll.DBRW($B$1,$B$2,$B$7,$B$3,$B$4,$B$5,$F366,$B$6,R$10,$A366,$B366)</f>
        <v>0</v>
      </c>
      <c r="S366" s="4">
        <f ca="1">_xll.DBRW($B$1,$B$2,$B$7,$B$3,$B$4,$B$5,$F366,$B$6,S$10,$A366,$B366)</f>
        <v>0</v>
      </c>
      <c r="T366" s="4">
        <f ca="1">_xll.DBRW($B$1,$B$2,$B$7,$B$3,$B$4,$B$5,$F366,$B$6,T$10,$A366,$B366)</f>
        <v>0</v>
      </c>
      <c r="U366" s="4">
        <f ca="1">_xll.DBRW($B$1,$B$2,$B$7,$B$3,$B$4,$B$5,$F366,$B$6,U$10,$A366,$B366)</f>
        <v>0</v>
      </c>
      <c r="V366" s="4">
        <f ca="1">_xll.DBRW($B$1,$B$2,$B$7,$B$3,$B$4,$B$5,$F366,$B$6,V$10,$A366,$B366)</f>
        <v>0</v>
      </c>
      <c r="W366" s="4">
        <f ca="1">_xll.DBRW($B$1,$B$2,$B$7,$B$3,$B$4,$B$5,$F366,$B$6,W$10,$A366,$B366)</f>
        <v>0</v>
      </c>
      <c r="X366" s="4">
        <f ca="1">_xll.DBRW($B$1,$B$2,$B$7,$B$3,$B$4,$B$5,$F366,$B$6,X$10,$A366,$B366)</f>
        <v>0</v>
      </c>
      <c r="Y366" s="4">
        <f ca="1">_xll.DBRW($B$1,$B$2,$B$7,$B$3,$B$4,$B$5,$F366,$B$6,Y$10,$A366,$B366)</f>
        <v>0</v>
      </c>
      <c r="Z366" s="4">
        <f ca="1">_xll.DBRW($B$1,$B$2,$B$7,$B$3,$B$4,$B$5,$F366,$B$6,Z$10,$A366,$B366)</f>
        <v>0</v>
      </c>
      <c r="AA366" s="4">
        <f ca="1">_xll.DBRW($B$1,$B$2,$B$7,$B$3,$B$4,$B$5,$F366,$B$6,AA$10,$A366,$B366)</f>
        <v>0</v>
      </c>
      <c r="AB366" s="4">
        <f ca="1">_xll.DBRW($B$1,$B$2,$B$7,$B$3,$B$4,$B$5,$F366,$B$6,AB$10,$A366,$B366)</f>
        <v>0</v>
      </c>
      <c r="AC366" s="4">
        <f ca="1">_xll.DBRW($B$1,$B$2,$B$7,$B$3,$B$4,$B$5,$F366,$B$6,AC$10,$A366,$B366)</f>
        <v>0</v>
      </c>
      <c r="AD366" s="4">
        <f ca="1">_xll.DBRW($B$1,$B$2,$B$7,$B$3,$B$4,$B$5,$F366,$B$6,AD$10,$A366,$B366)</f>
        <v>0</v>
      </c>
      <c r="AE366" s="4">
        <f ca="1">_xll.DBRW($B$1,$B$2,$B$7,$B$3,$B$4,$B$5,$F366,$B$6,AE$10,$A366,$B366)</f>
        <v>0</v>
      </c>
    </row>
    <row r="367" spans="1:31">
      <c r="A367" s="1" t="s">
        <v>150</v>
      </c>
      <c r="B367" s="5" t="s">
        <v>174</v>
      </c>
      <c r="C367" s="5" t="s">
        <v>159</v>
      </c>
      <c r="D367" s="5" t="s">
        <v>21</v>
      </c>
      <c r="E367" s="5" t="s">
        <v>38</v>
      </c>
      <c r="F367" s="5" t="s">
        <v>315</v>
      </c>
      <c r="G367" s="6"/>
      <c r="H367" s="6"/>
      <c r="I367" s="6"/>
      <c r="J367" s="6"/>
      <c r="K367" s="6"/>
      <c r="L367" s="4">
        <f ca="1">_xll.DBRW($B$1,$B$2,$B$7,$B$3,$B$4,$B$5,$F367,$B$6,L$10,$A367,$B367)</f>
        <v>0</v>
      </c>
      <c r="M367" s="4">
        <f ca="1">_xll.DBRW($B$1,$B$2,$B$7,$B$3,$B$4,$B$5,$F367,$B$6,M$10,$A367,$B367)</f>
        <v>0</v>
      </c>
      <c r="N367" s="4">
        <f ca="1">_xll.DBRW($B$1,$B$2,$B$7,$B$3,$B$4,$B$5,$F367,$B$6,N$10,$A367,$B367)</f>
        <v>0</v>
      </c>
      <c r="O367" s="4">
        <f ca="1">_xll.DBRW($B$1,$B$2,$B$7,$B$3,$B$4,$B$5,$F367,$B$6,O$10,$A367,$B367)</f>
        <v>0</v>
      </c>
      <c r="P367" s="4">
        <f ca="1">_xll.DBRW($B$1,$B$2,$B$7,$B$3,$B$4,$B$5,$F367,$B$6,P$10,$A367,$B367)</f>
        <v>0</v>
      </c>
      <c r="Q367" s="4">
        <f ca="1">_xll.DBRW($B$1,$B$2,$B$7,$B$3,$B$4,$B$5,$F367,$B$6,Q$10,$A367,$B367)</f>
        <v>1</v>
      </c>
      <c r="R367" s="4">
        <f ca="1">_xll.DBRW($B$1,$B$2,$B$7,$B$3,$B$4,$B$5,$F367,$B$6,R$10,$A367,$B367)</f>
        <v>4</v>
      </c>
      <c r="S367" s="4">
        <f ca="1">_xll.DBRW($B$1,$B$2,$B$7,$B$3,$B$4,$B$5,$F367,$B$6,S$10,$A367,$B367)</f>
        <v>5</v>
      </c>
      <c r="T367" s="4">
        <f ca="1">_xll.DBRW($B$1,$B$2,$B$7,$B$3,$B$4,$B$5,$F367,$B$6,T$10,$A367,$B367)</f>
        <v>0</v>
      </c>
      <c r="U367" s="4">
        <f ca="1">_xll.DBRW($B$1,$B$2,$B$7,$B$3,$B$4,$B$5,$F367,$B$6,U$10,$A367,$B367)</f>
        <v>0</v>
      </c>
      <c r="V367" s="4">
        <f ca="1">_xll.DBRW($B$1,$B$2,$B$7,$B$3,$B$4,$B$5,$F367,$B$6,V$10,$A367,$B367)</f>
        <v>0</v>
      </c>
      <c r="W367" s="4">
        <f ca="1">_xll.DBRW($B$1,$B$2,$B$7,$B$3,$B$4,$B$5,$F367,$B$6,W$10,$A367,$B367)</f>
        <v>0</v>
      </c>
      <c r="X367" s="4">
        <f ca="1">_xll.DBRW($B$1,$B$2,$B$7,$B$3,$B$4,$B$5,$F367,$B$6,X$10,$A367,$B367)</f>
        <v>0</v>
      </c>
      <c r="Y367" s="4">
        <f ca="1">_xll.DBRW($B$1,$B$2,$B$7,$B$3,$B$4,$B$5,$F367,$B$6,Y$10,$A367,$B367)</f>
        <v>0</v>
      </c>
      <c r="Z367" s="4">
        <f ca="1">_xll.DBRW($B$1,$B$2,$B$7,$B$3,$B$4,$B$5,$F367,$B$6,Z$10,$A367,$B367)</f>
        <v>0</v>
      </c>
      <c r="AA367" s="4">
        <f ca="1">_xll.DBRW($B$1,$B$2,$B$7,$B$3,$B$4,$B$5,$F367,$B$6,AA$10,$A367,$B367)</f>
        <v>0</v>
      </c>
      <c r="AB367" s="4">
        <f ca="1">_xll.DBRW($B$1,$B$2,$B$7,$B$3,$B$4,$B$5,$F367,$B$6,AB$10,$A367,$B367)</f>
        <v>0</v>
      </c>
      <c r="AC367" s="4">
        <f ca="1">_xll.DBRW($B$1,$B$2,$B$7,$B$3,$B$4,$B$5,$F367,$B$6,AC$10,$A367,$B367)</f>
        <v>0</v>
      </c>
      <c r="AD367" s="4">
        <f ca="1">_xll.DBRW($B$1,$B$2,$B$7,$B$3,$B$4,$B$5,$F367,$B$6,AD$10,$A367,$B367)</f>
        <v>0</v>
      </c>
      <c r="AE367" s="4">
        <f ca="1">_xll.DBRW($B$1,$B$2,$B$7,$B$3,$B$4,$B$5,$F367,$B$6,AE$10,$A367,$B367)</f>
        <v>0</v>
      </c>
    </row>
    <row r="368" spans="1:31">
      <c r="A368" s="1" t="s">
        <v>150</v>
      </c>
      <c r="B368" s="5" t="s">
        <v>41</v>
      </c>
      <c r="C368" s="5" t="s">
        <v>37</v>
      </c>
      <c r="D368" s="5" t="s">
        <v>38</v>
      </c>
      <c r="E368" s="5" t="s">
        <v>21</v>
      </c>
      <c r="F368" s="5" t="s">
        <v>315</v>
      </c>
      <c r="G368" s="6"/>
      <c r="H368" s="6"/>
      <c r="I368" s="6"/>
      <c r="J368" s="6"/>
      <c r="K368" s="6"/>
      <c r="L368" s="4">
        <f ca="1">_xll.DBRW($B$1,$B$2,$B$7,$B$3,$B$4,$B$5,$F368,$B$6,L$10,$A368,$B368)</f>
        <v>0</v>
      </c>
      <c r="M368" s="4">
        <f ca="1">_xll.DBRW($B$1,$B$2,$B$7,$B$3,$B$4,$B$5,$F368,$B$6,M$10,$A368,$B368)</f>
        <v>0</v>
      </c>
      <c r="N368" s="4">
        <f ca="1">_xll.DBRW($B$1,$B$2,$B$7,$B$3,$B$4,$B$5,$F368,$B$6,N$10,$A368,$B368)</f>
        <v>0</v>
      </c>
      <c r="O368" s="4">
        <f ca="1">_xll.DBRW($B$1,$B$2,$B$7,$B$3,$B$4,$B$5,$F368,$B$6,O$10,$A368,$B368)</f>
        <v>0</v>
      </c>
      <c r="P368" s="4">
        <f ca="1">_xll.DBRW($B$1,$B$2,$B$7,$B$3,$B$4,$B$5,$F368,$B$6,P$10,$A368,$B368)</f>
        <v>0</v>
      </c>
      <c r="Q368" s="4">
        <f ca="1">_xll.DBRW($B$1,$B$2,$B$7,$B$3,$B$4,$B$5,$F368,$B$6,Q$10,$A368,$B368)</f>
        <v>1</v>
      </c>
      <c r="R368" s="4">
        <f ca="1">_xll.DBRW($B$1,$B$2,$B$7,$B$3,$B$4,$B$5,$F368,$B$6,R$10,$A368,$B368)</f>
        <v>4</v>
      </c>
      <c r="S368" s="4">
        <f ca="1">_xll.DBRW($B$1,$B$2,$B$7,$B$3,$B$4,$B$5,$F368,$B$6,S$10,$A368,$B368)</f>
        <v>5</v>
      </c>
      <c r="T368" s="4">
        <f ca="1">_xll.DBRW($B$1,$B$2,$B$7,$B$3,$B$4,$B$5,$F368,$B$6,T$10,$A368,$B368)</f>
        <v>4</v>
      </c>
      <c r="U368" s="4">
        <f ca="1">_xll.DBRW($B$1,$B$2,$B$7,$B$3,$B$4,$B$5,$F368,$B$6,U$10,$A368,$B368)</f>
        <v>4</v>
      </c>
      <c r="V368" s="4">
        <f ca="1">_xll.DBRW($B$1,$B$2,$B$7,$B$3,$B$4,$B$5,$F368,$B$6,V$10,$A368,$B368)</f>
        <v>4</v>
      </c>
      <c r="W368" s="4">
        <f ca="1">_xll.DBRW($B$1,$B$2,$B$7,$B$3,$B$4,$B$5,$F368,$B$6,W$10,$A368,$B368)</f>
        <v>0</v>
      </c>
      <c r="X368" s="4">
        <f ca="1">_xll.DBRW($B$1,$B$2,$B$7,$B$3,$B$4,$B$5,$F368,$B$6,X$10,$A368,$B368)</f>
        <v>0</v>
      </c>
      <c r="Y368" s="4">
        <f ca="1">_xll.DBRW($B$1,$B$2,$B$7,$B$3,$B$4,$B$5,$F368,$B$6,Y$10,$A368,$B368)</f>
        <v>0</v>
      </c>
      <c r="Z368" s="4">
        <f ca="1">_xll.DBRW($B$1,$B$2,$B$7,$B$3,$B$4,$B$5,$F368,$B$6,Z$10,$A368,$B368)</f>
        <v>0</v>
      </c>
      <c r="AA368" s="4">
        <f ca="1">_xll.DBRW($B$1,$B$2,$B$7,$B$3,$B$4,$B$5,$F368,$B$6,AA$10,$A368,$B368)</f>
        <v>0</v>
      </c>
      <c r="AB368" s="4">
        <f ca="1">_xll.DBRW($B$1,$B$2,$B$7,$B$3,$B$4,$B$5,$F368,$B$6,AB$10,$A368,$B368)</f>
        <v>0</v>
      </c>
      <c r="AC368" s="4">
        <f ca="1">_xll.DBRW($B$1,$B$2,$B$7,$B$3,$B$4,$B$5,$F368,$B$6,AC$10,$A368,$B368)</f>
        <v>1</v>
      </c>
      <c r="AD368" s="4">
        <f ca="1">_xll.DBRW($B$1,$B$2,$B$7,$B$3,$B$4,$B$5,$F368,$B$6,AD$10,$A368,$B368)</f>
        <v>4</v>
      </c>
      <c r="AE368" s="4">
        <f ca="1">_xll.DBRW($B$1,$B$2,$B$7,$B$3,$B$4,$B$5,$F368,$B$6,AE$10,$A368,$B368)</f>
        <v>5</v>
      </c>
    </row>
    <row r="369" spans="1:31">
      <c r="A369" s="1" t="s">
        <v>150</v>
      </c>
      <c r="B369" s="5" t="s">
        <v>175</v>
      </c>
      <c r="C369" s="5" t="s">
        <v>159</v>
      </c>
      <c r="D369" s="5" t="s">
        <v>21</v>
      </c>
      <c r="E369" s="5" t="s">
        <v>38</v>
      </c>
      <c r="F369" s="5" t="s">
        <v>315</v>
      </c>
      <c r="G369" s="6"/>
      <c r="H369" s="6"/>
      <c r="I369" s="6"/>
      <c r="J369" s="6"/>
      <c r="K369" s="6"/>
      <c r="L369" s="4">
        <f ca="1">_xll.DBRW($B$1,$B$2,$B$7,$B$3,$B$4,$B$5,$F369,$B$6,L$10,$A369,$B369)</f>
        <v>0</v>
      </c>
      <c r="M369" s="4">
        <f ca="1">_xll.DBRW($B$1,$B$2,$B$7,$B$3,$B$4,$B$5,$F369,$B$6,M$10,$A369,$B369)</f>
        <v>0</v>
      </c>
      <c r="N369" s="4">
        <f ca="1">_xll.DBRW($B$1,$B$2,$B$7,$B$3,$B$4,$B$5,$F369,$B$6,N$10,$A369,$B369)</f>
        <v>0</v>
      </c>
      <c r="O369" s="4">
        <f ca="1">_xll.DBRW($B$1,$B$2,$B$7,$B$3,$B$4,$B$5,$F369,$B$6,O$10,$A369,$B369)</f>
        <v>0</v>
      </c>
      <c r="P369" s="4">
        <f ca="1">_xll.DBRW($B$1,$B$2,$B$7,$B$3,$B$4,$B$5,$F369,$B$6,P$10,$A369,$B369)</f>
        <v>0</v>
      </c>
      <c r="Q369" s="4">
        <f ca="1">_xll.DBRW($B$1,$B$2,$B$7,$B$3,$B$4,$B$5,$F369,$B$6,Q$10,$A369,$B369)</f>
        <v>0</v>
      </c>
      <c r="R369" s="4">
        <f ca="1">_xll.DBRW($B$1,$B$2,$B$7,$B$3,$B$4,$B$5,$F369,$B$6,R$10,$A369,$B369)</f>
        <v>0</v>
      </c>
      <c r="S369" s="4">
        <f ca="1">_xll.DBRW($B$1,$B$2,$B$7,$B$3,$B$4,$B$5,$F369,$B$6,S$10,$A369,$B369)</f>
        <v>0</v>
      </c>
      <c r="T369" s="4">
        <f ca="1">_xll.DBRW($B$1,$B$2,$B$7,$B$3,$B$4,$B$5,$F369,$B$6,T$10,$A369,$B369)</f>
        <v>0</v>
      </c>
      <c r="U369" s="4">
        <f ca="1">_xll.DBRW($B$1,$B$2,$B$7,$B$3,$B$4,$B$5,$F369,$B$6,U$10,$A369,$B369)</f>
        <v>0</v>
      </c>
      <c r="V369" s="4">
        <f ca="1">_xll.DBRW($B$1,$B$2,$B$7,$B$3,$B$4,$B$5,$F369,$B$6,V$10,$A369,$B369)</f>
        <v>0</v>
      </c>
      <c r="W369" s="4">
        <f ca="1">_xll.DBRW($B$1,$B$2,$B$7,$B$3,$B$4,$B$5,$F369,$B$6,W$10,$A369,$B369)</f>
        <v>0</v>
      </c>
      <c r="X369" s="4">
        <f ca="1">_xll.DBRW($B$1,$B$2,$B$7,$B$3,$B$4,$B$5,$F369,$B$6,X$10,$A369,$B369)</f>
        <v>0</v>
      </c>
      <c r="Y369" s="4">
        <f ca="1">_xll.DBRW($B$1,$B$2,$B$7,$B$3,$B$4,$B$5,$F369,$B$6,Y$10,$A369,$B369)</f>
        <v>0</v>
      </c>
      <c r="Z369" s="4">
        <f ca="1">_xll.DBRW($B$1,$B$2,$B$7,$B$3,$B$4,$B$5,$F369,$B$6,Z$10,$A369,$B369)</f>
        <v>0</v>
      </c>
      <c r="AA369" s="4">
        <f ca="1">_xll.DBRW($B$1,$B$2,$B$7,$B$3,$B$4,$B$5,$F369,$B$6,AA$10,$A369,$B369)</f>
        <v>0</v>
      </c>
      <c r="AB369" s="4">
        <f ca="1">_xll.DBRW($B$1,$B$2,$B$7,$B$3,$B$4,$B$5,$F369,$B$6,AB$10,$A369,$B369)</f>
        <v>0</v>
      </c>
      <c r="AC369" s="4">
        <f ca="1">_xll.DBRW($B$1,$B$2,$B$7,$B$3,$B$4,$B$5,$F369,$B$6,AC$10,$A369,$B369)</f>
        <v>0</v>
      </c>
      <c r="AD369" s="4">
        <f ca="1">_xll.DBRW($B$1,$B$2,$B$7,$B$3,$B$4,$B$5,$F369,$B$6,AD$10,$A369,$B369)</f>
        <v>0</v>
      </c>
      <c r="AE369" s="4">
        <f ca="1">_xll.DBRW($B$1,$B$2,$B$7,$B$3,$B$4,$B$5,$F369,$B$6,AE$10,$A369,$B369)</f>
        <v>0</v>
      </c>
    </row>
    <row r="370" spans="1:31">
      <c r="A370" s="1" t="s">
        <v>150</v>
      </c>
      <c r="B370" s="5" t="s">
        <v>42</v>
      </c>
      <c r="C370" s="5" t="s">
        <v>37</v>
      </c>
      <c r="D370" s="5" t="s">
        <v>38</v>
      </c>
      <c r="E370" s="5" t="s">
        <v>21</v>
      </c>
      <c r="F370" s="5" t="s">
        <v>315</v>
      </c>
      <c r="G370" s="6"/>
      <c r="H370" s="6"/>
      <c r="I370" s="6"/>
      <c r="J370" s="6"/>
      <c r="K370" s="6"/>
      <c r="L370" s="4">
        <f ca="1">_xll.DBRW($B$1,$B$2,$B$7,$B$3,$B$4,$B$5,$F370,$B$6,L$10,$A370,$B370)</f>
        <v>0</v>
      </c>
      <c r="M370" s="4">
        <f ca="1">_xll.DBRW($B$1,$B$2,$B$7,$B$3,$B$4,$B$5,$F370,$B$6,M$10,$A370,$B370)</f>
        <v>0</v>
      </c>
      <c r="N370" s="4">
        <f ca="1">_xll.DBRW($B$1,$B$2,$B$7,$B$3,$B$4,$B$5,$F370,$B$6,N$10,$A370,$B370)</f>
        <v>0</v>
      </c>
      <c r="O370" s="4">
        <f ca="1">_xll.DBRW($B$1,$B$2,$B$7,$B$3,$B$4,$B$5,$F370,$B$6,O$10,$A370,$B370)</f>
        <v>0</v>
      </c>
      <c r="P370" s="4">
        <f ca="1">_xll.DBRW($B$1,$B$2,$B$7,$B$3,$B$4,$B$5,$F370,$B$6,P$10,$A370,$B370)</f>
        <v>0</v>
      </c>
      <c r="Q370" s="4">
        <f ca="1">_xll.DBRW($B$1,$B$2,$B$7,$B$3,$B$4,$B$5,$F370,$B$6,Q$10,$A370,$B370)</f>
        <v>0</v>
      </c>
      <c r="R370" s="4">
        <f ca="1">_xll.DBRW($B$1,$B$2,$B$7,$B$3,$B$4,$B$5,$F370,$B$6,R$10,$A370,$B370)</f>
        <v>0</v>
      </c>
      <c r="S370" s="4">
        <f ca="1">_xll.DBRW($B$1,$B$2,$B$7,$B$3,$B$4,$B$5,$F370,$B$6,S$10,$A370,$B370)</f>
        <v>0</v>
      </c>
      <c r="T370" s="4">
        <f ca="1">_xll.DBRW($B$1,$B$2,$B$7,$B$3,$B$4,$B$5,$F370,$B$6,T$10,$A370,$B370)</f>
        <v>0</v>
      </c>
      <c r="U370" s="4">
        <f ca="1">_xll.DBRW($B$1,$B$2,$B$7,$B$3,$B$4,$B$5,$F370,$B$6,U$10,$A370,$B370)</f>
        <v>0</v>
      </c>
      <c r="V370" s="4">
        <f ca="1">_xll.DBRW($B$1,$B$2,$B$7,$B$3,$B$4,$B$5,$F370,$B$6,V$10,$A370,$B370)</f>
        <v>0</v>
      </c>
      <c r="W370" s="4">
        <f ca="1">_xll.DBRW($B$1,$B$2,$B$7,$B$3,$B$4,$B$5,$F370,$B$6,W$10,$A370,$B370)</f>
        <v>0</v>
      </c>
      <c r="X370" s="4">
        <f ca="1">_xll.DBRW($B$1,$B$2,$B$7,$B$3,$B$4,$B$5,$F370,$B$6,X$10,$A370,$B370)</f>
        <v>0</v>
      </c>
      <c r="Y370" s="4">
        <f ca="1">_xll.DBRW($B$1,$B$2,$B$7,$B$3,$B$4,$B$5,$F370,$B$6,Y$10,$A370,$B370)</f>
        <v>0</v>
      </c>
      <c r="Z370" s="4">
        <f ca="1">_xll.DBRW($B$1,$B$2,$B$7,$B$3,$B$4,$B$5,$F370,$B$6,Z$10,$A370,$B370)</f>
        <v>0</v>
      </c>
      <c r="AA370" s="4">
        <f ca="1">_xll.DBRW($B$1,$B$2,$B$7,$B$3,$B$4,$B$5,$F370,$B$6,AA$10,$A370,$B370)</f>
        <v>0</v>
      </c>
      <c r="AB370" s="4">
        <f ca="1">_xll.DBRW($B$1,$B$2,$B$7,$B$3,$B$4,$B$5,$F370,$B$6,AB$10,$A370,$B370)</f>
        <v>0</v>
      </c>
      <c r="AC370" s="4">
        <f ca="1">_xll.DBRW($B$1,$B$2,$B$7,$B$3,$B$4,$B$5,$F370,$B$6,AC$10,$A370,$B370)</f>
        <v>0</v>
      </c>
      <c r="AD370" s="4">
        <f ca="1">_xll.DBRW($B$1,$B$2,$B$7,$B$3,$B$4,$B$5,$F370,$B$6,AD$10,$A370,$B370)</f>
        <v>0</v>
      </c>
      <c r="AE370" s="4">
        <f ca="1">_xll.DBRW($B$1,$B$2,$B$7,$B$3,$B$4,$B$5,$F370,$B$6,AE$10,$A370,$B370)</f>
        <v>0</v>
      </c>
    </row>
    <row r="371" spans="1:31">
      <c r="A371" s="1" t="s">
        <v>150</v>
      </c>
      <c r="B371" s="5" t="s">
        <v>176</v>
      </c>
      <c r="C371" s="5" t="s">
        <v>177</v>
      </c>
      <c r="D371" s="5" t="s">
        <v>28</v>
      </c>
      <c r="E371" s="5" t="s">
        <v>59</v>
      </c>
      <c r="F371" s="5" t="s">
        <v>315</v>
      </c>
      <c r="G371" s="6"/>
      <c r="H371" s="6"/>
      <c r="I371" s="6"/>
      <c r="J371" s="6"/>
      <c r="K371" s="6"/>
      <c r="L371" s="4">
        <f ca="1">_xll.DBRW($B$1,$B$2,$B$7,$B$3,$B$4,$B$5,$F371,$B$6,L$10,$A371,$B371)</f>
        <v>22</v>
      </c>
      <c r="M371" s="4">
        <f ca="1">_xll.DBRW($B$1,$B$2,$B$7,$B$3,$B$4,$B$5,$F371,$B$6,M$10,$A371,$B371)</f>
        <v>18</v>
      </c>
      <c r="N371" s="4">
        <f ca="1">_xll.DBRW($B$1,$B$2,$B$7,$B$3,$B$4,$B$5,$F371,$B$6,N$10,$A371,$B371)</f>
        <v>21</v>
      </c>
      <c r="O371" s="4">
        <f ca="1">_xll.DBRW($B$1,$B$2,$B$7,$B$3,$B$4,$B$5,$F371,$B$6,O$10,$A371,$B371)</f>
        <v>22</v>
      </c>
      <c r="P371" s="4">
        <f ca="1">_xll.DBRW($B$1,$B$2,$B$7,$B$3,$B$4,$B$5,$F371,$B$6,P$10,$A371,$B371)</f>
        <v>19</v>
      </c>
      <c r="Q371" s="4">
        <f ca="1">_xll.DBRW($B$1,$B$2,$B$7,$B$3,$B$4,$B$5,$F371,$B$6,Q$10,$A371,$B371)</f>
        <v>17</v>
      </c>
      <c r="R371" s="4">
        <f ca="1">_xll.DBRW($B$1,$B$2,$B$7,$B$3,$B$4,$B$5,$F371,$B$6,R$10,$A371,$B371)</f>
        <v>0</v>
      </c>
      <c r="S371" s="4">
        <f ca="1">_xll.DBRW($B$1,$B$2,$B$7,$B$3,$B$4,$B$5,$F371,$B$6,S$10,$A371,$B371)</f>
        <v>0</v>
      </c>
      <c r="T371" s="4">
        <f ca="1">_xll.DBRW($B$1,$B$2,$B$7,$B$3,$B$4,$B$5,$F371,$B$6,T$10,$A371,$B371)</f>
        <v>31</v>
      </c>
      <c r="U371" s="4">
        <f ca="1">_xll.DBRW($B$1,$B$2,$B$7,$B$3,$B$4,$B$5,$F371,$B$6,U$10,$A371,$B371)</f>
        <v>28</v>
      </c>
      <c r="V371" s="4">
        <f ca="1">_xll.DBRW($B$1,$B$2,$B$7,$B$3,$B$4,$B$5,$F371,$B$6,V$10,$A371,$B371)</f>
        <v>29</v>
      </c>
      <c r="W371" s="4">
        <f ca="1">_xll.DBRW($B$1,$B$2,$B$7,$B$3,$B$4,$B$5,$F371,$B$6,W$10,$A371,$B371)</f>
        <v>18</v>
      </c>
      <c r="X371" s="4">
        <f ca="1">_xll.DBRW($B$1,$B$2,$B$7,$B$3,$B$4,$B$5,$F371,$B$6,X$10,$A371,$B371)</f>
        <v>18</v>
      </c>
      <c r="Y371" s="4">
        <f ca="1">_xll.DBRW($B$1,$B$2,$B$7,$B$3,$B$4,$B$5,$F371,$B$6,Y$10,$A371,$B371)</f>
        <v>16</v>
      </c>
      <c r="Z371" s="4">
        <f ca="1">_xll.DBRW($B$1,$B$2,$B$7,$B$3,$B$4,$B$5,$F371,$B$6,Z$10,$A371,$B371)</f>
        <v>18</v>
      </c>
      <c r="AA371" s="4">
        <f ca="1">_xll.DBRW($B$1,$B$2,$B$7,$B$3,$B$4,$B$5,$F371,$B$6,AA$10,$A371,$B371)</f>
        <v>18</v>
      </c>
      <c r="AB371" s="4">
        <f ca="1">_xll.DBRW($B$1,$B$2,$B$7,$B$3,$B$4,$B$5,$F371,$B$6,AB$10,$A371,$B371)</f>
        <v>17</v>
      </c>
      <c r="AC371" s="4">
        <f ca="1">_xll.DBRW($B$1,$B$2,$B$7,$B$3,$B$4,$B$5,$F371,$B$6,AC$10,$A371,$B371)</f>
        <v>21</v>
      </c>
      <c r="AD371" s="4">
        <f ca="1">_xll.DBRW($B$1,$B$2,$B$7,$B$3,$B$4,$B$5,$F371,$B$6,AD$10,$A371,$B371)</f>
        <v>30</v>
      </c>
      <c r="AE371" s="4">
        <f ca="1">_xll.DBRW($B$1,$B$2,$B$7,$B$3,$B$4,$B$5,$F371,$B$6,AE$10,$A371,$B371)</f>
        <v>31</v>
      </c>
    </row>
    <row r="372" spans="1:31">
      <c r="A372" s="1" t="s">
        <v>150</v>
      </c>
      <c r="B372" s="5" t="s">
        <v>64</v>
      </c>
      <c r="C372" s="5" t="s">
        <v>65</v>
      </c>
      <c r="D372" s="5" t="s">
        <v>59</v>
      </c>
      <c r="E372" s="5" t="s">
        <v>28</v>
      </c>
      <c r="F372" s="5" t="s">
        <v>315</v>
      </c>
      <c r="G372" s="6"/>
      <c r="H372" s="6"/>
      <c r="I372" s="6"/>
      <c r="J372" s="6"/>
      <c r="K372" s="6"/>
      <c r="L372" s="4">
        <f ca="1">_xll.DBRW($B$1,$B$2,$B$7,$B$3,$B$4,$B$5,$F372,$B$6,L$10,$A372,$B372)</f>
        <v>22</v>
      </c>
      <c r="M372" s="4">
        <f ca="1">_xll.DBRW($B$1,$B$2,$B$7,$B$3,$B$4,$B$5,$F372,$B$6,M$10,$A372,$B372)</f>
        <v>22</v>
      </c>
      <c r="N372" s="4">
        <f ca="1">_xll.DBRW($B$1,$B$2,$B$7,$B$3,$B$4,$B$5,$F372,$B$6,N$10,$A372,$B372)</f>
        <v>22</v>
      </c>
      <c r="O372" s="4">
        <f ca="1">_xll.DBRW($B$1,$B$2,$B$7,$B$3,$B$4,$B$5,$F372,$B$6,O$10,$A372,$B372)</f>
        <v>22</v>
      </c>
      <c r="P372" s="4">
        <f ca="1">_xll.DBRW($B$1,$B$2,$B$7,$B$3,$B$4,$B$5,$F372,$B$6,P$10,$A372,$B372)</f>
        <v>22</v>
      </c>
      <c r="Q372" s="4">
        <f ca="1">_xll.DBRW($B$1,$B$2,$B$7,$B$3,$B$4,$B$5,$F372,$B$6,Q$10,$A372,$B372)</f>
        <v>18</v>
      </c>
      <c r="R372" s="4">
        <f ca="1">_xll.DBRW($B$1,$B$2,$B$7,$B$3,$B$4,$B$5,$F372,$B$6,R$10,$A372,$B372)</f>
        <v>0</v>
      </c>
      <c r="S372" s="4">
        <f ca="1">_xll.DBRW($B$1,$B$2,$B$7,$B$3,$B$4,$B$5,$F372,$B$6,S$10,$A372,$B372)</f>
        <v>0</v>
      </c>
      <c r="T372" s="4">
        <f ca="1">_xll.DBRW($B$1,$B$2,$B$7,$B$3,$B$4,$B$5,$F372,$B$6,T$10,$A372,$B372)</f>
        <v>31</v>
      </c>
      <c r="U372" s="4">
        <f ca="1">_xll.DBRW($B$1,$B$2,$B$7,$B$3,$B$4,$B$5,$F372,$B$6,U$10,$A372,$B372)</f>
        <v>28</v>
      </c>
      <c r="V372" s="4">
        <f ca="1">_xll.DBRW($B$1,$B$2,$B$7,$B$3,$B$4,$B$5,$F372,$B$6,V$10,$A372,$B372)</f>
        <v>29</v>
      </c>
      <c r="W372" s="4">
        <f ca="1">_xll.DBRW($B$1,$B$2,$B$7,$B$3,$B$4,$B$5,$F372,$B$6,W$10,$A372,$B372)</f>
        <v>13</v>
      </c>
      <c r="X372" s="4">
        <f ca="1">_xll.DBRW($B$1,$B$2,$B$7,$B$3,$B$4,$B$5,$F372,$B$6,X$10,$A372,$B372)</f>
        <v>14</v>
      </c>
      <c r="Y372" s="4">
        <f ca="1">_xll.DBRW($B$1,$B$2,$B$7,$B$3,$B$4,$B$5,$F372,$B$6,Y$10,$A372,$B372)</f>
        <v>12</v>
      </c>
      <c r="Z372" s="4">
        <f ca="1">_xll.DBRW($B$1,$B$2,$B$7,$B$3,$B$4,$B$5,$F372,$B$6,Z$10,$A372,$B372)</f>
        <v>14</v>
      </c>
      <c r="AA372" s="4">
        <f ca="1">_xll.DBRW($B$1,$B$2,$B$7,$B$3,$B$4,$B$5,$F372,$B$6,AA$10,$A372,$B372)</f>
        <v>13</v>
      </c>
      <c r="AB372" s="4">
        <f ca="1">_xll.DBRW($B$1,$B$2,$B$7,$B$3,$B$4,$B$5,$F372,$B$6,AB$10,$A372,$B372)</f>
        <v>13</v>
      </c>
      <c r="AC372" s="4">
        <f ca="1">_xll.DBRW($B$1,$B$2,$B$7,$B$3,$B$4,$B$5,$F372,$B$6,AC$10,$A372,$B372)</f>
        <v>17</v>
      </c>
      <c r="AD372" s="4">
        <f ca="1">_xll.DBRW($B$1,$B$2,$B$7,$B$3,$B$4,$B$5,$F372,$B$6,AD$10,$A372,$B372)</f>
        <v>30</v>
      </c>
      <c r="AE372" s="4">
        <f ca="1">_xll.DBRW($B$1,$B$2,$B$7,$B$3,$B$4,$B$5,$F372,$B$6,AE$10,$A372,$B372)</f>
        <v>30</v>
      </c>
    </row>
    <row r="373" spans="1:31">
      <c r="A373" s="1" t="s">
        <v>150</v>
      </c>
      <c r="B373" s="5" t="s">
        <v>178</v>
      </c>
      <c r="C373" s="5" t="s">
        <v>177</v>
      </c>
      <c r="D373" s="5" t="s">
        <v>28</v>
      </c>
      <c r="E373" s="5" t="s">
        <v>59</v>
      </c>
      <c r="F373" s="5" t="s">
        <v>315</v>
      </c>
      <c r="G373" s="6"/>
      <c r="H373" s="6"/>
      <c r="I373" s="6"/>
      <c r="J373" s="6"/>
      <c r="K373" s="6"/>
      <c r="L373" s="4">
        <f ca="1">_xll.DBRW($B$1,$B$2,$B$7,$B$3,$B$4,$B$5,$F373,$B$6,L$10,$A373,$B373)</f>
        <v>9</v>
      </c>
      <c r="M373" s="4">
        <f ca="1">_xll.DBRW($B$1,$B$2,$B$7,$B$3,$B$4,$B$5,$F373,$B$6,M$10,$A373,$B373)</f>
        <v>10</v>
      </c>
      <c r="N373" s="4">
        <f ca="1">_xll.DBRW($B$1,$B$2,$B$7,$B$3,$B$4,$B$5,$F373,$B$6,N$10,$A373,$B373)</f>
        <v>17</v>
      </c>
      <c r="O373" s="4">
        <f ca="1">_xll.DBRW($B$1,$B$2,$B$7,$B$3,$B$4,$B$5,$F373,$B$6,O$10,$A373,$B373)</f>
        <v>18</v>
      </c>
      <c r="P373" s="4">
        <f ca="1">_xll.DBRW($B$1,$B$2,$B$7,$B$3,$B$4,$B$5,$F373,$B$6,P$10,$A373,$B373)</f>
        <v>17</v>
      </c>
      <c r="Q373" s="4">
        <f ca="1">_xll.DBRW($B$1,$B$2,$B$7,$B$3,$B$4,$B$5,$F373,$B$6,Q$10,$A373,$B373)</f>
        <v>15</v>
      </c>
      <c r="R373" s="4">
        <f ca="1">_xll.DBRW($B$1,$B$2,$B$7,$B$3,$B$4,$B$5,$F373,$B$6,R$10,$A373,$B373)</f>
        <v>0</v>
      </c>
      <c r="S373" s="4">
        <f ca="1">_xll.DBRW($B$1,$B$2,$B$7,$B$3,$B$4,$B$5,$F373,$B$6,S$10,$A373,$B373)</f>
        <v>0</v>
      </c>
      <c r="T373" s="4">
        <f ca="1">_xll.DBRW($B$1,$B$2,$B$7,$B$3,$B$4,$B$5,$F373,$B$6,T$10,$A373,$B373)</f>
        <v>0</v>
      </c>
      <c r="U373" s="4">
        <f ca="1">_xll.DBRW($B$1,$B$2,$B$7,$B$3,$B$4,$B$5,$F373,$B$6,U$10,$A373,$B373)</f>
        <v>0</v>
      </c>
      <c r="V373" s="4">
        <f ca="1">_xll.DBRW($B$1,$B$2,$B$7,$B$3,$B$4,$B$5,$F373,$B$6,V$10,$A373,$B373)</f>
        <v>0</v>
      </c>
      <c r="W373" s="4">
        <f ca="1">_xll.DBRW($B$1,$B$2,$B$7,$B$3,$B$4,$B$5,$F373,$B$6,W$10,$A373,$B373)</f>
        <v>9</v>
      </c>
      <c r="X373" s="4">
        <f ca="1">_xll.DBRW($B$1,$B$2,$B$7,$B$3,$B$4,$B$5,$F373,$B$6,X$10,$A373,$B373)</f>
        <v>9</v>
      </c>
      <c r="Y373" s="4">
        <f ca="1">_xll.DBRW($B$1,$B$2,$B$7,$B$3,$B$4,$B$5,$F373,$B$6,Y$10,$A373,$B373)</f>
        <v>8</v>
      </c>
      <c r="Z373" s="4">
        <f ca="1">_xll.DBRW($B$1,$B$2,$B$7,$B$3,$B$4,$B$5,$F373,$B$6,Z$10,$A373,$B373)</f>
        <v>10</v>
      </c>
      <c r="AA373" s="4">
        <f ca="1">_xll.DBRW($B$1,$B$2,$B$7,$B$3,$B$4,$B$5,$F373,$B$6,AA$10,$A373,$B373)</f>
        <v>8</v>
      </c>
      <c r="AB373" s="4">
        <f ca="1">_xll.DBRW($B$1,$B$2,$B$7,$B$3,$B$4,$B$5,$F373,$B$6,AB$10,$A373,$B373)</f>
        <v>9</v>
      </c>
      <c r="AC373" s="4">
        <f ca="1">_xll.DBRW($B$1,$B$2,$B$7,$B$3,$B$4,$B$5,$F373,$B$6,AC$10,$A373,$B373)</f>
        <v>7</v>
      </c>
      <c r="AD373" s="4">
        <f ca="1">_xll.DBRW($B$1,$B$2,$B$7,$B$3,$B$4,$B$5,$F373,$B$6,AD$10,$A373,$B373)</f>
        <v>0</v>
      </c>
      <c r="AE373" s="4">
        <f ca="1">_xll.DBRW($B$1,$B$2,$B$7,$B$3,$B$4,$B$5,$F373,$B$6,AE$10,$A373,$B373)</f>
        <v>0</v>
      </c>
    </row>
    <row r="374" spans="1:31">
      <c r="A374" s="1" t="s">
        <v>150</v>
      </c>
      <c r="B374" s="5" t="s">
        <v>66</v>
      </c>
      <c r="C374" s="5" t="s">
        <v>65</v>
      </c>
      <c r="D374" s="5" t="s">
        <v>59</v>
      </c>
      <c r="E374" s="5" t="s">
        <v>28</v>
      </c>
      <c r="F374" s="5" t="s">
        <v>315</v>
      </c>
      <c r="G374" s="6"/>
      <c r="H374" s="6"/>
      <c r="I374" s="6"/>
      <c r="J374" s="6"/>
      <c r="K374" s="6"/>
      <c r="L374" s="4">
        <f ca="1">_xll.DBRW($B$1,$B$2,$B$7,$B$3,$B$4,$B$5,$F374,$B$6,L$10,$A374,$B374)</f>
        <v>10</v>
      </c>
      <c r="M374" s="4">
        <f ca="1">_xll.DBRW($B$1,$B$2,$B$7,$B$3,$B$4,$B$5,$F374,$B$6,M$10,$A374,$B374)</f>
        <v>6</v>
      </c>
      <c r="N374" s="4">
        <f ca="1">_xll.DBRW($B$1,$B$2,$B$7,$B$3,$B$4,$B$5,$F374,$B$6,N$10,$A374,$B374)</f>
        <v>16</v>
      </c>
      <c r="O374" s="4">
        <f ca="1">_xll.DBRW($B$1,$B$2,$B$7,$B$3,$B$4,$B$5,$F374,$B$6,O$10,$A374,$B374)</f>
        <v>18</v>
      </c>
      <c r="P374" s="4">
        <f ca="1">_xll.DBRW($B$1,$B$2,$B$7,$B$3,$B$4,$B$5,$F374,$B$6,P$10,$A374,$B374)</f>
        <v>14</v>
      </c>
      <c r="Q374" s="4">
        <f ca="1">_xll.DBRW($B$1,$B$2,$B$7,$B$3,$B$4,$B$5,$F374,$B$6,Q$10,$A374,$B374)</f>
        <v>14</v>
      </c>
      <c r="R374" s="4">
        <f ca="1">_xll.DBRW($B$1,$B$2,$B$7,$B$3,$B$4,$B$5,$F374,$B$6,R$10,$A374,$B374)</f>
        <v>0</v>
      </c>
      <c r="S374" s="4">
        <f ca="1">_xll.DBRW($B$1,$B$2,$B$7,$B$3,$B$4,$B$5,$F374,$B$6,S$10,$A374,$B374)</f>
        <v>0</v>
      </c>
      <c r="T374" s="4">
        <f ca="1">_xll.DBRW($B$1,$B$2,$B$7,$B$3,$B$4,$B$5,$F374,$B$6,T$10,$A374,$B374)</f>
        <v>0</v>
      </c>
      <c r="U374" s="4">
        <f ca="1">_xll.DBRW($B$1,$B$2,$B$7,$B$3,$B$4,$B$5,$F374,$B$6,U$10,$A374,$B374)</f>
        <v>0</v>
      </c>
      <c r="V374" s="4">
        <f ca="1">_xll.DBRW($B$1,$B$2,$B$7,$B$3,$B$4,$B$5,$F374,$B$6,V$10,$A374,$B374)</f>
        <v>0</v>
      </c>
      <c r="W374" s="4">
        <f ca="1">_xll.DBRW($B$1,$B$2,$B$7,$B$3,$B$4,$B$5,$F374,$B$6,W$10,$A374,$B374)</f>
        <v>9</v>
      </c>
      <c r="X374" s="4">
        <f ca="1">_xll.DBRW($B$1,$B$2,$B$7,$B$3,$B$4,$B$5,$F374,$B$6,X$10,$A374,$B374)</f>
        <v>9</v>
      </c>
      <c r="Y374" s="4">
        <f ca="1">_xll.DBRW($B$1,$B$2,$B$7,$B$3,$B$4,$B$5,$F374,$B$6,Y$10,$A374,$B374)</f>
        <v>8</v>
      </c>
      <c r="Z374" s="4">
        <f ca="1">_xll.DBRW($B$1,$B$2,$B$7,$B$3,$B$4,$B$5,$F374,$B$6,Z$10,$A374,$B374)</f>
        <v>10</v>
      </c>
      <c r="AA374" s="4">
        <f ca="1">_xll.DBRW($B$1,$B$2,$B$7,$B$3,$B$4,$B$5,$F374,$B$6,AA$10,$A374,$B374)</f>
        <v>8</v>
      </c>
      <c r="AB374" s="4">
        <f ca="1">_xll.DBRW($B$1,$B$2,$B$7,$B$3,$B$4,$B$5,$F374,$B$6,AB$10,$A374,$B374)</f>
        <v>9</v>
      </c>
      <c r="AC374" s="4">
        <f ca="1">_xll.DBRW($B$1,$B$2,$B$7,$B$3,$B$4,$B$5,$F374,$B$6,AC$10,$A374,$B374)</f>
        <v>7</v>
      </c>
      <c r="AD374" s="4">
        <f ca="1">_xll.DBRW($B$1,$B$2,$B$7,$B$3,$B$4,$B$5,$F374,$B$6,AD$10,$A374,$B374)</f>
        <v>0</v>
      </c>
      <c r="AE374" s="4">
        <f ca="1">_xll.DBRW($B$1,$B$2,$B$7,$B$3,$B$4,$B$5,$F374,$B$6,AE$10,$A374,$B374)</f>
        <v>0</v>
      </c>
    </row>
    <row r="375" spans="1:31">
      <c r="A375" s="1" t="s">
        <v>150</v>
      </c>
      <c r="B375" s="5" t="s">
        <v>179</v>
      </c>
      <c r="C375" s="5" t="s">
        <v>180</v>
      </c>
      <c r="D375" s="5" t="s">
        <v>28</v>
      </c>
      <c r="E375" s="5" t="s">
        <v>181</v>
      </c>
      <c r="F375" s="5" t="s">
        <v>315</v>
      </c>
      <c r="G375" s="6"/>
      <c r="H375" s="6"/>
      <c r="I375" s="6"/>
      <c r="J375" s="6"/>
      <c r="K375" s="6"/>
      <c r="L375" s="4">
        <f ca="1">_xll.DBRW($B$1,$B$2,$B$7,$B$3,$B$4,$B$5,$F375,$B$6,L$10,$A375,$B375)</f>
        <v>0</v>
      </c>
      <c r="M375" s="4">
        <f ca="1">_xll.DBRW($B$1,$B$2,$B$7,$B$3,$B$4,$B$5,$F375,$B$6,M$10,$A375,$B375)</f>
        <v>0</v>
      </c>
      <c r="N375" s="4">
        <f ca="1">_xll.DBRW($B$1,$B$2,$B$7,$B$3,$B$4,$B$5,$F375,$B$6,N$10,$A375,$B375)</f>
        <v>0</v>
      </c>
      <c r="O375" s="4">
        <f ca="1">_xll.DBRW($B$1,$B$2,$B$7,$B$3,$B$4,$B$5,$F375,$B$6,O$10,$A375,$B375)</f>
        <v>0</v>
      </c>
      <c r="P375" s="4">
        <f ca="1">_xll.DBRW($B$1,$B$2,$B$7,$B$3,$B$4,$B$5,$F375,$B$6,P$10,$A375,$B375)</f>
        <v>0</v>
      </c>
      <c r="Q375" s="4">
        <f ca="1">_xll.DBRW($B$1,$B$2,$B$7,$B$3,$B$4,$B$5,$F375,$B$6,Q$10,$A375,$B375)</f>
        <v>0</v>
      </c>
      <c r="R375" s="4">
        <f ca="1">_xll.DBRW($B$1,$B$2,$B$7,$B$3,$B$4,$B$5,$F375,$B$6,R$10,$A375,$B375)</f>
        <v>0</v>
      </c>
      <c r="S375" s="4">
        <f ca="1">_xll.DBRW($B$1,$B$2,$B$7,$B$3,$B$4,$B$5,$F375,$B$6,S$10,$A375,$B375)</f>
        <v>0</v>
      </c>
      <c r="T375" s="4">
        <f ca="1">_xll.DBRW($B$1,$B$2,$B$7,$B$3,$B$4,$B$5,$F375,$B$6,T$10,$A375,$B375)</f>
        <v>0</v>
      </c>
      <c r="U375" s="4">
        <f ca="1">_xll.DBRW($B$1,$B$2,$B$7,$B$3,$B$4,$B$5,$F375,$B$6,U$10,$A375,$B375)</f>
        <v>0</v>
      </c>
      <c r="V375" s="4">
        <f ca="1">_xll.DBRW($B$1,$B$2,$B$7,$B$3,$B$4,$B$5,$F375,$B$6,V$10,$A375,$B375)</f>
        <v>0</v>
      </c>
      <c r="W375" s="4">
        <f ca="1">_xll.DBRW($B$1,$B$2,$B$7,$B$3,$B$4,$B$5,$F375,$B$6,W$10,$A375,$B375)</f>
        <v>0</v>
      </c>
      <c r="X375" s="4">
        <f ca="1">_xll.DBRW($B$1,$B$2,$B$7,$B$3,$B$4,$B$5,$F375,$B$6,X$10,$A375,$B375)</f>
        <v>0</v>
      </c>
      <c r="Y375" s="4">
        <f ca="1">_xll.DBRW($B$1,$B$2,$B$7,$B$3,$B$4,$B$5,$F375,$B$6,Y$10,$A375,$B375)</f>
        <v>0</v>
      </c>
      <c r="Z375" s="4">
        <f ca="1">_xll.DBRW($B$1,$B$2,$B$7,$B$3,$B$4,$B$5,$F375,$B$6,Z$10,$A375,$B375)</f>
        <v>0</v>
      </c>
      <c r="AA375" s="4">
        <f ca="1">_xll.DBRW($B$1,$B$2,$B$7,$B$3,$B$4,$B$5,$F375,$B$6,AA$10,$A375,$B375)</f>
        <v>0</v>
      </c>
      <c r="AB375" s="4">
        <f ca="1">_xll.DBRW($B$1,$B$2,$B$7,$B$3,$B$4,$B$5,$F375,$B$6,AB$10,$A375,$B375)</f>
        <v>0</v>
      </c>
      <c r="AC375" s="4">
        <f ca="1">_xll.DBRW($B$1,$B$2,$B$7,$B$3,$B$4,$B$5,$F375,$B$6,AC$10,$A375,$B375)</f>
        <v>0</v>
      </c>
      <c r="AD375" s="4">
        <f ca="1">_xll.DBRW($B$1,$B$2,$B$7,$B$3,$B$4,$B$5,$F375,$B$6,AD$10,$A375,$B375)</f>
        <v>0</v>
      </c>
      <c r="AE375" s="4">
        <f ca="1">_xll.DBRW($B$1,$B$2,$B$7,$B$3,$B$4,$B$5,$F375,$B$6,AE$10,$A375,$B375)</f>
        <v>0</v>
      </c>
    </row>
    <row r="376" spans="1:31">
      <c r="A376" s="1" t="s">
        <v>150</v>
      </c>
      <c r="B376" s="5" t="s">
        <v>182</v>
      </c>
      <c r="C376" s="5" t="s">
        <v>183</v>
      </c>
      <c r="D376" s="5" t="s">
        <v>181</v>
      </c>
      <c r="E376" s="5" t="s">
        <v>28</v>
      </c>
      <c r="F376" s="5" t="s">
        <v>315</v>
      </c>
      <c r="G376" s="6"/>
      <c r="H376" s="6"/>
      <c r="I376" s="6"/>
      <c r="J376" s="6"/>
      <c r="K376" s="6"/>
      <c r="L376" s="4">
        <f ca="1">_xll.DBRW($B$1,$B$2,$B$7,$B$3,$B$4,$B$5,$F376,$B$6,L$10,$A376,$B376)</f>
        <v>0</v>
      </c>
      <c r="M376" s="4">
        <f ca="1">_xll.DBRW($B$1,$B$2,$B$7,$B$3,$B$4,$B$5,$F376,$B$6,M$10,$A376,$B376)</f>
        <v>0</v>
      </c>
      <c r="N376" s="4">
        <f ca="1">_xll.DBRW($B$1,$B$2,$B$7,$B$3,$B$4,$B$5,$F376,$B$6,N$10,$A376,$B376)</f>
        <v>0</v>
      </c>
      <c r="O376" s="4">
        <f ca="1">_xll.DBRW($B$1,$B$2,$B$7,$B$3,$B$4,$B$5,$F376,$B$6,O$10,$A376,$B376)</f>
        <v>0</v>
      </c>
      <c r="P376" s="4">
        <f ca="1">_xll.DBRW($B$1,$B$2,$B$7,$B$3,$B$4,$B$5,$F376,$B$6,P$10,$A376,$B376)</f>
        <v>0</v>
      </c>
      <c r="Q376" s="4">
        <f ca="1">_xll.DBRW($B$1,$B$2,$B$7,$B$3,$B$4,$B$5,$F376,$B$6,Q$10,$A376,$B376)</f>
        <v>0</v>
      </c>
      <c r="R376" s="4">
        <f ca="1">_xll.DBRW($B$1,$B$2,$B$7,$B$3,$B$4,$B$5,$F376,$B$6,R$10,$A376,$B376)</f>
        <v>0</v>
      </c>
      <c r="S376" s="4">
        <f ca="1">_xll.DBRW($B$1,$B$2,$B$7,$B$3,$B$4,$B$5,$F376,$B$6,S$10,$A376,$B376)</f>
        <v>0</v>
      </c>
      <c r="T376" s="4">
        <f ca="1">_xll.DBRW($B$1,$B$2,$B$7,$B$3,$B$4,$B$5,$F376,$B$6,T$10,$A376,$B376)</f>
        <v>0</v>
      </c>
      <c r="U376" s="4">
        <f ca="1">_xll.DBRW($B$1,$B$2,$B$7,$B$3,$B$4,$B$5,$F376,$B$6,U$10,$A376,$B376)</f>
        <v>0</v>
      </c>
      <c r="V376" s="4">
        <f ca="1">_xll.DBRW($B$1,$B$2,$B$7,$B$3,$B$4,$B$5,$F376,$B$6,V$10,$A376,$B376)</f>
        <v>0</v>
      </c>
      <c r="W376" s="4">
        <f ca="1">_xll.DBRW($B$1,$B$2,$B$7,$B$3,$B$4,$B$5,$F376,$B$6,W$10,$A376,$B376)</f>
        <v>0</v>
      </c>
      <c r="X376" s="4">
        <f ca="1">_xll.DBRW($B$1,$B$2,$B$7,$B$3,$B$4,$B$5,$F376,$B$6,X$10,$A376,$B376)</f>
        <v>0</v>
      </c>
      <c r="Y376" s="4">
        <f ca="1">_xll.DBRW($B$1,$B$2,$B$7,$B$3,$B$4,$B$5,$F376,$B$6,Y$10,$A376,$B376)</f>
        <v>0</v>
      </c>
      <c r="Z376" s="4">
        <f ca="1">_xll.DBRW($B$1,$B$2,$B$7,$B$3,$B$4,$B$5,$F376,$B$6,Z$10,$A376,$B376)</f>
        <v>0</v>
      </c>
      <c r="AA376" s="4">
        <f ca="1">_xll.DBRW($B$1,$B$2,$B$7,$B$3,$B$4,$B$5,$F376,$B$6,AA$10,$A376,$B376)</f>
        <v>0</v>
      </c>
      <c r="AB376" s="4">
        <f ca="1">_xll.DBRW($B$1,$B$2,$B$7,$B$3,$B$4,$B$5,$F376,$B$6,AB$10,$A376,$B376)</f>
        <v>0</v>
      </c>
      <c r="AC376" s="4">
        <f ca="1">_xll.DBRW($B$1,$B$2,$B$7,$B$3,$B$4,$B$5,$F376,$B$6,AC$10,$A376,$B376)</f>
        <v>0</v>
      </c>
      <c r="AD376" s="4">
        <f ca="1">_xll.DBRW($B$1,$B$2,$B$7,$B$3,$B$4,$B$5,$F376,$B$6,AD$10,$A376,$B376)</f>
        <v>0</v>
      </c>
      <c r="AE376" s="4">
        <f ca="1">_xll.DBRW($B$1,$B$2,$B$7,$B$3,$B$4,$B$5,$F376,$B$6,AE$10,$A376,$B376)</f>
        <v>0</v>
      </c>
    </row>
    <row r="377" spans="1:31">
      <c r="A377" s="1" t="s">
        <v>150</v>
      </c>
      <c r="B377" s="5" t="s">
        <v>184</v>
      </c>
      <c r="C377" s="5" t="s">
        <v>185</v>
      </c>
      <c r="D377" s="5" t="s">
        <v>28</v>
      </c>
      <c r="E377" s="5" t="s">
        <v>49</v>
      </c>
      <c r="F377" s="5" t="s">
        <v>315</v>
      </c>
      <c r="G377" s="6"/>
      <c r="H377" s="6"/>
      <c r="I377" s="6"/>
      <c r="J377" s="6"/>
      <c r="K377" s="6"/>
      <c r="L377" s="4">
        <f ca="1">_xll.DBRW($B$1,$B$2,$B$7,$B$3,$B$4,$B$5,$F377,$B$6,L$10,$A377,$B377)</f>
        <v>0</v>
      </c>
      <c r="M377" s="4">
        <f ca="1">_xll.DBRW($B$1,$B$2,$B$7,$B$3,$B$4,$B$5,$F377,$B$6,M$10,$A377,$B377)</f>
        <v>13</v>
      </c>
      <c r="N377" s="4">
        <f ca="1">_xll.DBRW($B$1,$B$2,$B$7,$B$3,$B$4,$B$5,$F377,$B$6,N$10,$A377,$B377)</f>
        <v>13</v>
      </c>
      <c r="O377" s="4">
        <f ca="1">_xll.DBRW($B$1,$B$2,$B$7,$B$3,$B$4,$B$5,$F377,$B$6,O$10,$A377,$B377)</f>
        <v>13</v>
      </c>
      <c r="P377" s="4">
        <f ca="1">_xll.DBRW($B$1,$B$2,$B$7,$B$3,$B$4,$B$5,$F377,$B$6,P$10,$A377,$B377)</f>
        <v>13</v>
      </c>
      <c r="Q377" s="4">
        <f ca="1">_xll.DBRW($B$1,$B$2,$B$7,$B$3,$B$4,$B$5,$F377,$B$6,Q$10,$A377,$B377)</f>
        <v>11</v>
      </c>
      <c r="R377" s="4">
        <f ca="1">_xll.DBRW($B$1,$B$2,$B$7,$B$3,$B$4,$B$5,$F377,$B$6,R$10,$A377,$B377)</f>
        <v>0</v>
      </c>
      <c r="S377" s="4">
        <f ca="1">_xll.DBRW($B$1,$B$2,$B$7,$B$3,$B$4,$B$5,$F377,$B$6,S$10,$A377,$B377)</f>
        <v>0</v>
      </c>
      <c r="T377" s="4">
        <f ca="1">_xll.DBRW($B$1,$B$2,$B$7,$B$3,$B$4,$B$5,$F377,$B$6,T$10,$A377,$B377)</f>
        <v>0</v>
      </c>
      <c r="U377" s="4">
        <f ca="1">_xll.DBRW($B$1,$B$2,$B$7,$B$3,$B$4,$B$5,$F377,$B$6,U$10,$A377,$B377)</f>
        <v>0</v>
      </c>
      <c r="V377" s="4">
        <f ca="1">_xll.DBRW($B$1,$B$2,$B$7,$B$3,$B$4,$B$5,$F377,$B$6,V$10,$A377,$B377)</f>
        <v>1</v>
      </c>
      <c r="W377" s="4">
        <f ca="1">_xll.DBRW($B$1,$B$2,$B$7,$B$3,$B$4,$B$5,$F377,$B$6,W$10,$A377,$B377)</f>
        <v>13</v>
      </c>
      <c r="X377" s="4">
        <f ca="1">_xll.DBRW($B$1,$B$2,$B$7,$B$3,$B$4,$B$5,$F377,$B$6,X$10,$A377,$B377)</f>
        <v>13</v>
      </c>
      <c r="Y377" s="4">
        <f ca="1">_xll.DBRW($B$1,$B$2,$B$7,$B$3,$B$4,$B$5,$F377,$B$6,Y$10,$A377,$B377)</f>
        <v>13</v>
      </c>
      <c r="Z377" s="4">
        <f ca="1">_xll.DBRW($B$1,$B$2,$B$7,$B$3,$B$4,$B$5,$F377,$B$6,Z$10,$A377,$B377)</f>
        <v>13</v>
      </c>
      <c r="AA377" s="4">
        <f ca="1">_xll.DBRW($B$1,$B$2,$B$7,$B$3,$B$4,$B$5,$F377,$B$6,AA$10,$A377,$B377)</f>
        <v>14</v>
      </c>
      <c r="AB377" s="4">
        <f ca="1">_xll.DBRW($B$1,$B$2,$B$7,$B$3,$B$4,$B$5,$F377,$B$6,AB$10,$A377,$B377)</f>
        <v>12</v>
      </c>
      <c r="AC377" s="4">
        <f ca="1">_xll.DBRW($B$1,$B$2,$B$7,$B$3,$B$4,$B$5,$F377,$B$6,AC$10,$A377,$B377)</f>
        <v>11</v>
      </c>
      <c r="AD377" s="4">
        <f ca="1">_xll.DBRW($B$1,$B$2,$B$7,$B$3,$B$4,$B$5,$F377,$B$6,AD$10,$A377,$B377)</f>
        <v>0</v>
      </c>
      <c r="AE377" s="4">
        <f ca="1">_xll.DBRW($B$1,$B$2,$B$7,$B$3,$B$4,$B$5,$F377,$B$6,AE$10,$A377,$B377)</f>
        <v>0</v>
      </c>
    </row>
    <row r="378" spans="1:31">
      <c r="A378" s="1" t="s">
        <v>150</v>
      </c>
      <c r="B378" s="5" t="s">
        <v>50</v>
      </c>
      <c r="C378" s="5" t="s">
        <v>51</v>
      </c>
      <c r="D378" s="5" t="s">
        <v>49</v>
      </c>
      <c r="E378" s="5" t="s">
        <v>28</v>
      </c>
      <c r="F378" s="5" t="s">
        <v>315</v>
      </c>
      <c r="G378" s="6"/>
      <c r="H378" s="6"/>
      <c r="I378" s="6"/>
      <c r="J378" s="6"/>
      <c r="K378" s="6"/>
      <c r="L378" s="4">
        <f ca="1">_xll.DBRW($B$1,$B$2,$B$7,$B$3,$B$4,$B$5,$F378,$B$6,L$10,$A378,$B378)</f>
        <v>0</v>
      </c>
      <c r="M378" s="4">
        <f ca="1">_xll.DBRW($B$1,$B$2,$B$7,$B$3,$B$4,$B$5,$F378,$B$6,M$10,$A378,$B378)</f>
        <v>13</v>
      </c>
      <c r="N378" s="4">
        <f ca="1">_xll.DBRW($B$1,$B$2,$B$7,$B$3,$B$4,$B$5,$F378,$B$6,N$10,$A378,$B378)</f>
        <v>13</v>
      </c>
      <c r="O378" s="4">
        <f ca="1">_xll.DBRW($B$1,$B$2,$B$7,$B$3,$B$4,$B$5,$F378,$B$6,O$10,$A378,$B378)</f>
        <v>13</v>
      </c>
      <c r="P378" s="4">
        <f ca="1">_xll.DBRW($B$1,$B$2,$B$7,$B$3,$B$4,$B$5,$F378,$B$6,P$10,$A378,$B378)</f>
        <v>13</v>
      </c>
      <c r="Q378" s="4">
        <f ca="1">_xll.DBRW($B$1,$B$2,$B$7,$B$3,$B$4,$B$5,$F378,$B$6,Q$10,$A378,$B378)</f>
        <v>11</v>
      </c>
      <c r="R378" s="4">
        <f ca="1">_xll.DBRW($B$1,$B$2,$B$7,$B$3,$B$4,$B$5,$F378,$B$6,R$10,$A378,$B378)</f>
        <v>0</v>
      </c>
      <c r="S378" s="4">
        <f ca="1">_xll.DBRW($B$1,$B$2,$B$7,$B$3,$B$4,$B$5,$F378,$B$6,S$10,$A378,$B378)</f>
        <v>0</v>
      </c>
      <c r="T378" s="4">
        <f ca="1">_xll.DBRW($B$1,$B$2,$B$7,$B$3,$B$4,$B$5,$F378,$B$6,T$10,$A378,$B378)</f>
        <v>0</v>
      </c>
      <c r="U378" s="4">
        <f ca="1">_xll.DBRW($B$1,$B$2,$B$7,$B$3,$B$4,$B$5,$F378,$B$6,U$10,$A378,$B378)</f>
        <v>0</v>
      </c>
      <c r="V378" s="4">
        <f ca="1">_xll.DBRW($B$1,$B$2,$B$7,$B$3,$B$4,$B$5,$F378,$B$6,V$10,$A378,$B378)</f>
        <v>1</v>
      </c>
      <c r="W378" s="4">
        <f ca="1">_xll.DBRW($B$1,$B$2,$B$7,$B$3,$B$4,$B$5,$F378,$B$6,W$10,$A378,$B378)</f>
        <v>13</v>
      </c>
      <c r="X378" s="4">
        <f ca="1">_xll.DBRW($B$1,$B$2,$B$7,$B$3,$B$4,$B$5,$F378,$B$6,X$10,$A378,$B378)</f>
        <v>13</v>
      </c>
      <c r="Y378" s="4">
        <f ca="1">_xll.DBRW($B$1,$B$2,$B$7,$B$3,$B$4,$B$5,$F378,$B$6,Y$10,$A378,$B378)</f>
        <v>13</v>
      </c>
      <c r="Z378" s="4">
        <f ca="1">_xll.DBRW($B$1,$B$2,$B$7,$B$3,$B$4,$B$5,$F378,$B$6,Z$10,$A378,$B378)</f>
        <v>13</v>
      </c>
      <c r="AA378" s="4">
        <f ca="1">_xll.DBRW($B$1,$B$2,$B$7,$B$3,$B$4,$B$5,$F378,$B$6,AA$10,$A378,$B378)</f>
        <v>14</v>
      </c>
      <c r="AB378" s="4">
        <f ca="1">_xll.DBRW($B$1,$B$2,$B$7,$B$3,$B$4,$B$5,$F378,$B$6,AB$10,$A378,$B378)</f>
        <v>12</v>
      </c>
      <c r="AC378" s="4">
        <f ca="1">_xll.DBRW($B$1,$B$2,$B$7,$B$3,$B$4,$B$5,$F378,$B$6,AC$10,$A378,$B378)</f>
        <v>11</v>
      </c>
      <c r="AD378" s="4">
        <f ca="1">_xll.DBRW($B$1,$B$2,$B$7,$B$3,$B$4,$B$5,$F378,$B$6,AD$10,$A378,$B378)</f>
        <v>0</v>
      </c>
      <c r="AE378" s="4">
        <f ca="1">_xll.DBRW($B$1,$B$2,$B$7,$B$3,$B$4,$B$5,$F378,$B$6,AE$10,$A378,$B378)</f>
        <v>0</v>
      </c>
    </row>
    <row r="379" spans="1:31">
      <c r="A379" s="1" t="s">
        <v>150</v>
      </c>
      <c r="B379" s="5" t="s">
        <v>186</v>
      </c>
      <c r="C379" s="5" t="s">
        <v>187</v>
      </c>
      <c r="D379" s="5" t="s">
        <v>21</v>
      </c>
      <c r="E379" s="5" t="s">
        <v>59</v>
      </c>
      <c r="F379" s="5" t="s">
        <v>315</v>
      </c>
      <c r="G379" s="6"/>
      <c r="H379" s="6"/>
      <c r="I379" s="6"/>
      <c r="J379" s="6"/>
      <c r="K379" s="6"/>
      <c r="L379" s="4">
        <f ca="1">_xll.DBRW($B$1,$B$2,$B$7,$B$3,$B$4,$B$5,$F379,$B$6,L$10,$A379,$B379)</f>
        <v>8</v>
      </c>
      <c r="M379" s="4">
        <f ca="1">_xll.DBRW($B$1,$B$2,$B$7,$B$3,$B$4,$B$5,$F379,$B$6,M$10,$A379,$B379)</f>
        <v>4</v>
      </c>
      <c r="N379" s="4">
        <f ca="1">_xll.DBRW($B$1,$B$2,$B$7,$B$3,$B$4,$B$5,$F379,$B$6,N$10,$A379,$B379)</f>
        <v>6</v>
      </c>
      <c r="O379" s="4">
        <f ca="1">_xll.DBRW($B$1,$B$2,$B$7,$B$3,$B$4,$B$5,$F379,$B$6,O$10,$A379,$B379)</f>
        <v>5</v>
      </c>
      <c r="P379" s="4">
        <f ca="1">_xll.DBRW($B$1,$B$2,$B$7,$B$3,$B$4,$B$5,$F379,$B$6,P$10,$A379,$B379)</f>
        <v>4</v>
      </c>
      <c r="Q379" s="4">
        <f ca="1">_xll.DBRW($B$1,$B$2,$B$7,$B$3,$B$4,$B$5,$F379,$B$6,Q$10,$A379,$B379)</f>
        <v>4</v>
      </c>
      <c r="R379" s="4">
        <f ca="1">_xll.DBRW($B$1,$B$2,$B$7,$B$3,$B$4,$B$5,$F379,$B$6,R$10,$A379,$B379)</f>
        <v>0</v>
      </c>
      <c r="S379" s="4">
        <f ca="1">_xll.DBRW($B$1,$B$2,$B$7,$B$3,$B$4,$B$5,$F379,$B$6,S$10,$A379,$B379)</f>
        <v>0</v>
      </c>
      <c r="T379" s="4">
        <f ca="1">_xll.DBRW($B$1,$B$2,$B$7,$B$3,$B$4,$B$5,$F379,$B$6,T$10,$A379,$B379)</f>
        <v>31</v>
      </c>
      <c r="U379" s="4">
        <f ca="1">_xll.DBRW($B$1,$B$2,$B$7,$B$3,$B$4,$B$5,$F379,$B$6,U$10,$A379,$B379)</f>
        <v>28</v>
      </c>
      <c r="V379" s="4">
        <f ca="1">_xll.DBRW($B$1,$B$2,$B$7,$B$3,$B$4,$B$5,$F379,$B$6,V$10,$A379,$B379)</f>
        <v>30</v>
      </c>
      <c r="W379" s="4">
        <f ca="1">_xll.DBRW($B$1,$B$2,$B$7,$B$3,$B$4,$B$5,$F379,$B$6,W$10,$A379,$B379)</f>
        <v>13</v>
      </c>
      <c r="X379" s="4">
        <f ca="1">_xll.DBRW($B$1,$B$2,$B$7,$B$3,$B$4,$B$5,$F379,$B$6,X$10,$A379,$B379)</f>
        <v>13</v>
      </c>
      <c r="Y379" s="4">
        <f ca="1">_xll.DBRW($B$1,$B$2,$B$7,$B$3,$B$4,$B$5,$F379,$B$6,Y$10,$A379,$B379)</f>
        <v>13</v>
      </c>
      <c r="Z379" s="4">
        <f ca="1">_xll.DBRW($B$1,$B$2,$B$7,$B$3,$B$4,$B$5,$F379,$B$6,Z$10,$A379,$B379)</f>
        <v>14</v>
      </c>
      <c r="AA379" s="4">
        <f ca="1">_xll.DBRW($B$1,$B$2,$B$7,$B$3,$B$4,$B$5,$F379,$B$6,AA$10,$A379,$B379)</f>
        <v>13</v>
      </c>
      <c r="AB379" s="4">
        <f ca="1">_xll.DBRW($B$1,$B$2,$B$7,$B$3,$B$4,$B$5,$F379,$B$6,AB$10,$A379,$B379)</f>
        <v>12</v>
      </c>
      <c r="AC379" s="4">
        <f ca="1">_xll.DBRW($B$1,$B$2,$B$7,$B$3,$B$4,$B$5,$F379,$B$6,AC$10,$A379,$B379)</f>
        <v>17</v>
      </c>
      <c r="AD379" s="4">
        <f ca="1">_xll.DBRW($B$1,$B$2,$B$7,$B$3,$B$4,$B$5,$F379,$B$6,AD$10,$A379,$B379)</f>
        <v>30</v>
      </c>
      <c r="AE379" s="4">
        <f ca="1">_xll.DBRW($B$1,$B$2,$B$7,$B$3,$B$4,$B$5,$F379,$B$6,AE$10,$A379,$B379)</f>
        <v>31</v>
      </c>
    </row>
    <row r="380" spans="1:31">
      <c r="A380" s="1" t="s">
        <v>150</v>
      </c>
      <c r="B380" s="5" t="s">
        <v>61</v>
      </c>
      <c r="C380" s="5" t="s">
        <v>62</v>
      </c>
      <c r="D380" s="5" t="s">
        <v>59</v>
      </c>
      <c r="E380" s="5" t="s">
        <v>21</v>
      </c>
      <c r="F380" s="5" t="s">
        <v>315</v>
      </c>
      <c r="G380" s="6"/>
      <c r="H380" s="6"/>
      <c r="I380" s="6"/>
      <c r="J380" s="6"/>
      <c r="K380" s="6"/>
      <c r="L380" s="4">
        <f ca="1">_xll.DBRW($B$1,$B$2,$B$7,$B$3,$B$4,$B$5,$F380,$B$6,L$10,$A380,$B380)</f>
        <v>7</v>
      </c>
      <c r="M380" s="4">
        <f ca="1">_xll.DBRW($B$1,$B$2,$B$7,$B$3,$B$4,$B$5,$F380,$B$6,M$10,$A380,$B380)</f>
        <v>5</v>
      </c>
      <c r="N380" s="4">
        <f ca="1">_xll.DBRW($B$1,$B$2,$B$7,$B$3,$B$4,$B$5,$F380,$B$6,N$10,$A380,$B380)</f>
        <v>6</v>
      </c>
      <c r="O380" s="4">
        <f ca="1">_xll.DBRW($B$1,$B$2,$B$7,$B$3,$B$4,$B$5,$F380,$B$6,O$10,$A380,$B380)</f>
        <v>5</v>
      </c>
      <c r="P380" s="4">
        <f ca="1">_xll.DBRW($B$1,$B$2,$B$7,$B$3,$B$4,$B$5,$F380,$B$6,P$10,$A380,$B380)</f>
        <v>4</v>
      </c>
      <c r="Q380" s="4">
        <f ca="1">_xll.DBRW($B$1,$B$2,$B$7,$B$3,$B$4,$B$5,$F380,$B$6,Q$10,$A380,$B380)</f>
        <v>4</v>
      </c>
      <c r="R380" s="4">
        <f ca="1">_xll.DBRW($B$1,$B$2,$B$7,$B$3,$B$4,$B$5,$F380,$B$6,R$10,$A380,$B380)</f>
        <v>0</v>
      </c>
      <c r="S380" s="4">
        <f ca="1">_xll.DBRW($B$1,$B$2,$B$7,$B$3,$B$4,$B$5,$F380,$B$6,S$10,$A380,$B380)</f>
        <v>0</v>
      </c>
      <c r="T380" s="4">
        <f ca="1">_xll.DBRW($B$1,$B$2,$B$7,$B$3,$B$4,$B$5,$F380,$B$6,T$10,$A380,$B380)</f>
        <v>31</v>
      </c>
      <c r="U380" s="4">
        <f ca="1">_xll.DBRW($B$1,$B$2,$B$7,$B$3,$B$4,$B$5,$F380,$B$6,U$10,$A380,$B380)</f>
        <v>28</v>
      </c>
      <c r="V380" s="4">
        <f ca="1">_xll.DBRW($B$1,$B$2,$B$7,$B$3,$B$4,$B$5,$F380,$B$6,V$10,$A380,$B380)</f>
        <v>30</v>
      </c>
      <c r="W380" s="4">
        <f ca="1">_xll.DBRW($B$1,$B$2,$B$7,$B$3,$B$4,$B$5,$F380,$B$6,W$10,$A380,$B380)</f>
        <v>17</v>
      </c>
      <c r="X380" s="4">
        <f ca="1">_xll.DBRW($B$1,$B$2,$B$7,$B$3,$B$4,$B$5,$F380,$B$6,X$10,$A380,$B380)</f>
        <v>18</v>
      </c>
      <c r="Y380" s="4">
        <f ca="1">_xll.DBRW($B$1,$B$2,$B$7,$B$3,$B$4,$B$5,$F380,$B$6,Y$10,$A380,$B380)</f>
        <v>17</v>
      </c>
      <c r="Z380" s="4">
        <f ca="1">_xll.DBRW($B$1,$B$2,$B$7,$B$3,$B$4,$B$5,$F380,$B$6,Z$10,$A380,$B380)</f>
        <v>18</v>
      </c>
      <c r="AA380" s="4">
        <f ca="1">_xll.DBRW($B$1,$B$2,$B$7,$B$3,$B$4,$B$5,$F380,$B$6,AA$10,$A380,$B380)</f>
        <v>18</v>
      </c>
      <c r="AB380" s="4">
        <f ca="1">_xll.DBRW($B$1,$B$2,$B$7,$B$3,$B$4,$B$5,$F380,$B$6,AB$10,$A380,$B380)</f>
        <v>16</v>
      </c>
      <c r="AC380" s="4">
        <f ca="1">_xll.DBRW($B$1,$B$2,$B$7,$B$3,$B$4,$B$5,$F380,$B$6,AC$10,$A380,$B380)</f>
        <v>21</v>
      </c>
      <c r="AD380" s="4">
        <f ca="1">_xll.DBRW($B$1,$B$2,$B$7,$B$3,$B$4,$B$5,$F380,$B$6,AD$10,$A380,$B380)</f>
        <v>30</v>
      </c>
      <c r="AE380" s="4">
        <f ca="1">_xll.DBRW($B$1,$B$2,$B$7,$B$3,$B$4,$B$5,$F380,$B$6,AE$10,$A380,$B380)</f>
        <v>31</v>
      </c>
    </row>
    <row r="381" spans="1:31">
      <c r="A381" s="1" t="s">
        <v>150</v>
      </c>
      <c r="B381" s="5" t="s">
        <v>188</v>
      </c>
      <c r="C381" s="5" t="s">
        <v>189</v>
      </c>
      <c r="D381" s="5" t="s">
        <v>21</v>
      </c>
      <c r="E381" s="5" t="s">
        <v>20</v>
      </c>
      <c r="F381" s="5" t="s">
        <v>315</v>
      </c>
      <c r="G381" s="6"/>
      <c r="H381" s="6"/>
      <c r="I381" s="6"/>
      <c r="J381" s="6"/>
      <c r="K381" s="6"/>
      <c r="L381" s="4">
        <f ca="1">_xll.DBRW($B$1,$B$2,$B$7,$B$3,$B$4,$B$5,$F381,$B$6,L$10,$A381,$B381)</f>
        <v>0</v>
      </c>
      <c r="M381" s="4">
        <f ca="1">_xll.DBRW($B$1,$B$2,$B$7,$B$3,$B$4,$B$5,$F381,$B$6,M$10,$A381,$B381)</f>
        <v>0</v>
      </c>
      <c r="N381" s="4">
        <f ca="1">_xll.DBRW($B$1,$B$2,$B$7,$B$3,$B$4,$B$5,$F381,$B$6,N$10,$A381,$B381)</f>
        <v>0</v>
      </c>
      <c r="O381" s="4">
        <f ca="1">_xll.DBRW($B$1,$B$2,$B$7,$B$3,$B$4,$B$5,$F381,$B$6,O$10,$A381,$B381)</f>
        <v>0</v>
      </c>
      <c r="P381" s="4">
        <f ca="1">_xll.DBRW($B$1,$B$2,$B$7,$B$3,$B$4,$B$5,$F381,$B$6,P$10,$A381,$B381)</f>
        <v>0</v>
      </c>
      <c r="Q381" s="4">
        <f ca="1">_xll.DBRW($B$1,$B$2,$B$7,$B$3,$B$4,$B$5,$F381,$B$6,Q$10,$A381,$B381)</f>
        <v>0</v>
      </c>
      <c r="R381" s="4">
        <f ca="1">_xll.DBRW($B$1,$B$2,$B$7,$B$3,$B$4,$B$5,$F381,$B$6,R$10,$A381,$B381)</f>
        <v>0</v>
      </c>
      <c r="S381" s="4">
        <f ca="1">_xll.DBRW($B$1,$B$2,$B$7,$B$3,$B$4,$B$5,$F381,$B$6,S$10,$A381,$B381)</f>
        <v>0</v>
      </c>
      <c r="T381" s="4">
        <f ca="1">_xll.DBRW($B$1,$B$2,$B$7,$B$3,$B$4,$B$5,$F381,$B$6,T$10,$A381,$B381)</f>
        <v>0</v>
      </c>
      <c r="U381" s="4">
        <f ca="1">_xll.DBRW($B$1,$B$2,$B$7,$B$3,$B$4,$B$5,$F381,$B$6,U$10,$A381,$B381)</f>
        <v>0</v>
      </c>
      <c r="V381" s="4">
        <f ca="1">_xll.DBRW($B$1,$B$2,$B$7,$B$3,$B$4,$B$5,$F381,$B$6,V$10,$A381,$B381)</f>
        <v>0</v>
      </c>
      <c r="W381" s="4">
        <f ca="1">_xll.DBRW($B$1,$B$2,$B$7,$B$3,$B$4,$B$5,$F381,$B$6,W$10,$A381,$B381)</f>
        <v>0</v>
      </c>
      <c r="X381" s="4">
        <f ca="1">_xll.DBRW($B$1,$B$2,$B$7,$B$3,$B$4,$B$5,$F381,$B$6,X$10,$A381,$B381)</f>
        <v>0</v>
      </c>
      <c r="Y381" s="4">
        <f ca="1">_xll.DBRW($B$1,$B$2,$B$7,$B$3,$B$4,$B$5,$F381,$B$6,Y$10,$A381,$B381)</f>
        <v>0</v>
      </c>
      <c r="Z381" s="4">
        <f ca="1">_xll.DBRW($B$1,$B$2,$B$7,$B$3,$B$4,$B$5,$F381,$B$6,Z$10,$A381,$B381)</f>
        <v>0</v>
      </c>
      <c r="AA381" s="4">
        <f ca="1">_xll.DBRW($B$1,$B$2,$B$7,$B$3,$B$4,$B$5,$F381,$B$6,AA$10,$A381,$B381)</f>
        <v>0</v>
      </c>
      <c r="AB381" s="4">
        <f ca="1">_xll.DBRW($B$1,$B$2,$B$7,$B$3,$B$4,$B$5,$F381,$B$6,AB$10,$A381,$B381)</f>
        <v>0</v>
      </c>
      <c r="AC381" s="4">
        <f ca="1">_xll.DBRW($B$1,$B$2,$B$7,$B$3,$B$4,$B$5,$F381,$B$6,AC$10,$A381,$B381)</f>
        <v>0</v>
      </c>
      <c r="AD381" s="4">
        <f ca="1">_xll.DBRW($B$1,$B$2,$B$7,$B$3,$B$4,$B$5,$F381,$B$6,AD$10,$A381,$B381)</f>
        <v>0</v>
      </c>
      <c r="AE381" s="4">
        <f ca="1">_xll.DBRW($B$1,$B$2,$B$7,$B$3,$B$4,$B$5,$F381,$B$6,AE$10,$A381,$B381)</f>
        <v>0</v>
      </c>
    </row>
    <row r="382" spans="1:31">
      <c r="A382" s="1" t="s">
        <v>150</v>
      </c>
      <c r="B382" s="5" t="s">
        <v>18</v>
      </c>
      <c r="C382" s="5" t="s">
        <v>19</v>
      </c>
      <c r="D382" s="5" t="s">
        <v>20</v>
      </c>
      <c r="E382" s="5" t="s">
        <v>21</v>
      </c>
      <c r="F382" s="5" t="s">
        <v>315</v>
      </c>
      <c r="G382" s="6"/>
      <c r="H382" s="6"/>
      <c r="I382" s="6"/>
      <c r="J382" s="6"/>
      <c r="K382" s="6"/>
      <c r="L382" s="4">
        <f ca="1">_xll.DBRW($B$1,$B$2,$B$7,$B$3,$B$4,$B$5,$F382,$B$6,L$10,$A382,$B382)</f>
        <v>0</v>
      </c>
      <c r="M382" s="4">
        <f ca="1">_xll.DBRW($B$1,$B$2,$B$7,$B$3,$B$4,$B$5,$F382,$B$6,M$10,$A382,$B382)</f>
        <v>0</v>
      </c>
      <c r="N382" s="4">
        <f ca="1">_xll.DBRW($B$1,$B$2,$B$7,$B$3,$B$4,$B$5,$F382,$B$6,N$10,$A382,$B382)</f>
        <v>0</v>
      </c>
      <c r="O382" s="4">
        <f ca="1">_xll.DBRW($B$1,$B$2,$B$7,$B$3,$B$4,$B$5,$F382,$B$6,O$10,$A382,$B382)</f>
        <v>0</v>
      </c>
      <c r="P382" s="4">
        <f ca="1">_xll.DBRW($B$1,$B$2,$B$7,$B$3,$B$4,$B$5,$F382,$B$6,P$10,$A382,$B382)</f>
        <v>0</v>
      </c>
      <c r="Q382" s="4">
        <f ca="1">_xll.DBRW($B$1,$B$2,$B$7,$B$3,$B$4,$B$5,$F382,$B$6,Q$10,$A382,$B382)</f>
        <v>0</v>
      </c>
      <c r="R382" s="4">
        <f ca="1">_xll.DBRW($B$1,$B$2,$B$7,$B$3,$B$4,$B$5,$F382,$B$6,R$10,$A382,$B382)</f>
        <v>0</v>
      </c>
      <c r="S382" s="4">
        <f ca="1">_xll.DBRW($B$1,$B$2,$B$7,$B$3,$B$4,$B$5,$F382,$B$6,S$10,$A382,$B382)</f>
        <v>0</v>
      </c>
      <c r="T382" s="4">
        <f ca="1">_xll.DBRW($B$1,$B$2,$B$7,$B$3,$B$4,$B$5,$F382,$B$6,T$10,$A382,$B382)</f>
        <v>0</v>
      </c>
      <c r="U382" s="4">
        <f ca="1">_xll.DBRW($B$1,$B$2,$B$7,$B$3,$B$4,$B$5,$F382,$B$6,U$10,$A382,$B382)</f>
        <v>0</v>
      </c>
      <c r="V382" s="4">
        <f ca="1">_xll.DBRW($B$1,$B$2,$B$7,$B$3,$B$4,$B$5,$F382,$B$6,V$10,$A382,$B382)</f>
        <v>0</v>
      </c>
      <c r="W382" s="4">
        <f ca="1">_xll.DBRW($B$1,$B$2,$B$7,$B$3,$B$4,$B$5,$F382,$B$6,W$10,$A382,$B382)</f>
        <v>0</v>
      </c>
      <c r="X382" s="4">
        <f ca="1">_xll.DBRW($B$1,$B$2,$B$7,$B$3,$B$4,$B$5,$F382,$B$6,X$10,$A382,$B382)</f>
        <v>0</v>
      </c>
      <c r="Y382" s="4">
        <f ca="1">_xll.DBRW($B$1,$B$2,$B$7,$B$3,$B$4,$B$5,$F382,$B$6,Y$10,$A382,$B382)</f>
        <v>0</v>
      </c>
      <c r="Z382" s="4">
        <f ca="1">_xll.DBRW($B$1,$B$2,$B$7,$B$3,$B$4,$B$5,$F382,$B$6,Z$10,$A382,$B382)</f>
        <v>0</v>
      </c>
      <c r="AA382" s="4">
        <f ca="1">_xll.DBRW($B$1,$B$2,$B$7,$B$3,$B$4,$B$5,$F382,$B$6,AA$10,$A382,$B382)</f>
        <v>0</v>
      </c>
      <c r="AB382" s="4">
        <f ca="1">_xll.DBRW($B$1,$B$2,$B$7,$B$3,$B$4,$B$5,$F382,$B$6,AB$10,$A382,$B382)</f>
        <v>0</v>
      </c>
      <c r="AC382" s="4">
        <f ca="1">_xll.DBRW($B$1,$B$2,$B$7,$B$3,$B$4,$B$5,$F382,$B$6,AC$10,$A382,$B382)</f>
        <v>0</v>
      </c>
      <c r="AD382" s="4">
        <f ca="1">_xll.DBRW($B$1,$B$2,$B$7,$B$3,$B$4,$B$5,$F382,$B$6,AD$10,$A382,$B382)</f>
        <v>0</v>
      </c>
      <c r="AE382" s="4">
        <f ca="1">_xll.DBRW($B$1,$B$2,$B$7,$B$3,$B$4,$B$5,$F382,$B$6,AE$10,$A382,$B382)</f>
        <v>0</v>
      </c>
    </row>
    <row r="383" spans="1:31">
      <c r="A383" s="1" t="s">
        <v>150</v>
      </c>
      <c r="B383" s="5" t="s">
        <v>190</v>
      </c>
      <c r="C383" s="5" t="s">
        <v>191</v>
      </c>
      <c r="D383" s="5" t="s">
        <v>21</v>
      </c>
      <c r="E383" s="5" t="s">
        <v>73</v>
      </c>
      <c r="F383" s="5" t="s">
        <v>315</v>
      </c>
      <c r="G383" s="6"/>
      <c r="H383" s="6"/>
      <c r="I383" s="6"/>
      <c r="J383" s="6"/>
      <c r="K383" s="6"/>
      <c r="L383" s="4">
        <f ca="1">_xll.DBRW($B$1,$B$2,$B$7,$B$3,$B$4,$B$5,$F383,$B$6,L$10,$A383,$B383)</f>
        <v>0</v>
      </c>
      <c r="M383" s="4">
        <f ca="1">_xll.DBRW($B$1,$B$2,$B$7,$B$3,$B$4,$B$5,$F383,$B$6,M$10,$A383,$B383)</f>
        <v>0</v>
      </c>
      <c r="N383" s="4">
        <f ca="1">_xll.DBRW($B$1,$B$2,$B$7,$B$3,$B$4,$B$5,$F383,$B$6,N$10,$A383,$B383)</f>
        <v>0</v>
      </c>
      <c r="O383" s="4">
        <f ca="1">_xll.DBRW($B$1,$B$2,$B$7,$B$3,$B$4,$B$5,$F383,$B$6,O$10,$A383,$B383)</f>
        <v>0</v>
      </c>
      <c r="P383" s="4">
        <f ca="1">_xll.DBRW($B$1,$B$2,$B$7,$B$3,$B$4,$B$5,$F383,$B$6,P$10,$A383,$B383)</f>
        <v>0</v>
      </c>
      <c r="Q383" s="4">
        <f ca="1">_xll.DBRW($B$1,$B$2,$B$7,$B$3,$B$4,$B$5,$F383,$B$6,Q$10,$A383,$B383)</f>
        <v>0</v>
      </c>
      <c r="R383" s="4">
        <f ca="1">_xll.DBRW($B$1,$B$2,$B$7,$B$3,$B$4,$B$5,$F383,$B$6,R$10,$A383,$B383)</f>
        <v>0</v>
      </c>
      <c r="S383" s="4">
        <f ca="1">_xll.DBRW($B$1,$B$2,$B$7,$B$3,$B$4,$B$5,$F383,$B$6,S$10,$A383,$B383)</f>
        <v>0</v>
      </c>
      <c r="T383" s="4">
        <f ca="1">_xll.DBRW($B$1,$B$2,$B$7,$B$3,$B$4,$B$5,$F383,$B$6,T$10,$A383,$B383)</f>
        <v>0</v>
      </c>
      <c r="U383" s="4">
        <f ca="1">_xll.DBRW($B$1,$B$2,$B$7,$B$3,$B$4,$B$5,$F383,$B$6,U$10,$A383,$B383)</f>
        <v>0</v>
      </c>
      <c r="V383" s="4">
        <f ca="1">_xll.DBRW($B$1,$B$2,$B$7,$B$3,$B$4,$B$5,$F383,$B$6,V$10,$A383,$B383)</f>
        <v>0</v>
      </c>
      <c r="W383" s="4">
        <f ca="1">_xll.DBRW($B$1,$B$2,$B$7,$B$3,$B$4,$B$5,$F383,$B$6,W$10,$A383,$B383)</f>
        <v>0</v>
      </c>
      <c r="X383" s="4">
        <f ca="1">_xll.DBRW($B$1,$B$2,$B$7,$B$3,$B$4,$B$5,$F383,$B$6,X$10,$A383,$B383)</f>
        <v>0</v>
      </c>
      <c r="Y383" s="4">
        <f ca="1">_xll.DBRW($B$1,$B$2,$B$7,$B$3,$B$4,$B$5,$F383,$B$6,Y$10,$A383,$B383)</f>
        <v>0</v>
      </c>
      <c r="Z383" s="4">
        <f ca="1">_xll.DBRW($B$1,$B$2,$B$7,$B$3,$B$4,$B$5,$F383,$B$6,Z$10,$A383,$B383)</f>
        <v>0</v>
      </c>
      <c r="AA383" s="4">
        <f ca="1">_xll.DBRW($B$1,$B$2,$B$7,$B$3,$B$4,$B$5,$F383,$B$6,AA$10,$A383,$B383)</f>
        <v>0</v>
      </c>
      <c r="AB383" s="4">
        <f ca="1">_xll.DBRW($B$1,$B$2,$B$7,$B$3,$B$4,$B$5,$F383,$B$6,AB$10,$A383,$B383)</f>
        <v>0</v>
      </c>
      <c r="AC383" s="4">
        <f ca="1">_xll.DBRW($B$1,$B$2,$B$7,$B$3,$B$4,$B$5,$F383,$B$6,AC$10,$A383,$B383)</f>
        <v>0</v>
      </c>
      <c r="AD383" s="4">
        <f ca="1">_xll.DBRW($B$1,$B$2,$B$7,$B$3,$B$4,$B$5,$F383,$B$6,AD$10,$A383,$B383)</f>
        <v>0</v>
      </c>
      <c r="AE383" s="4">
        <f ca="1">_xll.DBRW($B$1,$B$2,$B$7,$B$3,$B$4,$B$5,$F383,$B$6,AE$10,$A383,$B383)</f>
        <v>0</v>
      </c>
    </row>
    <row r="384" spans="1:31">
      <c r="A384" s="1" t="s">
        <v>150</v>
      </c>
      <c r="B384" s="5" t="s">
        <v>71</v>
      </c>
      <c r="C384" s="5" t="s">
        <v>72</v>
      </c>
      <c r="D384" s="5" t="s">
        <v>73</v>
      </c>
      <c r="E384" s="5" t="s">
        <v>21</v>
      </c>
      <c r="F384" s="5" t="s">
        <v>315</v>
      </c>
      <c r="G384" s="6"/>
      <c r="H384" s="6"/>
      <c r="I384" s="6"/>
      <c r="J384" s="6"/>
      <c r="K384" s="6"/>
      <c r="L384" s="4">
        <f ca="1">_xll.DBRW($B$1,$B$2,$B$7,$B$3,$B$4,$B$5,$F384,$B$6,L$10,$A384,$B384)</f>
        <v>0</v>
      </c>
      <c r="M384" s="4">
        <f ca="1">_xll.DBRW($B$1,$B$2,$B$7,$B$3,$B$4,$B$5,$F384,$B$6,M$10,$A384,$B384)</f>
        <v>0</v>
      </c>
      <c r="N384" s="4">
        <f ca="1">_xll.DBRW($B$1,$B$2,$B$7,$B$3,$B$4,$B$5,$F384,$B$6,N$10,$A384,$B384)</f>
        <v>0</v>
      </c>
      <c r="O384" s="4">
        <f ca="1">_xll.DBRW($B$1,$B$2,$B$7,$B$3,$B$4,$B$5,$F384,$B$6,O$10,$A384,$B384)</f>
        <v>0</v>
      </c>
      <c r="P384" s="4">
        <f ca="1">_xll.DBRW($B$1,$B$2,$B$7,$B$3,$B$4,$B$5,$F384,$B$6,P$10,$A384,$B384)</f>
        <v>0</v>
      </c>
      <c r="Q384" s="4">
        <f ca="1">_xll.DBRW($B$1,$B$2,$B$7,$B$3,$B$4,$B$5,$F384,$B$6,Q$10,$A384,$B384)</f>
        <v>0</v>
      </c>
      <c r="R384" s="4">
        <f ca="1">_xll.DBRW($B$1,$B$2,$B$7,$B$3,$B$4,$B$5,$F384,$B$6,R$10,$A384,$B384)</f>
        <v>0</v>
      </c>
      <c r="S384" s="4">
        <f ca="1">_xll.DBRW($B$1,$B$2,$B$7,$B$3,$B$4,$B$5,$F384,$B$6,S$10,$A384,$B384)</f>
        <v>0</v>
      </c>
      <c r="T384" s="4">
        <f ca="1">_xll.DBRW($B$1,$B$2,$B$7,$B$3,$B$4,$B$5,$F384,$B$6,T$10,$A384,$B384)</f>
        <v>0</v>
      </c>
      <c r="U384" s="4">
        <f ca="1">_xll.DBRW($B$1,$B$2,$B$7,$B$3,$B$4,$B$5,$F384,$B$6,U$10,$A384,$B384)</f>
        <v>0</v>
      </c>
      <c r="V384" s="4">
        <f ca="1">_xll.DBRW($B$1,$B$2,$B$7,$B$3,$B$4,$B$5,$F384,$B$6,V$10,$A384,$B384)</f>
        <v>0</v>
      </c>
      <c r="W384" s="4">
        <f ca="1">_xll.DBRW($B$1,$B$2,$B$7,$B$3,$B$4,$B$5,$F384,$B$6,W$10,$A384,$B384)</f>
        <v>0</v>
      </c>
      <c r="X384" s="4">
        <f ca="1">_xll.DBRW($B$1,$B$2,$B$7,$B$3,$B$4,$B$5,$F384,$B$6,X$10,$A384,$B384)</f>
        <v>0</v>
      </c>
      <c r="Y384" s="4">
        <f ca="1">_xll.DBRW($B$1,$B$2,$B$7,$B$3,$B$4,$B$5,$F384,$B$6,Y$10,$A384,$B384)</f>
        <v>0</v>
      </c>
      <c r="Z384" s="4">
        <f ca="1">_xll.DBRW($B$1,$B$2,$B$7,$B$3,$B$4,$B$5,$F384,$B$6,Z$10,$A384,$B384)</f>
        <v>0</v>
      </c>
      <c r="AA384" s="4">
        <f ca="1">_xll.DBRW($B$1,$B$2,$B$7,$B$3,$B$4,$B$5,$F384,$B$6,AA$10,$A384,$B384)</f>
        <v>0</v>
      </c>
      <c r="AB384" s="4">
        <f ca="1">_xll.DBRW($B$1,$B$2,$B$7,$B$3,$B$4,$B$5,$F384,$B$6,AB$10,$A384,$B384)</f>
        <v>0</v>
      </c>
      <c r="AC384" s="4">
        <f ca="1">_xll.DBRW($B$1,$B$2,$B$7,$B$3,$B$4,$B$5,$F384,$B$6,AC$10,$A384,$B384)</f>
        <v>0</v>
      </c>
      <c r="AD384" s="4">
        <f ca="1">_xll.DBRW($B$1,$B$2,$B$7,$B$3,$B$4,$B$5,$F384,$B$6,AD$10,$A384,$B384)</f>
        <v>0</v>
      </c>
      <c r="AE384" s="4">
        <f ca="1">_xll.DBRW($B$1,$B$2,$B$7,$B$3,$B$4,$B$5,$F384,$B$6,AE$10,$A384,$B384)</f>
        <v>0</v>
      </c>
    </row>
    <row r="385" spans="1:31">
      <c r="A385" s="1" t="s">
        <v>150</v>
      </c>
      <c r="B385" s="5" t="s">
        <v>192</v>
      </c>
      <c r="C385" s="5" t="s">
        <v>193</v>
      </c>
      <c r="D385" s="5" t="s">
        <v>21</v>
      </c>
      <c r="E385" s="5" t="s">
        <v>194</v>
      </c>
      <c r="F385" s="5" t="s">
        <v>315</v>
      </c>
      <c r="G385" s="6"/>
      <c r="H385" s="6"/>
      <c r="I385" s="6"/>
      <c r="J385" s="6"/>
      <c r="K385" s="6"/>
      <c r="L385" s="4">
        <f ca="1">_xll.DBRW($B$1,$B$2,$B$7,$B$3,$B$4,$B$5,$F385,$B$6,L$10,$A385,$B385)</f>
        <v>0</v>
      </c>
      <c r="M385" s="4">
        <f ca="1">_xll.DBRW($B$1,$B$2,$B$7,$B$3,$B$4,$B$5,$F385,$B$6,M$10,$A385,$B385)</f>
        <v>0</v>
      </c>
      <c r="N385" s="4">
        <f ca="1">_xll.DBRW($B$1,$B$2,$B$7,$B$3,$B$4,$B$5,$F385,$B$6,N$10,$A385,$B385)</f>
        <v>0</v>
      </c>
      <c r="O385" s="4">
        <f ca="1">_xll.DBRW($B$1,$B$2,$B$7,$B$3,$B$4,$B$5,$F385,$B$6,O$10,$A385,$B385)</f>
        <v>0</v>
      </c>
      <c r="P385" s="4">
        <f ca="1">_xll.DBRW($B$1,$B$2,$B$7,$B$3,$B$4,$B$5,$F385,$B$6,P$10,$A385,$B385)</f>
        <v>0</v>
      </c>
      <c r="Q385" s="4">
        <f ca="1">_xll.DBRW($B$1,$B$2,$B$7,$B$3,$B$4,$B$5,$F385,$B$6,Q$10,$A385,$B385)</f>
        <v>0</v>
      </c>
      <c r="R385" s="4">
        <f ca="1">_xll.DBRW($B$1,$B$2,$B$7,$B$3,$B$4,$B$5,$F385,$B$6,R$10,$A385,$B385)</f>
        <v>0</v>
      </c>
      <c r="S385" s="4">
        <f ca="1">_xll.DBRW($B$1,$B$2,$B$7,$B$3,$B$4,$B$5,$F385,$B$6,S$10,$A385,$B385)</f>
        <v>0</v>
      </c>
      <c r="T385" s="4">
        <f ca="1">_xll.DBRW($B$1,$B$2,$B$7,$B$3,$B$4,$B$5,$F385,$B$6,T$10,$A385,$B385)</f>
        <v>0</v>
      </c>
      <c r="U385" s="4">
        <f ca="1">_xll.DBRW($B$1,$B$2,$B$7,$B$3,$B$4,$B$5,$F385,$B$6,U$10,$A385,$B385)</f>
        <v>0</v>
      </c>
      <c r="V385" s="4">
        <f ca="1">_xll.DBRW($B$1,$B$2,$B$7,$B$3,$B$4,$B$5,$F385,$B$6,V$10,$A385,$B385)</f>
        <v>0</v>
      </c>
      <c r="W385" s="4">
        <f ca="1">_xll.DBRW($B$1,$B$2,$B$7,$B$3,$B$4,$B$5,$F385,$B$6,W$10,$A385,$B385)</f>
        <v>0</v>
      </c>
      <c r="X385" s="4">
        <f ca="1">_xll.DBRW($B$1,$B$2,$B$7,$B$3,$B$4,$B$5,$F385,$B$6,X$10,$A385,$B385)</f>
        <v>0</v>
      </c>
      <c r="Y385" s="4">
        <f ca="1">_xll.DBRW($B$1,$B$2,$B$7,$B$3,$B$4,$B$5,$F385,$B$6,Y$10,$A385,$B385)</f>
        <v>0</v>
      </c>
      <c r="Z385" s="4">
        <f ca="1">_xll.DBRW($B$1,$B$2,$B$7,$B$3,$B$4,$B$5,$F385,$B$6,Z$10,$A385,$B385)</f>
        <v>0</v>
      </c>
      <c r="AA385" s="4">
        <f ca="1">_xll.DBRW($B$1,$B$2,$B$7,$B$3,$B$4,$B$5,$F385,$B$6,AA$10,$A385,$B385)</f>
        <v>0</v>
      </c>
      <c r="AB385" s="4">
        <f ca="1">_xll.DBRW($B$1,$B$2,$B$7,$B$3,$B$4,$B$5,$F385,$B$6,AB$10,$A385,$B385)</f>
        <v>0</v>
      </c>
      <c r="AC385" s="4">
        <f ca="1">_xll.DBRW($B$1,$B$2,$B$7,$B$3,$B$4,$B$5,$F385,$B$6,AC$10,$A385,$B385)</f>
        <v>0</v>
      </c>
      <c r="AD385" s="4">
        <f ca="1">_xll.DBRW($B$1,$B$2,$B$7,$B$3,$B$4,$B$5,$F385,$B$6,AD$10,$A385,$B385)</f>
        <v>0</v>
      </c>
      <c r="AE385" s="4">
        <f ca="1">_xll.DBRW($B$1,$B$2,$B$7,$B$3,$B$4,$B$5,$F385,$B$6,AE$10,$A385,$B385)</f>
        <v>0</v>
      </c>
    </row>
    <row r="386" spans="1:31">
      <c r="A386" s="1" t="s">
        <v>150</v>
      </c>
      <c r="B386" s="5" t="s">
        <v>195</v>
      </c>
      <c r="C386" s="5" t="s">
        <v>196</v>
      </c>
      <c r="D386" s="5" t="s">
        <v>194</v>
      </c>
      <c r="E386" s="5" t="s">
        <v>21</v>
      </c>
      <c r="F386" s="5" t="s">
        <v>315</v>
      </c>
      <c r="G386" s="6"/>
      <c r="H386" s="6"/>
      <c r="I386" s="6"/>
      <c r="J386" s="6"/>
      <c r="K386" s="6"/>
      <c r="L386" s="4">
        <f ca="1">_xll.DBRW($B$1,$B$2,$B$7,$B$3,$B$4,$B$5,$F386,$B$6,L$10,$A386,$B386)</f>
        <v>0</v>
      </c>
      <c r="M386" s="4">
        <f ca="1">_xll.DBRW($B$1,$B$2,$B$7,$B$3,$B$4,$B$5,$F386,$B$6,M$10,$A386,$B386)</f>
        <v>0</v>
      </c>
      <c r="N386" s="4">
        <f ca="1">_xll.DBRW($B$1,$B$2,$B$7,$B$3,$B$4,$B$5,$F386,$B$6,N$10,$A386,$B386)</f>
        <v>0</v>
      </c>
      <c r="O386" s="4">
        <f ca="1">_xll.DBRW($B$1,$B$2,$B$7,$B$3,$B$4,$B$5,$F386,$B$6,O$10,$A386,$B386)</f>
        <v>0</v>
      </c>
      <c r="P386" s="4">
        <f ca="1">_xll.DBRW($B$1,$B$2,$B$7,$B$3,$B$4,$B$5,$F386,$B$6,P$10,$A386,$B386)</f>
        <v>0</v>
      </c>
      <c r="Q386" s="4">
        <f ca="1">_xll.DBRW($B$1,$B$2,$B$7,$B$3,$B$4,$B$5,$F386,$B$6,Q$10,$A386,$B386)</f>
        <v>0</v>
      </c>
      <c r="R386" s="4">
        <f ca="1">_xll.DBRW($B$1,$B$2,$B$7,$B$3,$B$4,$B$5,$F386,$B$6,R$10,$A386,$B386)</f>
        <v>0</v>
      </c>
      <c r="S386" s="4">
        <f ca="1">_xll.DBRW($B$1,$B$2,$B$7,$B$3,$B$4,$B$5,$F386,$B$6,S$10,$A386,$B386)</f>
        <v>0</v>
      </c>
      <c r="T386" s="4">
        <f ca="1">_xll.DBRW($B$1,$B$2,$B$7,$B$3,$B$4,$B$5,$F386,$B$6,T$10,$A386,$B386)</f>
        <v>0</v>
      </c>
      <c r="U386" s="4">
        <f ca="1">_xll.DBRW($B$1,$B$2,$B$7,$B$3,$B$4,$B$5,$F386,$B$6,U$10,$A386,$B386)</f>
        <v>0</v>
      </c>
      <c r="V386" s="4">
        <f ca="1">_xll.DBRW($B$1,$B$2,$B$7,$B$3,$B$4,$B$5,$F386,$B$6,V$10,$A386,$B386)</f>
        <v>0</v>
      </c>
      <c r="W386" s="4">
        <f ca="1">_xll.DBRW($B$1,$B$2,$B$7,$B$3,$B$4,$B$5,$F386,$B$6,W$10,$A386,$B386)</f>
        <v>0</v>
      </c>
      <c r="X386" s="4">
        <f ca="1">_xll.DBRW($B$1,$B$2,$B$7,$B$3,$B$4,$B$5,$F386,$B$6,X$10,$A386,$B386)</f>
        <v>0</v>
      </c>
      <c r="Y386" s="4">
        <f ca="1">_xll.DBRW($B$1,$B$2,$B$7,$B$3,$B$4,$B$5,$F386,$B$6,Y$10,$A386,$B386)</f>
        <v>0</v>
      </c>
      <c r="Z386" s="4">
        <f ca="1">_xll.DBRW($B$1,$B$2,$B$7,$B$3,$B$4,$B$5,$F386,$B$6,Z$10,$A386,$B386)</f>
        <v>0</v>
      </c>
      <c r="AA386" s="4">
        <f ca="1">_xll.DBRW($B$1,$B$2,$B$7,$B$3,$B$4,$B$5,$F386,$B$6,AA$10,$A386,$B386)</f>
        <v>0</v>
      </c>
      <c r="AB386" s="4">
        <f ca="1">_xll.DBRW($B$1,$B$2,$B$7,$B$3,$B$4,$B$5,$F386,$B$6,AB$10,$A386,$B386)</f>
        <v>0</v>
      </c>
      <c r="AC386" s="4">
        <f ca="1">_xll.DBRW($B$1,$B$2,$B$7,$B$3,$B$4,$B$5,$F386,$B$6,AC$10,$A386,$B386)</f>
        <v>0</v>
      </c>
      <c r="AD386" s="4">
        <f ca="1">_xll.DBRW($B$1,$B$2,$B$7,$B$3,$B$4,$B$5,$F386,$B$6,AD$10,$A386,$B386)</f>
        <v>0</v>
      </c>
      <c r="AE386" s="4">
        <f ca="1">_xll.DBRW($B$1,$B$2,$B$7,$B$3,$B$4,$B$5,$F386,$B$6,AE$10,$A386,$B386)</f>
        <v>0</v>
      </c>
    </row>
    <row r="387" spans="1:31">
      <c r="A387" s="1" t="s">
        <v>150</v>
      </c>
      <c r="B387" s="5" t="s">
        <v>197</v>
      </c>
      <c r="C387" s="5" t="s">
        <v>198</v>
      </c>
      <c r="D387" s="5" t="s">
        <v>28</v>
      </c>
      <c r="E387" s="5" t="s">
        <v>20</v>
      </c>
      <c r="F387" s="5" t="s">
        <v>315</v>
      </c>
      <c r="G387" s="6"/>
      <c r="H387" s="6"/>
      <c r="I387" s="6"/>
      <c r="J387" s="6"/>
      <c r="K387" s="6"/>
      <c r="L387" s="4">
        <f ca="1">_xll.DBRW($B$1,$B$2,$B$7,$B$3,$B$4,$B$5,$F387,$B$6,L$10,$A387,$B387)</f>
        <v>0</v>
      </c>
      <c r="M387" s="4">
        <f ca="1">_xll.DBRW($B$1,$B$2,$B$7,$B$3,$B$4,$B$5,$F387,$B$6,M$10,$A387,$B387)</f>
        <v>0</v>
      </c>
      <c r="N387" s="4">
        <f ca="1">_xll.DBRW($B$1,$B$2,$B$7,$B$3,$B$4,$B$5,$F387,$B$6,N$10,$A387,$B387)</f>
        <v>0</v>
      </c>
      <c r="O387" s="4">
        <f ca="1">_xll.DBRW($B$1,$B$2,$B$7,$B$3,$B$4,$B$5,$F387,$B$6,O$10,$A387,$B387)</f>
        <v>0</v>
      </c>
      <c r="P387" s="4">
        <f ca="1">_xll.DBRW($B$1,$B$2,$B$7,$B$3,$B$4,$B$5,$F387,$B$6,P$10,$A387,$B387)</f>
        <v>0</v>
      </c>
      <c r="Q387" s="4">
        <f ca="1">_xll.DBRW($B$1,$B$2,$B$7,$B$3,$B$4,$B$5,$F387,$B$6,Q$10,$A387,$B387)</f>
        <v>0</v>
      </c>
      <c r="R387" s="4">
        <f ca="1">_xll.DBRW($B$1,$B$2,$B$7,$B$3,$B$4,$B$5,$F387,$B$6,R$10,$A387,$B387)</f>
        <v>0</v>
      </c>
      <c r="S387" s="4">
        <f ca="1">_xll.DBRW($B$1,$B$2,$B$7,$B$3,$B$4,$B$5,$F387,$B$6,S$10,$A387,$B387)</f>
        <v>0</v>
      </c>
      <c r="T387" s="4">
        <f ca="1">_xll.DBRW($B$1,$B$2,$B$7,$B$3,$B$4,$B$5,$F387,$B$6,T$10,$A387,$B387)</f>
        <v>0</v>
      </c>
      <c r="U387" s="4">
        <f ca="1">_xll.DBRW($B$1,$B$2,$B$7,$B$3,$B$4,$B$5,$F387,$B$6,U$10,$A387,$B387)</f>
        <v>0</v>
      </c>
      <c r="V387" s="4">
        <f ca="1">_xll.DBRW($B$1,$B$2,$B$7,$B$3,$B$4,$B$5,$F387,$B$6,V$10,$A387,$B387)</f>
        <v>0</v>
      </c>
      <c r="W387" s="4">
        <f ca="1">_xll.DBRW($B$1,$B$2,$B$7,$B$3,$B$4,$B$5,$F387,$B$6,W$10,$A387,$B387)</f>
        <v>0</v>
      </c>
      <c r="X387" s="4">
        <f ca="1">_xll.DBRW($B$1,$B$2,$B$7,$B$3,$B$4,$B$5,$F387,$B$6,X$10,$A387,$B387)</f>
        <v>0</v>
      </c>
      <c r="Y387" s="4">
        <f ca="1">_xll.DBRW($B$1,$B$2,$B$7,$B$3,$B$4,$B$5,$F387,$B$6,Y$10,$A387,$B387)</f>
        <v>0</v>
      </c>
      <c r="Z387" s="4">
        <f ca="1">_xll.DBRW($B$1,$B$2,$B$7,$B$3,$B$4,$B$5,$F387,$B$6,Z$10,$A387,$B387)</f>
        <v>0</v>
      </c>
      <c r="AA387" s="4">
        <f ca="1">_xll.DBRW($B$1,$B$2,$B$7,$B$3,$B$4,$B$5,$F387,$B$6,AA$10,$A387,$B387)</f>
        <v>0</v>
      </c>
      <c r="AB387" s="4">
        <f ca="1">_xll.DBRW($B$1,$B$2,$B$7,$B$3,$B$4,$B$5,$F387,$B$6,AB$10,$A387,$B387)</f>
        <v>0</v>
      </c>
      <c r="AC387" s="4">
        <f ca="1">_xll.DBRW($B$1,$B$2,$B$7,$B$3,$B$4,$B$5,$F387,$B$6,AC$10,$A387,$B387)</f>
        <v>0</v>
      </c>
      <c r="AD387" s="4">
        <f ca="1">_xll.DBRW($B$1,$B$2,$B$7,$B$3,$B$4,$B$5,$F387,$B$6,AD$10,$A387,$B387)</f>
        <v>0</v>
      </c>
      <c r="AE387" s="4">
        <f ca="1">_xll.DBRW($B$1,$B$2,$B$7,$B$3,$B$4,$B$5,$F387,$B$6,AE$10,$A387,$B387)</f>
        <v>0</v>
      </c>
    </row>
    <row r="388" spans="1:31">
      <c r="A388" s="1" t="s">
        <v>150</v>
      </c>
      <c r="B388" s="5" t="s">
        <v>26</v>
      </c>
      <c r="C388" s="5" t="s">
        <v>27</v>
      </c>
      <c r="D388" s="5" t="s">
        <v>20</v>
      </c>
      <c r="E388" s="5" t="s">
        <v>28</v>
      </c>
      <c r="F388" s="5" t="s">
        <v>315</v>
      </c>
      <c r="G388" s="6"/>
      <c r="H388" s="6"/>
      <c r="I388" s="6"/>
      <c r="J388" s="6"/>
      <c r="K388" s="6"/>
      <c r="L388" s="4">
        <f ca="1">_xll.DBRW($B$1,$B$2,$B$7,$B$3,$B$4,$B$5,$F388,$B$6,L$10,$A388,$B388)</f>
        <v>0</v>
      </c>
      <c r="M388" s="4">
        <f ca="1">_xll.DBRW($B$1,$B$2,$B$7,$B$3,$B$4,$B$5,$F388,$B$6,M$10,$A388,$B388)</f>
        <v>0</v>
      </c>
      <c r="N388" s="4">
        <f ca="1">_xll.DBRW($B$1,$B$2,$B$7,$B$3,$B$4,$B$5,$F388,$B$6,N$10,$A388,$B388)</f>
        <v>0</v>
      </c>
      <c r="O388" s="4">
        <f ca="1">_xll.DBRW($B$1,$B$2,$B$7,$B$3,$B$4,$B$5,$F388,$B$6,O$10,$A388,$B388)</f>
        <v>0</v>
      </c>
      <c r="P388" s="4">
        <f ca="1">_xll.DBRW($B$1,$B$2,$B$7,$B$3,$B$4,$B$5,$F388,$B$6,P$10,$A388,$B388)</f>
        <v>0</v>
      </c>
      <c r="Q388" s="4">
        <f ca="1">_xll.DBRW($B$1,$B$2,$B$7,$B$3,$B$4,$B$5,$F388,$B$6,Q$10,$A388,$B388)</f>
        <v>0</v>
      </c>
      <c r="R388" s="4">
        <f ca="1">_xll.DBRW($B$1,$B$2,$B$7,$B$3,$B$4,$B$5,$F388,$B$6,R$10,$A388,$B388)</f>
        <v>0</v>
      </c>
      <c r="S388" s="4">
        <f ca="1">_xll.DBRW($B$1,$B$2,$B$7,$B$3,$B$4,$B$5,$F388,$B$6,S$10,$A388,$B388)</f>
        <v>0</v>
      </c>
      <c r="T388" s="4">
        <f ca="1">_xll.DBRW($B$1,$B$2,$B$7,$B$3,$B$4,$B$5,$F388,$B$6,T$10,$A388,$B388)</f>
        <v>0</v>
      </c>
      <c r="U388" s="4">
        <f ca="1">_xll.DBRW($B$1,$B$2,$B$7,$B$3,$B$4,$B$5,$F388,$B$6,U$10,$A388,$B388)</f>
        <v>0</v>
      </c>
      <c r="V388" s="4">
        <f ca="1">_xll.DBRW($B$1,$B$2,$B$7,$B$3,$B$4,$B$5,$F388,$B$6,V$10,$A388,$B388)</f>
        <v>0</v>
      </c>
      <c r="W388" s="4">
        <f ca="1">_xll.DBRW($B$1,$B$2,$B$7,$B$3,$B$4,$B$5,$F388,$B$6,W$10,$A388,$B388)</f>
        <v>0</v>
      </c>
      <c r="X388" s="4">
        <f ca="1">_xll.DBRW($B$1,$B$2,$B$7,$B$3,$B$4,$B$5,$F388,$B$6,X$10,$A388,$B388)</f>
        <v>0</v>
      </c>
      <c r="Y388" s="4">
        <f ca="1">_xll.DBRW($B$1,$B$2,$B$7,$B$3,$B$4,$B$5,$F388,$B$6,Y$10,$A388,$B388)</f>
        <v>0</v>
      </c>
      <c r="Z388" s="4">
        <f ca="1">_xll.DBRW($B$1,$B$2,$B$7,$B$3,$B$4,$B$5,$F388,$B$6,Z$10,$A388,$B388)</f>
        <v>0</v>
      </c>
      <c r="AA388" s="4">
        <f ca="1">_xll.DBRW($B$1,$B$2,$B$7,$B$3,$B$4,$B$5,$F388,$B$6,AA$10,$A388,$B388)</f>
        <v>0</v>
      </c>
      <c r="AB388" s="4">
        <f ca="1">_xll.DBRW($B$1,$B$2,$B$7,$B$3,$B$4,$B$5,$F388,$B$6,AB$10,$A388,$B388)</f>
        <v>0</v>
      </c>
      <c r="AC388" s="4">
        <f ca="1">_xll.DBRW($B$1,$B$2,$B$7,$B$3,$B$4,$B$5,$F388,$B$6,AC$10,$A388,$B388)</f>
        <v>0</v>
      </c>
      <c r="AD388" s="4">
        <f ca="1">_xll.DBRW($B$1,$B$2,$B$7,$B$3,$B$4,$B$5,$F388,$B$6,AD$10,$A388,$B388)</f>
        <v>0</v>
      </c>
      <c r="AE388" s="4">
        <f ca="1">_xll.DBRW($B$1,$B$2,$B$7,$B$3,$B$4,$B$5,$F388,$B$6,AE$10,$A388,$B388)</f>
        <v>0</v>
      </c>
    </row>
    <row r="389" spans="1:31">
      <c r="A389" s="1" t="s">
        <v>150</v>
      </c>
      <c r="B389" s="5" t="s">
        <v>199</v>
      </c>
      <c r="C389" s="5" t="s">
        <v>189</v>
      </c>
      <c r="D389" s="5" t="s">
        <v>21</v>
      </c>
      <c r="E389" s="5" t="s">
        <v>20</v>
      </c>
      <c r="F389" s="5" t="s">
        <v>315</v>
      </c>
      <c r="G389" s="6"/>
      <c r="H389" s="6"/>
      <c r="I389" s="6"/>
      <c r="J389" s="6"/>
      <c r="K389" s="6"/>
      <c r="L389" s="4">
        <f ca="1">_xll.DBRW($B$1,$B$2,$B$7,$B$3,$B$4,$B$5,$F389,$B$6,L$10,$A389,$B389)</f>
        <v>0</v>
      </c>
      <c r="M389" s="4">
        <f ca="1">_xll.DBRW($B$1,$B$2,$B$7,$B$3,$B$4,$B$5,$F389,$B$6,M$10,$A389,$B389)</f>
        <v>0</v>
      </c>
      <c r="N389" s="4">
        <f ca="1">_xll.DBRW($B$1,$B$2,$B$7,$B$3,$B$4,$B$5,$F389,$B$6,N$10,$A389,$B389)</f>
        <v>0</v>
      </c>
      <c r="O389" s="4">
        <f ca="1">_xll.DBRW($B$1,$B$2,$B$7,$B$3,$B$4,$B$5,$F389,$B$6,O$10,$A389,$B389)</f>
        <v>0</v>
      </c>
      <c r="P389" s="4">
        <f ca="1">_xll.DBRW($B$1,$B$2,$B$7,$B$3,$B$4,$B$5,$F389,$B$6,P$10,$A389,$B389)</f>
        <v>0</v>
      </c>
      <c r="Q389" s="4">
        <f ca="1">_xll.DBRW($B$1,$B$2,$B$7,$B$3,$B$4,$B$5,$F389,$B$6,Q$10,$A389,$B389)</f>
        <v>0</v>
      </c>
      <c r="R389" s="4">
        <f ca="1">_xll.DBRW($B$1,$B$2,$B$7,$B$3,$B$4,$B$5,$F389,$B$6,R$10,$A389,$B389)</f>
        <v>0</v>
      </c>
      <c r="S389" s="4">
        <f ca="1">_xll.DBRW($B$1,$B$2,$B$7,$B$3,$B$4,$B$5,$F389,$B$6,S$10,$A389,$B389)</f>
        <v>0</v>
      </c>
      <c r="T389" s="4">
        <f ca="1">_xll.DBRW($B$1,$B$2,$B$7,$B$3,$B$4,$B$5,$F389,$B$6,T$10,$A389,$B389)</f>
        <v>0</v>
      </c>
      <c r="U389" s="4">
        <f ca="1">_xll.DBRW($B$1,$B$2,$B$7,$B$3,$B$4,$B$5,$F389,$B$6,U$10,$A389,$B389)</f>
        <v>0</v>
      </c>
      <c r="V389" s="4">
        <f ca="1">_xll.DBRW($B$1,$B$2,$B$7,$B$3,$B$4,$B$5,$F389,$B$6,V$10,$A389,$B389)</f>
        <v>0</v>
      </c>
      <c r="W389" s="4">
        <f ca="1">_xll.DBRW($B$1,$B$2,$B$7,$B$3,$B$4,$B$5,$F389,$B$6,W$10,$A389,$B389)</f>
        <v>0</v>
      </c>
      <c r="X389" s="4">
        <f ca="1">_xll.DBRW($B$1,$B$2,$B$7,$B$3,$B$4,$B$5,$F389,$B$6,X$10,$A389,$B389)</f>
        <v>0</v>
      </c>
      <c r="Y389" s="4">
        <f ca="1">_xll.DBRW($B$1,$B$2,$B$7,$B$3,$B$4,$B$5,$F389,$B$6,Y$10,$A389,$B389)</f>
        <v>0</v>
      </c>
      <c r="Z389" s="4">
        <f ca="1">_xll.DBRW($B$1,$B$2,$B$7,$B$3,$B$4,$B$5,$F389,$B$6,Z$10,$A389,$B389)</f>
        <v>0</v>
      </c>
      <c r="AA389" s="4">
        <f ca="1">_xll.DBRW($B$1,$B$2,$B$7,$B$3,$B$4,$B$5,$F389,$B$6,AA$10,$A389,$B389)</f>
        <v>0</v>
      </c>
      <c r="AB389" s="4">
        <f ca="1">_xll.DBRW($B$1,$B$2,$B$7,$B$3,$B$4,$B$5,$F389,$B$6,AB$10,$A389,$B389)</f>
        <v>0</v>
      </c>
      <c r="AC389" s="4">
        <f ca="1">_xll.DBRW($B$1,$B$2,$B$7,$B$3,$B$4,$B$5,$F389,$B$6,AC$10,$A389,$B389)</f>
        <v>0</v>
      </c>
      <c r="AD389" s="4">
        <f ca="1">_xll.DBRW($B$1,$B$2,$B$7,$B$3,$B$4,$B$5,$F389,$B$6,AD$10,$A389,$B389)</f>
        <v>0</v>
      </c>
      <c r="AE389" s="4">
        <f ca="1">_xll.DBRW($B$1,$B$2,$B$7,$B$3,$B$4,$B$5,$F389,$B$6,AE$10,$A389,$B389)</f>
        <v>0</v>
      </c>
    </row>
    <row r="390" spans="1:31">
      <c r="A390" s="1" t="s">
        <v>150</v>
      </c>
      <c r="B390" s="5" t="s">
        <v>23</v>
      </c>
      <c r="C390" s="5" t="s">
        <v>19</v>
      </c>
      <c r="D390" s="5" t="s">
        <v>20</v>
      </c>
      <c r="E390" s="5" t="s">
        <v>21</v>
      </c>
      <c r="F390" s="5" t="s">
        <v>315</v>
      </c>
      <c r="G390" s="6"/>
      <c r="H390" s="6"/>
      <c r="I390" s="6"/>
      <c r="J390" s="6"/>
      <c r="K390" s="6"/>
      <c r="L390" s="4">
        <f ca="1">_xll.DBRW($B$1,$B$2,$B$7,$B$3,$B$4,$B$5,$F390,$B$6,L$10,$A390,$B390)</f>
        <v>0</v>
      </c>
      <c r="M390" s="4">
        <f ca="1">_xll.DBRW($B$1,$B$2,$B$7,$B$3,$B$4,$B$5,$F390,$B$6,M$10,$A390,$B390)</f>
        <v>0</v>
      </c>
      <c r="N390" s="4">
        <f ca="1">_xll.DBRW($B$1,$B$2,$B$7,$B$3,$B$4,$B$5,$F390,$B$6,N$10,$A390,$B390)</f>
        <v>0</v>
      </c>
      <c r="O390" s="4">
        <f ca="1">_xll.DBRW($B$1,$B$2,$B$7,$B$3,$B$4,$B$5,$F390,$B$6,O$10,$A390,$B390)</f>
        <v>0</v>
      </c>
      <c r="P390" s="4">
        <f ca="1">_xll.DBRW($B$1,$B$2,$B$7,$B$3,$B$4,$B$5,$F390,$B$6,P$10,$A390,$B390)</f>
        <v>0</v>
      </c>
      <c r="Q390" s="4">
        <f ca="1">_xll.DBRW($B$1,$B$2,$B$7,$B$3,$B$4,$B$5,$F390,$B$6,Q$10,$A390,$B390)</f>
        <v>0</v>
      </c>
      <c r="R390" s="4">
        <f ca="1">_xll.DBRW($B$1,$B$2,$B$7,$B$3,$B$4,$B$5,$F390,$B$6,R$10,$A390,$B390)</f>
        <v>0</v>
      </c>
      <c r="S390" s="4">
        <f ca="1">_xll.DBRW($B$1,$B$2,$B$7,$B$3,$B$4,$B$5,$F390,$B$6,S$10,$A390,$B390)</f>
        <v>0</v>
      </c>
      <c r="T390" s="4">
        <f ca="1">_xll.DBRW($B$1,$B$2,$B$7,$B$3,$B$4,$B$5,$F390,$B$6,T$10,$A390,$B390)</f>
        <v>0</v>
      </c>
      <c r="U390" s="4">
        <f ca="1">_xll.DBRW($B$1,$B$2,$B$7,$B$3,$B$4,$B$5,$F390,$B$6,U$10,$A390,$B390)</f>
        <v>0</v>
      </c>
      <c r="V390" s="4">
        <f ca="1">_xll.DBRW($B$1,$B$2,$B$7,$B$3,$B$4,$B$5,$F390,$B$6,V$10,$A390,$B390)</f>
        <v>0</v>
      </c>
      <c r="W390" s="4">
        <f ca="1">_xll.DBRW($B$1,$B$2,$B$7,$B$3,$B$4,$B$5,$F390,$B$6,W$10,$A390,$B390)</f>
        <v>0</v>
      </c>
      <c r="X390" s="4">
        <f ca="1">_xll.DBRW($B$1,$B$2,$B$7,$B$3,$B$4,$B$5,$F390,$B$6,X$10,$A390,$B390)</f>
        <v>0</v>
      </c>
      <c r="Y390" s="4">
        <f ca="1">_xll.DBRW($B$1,$B$2,$B$7,$B$3,$B$4,$B$5,$F390,$B$6,Y$10,$A390,$B390)</f>
        <v>0</v>
      </c>
      <c r="Z390" s="4">
        <f ca="1">_xll.DBRW($B$1,$B$2,$B$7,$B$3,$B$4,$B$5,$F390,$B$6,Z$10,$A390,$B390)</f>
        <v>0</v>
      </c>
      <c r="AA390" s="4">
        <f ca="1">_xll.DBRW($B$1,$B$2,$B$7,$B$3,$B$4,$B$5,$F390,$B$6,AA$10,$A390,$B390)</f>
        <v>0</v>
      </c>
      <c r="AB390" s="4">
        <f ca="1">_xll.DBRW($B$1,$B$2,$B$7,$B$3,$B$4,$B$5,$F390,$B$6,AB$10,$A390,$B390)</f>
        <v>0</v>
      </c>
      <c r="AC390" s="4">
        <f ca="1">_xll.DBRW($B$1,$B$2,$B$7,$B$3,$B$4,$B$5,$F390,$B$6,AC$10,$A390,$B390)</f>
        <v>0</v>
      </c>
      <c r="AD390" s="4">
        <f ca="1">_xll.DBRW($B$1,$B$2,$B$7,$B$3,$B$4,$B$5,$F390,$B$6,AD$10,$A390,$B390)</f>
        <v>0</v>
      </c>
      <c r="AE390" s="4">
        <f ca="1">_xll.DBRW($B$1,$B$2,$B$7,$B$3,$B$4,$B$5,$F390,$B$6,AE$10,$A390,$B390)</f>
        <v>0</v>
      </c>
    </row>
    <row r="391" spans="1:31">
      <c r="A391" s="1" t="s">
        <v>150</v>
      </c>
      <c r="B391" s="5" t="s">
        <v>200</v>
      </c>
      <c r="C391" s="5" t="s">
        <v>161</v>
      </c>
      <c r="D391" s="5" t="s">
        <v>21</v>
      </c>
      <c r="E391" s="5" t="s">
        <v>69</v>
      </c>
      <c r="F391" s="5" t="s">
        <v>315</v>
      </c>
      <c r="G391" s="6"/>
      <c r="H391" s="6"/>
      <c r="I391" s="6"/>
      <c r="J391" s="6"/>
      <c r="K391" s="6"/>
      <c r="L391" s="4">
        <f ca="1">_xll.DBRW($B$1,$B$2,$B$7,$B$3,$B$4,$B$5,$F391,$B$6,L$10,$A391,$B391)</f>
        <v>0</v>
      </c>
      <c r="M391" s="4">
        <f ca="1">_xll.DBRW($B$1,$B$2,$B$7,$B$3,$B$4,$B$5,$F391,$B$6,M$10,$A391,$B391)</f>
        <v>0</v>
      </c>
      <c r="N391" s="4">
        <f ca="1">_xll.DBRW($B$1,$B$2,$B$7,$B$3,$B$4,$B$5,$F391,$B$6,N$10,$A391,$B391)</f>
        <v>0</v>
      </c>
      <c r="O391" s="4">
        <f ca="1">_xll.DBRW($B$1,$B$2,$B$7,$B$3,$B$4,$B$5,$F391,$B$6,O$10,$A391,$B391)</f>
        <v>0</v>
      </c>
      <c r="P391" s="4">
        <f ca="1">_xll.DBRW($B$1,$B$2,$B$7,$B$3,$B$4,$B$5,$F391,$B$6,P$10,$A391,$B391)</f>
        <v>0</v>
      </c>
      <c r="Q391" s="4">
        <f ca="1">_xll.DBRW($B$1,$B$2,$B$7,$B$3,$B$4,$B$5,$F391,$B$6,Q$10,$A391,$B391)</f>
        <v>0</v>
      </c>
      <c r="R391" s="4">
        <f ca="1">_xll.DBRW($B$1,$B$2,$B$7,$B$3,$B$4,$B$5,$F391,$B$6,R$10,$A391,$B391)</f>
        <v>0</v>
      </c>
      <c r="S391" s="4">
        <f ca="1">_xll.DBRW($B$1,$B$2,$B$7,$B$3,$B$4,$B$5,$F391,$B$6,S$10,$A391,$B391)</f>
        <v>0</v>
      </c>
      <c r="T391" s="4">
        <f ca="1">_xll.DBRW($B$1,$B$2,$B$7,$B$3,$B$4,$B$5,$F391,$B$6,T$10,$A391,$B391)</f>
        <v>0</v>
      </c>
      <c r="U391" s="4">
        <f ca="1">_xll.DBRW($B$1,$B$2,$B$7,$B$3,$B$4,$B$5,$F391,$B$6,U$10,$A391,$B391)</f>
        <v>0</v>
      </c>
      <c r="V391" s="4">
        <f ca="1">_xll.DBRW($B$1,$B$2,$B$7,$B$3,$B$4,$B$5,$F391,$B$6,V$10,$A391,$B391)</f>
        <v>0</v>
      </c>
      <c r="W391" s="4">
        <f ca="1">_xll.DBRW($B$1,$B$2,$B$7,$B$3,$B$4,$B$5,$F391,$B$6,W$10,$A391,$B391)</f>
        <v>0</v>
      </c>
      <c r="X391" s="4">
        <f ca="1">_xll.DBRW($B$1,$B$2,$B$7,$B$3,$B$4,$B$5,$F391,$B$6,X$10,$A391,$B391)</f>
        <v>0</v>
      </c>
      <c r="Y391" s="4">
        <f ca="1">_xll.DBRW($B$1,$B$2,$B$7,$B$3,$B$4,$B$5,$F391,$B$6,Y$10,$A391,$B391)</f>
        <v>0</v>
      </c>
      <c r="Z391" s="4">
        <f ca="1">_xll.DBRW($B$1,$B$2,$B$7,$B$3,$B$4,$B$5,$F391,$B$6,Z$10,$A391,$B391)</f>
        <v>0</v>
      </c>
      <c r="AA391" s="4">
        <f ca="1">_xll.DBRW($B$1,$B$2,$B$7,$B$3,$B$4,$B$5,$F391,$B$6,AA$10,$A391,$B391)</f>
        <v>0</v>
      </c>
      <c r="AB391" s="4">
        <f ca="1">_xll.DBRW($B$1,$B$2,$B$7,$B$3,$B$4,$B$5,$F391,$B$6,AB$10,$A391,$B391)</f>
        <v>0</v>
      </c>
      <c r="AC391" s="4">
        <f ca="1">_xll.DBRW($B$1,$B$2,$B$7,$B$3,$B$4,$B$5,$F391,$B$6,AC$10,$A391,$B391)</f>
        <v>0</v>
      </c>
      <c r="AD391" s="4">
        <f ca="1">_xll.DBRW($B$1,$B$2,$B$7,$B$3,$B$4,$B$5,$F391,$B$6,AD$10,$A391,$B391)</f>
        <v>0</v>
      </c>
      <c r="AE391" s="4">
        <f ca="1">_xll.DBRW($B$1,$B$2,$B$7,$B$3,$B$4,$B$5,$F391,$B$6,AE$10,$A391,$B391)</f>
        <v>0</v>
      </c>
    </row>
    <row r="392" spans="1:31">
      <c r="A392" s="1" t="s">
        <v>150</v>
      </c>
      <c r="B392" s="5" t="s">
        <v>70</v>
      </c>
      <c r="C392" s="5" t="s">
        <v>68</v>
      </c>
      <c r="D392" s="5" t="s">
        <v>69</v>
      </c>
      <c r="E392" s="5" t="s">
        <v>21</v>
      </c>
      <c r="F392" s="5" t="s">
        <v>315</v>
      </c>
      <c r="G392" s="6"/>
      <c r="H392" s="6"/>
      <c r="I392" s="6"/>
      <c r="J392" s="6"/>
      <c r="K392" s="6"/>
      <c r="L392" s="4">
        <f ca="1">_xll.DBRW($B$1,$B$2,$B$7,$B$3,$B$4,$B$5,$F392,$B$6,L$10,$A392,$B392)</f>
        <v>0</v>
      </c>
      <c r="M392" s="4">
        <f ca="1">_xll.DBRW($B$1,$B$2,$B$7,$B$3,$B$4,$B$5,$F392,$B$6,M$10,$A392,$B392)</f>
        <v>0</v>
      </c>
      <c r="N392" s="4">
        <f ca="1">_xll.DBRW($B$1,$B$2,$B$7,$B$3,$B$4,$B$5,$F392,$B$6,N$10,$A392,$B392)</f>
        <v>0</v>
      </c>
      <c r="O392" s="4">
        <f ca="1">_xll.DBRW($B$1,$B$2,$B$7,$B$3,$B$4,$B$5,$F392,$B$6,O$10,$A392,$B392)</f>
        <v>0</v>
      </c>
      <c r="P392" s="4">
        <f ca="1">_xll.DBRW($B$1,$B$2,$B$7,$B$3,$B$4,$B$5,$F392,$B$6,P$10,$A392,$B392)</f>
        <v>0</v>
      </c>
      <c r="Q392" s="4">
        <f ca="1">_xll.DBRW($B$1,$B$2,$B$7,$B$3,$B$4,$B$5,$F392,$B$6,Q$10,$A392,$B392)</f>
        <v>0</v>
      </c>
      <c r="R392" s="4">
        <f ca="1">_xll.DBRW($B$1,$B$2,$B$7,$B$3,$B$4,$B$5,$F392,$B$6,R$10,$A392,$B392)</f>
        <v>0</v>
      </c>
      <c r="S392" s="4">
        <f ca="1">_xll.DBRW($B$1,$B$2,$B$7,$B$3,$B$4,$B$5,$F392,$B$6,S$10,$A392,$B392)</f>
        <v>0</v>
      </c>
      <c r="T392" s="4">
        <f ca="1">_xll.DBRW($B$1,$B$2,$B$7,$B$3,$B$4,$B$5,$F392,$B$6,T$10,$A392,$B392)</f>
        <v>0</v>
      </c>
      <c r="U392" s="4">
        <f ca="1">_xll.DBRW($B$1,$B$2,$B$7,$B$3,$B$4,$B$5,$F392,$B$6,U$10,$A392,$B392)</f>
        <v>0</v>
      </c>
      <c r="V392" s="4">
        <f ca="1">_xll.DBRW($B$1,$B$2,$B$7,$B$3,$B$4,$B$5,$F392,$B$6,V$10,$A392,$B392)</f>
        <v>0</v>
      </c>
      <c r="W392" s="4">
        <f ca="1">_xll.DBRW($B$1,$B$2,$B$7,$B$3,$B$4,$B$5,$F392,$B$6,W$10,$A392,$B392)</f>
        <v>0</v>
      </c>
      <c r="X392" s="4">
        <f ca="1">_xll.DBRW($B$1,$B$2,$B$7,$B$3,$B$4,$B$5,$F392,$B$6,X$10,$A392,$B392)</f>
        <v>0</v>
      </c>
      <c r="Y392" s="4">
        <f ca="1">_xll.DBRW($B$1,$B$2,$B$7,$B$3,$B$4,$B$5,$F392,$B$6,Y$10,$A392,$B392)</f>
        <v>0</v>
      </c>
      <c r="Z392" s="4">
        <f ca="1">_xll.DBRW($B$1,$B$2,$B$7,$B$3,$B$4,$B$5,$F392,$B$6,Z$10,$A392,$B392)</f>
        <v>0</v>
      </c>
      <c r="AA392" s="4">
        <f ca="1">_xll.DBRW($B$1,$B$2,$B$7,$B$3,$B$4,$B$5,$F392,$B$6,AA$10,$A392,$B392)</f>
        <v>0</v>
      </c>
      <c r="AB392" s="4">
        <f ca="1">_xll.DBRW($B$1,$B$2,$B$7,$B$3,$B$4,$B$5,$F392,$B$6,AB$10,$A392,$B392)</f>
        <v>0</v>
      </c>
      <c r="AC392" s="4">
        <f ca="1">_xll.DBRW($B$1,$B$2,$B$7,$B$3,$B$4,$B$5,$F392,$B$6,AC$10,$A392,$B392)</f>
        <v>0</v>
      </c>
      <c r="AD392" s="4">
        <f ca="1">_xll.DBRW($B$1,$B$2,$B$7,$B$3,$B$4,$B$5,$F392,$B$6,AD$10,$A392,$B392)</f>
        <v>0</v>
      </c>
      <c r="AE392" s="4">
        <f ca="1">_xll.DBRW($B$1,$B$2,$B$7,$B$3,$B$4,$B$5,$F392,$B$6,AE$10,$A392,$B392)</f>
        <v>0</v>
      </c>
    </row>
    <row r="393" spans="1:31">
      <c r="A393" s="1" t="s">
        <v>150</v>
      </c>
      <c r="B393" s="5" t="s">
        <v>201</v>
      </c>
      <c r="C393" s="5" t="s">
        <v>202</v>
      </c>
      <c r="D393" s="5" t="s">
        <v>28</v>
      </c>
      <c r="E393" s="5" t="s">
        <v>38</v>
      </c>
      <c r="F393" s="5" t="s">
        <v>315</v>
      </c>
      <c r="G393" s="6"/>
      <c r="H393" s="6"/>
      <c r="I393" s="6"/>
      <c r="J393" s="6"/>
      <c r="K393" s="6"/>
      <c r="L393" s="4">
        <f ca="1">_xll.DBRW($B$1,$B$2,$B$7,$B$3,$B$4,$B$5,$F393,$B$6,L$10,$A393,$B393)</f>
        <v>0</v>
      </c>
      <c r="M393" s="4">
        <f ca="1">_xll.DBRW($B$1,$B$2,$B$7,$B$3,$B$4,$B$5,$F393,$B$6,M$10,$A393,$B393)</f>
        <v>0</v>
      </c>
      <c r="N393" s="4">
        <f ca="1">_xll.DBRW($B$1,$B$2,$B$7,$B$3,$B$4,$B$5,$F393,$B$6,N$10,$A393,$B393)</f>
        <v>0</v>
      </c>
      <c r="O393" s="4">
        <f ca="1">_xll.DBRW($B$1,$B$2,$B$7,$B$3,$B$4,$B$5,$F393,$B$6,O$10,$A393,$B393)</f>
        <v>0</v>
      </c>
      <c r="P393" s="4">
        <f ca="1">_xll.DBRW($B$1,$B$2,$B$7,$B$3,$B$4,$B$5,$F393,$B$6,P$10,$A393,$B393)</f>
        <v>0</v>
      </c>
      <c r="Q393" s="4">
        <f ca="1">_xll.DBRW($B$1,$B$2,$B$7,$B$3,$B$4,$B$5,$F393,$B$6,Q$10,$A393,$B393)</f>
        <v>0</v>
      </c>
      <c r="R393" s="4">
        <f ca="1">_xll.DBRW($B$1,$B$2,$B$7,$B$3,$B$4,$B$5,$F393,$B$6,R$10,$A393,$B393)</f>
        <v>0</v>
      </c>
      <c r="S393" s="4">
        <f ca="1">_xll.DBRW($B$1,$B$2,$B$7,$B$3,$B$4,$B$5,$F393,$B$6,S$10,$A393,$B393)</f>
        <v>0</v>
      </c>
      <c r="T393" s="4">
        <f ca="1">_xll.DBRW($B$1,$B$2,$B$7,$B$3,$B$4,$B$5,$F393,$B$6,T$10,$A393,$B393)</f>
        <v>0</v>
      </c>
      <c r="U393" s="4">
        <f ca="1">_xll.DBRW($B$1,$B$2,$B$7,$B$3,$B$4,$B$5,$F393,$B$6,U$10,$A393,$B393)</f>
        <v>0</v>
      </c>
      <c r="V393" s="4">
        <f ca="1">_xll.DBRW($B$1,$B$2,$B$7,$B$3,$B$4,$B$5,$F393,$B$6,V$10,$A393,$B393)</f>
        <v>1</v>
      </c>
      <c r="W393" s="4">
        <f ca="1">_xll.DBRW($B$1,$B$2,$B$7,$B$3,$B$4,$B$5,$F393,$B$6,W$10,$A393,$B393)</f>
        <v>17</v>
      </c>
      <c r="X393" s="4">
        <f ca="1">_xll.DBRW($B$1,$B$2,$B$7,$B$3,$B$4,$B$5,$F393,$B$6,X$10,$A393,$B393)</f>
        <v>18</v>
      </c>
      <c r="Y393" s="4">
        <f ca="1">_xll.DBRW($B$1,$B$2,$B$7,$B$3,$B$4,$B$5,$F393,$B$6,Y$10,$A393,$B393)</f>
        <v>17</v>
      </c>
      <c r="Z393" s="4">
        <f ca="1">_xll.DBRW($B$1,$B$2,$B$7,$B$3,$B$4,$B$5,$F393,$B$6,Z$10,$A393,$B393)</f>
        <v>18</v>
      </c>
      <c r="AA393" s="4">
        <f ca="1">_xll.DBRW($B$1,$B$2,$B$7,$B$3,$B$4,$B$5,$F393,$B$6,AA$10,$A393,$B393)</f>
        <v>17</v>
      </c>
      <c r="AB393" s="4">
        <f ca="1">_xll.DBRW($B$1,$B$2,$B$7,$B$3,$B$4,$B$5,$F393,$B$6,AB$10,$A393,$B393)</f>
        <v>18</v>
      </c>
      <c r="AC393" s="4">
        <f ca="1">_xll.DBRW($B$1,$B$2,$B$7,$B$3,$B$4,$B$5,$F393,$B$6,AC$10,$A393,$B393)</f>
        <v>14</v>
      </c>
      <c r="AD393" s="4">
        <f ca="1">_xll.DBRW($B$1,$B$2,$B$7,$B$3,$B$4,$B$5,$F393,$B$6,AD$10,$A393,$B393)</f>
        <v>0</v>
      </c>
      <c r="AE393" s="4">
        <f ca="1">_xll.DBRW($B$1,$B$2,$B$7,$B$3,$B$4,$B$5,$F393,$B$6,AE$10,$A393,$B393)</f>
        <v>0</v>
      </c>
    </row>
    <row r="394" spans="1:31">
      <c r="A394" s="1" t="s">
        <v>150</v>
      </c>
      <c r="B394" s="5" t="s">
        <v>45</v>
      </c>
      <c r="C394" s="5" t="s">
        <v>46</v>
      </c>
      <c r="D394" s="5" t="s">
        <v>38</v>
      </c>
      <c r="E394" s="5" t="s">
        <v>28</v>
      </c>
      <c r="F394" s="5" t="s">
        <v>315</v>
      </c>
      <c r="G394" s="6"/>
      <c r="H394" s="6"/>
      <c r="I394" s="6"/>
      <c r="J394" s="6"/>
      <c r="K394" s="6"/>
      <c r="L394" s="4">
        <f ca="1">_xll.DBRW($B$1,$B$2,$B$7,$B$3,$B$4,$B$5,$F394,$B$6,L$10,$A394,$B394)</f>
        <v>0</v>
      </c>
      <c r="M394" s="4">
        <f ca="1">_xll.DBRW($B$1,$B$2,$B$7,$B$3,$B$4,$B$5,$F394,$B$6,M$10,$A394,$B394)</f>
        <v>0</v>
      </c>
      <c r="N394" s="4">
        <f ca="1">_xll.DBRW($B$1,$B$2,$B$7,$B$3,$B$4,$B$5,$F394,$B$6,N$10,$A394,$B394)</f>
        <v>0</v>
      </c>
      <c r="O394" s="4">
        <f ca="1">_xll.DBRW($B$1,$B$2,$B$7,$B$3,$B$4,$B$5,$F394,$B$6,O$10,$A394,$B394)</f>
        <v>0</v>
      </c>
      <c r="P394" s="4">
        <f ca="1">_xll.DBRW($B$1,$B$2,$B$7,$B$3,$B$4,$B$5,$F394,$B$6,P$10,$A394,$B394)</f>
        <v>0</v>
      </c>
      <c r="Q394" s="4">
        <f ca="1">_xll.DBRW($B$1,$B$2,$B$7,$B$3,$B$4,$B$5,$F394,$B$6,Q$10,$A394,$B394)</f>
        <v>0</v>
      </c>
      <c r="R394" s="4">
        <f ca="1">_xll.DBRW($B$1,$B$2,$B$7,$B$3,$B$4,$B$5,$F394,$B$6,R$10,$A394,$B394)</f>
        <v>0</v>
      </c>
      <c r="S394" s="4">
        <f ca="1">_xll.DBRW($B$1,$B$2,$B$7,$B$3,$B$4,$B$5,$F394,$B$6,S$10,$A394,$B394)</f>
        <v>0</v>
      </c>
      <c r="T394" s="4">
        <f ca="1">_xll.DBRW($B$1,$B$2,$B$7,$B$3,$B$4,$B$5,$F394,$B$6,T$10,$A394,$B394)</f>
        <v>0</v>
      </c>
      <c r="U394" s="4">
        <f ca="1">_xll.DBRW($B$1,$B$2,$B$7,$B$3,$B$4,$B$5,$F394,$B$6,U$10,$A394,$B394)</f>
        <v>0</v>
      </c>
      <c r="V394" s="4">
        <f ca="1">_xll.DBRW($B$1,$B$2,$B$7,$B$3,$B$4,$B$5,$F394,$B$6,V$10,$A394,$B394)</f>
        <v>1</v>
      </c>
      <c r="W394" s="4">
        <f ca="1">_xll.DBRW($B$1,$B$2,$B$7,$B$3,$B$4,$B$5,$F394,$B$6,W$10,$A394,$B394)</f>
        <v>17</v>
      </c>
      <c r="X394" s="4">
        <f ca="1">_xll.DBRW($B$1,$B$2,$B$7,$B$3,$B$4,$B$5,$F394,$B$6,X$10,$A394,$B394)</f>
        <v>18</v>
      </c>
      <c r="Y394" s="4">
        <f ca="1">_xll.DBRW($B$1,$B$2,$B$7,$B$3,$B$4,$B$5,$F394,$B$6,Y$10,$A394,$B394)</f>
        <v>17</v>
      </c>
      <c r="Z394" s="4">
        <f ca="1">_xll.DBRW($B$1,$B$2,$B$7,$B$3,$B$4,$B$5,$F394,$B$6,Z$10,$A394,$B394)</f>
        <v>18</v>
      </c>
      <c r="AA394" s="4">
        <f ca="1">_xll.DBRW($B$1,$B$2,$B$7,$B$3,$B$4,$B$5,$F394,$B$6,AA$10,$A394,$B394)</f>
        <v>17</v>
      </c>
      <c r="AB394" s="4">
        <f ca="1">_xll.DBRW($B$1,$B$2,$B$7,$B$3,$B$4,$B$5,$F394,$B$6,AB$10,$A394,$B394)</f>
        <v>18</v>
      </c>
      <c r="AC394" s="4">
        <f ca="1">_xll.DBRW($B$1,$B$2,$B$7,$B$3,$B$4,$B$5,$F394,$B$6,AC$10,$A394,$B394)</f>
        <v>14</v>
      </c>
      <c r="AD394" s="4">
        <f ca="1">_xll.DBRW($B$1,$B$2,$B$7,$B$3,$B$4,$B$5,$F394,$B$6,AD$10,$A394,$B394)</f>
        <v>0</v>
      </c>
      <c r="AE394" s="4">
        <f ca="1">_xll.DBRW($B$1,$B$2,$B$7,$B$3,$B$4,$B$5,$F394,$B$6,AE$10,$A394,$B394)</f>
        <v>0</v>
      </c>
    </row>
    <row r="395" spans="1:31">
      <c r="A395" s="1" t="s">
        <v>150</v>
      </c>
      <c r="B395" s="5" t="s">
        <v>203</v>
      </c>
      <c r="C395" s="5" t="s">
        <v>204</v>
      </c>
      <c r="D395" s="5" t="s">
        <v>21</v>
      </c>
      <c r="E395" s="5" t="s">
        <v>80</v>
      </c>
      <c r="F395" s="5" t="s">
        <v>315</v>
      </c>
      <c r="G395" s="6"/>
      <c r="H395" s="6"/>
      <c r="I395" s="6"/>
      <c r="J395" s="6"/>
      <c r="K395" s="6"/>
      <c r="L395" s="4">
        <f ca="1">_xll.DBRW($B$1,$B$2,$B$7,$B$3,$B$4,$B$5,$F395,$B$6,L$10,$A395,$B395)</f>
        <v>0</v>
      </c>
      <c r="M395" s="4">
        <f ca="1">_xll.DBRW($B$1,$B$2,$B$7,$B$3,$B$4,$B$5,$F395,$B$6,M$10,$A395,$B395)</f>
        <v>0</v>
      </c>
      <c r="N395" s="4">
        <f ca="1">_xll.DBRW($B$1,$B$2,$B$7,$B$3,$B$4,$B$5,$F395,$B$6,N$10,$A395,$B395)</f>
        <v>0</v>
      </c>
      <c r="O395" s="4">
        <f ca="1">_xll.DBRW($B$1,$B$2,$B$7,$B$3,$B$4,$B$5,$F395,$B$6,O$10,$A395,$B395)</f>
        <v>0</v>
      </c>
      <c r="P395" s="4">
        <f ca="1">_xll.DBRW($B$1,$B$2,$B$7,$B$3,$B$4,$B$5,$F395,$B$6,P$10,$A395,$B395)</f>
        <v>0</v>
      </c>
      <c r="Q395" s="4">
        <f ca="1">_xll.DBRW($B$1,$B$2,$B$7,$B$3,$B$4,$B$5,$F395,$B$6,Q$10,$A395,$B395)</f>
        <v>0</v>
      </c>
      <c r="R395" s="4">
        <f ca="1">_xll.DBRW($B$1,$B$2,$B$7,$B$3,$B$4,$B$5,$F395,$B$6,R$10,$A395,$B395)</f>
        <v>0</v>
      </c>
      <c r="S395" s="4">
        <f ca="1">_xll.DBRW($B$1,$B$2,$B$7,$B$3,$B$4,$B$5,$F395,$B$6,S$10,$A395,$B395)</f>
        <v>0</v>
      </c>
      <c r="T395" s="4">
        <f ca="1">_xll.DBRW($B$1,$B$2,$B$7,$B$3,$B$4,$B$5,$F395,$B$6,T$10,$A395,$B395)</f>
        <v>0</v>
      </c>
      <c r="U395" s="4">
        <f ca="1">_xll.DBRW($B$1,$B$2,$B$7,$B$3,$B$4,$B$5,$F395,$B$6,U$10,$A395,$B395)</f>
        <v>0</v>
      </c>
      <c r="V395" s="4">
        <f ca="1">_xll.DBRW($B$1,$B$2,$B$7,$B$3,$B$4,$B$5,$F395,$B$6,V$10,$A395,$B395)</f>
        <v>0</v>
      </c>
      <c r="W395" s="4">
        <f ca="1">_xll.DBRW($B$1,$B$2,$B$7,$B$3,$B$4,$B$5,$F395,$B$6,W$10,$A395,$B395)</f>
        <v>0</v>
      </c>
      <c r="X395" s="4">
        <f ca="1">_xll.DBRW($B$1,$B$2,$B$7,$B$3,$B$4,$B$5,$F395,$B$6,X$10,$A395,$B395)</f>
        <v>0</v>
      </c>
      <c r="Y395" s="4">
        <f ca="1">_xll.DBRW($B$1,$B$2,$B$7,$B$3,$B$4,$B$5,$F395,$B$6,Y$10,$A395,$B395)</f>
        <v>0</v>
      </c>
      <c r="Z395" s="4">
        <f ca="1">_xll.DBRW($B$1,$B$2,$B$7,$B$3,$B$4,$B$5,$F395,$B$6,Z$10,$A395,$B395)</f>
        <v>0</v>
      </c>
      <c r="AA395" s="4">
        <f ca="1">_xll.DBRW($B$1,$B$2,$B$7,$B$3,$B$4,$B$5,$F395,$B$6,AA$10,$A395,$B395)</f>
        <v>0</v>
      </c>
      <c r="AB395" s="4">
        <f ca="1">_xll.DBRW($B$1,$B$2,$B$7,$B$3,$B$4,$B$5,$F395,$B$6,AB$10,$A395,$B395)</f>
        <v>0</v>
      </c>
      <c r="AC395" s="4">
        <f ca="1">_xll.DBRW($B$1,$B$2,$B$7,$B$3,$B$4,$B$5,$F395,$B$6,AC$10,$A395,$B395)</f>
        <v>0</v>
      </c>
      <c r="AD395" s="4">
        <f ca="1">_xll.DBRW($B$1,$B$2,$B$7,$B$3,$B$4,$B$5,$F395,$B$6,AD$10,$A395,$B395)</f>
        <v>0</v>
      </c>
      <c r="AE395" s="4">
        <f ca="1">_xll.DBRW($B$1,$B$2,$B$7,$B$3,$B$4,$B$5,$F395,$B$6,AE$10,$A395,$B395)</f>
        <v>0</v>
      </c>
    </row>
    <row r="396" spans="1:31">
      <c r="A396" s="1" t="s">
        <v>150</v>
      </c>
      <c r="B396" s="5" t="s">
        <v>78</v>
      </c>
      <c r="C396" s="5" t="s">
        <v>79</v>
      </c>
      <c r="D396" s="5" t="s">
        <v>80</v>
      </c>
      <c r="E396" s="5" t="s">
        <v>21</v>
      </c>
      <c r="F396" s="5" t="s">
        <v>315</v>
      </c>
      <c r="G396" s="6"/>
      <c r="H396" s="6"/>
      <c r="I396" s="6"/>
      <c r="J396" s="6"/>
      <c r="K396" s="6"/>
      <c r="L396" s="4">
        <f ca="1">_xll.DBRW($B$1,$B$2,$B$7,$B$3,$B$4,$B$5,$F396,$B$6,L$10,$A396,$B396)</f>
        <v>0</v>
      </c>
      <c r="M396" s="4">
        <f ca="1">_xll.DBRW($B$1,$B$2,$B$7,$B$3,$B$4,$B$5,$F396,$B$6,M$10,$A396,$B396)</f>
        <v>0</v>
      </c>
      <c r="N396" s="4">
        <f ca="1">_xll.DBRW($B$1,$B$2,$B$7,$B$3,$B$4,$B$5,$F396,$B$6,N$10,$A396,$B396)</f>
        <v>0</v>
      </c>
      <c r="O396" s="4">
        <f ca="1">_xll.DBRW($B$1,$B$2,$B$7,$B$3,$B$4,$B$5,$F396,$B$6,O$10,$A396,$B396)</f>
        <v>0</v>
      </c>
      <c r="P396" s="4">
        <f ca="1">_xll.DBRW($B$1,$B$2,$B$7,$B$3,$B$4,$B$5,$F396,$B$6,P$10,$A396,$B396)</f>
        <v>0</v>
      </c>
      <c r="Q396" s="4">
        <f ca="1">_xll.DBRW($B$1,$B$2,$B$7,$B$3,$B$4,$B$5,$F396,$B$6,Q$10,$A396,$B396)</f>
        <v>0</v>
      </c>
      <c r="R396" s="4">
        <f ca="1">_xll.DBRW($B$1,$B$2,$B$7,$B$3,$B$4,$B$5,$F396,$B$6,R$10,$A396,$B396)</f>
        <v>0</v>
      </c>
      <c r="S396" s="4">
        <f ca="1">_xll.DBRW($B$1,$B$2,$B$7,$B$3,$B$4,$B$5,$F396,$B$6,S$10,$A396,$B396)</f>
        <v>0</v>
      </c>
      <c r="T396" s="4">
        <f ca="1">_xll.DBRW($B$1,$B$2,$B$7,$B$3,$B$4,$B$5,$F396,$B$6,T$10,$A396,$B396)</f>
        <v>0</v>
      </c>
      <c r="U396" s="4">
        <f ca="1">_xll.DBRW($B$1,$B$2,$B$7,$B$3,$B$4,$B$5,$F396,$B$6,U$10,$A396,$B396)</f>
        <v>0</v>
      </c>
      <c r="V396" s="4">
        <f ca="1">_xll.DBRW($B$1,$B$2,$B$7,$B$3,$B$4,$B$5,$F396,$B$6,V$10,$A396,$B396)</f>
        <v>0</v>
      </c>
      <c r="W396" s="4">
        <f ca="1">_xll.DBRW($B$1,$B$2,$B$7,$B$3,$B$4,$B$5,$F396,$B$6,W$10,$A396,$B396)</f>
        <v>0</v>
      </c>
      <c r="X396" s="4">
        <f ca="1">_xll.DBRW($B$1,$B$2,$B$7,$B$3,$B$4,$B$5,$F396,$B$6,X$10,$A396,$B396)</f>
        <v>0</v>
      </c>
      <c r="Y396" s="4">
        <f ca="1">_xll.DBRW($B$1,$B$2,$B$7,$B$3,$B$4,$B$5,$F396,$B$6,Y$10,$A396,$B396)</f>
        <v>0</v>
      </c>
      <c r="Z396" s="4">
        <f ca="1">_xll.DBRW($B$1,$B$2,$B$7,$B$3,$B$4,$B$5,$F396,$B$6,Z$10,$A396,$B396)</f>
        <v>0</v>
      </c>
      <c r="AA396" s="4">
        <f ca="1">_xll.DBRW($B$1,$B$2,$B$7,$B$3,$B$4,$B$5,$F396,$B$6,AA$10,$A396,$B396)</f>
        <v>0</v>
      </c>
      <c r="AB396" s="4">
        <f ca="1">_xll.DBRW($B$1,$B$2,$B$7,$B$3,$B$4,$B$5,$F396,$B$6,AB$10,$A396,$B396)</f>
        <v>0</v>
      </c>
      <c r="AC396" s="4">
        <f ca="1">_xll.DBRW($B$1,$B$2,$B$7,$B$3,$B$4,$B$5,$F396,$B$6,AC$10,$A396,$B396)</f>
        <v>0</v>
      </c>
      <c r="AD396" s="4">
        <f ca="1">_xll.DBRW($B$1,$B$2,$B$7,$B$3,$B$4,$B$5,$F396,$B$6,AD$10,$A396,$B396)</f>
        <v>0</v>
      </c>
      <c r="AE396" s="4">
        <f ca="1">_xll.DBRW($B$1,$B$2,$B$7,$B$3,$B$4,$B$5,$F396,$B$6,AE$10,$A396,$B396)</f>
        <v>0</v>
      </c>
    </row>
    <row r="397" spans="1:31">
      <c r="A397" s="1" t="s">
        <v>150</v>
      </c>
      <c r="B397" s="5" t="s">
        <v>205</v>
      </c>
      <c r="C397" s="5" t="s">
        <v>206</v>
      </c>
      <c r="D397" s="5" t="s">
        <v>21</v>
      </c>
      <c r="E397" s="5" t="s">
        <v>181</v>
      </c>
      <c r="F397" s="5" t="s">
        <v>315</v>
      </c>
      <c r="G397" s="6"/>
      <c r="H397" s="6"/>
      <c r="I397" s="6"/>
      <c r="J397" s="6"/>
      <c r="K397" s="6"/>
      <c r="L397" s="4">
        <f ca="1">_xll.DBRW($B$1,$B$2,$B$7,$B$3,$B$4,$B$5,$F397,$B$6,L$10,$A397,$B397)</f>
        <v>0</v>
      </c>
      <c r="M397" s="4">
        <f ca="1">_xll.DBRW($B$1,$B$2,$B$7,$B$3,$B$4,$B$5,$F397,$B$6,M$10,$A397,$B397)</f>
        <v>0</v>
      </c>
      <c r="N397" s="4">
        <f ca="1">_xll.DBRW($B$1,$B$2,$B$7,$B$3,$B$4,$B$5,$F397,$B$6,N$10,$A397,$B397)</f>
        <v>0</v>
      </c>
      <c r="O397" s="4">
        <f ca="1">_xll.DBRW($B$1,$B$2,$B$7,$B$3,$B$4,$B$5,$F397,$B$6,O$10,$A397,$B397)</f>
        <v>0</v>
      </c>
      <c r="P397" s="4">
        <f ca="1">_xll.DBRW($B$1,$B$2,$B$7,$B$3,$B$4,$B$5,$F397,$B$6,P$10,$A397,$B397)</f>
        <v>0</v>
      </c>
      <c r="Q397" s="4">
        <f ca="1">_xll.DBRW($B$1,$B$2,$B$7,$B$3,$B$4,$B$5,$F397,$B$6,Q$10,$A397,$B397)</f>
        <v>0</v>
      </c>
      <c r="R397" s="4">
        <f ca="1">_xll.DBRW($B$1,$B$2,$B$7,$B$3,$B$4,$B$5,$F397,$B$6,R$10,$A397,$B397)</f>
        <v>0</v>
      </c>
      <c r="S397" s="4">
        <f ca="1">_xll.DBRW($B$1,$B$2,$B$7,$B$3,$B$4,$B$5,$F397,$B$6,S$10,$A397,$B397)</f>
        <v>0</v>
      </c>
      <c r="T397" s="4">
        <f ca="1">_xll.DBRW($B$1,$B$2,$B$7,$B$3,$B$4,$B$5,$F397,$B$6,T$10,$A397,$B397)</f>
        <v>0</v>
      </c>
      <c r="U397" s="4">
        <f ca="1">_xll.DBRW($B$1,$B$2,$B$7,$B$3,$B$4,$B$5,$F397,$B$6,U$10,$A397,$B397)</f>
        <v>0</v>
      </c>
      <c r="V397" s="4">
        <f ca="1">_xll.DBRW($B$1,$B$2,$B$7,$B$3,$B$4,$B$5,$F397,$B$6,V$10,$A397,$B397)</f>
        <v>0</v>
      </c>
      <c r="W397" s="4">
        <f ca="1">_xll.DBRW($B$1,$B$2,$B$7,$B$3,$B$4,$B$5,$F397,$B$6,W$10,$A397,$B397)</f>
        <v>0</v>
      </c>
      <c r="X397" s="4">
        <f ca="1">_xll.DBRW($B$1,$B$2,$B$7,$B$3,$B$4,$B$5,$F397,$B$6,X$10,$A397,$B397)</f>
        <v>0</v>
      </c>
      <c r="Y397" s="4">
        <f ca="1">_xll.DBRW($B$1,$B$2,$B$7,$B$3,$B$4,$B$5,$F397,$B$6,Y$10,$A397,$B397)</f>
        <v>0</v>
      </c>
      <c r="Z397" s="4">
        <f ca="1">_xll.DBRW($B$1,$B$2,$B$7,$B$3,$B$4,$B$5,$F397,$B$6,Z$10,$A397,$B397)</f>
        <v>0</v>
      </c>
      <c r="AA397" s="4">
        <f ca="1">_xll.DBRW($B$1,$B$2,$B$7,$B$3,$B$4,$B$5,$F397,$B$6,AA$10,$A397,$B397)</f>
        <v>0</v>
      </c>
      <c r="AB397" s="4">
        <f ca="1">_xll.DBRW($B$1,$B$2,$B$7,$B$3,$B$4,$B$5,$F397,$B$6,AB$10,$A397,$B397)</f>
        <v>0</v>
      </c>
      <c r="AC397" s="4">
        <f ca="1">_xll.DBRW($B$1,$B$2,$B$7,$B$3,$B$4,$B$5,$F397,$B$6,AC$10,$A397,$B397)</f>
        <v>0</v>
      </c>
      <c r="AD397" s="4">
        <f ca="1">_xll.DBRW($B$1,$B$2,$B$7,$B$3,$B$4,$B$5,$F397,$B$6,AD$10,$A397,$B397)</f>
        <v>0</v>
      </c>
      <c r="AE397" s="4">
        <f ca="1">_xll.DBRW($B$1,$B$2,$B$7,$B$3,$B$4,$B$5,$F397,$B$6,AE$10,$A397,$B397)</f>
        <v>0</v>
      </c>
    </row>
    <row r="398" spans="1:31">
      <c r="A398" s="1" t="s">
        <v>150</v>
      </c>
      <c r="B398" s="5" t="s">
        <v>207</v>
      </c>
      <c r="C398" s="5" t="s">
        <v>208</v>
      </c>
      <c r="D398" s="5" t="s">
        <v>181</v>
      </c>
      <c r="E398" s="5" t="s">
        <v>21</v>
      </c>
      <c r="F398" s="5" t="s">
        <v>315</v>
      </c>
      <c r="G398" s="6"/>
      <c r="H398" s="6"/>
      <c r="I398" s="6"/>
      <c r="J398" s="6"/>
      <c r="K398" s="6"/>
      <c r="L398" s="4">
        <f ca="1">_xll.DBRW($B$1,$B$2,$B$7,$B$3,$B$4,$B$5,$F398,$B$6,L$10,$A398,$B398)</f>
        <v>0</v>
      </c>
      <c r="M398" s="4">
        <f ca="1">_xll.DBRW($B$1,$B$2,$B$7,$B$3,$B$4,$B$5,$F398,$B$6,M$10,$A398,$B398)</f>
        <v>0</v>
      </c>
      <c r="N398" s="4">
        <f ca="1">_xll.DBRW($B$1,$B$2,$B$7,$B$3,$B$4,$B$5,$F398,$B$6,N$10,$A398,$B398)</f>
        <v>0</v>
      </c>
      <c r="O398" s="4">
        <f ca="1">_xll.DBRW($B$1,$B$2,$B$7,$B$3,$B$4,$B$5,$F398,$B$6,O$10,$A398,$B398)</f>
        <v>0</v>
      </c>
      <c r="P398" s="4">
        <f ca="1">_xll.DBRW($B$1,$B$2,$B$7,$B$3,$B$4,$B$5,$F398,$B$6,P$10,$A398,$B398)</f>
        <v>0</v>
      </c>
      <c r="Q398" s="4">
        <f ca="1">_xll.DBRW($B$1,$B$2,$B$7,$B$3,$B$4,$B$5,$F398,$B$6,Q$10,$A398,$B398)</f>
        <v>0</v>
      </c>
      <c r="R398" s="4">
        <f ca="1">_xll.DBRW($B$1,$B$2,$B$7,$B$3,$B$4,$B$5,$F398,$B$6,R$10,$A398,$B398)</f>
        <v>0</v>
      </c>
      <c r="S398" s="4">
        <f ca="1">_xll.DBRW($B$1,$B$2,$B$7,$B$3,$B$4,$B$5,$F398,$B$6,S$10,$A398,$B398)</f>
        <v>0</v>
      </c>
      <c r="T398" s="4">
        <f ca="1">_xll.DBRW($B$1,$B$2,$B$7,$B$3,$B$4,$B$5,$F398,$B$6,T$10,$A398,$B398)</f>
        <v>0</v>
      </c>
      <c r="U398" s="4">
        <f ca="1">_xll.DBRW($B$1,$B$2,$B$7,$B$3,$B$4,$B$5,$F398,$B$6,U$10,$A398,$B398)</f>
        <v>0</v>
      </c>
      <c r="V398" s="4">
        <f ca="1">_xll.DBRW($B$1,$B$2,$B$7,$B$3,$B$4,$B$5,$F398,$B$6,V$10,$A398,$B398)</f>
        <v>0</v>
      </c>
      <c r="W398" s="4">
        <f ca="1">_xll.DBRW($B$1,$B$2,$B$7,$B$3,$B$4,$B$5,$F398,$B$6,W$10,$A398,$B398)</f>
        <v>0</v>
      </c>
      <c r="X398" s="4">
        <f ca="1">_xll.DBRW($B$1,$B$2,$B$7,$B$3,$B$4,$B$5,$F398,$B$6,X$10,$A398,$B398)</f>
        <v>0</v>
      </c>
      <c r="Y398" s="4">
        <f ca="1">_xll.DBRW($B$1,$B$2,$B$7,$B$3,$B$4,$B$5,$F398,$B$6,Y$10,$A398,$B398)</f>
        <v>0</v>
      </c>
      <c r="Z398" s="4">
        <f ca="1">_xll.DBRW($B$1,$B$2,$B$7,$B$3,$B$4,$B$5,$F398,$B$6,Z$10,$A398,$B398)</f>
        <v>0</v>
      </c>
      <c r="AA398" s="4">
        <f ca="1">_xll.DBRW($B$1,$B$2,$B$7,$B$3,$B$4,$B$5,$F398,$B$6,AA$10,$A398,$B398)</f>
        <v>0</v>
      </c>
      <c r="AB398" s="4">
        <f ca="1">_xll.DBRW($B$1,$B$2,$B$7,$B$3,$B$4,$B$5,$F398,$B$6,AB$10,$A398,$B398)</f>
        <v>0</v>
      </c>
      <c r="AC398" s="4">
        <f ca="1">_xll.DBRW($B$1,$B$2,$B$7,$B$3,$B$4,$B$5,$F398,$B$6,AC$10,$A398,$B398)</f>
        <v>0</v>
      </c>
      <c r="AD398" s="4">
        <f ca="1">_xll.DBRW($B$1,$B$2,$B$7,$B$3,$B$4,$B$5,$F398,$B$6,AD$10,$A398,$B398)</f>
        <v>0</v>
      </c>
      <c r="AE398" s="4">
        <f ca="1">_xll.DBRW($B$1,$B$2,$B$7,$B$3,$B$4,$B$5,$F398,$B$6,AE$10,$A398,$B398)</f>
        <v>0</v>
      </c>
    </row>
    <row r="399" spans="1:31">
      <c r="A399" s="1" t="s">
        <v>150</v>
      </c>
      <c r="B399" s="5" t="s">
        <v>209</v>
      </c>
      <c r="C399" s="5" t="s">
        <v>210</v>
      </c>
      <c r="D399" s="5" t="s">
        <v>21</v>
      </c>
      <c r="E399" s="5" t="s">
        <v>211</v>
      </c>
      <c r="F399" s="5" t="s">
        <v>315</v>
      </c>
      <c r="G399" s="6"/>
      <c r="H399" s="6"/>
      <c r="I399" s="6"/>
      <c r="J399" s="6"/>
      <c r="K399" s="6"/>
      <c r="L399" s="4">
        <f ca="1">_xll.DBRW($B$1,$B$2,$B$7,$B$3,$B$4,$B$5,$F399,$B$6,L$10,$A399,$B399)</f>
        <v>0</v>
      </c>
      <c r="M399" s="4">
        <f ca="1">_xll.DBRW($B$1,$B$2,$B$7,$B$3,$B$4,$B$5,$F399,$B$6,M$10,$A399,$B399)</f>
        <v>0</v>
      </c>
      <c r="N399" s="4">
        <f ca="1">_xll.DBRW($B$1,$B$2,$B$7,$B$3,$B$4,$B$5,$F399,$B$6,N$10,$A399,$B399)</f>
        <v>0</v>
      </c>
      <c r="O399" s="4">
        <f ca="1">_xll.DBRW($B$1,$B$2,$B$7,$B$3,$B$4,$B$5,$F399,$B$6,O$10,$A399,$B399)</f>
        <v>0</v>
      </c>
      <c r="P399" s="4">
        <f ca="1">_xll.DBRW($B$1,$B$2,$B$7,$B$3,$B$4,$B$5,$F399,$B$6,P$10,$A399,$B399)</f>
        <v>0</v>
      </c>
      <c r="Q399" s="4">
        <f ca="1">_xll.DBRW($B$1,$B$2,$B$7,$B$3,$B$4,$B$5,$F399,$B$6,Q$10,$A399,$B399)</f>
        <v>0</v>
      </c>
      <c r="R399" s="4">
        <f ca="1">_xll.DBRW($B$1,$B$2,$B$7,$B$3,$B$4,$B$5,$F399,$B$6,R$10,$A399,$B399)</f>
        <v>0</v>
      </c>
      <c r="S399" s="4">
        <f ca="1">_xll.DBRW($B$1,$B$2,$B$7,$B$3,$B$4,$B$5,$F399,$B$6,S$10,$A399,$B399)</f>
        <v>0</v>
      </c>
      <c r="T399" s="4">
        <f ca="1">_xll.DBRW($B$1,$B$2,$B$7,$B$3,$B$4,$B$5,$F399,$B$6,T$10,$A399,$B399)</f>
        <v>0</v>
      </c>
      <c r="U399" s="4">
        <f ca="1">_xll.DBRW($B$1,$B$2,$B$7,$B$3,$B$4,$B$5,$F399,$B$6,U$10,$A399,$B399)</f>
        <v>0</v>
      </c>
      <c r="V399" s="4">
        <f ca="1">_xll.DBRW($B$1,$B$2,$B$7,$B$3,$B$4,$B$5,$F399,$B$6,V$10,$A399,$B399)</f>
        <v>0</v>
      </c>
      <c r="W399" s="4">
        <f ca="1">_xll.DBRW($B$1,$B$2,$B$7,$B$3,$B$4,$B$5,$F399,$B$6,W$10,$A399,$B399)</f>
        <v>0</v>
      </c>
      <c r="X399" s="4">
        <f ca="1">_xll.DBRW($B$1,$B$2,$B$7,$B$3,$B$4,$B$5,$F399,$B$6,X$10,$A399,$B399)</f>
        <v>0</v>
      </c>
      <c r="Y399" s="4">
        <f ca="1">_xll.DBRW($B$1,$B$2,$B$7,$B$3,$B$4,$B$5,$F399,$B$6,Y$10,$A399,$B399)</f>
        <v>0</v>
      </c>
      <c r="Z399" s="4">
        <f ca="1">_xll.DBRW($B$1,$B$2,$B$7,$B$3,$B$4,$B$5,$F399,$B$6,Z$10,$A399,$B399)</f>
        <v>0</v>
      </c>
      <c r="AA399" s="4">
        <f ca="1">_xll.DBRW($B$1,$B$2,$B$7,$B$3,$B$4,$B$5,$F399,$B$6,AA$10,$A399,$B399)</f>
        <v>0</v>
      </c>
      <c r="AB399" s="4">
        <f ca="1">_xll.DBRW($B$1,$B$2,$B$7,$B$3,$B$4,$B$5,$F399,$B$6,AB$10,$A399,$B399)</f>
        <v>0</v>
      </c>
      <c r="AC399" s="4">
        <f ca="1">_xll.DBRW($B$1,$B$2,$B$7,$B$3,$B$4,$B$5,$F399,$B$6,AC$10,$A399,$B399)</f>
        <v>0</v>
      </c>
      <c r="AD399" s="4">
        <f ca="1">_xll.DBRW($B$1,$B$2,$B$7,$B$3,$B$4,$B$5,$F399,$B$6,AD$10,$A399,$B399)</f>
        <v>0</v>
      </c>
      <c r="AE399" s="4">
        <f ca="1">_xll.DBRW($B$1,$B$2,$B$7,$B$3,$B$4,$B$5,$F399,$B$6,AE$10,$A399,$B399)</f>
        <v>0</v>
      </c>
    </row>
    <row r="400" spans="1:31">
      <c r="A400" s="1" t="s">
        <v>150</v>
      </c>
      <c r="B400" s="5" t="s">
        <v>212</v>
      </c>
      <c r="C400" s="5" t="s">
        <v>213</v>
      </c>
      <c r="D400" s="5" t="s">
        <v>211</v>
      </c>
      <c r="E400" s="5" t="s">
        <v>21</v>
      </c>
      <c r="F400" s="5" t="s">
        <v>315</v>
      </c>
      <c r="G400" s="6"/>
      <c r="H400" s="6"/>
      <c r="I400" s="6"/>
      <c r="J400" s="6"/>
      <c r="K400" s="6"/>
      <c r="L400" s="4">
        <f ca="1">_xll.DBRW($B$1,$B$2,$B$7,$B$3,$B$4,$B$5,$F400,$B$6,L$10,$A400,$B400)</f>
        <v>0</v>
      </c>
      <c r="M400" s="4">
        <f ca="1">_xll.DBRW($B$1,$B$2,$B$7,$B$3,$B$4,$B$5,$F400,$B$6,M$10,$A400,$B400)</f>
        <v>0</v>
      </c>
      <c r="N400" s="4">
        <f ca="1">_xll.DBRW($B$1,$B$2,$B$7,$B$3,$B$4,$B$5,$F400,$B$6,N$10,$A400,$B400)</f>
        <v>0</v>
      </c>
      <c r="O400" s="4">
        <f ca="1">_xll.DBRW($B$1,$B$2,$B$7,$B$3,$B$4,$B$5,$F400,$B$6,O$10,$A400,$B400)</f>
        <v>0</v>
      </c>
      <c r="P400" s="4">
        <f ca="1">_xll.DBRW($B$1,$B$2,$B$7,$B$3,$B$4,$B$5,$F400,$B$6,P$10,$A400,$B400)</f>
        <v>0</v>
      </c>
      <c r="Q400" s="4">
        <f ca="1">_xll.DBRW($B$1,$B$2,$B$7,$B$3,$B$4,$B$5,$F400,$B$6,Q$10,$A400,$B400)</f>
        <v>0</v>
      </c>
      <c r="R400" s="4">
        <f ca="1">_xll.DBRW($B$1,$B$2,$B$7,$B$3,$B$4,$B$5,$F400,$B$6,R$10,$A400,$B400)</f>
        <v>0</v>
      </c>
      <c r="S400" s="4">
        <f ca="1">_xll.DBRW($B$1,$B$2,$B$7,$B$3,$B$4,$B$5,$F400,$B$6,S$10,$A400,$B400)</f>
        <v>0</v>
      </c>
      <c r="T400" s="4">
        <f ca="1">_xll.DBRW($B$1,$B$2,$B$7,$B$3,$B$4,$B$5,$F400,$B$6,T$10,$A400,$B400)</f>
        <v>0</v>
      </c>
      <c r="U400" s="4">
        <f ca="1">_xll.DBRW($B$1,$B$2,$B$7,$B$3,$B$4,$B$5,$F400,$B$6,U$10,$A400,$B400)</f>
        <v>0</v>
      </c>
      <c r="V400" s="4">
        <f ca="1">_xll.DBRW($B$1,$B$2,$B$7,$B$3,$B$4,$B$5,$F400,$B$6,V$10,$A400,$B400)</f>
        <v>0</v>
      </c>
      <c r="W400" s="4">
        <f ca="1">_xll.DBRW($B$1,$B$2,$B$7,$B$3,$B$4,$B$5,$F400,$B$6,W$10,$A400,$B400)</f>
        <v>0</v>
      </c>
      <c r="X400" s="4">
        <f ca="1">_xll.DBRW($B$1,$B$2,$B$7,$B$3,$B$4,$B$5,$F400,$B$6,X$10,$A400,$B400)</f>
        <v>0</v>
      </c>
      <c r="Y400" s="4">
        <f ca="1">_xll.DBRW($B$1,$B$2,$B$7,$B$3,$B$4,$B$5,$F400,$B$6,Y$10,$A400,$B400)</f>
        <v>0</v>
      </c>
      <c r="Z400" s="4">
        <f ca="1">_xll.DBRW($B$1,$B$2,$B$7,$B$3,$B$4,$B$5,$F400,$B$6,Z$10,$A400,$B400)</f>
        <v>0</v>
      </c>
      <c r="AA400" s="4">
        <f ca="1">_xll.DBRW($B$1,$B$2,$B$7,$B$3,$B$4,$B$5,$F400,$B$6,AA$10,$A400,$B400)</f>
        <v>0</v>
      </c>
      <c r="AB400" s="4">
        <f ca="1">_xll.DBRW($B$1,$B$2,$B$7,$B$3,$B$4,$B$5,$F400,$B$6,AB$10,$A400,$B400)</f>
        <v>0</v>
      </c>
      <c r="AC400" s="4">
        <f ca="1">_xll.DBRW($B$1,$B$2,$B$7,$B$3,$B$4,$B$5,$F400,$B$6,AC$10,$A400,$B400)</f>
        <v>0</v>
      </c>
      <c r="AD400" s="4">
        <f ca="1">_xll.DBRW($B$1,$B$2,$B$7,$B$3,$B$4,$B$5,$F400,$B$6,AD$10,$A400,$B400)</f>
        <v>0</v>
      </c>
      <c r="AE400" s="4">
        <f ca="1">_xll.DBRW($B$1,$B$2,$B$7,$B$3,$B$4,$B$5,$F400,$B$6,AE$10,$A400,$B400)</f>
        <v>0</v>
      </c>
    </row>
    <row r="401" spans="1:31">
      <c r="A401" s="1" t="s">
        <v>150</v>
      </c>
      <c r="B401" s="5" t="s">
        <v>214</v>
      </c>
      <c r="C401" s="5" t="s">
        <v>187</v>
      </c>
      <c r="D401" s="5" t="s">
        <v>21</v>
      </c>
      <c r="E401" s="5" t="s">
        <v>59</v>
      </c>
      <c r="F401" s="5" t="s">
        <v>315</v>
      </c>
      <c r="G401" s="6"/>
      <c r="H401" s="6"/>
      <c r="I401" s="6"/>
      <c r="J401" s="6"/>
      <c r="K401" s="6"/>
      <c r="L401" s="4">
        <f ca="1">_xll.DBRW($B$1,$B$2,$B$7,$B$3,$B$4,$B$5,$F401,$B$6,L$10,$A401,$B401)</f>
        <v>31</v>
      </c>
      <c r="M401" s="4">
        <f ca="1">_xll.DBRW($B$1,$B$2,$B$7,$B$3,$B$4,$B$5,$F401,$B$6,M$10,$A401,$B401)</f>
        <v>30</v>
      </c>
      <c r="N401" s="4">
        <f ca="1">_xll.DBRW($B$1,$B$2,$B$7,$B$3,$B$4,$B$5,$F401,$B$6,N$10,$A401,$B401)</f>
        <v>31</v>
      </c>
      <c r="O401" s="4">
        <f ca="1">_xll.DBRW($B$1,$B$2,$B$7,$B$3,$B$4,$B$5,$F401,$B$6,O$10,$A401,$B401)</f>
        <v>31</v>
      </c>
      <c r="P401" s="4">
        <f ca="1">_xll.DBRW($B$1,$B$2,$B$7,$B$3,$B$4,$B$5,$F401,$B$6,P$10,$A401,$B401)</f>
        <v>30</v>
      </c>
      <c r="Q401" s="4">
        <f ca="1">_xll.DBRW($B$1,$B$2,$B$7,$B$3,$B$4,$B$5,$F401,$B$6,Q$10,$A401,$B401)</f>
        <v>28</v>
      </c>
      <c r="R401" s="4">
        <f ca="1">_xll.DBRW($B$1,$B$2,$B$7,$B$3,$B$4,$B$5,$F401,$B$6,R$10,$A401,$B401)</f>
        <v>11</v>
      </c>
      <c r="S401" s="4">
        <f ca="1">_xll.DBRW($B$1,$B$2,$B$7,$B$3,$B$4,$B$5,$F401,$B$6,S$10,$A401,$B401)</f>
        <v>0</v>
      </c>
      <c r="T401" s="4">
        <f ca="1">_xll.DBRW($B$1,$B$2,$B$7,$B$3,$B$4,$B$5,$F401,$B$6,T$10,$A401,$B401)</f>
        <v>0</v>
      </c>
      <c r="U401" s="4">
        <f ca="1">_xll.DBRW($B$1,$B$2,$B$7,$B$3,$B$4,$B$5,$F401,$B$6,U$10,$A401,$B401)</f>
        <v>0</v>
      </c>
      <c r="V401" s="4">
        <f ca="1">_xll.DBRW($B$1,$B$2,$B$7,$B$3,$B$4,$B$5,$F401,$B$6,V$10,$A401,$B401)</f>
        <v>2</v>
      </c>
      <c r="W401" s="4">
        <f ca="1">_xll.DBRW($B$1,$B$2,$B$7,$B$3,$B$4,$B$5,$F401,$B$6,W$10,$A401,$B401)</f>
        <v>30</v>
      </c>
      <c r="X401" s="4">
        <f ca="1">_xll.DBRW($B$1,$B$2,$B$7,$B$3,$B$4,$B$5,$F401,$B$6,X$10,$A401,$B401)</f>
        <v>31</v>
      </c>
      <c r="Y401" s="4">
        <f ca="1">_xll.DBRW($B$1,$B$2,$B$7,$B$3,$B$4,$B$5,$F401,$B$6,Y$10,$A401,$B401)</f>
        <v>30</v>
      </c>
      <c r="Z401" s="4">
        <f ca="1">_xll.DBRW($B$1,$B$2,$B$7,$B$3,$B$4,$B$5,$F401,$B$6,Z$10,$A401,$B401)</f>
        <v>31</v>
      </c>
      <c r="AA401" s="4">
        <f ca="1">_xll.DBRW($B$1,$B$2,$B$7,$B$3,$B$4,$B$5,$F401,$B$6,AA$10,$A401,$B401)</f>
        <v>31</v>
      </c>
      <c r="AB401" s="4">
        <f ca="1">_xll.DBRW($B$1,$B$2,$B$7,$B$3,$B$4,$B$5,$F401,$B$6,AB$10,$A401,$B401)</f>
        <v>30</v>
      </c>
      <c r="AC401" s="4">
        <f ca="1">_xll.DBRW($B$1,$B$2,$B$7,$B$3,$B$4,$B$5,$F401,$B$6,AC$10,$A401,$B401)</f>
        <v>25</v>
      </c>
      <c r="AD401" s="4">
        <f ca="1">_xll.DBRW($B$1,$B$2,$B$7,$B$3,$B$4,$B$5,$F401,$B$6,AD$10,$A401,$B401)</f>
        <v>0</v>
      </c>
      <c r="AE401" s="4">
        <f ca="1">_xll.DBRW($B$1,$B$2,$B$7,$B$3,$B$4,$B$5,$F401,$B$6,AE$10,$A401,$B401)</f>
        <v>0</v>
      </c>
    </row>
    <row r="402" spans="1:31">
      <c r="A402" s="1" t="s">
        <v>150</v>
      </c>
      <c r="B402" s="5" t="s">
        <v>63</v>
      </c>
      <c r="C402" s="5" t="s">
        <v>62</v>
      </c>
      <c r="D402" s="5" t="s">
        <v>59</v>
      </c>
      <c r="E402" s="5" t="s">
        <v>21</v>
      </c>
      <c r="F402" s="5" t="s">
        <v>315</v>
      </c>
      <c r="G402" s="6"/>
      <c r="H402" s="6"/>
      <c r="I402" s="6"/>
      <c r="J402" s="6"/>
      <c r="K402" s="6"/>
      <c r="L402" s="4">
        <f ca="1">_xll.DBRW($B$1,$B$2,$B$7,$B$3,$B$4,$B$5,$F402,$B$6,L$10,$A402,$B402)</f>
        <v>31</v>
      </c>
      <c r="M402" s="4">
        <f ca="1">_xll.DBRW($B$1,$B$2,$B$7,$B$3,$B$4,$B$5,$F402,$B$6,M$10,$A402,$B402)</f>
        <v>30</v>
      </c>
      <c r="N402" s="4">
        <f ca="1">_xll.DBRW($B$1,$B$2,$B$7,$B$3,$B$4,$B$5,$F402,$B$6,N$10,$A402,$B402)</f>
        <v>31</v>
      </c>
      <c r="O402" s="4">
        <f ca="1">_xll.DBRW($B$1,$B$2,$B$7,$B$3,$B$4,$B$5,$F402,$B$6,O$10,$A402,$B402)</f>
        <v>31</v>
      </c>
      <c r="P402" s="4">
        <f ca="1">_xll.DBRW($B$1,$B$2,$B$7,$B$3,$B$4,$B$5,$F402,$B$6,P$10,$A402,$B402)</f>
        <v>30</v>
      </c>
      <c r="Q402" s="4">
        <f ca="1">_xll.DBRW($B$1,$B$2,$B$7,$B$3,$B$4,$B$5,$F402,$B$6,Q$10,$A402,$B402)</f>
        <v>28</v>
      </c>
      <c r="R402" s="4">
        <f ca="1">_xll.DBRW($B$1,$B$2,$B$7,$B$3,$B$4,$B$5,$F402,$B$6,R$10,$A402,$B402)</f>
        <v>11</v>
      </c>
      <c r="S402" s="4">
        <f ca="1">_xll.DBRW($B$1,$B$2,$B$7,$B$3,$B$4,$B$5,$F402,$B$6,S$10,$A402,$B402)</f>
        <v>0</v>
      </c>
      <c r="T402" s="4">
        <f ca="1">_xll.DBRW($B$1,$B$2,$B$7,$B$3,$B$4,$B$5,$F402,$B$6,T$10,$A402,$B402)</f>
        <v>0</v>
      </c>
      <c r="U402" s="4">
        <f ca="1">_xll.DBRW($B$1,$B$2,$B$7,$B$3,$B$4,$B$5,$F402,$B$6,U$10,$A402,$B402)</f>
        <v>0</v>
      </c>
      <c r="V402" s="4">
        <f ca="1">_xll.DBRW($B$1,$B$2,$B$7,$B$3,$B$4,$B$5,$F402,$B$6,V$10,$A402,$B402)</f>
        <v>2</v>
      </c>
      <c r="W402" s="4">
        <f ca="1">_xll.DBRW($B$1,$B$2,$B$7,$B$3,$B$4,$B$5,$F402,$B$6,W$10,$A402,$B402)</f>
        <v>26</v>
      </c>
      <c r="X402" s="4">
        <f ca="1">_xll.DBRW($B$1,$B$2,$B$7,$B$3,$B$4,$B$5,$F402,$B$6,X$10,$A402,$B402)</f>
        <v>26</v>
      </c>
      <c r="Y402" s="4">
        <f ca="1">_xll.DBRW($B$1,$B$2,$B$7,$B$3,$B$4,$B$5,$F402,$B$6,Y$10,$A402,$B402)</f>
        <v>26</v>
      </c>
      <c r="Z402" s="4">
        <f ca="1">_xll.DBRW($B$1,$B$2,$B$7,$B$3,$B$4,$B$5,$F402,$B$6,Z$10,$A402,$B402)</f>
        <v>26</v>
      </c>
      <c r="AA402" s="4">
        <f ca="1">_xll.DBRW($B$1,$B$2,$B$7,$B$3,$B$4,$B$5,$F402,$B$6,AA$10,$A402,$B402)</f>
        <v>27</v>
      </c>
      <c r="AB402" s="4">
        <f ca="1">_xll.DBRW($B$1,$B$2,$B$7,$B$3,$B$4,$B$5,$F402,$B$6,AB$10,$A402,$B402)</f>
        <v>26</v>
      </c>
      <c r="AC402" s="4">
        <f ca="1">_xll.DBRW($B$1,$B$2,$B$7,$B$3,$B$4,$B$5,$F402,$B$6,AC$10,$A402,$B402)</f>
        <v>21</v>
      </c>
      <c r="AD402" s="4">
        <f ca="1">_xll.DBRW($B$1,$B$2,$B$7,$B$3,$B$4,$B$5,$F402,$B$6,AD$10,$A402,$B402)</f>
        <v>0</v>
      </c>
      <c r="AE402" s="4">
        <f ca="1">_xll.DBRW($B$1,$B$2,$B$7,$B$3,$B$4,$B$5,$F402,$B$6,AE$10,$A402,$B402)</f>
        <v>0</v>
      </c>
    </row>
    <row r="403" spans="1:31">
      <c r="A403" s="1" t="s">
        <v>150</v>
      </c>
      <c r="B403" s="5" t="s">
        <v>215</v>
      </c>
      <c r="C403" s="5" t="s">
        <v>159</v>
      </c>
      <c r="D403" s="5" t="s">
        <v>21</v>
      </c>
      <c r="E403" s="5" t="s">
        <v>38</v>
      </c>
      <c r="F403" s="5" t="s">
        <v>315</v>
      </c>
      <c r="G403" s="6"/>
      <c r="H403" s="6"/>
      <c r="I403" s="6"/>
      <c r="J403" s="6"/>
      <c r="K403" s="6"/>
      <c r="L403" s="4">
        <f ca="1">_xll.DBRW($B$1,$B$2,$B$7,$B$3,$B$4,$B$5,$F403,$B$6,L$10,$A403,$B403)</f>
        <v>0</v>
      </c>
      <c r="M403" s="4">
        <f ca="1">_xll.DBRW($B$1,$B$2,$B$7,$B$3,$B$4,$B$5,$F403,$B$6,M$10,$A403,$B403)</f>
        <v>0</v>
      </c>
      <c r="N403" s="4">
        <f ca="1">_xll.DBRW($B$1,$B$2,$B$7,$B$3,$B$4,$B$5,$F403,$B$6,N$10,$A403,$B403)</f>
        <v>0</v>
      </c>
      <c r="O403" s="4">
        <f ca="1">_xll.DBRW($B$1,$B$2,$B$7,$B$3,$B$4,$B$5,$F403,$B$6,O$10,$A403,$B403)</f>
        <v>0</v>
      </c>
      <c r="P403" s="4">
        <f ca="1">_xll.DBRW($B$1,$B$2,$B$7,$B$3,$B$4,$B$5,$F403,$B$6,P$10,$A403,$B403)</f>
        <v>0</v>
      </c>
      <c r="Q403" s="4">
        <f ca="1">_xll.DBRW($B$1,$B$2,$B$7,$B$3,$B$4,$B$5,$F403,$B$6,Q$10,$A403,$B403)</f>
        <v>0</v>
      </c>
      <c r="R403" s="4">
        <f ca="1">_xll.DBRW($B$1,$B$2,$B$7,$B$3,$B$4,$B$5,$F403,$B$6,R$10,$A403,$B403)</f>
        <v>0</v>
      </c>
      <c r="S403" s="4">
        <f ca="1">_xll.DBRW($B$1,$B$2,$B$7,$B$3,$B$4,$B$5,$F403,$B$6,S$10,$A403,$B403)</f>
        <v>0</v>
      </c>
      <c r="T403" s="4">
        <f ca="1">_xll.DBRW($B$1,$B$2,$B$7,$B$3,$B$4,$B$5,$F403,$B$6,T$10,$A403,$B403)</f>
        <v>10</v>
      </c>
      <c r="U403" s="4">
        <f ca="1">_xll.DBRW($B$1,$B$2,$B$7,$B$3,$B$4,$B$5,$F403,$B$6,U$10,$A403,$B403)</f>
        <v>8</v>
      </c>
      <c r="V403" s="4">
        <f ca="1">_xll.DBRW($B$1,$B$2,$B$7,$B$3,$B$4,$B$5,$F403,$B$6,V$10,$A403,$B403)</f>
        <v>8</v>
      </c>
      <c r="W403" s="4">
        <f ca="1">_xll.DBRW($B$1,$B$2,$B$7,$B$3,$B$4,$B$5,$F403,$B$6,W$10,$A403,$B403)</f>
        <v>0</v>
      </c>
      <c r="X403" s="4">
        <f ca="1">_xll.DBRW($B$1,$B$2,$B$7,$B$3,$B$4,$B$5,$F403,$B$6,X$10,$A403,$B403)</f>
        <v>0</v>
      </c>
      <c r="Y403" s="4">
        <f ca="1">_xll.DBRW($B$1,$B$2,$B$7,$B$3,$B$4,$B$5,$F403,$B$6,Y$10,$A403,$B403)</f>
        <v>0</v>
      </c>
      <c r="Z403" s="4">
        <f ca="1">_xll.DBRW($B$1,$B$2,$B$7,$B$3,$B$4,$B$5,$F403,$B$6,Z$10,$A403,$B403)</f>
        <v>0</v>
      </c>
      <c r="AA403" s="4">
        <f ca="1">_xll.DBRW($B$1,$B$2,$B$7,$B$3,$B$4,$B$5,$F403,$B$6,AA$10,$A403,$B403)</f>
        <v>0</v>
      </c>
      <c r="AB403" s="4">
        <f ca="1">_xll.DBRW($B$1,$B$2,$B$7,$B$3,$B$4,$B$5,$F403,$B$6,AB$10,$A403,$B403)</f>
        <v>0</v>
      </c>
      <c r="AC403" s="4">
        <f ca="1">_xll.DBRW($B$1,$B$2,$B$7,$B$3,$B$4,$B$5,$F403,$B$6,AC$10,$A403,$B403)</f>
        <v>2</v>
      </c>
      <c r="AD403" s="4">
        <f ca="1">_xll.DBRW($B$1,$B$2,$B$7,$B$3,$B$4,$B$5,$F403,$B$6,AD$10,$A403,$B403)</f>
        <v>8</v>
      </c>
      <c r="AE403" s="4">
        <f ca="1">_xll.DBRW($B$1,$B$2,$B$7,$B$3,$B$4,$B$5,$F403,$B$6,AE$10,$A403,$B403)</f>
        <v>8</v>
      </c>
    </row>
    <row r="404" spans="1:31">
      <c r="A404" s="1" t="s">
        <v>150</v>
      </c>
      <c r="B404" s="5" t="s">
        <v>43</v>
      </c>
      <c r="C404" s="5" t="s">
        <v>37</v>
      </c>
      <c r="D404" s="5" t="s">
        <v>38</v>
      </c>
      <c r="E404" s="5" t="s">
        <v>21</v>
      </c>
      <c r="F404" s="5" t="s">
        <v>315</v>
      </c>
      <c r="G404" s="6"/>
      <c r="H404" s="6"/>
      <c r="I404" s="6"/>
      <c r="J404" s="6"/>
      <c r="K404" s="6"/>
      <c r="L404" s="4">
        <f ca="1">_xll.DBRW($B$1,$B$2,$B$7,$B$3,$B$4,$B$5,$F404,$B$6,L$10,$A404,$B404)</f>
        <v>0</v>
      </c>
      <c r="M404" s="4">
        <f ca="1">_xll.DBRW($B$1,$B$2,$B$7,$B$3,$B$4,$B$5,$F404,$B$6,M$10,$A404,$B404)</f>
        <v>0</v>
      </c>
      <c r="N404" s="4">
        <f ca="1">_xll.DBRW($B$1,$B$2,$B$7,$B$3,$B$4,$B$5,$F404,$B$6,N$10,$A404,$B404)</f>
        <v>0</v>
      </c>
      <c r="O404" s="4">
        <f ca="1">_xll.DBRW($B$1,$B$2,$B$7,$B$3,$B$4,$B$5,$F404,$B$6,O$10,$A404,$B404)</f>
        <v>0</v>
      </c>
      <c r="P404" s="4">
        <f ca="1">_xll.DBRW($B$1,$B$2,$B$7,$B$3,$B$4,$B$5,$F404,$B$6,P$10,$A404,$B404)</f>
        <v>0</v>
      </c>
      <c r="Q404" s="4">
        <f ca="1">_xll.DBRW($B$1,$B$2,$B$7,$B$3,$B$4,$B$5,$F404,$B$6,Q$10,$A404,$B404)</f>
        <v>0</v>
      </c>
      <c r="R404" s="4">
        <f ca="1">_xll.DBRW($B$1,$B$2,$B$7,$B$3,$B$4,$B$5,$F404,$B$6,R$10,$A404,$B404)</f>
        <v>0</v>
      </c>
      <c r="S404" s="4">
        <f ca="1">_xll.DBRW($B$1,$B$2,$B$7,$B$3,$B$4,$B$5,$F404,$B$6,S$10,$A404,$B404)</f>
        <v>0</v>
      </c>
      <c r="T404" s="4">
        <f ca="1">_xll.DBRW($B$1,$B$2,$B$7,$B$3,$B$4,$B$5,$F404,$B$6,T$10,$A404,$B404)</f>
        <v>0</v>
      </c>
      <c r="U404" s="4">
        <f ca="1">_xll.DBRW($B$1,$B$2,$B$7,$B$3,$B$4,$B$5,$F404,$B$6,U$10,$A404,$B404)</f>
        <v>0</v>
      </c>
      <c r="V404" s="4">
        <f ca="1">_xll.DBRW($B$1,$B$2,$B$7,$B$3,$B$4,$B$5,$F404,$B$6,V$10,$A404,$B404)</f>
        <v>0</v>
      </c>
      <c r="W404" s="4">
        <f ca="1">_xll.DBRW($B$1,$B$2,$B$7,$B$3,$B$4,$B$5,$F404,$B$6,W$10,$A404,$B404)</f>
        <v>0</v>
      </c>
      <c r="X404" s="4">
        <f ca="1">_xll.DBRW($B$1,$B$2,$B$7,$B$3,$B$4,$B$5,$F404,$B$6,X$10,$A404,$B404)</f>
        <v>0</v>
      </c>
      <c r="Y404" s="4">
        <f ca="1">_xll.DBRW($B$1,$B$2,$B$7,$B$3,$B$4,$B$5,$F404,$B$6,Y$10,$A404,$B404)</f>
        <v>0</v>
      </c>
      <c r="Z404" s="4">
        <f ca="1">_xll.DBRW($B$1,$B$2,$B$7,$B$3,$B$4,$B$5,$F404,$B$6,Z$10,$A404,$B404)</f>
        <v>0</v>
      </c>
      <c r="AA404" s="4">
        <f ca="1">_xll.DBRW($B$1,$B$2,$B$7,$B$3,$B$4,$B$5,$F404,$B$6,AA$10,$A404,$B404)</f>
        <v>0</v>
      </c>
      <c r="AB404" s="4">
        <f ca="1">_xll.DBRW($B$1,$B$2,$B$7,$B$3,$B$4,$B$5,$F404,$B$6,AB$10,$A404,$B404)</f>
        <v>0</v>
      </c>
      <c r="AC404" s="4">
        <f ca="1">_xll.DBRW($B$1,$B$2,$B$7,$B$3,$B$4,$B$5,$F404,$B$6,AC$10,$A404,$B404)</f>
        <v>0</v>
      </c>
      <c r="AD404" s="4">
        <f ca="1">_xll.DBRW($B$1,$B$2,$B$7,$B$3,$B$4,$B$5,$F404,$B$6,AD$10,$A404,$B404)</f>
        <v>0</v>
      </c>
      <c r="AE404" s="4">
        <f ca="1">_xll.DBRW($B$1,$B$2,$B$7,$B$3,$B$4,$B$5,$F404,$B$6,AE$10,$A404,$B404)</f>
        <v>0</v>
      </c>
    </row>
    <row r="405" spans="1:31">
      <c r="A405" s="1" t="s">
        <v>150</v>
      </c>
      <c r="B405" s="5" t="s">
        <v>216</v>
      </c>
      <c r="C405" s="5" t="s">
        <v>163</v>
      </c>
      <c r="D405" s="5" t="s">
        <v>21</v>
      </c>
      <c r="E405" s="5" t="s">
        <v>54</v>
      </c>
      <c r="F405" s="5" t="s">
        <v>315</v>
      </c>
      <c r="G405" s="6"/>
      <c r="H405" s="6"/>
      <c r="I405" s="6"/>
      <c r="J405" s="6"/>
      <c r="K405" s="6"/>
      <c r="L405" s="4">
        <f ca="1">_xll.DBRW($B$1,$B$2,$B$7,$B$3,$B$4,$B$5,$F405,$B$6,L$10,$A405,$B405)</f>
        <v>0</v>
      </c>
      <c r="M405" s="4">
        <f ca="1">_xll.DBRW($B$1,$B$2,$B$7,$B$3,$B$4,$B$5,$F405,$B$6,M$10,$A405,$B405)</f>
        <v>0</v>
      </c>
      <c r="N405" s="4">
        <f ca="1">_xll.DBRW($B$1,$B$2,$B$7,$B$3,$B$4,$B$5,$F405,$B$6,N$10,$A405,$B405)</f>
        <v>0</v>
      </c>
      <c r="O405" s="4">
        <f ca="1">_xll.DBRW($B$1,$B$2,$B$7,$B$3,$B$4,$B$5,$F405,$B$6,O$10,$A405,$B405)</f>
        <v>0</v>
      </c>
      <c r="P405" s="4">
        <f ca="1">_xll.DBRW($B$1,$B$2,$B$7,$B$3,$B$4,$B$5,$F405,$B$6,P$10,$A405,$B405)</f>
        <v>0</v>
      </c>
      <c r="Q405" s="4">
        <f ca="1">_xll.DBRW($B$1,$B$2,$B$7,$B$3,$B$4,$B$5,$F405,$B$6,Q$10,$A405,$B405)</f>
        <v>0</v>
      </c>
      <c r="R405" s="4">
        <f ca="1">_xll.DBRW($B$1,$B$2,$B$7,$B$3,$B$4,$B$5,$F405,$B$6,R$10,$A405,$B405)</f>
        <v>0</v>
      </c>
      <c r="S405" s="4">
        <f ca="1">_xll.DBRW($B$1,$B$2,$B$7,$B$3,$B$4,$B$5,$F405,$B$6,S$10,$A405,$B405)</f>
        <v>0</v>
      </c>
      <c r="T405" s="4">
        <f ca="1">_xll.DBRW($B$1,$B$2,$B$7,$B$3,$B$4,$B$5,$F405,$B$6,T$10,$A405,$B405)</f>
        <v>0</v>
      </c>
      <c r="U405" s="4">
        <f ca="1">_xll.DBRW($B$1,$B$2,$B$7,$B$3,$B$4,$B$5,$F405,$B$6,U$10,$A405,$B405)</f>
        <v>0</v>
      </c>
      <c r="V405" s="4">
        <f ca="1">_xll.DBRW($B$1,$B$2,$B$7,$B$3,$B$4,$B$5,$F405,$B$6,V$10,$A405,$B405)</f>
        <v>0</v>
      </c>
      <c r="W405" s="4">
        <f ca="1">_xll.DBRW($B$1,$B$2,$B$7,$B$3,$B$4,$B$5,$F405,$B$6,W$10,$A405,$B405)</f>
        <v>0</v>
      </c>
      <c r="X405" s="4">
        <f ca="1">_xll.DBRW($B$1,$B$2,$B$7,$B$3,$B$4,$B$5,$F405,$B$6,X$10,$A405,$B405)</f>
        <v>0</v>
      </c>
      <c r="Y405" s="4">
        <f ca="1">_xll.DBRW($B$1,$B$2,$B$7,$B$3,$B$4,$B$5,$F405,$B$6,Y$10,$A405,$B405)</f>
        <v>0</v>
      </c>
      <c r="Z405" s="4">
        <f ca="1">_xll.DBRW($B$1,$B$2,$B$7,$B$3,$B$4,$B$5,$F405,$B$6,Z$10,$A405,$B405)</f>
        <v>0</v>
      </c>
      <c r="AA405" s="4">
        <f ca="1">_xll.DBRW($B$1,$B$2,$B$7,$B$3,$B$4,$B$5,$F405,$B$6,AA$10,$A405,$B405)</f>
        <v>0</v>
      </c>
      <c r="AB405" s="4">
        <f ca="1">_xll.DBRW($B$1,$B$2,$B$7,$B$3,$B$4,$B$5,$F405,$B$6,AB$10,$A405,$B405)</f>
        <v>0</v>
      </c>
      <c r="AC405" s="4">
        <f ca="1">_xll.DBRW($B$1,$B$2,$B$7,$B$3,$B$4,$B$5,$F405,$B$6,AC$10,$A405,$B405)</f>
        <v>0</v>
      </c>
      <c r="AD405" s="4">
        <f ca="1">_xll.DBRW($B$1,$B$2,$B$7,$B$3,$B$4,$B$5,$F405,$B$6,AD$10,$A405,$B405)</f>
        <v>0</v>
      </c>
      <c r="AE405" s="4">
        <f ca="1">_xll.DBRW($B$1,$B$2,$B$7,$B$3,$B$4,$B$5,$F405,$B$6,AE$10,$A405,$B405)</f>
        <v>0</v>
      </c>
    </row>
    <row r="406" spans="1:31">
      <c r="A406" s="1" t="s">
        <v>150</v>
      </c>
      <c r="B406" s="5" t="s">
        <v>56</v>
      </c>
      <c r="C406" s="5" t="s">
        <v>53</v>
      </c>
      <c r="D406" s="5" t="s">
        <v>54</v>
      </c>
      <c r="E406" s="5" t="s">
        <v>21</v>
      </c>
      <c r="F406" s="5" t="s">
        <v>315</v>
      </c>
      <c r="G406" s="6"/>
      <c r="H406" s="6"/>
      <c r="I406" s="6"/>
      <c r="J406" s="6"/>
      <c r="K406" s="6"/>
      <c r="L406" s="4">
        <f ca="1">_xll.DBRW($B$1,$B$2,$B$7,$B$3,$B$4,$B$5,$F406,$B$6,L$10,$A406,$B406)</f>
        <v>0</v>
      </c>
      <c r="M406" s="4">
        <f ca="1">_xll.DBRW($B$1,$B$2,$B$7,$B$3,$B$4,$B$5,$F406,$B$6,M$10,$A406,$B406)</f>
        <v>0</v>
      </c>
      <c r="N406" s="4">
        <f ca="1">_xll.DBRW($B$1,$B$2,$B$7,$B$3,$B$4,$B$5,$F406,$B$6,N$10,$A406,$B406)</f>
        <v>0</v>
      </c>
      <c r="O406" s="4">
        <f ca="1">_xll.DBRW($B$1,$B$2,$B$7,$B$3,$B$4,$B$5,$F406,$B$6,O$10,$A406,$B406)</f>
        <v>0</v>
      </c>
      <c r="P406" s="4">
        <f ca="1">_xll.DBRW($B$1,$B$2,$B$7,$B$3,$B$4,$B$5,$F406,$B$6,P$10,$A406,$B406)</f>
        <v>0</v>
      </c>
      <c r="Q406" s="4">
        <f ca="1">_xll.DBRW($B$1,$B$2,$B$7,$B$3,$B$4,$B$5,$F406,$B$6,Q$10,$A406,$B406)</f>
        <v>0</v>
      </c>
      <c r="R406" s="4">
        <f ca="1">_xll.DBRW($B$1,$B$2,$B$7,$B$3,$B$4,$B$5,$F406,$B$6,R$10,$A406,$B406)</f>
        <v>0</v>
      </c>
      <c r="S406" s="4">
        <f ca="1">_xll.DBRW($B$1,$B$2,$B$7,$B$3,$B$4,$B$5,$F406,$B$6,S$10,$A406,$B406)</f>
        <v>0</v>
      </c>
      <c r="T406" s="4">
        <f ca="1">_xll.DBRW($B$1,$B$2,$B$7,$B$3,$B$4,$B$5,$F406,$B$6,T$10,$A406,$B406)</f>
        <v>0</v>
      </c>
      <c r="U406" s="4">
        <f ca="1">_xll.DBRW($B$1,$B$2,$B$7,$B$3,$B$4,$B$5,$F406,$B$6,U$10,$A406,$B406)</f>
        <v>0</v>
      </c>
      <c r="V406" s="4">
        <f ca="1">_xll.DBRW($B$1,$B$2,$B$7,$B$3,$B$4,$B$5,$F406,$B$6,V$10,$A406,$B406)</f>
        <v>0</v>
      </c>
      <c r="W406" s="4">
        <f ca="1">_xll.DBRW($B$1,$B$2,$B$7,$B$3,$B$4,$B$5,$F406,$B$6,W$10,$A406,$B406)</f>
        <v>0</v>
      </c>
      <c r="X406" s="4">
        <f ca="1">_xll.DBRW($B$1,$B$2,$B$7,$B$3,$B$4,$B$5,$F406,$B$6,X$10,$A406,$B406)</f>
        <v>0</v>
      </c>
      <c r="Y406" s="4">
        <f ca="1">_xll.DBRW($B$1,$B$2,$B$7,$B$3,$B$4,$B$5,$F406,$B$6,Y$10,$A406,$B406)</f>
        <v>0</v>
      </c>
      <c r="Z406" s="4">
        <f ca="1">_xll.DBRW($B$1,$B$2,$B$7,$B$3,$B$4,$B$5,$F406,$B$6,Z$10,$A406,$B406)</f>
        <v>0</v>
      </c>
      <c r="AA406" s="4">
        <f ca="1">_xll.DBRW($B$1,$B$2,$B$7,$B$3,$B$4,$B$5,$F406,$B$6,AA$10,$A406,$B406)</f>
        <v>0</v>
      </c>
      <c r="AB406" s="4">
        <f ca="1">_xll.DBRW($B$1,$B$2,$B$7,$B$3,$B$4,$B$5,$F406,$B$6,AB$10,$A406,$B406)</f>
        <v>0</v>
      </c>
      <c r="AC406" s="4">
        <f ca="1">_xll.DBRW($B$1,$B$2,$B$7,$B$3,$B$4,$B$5,$F406,$B$6,AC$10,$A406,$B406)</f>
        <v>0</v>
      </c>
      <c r="AD406" s="4">
        <f ca="1">_xll.DBRW($B$1,$B$2,$B$7,$B$3,$B$4,$B$5,$F406,$B$6,AD$10,$A406,$B406)</f>
        <v>0</v>
      </c>
      <c r="AE406" s="4">
        <f ca="1">_xll.DBRW($B$1,$B$2,$B$7,$B$3,$B$4,$B$5,$F406,$B$6,AE$10,$A406,$B406)</f>
        <v>0</v>
      </c>
    </row>
    <row r="407" spans="1:31">
      <c r="A407" s="1" t="s">
        <v>150</v>
      </c>
      <c r="B407" s="5" t="s">
        <v>217</v>
      </c>
      <c r="C407" s="5" t="s">
        <v>159</v>
      </c>
      <c r="D407" s="5" t="s">
        <v>21</v>
      </c>
      <c r="E407" s="5" t="s">
        <v>38</v>
      </c>
      <c r="F407" s="5" t="s">
        <v>315</v>
      </c>
      <c r="G407" s="6"/>
      <c r="H407" s="6"/>
      <c r="I407" s="6"/>
      <c r="J407" s="6"/>
      <c r="K407" s="6"/>
      <c r="L407" s="4">
        <f ca="1">_xll.DBRW($B$1,$B$2,$B$7,$B$3,$B$4,$B$5,$F407,$B$6,L$10,$A407,$B407)</f>
        <v>0</v>
      </c>
      <c r="M407" s="4">
        <f ca="1">_xll.DBRW($B$1,$B$2,$B$7,$B$3,$B$4,$B$5,$F407,$B$6,M$10,$A407,$B407)</f>
        <v>0</v>
      </c>
      <c r="N407" s="4">
        <f ca="1">_xll.DBRW($B$1,$B$2,$B$7,$B$3,$B$4,$B$5,$F407,$B$6,N$10,$A407,$B407)</f>
        <v>0</v>
      </c>
      <c r="O407" s="4">
        <f ca="1">_xll.DBRW($B$1,$B$2,$B$7,$B$3,$B$4,$B$5,$F407,$B$6,O$10,$A407,$B407)</f>
        <v>0</v>
      </c>
      <c r="P407" s="4">
        <f ca="1">_xll.DBRW($B$1,$B$2,$B$7,$B$3,$B$4,$B$5,$F407,$B$6,P$10,$A407,$B407)</f>
        <v>0</v>
      </c>
      <c r="Q407" s="4">
        <f ca="1">_xll.DBRW($B$1,$B$2,$B$7,$B$3,$B$4,$B$5,$F407,$B$6,Q$10,$A407,$B407)</f>
        <v>0</v>
      </c>
      <c r="R407" s="4">
        <f ca="1">_xll.DBRW($B$1,$B$2,$B$7,$B$3,$B$4,$B$5,$F407,$B$6,R$10,$A407,$B407)</f>
        <v>0</v>
      </c>
      <c r="S407" s="4">
        <f ca="1">_xll.DBRW($B$1,$B$2,$B$7,$B$3,$B$4,$B$5,$F407,$B$6,S$10,$A407,$B407)</f>
        <v>0</v>
      </c>
      <c r="T407" s="4">
        <f ca="1">_xll.DBRW($B$1,$B$2,$B$7,$B$3,$B$4,$B$5,$F407,$B$6,T$10,$A407,$B407)</f>
        <v>4</v>
      </c>
      <c r="U407" s="4">
        <f ca="1">_xll.DBRW($B$1,$B$2,$B$7,$B$3,$B$4,$B$5,$F407,$B$6,U$10,$A407,$B407)</f>
        <v>4</v>
      </c>
      <c r="V407" s="4">
        <f ca="1">_xll.DBRW($B$1,$B$2,$B$7,$B$3,$B$4,$B$5,$F407,$B$6,V$10,$A407,$B407)</f>
        <v>4</v>
      </c>
      <c r="W407" s="4">
        <f ca="1">_xll.DBRW($B$1,$B$2,$B$7,$B$3,$B$4,$B$5,$F407,$B$6,W$10,$A407,$B407)</f>
        <v>0</v>
      </c>
      <c r="X407" s="4">
        <f ca="1">_xll.DBRW($B$1,$B$2,$B$7,$B$3,$B$4,$B$5,$F407,$B$6,X$10,$A407,$B407)</f>
        <v>0</v>
      </c>
      <c r="Y407" s="4">
        <f ca="1">_xll.DBRW($B$1,$B$2,$B$7,$B$3,$B$4,$B$5,$F407,$B$6,Y$10,$A407,$B407)</f>
        <v>0</v>
      </c>
      <c r="Z407" s="4">
        <f ca="1">_xll.DBRW($B$1,$B$2,$B$7,$B$3,$B$4,$B$5,$F407,$B$6,Z$10,$A407,$B407)</f>
        <v>0</v>
      </c>
      <c r="AA407" s="4">
        <f ca="1">_xll.DBRW($B$1,$B$2,$B$7,$B$3,$B$4,$B$5,$F407,$B$6,AA$10,$A407,$B407)</f>
        <v>0</v>
      </c>
      <c r="AB407" s="4">
        <f ca="1">_xll.DBRW($B$1,$B$2,$B$7,$B$3,$B$4,$B$5,$F407,$B$6,AB$10,$A407,$B407)</f>
        <v>0</v>
      </c>
      <c r="AC407" s="4">
        <f ca="1">_xll.DBRW($B$1,$B$2,$B$7,$B$3,$B$4,$B$5,$F407,$B$6,AC$10,$A407,$B407)</f>
        <v>1</v>
      </c>
      <c r="AD407" s="4">
        <f ca="1">_xll.DBRW($B$1,$B$2,$B$7,$B$3,$B$4,$B$5,$F407,$B$6,AD$10,$A407,$B407)</f>
        <v>4</v>
      </c>
      <c r="AE407" s="4">
        <f ca="1">_xll.DBRW($B$1,$B$2,$B$7,$B$3,$B$4,$B$5,$F407,$B$6,AE$10,$A407,$B407)</f>
        <v>5</v>
      </c>
    </row>
    <row r="408" spans="1:31">
      <c r="A408" s="1" t="s">
        <v>150</v>
      </c>
      <c r="B408" s="5" t="s">
        <v>44</v>
      </c>
      <c r="C408" s="5" t="s">
        <v>37</v>
      </c>
      <c r="D408" s="5" t="s">
        <v>38</v>
      </c>
      <c r="E408" s="5" t="s">
        <v>21</v>
      </c>
      <c r="F408" s="5" t="s">
        <v>315</v>
      </c>
      <c r="G408" s="6"/>
      <c r="H408" s="6"/>
      <c r="I408" s="6"/>
      <c r="J408" s="6"/>
      <c r="K408" s="6"/>
      <c r="L408" s="4">
        <f ca="1">_xll.DBRW($B$1,$B$2,$B$7,$B$3,$B$4,$B$5,$F408,$B$6,L$10,$A408,$B408)</f>
        <v>0</v>
      </c>
      <c r="M408" s="4">
        <f ca="1">_xll.DBRW($B$1,$B$2,$B$7,$B$3,$B$4,$B$5,$F408,$B$6,M$10,$A408,$B408)</f>
        <v>0</v>
      </c>
      <c r="N408" s="4">
        <f ca="1">_xll.DBRW($B$1,$B$2,$B$7,$B$3,$B$4,$B$5,$F408,$B$6,N$10,$A408,$B408)</f>
        <v>0</v>
      </c>
      <c r="O408" s="4">
        <f ca="1">_xll.DBRW($B$1,$B$2,$B$7,$B$3,$B$4,$B$5,$F408,$B$6,O$10,$A408,$B408)</f>
        <v>0</v>
      </c>
      <c r="P408" s="4">
        <f ca="1">_xll.DBRW($B$1,$B$2,$B$7,$B$3,$B$4,$B$5,$F408,$B$6,P$10,$A408,$B408)</f>
        <v>0</v>
      </c>
      <c r="Q408" s="4">
        <f ca="1">_xll.DBRW($B$1,$B$2,$B$7,$B$3,$B$4,$B$5,$F408,$B$6,Q$10,$A408,$B408)</f>
        <v>0</v>
      </c>
      <c r="R408" s="4">
        <f ca="1">_xll.DBRW($B$1,$B$2,$B$7,$B$3,$B$4,$B$5,$F408,$B$6,R$10,$A408,$B408)</f>
        <v>0</v>
      </c>
      <c r="S408" s="4">
        <f ca="1">_xll.DBRW($B$1,$B$2,$B$7,$B$3,$B$4,$B$5,$F408,$B$6,S$10,$A408,$B408)</f>
        <v>0</v>
      </c>
      <c r="T408" s="4">
        <f ca="1">_xll.DBRW($B$1,$B$2,$B$7,$B$3,$B$4,$B$5,$F408,$B$6,T$10,$A408,$B408)</f>
        <v>10</v>
      </c>
      <c r="U408" s="4">
        <f ca="1">_xll.DBRW($B$1,$B$2,$B$7,$B$3,$B$4,$B$5,$F408,$B$6,U$10,$A408,$B408)</f>
        <v>8</v>
      </c>
      <c r="V408" s="4">
        <f ca="1">_xll.DBRW($B$1,$B$2,$B$7,$B$3,$B$4,$B$5,$F408,$B$6,V$10,$A408,$B408)</f>
        <v>8</v>
      </c>
      <c r="W408" s="4">
        <f ca="1">_xll.DBRW($B$1,$B$2,$B$7,$B$3,$B$4,$B$5,$F408,$B$6,W$10,$A408,$B408)</f>
        <v>0</v>
      </c>
      <c r="X408" s="4">
        <f ca="1">_xll.DBRW($B$1,$B$2,$B$7,$B$3,$B$4,$B$5,$F408,$B$6,X$10,$A408,$B408)</f>
        <v>0</v>
      </c>
      <c r="Y408" s="4">
        <f ca="1">_xll.DBRW($B$1,$B$2,$B$7,$B$3,$B$4,$B$5,$F408,$B$6,Y$10,$A408,$B408)</f>
        <v>0</v>
      </c>
      <c r="Z408" s="4">
        <f ca="1">_xll.DBRW($B$1,$B$2,$B$7,$B$3,$B$4,$B$5,$F408,$B$6,Z$10,$A408,$B408)</f>
        <v>0</v>
      </c>
      <c r="AA408" s="4">
        <f ca="1">_xll.DBRW($B$1,$B$2,$B$7,$B$3,$B$4,$B$5,$F408,$B$6,AA$10,$A408,$B408)</f>
        <v>0</v>
      </c>
      <c r="AB408" s="4">
        <f ca="1">_xll.DBRW($B$1,$B$2,$B$7,$B$3,$B$4,$B$5,$F408,$B$6,AB$10,$A408,$B408)</f>
        <v>0</v>
      </c>
      <c r="AC408" s="4">
        <f ca="1">_xll.DBRW($B$1,$B$2,$B$7,$B$3,$B$4,$B$5,$F408,$B$6,AC$10,$A408,$B408)</f>
        <v>2</v>
      </c>
      <c r="AD408" s="4">
        <f ca="1">_xll.DBRW($B$1,$B$2,$B$7,$B$3,$B$4,$B$5,$F408,$B$6,AD$10,$A408,$B408)</f>
        <v>8</v>
      </c>
      <c r="AE408" s="4">
        <f ca="1">_xll.DBRW($B$1,$B$2,$B$7,$B$3,$B$4,$B$5,$F408,$B$6,AE$10,$A408,$B408)</f>
        <v>8</v>
      </c>
    </row>
    <row r="409" spans="1:31">
      <c r="A409" s="1" t="s">
        <v>150</v>
      </c>
      <c r="B409" s="5" t="s">
        <v>218</v>
      </c>
      <c r="C409" s="5" t="s">
        <v>219</v>
      </c>
      <c r="D409" s="5" t="s">
        <v>21</v>
      </c>
      <c r="E409" s="5" t="s">
        <v>49</v>
      </c>
      <c r="F409" s="5" t="s">
        <v>315</v>
      </c>
      <c r="G409" s="6"/>
      <c r="H409" s="6"/>
      <c r="I409" s="6"/>
      <c r="J409" s="6"/>
      <c r="K409" s="6"/>
      <c r="L409" s="4">
        <f ca="1">_xll.DBRW($B$1,$B$2,$B$7,$B$3,$B$4,$B$5,$F409,$B$6,L$10,$A409,$B409)</f>
        <v>0</v>
      </c>
      <c r="M409" s="4">
        <f ca="1">_xll.DBRW($B$1,$B$2,$B$7,$B$3,$B$4,$B$5,$F409,$B$6,M$10,$A409,$B409)</f>
        <v>0</v>
      </c>
      <c r="N409" s="4">
        <f ca="1">_xll.DBRW($B$1,$B$2,$B$7,$B$3,$B$4,$B$5,$F409,$B$6,N$10,$A409,$B409)</f>
        <v>0</v>
      </c>
      <c r="O409" s="4">
        <f ca="1">_xll.DBRW($B$1,$B$2,$B$7,$B$3,$B$4,$B$5,$F409,$B$6,O$10,$A409,$B409)</f>
        <v>0</v>
      </c>
      <c r="P409" s="4">
        <f ca="1">_xll.DBRW($B$1,$B$2,$B$7,$B$3,$B$4,$B$5,$F409,$B$6,P$10,$A409,$B409)</f>
        <v>0</v>
      </c>
      <c r="Q409" s="4">
        <f ca="1">_xll.DBRW($B$1,$B$2,$B$7,$B$3,$B$4,$B$5,$F409,$B$6,Q$10,$A409,$B409)</f>
        <v>0</v>
      </c>
      <c r="R409" s="4">
        <f ca="1">_xll.DBRW($B$1,$B$2,$B$7,$B$3,$B$4,$B$5,$F409,$B$6,R$10,$A409,$B409)</f>
        <v>0</v>
      </c>
      <c r="S409" s="4">
        <f ca="1">_xll.DBRW($B$1,$B$2,$B$7,$B$3,$B$4,$B$5,$F409,$B$6,S$10,$A409,$B409)</f>
        <v>0</v>
      </c>
      <c r="T409" s="4">
        <f ca="1">_xll.DBRW($B$1,$B$2,$B$7,$B$3,$B$4,$B$5,$F409,$B$6,T$10,$A409,$B409)</f>
        <v>0</v>
      </c>
      <c r="U409" s="4">
        <f ca="1">_xll.DBRW($B$1,$B$2,$B$7,$B$3,$B$4,$B$5,$F409,$B$6,U$10,$A409,$B409)</f>
        <v>0</v>
      </c>
      <c r="V409" s="4">
        <f ca="1">_xll.DBRW($B$1,$B$2,$B$7,$B$3,$B$4,$B$5,$F409,$B$6,V$10,$A409,$B409)</f>
        <v>0</v>
      </c>
      <c r="W409" s="4">
        <f ca="1">_xll.DBRW($B$1,$B$2,$B$7,$B$3,$B$4,$B$5,$F409,$B$6,W$10,$A409,$B409)</f>
        <v>0</v>
      </c>
      <c r="X409" s="4">
        <f ca="1">_xll.DBRW($B$1,$B$2,$B$7,$B$3,$B$4,$B$5,$F409,$B$6,X$10,$A409,$B409)</f>
        <v>0</v>
      </c>
      <c r="Y409" s="4">
        <f ca="1">_xll.DBRW($B$1,$B$2,$B$7,$B$3,$B$4,$B$5,$F409,$B$6,Y$10,$A409,$B409)</f>
        <v>0</v>
      </c>
      <c r="Z409" s="4">
        <f ca="1">_xll.DBRW($B$1,$B$2,$B$7,$B$3,$B$4,$B$5,$F409,$B$6,Z$10,$A409,$B409)</f>
        <v>0</v>
      </c>
      <c r="AA409" s="4">
        <f ca="1">_xll.DBRW($B$1,$B$2,$B$7,$B$3,$B$4,$B$5,$F409,$B$6,AA$10,$A409,$B409)</f>
        <v>0</v>
      </c>
      <c r="AB409" s="4">
        <f ca="1">_xll.DBRW($B$1,$B$2,$B$7,$B$3,$B$4,$B$5,$F409,$B$6,AB$10,$A409,$B409)</f>
        <v>0</v>
      </c>
      <c r="AC409" s="4">
        <f ca="1">_xll.DBRW($B$1,$B$2,$B$7,$B$3,$B$4,$B$5,$F409,$B$6,AC$10,$A409,$B409)</f>
        <v>0</v>
      </c>
      <c r="AD409" s="4">
        <f ca="1">_xll.DBRW($B$1,$B$2,$B$7,$B$3,$B$4,$B$5,$F409,$B$6,AD$10,$A409,$B409)</f>
        <v>0</v>
      </c>
      <c r="AE409" s="4">
        <f ca="1">_xll.DBRW($B$1,$B$2,$B$7,$B$3,$B$4,$B$5,$F409,$B$6,AE$10,$A409,$B409)</f>
        <v>0</v>
      </c>
    </row>
    <row r="410" spans="1:31">
      <c r="A410" s="1" t="s">
        <v>150</v>
      </c>
      <c r="B410" s="5" t="s">
        <v>47</v>
      </c>
      <c r="C410" s="5" t="s">
        <v>48</v>
      </c>
      <c r="D410" s="5" t="s">
        <v>49</v>
      </c>
      <c r="E410" s="5" t="s">
        <v>21</v>
      </c>
      <c r="F410" s="5" t="s">
        <v>315</v>
      </c>
      <c r="G410" s="6"/>
      <c r="H410" s="6"/>
      <c r="I410" s="6"/>
      <c r="J410" s="6"/>
      <c r="K410" s="6"/>
      <c r="L410" s="4">
        <f ca="1">_xll.DBRW($B$1,$B$2,$B$7,$B$3,$B$4,$B$5,$F410,$B$6,L$10,$A410,$B410)</f>
        <v>0</v>
      </c>
      <c r="M410" s="4">
        <f ca="1">_xll.DBRW($B$1,$B$2,$B$7,$B$3,$B$4,$B$5,$F410,$B$6,M$10,$A410,$B410)</f>
        <v>0</v>
      </c>
      <c r="N410" s="4">
        <f ca="1">_xll.DBRW($B$1,$B$2,$B$7,$B$3,$B$4,$B$5,$F410,$B$6,N$10,$A410,$B410)</f>
        <v>0</v>
      </c>
      <c r="O410" s="4">
        <f ca="1">_xll.DBRW($B$1,$B$2,$B$7,$B$3,$B$4,$B$5,$F410,$B$6,O$10,$A410,$B410)</f>
        <v>0</v>
      </c>
      <c r="P410" s="4">
        <f ca="1">_xll.DBRW($B$1,$B$2,$B$7,$B$3,$B$4,$B$5,$F410,$B$6,P$10,$A410,$B410)</f>
        <v>0</v>
      </c>
      <c r="Q410" s="4">
        <f ca="1">_xll.DBRW($B$1,$B$2,$B$7,$B$3,$B$4,$B$5,$F410,$B$6,Q$10,$A410,$B410)</f>
        <v>0</v>
      </c>
      <c r="R410" s="4">
        <f ca="1">_xll.DBRW($B$1,$B$2,$B$7,$B$3,$B$4,$B$5,$F410,$B$6,R$10,$A410,$B410)</f>
        <v>0</v>
      </c>
      <c r="S410" s="4">
        <f ca="1">_xll.DBRW($B$1,$B$2,$B$7,$B$3,$B$4,$B$5,$F410,$B$6,S$10,$A410,$B410)</f>
        <v>0</v>
      </c>
      <c r="T410" s="4">
        <f ca="1">_xll.DBRW($B$1,$B$2,$B$7,$B$3,$B$4,$B$5,$F410,$B$6,T$10,$A410,$B410)</f>
        <v>0</v>
      </c>
      <c r="U410" s="4">
        <f ca="1">_xll.DBRW($B$1,$B$2,$B$7,$B$3,$B$4,$B$5,$F410,$B$6,U$10,$A410,$B410)</f>
        <v>0</v>
      </c>
      <c r="V410" s="4">
        <f ca="1">_xll.DBRW($B$1,$B$2,$B$7,$B$3,$B$4,$B$5,$F410,$B$6,V$10,$A410,$B410)</f>
        <v>0</v>
      </c>
      <c r="W410" s="4">
        <f ca="1">_xll.DBRW($B$1,$B$2,$B$7,$B$3,$B$4,$B$5,$F410,$B$6,W$10,$A410,$B410)</f>
        <v>0</v>
      </c>
      <c r="X410" s="4">
        <f ca="1">_xll.DBRW($B$1,$B$2,$B$7,$B$3,$B$4,$B$5,$F410,$B$6,X$10,$A410,$B410)</f>
        <v>0</v>
      </c>
      <c r="Y410" s="4">
        <f ca="1">_xll.DBRW($B$1,$B$2,$B$7,$B$3,$B$4,$B$5,$F410,$B$6,Y$10,$A410,$B410)</f>
        <v>0</v>
      </c>
      <c r="Z410" s="4">
        <f ca="1">_xll.DBRW($B$1,$B$2,$B$7,$B$3,$B$4,$B$5,$F410,$B$6,Z$10,$A410,$B410)</f>
        <v>0</v>
      </c>
      <c r="AA410" s="4">
        <f ca="1">_xll.DBRW($B$1,$B$2,$B$7,$B$3,$B$4,$B$5,$F410,$B$6,AA$10,$A410,$B410)</f>
        <v>0</v>
      </c>
      <c r="AB410" s="4">
        <f ca="1">_xll.DBRW($B$1,$B$2,$B$7,$B$3,$B$4,$B$5,$F410,$B$6,AB$10,$A410,$B410)</f>
        <v>0</v>
      </c>
      <c r="AC410" s="4">
        <f ca="1">_xll.DBRW($B$1,$B$2,$B$7,$B$3,$B$4,$B$5,$F410,$B$6,AC$10,$A410,$B410)</f>
        <v>0</v>
      </c>
      <c r="AD410" s="4">
        <f ca="1">_xll.DBRW($B$1,$B$2,$B$7,$B$3,$B$4,$B$5,$F410,$B$6,AD$10,$A410,$B410)</f>
        <v>0</v>
      </c>
      <c r="AE410" s="4">
        <f ca="1">_xll.DBRW($B$1,$B$2,$B$7,$B$3,$B$4,$B$5,$F410,$B$6,AE$10,$A410,$B410)</f>
        <v>0</v>
      </c>
    </row>
    <row r="411" spans="1:31">
      <c r="A411" s="1" t="s">
        <v>150</v>
      </c>
      <c r="B411" s="5" t="s">
        <v>220</v>
      </c>
      <c r="C411" s="5" t="s">
        <v>166</v>
      </c>
      <c r="D411" s="5" t="s">
        <v>21</v>
      </c>
      <c r="E411" s="5" t="s">
        <v>31</v>
      </c>
      <c r="F411" s="5" t="s">
        <v>315</v>
      </c>
      <c r="G411" s="6"/>
      <c r="H411" s="6"/>
      <c r="I411" s="6"/>
      <c r="J411" s="6"/>
      <c r="K411" s="6"/>
      <c r="L411" s="4">
        <f ca="1">_xll.DBRW($B$1,$B$2,$B$7,$B$3,$B$4,$B$5,$F411,$B$6,L$10,$A411,$B411)</f>
        <v>0</v>
      </c>
      <c r="M411" s="4">
        <f ca="1">_xll.DBRW($B$1,$B$2,$B$7,$B$3,$B$4,$B$5,$F411,$B$6,M$10,$A411,$B411)</f>
        <v>0</v>
      </c>
      <c r="N411" s="4">
        <f ca="1">_xll.DBRW($B$1,$B$2,$B$7,$B$3,$B$4,$B$5,$F411,$B$6,N$10,$A411,$B411)</f>
        <v>0</v>
      </c>
      <c r="O411" s="4">
        <f ca="1">_xll.DBRW($B$1,$B$2,$B$7,$B$3,$B$4,$B$5,$F411,$B$6,O$10,$A411,$B411)</f>
        <v>0</v>
      </c>
      <c r="P411" s="4">
        <f ca="1">_xll.DBRW($B$1,$B$2,$B$7,$B$3,$B$4,$B$5,$F411,$B$6,P$10,$A411,$B411)</f>
        <v>0</v>
      </c>
      <c r="Q411" s="4">
        <f ca="1">_xll.DBRW($B$1,$B$2,$B$7,$B$3,$B$4,$B$5,$F411,$B$6,Q$10,$A411,$B411)</f>
        <v>0</v>
      </c>
      <c r="R411" s="4">
        <f ca="1">_xll.DBRW($B$1,$B$2,$B$7,$B$3,$B$4,$B$5,$F411,$B$6,R$10,$A411,$B411)</f>
        <v>0</v>
      </c>
      <c r="S411" s="4">
        <f ca="1">_xll.DBRW($B$1,$B$2,$B$7,$B$3,$B$4,$B$5,$F411,$B$6,S$10,$A411,$B411)</f>
        <v>0</v>
      </c>
      <c r="T411" s="4">
        <f ca="1">_xll.DBRW($B$1,$B$2,$B$7,$B$3,$B$4,$B$5,$F411,$B$6,T$10,$A411,$B411)</f>
        <v>0</v>
      </c>
      <c r="U411" s="4">
        <f ca="1">_xll.DBRW($B$1,$B$2,$B$7,$B$3,$B$4,$B$5,$F411,$B$6,U$10,$A411,$B411)</f>
        <v>0</v>
      </c>
      <c r="V411" s="4">
        <f ca="1">_xll.DBRW($B$1,$B$2,$B$7,$B$3,$B$4,$B$5,$F411,$B$6,V$10,$A411,$B411)</f>
        <v>0</v>
      </c>
      <c r="W411" s="4">
        <f ca="1">_xll.DBRW($B$1,$B$2,$B$7,$B$3,$B$4,$B$5,$F411,$B$6,W$10,$A411,$B411)</f>
        <v>0</v>
      </c>
      <c r="X411" s="4">
        <f ca="1">_xll.DBRW($B$1,$B$2,$B$7,$B$3,$B$4,$B$5,$F411,$B$6,X$10,$A411,$B411)</f>
        <v>0</v>
      </c>
      <c r="Y411" s="4">
        <f ca="1">_xll.DBRW($B$1,$B$2,$B$7,$B$3,$B$4,$B$5,$F411,$B$6,Y$10,$A411,$B411)</f>
        <v>0</v>
      </c>
      <c r="Z411" s="4">
        <f ca="1">_xll.DBRW($B$1,$B$2,$B$7,$B$3,$B$4,$B$5,$F411,$B$6,Z$10,$A411,$B411)</f>
        <v>0</v>
      </c>
      <c r="AA411" s="4">
        <f ca="1">_xll.DBRW($B$1,$B$2,$B$7,$B$3,$B$4,$B$5,$F411,$B$6,AA$10,$A411,$B411)</f>
        <v>0</v>
      </c>
      <c r="AB411" s="4">
        <f ca="1">_xll.DBRW($B$1,$B$2,$B$7,$B$3,$B$4,$B$5,$F411,$B$6,AB$10,$A411,$B411)</f>
        <v>0</v>
      </c>
      <c r="AC411" s="4">
        <f ca="1">_xll.DBRW($B$1,$B$2,$B$7,$B$3,$B$4,$B$5,$F411,$B$6,AC$10,$A411,$B411)</f>
        <v>0</v>
      </c>
      <c r="AD411" s="4">
        <f ca="1">_xll.DBRW($B$1,$B$2,$B$7,$B$3,$B$4,$B$5,$F411,$B$6,AD$10,$A411,$B411)</f>
        <v>0</v>
      </c>
      <c r="AE411" s="4">
        <f ca="1">_xll.DBRW($B$1,$B$2,$B$7,$B$3,$B$4,$B$5,$F411,$B$6,AE$10,$A411,$B411)</f>
        <v>0</v>
      </c>
    </row>
    <row r="412" spans="1:31">
      <c r="A412" s="1" t="s">
        <v>150</v>
      </c>
      <c r="B412" s="5" t="s">
        <v>32</v>
      </c>
      <c r="C412" s="5" t="s">
        <v>30</v>
      </c>
      <c r="D412" s="5" t="s">
        <v>31</v>
      </c>
      <c r="E412" s="5" t="s">
        <v>21</v>
      </c>
      <c r="F412" s="5" t="s">
        <v>315</v>
      </c>
      <c r="G412" s="6"/>
      <c r="H412" s="6"/>
      <c r="I412" s="6"/>
      <c r="J412" s="6"/>
      <c r="K412" s="6"/>
      <c r="L412" s="4">
        <f ca="1">_xll.DBRW($B$1,$B$2,$B$7,$B$3,$B$4,$B$5,$F412,$B$6,L$10,$A412,$B412)</f>
        <v>0</v>
      </c>
      <c r="M412" s="4">
        <f ca="1">_xll.DBRW($B$1,$B$2,$B$7,$B$3,$B$4,$B$5,$F412,$B$6,M$10,$A412,$B412)</f>
        <v>0</v>
      </c>
      <c r="N412" s="4">
        <f ca="1">_xll.DBRW($B$1,$B$2,$B$7,$B$3,$B$4,$B$5,$F412,$B$6,N$10,$A412,$B412)</f>
        <v>0</v>
      </c>
      <c r="O412" s="4">
        <f ca="1">_xll.DBRW($B$1,$B$2,$B$7,$B$3,$B$4,$B$5,$F412,$B$6,O$10,$A412,$B412)</f>
        <v>0</v>
      </c>
      <c r="P412" s="4">
        <f ca="1">_xll.DBRW($B$1,$B$2,$B$7,$B$3,$B$4,$B$5,$F412,$B$6,P$10,$A412,$B412)</f>
        <v>0</v>
      </c>
      <c r="Q412" s="4">
        <f ca="1">_xll.DBRW($B$1,$B$2,$B$7,$B$3,$B$4,$B$5,$F412,$B$6,Q$10,$A412,$B412)</f>
        <v>0</v>
      </c>
      <c r="R412" s="4">
        <f ca="1">_xll.DBRW($B$1,$B$2,$B$7,$B$3,$B$4,$B$5,$F412,$B$6,R$10,$A412,$B412)</f>
        <v>0</v>
      </c>
      <c r="S412" s="4">
        <f ca="1">_xll.DBRW($B$1,$B$2,$B$7,$B$3,$B$4,$B$5,$F412,$B$6,S$10,$A412,$B412)</f>
        <v>0</v>
      </c>
      <c r="T412" s="4">
        <f ca="1">_xll.DBRW($B$1,$B$2,$B$7,$B$3,$B$4,$B$5,$F412,$B$6,T$10,$A412,$B412)</f>
        <v>0</v>
      </c>
      <c r="U412" s="4">
        <f ca="1">_xll.DBRW($B$1,$B$2,$B$7,$B$3,$B$4,$B$5,$F412,$B$6,U$10,$A412,$B412)</f>
        <v>0</v>
      </c>
      <c r="V412" s="4">
        <f ca="1">_xll.DBRW($B$1,$B$2,$B$7,$B$3,$B$4,$B$5,$F412,$B$6,V$10,$A412,$B412)</f>
        <v>0</v>
      </c>
      <c r="W412" s="4">
        <f ca="1">_xll.DBRW($B$1,$B$2,$B$7,$B$3,$B$4,$B$5,$F412,$B$6,W$10,$A412,$B412)</f>
        <v>0</v>
      </c>
      <c r="X412" s="4">
        <f ca="1">_xll.DBRW($B$1,$B$2,$B$7,$B$3,$B$4,$B$5,$F412,$B$6,X$10,$A412,$B412)</f>
        <v>0</v>
      </c>
      <c r="Y412" s="4">
        <f ca="1">_xll.DBRW($B$1,$B$2,$B$7,$B$3,$B$4,$B$5,$F412,$B$6,Y$10,$A412,$B412)</f>
        <v>0</v>
      </c>
      <c r="Z412" s="4">
        <f ca="1">_xll.DBRW($B$1,$B$2,$B$7,$B$3,$B$4,$B$5,$F412,$B$6,Z$10,$A412,$B412)</f>
        <v>0</v>
      </c>
      <c r="AA412" s="4">
        <f ca="1">_xll.DBRW($B$1,$B$2,$B$7,$B$3,$B$4,$B$5,$F412,$B$6,AA$10,$A412,$B412)</f>
        <v>0</v>
      </c>
      <c r="AB412" s="4">
        <f ca="1">_xll.DBRW($B$1,$B$2,$B$7,$B$3,$B$4,$B$5,$F412,$B$6,AB$10,$A412,$B412)</f>
        <v>0</v>
      </c>
      <c r="AC412" s="4">
        <f ca="1">_xll.DBRW($B$1,$B$2,$B$7,$B$3,$B$4,$B$5,$F412,$B$6,AC$10,$A412,$B412)</f>
        <v>0</v>
      </c>
      <c r="AD412" s="4">
        <f ca="1">_xll.DBRW($B$1,$B$2,$B$7,$B$3,$B$4,$B$5,$F412,$B$6,AD$10,$A412,$B412)</f>
        <v>0</v>
      </c>
      <c r="AE412" s="4">
        <f ca="1">_xll.DBRW($B$1,$B$2,$B$7,$B$3,$B$4,$B$5,$F412,$B$6,AE$10,$A412,$B412)</f>
        <v>0</v>
      </c>
    </row>
    <row r="413" spans="1:31">
      <c r="A413" s="1" t="s">
        <v>150</v>
      </c>
      <c r="B413" s="5" t="s">
        <v>221</v>
      </c>
      <c r="C413" s="5" t="s">
        <v>193</v>
      </c>
      <c r="D413" s="5" t="s">
        <v>21</v>
      </c>
      <c r="E413" s="5" t="s">
        <v>194</v>
      </c>
      <c r="F413" s="5" t="s">
        <v>315</v>
      </c>
      <c r="G413" s="6"/>
      <c r="H413" s="6"/>
      <c r="I413" s="6"/>
      <c r="J413" s="6"/>
      <c r="K413" s="6"/>
      <c r="L413" s="4">
        <f ca="1">_xll.DBRW($B$1,$B$2,$B$7,$B$3,$B$4,$B$5,$F413,$B$6,L$10,$A413,$B413)</f>
        <v>0</v>
      </c>
      <c r="M413" s="4">
        <f ca="1">_xll.DBRW($B$1,$B$2,$B$7,$B$3,$B$4,$B$5,$F413,$B$6,M$10,$A413,$B413)</f>
        <v>0</v>
      </c>
      <c r="N413" s="4">
        <f ca="1">_xll.DBRW($B$1,$B$2,$B$7,$B$3,$B$4,$B$5,$F413,$B$6,N$10,$A413,$B413)</f>
        <v>0</v>
      </c>
      <c r="O413" s="4">
        <f ca="1">_xll.DBRW($B$1,$B$2,$B$7,$B$3,$B$4,$B$5,$F413,$B$6,O$10,$A413,$B413)</f>
        <v>0</v>
      </c>
      <c r="P413" s="4">
        <f ca="1">_xll.DBRW($B$1,$B$2,$B$7,$B$3,$B$4,$B$5,$F413,$B$6,P$10,$A413,$B413)</f>
        <v>0</v>
      </c>
      <c r="Q413" s="4">
        <f ca="1">_xll.DBRW($B$1,$B$2,$B$7,$B$3,$B$4,$B$5,$F413,$B$6,Q$10,$A413,$B413)</f>
        <v>0</v>
      </c>
      <c r="R413" s="4">
        <f ca="1">_xll.DBRW($B$1,$B$2,$B$7,$B$3,$B$4,$B$5,$F413,$B$6,R$10,$A413,$B413)</f>
        <v>0</v>
      </c>
      <c r="S413" s="4">
        <f ca="1">_xll.DBRW($B$1,$B$2,$B$7,$B$3,$B$4,$B$5,$F413,$B$6,S$10,$A413,$B413)</f>
        <v>0</v>
      </c>
      <c r="T413" s="4">
        <f ca="1">_xll.DBRW($B$1,$B$2,$B$7,$B$3,$B$4,$B$5,$F413,$B$6,T$10,$A413,$B413)</f>
        <v>0</v>
      </c>
      <c r="U413" s="4">
        <f ca="1">_xll.DBRW($B$1,$B$2,$B$7,$B$3,$B$4,$B$5,$F413,$B$6,U$10,$A413,$B413)</f>
        <v>0</v>
      </c>
      <c r="V413" s="4">
        <f ca="1">_xll.DBRW($B$1,$B$2,$B$7,$B$3,$B$4,$B$5,$F413,$B$6,V$10,$A413,$B413)</f>
        <v>0</v>
      </c>
      <c r="W413" s="4">
        <f ca="1">_xll.DBRW($B$1,$B$2,$B$7,$B$3,$B$4,$B$5,$F413,$B$6,W$10,$A413,$B413)</f>
        <v>0</v>
      </c>
      <c r="X413" s="4">
        <f ca="1">_xll.DBRW($B$1,$B$2,$B$7,$B$3,$B$4,$B$5,$F413,$B$6,X$10,$A413,$B413)</f>
        <v>0</v>
      </c>
      <c r="Y413" s="4">
        <f ca="1">_xll.DBRW($B$1,$B$2,$B$7,$B$3,$B$4,$B$5,$F413,$B$6,Y$10,$A413,$B413)</f>
        <v>0</v>
      </c>
      <c r="Z413" s="4">
        <f ca="1">_xll.DBRW($B$1,$B$2,$B$7,$B$3,$B$4,$B$5,$F413,$B$6,Z$10,$A413,$B413)</f>
        <v>0</v>
      </c>
      <c r="AA413" s="4">
        <f ca="1">_xll.DBRW($B$1,$B$2,$B$7,$B$3,$B$4,$B$5,$F413,$B$6,AA$10,$A413,$B413)</f>
        <v>0</v>
      </c>
      <c r="AB413" s="4">
        <f ca="1">_xll.DBRW($B$1,$B$2,$B$7,$B$3,$B$4,$B$5,$F413,$B$6,AB$10,$A413,$B413)</f>
        <v>0</v>
      </c>
      <c r="AC413" s="4">
        <f ca="1">_xll.DBRW($B$1,$B$2,$B$7,$B$3,$B$4,$B$5,$F413,$B$6,AC$10,$A413,$B413)</f>
        <v>0</v>
      </c>
      <c r="AD413" s="4">
        <f ca="1">_xll.DBRW($B$1,$B$2,$B$7,$B$3,$B$4,$B$5,$F413,$B$6,AD$10,$A413,$B413)</f>
        <v>0</v>
      </c>
      <c r="AE413" s="4">
        <f ca="1">_xll.DBRW($B$1,$B$2,$B$7,$B$3,$B$4,$B$5,$F413,$B$6,AE$10,$A413,$B413)</f>
        <v>0</v>
      </c>
    </row>
    <row r="414" spans="1:31">
      <c r="A414" s="1" t="s">
        <v>150</v>
      </c>
      <c r="B414" s="5" t="s">
        <v>222</v>
      </c>
      <c r="C414" s="5" t="s">
        <v>196</v>
      </c>
      <c r="D414" s="5" t="s">
        <v>194</v>
      </c>
      <c r="E414" s="5" t="s">
        <v>21</v>
      </c>
      <c r="F414" s="5" t="s">
        <v>315</v>
      </c>
      <c r="G414" s="6"/>
      <c r="H414" s="6"/>
      <c r="I414" s="6"/>
      <c r="J414" s="6"/>
      <c r="K414" s="6"/>
      <c r="L414" s="4">
        <f ca="1">_xll.DBRW($B$1,$B$2,$B$7,$B$3,$B$4,$B$5,$F414,$B$6,L$10,$A414,$B414)</f>
        <v>0</v>
      </c>
      <c r="M414" s="4">
        <f ca="1">_xll.DBRW($B$1,$B$2,$B$7,$B$3,$B$4,$B$5,$F414,$B$6,M$10,$A414,$B414)</f>
        <v>0</v>
      </c>
      <c r="N414" s="4">
        <f ca="1">_xll.DBRW($B$1,$B$2,$B$7,$B$3,$B$4,$B$5,$F414,$B$6,N$10,$A414,$B414)</f>
        <v>0</v>
      </c>
      <c r="O414" s="4">
        <f ca="1">_xll.DBRW($B$1,$B$2,$B$7,$B$3,$B$4,$B$5,$F414,$B$6,O$10,$A414,$B414)</f>
        <v>0</v>
      </c>
      <c r="P414" s="4">
        <f ca="1">_xll.DBRW($B$1,$B$2,$B$7,$B$3,$B$4,$B$5,$F414,$B$6,P$10,$A414,$B414)</f>
        <v>0</v>
      </c>
      <c r="Q414" s="4">
        <f ca="1">_xll.DBRW($B$1,$B$2,$B$7,$B$3,$B$4,$B$5,$F414,$B$6,Q$10,$A414,$B414)</f>
        <v>0</v>
      </c>
      <c r="R414" s="4">
        <f ca="1">_xll.DBRW($B$1,$B$2,$B$7,$B$3,$B$4,$B$5,$F414,$B$6,R$10,$A414,$B414)</f>
        <v>0</v>
      </c>
      <c r="S414" s="4">
        <f ca="1">_xll.DBRW($B$1,$B$2,$B$7,$B$3,$B$4,$B$5,$F414,$B$6,S$10,$A414,$B414)</f>
        <v>0</v>
      </c>
      <c r="T414" s="4">
        <f ca="1">_xll.DBRW($B$1,$B$2,$B$7,$B$3,$B$4,$B$5,$F414,$B$6,T$10,$A414,$B414)</f>
        <v>0</v>
      </c>
      <c r="U414" s="4">
        <f ca="1">_xll.DBRW($B$1,$B$2,$B$7,$B$3,$B$4,$B$5,$F414,$B$6,U$10,$A414,$B414)</f>
        <v>0</v>
      </c>
      <c r="V414" s="4">
        <f ca="1">_xll.DBRW($B$1,$B$2,$B$7,$B$3,$B$4,$B$5,$F414,$B$6,V$10,$A414,$B414)</f>
        <v>0</v>
      </c>
      <c r="W414" s="4">
        <f ca="1">_xll.DBRW($B$1,$B$2,$B$7,$B$3,$B$4,$B$5,$F414,$B$6,W$10,$A414,$B414)</f>
        <v>0</v>
      </c>
      <c r="X414" s="4">
        <f ca="1">_xll.DBRW($B$1,$B$2,$B$7,$B$3,$B$4,$B$5,$F414,$B$6,X$10,$A414,$B414)</f>
        <v>0</v>
      </c>
      <c r="Y414" s="4">
        <f ca="1">_xll.DBRW($B$1,$B$2,$B$7,$B$3,$B$4,$B$5,$F414,$B$6,Y$10,$A414,$B414)</f>
        <v>0</v>
      </c>
      <c r="Z414" s="4">
        <f ca="1">_xll.DBRW($B$1,$B$2,$B$7,$B$3,$B$4,$B$5,$F414,$B$6,Z$10,$A414,$B414)</f>
        <v>0</v>
      </c>
      <c r="AA414" s="4">
        <f ca="1">_xll.DBRW($B$1,$B$2,$B$7,$B$3,$B$4,$B$5,$F414,$B$6,AA$10,$A414,$B414)</f>
        <v>0</v>
      </c>
      <c r="AB414" s="4">
        <f ca="1">_xll.DBRW($B$1,$B$2,$B$7,$B$3,$B$4,$B$5,$F414,$B$6,AB$10,$A414,$B414)</f>
        <v>0</v>
      </c>
      <c r="AC414" s="4">
        <f ca="1">_xll.DBRW($B$1,$B$2,$B$7,$B$3,$B$4,$B$5,$F414,$B$6,AC$10,$A414,$B414)</f>
        <v>0</v>
      </c>
      <c r="AD414" s="4">
        <f ca="1">_xll.DBRW($B$1,$B$2,$B$7,$B$3,$B$4,$B$5,$F414,$B$6,AD$10,$A414,$B414)</f>
        <v>0</v>
      </c>
      <c r="AE414" s="4">
        <f ca="1">_xll.DBRW($B$1,$B$2,$B$7,$B$3,$B$4,$B$5,$F414,$B$6,AE$10,$A414,$B414)</f>
        <v>0</v>
      </c>
    </row>
    <row r="415" spans="1:31">
      <c r="A415" s="1" t="s">
        <v>150</v>
      </c>
      <c r="B415" s="5" t="s">
        <v>223</v>
      </c>
      <c r="C415" s="5" t="s">
        <v>193</v>
      </c>
      <c r="D415" s="5" t="s">
        <v>21</v>
      </c>
      <c r="E415" s="5" t="s">
        <v>194</v>
      </c>
      <c r="F415" s="5" t="s">
        <v>315</v>
      </c>
      <c r="G415" s="6"/>
      <c r="H415" s="6"/>
      <c r="I415" s="6"/>
      <c r="J415" s="6"/>
      <c r="K415" s="6"/>
      <c r="L415" s="4">
        <f ca="1">_xll.DBRW($B$1,$B$2,$B$7,$B$3,$B$4,$B$5,$F415,$B$6,L$10,$A415,$B415)</f>
        <v>0</v>
      </c>
      <c r="M415" s="4">
        <f ca="1">_xll.DBRW($B$1,$B$2,$B$7,$B$3,$B$4,$B$5,$F415,$B$6,M$10,$A415,$B415)</f>
        <v>0</v>
      </c>
      <c r="N415" s="4">
        <f ca="1">_xll.DBRW($B$1,$B$2,$B$7,$B$3,$B$4,$B$5,$F415,$B$6,N$10,$A415,$B415)</f>
        <v>0</v>
      </c>
      <c r="O415" s="4">
        <f ca="1">_xll.DBRW($B$1,$B$2,$B$7,$B$3,$B$4,$B$5,$F415,$B$6,O$10,$A415,$B415)</f>
        <v>0</v>
      </c>
      <c r="P415" s="4">
        <f ca="1">_xll.DBRW($B$1,$B$2,$B$7,$B$3,$B$4,$B$5,$F415,$B$6,P$10,$A415,$B415)</f>
        <v>0</v>
      </c>
      <c r="Q415" s="4">
        <f ca="1">_xll.DBRW($B$1,$B$2,$B$7,$B$3,$B$4,$B$5,$F415,$B$6,Q$10,$A415,$B415)</f>
        <v>0</v>
      </c>
      <c r="R415" s="4">
        <f ca="1">_xll.DBRW($B$1,$B$2,$B$7,$B$3,$B$4,$B$5,$F415,$B$6,R$10,$A415,$B415)</f>
        <v>0</v>
      </c>
      <c r="S415" s="4">
        <f ca="1">_xll.DBRW($B$1,$B$2,$B$7,$B$3,$B$4,$B$5,$F415,$B$6,S$10,$A415,$B415)</f>
        <v>0</v>
      </c>
      <c r="T415" s="4">
        <f ca="1">_xll.DBRW($B$1,$B$2,$B$7,$B$3,$B$4,$B$5,$F415,$B$6,T$10,$A415,$B415)</f>
        <v>0</v>
      </c>
      <c r="U415" s="4">
        <f ca="1">_xll.DBRW($B$1,$B$2,$B$7,$B$3,$B$4,$B$5,$F415,$B$6,U$10,$A415,$B415)</f>
        <v>0</v>
      </c>
      <c r="V415" s="4">
        <f ca="1">_xll.DBRW($B$1,$B$2,$B$7,$B$3,$B$4,$B$5,$F415,$B$6,V$10,$A415,$B415)</f>
        <v>0</v>
      </c>
      <c r="W415" s="4">
        <f ca="1">_xll.DBRW($B$1,$B$2,$B$7,$B$3,$B$4,$B$5,$F415,$B$6,W$10,$A415,$B415)</f>
        <v>0</v>
      </c>
      <c r="X415" s="4">
        <f ca="1">_xll.DBRW($B$1,$B$2,$B$7,$B$3,$B$4,$B$5,$F415,$B$6,X$10,$A415,$B415)</f>
        <v>0</v>
      </c>
      <c r="Y415" s="4">
        <f ca="1">_xll.DBRW($B$1,$B$2,$B$7,$B$3,$B$4,$B$5,$F415,$B$6,Y$10,$A415,$B415)</f>
        <v>0</v>
      </c>
      <c r="Z415" s="4">
        <f ca="1">_xll.DBRW($B$1,$B$2,$B$7,$B$3,$B$4,$B$5,$F415,$B$6,Z$10,$A415,$B415)</f>
        <v>0</v>
      </c>
      <c r="AA415" s="4">
        <f ca="1">_xll.DBRW($B$1,$B$2,$B$7,$B$3,$B$4,$B$5,$F415,$B$6,AA$10,$A415,$B415)</f>
        <v>0</v>
      </c>
      <c r="AB415" s="4">
        <f ca="1">_xll.DBRW($B$1,$B$2,$B$7,$B$3,$B$4,$B$5,$F415,$B$6,AB$10,$A415,$B415)</f>
        <v>0</v>
      </c>
      <c r="AC415" s="4">
        <f ca="1">_xll.DBRW($B$1,$B$2,$B$7,$B$3,$B$4,$B$5,$F415,$B$6,AC$10,$A415,$B415)</f>
        <v>0</v>
      </c>
      <c r="AD415" s="4">
        <f ca="1">_xll.DBRW($B$1,$B$2,$B$7,$B$3,$B$4,$B$5,$F415,$B$6,AD$10,$A415,$B415)</f>
        <v>0</v>
      </c>
      <c r="AE415" s="4">
        <f ca="1">_xll.DBRW($B$1,$B$2,$B$7,$B$3,$B$4,$B$5,$F415,$B$6,AE$10,$A415,$B415)</f>
        <v>0</v>
      </c>
    </row>
    <row r="416" spans="1:31">
      <c r="A416" s="1" t="s">
        <v>150</v>
      </c>
      <c r="B416" s="5" t="s">
        <v>224</v>
      </c>
      <c r="C416" s="5" t="s">
        <v>196</v>
      </c>
      <c r="D416" s="5" t="s">
        <v>194</v>
      </c>
      <c r="E416" s="5" t="s">
        <v>21</v>
      </c>
      <c r="F416" s="5" t="s">
        <v>315</v>
      </c>
      <c r="G416" s="6"/>
      <c r="H416" s="6"/>
      <c r="I416" s="6"/>
      <c r="J416" s="6"/>
      <c r="K416" s="6"/>
      <c r="L416" s="4">
        <f ca="1">_xll.DBRW($B$1,$B$2,$B$7,$B$3,$B$4,$B$5,$F416,$B$6,L$10,$A416,$B416)</f>
        <v>0</v>
      </c>
      <c r="M416" s="4">
        <f ca="1">_xll.DBRW($B$1,$B$2,$B$7,$B$3,$B$4,$B$5,$F416,$B$6,M$10,$A416,$B416)</f>
        <v>0</v>
      </c>
      <c r="N416" s="4">
        <f ca="1">_xll.DBRW($B$1,$B$2,$B$7,$B$3,$B$4,$B$5,$F416,$B$6,N$10,$A416,$B416)</f>
        <v>0</v>
      </c>
      <c r="O416" s="4">
        <f ca="1">_xll.DBRW($B$1,$B$2,$B$7,$B$3,$B$4,$B$5,$F416,$B$6,O$10,$A416,$B416)</f>
        <v>0</v>
      </c>
      <c r="P416" s="4">
        <f ca="1">_xll.DBRW($B$1,$B$2,$B$7,$B$3,$B$4,$B$5,$F416,$B$6,P$10,$A416,$B416)</f>
        <v>0</v>
      </c>
      <c r="Q416" s="4">
        <f ca="1">_xll.DBRW($B$1,$B$2,$B$7,$B$3,$B$4,$B$5,$F416,$B$6,Q$10,$A416,$B416)</f>
        <v>0</v>
      </c>
      <c r="R416" s="4">
        <f ca="1">_xll.DBRW($B$1,$B$2,$B$7,$B$3,$B$4,$B$5,$F416,$B$6,R$10,$A416,$B416)</f>
        <v>0</v>
      </c>
      <c r="S416" s="4">
        <f ca="1">_xll.DBRW($B$1,$B$2,$B$7,$B$3,$B$4,$B$5,$F416,$B$6,S$10,$A416,$B416)</f>
        <v>0</v>
      </c>
      <c r="T416" s="4">
        <f ca="1">_xll.DBRW($B$1,$B$2,$B$7,$B$3,$B$4,$B$5,$F416,$B$6,T$10,$A416,$B416)</f>
        <v>0</v>
      </c>
      <c r="U416" s="4">
        <f ca="1">_xll.DBRW($B$1,$B$2,$B$7,$B$3,$B$4,$B$5,$F416,$B$6,U$10,$A416,$B416)</f>
        <v>0</v>
      </c>
      <c r="V416" s="4">
        <f ca="1">_xll.DBRW($B$1,$B$2,$B$7,$B$3,$B$4,$B$5,$F416,$B$6,V$10,$A416,$B416)</f>
        <v>0</v>
      </c>
      <c r="W416" s="4">
        <f ca="1">_xll.DBRW($B$1,$B$2,$B$7,$B$3,$B$4,$B$5,$F416,$B$6,W$10,$A416,$B416)</f>
        <v>0</v>
      </c>
      <c r="X416" s="4">
        <f ca="1">_xll.DBRW($B$1,$B$2,$B$7,$B$3,$B$4,$B$5,$F416,$B$6,X$10,$A416,$B416)</f>
        <v>0</v>
      </c>
      <c r="Y416" s="4">
        <f ca="1">_xll.DBRW($B$1,$B$2,$B$7,$B$3,$B$4,$B$5,$F416,$B$6,Y$10,$A416,$B416)</f>
        <v>0</v>
      </c>
      <c r="Z416" s="4">
        <f ca="1">_xll.DBRW($B$1,$B$2,$B$7,$B$3,$B$4,$B$5,$F416,$B$6,Z$10,$A416,$B416)</f>
        <v>0</v>
      </c>
      <c r="AA416" s="4">
        <f ca="1">_xll.DBRW($B$1,$B$2,$B$7,$B$3,$B$4,$B$5,$F416,$B$6,AA$10,$A416,$B416)</f>
        <v>0</v>
      </c>
      <c r="AB416" s="4">
        <f ca="1">_xll.DBRW($B$1,$B$2,$B$7,$B$3,$B$4,$B$5,$F416,$B$6,AB$10,$A416,$B416)</f>
        <v>0</v>
      </c>
      <c r="AC416" s="4">
        <f ca="1">_xll.DBRW($B$1,$B$2,$B$7,$B$3,$B$4,$B$5,$F416,$B$6,AC$10,$A416,$B416)</f>
        <v>0</v>
      </c>
      <c r="AD416" s="4">
        <f ca="1">_xll.DBRW($B$1,$B$2,$B$7,$B$3,$B$4,$B$5,$F416,$B$6,AD$10,$A416,$B416)</f>
        <v>0</v>
      </c>
      <c r="AE416" s="4">
        <f ca="1">_xll.DBRW($B$1,$B$2,$B$7,$B$3,$B$4,$B$5,$F416,$B$6,AE$10,$A416,$B416)</f>
        <v>0</v>
      </c>
    </row>
    <row r="417" spans="1:31">
      <c r="A417" s="1" t="s">
        <v>150</v>
      </c>
      <c r="B417" s="5" t="s">
        <v>225</v>
      </c>
      <c r="C417" s="5" t="s">
        <v>226</v>
      </c>
      <c r="D417" s="5" t="s">
        <v>21</v>
      </c>
      <c r="E417" s="5" t="s">
        <v>227</v>
      </c>
      <c r="F417" s="5" t="s">
        <v>315</v>
      </c>
      <c r="G417" s="6"/>
      <c r="H417" s="6"/>
      <c r="I417" s="6"/>
      <c r="J417" s="6"/>
      <c r="K417" s="6"/>
      <c r="L417" s="4">
        <f ca="1">_xll.DBRW($B$1,$B$2,$B$7,$B$3,$B$4,$B$5,$F417,$B$6,L$10,$A417,$B417)</f>
        <v>0</v>
      </c>
      <c r="M417" s="4">
        <f ca="1">_xll.DBRW($B$1,$B$2,$B$7,$B$3,$B$4,$B$5,$F417,$B$6,M$10,$A417,$B417)</f>
        <v>0</v>
      </c>
      <c r="N417" s="4">
        <f ca="1">_xll.DBRW($B$1,$B$2,$B$7,$B$3,$B$4,$B$5,$F417,$B$6,N$10,$A417,$B417)</f>
        <v>0</v>
      </c>
      <c r="O417" s="4">
        <f ca="1">_xll.DBRW($B$1,$B$2,$B$7,$B$3,$B$4,$B$5,$F417,$B$6,O$10,$A417,$B417)</f>
        <v>0</v>
      </c>
      <c r="P417" s="4">
        <f ca="1">_xll.DBRW($B$1,$B$2,$B$7,$B$3,$B$4,$B$5,$F417,$B$6,P$10,$A417,$B417)</f>
        <v>0</v>
      </c>
      <c r="Q417" s="4">
        <f ca="1">_xll.DBRW($B$1,$B$2,$B$7,$B$3,$B$4,$B$5,$F417,$B$6,Q$10,$A417,$B417)</f>
        <v>0</v>
      </c>
      <c r="R417" s="4">
        <f ca="1">_xll.DBRW($B$1,$B$2,$B$7,$B$3,$B$4,$B$5,$F417,$B$6,R$10,$A417,$B417)</f>
        <v>0</v>
      </c>
      <c r="S417" s="4">
        <f ca="1">_xll.DBRW($B$1,$B$2,$B$7,$B$3,$B$4,$B$5,$F417,$B$6,S$10,$A417,$B417)</f>
        <v>0</v>
      </c>
      <c r="T417" s="4">
        <f ca="1">_xll.DBRW($B$1,$B$2,$B$7,$B$3,$B$4,$B$5,$F417,$B$6,T$10,$A417,$B417)</f>
        <v>0</v>
      </c>
      <c r="U417" s="4">
        <f ca="1">_xll.DBRW($B$1,$B$2,$B$7,$B$3,$B$4,$B$5,$F417,$B$6,U$10,$A417,$B417)</f>
        <v>0</v>
      </c>
      <c r="V417" s="4">
        <f ca="1">_xll.DBRW($B$1,$B$2,$B$7,$B$3,$B$4,$B$5,$F417,$B$6,V$10,$A417,$B417)</f>
        <v>0</v>
      </c>
      <c r="W417" s="4">
        <f ca="1">_xll.DBRW($B$1,$B$2,$B$7,$B$3,$B$4,$B$5,$F417,$B$6,W$10,$A417,$B417)</f>
        <v>0</v>
      </c>
      <c r="X417" s="4">
        <f ca="1">_xll.DBRW($B$1,$B$2,$B$7,$B$3,$B$4,$B$5,$F417,$B$6,X$10,$A417,$B417)</f>
        <v>0</v>
      </c>
      <c r="Y417" s="4">
        <f ca="1">_xll.DBRW($B$1,$B$2,$B$7,$B$3,$B$4,$B$5,$F417,$B$6,Y$10,$A417,$B417)</f>
        <v>0</v>
      </c>
      <c r="Z417" s="4">
        <f ca="1">_xll.DBRW($B$1,$B$2,$B$7,$B$3,$B$4,$B$5,$F417,$B$6,Z$10,$A417,$B417)</f>
        <v>0</v>
      </c>
      <c r="AA417" s="4">
        <f ca="1">_xll.DBRW($B$1,$B$2,$B$7,$B$3,$B$4,$B$5,$F417,$B$6,AA$10,$A417,$B417)</f>
        <v>0</v>
      </c>
      <c r="AB417" s="4">
        <f ca="1">_xll.DBRW($B$1,$B$2,$B$7,$B$3,$B$4,$B$5,$F417,$B$6,AB$10,$A417,$B417)</f>
        <v>0</v>
      </c>
      <c r="AC417" s="4">
        <f ca="1">_xll.DBRW($B$1,$B$2,$B$7,$B$3,$B$4,$B$5,$F417,$B$6,AC$10,$A417,$B417)</f>
        <v>0</v>
      </c>
      <c r="AD417" s="4">
        <f ca="1">_xll.DBRW($B$1,$B$2,$B$7,$B$3,$B$4,$B$5,$F417,$B$6,AD$10,$A417,$B417)</f>
        <v>0</v>
      </c>
      <c r="AE417" s="4">
        <f ca="1">_xll.DBRW($B$1,$B$2,$B$7,$B$3,$B$4,$B$5,$F417,$B$6,AE$10,$A417,$B417)</f>
        <v>0</v>
      </c>
    </row>
    <row r="418" spans="1:31">
      <c r="A418" s="1" t="s">
        <v>150</v>
      </c>
      <c r="B418" s="5" t="s">
        <v>228</v>
      </c>
      <c r="C418" s="5" t="s">
        <v>229</v>
      </c>
      <c r="D418" s="5" t="s">
        <v>227</v>
      </c>
      <c r="E418" s="5" t="s">
        <v>21</v>
      </c>
      <c r="F418" s="5" t="s">
        <v>315</v>
      </c>
      <c r="G418" s="6"/>
      <c r="H418" s="6"/>
      <c r="I418" s="6"/>
      <c r="J418" s="6"/>
      <c r="K418" s="6"/>
      <c r="L418" s="4">
        <f ca="1">_xll.DBRW($B$1,$B$2,$B$7,$B$3,$B$4,$B$5,$F418,$B$6,L$10,$A418,$B418)</f>
        <v>0</v>
      </c>
      <c r="M418" s="4">
        <f ca="1">_xll.DBRW($B$1,$B$2,$B$7,$B$3,$B$4,$B$5,$F418,$B$6,M$10,$A418,$B418)</f>
        <v>0</v>
      </c>
      <c r="N418" s="4">
        <f ca="1">_xll.DBRW($B$1,$B$2,$B$7,$B$3,$B$4,$B$5,$F418,$B$6,N$10,$A418,$B418)</f>
        <v>0</v>
      </c>
      <c r="O418" s="4">
        <f ca="1">_xll.DBRW($B$1,$B$2,$B$7,$B$3,$B$4,$B$5,$F418,$B$6,O$10,$A418,$B418)</f>
        <v>0</v>
      </c>
      <c r="P418" s="4">
        <f ca="1">_xll.DBRW($B$1,$B$2,$B$7,$B$3,$B$4,$B$5,$F418,$B$6,P$10,$A418,$B418)</f>
        <v>0</v>
      </c>
      <c r="Q418" s="4">
        <f ca="1">_xll.DBRW($B$1,$B$2,$B$7,$B$3,$B$4,$B$5,$F418,$B$6,Q$10,$A418,$B418)</f>
        <v>0</v>
      </c>
      <c r="R418" s="4">
        <f ca="1">_xll.DBRW($B$1,$B$2,$B$7,$B$3,$B$4,$B$5,$F418,$B$6,R$10,$A418,$B418)</f>
        <v>0</v>
      </c>
      <c r="S418" s="4">
        <f ca="1">_xll.DBRW($B$1,$B$2,$B$7,$B$3,$B$4,$B$5,$F418,$B$6,S$10,$A418,$B418)</f>
        <v>0</v>
      </c>
      <c r="T418" s="4">
        <f ca="1">_xll.DBRW($B$1,$B$2,$B$7,$B$3,$B$4,$B$5,$F418,$B$6,T$10,$A418,$B418)</f>
        <v>0</v>
      </c>
      <c r="U418" s="4">
        <f ca="1">_xll.DBRW($B$1,$B$2,$B$7,$B$3,$B$4,$B$5,$F418,$B$6,U$10,$A418,$B418)</f>
        <v>0</v>
      </c>
      <c r="V418" s="4">
        <f ca="1">_xll.DBRW($B$1,$B$2,$B$7,$B$3,$B$4,$B$5,$F418,$B$6,V$10,$A418,$B418)</f>
        <v>0</v>
      </c>
      <c r="W418" s="4">
        <f ca="1">_xll.DBRW($B$1,$B$2,$B$7,$B$3,$B$4,$B$5,$F418,$B$6,W$10,$A418,$B418)</f>
        <v>0</v>
      </c>
      <c r="X418" s="4">
        <f ca="1">_xll.DBRW($B$1,$B$2,$B$7,$B$3,$B$4,$B$5,$F418,$B$6,X$10,$A418,$B418)</f>
        <v>0</v>
      </c>
      <c r="Y418" s="4">
        <f ca="1">_xll.DBRW($B$1,$B$2,$B$7,$B$3,$B$4,$B$5,$F418,$B$6,Y$10,$A418,$B418)</f>
        <v>0</v>
      </c>
      <c r="Z418" s="4">
        <f ca="1">_xll.DBRW($B$1,$B$2,$B$7,$B$3,$B$4,$B$5,$F418,$B$6,Z$10,$A418,$B418)</f>
        <v>0</v>
      </c>
      <c r="AA418" s="4">
        <f ca="1">_xll.DBRW($B$1,$B$2,$B$7,$B$3,$B$4,$B$5,$F418,$B$6,AA$10,$A418,$B418)</f>
        <v>0</v>
      </c>
      <c r="AB418" s="4">
        <f ca="1">_xll.DBRW($B$1,$B$2,$B$7,$B$3,$B$4,$B$5,$F418,$B$6,AB$10,$A418,$B418)</f>
        <v>0</v>
      </c>
      <c r="AC418" s="4">
        <f ca="1">_xll.DBRW($B$1,$B$2,$B$7,$B$3,$B$4,$B$5,$F418,$B$6,AC$10,$A418,$B418)</f>
        <v>0</v>
      </c>
      <c r="AD418" s="4">
        <f ca="1">_xll.DBRW($B$1,$B$2,$B$7,$B$3,$B$4,$B$5,$F418,$B$6,AD$10,$A418,$B418)</f>
        <v>0</v>
      </c>
      <c r="AE418" s="4">
        <f ca="1">_xll.DBRW($B$1,$B$2,$B$7,$B$3,$B$4,$B$5,$F418,$B$6,AE$10,$A418,$B418)</f>
        <v>0</v>
      </c>
    </row>
    <row r="419" spans="1:31">
      <c r="A419" s="1" t="s">
        <v>150</v>
      </c>
      <c r="B419" s="5" t="s">
        <v>230</v>
      </c>
      <c r="C419" s="5" t="s">
        <v>210</v>
      </c>
      <c r="D419" s="5" t="s">
        <v>21</v>
      </c>
      <c r="E419" s="5" t="s">
        <v>211</v>
      </c>
      <c r="F419" s="5" t="s">
        <v>315</v>
      </c>
      <c r="G419" s="6"/>
      <c r="H419" s="6"/>
      <c r="I419" s="6"/>
      <c r="J419" s="6"/>
      <c r="K419" s="6"/>
      <c r="L419" s="4">
        <f ca="1">_xll.DBRW($B$1,$B$2,$B$7,$B$3,$B$4,$B$5,$F419,$B$6,L$10,$A419,$B419)</f>
        <v>0</v>
      </c>
      <c r="M419" s="4">
        <f ca="1">_xll.DBRW($B$1,$B$2,$B$7,$B$3,$B$4,$B$5,$F419,$B$6,M$10,$A419,$B419)</f>
        <v>0</v>
      </c>
      <c r="N419" s="4">
        <f ca="1">_xll.DBRW($B$1,$B$2,$B$7,$B$3,$B$4,$B$5,$F419,$B$6,N$10,$A419,$B419)</f>
        <v>0</v>
      </c>
      <c r="O419" s="4">
        <f ca="1">_xll.DBRW($B$1,$B$2,$B$7,$B$3,$B$4,$B$5,$F419,$B$6,O$10,$A419,$B419)</f>
        <v>0</v>
      </c>
      <c r="P419" s="4">
        <f ca="1">_xll.DBRW($B$1,$B$2,$B$7,$B$3,$B$4,$B$5,$F419,$B$6,P$10,$A419,$B419)</f>
        <v>0</v>
      </c>
      <c r="Q419" s="4">
        <f ca="1">_xll.DBRW($B$1,$B$2,$B$7,$B$3,$B$4,$B$5,$F419,$B$6,Q$10,$A419,$B419)</f>
        <v>0</v>
      </c>
      <c r="R419" s="4">
        <f ca="1">_xll.DBRW($B$1,$B$2,$B$7,$B$3,$B$4,$B$5,$F419,$B$6,R$10,$A419,$B419)</f>
        <v>0</v>
      </c>
      <c r="S419" s="4">
        <f ca="1">_xll.DBRW($B$1,$B$2,$B$7,$B$3,$B$4,$B$5,$F419,$B$6,S$10,$A419,$B419)</f>
        <v>0</v>
      </c>
      <c r="T419" s="4">
        <f ca="1">_xll.DBRW($B$1,$B$2,$B$7,$B$3,$B$4,$B$5,$F419,$B$6,T$10,$A419,$B419)</f>
        <v>0</v>
      </c>
      <c r="U419" s="4">
        <f ca="1">_xll.DBRW($B$1,$B$2,$B$7,$B$3,$B$4,$B$5,$F419,$B$6,U$10,$A419,$B419)</f>
        <v>0</v>
      </c>
      <c r="V419" s="4">
        <f ca="1">_xll.DBRW($B$1,$B$2,$B$7,$B$3,$B$4,$B$5,$F419,$B$6,V$10,$A419,$B419)</f>
        <v>0</v>
      </c>
      <c r="W419" s="4">
        <f ca="1">_xll.DBRW($B$1,$B$2,$B$7,$B$3,$B$4,$B$5,$F419,$B$6,W$10,$A419,$B419)</f>
        <v>0</v>
      </c>
      <c r="X419" s="4">
        <f ca="1">_xll.DBRW($B$1,$B$2,$B$7,$B$3,$B$4,$B$5,$F419,$B$6,X$10,$A419,$B419)</f>
        <v>0</v>
      </c>
      <c r="Y419" s="4">
        <f ca="1">_xll.DBRW($B$1,$B$2,$B$7,$B$3,$B$4,$B$5,$F419,$B$6,Y$10,$A419,$B419)</f>
        <v>0</v>
      </c>
      <c r="Z419" s="4">
        <f ca="1">_xll.DBRW($B$1,$B$2,$B$7,$B$3,$B$4,$B$5,$F419,$B$6,Z$10,$A419,$B419)</f>
        <v>0</v>
      </c>
      <c r="AA419" s="4">
        <f ca="1">_xll.DBRW($B$1,$B$2,$B$7,$B$3,$B$4,$B$5,$F419,$B$6,AA$10,$A419,$B419)</f>
        <v>0</v>
      </c>
      <c r="AB419" s="4">
        <f ca="1">_xll.DBRW($B$1,$B$2,$B$7,$B$3,$B$4,$B$5,$F419,$B$6,AB$10,$A419,$B419)</f>
        <v>0</v>
      </c>
      <c r="AC419" s="4">
        <f ca="1">_xll.DBRW($B$1,$B$2,$B$7,$B$3,$B$4,$B$5,$F419,$B$6,AC$10,$A419,$B419)</f>
        <v>0</v>
      </c>
      <c r="AD419" s="4">
        <f ca="1">_xll.DBRW($B$1,$B$2,$B$7,$B$3,$B$4,$B$5,$F419,$B$6,AD$10,$A419,$B419)</f>
        <v>0</v>
      </c>
      <c r="AE419" s="4">
        <f ca="1">_xll.DBRW($B$1,$B$2,$B$7,$B$3,$B$4,$B$5,$F419,$B$6,AE$10,$A419,$B419)</f>
        <v>0</v>
      </c>
    </row>
    <row r="420" spans="1:31">
      <c r="A420" s="1" t="s">
        <v>150</v>
      </c>
      <c r="B420" s="5" t="s">
        <v>231</v>
      </c>
      <c r="C420" s="5" t="s">
        <v>213</v>
      </c>
      <c r="D420" s="5" t="s">
        <v>211</v>
      </c>
      <c r="E420" s="5" t="s">
        <v>21</v>
      </c>
      <c r="F420" s="5" t="s">
        <v>315</v>
      </c>
      <c r="G420" s="6"/>
      <c r="H420" s="6"/>
      <c r="I420" s="6"/>
      <c r="J420" s="6"/>
      <c r="K420" s="6"/>
      <c r="L420" s="4">
        <f ca="1">_xll.DBRW($B$1,$B$2,$B$7,$B$3,$B$4,$B$5,$F420,$B$6,L$10,$A420,$B420)</f>
        <v>0</v>
      </c>
      <c r="M420" s="4">
        <f ca="1">_xll.DBRW($B$1,$B$2,$B$7,$B$3,$B$4,$B$5,$F420,$B$6,M$10,$A420,$B420)</f>
        <v>0</v>
      </c>
      <c r="N420" s="4">
        <f ca="1">_xll.DBRW($B$1,$B$2,$B$7,$B$3,$B$4,$B$5,$F420,$B$6,N$10,$A420,$B420)</f>
        <v>0</v>
      </c>
      <c r="O420" s="4">
        <f ca="1">_xll.DBRW($B$1,$B$2,$B$7,$B$3,$B$4,$B$5,$F420,$B$6,O$10,$A420,$B420)</f>
        <v>0</v>
      </c>
      <c r="P420" s="4">
        <f ca="1">_xll.DBRW($B$1,$B$2,$B$7,$B$3,$B$4,$B$5,$F420,$B$6,P$10,$A420,$B420)</f>
        <v>0</v>
      </c>
      <c r="Q420" s="4">
        <f ca="1">_xll.DBRW($B$1,$B$2,$B$7,$B$3,$B$4,$B$5,$F420,$B$6,Q$10,$A420,$B420)</f>
        <v>0</v>
      </c>
      <c r="R420" s="4">
        <f ca="1">_xll.DBRW($B$1,$B$2,$B$7,$B$3,$B$4,$B$5,$F420,$B$6,R$10,$A420,$B420)</f>
        <v>0</v>
      </c>
      <c r="S420" s="4">
        <f ca="1">_xll.DBRW($B$1,$B$2,$B$7,$B$3,$B$4,$B$5,$F420,$B$6,S$10,$A420,$B420)</f>
        <v>0</v>
      </c>
      <c r="T420" s="4">
        <f ca="1">_xll.DBRW($B$1,$B$2,$B$7,$B$3,$B$4,$B$5,$F420,$B$6,T$10,$A420,$B420)</f>
        <v>0</v>
      </c>
      <c r="U420" s="4">
        <f ca="1">_xll.DBRW($B$1,$B$2,$B$7,$B$3,$B$4,$B$5,$F420,$B$6,U$10,$A420,$B420)</f>
        <v>0</v>
      </c>
      <c r="V420" s="4">
        <f ca="1">_xll.DBRW($B$1,$B$2,$B$7,$B$3,$B$4,$B$5,$F420,$B$6,V$10,$A420,$B420)</f>
        <v>0</v>
      </c>
      <c r="W420" s="4">
        <f ca="1">_xll.DBRW($B$1,$B$2,$B$7,$B$3,$B$4,$B$5,$F420,$B$6,W$10,$A420,$B420)</f>
        <v>0</v>
      </c>
      <c r="X420" s="4">
        <f ca="1">_xll.DBRW($B$1,$B$2,$B$7,$B$3,$B$4,$B$5,$F420,$B$6,X$10,$A420,$B420)</f>
        <v>0</v>
      </c>
      <c r="Y420" s="4">
        <f ca="1">_xll.DBRW($B$1,$B$2,$B$7,$B$3,$B$4,$B$5,$F420,$B$6,Y$10,$A420,$B420)</f>
        <v>0</v>
      </c>
      <c r="Z420" s="4">
        <f ca="1">_xll.DBRW($B$1,$B$2,$B$7,$B$3,$B$4,$B$5,$F420,$B$6,Z$10,$A420,$B420)</f>
        <v>0</v>
      </c>
      <c r="AA420" s="4">
        <f ca="1">_xll.DBRW($B$1,$B$2,$B$7,$B$3,$B$4,$B$5,$F420,$B$6,AA$10,$A420,$B420)</f>
        <v>0</v>
      </c>
      <c r="AB420" s="4">
        <f ca="1">_xll.DBRW($B$1,$B$2,$B$7,$B$3,$B$4,$B$5,$F420,$B$6,AB$10,$A420,$B420)</f>
        <v>0</v>
      </c>
      <c r="AC420" s="4">
        <f ca="1">_xll.DBRW($B$1,$B$2,$B$7,$B$3,$B$4,$B$5,$F420,$B$6,AC$10,$A420,$B420)</f>
        <v>0</v>
      </c>
      <c r="AD420" s="4">
        <f ca="1">_xll.DBRW($B$1,$B$2,$B$7,$B$3,$B$4,$B$5,$F420,$B$6,AD$10,$A420,$B420)</f>
        <v>0</v>
      </c>
      <c r="AE420" s="4">
        <f ca="1">_xll.DBRW($B$1,$B$2,$B$7,$B$3,$B$4,$B$5,$F420,$B$6,AE$10,$A420,$B420)</f>
        <v>0</v>
      </c>
    </row>
    <row r="421" spans="1:31">
      <c r="A421" s="1" t="s">
        <v>150</v>
      </c>
      <c r="B421" s="5" t="s">
        <v>232</v>
      </c>
      <c r="C421" s="5" t="s">
        <v>233</v>
      </c>
      <c r="D421" s="5" t="s">
        <v>21</v>
      </c>
      <c r="E421" s="5" t="s">
        <v>234</v>
      </c>
      <c r="F421" s="5" t="s">
        <v>315</v>
      </c>
      <c r="G421" s="6"/>
      <c r="H421" s="6"/>
      <c r="I421" s="6"/>
      <c r="J421" s="6"/>
      <c r="K421" s="6"/>
      <c r="L421" s="4">
        <f ca="1">_xll.DBRW($B$1,$B$2,$B$7,$B$3,$B$4,$B$5,$F421,$B$6,L$10,$A421,$B421)</f>
        <v>0</v>
      </c>
      <c r="M421" s="4">
        <f ca="1">_xll.DBRW($B$1,$B$2,$B$7,$B$3,$B$4,$B$5,$F421,$B$6,M$10,$A421,$B421)</f>
        <v>0</v>
      </c>
      <c r="N421" s="4">
        <f ca="1">_xll.DBRW($B$1,$B$2,$B$7,$B$3,$B$4,$B$5,$F421,$B$6,N$10,$A421,$B421)</f>
        <v>0</v>
      </c>
      <c r="O421" s="4">
        <f ca="1">_xll.DBRW($B$1,$B$2,$B$7,$B$3,$B$4,$B$5,$F421,$B$6,O$10,$A421,$B421)</f>
        <v>0</v>
      </c>
      <c r="P421" s="4">
        <f ca="1">_xll.DBRW($B$1,$B$2,$B$7,$B$3,$B$4,$B$5,$F421,$B$6,P$10,$A421,$B421)</f>
        <v>0</v>
      </c>
      <c r="Q421" s="4">
        <f ca="1">_xll.DBRW($B$1,$B$2,$B$7,$B$3,$B$4,$B$5,$F421,$B$6,Q$10,$A421,$B421)</f>
        <v>0</v>
      </c>
      <c r="R421" s="4">
        <f ca="1">_xll.DBRW($B$1,$B$2,$B$7,$B$3,$B$4,$B$5,$F421,$B$6,R$10,$A421,$B421)</f>
        <v>0</v>
      </c>
      <c r="S421" s="4">
        <f ca="1">_xll.DBRW($B$1,$B$2,$B$7,$B$3,$B$4,$B$5,$F421,$B$6,S$10,$A421,$B421)</f>
        <v>0</v>
      </c>
      <c r="T421" s="4">
        <f ca="1">_xll.DBRW($B$1,$B$2,$B$7,$B$3,$B$4,$B$5,$F421,$B$6,T$10,$A421,$B421)</f>
        <v>0</v>
      </c>
      <c r="U421" s="4">
        <f ca="1">_xll.DBRW($B$1,$B$2,$B$7,$B$3,$B$4,$B$5,$F421,$B$6,U$10,$A421,$B421)</f>
        <v>0</v>
      </c>
      <c r="V421" s="4">
        <f ca="1">_xll.DBRW($B$1,$B$2,$B$7,$B$3,$B$4,$B$5,$F421,$B$6,V$10,$A421,$B421)</f>
        <v>0</v>
      </c>
      <c r="W421" s="4">
        <f ca="1">_xll.DBRW($B$1,$B$2,$B$7,$B$3,$B$4,$B$5,$F421,$B$6,W$10,$A421,$B421)</f>
        <v>0</v>
      </c>
      <c r="X421" s="4">
        <f ca="1">_xll.DBRW($B$1,$B$2,$B$7,$B$3,$B$4,$B$5,$F421,$B$6,X$10,$A421,$B421)</f>
        <v>0</v>
      </c>
      <c r="Y421" s="4">
        <f ca="1">_xll.DBRW($B$1,$B$2,$B$7,$B$3,$B$4,$B$5,$F421,$B$6,Y$10,$A421,$B421)</f>
        <v>0</v>
      </c>
      <c r="Z421" s="4">
        <f ca="1">_xll.DBRW($B$1,$B$2,$B$7,$B$3,$B$4,$B$5,$F421,$B$6,Z$10,$A421,$B421)</f>
        <v>0</v>
      </c>
      <c r="AA421" s="4">
        <f ca="1">_xll.DBRW($B$1,$B$2,$B$7,$B$3,$B$4,$B$5,$F421,$B$6,AA$10,$A421,$B421)</f>
        <v>0</v>
      </c>
      <c r="AB421" s="4">
        <f ca="1">_xll.DBRW($B$1,$B$2,$B$7,$B$3,$B$4,$B$5,$F421,$B$6,AB$10,$A421,$B421)</f>
        <v>0</v>
      </c>
      <c r="AC421" s="4">
        <f ca="1">_xll.DBRW($B$1,$B$2,$B$7,$B$3,$B$4,$B$5,$F421,$B$6,AC$10,$A421,$B421)</f>
        <v>0</v>
      </c>
      <c r="AD421" s="4">
        <f ca="1">_xll.DBRW($B$1,$B$2,$B$7,$B$3,$B$4,$B$5,$F421,$B$6,AD$10,$A421,$B421)</f>
        <v>0</v>
      </c>
      <c r="AE421" s="4">
        <f ca="1">_xll.DBRW($B$1,$B$2,$B$7,$B$3,$B$4,$B$5,$F421,$B$6,AE$10,$A421,$B421)</f>
        <v>0</v>
      </c>
    </row>
    <row r="422" spans="1:31">
      <c r="A422" s="1" t="s">
        <v>150</v>
      </c>
      <c r="B422" s="5" t="s">
        <v>235</v>
      </c>
      <c r="C422" s="5" t="s">
        <v>236</v>
      </c>
      <c r="D422" s="5" t="s">
        <v>234</v>
      </c>
      <c r="E422" s="5" t="s">
        <v>21</v>
      </c>
      <c r="F422" s="5" t="s">
        <v>315</v>
      </c>
      <c r="G422" s="6"/>
      <c r="H422" s="6"/>
      <c r="I422" s="6"/>
      <c r="J422" s="6"/>
      <c r="K422" s="6"/>
      <c r="L422" s="4">
        <f ca="1">_xll.DBRW($B$1,$B$2,$B$7,$B$3,$B$4,$B$5,$F422,$B$6,L$10,$A422,$B422)</f>
        <v>0</v>
      </c>
      <c r="M422" s="4">
        <f ca="1">_xll.DBRW($B$1,$B$2,$B$7,$B$3,$B$4,$B$5,$F422,$B$6,M$10,$A422,$B422)</f>
        <v>0</v>
      </c>
      <c r="N422" s="4">
        <f ca="1">_xll.DBRW($B$1,$B$2,$B$7,$B$3,$B$4,$B$5,$F422,$B$6,N$10,$A422,$B422)</f>
        <v>0</v>
      </c>
      <c r="O422" s="4">
        <f ca="1">_xll.DBRW($B$1,$B$2,$B$7,$B$3,$B$4,$B$5,$F422,$B$6,O$10,$A422,$B422)</f>
        <v>0</v>
      </c>
      <c r="P422" s="4">
        <f ca="1">_xll.DBRW($B$1,$B$2,$B$7,$B$3,$B$4,$B$5,$F422,$B$6,P$10,$A422,$B422)</f>
        <v>0</v>
      </c>
      <c r="Q422" s="4">
        <f ca="1">_xll.DBRW($B$1,$B$2,$B$7,$B$3,$B$4,$B$5,$F422,$B$6,Q$10,$A422,$B422)</f>
        <v>0</v>
      </c>
      <c r="R422" s="4">
        <f ca="1">_xll.DBRW($B$1,$B$2,$B$7,$B$3,$B$4,$B$5,$F422,$B$6,R$10,$A422,$B422)</f>
        <v>0</v>
      </c>
      <c r="S422" s="4">
        <f ca="1">_xll.DBRW($B$1,$B$2,$B$7,$B$3,$B$4,$B$5,$F422,$B$6,S$10,$A422,$B422)</f>
        <v>0</v>
      </c>
      <c r="T422" s="4">
        <f ca="1">_xll.DBRW($B$1,$B$2,$B$7,$B$3,$B$4,$B$5,$F422,$B$6,T$10,$A422,$B422)</f>
        <v>0</v>
      </c>
      <c r="U422" s="4">
        <f ca="1">_xll.DBRW($B$1,$B$2,$B$7,$B$3,$B$4,$B$5,$F422,$B$6,U$10,$A422,$B422)</f>
        <v>0</v>
      </c>
      <c r="V422" s="4">
        <f ca="1">_xll.DBRW($B$1,$B$2,$B$7,$B$3,$B$4,$B$5,$F422,$B$6,V$10,$A422,$B422)</f>
        <v>0</v>
      </c>
      <c r="W422" s="4">
        <f ca="1">_xll.DBRW($B$1,$B$2,$B$7,$B$3,$B$4,$B$5,$F422,$B$6,W$10,$A422,$B422)</f>
        <v>0</v>
      </c>
      <c r="X422" s="4">
        <f ca="1">_xll.DBRW($B$1,$B$2,$B$7,$B$3,$B$4,$B$5,$F422,$B$6,X$10,$A422,$B422)</f>
        <v>0</v>
      </c>
      <c r="Y422" s="4">
        <f ca="1">_xll.DBRW($B$1,$B$2,$B$7,$B$3,$B$4,$B$5,$F422,$B$6,Y$10,$A422,$B422)</f>
        <v>0</v>
      </c>
      <c r="Z422" s="4">
        <f ca="1">_xll.DBRW($B$1,$B$2,$B$7,$B$3,$B$4,$B$5,$F422,$B$6,Z$10,$A422,$B422)</f>
        <v>0</v>
      </c>
      <c r="AA422" s="4">
        <f ca="1">_xll.DBRW($B$1,$B$2,$B$7,$B$3,$B$4,$B$5,$F422,$B$6,AA$10,$A422,$B422)</f>
        <v>0</v>
      </c>
      <c r="AB422" s="4">
        <f ca="1">_xll.DBRW($B$1,$B$2,$B$7,$B$3,$B$4,$B$5,$F422,$B$6,AB$10,$A422,$B422)</f>
        <v>0</v>
      </c>
      <c r="AC422" s="4">
        <f ca="1">_xll.DBRW($B$1,$B$2,$B$7,$B$3,$B$4,$B$5,$F422,$B$6,AC$10,$A422,$B422)</f>
        <v>0</v>
      </c>
      <c r="AD422" s="4">
        <f ca="1">_xll.DBRW($B$1,$B$2,$B$7,$B$3,$B$4,$B$5,$F422,$B$6,AD$10,$A422,$B422)</f>
        <v>0</v>
      </c>
      <c r="AE422" s="4">
        <f ca="1">_xll.DBRW($B$1,$B$2,$B$7,$B$3,$B$4,$B$5,$F422,$B$6,AE$10,$A422,$B422)</f>
        <v>0</v>
      </c>
    </row>
    <row r="423" spans="1:31">
      <c r="A423" s="1" t="s">
        <v>150</v>
      </c>
      <c r="B423" s="5" t="s">
        <v>237</v>
      </c>
      <c r="C423" s="5" t="s">
        <v>238</v>
      </c>
      <c r="D423" s="5" t="s">
        <v>21</v>
      </c>
      <c r="E423" s="5" t="s">
        <v>239</v>
      </c>
      <c r="F423" s="5" t="s">
        <v>315</v>
      </c>
      <c r="G423" s="6"/>
      <c r="H423" s="6"/>
      <c r="I423" s="6"/>
      <c r="J423" s="6"/>
      <c r="K423" s="6"/>
      <c r="L423" s="4">
        <f ca="1">_xll.DBRW($B$1,$B$2,$B$7,$B$3,$B$4,$B$5,$F423,$B$6,L$10,$A423,$B423)</f>
        <v>0</v>
      </c>
      <c r="M423" s="4">
        <f ca="1">_xll.DBRW($B$1,$B$2,$B$7,$B$3,$B$4,$B$5,$F423,$B$6,M$10,$A423,$B423)</f>
        <v>0</v>
      </c>
      <c r="N423" s="4">
        <f ca="1">_xll.DBRW($B$1,$B$2,$B$7,$B$3,$B$4,$B$5,$F423,$B$6,N$10,$A423,$B423)</f>
        <v>0</v>
      </c>
      <c r="O423" s="4">
        <f ca="1">_xll.DBRW($B$1,$B$2,$B$7,$B$3,$B$4,$B$5,$F423,$B$6,O$10,$A423,$B423)</f>
        <v>0</v>
      </c>
      <c r="P423" s="4">
        <f ca="1">_xll.DBRW($B$1,$B$2,$B$7,$B$3,$B$4,$B$5,$F423,$B$6,P$10,$A423,$B423)</f>
        <v>0</v>
      </c>
      <c r="Q423" s="4">
        <f ca="1">_xll.DBRW($B$1,$B$2,$B$7,$B$3,$B$4,$B$5,$F423,$B$6,Q$10,$A423,$B423)</f>
        <v>0</v>
      </c>
      <c r="R423" s="4">
        <f ca="1">_xll.DBRW($B$1,$B$2,$B$7,$B$3,$B$4,$B$5,$F423,$B$6,R$10,$A423,$B423)</f>
        <v>0</v>
      </c>
      <c r="S423" s="4">
        <f ca="1">_xll.DBRW($B$1,$B$2,$B$7,$B$3,$B$4,$B$5,$F423,$B$6,S$10,$A423,$B423)</f>
        <v>0</v>
      </c>
      <c r="T423" s="4">
        <f ca="1">_xll.DBRW($B$1,$B$2,$B$7,$B$3,$B$4,$B$5,$F423,$B$6,T$10,$A423,$B423)</f>
        <v>0</v>
      </c>
      <c r="U423" s="4">
        <f ca="1">_xll.DBRW($B$1,$B$2,$B$7,$B$3,$B$4,$B$5,$F423,$B$6,U$10,$A423,$B423)</f>
        <v>0</v>
      </c>
      <c r="V423" s="4">
        <f ca="1">_xll.DBRW($B$1,$B$2,$B$7,$B$3,$B$4,$B$5,$F423,$B$6,V$10,$A423,$B423)</f>
        <v>0</v>
      </c>
      <c r="W423" s="4">
        <f ca="1">_xll.DBRW($B$1,$B$2,$B$7,$B$3,$B$4,$B$5,$F423,$B$6,W$10,$A423,$B423)</f>
        <v>0</v>
      </c>
      <c r="X423" s="4">
        <f ca="1">_xll.DBRW($B$1,$B$2,$B$7,$B$3,$B$4,$B$5,$F423,$B$6,X$10,$A423,$B423)</f>
        <v>0</v>
      </c>
      <c r="Y423" s="4">
        <f ca="1">_xll.DBRW($B$1,$B$2,$B$7,$B$3,$B$4,$B$5,$F423,$B$6,Y$10,$A423,$B423)</f>
        <v>0</v>
      </c>
      <c r="Z423" s="4">
        <f ca="1">_xll.DBRW($B$1,$B$2,$B$7,$B$3,$B$4,$B$5,$F423,$B$6,Z$10,$A423,$B423)</f>
        <v>0</v>
      </c>
      <c r="AA423" s="4">
        <f ca="1">_xll.DBRW($B$1,$B$2,$B$7,$B$3,$B$4,$B$5,$F423,$B$6,AA$10,$A423,$B423)</f>
        <v>0</v>
      </c>
      <c r="AB423" s="4">
        <f ca="1">_xll.DBRW($B$1,$B$2,$B$7,$B$3,$B$4,$B$5,$F423,$B$6,AB$10,$A423,$B423)</f>
        <v>0</v>
      </c>
      <c r="AC423" s="4">
        <f ca="1">_xll.DBRW($B$1,$B$2,$B$7,$B$3,$B$4,$B$5,$F423,$B$6,AC$10,$A423,$B423)</f>
        <v>0</v>
      </c>
      <c r="AD423" s="4">
        <f ca="1">_xll.DBRW($B$1,$B$2,$B$7,$B$3,$B$4,$B$5,$F423,$B$6,AD$10,$A423,$B423)</f>
        <v>0</v>
      </c>
      <c r="AE423" s="4">
        <f ca="1">_xll.DBRW($B$1,$B$2,$B$7,$B$3,$B$4,$B$5,$F423,$B$6,AE$10,$A423,$B423)</f>
        <v>0</v>
      </c>
    </row>
    <row r="424" spans="1:31">
      <c r="A424" s="1" t="s">
        <v>150</v>
      </c>
      <c r="B424" s="5" t="s">
        <v>240</v>
      </c>
      <c r="C424" s="5" t="s">
        <v>241</v>
      </c>
      <c r="D424" s="5" t="s">
        <v>239</v>
      </c>
      <c r="E424" s="5" t="s">
        <v>21</v>
      </c>
      <c r="F424" s="5" t="s">
        <v>315</v>
      </c>
      <c r="G424" s="6"/>
      <c r="H424" s="6"/>
      <c r="I424" s="6"/>
      <c r="J424" s="6"/>
      <c r="K424" s="6"/>
      <c r="L424" s="4">
        <f ca="1">_xll.DBRW($B$1,$B$2,$B$7,$B$3,$B$4,$B$5,$F424,$B$6,L$10,$A424,$B424)</f>
        <v>0</v>
      </c>
      <c r="M424" s="4">
        <f ca="1">_xll.DBRW($B$1,$B$2,$B$7,$B$3,$B$4,$B$5,$F424,$B$6,M$10,$A424,$B424)</f>
        <v>0</v>
      </c>
      <c r="N424" s="4">
        <f ca="1">_xll.DBRW($B$1,$B$2,$B$7,$B$3,$B$4,$B$5,$F424,$B$6,N$10,$A424,$B424)</f>
        <v>0</v>
      </c>
      <c r="O424" s="4">
        <f ca="1">_xll.DBRW($B$1,$B$2,$B$7,$B$3,$B$4,$B$5,$F424,$B$6,O$10,$A424,$B424)</f>
        <v>0</v>
      </c>
      <c r="P424" s="4">
        <f ca="1">_xll.DBRW($B$1,$B$2,$B$7,$B$3,$B$4,$B$5,$F424,$B$6,P$10,$A424,$B424)</f>
        <v>0</v>
      </c>
      <c r="Q424" s="4">
        <f ca="1">_xll.DBRW($B$1,$B$2,$B$7,$B$3,$B$4,$B$5,$F424,$B$6,Q$10,$A424,$B424)</f>
        <v>0</v>
      </c>
      <c r="R424" s="4">
        <f ca="1">_xll.DBRW($B$1,$B$2,$B$7,$B$3,$B$4,$B$5,$F424,$B$6,R$10,$A424,$B424)</f>
        <v>0</v>
      </c>
      <c r="S424" s="4">
        <f ca="1">_xll.DBRW($B$1,$B$2,$B$7,$B$3,$B$4,$B$5,$F424,$B$6,S$10,$A424,$B424)</f>
        <v>0</v>
      </c>
      <c r="T424" s="4">
        <f ca="1">_xll.DBRW($B$1,$B$2,$B$7,$B$3,$B$4,$B$5,$F424,$B$6,T$10,$A424,$B424)</f>
        <v>0</v>
      </c>
      <c r="U424" s="4">
        <f ca="1">_xll.DBRW($B$1,$B$2,$B$7,$B$3,$B$4,$B$5,$F424,$B$6,U$10,$A424,$B424)</f>
        <v>0</v>
      </c>
      <c r="V424" s="4">
        <f ca="1">_xll.DBRW($B$1,$B$2,$B$7,$B$3,$B$4,$B$5,$F424,$B$6,V$10,$A424,$B424)</f>
        <v>0</v>
      </c>
      <c r="W424" s="4">
        <f ca="1">_xll.DBRW($B$1,$B$2,$B$7,$B$3,$B$4,$B$5,$F424,$B$6,W$10,$A424,$B424)</f>
        <v>0</v>
      </c>
      <c r="X424" s="4">
        <f ca="1">_xll.DBRW($B$1,$B$2,$B$7,$B$3,$B$4,$B$5,$F424,$B$6,X$10,$A424,$B424)</f>
        <v>0</v>
      </c>
      <c r="Y424" s="4">
        <f ca="1">_xll.DBRW($B$1,$B$2,$B$7,$B$3,$B$4,$B$5,$F424,$B$6,Y$10,$A424,$B424)</f>
        <v>0</v>
      </c>
      <c r="Z424" s="4">
        <f ca="1">_xll.DBRW($B$1,$B$2,$B$7,$B$3,$B$4,$B$5,$F424,$B$6,Z$10,$A424,$B424)</f>
        <v>0</v>
      </c>
      <c r="AA424" s="4">
        <f ca="1">_xll.DBRW($B$1,$B$2,$B$7,$B$3,$B$4,$B$5,$F424,$B$6,AA$10,$A424,$B424)</f>
        <v>0</v>
      </c>
      <c r="AB424" s="4">
        <f ca="1">_xll.DBRW($B$1,$B$2,$B$7,$B$3,$B$4,$B$5,$F424,$B$6,AB$10,$A424,$B424)</f>
        <v>0</v>
      </c>
      <c r="AC424" s="4">
        <f ca="1">_xll.DBRW($B$1,$B$2,$B$7,$B$3,$B$4,$B$5,$F424,$B$6,AC$10,$A424,$B424)</f>
        <v>0</v>
      </c>
      <c r="AD424" s="4">
        <f ca="1">_xll.DBRW($B$1,$B$2,$B$7,$B$3,$B$4,$B$5,$F424,$B$6,AD$10,$A424,$B424)</f>
        <v>0</v>
      </c>
      <c r="AE424" s="4">
        <f ca="1">_xll.DBRW($B$1,$B$2,$B$7,$B$3,$B$4,$B$5,$F424,$B$6,AE$10,$A424,$B424)</f>
        <v>0</v>
      </c>
    </row>
    <row r="425" spans="1:31">
      <c r="A425" s="1" t="s">
        <v>150</v>
      </c>
      <c r="B425" s="5" t="s">
        <v>242</v>
      </c>
      <c r="C425" s="5" t="s">
        <v>243</v>
      </c>
      <c r="D425" s="5" t="s">
        <v>21</v>
      </c>
      <c r="E425" s="5" t="s">
        <v>244</v>
      </c>
      <c r="F425" s="5" t="s">
        <v>315</v>
      </c>
      <c r="G425" s="6"/>
      <c r="H425" s="6"/>
      <c r="I425" s="6"/>
      <c r="J425" s="6"/>
      <c r="K425" s="6"/>
      <c r="L425" s="4">
        <f ca="1">_xll.DBRW($B$1,$B$2,$B$7,$B$3,$B$4,$B$5,$F425,$B$6,L$10,$A425,$B425)</f>
        <v>0</v>
      </c>
      <c r="M425" s="4">
        <f ca="1">_xll.DBRW($B$1,$B$2,$B$7,$B$3,$B$4,$B$5,$F425,$B$6,M$10,$A425,$B425)</f>
        <v>0</v>
      </c>
      <c r="N425" s="4">
        <f ca="1">_xll.DBRW($B$1,$B$2,$B$7,$B$3,$B$4,$B$5,$F425,$B$6,N$10,$A425,$B425)</f>
        <v>0</v>
      </c>
      <c r="O425" s="4">
        <f ca="1">_xll.DBRW($B$1,$B$2,$B$7,$B$3,$B$4,$B$5,$F425,$B$6,O$10,$A425,$B425)</f>
        <v>0</v>
      </c>
      <c r="P425" s="4">
        <f ca="1">_xll.DBRW($B$1,$B$2,$B$7,$B$3,$B$4,$B$5,$F425,$B$6,P$10,$A425,$B425)</f>
        <v>0</v>
      </c>
      <c r="Q425" s="4">
        <f ca="1">_xll.DBRW($B$1,$B$2,$B$7,$B$3,$B$4,$B$5,$F425,$B$6,Q$10,$A425,$B425)</f>
        <v>0</v>
      </c>
      <c r="R425" s="4">
        <f ca="1">_xll.DBRW($B$1,$B$2,$B$7,$B$3,$B$4,$B$5,$F425,$B$6,R$10,$A425,$B425)</f>
        <v>0</v>
      </c>
      <c r="S425" s="4">
        <f ca="1">_xll.DBRW($B$1,$B$2,$B$7,$B$3,$B$4,$B$5,$F425,$B$6,S$10,$A425,$B425)</f>
        <v>0</v>
      </c>
      <c r="T425" s="4">
        <f ca="1">_xll.DBRW($B$1,$B$2,$B$7,$B$3,$B$4,$B$5,$F425,$B$6,T$10,$A425,$B425)</f>
        <v>0</v>
      </c>
      <c r="U425" s="4">
        <f ca="1">_xll.DBRW($B$1,$B$2,$B$7,$B$3,$B$4,$B$5,$F425,$B$6,U$10,$A425,$B425)</f>
        <v>0</v>
      </c>
      <c r="V425" s="4">
        <f ca="1">_xll.DBRW($B$1,$B$2,$B$7,$B$3,$B$4,$B$5,$F425,$B$6,V$10,$A425,$B425)</f>
        <v>0</v>
      </c>
      <c r="W425" s="4">
        <f ca="1">_xll.DBRW($B$1,$B$2,$B$7,$B$3,$B$4,$B$5,$F425,$B$6,W$10,$A425,$B425)</f>
        <v>0</v>
      </c>
      <c r="X425" s="4">
        <f ca="1">_xll.DBRW($B$1,$B$2,$B$7,$B$3,$B$4,$B$5,$F425,$B$6,X$10,$A425,$B425)</f>
        <v>0</v>
      </c>
      <c r="Y425" s="4">
        <f ca="1">_xll.DBRW($B$1,$B$2,$B$7,$B$3,$B$4,$B$5,$F425,$B$6,Y$10,$A425,$B425)</f>
        <v>0</v>
      </c>
      <c r="Z425" s="4">
        <f ca="1">_xll.DBRW($B$1,$B$2,$B$7,$B$3,$B$4,$B$5,$F425,$B$6,Z$10,$A425,$B425)</f>
        <v>0</v>
      </c>
      <c r="AA425" s="4">
        <f ca="1">_xll.DBRW($B$1,$B$2,$B$7,$B$3,$B$4,$B$5,$F425,$B$6,AA$10,$A425,$B425)</f>
        <v>0</v>
      </c>
      <c r="AB425" s="4">
        <f ca="1">_xll.DBRW($B$1,$B$2,$B$7,$B$3,$B$4,$B$5,$F425,$B$6,AB$10,$A425,$B425)</f>
        <v>0</v>
      </c>
      <c r="AC425" s="4">
        <f ca="1">_xll.DBRW($B$1,$B$2,$B$7,$B$3,$B$4,$B$5,$F425,$B$6,AC$10,$A425,$B425)</f>
        <v>0</v>
      </c>
      <c r="AD425" s="4">
        <f ca="1">_xll.DBRW($B$1,$B$2,$B$7,$B$3,$B$4,$B$5,$F425,$B$6,AD$10,$A425,$B425)</f>
        <v>0</v>
      </c>
      <c r="AE425" s="4">
        <f ca="1">_xll.DBRW($B$1,$B$2,$B$7,$B$3,$B$4,$B$5,$F425,$B$6,AE$10,$A425,$B425)</f>
        <v>0</v>
      </c>
    </row>
    <row r="426" spans="1:31">
      <c r="A426" s="1" t="s">
        <v>150</v>
      </c>
      <c r="B426" s="5" t="s">
        <v>245</v>
      </c>
      <c r="C426" s="5" t="s">
        <v>246</v>
      </c>
      <c r="D426" s="5" t="s">
        <v>244</v>
      </c>
      <c r="E426" s="5" t="s">
        <v>21</v>
      </c>
      <c r="F426" s="5" t="s">
        <v>315</v>
      </c>
      <c r="G426" s="6"/>
      <c r="H426" s="6"/>
      <c r="I426" s="6"/>
      <c r="J426" s="6"/>
      <c r="K426" s="6"/>
      <c r="L426" s="4">
        <f ca="1">_xll.DBRW($B$1,$B$2,$B$7,$B$3,$B$4,$B$5,$F426,$B$6,L$10,$A426,$B426)</f>
        <v>0</v>
      </c>
      <c r="M426" s="4">
        <f ca="1">_xll.DBRW($B$1,$B$2,$B$7,$B$3,$B$4,$B$5,$F426,$B$6,M$10,$A426,$B426)</f>
        <v>0</v>
      </c>
      <c r="N426" s="4">
        <f ca="1">_xll.DBRW($B$1,$B$2,$B$7,$B$3,$B$4,$B$5,$F426,$B$6,N$10,$A426,$B426)</f>
        <v>0</v>
      </c>
      <c r="O426" s="4">
        <f ca="1">_xll.DBRW($B$1,$B$2,$B$7,$B$3,$B$4,$B$5,$F426,$B$6,O$10,$A426,$B426)</f>
        <v>0</v>
      </c>
      <c r="P426" s="4">
        <f ca="1">_xll.DBRW($B$1,$B$2,$B$7,$B$3,$B$4,$B$5,$F426,$B$6,P$10,$A426,$B426)</f>
        <v>0</v>
      </c>
      <c r="Q426" s="4">
        <f ca="1">_xll.DBRW($B$1,$B$2,$B$7,$B$3,$B$4,$B$5,$F426,$B$6,Q$10,$A426,$B426)</f>
        <v>0</v>
      </c>
      <c r="R426" s="4">
        <f ca="1">_xll.DBRW($B$1,$B$2,$B$7,$B$3,$B$4,$B$5,$F426,$B$6,R$10,$A426,$B426)</f>
        <v>0</v>
      </c>
      <c r="S426" s="4">
        <f ca="1">_xll.DBRW($B$1,$B$2,$B$7,$B$3,$B$4,$B$5,$F426,$B$6,S$10,$A426,$B426)</f>
        <v>0</v>
      </c>
      <c r="T426" s="4">
        <f ca="1">_xll.DBRW($B$1,$B$2,$B$7,$B$3,$B$4,$B$5,$F426,$B$6,T$10,$A426,$B426)</f>
        <v>0</v>
      </c>
      <c r="U426" s="4">
        <f ca="1">_xll.DBRW($B$1,$B$2,$B$7,$B$3,$B$4,$B$5,$F426,$B$6,U$10,$A426,$B426)</f>
        <v>0</v>
      </c>
      <c r="V426" s="4">
        <f ca="1">_xll.DBRW($B$1,$B$2,$B$7,$B$3,$B$4,$B$5,$F426,$B$6,V$10,$A426,$B426)</f>
        <v>0</v>
      </c>
      <c r="W426" s="4">
        <f ca="1">_xll.DBRW($B$1,$B$2,$B$7,$B$3,$B$4,$B$5,$F426,$B$6,W$10,$A426,$B426)</f>
        <v>0</v>
      </c>
      <c r="X426" s="4">
        <f ca="1">_xll.DBRW($B$1,$B$2,$B$7,$B$3,$B$4,$B$5,$F426,$B$6,X$10,$A426,$B426)</f>
        <v>0</v>
      </c>
      <c r="Y426" s="4">
        <f ca="1">_xll.DBRW($B$1,$B$2,$B$7,$B$3,$B$4,$B$5,$F426,$B$6,Y$10,$A426,$B426)</f>
        <v>0</v>
      </c>
      <c r="Z426" s="4">
        <f ca="1">_xll.DBRW($B$1,$B$2,$B$7,$B$3,$B$4,$B$5,$F426,$B$6,Z$10,$A426,$B426)</f>
        <v>0</v>
      </c>
      <c r="AA426" s="4">
        <f ca="1">_xll.DBRW($B$1,$B$2,$B$7,$B$3,$B$4,$B$5,$F426,$B$6,AA$10,$A426,$B426)</f>
        <v>0</v>
      </c>
      <c r="AB426" s="4">
        <f ca="1">_xll.DBRW($B$1,$B$2,$B$7,$B$3,$B$4,$B$5,$F426,$B$6,AB$10,$A426,$B426)</f>
        <v>0</v>
      </c>
      <c r="AC426" s="4">
        <f ca="1">_xll.DBRW($B$1,$B$2,$B$7,$B$3,$B$4,$B$5,$F426,$B$6,AC$10,$A426,$B426)</f>
        <v>0</v>
      </c>
      <c r="AD426" s="4">
        <f ca="1">_xll.DBRW($B$1,$B$2,$B$7,$B$3,$B$4,$B$5,$F426,$B$6,AD$10,$A426,$B426)</f>
        <v>0</v>
      </c>
      <c r="AE426" s="4">
        <f ca="1">_xll.DBRW($B$1,$B$2,$B$7,$B$3,$B$4,$B$5,$F426,$B$6,AE$10,$A426,$B426)</f>
        <v>0</v>
      </c>
    </row>
    <row r="427" spans="1:31">
      <c r="A427" s="1" t="s">
        <v>150</v>
      </c>
      <c r="B427" s="5" t="s">
        <v>247</v>
      </c>
      <c r="C427" s="5" t="s">
        <v>248</v>
      </c>
      <c r="D427" s="5" t="s">
        <v>21</v>
      </c>
      <c r="E427" s="5" t="s">
        <v>249</v>
      </c>
      <c r="F427" s="5" t="s">
        <v>315</v>
      </c>
      <c r="G427" s="6"/>
      <c r="H427" s="6"/>
      <c r="I427" s="6"/>
      <c r="J427" s="6"/>
      <c r="K427" s="6"/>
      <c r="L427" s="4">
        <f ca="1">_xll.DBRW($B$1,$B$2,$B$7,$B$3,$B$4,$B$5,$F427,$B$6,L$10,$A427,$B427)</f>
        <v>0</v>
      </c>
      <c r="M427" s="4">
        <f ca="1">_xll.DBRW($B$1,$B$2,$B$7,$B$3,$B$4,$B$5,$F427,$B$6,M$10,$A427,$B427)</f>
        <v>0</v>
      </c>
      <c r="N427" s="4">
        <f ca="1">_xll.DBRW($B$1,$B$2,$B$7,$B$3,$B$4,$B$5,$F427,$B$6,N$10,$A427,$B427)</f>
        <v>0</v>
      </c>
      <c r="O427" s="4">
        <f ca="1">_xll.DBRW($B$1,$B$2,$B$7,$B$3,$B$4,$B$5,$F427,$B$6,O$10,$A427,$B427)</f>
        <v>0</v>
      </c>
      <c r="P427" s="4">
        <f ca="1">_xll.DBRW($B$1,$B$2,$B$7,$B$3,$B$4,$B$5,$F427,$B$6,P$10,$A427,$B427)</f>
        <v>0</v>
      </c>
      <c r="Q427" s="4">
        <f ca="1">_xll.DBRW($B$1,$B$2,$B$7,$B$3,$B$4,$B$5,$F427,$B$6,Q$10,$A427,$B427)</f>
        <v>0</v>
      </c>
      <c r="R427" s="4">
        <f ca="1">_xll.DBRW($B$1,$B$2,$B$7,$B$3,$B$4,$B$5,$F427,$B$6,R$10,$A427,$B427)</f>
        <v>0</v>
      </c>
      <c r="S427" s="4">
        <f ca="1">_xll.DBRW($B$1,$B$2,$B$7,$B$3,$B$4,$B$5,$F427,$B$6,S$10,$A427,$B427)</f>
        <v>0</v>
      </c>
      <c r="T427" s="4">
        <f ca="1">_xll.DBRW($B$1,$B$2,$B$7,$B$3,$B$4,$B$5,$F427,$B$6,T$10,$A427,$B427)</f>
        <v>0</v>
      </c>
      <c r="U427" s="4">
        <f ca="1">_xll.DBRW($B$1,$B$2,$B$7,$B$3,$B$4,$B$5,$F427,$B$6,U$10,$A427,$B427)</f>
        <v>0</v>
      </c>
      <c r="V427" s="4">
        <f ca="1">_xll.DBRW($B$1,$B$2,$B$7,$B$3,$B$4,$B$5,$F427,$B$6,V$10,$A427,$B427)</f>
        <v>0</v>
      </c>
      <c r="W427" s="4">
        <f ca="1">_xll.DBRW($B$1,$B$2,$B$7,$B$3,$B$4,$B$5,$F427,$B$6,W$10,$A427,$B427)</f>
        <v>0</v>
      </c>
      <c r="X427" s="4">
        <f ca="1">_xll.DBRW($B$1,$B$2,$B$7,$B$3,$B$4,$B$5,$F427,$B$6,X$10,$A427,$B427)</f>
        <v>0</v>
      </c>
      <c r="Y427" s="4">
        <f ca="1">_xll.DBRW($B$1,$B$2,$B$7,$B$3,$B$4,$B$5,$F427,$B$6,Y$10,$A427,$B427)</f>
        <v>0</v>
      </c>
      <c r="Z427" s="4">
        <f ca="1">_xll.DBRW($B$1,$B$2,$B$7,$B$3,$B$4,$B$5,$F427,$B$6,Z$10,$A427,$B427)</f>
        <v>0</v>
      </c>
      <c r="AA427" s="4">
        <f ca="1">_xll.DBRW($B$1,$B$2,$B$7,$B$3,$B$4,$B$5,$F427,$B$6,AA$10,$A427,$B427)</f>
        <v>0</v>
      </c>
      <c r="AB427" s="4">
        <f ca="1">_xll.DBRW($B$1,$B$2,$B$7,$B$3,$B$4,$B$5,$F427,$B$6,AB$10,$A427,$B427)</f>
        <v>0</v>
      </c>
      <c r="AC427" s="4">
        <f ca="1">_xll.DBRW($B$1,$B$2,$B$7,$B$3,$B$4,$B$5,$F427,$B$6,AC$10,$A427,$B427)</f>
        <v>0</v>
      </c>
      <c r="AD427" s="4">
        <f ca="1">_xll.DBRW($B$1,$B$2,$B$7,$B$3,$B$4,$B$5,$F427,$B$6,AD$10,$A427,$B427)</f>
        <v>0</v>
      </c>
      <c r="AE427" s="4">
        <f ca="1">_xll.DBRW($B$1,$B$2,$B$7,$B$3,$B$4,$B$5,$F427,$B$6,AE$10,$A427,$B427)</f>
        <v>0</v>
      </c>
    </row>
    <row r="428" spans="1:31">
      <c r="A428" s="1" t="s">
        <v>150</v>
      </c>
      <c r="B428" s="5" t="s">
        <v>250</v>
      </c>
      <c r="C428" s="5" t="s">
        <v>251</v>
      </c>
      <c r="D428" s="5" t="s">
        <v>249</v>
      </c>
      <c r="E428" s="5" t="s">
        <v>21</v>
      </c>
      <c r="F428" s="5" t="s">
        <v>315</v>
      </c>
      <c r="G428" s="6"/>
      <c r="H428" s="6"/>
      <c r="I428" s="6"/>
      <c r="J428" s="6"/>
      <c r="K428" s="6"/>
      <c r="L428" s="4">
        <f ca="1">_xll.DBRW($B$1,$B$2,$B$7,$B$3,$B$4,$B$5,$F428,$B$6,L$10,$A428,$B428)</f>
        <v>0</v>
      </c>
      <c r="M428" s="4">
        <f ca="1">_xll.DBRW($B$1,$B$2,$B$7,$B$3,$B$4,$B$5,$F428,$B$6,M$10,$A428,$B428)</f>
        <v>0</v>
      </c>
      <c r="N428" s="4">
        <f ca="1">_xll.DBRW($B$1,$B$2,$B$7,$B$3,$B$4,$B$5,$F428,$B$6,N$10,$A428,$B428)</f>
        <v>0</v>
      </c>
      <c r="O428" s="4">
        <f ca="1">_xll.DBRW($B$1,$B$2,$B$7,$B$3,$B$4,$B$5,$F428,$B$6,O$10,$A428,$B428)</f>
        <v>0</v>
      </c>
      <c r="P428" s="4">
        <f ca="1">_xll.DBRW($B$1,$B$2,$B$7,$B$3,$B$4,$B$5,$F428,$B$6,P$10,$A428,$B428)</f>
        <v>0</v>
      </c>
      <c r="Q428" s="4">
        <f ca="1">_xll.DBRW($B$1,$B$2,$B$7,$B$3,$B$4,$B$5,$F428,$B$6,Q$10,$A428,$B428)</f>
        <v>0</v>
      </c>
      <c r="R428" s="4">
        <f ca="1">_xll.DBRW($B$1,$B$2,$B$7,$B$3,$B$4,$B$5,$F428,$B$6,R$10,$A428,$B428)</f>
        <v>0</v>
      </c>
      <c r="S428" s="4">
        <f ca="1">_xll.DBRW($B$1,$B$2,$B$7,$B$3,$B$4,$B$5,$F428,$B$6,S$10,$A428,$B428)</f>
        <v>0</v>
      </c>
      <c r="T428" s="4">
        <f ca="1">_xll.DBRW($B$1,$B$2,$B$7,$B$3,$B$4,$B$5,$F428,$B$6,T$10,$A428,$B428)</f>
        <v>0</v>
      </c>
      <c r="U428" s="4">
        <f ca="1">_xll.DBRW($B$1,$B$2,$B$7,$B$3,$B$4,$B$5,$F428,$B$6,U$10,$A428,$B428)</f>
        <v>0</v>
      </c>
      <c r="V428" s="4">
        <f ca="1">_xll.DBRW($B$1,$B$2,$B$7,$B$3,$B$4,$B$5,$F428,$B$6,V$10,$A428,$B428)</f>
        <v>0</v>
      </c>
      <c r="W428" s="4">
        <f ca="1">_xll.DBRW($B$1,$B$2,$B$7,$B$3,$B$4,$B$5,$F428,$B$6,W$10,$A428,$B428)</f>
        <v>0</v>
      </c>
      <c r="X428" s="4">
        <f ca="1">_xll.DBRW($B$1,$B$2,$B$7,$B$3,$B$4,$B$5,$F428,$B$6,X$10,$A428,$B428)</f>
        <v>0</v>
      </c>
      <c r="Y428" s="4">
        <f ca="1">_xll.DBRW($B$1,$B$2,$B$7,$B$3,$B$4,$B$5,$F428,$B$6,Y$10,$A428,$B428)</f>
        <v>0</v>
      </c>
      <c r="Z428" s="4">
        <f ca="1">_xll.DBRW($B$1,$B$2,$B$7,$B$3,$B$4,$B$5,$F428,$B$6,Z$10,$A428,$B428)</f>
        <v>0</v>
      </c>
      <c r="AA428" s="4">
        <f ca="1">_xll.DBRW($B$1,$B$2,$B$7,$B$3,$B$4,$B$5,$F428,$B$6,AA$10,$A428,$B428)</f>
        <v>0</v>
      </c>
      <c r="AB428" s="4">
        <f ca="1">_xll.DBRW($B$1,$B$2,$B$7,$B$3,$B$4,$B$5,$F428,$B$6,AB$10,$A428,$B428)</f>
        <v>0</v>
      </c>
      <c r="AC428" s="4">
        <f ca="1">_xll.DBRW($B$1,$B$2,$B$7,$B$3,$B$4,$B$5,$F428,$B$6,AC$10,$A428,$B428)</f>
        <v>0</v>
      </c>
      <c r="AD428" s="4">
        <f ca="1">_xll.DBRW($B$1,$B$2,$B$7,$B$3,$B$4,$B$5,$F428,$B$6,AD$10,$A428,$B428)</f>
        <v>0</v>
      </c>
      <c r="AE428" s="4">
        <f ca="1">_xll.DBRW($B$1,$B$2,$B$7,$B$3,$B$4,$B$5,$F428,$B$6,AE$10,$A428,$B428)</f>
        <v>0</v>
      </c>
    </row>
    <row r="429" spans="1:31">
      <c r="A429" s="1" t="s">
        <v>150</v>
      </c>
      <c r="B429" s="5" t="s">
        <v>252</v>
      </c>
      <c r="C429" s="5" t="s">
        <v>226</v>
      </c>
      <c r="D429" s="5" t="s">
        <v>21</v>
      </c>
      <c r="E429" s="5" t="s">
        <v>227</v>
      </c>
      <c r="F429" s="5" t="s">
        <v>315</v>
      </c>
      <c r="G429" s="6"/>
      <c r="H429" s="6"/>
      <c r="I429" s="6"/>
      <c r="J429" s="6"/>
      <c r="K429" s="6"/>
      <c r="L429" s="4">
        <f ca="1">_xll.DBRW($B$1,$B$2,$B$7,$B$3,$B$4,$B$5,$F429,$B$6,L$10,$A429,$B429)</f>
        <v>0</v>
      </c>
      <c r="M429" s="4">
        <f ca="1">_xll.DBRW($B$1,$B$2,$B$7,$B$3,$B$4,$B$5,$F429,$B$6,M$10,$A429,$B429)</f>
        <v>0</v>
      </c>
      <c r="N429" s="4">
        <f ca="1">_xll.DBRW($B$1,$B$2,$B$7,$B$3,$B$4,$B$5,$F429,$B$6,N$10,$A429,$B429)</f>
        <v>0</v>
      </c>
      <c r="O429" s="4">
        <f ca="1">_xll.DBRW($B$1,$B$2,$B$7,$B$3,$B$4,$B$5,$F429,$B$6,O$10,$A429,$B429)</f>
        <v>0</v>
      </c>
      <c r="P429" s="4">
        <f ca="1">_xll.DBRW($B$1,$B$2,$B$7,$B$3,$B$4,$B$5,$F429,$B$6,P$10,$A429,$B429)</f>
        <v>0</v>
      </c>
      <c r="Q429" s="4">
        <f ca="1">_xll.DBRW($B$1,$B$2,$B$7,$B$3,$B$4,$B$5,$F429,$B$6,Q$10,$A429,$B429)</f>
        <v>0</v>
      </c>
      <c r="R429" s="4">
        <f ca="1">_xll.DBRW($B$1,$B$2,$B$7,$B$3,$B$4,$B$5,$F429,$B$6,R$10,$A429,$B429)</f>
        <v>0</v>
      </c>
      <c r="S429" s="4">
        <f ca="1">_xll.DBRW($B$1,$B$2,$B$7,$B$3,$B$4,$B$5,$F429,$B$6,S$10,$A429,$B429)</f>
        <v>0</v>
      </c>
      <c r="T429" s="4">
        <f ca="1">_xll.DBRW($B$1,$B$2,$B$7,$B$3,$B$4,$B$5,$F429,$B$6,T$10,$A429,$B429)</f>
        <v>0</v>
      </c>
      <c r="U429" s="4">
        <f ca="1">_xll.DBRW($B$1,$B$2,$B$7,$B$3,$B$4,$B$5,$F429,$B$6,U$10,$A429,$B429)</f>
        <v>0</v>
      </c>
      <c r="V429" s="4">
        <f ca="1">_xll.DBRW($B$1,$B$2,$B$7,$B$3,$B$4,$B$5,$F429,$B$6,V$10,$A429,$B429)</f>
        <v>0</v>
      </c>
      <c r="W429" s="4">
        <f ca="1">_xll.DBRW($B$1,$B$2,$B$7,$B$3,$B$4,$B$5,$F429,$B$6,W$10,$A429,$B429)</f>
        <v>0</v>
      </c>
      <c r="X429" s="4">
        <f ca="1">_xll.DBRW($B$1,$B$2,$B$7,$B$3,$B$4,$B$5,$F429,$B$6,X$10,$A429,$B429)</f>
        <v>0</v>
      </c>
      <c r="Y429" s="4">
        <f ca="1">_xll.DBRW($B$1,$B$2,$B$7,$B$3,$B$4,$B$5,$F429,$B$6,Y$10,$A429,$B429)</f>
        <v>0</v>
      </c>
      <c r="Z429" s="4">
        <f ca="1">_xll.DBRW($B$1,$B$2,$B$7,$B$3,$B$4,$B$5,$F429,$B$6,Z$10,$A429,$B429)</f>
        <v>0</v>
      </c>
      <c r="AA429" s="4">
        <f ca="1">_xll.DBRW($B$1,$B$2,$B$7,$B$3,$B$4,$B$5,$F429,$B$6,AA$10,$A429,$B429)</f>
        <v>0</v>
      </c>
      <c r="AB429" s="4">
        <f ca="1">_xll.DBRW($B$1,$B$2,$B$7,$B$3,$B$4,$B$5,$F429,$B$6,AB$10,$A429,$B429)</f>
        <v>0</v>
      </c>
      <c r="AC429" s="4">
        <f ca="1">_xll.DBRW($B$1,$B$2,$B$7,$B$3,$B$4,$B$5,$F429,$B$6,AC$10,$A429,$B429)</f>
        <v>0</v>
      </c>
      <c r="AD429" s="4">
        <f ca="1">_xll.DBRW($B$1,$B$2,$B$7,$B$3,$B$4,$B$5,$F429,$B$6,AD$10,$A429,$B429)</f>
        <v>0</v>
      </c>
      <c r="AE429" s="4">
        <f ca="1">_xll.DBRW($B$1,$B$2,$B$7,$B$3,$B$4,$B$5,$F429,$B$6,AE$10,$A429,$B429)</f>
        <v>0</v>
      </c>
    </row>
    <row r="430" spans="1:31">
      <c r="A430" s="1" t="s">
        <v>150</v>
      </c>
      <c r="B430" s="5" t="s">
        <v>253</v>
      </c>
      <c r="C430" s="5" t="s">
        <v>229</v>
      </c>
      <c r="D430" s="5" t="s">
        <v>227</v>
      </c>
      <c r="E430" s="5" t="s">
        <v>21</v>
      </c>
      <c r="F430" s="5" t="s">
        <v>315</v>
      </c>
      <c r="G430" s="6"/>
      <c r="H430" s="6"/>
      <c r="I430" s="6"/>
      <c r="J430" s="6"/>
      <c r="K430" s="6"/>
      <c r="L430" s="4">
        <f ca="1">_xll.DBRW($B$1,$B$2,$B$7,$B$3,$B$4,$B$5,$F430,$B$6,L$10,$A430,$B430)</f>
        <v>0</v>
      </c>
      <c r="M430" s="4">
        <f ca="1">_xll.DBRW($B$1,$B$2,$B$7,$B$3,$B$4,$B$5,$F430,$B$6,M$10,$A430,$B430)</f>
        <v>0</v>
      </c>
      <c r="N430" s="4">
        <f ca="1">_xll.DBRW($B$1,$B$2,$B$7,$B$3,$B$4,$B$5,$F430,$B$6,N$10,$A430,$B430)</f>
        <v>0</v>
      </c>
      <c r="O430" s="4">
        <f ca="1">_xll.DBRW($B$1,$B$2,$B$7,$B$3,$B$4,$B$5,$F430,$B$6,O$10,$A430,$B430)</f>
        <v>0</v>
      </c>
      <c r="P430" s="4">
        <f ca="1">_xll.DBRW($B$1,$B$2,$B$7,$B$3,$B$4,$B$5,$F430,$B$6,P$10,$A430,$B430)</f>
        <v>0</v>
      </c>
      <c r="Q430" s="4">
        <f ca="1">_xll.DBRW($B$1,$B$2,$B$7,$B$3,$B$4,$B$5,$F430,$B$6,Q$10,$A430,$B430)</f>
        <v>0</v>
      </c>
      <c r="R430" s="4">
        <f ca="1">_xll.DBRW($B$1,$B$2,$B$7,$B$3,$B$4,$B$5,$F430,$B$6,R$10,$A430,$B430)</f>
        <v>0</v>
      </c>
      <c r="S430" s="4">
        <f ca="1">_xll.DBRW($B$1,$B$2,$B$7,$B$3,$B$4,$B$5,$F430,$B$6,S$10,$A430,$B430)</f>
        <v>0</v>
      </c>
      <c r="T430" s="4">
        <f ca="1">_xll.DBRW($B$1,$B$2,$B$7,$B$3,$B$4,$B$5,$F430,$B$6,T$10,$A430,$B430)</f>
        <v>0</v>
      </c>
      <c r="U430" s="4">
        <f ca="1">_xll.DBRW($B$1,$B$2,$B$7,$B$3,$B$4,$B$5,$F430,$B$6,U$10,$A430,$B430)</f>
        <v>0</v>
      </c>
      <c r="V430" s="4">
        <f ca="1">_xll.DBRW($B$1,$B$2,$B$7,$B$3,$B$4,$B$5,$F430,$B$6,V$10,$A430,$B430)</f>
        <v>0</v>
      </c>
      <c r="W430" s="4">
        <f ca="1">_xll.DBRW($B$1,$B$2,$B$7,$B$3,$B$4,$B$5,$F430,$B$6,W$10,$A430,$B430)</f>
        <v>0</v>
      </c>
      <c r="X430" s="4">
        <f ca="1">_xll.DBRW($B$1,$B$2,$B$7,$B$3,$B$4,$B$5,$F430,$B$6,X$10,$A430,$B430)</f>
        <v>0</v>
      </c>
      <c r="Y430" s="4">
        <f ca="1">_xll.DBRW($B$1,$B$2,$B$7,$B$3,$B$4,$B$5,$F430,$B$6,Y$10,$A430,$B430)</f>
        <v>0</v>
      </c>
      <c r="Z430" s="4">
        <f ca="1">_xll.DBRW($B$1,$B$2,$B$7,$B$3,$B$4,$B$5,$F430,$B$6,Z$10,$A430,$B430)</f>
        <v>0</v>
      </c>
      <c r="AA430" s="4">
        <f ca="1">_xll.DBRW($B$1,$B$2,$B$7,$B$3,$B$4,$B$5,$F430,$B$6,AA$10,$A430,$B430)</f>
        <v>0</v>
      </c>
      <c r="AB430" s="4">
        <f ca="1">_xll.DBRW($B$1,$B$2,$B$7,$B$3,$B$4,$B$5,$F430,$B$6,AB$10,$A430,$B430)</f>
        <v>0</v>
      </c>
      <c r="AC430" s="4">
        <f ca="1">_xll.DBRW($B$1,$B$2,$B$7,$B$3,$B$4,$B$5,$F430,$B$6,AC$10,$A430,$B430)</f>
        <v>0</v>
      </c>
      <c r="AD430" s="4">
        <f ca="1">_xll.DBRW($B$1,$B$2,$B$7,$B$3,$B$4,$B$5,$F430,$B$6,AD$10,$A430,$B430)</f>
        <v>0</v>
      </c>
      <c r="AE430" s="4">
        <f ca="1">_xll.DBRW($B$1,$B$2,$B$7,$B$3,$B$4,$B$5,$F430,$B$6,AE$10,$A430,$B430)</f>
        <v>0</v>
      </c>
    </row>
    <row r="431" spans="1:31">
      <c r="A431" s="1" t="s">
        <v>150</v>
      </c>
      <c r="B431" s="5" t="s">
        <v>254</v>
      </c>
      <c r="C431" s="5" t="s">
        <v>255</v>
      </c>
      <c r="D431" s="5" t="s">
        <v>60</v>
      </c>
      <c r="E431" s="5" t="s">
        <v>59</v>
      </c>
      <c r="F431" s="5" t="s">
        <v>315</v>
      </c>
      <c r="G431" s="6"/>
      <c r="H431" s="6"/>
      <c r="I431" s="6"/>
      <c r="J431" s="6"/>
      <c r="K431" s="6"/>
      <c r="L431" s="4">
        <f ca="1">_xll.DBRW($B$1,$B$2,$B$7,$B$3,$B$4,$B$5,$F431,$B$6,L$10,$A431,$B431)</f>
        <v>9</v>
      </c>
      <c r="M431" s="4">
        <f ca="1">_xll.DBRW($B$1,$B$2,$B$7,$B$3,$B$4,$B$5,$F431,$B$6,M$10,$A431,$B431)</f>
        <v>9</v>
      </c>
      <c r="N431" s="4">
        <f ca="1">_xll.DBRW($B$1,$B$2,$B$7,$B$3,$B$4,$B$5,$F431,$B$6,N$10,$A431,$B431)</f>
        <v>9</v>
      </c>
      <c r="O431" s="4">
        <f ca="1">_xll.DBRW($B$1,$B$2,$B$7,$B$3,$B$4,$B$5,$F431,$B$6,O$10,$A431,$B431)</f>
        <v>9</v>
      </c>
      <c r="P431" s="4">
        <f ca="1">_xll.DBRW($B$1,$B$2,$B$7,$B$3,$B$4,$B$5,$F431,$B$6,P$10,$A431,$B431)</f>
        <v>8</v>
      </c>
      <c r="Q431" s="4">
        <f ca="1">_xll.DBRW($B$1,$B$2,$B$7,$B$3,$B$4,$B$5,$F431,$B$6,Q$10,$A431,$B431)</f>
        <v>8</v>
      </c>
      <c r="R431" s="4">
        <f ca="1">_xll.DBRW($B$1,$B$2,$B$7,$B$3,$B$4,$B$5,$F431,$B$6,R$10,$A431,$B431)</f>
        <v>0</v>
      </c>
      <c r="S431" s="4">
        <f ca="1">_xll.DBRW($B$1,$B$2,$B$7,$B$3,$B$4,$B$5,$F431,$B$6,S$10,$A431,$B431)</f>
        <v>0</v>
      </c>
      <c r="T431" s="4">
        <f ca="1">_xll.DBRW($B$1,$B$2,$B$7,$B$3,$B$4,$B$5,$F431,$B$6,T$10,$A431,$B431)</f>
        <v>0</v>
      </c>
      <c r="U431" s="4">
        <f ca="1">_xll.DBRW($B$1,$B$2,$B$7,$B$3,$B$4,$B$5,$F431,$B$6,U$10,$A431,$B431)</f>
        <v>0</v>
      </c>
      <c r="V431" s="4">
        <f ca="1">_xll.DBRW($B$1,$B$2,$B$7,$B$3,$B$4,$B$5,$F431,$B$6,V$10,$A431,$B431)</f>
        <v>0</v>
      </c>
      <c r="W431" s="4">
        <f ca="1">_xll.DBRW($B$1,$B$2,$B$7,$B$3,$B$4,$B$5,$F431,$B$6,W$10,$A431,$B431)</f>
        <v>9</v>
      </c>
      <c r="X431" s="4">
        <f ca="1">_xll.DBRW($B$1,$B$2,$B$7,$B$3,$B$4,$B$5,$F431,$B$6,X$10,$A431,$B431)</f>
        <v>9</v>
      </c>
      <c r="Y431" s="4">
        <f ca="1">_xll.DBRW($B$1,$B$2,$B$7,$B$3,$B$4,$B$5,$F431,$B$6,Y$10,$A431,$B431)</f>
        <v>8</v>
      </c>
      <c r="Z431" s="4">
        <f ca="1">_xll.DBRW($B$1,$B$2,$B$7,$B$3,$B$4,$B$5,$F431,$B$6,Z$10,$A431,$B431)</f>
        <v>9</v>
      </c>
      <c r="AA431" s="4">
        <f ca="1">_xll.DBRW($B$1,$B$2,$B$7,$B$3,$B$4,$B$5,$F431,$B$6,AA$10,$A431,$B431)</f>
        <v>9</v>
      </c>
      <c r="AB431" s="4">
        <f ca="1">_xll.DBRW($B$1,$B$2,$B$7,$B$3,$B$4,$B$5,$F431,$B$6,AB$10,$A431,$B431)</f>
        <v>8</v>
      </c>
      <c r="AC431" s="4">
        <f ca="1">_xll.DBRW($B$1,$B$2,$B$7,$B$3,$B$4,$B$5,$F431,$B$6,AC$10,$A431,$B431)</f>
        <v>8</v>
      </c>
      <c r="AD431" s="4">
        <f ca="1">_xll.DBRW($B$1,$B$2,$B$7,$B$3,$B$4,$B$5,$F431,$B$6,AD$10,$A431,$B431)</f>
        <v>0</v>
      </c>
      <c r="AE431" s="4">
        <f ca="1">_xll.DBRW($B$1,$B$2,$B$7,$B$3,$B$4,$B$5,$F431,$B$6,AE$10,$A431,$B431)</f>
        <v>0</v>
      </c>
    </row>
    <row r="432" spans="1:31">
      <c r="A432" s="1" t="s">
        <v>150</v>
      </c>
      <c r="B432" s="5" t="s">
        <v>57</v>
      </c>
      <c r="C432" s="5" t="s">
        <v>58</v>
      </c>
      <c r="D432" s="5" t="s">
        <v>59</v>
      </c>
      <c r="E432" s="5" t="s">
        <v>60</v>
      </c>
      <c r="F432" s="5" t="s">
        <v>315</v>
      </c>
      <c r="G432" s="6"/>
      <c r="H432" s="6"/>
      <c r="I432" s="6"/>
      <c r="J432" s="6"/>
      <c r="K432" s="6"/>
      <c r="L432" s="4">
        <f ca="1">_xll.DBRW($B$1,$B$2,$B$7,$B$3,$B$4,$B$5,$F432,$B$6,L$10,$A432,$B432)</f>
        <v>9</v>
      </c>
      <c r="M432" s="4">
        <f ca="1">_xll.DBRW($B$1,$B$2,$B$7,$B$3,$B$4,$B$5,$F432,$B$6,M$10,$A432,$B432)</f>
        <v>8</v>
      </c>
      <c r="N432" s="4">
        <f ca="1">_xll.DBRW($B$1,$B$2,$B$7,$B$3,$B$4,$B$5,$F432,$B$6,N$10,$A432,$B432)</f>
        <v>9</v>
      </c>
      <c r="O432" s="4">
        <f ca="1">_xll.DBRW($B$1,$B$2,$B$7,$B$3,$B$4,$B$5,$F432,$B$6,O$10,$A432,$B432)</f>
        <v>9</v>
      </c>
      <c r="P432" s="4">
        <f ca="1">_xll.DBRW($B$1,$B$2,$B$7,$B$3,$B$4,$B$5,$F432,$B$6,P$10,$A432,$B432)</f>
        <v>8</v>
      </c>
      <c r="Q432" s="4">
        <f ca="1">_xll.DBRW($B$1,$B$2,$B$7,$B$3,$B$4,$B$5,$F432,$B$6,Q$10,$A432,$B432)</f>
        <v>8</v>
      </c>
      <c r="R432" s="4">
        <f ca="1">_xll.DBRW($B$1,$B$2,$B$7,$B$3,$B$4,$B$5,$F432,$B$6,R$10,$A432,$B432)</f>
        <v>0</v>
      </c>
      <c r="S432" s="4">
        <f ca="1">_xll.DBRW($B$1,$B$2,$B$7,$B$3,$B$4,$B$5,$F432,$B$6,S$10,$A432,$B432)</f>
        <v>0</v>
      </c>
      <c r="T432" s="4">
        <f ca="1">_xll.DBRW($B$1,$B$2,$B$7,$B$3,$B$4,$B$5,$F432,$B$6,T$10,$A432,$B432)</f>
        <v>0</v>
      </c>
      <c r="U432" s="4">
        <f ca="1">_xll.DBRW($B$1,$B$2,$B$7,$B$3,$B$4,$B$5,$F432,$B$6,U$10,$A432,$B432)</f>
        <v>0</v>
      </c>
      <c r="V432" s="4">
        <f ca="1">_xll.DBRW($B$1,$B$2,$B$7,$B$3,$B$4,$B$5,$F432,$B$6,V$10,$A432,$B432)</f>
        <v>0</v>
      </c>
      <c r="W432" s="4">
        <f ca="1">_xll.DBRW($B$1,$B$2,$B$7,$B$3,$B$4,$B$5,$F432,$B$6,W$10,$A432,$B432)</f>
        <v>9</v>
      </c>
      <c r="X432" s="4">
        <f ca="1">_xll.DBRW($B$1,$B$2,$B$7,$B$3,$B$4,$B$5,$F432,$B$6,X$10,$A432,$B432)</f>
        <v>9</v>
      </c>
      <c r="Y432" s="4">
        <f ca="1">_xll.DBRW($B$1,$B$2,$B$7,$B$3,$B$4,$B$5,$F432,$B$6,Y$10,$A432,$B432)</f>
        <v>8</v>
      </c>
      <c r="Z432" s="4">
        <f ca="1">_xll.DBRW($B$1,$B$2,$B$7,$B$3,$B$4,$B$5,$F432,$B$6,Z$10,$A432,$B432)</f>
        <v>9</v>
      </c>
      <c r="AA432" s="4">
        <f ca="1">_xll.DBRW($B$1,$B$2,$B$7,$B$3,$B$4,$B$5,$F432,$B$6,AA$10,$A432,$B432)</f>
        <v>9</v>
      </c>
      <c r="AB432" s="4">
        <f ca="1">_xll.DBRW($B$1,$B$2,$B$7,$B$3,$B$4,$B$5,$F432,$B$6,AB$10,$A432,$B432)</f>
        <v>9</v>
      </c>
      <c r="AC432" s="4">
        <f ca="1">_xll.DBRW($B$1,$B$2,$B$7,$B$3,$B$4,$B$5,$F432,$B$6,AC$10,$A432,$B432)</f>
        <v>7</v>
      </c>
      <c r="AD432" s="4">
        <f ca="1">_xll.DBRW($B$1,$B$2,$B$7,$B$3,$B$4,$B$5,$F432,$B$6,AD$10,$A432,$B432)</f>
        <v>0</v>
      </c>
      <c r="AE432" s="4">
        <f ca="1">_xll.DBRW($B$1,$B$2,$B$7,$B$3,$B$4,$B$5,$F432,$B$6,AE$10,$A432,$B432)</f>
        <v>0</v>
      </c>
    </row>
    <row r="433" spans="1:31">
      <c r="A433" s="1" t="s">
        <v>150</v>
      </c>
      <c r="B433" s="5" t="s">
        <v>256</v>
      </c>
      <c r="C433" s="5" t="s">
        <v>206</v>
      </c>
      <c r="D433" s="5" t="s">
        <v>21</v>
      </c>
      <c r="E433" s="5" t="s">
        <v>181</v>
      </c>
      <c r="F433" s="5" t="s">
        <v>315</v>
      </c>
      <c r="G433" s="6"/>
      <c r="H433" s="6"/>
      <c r="I433" s="6"/>
      <c r="J433" s="6"/>
      <c r="K433" s="6"/>
      <c r="L433" s="4">
        <f ca="1">_xll.DBRW($B$1,$B$2,$B$7,$B$3,$B$4,$B$5,$F433,$B$6,L$10,$A433,$B433)</f>
        <v>0</v>
      </c>
      <c r="M433" s="4">
        <f ca="1">_xll.DBRW($B$1,$B$2,$B$7,$B$3,$B$4,$B$5,$F433,$B$6,M$10,$A433,$B433)</f>
        <v>0</v>
      </c>
      <c r="N433" s="4">
        <f ca="1">_xll.DBRW($B$1,$B$2,$B$7,$B$3,$B$4,$B$5,$F433,$B$6,N$10,$A433,$B433)</f>
        <v>0</v>
      </c>
      <c r="O433" s="4">
        <f ca="1">_xll.DBRW($B$1,$B$2,$B$7,$B$3,$B$4,$B$5,$F433,$B$6,O$10,$A433,$B433)</f>
        <v>0</v>
      </c>
      <c r="P433" s="4">
        <f ca="1">_xll.DBRW($B$1,$B$2,$B$7,$B$3,$B$4,$B$5,$F433,$B$6,P$10,$A433,$B433)</f>
        <v>0</v>
      </c>
      <c r="Q433" s="4">
        <f ca="1">_xll.DBRW($B$1,$B$2,$B$7,$B$3,$B$4,$B$5,$F433,$B$6,Q$10,$A433,$B433)</f>
        <v>0</v>
      </c>
      <c r="R433" s="4">
        <f ca="1">_xll.DBRW($B$1,$B$2,$B$7,$B$3,$B$4,$B$5,$F433,$B$6,R$10,$A433,$B433)</f>
        <v>0</v>
      </c>
      <c r="S433" s="4">
        <f ca="1">_xll.DBRW($B$1,$B$2,$B$7,$B$3,$B$4,$B$5,$F433,$B$6,S$10,$A433,$B433)</f>
        <v>0</v>
      </c>
      <c r="T433" s="4">
        <f ca="1">_xll.DBRW($B$1,$B$2,$B$7,$B$3,$B$4,$B$5,$F433,$B$6,T$10,$A433,$B433)</f>
        <v>0</v>
      </c>
      <c r="U433" s="4">
        <f ca="1">_xll.DBRW($B$1,$B$2,$B$7,$B$3,$B$4,$B$5,$F433,$B$6,U$10,$A433,$B433)</f>
        <v>0</v>
      </c>
      <c r="V433" s="4">
        <f ca="1">_xll.DBRW($B$1,$B$2,$B$7,$B$3,$B$4,$B$5,$F433,$B$6,V$10,$A433,$B433)</f>
        <v>0</v>
      </c>
      <c r="W433" s="4">
        <f ca="1">_xll.DBRW($B$1,$B$2,$B$7,$B$3,$B$4,$B$5,$F433,$B$6,W$10,$A433,$B433)</f>
        <v>0</v>
      </c>
      <c r="X433" s="4">
        <f ca="1">_xll.DBRW($B$1,$B$2,$B$7,$B$3,$B$4,$B$5,$F433,$B$6,X$10,$A433,$B433)</f>
        <v>0</v>
      </c>
      <c r="Y433" s="4">
        <f ca="1">_xll.DBRW($B$1,$B$2,$B$7,$B$3,$B$4,$B$5,$F433,$B$6,Y$10,$A433,$B433)</f>
        <v>0</v>
      </c>
      <c r="Z433" s="4">
        <f ca="1">_xll.DBRW($B$1,$B$2,$B$7,$B$3,$B$4,$B$5,$F433,$B$6,Z$10,$A433,$B433)</f>
        <v>0</v>
      </c>
      <c r="AA433" s="4">
        <f ca="1">_xll.DBRW($B$1,$B$2,$B$7,$B$3,$B$4,$B$5,$F433,$B$6,AA$10,$A433,$B433)</f>
        <v>0</v>
      </c>
      <c r="AB433" s="4">
        <f ca="1">_xll.DBRW($B$1,$B$2,$B$7,$B$3,$B$4,$B$5,$F433,$B$6,AB$10,$A433,$B433)</f>
        <v>0</v>
      </c>
      <c r="AC433" s="4">
        <f ca="1">_xll.DBRW($B$1,$B$2,$B$7,$B$3,$B$4,$B$5,$F433,$B$6,AC$10,$A433,$B433)</f>
        <v>0</v>
      </c>
      <c r="AD433" s="4">
        <f ca="1">_xll.DBRW($B$1,$B$2,$B$7,$B$3,$B$4,$B$5,$F433,$B$6,AD$10,$A433,$B433)</f>
        <v>0</v>
      </c>
      <c r="AE433" s="4">
        <f ca="1">_xll.DBRW($B$1,$B$2,$B$7,$B$3,$B$4,$B$5,$F433,$B$6,AE$10,$A433,$B433)</f>
        <v>0</v>
      </c>
    </row>
    <row r="434" spans="1:31">
      <c r="A434" s="1" t="s">
        <v>150</v>
      </c>
      <c r="B434" s="5" t="s">
        <v>257</v>
      </c>
      <c r="C434" s="5" t="s">
        <v>208</v>
      </c>
      <c r="D434" s="5" t="s">
        <v>181</v>
      </c>
      <c r="E434" s="5" t="s">
        <v>21</v>
      </c>
      <c r="F434" s="5" t="s">
        <v>315</v>
      </c>
      <c r="G434" s="6"/>
      <c r="H434" s="6"/>
      <c r="I434" s="6"/>
      <c r="J434" s="6"/>
      <c r="K434" s="6"/>
      <c r="L434" s="4">
        <f ca="1">_xll.DBRW($B$1,$B$2,$B$7,$B$3,$B$4,$B$5,$F434,$B$6,L$10,$A434,$B434)</f>
        <v>0</v>
      </c>
      <c r="M434" s="4">
        <f ca="1">_xll.DBRW($B$1,$B$2,$B$7,$B$3,$B$4,$B$5,$F434,$B$6,M$10,$A434,$B434)</f>
        <v>0</v>
      </c>
      <c r="N434" s="4">
        <f ca="1">_xll.DBRW($B$1,$B$2,$B$7,$B$3,$B$4,$B$5,$F434,$B$6,N$10,$A434,$B434)</f>
        <v>0</v>
      </c>
      <c r="O434" s="4">
        <f ca="1">_xll.DBRW($B$1,$B$2,$B$7,$B$3,$B$4,$B$5,$F434,$B$6,O$10,$A434,$B434)</f>
        <v>0</v>
      </c>
      <c r="P434" s="4">
        <f ca="1">_xll.DBRW($B$1,$B$2,$B$7,$B$3,$B$4,$B$5,$F434,$B$6,P$10,$A434,$B434)</f>
        <v>0</v>
      </c>
      <c r="Q434" s="4">
        <f ca="1">_xll.DBRW($B$1,$B$2,$B$7,$B$3,$B$4,$B$5,$F434,$B$6,Q$10,$A434,$B434)</f>
        <v>0</v>
      </c>
      <c r="R434" s="4">
        <f ca="1">_xll.DBRW($B$1,$B$2,$B$7,$B$3,$B$4,$B$5,$F434,$B$6,R$10,$A434,$B434)</f>
        <v>0</v>
      </c>
      <c r="S434" s="4">
        <f ca="1">_xll.DBRW($B$1,$B$2,$B$7,$B$3,$B$4,$B$5,$F434,$B$6,S$10,$A434,$B434)</f>
        <v>0</v>
      </c>
      <c r="T434" s="4">
        <f ca="1">_xll.DBRW($B$1,$B$2,$B$7,$B$3,$B$4,$B$5,$F434,$B$6,T$10,$A434,$B434)</f>
        <v>0</v>
      </c>
      <c r="U434" s="4">
        <f ca="1">_xll.DBRW($B$1,$B$2,$B$7,$B$3,$B$4,$B$5,$F434,$B$6,U$10,$A434,$B434)</f>
        <v>0</v>
      </c>
      <c r="V434" s="4">
        <f ca="1">_xll.DBRW($B$1,$B$2,$B$7,$B$3,$B$4,$B$5,$F434,$B$6,V$10,$A434,$B434)</f>
        <v>0</v>
      </c>
      <c r="W434" s="4">
        <f ca="1">_xll.DBRW($B$1,$B$2,$B$7,$B$3,$B$4,$B$5,$F434,$B$6,W$10,$A434,$B434)</f>
        <v>0</v>
      </c>
      <c r="X434" s="4">
        <f ca="1">_xll.DBRW($B$1,$B$2,$B$7,$B$3,$B$4,$B$5,$F434,$B$6,X$10,$A434,$B434)</f>
        <v>0</v>
      </c>
      <c r="Y434" s="4">
        <f ca="1">_xll.DBRW($B$1,$B$2,$B$7,$B$3,$B$4,$B$5,$F434,$B$6,Y$10,$A434,$B434)</f>
        <v>0</v>
      </c>
      <c r="Z434" s="4">
        <f ca="1">_xll.DBRW($B$1,$B$2,$B$7,$B$3,$B$4,$B$5,$F434,$B$6,Z$10,$A434,$B434)</f>
        <v>0</v>
      </c>
      <c r="AA434" s="4">
        <f ca="1">_xll.DBRW($B$1,$B$2,$B$7,$B$3,$B$4,$B$5,$F434,$B$6,AA$10,$A434,$B434)</f>
        <v>0</v>
      </c>
      <c r="AB434" s="4">
        <f ca="1">_xll.DBRW($B$1,$B$2,$B$7,$B$3,$B$4,$B$5,$F434,$B$6,AB$10,$A434,$B434)</f>
        <v>0</v>
      </c>
      <c r="AC434" s="4">
        <f ca="1">_xll.DBRW($B$1,$B$2,$B$7,$B$3,$B$4,$B$5,$F434,$B$6,AC$10,$A434,$B434)</f>
        <v>0</v>
      </c>
      <c r="AD434" s="4">
        <f ca="1">_xll.DBRW($B$1,$B$2,$B$7,$B$3,$B$4,$B$5,$F434,$B$6,AD$10,$A434,$B434)</f>
        <v>0</v>
      </c>
      <c r="AE434" s="4">
        <f ca="1">_xll.DBRW($B$1,$B$2,$B$7,$B$3,$B$4,$B$5,$F434,$B$6,AE$10,$A434,$B434)</f>
        <v>0</v>
      </c>
    </row>
    <row r="435" spans="1:31">
      <c r="A435" s="1" t="s">
        <v>150</v>
      </c>
      <c r="B435" s="5" t="s">
        <v>258</v>
      </c>
      <c r="C435" s="5" t="s">
        <v>259</v>
      </c>
      <c r="D435" s="5" t="s">
        <v>21</v>
      </c>
      <c r="E435" s="5" t="s">
        <v>260</v>
      </c>
      <c r="F435" s="5" t="s">
        <v>315</v>
      </c>
      <c r="G435" s="6"/>
      <c r="H435" s="6"/>
      <c r="I435" s="6"/>
      <c r="J435" s="6"/>
      <c r="K435" s="6"/>
      <c r="L435" s="4">
        <f ca="1">_xll.DBRW($B$1,$B$2,$B$7,$B$3,$B$4,$B$5,$F435,$B$6,L$10,$A435,$B435)</f>
        <v>0</v>
      </c>
      <c r="M435" s="4">
        <f ca="1">_xll.DBRW($B$1,$B$2,$B$7,$B$3,$B$4,$B$5,$F435,$B$6,M$10,$A435,$B435)</f>
        <v>0</v>
      </c>
      <c r="N435" s="4">
        <f ca="1">_xll.DBRW($B$1,$B$2,$B$7,$B$3,$B$4,$B$5,$F435,$B$6,N$10,$A435,$B435)</f>
        <v>0</v>
      </c>
      <c r="O435" s="4">
        <f ca="1">_xll.DBRW($B$1,$B$2,$B$7,$B$3,$B$4,$B$5,$F435,$B$6,O$10,$A435,$B435)</f>
        <v>0</v>
      </c>
      <c r="P435" s="4">
        <f ca="1">_xll.DBRW($B$1,$B$2,$B$7,$B$3,$B$4,$B$5,$F435,$B$6,P$10,$A435,$B435)</f>
        <v>0</v>
      </c>
      <c r="Q435" s="4">
        <f ca="1">_xll.DBRW($B$1,$B$2,$B$7,$B$3,$B$4,$B$5,$F435,$B$6,Q$10,$A435,$B435)</f>
        <v>0</v>
      </c>
      <c r="R435" s="4">
        <f ca="1">_xll.DBRW($B$1,$B$2,$B$7,$B$3,$B$4,$B$5,$F435,$B$6,R$10,$A435,$B435)</f>
        <v>0</v>
      </c>
      <c r="S435" s="4">
        <f ca="1">_xll.DBRW($B$1,$B$2,$B$7,$B$3,$B$4,$B$5,$F435,$B$6,S$10,$A435,$B435)</f>
        <v>0</v>
      </c>
      <c r="T435" s="4">
        <f ca="1">_xll.DBRW($B$1,$B$2,$B$7,$B$3,$B$4,$B$5,$F435,$B$6,T$10,$A435,$B435)</f>
        <v>0</v>
      </c>
      <c r="U435" s="4">
        <f ca="1">_xll.DBRW($B$1,$B$2,$B$7,$B$3,$B$4,$B$5,$F435,$B$6,U$10,$A435,$B435)</f>
        <v>0</v>
      </c>
      <c r="V435" s="4">
        <f ca="1">_xll.DBRW($B$1,$B$2,$B$7,$B$3,$B$4,$B$5,$F435,$B$6,V$10,$A435,$B435)</f>
        <v>0</v>
      </c>
      <c r="W435" s="4">
        <f ca="1">_xll.DBRW($B$1,$B$2,$B$7,$B$3,$B$4,$B$5,$F435,$B$6,W$10,$A435,$B435)</f>
        <v>0</v>
      </c>
      <c r="X435" s="4">
        <f ca="1">_xll.DBRW($B$1,$B$2,$B$7,$B$3,$B$4,$B$5,$F435,$B$6,X$10,$A435,$B435)</f>
        <v>0</v>
      </c>
      <c r="Y435" s="4">
        <f ca="1">_xll.DBRW($B$1,$B$2,$B$7,$B$3,$B$4,$B$5,$F435,$B$6,Y$10,$A435,$B435)</f>
        <v>0</v>
      </c>
      <c r="Z435" s="4">
        <f ca="1">_xll.DBRW($B$1,$B$2,$B$7,$B$3,$B$4,$B$5,$F435,$B$6,Z$10,$A435,$B435)</f>
        <v>0</v>
      </c>
      <c r="AA435" s="4">
        <f ca="1">_xll.DBRW($B$1,$B$2,$B$7,$B$3,$B$4,$B$5,$F435,$B$6,AA$10,$A435,$B435)</f>
        <v>0</v>
      </c>
      <c r="AB435" s="4">
        <f ca="1">_xll.DBRW($B$1,$B$2,$B$7,$B$3,$B$4,$B$5,$F435,$B$6,AB$10,$A435,$B435)</f>
        <v>0</v>
      </c>
      <c r="AC435" s="4">
        <f ca="1">_xll.DBRW($B$1,$B$2,$B$7,$B$3,$B$4,$B$5,$F435,$B$6,AC$10,$A435,$B435)</f>
        <v>0</v>
      </c>
      <c r="AD435" s="4">
        <f ca="1">_xll.DBRW($B$1,$B$2,$B$7,$B$3,$B$4,$B$5,$F435,$B$6,AD$10,$A435,$B435)</f>
        <v>0</v>
      </c>
      <c r="AE435" s="4">
        <f ca="1">_xll.DBRW($B$1,$B$2,$B$7,$B$3,$B$4,$B$5,$F435,$B$6,AE$10,$A435,$B435)</f>
        <v>0</v>
      </c>
    </row>
    <row r="436" spans="1:31">
      <c r="A436" s="1" t="s">
        <v>150</v>
      </c>
      <c r="B436" s="5" t="s">
        <v>261</v>
      </c>
      <c r="C436" s="5" t="s">
        <v>262</v>
      </c>
      <c r="D436" s="5" t="s">
        <v>260</v>
      </c>
      <c r="E436" s="5" t="s">
        <v>21</v>
      </c>
      <c r="F436" s="5" t="s">
        <v>315</v>
      </c>
      <c r="G436" s="6"/>
      <c r="H436" s="6"/>
      <c r="I436" s="6"/>
      <c r="J436" s="6"/>
      <c r="K436" s="6"/>
      <c r="L436" s="4">
        <f ca="1">_xll.DBRW($B$1,$B$2,$B$7,$B$3,$B$4,$B$5,$F436,$B$6,L$10,$A436,$B436)</f>
        <v>0</v>
      </c>
      <c r="M436" s="4">
        <f ca="1">_xll.DBRW($B$1,$B$2,$B$7,$B$3,$B$4,$B$5,$F436,$B$6,M$10,$A436,$B436)</f>
        <v>0</v>
      </c>
      <c r="N436" s="4">
        <f ca="1">_xll.DBRW($B$1,$B$2,$B$7,$B$3,$B$4,$B$5,$F436,$B$6,N$10,$A436,$B436)</f>
        <v>0</v>
      </c>
      <c r="O436" s="4">
        <f ca="1">_xll.DBRW($B$1,$B$2,$B$7,$B$3,$B$4,$B$5,$F436,$B$6,O$10,$A436,$B436)</f>
        <v>0</v>
      </c>
      <c r="P436" s="4">
        <f ca="1">_xll.DBRW($B$1,$B$2,$B$7,$B$3,$B$4,$B$5,$F436,$B$6,P$10,$A436,$B436)</f>
        <v>0</v>
      </c>
      <c r="Q436" s="4">
        <f ca="1">_xll.DBRW($B$1,$B$2,$B$7,$B$3,$B$4,$B$5,$F436,$B$6,Q$10,$A436,$B436)</f>
        <v>0</v>
      </c>
      <c r="R436" s="4">
        <f ca="1">_xll.DBRW($B$1,$B$2,$B$7,$B$3,$B$4,$B$5,$F436,$B$6,R$10,$A436,$B436)</f>
        <v>0</v>
      </c>
      <c r="S436" s="4">
        <f ca="1">_xll.DBRW($B$1,$B$2,$B$7,$B$3,$B$4,$B$5,$F436,$B$6,S$10,$A436,$B436)</f>
        <v>0</v>
      </c>
      <c r="T436" s="4">
        <f ca="1">_xll.DBRW($B$1,$B$2,$B$7,$B$3,$B$4,$B$5,$F436,$B$6,T$10,$A436,$B436)</f>
        <v>0</v>
      </c>
      <c r="U436" s="4">
        <f ca="1">_xll.DBRW($B$1,$B$2,$B$7,$B$3,$B$4,$B$5,$F436,$B$6,U$10,$A436,$B436)</f>
        <v>0</v>
      </c>
      <c r="V436" s="4">
        <f ca="1">_xll.DBRW($B$1,$B$2,$B$7,$B$3,$B$4,$B$5,$F436,$B$6,V$10,$A436,$B436)</f>
        <v>0</v>
      </c>
      <c r="W436" s="4">
        <f ca="1">_xll.DBRW($B$1,$B$2,$B$7,$B$3,$B$4,$B$5,$F436,$B$6,W$10,$A436,$B436)</f>
        <v>0</v>
      </c>
      <c r="X436" s="4">
        <f ca="1">_xll.DBRW($B$1,$B$2,$B$7,$B$3,$B$4,$B$5,$F436,$B$6,X$10,$A436,$B436)</f>
        <v>0</v>
      </c>
      <c r="Y436" s="4">
        <f ca="1">_xll.DBRW($B$1,$B$2,$B$7,$B$3,$B$4,$B$5,$F436,$B$6,Y$10,$A436,$B436)</f>
        <v>0</v>
      </c>
      <c r="Z436" s="4">
        <f ca="1">_xll.DBRW($B$1,$B$2,$B$7,$B$3,$B$4,$B$5,$F436,$B$6,Z$10,$A436,$B436)</f>
        <v>0</v>
      </c>
      <c r="AA436" s="4">
        <f ca="1">_xll.DBRW($B$1,$B$2,$B$7,$B$3,$B$4,$B$5,$F436,$B$6,AA$10,$A436,$B436)</f>
        <v>0</v>
      </c>
      <c r="AB436" s="4">
        <f ca="1">_xll.DBRW($B$1,$B$2,$B$7,$B$3,$B$4,$B$5,$F436,$B$6,AB$10,$A436,$B436)</f>
        <v>0</v>
      </c>
      <c r="AC436" s="4">
        <f ca="1">_xll.DBRW($B$1,$B$2,$B$7,$B$3,$B$4,$B$5,$F436,$B$6,AC$10,$A436,$B436)</f>
        <v>0</v>
      </c>
      <c r="AD436" s="4">
        <f ca="1">_xll.DBRW($B$1,$B$2,$B$7,$B$3,$B$4,$B$5,$F436,$B$6,AD$10,$A436,$B436)</f>
        <v>0</v>
      </c>
      <c r="AE436" s="4">
        <f ca="1">_xll.DBRW($B$1,$B$2,$B$7,$B$3,$B$4,$B$5,$F436,$B$6,AE$10,$A436,$B436)</f>
        <v>0</v>
      </c>
    </row>
    <row r="437" spans="1:31">
      <c r="A437" s="1" t="s">
        <v>150</v>
      </c>
      <c r="B437" s="5" t="s">
        <v>263</v>
      </c>
      <c r="C437" s="5" t="s">
        <v>264</v>
      </c>
      <c r="D437" s="5" t="s">
        <v>21</v>
      </c>
      <c r="E437" s="5" t="s">
        <v>265</v>
      </c>
      <c r="F437" s="5" t="s">
        <v>315</v>
      </c>
      <c r="G437" s="6"/>
      <c r="H437" s="6"/>
      <c r="I437" s="6"/>
      <c r="J437" s="6"/>
      <c r="K437" s="6"/>
      <c r="L437" s="4">
        <f ca="1">_xll.DBRW($B$1,$B$2,$B$7,$B$3,$B$4,$B$5,$F437,$B$6,L$10,$A437,$B437)</f>
        <v>0</v>
      </c>
      <c r="M437" s="4">
        <f ca="1">_xll.DBRW($B$1,$B$2,$B$7,$B$3,$B$4,$B$5,$F437,$B$6,M$10,$A437,$B437)</f>
        <v>0</v>
      </c>
      <c r="N437" s="4">
        <f ca="1">_xll.DBRW($B$1,$B$2,$B$7,$B$3,$B$4,$B$5,$F437,$B$6,N$10,$A437,$B437)</f>
        <v>0</v>
      </c>
      <c r="O437" s="4">
        <f ca="1">_xll.DBRW($B$1,$B$2,$B$7,$B$3,$B$4,$B$5,$F437,$B$6,O$10,$A437,$B437)</f>
        <v>0</v>
      </c>
      <c r="P437" s="4">
        <f ca="1">_xll.DBRW($B$1,$B$2,$B$7,$B$3,$B$4,$B$5,$F437,$B$6,P$10,$A437,$B437)</f>
        <v>0</v>
      </c>
      <c r="Q437" s="4">
        <f ca="1">_xll.DBRW($B$1,$B$2,$B$7,$B$3,$B$4,$B$5,$F437,$B$6,Q$10,$A437,$B437)</f>
        <v>4</v>
      </c>
      <c r="R437" s="4">
        <f ca="1">_xll.DBRW($B$1,$B$2,$B$7,$B$3,$B$4,$B$5,$F437,$B$6,R$10,$A437,$B437)</f>
        <v>26</v>
      </c>
      <c r="S437" s="4">
        <f ca="1">_xll.DBRW($B$1,$B$2,$B$7,$B$3,$B$4,$B$5,$F437,$B$6,S$10,$A437,$B437)</f>
        <v>26</v>
      </c>
      <c r="T437" s="4">
        <f ca="1">_xll.DBRW($B$1,$B$2,$B$7,$B$3,$B$4,$B$5,$F437,$B$6,T$10,$A437,$B437)</f>
        <v>27</v>
      </c>
      <c r="U437" s="4">
        <f ca="1">_xll.DBRW($B$1,$B$2,$B$7,$B$3,$B$4,$B$5,$F437,$B$6,U$10,$A437,$B437)</f>
        <v>24</v>
      </c>
      <c r="V437" s="4">
        <f ca="1">_xll.DBRW($B$1,$B$2,$B$7,$B$3,$B$4,$B$5,$F437,$B$6,V$10,$A437,$B437)</f>
        <v>25</v>
      </c>
      <c r="W437" s="4">
        <f ca="1">_xll.DBRW($B$1,$B$2,$B$7,$B$3,$B$4,$B$5,$F437,$B$6,W$10,$A437,$B437)</f>
        <v>0</v>
      </c>
      <c r="X437" s="4">
        <f ca="1">_xll.DBRW($B$1,$B$2,$B$7,$B$3,$B$4,$B$5,$F437,$B$6,X$10,$A437,$B437)</f>
        <v>0</v>
      </c>
      <c r="Y437" s="4">
        <f ca="1">_xll.DBRW($B$1,$B$2,$B$7,$B$3,$B$4,$B$5,$F437,$B$6,Y$10,$A437,$B437)</f>
        <v>0</v>
      </c>
      <c r="Z437" s="4">
        <f ca="1">_xll.DBRW($B$1,$B$2,$B$7,$B$3,$B$4,$B$5,$F437,$B$6,Z$10,$A437,$B437)</f>
        <v>0</v>
      </c>
      <c r="AA437" s="4">
        <f ca="1">_xll.DBRW($B$1,$B$2,$B$7,$B$3,$B$4,$B$5,$F437,$B$6,AA$10,$A437,$B437)</f>
        <v>0</v>
      </c>
      <c r="AB437" s="4">
        <f ca="1">_xll.DBRW($B$1,$B$2,$B$7,$B$3,$B$4,$B$5,$F437,$B$6,AB$10,$A437,$B437)</f>
        <v>0</v>
      </c>
      <c r="AC437" s="4">
        <f ca="1">_xll.DBRW($B$1,$B$2,$B$7,$B$3,$B$4,$B$5,$F437,$B$6,AC$10,$A437,$B437)</f>
        <v>5</v>
      </c>
      <c r="AD437" s="4">
        <f ca="1">_xll.DBRW($B$1,$B$2,$B$7,$B$3,$B$4,$B$5,$F437,$B$6,AD$10,$A437,$B437)</f>
        <v>26</v>
      </c>
      <c r="AE437" s="4">
        <f ca="1">_xll.DBRW($B$1,$B$2,$B$7,$B$3,$B$4,$B$5,$F437,$B$6,AE$10,$A437,$B437)</f>
        <v>26</v>
      </c>
    </row>
    <row r="438" spans="1:31">
      <c r="A438" s="1" t="s">
        <v>150</v>
      </c>
      <c r="B438" s="5" t="s">
        <v>266</v>
      </c>
      <c r="C438" s="5" t="s">
        <v>267</v>
      </c>
      <c r="D438" s="5" t="s">
        <v>265</v>
      </c>
      <c r="E438" s="5" t="s">
        <v>21</v>
      </c>
      <c r="F438" s="5" t="s">
        <v>315</v>
      </c>
      <c r="G438" s="6"/>
      <c r="H438" s="6"/>
      <c r="I438" s="6"/>
      <c r="J438" s="6"/>
      <c r="K438" s="6"/>
      <c r="L438" s="4">
        <f ca="1">_xll.DBRW($B$1,$B$2,$B$7,$B$3,$B$4,$B$5,$F438,$B$6,L$10,$A438,$B438)</f>
        <v>0</v>
      </c>
      <c r="M438" s="4">
        <f ca="1">_xll.DBRW($B$1,$B$2,$B$7,$B$3,$B$4,$B$5,$F438,$B$6,M$10,$A438,$B438)</f>
        <v>0</v>
      </c>
      <c r="N438" s="4">
        <f ca="1">_xll.DBRW($B$1,$B$2,$B$7,$B$3,$B$4,$B$5,$F438,$B$6,N$10,$A438,$B438)</f>
        <v>0</v>
      </c>
      <c r="O438" s="4">
        <f ca="1">_xll.DBRW($B$1,$B$2,$B$7,$B$3,$B$4,$B$5,$F438,$B$6,O$10,$A438,$B438)</f>
        <v>0</v>
      </c>
      <c r="P438" s="4">
        <f ca="1">_xll.DBRW($B$1,$B$2,$B$7,$B$3,$B$4,$B$5,$F438,$B$6,P$10,$A438,$B438)</f>
        <v>0</v>
      </c>
      <c r="Q438" s="4">
        <f ca="1">_xll.DBRW($B$1,$B$2,$B$7,$B$3,$B$4,$B$5,$F438,$B$6,Q$10,$A438,$B438)</f>
        <v>4</v>
      </c>
      <c r="R438" s="4">
        <f ca="1">_xll.DBRW($B$1,$B$2,$B$7,$B$3,$B$4,$B$5,$F438,$B$6,R$10,$A438,$B438)</f>
        <v>26</v>
      </c>
      <c r="S438" s="4">
        <f ca="1">_xll.DBRW($B$1,$B$2,$B$7,$B$3,$B$4,$B$5,$F438,$B$6,S$10,$A438,$B438)</f>
        <v>26</v>
      </c>
      <c r="T438" s="4">
        <f ca="1">_xll.DBRW($B$1,$B$2,$B$7,$B$3,$B$4,$B$5,$F438,$B$6,T$10,$A438,$B438)</f>
        <v>27</v>
      </c>
      <c r="U438" s="4">
        <f ca="1">_xll.DBRW($B$1,$B$2,$B$7,$B$3,$B$4,$B$5,$F438,$B$6,U$10,$A438,$B438)</f>
        <v>24</v>
      </c>
      <c r="V438" s="4">
        <f ca="1">_xll.DBRW($B$1,$B$2,$B$7,$B$3,$B$4,$B$5,$F438,$B$6,V$10,$A438,$B438)</f>
        <v>25</v>
      </c>
      <c r="W438" s="4">
        <f ca="1">_xll.DBRW($B$1,$B$2,$B$7,$B$3,$B$4,$B$5,$F438,$B$6,W$10,$A438,$B438)</f>
        <v>0</v>
      </c>
      <c r="X438" s="4">
        <f ca="1">_xll.DBRW($B$1,$B$2,$B$7,$B$3,$B$4,$B$5,$F438,$B$6,X$10,$A438,$B438)</f>
        <v>0</v>
      </c>
      <c r="Y438" s="4">
        <f ca="1">_xll.DBRW($B$1,$B$2,$B$7,$B$3,$B$4,$B$5,$F438,$B$6,Y$10,$A438,$B438)</f>
        <v>0</v>
      </c>
      <c r="Z438" s="4">
        <f ca="1">_xll.DBRW($B$1,$B$2,$B$7,$B$3,$B$4,$B$5,$F438,$B$6,Z$10,$A438,$B438)</f>
        <v>0</v>
      </c>
      <c r="AA438" s="4">
        <f ca="1">_xll.DBRW($B$1,$B$2,$B$7,$B$3,$B$4,$B$5,$F438,$B$6,AA$10,$A438,$B438)</f>
        <v>0</v>
      </c>
      <c r="AB438" s="4">
        <f ca="1">_xll.DBRW($B$1,$B$2,$B$7,$B$3,$B$4,$B$5,$F438,$B$6,AB$10,$A438,$B438)</f>
        <v>0</v>
      </c>
      <c r="AC438" s="4">
        <f ca="1">_xll.DBRW($B$1,$B$2,$B$7,$B$3,$B$4,$B$5,$F438,$B$6,AC$10,$A438,$B438)</f>
        <v>5</v>
      </c>
      <c r="AD438" s="4">
        <f ca="1">_xll.DBRW($B$1,$B$2,$B$7,$B$3,$B$4,$B$5,$F438,$B$6,AD$10,$A438,$B438)</f>
        <v>26</v>
      </c>
      <c r="AE438" s="4">
        <f ca="1">_xll.DBRW($B$1,$B$2,$B$7,$B$3,$B$4,$B$5,$F438,$B$6,AE$10,$A438,$B438)</f>
        <v>26</v>
      </c>
    </row>
    <row r="439" spans="1:31">
      <c r="A439" s="1" t="s">
        <v>150</v>
      </c>
      <c r="B439" s="5" t="s">
        <v>268</v>
      </c>
      <c r="C439" s="5" t="s">
        <v>264</v>
      </c>
      <c r="D439" s="5" t="s">
        <v>21</v>
      </c>
      <c r="E439" s="5" t="s">
        <v>265</v>
      </c>
      <c r="F439" s="5" t="s">
        <v>315</v>
      </c>
      <c r="G439" s="6"/>
      <c r="H439" s="6"/>
      <c r="I439" s="6"/>
      <c r="J439" s="6"/>
      <c r="K439" s="6"/>
      <c r="L439" s="4">
        <f ca="1">_xll.DBRW($B$1,$B$2,$B$7,$B$3,$B$4,$B$5,$F439,$B$6,L$10,$A439,$B439)</f>
        <v>31</v>
      </c>
      <c r="M439" s="4">
        <f ca="1">_xll.DBRW($B$1,$B$2,$B$7,$B$3,$B$4,$B$5,$F439,$B$6,M$10,$A439,$B439)</f>
        <v>30</v>
      </c>
      <c r="N439" s="4">
        <f ca="1">_xll.DBRW($B$1,$B$2,$B$7,$B$3,$B$4,$B$5,$F439,$B$6,N$10,$A439,$B439)</f>
        <v>31</v>
      </c>
      <c r="O439" s="4">
        <f ca="1">_xll.DBRW($B$1,$B$2,$B$7,$B$3,$B$4,$B$5,$F439,$B$6,O$10,$A439,$B439)</f>
        <v>31</v>
      </c>
      <c r="P439" s="4">
        <f ca="1">_xll.DBRW($B$1,$B$2,$B$7,$B$3,$B$4,$B$5,$F439,$B$6,P$10,$A439,$B439)</f>
        <v>30</v>
      </c>
      <c r="Q439" s="4">
        <f ca="1">_xll.DBRW($B$1,$B$2,$B$7,$B$3,$B$4,$B$5,$F439,$B$6,Q$10,$A439,$B439)</f>
        <v>30</v>
      </c>
      <c r="R439" s="4">
        <f ca="1">_xll.DBRW($B$1,$B$2,$B$7,$B$3,$B$4,$B$5,$F439,$B$6,R$10,$A439,$B439)</f>
        <v>30</v>
      </c>
      <c r="S439" s="4">
        <f ca="1">_xll.DBRW($B$1,$B$2,$B$7,$B$3,$B$4,$B$5,$F439,$B$6,S$10,$A439,$B439)</f>
        <v>31</v>
      </c>
      <c r="T439" s="4">
        <f ca="1">_xll.DBRW($B$1,$B$2,$B$7,$B$3,$B$4,$B$5,$F439,$B$6,T$10,$A439,$B439)</f>
        <v>0</v>
      </c>
      <c r="U439" s="4">
        <f ca="1">_xll.DBRW($B$1,$B$2,$B$7,$B$3,$B$4,$B$5,$F439,$B$6,U$10,$A439,$B439)</f>
        <v>0</v>
      </c>
      <c r="V439" s="4">
        <f ca="1">_xll.DBRW($B$1,$B$2,$B$7,$B$3,$B$4,$B$5,$F439,$B$6,V$10,$A439,$B439)</f>
        <v>2</v>
      </c>
      <c r="W439" s="4">
        <f ca="1">_xll.DBRW($B$1,$B$2,$B$7,$B$3,$B$4,$B$5,$F439,$B$6,W$10,$A439,$B439)</f>
        <v>30</v>
      </c>
      <c r="X439" s="4">
        <f ca="1">_xll.DBRW($B$1,$B$2,$B$7,$B$3,$B$4,$B$5,$F439,$B$6,X$10,$A439,$B439)</f>
        <v>31</v>
      </c>
      <c r="Y439" s="4">
        <f ca="1">_xll.DBRW($B$1,$B$2,$B$7,$B$3,$B$4,$B$5,$F439,$B$6,Y$10,$A439,$B439)</f>
        <v>30</v>
      </c>
      <c r="Z439" s="4">
        <f ca="1">_xll.DBRW($B$1,$B$2,$B$7,$B$3,$B$4,$B$5,$F439,$B$6,Z$10,$A439,$B439)</f>
        <v>31</v>
      </c>
      <c r="AA439" s="4">
        <f ca="1">_xll.DBRW($B$1,$B$2,$B$7,$B$3,$B$4,$B$5,$F439,$B$6,AA$10,$A439,$B439)</f>
        <v>31</v>
      </c>
      <c r="AB439" s="4">
        <f ca="1">_xll.DBRW($B$1,$B$2,$B$7,$B$3,$B$4,$B$5,$F439,$B$6,AB$10,$A439,$B439)</f>
        <v>30</v>
      </c>
      <c r="AC439" s="4">
        <f ca="1">_xll.DBRW($B$1,$B$2,$B$7,$B$3,$B$4,$B$5,$F439,$B$6,AC$10,$A439,$B439)</f>
        <v>25</v>
      </c>
      <c r="AD439" s="4">
        <f ca="1">_xll.DBRW($B$1,$B$2,$B$7,$B$3,$B$4,$B$5,$F439,$B$6,AD$10,$A439,$B439)</f>
        <v>0</v>
      </c>
      <c r="AE439" s="4">
        <f ca="1">_xll.DBRW($B$1,$B$2,$B$7,$B$3,$B$4,$B$5,$F439,$B$6,AE$10,$A439,$B439)</f>
        <v>0</v>
      </c>
    </row>
    <row r="440" spans="1:31">
      <c r="A440" s="1" t="s">
        <v>150</v>
      </c>
      <c r="B440" s="5" t="s">
        <v>269</v>
      </c>
      <c r="C440" s="5" t="s">
        <v>267</v>
      </c>
      <c r="D440" s="5" t="s">
        <v>265</v>
      </c>
      <c r="E440" s="5" t="s">
        <v>21</v>
      </c>
      <c r="F440" s="5" t="s">
        <v>315</v>
      </c>
      <c r="G440" s="6"/>
      <c r="H440" s="6"/>
      <c r="I440" s="6"/>
      <c r="J440" s="6"/>
      <c r="K440" s="6"/>
      <c r="L440" s="4">
        <f ca="1">_xll.DBRW($B$1,$B$2,$B$7,$B$3,$B$4,$B$5,$F440,$B$6,L$10,$A440,$B440)</f>
        <v>31</v>
      </c>
      <c r="M440" s="4">
        <f ca="1">_xll.DBRW($B$1,$B$2,$B$7,$B$3,$B$4,$B$5,$F440,$B$6,M$10,$A440,$B440)</f>
        <v>30</v>
      </c>
      <c r="N440" s="4">
        <f ca="1">_xll.DBRW($B$1,$B$2,$B$7,$B$3,$B$4,$B$5,$F440,$B$6,N$10,$A440,$B440)</f>
        <v>31</v>
      </c>
      <c r="O440" s="4">
        <f ca="1">_xll.DBRW($B$1,$B$2,$B$7,$B$3,$B$4,$B$5,$F440,$B$6,O$10,$A440,$B440)</f>
        <v>31</v>
      </c>
      <c r="P440" s="4">
        <f ca="1">_xll.DBRW($B$1,$B$2,$B$7,$B$3,$B$4,$B$5,$F440,$B$6,P$10,$A440,$B440)</f>
        <v>30</v>
      </c>
      <c r="Q440" s="4">
        <f ca="1">_xll.DBRW($B$1,$B$2,$B$7,$B$3,$B$4,$B$5,$F440,$B$6,Q$10,$A440,$B440)</f>
        <v>30</v>
      </c>
      <c r="R440" s="4">
        <f ca="1">_xll.DBRW($B$1,$B$2,$B$7,$B$3,$B$4,$B$5,$F440,$B$6,R$10,$A440,$B440)</f>
        <v>30</v>
      </c>
      <c r="S440" s="4">
        <f ca="1">_xll.DBRW($B$1,$B$2,$B$7,$B$3,$B$4,$B$5,$F440,$B$6,S$10,$A440,$B440)</f>
        <v>31</v>
      </c>
      <c r="T440" s="4">
        <f ca="1">_xll.DBRW($B$1,$B$2,$B$7,$B$3,$B$4,$B$5,$F440,$B$6,T$10,$A440,$B440)</f>
        <v>0</v>
      </c>
      <c r="U440" s="4">
        <f ca="1">_xll.DBRW($B$1,$B$2,$B$7,$B$3,$B$4,$B$5,$F440,$B$6,U$10,$A440,$B440)</f>
        <v>0</v>
      </c>
      <c r="V440" s="4">
        <f ca="1">_xll.DBRW($B$1,$B$2,$B$7,$B$3,$B$4,$B$5,$F440,$B$6,V$10,$A440,$B440)</f>
        <v>2</v>
      </c>
      <c r="W440" s="4">
        <f ca="1">_xll.DBRW($B$1,$B$2,$B$7,$B$3,$B$4,$B$5,$F440,$B$6,W$10,$A440,$B440)</f>
        <v>30</v>
      </c>
      <c r="X440" s="4">
        <f ca="1">_xll.DBRW($B$1,$B$2,$B$7,$B$3,$B$4,$B$5,$F440,$B$6,X$10,$A440,$B440)</f>
        <v>31</v>
      </c>
      <c r="Y440" s="4">
        <f ca="1">_xll.DBRW($B$1,$B$2,$B$7,$B$3,$B$4,$B$5,$F440,$B$6,Y$10,$A440,$B440)</f>
        <v>30</v>
      </c>
      <c r="Z440" s="4">
        <f ca="1">_xll.DBRW($B$1,$B$2,$B$7,$B$3,$B$4,$B$5,$F440,$B$6,Z$10,$A440,$B440)</f>
        <v>31</v>
      </c>
      <c r="AA440" s="4">
        <f ca="1">_xll.DBRW($B$1,$B$2,$B$7,$B$3,$B$4,$B$5,$F440,$B$6,AA$10,$A440,$B440)</f>
        <v>31</v>
      </c>
      <c r="AB440" s="4">
        <f ca="1">_xll.DBRW($B$1,$B$2,$B$7,$B$3,$B$4,$B$5,$F440,$B$6,AB$10,$A440,$B440)</f>
        <v>30</v>
      </c>
      <c r="AC440" s="4">
        <f ca="1">_xll.DBRW($B$1,$B$2,$B$7,$B$3,$B$4,$B$5,$F440,$B$6,AC$10,$A440,$B440)</f>
        <v>25</v>
      </c>
      <c r="AD440" s="4">
        <f ca="1">_xll.DBRW($B$1,$B$2,$B$7,$B$3,$B$4,$B$5,$F440,$B$6,AD$10,$A440,$B440)</f>
        <v>0</v>
      </c>
      <c r="AE440" s="4">
        <f ca="1">_xll.DBRW($B$1,$B$2,$B$7,$B$3,$B$4,$B$5,$F440,$B$6,AE$10,$A440,$B440)</f>
        <v>0</v>
      </c>
    </row>
    <row r="441" spans="1:31">
      <c r="A441" s="1" t="s">
        <v>150</v>
      </c>
      <c r="B441" s="5" t="s">
        <v>270</v>
      </c>
      <c r="C441" s="5" t="s">
        <v>271</v>
      </c>
      <c r="D441" s="5" t="s">
        <v>21</v>
      </c>
      <c r="E441" s="5" t="s">
        <v>272</v>
      </c>
      <c r="F441" s="5" t="s">
        <v>315</v>
      </c>
      <c r="G441" s="6"/>
      <c r="H441" s="6"/>
      <c r="I441" s="6"/>
      <c r="J441" s="6"/>
      <c r="K441" s="6"/>
      <c r="L441" s="4">
        <f ca="1">_xll.DBRW($B$1,$B$2,$B$7,$B$3,$B$4,$B$5,$F441,$B$6,L$10,$A441,$B441)</f>
        <v>0</v>
      </c>
      <c r="M441" s="4">
        <f ca="1">_xll.DBRW($B$1,$B$2,$B$7,$B$3,$B$4,$B$5,$F441,$B$6,M$10,$A441,$B441)</f>
        <v>0</v>
      </c>
      <c r="N441" s="4">
        <f ca="1">_xll.DBRW($B$1,$B$2,$B$7,$B$3,$B$4,$B$5,$F441,$B$6,N$10,$A441,$B441)</f>
        <v>0</v>
      </c>
      <c r="O441" s="4">
        <f ca="1">_xll.DBRW($B$1,$B$2,$B$7,$B$3,$B$4,$B$5,$F441,$B$6,O$10,$A441,$B441)</f>
        <v>0</v>
      </c>
      <c r="P441" s="4">
        <f ca="1">_xll.DBRW($B$1,$B$2,$B$7,$B$3,$B$4,$B$5,$F441,$B$6,P$10,$A441,$B441)</f>
        <v>0</v>
      </c>
      <c r="Q441" s="4">
        <f ca="1">_xll.DBRW($B$1,$B$2,$B$7,$B$3,$B$4,$B$5,$F441,$B$6,Q$10,$A441,$B441)</f>
        <v>0</v>
      </c>
      <c r="R441" s="4">
        <f ca="1">_xll.DBRW($B$1,$B$2,$B$7,$B$3,$B$4,$B$5,$F441,$B$6,R$10,$A441,$B441)</f>
        <v>0</v>
      </c>
      <c r="S441" s="4">
        <f ca="1">_xll.DBRW($B$1,$B$2,$B$7,$B$3,$B$4,$B$5,$F441,$B$6,S$10,$A441,$B441)</f>
        <v>0</v>
      </c>
      <c r="T441" s="4">
        <f ca="1">_xll.DBRW($B$1,$B$2,$B$7,$B$3,$B$4,$B$5,$F441,$B$6,T$10,$A441,$B441)</f>
        <v>0</v>
      </c>
      <c r="U441" s="4">
        <f ca="1">_xll.DBRW($B$1,$B$2,$B$7,$B$3,$B$4,$B$5,$F441,$B$6,U$10,$A441,$B441)</f>
        <v>0</v>
      </c>
      <c r="V441" s="4">
        <f ca="1">_xll.DBRW($B$1,$B$2,$B$7,$B$3,$B$4,$B$5,$F441,$B$6,V$10,$A441,$B441)</f>
        <v>0</v>
      </c>
      <c r="W441" s="4">
        <f ca="1">_xll.DBRW($B$1,$B$2,$B$7,$B$3,$B$4,$B$5,$F441,$B$6,W$10,$A441,$B441)</f>
        <v>0</v>
      </c>
      <c r="X441" s="4">
        <f ca="1">_xll.DBRW($B$1,$B$2,$B$7,$B$3,$B$4,$B$5,$F441,$B$6,X$10,$A441,$B441)</f>
        <v>0</v>
      </c>
      <c r="Y441" s="4">
        <f ca="1">_xll.DBRW($B$1,$B$2,$B$7,$B$3,$B$4,$B$5,$F441,$B$6,Y$10,$A441,$B441)</f>
        <v>0</v>
      </c>
      <c r="Z441" s="4">
        <f ca="1">_xll.DBRW($B$1,$B$2,$B$7,$B$3,$B$4,$B$5,$F441,$B$6,Z$10,$A441,$B441)</f>
        <v>0</v>
      </c>
      <c r="AA441" s="4">
        <f ca="1">_xll.DBRW($B$1,$B$2,$B$7,$B$3,$B$4,$B$5,$F441,$B$6,AA$10,$A441,$B441)</f>
        <v>0</v>
      </c>
      <c r="AB441" s="4">
        <f ca="1">_xll.DBRW($B$1,$B$2,$B$7,$B$3,$B$4,$B$5,$F441,$B$6,AB$10,$A441,$B441)</f>
        <v>0</v>
      </c>
      <c r="AC441" s="4">
        <f ca="1">_xll.DBRW($B$1,$B$2,$B$7,$B$3,$B$4,$B$5,$F441,$B$6,AC$10,$A441,$B441)</f>
        <v>0</v>
      </c>
      <c r="AD441" s="4">
        <f ca="1">_xll.DBRW($B$1,$B$2,$B$7,$B$3,$B$4,$B$5,$F441,$B$6,AD$10,$A441,$B441)</f>
        <v>0</v>
      </c>
      <c r="AE441" s="4">
        <f ca="1">_xll.DBRW($B$1,$B$2,$B$7,$B$3,$B$4,$B$5,$F441,$B$6,AE$10,$A441,$B441)</f>
        <v>0</v>
      </c>
    </row>
    <row r="442" spans="1:31">
      <c r="A442" s="1" t="s">
        <v>150</v>
      </c>
      <c r="B442" s="5" t="s">
        <v>273</v>
      </c>
      <c r="C442" s="5" t="s">
        <v>274</v>
      </c>
      <c r="D442" s="5" t="s">
        <v>272</v>
      </c>
      <c r="E442" s="5" t="s">
        <v>21</v>
      </c>
      <c r="F442" s="5" t="s">
        <v>315</v>
      </c>
      <c r="G442" s="6"/>
      <c r="H442" s="6"/>
      <c r="I442" s="6"/>
      <c r="J442" s="6"/>
      <c r="K442" s="6"/>
      <c r="L442" s="4">
        <f ca="1">_xll.DBRW($B$1,$B$2,$B$7,$B$3,$B$4,$B$5,$F442,$B$6,L$10,$A442,$B442)</f>
        <v>0</v>
      </c>
      <c r="M442" s="4">
        <f ca="1">_xll.DBRW($B$1,$B$2,$B$7,$B$3,$B$4,$B$5,$F442,$B$6,M$10,$A442,$B442)</f>
        <v>0</v>
      </c>
      <c r="N442" s="4">
        <f ca="1">_xll.DBRW($B$1,$B$2,$B$7,$B$3,$B$4,$B$5,$F442,$B$6,N$10,$A442,$B442)</f>
        <v>0</v>
      </c>
      <c r="O442" s="4">
        <f ca="1">_xll.DBRW($B$1,$B$2,$B$7,$B$3,$B$4,$B$5,$F442,$B$6,O$10,$A442,$B442)</f>
        <v>0</v>
      </c>
      <c r="P442" s="4">
        <f ca="1">_xll.DBRW($B$1,$B$2,$B$7,$B$3,$B$4,$B$5,$F442,$B$6,P$10,$A442,$B442)</f>
        <v>0</v>
      </c>
      <c r="Q442" s="4">
        <f ca="1">_xll.DBRW($B$1,$B$2,$B$7,$B$3,$B$4,$B$5,$F442,$B$6,Q$10,$A442,$B442)</f>
        <v>0</v>
      </c>
      <c r="R442" s="4">
        <f ca="1">_xll.DBRW($B$1,$B$2,$B$7,$B$3,$B$4,$B$5,$F442,$B$6,R$10,$A442,$B442)</f>
        <v>0</v>
      </c>
      <c r="S442" s="4">
        <f ca="1">_xll.DBRW($B$1,$B$2,$B$7,$B$3,$B$4,$B$5,$F442,$B$6,S$10,$A442,$B442)</f>
        <v>0</v>
      </c>
      <c r="T442" s="4">
        <f ca="1">_xll.DBRW($B$1,$B$2,$B$7,$B$3,$B$4,$B$5,$F442,$B$6,T$10,$A442,$B442)</f>
        <v>0</v>
      </c>
      <c r="U442" s="4">
        <f ca="1">_xll.DBRW($B$1,$B$2,$B$7,$B$3,$B$4,$B$5,$F442,$B$6,U$10,$A442,$B442)</f>
        <v>0</v>
      </c>
      <c r="V442" s="4">
        <f ca="1">_xll.DBRW($B$1,$B$2,$B$7,$B$3,$B$4,$B$5,$F442,$B$6,V$10,$A442,$B442)</f>
        <v>0</v>
      </c>
      <c r="W442" s="4">
        <f ca="1">_xll.DBRW($B$1,$B$2,$B$7,$B$3,$B$4,$B$5,$F442,$B$6,W$10,$A442,$B442)</f>
        <v>0</v>
      </c>
      <c r="X442" s="4">
        <f ca="1">_xll.DBRW($B$1,$B$2,$B$7,$B$3,$B$4,$B$5,$F442,$B$6,X$10,$A442,$B442)</f>
        <v>0</v>
      </c>
      <c r="Y442" s="4">
        <f ca="1">_xll.DBRW($B$1,$B$2,$B$7,$B$3,$B$4,$B$5,$F442,$B$6,Y$10,$A442,$B442)</f>
        <v>0</v>
      </c>
      <c r="Z442" s="4">
        <f ca="1">_xll.DBRW($B$1,$B$2,$B$7,$B$3,$B$4,$B$5,$F442,$B$6,Z$10,$A442,$B442)</f>
        <v>0</v>
      </c>
      <c r="AA442" s="4">
        <f ca="1">_xll.DBRW($B$1,$B$2,$B$7,$B$3,$B$4,$B$5,$F442,$B$6,AA$10,$A442,$B442)</f>
        <v>0</v>
      </c>
      <c r="AB442" s="4">
        <f ca="1">_xll.DBRW($B$1,$B$2,$B$7,$B$3,$B$4,$B$5,$F442,$B$6,AB$10,$A442,$B442)</f>
        <v>0</v>
      </c>
      <c r="AC442" s="4">
        <f ca="1">_xll.DBRW($B$1,$B$2,$B$7,$B$3,$B$4,$B$5,$F442,$B$6,AC$10,$A442,$B442)</f>
        <v>0</v>
      </c>
      <c r="AD442" s="4">
        <f ca="1">_xll.DBRW($B$1,$B$2,$B$7,$B$3,$B$4,$B$5,$F442,$B$6,AD$10,$A442,$B442)</f>
        <v>0</v>
      </c>
      <c r="AE442" s="4">
        <f ca="1">_xll.DBRW($B$1,$B$2,$B$7,$B$3,$B$4,$B$5,$F442,$B$6,AE$10,$A442,$B442)</f>
        <v>0</v>
      </c>
    </row>
    <row r="443" spans="1:31">
      <c r="A443" s="1" t="s">
        <v>150</v>
      </c>
      <c r="B443" s="5" t="s">
        <v>275</v>
      </c>
      <c r="C443" s="5" t="s">
        <v>276</v>
      </c>
      <c r="D443" s="5" t="s">
        <v>21</v>
      </c>
      <c r="E443" s="5" t="s">
        <v>277</v>
      </c>
      <c r="F443" s="5" t="s">
        <v>315</v>
      </c>
      <c r="G443" s="6"/>
      <c r="H443" s="6"/>
      <c r="I443" s="6"/>
      <c r="J443" s="6"/>
      <c r="K443" s="6"/>
      <c r="L443" s="4">
        <f ca="1">_xll.DBRW($B$1,$B$2,$B$7,$B$3,$B$4,$B$5,$F443,$B$6,L$10,$A443,$B443)</f>
        <v>0</v>
      </c>
      <c r="M443" s="4">
        <f ca="1">_xll.DBRW($B$1,$B$2,$B$7,$B$3,$B$4,$B$5,$F443,$B$6,M$10,$A443,$B443)</f>
        <v>0</v>
      </c>
      <c r="N443" s="4">
        <f ca="1">_xll.DBRW($B$1,$B$2,$B$7,$B$3,$B$4,$B$5,$F443,$B$6,N$10,$A443,$B443)</f>
        <v>0</v>
      </c>
      <c r="O443" s="4">
        <f ca="1">_xll.DBRW($B$1,$B$2,$B$7,$B$3,$B$4,$B$5,$F443,$B$6,O$10,$A443,$B443)</f>
        <v>0</v>
      </c>
      <c r="P443" s="4">
        <f ca="1">_xll.DBRW($B$1,$B$2,$B$7,$B$3,$B$4,$B$5,$F443,$B$6,P$10,$A443,$B443)</f>
        <v>0</v>
      </c>
      <c r="Q443" s="4">
        <f ca="1">_xll.DBRW($B$1,$B$2,$B$7,$B$3,$B$4,$B$5,$F443,$B$6,Q$10,$A443,$B443)</f>
        <v>0</v>
      </c>
      <c r="R443" s="4">
        <f ca="1">_xll.DBRW($B$1,$B$2,$B$7,$B$3,$B$4,$B$5,$F443,$B$6,R$10,$A443,$B443)</f>
        <v>0</v>
      </c>
      <c r="S443" s="4">
        <f ca="1">_xll.DBRW($B$1,$B$2,$B$7,$B$3,$B$4,$B$5,$F443,$B$6,S$10,$A443,$B443)</f>
        <v>0</v>
      </c>
      <c r="T443" s="4">
        <f ca="1">_xll.DBRW($B$1,$B$2,$B$7,$B$3,$B$4,$B$5,$F443,$B$6,T$10,$A443,$B443)</f>
        <v>31</v>
      </c>
      <c r="U443" s="4">
        <f ca="1">_xll.DBRW($B$1,$B$2,$B$7,$B$3,$B$4,$B$5,$F443,$B$6,U$10,$A443,$B443)</f>
        <v>28</v>
      </c>
      <c r="V443" s="4">
        <f ca="1">_xll.DBRW($B$1,$B$2,$B$7,$B$3,$B$4,$B$5,$F443,$B$6,V$10,$A443,$B443)</f>
        <v>29</v>
      </c>
      <c r="W443" s="4">
        <f ca="1">_xll.DBRW($B$1,$B$2,$B$7,$B$3,$B$4,$B$5,$F443,$B$6,W$10,$A443,$B443)</f>
        <v>0</v>
      </c>
      <c r="X443" s="4">
        <f ca="1">_xll.DBRW($B$1,$B$2,$B$7,$B$3,$B$4,$B$5,$F443,$B$6,X$10,$A443,$B443)</f>
        <v>0</v>
      </c>
      <c r="Y443" s="4">
        <f ca="1">_xll.DBRW($B$1,$B$2,$B$7,$B$3,$B$4,$B$5,$F443,$B$6,Y$10,$A443,$B443)</f>
        <v>0</v>
      </c>
      <c r="Z443" s="4">
        <f ca="1">_xll.DBRW($B$1,$B$2,$B$7,$B$3,$B$4,$B$5,$F443,$B$6,Z$10,$A443,$B443)</f>
        <v>0</v>
      </c>
      <c r="AA443" s="4">
        <f ca="1">_xll.DBRW($B$1,$B$2,$B$7,$B$3,$B$4,$B$5,$F443,$B$6,AA$10,$A443,$B443)</f>
        <v>0</v>
      </c>
      <c r="AB443" s="4">
        <f ca="1">_xll.DBRW($B$1,$B$2,$B$7,$B$3,$B$4,$B$5,$F443,$B$6,AB$10,$A443,$B443)</f>
        <v>0</v>
      </c>
      <c r="AC443" s="4">
        <f ca="1">_xll.DBRW($B$1,$B$2,$B$7,$B$3,$B$4,$B$5,$F443,$B$6,AC$10,$A443,$B443)</f>
        <v>6</v>
      </c>
      <c r="AD443" s="4">
        <f ca="1">_xll.DBRW($B$1,$B$2,$B$7,$B$3,$B$4,$B$5,$F443,$B$6,AD$10,$A443,$B443)</f>
        <v>30</v>
      </c>
      <c r="AE443" s="4">
        <f ca="1">_xll.DBRW($B$1,$B$2,$B$7,$B$3,$B$4,$B$5,$F443,$B$6,AE$10,$A443,$B443)</f>
        <v>31</v>
      </c>
    </row>
    <row r="444" spans="1:31">
      <c r="A444" s="1" t="s">
        <v>150</v>
      </c>
      <c r="B444" s="5" t="s">
        <v>278</v>
      </c>
      <c r="C444" s="5" t="s">
        <v>279</v>
      </c>
      <c r="D444" s="5" t="s">
        <v>277</v>
      </c>
      <c r="E444" s="5" t="s">
        <v>21</v>
      </c>
      <c r="F444" s="5" t="s">
        <v>315</v>
      </c>
      <c r="G444" s="6"/>
      <c r="H444" s="6"/>
      <c r="I444" s="6"/>
      <c r="J444" s="6"/>
      <c r="K444" s="6"/>
      <c r="L444" s="4">
        <f ca="1">_xll.DBRW($B$1,$B$2,$B$7,$B$3,$B$4,$B$5,$F444,$B$6,L$10,$A444,$B444)</f>
        <v>0</v>
      </c>
      <c r="M444" s="4">
        <f ca="1">_xll.DBRW($B$1,$B$2,$B$7,$B$3,$B$4,$B$5,$F444,$B$6,M$10,$A444,$B444)</f>
        <v>0</v>
      </c>
      <c r="N444" s="4">
        <f ca="1">_xll.DBRW($B$1,$B$2,$B$7,$B$3,$B$4,$B$5,$F444,$B$6,N$10,$A444,$B444)</f>
        <v>0</v>
      </c>
      <c r="O444" s="4">
        <f ca="1">_xll.DBRW($B$1,$B$2,$B$7,$B$3,$B$4,$B$5,$F444,$B$6,O$10,$A444,$B444)</f>
        <v>0</v>
      </c>
      <c r="P444" s="4">
        <f ca="1">_xll.DBRW($B$1,$B$2,$B$7,$B$3,$B$4,$B$5,$F444,$B$6,P$10,$A444,$B444)</f>
        <v>0</v>
      </c>
      <c r="Q444" s="4">
        <f ca="1">_xll.DBRW($B$1,$B$2,$B$7,$B$3,$B$4,$B$5,$F444,$B$6,Q$10,$A444,$B444)</f>
        <v>0</v>
      </c>
      <c r="R444" s="4">
        <f ca="1">_xll.DBRW($B$1,$B$2,$B$7,$B$3,$B$4,$B$5,$F444,$B$6,R$10,$A444,$B444)</f>
        <v>0</v>
      </c>
      <c r="S444" s="4">
        <f ca="1">_xll.DBRW($B$1,$B$2,$B$7,$B$3,$B$4,$B$5,$F444,$B$6,S$10,$A444,$B444)</f>
        <v>0</v>
      </c>
      <c r="T444" s="4">
        <f ca="1">_xll.DBRW($B$1,$B$2,$B$7,$B$3,$B$4,$B$5,$F444,$B$6,T$10,$A444,$B444)</f>
        <v>31</v>
      </c>
      <c r="U444" s="4">
        <f ca="1">_xll.DBRW($B$1,$B$2,$B$7,$B$3,$B$4,$B$5,$F444,$B$6,U$10,$A444,$B444)</f>
        <v>28</v>
      </c>
      <c r="V444" s="4">
        <f ca="1">_xll.DBRW($B$1,$B$2,$B$7,$B$3,$B$4,$B$5,$F444,$B$6,V$10,$A444,$B444)</f>
        <v>29</v>
      </c>
      <c r="W444" s="4">
        <f ca="1">_xll.DBRW($B$1,$B$2,$B$7,$B$3,$B$4,$B$5,$F444,$B$6,W$10,$A444,$B444)</f>
        <v>0</v>
      </c>
      <c r="X444" s="4">
        <f ca="1">_xll.DBRW($B$1,$B$2,$B$7,$B$3,$B$4,$B$5,$F444,$B$6,X$10,$A444,$B444)</f>
        <v>0</v>
      </c>
      <c r="Y444" s="4">
        <f ca="1">_xll.DBRW($B$1,$B$2,$B$7,$B$3,$B$4,$B$5,$F444,$B$6,Y$10,$A444,$B444)</f>
        <v>0</v>
      </c>
      <c r="Z444" s="4">
        <f ca="1">_xll.DBRW($B$1,$B$2,$B$7,$B$3,$B$4,$B$5,$F444,$B$6,Z$10,$A444,$B444)</f>
        <v>0</v>
      </c>
      <c r="AA444" s="4">
        <f ca="1">_xll.DBRW($B$1,$B$2,$B$7,$B$3,$B$4,$B$5,$F444,$B$6,AA$10,$A444,$B444)</f>
        <v>0</v>
      </c>
      <c r="AB444" s="4">
        <f ca="1">_xll.DBRW($B$1,$B$2,$B$7,$B$3,$B$4,$B$5,$F444,$B$6,AB$10,$A444,$B444)</f>
        <v>0</v>
      </c>
      <c r="AC444" s="4">
        <f ca="1">_xll.DBRW($B$1,$B$2,$B$7,$B$3,$B$4,$B$5,$F444,$B$6,AC$10,$A444,$B444)</f>
        <v>6</v>
      </c>
      <c r="AD444" s="4">
        <f ca="1">_xll.DBRW($B$1,$B$2,$B$7,$B$3,$B$4,$B$5,$F444,$B$6,AD$10,$A444,$B444)</f>
        <v>30</v>
      </c>
      <c r="AE444" s="4">
        <f ca="1">_xll.DBRW($B$1,$B$2,$B$7,$B$3,$B$4,$B$5,$F444,$B$6,AE$10,$A444,$B444)</f>
        <v>31</v>
      </c>
    </row>
    <row r="445" spans="1:31">
      <c r="A445" s="1" t="s">
        <v>150</v>
      </c>
      <c r="B445" s="5" t="s">
        <v>280</v>
      </c>
      <c r="C445" s="5" t="s">
        <v>276</v>
      </c>
      <c r="D445" s="5" t="s">
        <v>21</v>
      </c>
      <c r="E445" s="5" t="s">
        <v>277</v>
      </c>
      <c r="F445" s="5" t="s">
        <v>315</v>
      </c>
      <c r="G445" s="6"/>
      <c r="H445" s="6"/>
      <c r="I445" s="6"/>
      <c r="J445" s="6"/>
      <c r="K445" s="6"/>
      <c r="L445" s="4">
        <f ca="1">_xll.DBRW($B$1,$B$2,$B$7,$B$3,$B$4,$B$5,$F445,$B$6,L$10,$A445,$B445)</f>
        <v>0</v>
      </c>
      <c r="M445" s="4">
        <f ca="1">_xll.DBRW($B$1,$B$2,$B$7,$B$3,$B$4,$B$5,$F445,$B$6,M$10,$A445,$B445)</f>
        <v>0</v>
      </c>
      <c r="N445" s="4">
        <f ca="1">_xll.DBRW($B$1,$B$2,$B$7,$B$3,$B$4,$B$5,$F445,$B$6,N$10,$A445,$B445)</f>
        <v>0</v>
      </c>
      <c r="O445" s="4">
        <f ca="1">_xll.DBRW($B$1,$B$2,$B$7,$B$3,$B$4,$B$5,$F445,$B$6,O$10,$A445,$B445)</f>
        <v>0</v>
      </c>
      <c r="P445" s="4">
        <f ca="1">_xll.DBRW($B$1,$B$2,$B$7,$B$3,$B$4,$B$5,$F445,$B$6,P$10,$A445,$B445)</f>
        <v>0</v>
      </c>
      <c r="Q445" s="4">
        <f ca="1">_xll.DBRW($B$1,$B$2,$B$7,$B$3,$B$4,$B$5,$F445,$B$6,Q$10,$A445,$B445)</f>
        <v>5</v>
      </c>
      <c r="R445" s="4">
        <f ca="1">_xll.DBRW($B$1,$B$2,$B$7,$B$3,$B$4,$B$5,$F445,$B$6,R$10,$A445,$B445)</f>
        <v>27</v>
      </c>
      <c r="S445" s="4">
        <f ca="1">_xll.DBRW($B$1,$B$2,$B$7,$B$3,$B$4,$B$5,$F445,$B$6,S$10,$A445,$B445)</f>
        <v>31</v>
      </c>
      <c r="T445" s="4">
        <f ca="1">_xll.DBRW($B$1,$B$2,$B$7,$B$3,$B$4,$B$5,$F445,$B$6,T$10,$A445,$B445)</f>
        <v>0</v>
      </c>
      <c r="U445" s="4">
        <f ca="1">_xll.DBRW($B$1,$B$2,$B$7,$B$3,$B$4,$B$5,$F445,$B$6,U$10,$A445,$B445)</f>
        <v>0</v>
      </c>
      <c r="V445" s="4">
        <f ca="1">_xll.DBRW($B$1,$B$2,$B$7,$B$3,$B$4,$B$5,$F445,$B$6,V$10,$A445,$B445)</f>
        <v>0</v>
      </c>
      <c r="W445" s="4">
        <f ca="1">_xll.DBRW($B$1,$B$2,$B$7,$B$3,$B$4,$B$5,$F445,$B$6,W$10,$A445,$B445)</f>
        <v>0</v>
      </c>
      <c r="X445" s="4">
        <f ca="1">_xll.DBRW($B$1,$B$2,$B$7,$B$3,$B$4,$B$5,$F445,$B$6,X$10,$A445,$B445)</f>
        <v>0</v>
      </c>
      <c r="Y445" s="4">
        <f ca="1">_xll.DBRW($B$1,$B$2,$B$7,$B$3,$B$4,$B$5,$F445,$B$6,Y$10,$A445,$B445)</f>
        <v>0</v>
      </c>
      <c r="Z445" s="4">
        <f ca="1">_xll.DBRW($B$1,$B$2,$B$7,$B$3,$B$4,$B$5,$F445,$B$6,Z$10,$A445,$B445)</f>
        <v>0</v>
      </c>
      <c r="AA445" s="4">
        <f ca="1">_xll.DBRW($B$1,$B$2,$B$7,$B$3,$B$4,$B$5,$F445,$B$6,AA$10,$A445,$B445)</f>
        <v>0</v>
      </c>
      <c r="AB445" s="4">
        <f ca="1">_xll.DBRW($B$1,$B$2,$B$7,$B$3,$B$4,$B$5,$F445,$B$6,AB$10,$A445,$B445)</f>
        <v>0</v>
      </c>
      <c r="AC445" s="4">
        <f ca="1">_xll.DBRW($B$1,$B$2,$B$7,$B$3,$B$4,$B$5,$F445,$B$6,AC$10,$A445,$B445)</f>
        <v>0</v>
      </c>
      <c r="AD445" s="4">
        <f ca="1">_xll.DBRW($B$1,$B$2,$B$7,$B$3,$B$4,$B$5,$F445,$B$6,AD$10,$A445,$B445)</f>
        <v>0</v>
      </c>
      <c r="AE445" s="4">
        <f ca="1">_xll.DBRW($B$1,$B$2,$B$7,$B$3,$B$4,$B$5,$F445,$B$6,AE$10,$A445,$B445)</f>
        <v>0</v>
      </c>
    </row>
    <row r="446" spans="1:31">
      <c r="A446" s="1" t="s">
        <v>150</v>
      </c>
      <c r="B446" s="5" t="s">
        <v>281</v>
      </c>
      <c r="C446" s="5" t="s">
        <v>279</v>
      </c>
      <c r="D446" s="5" t="s">
        <v>277</v>
      </c>
      <c r="E446" s="5" t="s">
        <v>21</v>
      </c>
      <c r="F446" s="5" t="s">
        <v>315</v>
      </c>
      <c r="G446" s="6"/>
      <c r="H446" s="6"/>
      <c r="I446" s="6"/>
      <c r="J446" s="6"/>
      <c r="K446" s="6"/>
      <c r="L446" s="4">
        <f ca="1">_xll.DBRW($B$1,$B$2,$B$7,$B$3,$B$4,$B$5,$F446,$B$6,L$10,$A446,$B446)</f>
        <v>0</v>
      </c>
      <c r="M446" s="4">
        <f ca="1">_xll.DBRW($B$1,$B$2,$B$7,$B$3,$B$4,$B$5,$F446,$B$6,M$10,$A446,$B446)</f>
        <v>0</v>
      </c>
      <c r="N446" s="4">
        <f ca="1">_xll.DBRW($B$1,$B$2,$B$7,$B$3,$B$4,$B$5,$F446,$B$6,N$10,$A446,$B446)</f>
        <v>0</v>
      </c>
      <c r="O446" s="4">
        <f ca="1">_xll.DBRW($B$1,$B$2,$B$7,$B$3,$B$4,$B$5,$F446,$B$6,O$10,$A446,$B446)</f>
        <v>0</v>
      </c>
      <c r="P446" s="4">
        <f ca="1">_xll.DBRW($B$1,$B$2,$B$7,$B$3,$B$4,$B$5,$F446,$B$6,P$10,$A446,$B446)</f>
        <v>0</v>
      </c>
      <c r="Q446" s="4">
        <f ca="1">_xll.DBRW($B$1,$B$2,$B$7,$B$3,$B$4,$B$5,$F446,$B$6,Q$10,$A446,$B446)</f>
        <v>5</v>
      </c>
      <c r="R446" s="4">
        <f ca="1">_xll.DBRW($B$1,$B$2,$B$7,$B$3,$B$4,$B$5,$F446,$B$6,R$10,$A446,$B446)</f>
        <v>27</v>
      </c>
      <c r="S446" s="4">
        <f ca="1">_xll.DBRW($B$1,$B$2,$B$7,$B$3,$B$4,$B$5,$F446,$B$6,S$10,$A446,$B446)</f>
        <v>31</v>
      </c>
      <c r="T446" s="4">
        <f ca="1">_xll.DBRW($B$1,$B$2,$B$7,$B$3,$B$4,$B$5,$F446,$B$6,T$10,$A446,$B446)</f>
        <v>0</v>
      </c>
      <c r="U446" s="4">
        <f ca="1">_xll.DBRW($B$1,$B$2,$B$7,$B$3,$B$4,$B$5,$F446,$B$6,U$10,$A446,$B446)</f>
        <v>0</v>
      </c>
      <c r="V446" s="4">
        <f ca="1">_xll.DBRW($B$1,$B$2,$B$7,$B$3,$B$4,$B$5,$F446,$B$6,V$10,$A446,$B446)</f>
        <v>0</v>
      </c>
      <c r="W446" s="4">
        <f ca="1">_xll.DBRW($B$1,$B$2,$B$7,$B$3,$B$4,$B$5,$F446,$B$6,W$10,$A446,$B446)</f>
        <v>0</v>
      </c>
      <c r="X446" s="4">
        <f ca="1">_xll.DBRW($B$1,$B$2,$B$7,$B$3,$B$4,$B$5,$F446,$B$6,X$10,$A446,$B446)</f>
        <v>0</v>
      </c>
      <c r="Y446" s="4">
        <f ca="1">_xll.DBRW($B$1,$B$2,$B$7,$B$3,$B$4,$B$5,$F446,$B$6,Y$10,$A446,$B446)</f>
        <v>0</v>
      </c>
      <c r="Z446" s="4">
        <f ca="1">_xll.DBRW($B$1,$B$2,$B$7,$B$3,$B$4,$B$5,$F446,$B$6,Z$10,$A446,$B446)</f>
        <v>0</v>
      </c>
      <c r="AA446" s="4">
        <f ca="1">_xll.DBRW($B$1,$B$2,$B$7,$B$3,$B$4,$B$5,$F446,$B$6,AA$10,$A446,$B446)</f>
        <v>0</v>
      </c>
      <c r="AB446" s="4">
        <f ca="1">_xll.DBRW($B$1,$B$2,$B$7,$B$3,$B$4,$B$5,$F446,$B$6,AB$10,$A446,$B446)</f>
        <v>0</v>
      </c>
      <c r="AC446" s="4">
        <f ca="1">_xll.DBRW($B$1,$B$2,$B$7,$B$3,$B$4,$B$5,$F446,$B$6,AC$10,$A446,$B446)</f>
        <v>0</v>
      </c>
      <c r="AD446" s="4">
        <f ca="1">_xll.DBRW($B$1,$B$2,$B$7,$B$3,$B$4,$B$5,$F446,$B$6,AD$10,$A446,$B446)</f>
        <v>0</v>
      </c>
      <c r="AE446" s="4">
        <f ca="1">_xll.DBRW($B$1,$B$2,$B$7,$B$3,$B$4,$B$5,$F446,$B$6,AE$10,$A446,$B446)</f>
        <v>0</v>
      </c>
    </row>
    <row r="447" spans="1:31">
      <c r="A447" s="1" t="s">
        <v>150</v>
      </c>
      <c r="B447" s="5" t="s">
        <v>282</v>
      </c>
      <c r="C447" s="5" t="s">
        <v>283</v>
      </c>
      <c r="D447" s="5" t="s">
        <v>21</v>
      </c>
      <c r="E447" s="5" t="s">
        <v>284</v>
      </c>
      <c r="F447" s="5" t="s">
        <v>315</v>
      </c>
      <c r="G447" s="6"/>
      <c r="H447" s="6"/>
      <c r="I447" s="6"/>
      <c r="J447" s="6"/>
      <c r="K447" s="6"/>
      <c r="L447" s="4">
        <f ca="1">_xll.DBRW($B$1,$B$2,$B$7,$B$3,$B$4,$B$5,$F447,$B$6,L$10,$A447,$B447)</f>
        <v>0</v>
      </c>
      <c r="M447" s="4">
        <f ca="1">_xll.DBRW($B$1,$B$2,$B$7,$B$3,$B$4,$B$5,$F447,$B$6,M$10,$A447,$B447)</f>
        <v>0</v>
      </c>
      <c r="N447" s="4">
        <f ca="1">_xll.DBRW($B$1,$B$2,$B$7,$B$3,$B$4,$B$5,$F447,$B$6,N$10,$A447,$B447)</f>
        <v>0</v>
      </c>
      <c r="O447" s="4">
        <f ca="1">_xll.DBRW($B$1,$B$2,$B$7,$B$3,$B$4,$B$5,$F447,$B$6,O$10,$A447,$B447)</f>
        <v>0</v>
      </c>
      <c r="P447" s="4">
        <f ca="1">_xll.DBRW($B$1,$B$2,$B$7,$B$3,$B$4,$B$5,$F447,$B$6,P$10,$A447,$B447)</f>
        <v>0</v>
      </c>
      <c r="Q447" s="4">
        <f ca="1">_xll.DBRW($B$1,$B$2,$B$7,$B$3,$B$4,$B$5,$F447,$B$6,Q$10,$A447,$B447)</f>
        <v>0</v>
      </c>
      <c r="R447" s="4">
        <f ca="1">_xll.DBRW($B$1,$B$2,$B$7,$B$3,$B$4,$B$5,$F447,$B$6,R$10,$A447,$B447)</f>
        <v>0</v>
      </c>
      <c r="S447" s="4">
        <f ca="1">_xll.DBRW($B$1,$B$2,$B$7,$B$3,$B$4,$B$5,$F447,$B$6,S$10,$A447,$B447)</f>
        <v>0</v>
      </c>
      <c r="T447" s="4">
        <f ca="1">_xll.DBRW($B$1,$B$2,$B$7,$B$3,$B$4,$B$5,$F447,$B$6,T$10,$A447,$B447)</f>
        <v>0</v>
      </c>
      <c r="U447" s="4">
        <f ca="1">_xll.DBRW($B$1,$B$2,$B$7,$B$3,$B$4,$B$5,$F447,$B$6,U$10,$A447,$B447)</f>
        <v>0</v>
      </c>
      <c r="V447" s="4">
        <f ca="1">_xll.DBRW($B$1,$B$2,$B$7,$B$3,$B$4,$B$5,$F447,$B$6,V$10,$A447,$B447)</f>
        <v>0</v>
      </c>
      <c r="W447" s="4">
        <f ca="1">_xll.DBRW($B$1,$B$2,$B$7,$B$3,$B$4,$B$5,$F447,$B$6,W$10,$A447,$B447)</f>
        <v>0</v>
      </c>
      <c r="X447" s="4">
        <f ca="1">_xll.DBRW($B$1,$B$2,$B$7,$B$3,$B$4,$B$5,$F447,$B$6,X$10,$A447,$B447)</f>
        <v>0</v>
      </c>
      <c r="Y447" s="4">
        <f ca="1">_xll.DBRW($B$1,$B$2,$B$7,$B$3,$B$4,$B$5,$F447,$B$6,Y$10,$A447,$B447)</f>
        <v>0</v>
      </c>
      <c r="Z447" s="4">
        <f ca="1">_xll.DBRW($B$1,$B$2,$B$7,$B$3,$B$4,$B$5,$F447,$B$6,Z$10,$A447,$B447)</f>
        <v>0</v>
      </c>
      <c r="AA447" s="4">
        <f ca="1">_xll.DBRW($B$1,$B$2,$B$7,$B$3,$B$4,$B$5,$F447,$B$6,AA$10,$A447,$B447)</f>
        <v>0</v>
      </c>
      <c r="AB447" s="4">
        <f ca="1">_xll.DBRW($B$1,$B$2,$B$7,$B$3,$B$4,$B$5,$F447,$B$6,AB$10,$A447,$B447)</f>
        <v>0</v>
      </c>
      <c r="AC447" s="4">
        <f ca="1">_xll.DBRW($B$1,$B$2,$B$7,$B$3,$B$4,$B$5,$F447,$B$6,AC$10,$A447,$B447)</f>
        <v>0</v>
      </c>
      <c r="AD447" s="4">
        <f ca="1">_xll.DBRW($B$1,$B$2,$B$7,$B$3,$B$4,$B$5,$F447,$B$6,AD$10,$A447,$B447)</f>
        <v>0</v>
      </c>
      <c r="AE447" s="4">
        <f ca="1">_xll.DBRW($B$1,$B$2,$B$7,$B$3,$B$4,$B$5,$F447,$B$6,AE$10,$A447,$B447)</f>
        <v>0</v>
      </c>
    </row>
    <row r="448" spans="1:31">
      <c r="A448" s="1" t="s">
        <v>150</v>
      </c>
      <c r="B448" s="5" t="s">
        <v>285</v>
      </c>
      <c r="C448" s="5" t="s">
        <v>286</v>
      </c>
      <c r="D448" s="5" t="s">
        <v>284</v>
      </c>
      <c r="E448" s="5" t="s">
        <v>21</v>
      </c>
      <c r="F448" s="5" t="s">
        <v>315</v>
      </c>
      <c r="G448" s="6"/>
      <c r="H448" s="6"/>
      <c r="I448" s="6"/>
      <c r="J448" s="6"/>
      <c r="K448" s="6"/>
      <c r="L448" s="4">
        <f ca="1">_xll.DBRW($B$1,$B$2,$B$7,$B$3,$B$4,$B$5,$F448,$B$6,L$10,$A448,$B448)</f>
        <v>0</v>
      </c>
      <c r="M448" s="4">
        <f ca="1">_xll.DBRW($B$1,$B$2,$B$7,$B$3,$B$4,$B$5,$F448,$B$6,M$10,$A448,$B448)</f>
        <v>0</v>
      </c>
      <c r="N448" s="4">
        <f ca="1">_xll.DBRW($B$1,$B$2,$B$7,$B$3,$B$4,$B$5,$F448,$B$6,N$10,$A448,$B448)</f>
        <v>0</v>
      </c>
      <c r="O448" s="4">
        <f ca="1">_xll.DBRW($B$1,$B$2,$B$7,$B$3,$B$4,$B$5,$F448,$B$6,O$10,$A448,$B448)</f>
        <v>0</v>
      </c>
      <c r="P448" s="4">
        <f ca="1">_xll.DBRW($B$1,$B$2,$B$7,$B$3,$B$4,$B$5,$F448,$B$6,P$10,$A448,$B448)</f>
        <v>0</v>
      </c>
      <c r="Q448" s="4">
        <f ca="1">_xll.DBRW($B$1,$B$2,$B$7,$B$3,$B$4,$B$5,$F448,$B$6,Q$10,$A448,$B448)</f>
        <v>0</v>
      </c>
      <c r="R448" s="4">
        <f ca="1">_xll.DBRW($B$1,$B$2,$B$7,$B$3,$B$4,$B$5,$F448,$B$6,R$10,$A448,$B448)</f>
        <v>0</v>
      </c>
      <c r="S448" s="4">
        <f ca="1">_xll.DBRW($B$1,$B$2,$B$7,$B$3,$B$4,$B$5,$F448,$B$6,S$10,$A448,$B448)</f>
        <v>0</v>
      </c>
      <c r="T448" s="4">
        <f ca="1">_xll.DBRW($B$1,$B$2,$B$7,$B$3,$B$4,$B$5,$F448,$B$6,T$10,$A448,$B448)</f>
        <v>0</v>
      </c>
      <c r="U448" s="4">
        <f ca="1">_xll.DBRW($B$1,$B$2,$B$7,$B$3,$B$4,$B$5,$F448,$B$6,U$10,$A448,$B448)</f>
        <v>0</v>
      </c>
      <c r="V448" s="4">
        <f ca="1">_xll.DBRW($B$1,$B$2,$B$7,$B$3,$B$4,$B$5,$F448,$B$6,V$10,$A448,$B448)</f>
        <v>0</v>
      </c>
      <c r="W448" s="4">
        <f ca="1">_xll.DBRW($B$1,$B$2,$B$7,$B$3,$B$4,$B$5,$F448,$B$6,W$10,$A448,$B448)</f>
        <v>0</v>
      </c>
      <c r="X448" s="4">
        <f ca="1">_xll.DBRW($B$1,$B$2,$B$7,$B$3,$B$4,$B$5,$F448,$B$6,X$10,$A448,$B448)</f>
        <v>0</v>
      </c>
      <c r="Y448" s="4">
        <f ca="1">_xll.DBRW($B$1,$B$2,$B$7,$B$3,$B$4,$B$5,$F448,$B$6,Y$10,$A448,$B448)</f>
        <v>0</v>
      </c>
      <c r="Z448" s="4">
        <f ca="1">_xll.DBRW($B$1,$B$2,$B$7,$B$3,$B$4,$B$5,$F448,$B$6,Z$10,$A448,$B448)</f>
        <v>0</v>
      </c>
      <c r="AA448" s="4">
        <f ca="1">_xll.DBRW($B$1,$B$2,$B$7,$B$3,$B$4,$B$5,$F448,$B$6,AA$10,$A448,$B448)</f>
        <v>0</v>
      </c>
      <c r="AB448" s="4">
        <f ca="1">_xll.DBRW($B$1,$B$2,$B$7,$B$3,$B$4,$B$5,$F448,$B$6,AB$10,$A448,$B448)</f>
        <v>0</v>
      </c>
      <c r="AC448" s="4">
        <f ca="1">_xll.DBRW($B$1,$B$2,$B$7,$B$3,$B$4,$B$5,$F448,$B$6,AC$10,$A448,$B448)</f>
        <v>0</v>
      </c>
      <c r="AD448" s="4">
        <f ca="1">_xll.DBRW($B$1,$B$2,$B$7,$B$3,$B$4,$B$5,$F448,$B$6,AD$10,$A448,$B448)</f>
        <v>0</v>
      </c>
      <c r="AE448" s="4">
        <f ca="1">_xll.DBRW($B$1,$B$2,$B$7,$B$3,$B$4,$B$5,$F448,$B$6,AE$10,$A448,$B448)</f>
        <v>0</v>
      </c>
    </row>
    <row r="449" spans="1:31">
      <c r="A449" s="1" t="s">
        <v>150</v>
      </c>
      <c r="B449" s="5" t="s">
        <v>287</v>
      </c>
      <c r="C449" s="5" t="s">
        <v>288</v>
      </c>
      <c r="D449" s="5" t="s">
        <v>21</v>
      </c>
      <c r="E449" s="5" t="s">
        <v>289</v>
      </c>
      <c r="F449" s="5" t="s">
        <v>315</v>
      </c>
      <c r="G449" s="6"/>
      <c r="H449" s="6"/>
      <c r="I449" s="6"/>
      <c r="J449" s="6"/>
      <c r="K449" s="6"/>
      <c r="L449" s="4">
        <f ca="1">_xll.DBRW($B$1,$B$2,$B$7,$B$3,$B$4,$B$5,$F449,$B$6,L$10,$A449,$B449)</f>
        <v>0</v>
      </c>
      <c r="M449" s="4">
        <f ca="1">_xll.DBRW($B$1,$B$2,$B$7,$B$3,$B$4,$B$5,$F449,$B$6,M$10,$A449,$B449)</f>
        <v>0</v>
      </c>
      <c r="N449" s="4">
        <f ca="1">_xll.DBRW($B$1,$B$2,$B$7,$B$3,$B$4,$B$5,$F449,$B$6,N$10,$A449,$B449)</f>
        <v>0</v>
      </c>
      <c r="O449" s="4">
        <f ca="1">_xll.DBRW($B$1,$B$2,$B$7,$B$3,$B$4,$B$5,$F449,$B$6,O$10,$A449,$B449)</f>
        <v>0</v>
      </c>
      <c r="P449" s="4">
        <f ca="1">_xll.DBRW($B$1,$B$2,$B$7,$B$3,$B$4,$B$5,$F449,$B$6,P$10,$A449,$B449)</f>
        <v>0</v>
      </c>
      <c r="Q449" s="4">
        <f ca="1">_xll.DBRW($B$1,$B$2,$B$7,$B$3,$B$4,$B$5,$F449,$B$6,Q$10,$A449,$B449)</f>
        <v>0</v>
      </c>
      <c r="R449" s="4">
        <f ca="1">_xll.DBRW($B$1,$B$2,$B$7,$B$3,$B$4,$B$5,$F449,$B$6,R$10,$A449,$B449)</f>
        <v>0</v>
      </c>
      <c r="S449" s="4">
        <f ca="1">_xll.DBRW($B$1,$B$2,$B$7,$B$3,$B$4,$B$5,$F449,$B$6,S$10,$A449,$B449)</f>
        <v>0</v>
      </c>
      <c r="T449" s="4">
        <f ca="1">_xll.DBRW($B$1,$B$2,$B$7,$B$3,$B$4,$B$5,$F449,$B$6,T$10,$A449,$B449)</f>
        <v>0</v>
      </c>
      <c r="U449" s="4">
        <f ca="1">_xll.DBRW($B$1,$B$2,$B$7,$B$3,$B$4,$B$5,$F449,$B$6,U$10,$A449,$B449)</f>
        <v>0</v>
      </c>
      <c r="V449" s="4">
        <f ca="1">_xll.DBRW($B$1,$B$2,$B$7,$B$3,$B$4,$B$5,$F449,$B$6,V$10,$A449,$B449)</f>
        <v>0</v>
      </c>
      <c r="W449" s="4">
        <f ca="1">_xll.DBRW($B$1,$B$2,$B$7,$B$3,$B$4,$B$5,$F449,$B$6,W$10,$A449,$B449)</f>
        <v>0</v>
      </c>
      <c r="X449" s="4">
        <f ca="1">_xll.DBRW($B$1,$B$2,$B$7,$B$3,$B$4,$B$5,$F449,$B$6,X$10,$A449,$B449)</f>
        <v>0</v>
      </c>
      <c r="Y449" s="4">
        <f ca="1">_xll.DBRW($B$1,$B$2,$B$7,$B$3,$B$4,$B$5,$F449,$B$6,Y$10,$A449,$B449)</f>
        <v>0</v>
      </c>
      <c r="Z449" s="4">
        <f ca="1">_xll.DBRW($B$1,$B$2,$B$7,$B$3,$B$4,$B$5,$F449,$B$6,Z$10,$A449,$B449)</f>
        <v>0</v>
      </c>
      <c r="AA449" s="4">
        <f ca="1">_xll.DBRW($B$1,$B$2,$B$7,$B$3,$B$4,$B$5,$F449,$B$6,AA$10,$A449,$B449)</f>
        <v>0</v>
      </c>
      <c r="AB449" s="4">
        <f ca="1">_xll.DBRW($B$1,$B$2,$B$7,$B$3,$B$4,$B$5,$F449,$B$6,AB$10,$A449,$B449)</f>
        <v>0</v>
      </c>
      <c r="AC449" s="4">
        <f ca="1">_xll.DBRW($B$1,$B$2,$B$7,$B$3,$B$4,$B$5,$F449,$B$6,AC$10,$A449,$B449)</f>
        <v>0</v>
      </c>
      <c r="AD449" s="4">
        <f ca="1">_xll.DBRW($B$1,$B$2,$B$7,$B$3,$B$4,$B$5,$F449,$B$6,AD$10,$A449,$B449)</f>
        <v>0</v>
      </c>
      <c r="AE449" s="4">
        <f ca="1">_xll.DBRW($B$1,$B$2,$B$7,$B$3,$B$4,$B$5,$F449,$B$6,AE$10,$A449,$B449)</f>
        <v>0</v>
      </c>
    </row>
    <row r="450" spans="1:31">
      <c r="A450" s="1" t="s">
        <v>150</v>
      </c>
      <c r="B450" s="5" t="s">
        <v>290</v>
      </c>
      <c r="C450" s="5" t="s">
        <v>291</v>
      </c>
      <c r="D450" s="5" t="s">
        <v>289</v>
      </c>
      <c r="E450" s="5" t="s">
        <v>21</v>
      </c>
      <c r="F450" s="5" t="s">
        <v>315</v>
      </c>
      <c r="G450" s="6"/>
      <c r="H450" s="6"/>
      <c r="I450" s="6"/>
      <c r="J450" s="6"/>
      <c r="K450" s="6"/>
      <c r="L450" s="4">
        <f ca="1">_xll.DBRW($B$1,$B$2,$B$7,$B$3,$B$4,$B$5,$F450,$B$6,L$10,$A450,$B450)</f>
        <v>0</v>
      </c>
      <c r="M450" s="4">
        <f ca="1">_xll.DBRW($B$1,$B$2,$B$7,$B$3,$B$4,$B$5,$F450,$B$6,M$10,$A450,$B450)</f>
        <v>0</v>
      </c>
      <c r="N450" s="4">
        <f ca="1">_xll.DBRW($B$1,$B$2,$B$7,$B$3,$B$4,$B$5,$F450,$B$6,N$10,$A450,$B450)</f>
        <v>0</v>
      </c>
      <c r="O450" s="4">
        <f ca="1">_xll.DBRW($B$1,$B$2,$B$7,$B$3,$B$4,$B$5,$F450,$B$6,O$10,$A450,$B450)</f>
        <v>0</v>
      </c>
      <c r="P450" s="4">
        <f ca="1">_xll.DBRW($B$1,$B$2,$B$7,$B$3,$B$4,$B$5,$F450,$B$6,P$10,$A450,$B450)</f>
        <v>0</v>
      </c>
      <c r="Q450" s="4">
        <f ca="1">_xll.DBRW($B$1,$B$2,$B$7,$B$3,$B$4,$B$5,$F450,$B$6,Q$10,$A450,$B450)</f>
        <v>0</v>
      </c>
      <c r="R450" s="4">
        <f ca="1">_xll.DBRW($B$1,$B$2,$B$7,$B$3,$B$4,$B$5,$F450,$B$6,R$10,$A450,$B450)</f>
        <v>0</v>
      </c>
      <c r="S450" s="4">
        <f ca="1">_xll.DBRW($B$1,$B$2,$B$7,$B$3,$B$4,$B$5,$F450,$B$6,S$10,$A450,$B450)</f>
        <v>0</v>
      </c>
      <c r="T450" s="4">
        <f ca="1">_xll.DBRW($B$1,$B$2,$B$7,$B$3,$B$4,$B$5,$F450,$B$6,T$10,$A450,$B450)</f>
        <v>0</v>
      </c>
      <c r="U450" s="4">
        <f ca="1">_xll.DBRW($B$1,$B$2,$B$7,$B$3,$B$4,$B$5,$F450,$B$6,U$10,$A450,$B450)</f>
        <v>0</v>
      </c>
      <c r="V450" s="4">
        <f ca="1">_xll.DBRW($B$1,$B$2,$B$7,$B$3,$B$4,$B$5,$F450,$B$6,V$10,$A450,$B450)</f>
        <v>0</v>
      </c>
      <c r="W450" s="4">
        <f ca="1">_xll.DBRW($B$1,$B$2,$B$7,$B$3,$B$4,$B$5,$F450,$B$6,W$10,$A450,$B450)</f>
        <v>0</v>
      </c>
      <c r="X450" s="4">
        <f ca="1">_xll.DBRW($B$1,$B$2,$B$7,$B$3,$B$4,$B$5,$F450,$B$6,X$10,$A450,$B450)</f>
        <v>0</v>
      </c>
      <c r="Y450" s="4">
        <f ca="1">_xll.DBRW($B$1,$B$2,$B$7,$B$3,$B$4,$B$5,$F450,$B$6,Y$10,$A450,$B450)</f>
        <v>0</v>
      </c>
      <c r="Z450" s="4">
        <f ca="1">_xll.DBRW($B$1,$B$2,$B$7,$B$3,$B$4,$B$5,$F450,$B$6,Z$10,$A450,$B450)</f>
        <v>0</v>
      </c>
      <c r="AA450" s="4">
        <f ca="1">_xll.DBRW($B$1,$B$2,$B$7,$B$3,$B$4,$B$5,$F450,$B$6,AA$10,$A450,$B450)</f>
        <v>0</v>
      </c>
      <c r="AB450" s="4">
        <f ca="1">_xll.DBRW($B$1,$B$2,$B$7,$B$3,$B$4,$B$5,$F450,$B$6,AB$10,$A450,$B450)</f>
        <v>0</v>
      </c>
      <c r="AC450" s="4">
        <f ca="1">_xll.DBRW($B$1,$B$2,$B$7,$B$3,$B$4,$B$5,$F450,$B$6,AC$10,$A450,$B450)</f>
        <v>0</v>
      </c>
      <c r="AD450" s="4">
        <f ca="1">_xll.DBRW($B$1,$B$2,$B$7,$B$3,$B$4,$B$5,$F450,$B$6,AD$10,$A450,$B450)</f>
        <v>0</v>
      </c>
      <c r="AE450" s="4">
        <f ca="1">_xll.DBRW($B$1,$B$2,$B$7,$B$3,$B$4,$B$5,$F450,$B$6,AE$10,$A450,$B450)</f>
        <v>0</v>
      </c>
    </row>
    <row r="451" spans="1:31">
      <c r="A451" s="1" t="s">
        <v>150</v>
      </c>
      <c r="B451" s="5" t="s">
        <v>292</v>
      </c>
      <c r="C451" s="5" t="s">
        <v>293</v>
      </c>
      <c r="D451" s="5" t="s">
        <v>21</v>
      </c>
      <c r="E451" s="5" t="s">
        <v>294</v>
      </c>
      <c r="F451" s="5" t="s">
        <v>315</v>
      </c>
      <c r="G451" s="6"/>
      <c r="H451" s="6"/>
      <c r="I451" s="6"/>
      <c r="J451" s="6"/>
      <c r="K451" s="6"/>
      <c r="L451" s="4">
        <f ca="1">_xll.DBRW($B$1,$B$2,$B$7,$B$3,$B$4,$B$5,$F451,$B$6,L$10,$A451,$B451)</f>
        <v>1</v>
      </c>
      <c r="M451" s="4">
        <f ca="1">_xll.DBRW($B$1,$B$2,$B$7,$B$3,$B$4,$B$5,$F451,$B$6,M$10,$A451,$B451)</f>
        <v>0</v>
      </c>
      <c r="N451" s="4">
        <f ca="1">_xll.DBRW($B$1,$B$2,$B$7,$B$3,$B$4,$B$5,$F451,$B$6,N$10,$A451,$B451)</f>
        <v>0</v>
      </c>
      <c r="O451" s="4">
        <f ca="1">_xll.DBRW($B$1,$B$2,$B$7,$B$3,$B$4,$B$5,$F451,$B$6,O$10,$A451,$B451)</f>
        <v>0</v>
      </c>
      <c r="P451" s="4">
        <f ca="1">_xll.DBRW($B$1,$B$2,$B$7,$B$3,$B$4,$B$5,$F451,$B$6,P$10,$A451,$B451)</f>
        <v>0</v>
      </c>
      <c r="Q451" s="4">
        <f ca="1">_xll.DBRW($B$1,$B$2,$B$7,$B$3,$B$4,$B$5,$F451,$B$6,Q$10,$A451,$B451)</f>
        <v>5</v>
      </c>
      <c r="R451" s="4">
        <f ca="1">_xll.DBRW($B$1,$B$2,$B$7,$B$3,$B$4,$B$5,$F451,$B$6,R$10,$A451,$B451)</f>
        <v>29</v>
      </c>
      <c r="S451" s="4">
        <f ca="1">_xll.DBRW($B$1,$B$2,$B$7,$B$3,$B$4,$B$5,$F451,$B$6,S$10,$A451,$B451)</f>
        <v>29</v>
      </c>
      <c r="T451" s="4">
        <f ca="1">_xll.DBRW($B$1,$B$2,$B$7,$B$3,$B$4,$B$5,$F451,$B$6,T$10,$A451,$B451)</f>
        <v>4</v>
      </c>
      <c r="U451" s="4">
        <f ca="1">_xll.DBRW($B$1,$B$2,$B$7,$B$3,$B$4,$B$5,$F451,$B$6,U$10,$A451,$B451)</f>
        <v>4</v>
      </c>
      <c r="V451" s="4">
        <f ca="1">_xll.DBRW($B$1,$B$2,$B$7,$B$3,$B$4,$B$5,$F451,$B$6,V$10,$A451,$B451)</f>
        <v>4</v>
      </c>
      <c r="W451" s="4">
        <f ca="1">_xll.DBRW($B$1,$B$2,$B$7,$B$3,$B$4,$B$5,$F451,$B$6,W$10,$A451,$B451)</f>
        <v>0</v>
      </c>
      <c r="X451" s="4">
        <f ca="1">_xll.DBRW($B$1,$B$2,$B$7,$B$3,$B$4,$B$5,$F451,$B$6,X$10,$A451,$B451)</f>
        <v>0</v>
      </c>
      <c r="Y451" s="4">
        <f ca="1">_xll.DBRW($B$1,$B$2,$B$7,$B$3,$B$4,$B$5,$F451,$B$6,Y$10,$A451,$B451)</f>
        <v>0</v>
      </c>
      <c r="Z451" s="4">
        <f ca="1">_xll.DBRW($B$1,$B$2,$B$7,$B$3,$B$4,$B$5,$F451,$B$6,Z$10,$A451,$B451)</f>
        <v>0</v>
      </c>
      <c r="AA451" s="4">
        <f ca="1">_xll.DBRW($B$1,$B$2,$B$7,$B$3,$B$4,$B$5,$F451,$B$6,AA$10,$A451,$B451)</f>
        <v>0</v>
      </c>
      <c r="AB451" s="4">
        <f ca="1">_xll.DBRW($B$1,$B$2,$B$7,$B$3,$B$4,$B$5,$F451,$B$6,AB$10,$A451,$B451)</f>
        <v>0</v>
      </c>
      <c r="AC451" s="4">
        <f ca="1">_xll.DBRW($B$1,$B$2,$B$7,$B$3,$B$4,$B$5,$F451,$B$6,AC$10,$A451,$B451)</f>
        <v>1</v>
      </c>
      <c r="AD451" s="4">
        <f ca="1">_xll.DBRW($B$1,$B$2,$B$7,$B$3,$B$4,$B$5,$F451,$B$6,AD$10,$A451,$B451)</f>
        <v>4</v>
      </c>
      <c r="AE451" s="4">
        <f ca="1">_xll.DBRW($B$1,$B$2,$B$7,$B$3,$B$4,$B$5,$F451,$B$6,AE$10,$A451,$B451)</f>
        <v>5</v>
      </c>
    </row>
    <row r="452" spans="1:31">
      <c r="A452" s="1" t="s">
        <v>150</v>
      </c>
      <c r="B452" s="5" t="s">
        <v>295</v>
      </c>
      <c r="C452" s="5" t="s">
        <v>296</v>
      </c>
      <c r="D452" s="5" t="s">
        <v>294</v>
      </c>
      <c r="E452" s="5" t="s">
        <v>21</v>
      </c>
      <c r="F452" s="5" t="s">
        <v>315</v>
      </c>
      <c r="G452" s="6"/>
      <c r="H452" s="6"/>
      <c r="I452" s="6"/>
      <c r="J452" s="6"/>
      <c r="K452" s="6"/>
      <c r="L452" s="4">
        <f ca="1">_xll.DBRW($B$1,$B$2,$B$7,$B$3,$B$4,$B$5,$F452,$B$6,L$10,$A452,$B452)</f>
        <v>1</v>
      </c>
      <c r="M452" s="4">
        <f ca="1">_xll.DBRW($B$1,$B$2,$B$7,$B$3,$B$4,$B$5,$F452,$B$6,M$10,$A452,$B452)</f>
        <v>0</v>
      </c>
      <c r="N452" s="4">
        <f ca="1">_xll.DBRW($B$1,$B$2,$B$7,$B$3,$B$4,$B$5,$F452,$B$6,N$10,$A452,$B452)</f>
        <v>0</v>
      </c>
      <c r="O452" s="4">
        <f ca="1">_xll.DBRW($B$1,$B$2,$B$7,$B$3,$B$4,$B$5,$F452,$B$6,O$10,$A452,$B452)</f>
        <v>0</v>
      </c>
      <c r="P452" s="4">
        <f ca="1">_xll.DBRW($B$1,$B$2,$B$7,$B$3,$B$4,$B$5,$F452,$B$6,P$10,$A452,$B452)</f>
        <v>0</v>
      </c>
      <c r="Q452" s="4">
        <f ca="1">_xll.DBRW($B$1,$B$2,$B$7,$B$3,$B$4,$B$5,$F452,$B$6,Q$10,$A452,$B452)</f>
        <v>5</v>
      </c>
      <c r="R452" s="4">
        <f ca="1">_xll.DBRW($B$1,$B$2,$B$7,$B$3,$B$4,$B$5,$F452,$B$6,R$10,$A452,$B452)</f>
        <v>29</v>
      </c>
      <c r="S452" s="4">
        <f ca="1">_xll.DBRW($B$1,$B$2,$B$7,$B$3,$B$4,$B$5,$F452,$B$6,S$10,$A452,$B452)</f>
        <v>29</v>
      </c>
      <c r="T452" s="4">
        <f ca="1">_xll.DBRW($B$1,$B$2,$B$7,$B$3,$B$4,$B$5,$F452,$B$6,T$10,$A452,$B452)</f>
        <v>5</v>
      </c>
      <c r="U452" s="4">
        <f ca="1">_xll.DBRW($B$1,$B$2,$B$7,$B$3,$B$4,$B$5,$F452,$B$6,U$10,$A452,$B452)</f>
        <v>4</v>
      </c>
      <c r="V452" s="4">
        <f ca="1">_xll.DBRW($B$1,$B$2,$B$7,$B$3,$B$4,$B$5,$F452,$B$6,V$10,$A452,$B452)</f>
        <v>4</v>
      </c>
      <c r="W452" s="4">
        <f ca="1">_xll.DBRW($B$1,$B$2,$B$7,$B$3,$B$4,$B$5,$F452,$B$6,W$10,$A452,$B452)</f>
        <v>0</v>
      </c>
      <c r="X452" s="4">
        <f ca="1">_xll.DBRW($B$1,$B$2,$B$7,$B$3,$B$4,$B$5,$F452,$B$6,X$10,$A452,$B452)</f>
        <v>0</v>
      </c>
      <c r="Y452" s="4">
        <f ca="1">_xll.DBRW($B$1,$B$2,$B$7,$B$3,$B$4,$B$5,$F452,$B$6,Y$10,$A452,$B452)</f>
        <v>0</v>
      </c>
      <c r="Z452" s="4">
        <f ca="1">_xll.DBRW($B$1,$B$2,$B$7,$B$3,$B$4,$B$5,$F452,$B$6,Z$10,$A452,$B452)</f>
        <v>0</v>
      </c>
      <c r="AA452" s="4">
        <f ca="1">_xll.DBRW($B$1,$B$2,$B$7,$B$3,$B$4,$B$5,$F452,$B$6,AA$10,$A452,$B452)</f>
        <v>0</v>
      </c>
      <c r="AB452" s="4">
        <f ca="1">_xll.DBRW($B$1,$B$2,$B$7,$B$3,$B$4,$B$5,$F452,$B$6,AB$10,$A452,$B452)</f>
        <v>0</v>
      </c>
      <c r="AC452" s="4">
        <f ca="1">_xll.DBRW($B$1,$B$2,$B$7,$B$3,$B$4,$B$5,$F452,$B$6,AC$10,$A452,$B452)</f>
        <v>1</v>
      </c>
      <c r="AD452" s="4">
        <f ca="1">_xll.DBRW($B$1,$B$2,$B$7,$B$3,$B$4,$B$5,$F452,$B$6,AD$10,$A452,$B452)</f>
        <v>4</v>
      </c>
      <c r="AE452" s="4">
        <f ca="1">_xll.DBRW($B$1,$B$2,$B$7,$B$3,$B$4,$B$5,$F452,$B$6,AE$10,$A452,$B452)</f>
        <v>5</v>
      </c>
    </row>
    <row r="453" spans="1:31">
      <c r="A453" s="1" t="s">
        <v>150</v>
      </c>
      <c r="B453" s="5" t="s">
        <v>297</v>
      </c>
      <c r="C453" s="5" t="s">
        <v>298</v>
      </c>
      <c r="D453" s="5" t="s">
        <v>21</v>
      </c>
      <c r="E453" s="5" t="s">
        <v>299</v>
      </c>
      <c r="F453" s="5" t="s">
        <v>315</v>
      </c>
      <c r="G453" s="6"/>
      <c r="H453" s="6"/>
      <c r="I453" s="6"/>
      <c r="J453" s="6"/>
      <c r="K453" s="6"/>
      <c r="L453" s="4">
        <f ca="1">_xll.DBRW($B$1,$B$2,$B$7,$B$3,$B$4,$B$5,$F453,$B$6,L$10,$A453,$B453)</f>
        <v>0</v>
      </c>
      <c r="M453" s="4">
        <f ca="1">_xll.DBRW($B$1,$B$2,$B$7,$B$3,$B$4,$B$5,$F453,$B$6,M$10,$A453,$B453)</f>
        <v>0</v>
      </c>
      <c r="N453" s="4">
        <f ca="1">_xll.DBRW($B$1,$B$2,$B$7,$B$3,$B$4,$B$5,$F453,$B$6,N$10,$A453,$B453)</f>
        <v>0</v>
      </c>
      <c r="O453" s="4">
        <f ca="1">_xll.DBRW($B$1,$B$2,$B$7,$B$3,$B$4,$B$5,$F453,$B$6,O$10,$A453,$B453)</f>
        <v>0</v>
      </c>
      <c r="P453" s="4">
        <f ca="1">_xll.DBRW($B$1,$B$2,$B$7,$B$3,$B$4,$B$5,$F453,$B$6,P$10,$A453,$B453)</f>
        <v>0</v>
      </c>
      <c r="Q453" s="4">
        <f ca="1">_xll.DBRW($B$1,$B$2,$B$7,$B$3,$B$4,$B$5,$F453,$B$6,Q$10,$A453,$B453)</f>
        <v>0</v>
      </c>
      <c r="R453" s="4">
        <f ca="1">_xll.DBRW($B$1,$B$2,$B$7,$B$3,$B$4,$B$5,$F453,$B$6,R$10,$A453,$B453)</f>
        <v>0</v>
      </c>
      <c r="S453" s="4">
        <f ca="1">_xll.DBRW($B$1,$B$2,$B$7,$B$3,$B$4,$B$5,$F453,$B$6,S$10,$A453,$B453)</f>
        <v>0</v>
      </c>
      <c r="T453" s="4">
        <f ca="1">_xll.DBRW($B$1,$B$2,$B$7,$B$3,$B$4,$B$5,$F453,$B$6,T$10,$A453,$B453)</f>
        <v>0</v>
      </c>
      <c r="U453" s="4">
        <f ca="1">_xll.DBRW($B$1,$B$2,$B$7,$B$3,$B$4,$B$5,$F453,$B$6,U$10,$A453,$B453)</f>
        <v>0</v>
      </c>
      <c r="V453" s="4">
        <f ca="1">_xll.DBRW($B$1,$B$2,$B$7,$B$3,$B$4,$B$5,$F453,$B$6,V$10,$A453,$B453)</f>
        <v>0</v>
      </c>
      <c r="W453" s="4">
        <f ca="1">_xll.DBRW($B$1,$B$2,$B$7,$B$3,$B$4,$B$5,$F453,$B$6,W$10,$A453,$B453)</f>
        <v>0</v>
      </c>
      <c r="X453" s="4">
        <f ca="1">_xll.DBRW($B$1,$B$2,$B$7,$B$3,$B$4,$B$5,$F453,$B$6,X$10,$A453,$B453)</f>
        <v>0</v>
      </c>
      <c r="Y453" s="4">
        <f ca="1">_xll.DBRW($B$1,$B$2,$B$7,$B$3,$B$4,$B$5,$F453,$B$6,Y$10,$A453,$B453)</f>
        <v>0</v>
      </c>
      <c r="Z453" s="4">
        <f ca="1">_xll.DBRW($B$1,$B$2,$B$7,$B$3,$B$4,$B$5,$F453,$B$6,Z$10,$A453,$B453)</f>
        <v>0</v>
      </c>
      <c r="AA453" s="4">
        <f ca="1">_xll.DBRW($B$1,$B$2,$B$7,$B$3,$B$4,$B$5,$F453,$B$6,AA$10,$A453,$B453)</f>
        <v>0</v>
      </c>
      <c r="AB453" s="4">
        <f ca="1">_xll.DBRW($B$1,$B$2,$B$7,$B$3,$B$4,$B$5,$F453,$B$6,AB$10,$A453,$B453)</f>
        <v>0</v>
      </c>
      <c r="AC453" s="4">
        <f ca="1">_xll.DBRW($B$1,$B$2,$B$7,$B$3,$B$4,$B$5,$F453,$B$6,AC$10,$A453,$B453)</f>
        <v>0</v>
      </c>
      <c r="AD453" s="4">
        <f ca="1">_xll.DBRW($B$1,$B$2,$B$7,$B$3,$B$4,$B$5,$F453,$B$6,AD$10,$A453,$B453)</f>
        <v>0</v>
      </c>
      <c r="AE453" s="4">
        <f ca="1">_xll.DBRW($B$1,$B$2,$B$7,$B$3,$B$4,$B$5,$F453,$B$6,AE$10,$A453,$B453)</f>
        <v>0</v>
      </c>
    </row>
    <row r="454" spans="1:31">
      <c r="A454" s="1" t="s">
        <v>150</v>
      </c>
      <c r="B454" s="5" t="s">
        <v>300</v>
      </c>
      <c r="C454" s="5" t="s">
        <v>301</v>
      </c>
      <c r="D454" s="5" t="s">
        <v>299</v>
      </c>
      <c r="E454" s="5" t="s">
        <v>21</v>
      </c>
      <c r="F454" s="5" t="s">
        <v>315</v>
      </c>
      <c r="G454" s="6"/>
      <c r="H454" s="6"/>
      <c r="I454" s="6"/>
      <c r="J454" s="6"/>
      <c r="K454" s="6"/>
      <c r="L454" s="4">
        <f ca="1">_xll.DBRW($B$1,$B$2,$B$7,$B$3,$B$4,$B$5,$F454,$B$6,L$10,$A454,$B454)</f>
        <v>0</v>
      </c>
      <c r="M454" s="4">
        <f ca="1">_xll.DBRW($B$1,$B$2,$B$7,$B$3,$B$4,$B$5,$F454,$B$6,M$10,$A454,$B454)</f>
        <v>0</v>
      </c>
      <c r="N454" s="4">
        <f ca="1">_xll.DBRW($B$1,$B$2,$B$7,$B$3,$B$4,$B$5,$F454,$B$6,N$10,$A454,$B454)</f>
        <v>0</v>
      </c>
      <c r="O454" s="4">
        <f ca="1">_xll.DBRW($B$1,$B$2,$B$7,$B$3,$B$4,$B$5,$F454,$B$6,O$10,$A454,$B454)</f>
        <v>0</v>
      </c>
      <c r="P454" s="4">
        <f ca="1">_xll.DBRW($B$1,$B$2,$B$7,$B$3,$B$4,$B$5,$F454,$B$6,P$10,$A454,$B454)</f>
        <v>0</v>
      </c>
      <c r="Q454" s="4">
        <f ca="1">_xll.DBRW($B$1,$B$2,$B$7,$B$3,$B$4,$B$5,$F454,$B$6,Q$10,$A454,$B454)</f>
        <v>0</v>
      </c>
      <c r="R454" s="4">
        <f ca="1">_xll.DBRW($B$1,$B$2,$B$7,$B$3,$B$4,$B$5,$F454,$B$6,R$10,$A454,$B454)</f>
        <v>0</v>
      </c>
      <c r="S454" s="4">
        <f ca="1">_xll.DBRW($B$1,$B$2,$B$7,$B$3,$B$4,$B$5,$F454,$B$6,S$10,$A454,$B454)</f>
        <v>0</v>
      </c>
      <c r="T454" s="4">
        <f ca="1">_xll.DBRW($B$1,$B$2,$B$7,$B$3,$B$4,$B$5,$F454,$B$6,T$10,$A454,$B454)</f>
        <v>0</v>
      </c>
      <c r="U454" s="4">
        <f ca="1">_xll.DBRW($B$1,$B$2,$B$7,$B$3,$B$4,$B$5,$F454,$B$6,U$10,$A454,$B454)</f>
        <v>0</v>
      </c>
      <c r="V454" s="4">
        <f ca="1">_xll.DBRW($B$1,$B$2,$B$7,$B$3,$B$4,$B$5,$F454,$B$6,V$10,$A454,$B454)</f>
        <v>0</v>
      </c>
      <c r="W454" s="4">
        <f ca="1">_xll.DBRW($B$1,$B$2,$B$7,$B$3,$B$4,$B$5,$F454,$B$6,W$10,$A454,$B454)</f>
        <v>0</v>
      </c>
      <c r="X454" s="4">
        <f ca="1">_xll.DBRW($B$1,$B$2,$B$7,$B$3,$B$4,$B$5,$F454,$B$6,X$10,$A454,$B454)</f>
        <v>0</v>
      </c>
      <c r="Y454" s="4">
        <f ca="1">_xll.DBRW($B$1,$B$2,$B$7,$B$3,$B$4,$B$5,$F454,$B$6,Y$10,$A454,$B454)</f>
        <v>0</v>
      </c>
      <c r="Z454" s="4">
        <f ca="1">_xll.DBRW($B$1,$B$2,$B$7,$B$3,$B$4,$B$5,$F454,$B$6,Z$10,$A454,$B454)</f>
        <v>0</v>
      </c>
      <c r="AA454" s="4">
        <f ca="1">_xll.DBRW($B$1,$B$2,$B$7,$B$3,$B$4,$B$5,$F454,$B$6,AA$10,$A454,$B454)</f>
        <v>0</v>
      </c>
      <c r="AB454" s="4">
        <f ca="1">_xll.DBRW($B$1,$B$2,$B$7,$B$3,$B$4,$B$5,$F454,$B$6,AB$10,$A454,$B454)</f>
        <v>0</v>
      </c>
      <c r="AC454" s="4">
        <f ca="1">_xll.DBRW($B$1,$B$2,$B$7,$B$3,$B$4,$B$5,$F454,$B$6,AC$10,$A454,$B454)</f>
        <v>0</v>
      </c>
      <c r="AD454" s="4">
        <f ca="1">_xll.DBRW($B$1,$B$2,$B$7,$B$3,$B$4,$B$5,$F454,$B$6,AD$10,$A454,$B454)</f>
        <v>0</v>
      </c>
      <c r="AE454" s="4">
        <f ca="1">_xll.DBRW($B$1,$B$2,$B$7,$B$3,$B$4,$B$5,$F454,$B$6,AE$10,$A454,$B454)</f>
        <v>0</v>
      </c>
    </row>
    <row r="455" spans="1:31">
      <c r="A455" s="1" t="s">
        <v>150</v>
      </c>
      <c r="B455" s="5" t="s">
        <v>302</v>
      </c>
      <c r="C455" s="5" t="s">
        <v>303</v>
      </c>
      <c r="D455" s="5" t="s">
        <v>21</v>
      </c>
      <c r="E455" s="5" t="s">
        <v>304</v>
      </c>
      <c r="F455" s="5" t="s">
        <v>315</v>
      </c>
      <c r="G455" s="6"/>
      <c r="H455" s="6"/>
      <c r="I455" s="6"/>
      <c r="J455" s="6"/>
      <c r="K455" s="6"/>
      <c r="L455" s="4">
        <f ca="1">_xll.DBRW($B$1,$B$2,$B$7,$B$3,$B$4,$B$5,$F455,$B$6,L$10,$A455,$B455)</f>
        <v>0</v>
      </c>
      <c r="M455" s="4">
        <f ca="1">_xll.DBRW($B$1,$B$2,$B$7,$B$3,$B$4,$B$5,$F455,$B$6,M$10,$A455,$B455)</f>
        <v>0</v>
      </c>
      <c r="N455" s="4">
        <f ca="1">_xll.DBRW($B$1,$B$2,$B$7,$B$3,$B$4,$B$5,$F455,$B$6,N$10,$A455,$B455)</f>
        <v>0</v>
      </c>
      <c r="O455" s="4">
        <f ca="1">_xll.DBRW($B$1,$B$2,$B$7,$B$3,$B$4,$B$5,$F455,$B$6,O$10,$A455,$B455)</f>
        <v>0</v>
      </c>
      <c r="P455" s="4">
        <f ca="1">_xll.DBRW($B$1,$B$2,$B$7,$B$3,$B$4,$B$5,$F455,$B$6,P$10,$A455,$B455)</f>
        <v>0</v>
      </c>
      <c r="Q455" s="4">
        <f ca="1">_xll.DBRW($B$1,$B$2,$B$7,$B$3,$B$4,$B$5,$F455,$B$6,Q$10,$A455,$B455)</f>
        <v>0</v>
      </c>
      <c r="R455" s="4">
        <f ca="1">_xll.DBRW($B$1,$B$2,$B$7,$B$3,$B$4,$B$5,$F455,$B$6,R$10,$A455,$B455)</f>
        <v>0</v>
      </c>
      <c r="S455" s="4">
        <f ca="1">_xll.DBRW($B$1,$B$2,$B$7,$B$3,$B$4,$B$5,$F455,$B$6,S$10,$A455,$B455)</f>
        <v>0</v>
      </c>
      <c r="T455" s="4">
        <f ca="1">_xll.DBRW($B$1,$B$2,$B$7,$B$3,$B$4,$B$5,$F455,$B$6,T$10,$A455,$B455)</f>
        <v>0</v>
      </c>
      <c r="U455" s="4">
        <f ca="1">_xll.DBRW($B$1,$B$2,$B$7,$B$3,$B$4,$B$5,$F455,$B$6,U$10,$A455,$B455)</f>
        <v>0</v>
      </c>
      <c r="V455" s="4">
        <f ca="1">_xll.DBRW($B$1,$B$2,$B$7,$B$3,$B$4,$B$5,$F455,$B$6,V$10,$A455,$B455)</f>
        <v>0</v>
      </c>
      <c r="W455" s="4">
        <f ca="1">_xll.DBRW($B$1,$B$2,$B$7,$B$3,$B$4,$B$5,$F455,$B$6,W$10,$A455,$B455)</f>
        <v>0</v>
      </c>
      <c r="X455" s="4">
        <f ca="1">_xll.DBRW($B$1,$B$2,$B$7,$B$3,$B$4,$B$5,$F455,$B$6,X$10,$A455,$B455)</f>
        <v>0</v>
      </c>
      <c r="Y455" s="4">
        <f ca="1">_xll.DBRW($B$1,$B$2,$B$7,$B$3,$B$4,$B$5,$F455,$B$6,Y$10,$A455,$B455)</f>
        <v>0</v>
      </c>
      <c r="Z455" s="4">
        <f ca="1">_xll.DBRW($B$1,$B$2,$B$7,$B$3,$B$4,$B$5,$F455,$B$6,Z$10,$A455,$B455)</f>
        <v>0</v>
      </c>
      <c r="AA455" s="4">
        <f ca="1">_xll.DBRW($B$1,$B$2,$B$7,$B$3,$B$4,$B$5,$F455,$B$6,AA$10,$A455,$B455)</f>
        <v>0</v>
      </c>
      <c r="AB455" s="4">
        <f ca="1">_xll.DBRW($B$1,$B$2,$B$7,$B$3,$B$4,$B$5,$F455,$B$6,AB$10,$A455,$B455)</f>
        <v>0</v>
      </c>
      <c r="AC455" s="4">
        <f ca="1">_xll.DBRW($B$1,$B$2,$B$7,$B$3,$B$4,$B$5,$F455,$B$6,AC$10,$A455,$B455)</f>
        <v>0</v>
      </c>
      <c r="AD455" s="4">
        <f ca="1">_xll.DBRW($B$1,$B$2,$B$7,$B$3,$B$4,$B$5,$F455,$B$6,AD$10,$A455,$B455)</f>
        <v>0</v>
      </c>
      <c r="AE455" s="4">
        <f ca="1">_xll.DBRW($B$1,$B$2,$B$7,$B$3,$B$4,$B$5,$F455,$B$6,AE$10,$A455,$B455)</f>
        <v>0</v>
      </c>
    </row>
    <row r="456" spans="1:31">
      <c r="A456" s="1" t="s">
        <v>150</v>
      </c>
      <c r="B456" s="5" t="s">
        <v>305</v>
      </c>
      <c r="C456" s="5" t="s">
        <v>306</v>
      </c>
      <c r="D456" s="5" t="s">
        <v>304</v>
      </c>
      <c r="E456" s="5" t="s">
        <v>21</v>
      </c>
      <c r="F456" s="5" t="s">
        <v>315</v>
      </c>
      <c r="G456" s="6"/>
      <c r="H456" s="6"/>
      <c r="I456" s="6"/>
      <c r="J456" s="6"/>
      <c r="K456" s="6"/>
      <c r="L456" s="4">
        <f ca="1">_xll.DBRW($B$1,$B$2,$B$7,$B$3,$B$4,$B$5,$F456,$B$6,L$10,$A456,$B456)</f>
        <v>0</v>
      </c>
      <c r="M456" s="4">
        <f ca="1">_xll.DBRW($B$1,$B$2,$B$7,$B$3,$B$4,$B$5,$F456,$B$6,M$10,$A456,$B456)</f>
        <v>0</v>
      </c>
      <c r="N456" s="4">
        <f ca="1">_xll.DBRW($B$1,$B$2,$B$7,$B$3,$B$4,$B$5,$F456,$B$6,N$10,$A456,$B456)</f>
        <v>0</v>
      </c>
      <c r="O456" s="4">
        <f ca="1">_xll.DBRW($B$1,$B$2,$B$7,$B$3,$B$4,$B$5,$F456,$B$6,O$10,$A456,$B456)</f>
        <v>0</v>
      </c>
      <c r="P456" s="4">
        <f ca="1">_xll.DBRW($B$1,$B$2,$B$7,$B$3,$B$4,$B$5,$F456,$B$6,P$10,$A456,$B456)</f>
        <v>0</v>
      </c>
      <c r="Q456" s="4">
        <f ca="1">_xll.DBRW($B$1,$B$2,$B$7,$B$3,$B$4,$B$5,$F456,$B$6,Q$10,$A456,$B456)</f>
        <v>0</v>
      </c>
      <c r="R456" s="4">
        <f ca="1">_xll.DBRW($B$1,$B$2,$B$7,$B$3,$B$4,$B$5,$F456,$B$6,R$10,$A456,$B456)</f>
        <v>0</v>
      </c>
      <c r="S456" s="4">
        <f ca="1">_xll.DBRW($B$1,$B$2,$B$7,$B$3,$B$4,$B$5,$F456,$B$6,S$10,$A456,$B456)</f>
        <v>0</v>
      </c>
      <c r="T456" s="4">
        <f ca="1">_xll.DBRW($B$1,$B$2,$B$7,$B$3,$B$4,$B$5,$F456,$B$6,T$10,$A456,$B456)</f>
        <v>0</v>
      </c>
      <c r="U456" s="4">
        <f ca="1">_xll.DBRW($B$1,$B$2,$B$7,$B$3,$B$4,$B$5,$F456,$B$6,U$10,$A456,$B456)</f>
        <v>0</v>
      </c>
      <c r="V456" s="4">
        <f ca="1">_xll.DBRW($B$1,$B$2,$B$7,$B$3,$B$4,$B$5,$F456,$B$6,V$10,$A456,$B456)</f>
        <v>0</v>
      </c>
      <c r="W456" s="4">
        <f ca="1">_xll.DBRW($B$1,$B$2,$B$7,$B$3,$B$4,$B$5,$F456,$B$6,W$10,$A456,$B456)</f>
        <v>0</v>
      </c>
      <c r="X456" s="4">
        <f ca="1">_xll.DBRW($B$1,$B$2,$B$7,$B$3,$B$4,$B$5,$F456,$B$6,X$10,$A456,$B456)</f>
        <v>0</v>
      </c>
      <c r="Y456" s="4">
        <f ca="1">_xll.DBRW($B$1,$B$2,$B$7,$B$3,$B$4,$B$5,$F456,$B$6,Y$10,$A456,$B456)</f>
        <v>0</v>
      </c>
      <c r="Z456" s="4">
        <f ca="1">_xll.DBRW($B$1,$B$2,$B$7,$B$3,$B$4,$B$5,$F456,$B$6,Z$10,$A456,$B456)</f>
        <v>0</v>
      </c>
      <c r="AA456" s="4">
        <f ca="1">_xll.DBRW($B$1,$B$2,$B$7,$B$3,$B$4,$B$5,$F456,$B$6,AA$10,$A456,$B456)</f>
        <v>0</v>
      </c>
      <c r="AB456" s="4">
        <f ca="1">_xll.DBRW($B$1,$B$2,$B$7,$B$3,$B$4,$B$5,$F456,$B$6,AB$10,$A456,$B456)</f>
        <v>0</v>
      </c>
      <c r="AC456" s="4">
        <f ca="1">_xll.DBRW($B$1,$B$2,$B$7,$B$3,$B$4,$B$5,$F456,$B$6,AC$10,$A456,$B456)</f>
        <v>0</v>
      </c>
      <c r="AD456" s="4">
        <f ca="1">_xll.DBRW($B$1,$B$2,$B$7,$B$3,$B$4,$B$5,$F456,$B$6,AD$10,$A456,$B456)</f>
        <v>0</v>
      </c>
      <c r="AE456" s="4">
        <f ca="1">_xll.DBRW($B$1,$B$2,$B$7,$B$3,$B$4,$B$5,$F456,$B$6,AE$10,$A456,$B456)</f>
        <v>0</v>
      </c>
    </row>
    <row r="457" spans="1:31">
      <c r="A457" s="1" t="s">
        <v>150</v>
      </c>
      <c r="B457" s="5" t="s">
        <v>307</v>
      </c>
      <c r="C457" s="5" t="s">
        <v>308</v>
      </c>
      <c r="D457" s="5" t="s">
        <v>21</v>
      </c>
      <c r="E457" s="5" t="s">
        <v>309</v>
      </c>
      <c r="F457" s="5" t="s">
        <v>315</v>
      </c>
      <c r="G457" s="6"/>
      <c r="H457" s="6"/>
      <c r="I457" s="6"/>
      <c r="J457" s="6"/>
      <c r="K457" s="6"/>
      <c r="L457" s="4">
        <f ca="1">_xll.DBRW($B$1,$B$2,$B$7,$B$3,$B$4,$B$5,$F457,$B$6,L$10,$A457,$B457)</f>
        <v>0</v>
      </c>
      <c r="M457" s="4">
        <f ca="1">_xll.DBRW($B$1,$B$2,$B$7,$B$3,$B$4,$B$5,$F457,$B$6,M$10,$A457,$B457)</f>
        <v>0</v>
      </c>
      <c r="N457" s="4">
        <f ca="1">_xll.DBRW($B$1,$B$2,$B$7,$B$3,$B$4,$B$5,$F457,$B$6,N$10,$A457,$B457)</f>
        <v>0</v>
      </c>
      <c r="O457" s="4">
        <f ca="1">_xll.DBRW($B$1,$B$2,$B$7,$B$3,$B$4,$B$5,$F457,$B$6,O$10,$A457,$B457)</f>
        <v>0</v>
      </c>
      <c r="P457" s="4">
        <f ca="1">_xll.DBRW($B$1,$B$2,$B$7,$B$3,$B$4,$B$5,$F457,$B$6,P$10,$A457,$B457)</f>
        <v>0</v>
      </c>
      <c r="Q457" s="4">
        <f ca="1">_xll.DBRW($B$1,$B$2,$B$7,$B$3,$B$4,$B$5,$F457,$B$6,Q$10,$A457,$B457)</f>
        <v>0</v>
      </c>
      <c r="R457" s="4">
        <f ca="1">_xll.DBRW($B$1,$B$2,$B$7,$B$3,$B$4,$B$5,$F457,$B$6,R$10,$A457,$B457)</f>
        <v>0</v>
      </c>
      <c r="S457" s="4">
        <f ca="1">_xll.DBRW($B$1,$B$2,$B$7,$B$3,$B$4,$B$5,$F457,$B$6,S$10,$A457,$B457)</f>
        <v>0</v>
      </c>
      <c r="T457" s="4">
        <f ca="1">_xll.DBRW($B$1,$B$2,$B$7,$B$3,$B$4,$B$5,$F457,$B$6,T$10,$A457,$B457)</f>
        <v>0</v>
      </c>
      <c r="U457" s="4">
        <f ca="1">_xll.DBRW($B$1,$B$2,$B$7,$B$3,$B$4,$B$5,$F457,$B$6,U$10,$A457,$B457)</f>
        <v>0</v>
      </c>
      <c r="V457" s="4">
        <f ca="1">_xll.DBRW($B$1,$B$2,$B$7,$B$3,$B$4,$B$5,$F457,$B$6,V$10,$A457,$B457)</f>
        <v>0</v>
      </c>
      <c r="W457" s="4">
        <f ca="1">_xll.DBRW($B$1,$B$2,$B$7,$B$3,$B$4,$B$5,$F457,$B$6,W$10,$A457,$B457)</f>
        <v>0</v>
      </c>
      <c r="X457" s="4">
        <f ca="1">_xll.DBRW($B$1,$B$2,$B$7,$B$3,$B$4,$B$5,$F457,$B$6,X$10,$A457,$B457)</f>
        <v>0</v>
      </c>
      <c r="Y457" s="4">
        <f ca="1">_xll.DBRW($B$1,$B$2,$B$7,$B$3,$B$4,$B$5,$F457,$B$6,Y$10,$A457,$B457)</f>
        <v>0</v>
      </c>
      <c r="Z457" s="4">
        <f ca="1">_xll.DBRW($B$1,$B$2,$B$7,$B$3,$B$4,$B$5,$F457,$B$6,Z$10,$A457,$B457)</f>
        <v>0</v>
      </c>
      <c r="AA457" s="4">
        <f ca="1">_xll.DBRW($B$1,$B$2,$B$7,$B$3,$B$4,$B$5,$F457,$B$6,AA$10,$A457,$B457)</f>
        <v>0</v>
      </c>
      <c r="AB457" s="4">
        <f ca="1">_xll.DBRW($B$1,$B$2,$B$7,$B$3,$B$4,$B$5,$F457,$B$6,AB$10,$A457,$B457)</f>
        <v>0</v>
      </c>
      <c r="AC457" s="4">
        <f ca="1">_xll.DBRW($B$1,$B$2,$B$7,$B$3,$B$4,$B$5,$F457,$B$6,AC$10,$A457,$B457)</f>
        <v>0</v>
      </c>
      <c r="AD457" s="4">
        <f ca="1">_xll.DBRW($B$1,$B$2,$B$7,$B$3,$B$4,$B$5,$F457,$B$6,AD$10,$A457,$B457)</f>
        <v>0</v>
      </c>
      <c r="AE457" s="4">
        <f ca="1">_xll.DBRW($B$1,$B$2,$B$7,$B$3,$B$4,$B$5,$F457,$B$6,AE$10,$A457,$B457)</f>
        <v>0</v>
      </c>
    </row>
    <row r="458" spans="1:31">
      <c r="A458" s="1" t="s">
        <v>150</v>
      </c>
      <c r="B458" s="5" t="s">
        <v>310</v>
      </c>
      <c r="C458" s="5" t="s">
        <v>311</v>
      </c>
      <c r="D458" s="5" t="s">
        <v>309</v>
      </c>
      <c r="E458" s="5" t="s">
        <v>21</v>
      </c>
      <c r="F458" s="5" t="s">
        <v>315</v>
      </c>
      <c r="G458" s="6"/>
      <c r="H458" s="6"/>
      <c r="I458" s="6"/>
      <c r="J458" s="6"/>
      <c r="K458" s="6"/>
      <c r="L458" s="4">
        <f ca="1">_xll.DBRW($B$1,$B$2,$B$7,$B$3,$B$4,$B$5,$F458,$B$6,L$10,$A458,$B458)</f>
        <v>0</v>
      </c>
      <c r="M458" s="4">
        <f ca="1">_xll.DBRW($B$1,$B$2,$B$7,$B$3,$B$4,$B$5,$F458,$B$6,M$10,$A458,$B458)</f>
        <v>0</v>
      </c>
      <c r="N458" s="4">
        <f ca="1">_xll.DBRW($B$1,$B$2,$B$7,$B$3,$B$4,$B$5,$F458,$B$6,N$10,$A458,$B458)</f>
        <v>0</v>
      </c>
      <c r="O458" s="4">
        <f ca="1">_xll.DBRW($B$1,$B$2,$B$7,$B$3,$B$4,$B$5,$F458,$B$6,O$10,$A458,$B458)</f>
        <v>0</v>
      </c>
      <c r="P458" s="4">
        <f ca="1">_xll.DBRW($B$1,$B$2,$B$7,$B$3,$B$4,$B$5,$F458,$B$6,P$10,$A458,$B458)</f>
        <v>0</v>
      </c>
      <c r="Q458" s="4">
        <f ca="1">_xll.DBRW($B$1,$B$2,$B$7,$B$3,$B$4,$B$5,$F458,$B$6,Q$10,$A458,$B458)</f>
        <v>0</v>
      </c>
      <c r="R458" s="4">
        <f ca="1">_xll.DBRW($B$1,$B$2,$B$7,$B$3,$B$4,$B$5,$F458,$B$6,R$10,$A458,$B458)</f>
        <v>0</v>
      </c>
      <c r="S458" s="4">
        <f ca="1">_xll.DBRW($B$1,$B$2,$B$7,$B$3,$B$4,$B$5,$F458,$B$6,S$10,$A458,$B458)</f>
        <v>0</v>
      </c>
      <c r="T458" s="4">
        <f ca="1">_xll.DBRW($B$1,$B$2,$B$7,$B$3,$B$4,$B$5,$F458,$B$6,T$10,$A458,$B458)</f>
        <v>0</v>
      </c>
      <c r="U458" s="4">
        <f ca="1">_xll.DBRW($B$1,$B$2,$B$7,$B$3,$B$4,$B$5,$F458,$B$6,U$10,$A458,$B458)</f>
        <v>0</v>
      </c>
      <c r="V458" s="4">
        <f ca="1">_xll.DBRW($B$1,$B$2,$B$7,$B$3,$B$4,$B$5,$F458,$B$6,V$10,$A458,$B458)</f>
        <v>0</v>
      </c>
      <c r="W458" s="4">
        <f ca="1">_xll.DBRW($B$1,$B$2,$B$7,$B$3,$B$4,$B$5,$F458,$B$6,W$10,$A458,$B458)</f>
        <v>0</v>
      </c>
      <c r="X458" s="4">
        <f ca="1">_xll.DBRW($B$1,$B$2,$B$7,$B$3,$B$4,$B$5,$F458,$B$6,X$10,$A458,$B458)</f>
        <v>0</v>
      </c>
      <c r="Y458" s="4">
        <f ca="1">_xll.DBRW($B$1,$B$2,$B$7,$B$3,$B$4,$B$5,$F458,$B$6,Y$10,$A458,$B458)</f>
        <v>0</v>
      </c>
      <c r="Z458" s="4">
        <f ca="1">_xll.DBRW($B$1,$B$2,$B$7,$B$3,$B$4,$B$5,$F458,$B$6,Z$10,$A458,$B458)</f>
        <v>0</v>
      </c>
      <c r="AA458" s="4">
        <f ca="1">_xll.DBRW($B$1,$B$2,$B$7,$B$3,$B$4,$B$5,$F458,$B$6,AA$10,$A458,$B458)</f>
        <v>0</v>
      </c>
      <c r="AB458" s="4">
        <f ca="1">_xll.DBRW($B$1,$B$2,$B$7,$B$3,$B$4,$B$5,$F458,$B$6,AB$10,$A458,$B458)</f>
        <v>0</v>
      </c>
      <c r="AC458" s="4">
        <f ca="1">_xll.DBRW($B$1,$B$2,$B$7,$B$3,$B$4,$B$5,$F458,$B$6,AC$10,$A458,$B458)</f>
        <v>0</v>
      </c>
      <c r="AD458" s="4">
        <f ca="1">_xll.DBRW($B$1,$B$2,$B$7,$B$3,$B$4,$B$5,$F458,$B$6,AD$10,$A458,$B458)</f>
        <v>0</v>
      </c>
      <c r="AE458" s="4">
        <f ca="1">_xll.DBRW($B$1,$B$2,$B$7,$B$3,$B$4,$B$5,$F458,$B$6,AE$10,$A458,$B458)</f>
        <v>0</v>
      </c>
    </row>
    <row r="459" spans="1:31">
      <c r="A459" s="1" t="s">
        <v>150</v>
      </c>
      <c r="B459" s="5" t="s">
        <v>158</v>
      </c>
      <c r="C459" s="5" t="s">
        <v>159</v>
      </c>
      <c r="D459" s="5" t="s">
        <v>21</v>
      </c>
      <c r="E459" s="5" t="s">
        <v>38</v>
      </c>
      <c r="F459" s="5" t="s">
        <v>316</v>
      </c>
      <c r="G459" s="6"/>
      <c r="H459" s="6"/>
      <c r="I459" s="6"/>
      <c r="J459" s="6"/>
      <c r="K459" s="6"/>
      <c r="L459" s="4">
        <f ca="1">_xll.DBRW($B$1,$B$2,$B$7,$B$3,$B$4,$B$5,$F459,$B$6,L$10,$A459,$B459)</f>
        <v>0</v>
      </c>
      <c r="M459" s="4">
        <f ca="1">_xll.DBRW($B$1,$B$2,$B$7,$B$3,$B$4,$B$5,$F459,$B$6,M$10,$A459,$B459)</f>
        <v>0</v>
      </c>
      <c r="N459" s="4">
        <f ca="1">_xll.DBRW($B$1,$B$2,$B$7,$B$3,$B$4,$B$5,$F459,$B$6,N$10,$A459,$B459)</f>
        <v>0</v>
      </c>
      <c r="O459" s="4">
        <f ca="1">_xll.DBRW($B$1,$B$2,$B$7,$B$3,$B$4,$B$5,$F459,$B$6,O$10,$A459,$B459)</f>
        <v>0</v>
      </c>
      <c r="P459" s="4">
        <f ca="1">_xll.DBRW($B$1,$B$2,$B$7,$B$3,$B$4,$B$5,$F459,$B$6,P$10,$A459,$B459)</f>
        <v>0</v>
      </c>
      <c r="Q459" s="4">
        <f ca="1">_xll.DBRW($B$1,$B$2,$B$7,$B$3,$B$4,$B$5,$F459,$B$6,Q$10,$A459,$B459)</f>
        <v>2</v>
      </c>
      <c r="R459" s="4">
        <f ca="1">_xll.DBRW($B$1,$B$2,$B$7,$B$3,$B$4,$B$5,$F459,$B$6,R$10,$A459,$B459)</f>
        <v>27</v>
      </c>
      <c r="S459" s="4">
        <f ca="1">_xll.DBRW($B$1,$B$2,$B$7,$B$3,$B$4,$B$5,$F459,$B$6,S$10,$A459,$B459)</f>
        <v>31</v>
      </c>
      <c r="T459" s="4">
        <f ca="1">_xll.DBRW($B$1,$B$2,$B$7,$B$3,$B$4,$B$5,$F459,$B$6,T$10,$A459,$B459)</f>
        <v>0</v>
      </c>
      <c r="U459" s="4">
        <f ca="1">_xll.DBRW($B$1,$B$2,$B$7,$B$3,$B$4,$B$5,$F459,$B$6,U$10,$A459,$B459)</f>
        <v>0</v>
      </c>
      <c r="V459" s="4">
        <f ca="1">_xll.DBRW($B$1,$B$2,$B$7,$B$3,$B$4,$B$5,$F459,$B$6,V$10,$A459,$B459)</f>
        <v>1</v>
      </c>
      <c r="W459" s="4">
        <f ca="1">_xll.DBRW($B$1,$B$2,$B$7,$B$3,$B$4,$B$5,$F459,$B$6,W$10,$A459,$B459)</f>
        <v>26</v>
      </c>
      <c r="X459" s="4">
        <f ca="1">_xll.DBRW($B$1,$B$2,$B$7,$B$3,$B$4,$B$5,$F459,$B$6,X$10,$A459,$B459)</f>
        <v>27</v>
      </c>
      <c r="Y459" s="4">
        <f ca="1">_xll.DBRW($B$1,$B$2,$B$7,$B$3,$B$4,$B$5,$F459,$B$6,Y$10,$A459,$B459)</f>
        <v>25</v>
      </c>
      <c r="Z459" s="4">
        <f ca="1">_xll.DBRW($B$1,$B$2,$B$7,$B$3,$B$4,$B$5,$F459,$B$6,Z$10,$A459,$B459)</f>
        <v>27</v>
      </c>
      <c r="AA459" s="4">
        <f ca="1">_xll.DBRW($B$1,$B$2,$B$7,$B$3,$B$4,$B$5,$F459,$B$6,AA$10,$A459,$B459)</f>
        <v>26</v>
      </c>
      <c r="AB459" s="4">
        <f ca="1">_xll.DBRW($B$1,$B$2,$B$7,$B$3,$B$4,$B$5,$F459,$B$6,AB$10,$A459,$B459)</f>
        <v>26</v>
      </c>
      <c r="AC459" s="4">
        <f ca="1">_xll.DBRW($B$1,$B$2,$B$7,$B$3,$B$4,$B$5,$F459,$B$6,AC$10,$A459,$B459)</f>
        <v>22</v>
      </c>
      <c r="AD459" s="4">
        <f ca="1">_xll.DBRW($B$1,$B$2,$B$7,$B$3,$B$4,$B$5,$F459,$B$6,AD$10,$A459,$B459)</f>
        <v>0</v>
      </c>
      <c r="AE459" s="4">
        <f ca="1">_xll.DBRW($B$1,$B$2,$B$7,$B$3,$B$4,$B$5,$F459,$B$6,AE$10,$A459,$B459)</f>
        <v>0</v>
      </c>
    </row>
    <row r="460" spans="1:31">
      <c r="A460" s="1" t="s">
        <v>150</v>
      </c>
      <c r="B460" s="5" t="s">
        <v>36</v>
      </c>
      <c r="C460" s="5" t="s">
        <v>37</v>
      </c>
      <c r="D460" s="5" t="s">
        <v>38</v>
      </c>
      <c r="E460" s="5" t="s">
        <v>21</v>
      </c>
      <c r="F460" s="5" t="s">
        <v>316</v>
      </c>
      <c r="G460" s="6"/>
      <c r="H460" s="6"/>
      <c r="I460" s="6"/>
      <c r="J460" s="6"/>
      <c r="K460" s="6"/>
      <c r="L460" s="4">
        <f ca="1">_xll.DBRW($B$1,$B$2,$B$7,$B$3,$B$4,$B$5,$F460,$B$6,L$10,$A460,$B460)</f>
        <v>1</v>
      </c>
      <c r="M460" s="4">
        <f ca="1">_xll.DBRW($B$1,$B$2,$B$7,$B$3,$B$4,$B$5,$F460,$B$6,M$10,$A460,$B460)</f>
        <v>0</v>
      </c>
      <c r="N460" s="4">
        <f ca="1">_xll.DBRW($B$1,$B$2,$B$7,$B$3,$B$4,$B$5,$F460,$B$6,N$10,$A460,$B460)</f>
        <v>0</v>
      </c>
      <c r="O460" s="4">
        <f ca="1">_xll.DBRW($B$1,$B$2,$B$7,$B$3,$B$4,$B$5,$F460,$B$6,O$10,$A460,$B460)</f>
        <v>0</v>
      </c>
      <c r="P460" s="4">
        <f ca="1">_xll.DBRW($B$1,$B$2,$B$7,$B$3,$B$4,$B$5,$F460,$B$6,P$10,$A460,$B460)</f>
        <v>0</v>
      </c>
      <c r="Q460" s="4">
        <f ca="1">_xll.DBRW($B$1,$B$2,$B$7,$B$3,$B$4,$B$5,$F460,$B$6,Q$10,$A460,$B460)</f>
        <v>2</v>
      </c>
      <c r="R460" s="4">
        <f ca="1">_xll.DBRW($B$1,$B$2,$B$7,$B$3,$B$4,$B$5,$F460,$B$6,R$10,$A460,$B460)</f>
        <v>27</v>
      </c>
      <c r="S460" s="4">
        <f ca="1">_xll.DBRW($B$1,$B$2,$B$7,$B$3,$B$4,$B$5,$F460,$B$6,S$10,$A460,$B460)</f>
        <v>31</v>
      </c>
      <c r="T460" s="4">
        <f ca="1">_xll.DBRW($B$1,$B$2,$B$7,$B$3,$B$4,$B$5,$F460,$B$6,T$10,$A460,$B460)</f>
        <v>5</v>
      </c>
      <c r="U460" s="4">
        <f ca="1">_xll.DBRW($B$1,$B$2,$B$7,$B$3,$B$4,$B$5,$F460,$B$6,U$10,$A460,$B460)</f>
        <v>4</v>
      </c>
      <c r="V460" s="4">
        <f ca="1">_xll.DBRW($B$1,$B$2,$B$7,$B$3,$B$4,$B$5,$F460,$B$6,V$10,$A460,$B460)</f>
        <v>4</v>
      </c>
      <c r="W460" s="4">
        <f ca="1">_xll.DBRW($B$1,$B$2,$B$7,$B$3,$B$4,$B$5,$F460,$B$6,W$10,$A460,$B460)</f>
        <v>18</v>
      </c>
      <c r="X460" s="4">
        <f ca="1">_xll.DBRW($B$1,$B$2,$B$7,$B$3,$B$4,$B$5,$F460,$B$6,X$10,$A460,$B460)</f>
        <v>18</v>
      </c>
      <c r="Y460" s="4">
        <f ca="1">_xll.DBRW($B$1,$B$2,$B$7,$B$3,$B$4,$B$5,$F460,$B$6,Y$10,$A460,$B460)</f>
        <v>16</v>
      </c>
      <c r="Z460" s="4">
        <f ca="1">_xll.DBRW($B$1,$B$2,$B$7,$B$3,$B$4,$B$5,$F460,$B$6,Z$10,$A460,$B460)</f>
        <v>18</v>
      </c>
      <c r="AA460" s="4">
        <f ca="1">_xll.DBRW($B$1,$B$2,$B$7,$B$3,$B$4,$B$5,$F460,$B$6,AA$10,$A460,$B460)</f>
        <v>18</v>
      </c>
      <c r="AB460" s="4">
        <f ca="1">_xll.DBRW($B$1,$B$2,$B$7,$B$3,$B$4,$B$5,$F460,$B$6,AB$10,$A460,$B460)</f>
        <v>17</v>
      </c>
      <c r="AC460" s="4">
        <f ca="1">_xll.DBRW($B$1,$B$2,$B$7,$B$3,$B$4,$B$5,$F460,$B$6,AC$10,$A460,$B460)</f>
        <v>16</v>
      </c>
      <c r="AD460" s="4">
        <f ca="1">_xll.DBRW($B$1,$B$2,$B$7,$B$3,$B$4,$B$5,$F460,$B$6,AD$10,$A460,$B460)</f>
        <v>4</v>
      </c>
      <c r="AE460" s="4">
        <f ca="1">_xll.DBRW($B$1,$B$2,$B$7,$B$3,$B$4,$B$5,$F460,$B$6,AE$10,$A460,$B460)</f>
        <v>5</v>
      </c>
    </row>
    <row r="461" spans="1:31">
      <c r="A461" s="1" t="s">
        <v>150</v>
      </c>
      <c r="B461" s="5" t="s">
        <v>160</v>
      </c>
      <c r="C461" s="5" t="s">
        <v>161</v>
      </c>
      <c r="D461" s="5" t="s">
        <v>21</v>
      </c>
      <c r="E461" s="5" t="s">
        <v>69</v>
      </c>
      <c r="F461" s="5" t="s">
        <v>316</v>
      </c>
      <c r="G461" s="6"/>
      <c r="H461" s="6"/>
      <c r="I461" s="6"/>
      <c r="J461" s="6"/>
      <c r="K461" s="6"/>
      <c r="L461" s="4">
        <f ca="1">_xll.DBRW($B$1,$B$2,$B$7,$B$3,$B$4,$B$5,$F461,$B$6,L$10,$A461,$B461)</f>
        <v>0</v>
      </c>
      <c r="M461" s="4">
        <f ca="1">_xll.DBRW($B$1,$B$2,$B$7,$B$3,$B$4,$B$5,$F461,$B$6,M$10,$A461,$B461)</f>
        <v>0</v>
      </c>
      <c r="N461" s="4">
        <f ca="1">_xll.DBRW($B$1,$B$2,$B$7,$B$3,$B$4,$B$5,$F461,$B$6,N$10,$A461,$B461)</f>
        <v>0</v>
      </c>
      <c r="O461" s="4">
        <f ca="1">_xll.DBRW($B$1,$B$2,$B$7,$B$3,$B$4,$B$5,$F461,$B$6,O$10,$A461,$B461)</f>
        <v>0</v>
      </c>
      <c r="P461" s="4">
        <f ca="1">_xll.DBRW($B$1,$B$2,$B$7,$B$3,$B$4,$B$5,$F461,$B$6,P$10,$A461,$B461)</f>
        <v>0</v>
      </c>
      <c r="Q461" s="4">
        <f ca="1">_xll.DBRW($B$1,$B$2,$B$7,$B$3,$B$4,$B$5,$F461,$B$6,Q$10,$A461,$B461)</f>
        <v>0</v>
      </c>
      <c r="R461" s="4">
        <f ca="1">_xll.DBRW($B$1,$B$2,$B$7,$B$3,$B$4,$B$5,$F461,$B$6,R$10,$A461,$B461)</f>
        <v>0</v>
      </c>
      <c r="S461" s="4">
        <f ca="1">_xll.DBRW($B$1,$B$2,$B$7,$B$3,$B$4,$B$5,$F461,$B$6,S$10,$A461,$B461)</f>
        <v>0</v>
      </c>
      <c r="T461" s="4">
        <f ca="1">_xll.DBRW($B$1,$B$2,$B$7,$B$3,$B$4,$B$5,$F461,$B$6,T$10,$A461,$B461)</f>
        <v>0</v>
      </c>
      <c r="U461" s="4">
        <f ca="1">_xll.DBRW($B$1,$B$2,$B$7,$B$3,$B$4,$B$5,$F461,$B$6,U$10,$A461,$B461)</f>
        <v>0</v>
      </c>
      <c r="V461" s="4">
        <f ca="1">_xll.DBRW($B$1,$B$2,$B$7,$B$3,$B$4,$B$5,$F461,$B$6,V$10,$A461,$B461)</f>
        <v>0</v>
      </c>
      <c r="W461" s="4">
        <f ca="1">_xll.DBRW($B$1,$B$2,$B$7,$B$3,$B$4,$B$5,$F461,$B$6,W$10,$A461,$B461)</f>
        <v>0</v>
      </c>
      <c r="X461" s="4">
        <f ca="1">_xll.DBRW($B$1,$B$2,$B$7,$B$3,$B$4,$B$5,$F461,$B$6,X$10,$A461,$B461)</f>
        <v>0</v>
      </c>
      <c r="Y461" s="4">
        <f ca="1">_xll.DBRW($B$1,$B$2,$B$7,$B$3,$B$4,$B$5,$F461,$B$6,Y$10,$A461,$B461)</f>
        <v>0</v>
      </c>
      <c r="Z461" s="4">
        <f ca="1">_xll.DBRW($B$1,$B$2,$B$7,$B$3,$B$4,$B$5,$F461,$B$6,Z$10,$A461,$B461)</f>
        <v>0</v>
      </c>
      <c r="AA461" s="4">
        <f ca="1">_xll.DBRW($B$1,$B$2,$B$7,$B$3,$B$4,$B$5,$F461,$B$6,AA$10,$A461,$B461)</f>
        <v>0</v>
      </c>
      <c r="AB461" s="4">
        <f ca="1">_xll.DBRW($B$1,$B$2,$B$7,$B$3,$B$4,$B$5,$F461,$B$6,AB$10,$A461,$B461)</f>
        <v>0</v>
      </c>
      <c r="AC461" s="4">
        <f ca="1">_xll.DBRW($B$1,$B$2,$B$7,$B$3,$B$4,$B$5,$F461,$B$6,AC$10,$A461,$B461)</f>
        <v>0</v>
      </c>
      <c r="AD461" s="4">
        <f ca="1">_xll.DBRW($B$1,$B$2,$B$7,$B$3,$B$4,$B$5,$F461,$B$6,AD$10,$A461,$B461)</f>
        <v>0</v>
      </c>
      <c r="AE461" s="4">
        <f ca="1">_xll.DBRW($B$1,$B$2,$B$7,$B$3,$B$4,$B$5,$F461,$B$6,AE$10,$A461,$B461)</f>
        <v>0</v>
      </c>
    </row>
    <row r="462" spans="1:31">
      <c r="A462" s="1" t="s">
        <v>150</v>
      </c>
      <c r="B462" s="5" t="s">
        <v>67</v>
      </c>
      <c r="C462" s="5" t="s">
        <v>68</v>
      </c>
      <c r="D462" s="5" t="s">
        <v>69</v>
      </c>
      <c r="E462" s="5" t="s">
        <v>21</v>
      </c>
      <c r="F462" s="5" t="s">
        <v>316</v>
      </c>
      <c r="G462" s="6"/>
      <c r="H462" s="6"/>
      <c r="I462" s="6"/>
      <c r="J462" s="6"/>
      <c r="K462" s="6"/>
      <c r="L462" s="4">
        <f ca="1">_xll.DBRW($B$1,$B$2,$B$7,$B$3,$B$4,$B$5,$F462,$B$6,L$10,$A462,$B462)</f>
        <v>0</v>
      </c>
      <c r="M462" s="4">
        <f ca="1">_xll.DBRW($B$1,$B$2,$B$7,$B$3,$B$4,$B$5,$F462,$B$6,M$10,$A462,$B462)</f>
        <v>0</v>
      </c>
      <c r="N462" s="4">
        <f ca="1">_xll.DBRW($B$1,$B$2,$B$7,$B$3,$B$4,$B$5,$F462,$B$6,N$10,$A462,$B462)</f>
        <v>0</v>
      </c>
      <c r="O462" s="4">
        <f ca="1">_xll.DBRW($B$1,$B$2,$B$7,$B$3,$B$4,$B$5,$F462,$B$6,O$10,$A462,$B462)</f>
        <v>0</v>
      </c>
      <c r="P462" s="4">
        <f ca="1">_xll.DBRW($B$1,$B$2,$B$7,$B$3,$B$4,$B$5,$F462,$B$6,P$10,$A462,$B462)</f>
        <v>0</v>
      </c>
      <c r="Q462" s="4">
        <f ca="1">_xll.DBRW($B$1,$B$2,$B$7,$B$3,$B$4,$B$5,$F462,$B$6,Q$10,$A462,$B462)</f>
        <v>0</v>
      </c>
      <c r="R462" s="4">
        <f ca="1">_xll.DBRW($B$1,$B$2,$B$7,$B$3,$B$4,$B$5,$F462,$B$6,R$10,$A462,$B462)</f>
        <v>0</v>
      </c>
      <c r="S462" s="4">
        <f ca="1">_xll.DBRW($B$1,$B$2,$B$7,$B$3,$B$4,$B$5,$F462,$B$6,S$10,$A462,$B462)</f>
        <v>0</v>
      </c>
      <c r="T462" s="4">
        <f ca="1">_xll.DBRW($B$1,$B$2,$B$7,$B$3,$B$4,$B$5,$F462,$B$6,T$10,$A462,$B462)</f>
        <v>0</v>
      </c>
      <c r="U462" s="4">
        <f ca="1">_xll.DBRW($B$1,$B$2,$B$7,$B$3,$B$4,$B$5,$F462,$B$6,U$10,$A462,$B462)</f>
        <v>0</v>
      </c>
      <c r="V462" s="4">
        <f ca="1">_xll.DBRW($B$1,$B$2,$B$7,$B$3,$B$4,$B$5,$F462,$B$6,V$10,$A462,$B462)</f>
        <v>0</v>
      </c>
      <c r="W462" s="4">
        <f ca="1">_xll.DBRW($B$1,$B$2,$B$7,$B$3,$B$4,$B$5,$F462,$B$6,W$10,$A462,$B462)</f>
        <v>0</v>
      </c>
      <c r="X462" s="4">
        <f ca="1">_xll.DBRW($B$1,$B$2,$B$7,$B$3,$B$4,$B$5,$F462,$B$6,X$10,$A462,$B462)</f>
        <v>0</v>
      </c>
      <c r="Y462" s="4">
        <f ca="1">_xll.DBRW($B$1,$B$2,$B$7,$B$3,$B$4,$B$5,$F462,$B$6,Y$10,$A462,$B462)</f>
        <v>0</v>
      </c>
      <c r="Z462" s="4">
        <f ca="1">_xll.DBRW($B$1,$B$2,$B$7,$B$3,$B$4,$B$5,$F462,$B$6,Z$10,$A462,$B462)</f>
        <v>0</v>
      </c>
      <c r="AA462" s="4">
        <f ca="1">_xll.DBRW($B$1,$B$2,$B$7,$B$3,$B$4,$B$5,$F462,$B$6,AA$10,$A462,$B462)</f>
        <v>0</v>
      </c>
      <c r="AB462" s="4">
        <f ca="1">_xll.DBRW($B$1,$B$2,$B$7,$B$3,$B$4,$B$5,$F462,$B$6,AB$10,$A462,$B462)</f>
        <v>0</v>
      </c>
      <c r="AC462" s="4">
        <f ca="1">_xll.DBRW($B$1,$B$2,$B$7,$B$3,$B$4,$B$5,$F462,$B$6,AC$10,$A462,$B462)</f>
        <v>0</v>
      </c>
      <c r="AD462" s="4">
        <f ca="1">_xll.DBRW($B$1,$B$2,$B$7,$B$3,$B$4,$B$5,$F462,$B$6,AD$10,$A462,$B462)</f>
        <v>0</v>
      </c>
      <c r="AE462" s="4">
        <f ca="1">_xll.DBRW($B$1,$B$2,$B$7,$B$3,$B$4,$B$5,$F462,$B$6,AE$10,$A462,$B462)</f>
        <v>0</v>
      </c>
    </row>
    <row r="463" spans="1:31">
      <c r="A463" s="1" t="s">
        <v>150</v>
      </c>
      <c r="B463" s="5" t="s">
        <v>162</v>
      </c>
      <c r="C463" s="5" t="s">
        <v>163</v>
      </c>
      <c r="D463" s="5" t="s">
        <v>21</v>
      </c>
      <c r="E463" s="5" t="s">
        <v>54</v>
      </c>
      <c r="F463" s="5" t="s">
        <v>316</v>
      </c>
      <c r="G463" s="6"/>
      <c r="H463" s="6"/>
      <c r="I463" s="6"/>
      <c r="J463" s="6"/>
      <c r="K463" s="6"/>
      <c r="L463" s="4">
        <f ca="1">_xll.DBRW($B$1,$B$2,$B$7,$B$3,$B$4,$B$5,$F463,$B$6,L$10,$A463,$B463)</f>
        <v>0</v>
      </c>
      <c r="M463" s="4">
        <f ca="1">_xll.DBRW($B$1,$B$2,$B$7,$B$3,$B$4,$B$5,$F463,$B$6,M$10,$A463,$B463)</f>
        <v>0</v>
      </c>
      <c r="N463" s="4">
        <f ca="1">_xll.DBRW($B$1,$B$2,$B$7,$B$3,$B$4,$B$5,$F463,$B$6,N$10,$A463,$B463)</f>
        <v>15</v>
      </c>
      <c r="O463" s="4">
        <f ca="1">_xll.DBRW($B$1,$B$2,$B$7,$B$3,$B$4,$B$5,$F463,$B$6,O$10,$A463,$B463)</f>
        <v>31</v>
      </c>
      <c r="P463" s="4">
        <f ca="1">_xll.DBRW($B$1,$B$2,$B$7,$B$3,$B$4,$B$5,$F463,$B$6,P$10,$A463,$B463)</f>
        <v>30</v>
      </c>
      <c r="Q463" s="4">
        <f ca="1">_xll.DBRW($B$1,$B$2,$B$7,$B$3,$B$4,$B$5,$F463,$B$6,Q$10,$A463,$B463)</f>
        <v>31</v>
      </c>
      <c r="R463" s="4">
        <f ca="1">_xll.DBRW($B$1,$B$2,$B$7,$B$3,$B$4,$B$5,$F463,$B$6,R$10,$A463,$B463)</f>
        <v>29</v>
      </c>
      <c r="S463" s="4">
        <f ca="1">_xll.DBRW($B$1,$B$2,$B$7,$B$3,$B$4,$B$5,$F463,$B$6,S$10,$A463,$B463)</f>
        <v>31</v>
      </c>
      <c r="T463" s="4">
        <f ca="1">_xll.DBRW($B$1,$B$2,$B$7,$B$3,$B$4,$B$5,$F463,$B$6,T$10,$A463,$B463)</f>
        <v>31</v>
      </c>
      <c r="U463" s="4">
        <f ca="1">_xll.DBRW($B$1,$B$2,$B$7,$B$3,$B$4,$B$5,$F463,$B$6,U$10,$A463,$B463)</f>
        <v>28</v>
      </c>
      <c r="V463" s="4">
        <f ca="1">_xll.DBRW($B$1,$B$2,$B$7,$B$3,$B$4,$B$5,$F463,$B$6,V$10,$A463,$B463)</f>
        <v>31</v>
      </c>
      <c r="W463" s="4">
        <f ca="1">_xll.DBRW($B$1,$B$2,$B$7,$B$3,$B$4,$B$5,$F463,$B$6,W$10,$A463,$B463)</f>
        <v>30</v>
      </c>
      <c r="X463" s="4">
        <f ca="1">_xll.DBRW($B$1,$B$2,$B$7,$B$3,$B$4,$B$5,$F463,$B$6,X$10,$A463,$B463)</f>
        <v>31</v>
      </c>
      <c r="Y463" s="4">
        <f ca="1">_xll.DBRW($B$1,$B$2,$B$7,$B$3,$B$4,$B$5,$F463,$B$6,Y$10,$A463,$B463)</f>
        <v>30</v>
      </c>
      <c r="Z463" s="4">
        <f ca="1">_xll.DBRW($B$1,$B$2,$B$7,$B$3,$B$4,$B$5,$F463,$B$6,Z$10,$A463,$B463)</f>
        <v>31</v>
      </c>
      <c r="AA463" s="4">
        <f ca="1">_xll.DBRW($B$1,$B$2,$B$7,$B$3,$B$4,$B$5,$F463,$B$6,AA$10,$A463,$B463)</f>
        <v>31</v>
      </c>
      <c r="AB463" s="4">
        <f ca="1">_xll.DBRW($B$1,$B$2,$B$7,$B$3,$B$4,$B$5,$F463,$B$6,AB$10,$A463,$B463)</f>
        <v>30</v>
      </c>
      <c r="AC463" s="4">
        <f ca="1">_xll.DBRW($B$1,$B$2,$B$7,$B$3,$B$4,$B$5,$F463,$B$6,AC$10,$A463,$B463)</f>
        <v>31</v>
      </c>
      <c r="AD463" s="4">
        <f ca="1">_xll.DBRW($B$1,$B$2,$B$7,$B$3,$B$4,$B$5,$F463,$B$6,AD$10,$A463,$B463)</f>
        <v>30</v>
      </c>
      <c r="AE463" s="4">
        <f ca="1">_xll.DBRW($B$1,$B$2,$B$7,$B$3,$B$4,$B$5,$F463,$B$6,AE$10,$A463,$B463)</f>
        <v>31</v>
      </c>
    </row>
    <row r="464" spans="1:31">
      <c r="A464" s="1" t="s">
        <v>150</v>
      </c>
      <c r="B464" s="5" t="s">
        <v>52</v>
      </c>
      <c r="C464" s="5" t="s">
        <v>53</v>
      </c>
      <c r="D464" s="5" t="s">
        <v>54</v>
      </c>
      <c r="E464" s="5" t="s">
        <v>21</v>
      </c>
      <c r="F464" s="5" t="s">
        <v>316</v>
      </c>
      <c r="G464" s="6"/>
      <c r="H464" s="6"/>
      <c r="I464" s="6"/>
      <c r="J464" s="6"/>
      <c r="K464" s="6"/>
      <c r="L464" s="4">
        <f ca="1">_xll.DBRW($B$1,$B$2,$B$7,$B$3,$B$4,$B$5,$F464,$B$6,L$10,$A464,$B464)</f>
        <v>0</v>
      </c>
      <c r="M464" s="4">
        <f ca="1">_xll.DBRW($B$1,$B$2,$B$7,$B$3,$B$4,$B$5,$F464,$B$6,M$10,$A464,$B464)</f>
        <v>0</v>
      </c>
      <c r="N464" s="4">
        <f ca="1">_xll.DBRW($B$1,$B$2,$B$7,$B$3,$B$4,$B$5,$F464,$B$6,N$10,$A464,$B464)</f>
        <v>16</v>
      </c>
      <c r="O464" s="4">
        <f ca="1">_xll.DBRW($B$1,$B$2,$B$7,$B$3,$B$4,$B$5,$F464,$B$6,O$10,$A464,$B464)</f>
        <v>31</v>
      </c>
      <c r="P464" s="4">
        <f ca="1">_xll.DBRW($B$1,$B$2,$B$7,$B$3,$B$4,$B$5,$F464,$B$6,P$10,$A464,$B464)</f>
        <v>30</v>
      </c>
      <c r="Q464" s="4">
        <f ca="1">_xll.DBRW($B$1,$B$2,$B$7,$B$3,$B$4,$B$5,$F464,$B$6,Q$10,$A464,$B464)</f>
        <v>31</v>
      </c>
      <c r="R464" s="4">
        <f ca="1">_xll.DBRW($B$1,$B$2,$B$7,$B$3,$B$4,$B$5,$F464,$B$6,R$10,$A464,$B464)</f>
        <v>29</v>
      </c>
      <c r="S464" s="4">
        <f ca="1">_xll.DBRW($B$1,$B$2,$B$7,$B$3,$B$4,$B$5,$F464,$B$6,S$10,$A464,$B464)</f>
        <v>31</v>
      </c>
      <c r="T464" s="4">
        <f ca="1">_xll.DBRW($B$1,$B$2,$B$7,$B$3,$B$4,$B$5,$F464,$B$6,T$10,$A464,$B464)</f>
        <v>31</v>
      </c>
      <c r="U464" s="4">
        <f ca="1">_xll.DBRW($B$1,$B$2,$B$7,$B$3,$B$4,$B$5,$F464,$B$6,U$10,$A464,$B464)</f>
        <v>28</v>
      </c>
      <c r="V464" s="4">
        <f ca="1">_xll.DBRW($B$1,$B$2,$B$7,$B$3,$B$4,$B$5,$F464,$B$6,V$10,$A464,$B464)</f>
        <v>31</v>
      </c>
      <c r="W464" s="4">
        <f ca="1">_xll.DBRW($B$1,$B$2,$B$7,$B$3,$B$4,$B$5,$F464,$B$6,W$10,$A464,$B464)</f>
        <v>30</v>
      </c>
      <c r="X464" s="4">
        <f ca="1">_xll.DBRW($B$1,$B$2,$B$7,$B$3,$B$4,$B$5,$F464,$B$6,X$10,$A464,$B464)</f>
        <v>31</v>
      </c>
      <c r="Y464" s="4">
        <f ca="1">_xll.DBRW($B$1,$B$2,$B$7,$B$3,$B$4,$B$5,$F464,$B$6,Y$10,$A464,$B464)</f>
        <v>30</v>
      </c>
      <c r="Z464" s="4">
        <f ca="1">_xll.DBRW($B$1,$B$2,$B$7,$B$3,$B$4,$B$5,$F464,$B$6,Z$10,$A464,$B464)</f>
        <v>31</v>
      </c>
      <c r="AA464" s="4">
        <f ca="1">_xll.DBRW($B$1,$B$2,$B$7,$B$3,$B$4,$B$5,$F464,$B$6,AA$10,$A464,$B464)</f>
        <v>31</v>
      </c>
      <c r="AB464" s="4">
        <f ca="1">_xll.DBRW($B$1,$B$2,$B$7,$B$3,$B$4,$B$5,$F464,$B$6,AB$10,$A464,$B464)</f>
        <v>30</v>
      </c>
      <c r="AC464" s="4">
        <f ca="1">_xll.DBRW($B$1,$B$2,$B$7,$B$3,$B$4,$B$5,$F464,$B$6,AC$10,$A464,$B464)</f>
        <v>31</v>
      </c>
      <c r="AD464" s="4">
        <f ca="1">_xll.DBRW($B$1,$B$2,$B$7,$B$3,$B$4,$B$5,$F464,$B$6,AD$10,$A464,$B464)</f>
        <v>30</v>
      </c>
      <c r="AE464" s="4">
        <f ca="1">_xll.DBRW($B$1,$B$2,$B$7,$B$3,$B$4,$B$5,$F464,$B$6,AE$10,$A464,$B464)</f>
        <v>30</v>
      </c>
    </row>
    <row r="465" spans="1:31">
      <c r="A465" s="1" t="s">
        <v>150</v>
      </c>
      <c r="B465" s="5" t="s">
        <v>164</v>
      </c>
      <c r="C465" s="5" t="s">
        <v>159</v>
      </c>
      <c r="D465" s="5" t="s">
        <v>21</v>
      </c>
      <c r="E465" s="5" t="s">
        <v>38</v>
      </c>
      <c r="F465" s="5" t="s">
        <v>316</v>
      </c>
      <c r="G465" s="6"/>
      <c r="H465" s="6"/>
      <c r="I465" s="6"/>
      <c r="J465" s="6"/>
      <c r="K465" s="6"/>
      <c r="L465" s="4">
        <f ca="1">_xll.DBRW($B$1,$B$2,$B$7,$B$3,$B$4,$B$5,$F465,$B$6,L$10,$A465,$B465)</f>
        <v>5</v>
      </c>
      <c r="M465" s="4">
        <f ca="1">_xll.DBRW($B$1,$B$2,$B$7,$B$3,$B$4,$B$5,$F465,$B$6,M$10,$A465,$B465)</f>
        <v>4</v>
      </c>
      <c r="N465" s="4">
        <f ca="1">_xll.DBRW($B$1,$B$2,$B$7,$B$3,$B$4,$B$5,$F465,$B$6,N$10,$A465,$B465)</f>
        <v>4</v>
      </c>
      <c r="O465" s="4">
        <f ca="1">_xll.DBRW($B$1,$B$2,$B$7,$B$3,$B$4,$B$5,$F465,$B$6,O$10,$A465,$B465)</f>
        <v>1</v>
      </c>
      <c r="P465" s="4">
        <f ca="1">_xll.DBRW($B$1,$B$2,$B$7,$B$3,$B$4,$B$5,$F465,$B$6,P$10,$A465,$B465)</f>
        <v>1</v>
      </c>
      <c r="Q465" s="4">
        <f ca="1">_xll.DBRW($B$1,$B$2,$B$7,$B$3,$B$4,$B$5,$F465,$B$6,Q$10,$A465,$B465)</f>
        <v>4</v>
      </c>
      <c r="R465" s="4">
        <f ca="1">_xll.DBRW($B$1,$B$2,$B$7,$B$3,$B$4,$B$5,$F465,$B$6,R$10,$A465,$B465)</f>
        <v>9</v>
      </c>
      <c r="S465" s="4">
        <f ca="1">_xll.DBRW($B$1,$B$2,$B$7,$B$3,$B$4,$B$5,$F465,$B$6,S$10,$A465,$B465)</f>
        <v>7</v>
      </c>
      <c r="T465" s="4">
        <f ca="1">_xll.DBRW($B$1,$B$2,$B$7,$B$3,$B$4,$B$5,$F465,$B$6,T$10,$A465,$B465)</f>
        <v>14</v>
      </c>
      <c r="U465" s="4">
        <f ca="1">_xll.DBRW($B$1,$B$2,$B$7,$B$3,$B$4,$B$5,$F465,$B$6,U$10,$A465,$B465)</f>
        <v>12</v>
      </c>
      <c r="V465" s="4">
        <f ca="1">_xll.DBRW($B$1,$B$2,$B$7,$B$3,$B$4,$B$5,$F465,$B$6,V$10,$A465,$B465)</f>
        <v>13</v>
      </c>
      <c r="W465" s="4">
        <f ca="1">_xll.DBRW($B$1,$B$2,$B$7,$B$3,$B$4,$B$5,$F465,$B$6,W$10,$A465,$B465)</f>
        <v>12</v>
      </c>
      <c r="X465" s="4">
        <f ca="1">_xll.DBRW($B$1,$B$2,$B$7,$B$3,$B$4,$B$5,$F465,$B$6,X$10,$A465,$B465)</f>
        <v>14</v>
      </c>
      <c r="Y465" s="4">
        <f ca="1">_xll.DBRW($B$1,$B$2,$B$7,$B$3,$B$4,$B$5,$F465,$B$6,Y$10,$A465,$B465)</f>
        <v>13</v>
      </c>
      <c r="Z465" s="4">
        <f ca="1">_xll.DBRW($B$1,$B$2,$B$7,$B$3,$B$4,$B$5,$F465,$B$6,Z$10,$A465,$B465)</f>
        <v>13</v>
      </c>
      <c r="AA465" s="4">
        <f ca="1">_xll.DBRW($B$1,$B$2,$B$7,$B$3,$B$4,$B$5,$F465,$B$6,AA$10,$A465,$B465)</f>
        <v>14</v>
      </c>
      <c r="AB465" s="4">
        <f ca="1">_xll.DBRW($B$1,$B$2,$B$7,$B$3,$B$4,$B$5,$F465,$B$6,AB$10,$A465,$B465)</f>
        <v>12</v>
      </c>
      <c r="AC465" s="4">
        <f ca="1">_xll.DBRW($B$1,$B$2,$B$7,$B$3,$B$4,$B$5,$F465,$B$6,AC$10,$A465,$B465)</f>
        <v>14</v>
      </c>
      <c r="AD465" s="4">
        <f ca="1">_xll.DBRW($B$1,$B$2,$B$7,$B$3,$B$4,$B$5,$F465,$B$6,AD$10,$A465,$B465)</f>
        <v>12</v>
      </c>
      <c r="AE465" s="4">
        <f ca="1">_xll.DBRW($B$1,$B$2,$B$7,$B$3,$B$4,$B$5,$F465,$B$6,AE$10,$A465,$B465)</f>
        <v>13</v>
      </c>
    </row>
    <row r="466" spans="1:31">
      <c r="A466" s="1" t="s">
        <v>150</v>
      </c>
      <c r="B466" s="5" t="s">
        <v>39</v>
      </c>
      <c r="C466" s="5" t="s">
        <v>37</v>
      </c>
      <c r="D466" s="5" t="s">
        <v>38</v>
      </c>
      <c r="E466" s="5" t="s">
        <v>21</v>
      </c>
      <c r="F466" s="5" t="s">
        <v>316</v>
      </c>
      <c r="G466" s="6"/>
      <c r="H466" s="6"/>
      <c r="I466" s="6"/>
      <c r="J466" s="6"/>
      <c r="K466" s="6"/>
      <c r="L466" s="4">
        <f ca="1">_xll.DBRW($B$1,$B$2,$B$7,$B$3,$B$4,$B$5,$F466,$B$6,L$10,$A466,$B466)</f>
        <v>8</v>
      </c>
      <c r="M466" s="4">
        <f ca="1">_xll.DBRW($B$1,$B$2,$B$7,$B$3,$B$4,$B$5,$F466,$B$6,M$10,$A466,$B466)</f>
        <v>4</v>
      </c>
      <c r="N466" s="4">
        <f ca="1">_xll.DBRW($B$1,$B$2,$B$7,$B$3,$B$4,$B$5,$F466,$B$6,N$10,$A466,$B466)</f>
        <v>5</v>
      </c>
      <c r="O466" s="4">
        <f ca="1">_xll.DBRW($B$1,$B$2,$B$7,$B$3,$B$4,$B$5,$F466,$B$6,O$10,$A466,$B466)</f>
        <v>4</v>
      </c>
      <c r="P466" s="4">
        <f ca="1">_xll.DBRW($B$1,$B$2,$B$7,$B$3,$B$4,$B$5,$F466,$B$6,P$10,$A466,$B466)</f>
        <v>4</v>
      </c>
      <c r="Q466" s="4">
        <f ca="1">_xll.DBRW($B$1,$B$2,$B$7,$B$3,$B$4,$B$5,$F466,$B$6,Q$10,$A466,$B466)</f>
        <v>3</v>
      </c>
      <c r="R466" s="4">
        <f ca="1">_xll.DBRW($B$1,$B$2,$B$7,$B$3,$B$4,$B$5,$F466,$B$6,R$10,$A466,$B466)</f>
        <v>9</v>
      </c>
      <c r="S466" s="4">
        <f ca="1">_xll.DBRW($B$1,$B$2,$B$7,$B$3,$B$4,$B$5,$F466,$B$6,S$10,$A466,$B466)</f>
        <v>7</v>
      </c>
      <c r="T466" s="4">
        <f ca="1">_xll.DBRW($B$1,$B$2,$B$7,$B$3,$B$4,$B$5,$F466,$B$6,T$10,$A466,$B466)</f>
        <v>14</v>
      </c>
      <c r="U466" s="4">
        <f ca="1">_xll.DBRW($B$1,$B$2,$B$7,$B$3,$B$4,$B$5,$F466,$B$6,U$10,$A466,$B466)</f>
        <v>12</v>
      </c>
      <c r="V466" s="4">
        <f ca="1">_xll.DBRW($B$1,$B$2,$B$7,$B$3,$B$4,$B$5,$F466,$B$6,V$10,$A466,$B466)</f>
        <v>13</v>
      </c>
      <c r="W466" s="4">
        <f ca="1">_xll.DBRW($B$1,$B$2,$B$7,$B$3,$B$4,$B$5,$F466,$B$6,W$10,$A466,$B466)</f>
        <v>12</v>
      </c>
      <c r="X466" s="4">
        <f ca="1">_xll.DBRW($B$1,$B$2,$B$7,$B$3,$B$4,$B$5,$F466,$B$6,X$10,$A466,$B466)</f>
        <v>14</v>
      </c>
      <c r="Y466" s="4">
        <f ca="1">_xll.DBRW($B$1,$B$2,$B$7,$B$3,$B$4,$B$5,$F466,$B$6,Y$10,$A466,$B466)</f>
        <v>13</v>
      </c>
      <c r="Z466" s="4">
        <f ca="1">_xll.DBRW($B$1,$B$2,$B$7,$B$3,$B$4,$B$5,$F466,$B$6,Z$10,$A466,$B466)</f>
        <v>13</v>
      </c>
      <c r="AA466" s="4">
        <f ca="1">_xll.DBRW($B$1,$B$2,$B$7,$B$3,$B$4,$B$5,$F466,$B$6,AA$10,$A466,$B466)</f>
        <v>14</v>
      </c>
      <c r="AB466" s="4">
        <f ca="1">_xll.DBRW($B$1,$B$2,$B$7,$B$3,$B$4,$B$5,$F466,$B$6,AB$10,$A466,$B466)</f>
        <v>12</v>
      </c>
      <c r="AC466" s="4">
        <f ca="1">_xll.DBRW($B$1,$B$2,$B$7,$B$3,$B$4,$B$5,$F466,$B$6,AC$10,$A466,$B466)</f>
        <v>14</v>
      </c>
      <c r="AD466" s="4">
        <f ca="1">_xll.DBRW($B$1,$B$2,$B$7,$B$3,$B$4,$B$5,$F466,$B$6,AD$10,$A466,$B466)</f>
        <v>12</v>
      </c>
      <c r="AE466" s="4">
        <f ca="1">_xll.DBRW($B$1,$B$2,$B$7,$B$3,$B$4,$B$5,$F466,$B$6,AE$10,$A466,$B466)</f>
        <v>13</v>
      </c>
    </row>
    <row r="467" spans="1:31">
      <c r="A467" s="1" t="s">
        <v>150</v>
      </c>
      <c r="B467" s="5" t="s">
        <v>165</v>
      </c>
      <c r="C467" s="5" t="s">
        <v>166</v>
      </c>
      <c r="D467" s="5" t="s">
        <v>21</v>
      </c>
      <c r="E467" s="5" t="s">
        <v>31</v>
      </c>
      <c r="F467" s="5" t="s">
        <v>316</v>
      </c>
      <c r="G467" s="6"/>
      <c r="H467" s="6"/>
      <c r="I467" s="6"/>
      <c r="J467" s="6"/>
      <c r="K467" s="6"/>
      <c r="L467" s="4">
        <f ca="1">_xll.DBRW($B$1,$B$2,$B$7,$B$3,$B$4,$B$5,$F467,$B$6,L$10,$A467,$B467)</f>
        <v>0</v>
      </c>
      <c r="M467" s="4">
        <f ca="1">_xll.DBRW($B$1,$B$2,$B$7,$B$3,$B$4,$B$5,$F467,$B$6,M$10,$A467,$B467)</f>
        <v>0</v>
      </c>
      <c r="N467" s="4">
        <f ca="1">_xll.DBRW($B$1,$B$2,$B$7,$B$3,$B$4,$B$5,$F467,$B$6,N$10,$A467,$B467)</f>
        <v>0</v>
      </c>
      <c r="O467" s="4">
        <f ca="1">_xll.DBRW($B$1,$B$2,$B$7,$B$3,$B$4,$B$5,$F467,$B$6,O$10,$A467,$B467)</f>
        <v>0</v>
      </c>
      <c r="P467" s="4">
        <f ca="1">_xll.DBRW($B$1,$B$2,$B$7,$B$3,$B$4,$B$5,$F467,$B$6,P$10,$A467,$B467)</f>
        <v>0</v>
      </c>
      <c r="Q467" s="4">
        <f ca="1">_xll.DBRW($B$1,$B$2,$B$7,$B$3,$B$4,$B$5,$F467,$B$6,Q$10,$A467,$B467)</f>
        <v>0</v>
      </c>
      <c r="R467" s="4">
        <f ca="1">_xll.DBRW($B$1,$B$2,$B$7,$B$3,$B$4,$B$5,$F467,$B$6,R$10,$A467,$B467)</f>
        <v>0</v>
      </c>
      <c r="S467" s="4">
        <f ca="1">_xll.DBRW($B$1,$B$2,$B$7,$B$3,$B$4,$B$5,$F467,$B$6,S$10,$A467,$B467)</f>
        <v>0</v>
      </c>
      <c r="T467" s="4">
        <f ca="1">_xll.DBRW($B$1,$B$2,$B$7,$B$3,$B$4,$B$5,$F467,$B$6,T$10,$A467,$B467)</f>
        <v>0</v>
      </c>
      <c r="U467" s="4">
        <f ca="1">_xll.DBRW($B$1,$B$2,$B$7,$B$3,$B$4,$B$5,$F467,$B$6,U$10,$A467,$B467)</f>
        <v>0</v>
      </c>
      <c r="V467" s="4">
        <f ca="1">_xll.DBRW($B$1,$B$2,$B$7,$B$3,$B$4,$B$5,$F467,$B$6,V$10,$A467,$B467)</f>
        <v>0</v>
      </c>
      <c r="W467" s="4">
        <f ca="1">_xll.DBRW($B$1,$B$2,$B$7,$B$3,$B$4,$B$5,$F467,$B$6,W$10,$A467,$B467)</f>
        <v>0</v>
      </c>
      <c r="X467" s="4">
        <f ca="1">_xll.DBRW($B$1,$B$2,$B$7,$B$3,$B$4,$B$5,$F467,$B$6,X$10,$A467,$B467)</f>
        <v>0</v>
      </c>
      <c r="Y467" s="4">
        <f ca="1">_xll.DBRW($B$1,$B$2,$B$7,$B$3,$B$4,$B$5,$F467,$B$6,Y$10,$A467,$B467)</f>
        <v>0</v>
      </c>
      <c r="Z467" s="4">
        <f ca="1">_xll.DBRW($B$1,$B$2,$B$7,$B$3,$B$4,$B$5,$F467,$B$6,Z$10,$A467,$B467)</f>
        <v>0</v>
      </c>
      <c r="AA467" s="4">
        <f ca="1">_xll.DBRW($B$1,$B$2,$B$7,$B$3,$B$4,$B$5,$F467,$B$6,AA$10,$A467,$B467)</f>
        <v>0</v>
      </c>
      <c r="AB467" s="4">
        <f ca="1">_xll.DBRW($B$1,$B$2,$B$7,$B$3,$B$4,$B$5,$F467,$B$6,AB$10,$A467,$B467)</f>
        <v>0</v>
      </c>
      <c r="AC467" s="4">
        <f ca="1">_xll.DBRW($B$1,$B$2,$B$7,$B$3,$B$4,$B$5,$F467,$B$6,AC$10,$A467,$B467)</f>
        <v>0</v>
      </c>
      <c r="AD467" s="4">
        <f ca="1">_xll.DBRW($B$1,$B$2,$B$7,$B$3,$B$4,$B$5,$F467,$B$6,AD$10,$A467,$B467)</f>
        <v>0</v>
      </c>
      <c r="AE467" s="4">
        <f ca="1">_xll.DBRW($B$1,$B$2,$B$7,$B$3,$B$4,$B$5,$F467,$B$6,AE$10,$A467,$B467)</f>
        <v>0</v>
      </c>
    </row>
    <row r="468" spans="1:31">
      <c r="A468" s="1" t="s">
        <v>150</v>
      </c>
      <c r="B468" s="5" t="s">
        <v>29</v>
      </c>
      <c r="C468" s="5" t="s">
        <v>30</v>
      </c>
      <c r="D468" s="5" t="s">
        <v>31</v>
      </c>
      <c r="E468" s="5" t="s">
        <v>21</v>
      </c>
      <c r="F468" s="5" t="s">
        <v>316</v>
      </c>
      <c r="G468" s="6"/>
      <c r="H468" s="6"/>
      <c r="I468" s="6"/>
      <c r="J468" s="6"/>
      <c r="K468" s="6"/>
      <c r="L468" s="4">
        <f ca="1">_xll.DBRW($B$1,$B$2,$B$7,$B$3,$B$4,$B$5,$F468,$B$6,L$10,$A468,$B468)</f>
        <v>0</v>
      </c>
      <c r="M468" s="4">
        <f ca="1">_xll.DBRW($B$1,$B$2,$B$7,$B$3,$B$4,$B$5,$F468,$B$6,M$10,$A468,$B468)</f>
        <v>0</v>
      </c>
      <c r="N468" s="4">
        <f ca="1">_xll.DBRW($B$1,$B$2,$B$7,$B$3,$B$4,$B$5,$F468,$B$6,N$10,$A468,$B468)</f>
        <v>0</v>
      </c>
      <c r="O468" s="4">
        <f ca="1">_xll.DBRW($B$1,$B$2,$B$7,$B$3,$B$4,$B$5,$F468,$B$6,O$10,$A468,$B468)</f>
        <v>0</v>
      </c>
      <c r="P468" s="4">
        <f ca="1">_xll.DBRW($B$1,$B$2,$B$7,$B$3,$B$4,$B$5,$F468,$B$6,P$10,$A468,$B468)</f>
        <v>0</v>
      </c>
      <c r="Q468" s="4">
        <f ca="1">_xll.DBRW($B$1,$B$2,$B$7,$B$3,$B$4,$B$5,$F468,$B$6,Q$10,$A468,$B468)</f>
        <v>0</v>
      </c>
      <c r="R468" s="4">
        <f ca="1">_xll.DBRW($B$1,$B$2,$B$7,$B$3,$B$4,$B$5,$F468,$B$6,R$10,$A468,$B468)</f>
        <v>0</v>
      </c>
      <c r="S468" s="4">
        <f ca="1">_xll.DBRW($B$1,$B$2,$B$7,$B$3,$B$4,$B$5,$F468,$B$6,S$10,$A468,$B468)</f>
        <v>0</v>
      </c>
      <c r="T468" s="4">
        <f ca="1">_xll.DBRW($B$1,$B$2,$B$7,$B$3,$B$4,$B$5,$F468,$B$6,T$10,$A468,$B468)</f>
        <v>0</v>
      </c>
      <c r="U468" s="4">
        <f ca="1">_xll.DBRW($B$1,$B$2,$B$7,$B$3,$B$4,$B$5,$F468,$B$6,U$10,$A468,$B468)</f>
        <v>0</v>
      </c>
      <c r="V468" s="4">
        <f ca="1">_xll.DBRW($B$1,$B$2,$B$7,$B$3,$B$4,$B$5,$F468,$B$6,V$10,$A468,$B468)</f>
        <v>0</v>
      </c>
      <c r="W468" s="4">
        <f ca="1">_xll.DBRW($B$1,$B$2,$B$7,$B$3,$B$4,$B$5,$F468,$B$6,W$10,$A468,$B468)</f>
        <v>0</v>
      </c>
      <c r="X468" s="4">
        <f ca="1">_xll.DBRW($B$1,$B$2,$B$7,$B$3,$B$4,$B$5,$F468,$B$6,X$10,$A468,$B468)</f>
        <v>0</v>
      </c>
      <c r="Y468" s="4">
        <f ca="1">_xll.DBRW($B$1,$B$2,$B$7,$B$3,$B$4,$B$5,$F468,$B$6,Y$10,$A468,$B468)</f>
        <v>0</v>
      </c>
      <c r="Z468" s="4">
        <f ca="1">_xll.DBRW($B$1,$B$2,$B$7,$B$3,$B$4,$B$5,$F468,$B$6,Z$10,$A468,$B468)</f>
        <v>0</v>
      </c>
      <c r="AA468" s="4">
        <f ca="1">_xll.DBRW($B$1,$B$2,$B$7,$B$3,$B$4,$B$5,$F468,$B$6,AA$10,$A468,$B468)</f>
        <v>0</v>
      </c>
      <c r="AB468" s="4">
        <f ca="1">_xll.DBRW($B$1,$B$2,$B$7,$B$3,$B$4,$B$5,$F468,$B$6,AB$10,$A468,$B468)</f>
        <v>0</v>
      </c>
      <c r="AC468" s="4">
        <f ca="1">_xll.DBRW($B$1,$B$2,$B$7,$B$3,$B$4,$B$5,$F468,$B$6,AC$10,$A468,$B468)</f>
        <v>0</v>
      </c>
      <c r="AD468" s="4">
        <f ca="1">_xll.DBRW($B$1,$B$2,$B$7,$B$3,$B$4,$B$5,$F468,$B$6,AD$10,$A468,$B468)</f>
        <v>0</v>
      </c>
      <c r="AE468" s="4">
        <f ca="1">_xll.DBRW($B$1,$B$2,$B$7,$B$3,$B$4,$B$5,$F468,$B$6,AE$10,$A468,$B468)</f>
        <v>0</v>
      </c>
    </row>
    <row r="469" spans="1:31">
      <c r="A469" s="1" t="s">
        <v>150</v>
      </c>
      <c r="B469" s="5" t="s">
        <v>167</v>
      </c>
      <c r="C469" s="5" t="s">
        <v>168</v>
      </c>
      <c r="D469" s="5" t="s">
        <v>21</v>
      </c>
      <c r="E469" s="5" t="s">
        <v>76</v>
      </c>
      <c r="F469" s="5" t="s">
        <v>316</v>
      </c>
      <c r="G469" s="6"/>
      <c r="H469" s="6"/>
      <c r="I469" s="6"/>
      <c r="J469" s="6"/>
      <c r="K469" s="6"/>
      <c r="L469" s="4">
        <f ca="1">_xll.DBRW($B$1,$B$2,$B$7,$B$3,$B$4,$B$5,$F469,$B$6,L$10,$A469,$B469)</f>
        <v>0</v>
      </c>
      <c r="M469" s="4">
        <f ca="1">_xll.DBRW($B$1,$B$2,$B$7,$B$3,$B$4,$B$5,$F469,$B$6,M$10,$A469,$B469)</f>
        <v>0</v>
      </c>
      <c r="N469" s="4">
        <f ca="1">_xll.DBRW($B$1,$B$2,$B$7,$B$3,$B$4,$B$5,$F469,$B$6,N$10,$A469,$B469)</f>
        <v>0</v>
      </c>
      <c r="O469" s="4">
        <f ca="1">_xll.DBRW($B$1,$B$2,$B$7,$B$3,$B$4,$B$5,$F469,$B$6,O$10,$A469,$B469)</f>
        <v>0</v>
      </c>
      <c r="P469" s="4">
        <f ca="1">_xll.DBRW($B$1,$B$2,$B$7,$B$3,$B$4,$B$5,$F469,$B$6,P$10,$A469,$B469)</f>
        <v>0</v>
      </c>
      <c r="Q469" s="4">
        <f ca="1">_xll.DBRW($B$1,$B$2,$B$7,$B$3,$B$4,$B$5,$F469,$B$6,Q$10,$A469,$B469)</f>
        <v>0</v>
      </c>
      <c r="R469" s="4">
        <f ca="1">_xll.DBRW($B$1,$B$2,$B$7,$B$3,$B$4,$B$5,$F469,$B$6,R$10,$A469,$B469)</f>
        <v>0</v>
      </c>
      <c r="S469" s="4">
        <f ca="1">_xll.DBRW($B$1,$B$2,$B$7,$B$3,$B$4,$B$5,$F469,$B$6,S$10,$A469,$B469)</f>
        <v>0</v>
      </c>
      <c r="T469" s="4">
        <f ca="1">_xll.DBRW($B$1,$B$2,$B$7,$B$3,$B$4,$B$5,$F469,$B$6,T$10,$A469,$B469)</f>
        <v>31</v>
      </c>
      <c r="U469" s="4">
        <f ca="1">_xll.DBRW($B$1,$B$2,$B$7,$B$3,$B$4,$B$5,$F469,$B$6,U$10,$A469,$B469)</f>
        <v>28</v>
      </c>
      <c r="V469" s="4">
        <f ca="1">_xll.DBRW($B$1,$B$2,$B$7,$B$3,$B$4,$B$5,$F469,$B$6,V$10,$A469,$B469)</f>
        <v>29</v>
      </c>
      <c r="W469" s="4">
        <f ca="1">_xll.DBRW($B$1,$B$2,$B$7,$B$3,$B$4,$B$5,$F469,$B$6,W$10,$A469,$B469)</f>
        <v>0</v>
      </c>
      <c r="X469" s="4">
        <f ca="1">_xll.DBRW($B$1,$B$2,$B$7,$B$3,$B$4,$B$5,$F469,$B$6,X$10,$A469,$B469)</f>
        <v>0</v>
      </c>
      <c r="Y469" s="4">
        <f ca="1">_xll.DBRW($B$1,$B$2,$B$7,$B$3,$B$4,$B$5,$F469,$B$6,Y$10,$A469,$B469)</f>
        <v>0</v>
      </c>
      <c r="Z469" s="4">
        <f ca="1">_xll.DBRW($B$1,$B$2,$B$7,$B$3,$B$4,$B$5,$F469,$B$6,Z$10,$A469,$B469)</f>
        <v>0</v>
      </c>
      <c r="AA469" s="4">
        <f ca="1">_xll.DBRW($B$1,$B$2,$B$7,$B$3,$B$4,$B$5,$F469,$B$6,AA$10,$A469,$B469)</f>
        <v>0</v>
      </c>
      <c r="AB469" s="4">
        <f ca="1">_xll.DBRW($B$1,$B$2,$B$7,$B$3,$B$4,$B$5,$F469,$B$6,AB$10,$A469,$B469)</f>
        <v>0</v>
      </c>
      <c r="AC469" s="4">
        <f ca="1">_xll.DBRW($B$1,$B$2,$B$7,$B$3,$B$4,$B$5,$F469,$B$6,AC$10,$A469,$B469)</f>
        <v>6</v>
      </c>
      <c r="AD469" s="4">
        <f ca="1">_xll.DBRW($B$1,$B$2,$B$7,$B$3,$B$4,$B$5,$F469,$B$6,AD$10,$A469,$B469)</f>
        <v>30</v>
      </c>
      <c r="AE469" s="4">
        <f ca="1">_xll.DBRW($B$1,$B$2,$B$7,$B$3,$B$4,$B$5,$F469,$B$6,AE$10,$A469,$B469)</f>
        <v>31</v>
      </c>
    </row>
    <row r="470" spans="1:31">
      <c r="A470" s="1" t="s">
        <v>150</v>
      </c>
      <c r="B470" s="5" t="s">
        <v>74</v>
      </c>
      <c r="C470" s="5" t="s">
        <v>75</v>
      </c>
      <c r="D470" s="5" t="s">
        <v>76</v>
      </c>
      <c r="E470" s="5" t="s">
        <v>21</v>
      </c>
      <c r="F470" s="5" t="s">
        <v>316</v>
      </c>
      <c r="G470" s="6"/>
      <c r="H470" s="6"/>
      <c r="I470" s="6"/>
      <c r="J470" s="6"/>
      <c r="K470" s="6"/>
      <c r="L470" s="4">
        <f ca="1">_xll.DBRW($B$1,$B$2,$B$7,$B$3,$B$4,$B$5,$F470,$B$6,L$10,$A470,$B470)</f>
        <v>0</v>
      </c>
      <c r="M470" s="4">
        <f ca="1">_xll.DBRW($B$1,$B$2,$B$7,$B$3,$B$4,$B$5,$F470,$B$6,M$10,$A470,$B470)</f>
        <v>0</v>
      </c>
      <c r="N470" s="4">
        <f ca="1">_xll.DBRW($B$1,$B$2,$B$7,$B$3,$B$4,$B$5,$F470,$B$6,N$10,$A470,$B470)</f>
        <v>0</v>
      </c>
      <c r="O470" s="4">
        <f ca="1">_xll.DBRW($B$1,$B$2,$B$7,$B$3,$B$4,$B$5,$F470,$B$6,O$10,$A470,$B470)</f>
        <v>0</v>
      </c>
      <c r="P470" s="4">
        <f ca="1">_xll.DBRW($B$1,$B$2,$B$7,$B$3,$B$4,$B$5,$F470,$B$6,P$10,$A470,$B470)</f>
        <v>0</v>
      </c>
      <c r="Q470" s="4">
        <f ca="1">_xll.DBRW($B$1,$B$2,$B$7,$B$3,$B$4,$B$5,$F470,$B$6,Q$10,$A470,$B470)</f>
        <v>0</v>
      </c>
      <c r="R470" s="4">
        <f ca="1">_xll.DBRW($B$1,$B$2,$B$7,$B$3,$B$4,$B$5,$F470,$B$6,R$10,$A470,$B470)</f>
        <v>0</v>
      </c>
      <c r="S470" s="4">
        <f ca="1">_xll.DBRW($B$1,$B$2,$B$7,$B$3,$B$4,$B$5,$F470,$B$6,S$10,$A470,$B470)</f>
        <v>0</v>
      </c>
      <c r="T470" s="4">
        <f ca="1">_xll.DBRW($B$1,$B$2,$B$7,$B$3,$B$4,$B$5,$F470,$B$6,T$10,$A470,$B470)</f>
        <v>31</v>
      </c>
      <c r="U470" s="4">
        <f ca="1">_xll.DBRW($B$1,$B$2,$B$7,$B$3,$B$4,$B$5,$F470,$B$6,U$10,$A470,$B470)</f>
        <v>28</v>
      </c>
      <c r="V470" s="4">
        <f ca="1">_xll.DBRW($B$1,$B$2,$B$7,$B$3,$B$4,$B$5,$F470,$B$6,V$10,$A470,$B470)</f>
        <v>29</v>
      </c>
      <c r="W470" s="4">
        <f ca="1">_xll.DBRW($B$1,$B$2,$B$7,$B$3,$B$4,$B$5,$F470,$B$6,W$10,$A470,$B470)</f>
        <v>0</v>
      </c>
      <c r="X470" s="4">
        <f ca="1">_xll.DBRW($B$1,$B$2,$B$7,$B$3,$B$4,$B$5,$F470,$B$6,X$10,$A470,$B470)</f>
        <v>0</v>
      </c>
      <c r="Y470" s="4">
        <f ca="1">_xll.DBRW($B$1,$B$2,$B$7,$B$3,$B$4,$B$5,$F470,$B$6,Y$10,$A470,$B470)</f>
        <v>0</v>
      </c>
      <c r="Z470" s="4">
        <f ca="1">_xll.DBRW($B$1,$B$2,$B$7,$B$3,$B$4,$B$5,$F470,$B$6,Z$10,$A470,$B470)</f>
        <v>0</v>
      </c>
      <c r="AA470" s="4">
        <f ca="1">_xll.DBRW($B$1,$B$2,$B$7,$B$3,$B$4,$B$5,$F470,$B$6,AA$10,$A470,$B470)</f>
        <v>0</v>
      </c>
      <c r="AB470" s="4">
        <f ca="1">_xll.DBRW($B$1,$B$2,$B$7,$B$3,$B$4,$B$5,$F470,$B$6,AB$10,$A470,$B470)</f>
        <v>0</v>
      </c>
      <c r="AC470" s="4">
        <f ca="1">_xll.DBRW($B$1,$B$2,$B$7,$B$3,$B$4,$B$5,$F470,$B$6,AC$10,$A470,$B470)</f>
        <v>6</v>
      </c>
      <c r="AD470" s="4">
        <f ca="1">_xll.DBRW($B$1,$B$2,$B$7,$B$3,$B$4,$B$5,$F470,$B$6,AD$10,$A470,$B470)</f>
        <v>30</v>
      </c>
      <c r="AE470" s="4">
        <f ca="1">_xll.DBRW($B$1,$B$2,$B$7,$B$3,$B$4,$B$5,$F470,$B$6,AE$10,$A470,$B470)</f>
        <v>31</v>
      </c>
    </row>
    <row r="471" spans="1:31">
      <c r="A471" s="1" t="s">
        <v>150</v>
      </c>
      <c r="B471" s="5" t="s">
        <v>169</v>
      </c>
      <c r="C471" s="5" t="s">
        <v>170</v>
      </c>
      <c r="D471" s="5" t="s">
        <v>21</v>
      </c>
      <c r="E471" s="5" t="s">
        <v>35</v>
      </c>
      <c r="F471" s="5" t="s">
        <v>316</v>
      </c>
      <c r="G471" s="6"/>
      <c r="H471" s="6"/>
      <c r="I471" s="6"/>
      <c r="J471" s="6"/>
      <c r="K471" s="6"/>
      <c r="L471" s="4">
        <f ca="1">_xll.DBRW($B$1,$B$2,$B$7,$B$3,$B$4,$B$5,$F471,$B$6,L$10,$A471,$B471)</f>
        <v>28</v>
      </c>
      <c r="M471" s="4">
        <f ca="1">_xll.DBRW($B$1,$B$2,$B$7,$B$3,$B$4,$B$5,$F471,$B$6,M$10,$A471,$B471)</f>
        <v>30</v>
      </c>
      <c r="N471" s="4">
        <f ca="1">_xll.DBRW($B$1,$B$2,$B$7,$B$3,$B$4,$B$5,$F471,$B$6,N$10,$A471,$B471)</f>
        <v>31</v>
      </c>
      <c r="O471" s="4">
        <f ca="1">_xll.DBRW($B$1,$B$2,$B$7,$B$3,$B$4,$B$5,$F471,$B$6,O$10,$A471,$B471)</f>
        <v>31</v>
      </c>
      <c r="P471" s="4">
        <f ca="1">_xll.DBRW($B$1,$B$2,$B$7,$B$3,$B$4,$B$5,$F471,$B$6,P$10,$A471,$B471)</f>
        <v>5</v>
      </c>
      <c r="Q471" s="4">
        <f ca="1">_xll.DBRW($B$1,$B$2,$B$7,$B$3,$B$4,$B$5,$F471,$B$6,Q$10,$A471,$B471)</f>
        <v>0</v>
      </c>
      <c r="R471" s="4">
        <f ca="1">_xll.DBRW($B$1,$B$2,$B$7,$B$3,$B$4,$B$5,$F471,$B$6,R$10,$A471,$B471)</f>
        <v>0</v>
      </c>
      <c r="S471" s="4">
        <f ca="1">_xll.DBRW($B$1,$B$2,$B$7,$B$3,$B$4,$B$5,$F471,$B$6,S$10,$A471,$B471)</f>
        <v>0</v>
      </c>
      <c r="T471" s="4">
        <f ca="1">_xll.DBRW($B$1,$B$2,$B$7,$B$3,$B$4,$B$5,$F471,$B$6,T$10,$A471,$B471)</f>
        <v>0</v>
      </c>
      <c r="U471" s="4">
        <f ca="1">_xll.DBRW($B$1,$B$2,$B$7,$B$3,$B$4,$B$5,$F471,$B$6,U$10,$A471,$B471)</f>
        <v>0</v>
      </c>
      <c r="V471" s="4">
        <f ca="1">_xll.DBRW($B$1,$B$2,$B$7,$B$3,$B$4,$B$5,$F471,$B$6,V$10,$A471,$B471)</f>
        <v>2</v>
      </c>
      <c r="W471" s="4">
        <f ca="1">_xll.DBRW($B$1,$B$2,$B$7,$B$3,$B$4,$B$5,$F471,$B$6,W$10,$A471,$B471)</f>
        <v>30</v>
      </c>
      <c r="X471" s="4">
        <f ca="1">_xll.DBRW($B$1,$B$2,$B$7,$B$3,$B$4,$B$5,$F471,$B$6,X$10,$A471,$B471)</f>
        <v>31</v>
      </c>
      <c r="Y471" s="4">
        <f ca="1">_xll.DBRW($B$1,$B$2,$B$7,$B$3,$B$4,$B$5,$F471,$B$6,Y$10,$A471,$B471)</f>
        <v>30</v>
      </c>
      <c r="Z471" s="4">
        <f ca="1">_xll.DBRW($B$1,$B$2,$B$7,$B$3,$B$4,$B$5,$F471,$B$6,Z$10,$A471,$B471)</f>
        <v>31</v>
      </c>
      <c r="AA471" s="4">
        <f ca="1">_xll.DBRW($B$1,$B$2,$B$7,$B$3,$B$4,$B$5,$F471,$B$6,AA$10,$A471,$B471)</f>
        <v>31</v>
      </c>
      <c r="AB471" s="4">
        <f ca="1">_xll.DBRW($B$1,$B$2,$B$7,$B$3,$B$4,$B$5,$F471,$B$6,AB$10,$A471,$B471)</f>
        <v>30</v>
      </c>
      <c r="AC471" s="4">
        <f ca="1">_xll.DBRW($B$1,$B$2,$B$7,$B$3,$B$4,$B$5,$F471,$B$6,AC$10,$A471,$B471)</f>
        <v>25</v>
      </c>
      <c r="AD471" s="4">
        <f ca="1">_xll.DBRW($B$1,$B$2,$B$7,$B$3,$B$4,$B$5,$F471,$B$6,AD$10,$A471,$B471)</f>
        <v>0</v>
      </c>
      <c r="AE471" s="4">
        <f ca="1">_xll.DBRW($B$1,$B$2,$B$7,$B$3,$B$4,$B$5,$F471,$B$6,AE$10,$A471,$B471)</f>
        <v>0</v>
      </c>
    </row>
    <row r="472" spans="1:31">
      <c r="A472" s="1" t="s">
        <v>150</v>
      </c>
      <c r="B472" s="5" t="s">
        <v>33</v>
      </c>
      <c r="C472" s="5" t="s">
        <v>34</v>
      </c>
      <c r="D472" s="5" t="s">
        <v>35</v>
      </c>
      <c r="E472" s="5" t="s">
        <v>21</v>
      </c>
      <c r="F472" s="5" t="s">
        <v>316</v>
      </c>
      <c r="G472" s="6"/>
      <c r="H472" s="6"/>
      <c r="I472" s="6"/>
      <c r="J472" s="6"/>
      <c r="K472" s="6"/>
      <c r="L472" s="4">
        <f ca="1">_xll.DBRW($B$1,$B$2,$B$7,$B$3,$B$4,$B$5,$F472,$B$6,L$10,$A472,$B472)</f>
        <v>28</v>
      </c>
      <c r="M472" s="4">
        <f ca="1">_xll.DBRW($B$1,$B$2,$B$7,$B$3,$B$4,$B$5,$F472,$B$6,M$10,$A472,$B472)</f>
        <v>30</v>
      </c>
      <c r="N472" s="4">
        <f ca="1">_xll.DBRW($B$1,$B$2,$B$7,$B$3,$B$4,$B$5,$F472,$B$6,N$10,$A472,$B472)</f>
        <v>31</v>
      </c>
      <c r="O472" s="4">
        <f ca="1">_xll.DBRW($B$1,$B$2,$B$7,$B$3,$B$4,$B$5,$F472,$B$6,O$10,$A472,$B472)</f>
        <v>31</v>
      </c>
      <c r="P472" s="4">
        <f ca="1">_xll.DBRW($B$1,$B$2,$B$7,$B$3,$B$4,$B$5,$F472,$B$6,P$10,$A472,$B472)</f>
        <v>5</v>
      </c>
      <c r="Q472" s="4">
        <f ca="1">_xll.DBRW($B$1,$B$2,$B$7,$B$3,$B$4,$B$5,$F472,$B$6,Q$10,$A472,$B472)</f>
        <v>0</v>
      </c>
      <c r="R472" s="4">
        <f ca="1">_xll.DBRW($B$1,$B$2,$B$7,$B$3,$B$4,$B$5,$F472,$B$6,R$10,$A472,$B472)</f>
        <v>0</v>
      </c>
      <c r="S472" s="4">
        <f ca="1">_xll.DBRW($B$1,$B$2,$B$7,$B$3,$B$4,$B$5,$F472,$B$6,S$10,$A472,$B472)</f>
        <v>0</v>
      </c>
      <c r="T472" s="4">
        <f ca="1">_xll.DBRW($B$1,$B$2,$B$7,$B$3,$B$4,$B$5,$F472,$B$6,T$10,$A472,$B472)</f>
        <v>0</v>
      </c>
      <c r="U472" s="4">
        <f ca="1">_xll.DBRW($B$1,$B$2,$B$7,$B$3,$B$4,$B$5,$F472,$B$6,U$10,$A472,$B472)</f>
        <v>0</v>
      </c>
      <c r="V472" s="4">
        <f ca="1">_xll.DBRW($B$1,$B$2,$B$7,$B$3,$B$4,$B$5,$F472,$B$6,V$10,$A472,$B472)</f>
        <v>2</v>
      </c>
      <c r="W472" s="4">
        <f ca="1">_xll.DBRW($B$1,$B$2,$B$7,$B$3,$B$4,$B$5,$F472,$B$6,W$10,$A472,$B472)</f>
        <v>30</v>
      </c>
      <c r="X472" s="4">
        <f ca="1">_xll.DBRW($B$1,$B$2,$B$7,$B$3,$B$4,$B$5,$F472,$B$6,X$10,$A472,$B472)</f>
        <v>31</v>
      </c>
      <c r="Y472" s="4">
        <f ca="1">_xll.DBRW($B$1,$B$2,$B$7,$B$3,$B$4,$B$5,$F472,$B$6,Y$10,$A472,$B472)</f>
        <v>30</v>
      </c>
      <c r="Z472" s="4">
        <f ca="1">_xll.DBRW($B$1,$B$2,$B$7,$B$3,$B$4,$B$5,$F472,$B$6,Z$10,$A472,$B472)</f>
        <v>31</v>
      </c>
      <c r="AA472" s="4">
        <f ca="1">_xll.DBRW($B$1,$B$2,$B$7,$B$3,$B$4,$B$5,$F472,$B$6,AA$10,$A472,$B472)</f>
        <v>31</v>
      </c>
      <c r="AB472" s="4">
        <f ca="1">_xll.DBRW($B$1,$B$2,$B$7,$B$3,$B$4,$B$5,$F472,$B$6,AB$10,$A472,$B472)</f>
        <v>30</v>
      </c>
      <c r="AC472" s="4">
        <f ca="1">_xll.DBRW($B$1,$B$2,$B$7,$B$3,$B$4,$B$5,$F472,$B$6,AC$10,$A472,$B472)</f>
        <v>25</v>
      </c>
      <c r="AD472" s="4">
        <f ca="1">_xll.DBRW($B$1,$B$2,$B$7,$B$3,$B$4,$B$5,$F472,$B$6,AD$10,$A472,$B472)</f>
        <v>0</v>
      </c>
      <c r="AE472" s="4">
        <f ca="1">_xll.DBRW($B$1,$B$2,$B$7,$B$3,$B$4,$B$5,$F472,$B$6,AE$10,$A472,$B472)</f>
        <v>0</v>
      </c>
    </row>
    <row r="473" spans="1:31">
      <c r="A473" s="1" t="s">
        <v>150</v>
      </c>
      <c r="B473" s="5" t="s">
        <v>171</v>
      </c>
      <c r="C473" s="5" t="s">
        <v>163</v>
      </c>
      <c r="D473" s="5" t="s">
        <v>21</v>
      </c>
      <c r="E473" s="5" t="s">
        <v>54</v>
      </c>
      <c r="F473" s="5" t="s">
        <v>316</v>
      </c>
      <c r="G473" s="6"/>
      <c r="H473" s="6"/>
      <c r="I473" s="6"/>
      <c r="J473" s="6"/>
      <c r="K473" s="6"/>
      <c r="L473" s="4">
        <f ca="1">_xll.DBRW($B$1,$B$2,$B$7,$B$3,$B$4,$B$5,$F473,$B$6,L$10,$A473,$B473)</f>
        <v>30</v>
      </c>
      <c r="M473" s="4">
        <f ca="1">_xll.DBRW($B$1,$B$2,$B$7,$B$3,$B$4,$B$5,$F473,$B$6,M$10,$A473,$B473)</f>
        <v>29</v>
      </c>
      <c r="N473" s="4">
        <f ca="1">_xll.DBRW($B$1,$B$2,$B$7,$B$3,$B$4,$B$5,$F473,$B$6,N$10,$A473,$B473)</f>
        <v>14</v>
      </c>
      <c r="O473" s="4">
        <f ca="1">_xll.DBRW($B$1,$B$2,$B$7,$B$3,$B$4,$B$5,$F473,$B$6,O$10,$A473,$B473)</f>
        <v>0</v>
      </c>
      <c r="P473" s="4">
        <f ca="1">_xll.DBRW($B$1,$B$2,$B$7,$B$3,$B$4,$B$5,$F473,$B$6,P$10,$A473,$B473)</f>
        <v>25</v>
      </c>
      <c r="Q473" s="4">
        <f ca="1">_xll.DBRW($B$1,$B$2,$B$7,$B$3,$B$4,$B$5,$F473,$B$6,Q$10,$A473,$B473)</f>
        <v>25</v>
      </c>
      <c r="R473" s="4">
        <f ca="1">_xll.DBRW($B$1,$B$2,$B$7,$B$3,$B$4,$B$5,$F473,$B$6,R$10,$A473,$B473)</f>
        <v>0</v>
      </c>
      <c r="S473" s="4">
        <f ca="1">_xll.DBRW($B$1,$B$2,$B$7,$B$3,$B$4,$B$5,$F473,$B$6,S$10,$A473,$B473)</f>
        <v>0</v>
      </c>
      <c r="T473" s="4">
        <f ca="1">_xll.DBRW($B$1,$B$2,$B$7,$B$3,$B$4,$B$5,$F473,$B$6,T$10,$A473,$B473)</f>
        <v>31</v>
      </c>
      <c r="U473" s="4">
        <f ca="1">_xll.DBRW($B$1,$B$2,$B$7,$B$3,$B$4,$B$5,$F473,$B$6,U$10,$A473,$B473)</f>
        <v>28</v>
      </c>
      <c r="V473" s="4">
        <f ca="1">_xll.DBRW($B$1,$B$2,$B$7,$B$3,$B$4,$B$5,$F473,$B$6,V$10,$A473,$B473)</f>
        <v>29</v>
      </c>
      <c r="W473" s="4">
        <f ca="1">_xll.DBRW($B$1,$B$2,$B$7,$B$3,$B$4,$B$5,$F473,$B$6,W$10,$A473,$B473)</f>
        <v>0</v>
      </c>
      <c r="X473" s="4">
        <f ca="1">_xll.DBRW($B$1,$B$2,$B$7,$B$3,$B$4,$B$5,$F473,$B$6,X$10,$A473,$B473)</f>
        <v>0</v>
      </c>
      <c r="Y473" s="4">
        <f ca="1">_xll.DBRW($B$1,$B$2,$B$7,$B$3,$B$4,$B$5,$F473,$B$6,Y$10,$A473,$B473)</f>
        <v>0</v>
      </c>
      <c r="Z473" s="4">
        <f ca="1">_xll.DBRW($B$1,$B$2,$B$7,$B$3,$B$4,$B$5,$F473,$B$6,Z$10,$A473,$B473)</f>
        <v>0</v>
      </c>
      <c r="AA473" s="4">
        <f ca="1">_xll.DBRW($B$1,$B$2,$B$7,$B$3,$B$4,$B$5,$F473,$B$6,AA$10,$A473,$B473)</f>
        <v>0</v>
      </c>
      <c r="AB473" s="4">
        <f ca="1">_xll.DBRW($B$1,$B$2,$B$7,$B$3,$B$4,$B$5,$F473,$B$6,AB$10,$A473,$B473)</f>
        <v>0</v>
      </c>
      <c r="AC473" s="4">
        <f ca="1">_xll.DBRW($B$1,$B$2,$B$7,$B$3,$B$4,$B$5,$F473,$B$6,AC$10,$A473,$B473)</f>
        <v>6</v>
      </c>
      <c r="AD473" s="4">
        <f ca="1">_xll.DBRW($B$1,$B$2,$B$7,$B$3,$B$4,$B$5,$F473,$B$6,AD$10,$A473,$B473)</f>
        <v>30</v>
      </c>
      <c r="AE473" s="4">
        <f ca="1">_xll.DBRW($B$1,$B$2,$B$7,$B$3,$B$4,$B$5,$F473,$B$6,AE$10,$A473,$B473)</f>
        <v>31</v>
      </c>
    </row>
    <row r="474" spans="1:31">
      <c r="A474" s="1" t="s">
        <v>150</v>
      </c>
      <c r="B474" s="5" t="s">
        <v>55</v>
      </c>
      <c r="C474" s="5" t="s">
        <v>53</v>
      </c>
      <c r="D474" s="5" t="s">
        <v>54</v>
      </c>
      <c r="E474" s="5" t="s">
        <v>21</v>
      </c>
      <c r="F474" s="5" t="s">
        <v>316</v>
      </c>
      <c r="G474" s="6"/>
      <c r="H474" s="6"/>
      <c r="I474" s="6"/>
      <c r="J474" s="6"/>
      <c r="K474" s="6"/>
      <c r="L474" s="4">
        <f ca="1">_xll.DBRW($B$1,$B$2,$B$7,$B$3,$B$4,$B$5,$F474,$B$6,L$10,$A474,$B474)</f>
        <v>30</v>
      </c>
      <c r="M474" s="4">
        <f ca="1">_xll.DBRW($B$1,$B$2,$B$7,$B$3,$B$4,$B$5,$F474,$B$6,M$10,$A474,$B474)</f>
        <v>29</v>
      </c>
      <c r="N474" s="4">
        <f ca="1">_xll.DBRW($B$1,$B$2,$B$7,$B$3,$B$4,$B$5,$F474,$B$6,N$10,$A474,$B474)</f>
        <v>14</v>
      </c>
      <c r="O474" s="4">
        <f ca="1">_xll.DBRW($B$1,$B$2,$B$7,$B$3,$B$4,$B$5,$F474,$B$6,O$10,$A474,$B474)</f>
        <v>0</v>
      </c>
      <c r="P474" s="4">
        <f ca="1">_xll.DBRW($B$1,$B$2,$B$7,$B$3,$B$4,$B$5,$F474,$B$6,P$10,$A474,$B474)</f>
        <v>25</v>
      </c>
      <c r="Q474" s="4">
        <f ca="1">_xll.DBRW($B$1,$B$2,$B$7,$B$3,$B$4,$B$5,$F474,$B$6,Q$10,$A474,$B474)</f>
        <v>25</v>
      </c>
      <c r="R474" s="4">
        <f ca="1">_xll.DBRW($B$1,$B$2,$B$7,$B$3,$B$4,$B$5,$F474,$B$6,R$10,$A474,$B474)</f>
        <v>0</v>
      </c>
      <c r="S474" s="4">
        <f ca="1">_xll.DBRW($B$1,$B$2,$B$7,$B$3,$B$4,$B$5,$F474,$B$6,S$10,$A474,$B474)</f>
        <v>0</v>
      </c>
      <c r="T474" s="4">
        <f ca="1">_xll.DBRW($B$1,$B$2,$B$7,$B$3,$B$4,$B$5,$F474,$B$6,T$10,$A474,$B474)</f>
        <v>31</v>
      </c>
      <c r="U474" s="4">
        <f ca="1">_xll.DBRW($B$1,$B$2,$B$7,$B$3,$B$4,$B$5,$F474,$B$6,U$10,$A474,$B474)</f>
        <v>28</v>
      </c>
      <c r="V474" s="4">
        <f ca="1">_xll.DBRW($B$1,$B$2,$B$7,$B$3,$B$4,$B$5,$F474,$B$6,V$10,$A474,$B474)</f>
        <v>29</v>
      </c>
      <c r="W474" s="4">
        <f ca="1">_xll.DBRW($B$1,$B$2,$B$7,$B$3,$B$4,$B$5,$F474,$B$6,W$10,$A474,$B474)</f>
        <v>0</v>
      </c>
      <c r="X474" s="4">
        <f ca="1">_xll.DBRW($B$1,$B$2,$B$7,$B$3,$B$4,$B$5,$F474,$B$6,X$10,$A474,$B474)</f>
        <v>0</v>
      </c>
      <c r="Y474" s="4">
        <f ca="1">_xll.DBRW($B$1,$B$2,$B$7,$B$3,$B$4,$B$5,$F474,$B$6,Y$10,$A474,$B474)</f>
        <v>0</v>
      </c>
      <c r="Z474" s="4">
        <f ca="1">_xll.DBRW($B$1,$B$2,$B$7,$B$3,$B$4,$B$5,$F474,$B$6,Z$10,$A474,$B474)</f>
        <v>0</v>
      </c>
      <c r="AA474" s="4">
        <f ca="1">_xll.DBRW($B$1,$B$2,$B$7,$B$3,$B$4,$B$5,$F474,$B$6,AA$10,$A474,$B474)</f>
        <v>0</v>
      </c>
      <c r="AB474" s="4">
        <f ca="1">_xll.DBRW($B$1,$B$2,$B$7,$B$3,$B$4,$B$5,$F474,$B$6,AB$10,$A474,$B474)</f>
        <v>0</v>
      </c>
      <c r="AC474" s="4">
        <f ca="1">_xll.DBRW($B$1,$B$2,$B$7,$B$3,$B$4,$B$5,$F474,$B$6,AC$10,$A474,$B474)</f>
        <v>6</v>
      </c>
      <c r="AD474" s="4">
        <f ca="1">_xll.DBRW($B$1,$B$2,$B$7,$B$3,$B$4,$B$5,$F474,$B$6,AD$10,$A474,$B474)</f>
        <v>30</v>
      </c>
      <c r="AE474" s="4">
        <f ca="1">_xll.DBRW($B$1,$B$2,$B$7,$B$3,$B$4,$B$5,$F474,$B$6,AE$10,$A474,$B474)</f>
        <v>30</v>
      </c>
    </row>
    <row r="475" spans="1:31">
      <c r="A475" s="1" t="s">
        <v>150</v>
      </c>
      <c r="B475" s="5" t="s">
        <v>172</v>
      </c>
      <c r="C475" s="5" t="s">
        <v>159</v>
      </c>
      <c r="D475" s="5" t="s">
        <v>21</v>
      </c>
      <c r="E475" s="5" t="s">
        <v>38</v>
      </c>
      <c r="F475" s="5" t="s">
        <v>316</v>
      </c>
      <c r="G475" s="6"/>
      <c r="H475" s="6"/>
      <c r="I475" s="6"/>
      <c r="J475" s="6"/>
      <c r="K475" s="6"/>
      <c r="L475" s="4">
        <f ca="1">_xll.DBRW($B$1,$B$2,$B$7,$B$3,$B$4,$B$5,$F475,$B$6,L$10,$A475,$B475)</f>
        <v>31</v>
      </c>
      <c r="M475" s="4">
        <f ca="1">_xll.DBRW($B$1,$B$2,$B$7,$B$3,$B$4,$B$5,$F475,$B$6,M$10,$A475,$B475)</f>
        <v>30</v>
      </c>
      <c r="N475" s="4">
        <f ca="1">_xll.DBRW($B$1,$B$2,$B$7,$B$3,$B$4,$B$5,$F475,$B$6,N$10,$A475,$B475)</f>
        <v>31</v>
      </c>
      <c r="O475" s="4">
        <f ca="1">_xll.DBRW($B$1,$B$2,$B$7,$B$3,$B$4,$B$5,$F475,$B$6,O$10,$A475,$B475)</f>
        <v>31</v>
      </c>
      <c r="P475" s="4">
        <f ca="1">_xll.DBRW($B$1,$B$2,$B$7,$B$3,$B$4,$B$5,$F475,$B$6,P$10,$A475,$B475)</f>
        <v>30</v>
      </c>
      <c r="Q475" s="4">
        <f ca="1">_xll.DBRW($B$1,$B$2,$B$7,$B$3,$B$4,$B$5,$F475,$B$6,Q$10,$A475,$B475)</f>
        <v>26</v>
      </c>
      <c r="R475" s="4">
        <f ca="1">_xll.DBRW($B$1,$B$2,$B$7,$B$3,$B$4,$B$5,$F475,$B$6,R$10,$A475,$B475)</f>
        <v>0</v>
      </c>
      <c r="S475" s="4">
        <f ca="1">_xll.DBRW($B$1,$B$2,$B$7,$B$3,$B$4,$B$5,$F475,$B$6,S$10,$A475,$B475)</f>
        <v>0</v>
      </c>
      <c r="T475" s="4">
        <f ca="1">_xll.DBRW($B$1,$B$2,$B$7,$B$3,$B$4,$B$5,$F475,$B$6,T$10,$A475,$B475)</f>
        <v>0</v>
      </c>
      <c r="U475" s="4">
        <f ca="1">_xll.DBRW($B$1,$B$2,$B$7,$B$3,$B$4,$B$5,$F475,$B$6,U$10,$A475,$B475)</f>
        <v>0</v>
      </c>
      <c r="V475" s="4">
        <f ca="1">_xll.DBRW($B$1,$B$2,$B$7,$B$3,$B$4,$B$5,$F475,$B$6,V$10,$A475,$B475)</f>
        <v>0</v>
      </c>
      <c r="W475" s="4">
        <f ca="1">_xll.DBRW($B$1,$B$2,$B$7,$B$3,$B$4,$B$5,$F475,$B$6,W$10,$A475,$B475)</f>
        <v>0</v>
      </c>
      <c r="X475" s="4">
        <f ca="1">_xll.DBRW($B$1,$B$2,$B$7,$B$3,$B$4,$B$5,$F475,$B$6,X$10,$A475,$B475)</f>
        <v>0</v>
      </c>
      <c r="Y475" s="4">
        <f ca="1">_xll.DBRW($B$1,$B$2,$B$7,$B$3,$B$4,$B$5,$F475,$B$6,Y$10,$A475,$B475)</f>
        <v>0</v>
      </c>
      <c r="Z475" s="4">
        <f ca="1">_xll.DBRW($B$1,$B$2,$B$7,$B$3,$B$4,$B$5,$F475,$B$6,Z$10,$A475,$B475)</f>
        <v>0</v>
      </c>
      <c r="AA475" s="4">
        <f ca="1">_xll.DBRW($B$1,$B$2,$B$7,$B$3,$B$4,$B$5,$F475,$B$6,AA$10,$A475,$B475)</f>
        <v>0</v>
      </c>
      <c r="AB475" s="4">
        <f ca="1">_xll.DBRW($B$1,$B$2,$B$7,$B$3,$B$4,$B$5,$F475,$B$6,AB$10,$A475,$B475)</f>
        <v>0</v>
      </c>
      <c r="AC475" s="4">
        <f ca="1">_xll.DBRW($B$1,$B$2,$B$7,$B$3,$B$4,$B$5,$F475,$B$6,AC$10,$A475,$B475)</f>
        <v>0</v>
      </c>
      <c r="AD475" s="4">
        <f ca="1">_xll.DBRW($B$1,$B$2,$B$7,$B$3,$B$4,$B$5,$F475,$B$6,AD$10,$A475,$B475)</f>
        <v>0</v>
      </c>
      <c r="AE475" s="4">
        <f ca="1">_xll.DBRW($B$1,$B$2,$B$7,$B$3,$B$4,$B$5,$F475,$B$6,AE$10,$A475,$B475)</f>
        <v>0</v>
      </c>
    </row>
    <row r="476" spans="1:31">
      <c r="A476" s="1" t="s">
        <v>150</v>
      </c>
      <c r="B476" s="5" t="s">
        <v>40</v>
      </c>
      <c r="C476" s="5" t="s">
        <v>37</v>
      </c>
      <c r="D476" s="5" t="s">
        <v>38</v>
      </c>
      <c r="E476" s="5" t="s">
        <v>21</v>
      </c>
      <c r="F476" s="5" t="s">
        <v>316</v>
      </c>
      <c r="G476" s="6"/>
      <c r="H476" s="6"/>
      <c r="I476" s="6"/>
      <c r="J476" s="6"/>
      <c r="K476" s="6"/>
      <c r="L476" s="4">
        <f ca="1">_xll.DBRW($B$1,$B$2,$B$7,$B$3,$B$4,$B$5,$F476,$B$6,L$10,$A476,$B476)</f>
        <v>31</v>
      </c>
      <c r="M476" s="4">
        <f ca="1">_xll.DBRW($B$1,$B$2,$B$7,$B$3,$B$4,$B$5,$F476,$B$6,M$10,$A476,$B476)</f>
        <v>30</v>
      </c>
      <c r="N476" s="4">
        <f ca="1">_xll.DBRW($B$1,$B$2,$B$7,$B$3,$B$4,$B$5,$F476,$B$6,N$10,$A476,$B476)</f>
        <v>31</v>
      </c>
      <c r="O476" s="4">
        <f ca="1">_xll.DBRW($B$1,$B$2,$B$7,$B$3,$B$4,$B$5,$F476,$B$6,O$10,$A476,$B476)</f>
        <v>31</v>
      </c>
      <c r="P476" s="4">
        <f ca="1">_xll.DBRW($B$1,$B$2,$B$7,$B$3,$B$4,$B$5,$F476,$B$6,P$10,$A476,$B476)</f>
        <v>30</v>
      </c>
      <c r="Q476" s="4">
        <f ca="1">_xll.DBRW($B$1,$B$2,$B$7,$B$3,$B$4,$B$5,$F476,$B$6,Q$10,$A476,$B476)</f>
        <v>26</v>
      </c>
      <c r="R476" s="4">
        <f ca="1">_xll.DBRW($B$1,$B$2,$B$7,$B$3,$B$4,$B$5,$F476,$B$6,R$10,$A476,$B476)</f>
        <v>0</v>
      </c>
      <c r="S476" s="4">
        <f ca="1">_xll.DBRW($B$1,$B$2,$B$7,$B$3,$B$4,$B$5,$F476,$B$6,S$10,$A476,$B476)</f>
        <v>0</v>
      </c>
      <c r="T476" s="4">
        <f ca="1">_xll.DBRW($B$1,$B$2,$B$7,$B$3,$B$4,$B$5,$F476,$B$6,T$10,$A476,$B476)</f>
        <v>0</v>
      </c>
      <c r="U476" s="4">
        <f ca="1">_xll.DBRW($B$1,$B$2,$B$7,$B$3,$B$4,$B$5,$F476,$B$6,U$10,$A476,$B476)</f>
        <v>0</v>
      </c>
      <c r="V476" s="4">
        <f ca="1">_xll.DBRW($B$1,$B$2,$B$7,$B$3,$B$4,$B$5,$F476,$B$6,V$10,$A476,$B476)</f>
        <v>0</v>
      </c>
      <c r="W476" s="4">
        <f ca="1">_xll.DBRW($B$1,$B$2,$B$7,$B$3,$B$4,$B$5,$F476,$B$6,W$10,$A476,$B476)</f>
        <v>0</v>
      </c>
      <c r="X476" s="4">
        <f ca="1">_xll.DBRW($B$1,$B$2,$B$7,$B$3,$B$4,$B$5,$F476,$B$6,X$10,$A476,$B476)</f>
        <v>0</v>
      </c>
      <c r="Y476" s="4">
        <f ca="1">_xll.DBRW($B$1,$B$2,$B$7,$B$3,$B$4,$B$5,$F476,$B$6,Y$10,$A476,$B476)</f>
        <v>0</v>
      </c>
      <c r="Z476" s="4">
        <f ca="1">_xll.DBRW($B$1,$B$2,$B$7,$B$3,$B$4,$B$5,$F476,$B$6,Z$10,$A476,$B476)</f>
        <v>0</v>
      </c>
      <c r="AA476" s="4">
        <f ca="1">_xll.DBRW($B$1,$B$2,$B$7,$B$3,$B$4,$B$5,$F476,$B$6,AA$10,$A476,$B476)</f>
        <v>0</v>
      </c>
      <c r="AB476" s="4">
        <f ca="1">_xll.DBRW($B$1,$B$2,$B$7,$B$3,$B$4,$B$5,$F476,$B$6,AB$10,$A476,$B476)</f>
        <v>0</v>
      </c>
      <c r="AC476" s="4">
        <f ca="1">_xll.DBRW($B$1,$B$2,$B$7,$B$3,$B$4,$B$5,$F476,$B$6,AC$10,$A476,$B476)</f>
        <v>0</v>
      </c>
      <c r="AD476" s="4">
        <f ca="1">_xll.DBRW($B$1,$B$2,$B$7,$B$3,$B$4,$B$5,$F476,$B$6,AD$10,$A476,$B476)</f>
        <v>0</v>
      </c>
      <c r="AE476" s="4">
        <f ca="1">_xll.DBRW($B$1,$B$2,$B$7,$B$3,$B$4,$B$5,$F476,$B$6,AE$10,$A476,$B476)</f>
        <v>0</v>
      </c>
    </row>
    <row r="477" spans="1:31">
      <c r="A477" s="1" t="s">
        <v>150</v>
      </c>
      <c r="B477" s="5" t="s">
        <v>173</v>
      </c>
      <c r="C477" s="5" t="s">
        <v>168</v>
      </c>
      <c r="D477" s="5" t="s">
        <v>21</v>
      </c>
      <c r="E477" s="5" t="s">
        <v>76</v>
      </c>
      <c r="F477" s="5" t="s">
        <v>316</v>
      </c>
      <c r="G477" s="6"/>
      <c r="H477" s="6"/>
      <c r="I477" s="6"/>
      <c r="J477" s="6"/>
      <c r="K477" s="6"/>
      <c r="L477" s="4">
        <f ca="1">_xll.DBRW($B$1,$B$2,$B$7,$B$3,$B$4,$B$5,$F477,$B$6,L$10,$A477,$B477)</f>
        <v>0</v>
      </c>
      <c r="M477" s="4">
        <f ca="1">_xll.DBRW($B$1,$B$2,$B$7,$B$3,$B$4,$B$5,$F477,$B$6,M$10,$A477,$B477)</f>
        <v>0</v>
      </c>
      <c r="N477" s="4">
        <f ca="1">_xll.DBRW($B$1,$B$2,$B$7,$B$3,$B$4,$B$5,$F477,$B$6,N$10,$A477,$B477)</f>
        <v>0</v>
      </c>
      <c r="O477" s="4">
        <f ca="1">_xll.DBRW($B$1,$B$2,$B$7,$B$3,$B$4,$B$5,$F477,$B$6,O$10,$A477,$B477)</f>
        <v>0</v>
      </c>
      <c r="P477" s="4">
        <f ca="1">_xll.DBRW($B$1,$B$2,$B$7,$B$3,$B$4,$B$5,$F477,$B$6,P$10,$A477,$B477)</f>
        <v>0</v>
      </c>
      <c r="Q477" s="4">
        <f ca="1">_xll.DBRW($B$1,$B$2,$B$7,$B$3,$B$4,$B$5,$F477,$B$6,Q$10,$A477,$B477)</f>
        <v>0</v>
      </c>
      <c r="R477" s="4">
        <f ca="1">_xll.DBRW($B$1,$B$2,$B$7,$B$3,$B$4,$B$5,$F477,$B$6,R$10,$A477,$B477)</f>
        <v>0</v>
      </c>
      <c r="S477" s="4">
        <f ca="1">_xll.DBRW($B$1,$B$2,$B$7,$B$3,$B$4,$B$5,$F477,$B$6,S$10,$A477,$B477)</f>
        <v>0</v>
      </c>
      <c r="T477" s="4">
        <f ca="1">_xll.DBRW($B$1,$B$2,$B$7,$B$3,$B$4,$B$5,$F477,$B$6,T$10,$A477,$B477)</f>
        <v>0</v>
      </c>
      <c r="U477" s="4">
        <f ca="1">_xll.DBRW($B$1,$B$2,$B$7,$B$3,$B$4,$B$5,$F477,$B$6,U$10,$A477,$B477)</f>
        <v>0</v>
      </c>
      <c r="V477" s="4">
        <f ca="1">_xll.DBRW($B$1,$B$2,$B$7,$B$3,$B$4,$B$5,$F477,$B$6,V$10,$A477,$B477)</f>
        <v>2</v>
      </c>
      <c r="W477" s="4">
        <f ca="1">_xll.DBRW($B$1,$B$2,$B$7,$B$3,$B$4,$B$5,$F477,$B$6,W$10,$A477,$B477)</f>
        <v>30</v>
      </c>
      <c r="X477" s="4">
        <f ca="1">_xll.DBRW($B$1,$B$2,$B$7,$B$3,$B$4,$B$5,$F477,$B$6,X$10,$A477,$B477)</f>
        <v>31</v>
      </c>
      <c r="Y477" s="4">
        <f ca="1">_xll.DBRW($B$1,$B$2,$B$7,$B$3,$B$4,$B$5,$F477,$B$6,Y$10,$A477,$B477)</f>
        <v>30</v>
      </c>
      <c r="Z477" s="4">
        <f ca="1">_xll.DBRW($B$1,$B$2,$B$7,$B$3,$B$4,$B$5,$F477,$B$6,Z$10,$A477,$B477)</f>
        <v>31</v>
      </c>
      <c r="AA477" s="4">
        <f ca="1">_xll.DBRW($B$1,$B$2,$B$7,$B$3,$B$4,$B$5,$F477,$B$6,AA$10,$A477,$B477)</f>
        <v>31</v>
      </c>
      <c r="AB477" s="4">
        <f ca="1">_xll.DBRW($B$1,$B$2,$B$7,$B$3,$B$4,$B$5,$F477,$B$6,AB$10,$A477,$B477)</f>
        <v>30</v>
      </c>
      <c r="AC477" s="4">
        <f ca="1">_xll.DBRW($B$1,$B$2,$B$7,$B$3,$B$4,$B$5,$F477,$B$6,AC$10,$A477,$B477)</f>
        <v>25</v>
      </c>
      <c r="AD477" s="4">
        <f ca="1">_xll.DBRW($B$1,$B$2,$B$7,$B$3,$B$4,$B$5,$F477,$B$6,AD$10,$A477,$B477)</f>
        <v>0</v>
      </c>
      <c r="AE477" s="4">
        <f ca="1">_xll.DBRW($B$1,$B$2,$B$7,$B$3,$B$4,$B$5,$F477,$B$6,AE$10,$A477,$B477)</f>
        <v>0</v>
      </c>
    </row>
    <row r="478" spans="1:31">
      <c r="A478" s="1" t="s">
        <v>150</v>
      </c>
      <c r="B478" s="5" t="s">
        <v>77</v>
      </c>
      <c r="C478" s="5" t="s">
        <v>75</v>
      </c>
      <c r="D478" s="5" t="s">
        <v>76</v>
      </c>
      <c r="E478" s="5" t="s">
        <v>21</v>
      </c>
      <c r="F478" s="5" t="s">
        <v>316</v>
      </c>
      <c r="G478" s="6"/>
      <c r="H478" s="6"/>
      <c r="I478" s="6"/>
      <c r="J478" s="6"/>
      <c r="K478" s="6"/>
      <c r="L478" s="4">
        <f ca="1">_xll.DBRW($B$1,$B$2,$B$7,$B$3,$B$4,$B$5,$F478,$B$6,L$10,$A478,$B478)</f>
        <v>0</v>
      </c>
      <c r="M478" s="4">
        <f ca="1">_xll.DBRW($B$1,$B$2,$B$7,$B$3,$B$4,$B$5,$F478,$B$6,M$10,$A478,$B478)</f>
        <v>0</v>
      </c>
      <c r="N478" s="4">
        <f ca="1">_xll.DBRW($B$1,$B$2,$B$7,$B$3,$B$4,$B$5,$F478,$B$6,N$10,$A478,$B478)</f>
        <v>1</v>
      </c>
      <c r="O478" s="4">
        <f ca="1">_xll.DBRW($B$1,$B$2,$B$7,$B$3,$B$4,$B$5,$F478,$B$6,O$10,$A478,$B478)</f>
        <v>0</v>
      </c>
      <c r="P478" s="4">
        <f ca="1">_xll.DBRW($B$1,$B$2,$B$7,$B$3,$B$4,$B$5,$F478,$B$6,P$10,$A478,$B478)</f>
        <v>0</v>
      </c>
      <c r="Q478" s="4">
        <f ca="1">_xll.DBRW($B$1,$B$2,$B$7,$B$3,$B$4,$B$5,$F478,$B$6,Q$10,$A478,$B478)</f>
        <v>0</v>
      </c>
      <c r="R478" s="4">
        <f ca="1">_xll.DBRW($B$1,$B$2,$B$7,$B$3,$B$4,$B$5,$F478,$B$6,R$10,$A478,$B478)</f>
        <v>0</v>
      </c>
      <c r="S478" s="4">
        <f ca="1">_xll.DBRW($B$1,$B$2,$B$7,$B$3,$B$4,$B$5,$F478,$B$6,S$10,$A478,$B478)</f>
        <v>0</v>
      </c>
      <c r="T478" s="4">
        <f ca="1">_xll.DBRW($B$1,$B$2,$B$7,$B$3,$B$4,$B$5,$F478,$B$6,T$10,$A478,$B478)</f>
        <v>0</v>
      </c>
      <c r="U478" s="4">
        <f ca="1">_xll.DBRW($B$1,$B$2,$B$7,$B$3,$B$4,$B$5,$F478,$B$6,U$10,$A478,$B478)</f>
        <v>0</v>
      </c>
      <c r="V478" s="4">
        <f ca="1">_xll.DBRW($B$1,$B$2,$B$7,$B$3,$B$4,$B$5,$F478,$B$6,V$10,$A478,$B478)</f>
        <v>2</v>
      </c>
      <c r="W478" s="4">
        <f ca="1">_xll.DBRW($B$1,$B$2,$B$7,$B$3,$B$4,$B$5,$F478,$B$6,W$10,$A478,$B478)</f>
        <v>30</v>
      </c>
      <c r="X478" s="4">
        <f ca="1">_xll.DBRW($B$1,$B$2,$B$7,$B$3,$B$4,$B$5,$F478,$B$6,X$10,$A478,$B478)</f>
        <v>31</v>
      </c>
      <c r="Y478" s="4">
        <f ca="1">_xll.DBRW($B$1,$B$2,$B$7,$B$3,$B$4,$B$5,$F478,$B$6,Y$10,$A478,$B478)</f>
        <v>30</v>
      </c>
      <c r="Z478" s="4">
        <f ca="1">_xll.DBRW($B$1,$B$2,$B$7,$B$3,$B$4,$B$5,$F478,$B$6,Z$10,$A478,$B478)</f>
        <v>31</v>
      </c>
      <c r="AA478" s="4">
        <f ca="1">_xll.DBRW($B$1,$B$2,$B$7,$B$3,$B$4,$B$5,$F478,$B$6,AA$10,$A478,$B478)</f>
        <v>31</v>
      </c>
      <c r="AB478" s="4">
        <f ca="1">_xll.DBRW($B$1,$B$2,$B$7,$B$3,$B$4,$B$5,$F478,$B$6,AB$10,$A478,$B478)</f>
        <v>30</v>
      </c>
      <c r="AC478" s="4">
        <f ca="1">_xll.DBRW($B$1,$B$2,$B$7,$B$3,$B$4,$B$5,$F478,$B$6,AC$10,$A478,$B478)</f>
        <v>24</v>
      </c>
      <c r="AD478" s="4">
        <f ca="1">_xll.DBRW($B$1,$B$2,$B$7,$B$3,$B$4,$B$5,$F478,$B$6,AD$10,$A478,$B478)</f>
        <v>0</v>
      </c>
      <c r="AE478" s="4">
        <f ca="1">_xll.DBRW($B$1,$B$2,$B$7,$B$3,$B$4,$B$5,$F478,$B$6,AE$10,$A478,$B478)</f>
        <v>0</v>
      </c>
    </row>
    <row r="479" spans="1:31">
      <c r="A479" s="1" t="s">
        <v>150</v>
      </c>
      <c r="B479" s="5" t="s">
        <v>174</v>
      </c>
      <c r="C479" s="5" t="s">
        <v>159</v>
      </c>
      <c r="D479" s="5" t="s">
        <v>21</v>
      </c>
      <c r="E479" s="5" t="s">
        <v>38</v>
      </c>
      <c r="F479" s="5" t="s">
        <v>316</v>
      </c>
      <c r="G479" s="6"/>
      <c r="H479" s="6"/>
      <c r="I479" s="6"/>
      <c r="J479" s="6"/>
      <c r="K479" s="6"/>
      <c r="L479" s="4">
        <f ca="1">_xll.DBRW($B$1,$B$2,$B$7,$B$3,$B$4,$B$5,$F479,$B$6,L$10,$A479,$B479)</f>
        <v>11</v>
      </c>
      <c r="M479" s="4">
        <f ca="1">_xll.DBRW($B$1,$B$2,$B$7,$B$3,$B$4,$B$5,$F479,$B$6,M$10,$A479,$B479)</f>
        <v>9</v>
      </c>
      <c r="N479" s="4">
        <f ca="1">_xll.DBRW($B$1,$B$2,$B$7,$B$3,$B$4,$B$5,$F479,$B$6,N$10,$A479,$B479)</f>
        <v>9</v>
      </c>
      <c r="O479" s="4">
        <f ca="1">_xll.DBRW($B$1,$B$2,$B$7,$B$3,$B$4,$B$5,$F479,$B$6,O$10,$A479,$B479)</f>
        <v>12</v>
      </c>
      <c r="P479" s="4">
        <f ca="1">_xll.DBRW($B$1,$B$2,$B$7,$B$3,$B$4,$B$5,$F479,$B$6,P$10,$A479,$B479)</f>
        <v>8</v>
      </c>
      <c r="Q479" s="4">
        <f ca="1">_xll.DBRW($B$1,$B$2,$B$7,$B$3,$B$4,$B$5,$F479,$B$6,Q$10,$A479,$B479)</f>
        <v>10</v>
      </c>
      <c r="R479" s="4">
        <f ca="1">_xll.DBRW($B$1,$B$2,$B$7,$B$3,$B$4,$B$5,$F479,$B$6,R$10,$A479,$B479)</f>
        <v>17</v>
      </c>
      <c r="S479" s="4">
        <f ca="1">_xll.DBRW($B$1,$B$2,$B$7,$B$3,$B$4,$B$5,$F479,$B$6,S$10,$A479,$B479)</f>
        <v>16</v>
      </c>
      <c r="T479" s="4">
        <f ca="1">_xll.DBRW($B$1,$B$2,$B$7,$B$3,$B$4,$B$5,$F479,$B$6,T$10,$A479,$B479)</f>
        <v>5</v>
      </c>
      <c r="U479" s="4">
        <f ca="1">_xll.DBRW($B$1,$B$2,$B$7,$B$3,$B$4,$B$5,$F479,$B$6,U$10,$A479,$B479)</f>
        <v>4</v>
      </c>
      <c r="V479" s="4">
        <f ca="1">_xll.DBRW($B$1,$B$2,$B$7,$B$3,$B$4,$B$5,$F479,$B$6,V$10,$A479,$B479)</f>
        <v>4</v>
      </c>
      <c r="W479" s="4">
        <f ca="1">_xll.DBRW($B$1,$B$2,$B$7,$B$3,$B$4,$B$5,$F479,$B$6,W$10,$A479,$B479)</f>
        <v>4</v>
      </c>
      <c r="X479" s="4">
        <f ca="1">_xll.DBRW($B$1,$B$2,$B$7,$B$3,$B$4,$B$5,$F479,$B$6,X$10,$A479,$B479)</f>
        <v>5</v>
      </c>
      <c r="Y479" s="4">
        <f ca="1">_xll.DBRW($B$1,$B$2,$B$7,$B$3,$B$4,$B$5,$F479,$B$6,Y$10,$A479,$B479)</f>
        <v>4</v>
      </c>
      <c r="Z479" s="4">
        <f ca="1">_xll.DBRW($B$1,$B$2,$B$7,$B$3,$B$4,$B$5,$F479,$B$6,Z$10,$A479,$B479)</f>
        <v>4</v>
      </c>
      <c r="AA479" s="4">
        <f ca="1">_xll.DBRW($B$1,$B$2,$B$7,$B$3,$B$4,$B$5,$F479,$B$6,AA$10,$A479,$B479)</f>
        <v>5</v>
      </c>
      <c r="AB479" s="4">
        <f ca="1">_xll.DBRW($B$1,$B$2,$B$7,$B$3,$B$4,$B$5,$F479,$B$6,AB$10,$A479,$B479)</f>
        <v>4</v>
      </c>
      <c r="AC479" s="4">
        <f ca="1">_xll.DBRW($B$1,$B$2,$B$7,$B$3,$B$4,$B$5,$F479,$B$6,AC$10,$A479,$B479)</f>
        <v>5</v>
      </c>
      <c r="AD479" s="4">
        <f ca="1">_xll.DBRW($B$1,$B$2,$B$7,$B$3,$B$4,$B$5,$F479,$B$6,AD$10,$A479,$B479)</f>
        <v>4</v>
      </c>
      <c r="AE479" s="4">
        <f ca="1">_xll.DBRW($B$1,$B$2,$B$7,$B$3,$B$4,$B$5,$F479,$B$6,AE$10,$A479,$B479)</f>
        <v>5</v>
      </c>
    </row>
    <row r="480" spans="1:31">
      <c r="A480" s="1" t="s">
        <v>150</v>
      </c>
      <c r="B480" s="5" t="s">
        <v>41</v>
      </c>
      <c r="C480" s="5" t="s">
        <v>37</v>
      </c>
      <c r="D480" s="5" t="s">
        <v>38</v>
      </c>
      <c r="E480" s="5" t="s">
        <v>21</v>
      </c>
      <c r="F480" s="5" t="s">
        <v>316</v>
      </c>
      <c r="G480" s="6"/>
      <c r="H480" s="6"/>
      <c r="I480" s="6"/>
      <c r="J480" s="6"/>
      <c r="K480" s="6"/>
      <c r="L480" s="4">
        <f ca="1">_xll.DBRW($B$1,$B$2,$B$7,$B$3,$B$4,$B$5,$F480,$B$6,L$10,$A480,$B480)</f>
        <v>10</v>
      </c>
      <c r="M480" s="4">
        <f ca="1">_xll.DBRW($B$1,$B$2,$B$7,$B$3,$B$4,$B$5,$F480,$B$6,M$10,$A480,$B480)</f>
        <v>9</v>
      </c>
      <c r="N480" s="4">
        <f ca="1">_xll.DBRW($B$1,$B$2,$B$7,$B$3,$B$4,$B$5,$F480,$B$6,N$10,$A480,$B480)</f>
        <v>8</v>
      </c>
      <c r="O480" s="4">
        <f ca="1">_xll.DBRW($B$1,$B$2,$B$7,$B$3,$B$4,$B$5,$F480,$B$6,O$10,$A480,$B480)</f>
        <v>8</v>
      </c>
      <c r="P480" s="4">
        <f ca="1">_xll.DBRW($B$1,$B$2,$B$7,$B$3,$B$4,$B$5,$F480,$B$6,P$10,$A480,$B480)</f>
        <v>8</v>
      </c>
      <c r="Q480" s="4">
        <f ca="1">_xll.DBRW($B$1,$B$2,$B$7,$B$3,$B$4,$B$5,$F480,$B$6,Q$10,$A480,$B480)</f>
        <v>10</v>
      </c>
      <c r="R480" s="4">
        <f ca="1">_xll.DBRW($B$1,$B$2,$B$7,$B$3,$B$4,$B$5,$F480,$B$6,R$10,$A480,$B480)</f>
        <v>17</v>
      </c>
      <c r="S480" s="4">
        <f ca="1">_xll.DBRW($B$1,$B$2,$B$7,$B$3,$B$4,$B$5,$F480,$B$6,S$10,$A480,$B480)</f>
        <v>16</v>
      </c>
      <c r="T480" s="4">
        <f ca="1">_xll.DBRW($B$1,$B$2,$B$7,$B$3,$B$4,$B$5,$F480,$B$6,T$10,$A480,$B480)</f>
        <v>4</v>
      </c>
      <c r="U480" s="4">
        <f ca="1">_xll.DBRW($B$1,$B$2,$B$7,$B$3,$B$4,$B$5,$F480,$B$6,U$10,$A480,$B480)</f>
        <v>4</v>
      </c>
      <c r="V480" s="4">
        <f ca="1">_xll.DBRW($B$1,$B$2,$B$7,$B$3,$B$4,$B$5,$F480,$B$6,V$10,$A480,$B480)</f>
        <v>6</v>
      </c>
      <c r="W480" s="4">
        <f ca="1">_xll.DBRW($B$1,$B$2,$B$7,$B$3,$B$4,$B$5,$F480,$B$6,W$10,$A480,$B480)</f>
        <v>12</v>
      </c>
      <c r="X480" s="4">
        <f ca="1">_xll.DBRW($B$1,$B$2,$B$7,$B$3,$B$4,$B$5,$F480,$B$6,X$10,$A480,$B480)</f>
        <v>14</v>
      </c>
      <c r="Y480" s="4">
        <f ca="1">_xll.DBRW($B$1,$B$2,$B$7,$B$3,$B$4,$B$5,$F480,$B$6,Y$10,$A480,$B480)</f>
        <v>13</v>
      </c>
      <c r="Z480" s="4">
        <f ca="1">_xll.DBRW($B$1,$B$2,$B$7,$B$3,$B$4,$B$5,$F480,$B$6,Z$10,$A480,$B480)</f>
        <v>13</v>
      </c>
      <c r="AA480" s="4">
        <f ca="1">_xll.DBRW($B$1,$B$2,$B$7,$B$3,$B$4,$B$5,$F480,$B$6,AA$10,$A480,$B480)</f>
        <v>13</v>
      </c>
      <c r="AB480" s="4">
        <f ca="1">_xll.DBRW($B$1,$B$2,$B$7,$B$3,$B$4,$B$5,$F480,$B$6,AB$10,$A480,$B480)</f>
        <v>13</v>
      </c>
      <c r="AC480" s="4">
        <f ca="1">_xll.DBRW($B$1,$B$2,$B$7,$B$3,$B$4,$B$5,$F480,$B$6,AC$10,$A480,$B480)</f>
        <v>11</v>
      </c>
      <c r="AD480" s="4">
        <f ca="1">_xll.DBRW($B$1,$B$2,$B$7,$B$3,$B$4,$B$5,$F480,$B$6,AD$10,$A480,$B480)</f>
        <v>5</v>
      </c>
      <c r="AE480" s="4">
        <f ca="1">_xll.DBRW($B$1,$B$2,$B$7,$B$3,$B$4,$B$5,$F480,$B$6,AE$10,$A480,$B480)</f>
        <v>4</v>
      </c>
    </row>
    <row r="481" spans="1:31">
      <c r="A481" s="1" t="s">
        <v>150</v>
      </c>
      <c r="B481" s="5" t="s">
        <v>175</v>
      </c>
      <c r="C481" s="5" t="s">
        <v>159</v>
      </c>
      <c r="D481" s="5" t="s">
        <v>21</v>
      </c>
      <c r="E481" s="5" t="s">
        <v>38</v>
      </c>
      <c r="F481" s="5" t="s">
        <v>316</v>
      </c>
      <c r="G481" s="6"/>
      <c r="H481" s="6"/>
      <c r="I481" s="6"/>
      <c r="J481" s="6"/>
      <c r="K481" s="6"/>
      <c r="L481" s="4">
        <f ca="1">_xll.DBRW($B$1,$B$2,$B$7,$B$3,$B$4,$B$5,$F481,$B$6,L$10,$A481,$B481)</f>
        <v>2</v>
      </c>
      <c r="M481" s="4">
        <f ca="1">_xll.DBRW($B$1,$B$2,$B$7,$B$3,$B$4,$B$5,$F481,$B$6,M$10,$A481,$B481)</f>
        <v>4</v>
      </c>
      <c r="N481" s="4">
        <f ca="1">_xll.DBRW($B$1,$B$2,$B$7,$B$3,$B$4,$B$5,$F481,$B$6,N$10,$A481,$B481)</f>
        <v>5</v>
      </c>
      <c r="O481" s="4">
        <f ca="1">_xll.DBRW($B$1,$B$2,$B$7,$B$3,$B$4,$B$5,$F481,$B$6,O$10,$A481,$B481)</f>
        <v>4</v>
      </c>
      <c r="P481" s="4">
        <f ca="1">_xll.DBRW($B$1,$B$2,$B$7,$B$3,$B$4,$B$5,$F481,$B$6,P$10,$A481,$B481)</f>
        <v>4</v>
      </c>
      <c r="Q481" s="4">
        <f ca="1">_xll.DBRW($B$1,$B$2,$B$7,$B$3,$B$4,$B$5,$F481,$B$6,Q$10,$A481,$B481)</f>
        <v>4</v>
      </c>
      <c r="R481" s="4">
        <f ca="1">_xll.DBRW($B$1,$B$2,$B$7,$B$3,$B$4,$B$5,$F481,$B$6,R$10,$A481,$B481)</f>
        <v>0</v>
      </c>
      <c r="S481" s="4">
        <f ca="1">_xll.DBRW($B$1,$B$2,$B$7,$B$3,$B$4,$B$5,$F481,$B$6,S$10,$A481,$B481)</f>
        <v>0</v>
      </c>
      <c r="T481" s="4">
        <f ca="1">_xll.DBRW($B$1,$B$2,$B$7,$B$3,$B$4,$B$5,$F481,$B$6,T$10,$A481,$B481)</f>
        <v>0</v>
      </c>
      <c r="U481" s="4">
        <f ca="1">_xll.DBRW($B$1,$B$2,$B$7,$B$3,$B$4,$B$5,$F481,$B$6,U$10,$A481,$B481)</f>
        <v>0</v>
      </c>
      <c r="V481" s="4">
        <f ca="1">_xll.DBRW($B$1,$B$2,$B$7,$B$3,$B$4,$B$5,$F481,$B$6,V$10,$A481,$B481)</f>
        <v>0</v>
      </c>
      <c r="W481" s="4">
        <f ca="1">_xll.DBRW($B$1,$B$2,$B$7,$B$3,$B$4,$B$5,$F481,$B$6,W$10,$A481,$B481)</f>
        <v>0</v>
      </c>
      <c r="X481" s="4">
        <f ca="1">_xll.DBRW($B$1,$B$2,$B$7,$B$3,$B$4,$B$5,$F481,$B$6,X$10,$A481,$B481)</f>
        <v>0</v>
      </c>
      <c r="Y481" s="4">
        <f ca="1">_xll.DBRW($B$1,$B$2,$B$7,$B$3,$B$4,$B$5,$F481,$B$6,Y$10,$A481,$B481)</f>
        <v>0</v>
      </c>
      <c r="Z481" s="4">
        <f ca="1">_xll.DBRW($B$1,$B$2,$B$7,$B$3,$B$4,$B$5,$F481,$B$6,Z$10,$A481,$B481)</f>
        <v>0</v>
      </c>
      <c r="AA481" s="4">
        <f ca="1">_xll.DBRW($B$1,$B$2,$B$7,$B$3,$B$4,$B$5,$F481,$B$6,AA$10,$A481,$B481)</f>
        <v>0</v>
      </c>
      <c r="AB481" s="4">
        <f ca="1">_xll.DBRW($B$1,$B$2,$B$7,$B$3,$B$4,$B$5,$F481,$B$6,AB$10,$A481,$B481)</f>
        <v>0</v>
      </c>
      <c r="AC481" s="4">
        <f ca="1">_xll.DBRW($B$1,$B$2,$B$7,$B$3,$B$4,$B$5,$F481,$B$6,AC$10,$A481,$B481)</f>
        <v>0</v>
      </c>
      <c r="AD481" s="4">
        <f ca="1">_xll.DBRW($B$1,$B$2,$B$7,$B$3,$B$4,$B$5,$F481,$B$6,AD$10,$A481,$B481)</f>
        <v>0</v>
      </c>
      <c r="AE481" s="4">
        <f ca="1">_xll.DBRW($B$1,$B$2,$B$7,$B$3,$B$4,$B$5,$F481,$B$6,AE$10,$A481,$B481)</f>
        <v>0</v>
      </c>
    </row>
    <row r="482" spans="1:31">
      <c r="A482" s="1" t="s">
        <v>150</v>
      </c>
      <c r="B482" s="5" t="s">
        <v>42</v>
      </c>
      <c r="C482" s="5" t="s">
        <v>37</v>
      </c>
      <c r="D482" s="5" t="s">
        <v>38</v>
      </c>
      <c r="E482" s="5" t="s">
        <v>21</v>
      </c>
      <c r="F482" s="5" t="s">
        <v>316</v>
      </c>
      <c r="G482" s="6"/>
      <c r="H482" s="6"/>
      <c r="I482" s="6"/>
      <c r="J482" s="6"/>
      <c r="K482" s="6"/>
      <c r="L482" s="4">
        <f ca="1">_xll.DBRW($B$1,$B$2,$B$7,$B$3,$B$4,$B$5,$F482,$B$6,L$10,$A482,$B482)</f>
        <v>4</v>
      </c>
      <c r="M482" s="4">
        <f ca="1">_xll.DBRW($B$1,$B$2,$B$7,$B$3,$B$4,$B$5,$F482,$B$6,M$10,$A482,$B482)</f>
        <v>9</v>
      </c>
      <c r="N482" s="4">
        <f ca="1">_xll.DBRW($B$1,$B$2,$B$7,$B$3,$B$4,$B$5,$F482,$B$6,N$10,$A482,$B482)</f>
        <v>7</v>
      </c>
      <c r="O482" s="4">
        <f ca="1">_xll.DBRW($B$1,$B$2,$B$7,$B$3,$B$4,$B$5,$F482,$B$6,O$10,$A482,$B482)</f>
        <v>12</v>
      </c>
      <c r="P482" s="4">
        <f ca="1">_xll.DBRW($B$1,$B$2,$B$7,$B$3,$B$4,$B$5,$F482,$B$6,P$10,$A482,$B482)</f>
        <v>27</v>
      </c>
      <c r="Q482" s="4">
        <f ca="1">_xll.DBRW($B$1,$B$2,$B$7,$B$3,$B$4,$B$5,$F482,$B$6,Q$10,$A482,$B482)</f>
        <v>24</v>
      </c>
      <c r="R482" s="4">
        <f ca="1">_xll.DBRW($B$1,$B$2,$B$7,$B$3,$B$4,$B$5,$F482,$B$6,R$10,$A482,$B482)</f>
        <v>0</v>
      </c>
      <c r="S482" s="4">
        <f ca="1">_xll.DBRW($B$1,$B$2,$B$7,$B$3,$B$4,$B$5,$F482,$B$6,S$10,$A482,$B482)</f>
        <v>0</v>
      </c>
      <c r="T482" s="4">
        <f ca="1">_xll.DBRW($B$1,$B$2,$B$7,$B$3,$B$4,$B$5,$F482,$B$6,T$10,$A482,$B482)</f>
        <v>0</v>
      </c>
      <c r="U482" s="4">
        <f ca="1">_xll.DBRW($B$1,$B$2,$B$7,$B$3,$B$4,$B$5,$F482,$B$6,U$10,$A482,$B482)</f>
        <v>0</v>
      </c>
      <c r="V482" s="4">
        <f ca="1">_xll.DBRW($B$1,$B$2,$B$7,$B$3,$B$4,$B$5,$F482,$B$6,V$10,$A482,$B482)</f>
        <v>0</v>
      </c>
      <c r="W482" s="4">
        <f ca="1">_xll.DBRW($B$1,$B$2,$B$7,$B$3,$B$4,$B$5,$F482,$B$6,W$10,$A482,$B482)</f>
        <v>0</v>
      </c>
      <c r="X482" s="4">
        <f ca="1">_xll.DBRW($B$1,$B$2,$B$7,$B$3,$B$4,$B$5,$F482,$B$6,X$10,$A482,$B482)</f>
        <v>0</v>
      </c>
      <c r="Y482" s="4">
        <f ca="1">_xll.DBRW($B$1,$B$2,$B$7,$B$3,$B$4,$B$5,$F482,$B$6,Y$10,$A482,$B482)</f>
        <v>0</v>
      </c>
      <c r="Z482" s="4">
        <f ca="1">_xll.DBRW($B$1,$B$2,$B$7,$B$3,$B$4,$B$5,$F482,$B$6,Z$10,$A482,$B482)</f>
        <v>0</v>
      </c>
      <c r="AA482" s="4">
        <f ca="1">_xll.DBRW($B$1,$B$2,$B$7,$B$3,$B$4,$B$5,$F482,$B$6,AA$10,$A482,$B482)</f>
        <v>0</v>
      </c>
      <c r="AB482" s="4">
        <f ca="1">_xll.DBRW($B$1,$B$2,$B$7,$B$3,$B$4,$B$5,$F482,$B$6,AB$10,$A482,$B482)</f>
        <v>0</v>
      </c>
      <c r="AC482" s="4">
        <f ca="1">_xll.DBRW($B$1,$B$2,$B$7,$B$3,$B$4,$B$5,$F482,$B$6,AC$10,$A482,$B482)</f>
        <v>0</v>
      </c>
      <c r="AD482" s="4">
        <f ca="1">_xll.DBRW($B$1,$B$2,$B$7,$B$3,$B$4,$B$5,$F482,$B$6,AD$10,$A482,$B482)</f>
        <v>0</v>
      </c>
      <c r="AE482" s="4">
        <f ca="1">_xll.DBRW($B$1,$B$2,$B$7,$B$3,$B$4,$B$5,$F482,$B$6,AE$10,$A482,$B482)</f>
        <v>0</v>
      </c>
    </row>
    <row r="483" spans="1:31">
      <c r="A483" s="1" t="s">
        <v>150</v>
      </c>
      <c r="B483" s="5" t="s">
        <v>176</v>
      </c>
      <c r="C483" s="5" t="s">
        <v>177</v>
      </c>
      <c r="D483" s="5" t="s">
        <v>28</v>
      </c>
      <c r="E483" s="5" t="s">
        <v>59</v>
      </c>
      <c r="F483" s="5" t="s">
        <v>316</v>
      </c>
      <c r="G483" s="6"/>
      <c r="H483" s="6"/>
      <c r="I483" s="6"/>
      <c r="J483" s="6"/>
      <c r="K483" s="6"/>
      <c r="L483" s="4">
        <f ca="1">_xll.DBRW($B$1,$B$2,$B$7,$B$3,$B$4,$B$5,$F483,$B$6,L$10,$A483,$B483)</f>
        <v>0</v>
      </c>
      <c r="M483" s="4">
        <f ca="1">_xll.DBRW($B$1,$B$2,$B$7,$B$3,$B$4,$B$5,$F483,$B$6,M$10,$A483,$B483)</f>
        <v>0</v>
      </c>
      <c r="N483" s="4">
        <f ca="1">_xll.DBRW($B$1,$B$2,$B$7,$B$3,$B$4,$B$5,$F483,$B$6,N$10,$A483,$B483)</f>
        <v>0</v>
      </c>
      <c r="O483" s="4">
        <f ca="1">_xll.DBRW($B$1,$B$2,$B$7,$B$3,$B$4,$B$5,$F483,$B$6,O$10,$A483,$B483)</f>
        <v>0</v>
      </c>
      <c r="P483" s="4">
        <f ca="1">_xll.DBRW($B$1,$B$2,$B$7,$B$3,$B$4,$B$5,$F483,$B$6,P$10,$A483,$B483)</f>
        <v>0</v>
      </c>
      <c r="Q483" s="4">
        <f ca="1">_xll.DBRW($B$1,$B$2,$B$7,$B$3,$B$4,$B$5,$F483,$B$6,Q$10,$A483,$B483)</f>
        <v>0</v>
      </c>
      <c r="R483" s="4">
        <f ca="1">_xll.DBRW($B$1,$B$2,$B$7,$B$3,$B$4,$B$5,$F483,$B$6,R$10,$A483,$B483)</f>
        <v>0</v>
      </c>
      <c r="S483" s="4">
        <f ca="1">_xll.DBRW($B$1,$B$2,$B$7,$B$3,$B$4,$B$5,$F483,$B$6,S$10,$A483,$B483)</f>
        <v>0</v>
      </c>
      <c r="T483" s="4">
        <f ca="1">_xll.DBRW($B$1,$B$2,$B$7,$B$3,$B$4,$B$5,$F483,$B$6,T$10,$A483,$B483)</f>
        <v>0</v>
      </c>
      <c r="U483" s="4">
        <f ca="1">_xll.DBRW($B$1,$B$2,$B$7,$B$3,$B$4,$B$5,$F483,$B$6,U$10,$A483,$B483)</f>
        <v>0</v>
      </c>
      <c r="V483" s="4">
        <f ca="1">_xll.DBRW($B$1,$B$2,$B$7,$B$3,$B$4,$B$5,$F483,$B$6,V$10,$A483,$B483)</f>
        <v>0</v>
      </c>
      <c r="W483" s="4">
        <f ca="1">_xll.DBRW($B$1,$B$2,$B$7,$B$3,$B$4,$B$5,$F483,$B$6,W$10,$A483,$B483)</f>
        <v>0</v>
      </c>
      <c r="X483" s="4">
        <f ca="1">_xll.DBRW($B$1,$B$2,$B$7,$B$3,$B$4,$B$5,$F483,$B$6,X$10,$A483,$B483)</f>
        <v>0</v>
      </c>
      <c r="Y483" s="4">
        <f ca="1">_xll.DBRW($B$1,$B$2,$B$7,$B$3,$B$4,$B$5,$F483,$B$6,Y$10,$A483,$B483)</f>
        <v>0</v>
      </c>
      <c r="Z483" s="4">
        <f ca="1">_xll.DBRW($B$1,$B$2,$B$7,$B$3,$B$4,$B$5,$F483,$B$6,Z$10,$A483,$B483)</f>
        <v>0</v>
      </c>
      <c r="AA483" s="4">
        <f ca="1">_xll.DBRW($B$1,$B$2,$B$7,$B$3,$B$4,$B$5,$F483,$B$6,AA$10,$A483,$B483)</f>
        <v>0</v>
      </c>
      <c r="AB483" s="4">
        <f ca="1">_xll.DBRW($B$1,$B$2,$B$7,$B$3,$B$4,$B$5,$F483,$B$6,AB$10,$A483,$B483)</f>
        <v>0</v>
      </c>
      <c r="AC483" s="4">
        <f ca="1">_xll.DBRW($B$1,$B$2,$B$7,$B$3,$B$4,$B$5,$F483,$B$6,AC$10,$A483,$B483)</f>
        <v>0</v>
      </c>
      <c r="AD483" s="4">
        <f ca="1">_xll.DBRW($B$1,$B$2,$B$7,$B$3,$B$4,$B$5,$F483,$B$6,AD$10,$A483,$B483)</f>
        <v>0</v>
      </c>
      <c r="AE483" s="4">
        <f ca="1">_xll.DBRW($B$1,$B$2,$B$7,$B$3,$B$4,$B$5,$F483,$B$6,AE$10,$A483,$B483)</f>
        <v>0</v>
      </c>
    </row>
    <row r="484" spans="1:31">
      <c r="A484" s="1" t="s">
        <v>150</v>
      </c>
      <c r="B484" s="5" t="s">
        <v>64</v>
      </c>
      <c r="C484" s="5" t="s">
        <v>65</v>
      </c>
      <c r="D484" s="5" t="s">
        <v>59</v>
      </c>
      <c r="E484" s="5" t="s">
        <v>28</v>
      </c>
      <c r="F484" s="5" t="s">
        <v>316</v>
      </c>
      <c r="G484" s="6"/>
      <c r="H484" s="6"/>
      <c r="I484" s="6"/>
      <c r="J484" s="6"/>
      <c r="K484" s="6"/>
      <c r="L484" s="4">
        <f ca="1">_xll.DBRW($B$1,$B$2,$B$7,$B$3,$B$4,$B$5,$F484,$B$6,L$10,$A484,$B484)</f>
        <v>0</v>
      </c>
      <c r="M484" s="4">
        <f ca="1">_xll.DBRW($B$1,$B$2,$B$7,$B$3,$B$4,$B$5,$F484,$B$6,M$10,$A484,$B484)</f>
        <v>0</v>
      </c>
      <c r="N484" s="4">
        <f ca="1">_xll.DBRW($B$1,$B$2,$B$7,$B$3,$B$4,$B$5,$F484,$B$6,N$10,$A484,$B484)</f>
        <v>0</v>
      </c>
      <c r="O484" s="4">
        <f ca="1">_xll.DBRW($B$1,$B$2,$B$7,$B$3,$B$4,$B$5,$F484,$B$6,O$10,$A484,$B484)</f>
        <v>0</v>
      </c>
      <c r="P484" s="4">
        <f ca="1">_xll.DBRW($B$1,$B$2,$B$7,$B$3,$B$4,$B$5,$F484,$B$6,P$10,$A484,$B484)</f>
        <v>0</v>
      </c>
      <c r="Q484" s="4">
        <f ca="1">_xll.DBRW($B$1,$B$2,$B$7,$B$3,$B$4,$B$5,$F484,$B$6,Q$10,$A484,$B484)</f>
        <v>0</v>
      </c>
      <c r="R484" s="4">
        <f ca="1">_xll.DBRW($B$1,$B$2,$B$7,$B$3,$B$4,$B$5,$F484,$B$6,R$10,$A484,$B484)</f>
        <v>0</v>
      </c>
      <c r="S484" s="4">
        <f ca="1">_xll.DBRW($B$1,$B$2,$B$7,$B$3,$B$4,$B$5,$F484,$B$6,S$10,$A484,$B484)</f>
        <v>0</v>
      </c>
      <c r="T484" s="4">
        <f ca="1">_xll.DBRW($B$1,$B$2,$B$7,$B$3,$B$4,$B$5,$F484,$B$6,T$10,$A484,$B484)</f>
        <v>0</v>
      </c>
      <c r="U484" s="4">
        <f ca="1">_xll.DBRW($B$1,$B$2,$B$7,$B$3,$B$4,$B$5,$F484,$B$6,U$10,$A484,$B484)</f>
        <v>0</v>
      </c>
      <c r="V484" s="4">
        <f ca="1">_xll.DBRW($B$1,$B$2,$B$7,$B$3,$B$4,$B$5,$F484,$B$6,V$10,$A484,$B484)</f>
        <v>0</v>
      </c>
      <c r="W484" s="4">
        <f ca="1">_xll.DBRW($B$1,$B$2,$B$7,$B$3,$B$4,$B$5,$F484,$B$6,W$10,$A484,$B484)</f>
        <v>0</v>
      </c>
      <c r="X484" s="4">
        <f ca="1">_xll.DBRW($B$1,$B$2,$B$7,$B$3,$B$4,$B$5,$F484,$B$6,X$10,$A484,$B484)</f>
        <v>0</v>
      </c>
      <c r="Y484" s="4">
        <f ca="1">_xll.DBRW($B$1,$B$2,$B$7,$B$3,$B$4,$B$5,$F484,$B$6,Y$10,$A484,$B484)</f>
        <v>0</v>
      </c>
      <c r="Z484" s="4">
        <f ca="1">_xll.DBRW($B$1,$B$2,$B$7,$B$3,$B$4,$B$5,$F484,$B$6,Z$10,$A484,$B484)</f>
        <v>0</v>
      </c>
      <c r="AA484" s="4">
        <f ca="1">_xll.DBRW($B$1,$B$2,$B$7,$B$3,$B$4,$B$5,$F484,$B$6,AA$10,$A484,$B484)</f>
        <v>0</v>
      </c>
      <c r="AB484" s="4">
        <f ca="1">_xll.DBRW($B$1,$B$2,$B$7,$B$3,$B$4,$B$5,$F484,$B$6,AB$10,$A484,$B484)</f>
        <v>0</v>
      </c>
      <c r="AC484" s="4">
        <f ca="1">_xll.DBRW($B$1,$B$2,$B$7,$B$3,$B$4,$B$5,$F484,$B$6,AC$10,$A484,$B484)</f>
        <v>0</v>
      </c>
      <c r="AD484" s="4">
        <f ca="1">_xll.DBRW($B$1,$B$2,$B$7,$B$3,$B$4,$B$5,$F484,$B$6,AD$10,$A484,$B484)</f>
        <v>0</v>
      </c>
      <c r="AE484" s="4">
        <f ca="1">_xll.DBRW($B$1,$B$2,$B$7,$B$3,$B$4,$B$5,$F484,$B$6,AE$10,$A484,$B484)</f>
        <v>0</v>
      </c>
    </row>
    <row r="485" spans="1:31">
      <c r="A485" s="1" t="s">
        <v>150</v>
      </c>
      <c r="B485" s="5" t="s">
        <v>178</v>
      </c>
      <c r="C485" s="5" t="s">
        <v>177</v>
      </c>
      <c r="D485" s="5" t="s">
        <v>28</v>
      </c>
      <c r="E485" s="5" t="s">
        <v>59</v>
      </c>
      <c r="F485" s="5" t="s">
        <v>316</v>
      </c>
      <c r="G485" s="6"/>
      <c r="H485" s="6"/>
      <c r="I485" s="6"/>
      <c r="J485" s="6"/>
      <c r="K485" s="6"/>
      <c r="L485" s="4">
        <f ca="1">_xll.DBRW($B$1,$B$2,$B$7,$B$3,$B$4,$B$5,$F485,$B$6,L$10,$A485,$B485)</f>
        <v>0</v>
      </c>
      <c r="M485" s="4">
        <f ca="1">_xll.DBRW($B$1,$B$2,$B$7,$B$3,$B$4,$B$5,$F485,$B$6,M$10,$A485,$B485)</f>
        <v>0</v>
      </c>
      <c r="N485" s="4">
        <f ca="1">_xll.DBRW($B$1,$B$2,$B$7,$B$3,$B$4,$B$5,$F485,$B$6,N$10,$A485,$B485)</f>
        <v>0</v>
      </c>
      <c r="O485" s="4">
        <f ca="1">_xll.DBRW($B$1,$B$2,$B$7,$B$3,$B$4,$B$5,$F485,$B$6,O$10,$A485,$B485)</f>
        <v>0</v>
      </c>
      <c r="P485" s="4">
        <f ca="1">_xll.DBRW($B$1,$B$2,$B$7,$B$3,$B$4,$B$5,$F485,$B$6,P$10,$A485,$B485)</f>
        <v>0</v>
      </c>
      <c r="Q485" s="4">
        <f ca="1">_xll.DBRW($B$1,$B$2,$B$7,$B$3,$B$4,$B$5,$F485,$B$6,Q$10,$A485,$B485)</f>
        <v>0</v>
      </c>
      <c r="R485" s="4">
        <f ca="1">_xll.DBRW($B$1,$B$2,$B$7,$B$3,$B$4,$B$5,$F485,$B$6,R$10,$A485,$B485)</f>
        <v>0</v>
      </c>
      <c r="S485" s="4">
        <f ca="1">_xll.DBRW($B$1,$B$2,$B$7,$B$3,$B$4,$B$5,$F485,$B$6,S$10,$A485,$B485)</f>
        <v>0</v>
      </c>
      <c r="T485" s="4">
        <f ca="1">_xll.DBRW($B$1,$B$2,$B$7,$B$3,$B$4,$B$5,$F485,$B$6,T$10,$A485,$B485)</f>
        <v>0</v>
      </c>
      <c r="U485" s="4">
        <f ca="1">_xll.DBRW($B$1,$B$2,$B$7,$B$3,$B$4,$B$5,$F485,$B$6,U$10,$A485,$B485)</f>
        <v>0</v>
      </c>
      <c r="V485" s="4">
        <f ca="1">_xll.DBRW($B$1,$B$2,$B$7,$B$3,$B$4,$B$5,$F485,$B$6,V$10,$A485,$B485)</f>
        <v>0</v>
      </c>
      <c r="W485" s="4">
        <f ca="1">_xll.DBRW($B$1,$B$2,$B$7,$B$3,$B$4,$B$5,$F485,$B$6,W$10,$A485,$B485)</f>
        <v>0</v>
      </c>
      <c r="X485" s="4">
        <f ca="1">_xll.DBRW($B$1,$B$2,$B$7,$B$3,$B$4,$B$5,$F485,$B$6,X$10,$A485,$B485)</f>
        <v>0</v>
      </c>
      <c r="Y485" s="4">
        <f ca="1">_xll.DBRW($B$1,$B$2,$B$7,$B$3,$B$4,$B$5,$F485,$B$6,Y$10,$A485,$B485)</f>
        <v>0</v>
      </c>
      <c r="Z485" s="4">
        <f ca="1">_xll.DBRW($B$1,$B$2,$B$7,$B$3,$B$4,$B$5,$F485,$B$6,Z$10,$A485,$B485)</f>
        <v>0</v>
      </c>
      <c r="AA485" s="4">
        <f ca="1">_xll.DBRW($B$1,$B$2,$B$7,$B$3,$B$4,$B$5,$F485,$B$6,AA$10,$A485,$B485)</f>
        <v>0</v>
      </c>
      <c r="AB485" s="4">
        <f ca="1">_xll.DBRW($B$1,$B$2,$B$7,$B$3,$B$4,$B$5,$F485,$B$6,AB$10,$A485,$B485)</f>
        <v>0</v>
      </c>
      <c r="AC485" s="4">
        <f ca="1">_xll.DBRW($B$1,$B$2,$B$7,$B$3,$B$4,$B$5,$F485,$B$6,AC$10,$A485,$B485)</f>
        <v>0</v>
      </c>
      <c r="AD485" s="4">
        <f ca="1">_xll.DBRW($B$1,$B$2,$B$7,$B$3,$B$4,$B$5,$F485,$B$6,AD$10,$A485,$B485)</f>
        <v>0</v>
      </c>
      <c r="AE485" s="4">
        <f ca="1">_xll.DBRW($B$1,$B$2,$B$7,$B$3,$B$4,$B$5,$F485,$B$6,AE$10,$A485,$B485)</f>
        <v>0</v>
      </c>
    </row>
    <row r="486" spans="1:31">
      <c r="A486" s="1" t="s">
        <v>150</v>
      </c>
      <c r="B486" s="5" t="s">
        <v>66</v>
      </c>
      <c r="C486" s="5" t="s">
        <v>65</v>
      </c>
      <c r="D486" s="5" t="s">
        <v>59</v>
      </c>
      <c r="E486" s="5" t="s">
        <v>28</v>
      </c>
      <c r="F486" s="5" t="s">
        <v>316</v>
      </c>
      <c r="G486" s="6"/>
      <c r="H486" s="6"/>
      <c r="I486" s="6"/>
      <c r="J486" s="6"/>
      <c r="K486" s="6"/>
      <c r="L486" s="4">
        <f ca="1">_xll.DBRW($B$1,$B$2,$B$7,$B$3,$B$4,$B$5,$F486,$B$6,L$10,$A486,$B486)</f>
        <v>0</v>
      </c>
      <c r="M486" s="4">
        <f ca="1">_xll.DBRW($B$1,$B$2,$B$7,$B$3,$B$4,$B$5,$F486,$B$6,M$10,$A486,$B486)</f>
        <v>0</v>
      </c>
      <c r="N486" s="4">
        <f ca="1">_xll.DBRW($B$1,$B$2,$B$7,$B$3,$B$4,$B$5,$F486,$B$6,N$10,$A486,$B486)</f>
        <v>0</v>
      </c>
      <c r="O486" s="4">
        <f ca="1">_xll.DBRW($B$1,$B$2,$B$7,$B$3,$B$4,$B$5,$F486,$B$6,O$10,$A486,$B486)</f>
        <v>0</v>
      </c>
      <c r="P486" s="4">
        <f ca="1">_xll.DBRW($B$1,$B$2,$B$7,$B$3,$B$4,$B$5,$F486,$B$6,P$10,$A486,$B486)</f>
        <v>0</v>
      </c>
      <c r="Q486" s="4">
        <f ca="1">_xll.DBRW($B$1,$B$2,$B$7,$B$3,$B$4,$B$5,$F486,$B$6,Q$10,$A486,$B486)</f>
        <v>0</v>
      </c>
      <c r="R486" s="4">
        <f ca="1">_xll.DBRW($B$1,$B$2,$B$7,$B$3,$B$4,$B$5,$F486,$B$6,R$10,$A486,$B486)</f>
        <v>0</v>
      </c>
      <c r="S486" s="4">
        <f ca="1">_xll.DBRW($B$1,$B$2,$B$7,$B$3,$B$4,$B$5,$F486,$B$6,S$10,$A486,$B486)</f>
        <v>0</v>
      </c>
      <c r="T486" s="4">
        <f ca="1">_xll.DBRW($B$1,$B$2,$B$7,$B$3,$B$4,$B$5,$F486,$B$6,T$10,$A486,$B486)</f>
        <v>0</v>
      </c>
      <c r="U486" s="4">
        <f ca="1">_xll.DBRW($B$1,$B$2,$B$7,$B$3,$B$4,$B$5,$F486,$B$6,U$10,$A486,$B486)</f>
        <v>0</v>
      </c>
      <c r="V486" s="4">
        <f ca="1">_xll.DBRW($B$1,$B$2,$B$7,$B$3,$B$4,$B$5,$F486,$B$6,V$10,$A486,$B486)</f>
        <v>0</v>
      </c>
      <c r="W486" s="4">
        <f ca="1">_xll.DBRW($B$1,$B$2,$B$7,$B$3,$B$4,$B$5,$F486,$B$6,W$10,$A486,$B486)</f>
        <v>0</v>
      </c>
      <c r="X486" s="4">
        <f ca="1">_xll.DBRW($B$1,$B$2,$B$7,$B$3,$B$4,$B$5,$F486,$B$6,X$10,$A486,$B486)</f>
        <v>0</v>
      </c>
      <c r="Y486" s="4">
        <f ca="1">_xll.DBRW($B$1,$B$2,$B$7,$B$3,$B$4,$B$5,$F486,$B$6,Y$10,$A486,$B486)</f>
        <v>0</v>
      </c>
      <c r="Z486" s="4">
        <f ca="1">_xll.DBRW($B$1,$B$2,$B$7,$B$3,$B$4,$B$5,$F486,$B$6,Z$10,$A486,$B486)</f>
        <v>0</v>
      </c>
      <c r="AA486" s="4">
        <f ca="1">_xll.DBRW($B$1,$B$2,$B$7,$B$3,$B$4,$B$5,$F486,$B$6,AA$10,$A486,$B486)</f>
        <v>0</v>
      </c>
      <c r="AB486" s="4">
        <f ca="1">_xll.DBRW($B$1,$B$2,$B$7,$B$3,$B$4,$B$5,$F486,$B$6,AB$10,$A486,$B486)</f>
        <v>0</v>
      </c>
      <c r="AC486" s="4">
        <f ca="1">_xll.DBRW($B$1,$B$2,$B$7,$B$3,$B$4,$B$5,$F486,$B$6,AC$10,$A486,$B486)</f>
        <v>0</v>
      </c>
      <c r="AD486" s="4">
        <f ca="1">_xll.DBRW($B$1,$B$2,$B$7,$B$3,$B$4,$B$5,$F486,$B$6,AD$10,$A486,$B486)</f>
        <v>0</v>
      </c>
      <c r="AE486" s="4">
        <f ca="1">_xll.DBRW($B$1,$B$2,$B$7,$B$3,$B$4,$B$5,$F486,$B$6,AE$10,$A486,$B486)</f>
        <v>0</v>
      </c>
    </row>
    <row r="487" spans="1:31">
      <c r="A487" s="1" t="s">
        <v>150</v>
      </c>
      <c r="B487" s="5" t="s">
        <v>179</v>
      </c>
      <c r="C487" s="5" t="s">
        <v>180</v>
      </c>
      <c r="D487" s="5" t="s">
        <v>28</v>
      </c>
      <c r="E487" s="5" t="s">
        <v>181</v>
      </c>
      <c r="F487" s="5" t="s">
        <v>316</v>
      </c>
      <c r="G487" s="6"/>
      <c r="H487" s="6"/>
      <c r="I487" s="6"/>
      <c r="J487" s="6"/>
      <c r="K487" s="6"/>
      <c r="L487" s="4">
        <f ca="1">_xll.DBRW($B$1,$B$2,$B$7,$B$3,$B$4,$B$5,$F487,$B$6,L$10,$A487,$B487)</f>
        <v>0</v>
      </c>
      <c r="M487" s="4">
        <f ca="1">_xll.DBRW($B$1,$B$2,$B$7,$B$3,$B$4,$B$5,$F487,$B$6,M$10,$A487,$B487)</f>
        <v>0</v>
      </c>
      <c r="N487" s="4">
        <f ca="1">_xll.DBRW($B$1,$B$2,$B$7,$B$3,$B$4,$B$5,$F487,$B$6,N$10,$A487,$B487)</f>
        <v>0</v>
      </c>
      <c r="O487" s="4">
        <f ca="1">_xll.DBRW($B$1,$B$2,$B$7,$B$3,$B$4,$B$5,$F487,$B$6,O$10,$A487,$B487)</f>
        <v>0</v>
      </c>
      <c r="P487" s="4">
        <f ca="1">_xll.DBRW($B$1,$B$2,$B$7,$B$3,$B$4,$B$5,$F487,$B$6,P$10,$A487,$B487)</f>
        <v>0</v>
      </c>
      <c r="Q487" s="4">
        <f ca="1">_xll.DBRW($B$1,$B$2,$B$7,$B$3,$B$4,$B$5,$F487,$B$6,Q$10,$A487,$B487)</f>
        <v>0</v>
      </c>
      <c r="R487" s="4">
        <f ca="1">_xll.DBRW($B$1,$B$2,$B$7,$B$3,$B$4,$B$5,$F487,$B$6,R$10,$A487,$B487)</f>
        <v>0</v>
      </c>
      <c r="S487" s="4">
        <f ca="1">_xll.DBRW($B$1,$B$2,$B$7,$B$3,$B$4,$B$5,$F487,$B$6,S$10,$A487,$B487)</f>
        <v>0</v>
      </c>
      <c r="T487" s="4">
        <f ca="1">_xll.DBRW($B$1,$B$2,$B$7,$B$3,$B$4,$B$5,$F487,$B$6,T$10,$A487,$B487)</f>
        <v>0</v>
      </c>
      <c r="U487" s="4">
        <f ca="1">_xll.DBRW($B$1,$B$2,$B$7,$B$3,$B$4,$B$5,$F487,$B$6,U$10,$A487,$B487)</f>
        <v>0</v>
      </c>
      <c r="V487" s="4">
        <f ca="1">_xll.DBRW($B$1,$B$2,$B$7,$B$3,$B$4,$B$5,$F487,$B$6,V$10,$A487,$B487)</f>
        <v>0</v>
      </c>
      <c r="W487" s="4">
        <f ca="1">_xll.DBRW($B$1,$B$2,$B$7,$B$3,$B$4,$B$5,$F487,$B$6,W$10,$A487,$B487)</f>
        <v>0</v>
      </c>
      <c r="X487" s="4">
        <f ca="1">_xll.DBRW($B$1,$B$2,$B$7,$B$3,$B$4,$B$5,$F487,$B$6,X$10,$A487,$B487)</f>
        <v>0</v>
      </c>
      <c r="Y487" s="4">
        <f ca="1">_xll.DBRW($B$1,$B$2,$B$7,$B$3,$B$4,$B$5,$F487,$B$6,Y$10,$A487,$B487)</f>
        <v>0</v>
      </c>
      <c r="Z487" s="4">
        <f ca="1">_xll.DBRW($B$1,$B$2,$B$7,$B$3,$B$4,$B$5,$F487,$B$6,Z$10,$A487,$B487)</f>
        <v>0</v>
      </c>
      <c r="AA487" s="4">
        <f ca="1">_xll.DBRW($B$1,$B$2,$B$7,$B$3,$B$4,$B$5,$F487,$B$6,AA$10,$A487,$B487)</f>
        <v>0</v>
      </c>
      <c r="AB487" s="4">
        <f ca="1">_xll.DBRW($B$1,$B$2,$B$7,$B$3,$B$4,$B$5,$F487,$B$6,AB$10,$A487,$B487)</f>
        <v>0</v>
      </c>
      <c r="AC487" s="4">
        <f ca="1">_xll.DBRW($B$1,$B$2,$B$7,$B$3,$B$4,$B$5,$F487,$B$6,AC$10,$A487,$B487)</f>
        <v>0</v>
      </c>
      <c r="AD487" s="4">
        <f ca="1">_xll.DBRW($B$1,$B$2,$B$7,$B$3,$B$4,$B$5,$F487,$B$6,AD$10,$A487,$B487)</f>
        <v>0</v>
      </c>
      <c r="AE487" s="4">
        <f ca="1">_xll.DBRW($B$1,$B$2,$B$7,$B$3,$B$4,$B$5,$F487,$B$6,AE$10,$A487,$B487)</f>
        <v>0</v>
      </c>
    </row>
    <row r="488" spans="1:31">
      <c r="A488" s="1" t="s">
        <v>150</v>
      </c>
      <c r="B488" s="5" t="s">
        <v>182</v>
      </c>
      <c r="C488" s="5" t="s">
        <v>183</v>
      </c>
      <c r="D488" s="5" t="s">
        <v>181</v>
      </c>
      <c r="E488" s="5" t="s">
        <v>28</v>
      </c>
      <c r="F488" s="5" t="s">
        <v>316</v>
      </c>
      <c r="G488" s="6"/>
      <c r="H488" s="6"/>
      <c r="I488" s="6"/>
      <c r="J488" s="6"/>
      <c r="K488" s="6"/>
      <c r="L488" s="4">
        <f ca="1">_xll.DBRW($B$1,$B$2,$B$7,$B$3,$B$4,$B$5,$F488,$B$6,L$10,$A488,$B488)</f>
        <v>0</v>
      </c>
      <c r="M488" s="4">
        <f ca="1">_xll.DBRW($B$1,$B$2,$B$7,$B$3,$B$4,$B$5,$F488,$B$6,M$10,$A488,$B488)</f>
        <v>0</v>
      </c>
      <c r="N488" s="4">
        <f ca="1">_xll.DBRW($B$1,$B$2,$B$7,$B$3,$B$4,$B$5,$F488,$B$6,N$10,$A488,$B488)</f>
        <v>0</v>
      </c>
      <c r="O488" s="4">
        <f ca="1">_xll.DBRW($B$1,$B$2,$B$7,$B$3,$B$4,$B$5,$F488,$B$6,O$10,$A488,$B488)</f>
        <v>0</v>
      </c>
      <c r="P488" s="4">
        <f ca="1">_xll.DBRW($B$1,$B$2,$B$7,$B$3,$B$4,$B$5,$F488,$B$6,P$10,$A488,$B488)</f>
        <v>0</v>
      </c>
      <c r="Q488" s="4">
        <f ca="1">_xll.DBRW($B$1,$B$2,$B$7,$B$3,$B$4,$B$5,$F488,$B$6,Q$10,$A488,$B488)</f>
        <v>0</v>
      </c>
      <c r="R488" s="4">
        <f ca="1">_xll.DBRW($B$1,$B$2,$B$7,$B$3,$B$4,$B$5,$F488,$B$6,R$10,$A488,$B488)</f>
        <v>0</v>
      </c>
      <c r="S488" s="4">
        <f ca="1">_xll.DBRW($B$1,$B$2,$B$7,$B$3,$B$4,$B$5,$F488,$B$6,S$10,$A488,$B488)</f>
        <v>0</v>
      </c>
      <c r="T488" s="4">
        <f ca="1">_xll.DBRW($B$1,$B$2,$B$7,$B$3,$B$4,$B$5,$F488,$B$6,T$10,$A488,$B488)</f>
        <v>0</v>
      </c>
      <c r="U488" s="4">
        <f ca="1">_xll.DBRW($B$1,$B$2,$B$7,$B$3,$B$4,$B$5,$F488,$B$6,U$10,$A488,$B488)</f>
        <v>0</v>
      </c>
      <c r="V488" s="4">
        <f ca="1">_xll.DBRW($B$1,$B$2,$B$7,$B$3,$B$4,$B$5,$F488,$B$6,V$10,$A488,$B488)</f>
        <v>0</v>
      </c>
      <c r="W488" s="4">
        <f ca="1">_xll.DBRW($B$1,$B$2,$B$7,$B$3,$B$4,$B$5,$F488,$B$6,W$10,$A488,$B488)</f>
        <v>0</v>
      </c>
      <c r="X488" s="4">
        <f ca="1">_xll.DBRW($B$1,$B$2,$B$7,$B$3,$B$4,$B$5,$F488,$B$6,X$10,$A488,$B488)</f>
        <v>0</v>
      </c>
      <c r="Y488" s="4">
        <f ca="1">_xll.DBRW($B$1,$B$2,$B$7,$B$3,$B$4,$B$5,$F488,$B$6,Y$10,$A488,$B488)</f>
        <v>0</v>
      </c>
      <c r="Z488" s="4">
        <f ca="1">_xll.DBRW($B$1,$B$2,$B$7,$B$3,$B$4,$B$5,$F488,$B$6,Z$10,$A488,$B488)</f>
        <v>0</v>
      </c>
      <c r="AA488" s="4">
        <f ca="1">_xll.DBRW($B$1,$B$2,$B$7,$B$3,$B$4,$B$5,$F488,$B$6,AA$10,$A488,$B488)</f>
        <v>0</v>
      </c>
      <c r="AB488" s="4">
        <f ca="1">_xll.DBRW($B$1,$B$2,$B$7,$B$3,$B$4,$B$5,$F488,$B$6,AB$10,$A488,$B488)</f>
        <v>0</v>
      </c>
      <c r="AC488" s="4">
        <f ca="1">_xll.DBRW($B$1,$B$2,$B$7,$B$3,$B$4,$B$5,$F488,$B$6,AC$10,$A488,$B488)</f>
        <v>0</v>
      </c>
      <c r="AD488" s="4">
        <f ca="1">_xll.DBRW($B$1,$B$2,$B$7,$B$3,$B$4,$B$5,$F488,$B$6,AD$10,$A488,$B488)</f>
        <v>0</v>
      </c>
      <c r="AE488" s="4">
        <f ca="1">_xll.DBRW($B$1,$B$2,$B$7,$B$3,$B$4,$B$5,$F488,$B$6,AE$10,$A488,$B488)</f>
        <v>0</v>
      </c>
    </row>
    <row r="489" spans="1:31">
      <c r="A489" s="1" t="s">
        <v>150</v>
      </c>
      <c r="B489" s="5" t="s">
        <v>184</v>
      </c>
      <c r="C489" s="5" t="s">
        <v>185</v>
      </c>
      <c r="D489" s="5" t="s">
        <v>28</v>
      </c>
      <c r="E489" s="5" t="s">
        <v>49</v>
      </c>
      <c r="F489" s="5" t="s">
        <v>316</v>
      </c>
      <c r="G489" s="6"/>
      <c r="H489" s="6"/>
      <c r="I489" s="6"/>
      <c r="J489" s="6"/>
      <c r="K489" s="6"/>
      <c r="L489" s="4">
        <f ca="1">_xll.DBRW($B$1,$B$2,$B$7,$B$3,$B$4,$B$5,$F489,$B$6,L$10,$A489,$B489)</f>
        <v>0</v>
      </c>
      <c r="M489" s="4">
        <f ca="1">_xll.DBRW($B$1,$B$2,$B$7,$B$3,$B$4,$B$5,$F489,$B$6,M$10,$A489,$B489)</f>
        <v>0</v>
      </c>
      <c r="N489" s="4">
        <f ca="1">_xll.DBRW($B$1,$B$2,$B$7,$B$3,$B$4,$B$5,$F489,$B$6,N$10,$A489,$B489)</f>
        <v>0</v>
      </c>
      <c r="O489" s="4">
        <f ca="1">_xll.DBRW($B$1,$B$2,$B$7,$B$3,$B$4,$B$5,$F489,$B$6,O$10,$A489,$B489)</f>
        <v>0</v>
      </c>
      <c r="P489" s="4">
        <f ca="1">_xll.DBRW($B$1,$B$2,$B$7,$B$3,$B$4,$B$5,$F489,$B$6,P$10,$A489,$B489)</f>
        <v>0</v>
      </c>
      <c r="Q489" s="4">
        <f ca="1">_xll.DBRW($B$1,$B$2,$B$7,$B$3,$B$4,$B$5,$F489,$B$6,Q$10,$A489,$B489)</f>
        <v>0</v>
      </c>
      <c r="R489" s="4">
        <f ca="1">_xll.DBRW($B$1,$B$2,$B$7,$B$3,$B$4,$B$5,$F489,$B$6,R$10,$A489,$B489)</f>
        <v>0</v>
      </c>
      <c r="S489" s="4">
        <f ca="1">_xll.DBRW($B$1,$B$2,$B$7,$B$3,$B$4,$B$5,$F489,$B$6,S$10,$A489,$B489)</f>
        <v>0</v>
      </c>
      <c r="T489" s="4">
        <f ca="1">_xll.DBRW($B$1,$B$2,$B$7,$B$3,$B$4,$B$5,$F489,$B$6,T$10,$A489,$B489)</f>
        <v>0</v>
      </c>
      <c r="U489" s="4">
        <f ca="1">_xll.DBRW($B$1,$B$2,$B$7,$B$3,$B$4,$B$5,$F489,$B$6,U$10,$A489,$B489)</f>
        <v>0</v>
      </c>
      <c r="V489" s="4">
        <f ca="1">_xll.DBRW($B$1,$B$2,$B$7,$B$3,$B$4,$B$5,$F489,$B$6,V$10,$A489,$B489)</f>
        <v>0</v>
      </c>
      <c r="W489" s="4">
        <f ca="1">_xll.DBRW($B$1,$B$2,$B$7,$B$3,$B$4,$B$5,$F489,$B$6,W$10,$A489,$B489)</f>
        <v>0</v>
      </c>
      <c r="X489" s="4">
        <f ca="1">_xll.DBRW($B$1,$B$2,$B$7,$B$3,$B$4,$B$5,$F489,$B$6,X$10,$A489,$B489)</f>
        <v>0</v>
      </c>
      <c r="Y489" s="4">
        <f ca="1">_xll.DBRW($B$1,$B$2,$B$7,$B$3,$B$4,$B$5,$F489,$B$6,Y$10,$A489,$B489)</f>
        <v>0</v>
      </c>
      <c r="Z489" s="4">
        <f ca="1">_xll.DBRW($B$1,$B$2,$B$7,$B$3,$B$4,$B$5,$F489,$B$6,Z$10,$A489,$B489)</f>
        <v>0</v>
      </c>
      <c r="AA489" s="4">
        <f ca="1">_xll.DBRW($B$1,$B$2,$B$7,$B$3,$B$4,$B$5,$F489,$B$6,AA$10,$A489,$B489)</f>
        <v>0</v>
      </c>
      <c r="AB489" s="4">
        <f ca="1">_xll.DBRW($B$1,$B$2,$B$7,$B$3,$B$4,$B$5,$F489,$B$6,AB$10,$A489,$B489)</f>
        <v>0</v>
      </c>
      <c r="AC489" s="4">
        <f ca="1">_xll.DBRW($B$1,$B$2,$B$7,$B$3,$B$4,$B$5,$F489,$B$6,AC$10,$A489,$B489)</f>
        <v>0</v>
      </c>
      <c r="AD489" s="4">
        <f ca="1">_xll.DBRW($B$1,$B$2,$B$7,$B$3,$B$4,$B$5,$F489,$B$6,AD$10,$A489,$B489)</f>
        <v>0</v>
      </c>
      <c r="AE489" s="4">
        <f ca="1">_xll.DBRW($B$1,$B$2,$B$7,$B$3,$B$4,$B$5,$F489,$B$6,AE$10,$A489,$B489)</f>
        <v>0</v>
      </c>
    </row>
    <row r="490" spans="1:31">
      <c r="A490" s="1" t="s">
        <v>150</v>
      </c>
      <c r="B490" s="5" t="s">
        <v>50</v>
      </c>
      <c r="C490" s="5" t="s">
        <v>51</v>
      </c>
      <c r="D490" s="5" t="s">
        <v>49</v>
      </c>
      <c r="E490" s="5" t="s">
        <v>28</v>
      </c>
      <c r="F490" s="5" t="s">
        <v>316</v>
      </c>
      <c r="G490" s="6"/>
      <c r="H490" s="6"/>
      <c r="I490" s="6"/>
      <c r="J490" s="6"/>
      <c r="K490" s="6"/>
      <c r="L490" s="4">
        <f ca="1">_xll.DBRW($B$1,$B$2,$B$7,$B$3,$B$4,$B$5,$F490,$B$6,L$10,$A490,$B490)</f>
        <v>0</v>
      </c>
      <c r="M490" s="4">
        <f ca="1">_xll.DBRW($B$1,$B$2,$B$7,$B$3,$B$4,$B$5,$F490,$B$6,M$10,$A490,$B490)</f>
        <v>0</v>
      </c>
      <c r="N490" s="4">
        <f ca="1">_xll.DBRW($B$1,$B$2,$B$7,$B$3,$B$4,$B$5,$F490,$B$6,N$10,$A490,$B490)</f>
        <v>0</v>
      </c>
      <c r="O490" s="4">
        <f ca="1">_xll.DBRW($B$1,$B$2,$B$7,$B$3,$B$4,$B$5,$F490,$B$6,O$10,$A490,$B490)</f>
        <v>0</v>
      </c>
      <c r="P490" s="4">
        <f ca="1">_xll.DBRW($B$1,$B$2,$B$7,$B$3,$B$4,$B$5,$F490,$B$6,P$10,$A490,$B490)</f>
        <v>0</v>
      </c>
      <c r="Q490" s="4">
        <f ca="1">_xll.DBRW($B$1,$B$2,$B$7,$B$3,$B$4,$B$5,$F490,$B$6,Q$10,$A490,$B490)</f>
        <v>0</v>
      </c>
      <c r="R490" s="4">
        <f ca="1">_xll.DBRW($B$1,$B$2,$B$7,$B$3,$B$4,$B$5,$F490,$B$6,R$10,$A490,$B490)</f>
        <v>0</v>
      </c>
      <c r="S490" s="4">
        <f ca="1">_xll.DBRW($B$1,$B$2,$B$7,$B$3,$B$4,$B$5,$F490,$B$6,S$10,$A490,$B490)</f>
        <v>0</v>
      </c>
      <c r="T490" s="4">
        <f ca="1">_xll.DBRW($B$1,$B$2,$B$7,$B$3,$B$4,$B$5,$F490,$B$6,T$10,$A490,$B490)</f>
        <v>0</v>
      </c>
      <c r="U490" s="4">
        <f ca="1">_xll.DBRW($B$1,$B$2,$B$7,$B$3,$B$4,$B$5,$F490,$B$6,U$10,$A490,$B490)</f>
        <v>0</v>
      </c>
      <c r="V490" s="4">
        <f ca="1">_xll.DBRW($B$1,$B$2,$B$7,$B$3,$B$4,$B$5,$F490,$B$6,V$10,$A490,$B490)</f>
        <v>0</v>
      </c>
      <c r="W490" s="4">
        <f ca="1">_xll.DBRW($B$1,$B$2,$B$7,$B$3,$B$4,$B$5,$F490,$B$6,W$10,$A490,$B490)</f>
        <v>0</v>
      </c>
      <c r="X490" s="4">
        <f ca="1">_xll.DBRW($B$1,$B$2,$B$7,$B$3,$B$4,$B$5,$F490,$B$6,X$10,$A490,$B490)</f>
        <v>0</v>
      </c>
      <c r="Y490" s="4">
        <f ca="1">_xll.DBRW($B$1,$B$2,$B$7,$B$3,$B$4,$B$5,$F490,$B$6,Y$10,$A490,$B490)</f>
        <v>0</v>
      </c>
      <c r="Z490" s="4">
        <f ca="1">_xll.DBRW($B$1,$B$2,$B$7,$B$3,$B$4,$B$5,$F490,$B$6,Z$10,$A490,$B490)</f>
        <v>0</v>
      </c>
      <c r="AA490" s="4">
        <f ca="1">_xll.DBRW($B$1,$B$2,$B$7,$B$3,$B$4,$B$5,$F490,$B$6,AA$10,$A490,$B490)</f>
        <v>0</v>
      </c>
      <c r="AB490" s="4">
        <f ca="1">_xll.DBRW($B$1,$B$2,$B$7,$B$3,$B$4,$B$5,$F490,$B$6,AB$10,$A490,$B490)</f>
        <v>0</v>
      </c>
      <c r="AC490" s="4">
        <f ca="1">_xll.DBRW($B$1,$B$2,$B$7,$B$3,$B$4,$B$5,$F490,$B$6,AC$10,$A490,$B490)</f>
        <v>0</v>
      </c>
      <c r="AD490" s="4">
        <f ca="1">_xll.DBRW($B$1,$B$2,$B$7,$B$3,$B$4,$B$5,$F490,$B$6,AD$10,$A490,$B490)</f>
        <v>0</v>
      </c>
      <c r="AE490" s="4">
        <f ca="1">_xll.DBRW($B$1,$B$2,$B$7,$B$3,$B$4,$B$5,$F490,$B$6,AE$10,$A490,$B490)</f>
        <v>0</v>
      </c>
    </row>
    <row r="491" spans="1:31">
      <c r="A491" s="1" t="s">
        <v>150</v>
      </c>
      <c r="B491" s="5" t="s">
        <v>186</v>
      </c>
      <c r="C491" s="5" t="s">
        <v>187</v>
      </c>
      <c r="D491" s="5" t="s">
        <v>21</v>
      </c>
      <c r="E491" s="5" t="s">
        <v>59</v>
      </c>
      <c r="F491" s="5" t="s">
        <v>316</v>
      </c>
      <c r="G491" s="6"/>
      <c r="H491" s="6"/>
      <c r="I491" s="6"/>
      <c r="J491" s="6"/>
      <c r="K491" s="6"/>
      <c r="L491" s="4">
        <f ca="1">_xll.DBRW($B$1,$B$2,$B$7,$B$3,$B$4,$B$5,$F491,$B$6,L$10,$A491,$B491)</f>
        <v>0</v>
      </c>
      <c r="M491" s="4">
        <f ca="1">_xll.DBRW($B$1,$B$2,$B$7,$B$3,$B$4,$B$5,$F491,$B$6,M$10,$A491,$B491)</f>
        <v>0</v>
      </c>
      <c r="N491" s="4">
        <f ca="1">_xll.DBRW($B$1,$B$2,$B$7,$B$3,$B$4,$B$5,$F491,$B$6,N$10,$A491,$B491)</f>
        <v>0</v>
      </c>
      <c r="O491" s="4">
        <f ca="1">_xll.DBRW($B$1,$B$2,$B$7,$B$3,$B$4,$B$5,$F491,$B$6,O$10,$A491,$B491)</f>
        <v>0</v>
      </c>
      <c r="P491" s="4">
        <f ca="1">_xll.DBRW($B$1,$B$2,$B$7,$B$3,$B$4,$B$5,$F491,$B$6,P$10,$A491,$B491)</f>
        <v>0</v>
      </c>
      <c r="Q491" s="4">
        <f ca="1">_xll.DBRW($B$1,$B$2,$B$7,$B$3,$B$4,$B$5,$F491,$B$6,Q$10,$A491,$B491)</f>
        <v>3</v>
      </c>
      <c r="R491" s="4">
        <f ca="1">_xll.DBRW($B$1,$B$2,$B$7,$B$3,$B$4,$B$5,$F491,$B$6,R$10,$A491,$B491)</f>
        <v>3</v>
      </c>
      <c r="S491" s="4">
        <f ca="1">_xll.DBRW($B$1,$B$2,$B$7,$B$3,$B$4,$B$5,$F491,$B$6,S$10,$A491,$B491)</f>
        <v>0</v>
      </c>
      <c r="T491" s="4">
        <f ca="1">_xll.DBRW($B$1,$B$2,$B$7,$B$3,$B$4,$B$5,$F491,$B$6,T$10,$A491,$B491)</f>
        <v>0</v>
      </c>
      <c r="U491" s="4">
        <f ca="1">_xll.DBRW($B$1,$B$2,$B$7,$B$3,$B$4,$B$5,$F491,$B$6,U$10,$A491,$B491)</f>
        <v>0</v>
      </c>
      <c r="V491" s="4">
        <f ca="1">_xll.DBRW($B$1,$B$2,$B$7,$B$3,$B$4,$B$5,$F491,$B$6,V$10,$A491,$B491)</f>
        <v>0</v>
      </c>
      <c r="W491" s="4">
        <f ca="1">_xll.DBRW($B$1,$B$2,$B$7,$B$3,$B$4,$B$5,$F491,$B$6,W$10,$A491,$B491)</f>
        <v>0</v>
      </c>
      <c r="X491" s="4">
        <f ca="1">_xll.DBRW($B$1,$B$2,$B$7,$B$3,$B$4,$B$5,$F491,$B$6,X$10,$A491,$B491)</f>
        <v>0</v>
      </c>
      <c r="Y491" s="4">
        <f ca="1">_xll.DBRW($B$1,$B$2,$B$7,$B$3,$B$4,$B$5,$F491,$B$6,Y$10,$A491,$B491)</f>
        <v>0</v>
      </c>
      <c r="Z491" s="4">
        <f ca="1">_xll.DBRW($B$1,$B$2,$B$7,$B$3,$B$4,$B$5,$F491,$B$6,Z$10,$A491,$B491)</f>
        <v>0</v>
      </c>
      <c r="AA491" s="4">
        <f ca="1">_xll.DBRW($B$1,$B$2,$B$7,$B$3,$B$4,$B$5,$F491,$B$6,AA$10,$A491,$B491)</f>
        <v>0</v>
      </c>
      <c r="AB491" s="4">
        <f ca="1">_xll.DBRW($B$1,$B$2,$B$7,$B$3,$B$4,$B$5,$F491,$B$6,AB$10,$A491,$B491)</f>
        <v>0</v>
      </c>
      <c r="AC491" s="4">
        <f ca="1">_xll.DBRW($B$1,$B$2,$B$7,$B$3,$B$4,$B$5,$F491,$B$6,AC$10,$A491,$B491)</f>
        <v>0</v>
      </c>
      <c r="AD491" s="4">
        <f ca="1">_xll.DBRW($B$1,$B$2,$B$7,$B$3,$B$4,$B$5,$F491,$B$6,AD$10,$A491,$B491)</f>
        <v>0</v>
      </c>
      <c r="AE491" s="4">
        <f ca="1">_xll.DBRW($B$1,$B$2,$B$7,$B$3,$B$4,$B$5,$F491,$B$6,AE$10,$A491,$B491)</f>
        <v>0</v>
      </c>
    </row>
    <row r="492" spans="1:31">
      <c r="A492" s="1" t="s">
        <v>150</v>
      </c>
      <c r="B492" s="5" t="s">
        <v>61</v>
      </c>
      <c r="C492" s="5" t="s">
        <v>62</v>
      </c>
      <c r="D492" s="5" t="s">
        <v>59</v>
      </c>
      <c r="E492" s="5" t="s">
        <v>21</v>
      </c>
      <c r="F492" s="5" t="s">
        <v>316</v>
      </c>
      <c r="G492" s="6"/>
      <c r="H492" s="6"/>
      <c r="I492" s="6"/>
      <c r="J492" s="6"/>
      <c r="K492" s="6"/>
      <c r="L492" s="4">
        <f ca="1">_xll.DBRW($B$1,$B$2,$B$7,$B$3,$B$4,$B$5,$F492,$B$6,L$10,$A492,$B492)</f>
        <v>0</v>
      </c>
      <c r="M492" s="4">
        <f ca="1">_xll.DBRW($B$1,$B$2,$B$7,$B$3,$B$4,$B$5,$F492,$B$6,M$10,$A492,$B492)</f>
        <v>0</v>
      </c>
      <c r="N492" s="4">
        <f ca="1">_xll.DBRW($B$1,$B$2,$B$7,$B$3,$B$4,$B$5,$F492,$B$6,N$10,$A492,$B492)</f>
        <v>0</v>
      </c>
      <c r="O492" s="4">
        <f ca="1">_xll.DBRW($B$1,$B$2,$B$7,$B$3,$B$4,$B$5,$F492,$B$6,O$10,$A492,$B492)</f>
        <v>0</v>
      </c>
      <c r="P492" s="4">
        <f ca="1">_xll.DBRW($B$1,$B$2,$B$7,$B$3,$B$4,$B$5,$F492,$B$6,P$10,$A492,$B492)</f>
        <v>0</v>
      </c>
      <c r="Q492" s="4">
        <f ca="1">_xll.DBRW($B$1,$B$2,$B$7,$B$3,$B$4,$B$5,$F492,$B$6,Q$10,$A492,$B492)</f>
        <v>3</v>
      </c>
      <c r="R492" s="4">
        <f ca="1">_xll.DBRW($B$1,$B$2,$B$7,$B$3,$B$4,$B$5,$F492,$B$6,R$10,$A492,$B492)</f>
        <v>3</v>
      </c>
      <c r="S492" s="4">
        <f ca="1">_xll.DBRW($B$1,$B$2,$B$7,$B$3,$B$4,$B$5,$F492,$B$6,S$10,$A492,$B492)</f>
        <v>0</v>
      </c>
      <c r="T492" s="4">
        <f ca="1">_xll.DBRW($B$1,$B$2,$B$7,$B$3,$B$4,$B$5,$F492,$B$6,T$10,$A492,$B492)</f>
        <v>0</v>
      </c>
      <c r="U492" s="4">
        <f ca="1">_xll.DBRW($B$1,$B$2,$B$7,$B$3,$B$4,$B$5,$F492,$B$6,U$10,$A492,$B492)</f>
        <v>0</v>
      </c>
      <c r="V492" s="4">
        <f ca="1">_xll.DBRW($B$1,$B$2,$B$7,$B$3,$B$4,$B$5,$F492,$B$6,V$10,$A492,$B492)</f>
        <v>0</v>
      </c>
      <c r="W492" s="4">
        <f ca="1">_xll.DBRW($B$1,$B$2,$B$7,$B$3,$B$4,$B$5,$F492,$B$6,W$10,$A492,$B492)</f>
        <v>0</v>
      </c>
      <c r="X492" s="4">
        <f ca="1">_xll.DBRW($B$1,$B$2,$B$7,$B$3,$B$4,$B$5,$F492,$B$6,X$10,$A492,$B492)</f>
        <v>0</v>
      </c>
      <c r="Y492" s="4">
        <f ca="1">_xll.DBRW($B$1,$B$2,$B$7,$B$3,$B$4,$B$5,$F492,$B$6,Y$10,$A492,$B492)</f>
        <v>0</v>
      </c>
      <c r="Z492" s="4">
        <f ca="1">_xll.DBRW($B$1,$B$2,$B$7,$B$3,$B$4,$B$5,$F492,$B$6,Z$10,$A492,$B492)</f>
        <v>0</v>
      </c>
      <c r="AA492" s="4">
        <f ca="1">_xll.DBRW($B$1,$B$2,$B$7,$B$3,$B$4,$B$5,$F492,$B$6,AA$10,$A492,$B492)</f>
        <v>0</v>
      </c>
      <c r="AB492" s="4">
        <f ca="1">_xll.DBRW($B$1,$B$2,$B$7,$B$3,$B$4,$B$5,$F492,$B$6,AB$10,$A492,$B492)</f>
        <v>0</v>
      </c>
      <c r="AC492" s="4">
        <f ca="1">_xll.DBRW($B$1,$B$2,$B$7,$B$3,$B$4,$B$5,$F492,$B$6,AC$10,$A492,$B492)</f>
        <v>0</v>
      </c>
      <c r="AD492" s="4">
        <f ca="1">_xll.DBRW($B$1,$B$2,$B$7,$B$3,$B$4,$B$5,$F492,$B$6,AD$10,$A492,$B492)</f>
        <v>0</v>
      </c>
      <c r="AE492" s="4">
        <f ca="1">_xll.DBRW($B$1,$B$2,$B$7,$B$3,$B$4,$B$5,$F492,$B$6,AE$10,$A492,$B492)</f>
        <v>0</v>
      </c>
    </row>
    <row r="493" spans="1:31">
      <c r="A493" s="1" t="s">
        <v>150</v>
      </c>
      <c r="B493" s="5" t="s">
        <v>188</v>
      </c>
      <c r="C493" s="5" t="s">
        <v>189</v>
      </c>
      <c r="D493" s="5" t="s">
        <v>21</v>
      </c>
      <c r="E493" s="5" t="s">
        <v>20</v>
      </c>
      <c r="F493" s="5" t="s">
        <v>316</v>
      </c>
      <c r="G493" s="6"/>
      <c r="H493" s="6"/>
      <c r="I493" s="6"/>
      <c r="J493" s="6"/>
      <c r="K493" s="6"/>
      <c r="L493" s="4">
        <f ca="1">_xll.DBRW($B$1,$B$2,$B$7,$B$3,$B$4,$B$5,$F493,$B$6,L$10,$A493,$B493)</f>
        <v>31</v>
      </c>
      <c r="M493" s="4">
        <f ca="1">_xll.DBRW($B$1,$B$2,$B$7,$B$3,$B$4,$B$5,$F493,$B$6,M$10,$A493,$B493)</f>
        <v>30</v>
      </c>
      <c r="N493" s="4">
        <f ca="1">_xll.DBRW($B$1,$B$2,$B$7,$B$3,$B$4,$B$5,$F493,$B$6,N$10,$A493,$B493)</f>
        <v>31</v>
      </c>
      <c r="O493" s="4">
        <f ca="1">_xll.DBRW($B$1,$B$2,$B$7,$B$3,$B$4,$B$5,$F493,$B$6,O$10,$A493,$B493)</f>
        <v>31</v>
      </c>
      <c r="P493" s="4">
        <f ca="1">_xll.DBRW($B$1,$B$2,$B$7,$B$3,$B$4,$B$5,$F493,$B$6,P$10,$A493,$B493)</f>
        <v>30</v>
      </c>
      <c r="Q493" s="4">
        <f ca="1">_xll.DBRW($B$1,$B$2,$B$7,$B$3,$B$4,$B$5,$F493,$B$6,Q$10,$A493,$B493)</f>
        <v>30</v>
      </c>
      <c r="R493" s="4">
        <f ca="1">_xll.DBRW($B$1,$B$2,$B$7,$B$3,$B$4,$B$5,$F493,$B$6,R$10,$A493,$B493)</f>
        <v>26</v>
      </c>
      <c r="S493" s="4">
        <f ca="1">_xll.DBRW($B$1,$B$2,$B$7,$B$3,$B$4,$B$5,$F493,$B$6,S$10,$A493,$B493)</f>
        <v>26</v>
      </c>
      <c r="T493" s="4">
        <f ca="1">_xll.DBRW($B$1,$B$2,$B$7,$B$3,$B$4,$B$5,$F493,$B$6,T$10,$A493,$B493)</f>
        <v>0</v>
      </c>
      <c r="U493" s="4">
        <f ca="1">_xll.DBRW($B$1,$B$2,$B$7,$B$3,$B$4,$B$5,$F493,$B$6,U$10,$A493,$B493)</f>
        <v>0</v>
      </c>
      <c r="V493" s="4">
        <f ca="1">_xll.DBRW($B$1,$B$2,$B$7,$B$3,$B$4,$B$5,$F493,$B$6,V$10,$A493,$B493)</f>
        <v>0</v>
      </c>
      <c r="W493" s="4">
        <f ca="1">_xll.DBRW($B$1,$B$2,$B$7,$B$3,$B$4,$B$5,$F493,$B$6,W$10,$A493,$B493)</f>
        <v>0</v>
      </c>
      <c r="X493" s="4">
        <f ca="1">_xll.DBRW($B$1,$B$2,$B$7,$B$3,$B$4,$B$5,$F493,$B$6,X$10,$A493,$B493)</f>
        <v>0</v>
      </c>
      <c r="Y493" s="4">
        <f ca="1">_xll.DBRW($B$1,$B$2,$B$7,$B$3,$B$4,$B$5,$F493,$B$6,Y$10,$A493,$B493)</f>
        <v>0</v>
      </c>
      <c r="Z493" s="4">
        <f ca="1">_xll.DBRW($B$1,$B$2,$B$7,$B$3,$B$4,$B$5,$F493,$B$6,Z$10,$A493,$B493)</f>
        <v>0</v>
      </c>
      <c r="AA493" s="4">
        <f ca="1">_xll.DBRW($B$1,$B$2,$B$7,$B$3,$B$4,$B$5,$F493,$B$6,AA$10,$A493,$B493)</f>
        <v>0</v>
      </c>
      <c r="AB493" s="4">
        <f ca="1">_xll.DBRW($B$1,$B$2,$B$7,$B$3,$B$4,$B$5,$F493,$B$6,AB$10,$A493,$B493)</f>
        <v>0</v>
      </c>
      <c r="AC493" s="4">
        <f ca="1">_xll.DBRW($B$1,$B$2,$B$7,$B$3,$B$4,$B$5,$F493,$B$6,AC$10,$A493,$B493)</f>
        <v>0</v>
      </c>
      <c r="AD493" s="4">
        <f ca="1">_xll.DBRW($B$1,$B$2,$B$7,$B$3,$B$4,$B$5,$F493,$B$6,AD$10,$A493,$B493)</f>
        <v>0</v>
      </c>
      <c r="AE493" s="4">
        <f ca="1">_xll.DBRW($B$1,$B$2,$B$7,$B$3,$B$4,$B$5,$F493,$B$6,AE$10,$A493,$B493)</f>
        <v>0</v>
      </c>
    </row>
    <row r="494" spans="1:31">
      <c r="A494" s="1" t="s">
        <v>150</v>
      </c>
      <c r="B494" s="5" t="s">
        <v>18</v>
      </c>
      <c r="C494" s="5" t="s">
        <v>19</v>
      </c>
      <c r="D494" s="5" t="s">
        <v>20</v>
      </c>
      <c r="E494" s="5" t="s">
        <v>21</v>
      </c>
      <c r="F494" s="5" t="s">
        <v>316</v>
      </c>
      <c r="G494" s="6"/>
      <c r="H494" s="6"/>
      <c r="I494" s="6"/>
      <c r="J494" s="6"/>
      <c r="K494" s="6"/>
      <c r="L494" s="4">
        <f ca="1">_xll.DBRW($B$1,$B$2,$B$7,$B$3,$B$4,$B$5,$F494,$B$6,L$10,$A494,$B494)</f>
        <v>31</v>
      </c>
      <c r="M494" s="4">
        <f ca="1">_xll.DBRW($B$1,$B$2,$B$7,$B$3,$B$4,$B$5,$F494,$B$6,M$10,$A494,$B494)</f>
        <v>30</v>
      </c>
      <c r="N494" s="4">
        <f ca="1">_xll.DBRW($B$1,$B$2,$B$7,$B$3,$B$4,$B$5,$F494,$B$6,N$10,$A494,$B494)</f>
        <v>31</v>
      </c>
      <c r="O494" s="4">
        <f ca="1">_xll.DBRW($B$1,$B$2,$B$7,$B$3,$B$4,$B$5,$F494,$B$6,O$10,$A494,$B494)</f>
        <v>31</v>
      </c>
      <c r="P494" s="4">
        <f ca="1">_xll.DBRW($B$1,$B$2,$B$7,$B$3,$B$4,$B$5,$F494,$B$6,P$10,$A494,$B494)</f>
        <v>30</v>
      </c>
      <c r="Q494" s="4">
        <f ca="1">_xll.DBRW($B$1,$B$2,$B$7,$B$3,$B$4,$B$5,$F494,$B$6,Q$10,$A494,$B494)</f>
        <v>30</v>
      </c>
      <c r="R494" s="4">
        <f ca="1">_xll.DBRW($B$1,$B$2,$B$7,$B$3,$B$4,$B$5,$F494,$B$6,R$10,$A494,$B494)</f>
        <v>26</v>
      </c>
      <c r="S494" s="4">
        <f ca="1">_xll.DBRW($B$1,$B$2,$B$7,$B$3,$B$4,$B$5,$F494,$B$6,S$10,$A494,$B494)</f>
        <v>26</v>
      </c>
      <c r="T494" s="4">
        <f ca="1">_xll.DBRW($B$1,$B$2,$B$7,$B$3,$B$4,$B$5,$F494,$B$6,T$10,$A494,$B494)</f>
        <v>0</v>
      </c>
      <c r="U494" s="4">
        <f ca="1">_xll.DBRW($B$1,$B$2,$B$7,$B$3,$B$4,$B$5,$F494,$B$6,U$10,$A494,$B494)</f>
        <v>0</v>
      </c>
      <c r="V494" s="4">
        <f ca="1">_xll.DBRW($B$1,$B$2,$B$7,$B$3,$B$4,$B$5,$F494,$B$6,V$10,$A494,$B494)</f>
        <v>0</v>
      </c>
      <c r="W494" s="4">
        <f ca="1">_xll.DBRW($B$1,$B$2,$B$7,$B$3,$B$4,$B$5,$F494,$B$6,W$10,$A494,$B494)</f>
        <v>0</v>
      </c>
      <c r="X494" s="4">
        <f ca="1">_xll.DBRW($B$1,$B$2,$B$7,$B$3,$B$4,$B$5,$F494,$B$6,X$10,$A494,$B494)</f>
        <v>0</v>
      </c>
      <c r="Y494" s="4">
        <f ca="1">_xll.DBRW($B$1,$B$2,$B$7,$B$3,$B$4,$B$5,$F494,$B$6,Y$10,$A494,$B494)</f>
        <v>0</v>
      </c>
      <c r="Z494" s="4">
        <f ca="1">_xll.DBRW($B$1,$B$2,$B$7,$B$3,$B$4,$B$5,$F494,$B$6,Z$10,$A494,$B494)</f>
        <v>0</v>
      </c>
      <c r="AA494" s="4">
        <f ca="1">_xll.DBRW($B$1,$B$2,$B$7,$B$3,$B$4,$B$5,$F494,$B$6,AA$10,$A494,$B494)</f>
        <v>0</v>
      </c>
      <c r="AB494" s="4">
        <f ca="1">_xll.DBRW($B$1,$B$2,$B$7,$B$3,$B$4,$B$5,$F494,$B$6,AB$10,$A494,$B494)</f>
        <v>0</v>
      </c>
      <c r="AC494" s="4">
        <f ca="1">_xll.DBRW($B$1,$B$2,$B$7,$B$3,$B$4,$B$5,$F494,$B$6,AC$10,$A494,$B494)</f>
        <v>0</v>
      </c>
      <c r="AD494" s="4">
        <f ca="1">_xll.DBRW($B$1,$B$2,$B$7,$B$3,$B$4,$B$5,$F494,$B$6,AD$10,$A494,$B494)</f>
        <v>0</v>
      </c>
      <c r="AE494" s="4">
        <f ca="1">_xll.DBRW($B$1,$B$2,$B$7,$B$3,$B$4,$B$5,$F494,$B$6,AE$10,$A494,$B494)</f>
        <v>0</v>
      </c>
    </row>
    <row r="495" spans="1:31">
      <c r="A495" s="1" t="s">
        <v>150</v>
      </c>
      <c r="B495" s="5" t="s">
        <v>190</v>
      </c>
      <c r="C495" s="5" t="s">
        <v>191</v>
      </c>
      <c r="D495" s="5" t="s">
        <v>21</v>
      </c>
      <c r="E495" s="5" t="s">
        <v>73</v>
      </c>
      <c r="F495" s="5" t="s">
        <v>316</v>
      </c>
      <c r="G495" s="6"/>
      <c r="H495" s="6"/>
      <c r="I495" s="6"/>
      <c r="J495" s="6"/>
      <c r="K495" s="6"/>
      <c r="L495" s="4">
        <f ca="1">_xll.DBRW($B$1,$B$2,$B$7,$B$3,$B$4,$B$5,$F495,$B$6,L$10,$A495,$B495)</f>
        <v>0</v>
      </c>
      <c r="M495" s="4">
        <f ca="1">_xll.DBRW($B$1,$B$2,$B$7,$B$3,$B$4,$B$5,$F495,$B$6,M$10,$A495,$B495)</f>
        <v>0</v>
      </c>
      <c r="N495" s="4">
        <f ca="1">_xll.DBRW($B$1,$B$2,$B$7,$B$3,$B$4,$B$5,$F495,$B$6,N$10,$A495,$B495)</f>
        <v>0</v>
      </c>
      <c r="O495" s="4">
        <f ca="1">_xll.DBRW($B$1,$B$2,$B$7,$B$3,$B$4,$B$5,$F495,$B$6,O$10,$A495,$B495)</f>
        <v>0</v>
      </c>
      <c r="P495" s="4">
        <f ca="1">_xll.DBRW($B$1,$B$2,$B$7,$B$3,$B$4,$B$5,$F495,$B$6,P$10,$A495,$B495)</f>
        <v>0</v>
      </c>
      <c r="Q495" s="4">
        <f ca="1">_xll.DBRW($B$1,$B$2,$B$7,$B$3,$B$4,$B$5,$F495,$B$6,Q$10,$A495,$B495)</f>
        <v>0</v>
      </c>
      <c r="R495" s="4">
        <f ca="1">_xll.DBRW($B$1,$B$2,$B$7,$B$3,$B$4,$B$5,$F495,$B$6,R$10,$A495,$B495)</f>
        <v>0</v>
      </c>
      <c r="S495" s="4">
        <f ca="1">_xll.DBRW($B$1,$B$2,$B$7,$B$3,$B$4,$B$5,$F495,$B$6,S$10,$A495,$B495)</f>
        <v>0</v>
      </c>
      <c r="T495" s="4">
        <f ca="1">_xll.DBRW($B$1,$B$2,$B$7,$B$3,$B$4,$B$5,$F495,$B$6,T$10,$A495,$B495)</f>
        <v>0</v>
      </c>
      <c r="U495" s="4">
        <f ca="1">_xll.DBRW($B$1,$B$2,$B$7,$B$3,$B$4,$B$5,$F495,$B$6,U$10,$A495,$B495)</f>
        <v>0</v>
      </c>
      <c r="V495" s="4">
        <f ca="1">_xll.DBRW($B$1,$B$2,$B$7,$B$3,$B$4,$B$5,$F495,$B$6,V$10,$A495,$B495)</f>
        <v>0</v>
      </c>
      <c r="W495" s="4">
        <f ca="1">_xll.DBRW($B$1,$B$2,$B$7,$B$3,$B$4,$B$5,$F495,$B$6,W$10,$A495,$B495)</f>
        <v>0</v>
      </c>
      <c r="X495" s="4">
        <f ca="1">_xll.DBRW($B$1,$B$2,$B$7,$B$3,$B$4,$B$5,$F495,$B$6,X$10,$A495,$B495)</f>
        <v>0</v>
      </c>
      <c r="Y495" s="4">
        <f ca="1">_xll.DBRW($B$1,$B$2,$B$7,$B$3,$B$4,$B$5,$F495,$B$6,Y$10,$A495,$B495)</f>
        <v>0</v>
      </c>
      <c r="Z495" s="4">
        <f ca="1">_xll.DBRW($B$1,$B$2,$B$7,$B$3,$B$4,$B$5,$F495,$B$6,Z$10,$A495,$B495)</f>
        <v>0</v>
      </c>
      <c r="AA495" s="4">
        <f ca="1">_xll.DBRW($B$1,$B$2,$B$7,$B$3,$B$4,$B$5,$F495,$B$6,AA$10,$A495,$B495)</f>
        <v>0</v>
      </c>
      <c r="AB495" s="4">
        <f ca="1">_xll.DBRW($B$1,$B$2,$B$7,$B$3,$B$4,$B$5,$F495,$B$6,AB$10,$A495,$B495)</f>
        <v>0</v>
      </c>
      <c r="AC495" s="4">
        <f ca="1">_xll.DBRW($B$1,$B$2,$B$7,$B$3,$B$4,$B$5,$F495,$B$6,AC$10,$A495,$B495)</f>
        <v>0</v>
      </c>
      <c r="AD495" s="4">
        <f ca="1">_xll.DBRW($B$1,$B$2,$B$7,$B$3,$B$4,$B$5,$F495,$B$6,AD$10,$A495,$B495)</f>
        <v>0</v>
      </c>
      <c r="AE495" s="4">
        <f ca="1">_xll.DBRW($B$1,$B$2,$B$7,$B$3,$B$4,$B$5,$F495,$B$6,AE$10,$A495,$B495)</f>
        <v>0</v>
      </c>
    </row>
    <row r="496" spans="1:31">
      <c r="A496" s="1" t="s">
        <v>150</v>
      </c>
      <c r="B496" s="5" t="s">
        <v>71</v>
      </c>
      <c r="C496" s="5" t="s">
        <v>72</v>
      </c>
      <c r="D496" s="5" t="s">
        <v>73</v>
      </c>
      <c r="E496" s="5" t="s">
        <v>21</v>
      </c>
      <c r="F496" s="5" t="s">
        <v>316</v>
      </c>
      <c r="G496" s="6"/>
      <c r="H496" s="6"/>
      <c r="I496" s="6"/>
      <c r="J496" s="6"/>
      <c r="K496" s="6"/>
      <c r="L496" s="4">
        <f ca="1">_xll.DBRW($B$1,$B$2,$B$7,$B$3,$B$4,$B$5,$F496,$B$6,L$10,$A496,$B496)</f>
        <v>0</v>
      </c>
      <c r="M496" s="4">
        <f ca="1">_xll.DBRW($B$1,$B$2,$B$7,$B$3,$B$4,$B$5,$F496,$B$6,M$10,$A496,$B496)</f>
        <v>0</v>
      </c>
      <c r="N496" s="4">
        <f ca="1">_xll.DBRW($B$1,$B$2,$B$7,$B$3,$B$4,$B$5,$F496,$B$6,N$10,$A496,$B496)</f>
        <v>0</v>
      </c>
      <c r="O496" s="4">
        <f ca="1">_xll.DBRW($B$1,$B$2,$B$7,$B$3,$B$4,$B$5,$F496,$B$6,O$10,$A496,$B496)</f>
        <v>0</v>
      </c>
      <c r="P496" s="4">
        <f ca="1">_xll.DBRW($B$1,$B$2,$B$7,$B$3,$B$4,$B$5,$F496,$B$6,P$10,$A496,$B496)</f>
        <v>0</v>
      </c>
      <c r="Q496" s="4">
        <f ca="1">_xll.DBRW($B$1,$B$2,$B$7,$B$3,$B$4,$B$5,$F496,$B$6,Q$10,$A496,$B496)</f>
        <v>0</v>
      </c>
      <c r="R496" s="4">
        <f ca="1">_xll.DBRW($B$1,$B$2,$B$7,$B$3,$B$4,$B$5,$F496,$B$6,R$10,$A496,$B496)</f>
        <v>0</v>
      </c>
      <c r="S496" s="4">
        <f ca="1">_xll.DBRW($B$1,$B$2,$B$7,$B$3,$B$4,$B$5,$F496,$B$6,S$10,$A496,$B496)</f>
        <v>0</v>
      </c>
      <c r="T496" s="4">
        <f ca="1">_xll.DBRW($B$1,$B$2,$B$7,$B$3,$B$4,$B$5,$F496,$B$6,T$10,$A496,$B496)</f>
        <v>0</v>
      </c>
      <c r="U496" s="4">
        <f ca="1">_xll.DBRW($B$1,$B$2,$B$7,$B$3,$B$4,$B$5,$F496,$B$6,U$10,$A496,$B496)</f>
        <v>0</v>
      </c>
      <c r="V496" s="4">
        <f ca="1">_xll.DBRW($B$1,$B$2,$B$7,$B$3,$B$4,$B$5,$F496,$B$6,V$10,$A496,$B496)</f>
        <v>0</v>
      </c>
      <c r="W496" s="4">
        <f ca="1">_xll.DBRW($B$1,$B$2,$B$7,$B$3,$B$4,$B$5,$F496,$B$6,W$10,$A496,$B496)</f>
        <v>0</v>
      </c>
      <c r="X496" s="4">
        <f ca="1">_xll.DBRW($B$1,$B$2,$B$7,$B$3,$B$4,$B$5,$F496,$B$6,X$10,$A496,$B496)</f>
        <v>0</v>
      </c>
      <c r="Y496" s="4">
        <f ca="1">_xll.DBRW($B$1,$B$2,$B$7,$B$3,$B$4,$B$5,$F496,$B$6,Y$10,$A496,$B496)</f>
        <v>0</v>
      </c>
      <c r="Z496" s="4">
        <f ca="1">_xll.DBRW($B$1,$B$2,$B$7,$B$3,$B$4,$B$5,$F496,$B$6,Z$10,$A496,$B496)</f>
        <v>0</v>
      </c>
      <c r="AA496" s="4">
        <f ca="1">_xll.DBRW($B$1,$B$2,$B$7,$B$3,$B$4,$B$5,$F496,$B$6,AA$10,$A496,$B496)</f>
        <v>0</v>
      </c>
      <c r="AB496" s="4">
        <f ca="1">_xll.DBRW($B$1,$B$2,$B$7,$B$3,$B$4,$B$5,$F496,$B$6,AB$10,$A496,$B496)</f>
        <v>0</v>
      </c>
      <c r="AC496" s="4">
        <f ca="1">_xll.DBRW($B$1,$B$2,$B$7,$B$3,$B$4,$B$5,$F496,$B$6,AC$10,$A496,$B496)</f>
        <v>0</v>
      </c>
      <c r="AD496" s="4">
        <f ca="1">_xll.DBRW($B$1,$B$2,$B$7,$B$3,$B$4,$B$5,$F496,$B$6,AD$10,$A496,$B496)</f>
        <v>0</v>
      </c>
      <c r="AE496" s="4">
        <f ca="1">_xll.DBRW($B$1,$B$2,$B$7,$B$3,$B$4,$B$5,$F496,$B$6,AE$10,$A496,$B496)</f>
        <v>0</v>
      </c>
    </row>
    <row r="497" spans="1:31">
      <c r="A497" s="1" t="s">
        <v>150</v>
      </c>
      <c r="B497" s="5" t="s">
        <v>192</v>
      </c>
      <c r="C497" s="5" t="s">
        <v>193</v>
      </c>
      <c r="D497" s="5" t="s">
        <v>21</v>
      </c>
      <c r="E497" s="5" t="s">
        <v>194</v>
      </c>
      <c r="F497" s="5" t="s">
        <v>316</v>
      </c>
      <c r="G497" s="6"/>
      <c r="H497" s="6"/>
      <c r="I497" s="6"/>
      <c r="J497" s="6"/>
      <c r="K497" s="6"/>
      <c r="L497" s="4">
        <f ca="1">_xll.DBRW($B$1,$B$2,$B$7,$B$3,$B$4,$B$5,$F497,$B$6,L$10,$A497,$B497)</f>
        <v>0</v>
      </c>
      <c r="M497" s="4">
        <f ca="1">_xll.DBRW($B$1,$B$2,$B$7,$B$3,$B$4,$B$5,$F497,$B$6,M$10,$A497,$B497)</f>
        <v>0</v>
      </c>
      <c r="N497" s="4">
        <f ca="1">_xll.DBRW($B$1,$B$2,$B$7,$B$3,$B$4,$B$5,$F497,$B$6,N$10,$A497,$B497)</f>
        <v>0</v>
      </c>
      <c r="O497" s="4">
        <f ca="1">_xll.DBRW($B$1,$B$2,$B$7,$B$3,$B$4,$B$5,$F497,$B$6,O$10,$A497,$B497)</f>
        <v>0</v>
      </c>
      <c r="P497" s="4">
        <f ca="1">_xll.DBRW($B$1,$B$2,$B$7,$B$3,$B$4,$B$5,$F497,$B$6,P$10,$A497,$B497)</f>
        <v>0</v>
      </c>
      <c r="Q497" s="4">
        <f ca="1">_xll.DBRW($B$1,$B$2,$B$7,$B$3,$B$4,$B$5,$F497,$B$6,Q$10,$A497,$B497)</f>
        <v>0</v>
      </c>
      <c r="R497" s="4">
        <f ca="1">_xll.DBRW($B$1,$B$2,$B$7,$B$3,$B$4,$B$5,$F497,$B$6,R$10,$A497,$B497)</f>
        <v>0</v>
      </c>
      <c r="S497" s="4">
        <f ca="1">_xll.DBRW($B$1,$B$2,$B$7,$B$3,$B$4,$B$5,$F497,$B$6,S$10,$A497,$B497)</f>
        <v>0</v>
      </c>
      <c r="T497" s="4">
        <f ca="1">_xll.DBRW($B$1,$B$2,$B$7,$B$3,$B$4,$B$5,$F497,$B$6,T$10,$A497,$B497)</f>
        <v>0</v>
      </c>
      <c r="U497" s="4">
        <f ca="1">_xll.DBRW($B$1,$B$2,$B$7,$B$3,$B$4,$B$5,$F497,$B$6,U$10,$A497,$B497)</f>
        <v>0</v>
      </c>
      <c r="V497" s="4">
        <f ca="1">_xll.DBRW($B$1,$B$2,$B$7,$B$3,$B$4,$B$5,$F497,$B$6,V$10,$A497,$B497)</f>
        <v>0</v>
      </c>
      <c r="W497" s="4">
        <f ca="1">_xll.DBRW($B$1,$B$2,$B$7,$B$3,$B$4,$B$5,$F497,$B$6,W$10,$A497,$B497)</f>
        <v>0</v>
      </c>
      <c r="X497" s="4">
        <f ca="1">_xll.DBRW($B$1,$B$2,$B$7,$B$3,$B$4,$B$5,$F497,$B$6,X$10,$A497,$B497)</f>
        <v>0</v>
      </c>
      <c r="Y497" s="4">
        <f ca="1">_xll.DBRW($B$1,$B$2,$B$7,$B$3,$B$4,$B$5,$F497,$B$6,Y$10,$A497,$B497)</f>
        <v>0</v>
      </c>
      <c r="Z497" s="4">
        <f ca="1">_xll.DBRW($B$1,$B$2,$B$7,$B$3,$B$4,$B$5,$F497,$B$6,Z$10,$A497,$B497)</f>
        <v>0</v>
      </c>
      <c r="AA497" s="4">
        <f ca="1">_xll.DBRW($B$1,$B$2,$B$7,$B$3,$B$4,$B$5,$F497,$B$6,AA$10,$A497,$B497)</f>
        <v>0</v>
      </c>
      <c r="AB497" s="4">
        <f ca="1">_xll.DBRW($B$1,$B$2,$B$7,$B$3,$B$4,$B$5,$F497,$B$6,AB$10,$A497,$B497)</f>
        <v>0</v>
      </c>
      <c r="AC497" s="4">
        <f ca="1">_xll.DBRW($B$1,$B$2,$B$7,$B$3,$B$4,$B$5,$F497,$B$6,AC$10,$A497,$B497)</f>
        <v>0</v>
      </c>
      <c r="AD497" s="4">
        <f ca="1">_xll.DBRW($B$1,$B$2,$B$7,$B$3,$B$4,$B$5,$F497,$B$6,AD$10,$A497,$B497)</f>
        <v>0</v>
      </c>
      <c r="AE497" s="4">
        <f ca="1">_xll.DBRW($B$1,$B$2,$B$7,$B$3,$B$4,$B$5,$F497,$B$6,AE$10,$A497,$B497)</f>
        <v>0</v>
      </c>
    </row>
    <row r="498" spans="1:31">
      <c r="A498" s="1" t="s">
        <v>150</v>
      </c>
      <c r="B498" s="5" t="s">
        <v>195</v>
      </c>
      <c r="C498" s="5" t="s">
        <v>196</v>
      </c>
      <c r="D498" s="5" t="s">
        <v>194</v>
      </c>
      <c r="E498" s="5" t="s">
        <v>21</v>
      </c>
      <c r="F498" s="5" t="s">
        <v>316</v>
      </c>
      <c r="G498" s="6"/>
      <c r="H498" s="6"/>
      <c r="I498" s="6"/>
      <c r="J498" s="6"/>
      <c r="K498" s="6"/>
      <c r="L498" s="4">
        <f ca="1">_xll.DBRW($B$1,$B$2,$B$7,$B$3,$B$4,$B$5,$F498,$B$6,L$10,$A498,$B498)</f>
        <v>0</v>
      </c>
      <c r="M498" s="4">
        <f ca="1">_xll.DBRW($B$1,$B$2,$B$7,$B$3,$B$4,$B$5,$F498,$B$6,M$10,$A498,$B498)</f>
        <v>0</v>
      </c>
      <c r="N498" s="4">
        <f ca="1">_xll.DBRW($B$1,$B$2,$B$7,$B$3,$B$4,$B$5,$F498,$B$6,N$10,$A498,$B498)</f>
        <v>0</v>
      </c>
      <c r="O498" s="4">
        <f ca="1">_xll.DBRW($B$1,$B$2,$B$7,$B$3,$B$4,$B$5,$F498,$B$6,O$10,$A498,$B498)</f>
        <v>0</v>
      </c>
      <c r="P498" s="4">
        <f ca="1">_xll.DBRW($B$1,$B$2,$B$7,$B$3,$B$4,$B$5,$F498,$B$6,P$10,$A498,$B498)</f>
        <v>0</v>
      </c>
      <c r="Q498" s="4">
        <f ca="1">_xll.DBRW($B$1,$B$2,$B$7,$B$3,$B$4,$B$5,$F498,$B$6,Q$10,$A498,$B498)</f>
        <v>0</v>
      </c>
      <c r="R498" s="4">
        <f ca="1">_xll.DBRW($B$1,$B$2,$B$7,$B$3,$B$4,$B$5,$F498,$B$6,R$10,$A498,$B498)</f>
        <v>0</v>
      </c>
      <c r="S498" s="4">
        <f ca="1">_xll.DBRW($B$1,$B$2,$B$7,$B$3,$B$4,$B$5,$F498,$B$6,S$10,$A498,$B498)</f>
        <v>0</v>
      </c>
      <c r="T498" s="4">
        <f ca="1">_xll.DBRW($B$1,$B$2,$B$7,$B$3,$B$4,$B$5,$F498,$B$6,T$10,$A498,$B498)</f>
        <v>0</v>
      </c>
      <c r="U498" s="4">
        <f ca="1">_xll.DBRW($B$1,$B$2,$B$7,$B$3,$B$4,$B$5,$F498,$B$6,U$10,$A498,$B498)</f>
        <v>0</v>
      </c>
      <c r="V498" s="4">
        <f ca="1">_xll.DBRW($B$1,$B$2,$B$7,$B$3,$B$4,$B$5,$F498,$B$6,V$10,$A498,$B498)</f>
        <v>0</v>
      </c>
      <c r="W498" s="4">
        <f ca="1">_xll.DBRW($B$1,$B$2,$B$7,$B$3,$B$4,$B$5,$F498,$B$6,W$10,$A498,$B498)</f>
        <v>0</v>
      </c>
      <c r="X498" s="4">
        <f ca="1">_xll.DBRW($B$1,$B$2,$B$7,$B$3,$B$4,$B$5,$F498,$B$6,X$10,$A498,$B498)</f>
        <v>0</v>
      </c>
      <c r="Y498" s="4">
        <f ca="1">_xll.DBRW($B$1,$B$2,$B$7,$B$3,$B$4,$B$5,$F498,$B$6,Y$10,$A498,$B498)</f>
        <v>0</v>
      </c>
      <c r="Z498" s="4">
        <f ca="1">_xll.DBRW($B$1,$B$2,$B$7,$B$3,$B$4,$B$5,$F498,$B$6,Z$10,$A498,$B498)</f>
        <v>0</v>
      </c>
      <c r="AA498" s="4">
        <f ca="1">_xll.DBRW($B$1,$B$2,$B$7,$B$3,$B$4,$B$5,$F498,$B$6,AA$10,$A498,$B498)</f>
        <v>0</v>
      </c>
      <c r="AB498" s="4">
        <f ca="1">_xll.DBRW($B$1,$B$2,$B$7,$B$3,$B$4,$B$5,$F498,$B$6,AB$10,$A498,$B498)</f>
        <v>0</v>
      </c>
      <c r="AC498" s="4">
        <f ca="1">_xll.DBRW($B$1,$B$2,$B$7,$B$3,$B$4,$B$5,$F498,$B$6,AC$10,$A498,$B498)</f>
        <v>0</v>
      </c>
      <c r="AD498" s="4">
        <f ca="1">_xll.DBRW($B$1,$B$2,$B$7,$B$3,$B$4,$B$5,$F498,$B$6,AD$10,$A498,$B498)</f>
        <v>0</v>
      </c>
      <c r="AE498" s="4">
        <f ca="1">_xll.DBRW($B$1,$B$2,$B$7,$B$3,$B$4,$B$5,$F498,$B$6,AE$10,$A498,$B498)</f>
        <v>0</v>
      </c>
    </row>
    <row r="499" spans="1:31">
      <c r="A499" s="1" t="s">
        <v>150</v>
      </c>
      <c r="B499" s="5" t="s">
        <v>197</v>
      </c>
      <c r="C499" s="5" t="s">
        <v>198</v>
      </c>
      <c r="D499" s="5" t="s">
        <v>28</v>
      </c>
      <c r="E499" s="5" t="s">
        <v>20</v>
      </c>
      <c r="F499" s="5" t="s">
        <v>316</v>
      </c>
      <c r="G499" s="6"/>
      <c r="H499" s="6"/>
      <c r="I499" s="6"/>
      <c r="J499" s="6"/>
      <c r="K499" s="6"/>
      <c r="L499" s="4">
        <f ca="1">_xll.DBRW($B$1,$B$2,$B$7,$B$3,$B$4,$B$5,$F499,$B$6,L$10,$A499,$B499)</f>
        <v>0</v>
      </c>
      <c r="M499" s="4">
        <f ca="1">_xll.DBRW($B$1,$B$2,$B$7,$B$3,$B$4,$B$5,$F499,$B$6,M$10,$A499,$B499)</f>
        <v>0</v>
      </c>
      <c r="N499" s="4">
        <f ca="1">_xll.DBRW($B$1,$B$2,$B$7,$B$3,$B$4,$B$5,$F499,$B$6,N$10,$A499,$B499)</f>
        <v>0</v>
      </c>
      <c r="O499" s="4">
        <f ca="1">_xll.DBRW($B$1,$B$2,$B$7,$B$3,$B$4,$B$5,$F499,$B$6,O$10,$A499,$B499)</f>
        <v>0</v>
      </c>
      <c r="P499" s="4">
        <f ca="1">_xll.DBRW($B$1,$B$2,$B$7,$B$3,$B$4,$B$5,$F499,$B$6,P$10,$A499,$B499)</f>
        <v>0</v>
      </c>
      <c r="Q499" s="4">
        <f ca="1">_xll.DBRW($B$1,$B$2,$B$7,$B$3,$B$4,$B$5,$F499,$B$6,Q$10,$A499,$B499)</f>
        <v>0</v>
      </c>
      <c r="R499" s="4">
        <f ca="1">_xll.DBRW($B$1,$B$2,$B$7,$B$3,$B$4,$B$5,$F499,$B$6,R$10,$A499,$B499)</f>
        <v>0</v>
      </c>
      <c r="S499" s="4">
        <f ca="1">_xll.DBRW($B$1,$B$2,$B$7,$B$3,$B$4,$B$5,$F499,$B$6,S$10,$A499,$B499)</f>
        <v>0</v>
      </c>
      <c r="T499" s="4">
        <f ca="1">_xll.DBRW($B$1,$B$2,$B$7,$B$3,$B$4,$B$5,$F499,$B$6,T$10,$A499,$B499)</f>
        <v>0</v>
      </c>
      <c r="U499" s="4">
        <f ca="1">_xll.DBRW($B$1,$B$2,$B$7,$B$3,$B$4,$B$5,$F499,$B$6,U$10,$A499,$B499)</f>
        <v>0</v>
      </c>
      <c r="V499" s="4">
        <f ca="1">_xll.DBRW($B$1,$B$2,$B$7,$B$3,$B$4,$B$5,$F499,$B$6,V$10,$A499,$B499)</f>
        <v>0</v>
      </c>
      <c r="W499" s="4">
        <f ca="1">_xll.DBRW($B$1,$B$2,$B$7,$B$3,$B$4,$B$5,$F499,$B$6,W$10,$A499,$B499)</f>
        <v>0</v>
      </c>
      <c r="X499" s="4">
        <f ca="1">_xll.DBRW($B$1,$B$2,$B$7,$B$3,$B$4,$B$5,$F499,$B$6,X$10,$A499,$B499)</f>
        <v>0</v>
      </c>
      <c r="Y499" s="4">
        <f ca="1">_xll.DBRW($B$1,$B$2,$B$7,$B$3,$B$4,$B$5,$F499,$B$6,Y$10,$A499,$B499)</f>
        <v>0</v>
      </c>
      <c r="Z499" s="4">
        <f ca="1">_xll.DBRW($B$1,$B$2,$B$7,$B$3,$B$4,$B$5,$F499,$B$6,Z$10,$A499,$B499)</f>
        <v>0</v>
      </c>
      <c r="AA499" s="4">
        <f ca="1">_xll.DBRW($B$1,$B$2,$B$7,$B$3,$B$4,$B$5,$F499,$B$6,AA$10,$A499,$B499)</f>
        <v>0</v>
      </c>
      <c r="AB499" s="4">
        <f ca="1">_xll.DBRW($B$1,$B$2,$B$7,$B$3,$B$4,$B$5,$F499,$B$6,AB$10,$A499,$B499)</f>
        <v>0</v>
      </c>
      <c r="AC499" s="4">
        <f ca="1">_xll.DBRW($B$1,$B$2,$B$7,$B$3,$B$4,$B$5,$F499,$B$6,AC$10,$A499,$B499)</f>
        <v>0</v>
      </c>
      <c r="AD499" s="4">
        <f ca="1">_xll.DBRW($B$1,$B$2,$B$7,$B$3,$B$4,$B$5,$F499,$B$6,AD$10,$A499,$B499)</f>
        <v>0</v>
      </c>
      <c r="AE499" s="4">
        <f ca="1">_xll.DBRW($B$1,$B$2,$B$7,$B$3,$B$4,$B$5,$F499,$B$6,AE$10,$A499,$B499)</f>
        <v>0</v>
      </c>
    </row>
    <row r="500" spans="1:31">
      <c r="A500" s="1" t="s">
        <v>150</v>
      </c>
      <c r="B500" s="5" t="s">
        <v>26</v>
      </c>
      <c r="C500" s="5" t="s">
        <v>27</v>
      </c>
      <c r="D500" s="5" t="s">
        <v>20</v>
      </c>
      <c r="E500" s="5" t="s">
        <v>28</v>
      </c>
      <c r="F500" s="5" t="s">
        <v>316</v>
      </c>
      <c r="G500" s="6"/>
      <c r="H500" s="6"/>
      <c r="I500" s="6"/>
      <c r="J500" s="6"/>
      <c r="K500" s="6"/>
      <c r="L500" s="4">
        <f ca="1">_xll.DBRW($B$1,$B$2,$B$7,$B$3,$B$4,$B$5,$F500,$B$6,L$10,$A500,$B500)</f>
        <v>0</v>
      </c>
      <c r="M500" s="4">
        <f ca="1">_xll.DBRW($B$1,$B$2,$B$7,$B$3,$B$4,$B$5,$F500,$B$6,M$10,$A500,$B500)</f>
        <v>0</v>
      </c>
      <c r="N500" s="4">
        <f ca="1">_xll.DBRW($B$1,$B$2,$B$7,$B$3,$B$4,$B$5,$F500,$B$6,N$10,$A500,$B500)</f>
        <v>0</v>
      </c>
      <c r="O500" s="4">
        <f ca="1">_xll.DBRW($B$1,$B$2,$B$7,$B$3,$B$4,$B$5,$F500,$B$6,O$10,$A500,$B500)</f>
        <v>0</v>
      </c>
      <c r="P500" s="4">
        <f ca="1">_xll.DBRW($B$1,$B$2,$B$7,$B$3,$B$4,$B$5,$F500,$B$6,P$10,$A500,$B500)</f>
        <v>0</v>
      </c>
      <c r="Q500" s="4">
        <f ca="1">_xll.DBRW($B$1,$B$2,$B$7,$B$3,$B$4,$B$5,$F500,$B$6,Q$10,$A500,$B500)</f>
        <v>0</v>
      </c>
      <c r="R500" s="4">
        <f ca="1">_xll.DBRW($B$1,$B$2,$B$7,$B$3,$B$4,$B$5,$F500,$B$6,R$10,$A500,$B500)</f>
        <v>0</v>
      </c>
      <c r="S500" s="4">
        <f ca="1">_xll.DBRW($B$1,$B$2,$B$7,$B$3,$B$4,$B$5,$F500,$B$6,S$10,$A500,$B500)</f>
        <v>0</v>
      </c>
      <c r="T500" s="4">
        <f ca="1">_xll.DBRW($B$1,$B$2,$B$7,$B$3,$B$4,$B$5,$F500,$B$6,T$10,$A500,$B500)</f>
        <v>0</v>
      </c>
      <c r="U500" s="4">
        <f ca="1">_xll.DBRW($B$1,$B$2,$B$7,$B$3,$B$4,$B$5,$F500,$B$6,U$10,$A500,$B500)</f>
        <v>0</v>
      </c>
      <c r="V500" s="4">
        <f ca="1">_xll.DBRW($B$1,$B$2,$B$7,$B$3,$B$4,$B$5,$F500,$B$6,V$10,$A500,$B500)</f>
        <v>0</v>
      </c>
      <c r="W500" s="4">
        <f ca="1">_xll.DBRW($B$1,$B$2,$B$7,$B$3,$B$4,$B$5,$F500,$B$6,W$10,$A500,$B500)</f>
        <v>0</v>
      </c>
      <c r="X500" s="4">
        <f ca="1">_xll.DBRW($B$1,$B$2,$B$7,$B$3,$B$4,$B$5,$F500,$B$6,X$10,$A500,$B500)</f>
        <v>0</v>
      </c>
      <c r="Y500" s="4">
        <f ca="1">_xll.DBRW($B$1,$B$2,$B$7,$B$3,$B$4,$B$5,$F500,$B$6,Y$10,$A500,$B500)</f>
        <v>0</v>
      </c>
      <c r="Z500" s="4">
        <f ca="1">_xll.DBRW($B$1,$B$2,$B$7,$B$3,$B$4,$B$5,$F500,$B$6,Z$10,$A500,$B500)</f>
        <v>0</v>
      </c>
      <c r="AA500" s="4">
        <f ca="1">_xll.DBRW($B$1,$B$2,$B$7,$B$3,$B$4,$B$5,$F500,$B$6,AA$10,$A500,$B500)</f>
        <v>0</v>
      </c>
      <c r="AB500" s="4">
        <f ca="1">_xll.DBRW($B$1,$B$2,$B$7,$B$3,$B$4,$B$5,$F500,$B$6,AB$10,$A500,$B500)</f>
        <v>0</v>
      </c>
      <c r="AC500" s="4">
        <f ca="1">_xll.DBRW($B$1,$B$2,$B$7,$B$3,$B$4,$B$5,$F500,$B$6,AC$10,$A500,$B500)</f>
        <v>0</v>
      </c>
      <c r="AD500" s="4">
        <f ca="1">_xll.DBRW($B$1,$B$2,$B$7,$B$3,$B$4,$B$5,$F500,$B$6,AD$10,$A500,$B500)</f>
        <v>0</v>
      </c>
      <c r="AE500" s="4">
        <f ca="1">_xll.DBRW($B$1,$B$2,$B$7,$B$3,$B$4,$B$5,$F500,$B$6,AE$10,$A500,$B500)</f>
        <v>0</v>
      </c>
    </row>
    <row r="501" spans="1:31">
      <c r="A501" s="1" t="s">
        <v>150</v>
      </c>
      <c r="B501" s="5" t="s">
        <v>199</v>
      </c>
      <c r="C501" s="5" t="s">
        <v>189</v>
      </c>
      <c r="D501" s="5" t="s">
        <v>21</v>
      </c>
      <c r="E501" s="5" t="s">
        <v>20</v>
      </c>
      <c r="F501" s="5" t="s">
        <v>316</v>
      </c>
      <c r="G501" s="6"/>
      <c r="H501" s="6"/>
      <c r="I501" s="6"/>
      <c r="J501" s="6"/>
      <c r="K501" s="6"/>
      <c r="L501" s="4">
        <f ca="1">_xll.DBRW($B$1,$B$2,$B$7,$B$3,$B$4,$B$5,$F501,$B$6,L$10,$A501,$B501)</f>
        <v>0</v>
      </c>
      <c r="M501" s="4">
        <f ca="1">_xll.DBRW($B$1,$B$2,$B$7,$B$3,$B$4,$B$5,$F501,$B$6,M$10,$A501,$B501)</f>
        <v>0</v>
      </c>
      <c r="N501" s="4">
        <f ca="1">_xll.DBRW($B$1,$B$2,$B$7,$B$3,$B$4,$B$5,$F501,$B$6,N$10,$A501,$B501)</f>
        <v>0</v>
      </c>
      <c r="O501" s="4">
        <f ca="1">_xll.DBRW($B$1,$B$2,$B$7,$B$3,$B$4,$B$5,$F501,$B$6,O$10,$A501,$B501)</f>
        <v>1</v>
      </c>
      <c r="P501" s="4">
        <f ca="1">_xll.DBRW($B$1,$B$2,$B$7,$B$3,$B$4,$B$5,$F501,$B$6,P$10,$A501,$B501)</f>
        <v>0</v>
      </c>
      <c r="Q501" s="4">
        <f ca="1">_xll.DBRW($B$1,$B$2,$B$7,$B$3,$B$4,$B$5,$F501,$B$6,Q$10,$A501,$B501)</f>
        <v>0</v>
      </c>
      <c r="R501" s="4">
        <f ca="1">_xll.DBRW($B$1,$B$2,$B$7,$B$3,$B$4,$B$5,$F501,$B$6,R$10,$A501,$B501)</f>
        <v>0</v>
      </c>
      <c r="S501" s="4">
        <f ca="1">_xll.DBRW($B$1,$B$2,$B$7,$B$3,$B$4,$B$5,$F501,$B$6,S$10,$A501,$B501)</f>
        <v>0</v>
      </c>
      <c r="T501" s="4">
        <f ca="1">_xll.DBRW($B$1,$B$2,$B$7,$B$3,$B$4,$B$5,$F501,$B$6,T$10,$A501,$B501)</f>
        <v>0</v>
      </c>
      <c r="U501" s="4">
        <f ca="1">_xll.DBRW($B$1,$B$2,$B$7,$B$3,$B$4,$B$5,$F501,$B$6,U$10,$A501,$B501)</f>
        <v>0</v>
      </c>
      <c r="V501" s="4">
        <f ca="1">_xll.DBRW($B$1,$B$2,$B$7,$B$3,$B$4,$B$5,$F501,$B$6,V$10,$A501,$B501)</f>
        <v>0</v>
      </c>
      <c r="W501" s="4">
        <f ca="1">_xll.DBRW($B$1,$B$2,$B$7,$B$3,$B$4,$B$5,$F501,$B$6,W$10,$A501,$B501)</f>
        <v>0</v>
      </c>
      <c r="X501" s="4">
        <f ca="1">_xll.DBRW($B$1,$B$2,$B$7,$B$3,$B$4,$B$5,$F501,$B$6,X$10,$A501,$B501)</f>
        <v>0</v>
      </c>
      <c r="Y501" s="4">
        <f ca="1">_xll.DBRW($B$1,$B$2,$B$7,$B$3,$B$4,$B$5,$F501,$B$6,Y$10,$A501,$B501)</f>
        <v>0</v>
      </c>
      <c r="Z501" s="4">
        <f ca="1">_xll.DBRW($B$1,$B$2,$B$7,$B$3,$B$4,$B$5,$F501,$B$6,Z$10,$A501,$B501)</f>
        <v>0</v>
      </c>
      <c r="AA501" s="4">
        <f ca="1">_xll.DBRW($B$1,$B$2,$B$7,$B$3,$B$4,$B$5,$F501,$B$6,AA$10,$A501,$B501)</f>
        <v>0</v>
      </c>
      <c r="AB501" s="4">
        <f ca="1">_xll.DBRW($B$1,$B$2,$B$7,$B$3,$B$4,$B$5,$F501,$B$6,AB$10,$A501,$B501)</f>
        <v>0</v>
      </c>
      <c r="AC501" s="4">
        <f ca="1">_xll.DBRW($B$1,$B$2,$B$7,$B$3,$B$4,$B$5,$F501,$B$6,AC$10,$A501,$B501)</f>
        <v>0</v>
      </c>
      <c r="AD501" s="4">
        <f ca="1">_xll.DBRW($B$1,$B$2,$B$7,$B$3,$B$4,$B$5,$F501,$B$6,AD$10,$A501,$B501)</f>
        <v>0</v>
      </c>
      <c r="AE501" s="4">
        <f ca="1">_xll.DBRW($B$1,$B$2,$B$7,$B$3,$B$4,$B$5,$F501,$B$6,AE$10,$A501,$B501)</f>
        <v>0</v>
      </c>
    </row>
    <row r="502" spans="1:31">
      <c r="A502" s="1" t="s">
        <v>150</v>
      </c>
      <c r="B502" s="5" t="s">
        <v>23</v>
      </c>
      <c r="C502" s="5" t="s">
        <v>19</v>
      </c>
      <c r="D502" s="5" t="s">
        <v>20</v>
      </c>
      <c r="E502" s="5" t="s">
        <v>21</v>
      </c>
      <c r="F502" s="5" t="s">
        <v>316</v>
      </c>
      <c r="G502" s="6"/>
      <c r="H502" s="6"/>
      <c r="I502" s="6"/>
      <c r="J502" s="6"/>
      <c r="K502" s="6"/>
      <c r="L502" s="4">
        <f ca="1">_xll.DBRW($B$1,$B$2,$B$7,$B$3,$B$4,$B$5,$F502,$B$6,L$10,$A502,$B502)</f>
        <v>0</v>
      </c>
      <c r="M502" s="4">
        <f ca="1">_xll.DBRW($B$1,$B$2,$B$7,$B$3,$B$4,$B$5,$F502,$B$6,M$10,$A502,$B502)</f>
        <v>0</v>
      </c>
      <c r="N502" s="4">
        <f ca="1">_xll.DBRW($B$1,$B$2,$B$7,$B$3,$B$4,$B$5,$F502,$B$6,N$10,$A502,$B502)</f>
        <v>0</v>
      </c>
      <c r="O502" s="4">
        <f ca="1">_xll.DBRW($B$1,$B$2,$B$7,$B$3,$B$4,$B$5,$F502,$B$6,O$10,$A502,$B502)</f>
        <v>0</v>
      </c>
      <c r="P502" s="4">
        <f ca="1">_xll.DBRW($B$1,$B$2,$B$7,$B$3,$B$4,$B$5,$F502,$B$6,P$10,$A502,$B502)</f>
        <v>0</v>
      </c>
      <c r="Q502" s="4">
        <f ca="1">_xll.DBRW($B$1,$B$2,$B$7,$B$3,$B$4,$B$5,$F502,$B$6,Q$10,$A502,$B502)</f>
        <v>0</v>
      </c>
      <c r="R502" s="4">
        <f ca="1">_xll.DBRW($B$1,$B$2,$B$7,$B$3,$B$4,$B$5,$F502,$B$6,R$10,$A502,$B502)</f>
        <v>0</v>
      </c>
      <c r="S502" s="4">
        <f ca="1">_xll.DBRW($B$1,$B$2,$B$7,$B$3,$B$4,$B$5,$F502,$B$6,S$10,$A502,$B502)</f>
        <v>0</v>
      </c>
      <c r="T502" s="4">
        <f ca="1">_xll.DBRW($B$1,$B$2,$B$7,$B$3,$B$4,$B$5,$F502,$B$6,T$10,$A502,$B502)</f>
        <v>0</v>
      </c>
      <c r="U502" s="4">
        <f ca="1">_xll.DBRW($B$1,$B$2,$B$7,$B$3,$B$4,$B$5,$F502,$B$6,U$10,$A502,$B502)</f>
        <v>0</v>
      </c>
      <c r="V502" s="4">
        <f ca="1">_xll.DBRW($B$1,$B$2,$B$7,$B$3,$B$4,$B$5,$F502,$B$6,V$10,$A502,$B502)</f>
        <v>0</v>
      </c>
      <c r="W502" s="4">
        <f ca="1">_xll.DBRW($B$1,$B$2,$B$7,$B$3,$B$4,$B$5,$F502,$B$6,W$10,$A502,$B502)</f>
        <v>0</v>
      </c>
      <c r="X502" s="4">
        <f ca="1">_xll.DBRW($B$1,$B$2,$B$7,$B$3,$B$4,$B$5,$F502,$B$6,X$10,$A502,$B502)</f>
        <v>0</v>
      </c>
      <c r="Y502" s="4">
        <f ca="1">_xll.DBRW($B$1,$B$2,$B$7,$B$3,$B$4,$B$5,$F502,$B$6,Y$10,$A502,$B502)</f>
        <v>0</v>
      </c>
      <c r="Z502" s="4">
        <f ca="1">_xll.DBRW($B$1,$B$2,$B$7,$B$3,$B$4,$B$5,$F502,$B$6,Z$10,$A502,$B502)</f>
        <v>0</v>
      </c>
      <c r="AA502" s="4">
        <f ca="1">_xll.DBRW($B$1,$B$2,$B$7,$B$3,$B$4,$B$5,$F502,$B$6,AA$10,$A502,$B502)</f>
        <v>0</v>
      </c>
      <c r="AB502" s="4">
        <f ca="1">_xll.DBRW($B$1,$B$2,$B$7,$B$3,$B$4,$B$5,$F502,$B$6,AB$10,$A502,$B502)</f>
        <v>0</v>
      </c>
      <c r="AC502" s="4">
        <f ca="1">_xll.DBRW($B$1,$B$2,$B$7,$B$3,$B$4,$B$5,$F502,$B$6,AC$10,$A502,$B502)</f>
        <v>0</v>
      </c>
      <c r="AD502" s="4">
        <f ca="1">_xll.DBRW($B$1,$B$2,$B$7,$B$3,$B$4,$B$5,$F502,$B$6,AD$10,$A502,$B502)</f>
        <v>0</v>
      </c>
      <c r="AE502" s="4">
        <f ca="1">_xll.DBRW($B$1,$B$2,$B$7,$B$3,$B$4,$B$5,$F502,$B$6,AE$10,$A502,$B502)</f>
        <v>0</v>
      </c>
    </row>
    <row r="503" spans="1:31">
      <c r="A503" s="1" t="s">
        <v>150</v>
      </c>
      <c r="B503" s="5" t="s">
        <v>200</v>
      </c>
      <c r="C503" s="5" t="s">
        <v>161</v>
      </c>
      <c r="D503" s="5" t="s">
        <v>21</v>
      </c>
      <c r="E503" s="5" t="s">
        <v>69</v>
      </c>
      <c r="F503" s="5" t="s">
        <v>316</v>
      </c>
      <c r="G503" s="6"/>
      <c r="H503" s="6"/>
      <c r="I503" s="6"/>
      <c r="J503" s="6"/>
      <c r="K503" s="6"/>
      <c r="L503" s="4">
        <f ca="1">_xll.DBRW($B$1,$B$2,$B$7,$B$3,$B$4,$B$5,$F503,$B$6,L$10,$A503,$B503)</f>
        <v>0</v>
      </c>
      <c r="M503" s="4">
        <f ca="1">_xll.DBRW($B$1,$B$2,$B$7,$B$3,$B$4,$B$5,$F503,$B$6,M$10,$A503,$B503)</f>
        <v>0</v>
      </c>
      <c r="N503" s="4">
        <f ca="1">_xll.DBRW($B$1,$B$2,$B$7,$B$3,$B$4,$B$5,$F503,$B$6,N$10,$A503,$B503)</f>
        <v>0</v>
      </c>
      <c r="O503" s="4">
        <f ca="1">_xll.DBRW($B$1,$B$2,$B$7,$B$3,$B$4,$B$5,$F503,$B$6,O$10,$A503,$B503)</f>
        <v>0</v>
      </c>
      <c r="P503" s="4">
        <f ca="1">_xll.DBRW($B$1,$B$2,$B$7,$B$3,$B$4,$B$5,$F503,$B$6,P$10,$A503,$B503)</f>
        <v>0</v>
      </c>
      <c r="Q503" s="4">
        <f ca="1">_xll.DBRW($B$1,$B$2,$B$7,$B$3,$B$4,$B$5,$F503,$B$6,Q$10,$A503,$B503)</f>
        <v>2</v>
      </c>
      <c r="R503" s="4">
        <f ca="1">_xll.DBRW($B$1,$B$2,$B$7,$B$3,$B$4,$B$5,$F503,$B$6,R$10,$A503,$B503)</f>
        <v>8</v>
      </c>
      <c r="S503" s="4">
        <f ca="1">_xll.DBRW($B$1,$B$2,$B$7,$B$3,$B$4,$B$5,$F503,$B$6,S$10,$A503,$B503)</f>
        <v>9</v>
      </c>
      <c r="T503" s="4">
        <f ca="1">_xll.DBRW($B$1,$B$2,$B$7,$B$3,$B$4,$B$5,$F503,$B$6,T$10,$A503,$B503)</f>
        <v>0</v>
      </c>
      <c r="U503" s="4">
        <f ca="1">_xll.DBRW($B$1,$B$2,$B$7,$B$3,$B$4,$B$5,$F503,$B$6,U$10,$A503,$B503)</f>
        <v>0</v>
      </c>
      <c r="V503" s="4">
        <f ca="1">_xll.DBRW($B$1,$B$2,$B$7,$B$3,$B$4,$B$5,$F503,$B$6,V$10,$A503,$B503)</f>
        <v>0</v>
      </c>
      <c r="W503" s="4">
        <f ca="1">_xll.DBRW($B$1,$B$2,$B$7,$B$3,$B$4,$B$5,$F503,$B$6,W$10,$A503,$B503)</f>
        <v>0</v>
      </c>
      <c r="X503" s="4">
        <f ca="1">_xll.DBRW($B$1,$B$2,$B$7,$B$3,$B$4,$B$5,$F503,$B$6,X$10,$A503,$B503)</f>
        <v>0</v>
      </c>
      <c r="Y503" s="4">
        <f ca="1">_xll.DBRW($B$1,$B$2,$B$7,$B$3,$B$4,$B$5,$F503,$B$6,Y$10,$A503,$B503)</f>
        <v>0</v>
      </c>
      <c r="Z503" s="4">
        <f ca="1">_xll.DBRW($B$1,$B$2,$B$7,$B$3,$B$4,$B$5,$F503,$B$6,Z$10,$A503,$B503)</f>
        <v>0</v>
      </c>
      <c r="AA503" s="4">
        <f ca="1">_xll.DBRW($B$1,$B$2,$B$7,$B$3,$B$4,$B$5,$F503,$B$6,AA$10,$A503,$B503)</f>
        <v>0</v>
      </c>
      <c r="AB503" s="4">
        <f ca="1">_xll.DBRW($B$1,$B$2,$B$7,$B$3,$B$4,$B$5,$F503,$B$6,AB$10,$A503,$B503)</f>
        <v>0</v>
      </c>
      <c r="AC503" s="4">
        <f ca="1">_xll.DBRW($B$1,$B$2,$B$7,$B$3,$B$4,$B$5,$F503,$B$6,AC$10,$A503,$B503)</f>
        <v>0</v>
      </c>
      <c r="AD503" s="4">
        <f ca="1">_xll.DBRW($B$1,$B$2,$B$7,$B$3,$B$4,$B$5,$F503,$B$6,AD$10,$A503,$B503)</f>
        <v>0</v>
      </c>
      <c r="AE503" s="4">
        <f ca="1">_xll.DBRW($B$1,$B$2,$B$7,$B$3,$B$4,$B$5,$F503,$B$6,AE$10,$A503,$B503)</f>
        <v>0</v>
      </c>
    </row>
    <row r="504" spans="1:31">
      <c r="A504" s="1" t="s">
        <v>150</v>
      </c>
      <c r="B504" s="5" t="s">
        <v>70</v>
      </c>
      <c r="C504" s="5" t="s">
        <v>68</v>
      </c>
      <c r="D504" s="5" t="s">
        <v>69</v>
      </c>
      <c r="E504" s="5" t="s">
        <v>21</v>
      </c>
      <c r="F504" s="5" t="s">
        <v>316</v>
      </c>
      <c r="G504" s="6"/>
      <c r="H504" s="6"/>
      <c r="I504" s="6"/>
      <c r="J504" s="6"/>
      <c r="K504" s="6"/>
      <c r="L504" s="4">
        <f ca="1">_xll.DBRW($B$1,$B$2,$B$7,$B$3,$B$4,$B$5,$F504,$B$6,L$10,$A504,$B504)</f>
        <v>0</v>
      </c>
      <c r="M504" s="4">
        <f ca="1">_xll.DBRW($B$1,$B$2,$B$7,$B$3,$B$4,$B$5,$F504,$B$6,M$10,$A504,$B504)</f>
        <v>0</v>
      </c>
      <c r="N504" s="4">
        <f ca="1">_xll.DBRW($B$1,$B$2,$B$7,$B$3,$B$4,$B$5,$F504,$B$6,N$10,$A504,$B504)</f>
        <v>0</v>
      </c>
      <c r="O504" s="4">
        <f ca="1">_xll.DBRW($B$1,$B$2,$B$7,$B$3,$B$4,$B$5,$F504,$B$6,O$10,$A504,$B504)</f>
        <v>0</v>
      </c>
      <c r="P504" s="4">
        <f ca="1">_xll.DBRW($B$1,$B$2,$B$7,$B$3,$B$4,$B$5,$F504,$B$6,P$10,$A504,$B504)</f>
        <v>0</v>
      </c>
      <c r="Q504" s="4">
        <f ca="1">_xll.DBRW($B$1,$B$2,$B$7,$B$3,$B$4,$B$5,$F504,$B$6,Q$10,$A504,$B504)</f>
        <v>2</v>
      </c>
      <c r="R504" s="4">
        <f ca="1">_xll.DBRW($B$1,$B$2,$B$7,$B$3,$B$4,$B$5,$F504,$B$6,R$10,$A504,$B504)</f>
        <v>8</v>
      </c>
      <c r="S504" s="4">
        <f ca="1">_xll.DBRW($B$1,$B$2,$B$7,$B$3,$B$4,$B$5,$F504,$B$6,S$10,$A504,$B504)</f>
        <v>9</v>
      </c>
      <c r="T504" s="4">
        <f ca="1">_xll.DBRW($B$1,$B$2,$B$7,$B$3,$B$4,$B$5,$F504,$B$6,T$10,$A504,$B504)</f>
        <v>0</v>
      </c>
      <c r="U504" s="4">
        <f ca="1">_xll.DBRW($B$1,$B$2,$B$7,$B$3,$B$4,$B$5,$F504,$B$6,U$10,$A504,$B504)</f>
        <v>0</v>
      </c>
      <c r="V504" s="4">
        <f ca="1">_xll.DBRW($B$1,$B$2,$B$7,$B$3,$B$4,$B$5,$F504,$B$6,V$10,$A504,$B504)</f>
        <v>0</v>
      </c>
      <c r="W504" s="4">
        <f ca="1">_xll.DBRW($B$1,$B$2,$B$7,$B$3,$B$4,$B$5,$F504,$B$6,W$10,$A504,$B504)</f>
        <v>0</v>
      </c>
      <c r="X504" s="4">
        <f ca="1">_xll.DBRW($B$1,$B$2,$B$7,$B$3,$B$4,$B$5,$F504,$B$6,X$10,$A504,$B504)</f>
        <v>0</v>
      </c>
      <c r="Y504" s="4">
        <f ca="1">_xll.DBRW($B$1,$B$2,$B$7,$B$3,$B$4,$B$5,$F504,$B$6,Y$10,$A504,$B504)</f>
        <v>0</v>
      </c>
      <c r="Z504" s="4">
        <f ca="1">_xll.DBRW($B$1,$B$2,$B$7,$B$3,$B$4,$B$5,$F504,$B$6,Z$10,$A504,$B504)</f>
        <v>0</v>
      </c>
      <c r="AA504" s="4">
        <f ca="1">_xll.DBRW($B$1,$B$2,$B$7,$B$3,$B$4,$B$5,$F504,$B$6,AA$10,$A504,$B504)</f>
        <v>0</v>
      </c>
      <c r="AB504" s="4">
        <f ca="1">_xll.DBRW($B$1,$B$2,$B$7,$B$3,$B$4,$B$5,$F504,$B$6,AB$10,$A504,$B504)</f>
        <v>0</v>
      </c>
      <c r="AC504" s="4">
        <f ca="1">_xll.DBRW($B$1,$B$2,$B$7,$B$3,$B$4,$B$5,$F504,$B$6,AC$10,$A504,$B504)</f>
        <v>0</v>
      </c>
      <c r="AD504" s="4">
        <f ca="1">_xll.DBRW($B$1,$B$2,$B$7,$B$3,$B$4,$B$5,$F504,$B$6,AD$10,$A504,$B504)</f>
        <v>0</v>
      </c>
      <c r="AE504" s="4">
        <f ca="1">_xll.DBRW($B$1,$B$2,$B$7,$B$3,$B$4,$B$5,$F504,$B$6,AE$10,$A504,$B504)</f>
        <v>0</v>
      </c>
    </row>
    <row r="505" spans="1:31">
      <c r="A505" s="1" t="s">
        <v>150</v>
      </c>
      <c r="B505" s="5" t="s">
        <v>201</v>
      </c>
      <c r="C505" s="5" t="s">
        <v>202</v>
      </c>
      <c r="D505" s="5" t="s">
        <v>28</v>
      </c>
      <c r="E505" s="5" t="s">
        <v>38</v>
      </c>
      <c r="F505" s="5" t="s">
        <v>316</v>
      </c>
      <c r="G505" s="6"/>
      <c r="H505" s="6"/>
      <c r="I505" s="6"/>
      <c r="J505" s="6"/>
      <c r="K505" s="6"/>
      <c r="L505" s="4">
        <f ca="1">_xll.DBRW($B$1,$B$2,$B$7,$B$3,$B$4,$B$5,$F505,$B$6,L$10,$A505,$B505)</f>
        <v>0</v>
      </c>
      <c r="M505" s="4">
        <f ca="1">_xll.DBRW($B$1,$B$2,$B$7,$B$3,$B$4,$B$5,$F505,$B$6,M$10,$A505,$B505)</f>
        <v>0</v>
      </c>
      <c r="N505" s="4">
        <f ca="1">_xll.DBRW($B$1,$B$2,$B$7,$B$3,$B$4,$B$5,$F505,$B$6,N$10,$A505,$B505)</f>
        <v>0</v>
      </c>
      <c r="O505" s="4">
        <f ca="1">_xll.DBRW($B$1,$B$2,$B$7,$B$3,$B$4,$B$5,$F505,$B$6,O$10,$A505,$B505)</f>
        <v>0</v>
      </c>
      <c r="P505" s="4">
        <f ca="1">_xll.DBRW($B$1,$B$2,$B$7,$B$3,$B$4,$B$5,$F505,$B$6,P$10,$A505,$B505)</f>
        <v>0</v>
      </c>
      <c r="Q505" s="4">
        <f ca="1">_xll.DBRW($B$1,$B$2,$B$7,$B$3,$B$4,$B$5,$F505,$B$6,Q$10,$A505,$B505)</f>
        <v>0</v>
      </c>
      <c r="R505" s="4">
        <f ca="1">_xll.DBRW($B$1,$B$2,$B$7,$B$3,$B$4,$B$5,$F505,$B$6,R$10,$A505,$B505)</f>
        <v>0</v>
      </c>
      <c r="S505" s="4">
        <f ca="1">_xll.DBRW($B$1,$B$2,$B$7,$B$3,$B$4,$B$5,$F505,$B$6,S$10,$A505,$B505)</f>
        <v>0</v>
      </c>
      <c r="T505" s="4">
        <f ca="1">_xll.DBRW($B$1,$B$2,$B$7,$B$3,$B$4,$B$5,$F505,$B$6,T$10,$A505,$B505)</f>
        <v>0</v>
      </c>
      <c r="U505" s="4">
        <f ca="1">_xll.DBRW($B$1,$B$2,$B$7,$B$3,$B$4,$B$5,$F505,$B$6,U$10,$A505,$B505)</f>
        <v>0</v>
      </c>
      <c r="V505" s="4">
        <f ca="1">_xll.DBRW($B$1,$B$2,$B$7,$B$3,$B$4,$B$5,$F505,$B$6,V$10,$A505,$B505)</f>
        <v>0</v>
      </c>
      <c r="W505" s="4">
        <f ca="1">_xll.DBRW($B$1,$B$2,$B$7,$B$3,$B$4,$B$5,$F505,$B$6,W$10,$A505,$B505)</f>
        <v>0</v>
      </c>
      <c r="X505" s="4">
        <f ca="1">_xll.DBRW($B$1,$B$2,$B$7,$B$3,$B$4,$B$5,$F505,$B$6,X$10,$A505,$B505)</f>
        <v>0</v>
      </c>
      <c r="Y505" s="4">
        <f ca="1">_xll.DBRW($B$1,$B$2,$B$7,$B$3,$B$4,$B$5,$F505,$B$6,Y$10,$A505,$B505)</f>
        <v>0</v>
      </c>
      <c r="Z505" s="4">
        <f ca="1">_xll.DBRW($B$1,$B$2,$B$7,$B$3,$B$4,$B$5,$F505,$B$6,Z$10,$A505,$B505)</f>
        <v>0</v>
      </c>
      <c r="AA505" s="4">
        <f ca="1">_xll.DBRW($B$1,$B$2,$B$7,$B$3,$B$4,$B$5,$F505,$B$6,AA$10,$A505,$B505)</f>
        <v>0</v>
      </c>
      <c r="AB505" s="4">
        <f ca="1">_xll.DBRW($B$1,$B$2,$B$7,$B$3,$B$4,$B$5,$F505,$B$6,AB$10,$A505,$B505)</f>
        <v>0</v>
      </c>
      <c r="AC505" s="4">
        <f ca="1">_xll.DBRW($B$1,$B$2,$B$7,$B$3,$B$4,$B$5,$F505,$B$6,AC$10,$A505,$B505)</f>
        <v>0</v>
      </c>
      <c r="AD505" s="4">
        <f ca="1">_xll.DBRW($B$1,$B$2,$B$7,$B$3,$B$4,$B$5,$F505,$B$6,AD$10,$A505,$B505)</f>
        <v>0</v>
      </c>
      <c r="AE505" s="4">
        <f ca="1">_xll.DBRW($B$1,$B$2,$B$7,$B$3,$B$4,$B$5,$F505,$B$6,AE$10,$A505,$B505)</f>
        <v>0</v>
      </c>
    </row>
    <row r="506" spans="1:31">
      <c r="A506" s="1" t="s">
        <v>150</v>
      </c>
      <c r="B506" s="5" t="s">
        <v>45</v>
      </c>
      <c r="C506" s="5" t="s">
        <v>46</v>
      </c>
      <c r="D506" s="5" t="s">
        <v>38</v>
      </c>
      <c r="E506" s="5" t="s">
        <v>28</v>
      </c>
      <c r="F506" s="5" t="s">
        <v>316</v>
      </c>
      <c r="G506" s="6"/>
      <c r="H506" s="6"/>
      <c r="I506" s="6"/>
      <c r="J506" s="6"/>
      <c r="K506" s="6"/>
      <c r="L506" s="4">
        <f ca="1">_xll.DBRW($B$1,$B$2,$B$7,$B$3,$B$4,$B$5,$F506,$B$6,L$10,$A506,$B506)</f>
        <v>0</v>
      </c>
      <c r="M506" s="4">
        <f ca="1">_xll.DBRW($B$1,$B$2,$B$7,$B$3,$B$4,$B$5,$F506,$B$6,M$10,$A506,$B506)</f>
        <v>0</v>
      </c>
      <c r="N506" s="4">
        <f ca="1">_xll.DBRW($B$1,$B$2,$B$7,$B$3,$B$4,$B$5,$F506,$B$6,N$10,$A506,$B506)</f>
        <v>0</v>
      </c>
      <c r="O506" s="4">
        <f ca="1">_xll.DBRW($B$1,$B$2,$B$7,$B$3,$B$4,$B$5,$F506,$B$6,O$10,$A506,$B506)</f>
        <v>0</v>
      </c>
      <c r="P506" s="4">
        <f ca="1">_xll.DBRW($B$1,$B$2,$B$7,$B$3,$B$4,$B$5,$F506,$B$6,P$10,$A506,$B506)</f>
        <v>0</v>
      </c>
      <c r="Q506" s="4">
        <f ca="1">_xll.DBRW($B$1,$B$2,$B$7,$B$3,$B$4,$B$5,$F506,$B$6,Q$10,$A506,$B506)</f>
        <v>0</v>
      </c>
      <c r="R506" s="4">
        <f ca="1">_xll.DBRW($B$1,$B$2,$B$7,$B$3,$B$4,$B$5,$F506,$B$6,R$10,$A506,$B506)</f>
        <v>0</v>
      </c>
      <c r="S506" s="4">
        <f ca="1">_xll.DBRW($B$1,$B$2,$B$7,$B$3,$B$4,$B$5,$F506,$B$6,S$10,$A506,$B506)</f>
        <v>0</v>
      </c>
      <c r="T506" s="4">
        <f ca="1">_xll.DBRW($B$1,$B$2,$B$7,$B$3,$B$4,$B$5,$F506,$B$6,T$10,$A506,$B506)</f>
        <v>0</v>
      </c>
      <c r="U506" s="4">
        <f ca="1">_xll.DBRW($B$1,$B$2,$B$7,$B$3,$B$4,$B$5,$F506,$B$6,U$10,$A506,$B506)</f>
        <v>0</v>
      </c>
      <c r="V506" s="4">
        <f ca="1">_xll.DBRW($B$1,$B$2,$B$7,$B$3,$B$4,$B$5,$F506,$B$6,V$10,$A506,$B506)</f>
        <v>0</v>
      </c>
      <c r="W506" s="4">
        <f ca="1">_xll.DBRW($B$1,$B$2,$B$7,$B$3,$B$4,$B$5,$F506,$B$6,W$10,$A506,$B506)</f>
        <v>0</v>
      </c>
      <c r="X506" s="4">
        <f ca="1">_xll.DBRW($B$1,$B$2,$B$7,$B$3,$B$4,$B$5,$F506,$B$6,X$10,$A506,$B506)</f>
        <v>0</v>
      </c>
      <c r="Y506" s="4">
        <f ca="1">_xll.DBRW($B$1,$B$2,$B$7,$B$3,$B$4,$B$5,$F506,$B$6,Y$10,$A506,$B506)</f>
        <v>0</v>
      </c>
      <c r="Z506" s="4">
        <f ca="1">_xll.DBRW($B$1,$B$2,$B$7,$B$3,$B$4,$B$5,$F506,$B$6,Z$10,$A506,$B506)</f>
        <v>0</v>
      </c>
      <c r="AA506" s="4">
        <f ca="1">_xll.DBRW($B$1,$B$2,$B$7,$B$3,$B$4,$B$5,$F506,$B$6,AA$10,$A506,$B506)</f>
        <v>0</v>
      </c>
      <c r="AB506" s="4">
        <f ca="1">_xll.DBRW($B$1,$B$2,$B$7,$B$3,$B$4,$B$5,$F506,$B$6,AB$10,$A506,$B506)</f>
        <v>0</v>
      </c>
      <c r="AC506" s="4">
        <f ca="1">_xll.DBRW($B$1,$B$2,$B$7,$B$3,$B$4,$B$5,$F506,$B$6,AC$10,$A506,$B506)</f>
        <v>0</v>
      </c>
      <c r="AD506" s="4">
        <f ca="1">_xll.DBRW($B$1,$B$2,$B$7,$B$3,$B$4,$B$5,$F506,$B$6,AD$10,$A506,$B506)</f>
        <v>0</v>
      </c>
      <c r="AE506" s="4">
        <f ca="1">_xll.DBRW($B$1,$B$2,$B$7,$B$3,$B$4,$B$5,$F506,$B$6,AE$10,$A506,$B506)</f>
        <v>0</v>
      </c>
    </row>
    <row r="507" spans="1:31">
      <c r="A507" s="1" t="s">
        <v>150</v>
      </c>
      <c r="B507" s="5" t="s">
        <v>203</v>
      </c>
      <c r="C507" s="5" t="s">
        <v>204</v>
      </c>
      <c r="D507" s="5" t="s">
        <v>21</v>
      </c>
      <c r="E507" s="5" t="s">
        <v>80</v>
      </c>
      <c r="F507" s="5" t="s">
        <v>316</v>
      </c>
      <c r="G507" s="6"/>
      <c r="H507" s="6"/>
      <c r="I507" s="6"/>
      <c r="J507" s="6"/>
      <c r="K507" s="6"/>
      <c r="L507" s="4">
        <f ca="1">_xll.DBRW($B$1,$B$2,$B$7,$B$3,$B$4,$B$5,$F507,$B$6,L$10,$A507,$B507)</f>
        <v>0</v>
      </c>
      <c r="M507" s="4">
        <f ca="1">_xll.DBRW($B$1,$B$2,$B$7,$B$3,$B$4,$B$5,$F507,$B$6,M$10,$A507,$B507)</f>
        <v>0</v>
      </c>
      <c r="N507" s="4">
        <f ca="1">_xll.DBRW($B$1,$B$2,$B$7,$B$3,$B$4,$B$5,$F507,$B$6,N$10,$A507,$B507)</f>
        <v>0</v>
      </c>
      <c r="O507" s="4">
        <f ca="1">_xll.DBRW($B$1,$B$2,$B$7,$B$3,$B$4,$B$5,$F507,$B$6,O$10,$A507,$B507)</f>
        <v>0</v>
      </c>
      <c r="P507" s="4">
        <f ca="1">_xll.DBRW($B$1,$B$2,$B$7,$B$3,$B$4,$B$5,$F507,$B$6,P$10,$A507,$B507)</f>
        <v>0</v>
      </c>
      <c r="Q507" s="4">
        <f ca="1">_xll.DBRW($B$1,$B$2,$B$7,$B$3,$B$4,$B$5,$F507,$B$6,Q$10,$A507,$B507)</f>
        <v>0</v>
      </c>
      <c r="R507" s="4">
        <f ca="1">_xll.DBRW($B$1,$B$2,$B$7,$B$3,$B$4,$B$5,$F507,$B$6,R$10,$A507,$B507)</f>
        <v>0</v>
      </c>
      <c r="S507" s="4">
        <f ca="1">_xll.DBRW($B$1,$B$2,$B$7,$B$3,$B$4,$B$5,$F507,$B$6,S$10,$A507,$B507)</f>
        <v>0</v>
      </c>
      <c r="T507" s="4">
        <f ca="1">_xll.DBRW($B$1,$B$2,$B$7,$B$3,$B$4,$B$5,$F507,$B$6,T$10,$A507,$B507)</f>
        <v>0</v>
      </c>
      <c r="U507" s="4">
        <f ca="1">_xll.DBRW($B$1,$B$2,$B$7,$B$3,$B$4,$B$5,$F507,$B$6,U$10,$A507,$B507)</f>
        <v>0</v>
      </c>
      <c r="V507" s="4">
        <f ca="1">_xll.DBRW($B$1,$B$2,$B$7,$B$3,$B$4,$B$5,$F507,$B$6,V$10,$A507,$B507)</f>
        <v>0</v>
      </c>
      <c r="W507" s="4">
        <f ca="1">_xll.DBRW($B$1,$B$2,$B$7,$B$3,$B$4,$B$5,$F507,$B$6,W$10,$A507,$B507)</f>
        <v>0</v>
      </c>
      <c r="X507" s="4">
        <f ca="1">_xll.DBRW($B$1,$B$2,$B$7,$B$3,$B$4,$B$5,$F507,$B$6,X$10,$A507,$B507)</f>
        <v>0</v>
      </c>
      <c r="Y507" s="4">
        <f ca="1">_xll.DBRW($B$1,$B$2,$B$7,$B$3,$B$4,$B$5,$F507,$B$6,Y$10,$A507,$B507)</f>
        <v>0</v>
      </c>
      <c r="Z507" s="4">
        <f ca="1">_xll.DBRW($B$1,$B$2,$B$7,$B$3,$B$4,$B$5,$F507,$B$6,Z$10,$A507,$B507)</f>
        <v>0</v>
      </c>
      <c r="AA507" s="4">
        <f ca="1">_xll.DBRW($B$1,$B$2,$B$7,$B$3,$B$4,$B$5,$F507,$B$6,AA$10,$A507,$B507)</f>
        <v>0</v>
      </c>
      <c r="AB507" s="4">
        <f ca="1">_xll.DBRW($B$1,$B$2,$B$7,$B$3,$B$4,$B$5,$F507,$B$6,AB$10,$A507,$B507)</f>
        <v>0</v>
      </c>
      <c r="AC507" s="4">
        <f ca="1">_xll.DBRW($B$1,$B$2,$B$7,$B$3,$B$4,$B$5,$F507,$B$6,AC$10,$A507,$B507)</f>
        <v>0</v>
      </c>
      <c r="AD507" s="4">
        <f ca="1">_xll.DBRW($B$1,$B$2,$B$7,$B$3,$B$4,$B$5,$F507,$B$6,AD$10,$A507,$B507)</f>
        <v>0</v>
      </c>
      <c r="AE507" s="4">
        <f ca="1">_xll.DBRW($B$1,$B$2,$B$7,$B$3,$B$4,$B$5,$F507,$B$6,AE$10,$A507,$B507)</f>
        <v>0</v>
      </c>
    </row>
    <row r="508" spans="1:31">
      <c r="A508" s="1" t="s">
        <v>150</v>
      </c>
      <c r="B508" s="5" t="s">
        <v>78</v>
      </c>
      <c r="C508" s="5" t="s">
        <v>79</v>
      </c>
      <c r="D508" s="5" t="s">
        <v>80</v>
      </c>
      <c r="E508" s="5" t="s">
        <v>21</v>
      </c>
      <c r="F508" s="5" t="s">
        <v>316</v>
      </c>
      <c r="G508" s="6"/>
      <c r="H508" s="6"/>
      <c r="I508" s="6"/>
      <c r="J508" s="6"/>
      <c r="K508" s="6"/>
      <c r="L508" s="4">
        <f ca="1">_xll.DBRW($B$1,$B$2,$B$7,$B$3,$B$4,$B$5,$F508,$B$6,L$10,$A508,$B508)</f>
        <v>0</v>
      </c>
      <c r="M508" s="4">
        <f ca="1">_xll.DBRW($B$1,$B$2,$B$7,$B$3,$B$4,$B$5,$F508,$B$6,M$10,$A508,$B508)</f>
        <v>0</v>
      </c>
      <c r="N508" s="4">
        <f ca="1">_xll.DBRW($B$1,$B$2,$B$7,$B$3,$B$4,$B$5,$F508,$B$6,N$10,$A508,$B508)</f>
        <v>0</v>
      </c>
      <c r="O508" s="4">
        <f ca="1">_xll.DBRW($B$1,$B$2,$B$7,$B$3,$B$4,$B$5,$F508,$B$6,O$10,$A508,$B508)</f>
        <v>0</v>
      </c>
      <c r="P508" s="4">
        <f ca="1">_xll.DBRW($B$1,$B$2,$B$7,$B$3,$B$4,$B$5,$F508,$B$6,P$10,$A508,$B508)</f>
        <v>0</v>
      </c>
      <c r="Q508" s="4">
        <f ca="1">_xll.DBRW($B$1,$B$2,$B$7,$B$3,$B$4,$B$5,$F508,$B$6,Q$10,$A508,$B508)</f>
        <v>0</v>
      </c>
      <c r="R508" s="4">
        <f ca="1">_xll.DBRW($B$1,$B$2,$B$7,$B$3,$B$4,$B$5,$F508,$B$6,R$10,$A508,$B508)</f>
        <v>0</v>
      </c>
      <c r="S508" s="4">
        <f ca="1">_xll.DBRW($B$1,$B$2,$B$7,$B$3,$B$4,$B$5,$F508,$B$6,S$10,$A508,$B508)</f>
        <v>0</v>
      </c>
      <c r="T508" s="4">
        <f ca="1">_xll.DBRW($B$1,$B$2,$B$7,$B$3,$B$4,$B$5,$F508,$B$6,T$10,$A508,$B508)</f>
        <v>0</v>
      </c>
      <c r="U508" s="4">
        <f ca="1">_xll.DBRW($B$1,$B$2,$B$7,$B$3,$B$4,$B$5,$F508,$B$6,U$10,$A508,$B508)</f>
        <v>0</v>
      </c>
      <c r="V508" s="4">
        <f ca="1">_xll.DBRW($B$1,$B$2,$B$7,$B$3,$B$4,$B$5,$F508,$B$6,V$10,$A508,$B508)</f>
        <v>0</v>
      </c>
      <c r="W508" s="4">
        <f ca="1">_xll.DBRW($B$1,$B$2,$B$7,$B$3,$B$4,$B$5,$F508,$B$6,W$10,$A508,$B508)</f>
        <v>0</v>
      </c>
      <c r="X508" s="4">
        <f ca="1">_xll.DBRW($B$1,$B$2,$B$7,$B$3,$B$4,$B$5,$F508,$B$6,X$10,$A508,$B508)</f>
        <v>0</v>
      </c>
      <c r="Y508" s="4">
        <f ca="1">_xll.DBRW($B$1,$B$2,$B$7,$B$3,$B$4,$B$5,$F508,$B$6,Y$10,$A508,$B508)</f>
        <v>0</v>
      </c>
      <c r="Z508" s="4">
        <f ca="1">_xll.DBRW($B$1,$B$2,$B$7,$B$3,$B$4,$B$5,$F508,$B$6,Z$10,$A508,$B508)</f>
        <v>0</v>
      </c>
      <c r="AA508" s="4">
        <f ca="1">_xll.DBRW($B$1,$B$2,$B$7,$B$3,$B$4,$B$5,$F508,$B$6,AA$10,$A508,$B508)</f>
        <v>0</v>
      </c>
      <c r="AB508" s="4">
        <f ca="1">_xll.DBRW($B$1,$B$2,$B$7,$B$3,$B$4,$B$5,$F508,$B$6,AB$10,$A508,$B508)</f>
        <v>0</v>
      </c>
      <c r="AC508" s="4">
        <f ca="1">_xll.DBRW($B$1,$B$2,$B$7,$B$3,$B$4,$B$5,$F508,$B$6,AC$10,$A508,$B508)</f>
        <v>0</v>
      </c>
      <c r="AD508" s="4">
        <f ca="1">_xll.DBRW($B$1,$B$2,$B$7,$B$3,$B$4,$B$5,$F508,$B$6,AD$10,$A508,$B508)</f>
        <v>0</v>
      </c>
      <c r="AE508" s="4">
        <f ca="1">_xll.DBRW($B$1,$B$2,$B$7,$B$3,$B$4,$B$5,$F508,$B$6,AE$10,$A508,$B508)</f>
        <v>0</v>
      </c>
    </row>
    <row r="509" spans="1:31">
      <c r="A509" s="1" t="s">
        <v>150</v>
      </c>
      <c r="B509" s="5" t="s">
        <v>205</v>
      </c>
      <c r="C509" s="5" t="s">
        <v>206</v>
      </c>
      <c r="D509" s="5" t="s">
        <v>21</v>
      </c>
      <c r="E509" s="5" t="s">
        <v>181</v>
      </c>
      <c r="F509" s="5" t="s">
        <v>316</v>
      </c>
      <c r="G509" s="6"/>
      <c r="H509" s="6"/>
      <c r="I509" s="6"/>
      <c r="J509" s="6"/>
      <c r="K509" s="6"/>
      <c r="L509" s="4">
        <f ca="1">_xll.DBRW($B$1,$B$2,$B$7,$B$3,$B$4,$B$5,$F509,$B$6,L$10,$A509,$B509)</f>
        <v>0</v>
      </c>
      <c r="M509" s="4">
        <f ca="1">_xll.DBRW($B$1,$B$2,$B$7,$B$3,$B$4,$B$5,$F509,$B$6,M$10,$A509,$B509)</f>
        <v>0</v>
      </c>
      <c r="N509" s="4">
        <f ca="1">_xll.DBRW($B$1,$B$2,$B$7,$B$3,$B$4,$B$5,$F509,$B$6,N$10,$A509,$B509)</f>
        <v>0</v>
      </c>
      <c r="O509" s="4">
        <f ca="1">_xll.DBRW($B$1,$B$2,$B$7,$B$3,$B$4,$B$5,$F509,$B$6,O$10,$A509,$B509)</f>
        <v>0</v>
      </c>
      <c r="P509" s="4">
        <f ca="1">_xll.DBRW($B$1,$B$2,$B$7,$B$3,$B$4,$B$5,$F509,$B$6,P$10,$A509,$B509)</f>
        <v>0</v>
      </c>
      <c r="Q509" s="4">
        <f ca="1">_xll.DBRW($B$1,$B$2,$B$7,$B$3,$B$4,$B$5,$F509,$B$6,Q$10,$A509,$B509)</f>
        <v>3</v>
      </c>
      <c r="R509" s="4">
        <f ca="1">_xll.DBRW($B$1,$B$2,$B$7,$B$3,$B$4,$B$5,$F509,$B$6,R$10,$A509,$B509)</f>
        <v>15</v>
      </c>
      <c r="S509" s="4">
        <f ca="1">_xll.DBRW($B$1,$B$2,$B$7,$B$3,$B$4,$B$5,$F509,$B$6,S$10,$A509,$B509)</f>
        <v>27</v>
      </c>
      <c r="T509" s="4">
        <f ca="1">_xll.DBRW($B$1,$B$2,$B$7,$B$3,$B$4,$B$5,$F509,$B$6,T$10,$A509,$B509)</f>
        <v>0</v>
      </c>
      <c r="U509" s="4">
        <f ca="1">_xll.DBRW($B$1,$B$2,$B$7,$B$3,$B$4,$B$5,$F509,$B$6,U$10,$A509,$B509)</f>
        <v>0</v>
      </c>
      <c r="V509" s="4">
        <f ca="1">_xll.DBRW($B$1,$B$2,$B$7,$B$3,$B$4,$B$5,$F509,$B$6,V$10,$A509,$B509)</f>
        <v>0</v>
      </c>
      <c r="W509" s="4">
        <f ca="1">_xll.DBRW($B$1,$B$2,$B$7,$B$3,$B$4,$B$5,$F509,$B$6,W$10,$A509,$B509)</f>
        <v>0</v>
      </c>
      <c r="X509" s="4">
        <f ca="1">_xll.DBRW($B$1,$B$2,$B$7,$B$3,$B$4,$B$5,$F509,$B$6,X$10,$A509,$B509)</f>
        <v>0</v>
      </c>
      <c r="Y509" s="4">
        <f ca="1">_xll.DBRW($B$1,$B$2,$B$7,$B$3,$B$4,$B$5,$F509,$B$6,Y$10,$A509,$B509)</f>
        <v>0</v>
      </c>
      <c r="Z509" s="4">
        <f ca="1">_xll.DBRW($B$1,$B$2,$B$7,$B$3,$B$4,$B$5,$F509,$B$6,Z$10,$A509,$B509)</f>
        <v>0</v>
      </c>
      <c r="AA509" s="4">
        <f ca="1">_xll.DBRW($B$1,$B$2,$B$7,$B$3,$B$4,$B$5,$F509,$B$6,AA$10,$A509,$B509)</f>
        <v>0</v>
      </c>
      <c r="AB509" s="4">
        <f ca="1">_xll.DBRW($B$1,$B$2,$B$7,$B$3,$B$4,$B$5,$F509,$B$6,AB$10,$A509,$B509)</f>
        <v>0</v>
      </c>
      <c r="AC509" s="4">
        <f ca="1">_xll.DBRW($B$1,$B$2,$B$7,$B$3,$B$4,$B$5,$F509,$B$6,AC$10,$A509,$B509)</f>
        <v>0</v>
      </c>
      <c r="AD509" s="4">
        <f ca="1">_xll.DBRW($B$1,$B$2,$B$7,$B$3,$B$4,$B$5,$F509,$B$6,AD$10,$A509,$B509)</f>
        <v>0</v>
      </c>
      <c r="AE509" s="4">
        <f ca="1">_xll.DBRW($B$1,$B$2,$B$7,$B$3,$B$4,$B$5,$F509,$B$6,AE$10,$A509,$B509)</f>
        <v>0</v>
      </c>
    </row>
    <row r="510" spans="1:31">
      <c r="A510" s="1" t="s">
        <v>150</v>
      </c>
      <c r="B510" s="5" t="s">
        <v>207</v>
      </c>
      <c r="C510" s="5" t="s">
        <v>208</v>
      </c>
      <c r="D510" s="5" t="s">
        <v>181</v>
      </c>
      <c r="E510" s="5" t="s">
        <v>21</v>
      </c>
      <c r="F510" s="5" t="s">
        <v>316</v>
      </c>
      <c r="G510" s="6"/>
      <c r="H510" s="6"/>
      <c r="I510" s="6"/>
      <c r="J510" s="6"/>
      <c r="K510" s="6"/>
      <c r="L510" s="4">
        <f ca="1">_xll.DBRW($B$1,$B$2,$B$7,$B$3,$B$4,$B$5,$F510,$B$6,L$10,$A510,$B510)</f>
        <v>0</v>
      </c>
      <c r="M510" s="4">
        <f ca="1">_xll.DBRW($B$1,$B$2,$B$7,$B$3,$B$4,$B$5,$F510,$B$6,M$10,$A510,$B510)</f>
        <v>0</v>
      </c>
      <c r="N510" s="4">
        <f ca="1">_xll.DBRW($B$1,$B$2,$B$7,$B$3,$B$4,$B$5,$F510,$B$6,N$10,$A510,$B510)</f>
        <v>0</v>
      </c>
      <c r="O510" s="4">
        <f ca="1">_xll.DBRW($B$1,$B$2,$B$7,$B$3,$B$4,$B$5,$F510,$B$6,O$10,$A510,$B510)</f>
        <v>0</v>
      </c>
      <c r="P510" s="4">
        <f ca="1">_xll.DBRW($B$1,$B$2,$B$7,$B$3,$B$4,$B$5,$F510,$B$6,P$10,$A510,$B510)</f>
        <v>0</v>
      </c>
      <c r="Q510" s="4">
        <f ca="1">_xll.DBRW($B$1,$B$2,$B$7,$B$3,$B$4,$B$5,$F510,$B$6,Q$10,$A510,$B510)</f>
        <v>3</v>
      </c>
      <c r="R510" s="4">
        <f ca="1">_xll.DBRW($B$1,$B$2,$B$7,$B$3,$B$4,$B$5,$F510,$B$6,R$10,$A510,$B510)</f>
        <v>15</v>
      </c>
      <c r="S510" s="4">
        <f ca="1">_xll.DBRW($B$1,$B$2,$B$7,$B$3,$B$4,$B$5,$F510,$B$6,S$10,$A510,$B510)</f>
        <v>27</v>
      </c>
      <c r="T510" s="4">
        <f ca="1">_xll.DBRW($B$1,$B$2,$B$7,$B$3,$B$4,$B$5,$F510,$B$6,T$10,$A510,$B510)</f>
        <v>0</v>
      </c>
      <c r="U510" s="4">
        <f ca="1">_xll.DBRW($B$1,$B$2,$B$7,$B$3,$B$4,$B$5,$F510,$B$6,U$10,$A510,$B510)</f>
        <v>0</v>
      </c>
      <c r="V510" s="4">
        <f ca="1">_xll.DBRW($B$1,$B$2,$B$7,$B$3,$B$4,$B$5,$F510,$B$6,V$10,$A510,$B510)</f>
        <v>0</v>
      </c>
      <c r="W510" s="4">
        <f ca="1">_xll.DBRW($B$1,$B$2,$B$7,$B$3,$B$4,$B$5,$F510,$B$6,W$10,$A510,$B510)</f>
        <v>0</v>
      </c>
      <c r="X510" s="4">
        <f ca="1">_xll.DBRW($B$1,$B$2,$B$7,$B$3,$B$4,$B$5,$F510,$B$6,X$10,$A510,$B510)</f>
        <v>0</v>
      </c>
      <c r="Y510" s="4">
        <f ca="1">_xll.DBRW($B$1,$B$2,$B$7,$B$3,$B$4,$B$5,$F510,$B$6,Y$10,$A510,$B510)</f>
        <v>0</v>
      </c>
      <c r="Z510" s="4">
        <f ca="1">_xll.DBRW($B$1,$B$2,$B$7,$B$3,$B$4,$B$5,$F510,$B$6,Z$10,$A510,$B510)</f>
        <v>0</v>
      </c>
      <c r="AA510" s="4">
        <f ca="1">_xll.DBRW($B$1,$B$2,$B$7,$B$3,$B$4,$B$5,$F510,$B$6,AA$10,$A510,$B510)</f>
        <v>0</v>
      </c>
      <c r="AB510" s="4">
        <f ca="1">_xll.DBRW($B$1,$B$2,$B$7,$B$3,$B$4,$B$5,$F510,$B$6,AB$10,$A510,$B510)</f>
        <v>0</v>
      </c>
      <c r="AC510" s="4">
        <f ca="1">_xll.DBRW($B$1,$B$2,$B$7,$B$3,$B$4,$B$5,$F510,$B$6,AC$10,$A510,$B510)</f>
        <v>0</v>
      </c>
      <c r="AD510" s="4">
        <f ca="1">_xll.DBRW($B$1,$B$2,$B$7,$B$3,$B$4,$B$5,$F510,$B$6,AD$10,$A510,$B510)</f>
        <v>0</v>
      </c>
      <c r="AE510" s="4">
        <f ca="1">_xll.DBRW($B$1,$B$2,$B$7,$B$3,$B$4,$B$5,$F510,$B$6,AE$10,$A510,$B510)</f>
        <v>0</v>
      </c>
    </row>
    <row r="511" spans="1:31">
      <c r="A511" s="1" t="s">
        <v>150</v>
      </c>
      <c r="B511" s="5" t="s">
        <v>209</v>
      </c>
      <c r="C511" s="5" t="s">
        <v>210</v>
      </c>
      <c r="D511" s="5" t="s">
        <v>21</v>
      </c>
      <c r="E511" s="5" t="s">
        <v>211</v>
      </c>
      <c r="F511" s="5" t="s">
        <v>316</v>
      </c>
      <c r="G511" s="6"/>
      <c r="H511" s="6"/>
      <c r="I511" s="6"/>
      <c r="J511" s="6"/>
      <c r="K511" s="6"/>
      <c r="L511" s="4">
        <f ca="1">_xll.DBRW($B$1,$B$2,$B$7,$B$3,$B$4,$B$5,$F511,$B$6,L$10,$A511,$B511)</f>
        <v>0</v>
      </c>
      <c r="M511" s="4">
        <f ca="1">_xll.DBRW($B$1,$B$2,$B$7,$B$3,$B$4,$B$5,$F511,$B$6,M$10,$A511,$B511)</f>
        <v>0</v>
      </c>
      <c r="N511" s="4">
        <f ca="1">_xll.DBRW($B$1,$B$2,$B$7,$B$3,$B$4,$B$5,$F511,$B$6,N$10,$A511,$B511)</f>
        <v>0</v>
      </c>
      <c r="O511" s="4">
        <f ca="1">_xll.DBRW($B$1,$B$2,$B$7,$B$3,$B$4,$B$5,$F511,$B$6,O$10,$A511,$B511)</f>
        <v>0</v>
      </c>
      <c r="P511" s="4">
        <f ca="1">_xll.DBRW($B$1,$B$2,$B$7,$B$3,$B$4,$B$5,$F511,$B$6,P$10,$A511,$B511)</f>
        <v>0</v>
      </c>
      <c r="Q511" s="4">
        <f ca="1">_xll.DBRW($B$1,$B$2,$B$7,$B$3,$B$4,$B$5,$F511,$B$6,Q$10,$A511,$B511)</f>
        <v>0</v>
      </c>
      <c r="R511" s="4">
        <f ca="1">_xll.DBRW($B$1,$B$2,$B$7,$B$3,$B$4,$B$5,$F511,$B$6,R$10,$A511,$B511)</f>
        <v>0</v>
      </c>
      <c r="S511" s="4">
        <f ca="1">_xll.DBRW($B$1,$B$2,$B$7,$B$3,$B$4,$B$5,$F511,$B$6,S$10,$A511,$B511)</f>
        <v>0</v>
      </c>
      <c r="T511" s="4">
        <f ca="1">_xll.DBRW($B$1,$B$2,$B$7,$B$3,$B$4,$B$5,$F511,$B$6,T$10,$A511,$B511)</f>
        <v>0</v>
      </c>
      <c r="U511" s="4">
        <f ca="1">_xll.DBRW($B$1,$B$2,$B$7,$B$3,$B$4,$B$5,$F511,$B$6,U$10,$A511,$B511)</f>
        <v>0</v>
      </c>
      <c r="V511" s="4">
        <f ca="1">_xll.DBRW($B$1,$B$2,$B$7,$B$3,$B$4,$B$5,$F511,$B$6,V$10,$A511,$B511)</f>
        <v>0</v>
      </c>
      <c r="W511" s="4">
        <f ca="1">_xll.DBRW($B$1,$B$2,$B$7,$B$3,$B$4,$B$5,$F511,$B$6,W$10,$A511,$B511)</f>
        <v>0</v>
      </c>
      <c r="X511" s="4">
        <f ca="1">_xll.DBRW($B$1,$B$2,$B$7,$B$3,$B$4,$B$5,$F511,$B$6,X$10,$A511,$B511)</f>
        <v>0</v>
      </c>
      <c r="Y511" s="4">
        <f ca="1">_xll.DBRW($B$1,$B$2,$B$7,$B$3,$B$4,$B$5,$F511,$B$6,Y$10,$A511,$B511)</f>
        <v>0</v>
      </c>
      <c r="Z511" s="4">
        <f ca="1">_xll.DBRW($B$1,$B$2,$B$7,$B$3,$B$4,$B$5,$F511,$B$6,Z$10,$A511,$B511)</f>
        <v>0</v>
      </c>
      <c r="AA511" s="4">
        <f ca="1">_xll.DBRW($B$1,$B$2,$B$7,$B$3,$B$4,$B$5,$F511,$B$6,AA$10,$A511,$B511)</f>
        <v>0</v>
      </c>
      <c r="AB511" s="4">
        <f ca="1">_xll.DBRW($B$1,$B$2,$B$7,$B$3,$B$4,$B$5,$F511,$B$6,AB$10,$A511,$B511)</f>
        <v>0</v>
      </c>
      <c r="AC511" s="4">
        <f ca="1">_xll.DBRW($B$1,$B$2,$B$7,$B$3,$B$4,$B$5,$F511,$B$6,AC$10,$A511,$B511)</f>
        <v>0</v>
      </c>
      <c r="AD511" s="4">
        <f ca="1">_xll.DBRW($B$1,$B$2,$B$7,$B$3,$B$4,$B$5,$F511,$B$6,AD$10,$A511,$B511)</f>
        <v>0</v>
      </c>
      <c r="AE511" s="4">
        <f ca="1">_xll.DBRW($B$1,$B$2,$B$7,$B$3,$B$4,$B$5,$F511,$B$6,AE$10,$A511,$B511)</f>
        <v>0</v>
      </c>
    </row>
    <row r="512" spans="1:31">
      <c r="A512" s="1" t="s">
        <v>150</v>
      </c>
      <c r="B512" s="5" t="s">
        <v>212</v>
      </c>
      <c r="C512" s="5" t="s">
        <v>213</v>
      </c>
      <c r="D512" s="5" t="s">
        <v>211</v>
      </c>
      <c r="E512" s="5" t="s">
        <v>21</v>
      </c>
      <c r="F512" s="5" t="s">
        <v>316</v>
      </c>
      <c r="G512" s="6"/>
      <c r="H512" s="6"/>
      <c r="I512" s="6"/>
      <c r="J512" s="6"/>
      <c r="K512" s="6"/>
      <c r="L512" s="4">
        <f ca="1">_xll.DBRW($B$1,$B$2,$B$7,$B$3,$B$4,$B$5,$F512,$B$6,L$10,$A512,$B512)</f>
        <v>0</v>
      </c>
      <c r="M512" s="4">
        <f ca="1">_xll.DBRW($B$1,$B$2,$B$7,$B$3,$B$4,$B$5,$F512,$B$6,M$10,$A512,$B512)</f>
        <v>0</v>
      </c>
      <c r="N512" s="4">
        <f ca="1">_xll.DBRW($B$1,$B$2,$B$7,$B$3,$B$4,$B$5,$F512,$B$6,N$10,$A512,$B512)</f>
        <v>0</v>
      </c>
      <c r="O512" s="4">
        <f ca="1">_xll.DBRW($B$1,$B$2,$B$7,$B$3,$B$4,$B$5,$F512,$B$6,O$10,$A512,$B512)</f>
        <v>0</v>
      </c>
      <c r="P512" s="4">
        <f ca="1">_xll.DBRW($B$1,$B$2,$B$7,$B$3,$B$4,$B$5,$F512,$B$6,P$10,$A512,$B512)</f>
        <v>0</v>
      </c>
      <c r="Q512" s="4">
        <f ca="1">_xll.DBRW($B$1,$B$2,$B$7,$B$3,$B$4,$B$5,$F512,$B$6,Q$10,$A512,$B512)</f>
        <v>0</v>
      </c>
      <c r="R512" s="4">
        <f ca="1">_xll.DBRW($B$1,$B$2,$B$7,$B$3,$B$4,$B$5,$F512,$B$6,R$10,$A512,$B512)</f>
        <v>0</v>
      </c>
      <c r="S512" s="4">
        <f ca="1">_xll.DBRW($B$1,$B$2,$B$7,$B$3,$B$4,$B$5,$F512,$B$6,S$10,$A512,$B512)</f>
        <v>0</v>
      </c>
      <c r="T512" s="4">
        <f ca="1">_xll.DBRW($B$1,$B$2,$B$7,$B$3,$B$4,$B$5,$F512,$B$6,T$10,$A512,$B512)</f>
        <v>0</v>
      </c>
      <c r="U512" s="4">
        <f ca="1">_xll.DBRW($B$1,$B$2,$B$7,$B$3,$B$4,$B$5,$F512,$B$6,U$10,$A512,$B512)</f>
        <v>0</v>
      </c>
      <c r="V512" s="4">
        <f ca="1">_xll.DBRW($B$1,$B$2,$B$7,$B$3,$B$4,$B$5,$F512,$B$6,V$10,$A512,$B512)</f>
        <v>0</v>
      </c>
      <c r="W512" s="4">
        <f ca="1">_xll.DBRW($B$1,$B$2,$B$7,$B$3,$B$4,$B$5,$F512,$B$6,W$10,$A512,$B512)</f>
        <v>0</v>
      </c>
      <c r="X512" s="4">
        <f ca="1">_xll.DBRW($B$1,$B$2,$B$7,$B$3,$B$4,$B$5,$F512,$B$6,X$10,$A512,$B512)</f>
        <v>0</v>
      </c>
      <c r="Y512" s="4">
        <f ca="1">_xll.DBRW($B$1,$B$2,$B$7,$B$3,$B$4,$B$5,$F512,$B$6,Y$10,$A512,$B512)</f>
        <v>0</v>
      </c>
      <c r="Z512" s="4">
        <f ca="1">_xll.DBRW($B$1,$B$2,$B$7,$B$3,$B$4,$B$5,$F512,$B$6,Z$10,$A512,$B512)</f>
        <v>0</v>
      </c>
      <c r="AA512" s="4">
        <f ca="1">_xll.DBRW($B$1,$B$2,$B$7,$B$3,$B$4,$B$5,$F512,$B$6,AA$10,$A512,$B512)</f>
        <v>0</v>
      </c>
      <c r="AB512" s="4">
        <f ca="1">_xll.DBRW($B$1,$B$2,$B$7,$B$3,$B$4,$B$5,$F512,$B$6,AB$10,$A512,$B512)</f>
        <v>0</v>
      </c>
      <c r="AC512" s="4">
        <f ca="1">_xll.DBRW($B$1,$B$2,$B$7,$B$3,$B$4,$B$5,$F512,$B$6,AC$10,$A512,$B512)</f>
        <v>0</v>
      </c>
      <c r="AD512" s="4">
        <f ca="1">_xll.DBRW($B$1,$B$2,$B$7,$B$3,$B$4,$B$5,$F512,$B$6,AD$10,$A512,$B512)</f>
        <v>0</v>
      </c>
      <c r="AE512" s="4">
        <f ca="1">_xll.DBRW($B$1,$B$2,$B$7,$B$3,$B$4,$B$5,$F512,$B$6,AE$10,$A512,$B512)</f>
        <v>0</v>
      </c>
    </row>
    <row r="513" spans="1:31">
      <c r="A513" s="1" t="s">
        <v>150</v>
      </c>
      <c r="B513" s="5" t="s">
        <v>214</v>
      </c>
      <c r="C513" s="5" t="s">
        <v>187</v>
      </c>
      <c r="D513" s="5" t="s">
        <v>21</v>
      </c>
      <c r="E513" s="5" t="s">
        <v>59</v>
      </c>
      <c r="F513" s="5" t="s">
        <v>316</v>
      </c>
      <c r="G513" s="6"/>
      <c r="H513" s="6"/>
      <c r="I513" s="6"/>
      <c r="J513" s="6"/>
      <c r="K513" s="6"/>
      <c r="L513" s="4">
        <f ca="1">_xll.DBRW($B$1,$B$2,$B$7,$B$3,$B$4,$B$5,$F513,$B$6,L$10,$A513,$B513)</f>
        <v>0</v>
      </c>
      <c r="M513" s="4">
        <f ca="1">_xll.DBRW($B$1,$B$2,$B$7,$B$3,$B$4,$B$5,$F513,$B$6,M$10,$A513,$B513)</f>
        <v>0</v>
      </c>
      <c r="N513" s="4">
        <f ca="1">_xll.DBRW($B$1,$B$2,$B$7,$B$3,$B$4,$B$5,$F513,$B$6,N$10,$A513,$B513)</f>
        <v>0</v>
      </c>
      <c r="O513" s="4">
        <f ca="1">_xll.DBRW($B$1,$B$2,$B$7,$B$3,$B$4,$B$5,$F513,$B$6,O$10,$A513,$B513)</f>
        <v>0</v>
      </c>
      <c r="P513" s="4">
        <f ca="1">_xll.DBRW($B$1,$B$2,$B$7,$B$3,$B$4,$B$5,$F513,$B$6,P$10,$A513,$B513)</f>
        <v>0</v>
      </c>
      <c r="Q513" s="4">
        <f ca="1">_xll.DBRW($B$1,$B$2,$B$7,$B$3,$B$4,$B$5,$F513,$B$6,Q$10,$A513,$B513)</f>
        <v>0</v>
      </c>
      <c r="R513" s="4">
        <f ca="1">_xll.DBRW($B$1,$B$2,$B$7,$B$3,$B$4,$B$5,$F513,$B$6,R$10,$A513,$B513)</f>
        <v>2</v>
      </c>
      <c r="S513" s="4">
        <f ca="1">_xll.DBRW($B$1,$B$2,$B$7,$B$3,$B$4,$B$5,$F513,$B$6,S$10,$A513,$B513)</f>
        <v>0</v>
      </c>
      <c r="T513" s="4">
        <f ca="1">_xll.DBRW($B$1,$B$2,$B$7,$B$3,$B$4,$B$5,$F513,$B$6,T$10,$A513,$B513)</f>
        <v>0</v>
      </c>
      <c r="U513" s="4">
        <f ca="1">_xll.DBRW($B$1,$B$2,$B$7,$B$3,$B$4,$B$5,$F513,$B$6,U$10,$A513,$B513)</f>
        <v>0</v>
      </c>
      <c r="V513" s="4">
        <f ca="1">_xll.DBRW($B$1,$B$2,$B$7,$B$3,$B$4,$B$5,$F513,$B$6,V$10,$A513,$B513)</f>
        <v>0</v>
      </c>
      <c r="W513" s="4">
        <f ca="1">_xll.DBRW($B$1,$B$2,$B$7,$B$3,$B$4,$B$5,$F513,$B$6,W$10,$A513,$B513)</f>
        <v>0</v>
      </c>
      <c r="X513" s="4">
        <f ca="1">_xll.DBRW($B$1,$B$2,$B$7,$B$3,$B$4,$B$5,$F513,$B$6,X$10,$A513,$B513)</f>
        <v>0</v>
      </c>
      <c r="Y513" s="4">
        <f ca="1">_xll.DBRW($B$1,$B$2,$B$7,$B$3,$B$4,$B$5,$F513,$B$6,Y$10,$A513,$B513)</f>
        <v>0</v>
      </c>
      <c r="Z513" s="4">
        <f ca="1">_xll.DBRW($B$1,$B$2,$B$7,$B$3,$B$4,$B$5,$F513,$B$6,Z$10,$A513,$B513)</f>
        <v>0</v>
      </c>
      <c r="AA513" s="4">
        <f ca="1">_xll.DBRW($B$1,$B$2,$B$7,$B$3,$B$4,$B$5,$F513,$B$6,AA$10,$A513,$B513)</f>
        <v>0</v>
      </c>
      <c r="AB513" s="4">
        <f ca="1">_xll.DBRW($B$1,$B$2,$B$7,$B$3,$B$4,$B$5,$F513,$B$6,AB$10,$A513,$B513)</f>
        <v>0</v>
      </c>
      <c r="AC513" s="4">
        <f ca="1">_xll.DBRW($B$1,$B$2,$B$7,$B$3,$B$4,$B$5,$F513,$B$6,AC$10,$A513,$B513)</f>
        <v>0</v>
      </c>
      <c r="AD513" s="4">
        <f ca="1">_xll.DBRW($B$1,$B$2,$B$7,$B$3,$B$4,$B$5,$F513,$B$6,AD$10,$A513,$B513)</f>
        <v>0</v>
      </c>
      <c r="AE513" s="4">
        <f ca="1">_xll.DBRW($B$1,$B$2,$B$7,$B$3,$B$4,$B$5,$F513,$B$6,AE$10,$A513,$B513)</f>
        <v>0</v>
      </c>
    </row>
    <row r="514" spans="1:31">
      <c r="A514" s="1" t="s">
        <v>150</v>
      </c>
      <c r="B514" s="5" t="s">
        <v>63</v>
      </c>
      <c r="C514" s="5" t="s">
        <v>62</v>
      </c>
      <c r="D514" s="5" t="s">
        <v>59</v>
      </c>
      <c r="E514" s="5" t="s">
        <v>21</v>
      </c>
      <c r="F514" s="5" t="s">
        <v>316</v>
      </c>
      <c r="G514" s="6"/>
      <c r="H514" s="6"/>
      <c r="I514" s="6"/>
      <c r="J514" s="6"/>
      <c r="K514" s="6"/>
      <c r="L514" s="4">
        <f ca="1">_xll.DBRW($B$1,$B$2,$B$7,$B$3,$B$4,$B$5,$F514,$B$6,L$10,$A514,$B514)</f>
        <v>0</v>
      </c>
      <c r="M514" s="4">
        <f ca="1">_xll.DBRW($B$1,$B$2,$B$7,$B$3,$B$4,$B$5,$F514,$B$6,M$10,$A514,$B514)</f>
        <v>0</v>
      </c>
      <c r="N514" s="4">
        <f ca="1">_xll.DBRW($B$1,$B$2,$B$7,$B$3,$B$4,$B$5,$F514,$B$6,N$10,$A514,$B514)</f>
        <v>0</v>
      </c>
      <c r="O514" s="4">
        <f ca="1">_xll.DBRW($B$1,$B$2,$B$7,$B$3,$B$4,$B$5,$F514,$B$6,O$10,$A514,$B514)</f>
        <v>0</v>
      </c>
      <c r="P514" s="4">
        <f ca="1">_xll.DBRW($B$1,$B$2,$B$7,$B$3,$B$4,$B$5,$F514,$B$6,P$10,$A514,$B514)</f>
        <v>0</v>
      </c>
      <c r="Q514" s="4">
        <f ca="1">_xll.DBRW($B$1,$B$2,$B$7,$B$3,$B$4,$B$5,$F514,$B$6,Q$10,$A514,$B514)</f>
        <v>0</v>
      </c>
      <c r="R514" s="4">
        <f ca="1">_xll.DBRW($B$1,$B$2,$B$7,$B$3,$B$4,$B$5,$F514,$B$6,R$10,$A514,$B514)</f>
        <v>2</v>
      </c>
      <c r="S514" s="4">
        <f ca="1">_xll.DBRW($B$1,$B$2,$B$7,$B$3,$B$4,$B$5,$F514,$B$6,S$10,$A514,$B514)</f>
        <v>0</v>
      </c>
      <c r="T514" s="4">
        <f ca="1">_xll.DBRW($B$1,$B$2,$B$7,$B$3,$B$4,$B$5,$F514,$B$6,T$10,$A514,$B514)</f>
        <v>0</v>
      </c>
      <c r="U514" s="4">
        <f ca="1">_xll.DBRW($B$1,$B$2,$B$7,$B$3,$B$4,$B$5,$F514,$B$6,U$10,$A514,$B514)</f>
        <v>0</v>
      </c>
      <c r="V514" s="4">
        <f ca="1">_xll.DBRW($B$1,$B$2,$B$7,$B$3,$B$4,$B$5,$F514,$B$6,V$10,$A514,$B514)</f>
        <v>0</v>
      </c>
      <c r="W514" s="4">
        <f ca="1">_xll.DBRW($B$1,$B$2,$B$7,$B$3,$B$4,$B$5,$F514,$B$6,W$10,$A514,$B514)</f>
        <v>0</v>
      </c>
      <c r="X514" s="4">
        <f ca="1">_xll.DBRW($B$1,$B$2,$B$7,$B$3,$B$4,$B$5,$F514,$B$6,X$10,$A514,$B514)</f>
        <v>0</v>
      </c>
      <c r="Y514" s="4">
        <f ca="1">_xll.DBRW($B$1,$B$2,$B$7,$B$3,$B$4,$B$5,$F514,$B$6,Y$10,$A514,$B514)</f>
        <v>0</v>
      </c>
      <c r="Z514" s="4">
        <f ca="1">_xll.DBRW($B$1,$B$2,$B$7,$B$3,$B$4,$B$5,$F514,$B$6,Z$10,$A514,$B514)</f>
        <v>0</v>
      </c>
      <c r="AA514" s="4">
        <f ca="1">_xll.DBRW($B$1,$B$2,$B$7,$B$3,$B$4,$B$5,$F514,$B$6,AA$10,$A514,$B514)</f>
        <v>0</v>
      </c>
      <c r="AB514" s="4">
        <f ca="1">_xll.DBRW($B$1,$B$2,$B$7,$B$3,$B$4,$B$5,$F514,$B$6,AB$10,$A514,$B514)</f>
        <v>0</v>
      </c>
      <c r="AC514" s="4">
        <f ca="1">_xll.DBRW($B$1,$B$2,$B$7,$B$3,$B$4,$B$5,$F514,$B$6,AC$10,$A514,$B514)</f>
        <v>0</v>
      </c>
      <c r="AD514" s="4">
        <f ca="1">_xll.DBRW($B$1,$B$2,$B$7,$B$3,$B$4,$B$5,$F514,$B$6,AD$10,$A514,$B514)</f>
        <v>0</v>
      </c>
      <c r="AE514" s="4">
        <f ca="1">_xll.DBRW($B$1,$B$2,$B$7,$B$3,$B$4,$B$5,$F514,$B$6,AE$10,$A514,$B514)</f>
        <v>0</v>
      </c>
    </row>
    <row r="515" spans="1:31">
      <c r="A515" s="1" t="s">
        <v>150</v>
      </c>
      <c r="B515" s="5" t="s">
        <v>215</v>
      </c>
      <c r="C515" s="5" t="s">
        <v>159</v>
      </c>
      <c r="D515" s="5" t="s">
        <v>21</v>
      </c>
      <c r="E515" s="5" t="s">
        <v>38</v>
      </c>
      <c r="F515" s="5" t="s">
        <v>316</v>
      </c>
      <c r="G515" s="6"/>
      <c r="H515" s="6"/>
      <c r="I515" s="6"/>
      <c r="J515" s="6"/>
      <c r="K515" s="6"/>
      <c r="L515" s="4">
        <f ca="1">_xll.DBRW($B$1,$B$2,$B$7,$B$3,$B$4,$B$5,$F515,$B$6,L$10,$A515,$B515)</f>
        <v>30</v>
      </c>
      <c r="M515" s="4">
        <f ca="1">_xll.DBRW($B$1,$B$2,$B$7,$B$3,$B$4,$B$5,$F515,$B$6,M$10,$A515,$B515)</f>
        <v>30</v>
      </c>
      <c r="N515" s="4">
        <f ca="1">_xll.DBRW($B$1,$B$2,$B$7,$B$3,$B$4,$B$5,$F515,$B$6,N$10,$A515,$B515)</f>
        <v>29</v>
      </c>
      <c r="O515" s="4">
        <f ca="1">_xll.DBRW($B$1,$B$2,$B$7,$B$3,$B$4,$B$5,$F515,$B$6,O$10,$A515,$B515)</f>
        <v>28</v>
      </c>
      <c r="P515" s="4">
        <f ca="1">_xll.DBRW($B$1,$B$2,$B$7,$B$3,$B$4,$B$5,$F515,$B$6,P$10,$A515,$B515)</f>
        <v>30</v>
      </c>
      <c r="Q515" s="4">
        <f ca="1">_xll.DBRW($B$1,$B$2,$B$7,$B$3,$B$4,$B$5,$F515,$B$6,Q$10,$A515,$B515)</f>
        <v>26</v>
      </c>
      <c r="R515" s="4">
        <f ca="1">_xll.DBRW($B$1,$B$2,$B$7,$B$3,$B$4,$B$5,$F515,$B$6,R$10,$A515,$B515)</f>
        <v>21</v>
      </c>
      <c r="S515" s="4">
        <f ca="1">_xll.DBRW($B$1,$B$2,$B$7,$B$3,$B$4,$B$5,$F515,$B$6,S$10,$A515,$B515)</f>
        <v>17</v>
      </c>
      <c r="T515" s="4">
        <f ca="1">_xll.DBRW($B$1,$B$2,$B$7,$B$3,$B$4,$B$5,$F515,$B$6,T$10,$A515,$B515)</f>
        <v>13</v>
      </c>
      <c r="U515" s="4">
        <f ca="1">_xll.DBRW($B$1,$B$2,$B$7,$B$3,$B$4,$B$5,$F515,$B$6,U$10,$A515,$B515)</f>
        <v>12</v>
      </c>
      <c r="V515" s="4">
        <f ca="1">_xll.DBRW($B$1,$B$2,$B$7,$B$3,$B$4,$B$5,$F515,$B$6,V$10,$A515,$B515)</f>
        <v>14</v>
      </c>
      <c r="W515" s="4">
        <f ca="1">_xll.DBRW($B$1,$B$2,$B$7,$B$3,$B$4,$B$5,$F515,$B$6,W$10,$A515,$B515)</f>
        <v>26</v>
      </c>
      <c r="X515" s="4">
        <f ca="1">_xll.DBRW($B$1,$B$2,$B$7,$B$3,$B$4,$B$5,$F515,$B$6,X$10,$A515,$B515)</f>
        <v>27</v>
      </c>
      <c r="Y515" s="4">
        <f ca="1">_xll.DBRW($B$1,$B$2,$B$7,$B$3,$B$4,$B$5,$F515,$B$6,Y$10,$A515,$B515)</f>
        <v>25</v>
      </c>
      <c r="Z515" s="4">
        <f ca="1">_xll.DBRW($B$1,$B$2,$B$7,$B$3,$B$4,$B$5,$F515,$B$6,Z$10,$A515,$B515)</f>
        <v>27</v>
      </c>
      <c r="AA515" s="4">
        <f ca="1">_xll.DBRW($B$1,$B$2,$B$7,$B$3,$B$4,$B$5,$F515,$B$6,AA$10,$A515,$B515)</f>
        <v>26</v>
      </c>
      <c r="AB515" s="4">
        <f ca="1">_xll.DBRW($B$1,$B$2,$B$7,$B$3,$B$4,$B$5,$F515,$B$6,AB$10,$A515,$B515)</f>
        <v>26</v>
      </c>
      <c r="AC515" s="4">
        <f ca="1">_xll.DBRW($B$1,$B$2,$B$7,$B$3,$B$4,$B$5,$F515,$B$6,AC$10,$A515,$B515)</f>
        <v>24</v>
      </c>
      <c r="AD515" s="4">
        <f ca="1">_xll.DBRW($B$1,$B$2,$B$7,$B$3,$B$4,$B$5,$F515,$B$6,AD$10,$A515,$B515)</f>
        <v>13</v>
      </c>
      <c r="AE515" s="4">
        <f ca="1">_xll.DBRW($B$1,$B$2,$B$7,$B$3,$B$4,$B$5,$F515,$B$6,AE$10,$A515,$B515)</f>
        <v>14</v>
      </c>
    </row>
    <row r="516" spans="1:31">
      <c r="A516" s="1" t="s">
        <v>150</v>
      </c>
      <c r="B516" s="5" t="s">
        <v>43</v>
      </c>
      <c r="C516" s="5" t="s">
        <v>37</v>
      </c>
      <c r="D516" s="5" t="s">
        <v>38</v>
      </c>
      <c r="E516" s="5" t="s">
        <v>21</v>
      </c>
      <c r="F516" s="5" t="s">
        <v>316</v>
      </c>
      <c r="G516" s="6"/>
      <c r="H516" s="6"/>
      <c r="I516" s="6"/>
      <c r="J516" s="6"/>
      <c r="K516" s="6"/>
      <c r="L516" s="4">
        <f ca="1">_xll.DBRW($B$1,$B$2,$B$7,$B$3,$B$4,$B$5,$F516,$B$6,L$10,$A516,$B516)</f>
        <v>26</v>
      </c>
      <c r="M516" s="4">
        <f ca="1">_xll.DBRW($B$1,$B$2,$B$7,$B$3,$B$4,$B$5,$F516,$B$6,M$10,$A516,$B516)</f>
        <v>25</v>
      </c>
      <c r="N516" s="4">
        <f ca="1">_xll.DBRW($B$1,$B$2,$B$7,$B$3,$B$4,$B$5,$F516,$B$6,N$10,$A516,$B516)</f>
        <v>26</v>
      </c>
      <c r="O516" s="4">
        <f ca="1">_xll.DBRW($B$1,$B$2,$B$7,$B$3,$B$4,$B$5,$F516,$B$6,O$10,$A516,$B516)</f>
        <v>20</v>
      </c>
      <c r="P516" s="4">
        <f ca="1">_xll.DBRW($B$1,$B$2,$B$7,$B$3,$B$4,$B$5,$F516,$B$6,P$10,$A516,$B516)</f>
        <v>3</v>
      </c>
      <c r="Q516" s="4">
        <f ca="1">_xll.DBRW($B$1,$B$2,$B$7,$B$3,$B$4,$B$5,$F516,$B$6,Q$10,$A516,$B516)</f>
        <v>3</v>
      </c>
      <c r="R516" s="4">
        <f ca="1">_xll.DBRW($B$1,$B$2,$B$7,$B$3,$B$4,$B$5,$F516,$B$6,R$10,$A516,$B516)</f>
        <v>21</v>
      </c>
      <c r="S516" s="4">
        <f ca="1">_xll.DBRW($B$1,$B$2,$B$7,$B$3,$B$4,$B$5,$F516,$B$6,S$10,$A516,$B516)</f>
        <v>17</v>
      </c>
      <c r="T516" s="4">
        <f ca="1">_xll.DBRW($B$1,$B$2,$B$7,$B$3,$B$4,$B$5,$F516,$B$6,T$10,$A516,$B516)</f>
        <v>27</v>
      </c>
      <c r="U516" s="4">
        <f ca="1">_xll.DBRW($B$1,$B$2,$B$7,$B$3,$B$4,$B$5,$F516,$B$6,U$10,$A516,$B516)</f>
        <v>24</v>
      </c>
      <c r="V516" s="4">
        <f ca="1">_xll.DBRW($B$1,$B$2,$B$7,$B$3,$B$4,$B$5,$F516,$B$6,V$10,$A516,$B516)</f>
        <v>26</v>
      </c>
      <c r="W516" s="4">
        <f ca="1">_xll.DBRW($B$1,$B$2,$B$7,$B$3,$B$4,$B$5,$F516,$B$6,W$10,$A516,$B516)</f>
        <v>26</v>
      </c>
      <c r="X516" s="4">
        <f ca="1">_xll.DBRW($B$1,$B$2,$B$7,$B$3,$B$4,$B$5,$F516,$B$6,X$10,$A516,$B516)</f>
        <v>27</v>
      </c>
      <c r="Y516" s="4">
        <f ca="1">_xll.DBRW($B$1,$B$2,$B$7,$B$3,$B$4,$B$5,$F516,$B$6,Y$10,$A516,$B516)</f>
        <v>25</v>
      </c>
      <c r="Z516" s="4">
        <f ca="1">_xll.DBRW($B$1,$B$2,$B$7,$B$3,$B$4,$B$5,$F516,$B$6,Z$10,$A516,$B516)</f>
        <v>27</v>
      </c>
      <c r="AA516" s="4">
        <f ca="1">_xll.DBRW($B$1,$B$2,$B$7,$B$3,$B$4,$B$5,$F516,$B$6,AA$10,$A516,$B516)</f>
        <v>26</v>
      </c>
      <c r="AB516" s="4">
        <f ca="1">_xll.DBRW($B$1,$B$2,$B$7,$B$3,$B$4,$B$5,$F516,$B$6,AB$10,$A516,$B516)</f>
        <v>26</v>
      </c>
      <c r="AC516" s="4">
        <f ca="1">_xll.DBRW($B$1,$B$2,$B$7,$B$3,$B$4,$B$5,$F516,$B$6,AC$10,$A516,$B516)</f>
        <v>26</v>
      </c>
      <c r="AD516" s="4">
        <f ca="1">_xll.DBRW($B$1,$B$2,$B$7,$B$3,$B$4,$B$5,$F516,$B$6,AD$10,$A516,$B516)</f>
        <v>26</v>
      </c>
      <c r="AE516" s="4">
        <f ca="1">_xll.DBRW($B$1,$B$2,$B$7,$B$3,$B$4,$B$5,$F516,$B$6,AE$10,$A516,$B516)</f>
        <v>25</v>
      </c>
    </row>
    <row r="517" spans="1:31">
      <c r="A517" s="1" t="s">
        <v>150</v>
      </c>
      <c r="B517" s="5" t="s">
        <v>216</v>
      </c>
      <c r="C517" s="5" t="s">
        <v>163</v>
      </c>
      <c r="D517" s="5" t="s">
        <v>21</v>
      </c>
      <c r="E517" s="5" t="s">
        <v>54</v>
      </c>
      <c r="F517" s="5" t="s">
        <v>316</v>
      </c>
      <c r="G517" s="6"/>
      <c r="H517" s="6"/>
      <c r="I517" s="6"/>
      <c r="J517" s="6"/>
      <c r="K517" s="6"/>
      <c r="L517" s="4">
        <f ca="1">_xll.DBRW($B$1,$B$2,$B$7,$B$3,$B$4,$B$5,$F517,$B$6,L$10,$A517,$B517)</f>
        <v>0</v>
      </c>
      <c r="M517" s="4">
        <f ca="1">_xll.DBRW($B$1,$B$2,$B$7,$B$3,$B$4,$B$5,$F517,$B$6,M$10,$A517,$B517)</f>
        <v>0</v>
      </c>
      <c r="N517" s="4">
        <f ca="1">_xll.DBRW($B$1,$B$2,$B$7,$B$3,$B$4,$B$5,$F517,$B$6,N$10,$A517,$B517)</f>
        <v>0</v>
      </c>
      <c r="O517" s="4">
        <f ca="1">_xll.DBRW($B$1,$B$2,$B$7,$B$3,$B$4,$B$5,$F517,$B$6,O$10,$A517,$B517)</f>
        <v>0</v>
      </c>
      <c r="P517" s="4">
        <f ca="1">_xll.DBRW($B$1,$B$2,$B$7,$B$3,$B$4,$B$5,$F517,$B$6,P$10,$A517,$B517)</f>
        <v>0</v>
      </c>
      <c r="Q517" s="4">
        <f ca="1">_xll.DBRW($B$1,$B$2,$B$7,$B$3,$B$4,$B$5,$F517,$B$6,Q$10,$A517,$B517)</f>
        <v>0</v>
      </c>
      <c r="R517" s="4">
        <f ca="1">_xll.DBRW($B$1,$B$2,$B$7,$B$3,$B$4,$B$5,$F517,$B$6,R$10,$A517,$B517)</f>
        <v>0</v>
      </c>
      <c r="S517" s="4">
        <f ca="1">_xll.DBRW($B$1,$B$2,$B$7,$B$3,$B$4,$B$5,$F517,$B$6,S$10,$A517,$B517)</f>
        <v>0</v>
      </c>
      <c r="T517" s="4">
        <f ca="1">_xll.DBRW($B$1,$B$2,$B$7,$B$3,$B$4,$B$5,$F517,$B$6,T$10,$A517,$B517)</f>
        <v>0</v>
      </c>
      <c r="U517" s="4">
        <f ca="1">_xll.DBRW($B$1,$B$2,$B$7,$B$3,$B$4,$B$5,$F517,$B$6,U$10,$A517,$B517)</f>
        <v>0</v>
      </c>
      <c r="V517" s="4">
        <f ca="1">_xll.DBRW($B$1,$B$2,$B$7,$B$3,$B$4,$B$5,$F517,$B$6,V$10,$A517,$B517)</f>
        <v>2</v>
      </c>
      <c r="W517" s="4">
        <f ca="1">_xll.DBRW($B$1,$B$2,$B$7,$B$3,$B$4,$B$5,$F517,$B$6,W$10,$A517,$B517)</f>
        <v>30</v>
      </c>
      <c r="X517" s="4">
        <f ca="1">_xll.DBRW($B$1,$B$2,$B$7,$B$3,$B$4,$B$5,$F517,$B$6,X$10,$A517,$B517)</f>
        <v>31</v>
      </c>
      <c r="Y517" s="4">
        <f ca="1">_xll.DBRW($B$1,$B$2,$B$7,$B$3,$B$4,$B$5,$F517,$B$6,Y$10,$A517,$B517)</f>
        <v>30</v>
      </c>
      <c r="Z517" s="4">
        <f ca="1">_xll.DBRW($B$1,$B$2,$B$7,$B$3,$B$4,$B$5,$F517,$B$6,Z$10,$A517,$B517)</f>
        <v>31</v>
      </c>
      <c r="AA517" s="4">
        <f ca="1">_xll.DBRW($B$1,$B$2,$B$7,$B$3,$B$4,$B$5,$F517,$B$6,AA$10,$A517,$B517)</f>
        <v>31</v>
      </c>
      <c r="AB517" s="4">
        <f ca="1">_xll.DBRW($B$1,$B$2,$B$7,$B$3,$B$4,$B$5,$F517,$B$6,AB$10,$A517,$B517)</f>
        <v>30</v>
      </c>
      <c r="AC517" s="4">
        <f ca="1">_xll.DBRW($B$1,$B$2,$B$7,$B$3,$B$4,$B$5,$F517,$B$6,AC$10,$A517,$B517)</f>
        <v>25</v>
      </c>
      <c r="AD517" s="4">
        <f ca="1">_xll.DBRW($B$1,$B$2,$B$7,$B$3,$B$4,$B$5,$F517,$B$6,AD$10,$A517,$B517)</f>
        <v>0</v>
      </c>
      <c r="AE517" s="4">
        <f ca="1">_xll.DBRW($B$1,$B$2,$B$7,$B$3,$B$4,$B$5,$F517,$B$6,AE$10,$A517,$B517)</f>
        <v>0</v>
      </c>
    </row>
    <row r="518" spans="1:31">
      <c r="A518" s="1" t="s">
        <v>150</v>
      </c>
      <c r="B518" s="5" t="s">
        <v>56</v>
      </c>
      <c r="C518" s="5" t="s">
        <v>53</v>
      </c>
      <c r="D518" s="5" t="s">
        <v>54</v>
      </c>
      <c r="E518" s="5" t="s">
        <v>21</v>
      </c>
      <c r="F518" s="5" t="s">
        <v>316</v>
      </c>
      <c r="G518" s="6"/>
      <c r="H518" s="6"/>
      <c r="I518" s="6"/>
      <c r="J518" s="6"/>
      <c r="K518" s="6"/>
      <c r="L518" s="4">
        <f ca="1">_xll.DBRW($B$1,$B$2,$B$7,$B$3,$B$4,$B$5,$F518,$B$6,L$10,$A518,$B518)</f>
        <v>0</v>
      </c>
      <c r="M518" s="4">
        <f ca="1">_xll.DBRW($B$1,$B$2,$B$7,$B$3,$B$4,$B$5,$F518,$B$6,M$10,$A518,$B518)</f>
        <v>0</v>
      </c>
      <c r="N518" s="4">
        <f ca="1">_xll.DBRW($B$1,$B$2,$B$7,$B$3,$B$4,$B$5,$F518,$B$6,N$10,$A518,$B518)</f>
        <v>0</v>
      </c>
      <c r="O518" s="4">
        <f ca="1">_xll.DBRW($B$1,$B$2,$B$7,$B$3,$B$4,$B$5,$F518,$B$6,O$10,$A518,$B518)</f>
        <v>0</v>
      </c>
      <c r="P518" s="4">
        <f ca="1">_xll.DBRW($B$1,$B$2,$B$7,$B$3,$B$4,$B$5,$F518,$B$6,P$10,$A518,$B518)</f>
        <v>0</v>
      </c>
      <c r="Q518" s="4">
        <f ca="1">_xll.DBRW($B$1,$B$2,$B$7,$B$3,$B$4,$B$5,$F518,$B$6,Q$10,$A518,$B518)</f>
        <v>0</v>
      </c>
      <c r="R518" s="4">
        <f ca="1">_xll.DBRW($B$1,$B$2,$B$7,$B$3,$B$4,$B$5,$F518,$B$6,R$10,$A518,$B518)</f>
        <v>0</v>
      </c>
      <c r="S518" s="4">
        <f ca="1">_xll.DBRW($B$1,$B$2,$B$7,$B$3,$B$4,$B$5,$F518,$B$6,S$10,$A518,$B518)</f>
        <v>0</v>
      </c>
      <c r="T518" s="4">
        <f ca="1">_xll.DBRW($B$1,$B$2,$B$7,$B$3,$B$4,$B$5,$F518,$B$6,T$10,$A518,$B518)</f>
        <v>0</v>
      </c>
      <c r="U518" s="4">
        <f ca="1">_xll.DBRW($B$1,$B$2,$B$7,$B$3,$B$4,$B$5,$F518,$B$6,U$10,$A518,$B518)</f>
        <v>0</v>
      </c>
      <c r="V518" s="4">
        <f ca="1">_xll.DBRW($B$1,$B$2,$B$7,$B$3,$B$4,$B$5,$F518,$B$6,V$10,$A518,$B518)</f>
        <v>2</v>
      </c>
      <c r="W518" s="4">
        <f ca="1">_xll.DBRW($B$1,$B$2,$B$7,$B$3,$B$4,$B$5,$F518,$B$6,W$10,$A518,$B518)</f>
        <v>30</v>
      </c>
      <c r="X518" s="4">
        <f ca="1">_xll.DBRW($B$1,$B$2,$B$7,$B$3,$B$4,$B$5,$F518,$B$6,X$10,$A518,$B518)</f>
        <v>31</v>
      </c>
      <c r="Y518" s="4">
        <f ca="1">_xll.DBRW($B$1,$B$2,$B$7,$B$3,$B$4,$B$5,$F518,$B$6,Y$10,$A518,$B518)</f>
        <v>30</v>
      </c>
      <c r="Z518" s="4">
        <f ca="1">_xll.DBRW($B$1,$B$2,$B$7,$B$3,$B$4,$B$5,$F518,$B$6,Z$10,$A518,$B518)</f>
        <v>31</v>
      </c>
      <c r="AA518" s="4">
        <f ca="1">_xll.DBRW($B$1,$B$2,$B$7,$B$3,$B$4,$B$5,$F518,$B$6,AA$10,$A518,$B518)</f>
        <v>31</v>
      </c>
      <c r="AB518" s="4">
        <f ca="1">_xll.DBRW($B$1,$B$2,$B$7,$B$3,$B$4,$B$5,$F518,$B$6,AB$10,$A518,$B518)</f>
        <v>30</v>
      </c>
      <c r="AC518" s="4">
        <f ca="1">_xll.DBRW($B$1,$B$2,$B$7,$B$3,$B$4,$B$5,$F518,$B$6,AC$10,$A518,$B518)</f>
        <v>24</v>
      </c>
      <c r="AD518" s="4">
        <f ca="1">_xll.DBRW($B$1,$B$2,$B$7,$B$3,$B$4,$B$5,$F518,$B$6,AD$10,$A518,$B518)</f>
        <v>0</v>
      </c>
      <c r="AE518" s="4">
        <f ca="1">_xll.DBRW($B$1,$B$2,$B$7,$B$3,$B$4,$B$5,$F518,$B$6,AE$10,$A518,$B518)</f>
        <v>0</v>
      </c>
    </row>
    <row r="519" spans="1:31">
      <c r="A519" s="1" t="s">
        <v>150</v>
      </c>
      <c r="B519" s="5" t="s">
        <v>217</v>
      </c>
      <c r="C519" s="5" t="s">
        <v>159</v>
      </c>
      <c r="D519" s="5" t="s">
        <v>21</v>
      </c>
      <c r="E519" s="5" t="s">
        <v>38</v>
      </c>
      <c r="F519" s="5" t="s">
        <v>316</v>
      </c>
      <c r="G519" s="6"/>
      <c r="H519" s="6"/>
      <c r="I519" s="6"/>
      <c r="J519" s="6"/>
      <c r="K519" s="6"/>
      <c r="L519" s="4">
        <f ca="1">_xll.DBRW($B$1,$B$2,$B$7,$B$3,$B$4,$B$5,$F519,$B$6,L$10,$A519,$B519)</f>
        <v>6</v>
      </c>
      <c r="M519" s="4">
        <f ca="1">_xll.DBRW($B$1,$B$2,$B$7,$B$3,$B$4,$B$5,$F519,$B$6,M$10,$A519,$B519)</f>
        <v>4</v>
      </c>
      <c r="N519" s="4">
        <f ca="1">_xll.DBRW($B$1,$B$2,$B$7,$B$3,$B$4,$B$5,$F519,$B$6,N$10,$A519,$B519)</f>
        <v>4</v>
      </c>
      <c r="O519" s="4">
        <f ca="1">_xll.DBRW($B$1,$B$2,$B$7,$B$3,$B$4,$B$5,$F519,$B$6,O$10,$A519,$B519)</f>
        <v>5</v>
      </c>
      <c r="P519" s="4">
        <f ca="1">_xll.DBRW($B$1,$B$2,$B$7,$B$3,$B$4,$B$5,$F519,$B$6,P$10,$A519,$B519)</f>
        <v>0</v>
      </c>
      <c r="Q519" s="4">
        <f ca="1">_xll.DBRW($B$1,$B$2,$B$7,$B$3,$B$4,$B$5,$F519,$B$6,Q$10,$A519,$B519)</f>
        <v>0</v>
      </c>
      <c r="R519" s="4">
        <f ca="1">_xll.DBRW($B$1,$B$2,$B$7,$B$3,$B$4,$B$5,$F519,$B$6,R$10,$A519,$B519)</f>
        <v>0</v>
      </c>
      <c r="S519" s="4">
        <f ca="1">_xll.DBRW($B$1,$B$2,$B$7,$B$3,$B$4,$B$5,$F519,$B$6,S$10,$A519,$B519)</f>
        <v>0</v>
      </c>
      <c r="T519" s="4">
        <f ca="1">_xll.DBRW($B$1,$B$2,$B$7,$B$3,$B$4,$B$5,$F519,$B$6,T$10,$A519,$B519)</f>
        <v>18</v>
      </c>
      <c r="U519" s="4">
        <f ca="1">_xll.DBRW($B$1,$B$2,$B$7,$B$3,$B$4,$B$5,$F519,$B$6,U$10,$A519,$B519)</f>
        <v>16</v>
      </c>
      <c r="V519" s="4">
        <f ca="1">_xll.DBRW($B$1,$B$2,$B$7,$B$3,$B$4,$B$5,$F519,$B$6,V$10,$A519,$B519)</f>
        <v>18</v>
      </c>
      <c r="W519" s="4">
        <f ca="1">_xll.DBRW($B$1,$B$2,$B$7,$B$3,$B$4,$B$5,$F519,$B$6,W$10,$A519,$B519)</f>
        <v>14</v>
      </c>
      <c r="X519" s="4">
        <f ca="1">_xll.DBRW($B$1,$B$2,$B$7,$B$3,$B$4,$B$5,$F519,$B$6,X$10,$A519,$B519)</f>
        <v>12</v>
      </c>
      <c r="Y519" s="4">
        <f ca="1">_xll.DBRW($B$1,$B$2,$B$7,$B$3,$B$4,$B$5,$F519,$B$6,Y$10,$A519,$B519)</f>
        <v>13</v>
      </c>
      <c r="Z519" s="4">
        <f ca="1">_xll.DBRW($B$1,$B$2,$B$7,$B$3,$B$4,$B$5,$F519,$B$6,Z$10,$A519,$B519)</f>
        <v>14</v>
      </c>
      <c r="AA519" s="4">
        <f ca="1">_xll.DBRW($B$1,$B$2,$B$7,$B$3,$B$4,$B$5,$F519,$B$6,AA$10,$A519,$B519)</f>
        <v>12</v>
      </c>
      <c r="AB519" s="4">
        <f ca="1">_xll.DBRW($B$1,$B$2,$B$7,$B$3,$B$4,$B$5,$F519,$B$6,AB$10,$A519,$B519)</f>
        <v>14</v>
      </c>
      <c r="AC519" s="4">
        <f ca="1">_xll.DBRW($B$1,$B$2,$B$7,$B$3,$B$4,$B$5,$F519,$B$6,AC$10,$A519,$B519)</f>
        <v>13</v>
      </c>
      <c r="AD519" s="4">
        <f ca="1">_xll.DBRW($B$1,$B$2,$B$7,$B$3,$B$4,$B$5,$F519,$B$6,AD$10,$A519,$B519)</f>
        <v>18</v>
      </c>
      <c r="AE519" s="4">
        <f ca="1">_xll.DBRW($B$1,$B$2,$B$7,$B$3,$B$4,$B$5,$F519,$B$6,AE$10,$A519,$B519)</f>
        <v>16</v>
      </c>
    </row>
    <row r="520" spans="1:31">
      <c r="A520" s="1" t="s">
        <v>150</v>
      </c>
      <c r="B520" s="5" t="s">
        <v>44</v>
      </c>
      <c r="C520" s="5" t="s">
        <v>37</v>
      </c>
      <c r="D520" s="5" t="s">
        <v>38</v>
      </c>
      <c r="E520" s="5" t="s">
        <v>21</v>
      </c>
      <c r="F520" s="5" t="s">
        <v>316</v>
      </c>
      <c r="G520" s="6"/>
      <c r="H520" s="6"/>
      <c r="I520" s="6"/>
      <c r="J520" s="6"/>
      <c r="K520" s="6"/>
      <c r="L520" s="4">
        <f ca="1">_xll.DBRW($B$1,$B$2,$B$7,$B$3,$B$4,$B$5,$F520,$B$6,L$10,$A520,$B520)</f>
        <v>5</v>
      </c>
      <c r="M520" s="4">
        <f ca="1">_xll.DBRW($B$1,$B$2,$B$7,$B$3,$B$4,$B$5,$F520,$B$6,M$10,$A520,$B520)</f>
        <v>4</v>
      </c>
      <c r="N520" s="4">
        <f ca="1">_xll.DBRW($B$1,$B$2,$B$7,$B$3,$B$4,$B$5,$F520,$B$6,N$10,$A520,$B520)</f>
        <v>4</v>
      </c>
      <c r="O520" s="4">
        <f ca="1">_xll.DBRW($B$1,$B$2,$B$7,$B$3,$B$4,$B$5,$F520,$B$6,O$10,$A520,$B520)</f>
        <v>5</v>
      </c>
      <c r="P520" s="4">
        <f ca="1">_xll.DBRW($B$1,$B$2,$B$7,$B$3,$B$4,$B$5,$F520,$B$6,P$10,$A520,$B520)</f>
        <v>1</v>
      </c>
      <c r="Q520" s="4">
        <f ca="1">_xll.DBRW($B$1,$B$2,$B$7,$B$3,$B$4,$B$5,$F520,$B$6,Q$10,$A520,$B520)</f>
        <v>3</v>
      </c>
      <c r="R520" s="4">
        <f ca="1">_xll.DBRW($B$1,$B$2,$B$7,$B$3,$B$4,$B$5,$F520,$B$6,R$10,$A520,$B520)</f>
        <v>0</v>
      </c>
      <c r="S520" s="4">
        <f ca="1">_xll.DBRW($B$1,$B$2,$B$7,$B$3,$B$4,$B$5,$F520,$B$6,S$10,$A520,$B520)</f>
        <v>0</v>
      </c>
      <c r="T520" s="4">
        <f ca="1">_xll.DBRW($B$1,$B$2,$B$7,$B$3,$B$4,$B$5,$F520,$B$6,T$10,$A520,$B520)</f>
        <v>0</v>
      </c>
      <c r="U520" s="4">
        <f ca="1">_xll.DBRW($B$1,$B$2,$B$7,$B$3,$B$4,$B$5,$F520,$B$6,U$10,$A520,$B520)</f>
        <v>0</v>
      </c>
      <c r="V520" s="4">
        <f ca="1">_xll.DBRW($B$1,$B$2,$B$7,$B$3,$B$4,$B$5,$F520,$B$6,V$10,$A520,$B520)</f>
        <v>1</v>
      </c>
      <c r="W520" s="4">
        <f ca="1">_xll.DBRW($B$1,$B$2,$B$7,$B$3,$B$4,$B$5,$F520,$B$6,W$10,$A520,$B520)</f>
        <v>14</v>
      </c>
      <c r="X520" s="4">
        <f ca="1">_xll.DBRW($B$1,$B$2,$B$7,$B$3,$B$4,$B$5,$F520,$B$6,X$10,$A520,$B520)</f>
        <v>12</v>
      </c>
      <c r="Y520" s="4">
        <f ca="1">_xll.DBRW($B$1,$B$2,$B$7,$B$3,$B$4,$B$5,$F520,$B$6,Y$10,$A520,$B520)</f>
        <v>13</v>
      </c>
      <c r="Z520" s="4">
        <f ca="1">_xll.DBRW($B$1,$B$2,$B$7,$B$3,$B$4,$B$5,$F520,$B$6,Z$10,$A520,$B520)</f>
        <v>14</v>
      </c>
      <c r="AA520" s="4">
        <f ca="1">_xll.DBRW($B$1,$B$2,$B$7,$B$3,$B$4,$B$5,$F520,$B$6,AA$10,$A520,$B520)</f>
        <v>12</v>
      </c>
      <c r="AB520" s="4">
        <f ca="1">_xll.DBRW($B$1,$B$2,$B$7,$B$3,$B$4,$B$5,$F520,$B$6,AB$10,$A520,$B520)</f>
        <v>14</v>
      </c>
      <c r="AC520" s="4">
        <f ca="1">_xll.DBRW($B$1,$B$2,$B$7,$B$3,$B$4,$B$5,$F520,$B$6,AC$10,$A520,$B520)</f>
        <v>10</v>
      </c>
      <c r="AD520" s="4">
        <f ca="1">_xll.DBRW($B$1,$B$2,$B$7,$B$3,$B$4,$B$5,$F520,$B$6,AD$10,$A520,$B520)</f>
        <v>0</v>
      </c>
      <c r="AE520" s="4">
        <f ca="1">_xll.DBRW($B$1,$B$2,$B$7,$B$3,$B$4,$B$5,$F520,$B$6,AE$10,$A520,$B520)</f>
        <v>0</v>
      </c>
    </row>
    <row r="521" spans="1:31">
      <c r="A521" s="1" t="s">
        <v>150</v>
      </c>
      <c r="B521" s="5" t="s">
        <v>218</v>
      </c>
      <c r="C521" s="5" t="s">
        <v>219</v>
      </c>
      <c r="D521" s="5" t="s">
        <v>21</v>
      </c>
      <c r="E521" s="5" t="s">
        <v>49</v>
      </c>
      <c r="F521" s="5" t="s">
        <v>316</v>
      </c>
      <c r="G521" s="6"/>
      <c r="H521" s="6"/>
      <c r="I521" s="6"/>
      <c r="J521" s="6"/>
      <c r="K521" s="6"/>
      <c r="L521" s="4">
        <f ca="1">_xll.DBRW($B$1,$B$2,$B$7,$B$3,$B$4,$B$5,$F521,$B$6,L$10,$A521,$B521)</f>
        <v>0</v>
      </c>
      <c r="M521" s="4">
        <f ca="1">_xll.DBRW($B$1,$B$2,$B$7,$B$3,$B$4,$B$5,$F521,$B$6,M$10,$A521,$B521)</f>
        <v>0</v>
      </c>
      <c r="N521" s="4">
        <f ca="1">_xll.DBRW($B$1,$B$2,$B$7,$B$3,$B$4,$B$5,$F521,$B$6,N$10,$A521,$B521)</f>
        <v>0</v>
      </c>
      <c r="O521" s="4">
        <f ca="1">_xll.DBRW($B$1,$B$2,$B$7,$B$3,$B$4,$B$5,$F521,$B$6,O$10,$A521,$B521)</f>
        <v>0</v>
      </c>
      <c r="P521" s="4">
        <f ca="1">_xll.DBRW($B$1,$B$2,$B$7,$B$3,$B$4,$B$5,$F521,$B$6,P$10,$A521,$B521)</f>
        <v>0</v>
      </c>
      <c r="Q521" s="4">
        <f ca="1">_xll.DBRW($B$1,$B$2,$B$7,$B$3,$B$4,$B$5,$F521,$B$6,Q$10,$A521,$B521)</f>
        <v>0</v>
      </c>
      <c r="R521" s="4">
        <f ca="1">_xll.DBRW($B$1,$B$2,$B$7,$B$3,$B$4,$B$5,$F521,$B$6,R$10,$A521,$B521)</f>
        <v>0</v>
      </c>
      <c r="S521" s="4">
        <f ca="1">_xll.DBRW($B$1,$B$2,$B$7,$B$3,$B$4,$B$5,$F521,$B$6,S$10,$A521,$B521)</f>
        <v>0</v>
      </c>
      <c r="T521" s="4">
        <f ca="1">_xll.DBRW($B$1,$B$2,$B$7,$B$3,$B$4,$B$5,$F521,$B$6,T$10,$A521,$B521)</f>
        <v>0</v>
      </c>
      <c r="U521" s="4">
        <f ca="1">_xll.DBRW($B$1,$B$2,$B$7,$B$3,$B$4,$B$5,$F521,$B$6,U$10,$A521,$B521)</f>
        <v>0</v>
      </c>
      <c r="V521" s="4">
        <f ca="1">_xll.DBRW($B$1,$B$2,$B$7,$B$3,$B$4,$B$5,$F521,$B$6,V$10,$A521,$B521)</f>
        <v>0</v>
      </c>
      <c r="W521" s="4">
        <f ca="1">_xll.DBRW($B$1,$B$2,$B$7,$B$3,$B$4,$B$5,$F521,$B$6,W$10,$A521,$B521)</f>
        <v>0</v>
      </c>
      <c r="X521" s="4">
        <f ca="1">_xll.DBRW($B$1,$B$2,$B$7,$B$3,$B$4,$B$5,$F521,$B$6,X$10,$A521,$B521)</f>
        <v>0</v>
      </c>
      <c r="Y521" s="4">
        <f ca="1">_xll.DBRW($B$1,$B$2,$B$7,$B$3,$B$4,$B$5,$F521,$B$6,Y$10,$A521,$B521)</f>
        <v>0</v>
      </c>
      <c r="Z521" s="4">
        <f ca="1">_xll.DBRW($B$1,$B$2,$B$7,$B$3,$B$4,$B$5,$F521,$B$6,Z$10,$A521,$B521)</f>
        <v>0</v>
      </c>
      <c r="AA521" s="4">
        <f ca="1">_xll.DBRW($B$1,$B$2,$B$7,$B$3,$B$4,$B$5,$F521,$B$6,AA$10,$A521,$B521)</f>
        <v>0</v>
      </c>
      <c r="AB521" s="4">
        <f ca="1">_xll.DBRW($B$1,$B$2,$B$7,$B$3,$B$4,$B$5,$F521,$B$6,AB$10,$A521,$B521)</f>
        <v>0</v>
      </c>
      <c r="AC521" s="4">
        <f ca="1">_xll.DBRW($B$1,$B$2,$B$7,$B$3,$B$4,$B$5,$F521,$B$6,AC$10,$A521,$B521)</f>
        <v>0</v>
      </c>
      <c r="AD521" s="4">
        <f ca="1">_xll.DBRW($B$1,$B$2,$B$7,$B$3,$B$4,$B$5,$F521,$B$6,AD$10,$A521,$B521)</f>
        <v>0</v>
      </c>
      <c r="AE521" s="4">
        <f ca="1">_xll.DBRW($B$1,$B$2,$B$7,$B$3,$B$4,$B$5,$F521,$B$6,AE$10,$A521,$B521)</f>
        <v>0</v>
      </c>
    </row>
    <row r="522" spans="1:31">
      <c r="A522" s="1" t="s">
        <v>150</v>
      </c>
      <c r="B522" s="5" t="s">
        <v>47</v>
      </c>
      <c r="C522" s="5" t="s">
        <v>48</v>
      </c>
      <c r="D522" s="5" t="s">
        <v>49</v>
      </c>
      <c r="E522" s="5" t="s">
        <v>21</v>
      </c>
      <c r="F522" s="5" t="s">
        <v>316</v>
      </c>
      <c r="G522" s="6"/>
      <c r="H522" s="6"/>
      <c r="I522" s="6"/>
      <c r="J522" s="6"/>
      <c r="K522" s="6"/>
      <c r="L522" s="4">
        <f ca="1">_xll.DBRW($B$1,$B$2,$B$7,$B$3,$B$4,$B$5,$F522,$B$6,L$10,$A522,$B522)</f>
        <v>0</v>
      </c>
      <c r="M522" s="4">
        <f ca="1">_xll.DBRW($B$1,$B$2,$B$7,$B$3,$B$4,$B$5,$F522,$B$6,M$10,$A522,$B522)</f>
        <v>0</v>
      </c>
      <c r="N522" s="4">
        <f ca="1">_xll.DBRW($B$1,$B$2,$B$7,$B$3,$B$4,$B$5,$F522,$B$6,N$10,$A522,$B522)</f>
        <v>0</v>
      </c>
      <c r="O522" s="4">
        <f ca="1">_xll.DBRW($B$1,$B$2,$B$7,$B$3,$B$4,$B$5,$F522,$B$6,O$10,$A522,$B522)</f>
        <v>0</v>
      </c>
      <c r="P522" s="4">
        <f ca="1">_xll.DBRW($B$1,$B$2,$B$7,$B$3,$B$4,$B$5,$F522,$B$6,P$10,$A522,$B522)</f>
        <v>0</v>
      </c>
      <c r="Q522" s="4">
        <f ca="1">_xll.DBRW($B$1,$B$2,$B$7,$B$3,$B$4,$B$5,$F522,$B$6,Q$10,$A522,$B522)</f>
        <v>0</v>
      </c>
      <c r="R522" s="4">
        <f ca="1">_xll.DBRW($B$1,$B$2,$B$7,$B$3,$B$4,$B$5,$F522,$B$6,R$10,$A522,$B522)</f>
        <v>0</v>
      </c>
      <c r="S522" s="4">
        <f ca="1">_xll.DBRW($B$1,$B$2,$B$7,$B$3,$B$4,$B$5,$F522,$B$6,S$10,$A522,$B522)</f>
        <v>0</v>
      </c>
      <c r="T522" s="4">
        <f ca="1">_xll.DBRW($B$1,$B$2,$B$7,$B$3,$B$4,$B$5,$F522,$B$6,T$10,$A522,$B522)</f>
        <v>0</v>
      </c>
      <c r="U522" s="4">
        <f ca="1">_xll.DBRW($B$1,$B$2,$B$7,$B$3,$B$4,$B$5,$F522,$B$6,U$10,$A522,$B522)</f>
        <v>0</v>
      </c>
      <c r="V522" s="4">
        <f ca="1">_xll.DBRW($B$1,$B$2,$B$7,$B$3,$B$4,$B$5,$F522,$B$6,V$10,$A522,$B522)</f>
        <v>0</v>
      </c>
      <c r="W522" s="4">
        <f ca="1">_xll.DBRW($B$1,$B$2,$B$7,$B$3,$B$4,$B$5,$F522,$B$6,W$10,$A522,$B522)</f>
        <v>0</v>
      </c>
      <c r="X522" s="4">
        <f ca="1">_xll.DBRW($B$1,$B$2,$B$7,$B$3,$B$4,$B$5,$F522,$B$6,X$10,$A522,$B522)</f>
        <v>0</v>
      </c>
      <c r="Y522" s="4">
        <f ca="1">_xll.DBRW($B$1,$B$2,$B$7,$B$3,$B$4,$B$5,$F522,$B$6,Y$10,$A522,$B522)</f>
        <v>0</v>
      </c>
      <c r="Z522" s="4">
        <f ca="1">_xll.DBRW($B$1,$B$2,$B$7,$B$3,$B$4,$B$5,$F522,$B$6,Z$10,$A522,$B522)</f>
        <v>0</v>
      </c>
      <c r="AA522" s="4">
        <f ca="1">_xll.DBRW($B$1,$B$2,$B$7,$B$3,$B$4,$B$5,$F522,$B$6,AA$10,$A522,$B522)</f>
        <v>0</v>
      </c>
      <c r="AB522" s="4">
        <f ca="1">_xll.DBRW($B$1,$B$2,$B$7,$B$3,$B$4,$B$5,$F522,$B$6,AB$10,$A522,$B522)</f>
        <v>0</v>
      </c>
      <c r="AC522" s="4">
        <f ca="1">_xll.DBRW($B$1,$B$2,$B$7,$B$3,$B$4,$B$5,$F522,$B$6,AC$10,$A522,$B522)</f>
        <v>0</v>
      </c>
      <c r="AD522" s="4">
        <f ca="1">_xll.DBRW($B$1,$B$2,$B$7,$B$3,$B$4,$B$5,$F522,$B$6,AD$10,$A522,$B522)</f>
        <v>0</v>
      </c>
      <c r="AE522" s="4">
        <f ca="1">_xll.DBRW($B$1,$B$2,$B$7,$B$3,$B$4,$B$5,$F522,$B$6,AE$10,$A522,$B522)</f>
        <v>0</v>
      </c>
    </row>
    <row r="523" spans="1:31">
      <c r="A523" s="1" t="s">
        <v>150</v>
      </c>
      <c r="B523" s="5" t="s">
        <v>220</v>
      </c>
      <c r="C523" s="5" t="s">
        <v>166</v>
      </c>
      <c r="D523" s="5" t="s">
        <v>21</v>
      </c>
      <c r="E523" s="5" t="s">
        <v>31</v>
      </c>
      <c r="F523" s="5" t="s">
        <v>316</v>
      </c>
      <c r="G523" s="6"/>
      <c r="H523" s="6"/>
      <c r="I523" s="6"/>
      <c r="J523" s="6"/>
      <c r="K523" s="6"/>
      <c r="L523" s="4">
        <f ca="1">_xll.DBRW($B$1,$B$2,$B$7,$B$3,$B$4,$B$5,$F523,$B$6,L$10,$A523,$B523)</f>
        <v>0</v>
      </c>
      <c r="M523" s="4">
        <f ca="1">_xll.DBRW($B$1,$B$2,$B$7,$B$3,$B$4,$B$5,$F523,$B$6,M$10,$A523,$B523)</f>
        <v>0</v>
      </c>
      <c r="N523" s="4">
        <f ca="1">_xll.DBRW($B$1,$B$2,$B$7,$B$3,$B$4,$B$5,$F523,$B$6,N$10,$A523,$B523)</f>
        <v>0</v>
      </c>
      <c r="O523" s="4">
        <f ca="1">_xll.DBRW($B$1,$B$2,$B$7,$B$3,$B$4,$B$5,$F523,$B$6,O$10,$A523,$B523)</f>
        <v>0</v>
      </c>
      <c r="P523" s="4">
        <f ca="1">_xll.DBRW($B$1,$B$2,$B$7,$B$3,$B$4,$B$5,$F523,$B$6,P$10,$A523,$B523)</f>
        <v>0</v>
      </c>
      <c r="Q523" s="4">
        <f ca="1">_xll.DBRW($B$1,$B$2,$B$7,$B$3,$B$4,$B$5,$F523,$B$6,Q$10,$A523,$B523)</f>
        <v>0</v>
      </c>
      <c r="R523" s="4">
        <f ca="1">_xll.DBRW($B$1,$B$2,$B$7,$B$3,$B$4,$B$5,$F523,$B$6,R$10,$A523,$B523)</f>
        <v>0</v>
      </c>
      <c r="S523" s="4">
        <f ca="1">_xll.DBRW($B$1,$B$2,$B$7,$B$3,$B$4,$B$5,$F523,$B$6,S$10,$A523,$B523)</f>
        <v>0</v>
      </c>
      <c r="T523" s="4">
        <f ca="1">_xll.DBRW($B$1,$B$2,$B$7,$B$3,$B$4,$B$5,$F523,$B$6,T$10,$A523,$B523)</f>
        <v>0</v>
      </c>
      <c r="U523" s="4">
        <f ca="1">_xll.DBRW($B$1,$B$2,$B$7,$B$3,$B$4,$B$5,$F523,$B$6,U$10,$A523,$B523)</f>
        <v>0</v>
      </c>
      <c r="V523" s="4">
        <f ca="1">_xll.DBRW($B$1,$B$2,$B$7,$B$3,$B$4,$B$5,$F523,$B$6,V$10,$A523,$B523)</f>
        <v>0</v>
      </c>
      <c r="W523" s="4">
        <f ca="1">_xll.DBRW($B$1,$B$2,$B$7,$B$3,$B$4,$B$5,$F523,$B$6,W$10,$A523,$B523)</f>
        <v>0</v>
      </c>
      <c r="X523" s="4">
        <f ca="1">_xll.DBRW($B$1,$B$2,$B$7,$B$3,$B$4,$B$5,$F523,$B$6,X$10,$A523,$B523)</f>
        <v>0</v>
      </c>
      <c r="Y523" s="4">
        <f ca="1">_xll.DBRW($B$1,$B$2,$B$7,$B$3,$B$4,$B$5,$F523,$B$6,Y$10,$A523,$B523)</f>
        <v>0</v>
      </c>
      <c r="Z523" s="4">
        <f ca="1">_xll.DBRW($B$1,$B$2,$B$7,$B$3,$B$4,$B$5,$F523,$B$6,Z$10,$A523,$B523)</f>
        <v>0</v>
      </c>
      <c r="AA523" s="4">
        <f ca="1">_xll.DBRW($B$1,$B$2,$B$7,$B$3,$B$4,$B$5,$F523,$B$6,AA$10,$A523,$B523)</f>
        <v>0</v>
      </c>
      <c r="AB523" s="4">
        <f ca="1">_xll.DBRW($B$1,$B$2,$B$7,$B$3,$B$4,$B$5,$F523,$B$6,AB$10,$A523,$B523)</f>
        <v>0</v>
      </c>
      <c r="AC523" s="4">
        <f ca="1">_xll.DBRW($B$1,$B$2,$B$7,$B$3,$B$4,$B$5,$F523,$B$6,AC$10,$A523,$B523)</f>
        <v>0</v>
      </c>
      <c r="AD523" s="4">
        <f ca="1">_xll.DBRW($B$1,$B$2,$B$7,$B$3,$B$4,$B$5,$F523,$B$6,AD$10,$A523,$B523)</f>
        <v>0</v>
      </c>
      <c r="AE523" s="4">
        <f ca="1">_xll.DBRW($B$1,$B$2,$B$7,$B$3,$B$4,$B$5,$F523,$B$6,AE$10,$A523,$B523)</f>
        <v>0</v>
      </c>
    </row>
    <row r="524" spans="1:31">
      <c r="A524" s="1" t="s">
        <v>150</v>
      </c>
      <c r="B524" s="5" t="s">
        <v>32</v>
      </c>
      <c r="C524" s="5" t="s">
        <v>30</v>
      </c>
      <c r="D524" s="5" t="s">
        <v>31</v>
      </c>
      <c r="E524" s="5" t="s">
        <v>21</v>
      </c>
      <c r="F524" s="5" t="s">
        <v>316</v>
      </c>
      <c r="G524" s="6"/>
      <c r="H524" s="6"/>
      <c r="I524" s="6"/>
      <c r="J524" s="6"/>
      <c r="K524" s="6"/>
      <c r="L524" s="4">
        <f ca="1">_xll.DBRW($B$1,$B$2,$B$7,$B$3,$B$4,$B$5,$F524,$B$6,L$10,$A524,$B524)</f>
        <v>0</v>
      </c>
      <c r="M524" s="4">
        <f ca="1">_xll.DBRW($B$1,$B$2,$B$7,$B$3,$B$4,$B$5,$F524,$B$6,M$10,$A524,$B524)</f>
        <v>0</v>
      </c>
      <c r="N524" s="4">
        <f ca="1">_xll.DBRW($B$1,$B$2,$B$7,$B$3,$B$4,$B$5,$F524,$B$6,N$10,$A524,$B524)</f>
        <v>0</v>
      </c>
      <c r="O524" s="4">
        <f ca="1">_xll.DBRW($B$1,$B$2,$B$7,$B$3,$B$4,$B$5,$F524,$B$6,O$10,$A524,$B524)</f>
        <v>0</v>
      </c>
      <c r="P524" s="4">
        <f ca="1">_xll.DBRW($B$1,$B$2,$B$7,$B$3,$B$4,$B$5,$F524,$B$6,P$10,$A524,$B524)</f>
        <v>0</v>
      </c>
      <c r="Q524" s="4">
        <f ca="1">_xll.DBRW($B$1,$B$2,$B$7,$B$3,$B$4,$B$5,$F524,$B$6,Q$10,$A524,$B524)</f>
        <v>0</v>
      </c>
      <c r="R524" s="4">
        <f ca="1">_xll.DBRW($B$1,$B$2,$B$7,$B$3,$B$4,$B$5,$F524,$B$6,R$10,$A524,$B524)</f>
        <v>0</v>
      </c>
      <c r="S524" s="4">
        <f ca="1">_xll.DBRW($B$1,$B$2,$B$7,$B$3,$B$4,$B$5,$F524,$B$6,S$10,$A524,$B524)</f>
        <v>0</v>
      </c>
      <c r="T524" s="4">
        <f ca="1">_xll.DBRW($B$1,$B$2,$B$7,$B$3,$B$4,$B$5,$F524,$B$6,T$10,$A524,$B524)</f>
        <v>0</v>
      </c>
      <c r="U524" s="4">
        <f ca="1">_xll.DBRW($B$1,$B$2,$B$7,$B$3,$B$4,$B$5,$F524,$B$6,U$10,$A524,$B524)</f>
        <v>0</v>
      </c>
      <c r="V524" s="4">
        <f ca="1">_xll.DBRW($B$1,$B$2,$B$7,$B$3,$B$4,$B$5,$F524,$B$6,V$10,$A524,$B524)</f>
        <v>0</v>
      </c>
      <c r="W524" s="4">
        <f ca="1">_xll.DBRW($B$1,$B$2,$B$7,$B$3,$B$4,$B$5,$F524,$B$6,W$10,$A524,$B524)</f>
        <v>0</v>
      </c>
      <c r="X524" s="4">
        <f ca="1">_xll.DBRW($B$1,$B$2,$B$7,$B$3,$B$4,$B$5,$F524,$B$6,X$10,$A524,$B524)</f>
        <v>0</v>
      </c>
      <c r="Y524" s="4">
        <f ca="1">_xll.DBRW($B$1,$B$2,$B$7,$B$3,$B$4,$B$5,$F524,$B$6,Y$10,$A524,$B524)</f>
        <v>0</v>
      </c>
      <c r="Z524" s="4">
        <f ca="1">_xll.DBRW($B$1,$B$2,$B$7,$B$3,$B$4,$B$5,$F524,$B$6,Z$10,$A524,$B524)</f>
        <v>0</v>
      </c>
      <c r="AA524" s="4">
        <f ca="1">_xll.DBRW($B$1,$B$2,$B$7,$B$3,$B$4,$B$5,$F524,$B$6,AA$10,$A524,$B524)</f>
        <v>0</v>
      </c>
      <c r="AB524" s="4">
        <f ca="1">_xll.DBRW($B$1,$B$2,$B$7,$B$3,$B$4,$B$5,$F524,$B$6,AB$10,$A524,$B524)</f>
        <v>0</v>
      </c>
      <c r="AC524" s="4">
        <f ca="1">_xll.DBRW($B$1,$B$2,$B$7,$B$3,$B$4,$B$5,$F524,$B$6,AC$10,$A524,$B524)</f>
        <v>0</v>
      </c>
      <c r="AD524" s="4">
        <f ca="1">_xll.DBRW($B$1,$B$2,$B$7,$B$3,$B$4,$B$5,$F524,$B$6,AD$10,$A524,$B524)</f>
        <v>0</v>
      </c>
      <c r="AE524" s="4">
        <f ca="1">_xll.DBRW($B$1,$B$2,$B$7,$B$3,$B$4,$B$5,$F524,$B$6,AE$10,$A524,$B524)</f>
        <v>0</v>
      </c>
    </row>
    <row r="525" spans="1:31">
      <c r="A525" s="1" t="s">
        <v>150</v>
      </c>
      <c r="B525" s="5" t="s">
        <v>221</v>
      </c>
      <c r="C525" s="5" t="s">
        <v>193</v>
      </c>
      <c r="D525" s="5" t="s">
        <v>21</v>
      </c>
      <c r="E525" s="5" t="s">
        <v>194</v>
      </c>
      <c r="F525" s="5" t="s">
        <v>316</v>
      </c>
      <c r="G525" s="6"/>
      <c r="H525" s="6"/>
      <c r="I525" s="6"/>
      <c r="J525" s="6"/>
      <c r="K525" s="6"/>
      <c r="L525" s="4">
        <f ca="1">_xll.DBRW($B$1,$B$2,$B$7,$B$3,$B$4,$B$5,$F525,$B$6,L$10,$A525,$B525)</f>
        <v>0</v>
      </c>
      <c r="M525" s="4">
        <f ca="1">_xll.DBRW($B$1,$B$2,$B$7,$B$3,$B$4,$B$5,$F525,$B$6,M$10,$A525,$B525)</f>
        <v>0</v>
      </c>
      <c r="N525" s="4">
        <f ca="1">_xll.DBRW($B$1,$B$2,$B$7,$B$3,$B$4,$B$5,$F525,$B$6,N$10,$A525,$B525)</f>
        <v>0</v>
      </c>
      <c r="O525" s="4">
        <f ca="1">_xll.DBRW($B$1,$B$2,$B$7,$B$3,$B$4,$B$5,$F525,$B$6,O$10,$A525,$B525)</f>
        <v>0</v>
      </c>
      <c r="P525" s="4">
        <f ca="1">_xll.DBRW($B$1,$B$2,$B$7,$B$3,$B$4,$B$5,$F525,$B$6,P$10,$A525,$B525)</f>
        <v>0</v>
      </c>
      <c r="Q525" s="4">
        <f ca="1">_xll.DBRW($B$1,$B$2,$B$7,$B$3,$B$4,$B$5,$F525,$B$6,Q$10,$A525,$B525)</f>
        <v>0</v>
      </c>
      <c r="R525" s="4">
        <f ca="1">_xll.DBRW($B$1,$B$2,$B$7,$B$3,$B$4,$B$5,$F525,$B$6,R$10,$A525,$B525)</f>
        <v>0</v>
      </c>
      <c r="S525" s="4">
        <f ca="1">_xll.DBRW($B$1,$B$2,$B$7,$B$3,$B$4,$B$5,$F525,$B$6,S$10,$A525,$B525)</f>
        <v>0</v>
      </c>
      <c r="T525" s="4">
        <f ca="1">_xll.DBRW($B$1,$B$2,$B$7,$B$3,$B$4,$B$5,$F525,$B$6,T$10,$A525,$B525)</f>
        <v>0</v>
      </c>
      <c r="U525" s="4">
        <f ca="1">_xll.DBRW($B$1,$B$2,$B$7,$B$3,$B$4,$B$5,$F525,$B$6,U$10,$A525,$B525)</f>
        <v>0</v>
      </c>
      <c r="V525" s="4">
        <f ca="1">_xll.DBRW($B$1,$B$2,$B$7,$B$3,$B$4,$B$5,$F525,$B$6,V$10,$A525,$B525)</f>
        <v>0</v>
      </c>
      <c r="W525" s="4">
        <f ca="1">_xll.DBRW($B$1,$B$2,$B$7,$B$3,$B$4,$B$5,$F525,$B$6,W$10,$A525,$B525)</f>
        <v>0</v>
      </c>
      <c r="X525" s="4">
        <f ca="1">_xll.DBRW($B$1,$B$2,$B$7,$B$3,$B$4,$B$5,$F525,$B$6,X$10,$A525,$B525)</f>
        <v>0</v>
      </c>
      <c r="Y525" s="4">
        <f ca="1">_xll.DBRW($B$1,$B$2,$B$7,$B$3,$B$4,$B$5,$F525,$B$6,Y$10,$A525,$B525)</f>
        <v>0</v>
      </c>
      <c r="Z525" s="4">
        <f ca="1">_xll.DBRW($B$1,$B$2,$B$7,$B$3,$B$4,$B$5,$F525,$B$6,Z$10,$A525,$B525)</f>
        <v>0</v>
      </c>
      <c r="AA525" s="4">
        <f ca="1">_xll.DBRW($B$1,$B$2,$B$7,$B$3,$B$4,$B$5,$F525,$B$6,AA$10,$A525,$B525)</f>
        <v>0</v>
      </c>
      <c r="AB525" s="4">
        <f ca="1">_xll.DBRW($B$1,$B$2,$B$7,$B$3,$B$4,$B$5,$F525,$B$6,AB$10,$A525,$B525)</f>
        <v>0</v>
      </c>
      <c r="AC525" s="4">
        <f ca="1">_xll.DBRW($B$1,$B$2,$B$7,$B$3,$B$4,$B$5,$F525,$B$6,AC$10,$A525,$B525)</f>
        <v>0</v>
      </c>
      <c r="AD525" s="4">
        <f ca="1">_xll.DBRW($B$1,$B$2,$B$7,$B$3,$B$4,$B$5,$F525,$B$6,AD$10,$A525,$B525)</f>
        <v>0</v>
      </c>
      <c r="AE525" s="4">
        <f ca="1">_xll.DBRW($B$1,$B$2,$B$7,$B$3,$B$4,$B$5,$F525,$B$6,AE$10,$A525,$B525)</f>
        <v>0</v>
      </c>
    </row>
    <row r="526" spans="1:31">
      <c r="A526" s="1" t="s">
        <v>150</v>
      </c>
      <c r="B526" s="5" t="s">
        <v>222</v>
      </c>
      <c r="C526" s="5" t="s">
        <v>196</v>
      </c>
      <c r="D526" s="5" t="s">
        <v>194</v>
      </c>
      <c r="E526" s="5" t="s">
        <v>21</v>
      </c>
      <c r="F526" s="5" t="s">
        <v>316</v>
      </c>
      <c r="G526" s="6"/>
      <c r="H526" s="6"/>
      <c r="I526" s="6"/>
      <c r="J526" s="6"/>
      <c r="K526" s="6"/>
      <c r="L526" s="4">
        <f ca="1">_xll.DBRW($B$1,$B$2,$B$7,$B$3,$B$4,$B$5,$F526,$B$6,L$10,$A526,$B526)</f>
        <v>0</v>
      </c>
      <c r="M526" s="4">
        <f ca="1">_xll.DBRW($B$1,$B$2,$B$7,$B$3,$B$4,$B$5,$F526,$B$6,M$10,$A526,$B526)</f>
        <v>0</v>
      </c>
      <c r="N526" s="4">
        <f ca="1">_xll.DBRW($B$1,$B$2,$B$7,$B$3,$B$4,$B$5,$F526,$B$6,N$10,$A526,$B526)</f>
        <v>0</v>
      </c>
      <c r="O526" s="4">
        <f ca="1">_xll.DBRW($B$1,$B$2,$B$7,$B$3,$B$4,$B$5,$F526,$B$6,O$10,$A526,$B526)</f>
        <v>0</v>
      </c>
      <c r="P526" s="4">
        <f ca="1">_xll.DBRW($B$1,$B$2,$B$7,$B$3,$B$4,$B$5,$F526,$B$6,P$10,$A526,$B526)</f>
        <v>0</v>
      </c>
      <c r="Q526" s="4">
        <f ca="1">_xll.DBRW($B$1,$B$2,$B$7,$B$3,$B$4,$B$5,$F526,$B$6,Q$10,$A526,$B526)</f>
        <v>0</v>
      </c>
      <c r="R526" s="4">
        <f ca="1">_xll.DBRW($B$1,$B$2,$B$7,$B$3,$B$4,$B$5,$F526,$B$6,R$10,$A526,$B526)</f>
        <v>0</v>
      </c>
      <c r="S526" s="4">
        <f ca="1">_xll.DBRW($B$1,$B$2,$B$7,$B$3,$B$4,$B$5,$F526,$B$6,S$10,$A526,$B526)</f>
        <v>0</v>
      </c>
      <c r="T526" s="4">
        <f ca="1">_xll.DBRW($B$1,$B$2,$B$7,$B$3,$B$4,$B$5,$F526,$B$6,T$10,$A526,$B526)</f>
        <v>0</v>
      </c>
      <c r="U526" s="4">
        <f ca="1">_xll.DBRW($B$1,$B$2,$B$7,$B$3,$B$4,$B$5,$F526,$B$6,U$10,$A526,$B526)</f>
        <v>0</v>
      </c>
      <c r="V526" s="4">
        <f ca="1">_xll.DBRW($B$1,$B$2,$B$7,$B$3,$B$4,$B$5,$F526,$B$6,V$10,$A526,$B526)</f>
        <v>0</v>
      </c>
      <c r="W526" s="4">
        <f ca="1">_xll.DBRW($B$1,$B$2,$B$7,$B$3,$B$4,$B$5,$F526,$B$6,W$10,$A526,$B526)</f>
        <v>0</v>
      </c>
      <c r="X526" s="4">
        <f ca="1">_xll.DBRW($B$1,$B$2,$B$7,$B$3,$B$4,$B$5,$F526,$B$6,X$10,$A526,$B526)</f>
        <v>0</v>
      </c>
      <c r="Y526" s="4">
        <f ca="1">_xll.DBRW($B$1,$B$2,$B$7,$B$3,$B$4,$B$5,$F526,$B$6,Y$10,$A526,$B526)</f>
        <v>0</v>
      </c>
      <c r="Z526" s="4">
        <f ca="1">_xll.DBRW($B$1,$B$2,$B$7,$B$3,$B$4,$B$5,$F526,$B$6,Z$10,$A526,$B526)</f>
        <v>0</v>
      </c>
      <c r="AA526" s="4">
        <f ca="1">_xll.DBRW($B$1,$B$2,$B$7,$B$3,$B$4,$B$5,$F526,$B$6,AA$10,$A526,$B526)</f>
        <v>0</v>
      </c>
      <c r="AB526" s="4">
        <f ca="1">_xll.DBRW($B$1,$B$2,$B$7,$B$3,$B$4,$B$5,$F526,$B$6,AB$10,$A526,$B526)</f>
        <v>0</v>
      </c>
      <c r="AC526" s="4">
        <f ca="1">_xll.DBRW($B$1,$B$2,$B$7,$B$3,$B$4,$B$5,$F526,$B$6,AC$10,$A526,$B526)</f>
        <v>0</v>
      </c>
      <c r="AD526" s="4">
        <f ca="1">_xll.DBRW($B$1,$B$2,$B$7,$B$3,$B$4,$B$5,$F526,$B$6,AD$10,$A526,$B526)</f>
        <v>0</v>
      </c>
      <c r="AE526" s="4">
        <f ca="1">_xll.DBRW($B$1,$B$2,$B$7,$B$3,$B$4,$B$5,$F526,$B$6,AE$10,$A526,$B526)</f>
        <v>0</v>
      </c>
    </row>
    <row r="527" spans="1:31">
      <c r="A527" s="1" t="s">
        <v>150</v>
      </c>
      <c r="B527" s="5" t="s">
        <v>223</v>
      </c>
      <c r="C527" s="5" t="s">
        <v>193</v>
      </c>
      <c r="D527" s="5" t="s">
        <v>21</v>
      </c>
      <c r="E527" s="5" t="s">
        <v>194</v>
      </c>
      <c r="F527" s="5" t="s">
        <v>316</v>
      </c>
      <c r="G527" s="6"/>
      <c r="H527" s="6"/>
      <c r="I527" s="6"/>
      <c r="J527" s="6"/>
      <c r="K527" s="6"/>
      <c r="L527" s="4">
        <f ca="1">_xll.DBRW($B$1,$B$2,$B$7,$B$3,$B$4,$B$5,$F527,$B$6,L$10,$A527,$B527)</f>
        <v>0</v>
      </c>
      <c r="M527" s="4">
        <f ca="1">_xll.DBRW($B$1,$B$2,$B$7,$B$3,$B$4,$B$5,$F527,$B$6,M$10,$A527,$B527)</f>
        <v>0</v>
      </c>
      <c r="N527" s="4">
        <f ca="1">_xll.DBRW($B$1,$B$2,$B$7,$B$3,$B$4,$B$5,$F527,$B$6,N$10,$A527,$B527)</f>
        <v>0</v>
      </c>
      <c r="O527" s="4">
        <f ca="1">_xll.DBRW($B$1,$B$2,$B$7,$B$3,$B$4,$B$5,$F527,$B$6,O$10,$A527,$B527)</f>
        <v>0</v>
      </c>
      <c r="P527" s="4">
        <f ca="1">_xll.DBRW($B$1,$B$2,$B$7,$B$3,$B$4,$B$5,$F527,$B$6,P$10,$A527,$B527)</f>
        <v>0</v>
      </c>
      <c r="Q527" s="4">
        <f ca="1">_xll.DBRW($B$1,$B$2,$B$7,$B$3,$B$4,$B$5,$F527,$B$6,Q$10,$A527,$B527)</f>
        <v>0</v>
      </c>
      <c r="R527" s="4">
        <f ca="1">_xll.DBRW($B$1,$B$2,$B$7,$B$3,$B$4,$B$5,$F527,$B$6,R$10,$A527,$B527)</f>
        <v>0</v>
      </c>
      <c r="S527" s="4">
        <f ca="1">_xll.DBRW($B$1,$B$2,$B$7,$B$3,$B$4,$B$5,$F527,$B$6,S$10,$A527,$B527)</f>
        <v>0</v>
      </c>
      <c r="T527" s="4">
        <f ca="1">_xll.DBRW($B$1,$B$2,$B$7,$B$3,$B$4,$B$5,$F527,$B$6,T$10,$A527,$B527)</f>
        <v>0</v>
      </c>
      <c r="U527" s="4">
        <f ca="1">_xll.DBRW($B$1,$B$2,$B$7,$B$3,$B$4,$B$5,$F527,$B$6,U$10,$A527,$B527)</f>
        <v>0</v>
      </c>
      <c r="V527" s="4">
        <f ca="1">_xll.DBRW($B$1,$B$2,$B$7,$B$3,$B$4,$B$5,$F527,$B$6,V$10,$A527,$B527)</f>
        <v>0</v>
      </c>
      <c r="W527" s="4">
        <f ca="1">_xll.DBRW($B$1,$B$2,$B$7,$B$3,$B$4,$B$5,$F527,$B$6,W$10,$A527,$B527)</f>
        <v>0</v>
      </c>
      <c r="X527" s="4">
        <f ca="1">_xll.DBRW($B$1,$B$2,$B$7,$B$3,$B$4,$B$5,$F527,$B$6,X$10,$A527,$B527)</f>
        <v>0</v>
      </c>
      <c r="Y527" s="4">
        <f ca="1">_xll.DBRW($B$1,$B$2,$B$7,$B$3,$B$4,$B$5,$F527,$B$6,Y$10,$A527,$B527)</f>
        <v>0</v>
      </c>
      <c r="Z527" s="4">
        <f ca="1">_xll.DBRW($B$1,$B$2,$B$7,$B$3,$B$4,$B$5,$F527,$B$6,Z$10,$A527,$B527)</f>
        <v>0</v>
      </c>
      <c r="AA527" s="4">
        <f ca="1">_xll.DBRW($B$1,$B$2,$B$7,$B$3,$B$4,$B$5,$F527,$B$6,AA$10,$A527,$B527)</f>
        <v>0</v>
      </c>
      <c r="AB527" s="4">
        <f ca="1">_xll.DBRW($B$1,$B$2,$B$7,$B$3,$B$4,$B$5,$F527,$B$6,AB$10,$A527,$B527)</f>
        <v>0</v>
      </c>
      <c r="AC527" s="4">
        <f ca="1">_xll.DBRW($B$1,$B$2,$B$7,$B$3,$B$4,$B$5,$F527,$B$6,AC$10,$A527,$B527)</f>
        <v>0</v>
      </c>
      <c r="AD527" s="4">
        <f ca="1">_xll.DBRW($B$1,$B$2,$B$7,$B$3,$B$4,$B$5,$F527,$B$6,AD$10,$A527,$B527)</f>
        <v>0</v>
      </c>
      <c r="AE527" s="4">
        <f ca="1">_xll.DBRW($B$1,$B$2,$B$7,$B$3,$B$4,$B$5,$F527,$B$6,AE$10,$A527,$B527)</f>
        <v>0</v>
      </c>
    </row>
    <row r="528" spans="1:31">
      <c r="A528" s="1" t="s">
        <v>150</v>
      </c>
      <c r="B528" s="5" t="s">
        <v>224</v>
      </c>
      <c r="C528" s="5" t="s">
        <v>196</v>
      </c>
      <c r="D528" s="5" t="s">
        <v>194</v>
      </c>
      <c r="E528" s="5" t="s">
        <v>21</v>
      </c>
      <c r="F528" s="5" t="s">
        <v>316</v>
      </c>
      <c r="G528" s="6"/>
      <c r="H528" s="6"/>
      <c r="I528" s="6"/>
      <c r="J528" s="6"/>
      <c r="K528" s="6"/>
      <c r="L528" s="4">
        <f ca="1">_xll.DBRW($B$1,$B$2,$B$7,$B$3,$B$4,$B$5,$F528,$B$6,L$10,$A528,$B528)</f>
        <v>0</v>
      </c>
      <c r="M528" s="4">
        <f ca="1">_xll.DBRW($B$1,$B$2,$B$7,$B$3,$B$4,$B$5,$F528,$B$6,M$10,$A528,$B528)</f>
        <v>0</v>
      </c>
      <c r="N528" s="4">
        <f ca="1">_xll.DBRW($B$1,$B$2,$B$7,$B$3,$B$4,$B$5,$F528,$B$6,N$10,$A528,$B528)</f>
        <v>0</v>
      </c>
      <c r="O528" s="4">
        <f ca="1">_xll.DBRW($B$1,$B$2,$B$7,$B$3,$B$4,$B$5,$F528,$B$6,O$10,$A528,$B528)</f>
        <v>0</v>
      </c>
      <c r="P528" s="4">
        <f ca="1">_xll.DBRW($B$1,$B$2,$B$7,$B$3,$B$4,$B$5,$F528,$B$6,P$10,$A528,$B528)</f>
        <v>0</v>
      </c>
      <c r="Q528" s="4">
        <f ca="1">_xll.DBRW($B$1,$B$2,$B$7,$B$3,$B$4,$B$5,$F528,$B$6,Q$10,$A528,$B528)</f>
        <v>0</v>
      </c>
      <c r="R528" s="4">
        <f ca="1">_xll.DBRW($B$1,$B$2,$B$7,$B$3,$B$4,$B$5,$F528,$B$6,R$10,$A528,$B528)</f>
        <v>0</v>
      </c>
      <c r="S528" s="4">
        <f ca="1">_xll.DBRW($B$1,$B$2,$B$7,$B$3,$B$4,$B$5,$F528,$B$6,S$10,$A528,$B528)</f>
        <v>0</v>
      </c>
      <c r="T528" s="4">
        <f ca="1">_xll.DBRW($B$1,$B$2,$B$7,$B$3,$B$4,$B$5,$F528,$B$6,T$10,$A528,$B528)</f>
        <v>0</v>
      </c>
      <c r="U528" s="4">
        <f ca="1">_xll.DBRW($B$1,$B$2,$B$7,$B$3,$B$4,$B$5,$F528,$B$6,U$10,$A528,$B528)</f>
        <v>0</v>
      </c>
      <c r="V528" s="4">
        <f ca="1">_xll.DBRW($B$1,$B$2,$B$7,$B$3,$B$4,$B$5,$F528,$B$6,V$10,$A528,$B528)</f>
        <v>0</v>
      </c>
      <c r="W528" s="4">
        <f ca="1">_xll.DBRW($B$1,$B$2,$B$7,$B$3,$B$4,$B$5,$F528,$B$6,W$10,$A528,$B528)</f>
        <v>0</v>
      </c>
      <c r="X528" s="4">
        <f ca="1">_xll.DBRW($B$1,$B$2,$B$7,$B$3,$B$4,$B$5,$F528,$B$6,X$10,$A528,$B528)</f>
        <v>0</v>
      </c>
      <c r="Y528" s="4">
        <f ca="1">_xll.DBRW($B$1,$B$2,$B$7,$B$3,$B$4,$B$5,$F528,$B$6,Y$10,$A528,$B528)</f>
        <v>0</v>
      </c>
      <c r="Z528" s="4">
        <f ca="1">_xll.DBRW($B$1,$B$2,$B$7,$B$3,$B$4,$B$5,$F528,$B$6,Z$10,$A528,$B528)</f>
        <v>0</v>
      </c>
      <c r="AA528" s="4">
        <f ca="1">_xll.DBRW($B$1,$B$2,$B$7,$B$3,$B$4,$B$5,$F528,$B$6,AA$10,$A528,$B528)</f>
        <v>0</v>
      </c>
      <c r="AB528" s="4">
        <f ca="1">_xll.DBRW($B$1,$B$2,$B$7,$B$3,$B$4,$B$5,$F528,$B$6,AB$10,$A528,$B528)</f>
        <v>0</v>
      </c>
      <c r="AC528" s="4">
        <f ca="1">_xll.DBRW($B$1,$B$2,$B$7,$B$3,$B$4,$B$5,$F528,$B$6,AC$10,$A528,$B528)</f>
        <v>0</v>
      </c>
      <c r="AD528" s="4">
        <f ca="1">_xll.DBRW($B$1,$B$2,$B$7,$B$3,$B$4,$B$5,$F528,$B$6,AD$10,$A528,$B528)</f>
        <v>0</v>
      </c>
      <c r="AE528" s="4">
        <f ca="1">_xll.DBRW($B$1,$B$2,$B$7,$B$3,$B$4,$B$5,$F528,$B$6,AE$10,$A528,$B528)</f>
        <v>0</v>
      </c>
    </row>
    <row r="529" spans="1:31">
      <c r="A529" s="1" t="s">
        <v>150</v>
      </c>
      <c r="B529" s="5" t="s">
        <v>225</v>
      </c>
      <c r="C529" s="5" t="s">
        <v>226</v>
      </c>
      <c r="D529" s="5" t="s">
        <v>21</v>
      </c>
      <c r="E529" s="5" t="s">
        <v>227</v>
      </c>
      <c r="F529" s="5" t="s">
        <v>316</v>
      </c>
      <c r="G529" s="6"/>
      <c r="H529" s="6"/>
      <c r="I529" s="6"/>
      <c r="J529" s="6"/>
      <c r="K529" s="6"/>
      <c r="L529" s="4">
        <f ca="1">_xll.DBRW($B$1,$B$2,$B$7,$B$3,$B$4,$B$5,$F529,$B$6,L$10,$A529,$B529)</f>
        <v>0</v>
      </c>
      <c r="M529" s="4">
        <f ca="1">_xll.DBRW($B$1,$B$2,$B$7,$B$3,$B$4,$B$5,$F529,$B$6,M$10,$A529,$B529)</f>
        <v>0</v>
      </c>
      <c r="N529" s="4">
        <f ca="1">_xll.DBRW($B$1,$B$2,$B$7,$B$3,$B$4,$B$5,$F529,$B$6,N$10,$A529,$B529)</f>
        <v>0</v>
      </c>
      <c r="O529" s="4">
        <f ca="1">_xll.DBRW($B$1,$B$2,$B$7,$B$3,$B$4,$B$5,$F529,$B$6,O$10,$A529,$B529)</f>
        <v>0</v>
      </c>
      <c r="P529" s="4">
        <f ca="1">_xll.DBRW($B$1,$B$2,$B$7,$B$3,$B$4,$B$5,$F529,$B$6,P$10,$A529,$B529)</f>
        <v>0</v>
      </c>
      <c r="Q529" s="4">
        <f ca="1">_xll.DBRW($B$1,$B$2,$B$7,$B$3,$B$4,$B$5,$F529,$B$6,Q$10,$A529,$B529)</f>
        <v>0</v>
      </c>
      <c r="R529" s="4">
        <f ca="1">_xll.DBRW($B$1,$B$2,$B$7,$B$3,$B$4,$B$5,$F529,$B$6,R$10,$A529,$B529)</f>
        <v>0</v>
      </c>
      <c r="S529" s="4">
        <f ca="1">_xll.DBRW($B$1,$B$2,$B$7,$B$3,$B$4,$B$5,$F529,$B$6,S$10,$A529,$B529)</f>
        <v>0</v>
      </c>
      <c r="T529" s="4">
        <f ca="1">_xll.DBRW($B$1,$B$2,$B$7,$B$3,$B$4,$B$5,$F529,$B$6,T$10,$A529,$B529)</f>
        <v>0</v>
      </c>
      <c r="U529" s="4">
        <f ca="1">_xll.DBRW($B$1,$B$2,$B$7,$B$3,$B$4,$B$5,$F529,$B$6,U$10,$A529,$B529)</f>
        <v>0</v>
      </c>
      <c r="V529" s="4">
        <f ca="1">_xll.DBRW($B$1,$B$2,$B$7,$B$3,$B$4,$B$5,$F529,$B$6,V$10,$A529,$B529)</f>
        <v>0</v>
      </c>
      <c r="W529" s="4">
        <f ca="1">_xll.DBRW($B$1,$B$2,$B$7,$B$3,$B$4,$B$5,$F529,$B$6,W$10,$A529,$B529)</f>
        <v>0</v>
      </c>
      <c r="X529" s="4">
        <f ca="1">_xll.DBRW($B$1,$B$2,$B$7,$B$3,$B$4,$B$5,$F529,$B$6,X$10,$A529,$B529)</f>
        <v>0</v>
      </c>
      <c r="Y529" s="4">
        <f ca="1">_xll.DBRW($B$1,$B$2,$B$7,$B$3,$B$4,$B$5,$F529,$B$6,Y$10,$A529,$B529)</f>
        <v>0</v>
      </c>
      <c r="Z529" s="4">
        <f ca="1">_xll.DBRW($B$1,$B$2,$B$7,$B$3,$B$4,$B$5,$F529,$B$6,Z$10,$A529,$B529)</f>
        <v>0</v>
      </c>
      <c r="AA529" s="4">
        <f ca="1">_xll.DBRW($B$1,$B$2,$B$7,$B$3,$B$4,$B$5,$F529,$B$6,AA$10,$A529,$B529)</f>
        <v>0</v>
      </c>
      <c r="AB529" s="4">
        <f ca="1">_xll.DBRW($B$1,$B$2,$B$7,$B$3,$B$4,$B$5,$F529,$B$6,AB$10,$A529,$B529)</f>
        <v>0</v>
      </c>
      <c r="AC529" s="4">
        <f ca="1">_xll.DBRW($B$1,$B$2,$B$7,$B$3,$B$4,$B$5,$F529,$B$6,AC$10,$A529,$B529)</f>
        <v>0</v>
      </c>
      <c r="AD529" s="4">
        <f ca="1">_xll.DBRW($B$1,$B$2,$B$7,$B$3,$B$4,$B$5,$F529,$B$6,AD$10,$A529,$B529)</f>
        <v>0</v>
      </c>
      <c r="AE529" s="4">
        <f ca="1">_xll.DBRW($B$1,$B$2,$B$7,$B$3,$B$4,$B$5,$F529,$B$6,AE$10,$A529,$B529)</f>
        <v>0</v>
      </c>
    </row>
    <row r="530" spans="1:31">
      <c r="A530" s="1" t="s">
        <v>150</v>
      </c>
      <c r="B530" s="5" t="s">
        <v>228</v>
      </c>
      <c r="C530" s="5" t="s">
        <v>229</v>
      </c>
      <c r="D530" s="5" t="s">
        <v>227</v>
      </c>
      <c r="E530" s="5" t="s">
        <v>21</v>
      </c>
      <c r="F530" s="5" t="s">
        <v>316</v>
      </c>
      <c r="G530" s="6"/>
      <c r="H530" s="6"/>
      <c r="I530" s="6"/>
      <c r="J530" s="6"/>
      <c r="K530" s="6"/>
      <c r="L530" s="4">
        <f ca="1">_xll.DBRW($B$1,$B$2,$B$7,$B$3,$B$4,$B$5,$F530,$B$6,L$10,$A530,$B530)</f>
        <v>0</v>
      </c>
      <c r="M530" s="4">
        <f ca="1">_xll.DBRW($B$1,$B$2,$B$7,$B$3,$B$4,$B$5,$F530,$B$6,M$10,$A530,$B530)</f>
        <v>0</v>
      </c>
      <c r="N530" s="4">
        <f ca="1">_xll.DBRW($B$1,$B$2,$B$7,$B$3,$B$4,$B$5,$F530,$B$6,N$10,$A530,$B530)</f>
        <v>0</v>
      </c>
      <c r="O530" s="4">
        <f ca="1">_xll.DBRW($B$1,$B$2,$B$7,$B$3,$B$4,$B$5,$F530,$B$6,O$10,$A530,$B530)</f>
        <v>0</v>
      </c>
      <c r="P530" s="4">
        <f ca="1">_xll.DBRW($B$1,$B$2,$B$7,$B$3,$B$4,$B$5,$F530,$B$6,P$10,$A530,$B530)</f>
        <v>0</v>
      </c>
      <c r="Q530" s="4">
        <f ca="1">_xll.DBRW($B$1,$B$2,$B$7,$B$3,$B$4,$B$5,$F530,$B$6,Q$10,$A530,$B530)</f>
        <v>0</v>
      </c>
      <c r="R530" s="4">
        <f ca="1">_xll.DBRW($B$1,$B$2,$B$7,$B$3,$B$4,$B$5,$F530,$B$6,R$10,$A530,$B530)</f>
        <v>0</v>
      </c>
      <c r="S530" s="4">
        <f ca="1">_xll.DBRW($B$1,$B$2,$B$7,$B$3,$B$4,$B$5,$F530,$B$6,S$10,$A530,$B530)</f>
        <v>0</v>
      </c>
      <c r="T530" s="4">
        <f ca="1">_xll.DBRW($B$1,$B$2,$B$7,$B$3,$B$4,$B$5,$F530,$B$6,T$10,$A530,$B530)</f>
        <v>0</v>
      </c>
      <c r="U530" s="4">
        <f ca="1">_xll.DBRW($B$1,$B$2,$B$7,$B$3,$B$4,$B$5,$F530,$B$6,U$10,$A530,$B530)</f>
        <v>0</v>
      </c>
      <c r="V530" s="4">
        <f ca="1">_xll.DBRW($B$1,$B$2,$B$7,$B$3,$B$4,$B$5,$F530,$B$6,V$10,$A530,$B530)</f>
        <v>0</v>
      </c>
      <c r="W530" s="4">
        <f ca="1">_xll.DBRW($B$1,$B$2,$B$7,$B$3,$B$4,$B$5,$F530,$B$6,W$10,$A530,$B530)</f>
        <v>0</v>
      </c>
      <c r="X530" s="4">
        <f ca="1">_xll.DBRW($B$1,$B$2,$B$7,$B$3,$B$4,$B$5,$F530,$B$6,X$10,$A530,$B530)</f>
        <v>0</v>
      </c>
      <c r="Y530" s="4">
        <f ca="1">_xll.DBRW($B$1,$B$2,$B$7,$B$3,$B$4,$B$5,$F530,$B$6,Y$10,$A530,$B530)</f>
        <v>0</v>
      </c>
      <c r="Z530" s="4">
        <f ca="1">_xll.DBRW($B$1,$B$2,$B$7,$B$3,$B$4,$B$5,$F530,$B$6,Z$10,$A530,$B530)</f>
        <v>0</v>
      </c>
      <c r="AA530" s="4">
        <f ca="1">_xll.DBRW($B$1,$B$2,$B$7,$B$3,$B$4,$B$5,$F530,$B$6,AA$10,$A530,$B530)</f>
        <v>0</v>
      </c>
      <c r="AB530" s="4">
        <f ca="1">_xll.DBRW($B$1,$B$2,$B$7,$B$3,$B$4,$B$5,$F530,$B$6,AB$10,$A530,$B530)</f>
        <v>0</v>
      </c>
      <c r="AC530" s="4">
        <f ca="1">_xll.DBRW($B$1,$B$2,$B$7,$B$3,$B$4,$B$5,$F530,$B$6,AC$10,$A530,$B530)</f>
        <v>0</v>
      </c>
      <c r="AD530" s="4">
        <f ca="1">_xll.DBRW($B$1,$B$2,$B$7,$B$3,$B$4,$B$5,$F530,$B$6,AD$10,$A530,$B530)</f>
        <v>0</v>
      </c>
      <c r="AE530" s="4">
        <f ca="1">_xll.DBRW($B$1,$B$2,$B$7,$B$3,$B$4,$B$5,$F530,$B$6,AE$10,$A530,$B530)</f>
        <v>0</v>
      </c>
    </row>
    <row r="531" spans="1:31">
      <c r="A531" s="1" t="s">
        <v>150</v>
      </c>
      <c r="B531" s="5" t="s">
        <v>230</v>
      </c>
      <c r="C531" s="5" t="s">
        <v>210</v>
      </c>
      <c r="D531" s="5" t="s">
        <v>21</v>
      </c>
      <c r="E531" s="5" t="s">
        <v>211</v>
      </c>
      <c r="F531" s="5" t="s">
        <v>316</v>
      </c>
      <c r="G531" s="6"/>
      <c r="H531" s="6"/>
      <c r="I531" s="6"/>
      <c r="J531" s="6"/>
      <c r="K531" s="6"/>
      <c r="L531" s="4">
        <f ca="1">_xll.DBRW($B$1,$B$2,$B$7,$B$3,$B$4,$B$5,$F531,$B$6,L$10,$A531,$B531)</f>
        <v>0</v>
      </c>
      <c r="M531" s="4">
        <f ca="1">_xll.DBRW($B$1,$B$2,$B$7,$B$3,$B$4,$B$5,$F531,$B$6,M$10,$A531,$B531)</f>
        <v>0</v>
      </c>
      <c r="N531" s="4">
        <f ca="1">_xll.DBRW($B$1,$B$2,$B$7,$B$3,$B$4,$B$5,$F531,$B$6,N$10,$A531,$B531)</f>
        <v>0</v>
      </c>
      <c r="O531" s="4">
        <f ca="1">_xll.DBRW($B$1,$B$2,$B$7,$B$3,$B$4,$B$5,$F531,$B$6,O$10,$A531,$B531)</f>
        <v>0</v>
      </c>
      <c r="P531" s="4">
        <f ca="1">_xll.DBRW($B$1,$B$2,$B$7,$B$3,$B$4,$B$5,$F531,$B$6,P$10,$A531,$B531)</f>
        <v>0</v>
      </c>
      <c r="Q531" s="4">
        <f ca="1">_xll.DBRW($B$1,$B$2,$B$7,$B$3,$B$4,$B$5,$F531,$B$6,Q$10,$A531,$B531)</f>
        <v>0</v>
      </c>
      <c r="R531" s="4">
        <f ca="1">_xll.DBRW($B$1,$B$2,$B$7,$B$3,$B$4,$B$5,$F531,$B$6,R$10,$A531,$B531)</f>
        <v>0</v>
      </c>
      <c r="S531" s="4">
        <f ca="1">_xll.DBRW($B$1,$B$2,$B$7,$B$3,$B$4,$B$5,$F531,$B$6,S$10,$A531,$B531)</f>
        <v>0</v>
      </c>
      <c r="T531" s="4">
        <f ca="1">_xll.DBRW($B$1,$B$2,$B$7,$B$3,$B$4,$B$5,$F531,$B$6,T$10,$A531,$B531)</f>
        <v>0</v>
      </c>
      <c r="U531" s="4">
        <f ca="1">_xll.DBRW($B$1,$B$2,$B$7,$B$3,$B$4,$B$5,$F531,$B$6,U$10,$A531,$B531)</f>
        <v>0</v>
      </c>
      <c r="V531" s="4">
        <f ca="1">_xll.DBRW($B$1,$B$2,$B$7,$B$3,$B$4,$B$5,$F531,$B$6,V$10,$A531,$B531)</f>
        <v>0</v>
      </c>
      <c r="W531" s="4">
        <f ca="1">_xll.DBRW($B$1,$B$2,$B$7,$B$3,$B$4,$B$5,$F531,$B$6,W$10,$A531,$B531)</f>
        <v>0</v>
      </c>
      <c r="X531" s="4">
        <f ca="1">_xll.DBRW($B$1,$B$2,$B$7,$B$3,$B$4,$B$5,$F531,$B$6,X$10,$A531,$B531)</f>
        <v>0</v>
      </c>
      <c r="Y531" s="4">
        <f ca="1">_xll.DBRW($B$1,$B$2,$B$7,$B$3,$B$4,$B$5,$F531,$B$6,Y$10,$A531,$B531)</f>
        <v>0</v>
      </c>
      <c r="Z531" s="4">
        <f ca="1">_xll.DBRW($B$1,$B$2,$B$7,$B$3,$B$4,$B$5,$F531,$B$6,Z$10,$A531,$B531)</f>
        <v>0</v>
      </c>
      <c r="AA531" s="4">
        <f ca="1">_xll.DBRW($B$1,$B$2,$B$7,$B$3,$B$4,$B$5,$F531,$B$6,AA$10,$A531,$B531)</f>
        <v>0</v>
      </c>
      <c r="AB531" s="4">
        <f ca="1">_xll.DBRW($B$1,$B$2,$B$7,$B$3,$B$4,$B$5,$F531,$B$6,AB$10,$A531,$B531)</f>
        <v>0</v>
      </c>
      <c r="AC531" s="4">
        <f ca="1">_xll.DBRW($B$1,$B$2,$B$7,$B$3,$B$4,$B$5,$F531,$B$6,AC$10,$A531,$B531)</f>
        <v>0</v>
      </c>
      <c r="AD531" s="4">
        <f ca="1">_xll.DBRW($B$1,$B$2,$B$7,$B$3,$B$4,$B$5,$F531,$B$6,AD$10,$A531,$B531)</f>
        <v>0</v>
      </c>
      <c r="AE531" s="4">
        <f ca="1">_xll.DBRW($B$1,$B$2,$B$7,$B$3,$B$4,$B$5,$F531,$B$6,AE$10,$A531,$B531)</f>
        <v>0</v>
      </c>
    </row>
    <row r="532" spans="1:31">
      <c r="A532" s="1" t="s">
        <v>150</v>
      </c>
      <c r="B532" s="5" t="s">
        <v>231</v>
      </c>
      <c r="C532" s="5" t="s">
        <v>213</v>
      </c>
      <c r="D532" s="5" t="s">
        <v>211</v>
      </c>
      <c r="E532" s="5" t="s">
        <v>21</v>
      </c>
      <c r="F532" s="5" t="s">
        <v>316</v>
      </c>
      <c r="G532" s="6"/>
      <c r="H532" s="6"/>
      <c r="I532" s="6"/>
      <c r="J532" s="6"/>
      <c r="K532" s="6"/>
      <c r="L532" s="4">
        <f ca="1">_xll.DBRW($B$1,$B$2,$B$7,$B$3,$B$4,$B$5,$F532,$B$6,L$10,$A532,$B532)</f>
        <v>0</v>
      </c>
      <c r="M532" s="4">
        <f ca="1">_xll.DBRW($B$1,$B$2,$B$7,$B$3,$B$4,$B$5,$F532,$B$6,M$10,$A532,$B532)</f>
        <v>0</v>
      </c>
      <c r="N532" s="4">
        <f ca="1">_xll.DBRW($B$1,$B$2,$B$7,$B$3,$B$4,$B$5,$F532,$B$6,N$10,$A532,$B532)</f>
        <v>0</v>
      </c>
      <c r="O532" s="4">
        <f ca="1">_xll.DBRW($B$1,$B$2,$B$7,$B$3,$B$4,$B$5,$F532,$B$6,O$10,$A532,$B532)</f>
        <v>0</v>
      </c>
      <c r="P532" s="4">
        <f ca="1">_xll.DBRW($B$1,$B$2,$B$7,$B$3,$B$4,$B$5,$F532,$B$6,P$10,$A532,$B532)</f>
        <v>0</v>
      </c>
      <c r="Q532" s="4">
        <f ca="1">_xll.DBRW($B$1,$B$2,$B$7,$B$3,$B$4,$B$5,$F532,$B$6,Q$10,$A532,$B532)</f>
        <v>0</v>
      </c>
      <c r="R532" s="4">
        <f ca="1">_xll.DBRW($B$1,$B$2,$B$7,$B$3,$B$4,$B$5,$F532,$B$6,R$10,$A532,$B532)</f>
        <v>0</v>
      </c>
      <c r="S532" s="4">
        <f ca="1">_xll.DBRW($B$1,$B$2,$B$7,$B$3,$B$4,$B$5,$F532,$B$6,S$10,$A532,$B532)</f>
        <v>0</v>
      </c>
      <c r="T532" s="4">
        <f ca="1">_xll.DBRW($B$1,$B$2,$B$7,$B$3,$B$4,$B$5,$F532,$B$6,T$10,$A532,$B532)</f>
        <v>0</v>
      </c>
      <c r="U532" s="4">
        <f ca="1">_xll.DBRW($B$1,$B$2,$B$7,$B$3,$B$4,$B$5,$F532,$B$6,U$10,$A532,$B532)</f>
        <v>0</v>
      </c>
      <c r="V532" s="4">
        <f ca="1">_xll.DBRW($B$1,$B$2,$B$7,$B$3,$B$4,$B$5,$F532,$B$6,V$10,$A532,$B532)</f>
        <v>0</v>
      </c>
      <c r="W532" s="4">
        <f ca="1">_xll.DBRW($B$1,$B$2,$B$7,$B$3,$B$4,$B$5,$F532,$B$6,W$10,$A532,$B532)</f>
        <v>0</v>
      </c>
      <c r="X532" s="4">
        <f ca="1">_xll.DBRW($B$1,$B$2,$B$7,$B$3,$B$4,$B$5,$F532,$B$6,X$10,$A532,$B532)</f>
        <v>0</v>
      </c>
      <c r="Y532" s="4">
        <f ca="1">_xll.DBRW($B$1,$B$2,$B$7,$B$3,$B$4,$B$5,$F532,$B$6,Y$10,$A532,$B532)</f>
        <v>0</v>
      </c>
      <c r="Z532" s="4">
        <f ca="1">_xll.DBRW($B$1,$B$2,$B$7,$B$3,$B$4,$B$5,$F532,$B$6,Z$10,$A532,$B532)</f>
        <v>0</v>
      </c>
      <c r="AA532" s="4">
        <f ca="1">_xll.DBRW($B$1,$B$2,$B$7,$B$3,$B$4,$B$5,$F532,$B$6,AA$10,$A532,$B532)</f>
        <v>0</v>
      </c>
      <c r="AB532" s="4">
        <f ca="1">_xll.DBRW($B$1,$B$2,$B$7,$B$3,$B$4,$B$5,$F532,$B$6,AB$10,$A532,$B532)</f>
        <v>0</v>
      </c>
      <c r="AC532" s="4">
        <f ca="1">_xll.DBRW($B$1,$B$2,$B$7,$B$3,$B$4,$B$5,$F532,$B$6,AC$10,$A532,$B532)</f>
        <v>0</v>
      </c>
      <c r="AD532" s="4">
        <f ca="1">_xll.DBRW($B$1,$B$2,$B$7,$B$3,$B$4,$B$5,$F532,$B$6,AD$10,$A532,$B532)</f>
        <v>0</v>
      </c>
      <c r="AE532" s="4">
        <f ca="1">_xll.DBRW($B$1,$B$2,$B$7,$B$3,$B$4,$B$5,$F532,$B$6,AE$10,$A532,$B532)</f>
        <v>0</v>
      </c>
    </row>
    <row r="533" spans="1:31">
      <c r="A533" s="1" t="s">
        <v>150</v>
      </c>
      <c r="B533" s="5" t="s">
        <v>232</v>
      </c>
      <c r="C533" s="5" t="s">
        <v>233</v>
      </c>
      <c r="D533" s="5" t="s">
        <v>21</v>
      </c>
      <c r="E533" s="5" t="s">
        <v>234</v>
      </c>
      <c r="F533" s="5" t="s">
        <v>316</v>
      </c>
      <c r="G533" s="6"/>
      <c r="H533" s="6"/>
      <c r="I533" s="6"/>
      <c r="J533" s="6"/>
      <c r="K533" s="6"/>
      <c r="L533" s="4">
        <f ca="1">_xll.DBRW($B$1,$B$2,$B$7,$B$3,$B$4,$B$5,$F533,$B$6,L$10,$A533,$B533)</f>
        <v>0</v>
      </c>
      <c r="M533" s="4">
        <f ca="1">_xll.DBRW($B$1,$B$2,$B$7,$B$3,$B$4,$B$5,$F533,$B$6,M$10,$A533,$B533)</f>
        <v>0</v>
      </c>
      <c r="N533" s="4">
        <f ca="1">_xll.DBRW($B$1,$B$2,$B$7,$B$3,$B$4,$B$5,$F533,$B$6,N$10,$A533,$B533)</f>
        <v>0</v>
      </c>
      <c r="O533" s="4">
        <f ca="1">_xll.DBRW($B$1,$B$2,$B$7,$B$3,$B$4,$B$5,$F533,$B$6,O$10,$A533,$B533)</f>
        <v>0</v>
      </c>
      <c r="P533" s="4">
        <f ca="1">_xll.DBRW($B$1,$B$2,$B$7,$B$3,$B$4,$B$5,$F533,$B$6,P$10,$A533,$B533)</f>
        <v>0</v>
      </c>
      <c r="Q533" s="4">
        <f ca="1">_xll.DBRW($B$1,$B$2,$B$7,$B$3,$B$4,$B$5,$F533,$B$6,Q$10,$A533,$B533)</f>
        <v>0</v>
      </c>
      <c r="R533" s="4">
        <f ca="1">_xll.DBRW($B$1,$B$2,$B$7,$B$3,$B$4,$B$5,$F533,$B$6,R$10,$A533,$B533)</f>
        <v>0</v>
      </c>
      <c r="S533" s="4">
        <f ca="1">_xll.DBRW($B$1,$B$2,$B$7,$B$3,$B$4,$B$5,$F533,$B$6,S$10,$A533,$B533)</f>
        <v>0</v>
      </c>
      <c r="T533" s="4">
        <f ca="1">_xll.DBRW($B$1,$B$2,$B$7,$B$3,$B$4,$B$5,$F533,$B$6,T$10,$A533,$B533)</f>
        <v>0</v>
      </c>
      <c r="U533" s="4">
        <f ca="1">_xll.DBRW($B$1,$B$2,$B$7,$B$3,$B$4,$B$5,$F533,$B$6,U$10,$A533,$B533)</f>
        <v>0</v>
      </c>
      <c r="V533" s="4">
        <f ca="1">_xll.DBRW($B$1,$B$2,$B$7,$B$3,$B$4,$B$5,$F533,$B$6,V$10,$A533,$B533)</f>
        <v>0</v>
      </c>
      <c r="W533" s="4">
        <f ca="1">_xll.DBRW($B$1,$B$2,$B$7,$B$3,$B$4,$B$5,$F533,$B$6,W$10,$A533,$B533)</f>
        <v>0</v>
      </c>
      <c r="X533" s="4">
        <f ca="1">_xll.DBRW($B$1,$B$2,$B$7,$B$3,$B$4,$B$5,$F533,$B$6,X$10,$A533,$B533)</f>
        <v>0</v>
      </c>
      <c r="Y533" s="4">
        <f ca="1">_xll.DBRW($B$1,$B$2,$B$7,$B$3,$B$4,$B$5,$F533,$B$6,Y$10,$A533,$B533)</f>
        <v>0</v>
      </c>
      <c r="Z533" s="4">
        <f ca="1">_xll.DBRW($B$1,$B$2,$B$7,$B$3,$B$4,$B$5,$F533,$B$6,Z$10,$A533,$B533)</f>
        <v>0</v>
      </c>
      <c r="AA533" s="4">
        <f ca="1">_xll.DBRW($B$1,$B$2,$B$7,$B$3,$B$4,$B$5,$F533,$B$6,AA$10,$A533,$B533)</f>
        <v>0</v>
      </c>
      <c r="AB533" s="4">
        <f ca="1">_xll.DBRW($B$1,$B$2,$B$7,$B$3,$B$4,$B$5,$F533,$B$6,AB$10,$A533,$B533)</f>
        <v>0</v>
      </c>
      <c r="AC533" s="4">
        <f ca="1">_xll.DBRW($B$1,$B$2,$B$7,$B$3,$B$4,$B$5,$F533,$B$6,AC$10,$A533,$B533)</f>
        <v>0</v>
      </c>
      <c r="AD533" s="4">
        <f ca="1">_xll.DBRW($B$1,$B$2,$B$7,$B$3,$B$4,$B$5,$F533,$B$6,AD$10,$A533,$B533)</f>
        <v>0</v>
      </c>
      <c r="AE533" s="4">
        <f ca="1">_xll.DBRW($B$1,$B$2,$B$7,$B$3,$B$4,$B$5,$F533,$B$6,AE$10,$A533,$B533)</f>
        <v>0</v>
      </c>
    </row>
    <row r="534" spans="1:31">
      <c r="A534" s="1" t="s">
        <v>150</v>
      </c>
      <c r="B534" s="5" t="s">
        <v>235</v>
      </c>
      <c r="C534" s="5" t="s">
        <v>236</v>
      </c>
      <c r="D534" s="5" t="s">
        <v>234</v>
      </c>
      <c r="E534" s="5" t="s">
        <v>21</v>
      </c>
      <c r="F534" s="5" t="s">
        <v>316</v>
      </c>
      <c r="G534" s="6"/>
      <c r="H534" s="6"/>
      <c r="I534" s="6"/>
      <c r="J534" s="6"/>
      <c r="K534" s="6"/>
      <c r="L534" s="4">
        <f ca="1">_xll.DBRW($B$1,$B$2,$B$7,$B$3,$B$4,$B$5,$F534,$B$6,L$10,$A534,$B534)</f>
        <v>0</v>
      </c>
      <c r="M534" s="4">
        <f ca="1">_xll.DBRW($B$1,$B$2,$B$7,$B$3,$B$4,$B$5,$F534,$B$6,M$10,$A534,$B534)</f>
        <v>0</v>
      </c>
      <c r="N534" s="4">
        <f ca="1">_xll.DBRW($B$1,$B$2,$B$7,$B$3,$B$4,$B$5,$F534,$B$6,N$10,$A534,$B534)</f>
        <v>0</v>
      </c>
      <c r="O534" s="4">
        <f ca="1">_xll.DBRW($B$1,$B$2,$B$7,$B$3,$B$4,$B$5,$F534,$B$6,O$10,$A534,$B534)</f>
        <v>0</v>
      </c>
      <c r="P534" s="4">
        <f ca="1">_xll.DBRW($B$1,$B$2,$B$7,$B$3,$B$4,$B$5,$F534,$B$6,P$10,$A534,$B534)</f>
        <v>0</v>
      </c>
      <c r="Q534" s="4">
        <f ca="1">_xll.DBRW($B$1,$B$2,$B$7,$B$3,$B$4,$B$5,$F534,$B$6,Q$10,$A534,$B534)</f>
        <v>0</v>
      </c>
      <c r="R534" s="4">
        <f ca="1">_xll.DBRW($B$1,$B$2,$B$7,$B$3,$B$4,$B$5,$F534,$B$6,R$10,$A534,$B534)</f>
        <v>0</v>
      </c>
      <c r="S534" s="4">
        <f ca="1">_xll.DBRW($B$1,$B$2,$B$7,$B$3,$B$4,$B$5,$F534,$B$6,S$10,$A534,$B534)</f>
        <v>0</v>
      </c>
      <c r="T534" s="4">
        <f ca="1">_xll.DBRW($B$1,$B$2,$B$7,$B$3,$B$4,$B$5,$F534,$B$6,T$10,$A534,$B534)</f>
        <v>0</v>
      </c>
      <c r="U534" s="4">
        <f ca="1">_xll.DBRW($B$1,$B$2,$B$7,$B$3,$B$4,$B$5,$F534,$B$6,U$10,$A534,$B534)</f>
        <v>0</v>
      </c>
      <c r="V534" s="4">
        <f ca="1">_xll.DBRW($B$1,$B$2,$B$7,$B$3,$B$4,$B$5,$F534,$B$6,V$10,$A534,$B534)</f>
        <v>0</v>
      </c>
      <c r="W534" s="4">
        <f ca="1">_xll.DBRW($B$1,$B$2,$B$7,$B$3,$B$4,$B$5,$F534,$B$6,W$10,$A534,$B534)</f>
        <v>0</v>
      </c>
      <c r="X534" s="4">
        <f ca="1">_xll.DBRW($B$1,$B$2,$B$7,$B$3,$B$4,$B$5,$F534,$B$6,X$10,$A534,$B534)</f>
        <v>0</v>
      </c>
      <c r="Y534" s="4">
        <f ca="1">_xll.DBRW($B$1,$B$2,$B$7,$B$3,$B$4,$B$5,$F534,$B$6,Y$10,$A534,$B534)</f>
        <v>0</v>
      </c>
      <c r="Z534" s="4">
        <f ca="1">_xll.DBRW($B$1,$B$2,$B$7,$B$3,$B$4,$B$5,$F534,$B$6,Z$10,$A534,$B534)</f>
        <v>0</v>
      </c>
      <c r="AA534" s="4">
        <f ca="1">_xll.DBRW($B$1,$B$2,$B$7,$B$3,$B$4,$B$5,$F534,$B$6,AA$10,$A534,$B534)</f>
        <v>0</v>
      </c>
      <c r="AB534" s="4">
        <f ca="1">_xll.DBRW($B$1,$B$2,$B$7,$B$3,$B$4,$B$5,$F534,$B$6,AB$10,$A534,$B534)</f>
        <v>0</v>
      </c>
      <c r="AC534" s="4">
        <f ca="1">_xll.DBRW($B$1,$B$2,$B$7,$B$3,$B$4,$B$5,$F534,$B$6,AC$10,$A534,$B534)</f>
        <v>0</v>
      </c>
      <c r="AD534" s="4">
        <f ca="1">_xll.DBRW($B$1,$B$2,$B$7,$B$3,$B$4,$B$5,$F534,$B$6,AD$10,$A534,$B534)</f>
        <v>0</v>
      </c>
      <c r="AE534" s="4">
        <f ca="1">_xll.DBRW($B$1,$B$2,$B$7,$B$3,$B$4,$B$5,$F534,$B$6,AE$10,$A534,$B534)</f>
        <v>0</v>
      </c>
    </row>
    <row r="535" spans="1:31">
      <c r="A535" s="1" t="s">
        <v>150</v>
      </c>
      <c r="B535" s="5" t="s">
        <v>237</v>
      </c>
      <c r="C535" s="5" t="s">
        <v>238</v>
      </c>
      <c r="D535" s="5" t="s">
        <v>21</v>
      </c>
      <c r="E535" s="5" t="s">
        <v>239</v>
      </c>
      <c r="F535" s="5" t="s">
        <v>316</v>
      </c>
      <c r="G535" s="6"/>
      <c r="H535" s="6"/>
      <c r="I535" s="6"/>
      <c r="J535" s="6"/>
      <c r="K535" s="6"/>
      <c r="L535" s="4">
        <f ca="1">_xll.DBRW($B$1,$B$2,$B$7,$B$3,$B$4,$B$5,$F535,$B$6,L$10,$A535,$B535)</f>
        <v>0</v>
      </c>
      <c r="M535" s="4">
        <f ca="1">_xll.DBRW($B$1,$B$2,$B$7,$B$3,$B$4,$B$5,$F535,$B$6,M$10,$A535,$B535)</f>
        <v>0</v>
      </c>
      <c r="N535" s="4">
        <f ca="1">_xll.DBRW($B$1,$B$2,$B$7,$B$3,$B$4,$B$5,$F535,$B$6,N$10,$A535,$B535)</f>
        <v>0</v>
      </c>
      <c r="O535" s="4">
        <f ca="1">_xll.DBRW($B$1,$B$2,$B$7,$B$3,$B$4,$B$5,$F535,$B$6,O$10,$A535,$B535)</f>
        <v>0</v>
      </c>
      <c r="P535" s="4">
        <f ca="1">_xll.DBRW($B$1,$B$2,$B$7,$B$3,$B$4,$B$5,$F535,$B$6,P$10,$A535,$B535)</f>
        <v>0</v>
      </c>
      <c r="Q535" s="4">
        <f ca="1">_xll.DBRW($B$1,$B$2,$B$7,$B$3,$B$4,$B$5,$F535,$B$6,Q$10,$A535,$B535)</f>
        <v>0</v>
      </c>
      <c r="R535" s="4">
        <f ca="1">_xll.DBRW($B$1,$B$2,$B$7,$B$3,$B$4,$B$5,$F535,$B$6,R$10,$A535,$B535)</f>
        <v>0</v>
      </c>
      <c r="S535" s="4">
        <f ca="1">_xll.DBRW($B$1,$B$2,$B$7,$B$3,$B$4,$B$5,$F535,$B$6,S$10,$A535,$B535)</f>
        <v>0</v>
      </c>
      <c r="T535" s="4">
        <f ca="1">_xll.DBRW($B$1,$B$2,$B$7,$B$3,$B$4,$B$5,$F535,$B$6,T$10,$A535,$B535)</f>
        <v>0</v>
      </c>
      <c r="U535" s="4">
        <f ca="1">_xll.DBRW($B$1,$B$2,$B$7,$B$3,$B$4,$B$5,$F535,$B$6,U$10,$A535,$B535)</f>
        <v>0</v>
      </c>
      <c r="V535" s="4">
        <f ca="1">_xll.DBRW($B$1,$B$2,$B$7,$B$3,$B$4,$B$5,$F535,$B$6,V$10,$A535,$B535)</f>
        <v>0</v>
      </c>
      <c r="W535" s="4">
        <f ca="1">_xll.DBRW($B$1,$B$2,$B$7,$B$3,$B$4,$B$5,$F535,$B$6,W$10,$A535,$B535)</f>
        <v>0</v>
      </c>
      <c r="X535" s="4">
        <f ca="1">_xll.DBRW($B$1,$B$2,$B$7,$B$3,$B$4,$B$5,$F535,$B$6,X$10,$A535,$B535)</f>
        <v>0</v>
      </c>
      <c r="Y535" s="4">
        <f ca="1">_xll.DBRW($B$1,$B$2,$B$7,$B$3,$B$4,$B$5,$F535,$B$6,Y$10,$A535,$B535)</f>
        <v>0</v>
      </c>
      <c r="Z535" s="4">
        <f ca="1">_xll.DBRW($B$1,$B$2,$B$7,$B$3,$B$4,$B$5,$F535,$B$6,Z$10,$A535,$B535)</f>
        <v>0</v>
      </c>
      <c r="AA535" s="4">
        <f ca="1">_xll.DBRW($B$1,$B$2,$B$7,$B$3,$B$4,$B$5,$F535,$B$6,AA$10,$A535,$B535)</f>
        <v>0</v>
      </c>
      <c r="AB535" s="4">
        <f ca="1">_xll.DBRW($B$1,$B$2,$B$7,$B$3,$B$4,$B$5,$F535,$B$6,AB$10,$A535,$B535)</f>
        <v>0</v>
      </c>
      <c r="AC535" s="4">
        <f ca="1">_xll.DBRW($B$1,$B$2,$B$7,$B$3,$B$4,$B$5,$F535,$B$6,AC$10,$A535,$B535)</f>
        <v>0</v>
      </c>
      <c r="AD535" s="4">
        <f ca="1">_xll.DBRW($B$1,$B$2,$B$7,$B$3,$B$4,$B$5,$F535,$B$6,AD$10,$A535,$B535)</f>
        <v>0</v>
      </c>
      <c r="AE535" s="4">
        <f ca="1">_xll.DBRW($B$1,$B$2,$B$7,$B$3,$B$4,$B$5,$F535,$B$6,AE$10,$A535,$B535)</f>
        <v>0</v>
      </c>
    </row>
    <row r="536" spans="1:31">
      <c r="A536" s="1" t="s">
        <v>150</v>
      </c>
      <c r="B536" s="5" t="s">
        <v>240</v>
      </c>
      <c r="C536" s="5" t="s">
        <v>241</v>
      </c>
      <c r="D536" s="5" t="s">
        <v>239</v>
      </c>
      <c r="E536" s="5" t="s">
        <v>21</v>
      </c>
      <c r="F536" s="5" t="s">
        <v>316</v>
      </c>
      <c r="G536" s="6"/>
      <c r="H536" s="6"/>
      <c r="I536" s="6"/>
      <c r="J536" s="6"/>
      <c r="K536" s="6"/>
      <c r="L536" s="4">
        <f ca="1">_xll.DBRW($B$1,$B$2,$B$7,$B$3,$B$4,$B$5,$F536,$B$6,L$10,$A536,$B536)</f>
        <v>0</v>
      </c>
      <c r="M536" s="4">
        <f ca="1">_xll.DBRW($B$1,$B$2,$B$7,$B$3,$B$4,$B$5,$F536,$B$6,M$10,$A536,$B536)</f>
        <v>0</v>
      </c>
      <c r="N536" s="4">
        <f ca="1">_xll.DBRW($B$1,$B$2,$B$7,$B$3,$B$4,$B$5,$F536,$B$6,N$10,$A536,$B536)</f>
        <v>0</v>
      </c>
      <c r="O536" s="4">
        <f ca="1">_xll.DBRW($B$1,$B$2,$B$7,$B$3,$B$4,$B$5,$F536,$B$6,O$10,$A536,$B536)</f>
        <v>0</v>
      </c>
      <c r="P536" s="4">
        <f ca="1">_xll.DBRW($B$1,$B$2,$B$7,$B$3,$B$4,$B$5,$F536,$B$6,P$10,$A536,$B536)</f>
        <v>0</v>
      </c>
      <c r="Q536" s="4">
        <f ca="1">_xll.DBRW($B$1,$B$2,$B$7,$B$3,$B$4,$B$5,$F536,$B$6,Q$10,$A536,$B536)</f>
        <v>0</v>
      </c>
      <c r="R536" s="4">
        <f ca="1">_xll.DBRW($B$1,$B$2,$B$7,$B$3,$B$4,$B$5,$F536,$B$6,R$10,$A536,$B536)</f>
        <v>0</v>
      </c>
      <c r="S536" s="4">
        <f ca="1">_xll.DBRW($B$1,$B$2,$B$7,$B$3,$B$4,$B$5,$F536,$B$6,S$10,$A536,$B536)</f>
        <v>0</v>
      </c>
      <c r="T536" s="4">
        <f ca="1">_xll.DBRW($B$1,$B$2,$B$7,$B$3,$B$4,$B$5,$F536,$B$6,T$10,$A536,$B536)</f>
        <v>0</v>
      </c>
      <c r="U536" s="4">
        <f ca="1">_xll.DBRW($B$1,$B$2,$B$7,$B$3,$B$4,$B$5,$F536,$B$6,U$10,$A536,$B536)</f>
        <v>0</v>
      </c>
      <c r="V536" s="4">
        <f ca="1">_xll.DBRW($B$1,$B$2,$B$7,$B$3,$B$4,$B$5,$F536,$B$6,V$10,$A536,$B536)</f>
        <v>0</v>
      </c>
      <c r="W536" s="4">
        <f ca="1">_xll.DBRW($B$1,$B$2,$B$7,$B$3,$B$4,$B$5,$F536,$B$6,W$10,$A536,$B536)</f>
        <v>0</v>
      </c>
      <c r="X536" s="4">
        <f ca="1">_xll.DBRW($B$1,$B$2,$B$7,$B$3,$B$4,$B$5,$F536,$B$6,X$10,$A536,$B536)</f>
        <v>0</v>
      </c>
      <c r="Y536" s="4">
        <f ca="1">_xll.DBRW($B$1,$B$2,$B$7,$B$3,$B$4,$B$5,$F536,$B$6,Y$10,$A536,$B536)</f>
        <v>0</v>
      </c>
      <c r="Z536" s="4">
        <f ca="1">_xll.DBRW($B$1,$B$2,$B$7,$B$3,$B$4,$B$5,$F536,$B$6,Z$10,$A536,$B536)</f>
        <v>0</v>
      </c>
      <c r="AA536" s="4">
        <f ca="1">_xll.DBRW($B$1,$B$2,$B$7,$B$3,$B$4,$B$5,$F536,$B$6,AA$10,$A536,$B536)</f>
        <v>0</v>
      </c>
      <c r="AB536" s="4">
        <f ca="1">_xll.DBRW($B$1,$B$2,$B$7,$B$3,$B$4,$B$5,$F536,$B$6,AB$10,$A536,$B536)</f>
        <v>0</v>
      </c>
      <c r="AC536" s="4">
        <f ca="1">_xll.DBRW($B$1,$B$2,$B$7,$B$3,$B$4,$B$5,$F536,$B$6,AC$10,$A536,$B536)</f>
        <v>0</v>
      </c>
      <c r="AD536" s="4">
        <f ca="1">_xll.DBRW($B$1,$B$2,$B$7,$B$3,$B$4,$B$5,$F536,$B$6,AD$10,$A536,$B536)</f>
        <v>0</v>
      </c>
      <c r="AE536" s="4">
        <f ca="1">_xll.DBRW($B$1,$B$2,$B$7,$B$3,$B$4,$B$5,$F536,$B$6,AE$10,$A536,$B536)</f>
        <v>0</v>
      </c>
    </row>
    <row r="537" spans="1:31">
      <c r="A537" s="1" t="s">
        <v>150</v>
      </c>
      <c r="B537" s="5" t="s">
        <v>242</v>
      </c>
      <c r="C537" s="5" t="s">
        <v>243</v>
      </c>
      <c r="D537" s="5" t="s">
        <v>21</v>
      </c>
      <c r="E537" s="5" t="s">
        <v>244</v>
      </c>
      <c r="F537" s="5" t="s">
        <v>316</v>
      </c>
      <c r="G537" s="6"/>
      <c r="H537" s="6"/>
      <c r="I537" s="6"/>
      <c r="J537" s="6"/>
      <c r="K537" s="6"/>
      <c r="L537" s="4">
        <f ca="1">_xll.DBRW($B$1,$B$2,$B$7,$B$3,$B$4,$B$5,$F537,$B$6,L$10,$A537,$B537)</f>
        <v>0</v>
      </c>
      <c r="M537" s="4">
        <f ca="1">_xll.DBRW($B$1,$B$2,$B$7,$B$3,$B$4,$B$5,$F537,$B$6,M$10,$A537,$B537)</f>
        <v>0</v>
      </c>
      <c r="N537" s="4">
        <f ca="1">_xll.DBRW($B$1,$B$2,$B$7,$B$3,$B$4,$B$5,$F537,$B$6,N$10,$A537,$B537)</f>
        <v>0</v>
      </c>
      <c r="O537" s="4">
        <f ca="1">_xll.DBRW($B$1,$B$2,$B$7,$B$3,$B$4,$B$5,$F537,$B$6,O$10,$A537,$B537)</f>
        <v>0</v>
      </c>
      <c r="P537" s="4">
        <f ca="1">_xll.DBRW($B$1,$B$2,$B$7,$B$3,$B$4,$B$5,$F537,$B$6,P$10,$A537,$B537)</f>
        <v>0</v>
      </c>
      <c r="Q537" s="4">
        <f ca="1">_xll.DBRW($B$1,$B$2,$B$7,$B$3,$B$4,$B$5,$F537,$B$6,Q$10,$A537,$B537)</f>
        <v>0</v>
      </c>
      <c r="R537" s="4">
        <f ca="1">_xll.DBRW($B$1,$B$2,$B$7,$B$3,$B$4,$B$5,$F537,$B$6,R$10,$A537,$B537)</f>
        <v>0</v>
      </c>
      <c r="S537" s="4">
        <f ca="1">_xll.DBRW($B$1,$B$2,$B$7,$B$3,$B$4,$B$5,$F537,$B$6,S$10,$A537,$B537)</f>
        <v>0</v>
      </c>
      <c r="T537" s="4">
        <f ca="1">_xll.DBRW($B$1,$B$2,$B$7,$B$3,$B$4,$B$5,$F537,$B$6,T$10,$A537,$B537)</f>
        <v>0</v>
      </c>
      <c r="U537" s="4">
        <f ca="1">_xll.DBRW($B$1,$B$2,$B$7,$B$3,$B$4,$B$5,$F537,$B$6,U$10,$A537,$B537)</f>
        <v>0</v>
      </c>
      <c r="V537" s="4">
        <f ca="1">_xll.DBRW($B$1,$B$2,$B$7,$B$3,$B$4,$B$5,$F537,$B$6,V$10,$A537,$B537)</f>
        <v>0</v>
      </c>
      <c r="W537" s="4">
        <f ca="1">_xll.DBRW($B$1,$B$2,$B$7,$B$3,$B$4,$B$5,$F537,$B$6,W$10,$A537,$B537)</f>
        <v>0</v>
      </c>
      <c r="X537" s="4">
        <f ca="1">_xll.DBRW($B$1,$B$2,$B$7,$B$3,$B$4,$B$5,$F537,$B$6,X$10,$A537,$B537)</f>
        <v>0</v>
      </c>
      <c r="Y537" s="4">
        <f ca="1">_xll.DBRW($B$1,$B$2,$B$7,$B$3,$B$4,$B$5,$F537,$B$6,Y$10,$A537,$B537)</f>
        <v>0</v>
      </c>
      <c r="Z537" s="4">
        <f ca="1">_xll.DBRW($B$1,$B$2,$B$7,$B$3,$B$4,$B$5,$F537,$B$6,Z$10,$A537,$B537)</f>
        <v>0</v>
      </c>
      <c r="AA537" s="4">
        <f ca="1">_xll.DBRW($B$1,$B$2,$B$7,$B$3,$B$4,$B$5,$F537,$B$6,AA$10,$A537,$B537)</f>
        <v>0</v>
      </c>
      <c r="AB537" s="4">
        <f ca="1">_xll.DBRW($B$1,$B$2,$B$7,$B$3,$B$4,$B$5,$F537,$B$6,AB$10,$A537,$B537)</f>
        <v>0</v>
      </c>
      <c r="AC537" s="4">
        <f ca="1">_xll.DBRW($B$1,$B$2,$B$7,$B$3,$B$4,$B$5,$F537,$B$6,AC$10,$A537,$B537)</f>
        <v>0</v>
      </c>
      <c r="AD537" s="4">
        <f ca="1">_xll.DBRW($B$1,$B$2,$B$7,$B$3,$B$4,$B$5,$F537,$B$6,AD$10,$A537,$B537)</f>
        <v>0</v>
      </c>
      <c r="AE537" s="4">
        <f ca="1">_xll.DBRW($B$1,$B$2,$B$7,$B$3,$B$4,$B$5,$F537,$B$6,AE$10,$A537,$B537)</f>
        <v>0</v>
      </c>
    </row>
    <row r="538" spans="1:31">
      <c r="A538" s="1" t="s">
        <v>150</v>
      </c>
      <c r="B538" s="5" t="s">
        <v>245</v>
      </c>
      <c r="C538" s="5" t="s">
        <v>246</v>
      </c>
      <c r="D538" s="5" t="s">
        <v>244</v>
      </c>
      <c r="E538" s="5" t="s">
        <v>21</v>
      </c>
      <c r="F538" s="5" t="s">
        <v>316</v>
      </c>
      <c r="G538" s="6"/>
      <c r="H538" s="6"/>
      <c r="I538" s="6"/>
      <c r="J538" s="6"/>
      <c r="K538" s="6"/>
      <c r="L538" s="4">
        <f ca="1">_xll.DBRW($B$1,$B$2,$B$7,$B$3,$B$4,$B$5,$F538,$B$6,L$10,$A538,$B538)</f>
        <v>0</v>
      </c>
      <c r="M538" s="4">
        <f ca="1">_xll.DBRW($B$1,$B$2,$B$7,$B$3,$B$4,$B$5,$F538,$B$6,M$10,$A538,$B538)</f>
        <v>0</v>
      </c>
      <c r="N538" s="4">
        <f ca="1">_xll.DBRW($B$1,$B$2,$B$7,$B$3,$B$4,$B$5,$F538,$B$6,N$10,$A538,$B538)</f>
        <v>0</v>
      </c>
      <c r="O538" s="4">
        <f ca="1">_xll.DBRW($B$1,$B$2,$B$7,$B$3,$B$4,$B$5,$F538,$B$6,O$10,$A538,$B538)</f>
        <v>0</v>
      </c>
      <c r="P538" s="4">
        <f ca="1">_xll.DBRW($B$1,$B$2,$B$7,$B$3,$B$4,$B$5,$F538,$B$6,P$10,$A538,$B538)</f>
        <v>0</v>
      </c>
      <c r="Q538" s="4">
        <f ca="1">_xll.DBRW($B$1,$B$2,$B$7,$B$3,$B$4,$B$5,$F538,$B$6,Q$10,$A538,$B538)</f>
        <v>0</v>
      </c>
      <c r="R538" s="4">
        <f ca="1">_xll.DBRW($B$1,$B$2,$B$7,$B$3,$B$4,$B$5,$F538,$B$6,R$10,$A538,$B538)</f>
        <v>0</v>
      </c>
      <c r="S538" s="4">
        <f ca="1">_xll.DBRW($B$1,$B$2,$B$7,$B$3,$B$4,$B$5,$F538,$B$6,S$10,$A538,$B538)</f>
        <v>0</v>
      </c>
      <c r="T538" s="4">
        <f ca="1">_xll.DBRW($B$1,$B$2,$B$7,$B$3,$B$4,$B$5,$F538,$B$6,T$10,$A538,$B538)</f>
        <v>0</v>
      </c>
      <c r="U538" s="4">
        <f ca="1">_xll.DBRW($B$1,$B$2,$B$7,$B$3,$B$4,$B$5,$F538,$B$6,U$10,$A538,$B538)</f>
        <v>0</v>
      </c>
      <c r="V538" s="4">
        <f ca="1">_xll.DBRW($B$1,$B$2,$B$7,$B$3,$B$4,$B$5,$F538,$B$6,V$10,$A538,$B538)</f>
        <v>0</v>
      </c>
      <c r="W538" s="4">
        <f ca="1">_xll.DBRW($B$1,$B$2,$B$7,$B$3,$B$4,$B$5,$F538,$B$6,W$10,$A538,$B538)</f>
        <v>0</v>
      </c>
      <c r="X538" s="4">
        <f ca="1">_xll.DBRW($B$1,$B$2,$B$7,$B$3,$B$4,$B$5,$F538,$B$6,X$10,$A538,$B538)</f>
        <v>0</v>
      </c>
      <c r="Y538" s="4">
        <f ca="1">_xll.DBRW($B$1,$B$2,$B$7,$B$3,$B$4,$B$5,$F538,$B$6,Y$10,$A538,$B538)</f>
        <v>0</v>
      </c>
      <c r="Z538" s="4">
        <f ca="1">_xll.DBRW($B$1,$B$2,$B$7,$B$3,$B$4,$B$5,$F538,$B$6,Z$10,$A538,$B538)</f>
        <v>0</v>
      </c>
      <c r="AA538" s="4">
        <f ca="1">_xll.DBRW($B$1,$B$2,$B$7,$B$3,$B$4,$B$5,$F538,$B$6,AA$10,$A538,$B538)</f>
        <v>0</v>
      </c>
      <c r="AB538" s="4">
        <f ca="1">_xll.DBRW($B$1,$B$2,$B$7,$B$3,$B$4,$B$5,$F538,$B$6,AB$10,$A538,$B538)</f>
        <v>0</v>
      </c>
      <c r="AC538" s="4">
        <f ca="1">_xll.DBRW($B$1,$B$2,$B$7,$B$3,$B$4,$B$5,$F538,$B$6,AC$10,$A538,$B538)</f>
        <v>0</v>
      </c>
      <c r="AD538" s="4">
        <f ca="1">_xll.DBRW($B$1,$B$2,$B$7,$B$3,$B$4,$B$5,$F538,$B$6,AD$10,$A538,$B538)</f>
        <v>0</v>
      </c>
      <c r="AE538" s="4">
        <f ca="1">_xll.DBRW($B$1,$B$2,$B$7,$B$3,$B$4,$B$5,$F538,$B$6,AE$10,$A538,$B538)</f>
        <v>0</v>
      </c>
    </row>
    <row r="539" spans="1:31">
      <c r="A539" s="1" t="s">
        <v>150</v>
      </c>
      <c r="B539" s="5" t="s">
        <v>247</v>
      </c>
      <c r="C539" s="5" t="s">
        <v>248</v>
      </c>
      <c r="D539" s="5" t="s">
        <v>21</v>
      </c>
      <c r="E539" s="5" t="s">
        <v>249</v>
      </c>
      <c r="F539" s="5" t="s">
        <v>316</v>
      </c>
      <c r="G539" s="6"/>
      <c r="H539" s="6"/>
      <c r="I539" s="6"/>
      <c r="J539" s="6"/>
      <c r="K539" s="6"/>
      <c r="L539" s="4">
        <f ca="1">_xll.DBRW($B$1,$B$2,$B$7,$B$3,$B$4,$B$5,$F539,$B$6,L$10,$A539,$B539)</f>
        <v>0</v>
      </c>
      <c r="M539" s="4">
        <f ca="1">_xll.DBRW($B$1,$B$2,$B$7,$B$3,$B$4,$B$5,$F539,$B$6,M$10,$A539,$B539)</f>
        <v>0</v>
      </c>
      <c r="N539" s="4">
        <f ca="1">_xll.DBRW($B$1,$B$2,$B$7,$B$3,$B$4,$B$5,$F539,$B$6,N$10,$A539,$B539)</f>
        <v>0</v>
      </c>
      <c r="O539" s="4">
        <f ca="1">_xll.DBRW($B$1,$B$2,$B$7,$B$3,$B$4,$B$5,$F539,$B$6,O$10,$A539,$B539)</f>
        <v>0</v>
      </c>
      <c r="P539" s="4">
        <f ca="1">_xll.DBRW($B$1,$B$2,$B$7,$B$3,$B$4,$B$5,$F539,$B$6,P$10,$A539,$B539)</f>
        <v>0</v>
      </c>
      <c r="Q539" s="4">
        <f ca="1">_xll.DBRW($B$1,$B$2,$B$7,$B$3,$B$4,$B$5,$F539,$B$6,Q$10,$A539,$B539)</f>
        <v>0</v>
      </c>
      <c r="R539" s="4">
        <f ca="1">_xll.DBRW($B$1,$B$2,$B$7,$B$3,$B$4,$B$5,$F539,$B$6,R$10,$A539,$B539)</f>
        <v>0</v>
      </c>
      <c r="S539" s="4">
        <f ca="1">_xll.DBRW($B$1,$B$2,$B$7,$B$3,$B$4,$B$5,$F539,$B$6,S$10,$A539,$B539)</f>
        <v>0</v>
      </c>
      <c r="T539" s="4">
        <f ca="1">_xll.DBRW($B$1,$B$2,$B$7,$B$3,$B$4,$B$5,$F539,$B$6,T$10,$A539,$B539)</f>
        <v>0</v>
      </c>
      <c r="U539" s="4">
        <f ca="1">_xll.DBRW($B$1,$B$2,$B$7,$B$3,$B$4,$B$5,$F539,$B$6,U$10,$A539,$B539)</f>
        <v>0</v>
      </c>
      <c r="V539" s="4">
        <f ca="1">_xll.DBRW($B$1,$B$2,$B$7,$B$3,$B$4,$B$5,$F539,$B$6,V$10,$A539,$B539)</f>
        <v>0</v>
      </c>
      <c r="W539" s="4">
        <f ca="1">_xll.DBRW($B$1,$B$2,$B$7,$B$3,$B$4,$B$5,$F539,$B$6,W$10,$A539,$B539)</f>
        <v>0</v>
      </c>
      <c r="X539" s="4">
        <f ca="1">_xll.DBRW($B$1,$B$2,$B$7,$B$3,$B$4,$B$5,$F539,$B$6,X$10,$A539,$B539)</f>
        <v>0</v>
      </c>
      <c r="Y539" s="4">
        <f ca="1">_xll.DBRW($B$1,$B$2,$B$7,$B$3,$B$4,$B$5,$F539,$B$6,Y$10,$A539,$B539)</f>
        <v>0</v>
      </c>
      <c r="Z539" s="4">
        <f ca="1">_xll.DBRW($B$1,$B$2,$B$7,$B$3,$B$4,$B$5,$F539,$B$6,Z$10,$A539,$B539)</f>
        <v>0</v>
      </c>
      <c r="AA539" s="4">
        <f ca="1">_xll.DBRW($B$1,$B$2,$B$7,$B$3,$B$4,$B$5,$F539,$B$6,AA$10,$A539,$B539)</f>
        <v>0</v>
      </c>
      <c r="AB539" s="4">
        <f ca="1">_xll.DBRW($B$1,$B$2,$B$7,$B$3,$B$4,$B$5,$F539,$B$6,AB$10,$A539,$B539)</f>
        <v>0</v>
      </c>
      <c r="AC539" s="4">
        <f ca="1">_xll.DBRW($B$1,$B$2,$B$7,$B$3,$B$4,$B$5,$F539,$B$6,AC$10,$A539,$B539)</f>
        <v>0</v>
      </c>
      <c r="AD539" s="4">
        <f ca="1">_xll.DBRW($B$1,$B$2,$B$7,$B$3,$B$4,$B$5,$F539,$B$6,AD$10,$A539,$B539)</f>
        <v>0</v>
      </c>
      <c r="AE539" s="4">
        <f ca="1">_xll.DBRW($B$1,$B$2,$B$7,$B$3,$B$4,$B$5,$F539,$B$6,AE$10,$A539,$B539)</f>
        <v>0</v>
      </c>
    </row>
    <row r="540" spans="1:31">
      <c r="A540" s="1" t="s">
        <v>150</v>
      </c>
      <c r="B540" s="5" t="s">
        <v>250</v>
      </c>
      <c r="C540" s="5" t="s">
        <v>251</v>
      </c>
      <c r="D540" s="5" t="s">
        <v>249</v>
      </c>
      <c r="E540" s="5" t="s">
        <v>21</v>
      </c>
      <c r="F540" s="5" t="s">
        <v>316</v>
      </c>
      <c r="G540" s="6"/>
      <c r="H540" s="6"/>
      <c r="I540" s="6"/>
      <c r="J540" s="6"/>
      <c r="K540" s="6"/>
      <c r="L540" s="4">
        <f ca="1">_xll.DBRW($B$1,$B$2,$B$7,$B$3,$B$4,$B$5,$F540,$B$6,L$10,$A540,$B540)</f>
        <v>0</v>
      </c>
      <c r="M540" s="4">
        <f ca="1">_xll.DBRW($B$1,$B$2,$B$7,$B$3,$B$4,$B$5,$F540,$B$6,M$10,$A540,$B540)</f>
        <v>0</v>
      </c>
      <c r="N540" s="4">
        <f ca="1">_xll.DBRW($B$1,$B$2,$B$7,$B$3,$B$4,$B$5,$F540,$B$6,N$10,$A540,$B540)</f>
        <v>0</v>
      </c>
      <c r="O540" s="4">
        <f ca="1">_xll.DBRW($B$1,$B$2,$B$7,$B$3,$B$4,$B$5,$F540,$B$6,O$10,$A540,$B540)</f>
        <v>0</v>
      </c>
      <c r="P540" s="4">
        <f ca="1">_xll.DBRW($B$1,$B$2,$B$7,$B$3,$B$4,$B$5,$F540,$B$6,P$10,$A540,$B540)</f>
        <v>0</v>
      </c>
      <c r="Q540" s="4">
        <f ca="1">_xll.DBRW($B$1,$B$2,$B$7,$B$3,$B$4,$B$5,$F540,$B$6,Q$10,$A540,$B540)</f>
        <v>0</v>
      </c>
      <c r="R540" s="4">
        <f ca="1">_xll.DBRW($B$1,$B$2,$B$7,$B$3,$B$4,$B$5,$F540,$B$6,R$10,$A540,$B540)</f>
        <v>0</v>
      </c>
      <c r="S540" s="4">
        <f ca="1">_xll.DBRW($B$1,$B$2,$B$7,$B$3,$B$4,$B$5,$F540,$B$6,S$10,$A540,$B540)</f>
        <v>0</v>
      </c>
      <c r="T540" s="4">
        <f ca="1">_xll.DBRW($B$1,$B$2,$B$7,$B$3,$B$4,$B$5,$F540,$B$6,T$10,$A540,$B540)</f>
        <v>0</v>
      </c>
      <c r="U540" s="4">
        <f ca="1">_xll.DBRW($B$1,$B$2,$B$7,$B$3,$B$4,$B$5,$F540,$B$6,U$10,$A540,$B540)</f>
        <v>0</v>
      </c>
      <c r="V540" s="4">
        <f ca="1">_xll.DBRW($B$1,$B$2,$B$7,$B$3,$B$4,$B$5,$F540,$B$6,V$10,$A540,$B540)</f>
        <v>0</v>
      </c>
      <c r="W540" s="4">
        <f ca="1">_xll.DBRW($B$1,$B$2,$B$7,$B$3,$B$4,$B$5,$F540,$B$6,W$10,$A540,$B540)</f>
        <v>0</v>
      </c>
      <c r="X540" s="4">
        <f ca="1">_xll.DBRW($B$1,$B$2,$B$7,$B$3,$B$4,$B$5,$F540,$B$6,X$10,$A540,$B540)</f>
        <v>0</v>
      </c>
      <c r="Y540" s="4">
        <f ca="1">_xll.DBRW($B$1,$B$2,$B$7,$B$3,$B$4,$B$5,$F540,$B$6,Y$10,$A540,$B540)</f>
        <v>0</v>
      </c>
      <c r="Z540" s="4">
        <f ca="1">_xll.DBRW($B$1,$B$2,$B$7,$B$3,$B$4,$B$5,$F540,$B$6,Z$10,$A540,$B540)</f>
        <v>0</v>
      </c>
      <c r="AA540" s="4">
        <f ca="1">_xll.DBRW($B$1,$B$2,$B$7,$B$3,$B$4,$B$5,$F540,$B$6,AA$10,$A540,$B540)</f>
        <v>0</v>
      </c>
      <c r="AB540" s="4">
        <f ca="1">_xll.DBRW($B$1,$B$2,$B$7,$B$3,$B$4,$B$5,$F540,$B$6,AB$10,$A540,$B540)</f>
        <v>0</v>
      </c>
      <c r="AC540" s="4">
        <f ca="1">_xll.DBRW($B$1,$B$2,$B$7,$B$3,$B$4,$B$5,$F540,$B$6,AC$10,$A540,$B540)</f>
        <v>0</v>
      </c>
      <c r="AD540" s="4">
        <f ca="1">_xll.DBRW($B$1,$B$2,$B$7,$B$3,$B$4,$B$5,$F540,$B$6,AD$10,$A540,$B540)</f>
        <v>0</v>
      </c>
      <c r="AE540" s="4">
        <f ca="1">_xll.DBRW($B$1,$B$2,$B$7,$B$3,$B$4,$B$5,$F540,$B$6,AE$10,$A540,$B540)</f>
        <v>0</v>
      </c>
    </row>
    <row r="541" spans="1:31">
      <c r="A541" s="1" t="s">
        <v>150</v>
      </c>
      <c r="B541" s="5" t="s">
        <v>252</v>
      </c>
      <c r="C541" s="5" t="s">
        <v>226</v>
      </c>
      <c r="D541" s="5" t="s">
        <v>21</v>
      </c>
      <c r="E541" s="5" t="s">
        <v>227</v>
      </c>
      <c r="F541" s="5" t="s">
        <v>316</v>
      </c>
      <c r="G541" s="6"/>
      <c r="H541" s="6"/>
      <c r="I541" s="6"/>
      <c r="J541" s="6"/>
      <c r="K541" s="6"/>
      <c r="L541" s="4">
        <f ca="1">_xll.DBRW($B$1,$B$2,$B$7,$B$3,$B$4,$B$5,$F541,$B$6,L$10,$A541,$B541)</f>
        <v>0</v>
      </c>
      <c r="M541" s="4">
        <f ca="1">_xll.DBRW($B$1,$B$2,$B$7,$B$3,$B$4,$B$5,$F541,$B$6,M$10,$A541,$B541)</f>
        <v>0</v>
      </c>
      <c r="N541" s="4">
        <f ca="1">_xll.DBRW($B$1,$B$2,$B$7,$B$3,$B$4,$B$5,$F541,$B$6,N$10,$A541,$B541)</f>
        <v>0</v>
      </c>
      <c r="O541" s="4">
        <f ca="1">_xll.DBRW($B$1,$B$2,$B$7,$B$3,$B$4,$B$5,$F541,$B$6,O$10,$A541,$B541)</f>
        <v>0</v>
      </c>
      <c r="P541" s="4">
        <f ca="1">_xll.DBRW($B$1,$B$2,$B$7,$B$3,$B$4,$B$5,$F541,$B$6,P$10,$A541,$B541)</f>
        <v>0</v>
      </c>
      <c r="Q541" s="4">
        <f ca="1">_xll.DBRW($B$1,$B$2,$B$7,$B$3,$B$4,$B$5,$F541,$B$6,Q$10,$A541,$B541)</f>
        <v>0</v>
      </c>
      <c r="R541" s="4">
        <f ca="1">_xll.DBRW($B$1,$B$2,$B$7,$B$3,$B$4,$B$5,$F541,$B$6,R$10,$A541,$B541)</f>
        <v>0</v>
      </c>
      <c r="S541" s="4">
        <f ca="1">_xll.DBRW($B$1,$B$2,$B$7,$B$3,$B$4,$B$5,$F541,$B$6,S$10,$A541,$B541)</f>
        <v>0</v>
      </c>
      <c r="T541" s="4">
        <f ca="1">_xll.DBRW($B$1,$B$2,$B$7,$B$3,$B$4,$B$5,$F541,$B$6,T$10,$A541,$B541)</f>
        <v>0</v>
      </c>
      <c r="U541" s="4">
        <f ca="1">_xll.DBRW($B$1,$B$2,$B$7,$B$3,$B$4,$B$5,$F541,$B$6,U$10,$A541,$B541)</f>
        <v>0</v>
      </c>
      <c r="V541" s="4">
        <f ca="1">_xll.DBRW($B$1,$B$2,$B$7,$B$3,$B$4,$B$5,$F541,$B$6,V$10,$A541,$B541)</f>
        <v>0</v>
      </c>
      <c r="W541" s="4">
        <f ca="1">_xll.DBRW($B$1,$B$2,$B$7,$B$3,$B$4,$B$5,$F541,$B$6,W$10,$A541,$B541)</f>
        <v>0</v>
      </c>
      <c r="X541" s="4">
        <f ca="1">_xll.DBRW($B$1,$B$2,$B$7,$B$3,$B$4,$B$5,$F541,$B$6,X$10,$A541,$B541)</f>
        <v>0</v>
      </c>
      <c r="Y541" s="4">
        <f ca="1">_xll.DBRW($B$1,$B$2,$B$7,$B$3,$B$4,$B$5,$F541,$B$6,Y$10,$A541,$B541)</f>
        <v>0</v>
      </c>
      <c r="Z541" s="4">
        <f ca="1">_xll.DBRW($B$1,$B$2,$B$7,$B$3,$B$4,$B$5,$F541,$B$6,Z$10,$A541,$B541)</f>
        <v>0</v>
      </c>
      <c r="AA541" s="4">
        <f ca="1">_xll.DBRW($B$1,$B$2,$B$7,$B$3,$B$4,$B$5,$F541,$B$6,AA$10,$A541,$B541)</f>
        <v>0</v>
      </c>
      <c r="AB541" s="4">
        <f ca="1">_xll.DBRW($B$1,$B$2,$B$7,$B$3,$B$4,$B$5,$F541,$B$6,AB$10,$A541,$B541)</f>
        <v>0</v>
      </c>
      <c r="AC541" s="4">
        <f ca="1">_xll.DBRW($B$1,$B$2,$B$7,$B$3,$B$4,$B$5,$F541,$B$6,AC$10,$A541,$B541)</f>
        <v>0</v>
      </c>
      <c r="AD541" s="4">
        <f ca="1">_xll.DBRW($B$1,$B$2,$B$7,$B$3,$B$4,$B$5,$F541,$B$6,AD$10,$A541,$B541)</f>
        <v>0</v>
      </c>
      <c r="AE541" s="4">
        <f ca="1">_xll.DBRW($B$1,$B$2,$B$7,$B$3,$B$4,$B$5,$F541,$B$6,AE$10,$A541,$B541)</f>
        <v>0</v>
      </c>
    </row>
    <row r="542" spans="1:31">
      <c r="A542" s="1" t="s">
        <v>150</v>
      </c>
      <c r="B542" s="5" t="s">
        <v>253</v>
      </c>
      <c r="C542" s="5" t="s">
        <v>229</v>
      </c>
      <c r="D542" s="5" t="s">
        <v>227</v>
      </c>
      <c r="E542" s="5" t="s">
        <v>21</v>
      </c>
      <c r="F542" s="5" t="s">
        <v>316</v>
      </c>
      <c r="G542" s="6"/>
      <c r="H542" s="6"/>
      <c r="I542" s="6"/>
      <c r="J542" s="6"/>
      <c r="K542" s="6"/>
      <c r="L542" s="4">
        <f ca="1">_xll.DBRW($B$1,$B$2,$B$7,$B$3,$B$4,$B$5,$F542,$B$6,L$10,$A542,$B542)</f>
        <v>0</v>
      </c>
      <c r="M542" s="4">
        <f ca="1">_xll.DBRW($B$1,$B$2,$B$7,$B$3,$B$4,$B$5,$F542,$B$6,M$10,$A542,$B542)</f>
        <v>0</v>
      </c>
      <c r="N542" s="4">
        <f ca="1">_xll.DBRW($B$1,$B$2,$B$7,$B$3,$B$4,$B$5,$F542,$B$6,N$10,$A542,$B542)</f>
        <v>0</v>
      </c>
      <c r="O542" s="4">
        <f ca="1">_xll.DBRW($B$1,$B$2,$B$7,$B$3,$B$4,$B$5,$F542,$B$6,O$10,$A542,$B542)</f>
        <v>0</v>
      </c>
      <c r="P542" s="4">
        <f ca="1">_xll.DBRW($B$1,$B$2,$B$7,$B$3,$B$4,$B$5,$F542,$B$6,P$10,$A542,$B542)</f>
        <v>0</v>
      </c>
      <c r="Q542" s="4">
        <f ca="1">_xll.DBRW($B$1,$B$2,$B$7,$B$3,$B$4,$B$5,$F542,$B$6,Q$10,$A542,$B542)</f>
        <v>0</v>
      </c>
      <c r="R542" s="4">
        <f ca="1">_xll.DBRW($B$1,$B$2,$B$7,$B$3,$B$4,$B$5,$F542,$B$6,R$10,$A542,$B542)</f>
        <v>0</v>
      </c>
      <c r="S542" s="4">
        <f ca="1">_xll.DBRW($B$1,$B$2,$B$7,$B$3,$B$4,$B$5,$F542,$B$6,S$10,$A542,$B542)</f>
        <v>0</v>
      </c>
      <c r="T542" s="4">
        <f ca="1">_xll.DBRW($B$1,$B$2,$B$7,$B$3,$B$4,$B$5,$F542,$B$6,T$10,$A542,$B542)</f>
        <v>0</v>
      </c>
      <c r="U542" s="4">
        <f ca="1">_xll.DBRW($B$1,$B$2,$B$7,$B$3,$B$4,$B$5,$F542,$B$6,U$10,$A542,$B542)</f>
        <v>0</v>
      </c>
      <c r="V542" s="4">
        <f ca="1">_xll.DBRW($B$1,$B$2,$B$7,$B$3,$B$4,$B$5,$F542,$B$6,V$10,$A542,$B542)</f>
        <v>0</v>
      </c>
      <c r="W542" s="4">
        <f ca="1">_xll.DBRW($B$1,$B$2,$B$7,$B$3,$B$4,$B$5,$F542,$B$6,W$10,$A542,$B542)</f>
        <v>0</v>
      </c>
      <c r="X542" s="4">
        <f ca="1">_xll.DBRW($B$1,$B$2,$B$7,$B$3,$B$4,$B$5,$F542,$B$6,X$10,$A542,$B542)</f>
        <v>0</v>
      </c>
      <c r="Y542" s="4">
        <f ca="1">_xll.DBRW($B$1,$B$2,$B$7,$B$3,$B$4,$B$5,$F542,$B$6,Y$10,$A542,$B542)</f>
        <v>0</v>
      </c>
      <c r="Z542" s="4">
        <f ca="1">_xll.DBRW($B$1,$B$2,$B$7,$B$3,$B$4,$B$5,$F542,$B$6,Z$10,$A542,$B542)</f>
        <v>0</v>
      </c>
      <c r="AA542" s="4">
        <f ca="1">_xll.DBRW($B$1,$B$2,$B$7,$B$3,$B$4,$B$5,$F542,$B$6,AA$10,$A542,$B542)</f>
        <v>0</v>
      </c>
      <c r="AB542" s="4">
        <f ca="1">_xll.DBRW($B$1,$B$2,$B$7,$B$3,$B$4,$B$5,$F542,$B$6,AB$10,$A542,$B542)</f>
        <v>0</v>
      </c>
      <c r="AC542" s="4">
        <f ca="1">_xll.DBRW($B$1,$B$2,$B$7,$B$3,$B$4,$B$5,$F542,$B$6,AC$10,$A542,$B542)</f>
        <v>0</v>
      </c>
      <c r="AD542" s="4">
        <f ca="1">_xll.DBRW($B$1,$B$2,$B$7,$B$3,$B$4,$B$5,$F542,$B$6,AD$10,$A542,$B542)</f>
        <v>0</v>
      </c>
      <c r="AE542" s="4">
        <f ca="1">_xll.DBRW($B$1,$B$2,$B$7,$B$3,$B$4,$B$5,$F542,$B$6,AE$10,$A542,$B542)</f>
        <v>0</v>
      </c>
    </row>
    <row r="543" spans="1:31">
      <c r="A543" s="1" t="s">
        <v>150</v>
      </c>
      <c r="B543" s="5" t="s">
        <v>254</v>
      </c>
      <c r="C543" s="5" t="s">
        <v>255</v>
      </c>
      <c r="D543" s="5" t="s">
        <v>60</v>
      </c>
      <c r="E543" s="5" t="s">
        <v>59</v>
      </c>
      <c r="F543" s="5" t="s">
        <v>316</v>
      </c>
      <c r="G543" s="6"/>
      <c r="H543" s="6"/>
      <c r="I543" s="6"/>
      <c r="J543" s="6"/>
      <c r="K543" s="6"/>
      <c r="L543" s="4">
        <f ca="1">_xll.DBRW($B$1,$B$2,$B$7,$B$3,$B$4,$B$5,$F543,$B$6,L$10,$A543,$B543)</f>
        <v>0</v>
      </c>
      <c r="M543" s="4">
        <f ca="1">_xll.DBRW($B$1,$B$2,$B$7,$B$3,$B$4,$B$5,$F543,$B$6,M$10,$A543,$B543)</f>
        <v>0</v>
      </c>
      <c r="N543" s="4">
        <f ca="1">_xll.DBRW($B$1,$B$2,$B$7,$B$3,$B$4,$B$5,$F543,$B$6,N$10,$A543,$B543)</f>
        <v>0</v>
      </c>
      <c r="O543" s="4">
        <f ca="1">_xll.DBRW($B$1,$B$2,$B$7,$B$3,$B$4,$B$5,$F543,$B$6,O$10,$A543,$B543)</f>
        <v>0</v>
      </c>
      <c r="P543" s="4">
        <f ca="1">_xll.DBRW($B$1,$B$2,$B$7,$B$3,$B$4,$B$5,$F543,$B$6,P$10,$A543,$B543)</f>
        <v>0</v>
      </c>
      <c r="Q543" s="4">
        <f ca="1">_xll.DBRW($B$1,$B$2,$B$7,$B$3,$B$4,$B$5,$F543,$B$6,Q$10,$A543,$B543)</f>
        <v>0</v>
      </c>
      <c r="R543" s="4">
        <f ca="1">_xll.DBRW($B$1,$B$2,$B$7,$B$3,$B$4,$B$5,$F543,$B$6,R$10,$A543,$B543)</f>
        <v>0</v>
      </c>
      <c r="S543" s="4">
        <f ca="1">_xll.DBRW($B$1,$B$2,$B$7,$B$3,$B$4,$B$5,$F543,$B$6,S$10,$A543,$B543)</f>
        <v>0</v>
      </c>
      <c r="T543" s="4">
        <f ca="1">_xll.DBRW($B$1,$B$2,$B$7,$B$3,$B$4,$B$5,$F543,$B$6,T$10,$A543,$B543)</f>
        <v>0</v>
      </c>
      <c r="U543" s="4">
        <f ca="1">_xll.DBRW($B$1,$B$2,$B$7,$B$3,$B$4,$B$5,$F543,$B$6,U$10,$A543,$B543)</f>
        <v>0</v>
      </c>
      <c r="V543" s="4">
        <f ca="1">_xll.DBRW($B$1,$B$2,$B$7,$B$3,$B$4,$B$5,$F543,$B$6,V$10,$A543,$B543)</f>
        <v>0</v>
      </c>
      <c r="W543" s="4">
        <f ca="1">_xll.DBRW($B$1,$B$2,$B$7,$B$3,$B$4,$B$5,$F543,$B$6,W$10,$A543,$B543)</f>
        <v>0</v>
      </c>
      <c r="X543" s="4">
        <f ca="1">_xll.DBRW($B$1,$B$2,$B$7,$B$3,$B$4,$B$5,$F543,$B$6,X$10,$A543,$B543)</f>
        <v>0</v>
      </c>
      <c r="Y543" s="4">
        <f ca="1">_xll.DBRW($B$1,$B$2,$B$7,$B$3,$B$4,$B$5,$F543,$B$6,Y$10,$A543,$B543)</f>
        <v>0</v>
      </c>
      <c r="Z543" s="4">
        <f ca="1">_xll.DBRW($B$1,$B$2,$B$7,$B$3,$B$4,$B$5,$F543,$B$6,Z$10,$A543,$B543)</f>
        <v>0</v>
      </c>
      <c r="AA543" s="4">
        <f ca="1">_xll.DBRW($B$1,$B$2,$B$7,$B$3,$B$4,$B$5,$F543,$B$6,AA$10,$A543,$B543)</f>
        <v>0</v>
      </c>
      <c r="AB543" s="4">
        <f ca="1">_xll.DBRW($B$1,$B$2,$B$7,$B$3,$B$4,$B$5,$F543,$B$6,AB$10,$A543,$B543)</f>
        <v>0</v>
      </c>
      <c r="AC543" s="4">
        <f ca="1">_xll.DBRW($B$1,$B$2,$B$7,$B$3,$B$4,$B$5,$F543,$B$6,AC$10,$A543,$B543)</f>
        <v>0</v>
      </c>
      <c r="AD543" s="4">
        <f ca="1">_xll.DBRW($B$1,$B$2,$B$7,$B$3,$B$4,$B$5,$F543,$B$6,AD$10,$A543,$B543)</f>
        <v>0</v>
      </c>
      <c r="AE543" s="4">
        <f ca="1">_xll.DBRW($B$1,$B$2,$B$7,$B$3,$B$4,$B$5,$F543,$B$6,AE$10,$A543,$B543)</f>
        <v>0</v>
      </c>
    </row>
    <row r="544" spans="1:31">
      <c r="A544" s="1" t="s">
        <v>150</v>
      </c>
      <c r="B544" s="5" t="s">
        <v>57</v>
      </c>
      <c r="C544" s="5" t="s">
        <v>58</v>
      </c>
      <c r="D544" s="5" t="s">
        <v>59</v>
      </c>
      <c r="E544" s="5" t="s">
        <v>60</v>
      </c>
      <c r="F544" s="5" t="s">
        <v>316</v>
      </c>
      <c r="G544" s="6"/>
      <c r="H544" s="6"/>
      <c r="I544" s="6"/>
      <c r="J544" s="6"/>
      <c r="K544" s="6"/>
      <c r="L544" s="4">
        <f ca="1">_xll.DBRW($B$1,$B$2,$B$7,$B$3,$B$4,$B$5,$F544,$B$6,L$10,$A544,$B544)</f>
        <v>0</v>
      </c>
      <c r="M544" s="4">
        <f ca="1">_xll.DBRW($B$1,$B$2,$B$7,$B$3,$B$4,$B$5,$F544,$B$6,M$10,$A544,$B544)</f>
        <v>0</v>
      </c>
      <c r="N544" s="4">
        <f ca="1">_xll.DBRW($B$1,$B$2,$B$7,$B$3,$B$4,$B$5,$F544,$B$6,N$10,$A544,$B544)</f>
        <v>0</v>
      </c>
      <c r="O544" s="4">
        <f ca="1">_xll.DBRW($B$1,$B$2,$B$7,$B$3,$B$4,$B$5,$F544,$B$6,O$10,$A544,$B544)</f>
        <v>0</v>
      </c>
      <c r="P544" s="4">
        <f ca="1">_xll.DBRW($B$1,$B$2,$B$7,$B$3,$B$4,$B$5,$F544,$B$6,P$10,$A544,$B544)</f>
        <v>0</v>
      </c>
      <c r="Q544" s="4">
        <f ca="1">_xll.DBRW($B$1,$B$2,$B$7,$B$3,$B$4,$B$5,$F544,$B$6,Q$10,$A544,$B544)</f>
        <v>0</v>
      </c>
      <c r="R544" s="4">
        <f ca="1">_xll.DBRW($B$1,$B$2,$B$7,$B$3,$B$4,$B$5,$F544,$B$6,R$10,$A544,$B544)</f>
        <v>0</v>
      </c>
      <c r="S544" s="4">
        <f ca="1">_xll.DBRW($B$1,$B$2,$B$7,$B$3,$B$4,$B$5,$F544,$B$6,S$10,$A544,$B544)</f>
        <v>0</v>
      </c>
      <c r="T544" s="4">
        <f ca="1">_xll.DBRW($B$1,$B$2,$B$7,$B$3,$B$4,$B$5,$F544,$B$6,T$10,$A544,$B544)</f>
        <v>0</v>
      </c>
      <c r="U544" s="4">
        <f ca="1">_xll.DBRW($B$1,$B$2,$B$7,$B$3,$B$4,$B$5,$F544,$B$6,U$10,$A544,$B544)</f>
        <v>0</v>
      </c>
      <c r="V544" s="4">
        <f ca="1">_xll.DBRW($B$1,$B$2,$B$7,$B$3,$B$4,$B$5,$F544,$B$6,V$10,$A544,$B544)</f>
        <v>0</v>
      </c>
      <c r="W544" s="4">
        <f ca="1">_xll.DBRW($B$1,$B$2,$B$7,$B$3,$B$4,$B$5,$F544,$B$6,W$10,$A544,$B544)</f>
        <v>0</v>
      </c>
      <c r="X544" s="4">
        <f ca="1">_xll.DBRW($B$1,$B$2,$B$7,$B$3,$B$4,$B$5,$F544,$B$6,X$10,$A544,$B544)</f>
        <v>0</v>
      </c>
      <c r="Y544" s="4">
        <f ca="1">_xll.DBRW($B$1,$B$2,$B$7,$B$3,$B$4,$B$5,$F544,$B$6,Y$10,$A544,$B544)</f>
        <v>0</v>
      </c>
      <c r="Z544" s="4">
        <f ca="1">_xll.DBRW($B$1,$B$2,$B$7,$B$3,$B$4,$B$5,$F544,$B$6,Z$10,$A544,$B544)</f>
        <v>0</v>
      </c>
      <c r="AA544" s="4">
        <f ca="1">_xll.DBRW($B$1,$B$2,$B$7,$B$3,$B$4,$B$5,$F544,$B$6,AA$10,$A544,$B544)</f>
        <v>0</v>
      </c>
      <c r="AB544" s="4">
        <f ca="1">_xll.DBRW($B$1,$B$2,$B$7,$B$3,$B$4,$B$5,$F544,$B$6,AB$10,$A544,$B544)</f>
        <v>0</v>
      </c>
      <c r="AC544" s="4">
        <f ca="1">_xll.DBRW($B$1,$B$2,$B$7,$B$3,$B$4,$B$5,$F544,$B$6,AC$10,$A544,$B544)</f>
        <v>0</v>
      </c>
      <c r="AD544" s="4">
        <f ca="1">_xll.DBRW($B$1,$B$2,$B$7,$B$3,$B$4,$B$5,$F544,$B$6,AD$10,$A544,$B544)</f>
        <v>0</v>
      </c>
      <c r="AE544" s="4">
        <f ca="1">_xll.DBRW($B$1,$B$2,$B$7,$B$3,$B$4,$B$5,$F544,$B$6,AE$10,$A544,$B544)</f>
        <v>0</v>
      </c>
    </row>
    <row r="545" spans="1:31">
      <c r="A545" s="1" t="s">
        <v>150</v>
      </c>
      <c r="B545" s="5" t="s">
        <v>256</v>
      </c>
      <c r="C545" s="5" t="s">
        <v>206</v>
      </c>
      <c r="D545" s="5" t="s">
        <v>21</v>
      </c>
      <c r="E545" s="5" t="s">
        <v>181</v>
      </c>
      <c r="F545" s="5" t="s">
        <v>316</v>
      </c>
      <c r="G545" s="6"/>
      <c r="H545" s="6"/>
      <c r="I545" s="6"/>
      <c r="J545" s="6"/>
      <c r="K545" s="6"/>
      <c r="L545" s="4">
        <f ca="1">_xll.DBRW($B$1,$B$2,$B$7,$B$3,$B$4,$B$5,$F545,$B$6,L$10,$A545,$B545)</f>
        <v>0</v>
      </c>
      <c r="M545" s="4">
        <f ca="1">_xll.DBRW($B$1,$B$2,$B$7,$B$3,$B$4,$B$5,$F545,$B$6,M$10,$A545,$B545)</f>
        <v>0</v>
      </c>
      <c r="N545" s="4">
        <f ca="1">_xll.DBRW($B$1,$B$2,$B$7,$B$3,$B$4,$B$5,$F545,$B$6,N$10,$A545,$B545)</f>
        <v>0</v>
      </c>
      <c r="O545" s="4">
        <f ca="1">_xll.DBRW($B$1,$B$2,$B$7,$B$3,$B$4,$B$5,$F545,$B$6,O$10,$A545,$B545)</f>
        <v>0</v>
      </c>
      <c r="P545" s="4">
        <f ca="1">_xll.DBRW($B$1,$B$2,$B$7,$B$3,$B$4,$B$5,$F545,$B$6,P$10,$A545,$B545)</f>
        <v>0</v>
      </c>
      <c r="Q545" s="4">
        <f ca="1">_xll.DBRW($B$1,$B$2,$B$7,$B$3,$B$4,$B$5,$F545,$B$6,Q$10,$A545,$B545)</f>
        <v>0</v>
      </c>
      <c r="R545" s="4">
        <f ca="1">_xll.DBRW($B$1,$B$2,$B$7,$B$3,$B$4,$B$5,$F545,$B$6,R$10,$A545,$B545)</f>
        <v>0</v>
      </c>
      <c r="S545" s="4">
        <f ca="1">_xll.DBRW($B$1,$B$2,$B$7,$B$3,$B$4,$B$5,$F545,$B$6,S$10,$A545,$B545)</f>
        <v>0</v>
      </c>
      <c r="T545" s="4">
        <f ca="1">_xll.DBRW($B$1,$B$2,$B$7,$B$3,$B$4,$B$5,$F545,$B$6,T$10,$A545,$B545)</f>
        <v>0</v>
      </c>
      <c r="U545" s="4">
        <f ca="1">_xll.DBRW($B$1,$B$2,$B$7,$B$3,$B$4,$B$5,$F545,$B$6,U$10,$A545,$B545)</f>
        <v>0</v>
      </c>
      <c r="V545" s="4">
        <f ca="1">_xll.DBRW($B$1,$B$2,$B$7,$B$3,$B$4,$B$5,$F545,$B$6,V$10,$A545,$B545)</f>
        <v>0</v>
      </c>
      <c r="W545" s="4">
        <f ca="1">_xll.DBRW($B$1,$B$2,$B$7,$B$3,$B$4,$B$5,$F545,$B$6,W$10,$A545,$B545)</f>
        <v>0</v>
      </c>
      <c r="X545" s="4">
        <f ca="1">_xll.DBRW($B$1,$B$2,$B$7,$B$3,$B$4,$B$5,$F545,$B$6,X$10,$A545,$B545)</f>
        <v>0</v>
      </c>
      <c r="Y545" s="4">
        <f ca="1">_xll.DBRW($B$1,$B$2,$B$7,$B$3,$B$4,$B$5,$F545,$B$6,Y$10,$A545,$B545)</f>
        <v>0</v>
      </c>
      <c r="Z545" s="4">
        <f ca="1">_xll.DBRW($B$1,$B$2,$B$7,$B$3,$B$4,$B$5,$F545,$B$6,Z$10,$A545,$B545)</f>
        <v>0</v>
      </c>
      <c r="AA545" s="4">
        <f ca="1">_xll.DBRW($B$1,$B$2,$B$7,$B$3,$B$4,$B$5,$F545,$B$6,AA$10,$A545,$B545)</f>
        <v>0</v>
      </c>
      <c r="AB545" s="4">
        <f ca="1">_xll.DBRW($B$1,$B$2,$B$7,$B$3,$B$4,$B$5,$F545,$B$6,AB$10,$A545,$B545)</f>
        <v>0</v>
      </c>
      <c r="AC545" s="4">
        <f ca="1">_xll.DBRW($B$1,$B$2,$B$7,$B$3,$B$4,$B$5,$F545,$B$6,AC$10,$A545,$B545)</f>
        <v>0</v>
      </c>
      <c r="AD545" s="4">
        <f ca="1">_xll.DBRW($B$1,$B$2,$B$7,$B$3,$B$4,$B$5,$F545,$B$6,AD$10,$A545,$B545)</f>
        <v>0</v>
      </c>
      <c r="AE545" s="4">
        <f ca="1">_xll.DBRW($B$1,$B$2,$B$7,$B$3,$B$4,$B$5,$F545,$B$6,AE$10,$A545,$B545)</f>
        <v>0</v>
      </c>
    </row>
    <row r="546" spans="1:31">
      <c r="A546" s="1" t="s">
        <v>150</v>
      </c>
      <c r="B546" s="5" t="s">
        <v>257</v>
      </c>
      <c r="C546" s="5" t="s">
        <v>208</v>
      </c>
      <c r="D546" s="5" t="s">
        <v>181</v>
      </c>
      <c r="E546" s="5" t="s">
        <v>21</v>
      </c>
      <c r="F546" s="5" t="s">
        <v>316</v>
      </c>
      <c r="G546" s="6"/>
      <c r="H546" s="6"/>
      <c r="I546" s="6"/>
      <c r="J546" s="6"/>
      <c r="K546" s="6"/>
      <c r="L546" s="4">
        <f ca="1">_xll.DBRW($B$1,$B$2,$B$7,$B$3,$B$4,$B$5,$F546,$B$6,L$10,$A546,$B546)</f>
        <v>0</v>
      </c>
      <c r="M546" s="4">
        <f ca="1">_xll.DBRW($B$1,$B$2,$B$7,$B$3,$B$4,$B$5,$F546,$B$6,M$10,$A546,$B546)</f>
        <v>0</v>
      </c>
      <c r="N546" s="4">
        <f ca="1">_xll.DBRW($B$1,$B$2,$B$7,$B$3,$B$4,$B$5,$F546,$B$6,N$10,$A546,$B546)</f>
        <v>0</v>
      </c>
      <c r="O546" s="4">
        <f ca="1">_xll.DBRW($B$1,$B$2,$B$7,$B$3,$B$4,$B$5,$F546,$B$6,O$10,$A546,$B546)</f>
        <v>0</v>
      </c>
      <c r="P546" s="4">
        <f ca="1">_xll.DBRW($B$1,$B$2,$B$7,$B$3,$B$4,$B$5,$F546,$B$6,P$10,$A546,$B546)</f>
        <v>0</v>
      </c>
      <c r="Q546" s="4">
        <f ca="1">_xll.DBRW($B$1,$B$2,$B$7,$B$3,$B$4,$B$5,$F546,$B$6,Q$10,$A546,$B546)</f>
        <v>0</v>
      </c>
      <c r="R546" s="4">
        <f ca="1">_xll.DBRW($B$1,$B$2,$B$7,$B$3,$B$4,$B$5,$F546,$B$6,R$10,$A546,$B546)</f>
        <v>0</v>
      </c>
      <c r="S546" s="4">
        <f ca="1">_xll.DBRW($B$1,$B$2,$B$7,$B$3,$B$4,$B$5,$F546,$B$6,S$10,$A546,$B546)</f>
        <v>0</v>
      </c>
      <c r="T546" s="4">
        <f ca="1">_xll.DBRW($B$1,$B$2,$B$7,$B$3,$B$4,$B$5,$F546,$B$6,T$10,$A546,$B546)</f>
        <v>0</v>
      </c>
      <c r="U546" s="4">
        <f ca="1">_xll.DBRW($B$1,$B$2,$B$7,$B$3,$B$4,$B$5,$F546,$B$6,U$10,$A546,$B546)</f>
        <v>0</v>
      </c>
      <c r="V546" s="4">
        <f ca="1">_xll.DBRW($B$1,$B$2,$B$7,$B$3,$B$4,$B$5,$F546,$B$6,V$10,$A546,$B546)</f>
        <v>0</v>
      </c>
      <c r="W546" s="4">
        <f ca="1">_xll.DBRW($B$1,$B$2,$B$7,$B$3,$B$4,$B$5,$F546,$B$6,W$10,$A546,$B546)</f>
        <v>0</v>
      </c>
      <c r="X546" s="4">
        <f ca="1">_xll.DBRW($B$1,$B$2,$B$7,$B$3,$B$4,$B$5,$F546,$B$6,X$10,$A546,$B546)</f>
        <v>0</v>
      </c>
      <c r="Y546" s="4">
        <f ca="1">_xll.DBRW($B$1,$B$2,$B$7,$B$3,$B$4,$B$5,$F546,$B$6,Y$10,$A546,$B546)</f>
        <v>0</v>
      </c>
      <c r="Z546" s="4">
        <f ca="1">_xll.DBRW($B$1,$B$2,$B$7,$B$3,$B$4,$B$5,$F546,$B$6,Z$10,$A546,$B546)</f>
        <v>0</v>
      </c>
      <c r="AA546" s="4">
        <f ca="1">_xll.DBRW($B$1,$B$2,$B$7,$B$3,$B$4,$B$5,$F546,$B$6,AA$10,$A546,$B546)</f>
        <v>0</v>
      </c>
      <c r="AB546" s="4">
        <f ca="1">_xll.DBRW($B$1,$B$2,$B$7,$B$3,$B$4,$B$5,$F546,$B$6,AB$10,$A546,$B546)</f>
        <v>0</v>
      </c>
      <c r="AC546" s="4">
        <f ca="1">_xll.DBRW($B$1,$B$2,$B$7,$B$3,$B$4,$B$5,$F546,$B$6,AC$10,$A546,$B546)</f>
        <v>0</v>
      </c>
      <c r="AD546" s="4">
        <f ca="1">_xll.DBRW($B$1,$B$2,$B$7,$B$3,$B$4,$B$5,$F546,$B$6,AD$10,$A546,$B546)</f>
        <v>0</v>
      </c>
      <c r="AE546" s="4">
        <f ca="1">_xll.DBRW($B$1,$B$2,$B$7,$B$3,$B$4,$B$5,$F546,$B$6,AE$10,$A546,$B546)</f>
        <v>0</v>
      </c>
    </row>
    <row r="547" spans="1:31">
      <c r="A547" s="1" t="s">
        <v>150</v>
      </c>
      <c r="B547" s="5" t="s">
        <v>258</v>
      </c>
      <c r="C547" s="5" t="s">
        <v>259</v>
      </c>
      <c r="D547" s="5" t="s">
        <v>21</v>
      </c>
      <c r="E547" s="5" t="s">
        <v>260</v>
      </c>
      <c r="F547" s="5" t="s">
        <v>316</v>
      </c>
      <c r="G547" s="6"/>
      <c r="H547" s="6"/>
      <c r="I547" s="6"/>
      <c r="J547" s="6"/>
      <c r="K547" s="6"/>
      <c r="L547" s="4">
        <f ca="1">_xll.DBRW($B$1,$B$2,$B$7,$B$3,$B$4,$B$5,$F547,$B$6,L$10,$A547,$B547)</f>
        <v>0</v>
      </c>
      <c r="M547" s="4">
        <f ca="1">_xll.DBRW($B$1,$B$2,$B$7,$B$3,$B$4,$B$5,$F547,$B$6,M$10,$A547,$B547)</f>
        <v>0</v>
      </c>
      <c r="N547" s="4">
        <f ca="1">_xll.DBRW($B$1,$B$2,$B$7,$B$3,$B$4,$B$5,$F547,$B$6,N$10,$A547,$B547)</f>
        <v>0</v>
      </c>
      <c r="O547" s="4">
        <f ca="1">_xll.DBRW($B$1,$B$2,$B$7,$B$3,$B$4,$B$5,$F547,$B$6,O$10,$A547,$B547)</f>
        <v>0</v>
      </c>
      <c r="P547" s="4">
        <f ca="1">_xll.DBRW($B$1,$B$2,$B$7,$B$3,$B$4,$B$5,$F547,$B$6,P$10,$A547,$B547)</f>
        <v>0</v>
      </c>
      <c r="Q547" s="4">
        <f ca="1">_xll.DBRW($B$1,$B$2,$B$7,$B$3,$B$4,$B$5,$F547,$B$6,Q$10,$A547,$B547)</f>
        <v>0</v>
      </c>
      <c r="R547" s="4">
        <f ca="1">_xll.DBRW($B$1,$B$2,$B$7,$B$3,$B$4,$B$5,$F547,$B$6,R$10,$A547,$B547)</f>
        <v>0</v>
      </c>
      <c r="S547" s="4">
        <f ca="1">_xll.DBRW($B$1,$B$2,$B$7,$B$3,$B$4,$B$5,$F547,$B$6,S$10,$A547,$B547)</f>
        <v>0</v>
      </c>
      <c r="T547" s="4">
        <f ca="1">_xll.DBRW($B$1,$B$2,$B$7,$B$3,$B$4,$B$5,$F547,$B$6,T$10,$A547,$B547)</f>
        <v>0</v>
      </c>
      <c r="U547" s="4">
        <f ca="1">_xll.DBRW($B$1,$B$2,$B$7,$B$3,$B$4,$B$5,$F547,$B$6,U$10,$A547,$B547)</f>
        <v>0</v>
      </c>
      <c r="V547" s="4">
        <f ca="1">_xll.DBRW($B$1,$B$2,$B$7,$B$3,$B$4,$B$5,$F547,$B$6,V$10,$A547,$B547)</f>
        <v>0</v>
      </c>
      <c r="W547" s="4">
        <f ca="1">_xll.DBRW($B$1,$B$2,$B$7,$B$3,$B$4,$B$5,$F547,$B$6,W$10,$A547,$B547)</f>
        <v>0</v>
      </c>
      <c r="X547" s="4">
        <f ca="1">_xll.DBRW($B$1,$B$2,$B$7,$B$3,$B$4,$B$5,$F547,$B$6,X$10,$A547,$B547)</f>
        <v>0</v>
      </c>
      <c r="Y547" s="4">
        <f ca="1">_xll.DBRW($B$1,$B$2,$B$7,$B$3,$B$4,$B$5,$F547,$B$6,Y$10,$A547,$B547)</f>
        <v>0</v>
      </c>
      <c r="Z547" s="4">
        <f ca="1">_xll.DBRW($B$1,$B$2,$B$7,$B$3,$B$4,$B$5,$F547,$B$6,Z$10,$A547,$B547)</f>
        <v>0</v>
      </c>
      <c r="AA547" s="4">
        <f ca="1">_xll.DBRW($B$1,$B$2,$B$7,$B$3,$B$4,$B$5,$F547,$B$6,AA$10,$A547,$B547)</f>
        <v>0</v>
      </c>
      <c r="AB547" s="4">
        <f ca="1">_xll.DBRW($B$1,$B$2,$B$7,$B$3,$B$4,$B$5,$F547,$B$6,AB$10,$A547,$B547)</f>
        <v>0</v>
      </c>
      <c r="AC547" s="4">
        <f ca="1">_xll.DBRW($B$1,$B$2,$B$7,$B$3,$B$4,$B$5,$F547,$B$6,AC$10,$A547,$B547)</f>
        <v>0</v>
      </c>
      <c r="AD547" s="4">
        <f ca="1">_xll.DBRW($B$1,$B$2,$B$7,$B$3,$B$4,$B$5,$F547,$B$6,AD$10,$A547,$B547)</f>
        <v>0</v>
      </c>
      <c r="AE547" s="4">
        <f ca="1">_xll.DBRW($B$1,$B$2,$B$7,$B$3,$B$4,$B$5,$F547,$B$6,AE$10,$A547,$B547)</f>
        <v>0</v>
      </c>
    </row>
    <row r="548" spans="1:31">
      <c r="A548" s="1" t="s">
        <v>150</v>
      </c>
      <c r="B548" s="5" t="s">
        <v>261</v>
      </c>
      <c r="C548" s="5" t="s">
        <v>262</v>
      </c>
      <c r="D548" s="5" t="s">
        <v>260</v>
      </c>
      <c r="E548" s="5" t="s">
        <v>21</v>
      </c>
      <c r="F548" s="5" t="s">
        <v>316</v>
      </c>
      <c r="G548" s="6"/>
      <c r="H548" s="6"/>
      <c r="I548" s="6"/>
      <c r="J548" s="6"/>
      <c r="K548" s="6"/>
      <c r="L548" s="4">
        <f ca="1">_xll.DBRW($B$1,$B$2,$B$7,$B$3,$B$4,$B$5,$F548,$B$6,L$10,$A548,$B548)</f>
        <v>0</v>
      </c>
      <c r="M548" s="4">
        <f ca="1">_xll.DBRW($B$1,$B$2,$B$7,$B$3,$B$4,$B$5,$F548,$B$6,M$10,$A548,$B548)</f>
        <v>0</v>
      </c>
      <c r="N548" s="4">
        <f ca="1">_xll.DBRW($B$1,$B$2,$B$7,$B$3,$B$4,$B$5,$F548,$B$6,N$10,$A548,$B548)</f>
        <v>0</v>
      </c>
      <c r="O548" s="4">
        <f ca="1">_xll.DBRW($B$1,$B$2,$B$7,$B$3,$B$4,$B$5,$F548,$B$6,O$10,$A548,$B548)</f>
        <v>0</v>
      </c>
      <c r="P548" s="4">
        <f ca="1">_xll.DBRW($B$1,$B$2,$B$7,$B$3,$B$4,$B$5,$F548,$B$6,P$10,$A548,$B548)</f>
        <v>0</v>
      </c>
      <c r="Q548" s="4">
        <f ca="1">_xll.DBRW($B$1,$B$2,$B$7,$B$3,$B$4,$B$5,$F548,$B$6,Q$10,$A548,$B548)</f>
        <v>0</v>
      </c>
      <c r="R548" s="4">
        <f ca="1">_xll.DBRW($B$1,$B$2,$B$7,$B$3,$B$4,$B$5,$F548,$B$6,R$10,$A548,$B548)</f>
        <v>0</v>
      </c>
      <c r="S548" s="4">
        <f ca="1">_xll.DBRW($B$1,$B$2,$B$7,$B$3,$B$4,$B$5,$F548,$B$6,S$10,$A548,$B548)</f>
        <v>0</v>
      </c>
      <c r="T548" s="4">
        <f ca="1">_xll.DBRW($B$1,$B$2,$B$7,$B$3,$B$4,$B$5,$F548,$B$6,T$10,$A548,$B548)</f>
        <v>0</v>
      </c>
      <c r="U548" s="4">
        <f ca="1">_xll.DBRW($B$1,$B$2,$B$7,$B$3,$B$4,$B$5,$F548,$B$6,U$10,$A548,$B548)</f>
        <v>0</v>
      </c>
      <c r="V548" s="4">
        <f ca="1">_xll.DBRW($B$1,$B$2,$B$7,$B$3,$B$4,$B$5,$F548,$B$6,V$10,$A548,$B548)</f>
        <v>0</v>
      </c>
      <c r="W548" s="4">
        <f ca="1">_xll.DBRW($B$1,$B$2,$B$7,$B$3,$B$4,$B$5,$F548,$B$6,W$10,$A548,$B548)</f>
        <v>0</v>
      </c>
      <c r="X548" s="4">
        <f ca="1">_xll.DBRW($B$1,$B$2,$B$7,$B$3,$B$4,$B$5,$F548,$B$6,X$10,$A548,$B548)</f>
        <v>0</v>
      </c>
      <c r="Y548" s="4">
        <f ca="1">_xll.DBRW($B$1,$B$2,$B$7,$B$3,$B$4,$B$5,$F548,$B$6,Y$10,$A548,$B548)</f>
        <v>0</v>
      </c>
      <c r="Z548" s="4">
        <f ca="1">_xll.DBRW($B$1,$B$2,$B$7,$B$3,$B$4,$B$5,$F548,$B$6,Z$10,$A548,$B548)</f>
        <v>0</v>
      </c>
      <c r="AA548" s="4">
        <f ca="1">_xll.DBRW($B$1,$B$2,$B$7,$B$3,$B$4,$B$5,$F548,$B$6,AA$10,$A548,$B548)</f>
        <v>0</v>
      </c>
      <c r="AB548" s="4">
        <f ca="1">_xll.DBRW($B$1,$B$2,$B$7,$B$3,$B$4,$B$5,$F548,$B$6,AB$10,$A548,$B548)</f>
        <v>0</v>
      </c>
      <c r="AC548" s="4">
        <f ca="1">_xll.DBRW($B$1,$B$2,$B$7,$B$3,$B$4,$B$5,$F548,$B$6,AC$10,$A548,$B548)</f>
        <v>0</v>
      </c>
      <c r="AD548" s="4">
        <f ca="1">_xll.DBRW($B$1,$B$2,$B$7,$B$3,$B$4,$B$5,$F548,$B$6,AD$10,$A548,$B548)</f>
        <v>0</v>
      </c>
      <c r="AE548" s="4">
        <f ca="1">_xll.DBRW($B$1,$B$2,$B$7,$B$3,$B$4,$B$5,$F548,$B$6,AE$10,$A548,$B548)</f>
        <v>0</v>
      </c>
    </row>
    <row r="549" spans="1:31">
      <c r="A549" s="1" t="s">
        <v>150</v>
      </c>
      <c r="B549" s="5" t="s">
        <v>263</v>
      </c>
      <c r="C549" s="5" t="s">
        <v>264</v>
      </c>
      <c r="D549" s="5" t="s">
        <v>21</v>
      </c>
      <c r="E549" s="5" t="s">
        <v>265</v>
      </c>
      <c r="F549" s="5" t="s">
        <v>316</v>
      </c>
      <c r="G549" s="6"/>
      <c r="H549" s="6"/>
      <c r="I549" s="6"/>
      <c r="J549" s="6"/>
      <c r="K549" s="6"/>
      <c r="L549" s="4">
        <f ca="1">_xll.DBRW($B$1,$B$2,$B$7,$B$3,$B$4,$B$5,$F549,$B$6,L$10,$A549,$B549)</f>
        <v>0</v>
      </c>
      <c r="M549" s="4">
        <f ca="1">_xll.DBRW($B$1,$B$2,$B$7,$B$3,$B$4,$B$5,$F549,$B$6,M$10,$A549,$B549)</f>
        <v>0</v>
      </c>
      <c r="N549" s="4">
        <f ca="1">_xll.DBRW($B$1,$B$2,$B$7,$B$3,$B$4,$B$5,$F549,$B$6,N$10,$A549,$B549)</f>
        <v>0</v>
      </c>
      <c r="O549" s="4">
        <f ca="1">_xll.DBRW($B$1,$B$2,$B$7,$B$3,$B$4,$B$5,$F549,$B$6,O$10,$A549,$B549)</f>
        <v>0</v>
      </c>
      <c r="P549" s="4">
        <f ca="1">_xll.DBRW($B$1,$B$2,$B$7,$B$3,$B$4,$B$5,$F549,$B$6,P$10,$A549,$B549)</f>
        <v>0</v>
      </c>
      <c r="Q549" s="4">
        <f ca="1">_xll.DBRW($B$1,$B$2,$B$7,$B$3,$B$4,$B$5,$F549,$B$6,Q$10,$A549,$B549)</f>
        <v>1</v>
      </c>
      <c r="R549" s="4">
        <f ca="1">_xll.DBRW($B$1,$B$2,$B$7,$B$3,$B$4,$B$5,$F549,$B$6,R$10,$A549,$B549)</f>
        <v>4</v>
      </c>
      <c r="S549" s="4">
        <f ca="1">_xll.DBRW($B$1,$B$2,$B$7,$B$3,$B$4,$B$5,$F549,$B$6,S$10,$A549,$B549)</f>
        <v>5</v>
      </c>
      <c r="T549" s="4">
        <f ca="1">_xll.DBRW($B$1,$B$2,$B$7,$B$3,$B$4,$B$5,$F549,$B$6,T$10,$A549,$B549)</f>
        <v>4</v>
      </c>
      <c r="U549" s="4">
        <f ca="1">_xll.DBRW($B$1,$B$2,$B$7,$B$3,$B$4,$B$5,$F549,$B$6,U$10,$A549,$B549)</f>
        <v>4</v>
      </c>
      <c r="V549" s="4">
        <f ca="1">_xll.DBRW($B$1,$B$2,$B$7,$B$3,$B$4,$B$5,$F549,$B$6,V$10,$A549,$B549)</f>
        <v>4</v>
      </c>
      <c r="W549" s="4">
        <f ca="1">_xll.DBRW($B$1,$B$2,$B$7,$B$3,$B$4,$B$5,$F549,$B$6,W$10,$A549,$B549)</f>
        <v>0</v>
      </c>
      <c r="X549" s="4">
        <f ca="1">_xll.DBRW($B$1,$B$2,$B$7,$B$3,$B$4,$B$5,$F549,$B$6,X$10,$A549,$B549)</f>
        <v>0</v>
      </c>
      <c r="Y549" s="4">
        <f ca="1">_xll.DBRW($B$1,$B$2,$B$7,$B$3,$B$4,$B$5,$F549,$B$6,Y$10,$A549,$B549)</f>
        <v>0</v>
      </c>
      <c r="Z549" s="4">
        <f ca="1">_xll.DBRW($B$1,$B$2,$B$7,$B$3,$B$4,$B$5,$F549,$B$6,Z$10,$A549,$B549)</f>
        <v>0</v>
      </c>
      <c r="AA549" s="4">
        <f ca="1">_xll.DBRW($B$1,$B$2,$B$7,$B$3,$B$4,$B$5,$F549,$B$6,AA$10,$A549,$B549)</f>
        <v>0</v>
      </c>
      <c r="AB549" s="4">
        <f ca="1">_xll.DBRW($B$1,$B$2,$B$7,$B$3,$B$4,$B$5,$F549,$B$6,AB$10,$A549,$B549)</f>
        <v>0</v>
      </c>
      <c r="AC549" s="4">
        <f ca="1">_xll.DBRW($B$1,$B$2,$B$7,$B$3,$B$4,$B$5,$F549,$B$6,AC$10,$A549,$B549)</f>
        <v>1</v>
      </c>
      <c r="AD549" s="4">
        <f ca="1">_xll.DBRW($B$1,$B$2,$B$7,$B$3,$B$4,$B$5,$F549,$B$6,AD$10,$A549,$B549)</f>
        <v>4</v>
      </c>
      <c r="AE549" s="4">
        <f ca="1">_xll.DBRW($B$1,$B$2,$B$7,$B$3,$B$4,$B$5,$F549,$B$6,AE$10,$A549,$B549)</f>
        <v>5</v>
      </c>
    </row>
    <row r="550" spans="1:31">
      <c r="A550" s="1" t="s">
        <v>150</v>
      </c>
      <c r="B550" s="5" t="s">
        <v>266</v>
      </c>
      <c r="C550" s="5" t="s">
        <v>267</v>
      </c>
      <c r="D550" s="5" t="s">
        <v>265</v>
      </c>
      <c r="E550" s="5" t="s">
        <v>21</v>
      </c>
      <c r="F550" s="5" t="s">
        <v>316</v>
      </c>
      <c r="G550" s="6"/>
      <c r="H550" s="6"/>
      <c r="I550" s="6"/>
      <c r="J550" s="6"/>
      <c r="K550" s="6"/>
      <c r="L550" s="4">
        <f ca="1">_xll.DBRW($B$1,$B$2,$B$7,$B$3,$B$4,$B$5,$F550,$B$6,L$10,$A550,$B550)</f>
        <v>0</v>
      </c>
      <c r="M550" s="4">
        <f ca="1">_xll.DBRW($B$1,$B$2,$B$7,$B$3,$B$4,$B$5,$F550,$B$6,M$10,$A550,$B550)</f>
        <v>0</v>
      </c>
      <c r="N550" s="4">
        <f ca="1">_xll.DBRW($B$1,$B$2,$B$7,$B$3,$B$4,$B$5,$F550,$B$6,N$10,$A550,$B550)</f>
        <v>0</v>
      </c>
      <c r="O550" s="4">
        <f ca="1">_xll.DBRW($B$1,$B$2,$B$7,$B$3,$B$4,$B$5,$F550,$B$6,O$10,$A550,$B550)</f>
        <v>0</v>
      </c>
      <c r="P550" s="4">
        <f ca="1">_xll.DBRW($B$1,$B$2,$B$7,$B$3,$B$4,$B$5,$F550,$B$6,P$10,$A550,$B550)</f>
        <v>0</v>
      </c>
      <c r="Q550" s="4">
        <f ca="1">_xll.DBRW($B$1,$B$2,$B$7,$B$3,$B$4,$B$5,$F550,$B$6,Q$10,$A550,$B550)</f>
        <v>1</v>
      </c>
      <c r="R550" s="4">
        <f ca="1">_xll.DBRW($B$1,$B$2,$B$7,$B$3,$B$4,$B$5,$F550,$B$6,R$10,$A550,$B550)</f>
        <v>4</v>
      </c>
      <c r="S550" s="4">
        <f ca="1">_xll.DBRW($B$1,$B$2,$B$7,$B$3,$B$4,$B$5,$F550,$B$6,S$10,$A550,$B550)</f>
        <v>5</v>
      </c>
      <c r="T550" s="4">
        <f ca="1">_xll.DBRW($B$1,$B$2,$B$7,$B$3,$B$4,$B$5,$F550,$B$6,T$10,$A550,$B550)</f>
        <v>4</v>
      </c>
      <c r="U550" s="4">
        <f ca="1">_xll.DBRW($B$1,$B$2,$B$7,$B$3,$B$4,$B$5,$F550,$B$6,U$10,$A550,$B550)</f>
        <v>4</v>
      </c>
      <c r="V550" s="4">
        <f ca="1">_xll.DBRW($B$1,$B$2,$B$7,$B$3,$B$4,$B$5,$F550,$B$6,V$10,$A550,$B550)</f>
        <v>4</v>
      </c>
      <c r="W550" s="4">
        <f ca="1">_xll.DBRW($B$1,$B$2,$B$7,$B$3,$B$4,$B$5,$F550,$B$6,W$10,$A550,$B550)</f>
        <v>0</v>
      </c>
      <c r="X550" s="4">
        <f ca="1">_xll.DBRW($B$1,$B$2,$B$7,$B$3,$B$4,$B$5,$F550,$B$6,X$10,$A550,$B550)</f>
        <v>0</v>
      </c>
      <c r="Y550" s="4">
        <f ca="1">_xll.DBRW($B$1,$B$2,$B$7,$B$3,$B$4,$B$5,$F550,$B$6,Y$10,$A550,$B550)</f>
        <v>0</v>
      </c>
      <c r="Z550" s="4">
        <f ca="1">_xll.DBRW($B$1,$B$2,$B$7,$B$3,$B$4,$B$5,$F550,$B$6,Z$10,$A550,$B550)</f>
        <v>0</v>
      </c>
      <c r="AA550" s="4">
        <f ca="1">_xll.DBRW($B$1,$B$2,$B$7,$B$3,$B$4,$B$5,$F550,$B$6,AA$10,$A550,$B550)</f>
        <v>0</v>
      </c>
      <c r="AB550" s="4">
        <f ca="1">_xll.DBRW($B$1,$B$2,$B$7,$B$3,$B$4,$B$5,$F550,$B$6,AB$10,$A550,$B550)</f>
        <v>0</v>
      </c>
      <c r="AC550" s="4">
        <f ca="1">_xll.DBRW($B$1,$B$2,$B$7,$B$3,$B$4,$B$5,$F550,$B$6,AC$10,$A550,$B550)</f>
        <v>1</v>
      </c>
      <c r="AD550" s="4">
        <f ca="1">_xll.DBRW($B$1,$B$2,$B$7,$B$3,$B$4,$B$5,$F550,$B$6,AD$10,$A550,$B550)</f>
        <v>4</v>
      </c>
      <c r="AE550" s="4">
        <f ca="1">_xll.DBRW($B$1,$B$2,$B$7,$B$3,$B$4,$B$5,$F550,$B$6,AE$10,$A550,$B550)</f>
        <v>5</v>
      </c>
    </row>
    <row r="551" spans="1:31">
      <c r="A551" s="1" t="s">
        <v>150</v>
      </c>
      <c r="B551" s="5" t="s">
        <v>268</v>
      </c>
      <c r="C551" s="5" t="s">
        <v>264</v>
      </c>
      <c r="D551" s="5" t="s">
        <v>21</v>
      </c>
      <c r="E551" s="5" t="s">
        <v>265</v>
      </c>
      <c r="F551" s="5" t="s">
        <v>316</v>
      </c>
      <c r="G551" s="6"/>
      <c r="H551" s="6"/>
      <c r="I551" s="6"/>
      <c r="J551" s="6"/>
      <c r="K551" s="6"/>
      <c r="L551" s="4">
        <f ca="1">_xll.DBRW($B$1,$B$2,$B$7,$B$3,$B$4,$B$5,$F551,$B$6,L$10,$A551,$B551)</f>
        <v>0</v>
      </c>
      <c r="M551" s="4">
        <f ca="1">_xll.DBRW($B$1,$B$2,$B$7,$B$3,$B$4,$B$5,$F551,$B$6,M$10,$A551,$B551)</f>
        <v>0</v>
      </c>
      <c r="N551" s="4">
        <f ca="1">_xll.DBRW($B$1,$B$2,$B$7,$B$3,$B$4,$B$5,$F551,$B$6,N$10,$A551,$B551)</f>
        <v>0</v>
      </c>
      <c r="O551" s="4">
        <f ca="1">_xll.DBRW($B$1,$B$2,$B$7,$B$3,$B$4,$B$5,$F551,$B$6,O$10,$A551,$B551)</f>
        <v>0</v>
      </c>
      <c r="P551" s="4">
        <f ca="1">_xll.DBRW($B$1,$B$2,$B$7,$B$3,$B$4,$B$5,$F551,$B$6,P$10,$A551,$B551)</f>
        <v>0</v>
      </c>
      <c r="Q551" s="4">
        <f ca="1">_xll.DBRW($B$1,$B$2,$B$7,$B$3,$B$4,$B$5,$F551,$B$6,Q$10,$A551,$B551)</f>
        <v>1</v>
      </c>
      <c r="R551" s="4">
        <f ca="1">_xll.DBRW($B$1,$B$2,$B$7,$B$3,$B$4,$B$5,$F551,$B$6,R$10,$A551,$B551)</f>
        <v>0</v>
      </c>
      <c r="S551" s="4">
        <f ca="1">_xll.DBRW($B$1,$B$2,$B$7,$B$3,$B$4,$B$5,$F551,$B$6,S$10,$A551,$B551)</f>
        <v>0</v>
      </c>
      <c r="T551" s="4">
        <f ca="1">_xll.DBRW($B$1,$B$2,$B$7,$B$3,$B$4,$B$5,$F551,$B$6,T$10,$A551,$B551)</f>
        <v>0</v>
      </c>
      <c r="U551" s="4">
        <f ca="1">_xll.DBRW($B$1,$B$2,$B$7,$B$3,$B$4,$B$5,$F551,$B$6,U$10,$A551,$B551)</f>
        <v>0</v>
      </c>
      <c r="V551" s="4">
        <f ca="1">_xll.DBRW($B$1,$B$2,$B$7,$B$3,$B$4,$B$5,$F551,$B$6,V$10,$A551,$B551)</f>
        <v>0</v>
      </c>
      <c r="W551" s="4">
        <f ca="1">_xll.DBRW($B$1,$B$2,$B$7,$B$3,$B$4,$B$5,$F551,$B$6,W$10,$A551,$B551)</f>
        <v>0</v>
      </c>
      <c r="X551" s="4">
        <f ca="1">_xll.DBRW($B$1,$B$2,$B$7,$B$3,$B$4,$B$5,$F551,$B$6,X$10,$A551,$B551)</f>
        <v>0</v>
      </c>
      <c r="Y551" s="4">
        <f ca="1">_xll.DBRW($B$1,$B$2,$B$7,$B$3,$B$4,$B$5,$F551,$B$6,Y$10,$A551,$B551)</f>
        <v>0</v>
      </c>
      <c r="Z551" s="4">
        <f ca="1">_xll.DBRW($B$1,$B$2,$B$7,$B$3,$B$4,$B$5,$F551,$B$6,Z$10,$A551,$B551)</f>
        <v>0</v>
      </c>
      <c r="AA551" s="4">
        <f ca="1">_xll.DBRW($B$1,$B$2,$B$7,$B$3,$B$4,$B$5,$F551,$B$6,AA$10,$A551,$B551)</f>
        <v>0</v>
      </c>
      <c r="AB551" s="4">
        <f ca="1">_xll.DBRW($B$1,$B$2,$B$7,$B$3,$B$4,$B$5,$F551,$B$6,AB$10,$A551,$B551)</f>
        <v>0</v>
      </c>
      <c r="AC551" s="4">
        <f ca="1">_xll.DBRW($B$1,$B$2,$B$7,$B$3,$B$4,$B$5,$F551,$B$6,AC$10,$A551,$B551)</f>
        <v>0</v>
      </c>
      <c r="AD551" s="4">
        <f ca="1">_xll.DBRW($B$1,$B$2,$B$7,$B$3,$B$4,$B$5,$F551,$B$6,AD$10,$A551,$B551)</f>
        <v>0</v>
      </c>
      <c r="AE551" s="4">
        <f ca="1">_xll.DBRW($B$1,$B$2,$B$7,$B$3,$B$4,$B$5,$F551,$B$6,AE$10,$A551,$B551)</f>
        <v>0</v>
      </c>
    </row>
    <row r="552" spans="1:31">
      <c r="A552" s="1" t="s">
        <v>150</v>
      </c>
      <c r="B552" s="5" t="s">
        <v>269</v>
      </c>
      <c r="C552" s="5" t="s">
        <v>267</v>
      </c>
      <c r="D552" s="5" t="s">
        <v>265</v>
      </c>
      <c r="E552" s="5" t="s">
        <v>21</v>
      </c>
      <c r="F552" s="5" t="s">
        <v>316</v>
      </c>
      <c r="G552" s="6"/>
      <c r="H552" s="6"/>
      <c r="I552" s="6"/>
      <c r="J552" s="6"/>
      <c r="K552" s="6"/>
      <c r="L552" s="4">
        <f ca="1">_xll.DBRW($B$1,$B$2,$B$7,$B$3,$B$4,$B$5,$F552,$B$6,L$10,$A552,$B552)</f>
        <v>0</v>
      </c>
      <c r="M552" s="4">
        <f ca="1">_xll.DBRW($B$1,$B$2,$B$7,$B$3,$B$4,$B$5,$F552,$B$6,M$10,$A552,$B552)</f>
        <v>0</v>
      </c>
      <c r="N552" s="4">
        <f ca="1">_xll.DBRW($B$1,$B$2,$B$7,$B$3,$B$4,$B$5,$F552,$B$6,N$10,$A552,$B552)</f>
        <v>0</v>
      </c>
      <c r="O552" s="4">
        <f ca="1">_xll.DBRW($B$1,$B$2,$B$7,$B$3,$B$4,$B$5,$F552,$B$6,O$10,$A552,$B552)</f>
        <v>0</v>
      </c>
      <c r="P552" s="4">
        <f ca="1">_xll.DBRW($B$1,$B$2,$B$7,$B$3,$B$4,$B$5,$F552,$B$6,P$10,$A552,$B552)</f>
        <v>0</v>
      </c>
      <c r="Q552" s="4">
        <f ca="1">_xll.DBRW($B$1,$B$2,$B$7,$B$3,$B$4,$B$5,$F552,$B$6,Q$10,$A552,$B552)</f>
        <v>1</v>
      </c>
      <c r="R552" s="4">
        <f ca="1">_xll.DBRW($B$1,$B$2,$B$7,$B$3,$B$4,$B$5,$F552,$B$6,R$10,$A552,$B552)</f>
        <v>0</v>
      </c>
      <c r="S552" s="4">
        <f ca="1">_xll.DBRW($B$1,$B$2,$B$7,$B$3,$B$4,$B$5,$F552,$B$6,S$10,$A552,$B552)</f>
        <v>0</v>
      </c>
      <c r="T552" s="4">
        <f ca="1">_xll.DBRW($B$1,$B$2,$B$7,$B$3,$B$4,$B$5,$F552,$B$6,T$10,$A552,$B552)</f>
        <v>0</v>
      </c>
      <c r="U552" s="4">
        <f ca="1">_xll.DBRW($B$1,$B$2,$B$7,$B$3,$B$4,$B$5,$F552,$B$6,U$10,$A552,$B552)</f>
        <v>0</v>
      </c>
      <c r="V552" s="4">
        <f ca="1">_xll.DBRW($B$1,$B$2,$B$7,$B$3,$B$4,$B$5,$F552,$B$6,V$10,$A552,$B552)</f>
        <v>0</v>
      </c>
      <c r="W552" s="4">
        <f ca="1">_xll.DBRW($B$1,$B$2,$B$7,$B$3,$B$4,$B$5,$F552,$B$6,W$10,$A552,$B552)</f>
        <v>0</v>
      </c>
      <c r="X552" s="4">
        <f ca="1">_xll.DBRW($B$1,$B$2,$B$7,$B$3,$B$4,$B$5,$F552,$B$6,X$10,$A552,$B552)</f>
        <v>0</v>
      </c>
      <c r="Y552" s="4">
        <f ca="1">_xll.DBRW($B$1,$B$2,$B$7,$B$3,$B$4,$B$5,$F552,$B$6,Y$10,$A552,$B552)</f>
        <v>0</v>
      </c>
      <c r="Z552" s="4">
        <f ca="1">_xll.DBRW($B$1,$B$2,$B$7,$B$3,$B$4,$B$5,$F552,$B$6,Z$10,$A552,$B552)</f>
        <v>0</v>
      </c>
      <c r="AA552" s="4">
        <f ca="1">_xll.DBRW($B$1,$B$2,$B$7,$B$3,$B$4,$B$5,$F552,$B$6,AA$10,$A552,$B552)</f>
        <v>0</v>
      </c>
      <c r="AB552" s="4">
        <f ca="1">_xll.DBRW($B$1,$B$2,$B$7,$B$3,$B$4,$B$5,$F552,$B$6,AB$10,$A552,$B552)</f>
        <v>0</v>
      </c>
      <c r="AC552" s="4">
        <f ca="1">_xll.DBRW($B$1,$B$2,$B$7,$B$3,$B$4,$B$5,$F552,$B$6,AC$10,$A552,$B552)</f>
        <v>0</v>
      </c>
      <c r="AD552" s="4">
        <f ca="1">_xll.DBRW($B$1,$B$2,$B$7,$B$3,$B$4,$B$5,$F552,$B$6,AD$10,$A552,$B552)</f>
        <v>0</v>
      </c>
      <c r="AE552" s="4">
        <f ca="1">_xll.DBRW($B$1,$B$2,$B$7,$B$3,$B$4,$B$5,$F552,$B$6,AE$10,$A552,$B552)</f>
        <v>0</v>
      </c>
    </row>
    <row r="553" spans="1:31">
      <c r="A553" s="1" t="s">
        <v>150</v>
      </c>
      <c r="B553" s="5" t="s">
        <v>270</v>
      </c>
      <c r="C553" s="5" t="s">
        <v>271</v>
      </c>
      <c r="D553" s="5" t="s">
        <v>21</v>
      </c>
      <c r="E553" s="5" t="s">
        <v>272</v>
      </c>
      <c r="F553" s="5" t="s">
        <v>316</v>
      </c>
      <c r="G553" s="6"/>
      <c r="H553" s="6"/>
      <c r="I553" s="6"/>
      <c r="J553" s="6"/>
      <c r="K553" s="6"/>
      <c r="L553" s="4">
        <f ca="1">_xll.DBRW($B$1,$B$2,$B$7,$B$3,$B$4,$B$5,$F553,$B$6,L$10,$A553,$B553)</f>
        <v>0</v>
      </c>
      <c r="M553" s="4">
        <f ca="1">_xll.DBRW($B$1,$B$2,$B$7,$B$3,$B$4,$B$5,$F553,$B$6,M$10,$A553,$B553)</f>
        <v>0</v>
      </c>
      <c r="N553" s="4">
        <f ca="1">_xll.DBRW($B$1,$B$2,$B$7,$B$3,$B$4,$B$5,$F553,$B$6,N$10,$A553,$B553)</f>
        <v>0</v>
      </c>
      <c r="O553" s="4">
        <f ca="1">_xll.DBRW($B$1,$B$2,$B$7,$B$3,$B$4,$B$5,$F553,$B$6,O$10,$A553,$B553)</f>
        <v>0</v>
      </c>
      <c r="P553" s="4">
        <f ca="1">_xll.DBRW($B$1,$B$2,$B$7,$B$3,$B$4,$B$5,$F553,$B$6,P$10,$A553,$B553)</f>
        <v>0</v>
      </c>
      <c r="Q553" s="4">
        <f ca="1">_xll.DBRW($B$1,$B$2,$B$7,$B$3,$B$4,$B$5,$F553,$B$6,Q$10,$A553,$B553)</f>
        <v>0</v>
      </c>
      <c r="R553" s="4">
        <f ca="1">_xll.DBRW($B$1,$B$2,$B$7,$B$3,$B$4,$B$5,$F553,$B$6,R$10,$A553,$B553)</f>
        <v>0</v>
      </c>
      <c r="S553" s="4">
        <f ca="1">_xll.DBRW($B$1,$B$2,$B$7,$B$3,$B$4,$B$5,$F553,$B$6,S$10,$A553,$B553)</f>
        <v>0</v>
      </c>
      <c r="T553" s="4">
        <f ca="1">_xll.DBRW($B$1,$B$2,$B$7,$B$3,$B$4,$B$5,$F553,$B$6,T$10,$A553,$B553)</f>
        <v>0</v>
      </c>
      <c r="U553" s="4">
        <f ca="1">_xll.DBRW($B$1,$B$2,$B$7,$B$3,$B$4,$B$5,$F553,$B$6,U$10,$A553,$B553)</f>
        <v>0</v>
      </c>
      <c r="V553" s="4">
        <f ca="1">_xll.DBRW($B$1,$B$2,$B$7,$B$3,$B$4,$B$5,$F553,$B$6,V$10,$A553,$B553)</f>
        <v>0</v>
      </c>
      <c r="W553" s="4">
        <f ca="1">_xll.DBRW($B$1,$B$2,$B$7,$B$3,$B$4,$B$5,$F553,$B$6,W$10,$A553,$B553)</f>
        <v>0</v>
      </c>
      <c r="X553" s="4">
        <f ca="1">_xll.DBRW($B$1,$B$2,$B$7,$B$3,$B$4,$B$5,$F553,$B$6,X$10,$A553,$B553)</f>
        <v>0</v>
      </c>
      <c r="Y553" s="4">
        <f ca="1">_xll.DBRW($B$1,$B$2,$B$7,$B$3,$B$4,$B$5,$F553,$B$6,Y$10,$A553,$B553)</f>
        <v>0</v>
      </c>
      <c r="Z553" s="4">
        <f ca="1">_xll.DBRW($B$1,$B$2,$B$7,$B$3,$B$4,$B$5,$F553,$B$6,Z$10,$A553,$B553)</f>
        <v>0</v>
      </c>
      <c r="AA553" s="4">
        <f ca="1">_xll.DBRW($B$1,$B$2,$B$7,$B$3,$B$4,$B$5,$F553,$B$6,AA$10,$A553,$B553)</f>
        <v>0</v>
      </c>
      <c r="AB553" s="4">
        <f ca="1">_xll.DBRW($B$1,$B$2,$B$7,$B$3,$B$4,$B$5,$F553,$B$6,AB$10,$A553,$B553)</f>
        <v>0</v>
      </c>
      <c r="AC553" s="4">
        <f ca="1">_xll.DBRW($B$1,$B$2,$B$7,$B$3,$B$4,$B$5,$F553,$B$6,AC$10,$A553,$B553)</f>
        <v>0</v>
      </c>
      <c r="AD553" s="4">
        <f ca="1">_xll.DBRW($B$1,$B$2,$B$7,$B$3,$B$4,$B$5,$F553,$B$6,AD$10,$A553,$B553)</f>
        <v>0</v>
      </c>
      <c r="AE553" s="4">
        <f ca="1">_xll.DBRW($B$1,$B$2,$B$7,$B$3,$B$4,$B$5,$F553,$B$6,AE$10,$A553,$B553)</f>
        <v>0</v>
      </c>
    </row>
    <row r="554" spans="1:31">
      <c r="A554" s="1" t="s">
        <v>150</v>
      </c>
      <c r="B554" s="5" t="s">
        <v>273</v>
      </c>
      <c r="C554" s="5" t="s">
        <v>274</v>
      </c>
      <c r="D554" s="5" t="s">
        <v>272</v>
      </c>
      <c r="E554" s="5" t="s">
        <v>21</v>
      </c>
      <c r="F554" s="5" t="s">
        <v>316</v>
      </c>
      <c r="G554" s="6"/>
      <c r="H554" s="6"/>
      <c r="I554" s="6"/>
      <c r="J554" s="6"/>
      <c r="K554" s="6"/>
      <c r="L554" s="4">
        <f ca="1">_xll.DBRW($B$1,$B$2,$B$7,$B$3,$B$4,$B$5,$F554,$B$6,L$10,$A554,$B554)</f>
        <v>0</v>
      </c>
      <c r="M554" s="4">
        <f ca="1">_xll.DBRW($B$1,$B$2,$B$7,$B$3,$B$4,$B$5,$F554,$B$6,M$10,$A554,$B554)</f>
        <v>0</v>
      </c>
      <c r="N554" s="4">
        <f ca="1">_xll.DBRW($B$1,$B$2,$B$7,$B$3,$B$4,$B$5,$F554,$B$6,N$10,$A554,$B554)</f>
        <v>0</v>
      </c>
      <c r="O554" s="4">
        <f ca="1">_xll.DBRW($B$1,$B$2,$B$7,$B$3,$B$4,$B$5,$F554,$B$6,O$10,$A554,$B554)</f>
        <v>0</v>
      </c>
      <c r="P554" s="4">
        <f ca="1">_xll.DBRW($B$1,$B$2,$B$7,$B$3,$B$4,$B$5,$F554,$B$6,P$10,$A554,$B554)</f>
        <v>0</v>
      </c>
      <c r="Q554" s="4">
        <f ca="1">_xll.DBRW($B$1,$B$2,$B$7,$B$3,$B$4,$B$5,$F554,$B$6,Q$10,$A554,$B554)</f>
        <v>0</v>
      </c>
      <c r="R554" s="4">
        <f ca="1">_xll.DBRW($B$1,$B$2,$B$7,$B$3,$B$4,$B$5,$F554,$B$6,R$10,$A554,$B554)</f>
        <v>0</v>
      </c>
      <c r="S554" s="4">
        <f ca="1">_xll.DBRW($B$1,$B$2,$B$7,$B$3,$B$4,$B$5,$F554,$B$6,S$10,$A554,$B554)</f>
        <v>0</v>
      </c>
      <c r="T554" s="4">
        <f ca="1">_xll.DBRW($B$1,$B$2,$B$7,$B$3,$B$4,$B$5,$F554,$B$6,T$10,$A554,$B554)</f>
        <v>0</v>
      </c>
      <c r="U554" s="4">
        <f ca="1">_xll.DBRW($B$1,$B$2,$B$7,$B$3,$B$4,$B$5,$F554,$B$6,U$10,$A554,$B554)</f>
        <v>0</v>
      </c>
      <c r="V554" s="4">
        <f ca="1">_xll.DBRW($B$1,$B$2,$B$7,$B$3,$B$4,$B$5,$F554,$B$6,V$10,$A554,$B554)</f>
        <v>0</v>
      </c>
      <c r="W554" s="4">
        <f ca="1">_xll.DBRW($B$1,$B$2,$B$7,$B$3,$B$4,$B$5,$F554,$B$6,W$10,$A554,$B554)</f>
        <v>0</v>
      </c>
      <c r="X554" s="4">
        <f ca="1">_xll.DBRW($B$1,$B$2,$B$7,$B$3,$B$4,$B$5,$F554,$B$6,X$10,$A554,$B554)</f>
        <v>0</v>
      </c>
      <c r="Y554" s="4">
        <f ca="1">_xll.DBRW($B$1,$B$2,$B$7,$B$3,$B$4,$B$5,$F554,$B$6,Y$10,$A554,$B554)</f>
        <v>0</v>
      </c>
      <c r="Z554" s="4">
        <f ca="1">_xll.DBRW($B$1,$B$2,$B$7,$B$3,$B$4,$B$5,$F554,$B$6,Z$10,$A554,$B554)</f>
        <v>0</v>
      </c>
      <c r="AA554" s="4">
        <f ca="1">_xll.DBRW($B$1,$B$2,$B$7,$B$3,$B$4,$B$5,$F554,$B$6,AA$10,$A554,$B554)</f>
        <v>0</v>
      </c>
      <c r="AB554" s="4">
        <f ca="1">_xll.DBRW($B$1,$B$2,$B$7,$B$3,$B$4,$B$5,$F554,$B$6,AB$10,$A554,$B554)</f>
        <v>0</v>
      </c>
      <c r="AC554" s="4">
        <f ca="1">_xll.DBRW($B$1,$B$2,$B$7,$B$3,$B$4,$B$5,$F554,$B$6,AC$10,$A554,$B554)</f>
        <v>0</v>
      </c>
      <c r="AD554" s="4">
        <f ca="1">_xll.DBRW($B$1,$B$2,$B$7,$B$3,$B$4,$B$5,$F554,$B$6,AD$10,$A554,$B554)</f>
        <v>0</v>
      </c>
      <c r="AE554" s="4">
        <f ca="1">_xll.DBRW($B$1,$B$2,$B$7,$B$3,$B$4,$B$5,$F554,$B$6,AE$10,$A554,$B554)</f>
        <v>0</v>
      </c>
    </row>
    <row r="555" spans="1:31">
      <c r="A555" s="1" t="s">
        <v>150</v>
      </c>
      <c r="B555" s="5" t="s">
        <v>275</v>
      </c>
      <c r="C555" s="5" t="s">
        <v>276</v>
      </c>
      <c r="D555" s="5" t="s">
        <v>21</v>
      </c>
      <c r="E555" s="5" t="s">
        <v>277</v>
      </c>
      <c r="F555" s="5" t="s">
        <v>316</v>
      </c>
      <c r="G555" s="6"/>
      <c r="H555" s="6"/>
      <c r="I555" s="6"/>
      <c r="J555" s="6"/>
      <c r="K555" s="6"/>
      <c r="L555" s="4">
        <f ca="1">_xll.DBRW($B$1,$B$2,$B$7,$B$3,$B$4,$B$5,$F555,$B$6,L$10,$A555,$B555)</f>
        <v>0</v>
      </c>
      <c r="M555" s="4">
        <f ca="1">_xll.DBRW($B$1,$B$2,$B$7,$B$3,$B$4,$B$5,$F555,$B$6,M$10,$A555,$B555)</f>
        <v>0</v>
      </c>
      <c r="N555" s="4">
        <f ca="1">_xll.DBRW($B$1,$B$2,$B$7,$B$3,$B$4,$B$5,$F555,$B$6,N$10,$A555,$B555)</f>
        <v>0</v>
      </c>
      <c r="O555" s="4">
        <f ca="1">_xll.DBRW($B$1,$B$2,$B$7,$B$3,$B$4,$B$5,$F555,$B$6,O$10,$A555,$B555)</f>
        <v>0</v>
      </c>
      <c r="P555" s="4">
        <f ca="1">_xll.DBRW($B$1,$B$2,$B$7,$B$3,$B$4,$B$5,$F555,$B$6,P$10,$A555,$B555)</f>
        <v>0</v>
      </c>
      <c r="Q555" s="4">
        <f ca="1">_xll.DBRW($B$1,$B$2,$B$7,$B$3,$B$4,$B$5,$F555,$B$6,Q$10,$A555,$B555)</f>
        <v>0</v>
      </c>
      <c r="R555" s="4">
        <f ca="1">_xll.DBRW($B$1,$B$2,$B$7,$B$3,$B$4,$B$5,$F555,$B$6,R$10,$A555,$B555)</f>
        <v>0</v>
      </c>
      <c r="S555" s="4">
        <f ca="1">_xll.DBRW($B$1,$B$2,$B$7,$B$3,$B$4,$B$5,$F555,$B$6,S$10,$A555,$B555)</f>
        <v>0</v>
      </c>
      <c r="T555" s="4">
        <f ca="1">_xll.DBRW($B$1,$B$2,$B$7,$B$3,$B$4,$B$5,$F555,$B$6,T$10,$A555,$B555)</f>
        <v>0</v>
      </c>
      <c r="U555" s="4">
        <f ca="1">_xll.DBRW($B$1,$B$2,$B$7,$B$3,$B$4,$B$5,$F555,$B$6,U$10,$A555,$B555)</f>
        <v>0</v>
      </c>
      <c r="V555" s="4">
        <f ca="1">_xll.DBRW($B$1,$B$2,$B$7,$B$3,$B$4,$B$5,$F555,$B$6,V$10,$A555,$B555)</f>
        <v>0</v>
      </c>
      <c r="W555" s="4">
        <f ca="1">_xll.DBRW($B$1,$B$2,$B$7,$B$3,$B$4,$B$5,$F555,$B$6,W$10,$A555,$B555)</f>
        <v>0</v>
      </c>
      <c r="X555" s="4">
        <f ca="1">_xll.DBRW($B$1,$B$2,$B$7,$B$3,$B$4,$B$5,$F555,$B$6,X$10,$A555,$B555)</f>
        <v>0</v>
      </c>
      <c r="Y555" s="4">
        <f ca="1">_xll.DBRW($B$1,$B$2,$B$7,$B$3,$B$4,$B$5,$F555,$B$6,Y$10,$A555,$B555)</f>
        <v>0</v>
      </c>
      <c r="Z555" s="4">
        <f ca="1">_xll.DBRW($B$1,$B$2,$B$7,$B$3,$B$4,$B$5,$F555,$B$6,Z$10,$A555,$B555)</f>
        <v>0</v>
      </c>
      <c r="AA555" s="4">
        <f ca="1">_xll.DBRW($B$1,$B$2,$B$7,$B$3,$B$4,$B$5,$F555,$B$6,AA$10,$A555,$B555)</f>
        <v>0</v>
      </c>
      <c r="AB555" s="4">
        <f ca="1">_xll.DBRW($B$1,$B$2,$B$7,$B$3,$B$4,$B$5,$F555,$B$6,AB$10,$A555,$B555)</f>
        <v>0</v>
      </c>
      <c r="AC555" s="4">
        <f ca="1">_xll.DBRW($B$1,$B$2,$B$7,$B$3,$B$4,$B$5,$F555,$B$6,AC$10,$A555,$B555)</f>
        <v>0</v>
      </c>
      <c r="AD555" s="4">
        <f ca="1">_xll.DBRW($B$1,$B$2,$B$7,$B$3,$B$4,$B$5,$F555,$B$6,AD$10,$A555,$B555)</f>
        <v>0</v>
      </c>
      <c r="AE555" s="4">
        <f ca="1">_xll.DBRW($B$1,$B$2,$B$7,$B$3,$B$4,$B$5,$F555,$B$6,AE$10,$A555,$B555)</f>
        <v>0</v>
      </c>
    </row>
    <row r="556" spans="1:31">
      <c r="A556" s="1" t="s">
        <v>150</v>
      </c>
      <c r="B556" s="5" t="s">
        <v>278</v>
      </c>
      <c r="C556" s="5" t="s">
        <v>279</v>
      </c>
      <c r="D556" s="5" t="s">
        <v>277</v>
      </c>
      <c r="E556" s="5" t="s">
        <v>21</v>
      </c>
      <c r="F556" s="5" t="s">
        <v>316</v>
      </c>
      <c r="G556" s="6"/>
      <c r="H556" s="6"/>
      <c r="I556" s="6"/>
      <c r="J556" s="6"/>
      <c r="K556" s="6"/>
      <c r="L556" s="4">
        <f ca="1">_xll.DBRW($B$1,$B$2,$B$7,$B$3,$B$4,$B$5,$F556,$B$6,L$10,$A556,$B556)</f>
        <v>0</v>
      </c>
      <c r="M556" s="4">
        <f ca="1">_xll.DBRW($B$1,$B$2,$B$7,$B$3,$B$4,$B$5,$F556,$B$6,M$10,$A556,$B556)</f>
        <v>0</v>
      </c>
      <c r="N556" s="4">
        <f ca="1">_xll.DBRW($B$1,$B$2,$B$7,$B$3,$B$4,$B$5,$F556,$B$6,N$10,$A556,$B556)</f>
        <v>0</v>
      </c>
      <c r="O556" s="4">
        <f ca="1">_xll.DBRW($B$1,$B$2,$B$7,$B$3,$B$4,$B$5,$F556,$B$6,O$10,$A556,$B556)</f>
        <v>0</v>
      </c>
      <c r="P556" s="4">
        <f ca="1">_xll.DBRW($B$1,$B$2,$B$7,$B$3,$B$4,$B$5,$F556,$B$6,P$10,$A556,$B556)</f>
        <v>0</v>
      </c>
      <c r="Q556" s="4">
        <f ca="1">_xll.DBRW($B$1,$B$2,$B$7,$B$3,$B$4,$B$5,$F556,$B$6,Q$10,$A556,$B556)</f>
        <v>0</v>
      </c>
      <c r="R556" s="4">
        <f ca="1">_xll.DBRW($B$1,$B$2,$B$7,$B$3,$B$4,$B$5,$F556,$B$6,R$10,$A556,$B556)</f>
        <v>0</v>
      </c>
      <c r="S556" s="4">
        <f ca="1">_xll.DBRW($B$1,$B$2,$B$7,$B$3,$B$4,$B$5,$F556,$B$6,S$10,$A556,$B556)</f>
        <v>0</v>
      </c>
      <c r="T556" s="4">
        <f ca="1">_xll.DBRW($B$1,$B$2,$B$7,$B$3,$B$4,$B$5,$F556,$B$6,T$10,$A556,$B556)</f>
        <v>0</v>
      </c>
      <c r="U556" s="4">
        <f ca="1">_xll.DBRW($B$1,$B$2,$B$7,$B$3,$B$4,$B$5,$F556,$B$6,U$10,$A556,$B556)</f>
        <v>0</v>
      </c>
      <c r="V556" s="4">
        <f ca="1">_xll.DBRW($B$1,$B$2,$B$7,$B$3,$B$4,$B$5,$F556,$B$6,V$10,$A556,$B556)</f>
        <v>0</v>
      </c>
      <c r="W556" s="4">
        <f ca="1">_xll.DBRW($B$1,$B$2,$B$7,$B$3,$B$4,$B$5,$F556,$B$6,W$10,$A556,$B556)</f>
        <v>0</v>
      </c>
      <c r="X556" s="4">
        <f ca="1">_xll.DBRW($B$1,$B$2,$B$7,$B$3,$B$4,$B$5,$F556,$B$6,X$10,$A556,$B556)</f>
        <v>0</v>
      </c>
      <c r="Y556" s="4">
        <f ca="1">_xll.DBRW($B$1,$B$2,$B$7,$B$3,$B$4,$B$5,$F556,$B$6,Y$10,$A556,$B556)</f>
        <v>0</v>
      </c>
      <c r="Z556" s="4">
        <f ca="1">_xll.DBRW($B$1,$B$2,$B$7,$B$3,$B$4,$B$5,$F556,$B$6,Z$10,$A556,$B556)</f>
        <v>0</v>
      </c>
      <c r="AA556" s="4">
        <f ca="1">_xll.DBRW($B$1,$B$2,$B$7,$B$3,$B$4,$B$5,$F556,$B$6,AA$10,$A556,$B556)</f>
        <v>0</v>
      </c>
      <c r="AB556" s="4">
        <f ca="1">_xll.DBRW($B$1,$B$2,$B$7,$B$3,$B$4,$B$5,$F556,$B$6,AB$10,$A556,$B556)</f>
        <v>0</v>
      </c>
      <c r="AC556" s="4">
        <f ca="1">_xll.DBRW($B$1,$B$2,$B$7,$B$3,$B$4,$B$5,$F556,$B$6,AC$10,$A556,$B556)</f>
        <v>0</v>
      </c>
      <c r="AD556" s="4">
        <f ca="1">_xll.DBRW($B$1,$B$2,$B$7,$B$3,$B$4,$B$5,$F556,$B$6,AD$10,$A556,$B556)</f>
        <v>0</v>
      </c>
      <c r="AE556" s="4">
        <f ca="1">_xll.DBRW($B$1,$B$2,$B$7,$B$3,$B$4,$B$5,$F556,$B$6,AE$10,$A556,$B556)</f>
        <v>0</v>
      </c>
    </row>
    <row r="557" spans="1:31">
      <c r="A557" s="1" t="s">
        <v>150</v>
      </c>
      <c r="B557" s="5" t="s">
        <v>280</v>
      </c>
      <c r="C557" s="5" t="s">
        <v>276</v>
      </c>
      <c r="D557" s="5" t="s">
        <v>21</v>
      </c>
      <c r="E557" s="5" t="s">
        <v>277</v>
      </c>
      <c r="F557" s="5" t="s">
        <v>316</v>
      </c>
      <c r="G557" s="6"/>
      <c r="H557" s="6"/>
      <c r="I557" s="6"/>
      <c r="J557" s="6"/>
      <c r="K557" s="6"/>
      <c r="L557" s="4">
        <f ca="1">_xll.DBRW($B$1,$B$2,$B$7,$B$3,$B$4,$B$5,$F557,$B$6,L$10,$A557,$B557)</f>
        <v>0</v>
      </c>
      <c r="M557" s="4">
        <f ca="1">_xll.DBRW($B$1,$B$2,$B$7,$B$3,$B$4,$B$5,$F557,$B$6,M$10,$A557,$B557)</f>
        <v>0</v>
      </c>
      <c r="N557" s="4">
        <f ca="1">_xll.DBRW($B$1,$B$2,$B$7,$B$3,$B$4,$B$5,$F557,$B$6,N$10,$A557,$B557)</f>
        <v>0</v>
      </c>
      <c r="O557" s="4">
        <f ca="1">_xll.DBRW($B$1,$B$2,$B$7,$B$3,$B$4,$B$5,$F557,$B$6,O$10,$A557,$B557)</f>
        <v>0</v>
      </c>
      <c r="P557" s="4">
        <f ca="1">_xll.DBRW($B$1,$B$2,$B$7,$B$3,$B$4,$B$5,$F557,$B$6,P$10,$A557,$B557)</f>
        <v>0</v>
      </c>
      <c r="Q557" s="4">
        <f ca="1">_xll.DBRW($B$1,$B$2,$B$7,$B$3,$B$4,$B$5,$F557,$B$6,Q$10,$A557,$B557)</f>
        <v>0</v>
      </c>
      <c r="R557" s="4">
        <f ca="1">_xll.DBRW($B$1,$B$2,$B$7,$B$3,$B$4,$B$5,$F557,$B$6,R$10,$A557,$B557)</f>
        <v>3</v>
      </c>
      <c r="S557" s="4">
        <f ca="1">_xll.DBRW($B$1,$B$2,$B$7,$B$3,$B$4,$B$5,$F557,$B$6,S$10,$A557,$B557)</f>
        <v>0</v>
      </c>
      <c r="T557" s="4">
        <f ca="1">_xll.DBRW($B$1,$B$2,$B$7,$B$3,$B$4,$B$5,$F557,$B$6,T$10,$A557,$B557)</f>
        <v>0</v>
      </c>
      <c r="U557" s="4">
        <f ca="1">_xll.DBRW($B$1,$B$2,$B$7,$B$3,$B$4,$B$5,$F557,$B$6,U$10,$A557,$B557)</f>
        <v>0</v>
      </c>
      <c r="V557" s="4">
        <f ca="1">_xll.DBRW($B$1,$B$2,$B$7,$B$3,$B$4,$B$5,$F557,$B$6,V$10,$A557,$B557)</f>
        <v>0</v>
      </c>
      <c r="W557" s="4">
        <f ca="1">_xll.DBRW($B$1,$B$2,$B$7,$B$3,$B$4,$B$5,$F557,$B$6,W$10,$A557,$B557)</f>
        <v>0</v>
      </c>
      <c r="X557" s="4">
        <f ca="1">_xll.DBRW($B$1,$B$2,$B$7,$B$3,$B$4,$B$5,$F557,$B$6,X$10,$A557,$B557)</f>
        <v>0</v>
      </c>
      <c r="Y557" s="4">
        <f ca="1">_xll.DBRW($B$1,$B$2,$B$7,$B$3,$B$4,$B$5,$F557,$B$6,Y$10,$A557,$B557)</f>
        <v>0</v>
      </c>
      <c r="Z557" s="4">
        <f ca="1">_xll.DBRW($B$1,$B$2,$B$7,$B$3,$B$4,$B$5,$F557,$B$6,Z$10,$A557,$B557)</f>
        <v>0</v>
      </c>
      <c r="AA557" s="4">
        <f ca="1">_xll.DBRW($B$1,$B$2,$B$7,$B$3,$B$4,$B$5,$F557,$B$6,AA$10,$A557,$B557)</f>
        <v>0</v>
      </c>
      <c r="AB557" s="4">
        <f ca="1">_xll.DBRW($B$1,$B$2,$B$7,$B$3,$B$4,$B$5,$F557,$B$6,AB$10,$A557,$B557)</f>
        <v>0</v>
      </c>
      <c r="AC557" s="4">
        <f ca="1">_xll.DBRW($B$1,$B$2,$B$7,$B$3,$B$4,$B$5,$F557,$B$6,AC$10,$A557,$B557)</f>
        <v>0</v>
      </c>
      <c r="AD557" s="4">
        <f ca="1">_xll.DBRW($B$1,$B$2,$B$7,$B$3,$B$4,$B$5,$F557,$B$6,AD$10,$A557,$B557)</f>
        <v>0</v>
      </c>
      <c r="AE557" s="4">
        <f ca="1">_xll.DBRW($B$1,$B$2,$B$7,$B$3,$B$4,$B$5,$F557,$B$6,AE$10,$A557,$B557)</f>
        <v>0</v>
      </c>
    </row>
    <row r="558" spans="1:31">
      <c r="A558" s="1" t="s">
        <v>150</v>
      </c>
      <c r="B558" s="5" t="s">
        <v>281</v>
      </c>
      <c r="C558" s="5" t="s">
        <v>279</v>
      </c>
      <c r="D558" s="5" t="s">
        <v>277</v>
      </c>
      <c r="E558" s="5" t="s">
        <v>21</v>
      </c>
      <c r="F558" s="5" t="s">
        <v>316</v>
      </c>
      <c r="G558" s="6"/>
      <c r="H558" s="6"/>
      <c r="I558" s="6"/>
      <c r="J558" s="6"/>
      <c r="K558" s="6"/>
      <c r="L558" s="4">
        <f ca="1">_xll.DBRW($B$1,$B$2,$B$7,$B$3,$B$4,$B$5,$F558,$B$6,L$10,$A558,$B558)</f>
        <v>0</v>
      </c>
      <c r="M558" s="4">
        <f ca="1">_xll.DBRW($B$1,$B$2,$B$7,$B$3,$B$4,$B$5,$F558,$B$6,M$10,$A558,$B558)</f>
        <v>0</v>
      </c>
      <c r="N558" s="4">
        <f ca="1">_xll.DBRW($B$1,$B$2,$B$7,$B$3,$B$4,$B$5,$F558,$B$6,N$10,$A558,$B558)</f>
        <v>0</v>
      </c>
      <c r="O558" s="4">
        <f ca="1">_xll.DBRW($B$1,$B$2,$B$7,$B$3,$B$4,$B$5,$F558,$B$6,O$10,$A558,$B558)</f>
        <v>0</v>
      </c>
      <c r="P558" s="4">
        <f ca="1">_xll.DBRW($B$1,$B$2,$B$7,$B$3,$B$4,$B$5,$F558,$B$6,P$10,$A558,$B558)</f>
        <v>0</v>
      </c>
      <c r="Q558" s="4">
        <f ca="1">_xll.DBRW($B$1,$B$2,$B$7,$B$3,$B$4,$B$5,$F558,$B$6,Q$10,$A558,$B558)</f>
        <v>0</v>
      </c>
      <c r="R558" s="4">
        <f ca="1">_xll.DBRW($B$1,$B$2,$B$7,$B$3,$B$4,$B$5,$F558,$B$6,R$10,$A558,$B558)</f>
        <v>3</v>
      </c>
      <c r="S558" s="4">
        <f ca="1">_xll.DBRW($B$1,$B$2,$B$7,$B$3,$B$4,$B$5,$F558,$B$6,S$10,$A558,$B558)</f>
        <v>0</v>
      </c>
      <c r="T558" s="4">
        <f ca="1">_xll.DBRW($B$1,$B$2,$B$7,$B$3,$B$4,$B$5,$F558,$B$6,T$10,$A558,$B558)</f>
        <v>0</v>
      </c>
      <c r="U558" s="4">
        <f ca="1">_xll.DBRW($B$1,$B$2,$B$7,$B$3,$B$4,$B$5,$F558,$B$6,U$10,$A558,$B558)</f>
        <v>0</v>
      </c>
      <c r="V558" s="4">
        <f ca="1">_xll.DBRW($B$1,$B$2,$B$7,$B$3,$B$4,$B$5,$F558,$B$6,V$10,$A558,$B558)</f>
        <v>0</v>
      </c>
      <c r="W558" s="4">
        <f ca="1">_xll.DBRW($B$1,$B$2,$B$7,$B$3,$B$4,$B$5,$F558,$B$6,W$10,$A558,$B558)</f>
        <v>0</v>
      </c>
      <c r="X558" s="4">
        <f ca="1">_xll.DBRW($B$1,$B$2,$B$7,$B$3,$B$4,$B$5,$F558,$B$6,X$10,$A558,$B558)</f>
        <v>0</v>
      </c>
      <c r="Y558" s="4">
        <f ca="1">_xll.DBRW($B$1,$B$2,$B$7,$B$3,$B$4,$B$5,$F558,$B$6,Y$10,$A558,$B558)</f>
        <v>0</v>
      </c>
      <c r="Z558" s="4">
        <f ca="1">_xll.DBRW($B$1,$B$2,$B$7,$B$3,$B$4,$B$5,$F558,$B$6,Z$10,$A558,$B558)</f>
        <v>0</v>
      </c>
      <c r="AA558" s="4">
        <f ca="1">_xll.DBRW($B$1,$B$2,$B$7,$B$3,$B$4,$B$5,$F558,$B$6,AA$10,$A558,$B558)</f>
        <v>0</v>
      </c>
      <c r="AB558" s="4">
        <f ca="1">_xll.DBRW($B$1,$B$2,$B$7,$B$3,$B$4,$B$5,$F558,$B$6,AB$10,$A558,$B558)</f>
        <v>0</v>
      </c>
      <c r="AC558" s="4">
        <f ca="1">_xll.DBRW($B$1,$B$2,$B$7,$B$3,$B$4,$B$5,$F558,$B$6,AC$10,$A558,$B558)</f>
        <v>0</v>
      </c>
      <c r="AD558" s="4">
        <f ca="1">_xll.DBRW($B$1,$B$2,$B$7,$B$3,$B$4,$B$5,$F558,$B$6,AD$10,$A558,$B558)</f>
        <v>0</v>
      </c>
      <c r="AE558" s="4">
        <f ca="1">_xll.DBRW($B$1,$B$2,$B$7,$B$3,$B$4,$B$5,$F558,$B$6,AE$10,$A558,$B558)</f>
        <v>0</v>
      </c>
    </row>
    <row r="559" spans="1:31">
      <c r="A559" s="1" t="s">
        <v>150</v>
      </c>
      <c r="B559" s="5" t="s">
        <v>282</v>
      </c>
      <c r="C559" s="5" t="s">
        <v>283</v>
      </c>
      <c r="D559" s="5" t="s">
        <v>21</v>
      </c>
      <c r="E559" s="5" t="s">
        <v>284</v>
      </c>
      <c r="F559" s="5" t="s">
        <v>316</v>
      </c>
      <c r="G559" s="6"/>
      <c r="H559" s="6"/>
      <c r="I559" s="6"/>
      <c r="J559" s="6"/>
      <c r="K559" s="6"/>
      <c r="L559" s="4">
        <f ca="1">_xll.DBRW($B$1,$B$2,$B$7,$B$3,$B$4,$B$5,$F559,$B$6,L$10,$A559,$B559)</f>
        <v>0</v>
      </c>
      <c r="M559" s="4">
        <f ca="1">_xll.DBRW($B$1,$B$2,$B$7,$B$3,$B$4,$B$5,$F559,$B$6,M$10,$A559,$B559)</f>
        <v>0</v>
      </c>
      <c r="N559" s="4">
        <f ca="1">_xll.DBRW($B$1,$B$2,$B$7,$B$3,$B$4,$B$5,$F559,$B$6,N$10,$A559,$B559)</f>
        <v>0</v>
      </c>
      <c r="O559" s="4">
        <f ca="1">_xll.DBRW($B$1,$B$2,$B$7,$B$3,$B$4,$B$5,$F559,$B$6,O$10,$A559,$B559)</f>
        <v>0</v>
      </c>
      <c r="P559" s="4">
        <f ca="1">_xll.DBRW($B$1,$B$2,$B$7,$B$3,$B$4,$B$5,$F559,$B$6,P$10,$A559,$B559)</f>
        <v>0</v>
      </c>
      <c r="Q559" s="4">
        <f ca="1">_xll.DBRW($B$1,$B$2,$B$7,$B$3,$B$4,$B$5,$F559,$B$6,Q$10,$A559,$B559)</f>
        <v>0</v>
      </c>
      <c r="R559" s="4">
        <f ca="1">_xll.DBRW($B$1,$B$2,$B$7,$B$3,$B$4,$B$5,$F559,$B$6,R$10,$A559,$B559)</f>
        <v>0</v>
      </c>
      <c r="S559" s="4">
        <f ca="1">_xll.DBRW($B$1,$B$2,$B$7,$B$3,$B$4,$B$5,$F559,$B$6,S$10,$A559,$B559)</f>
        <v>0</v>
      </c>
      <c r="T559" s="4">
        <f ca="1">_xll.DBRW($B$1,$B$2,$B$7,$B$3,$B$4,$B$5,$F559,$B$6,T$10,$A559,$B559)</f>
        <v>0</v>
      </c>
      <c r="U559" s="4">
        <f ca="1">_xll.DBRW($B$1,$B$2,$B$7,$B$3,$B$4,$B$5,$F559,$B$6,U$10,$A559,$B559)</f>
        <v>0</v>
      </c>
      <c r="V559" s="4">
        <f ca="1">_xll.DBRW($B$1,$B$2,$B$7,$B$3,$B$4,$B$5,$F559,$B$6,V$10,$A559,$B559)</f>
        <v>0</v>
      </c>
      <c r="W559" s="4">
        <f ca="1">_xll.DBRW($B$1,$B$2,$B$7,$B$3,$B$4,$B$5,$F559,$B$6,W$10,$A559,$B559)</f>
        <v>0</v>
      </c>
      <c r="X559" s="4">
        <f ca="1">_xll.DBRW($B$1,$B$2,$B$7,$B$3,$B$4,$B$5,$F559,$B$6,X$10,$A559,$B559)</f>
        <v>0</v>
      </c>
      <c r="Y559" s="4">
        <f ca="1">_xll.DBRW($B$1,$B$2,$B$7,$B$3,$B$4,$B$5,$F559,$B$6,Y$10,$A559,$B559)</f>
        <v>0</v>
      </c>
      <c r="Z559" s="4">
        <f ca="1">_xll.DBRW($B$1,$B$2,$B$7,$B$3,$B$4,$B$5,$F559,$B$6,Z$10,$A559,$B559)</f>
        <v>0</v>
      </c>
      <c r="AA559" s="4">
        <f ca="1">_xll.DBRW($B$1,$B$2,$B$7,$B$3,$B$4,$B$5,$F559,$B$6,AA$10,$A559,$B559)</f>
        <v>0</v>
      </c>
      <c r="AB559" s="4">
        <f ca="1">_xll.DBRW($B$1,$B$2,$B$7,$B$3,$B$4,$B$5,$F559,$B$6,AB$10,$A559,$B559)</f>
        <v>0</v>
      </c>
      <c r="AC559" s="4">
        <f ca="1">_xll.DBRW($B$1,$B$2,$B$7,$B$3,$B$4,$B$5,$F559,$B$6,AC$10,$A559,$B559)</f>
        <v>0</v>
      </c>
      <c r="AD559" s="4">
        <f ca="1">_xll.DBRW($B$1,$B$2,$B$7,$B$3,$B$4,$B$5,$F559,$B$6,AD$10,$A559,$B559)</f>
        <v>0</v>
      </c>
      <c r="AE559" s="4">
        <f ca="1">_xll.DBRW($B$1,$B$2,$B$7,$B$3,$B$4,$B$5,$F559,$B$6,AE$10,$A559,$B559)</f>
        <v>0</v>
      </c>
    </row>
    <row r="560" spans="1:31">
      <c r="A560" s="1" t="s">
        <v>150</v>
      </c>
      <c r="B560" s="5" t="s">
        <v>285</v>
      </c>
      <c r="C560" s="5" t="s">
        <v>286</v>
      </c>
      <c r="D560" s="5" t="s">
        <v>284</v>
      </c>
      <c r="E560" s="5" t="s">
        <v>21</v>
      </c>
      <c r="F560" s="5" t="s">
        <v>316</v>
      </c>
      <c r="G560" s="6"/>
      <c r="H560" s="6"/>
      <c r="I560" s="6"/>
      <c r="J560" s="6"/>
      <c r="K560" s="6"/>
      <c r="L560" s="4">
        <f ca="1">_xll.DBRW($B$1,$B$2,$B$7,$B$3,$B$4,$B$5,$F560,$B$6,L$10,$A560,$B560)</f>
        <v>0</v>
      </c>
      <c r="M560" s="4">
        <f ca="1">_xll.DBRW($B$1,$B$2,$B$7,$B$3,$B$4,$B$5,$F560,$B$6,M$10,$A560,$B560)</f>
        <v>0</v>
      </c>
      <c r="N560" s="4">
        <f ca="1">_xll.DBRW($B$1,$B$2,$B$7,$B$3,$B$4,$B$5,$F560,$B$6,N$10,$A560,$B560)</f>
        <v>0</v>
      </c>
      <c r="O560" s="4">
        <f ca="1">_xll.DBRW($B$1,$B$2,$B$7,$B$3,$B$4,$B$5,$F560,$B$6,O$10,$A560,$B560)</f>
        <v>0</v>
      </c>
      <c r="P560" s="4">
        <f ca="1">_xll.DBRW($B$1,$B$2,$B$7,$B$3,$B$4,$B$5,$F560,$B$6,P$10,$A560,$B560)</f>
        <v>0</v>
      </c>
      <c r="Q560" s="4">
        <f ca="1">_xll.DBRW($B$1,$B$2,$B$7,$B$3,$B$4,$B$5,$F560,$B$6,Q$10,$A560,$B560)</f>
        <v>0</v>
      </c>
      <c r="R560" s="4">
        <f ca="1">_xll.DBRW($B$1,$B$2,$B$7,$B$3,$B$4,$B$5,$F560,$B$6,R$10,$A560,$B560)</f>
        <v>0</v>
      </c>
      <c r="S560" s="4">
        <f ca="1">_xll.DBRW($B$1,$B$2,$B$7,$B$3,$B$4,$B$5,$F560,$B$6,S$10,$A560,$B560)</f>
        <v>0</v>
      </c>
      <c r="T560" s="4">
        <f ca="1">_xll.DBRW($B$1,$B$2,$B$7,$B$3,$B$4,$B$5,$F560,$B$6,T$10,$A560,$B560)</f>
        <v>0</v>
      </c>
      <c r="U560" s="4">
        <f ca="1">_xll.DBRW($B$1,$B$2,$B$7,$B$3,$B$4,$B$5,$F560,$B$6,U$10,$A560,$B560)</f>
        <v>0</v>
      </c>
      <c r="V560" s="4">
        <f ca="1">_xll.DBRW($B$1,$B$2,$B$7,$B$3,$B$4,$B$5,$F560,$B$6,V$10,$A560,$B560)</f>
        <v>0</v>
      </c>
      <c r="W560" s="4">
        <f ca="1">_xll.DBRW($B$1,$B$2,$B$7,$B$3,$B$4,$B$5,$F560,$B$6,W$10,$A560,$B560)</f>
        <v>0</v>
      </c>
      <c r="X560" s="4">
        <f ca="1">_xll.DBRW($B$1,$B$2,$B$7,$B$3,$B$4,$B$5,$F560,$B$6,X$10,$A560,$B560)</f>
        <v>0</v>
      </c>
      <c r="Y560" s="4">
        <f ca="1">_xll.DBRW($B$1,$B$2,$B$7,$B$3,$B$4,$B$5,$F560,$B$6,Y$10,$A560,$B560)</f>
        <v>0</v>
      </c>
      <c r="Z560" s="4">
        <f ca="1">_xll.DBRW($B$1,$B$2,$B$7,$B$3,$B$4,$B$5,$F560,$B$6,Z$10,$A560,$B560)</f>
        <v>0</v>
      </c>
      <c r="AA560" s="4">
        <f ca="1">_xll.DBRW($B$1,$B$2,$B$7,$B$3,$B$4,$B$5,$F560,$B$6,AA$10,$A560,$B560)</f>
        <v>0</v>
      </c>
      <c r="AB560" s="4">
        <f ca="1">_xll.DBRW($B$1,$B$2,$B$7,$B$3,$B$4,$B$5,$F560,$B$6,AB$10,$A560,$B560)</f>
        <v>0</v>
      </c>
      <c r="AC560" s="4">
        <f ca="1">_xll.DBRW($B$1,$B$2,$B$7,$B$3,$B$4,$B$5,$F560,$B$6,AC$10,$A560,$B560)</f>
        <v>0</v>
      </c>
      <c r="AD560" s="4">
        <f ca="1">_xll.DBRW($B$1,$B$2,$B$7,$B$3,$B$4,$B$5,$F560,$B$6,AD$10,$A560,$B560)</f>
        <v>0</v>
      </c>
      <c r="AE560" s="4">
        <f ca="1">_xll.DBRW($B$1,$B$2,$B$7,$B$3,$B$4,$B$5,$F560,$B$6,AE$10,$A560,$B560)</f>
        <v>0</v>
      </c>
    </row>
    <row r="561" spans="1:31">
      <c r="A561" s="1" t="s">
        <v>150</v>
      </c>
      <c r="B561" s="5" t="s">
        <v>287</v>
      </c>
      <c r="C561" s="5" t="s">
        <v>288</v>
      </c>
      <c r="D561" s="5" t="s">
        <v>21</v>
      </c>
      <c r="E561" s="5" t="s">
        <v>289</v>
      </c>
      <c r="F561" s="5" t="s">
        <v>316</v>
      </c>
      <c r="G561" s="6"/>
      <c r="H561" s="6"/>
      <c r="I561" s="6"/>
      <c r="J561" s="6"/>
      <c r="K561" s="6"/>
      <c r="L561" s="4">
        <f ca="1">_xll.DBRW($B$1,$B$2,$B$7,$B$3,$B$4,$B$5,$F561,$B$6,L$10,$A561,$B561)</f>
        <v>0</v>
      </c>
      <c r="M561" s="4">
        <f ca="1">_xll.DBRW($B$1,$B$2,$B$7,$B$3,$B$4,$B$5,$F561,$B$6,M$10,$A561,$B561)</f>
        <v>0</v>
      </c>
      <c r="N561" s="4">
        <f ca="1">_xll.DBRW($B$1,$B$2,$B$7,$B$3,$B$4,$B$5,$F561,$B$6,N$10,$A561,$B561)</f>
        <v>0</v>
      </c>
      <c r="O561" s="4">
        <f ca="1">_xll.DBRW($B$1,$B$2,$B$7,$B$3,$B$4,$B$5,$F561,$B$6,O$10,$A561,$B561)</f>
        <v>0</v>
      </c>
      <c r="P561" s="4">
        <f ca="1">_xll.DBRW($B$1,$B$2,$B$7,$B$3,$B$4,$B$5,$F561,$B$6,P$10,$A561,$B561)</f>
        <v>0</v>
      </c>
      <c r="Q561" s="4">
        <f ca="1">_xll.DBRW($B$1,$B$2,$B$7,$B$3,$B$4,$B$5,$F561,$B$6,Q$10,$A561,$B561)</f>
        <v>0</v>
      </c>
      <c r="R561" s="4">
        <f ca="1">_xll.DBRW($B$1,$B$2,$B$7,$B$3,$B$4,$B$5,$F561,$B$6,R$10,$A561,$B561)</f>
        <v>0</v>
      </c>
      <c r="S561" s="4">
        <f ca="1">_xll.DBRW($B$1,$B$2,$B$7,$B$3,$B$4,$B$5,$F561,$B$6,S$10,$A561,$B561)</f>
        <v>0</v>
      </c>
      <c r="T561" s="4">
        <f ca="1">_xll.DBRW($B$1,$B$2,$B$7,$B$3,$B$4,$B$5,$F561,$B$6,T$10,$A561,$B561)</f>
        <v>0</v>
      </c>
      <c r="U561" s="4">
        <f ca="1">_xll.DBRW($B$1,$B$2,$B$7,$B$3,$B$4,$B$5,$F561,$B$6,U$10,$A561,$B561)</f>
        <v>0</v>
      </c>
      <c r="V561" s="4">
        <f ca="1">_xll.DBRW($B$1,$B$2,$B$7,$B$3,$B$4,$B$5,$F561,$B$6,V$10,$A561,$B561)</f>
        <v>0</v>
      </c>
      <c r="W561" s="4">
        <f ca="1">_xll.DBRW($B$1,$B$2,$B$7,$B$3,$B$4,$B$5,$F561,$B$6,W$10,$A561,$B561)</f>
        <v>0</v>
      </c>
      <c r="X561" s="4">
        <f ca="1">_xll.DBRW($B$1,$B$2,$B$7,$B$3,$B$4,$B$5,$F561,$B$6,X$10,$A561,$B561)</f>
        <v>0</v>
      </c>
      <c r="Y561" s="4">
        <f ca="1">_xll.DBRW($B$1,$B$2,$B$7,$B$3,$B$4,$B$5,$F561,$B$6,Y$10,$A561,$B561)</f>
        <v>0</v>
      </c>
      <c r="Z561" s="4">
        <f ca="1">_xll.DBRW($B$1,$B$2,$B$7,$B$3,$B$4,$B$5,$F561,$B$6,Z$10,$A561,$B561)</f>
        <v>0</v>
      </c>
      <c r="AA561" s="4">
        <f ca="1">_xll.DBRW($B$1,$B$2,$B$7,$B$3,$B$4,$B$5,$F561,$B$6,AA$10,$A561,$B561)</f>
        <v>0</v>
      </c>
      <c r="AB561" s="4">
        <f ca="1">_xll.DBRW($B$1,$B$2,$B$7,$B$3,$B$4,$B$5,$F561,$B$6,AB$10,$A561,$B561)</f>
        <v>0</v>
      </c>
      <c r="AC561" s="4">
        <f ca="1">_xll.DBRW($B$1,$B$2,$B$7,$B$3,$B$4,$B$5,$F561,$B$6,AC$10,$A561,$B561)</f>
        <v>0</v>
      </c>
      <c r="AD561" s="4">
        <f ca="1">_xll.DBRW($B$1,$B$2,$B$7,$B$3,$B$4,$B$5,$F561,$B$6,AD$10,$A561,$B561)</f>
        <v>0</v>
      </c>
      <c r="AE561" s="4">
        <f ca="1">_xll.DBRW($B$1,$B$2,$B$7,$B$3,$B$4,$B$5,$F561,$B$6,AE$10,$A561,$B561)</f>
        <v>0</v>
      </c>
    </row>
    <row r="562" spans="1:31">
      <c r="A562" s="1" t="s">
        <v>150</v>
      </c>
      <c r="B562" s="5" t="s">
        <v>290</v>
      </c>
      <c r="C562" s="5" t="s">
        <v>291</v>
      </c>
      <c r="D562" s="5" t="s">
        <v>289</v>
      </c>
      <c r="E562" s="5" t="s">
        <v>21</v>
      </c>
      <c r="F562" s="5" t="s">
        <v>316</v>
      </c>
      <c r="G562" s="6"/>
      <c r="H562" s="6"/>
      <c r="I562" s="6"/>
      <c r="J562" s="6"/>
      <c r="K562" s="6"/>
      <c r="L562" s="4">
        <f ca="1">_xll.DBRW($B$1,$B$2,$B$7,$B$3,$B$4,$B$5,$F562,$B$6,L$10,$A562,$B562)</f>
        <v>0</v>
      </c>
      <c r="M562" s="4">
        <f ca="1">_xll.DBRW($B$1,$B$2,$B$7,$B$3,$B$4,$B$5,$F562,$B$6,M$10,$A562,$B562)</f>
        <v>0</v>
      </c>
      <c r="N562" s="4">
        <f ca="1">_xll.DBRW($B$1,$B$2,$B$7,$B$3,$B$4,$B$5,$F562,$B$6,N$10,$A562,$B562)</f>
        <v>0</v>
      </c>
      <c r="O562" s="4">
        <f ca="1">_xll.DBRW($B$1,$B$2,$B$7,$B$3,$B$4,$B$5,$F562,$B$6,O$10,$A562,$B562)</f>
        <v>0</v>
      </c>
      <c r="P562" s="4">
        <f ca="1">_xll.DBRW($B$1,$B$2,$B$7,$B$3,$B$4,$B$5,$F562,$B$6,P$10,$A562,$B562)</f>
        <v>0</v>
      </c>
      <c r="Q562" s="4">
        <f ca="1">_xll.DBRW($B$1,$B$2,$B$7,$B$3,$B$4,$B$5,$F562,$B$6,Q$10,$A562,$B562)</f>
        <v>0</v>
      </c>
      <c r="R562" s="4">
        <f ca="1">_xll.DBRW($B$1,$B$2,$B$7,$B$3,$B$4,$B$5,$F562,$B$6,R$10,$A562,$B562)</f>
        <v>0</v>
      </c>
      <c r="S562" s="4">
        <f ca="1">_xll.DBRW($B$1,$B$2,$B$7,$B$3,$B$4,$B$5,$F562,$B$6,S$10,$A562,$B562)</f>
        <v>0</v>
      </c>
      <c r="T562" s="4">
        <f ca="1">_xll.DBRW($B$1,$B$2,$B$7,$B$3,$B$4,$B$5,$F562,$B$6,T$10,$A562,$B562)</f>
        <v>0</v>
      </c>
      <c r="U562" s="4">
        <f ca="1">_xll.DBRW($B$1,$B$2,$B$7,$B$3,$B$4,$B$5,$F562,$B$6,U$10,$A562,$B562)</f>
        <v>0</v>
      </c>
      <c r="V562" s="4">
        <f ca="1">_xll.DBRW($B$1,$B$2,$B$7,$B$3,$B$4,$B$5,$F562,$B$6,V$10,$A562,$B562)</f>
        <v>0</v>
      </c>
      <c r="W562" s="4">
        <f ca="1">_xll.DBRW($B$1,$B$2,$B$7,$B$3,$B$4,$B$5,$F562,$B$6,W$10,$A562,$B562)</f>
        <v>0</v>
      </c>
      <c r="X562" s="4">
        <f ca="1">_xll.DBRW($B$1,$B$2,$B$7,$B$3,$B$4,$B$5,$F562,$B$6,X$10,$A562,$B562)</f>
        <v>0</v>
      </c>
      <c r="Y562" s="4">
        <f ca="1">_xll.DBRW($B$1,$B$2,$B$7,$B$3,$B$4,$B$5,$F562,$B$6,Y$10,$A562,$B562)</f>
        <v>0</v>
      </c>
      <c r="Z562" s="4">
        <f ca="1">_xll.DBRW($B$1,$B$2,$B$7,$B$3,$B$4,$B$5,$F562,$B$6,Z$10,$A562,$B562)</f>
        <v>0</v>
      </c>
      <c r="AA562" s="4">
        <f ca="1">_xll.DBRW($B$1,$B$2,$B$7,$B$3,$B$4,$B$5,$F562,$B$6,AA$10,$A562,$B562)</f>
        <v>0</v>
      </c>
      <c r="AB562" s="4">
        <f ca="1">_xll.DBRW($B$1,$B$2,$B$7,$B$3,$B$4,$B$5,$F562,$B$6,AB$10,$A562,$B562)</f>
        <v>0</v>
      </c>
      <c r="AC562" s="4">
        <f ca="1">_xll.DBRW($B$1,$B$2,$B$7,$B$3,$B$4,$B$5,$F562,$B$6,AC$10,$A562,$B562)</f>
        <v>0</v>
      </c>
      <c r="AD562" s="4">
        <f ca="1">_xll.DBRW($B$1,$B$2,$B$7,$B$3,$B$4,$B$5,$F562,$B$6,AD$10,$A562,$B562)</f>
        <v>0</v>
      </c>
      <c r="AE562" s="4">
        <f ca="1">_xll.DBRW($B$1,$B$2,$B$7,$B$3,$B$4,$B$5,$F562,$B$6,AE$10,$A562,$B562)</f>
        <v>0</v>
      </c>
    </row>
    <row r="563" spans="1:31">
      <c r="A563" s="1" t="s">
        <v>150</v>
      </c>
      <c r="B563" s="5" t="s">
        <v>292</v>
      </c>
      <c r="C563" s="5" t="s">
        <v>293</v>
      </c>
      <c r="D563" s="5" t="s">
        <v>21</v>
      </c>
      <c r="E563" s="5" t="s">
        <v>294</v>
      </c>
      <c r="F563" s="5" t="s">
        <v>316</v>
      </c>
      <c r="G563" s="6"/>
      <c r="H563" s="6"/>
      <c r="I563" s="6"/>
      <c r="J563" s="6"/>
      <c r="K563" s="6"/>
      <c r="L563" s="4">
        <f ca="1">_xll.DBRW($B$1,$B$2,$B$7,$B$3,$B$4,$B$5,$F563,$B$6,L$10,$A563,$B563)</f>
        <v>25</v>
      </c>
      <c r="M563" s="4">
        <f ca="1">_xll.DBRW($B$1,$B$2,$B$7,$B$3,$B$4,$B$5,$F563,$B$6,M$10,$A563,$B563)</f>
        <v>26</v>
      </c>
      <c r="N563" s="4">
        <f ca="1">_xll.DBRW($B$1,$B$2,$B$7,$B$3,$B$4,$B$5,$F563,$B$6,N$10,$A563,$B563)</f>
        <v>27</v>
      </c>
      <c r="O563" s="4">
        <f ca="1">_xll.DBRW($B$1,$B$2,$B$7,$B$3,$B$4,$B$5,$F563,$B$6,O$10,$A563,$B563)</f>
        <v>24</v>
      </c>
      <c r="P563" s="4">
        <f ca="1">_xll.DBRW($B$1,$B$2,$B$7,$B$3,$B$4,$B$5,$F563,$B$6,P$10,$A563,$B563)</f>
        <v>26</v>
      </c>
      <c r="Q563" s="4">
        <f ca="1">_xll.DBRW($B$1,$B$2,$B$7,$B$3,$B$4,$B$5,$F563,$B$6,Q$10,$A563,$B563)</f>
        <v>22</v>
      </c>
      <c r="R563" s="4">
        <f ca="1">_xll.DBRW($B$1,$B$2,$B$7,$B$3,$B$4,$B$5,$F563,$B$6,R$10,$A563,$B563)</f>
        <v>1</v>
      </c>
      <c r="S563" s="4">
        <f ca="1">_xll.DBRW($B$1,$B$2,$B$7,$B$3,$B$4,$B$5,$F563,$B$6,S$10,$A563,$B563)</f>
        <v>2</v>
      </c>
      <c r="T563" s="4">
        <f ca="1">_xll.DBRW($B$1,$B$2,$B$7,$B$3,$B$4,$B$5,$F563,$B$6,T$10,$A563,$B563)</f>
        <v>27</v>
      </c>
      <c r="U563" s="4">
        <f ca="1">_xll.DBRW($B$1,$B$2,$B$7,$B$3,$B$4,$B$5,$F563,$B$6,U$10,$A563,$B563)</f>
        <v>24</v>
      </c>
      <c r="V563" s="4">
        <f ca="1">_xll.DBRW($B$1,$B$2,$B$7,$B$3,$B$4,$B$5,$F563,$B$6,V$10,$A563,$B563)</f>
        <v>25</v>
      </c>
      <c r="W563" s="4">
        <f ca="1">_xll.DBRW($B$1,$B$2,$B$7,$B$3,$B$4,$B$5,$F563,$B$6,W$10,$A563,$B563)</f>
        <v>0</v>
      </c>
      <c r="X563" s="4">
        <f ca="1">_xll.DBRW($B$1,$B$2,$B$7,$B$3,$B$4,$B$5,$F563,$B$6,X$10,$A563,$B563)</f>
        <v>0</v>
      </c>
      <c r="Y563" s="4">
        <f ca="1">_xll.DBRW($B$1,$B$2,$B$7,$B$3,$B$4,$B$5,$F563,$B$6,Y$10,$A563,$B563)</f>
        <v>0</v>
      </c>
      <c r="Z563" s="4">
        <f ca="1">_xll.DBRW($B$1,$B$2,$B$7,$B$3,$B$4,$B$5,$F563,$B$6,Z$10,$A563,$B563)</f>
        <v>0</v>
      </c>
      <c r="AA563" s="4">
        <f ca="1">_xll.DBRW($B$1,$B$2,$B$7,$B$3,$B$4,$B$5,$F563,$B$6,AA$10,$A563,$B563)</f>
        <v>0</v>
      </c>
      <c r="AB563" s="4">
        <f ca="1">_xll.DBRW($B$1,$B$2,$B$7,$B$3,$B$4,$B$5,$F563,$B$6,AB$10,$A563,$B563)</f>
        <v>0</v>
      </c>
      <c r="AC563" s="4">
        <f ca="1">_xll.DBRW($B$1,$B$2,$B$7,$B$3,$B$4,$B$5,$F563,$B$6,AC$10,$A563,$B563)</f>
        <v>5</v>
      </c>
      <c r="AD563" s="4">
        <f ca="1">_xll.DBRW($B$1,$B$2,$B$7,$B$3,$B$4,$B$5,$F563,$B$6,AD$10,$A563,$B563)</f>
        <v>26</v>
      </c>
      <c r="AE563" s="4">
        <f ca="1">_xll.DBRW($B$1,$B$2,$B$7,$B$3,$B$4,$B$5,$F563,$B$6,AE$10,$A563,$B563)</f>
        <v>26</v>
      </c>
    </row>
    <row r="564" spans="1:31">
      <c r="A564" s="1" t="s">
        <v>150</v>
      </c>
      <c r="B564" s="5" t="s">
        <v>295</v>
      </c>
      <c r="C564" s="5" t="s">
        <v>296</v>
      </c>
      <c r="D564" s="5" t="s">
        <v>294</v>
      </c>
      <c r="E564" s="5" t="s">
        <v>21</v>
      </c>
      <c r="F564" s="5" t="s">
        <v>316</v>
      </c>
      <c r="G564" s="6"/>
      <c r="H564" s="6"/>
      <c r="I564" s="6"/>
      <c r="J564" s="6"/>
      <c r="K564" s="6"/>
      <c r="L564" s="4">
        <f ca="1">_xll.DBRW($B$1,$B$2,$B$7,$B$3,$B$4,$B$5,$F564,$B$6,L$10,$A564,$B564)</f>
        <v>26</v>
      </c>
      <c r="M564" s="4">
        <f ca="1">_xll.DBRW($B$1,$B$2,$B$7,$B$3,$B$4,$B$5,$F564,$B$6,M$10,$A564,$B564)</f>
        <v>25</v>
      </c>
      <c r="N564" s="4">
        <f ca="1">_xll.DBRW($B$1,$B$2,$B$7,$B$3,$B$4,$B$5,$F564,$B$6,N$10,$A564,$B564)</f>
        <v>27</v>
      </c>
      <c r="O564" s="4">
        <f ca="1">_xll.DBRW($B$1,$B$2,$B$7,$B$3,$B$4,$B$5,$F564,$B$6,O$10,$A564,$B564)</f>
        <v>24</v>
      </c>
      <c r="P564" s="4">
        <f ca="1">_xll.DBRW($B$1,$B$2,$B$7,$B$3,$B$4,$B$5,$F564,$B$6,P$10,$A564,$B564)</f>
        <v>26</v>
      </c>
      <c r="Q564" s="4">
        <f ca="1">_xll.DBRW($B$1,$B$2,$B$7,$B$3,$B$4,$B$5,$F564,$B$6,Q$10,$A564,$B564)</f>
        <v>22</v>
      </c>
      <c r="R564" s="4">
        <f ca="1">_xll.DBRW($B$1,$B$2,$B$7,$B$3,$B$4,$B$5,$F564,$B$6,R$10,$A564,$B564)</f>
        <v>1</v>
      </c>
      <c r="S564" s="4">
        <f ca="1">_xll.DBRW($B$1,$B$2,$B$7,$B$3,$B$4,$B$5,$F564,$B$6,S$10,$A564,$B564)</f>
        <v>2</v>
      </c>
      <c r="T564" s="4">
        <f ca="1">_xll.DBRW($B$1,$B$2,$B$7,$B$3,$B$4,$B$5,$F564,$B$6,T$10,$A564,$B564)</f>
        <v>26</v>
      </c>
      <c r="U564" s="4">
        <f ca="1">_xll.DBRW($B$1,$B$2,$B$7,$B$3,$B$4,$B$5,$F564,$B$6,U$10,$A564,$B564)</f>
        <v>24</v>
      </c>
      <c r="V564" s="4">
        <f ca="1">_xll.DBRW($B$1,$B$2,$B$7,$B$3,$B$4,$B$5,$F564,$B$6,V$10,$A564,$B564)</f>
        <v>25</v>
      </c>
      <c r="W564" s="4">
        <f ca="1">_xll.DBRW($B$1,$B$2,$B$7,$B$3,$B$4,$B$5,$F564,$B$6,W$10,$A564,$B564)</f>
        <v>0</v>
      </c>
      <c r="X564" s="4">
        <f ca="1">_xll.DBRW($B$1,$B$2,$B$7,$B$3,$B$4,$B$5,$F564,$B$6,X$10,$A564,$B564)</f>
        <v>0</v>
      </c>
      <c r="Y564" s="4">
        <f ca="1">_xll.DBRW($B$1,$B$2,$B$7,$B$3,$B$4,$B$5,$F564,$B$6,Y$10,$A564,$B564)</f>
        <v>0</v>
      </c>
      <c r="Z564" s="4">
        <f ca="1">_xll.DBRW($B$1,$B$2,$B$7,$B$3,$B$4,$B$5,$F564,$B$6,Z$10,$A564,$B564)</f>
        <v>0</v>
      </c>
      <c r="AA564" s="4">
        <f ca="1">_xll.DBRW($B$1,$B$2,$B$7,$B$3,$B$4,$B$5,$F564,$B$6,AA$10,$A564,$B564)</f>
        <v>0</v>
      </c>
      <c r="AB564" s="4">
        <f ca="1">_xll.DBRW($B$1,$B$2,$B$7,$B$3,$B$4,$B$5,$F564,$B$6,AB$10,$A564,$B564)</f>
        <v>0</v>
      </c>
      <c r="AC564" s="4">
        <f ca="1">_xll.DBRW($B$1,$B$2,$B$7,$B$3,$B$4,$B$5,$F564,$B$6,AC$10,$A564,$B564)</f>
        <v>5</v>
      </c>
      <c r="AD564" s="4">
        <f ca="1">_xll.DBRW($B$1,$B$2,$B$7,$B$3,$B$4,$B$5,$F564,$B$6,AD$10,$A564,$B564)</f>
        <v>26</v>
      </c>
      <c r="AE564" s="4">
        <f ca="1">_xll.DBRW($B$1,$B$2,$B$7,$B$3,$B$4,$B$5,$F564,$B$6,AE$10,$A564,$B564)</f>
        <v>26</v>
      </c>
    </row>
    <row r="565" spans="1:31">
      <c r="A565" s="1" t="s">
        <v>150</v>
      </c>
      <c r="B565" s="5" t="s">
        <v>297</v>
      </c>
      <c r="C565" s="5" t="s">
        <v>298</v>
      </c>
      <c r="D565" s="5" t="s">
        <v>21</v>
      </c>
      <c r="E565" s="5" t="s">
        <v>299</v>
      </c>
      <c r="F565" s="5" t="s">
        <v>316</v>
      </c>
      <c r="G565" s="6"/>
      <c r="H565" s="6"/>
      <c r="I565" s="6"/>
      <c r="J565" s="6"/>
      <c r="K565" s="6"/>
      <c r="L565" s="4">
        <f ca="1">_xll.DBRW($B$1,$B$2,$B$7,$B$3,$B$4,$B$5,$F565,$B$6,L$10,$A565,$B565)</f>
        <v>0</v>
      </c>
      <c r="M565" s="4">
        <f ca="1">_xll.DBRW($B$1,$B$2,$B$7,$B$3,$B$4,$B$5,$F565,$B$6,M$10,$A565,$B565)</f>
        <v>0</v>
      </c>
      <c r="N565" s="4">
        <f ca="1">_xll.DBRW($B$1,$B$2,$B$7,$B$3,$B$4,$B$5,$F565,$B$6,N$10,$A565,$B565)</f>
        <v>0</v>
      </c>
      <c r="O565" s="4">
        <f ca="1">_xll.DBRW($B$1,$B$2,$B$7,$B$3,$B$4,$B$5,$F565,$B$6,O$10,$A565,$B565)</f>
        <v>0</v>
      </c>
      <c r="P565" s="4">
        <f ca="1">_xll.DBRW($B$1,$B$2,$B$7,$B$3,$B$4,$B$5,$F565,$B$6,P$10,$A565,$B565)</f>
        <v>0</v>
      </c>
      <c r="Q565" s="4">
        <f ca="1">_xll.DBRW($B$1,$B$2,$B$7,$B$3,$B$4,$B$5,$F565,$B$6,Q$10,$A565,$B565)</f>
        <v>0</v>
      </c>
      <c r="R565" s="4">
        <f ca="1">_xll.DBRW($B$1,$B$2,$B$7,$B$3,$B$4,$B$5,$F565,$B$6,R$10,$A565,$B565)</f>
        <v>0</v>
      </c>
      <c r="S565" s="4">
        <f ca="1">_xll.DBRW($B$1,$B$2,$B$7,$B$3,$B$4,$B$5,$F565,$B$6,S$10,$A565,$B565)</f>
        <v>0</v>
      </c>
      <c r="T565" s="4">
        <f ca="1">_xll.DBRW($B$1,$B$2,$B$7,$B$3,$B$4,$B$5,$F565,$B$6,T$10,$A565,$B565)</f>
        <v>0</v>
      </c>
      <c r="U565" s="4">
        <f ca="1">_xll.DBRW($B$1,$B$2,$B$7,$B$3,$B$4,$B$5,$F565,$B$6,U$10,$A565,$B565)</f>
        <v>0</v>
      </c>
      <c r="V565" s="4">
        <f ca="1">_xll.DBRW($B$1,$B$2,$B$7,$B$3,$B$4,$B$5,$F565,$B$6,V$10,$A565,$B565)</f>
        <v>0</v>
      </c>
      <c r="W565" s="4">
        <f ca="1">_xll.DBRW($B$1,$B$2,$B$7,$B$3,$B$4,$B$5,$F565,$B$6,W$10,$A565,$B565)</f>
        <v>0</v>
      </c>
      <c r="X565" s="4">
        <f ca="1">_xll.DBRW($B$1,$B$2,$B$7,$B$3,$B$4,$B$5,$F565,$B$6,X$10,$A565,$B565)</f>
        <v>0</v>
      </c>
      <c r="Y565" s="4">
        <f ca="1">_xll.DBRW($B$1,$B$2,$B$7,$B$3,$B$4,$B$5,$F565,$B$6,Y$10,$A565,$B565)</f>
        <v>0</v>
      </c>
      <c r="Z565" s="4">
        <f ca="1">_xll.DBRW($B$1,$B$2,$B$7,$B$3,$B$4,$B$5,$F565,$B$6,Z$10,$A565,$B565)</f>
        <v>0</v>
      </c>
      <c r="AA565" s="4">
        <f ca="1">_xll.DBRW($B$1,$B$2,$B$7,$B$3,$B$4,$B$5,$F565,$B$6,AA$10,$A565,$B565)</f>
        <v>0</v>
      </c>
      <c r="AB565" s="4">
        <f ca="1">_xll.DBRW($B$1,$B$2,$B$7,$B$3,$B$4,$B$5,$F565,$B$6,AB$10,$A565,$B565)</f>
        <v>0</v>
      </c>
      <c r="AC565" s="4">
        <f ca="1">_xll.DBRW($B$1,$B$2,$B$7,$B$3,$B$4,$B$5,$F565,$B$6,AC$10,$A565,$B565)</f>
        <v>0</v>
      </c>
      <c r="AD565" s="4">
        <f ca="1">_xll.DBRW($B$1,$B$2,$B$7,$B$3,$B$4,$B$5,$F565,$B$6,AD$10,$A565,$B565)</f>
        <v>0</v>
      </c>
      <c r="AE565" s="4">
        <f ca="1">_xll.DBRW($B$1,$B$2,$B$7,$B$3,$B$4,$B$5,$F565,$B$6,AE$10,$A565,$B565)</f>
        <v>0</v>
      </c>
    </row>
    <row r="566" spans="1:31">
      <c r="A566" s="1" t="s">
        <v>150</v>
      </c>
      <c r="B566" s="5" t="s">
        <v>300</v>
      </c>
      <c r="C566" s="5" t="s">
        <v>301</v>
      </c>
      <c r="D566" s="5" t="s">
        <v>299</v>
      </c>
      <c r="E566" s="5" t="s">
        <v>21</v>
      </c>
      <c r="F566" s="5" t="s">
        <v>316</v>
      </c>
      <c r="G566" s="6"/>
      <c r="H566" s="6"/>
      <c r="I566" s="6"/>
      <c r="J566" s="6"/>
      <c r="K566" s="6"/>
      <c r="L566" s="4">
        <f ca="1">_xll.DBRW($B$1,$B$2,$B$7,$B$3,$B$4,$B$5,$F566,$B$6,L$10,$A566,$B566)</f>
        <v>0</v>
      </c>
      <c r="M566" s="4">
        <f ca="1">_xll.DBRW($B$1,$B$2,$B$7,$B$3,$B$4,$B$5,$F566,$B$6,M$10,$A566,$B566)</f>
        <v>0</v>
      </c>
      <c r="N566" s="4">
        <f ca="1">_xll.DBRW($B$1,$B$2,$B$7,$B$3,$B$4,$B$5,$F566,$B$6,N$10,$A566,$B566)</f>
        <v>0</v>
      </c>
      <c r="O566" s="4">
        <f ca="1">_xll.DBRW($B$1,$B$2,$B$7,$B$3,$B$4,$B$5,$F566,$B$6,O$10,$A566,$B566)</f>
        <v>0</v>
      </c>
      <c r="P566" s="4">
        <f ca="1">_xll.DBRW($B$1,$B$2,$B$7,$B$3,$B$4,$B$5,$F566,$B$6,P$10,$A566,$B566)</f>
        <v>0</v>
      </c>
      <c r="Q566" s="4">
        <f ca="1">_xll.DBRW($B$1,$B$2,$B$7,$B$3,$B$4,$B$5,$F566,$B$6,Q$10,$A566,$B566)</f>
        <v>0</v>
      </c>
      <c r="R566" s="4">
        <f ca="1">_xll.DBRW($B$1,$B$2,$B$7,$B$3,$B$4,$B$5,$F566,$B$6,R$10,$A566,$B566)</f>
        <v>0</v>
      </c>
      <c r="S566" s="4">
        <f ca="1">_xll.DBRW($B$1,$B$2,$B$7,$B$3,$B$4,$B$5,$F566,$B$6,S$10,$A566,$B566)</f>
        <v>0</v>
      </c>
      <c r="T566" s="4">
        <f ca="1">_xll.DBRW($B$1,$B$2,$B$7,$B$3,$B$4,$B$5,$F566,$B$6,T$10,$A566,$B566)</f>
        <v>0</v>
      </c>
      <c r="U566" s="4">
        <f ca="1">_xll.DBRW($B$1,$B$2,$B$7,$B$3,$B$4,$B$5,$F566,$B$6,U$10,$A566,$B566)</f>
        <v>0</v>
      </c>
      <c r="V566" s="4">
        <f ca="1">_xll.DBRW($B$1,$B$2,$B$7,$B$3,$B$4,$B$5,$F566,$B$6,V$10,$A566,$B566)</f>
        <v>0</v>
      </c>
      <c r="W566" s="4">
        <f ca="1">_xll.DBRW($B$1,$B$2,$B$7,$B$3,$B$4,$B$5,$F566,$B$6,W$10,$A566,$B566)</f>
        <v>0</v>
      </c>
      <c r="X566" s="4">
        <f ca="1">_xll.DBRW($B$1,$B$2,$B$7,$B$3,$B$4,$B$5,$F566,$B$6,X$10,$A566,$B566)</f>
        <v>0</v>
      </c>
      <c r="Y566" s="4">
        <f ca="1">_xll.DBRW($B$1,$B$2,$B$7,$B$3,$B$4,$B$5,$F566,$B$6,Y$10,$A566,$B566)</f>
        <v>0</v>
      </c>
      <c r="Z566" s="4">
        <f ca="1">_xll.DBRW($B$1,$B$2,$B$7,$B$3,$B$4,$B$5,$F566,$B$6,Z$10,$A566,$B566)</f>
        <v>0</v>
      </c>
      <c r="AA566" s="4">
        <f ca="1">_xll.DBRW($B$1,$B$2,$B$7,$B$3,$B$4,$B$5,$F566,$B$6,AA$10,$A566,$B566)</f>
        <v>0</v>
      </c>
      <c r="AB566" s="4">
        <f ca="1">_xll.DBRW($B$1,$B$2,$B$7,$B$3,$B$4,$B$5,$F566,$B$6,AB$10,$A566,$B566)</f>
        <v>0</v>
      </c>
      <c r="AC566" s="4">
        <f ca="1">_xll.DBRW($B$1,$B$2,$B$7,$B$3,$B$4,$B$5,$F566,$B$6,AC$10,$A566,$B566)</f>
        <v>0</v>
      </c>
      <c r="AD566" s="4">
        <f ca="1">_xll.DBRW($B$1,$B$2,$B$7,$B$3,$B$4,$B$5,$F566,$B$6,AD$10,$A566,$B566)</f>
        <v>0</v>
      </c>
      <c r="AE566" s="4">
        <f ca="1">_xll.DBRW($B$1,$B$2,$B$7,$B$3,$B$4,$B$5,$F566,$B$6,AE$10,$A566,$B566)</f>
        <v>0</v>
      </c>
    </row>
    <row r="567" spans="1:31">
      <c r="A567" s="1" t="s">
        <v>150</v>
      </c>
      <c r="B567" s="5" t="s">
        <v>302</v>
      </c>
      <c r="C567" s="5" t="s">
        <v>303</v>
      </c>
      <c r="D567" s="5" t="s">
        <v>21</v>
      </c>
      <c r="E567" s="5" t="s">
        <v>304</v>
      </c>
      <c r="F567" s="5" t="s">
        <v>316</v>
      </c>
      <c r="G567" s="6"/>
      <c r="H567" s="6"/>
      <c r="I567" s="6"/>
      <c r="J567" s="6"/>
      <c r="K567" s="6"/>
      <c r="L567" s="4">
        <f ca="1">_xll.DBRW($B$1,$B$2,$B$7,$B$3,$B$4,$B$5,$F567,$B$6,L$10,$A567,$B567)</f>
        <v>0</v>
      </c>
      <c r="M567" s="4">
        <f ca="1">_xll.DBRW($B$1,$B$2,$B$7,$B$3,$B$4,$B$5,$F567,$B$6,M$10,$A567,$B567)</f>
        <v>0</v>
      </c>
      <c r="N567" s="4">
        <f ca="1">_xll.DBRW($B$1,$B$2,$B$7,$B$3,$B$4,$B$5,$F567,$B$6,N$10,$A567,$B567)</f>
        <v>0</v>
      </c>
      <c r="O567" s="4">
        <f ca="1">_xll.DBRW($B$1,$B$2,$B$7,$B$3,$B$4,$B$5,$F567,$B$6,O$10,$A567,$B567)</f>
        <v>0</v>
      </c>
      <c r="P567" s="4">
        <f ca="1">_xll.DBRW($B$1,$B$2,$B$7,$B$3,$B$4,$B$5,$F567,$B$6,P$10,$A567,$B567)</f>
        <v>0</v>
      </c>
      <c r="Q567" s="4">
        <f ca="1">_xll.DBRW($B$1,$B$2,$B$7,$B$3,$B$4,$B$5,$F567,$B$6,Q$10,$A567,$B567)</f>
        <v>0</v>
      </c>
      <c r="R567" s="4">
        <f ca="1">_xll.DBRW($B$1,$B$2,$B$7,$B$3,$B$4,$B$5,$F567,$B$6,R$10,$A567,$B567)</f>
        <v>0</v>
      </c>
      <c r="S567" s="4">
        <f ca="1">_xll.DBRW($B$1,$B$2,$B$7,$B$3,$B$4,$B$5,$F567,$B$6,S$10,$A567,$B567)</f>
        <v>0</v>
      </c>
      <c r="T567" s="4">
        <f ca="1">_xll.DBRW($B$1,$B$2,$B$7,$B$3,$B$4,$B$5,$F567,$B$6,T$10,$A567,$B567)</f>
        <v>0</v>
      </c>
      <c r="U567" s="4">
        <f ca="1">_xll.DBRW($B$1,$B$2,$B$7,$B$3,$B$4,$B$5,$F567,$B$6,U$10,$A567,$B567)</f>
        <v>0</v>
      </c>
      <c r="V567" s="4">
        <f ca="1">_xll.DBRW($B$1,$B$2,$B$7,$B$3,$B$4,$B$5,$F567,$B$6,V$10,$A567,$B567)</f>
        <v>0</v>
      </c>
      <c r="W567" s="4">
        <f ca="1">_xll.DBRW($B$1,$B$2,$B$7,$B$3,$B$4,$B$5,$F567,$B$6,W$10,$A567,$B567)</f>
        <v>0</v>
      </c>
      <c r="X567" s="4">
        <f ca="1">_xll.DBRW($B$1,$B$2,$B$7,$B$3,$B$4,$B$5,$F567,$B$6,X$10,$A567,$B567)</f>
        <v>0</v>
      </c>
      <c r="Y567" s="4">
        <f ca="1">_xll.DBRW($B$1,$B$2,$B$7,$B$3,$B$4,$B$5,$F567,$B$6,Y$10,$A567,$B567)</f>
        <v>0</v>
      </c>
      <c r="Z567" s="4">
        <f ca="1">_xll.DBRW($B$1,$B$2,$B$7,$B$3,$B$4,$B$5,$F567,$B$6,Z$10,$A567,$B567)</f>
        <v>0</v>
      </c>
      <c r="AA567" s="4">
        <f ca="1">_xll.DBRW($B$1,$B$2,$B$7,$B$3,$B$4,$B$5,$F567,$B$6,AA$10,$A567,$B567)</f>
        <v>0</v>
      </c>
      <c r="AB567" s="4">
        <f ca="1">_xll.DBRW($B$1,$B$2,$B$7,$B$3,$B$4,$B$5,$F567,$B$6,AB$10,$A567,$B567)</f>
        <v>0</v>
      </c>
      <c r="AC567" s="4">
        <f ca="1">_xll.DBRW($B$1,$B$2,$B$7,$B$3,$B$4,$B$5,$F567,$B$6,AC$10,$A567,$B567)</f>
        <v>0</v>
      </c>
      <c r="AD567" s="4">
        <f ca="1">_xll.DBRW($B$1,$B$2,$B$7,$B$3,$B$4,$B$5,$F567,$B$6,AD$10,$A567,$B567)</f>
        <v>0</v>
      </c>
      <c r="AE567" s="4">
        <f ca="1">_xll.DBRW($B$1,$B$2,$B$7,$B$3,$B$4,$B$5,$F567,$B$6,AE$10,$A567,$B567)</f>
        <v>0</v>
      </c>
    </row>
    <row r="568" spans="1:31">
      <c r="A568" s="1" t="s">
        <v>150</v>
      </c>
      <c r="B568" s="5" t="s">
        <v>305</v>
      </c>
      <c r="C568" s="5" t="s">
        <v>306</v>
      </c>
      <c r="D568" s="5" t="s">
        <v>304</v>
      </c>
      <c r="E568" s="5" t="s">
        <v>21</v>
      </c>
      <c r="F568" s="5" t="s">
        <v>316</v>
      </c>
      <c r="G568" s="6"/>
      <c r="H568" s="6"/>
      <c r="I568" s="6"/>
      <c r="J568" s="6"/>
      <c r="K568" s="6"/>
      <c r="L568" s="4">
        <f ca="1">_xll.DBRW($B$1,$B$2,$B$7,$B$3,$B$4,$B$5,$F568,$B$6,L$10,$A568,$B568)</f>
        <v>0</v>
      </c>
      <c r="M568" s="4">
        <f ca="1">_xll.DBRW($B$1,$B$2,$B$7,$B$3,$B$4,$B$5,$F568,$B$6,M$10,$A568,$B568)</f>
        <v>0</v>
      </c>
      <c r="N568" s="4">
        <f ca="1">_xll.DBRW($B$1,$B$2,$B$7,$B$3,$B$4,$B$5,$F568,$B$6,N$10,$A568,$B568)</f>
        <v>0</v>
      </c>
      <c r="O568" s="4">
        <f ca="1">_xll.DBRW($B$1,$B$2,$B$7,$B$3,$B$4,$B$5,$F568,$B$6,O$10,$A568,$B568)</f>
        <v>0</v>
      </c>
      <c r="P568" s="4">
        <f ca="1">_xll.DBRW($B$1,$B$2,$B$7,$B$3,$B$4,$B$5,$F568,$B$6,P$10,$A568,$B568)</f>
        <v>0</v>
      </c>
      <c r="Q568" s="4">
        <f ca="1">_xll.DBRW($B$1,$B$2,$B$7,$B$3,$B$4,$B$5,$F568,$B$6,Q$10,$A568,$B568)</f>
        <v>0</v>
      </c>
      <c r="R568" s="4">
        <f ca="1">_xll.DBRW($B$1,$B$2,$B$7,$B$3,$B$4,$B$5,$F568,$B$6,R$10,$A568,$B568)</f>
        <v>0</v>
      </c>
      <c r="S568" s="4">
        <f ca="1">_xll.DBRW($B$1,$B$2,$B$7,$B$3,$B$4,$B$5,$F568,$B$6,S$10,$A568,$B568)</f>
        <v>0</v>
      </c>
      <c r="T568" s="4">
        <f ca="1">_xll.DBRW($B$1,$B$2,$B$7,$B$3,$B$4,$B$5,$F568,$B$6,T$10,$A568,$B568)</f>
        <v>0</v>
      </c>
      <c r="U568" s="4">
        <f ca="1">_xll.DBRW($B$1,$B$2,$B$7,$B$3,$B$4,$B$5,$F568,$B$6,U$10,$A568,$B568)</f>
        <v>0</v>
      </c>
      <c r="V568" s="4">
        <f ca="1">_xll.DBRW($B$1,$B$2,$B$7,$B$3,$B$4,$B$5,$F568,$B$6,V$10,$A568,$B568)</f>
        <v>0</v>
      </c>
      <c r="W568" s="4">
        <f ca="1">_xll.DBRW($B$1,$B$2,$B$7,$B$3,$B$4,$B$5,$F568,$B$6,W$10,$A568,$B568)</f>
        <v>0</v>
      </c>
      <c r="X568" s="4">
        <f ca="1">_xll.DBRW($B$1,$B$2,$B$7,$B$3,$B$4,$B$5,$F568,$B$6,X$10,$A568,$B568)</f>
        <v>0</v>
      </c>
      <c r="Y568" s="4">
        <f ca="1">_xll.DBRW($B$1,$B$2,$B$7,$B$3,$B$4,$B$5,$F568,$B$6,Y$10,$A568,$B568)</f>
        <v>0</v>
      </c>
      <c r="Z568" s="4">
        <f ca="1">_xll.DBRW($B$1,$B$2,$B$7,$B$3,$B$4,$B$5,$F568,$B$6,Z$10,$A568,$B568)</f>
        <v>0</v>
      </c>
      <c r="AA568" s="4">
        <f ca="1">_xll.DBRW($B$1,$B$2,$B$7,$B$3,$B$4,$B$5,$F568,$B$6,AA$10,$A568,$B568)</f>
        <v>0</v>
      </c>
      <c r="AB568" s="4">
        <f ca="1">_xll.DBRW($B$1,$B$2,$B$7,$B$3,$B$4,$B$5,$F568,$B$6,AB$10,$A568,$B568)</f>
        <v>0</v>
      </c>
      <c r="AC568" s="4">
        <f ca="1">_xll.DBRW($B$1,$B$2,$B$7,$B$3,$B$4,$B$5,$F568,$B$6,AC$10,$A568,$B568)</f>
        <v>0</v>
      </c>
      <c r="AD568" s="4">
        <f ca="1">_xll.DBRW($B$1,$B$2,$B$7,$B$3,$B$4,$B$5,$F568,$B$6,AD$10,$A568,$B568)</f>
        <v>0</v>
      </c>
      <c r="AE568" s="4">
        <f ca="1">_xll.DBRW($B$1,$B$2,$B$7,$B$3,$B$4,$B$5,$F568,$B$6,AE$10,$A568,$B568)</f>
        <v>0</v>
      </c>
    </row>
    <row r="569" spans="1:31">
      <c r="A569" s="1" t="s">
        <v>150</v>
      </c>
      <c r="B569" s="5" t="s">
        <v>307</v>
      </c>
      <c r="C569" s="5" t="s">
        <v>308</v>
      </c>
      <c r="D569" s="5" t="s">
        <v>21</v>
      </c>
      <c r="E569" s="5" t="s">
        <v>309</v>
      </c>
      <c r="F569" s="5" t="s">
        <v>316</v>
      </c>
      <c r="G569" s="6"/>
      <c r="H569" s="6"/>
      <c r="I569" s="6"/>
      <c r="J569" s="6"/>
      <c r="K569" s="6"/>
      <c r="L569" s="4">
        <f ca="1">_xll.DBRW($B$1,$B$2,$B$7,$B$3,$B$4,$B$5,$F569,$B$6,L$10,$A569,$B569)</f>
        <v>0</v>
      </c>
      <c r="M569" s="4">
        <f ca="1">_xll.DBRW($B$1,$B$2,$B$7,$B$3,$B$4,$B$5,$F569,$B$6,M$10,$A569,$B569)</f>
        <v>0</v>
      </c>
      <c r="N569" s="4">
        <f ca="1">_xll.DBRW($B$1,$B$2,$B$7,$B$3,$B$4,$B$5,$F569,$B$6,N$10,$A569,$B569)</f>
        <v>0</v>
      </c>
      <c r="O569" s="4">
        <f ca="1">_xll.DBRW($B$1,$B$2,$B$7,$B$3,$B$4,$B$5,$F569,$B$6,O$10,$A569,$B569)</f>
        <v>0</v>
      </c>
      <c r="P569" s="4">
        <f ca="1">_xll.DBRW($B$1,$B$2,$B$7,$B$3,$B$4,$B$5,$F569,$B$6,P$10,$A569,$B569)</f>
        <v>0</v>
      </c>
      <c r="Q569" s="4">
        <f ca="1">_xll.DBRW($B$1,$B$2,$B$7,$B$3,$B$4,$B$5,$F569,$B$6,Q$10,$A569,$B569)</f>
        <v>0</v>
      </c>
      <c r="R569" s="4">
        <f ca="1">_xll.DBRW($B$1,$B$2,$B$7,$B$3,$B$4,$B$5,$F569,$B$6,R$10,$A569,$B569)</f>
        <v>0</v>
      </c>
      <c r="S569" s="4">
        <f ca="1">_xll.DBRW($B$1,$B$2,$B$7,$B$3,$B$4,$B$5,$F569,$B$6,S$10,$A569,$B569)</f>
        <v>0</v>
      </c>
      <c r="T569" s="4">
        <f ca="1">_xll.DBRW($B$1,$B$2,$B$7,$B$3,$B$4,$B$5,$F569,$B$6,T$10,$A569,$B569)</f>
        <v>0</v>
      </c>
      <c r="U569" s="4">
        <f ca="1">_xll.DBRW($B$1,$B$2,$B$7,$B$3,$B$4,$B$5,$F569,$B$6,U$10,$A569,$B569)</f>
        <v>0</v>
      </c>
      <c r="V569" s="4">
        <f ca="1">_xll.DBRW($B$1,$B$2,$B$7,$B$3,$B$4,$B$5,$F569,$B$6,V$10,$A569,$B569)</f>
        <v>0</v>
      </c>
      <c r="W569" s="4">
        <f ca="1">_xll.DBRW($B$1,$B$2,$B$7,$B$3,$B$4,$B$5,$F569,$B$6,W$10,$A569,$B569)</f>
        <v>0</v>
      </c>
      <c r="X569" s="4">
        <f ca="1">_xll.DBRW($B$1,$B$2,$B$7,$B$3,$B$4,$B$5,$F569,$B$6,X$10,$A569,$B569)</f>
        <v>0</v>
      </c>
      <c r="Y569" s="4">
        <f ca="1">_xll.DBRW($B$1,$B$2,$B$7,$B$3,$B$4,$B$5,$F569,$B$6,Y$10,$A569,$B569)</f>
        <v>0</v>
      </c>
      <c r="Z569" s="4">
        <f ca="1">_xll.DBRW($B$1,$B$2,$B$7,$B$3,$B$4,$B$5,$F569,$B$6,Z$10,$A569,$B569)</f>
        <v>0</v>
      </c>
      <c r="AA569" s="4">
        <f ca="1">_xll.DBRW($B$1,$B$2,$B$7,$B$3,$B$4,$B$5,$F569,$B$6,AA$10,$A569,$B569)</f>
        <v>0</v>
      </c>
      <c r="AB569" s="4">
        <f ca="1">_xll.DBRW($B$1,$B$2,$B$7,$B$3,$B$4,$B$5,$F569,$B$6,AB$10,$A569,$B569)</f>
        <v>0</v>
      </c>
      <c r="AC569" s="4">
        <f ca="1">_xll.DBRW($B$1,$B$2,$B$7,$B$3,$B$4,$B$5,$F569,$B$6,AC$10,$A569,$B569)</f>
        <v>0</v>
      </c>
      <c r="AD569" s="4">
        <f ca="1">_xll.DBRW($B$1,$B$2,$B$7,$B$3,$B$4,$B$5,$F569,$B$6,AD$10,$A569,$B569)</f>
        <v>0</v>
      </c>
      <c r="AE569" s="4">
        <f ca="1">_xll.DBRW($B$1,$B$2,$B$7,$B$3,$B$4,$B$5,$F569,$B$6,AE$10,$A569,$B569)</f>
        <v>0</v>
      </c>
    </row>
    <row r="570" spans="1:31">
      <c r="A570" s="1" t="s">
        <v>150</v>
      </c>
      <c r="B570" s="5" t="s">
        <v>310</v>
      </c>
      <c r="C570" s="5" t="s">
        <v>311</v>
      </c>
      <c r="D570" s="5" t="s">
        <v>309</v>
      </c>
      <c r="E570" s="5" t="s">
        <v>21</v>
      </c>
      <c r="F570" s="5" t="s">
        <v>316</v>
      </c>
      <c r="G570" s="6"/>
      <c r="H570" s="6"/>
      <c r="I570" s="6"/>
      <c r="J570" s="6"/>
      <c r="K570" s="6"/>
      <c r="L570" s="4">
        <f ca="1">_xll.DBRW($B$1,$B$2,$B$7,$B$3,$B$4,$B$5,$F570,$B$6,L$10,$A570,$B570)</f>
        <v>0</v>
      </c>
      <c r="M570" s="4">
        <f ca="1">_xll.DBRW($B$1,$B$2,$B$7,$B$3,$B$4,$B$5,$F570,$B$6,M$10,$A570,$B570)</f>
        <v>0</v>
      </c>
      <c r="N570" s="4">
        <f ca="1">_xll.DBRW($B$1,$B$2,$B$7,$B$3,$B$4,$B$5,$F570,$B$6,N$10,$A570,$B570)</f>
        <v>0</v>
      </c>
      <c r="O570" s="4">
        <f ca="1">_xll.DBRW($B$1,$B$2,$B$7,$B$3,$B$4,$B$5,$F570,$B$6,O$10,$A570,$B570)</f>
        <v>0</v>
      </c>
      <c r="P570" s="4">
        <f ca="1">_xll.DBRW($B$1,$B$2,$B$7,$B$3,$B$4,$B$5,$F570,$B$6,P$10,$A570,$B570)</f>
        <v>0</v>
      </c>
      <c r="Q570" s="4">
        <f ca="1">_xll.DBRW($B$1,$B$2,$B$7,$B$3,$B$4,$B$5,$F570,$B$6,Q$10,$A570,$B570)</f>
        <v>0</v>
      </c>
      <c r="R570" s="4">
        <f ca="1">_xll.DBRW($B$1,$B$2,$B$7,$B$3,$B$4,$B$5,$F570,$B$6,R$10,$A570,$B570)</f>
        <v>0</v>
      </c>
      <c r="S570" s="4">
        <f ca="1">_xll.DBRW($B$1,$B$2,$B$7,$B$3,$B$4,$B$5,$F570,$B$6,S$10,$A570,$B570)</f>
        <v>0</v>
      </c>
      <c r="T570" s="4">
        <f ca="1">_xll.DBRW($B$1,$B$2,$B$7,$B$3,$B$4,$B$5,$F570,$B$6,T$10,$A570,$B570)</f>
        <v>0</v>
      </c>
      <c r="U570" s="4">
        <f ca="1">_xll.DBRW($B$1,$B$2,$B$7,$B$3,$B$4,$B$5,$F570,$B$6,U$10,$A570,$B570)</f>
        <v>0</v>
      </c>
      <c r="V570" s="4">
        <f ca="1">_xll.DBRW($B$1,$B$2,$B$7,$B$3,$B$4,$B$5,$F570,$B$6,V$10,$A570,$B570)</f>
        <v>0</v>
      </c>
      <c r="W570" s="4">
        <f ca="1">_xll.DBRW($B$1,$B$2,$B$7,$B$3,$B$4,$B$5,$F570,$B$6,W$10,$A570,$B570)</f>
        <v>0</v>
      </c>
      <c r="X570" s="4">
        <f ca="1">_xll.DBRW($B$1,$B$2,$B$7,$B$3,$B$4,$B$5,$F570,$B$6,X$10,$A570,$B570)</f>
        <v>0</v>
      </c>
      <c r="Y570" s="4">
        <f ca="1">_xll.DBRW($B$1,$B$2,$B$7,$B$3,$B$4,$B$5,$F570,$B$6,Y$10,$A570,$B570)</f>
        <v>0</v>
      </c>
      <c r="Z570" s="4">
        <f ca="1">_xll.DBRW($B$1,$B$2,$B$7,$B$3,$B$4,$B$5,$F570,$B$6,Z$10,$A570,$B570)</f>
        <v>0</v>
      </c>
      <c r="AA570" s="4">
        <f ca="1">_xll.DBRW($B$1,$B$2,$B$7,$B$3,$B$4,$B$5,$F570,$B$6,AA$10,$A570,$B570)</f>
        <v>0</v>
      </c>
      <c r="AB570" s="4">
        <f ca="1">_xll.DBRW($B$1,$B$2,$B$7,$B$3,$B$4,$B$5,$F570,$B$6,AB$10,$A570,$B570)</f>
        <v>0</v>
      </c>
      <c r="AC570" s="4">
        <f ca="1">_xll.DBRW($B$1,$B$2,$B$7,$B$3,$B$4,$B$5,$F570,$B$6,AC$10,$A570,$B570)</f>
        <v>0</v>
      </c>
      <c r="AD570" s="4">
        <f ca="1">_xll.DBRW($B$1,$B$2,$B$7,$B$3,$B$4,$B$5,$F570,$B$6,AD$10,$A570,$B570)</f>
        <v>0</v>
      </c>
      <c r="AE570" s="4">
        <f ca="1">_xll.DBRW($B$1,$B$2,$B$7,$B$3,$B$4,$B$5,$F570,$B$6,AE$10,$A570,$B570)</f>
        <v>0</v>
      </c>
    </row>
    <row r="571" spans="1:31">
      <c r="A571" s="1" t="s">
        <v>150</v>
      </c>
      <c r="B571" s="5" t="s">
        <v>158</v>
      </c>
      <c r="C571" s="5" t="s">
        <v>159</v>
      </c>
      <c r="D571" s="5" t="s">
        <v>21</v>
      </c>
      <c r="E571" s="5" t="s">
        <v>38</v>
      </c>
      <c r="F571" s="5" t="s">
        <v>317</v>
      </c>
      <c r="G571" s="6"/>
      <c r="H571" s="6"/>
      <c r="I571" s="6"/>
      <c r="J571" s="6"/>
      <c r="K571" s="6"/>
      <c r="L571" s="4">
        <f ca="1">_xll.DBRW($B$1,$B$2,$B$7,$B$3,$B$4,$B$5,$F571,$B$6,L$10,$A571,$B571)</f>
        <v>0</v>
      </c>
      <c r="M571" s="4">
        <f ca="1">_xll.DBRW($B$1,$B$2,$B$7,$B$3,$B$4,$B$5,$F571,$B$6,M$10,$A571,$B571)</f>
        <v>0</v>
      </c>
      <c r="N571" s="4">
        <f ca="1">_xll.DBRW($B$1,$B$2,$B$7,$B$3,$B$4,$B$5,$F571,$B$6,N$10,$A571,$B571)</f>
        <v>0</v>
      </c>
      <c r="O571" s="4">
        <f ca="1">_xll.DBRW($B$1,$B$2,$B$7,$B$3,$B$4,$B$5,$F571,$B$6,O$10,$A571,$B571)</f>
        <v>0</v>
      </c>
      <c r="P571" s="4">
        <f ca="1">_xll.DBRW($B$1,$B$2,$B$7,$B$3,$B$4,$B$5,$F571,$B$6,P$10,$A571,$B571)</f>
        <v>0</v>
      </c>
      <c r="Q571" s="4">
        <f ca="1">_xll.DBRW($B$1,$B$2,$B$7,$B$3,$B$4,$B$5,$F571,$B$6,Q$10,$A571,$B571)</f>
        <v>0</v>
      </c>
      <c r="R571" s="4">
        <f ca="1">_xll.DBRW($B$1,$B$2,$B$7,$B$3,$B$4,$B$5,$F571,$B$6,R$10,$A571,$B571)</f>
        <v>0</v>
      </c>
      <c r="S571" s="4">
        <f ca="1">_xll.DBRW($B$1,$B$2,$B$7,$B$3,$B$4,$B$5,$F571,$B$6,S$10,$A571,$B571)</f>
        <v>0</v>
      </c>
      <c r="T571" s="4">
        <f ca="1">_xll.DBRW($B$1,$B$2,$B$7,$B$3,$B$4,$B$5,$F571,$B$6,T$10,$A571,$B571)</f>
        <v>0</v>
      </c>
      <c r="U571" s="4">
        <f ca="1">_xll.DBRW($B$1,$B$2,$B$7,$B$3,$B$4,$B$5,$F571,$B$6,U$10,$A571,$B571)</f>
        <v>0</v>
      </c>
      <c r="V571" s="4">
        <f ca="1">_xll.DBRW($B$1,$B$2,$B$7,$B$3,$B$4,$B$5,$F571,$B$6,V$10,$A571,$B571)</f>
        <v>0</v>
      </c>
      <c r="W571" s="4">
        <f ca="1">_xll.DBRW($B$1,$B$2,$B$7,$B$3,$B$4,$B$5,$F571,$B$6,W$10,$A571,$B571)</f>
        <v>0</v>
      </c>
      <c r="X571" s="4">
        <f ca="1">_xll.DBRW($B$1,$B$2,$B$7,$B$3,$B$4,$B$5,$F571,$B$6,X$10,$A571,$B571)</f>
        <v>0</v>
      </c>
      <c r="Y571" s="4">
        <f ca="1">_xll.DBRW($B$1,$B$2,$B$7,$B$3,$B$4,$B$5,$F571,$B$6,Y$10,$A571,$B571)</f>
        <v>0</v>
      </c>
      <c r="Z571" s="4">
        <f ca="1">_xll.DBRW($B$1,$B$2,$B$7,$B$3,$B$4,$B$5,$F571,$B$6,Z$10,$A571,$B571)</f>
        <v>0</v>
      </c>
      <c r="AA571" s="4">
        <f ca="1">_xll.DBRW($B$1,$B$2,$B$7,$B$3,$B$4,$B$5,$F571,$B$6,AA$10,$A571,$B571)</f>
        <v>0</v>
      </c>
      <c r="AB571" s="4">
        <f ca="1">_xll.DBRW($B$1,$B$2,$B$7,$B$3,$B$4,$B$5,$F571,$B$6,AB$10,$A571,$B571)</f>
        <v>0</v>
      </c>
      <c r="AC571" s="4">
        <f ca="1">_xll.DBRW($B$1,$B$2,$B$7,$B$3,$B$4,$B$5,$F571,$B$6,AC$10,$A571,$B571)</f>
        <v>0</v>
      </c>
      <c r="AD571" s="4">
        <f ca="1">_xll.DBRW($B$1,$B$2,$B$7,$B$3,$B$4,$B$5,$F571,$B$6,AD$10,$A571,$B571)</f>
        <v>0</v>
      </c>
      <c r="AE571" s="4">
        <f ca="1">_xll.DBRW($B$1,$B$2,$B$7,$B$3,$B$4,$B$5,$F571,$B$6,AE$10,$A571,$B571)</f>
        <v>0</v>
      </c>
    </row>
    <row r="572" spans="1:31">
      <c r="A572" s="1" t="s">
        <v>150</v>
      </c>
      <c r="B572" s="5" t="s">
        <v>36</v>
      </c>
      <c r="C572" s="5" t="s">
        <v>37</v>
      </c>
      <c r="D572" s="5" t="s">
        <v>38</v>
      </c>
      <c r="E572" s="5" t="s">
        <v>21</v>
      </c>
      <c r="F572" s="5" t="s">
        <v>317</v>
      </c>
      <c r="G572" s="6"/>
      <c r="H572" s="6"/>
      <c r="I572" s="6"/>
      <c r="J572" s="6"/>
      <c r="K572" s="6"/>
      <c r="L572" s="4">
        <f ca="1">_xll.DBRW($B$1,$B$2,$B$7,$B$3,$B$4,$B$5,$F572,$B$6,L$10,$A572,$B572)</f>
        <v>1</v>
      </c>
      <c r="M572" s="4">
        <f ca="1">_xll.DBRW($B$1,$B$2,$B$7,$B$3,$B$4,$B$5,$F572,$B$6,M$10,$A572,$B572)</f>
        <v>0</v>
      </c>
      <c r="N572" s="4">
        <f ca="1">_xll.DBRW($B$1,$B$2,$B$7,$B$3,$B$4,$B$5,$F572,$B$6,N$10,$A572,$B572)</f>
        <v>0</v>
      </c>
      <c r="O572" s="4">
        <f ca="1">_xll.DBRW($B$1,$B$2,$B$7,$B$3,$B$4,$B$5,$F572,$B$6,O$10,$A572,$B572)</f>
        <v>0</v>
      </c>
      <c r="P572" s="4">
        <f ca="1">_xll.DBRW($B$1,$B$2,$B$7,$B$3,$B$4,$B$5,$F572,$B$6,P$10,$A572,$B572)</f>
        <v>0</v>
      </c>
      <c r="Q572" s="4">
        <f ca="1">_xll.DBRW($B$1,$B$2,$B$7,$B$3,$B$4,$B$5,$F572,$B$6,Q$10,$A572,$B572)</f>
        <v>0</v>
      </c>
      <c r="R572" s="4">
        <f ca="1">_xll.DBRW($B$1,$B$2,$B$7,$B$3,$B$4,$B$5,$F572,$B$6,R$10,$A572,$B572)</f>
        <v>0</v>
      </c>
      <c r="S572" s="4">
        <f ca="1">_xll.DBRW($B$1,$B$2,$B$7,$B$3,$B$4,$B$5,$F572,$B$6,S$10,$A572,$B572)</f>
        <v>0</v>
      </c>
      <c r="T572" s="4">
        <f ca="1">_xll.DBRW($B$1,$B$2,$B$7,$B$3,$B$4,$B$5,$F572,$B$6,T$10,$A572,$B572)</f>
        <v>5</v>
      </c>
      <c r="U572" s="4">
        <f ca="1">_xll.DBRW($B$1,$B$2,$B$7,$B$3,$B$4,$B$5,$F572,$B$6,U$10,$A572,$B572)</f>
        <v>4</v>
      </c>
      <c r="V572" s="4">
        <f ca="1">_xll.DBRW($B$1,$B$2,$B$7,$B$3,$B$4,$B$5,$F572,$B$6,V$10,$A572,$B572)</f>
        <v>4</v>
      </c>
      <c r="W572" s="4">
        <f ca="1">_xll.DBRW($B$1,$B$2,$B$7,$B$3,$B$4,$B$5,$F572,$B$6,W$10,$A572,$B572)</f>
        <v>0</v>
      </c>
      <c r="X572" s="4">
        <f ca="1">_xll.DBRW($B$1,$B$2,$B$7,$B$3,$B$4,$B$5,$F572,$B$6,X$10,$A572,$B572)</f>
        <v>0</v>
      </c>
      <c r="Y572" s="4">
        <f ca="1">_xll.DBRW($B$1,$B$2,$B$7,$B$3,$B$4,$B$5,$F572,$B$6,Y$10,$A572,$B572)</f>
        <v>0</v>
      </c>
      <c r="Z572" s="4">
        <f ca="1">_xll.DBRW($B$1,$B$2,$B$7,$B$3,$B$4,$B$5,$F572,$B$6,Z$10,$A572,$B572)</f>
        <v>0</v>
      </c>
      <c r="AA572" s="4">
        <f ca="1">_xll.DBRW($B$1,$B$2,$B$7,$B$3,$B$4,$B$5,$F572,$B$6,AA$10,$A572,$B572)</f>
        <v>0</v>
      </c>
      <c r="AB572" s="4">
        <f ca="1">_xll.DBRW($B$1,$B$2,$B$7,$B$3,$B$4,$B$5,$F572,$B$6,AB$10,$A572,$B572)</f>
        <v>0</v>
      </c>
      <c r="AC572" s="4">
        <f ca="1">_xll.DBRW($B$1,$B$2,$B$7,$B$3,$B$4,$B$5,$F572,$B$6,AC$10,$A572,$B572)</f>
        <v>1</v>
      </c>
      <c r="AD572" s="4">
        <f ca="1">_xll.DBRW($B$1,$B$2,$B$7,$B$3,$B$4,$B$5,$F572,$B$6,AD$10,$A572,$B572)</f>
        <v>4</v>
      </c>
      <c r="AE572" s="4">
        <f ca="1">_xll.DBRW($B$1,$B$2,$B$7,$B$3,$B$4,$B$5,$F572,$B$6,AE$10,$A572,$B572)</f>
        <v>4</v>
      </c>
    </row>
    <row r="573" spans="1:31">
      <c r="A573" s="1" t="s">
        <v>150</v>
      </c>
      <c r="B573" s="5" t="s">
        <v>160</v>
      </c>
      <c r="C573" s="5" t="s">
        <v>161</v>
      </c>
      <c r="D573" s="5" t="s">
        <v>21</v>
      </c>
      <c r="E573" s="5" t="s">
        <v>69</v>
      </c>
      <c r="F573" s="5" t="s">
        <v>317</v>
      </c>
      <c r="G573" s="6"/>
      <c r="H573" s="6"/>
      <c r="I573" s="6"/>
      <c r="J573" s="6"/>
      <c r="K573" s="6"/>
      <c r="L573" s="4">
        <f ca="1">_xll.DBRW($B$1,$B$2,$B$7,$B$3,$B$4,$B$5,$F573,$B$6,L$10,$A573,$B573)</f>
        <v>2</v>
      </c>
      <c r="M573" s="4">
        <f ca="1">_xll.DBRW($B$1,$B$2,$B$7,$B$3,$B$4,$B$5,$F573,$B$6,M$10,$A573,$B573)</f>
        <v>0</v>
      </c>
      <c r="N573" s="4">
        <f ca="1">_xll.DBRW($B$1,$B$2,$B$7,$B$3,$B$4,$B$5,$F573,$B$6,N$10,$A573,$B573)</f>
        <v>13</v>
      </c>
      <c r="O573" s="4">
        <f ca="1">_xll.DBRW($B$1,$B$2,$B$7,$B$3,$B$4,$B$5,$F573,$B$6,O$10,$A573,$B573)</f>
        <v>12</v>
      </c>
      <c r="P573" s="4">
        <f ca="1">_xll.DBRW($B$1,$B$2,$B$7,$B$3,$B$4,$B$5,$F573,$B$6,P$10,$A573,$B573)</f>
        <v>27</v>
      </c>
      <c r="Q573" s="4">
        <f ca="1">_xll.DBRW($B$1,$B$2,$B$7,$B$3,$B$4,$B$5,$F573,$B$6,Q$10,$A573,$B573)</f>
        <v>30</v>
      </c>
      <c r="R573" s="4">
        <f ca="1">_xll.DBRW($B$1,$B$2,$B$7,$B$3,$B$4,$B$5,$F573,$B$6,R$10,$A573,$B573)</f>
        <v>29</v>
      </c>
      <c r="S573" s="4">
        <f ca="1">_xll.DBRW($B$1,$B$2,$B$7,$B$3,$B$4,$B$5,$F573,$B$6,S$10,$A573,$B573)</f>
        <v>30</v>
      </c>
      <c r="T573" s="4">
        <f ca="1">_xll.DBRW($B$1,$B$2,$B$7,$B$3,$B$4,$B$5,$F573,$B$6,T$10,$A573,$B573)</f>
        <v>0</v>
      </c>
      <c r="U573" s="4">
        <f ca="1">_xll.DBRW($B$1,$B$2,$B$7,$B$3,$B$4,$B$5,$F573,$B$6,U$10,$A573,$B573)</f>
        <v>0</v>
      </c>
      <c r="V573" s="4">
        <f ca="1">_xll.DBRW($B$1,$B$2,$B$7,$B$3,$B$4,$B$5,$F573,$B$6,V$10,$A573,$B573)</f>
        <v>0</v>
      </c>
      <c r="W573" s="4">
        <f ca="1">_xll.DBRW($B$1,$B$2,$B$7,$B$3,$B$4,$B$5,$F573,$B$6,W$10,$A573,$B573)</f>
        <v>0</v>
      </c>
      <c r="X573" s="4">
        <f ca="1">_xll.DBRW($B$1,$B$2,$B$7,$B$3,$B$4,$B$5,$F573,$B$6,X$10,$A573,$B573)</f>
        <v>0</v>
      </c>
      <c r="Y573" s="4">
        <f ca="1">_xll.DBRW($B$1,$B$2,$B$7,$B$3,$B$4,$B$5,$F573,$B$6,Y$10,$A573,$B573)</f>
        <v>0</v>
      </c>
      <c r="Z573" s="4">
        <f ca="1">_xll.DBRW($B$1,$B$2,$B$7,$B$3,$B$4,$B$5,$F573,$B$6,Z$10,$A573,$B573)</f>
        <v>0</v>
      </c>
      <c r="AA573" s="4">
        <f ca="1">_xll.DBRW($B$1,$B$2,$B$7,$B$3,$B$4,$B$5,$F573,$B$6,AA$10,$A573,$B573)</f>
        <v>0</v>
      </c>
      <c r="AB573" s="4">
        <f ca="1">_xll.DBRW($B$1,$B$2,$B$7,$B$3,$B$4,$B$5,$F573,$B$6,AB$10,$A573,$B573)</f>
        <v>0</v>
      </c>
      <c r="AC573" s="4">
        <f ca="1">_xll.DBRW($B$1,$B$2,$B$7,$B$3,$B$4,$B$5,$F573,$B$6,AC$10,$A573,$B573)</f>
        <v>0</v>
      </c>
      <c r="AD573" s="4">
        <f ca="1">_xll.DBRW($B$1,$B$2,$B$7,$B$3,$B$4,$B$5,$F573,$B$6,AD$10,$A573,$B573)</f>
        <v>0</v>
      </c>
      <c r="AE573" s="4">
        <f ca="1">_xll.DBRW($B$1,$B$2,$B$7,$B$3,$B$4,$B$5,$F573,$B$6,AE$10,$A573,$B573)</f>
        <v>0</v>
      </c>
    </row>
    <row r="574" spans="1:31">
      <c r="A574" s="1" t="s">
        <v>150</v>
      </c>
      <c r="B574" s="5" t="s">
        <v>67</v>
      </c>
      <c r="C574" s="5" t="s">
        <v>68</v>
      </c>
      <c r="D574" s="5" t="s">
        <v>69</v>
      </c>
      <c r="E574" s="5" t="s">
        <v>21</v>
      </c>
      <c r="F574" s="5" t="s">
        <v>317</v>
      </c>
      <c r="G574" s="6"/>
      <c r="H574" s="6"/>
      <c r="I574" s="6"/>
      <c r="J574" s="6"/>
      <c r="K574" s="6"/>
      <c r="L574" s="4">
        <f ca="1">_xll.DBRW($B$1,$B$2,$B$7,$B$3,$B$4,$B$5,$F574,$B$6,L$10,$A574,$B574)</f>
        <v>2</v>
      </c>
      <c r="M574" s="4">
        <f ca="1">_xll.DBRW($B$1,$B$2,$B$7,$B$3,$B$4,$B$5,$F574,$B$6,M$10,$A574,$B574)</f>
        <v>0</v>
      </c>
      <c r="N574" s="4">
        <f ca="1">_xll.DBRW($B$1,$B$2,$B$7,$B$3,$B$4,$B$5,$F574,$B$6,N$10,$A574,$B574)</f>
        <v>13</v>
      </c>
      <c r="O574" s="4">
        <f ca="1">_xll.DBRW($B$1,$B$2,$B$7,$B$3,$B$4,$B$5,$F574,$B$6,O$10,$A574,$B574)</f>
        <v>12</v>
      </c>
      <c r="P574" s="4">
        <f ca="1">_xll.DBRW($B$1,$B$2,$B$7,$B$3,$B$4,$B$5,$F574,$B$6,P$10,$A574,$B574)</f>
        <v>27</v>
      </c>
      <c r="Q574" s="4">
        <f ca="1">_xll.DBRW($B$1,$B$2,$B$7,$B$3,$B$4,$B$5,$F574,$B$6,Q$10,$A574,$B574)</f>
        <v>30</v>
      </c>
      <c r="R574" s="4">
        <f ca="1">_xll.DBRW($B$1,$B$2,$B$7,$B$3,$B$4,$B$5,$F574,$B$6,R$10,$A574,$B574)</f>
        <v>29</v>
      </c>
      <c r="S574" s="4">
        <f ca="1">_xll.DBRW($B$1,$B$2,$B$7,$B$3,$B$4,$B$5,$F574,$B$6,S$10,$A574,$B574)</f>
        <v>30</v>
      </c>
      <c r="T574" s="4">
        <f ca="1">_xll.DBRW($B$1,$B$2,$B$7,$B$3,$B$4,$B$5,$F574,$B$6,T$10,$A574,$B574)</f>
        <v>0</v>
      </c>
      <c r="U574" s="4">
        <f ca="1">_xll.DBRW($B$1,$B$2,$B$7,$B$3,$B$4,$B$5,$F574,$B$6,U$10,$A574,$B574)</f>
        <v>0</v>
      </c>
      <c r="V574" s="4">
        <f ca="1">_xll.DBRW($B$1,$B$2,$B$7,$B$3,$B$4,$B$5,$F574,$B$6,V$10,$A574,$B574)</f>
        <v>0</v>
      </c>
      <c r="W574" s="4">
        <f ca="1">_xll.DBRW($B$1,$B$2,$B$7,$B$3,$B$4,$B$5,$F574,$B$6,W$10,$A574,$B574)</f>
        <v>0</v>
      </c>
      <c r="X574" s="4">
        <f ca="1">_xll.DBRW($B$1,$B$2,$B$7,$B$3,$B$4,$B$5,$F574,$B$6,X$10,$A574,$B574)</f>
        <v>0</v>
      </c>
      <c r="Y574" s="4">
        <f ca="1">_xll.DBRW($B$1,$B$2,$B$7,$B$3,$B$4,$B$5,$F574,$B$6,Y$10,$A574,$B574)</f>
        <v>0</v>
      </c>
      <c r="Z574" s="4">
        <f ca="1">_xll.DBRW($B$1,$B$2,$B$7,$B$3,$B$4,$B$5,$F574,$B$6,Z$10,$A574,$B574)</f>
        <v>0</v>
      </c>
      <c r="AA574" s="4">
        <f ca="1">_xll.DBRW($B$1,$B$2,$B$7,$B$3,$B$4,$B$5,$F574,$B$6,AA$10,$A574,$B574)</f>
        <v>0</v>
      </c>
      <c r="AB574" s="4">
        <f ca="1">_xll.DBRW($B$1,$B$2,$B$7,$B$3,$B$4,$B$5,$F574,$B$6,AB$10,$A574,$B574)</f>
        <v>0</v>
      </c>
      <c r="AC574" s="4">
        <f ca="1">_xll.DBRW($B$1,$B$2,$B$7,$B$3,$B$4,$B$5,$F574,$B$6,AC$10,$A574,$B574)</f>
        <v>0</v>
      </c>
      <c r="AD574" s="4">
        <f ca="1">_xll.DBRW($B$1,$B$2,$B$7,$B$3,$B$4,$B$5,$F574,$B$6,AD$10,$A574,$B574)</f>
        <v>0</v>
      </c>
      <c r="AE574" s="4">
        <f ca="1">_xll.DBRW($B$1,$B$2,$B$7,$B$3,$B$4,$B$5,$F574,$B$6,AE$10,$A574,$B574)</f>
        <v>0</v>
      </c>
    </row>
    <row r="575" spans="1:31">
      <c r="A575" s="1" t="s">
        <v>150</v>
      </c>
      <c r="B575" s="5" t="s">
        <v>162</v>
      </c>
      <c r="C575" s="5" t="s">
        <v>163</v>
      </c>
      <c r="D575" s="5" t="s">
        <v>21</v>
      </c>
      <c r="E575" s="5" t="s">
        <v>54</v>
      </c>
      <c r="F575" s="5" t="s">
        <v>317</v>
      </c>
      <c r="G575" s="6"/>
      <c r="H575" s="6"/>
      <c r="I575" s="6"/>
      <c r="J575" s="6"/>
      <c r="K575" s="6"/>
      <c r="L575" s="4">
        <f ca="1">_xll.DBRW($B$1,$B$2,$B$7,$B$3,$B$4,$B$5,$F575,$B$6,L$10,$A575,$B575)</f>
        <v>27</v>
      </c>
      <c r="M575" s="4">
        <f ca="1">_xll.DBRW($B$1,$B$2,$B$7,$B$3,$B$4,$B$5,$F575,$B$6,M$10,$A575,$B575)</f>
        <v>30</v>
      </c>
      <c r="N575" s="4">
        <f ca="1">_xll.DBRW($B$1,$B$2,$B$7,$B$3,$B$4,$B$5,$F575,$B$6,N$10,$A575,$B575)</f>
        <v>14</v>
      </c>
      <c r="O575" s="4">
        <f ca="1">_xll.DBRW($B$1,$B$2,$B$7,$B$3,$B$4,$B$5,$F575,$B$6,O$10,$A575,$B575)</f>
        <v>0</v>
      </c>
      <c r="P575" s="4">
        <f ca="1">_xll.DBRW($B$1,$B$2,$B$7,$B$3,$B$4,$B$5,$F575,$B$6,P$10,$A575,$B575)</f>
        <v>0</v>
      </c>
      <c r="Q575" s="4">
        <f ca="1">_xll.DBRW($B$1,$B$2,$B$7,$B$3,$B$4,$B$5,$F575,$B$6,Q$10,$A575,$B575)</f>
        <v>0</v>
      </c>
      <c r="R575" s="4">
        <f ca="1">_xll.DBRW($B$1,$B$2,$B$7,$B$3,$B$4,$B$5,$F575,$B$6,R$10,$A575,$B575)</f>
        <v>0</v>
      </c>
      <c r="S575" s="4">
        <f ca="1">_xll.DBRW($B$1,$B$2,$B$7,$B$3,$B$4,$B$5,$F575,$B$6,S$10,$A575,$B575)</f>
        <v>0</v>
      </c>
      <c r="T575" s="4">
        <f ca="1">_xll.DBRW($B$1,$B$2,$B$7,$B$3,$B$4,$B$5,$F575,$B$6,T$10,$A575,$B575)</f>
        <v>0</v>
      </c>
      <c r="U575" s="4">
        <f ca="1">_xll.DBRW($B$1,$B$2,$B$7,$B$3,$B$4,$B$5,$F575,$B$6,U$10,$A575,$B575)</f>
        <v>0</v>
      </c>
      <c r="V575" s="4">
        <f ca="1">_xll.DBRW($B$1,$B$2,$B$7,$B$3,$B$4,$B$5,$F575,$B$6,V$10,$A575,$B575)</f>
        <v>0</v>
      </c>
      <c r="W575" s="4">
        <f ca="1">_xll.DBRW($B$1,$B$2,$B$7,$B$3,$B$4,$B$5,$F575,$B$6,W$10,$A575,$B575)</f>
        <v>0</v>
      </c>
      <c r="X575" s="4">
        <f ca="1">_xll.DBRW($B$1,$B$2,$B$7,$B$3,$B$4,$B$5,$F575,$B$6,X$10,$A575,$B575)</f>
        <v>0</v>
      </c>
      <c r="Y575" s="4">
        <f ca="1">_xll.DBRW($B$1,$B$2,$B$7,$B$3,$B$4,$B$5,$F575,$B$6,Y$10,$A575,$B575)</f>
        <v>0</v>
      </c>
      <c r="Z575" s="4">
        <f ca="1">_xll.DBRW($B$1,$B$2,$B$7,$B$3,$B$4,$B$5,$F575,$B$6,Z$10,$A575,$B575)</f>
        <v>0</v>
      </c>
      <c r="AA575" s="4">
        <f ca="1">_xll.DBRW($B$1,$B$2,$B$7,$B$3,$B$4,$B$5,$F575,$B$6,AA$10,$A575,$B575)</f>
        <v>0</v>
      </c>
      <c r="AB575" s="4">
        <f ca="1">_xll.DBRW($B$1,$B$2,$B$7,$B$3,$B$4,$B$5,$F575,$B$6,AB$10,$A575,$B575)</f>
        <v>0</v>
      </c>
      <c r="AC575" s="4">
        <f ca="1">_xll.DBRW($B$1,$B$2,$B$7,$B$3,$B$4,$B$5,$F575,$B$6,AC$10,$A575,$B575)</f>
        <v>0</v>
      </c>
      <c r="AD575" s="4">
        <f ca="1">_xll.DBRW($B$1,$B$2,$B$7,$B$3,$B$4,$B$5,$F575,$B$6,AD$10,$A575,$B575)</f>
        <v>0</v>
      </c>
      <c r="AE575" s="4">
        <f ca="1">_xll.DBRW($B$1,$B$2,$B$7,$B$3,$B$4,$B$5,$F575,$B$6,AE$10,$A575,$B575)</f>
        <v>0</v>
      </c>
    </row>
    <row r="576" spans="1:31">
      <c r="A576" s="1" t="s">
        <v>150</v>
      </c>
      <c r="B576" s="5" t="s">
        <v>52</v>
      </c>
      <c r="C576" s="5" t="s">
        <v>53</v>
      </c>
      <c r="D576" s="5" t="s">
        <v>54</v>
      </c>
      <c r="E576" s="5" t="s">
        <v>21</v>
      </c>
      <c r="F576" s="5" t="s">
        <v>317</v>
      </c>
      <c r="G576" s="6"/>
      <c r="H576" s="6"/>
      <c r="I576" s="6"/>
      <c r="J576" s="6"/>
      <c r="K576" s="6"/>
      <c r="L576" s="4">
        <f ca="1">_xll.DBRW($B$1,$B$2,$B$7,$B$3,$B$4,$B$5,$F576,$B$6,L$10,$A576,$B576)</f>
        <v>27</v>
      </c>
      <c r="M576" s="4">
        <f ca="1">_xll.DBRW($B$1,$B$2,$B$7,$B$3,$B$4,$B$5,$F576,$B$6,M$10,$A576,$B576)</f>
        <v>30</v>
      </c>
      <c r="N576" s="4">
        <f ca="1">_xll.DBRW($B$1,$B$2,$B$7,$B$3,$B$4,$B$5,$F576,$B$6,N$10,$A576,$B576)</f>
        <v>14</v>
      </c>
      <c r="O576" s="4">
        <f ca="1">_xll.DBRW($B$1,$B$2,$B$7,$B$3,$B$4,$B$5,$F576,$B$6,O$10,$A576,$B576)</f>
        <v>0</v>
      </c>
      <c r="P576" s="4">
        <f ca="1">_xll.DBRW($B$1,$B$2,$B$7,$B$3,$B$4,$B$5,$F576,$B$6,P$10,$A576,$B576)</f>
        <v>0</v>
      </c>
      <c r="Q576" s="4">
        <f ca="1">_xll.DBRW($B$1,$B$2,$B$7,$B$3,$B$4,$B$5,$F576,$B$6,Q$10,$A576,$B576)</f>
        <v>0</v>
      </c>
      <c r="R576" s="4">
        <f ca="1">_xll.DBRW($B$1,$B$2,$B$7,$B$3,$B$4,$B$5,$F576,$B$6,R$10,$A576,$B576)</f>
        <v>0</v>
      </c>
      <c r="S576" s="4">
        <f ca="1">_xll.DBRW($B$1,$B$2,$B$7,$B$3,$B$4,$B$5,$F576,$B$6,S$10,$A576,$B576)</f>
        <v>0</v>
      </c>
      <c r="T576" s="4">
        <f ca="1">_xll.DBRW($B$1,$B$2,$B$7,$B$3,$B$4,$B$5,$F576,$B$6,T$10,$A576,$B576)</f>
        <v>0</v>
      </c>
      <c r="U576" s="4">
        <f ca="1">_xll.DBRW($B$1,$B$2,$B$7,$B$3,$B$4,$B$5,$F576,$B$6,U$10,$A576,$B576)</f>
        <v>0</v>
      </c>
      <c r="V576" s="4">
        <f ca="1">_xll.DBRW($B$1,$B$2,$B$7,$B$3,$B$4,$B$5,$F576,$B$6,V$10,$A576,$B576)</f>
        <v>0</v>
      </c>
      <c r="W576" s="4">
        <f ca="1">_xll.DBRW($B$1,$B$2,$B$7,$B$3,$B$4,$B$5,$F576,$B$6,W$10,$A576,$B576)</f>
        <v>0</v>
      </c>
      <c r="X576" s="4">
        <f ca="1">_xll.DBRW($B$1,$B$2,$B$7,$B$3,$B$4,$B$5,$F576,$B$6,X$10,$A576,$B576)</f>
        <v>0</v>
      </c>
      <c r="Y576" s="4">
        <f ca="1">_xll.DBRW($B$1,$B$2,$B$7,$B$3,$B$4,$B$5,$F576,$B$6,Y$10,$A576,$B576)</f>
        <v>0</v>
      </c>
      <c r="Z576" s="4">
        <f ca="1">_xll.DBRW($B$1,$B$2,$B$7,$B$3,$B$4,$B$5,$F576,$B$6,Z$10,$A576,$B576)</f>
        <v>0</v>
      </c>
      <c r="AA576" s="4">
        <f ca="1">_xll.DBRW($B$1,$B$2,$B$7,$B$3,$B$4,$B$5,$F576,$B$6,AA$10,$A576,$B576)</f>
        <v>0</v>
      </c>
      <c r="AB576" s="4">
        <f ca="1">_xll.DBRW($B$1,$B$2,$B$7,$B$3,$B$4,$B$5,$F576,$B$6,AB$10,$A576,$B576)</f>
        <v>0</v>
      </c>
      <c r="AC576" s="4">
        <f ca="1">_xll.DBRW($B$1,$B$2,$B$7,$B$3,$B$4,$B$5,$F576,$B$6,AC$10,$A576,$B576)</f>
        <v>0</v>
      </c>
      <c r="AD576" s="4">
        <f ca="1">_xll.DBRW($B$1,$B$2,$B$7,$B$3,$B$4,$B$5,$F576,$B$6,AD$10,$A576,$B576)</f>
        <v>0</v>
      </c>
      <c r="AE576" s="4">
        <f ca="1">_xll.DBRW($B$1,$B$2,$B$7,$B$3,$B$4,$B$5,$F576,$B$6,AE$10,$A576,$B576)</f>
        <v>0</v>
      </c>
    </row>
    <row r="577" spans="1:31">
      <c r="A577" s="1" t="s">
        <v>150</v>
      </c>
      <c r="B577" s="5" t="s">
        <v>164</v>
      </c>
      <c r="C577" s="5" t="s">
        <v>159</v>
      </c>
      <c r="D577" s="5" t="s">
        <v>21</v>
      </c>
      <c r="E577" s="5" t="s">
        <v>38</v>
      </c>
      <c r="F577" s="5" t="s">
        <v>317</v>
      </c>
      <c r="G577" s="6"/>
      <c r="H577" s="6"/>
      <c r="I577" s="6"/>
      <c r="J577" s="6"/>
      <c r="K577" s="6"/>
      <c r="L577" s="4">
        <f ca="1">_xll.DBRW($B$1,$B$2,$B$7,$B$3,$B$4,$B$5,$F577,$B$6,L$10,$A577,$B577)</f>
        <v>0</v>
      </c>
      <c r="M577" s="4">
        <f ca="1">_xll.DBRW($B$1,$B$2,$B$7,$B$3,$B$4,$B$5,$F577,$B$6,M$10,$A577,$B577)</f>
        <v>0</v>
      </c>
      <c r="N577" s="4">
        <f ca="1">_xll.DBRW($B$1,$B$2,$B$7,$B$3,$B$4,$B$5,$F577,$B$6,N$10,$A577,$B577)</f>
        <v>0</v>
      </c>
      <c r="O577" s="4">
        <f ca="1">_xll.DBRW($B$1,$B$2,$B$7,$B$3,$B$4,$B$5,$F577,$B$6,O$10,$A577,$B577)</f>
        <v>0</v>
      </c>
      <c r="P577" s="4">
        <f ca="1">_xll.DBRW($B$1,$B$2,$B$7,$B$3,$B$4,$B$5,$F577,$B$6,P$10,$A577,$B577)</f>
        <v>0</v>
      </c>
      <c r="Q577" s="4">
        <f ca="1">_xll.DBRW($B$1,$B$2,$B$7,$B$3,$B$4,$B$5,$F577,$B$6,Q$10,$A577,$B577)</f>
        <v>0</v>
      </c>
      <c r="R577" s="4">
        <f ca="1">_xll.DBRW($B$1,$B$2,$B$7,$B$3,$B$4,$B$5,$F577,$B$6,R$10,$A577,$B577)</f>
        <v>0</v>
      </c>
      <c r="S577" s="4">
        <f ca="1">_xll.DBRW($B$1,$B$2,$B$7,$B$3,$B$4,$B$5,$F577,$B$6,S$10,$A577,$B577)</f>
        <v>0</v>
      </c>
      <c r="T577" s="4">
        <f ca="1">_xll.DBRW($B$1,$B$2,$B$7,$B$3,$B$4,$B$5,$F577,$B$6,T$10,$A577,$B577)</f>
        <v>4</v>
      </c>
      <c r="U577" s="4">
        <f ca="1">_xll.DBRW($B$1,$B$2,$B$7,$B$3,$B$4,$B$5,$F577,$B$6,U$10,$A577,$B577)</f>
        <v>4</v>
      </c>
      <c r="V577" s="4">
        <f ca="1">_xll.DBRW($B$1,$B$2,$B$7,$B$3,$B$4,$B$5,$F577,$B$6,V$10,$A577,$B577)</f>
        <v>4</v>
      </c>
      <c r="W577" s="4">
        <f ca="1">_xll.DBRW($B$1,$B$2,$B$7,$B$3,$B$4,$B$5,$F577,$B$6,W$10,$A577,$B577)</f>
        <v>5</v>
      </c>
      <c r="X577" s="4">
        <f ca="1">_xll.DBRW($B$1,$B$2,$B$7,$B$3,$B$4,$B$5,$F577,$B$6,X$10,$A577,$B577)</f>
        <v>4</v>
      </c>
      <c r="Y577" s="4">
        <f ca="1">_xll.DBRW($B$1,$B$2,$B$7,$B$3,$B$4,$B$5,$F577,$B$6,Y$10,$A577,$B577)</f>
        <v>4</v>
      </c>
      <c r="Z577" s="4">
        <f ca="1">_xll.DBRW($B$1,$B$2,$B$7,$B$3,$B$4,$B$5,$F577,$B$6,Z$10,$A577,$B577)</f>
        <v>5</v>
      </c>
      <c r="AA577" s="4">
        <f ca="1">_xll.DBRW($B$1,$B$2,$B$7,$B$3,$B$4,$B$5,$F577,$B$6,AA$10,$A577,$B577)</f>
        <v>4</v>
      </c>
      <c r="AB577" s="4">
        <f ca="1">_xll.DBRW($B$1,$B$2,$B$7,$B$3,$B$4,$B$5,$F577,$B$6,AB$10,$A577,$B577)</f>
        <v>5</v>
      </c>
      <c r="AC577" s="4">
        <f ca="1">_xll.DBRW($B$1,$B$2,$B$7,$B$3,$B$4,$B$5,$F577,$B$6,AC$10,$A577,$B577)</f>
        <v>4</v>
      </c>
      <c r="AD577" s="4">
        <f ca="1">_xll.DBRW($B$1,$B$2,$B$7,$B$3,$B$4,$B$5,$F577,$B$6,AD$10,$A577,$B577)</f>
        <v>4</v>
      </c>
      <c r="AE577" s="4">
        <f ca="1">_xll.DBRW($B$1,$B$2,$B$7,$B$3,$B$4,$B$5,$F577,$B$6,AE$10,$A577,$B577)</f>
        <v>5</v>
      </c>
    </row>
    <row r="578" spans="1:31">
      <c r="A578" s="1" t="s">
        <v>150</v>
      </c>
      <c r="B578" s="5" t="s">
        <v>39</v>
      </c>
      <c r="C578" s="5" t="s">
        <v>37</v>
      </c>
      <c r="D578" s="5" t="s">
        <v>38</v>
      </c>
      <c r="E578" s="5" t="s">
        <v>21</v>
      </c>
      <c r="F578" s="5" t="s">
        <v>317</v>
      </c>
      <c r="G578" s="6"/>
      <c r="H578" s="6"/>
      <c r="I578" s="6"/>
      <c r="J578" s="6"/>
      <c r="K578" s="6"/>
      <c r="L578" s="4">
        <f ca="1">_xll.DBRW($B$1,$B$2,$B$7,$B$3,$B$4,$B$5,$F578,$B$6,L$10,$A578,$B578)</f>
        <v>0</v>
      </c>
      <c r="M578" s="4">
        <f ca="1">_xll.DBRW($B$1,$B$2,$B$7,$B$3,$B$4,$B$5,$F578,$B$6,M$10,$A578,$B578)</f>
        <v>0</v>
      </c>
      <c r="N578" s="4">
        <f ca="1">_xll.DBRW($B$1,$B$2,$B$7,$B$3,$B$4,$B$5,$F578,$B$6,N$10,$A578,$B578)</f>
        <v>0</v>
      </c>
      <c r="O578" s="4">
        <f ca="1">_xll.DBRW($B$1,$B$2,$B$7,$B$3,$B$4,$B$5,$F578,$B$6,O$10,$A578,$B578)</f>
        <v>0</v>
      </c>
      <c r="P578" s="4">
        <f ca="1">_xll.DBRW($B$1,$B$2,$B$7,$B$3,$B$4,$B$5,$F578,$B$6,P$10,$A578,$B578)</f>
        <v>0</v>
      </c>
      <c r="Q578" s="4">
        <f ca="1">_xll.DBRW($B$1,$B$2,$B$7,$B$3,$B$4,$B$5,$F578,$B$6,Q$10,$A578,$B578)</f>
        <v>0</v>
      </c>
      <c r="R578" s="4">
        <f ca="1">_xll.DBRW($B$1,$B$2,$B$7,$B$3,$B$4,$B$5,$F578,$B$6,R$10,$A578,$B578)</f>
        <v>0</v>
      </c>
      <c r="S578" s="4">
        <f ca="1">_xll.DBRW($B$1,$B$2,$B$7,$B$3,$B$4,$B$5,$F578,$B$6,S$10,$A578,$B578)</f>
        <v>0</v>
      </c>
      <c r="T578" s="4">
        <f ca="1">_xll.DBRW($B$1,$B$2,$B$7,$B$3,$B$4,$B$5,$F578,$B$6,T$10,$A578,$B578)</f>
        <v>4</v>
      </c>
      <c r="U578" s="4">
        <f ca="1">_xll.DBRW($B$1,$B$2,$B$7,$B$3,$B$4,$B$5,$F578,$B$6,U$10,$A578,$B578)</f>
        <v>4</v>
      </c>
      <c r="V578" s="4">
        <f ca="1">_xll.DBRW($B$1,$B$2,$B$7,$B$3,$B$4,$B$5,$F578,$B$6,V$10,$A578,$B578)</f>
        <v>4</v>
      </c>
      <c r="W578" s="4">
        <f ca="1">_xll.DBRW($B$1,$B$2,$B$7,$B$3,$B$4,$B$5,$F578,$B$6,W$10,$A578,$B578)</f>
        <v>5</v>
      </c>
      <c r="X578" s="4">
        <f ca="1">_xll.DBRW($B$1,$B$2,$B$7,$B$3,$B$4,$B$5,$F578,$B$6,X$10,$A578,$B578)</f>
        <v>4</v>
      </c>
      <c r="Y578" s="4">
        <f ca="1">_xll.DBRW($B$1,$B$2,$B$7,$B$3,$B$4,$B$5,$F578,$B$6,Y$10,$A578,$B578)</f>
        <v>4</v>
      </c>
      <c r="Z578" s="4">
        <f ca="1">_xll.DBRW($B$1,$B$2,$B$7,$B$3,$B$4,$B$5,$F578,$B$6,Z$10,$A578,$B578)</f>
        <v>5</v>
      </c>
      <c r="AA578" s="4">
        <f ca="1">_xll.DBRW($B$1,$B$2,$B$7,$B$3,$B$4,$B$5,$F578,$B$6,AA$10,$A578,$B578)</f>
        <v>4</v>
      </c>
      <c r="AB578" s="4">
        <f ca="1">_xll.DBRW($B$1,$B$2,$B$7,$B$3,$B$4,$B$5,$F578,$B$6,AB$10,$A578,$B578)</f>
        <v>5</v>
      </c>
      <c r="AC578" s="4">
        <f ca="1">_xll.DBRW($B$1,$B$2,$B$7,$B$3,$B$4,$B$5,$F578,$B$6,AC$10,$A578,$B578)</f>
        <v>4</v>
      </c>
      <c r="AD578" s="4">
        <f ca="1">_xll.DBRW($B$1,$B$2,$B$7,$B$3,$B$4,$B$5,$F578,$B$6,AD$10,$A578,$B578)</f>
        <v>4</v>
      </c>
      <c r="AE578" s="4">
        <f ca="1">_xll.DBRW($B$1,$B$2,$B$7,$B$3,$B$4,$B$5,$F578,$B$6,AE$10,$A578,$B578)</f>
        <v>5</v>
      </c>
    </row>
    <row r="579" spans="1:31">
      <c r="A579" s="1" t="s">
        <v>150</v>
      </c>
      <c r="B579" s="5" t="s">
        <v>165</v>
      </c>
      <c r="C579" s="5" t="s">
        <v>166</v>
      </c>
      <c r="D579" s="5" t="s">
        <v>21</v>
      </c>
      <c r="E579" s="5" t="s">
        <v>31</v>
      </c>
      <c r="F579" s="5" t="s">
        <v>317</v>
      </c>
      <c r="G579" s="6"/>
      <c r="H579" s="6"/>
      <c r="I579" s="6"/>
      <c r="J579" s="6"/>
      <c r="K579" s="6"/>
      <c r="L579" s="4">
        <f ca="1">_xll.DBRW($B$1,$B$2,$B$7,$B$3,$B$4,$B$5,$F579,$B$6,L$10,$A579,$B579)</f>
        <v>0</v>
      </c>
      <c r="M579" s="4">
        <f ca="1">_xll.DBRW($B$1,$B$2,$B$7,$B$3,$B$4,$B$5,$F579,$B$6,M$10,$A579,$B579)</f>
        <v>0</v>
      </c>
      <c r="N579" s="4">
        <f ca="1">_xll.DBRW($B$1,$B$2,$B$7,$B$3,$B$4,$B$5,$F579,$B$6,N$10,$A579,$B579)</f>
        <v>0</v>
      </c>
      <c r="O579" s="4">
        <f ca="1">_xll.DBRW($B$1,$B$2,$B$7,$B$3,$B$4,$B$5,$F579,$B$6,O$10,$A579,$B579)</f>
        <v>0</v>
      </c>
      <c r="P579" s="4">
        <f ca="1">_xll.DBRW($B$1,$B$2,$B$7,$B$3,$B$4,$B$5,$F579,$B$6,P$10,$A579,$B579)</f>
        <v>0</v>
      </c>
      <c r="Q579" s="4">
        <f ca="1">_xll.DBRW($B$1,$B$2,$B$7,$B$3,$B$4,$B$5,$F579,$B$6,Q$10,$A579,$B579)</f>
        <v>0</v>
      </c>
      <c r="R579" s="4">
        <f ca="1">_xll.DBRW($B$1,$B$2,$B$7,$B$3,$B$4,$B$5,$F579,$B$6,R$10,$A579,$B579)</f>
        <v>0</v>
      </c>
      <c r="S579" s="4">
        <f ca="1">_xll.DBRW($B$1,$B$2,$B$7,$B$3,$B$4,$B$5,$F579,$B$6,S$10,$A579,$B579)</f>
        <v>0</v>
      </c>
      <c r="T579" s="4">
        <f ca="1">_xll.DBRW($B$1,$B$2,$B$7,$B$3,$B$4,$B$5,$F579,$B$6,T$10,$A579,$B579)</f>
        <v>0</v>
      </c>
      <c r="U579" s="4">
        <f ca="1">_xll.DBRW($B$1,$B$2,$B$7,$B$3,$B$4,$B$5,$F579,$B$6,U$10,$A579,$B579)</f>
        <v>0</v>
      </c>
      <c r="V579" s="4">
        <f ca="1">_xll.DBRW($B$1,$B$2,$B$7,$B$3,$B$4,$B$5,$F579,$B$6,V$10,$A579,$B579)</f>
        <v>0</v>
      </c>
      <c r="W579" s="4">
        <f ca="1">_xll.DBRW($B$1,$B$2,$B$7,$B$3,$B$4,$B$5,$F579,$B$6,W$10,$A579,$B579)</f>
        <v>0</v>
      </c>
      <c r="X579" s="4">
        <f ca="1">_xll.DBRW($B$1,$B$2,$B$7,$B$3,$B$4,$B$5,$F579,$B$6,X$10,$A579,$B579)</f>
        <v>0</v>
      </c>
      <c r="Y579" s="4">
        <f ca="1">_xll.DBRW($B$1,$B$2,$B$7,$B$3,$B$4,$B$5,$F579,$B$6,Y$10,$A579,$B579)</f>
        <v>0</v>
      </c>
      <c r="Z579" s="4">
        <f ca="1">_xll.DBRW($B$1,$B$2,$B$7,$B$3,$B$4,$B$5,$F579,$B$6,Z$10,$A579,$B579)</f>
        <v>0</v>
      </c>
      <c r="AA579" s="4">
        <f ca="1">_xll.DBRW($B$1,$B$2,$B$7,$B$3,$B$4,$B$5,$F579,$B$6,AA$10,$A579,$B579)</f>
        <v>0</v>
      </c>
      <c r="AB579" s="4">
        <f ca="1">_xll.DBRW($B$1,$B$2,$B$7,$B$3,$B$4,$B$5,$F579,$B$6,AB$10,$A579,$B579)</f>
        <v>0</v>
      </c>
      <c r="AC579" s="4">
        <f ca="1">_xll.DBRW($B$1,$B$2,$B$7,$B$3,$B$4,$B$5,$F579,$B$6,AC$10,$A579,$B579)</f>
        <v>0</v>
      </c>
      <c r="AD579" s="4">
        <f ca="1">_xll.DBRW($B$1,$B$2,$B$7,$B$3,$B$4,$B$5,$F579,$B$6,AD$10,$A579,$B579)</f>
        <v>0</v>
      </c>
      <c r="AE579" s="4">
        <f ca="1">_xll.DBRW($B$1,$B$2,$B$7,$B$3,$B$4,$B$5,$F579,$B$6,AE$10,$A579,$B579)</f>
        <v>0</v>
      </c>
    </row>
    <row r="580" spans="1:31">
      <c r="A580" s="1" t="s">
        <v>150</v>
      </c>
      <c r="B580" s="5" t="s">
        <v>29</v>
      </c>
      <c r="C580" s="5" t="s">
        <v>30</v>
      </c>
      <c r="D580" s="5" t="s">
        <v>31</v>
      </c>
      <c r="E580" s="5" t="s">
        <v>21</v>
      </c>
      <c r="F580" s="5" t="s">
        <v>317</v>
      </c>
      <c r="G580" s="6"/>
      <c r="H580" s="6"/>
      <c r="I580" s="6"/>
      <c r="J580" s="6"/>
      <c r="K580" s="6"/>
      <c r="L580" s="4">
        <f ca="1">_xll.DBRW($B$1,$B$2,$B$7,$B$3,$B$4,$B$5,$F580,$B$6,L$10,$A580,$B580)</f>
        <v>0</v>
      </c>
      <c r="M580" s="4">
        <f ca="1">_xll.DBRW($B$1,$B$2,$B$7,$B$3,$B$4,$B$5,$F580,$B$6,M$10,$A580,$B580)</f>
        <v>0</v>
      </c>
      <c r="N580" s="4">
        <f ca="1">_xll.DBRW($B$1,$B$2,$B$7,$B$3,$B$4,$B$5,$F580,$B$6,N$10,$A580,$B580)</f>
        <v>0</v>
      </c>
      <c r="O580" s="4">
        <f ca="1">_xll.DBRW($B$1,$B$2,$B$7,$B$3,$B$4,$B$5,$F580,$B$6,O$10,$A580,$B580)</f>
        <v>0</v>
      </c>
      <c r="P580" s="4">
        <f ca="1">_xll.DBRW($B$1,$B$2,$B$7,$B$3,$B$4,$B$5,$F580,$B$6,P$10,$A580,$B580)</f>
        <v>0</v>
      </c>
      <c r="Q580" s="4">
        <f ca="1">_xll.DBRW($B$1,$B$2,$B$7,$B$3,$B$4,$B$5,$F580,$B$6,Q$10,$A580,$B580)</f>
        <v>0</v>
      </c>
      <c r="R580" s="4">
        <f ca="1">_xll.DBRW($B$1,$B$2,$B$7,$B$3,$B$4,$B$5,$F580,$B$6,R$10,$A580,$B580)</f>
        <v>0</v>
      </c>
      <c r="S580" s="4">
        <f ca="1">_xll.DBRW($B$1,$B$2,$B$7,$B$3,$B$4,$B$5,$F580,$B$6,S$10,$A580,$B580)</f>
        <v>0</v>
      </c>
      <c r="T580" s="4">
        <f ca="1">_xll.DBRW($B$1,$B$2,$B$7,$B$3,$B$4,$B$5,$F580,$B$6,T$10,$A580,$B580)</f>
        <v>0</v>
      </c>
      <c r="U580" s="4">
        <f ca="1">_xll.DBRW($B$1,$B$2,$B$7,$B$3,$B$4,$B$5,$F580,$B$6,U$10,$A580,$B580)</f>
        <v>0</v>
      </c>
      <c r="V580" s="4">
        <f ca="1">_xll.DBRW($B$1,$B$2,$B$7,$B$3,$B$4,$B$5,$F580,$B$6,V$10,$A580,$B580)</f>
        <v>0</v>
      </c>
      <c r="W580" s="4">
        <f ca="1">_xll.DBRW($B$1,$B$2,$B$7,$B$3,$B$4,$B$5,$F580,$B$6,W$10,$A580,$B580)</f>
        <v>0</v>
      </c>
      <c r="X580" s="4">
        <f ca="1">_xll.DBRW($B$1,$B$2,$B$7,$B$3,$B$4,$B$5,$F580,$B$6,X$10,$A580,$B580)</f>
        <v>0</v>
      </c>
      <c r="Y580" s="4">
        <f ca="1">_xll.DBRW($B$1,$B$2,$B$7,$B$3,$B$4,$B$5,$F580,$B$6,Y$10,$A580,$B580)</f>
        <v>0</v>
      </c>
      <c r="Z580" s="4">
        <f ca="1">_xll.DBRW($B$1,$B$2,$B$7,$B$3,$B$4,$B$5,$F580,$B$6,Z$10,$A580,$B580)</f>
        <v>0</v>
      </c>
      <c r="AA580" s="4">
        <f ca="1">_xll.DBRW($B$1,$B$2,$B$7,$B$3,$B$4,$B$5,$F580,$B$6,AA$10,$A580,$B580)</f>
        <v>0</v>
      </c>
      <c r="AB580" s="4">
        <f ca="1">_xll.DBRW($B$1,$B$2,$B$7,$B$3,$B$4,$B$5,$F580,$B$6,AB$10,$A580,$B580)</f>
        <v>0</v>
      </c>
      <c r="AC580" s="4">
        <f ca="1">_xll.DBRW($B$1,$B$2,$B$7,$B$3,$B$4,$B$5,$F580,$B$6,AC$10,$A580,$B580)</f>
        <v>0</v>
      </c>
      <c r="AD580" s="4">
        <f ca="1">_xll.DBRW($B$1,$B$2,$B$7,$B$3,$B$4,$B$5,$F580,$B$6,AD$10,$A580,$B580)</f>
        <v>0</v>
      </c>
      <c r="AE580" s="4">
        <f ca="1">_xll.DBRW($B$1,$B$2,$B$7,$B$3,$B$4,$B$5,$F580,$B$6,AE$10,$A580,$B580)</f>
        <v>0</v>
      </c>
    </row>
    <row r="581" spans="1:31">
      <c r="A581" s="1" t="s">
        <v>150</v>
      </c>
      <c r="B581" s="5" t="s">
        <v>167</v>
      </c>
      <c r="C581" s="5" t="s">
        <v>168</v>
      </c>
      <c r="D581" s="5" t="s">
        <v>21</v>
      </c>
      <c r="E581" s="5" t="s">
        <v>76</v>
      </c>
      <c r="F581" s="5" t="s">
        <v>317</v>
      </c>
      <c r="G581" s="6"/>
      <c r="H581" s="6"/>
      <c r="I581" s="6"/>
      <c r="J581" s="6"/>
      <c r="K581" s="6"/>
      <c r="L581" s="4">
        <f ca="1">_xll.DBRW($B$1,$B$2,$B$7,$B$3,$B$4,$B$5,$F581,$B$6,L$10,$A581,$B581)</f>
        <v>30</v>
      </c>
      <c r="M581" s="4">
        <f ca="1">_xll.DBRW($B$1,$B$2,$B$7,$B$3,$B$4,$B$5,$F581,$B$6,M$10,$A581,$B581)</f>
        <v>29</v>
      </c>
      <c r="N581" s="4">
        <f ca="1">_xll.DBRW($B$1,$B$2,$B$7,$B$3,$B$4,$B$5,$F581,$B$6,N$10,$A581,$B581)</f>
        <v>30</v>
      </c>
      <c r="O581" s="4">
        <f ca="1">_xll.DBRW($B$1,$B$2,$B$7,$B$3,$B$4,$B$5,$F581,$B$6,O$10,$A581,$B581)</f>
        <v>30</v>
      </c>
      <c r="P581" s="4">
        <f ca="1">_xll.DBRW($B$1,$B$2,$B$7,$B$3,$B$4,$B$5,$F581,$B$6,P$10,$A581,$B581)</f>
        <v>29</v>
      </c>
      <c r="Q581" s="4">
        <f ca="1">_xll.DBRW($B$1,$B$2,$B$7,$B$3,$B$4,$B$5,$F581,$B$6,Q$10,$A581,$B581)</f>
        <v>29</v>
      </c>
      <c r="R581" s="4">
        <f ca="1">_xll.DBRW($B$1,$B$2,$B$7,$B$3,$B$4,$B$5,$F581,$B$6,R$10,$A581,$B581)</f>
        <v>29</v>
      </c>
      <c r="S581" s="4">
        <f ca="1">_xll.DBRW($B$1,$B$2,$B$7,$B$3,$B$4,$B$5,$F581,$B$6,S$10,$A581,$B581)</f>
        <v>30</v>
      </c>
      <c r="T581" s="4">
        <f ca="1">_xll.DBRW($B$1,$B$2,$B$7,$B$3,$B$4,$B$5,$F581,$B$6,T$10,$A581,$B581)</f>
        <v>0</v>
      </c>
      <c r="U581" s="4">
        <f ca="1">_xll.DBRW($B$1,$B$2,$B$7,$B$3,$B$4,$B$5,$F581,$B$6,U$10,$A581,$B581)</f>
        <v>0</v>
      </c>
      <c r="V581" s="4">
        <f ca="1">_xll.DBRW($B$1,$B$2,$B$7,$B$3,$B$4,$B$5,$F581,$B$6,V$10,$A581,$B581)</f>
        <v>0</v>
      </c>
      <c r="W581" s="4">
        <f ca="1">_xll.DBRW($B$1,$B$2,$B$7,$B$3,$B$4,$B$5,$F581,$B$6,W$10,$A581,$B581)</f>
        <v>0</v>
      </c>
      <c r="X581" s="4">
        <f ca="1">_xll.DBRW($B$1,$B$2,$B$7,$B$3,$B$4,$B$5,$F581,$B$6,X$10,$A581,$B581)</f>
        <v>0</v>
      </c>
      <c r="Y581" s="4">
        <f ca="1">_xll.DBRW($B$1,$B$2,$B$7,$B$3,$B$4,$B$5,$F581,$B$6,Y$10,$A581,$B581)</f>
        <v>0</v>
      </c>
      <c r="Z581" s="4">
        <f ca="1">_xll.DBRW($B$1,$B$2,$B$7,$B$3,$B$4,$B$5,$F581,$B$6,Z$10,$A581,$B581)</f>
        <v>0</v>
      </c>
      <c r="AA581" s="4">
        <f ca="1">_xll.DBRW($B$1,$B$2,$B$7,$B$3,$B$4,$B$5,$F581,$B$6,AA$10,$A581,$B581)</f>
        <v>0</v>
      </c>
      <c r="AB581" s="4">
        <f ca="1">_xll.DBRW($B$1,$B$2,$B$7,$B$3,$B$4,$B$5,$F581,$B$6,AB$10,$A581,$B581)</f>
        <v>0</v>
      </c>
      <c r="AC581" s="4">
        <f ca="1">_xll.DBRW($B$1,$B$2,$B$7,$B$3,$B$4,$B$5,$F581,$B$6,AC$10,$A581,$B581)</f>
        <v>0</v>
      </c>
      <c r="AD581" s="4">
        <f ca="1">_xll.DBRW($B$1,$B$2,$B$7,$B$3,$B$4,$B$5,$F581,$B$6,AD$10,$A581,$B581)</f>
        <v>0</v>
      </c>
      <c r="AE581" s="4">
        <f ca="1">_xll.DBRW($B$1,$B$2,$B$7,$B$3,$B$4,$B$5,$F581,$B$6,AE$10,$A581,$B581)</f>
        <v>0</v>
      </c>
    </row>
    <row r="582" spans="1:31">
      <c r="A582" s="1" t="s">
        <v>150</v>
      </c>
      <c r="B582" s="5" t="s">
        <v>74</v>
      </c>
      <c r="C582" s="5" t="s">
        <v>75</v>
      </c>
      <c r="D582" s="5" t="s">
        <v>76</v>
      </c>
      <c r="E582" s="5" t="s">
        <v>21</v>
      </c>
      <c r="F582" s="5" t="s">
        <v>317</v>
      </c>
      <c r="G582" s="6"/>
      <c r="H582" s="6"/>
      <c r="I582" s="6"/>
      <c r="J582" s="6"/>
      <c r="K582" s="6"/>
      <c r="L582" s="4">
        <f ca="1">_xll.DBRW($B$1,$B$2,$B$7,$B$3,$B$4,$B$5,$F582,$B$6,L$10,$A582,$B582)</f>
        <v>30</v>
      </c>
      <c r="M582" s="4">
        <f ca="1">_xll.DBRW($B$1,$B$2,$B$7,$B$3,$B$4,$B$5,$F582,$B$6,M$10,$A582,$B582)</f>
        <v>29</v>
      </c>
      <c r="N582" s="4">
        <f ca="1">_xll.DBRW($B$1,$B$2,$B$7,$B$3,$B$4,$B$5,$F582,$B$6,N$10,$A582,$B582)</f>
        <v>30</v>
      </c>
      <c r="O582" s="4">
        <f ca="1">_xll.DBRW($B$1,$B$2,$B$7,$B$3,$B$4,$B$5,$F582,$B$6,O$10,$A582,$B582)</f>
        <v>30</v>
      </c>
      <c r="P582" s="4">
        <f ca="1">_xll.DBRW($B$1,$B$2,$B$7,$B$3,$B$4,$B$5,$F582,$B$6,P$10,$A582,$B582)</f>
        <v>29</v>
      </c>
      <c r="Q582" s="4">
        <f ca="1">_xll.DBRW($B$1,$B$2,$B$7,$B$3,$B$4,$B$5,$F582,$B$6,Q$10,$A582,$B582)</f>
        <v>29</v>
      </c>
      <c r="R582" s="4">
        <f ca="1">_xll.DBRW($B$1,$B$2,$B$7,$B$3,$B$4,$B$5,$F582,$B$6,R$10,$A582,$B582)</f>
        <v>29</v>
      </c>
      <c r="S582" s="4">
        <f ca="1">_xll.DBRW($B$1,$B$2,$B$7,$B$3,$B$4,$B$5,$F582,$B$6,S$10,$A582,$B582)</f>
        <v>30</v>
      </c>
      <c r="T582" s="4">
        <f ca="1">_xll.DBRW($B$1,$B$2,$B$7,$B$3,$B$4,$B$5,$F582,$B$6,T$10,$A582,$B582)</f>
        <v>0</v>
      </c>
      <c r="U582" s="4">
        <f ca="1">_xll.DBRW($B$1,$B$2,$B$7,$B$3,$B$4,$B$5,$F582,$B$6,U$10,$A582,$B582)</f>
        <v>0</v>
      </c>
      <c r="V582" s="4">
        <f ca="1">_xll.DBRW($B$1,$B$2,$B$7,$B$3,$B$4,$B$5,$F582,$B$6,V$10,$A582,$B582)</f>
        <v>0</v>
      </c>
      <c r="W582" s="4">
        <f ca="1">_xll.DBRW($B$1,$B$2,$B$7,$B$3,$B$4,$B$5,$F582,$B$6,W$10,$A582,$B582)</f>
        <v>0</v>
      </c>
      <c r="X582" s="4">
        <f ca="1">_xll.DBRW($B$1,$B$2,$B$7,$B$3,$B$4,$B$5,$F582,$B$6,X$10,$A582,$B582)</f>
        <v>0</v>
      </c>
      <c r="Y582" s="4">
        <f ca="1">_xll.DBRW($B$1,$B$2,$B$7,$B$3,$B$4,$B$5,$F582,$B$6,Y$10,$A582,$B582)</f>
        <v>0</v>
      </c>
      <c r="Z582" s="4">
        <f ca="1">_xll.DBRW($B$1,$B$2,$B$7,$B$3,$B$4,$B$5,$F582,$B$6,Z$10,$A582,$B582)</f>
        <v>0</v>
      </c>
      <c r="AA582" s="4">
        <f ca="1">_xll.DBRW($B$1,$B$2,$B$7,$B$3,$B$4,$B$5,$F582,$B$6,AA$10,$A582,$B582)</f>
        <v>0</v>
      </c>
      <c r="AB582" s="4">
        <f ca="1">_xll.DBRW($B$1,$B$2,$B$7,$B$3,$B$4,$B$5,$F582,$B$6,AB$10,$A582,$B582)</f>
        <v>0</v>
      </c>
      <c r="AC582" s="4">
        <f ca="1">_xll.DBRW($B$1,$B$2,$B$7,$B$3,$B$4,$B$5,$F582,$B$6,AC$10,$A582,$B582)</f>
        <v>0</v>
      </c>
      <c r="AD582" s="4">
        <f ca="1">_xll.DBRW($B$1,$B$2,$B$7,$B$3,$B$4,$B$5,$F582,$B$6,AD$10,$A582,$B582)</f>
        <v>0</v>
      </c>
      <c r="AE582" s="4">
        <f ca="1">_xll.DBRW($B$1,$B$2,$B$7,$B$3,$B$4,$B$5,$F582,$B$6,AE$10,$A582,$B582)</f>
        <v>0</v>
      </c>
    </row>
    <row r="583" spans="1:31">
      <c r="A583" s="1" t="s">
        <v>150</v>
      </c>
      <c r="B583" s="5" t="s">
        <v>169</v>
      </c>
      <c r="C583" s="5" t="s">
        <v>170</v>
      </c>
      <c r="D583" s="5" t="s">
        <v>21</v>
      </c>
      <c r="E583" s="5" t="s">
        <v>35</v>
      </c>
      <c r="F583" s="5" t="s">
        <v>317</v>
      </c>
      <c r="G583" s="6"/>
      <c r="H583" s="6"/>
      <c r="I583" s="6"/>
      <c r="J583" s="6"/>
      <c r="K583" s="6"/>
      <c r="L583" s="4">
        <f ca="1">_xll.DBRW($B$1,$B$2,$B$7,$B$3,$B$4,$B$5,$F583,$B$6,L$10,$A583,$B583)</f>
        <v>0</v>
      </c>
      <c r="M583" s="4">
        <f ca="1">_xll.DBRW($B$1,$B$2,$B$7,$B$3,$B$4,$B$5,$F583,$B$6,M$10,$A583,$B583)</f>
        <v>0</v>
      </c>
      <c r="N583" s="4">
        <f ca="1">_xll.DBRW($B$1,$B$2,$B$7,$B$3,$B$4,$B$5,$F583,$B$6,N$10,$A583,$B583)</f>
        <v>0</v>
      </c>
      <c r="O583" s="4">
        <f ca="1">_xll.DBRW($B$1,$B$2,$B$7,$B$3,$B$4,$B$5,$F583,$B$6,O$10,$A583,$B583)</f>
        <v>0</v>
      </c>
      <c r="P583" s="4">
        <f ca="1">_xll.DBRW($B$1,$B$2,$B$7,$B$3,$B$4,$B$5,$F583,$B$6,P$10,$A583,$B583)</f>
        <v>25</v>
      </c>
      <c r="Q583" s="4">
        <f ca="1">_xll.DBRW($B$1,$B$2,$B$7,$B$3,$B$4,$B$5,$F583,$B$6,Q$10,$A583,$B583)</f>
        <v>31</v>
      </c>
      <c r="R583" s="4">
        <f ca="1">_xll.DBRW($B$1,$B$2,$B$7,$B$3,$B$4,$B$5,$F583,$B$6,R$10,$A583,$B583)</f>
        <v>25</v>
      </c>
      <c r="S583" s="4">
        <f ca="1">_xll.DBRW($B$1,$B$2,$B$7,$B$3,$B$4,$B$5,$F583,$B$6,S$10,$A583,$B583)</f>
        <v>27</v>
      </c>
      <c r="T583" s="4">
        <f ca="1">_xll.DBRW($B$1,$B$2,$B$7,$B$3,$B$4,$B$5,$F583,$B$6,T$10,$A583,$B583)</f>
        <v>0</v>
      </c>
      <c r="U583" s="4">
        <f ca="1">_xll.DBRW($B$1,$B$2,$B$7,$B$3,$B$4,$B$5,$F583,$B$6,U$10,$A583,$B583)</f>
        <v>0</v>
      </c>
      <c r="V583" s="4">
        <f ca="1">_xll.DBRW($B$1,$B$2,$B$7,$B$3,$B$4,$B$5,$F583,$B$6,V$10,$A583,$B583)</f>
        <v>0</v>
      </c>
      <c r="W583" s="4">
        <f ca="1">_xll.DBRW($B$1,$B$2,$B$7,$B$3,$B$4,$B$5,$F583,$B$6,W$10,$A583,$B583)</f>
        <v>0</v>
      </c>
      <c r="X583" s="4">
        <f ca="1">_xll.DBRW($B$1,$B$2,$B$7,$B$3,$B$4,$B$5,$F583,$B$6,X$10,$A583,$B583)</f>
        <v>0</v>
      </c>
      <c r="Y583" s="4">
        <f ca="1">_xll.DBRW($B$1,$B$2,$B$7,$B$3,$B$4,$B$5,$F583,$B$6,Y$10,$A583,$B583)</f>
        <v>0</v>
      </c>
      <c r="Z583" s="4">
        <f ca="1">_xll.DBRW($B$1,$B$2,$B$7,$B$3,$B$4,$B$5,$F583,$B$6,Z$10,$A583,$B583)</f>
        <v>0</v>
      </c>
      <c r="AA583" s="4">
        <f ca="1">_xll.DBRW($B$1,$B$2,$B$7,$B$3,$B$4,$B$5,$F583,$B$6,AA$10,$A583,$B583)</f>
        <v>0</v>
      </c>
      <c r="AB583" s="4">
        <f ca="1">_xll.DBRW($B$1,$B$2,$B$7,$B$3,$B$4,$B$5,$F583,$B$6,AB$10,$A583,$B583)</f>
        <v>0</v>
      </c>
      <c r="AC583" s="4">
        <f ca="1">_xll.DBRW($B$1,$B$2,$B$7,$B$3,$B$4,$B$5,$F583,$B$6,AC$10,$A583,$B583)</f>
        <v>0</v>
      </c>
      <c r="AD583" s="4">
        <f ca="1">_xll.DBRW($B$1,$B$2,$B$7,$B$3,$B$4,$B$5,$F583,$B$6,AD$10,$A583,$B583)</f>
        <v>0</v>
      </c>
      <c r="AE583" s="4">
        <f ca="1">_xll.DBRW($B$1,$B$2,$B$7,$B$3,$B$4,$B$5,$F583,$B$6,AE$10,$A583,$B583)</f>
        <v>0</v>
      </c>
    </row>
    <row r="584" spans="1:31">
      <c r="A584" s="1" t="s">
        <v>150</v>
      </c>
      <c r="B584" s="5" t="s">
        <v>33</v>
      </c>
      <c r="C584" s="5" t="s">
        <v>34</v>
      </c>
      <c r="D584" s="5" t="s">
        <v>35</v>
      </c>
      <c r="E584" s="5" t="s">
        <v>21</v>
      </c>
      <c r="F584" s="5" t="s">
        <v>317</v>
      </c>
      <c r="G584" s="6"/>
      <c r="H584" s="6"/>
      <c r="I584" s="6"/>
      <c r="J584" s="6"/>
      <c r="K584" s="6"/>
      <c r="L584" s="4">
        <f ca="1">_xll.DBRW($B$1,$B$2,$B$7,$B$3,$B$4,$B$5,$F584,$B$6,L$10,$A584,$B584)</f>
        <v>0</v>
      </c>
      <c r="M584" s="4">
        <f ca="1">_xll.DBRW($B$1,$B$2,$B$7,$B$3,$B$4,$B$5,$F584,$B$6,M$10,$A584,$B584)</f>
        <v>0</v>
      </c>
      <c r="N584" s="4">
        <f ca="1">_xll.DBRW($B$1,$B$2,$B$7,$B$3,$B$4,$B$5,$F584,$B$6,N$10,$A584,$B584)</f>
        <v>0</v>
      </c>
      <c r="O584" s="4">
        <f ca="1">_xll.DBRW($B$1,$B$2,$B$7,$B$3,$B$4,$B$5,$F584,$B$6,O$10,$A584,$B584)</f>
        <v>0</v>
      </c>
      <c r="P584" s="4">
        <f ca="1">_xll.DBRW($B$1,$B$2,$B$7,$B$3,$B$4,$B$5,$F584,$B$6,P$10,$A584,$B584)</f>
        <v>25</v>
      </c>
      <c r="Q584" s="4">
        <f ca="1">_xll.DBRW($B$1,$B$2,$B$7,$B$3,$B$4,$B$5,$F584,$B$6,Q$10,$A584,$B584)</f>
        <v>31</v>
      </c>
      <c r="R584" s="4">
        <f ca="1">_xll.DBRW($B$1,$B$2,$B$7,$B$3,$B$4,$B$5,$F584,$B$6,R$10,$A584,$B584)</f>
        <v>25</v>
      </c>
      <c r="S584" s="4">
        <f ca="1">_xll.DBRW($B$1,$B$2,$B$7,$B$3,$B$4,$B$5,$F584,$B$6,S$10,$A584,$B584)</f>
        <v>27</v>
      </c>
      <c r="T584" s="4">
        <f ca="1">_xll.DBRW($B$1,$B$2,$B$7,$B$3,$B$4,$B$5,$F584,$B$6,T$10,$A584,$B584)</f>
        <v>0</v>
      </c>
      <c r="U584" s="4">
        <f ca="1">_xll.DBRW($B$1,$B$2,$B$7,$B$3,$B$4,$B$5,$F584,$B$6,U$10,$A584,$B584)</f>
        <v>0</v>
      </c>
      <c r="V584" s="4">
        <f ca="1">_xll.DBRW($B$1,$B$2,$B$7,$B$3,$B$4,$B$5,$F584,$B$6,V$10,$A584,$B584)</f>
        <v>0</v>
      </c>
      <c r="W584" s="4">
        <f ca="1">_xll.DBRW($B$1,$B$2,$B$7,$B$3,$B$4,$B$5,$F584,$B$6,W$10,$A584,$B584)</f>
        <v>0</v>
      </c>
      <c r="X584" s="4">
        <f ca="1">_xll.DBRW($B$1,$B$2,$B$7,$B$3,$B$4,$B$5,$F584,$B$6,X$10,$A584,$B584)</f>
        <v>0</v>
      </c>
      <c r="Y584" s="4">
        <f ca="1">_xll.DBRW($B$1,$B$2,$B$7,$B$3,$B$4,$B$5,$F584,$B$6,Y$10,$A584,$B584)</f>
        <v>0</v>
      </c>
      <c r="Z584" s="4">
        <f ca="1">_xll.DBRW($B$1,$B$2,$B$7,$B$3,$B$4,$B$5,$F584,$B$6,Z$10,$A584,$B584)</f>
        <v>0</v>
      </c>
      <c r="AA584" s="4">
        <f ca="1">_xll.DBRW($B$1,$B$2,$B$7,$B$3,$B$4,$B$5,$F584,$B$6,AA$10,$A584,$B584)</f>
        <v>0</v>
      </c>
      <c r="AB584" s="4">
        <f ca="1">_xll.DBRW($B$1,$B$2,$B$7,$B$3,$B$4,$B$5,$F584,$B$6,AB$10,$A584,$B584)</f>
        <v>0</v>
      </c>
      <c r="AC584" s="4">
        <f ca="1">_xll.DBRW($B$1,$B$2,$B$7,$B$3,$B$4,$B$5,$F584,$B$6,AC$10,$A584,$B584)</f>
        <v>0</v>
      </c>
      <c r="AD584" s="4">
        <f ca="1">_xll.DBRW($B$1,$B$2,$B$7,$B$3,$B$4,$B$5,$F584,$B$6,AD$10,$A584,$B584)</f>
        <v>0</v>
      </c>
      <c r="AE584" s="4">
        <f ca="1">_xll.DBRW($B$1,$B$2,$B$7,$B$3,$B$4,$B$5,$F584,$B$6,AE$10,$A584,$B584)</f>
        <v>0</v>
      </c>
    </row>
    <row r="585" spans="1:31">
      <c r="A585" s="1" t="s">
        <v>150</v>
      </c>
      <c r="B585" s="5" t="s">
        <v>171</v>
      </c>
      <c r="C585" s="5" t="s">
        <v>163</v>
      </c>
      <c r="D585" s="5" t="s">
        <v>21</v>
      </c>
      <c r="E585" s="5" t="s">
        <v>54</v>
      </c>
      <c r="F585" s="5" t="s">
        <v>317</v>
      </c>
      <c r="G585" s="6"/>
      <c r="H585" s="6"/>
      <c r="I585" s="6"/>
      <c r="J585" s="6"/>
      <c r="K585" s="6"/>
      <c r="L585" s="4">
        <f ca="1">_xll.DBRW($B$1,$B$2,$B$7,$B$3,$B$4,$B$5,$F585,$B$6,L$10,$A585,$B585)</f>
        <v>0</v>
      </c>
      <c r="M585" s="4">
        <f ca="1">_xll.DBRW($B$1,$B$2,$B$7,$B$3,$B$4,$B$5,$F585,$B$6,M$10,$A585,$B585)</f>
        <v>0</v>
      </c>
      <c r="N585" s="4">
        <f ca="1">_xll.DBRW($B$1,$B$2,$B$7,$B$3,$B$4,$B$5,$F585,$B$6,N$10,$A585,$B585)</f>
        <v>17</v>
      </c>
      <c r="O585" s="4">
        <f ca="1">_xll.DBRW($B$1,$B$2,$B$7,$B$3,$B$4,$B$5,$F585,$B$6,O$10,$A585,$B585)</f>
        <v>31</v>
      </c>
      <c r="P585" s="4">
        <f ca="1">_xll.DBRW($B$1,$B$2,$B$7,$B$3,$B$4,$B$5,$F585,$B$6,P$10,$A585,$B585)</f>
        <v>5</v>
      </c>
      <c r="Q585" s="4">
        <f ca="1">_xll.DBRW($B$1,$B$2,$B$7,$B$3,$B$4,$B$5,$F585,$B$6,Q$10,$A585,$B585)</f>
        <v>5</v>
      </c>
      <c r="R585" s="4">
        <f ca="1">_xll.DBRW($B$1,$B$2,$B$7,$B$3,$B$4,$B$5,$F585,$B$6,R$10,$A585,$B585)</f>
        <v>30</v>
      </c>
      <c r="S585" s="4">
        <f ca="1">_xll.DBRW($B$1,$B$2,$B$7,$B$3,$B$4,$B$5,$F585,$B$6,S$10,$A585,$B585)</f>
        <v>31</v>
      </c>
      <c r="T585" s="4">
        <f ca="1">_xll.DBRW($B$1,$B$2,$B$7,$B$3,$B$4,$B$5,$F585,$B$6,T$10,$A585,$B585)</f>
        <v>0</v>
      </c>
      <c r="U585" s="4">
        <f ca="1">_xll.DBRW($B$1,$B$2,$B$7,$B$3,$B$4,$B$5,$F585,$B$6,U$10,$A585,$B585)</f>
        <v>0</v>
      </c>
      <c r="V585" s="4">
        <f ca="1">_xll.DBRW($B$1,$B$2,$B$7,$B$3,$B$4,$B$5,$F585,$B$6,V$10,$A585,$B585)</f>
        <v>2</v>
      </c>
      <c r="W585" s="4">
        <f ca="1">_xll.DBRW($B$1,$B$2,$B$7,$B$3,$B$4,$B$5,$F585,$B$6,W$10,$A585,$B585)</f>
        <v>30</v>
      </c>
      <c r="X585" s="4">
        <f ca="1">_xll.DBRW($B$1,$B$2,$B$7,$B$3,$B$4,$B$5,$F585,$B$6,X$10,$A585,$B585)</f>
        <v>31</v>
      </c>
      <c r="Y585" s="4">
        <f ca="1">_xll.DBRW($B$1,$B$2,$B$7,$B$3,$B$4,$B$5,$F585,$B$6,Y$10,$A585,$B585)</f>
        <v>30</v>
      </c>
      <c r="Z585" s="4">
        <f ca="1">_xll.DBRW($B$1,$B$2,$B$7,$B$3,$B$4,$B$5,$F585,$B$6,Z$10,$A585,$B585)</f>
        <v>31</v>
      </c>
      <c r="AA585" s="4">
        <f ca="1">_xll.DBRW($B$1,$B$2,$B$7,$B$3,$B$4,$B$5,$F585,$B$6,AA$10,$A585,$B585)</f>
        <v>31</v>
      </c>
      <c r="AB585" s="4">
        <f ca="1">_xll.DBRW($B$1,$B$2,$B$7,$B$3,$B$4,$B$5,$F585,$B$6,AB$10,$A585,$B585)</f>
        <v>30</v>
      </c>
      <c r="AC585" s="4">
        <f ca="1">_xll.DBRW($B$1,$B$2,$B$7,$B$3,$B$4,$B$5,$F585,$B$6,AC$10,$A585,$B585)</f>
        <v>25</v>
      </c>
      <c r="AD585" s="4">
        <f ca="1">_xll.DBRW($B$1,$B$2,$B$7,$B$3,$B$4,$B$5,$F585,$B$6,AD$10,$A585,$B585)</f>
        <v>0</v>
      </c>
      <c r="AE585" s="4">
        <f ca="1">_xll.DBRW($B$1,$B$2,$B$7,$B$3,$B$4,$B$5,$F585,$B$6,AE$10,$A585,$B585)</f>
        <v>0</v>
      </c>
    </row>
    <row r="586" spans="1:31">
      <c r="A586" s="1" t="s">
        <v>150</v>
      </c>
      <c r="B586" s="5" t="s">
        <v>55</v>
      </c>
      <c r="C586" s="5" t="s">
        <v>53</v>
      </c>
      <c r="D586" s="5" t="s">
        <v>54</v>
      </c>
      <c r="E586" s="5" t="s">
        <v>21</v>
      </c>
      <c r="F586" s="5" t="s">
        <v>317</v>
      </c>
      <c r="G586" s="6"/>
      <c r="H586" s="6"/>
      <c r="I586" s="6"/>
      <c r="J586" s="6"/>
      <c r="K586" s="6"/>
      <c r="L586" s="4">
        <f ca="1">_xll.DBRW($B$1,$B$2,$B$7,$B$3,$B$4,$B$5,$F586,$B$6,L$10,$A586,$B586)</f>
        <v>0</v>
      </c>
      <c r="M586" s="4">
        <f ca="1">_xll.DBRW($B$1,$B$2,$B$7,$B$3,$B$4,$B$5,$F586,$B$6,M$10,$A586,$B586)</f>
        <v>0</v>
      </c>
      <c r="N586" s="4">
        <f ca="1">_xll.DBRW($B$1,$B$2,$B$7,$B$3,$B$4,$B$5,$F586,$B$6,N$10,$A586,$B586)</f>
        <v>17</v>
      </c>
      <c r="O586" s="4">
        <f ca="1">_xll.DBRW($B$1,$B$2,$B$7,$B$3,$B$4,$B$5,$F586,$B$6,O$10,$A586,$B586)</f>
        <v>31</v>
      </c>
      <c r="P586" s="4">
        <f ca="1">_xll.DBRW($B$1,$B$2,$B$7,$B$3,$B$4,$B$5,$F586,$B$6,P$10,$A586,$B586)</f>
        <v>5</v>
      </c>
      <c r="Q586" s="4">
        <f ca="1">_xll.DBRW($B$1,$B$2,$B$7,$B$3,$B$4,$B$5,$F586,$B$6,Q$10,$A586,$B586)</f>
        <v>5</v>
      </c>
      <c r="R586" s="4">
        <f ca="1">_xll.DBRW($B$1,$B$2,$B$7,$B$3,$B$4,$B$5,$F586,$B$6,R$10,$A586,$B586)</f>
        <v>30</v>
      </c>
      <c r="S586" s="4">
        <f ca="1">_xll.DBRW($B$1,$B$2,$B$7,$B$3,$B$4,$B$5,$F586,$B$6,S$10,$A586,$B586)</f>
        <v>31</v>
      </c>
      <c r="T586" s="4">
        <f ca="1">_xll.DBRW($B$1,$B$2,$B$7,$B$3,$B$4,$B$5,$F586,$B$6,T$10,$A586,$B586)</f>
        <v>0</v>
      </c>
      <c r="U586" s="4">
        <f ca="1">_xll.DBRW($B$1,$B$2,$B$7,$B$3,$B$4,$B$5,$F586,$B$6,U$10,$A586,$B586)</f>
        <v>0</v>
      </c>
      <c r="V586" s="4">
        <f ca="1">_xll.DBRW($B$1,$B$2,$B$7,$B$3,$B$4,$B$5,$F586,$B$6,V$10,$A586,$B586)</f>
        <v>2</v>
      </c>
      <c r="W586" s="4">
        <f ca="1">_xll.DBRW($B$1,$B$2,$B$7,$B$3,$B$4,$B$5,$F586,$B$6,W$10,$A586,$B586)</f>
        <v>30</v>
      </c>
      <c r="X586" s="4">
        <f ca="1">_xll.DBRW($B$1,$B$2,$B$7,$B$3,$B$4,$B$5,$F586,$B$6,X$10,$A586,$B586)</f>
        <v>31</v>
      </c>
      <c r="Y586" s="4">
        <f ca="1">_xll.DBRW($B$1,$B$2,$B$7,$B$3,$B$4,$B$5,$F586,$B$6,Y$10,$A586,$B586)</f>
        <v>30</v>
      </c>
      <c r="Z586" s="4">
        <f ca="1">_xll.DBRW($B$1,$B$2,$B$7,$B$3,$B$4,$B$5,$F586,$B$6,Z$10,$A586,$B586)</f>
        <v>31</v>
      </c>
      <c r="AA586" s="4">
        <f ca="1">_xll.DBRW($B$1,$B$2,$B$7,$B$3,$B$4,$B$5,$F586,$B$6,AA$10,$A586,$B586)</f>
        <v>31</v>
      </c>
      <c r="AB586" s="4">
        <f ca="1">_xll.DBRW($B$1,$B$2,$B$7,$B$3,$B$4,$B$5,$F586,$B$6,AB$10,$A586,$B586)</f>
        <v>30</v>
      </c>
      <c r="AC586" s="4">
        <f ca="1">_xll.DBRW($B$1,$B$2,$B$7,$B$3,$B$4,$B$5,$F586,$B$6,AC$10,$A586,$B586)</f>
        <v>24</v>
      </c>
      <c r="AD586" s="4">
        <f ca="1">_xll.DBRW($B$1,$B$2,$B$7,$B$3,$B$4,$B$5,$F586,$B$6,AD$10,$A586,$B586)</f>
        <v>0</v>
      </c>
      <c r="AE586" s="4">
        <f ca="1">_xll.DBRW($B$1,$B$2,$B$7,$B$3,$B$4,$B$5,$F586,$B$6,AE$10,$A586,$B586)</f>
        <v>0</v>
      </c>
    </row>
    <row r="587" spans="1:31">
      <c r="A587" s="1" t="s">
        <v>150</v>
      </c>
      <c r="B587" s="5" t="s">
        <v>172</v>
      </c>
      <c r="C587" s="5" t="s">
        <v>159</v>
      </c>
      <c r="D587" s="5" t="s">
        <v>21</v>
      </c>
      <c r="E587" s="5" t="s">
        <v>38</v>
      </c>
      <c r="F587" s="5" t="s">
        <v>317</v>
      </c>
      <c r="G587" s="6"/>
      <c r="H587" s="6"/>
      <c r="I587" s="6"/>
      <c r="J587" s="6"/>
      <c r="K587" s="6"/>
      <c r="L587" s="4">
        <f ca="1">_xll.DBRW($B$1,$B$2,$B$7,$B$3,$B$4,$B$5,$F587,$B$6,L$10,$A587,$B587)</f>
        <v>0</v>
      </c>
      <c r="M587" s="4">
        <f ca="1">_xll.DBRW($B$1,$B$2,$B$7,$B$3,$B$4,$B$5,$F587,$B$6,M$10,$A587,$B587)</f>
        <v>0</v>
      </c>
      <c r="N587" s="4">
        <f ca="1">_xll.DBRW($B$1,$B$2,$B$7,$B$3,$B$4,$B$5,$F587,$B$6,N$10,$A587,$B587)</f>
        <v>0</v>
      </c>
      <c r="O587" s="4">
        <f ca="1">_xll.DBRW($B$1,$B$2,$B$7,$B$3,$B$4,$B$5,$F587,$B$6,O$10,$A587,$B587)</f>
        <v>0</v>
      </c>
      <c r="P587" s="4">
        <f ca="1">_xll.DBRW($B$1,$B$2,$B$7,$B$3,$B$4,$B$5,$F587,$B$6,P$10,$A587,$B587)</f>
        <v>0</v>
      </c>
      <c r="Q587" s="4">
        <f ca="1">_xll.DBRW($B$1,$B$2,$B$7,$B$3,$B$4,$B$5,$F587,$B$6,Q$10,$A587,$B587)</f>
        <v>0</v>
      </c>
      <c r="R587" s="4">
        <f ca="1">_xll.DBRW($B$1,$B$2,$B$7,$B$3,$B$4,$B$5,$F587,$B$6,R$10,$A587,$B587)</f>
        <v>0</v>
      </c>
      <c r="S587" s="4">
        <f ca="1">_xll.DBRW($B$1,$B$2,$B$7,$B$3,$B$4,$B$5,$F587,$B$6,S$10,$A587,$B587)</f>
        <v>0</v>
      </c>
      <c r="T587" s="4">
        <f ca="1">_xll.DBRW($B$1,$B$2,$B$7,$B$3,$B$4,$B$5,$F587,$B$6,T$10,$A587,$B587)</f>
        <v>31</v>
      </c>
      <c r="U587" s="4">
        <f ca="1">_xll.DBRW($B$1,$B$2,$B$7,$B$3,$B$4,$B$5,$F587,$B$6,U$10,$A587,$B587)</f>
        <v>28</v>
      </c>
      <c r="V587" s="4">
        <f ca="1">_xll.DBRW($B$1,$B$2,$B$7,$B$3,$B$4,$B$5,$F587,$B$6,V$10,$A587,$B587)</f>
        <v>31</v>
      </c>
      <c r="W587" s="4">
        <f ca="1">_xll.DBRW($B$1,$B$2,$B$7,$B$3,$B$4,$B$5,$F587,$B$6,W$10,$A587,$B587)</f>
        <v>30</v>
      </c>
      <c r="X587" s="4">
        <f ca="1">_xll.DBRW($B$1,$B$2,$B$7,$B$3,$B$4,$B$5,$F587,$B$6,X$10,$A587,$B587)</f>
        <v>31</v>
      </c>
      <c r="Y587" s="4">
        <f ca="1">_xll.DBRW($B$1,$B$2,$B$7,$B$3,$B$4,$B$5,$F587,$B$6,Y$10,$A587,$B587)</f>
        <v>30</v>
      </c>
      <c r="Z587" s="4">
        <f ca="1">_xll.DBRW($B$1,$B$2,$B$7,$B$3,$B$4,$B$5,$F587,$B$6,Z$10,$A587,$B587)</f>
        <v>31</v>
      </c>
      <c r="AA587" s="4">
        <f ca="1">_xll.DBRW($B$1,$B$2,$B$7,$B$3,$B$4,$B$5,$F587,$B$6,AA$10,$A587,$B587)</f>
        <v>31</v>
      </c>
      <c r="AB587" s="4">
        <f ca="1">_xll.DBRW($B$1,$B$2,$B$7,$B$3,$B$4,$B$5,$F587,$B$6,AB$10,$A587,$B587)</f>
        <v>30</v>
      </c>
      <c r="AC587" s="4">
        <f ca="1">_xll.DBRW($B$1,$B$2,$B$7,$B$3,$B$4,$B$5,$F587,$B$6,AC$10,$A587,$B587)</f>
        <v>31</v>
      </c>
      <c r="AD587" s="4">
        <f ca="1">_xll.DBRW($B$1,$B$2,$B$7,$B$3,$B$4,$B$5,$F587,$B$6,AD$10,$A587,$B587)</f>
        <v>30</v>
      </c>
      <c r="AE587" s="4">
        <f ca="1">_xll.DBRW($B$1,$B$2,$B$7,$B$3,$B$4,$B$5,$F587,$B$6,AE$10,$A587,$B587)</f>
        <v>31</v>
      </c>
    </row>
    <row r="588" spans="1:31">
      <c r="A588" s="1" t="s">
        <v>150</v>
      </c>
      <c r="B588" s="5" t="s">
        <v>40</v>
      </c>
      <c r="C588" s="5" t="s">
        <v>37</v>
      </c>
      <c r="D588" s="5" t="s">
        <v>38</v>
      </c>
      <c r="E588" s="5" t="s">
        <v>21</v>
      </c>
      <c r="F588" s="5" t="s">
        <v>317</v>
      </c>
      <c r="G588" s="6"/>
      <c r="H588" s="6"/>
      <c r="I588" s="6"/>
      <c r="J588" s="6"/>
      <c r="K588" s="6"/>
      <c r="L588" s="4">
        <f ca="1">_xll.DBRW($B$1,$B$2,$B$7,$B$3,$B$4,$B$5,$F588,$B$6,L$10,$A588,$B588)</f>
        <v>0</v>
      </c>
      <c r="M588" s="4">
        <f ca="1">_xll.DBRW($B$1,$B$2,$B$7,$B$3,$B$4,$B$5,$F588,$B$6,M$10,$A588,$B588)</f>
        <v>0</v>
      </c>
      <c r="N588" s="4">
        <f ca="1">_xll.DBRW($B$1,$B$2,$B$7,$B$3,$B$4,$B$5,$F588,$B$6,N$10,$A588,$B588)</f>
        <v>0</v>
      </c>
      <c r="O588" s="4">
        <f ca="1">_xll.DBRW($B$1,$B$2,$B$7,$B$3,$B$4,$B$5,$F588,$B$6,O$10,$A588,$B588)</f>
        <v>0</v>
      </c>
      <c r="P588" s="4">
        <f ca="1">_xll.DBRW($B$1,$B$2,$B$7,$B$3,$B$4,$B$5,$F588,$B$6,P$10,$A588,$B588)</f>
        <v>0</v>
      </c>
      <c r="Q588" s="4">
        <f ca="1">_xll.DBRW($B$1,$B$2,$B$7,$B$3,$B$4,$B$5,$F588,$B$6,Q$10,$A588,$B588)</f>
        <v>0</v>
      </c>
      <c r="R588" s="4">
        <f ca="1">_xll.DBRW($B$1,$B$2,$B$7,$B$3,$B$4,$B$5,$F588,$B$6,R$10,$A588,$B588)</f>
        <v>0</v>
      </c>
      <c r="S588" s="4">
        <f ca="1">_xll.DBRW($B$1,$B$2,$B$7,$B$3,$B$4,$B$5,$F588,$B$6,S$10,$A588,$B588)</f>
        <v>0</v>
      </c>
      <c r="T588" s="4">
        <f ca="1">_xll.DBRW($B$1,$B$2,$B$7,$B$3,$B$4,$B$5,$F588,$B$6,T$10,$A588,$B588)</f>
        <v>31</v>
      </c>
      <c r="U588" s="4">
        <f ca="1">_xll.DBRW($B$1,$B$2,$B$7,$B$3,$B$4,$B$5,$F588,$B$6,U$10,$A588,$B588)</f>
        <v>28</v>
      </c>
      <c r="V588" s="4">
        <f ca="1">_xll.DBRW($B$1,$B$2,$B$7,$B$3,$B$4,$B$5,$F588,$B$6,V$10,$A588,$B588)</f>
        <v>31</v>
      </c>
      <c r="W588" s="4">
        <f ca="1">_xll.DBRW($B$1,$B$2,$B$7,$B$3,$B$4,$B$5,$F588,$B$6,W$10,$A588,$B588)</f>
        <v>30</v>
      </c>
      <c r="X588" s="4">
        <f ca="1">_xll.DBRW($B$1,$B$2,$B$7,$B$3,$B$4,$B$5,$F588,$B$6,X$10,$A588,$B588)</f>
        <v>31</v>
      </c>
      <c r="Y588" s="4">
        <f ca="1">_xll.DBRW($B$1,$B$2,$B$7,$B$3,$B$4,$B$5,$F588,$B$6,Y$10,$A588,$B588)</f>
        <v>30</v>
      </c>
      <c r="Z588" s="4">
        <f ca="1">_xll.DBRW($B$1,$B$2,$B$7,$B$3,$B$4,$B$5,$F588,$B$6,Z$10,$A588,$B588)</f>
        <v>31</v>
      </c>
      <c r="AA588" s="4">
        <f ca="1">_xll.DBRW($B$1,$B$2,$B$7,$B$3,$B$4,$B$5,$F588,$B$6,AA$10,$A588,$B588)</f>
        <v>31</v>
      </c>
      <c r="AB588" s="4">
        <f ca="1">_xll.DBRW($B$1,$B$2,$B$7,$B$3,$B$4,$B$5,$F588,$B$6,AB$10,$A588,$B588)</f>
        <v>30</v>
      </c>
      <c r="AC588" s="4">
        <f ca="1">_xll.DBRW($B$1,$B$2,$B$7,$B$3,$B$4,$B$5,$F588,$B$6,AC$10,$A588,$B588)</f>
        <v>31</v>
      </c>
      <c r="AD588" s="4">
        <f ca="1">_xll.DBRW($B$1,$B$2,$B$7,$B$3,$B$4,$B$5,$F588,$B$6,AD$10,$A588,$B588)</f>
        <v>30</v>
      </c>
      <c r="AE588" s="4">
        <f ca="1">_xll.DBRW($B$1,$B$2,$B$7,$B$3,$B$4,$B$5,$F588,$B$6,AE$10,$A588,$B588)</f>
        <v>31</v>
      </c>
    </row>
    <row r="589" spans="1:31">
      <c r="A589" s="1" t="s">
        <v>150</v>
      </c>
      <c r="B589" s="5" t="s">
        <v>173</v>
      </c>
      <c r="C589" s="5" t="s">
        <v>168</v>
      </c>
      <c r="D589" s="5" t="s">
        <v>21</v>
      </c>
      <c r="E589" s="5" t="s">
        <v>76</v>
      </c>
      <c r="F589" s="5" t="s">
        <v>317</v>
      </c>
      <c r="G589" s="6"/>
      <c r="H589" s="6"/>
      <c r="I589" s="6"/>
      <c r="J589" s="6"/>
      <c r="K589" s="6"/>
      <c r="L589" s="4">
        <f ca="1">_xll.DBRW($B$1,$B$2,$B$7,$B$3,$B$4,$B$5,$F589,$B$6,L$10,$A589,$B589)</f>
        <v>31</v>
      </c>
      <c r="M589" s="4">
        <f ca="1">_xll.DBRW($B$1,$B$2,$B$7,$B$3,$B$4,$B$5,$F589,$B$6,M$10,$A589,$B589)</f>
        <v>30</v>
      </c>
      <c r="N589" s="4">
        <f ca="1">_xll.DBRW($B$1,$B$2,$B$7,$B$3,$B$4,$B$5,$F589,$B$6,N$10,$A589,$B589)</f>
        <v>30</v>
      </c>
      <c r="O589" s="4">
        <f ca="1">_xll.DBRW($B$1,$B$2,$B$7,$B$3,$B$4,$B$5,$F589,$B$6,O$10,$A589,$B589)</f>
        <v>31</v>
      </c>
      <c r="P589" s="4">
        <f ca="1">_xll.DBRW($B$1,$B$2,$B$7,$B$3,$B$4,$B$5,$F589,$B$6,P$10,$A589,$B589)</f>
        <v>30</v>
      </c>
      <c r="Q589" s="4">
        <f ca="1">_xll.DBRW($B$1,$B$2,$B$7,$B$3,$B$4,$B$5,$F589,$B$6,Q$10,$A589,$B589)</f>
        <v>26</v>
      </c>
      <c r="R589" s="4">
        <f ca="1">_xll.DBRW($B$1,$B$2,$B$7,$B$3,$B$4,$B$5,$F589,$B$6,R$10,$A589,$B589)</f>
        <v>0</v>
      </c>
      <c r="S589" s="4">
        <f ca="1">_xll.DBRW($B$1,$B$2,$B$7,$B$3,$B$4,$B$5,$F589,$B$6,S$10,$A589,$B589)</f>
        <v>0</v>
      </c>
      <c r="T589" s="4">
        <f ca="1">_xll.DBRW($B$1,$B$2,$B$7,$B$3,$B$4,$B$5,$F589,$B$6,T$10,$A589,$B589)</f>
        <v>0</v>
      </c>
      <c r="U589" s="4">
        <f ca="1">_xll.DBRW($B$1,$B$2,$B$7,$B$3,$B$4,$B$5,$F589,$B$6,U$10,$A589,$B589)</f>
        <v>0</v>
      </c>
      <c r="V589" s="4">
        <f ca="1">_xll.DBRW($B$1,$B$2,$B$7,$B$3,$B$4,$B$5,$F589,$B$6,V$10,$A589,$B589)</f>
        <v>0</v>
      </c>
      <c r="W589" s="4">
        <f ca="1">_xll.DBRW($B$1,$B$2,$B$7,$B$3,$B$4,$B$5,$F589,$B$6,W$10,$A589,$B589)</f>
        <v>0</v>
      </c>
      <c r="X589" s="4">
        <f ca="1">_xll.DBRW($B$1,$B$2,$B$7,$B$3,$B$4,$B$5,$F589,$B$6,X$10,$A589,$B589)</f>
        <v>0</v>
      </c>
      <c r="Y589" s="4">
        <f ca="1">_xll.DBRW($B$1,$B$2,$B$7,$B$3,$B$4,$B$5,$F589,$B$6,Y$10,$A589,$B589)</f>
        <v>0</v>
      </c>
      <c r="Z589" s="4">
        <f ca="1">_xll.DBRW($B$1,$B$2,$B$7,$B$3,$B$4,$B$5,$F589,$B$6,Z$10,$A589,$B589)</f>
        <v>0</v>
      </c>
      <c r="AA589" s="4">
        <f ca="1">_xll.DBRW($B$1,$B$2,$B$7,$B$3,$B$4,$B$5,$F589,$B$6,AA$10,$A589,$B589)</f>
        <v>0</v>
      </c>
      <c r="AB589" s="4">
        <f ca="1">_xll.DBRW($B$1,$B$2,$B$7,$B$3,$B$4,$B$5,$F589,$B$6,AB$10,$A589,$B589)</f>
        <v>0</v>
      </c>
      <c r="AC589" s="4">
        <f ca="1">_xll.DBRW($B$1,$B$2,$B$7,$B$3,$B$4,$B$5,$F589,$B$6,AC$10,$A589,$B589)</f>
        <v>0</v>
      </c>
      <c r="AD589" s="4">
        <f ca="1">_xll.DBRW($B$1,$B$2,$B$7,$B$3,$B$4,$B$5,$F589,$B$6,AD$10,$A589,$B589)</f>
        <v>0</v>
      </c>
      <c r="AE589" s="4">
        <f ca="1">_xll.DBRW($B$1,$B$2,$B$7,$B$3,$B$4,$B$5,$F589,$B$6,AE$10,$A589,$B589)</f>
        <v>0</v>
      </c>
    </row>
    <row r="590" spans="1:31">
      <c r="A590" s="1" t="s">
        <v>150</v>
      </c>
      <c r="B590" s="5" t="s">
        <v>77</v>
      </c>
      <c r="C590" s="5" t="s">
        <v>75</v>
      </c>
      <c r="D590" s="5" t="s">
        <v>76</v>
      </c>
      <c r="E590" s="5" t="s">
        <v>21</v>
      </c>
      <c r="F590" s="5" t="s">
        <v>317</v>
      </c>
      <c r="G590" s="6"/>
      <c r="H590" s="6"/>
      <c r="I590" s="6"/>
      <c r="J590" s="6"/>
      <c r="K590" s="6"/>
      <c r="L590" s="4">
        <f ca="1">_xll.DBRW($B$1,$B$2,$B$7,$B$3,$B$4,$B$5,$F590,$B$6,L$10,$A590,$B590)</f>
        <v>31</v>
      </c>
      <c r="M590" s="4">
        <f ca="1">_xll.DBRW($B$1,$B$2,$B$7,$B$3,$B$4,$B$5,$F590,$B$6,M$10,$A590,$B590)</f>
        <v>30</v>
      </c>
      <c r="N590" s="4">
        <f ca="1">_xll.DBRW($B$1,$B$2,$B$7,$B$3,$B$4,$B$5,$F590,$B$6,N$10,$A590,$B590)</f>
        <v>30</v>
      </c>
      <c r="O590" s="4">
        <f ca="1">_xll.DBRW($B$1,$B$2,$B$7,$B$3,$B$4,$B$5,$F590,$B$6,O$10,$A590,$B590)</f>
        <v>31</v>
      </c>
      <c r="P590" s="4">
        <f ca="1">_xll.DBRW($B$1,$B$2,$B$7,$B$3,$B$4,$B$5,$F590,$B$6,P$10,$A590,$B590)</f>
        <v>30</v>
      </c>
      <c r="Q590" s="4">
        <f ca="1">_xll.DBRW($B$1,$B$2,$B$7,$B$3,$B$4,$B$5,$F590,$B$6,Q$10,$A590,$B590)</f>
        <v>26</v>
      </c>
      <c r="R590" s="4">
        <f ca="1">_xll.DBRW($B$1,$B$2,$B$7,$B$3,$B$4,$B$5,$F590,$B$6,R$10,$A590,$B590)</f>
        <v>0</v>
      </c>
      <c r="S590" s="4">
        <f ca="1">_xll.DBRW($B$1,$B$2,$B$7,$B$3,$B$4,$B$5,$F590,$B$6,S$10,$A590,$B590)</f>
        <v>0</v>
      </c>
      <c r="T590" s="4">
        <f ca="1">_xll.DBRW($B$1,$B$2,$B$7,$B$3,$B$4,$B$5,$F590,$B$6,T$10,$A590,$B590)</f>
        <v>0</v>
      </c>
      <c r="U590" s="4">
        <f ca="1">_xll.DBRW($B$1,$B$2,$B$7,$B$3,$B$4,$B$5,$F590,$B$6,U$10,$A590,$B590)</f>
        <v>0</v>
      </c>
      <c r="V590" s="4">
        <f ca="1">_xll.DBRW($B$1,$B$2,$B$7,$B$3,$B$4,$B$5,$F590,$B$6,V$10,$A590,$B590)</f>
        <v>0</v>
      </c>
      <c r="W590" s="4">
        <f ca="1">_xll.DBRW($B$1,$B$2,$B$7,$B$3,$B$4,$B$5,$F590,$B$6,W$10,$A590,$B590)</f>
        <v>0</v>
      </c>
      <c r="X590" s="4">
        <f ca="1">_xll.DBRW($B$1,$B$2,$B$7,$B$3,$B$4,$B$5,$F590,$B$6,X$10,$A590,$B590)</f>
        <v>0</v>
      </c>
      <c r="Y590" s="4">
        <f ca="1">_xll.DBRW($B$1,$B$2,$B$7,$B$3,$B$4,$B$5,$F590,$B$6,Y$10,$A590,$B590)</f>
        <v>0</v>
      </c>
      <c r="Z590" s="4">
        <f ca="1">_xll.DBRW($B$1,$B$2,$B$7,$B$3,$B$4,$B$5,$F590,$B$6,Z$10,$A590,$B590)</f>
        <v>0</v>
      </c>
      <c r="AA590" s="4">
        <f ca="1">_xll.DBRW($B$1,$B$2,$B$7,$B$3,$B$4,$B$5,$F590,$B$6,AA$10,$A590,$B590)</f>
        <v>0</v>
      </c>
      <c r="AB590" s="4">
        <f ca="1">_xll.DBRW($B$1,$B$2,$B$7,$B$3,$B$4,$B$5,$F590,$B$6,AB$10,$A590,$B590)</f>
        <v>0</v>
      </c>
      <c r="AC590" s="4">
        <f ca="1">_xll.DBRW($B$1,$B$2,$B$7,$B$3,$B$4,$B$5,$F590,$B$6,AC$10,$A590,$B590)</f>
        <v>0</v>
      </c>
      <c r="AD590" s="4">
        <f ca="1">_xll.DBRW($B$1,$B$2,$B$7,$B$3,$B$4,$B$5,$F590,$B$6,AD$10,$A590,$B590)</f>
        <v>0</v>
      </c>
      <c r="AE590" s="4">
        <f ca="1">_xll.DBRW($B$1,$B$2,$B$7,$B$3,$B$4,$B$5,$F590,$B$6,AE$10,$A590,$B590)</f>
        <v>0</v>
      </c>
    </row>
    <row r="591" spans="1:31">
      <c r="A591" s="1" t="s">
        <v>150</v>
      </c>
      <c r="B591" s="5" t="s">
        <v>174</v>
      </c>
      <c r="C591" s="5" t="s">
        <v>159</v>
      </c>
      <c r="D591" s="5" t="s">
        <v>21</v>
      </c>
      <c r="E591" s="5" t="s">
        <v>38</v>
      </c>
      <c r="F591" s="5" t="s">
        <v>317</v>
      </c>
      <c r="G591" s="6"/>
      <c r="H591" s="6"/>
      <c r="I591" s="6"/>
      <c r="J591" s="6"/>
      <c r="K591" s="6"/>
      <c r="L591" s="4">
        <f ca="1">_xll.DBRW($B$1,$B$2,$B$7,$B$3,$B$4,$B$5,$F591,$B$6,L$10,$A591,$B591)</f>
        <v>1</v>
      </c>
      <c r="M591" s="4">
        <f ca="1">_xll.DBRW($B$1,$B$2,$B$7,$B$3,$B$4,$B$5,$F591,$B$6,M$10,$A591,$B591)</f>
        <v>0</v>
      </c>
      <c r="N591" s="4">
        <f ca="1">_xll.DBRW($B$1,$B$2,$B$7,$B$3,$B$4,$B$5,$F591,$B$6,N$10,$A591,$B591)</f>
        <v>0</v>
      </c>
      <c r="O591" s="4">
        <f ca="1">_xll.DBRW($B$1,$B$2,$B$7,$B$3,$B$4,$B$5,$F591,$B$6,O$10,$A591,$B591)</f>
        <v>0</v>
      </c>
      <c r="P591" s="4">
        <f ca="1">_xll.DBRW($B$1,$B$2,$B$7,$B$3,$B$4,$B$5,$F591,$B$6,P$10,$A591,$B591)</f>
        <v>0</v>
      </c>
      <c r="Q591" s="4">
        <f ca="1">_xll.DBRW($B$1,$B$2,$B$7,$B$3,$B$4,$B$5,$F591,$B$6,Q$10,$A591,$B591)</f>
        <v>0</v>
      </c>
      <c r="R591" s="4">
        <f ca="1">_xll.DBRW($B$1,$B$2,$B$7,$B$3,$B$4,$B$5,$F591,$B$6,R$10,$A591,$B591)</f>
        <v>0</v>
      </c>
      <c r="S591" s="4">
        <f ca="1">_xll.DBRW($B$1,$B$2,$B$7,$B$3,$B$4,$B$5,$F591,$B$6,S$10,$A591,$B591)</f>
        <v>0</v>
      </c>
      <c r="T591" s="4">
        <f ca="1">_xll.DBRW($B$1,$B$2,$B$7,$B$3,$B$4,$B$5,$F591,$B$6,T$10,$A591,$B591)</f>
        <v>9</v>
      </c>
      <c r="U591" s="4">
        <f ca="1">_xll.DBRW($B$1,$B$2,$B$7,$B$3,$B$4,$B$5,$F591,$B$6,U$10,$A591,$B591)</f>
        <v>8</v>
      </c>
      <c r="V591" s="4">
        <f ca="1">_xll.DBRW($B$1,$B$2,$B$7,$B$3,$B$4,$B$5,$F591,$B$6,V$10,$A591,$B591)</f>
        <v>8</v>
      </c>
      <c r="W591" s="4">
        <f ca="1">_xll.DBRW($B$1,$B$2,$B$7,$B$3,$B$4,$B$5,$F591,$B$6,W$10,$A591,$B591)</f>
        <v>5</v>
      </c>
      <c r="X591" s="4">
        <f ca="1">_xll.DBRW($B$1,$B$2,$B$7,$B$3,$B$4,$B$5,$F591,$B$6,X$10,$A591,$B591)</f>
        <v>4</v>
      </c>
      <c r="Y591" s="4">
        <f ca="1">_xll.DBRW($B$1,$B$2,$B$7,$B$3,$B$4,$B$5,$F591,$B$6,Y$10,$A591,$B591)</f>
        <v>4</v>
      </c>
      <c r="Z591" s="4">
        <f ca="1">_xll.DBRW($B$1,$B$2,$B$7,$B$3,$B$4,$B$5,$F591,$B$6,Z$10,$A591,$B591)</f>
        <v>5</v>
      </c>
      <c r="AA591" s="4">
        <f ca="1">_xll.DBRW($B$1,$B$2,$B$7,$B$3,$B$4,$B$5,$F591,$B$6,AA$10,$A591,$B591)</f>
        <v>4</v>
      </c>
      <c r="AB591" s="4">
        <f ca="1">_xll.DBRW($B$1,$B$2,$B$7,$B$3,$B$4,$B$5,$F591,$B$6,AB$10,$A591,$B591)</f>
        <v>4</v>
      </c>
      <c r="AC591" s="4">
        <f ca="1">_xll.DBRW($B$1,$B$2,$B$7,$B$3,$B$4,$B$5,$F591,$B$6,AC$10,$A591,$B591)</f>
        <v>6</v>
      </c>
      <c r="AD591" s="4">
        <f ca="1">_xll.DBRW($B$1,$B$2,$B$7,$B$3,$B$4,$B$5,$F591,$B$6,AD$10,$A591,$B591)</f>
        <v>8</v>
      </c>
      <c r="AE591" s="4">
        <f ca="1">_xll.DBRW($B$1,$B$2,$B$7,$B$3,$B$4,$B$5,$F591,$B$6,AE$10,$A591,$B591)</f>
        <v>9</v>
      </c>
    </row>
    <row r="592" spans="1:31">
      <c r="A592" s="1" t="s">
        <v>150</v>
      </c>
      <c r="B592" s="5" t="s">
        <v>41</v>
      </c>
      <c r="C592" s="5" t="s">
        <v>37</v>
      </c>
      <c r="D592" s="5" t="s">
        <v>38</v>
      </c>
      <c r="E592" s="5" t="s">
        <v>21</v>
      </c>
      <c r="F592" s="5" t="s">
        <v>317</v>
      </c>
      <c r="G592" s="6"/>
      <c r="H592" s="6"/>
      <c r="I592" s="6"/>
      <c r="J592" s="6"/>
      <c r="K592" s="6"/>
      <c r="L592" s="4">
        <f ca="1">_xll.DBRW($B$1,$B$2,$B$7,$B$3,$B$4,$B$5,$F592,$B$6,L$10,$A592,$B592)</f>
        <v>0</v>
      </c>
      <c r="M592" s="4">
        <f ca="1">_xll.DBRW($B$1,$B$2,$B$7,$B$3,$B$4,$B$5,$F592,$B$6,M$10,$A592,$B592)</f>
        <v>0</v>
      </c>
      <c r="N592" s="4">
        <f ca="1">_xll.DBRW($B$1,$B$2,$B$7,$B$3,$B$4,$B$5,$F592,$B$6,N$10,$A592,$B592)</f>
        <v>0</v>
      </c>
      <c r="O592" s="4">
        <f ca="1">_xll.DBRW($B$1,$B$2,$B$7,$B$3,$B$4,$B$5,$F592,$B$6,O$10,$A592,$B592)</f>
        <v>0</v>
      </c>
      <c r="P592" s="4">
        <f ca="1">_xll.DBRW($B$1,$B$2,$B$7,$B$3,$B$4,$B$5,$F592,$B$6,P$10,$A592,$B592)</f>
        <v>0</v>
      </c>
      <c r="Q592" s="4">
        <f ca="1">_xll.DBRW($B$1,$B$2,$B$7,$B$3,$B$4,$B$5,$F592,$B$6,Q$10,$A592,$B592)</f>
        <v>0</v>
      </c>
      <c r="R592" s="4">
        <f ca="1">_xll.DBRW($B$1,$B$2,$B$7,$B$3,$B$4,$B$5,$F592,$B$6,R$10,$A592,$B592)</f>
        <v>0</v>
      </c>
      <c r="S592" s="4">
        <f ca="1">_xll.DBRW($B$1,$B$2,$B$7,$B$3,$B$4,$B$5,$F592,$B$6,S$10,$A592,$B592)</f>
        <v>0</v>
      </c>
      <c r="T592" s="4">
        <f ca="1">_xll.DBRW($B$1,$B$2,$B$7,$B$3,$B$4,$B$5,$F592,$B$6,T$10,$A592,$B592)</f>
        <v>4</v>
      </c>
      <c r="U592" s="4">
        <f ca="1">_xll.DBRW($B$1,$B$2,$B$7,$B$3,$B$4,$B$5,$F592,$B$6,U$10,$A592,$B592)</f>
        <v>4</v>
      </c>
      <c r="V592" s="4">
        <f ca="1">_xll.DBRW($B$1,$B$2,$B$7,$B$3,$B$4,$B$5,$F592,$B$6,V$10,$A592,$B592)</f>
        <v>4</v>
      </c>
      <c r="W592" s="4">
        <f ca="1">_xll.DBRW($B$1,$B$2,$B$7,$B$3,$B$4,$B$5,$F592,$B$6,W$10,$A592,$B592)</f>
        <v>5</v>
      </c>
      <c r="X592" s="4">
        <f ca="1">_xll.DBRW($B$1,$B$2,$B$7,$B$3,$B$4,$B$5,$F592,$B$6,X$10,$A592,$B592)</f>
        <v>4</v>
      </c>
      <c r="Y592" s="4">
        <f ca="1">_xll.DBRW($B$1,$B$2,$B$7,$B$3,$B$4,$B$5,$F592,$B$6,Y$10,$A592,$B592)</f>
        <v>4</v>
      </c>
      <c r="Z592" s="4">
        <f ca="1">_xll.DBRW($B$1,$B$2,$B$7,$B$3,$B$4,$B$5,$F592,$B$6,Z$10,$A592,$B592)</f>
        <v>5</v>
      </c>
      <c r="AA592" s="4">
        <f ca="1">_xll.DBRW($B$1,$B$2,$B$7,$B$3,$B$4,$B$5,$F592,$B$6,AA$10,$A592,$B592)</f>
        <v>4</v>
      </c>
      <c r="AB592" s="4">
        <f ca="1">_xll.DBRW($B$1,$B$2,$B$7,$B$3,$B$4,$B$5,$F592,$B$6,AB$10,$A592,$B592)</f>
        <v>4</v>
      </c>
      <c r="AC592" s="4">
        <f ca="1">_xll.DBRW($B$1,$B$2,$B$7,$B$3,$B$4,$B$5,$F592,$B$6,AC$10,$A592,$B592)</f>
        <v>5</v>
      </c>
      <c r="AD592" s="4">
        <f ca="1">_xll.DBRW($B$1,$B$2,$B$7,$B$3,$B$4,$B$5,$F592,$B$6,AD$10,$A592,$B592)</f>
        <v>4</v>
      </c>
      <c r="AE592" s="4">
        <f ca="1">_xll.DBRW($B$1,$B$2,$B$7,$B$3,$B$4,$B$5,$F592,$B$6,AE$10,$A592,$B592)</f>
        <v>5</v>
      </c>
    </row>
    <row r="593" spans="1:31">
      <c r="A593" s="1" t="s">
        <v>150</v>
      </c>
      <c r="B593" s="5" t="s">
        <v>175</v>
      </c>
      <c r="C593" s="5" t="s">
        <v>159</v>
      </c>
      <c r="D593" s="5" t="s">
        <v>21</v>
      </c>
      <c r="E593" s="5" t="s">
        <v>38</v>
      </c>
      <c r="F593" s="5" t="s">
        <v>317</v>
      </c>
      <c r="G593" s="6"/>
      <c r="H593" s="6"/>
      <c r="I593" s="6"/>
      <c r="J593" s="6"/>
      <c r="K593" s="6"/>
      <c r="L593" s="4">
        <f ca="1">_xll.DBRW($B$1,$B$2,$B$7,$B$3,$B$4,$B$5,$F593,$B$6,L$10,$A593,$B593)</f>
        <v>0</v>
      </c>
      <c r="M593" s="4">
        <f ca="1">_xll.DBRW($B$1,$B$2,$B$7,$B$3,$B$4,$B$5,$F593,$B$6,M$10,$A593,$B593)</f>
        <v>0</v>
      </c>
      <c r="N593" s="4">
        <f ca="1">_xll.DBRW($B$1,$B$2,$B$7,$B$3,$B$4,$B$5,$F593,$B$6,N$10,$A593,$B593)</f>
        <v>0</v>
      </c>
      <c r="O593" s="4">
        <f ca="1">_xll.DBRW($B$1,$B$2,$B$7,$B$3,$B$4,$B$5,$F593,$B$6,O$10,$A593,$B593)</f>
        <v>0</v>
      </c>
      <c r="P593" s="4">
        <f ca="1">_xll.DBRW($B$1,$B$2,$B$7,$B$3,$B$4,$B$5,$F593,$B$6,P$10,$A593,$B593)</f>
        <v>0</v>
      </c>
      <c r="Q593" s="4">
        <f ca="1">_xll.DBRW($B$1,$B$2,$B$7,$B$3,$B$4,$B$5,$F593,$B$6,Q$10,$A593,$B593)</f>
        <v>0</v>
      </c>
      <c r="R593" s="4">
        <f ca="1">_xll.DBRW($B$1,$B$2,$B$7,$B$3,$B$4,$B$5,$F593,$B$6,R$10,$A593,$B593)</f>
        <v>0</v>
      </c>
      <c r="S593" s="4">
        <f ca="1">_xll.DBRW($B$1,$B$2,$B$7,$B$3,$B$4,$B$5,$F593,$B$6,S$10,$A593,$B593)</f>
        <v>0</v>
      </c>
      <c r="T593" s="4">
        <f ca="1">_xll.DBRW($B$1,$B$2,$B$7,$B$3,$B$4,$B$5,$F593,$B$6,T$10,$A593,$B593)</f>
        <v>0</v>
      </c>
      <c r="U593" s="4">
        <f ca="1">_xll.DBRW($B$1,$B$2,$B$7,$B$3,$B$4,$B$5,$F593,$B$6,U$10,$A593,$B593)</f>
        <v>0</v>
      </c>
      <c r="V593" s="4">
        <f ca="1">_xll.DBRW($B$1,$B$2,$B$7,$B$3,$B$4,$B$5,$F593,$B$6,V$10,$A593,$B593)</f>
        <v>2</v>
      </c>
      <c r="W593" s="4">
        <f ca="1">_xll.DBRW($B$1,$B$2,$B$7,$B$3,$B$4,$B$5,$F593,$B$6,W$10,$A593,$B593)</f>
        <v>21</v>
      </c>
      <c r="X593" s="4">
        <f ca="1">_xll.DBRW($B$1,$B$2,$B$7,$B$3,$B$4,$B$5,$F593,$B$6,X$10,$A593,$B593)</f>
        <v>22</v>
      </c>
      <c r="Y593" s="4">
        <f ca="1">_xll.DBRW($B$1,$B$2,$B$7,$B$3,$B$4,$B$5,$F593,$B$6,Y$10,$A593,$B593)</f>
        <v>22</v>
      </c>
      <c r="Z593" s="4">
        <f ca="1">_xll.DBRW($B$1,$B$2,$B$7,$B$3,$B$4,$B$5,$F593,$B$6,Z$10,$A593,$B593)</f>
        <v>22</v>
      </c>
      <c r="AA593" s="4">
        <f ca="1">_xll.DBRW($B$1,$B$2,$B$7,$B$3,$B$4,$B$5,$F593,$B$6,AA$10,$A593,$B593)</f>
        <v>22</v>
      </c>
      <c r="AB593" s="4">
        <f ca="1">_xll.DBRW($B$1,$B$2,$B$7,$B$3,$B$4,$B$5,$F593,$B$6,AB$10,$A593,$B593)</f>
        <v>22</v>
      </c>
      <c r="AC593" s="4">
        <f ca="1">_xll.DBRW($B$1,$B$2,$B$7,$B$3,$B$4,$B$5,$F593,$B$6,AC$10,$A593,$B593)</f>
        <v>16</v>
      </c>
      <c r="AD593" s="4">
        <f ca="1">_xll.DBRW($B$1,$B$2,$B$7,$B$3,$B$4,$B$5,$F593,$B$6,AD$10,$A593,$B593)</f>
        <v>0</v>
      </c>
      <c r="AE593" s="4">
        <f ca="1">_xll.DBRW($B$1,$B$2,$B$7,$B$3,$B$4,$B$5,$F593,$B$6,AE$10,$A593,$B593)</f>
        <v>0</v>
      </c>
    </row>
    <row r="594" spans="1:31">
      <c r="A594" s="1" t="s">
        <v>150</v>
      </c>
      <c r="B594" s="5" t="s">
        <v>42</v>
      </c>
      <c r="C594" s="5" t="s">
        <v>37</v>
      </c>
      <c r="D594" s="5" t="s">
        <v>38</v>
      </c>
      <c r="E594" s="5" t="s">
        <v>21</v>
      </c>
      <c r="F594" s="5" t="s">
        <v>317</v>
      </c>
      <c r="G594" s="6"/>
      <c r="H594" s="6"/>
      <c r="I594" s="6"/>
      <c r="J594" s="6"/>
      <c r="K594" s="6"/>
      <c r="L594" s="4">
        <f ca="1">_xll.DBRW($B$1,$B$2,$B$7,$B$3,$B$4,$B$5,$F594,$B$6,L$10,$A594,$B594)</f>
        <v>0</v>
      </c>
      <c r="M594" s="4">
        <f ca="1">_xll.DBRW($B$1,$B$2,$B$7,$B$3,$B$4,$B$5,$F594,$B$6,M$10,$A594,$B594)</f>
        <v>0</v>
      </c>
      <c r="N594" s="4">
        <f ca="1">_xll.DBRW($B$1,$B$2,$B$7,$B$3,$B$4,$B$5,$F594,$B$6,N$10,$A594,$B594)</f>
        <v>1</v>
      </c>
      <c r="O594" s="4">
        <f ca="1">_xll.DBRW($B$1,$B$2,$B$7,$B$3,$B$4,$B$5,$F594,$B$6,O$10,$A594,$B594)</f>
        <v>0</v>
      </c>
      <c r="P594" s="4">
        <f ca="1">_xll.DBRW($B$1,$B$2,$B$7,$B$3,$B$4,$B$5,$F594,$B$6,P$10,$A594,$B594)</f>
        <v>0</v>
      </c>
      <c r="Q594" s="4">
        <f ca="1">_xll.DBRW($B$1,$B$2,$B$7,$B$3,$B$4,$B$5,$F594,$B$6,Q$10,$A594,$B594)</f>
        <v>0</v>
      </c>
      <c r="R594" s="4">
        <f ca="1">_xll.DBRW($B$1,$B$2,$B$7,$B$3,$B$4,$B$5,$F594,$B$6,R$10,$A594,$B594)</f>
        <v>0</v>
      </c>
      <c r="S594" s="4">
        <f ca="1">_xll.DBRW($B$1,$B$2,$B$7,$B$3,$B$4,$B$5,$F594,$B$6,S$10,$A594,$B594)</f>
        <v>0</v>
      </c>
      <c r="T594" s="4">
        <f ca="1">_xll.DBRW($B$1,$B$2,$B$7,$B$3,$B$4,$B$5,$F594,$B$6,T$10,$A594,$B594)</f>
        <v>0</v>
      </c>
      <c r="U594" s="4">
        <f ca="1">_xll.DBRW($B$1,$B$2,$B$7,$B$3,$B$4,$B$5,$F594,$B$6,U$10,$A594,$B594)</f>
        <v>0</v>
      </c>
      <c r="V594" s="4">
        <f ca="1">_xll.DBRW($B$1,$B$2,$B$7,$B$3,$B$4,$B$5,$F594,$B$6,V$10,$A594,$B594)</f>
        <v>2</v>
      </c>
      <c r="W594" s="4">
        <f ca="1">_xll.DBRW($B$1,$B$2,$B$7,$B$3,$B$4,$B$5,$F594,$B$6,W$10,$A594,$B594)</f>
        <v>21</v>
      </c>
      <c r="X594" s="4">
        <f ca="1">_xll.DBRW($B$1,$B$2,$B$7,$B$3,$B$4,$B$5,$F594,$B$6,X$10,$A594,$B594)</f>
        <v>22</v>
      </c>
      <c r="Y594" s="4">
        <f ca="1">_xll.DBRW($B$1,$B$2,$B$7,$B$3,$B$4,$B$5,$F594,$B$6,Y$10,$A594,$B594)</f>
        <v>22</v>
      </c>
      <c r="Z594" s="4">
        <f ca="1">_xll.DBRW($B$1,$B$2,$B$7,$B$3,$B$4,$B$5,$F594,$B$6,Z$10,$A594,$B594)</f>
        <v>22</v>
      </c>
      <c r="AA594" s="4">
        <f ca="1">_xll.DBRW($B$1,$B$2,$B$7,$B$3,$B$4,$B$5,$F594,$B$6,AA$10,$A594,$B594)</f>
        <v>22</v>
      </c>
      <c r="AB594" s="4">
        <f ca="1">_xll.DBRW($B$1,$B$2,$B$7,$B$3,$B$4,$B$5,$F594,$B$6,AB$10,$A594,$B594)</f>
        <v>22</v>
      </c>
      <c r="AC594" s="4">
        <f ca="1">_xll.DBRW($B$1,$B$2,$B$7,$B$3,$B$4,$B$5,$F594,$B$6,AC$10,$A594,$B594)</f>
        <v>16</v>
      </c>
      <c r="AD594" s="4">
        <f ca="1">_xll.DBRW($B$1,$B$2,$B$7,$B$3,$B$4,$B$5,$F594,$B$6,AD$10,$A594,$B594)</f>
        <v>0</v>
      </c>
      <c r="AE594" s="4">
        <f ca="1">_xll.DBRW($B$1,$B$2,$B$7,$B$3,$B$4,$B$5,$F594,$B$6,AE$10,$A594,$B594)</f>
        <v>0</v>
      </c>
    </row>
    <row r="595" spans="1:31">
      <c r="A595" s="1" t="s">
        <v>150</v>
      </c>
      <c r="B595" s="5" t="s">
        <v>176</v>
      </c>
      <c r="C595" s="5" t="s">
        <v>177</v>
      </c>
      <c r="D595" s="5" t="s">
        <v>28</v>
      </c>
      <c r="E595" s="5" t="s">
        <v>59</v>
      </c>
      <c r="F595" s="5" t="s">
        <v>317</v>
      </c>
      <c r="G595" s="6"/>
      <c r="H595" s="6"/>
      <c r="I595" s="6"/>
      <c r="J595" s="6"/>
      <c r="K595" s="6"/>
      <c r="L595" s="4">
        <f ca="1">_xll.DBRW($B$1,$B$2,$B$7,$B$3,$B$4,$B$5,$F595,$B$6,L$10,$A595,$B595)</f>
        <v>0</v>
      </c>
      <c r="M595" s="4">
        <f ca="1">_xll.DBRW($B$1,$B$2,$B$7,$B$3,$B$4,$B$5,$F595,$B$6,M$10,$A595,$B595)</f>
        <v>0</v>
      </c>
      <c r="N595" s="4">
        <f ca="1">_xll.DBRW($B$1,$B$2,$B$7,$B$3,$B$4,$B$5,$F595,$B$6,N$10,$A595,$B595)</f>
        <v>0</v>
      </c>
      <c r="O595" s="4">
        <f ca="1">_xll.DBRW($B$1,$B$2,$B$7,$B$3,$B$4,$B$5,$F595,$B$6,O$10,$A595,$B595)</f>
        <v>0</v>
      </c>
      <c r="P595" s="4">
        <f ca="1">_xll.DBRW($B$1,$B$2,$B$7,$B$3,$B$4,$B$5,$F595,$B$6,P$10,$A595,$B595)</f>
        <v>0</v>
      </c>
      <c r="Q595" s="4">
        <f ca="1">_xll.DBRW($B$1,$B$2,$B$7,$B$3,$B$4,$B$5,$F595,$B$6,Q$10,$A595,$B595)</f>
        <v>0</v>
      </c>
      <c r="R595" s="4">
        <f ca="1">_xll.DBRW($B$1,$B$2,$B$7,$B$3,$B$4,$B$5,$F595,$B$6,R$10,$A595,$B595)</f>
        <v>0</v>
      </c>
      <c r="S595" s="4">
        <f ca="1">_xll.DBRW($B$1,$B$2,$B$7,$B$3,$B$4,$B$5,$F595,$B$6,S$10,$A595,$B595)</f>
        <v>0</v>
      </c>
      <c r="T595" s="4">
        <f ca="1">_xll.DBRW($B$1,$B$2,$B$7,$B$3,$B$4,$B$5,$F595,$B$6,T$10,$A595,$B595)</f>
        <v>0</v>
      </c>
      <c r="U595" s="4">
        <f ca="1">_xll.DBRW($B$1,$B$2,$B$7,$B$3,$B$4,$B$5,$F595,$B$6,U$10,$A595,$B595)</f>
        <v>0</v>
      </c>
      <c r="V595" s="4">
        <f ca="1">_xll.DBRW($B$1,$B$2,$B$7,$B$3,$B$4,$B$5,$F595,$B$6,V$10,$A595,$B595)</f>
        <v>0</v>
      </c>
      <c r="W595" s="4">
        <f ca="1">_xll.DBRW($B$1,$B$2,$B$7,$B$3,$B$4,$B$5,$F595,$B$6,W$10,$A595,$B595)</f>
        <v>0</v>
      </c>
      <c r="X595" s="4">
        <f ca="1">_xll.DBRW($B$1,$B$2,$B$7,$B$3,$B$4,$B$5,$F595,$B$6,X$10,$A595,$B595)</f>
        <v>0</v>
      </c>
      <c r="Y595" s="4">
        <f ca="1">_xll.DBRW($B$1,$B$2,$B$7,$B$3,$B$4,$B$5,$F595,$B$6,Y$10,$A595,$B595)</f>
        <v>0</v>
      </c>
      <c r="Z595" s="4">
        <f ca="1">_xll.DBRW($B$1,$B$2,$B$7,$B$3,$B$4,$B$5,$F595,$B$6,Z$10,$A595,$B595)</f>
        <v>0</v>
      </c>
      <c r="AA595" s="4">
        <f ca="1">_xll.DBRW($B$1,$B$2,$B$7,$B$3,$B$4,$B$5,$F595,$B$6,AA$10,$A595,$B595)</f>
        <v>0</v>
      </c>
      <c r="AB595" s="4">
        <f ca="1">_xll.DBRW($B$1,$B$2,$B$7,$B$3,$B$4,$B$5,$F595,$B$6,AB$10,$A595,$B595)</f>
        <v>0</v>
      </c>
      <c r="AC595" s="4">
        <f ca="1">_xll.DBRW($B$1,$B$2,$B$7,$B$3,$B$4,$B$5,$F595,$B$6,AC$10,$A595,$B595)</f>
        <v>0</v>
      </c>
      <c r="AD595" s="4">
        <f ca="1">_xll.DBRW($B$1,$B$2,$B$7,$B$3,$B$4,$B$5,$F595,$B$6,AD$10,$A595,$B595)</f>
        <v>0</v>
      </c>
      <c r="AE595" s="4">
        <f ca="1">_xll.DBRW($B$1,$B$2,$B$7,$B$3,$B$4,$B$5,$F595,$B$6,AE$10,$A595,$B595)</f>
        <v>0</v>
      </c>
    </row>
    <row r="596" spans="1:31">
      <c r="A596" s="1" t="s">
        <v>150</v>
      </c>
      <c r="B596" s="5" t="s">
        <v>64</v>
      </c>
      <c r="C596" s="5" t="s">
        <v>65</v>
      </c>
      <c r="D596" s="5" t="s">
        <v>59</v>
      </c>
      <c r="E596" s="5" t="s">
        <v>28</v>
      </c>
      <c r="F596" s="5" t="s">
        <v>317</v>
      </c>
      <c r="G596" s="6"/>
      <c r="H596" s="6"/>
      <c r="I596" s="6"/>
      <c r="J596" s="6"/>
      <c r="K596" s="6"/>
      <c r="L596" s="4">
        <f ca="1">_xll.DBRW($B$1,$B$2,$B$7,$B$3,$B$4,$B$5,$F596,$B$6,L$10,$A596,$B596)</f>
        <v>0</v>
      </c>
      <c r="M596" s="4">
        <f ca="1">_xll.DBRW($B$1,$B$2,$B$7,$B$3,$B$4,$B$5,$F596,$B$6,M$10,$A596,$B596)</f>
        <v>0</v>
      </c>
      <c r="N596" s="4">
        <f ca="1">_xll.DBRW($B$1,$B$2,$B$7,$B$3,$B$4,$B$5,$F596,$B$6,N$10,$A596,$B596)</f>
        <v>0</v>
      </c>
      <c r="O596" s="4">
        <f ca="1">_xll.DBRW($B$1,$B$2,$B$7,$B$3,$B$4,$B$5,$F596,$B$6,O$10,$A596,$B596)</f>
        <v>0</v>
      </c>
      <c r="P596" s="4">
        <f ca="1">_xll.DBRW($B$1,$B$2,$B$7,$B$3,$B$4,$B$5,$F596,$B$6,P$10,$A596,$B596)</f>
        <v>0</v>
      </c>
      <c r="Q596" s="4">
        <f ca="1">_xll.DBRW($B$1,$B$2,$B$7,$B$3,$B$4,$B$5,$F596,$B$6,Q$10,$A596,$B596)</f>
        <v>0</v>
      </c>
      <c r="R596" s="4">
        <f ca="1">_xll.DBRW($B$1,$B$2,$B$7,$B$3,$B$4,$B$5,$F596,$B$6,R$10,$A596,$B596)</f>
        <v>0</v>
      </c>
      <c r="S596" s="4">
        <f ca="1">_xll.DBRW($B$1,$B$2,$B$7,$B$3,$B$4,$B$5,$F596,$B$6,S$10,$A596,$B596)</f>
        <v>0</v>
      </c>
      <c r="T596" s="4">
        <f ca="1">_xll.DBRW($B$1,$B$2,$B$7,$B$3,$B$4,$B$5,$F596,$B$6,T$10,$A596,$B596)</f>
        <v>0</v>
      </c>
      <c r="U596" s="4">
        <f ca="1">_xll.DBRW($B$1,$B$2,$B$7,$B$3,$B$4,$B$5,$F596,$B$6,U$10,$A596,$B596)</f>
        <v>0</v>
      </c>
      <c r="V596" s="4">
        <f ca="1">_xll.DBRW($B$1,$B$2,$B$7,$B$3,$B$4,$B$5,$F596,$B$6,V$10,$A596,$B596)</f>
        <v>0</v>
      </c>
      <c r="W596" s="4">
        <f ca="1">_xll.DBRW($B$1,$B$2,$B$7,$B$3,$B$4,$B$5,$F596,$B$6,W$10,$A596,$B596)</f>
        <v>0</v>
      </c>
      <c r="X596" s="4">
        <f ca="1">_xll.DBRW($B$1,$B$2,$B$7,$B$3,$B$4,$B$5,$F596,$B$6,X$10,$A596,$B596)</f>
        <v>0</v>
      </c>
      <c r="Y596" s="4">
        <f ca="1">_xll.DBRW($B$1,$B$2,$B$7,$B$3,$B$4,$B$5,$F596,$B$6,Y$10,$A596,$B596)</f>
        <v>0</v>
      </c>
      <c r="Z596" s="4">
        <f ca="1">_xll.DBRW($B$1,$B$2,$B$7,$B$3,$B$4,$B$5,$F596,$B$6,Z$10,$A596,$B596)</f>
        <v>0</v>
      </c>
      <c r="AA596" s="4">
        <f ca="1">_xll.DBRW($B$1,$B$2,$B$7,$B$3,$B$4,$B$5,$F596,$B$6,AA$10,$A596,$B596)</f>
        <v>0</v>
      </c>
      <c r="AB596" s="4">
        <f ca="1">_xll.DBRW($B$1,$B$2,$B$7,$B$3,$B$4,$B$5,$F596,$B$6,AB$10,$A596,$B596)</f>
        <v>0</v>
      </c>
      <c r="AC596" s="4">
        <f ca="1">_xll.DBRW($B$1,$B$2,$B$7,$B$3,$B$4,$B$5,$F596,$B$6,AC$10,$A596,$B596)</f>
        <v>0</v>
      </c>
      <c r="AD596" s="4">
        <f ca="1">_xll.DBRW($B$1,$B$2,$B$7,$B$3,$B$4,$B$5,$F596,$B$6,AD$10,$A596,$B596)</f>
        <v>0</v>
      </c>
      <c r="AE596" s="4">
        <f ca="1">_xll.DBRW($B$1,$B$2,$B$7,$B$3,$B$4,$B$5,$F596,$B$6,AE$10,$A596,$B596)</f>
        <v>0</v>
      </c>
    </row>
    <row r="597" spans="1:31">
      <c r="A597" s="1" t="s">
        <v>150</v>
      </c>
      <c r="B597" s="5" t="s">
        <v>178</v>
      </c>
      <c r="C597" s="5" t="s">
        <v>177</v>
      </c>
      <c r="D597" s="5" t="s">
        <v>28</v>
      </c>
      <c r="E597" s="5" t="s">
        <v>59</v>
      </c>
      <c r="F597" s="5" t="s">
        <v>317</v>
      </c>
      <c r="G597" s="6"/>
      <c r="H597" s="6"/>
      <c r="I597" s="6"/>
      <c r="J597" s="6"/>
      <c r="K597" s="6"/>
      <c r="L597" s="4">
        <f ca="1">_xll.DBRW($B$1,$B$2,$B$7,$B$3,$B$4,$B$5,$F597,$B$6,L$10,$A597,$B597)</f>
        <v>0</v>
      </c>
      <c r="M597" s="4">
        <f ca="1">_xll.DBRW($B$1,$B$2,$B$7,$B$3,$B$4,$B$5,$F597,$B$6,M$10,$A597,$B597)</f>
        <v>0</v>
      </c>
      <c r="N597" s="4">
        <f ca="1">_xll.DBRW($B$1,$B$2,$B$7,$B$3,$B$4,$B$5,$F597,$B$6,N$10,$A597,$B597)</f>
        <v>0</v>
      </c>
      <c r="O597" s="4">
        <f ca="1">_xll.DBRW($B$1,$B$2,$B$7,$B$3,$B$4,$B$5,$F597,$B$6,O$10,$A597,$B597)</f>
        <v>0</v>
      </c>
      <c r="P597" s="4">
        <f ca="1">_xll.DBRW($B$1,$B$2,$B$7,$B$3,$B$4,$B$5,$F597,$B$6,P$10,$A597,$B597)</f>
        <v>0</v>
      </c>
      <c r="Q597" s="4">
        <f ca="1">_xll.DBRW($B$1,$B$2,$B$7,$B$3,$B$4,$B$5,$F597,$B$6,Q$10,$A597,$B597)</f>
        <v>0</v>
      </c>
      <c r="R597" s="4">
        <f ca="1">_xll.DBRW($B$1,$B$2,$B$7,$B$3,$B$4,$B$5,$F597,$B$6,R$10,$A597,$B597)</f>
        <v>0</v>
      </c>
      <c r="S597" s="4">
        <f ca="1">_xll.DBRW($B$1,$B$2,$B$7,$B$3,$B$4,$B$5,$F597,$B$6,S$10,$A597,$B597)</f>
        <v>0</v>
      </c>
      <c r="T597" s="4">
        <f ca="1">_xll.DBRW($B$1,$B$2,$B$7,$B$3,$B$4,$B$5,$F597,$B$6,T$10,$A597,$B597)</f>
        <v>0</v>
      </c>
      <c r="U597" s="4">
        <f ca="1">_xll.DBRW($B$1,$B$2,$B$7,$B$3,$B$4,$B$5,$F597,$B$6,U$10,$A597,$B597)</f>
        <v>0</v>
      </c>
      <c r="V597" s="4">
        <f ca="1">_xll.DBRW($B$1,$B$2,$B$7,$B$3,$B$4,$B$5,$F597,$B$6,V$10,$A597,$B597)</f>
        <v>0</v>
      </c>
      <c r="W597" s="4">
        <f ca="1">_xll.DBRW($B$1,$B$2,$B$7,$B$3,$B$4,$B$5,$F597,$B$6,W$10,$A597,$B597)</f>
        <v>0</v>
      </c>
      <c r="X597" s="4">
        <f ca="1">_xll.DBRW($B$1,$B$2,$B$7,$B$3,$B$4,$B$5,$F597,$B$6,X$10,$A597,$B597)</f>
        <v>0</v>
      </c>
      <c r="Y597" s="4">
        <f ca="1">_xll.DBRW($B$1,$B$2,$B$7,$B$3,$B$4,$B$5,$F597,$B$6,Y$10,$A597,$B597)</f>
        <v>0</v>
      </c>
      <c r="Z597" s="4">
        <f ca="1">_xll.DBRW($B$1,$B$2,$B$7,$B$3,$B$4,$B$5,$F597,$B$6,Z$10,$A597,$B597)</f>
        <v>0</v>
      </c>
      <c r="AA597" s="4">
        <f ca="1">_xll.DBRW($B$1,$B$2,$B$7,$B$3,$B$4,$B$5,$F597,$B$6,AA$10,$A597,$B597)</f>
        <v>0</v>
      </c>
      <c r="AB597" s="4">
        <f ca="1">_xll.DBRW($B$1,$B$2,$B$7,$B$3,$B$4,$B$5,$F597,$B$6,AB$10,$A597,$B597)</f>
        <v>0</v>
      </c>
      <c r="AC597" s="4">
        <f ca="1">_xll.DBRW($B$1,$B$2,$B$7,$B$3,$B$4,$B$5,$F597,$B$6,AC$10,$A597,$B597)</f>
        <v>0</v>
      </c>
      <c r="AD597" s="4">
        <f ca="1">_xll.DBRW($B$1,$B$2,$B$7,$B$3,$B$4,$B$5,$F597,$B$6,AD$10,$A597,$B597)</f>
        <v>0</v>
      </c>
      <c r="AE597" s="4">
        <f ca="1">_xll.DBRW($B$1,$B$2,$B$7,$B$3,$B$4,$B$5,$F597,$B$6,AE$10,$A597,$B597)</f>
        <v>0</v>
      </c>
    </row>
    <row r="598" spans="1:31">
      <c r="A598" s="1" t="s">
        <v>150</v>
      </c>
      <c r="B598" s="5" t="s">
        <v>66</v>
      </c>
      <c r="C598" s="5" t="s">
        <v>65</v>
      </c>
      <c r="D598" s="5" t="s">
        <v>59</v>
      </c>
      <c r="E598" s="5" t="s">
        <v>28</v>
      </c>
      <c r="F598" s="5" t="s">
        <v>317</v>
      </c>
      <c r="G598" s="6"/>
      <c r="H598" s="6"/>
      <c r="I598" s="6"/>
      <c r="J598" s="6"/>
      <c r="K598" s="6"/>
      <c r="L598" s="4">
        <f ca="1">_xll.DBRW($B$1,$B$2,$B$7,$B$3,$B$4,$B$5,$F598,$B$6,L$10,$A598,$B598)</f>
        <v>0</v>
      </c>
      <c r="M598" s="4">
        <f ca="1">_xll.DBRW($B$1,$B$2,$B$7,$B$3,$B$4,$B$5,$F598,$B$6,M$10,$A598,$B598)</f>
        <v>0</v>
      </c>
      <c r="N598" s="4">
        <f ca="1">_xll.DBRW($B$1,$B$2,$B$7,$B$3,$B$4,$B$5,$F598,$B$6,N$10,$A598,$B598)</f>
        <v>0</v>
      </c>
      <c r="O598" s="4">
        <f ca="1">_xll.DBRW($B$1,$B$2,$B$7,$B$3,$B$4,$B$5,$F598,$B$6,O$10,$A598,$B598)</f>
        <v>0</v>
      </c>
      <c r="P598" s="4">
        <f ca="1">_xll.DBRW($B$1,$B$2,$B$7,$B$3,$B$4,$B$5,$F598,$B$6,P$10,$A598,$B598)</f>
        <v>0</v>
      </c>
      <c r="Q598" s="4">
        <f ca="1">_xll.DBRW($B$1,$B$2,$B$7,$B$3,$B$4,$B$5,$F598,$B$6,Q$10,$A598,$B598)</f>
        <v>0</v>
      </c>
      <c r="R598" s="4">
        <f ca="1">_xll.DBRW($B$1,$B$2,$B$7,$B$3,$B$4,$B$5,$F598,$B$6,R$10,$A598,$B598)</f>
        <v>0</v>
      </c>
      <c r="S598" s="4">
        <f ca="1">_xll.DBRW($B$1,$B$2,$B$7,$B$3,$B$4,$B$5,$F598,$B$6,S$10,$A598,$B598)</f>
        <v>0</v>
      </c>
      <c r="T598" s="4">
        <f ca="1">_xll.DBRW($B$1,$B$2,$B$7,$B$3,$B$4,$B$5,$F598,$B$6,T$10,$A598,$B598)</f>
        <v>0</v>
      </c>
      <c r="U598" s="4">
        <f ca="1">_xll.DBRW($B$1,$B$2,$B$7,$B$3,$B$4,$B$5,$F598,$B$6,U$10,$A598,$B598)</f>
        <v>0</v>
      </c>
      <c r="V598" s="4">
        <f ca="1">_xll.DBRW($B$1,$B$2,$B$7,$B$3,$B$4,$B$5,$F598,$B$6,V$10,$A598,$B598)</f>
        <v>0</v>
      </c>
      <c r="W598" s="4">
        <f ca="1">_xll.DBRW($B$1,$B$2,$B$7,$B$3,$B$4,$B$5,$F598,$B$6,W$10,$A598,$B598)</f>
        <v>0</v>
      </c>
      <c r="X598" s="4">
        <f ca="1">_xll.DBRW($B$1,$B$2,$B$7,$B$3,$B$4,$B$5,$F598,$B$6,X$10,$A598,$B598)</f>
        <v>0</v>
      </c>
      <c r="Y598" s="4">
        <f ca="1">_xll.DBRW($B$1,$B$2,$B$7,$B$3,$B$4,$B$5,$F598,$B$6,Y$10,$A598,$B598)</f>
        <v>0</v>
      </c>
      <c r="Z598" s="4">
        <f ca="1">_xll.DBRW($B$1,$B$2,$B$7,$B$3,$B$4,$B$5,$F598,$B$6,Z$10,$A598,$B598)</f>
        <v>0</v>
      </c>
      <c r="AA598" s="4">
        <f ca="1">_xll.DBRW($B$1,$B$2,$B$7,$B$3,$B$4,$B$5,$F598,$B$6,AA$10,$A598,$B598)</f>
        <v>0</v>
      </c>
      <c r="AB598" s="4">
        <f ca="1">_xll.DBRW($B$1,$B$2,$B$7,$B$3,$B$4,$B$5,$F598,$B$6,AB$10,$A598,$B598)</f>
        <v>0</v>
      </c>
      <c r="AC598" s="4">
        <f ca="1">_xll.DBRW($B$1,$B$2,$B$7,$B$3,$B$4,$B$5,$F598,$B$6,AC$10,$A598,$B598)</f>
        <v>0</v>
      </c>
      <c r="AD598" s="4">
        <f ca="1">_xll.DBRW($B$1,$B$2,$B$7,$B$3,$B$4,$B$5,$F598,$B$6,AD$10,$A598,$B598)</f>
        <v>0</v>
      </c>
      <c r="AE598" s="4">
        <f ca="1">_xll.DBRW($B$1,$B$2,$B$7,$B$3,$B$4,$B$5,$F598,$B$6,AE$10,$A598,$B598)</f>
        <v>0</v>
      </c>
    </row>
    <row r="599" spans="1:31">
      <c r="A599" s="1" t="s">
        <v>150</v>
      </c>
      <c r="B599" s="5" t="s">
        <v>179</v>
      </c>
      <c r="C599" s="5" t="s">
        <v>180</v>
      </c>
      <c r="D599" s="5" t="s">
        <v>28</v>
      </c>
      <c r="E599" s="5" t="s">
        <v>181</v>
      </c>
      <c r="F599" s="5" t="s">
        <v>317</v>
      </c>
      <c r="G599" s="6"/>
      <c r="H599" s="6"/>
      <c r="I599" s="6"/>
      <c r="J599" s="6"/>
      <c r="K599" s="6"/>
      <c r="L599" s="4">
        <f ca="1">_xll.DBRW($B$1,$B$2,$B$7,$B$3,$B$4,$B$5,$F599,$B$6,L$10,$A599,$B599)</f>
        <v>0</v>
      </c>
      <c r="M599" s="4">
        <f ca="1">_xll.DBRW($B$1,$B$2,$B$7,$B$3,$B$4,$B$5,$F599,$B$6,M$10,$A599,$B599)</f>
        <v>0</v>
      </c>
      <c r="N599" s="4">
        <f ca="1">_xll.DBRW($B$1,$B$2,$B$7,$B$3,$B$4,$B$5,$F599,$B$6,N$10,$A599,$B599)</f>
        <v>0</v>
      </c>
      <c r="O599" s="4">
        <f ca="1">_xll.DBRW($B$1,$B$2,$B$7,$B$3,$B$4,$B$5,$F599,$B$6,O$10,$A599,$B599)</f>
        <v>0</v>
      </c>
      <c r="P599" s="4">
        <f ca="1">_xll.DBRW($B$1,$B$2,$B$7,$B$3,$B$4,$B$5,$F599,$B$6,P$10,$A599,$B599)</f>
        <v>0</v>
      </c>
      <c r="Q599" s="4">
        <f ca="1">_xll.DBRW($B$1,$B$2,$B$7,$B$3,$B$4,$B$5,$F599,$B$6,Q$10,$A599,$B599)</f>
        <v>0</v>
      </c>
      <c r="R599" s="4">
        <f ca="1">_xll.DBRW($B$1,$B$2,$B$7,$B$3,$B$4,$B$5,$F599,$B$6,R$10,$A599,$B599)</f>
        <v>0</v>
      </c>
      <c r="S599" s="4">
        <f ca="1">_xll.DBRW($B$1,$B$2,$B$7,$B$3,$B$4,$B$5,$F599,$B$6,S$10,$A599,$B599)</f>
        <v>0</v>
      </c>
      <c r="T599" s="4">
        <f ca="1">_xll.DBRW($B$1,$B$2,$B$7,$B$3,$B$4,$B$5,$F599,$B$6,T$10,$A599,$B599)</f>
        <v>0</v>
      </c>
      <c r="U599" s="4">
        <f ca="1">_xll.DBRW($B$1,$B$2,$B$7,$B$3,$B$4,$B$5,$F599,$B$6,U$10,$A599,$B599)</f>
        <v>0</v>
      </c>
      <c r="V599" s="4">
        <f ca="1">_xll.DBRW($B$1,$B$2,$B$7,$B$3,$B$4,$B$5,$F599,$B$6,V$10,$A599,$B599)</f>
        <v>0</v>
      </c>
      <c r="W599" s="4">
        <f ca="1">_xll.DBRW($B$1,$B$2,$B$7,$B$3,$B$4,$B$5,$F599,$B$6,W$10,$A599,$B599)</f>
        <v>0</v>
      </c>
      <c r="X599" s="4">
        <f ca="1">_xll.DBRW($B$1,$B$2,$B$7,$B$3,$B$4,$B$5,$F599,$B$6,X$10,$A599,$B599)</f>
        <v>0</v>
      </c>
      <c r="Y599" s="4">
        <f ca="1">_xll.DBRW($B$1,$B$2,$B$7,$B$3,$B$4,$B$5,$F599,$B$6,Y$10,$A599,$B599)</f>
        <v>0</v>
      </c>
      <c r="Z599" s="4">
        <f ca="1">_xll.DBRW($B$1,$B$2,$B$7,$B$3,$B$4,$B$5,$F599,$B$6,Z$10,$A599,$B599)</f>
        <v>0</v>
      </c>
      <c r="AA599" s="4">
        <f ca="1">_xll.DBRW($B$1,$B$2,$B$7,$B$3,$B$4,$B$5,$F599,$B$6,AA$10,$A599,$B599)</f>
        <v>0</v>
      </c>
      <c r="AB599" s="4">
        <f ca="1">_xll.DBRW($B$1,$B$2,$B$7,$B$3,$B$4,$B$5,$F599,$B$6,AB$10,$A599,$B599)</f>
        <v>0</v>
      </c>
      <c r="AC599" s="4">
        <f ca="1">_xll.DBRW($B$1,$B$2,$B$7,$B$3,$B$4,$B$5,$F599,$B$6,AC$10,$A599,$B599)</f>
        <v>0</v>
      </c>
      <c r="AD599" s="4">
        <f ca="1">_xll.DBRW($B$1,$B$2,$B$7,$B$3,$B$4,$B$5,$F599,$B$6,AD$10,$A599,$B599)</f>
        <v>0</v>
      </c>
      <c r="AE599" s="4">
        <f ca="1">_xll.DBRW($B$1,$B$2,$B$7,$B$3,$B$4,$B$5,$F599,$B$6,AE$10,$A599,$B599)</f>
        <v>0</v>
      </c>
    </row>
    <row r="600" spans="1:31">
      <c r="A600" s="1" t="s">
        <v>150</v>
      </c>
      <c r="B600" s="5" t="s">
        <v>182</v>
      </c>
      <c r="C600" s="5" t="s">
        <v>183</v>
      </c>
      <c r="D600" s="5" t="s">
        <v>181</v>
      </c>
      <c r="E600" s="5" t="s">
        <v>28</v>
      </c>
      <c r="F600" s="5" t="s">
        <v>317</v>
      </c>
      <c r="G600" s="6"/>
      <c r="H600" s="6"/>
      <c r="I600" s="6"/>
      <c r="J600" s="6"/>
      <c r="K600" s="6"/>
      <c r="L600" s="4">
        <f ca="1">_xll.DBRW($B$1,$B$2,$B$7,$B$3,$B$4,$B$5,$F600,$B$6,L$10,$A600,$B600)</f>
        <v>0</v>
      </c>
      <c r="M600" s="4">
        <f ca="1">_xll.DBRW($B$1,$B$2,$B$7,$B$3,$B$4,$B$5,$F600,$B$6,M$10,$A600,$B600)</f>
        <v>0</v>
      </c>
      <c r="N600" s="4">
        <f ca="1">_xll.DBRW($B$1,$B$2,$B$7,$B$3,$B$4,$B$5,$F600,$B$6,N$10,$A600,$B600)</f>
        <v>0</v>
      </c>
      <c r="O600" s="4">
        <f ca="1">_xll.DBRW($B$1,$B$2,$B$7,$B$3,$B$4,$B$5,$F600,$B$6,O$10,$A600,$B600)</f>
        <v>0</v>
      </c>
      <c r="P600" s="4">
        <f ca="1">_xll.DBRW($B$1,$B$2,$B$7,$B$3,$B$4,$B$5,$F600,$B$6,P$10,$A600,$B600)</f>
        <v>0</v>
      </c>
      <c r="Q600" s="4">
        <f ca="1">_xll.DBRW($B$1,$B$2,$B$7,$B$3,$B$4,$B$5,$F600,$B$6,Q$10,$A600,$B600)</f>
        <v>0</v>
      </c>
      <c r="R600" s="4">
        <f ca="1">_xll.DBRW($B$1,$B$2,$B$7,$B$3,$B$4,$B$5,$F600,$B$6,R$10,$A600,$B600)</f>
        <v>0</v>
      </c>
      <c r="S600" s="4">
        <f ca="1">_xll.DBRW($B$1,$B$2,$B$7,$B$3,$B$4,$B$5,$F600,$B$6,S$10,$A600,$B600)</f>
        <v>0</v>
      </c>
      <c r="T600" s="4">
        <f ca="1">_xll.DBRW($B$1,$B$2,$B$7,$B$3,$B$4,$B$5,$F600,$B$6,T$10,$A600,$B600)</f>
        <v>0</v>
      </c>
      <c r="U600" s="4">
        <f ca="1">_xll.DBRW($B$1,$B$2,$B$7,$B$3,$B$4,$B$5,$F600,$B$6,U$10,$A600,$B600)</f>
        <v>0</v>
      </c>
      <c r="V600" s="4">
        <f ca="1">_xll.DBRW($B$1,$B$2,$B$7,$B$3,$B$4,$B$5,$F600,$B$6,V$10,$A600,$B600)</f>
        <v>0</v>
      </c>
      <c r="W600" s="4">
        <f ca="1">_xll.DBRW($B$1,$B$2,$B$7,$B$3,$B$4,$B$5,$F600,$B$6,W$10,$A600,$B600)</f>
        <v>0</v>
      </c>
      <c r="X600" s="4">
        <f ca="1">_xll.DBRW($B$1,$B$2,$B$7,$B$3,$B$4,$B$5,$F600,$B$6,X$10,$A600,$B600)</f>
        <v>0</v>
      </c>
      <c r="Y600" s="4">
        <f ca="1">_xll.DBRW($B$1,$B$2,$B$7,$B$3,$B$4,$B$5,$F600,$B$6,Y$10,$A600,$B600)</f>
        <v>0</v>
      </c>
      <c r="Z600" s="4">
        <f ca="1">_xll.DBRW($B$1,$B$2,$B$7,$B$3,$B$4,$B$5,$F600,$B$6,Z$10,$A600,$B600)</f>
        <v>0</v>
      </c>
      <c r="AA600" s="4">
        <f ca="1">_xll.DBRW($B$1,$B$2,$B$7,$B$3,$B$4,$B$5,$F600,$B$6,AA$10,$A600,$B600)</f>
        <v>0</v>
      </c>
      <c r="AB600" s="4">
        <f ca="1">_xll.DBRW($B$1,$B$2,$B$7,$B$3,$B$4,$B$5,$F600,$B$6,AB$10,$A600,$B600)</f>
        <v>0</v>
      </c>
      <c r="AC600" s="4">
        <f ca="1">_xll.DBRW($B$1,$B$2,$B$7,$B$3,$B$4,$B$5,$F600,$B$6,AC$10,$A600,$B600)</f>
        <v>0</v>
      </c>
      <c r="AD600" s="4">
        <f ca="1">_xll.DBRW($B$1,$B$2,$B$7,$B$3,$B$4,$B$5,$F600,$B$6,AD$10,$A600,$B600)</f>
        <v>0</v>
      </c>
      <c r="AE600" s="4">
        <f ca="1">_xll.DBRW($B$1,$B$2,$B$7,$B$3,$B$4,$B$5,$F600,$B$6,AE$10,$A600,$B600)</f>
        <v>0</v>
      </c>
    </row>
    <row r="601" spans="1:31">
      <c r="A601" s="1" t="s">
        <v>150</v>
      </c>
      <c r="B601" s="5" t="s">
        <v>184</v>
      </c>
      <c r="C601" s="5" t="s">
        <v>185</v>
      </c>
      <c r="D601" s="5" t="s">
        <v>28</v>
      </c>
      <c r="E601" s="5" t="s">
        <v>49</v>
      </c>
      <c r="F601" s="5" t="s">
        <v>317</v>
      </c>
      <c r="G601" s="6"/>
      <c r="H601" s="6"/>
      <c r="I601" s="6"/>
      <c r="J601" s="6"/>
      <c r="K601" s="6"/>
      <c r="L601" s="4">
        <f ca="1">_xll.DBRW($B$1,$B$2,$B$7,$B$3,$B$4,$B$5,$F601,$B$6,L$10,$A601,$B601)</f>
        <v>0</v>
      </c>
      <c r="M601" s="4">
        <f ca="1">_xll.DBRW($B$1,$B$2,$B$7,$B$3,$B$4,$B$5,$F601,$B$6,M$10,$A601,$B601)</f>
        <v>0</v>
      </c>
      <c r="N601" s="4">
        <f ca="1">_xll.DBRW($B$1,$B$2,$B$7,$B$3,$B$4,$B$5,$F601,$B$6,N$10,$A601,$B601)</f>
        <v>0</v>
      </c>
      <c r="O601" s="4">
        <f ca="1">_xll.DBRW($B$1,$B$2,$B$7,$B$3,$B$4,$B$5,$F601,$B$6,O$10,$A601,$B601)</f>
        <v>0</v>
      </c>
      <c r="P601" s="4">
        <f ca="1">_xll.DBRW($B$1,$B$2,$B$7,$B$3,$B$4,$B$5,$F601,$B$6,P$10,$A601,$B601)</f>
        <v>0</v>
      </c>
      <c r="Q601" s="4">
        <f ca="1">_xll.DBRW($B$1,$B$2,$B$7,$B$3,$B$4,$B$5,$F601,$B$6,Q$10,$A601,$B601)</f>
        <v>0</v>
      </c>
      <c r="R601" s="4">
        <f ca="1">_xll.DBRW($B$1,$B$2,$B$7,$B$3,$B$4,$B$5,$F601,$B$6,R$10,$A601,$B601)</f>
        <v>0</v>
      </c>
      <c r="S601" s="4">
        <f ca="1">_xll.DBRW($B$1,$B$2,$B$7,$B$3,$B$4,$B$5,$F601,$B$6,S$10,$A601,$B601)</f>
        <v>0</v>
      </c>
      <c r="T601" s="4">
        <f ca="1">_xll.DBRW($B$1,$B$2,$B$7,$B$3,$B$4,$B$5,$F601,$B$6,T$10,$A601,$B601)</f>
        <v>0</v>
      </c>
      <c r="U601" s="4">
        <f ca="1">_xll.DBRW($B$1,$B$2,$B$7,$B$3,$B$4,$B$5,$F601,$B$6,U$10,$A601,$B601)</f>
        <v>0</v>
      </c>
      <c r="V601" s="4">
        <f ca="1">_xll.DBRW($B$1,$B$2,$B$7,$B$3,$B$4,$B$5,$F601,$B$6,V$10,$A601,$B601)</f>
        <v>0</v>
      </c>
      <c r="W601" s="4">
        <f ca="1">_xll.DBRW($B$1,$B$2,$B$7,$B$3,$B$4,$B$5,$F601,$B$6,W$10,$A601,$B601)</f>
        <v>0</v>
      </c>
      <c r="X601" s="4">
        <f ca="1">_xll.DBRW($B$1,$B$2,$B$7,$B$3,$B$4,$B$5,$F601,$B$6,X$10,$A601,$B601)</f>
        <v>0</v>
      </c>
      <c r="Y601" s="4">
        <f ca="1">_xll.DBRW($B$1,$B$2,$B$7,$B$3,$B$4,$B$5,$F601,$B$6,Y$10,$A601,$B601)</f>
        <v>0</v>
      </c>
      <c r="Z601" s="4">
        <f ca="1">_xll.DBRW($B$1,$B$2,$B$7,$B$3,$B$4,$B$5,$F601,$B$6,Z$10,$A601,$B601)</f>
        <v>0</v>
      </c>
      <c r="AA601" s="4">
        <f ca="1">_xll.DBRW($B$1,$B$2,$B$7,$B$3,$B$4,$B$5,$F601,$B$6,AA$10,$A601,$B601)</f>
        <v>0</v>
      </c>
      <c r="AB601" s="4">
        <f ca="1">_xll.DBRW($B$1,$B$2,$B$7,$B$3,$B$4,$B$5,$F601,$B$6,AB$10,$A601,$B601)</f>
        <v>0</v>
      </c>
      <c r="AC601" s="4">
        <f ca="1">_xll.DBRW($B$1,$B$2,$B$7,$B$3,$B$4,$B$5,$F601,$B$6,AC$10,$A601,$B601)</f>
        <v>0</v>
      </c>
      <c r="AD601" s="4">
        <f ca="1">_xll.DBRW($B$1,$B$2,$B$7,$B$3,$B$4,$B$5,$F601,$B$6,AD$10,$A601,$B601)</f>
        <v>0</v>
      </c>
      <c r="AE601" s="4">
        <f ca="1">_xll.DBRW($B$1,$B$2,$B$7,$B$3,$B$4,$B$5,$F601,$B$6,AE$10,$A601,$B601)</f>
        <v>0</v>
      </c>
    </row>
    <row r="602" spans="1:31">
      <c r="A602" s="1" t="s">
        <v>150</v>
      </c>
      <c r="B602" s="5" t="s">
        <v>50</v>
      </c>
      <c r="C602" s="5" t="s">
        <v>51</v>
      </c>
      <c r="D602" s="5" t="s">
        <v>49</v>
      </c>
      <c r="E602" s="5" t="s">
        <v>28</v>
      </c>
      <c r="F602" s="5" t="s">
        <v>317</v>
      </c>
      <c r="G602" s="6"/>
      <c r="H602" s="6"/>
      <c r="I602" s="6"/>
      <c r="J602" s="6"/>
      <c r="K602" s="6"/>
      <c r="L602" s="4">
        <f ca="1">_xll.DBRW($B$1,$B$2,$B$7,$B$3,$B$4,$B$5,$F602,$B$6,L$10,$A602,$B602)</f>
        <v>0</v>
      </c>
      <c r="M602" s="4">
        <f ca="1">_xll.DBRW($B$1,$B$2,$B$7,$B$3,$B$4,$B$5,$F602,$B$6,M$10,$A602,$B602)</f>
        <v>0</v>
      </c>
      <c r="N602" s="4">
        <f ca="1">_xll.DBRW($B$1,$B$2,$B$7,$B$3,$B$4,$B$5,$F602,$B$6,N$10,$A602,$B602)</f>
        <v>0</v>
      </c>
      <c r="O602" s="4">
        <f ca="1">_xll.DBRW($B$1,$B$2,$B$7,$B$3,$B$4,$B$5,$F602,$B$6,O$10,$A602,$B602)</f>
        <v>0</v>
      </c>
      <c r="P602" s="4">
        <f ca="1">_xll.DBRW($B$1,$B$2,$B$7,$B$3,$B$4,$B$5,$F602,$B$6,P$10,$A602,$B602)</f>
        <v>0</v>
      </c>
      <c r="Q602" s="4">
        <f ca="1">_xll.DBRW($B$1,$B$2,$B$7,$B$3,$B$4,$B$5,$F602,$B$6,Q$10,$A602,$B602)</f>
        <v>0</v>
      </c>
      <c r="R602" s="4">
        <f ca="1">_xll.DBRW($B$1,$B$2,$B$7,$B$3,$B$4,$B$5,$F602,$B$6,R$10,$A602,$B602)</f>
        <v>0</v>
      </c>
      <c r="S602" s="4">
        <f ca="1">_xll.DBRW($B$1,$B$2,$B$7,$B$3,$B$4,$B$5,$F602,$B$6,S$10,$A602,$B602)</f>
        <v>0</v>
      </c>
      <c r="T602" s="4">
        <f ca="1">_xll.DBRW($B$1,$B$2,$B$7,$B$3,$B$4,$B$5,$F602,$B$6,T$10,$A602,$B602)</f>
        <v>0</v>
      </c>
      <c r="U602" s="4">
        <f ca="1">_xll.DBRW($B$1,$B$2,$B$7,$B$3,$B$4,$B$5,$F602,$B$6,U$10,$A602,$B602)</f>
        <v>0</v>
      </c>
      <c r="V602" s="4">
        <f ca="1">_xll.DBRW($B$1,$B$2,$B$7,$B$3,$B$4,$B$5,$F602,$B$6,V$10,$A602,$B602)</f>
        <v>0</v>
      </c>
      <c r="W602" s="4">
        <f ca="1">_xll.DBRW($B$1,$B$2,$B$7,$B$3,$B$4,$B$5,$F602,$B$6,W$10,$A602,$B602)</f>
        <v>0</v>
      </c>
      <c r="X602" s="4">
        <f ca="1">_xll.DBRW($B$1,$B$2,$B$7,$B$3,$B$4,$B$5,$F602,$B$6,X$10,$A602,$B602)</f>
        <v>0</v>
      </c>
      <c r="Y602" s="4">
        <f ca="1">_xll.DBRW($B$1,$B$2,$B$7,$B$3,$B$4,$B$5,$F602,$B$6,Y$10,$A602,$B602)</f>
        <v>0</v>
      </c>
      <c r="Z602" s="4">
        <f ca="1">_xll.DBRW($B$1,$B$2,$B$7,$B$3,$B$4,$B$5,$F602,$B$6,Z$10,$A602,$B602)</f>
        <v>0</v>
      </c>
      <c r="AA602" s="4">
        <f ca="1">_xll.DBRW($B$1,$B$2,$B$7,$B$3,$B$4,$B$5,$F602,$B$6,AA$10,$A602,$B602)</f>
        <v>0</v>
      </c>
      <c r="AB602" s="4">
        <f ca="1">_xll.DBRW($B$1,$B$2,$B$7,$B$3,$B$4,$B$5,$F602,$B$6,AB$10,$A602,$B602)</f>
        <v>0</v>
      </c>
      <c r="AC602" s="4">
        <f ca="1">_xll.DBRW($B$1,$B$2,$B$7,$B$3,$B$4,$B$5,$F602,$B$6,AC$10,$A602,$B602)</f>
        <v>0</v>
      </c>
      <c r="AD602" s="4">
        <f ca="1">_xll.DBRW($B$1,$B$2,$B$7,$B$3,$B$4,$B$5,$F602,$B$6,AD$10,$A602,$B602)</f>
        <v>0</v>
      </c>
      <c r="AE602" s="4">
        <f ca="1">_xll.DBRW($B$1,$B$2,$B$7,$B$3,$B$4,$B$5,$F602,$B$6,AE$10,$A602,$B602)</f>
        <v>0</v>
      </c>
    </row>
    <row r="603" spans="1:31">
      <c r="A603" s="1" t="s">
        <v>150</v>
      </c>
      <c r="B603" s="5" t="s">
        <v>186</v>
      </c>
      <c r="C603" s="5" t="s">
        <v>187</v>
      </c>
      <c r="D603" s="5" t="s">
        <v>21</v>
      </c>
      <c r="E603" s="5" t="s">
        <v>59</v>
      </c>
      <c r="F603" s="5" t="s">
        <v>317</v>
      </c>
      <c r="G603" s="6"/>
      <c r="H603" s="6"/>
      <c r="I603" s="6"/>
      <c r="J603" s="6"/>
      <c r="K603" s="6"/>
      <c r="L603" s="4">
        <f ca="1">_xll.DBRW($B$1,$B$2,$B$7,$B$3,$B$4,$B$5,$F603,$B$6,L$10,$A603,$B603)</f>
        <v>0</v>
      </c>
      <c r="M603" s="4">
        <f ca="1">_xll.DBRW($B$1,$B$2,$B$7,$B$3,$B$4,$B$5,$F603,$B$6,M$10,$A603,$B603)</f>
        <v>0</v>
      </c>
      <c r="N603" s="4">
        <f ca="1">_xll.DBRW($B$1,$B$2,$B$7,$B$3,$B$4,$B$5,$F603,$B$6,N$10,$A603,$B603)</f>
        <v>0</v>
      </c>
      <c r="O603" s="4">
        <f ca="1">_xll.DBRW($B$1,$B$2,$B$7,$B$3,$B$4,$B$5,$F603,$B$6,O$10,$A603,$B603)</f>
        <v>0</v>
      </c>
      <c r="P603" s="4">
        <f ca="1">_xll.DBRW($B$1,$B$2,$B$7,$B$3,$B$4,$B$5,$F603,$B$6,P$10,$A603,$B603)</f>
        <v>0</v>
      </c>
      <c r="Q603" s="4">
        <f ca="1">_xll.DBRW($B$1,$B$2,$B$7,$B$3,$B$4,$B$5,$F603,$B$6,Q$10,$A603,$B603)</f>
        <v>0</v>
      </c>
      <c r="R603" s="4">
        <f ca="1">_xll.DBRW($B$1,$B$2,$B$7,$B$3,$B$4,$B$5,$F603,$B$6,R$10,$A603,$B603)</f>
        <v>0</v>
      </c>
      <c r="S603" s="4">
        <f ca="1">_xll.DBRW($B$1,$B$2,$B$7,$B$3,$B$4,$B$5,$F603,$B$6,S$10,$A603,$B603)</f>
        <v>0</v>
      </c>
      <c r="T603" s="4">
        <f ca="1">_xll.DBRW($B$1,$B$2,$B$7,$B$3,$B$4,$B$5,$F603,$B$6,T$10,$A603,$B603)</f>
        <v>0</v>
      </c>
      <c r="U603" s="4">
        <f ca="1">_xll.DBRW($B$1,$B$2,$B$7,$B$3,$B$4,$B$5,$F603,$B$6,U$10,$A603,$B603)</f>
        <v>0</v>
      </c>
      <c r="V603" s="4">
        <f ca="1">_xll.DBRW($B$1,$B$2,$B$7,$B$3,$B$4,$B$5,$F603,$B$6,V$10,$A603,$B603)</f>
        <v>0</v>
      </c>
      <c r="W603" s="4">
        <f ca="1">_xll.DBRW($B$1,$B$2,$B$7,$B$3,$B$4,$B$5,$F603,$B$6,W$10,$A603,$B603)</f>
        <v>0</v>
      </c>
      <c r="X603" s="4">
        <f ca="1">_xll.DBRW($B$1,$B$2,$B$7,$B$3,$B$4,$B$5,$F603,$B$6,X$10,$A603,$B603)</f>
        <v>0</v>
      </c>
      <c r="Y603" s="4">
        <f ca="1">_xll.DBRW($B$1,$B$2,$B$7,$B$3,$B$4,$B$5,$F603,$B$6,Y$10,$A603,$B603)</f>
        <v>0</v>
      </c>
      <c r="Z603" s="4">
        <f ca="1">_xll.DBRW($B$1,$B$2,$B$7,$B$3,$B$4,$B$5,$F603,$B$6,Z$10,$A603,$B603)</f>
        <v>0</v>
      </c>
      <c r="AA603" s="4">
        <f ca="1">_xll.DBRW($B$1,$B$2,$B$7,$B$3,$B$4,$B$5,$F603,$B$6,AA$10,$A603,$B603)</f>
        <v>0</v>
      </c>
      <c r="AB603" s="4">
        <f ca="1">_xll.DBRW($B$1,$B$2,$B$7,$B$3,$B$4,$B$5,$F603,$B$6,AB$10,$A603,$B603)</f>
        <v>0</v>
      </c>
      <c r="AC603" s="4">
        <f ca="1">_xll.DBRW($B$1,$B$2,$B$7,$B$3,$B$4,$B$5,$F603,$B$6,AC$10,$A603,$B603)</f>
        <v>0</v>
      </c>
      <c r="AD603" s="4">
        <f ca="1">_xll.DBRW($B$1,$B$2,$B$7,$B$3,$B$4,$B$5,$F603,$B$6,AD$10,$A603,$B603)</f>
        <v>0</v>
      </c>
      <c r="AE603" s="4">
        <f ca="1">_xll.DBRW($B$1,$B$2,$B$7,$B$3,$B$4,$B$5,$F603,$B$6,AE$10,$A603,$B603)</f>
        <v>0</v>
      </c>
    </row>
    <row r="604" spans="1:31">
      <c r="A604" s="1" t="s">
        <v>150</v>
      </c>
      <c r="B604" s="5" t="s">
        <v>61</v>
      </c>
      <c r="C604" s="5" t="s">
        <v>62</v>
      </c>
      <c r="D604" s="5" t="s">
        <v>59</v>
      </c>
      <c r="E604" s="5" t="s">
        <v>21</v>
      </c>
      <c r="F604" s="5" t="s">
        <v>317</v>
      </c>
      <c r="G604" s="6"/>
      <c r="H604" s="6"/>
      <c r="I604" s="6"/>
      <c r="J604" s="6"/>
      <c r="K604" s="6"/>
      <c r="L604" s="4">
        <f ca="1">_xll.DBRW($B$1,$B$2,$B$7,$B$3,$B$4,$B$5,$F604,$B$6,L$10,$A604,$B604)</f>
        <v>0</v>
      </c>
      <c r="M604" s="4">
        <f ca="1">_xll.DBRW($B$1,$B$2,$B$7,$B$3,$B$4,$B$5,$F604,$B$6,M$10,$A604,$B604)</f>
        <v>0</v>
      </c>
      <c r="N604" s="4">
        <f ca="1">_xll.DBRW($B$1,$B$2,$B$7,$B$3,$B$4,$B$5,$F604,$B$6,N$10,$A604,$B604)</f>
        <v>0</v>
      </c>
      <c r="O604" s="4">
        <f ca="1">_xll.DBRW($B$1,$B$2,$B$7,$B$3,$B$4,$B$5,$F604,$B$6,O$10,$A604,$B604)</f>
        <v>0</v>
      </c>
      <c r="P604" s="4">
        <f ca="1">_xll.DBRW($B$1,$B$2,$B$7,$B$3,$B$4,$B$5,$F604,$B$6,P$10,$A604,$B604)</f>
        <v>0</v>
      </c>
      <c r="Q604" s="4">
        <f ca="1">_xll.DBRW($B$1,$B$2,$B$7,$B$3,$B$4,$B$5,$F604,$B$6,Q$10,$A604,$B604)</f>
        <v>0</v>
      </c>
      <c r="R604" s="4">
        <f ca="1">_xll.DBRW($B$1,$B$2,$B$7,$B$3,$B$4,$B$5,$F604,$B$6,R$10,$A604,$B604)</f>
        <v>0</v>
      </c>
      <c r="S604" s="4">
        <f ca="1">_xll.DBRW($B$1,$B$2,$B$7,$B$3,$B$4,$B$5,$F604,$B$6,S$10,$A604,$B604)</f>
        <v>0</v>
      </c>
      <c r="T604" s="4">
        <f ca="1">_xll.DBRW($B$1,$B$2,$B$7,$B$3,$B$4,$B$5,$F604,$B$6,T$10,$A604,$B604)</f>
        <v>0</v>
      </c>
      <c r="U604" s="4">
        <f ca="1">_xll.DBRW($B$1,$B$2,$B$7,$B$3,$B$4,$B$5,$F604,$B$6,U$10,$A604,$B604)</f>
        <v>0</v>
      </c>
      <c r="V604" s="4">
        <f ca="1">_xll.DBRW($B$1,$B$2,$B$7,$B$3,$B$4,$B$5,$F604,$B$6,V$10,$A604,$B604)</f>
        <v>0</v>
      </c>
      <c r="W604" s="4">
        <f ca="1">_xll.DBRW($B$1,$B$2,$B$7,$B$3,$B$4,$B$5,$F604,$B$6,W$10,$A604,$B604)</f>
        <v>0</v>
      </c>
      <c r="X604" s="4">
        <f ca="1">_xll.DBRW($B$1,$B$2,$B$7,$B$3,$B$4,$B$5,$F604,$B$6,X$10,$A604,$B604)</f>
        <v>0</v>
      </c>
      <c r="Y604" s="4">
        <f ca="1">_xll.DBRW($B$1,$B$2,$B$7,$B$3,$B$4,$B$5,$F604,$B$6,Y$10,$A604,$B604)</f>
        <v>0</v>
      </c>
      <c r="Z604" s="4">
        <f ca="1">_xll.DBRW($B$1,$B$2,$B$7,$B$3,$B$4,$B$5,$F604,$B$6,Z$10,$A604,$B604)</f>
        <v>0</v>
      </c>
      <c r="AA604" s="4">
        <f ca="1">_xll.DBRW($B$1,$B$2,$B$7,$B$3,$B$4,$B$5,$F604,$B$6,AA$10,$A604,$B604)</f>
        <v>0</v>
      </c>
      <c r="AB604" s="4">
        <f ca="1">_xll.DBRW($B$1,$B$2,$B$7,$B$3,$B$4,$B$5,$F604,$B$6,AB$10,$A604,$B604)</f>
        <v>0</v>
      </c>
      <c r="AC604" s="4">
        <f ca="1">_xll.DBRW($B$1,$B$2,$B$7,$B$3,$B$4,$B$5,$F604,$B$6,AC$10,$A604,$B604)</f>
        <v>0</v>
      </c>
      <c r="AD604" s="4">
        <f ca="1">_xll.DBRW($B$1,$B$2,$B$7,$B$3,$B$4,$B$5,$F604,$B$6,AD$10,$A604,$B604)</f>
        <v>0</v>
      </c>
      <c r="AE604" s="4">
        <f ca="1">_xll.DBRW($B$1,$B$2,$B$7,$B$3,$B$4,$B$5,$F604,$B$6,AE$10,$A604,$B604)</f>
        <v>0</v>
      </c>
    </row>
    <row r="605" spans="1:31">
      <c r="A605" s="1" t="s">
        <v>150</v>
      </c>
      <c r="B605" s="5" t="s">
        <v>188</v>
      </c>
      <c r="C605" s="5" t="s">
        <v>189</v>
      </c>
      <c r="D605" s="5" t="s">
        <v>21</v>
      </c>
      <c r="E605" s="5" t="s">
        <v>20</v>
      </c>
      <c r="F605" s="5" t="s">
        <v>317</v>
      </c>
      <c r="G605" s="6"/>
      <c r="H605" s="6"/>
      <c r="I605" s="6"/>
      <c r="J605" s="6"/>
      <c r="K605" s="6"/>
      <c r="L605" s="4">
        <f ca="1">_xll.DBRW($B$1,$B$2,$B$7,$B$3,$B$4,$B$5,$F605,$B$6,L$10,$A605,$B605)</f>
        <v>0</v>
      </c>
      <c r="M605" s="4">
        <f ca="1">_xll.DBRW($B$1,$B$2,$B$7,$B$3,$B$4,$B$5,$F605,$B$6,M$10,$A605,$B605)</f>
        <v>0</v>
      </c>
      <c r="N605" s="4">
        <f ca="1">_xll.DBRW($B$1,$B$2,$B$7,$B$3,$B$4,$B$5,$F605,$B$6,N$10,$A605,$B605)</f>
        <v>0</v>
      </c>
      <c r="O605" s="4">
        <f ca="1">_xll.DBRW($B$1,$B$2,$B$7,$B$3,$B$4,$B$5,$F605,$B$6,O$10,$A605,$B605)</f>
        <v>0</v>
      </c>
      <c r="P605" s="4">
        <f ca="1">_xll.DBRW($B$1,$B$2,$B$7,$B$3,$B$4,$B$5,$F605,$B$6,P$10,$A605,$B605)</f>
        <v>0</v>
      </c>
      <c r="Q605" s="4">
        <f ca="1">_xll.DBRW($B$1,$B$2,$B$7,$B$3,$B$4,$B$5,$F605,$B$6,Q$10,$A605,$B605)</f>
        <v>0</v>
      </c>
      <c r="R605" s="4">
        <f ca="1">_xll.DBRW($B$1,$B$2,$B$7,$B$3,$B$4,$B$5,$F605,$B$6,R$10,$A605,$B605)</f>
        <v>0</v>
      </c>
      <c r="S605" s="4">
        <f ca="1">_xll.DBRW($B$1,$B$2,$B$7,$B$3,$B$4,$B$5,$F605,$B$6,S$10,$A605,$B605)</f>
        <v>0</v>
      </c>
      <c r="T605" s="4">
        <f ca="1">_xll.DBRW($B$1,$B$2,$B$7,$B$3,$B$4,$B$5,$F605,$B$6,T$10,$A605,$B605)</f>
        <v>0</v>
      </c>
      <c r="U605" s="4">
        <f ca="1">_xll.DBRW($B$1,$B$2,$B$7,$B$3,$B$4,$B$5,$F605,$B$6,U$10,$A605,$B605)</f>
        <v>0</v>
      </c>
      <c r="V605" s="4">
        <f ca="1">_xll.DBRW($B$1,$B$2,$B$7,$B$3,$B$4,$B$5,$F605,$B$6,V$10,$A605,$B605)</f>
        <v>0</v>
      </c>
      <c r="W605" s="4">
        <f ca="1">_xll.DBRW($B$1,$B$2,$B$7,$B$3,$B$4,$B$5,$F605,$B$6,W$10,$A605,$B605)</f>
        <v>0</v>
      </c>
      <c r="X605" s="4">
        <f ca="1">_xll.DBRW($B$1,$B$2,$B$7,$B$3,$B$4,$B$5,$F605,$B$6,X$10,$A605,$B605)</f>
        <v>0</v>
      </c>
      <c r="Y605" s="4">
        <f ca="1">_xll.DBRW($B$1,$B$2,$B$7,$B$3,$B$4,$B$5,$F605,$B$6,Y$10,$A605,$B605)</f>
        <v>0</v>
      </c>
      <c r="Z605" s="4">
        <f ca="1">_xll.DBRW($B$1,$B$2,$B$7,$B$3,$B$4,$B$5,$F605,$B$6,Z$10,$A605,$B605)</f>
        <v>0</v>
      </c>
      <c r="AA605" s="4">
        <f ca="1">_xll.DBRW($B$1,$B$2,$B$7,$B$3,$B$4,$B$5,$F605,$B$6,AA$10,$A605,$B605)</f>
        <v>0</v>
      </c>
      <c r="AB605" s="4">
        <f ca="1">_xll.DBRW($B$1,$B$2,$B$7,$B$3,$B$4,$B$5,$F605,$B$6,AB$10,$A605,$B605)</f>
        <v>0</v>
      </c>
      <c r="AC605" s="4">
        <f ca="1">_xll.DBRW($B$1,$B$2,$B$7,$B$3,$B$4,$B$5,$F605,$B$6,AC$10,$A605,$B605)</f>
        <v>0</v>
      </c>
      <c r="AD605" s="4">
        <f ca="1">_xll.DBRW($B$1,$B$2,$B$7,$B$3,$B$4,$B$5,$F605,$B$6,AD$10,$A605,$B605)</f>
        <v>0</v>
      </c>
      <c r="AE605" s="4">
        <f ca="1">_xll.DBRW($B$1,$B$2,$B$7,$B$3,$B$4,$B$5,$F605,$B$6,AE$10,$A605,$B605)</f>
        <v>0</v>
      </c>
    </row>
    <row r="606" spans="1:31">
      <c r="A606" s="1" t="s">
        <v>150</v>
      </c>
      <c r="B606" s="5" t="s">
        <v>18</v>
      </c>
      <c r="C606" s="5" t="s">
        <v>19</v>
      </c>
      <c r="D606" s="5" t="s">
        <v>20</v>
      </c>
      <c r="E606" s="5" t="s">
        <v>21</v>
      </c>
      <c r="F606" s="5" t="s">
        <v>317</v>
      </c>
      <c r="G606" s="6"/>
      <c r="H606" s="6"/>
      <c r="I606" s="6"/>
      <c r="J606" s="6"/>
      <c r="K606" s="6"/>
      <c r="L606" s="4">
        <f ca="1">_xll.DBRW($B$1,$B$2,$B$7,$B$3,$B$4,$B$5,$F606,$B$6,L$10,$A606,$B606)</f>
        <v>0</v>
      </c>
      <c r="M606" s="4">
        <f ca="1">_xll.DBRW($B$1,$B$2,$B$7,$B$3,$B$4,$B$5,$F606,$B$6,M$10,$A606,$B606)</f>
        <v>0</v>
      </c>
      <c r="N606" s="4">
        <f ca="1">_xll.DBRW($B$1,$B$2,$B$7,$B$3,$B$4,$B$5,$F606,$B$6,N$10,$A606,$B606)</f>
        <v>0</v>
      </c>
      <c r="O606" s="4">
        <f ca="1">_xll.DBRW($B$1,$B$2,$B$7,$B$3,$B$4,$B$5,$F606,$B$6,O$10,$A606,$B606)</f>
        <v>0</v>
      </c>
      <c r="P606" s="4">
        <f ca="1">_xll.DBRW($B$1,$B$2,$B$7,$B$3,$B$4,$B$5,$F606,$B$6,P$10,$A606,$B606)</f>
        <v>0</v>
      </c>
      <c r="Q606" s="4">
        <f ca="1">_xll.DBRW($B$1,$B$2,$B$7,$B$3,$B$4,$B$5,$F606,$B$6,Q$10,$A606,$B606)</f>
        <v>0</v>
      </c>
      <c r="R606" s="4">
        <f ca="1">_xll.DBRW($B$1,$B$2,$B$7,$B$3,$B$4,$B$5,$F606,$B$6,R$10,$A606,$B606)</f>
        <v>0</v>
      </c>
      <c r="S606" s="4">
        <f ca="1">_xll.DBRW($B$1,$B$2,$B$7,$B$3,$B$4,$B$5,$F606,$B$6,S$10,$A606,$B606)</f>
        <v>0</v>
      </c>
      <c r="T606" s="4">
        <f ca="1">_xll.DBRW($B$1,$B$2,$B$7,$B$3,$B$4,$B$5,$F606,$B$6,T$10,$A606,$B606)</f>
        <v>0</v>
      </c>
      <c r="U606" s="4">
        <f ca="1">_xll.DBRW($B$1,$B$2,$B$7,$B$3,$B$4,$B$5,$F606,$B$6,U$10,$A606,$B606)</f>
        <v>0</v>
      </c>
      <c r="V606" s="4">
        <f ca="1">_xll.DBRW($B$1,$B$2,$B$7,$B$3,$B$4,$B$5,$F606,$B$6,V$10,$A606,$B606)</f>
        <v>0</v>
      </c>
      <c r="W606" s="4">
        <f ca="1">_xll.DBRW($B$1,$B$2,$B$7,$B$3,$B$4,$B$5,$F606,$B$6,W$10,$A606,$B606)</f>
        <v>0</v>
      </c>
      <c r="X606" s="4">
        <f ca="1">_xll.DBRW($B$1,$B$2,$B$7,$B$3,$B$4,$B$5,$F606,$B$6,X$10,$A606,$B606)</f>
        <v>0</v>
      </c>
      <c r="Y606" s="4">
        <f ca="1">_xll.DBRW($B$1,$B$2,$B$7,$B$3,$B$4,$B$5,$F606,$B$6,Y$10,$A606,$B606)</f>
        <v>0</v>
      </c>
      <c r="Z606" s="4">
        <f ca="1">_xll.DBRW($B$1,$B$2,$B$7,$B$3,$B$4,$B$5,$F606,$B$6,Z$10,$A606,$B606)</f>
        <v>0</v>
      </c>
      <c r="AA606" s="4">
        <f ca="1">_xll.DBRW($B$1,$B$2,$B$7,$B$3,$B$4,$B$5,$F606,$B$6,AA$10,$A606,$B606)</f>
        <v>0</v>
      </c>
      <c r="AB606" s="4">
        <f ca="1">_xll.DBRW($B$1,$B$2,$B$7,$B$3,$B$4,$B$5,$F606,$B$6,AB$10,$A606,$B606)</f>
        <v>0</v>
      </c>
      <c r="AC606" s="4">
        <f ca="1">_xll.DBRW($B$1,$B$2,$B$7,$B$3,$B$4,$B$5,$F606,$B$6,AC$10,$A606,$B606)</f>
        <v>0</v>
      </c>
      <c r="AD606" s="4">
        <f ca="1">_xll.DBRW($B$1,$B$2,$B$7,$B$3,$B$4,$B$5,$F606,$B$6,AD$10,$A606,$B606)</f>
        <v>0</v>
      </c>
      <c r="AE606" s="4">
        <f ca="1">_xll.DBRW($B$1,$B$2,$B$7,$B$3,$B$4,$B$5,$F606,$B$6,AE$10,$A606,$B606)</f>
        <v>0</v>
      </c>
    </row>
    <row r="607" spans="1:31">
      <c r="A607" s="1" t="s">
        <v>150</v>
      </c>
      <c r="B607" s="5" t="s">
        <v>190</v>
      </c>
      <c r="C607" s="5" t="s">
        <v>191</v>
      </c>
      <c r="D607" s="5" t="s">
        <v>21</v>
      </c>
      <c r="E607" s="5" t="s">
        <v>73</v>
      </c>
      <c r="F607" s="5" t="s">
        <v>317</v>
      </c>
      <c r="G607" s="6"/>
      <c r="H607" s="6"/>
      <c r="I607" s="6"/>
      <c r="J607" s="6"/>
      <c r="K607" s="6"/>
      <c r="L607" s="4">
        <f ca="1">_xll.DBRW($B$1,$B$2,$B$7,$B$3,$B$4,$B$5,$F607,$B$6,L$10,$A607,$B607)</f>
        <v>31</v>
      </c>
      <c r="M607" s="4">
        <f ca="1">_xll.DBRW($B$1,$B$2,$B$7,$B$3,$B$4,$B$5,$F607,$B$6,M$10,$A607,$B607)</f>
        <v>30</v>
      </c>
      <c r="N607" s="4">
        <f ca="1">_xll.DBRW($B$1,$B$2,$B$7,$B$3,$B$4,$B$5,$F607,$B$6,N$10,$A607,$B607)</f>
        <v>31</v>
      </c>
      <c r="O607" s="4">
        <f ca="1">_xll.DBRW($B$1,$B$2,$B$7,$B$3,$B$4,$B$5,$F607,$B$6,O$10,$A607,$B607)</f>
        <v>31</v>
      </c>
      <c r="P607" s="4">
        <f ca="1">_xll.DBRW($B$1,$B$2,$B$7,$B$3,$B$4,$B$5,$F607,$B$6,P$10,$A607,$B607)</f>
        <v>30</v>
      </c>
      <c r="Q607" s="4">
        <f ca="1">_xll.DBRW($B$1,$B$2,$B$7,$B$3,$B$4,$B$5,$F607,$B$6,Q$10,$A607,$B607)</f>
        <v>31</v>
      </c>
      <c r="R607" s="4">
        <f ca="1">_xll.DBRW($B$1,$B$2,$B$7,$B$3,$B$4,$B$5,$F607,$B$6,R$10,$A607,$B607)</f>
        <v>30</v>
      </c>
      <c r="S607" s="4">
        <f ca="1">_xll.DBRW($B$1,$B$2,$B$7,$B$3,$B$4,$B$5,$F607,$B$6,S$10,$A607,$B607)</f>
        <v>31</v>
      </c>
      <c r="T607" s="4">
        <f ca="1">_xll.DBRW($B$1,$B$2,$B$7,$B$3,$B$4,$B$5,$F607,$B$6,T$10,$A607,$B607)</f>
        <v>31</v>
      </c>
      <c r="U607" s="4">
        <f ca="1">_xll.DBRW($B$1,$B$2,$B$7,$B$3,$B$4,$B$5,$F607,$B$6,U$10,$A607,$B607)</f>
        <v>28</v>
      </c>
      <c r="V607" s="4">
        <f ca="1">_xll.DBRW($B$1,$B$2,$B$7,$B$3,$B$4,$B$5,$F607,$B$6,V$10,$A607,$B607)</f>
        <v>31</v>
      </c>
      <c r="W607" s="4">
        <f ca="1">_xll.DBRW($B$1,$B$2,$B$7,$B$3,$B$4,$B$5,$F607,$B$6,W$10,$A607,$B607)</f>
        <v>30</v>
      </c>
      <c r="X607" s="4">
        <f ca="1">_xll.DBRW($B$1,$B$2,$B$7,$B$3,$B$4,$B$5,$F607,$B$6,X$10,$A607,$B607)</f>
        <v>31</v>
      </c>
      <c r="Y607" s="4">
        <f ca="1">_xll.DBRW($B$1,$B$2,$B$7,$B$3,$B$4,$B$5,$F607,$B$6,Y$10,$A607,$B607)</f>
        <v>30</v>
      </c>
      <c r="Z607" s="4">
        <f ca="1">_xll.DBRW($B$1,$B$2,$B$7,$B$3,$B$4,$B$5,$F607,$B$6,Z$10,$A607,$B607)</f>
        <v>31</v>
      </c>
      <c r="AA607" s="4">
        <f ca="1">_xll.DBRW($B$1,$B$2,$B$7,$B$3,$B$4,$B$5,$F607,$B$6,AA$10,$A607,$B607)</f>
        <v>31</v>
      </c>
      <c r="AB607" s="4">
        <f ca="1">_xll.DBRW($B$1,$B$2,$B$7,$B$3,$B$4,$B$5,$F607,$B$6,AB$10,$A607,$B607)</f>
        <v>30</v>
      </c>
      <c r="AC607" s="4">
        <f ca="1">_xll.DBRW($B$1,$B$2,$B$7,$B$3,$B$4,$B$5,$F607,$B$6,AC$10,$A607,$B607)</f>
        <v>31</v>
      </c>
      <c r="AD607" s="4">
        <f ca="1">_xll.DBRW($B$1,$B$2,$B$7,$B$3,$B$4,$B$5,$F607,$B$6,AD$10,$A607,$B607)</f>
        <v>30</v>
      </c>
      <c r="AE607" s="4">
        <f ca="1">_xll.DBRW($B$1,$B$2,$B$7,$B$3,$B$4,$B$5,$F607,$B$6,AE$10,$A607,$B607)</f>
        <v>31</v>
      </c>
    </row>
    <row r="608" spans="1:31">
      <c r="A608" s="1" t="s">
        <v>150</v>
      </c>
      <c r="B608" s="5" t="s">
        <v>71</v>
      </c>
      <c r="C608" s="5" t="s">
        <v>72</v>
      </c>
      <c r="D608" s="5" t="s">
        <v>73</v>
      </c>
      <c r="E608" s="5" t="s">
        <v>21</v>
      </c>
      <c r="F608" s="5" t="s">
        <v>317</v>
      </c>
      <c r="G608" s="6"/>
      <c r="H608" s="6"/>
      <c r="I608" s="6"/>
      <c r="J608" s="6"/>
      <c r="K608" s="6"/>
      <c r="L608" s="4">
        <f ca="1">_xll.DBRW($B$1,$B$2,$B$7,$B$3,$B$4,$B$5,$F608,$B$6,L$10,$A608,$B608)</f>
        <v>31</v>
      </c>
      <c r="M608" s="4">
        <f ca="1">_xll.DBRW($B$1,$B$2,$B$7,$B$3,$B$4,$B$5,$F608,$B$6,M$10,$A608,$B608)</f>
        <v>30</v>
      </c>
      <c r="N608" s="4">
        <f ca="1">_xll.DBRW($B$1,$B$2,$B$7,$B$3,$B$4,$B$5,$F608,$B$6,N$10,$A608,$B608)</f>
        <v>31</v>
      </c>
      <c r="O608" s="4">
        <f ca="1">_xll.DBRW($B$1,$B$2,$B$7,$B$3,$B$4,$B$5,$F608,$B$6,O$10,$A608,$B608)</f>
        <v>31</v>
      </c>
      <c r="P608" s="4">
        <f ca="1">_xll.DBRW($B$1,$B$2,$B$7,$B$3,$B$4,$B$5,$F608,$B$6,P$10,$A608,$B608)</f>
        <v>30</v>
      </c>
      <c r="Q608" s="4">
        <f ca="1">_xll.DBRW($B$1,$B$2,$B$7,$B$3,$B$4,$B$5,$F608,$B$6,Q$10,$A608,$B608)</f>
        <v>31</v>
      </c>
      <c r="R608" s="4">
        <f ca="1">_xll.DBRW($B$1,$B$2,$B$7,$B$3,$B$4,$B$5,$F608,$B$6,R$10,$A608,$B608)</f>
        <v>30</v>
      </c>
      <c r="S608" s="4">
        <f ca="1">_xll.DBRW($B$1,$B$2,$B$7,$B$3,$B$4,$B$5,$F608,$B$6,S$10,$A608,$B608)</f>
        <v>31</v>
      </c>
      <c r="T608" s="4">
        <f ca="1">_xll.DBRW($B$1,$B$2,$B$7,$B$3,$B$4,$B$5,$F608,$B$6,T$10,$A608,$B608)</f>
        <v>31</v>
      </c>
      <c r="U608" s="4">
        <f ca="1">_xll.DBRW($B$1,$B$2,$B$7,$B$3,$B$4,$B$5,$F608,$B$6,U$10,$A608,$B608)</f>
        <v>28</v>
      </c>
      <c r="V608" s="4">
        <f ca="1">_xll.DBRW($B$1,$B$2,$B$7,$B$3,$B$4,$B$5,$F608,$B$6,V$10,$A608,$B608)</f>
        <v>31</v>
      </c>
      <c r="W608" s="4">
        <f ca="1">_xll.DBRW($B$1,$B$2,$B$7,$B$3,$B$4,$B$5,$F608,$B$6,W$10,$A608,$B608)</f>
        <v>30</v>
      </c>
      <c r="X608" s="4">
        <f ca="1">_xll.DBRW($B$1,$B$2,$B$7,$B$3,$B$4,$B$5,$F608,$B$6,X$10,$A608,$B608)</f>
        <v>31</v>
      </c>
      <c r="Y608" s="4">
        <f ca="1">_xll.DBRW($B$1,$B$2,$B$7,$B$3,$B$4,$B$5,$F608,$B$6,Y$10,$A608,$B608)</f>
        <v>30</v>
      </c>
      <c r="Z608" s="4">
        <f ca="1">_xll.DBRW($B$1,$B$2,$B$7,$B$3,$B$4,$B$5,$F608,$B$6,Z$10,$A608,$B608)</f>
        <v>31</v>
      </c>
      <c r="AA608" s="4">
        <f ca="1">_xll.DBRW($B$1,$B$2,$B$7,$B$3,$B$4,$B$5,$F608,$B$6,AA$10,$A608,$B608)</f>
        <v>31</v>
      </c>
      <c r="AB608" s="4">
        <f ca="1">_xll.DBRW($B$1,$B$2,$B$7,$B$3,$B$4,$B$5,$F608,$B$6,AB$10,$A608,$B608)</f>
        <v>30</v>
      </c>
      <c r="AC608" s="4">
        <f ca="1">_xll.DBRW($B$1,$B$2,$B$7,$B$3,$B$4,$B$5,$F608,$B$6,AC$10,$A608,$B608)</f>
        <v>31</v>
      </c>
      <c r="AD608" s="4">
        <f ca="1">_xll.DBRW($B$1,$B$2,$B$7,$B$3,$B$4,$B$5,$F608,$B$6,AD$10,$A608,$B608)</f>
        <v>30</v>
      </c>
      <c r="AE608" s="4">
        <f ca="1">_xll.DBRW($B$1,$B$2,$B$7,$B$3,$B$4,$B$5,$F608,$B$6,AE$10,$A608,$B608)</f>
        <v>30</v>
      </c>
    </row>
    <row r="609" spans="1:31">
      <c r="A609" s="1" t="s">
        <v>150</v>
      </c>
      <c r="B609" s="5" t="s">
        <v>192</v>
      </c>
      <c r="C609" s="5" t="s">
        <v>193</v>
      </c>
      <c r="D609" s="5" t="s">
        <v>21</v>
      </c>
      <c r="E609" s="5" t="s">
        <v>194</v>
      </c>
      <c r="F609" s="5" t="s">
        <v>317</v>
      </c>
      <c r="G609" s="6"/>
      <c r="H609" s="6"/>
      <c r="I609" s="6"/>
      <c r="J609" s="6"/>
      <c r="K609" s="6"/>
      <c r="L609" s="4">
        <f ca="1">_xll.DBRW($B$1,$B$2,$B$7,$B$3,$B$4,$B$5,$F609,$B$6,L$10,$A609,$B609)</f>
        <v>9</v>
      </c>
      <c r="M609" s="4">
        <f ca="1">_xll.DBRW($B$1,$B$2,$B$7,$B$3,$B$4,$B$5,$F609,$B$6,M$10,$A609,$B609)</f>
        <v>8</v>
      </c>
      <c r="N609" s="4">
        <f ca="1">_xll.DBRW($B$1,$B$2,$B$7,$B$3,$B$4,$B$5,$F609,$B$6,N$10,$A609,$B609)</f>
        <v>9</v>
      </c>
      <c r="O609" s="4">
        <f ca="1">_xll.DBRW($B$1,$B$2,$B$7,$B$3,$B$4,$B$5,$F609,$B$6,O$10,$A609,$B609)</f>
        <v>9</v>
      </c>
      <c r="P609" s="4">
        <f ca="1">_xll.DBRW($B$1,$B$2,$B$7,$B$3,$B$4,$B$5,$F609,$B$6,P$10,$A609,$B609)</f>
        <v>9</v>
      </c>
      <c r="Q609" s="4">
        <f ca="1">_xll.DBRW($B$1,$B$2,$B$7,$B$3,$B$4,$B$5,$F609,$B$6,Q$10,$A609,$B609)</f>
        <v>11</v>
      </c>
      <c r="R609" s="4">
        <f ca="1">_xll.DBRW($B$1,$B$2,$B$7,$B$3,$B$4,$B$5,$F609,$B$6,R$10,$A609,$B609)</f>
        <v>12</v>
      </c>
      <c r="S609" s="4">
        <f ca="1">_xll.DBRW($B$1,$B$2,$B$7,$B$3,$B$4,$B$5,$F609,$B$6,S$10,$A609,$B609)</f>
        <v>14</v>
      </c>
      <c r="T609" s="4">
        <f ca="1">_xll.DBRW($B$1,$B$2,$B$7,$B$3,$B$4,$B$5,$F609,$B$6,T$10,$A609,$B609)</f>
        <v>13</v>
      </c>
      <c r="U609" s="4">
        <f ca="1">_xll.DBRW($B$1,$B$2,$B$7,$B$3,$B$4,$B$5,$F609,$B$6,U$10,$A609,$B609)</f>
        <v>12</v>
      </c>
      <c r="V609" s="4">
        <f ca="1">_xll.DBRW($B$1,$B$2,$B$7,$B$3,$B$4,$B$5,$F609,$B$6,V$10,$A609,$B609)</f>
        <v>13</v>
      </c>
      <c r="W609" s="4">
        <f ca="1">_xll.DBRW($B$1,$B$2,$B$7,$B$3,$B$4,$B$5,$F609,$B$6,W$10,$A609,$B609)</f>
        <v>8</v>
      </c>
      <c r="X609" s="4">
        <f ca="1">_xll.DBRW($B$1,$B$2,$B$7,$B$3,$B$4,$B$5,$F609,$B$6,X$10,$A609,$B609)</f>
        <v>9</v>
      </c>
      <c r="Y609" s="4">
        <f ca="1">_xll.DBRW($B$1,$B$2,$B$7,$B$3,$B$4,$B$5,$F609,$B$6,Y$10,$A609,$B609)</f>
        <v>9</v>
      </c>
      <c r="Z609" s="4">
        <f ca="1">_xll.DBRW($B$1,$B$2,$B$7,$B$3,$B$4,$B$5,$F609,$B$6,Z$10,$A609,$B609)</f>
        <v>8</v>
      </c>
      <c r="AA609" s="4">
        <f ca="1">_xll.DBRW($B$1,$B$2,$B$7,$B$3,$B$4,$B$5,$F609,$B$6,AA$10,$A609,$B609)</f>
        <v>9</v>
      </c>
      <c r="AB609" s="4">
        <f ca="1">_xll.DBRW($B$1,$B$2,$B$7,$B$3,$B$4,$B$5,$F609,$B$6,AB$10,$A609,$B609)</f>
        <v>9</v>
      </c>
      <c r="AC609" s="4">
        <f ca="1">_xll.DBRW($B$1,$B$2,$B$7,$B$3,$B$4,$B$5,$F609,$B$6,AC$10,$A609,$B609)</f>
        <v>10</v>
      </c>
      <c r="AD609" s="4">
        <f ca="1">_xll.DBRW($B$1,$B$2,$B$7,$B$3,$B$4,$B$5,$F609,$B$6,AD$10,$A609,$B609)</f>
        <v>13</v>
      </c>
      <c r="AE609" s="4">
        <f ca="1">_xll.DBRW($B$1,$B$2,$B$7,$B$3,$B$4,$B$5,$F609,$B$6,AE$10,$A609,$B609)</f>
        <v>13</v>
      </c>
    </row>
    <row r="610" spans="1:31">
      <c r="A610" s="1" t="s">
        <v>150</v>
      </c>
      <c r="B610" s="5" t="s">
        <v>195</v>
      </c>
      <c r="C610" s="5" t="s">
        <v>196</v>
      </c>
      <c r="D610" s="5" t="s">
        <v>194</v>
      </c>
      <c r="E610" s="5" t="s">
        <v>21</v>
      </c>
      <c r="F610" s="5" t="s">
        <v>317</v>
      </c>
      <c r="G610" s="6"/>
      <c r="H610" s="6"/>
      <c r="I610" s="6"/>
      <c r="J610" s="6"/>
      <c r="K610" s="6"/>
      <c r="L610" s="4">
        <f ca="1">_xll.DBRW($B$1,$B$2,$B$7,$B$3,$B$4,$B$5,$F610,$B$6,L$10,$A610,$B610)</f>
        <v>9</v>
      </c>
      <c r="M610" s="4">
        <f ca="1">_xll.DBRW($B$1,$B$2,$B$7,$B$3,$B$4,$B$5,$F610,$B$6,M$10,$A610,$B610)</f>
        <v>8</v>
      </c>
      <c r="N610" s="4">
        <f ca="1">_xll.DBRW($B$1,$B$2,$B$7,$B$3,$B$4,$B$5,$F610,$B$6,N$10,$A610,$B610)</f>
        <v>9</v>
      </c>
      <c r="O610" s="4">
        <f ca="1">_xll.DBRW($B$1,$B$2,$B$7,$B$3,$B$4,$B$5,$F610,$B$6,O$10,$A610,$B610)</f>
        <v>9</v>
      </c>
      <c r="P610" s="4">
        <f ca="1">_xll.DBRW($B$1,$B$2,$B$7,$B$3,$B$4,$B$5,$F610,$B$6,P$10,$A610,$B610)</f>
        <v>9</v>
      </c>
      <c r="Q610" s="4">
        <f ca="1">_xll.DBRW($B$1,$B$2,$B$7,$B$3,$B$4,$B$5,$F610,$B$6,Q$10,$A610,$B610)</f>
        <v>10</v>
      </c>
      <c r="R610" s="4">
        <f ca="1">_xll.DBRW($B$1,$B$2,$B$7,$B$3,$B$4,$B$5,$F610,$B$6,R$10,$A610,$B610)</f>
        <v>12</v>
      </c>
      <c r="S610" s="4">
        <f ca="1">_xll.DBRW($B$1,$B$2,$B$7,$B$3,$B$4,$B$5,$F610,$B$6,S$10,$A610,$B610)</f>
        <v>14</v>
      </c>
      <c r="T610" s="4">
        <f ca="1">_xll.DBRW($B$1,$B$2,$B$7,$B$3,$B$4,$B$5,$F610,$B$6,T$10,$A610,$B610)</f>
        <v>13</v>
      </c>
      <c r="U610" s="4">
        <f ca="1">_xll.DBRW($B$1,$B$2,$B$7,$B$3,$B$4,$B$5,$F610,$B$6,U$10,$A610,$B610)</f>
        <v>12</v>
      </c>
      <c r="V610" s="4">
        <f ca="1">_xll.DBRW($B$1,$B$2,$B$7,$B$3,$B$4,$B$5,$F610,$B$6,V$10,$A610,$B610)</f>
        <v>13</v>
      </c>
      <c r="W610" s="4">
        <f ca="1">_xll.DBRW($B$1,$B$2,$B$7,$B$3,$B$4,$B$5,$F610,$B$6,W$10,$A610,$B610)</f>
        <v>8</v>
      </c>
      <c r="X610" s="4">
        <f ca="1">_xll.DBRW($B$1,$B$2,$B$7,$B$3,$B$4,$B$5,$F610,$B$6,X$10,$A610,$B610)</f>
        <v>9</v>
      </c>
      <c r="Y610" s="4">
        <f ca="1">_xll.DBRW($B$1,$B$2,$B$7,$B$3,$B$4,$B$5,$F610,$B$6,Y$10,$A610,$B610)</f>
        <v>9</v>
      </c>
      <c r="Z610" s="4">
        <f ca="1">_xll.DBRW($B$1,$B$2,$B$7,$B$3,$B$4,$B$5,$F610,$B$6,Z$10,$A610,$B610)</f>
        <v>8</v>
      </c>
      <c r="AA610" s="4">
        <f ca="1">_xll.DBRW($B$1,$B$2,$B$7,$B$3,$B$4,$B$5,$F610,$B$6,AA$10,$A610,$B610)</f>
        <v>9</v>
      </c>
      <c r="AB610" s="4">
        <f ca="1">_xll.DBRW($B$1,$B$2,$B$7,$B$3,$B$4,$B$5,$F610,$B$6,AB$10,$A610,$B610)</f>
        <v>9</v>
      </c>
      <c r="AC610" s="4">
        <f ca="1">_xll.DBRW($B$1,$B$2,$B$7,$B$3,$B$4,$B$5,$F610,$B$6,AC$10,$A610,$B610)</f>
        <v>10</v>
      </c>
      <c r="AD610" s="4">
        <f ca="1">_xll.DBRW($B$1,$B$2,$B$7,$B$3,$B$4,$B$5,$F610,$B$6,AD$10,$A610,$B610)</f>
        <v>13</v>
      </c>
      <c r="AE610" s="4">
        <f ca="1">_xll.DBRW($B$1,$B$2,$B$7,$B$3,$B$4,$B$5,$F610,$B$6,AE$10,$A610,$B610)</f>
        <v>13</v>
      </c>
    </row>
    <row r="611" spans="1:31">
      <c r="A611" s="1" t="s">
        <v>150</v>
      </c>
      <c r="B611" s="5" t="s">
        <v>197</v>
      </c>
      <c r="C611" s="5" t="s">
        <v>198</v>
      </c>
      <c r="D611" s="5" t="s">
        <v>28</v>
      </c>
      <c r="E611" s="5" t="s">
        <v>20</v>
      </c>
      <c r="F611" s="5" t="s">
        <v>317</v>
      </c>
      <c r="G611" s="6"/>
      <c r="H611" s="6"/>
      <c r="I611" s="6"/>
      <c r="J611" s="6"/>
      <c r="K611" s="6"/>
      <c r="L611" s="4">
        <f ca="1">_xll.DBRW($B$1,$B$2,$B$7,$B$3,$B$4,$B$5,$F611,$B$6,L$10,$A611,$B611)</f>
        <v>0</v>
      </c>
      <c r="M611" s="4">
        <f ca="1">_xll.DBRW($B$1,$B$2,$B$7,$B$3,$B$4,$B$5,$F611,$B$6,M$10,$A611,$B611)</f>
        <v>0</v>
      </c>
      <c r="N611" s="4">
        <f ca="1">_xll.DBRW($B$1,$B$2,$B$7,$B$3,$B$4,$B$5,$F611,$B$6,N$10,$A611,$B611)</f>
        <v>0</v>
      </c>
      <c r="O611" s="4">
        <f ca="1">_xll.DBRW($B$1,$B$2,$B$7,$B$3,$B$4,$B$5,$F611,$B$6,O$10,$A611,$B611)</f>
        <v>0</v>
      </c>
      <c r="P611" s="4">
        <f ca="1">_xll.DBRW($B$1,$B$2,$B$7,$B$3,$B$4,$B$5,$F611,$B$6,P$10,$A611,$B611)</f>
        <v>0</v>
      </c>
      <c r="Q611" s="4">
        <f ca="1">_xll.DBRW($B$1,$B$2,$B$7,$B$3,$B$4,$B$5,$F611,$B$6,Q$10,$A611,$B611)</f>
        <v>0</v>
      </c>
      <c r="R611" s="4">
        <f ca="1">_xll.DBRW($B$1,$B$2,$B$7,$B$3,$B$4,$B$5,$F611,$B$6,R$10,$A611,$B611)</f>
        <v>0</v>
      </c>
      <c r="S611" s="4">
        <f ca="1">_xll.DBRW($B$1,$B$2,$B$7,$B$3,$B$4,$B$5,$F611,$B$6,S$10,$A611,$B611)</f>
        <v>0</v>
      </c>
      <c r="T611" s="4">
        <f ca="1">_xll.DBRW($B$1,$B$2,$B$7,$B$3,$B$4,$B$5,$F611,$B$6,T$10,$A611,$B611)</f>
        <v>0</v>
      </c>
      <c r="U611" s="4">
        <f ca="1">_xll.DBRW($B$1,$B$2,$B$7,$B$3,$B$4,$B$5,$F611,$B$6,U$10,$A611,$B611)</f>
        <v>0</v>
      </c>
      <c r="V611" s="4">
        <f ca="1">_xll.DBRW($B$1,$B$2,$B$7,$B$3,$B$4,$B$5,$F611,$B$6,V$10,$A611,$B611)</f>
        <v>0</v>
      </c>
      <c r="W611" s="4">
        <f ca="1">_xll.DBRW($B$1,$B$2,$B$7,$B$3,$B$4,$B$5,$F611,$B$6,W$10,$A611,$B611)</f>
        <v>0</v>
      </c>
      <c r="X611" s="4">
        <f ca="1">_xll.DBRW($B$1,$B$2,$B$7,$B$3,$B$4,$B$5,$F611,$B$6,X$10,$A611,$B611)</f>
        <v>0</v>
      </c>
      <c r="Y611" s="4">
        <f ca="1">_xll.DBRW($B$1,$B$2,$B$7,$B$3,$B$4,$B$5,$F611,$B$6,Y$10,$A611,$B611)</f>
        <v>0</v>
      </c>
      <c r="Z611" s="4">
        <f ca="1">_xll.DBRW($B$1,$B$2,$B$7,$B$3,$B$4,$B$5,$F611,$B$6,Z$10,$A611,$B611)</f>
        <v>0</v>
      </c>
      <c r="AA611" s="4">
        <f ca="1">_xll.DBRW($B$1,$B$2,$B$7,$B$3,$B$4,$B$5,$F611,$B$6,AA$10,$A611,$B611)</f>
        <v>0</v>
      </c>
      <c r="AB611" s="4">
        <f ca="1">_xll.DBRW($B$1,$B$2,$B$7,$B$3,$B$4,$B$5,$F611,$B$6,AB$10,$A611,$B611)</f>
        <v>0</v>
      </c>
      <c r="AC611" s="4">
        <f ca="1">_xll.DBRW($B$1,$B$2,$B$7,$B$3,$B$4,$B$5,$F611,$B$6,AC$10,$A611,$B611)</f>
        <v>0</v>
      </c>
      <c r="AD611" s="4">
        <f ca="1">_xll.DBRW($B$1,$B$2,$B$7,$B$3,$B$4,$B$5,$F611,$B$6,AD$10,$A611,$B611)</f>
        <v>0</v>
      </c>
      <c r="AE611" s="4">
        <f ca="1">_xll.DBRW($B$1,$B$2,$B$7,$B$3,$B$4,$B$5,$F611,$B$6,AE$10,$A611,$B611)</f>
        <v>0</v>
      </c>
    </row>
    <row r="612" spans="1:31">
      <c r="A612" s="1" t="s">
        <v>150</v>
      </c>
      <c r="B612" s="5" t="s">
        <v>26</v>
      </c>
      <c r="C612" s="5" t="s">
        <v>27</v>
      </c>
      <c r="D612" s="5" t="s">
        <v>20</v>
      </c>
      <c r="E612" s="5" t="s">
        <v>28</v>
      </c>
      <c r="F612" s="5" t="s">
        <v>317</v>
      </c>
      <c r="G612" s="6"/>
      <c r="H612" s="6"/>
      <c r="I612" s="6"/>
      <c r="J612" s="6"/>
      <c r="K612" s="6"/>
      <c r="L612" s="4">
        <f ca="1">_xll.DBRW($B$1,$B$2,$B$7,$B$3,$B$4,$B$5,$F612,$B$6,L$10,$A612,$B612)</f>
        <v>0</v>
      </c>
      <c r="M612" s="4">
        <f ca="1">_xll.DBRW($B$1,$B$2,$B$7,$B$3,$B$4,$B$5,$F612,$B$6,M$10,$A612,$B612)</f>
        <v>0</v>
      </c>
      <c r="N612" s="4">
        <f ca="1">_xll.DBRW($B$1,$B$2,$B$7,$B$3,$B$4,$B$5,$F612,$B$6,N$10,$A612,$B612)</f>
        <v>0</v>
      </c>
      <c r="O612" s="4">
        <f ca="1">_xll.DBRW($B$1,$B$2,$B$7,$B$3,$B$4,$B$5,$F612,$B$6,O$10,$A612,$B612)</f>
        <v>0</v>
      </c>
      <c r="P612" s="4">
        <f ca="1">_xll.DBRW($B$1,$B$2,$B$7,$B$3,$B$4,$B$5,$F612,$B$6,P$10,$A612,$B612)</f>
        <v>0</v>
      </c>
      <c r="Q612" s="4">
        <f ca="1">_xll.DBRW($B$1,$B$2,$B$7,$B$3,$B$4,$B$5,$F612,$B$6,Q$10,$A612,$B612)</f>
        <v>0</v>
      </c>
      <c r="R612" s="4">
        <f ca="1">_xll.DBRW($B$1,$B$2,$B$7,$B$3,$B$4,$B$5,$F612,$B$6,R$10,$A612,$B612)</f>
        <v>0</v>
      </c>
      <c r="S612" s="4">
        <f ca="1">_xll.DBRW($B$1,$B$2,$B$7,$B$3,$B$4,$B$5,$F612,$B$6,S$10,$A612,$B612)</f>
        <v>0</v>
      </c>
      <c r="T612" s="4">
        <f ca="1">_xll.DBRW($B$1,$B$2,$B$7,$B$3,$B$4,$B$5,$F612,$B$6,T$10,$A612,$B612)</f>
        <v>0</v>
      </c>
      <c r="U612" s="4">
        <f ca="1">_xll.DBRW($B$1,$B$2,$B$7,$B$3,$B$4,$B$5,$F612,$B$6,U$10,$A612,$B612)</f>
        <v>0</v>
      </c>
      <c r="V612" s="4">
        <f ca="1">_xll.DBRW($B$1,$B$2,$B$7,$B$3,$B$4,$B$5,$F612,$B$6,V$10,$A612,$B612)</f>
        <v>0</v>
      </c>
      <c r="W612" s="4">
        <f ca="1">_xll.DBRW($B$1,$B$2,$B$7,$B$3,$B$4,$B$5,$F612,$B$6,W$10,$A612,$B612)</f>
        <v>0</v>
      </c>
      <c r="X612" s="4">
        <f ca="1">_xll.DBRW($B$1,$B$2,$B$7,$B$3,$B$4,$B$5,$F612,$B$6,X$10,$A612,$B612)</f>
        <v>0</v>
      </c>
      <c r="Y612" s="4">
        <f ca="1">_xll.DBRW($B$1,$B$2,$B$7,$B$3,$B$4,$B$5,$F612,$B$6,Y$10,$A612,$B612)</f>
        <v>0</v>
      </c>
      <c r="Z612" s="4">
        <f ca="1">_xll.DBRW($B$1,$B$2,$B$7,$B$3,$B$4,$B$5,$F612,$B$6,Z$10,$A612,$B612)</f>
        <v>0</v>
      </c>
      <c r="AA612" s="4">
        <f ca="1">_xll.DBRW($B$1,$B$2,$B$7,$B$3,$B$4,$B$5,$F612,$B$6,AA$10,$A612,$B612)</f>
        <v>0</v>
      </c>
      <c r="AB612" s="4">
        <f ca="1">_xll.DBRW($B$1,$B$2,$B$7,$B$3,$B$4,$B$5,$F612,$B$6,AB$10,$A612,$B612)</f>
        <v>0</v>
      </c>
      <c r="AC612" s="4">
        <f ca="1">_xll.DBRW($B$1,$B$2,$B$7,$B$3,$B$4,$B$5,$F612,$B$6,AC$10,$A612,$B612)</f>
        <v>0</v>
      </c>
      <c r="AD612" s="4">
        <f ca="1">_xll.DBRW($B$1,$B$2,$B$7,$B$3,$B$4,$B$5,$F612,$B$6,AD$10,$A612,$B612)</f>
        <v>0</v>
      </c>
      <c r="AE612" s="4">
        <f ca="1">_xll.DBRW($B$1,$B$2,$B$7,$B$3,$B$4,$B$5,$F612,$B$6,AE$10,$A612,$B612)</f>
        <v>0</v>
      </c>
    </row>
    <row r="613" spans="1:31">
      <c r="A613" s="1" t="s">
        <v>150</v>
      </c>
      <c r="B613" s="5" t="s">
        <v>199</v>
      </c>
      <c r="C613" s="5" t="s">
        <v>189</v>
      </c>
      <c r="D613" s="5" t="s">
        <v>21</v>
      </c>
      <c r="E613" s="5" t="s">
        <v>20</v>
      </c>
      <c r="F613" s="5" t="s">
        <v>317</v>
      </c>
      <c r="G613" s="6"/>
      <c r="H613" s="6"/>
      <c r="I613" s="6"/>
      <c r="J613" s="6"/>
      <c r="K613" s="6"/>
      <c r="L613" s="4">
        <f ca="1">_xll.DBRW($B$1,$B$2,$B$7,$B$3,$B$4,$B$5,$F613,$B$6,L$10,$A613,$B613)</f>
        <v>0</v>
      </c>
      <c r="M613" s="4">
        <f ca="1">_xll.DBRW($B$1,$B$2,$B$7,$B$3,$B$4,$B$5,$F613,$B$6,M$10,$A613,$B613)</f>
        <v>0</v>
      </c>
      <c r="N613" s="4">
        <f ca="1">_xll.DBRW($B$1,$B$2,$B$7,$B$3,$B$4,$B$5,$F613,$B$6,N$10,$A613,$B613)</f>
        <v>0</v>
      </c>
      <c r="O613" s="4">
        <f ca="1">_xll.DBRW($B$1,$B$2,$B$7,$B$3,$B$4,$B$5,$F613,$B$6,O$10,$A613,$B613)</f>
        <v>0</v>
      </c>
      <c r="P613" s="4">
        <f ca="1">_xll.DBRW($B$1,$B$2,$B$7,$B$3,$B$4,$B$5,$F613,$B$6,P$10,$A613,$B613)</f>
        <v>0</v>
      </c>
      <c r="Q613" s="4">
        <f ca="1">_xll.DBRW($B$1,$B$2,$B$7,$B$3,$B$4,$B$5,$F613,$B$6,Q$10,$A613,$B613)</f>
        <v>0</v>
      </c>
      <c r="R613" s="4">
        <f ca="1">_xll.DBRW($B$1,$B$2,$B$7,$B$3,$B$4,$B$5,$F613,$B$6,R$10,$A613,$B613)</f>
        <v>0</v>
      </c>
      <c r="S613" s="4">
        <f ca="1">_xll.DBRW($B$1,$B$2,$B$7,$B$3,$B$4,$B$5,$F613,$B$6,S$10,$A613,$B613)</f>
        <v>0</v>
      </c>
      <c r="T613" s="4">
        <f ca="1">_xll.DBRW($B$1,$B$2,$B$7,$B$3,$B$4,$B$5,$F613,$B$6,T$10,$A613,$B613)</f>
        <v>0</v>
      </c>
      <c r="U613" s="4">
        <f ca="1">_xll.DBRW($B$1,$B$2,$B$7,$B$3,$B$4,$B$5,$F613,$B$6,U$10,$A613,$B613)</f>
        <v>0</v>
      </c>
      <c r="V613" s="4">
        <f ca="1">_xll.DBRW($B$1,$B$2,$B$7,$B$3,$B$4,$B$5,$F613,$B$6,V$10,$A613,$B613)</f>
        <v>0</v>
      </c>
      <c r="W613" s="4">
        <f ca="1">_xll.DBRW($B$1,$B$2,$B$7,$B$3,$B$4,$B$5,$F613,$B$6,W$10,$A613,$B613)</f>
        <v>0</v>
      </c>
      <c r="X613" s="4">
        <f ca="1">_xll.DBRW($B$1,$B$2,$B$7,$B$3,$B$4,$B$5,$F613,$B$6,X$10,$A613,$B613)</f>
        <v>0</v>
      </c>
      <c r="Y613" s="4">
        <f ca="1">_xll.DBRW($B$1,$B$2,$B$7,$B$3,$B$4,$B$5,$F613,$B$6,Y$10,$A613,$B613)</f>
        <v>0</v>
      </c>
      <c r="Z613" s="4">
        <f ca="1">_xll.DBRW($B$1,$B$2,$B$7,$B$3,$B$4,$B$5,$F613,$B$6,Z$10,$A613,$B613)</f>
        <v>0</v>
      </c>
      <c r="AA613" s="4">
        <f ca="1">_xll.DBRW($B$1,$B$2,$B$7,$B$3,$B$4,$B$5,$F613,$B$6,AA$10,$A613,$B613)</f>
        <v>0</v>
      </c>
      <c r="AB613" s="4">
        <f ca="1">_xll.DBRW($B$1,$B$2,$B$7,$B$3,$B$4,$B$5,$F613,$B$6,AB$10,$A613,$B613)</f>
        <v>0</v>
      </c>
      <c r="AC613" s="4">
        <f ca="1">_xll.DBRW($B$1,$B$2,$B$7,$B$3,$B$4,$B$5,$F613,$B$6,AC$10,$A613,$B613)</f>
        <v>0</v>
      </c>
      <c r="AD613" s="4">
        <f ca="1">_xll.DBRW($B$1,$B$2,$B$7,$B$3,$B$4,$B$5,$F613,$B$6,AD$10,$A613,$B613)</f>
        <v>0</v>
      </c>
      <c r="AE613" s="4">
        <f ca="1">_xll.DBRW($B$1,$B$2,$B$7,$B$3,$B$4,$B$5,$F613,$B$6,AE$10,$A613,$B613)</f>
        <v>0</v>
      </c>
    </row>
    <row r="614" spans="1:31">
      <c r="A614" s="1" t="s">
        <v>150</v>
      </c>
      <c r="B614" s="5" t="s">
        <v>23</v>
      </c>
      <c r="C614" s="5" t="s">
        <v>19</v>
      </c>
      <c r="D614" s="5" t="s">
        <v>20</v>
      </c>
      <c r="E614" s="5" t="s">
        <v>21</v>
      </c>
      <c r="F614" s="5" t="s">
        <v>317</v>
      </c>
      <c r="G614" s="6"/>
      <c r="H614" s="6"/>
      <c r="I614" s="6"/>
      <c r="J614" s="6"/>
      <c r="K614" s="6"/>
      <c r="L614" s="4">
        <f ca="1">_xll.DBRW($B$1,$B$2,$B$7,$B$3,$B$4,$B$5,$F614,$B$6,L$10,$A614,$B614)</f>
        <v>0</v>
      </c>
      <c r="M614" s="4">
        <f ca="1">_xll.DBRW($B$1,$B$2,$B$7,$B$3,$B$4,$B$5,$F614,$B$6,M$10,$A614,$B614)</f>
        <v>0</v>
      </c>
      <c r="N614" s="4">
        <f ca="1">_xll.DBRW($B$1,$B$2,$B$7,$B$3,$B$4,$B$5,$F614,$B$6,N$10,$A614,$B614)</f>
        <v>0</v>
      </c>
      <c r="O614" s="4">
        <f ca="1">_xll.DBRW($B$1,$B$2,$B$7,$B$3,$B$4,$B$5,$F614,$B$6,O$10,$A614,$B614)</f>
        <v>0</v>
      </c>
      <c r="P614" s="4">
        <f ca="1">_xll.DBRW($B$1,$B$2,$B$7,$B$3,$B$4,$B$5,$F614,$B$6,P$10,$A614,$B614)</f>
        <v>0</v>
      </c>
      <c r="Q614" s="4">
        <f ca="1">_xll.DBRW($B$1,$B$2,$B$7,$B$3,$B$4,$B$5,$F614,$B$6,Q$10,$A614,$B614)</f>
        <v>0</v>
      </c>
      <c r="R614" s="4">
        <f ca="1">_xll.DBRW($B$1,$B$2,$B$7,$B$3,$B$4,$B$5,$F614,$B$6,R$10,$A614,$B614)</f>
        <v>0</v>
      </c>
      <c r="S614" s="4">
        <f ca="1">_xll.DBRW($B$1,$B$2,$B$7,$B$3,$B$4,$B$5,$F614,$B$6,S$10,$A614,$B614)</f>
        <v>0</v>
      </c>
      <c r="T614" s="4">
        <f ca="1">_xll.DBRW($B$1,$B$2,$B$7,$B$3,$B$4,$B$5,$F614,$B$6,T$10,$A614,$B614)</f>
        <v>0</v>
      </c>
      <c r="U614" s="4">
        <f ca="1">_xll.DBRW($B$1,$B$2,$B$7,$B$3,$B$4,$B$5,$F614,$B$6,U$10,$A614,$B614)</f>
        <v>0</v>
      </c>
      <c r="V614" s="4">
        <f ca="1">_xll.DBRW($B$1,$B$2,$B$7,$B$3,$B$4,$B$5,$F614,$B$6,V$10,$A614,$B614)</f>
        <v>0</v>
      </c>
      <c r="W614" s="4">
        <f ca="1">_xll.DBRW($B$1,$B$2,$B$7,$B$3,$B$4,$B$5,$F614,$B$6,W$10,$A614,$B614)</f>
        <v>0</v>
      </c>
      <c r="X614" s="4">
        <f ca="1">_xll.DBRW($B$1,$B$2,$B$7,$B$3,$B$4,$B$5,$F614,$B$6,X$10,$A614,$B614)</f>
        <v>0</v>
      </c>
      <c r="Y614" s="4">
        <f ca="1">_xll.DBRW($B$1,$B$2,$B$7,$B$3,$B$4,$B$5,$F614,$B$6,Y$10,$A614,$B614)</f>
        <v>0</v>
      </c>
      <c r="Z614" s="4">
        <f ca="1">_xll.DBRW($B$1,$B$2,$B$7,$B$3,$B$4,$B$5,$F614,$B$6,Z$10,$A614,$B614)</f>
        <v>0</v>
      </c>
      <c r="AA614" s="4">
        <f ca="1">_xll.DBRW($B$1,$B$2,$B$7,$B$3,$B$4,$B$5,$F614,$B$6,AA$10,$A614,$B614)</f>
        <v>0</v>
      </c>
      <c r="AB614" s="4">
        <f ca="1">_xll.DBRW($B$1,$B$2,$B$7,$B$3,$B$4,$B$5,$F614,$B$6,AB$10,$A614,$B614)</f>
        <v>0</v>
      </c>
      <c r="AC614" s="4">
        <f ca="1">_xll.DBRW($B$1,$B$2,$B$7,$B$3,$B$4,$B$5,$F614,$B$6,AC$10,$A614,$B614)</f>
        <v>0</v>
      </c>
      <c r="AD614" s="4">
        <f ca="1">_xll.DBRW($B$1,$B$2,$B$7,$B$3,$B$4,$B$5,$F614,$B$6,AD$10,$A614,$B614)</f>
        <v>0</v>
      </c>
      <c r="AE614" s="4">
        <f ca="1">_xll.DBRW($B$1,$B$2,$B$7,$B$3,$B$4,$B$5,$F614,$B$6,AE$10,$A614,$B614)</f>
        <v>0</v>
      </c>
    </row>
    <row r="615" spans="1:31">
      <c r="A615" s="1" t="s">
        <v>150</v>
      </c>
      <c r="B615" s="5" t="s">
        <v>200</v>
      </c>
      <c r="C615" s="5" t="s">
        <v>161</v>
      </c>
      <c r="D615" s="5" t="s">
        <v>21</v>
      </c>
      <c r="E615" s="5" t="s">
        <v>69</v>
      </c>
      <c r="F615" s="5" t="s">
        <v>317</v>
      </c>
      <c r="G615" s="6"/>
      <c r="H615" s="6"/>
      <c r="I615" s="6"/>
      <c r="J615" s="6"/>
      <c r="K615" s="6"/>
      <c r="L615" s="4">
        <f ca="1">_xll.DBRW($B$1,$B$2,$B$7,$B$3,$B$4,$B$5,$F615,$B$6,L$10,$A615,$B615)</f>
        <v>30</v>
      </c>
      <c r="M615" s="4">
        <f ca="1">_xll.DBRW($B$1,$B$2,$B$7,$B$3,$B$4,$B$5,$F615,$B$6,M$10,$A615,$B615)</f>
        <v>29</v>
      </c>
      <c r="N615" s="4">
        <f ca="1">_xll.DBRW($B$1,$B$2,$B$7,$B$3,$B$4,$B$5,$F615,$B$6,N$10,$A615,$B615)</f>
        <v>31</v>
      </c>
      <c r="O615" s="4">
        <f ca="1">_xll.DBRW($B$1,$B$2,$B$7,$B$3,$B$4,$B$5,$F615,$B$6,O$10,$A615,$B615)</f>
        <v>31</v>
      </c>
      <c r="P615" s="4">
        <f ca="1">_xll.DBRW($B$1,$B$2,$B$7,$B$3,$B$4,$B$5,$F615,$B$6,P$10,$A615,$B615)</f>
        <v>30</v>
      </c>
      <c r="Q615" s="4">
        <f ca="1">_xll.DBRW($B$1,$B$2,$B$7,$B$3,$B$4,$B$5,$F615,$B$6,Q$10,$A615,$B615)</f>
        <v>26</v>
      </c>
      <c r="R615" s="4">
        <f ca="1">_xll.DBRW($B$1,$B$2,$B$7,$B$3,$B$4,$B$5,$F615,$B$6,R$10,$A615,$B615)</f>
        <v>0</v>
      </c>
      <c r="S615" s="4">
        <f ca="1">_xll.DBRW($B$1,$B$2,$B$7,$B$3,$B$4,$B$5,$F615,$B$6,S$10,$A615,$B615)</f>
        <v>0</v>
      </c>
      <c r="T615" s="4">
        <f ca="1">_xll.DBRW($B$1,$B$2,$B$7,$B$3,$B$4,$B$5,$F615,$B$6,T$10,$A615,$B615)</f>
        <v>0</v>
      </c>
      <c r="U615" s="4">
        <f ca="1">_xll.DBRW($B$1,$B$2,$B$7,$B$3,$B$4,$B$5,$F615,$B$6,U$10,$A615,$B615)</f>
        <v>0</v>
      </c>
      <c r="V615" s="4">
        <f ca="1">_xll.DBRW($B$1,$B$2,$B$7,$B$3,$B$4,$B$5,$F615,$B$6,V$10,$A615,$B615)</f>
        <v>2</v>
      </c>
      <c r="W615" s="4">
        <f ca="1">_xll.DBRW($B$1,$B$2,$B$7,$B$3,$B$4,$B$5,$F615,$B$6,W$10,$A615,$B615)</f>
        <v>30</v>
      </c>
      <c r="X615" s="4">
        <f ca="1">_xll.DBRW($B$1,$B$2,$B$7,$B$3,$B$4,$B$5,$F615,$B$6,X$10,$A615,$B615)</f>
        <v>31</v>
      </c>
      <c r="Y615" s="4">
        <f ca="1">_xll.DBRW($B$1,$B$2,$B$7,$B$3,$B$4,$B$5,$F615,$B$6,Y$10,$A615,$B615)</f>
        <v>30</v>
      </c>
      <c r="Z615" s="4">
        <f ca="1">_xll.DBRW($B$1,$B$2,$B$7,$B$3,$B$4,$B$5,$F615,$B$6,Z$10,$A615,$B615)</f>
        <v>31</v>
      </c>
      <c r="AA615" s="4">
        <f ca="1">_xll.DBRW($B$1,$B$2,$B$7,$B$3,$B$4,$B$5,$F615,$B$6,AA$10,$A615,$B615)</f>
        <v>31</v>
      </c>
      <c r="AB615" s="4">
        <f ca="1">_xll.DBRW($B$1,$B$2,$B$7,$B$3,$B$4,$B$5,$F615,$B$6,AB$10,$A615,$B615)</f>
        <v>30</v>
      </c>
      <c r="AC615" s="4">
        <f ca="1">_xll.DBRW($B$1,$B$2,$B$7,$B$3,$B$4,$B$5,$F615,$B$6,AC$10,$A615,$B615)</f>
        <v>25</v>
      </c>
      <c r="AD615" s="4">
        <f ca="1">_xll.DBRW($B$1,$B$2,$B$7,$B$3,$B$4,$B$5,$F615,$B$6,AD$10,$A615,$B615)</f>
        <v>0</v>
      </c>
      <c r="AE615" s="4">
        <f ca="1">_xll.DBRW($B$1,$B$2,$B$7,$B$3,$B$4,$B$5,$F615,$B$6,AE$10,$A615,$B615)</f>
        <v>0</v>
      </c>
    </row>
    <row r="616" spans="1:31">
      <c r="A616" s="1" t="s">
        <v>150</v>
      </c>
      <c r="B616" s="5" t="s">
        <v>70</v>
      </c>
      <c r="C616" s="5" t="s">
        <v>68</v>
      </c>
      <c r="D616" s="5" t="s">
        <v>69</v>
      </c>
      <c r="E616" s="5" t="s">
        <v>21</v>
      </c>
      <c r="F616" s="5" t="s">
        <v>317</v>
      </c>
      <c r="G616" s="6"/>
      <c r="H616" s="6"/>
      <c r="I616" s="6"/>
      <c r="J616" s="6"/>
      <c r="K616" s="6"/>
      <c r="L616" s="4">
        <f ca="1">_xll.DBRW($B$1,$B$2,$B$7,$B$3,$B$4,$B$5,$F616,$B$6,L$10,$A616,$B616)</f>
        <v>30</v>
      </c>
      <c r="M616" s="4">
        <f ca="1">_xll.DBRW($B$1,$B$2,$B$7,$B$3,$B$4,$B$5,$F616,$B$6,M$10,$A616,$B616)</f>
        <v>29</v>
      </c>
      <c r="N616" s="4">
        <f ca="1">_xll.DBRW($B$1,$B$2,$B$7,$B$3,$B$4,$B$5,$F616,$B$6,N$10,$A616,$B616)</f>
        <v>31</v>
      </c>
      <c r="O616" s="4">
        <f ca="1">_xll.DBRW($B$1,$B$2,$B$7,$B$3,$B$4,$B$5,$F616,$B$6,O$10,$A616,$B616)</f>
        <v>31</v>
      </c>
      <c r="P616" s="4">
        <f ca="1">_xll.DBRW($B$1,$B$2,$B$7,$B$3,$B$4,$B$5,$F616,$B$6,P$10,$A616,$B616)</f>
        <v>30</v>
      </c>
      <c r="Q616" s="4">
        <f ca="1">_xll.DBRW($B$1,$B$2,$B$7,$B$3,$B$4,$B$5,$F616,$B$6,Q$10,$A616,$B616)</f>
        <v>26</v>
      </c>
      <c r="R616" s="4">
        <f ca="1">_xll.DBRW($B$1,$B$2,$B$7,$B$3,$B$4,$B$5,$F616,$B$6,R$10,$A616,$B616)</f>
        <v>0</v>
      </c>
      <c r="S616" s="4">
        <f ca="1">_xll.DBRW($B$1,$B$2,$B$7,$B$3,$B$4,$B$5,$F616,$B$6,S$10,$A616,$B616)</f>
        <v>0</v>
      </c>
      <c r="T616" s="4">
        <f ca="1">_xll.DBRW($B$1,$B$2,$B$7,$B$3,$B$4,$B$5,$F616,$B$6,T$10,$A616,$B616)</f>
        <v>0</v>
      </c>
      <c r="U616" s="4">
        <f ca="1">_xll.DBRW($B$1,$B$2,$B$7,$B$3,$B$4,$B$5,$F616,$B$6,U$10,$A616,$B616)</f>
        <v>0</v>
      </c>
      <c r="V616" s="4">
        <f ca="1">_xll.DBRW($B$1,$B$2,$B$7,$B$3,$B$4,$B$5,$F616,$B$6,V$10,$A616,$B616)</f>
        <v>2</v>
      </c>
      <c r="W616" s="4">
        <f ca="1">_xll.DBRW($B$1,$B$2,$B$7,$B$3,$B$4,$B$5,$F616,$B$6,W$10,$A616,$B616)</f>
        <v>30</v>
      </c>
      <c r="X616" s="4">
        <f ca="1">_xll.DBRW($B$1,$B$2,$B$7,$B$3,$B$4,$B$5,$F616,$B$6,X$10,$A616,$B616)</f>
        <v>31</v>
      </c>
      <c r="Y616" s="4">
        <f ca="1">_xll.DBRW($B$1,$B$2,$B$7,$B$3,$B$4,$B$5,$F616,$B$6,Y$10,$A616,$B616)</f>
        <v>30</v>
      </c>
      <c r="Z616" s="4">
        <f ca="1">_xll.DBRW($B$1,$B$2,$B$7,$B$3,$B$4,$B$5,$F616,$B$6,Z$10,$A616,$B616)</f>
        <v>31</v>
      </c>
      <c r="AA616" s="4">
        <f ca="1">_xll.DBRW($B$1,$B$2,$B$7,$B$3,$B$4,$B$5,$F616,$B$6,AA$10,$A616,$B616)</f>
        <v>31</v>
      </c>
      <c r="AB616" s="4">
        <f ca="1">_xll.DBRW($B$1,$B$2,$B$7,$B$3,$B$4,$B$5,$F616,$B$6,AB$10,$A616,$B616)</f>
        <v>30</v>
      </c>
      <c r="AC616" s="4">
        <f ca="1">_xll.DBRW($B$1,$B$2,$B$7,$B$3,$B$4,$B$5,$F616,$B$6,AC$10,$A616,$B616)</f>
        <v>25</v>
      </c>
      <c r="AD616" s="4">
        <f ca="1">_xll.DBRW($B$1,$B$2,$B$7,$B$3,$B$4,$B$5,$F616,$B$6,AD$10,$A616,$B616)</f>
        <v>0</v>
      </c>
      <c r="AE616" s="4">
        <f ca="1">_xll.DBRW($B$1,$B$2,$B$7,$B$3,$B$4,$B$5,$F616,$B$6,AE$10,$A616,$B616)</f>
        <v>0</v>
      </c>
    </row>
    <row r="617" spans="1:31">
      <c r="A617" s="1" t="s">
        <v>150</v>
      </c>
      <c r="B617" s="5" t="s">
        <v>201</v>
      </c>
      <c r="C617" s="5" t="s">
        <v>202</v>
      </c>
      <c r="D617" s="5" t="s">
        <v>28</v>
      </c>
      <c r="E617" s="5" t="s">
        <v>38</v>
      </c>
      <c r="F617" s="5" t="s">
        <v>317</v>
      </c>
      <c r="G617" s="6"/>
      <c r="H617" s="6"/>
      <c r="I617" s="6"/>
      <c r="J617" s="6"/>
      <c r="K617" s="6"/>
      <c r="L617" s="4">
        <f ca="1">_xll.DBRW($B$1,$B$2,$B$7,$B$3,$B$4,$B$5,$F617,$B$6,L$10,$A617,$B617)</f>
        <v>0</v>
      </c>
      <c r="M617" s="4">
        <f ca="1">_xll.DBRW($B$1,$B$2,$B$7,$B$3,$B$4,$B$5,$F617,$B$6,M$10,$A617,$B617)</f>
        <v>0</v>
      </c>
      <c r="N617" s="4">
        <f ca="1">_xll.DBRW($B$1,$B$2,$B$7,$B$3,$B$4,$B$5,$F617,$B$6,N$10,$A617,$B617)</f>
        <v>0</v>
      </c>
      <c r="O617" s="4">
        <f ca="1">_xll.DBRW($B$1,$B$2,$B$7,$B$3,$B$4,$B$5,$F617,$B$6,O$10,$A617,$B617)</f>
        <v>0</v>
      </c>
      <c r="P617" s="4">
        <f ca="1">_xll.DBRW($B$1,$B$2,$B$7,$B$3,$B$4,$B$5,$F617,$B$6,P$10,$A617,$B617)</f>
        <v>0</v>
      </c>
      <c r="Q617" s="4">
        <f ca="1">_xll.DBRW($B$1,$B$2,$B$7,$B$3,$B$4,$B$5,$F617,$B$6,Q$10,$A617,$B617)</f>
        <v>0</v>
      </c>
      <c r="R617" s="4">
        <f ca="1">_xll.DBRW($B$1,$B$2,$B$7,$B$3,$B$4,$B$5,$F617,$B$6,R$10,$A617,$B617)</f>
        <v>0</v>
      </c>
      <c r="S617" s="4">
        <f ca="1">_xll.DBRW($B$1,$B$2,$B$7,$B$3,$B$4,$B$5,$F617,$B$6,S$10,$A617,$B617)</f>
        <v>0</v>
      </c>
      <c r="T617" s="4">
        <f ca="1">_xll.DBRW($B$1,$B$2,$B$7,$B$3,$B$4,$B$5,$F617,$B$6,T$10,$A617,$B617)</f>
        <v>0</v>
      </c>
      <c r="U617" s="4">
        <f ca="1">_xll.DBRW($B$1,$B$2,$B$7,$B$3,$B$4,$B$5,$F617,$B$6,U$10,$A617,$B617)</f>
        <v>0</v>
      </c>
      <c r="V617" s="4">
        <f ca="1">_xll.DBRW($B$1,$B$2,$B$7,$B$3,$B$4,$B$5,$F617,$B$6,V$10,$A617,$B617)</f>
        <v>0</v>
      </c>
      <c r="W617" s="4">
        <f ca="1">_xll.DBRW($B$1,$B$2,$B$7,$B$3,$B$4,$B$5,$F617,$B$6,W$10,$A617,$B617)</f>
        <v>0</v>
      </c>
      <c r="X617" s="4">
        <f ca="1">_xll.DBRW($B$1,$B$2,$B$7,$B$3,$B$4,$B$5,$F617,$B$6,X$10,$A617,$B617)</f>
        <v>0</v>
      </c>
      <c r="Y617" s="4">
        <f ca="1">_xll.DBRW($B$1,$B$2,$B$7,$B$3,$B$4,$B$5,$F617,$B$6,Y$10,$A617,$B617)</f>
        <v>0</v>
      </c>
      <c r="Z617" s="4">
        <f ca="1">_xll.DBRW($B$1,$B$2,$B$7,$B$3,$B$4,$B$5,$F617,$B$6,Z$10,$A617,$B617)</f>
        <v>0</v>
      </c>
      <c r="AA617" s="4">
        <f ca="1">_xll.DBRW($B$1,$B$2,$B$7,$B$3,$B$4,$B$5,$F617,$B$6,AA$10,$A617,$B617)</f>
        <v>0</v>
      </c>
      <c r="AB617" s="4">
        <f ca="1">_xll.DBRW($B$1,$B$2,$B$7,$B$3,$B$4,$B$5,$F617,$B$6,AB$10,$A617,$B617)</f>
        <v>0</v>
      </c>
      <c r="AC617" s="4">
        <f ca="1">_xll.DBRW($B$1,$B$2,$B$7,$B$3,$B$4,$B$5,$F617,$B$6,AC$10,$A617,$B617)</f>
        <v>0</v>
      </c>
      <c r="AD617" s="4">
        <f ca="1">_xll.DBRW($B$1,$B$2,$B$7,$B$3,$B$4,$B$5,$F617,$B$6,AD$10,$A617,$B617)</f>
        <v>0</v>
      </c>
      <c r="AE617" s="4">
        <f ca="1">_xll.DBRW($B$1,$B$2,$B$7,$B$3,$B$4,$B$5,$F617,$B$6,AE$10,$A617,$B617)</f>
        <v>0</v>
      </c>
    </row>
    <row r="618" spans="1:31">
      <c r="A618" s="1" t="s">
        <v>150</v>
      </c>
      <c r="B618" s="5" t="s">
        <v>45</v>
      </c>
      <c r="C618" s="5" t="s">
        <v>46</v>
      </c>
      <c r="D618" s="5" t="s">
        <v>38</v>
      </c>
      <c r="E618" s="5" t="s">
        <v>28</v>
      </c>
      <c r="F618" s="5" t="s">
        <v>317</v>
      </c>
      <c r="G618" s="6"/>
      <c r="H618" s="6"/>
      <c r="I618" s="6"/>
      <c r="J618" s="6"/>
      <c r="K618" s="6"/>
      <c r="L618" s="4">
        <f ca="1">_xll.DBRW($B$1,$B$2,$B$7,$B$3,$B$4,$B$5,$F618,$B$6,L$10,$A618,$B618)</f>
        <v>0</v>
      </c>
      <c r="M618" s="4">
        <f ca="1">_xll.DBRW($B$1,$B$2,$B$7,$B$3,$B$4,$B$5,$F618,$B$6,M$10,$A618,$B618)</f>
        <v>0</v>
      </c>
      <c r="N618" s="4">
        <f ca="1">_xll.DBRW($B$1,$B$2,$B$7,$B$3,$B$4,$B$5,$F618,$B$6,N$10,$A618,$B618)</f>
        <v>0</v>
      </c>
      <c r="O618" s="4">
        <f ca="1">_xll.DBRW($B$1,$B$2,$B$7,$B$3,$B$4,$B$5,$F618,$B$6,O$10,$A618,$B618)</f>
        <v>0</v>
      </c>
      <c r="P618" s="4">
        <f ca="1">_xll.DBRW($B$1,$B$2,$B$7,$B$3,$B$4,$B$5,$F618,$B$6,P$10,$A618,$B618)</f>
        <v>0</v>
      </c>
      <c r="Q618" s="4">
        <f ca="1">_xll.DBRW($B$1,$B$2,$B$7,$B$3,$B$4,$B$5,$F618,$B$6,Q$10,$A618,$B618)</f>
        <v>0</v>
      </c>
      <c r="R618" s="4">
        <f ca="1">_xll.DBRW($B$1,$B$2,$B$7,$B$3,$B$4,$B$5,$F618,$B$6,R$10,$A618,$B618)</f>
        <v>0</v>
      </c>
      <c r="S618" s="4">
        <f ca="1">_xll.DBRW($B$1,$B$2,$B$7,$B$3,$B$4,$B$5,$F618,$B$6,S$10,$A618,$B618)</f>
        <v>0</v>
      </c>
      <c r="T618" s="4">
        <f ca="1">_xll.DBRW($B$1,$B$2,$B$7,$B$3,$B$4,$B$5,$F618,$B$6,T$10,$A618,$B618)</f>
        <v>0</v>
      </c>
      <c r="U618" s="4">
        <f ca="1">_xll.DBRW($B$1,$B$2,$B$7,$B$3,$B$4,$B$5,$F618,$B$6,U$10,$A618,$B618)</f>
        <v>0</v>
      </c>
      <c r="V618" s="4">
        <f ca="1">_xll.DBRW($B$1,$B$2,$B$7,$B$3,$B$4,$B$5,$F618,$B$6,V$10,$A618,$B618)</f>
        <v>0</v>
      </c>
      <c r="W618" s="4">
        <f ca="1">_xll.DBRW($B$1,$B$2,$B$7,$B$3,$B$4,$B$5,$F618,$B$6,W$10,$A618,$B618)</f>
        <v>0</v>
      </c>
      <c r="X618" s="4">
        <f ca="1">_xll.DBRW($B$1,$B$2,$B$7,$B$3,$B$4,$B$5,$F618,$B$6,X$10,$A618,$B618)</f>
        <v>0</v>
      </c>
      <c r="Y618" s="4">
        <f ca="1">_xll.DBRW($B$1,$B$2,$B$7,$B$3,$B$4,$B$5,$F618,$B$6,Y$10,$A618,$B618)</f>
        <v>0</v>
      </c>
      <c r="Z618" s="4">
        <f ca="1">_xll.DBRW($B$1,$B$2,$B$7,$B$3,$B$4,$B$5,$F618,$B$6,Z$10,$A618,$B618)</f>
        <v>0</v>
      </c>
      <c r="AA618" s="4">
        <f ca="1">_xll.DBRW($B$1,$B$2,$B$7,$B$3,$B$4,$B$5,$F618,$B$6,AA$10,$A618,$B618)</f>
        <v>0</v>
      </c>
      <c r="AB618" s="4">
        <f ca="1">_xll.DBRW($B$1,$B$2,$B$7,$B$3,$B$4,$B$5,$F618,$B$6,AB$10,$A618,$B618)</f>
        <v>0</v>
      </c>
      <c r="AC618" s="4">
        <f ca="1">_xll.DBRW($B$1,$B$2,$B$7,$B$3,$B$4,$B$5,$F618,$B$6,AC$10,$A618,$B618)</f>
        <v>0</v>
      </c>
      <c r="AD618" s="4">
        <f ca="1">_xll.DBRW($B$1,$B$2,$B$7,$B$3,$B$4,$B$5,$F618,$B$6,AD$10,$A618,$B618)</f>
        <v>0</v>
      </c>
      <c r="AE618" s="4">
        <f ca="1">_xll.DBRW($B$1,$B$2,$B$7,$B$3,$B$4,$B$5,$F618,$B$6,AE$10,$A618,$B618)</f>
        <v>0</v>
      </c>
    </row>
    <row r="619" spans="1:31">
      <c r="A619" s="1" t="s">
        <v>150</v>
      </c>
      <c r="B619" s="5" t="s">
        <v>203</v>
      </c>
      <c r="C619" s="5" t="s">
        <v>204</v>
      </c>
      <c r="D619" s="5" t="s">
        <v>21</v>
      </c>
      <c r="E619" s="5" t="s">
        <v>80</v>
      </c>
      <c r="F619" s="5" t="s">
        <v>317</v>
      </c>
      <c r="G619" s="6"/>
      <c r="H619" s="6"/>
      <c r="I619" s="6"/>
      <c r="J619" s="6"/>
      <c r="K619" s="6"/>
      <c r="L619" s="4">
        <f ca="1">_xll.DBRW($B$1,$B$2,$B$7,$B$3,$B$4,$B$5,$F619,$B$6,L$10,$A619,$B619)</f>
        <v>0</v>
      </c>
      <c r="M619" s="4">
        <f ca="1">_xll.DBRW($B$1,$B$2,$B$7,$B$3,$B$4,$B$5,$F619,$B$6,M$10,$A619,$B619)</f>
        <v>0</v>
      </c>
      <c r="N619" s="4">
        <f ca="1">_xll.DBRW($B$1,$B$2,$B$7,$B$3,$B$4,$B$5,$F619,$B$6,N$10,$A619,$B619)</f>
        <v>0</v>
      </c>
      <c r="O619" s="4">
        <f ca="1">_xll.DBRW($B$1,$B$2,$B$7,$B$3,$B$4,$B$5,$F619,$B$6,O$10,$A619,$B619)</f>
        <v>0</v>
      </c>
      <c r="P619" s="4">
        <f ca="1">_xll.DBRW($B$1,$B$2,$B$7,$B$3,$B$4,$B$5,$F619,$B$6,P$10,$A619,$B619)</f>
        <v>0</v>
      </c>
      <c r="Q619" s="4">
        <f ca="1">_xll.DBRW($B$1,$B$2,$B$7,$B$3,$B$4,$B$5,$F619,$B$6,Q$10,$A619,$B619)</f>
        <v>0</v>
      </c>
      <c r="R619" s="4">
        <f ca="1">_xll.DBRW($B$1,$B$2,$B$7,$B$3,$B$4,$B$5,$F619,$B$6,R$10,$A619,$B619)</f>
        <v>0</v>
      </c>
      <c r="S619" s="4">
        <f ca="1">_xll.DBRW($B$1,$B$2,$B$7,$B$3,$B$4,$B$5,$F619,$B$6,S$10,$A619,$B619)</f>
        <v>0</v>
      </c>
      <c r="T619" s="4">
        <f ca="1">_xll.DBRW($B$1,$B$2,$B$7,$B$3,$B$4,$B$5,$F619,$B$6,T$10,$A619,$B619)</f>
        <v>0</v>
      </c>
      <c r="U619" s="4">
        <f ca="1">_xll.DBRW($B$1,$B$2,$B$7,$B$3,$B$4,$B$5,$F619,$B$6,U$10,$A619,$B619)</f>
        <v>0</v>
      </c>
      <c r="V619" s="4">
        <f ca="1">_xll.DBRW($B$1,$B$2,$B$7,$B$3,$B$4,$B$5,$F619,$B$6,V$10,$A619,$B619)</f>
        <v>0</v>
      </c>
      <c r="W619" s="4">
        <f ca="1">_xll.DBRW($B$1,$B$2,$B$7,$B$3,$B$4,$B$5,$F619,$B$6,W$10,$A619,$B619)</f>
        <v>0</v>
      </c>
      <c r="X619" s="4">
        <f ca="1">_xll.DBRW($B$1,$B$2,$B$7,$B$3,$B$4,$B$5,$F619,$B$6,X$10,$A619,$B619)</f>
        <v>0</v>
      </c>
      <c r="Y619" s="4">
        <f ca="1">_xll.DBRW($B$1,$B$2,$B$7,$B$3,$B$4,$B$5,$F619,$B$6,Y$10,$A619,$B619)</f>
        <v>0</v>
      </c>
      <c r="Z619" s="4">
        <f ca="1">_xll.DBRW($B$1,$B$2,$B$7,$B$3,$B$4,$B$5,$F619,$B$6,Z$10,$A619,$B619)</f>
        <v>0</v>
      </c>
      <c r="AA619" s="4">
        <f ca="1">_xll.DBRW($B$1,$B$2,$B$7,$B$3,$B$4,$B$5,$F619,$B$6,AA$10,$A619,$B619)</f>
        <v>0</v>
      </c>
      <c r="AB619" s="4">
        <f ca="1">_xll.DBRW($B$1,$B$2,$B$7,$B$3,$B$4,$B$5,$F619,$B$6,AB$10,$A619,$B619)</f>
        <v>0</v>
      </c>
      <c r="AC619" s="4">
        <f ca="1">_xll.DBRW($B$1,$B$2,$B$7,$B$3,$B$4,$B$5,$F619,$B$6,AC$10,$A619,$B619)</f>
        <v>0</v>
      </c>
      <c r="AD619" s="4">
        <f ca="1">_xll.DBRW($B$1,$B$2,$B$7,$B$3,$B$4,$B$5,$F619,$B$6,AD$10,$A619,$B619)</f>
        <v>0</v>
      </c>
      <c r="AE619" s="4">
        <f ca="1">_xll.DBRW($B$1,$B$2,$B$7,$B$3,$B$4,$B$5,$F619,$B$6,AE$10,$A619,$B619)</f>
        <v>0</v>
      </c>
    </row>
    <row r="620" spans="1:31">
      <c r="A620" s="1" t="s">
        <v>150</v>
      </c>
      <c r="B620" s="5" t="s">
        <v>78</v>
      </c>
      <c r="C620" s="5" t="s">
        <v>79</v>
      </c>
      <c r="D620" s="5" t="s">
        <v>80</v>
      </c>
      <c r="E620" s="5" t="s">
        <v>21</v>
      </c>
      <c r="F620" s="5" t="s">
        <v>317</v>
      </c>
      <c r="G620" s="6"/>
      <c r="H620" s="6"/>
      <c r="I620" s="6"/>
      <c r="J620" s="6"/>
      <c r="K620" s="6"/>
      <c r="L620" s="4">
        <f ca="1">_xll.DBRW($B$1,$B$2,$B$7,$B$3,$B$4,$B$5,$F620,$B$6,L$10,$A620,$B620)</f>
        <v>0</v>
      </c>
      <c r="M620" s="4">
        <f ca="1">_xll.DBRW($B$1,$B$2,$B$7,$B$3,$B$4,$B$5,$F620,$B$6,M$10,$A620,$B620)</f>
        <v>0</v>
      </c>
      <c r="N620" s="4">
        <f ca="1">_xll.DBRW($B$1,$B$2,$B$7,$B$3,$B$4,$B$5,$F620,$B$6,N$10,$A620,$B620)</f>
        <v>0</v>
      </c>
      <c r="O620" s="4">
        <f ca="1">_xll.DBRW($B$1,$B$2,$B$7,$B$3,$B$4,$B$5,$F620,$B$6,O$10,$A620,$B620)</f>
        <v>0</v>
      </c>
      <c r="P620" s="4">
        <f ca="1">_xll.DBRW($B$1,$B$2,$B$7,$B$3,$B$4,$B$5,$F620,$B$6,P$10,$A620,$B620)</f>
        <v>0</v>
      </c>
      <c r="Q620" s="4">
        <f ca="1">_xll.DBRW($B$1,$B$2,$B$7,$B$3,$B$4,$B$5,$F620,$B$6,Q$10,$A620,$B620)</f>
        <v>0</v>
      </c>
      <c r="R620" s="4">
        <f ca="1">_xll.DBRW($B$1,$B$2,$B$7,$B$3,$B$4,$B$5,$F620,$B$6,R$10,$A620,$B620)</f>
        <v>0</v>
      </c>
      <c r="S620" s="4">
        <f ca="1">_xll.DBRW($B$1,$B$2,$B$7,$B$3,$B$4,$B$5,$F620,$B$6,S$10,$A620,$B620)</f>
        <v>0</v>
      </c>
      <c r="T620" s="4">
        <f ca="1">_xll.DBRW($B$1,$B$2,$B$7,$B$3,$B$4,$B$5,$F620,$B$6,T$10,$A620,$B620)</f>
        <v>0</v>
      </c>
      <c r="U620" s="4">
        <f ca="1">_xll.DBRW($B$1,$B$2,$B$7,$B$3,$B$4,$B$5,$F620,$B$6,U$10,$A620,$B620)</f>
        <v>0</v>
      </c>
      <c r="V620" s="4">
        <f ca="1">_xll.DBRW($B$1,$B$2,$B$7,$B$3,$B$4,$B$5,$F620,$B$6,V$10,$A620,$B620)</f>
        <v>0</v>
      </c>
      <c r="W620" s="4">
        <f ca="1">_xll.DBRW($B$1,$B$2,$B$7,$B$3,$B$4,$B$5,$F620,$B$6,W$10,$A620,$B620)</f>
        <v>0</v>
      </c>
      <c r="X620" s="4">
        <f ca="1">_xll.DBRW($B$1,$B$2,$B$7,$B$3,$B$4,$B$5,$F620,$B$6,X$10,$A620,$B620)</f>
        <v>0</v>
      </c>
      <c r="Y620" s="4">
        <f ca="1">_xll.DBRW($B$1,$B$2,$B$7,$B$3,$B$4,$B$5,$F620,$B$6,Y$10,$A620,$B620)</f>
        <v>0</v>
      </c>
      <c r="Z620" s="4">
        <f ca="1">_xll.DBRW($B$1,$B$2,$B$7,$B$3,$B$4,$B$5,$F620,$B$6,Z$10,$A620,$B620)</f>
        <v>0</v>
      </c>
      <c r="AA620" s="4">
        <f ca="1">_xll.DBRW($B$1,$B$2,$B$7,$B$3,$B$4,$B$5,$F620,$B$6,AA$10,$A620,$B620)</f>
        <v>0</v>
      </c>
      <c r="AB620" s="4">
        <f ca="1">_xll.DBRW($B$1,$B$2,$B$7,$B$3,$B$4,$B$5,$F620,$B$6,AB$10,$A620,$B620)</f>
        <v>0</v>
      </c>
      <c r="AC620" s="4">
        <f ca="1">_xll.DBRW($B$1,$B$2,$B$7,$B$3,$B$4,$B$5,$F620,$B$6,AC$10,$A620,$B620)</f>
        <v>0</v>
      </c>
      <c r="AD620" s="4">
        <f ca="1">_xll.DBRW($B$1,$B$2,$B$7,$B$3,$B$4,$B$5,$F620,$B$6,AD$10,$A620,$B620)</f>
        <v>0</v>
      </c>
      <c r="AE620" s="4">
        <f ca="1">_xll.DBRW($B$1,$B$2,$B$7,$B$3,$B$4,$B$5,$F620,$B$6,AE$10,$A620,$B620)</f>
        <v>0</v>
      </c>
    </row>
    <row r="621" spans="1:31">
      <c r="A621" s="1" t="s">
        <v>150</v>
      </c>
      <c r="B621" s="5" t="s">
        <v>205</v>
      </c>
      <c r="C621" s="5" t="s">
        <v>206</v>
      </c>
      <c r="D621" s="5" t="s">
        <v>21</v>
      </c>
      <c r="E621" s="5" t="s">
        <v>181</v>
      </c>
      <c r="F621" s="5" t="s">
        <v>317</v>
      </c>
      <c r="G621" s="6"/>
      <c r="H621" s="6"/>
      <c r="I621" s="6"/>
      <c r="J621" s="6"/>
      <c r="K621" s="6"/>
      <c r="L621" s="4">
        <f ca="1">_xll.DBRW($B$1,$B$2,$B$7,$B$3,$B$4,$B$5,$F621,$B$6,L$10,$A621,$B621)</f>
        <v>0</v>
      </c>
      <c r="M621" s="4">
        <f ca="1">_xll.DBRW($B$1,$B$2,$B$7,$B$3,$B$4,$B$5,$F621,$B$6,M$10,$A621,$B621)</f>
        <v>0</v>
      </c>
      <c r="N621" s="4">
        <f ca="1">_xll.DBRW($B$1,$B$2,$B$7,$B$3,$B$4,$B$5,$F621,$B$6,N$10,$A621,$B621)</f>
        <v>0</v>
      </c>
      <c r="O621" s="4">
        <f ca="1">_xll.DBRW($B$1,$B$2,$B$7,$B$3,$B$4,$B$5,$F621,$B$6,O$10,$A621,$B621)</f>
        <v>0</v>
      </c>
      <c r="P621" s="4">
        <f ca="1">_xll.DBRW($B$1,$B$2,$B$7,$B$3,$B$4,$B$5,$F621,$B$6,P$10,$A621,$B621)</f>
        <v>0</v>
      </c>
      <c r="Q621" s="4">
        <f ca="1">_xll.DBRW($B$1,$B$2,$B$7,$B$3,$B$4,$B$5,$F621,$B$6,Q$10,$A621,$B621)</f>
        <v>0</v>
      </c>
      <c r="R621" s="4">
        <f ca="1">_xll.DBRW($B$1,$B$2,$B$7,$B$3,$B$4,$B$5,$F621,$B$6,R$10,$A621,$B621)</f>
        <v>0</v>
      </c>
      <c r="S621" s="4">
        <f ca="1">_xll.DBRW($B$1,$B$2,$B$7,$B$3,$B$4,$B$5,$F621,$B$6,S$10,$A621,$B621)</f>
        <v>0</v>
      </c>
      <c r="T621" s="4">
        <f ca="1">_xll.DBRW($B$1,$B$2,$B$7,$B$3,$B$4,$B$5,$F621,$B$6,T$10,$A621,$B621)</f>
        <v>0</v>
      </c>
      <c r="U621" s="4">
        <f ca="1">_xll.DBRW($B$1,$B$2,$B$7,$B$3,$B$4,$B$5,$F621,$B$6,U$10,$A621,$B621)</f>
        <v>0</v>
      </c>
      <c r="V621" s="4">
        <f ca="1">_xll.DBRW($B$1,$B$2,$B$7,$B$3,$B$4,$B$5,$F621,$B$6,V$10,$A621,$B621)</f>
        <v>0</v>
      </c>
      <c r="W621" s="4">
        <f ca="1">_xll.DBRW($B$1,$B$2,$B$7,$B$3,$B$4,$B$5,$F621,$B$6,W$10,$A621,$B621)</f>
        <v>0</v>
      </c>
      <c r="X621" s="4">
        <f ca="1">_xll.DBRW($B$1,$B$2,$B$7,$B$3,$B$4,$B$5,$F621,$B$6,X$10,$A621,$B621)</f>
        <v>0</v>
      </c>
      <c r="Y621" s="4">
        <f ca="1">_xll.DBRW($B$1,$B$2,$B$7,$B$3,$B$4,$B$5,$F621,$B$6,Y$10,$A621,$B621)</f>
        <v>0</v>
      </c>
      <c r="Z621" s="4">
        <f ca="1">_xll.DBRW($B$1,$B$2,$B$7,$B$3,$B$4,$B$5,$F621,$B$6,Z$10,$A621,$B621)</f>
        <v>0</v>
      </c>
      <c r="AA621" s="4">
        <f ca="1">_xll.DBRW($B$1,$B$2,$B$7,$B$3,$B$4,$B$5,$F621,$B$6,AA$10,$A621,$B621)</f>
        <v>0</v>
      </c>
      <c r="AB621" s="4">
        <f ca="1">_xll.DBRW($B$1,$B$2,$B$7,$B$3,$B$4,$B$5,$F621,$B$6,AB$10,$A621,$B621)</f>
        <v>0</v>
      </c>
      <c r="AC621" s="4">
        <f ca="1">_xll.DBRW($B$1,$B$2,$B$7,$B$3,$B$4,$B$5,$F621,$B$6,AC$10,$A621,$B621)</f>
        <v>0</v>
      </c>
      <c r="AD621" s="4">
        <f ca="1">_xll.DBRW($B$1,$B$2,$B$7,$B$3,$B$4,$B$5,$F621,$B$6,AD$10,$A621,$B621)</f>
        <v>0</v>
      </c>
      <c r="AE621" s="4">
        <f ca="1">_xll.DBRW($B$1,$B$2,$B$7,$B$3,$B$4,$B$5,$F621,$B$6,AE$10,$A621,$B621)</f>
        <v>0</v>
      </c>
    </row>
    <row r="622" spans="1:31">
      <c r="A622" s="1" t="s">
        <v>150</v>
      </c>
      <c r="B622" s="5" t="s">
        <v>207</v>
      </c>
      <c r="C622" s="5" t="s">
        <v>208</v>
      </c>
      <c r="D622" s="5" t="s">
        <v>181</v>
      </c>
      <c r="E622" s="5" t="s">
        <v>21</v>
      </c>
      <c r="F622" s="5" t="s">
        <v>317</v>
      </c>
      <c r="G622" s="6"/>
      <c r="H622" s="6"/>
      <c r="I622" s="6"/>
      <c r="J622" s="6"/>
      <c r="K622" s="6"/>
      <c r="L622" s="4">
        <f ca="1">_xll.DBRW($B$1,$B$2,$B$7,$B$3,$B$4,$B$5,$F622,$B$6,L$10,$A622,$B622)</f>
        <v>0</v>
      </c>
      <c r="M622" s="4">
        <f ca="1">_xll.DBRW($B$1,$B$2,$B$7,$B$3,$B$4,$B$5,$F622,$B$6,M$10,$A622,$B622)</f>
        <v>0</v>
      </c>
      <c r="N622" s="4">
        <f ca="1">_xll.DBRW($B$1,$B$2,$B$7,$B$3,$B$4,$B$5,$F622,$B$6,N$10,$A622,$B622)</f>
        <v>0</v>
      </c>
      <c r="O622" s="4">
        <f ca="1">_xll.DBRW($B$1,$B$2,$B$7,$B$3,$B$4,$B$5,$F622,$B$6,O$10,$A622,$B622)</f>
        <v>0</v>
      </c>
      <c r="P622" s="4">
        <f ca="1">_xll.DBRW($B$1,$B$2,$B$7,$B$3,$B$4,$B$5,$F622,$B$6,P$10,$A622,$B622)</f>
        <v>0</v>
      </c>
      <c r="Q622" s="4">
        <f ca="1">_xll.DBRW($B$1,$B$2,$B$7,$B$3,$B$4,$B$5,$F622,$B$6,Q$10,$A622,$B622)</f>
        <v>0</v>
      </c>
      <c r="R622" s="4">
        <f ca="1">_xll.DBRW($B$1,$B$2,$B$7,$B$3,$B$4,$B$5,$F622,$B$6,R$10,$A622,$B622)</f>
        <v>0</v>
      </c>
      <c r="S622" s="4">
        <f ca="1">_xll.DBRW($B$1,$B$2,$B$7,$B$3,$B$4,$B$5,$F622,$B$6,S$10,$A622,$B622)</f>
        <v>0</v>
      </c>
      <c r="T622" s="4">
        <f ca="1">_xll.DBRW($B$1,$B$2,$B$7,$B$3,$B$4,$B$5,$F622,$B$6,T$10,$A622,$B622)</f>
        <v>0</v>
      </c>
      <c r="U622" s="4">
        <f ca="1">_xll.DBRW($B$1,$B$2,$B$7,$B$3,$B$4,$B$5,$F622,$B$6,U$10,$A622,$B622)</f>
        <v>0</v>
      </c>
      <c r="V622" s="4">
        <f ca="1">_xll.DBRW($B$1,$B$2,$B$7,$B$3,$B$4,$B$5,$F622,$B$6,V$10,$A622,$B622)</f>
        <v>0</v>
      </c>
      <c r="W622" s="4">
        <f ca="1">_xll.DBRW($B$1,$B$2,$B$7,$B$3,$B$4,$B$5,$F622,$B$6,W$10,$A622,$B622)</f>
        <v>0</v>
      </c>
      <c r="X622" s="4">
        <f ca="1">_xll.DBRW($B$1,$B$2,$B$7,$B$3,$B$4,$B$5,$F622,$B$6,X$10,$A622,$B622)</f>
        <v>0</v>
      </c>
      <c r="Y622" s="4">
        <f ca="1">_xll.DBRW($B$1,$B$2,$B$7,$B$3,$B$4,$B$5,$F622,$B$6,Y$10,$A622,$B622)</f>
        <v>0</v>
      </c>
      <c r="Z622" s="4">
        <f ca="1">_xll.DBRW($B$1,$B$2,$B$7,$B$3,$B$4,$B$5,$F622,$B$6,Z$10,$A622,$B622)</f>
        <v>0</v>
      </c>
      <c r="AA622" s="4">
        <f ca="1">_xll.DBRW($B$1,$B$2,$B$7,$B$3,$B$4,$B$5,$F622,$B$6,AA$10,$A622,$B622)</f>
        <v>0</v>
      </c>
      <c r="AB622" s="4">
        <f ca="1">_xll.DBRW($B$1,$B$2,$B$7,$B$3,$B$4,$B$5,$F622,$B$6,AB$10,$A622,$B622)</f>
        <v>0</v>
      </c>
      <c r="AC622" s="4">
        <f ca="1">_xll.DBRW($B$1,$B$2,$B$7,$B$3,$B$4,$B$5,$F622,$B$6,AC$10,$A622,$B622)</f>
        <v>0</v>
      </c>
      <c r="AD622" s="4">
        <f ca="1">_xll.DBRW($B$1,$B$2,$B$7,$B$3,$B$4,$B$5,$F622,$B$6,AD$10,$A622,$B622)</f>
        <v>0</v>
      </c>
      <c r="AE622" s="4">
        <f ca="1">_xll.DBRW($B$1,$B$2,$B$7,$B$3,$B$4,$B$5,$F622,$B$6,AE$10,$A622,$B622)</f>
        <v>0</v>
      </c>
    </row>
    <row r="623" spans="1:31">
      <c r="A623" s="1" t="s">
        <v>150</v>
      </c>
      <c r="B623" s="5" t="s">
        <v>209</v>
      </c>
      <c r="C623" s="5" t="s">
        <v>210</v>
      </c>
      <c r="D623" s="5" t="s">
        <v>21</v>
      </c>
      <c r="E623" s="5" t="s">
        <v>211</v>
      </c>
      <c r="F623" s="5" t="s">
        <v>317</v>
      </c>
      <c r="G623" s="6"/>
      <c r="H623" s="6"/>
      <c r="I623" s="6"/>
      <c r="J623" s="6"/>
      <c r="K623" s="6"/>
      <c r="L623" s="4">
        <f ca="1">_xll.DBRW($B$1,$B$2,$B$7,$B$3,$B$4,$B$5,$F623,$B$6,L$10,$A623,$B623)</f>
        <v>0</v>
      </c>
      <c r="M623" s="4">
        <f ca="1">_xll.DBRW($B$1,$B$2,$B$7,$B$3,$B$4,$B$5,$F623,$B$6,M$10,$A623,$B623)</f>
        <v>0</v>
      </c>
      <c r="N623" s="4">
        <f ca="1">_xll.DBRW($B$1,$B$2,$B$7,$B$3,$B$4,$B$5,$F623,$B$6,N$10,$A623,$B623)</f>
        <v>0</v>
      </c>
      <c r="O623" s="4">
        <f ca="1">_xll.DBRW($B$1,$B$2,$B$7,$B$3,$B$4,$B$5,$F623,$B$6,O$10,$A623,$B623)</f>
        <v>0</v>
      </c>
      <c r="P623" s="4">
        <f ca="1">_xll.DBRW($B$1,$B$2,$B$7,$B$3,$B$4,$B$5,$F623,$B$6,P$10,$A623,$B623)</f>
        <v>0</v>
      </c>
      <c r="Q623" s="4">
        <f ca="1">_xll.DBRW($B$1,$B$2,$B$7,$B$3,$B$4,$B$5,$F623,$B$6,Q$10,$A623,$B623)</f>
        <v>0</v>
      </c>
      <c r="R623" s="4">
        <f ca="1">_xll.DBRW($B$1,$B$2,$B$7,$B$3,$B$4,$B$5,$F623,$B$6,R$10,$A623,$B623)</f>
        <v>0</v>
      </c>
      <c r="S623" s="4">
        <f ca="1">_xll.DBRW($B$1,$B$2,$B$7,$B$3,$B$4,$B$5,$F623,$B$6,S$10,$A623,$B623)</f>
        <v>0</v>
      </c>
      <c r="T623" s="4">
        <f ca="1">_xll.DBRW($B$1,$B$2,$B$7,$B$3,$B$4,$B$5,$F623,$B$6,T$10,$A623,$B623)</f>
        <v>0</v>
      </c>
      <c r="U623" s="4">
        <f ca="1">_xll.DBRW($B$1,$B$2,$B$7,$B$3,$B$4,$B$5,$F623,$B$6,U$10,$A623,$B623)</f>
        <v>0</v>
      </c>
      <c r="V623" s="4">
        <f ca="1">_xll.DBRW($B$1,$B$2,$B$7,$B$3,$B$4,$B$5,$F623,$B$6,V$10,$A623,$B623)</f>
        <v>0</v>
      </c>
      <c r="W623" s="4">
        <f ca="1">_xll.DBRW($B$1,$B$2,$B$7,$B$3,$B$4,$B$5,$F623,$B$6,W$10,$A623,$B623)</f>
        <v>0</v>
      </c>
      <c r="X623" s="4">
        <f ca="1">_xll.DBRW($B$1,$B$2,$B$7,$B$3,$B$4,$B$5,$F623,$B$6,X$10,$A623,$B623)</f>
        <v>0</v>
      </c>
      <c r="Y623" s="4">
        <f ca="1">_xll.DBRW($B$1,$B$2,$B$7,$B$3,$B$4,$B$5,$F623,$B$6,Y$10,$A623,$B623)</f>
        <v>0</v>
      </c>
      <c r="Z623" s="4">
        <f ca="1">_xll.DBRW($B$1,$B$2,$B$7,$B$3,$B$4,$B$5,$F623,$B$6,Z$10,$A623,$B623)</f>
        <v>0</v>
      </c>
      <c r="AA623" s="4">
        <f ca="1">_xll.DBRW($B$1,$B$2,$B$7,$B$3,$B$4,$B$5,$F623,$B$6,AA$10,$A623,$B623)</f>
        <v>0</v>
      </c>
      <c r="AB623" s="4">
        <f ca="1">_xll.DBRW($B$1,$B$2,$B$7,$B$3,$B$4,$B$5,$F623,$B$6,AB$10,$A623,$B623)</f>
        <v>0</v>
      </c>
      <c r="AC623" s="4">
        <f ca="1">_xll.DBRW($B$1,$B$2,$B$7,$B$3,$B$4,$B$5,$F623,$B$6,AC$10,$A623,$B623)</f>
        <v>0</v>
      </c>
      <c r="AD623" s="4">
        <f ca="1">_xll.DBRW($B$1,$B$2,$B$7,$B$3,$B$4,$B$5,$F623,$B$6,AD$10,$A623,$B623)</f>
        <v>0</v>
      </c>
      <c r="AE623" s="4">
        <f ca="1">_xll.DBRW($B$1,$B$2,$B$7,$B$3,$B$4,$B$5,$F623,$B$6,AE$10,$A623,$B623)</f>
        <v>0</v>
      </c>
    </row>
    <row r="624" spans="1:31">
      <c r="A624" s="1" t="s">
        <v>150</v>
      </c>
      <c r="B624" s="5" t="s">
        <v>212</v>
      </c>
      <c r="C624" s="5" t="s">
        <v>213</v>
      </c>
      <c r="D624" s="5" t="s">
        <v>211</v>
      </c>
      <c r="E624" s="5" t="s">
        <v>21</v>
      </c>
      <c r="F624" s="5" t="s">
        <v>317</v>
      </c>
      <c r="G624" s="6"/>
      <c r="H624" s="6"/>
      <c r="I624" s="6"/>
      <c r="J624" s="6"/>
      <c r="K624" s="6"/>
      <c r="L624" s="4">
        <f ca="1">_xll.DBRW($B$1,$B$2,$B$7,$B$3,$B$4,$B$5,$F624,$B$6,L$10,$A624,$B624)</f>
        <v>0</v>
      </c>
      <c r="M624" s="4">
        <f ca="1">_xll.DBRW($B$1,$B$2,$B$7,$B$3,$B$4,$B$5,$F624,$B$6,M$10,$A624,$B624)</f>
        <v>0</v>
      </c>
      <c r="N624" s="4">
        <f ca="1">_xll.DBRW($B$1,$B$2,$B$7,$B$3,$B$4,$B$5,$F624,$B$6,N$10,$A624,$B624)</f>
        <v>0</v>
      </c>
      <c r="O624" s="4">
        <f ca="1">_xll.DBRW($B$1,$B$2,$B$7,$B$3,$B$4,$B$5,$F624,$B$6,O$10,$A624,$B624)</f>
        <v>0</v>
      </c>
      <c r="P624" s="4">
        <f ca="1">_xll.DBRW($B$1,$B$2,$B$7,$B$3,$B$4,$B$5,$F624,$B$6,P$10,$A624,$B624)</f>
        <v>0</v>
      </c>
      <c r="Q624" s="4">
        <f ca="1">_xll.DBRW($B$1,$B$2,$B$7,$B$3,$B$4,$B$5,$F624,$B$6,Q$10,$A624,$B624)</f>
        <v>0</v>
      </c>
      <c r="R624" s="4">
        <f ca="1">_xll.DBRW($B$1,$B$2,$B$7,$B$3,$B$4,$B$5,$F624,$B$6,R$10,$A624,$B624)</f>
        <v>0</v>
      </c>
      <c r="S624" s="4">
        <f ca="1">_xll.DBRW($B$1,$B$2,$B$7,$B$3,$B$4,$B$5,$F624,$B$6,S$10,$A624,$B624)</f>
        <v>0</v>
      </c>
      <c r="T624" s="4">
        <f ca="1">_xll.DBRW($B$1,$B$2,$B$7,$B$3,$B$4,$B$5,$F624,$B$6,T$10,$A624,$B624)</f>
        <v>0</v>
      </c>
      <c r="U624" s="4">
        <f ca="1">_xll.DBRW($B$1,$B$2,$B$7,$B$3,$B$4,$B$5,$F624,$B$6,U$10,$A624,$B624)</f>
        <v>0</v>
      </c>
      <c r="V624" s="4">
        <f ca="1">_xll.DBRW($B$1,$B$2,$B$7,$B$3,$B$4,$B$5,$F624,$B$6,V$10,$A624,$B624)</f>
        <v>0</v>
      </c>
      <c r="W624" s="4">
        <f ca="1">_xll.DBRW($B$1,$B$2,$B$7,$B$3,$B$4,$B$5,$F624,$B$6,W$10,$A624,$B624)</f>
        <v>0</v>
      </c>
      <c r="X624" s="4">
        <f ca="1">_xll.DBRW($B$1,$B$2,$B$7,$B$3,$B$4,$B$5,$F624,$B$6,X$10,$A624,$B624)</f>
        <v>0</v>
      </c>
      <c r="Y624" s="4">
        <f ca="1">_xll.DBRW($B$1,$B$2,$B$7,$B$3,$B$4,$B$5,$F624,$B$6,Y$10,$A624,$B624)</f>
        <v>0</v>
      </c>
      <c r="Z624" s="4">
        <f ca="1">_xll.DBRW($B$1,$B$2,$B$7,$B$3,$B$4,$B$5,$F624,$B$6,Z$10,$A624,$B624)</f>
        <v>0</v>
      </c>
      <c r="AA624" s="4">
        <f ca="1">_xll.DBRW($B$1,$B$2,$B$7,$B$3,$B$4,$B$5,$F624,$B$6,AA$10,$A624,$B624)</f>
        <v>0</v>
      </c>
      <c r="AB624" s="4">
        <f ca="1">_xll.DBRW($B$1,$B$2,$B$7,$B$3,$B$4,$B$5,$F624,$B$6,AB$10,$A624,$B624)</f>
        <v>0</v>
      </c>
      <c r="AC624" s="4">
        <f ca="1">_xll.DBRW($B$1,$B$2,$B$7,$B$3,$B$4,$B$5,$F624,$B$6,AC$10,$A624,$B624)</f>
        <v>0</v>
      </c>
      <c r="AD624" s="4">
        <f ca="1">_xll.DBRW($B$1,$B$2,$B$7,$B$3,$B$4,$B$5,$F624,$B$6,AD$10,$A624,$B624)</f>
        <v>0</v>
      </c>
      <c r="AE624" s="4">
        <f ca="1">_xll.DBRW($B$1,$B$2,$B$7,$B$3,$B$4,$B$5,$F624,$B$6,AE$10,$A624,$B624)</f>
        <v>0</v>
      </c>
    </row>
    <row r="625" spans="1:31">
      <c r="A625" s="1" t="s">
        <v>150</v>
      </c>
      <c r="B625" s="5" t="s">
        <v>214</v>
      </c>
      <c r="C625" s="5" t="s">
        <v>187</v>
      </c>
      <c r="D625" s="5" t="s">
        <v>21</v>
      </c>
      <c r="E625" s="5" t="s">
        <v>59</v>
      </c>
      <c r="F625" s="5" t="s">
        <v>317</v>
      </c>
      <c r="G625" s="6"/>
      <c r="H625" s="6"/>
      <c r="I625" s="6"/>
      <c r="J625" s="6"/>
      <c r="K625" s="6"/>
      <c r="L625" s="4">
        <f ca="1">_xll.DBRW($B$1,$B$2,$B$7,$B$3,$B$4,$B$5,$F625,$B$6,L$10,$A625,$B625)</f>
        <v>0</v>
      </c>
      <c r="M625" s="4">
        <f ca="1">_xll.DBRW($B$1,$B$2,$B$7,$B$3,$B$4,$B$5,$F625,$B$6,M$10,$A625,$B625)</f>
        <v>0</v>
      </c>
      <c r="N625" s="4">
        <f ca="1">_xll.DBRW($B$1,$B$2,$B$7,$B$3,$B$4,$B$5,$F625,$B$6,N$10,$A625,$B625)</f>
        <v>0</v>
      </c>
      <c r="O625" s="4">
        <f ca="1">_xll.DBRW($B$1,$B$2,$B$7,$B$3,$B$4,$B$5,$F625,$B$6,O$10,$A625,$B625)</f>
        <v>0</v>
      </c>
      <c r="P625" s="4">
        <f ca="1">_xll.DBRW($B$1,$B$2,$B$7,$B$3,$B$4,$B$5,$F625,$B$6,P$10,$A625,$B625)</f>
        <v>0</v>
      </c>
      <c r="Q625" s="4">
        <f ca="1">_xll.DBRW($B$1,$B$2,$B$7,$B$3,$B$4,$B$5,$F625,$B$6,Q$10,$A625,$B625)</f>
        <v>0</v>
      </c>
      <c r="R625" s="4">
        <f ca="1">_xll.DBRW($B$1,$B$2,$B$7,$B$3,$B$4,$B$5,$F625,$B$6,R$10,$A625,$B625)</f>
        <v>0</v>
      </c>
      <c r="S625" s="4">
        <f ca="1">_xll.DBRW($B$1,$B$2,$B$7,$B$3,$B$4,$B$5,$F625,$B$6,S$10,$A625,$B625)</f>
        <v>0</v>
      </c>
      <c r="T625" s="4">
        <f ca="1">_xll.DBRW($B$1,$B$2,$B$7,$B$3,$B$4,$B$5,$F625,$B$6,T$10,$A625,$B625)</f>
        <v>0</v>
      </c>
      <c r="U625" s="4">
        <f ca="1">_xll.DBRW($B$1,$B$2,$B$7,$B$3,$B$4,$B$5,$F625,$B$6,U$10,$A625,$B625)</f>
        <v>0</v>
      </c>
      <c r="V625" s="4">
        <f ca="1">_xll.DBRW($B$1,$B$2,$B$7,$B$3,$B$4,$B$5,$F625,$B$6,V$10,$A625,$B625)</f>
        <v>0</v>
      </c>
      <c r="W625" s="4">
        <f ca="1">_xll.DBRW($B$1,$B$2,$B$7,$B$3,$B$4,$B$5,$F625,$B$6,W$10,$A625,$B625)</f>
        <v>0</v>
      </c>
      <c r="X625" s="4">
        <f ca="1">_xll.DBRW($B$1,$B$2,$B$7,$B$3,$B$4,$B$5,$F625,$B$6,X$10,$A625,$B625)</f>
        <v>0</v>
      </c>
      <c r="Y625" s="4">
        <f ca="1">_xll.DBRW($B$1,$B$2,$B$7,$B$3,$B$4,$B$5,$F625,$B$6,Y$10,$A625,$B625)</f>
        <v>0</v>
      </c>
      <c r="Z625" s="4">
        <f ca="1">_xll.DBRW($B$1,$B$2,$B$7,$B$3,$B$4,$B$5,$F625,$B$6,Z$10,$A625,$B625)</f>
        <v>0</v>
      </c>
      <c r="AA625" s="4">
        <f ca="1">_xll.DBRW($B$1,$B$2,$B$7,$B$3,$B$4,$B$5,$F625,$B$6,AA$10,$A625,$B625)</f>
        <v>0</v>
      </c>
      <c r="AB625" s="4">
        <f ca="1">_xll.DBRW($B$1,$B$2,$B$7,$B$3,$B$4,$B$5,$F625,$B$6,AB$10,$A625,$B625)</f>
        <v>0</v>
      </c>
      <c r="AC625" s="4">
        <f ca="1">_xll.DBRW($B$1,$B$2,$B$7,$B$3,$B$4,$B$5,$F625,$B$6,AC$10,$A625,$B625)</f>
        <v>0</v>
      </c>
      <c r="AD625" s="4">
        <f ca="1">_xll.DBRW($B$1,$B$2,$B$7,$B$3,$B$4,$B$5,$F625,$B$6,AD$10,$A625,$B625)</f>
        <v>0</v>
      </c>
      <c r="AE625" s="4">
        <f ca="1">_xll.DBRW($B$1,$B$2,$B$7,$B$3,$B$4,$B$5,$F625,$B$6,AE$10,$A625,$B625)</f>
        <v>0</v>
      </c>
    </row>
    <row r="626" spans="1:31">
      <c r="A626" s="1" t="s">
        <v>150</v>
      </c>
      <c r="B626" s="5" t="s">
        <v>63</v>
      </c>
      <c r="C626" s="5" t="s">
        <v>62</v>
      </c>
      <c r="D626" s="5" t="s">
        <v>59</v>
      </c>
      <c r="E626" s="5" t="s">
        <v>21</v>
      </c>
      <c r="F626" s="5" t="s">
        <v>317</v>
      </c>
      <c r="G626" s="6"/>
      <c r="H626" s="6"/>
      <c r="I626" s="6"/>
      <c r="J626" s="6"/>
      <c r="K626" s="6"/>
      <c r="L626" s="4">
        <f ca="1">_xll.DBRW($B$1,$B$2,$B$7,$B$3,$B$4,$B$5,$F626,$B$6,L$10,$A626,$B626)</f>
        <v>0</v>
      </c>
      <c r="M626" s="4">
        <f ca="1">_xll.DBRW($B$1,$B$2,$B$7,$B$3,$B$4,$B$5,$F626,$B$6,M$10,$A626,$B626)</f>
        <v>0</v>
      </c>
      <c r="N626" s="4">
        <f ca="1">_xll.DBRW($B$1,$B$2,$B$7,$B$3,$B$4,$B$5,$F626,$B$6,N$10,$A626,$B626)</f>
        <v>0</v>
      </c>
      <c r="O626" s="4">
        <f ca="1">_xll.DBRW($B$1,$B$2,$B$7,$B$3,$B$4,$B$5,$F626,$B$6,O$10,$A626,$B626)</f>
        <v>0</v>
      </c>
      <c r="P626" s="4">
        <f ca="1">_xll.DBRW($B$1,$B$2,$B$7,$B$3,$B$4,$B$5,$F626,$B$6,P$10,$A626,$B626)</f>
        <v>0</v>
      </c>
      <c r="Q626" s="4">
        <f ca="1">_xll.DBRW($B$1,$B$2,$B$7,$B$3,$B$4,$B$5,$F626,$B$6,Q$10,$A626,$B626)</f>
        <v>0</v>
      </c>
      <c r="R626" s="4">
        <f ca="1">_xll.DBRW($B$1,$B$2,$B$7,$B$3,$B$4,$B$5,$F626,$B$6,R$10,$A626,$B626)</f>
        <v>0</v>
      </c>
      <c r="S626" s="4">
        <f ca="1">_xll.DBRW($B$1,$B$2,$B$7,$B$3,$B$4,$B$5,$F626,$B$6,S$10,$A626,$B626)</f>
        <v>0</v>
      </c>
      <c r="T626" s="4">
        <f ca="1">_xll.DBRW($B$1,$B$2,$B$7,$B$3,$B$4,$B$5,$F626,$B$6,T$10,$A626,$B626)</f>
        <v>0</v>
      </c>
      <c r="U626" s="4">
        <f ca="1">_xll.DBRW($B$1,$B$2,$B$7,$B$3,$B$4,$B$5,$F626,$B$6,U$10,$A626,$B626)</f>
        <v>0</v>
      </c>
      <c r="V626" s="4">
        <f ca="1">_xll.DBRW($B$1,$B$2,$B$7,$B$3,$B$4,$B$5,$F626,$B$6,V$10,$A626,$B626)</f>
        <v>0</v>
      </c>
      <c r="W626" s="4">
        <f ca="1">_xll.DBRW($B$1,$B$2,$B$7,$B$3,$B$4,$B$5,$F626,$B$6,W$10,$A626,$B626)</f>
        <v>0</v>
      </c>
      <c r="X626" s="4">
        <f ca="1">_xll.DBRW($B$1,$B$2,$B$7,$B$3,$B$4,$B$5,$F626,$B$6,X$10,$A626,$B626)</f>
        <v>0</v>
      </c>
      <c r="Y626" s="4">
        <f ca="1">_xll.DBRW($B$1,$B$2,$B$7,$B$3,$B$4,$B$5,$F626,$B$6,Y$10,$A626,$B626)</f>
        <v>0</v>
      </c>
      <c r="Z626" s="4">
        <f ca="1">_xll.DBRW($B$1,$B$2,$B$7,$B$3,$B$4,$B$5,$F626,$B$6,Z$10,$A626,$B626)</f>
        <v>0</v>
      </c>
      <c r="AA626" s="4">
        <f ca="1">_xll.DBRW($B$1,$B$2,$B$7,$B$3,$B$4,$B$5,$F626,$B$6,AA$10,$A626,$B626)</f>
        <v>0</v>
      </c>
      <c r="AB626" s="4">
        <f ca="1">_xll.DBRW($B$1,$B$2,$B$7,$B$3,$B$4,$B$5,$F626,$B$6,AB$10,$A626,$B626)</f>
        <v>0</v>
      </c>
      <c r="AC626" s="4">
        <f ca="1">_xll.DBRW($B$1,$B$2,$B$7,$B$3,$B$4,$B$5,$F626,$B$6,AC$10,$A626,$B626)</f>
        <v>0</v>
      </c>
      <c r="AD626" s="4">
        <f ca="1">_xll.DBRW($B$1,$B$2,$B$7,$B$3,$B$4,$B$5,$F626,$B$6,AD$10,$A626,$B626)</f>
        <v>0</v>
      </c>
      <c r="AE626" s="4">
        <f ca="1">_xll.DBRW($B$1,$B$2,$B$7,$B$3,$B$4,$B$5,$F626,$B$6,AE$10,$A626,$B626)</f>
        <v>0</v>
      </c>
    </row>
    <row r="627" spans="1:31">
      <c r="A627" s="1" t="s">
        <v>150</v>
      </c>
      <c r="B627" s="5" t="s">
        <v>215</v>
      </c>
      <c r="C627" s="5" t="s">
        <v>159</v>
      </c>
      <c r="D627" s="5" t="s">
        <v>21</v>
      </c>
      <c r="E627" s="5" t="s">
        <v>38</v>
      </c>
      <c r="F627" s="5" t="s">
        <v>317</v>
      </c>
      <c r="G627" s="6"/>
      <c r="H627" s="6"/>
      <c r="I627" s="6"/>
      <c r="J627" s="6"/>
      <c r="K627" s="6"/>
      <c r="L627" s="4">
        <f ca="1">_xll.DBRW($B$1,$B$2,$B$7,$B$3,$B$4,$B$5,$F627,$B$6,L$10,$A627,$B627)</f>
        <v>1</v>
      </c>
      <c r="M627" s="4">
        <f ca="1">_xll.DBRW($B$1,$B$2,$B$7,$B$3,$B$4,$B$5,$F627,$B$6,M$10,$A627,$B627)</f>
        <v>0</v>
      </c>
      <c r="N627" s="4">
        <f ca="1">_xll.DBRW($B$1,$B$2,$B$7,$B$3,$B$4,$B$5,$F627,$B$6,N$10,$A627,$B627)</f>
        <v>0</v>
      </c>
      <c r="O627" s="4">
        <f ca="1">_xll.DBRW($B$1,$B$2,$B$7,$B$3,$B$4,$B$5,$F627,$B$6,O$10,$A627,$B627)</f>
        <v>0</v>
      </c>
      <c r="P627" s="4">
        <f ca="1">_xll.DBRW($B$1,$B$2,$B$7,$B$3,$B$4,$B$5,$F627,$B$6,P$10,$A627,$B627)</f>
        <v>0</v>
      </c>
      <c r="Q627" s="4">
        <f ca="1">_xll.DBRW($B$1,$B$2,$B$7,$B$3,$B$4,$B$5,$F627,$B$6,Q$10,$A627,$B627)</f>
        <v>0</v>
      </c>
      <c r="R627" s="4">
        <f ca="1">_xll.DBRW($B$1,$B$2,$B$7,$B$3,$B$4,$B$5,$F627,$B$6,R$10,$A627,$B627)</f>
        <v>0</v>
      </c>
      <c r="S627" s="4">
        <f ca="1">_xll.DBRW($B$1,$B$2,$B$7,$B$3,$B$4,$B$5,$F627,$B$6,S$10,$A627,$B627)</f>
        <v>0</v>
      </c>
      <c r="T627" s="4">
        <f ca="1">_xll.DBRW($B$1,$B$2,$B$7,$B$3,$B$4,$B$5,$F627,$B$6,T$10,$A627,$B627)</f>
        <v>0</v>
      </c>
      <c r="U627" s="4">
        <f ca="1">_xll.DBRW($B$1,$B$2,$B$7,$B$3,$B$4,$B$5,$F627,$B$6,U$10,$A627,$B627)</f>
        <v>0</v>
      </c>
      <c r="V627" s="4">
        <f ca="1">_xll.DBRW($B$1,$B$2,$B$7,$B$3,$B$4,$B$5,$F627,$B$6,V$10,$A627,$B627)</f>
        <v>0</v>
      </c>
      <c r="W627" s="4">
        <f ca="1">_xll.DBRW($B$1,$B$2,$B$7,$B$3,$B$4,$B$5,$F627,$B$6,W$10,$A627,$B627)</f>
        <v>0</v>
      </c>
      <c r="X627" s="4">
        <f ca="1">_xll.DBRW($B$1,$B$2,$B$7,$B$3,$B$4,$B$5,$F627,$B$6,X$10,$A627,$B627)</f>
        <v>0</v>
      </c>
      <c r="Y627" s="4">
        <f ca="1">_xll.DBRW($B$1,$B$2,$B$7,$B$3,$B$4,$B$5,$F627,$B$6,Y$10,$A627,$B627)</f>
        <v>0</v>
      </c>
      <c r="Z627" s="4">
        <f ca="1">_xll.DBRW($B$1,$B$2,$B$7,$B$3,$B$4,$B$5,$F627,$B$6,Z$10,$A627,$B627)</f>
        <v>0</v>
      </c>
      <c r="AA627" s="4">
        <f ca="1">_xll.DBRW($B$1,$B$2,$B$7,$B$3,$B$4,$B$5,$F627,$B$6,AA$10,$A627,$B627)</f>
        <v>0</v>
      </c>
      <c r="AB627" s="4">
        <f ca="1">_xll.DBRW($B$1,$B$2,$B$7,$B$3,$B$4,$B$5,$F627,$B$6,AB$10,$A627,$B627)</f>
        <v>0</v>
      </c>
      <c r="AC627" s="4">
        <f ca="1">_xll.DBRW($B$1,$B$2,$B$7,$B$3,$B$4,$B$5,$F627,$B$6,AC$10,$A627,$B627)</f>
        <v>0</v>
      </c>
      <c r="AD627" s="4">
        <f ca="1">_xll.DBRW($B$1,$B$2,$B$7,$B$3,$B$4,$B$5,$F627,$B$6,AD$10,$A627,$B627)</f>
        <v>0</v>
      </c>
      <c r="AE627" s="4">
        <f ca="1">_xll.DBRW($B$1,$B$2,$B$7,$B$3,$B$4,$B$5,$F627,$B$6,AE$10,$A627,$B627)</f>
        <v>0</v>
      </c>
    </row>
    <row r="628" spans="1:31">
      <c r="A628" s="1" t="s">
        <v>150</v>
      </c>
      <c r="B628" s="5" t="s">
        <v>43</v>
      </c>
      <c r="C628" s="5" t="s">
        <v>37</v>
      </c>
      <c r="D628" s="5" t="s">
        <v>38</v>
      </c>
      <c r="E628" s="5" t="s">
        <v>21</v>
      </c>
      <c r="F628" s="5" t="s">
        <v>317</v>
      </c>
      <c r="G628" s="6"/>
      <c r="H628" s="6"/>
      <c r="I628" s="6"/>
      <c r="J628" s="6"/>
      <c r="K628" s="6"/>
      <c r="L628" s="4">
        <f ca="1">_xll.DBRW($B$1,$B$2,$B$7,$B$3,$B$4,$B$5,$F628,$B$6,L$10,$A628,$B628)</f>
        <v>2</v>
      </c>
      <c r="M628" s="4">
        <f ca="1">_xll.DBRW($B$1,$B$2,$B$7,$B$3,$B$4,$B$5,$F628,$B$6,M$10,$A628,$B628)</f>
        <v>0</v>
      </c>
      <c r="N628" s="4">
        <f ca="1">_xll.DBRW($B$1,$B$2,$B$7,$B$3,$B$4,$B$5,$F628,$B$6,N$10,$A628,$B628)</f>
        <v>0</v>
      </c>
      <c r="O628" s="4">
        <f ca="1">_xll.DBRW($B$1,$B$2,$B$7,$B$3,$B$4,$B$5,$F628,$B$6,O$10,$A628,$B628)</f>
        <v>0</v>
      </c>
      <c r="P628" s="4">
        <f ca="1">_xll.DBRW($B$1,$B$2,$B$7,$B$3,$B$4,$B$5,$F628,$B$6,P$10,$A628,$B628)</f>
        <v>0</v>
      </c>
      <c r="Q628" s="4">
        <f ca="1">_xll.DBRW($B$1,$B$2,$B$7,$B$3,$B$4,$B$5,$F628,$B$6,Q$10,$A628,$B628)</f>
        <v>0</v>
      </c>
      <c r="R628" s="4">
        <f ca="1">_xll.DBRW($B$1,$B$2,$B$7,$B$3,$B$4,$B$5,$F628,$B$6,R$10,$A628,$B628)</f>
        <v>0</v>
      </c>
      <c r="S628" s="4">
        <f ca="1">_xll.DBRW($B$1,$B$2,$B$7,$B$3,$B$4,$B$5,$F628,$B$6,S$10,$A628,$B628)</f>
        <v>0</v>
      </c>
      <c r="T628" s="4">
        <f ca="1">_xll.DBRW($B$1,$B$2,$B$7,$B$3,$B$4,$B$5,$F628,$B$6,T$10,$A628,$B628)</f>
        <v>0</v>
      </c>
      <c r="U628" s="4">
        <f ca="1">_xll.DBRW($B$1,$B$2,$B$7,$B$3,$B$4,$B$5,$F628,$B$6,U$10,$A628,$B628)</f>
        <v>0</v>
      </c>
      <c r="V628" s="4">
        <f ca="1">_xll.DBRW($B$1,$B$2,$B$7,$B$3,$B$4,$B$5,$F628,$B$6,V$10,$A628,$B628)</f>
        <v>0</v>
      </c>
      <c r="W628" s="4">
        <f ca="1">_xll.DBRW($B$1,$B$2,$B$7,$B$3,$B$4,$B$5,$F628,$B$6,W$10,$A628,$B628)</f>
        <v>0</v>
      </c>
      <c r="X628" s="4">
        <f ca="1">_xll.DBRW($B$1,$B$2,$B$7,$B$3,$B$4,$B$5,$F628,$B$6,X$10,$A628,$B628)</f>
        <v>0</v>
      </c>
      <c r="Y628" s="4">
        <f ca="1">_xll.DBRW($B$1,$B$2,$B$7,$B$3,$B$4,$B$5,$F628,$B$6,Y$10,$A628,$B628)</f>
        <v>0</v>
      </c>
      <c r="Z628" s="4">
        <f ca="1">_xll.DBRW($B$1,$B$2,$B$7,$B$3,$B$4,$B$5,$F628,$B$6,Z$10,$A628,$B628)</f>
        <v>0</v>
      </c>
      <c r="AA628" s="4">
        <f ca="1">_xll.DBRW($B$1,$B$2,$B$7,$B$3,$B$4,$B$5,$F628,$B$6,AA$10,$A628,$B628)</f>
        <v>0</v>
      </c>
      <c r="AB628" s="4">
        <f ca="1">_xll.DBRW($B$1,$B$2,$B$7,$B$3,$B$4,$B$5,$F628,$B$6,AB$10,$A628,$B628)</f>
        <v>0</v>
      </c>
      <c r="AC628" s="4">
        <f ca="1">_xll.DBRW($B$1,$B$2,$B$7,$B$3,$B$4,$B$5,$F628,$B$6,AC$10,$A628,$B628)</f>
        <v>0</v>
      </c>
      <c r="AD628" s="4">
        <f ca="1">_xll.DBRW($B$1,$B$2,$B$7,$B$3,$B$4,$B$5,$F628,$B$6,AD$10,$A628,$B628)</f>
        <v>0</v>
      </c>
      <c r="AE628" s="4">
        <f ca="1">_xll.DBRW($B$1,$B$2,$B$7,$B$3,$B$4,$B$5,$F628,$B$6,AE$10,$A628,$B628)</f>
        <v>0</v>
      </c>
    </row>
    <row r="629" spans="1:31">
      <c r="A629" s="1" t="s">
        <v>150</v>
      </c>
      <c r="B629" s="5" t="s">
        <v>216</v>
      </c>
      <c r="C629" s="5" t="s">
        <v>163</v>
      </c>
      <c r="D629" s="5" t="s">
        <v>21</v>
      </c>
      <c r="E629" s="5" t="s">
        <v>54</v>
      </c>
      <c r="F629" s="5" t="s">
        <v>317</v>
      </c>
      <c r="G629" s="6"/>
      <c r="H629" s="6"/>
      <c r="I629" s="6"/>
      <c r="J629" s="6"/>
      <c r="K629" s="6"/>
      <c r="L629" s="4">
        <f ca="1">_xll.DBRW($B$1,$B$2,$B$7,$B$3,$B$4,$B$5,$F629,$B$6,L$10,$A629,$B629)</f>
        <v>31</v>
      </c>
      <c r="M629" s="4">
        <f ca="1">_xll.DBRW($B$1,$B$2,$B$7,$B$3,$B$4,$B$5,$F629,$B$6,M$10,$A629,$B629)</f>
        <v>30</v>
      </c>
      <c r="N629" s="4">
        <f ca="1">_xll.DBRW($B$1,$B$2,$B$7,$B$3,$B$4,$B$5,$F629,$B$6,N$10,$A629,$B629)</f>
        <v>31</v>
      </c>
      <c r="O629" s="4">
        <f ca="1">_xll.DBRW($B$1,$B$2,$B$7,$B$3,$B$4,$B$5,$F629,$B$6,O$10,$A629,$B629)</f>
        <v>31</v>
      </c>
      <c r="P629" s="4">
        <f ca="1">_xll.DBRW($B$1,$B$2,$B$7,$B$3,$B$4,$B$5,$F629,$B$6,P$10,$A629,$B629)</f>
        <v>30</v>
      </c>
      <c r="Q629" s="4">
        <f ca="1">_xll.DBRW($B$1,$B$2,$B$7,$B$3,$B$4,$B$5,$F629,$B$6,Q$10,$A629,$B629)</f>
        <v>26</v>
      </c>
      <c r="R629" s="4">
        <f ca="1">_xll.DBRW($B$1,$B$2,$B$7,$B$3,$B$4,$B$5,$F629,$B$6,R$10,$A629,$B629)</f>
        <v>0</v>
      </c>
      <c r="S629" s="4">
        <f ca="1">_xll.DBRW($B$1,$B$2,$B$7,$B$3,$B$4,$B$5,$F629,$B$6,S$10,$A629,$B629)</f>
        <v>0</v>
      </c>
      <c r="T629" s="4">
        <f ca="1">_xll.DBRW($B$1,$B$2,$B$7,$B$3,$B$4,$B$5,$F629,$B$6,T$10,$A629,$B629)</f>
        <v>0</v>
      </c>
      <c r="U629" s="4">
        <f ca="1">_xll.DBRW($B$1,$B$2,$B$7,$B$3,$B$4,$B$5,$F629,$B$6,U$10,$A629,$B629)</f>
        <v>0</v>
      </c>
      <c r="V629" s="4">
        <f ca="1">_xll.DBRW($B$1,$B$2,$B$7,$B$3,$B$4,$B$5,$F629,$B$6,V$10,$A629,$B629)</f>
        <v>0</v>
      </c>
      <c r="W629" s="4">
        <f ca="1">_xll.DBRW($B$1,$B$2,$B$7,$B$3,$B$4,$B$5,$F629,$B$6,W$10,$A629,$B629)</f>
        <v>0</v>
      </c>
      <c r="X629" s="4">
        <f ca="1">_xll.DBRW($B$1,$B$2,$B$7,$B$3,$B$4,$B$5,$F629,$B$6,X$10,$A629,$B629)</f>
        <v>0</v>
      </c>
      <c r="Y629" s="4">
        <f ca="1">_xll.DBRW($B$1,$B$2,$B$7,$B$3,$B$4,$B$5,$F629,$B$6,Y$10,$A629,$B629)</f>
        <v>0</v>
      </c>
      <c r="Z629" s="4">
        <f ca="1">_xll.DBRW($B$1,$B$2,$B$7,$B$3,$B$4,$B$5,$F629,$B$6,Z$10,$A629,$B629)</f>
        <v>0</v>
      </c>
      <c r="AA629" s="4">
        <f ca="1">_xll.DBRW($B$1,$B$2,$B$7,$B$3,$B$4,$B$5,$F629,$B$6,AA$10,$A629,$B629)</f>
        <v>0</v>
      </c>
      <c r="AB629" s="4">
        <f ca="1">_xll.DBRW($B$1,$B$2,$B$7,$B$3,$B$4,$B$5,$F629,$B$6,AB$10,$A629,$B629)</f>
        <v>0</v>
      </c>
      <c r="AC629" s="4">
        <f ca="1">_xll.DBRW($B$1,$B$2,$B$7,$B$3,$B$4,$B$5,$F629,$B$6,AC$10,$A629,$B629)</f>
        <v>0</v>
      </c>
      <c r="AD629" s="4">
        <f ca="1">_xll.DBRW($B$1,$B$2,$B$7,$B$3,$B$4,$B$5,$F629,$B$6,AD$10,$A629,$B629)</f>
        <v>0</v>
      </c>
      <c r="AE629" s="4">
        <f ca="1">_xll.DBRW($B$1,$B$2,$B$7,$B$3,$B$4,$B$5,$F629,$B$6,AE$10,$A629,$B629)</f>
        <v>0</v>
      </c>
    </row>
    <row r="630" spans="1:31">
      <c r="A630" s="1" t="s">
        <v>150</v>
      </c>
      <c r="B630" s="5" t="s">
        <v>56</v>
      </c>
      <c r="C630" s="5" t="s">
        <v>53</v>
      </c>
      <c r="D630" s="5" t="s">
        <v>54</v>
      </c>
      <c r="E630" s="5" t="s">
        <v>21</v>
      </c>
      <c r="F630" s="5" t="s">
        <v>317</v>
      </c>
      <c r="G630" s="6"/>
      <c r="H630" s="6"/>
      <c r="I630" s="6"/>
      <c r="J630" s="6"/>
      <c r="K630" s="6"/>
      <c r="L630" s="4">
        <f ca="1">_xll.DBRW($B$1,$B$2,$B$7,$B$3,$B$4,$B$5,$F630,$B$6,L$10,$A630,$B630)</f>
        <v>31</v>
      </c>
      <c r="M630" s="4">
        <f ca="1">_xll.DBRW($B$1,$B$2,$B$7,$B$3,$B$4,$B$5,$F630,$B$6,M$10,$A630,$B630)</f>
        <v>30</v>
      </c>
      <c r="N630" s="4">
        <f ca="1">_xll.DBRW($B$1,$B$2,$B$7,$B$3,$B$4,$B$5,$F630,$B$6,N$10,$A630,$B630)</f>
        <v>31</v>
      </c>
      <c r="O630" s="4">
        <f ca="1">_xll.DBRW($B$1,$B$2,$B$7,$B$3,$B$4,$B$5,$F630,$B$6,O$10,$A630,$B630)</f>
        <v>31</v>
      </c>
      <c r="P630" s="4">
        <f ca="1">_xll.DBRW($B$1,$B$2,$B$7,$B$3,$B$4,$B$5,$F630,$B$6,P$10,$A630,$B630)</f>
        <v>30</v>
      </c>
      <c r="Q630" s="4">
        <f ca="1">_xll.DBRW($B$1,$B$2,$B$7,$B$3,$B$4,$B$5,$F630,$B$6,Q$10,$A630,$B630)</f>
        <v>26</v>
      </c>
      <c r="R630" s="4">
        <f ca="1">_xll.DBRW($B$1,$B$2,$B$7,$B$3,$B$4,$B$5,$F630,$B$6,R$10,$A630,$B630)</f>
        <v>0</v>
      </c>
      <c r="S630" s="4">
        <f ca="1">_xll.DBRW($B$1,$B$2,$B$7,$B$3,$B$4,$B$5,$F630,$B$6,S$10,$A630,$B630)</f>
        <v>0</v>
      </c>
      <c r="T630" s="4">
        <f ca="1">_xll.DBRW($B$1,$B$2,$B$7,$B$3,$B$4,$B$5,$F630,$B$6,T$10,$A630,$B630)</f>
        <v>0</v>
      </c>
      <c r="U630" s="4">
        <f ca="1">_xll.DBRW($B$1,$B$2,$B$7,$B$3,$B$4,$B$5,$F630,$B$6,U$10,$A630,$B630)</f>
        <v>0</v>
      </c>
      <c r="V630" s="4">
        <f ca="1">_xll.DBRW($B$1,$B$2,$B$7,$B$3,$B$4,$B$5,$F630,$B$6,V$10,$A630,$B630)</f>
        <v>0</v>
      </c>
      <c r="W630" s="4">
        <f ca="1">_xll.DBRW($B$1,$B$2,$B$7,$B$3,$B$4,$B$5,$F630,$B$6,W$10,$A630,$B630)</f>
        <v>0</v>
      </c>
      <c r="X630" s="4">
        <f ca="1">_xll.DBRW($B$1,$B$2,$B$7,$B$3,$B$4,$B$5,$F630,$B$6,X$10,$A630,$B630)</f>
        <v>0</v>
      </c>
      <c r="Y630" s="4">
        <f ca="1">_xll.DBRW($B$1,$B$2,$B$7,$B$3,$B$4,$B$5,$F630,$B$6,Y$10,$A630,$B630)</f>
        <v>0</v>
      </c>
      <c r="Z630" s="4">
        <f ca="1">_xll.DBRW($B$1,$B$2,$B$7,$B$3,$B$4,$B$5,$F630,$B$6,Z$10,$A630,$B630)</f>
        <v>0</v>
      </c>
      <c r="AA630" s="4">
        <f ca="1">_xll.DBRW($B$1,$B$2,$B$7,$B$3,$B$4,$B$5,$F630,$B$6,AA$10,$A630,$B630)</f>
        <v>0</v>
      </c>
      <c r="AB630" s="4">
        <f ca="1">_xll.DBRW($B$1,$B$2,$B$7,$B$3,$B$4,$B$5,$F630,$B$6,AB$10,$A630,$B630)</f>
        <v>0</v>
      </c>
      <c r="AC630" s="4">
        <f ca="1">_xll.DBRW($B$1,$B$2,$B$7,$B$3,$B$4,$B$5,$F630,$B$6,AC$10,$A630,$B630)</f>
        <v>0</v>
      </c>
      <c r="AD630" s="4">
        <f ca="1">_xll.DBRW($B$1,$B$2,$B$7,$B$3,$B$4,$B$5,$F630,$B$6,AD$10,$A630,$B630)</f>
        <v>0</v>
      </c>
      <c r="AE630" s="4">
        <f ca="1">_xll.DBRW($B$1,$B$2,$B$7,$B$3,$B$4,$B$5,$F630,$B$6,AE$10,$A630,$B630)</f>
        <v>0</v>
      </c>
    </row>
    <row r="631" spans="1:31">
      <c r="A631" s="1" t="s">
        <v>150</v>
      </c>
      <c r="B631" s="5" t="s">
        <v>217</v>
      </c>
      <c r="C631" s="5" t="s">
        <v>159</v>
      </c>
      <c r="D631" s="5" t="s">
        <v>21</v>
      </c>
      <c r="E631" s="5" t="s">
        <v>38</v>
      </c>
      <c r="F631" s="5" t="s">
        <v>317</v>
      </c>
      <c r="G631" s="6"/>
      <c r="H631" s="6"/>
      <c r="I631" s="6"/>
      <c r="J631" s="6"/>
      <c r="K631" s="6"/>
      <c r="L631" s="4">
        <f ca="1">_xll.DBRW($B$1,$B$2,$B$7,$B$3,$B$4,$B$5,$F631,$B$6,L$10,$A631,$B631)</f>
        <v>1</v>
      </c>
      <c r="M631" s="4">
        <f ca="1">_xll.DBRW($B$1,$B$2,$B$7,$B$3,$B$4,$B$5,$F631,$B$6,M$10,$A631,$B631)</f>
        <v>0</v>
      </c>
      <c r="N631" s="4">
        <f ca="1">_xll.DBRW($B$1,$B$2,$B$7,$B$3,$B$4,$B$5,$F631,$B$6,N$10,$A631,$B631)</f>
        <v>1</v>
      </c>
      <c r="O631" s="4">
        <f ca="1">_xll.DBRW($B$1,$B$2,$B$7,$B$3,$B$4,$B$5,$F631,$B$6,O$10,$A631,$B631)</f>
        <v>0</v>
      </c>
      <c r="P631" s="4">
        <f ca="1">_xll.DBRW($B$1,$B$2,$B$7,$B$3,$B$4,$B$5,$F631,$B$6,P$10,$A631,$B631)</f>
        <v>0</v>
      </c>
      <c r="Q631" s="4">
        <f ca="1">_xll.DBRW($B$1,$B$2,$B$7,$B$3,$B$4,$B$5,$F631,$B$6,Q$10,$A631,$B631)</f>
        <v>0</v>
      </c>
      <c r="R631" s="4">
        <f ca="1">_xll.DBRW($B$1,$B$2,$B$7,$B$3,$B$4,$B$5,$F631,$B$6,R$10,$A631,$B631)</f>
        <v>0</v>
      </c>
      <c r="S631" s="4">
        <f ca="1">_xll.DBRW($B$1,$B$2,$B$7,$B$3,$B$4,$B$5,$F631,$B$6,S$10,$A631,$B631)</f>
        <v>0</v>
      </c>
      <c r="T631" s="4">
        <f ca="1">_xll.DBRW($B$1,$B$2,$B$7,$B$3,$B$4,$B$5,$F631,$B$6,T$10,$A631,$B631)</f>
        <v>4</v>
      </c>
      <c r="U631" s="4">
        <f ca="1">_xll.DBRW($B$1,$B$2,$B$7,$B$3,$B$4,$B$5,$F631,$B$6,U$10,$A631,$B631)</f>
        <v>4</v>
      </c>
      <c r="V631" s="4">
        <f ca="1">_xll.DBRW($B$1,$B$2,$B$7,$B$3,$B$4,$B$5,$F631,$B$6,V$10,$A631,$B631)</f>
        <v>4</v>
      </c>
      <c r="W631" s="4">
        <f ca="1">_xll.DBRW($B$1,$B$2,$B$7,$B$3,$B$4,$B$5,$F631,$B$6,W$10,$A631,$B631)</f>
        <v>4</v>
      </c>
      <c r="X631" s="4">
        <f ca="1">_xll.DBRW($B$1,$B$2,$B$7,$B$3,$B$4,$B$5,$F631,$B$6,X$10,$A631,$B631)</f>
        <v>5</v>
      </c>
      <c r="Y631" s="4">
        <f ca="1">_xll.DBRW($B$1,$B$2,$B$7,$B$3,$B$4,$B$5,$F631,$B$6,Y$10,$A631,$B631)</f>
        <v>4</v>
      </c>
      <c r="Z631" s="4">
        <f ca="1">_xll.DBRW($B$1,$B$2,$B$7,$B$3,$B$4,$B$5,$F631,$B$6,Z$10,$A631,$B631)</f>
        <v>4</v>
      </c>
      <c r="AA631" s="4">
        <f ca="1">_xll.DBRW($B$1,$B$2,$B$7,$B$3,$B$4,$B$5,$F631,$B$6,AA$10,$A631,$B631)</f>
        <v>5</v>
      </c>
      <c r="AB631" s="4">
        <f ca="1">_xll.DBRW($B$1,$B$2,$B$7,$B$3,$B$4,$B$5,$F631,$B$6,AB$10,$A631,$B631)</f>
        <v>4</v>
      </c>
      <c r="AC631" s="4">
        <f ca="1">_xll.DBRW($B$1,$B$2,$B$7,$B$3,$B$4,$B$5,$F631,$B$6,AC$10,$A631,$B631)</f>
        <v>5</v>
      </c>
      <c r="AD631" s="4">
        <f ca="1">_xll.DBRW($B$1,$B$2,$B$7,$B$3,$B$4,$B$5,$F631,$B$6,AD$10,$A631,$B631)</f>
        <v>4</v>
      </c>
      <c r="AE631" s="4">
        <f ca="1">_xll.DBRW($B$1,$B$2,$B$7,$B$3,$B$4,$B$5,$F631,$B$6,AE$10,$A631,$B631)</f>
        <v>5</v>
      </c>
    </row>
    <row r="632" spans="1:31">
      <c r="A632" s="1" t="s">
        <v>150</v>
      </c>
      <c r="B632" s="5" t="s">
        <v>44</v>
      </c>
      <c r="C632" s="5" t="s">
        <v>37</v>
      </c>
      <c r="D632" s="5" t="s">
        <v>38</v>
      </c>
      <c r="E632" s="5" t="s">
        <v>21</v>
      </c>
      <c r="F632" s="5" t="s">
        <v>317</v>
      </c>
      <c r="G632" s="6"/>
      <c r="H632" s="6"/>
      <c r="I632" s="6"/>
      <c r="J632" s="6"/>
      <c r="K632" s="6"/>
      <c r="L632" s="4">
        <f ca="1">_xll.DBRW($B$1,$B$2,$B$7,$B$3,$B$4,$B$5,$F632,$B$6,L$10,$A632,$B632)</f>
        <v>0</v>
      </c>
      <c r="M632" s="4">
        <f ca="1">_xll.DBRW($B$1,$B$2,$B$7,$B$3,$B$4,$B$5,$F632,$B$6,M$10,$A632,$B632)</f>
        <v>0</v>
      </c>
      <c r="N632" s="4">
        <f ca="1">_xll.DBRW($B$1,$B$2,$B$7,$B$3,$B$4,$B$5,$F632,$B$6,N$10,$A632,$B632)</f>
        <v>0</v>
      </c>
      <c r="O632" s="4">
        <f ca="1">_xll.DBRW($B$1,$B$2,$B$7,$B$3,$B$4,$B$5,$F632,$B$6,O$10,$A632,$B632)</f>
        <v>0</v>
      </c>
      <c r="P632" s="4">
        <f ca="1">_xll.DBRW($B$1,$B$2,$B$7,$B$3,$B$4,$B$5,$F632,$B$6,P$10,$A632,$B632)</f>
        <v>0</v>
      </c>
      <c r="Q632" s="4">
        <f ca="1">_xll.DBRW($B$1,$B$2,$B$7,$B$3,$B$4,$B$5,$F632,$B$6,Q$10,$A632,$B632)</f>
        <v>0</v>
      </c>
      <c r="R632" s="4">
        <f ca="1">_xll.DBRW($B$1,$B$2,$B$7,$B$3,$B$4,$B$5,$F632,$B$6,R$10,$A632,$B632)</f>
        <v>0</v>
      </c>
      <c r="S632" s="4">
        <f ca="1">_xll.DBRW($B$1,$B$2,$B$7,$B$3,$B$4,$B$5,$F632,$B$6,S$10,$A632,$B632)</f>
        <v>0</v>
      </c>
      <c r="T632" s="4">
        <f ca="1">_xll.DBRW($B$1,$B$2,$B$7,$B$3,$B$4,$B$5,$F632,$B$6,T$10,$A632,$B632)</f>
        <v>4</v>
      </c>
      <c r="U632" s="4">
        <f ca="1">_xll.DBRW($B$1,$B$2,$B$7,$B$3,$B$4,$B$5,$F632,$B$6,U$10,$A632,$B632)</f>
        <v>4</v>
      </c>
      <c r="V632" s="4">
        <f ca="1">_xll.DBRW($B$1,$B$2,$B$7,$B$3,$B$4,$B$5,$F632,$B$6,V$10,$A632,$B632)</f>
        <v>4</v>
      </c>
      <c r="W632" s="4">
        <f ca="1">_xll.DBRW($B$1,$B$2,$B$7,$B$3,$B$4,$B$5,$F632,$B$6,W$10,$A632,$B632)</f>
        <v>4</v>
      </c>
      <c r="X632" s="4">
        <f ca="1">_xll.DBRW($B$1,$B$2,$B$7,$B$3,$B$4,$B$5,$F632,$B$6,X$10,$A632,$B632)</f>
        <v>5</v>
      </c>
      <c r="Y632" s="4">
        <f ca="1">_xll.DBRW($B$1,$B$2,$B$7,$B$3,$B$4,$B$5,$F632,$B$6,Y$10,$A632,$B632)</f>
        <v>4</v>
      </c>
      <c r="Z632" s="4">
        <f ca="1">_xll.DBRW($B$1,$B$2,$B$7,$B$3,$B$4,$B$5,$F632,$B$6,Z$10,$A632,$B632)</f>
        <v>4</v>
      </c>
      <c r="AA632" s="4">
        <f ca="1">_xll.DBRW($B$1,$B$2,$B$7,$B$3,$B$4,$B$5,$F632,$B$6,AA$10,$A632,$B632)</f>
        <v>5</v>
      </c>
      <c r="AB632" s="4">
        <f ca="1">_xll.DBRW($B$1,$B$2,$B$7,$B$3,$B$4,$B$5,$F632,$B$6,AB$10,$A632,$B632)</f>
        <v>4</v>
      </c>
      <c r="AC632" s="4">
        <f ca="1">_xll.DBRW($B$1,$B$2,$B$7,$B$3,$B$4,$B$5,$F632,$B$6,AC$10,$A632,$B632)</f>
        <v>4</v>
      </c>
      <c r="AD632" s="4">
        <f ca="1">_xll.DBRW($B$1,$B$2,$B$7,$B$3,$B$4,$B$5,$F632,$B$6,AD$10,$A632,$B632)</f>
        <v>4</v>
      </c>
      <c r="AE632" s="4">
        <f ca="1">_xll.DBRW($B$1,$B$2,$B$7,$B$3,$B$4,$B$5,$F632,$B$6,AE$10,$A632,$B632)</f>
        <v>5</v>
      </c>
    </row>
    <row r="633" spans="1:31">
      <c r="A633" s="1" t="s">
        <v>150</v>
      </c>
      <c r="B633" s="5" t="s">
        <v>218</v>
      </c>
      <c r="C633" s="5" t="s">
        <v>219</v>
      </c>
      <c r="D633" s="5" t="s">
        <v>21</v>
      </c>
      <c r="E633" s="5" t="s">
        <v>49</v>
      </c>
      <c r="F633" s="5" t="s">
        <v>317</v>
      </c>
      <c r="G633" s="6"/>
      <c r="H633" s="6"/>
      <c r="I633" s="6"/>
      <c r="J633" s="6"/>
      <c r="K633" s="6"/>
      <c r="L633" s="4">
        <f ca="1">_xll.DBRW($B$1,$B$2,$B$7,$B$3,$B$4,$B$5,$F633,$B$6,L$10,$A633,$B633)</f>
        <v>31</v>
      </c>
      <c r="M633" s="4">
        <f ca="1">_xll.DBRW($B$1,$B$2,$B$7,$B$3,$B$4,$B$5,$F633,$B$6,M$10,$A633,$B633)</f>
        <v>30</v>
      </c>
      <c r="N633" s="4">
        <f ca="1">_xll.DBRW($B$1,$B$2,$B$7,$B$3,$B$4,$B$5,$F633,$B$6,N$10,$A633,$B633)</f>
        <v>31</v>
      </c>
      <c r="O633" s="4">
        <f ca="1">_xll.DBRW($B$1,$B$2,$B$7,$B$3,$B$4,$B$5,$F633,$B$6,O$10,$A633,$B633)</f>
        <v>31</v>
      </c>
      <c r="P633" s="4">
        <f ca="1">_xll.DBRW($B$1,$B$2,$B$7,$B$3,$B$4,$B$5,$F633,$B$6,P$10,$A633,$B633)</f>
        <v>30</v>
      </c>
      <c r="Q633" s="4">
        <f ca="1">_xll.DBRW($B$1,$B$2,$B$7,$B$3,$B$4,$B$5,$F633,$B$6,Q$10,$A633,$B633)</f>
        <v>31</v>
      </c>
      <c r="R633" s="4">
        <f ca="1">_xll.DBRW($B$1,$B$2,$B$7,$B$3,$B$4,$B$5,$F633,$B$6,R$10,$A633,$B633)</f>
        <v>30</v>
      </c>
      <c r="S633" s="4">
        <f ca="1">_xll.DBRW($B$1,$B$2,$B$7,$B$3,$B$4,$B$5,$F633,$B$6,S$10,$A633,$B633)</f>
        <v>31</v>
      </c>
      <c r="T633" s="4">
        <f ca="1">_xll.DBRW($B$1,$B$2,$B$7,$B$3,$B$4,$B$5,$F633,$B$6,T$10,$A633,$B633)</f>
        <v>31</v>
      </c>
      <c r="U633" s="4">
        <f ca="1">_xll.DBRW($B$1,$B$2,$B$7,$B$3,$B$4,$B$5,$F633,$B$6,U$10,$A633,$B633)</f>
        <v>28</v>
      </c>
      <c r="V633" s="4">
        <f ca="1">_xll.DBRW($B$1,$B$2,$B$7,$B$3,$B$4,$B$5,$F633,$B$6,V$10,$A633,$B633)</f>
        <v>31</v>
      </c>
      <c r="W633" s="4">
        <f ca="1">_xll.DBRW($B$1,$B$2,$B$7,$B$3,$B$4,$B$5,$F633,$B$6,W$10,$A633,$B633)</f>
        <v>30</v>
      </c>
      <c r="X633" s="4">
        <f ca="1">_xll.DBRW($B$1,$B$2,$B$7,$B$3,$B$4,$B$5,$F633,$B$6,X$10,$A633,$B633)</f>
        <v>31</v>
      </c>
      <c r="Y633" s="4">
        <f ca="1">_xll.DBRW($B$1,$B$2,$B$7,$B$3,$B$4,$B$5,$F633,$B$6,Y$10,$A633,$B633)</f>
        <v>30</v>
      </c>
      <c r="Z633" s="4">
        <f ca="1">_xll.DBRW($B$1,$B$2,$B$7,$B$3,$B$4,$B$5,$F633,$B$6,Z$10,$A633,$B633)</f>
        <v>31</v>
      </c>
      <c r="AA633" s="4">
        <f ca="1">_xll.DBRW($B$1,$B$2,$B$7,$B$3,$B$4,$B$5,$F633,$B$6,AA$10,$A633,$B633)</f>
        <v>31</v>
      </c>
      <c r="AB633" s="4">
        <f ca="1">_xll.DBRW($B$1,$B$2,$B$7,$B$3,$B$4,$B$5,$F633,$B$6,AB$10,$A633,$B633)</f>
        <v>30</v>
      </c>
      <c r="AC633" s="4">
        <f ca="1">_xll.DBRW($B$1,$B$2,$B$7,$B$3,$B$4,$B$5,$F633,$B$6,AC$10,$A633,$B633)</f>
        <v>31</v>
      </c>
      <c r="AD633" s="4">
        <f ca="1">_xll.DBRW($B$1,$B$2,$B$7,$B$3,$B$4,$B$5,$F633,$B$6,AD$10,$A633,$B633)</f>
        <v>30</v>
      </c>
      <c r="AE633" s="4">
        <f ca="1">_xll.DBRW($B$1,$B$2,$B$7,$B$3,$B$4,$B$5,$F633,$B$6,AE$10,$A633,$B633)</f>
        <v>31</v>
      </c>
    </row>
    <row r="634" spans="1:31">
      <c r="A634" s="1" t="s">
        <v>150</v>
      </c>
      <c r="B634" s="5" t="s">
        <v>47</v>
      </c>
      <c r="C634" s="5" t="s">
        <v>48</v>
      </c>
      <c r="D634" s="5" t="s">
        <v>49</v>
      </c>
      <c r="E634" s="5" t="s">
        <v>21</v>
      </c>
      <c r="F634" s="5" t="s">
        <v>317</v>
      </c>
      <c r="G634" s="6"/>
      <c r="H634" s="6"/>
      <c r="I634" s="6"/>
      <c r="J634" s="6"/>
      <c r="K634" s="6"/>
      <c r="L634" s="4">
        <f ca="1">_xll.DBRW($B$1,$B$2,$B$7,$B$3,$B$4,$B$5,$F634,$B$6,L$10,$A634,$B634)</f>
        <v>31</v>
      </c>
      <c r="M634" s="4">
        <f ca="1">_xll.DBRW($B$1,$B$2,$B$7,$B$3,$B$4,$B$5,$F634,$B$6,M$10,$A634,$B634)</f>
        <v>30</v>
      </c>
      <c r="N634" s="4">
        <f ca="1">_xll.DBRW($B$1,$B$2,$B$7,$B$3,$B$4,$B$5,$F634,$B$6,N$10,$A634,$B634)</f>
        <v>31</v>
      </c>
      <c r="O634" s="4">
        <f ca="1">_xll.DBRW($B$1,$B$2,$B$7,$B$3,$B$4,$B$5,$F634,$B$6,O$10,$A634,$B634)</f>
        <v>31</v>
      </c>
      <c r="P634" s="4">
        <f ca="1">_xll.DBRW($B$1,$B$2,$B$7,$B$3,$B$4,$B$5,$F634,$B$6,P$10,$A634,$B634)</f>
        <v>30</v>
      </c>
      <c r="Q634" s="4">
        <f ca="1">_xll.DBRW($B$1,$B$2,$B$7,$B$3,$B$4,$B$5,$F634,$B$6,Q$10,$A634,$B634)</f>
        <v>31</v>
      </c>
      <c r="R634" s="4">
        <f ca="1">_xll.DBRW($B$1,$B$2,$B$7,$B$3,$B$4,$B$5,$F634,$B$6,R$10,$A634,$B634)</f>
        <v>30</v>
      </c>
      <c r="S634" s="4">
        <f ca="1">_xll.DBRW($B$1,$B$2,$B$7,$B$3,$B$4,$B$5,$F634,$B$6,S$10,$A634,$B634)</f>
        <v>31</v>
      </c>
      <c r="T634" s="4">
        <f ca="1">_xll.DBRW($B$1,$B$2,$B$7,$B$3,$B$4,$B$5,$F634,$B$6,T$10,$A634,$B634)</f>
        <v>31</v>
      </c>
      <c r="U634" s="4">
        <f ca="1">_xll.DBRW($B$1,$B$2,$B$7,$B$3,$B$4,$B$5,$F634,$B$6,U$10,$A634,$B634)</f>
        <v>28</v>
      </c>
      <c r="V634" s="4">
        <f ca="1">_xll.DBRW($B$1,$B$2,$B$7,$B$3,$B$4,$B$5,$F634,$B$6,V$10,$A634,$B634)</f>
        <v>31</v>
      </c>
      <c r="W634" s="4">
        <f ca="1">_xll.DBRW($B$1,$B$2,$B$7,$B$3,$B$4,$B$5,$F634,$B$6,W$10,$A634,$B634)</f>
        <v>30</v>
      </c>
      <c r="X634" s="4">
        <f ca="1">_xll.DBRW($B$1,$B$2,$B$7,$B$3,$B$4,$B$5,$F634,$B$6,X$10,$A634,$B634)</f>
        <v>31</v>
      </c>
      <c r="Y634" s="4">
        <f ca="1">_xll.DBRW($B$1,$B$2,$B$7,$B$3,$B$4,$B$5,$F634,$B$6,Y$10,$A634,$B634)</f>
        <v>30</v>
      </c>
      <c r="Z634" s="4">
        <f ca="1">_xll.DBRW($B$1,$B$2,$B$7,$B$3,$B$4,$B$5,$F634,$B$6,Z$10,$A634,$B634)</f>
        <v>31</v>
      </c>
      <c r="AA634" s="4">
        <f ca="1">_xll.DBRW($B$1,$B$2,$B$7,$B$3,$B$4,$B$5,$F634,$B$6,AA$10,$A634,$B634)</f>
        <v>31</v>
      </c>
      <c r="AB634" s="4">
        <f ca="1">_xll.DBRW($B$1,$B$2,$B$7,$B$3,$B$4,$B$5,$F634,$B$6,AB$10,$A634,$B634)</f>
        <v>30</v>
      </c>
      <c r="AC634" s="4">
        <f ca="1">_xll.DBRW($B$1,$B$2,$B$7,$B$3,$B$4,$B$5,$F634,$B$6,AC$10,$A634,$B634)</f>
        <v>30</v>
      </c>
      <c r="AD634" s="4">
        <f ca="1">_xll.DBRW($B$1,$B$2,$B$7,$B$3,$B$4,$B$5,$F634,$B$6,AD$10,$A634,$B634)</f>
        <v>30</v>
      </c>
      <c r="AE634" s="4">
        <f ca="1">_xll.DBRW($B$1,$B$2,$B$7,$B$3,$B$4,$B$5,$F634,$B$6,AE$10,$A634,$B634)</f>
        <v>31</v>
      </c>
    </row>
    <row r="635" spans="1:31">
      <c r="A635" s="1" t="s">
        <v>150</v>
      </c>
      <c r="B635" s="5" t="s">
        <v>220</v>
      </c>
      <c r="C635" s="5" t="s">
        <v>166</v>
      </c>
      <c r="D635" s="5" t="s">
        <v>21</v>
      </c>
      <c r="E635" s="5" t="s">
        <v>31</v>
      </c>
      <c r="F635" s="5" t="s">
        <v>317</v>
      </c>
      <c r="G635" s="6"/>
      <c r="H635" s="6"/>
      <c r="I635" s="6"/>
      <c r="J635" s="6"/>
      <c r="K635" s="6"/>
      <c r="L635" s="4">
        <f ca="1">_xll.DBRW($B$1,$B$2,$B$7,$B$3,$B$4,$B$5,$F635,$B$6,L$10,$A635,$B635)</f>
        <v>0</v>
      </c>
      <c r="M635" s="4">
        <f ca="1">_xll.DBRW($B$1,$B$2,$B$7,$B$3,$B$4,$B$5,$F635,$B$6,M$10,$A635,$B635)</f>
        <v>0</v>
      </c>
      <c r="N635" s="4">
        <f ca="1">_xll.DBRW($B$1,$B$2,$B$7,$B$3,$B$4,$B$5,$F635,$B$6,N$10,$A635,$B635)</f>
        <v>0</v>
      </c>
      <c r="O635" s="4">
        <f ca="1">_xll.DBRW($B$1,$B$2,$B$7,$B$3,$B$4,$B$5,$F635,$B$6,O$10,$A635,$B635)</f>
        <v>0</v>
      </c>
      <c r="P635" s="4">
        <f ca="1">_xll.DBRW($B$1,$B$2,$B$7,$B$3,$B$4,$B$5,$F635,$B$6,P$10,$A635,$B635)</f>
        <v>0</v>
      </c>
      <c r="Q635" s="4">
        <f ca="1">_xll.DBRW($B$1,$B$2,$B$7,$B$3,$B$4,$B$5,$F635,$B$6,Q$10,$A635,$B635)</f>
        <v>0</v>
      </c>
      <c r="R635" s="4">
        <f ca="1">_xll.DBRW($B$1,$B$2,$B$7,$B$3,$B$4,$B$5,$F635,$B$6,R$10,$A635,$B635)</f>
        <v>0</v>
      </c>
      <c r="S635" s="4">
        <f ca="1">_xll.DBRW($B$1,$B$2,$B$7,$B$3,$B$4,$B$5,$F635,$B$6,S$10,$A635,$B635)</f>
        <v>0</v>
      </c>
      <c r="T635" s="4">
        <f ca="1">_xll.DBRW($B$1,$B$2,$B$7,$B$3,$B$4,$B$5,$F635,$B$6,T$10,$A635,$B635)</f>
        <v>0</v>
      </c>
      <c r="U635" s="4">
        <f ca="1">_xll.DBRW($B$1,$B$2,$B$7,$B$3,$B$4,$B$5,$F635,$B$6,U$10,$A635,$B635)</f>
        <v>0</v>
      </c>
      <c r="V635" s="4">
        <f ca="1">_xll.DBRW($B$1,$B$2,$B$7,$B$3,$B$4,$B$5,$F635,$B$6,V$10,$A635,$B635)</f>
        <v>0</v>
      </c>
      <c r="W635" s="4">
        <f ca="1">_xll.DBRW($B$1,$B$2,$B$7,$B$3,$B$4,$B$5,$F635,$B$6,W$10,$A635,$B635)</f>
        <v>0</v>
      </c>
      <c r="X635" s="4">
        <f ca="1">_xll.DBRW($B$1,$B$2,$B$7,$B$3,$B$4,$B$5,$F635,$B$6,X$10,$A635,$B635)</f>
        <v>0</v>
      </c>
      <c r="Y635" s="4">
        <f ca="1">_xll.DBRW($B$1,$B$2,$B$7,$B$3,$B$4,$B$5,$F635,$B$6,Y$10,$A635,$B635)</f>
        <v>0</v>
      </c>
      <c r="Z635" s="4">
        <f ca="1">_xll.DBRW($B$1,$B$2,$B$7,$B$3,$B$4,$B$5,$F635,$B$6,Z$10,$A635,$B635)</f>
        <v>0</v>
      </c>
      <c r="AA635" s="4">
        <f ca="1">_xll.DBRW($B$1,$B$2,$B$7,$B$3,$B$4,$B$5,$F635,$B$6,AA$10,$A635,$B635)</f>
        <v>0</v>
      </c>
      <c r="AB635" s="4">
        <f ca="1">_xll.DBRW($B$1,$B$2,$B$7,$B$3,$B$4,$B$5,$F635,$B$6,AB$10,$A635,$B635)</f>
        <v>0</v>
      </c>
      <c r="AC635" s="4">
        <f ca="1">_xll.DBRW($B$1,$B$2,$B$7,$B$3,$B$4,$B$5,$F635,$B$6,AC$10,$A635,$B635)</f>
        <v>0</v>
      </c>
      <c r="AD635" s="4">
        <f ca="1">_xll.DBRW($B$1,$B$2,$B$7,$B$3,$B$4,$B$5,$F635,$B$6,AD$10,$A635,$B635)</f>
        <v>0</v>
      </c>
      <c r="AE635" s="4">
        <f ca="1">_xll.DBRW($B$1,$B$2,$B$7,$B$3,$B$4,$B$5,$F635,$B$6,AE$10,$A635,$B635)</f>
        <v>0</v>
      </c>
    </row>
    <row r="636" spans="1:31">
      <c r="A636" s="1" t="s">
        <v>150</v>
      </c>
      <c r="B636" s="5" t="s">
        <v>32</v>
      </c>
      <c r="C636" s="5" t="s">
        <v>30</v>
      </c>
      <c r="D636" s="5" t="s">
        <v>31</v>
      </c>
      <c r="E636" s="5" t="s">
        <v>21</v>
      </c>
      <c r="F636" s="5" t="s">
        <v>317</v>
      </c>
      <c r="G636" s="6"/>
      <c r="H636" s="6"/>
      <c r="I636" s="6"/>
      <c r="J636" s="6"/>
      <c r="K636" s="6"/>
      <c r="L636" s="4">
        <f ca="1">_xll.DBRW($B$1,$B$2,$B$7,$B$3,$B$4,$B$5,$F636,$B$6,L$10,$A636,$B636)</f>
        <v>0</v>
      </c>
      <c r="M636" s="4">
        <f ca="1">_xll.DBRW($B$1,$B$2,$B$7,$B$3,$B$4,$B$5,$F636,$B$6,M$10,$A636,$B636)</f>
        <v>0</v>
      </c>
      <c r="N636" s="4">
        <f ca="1">_xll.DBRW($B$1,$B$2,$B$7,$B$3,$B$4,$B$5,$F636,$B$6,N$10,$A636,$B636)</f>
        <v>0</v>
      </c>
      <c r="O636" s="4">
        <f ca="1">_xll.DBRW($B$1,$B$2,$B$7,$B$3,$B$4,$B$5,$F636,$B$6,O$10,$A636,$B636)</f>
        <v>0</v>
      </c>
      <c r="P636" s="4">
        <f ca="1">_xll.DBRW($B$1,$B$2,$B$7,$B$3,$B$4,$B$5,$F636,$B$6,P$10,$A636,$B636)</f>
        <v>0</v>
      </c>
      <c r="Q636" s="4">
        <f ca="1">_xll.DBRW($B$1,$B$2,$B$7,$B$3,$B$4,$B$5,$F636,$B$6,Q$10,$A636,$B636)</f>
        <v>0</v>
      </c>
      <c r="R636" s="4">
        <f ca="1">_xll.DBRW($B$1,$B$2,$B$7,$B$3,$B$4,$B$5,$F636,$B$6,R$10,$A636,$B636)</f>
        <v>0</v>
      </c>
      <c r="S636" s="4">
        <f ca="1">_xll.DBRW($B$1,$B$2,$B$7,$B$3,$B$4,$B$5,$F636,$B$6,S$10,$A636,$B636)</f>
        <v>0</v>
      </c>
      <c r="T636" s="4">
        <f ca="1">_xll.DBRW($B$1,$B$2,$B$7,$B$3,$B$4,$B$5,$F636,$B$6,T$10,$A636,$B636)</f>
        <v>0</v>
      </c>
      <c r="U636" s="4">
        <f ca="1">_xll.DBRW($B$1,$B$2,$B$7,$B$3,$B$4,$B$5,$F636,$B$6,U$10,$A636,$B636)</f>
        <v>0</v>
      </c>
      <c r="V636" s="4">
        <f ca="1">_xll.DBRW($B$1,$B$2,$B$7,$B$3,$B$4,$B$5,$F636,$B$6,V$10,$A636,$B636)</f>
        <v>0</v>
      </c>
      <c r="W636" s="4">
        <f ca="1">_xll.DBRW($B$1,$B$2,$B$7,$B$3,$B$4,$B$5,$F636,$B$6,W$10,$A636,$B636)</f>
        <v>0</v>
      </c>
      <c r="X636" s="4">
        <f ca="1">_xll.DBRW($B$1,$B$2,$B$7,$B$3,$B$4,$B$5,$F636,$B$6,X$10,$A636,$B636)</f>
        <v>0</v>
      </c>
      <c r="Y636" s="4">
        <f ca="1">_xll.DBRW($B$1,$B$2,$B$7,$B$3,$B$4,$B$5,$F636,$B$6,Y$10,$A636,$B636)</f>
        <v>0</v>
      </c>
      <c r="Z636" s="4">
        <f ca="1">_xll.DBRW($B$1,$B$2,$B$7,$B$3,$B$4,$B$5,$F636,$B$6,Z$10,$A636,$B636)</f>
        <v>0</v>
      </c>
      <c r="AA636" s="4">
        <f ca="1">_xll.DBRW($B$1,$B$2,$B$7,$B$3,$B$4,$B$5,$F636,$B$6,AA$10,$A636,$B636)</f>
        <v>0</v>
      </c>
      <c r="AB636" s="4">
        <f ca="1">_xll.DBRW($B$1,$B$2,$B$7,$B$3,$B$4,$B$5,$F636,$B$6,AB$10,$A636,$B636)</f>
        <v>0</v>
      </c>
      <c r="AC636" s="4">
        <f ca="1">_xll.DBRW($B$1,$B$2,$B$7,$B$3,$B$4,$B$5,$F636,$B$6,AC$10,$A636,$B636)</f>
        <v>0</v>
      </c>
      <c r="AD636" s="4">
        <f ca="1">_xll.DBRW($B$1,$B$2,$B$7,$B$3,$B$4,$B$5,$F636,$B$6,AD$10,$A636,$B636)</f>
        <v>0</v>
      </c>
      <c r="AE636" s="4">
        <f ca="1">_xll.DBRW($B$1,$B$2,$B$7,$B$3,$B$4,$B$5,$F636,$B$6,AE$10,$A636,$B636)</f>
        <v>0</v>
      </c>
    </row>
    <row r="637" spans="1:31">
      <c r="A637" s="1" t="s">
        <v>150</v>
      </c>
      <c r="B637" s="5" t="s">
        <v>221</v>
      </c>
      <c r="C637" s="5" t="s">
        <v>193</v>
      </c>
      <c r="D637" s="5" t="s">
        <v>21</v>
      </c>
      <c r="E637" s="5" t="s">
        <v>194</v>
      </c>
      <c r="F637" s="5" t="s">
        <v>317</v>
      </c>
      <c r="G637" s="6"/>
      <c r="H637" s="6"/>
      <c r="I637" s="6"/>
      <c r="J637" s="6"/>
      <c r="K637" s="6"/>
      <c r="L637" s="4">
        <f ca="1">_xll.DBRW($B$1,$B$2,$B$7,$B$3,$B$4,$B$5,$F637,$B$6,L$10,$A637,$B637)</f>
        <v>9</v>
      </c>
      <c r="M637" s="4">
        <f ca="1">_xll.DBRW($B$1,$B$2,$B$7,$B$3,$B$4,$B$5,$F637,$B$6,M$10,$A637,$B637)</f>
        <v>8</v>
      </c>
      <c r="N637" s="4">
        <f ca="1">_xll.DBRW($B$1,$B$2,$B$7,$B$3,$B$4,$B$5,$F637,$B$6,N$10,$A637,$B637)</f>
        <v>9</v>
      </c>
      <c r="O637" s="4">
        <f ca="1">_xll.DBRW($B$1,$B$2,$B$7,$B$3,$B$4,$B$5,$F637,$B$6,O$10,$A637,$B637)</f>
        <v>9</v>
      </c>
      <c r="P637" s="4">
        <f ca="1">_xll.DBRW($B$1,$B$2,$B$7,$B$3,$B$4,$B$5,$F637,$B$6,P$10,$A637,$B637)</f>
        <v>8</v>
      </c>
      <c r="Q637" s="4">
        <f ca="1">_xll.DBRW($B$1,$B$2,$B$7,$B$3,$B$4,$B$5,$F637,$B$6,Q$10,$A637,$B637)</f>
        <v>9</v>
      </c>
      <c r="R637" s="4">
        <f ca="1">_xll.DBRW($B$1,$B$2,$B$7,$B$3,$B$4,$B$5,$F637,$B$6,R$10,$A637,$B637)</f>
        <v>9</v>
      </c>
      <c r="S637" s="4">
        <f ca="1">_xll.DBRW($B$1,$B$2,$B$7,$B$3,$B$4,$B$5,$F637,$B$6,S$10,$A637,$B637)</f>
        <v>8</v>
      </c>
      <c r="T637" s="4">
        <f ca="1">_xll.DBRW($B$1,$B$2,$B$7,$B$3,$B$4,$B$5,$F637,$B$6,T$10,$A637,$B637)</f>
        <v>9</v>
      </c>
      <c r="U637" s="4">
        <f ca="1">_xll.DBRW($B$1,$B$2,$B$7,$B$3,$B$4,$B$5,$F637,$B$6,U$10,$A637,$B637)</f>
        <v>8</v>
      </c>
      <c r="V637" s="4">
        <f ca="1">_xll.DBRW($B$1,$B$2,$B$7,$B$3,$B$4,$B$5,$F637,$B$6,V$10,$A637,$B637)</f>
        <v>9</v>
      </c>
      <c r="W637" s="4">
        <f ca="1">_xll.DBRW($B$1,$B$2,$B$7,$B$3,$B$4,$B$5,$F637,$B$6,W$10,$A637,$B637)</f>
        <v>9</v>
      </c>
      <c r="X637" s="4">
        <f ca="1">_xll.DBRW($B$1,$B$2,$B$7,$B$3,$B$4,$B$5,$F637,$B$6,X$10,$A637,$B637)</f>
        <v>9</v>
      </c>
      <c r="Y637" s="4">
        <f ca="1">_xll.DBRW($B$1,$B$2,$B$7,$B$3,$B$4,$B$5,$F637,$B$6,Y$10,$A637,$B637)</f>
        <v>8</v>
      </c>
      <c r="Z637" s="4">
        <f ca="1">_xll.DBRW($B$1,$B$2,$B$7,$B$3,$B$4,$B$5,$F637,$B$6,Z$10,$A637,$B637)</f>
        <v>10</v>
      </c>
      <c r="AA637" s="4">
        <f ca="1">_xll.DBRW($B$1,$B$2,$B$7,$B$3,$B$4,$B$5,$F637,$B$6,AA$10,$A637,$B637)</f>
        <v>8</v>
      </c>
      <c r="AB637" s="4">
        <f ca="1">_xll.DBRW($B$1,$B$2,$B$7,$B$3,$B$4,$B$5,$F637,$B$6,AB$10,$A637,$B637)</f>
        <v>9</v>
      </c>
      <c r="AC637" s="4">
        <f ca="1">_xll.DBRW($B$1,$B$2,$B$7,$B$3,$B$4,$B$5,$F637,$B$6,AC$10,$A637,$B637)</f>
        <v>8</v>
      </c>
      <c r="AD637" s="4">
        <f ca="1">_xll.DBRW($B$1,$B$2,$B$7,$B$3,$B$4,$B$5,$F637,$B$6,AD$10,$A637,$B637)</f>
        <v>9</v>
      </c>
      <c r="AE637" s="4">
        <f ca="1">_xll.DBRW($B$1,$B$2,$B$7,$B$3,$B$4,$B$5,$F637,$B$6,AE$10,$A637,$B637)</f>
        <v>9</v>
      </c>
    </row>
    <row r="638" spans="1:31">
      <c r="A638" s="1" t="s">
        <v>150</v>
      </c>
      <c r="B638" s="5" t="s">
        <v>222</v>
      </c>
      <c r="C638" s="5" t="s">
        <v>196</v>
      </c>
      <c r="D638" s="5" t="s">
        <v>194</v>
      </c>
      <c r="E638" s="5" t="s">
        <v>21</v>
      </c>
      <c r="F638" s="5" t="s">
        <v>317</v>
      </c>
      <c r="G638" s="6"/>
      <c r="H638" s="6"/>
      <c r="I638" s="6"/>
      <c r="J638" s="6"/>
      <c r="K638" s="6"/>
      <c r="L638" s="4">
        <f ca="1">_xll.DBRW($B$1,$B$2,$B$7,$B$3,$B$4,$B$5,$F638,$B$6,L$10,$A638,$B638)</f>
        <v>9</v>
      </c>
      <c r="M638" s="4">
        <f ca="1">_xll.DBRW($B$1,$B$2,$B$7,$B$3,$B$4,$B$5,$F638,$B$6,M$10,$A638,$B638)</f>
        <v>8</v>
      </c>
      <c r="N638" s="4">
        <f ca="1">_xll.DBRW($B$1,$B$2,$B$7,$B$3,$B$4,$B$5,$F638,$B$6,N$10,$A638,$B638)</f>
        <v>9</v>
      </c>
      <c r="O638" s="4">
        <f ca="1">_xll.DBRW($B$1,$B$2,$B$7,$B$3,$B$4,$B$5,$F638,$B$6,O$10,$A638,$B638)</f>
        <v>9</v>
      </c>
      <c r="P638" s="4">
        <f ca="1">_xll.DBRW($B$1,$B$2,$B$7,$B$3,$B$4,$B$5,$F638,$B$6,P$10,$A638,$B638)</f>
        <v>8</v>
      </c>
      <c r="Q638" s="4">
        <f ca="1">_xll.DBRW($B$1,$B$2,$B$7,$B$3,$B$4,$B$5,$F638,$B$6,Q$10,$A638,$B638)</f>
        <v>9</v>
      </c>
      <c r="R638" s="4">
        <f ca="1">_xll.DBRW($B$1,$B$2,$B$7,$B$3,$B$4,$B$5,$F638,$B$6,R$10,$A638,$B638)</f>
        <v>9</v>
      </c>
      <c r="S638" s="4">
        <f ca="1">_xll.DBRW($B$1,$B$2,$B$7,$B$3,$B$4,$B$5,$F638,$B$6,S$10,$A638,$B638)</f>
        <v>8</v>
      </c>
      <c r="T638" s="4">
        <f ca="1">_xll.DBRW($B$1,$B$2,$B$7,$B$3,$B$4,$B$5,$F638,$B$6,T$10,$A638,$B638)</f>
        <v>9</v>
      </c>
      <c r="U638" s="4">
        <f ca="1">_xll.DBRW($B$1,$B$2,$B$7,$B$3,$B$4,$B$5,$F638,$B$6,U$10,$A638,$B638)</f>
        <v>8</v>
      </c>
      <c r="V638" s="4">
        <f ca="1">_xll.DBRW($B$1,$B$2,$B$7,$B$3,$B$4,$B$5,$F638,$B$6,V$10,$A638,$B638)</f>
        <v>9</v>
      </c>
      <c r="W638" s="4">
        <f ca="1">_xll.DBRW($B$1,$B$2,$B$7,$B$3,$B$4,$B$5,$F638,$B$6,W$10,$A638,$B638)</f>
        <v>9</v>
      </c>
      <c r="X638" s="4">
        <f ca="1">_xll.DBRW($B$1,$B$2,$B$7,$B$3,$B$4,$B$5,$F638,$B$6,X$10,$A638,$B638)</f>
        <v>9</v>
      </c>
      <c r="Y638" s="4">
        <f ca="1">_xll.DBRW($B$1,$B$2,$B$7,$B$3,$B$4,$B$5,$F638,$B$6,Y$10,$A638,$B638)</f>
        <v>8</v>
      </c>
      <c r="Z638" s="4">
        <f ca="1">_xll.DBRW($B$1,$B$2,$B$7,$B$3,$B$4,$B$5,$F638,$B$6,Z$10,$A638,$B638)</f>
        <v>10</v>
      </c>
      <c r="AA638" s="4">
        <f ca="1">_xll.DBRW($B$1,$B$2,$B$7,$B$3,$B$4,$B$5,$F638,$B$6,AA$10,$A638,$B638)</f>
        <v>8</v>
      </c>
      <c r="AB638" s="4">
        <f ca="1">_xll.DBRW($B$1,$B$2,$B$7,$B$3,$B$4,$B$5,$F638,$B$6,AB$10,$A638,$B638)</f>
        <v>9</v>
      </c>
      <c r="AC638" s="4">
        <f ca="1">_xll.DBRW($B$1,$B$2,$B$7,$B$3,$B$4,$B$5,$F638,$B$6,AC$10,$A638,$B638)</f>
        <v>8</v>
      </c>
      <c r="AD638" s="4">
        <f ca="1">_xll.DBRW($B$1,$B$2,$B$7,$B$3,$B$4,$B$5,$F638,$B$6,AD$10,$A638,$B638)</f>
        <v>9</v>
      </c>
      <c r="AE638" s="4">
        <f ca="1">_xll.DBRW($B$1,$B$2,$B$7,$B$3,$B$4,$B$5,$F638,$B$6,AE$10,$A638,$B638)</f>
        <v>8</v>
      </c>
    </row>
    <row r="639" spans="1:31">
      <c r="A639" s="1" t="s">
        <v>150</v>
      </c>
      <c r="B639" s="5" t="s">
        <v>223</v>
      </c>
      <c r="C639" s="5" t="s">
        <v>193</v>
      </c>
      <c r="D639" s="5" t="s">
        <v>21</v>
      </c>
      <c r="E639" s="5" t="s">
        <v>194</v>
      </c>
      <c r="F639" s="5" t="s">
        <v>317</v>
      </c>
      <c r="G639" s="6"/>
      <c r="H639" s="6"/>
      <c r="I639" s="6"/>
      <c r="J639" s="6"/>
      <c r="K639" s="6"/>
      <c r="L639" s="4">
        <f ca="1">_xll.DBRW($B$1,$B$2,$B$7,$B$3,$B$4,$B$5,$F639,$B$6,L$10,$A639,$B639)</f>
        <v>13</v>
      </c>
      <c r="M639" s="4">
        <f ca="1">_xll.DBRW($B$1,$B$2,$B$7,$B$3,$B$4,$B$5,$F639,$B$6,M$10,$A639,$B639)</f>
        <v>11</v>
      </c>
      <c r="N639" s="4">
        <f ca="1">_xll.DBRW($B$1,$B$2,$B$7,$B$3,$B$4,$B$5,$F639,$B$6,N$10,$A639,$B639)</f>
        <v>13</v>
      </c>
      <c r="O639" s="4">
        <f ca="1">_xll.DBRW($B$1,$B$2,$B$7,$B$3,$B$4,$B$5,$F639,$B$6,O$10,$A639,$B639)</f>
        <v>13</v>
      </c>
      <c r="P639" s="4">
        <f ca="1">_xll.DBRW($B$1,$B$2,$B$7,$B$3,$B$4,$B$5,$F639,$B$6,P$10,$A639,$B639)</f>
        <v>13</v>
      </c>
      <c r="Q639" s="4">
        <f ca="1">_xll.DBRW($B$1,$B$2,$B$7,$B$3,$B$4,$B$5,$F639,$B$6,Q$10,$A639,$B639)</f>
        <v>10</v>
      </c>
      <c r="R639" s="4">
        <f ca="1">_xll.DBRW($B$1,$B$2,$B$7,$B$3,$B$4,$B$5,$F639,$B$6,R$10,$A639,$B639)</f>
        <v>9</v>
      </c>
      <c r="S639" s="4">
        <f ca="1">_xll.DBRW($B$1,$B$2,$B$7,$B$3,$B$4,$B$5,$F639,$B$6,S$10,$A639,$B639)</f>
        <v>9</v>
      </c>
      <c r="T639" s="4">
        <f ca="1">_xll.DBRW($B$1,$B$2,$B$7,$B$3,$B$4,$B$5,$F639,$B$6,T$10,$A639,$B639)</f>
        <v>9</v>
      </c>
      <c r="U639" s="4">
        <f ca="1">_xll.DBRW($B$1,$B$2,$B$7,$B$3,$B$4,$B$5,$F639,$B$6,U$10,$A639,$B639)</f>
        <v>8</v>
      </c>
      <c r="V639" s="4">
        <f ca="1">_xll.DBRW($B$1,$B$2,$B$7,$B$3,$B$4,$B$5,$F639,$B$6,V$10,$A639,$B639)</f>
        <v>8</v>
      </c>
      <c r="W639" s="4">
        <f ca="1">_xll.DBRW($B$1,$B$2,$B$7,$B$3,$B$4,$B$5,$F639,$B$6,W$10,$A639,$B639)</f>
        <v>5</v>
      </c>
      <c r="X639" s="4">
        <f ca="1">_xll.DBRW($B$1,$B$2,$B$7,$B$3,$B$4,$B$5,$F639,$B$6,X$10,$A639,$B639)</f>
        <v>4</v>
      </c>
      <c r="Y639" s="4">
        <f ca="1">_xll.DBRW($B$1,$B$2,$B$7,$B$3,$B$4,$B$5,$F639,$B$6,Y$10,$A639,$B639)</f>
        <v>4</v>
      </c>
      <c r="Z639" s="4">
        <f ca="1">_xll.DBRW($B$1,$B$2,$B$7,$B$3,$B$4,$B$5,$F639,$B$6,Z$10,$A639,$B639)</f>
        <v>5</v>
      </c>
      <c r="AA639" s="4">
        <f ca="1">_xll.DBRW($B$1,$B$2,$B$7,$B$3,$B$4,$B$5,$F639,$B$6,AA$10,$A639,$B639)</f>
        <v>4</v>
      </c>
      <c r="AB639" s="4">
        <f ca="1">_xll.DBRW($B$1,$B$2,$B$7,$B$3,$B$4,$B$5,$F639,$B$6,AB$10,$A639,$B639)</f>
        <v>4</v>
      </c>
      <c r="AC639" s="4">
        <f ca="1">_xll.DBRW($B$1,$B$2,$B$7,$B$3,$B$4,$B$5,$F639,$B$6,AC$10,$A639,$B639)</f>
        <v>6</v>
      </c>
      <c r="AD639" s="4">
        <f ca="1">_xll.DBRW($B$1,$B$2,$B$7,$B$3,$B$4,$B$5,$F639,$B$6,AD$10,$A639,$B639)</f>
        <v>8</v>
      </c>
      <c r="AE639" s="4">
        <f ca="1">_xll.DBRW($B$1,$B$2,$B$7,$B$3,$B$4,$B$5,$F639,$B$6,AE$10,$A639,$B639)</f>
        <v>9</v>
      </c>
    </row>
    <row r="640" spans="1:31">
      <c r="A640" s="1" t="s">
        <v>150</v>
      </c>
      <c r="B640" s="5" t="s">
        <v>224</v>
      </c>
      <c r="C640" s="5" t="s">
        <v>196</v>
      </c>
      <c r="D640" s="5" t="s">
        <v>194</v>
      </c>
      <c r="E640" s="5" t="s">
        <v>21</v>
      </c>
      <c r="F640" s="5" t="s">
        <v>317</v>
      </c>
      <c r="G640" s="6"/>
      <c r="H640" s="6"/>
      <c r="I640" s="6"/>
      <c r="J640" s="6"/>
      <c r="K640" s="6"/>
      <c r="L640" s="4">
        <f ca="1">_xll.DBRW($B$1,$B$2,$B$7,$B$3,$B$4,$B$5,$F640,$B$6,L$10,$A640,$B640)</f>
        <v>13</v>
      </c>
      <c r="M640" s="4">
        <f ca="1">_xll.DBRW($B$1,$B$2,$B$7,$B$3,$B$4,$B$5,$F640,$B$6,M$10,$A640,$B640)</f>
        <v>11</v>
      </c>
      <c r="N640" s="4">
        <f ca="1">_xll.DBRW($B$1,$B$2,$B$7,$B$3,$B$4,$B$5,$F640,$B$6,N$10,$A640,$B640)</f>
        <v>13</v>
      </c>
      <c r="O640" s="4">
        <f ca="1">_xll.DBRW($B$1,$B$2,$B$7,$B$3,$B$4,$B$5,$F640,$B$6,O$10,$A640,$B640)</f>
        <v>13</v>
      </c>
      <c r="P640" s="4">
        <f ca="1">_xll.DBRW($B$1,$B$2,$B$7,$B$3,$B$4,$B$5,$F640,$B$6,P$10,$A640,$B640)</f>
        <v>13</v>
      </c>
      <c r="Q640" s="4">
        <f ca="1">_xll.DBRW($B$1,$B$2,$B$7,$B$3,$B$4,$B$5,$F640,$B$6,Q$10,$A640,$B640)</f>
        <v>11</v>
      </c>
      <c r="R640" s="4">
        <f ca="1">_xll.DBRW($B$1,$B$2,$B$7,$B$3,$B$4,$B$5,$F640,$B$6,R$10,$A640,$B640)</f>
        <v>9</v>
      </c>
      <c r="S640" s="4">
        <f ca="1">_xll.DBRW($B$1,$B$2,$B$7,$B$3,$B$4,$B$5,$F640,$B$6,S$10,$A640,$B640)</f>
        <v>9</v>
      </c>
      <c r="T640" s="4">
        <f ca="1">_xll.DBRW($B$1,$B$2,$B$7,$B$3,$B$4,$B$5,$F640,$B$6,T$10,$A640,$B640)</f>
        <v>9</v>
      </c>
      <c r="U640" s="4">
        <f ca="1">_xll.DBRW($B$1,$B$2,$B$7,$B$3,$B$4,$B$5,$F640,$B$6,U$10,$A640,$B640)</f>
        <v>8</v>
      </c>
      <c r="V640" s="4">
        <f ca="1">_xll.DBRW($B$1,$B$2,$B$7,$B$3,$B$4,$B$5,$F640,$B$6,V$10,$A640,$B640)</f>
        <v>8</v>
      </c>
      <c r="W640" s="4">
        <f ca="1">_xll.DBRW($B$1,$B$2,$B$7,$B$3,$B$4,$B$5,$F640,$B$6,W$10,$A640,$B640)</f>
        <v>5</v>
      </c>
      <c r="X640" s="4">
        <f ca="1">_xll.DBRW($B$1,$B$2,$B$7,$B$3,$B$4,$B$5,$F640,$B$6,X$10,$A640,$B640)</f>
        <v>4</v>
      </c>
      <c r="Y640" s="4">
        <f ca="1">_xll.DBRW($B$1,$B$2,$B$7,$B$3,$B$4,$B$5,$F640,$B$6,Y$10,$A640,$B640)</f>
        <v>4</v>
      </c>
      <c r="Z640" s="4">
        <f ca="1">_xll.DBRW($B$1,$B$2,$B$7,$B$3,$B$4,$B$5,$F640,$B$6,Z$10,$A640,$B640)</f>
        <v>5</v>
      </c>
      <c r="AA640" s="4">
        <f ca="1">_xll.DBRW($B$1,$B$2,$B$7,$B$3,$B$4,$B$5,$F640,$B$6,AA$10,$A640,$B640)</f>
        <v>4</v>
      </c>
      <c r="AB640" s="4">
        <f ca="1">_xll.DBRW($B$1,$B$2,$B$7,$B$3,$B$4,$B$5,$F640,$B$6,AB$10,$A640,$B640)</f>
        <v>4</v>
      </c>
      <c r="AC640" s="4">
        <f ca="1">_xll.DBRW($B$1,$B$2,$B$7,$B$3,$B$4,$B$5,$F640,$B$6,AC$10,$A640,$B640)</f>
        <v>6</v>
      </c>
      <c r="AD640" s="4">
        <f ca="1">_xll.DBRW($B$1,$B$2,$B$7,$B$3,$B$4,$B$5,$F640,$B$6,AD$10,$A640,$B640)</f>
        <v>8</v>
      </c>
      <c r="AE640" s="4">
        <f ca="1">_xll.DBRW($B$1,$B$2,$B$7,$B$3,$B$4,$B$5,$F640,$B$6,AE$10,$A640,$B640)</f>
        <v>9</v>
      </c>
    </row>
    <row r="641" spans="1:31">
      <c r="A641" s="1" t="s">
        <v>150</v>
      </c>
      <c r="B641" s="5" t="s">
        <v>225</v>
      </c>
      <c r="C641" s="5" t="s">
        <v>226</v>
      </c>
      <c r="D641" s="5" t="s">
        <v>21</v>
      </c>
      <c r="E641" s="5" t="s">
        <v>227</v>
      </c>
      <c r="F641" s="5" t="s">
        <v>317</v>
      </c>
      <c r="G641" s="6"/>
      <c r="H641" s="6"/>
      <c r="I641" s="6"/>
      <c r="J641" s="6"/>
      <c r="K641" s="6"/>
      <c r="L641" s="4">
        <f ca="1">_xll.DBRW($B$1,$B$2,$B$7,$B$3,$B$4,$B$5,$F641,$B$6,L$10,$A641,$B641)</f>
        <v>0</v>
      </c>
      <c r="M641" s="4">
        <f ca="1">_xll.DBRW($B$1,$B$2,$B$7,$B$3,$B$4,$B$5,$F641,$B$6,M$10,$A641,$B641)</f>
        <v>0</v>
      </c>
      <c r="N641" s="4">
        <f ca="1">_xll.DBRW($B$1,$B$2,$B$7,$B$3,$B$4,$B$5,$F641,$B$6,N$10,$A641,$B641)</f>
        <v>0</v>
      </c>
      <c r="O641" s="4">
        <f ca="1">_xll.DBRW($B$1,$B$2,$B$7,$B$3,$B$4,$B$5,$F641,$B$6,O$10,$A641,$B641)</f>
        <v>0</v>
      </c>
      <c r="P641" s="4">
        <f ca="1">_xll.DBRW($B$1,$B$2,$B$7,$B$3,$B$4,$B$5,$F641,$B$6,P$10,$A641,$B641)</f>
        <v>0</v>
      </c>
      <c r="Q641" s="4">
        <f ca="1">_xll.DBRW($B$1,$B$2,$B$7,$B$3,$B$4,$B$5,$F641,$B$6,Q$10,$A641,$B641)</f>
        <v>0</v>
      </c>
      <c r="R641" s="4">
        <f ca="1">_xll.DBRW($B$1,$B$2,$B$7,$B$3,$B$4,$B$5,$F641,$B$6,R$10,$A641,$B641)</f>
        <v>0</v>
      </c>
      <c r="S641" s="4">
        <f ca="1">_xll.DBRW($B$1,$B$2,$B$7,$B$3,$B$4,$B$5,$F641,$B$6,S$10,$A641,$B641)</f>
        <v>0</v>
      </c>
      <c r="T641" s="4">
        <f ca="1">_xll.DBRW($B$1,$B$2,$B$7,$B$3,$B$4,$B$5,$F641,$B$6,T$10,$A641,$B641)</f>
        <v>0</v>
      </c>
      <c r="U641" s="4">
        <f ca="1">_xll.DBRW($B$1,$B$2,$B$7,$B$3,$B$4,$B$5,$F641,$B$6,U$10,$A641,$B641)</f>
        <v>0</v>
      </c>
      <c r="V641" s="4">
        <f ca="1">_xll.DBRW($B$1,$B$2,$B$7,$B$3,$B$4,$B$5,$F641,$B$6,V$10,$A641,$B641)</f>
        <v>0</v>
      </c>
      <c r="W641" s="4">
        <f ca="1">_xll.DBRW($B$1,$B$2,$B$7,$B$3,$B$4,$B$5,$F641,$B$6,W$10,$A641,$B641)</f>
        <v>0</v>
      </c>
      <c r="X641" s="4">
        <f ca="1">_xll.DBRW($B$1,$B$2,$B$7,$B$3,$B$4,$B$5,$F641,$B$6,X$10,$A641,$B641)</f>
        <v>0</v>
      </c>
      <c r="Y641" s="4">
        <f ca="1">_xll.DBRW($B$1,$B$2,$B$7,$B$3,$B$4,$B$5,$F641,$B$6,Y$10,$A641,$B641)</f>
        <v>0</v>
      </c>
      <c r="Z641" s="4">
        <f ca="1">_xll.DBRW($B$1,$B$2,$B$7,$B$3,$B$4,$B$5,$F641,$B$6,Z$10,$A641,$B641)</f>
        <v>0</v>
      </c>
      <c r="AA641" s="4">
        <f ca="1">_xll.DBRW($B$1,$B$2,$B$7,$B$3,$B$4,$B$5,$F641,$B$6,AA$10,$A641,$B641)</f>
        <v>0</v>
      </c>
      <c r="AB641" s="4">
        <f ca="1">_xll.DBRW($B$1,$B$2,$B$7,$B$3,$B$4,$B$5,$F641,$B$6,AB$10,$A641,$B641)</f>
        <v>0</v>
      </c>
      <c r="AC641" s="4">
        <f ca="1">_xll.DBRW($B$1,$B$2,$B$7,$B$3,$B$4,$B$5,$F641,$B$6,AC$10,$A641,$B641)</f>
        <v>0</v>
      </c>
      <c r="AD641" s="4">
        <f ca="1">_xll.DBRW($B$1,$B$2,$B$7,$B$3,$B$4,$B$5,$F641,$B$6,AD$10,$A641,$B641)</f>
        <v>0</v>
      </c>
      <c r="AE641" s="4">
        <f ca="1">_xll.DBRW($B$1,$B$2,$B$7,$B$3,$B$4,$B$5,$F641,$B$6,AE$10,$A641,$B641)</f>
        <v>0</v>
      </c>
    </row>
    <row r="642" spans="1:31">
      <c r="A642" s="1" t="s">
        <v>150</v>
      </c>
      <c r="B642" s="5" t="s">
        <v>228</v>
      </c>
      <c r="C642" s="5" t="s">
        <v>229</v>
      </c>
      <c r="D642" s="5" t="s">
        <v>227</v>
      </c>
      <c r="E642" s="5" t="s">
        <v>21</v>
      </c>
      <c r="F642" s="5" t="s">
        <v>317</v>
      </c>
      <c r="G642" s="6"/>
      <c r="H642" s="6"/>
      <c r="I642" s="6"/>
      <c r="J642" s="6"/>
      <c r="K642" s="6"/>
      <c r="L642" s="4">
        <f ca="1">_xll.DBRW($B$1,$B$2,$B$7,$B$3,$B$4,$B$5,$F642,$B$6,L$10,$A642,$B642)</f>
        <v>0</v>
      </c>
      <c r="M642" s="4">
        <f ca="1">_xll.DBRW($B$1,$B$2,$B$7,$B$3,$B$4,$B$5,$F642,$B$6,M$10,$A642,$B642)</f>
        <v>0</v>
      </c>
      <c r="N642" s="4">
        <f ca="1">_xll.DBRW($B$1,$B$2,$B$7,$B$3,$B$4,$B$5,$F642,$B$6,N$10,$A642,$B642)</f>
        <v>0</v>
      </c>
      <c r="O642" s="4">
        <f ca="1">_xll.DBRW($B$1,$B$2,$B$7,$B$3,$B$4,$B$5,$F642,$B$6,O$10,$A642,$B642)</f>
        <v>0</v>
      </c>
      <c r="P642" s="4">
        <f ca="1">_xll.DBRW($B$1,$B$2,$B$7,$B$3,$B$4,$B$5,$F642,$B$6,P$10,$A642,$B642)</f>
        <v>0</v>
      </c>
      <c r="Q642" s="4">
        <f ca="1">_xll.DBRW($B$1,$B$2,$B$7,$B$3,$B$4,$B$5,$F642,$B$6,Q$10,$A642,$B642)</f>
        <v>0</v>
      </c>
      <c r="R642" s="4">
        <f ca="1">_xll.DBRW($B$1,$B$2,$B$7,$B$3,$B$4,$B$5,$F642,$B$6,R$10,$A642,$B642)</f>
        <v>0</v>
      </c>
      <c r="S642" s="4">
        <f ca="1">_xll.DBRW($B$1,$B$2,$B$7,$B$3,$B$4,$B$5,$F642,$B$6,S$10,$A642,$B642)</f>
        <v>0</v>
      </c>
      <c r="T642" s="4">
        <f ca="1">_xll.DBRW($B$1,$B$2,$B$7,$B$3,$B$4,$B$5,$F642,$B$6,T$10,$A642,$B642)</f>
        <v>0</v>
      </c>
      <c r="U642" s="4">
        <f ca="1">_xll.DBRW($B$1,$B$2,$B$7,$B$3,$B$4,$B$5,$F642,$B$6,U$10,$A642,$B642)</f>
        <v>0</v>
      </c>
      <c r="V642" s="4">
        <f ca="1">_xll.DBRW($B$1,$B$2,$B$7,$B$3,$B$4,$B$5,$F642,$B$6,V$10,$A642,$B642)</f>
        <v>0</v>
      </c>
      <c r="W642" s="4">
        <f ca="1">_xll.DBRW($B$1,$B$2,$B$7,$B$3,$B$4,$B$5,$F642,$B$6,W$10,$A642,$B642)</f>
        <v>0</v>
      </c>
      <c r="X642" s="4">
        <f ca="1">_xll.DBRW($B$1,$B$2,$B$7,$B$3,$B$4,$B$5,$F642,$B$6,X$10,$A642,$B642)</f>
        <v>0</v>
      </c>
      <c r="Y642" s="4">
        <f ca="1">_xll.DBRW($B$1,$B$2,$B$7,$B$3,$B$4,$B$5,$F642,$B$6,Y$10,$A642,$B642)</f>
        <v>0</v>
      </c>
      <c r="Z642" s="4">
        <f ca="1">_xll.DBRW($B$1,$B$2,$B$7,$B$3,$B$4,$B$5,$F642,$B$6,Z$10,$A642,$B642)</f>
        <v>0</v>
      </c>
      <c r="AA642" s="4">
        <f ca="1">_xll.DBRW($B$1,$B$2,$B$7,$B$3,$B$4,$B$5,$F642,$B$6,AA$10,$A642,$B642)</f>
        <v>0</v>
      </c>
      <c r="AB642" s="4">
        <f ca="1">_xll.DBRW($B$1,$B$2,$B$7,$B$3,$B$4,$B$5,$F642,$B$6,AB$10,$A642,$B642)</f>
        <v>0</v>
      </c>
      <c r="AC642" s="4">
        <f ca="1">_xll.DBRW($B$1,$B$2,$B$7,$B$3,$B$4,$B$5,$F642,$B$6,AC$10,$A642,$B642)</f>
        <v>0</v>
      </c>
      <c r="AD642" s="4">
        <f ca="1">_xll.DBRW($B$1,$B$2,$B$7,$B$3,$B$4,$B$5,$F642,$B$6,AD$10,$A642,$B642)</f>
        <v>0</v>
      </c>
      <c r="AE642" s="4">
        <f ca="1">_xll.DBRW($B$1,$B$2,$B$7,$B$3,$B$4,$B$5,$F642,$B$6,AE$10,$A642,$B642)</f>
        <v>0</v>
      </c>
    </row>
    <row r="643" spans="1:31">
      <c r="A643" s="1" t="s">
        <v>150</v>
      </c>
      <c r="B643" s="5" t="s">
        <v>230</v>
      </c>
      <c r="C643" s="5" t="s">
        <v>210</v>
      </c>
      <c r="D643" s="5" t="s">
        <v>21</v>
      </c>
      <c r="E643" s="5" t="s">
        <v>211</v>
      </c>
      <c r="F643" s="5" t="s">
        <v>317</v>
      </c>
      <c r="G643" s="6"/>
      <c r="H643" s="6"/>
      <c r="I643" s="6"/>
      <c r="J643" s="6"/>
      <c r="K643" s="6"/>
      <c r="L643" s="4">
        <f ca="1">_xll.DBRW($B$1,$B$2,$B$7,$B$3,$B$4,$B$5,$F643,$B$6,L$10,$A643,$B643)</f>
        <v>0</v>
      </c>
      <c r="M643" s="4">
        <f ca="1">_xll.DBRW($B$1,$B$2,$B$7,$B$3,$B$4,$B$5,$F643,$B$6,M$10,$A643,$B643)</f>
        <v>0</v>
      </c>
      <c r="N643" s="4">
        <f ca="1">_xll.DBRW($B$1,$B$2,$B$7,$B$3,$B$4,$B$5,$F643,$B$6,N$10,$A643,$B643)</f>
        <v>0</v>
      </c>
      <c r="O643" s="4">
        <f ca="1">_xll.DBRW($B$1,$B$2,$B$7,$B$3,$B$4,$B$5,$F643,$B$6,O$10,$A643,$B643)</f>
        <v>0</v>
      </c>
      <c r="P643" s="4">
        <f ca="1">_xll.DBRW($B$1,$B$2,$B$7,$B$3,$B$4,$B$5,$F643,$B$6,P$10,$A643,$B643)</f>
        <v>0</v>
      </c>
      <c r="Q643" s="4">
        <f ca="1">_xll.DBRW($B$1,$B$2,$B$7,$B$3,$B$4,$B$5,$F643,$B$6,Q$10,$A643,$B643)</f>
        <v>0</v>
      </c>
      <c r="R643" s="4">
        <f ca="1">_xll.DBRW($B$1,$B$2,$B$7,$B$3,$B$4,$B$5,$F643,$B$6,R$10,$A643,$B643)</f>
        <v>0</v>
      </c>
      <c r="S643" s="4">
        <f ca="1">_xll.DBRW($B$1,$B$2,$B$7,$B$3,$B$4,$B$5,$F643,$B$6,S$10,$A643,$B643)</f>
        <v>0</v>
      </c>
      <c r="T643" s="4">
        <f ca="1">_xll.DBRW($B$1,$B$2,$B$7,$B$3,$B$4,$B$5,$F643,$B$6,T$10,$A643,$B643)</f>
        <v>0</v>
      </c>
      <c r="U643" s="4">
        <f ca="1">_xll.DBRW($B$1,$B$2,$B$7,$B$3,$B$4,$B$5,$F643,$B$6,U$10,$A643,$B643)</f>
        <v>0</v>
      </c>
      <c r="V643" s="4">
        <f ca="1">_xll.DBRW($B$1,$B$2,$B$7,$B$3,$B$4,$B$5,$F643,$B$6,V$10,$A643,$B643)</f>
        <v>0</v>
      </c>
      <c r="W643" s="4">
        <f ca="1">_xll.DBRW($B$1,$B$2,$B$7,$B$3,$B$4,$B$5,$F643,$B$6,W$10,$A643,$B643)</f>
        <v>0</v>
      </c>
      <c r="X643" s="4">
        <f ca="1">_xll.DBRW($B$1,$B$2,$B$7,$B$3,$B$4,$B$5,$F643,$B$6,X$10,$A643,$B643)</f>
        <v>0</v>
      </c>
      <c r="Y643" s="4">
        <f ca="1">_xll.DBRW($B$1,$B$2,$B$7,$B$3,$B$4,$B$5,$F643,$B$6,Y$10,$A643,$B643)</f>
        <v>0</v>
      </c>
      <c r="Z643" s="4">
        <f ca="1">_xll.DBRW($B$1,$B$2,$B$7,$B$3,$B$4,$B$5,$F643,$B$6,Z$10,$A643,$B643)</f>
        <v>0</v>
      </c>
      <c r="AA643" s="4">
        <f ca="1">_xll.DBRW($B$1,$B$2,$B$7,$B$3,$B$4,$B$5,$F643,$B$6,AA$10,$A643,$B643)</f>
        <v>0</v>
      </c>
      <c r="AB643" s="4">
        <f ca="1">_xll.DBRW($B$1,$B$2,$B$7,$B$3,$B$4,$B$5,$F643,$B$6,AB$10,$A643,$B643)</f>
        <v>0</v>
      </c>
      <c r="AC643" s="4">
        <f ca="1">_xll.DBRW($B$1,$B$2,$B$7,$B$3,$B$4,$B$5,$F643,$B$6,AC$10,$A643,$B643)</f>
        <v>0</v>
      </c>
      <c r="AD643" s="4">
        <f ca="1">_xll.DBRW($B$1,$B$2,$B$7,$B$3,$B$4,$B$5,$F643,$B$6,AD$10,$A643,$B643)</f>
        <v>0</v>
      </c>
      <c r="AE643" s="4">
        <f ca="1">_xll.DBRW($B$1,$B$2,$B$7,$B$3,$B$4,$B$5,$F643,$B$6,AE$10,$A643,$B643)</f>
        <v>0</v>
      </c>
    </row>
    <row r="644" spans="1:31">
      <c r="A644" s="1" t="s">
        <v>150</v>
      </c>
      <c r="B644" s="5" t="s">
        <v>231</v>
      </c>
      <c r="C644" s="5" t="s">
        <v>213</v>
      </c>
      <c r="D644" s="5" t="s">
        <v>211</v>
      </c>
      <c r="E644" s="5" t="s">
        <v>21</v>
      </c>
      <c r="F644" s="5" t="s">
        <v>317</v>
      </c>
      <c r="G644" s="6"/>
      <c r="H644" s="6"/>
      <c r="I644" s="6"/>
      <c r="J644" s="6"/>
      <c r="K644" s="6"/>
      <c r="L644" s="4">
        <f ca="1">_xll.DBRW($B$1,$B$2,$B$7,$B$3,$B$4,$B$5,$F644,$B$6,L$10,$A644,$B644)</f>
        <v>0</v>
      </c>
      <c r="M644" s="4">
        <f ca="1">_xll.DBRW($B$1,$B$2,$B$7,$B$3,$B$4,$B$5,$F644,$B$6,M$10,$A644,$B644)</f>
        <v>0</v>
      </c>
      <c r="N644" s="4">
        <f ca="1">_xll.DBRW($B$1,$B$2,$B$7,$B$3,$B$4,$B$5,$F644,$B$6,N$10,$A644,$B644)</f>
        <v>0</v>
      </c>
      <c r="O644" s="4">
        <f ca="1">_xll.DBRW($B$1,$B$2,$B$7,$B$3,$B$4,$B$5,$F644,$B$6,O$10,$A644,$B644)</f>
        <v>0</v>
      </c>
      <c r="P644" s="4">
        <f ca="1">_xll.DBRW($B$1,$B$2,$B$7,$B$3,$B$4,$B$5,$F644,$B$6,P$10,$A644,$B644)</f>
        <v>0</v>
      </c>
      <c r="Q644" s="4">
        <f ca="1">_xll.DBRW($B$1,$B$2,$B$7,$B$3,$B$4,$B$5,$F644,$B$6,Q$10,$A644,$B644)</f>
        <v>0</v>
      </c>
      <c r="R644" s="4">
        <f ca="1">_xll.DBRW($B$1,$B$2,$B$7,$B$3,$B$4,$B$5,$F644,$B$6,R$10,$A644,$B644)</f>
        <v>0</v>
      </c>
      <c r="S644" s="4">
        <f ca="1">_xll.DBRW($B$1,$B$2,$B$7,$B$3,$B$4,$B$5,$F644,$B$6,S$10,$A644,$B644)</f>
        <v>0</v>
      </c>
      <c r="T644" s="4">
        <f ca="1">_xll.DBRW($B$1,$B$2,$B$7,$B$3,$B$4,$B$5,$F644,$B$6,T$10,$A644,$B644)</f>
        <v>0</v>
      </c>
      <c r="U644" s="4">
        <f ca="1">_xll.DBRW($B$1,$B$2,$B$7,$B$3,$B$4,$B$5,$F644,$B$6,U$10,$A644,$B644)</f>
        <v>0</v>
      </c>
      <c r="V644" s="4">
        <f ca="1">_xll.DBRW($B$1,$B$2,$B$7,$B$3,$B$4,$B$5,$F644,$B$6,V$10,$A644,$B644)</f>
        <v>0</v>
      </c>
      <c r="W644" s="4">
        <f ca="1">_xll.DBRW($B$1,$B$2,$B$7,$B$3,$B$4,$B$5,$F644,$B$6,W$10,$A644,$B644)</f>
        <v>0</v>
      </c>
      <c r="X644" s="4">
        <f ca="1">_xll.DBRW($B$1,$B$2,$B$7,$B$3,$B$4,$B$5,$F644,$B$6,X$10,$A644,$B644)</f>
        <v>0</v>
      </c>
      <c r="Y644" s="4">
        <f ca="1">_xll.DBRW($B$1,$B$2,$B$7,$B$3,$B$4,$B$5,$F644,$B$6,Y$10,$A644,$B644)</f>
        <v>0</v>
      </c>
      <c r="Z644" s="4">
        <f ca="1">_xll.DBRW($B$1,$B$2,$B$7,$B$3,$B$4,$B$5,$F644,$B$6,Z$10,$A644,$B644)</f>
        <v>0</v>
      </c>
      <c r="AA644" s="4">
        <f ca="1">_xll.DBRW($B$1,$B$2,$B$7,$B$3,$B$4,$B$5,$F644,$B$6,AA$10,$A644,$B644)</f>
        <v>0</v>
      </c>
      <c r="AB644" s="4">
        <f ca="1">_xll.DBRW($B$1,$B$2,$B$7,$B$3,$B$4,$B$5,$F644,$B$6,AB$10,$A644,$B644)</f>
        <v>0</v>
      </c>
      <c r="AC644" s="4">
        <f ca="1">_xll.DBRW($B$1,$B$2,$B$7,$B$3,$B$4,$B$5,$F644,$B$6,AC$10,$A644,$B644)</f>
        <v>0</v>
      </c>
      <c r="AD644" s="4">
        <f ca="1">_xll.DBRW($B$1,$B$2,$B$7,$B$3,$B$4,$B$5,$F644,$B$6,AD$10,$A644,$B644)</f>
        <v>0</v>
      </c>
      <c r="AE644" s="4">
        <f ca="1">_xll.DBRW($B$1,$B$2,$B$7,$B$3,$B$4,$B$5,$F644,$B$6,AE$10,$A644,$B644)</f>
        <v>0</v>
      </c>
    </row>
    <row r="645" spans="1:31">
      <c r="A645" s="1" t="s">
        <v>150</v>
      </c>
      <c r="B645" s="5" t="s">
        <v>232</v>
      </c>
      <c r="C645" s="5" t="s">
        <v>233</v>
      </c>
      <c r="D645" s="5" t="s">
        <v>21</v>
      </c>
      <c r="E645" s="5" t="s">
        <v>234</v>
      </c>
      <c r="F645" s="5" t="s">
        <v>317</v>
      </c>
      <c r="G645" s="6"/>
      <c r="H645" s="6"/>
      <c r="I645" s="6"/>
      <c r="J645" s="6"/>
      <c r="K645" s="6"/>
      <c r="L645" s="4">
        <f ca="1">_xll.DBRW($B$1,$B$2,$B$7,$B$3,$B$4,$B$5,$F645,$B$6,L$10,$A645,$B645)</f>
        <v>0</v>
      </c>
      <c r="M645" s="4">
        <f ca="1">_xll.DBRW($B$1,$B$2,$B$7,$B$3,$B$4,$B$5,$F645,$B$6,M$10,$A645,$B645)</f>
        <v>0</v>
      </c>
      <c r="N645" s="4">
        <f ca="1">_xll.DBRW($B$1,$B$2,$B$7,$B$3,$B$4,$B$5,$F645,$B$6,N$10,$A645,$B645)</f>
        <v>0</v>
      </c>
      <c r="O645" s="4">
        <f ca="1">_xll.DBRW($B$1,$B$2,$B$7,$B$3,$B$4,$B$5,$F645,$B$6,O$10,$A645,$B645)</f>
        <v>0</v>
      </c>
      <c r="P645" s="4">
        <f ca="1">_xll.DBRW($B$1,$B$2,$B$7,$B$3,$B$4,$B$5,$F645,$B$6,P$10,$A645,$B645)</f>
        <v>0</v>
      </c>
      <c r="Q645" s="4">
        <f ca="1">_xll.DBRW($B$1,$B$2,$B$7,$B$3,$B$4,$B$5,$F645,$B$6,Q$10,$A645,$B645)</f>
        <v>0</v>
      </c>
      <c r="R645" s="4">
        <f ca="1">_xll.DBRW($B$1,$B$2,$B$7,$B$3,$B$4,$B$5,$F645,$B$6,R$10,$A645,$B645)</f>
        <v>0</v>
      </c>
      <c r="S645" s="4">
        <f ca="1">_xll.DBRW($B$1,$B$2,$B$7,$B$3,$B$4,$B$5,$F645,$B$6,S$10,$A645,$B645)</f>
        <v>0</v>
      </c>
      <c r="T645" s="4">
        <f ca="1">_xll.DBRW($B$1,$B$2,$B$7,$B$3,$B$4,$B$5,$F645,$B$6,T$10,$A645,$B645)</f>
        <v>0</v>
      </c>
      <c r="U645" s="4">
        <f ca="1">_xll.DBRW($B$1,$B$2,$B$7,$B$3,$B$4,$B$5,$F645,$B$6,U$10,$A645,$B645)</f>
        <v>0</v>
      </c>
      <c r="V645" s="4">
        <f ca="1">_xll.DBRW($B$1,$B$2,$B$7,$B$3,$B$4,$B$5,$F645,$B$6,V$10,$A645,$B645)</f>
        <v>0</v>
      </c>
      <c r="W645" s="4">
        <f ca="1">_xll.DBRW($B$1,$B$2,$B$7,$B$3,$B$4,$B$5,$F645,$B$6,W$10,$A645,$B645)</f>
        <v>0</v>
      </c>
      <c r="X645" s="4">
        <f ca="1">_xll.DBRW($B$1,$B$2,$B$7,$B$3,$B$4,$B$5,$F645,$B$6,X$10,$A645,$B645)</f>
        <v>0</v>
      </c>
      <c r="Y645" s="4">
        <f ca="1">_xll.DBRW($B$1,$B$2,$B$7,$B$3,$B$4,$B$5,$F645,$B$6,Y$10,$A645,$B645)</f>
        <v>0</v>
      </c>
      <c r="Z645" s="4">
        <f ca="1">_xll.DBRW($B$1,$B$2,$B$7,$B$3,$B$4,$B$5,$F645,$B$6,Z$10,$A645,$B645)</f>
        <v>0</v>
      </c>
      <c r="AA645" s="4">
        <f ca="1">_xll.DBRW($B$1,$B$2,$B$7,$B$3,$B$4,$B$5,$F645,$B$6,AA$10,$A645,$B645)</f>
        <v>0</v>
      </c>
      <c r="AB645" s="4">
        <f ca="1">_xll.DBRW($B$1,$B$2,$B$7,$B$3,$B$4,$B$5,$F645,$B$6,AB$10,$A645,$B645)</f>
        <v>0</v>
      </c>
      <c r="AC645" s="4">
        <f ca="1">_xll.DBRW($B$1,$B$2,$B$7,$B$3,$B$4,$B$5,$F645,$B$6,AC$10,$A645,$B645)</f>
        <v>0</v>
      </c>
      <c r="AD645" s="4">
        <f ca="1">_xll.DBRW($B$1,$B$2,$B$7,$B$3,$B$4,$B$5,$F645,$B$6,AD$10,$A645,$B645)</f>
        <v>0</v>
      </c>
      <c r="AE645" s="4">
        <f ca="1">_xll.DBRW($B$1,$B$2,$B$7,$B$3,$B$4,$B$5,$F645,$B$6,AE$10,$A645,$B645)</f>
        <v>0</v>
      </c>
    </row>
    <row r="646" spans="1:31">
      <c r="A646" s="1" t="s">
        <v>150</v>
      </c>
      <c r="B646" s="5" t="s">
        <v>235</v>
      </c>
      <c r="C646" s="5" t="s">
        <v>236</v>
      </c>
      <c r="D646" s="5" t="s">
        <v>234</v>
      </c>
      <c r="E646" s="5" t="s">
        <v>21</v>
      </c>
      <c r="F646" s="5" t="s">
        <v>317</v>
      </c>
      <c r="G646" s="6"/>
      <c r="H646" s="6"/>
      <c r="I646" s="6"/>
      <c r="J646" s="6"/>
      <c r="K646" s="6"/>
      <c r="L646" s="4">
        <f ca="1">_xll.DBRW($B$1,$B$2,$B$7,$B$3,$B$4,$B$5,$F646,$B$6,L$10,$A646,$B646)</f>
        <v>0</v>
      </c>
      <c r="M646" s="4">
        <f ca="1">_xll.DBRW($B$1,$B$2,$B$7,$B$3,$B$4,$B$5,$F646,$B$6,M$10,$A646,$B646)</f>
        <v>0</v>
      </c>
      <c r="N646" s="4">
        <f ca="1">_xll.DBRW($B$1,$B$2,$B$7,$B$3,$B$4,$B$5,$F646,$B$6,N$10,$A646,$B646)</f>
        <v>0</v>
      </c>
      <c r="O646" s="4">
        <f ca="1">_xll.DBRW($B$1,$B$2,$B$7,$B$3,$B$4,$B$5,$F646,$B$6,O$10,$A646,$B646)</f>
        <v>0</v>
      </c>
      <c r="P646" s="4">
        <f ca="1">_xll.DBRW($B$1,$B$2,$B$7,$B$3,$B$4,$B$5,$F646,$B$6,P$10,$A646,$B646)</f>
        <v>0</v>
      </c>
      <c r="Q646" s="4">
        <f ca="1">_xll.DBRW($B$1,$B$2,$B$7,$B$3,$B$4,$B$5,$F646,$B$6,Q$10,$A646,$B646)</f>
        <v>0</v>
      </c>
      <c r="R646" s="4">
        <f ca="1">_xll.DBRW($B$1,$B$2,$B$7,$B$3,$B$4,$B$5,$F646,$B$6,R$10,$A646,$B646)</f>
        <v>0</v>
      </c>
      <c r="S646" s="4">
        <f ca="1">_xll.DBRW($B$1,$B$2,$B$7,$B$3,$B$4,$B$5,$F646,$B$6,S$10,$A646,$B646)</f>
        <v>0</v>
      </c>
      <c r="T646" s="4">
        <f ca="1">_xll.DBRW($B$1,$B$2,$B$7,$B$3,$B$4,$B$5,$F646,$B$6,T$10,$A646,$B646)</f>
        <v>0</v>
      </c>
      <c r="U646" s="4">
        <f ca="1">_xll.DBRW($B$1,$B$2,$B$7,$B$3,$B$4,$B$5,$F646,$B$6,U$10,$A646,$B646)</f>
        <v>0</v>
      </c>
      <c r="V646" s="4">
        <f ca="1">_xll.DBRW($B$1,$B$2,$B$7,$B$3,$B$4,$B$5,$F646,$B$6,V$10,$A646,$B646)</f>
        <v>0</v>
      </c>
      <c r="W646" s="4">
        <f ca="1">_xll.DBRW($B$1,$B$2,$B$7,$B$3,$B$4,$B$5,$F646,$B$6,W$10,$A646,$B646)</f>
        <v>0</v>
      </c>
      <c r="X646" s="4">
        <f ca="1">_xll.DBRW($B$1,$B$2,$B$7,$B$3,$B$4,$B$5,$F646,$B$6,X$10,$A646,$B646)</f>
        <v>0</v>
      </c>
      <c r="Y646" s="4">
        <f ca="1">_xll.DBRW($B$1,$B$2,$B$7,$B$3,$B$4,$B$5,$F646,$B$6,Y$10,$A646,$B646)</f>
        <v>0</v>
      </c>
      <c r="Z646" s="4">
        <f ca="1">_xll.DBRW($B$1,$B$2,$B$7,$B$3,$B$4,$B$5,$F646,$B$6,Z$10,$A646,$B646)</f>
        <v>0</v>
      </c>
      <c r="AA646" s="4">
        <f ca="1">_xll.DBRW($B$1,$B$2,$B$7,$B$3,$B$4,$B$5,$F646,$B$6,AA$10,$A646,$B646)</f>
        <v>0</v>
      </c>
      <c r="AB646" s="4">
        <f ca="1">_xll.DBRW($B$1,$B$2,$B$7,$B$3,$B$4,$B$5,$F646,$B$6,AB$10,$A646,$B646)</f>
        <v>0</v>
      </c>
      <c r="AC646" s="4">
        <f ca="1">_xll.DBRW($B$1,$B$2,$B$7,$B$3,$B$4,$B$5,$F646,$B$6,AC$10,$A646,$B646)</f>
        <v>0</v>
      </c>
      <c r="AD646" s="4">
        <f ca="1">_xll.DBRW($B$1,$B$2,$B$7,$B$3,$B$4,$B$5,$F646,$B$6,AD$10,$A646,$B646)</f>
        <v>0</v>
      </c>
      <c r="AE646" s="4">
        <f ca="1">_xll.DBRW($B$1,$B$2,$B$7,$B$3,$B$4,$B$5,$F646,$B$6,AE$10,$A646,$B646)</f>
        <v>0</v>
      </c>
    </row>
    <row r="647" spans="1:31">
      <c r="A647" s="1" t="s">
        <v>150</v>
      </c>
      <c r="B647" s="5" t="s">
        <v>237</v>
      </c>
      <c r="C647" s="5" t="s">
        <v>238</v>
      </c>
      <c r="D647" s="5" t="s">
        <v>21</v>
      </c>
      <c r="E647" s="5" t="s">
        <v>239</v>
      </c>
      <c r="F647" s="5" t="s">
        <v>317</v>
      </c>
      <c r="G647" s="6"/>
      <c r="H647" s="6"/>
      <c r="I647" s="6"/>
      <c r="J647" s="6"/>
      <c r="K647" s="6"/>
      <c r="L647" s="4">
        <f ca="1">_xll.DBRW($B$1,$B$2,$B$7,$B$3,$B$4,$B$5,$F647,$B$6,L$10,$A647,$B647)</f>
        <v>0</v>
      </c>
      <c r="M647" s="4">
        <f ca="1">_xll.DBRW($B$1,$B$2,$B$7,$B$3,$B$4,$B$5,$F647,$B$6,M$10,$A647,$B647)</f>
        <v>0</v>
      </c>
      <c r="N647" s="4">
        <f ca="1">_xll.DBRW($B$1,$B$2,$B$7,$B$3,$B$4,$B$5,$F647,$B$6,N$10,$A647,$B647)</f>
        <v>0</v>
      </c>
      <c r="O647" s="4">
        <f ca="1">_xll.DBRW($B$1,$B$2,$B$7,$B$3,$B$4,$B$5,$F647,$B$6,O$10,$A647,$B647)</f>
        <v>0</v>
      </c>
      <c r="P647" s="4">
        <f ca="1">_xll.DBRW($B$1,$B$2,$B$7,$B$3,$B$4,$B$5,$F647,$B$6,P$10,$A647,$B647)</f>
        <v>0</v>
      </c>
      <c r="Q647" s="4">
        <f ca="1">_xll.DBRW($B$1,$B$2,$B$7,$B$3,$B$4,$B$5,$F647,$B$6,Q$10,$A647,$B647)</f>
        <v>0</v>
      </c>
      <c r="R647" s="4">
        <f ca="1">_xll.DBRW($B$1,$B$2,$B$7,$B$3,$B$4,$B$5,$F647,$B$6,R$10,$A647,$B647)</f>
        <v>0</v>
      </c>
      <c r="S647" s="4">
        <f ca="1">_xll.DBRW($B$1,$B$2,$B$7,$B$3,$B$4,$B$5,$F647,$B$6,S$10,$A647,$B647)</f>
        <v>0</v>
      </c>
      <c r="T647" s="4">
        <f ca="1">_xll.DBRW($B$1,$B$2,$B$7,$B$3,$B$4,$B$5,$F647,$B$6,T$10,$A647,$B647)</f>
        <v>0</v>
      </c>
      <c r="U647" s="4">
        <f ca="1">_xll.DBRW($B$1,$B$2,$B$7,$B$3,$B$4,$B$5,$F647,$B$6,U$10,$A647,$B647)</f>
        <v>0</v>
      </c>
      <c r="V647" s="4">
        <f ca="1">_xll.DBRW($B$1,$B$2,$B$7,$B$3,$B$4,$B$5,$F647,$B$6,V$10,$A647,$B647)</f>
        <v>2</v>
      </c>
      <c r="W647" s="4">
        <f ca="1">_xll.DBRW($B$1,$B$2,$B$7,$B$3,$B$4,$B$5,$F647,$B$6,W$10,$A647,$B647)</f>
        <v>30</v>
      </c>
      <c r="X647" s="4">
        <f ca="1">_xll.DBRW($B$1,$B$2,$B$7,$B$3,$B$4,$B$5,$F647,$B$6,X$10,$A647,$B647)</f>
        <v>31</v>
      </c>
      <c r="Y647" s="4">
        <f ca="1">_xll.DBRW($B$1,$B$2,$B$7,$B$3,$B$4,$B$5,$F647,$B$6,Y$10,$A647,$B647)</f>
        <v>30</v>
      </c>
      <c r="Z647" s="4">
        <f ca="1">_xll.DBRW($B$1,$B$2,$B$7,$B$3,$B$4,$B$5,$F647,$B$6,Z$10,$A647,$B647)</f>
        <v>31</v>
      </c>
      <c r="AA647" s="4">
        <f ca="1">_xll.DBRW($B$1,$B$2,$B$7,$B$3,$B$4,$B$5,$F647,$B$6,AA$10,$A647,$B647)</f>
        <v>31</v>
      </c>
      <c r="AB647" s="4">
        <f ca="1">_xll.DBRW($B$1,$B$2,$B$7,$B$3,$B$4,$B$5,$F647,$B$6,AB$10,$A647,$B647)</f>
        <v>30</v>
      </c>
      <c r="AC647" s="4">
        <f ca="1">_xll.DBRW($B$1,$B$2,$B$7,$B$3,$B$4,$B$5,$F647,$B$6,AC$10,$A647,$B647)</f>
        <v>31</v>
      </c>
      <c r="AD647" s="4">
        <f ca="1">_xll.DBRW($B$1,$B$2,$B$7,$B$3,$B$4,$B$5,$F647,$B$6,AD$10,$A647,$B647)</f>
        <v>30</v>
      </c>
      <c r="AE647" s="4">
        <f ca="1">_xll.DBRW($B$1,$B$2,$B$7,$B$3,$B$4,$B$5,$F647,$B$6,AE$10,$A647,$B647)</f>
        <v>31</v>
      </c>
    </row>
    <row r="648" spans="1:31">
      <c r="A648" s="1" t="s">
        <v>150</v>
      </c>
      <c r="B648" s="5" t="s">
        <v>240</v>
      </c>
      <c r="C648" s="5" t="s">
        <v>241</v>
      </c>
      <c r="D648" s="5" t="s">
        <v>239</v>
      </c>
      <c r="E648" s="5" t="s">
        <v>21</v>
      </c>
      <c r="F648" s="5" t="s">
        <v>317</v>
      </c>
      <c r="G648" s="6"/>
      <c r="H648" s="6"/>
      <c r="I648" s="6"/>
      <c r="J648" s="6"/>
      <c r="K648" s="6"/>
      <c r="L648" s="4">
        <f ca="1">_xll.DBRW($B$1,$B$2,$B$7,$B$3,$B$4,$B$5,$F648,$B$6,L$10,$A648,$B648)</f>
        <v>0</v>
      </c>
      <c r="M648" s="4">
        <f ca="1">_xll.DBRW($B$1,$B$2,$B$7,$B$3,$B$4,$B$5,$F648,$B$6,M$10,$A648,$B648)</f>
        <v>0</v>
      </c>
      <c r="N648" s="4">
        <f ca="1">_xll.DBRW($B$1,$B$2,$B$7,$B$3,$B$4,$B$5,$F648,$B$6,N$10,$A648,$B648)</f>
        <v>0</v>
      </c>
      <c r="O648" s="4">
        <f ca="1">_xll.DBRW($B$1,$B$2,$B$7,$B$3,$B$4,$B$5,$F648,$B$6,O$10,$A648,$B648)</f>
        <v>0</v>
      </c>
      <c r="P648" s="4">
        <f ca="1">_xll.DBRW($B$1,$B$2,$B$7,$B$3,$B$4,$B$5,$F648,$B$6,P$10,$A648,$B648)</f>
        <v>0</v>
      </c>
      <c r="Q648" s="4">
        <f ca="1">_xll.DBRW($B$1,$B$2,$B$7,$B$3,$B$4,$B$5,$F648,$B$6,Q$10,$A648,$B648)</f>
        <v>0</v>
      </c>
      <c r="R648" s="4">
        <f ca="1">_xll.DBRW($B$1,$B$2,$B$7,$B$3,$B$4,$B$5,$F648,$B$6,R$10,$A648,$B648)</f>
        <v>0</v>
      </c>
      <c r="S648" s="4">
        <f ca="1">_xll.DBRW($B$1,$B$2,$B$7,$B$3,$B$4,$B$5,$F648,$B$6,S$10,$A648,$B648)</f>
        <v>0</v>
      </c>
      <c r="T648" s="4">
        <f ca="1">_xll.DBRW($B$1,$B$2,$B$7,$B$3,$B$4,$B$5,$F648,$B$6,T$10,$A648,$B648)</f>
        <v>0</v>
      </c>
      <c r="U648" s="4">
        <f ca="1">_xll.DBRW($B$1,$B$2,$B$7,$B$3,$B$4,$B$5,$F648,$B$6,U$10,$A648,$B648)</f>
        <v>0</v>
      </c>
      <c r="V648" s="4">
        <f ca="1">_xll.DBRW($B$1,$B$2,$B$7,$B$3,$B$4,$B$5,$F648,$B$6,V$10,$A648,$B648)</f>
        <v>2</v>
      </c>
      <c r="W648" s="4">
        <f ca="1">_xll.DBRW($B$1,$B$2,$B$7,$B$3,$B$4,$B$5,$F648,$B$6,W$10,$A648,$B648)</f>
        <v>30</v>
      </c>
      <c r="X648" s="4">
        <f ca="1">_xll.DBRW($B$1,$B$2,$B$7,$B$3,$B$4,$B$5,$F648,$B$6,X$10,$A648,$B648)</f>
        <v>31</v>
      </c>
      <c r="Y648" s="4">
        <f ca="1">_xll.DBRW($B$1,$B$2,$B$7,$B$3,$B$4,$B$5,$F648,$B$6,Y$10,$A648,$B648)</f>
        <v>30</v>
      </c>
      <c r="Z648" s="4">
        <f ca="1">_xll.DBRW($B$1,$B$2,$B$7,$B$3,$B$4,$B$5,$F648,$B$6,Z$10,$A648,$B648)</f>
        <v>31</v>
      </c>
      <c r="AA648" s="4">
        <f ca="1">_xll.DBRW($B$1,$B$2,$B$7,$B$3,$B$4,$B$5,$F648,$B$6,AA$10,$A648,$B648)</f>
        <v>31</v>
      </c>
      <c r="AB648" s="4">
        <f ca="1">_xll.DBRW($B$1,$B$2,$B$7,$B$3,$B$4,$B$5,$F648,$B$6,AB$10,$A648,$B648)</f>
        <v>30</v>
      </c>
      <c r="AC648" s="4">
        <f ca="1">_xll.DBRW($B$1,$B$2,$B$7,$B$3,$B$4,$B$5,$F648,$B$6,AC$10,$A648,$B648)</f>
        <v>30</v>
      </c>
      <c r="AD648" s="4">
        <f ca="1">_xll.DBRW($B$1,$B$2,$B$7,$B$3,$B$4,$B$5,$F648,$B$6,AD$10,$A648,$B648)</f>
        <v>30</v>
      </c>
      <c r="AE648" s="4">
        <f ca="1">_xll.DBRW($B$1,$B$2,$B$7,$B$3,$B$4,$B$5,$F648,$B$6,AE$10,$A648,$B648)</f>
        <v>30</v>
      </c>
    </row>
    <row r="649" spans="1:31">
      <c r="A649" s="1" t="s">
        <v>150</v>
      </c>
      <c r="B649" s="5" t="s">
        <v>242</v>
      </c>
      <c r="C649" s="5" t="s">
        <v>243</v>
      </c>
      <c r="D649" s="5" t="s">
        <v>21</v>
      </c>
      <c r="E649" s="5" t="s">
        <v>244</v>
      </c>
      <c r="F649" s="5" t="s">
        <v>317</v>
      </c>
      <c r="G649" s="6"/>
      <c r="H649" s="6"/>
      <c r="I649" s="6"/>
      <c r="J649" s="6"/>
      <c r="K649" s="6"/>
      <c r="L649" s="4">
        <f ca="1">_xll.DBRW($B$1,$B$2,$B$7,$B$3,$B$4,$B$5,$F649,$B$6,L$10,$A649,$B649)</f>
        <v>0</v>
      </c>
      <c r="M649" s="4">
        <f ca="1">_xll.DBRW($B$1,$B$2,$B$7,$B$3,$B$4,$B$5,$F649,$B$6,M$10,$A649,$B649)</f>
        <v>0</v>
      </c>
      <c r="N649" s="4">
        <f ca="1">_xll.DBRW($B$1,$B$2,$B$7,$B$3,$B$4,$B$5,$F649,$B$6,N$10,$A649,$B649)</f>
        <v>0</v>
      </c>
      <c r="O649" s="4">
        <f ca="1">_xll.DBRW($B$1,$B$2,$B$7,$B$3,$B$4,$B$5,$F649,$B$6,O$10,$A649,$B649)</f>
        <v>0</v>
      </c>
      <c r="P649" s="4">
        <f ca="1">_xll.DBRW($B$1,$B$2,$B$7,$B$3,$B$4,$B$5,$F649,$B$6,P$10,$A649,$B649)</f>
        <v>0</v>
      </c>
      <c r="Q649" s="4">
        <f ca="1">_xll.DBRW($B$1,$B$2,$B$7,$B$3,$B$4,$B$5,$F649,$B$6,Q$10,$A649,$B649)</f>
        <v>0</v>
      </c>
      <c r="R649" s="4">
        <f ca="1">_xll.DBRW($B$1,$B$2,$B$7,$B$3,$B$4,$B$5,$F649,$B$6,R$10,$A649,$B649)</f>
        <v>0</v>
      </c>
      <c r="S649" s="4">
        <f ca="1">_xll.DBRW($B$1,$B$2,$B$7,$B$3,$B$4,$B$5,$F649,$B$6,S$10,$A649,$B649)</f>
        <v>0</v>
      </c>
      <c r="T649" s="4">
        <f ca="1">_xll.DBRW($B$1,$B$2,$B$7,$B$3,$B$4,$B$5,$F649,$B$6,T$10,$A649,$B649)</f>
        <v>0</v>
      </c>
      <c r="U649" s="4">
        <f ca="1">_xll.DBRW($B$1,$B$2,$B$7,$B$3,$B$4,$B$5,$F649,$B$6,U$10,$A649,$B649)</f>
        <v>0</v>
      </c>
      <c r="V649" s="4">
        <f ca="1">_xll.DBRW($B$1,$B$2,$B$7,$B$3,$B$4,$B$5,$F649,$B$6,V$10,$A649,$B649)</f>
        <v>0</v>
      </c>
      <c r="W649" s="4">
        <f ca="1">_xll.DBRW($B$1,$B$2,$B$7,$B$3,$B$4,$B$5,$F649,$B$6,W$10,$A649,$B649)</f>
        <v>0</v>
      </c>
      <c r="X649" s="4">
        <f ca="1">_xll.DBRW($B$1,$B$2,$B$7,$B$3,$B$4,$B$5,$F649,$B$6,X$10,$A649,$B649)</f>
        <v>0</v>
      </c>
      <c r="Y649" s="4">
        <f ca="1">_xll.DBRW($B$1,$B$2,$B$7,$B$3,$B$4,$B$5,$F649,$B$6,Y$10,$A649,$B649)</f>
        <v>0</v>
      </c>
      <c r="Z649" s="4">
        <f ca="1">_xll.DBRW($B$1,$B$2,$B$7,$B$3,$B$4,$B$5,$F649,$B$6,Z$10,$A649,$B649)</f>
        <v>0</v>
      </c>
      <c r="AA649" s="4">
        <f ca="1">_xll.DBRW($B$1,$B$2,$B$7,$B$3,$B$4,$B$5,$F649,$B$6,AA$10,$A649,$B649)</f>
        <v>0</v>
      </c>
      <c r="AB649" s="4">
        <f ca="1">_xll.DBRW($B$1,$B$2,$B$7,$B$3,$B$4,$B$5,$F649,$B$6,AB$10,$A649,$B649)</f>
        <v>0</v>
      </c>
      <c r="AC649" s="4">
        <f ca="1">_xll.DBRW($B$1,$B$2,$B$7,$B$3,$B$4,$B$5,$F649,$B$6,AC$10,$A649,$B649)</f>
        <v>0</v>
      </c>
      <c r="AD649" s="4">
        <f ca="1">_xll.DBRW($B$1,$B$2,$B$7,$B$3,$B$4,$B$5,$F649,$B$6,AD$10,$A649,$B649)</f>
        <v>0</v>
      </c>
      <c r="AE649" s="4">
        <f ca="1">_xll.DBRW($B$1,$B$2,$B$7,$B$3,$B$4,$B$5,$F649,$B$6,AE$10,$A649,$B649)</f>
        <v>0</v>
      </c>
    </row>
    <row r="650" spans="1:31">
      <c r="A650" s="1" t="s">
        <v>150</v>
      </c>
      <c r="B650" s="5" t="s">
        <v>245</v>
      </c>
      <c r="C650" s="5" t="s">
        <v>246</v>
      </c>
      <c r="D650" s="5" t="s">
        <v>244</v>
      </c>
      <c r="E650" s="5" t="s">
        <v>21</v>
      </c>
      <c r="F650" s="5" t="s">
        <v>317</v>
      </c>
      <c r="G650" s="6"/>
      <c r="H650" s="6"/>
      <c r="I650" s="6"/>
      <c r="J650" s="6"/>
      <c r="K650" s="6"/>
      <c r="L650" s="4">
        <f ca="1">_xll.DBRW($B$1,$B$2,$B$7,$B$3,$B$4,$B$5,$F650,$B$6,L$10,$A650,$B650)</f>
        <v>0</v>
      </c>
      <c r="M650" s="4">
        <f ca="1">_xll.DBRW($B$1,$B$2,$B$7,$B$3,$B$4,$B$5,$F650,$B$6,M$10,$A650,$B650)</f>
        <v>0</v>
      </c>
      <c r="N650" s="4">
        <f ca="1">_xll.DBRW($B$1,$B$2,$B$7,$B$3,$B$4,$B$5,$F650,$B$6,N$10,$A650,$B650)</f>
        <v>0</v>
      </c>
      <c r="O650" s="4">
        <f ca="1">_xll.DBRW($B$1,$B$2,$B$7,$B$3,$B$4,$B$5,$F650,$B$6,O$10,$A650,$B650)</f>
        <v>0</v>
      </c>
      <c r="P650" s="4">
        <f ca="1">_xll.DBRW($B$1,$B$2,$B$7,$B$3,$B$4,$B$5,$F650,$B$6,P$10,$A650,$B650)</f>
        <v>0</v>
      </c>
      <c r="Q650" s="4">
        <f ca="1">_xll.DBRW($B$1,$B$2,$B$7,$B$3,$B$4,$B$5,$F650,$B$6,Q$10,$A650,$B650)</f>
        <v>0</v>
      </c>
      <c r="R650" s="4">
        <f ca="1">_xll.DBRW($B$1,$B$2,$B$7,$B$3,$B$4,$B$5,$F650,$B$6,R$10,$A650,$B650)</f>
        <v>0</v>
      </c>
      <c r="S650" s="4">
        <f ca="1">_xll.DBRW($B$1,$B$2,$B$7,$B$3,$B$4,$B$5,$F650,$B$6,S$10,$A650,$B650)</f>
        <v>0</v>
      </c>
      <c r="T650" s="4">
        <f ca="1">_xll.DBRW($B$1,$B$2,$B$7,$B$3,$B$4,$B$5,$F650,$B$6,T$10,$A650,$B650)</f>
        <v>0</v>
      </c>
      <c r="U650" s="4">
        <f ca="1">_xll.DBRW($B$1,$B$2,$B$7,$B$3,$B$4,$B$5,$F650,$B$6,U$10,$A650,$B650)</f>
        <v>0</v>
      </c>
      <c r="V650" s="4">
        <f ca="1">_xll.DBRW($B$1,$B$2,$B$7,$B$3,$B$4,$B$5,$F650,$B$6,V$10,$A650,$B650)</f>
        <v>0</v>
      </c>
      <c r="W650" s="4">
        <f ca="1">_xll.DBRW($B$1,$B$2,$B$7,$B$3,$B$4,$B$5,$F650,$B$6,W$10,$A650,$B650)</f>
        <v>0</v>
      </c>
      <c r="X650" s="4">
        <f ca="1">_xll.DBRW($B$1,$B$2,$B$7,$B$3,$B$4,$B$5,$F650,$B$6,X$10,$A650,$B650)</f>
        <v>0</v>
      </c>
      <c r="Y650" s="4">
        <f ca="1">_xll.DBRW($B$1,$B$2,$B$7,$B$3,$B$4,$B$5,$F650,$B$6,Y$10,$A650,$B650)</f>
        <v>0</v>
      </c>
      <c r="Z650" s="4">
        <f ca="1">_xll.DBRW($B$1,$B$2,$B$7,$B$3,$B$4,$B$5,$F650,$B$6,Z$10,$A650,$B650)</f>
        <v>0</v>
      </c>
      <c r="AA650" s="4">
        <f ca="1">_xll.DBRW($B$1,$B$2,$B$7,$B$3,$B$4,$B$5,$F650,$B$6,AA$10,$A650,$B650)</f>
        <v>0</v>
      </c>
      <c r="AB650" s="4">
        <f ca="1">_xll.DBRW($B$1,$B$2,$B$7,$B$3,$B$4,$B$5,$F650,$B$6,AB$10,$A650,$B650)</f>
        <v>0</v>
      </c>
      <c r="AC650" s="4">
        <f ca="1">_xll.DBRW($B$1,$B$2,$B$7,$B$3,$B$4,$B$5,$F650,$B$6,AC$10,$A650,$B650)</f>
        <v>0</v>
      </c>
      <c r="AD650" s="4">
        <f ca="1">_xll.DBRW($B$1,$B$2,$B$7,$B$3,$B$4,$B$5,$F650,$B$6,AD$10,$A650,$B650)</f>
        <v>0</v>
      </c>
      <c r="AE650" s="4">
        <f ca="1">_xll.DBRW($B$1,$B$2,$B$7,$B$3,$B$4,$B$5,$F650,$B$6,AE$10,$A650,$B650)</f>
        <v>0</v>
      </c>
    </row>
    <row r="651" spans="1:31">
      <c r="A651" s="1" t="s">
        <v>150</v>
      </c>
      <c r="B651" s="5" t="s">
        <v>247</v>
      </c>
      <c r="C651" s="5" t="s">
        <v>248</v>
      </c>
      <c r="D651" s="5" t="s">
        <v>21</v>
      </c>
      <c r="E651" s="5" t="s">
        <v>249</v>
      </c>
      <c r="F651" s="5" t="s">
        <v>317</v>
      </c>
      <c r="G651" s="6"/>
      <c r="H651" s="6"/>
      <c r="I651" s="6"/>
      <c r="J651" s="6"/>
      <c r="K651" s="6"/>
      <c r="L651" s="4">
        <f ca="1">_xll.DBRW($B$1,$B$2,$B$7,$B$3,$B$4,$B$5,$F651,$B$6,L$10,$A651,$B651)</f>
        <v>0</v>
      </c>
      <c r="M651" s="4">
        <f ca="1">_xll.DBRW($B$1,$B$2,$B$7,$B$3,$B$4,$B$5,$F651,$B$6,M$10,$A651,$B651)</f>
        <v>0</v>
      </c>
      <c r="N651" s="4">
        <f ca="1">_xll.DBRW($B$1,$B$2,$B$7,$B$3,$B$4,$B$5,$F651,$B$6,N$10,$A651,$B651)</f>
        <v>0</v>
      </c>
      <c r="O651" s="4">
        <f ca="1">_xll.DBRW($B$1,$B$2,$B$7,$B$3,$B$4,$B$5,$F651,$B$6,O$10,$A651,$B651)</f>
        <v>0</v>
      </c>
      <c r="P651" s="4">
        <f ca="1">_xll.DBRW($B$1,$B$2,$B$7,$B$3,$B$4,$B$5,$F651,$B$6,P$10,$A651,$B651)</f>
        <v>0</v>
      </c>
      <c r="Q651" s="4">
        <f ca="1">_xll.DBRW($B$1,$B$2,$B$7,$B$3,$B$4,$B$5,$F651,$B$6,Q$10,$A651,$B651)</f>
        <v>0</v>
      </c>
      <c r="R651" s="4">
        <f ca="1">_xll.DBRW($B$1,$B$2,$B$7,$B$3,$B$4,$B$5,$F651,$B$6,R$10,$A651,$B651)</f>
        <v>0</v>
      </c>
      <c r="S651" s="4">
        <f ca="1">_xll.DBRW($B$1,$B$2,$B$7,$B$3,$B$4,$B$5,$F651,$B$6,S$10,$A651,$B651)</f>
        <v>0</v>
      </c>
      <c r="T651" s="4">
        <f ca="1">_xll.DBRW($B$1,$B$2,$B$7,$B$3,$B$4,$B$5,$F651,$B$6,T$10,$A651,$B651)</f>
        <v>0</v>
      </c>
      <c r="U651" s="4">
        <f ca="1">_xll.DBRW($B$1,$B$2,$B$7,$B$3,$B$4,$B$5,$F651,$B$6,U$10,$A651,$B651)</f>
        <v>0</v>
      </c>
      <c r="V651" s="4">
        <f ca="1">_xll.DBRW($B$1,$B$2,$B$7,$B$3,$B$4,$B$5,$F651,$B$6,V$10,$A651,$B651)</f>
        <v>0</v>
      </c>
      <c r="W651" s="4">
        <f ca="1">_xll.DBRW($B$1,$B$2,$B$7,$B$3,$B$4,$B$5,$F651,$B$6,W$10,$A651,$B651)</f>
        <v>0</v>
      </c>
      <c r="X651" s="4">
        <f ca="1">_xll.DBRW($B$1,$B$2,$B$7,$B$3,$B$4,$B$5,$F651,$B$6,X$10,$A651,$B651)</f>
        <v>0</v>
      </c>
      <c r="Y651" s="4">
        <f ca="1">_xll.DBRW($B$1,$B$2,$B$7,$B$3,$B$4,$B$5,$F651,$B$6,Y$10,$A651,$B651)</f>
        <v>0</v>
      </c>
      <c r="Z651" s="4">
        <f ca="1">_xll.DBRW($B$1,$B$2,$B$7,$B$3,$B$4,$B$5,$F651,$B$6,Z$10,$A651,$B651)</f>
        <v>0</v>
      </c>
      <c r="AA651" s="4">
        <f ca="1">_xll.DBRW($B$1,$B$2,$B$7,$B$3,$B$4,$B$5,$F651,$B$6,AA$10,$A651,$B651)</f>
        <v>0</v>
      </c>
      <c r="AB651" s="4">
        <f ca="1">_xll.DBRW($B$1,$B$2,$B$7,$B$3,$B$4,$B$5,$F651,$B$6,AB$10,$A651,$B651)</f>
        <v>0</v>
      </c>
      <c r="AC651" s="4">
        <f ca="1">_xll.DBRW($B$1,$B$2,$B$7,$B$3,$B$4,$B$5,$F651,$B$6,AC$10,$A651,$B651)</f>
        <v>0</v>
      </c>
      <c r="AD651" s="4">
        <f ca="1">_xll.DBRW($B$1,$B$2,$B$7,$B$3,$B$4,$B$5,$F651,$B$6,AD$10,$A651,$B651)</f>
        <v>0</v>
      </c>
      <c r="AE651" s="4">
        <f ca="1">_xll.DBRW($B$1,$B$2,$B$7,$B$3,$B$4,$B$5,$F651,$B$6,AE$10,$A651,$B651)</f>
        <v>31</v>
      </c>
    </row>
    <row r="652" spans="1:31">
      <c r="A652" s="1" t="s">
        <v>150</v>
      </c>
      <c r="B652" s="5" t="s">
        <v>250</v>
      </c>
      <c r="C652" s="5" t="s">
        <v>251</v>
      </c>
      <c r="D652" s="5" t="s">
        <v>249</v>
      </c>
      <c r="E652" s="5" t="s">
        <v>21</v>
      </c>
      <c r="F652" s="5" t="s">
        <v>317</v>
      </c>
      <c r="G652" s="6"/>
      <c r="H652" s="6"/>
      <c r="I652" s="6"/>
      <c r="J652" s="6"/>
      <c r="K652" s="6"/>
      <c r="L652" s="4">
        <f ca="1">_xll.DBRW($B$1,$B$2,$B$7,$B$3,$B$4,$B$5,$F652,$B$6,L$10,$A652,$B652)</f>
        <v>0</v>
      </c>
      <c r="M652" s="4">
        <f ca="1">_xll.DBRW($B$1,$B$2,$B$7,$B$3,$B$4,$B$5,$F652,$B$6,M$10,$A652,$B652)</f>
        <v>0</v>
      </c>
      <c r="N652" s="4">
        <f ca="1">_xll.DBRW($B$1,$B$2,$B$7,$B$3,$B$4,$B$5,$F652,$B$6,N$10,$A652,$B652)</f>
        <v>0</v>
      </c>
      <c r="O652" s="4">
        <f ca="1">_xll.DBRW($B$1,$B$2,$B$7,$B$3,$B$4,$B$5,$F652,$B$6,O$10,$A652,$B652)</f>
        <v>0</v>
      </c>
      <c r="P652" s="4">
        <f ca="1">_xll.DBRW($B$1,$B$2,$B$7,$B$3,$B$4,$B$5,$F652,$B$6,P$10,$A652,$B652)</f>
        <v>0</v>
      </c>
      <c r="Q652" s="4">
        <f ca="1">_xll.DBRW($B$1,$B$2,$B$7,$B$3,$B$4,$B$5,$F652,$B$6,Q$10,$A652,$B652)</f>
        <v>0</v>
      </c>
      <c r="R652" s="4">
        <f ca="1">_xll.DBRW($B$1,$B$2,$B$7,$B$3,$B$4,$B$5,$F652,$B$6,R$10,$A652,$B652)</f>
        <v>0</v>
      </c>
      <c r="S652" s="4">
        <f ca="1">_xll.DBRW($B$1,$B$2,$B$7,$B$3,$B$4,$B$5,$F652,$B$6,S$10,$A652,$B652)</f>
        <v>0</v>
      </c>
      <c r="T652" s="4">
        <f ca="1">_xll.DBRW($B$1,$B$2,$B$7,$B$3,$B$4,$B$5,$F652,$B$6,T$10,$A652,$B652)</f>
        <v>0</v>
      </c>
      <c r="U652" s="4">
        <f ca="1">_xll.DBRW($B$1,$B$2,$B$7,$B$3,$B$4,$B$5,$F652,$B$6,U$10,$A652,$B652)</f>
        <v>0</v>
      </c>
      <c r="V652" s="4">
        <f ca="1">_xll.DBRW($B$1,$B$2,$B$7,$B$3,$B$4,$B$5,$F652,$B$6,V$10,$A652,$B652)</f>
        <v>0</v>
      </c>
      <c r="W652" s="4">
        <f ca="1">_xll.DBRW($B$1,$B$2,$B$7,$B$3,$B$4,$B$5,$F652,$B$6,W$10,$A652,$B652)</f>
        <v>0</v>
      </c>
      <c r="X652" s="4">
        <f ca="1">_xll.DBRW($B$1,$B$2,$B$7,$B$3,$B$4,$B$5,$F652,$B$6,X$10,$A652,$B652)</f>
        <v>0</v>
      </c>
      <c r="Y652" s="4">
        <f ca="1">_xll.DBRW($B$1,$B$2,$B$7,$B$3,$B$4,$B$5,$F652,$B$6,Y$10,$A652,$B652)</f>
        <v>0</v>
      </c>
      <c r="Z652" s="4">
        <f ca="1">_xll.DBRW($B$1,$B$2,$B$7,$B$3,$B$4,$B$5,$F652,$B$6,Z$10,$A652,$B652)</f>
        <v>0</v>
      </c>
      <c r="AA652" s="4">
        <f ca="1">_xll.DBRW($B$1,$B$2,$B$7,$B$3,$B$4,$B$5,$F652,$B$6,AA$10,$A652,$B652)</f>
        <v>0</v>
      </c>
      <c r="AB652" s="4">
        <f ca="1">_xll.DBRW($B$1,$B$2,$B$7,$B$3,$B$4,$B$5,$F652,$B$6,AB$10,$A652,$B652)</f>
        <v>0</v>
      </c>
      <c r="AC652" s="4">
        <f ca="1">_xll.DBRW($B$1,$B$2,$B$7,$B$3,$B$4,$B$5,$F652,$B$6,AC$10,$A652,$B652)</f>
        <v>0</v>
      </c>
      <c r="AD652" s="4">
        <f ca="1">_xll.DBRW($B$1,$B$2,$B$7,$B$3,$B$4,$B$5,$F652,$B$6,AD$10,$A652,$B652)</f>
        <v>0</v>
      </c>
      <c r="AE652" s="4">
        <f ca="1">_xll.DBRW($B$1,$B$2,$B$7,$B$3,$B$4,$B$5,$F652,$B$6,AE$10,$A652,$B652)</f>
        <v>31</v>
      </c>
    </row>
    <row r="653" spans="1:31">
      <c r="A653" s="1" t="s">
        <v>150</v>
      </c>
      <c r="B653" s="5" t="s">
        <v>252</v>
      </c>
      <c r="C653" s="5" t="s">
        <v>226</v>
      </c>
      <c r="D653" s="5" t="s">
        <v>21</v>
      </c>
      <c r="E653" s="5" t="s">
        <v>227</v>
      </c>
      <c r="F653" s="5" t="s">
        <v>317</v>
      </c>
      <c r="G653" s="6"/>
      <c r="H653" s="6"/>
      <c r="I653" s="6"/>
      <c r="J653" s="6"/>
      <c r="K653" s="6"/>
      <c r="L653" s="4">
        <f ca="1">_xll.DBRW($B$1,$B$2,$B$7,$B$3,$B$4,$B$5,$F653,$B$6,L$10,$A653,$B653)</f>
        <v>0</v>
      </c>
      <c r="M653" s="4">
        <f ca="1">_xll.DBRW($B$1,$B$2,$B$7,$B$3,$B$4,$B$5,$F653,$B$6,M$10,$A653,$B653)</f>
        <v>0</v>
      </c>
      <c r="N653" s="4">
        <f ca="1">_xll.DBRW($B$1,$B$2,$B$7,$B$3,$B$4,$B$5,$F653,$B$6,N$10,$A653,$B653)</f>
        <v>0</v>
      </c>
      <c r="O653" s="4">
        <f ca="1">_xll.DBRW($B$1,$B$2,$B$7,$B$3,$B$4,$B$5,$F653,$B$6,O$10,$A653,$B653)</f>
        <v>0</v>
      </c>
      <c r="P653" s="4">
        <f ca="1">_xll.DBRW($B$1,$B$2,$B$7,$B$3,$B$4,$B$5,$F653,$B$6,P$10,$A653,$B653)</f>
        <v>0</v>
      </c>
      <c r="Q653" s="4">
        <f ca="1">_xll.DBRW($B$1,$B$2,$B$7,$B$3,$B$4,$B$5,$F653,$B$6,Q$10,$A653,$B653)</f>
        <v>0</v>
      </c>
      <c r="R653" s="4">
        <f ca="1">_xll.DBRW($B$1,$B$2,$B$7,$B$3,$B$4,$B$5,$F653,$B$6,R$10,$A653,$B653)</f>
        <v>0</v>
      </c>
      <c r="S653" s="4">
        <f ca="1">_xll.DBRW($B$1,$B$2,$B$7,$B$3,$B$4,$B$5,$F653,$B$6,S$10,$A653,$B653)</f>
        <v>0</v>
      </c>
      <c r="T653" s="4">
        <f ca="1">_xll.DBRW($B$1,$B$2,$B$7,$B$3,$B$4,$B$5,$F653,$B$6,T$10,$A653,$B653)</f>
        <v>0</v>
      </c>
      <c r="U653" s="4">
        <f ca="1">_xll.DBRW($B$1,$B$2,$B$7,$B$3,$B$4,$B$5,$F653,$B$6,U$10,$A653,$B653)</f>
        <v>0</v>
      </c>
      <c r="V653" s="4">
        <f ca="1">_xll.DBRW($B$1,$B$2,$B$7,$B$3,$B$4,$B$5,$F653,$B$6,V$10,$A653,$B653)</f>
        <v>0</v>
      </c>
      <c r="W653" s="4">
        <f ca="1">_xll.DBRW($B$1,$B$2,$B$7,$B$3,$B$4,$B$5,$F653,$B$6,W$10,$A653,$B653)</f>
        <v>0</v>
      </c>
      <c r="X653" s="4">
        <f ca="1">_xll.DBRW($B$1,$B$2,$B$7,$B$3,$B$4,$B$5,$F653,$B$6,X$10,$A653,$B653)</f>
        <v>0</v>
      </c>
      <c r="Y653" s="4">
        <f ca="1">_xll.DBRW($B$1,$B$2,$B$7,$B$3,$B$4,$B$5,$F653,$B$6,Y$10,$A653,$B653)</f>
        <v>0</v>
      </c>
      <c r="Z653" s="4">
        <f ca="1">_xll.DBRW($B$1,$B$2,$B$7,$B$3,$B$4,$B$5,$F653,$B$6,Z$10,$A653,$B653)</f>
        <v>0</v>
      </c>
      <c r="AA653" s="4">
        <f ca="1">_xll.DBRW($B$1,$B$2,$B$7,$B$3,$B$4,$B$5,$F653,$B$6,AA$10,$A653,$B653)</f>
        <v>0</v>
      </c>
      <c r="AB653" s="4">
        <f ca="1">_xll.DBRW($B$1,$B$2,$B$7,$B$3,$B$4,$B$5,$F653,$B$6,AB$10,$A653,$B653)</f>
        <v>0</v>
      </c>
      <c r="AC653" s="4">
        <f ca="1">_xll.DBRW($B$1,$B$2,$B$7,$B$3,$B$4,$B$5,$F653,$B$6,AC$10,$A653,$B653)</f>
        <v>0</v>
      </c>
      <c r="AD653" s="4">
        <f ca="1">_xll.DBRW($B$1,$B$2,$B$7,$B$3,$B$4,$B$5,$F653,$B$6,AD$10,$A653,$B653)</f>
        <v>0</v>
      </c>
      <c r="AE653" s="4">
        <f ca="1">_xll.DBRW($B$1,$B$2,$B$7,$B$3,$B$4,$B$5,$F653,$B$6,AE$10,$A653,$B653)</f>
        <v>0</v>
      </c>
    </row>
    <row r="654" spans="1:31">
      <c r="A654" s="1" t="s">
        <v>150</v>
      </c>
      <c r="B654" s="5" t="s">
        <v>253</v>
      </c>
      <c r="C654" s="5" t="s">
        <v>229</v>
      </c>
      <c r="D654" s="5" t="s">
        <v>227</v>
      </c>
      <c r="E654" s="5" t="s">
        <v>21</v>
      </c>
      <c r="F654" s="5" t="s">
        <v>317</v>
      </c>
      <c r="G654" s="6"/>
      <c r="H654" s="6"/>
      <c r="I654" s="6"/>
      <c r="J654" s="6"/>
      <c r="K654" s="6"/>
      <c r="L654" s="4">
        <f ca="1">_xll.DBRW($B$1,$B$2,$B$7,$B$3,$B$4,$B$5,$F654,$B$6,L$10,$A654,$B654)</f>
        <v>0</v>
      </c>
      <c r="M654" s="4">
        <f ca="1">_xll.DBRW($B$1,$B$2,$B$7,$B$3,$B$4,$B$5,$F654,$B$6,M$10,$A654,$B654)</f>
        <v>0</v>
      </c>
      <c r="N654" s="4">
        <f ca="1">_xll.DBRW($B$1,$B$2,$B$7,$B$3,$B$4,$B$5,$F654,$B$6,N$10,$A654,$B654)</f>
        <v>0</v>
      </c>
      <c r="O654" s="4">
        <f ca="1">_xll.DBRW($B$1,$B$2,$B$7,$B$3,$B$4,$B$5,$F654,$B$6,O$10,$A654,$B654)</f>
        <v>0</v>
      </c>
      <c r="P654" s="4">
        <f ca="1">_xll.DBRW($B$1,$B$2,$B$7,$B$3,$B$4,$B$5,$F654,$B$6,P$10,$A654,$B654)</f>
        <v>0</v>
      </c>
      <c r="Q654" s="4">
        <f ca="1">_xll.DBRW($B$1,$B$2,$B$7,$B$3,$B$4,$B$5,$F654,$B$6,Q$10,$A654,$B654)</f>
        <v>0</v>
      </c>
      <c r="R654" s="4">
        <f ca="1">_xll.DBRW($B$1,$B$2,$B$7,$B$3,$B$4,$B$5,$F654,$B$6,R$10,$A654,$B654)</f>
        <v>0</v>
      </c>
      <c r="S654" s="4">
        <f ca="1">_xll.DBRW($B$1,$B$2,$B$7,$B$3,$B$4,$B$5,$F654,$B$6,S$10,$A654,$B654)</f>
        <v>0</v>
      </c>
      <c r="T654" s="4">
        <f ca="1">_xll.DBRW($B$1,$B$2,$B$7,$B$3,$B$4,$B$5,$F654,$B$6,T$10,$A654,$B654)</f>
        <v>0</v>
      </c>
      <c r="U654" s="4">
        <f ca="1">_xll.DBRW($B$1,$B$2,$B$7,$B$3,$B$4,$B$5,$F654,$B$6,U$10,$A654,$B654)</f>
        <v>0</v>
      </c>
      <c r="V654" s="4">
        <f ca="1">_xll.DBRW($B$1,$B$2,$B$7,$B$3,$B$4,$B$5,$F654,$B$6,V$10,$A654,$B654)</f>
        <v>0</v>
      </c>
      <c r="W654" s="4">
        <f ca="1">_xll.DBRW($B$1,$B$2,$B$7,$B$3,$B$4,$B$5,$F654,$B$6,W$10,$A654,$B654)</f>
        <v>0</v>
      </c>
      <c r="X654" s="4">
        <f ca="1">_xll.DBRW($B$1,$B$2,$B$7,$B$3,$B$4,$B$5,$F654,$B$6,X$10,$A654,$B654)</f>
        <v>0</v>
      </c>
      <c r="Y654" s="4">
        <f ca="1">_xll.DBRW($B$1,$B$2,$B$7,$B$3,$B$4,$B$5,$F654,$B$6,Y$10,$A654,$B654)</f>
        <v>0</v>
      </c>
      <c r="Z654" s="4">
        <f ca="1">_xll.DBRW($B$1,$B$2,$B$7,$B$3,$B$4,$B$5,$F654,$B$6,Z$10,$A654,$B654)</f>
        <v>0</v>
      </c>
      <c r="AA654" s="4">
        <f ca="1">_xll.DBRW($B$1,$B$2,$B$7,$B$3,$B$4,$B$5,$F654,$B$6,AA$10,$A654,$B654)</f>
        <v>0</v>
      </c>
      <c r="AB654" s="4">
        <f ca="1">_xll.DBRW($B$1,$B$2,$B$7,$B$3,$B$4,$B$5,$F654,$B$6,AB$10,$A654,$B654)</f>
        <v>0</v>
      </c>
      <c r="AC654" s="4">
        <f ca="1">_xll.DBRW($B$1,$B$2,$B$7,$B$3,$B$4,$B$5,$F654,$B$6,AC$10,$A654,$B654)</f>
        <v>0</v>
      </c>
      <c r="AD654" s="4">
        <f ca="1">_xll.DBRW($B$1,$B$2,$B$7,$B$3,$B$4,$B$5,$F654,$B$6,AD$10,$A654,$B654)</f>
        <v>0</v>
      </c>
      <c r="AE654" s="4">
        <f ca="1">_xll.DBRW($B$1,$B$2,$B$7,$B$3,$B$4,$B$5,$F654,$B$6,AE$10,$A654,$B654)</f>
        <v>0</v>
      </c>
    </row>
    <row r="655" spans="1:31">
      <c r="A655" s="1" t="s">
        <v>150</v>
      </c>
      <c r="B655" s="5" t="s">
        <v>254</v>
      </c>
      <c r="C655" s="5" t="s">
        <v>255</v>
      </c>
      <c r="D655" s="5" t="s">
        <v>60</v>
      </c>
      <c r="E655" s="5" t="s">
        <v>59</v>
      </c>
      <c r="F655" s="5" t="s">
        <v>317</v>
      </c>
      <c r="G655" s="6"/>
      <c r="H655" s="6"/>
      <c r="I655" s="6"/>
      <c r="J655" s="6"/>
      <c r="K655" s="6"/>
      <c r="L655" s="4">
        <f ca="1">_xll.DBRW($B$1,$B$2,$B$7,$B$3,$B$4,$B$5,$F655,$B$6,L$10,$A655,$B655)</f>
        <v>0</v>
      </c>
      <c r="M655" s="4">
        <f ca="1">_xll.DBRW($B$1,$B$2,$B$7,$B$3,$B$4,$B$5,$F655,$B$6,M$10,$A655,$B655)</f>
        <v>0</v>
      </c>
      <c r="N655" s="4">
        <f ca="1">_xll.DBRW($B$1,$B$2,$B$7,$B$3,$B$4,$B$5,$F655,$B$6,N$10,$A655,$B655)</f>
        <v>0</v>
      </c>
      <c r="O655" s="4">
        <f ca="1">_xll.DBRW($B$1,$B$2,$B$7,$B$3,$B$4,$B$5,$F655,$B$6,O$10,$A655,$B655)</f>
        <v>0</v>
      </c>
      <c r="P655" s="4">
        <f ca="1">_xll.DBRW($B$1,$B$2,$B$7,$B$3,$B$4,$B$5,$F655,$B$6,P$10,$A655,$B655)</f>
        <v>0</v>
      </c>
      <c r="Q655" s="4">
        <f ca="1">_xll.DBRW($B$1,$B$2,$B$7,$B$3,$B$4,$B$5,$F655,$B$6,Q$10,$A655,$B655)</f>
        <v>0</v>
      </c>
      <c r="R655" s="4">
        <f ca="1">_xll.DBRW($B$1,$B$2,$B$7,$B$3,$B$4,$B$5,$F655,$B$6,R$10,$A655,$B655)</f>
        <v>0</v>
      </c>
      <c r="S655" s="4">
        <f ca="1">_xll.DBRW($B$1,$B$2,$B$7,$B$3,$B$4,$B$5,$F655,$B$6,S$10,$A655,$B655)</f>
        <v>0</v>
      </c>
      <c r="T655" s="4">
        <f ca="1">_xll.DBRW($B$1,$B$2,$B$7,$B$3,$B$4,$B$5,$F655,$B$6,T$10,$A655,$B655)</f>
        <v>0</v>
      </c>
      <c r="U655" s="4">
        <f ca="1">_xll.DBRW($B$1,$B$2,$B$7,$B$3,$B$4,$B$5,$F655,$B$6,U$10,$A655,$B655)</f>
        <v>0</v>
      </c>
      <c r="V655" s="4">
        <f ca="1">_xll.DBRW($B$1,$B$2,$B$7,$B$3,$B$4,$B$5,$F655,$B$6,V$10,$A655,$B655)</f>
        <v>0</v>
      </c>
      <c r="W655" s="4">
        <f ca="1">_xll.DBRW($B$1,$B$2,$B$7,$B$3,$B$4,$B$5,$F655,$B$6,W$10,$A655,$B655)</f>
        <v>0</v>
      </c>
      <c r="X655" s="4">
        <f ca="1">_xll.DBRW($B$1,$B$2,$B$7,$B$3,$B$4,$B$5,$F655,$B$6,X$10,$A655,$B655)</f>
        <v>0</v>
      </c>
      <c r="Y655" s="4">
        <f ca="1">_xll.DBRW($B$1,$B$2,$B$7,$B$3,$B$4,$B$5,$F655,$B$6,Y$10,$A655,$B655)</f>
        <v>0</v>
      </c>
      <c r="Z655" s="4">
        <f ca="1">_xll.DBRW($B$1,$B$2,$B$7,$B$3,$B$4,$B$5,$F655,$B$6,Z$10,$A655,$B655)</f>
        <v>0</v>
      </c>
      <c r="AA655" s="4">
        <f ca="1">_xll.DBRW($B$1,$B$2,$B$7,$B$3,$B$4,$B$5,$F655,$B$6,AA$10,$A655,$B655)</f>
        <v>0</v>
      </c>
      <c r="AB655" s="4">
        <f ca="1">_xll.DBRW($B$1,$B$2,$B$7,$B$3,$B$4,$B$5,$F655,$B$6,AB$10,$A655,$B655)</f>
        <v>0</v>
      </c>
      <c r="AC655" s="4">
        <f ca="1">_xll.DBRW($B$1,$B$2,$B$7,$B$3,$B$4,$B$5,$F655,$B$6,AC$10,$A655,$B655)</f>
        <v>0</v>
      </c>
      <c r="AD655" s="4">
        <f ca="1">_xll.DBRW($B$1,$B$2,$B$7,$B$3,$B$4,$B$5,$F655,$B$6,AD$10,$A655,$B655)</f>
        <v>0</v>
      </c>
      <c r="AE655" s="4">
        <f ca="1">_xll.DBRW($B$1,$B$2,$B$7,$B$3,$B$4,$B$5,$F655,$B$6,AE$10,$A655,$B655)</f>
        <v>0</v>
      </c>
    </row>
    <row r="656" spans="1:31">
      <c r="A656" s="1" t="s">
        <v>150</v>
      </c>
      <c r="B656" s="5" t="s">
        <v>57</v>
      </c>
      <c r="C656" s="5" t="s">
        <v>58</v>
      </c>
      <c r="D656" s="5" t="s">
        <v>59</v>
      </c>
      <c r="E656" s="5" t="s">
        <v>60</v>
      </c>
      <c r="F656" s="5" t="s">
        <v>317</v>
      </c>
      <c r="G656" s="6"/>
      <c r="H656" s="6"/>
      <c r="I656" s="6"/>
      <c r="J656" s="6"/>
      <c r="K656" s="6"/>
      <c r="L656" s="4">
        <f ca="1">_xll.DBRW($B$1,$B$2,$B$7,$B$3,$B$4,$B$5,$F656,$B$6,L$10,$A656,$B656)</f>
        <v>0</v>
      </c>
      <c r="M656" s="4">
        <f ca="1">_xll.DBRW($B$1,$B$2,$B$7,$B$3,$B$4,$B$5,$F656,$B$6,M$10,$A656,$B656)</f>
        <v>0</v>
      </c>
      <c r="N656" s="4">
        <f ca="1">_xll.DBRW($B$1,$B$2,$B$7,$B$3,$B$4,$B$5,$F656,$B$6,N$10,$A656,$B656)</f>
        <v>0</v>
      </c>
      <c r="O656" s="4">
        <f ca="1">_xll.DBRW($B$1,$B$2,$B$7,$B$3,$B$4,$B$5,$F656,$B$6,O$10,$A656,$B656)</f>
        <v>0</v>
      </c>
      <c r="P656" s="4">
        <f ca="1">_xll.DBRW($B$1,$B$2,$B$7,$B$3,$B$4,$B$5,$F656,$B$6,P$10,$A656,$B656)</f>
        <v>0</v>
      </c>
      <c r="Q656" s="4">
        <f ca="1">_xll.DBRW($B$1,$B$2,$B$7,$B$3,$B$4,$B$5,$F656,$B$6,Q$10,$A656,$B656)</f>
        <v>0</v>
      </c>
      <c r="R656" s="4">
        <f ca="1">_xll.DBRW($B$1,$B$2,$B$7,$B$3,$B$4,$B$5,$F656,$B$6,R$10,$A656,$B656)</f>
        <v>0</v>
      </c>
      <c r="S656" s="4">
        <f ca="1">_xll.DBRW($B$1,$B$2,$B$7,$B$3,$B$4,$B$5,$F656,$B$6,S$10,$A656,$B656)</f>
        <v>0</v>
      </c>
      <c r="T656" s="4">
        <f ca="1">_xll.DBRW($B$1,$B$2,$B$7,$B$3,$B$4,$B$5,$F656,$B$6,T$10,$A656,$B656)</f>
        <v>0</v>
      </c>
      <c r="U656" s="4">
        <f ca="1">_xll.DBRW($B$1,$B$2,$B$7,$B$3,$B$4,$B$5,$F656,$B$6,U$10,$A656,$B656)</f>
        <v>0</v>
      </c>
      <c r="V656" s="4">
        <f ca="1">_xll.DBRW($B$1,$B$2,$B$7,$B$3,$B$4,$B$5,$F656,$B$6,V$10,$A656,$B656)</f>
        <v>0</v>
      </c>
      <c r="W656" s="4">
        <f ca="1">_xll.DBRW($B$1,$B$2,$B$7,$B$3,$B$4,$B$5,$F656,$B$6,W$10,$A656,$B656)</f>
        <v>0</v>
      </c>
      <c r="X656" s="4">
        <f ca="1">_xll.DBRW($B$1,$B$2,$B$7,$B$3,$B$4,$B$5,$F656,$B$6,X$10,$A656,$B656)</f>
        <v>0</v>
      </c>
      <c r="Y656" s="4">
        <f ca="1">_xll.DBRW($B$1,$B$2,$B$7,$B$3,$B$4,$B$5,$F656,$B$6,Y$10,$A656,$B656)</f>
        <v>0</v>
      </c>
      <c r="Z656" s="4">
        <f ca="1">_xll.DBRW($B$1,$B$2,$B$7,$B$3,$B$4,$B$5,$F656,$B$6,Z$10,$A656,$B656)</f>
        <v>0</v>
      </c>
      <c r="AA656" s="4">
        <f ca="1">_xll.DBRW($B$1,$B$2,$B$7,$B$3,$B$4,$B$5,$F656,$B$6,AA$10,$A656,$B656)</f>
        <v>0</v>
      </c>
      <c r="AB656" s="4">
        <f ca="1">_xll.DBRW($B$1,$B$2,$B$7,$B$3,$B$4,$B$5,$F656,$B$6,AB$10,$A656,$B656)</f>
        <v>0</v>
      </c>
      <c r="AC656" s="4">
        <f ca="1">_xll.DBRW($B$1,$B$2,$B$7,$B$3,$B$4,$B$5,$F656,$B$6,AC$10,$A656,$B656)</f>
        <v>0</v>
      </c>
      <c r="AD656" s="4">
        <f ca="1">_xll.DBRW($B$1,$B$2,$B$7,$B$3,$B$4,$B$5,$F656,$B$6,AD$10,$A656,$B656)</f>
        <v>0</v>
      </c>
      <c r="AE656" s="4">
        <f ca="1">_xll.DBRW($B$1,$B$2,$B$7,$B$3,$B$4,$B$5,$F656,$B$6,AE$10,$A656,$B656)</f>
        <v>0</v>
      </c>
    </row>
    <row r="657" spans="1:31">
      <c r="A657" s="1" t="s">
        <v>150</v>
      </c>
      <c r="B657" s="5" t="s">
        <v>256</v>
      </c>
      <c r="C657" s="5" t="s">
        <v>206</v>
      </c>
      <c r="D657" s="5" t="s">
        <v>21</v>
      </c>
      <c r="E657" s="5" t="s">
        <v>181</v>
      </c>
      <c r="F657" s="5" t="s">
        <v>317</v>
      </c>
      <c r="G657" s="6"/>
      <c r="H657" s="6"/>
      <c r="I657" s="6"/>
      <c r="J657" s="6"/>
      <c r="K657" s="6"/>
      <c r="L657" s="4">
        <f ca="1">_xll.DBRW($B$1,$B$2,$B$7,$B$3,$B$4,$B$5,$F657,$B$6,L$10,$A657,$B657)</f>
        <v>0</v>
      </c>
      <c r="M657" s="4">
        <f ca="1">_xll.DBRW($B$1,$B$2,$B$7,$B$3,$B$4,$B$5,$F657,$B$6,M$10,$A657,$B657)</f>
        <v>0</v>
      </c>
      <c r="N657" s="4">
        <f ca="1">_xll.DBRW($B$1,$B$2,$B$7,$B$3,$B$4,$B$5,$F657,$B$6,N$10,$A657,$B657)</f>
        <v>0</v>
      </c>
      <c r="O657" s="4">
        <f ca="1">_xll.DBRW($B$1,$B$2,$B$7,$B$3,$B$4,$B$5,$F657,$B$6,O$10,$A657,$B657)</f>
        <v>0</v>
      </c>
      <c r="P657" s="4">
        <f ca="1">_xll.DBRW($B$1,$B$2,$B$7,$B$3,$B$4,$B$5,$F657,$B$6,P$10,$A657,$B657)</f>
        <v>0</v>
      </c>
      <c r="Q657" s="4">
        <f ca="1">_xll.DBRW($B$1,$B$2,$B$7,$B$3,$B$4,$B$5,$F657,$B$6,Q$10,$A657,$B657)</f>
        <v>0</v>
      </c>
      <c r="R657" s="4">
        <f ca="1">_xll.DBRW($B$1,$B$2,$B$7,$B$3,$B$4,$B$5,$F657,$B$6,R$10,$A657,$B657)</f>
        <v>0</v>
      </c>
      <c r="S657" s="4">
        <f ca="1">_xll.DBRW($B$1,$B$2,$B$7,$B$3,$B$4,$B$5,$F657,$B$6,S$10,$A657,$B657)</f>
        <v>0</v>
      </c>
      <c r="T657" s="4">
        <f ca="1">_xll.DBRW($B$1,$B$2,$B$7,$B$3,$B$4,$B$5,$F657,$B$6,T$10,$A657,$B657)</f>
        <v>0</v>
      </c>
      <c r="U657" s="4">
        <f ca="1">_xll.DBRW($B$1,$B$2,$B$7,$B$3,$B$4,$B$5,$F657,$B$6,U$10,$A657,$B657)</f>
        <v>0</v>
      </c>
      <c r="V657" s="4">
        <f ca="1">_xll.DBRW($B$1,$B$2,$B$7,$B$3,$B$4,$B$5,$F657,$B$6,V$10,$A657,$B657)</f>
        <v>0</v>
      </c>
      <c r="W657" s="4">
        <f ca="1">_xll.DBRW($B$1,$B$2,$B$7,$B$3,$B$4,$B$5,$F657,$B$6,W$10,$A657,$B657)</f>
        <v>0</v>
      </c>
      <c r="X657" s="4">
        <f ca="1">_xll.DBRW($B$1,$B$2,$B$7,$B$3,$B$4,$B$5,$F657,$B$6,X$10,$A657,$B657)</f>
        <v>0</v>
      </c>
      <c r="Y657" s="4">
        <f ca="1">_xll.DBRW($B$1,$B$2,$B$7,$B$3,$B$4,$B$5,$F657,$B$6,Y$10,$A657,$B657)</f>
        <v>0</v>
      </c>
      <c r="Z657" s="4">
        <f ca="1">_xll.DBRW($B$1,$B$2,$B$7,$B$3,$B$4,$B$5,$F657,$B$6,Z$10,$A657,$B657)</f>
        <v>0</v>
      </c>
      <c r="AA657" s="4">
        <f ca="1">_xll.DBRW($B$1,$B$2,$B$7,$B$3,$B$4,$B$5,$F657,$B$6,AA$10,$A657,$B657)</f>
        <v>0</v>
      </c>
      <c r="AB657" s="4">
        <f ca="1">_xll.DBRW($B$1,$B$2,$B$7,$B$3,$B$4,$B$5,$F657,$B$6,AB$10,$A657,$B657)</f>
        <v>0</v>
      </c>
      <c r="AC657" s="4">
        <f ca="1">_xll.DBRW($B$1,$B$2,$B$7,$B$3,$B$4,$B$5,$F657,$B$6,AC$10,$A657,$B657)</f>
        <v>0</v>
      </c>
      <c r="AD657" s="4">
        <f ca="1">_xll.DBRW($B$1,$B$2,$B$7,$B$3,$B$4,$B$5,$F657,$B$6,AD$10,$A657,$B657)</f>
        <v>0</v>
      </c>
      <c r="AE657" s="4">
        <f ca="1">_xll.DBRW($B$1,$B$2,$B$7,$B$3,$B$4,$B$5,$F657,$B$6,AE$10,$A657,$B657)</f>
        <v>0</v>
      </c>
    </row>
    <row r="658" spans="1:31">
      <c r="A658" s="1" t="s">
        <v>150</v>
      </c>
      <c r="B658" s="5" t="s">
        <v>257</v>
      </c>
      <c r="C658" s="5" t="s">
        <v>208</v>
      </c>
      <c r="D658" s="5" t="s">
        <v>181</v>
      </c>
      <c r="E658" s="5" t="s">
        <v>21</v>
      </c>
      <c r="F658" s="5" t="s">
        <v>317</v>
      </c>
      <c r="G658" s="6"/>
      <c r="H658" s="6"/>
      <c r="I658" s="6"/>
      <c r="J658" s="6"/>
      <c r="K658" s="6"/>
      <c r="L658" s="4">
        <f ca="1">_xll.DBRW($B$1,$B$2,$B$7,$B$3,$B$4,$B$5,$F658,$B$6,L$10,$A658,$B658)</f>
        <v>0</v>
      </c>
      <c r="M658" s="4">
        <f ca="1">_xll.DBRW($B$1,$B$2,$B$7,$B$3,$B$4,$B$5,$F658,$B$6,M$10,$A658,$B658)</f>
        <v>0</v>
      </c>
      <c r="N658" s="4">
        <f ca="1">_xll.DBRW($B$1,$B$2,$B$7,$B$3,$B$4,$B$5,$F658,$B$6,N$10,$A658,$B658)</f>
        <v>0</v>
      </c>
      <c r="O658" s="4">
        <f ca="1">_xll.DBRW($B$1,$B$2,$B$7,$B$3,$B$4,$B$5,$F658,$B$6,O$10,$A658,$B658)</f>
        <v>0</v>
      </c>
      <c r="P658" s="4">
        <f ca="1">_xll.DBRW($B$1,$B$2,$B$7,$B$3,$B$4,$B$5,$F658,$B$6,P$10,$A658,$B658)</f>
        <v>0</v>
      </c>
      <c r="Q658" s="4">
        <f ca="1">_xll.DBRW($B$1,$B$2,$B$7,$B$3,$B$4,$B$5,$F658,$B$6,Q$10,$A658,$B658)</f>
        <v>0</v>
      </c>
      <c r="R658" s="4">
        <f ca="1">_xll.DBRW($B$1,$B$2,$B$7,$B$3,$B$4,$B$5,$F658,$B$6,R$10,$A658,$B658)</f>
        <v>0</v>
      </c>
      <c r="S658" s="4">
        <f ca="1">_xll.DBRW($B$1,$B$2,$B$7,$B$3,$B$4,$B$5,$F658,$B$6,S$10,$A658,$B658)</f>
        <v>0</v>
      </c>
      <c r="T658" s="4">
        <f ca="1">_xll.DBRW($B$1,$B$2,$B$7,$B$3,$B$4,$B$5,$F658,$B$6,T$10,$A658,$B658)</f>
        <v>0</v>
      </c>
      <c r="U658" s="4">
        <f ca="1">_xll.DBRW($B$1,$B$2,$B$7,$B$3,$B$4,$B$5,$F658,$B$6,U$10,$A658,$B658)</f>
        <v>0</v>
      </c>
      <c r="V658" s="4">
        <f ca="1">_xll.DBRW($B$1,$B$2,$B$7,$B$3,$B$4,$B$5,$F658,$B$6,V$10,$A658,$B658)</f>
        <v>0</v>
      </c>
      <c r="W658" s="4">
        <f ca="1">_xll.DBRW($B$1,$B$2,$B$7,$B$3,$B$4,$B$5,$F658,$B$6,W$10,$A658,$B658)</f>
        <v>0</v>
      </c>
      <c r="X658" s="4">
        <f ca="1">_xll.DBRW($B$1,$B$2,$B$7,$B$3,$B$4,$B$5,$F658,$B$6,X$10,$A658,$B658)</f>
        <v>0</v>
      </c>
      <c r="Y658" s="4">
        <f ca="1">_xll.DBRW($B$1,$B$2,$B$7,$B$3,$B$4,$B$5,$F658,$B$6,Y$10,$A658,$B658)</f>
        <v>0</v>
      </c>
      <c r="Z658" s="4">
        <f ca="1">_xll.DBRW($B$1,$B$2,$B$7,$B$3,$B$4,$B$5,$F658,$B$6,Z$10,$A658,$B658)</f>
        <v>0</v>
      </c>
      <c r="AA658" s="4">
        <f ca="1">_xll.DBRW($B$1,$B$2,$B$7,$B$3,$B$4,$B$5,$F658,$B$6,AA$10,$A658,$B658)</f>
        <v>0</v>
      </c>
      <c r="AB658" s="4">
        <f ca="1">_xll.DBRW($B$1,$B$2,$B$7,$B$3,$B$4,$B$5,$F658,$B$6,AB$10,$A658,$B658)</f>
        <v>0</v>
      </c>
      <c r="AC658" s="4">
        <f ca="1">_xll.DBRW($B$1,$B$2,$B$7,$B$3,$B$4,$B$5,$F658,$B$6,AC$10,$A658,$B658)</f>
        <v>0</v>
      </c>
      <c r="AD658" s="4">
        <f ca="1">_xll.DBRW($B$1,$B$2,$B$7,$B$3,$B$4,$B$5,$F658,$B$6,AD$10,$A658,$B658)</f>
        <v>0</v>
      </c>
      <c r="AE658" s="4">
        <f ca="1">_xll.DBRW($B$1,$B$2,$B$7,$B$3,$B$4,$B$5,$F658,$B$6,AE$10,$A658,$B658)</f>
        <v>0</v>
      </c>
    </row>
    <row r="659" spans="1:31">
      <c r="A659" s="1" t="s">
        <v>150</v>
      </c>
      <c r="B659" s="5" t="s">
        <v>258</v>
      </c>
      <c r="C659" s="5" t="s">
        <v>259</v>
      </c>
      <c r="D659" s="5" t="s">
        <v>21</v>
      </c>
      <c r="E659" s="5" t="s">
        <v>260</v>
      </c>
      <c r="F659" s="5" t="s">
        <v>317</v>
      </c>
      <c r="G659" s="6"/>
      <c r="H659" s="6"/>
      <c r="I659" s="6"/>
      <c r="J659" s="6"/>
      <c r="K659" s="6"/>
      <c r="L659" s="4">
        <f ca="1">_xll.DBRW($B$1,$B$2,$B$7,$B$3,$B$4,$B$5,$F659,$B$6,L$10,$A659,$B659)</f>
        <v>28</v>
      </c>
      <c r="M659" s="4">
        <f ca="1">_xll.DBRW($B$1,$B$2,$B$7,$B$3,$B$4,$B$5,$F659,$B$6,M$10,$A659,$B659)</f>
        <v>25</v>
      </c>
      <c r="N659" s="4">
        <f ca="1">_xll.DBRW($B$1,$B$2,$B$7,$B$3,$B$4,$B$5,$F659,$B$6,N$10,$A659,$B659)</f>
        <v>30</v>
      </c>
      <c r="O659" s="4">
        <f ca="1">_xll.DBRW($B$1,$B$2,$B$7,$B$3,$B$4,$B$5,$F659,$B$6,O$10,$A659,$B659)</f>
        <v>30</v>
      </c>
      <c r="P659" s="4">
        <f ca="1">_xll.DBRW($B$1,$B$2,$B$7,$B$3,$B$4,$B$5,$F659,$B$6,P$10,$A659,$B659)</f>
        <v>29</v>
      </c>
      <c r="Q659" s="4">
        <f ca="1">_xll.DBRW($B$1,$B$2,$B$7,$B$3,$B$4,$B$5,$F659,$B$6,Q$10,$A659,$B659)</f>
        <v>30</v>
      </c>
      <c r="R659" s="4">
        <f ca="1">_xll.DBRW($B$1,$B$2,$B$7,$B$3,$B$4,$B$5,$F659,$B$6,R$10,$A659,$B659)</f>
        <v>29</v>
      </c>
      <c r="S659" s="4">
        <f ca="1">_xll.DBRW($B$1,$B$2,$B$7,$B$3,$B$4,$B$5,$F659,$B$6,S$10,$A659,$B659)</f>
        <v>30</v>
      </c>
      <c r="T659" s="4">
        <f ca="1">_xll.DBRW($B$1,$B$2,$B$7,$B$3,$B$4,$B$5,$F659,$B$6,T$10,$A659,$B659)</f>
        <v>31</v>
      </c>
      <c r="U659" s="4">
        <f ca="1">_xll.DBRW($B$1,$B$2,$B$7,$B$3,$B$4,$B$5,$F659,$B$6,U$10,$A659,$B659)</f>
        <v>28</v>
      </c>
      <c r="V659" s="4">
        <f ca="1">_xll.DBRW($B$1,$B$2,$B$7,$B$3,$B$4,$B$5,$F659,$B$6,V$10,$A659,$B659)</f>
        <v>31</v>
      </c>
      <c r="W659" s="4">
        <f ca="1">_xll.DBRW($B$1,$B$2,$B$7,$B$3,$B$4,$B$5,$F659,$B$6,W$10,$A659,$B659)</f>
        <v>30</v>
      </c>
      <c r="X659" s="4">
        <f ca="1">_xll.DBRW($B$1,$B$2,$B$7,$B$3,$B$4,$B$5,$F659,$B$6,X$10,$A659,$B659)</f>
        <v>31</v>
      </c>
      <c r="Y659" s="4">
        <f ca="1">_xll.DBRW($B$1,$B$2,$B$7,$B$3,$B$4,$B$5,$F659,$B$6,Y$10,$A659,$B659)</f>
        <v>30</v>
      </c>
      <c r="Z659" s="4">
        <f ca="1">_xll.DBRW($B$1,$B$2,$B$7,$B$3,$B$4,$B$5,$F659,$B$6,Z$10,$A659,$B659)</f>
        <v>31</v>
      </c>
      <c r="AA659" s="4">
        <f ca="1">_xll.DBRW($B$1,$B$2,$B$7,$B$3,$B$4,$B$5,$F659,$B$6,AA$10,$A659,$B659)</f>
        <v>31</v>
      </c>
      <c r="AB659" s="4">
        <f ca="1">_xll.DBRW($B$1,$B$2,$B$7,$B$3,$B$4,$B$5,$F659,$B$6,AB$10,$A659,$B659)</f>
        <v>30</v>
      </c>
      <c r="AC659" s="4">
        <f ca="1">_xll.DBRW($B$1,$B$2,$B$7,$B$3,$B$4,$B$5,$F659,$B$6,AC$10,$A659,$B659)</f>
        <v>31</v>
      </c>
      <c r="AD659" s="4">
        <f ca="1">_xll.DBRW($B$1,$B$2,$B$7,$B$3,$B$4,$B$5,$F659,$B$6,AD$10,$A659,$B659)</f>
        <v>30</v>
      </c>
      <c r="AE659" s="4">
        <f ca="1">_xll.DBRW($B$1,$B$2,$B$7,$B$3,$B$4,$B$5,$F659,$B$6,AE$10,$A659,$B659)</f>
        <v>31</v>
      </c>
    </row>
    <row r="660" spans="1:31">
      <c r="A660" s="1" t="s">
        <v>150</v>
      </c>
      <c r="B660" s="5" t="s">
        <v>261</v>
      </c>
      <c r="C660" s="5" t="s">
        <v>262</v>
      </c>
      <c r="D660" s="5" t="s">
        <v>260</v>
      </c>
      <c r="E660" s="5" t="s">
        <v>21</v>
      </c>
      <c r="F660" s="5" t="s">
        <v>317</v>
      </c>
      <c r="G660" s="6"/>
      <c r="H660" s="6"/>
      <c r="I660" s="6"/>
      <c r="J660" s="6"/>
      <c r="K660" s="6"/>
      <c r="L660" s="4">
        <f ca="1">_xll.DBRW($B$1,$B$2,$B$7,$B$3,$B$4,$B$5,$F660,$B$6,L$10,$A660,$B660)</f>
        <v>28</v>
      </c>
      <c r="M660" s="4">
        <f ca="1">_xll.DBRW($B$1,$B$2,$B$7,$B$3,$B$4,$B$5,$F660,$B$6,M$10,$A660,$B660)</f>
        <v>25</v>
      </c>
      <c r="N660" s="4">
        <f ca="1">_xll.DBRW($B$1,$B$2,$B$7,$B$3,$B$4,$B$5,$F660,$B$6,N$10,$A660,$B660)</f>
        <v>30</v>
      </c>
      <c r="O660" s="4">
        <f ca="1">_xll.DBRW($B$1,$B$2,$B$7,$B$3,$B$4,$B$5,$F660,$B$6,O$10,$A660,$B660)</f>
        <v>30</v>
      </c>
      <c r="P660" s="4">
        <f ca="1">_xll.DBRW($B$1,$B$2,$B$7,$B$3,$B$4,$B$5,$F660,$B$6,P$10,$A660,$B660)</f>
        <v>29</v>
      </c>
      <c r="Q660" s="4">
        <f ca="1">_xll.DBRW($B$1,$B$2,$B$7,$B$3,$B$4,$B$5,$F660,$B$6,Q$10,$A660,$B660)</f>
        <v>30</v>
      </c>
      <c r="R660" s="4">
        <f ca="1">_xll.DBRW($B$1,$B$2,$B$7,$B$3,$B$4,$B$5,$F660,$B$6,R$10,$A660,$B660)</f>
        <v>29</v>
      </c>
      <c r="S660" s="4">
        <f ca="1">_xll.DBRW($B$1,$B$2,$B$7,$B$3,$B$4,$B$5,$F660,$B$6,S$10,$A660,$B660)</f>
        <v>30</v>
      </c>
      <c r="T660" s="4">
        <f ca="1">_xll.DBRW($B$1,$B$2,$B$7,$B$3,$B$4,$B$5,$F660,$B$6,T$10,$A660,$B660)</f>
        <v>31</v>
      </c>
      <c r="U660" s="4">
        <f ca="1">_xll.DBRW($B$1,$B$2,$B$7,$B$3,$B$4,$B$5,$F660,$B$6,U$10,$A660,$B660)</f>
        <v>28</v>
      </c>
      <c r="V660" s="4">
        <f ca="1">_xll.DBRW($B$1,$B$2,$B$7,$B$3,$B$4,$B$5,$F660,$B$6,V$10,$A660,$B660)</f>
        <v>31</v>
      </c>
      <c r="W660" s="4">
        <f ca="1">_xll.DBRW($B$1,$B$2,$B$7,$B$3,$B$4,$B$5,$F660,$B$6,W$10,$A660,$B660)</f>
        <v>30</v>
      </c>
      <c r="X660" s="4">
        <f ca="1">_xll.DBRW($B$1,$B$2,$B$7,$B$3,$B$4,$B$5,$F660,$B$6,X$10,$A660,$B660)</f>
        <v>31</v>
      </c>
      <c r="Y660" s="4">
        <f ca="1">_xll.DBRW($B$1,$B$2,$B$7,$B$3,$B$4,$B$5,$F660,$B$6,Y$10,$A660,$B660)</f>
        <v>30</v>
      </c>
      <c r="Z660" s="4">
        <f ca="1">_xll.DBRW($B$1,$B$2,$B$7,$B$3,$B$4,$B$5,$F660,$B$6,Z$10,$A660,$B660)</f>
        <v>31</v>
      </c>
      <c r="AA660" s="4">
        <f ca="1">_xll.DBRW($B$1,$B$2,$B$7,$B$3,$B$4,$B$5,$F660,$B$6,AA$10,$A660,$B660)</f>
        <v>31</v>
      </c>
      <c r="AB660" s="4">
        <f ca="1">_xll.DBRW($B$1,$B$2,$B$7,$B$3,$B$4,$B$5,$F660,$B$6,AB$10,$A660,$B660)</f>
        <v>30</v>
      </c>
      <c r="AC660" s="4">
        <f ca="1">_xll.DBRW($B$1,$B$2,$B$7,$B$3,$B$4,$B$5,$F660,$B$6,AC$10,$A660,$B660)</f>
        <v>31</v>
      </c>
      <c r="AD660" s="4">
        <f ca="1">_xll.DBRW($B$1,$B$2,$B$7,$B$3,$B$4,$B$5,$F660,$B$6,AD$10,$A660,$B660)</f>
        <v>30</v>
      </c>
      <c r="AE660" s="4">
        <f ca="1">_xll.DBRW($B$1,$B$2,$B$7,$B$3,$B$4,$B$5,$F660,$B$6,AE$10,$A660,$B660)</f>
        <v>31</v>
      </c>
    </row>
    <row r="661" spans="1:31">
      <c r="A661" s="1" t="s">
        <v>150</v>
      </c>
      <c r="B661" s="5" t="s">
        <v>263</v>
      </c>
      <c r="C661" s="5" t="s">
        <v>264</v>
      </c>
      <c r="D661" s="5" t="s">
        <v>21</v>
      </c>
      <c r="E661" s="5" t="s">
        <v>265</v>
      </c>
      <c r="F661" s="5" t="s">
        <v>317</v>
      </c>
      <c r="G661" s="6"/>
      <c r="H661" s="6"/>
      <c r="I661" s="6"/>
      <c r="J661" s="6"/>
      <c r="K661" s="6"/>
      <c r="L661" s="4">
        <f ca="1">_xll.DBRW($B$1,$B$2,$B$7,$B$3,$B$4,$B$5,$F661,$B$6,L$10,$A661,$B661)</f>
        <v>31</v>
      </c>
      <c r="M661" s="4">
        <f ca="1">_xll.DBRW($B$1,$B$2,$B$7,$B$3,$B$4,$B$5,$F661,$B$6,M$10,$A661,$B661)</f>
        <v>30</v>
      </c>
      <c r="N661" s="4">
        <f ca="1">_xll.DBRW($B$1,$B$2,$B$7,$B$3,$B$4,$B$5,$F661,$B$6,N$10,$A661,$B661)</f>
        <v>31</v>
      </c>
      <c r="O661" s="4">
        <f ca="1">_xll.DBRW($B$1,$B$2,$B$7,$B$3,$B$4,$B$5,$F661,$B$6,O$10,$A661,$B661)</f>
        <v>31</v>
      </c>
      <c r="P661" s="4">
        <f ca="1">_xll.DBRW($B$1,$B$2,$B$7,$B$3,$B$4,$B$5,$F661,$B$6,P$10,$A661,$B661)</f>
        <v>30</v>
      </c>
      <c r="Q661" s="4">
        <f ca="1">_xll.DBRW($B$1,$B$2,$B$7,$B$3,$B$4,$B$5,$F661,$B$6,Q$10,$A661,$B661)</f>
        <v>26</v>
      </c>
      <c r="R661" s="4">
        <f ca="1">_xll.DBRW($B$1,$B$2,$B$7,$B$3,$B$4,$B$5,$F661,$B$6,R$10,$A661,$B661)</f>
        <v>0</v>
      </c>
      <c r="S661" s="4">
        <f ca="1">_xll.DBRW($B$1,$B$2,$B$7,$B$3,$B$4,$B$5,$F661,$B$6,S$10,$A661,$B661)</f>
        <v>0</v>
      </c>
      <c r="T661" s="4">
        <f ca="1">_xll.DBRW($B$1,$B$2,$B$7,$B$3,$B$4,$B$5,$F661,$B$6,T$10,$A661,$B661)</f>
        <v>0</v>
      </c>
      <c r="U661" s="4">
        <f ca="1">_xll.DBRW($B$1,$B$2,$B$7,$B$3,$B$4,$B$5,$F661,$B$6,U$10,$A661,$B661)</f>
        <v>0</v>
      </c>
      <c r="V661" s="4">
        <f ca="1">_xll.DBRW($B$1,$B$2,$B$7,$B$3,$B$4,$B$5,$F661,$B$6,V$10,$A661,$B661)</f>
        <v>2</v>
      </c>
      <c r="W661" s="4">
        <f ca="1">_xll.DBRW($B$1,$B$2,$B$7,$B$3,$B$4,$B$5,$F661,$B$6,W$10,$A661,$B661)</f>
        <v>30</v>
      </c>
      <c r="X661" s="4">
        <f ca="1">_xll.DBRW($B$1,$B$2,$B$7,$B$3,$B$4,$B$5,$F661,$B$6,X$10,$A661,$B661)</f>
        <v>31</v>
      </c>
      <c r="Y661" s="4">
        <f ca="1">_xll.DBRW($B$1,$B$2,$B$7,$B$3,$B$4,$B$5,$F661,$B$6,Y$10,$A661,$B661)</f>
        <v>30</v>
      </c>
      <c r="Z661" s="4">
        <f ca="1">_xll.DBRW($B$1,$B$2,$B$7,$B$3,$B$4,$B$5,$F661,$B$6,Z$10,$A661,$B661)</f>
        <v>31</v>
      </c>
      <c r="AA661" s="4">
        <f ca="1">_xll.DBRW($B$1,$B$2,$B$7,$B$3,$B$4,$B$5,$F661,$B$6,AA$10,$A661,$B661)</f>
        <v>31</v>
      </c>
      <c r="AB661" s="4">
        <f ca="1">_xll.DBRW($B$1,$B$2,$B$7,$B$3,$B$4,$B$5,$F661,$B$6,AB$10,$A661,$B661)</f>
        <v>30</v>
      </c>
      <c r="AC661" s="4">
        <f ca="1">_xll.DBRW($B$1,$B$2,$B$7,$B$3,$B$4,$B$5,$F661,$B$6,AC$10,$A661,$B661)</f>
        <v>25</v>
      </c>
      <c r="AD661" s="4">
        <f ca="1">_xll.DBRW($B$1,$B$2,$B$7,$B$3,$B$4,$B$5,$F661,$B$6,AD$10,$A661,$B661)</f>
        <v>0</v>
      </c>
      <c r="AE661" s="4">
        <f ca="1">_xll.DBRW($B$1,$B$2,$B$7,$B$3,$B$4,$B$5,$F661,$B$6,AE$10,$A661,$B661)</f>
        <v>0</v>
      </c>
    </row>
    <row r="662" spans="1:31">
      <c r="A662" s="1" t="s">
        <v>150</v>
      </c>
      <c r="B662" s="5" t="s">
        <v>266</v>
      </c>
      <c r="C662" s="5" t="s">
        <v>267</v>
      </c>
      <c r="D662" s="5" t="s">
        <v>265</v>
      </c>
      <c r="E662" s="5" t="s">
        <v>21</v>
      </c>
      <c r="F662" s="5" t="s">
        <v>317</v>
      </c>
      <c r="G662" s="6"/>
      <c r="H662" s="6"/>
      <c r="I662" s="6"/>
      <c r="J662" s="6"/>
      <c r="K662" s="6"/>
      <c r="L662" s="4">
        <f ca="1">_xll.DBRW($B$1,$B$2,$B$7,$B$3,$B$4,$B$5,$F662,$B$6,L$10,$A662,$B662)</f>
        <v>31</v>
      </c>
      <c r="M662" s="4">
        <f ca="1">_xll.DBRW($B$1,$B$2,$B$7,$B$3,$B$4,$B$5,$F662,$B$6,M$10,$A662,$B662)</f>
        <v>30</v>
      </c>
      <c r="N662" s="4">
        <f ca="1">_xll.DBRW($B$1,$B$2,$B$7,$B$3,$B$4,$B$5,$F662,$B$6,N$10,$A662,$B662)</f>
        <v>31</v>
      </c>
      <c r="O662" s="4">
        <f ca="1">_xll.DBRW($B$1,$B$2,$B$7,$B$3,$B$4,$B$5,$F662,$B$6,O$10,$A662,$B662)</f>
        <v>31</v>
      </c>
      <c r="P662" s="4">
        <f ca="1">_xll.DBRW($B$1,$B$2,$B$7,$B$3,$B$4,$B$5,$F662,$B$6,P$10,$A662,$B662)</f>
        <v>30</v>
      </c>
      <c r="Q662" s="4">
        <f ca="1">_xll.DBRW($B$1,$B$2,$B$7,$B$3,$B$4,$B$5,$F662,$B$6,Q$10,$A662,$B662)</f>
        <v>26</v>
      </c>
      <c r="R662" s="4">
        <f ca="1">_xll.DBRW($B$1,$B$2,$B$7,$B$3,$B$4,$B$5,$F662,$B$6,R$10,$A662,$B662)</f>
        <v>0</v>
      </c>
      <c r="S662" s="4">
        <f ca="1">_xll.DBRW($B$1,$B$2,$B$7,$B$3,$B$4,$B$5,$F662,$B$6,S$10,$A662,$B662)</f>
        <v>0</v>
      </c>
      <c r="T662" s="4">
        <f ca="1">_xll.DBRW($B$1,$B$2,$B$7,$B$3,$B$4,$B$5,$F662,$B$6,T$10,$A662,$B662)</f>
        <v>0</v>
      </c>
      <c r="U662" s="4">
        <f ca="1">_xll.DBRW($B$1,$B$2,$B$7,$B$3,$B$4,$B$5,$F662,$B$6,U$10,$A662,$B662)</f>
        <v>0</v>
      </c>
      <c r="V662" s="4">
        <f ca="1">_xll.DBRW($B$1,$B$2,$B$7,$B$3,$B$4,$B$5,$F662,$B$6,V$10,$A662,$B662)</f>
        <v>2</v>
      </c>
      <c r="W662" s="4">
        <f ca="1">_xll.DBRW($B$1,$B$2,$B$7,$B$3,$B$4,$B$5,$F662,$B$6,W$10,$A662,$B662)</f>
        <v>30</v>
      </c>
      <c r="X662" s="4">
        <f ca="1">_xll.DBRW($B$1,$B$2,$B$7,$B$3,$B$4,$B$5,$F662,$B$6,X$10,$A662,$B662)</f>
        <v>31</v>
      </c>
      <c r="Y662" s="4">
        <f ca="1">_xll.DBRW($B$1,$B$2,$B$7,$B$3,$B$4,$B$5,$F662,$B$6,Y$10,$A662,$B662)</f>
        <v>30</v>
      </c>
      <c r="Z662" s="4">
        <f ca="1">_xll.DBRW($B$1,$B$2,$B$7,$B$3,$B$4,$B$5,$F662,$B$6,Z$10,$A662,$B662)</f>
        <v>31</v>
      </c>
      <c r="AA662" s="4">
        <f ca="1">_xll.DBRW($B$1,$B$2,$B$7,$B$3,$B$4,$B$5,$F662,$B$6,AA$10,$A662,$B662)</f>
        <v>31</v>
      </c>
      <c r="AB662" s="4">
        <f ca="1">_xll.DBRW($B$1,$B$2,$B$7,$B$3,$B$4,$B$5,$F662,$B$6,AB$10,$A662,$B662)</f>
        <v>30</v>
      </c>
      <c r="AC662" s="4">
        <f ca="1">_xll.DBRW($B$1,$B$2,$B$7,$B$3,$B$4,$B$5,$F662,$B$6,AC$10,$A662,$B662)</f>
        <v>25</v>
      </c>
      <c r="AD662" s="4">
        <f ca="1">_xll.DBRW($B$1,$B$2,$B$7,$B$3,$B$4,$B$5,$F662,$B$6,AD$10,$A662,$B662)</f>
        <v>0</v>
      </c>
      <c r="AE662" s="4">
        <f ca="1">_xll.DBRW($B$1,$B$2,$B$7,$B$3,$B$4,$B$5,$F662,$B$6,AE$10,$A662,$B662)</f>
        <v>0</v>
      </c>
    </row>
    <row r="663" spans="1:31">
      <c r="A663" s="1" t="s">
        <v>150</v>
      </c>
      <c r="B663" s="5" t="s">
        <v>268</v>
      </c>
      <c r="C663" s="5" t="s">
        <v>264</v>
      </c>
      <c r="D663" s="5" t="s">
        <v>21</v>
      </c>
      <c r="E663" s="5" t="s">
        <v>265</v>
      </c>
      <c r="F663" s="5" t="s">
        <v>317</v>
      </c>
      <c r="G663" s="6"/>
      <c r="H663" s="6"/>
      <c r="I663" s="6"/>
      <c r="J663" s="6"/>
      <c r="K663" s="6"/>
      <c r="L663" s="4">
        <f ca="1">_xll.DBRW($B$1,$B$2,$B$7,$B$3,$B$4,$B$5,$F663,$B$6,L$10,$A663,$B663)</f>
        <v>0</v>
      </c>
      <c r="M663" s="4">
        <f ca="1">_xll.DBRW($B$1,$B$2,$B$7,$B$3,$B$4,$B$5,$F663,$B$6,M$10,$A663,$B663)</f>
        <v>0</v>
      </c>
      <c r="N663" s="4">
        <f ca="1">_xll.DBRW($B$1,$B$2,$B$7,$B$3,$B$4,$B$5,$F663,$B$6,N$10,$A663,$B663)</f>
        <v>0</v>
      </c>
      <c r="O663" s="4">
        <f ca="1">_xll.DBRW($B$1,$B$2,$B$7,$B$3,$B$4,$B$5,$F663,$B$6,O$10,$A663,$B663)</f>
        <v>0</v>
      </c>
      <c r="P663" s="4">
        <f ca="1">_xll.DBRW($B$1,$B$2,$B$7,$B$3,$B$4,$B$5,$F663,$B$6,P$10,$A663,$B663)</f>
        <v>0</v>
      </c>
      <c r="Q663" s="4">
        <f ca="1">_xll.DBRW($B$1,$B$2,$B$7,$B$3,$B$4,$B$5,$F663,$B$6,Q$10,$A663,$B663)</f>
        <v>0</v>
      </c>
      <c r="R663" s="4">
        <f ca="1">_xll.DBRW($B$1,$B$2,$B$7,$B$3,$B$4,$B$5,$F663,$B$6,R$10,$A663,$B663)</f>
        <v>0</v>
      </c>
      <c r="S663" s="4">
        <f ca="1">_xll.DBRW($B$1,$B$2,$B$7,$B$3,$B$4,$B$5,$F663,$B$6,S$10,$A663,$B663)</f>
        <v>0</v>
      </c>
      <c r="T663" s="4">
        <f ca="1">_xll.DBRW($B$1,$B$2,$B$7,$B$3,$B$4,$B$5,$F663,$B$6,T$10,$A663,$B663)</f>
        <v>31</v>
      </c>
      <c r="U663" s="4">
        <f ca="1">_xll.DBRW($B$1,$B$2,$B$7,$B$3,$B$4,$B$5,$F663,$B$6,U$10,$A663,$B663)</f>
        <v>28</v>
      </c>
      <c r="V663" s="4">
        <f ca="1">_xll.DBRW($B$1,$B$2,$B$7,$B$3,$B$4,$B$5,$F663,$B$6,V$10,$A663,$B663)</f>
        <v>29</v>
      </c>
      <c r="W663" s="4">
        <f ca="1">_xll.DBRW($B$1,$B$2,$B$7,$B$3,$B$4,$B$5,$F663,$B$6,W$10,$A663,$B663)</f>
        <v>0</v>
      </c>
      <c r="X663" s="4">
        <f ca="1">_xll.DBRW($B$1,$B$2,$B$7,$B$3,$B$4,$B$5,$F663,$B$6,X$10,$A663,$B663)</f>
        <v>0</v>
      </c>
      <c r="Y663" s="4">
        <f ca="1">_xll.DBRW($B$1,$B$2,$B$7,$B$3,$B$4,$B$5,$F663,$B$6,Y$10,$A663,$B663)</f>
        <v>0</v>
      </c>
      <c r="Z663" s="4">
        <f ca="1">_xll.DBRW($B$1,$B$2,$B$7,$B$3,$B$4,$B$5,$F663,$B$6,Z$10,$A663,$B663)</f>
        <v>0</v>
      </c>
      <c r="AA663" s="4">
        <f ca="1">_xll.DBRW($B$1,$B$2,$B$7,$B$3,$B$4,$B$5,$F663,$B$6,AA$10,$A663,$B663)</f>
        <v>0</v>
      </c>
      <c r="AB663" s="4">
        <f ca="1">_xll.DBRW($B$1,$B$2,$B$7,$B$3,$B$4,$B$5,$F663,$B$6,AB$10,$A663,$B663)</f>
        <v>0</v>
      </c>
      <c r="AC663" s="4">
        <f ca="1">_xll.DBRW($B$1,$B$2,$B$7,$B$3,$B$4,$B$5,$F663,$B$6,AC$10,$A663,$B663)</f>
        <v>6</v>
      </c>
      <c r="AD663" s="4">
        <f ca="1">_xll.DBRW($B$1,$B$2,$B$7,$B$3,$B$4,$B$5,$F663,$B$6,AD$10,$A663,$B663)</f>
        <v>30</v>
      </c>
      <c r="AE663" s="4">
        <f ca="1">_xll.DBRW($B$1,$B$2,$B$7,$B$3,$B$4,$B$5,$F663,$B$6,AE$10,$A663,$B663)</f>
        <v>31</v>
      </c>
    </row>
    <row r="664" spans="1:31">
      <c r="A664" s="1" t="s">
        <v>150</v>
      </c>
      <c r="B664" s="5" t="s">
        <v>269</v>
      </c>
      <c r="C664" s="5" t="s">
        <v>267</v>
      </c>
      <c r="D664" s="5" t="s">
        <v>265</v>
      </c>
      <c r="E664" s="5" t="s">
        <v>21</v>
      </c>
      <c r="F664" s="5" t="s">
        <v>317</v>
      </c>
      <c r="G664" s="6"/>
      <c r="H664" s="6"/>
      <c r="I664" s="6"/>
      <c r="J664" s="6"/>
      <c r="K664" s="6"/>
      <c r="L664" s="4">
        <f ca="1">_xll.DBRW($B$1,$B$2,$B$7,$B$3,$B$4,$B$5,$F664,$B$6,L$10,$A664,$B664)</f>
        <v>0</v>
      </c>
      <c r="M664" s="4">
        <f ca="1">_xll.DBRW($B$1,$B$2,$B$7,$B$3,$B$4,$B$5,$F664,$B$6,M$10,$A664,$B664)</f>
        <v>0</v>
      </c>
      <c r="N664" s="4">
        <f ca="1">_xll.DBRW($B$1,$B$2,$B$7,$B$3,$B$4,$B$5,$F664,$B$6,N$10,$A664,$B664)</f>
        <v>0</v>
      </c>
      <c r="O664" s="4">
        <f ca="1">_xll.DBRW($B$1,$B$2,$B$7,$B$3,$B$4,$B$5,$F664,$B$6,O$10,$A664,$B664)</f>
        <v>0</v>
      </c>
      <c r="P664" s="4">
        <f ca="1">_xll.DBRW($B$1,$B$2,$B$7,$B$3,$B$4,$B$5,$F664,$B$6,P$10,$A664,$B664)</f>
        <v>0</v>
      </c>
      <c r="Q664" s="4">
        <f ca="1">_xll.DBRW($B$1,$B$2,$B$7,$B$3,$B$4,$B$5,$F664,$B$6,Q$10,$A664,$B664)</f>
        <v>0</v>
      </c>
      <c r="R664" s="4">
        <f ca="1">_xll.DBRW($B$1,$B$2,$B$7,$B$3,$B$4,$B$5,$F664,$B$6,R$10,$A664,$B664)</f>
        <v>0</v>
      </c>
      <c r="S664" s="4">
        <f ca="1">_xll.DBRW($B$1,$B$2,$B$7,$B$3,$B$4,$B$5,$F664,$B$6,S$10,$A664,$B664)</f>
        <v>0</v>
      </c>
      <c r="T664" s="4">
        <f ca="1">_xll.DBRW($B$1,$B$2,$B$7,$B$3,$B$4,$B$5,$F664,$B$6,T$10,$A664,$B664)</f>
        <v>31</v>
      </c>
      <c r="U664" s="4">
        <f ca="1">_xll.DBRW($B$1,$B$2,$B$7,$B$3,$B$4,$B$5,$F664,$B$6,U$10,$A664,$B664)</f>
        <v>28</v>
      </c>
      <c r="V664" s="4">
        <f ca="1">_xll.DBRW($B$1,$B$2,$B$7,$B$3,$B$4,$B$5,$F664,$B$6,V$10,$A664,$B664)</f>
        <v>29</v>
      </c>
      <c r="W664" s="4">
        <f ca="1">_xll.DBRW($B$1,$B$2,$B$7,$B$3,$B$4,$B$5,$F664,$B$6,W$10,$A664,$B664)</f>
        <v>0</v>
      </c>
      <c r="X664" s="4">
        <f ca="1">_xll.DBRW($B$1,$B$2,$B$7,$B$3,$B$4,$B$5,$F664,$B$6,X$10,$A664,$B664)</f>
        <v>0</v>
      </c>
      <c r="Y664" s="4">
        <f ca="1">_xll.DBRW($B$1,$B$2,$B$7,$B$3,$B$4,$B$5,$F664,$B$6,Y$10,$A664,$B664)</f>
        <v>0</v>
      </c>
      <c r="Z664" s="4">
        <f ca="1">_xll.DBRW($B$1,$B$2,$B$7,$B$3,$B$4,$B$5,$F664,$B$6,Z$10,$A664,$B664)</f>
        <v>0</v>
      </c>
      <c r="AA664" s="4">
        <f ca="1">_xll.DBRW($B$1,$B$2,$B$7,$B$3,$B$4,$B$5,$F664,$B$6,AA$10,$A664,$B664)</f>
        <v>0</v>
      </c>
      <c r="AB664" s="4">
        <f ca="1">_xll.DBRW($B$1,$B$2,$B$7,$B$3,$B$4,$B$5,$F664,$B$6,AB$10,$A664,$B664)</f>
        <v>0</v>
      </c>
      <c r="AC664" s="4">
        <f ca="1">_xll.DBRW($B$1,$B$2,$B$7,$B$3,$B$4,$B$5,$F664,$B$6,AC$10,$A664,$B664)</f>
        <v>5</v>
      </c>
      <c r="AD664" s="4">
        <f ca="1">_xll.DBRW($B$1,$B$2,$B$7,$B$3,$B$4,$B$5,$F664,$B$6,AD$10,$A664,$B664)</f>
        <v>30</v>
      </c>
      <c r="AE664" s="4">
        <f ca="1">_xll.DBRW($B$1,$B$2,$B$7,$B$3,$B$4,$B$5,$F664,$B$6,AE$10,$A664,$B664)</f>
        <v>31</v>
      </c>
    </row>
    <row r="665" spans="1:31">
      <c r="A665" s="1" t="s">
        <v>150</v>
      </c>
      <c r="B665" s="5" t="s">
        <v>270</v>
      </c>
      <c r="C665" s="5" t="s">
        <v>271</v>
      </c>
      <c r="D665" s="5" t="s">
        <v>21</v>
      </c>
      <c r="E665" s="5" t="s">
        <v>272</v>
      </c>
      <c r="F665" s="5" t="s">
        <v>317</v>
      </c>
      <c r="G665" s="6"/>
      <c r="H665" s="6"/>
      <c r="I665" s="6"/>
      <c r="J665" s="6"/>
      <c r="K665" s="6"/>
      <c r="L665" s="4">
        <f ca="1">_xll.DBRW($B$1,$B$2,$B$7,$B$3,$B$4,$B$5,$F665,$B$6,L$10,$A665,$B665)</f>
        <v>31</v>
      </c>
      <c r="M665" s="4">
        <f ca="1">_xll.DBRW($B$1,$B$2,$B$7,$B$3,$B$4,$B$5,$F665,$B$6,M$10,$A665,$B665)</f>
        <v>30</v>
      </c>
      <c r="N665" s="4">
        <f ca="1">_xll.DBRW($B$1,$B$2,$B$7,$B$3,$B$4,$B$5,$F665,$B$6,N$10,$A665,$B665)</f>
        <v>31</v>
      </c>
      <c r="O665" s="4">
        <f ca="1">_xll.DBRW($B$1,$B$2,$B$7,$B$3,$B$4,$B$5,$F665,$B$6,O$10,$A665,$B665)</f>
        <v>31</v>
      </c>
      <c r="P665" s="4">
        <f ca="1">_xll.DBRW($B$1,$B$2,$B$7,$B$3,$B$4,$B$5,$F665,$B$6,P$10,$A665,$B665)</f>
        <v>30</v>
      </c>
      <c r="Q665" s="4">
        <f ca="1">_xll.DBRW($B$1,$B$2,$B$7,$B$3,$B$4,$B$5,$F665,$B$6,Q$10,$A665,$B665)</f>
        <v>31</v>
      </c>
      <c r="R665" s="4">
        <f ca="1">_xll.DBRW($B$1,$B$2,$B$7,$B$3,$B$4,$B$5,$F665,$B$6,R$10,$A665,$B665)</f>
        <v>30</v>
      </c>
      <c r="S665" s="4">
        <f ca="1">_xll.DBRW($B$1,$B$2,$B$7,$B$3,$B$4,$B$5,$F665,$B$6,S$10,$A665,$B665)</f>
        <v>31</v>
      </c>
      <c r="T665" s="4">
        <f ca="1">_xll.DBRW($B$1,$B$2,$B$7,$B$3,$B$4,$B$5,$F665,$B$6,T$10,$A665,$B665)</f>
        <v>31</v>
      </c>
      <c r="U665" s="4">
        <f ca="1">_xll.DBRW($B$1,$B$2,$B$7,$B$3,$B$4,$B$5,$F665,$B$6,U$10,$A665,$B665)</f>
        <v>28</v>
      </c>
      <c r="V665" s="4">
        <f ca="1">_xll.DBRW($B$1,$B$2,$B$7,$B$3,$B$4,$B$5,$F665,$B$6,V$10,$A665,$B665)</f>
        <v>31</v>
      </c>
      <c r="W665" s="4">
        <f ca="1">_xll.DBRW($B$1,$B$2,$B$7,$B$3,$B$4,$B$5,$F665,$B$6,W$10,$A665,$B665)</f>
        <v>30</v>
      </c>
      <c r="X665" s="4">
        <f ca="1">_xll.DBRW($B$1,$B$2,$B$7,$B$3,$B$4,$B$5,$F665,$B$6,X$10,$A665,$B665)</f>
        <v>31</v>
      </c>
      <c r="Y665" s="4">
        <f ca="1">_xll.DBRW($B$1,$B$2,$B$7,$B$3,$B$4,$B$5,$F665,$B$6,Y$10,$A665,$B665)</f>
        <v>30</v>
      </c>
      <c r="Z665" s="4">
        <f ca="1">_xll.DBRW($B$1,$B$2,$B$7,$B$3,$B$4,$B$5,$F665,$B$6,Z$10,$A665,$B665)</f>
        <v>31</v>
      </c>
      <c r="AA665" s="4">
        <f ca="1">_xll.DBRW($B$1,$B$2,$B$7,$B$3,$B$4,$B$5,$F665,$B$6,AA$10,$A665,$B665)</f>
        <v>31</v>
      </c>
      <c r="AB665" s="4">
        <f ca="1">_xll.DBRW($B$1,$B$2,$B$7,$B$3,$B$4,$B$5,$F665,$B$6,AB$10,$A665,$B665)</f>
        <v>30</v>
      </c>
      <c r="AC665" s="4">
        <f ca="1">_xll.DBRW($B$1,$B$2,$B$7,$B$3,$B$4,$B$5,$F665,$B$6,AC$10,$A665,$B665)</f>
        <v>31</v>
      </c>
      <c r="AD665" s="4">
        <f ca="1">_xll.DBRW($B$1,$B$2,$B$7,$B$3,$B$4,$B$5,$F665,$B$6,AD$10,$A665,$B665)</f>
        <v>30</v>
      </c>
      <c r="AE665" s="4">
        <f ca="1">_xll.DBRW($B$1,$B$2,$B$7,$B$3,$B$4,$B$5,$F665,$B$6,AE$10,$A665,$B665)</f>
        <v>31</v>
      </c>
    </row>
    <row r="666" spans="1:31">
      <c r="A666" s="1" t="s">
        <v>150</v>
      </c>
      <c r="B666" s="5" t="s">
        <v>273</v>
      </c>
      <c r="C666" s="5" t="s">
        <v>274</v>
      </c>
      <c r="D666" s="5" t="s">
        <v>272</v>
      </c>
      <c r="E666" s="5" t="s">
        <v>21</v>
      </c>
      <c r="F666" s="5" t="s">
        <v>317</v>
      </c>
      <c r="G666" s="6"/>
      <c r="H666" s="6"/>
      <c r="I666" s="6"/>
      <c r="J666" s="6"/>
      <c r="K666" s="6"/>
      <c r="L666" s="4">
        <f ca="1">_xll.DBRW($B$1,$B$2,$B$7,$B$3,$B$4,$B$5,$F666,$B$6,L$10,$A666,$B666)</f>
        <v>31</v>
      </c>
      <c r="M666" s="4">
        <f ca="1">_xll.DBRW($B$1,$B$2,$B$7,$B$3,$B$4,$B$5,$F666,$B$6,M$10,$A666,$B666)</f>
        <v>30</v>
      </c>
      <c r="N666" s="4">
        <f ca="1">_xll.DBRW($B$1,$B$2,$B$7,$B$3,$B$4,$B$5,$F666,$B$6,N$10,$A666,$B666)</f>
        <v>31</v>
      </c>
      <c r="O666" s="4">
        <f ca="1">_xll.DBRW($B$1,$B$2,$B$7,$B$3,$B$4,$B$5,$F666,$B$6,O$10,$A666,$B666)</f>
        <v>31</v>
      </c>
      <c r="P666" s="4">
        <f ca="1">_xll.DBRW($B$1,$B$2,$B$7,$B$3,$B$4,$B$5,$F666,$B$6,P$10,$A666,$B666)</f>
        <v>30</v>
      </c>
      <c r="Q666" s="4">
        <f ca="1">_xll.DBRW($B$1,$B$2,$B$7,$B$3,$B$4,$B$5,$F666,$B$6,Q$10,$A666,$B666)</f>
        <v>31</v>
      </c>
      <c r="R666" s="4">
        <f ca="1">_xll.DBRW($B$1,$B$2,$B$7,$B$3,$B$4,$B$5,$F666,$B$6,R$10,$A666,$B666)</f>
        <v>30</v>
      </c>
      <c r="S666" s="4">
        <f ca="1">_xll.DBRW($B$1,$B$2,$B$7,$B$3,$B$4,$B$5,$F666,$B$6,S$10,$A666,$B666)</f>
        <v>31</v>
      </c>
      <c r="T666" s="4">
        <f ca="1">_xll.DBRW($B$1,$B$2,$B$7,$B$3,$B$4,$B$5,$F666,$B$6,T$10,$A666,$B666)</f>
        <v>31</v>
      </c>
      <c r="U666" s="4">
        <f ca="1">_xll.DBRW($B$1,$B$2,$B$7,$B$3,$B$4,$B$5,$F666,$B$6,U$10,$A666,$B666)</f>
        <v>28</v>
      </c>
      <c r="V666" s="4">
        <f ca="1">_xll.DBRW($B$1,$B$2,$B$7,$B$3,$B$4,$B$5,$F666,$B$6,V$10,$A666,$B666)</f>
        <v>31</v>
      </c>
      <c r="W666" s="4">
        <f ca="1">_xll.DBRW($B$1,$B$2,$B$7,$B$3,$B$4,$B$5,$F666,$B$6,W$10,$A666,$B666)</f>
        <v>30</v>
      </c>
      <c r="X666" s="4">
        <f ca="1">_xll.DBRW($B$1,$B$2,$B$7,$B$3,$B$4,$B$5,$F666,$B$6,X$10,$A666,$B666)</f>
        <v>31</v>
      </c>
      <c r="Y666" s="4">
        <f ca="1">_xll.DBRW($B$1,$B$2,$B$7,$B$3,$B$4,$B$5,$F666,$B$6,Y$10,$A666,$B666)</f>
        <v>30</v>
      </c>
      <c r="Z666" s="4">
        <f ca="1">_xll.DBRW($B$1,$B$2,$B$7,$B$3,$B$4,$B$5,$F666,$B$6,Z$10,$A666,$B666)</f>
        <v>31</v>
      </c>
      <c r="AA666" s="4">
        <f ca="1">_xll.DBRW($B$1,$B$2,$B$7,$B$3,$B$4,$B$5,$F666,$B$6,AA$10,$A666,$B666)</f>
        <v>31</v>
      </c>
      <c r="AB666" s="4">
        <f ca="1">_xll.DBRW($B$1,$B$2,$B$7,$B$3,$B$4,$B$5,$F666,$B$6,AB$10,$A666,$B666)</f>
        <v>30</v>
      </c>
      <c r="AC666" s="4">
        <f ca="1">_xll.DBRW($B$1,$B$2,$B$7,$B$3,$B$4,$B$5,$F666,$B$6,AC$10,$A666,$B666)</f>
        <v>30</v>
      </c>
      <c r="AD666" s="4">
        <f ca="1">_xll.DBRW($B$1,$B$2,$B$7,$B$3,$B$4,$B$5,$F666,$B$6,AD$10,$A666,$B666)</f>
        <v>30</v>
      </c>
      <c r="AE666" s="4">
        <f ca="1">_xll.DBRW($B$1,$B$2,$B$7,$B$3,$B$4,$B$5,$F666,$B$6,AE$10,$A666,$B666)</f>
        <v>31</v>
      </c>
    </row>
    <row r="667" spans="1:31">
      <c r="A667" s="1" t="s">
        <v>150</v>
      </c>
      <c r="B667" s="5" t="s">
        <v>275</v>
      </c>
      <c r="C667" s="5" t="s">
        <v>276</v>
      </c>
      <c r="D667" s="5" t="s">
        <v>21</v>
      </c>
      <c r="E667" s="5" t="s">
        <v>277</v>
      </c>
      <c r="F667" s="5" t="s">
        <v>317</v>
      </c>
      <c r="G667" s="6"/>
      <c r="H667" s="6"/>
      <c r="I667" s="6"/>
      <c r="J667" s="6"/>
      <c r="K667" s="6"/>
      <c r="L667" s="4">
        <f ca="1">_xll.DBRW($B$1,$B$2,$B$7,$B$3,$B$4,$B$5,$F667,$B$6,L$10,$A667,$B667)</f>
        <v>31</v>
      </c>
      <c r="M667" s="4">
        <f ca="1">_xll.DBRW($B$1,$B$2,$B$7,$B$3,$B$4,$B$5,$F667,$B$6,M$10,$A667,$B667)</f>
        <v>30</v>
      </c>
      <c r="N667" s="4">
        <f ca="1">_xll.DBRW($B$1,$B$2,$B$7,$B$3,$B$4,$B$5,$F667,$B$6,N$10,$A667,$B667)</f>
        <v>31</v>
      </c>
      <c r="O667" s="4">
        <f ca="1">_xll.DBRW($B$1,$B$2,$B$7,$B$3,$B$4,$B$5,$F667,$B$6,O$10,$A667,$B667)</f>
        <v>31</v>
      </c>
      <c r="P667" s="4">
        <f ca="1">_xll.DBRW($B$1,$B$2,$B$7,$B$3,$B$4,$B$5,$F667,$B$6,P$10,$A667,$B667)</f>
        <v>30</v>
      </c>
      <c r="Q667" s="4">
        <f ca="1">_xll.DBRW($B$1,$B$2,$B$7,$B$3,$B$4,$B$5,$F667,$B$6,Q$10,$A667,$B667)</f>
        <v>31</v>
      </c>
      <c r="R667" s="4">
        <f ca="1">_xll.DBRW($B$1,$B$2,$B$7,$B$3,$B$4,$B$5,$F667,$B$6,R$10,$A667,$B667)</f>
        <v>30</v>
      </c>
      <c r="S667" s="4">
        <f ca="1">_xll.DBRW($B$1,$B$2,$B$7,$B$3,$B$4,$B$5,$F667,$B$6,S$10,$A667,$B667)</f>
        <v>31</v>
      </c>
      <c r="T667" s="4">
        <f ca="1">_xll.DBRW($B$1,$B$2,$B$7,$B$3,$B$4,$B$5,$F667,$B$6,T$10,$A667,$B667)</f>
        <v>0</v>
      </c>
      <c r="U667" s="4">
        <f ca="1">_xll.DBRW($B$1,$B$2,$B$7,$B$3,$B$4,$B$5,$F667,$B$6,U$10,$A667,$B667)</f>
        <v>0</v>
      </c>
      <c r="V667" s="4">
        <f ca="1">_xll.DBRW($B$1,$B$2,$B$7,$B$3,$B$4,$B$5,$F667,$B$6,V$10,$A667,$B667)</f>
        <v>2</v>
      </c>
      <c r="W667" s="4">
        <f ca="1">_xll.DBRW($B$1,$B$2,$B$7,$B$3,$B$4,$B$5,$F667,$B$6,W$10,$A667,$B667)</f>
        <v>30</v>
      </c>
      <c r="X667" s="4">
        <f ca="1">_xll.DBRW($B$1,$B$2,$B$7,$B$3,$B$4,$B$5,$F667,$B$6,X$10,$A667,$B667)</f>
        <v>31</v>
      </c>
      <c r="Y667" s="4">
        <f ca="1">_xll.DBRW($B$1,$B$2,$B$7,$B$3,$B$4,$B$5,$F667,$B$6,Y$10,$A667,$B667)</f>
        <v>30</v>
      </c>
      <c r="Z667" s="4">
        <f ca="1">_xll.DBRW($B$1,$B$2,$B$7,$B$3,$B$4,$B$5,$F667,$B$6,Z$10,$A667,$B667)</f>
        <v>31</v>
      </c>
      <c r="AA667" s="4">
        <f ca="1">_xll.DBRW($B$1,$B$2,$B$7,$B$3,$B$4,$B$5,$F667,$B$6,AA$10,$A667,$B667)</f>
        <v>31</v>
      </c>
      <c r="AB667" s="4">
        <f ca="1">_xll.DBRW($B$1,$B$2,$B$7,$B$3,$B$4,$B$5,$F667,$B$6,AB$10,$A667,$B667)</f>
        <v>30</v>
      </c>
      <c r="AC667" s="4">
        <f ca="1">_xll.DBRW($B$1,$B$2,$B$7,$B$3,$B$4,$B$5,$F667,$B$6,AC$10,$A667,$B667)</f>
        <v>25</v>
      </c>
      <c r="AD667" s="4">
        <f ca="1">_xll.DBRW($B$1,$B$2,$B$7,$B$3,$B$4,$B$5,$F667,$B$6,AD$10,$A667,$B667)</f>
        <v>0</v>
      </c>
      <c r="AE667" s="4">
        <f ca="1">_xll.DBRW($B$1,$B$2,$B$7,$B$3,$B$4,$B$5,$F667,$B$6,AE$10,$A667,$B667)</f>
        <v>0</v>
      </c>
    </row>
    <row r="668" spans="1:31">
      <c r="A668" s="1" t="s">
        <v>150</v>
      </c>
      <c r="B668" s="5" t="s">
        <v>278</v>
      </c>
      <c r="C668" s="5" t="s">
        <v>279</v>
      </c>
      <c r="D668" s="5" t="s">
        <v>277</v>
      </c>
      <c r="E668" s="5" t="s">
        <v>21</v>
      </c>
      <c r="F668" s="5" t="s">
        <v>317</v>
      </c>
      <c r="G668" s="6"/>
      <c r="H668" s="6"/>
      <c r="I668" s="6"/>
      <c r="J668" s="6"/>
      <c r="K668" s="6"/>
      <c r="L668" s="4">
        <f ca="1">_xll.DBRW($B$1,$B$2,$B$7,$B$3,$B$4,$B$5,$F668,$B$6,L$10,$A668,$B668)</f>
        <v>31</v>
      </c>
      <c r="M668" s="4">
        <f ca="1">_xll.DBRW($B$1,$B$2,$B$7,$B$3,$B$4,$B$5,$F668,$B$6,M$10,$A668,$B668)</f>
        <v>30</v>
      </c>
      <c r="N668" s="4">
        <f ca="1">_xll.DBRW($B$1,$B$2,$B$7,$B$3,$B$4,$B$5,$F668,$B$6,N$10,$A668,$B668)</f>
        <v>31</v>
      </c>
      <c r="O668" s="4">
        <f ca="1">_xll.DBRW($B$1,$B$2,$B$7,$B$3,$B$4,$B$5,$F668,$B$6,O$10,$A668,$B668)</f>
        <v>31</v>
      </c>
      <c r="P668" s="4">
        <f ca="1">_xll.DBRW($B$1,$B$2,$B$7,$B$3,$B$4,$B$5,$F668,$B$6,P$10,$A668,$B668)</f>
        <v>30</v>
      </c>
      <c r="Q668" s="4">
        <f ca="1">_xll.DBRW($B$1,$B$2,$B$7,$B$3,$B$4,$B$5,$F668,$B$6,Q$10,$A668,$B668)</f>
        <v>31</v>
      </c>
      <c r="R668" s="4">
        <f ca="1">_xll.DBRW($B$1,$B$2,$B$7,$B$3,$B$4,$B$5,$F668,$B$6,R$10,$A668,$B668)</f>
        <v>30</v>
      </c>
      <c r="S668" s="4">
        <f ca="1">_xll.DBRW($B$1,$B$2,$B$7,$B$3,$B$4,$B$5,$F668,$B$6,S$10,$A668,$B668)</f>
        <v>31</v>
      </c>
      <c r="T668" s="4">
        <f ca="1">_xll.DBRW($B$1,$B$2,$B$7,$B$3,$B$4,$B$5,$F668,$B$6,T$10,$A668,$B668)</f>
        <v>0</v>
      </c>
      <c r="U668" s="4">
        <f ca="1">_xll.DBRW($B$1,$B$2,$B$7,$B$3,$B$4,$B$5,$F668,$B$6,U$10,$A668,$B668)</f>
        <v>0</v>
      </c>
      <c r="V668" s="4">
        <f ca="1">_xll.DBRW($B$1,$B$2,$B$7,$B$3,$B$4,$B$5,$F668,$B$6,V$10,$A668,$B668)</f>
        <v>2</v>
      </c>
      <c r="W668" s="4">
        <f ca="1">_xll.DBRW($B$1,$B$2,$B$7,$B$3,$B$4,$B$5,$F668,$B$6,W$10,$A668,$B668)</f>
        <v>30</v>
      </c>
      <c r="X668" s="4">
        <f ca="1">_xll.DBRW($B$1,$B$2,$B$7,$B$3,$B$4,$B$5,$F668,$B$6,X$10,$A668,$B668)</f>
        <v>31</v>
      </c>
      <c r="Y668" s="4">
        <f ca="1">_xll.DBRW($B$1,$B$2,$B$7,$B$3,$B$4,$B$5,$F668,$B$6,Y$10,$A668,$B668)</f>
        <v>30</v>
      </c>
      <c r="Z668" s="4">
        <f ca="1">_xll.DBRW($B$1,$B$2,$B$7,$B$3,$B$4,$B$5,$F668,$B$6,Z$10,$A668,$B668)</f>
        <v>31</v>
      </c>
      <c r="AA668" s="4">
        <f ca="1">_xll.DBRW($B$1,$B$2,$B$7,$B$3,$B$4,$B$5,$F668,$B$6,AA$10,$A668,$B668)</f>
        <v>31</v>
      </c>
      <c r="AB668" s="4">
        <f ca="1">_xll.DBRW($B$1,$B$2,$B$7,$B$3,$B$4,$B$5,$F668,$B$6,AB$10,$A668,$B668)</f>
        <v>30</v>
      </c>
      <c r="AC668" s="4">
        <f ca="1">_xll.DBRW($B$1,$B$2,$B$7,$B$3,$B$4,$B$5,$F668,$B$6,AC$10,$A668,$B668)</f>
        <v>25</v>
      </c>
      <c r="AD668" s="4">
        <f ca="1">_xll.DBRW($B$1,$B$2,$B$7,$B$3,$B$4,$B$5,$F668,$B$6,AD$10,$A668,$B668)</f>
        <v>0</v>
      </c>
      <c r="AE668" s="4">
        <f ca="1">_xll.DBRW($B$1,$B$2,$B$7,$B$3,$B$4,$B$5,$F668,$B$6,AE$10,$A668,$B668)</f>
        <v>0</v>
      </c>
    </row>
    <row r="669" spans="1:31">
      <c r="A669" s="1" t="s">
        <v>150</v>
      </c>
      <c r="B669" s="5" t="s">
        <v>280</v>
      </c>
      <c r="C669" s="5" t="s">
        <v>276</v>
      </c>
      <c r="D669" s="5" t="s">
        <v>21</v>
      </c>
      <c r="E669" s="5" t="s">
        <v>277</v>
      </c>
      <c r="F669" s="5" t="s">
        <v>317</v>
      </c>
      <c r="G669" s="6"/>
      <c r="H669" s="6"/>
      <c r="I669" s="6"/>
      <c r="J669" s="6"/>
      <c r="K669" s="6"/>
      <c r="L669" s="4">
        <f ca="1">_xll.DBRW($B$1,$B$2,$B$7,$B$3,$B$4,$B$5,$F669,$B$6,L$10,$A669,$B669)</f>
        <v>0</v>
      </c>
      <c r="M669" s="4">
        <f ca="1">_xll.DBRW($B$1,$B$2,$B$7,$B$3,$B$4,$B$5,$F669,$B$6,M$10,$A669,$B669)</f>
        <v>0</v>
      </c>
      <c r="N669" s="4">
        <f ca="1">_xll.DBRW($B$1,$B$2,$B$7,$B$3,$B$4,$B$5,$F669,$B$6,N$10,$A669,$B669)</f>
        <v>0</v>
      </c>
      <c r="O669" s="4">
        <f ca="1">_xll.DBRW($B$1,$B$2,$B$7,$B$3,$B$4,$B$5,$F669,$B$6,O$10,$A669,$B669)</f>
        <v>0</v>
      </c>
      <c r="P669" s="4">
        <f ca="1">_xll.DBRW($B$1,$B$2,$B$7,$B$3,$B$4,$B$5,$F669,$B$6,P$10,$A669,$B669)</f>
        <v>0</v>
      </c>
      <c r="Q669" s="4">
        <f ca="1">_xll.DBRW($B$1,$B$2,$B$7,$B$3,$B$4,$B$5,$F669,$B$6,Q$10,$A669,$B669)</f>
        <v>0</v>
      </c>
      <c r="R669" s="4">
        <f ca="1">_xll.DBRW($B$1,$B$2,$B$7,$B$3,$B$4,$B$5,$F669,$B$6,R$10,$A669,$B669)</f>
        <v>0</v>
      </c>
      <c r="S669" s="4">
        <f ca="1">_xll.DBRW($B$1,$B$2,$B$7,$B$3,$B$4,$B$5,$F669,$B$6,S$10,$A669,$B669)</f>
        <v>0</v>
      </c>
      <c r="T669" s="4">
        <f ca="1">_xll.DBRW($B$1,$B$2,$B$7,$B$3,$B$4,$B$5,$F669,$B$6,T$10,$A669,$B669)</f>
        <v>0</v>
      </c>
      <c r="U669" s="4">
        <f ca="1">_xll.DBRW($B$1,$B$2,$B$7,$B$3,$B$4,$B$5,$F669,$B$6,U$10,$A669,$B669)</f>
        <v>0</v>
      </c>
      <c r="V669" s="4">
        <f ca="1">_xll.DBRW($B$1,$B$2,$B$7,$B$3,$B$4,$B$5,$F669,$B$6,V$10,$A669,$B669)</f>
        <v>0</v>
      </c>
      <c r="W669" s="4">
        <f ca="1">_xll.DBRW($B$1,$B$2,$B$7,$B$3,$B$4,$B$5,$F669,$B$6,W$10,$A669,$B669)</f>
        <v>0</v>
      </c>
      <c r="X669" s="4">
        <f ca="1">_xll.DBRW($B$1,$B$2,$B$7,$B$3,$B$4,$B$5,$F669,$B$6,X$10,$A669,$B669)</f>
        <v>0</v>
      </c>
      <c r="Y669" s="4">
        <f ca="1">_xll.DBRW($B$1,$B$2,$B$7,$B$3,$B$4,$B$5,$F669,$B$6,Y$10,$A669,$B669)</f>
        <v>0</v>
      </c>
      <c r="Z669" s="4">
        <f ca="1">_xll.DBRW($B$1,$B$2,$B$7,$B$3,$B$4,$B$5,$F669,$B$6,Z$10,$A669,$B669)</f>
        <v>0</v>
      </c>
      <c r="AA669" s="4">
        <f ca="1">_xll.DBRW($B$1,$B$2,$B$7,$B$3,$B$4,$B$5,$F669,$B$6,AA$10,$A669,$B669)</f>
        <v>0</v>
      </c>
      <c r="AB669" s="4">
        <f ca="1">_xll.DBRW($B$1,$B$2,$B$7,$B$3,$B$4,$B$5,$F669,$B$6,AB$10,$A669,$B669)</f>
        <v>0</v>
      </c>
      <c r="AC669" s="4">
        <f ca="1">_xll.DBRW($B$1,$B$2,$B$7,$B$3,$B$4,$B$5,$F669,$B$6,AC$10,$A669,$B669)</f>
        <v>0</v>
      </c>
      <c r="AD669" s="4">
        <f ca="1">_xll.DBRW($B$1,$B$2,$B$7,$B$3,$B$4,$B$5,$F669,$B$6,AD$10,$A669,$B669)</f>
        <v>0</v>
      </c>
      <c r="AE669" s="4">
        <f ca="1">_xll.DBRW($B$1,$B$2,$B$7,$B$3,$B$4,$B$5,$F669,$B$6,AE$10,$A669,$B669)</f>
        <v>0</v>
      </c>
    </row>
    <row r="670" spans="1:31">
      <c r="A670" s="1" t="s">
        <v>150</v>
      </c>
      <c r="B670" s="5" t="s">
        <v>281</v>
      </c>
      <c r="C670" s="5" t="s">
        <v>279</v>
      </c>
      <c r="D670" s="5" t="s">
        <v>277</v>
      </c>
      <c r="E670" s="5" t="s">
        <v>21</v>
      </c>
      <c r="F670" s="5" t="s">
        <v>317</v>
      </c>
      <c r="G670" s="6"/>
      <c r="H670" s="6"/>
      <c r="I670" s="6"/>
      <c r="J670" s="6"/>
      <c r="K670" s="6"/>
      <c r="L670" s="4">
        <f ca="1">_xll.DBRW($B$1,$B$2,$B$7,$B$3,$B$4,$B$5,$F670,$B$6,L$10,$A670,$B670)</f>
        <v>0</v>
      </c>
      <c r="M670" s="4">
        <f ca="1">_xll.DBRW($B$1,$B$2,$B$7,$B$3,$B$4,$B$5,$F670,$B$6,M$10,$A670,$B670)</f>
        <v>0</v>
      </c>
      <c r="N670" s="4">
        <f ca="1">_xll.DBRW($B$1,$B$2,$B$7,$B$3,$B$4,$B$5,$F670,$B$6,N$10,$A670,$B670)</f>
        <v>0</v>
      </c>
      <c r="O670" s="4">
        <f ca="1">_xll.DBRW($B$1,$B$2,$B$7,$B$3,$B$4,$B$5,$F670,$B$6,O$10,$A670,$B670)</f>
        <v>0</v>
      </c>
      <c r="P670" s="4">
        <f ca="1">_xll.DBRW($B$1,$B$2,$B$7,$B$3,$B$4,$B$5,$F670,$B$6,P$10,$A670,$B670)</f>
        <v>0</v>
      </c>
      <c r="Q670" s="4">
        <f ca="1">_xll.DBRW($B$1,$B$2,$B$7,$B$3,$B$4,$B$5,$F670,$B$6,Q$10,$A670,$B670)</f>
        <v>0</v>
      </c>
      <c r="R670" s="4">
        <f ca="1">_xll.DBRW($B$1,$B$2,$B$7,$B$3,$B$4,$B$5,$F670,$B$6,R$10,$A670,$B670)</f>
        <v>0</v>
      </c>
      <c r="S670" s="4">
        <f ca="1">_xll.DBRW($B$1,$B$2,$B$7,$B$3,$B$4,$B$5,$F670,$B$6,S$10,$A670,$B670)</f>
        <v>0</v>
      </c>
      <c r="T670" s="4">
        <f ca="1">_xll.DBRW($B$1,$B$2,$B$7,$B$3,$B$4,$B$5,$F670,$B$6,T$10,$A670,$B670)</f>
        <v>0</v>
      </c>
      <c r="U670" s="4">
        <f ca="1">_xll.DBRW($B$1,$B$2,$B$7,$B$3,$B$4,$B$5,$F670,$B$6,U$10,$A670,$B670)</f>
        <v>0</v>
      </c>
      <c r="V670" s="4">
        <f ca="1">_xll.DBRW($B$1,$B$2,$B$7,$B$3,$B$4,$B$5,$F670,$B$6,V$10,$A670,$B670)</f>
        <v>0</v>
      </c>
      <c r="W670" s="4">
        <f ca="1">_xll.DBRW($B$1,$B$2,$B$7,$B$3,$B$4,$B$5,$F670,$B$6,W$10,$A670,$B670)</f>
        <v>0</v>
      </c>
      <c r="X670" s="4">
        <f ca="1">_xll.DBRW($B$1,$B$2,$B$7,$B$3,$B$4,$B$5,$F670,$B$6,X$10,$A670,$B670)</f>
        <v>0</v>
      </c>
      <c r="Y670" s="4">
        <f ca="1">_xll.DBRW($B$1,$B$2,$B$7,$B$3,$B$4,$B$5,$F670,$B$6,Y$10,$A670,$B670)</f>
        <v>0</v>
      </c>
      <c r="Z670" s="4">
        <f ca="1">_xll.DBRW($B$1,$B$2,$B$7,$B$3,$B$4,$B$5,$F670,$B$6,Z$10,$A670,$B670)</f>
        <v>0</v>
      </c>
      <c r="AA670" s="4">
        <f ca="1">_xll.DBRW($B$1,$B$2,$B$7,$B$3,$B$4,$B$5,$F670,$B$6,AA$10,$A670,$B670)</f>
        <v>0</v>
      </c>
      <c r="AB670" s="4">
        <f ca="1">_xll.DBRW($B$1,$B$2,$B$7,$B$3,$B$4,$B$5,$F670,$B$6,AB$10,$A670,$B670)</f>
        <v>0</v>
      </c>
      <c r="AC670" s="4">
        <f ca="1">_xll.DBRW($B$1,$B$2,$B$7,$B$3,$B$4,$B$5,$F670,$B$6,AC$10,$A670,$B670)</f>
        <v>0</v>
      </c>
      <c r="AD670" s="4">
        <f ca="1">_xll.DBRW($B$1,$B$2,$B$7,$B$3,$B$4,$B$5,$F670,$B$6,AD$10,$A670,$B670)</f>
        <v>0</v>
      </c>
      <c r="AE670" s="4">
        <f ca="1">_xll.DBRW($B$1,$B$2,$B$7,$B$3,$B$4,$B$5,$F670,$B$6,AE$10,$A670,$B670)</f>
        <v>0</v>
      </c>
    </row>
    <row r="671" spans="1:31">
      <c r="A671" s="1" t="s">
        <v>150</v>
      </c>
      <c r="B671" s="5" t="s">
        <v>282</v>
      </c>
      <c r="C671" s="5" t="s">
        <v>283</v>
      </c>
      <c r="D671" s="5" t="s">
        <v>21</v>
      </c>
      <c r="E671" s="5" t="s">
        <v>284</v>
      </c>
      <c r="F671" s="5" t="s">
        <v>317</v>
      </c>
      <c r="G671" s="6"/>
      <c r="H671" s="6"/>
      <c r="I671" s="6"/>
      <c r="J671" s="6"/>
      <c r="K671" s="6"/>
      <c r="L671" s="4">
        <f ca="1">_xll.DBRW($B$1,$B$2,$B$7,$B$3,$B$4,$B$5,$F671,$B$6,L$10,$A671,$B671)</f>
        <v>0</v>
      </c>
      <c r="M671" s="4">
        <f ca="1">_xll.DBRW($B$1,$B$2,$B$7,$B$3,$B$4,$B$5,$F671,$B$6,M$10,$A671,$B671)</f>
        <v>0</v>
      </c>
      <c r="N671" s="4">
        <f ca="1">_xll.DBRW($B$1,$B$2,$B$7,$B$3,$B$4,$B$5,$F671,$B$6,N$10,$A671,$B671)</f>
        <v>0</v>
      </c>
      <c r="O671" s="4">
        <f ca="1">_xll.DBRW($B$1,$B$2,$B$7,$B$3,$B$4,$B$5,$F671,$B$6,O$10,$A671,$B671)</f>
        <v>0</v>
      </c>
      <c r="P671" s="4">
        <f ca="1">_xll.DBRW($B$1,$B$2,$B$7,$B$3,$B$4,$B$5,$F671,$B$6,P$10,$A671,$B671)</f>
        <v>0</v>
      </c>
      <c r="Q671" s="4">
        <f ca="1">_xll.DBRW($B$1,$B$2,$B$7,$B$3,$B$4,$B$5,$F671,$B$6,Q$10,$A671,$B671)</f>
        <v>5</v>
      </c>
      <c r="R671" s="4">
        <f ca="1">_xll.DBRW($B$1,$B$2,$B$7,$B$3,$B$4,$B$5,$F671,$B$6,R$10,$A671,$B671)</f>
        <v>30</v>
      </c>
      <c r="S671" s="4">
        <f ca="1">_xll.DBRW($B$1,$B$2,$B$7,$B$3,$B$4,$B$5,$F671,$B$6,S$10,$A671,$B671)</f>
        <v>31</v>
      </c>
      <c r="T671" s="4">
        <f ca="1">_xll.DBRW($B$1,$B$2,$B$7,$B$3,$B$4,$B$5,$F671,$B$6,T$10,$A671,$B671)</f>
        <v>31</v>
      </c>
      <c r="U671" s="4">
        <f ca="1">_xll.DBRW($B$1,$B$2,$B$7,$B$3,$B$4,$B$5,$F671,$B$6,U$10,$A671,$B671)</f>
        <v>28</v>
      </c>
      <c r="V671" s="4">
        <f ca="1">_xll.DBRW($B$1,$B$2,$B$7,$B$3,$B$4,$B$5,$F671,$B$6,V$10,$A671,$B671)</f>
        <v>28</v>
      </c>
      <c r="W671" s="4">
        <f ca="1">_xll.DBRW($B$1,$B$2,$B$7,$B$3,$B$4,$B$5,$F671,$B$6,W$10,$A671,$B671)</f>
        <v>0</v>
      </c>
      <c r="X671" s="4">
        <f ca="1">_xll.DBRW($B$1,$B$2,$B$7,$B$3,$B$4,$B$5,$F671,$B$6,X$10,$A671,$B671)</f>
        <v>0</v>
      </c>
      <c r="Y671" s="4">
        <f ca="1">_xll.DBRW($B$1,$B$2,$B$7,$B$3,$B$4,$B$5,$F671,$B$6,Y$10,$A671,$B671)</f>
        <v>0</v>
      </c>
      <c r="Z671" s="4">
        <f ca="1">_xll.DBRW($B$1,$B$2,$B$7,$B$3,$B$4,$B$5,$F671,$B$6,Z$10,$A671,$B671)</f>
        <v>0</v>
      </c>
      <c r="AA671" s="4">
        <f ca="1">_xll.DBRW($B$1,$B$2,$B$7,$B$3,$B$4,$B$5,$F671,$B$6,AA$10,$A671,$B671)</f>
        <v>0</v>
      </c>
      <c r="AB671" s="4">
        <f ca="1">_xll.DBRW($B$1,$B$2,$B$7,$B$3,$B$4,$B$5,$F671,$B$6,AB$10,$A671,$B671)</f>
        <v>0</v>
      </c>
      <c r="AC671" s="4">
        <f ca="1">_xll.DBRW($B$1,$B$2,$B$7,$B$3,$B$4,$B$5,$F671,$B$6,AC$10,$A671,$B671)</f>
        <v>6</v>
      </c>
      <c r="AD671" s="4">
        <f ca="1">_xll.DBRW($B$1,$B$2,$B$7,$B$3,$B$4,$B$5,$F671,$B$6,AD$10,$A671,$B671)</f>
        <v>30</v>
      </c>
      <c r="AE671" s="4">
        <f ca="1">_xll.DBRW($B$1,$B$2,$B$7,$B$3,$B$4,$B$5,$F671,$B$6,AE$10,$A671,$B671)</f>
        <v>31</v>
      </c>
    </row>
    <row r="672" spans="1:31">
      <c r="A672" s="1" t="s">
        <v>150</v>
      </c>
      <c r="B672" s="5" t="s">
        <v>285</v>
      </c>
      <c r="C672" s="5" t="s">
        <v>286</v>
      </c>
      <c r="D672" s="5" t="s">
        <v>284</v>
      </c>
      <c r="E672" s="5" t="s">
        <v>21</v>
      </c>
      <c r="F672" s="5" t="s">
        <v>317</v>
      </c>
      <c r="G672" s="6"/>
      <c r="H672" s="6"/>
      <c r="I672" s="6"/>
      <c r="J672" s="6"/>
      <c r="K672" s="6"/>
      <c r="L672" s="4">
        <f ca="1">_xll.DBRW($B$1,$B$2,$B$7,$B$3,$B$4,$B$5,$F672,$B$6,L$10,$A672,$B672)</f>
        <v>0</v>
      </c>
      <c r="M672" s="4">
        <f ca="1">_xll.DBRW($B$1,$B$2,$B$7,$B$3,$B$4,$B$5,$F672,$B$6,M$10,$A672,$B672)</f>
        <v>0</v>
      </c>
      <c r="N672" s="4">
        <f ca="1">_xll.DBRW($B$1,$B$2,$B$7,$B$3,$B$4,$B$5,$F672,$B$6,N$10,$A672,$B672)</f>
        <v>0</v>
      </c>
      <c r="O672" s="4">
        <f ca="1">_xll.DBRW($B$1,$B$2,$B$7,$B$3,$B$4,$B$5,$F672,$B$6,O$10,$A672,$B672)</f>
        <v>0</v>
      </c>
      <c r="P672" s="4">
        <f ca="1">_xll.DBRW($B$1,$B$2,$B$7,$B$3,$B$4,$B$5,$F672,$B$6,P$10,$A672,$B672)</f>
        <v>0</v>
      </c>
      <c r="Q672" s="4">
        <f ca="1">_xll.DBRW($B$1,$B$2,$B$7,$B$3,$B$4,$B$5,$F672,$B$6,Q$10,$A672,$B672)</f>
        <v>5</v>
      </c>
      <c r="R672" s="4">
        <f ca="1">_xll.DBRW($B$1,$B$2,$B$7,$B$3,$B$4,$B$5,$F672,$B$6,R$10,$A672,$B672)</f>
        <v>30</v>
      </c>
      <c r="S672" s="4">
        <f ca="1">_xll.DBRW($B$1,$B$2,$B$7,$B$3,$B$4,$B$5,$F672,$B$6,S$10,$A672,$B672)</f>
        <v>31</v>
      </c>
      <c r="T672" s="4">
        <f ca="1">_xll.DBRW($B$1,$B$2,$B$7,$B$3,$B$4,$B$5,$F672,$B$6,T$10,$A672,$B672)</f>
        <v>30</v>
      </c>
      <c r="U672" s="4">
        <f ca="1">_xll.DBRW($B$1,$B$2,$B$7,$B$3,$B$4,$B$5,$F672,$B$6,U$10,$A672,$B672)</f>
        <v>28</v>
      </c>
      <c r="V672" s="4">
        <f ca="1">_xll.DBRW($B$1,$B$2,$B$7,$B$3,$B$4,$B$5,$F672,$B$6,V$10,$A672,$B672)</f>
        <v>29</v>
      </c>
      <c r="W672" s="4">
        <f ca="1">_xll.DBRW($B$1,$B$2,$B$7,$B$3,$B$4,$B$5,$F672,$B$6,W$10,$A672,$B672)</f>
        <v>0</v>
      </c>
      <c r="X672" s="4">
        <f ca="1">_xll.DBRW($B$1,$B$2,$B$7,$B$3,$B$4,$B$5,$F672,$B$6,X$10,$A672,$B672)</f>
        <v>0</v>
      </c>
      <c r="Y672" s="4">
        <f ca="1">_xll.DBRW($B$1,$B$2,$B$7,$B$3,$B$4,$B$5,$F672,$B$6,Y$10,$A672,$B672)</f>
        <v>0</v>
      </c>
      <c r="Z672" s="4">
        <f ca="1">_xll.DBRW($B$1,$B$2,$B$7,$B$3,$B$4,$B$5,$F672,$B$6,Z$10,$A672,$B672)</f>
        <v>0</v>
      </c>
      <c r="AA672" s="4">
        <f ca="1">_xll.DBRW($B$1,$B$2,$B$7,$B$3,$B$4,$B$5,$F672,$B$6,AA$10,$A672,$B672)</f>
        <v>0</v>
      </c>
      <c r="AB672" s="4">
        <f ca="1">_xll.DBRW($B$1,$B$2,$B$7,$B$3,$B$4,$B$5,$F672,$B$6,AB$10,$A672,$B672)</f>
        <v>0</v>
      </c>
      <c r="AC672" s="4">
        <f ca="1">_xll.DBRW($B$1,$B$2,$B$7,$B$3,$B$4,$B$5,$F672,$B$6,AC$10,$A672,$B672)</f>
        <v>5</v>
      </c>
      <c r="AD672" s="4">
        <f ca="1">_xll.DBRW($B$1,$B$2,$B$7,$B$3,$B$4,$B$5,$F672,$B$6,AD$10,$A672,$B672)</f>
        <v>30</v>
      </c>
      <c r="AE672" s="4">
        <f ca="1">_xll.DBRW($B$1,$B$2,$B$7,$B$3,$B$4,$B$5,$F672,$B$6,AE$10,$A672,$B672)</f>
        <v>29</v>
      </c>
    </row>
    <row r="673" spans="1:31">
      <c r="A673" s="1" t="s">
        <v>150</v>
      </c>
      <c r="B673" s="5" t="s">
        <v>287</v>
      </c>
      <c r="C673" s="5" t="s">
        <v>288</v>
      </c>
      <c r="D673" s="5" t="s">
        <v>21</v>
      </c>
      <c r="E673" s="5" t="s">
        <v>289</v>
      </c>
      <c r="F673" s="5" t="s">
        <v>317</v>
      </c>
      <c r="G673" s="6"/>
      <c r="H673" s="6"/>
      <c r="I673" s="6"/>
      <c r="J673" s="6"/>
      <c r="K673" s="6"/>
      <c r="L673" s="4">
        <f ca="1">_xll.DBRW($B$1,$B$2,$B$7,$B$3,$B$4,$B$5,$F673,$B$6,L$10,$A673,$B673)</f>
        <v>0</v>
      </c>
      <c r="M673" s="4">
        <f ca="1">_xll.DBRW($B$1,$B$2,$B$7,$B$3,$B$4,$B$5,$F673,$B$6,M$10,$A673,$B673)</f>
        <v>0</v>
      </c>
      <c r="N673" s="4">
        <f ca="1">_xll.DBRW($B$1,$B$2,$B$7,$B$3,$B$4,$B$5,$F673,$B$6,N$10,$A673,$B673)</f>
        <v>0</v>
      </c>
      <c r="O673" s="4">
        <f ca="1">_xll.DBRW($B$1,$B$2,$B$7,$B$3,$B$4,$B$5,$F673,$B$6,O$10,$A673,$B673)</f>
        <v>0</v>
      </c>
      <c r="P673" s="4">
        <f ca="1">_xll.DBRW($B$1,$B$2,$B$7,$B$3,$B$4,$B$5,$F673,$B$6,P$10,$A673,$B673)</f>
        <v>0</v>
      </c>
      <c r="Q673" s="4">
        <f ca="1">_xll.DBRW($B$1,$B$2,$B$7,$B$3,$B$4,$B$5,$F673,$B$6,Q$10,$A673,$B673)</f>
        <v>1</v>
      </c>
      <c r="R673" s="4">
        <f ca="1">_xll.DBRW($B$1,$B$2,$B$7,$B$3,$B$4,$B$5,$F673,$B$6,R$10,$A673,$B673)</f>
        <v>0</v>
      </c>
      <c r="S673" s="4">
        <f ca="1">_xll.DBRW($B$1,$B$2,$B$7,$B$3,$B$4,$B$5,$F673,$B$6,S$10,$A673,$B673)</f>
        <v>0</v>
      </c>
      <c r="T673" s="4">
        <f ca="1">_xll.DBRW($B$1,$B$2,$B$7,$B$3,$B$4,$B$5,$F673,$B$6,T$10,$A673,$B673)</f>
        <v>31</v>
      </c>
      <c r="U673" s="4">
        <f ca="1">_xll.DBRW($B$1,$B$2,$B$7,$B$3,$B$4,$B$5,$F673,$B$6,U$10,$A673,$B673)</f>
        <v>28</v>
      </c>
      <c r="V673" s="4">
        <f ca="1">_xll.DBRW($B$1,$B$2,$B$7,$B$3,$B$4,$B$5,$F673,$B$6,V$10,$A673,$B673)</f>
        <v>29</v>
      </c>
      <c r="W673" s="4">
        <f ca="1">_xll.DBRW($B$1,$B$2,$B$7,$B$3,$B$4,$B$5,$F673,$B$6,W$10,$A673,$B673)</f>
        <v>0</v>
      </c>
      <c r="X673" s="4">
        <f ca="1">_xll.DBRW($B$1,$B$2,$B$7,$B$3,$B$4,$B$5,$F673,$B$6,X$10,$A673,$B673)</f>
        <v>0</v>
      </c>
      <c r="Y673" s="4">
        <f ca="1">_xll.DBRW($B$1,$B$2,$B$7,$B$3,$B$4,$B$5,$F673,$B$6,Y$10,$A673,$B673)</f>
        <v>0</v>
      </c>
      <c r="Z673" s="4">
        <f ca="1">_xll.DBRW($B$1,$B$2,$B$7,$B$3,$B$4,$B$5,$F673,$B$6,Z$10,$A673,$B673)</f>
        <v>0</v>
      </c>
      <c r="AA673" s="4">
        <f ca="1">_xll.DBRW($B$1,$B$2,$B$7,$B$3,$B$4,$B$5,$F673,$B$6,AA$10,$A673,$B673)</f>
        <v>0</v>
      </c>
      <c r="AB673" s="4">
        <f ca="1">_xll.DBRW($B$1,$B$2,$B$7,$B$3,$B$4,$B$5,$F673,$B$6,AB$10,$A673,$B673)</f>
        <v>0</v>
      </c>
      <c r="AC673" s="4">
        <f ca="1">_xll.DBRW($B$1,$B$2,$B$7,$B$3,$B$4,$B$5,$F673,$B$6,AC$10,$A673,$B673)</f>
        <v>6</v>
      </c>
      <c r="AD673" s="4">
        <f ca="1">_xll.DBRW($B$1,$B$2,$B$7,$B$3,$B$4,$B$5,$F673,$B$6,AD$10,$A673,$B673)</f>
        <v>30</v>
      </c>
      <c r="AE673" s="4">
        <f ca="1">_xll.DBRW($B$1,$B$2,$B$7,$B$3,$B$4,$B$5,$F673,$B$6,AE$10,$A673,$B673)</f>
        <v>31</v>
      </c>
    </row>
    <row r="674" spans="1:31">
      <c r="A674" s="1" t="s">
        <v>150</v>
      </c>
      <c r="B674" s="5" t="s">
        <v>290</v>
      </c>
      <c r="C674" s="5" t="s">
        <v>291</v>
      </c>
      <c r="D674" s="5" t="s">
        <v>289</v>
      </c>
      <c r="E674" s="5" t="s">
        <v>21</v>
      </c>
      <c r="F674" s="5" t="s">
        <v>317</v>
      </c>
      <c r="G674" s="6"/>
      <c r="H674" s="6"/>
      <c r="I674" s="6"/>
      <c r="J674" s="6"/>
      <c r="K674" s="6"/>
      <c r="L674" s="4">
        <f ca="1">_xll.DBRW($B$1,$B$2,$B$7,$B$3,$B$4,$B$5,$F674,$B$6,L$10,$A674,$B674)</f>
        <v>0</v>
      </c>
      <c r="M674" s="4">
        <f ca="1">_xll.DBRW($B$1,$B$2,$B$7,$B$3,$B$4,$B$5,$F674,$B$6,M$10,$A674,$B674)</f>
        <v>0</v>
      </c>
      <c r="N674" s="4">
        <f ca="1">_xll.DBRW($B$1,$B$2,$B$7,$B$3,$B$4,$B$5,$F674,$B$6,N$10,$A674,$B674)</f>
        <v>0</v>
      </c>
      <c r="O674" s="4">
        <f ca="1">_xll.DBRW($B$1,$B$2,$B$7,$B$3,$B$4,$B$5,$F674,$B$6,O$10,$A674,$B674)</f>
        <v>0</v>
      </c>
      <c r="P674" s="4">
        <f ca="1">_xll.DBRW($B$1,$B$2,$B$7,$B$3,$B$4,$B$5,$F674,$B$6,P$10,$A674,$B674)</f>
        <v>0</v>
      </c>
      <c r="Q674" s="4">
        <f ca="1">_xll.DBRW($B$1,$B$2,$B$7,$B$3,$B$4,$B$5,$F674,$B$6,Q$10,$A674,$B674)</f>
        <v>0</v>
      </c>
      <c r="R674" s="4">
        <f ca="1">_xll.DBRW($B$1,$B$2,$B$7,$B$3,$B$4,$B$5,$F674,$B$6,R$10,$A674,$B674)</f>
        <v>0</v>
      </c>
      <c r="S674" s="4">
        <f ca="1">_xll.DBRW($B$1,$B$2,$B$7,$B$3,$B$4,$B$5,$F674,$B$6,S$10,$A674,$B674)</f>
        <v>0</v>
      </c>
      <c r="T674" s="4">
        <f ca="1">_xll.DBRW($B$1,$B$2,$B$7,$B$3,$B$4,$B$5,$F674,$B$6,T$10,$A674,$B674)</f>
        <v>31</v>
      </c>
      <c r="U674" s="4">
        <f ca="1">_xll.DBRW($B$1,$B$2,$B$7,$B$3,$B$4,$B$5,$F674,$B$6,U$10,$A674,$B674)</f>
        <v>28</v>
      </c>
      <c r="V674" s="4">
        <f ca="1">_xll.DBRW($B$1,$B$2,$B$7,$B$3,$B$4,$B$5,$F674,$B$6,V$10,$A674,$B674)</f>
        <v>29</v>
      </c>
      <c r="W674" s="4">
        <f ca="1">_xll.DBRW($B$1,$B$2,$B$7,$B$3,$B$4,$B$5,$F674,$B$6,W$10,$A674,$B674)</f>
        <v>0</v>
      </c>
      <c r="X674" s="4">
        <f ca="1">_xll.DBRW($B$1,$B$2,$B$7,$B$3,$B$4,$B$5,$F674,$B$6,X$10,$A674,$B674)</f>
        <v>0</v>
      </c>
      <c r="Y674" s="4">
        <f ca="1">_xll.DBRW($B$1,$B$2,$B$7,$B$3,$B$4,$B$5,$F674,$B$6,Y$10,$A674,$B674)</f>
        <v>0</v>
      </c>
      <c r="Z674" s="4">
        <f ca="1">_xll.DBRW($B$1,$B$2,$B$7,$B$3,$B$4,$B$5,$F674,$B$6,Z$10,$A674,$B674)</f>
        <v>0</v>
      </c>
      <c r="AA674" s="4">
        <f ca="1">_xll.DBRW($B$1,$B$2,$B$7,$B$3,$B$4,$B$5,$F674,$B$6,AA$10,$A674,$B674)</f>
        <v>0</v>
      </c>
      <c r="AB674" s="4">
        <f ca="1">_xll.DBRW($B$1,$B$2,$B$7,$B$3,$B$4,$B$5,$F674,$B$6,AB$10,$A674,$B674)</f>
        <v>0</v>
      </c>
      <c r="AC674" s="4">
        <f ca="1">_xll.DBRW($B$1,$B$2,$B$7,$B$3,$B$4,$B$5,$F674,$B$6,AC$10,$A674,$B674)</f>
        <v>6</v>
      </c>
      <c r="AD674" s="4">
        <f ca="1">_xll.DBRW($B$1,$B$2,$B$7,$B$3,$B$4,$B$5,$F674,$B$6,AD$10,$A674,$B674)</f>
        <v>30</v>
      </c>
      <c r="AE674" s="4">
        <f ca="1">_xll.DBRW($B$1,$B$2,$B$7,$B$3,$B$4,$B$5,$F674,$B$6,AE$10,$A674,$B674)</f>
        <v>31</v>
      </c>
    </row>
    <row r="675" spans="1:31">
      <c r="A675" s="1" t="s">
        <v>150</v>
      </c>
      <c r="B675" s="5" t="s">
        <v>292</v>
      </c>
      <c r="C675" s="5" t="s">
        <v>293</v>
      </c>
      <c r="D675" s="5" t="s">
        <v>21</v>
      </c>
      <c r="E675" s="5" t="s">
        <v>294</v>
      </c>
      <c r="F675" s="5" t="s">
        <v>317</v>
      </c>
      <c r="G675" s="6"/>
      <c r="H675" s="6"/>
      <c r="I675" s="6"/>
      <c r="J675" s="6"/>
      <c r="K675" s="6"/>
      <c r="L675" s="4">
        <f ca="1">_xll.DBRW($B$1,$B$2,$B$7,$B$3,$B$4,$B$5,$F675,$B$6,L$10,$A675,$B675)</f>
        <v>0</v>
      </c>
      <c r="M675" s="4">
        <f ca="1">_xll.DBRW($B$1,$B$2,$B$7,$B$3,$B$4,$B$5,$F675,$B$6,M$10,$A675,$B675)</f>
        <v>0</v>
      </c>
      <c r="N675" s="4">
        <f ca="1">_xll.DBRW($B$1,$B$2,$B$7,$B$3,$B$4,$B$5,$F675,$B$6,N$10,$A675,$B675)</f>
        <v>0</v>
      </c>
      <c r="O675" s="4">
        <f ca="1">_xll.DBRW($B$1,$B$2,$B$7,$B$3,$B$4,$B$5,$F675,$B$6,O$10,$A675,$B675)</f>
        <v>0</v>
      </c>
      <c r="P675" s="4">
        <f ca="1">_xll.DBRW($B$1,$B$2,$B$7,$B$3,$B$4,$B$5,$F675,$B$6,P$10,$A675,$B675)</f>
        <v>0</v>
      </c>
      <c r="Q675" s="4">
        <f ca="1">_xll.DBRW($B$1,$B$2,$B$7,$B$3,$B$4,$B$5,$F675,$B$6,Q$10,$A675,$B675)</f>
        <v>0</v>
      </c>
      <c r="R675" s="4">
        <f ca="1">_xll.DBRW($B$1,$B$2,$B$7,$B$3,$B$4,$B$5,$F675,$B$6,R$10,$A675,$B675)</f>
        <v>0</v>
      </c>
      <c r="S675" s="4">
        <f ca="1">_xll.DBRW($B$1,$B$2,$B$7,$B$3,$B$4,$B$5,$F675,$B$6,S$10,$A675,$B675)</f>
        <v>0</v>
      </c>
      <c r="T675" s="4">
        <f ca="1">_xll.DBRW($B$1,$B$2,$B$7,$B$3,$B$4,$B$5,$F675,$B$6,T$10,$A675,$B675)</f>
        <v>0</v>
      </c>
      <c r="U675" s="4">
        <f ca="1">_xll.DBRW($B$1,$B$2,$B$7,$B$3,$B$4,$B$5,$F675,$B$6,U$10,$A675,$B675)</f>
        <v>0</v>
      </c>
      <c r="V675" s="4">
        <f ca="1">_xll.DBRW($B$1,$B$2,$B$7,$B$3,$B$4,$B$5,$F675,$B$6,V$10,$A675,$B675)</f>
        <v>0</v>
      </c>
      <c r="W675" s="4">
        <f ca="1">_xll.DBRW($B$1,$B$2,$B$7,$B$3,$B$4,$B$5,$F675,$B$6,W$10,$A675,$B675)</f>
        <v>0</v>
      </c>
      <c r="X675" s="4">
        <f ca="1">_xll.DBRW($B$1,$B$2,$B$7,$B$3,$B$4,$B$5,$F675,$B$6,X$10,$A675,$B675)</f>
        <v>0</v>
      </c>
      <c r="Y675" s="4">
        <f ca="1">_xll.DBRW($B$1,$B$2,$B$7,$B$3,$B$4,$B$5,$F675,$B$6,Y$10,$A675,$B675)</f>
        <v>0</v>
      </c>
      <c r="Z675" s="4">
        <f ca="1">_xll.DBRW($B$1,$B$2,$B$7,$B$3,$B$4,$B$5,$F675,$B$6,Z$10,$A675,$B675)</f>
        <v>0</v>
      </c>
      <c r="AA675" s="4">
        <f ca="1">_xll.DBRW($B$1,$B$2,$B$7,$B$3,$B$4,$B$5,$F675,$B$6,AA$10,$A675,$B675)</f>
        <v>0</v>
      </c>
      <c r="AB675" s="4">
        <f ca="1">_xll.DBRW($B$1,$B$2,$B$7,$B$3,$B$4,$B$5,$F675,$B$6,AB$10,$A675,$B675)</f>
        <v>0</v>
      </c>
      <c r="AC675" s="4">
        <f ca="1">_xll.DBRW($B$1,$B$2,$B$7,$B$3,$B$4,$B$5,$F675,$B$6,AC$10,$A675,$B675)</f>
        <v>0</v>
      </c>
      <c r="AD675" s="4">
        <f ca="1">_xll.DBRW($B$1,$B$2,$B$7,$B$3,$B$4,$B$5,$F675,$B$6,AD$10,$A675,$B675)</f>
        <v>0</v>
      </c>
      <c r="AE675" s="4">
        <f ca="1">_xll.DBRW($B$1,$B$2,$B$7,$B$3,$B$4,$B$5,$F675,$B$6,AE$10,$A675,$B675)</f>
        <v>0</v>
      </c>
    </row>
    <row r="676" spans="1:31">
      <c r="A676" s="1" t="s">
        <v>150</v>
      </c>
      <c r="B676" s="5" t="s">
        <v>295</v>
      </c>
      <c r="C676" s="5" t="s">
        <v>296</v>
      </c>
      <c r="D676" s="5" t="s">
        <v>294</v>
      </c>
      <c r="E676" s="5" t="s">
        <v>21</v>
      </c>
      <c r="F676" s="5" t="s">
        <v>317</v>
      </c>
      <c r="G676" s="6"/>
      <c r="H676" s="6"/>
      <c r="I676" s="6"/>
      <c r="J676" s="6"/>
      <c r="K676" s="6"/>
      <c r="L676" s="4">
        <f ca="1">_xll.DBRW($B$1,$B$2,$B$7,$B$3,$B$4,$B$5,$F676,$B$6,L$10,$A676,$B676)</f>
        <v>0</v>
      </c>
      <c r="M676" s="4">
        <f ca="1">_xll.DBRW($B$1,$B$2,$B$7,$B$3,$B$4,$B$5,$F676,$B$6,M$10,$A676,$B676)</f>
        <v>0</v>
      </c>
      <c r="N676" s="4">
        <f ca="1">_xll.DBRW($B$1,$B$2,$B$7,$B$3,$B$4,$B$5,$F676,$B$6,N$10,$A676,$B676)</f>
        <v>0</v>
      </c>
      <c r="O676" s="4">
        <f ca="1">_xll.DBRW($B$1,$B$2,$B$7,$B$3,$B$4,$B$5,$F676,$B$6,O$10,$A676,$B676)</f>
        <v>0</v>
      </c>
      <c r="P676" s="4">
        <f ca="1">_xll.DBRW($B$1,$B$2,$B$7,$B$3,$B$4,$B$5,$F676,$B$6,P$10,$A676,$B676)</f>
        <v>0</v>
      </c>
      <c r="Q676" s="4">
        <f ca="1">_xll.DBRW($B$1,$B$2,$B$7,$B$3,$B$4,$B$5,$F676,$B$6,Q$10,$A676,$B676)</f>
        <v>0</v>
      </c>
      <c r="R676" s="4">
        <f ca="1">_xll.DBRW($B$1,$B$2,$B$7,$B$3,$B$4,$B$5,$F676,$B$6,R$10,$A676,$B676)</f>
        <v>0</v>
      </c>
      <c r="S676" s="4">
        <f ca="1">_xll.DBRW($B$1,$B$2,$B$7,$B$3,$B$4,$B$5,$F676,$B$6,S$10,$A676,$B676)</f>
        <v>0</v>
      </c>
      <c r="T676" s="4">
        <f ca="1">_xll.DBRW($B$1,$B$2,$B$7,$B$3,$B$4,$B$5,$F676,$B$6,T$10,$A676,$B676)</f>
        <v>0</v>
      </c>
      <c r="U676" s="4">
        <f ca="1">_xll.DBRW($B$1,$B$2,$B$7,$B$3,$B$4,$B$5,$F676,$B$6,U$10,$A676,$B676)</f>
        <v>0</v>
      </c>
      <c r="V676" s="4">
        <f ca="1">_xll.DBRW($B$1,$B$2,$B$7,$B$3,$B$4,$B$5,$F676,$B$6,V$10,$A676,$B676)</f>
        <v>0</v>
      </c>
      <c r="W676" s="4">
        <f ca="1">_xll.DBRW($B$1,$B$2,$B$7,$B$3,$B$4,$B$5,$F676,$B$6,W$10,$A676,$B676)</f>
        <v>0</v>
      </c>
      <c r="X676" s="4">
        <f ca="1">_xll.DBRW($B$1,$B$2,$B$7,$B$3,$B$4,$B$5,$F676,$B$6,X$10,$A676,$B676)</f>
        <v>0</v>
      </c>
      <c r="Y676" s="4">
        <f ca="1">_xll.DBRW($B$1,$B$2,$B$7,$B$3,$B$4,$B$5,$F676,$B$6,Y$10,$A676,$B676)</f>
        <v>0</v>
      </c>
      <c r="Z676" s="4">
        <f ca="1">_xll.DBRW($B$1,$B$2,$B$7,$B$3,$B$4,$B$5,$F676,$B$6,Z$10,$A676,$B676)</f>
        <v>0</v>
      </c>
      <c r="AA676" s="4">
        <f ca="1">_xll.DBRW($B$1,$B$2,$B$7,$B$3,$B$4,$B$5,$F676,$B$6,AA$10,$A676,$B676)</f>
        <v>0</v>
      </c>
      <c r="AB676" s="4">
        <f ca="1">_xll.DBRW($B$1,$B$2,$B$7,$B$3,$B$4,$B$5,$F676,$B$6,AB$10,$A676,$B676)</f>
        <v>0</v>
      </c>
      <c r="AC676" s="4">
        <f ca="1">_xll.DBRW($B$1,$B$2,$B$7,$B$3,$B$4,$B$5,$F676,$B$6,AC$10,$A676,$B676)</f>
        <v>0</v>
      </c>
      <c r="AD676" s="4">
        <f ca="1">_xll.DBRW($B$1,$B$2,$B$7,$B$3,$B$4,$B$5,$F676,$B$6,AD$10,$A676,$B676)</f>
        <v>0</v>
      </c>
      <c r="AE676" s="4">
        <f ca="1">_xll.DBRW($B$1,$B$2,$B$7,$B$3,$B$4,$B$5,$F676,$B$6,AE$10,$A676,$B676)</f>
        <v>0</v>
      </c>
    </row>
    <row r="677" spans="1:31">
      <c r="A677" s="1" t="s">
        <v>150</v>
      </c>
      <c r="B677" s="5" t="s">
        <v>297</v>
      </c>
      <c r="C677" s="5" t="s">
        <v>298</v>
      </c>
      <c r="D677" s="5" t="s">
        <v>21</v>
      </c>
      <c r="E677" s="5" t="s">
        <v>299</v>
      </c>
      <c r="F677" s="5" t="s">
        <v>317</v>
      </c>
      <c r="G677" s="6"/>
      <c r="H677" s="6"/>
      <c r="I677" s="6"/>
      <c r="J677" s="6"/>
      <c r="K677" s="6"/>
      <c r="L677" s="4">
        <f ca="1">_xll.DBRW($B$1,$B$2,$B$7,$B$3,$B$4,$B$5,$F677,$B$6,L$10,$A677,$B677)</f>
        <v>31</v>
      </c>
      <c r="M677" s="4">
        <f ca="1">_xll.DBRW($B$1,$B$2,$B$7,$B$3,$B$4,$B$5,$F677,$B$6,M$10,$A677,$B677)</f>
        <v>30</v>
      </c>
      <c r="N677" s="4">
        <f ca="1">_xll.DBRW($B$1,$B$2,$B$7,$B$3,$B$4,$B$5,$F677,$B$6,N$10,$A677,$B677)</f>
        <v>31</v>
      </c>
      <c r="O677" s="4">
        <f ca="1">_xll.DBRW($B$1,$B$2,$B$7,$B$3,$B$4,$B$5,$F677,$B$6,O$10,$A677,$B677)</f>
        <v>31</v>
      </c>
      <c r="P677" s="4">
        <f ca="1">_xll.DBRW($B$1,$B$2,$B$7,$B$3,$B$4,$B$5,$F677,$B$6,P$10,$A677,$B677)</f>
        <v>30</v>
      </c>
      <c r="Q677" s="4">
        <f ca="1">_xll.DBRW($B$1,$B$2,$B$7,$B$3,$B$4,$B$5,$F677,$B$6,Q$10,$A677,$B677)</f>
        <v>31</v>
      </c>
      <c r="R677" s="4">
        <f ca="1">_xll.DBRW($B$1,$B$2,$B$7,$B$3,$B$4,$B$5,$F677,$B$6,R$10,$A677,$B677)</f>
        <v>30</v>
      </c>
      <c r="S677" s="4">
        <f ca="1">_xll.DBRW($B$1,$B$2,$B$7,$B$3,$B$4,$B$5,$F677,$B$6,S$10,$A677,$B677)</f>
        <v>31</v>
      </c>
      <c r="T677" s="4">
        <f ca="1">_xll.DBRW($B$1,$B$2,$B$7,$B$3,$B$4,$B$5,$F677,$B$6,T$10,$A677,$B677)</f>
        <v>31</v>
      </c>
      <c r="U677" s="4">
        <f ca="1">_xll.DBRW($B$1,$B$2,$B$7,$B$3,$B$4,$B$5,$F677,$B$6,U$10,$A677,$B677)</f>
        <v>28</v>
      </c>
      <c r="V677" s="4">
        <f ca="1">_xll.DBRW($B$1,$B$2,$B$7,$B$3,$B$4,$B$5,$F677,$B$6,V$10,$A677,$B677)</f>
        <v>31</v>
      </c>
      <c r="W677" s="4">
        <f ca="1">_xll.DBRW($B$1,$B$2,$B$7,$B$3,$B$4,$B$5,$F677,$B$6,W$10,$A677,$B677)</f>
        <v>30</v>
      </c>
      <c r="X677" s="4">
        <f ca="1">_xll.DBRW($B$1,$B$2,$B$7,$B$3,$B$4,$B$5,$F677,$B$6,X$10,$A677,$B677)</f>
        <v>31</v>
      </c>
      <c r="Y677" s="4">
        <f ca="1">_xll.DBRW($B$1,$B$2,$B$7,$B$3,$B$4,$B$5,$F677,$B$6,Y$10,$A677,$B677)</f>
        <v>30</v>
      </c>
      <c r="Z677" s="4">
        <f ca="1">_xll.DBRW($B$1,$B$2,$B$7,$B$3,$B$4,$B$5,$F677,$B$6,Z$10,$A677,$B677)</f>
        <v>31</v>
      </c>
      <c r="AA677" s="4">
        <f ca="1">_xll.DBRW($B$1,$B$2,$B$7,$B$3,$B$4,$B$5,$F677,$B$6,AA$10,$A677,$B677)</f>
        <v>31</v>
      </c>
      <c r="AB677" s="4">
        <f ca="1">_xll.DBRW($B$1,$B$2,$B$7,$B$3,$B$4,$B$5,$F677,$B$6,AB$10,$A677,$B677)</f>
        <v>30</v>
      </c>
      <c r="AC677" s="4">
        <f ca="1">_xll.DBRW($B$1,$B$2,$B$7,$B$3,$B$4,$B$5,$F677,$B$6,AC$10,$A677,$B677)</f>
        <v>31</v>
      </c>
      <c r="AD677" s="4">
        <f ca="1">_xll.DBRW($B$1,$B$2,$B$7,$B$3,$B$4,$B$5,$F677,$B$6,AD$10,$A677,$B677)</f>
        <v>30</v>
      </c>
      <c r="AE677" s="4">
        <f ca="1">_xll.DBRW($B$1,$B$2,$B$7,$B$3,$B$4,$B$5,$F677,$B$6,AE$10,$A677,$B677)</f>
        <v>31</v>
      </c>
    </row>
    <row r="678" spans="1:31">
      <c r="A678" s="1" t="s">
        <v>150</v>
      </c>
      <c r="B678" s="5" t="s">
        <v>300</v>
      </c>
      <c r="C678" s="5" t="s">
        <v>301</v>
      </c>
      <c r="D678" s="5" t="s">
        <v>299</v>
      </c>
      <c r="E678" s="5" t="s">
        <v>21</v>
      </c>
      <c r="F678" s="5" t="s">
        <v>317</v>
      </c>
      <c r="G678" s="6"/>
      <c r="H678" s="6"/>
      <c r="I678" s="6"/>
      <c r="J678" s="6"/>
      <c r="K678" s="6"/>
      <c r="L678" s="4">
        <f ca="1">_xll.DBRW($B$1,$B$2,$B$7,$B$3,$B$4,$B$5,$F678,$B$6,L$10,$A678,$B678)</f>
        <v>31</v>
      </c>
      <c r="M678" s="4">
        <f ca="1">_xll.DBRW($B$1,$B$2,$B$7,$B$3,$B$4,$B$5,$F678,$B$6,M$10,$A678,$B678)</f>
        <v>30</v>
      </c>
      <c r="N678" s="4">
        <f ca="1">_xll.DBRW($B$1,$B$2,$B$7,$B$3,$B$4,$B$5,$F678,$B$6,N$10,$A678,$B678)</f>
        <v>31</v>
      </c>
      <c r="O678" s="4">
        <f ca="1">_xll.DBRW($B$1,$B$2,$B$7,$B$3,$B$4,$B$5,$F678,$B$6,O$10,$A678,$B678)</f>
        <v>31</v>
      </c>
      <c r="P678" s="4">
        <f ca="1">_xll.DBRW($B$1,$B$2,$B$7,$B$3,$B$4,$B$5,$F678,$B$6,P$10,$A678,$B678)</f>
        <v>30</v>
      </c>
      <c r="Q678" s="4">
        <f ca="1">_xll.DBRW($B$1,$B$2,$B$7,$B$3,$B$4,$B$5,$F678,$B$6,Q$10,$A678,$B678)</f>
        <v>31</v>
      </c>
      <c r="R678" s="4">
        <f ca="1">_xll.DBRW($B$1,$B$2,$B$7,$B$3,$B$4,$B$5,$F678,$B$6,R$10,$A678,$B678)</f>
        <v>30</v>
      </c>
      <c r="S678" s="4">
        <f ca="1">_xll.DBRW($B$1,$B$2,$B$7,$B$3,$B$4,$B$5,$F678,$B$6,S$10,$A678,$B678)</f>
        <v>31</v>
      </c>
      <c r="T678" s="4">
        <f ca="1">_xll.DBRW($B$1,$B$2,$B$7,$B$3,$B$4,$B$5,$F678,$B$6,T$10,$A678,$B678)</f>
        <v>31</v>
      </c>
      <c r="U678" s="4">
        <f ca="1">_xll.DBRW($B$1,$B$2,$B$7,$B$3,$B$4,$B$5,$F678,$B$6,U$10,$A678,$B678)</f>
        <v>28</v>
      </c>
      <c r="V678" s="4">
        <f ca="1">_xll.DBRW($B$1,$B$2,$B$7,$B$3,$B$4,$B$5,$F678,$B$6,V$10,$A678,$B678)</f>
        <v>31</v>
      </c>
      <c r="W678" s="4">
        <f ca="1">_xll.DBRW($B$1,$B$2,$B$7,$B$3,$B$4,$B$5,$F678,$B$6,W$10,$A678,$B678)</f>
        <v>30</v>
      </c>
      <c r="X678" s="4">
        <f ca="1">_xll.DBRW($B$1,$B$2,$B$7,$B$3,$B$4,$B$5,$F678,$B$6,X$10,$A678,$B678)</f>
        <v>31</v>
      </c>
      <c r="Y678" s="4">
        <f ca="1">_xll.DBRW($B$1,$B$2,$B$7,$B$3,$B$4,$B$5,$F678,$B$6,Y$10,$A678,$B678)</f>
        <v>30</v>
      </c>
      <c r="Z678" s="4">
        <f ca="1">_xll.DBRW($B$1,$B$2,$B$7,$B$3,$B$4,$B$5,$F678,$B$6,Z$10,$A678,$B678)</f>
        <v>31</v>
      </c>
      <c r="AA678" s="4">
        <f ca="1">_xll.DBRW($B$1,$B$2,$B$7,$B$3,$B$4,$B$5,$F678,$B$6,AA$10,$A678,$B678)</f>
        <v>31</v>
      </c>
      <c r="AB678" s="4">
        <f ca="1">_xll.DBRW($B$1,$B$2,$B$7,$B$3,$B$4,$B$5,$F678,$B$6,AB$10,$A678,$B678)</f>
        <v>30</v>
      </c>
      <c r="AC678" s="4">
        <f ca="1">_xll.DBRW($B$1,$B$2,$B$7,$B$3,$B$4,$B$5,$F678,$B$6,AC$10,$A678,$B678)</f>
        <v>31</v>
      </c>
      <c r="AD678" s="4">
        <f ca="1">_xll.DBRW($B$1,$B$2,$B$7,$B$3,$B$4,$B$5,$F678,$B$6,AD$10,$A678,$B678)</f>
        <v>30</v>
      </c>
      <c r="AE678" s="4">
        <f ca="1">_xll.DBRW($B$1,$B$2,$B$7,$B$3,$B$4,$B$5,$F678,$B$6,AE$10,$A678,$B678)</f>
        <v>31</v>
      </c>
    </row>
    <row r="679" spans="1:31">
      <c r="A679" s="1" t="s">
        <v>150</v>
      </c>
      <c r="B679" s="5" t="s">
        <v>302</v>
      </c>
      <c r="C679" s="5" t="s">
        <v>303</v>
      </c>
      <c r="D679" s="5" t="s">
        <v>21</v>
      </c>
      <c r="E679" s="5" t="s">
        <v>304</v>
      </c>
      <c r="F679" s="5" t="s">
        <v>317</v>
      </c>
      <c r="G679" s="6"/>
      <c r="H679" s="6"/>
      <c r="I679" s="6"/>
      <c r="J679" s="6"/>
      <c r="K679" s="6"/>
      <c r="L679" s="4">
        <f ca="1">_xll.DBRW($B$1,$B$2,$B$7,$B$3,$B$4,$B$5,$F679,$B$6,L$10,$A679,$B679)</f>
        <v>0</v>
      </c>
      <c r="M679" s="4">
        <f ca="1">_xll.DBRW($B$1,$B$2,$B$7,$B$3,$B$4,$B$5,$F679,$B$6,M$10,$A679,$B679)</f>
        <v>0</v>
      </c>
      <c r="N679" s="4">
        <f ca="1">_xll.DBRW($B$1,$B$2,$B$7,$B$3,$B$4,$B$5,$F679,$B$6,N$10,$A679,$B679)</f>
        <v>0</v>
      </c>
      <c r="O679" s="4">
        <f ca="1">_xll.DBRW($B$1,$B$2,$B$7,$B$3,$B$4,$B$5,$F679,$B$6,O$10,$A679,$B679)</f>
        <v>0</v>
      </c>
      <c r="P679" s="4">
        <f ca="1">_xll.DBRW($B$1,$B$2,$B$7,$B$3,$B$4,$B$5,$F679,$B$6,P$10,$A679,$B679)</f>
        <v>0</v>
      </c>
      <c r="Q679" s="4">
        <f ca="1">_xll.DBRW($B$1,$B$2,$B$7,$B$3,$B$4,$B$5,$F679,$B$6,Q$10,$A679,$B679)</f>
        <v>4</v>
      </c>
      <c r="R679" s="4">
        <f ca="1">_xll.DBRW($B$1,$B$2,$B$7,$B$3,$B$4,$B$5,$F679,$B$6,R$10,$A679,$B679)</f>
        <v>16</v>
      </c>
      <c r="S679" s="4">
        <f ca="1">_xll.DBRW($B$1,$B$2,$B$7,$B$3,$B$4,$B$5,$F679,$B$6,S$10,$A679,$B679)</f>
        <v>19</v>
      </c>
      <c r="T679" s="4">
        <f ca="1">_xll.DBRW($B$1,$B$2,$B$7,$B$3,$B$4,$B$5,$F679,$B$6,T$10,$A679,$B679)</f>
        <v>22</v>
      </c>
      <c r="U679" s="4">
        <f ca="1">_xll.DBRW($B$1,$B$2,$B$7,$B$3,$B$4,$B$5,$F679,$B$6,U$10,$A679,$B679)</f>
        <v>20</v>
      </c>
      <c r="V679" s="4">
        <f ca="1">_xll.DBRW($B$1,$B$2,$B$7,$B$3,$B$4,$B$5,$F679,$B$6,V$10,$A679,$B679)</f>
        <v>20</v>
      </c>
      <c r="W679" s="4">
        <f ca="1">_xll.DBRW($B$1,$B$2,$B$7,$B$3,$B$4,$B$5,$F679,$B$6,W$10,$A679,$B679)</f>
        <v>0</v>
      </c>
      <c r="X679" s="4">
        <f ca="1">_xll.DBRW($B$1,$B$2,$B$7,$B$3,$B$4,$B$5,$F679,$B$6,X$10,$A679,$B679)</f>
        <v>0</v>
      </c>
      <c r="Y679" s="4">
        <f ca="1">_xll.DBRW($B$1,$B$2,$B$7,$B$3,$B$4,$B$5,$F679,$B$6,Y$10,$A679,$B679)</f>
        <v>0</v>
      </c>
      <c r="Z679" s="4">
        <f ca="1">_xll.DBRW($B$1,$B$2,$B$7,$B$3,$B$4,$B$5,$F679,$B$6,Z$10,$A679,$B679)</f>
        <v>0</v>
      </c>
      <c r="AA679" s="4">
        <f ca="1">_xll.DBRW($B$1,$B$2,$B$7,$B$3,$B$4,$B$5,$F679,$B$6,AA$10,$A679,$B679)</f>
        <v>0</v>
      </c>
      <c r="AB679" s="4">
        <f ca="1">_xll.DBRW($B$1,$B$2,$B$7,$B$3,$B$4,$B$5,$F679,$B$6,AB$10,$A679,$B679)</f>
        <v>0</v>
      </c>
      <c r="AC679" s="4">
        <f ca="1">_xll.DBRW($B$1,$B$2,$B$7,$B$3,$B$4,$B$5,$F679,$B$6,AC$10,$A679,$B679)</f>
        <v>5</v>
      </c>
      <c r="AD679" s="4">
        <f ca="1">_xll.DBRW($B$1,$B$2,$B$7,$B$3,$B$4,$B$5,$F679,$B$6,AD$10,$A679,$B679)</f>
        <v>21</v>
      </c>
      <c r="AE679" s="4">
        <f ca="1">_xll.DBRW($B$1,$B$2,$B$7,$B$3,$B$4,$B$5,$F679,$B$6,AE$10,$A679,$B679)</f>
        <v>23</v>
      </c>
    </row>
    <row r="680" spans="1:31">
      <c r="A680" s="1" t="s">
        <v>150</v>
      </c>
      <c r="B680" s="5" t="s">
        <v>305</v>
      </c>
      <c r="C680" s="5" t="s">
        <v>306</v>
      </c>
      <c r="D680" s="5" t="s">
        <v>304</v>
      </c>
      <c r="E680" s="5" t="s">
        <v>21</v>
      </c>
      <c r="F680" s="5" t="s">
        <v>317</v>
      </c>
      <c r="G680" s="6"/>
      <c r="H680" s="6"/>
      <c r="I680" s="6"/>
      <c r="J680" s="6"/>
      <c r="K680" s="6"/>
      <c r="L680" s="4">
        <f ca="1">_xll.DBRW($B$1,$B$2,$B$7,$B$3,$B$4,$B$5,$F680,$B$6,L$10,$A680,$B680)</f>
        <v>0</v>
      </c>
      <c r="M680" s="4">
        <f ca="1">_xll.DBRW($B$1,$B$2,$B$7,$B$3,$B$4,$B$5,$F680,$B$6,M$10,$A680,$B680)</f>
        <v>0</v>
      </c>
      <c r="N680" s="4">
        <f ca="1">_xll.DBRW($B$1,$B$2,$B$7,$B$3,$B$4,$B$5,$F680,$B$6,N$10,$A680,$B680)</f>
        <v>0</v>
      </c>
      <c r="O680" s="4">
        <f ca="1">_xll.DBRW($B$1,$B$2,$B$7,$B$3,$B$4,$B$5,$F680,$B$6,O$10,$A680,$B680)</f>
        <v>0</v>
      </c>
      <c r="P680" s="4">
        <f ca="1">_xll.DBRW($B$1,$B$2,$B$7,$B$3,$B$4,$B$5,$F680,$B$6,P$10,$A680,$B680)</f>
        <v>0</v>
      </c>
      <c r="Q680" s="4">
        <f ca="1">_xll.DBRW($B$1,$B$2,$B$7,$B$3,$B$4,$B$5,$F680,$B$6,Q$10,$A680,$B680)</f>
        <v>4</v>
      </c>
      <c r="R680" s="4">
        <f ca="1">_xll.DBRW($B$1,$B$2,$B$7,$B$3,$B$4,$B$5,$F680,$B$6,R$10,$A680,$B680)</f>
        <v>16</v>
      </c>
      <c r="S680" s="4">
        <f ca="1">_xll.DBRW($B$1,$B$2,$B$7,$B$3,$B$4,$B$5,$F680,$B$6,S$10,$A680,$B680)</f>
        <v>18</v>
      </c>
      <c r="T680" s="4">
        <f ca="1">_xll.DBRW($B$1,$B$2,$B$7,$B$3,$B$4,$B$5,$F680,$B$6,T$10,$A680,$B680)</f>
        <v>23</v>
      </c>
      <c r="U680" s="4">
        <f ca="1">_xll.DBRW($B$1,$B$2,$B$7,$B$3,$B$4,$B$5,$F680,$B$6,U$10,$A680,$B680)</f>
        <v>20</v>
      </c>
      <c r="V680" s="4">
        <f ca="1">_xll.DBRW($B$1,$B$2,$B$7,$B$3,$B$4,$B$5,$F680,$B$6,V$10,$A680,$B680)</f>
        <v>20</v>
      </c>
      <c r="W680" s="4">
        <f ca="1">_xll.DBRW($B$1,$B$2,$B$7,$B$3,$B$4,$B$5,$F680,$B$6,W$10,$A680,$B680)</f>
        <v>0</v>
      </c>
      <c r="X680" s="4">
        <f ca="1">_xll.DBRW($B$1,$B$2,$B$7,$B$3,$B$4,$B$5,$F680,$B$6,X$10,$A680,$B680)</f>
        <v>0</v>
      </c>
      <c r="Y680" s="4">
        <f ca="1">_xll.DBRW($B$1,$B$2,$B$7,$B$3,$B$4,$B$5,$F680,$B$6,Y$10,$A680,$B680)</f>
        <v>0</v>
      </c>
      <c r="Z680" s="4">
        <f ca="1">_xll.DBRW($B$1,$B$2,$B$7,$B$3,$B$4,$B$5,$F680,$B$6,Z$10,$A680,$B680)</f>
        <v>0</v>
      </c>
      <c r="AA680" s="4">
        <f ca="1">_xll.DBRW($B$1,$B$2,$B$7,$B$3,$B$4,$B$5,$F680,$B$6,AA$10,$A680,$B680)</f>
        <v>0</v>
      </c>
      <c r="AB680" s="4">
        <f ca="1">_xll.DBRW($B$1,$B$2,$B$7,$B$3,$B$4,$B$5,$F680,$B$6,AB$10,$A680,$B680)</f>
        <v>0</v>
      </c>
      <c r="AC680" s="4">
        <f ca="1">_xll.DBRW($B$1,$B$2,$B$7,$B$3,$B$4,$B$5,$F680,$B$6,AC$10,$A680,$B680)</f>
        <v>5</v>
      </c>
      <c r="AD680" s="4">
        <f ca="1">_xll.DBRW($B$1,$B$2,$B$7,$B$3,$B$4,$B$5,$F680,$B$6,AD$10,$A680,$B680)</f>
        <v>20</v>
      </c>
      <c r="AE680" s="4">
        <f ca="1">_xll.DBRW($B$1,$B$2,$B$7,$B$3,$B$4,$B$5,$F680,$B$6,AE$10,$A680,$B680)</f>
        <v>23</v>
      </c>
    </row>
    <row r="681" spans="1:31">
      <c r="A681" s="1" t="s">
        <v>150</v>
      </c>
      <c r="B681" s="5" t="s">
        <v>307</v>
      </c>
      <c r="C681" s="5" t="s">
        <v>308</v>
      </c>
      <c r="D681" s="5" t="s">
        <v>21</v>
      </c>
      <c r="E681" s="5" t="s">
        <v>309</v>
      </c>
      <c r="F681" s="5" t="s">
        <v>317</v>
      </c>
      <c r="G681" s="6"/>
      <c r="H681" s="6"/>
      <c r="I681" s="6"/>
      <c r="J681" s="6"/>
      <c r="K681" s="6"/>
      <c r="L681" s="4">
        <f ca="1">_xll.DBRW($B$1,$B$2,$B$7,$B$3,$B$4,$B$5,$F681,$B$6,L$10,$A681,$B681)</f>
        <v>0</v>
      </c>
      <c r="M681" s="4">
        <f ca="1">_xll.DBRW($B$1,$B$2,$B$7,$B$3,$B$4,$B$5,$F681,$B$6,M$10,$A681,$B681)</f>
        <v>0</v>
      </c>
      <c r="N681" s="4">
        <f ca="1">_xll.DBRW($B$1,$B$2,$B$7,$B$3,$B$4,$B$5,$F681,$B$6,N$10,$A681,$B681)</f>
        <v>0</v>
      </c>
      <c r="O681" s="4">
        <f ca="1">_xll.DBRW($B$1,$B$2,$B$7,$B$3,$B$4,$B$5,$F681,$B$6,O$10,$A681,$B681)</f>
        <v>0</v>
      </c>
      <c r="P681" s="4">
        <f ca="1">_xll.DBRW($B$1,$B$2,$B$7,$B$3,$B$4,$B$5,$F681,$B$6,P$10,$A681,$B681)</f>
        <v>0</v>
      </c>
      <c r="Q681" s="4">
        <f ca="1">_xll.DBRW($B$1,$B$2,$B$7,$B$3,$B$4,$B$5,$F681,$B$6,Q$10,$A681,$B681)</f>
        <v>6</v>
      </c>
      <c r="R681" s="4">
        <f ca="1">_xll.DBRW($B$1,$B$2,$B$7,$B$3,$B$4,$B$5,$F681,$B$6,R$10,$A681,$B681)</f>
        <v>30</v>
      </c>
      <c r="S681" s="4">
        <f ca="1">_xll.DBRW($B$1,$B$2,$B$7,$B$3,$B$4,$B$5,$F681,$B$6,S$10,$A681,$B681)</f>
        <v>31</v>
      </c>
      <c r="T681" s="4">
        <f ca="1">_xll.DBRW($B$1,$B$2,$B$7,$B$3,$B$4,$B$5,$F681,$B$6,T$10,$A681,$B681)</f>
        <v>31</v>
      </c>
      <c r="U681" s="4">
        <f ca="1">_xll.DBRW($B$1,$B$2,$B$7,$B$3,$B$4,$B$5,$F681,$B$6,U$10,$A681,$B681)</f>
        <v>28</v>
      </c>
      <c r="V681" s="4">
        <f ca="1">_xll.DBRW($B$1,$B$2,$B$7,$B$3,$B$4,$B$5,$F681,$B$6,V$10,$A681,$B681)</f>
        <v>29</v>
      </c>
      <c r="W681" s="4">
        <f ca="1">_xll.DBRW($B$1,$B$2,$B$7,$B$3,$B$4,$B$5,$F681,$B$6,W$10,$A681,$B681)</f>
        <v>0</v>
      </c>
      <c r="X681" s="4">
        <f ca="1">_xll.DBRW($B$1,$B$2,$B$7,$B$3,$B$4,$B$5,$F681,$B$6,X$10,$A681,$B681)</f>
        <v>0</v>
      </c>
      <c r="Y681" s="4">
        <f ca="1">_xll.DBRW($B$1,$B$2,$B$7,$B$3,$B$4,$B$5,$F681,$B$6,Y$10,$A681,$B681)</f>
        <v>0</v>
      </c>
      <c r="Z681" s="4">
        <f ca="1">_xll.DBRW($B$1,$B$2,$B$7,$B$3,$B$4,$B$5,$F681,$B$6,Z$10,$A681,$B681)</f>
        <v>0</v>
      </c>
      <c r="AA681" s="4">
        <f ca="1">_xll.DBRW($B$1,$B$2,$B$7,$B$3,$B$4,$B$5,$F681,$B$6,AA$10,$A681,$B681)</f>
        <v>0</v>
      </c>
      <c r="AB681" s="4">
        <f ca="1">_xll.DBRW($B$1,$B$2,$B$7,$B$3,$B$4,$B$5,$F681,$B$6,AB$10,$A681,$B681)</f>
        <v>0</v>
      </c>
      <c r="AC681" s="4">
        <f ca="1">_xll.DBRW($B$1,$B$2,$B$7,$B$3,$B$4,$B$5,$F681,$B$6,AC$10,$A681,$B681)</f>
        <v>6</v>
      </c>
      <c r="AD681" s="4">
        <f ca="1">_xll.DBRW($B$1,$B$2,$B$7,$B$3,$B$4,$B$5,$F681,$B$6,AD$10,$A681,$B681)</f>
        <v>30</v>
      </c>
      <c r="AE681" s="4">
        <f ca="1">_xll.DBRW($B$1,$B$2,$B$7,$B$3,$B$4,$B$5,$F681,$B$6,AE$10,$A681,$B681)</f>
        <v>31</v>
      </c>
    </row>
    <row r="682" spans="1:31">
      <c r="A682" s="1" t="s">
        <v>150</v>
      </c>
      <c r="B682" s="5" t="s">
        <v>310</v>
      </c>
      <c r="C682" s="5" t="s">
        <v>311</v>
      </c>
      <c r="D682" s="5" t="s">
        <v>309</v>
      </c>
      <c r="E682" s="5" t="s">
        <v>21</v>
      </c>
      <c r="F682" s="5" t="s">
        <v>317</v>
      </c>
      <c r="G682" s="6"/>
      <c r="H682" s="6"/>
      <c r="I682" s="6"/>
      <c r="J682" s="6"/>
      <c r="K682" s="6"/>
      <c r="L682" s="4">
        <f ca="1">_xll.DBRW($B$1,$B$2,$B$7,$B$3,$B$4,$B$5,$F682,$B$6,L$10,$A682,$B682)</f>
        <v>0</v>
      </c>
      <c r="M682" s="4">
        <f ca="1">_xll.DBRW($B$1,$B$2,$B$7,$B$3,$B$4,$B$5,$F682,$B$6,M$10,$A682,$B682)</f>
        <v>0</v>
      </c>
      <c r="N682" s="4">
        <f ca="1">_xll.DBRW($B$1,$B$2,$B$7,$B$3,$B$4,$B$5,$F682,$B$6,N$10,$A682,$B682)</f>
        <v>0</v>
      </c>
      <c r="O682" s="4">
        <f ca="1">_xll.DBRW($B$1,$B$2,$B$7,$B$3,$B$4,$B$5,$F682,$B$6,O$10,$A682,$B682)</f>
        <v>0</v>
      </c>
      <c r="P682" s="4">
        <f ca="1">_xll.DBRW($B$1,$B$2,$B$7,$B$3,$B$4,$B$5,$F682,$B$6,P$10,$A682,$B682)</f>
        <v>0</v>
      </c>
      <c r="Q682" s="4">
        <f ca="1">_xll.DBRW($B$1,$B$2,$B$7,$B$3,$B$4,$B$5,$F682,$B$6,Q$10,$A682,$B682)</f>
        <v>5</v>
      </c>
      <c r="R682" s="4">
        <f ca="1">_xll.DBRW($B$1,$B$2,$B$7,$B$3,$B$4,$B$5,$F682,$B$6,R$10,$A682,$B682)</f>
        <v>30</v>
      </c>
      <c r="S682" s="4">
        <f ca="1">_xll.DBRW($B$1,$B$2,$B$7,$B$3,$B$4,$B$5,$F682,$B$6,S$10,$A682,$B682)</f>
        <v>31</v>
      </c>
      <c r="T682" s="4">
        <f ca="1">_xll.DBRW($B$1,$B$2,$B$7,$B$3,$B$4,$B$5,$F682,$B$6,T$10,$A682,$B682)</f>
        <v>31</v>
      </c>
      <c r="U682" s="4">
        <f ca="1">_xll.DBRW($B$1,$B$2,$B$7,$B$3,$B$4,$B$5,$F682,$B$6,U$10,$A682,$B682)</f>
        <v>28</v>
      </c>
      <c r="V682" s="4">
        <f ca="1">_xll.DBRW($B$1,$B$2,$B$7,$B$3,$B$4,$B$5,$F682,$B$6,V$10,$A682,$B682)</f>
        <v>29</v>
      </c>
      <c r="W682" s="4">
        <f ca="1">_xll.DBRW($B$1,$B$2,$B$7,$B$3,$B$4,$B$5,$F682,$B$6,W$10,$A682,$B682)</f>
        <v>0</v>
      </c>
      <c r="X682" s="4">
        <f ca="1">_xll.DBRW($B$1,$B$2,$B$7,$B$3,$B$4,$B$5,$F682,$B$6,X$10,$A682,$B682)</f>
        <v>0</v>
      </c>
      <c r="Y682" s="4">
        <f ca="1">_xll.DBRW($B$1,$B$2,$B$7,$B$3,$B$4,$B$5,$F682,$B$6,Y$10,$A682,$B682)</f>
        <v>0</v>
      </c>
      <c r="Z682" s="4">
        <f ca="1">_xll.DBRW($B$1,$B$2,$B$7,$B$3,$B$4,$B$5,$F682,$B$6,Z$10,$A682,$B682)</f>
        <v>0</v>
      </c>
      <c r="AA682" s="4">
        <f ca="1">_xll.DBRW($B$1,$B$2,$B$7,$B$3,$B$4,$B$5,$F682,$B$6,AA$10,$A682,$B682)</f>
        <v>0</v>
      </c>
      <c r="AB682" s="4">
        <f ca="1">_xll.DBRW($B$1,$B$2,$B$7,$B$3,$B$4,$B$5,$F682,$B$6,AB$10,$A682,$B682)</f>
        <v>0</v>
      </c>
      <c r="AC682" s="4">
        <f ca="1">_xll.DBRW($B$1,$B$2,$B$7,$B$3,$B$4,$B$5,$F682,$B$6,AC$10,$A682,$B682)</f>
        <v>6</v>
      </c>
      <c r="AD682" s="4">
        <f ca="1">_xll.DBRW($B$1,$B$2,$B$7,$B$3,$B$4,$B$5,$F682,$B$6,AD$10,$A682,$B682)</f>
        <v>30</v>
      </c>
      <c r="AE682" s="4">
        <f ca="1">_xll.DBRW($B$1,$B$2,$B$7,$B$3,$B$4,$B$5,$F682,$B$6,AE$10,$A682,$B682)</f>
        <v>31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CE76-9F7C-45B9-AE97-D57B2BDBA4D9}">
  <dimension ref="A1:AE346"/>
  <sheetViews>
    <sheetView workbookViewId="0">
      <pane ySplit="10" topLeftCell="A11" activePane="bottomLeft" state="frozen"/>
      <selection pane="bottomLeft" activeCell="G47" sqref="G47"/>
      <selection activeCell="G47" sqref="G47"/>
    </sheetView>
  </sheetViews>
  <sheetFormatPr defaultRowHeight="16.5"/>
  <cols>
    <col min="1" max="1" width="16" style="1" bestFit="1" customWidth="1"/>
    <col min="2" max="2" width="25.85546875" style="1" bestFit="1" customWidth="1"/>
    <col min="3" max="5" width="25.85546875" style="1" customWidth="1"/>
    <col min="6" max="6" width="17.7109375" style="1" customWidth="1"/>
    <col min="7" max="11" width="13.42578125" style="1" customWidth="1"/>
    <col min="12" max="31" width="12.7109375" style="1" bestFit="1" customWidth="1"/>
    <col min="32" max="16384" width="9.140625" style="1"/>
  </cols>
  <sheetData>
    <row r="1" spans="1:31">
      <c r="A1" s="1" t="s">
        <v>122</v>
      </c>
      <c r="B1" s="1" t="str">
        <f ca="1">_xll.VIEW("planning:oraclegl-reporting",$B$2,$B$7,$B$3,$B$4,$B$5,"!",$B$6,"!","!","!")</f>
        <v>planning:oraclegl-reporting</v>
      </c>
    </row>
    <row r="2" spans="1:31">
      <c r="A2" s="1" t="s">
        <v>123</v>
      </c>
      <c r="B2" s="1" t="str">
        <f ca="1">_xll.SUBNM("planning:translation","","translated")</f>
        <v>translated</v>
      </c>
    </row>
    <row r="3" spans="1:31">
      <c r="A3" s="1" t="s">
        <v>125</v>
      </c>
      <c r="B3" s="1" t="str">
        <f ca="1">_xll.SUBNM("planning:sob","","Total SOB")</f>
        <v>Total SOB</v>
      </c>
    </row>
    <row r="4" spans="1:31">
      <c r="A4" s="1" t="s">
        <v>127</v>
      </c>
      <c r="B4" s="1" t="str">
        <f ca="1">_xll.SUBNM("planning:lob","","VA")</f>
        <v>VA</v>
      </c>
    </row>
    <row r="5" spans="1:31">
      <c r="A5" s="1" t="s">
        <v>129</v>
      </c>
      <c r="B5" s="1" t="str">
        <f ca="1">_xll.SUBNM("planning:currency","","Total Currency")</f>
        <v>Total Currency</v>
      </c>
    </row>
    <row r="6" spans="1:31">
      <c r="A6" s="1" t="s">
        <v>132</v>
      </c>
      <c r="B6" s="1" t="str">
        <f ca="1">_xll.SUBNM("planning:rcentre","Default","VALT","desc")</f>
        <v>VALT - Total VAAL</v>
      </c>
    </row>
    <row r="7" spans="1:31">
      <c r="A7" s="1" t="s">
        <v>133</v>
      </c>
      <c r="B7" s="1" t="s">
        <v>134</v>
      </c>
    </row>
    <row r="10" spans="1:31">
      <c r="B10" s="3" t="s">
        <v>1</v>
      </c>
      <c r="C10" s="3" t="s">
        <v>2</v>
      </c>
      <c r="D10" s="3" t="s">
        <v>3</v>
      </c>
      <c r="E10" s="3" t="s">
        <v>4</v>
      </c>
      <c r="F10" s="3" t="s">
        <v>157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3" t="s">
        <v>148</v>
      </c>
      <c r="S10" s="3" t="s">
        <v>149</v>
      </c>
      <c r="T10" s="3" t="s">
        <v>6</v>
      </c>
      <c r="U10" s="3" t="s">
        <v>7</v>
      </c>
      <c r="V10" s="3" t="s">
        <v>8</v>
      </c>
      <c r="W10" s="3" t="s">
        <v>9</v>
      </c>
      <c r="X10" s="3" t="s">
        <v>10</v>
      </c>
      <c r="Y10" s="3" t="s">
        <v>11</v>
      </c>
      <c r="Z10" s="3" t="s">
        <v>12</v>
      </c>
      <c r="AA10" s="3" t="s">
        <v>13</v>
      </c>
      <c r="AB10" s="3" t="s">
        <v>14</v>
      </c>
      <c r="AC10" s="3" t="s">
        <v>15</v>
      </c>
      <c r="AD10" s="3" t="s">
        <v>16</v>
      </c>
      <c r="AE10" s="3" t="s">
        <v>17</v>
      </c>
    </row>
    <row r="11" spans="1:31">
      <c r="A11" s="1" t="s">
        <v>152</v>
      </c>
      <c r="B11" s="5" t="s">
        <v>158</v>
      </c>
      <c r="C11" s="5" t="s">
        <v>159</v>
      </c>
      <c r="D11" s="5" t="s">
        <v>21</v>
      </c>
      <c r="E11" s="5" t="s">
        <v>38</v>
      </c>
      <c r="F11" s="5" t="s">
        <v>22</v>
      </c>
      <c r="G11" s="6"/>
      <c r="H11" s="6"/>
      <c r="I11" s="6"/>
      <c r="J11" s="6"/>
      <c r="K11" s="6"/>
      <c r="L11" s="10">
        <f ca="1">IFERROR('RPK (live)'!L11/'ASK (live)'!L11,"-")</f>
        <v>0.83057900149844954</v>
      </c>
      <c r="M11" s="10">
        <f ca="1">IFERROR('RPK (live)'!M11/'ASK (live)'!M11,"-")</f>
        <v>0.89083234976490211</v>
      </c>
      <c r="N11" s="10">
        <f ca="1">IFERROR('RPK (live)'!N11/'ASK (live)'!N11,"-")</f>
        <v>0.89886258978246836</v>
      </c>
      <c r="O11" s="10">
        <f ca="1">IFERROR('RPK (live)'!O11/'ASK (live)'!O11,"-")</f>
        <v>0.8570924083203304</v>
      </c>
      <c r="P11" s="10">
        <f ca="1">IFERROR('RPK (live)'!P11/'ASK (live)'!P11,"-")</f>
        <v>0.90360790689334447</v>
      </c>
      <c r="Q11" s="10">
        <f ca="1">IFERROR('RPK (live)'!Q11/'ASK (live)'!Q11,"-")</f>
        <v>0.94164682933058608</v>
      </c>
      <c r="R11" s="10">
        <f ca="1">IFERROR('RPK (live)'!R11/'ASK (live)'!R11,"-")</f>
        <v>0.90506351404163055</v>
      </c>
      <c r="S11" s="10">
        <f ca="1">IFERROR('RPK (live)'!S11/'ASK (live)'!S11,"-")</f>
        <v>0.9060393129548896</v>
      </c>
      <c r="T11" s="10">
        <f ca="1">IFERROR('RPK (live)'!T11/'ASK (live)'!T11,"-")</f>
        <v>0.85778859216144077</v>
      </c>
      <c r="U11" s="10">
        <f ca="1">IFERROR('RPK (live)'!U11/'ASK (live)'!U11,"-")</f>
        <v>0.88977505915124411</v>
      </c>
      <c r="V11" s="10">
        <f ca="1">IFERROR('RPK (live)'!V11/'ASK (live)'!V11,"-")</f>
        <v>0.98133964736156676</v>
      </c>
      <c r="W11" s="10">
        <f ca="1">IFERROR('RPK (live)'!W11/'ASK (live)'!W11,"-")</f>
        <v>0.92030365317541774</v>
      </c>
      <c r="X11" s="10">
        <f ca="1">IFERROR('RPK (live)'!X11/'ASK (live)'!X11,"-")</f>
        <v>0.9510536073448006</v>
      </c>
      <c r="Y11" s="10">
        <f ca="1">IFERROR('RPK (live)'!Y11/'ASK (live)'!Y11,"-")</f>
        <v>0.98563668559031192</v>
      </c>
      <c r="Z11" s="10">
        <f ca="1">IFERROR('RPK (live)'!Z11/'ASK (live)'!Z11,"-")</f>
        <v>0.95684097378280786</v>
      </c>
      <c r="AA11" s="10">
        <f ca="1">IFERROR('RPK (live)'!AA11/'ASK (live)'!AA11,"-")</f>
        <v>0.90858227348102694</v>
      </c>
      <c r="AB11" s="10">
        <f ca="1">IFERROR('RPK (live)'!AB11/'ASK (live)'!AB11,"-")</f>
        <v>0.88949415127534759</v>
      </c>
      <c r="AC11" s="10">
        <f ca="1">IFERROR('RPK (live)'!AC11/'ASK (live)'!AC11,"-")</f>
        <v>0.93346936057606056</v>
      </c>
      <c r="AD11" s="10">
        <f ca="1">IFERROR('RPK (live)'!AD11/'ASK (live)'!AD11,"-")</f>
        <v>0.94903166055278032</v>
      </c>
      <c r="AE11" s="10">
        <f ca="1">IFERROR('RPK (live)'!AE11/'ASK (live)'!AE11,"-")</f>
        <v>0.8799739827800287</v>
      </c>
    </row>
    <row r="12" spans="1:31">
      <c r="A12" s="1" t="s">
        <v>152</v>
      </c>
      <c r="B12" s="5" t="s">
        <v>36</v>
      </c>
      <c r="C12" s="5" t="s">
        <v>37</v>
      </c>
      <c r="D12" s="5" t="s">
        <v>38</v>
      </c>
      <c r="E12" s="5" t="s">
        <v>21</v>
      </c>
      <c r="F12" s="5" t="s">
        <v>22</v>
      </c>
      <c r="G12" s="6"/>
      <c r="H12" s="6"/>
      <c r="I12" s="6"/>
      <c r="J12" s="6"/>
      <c r="K12" s="6"/>
      <c r="L12" s="10">
        <f ca="1">IFERROR('RPK (live)'!L12/'ASK (live)'!L12,"-")</f>
        <v>0.83057900149844954</v>
      </c>
      <c r="M12" s="10">
        <f ca="1">IFERROR('RPK (live)'!M12/'ASK (live)'!M12,"-")</f>
        <v>0.89083234976490211</v>
      </c>
      <c r="N12" s="10">
        <f ca="1">IFERROR('RPK (live)'!N12/'ASK (live)'!N12,"-")</f>
        <v>0.89886258978246825</v>
      </c>
      <c r="O12" s="10">
        <f ca="1">IFERROR('RPK (live)'!O12/'ASK (live)'!O12,"-")</f>
        <v>0.8570924083203304</v>
      </c>
      <c r="P12" s="10">
        <f ca="1">IFERROR('RPK (live)'!P12/'ASK (live)'!P12,"-")</f>
        <v>0.90360790689334447</v>
      </c>
      <c r="Q12" s="10">
        <f ca="1">IFERROR('RPK (live)'!Q12/'ASK (live)'!Q12,"-")</f>
        <v>0.94164682933058608</v>
      </c>
      <c r="R12" s="10">
        <f ca="1">IFERROR('RPK (live)'!R12/'ASK (live)'!R12,"-")</f>
        <v>0.90506351404163055</v>
      </c>
      <c r="S12" s="10">
        <f ca="1">IFERROR('RPK (live)'!S12/'ASK (live)'!S12,"-")</f>
        <v>0.9060393129548896</v>
      </c>
      <c r="T12" s="10">
        <f ca="1">IFERROR('RPK (live)'!T12/'ASK (live)'!T12,"-")</f>
        <v>0.85778859216144066</v>
      </c>
      <c r="U12" s="10">
        <f ca="1">IFERROR('RPK (live)'!U12/'ASK (live)'!U12,"-")</f>
        <v>0.889775059151244</v>
      </c>
      <c r="V12" s="10">
        <f ca="1">IFERROR('RPK (live)'!V12/'ASK (live)'!V12,"-")</f>
        <v>0.98133964736156676</v>
      </c>
      <c r="W12" s="10">
        <f ca="1">IFERROR('RPK (live)'!W12/'ASK (live)'!W12,"-")</f>
        <v>0.92030365317541785</v>
      </c>
      <c r="X12" s="10">
        <f ca="1">IFERROR('RPK (live)'!X12/'ASK (live)'!X12,"-")</f>
        <v>0.9510536073448006</v>
      </c>
      <c r="Y12" s="10">
        <f ca="1">IFERROR('RPK (live)'!Y12/'ASK (live)'!Y12,"-")</f>
        <v>0.98563668559031237</v>
      </c>
      <c r="Z12" s="10">
        <f ca="1">IFERROR('RPK (live)'!Z12/'ASK (live)'!Z12,"-")</f>
        <v>0.95684097378280775</v>
      </c>
      <c r="AA12" s="10">
        <f ca="1">IFERROR('RPK (live)'!AA12/'ASK (live)'!AA12,"-")</f>
        <v>0.90858227348102671</v>
      </c>
      <c r="AB12" s="10">
        <f ca="1">IFERROR('RPK (live)'!AB12/'ASK (live)'!AB12,"-")</f>
        <v>0.88949415127534748</v>
      </c>
      <c r="AC12" s="10">
        <f ca="1">IFERROR('RPK (live)'!AC12/'ASK (live)'!AC12,"-")</f>
        <v>0.93346936057606056</v>
      </c>
      <c r="AD12" s="10">
        <f ca="1">IFERROR('RPK (live)'!AD12/'ASK (live)'!AD12,"-")</f>
        <v>0.94903166055278054</v>
      </c>
      <c r="AE12" s="10">
        <f ca="1">IFERROR('RPK (live)'!AE12/'ASK (live)'!AE12,"-")</f>
        <v>0.87997398278002881</v>
      </c>
    </row>
    <row r="13" spans="1:31">
      <c r="A13" s="1" t="s">
        <v>152</v>
      </c>
      <c r="B13" s="5" t="s">
        <v>160</v>
      </c>
      <c r="C13" s="5" t="s">
        <v>161</v>
      </c>
      <c r="D13" s="5" t="s">
        <v>21</v>
      </c>
      <c r="E13" s="5" t="s">
        <v>69</v>
      </c>
      <c r="F13" s="5" t="s">
        <v>22</v>
      </c>
      <c r="G13" s="6"/>
      <c r="H13" s="6"/>
      <c r="I13" s="6"/>
      <c r="J13" s="6"/>
      <c r="K13" s="6"/>
      <c r="L13" s="10">
        <f ca="1">IFERROR('RPK (live)'!L13/'ASK (live)'!L13,"-")</f>
        <v>0.82999999999999985</v>
      </c>
      <c r="M13" s="10">
        <f ca="1">IFERROR('RPK (live)'!M13/'ASK (live)'!M13,"-")</f>
        <v>0.91124286802139876</v>
      </c>
      <c r="N13" s="10">
        <f ca="1">IFERROR('RPK (live)'!N13/'ASK (live)'!N13,"-")</f>
        <v>0.85</v>
      </c>
      <c r="O13" s="10">
        <f ca="1">IFERROR('RPK (live)'!O13/'ASK (live)'!O13,"-")</f>
        <v>0.82000000000000006</v>
      </c>
      <c r="P13" s="10">
        <f ca="1">IFERROR('RPK (live)'!P13/'ASK (live)'!P13,"-")</f>
        <v>0.8</v>
      </c>
      <c r="Q13" s="10">
        <f ca="1">IFERROR('RPK (live)'!Q13/'ASK (live)'!Q13,"-")</f>
        <v>0.87</v>
      </c>
      <c r="R13" s="10">
        <f ca="1">IFERROR('RPK (live)'!R13/'ASK (live)'!R13,"-")</f>
        <v>0.84999999999999987</v>
      </c>
      <c r="S13" s="10">
        <f ca="1">IFERROR('RPK (live)'!S13/'ASK (live)'!S13,"-")</f>
        <v>0.85</v>
      </c>
      <c r="T13" s="10">
        <f ca="1">IFERROR('RPK (live)'!T13/'ASK (live)'!T13,"-")</f>
        <v>0.96159077379254243</v>
      </c>
      <c r="U13" s="10">
        <f ca="1">IFERROR('RPK (live)'!U13/'ASK (live)'!U13,"-")</f>
        <v>0.95934146794658293</v>
      </c>
      <c r="V13" s="10">
        <f ca="1">IFERROR('RPK (live)'!V13/'ASK (live)'!V13,"-")</f>
        <v>0.95712278438062937</v>
      </c>
      <c r="W13" s="10">
        <f ca="1">IFERROR('RPK (live)'!W13/'ASK (live)'!W13,"-")</f>
        <v>0.97216354444086606</v>
      </c>
      <c r="X13" s="10">
        <f ca="1">IFERROR('RPK (live)'!X13/'ASK (live)'!X13,"-")</f>
        <v>0.97866606038901571</v>
      </c>
      <c r="Y13" s="10">
        <f ca="1">IFERROR('RPK (live)'!Y13/'ASK (live)'!Y13,"-")</f>
        <v>0.97733476466551528</v>
      </c>
      <c r="Z13" s="10">
        <f ca="1">IFERROR('RPK (live)'!Z13/'ASK (live)'!Z13,"-")</f>
        <v>0.95356776266801113</v>
      </c>
      <c r="AA13" s="10">
        <f ca="1">IFERROR('RPK (live)'!AA13/'ASK (live)'!AA13,"-")</f>
        <v>0.92107511571678458</v>
      </c>
      <c r="AB13" s="10">
        <f ca="1">IFERROR('RPK (live)'!AB13/'ASK (live)'!AB13,"-")</f>
        <v>0.88533951138694933</v>
      </c>
      <c r="AC13" s="10">
        <f ca="1">IFERROR('RPK (live)'!AC13/'ASK (live)'!AC13,"-")</f>
        <v>0.86194702413893665</v>
      </c>
      <c r="AD13" s="10">
        <f ca="1">IFERROR('RPK (live)'!AD13/'ASK (live)'!AD13,"-")</f>
        <v>0.89895576402428912</v>
      </c>
      <c r="AE13" s="10">
        <f ca="1">IFERROR('RPK (live)'!AE13/'ASK (live)'!AE13,"-")</f>
        <v>0.80748062443827051</v>
      </c>
    </row>
    <row r="14" spans="1:31">
      <c r="A14" s="1" t="s">
        <v>152</v>
      </c>
      <c r="B14" s="5" t="s">
        <v>67</v>
      </c>
      <c r="C14" s="5" t="s">
        <v>68</v>
      </c>
      <c r="D14" s="5" t="s">
        <v>69</v>
      </c>
      <c r="E14" s="5" t="s">
        <v>21</v>
      </c>
      <c r="F14" s="5" t="s">
        <v>22</v>
      </c>
      <c r="G14" s="6"/>
      <c r="H14" s="6"/>
      <c r="I14" s="6"/>
      <c r="J14" s="6"/>
      <c r="K14" s="6"/>
      <c r="L14" s="10">
        <f ca="1">IFERROR('RPK (live)'!L14/'ASK (live)'!L14,"-")</f>
        <v>0.82999999999999985</v>
      </c>
      <c r="M14" s="10">
        <f ca="1">IFERROR('RPK (live)'!M14/'ASK (live)'!M14,"-")</f>
        <v>0.91124286802139876</v>
      </c>
      <c r="N14" s="10">
        <f ca="1">IFERROR('RPK (live)'!N14/'ASK (live)'!N14,"-")</f>
        <v>0.85</v>
      </c>
      <c r="O14" s="10">
        <f ca="1">IFERROR('RPK (live)'!O14/'ASK (live)'!O14,"-")</f>
        <v>0.82000000000000006</v>
      </c>
      <c r="P14" s="10">
        <f ca="1">IFERROR('RPK (live)'!P14/'ASK (live)'!P14,"-")</f>
        <v>0.8</v>
      </c>
      <c r="Q14" s="10">
        <f ca="1">IFERROR('RPK (live)'!Q14/'ASK (live)'!Q14,"-")</f>
        <v>0.87</v>
      </c>
      <c r="R14" s="10">
        <f ca="1">IFERROR('RPK (live)'!R14/'ASK (live)'!R14,"-")</f>
        <v>0.84999999999999987</v>
      </c>
      <c r="S14" s="10">
        <f ca="1">IFERROR('RPK (live)'!S14/'ASK (live)'!S14,"-")</f>
        <v>0.85</v>
      </c>
      <c r="T14" s="10">
        <f ca="1">IFERROR('RPK (live)'!T14/'ASK (live)'!T14,"-")</f>
        <v>0.96159077379254243</v>
      </c>
      <c r="U14" s="10">
        <f ca="1">IFERROR('RPK (live)'!U14/'ASK (live)'!U14,"-")</f>
        <v>0.95934146794658293</v>
      </c>
      <c r="V14" s="10">
        <f ca="1">IFERROR('RPK (live)'!V14/'ASK (live)'!V14,"-")</f>
        <v>0.95712278438062937</v>
      </c>
      <c r="W14" s="10">
        <f ca="1">IFERROR('RPK (live)'!W14/'ASK (live)'!W14,"-")</f>
        <v>0.97216354444086606</v>
      </c>
      <c r="X14" s="10">
        <f ca="1">IFERROR('RPK (live)'!X14/'ASK (live)'!X14,"-")</f>
        <v>0.97866606038901571</v>
      </c>
      <c r="Y14" s="10">
        <f ca="1">IFERROR('RPK (live)'!Y14/'ASK (live)'!Y14,"-")</f>
        <v>0.97733476466551528</v>
      </c>
      <c r="Z14" s="10">
        <f ca="1">IFERROR('RPK (live)'!Z14/'ASK (live)'!Z14,"-")</f>
        <v>0.95356776266801113</v>
      </c>
      <c r="AA14" s="10">
        <f ca="1">IFERROR('RPK (live)'!AA14/'ASK (live)'!AA14,"-")</f>
        <v>0.92107511571678458</v>
      </c>
      <c r="AB14" s="10">
        <f ca="1">IFERROR('RPK (live)'!AB14/'ASK (live)'!AB14,"-")</f>
        <v>0.88533951138694933</v>
      </c>
      <c r="AC14" s="10">
        <f ca="1">IFERROR('RPK (live)'!AC14/'ASK (live)'!AC14,"-")</f>
        <v>0.86194702413893665</v>
      </c>
      <c r="AD14" s="10">
        <f ca="1">IFERROR('RPK (live)'!AD14/'ASK (live)'!AD14,"-")</f>
        <v>0.89895576402428912</v>
      </c>
      <c r="AE14" s="10">
        <f ca="1">IFERROR('RPK (live)'!AE14/'ASK (live)'!AE14,"-")</f>
        <v>0.80748062443827029</v>
      </c>
    </row>
    <row r="15" spans="1:31">
      <c r="A15" s="1" t="s">
        <v>152</v>
      </c>
      <c r="B15" s="5" t="s">
        <v>162</v>
      </c>
      <c r="C15" s="5" t="s">
        <v>163</v>
      </c>
      <c r="D15" s="5" t="s">
        <v>21</v>
      </c>
      <c r="E15" s="5" t="s">
        <v>54</v>
      </c>
      <c r="F15" s="5" t="s">
        <v>22</v>
      </c>
      <c r="G15" s="6"/>
      <c r="H15" s="6"/>
      <c r="I15" s="6"/>
      <c r="J15" s="6"/>
      <c r="K15" s="6"/>
      <c r="L15" s="10">
        <f ca="1">IFERROR('RPK (live)'!L15/'ASK (live)'!L15,"-")</f>
        <v>0.88</v>
      </c>
      <c r="M15" s="10">
        <f ca="1">IFERROR('RPK (live)'!M15/'ASK (live)'!M15,"-")</f>
        <v>0.96186747180036514</v>
      </c>
      <c r="N15" s="10">
        <f ca="1">IFERROR('RPK (live)'!N15/'ASK (live)'!N15,"-")</f>
        <v>0.96</v>
      </c>
      <c r="O15" s="10">
        <f ca="1">IFERROR('RPK (live)'!O15/'ASK (live)'!O15,"-")</f>
        <v>0.95</v>
      </c>
      <c r="P15" s="10">
        <f ca="1">IFERROR('RPK (live)'!P15/'ASK (live)'!P15,"-")</f>
        <v>0.94</v>
      </c>
      <c r="Q15" s="10">
        <f ca="1">IFERROR('RPK (live)'!Q15/'ASK (live)'!Q15,"-")</f>
        <v>0.9</v>
      </c>
      <c r="R15" s="10">
        <f ca="1">IFERROR('RPK (live)'!R15/'ASK (live)'!R15,"-")</f>
        <v>0.91999999999999993</v>
      </c>
      <c r="S15" s="10">
        <f ca="1">IFERROR('RPK (live)'!S15/'ASK (live)'!S15,"-")</f>
        <v>0.90000000000000013</v>
      </c>
      <c r="T15" s="10">
        <f ca="1">IFERROR('RPK (live)'!T15/'ASK (live)'!T15,"-")</f>
        <v>0.81881538598039816</v>
      </c>
      <c r="U15" s="10">
        <f ca="1">IFERROR('RPK (live)'!U15/'ASK (live)'!U15,"-")</f>
        <v>0.87918768925867596</v>
      </c>
      <c r="V15" s="10">
        <f ca="1">IFERROR('RPK (live)'!V15/'ASK (live)'!V15,"-")</f>
        <v>0.99051911298780171</v>
      </c>
      <c r="W15" s="10">
        <f ca="1">IFERROR('RPK (live)'!W15/'ASK (live)'!W15,"-")</f>
        <v>0.98664920989029481</v>
      </c>
      <c r="X15" s="10">
        <f ca="1">IFERROR('RPK (live)'!X15/'ASK (live)'!X15,"-")</f>
        <v>0.9905191129878016</v>
      </c>
      <c r="Y15" s="10">
        <f ca="1">IFERROR('RPK (live)'!Y15/'ASK (live)'!Y15,"-")</f>
        <v>0.99051911298780126</v>
      </c>
      <c r="Z15" s="10">
        <f ca="1">IFERROR('RPK (live)'!Z15/'ASK (live)'!Z15,"-")</f>
        <v>0.9905191129878016</v>
      </c>
      <c r="AA15" s="10">
        <f ca="1">IFERROR('RPK (live)'!AA15/'ASK (live)'!AA15,"-")</f>
        <v>0.99051911298780126</v>
      </c>
      <c r="AB15" s="10">
        <f ca="1">IFERROR('RPK (live)'!AB15/'ASK (live)'!AB15,"-")</f>
        <v>0.95273412551114534</v>
      </c>
      <c r="AC15" s="10">
        <f ca="1">IFERROR('RPK (live)'!AC15/'ASK (live)'!AC15,"-")</f>
        <v>0.94242121637937259</v>
      </c>
      <c r="AD15" s="10">
        <f ca="1">IFERROR('RPK (live)'!AD15/'ASK (live)'!AD15,"-")</f>
        <v>0.9905191129878016</v>
      </c>
      <c r="AE15" s="10">
        <f ca="1">IFERROR('RPK (live)'!AE15/'ASK (live)'!AE15,"-")</f>
        <v>0.92405556748581341</v>
      </c>
    </row>
    <row r="16" spans="1:31">
      <c r="A16" s="1" t="s">
        <v>152</v>
      </c>
      <c r="B16" s="5" t="s">
        <v>52</v>
      </c>
      <c r="C16" s="5" t="s">
        <v>53</v>
      </c>
      <c r="D16" s="5" t="s">
        <v>54</v>
      </c>
      <c r="E16" s="5" t="s">
        <v>21</v>
      </c>
      <c r="F16" s="5" t="s">
        <v>22</v>
      </c>
      <c r="G16" s="6"/>
      <c r="H16" s="6"/>
      <c r="I16" s="6"/>
      <c r="J16" s="6"/>
      <c r="K16" s="6"/>
      <c r="L16" s="10">
        <f ca="1">IFERROR('RPK (live)'!L16/'ASK (live)'!L16,"-")</f>
        <v>0.88</v>
      </c>
      <c r="M16" s="10">
        <f ca="1">IFERROR('RPK (live)'!M16/'ASK (live)'!M16,"-")</f>
        <v>0.96186747180036514</v>
      </c>
      <c r="N16" s="10">
        <f ca="1">IFERROR('RPK (live)'!N16/'ASK (live)'!N16,"-")</f>
        <v>0.96000000000000008</v>
      </c>
      <c r="O16" s="10">
        <f ca="1">IFERROR('RPK (live)'!O16/'ASK (live)'!O16,"-")</f>
        <v>0.95</v>
      </c>
      <c r="P16" s="10">
        <f ca="1">IFERROR('RPK (live)'!P16/'ASK (live)'!P16,"-")</f>
        <v>0.94</v>
      </c>
      <c r="Q16" s="10">
        <f ca="1">IFERROR('RPK (live)'!Q16/'ASK (live)'!Q16,"-")</f>
        <v>0.9</v>
      </c>
      <c r="R16" s="10">
        <f ca="1">IFERROR('RPK (live)'!R16/'ASK (live)'!R16,"-")</f>
        <v>0.91999999999999993</v>
      </c>
      <c r="S16" s="10">
        <f ca="1">IFERROR('RPK (live)'!S16/'ASK (live)'!S16,"-")</f>
        <v>0.90000000000000013</v>
      </c>
      <c r="T16" s="10">
        <f ca="1">IFERROR('RPK (live)'!T16/'ASK (live)'!T16,"-")</f>
        <v>0.81881538598039816</v>
      </c>
      <c r="U16" s="10">
        <f ca="1">IFERROR('RPK (live)'!U16/'ASK (live)'!U16,"-")</f>
        <v>0.87918768925867596</v>
      </c>
      <c r="V16" s="10">
        <f ca="1">IFERROR('RPK (live)'!V16/'ASK (live)'!V16,"-")</f>
        <v>0.99051911298780171</v>
      </c>
      <c r="W16" s="10">
        <f ca="1">IFERROR('RPK (live)'!W16/'ASK (live)'!W16,"-")</f>
        <v>0.98664920989029481</v>
      </c>
      <c r="X16" s="10">
        <f ca="1">IFERROR('RPK (live)'!X16/'ASK (live)'!X16,"-")</f>
        <v>0.9905191129878016</v>
      </c>
      <c r="Y16" s="10">
        <f ca="1">IFERROR('RPK (live)'!Y16/'ASK (live)'!Y16,"-")</f>
        <v>0.99051911298780126</v>
      </c>
      <c r="Z16" s="10">
        <f ca="1">IFERROR('RPK (live)'!Z16/'ASK (live)'!Z16,"-")</f>
        <v>0.9905191129878016</v>
      </c>
      <c r="AA16" s="10">
        <f ca="1">IFERROR('RPK (live)'!AA16/'ASK (live)'!AA16,"-")</f>
        <v>0.99051911298780126</v>
      </c>
      <c r="AB16" s="10">
        <f ca="1">IFERROR('RPK (live)'!AB16/'ASK (live)'!AB16,"-")</f>
        <v>0.95273412551114534</v>
      </c>
      <c r="AC16" s="10">
        <f ca="1">IFERROR('RPK (live)'!AC16/'ASK (live)'!AC16,"-")</f>
        <v>0.94242121637937259</v>
      </c>
      <c r="AD16" s="10">
        <f ca="1">IFERROR('RPK (live)'!AD16/'ASK (live)'!AD16,"-")</f>
        <v>0.9905191129878016</v>
      </c>
      <c r="AE16" s="10">
        <f ca="1">IFERROR('RPK (live)'!AE16/'ASK (live)'!AE16,"-")</f>
        <v>0.92405556748581319</v>
      </c>
    </row>
    <row r="17" spans="1:31">
      <c r="A17" s="1" t="s">
        <v>152</v>
      </c>
      <c r="B17" s="5" t="s">
        <v>164</v>
      </c>
      <c r="C17" s="5" t="s">
        <v>159</v>
      </c>
      <c r="D17" s="5" t="s">
        <v>21</v>
      </c>
      <c r="E17" s="5" t="s">
        <v>38</v>
      </c>
      <c r="F17" s="5" t="s">
        <v>22</v>
      </c>
      <c r="G17" s="6"/>
      <c r="H17" s="6"/>
      <c r="I17" s="6"/>
      <c r="J17" s="6"/>
      <c r="K17" s="6"/>
      <c r="L17" s="10">
        <f ca="1">IFERROR('RPK (live)'!L17/'ASK (live)'!L17,"-")</f>
        <v>0.83057900149844954</v>
      </c>
      <c r="M17" s="10">
        <f ca="1">IFERROR('RPK (live)'!M17/'ASK (live)'!M17,"-")</f>
        <v>0.89083234976490211</v>
      </c>
      <c r="N17" s="10">
        <f ca="1">IFERROR('RPK (live)'!N17/'ASK (live)'!N17,"-")</f>
        <v>0.89886258978246814</v>
      </c>
      <c r="O17" s="10">
        <f ca="1">IFERROR('RPK (live)'!O17/'ASK (live)'!O17,"-")</f>
        <v>0.8570924083203304</v>
      </c>
      <c r="P17" s="10">
        <f ca="1">IFERROR('RPK (live)'!P17/'ASK (live)'!P17,"-")</f>
        <v>0.90360790689334447</v>
      </c>
      <c r="Q17" s="10">
        <f ca="1">IFERROR('RPK (live)'!Q17/'ASK (live)'!Q17,"-")</f>
        <v>0.9416468293305863</v>
      </c>
      <c r="R17" s="10">
        <f ca="1">IFERROR('RPK (live)'!R17/'ASK (live)'!R17,"-")</f>
        <v>0.90506351404163043</v>
      </c>
      <c r="S17" s="10">
        <f ca="1">IFERROR('RPK (live)'!S17/'ASK (live)'!S17,"-")</f>
        <v>0.9060393129548896</v>
      </c>
      <c r="T17" s="10">
        <f ca="1">IFERROR('RPK (live)'!T17/'ASK (live)'!T17,"-")</f>
        <v>0.85778859216144077</v>
      </c>
      <c r="U17" s="10">
        <f ca="1">IFERROR('RPK (live)'!U17/'ASK (live)'!U17,"-")</f>
        <v>0.889775059151244</v>
      </c>
      <c r="V17" s="10">
        <f ca="1">IFERROR('RPK (live)'!V17/'ASK (live)'!V17,"-")</f>
        <v>0.98133964736156687</v>
      </c>
      <c r="W17" s="10">
        <f ca="1">IFERROR('RPK (live)'!W17/'ASK (live)'!W17,"-")</f>
        <v>0.92030365317541774</v>
      </c>
      <c r="X17" s="10">
        <f ca="1">IFERROR('RPK (live)'!X17/'ASK (live)'!X17,"-")</f>
        <v>0.95105360734480071</v>
      </c>
      <c r="Y17" s="10">
        <f ca="1">IFERROR('RPK (live)'!Y17/'ASK (live)'!Y17,"-")</f>
        <v>0.98563668559031237</v>
      </c>
      <c r="Z17" s="10">
        <f ca="1">IFERROR('RPK (live)'!Z17/'ASK (live)'!Z17,"-")</f>
        <v>0.95684097378280797</v>
      </c>
      <c r="AA17" s="10">
        <f ca="1">IFERROR('RPK (live)'!AA17/'ASK (live)'!AA17,"-")</f>
        <v>0.90858227348102671</v>
      </c>
      <c r="AB17" s="10">
        <f ca="1">IFERROR('RPK (live)'!AB17/'ASK (live)'!AB17,"-")</f>
        <v>0.88949415127534759</v>
      </c>
      <c r="AC17" s="10">
        <f ca="1">IFERROR('RPK (live)'!AC17/'ASK (live)'!AC17,"-")</f>
        <v>0.93346936057606056</v>
      </c>
      <c r="AD17" s="10">
        <f ca="1">IFERROR('RPK (live)'!AD17/'ASK (live)'!AD17,"-")</f>
        <v>0.94903166055278021</v>
      </c>
      <c r="AE17" s="10">
        <f ca="1">IFERROR('RPK (live)'!AE17/'ASK (live)'!AE17,"-")</f>
        <v>0.8799739827800287</v>
      </c>
    </row>
    <row r="18" spans="1:31">
      <c r="A18" s="1" t="s">
        <v>152</v>
      </c>
      <c r="B18" s="5" t="s">
        <v>39</v>
      </c>
      <c r="C18" s="5" t="s">
        <v>37</v>
      </c>
      <c r="D18" s="5" t="s">
        <v>38</v>
      </c>
      <c r="E18" s="5" t="s">
        <v>21</v>
      </c>
      <c r="F18" s="5" t="s">
        <v>22</v>
      </c>
      <c r="G18" s="6"/>
      <c r="H18" s="6"/>
      <c r="I18" s="6"/>
      <c r="J18" s="6"/>
      <c r="K18" s="6"/>
      <c r="L18" s="10">
        <f ca="1">IFERROR('RPK (live)'!L18/'ASK (live)'!L18,"-")</f>
        <v>0.83057900149844954</v>
      </c>
      <c r="M18" s="10">
        <f ca="1">IFERROR('RPK (live)'!M18/'ASK (live)'!M18,"-")</f>
        <v>0.89083234976490189</v>
      </c>
      <c r="N18" s="10">
        <f ca="1">IFERROR('RPK (live)'!N18/'ASK (live)'!N18,"-")</f>
        <v>0.89886258978246836</v>
      </c>
      <c r="O18" s="10">
        <f ca="1">IFERROR('RPK (live)'!O18/'ASK (live)'!O18,"-")</f>
        <v>0.85709240832033051</v>
      </c>
      <c r="P18" s="10">
        <f ca="1">IFERROR('RPK (live)'!P18/'ASK (live)'!P18,"-")</f>
        <v>0.90360790689334436</v>
      </c>
      <c r="Q18" s="10">
        <f ca="1">IFERROR('RPK (live)'!Q18/'ASK (live)'!Q18,"-")</f>
        <v>0.94164682933058619</v>
      </c>
      <c r="R18" s="10">
        <f ca="1">IFERROR('RPK (live)'!R18/'ASK (live)'!R18,"-")</f>
        <v>0.90506351404163043</v>
      </c>
      <c r="S18" s="10">
        <f ca="1">IFERROR('RPK (live)'!S18/'ASK (live)'!S18,"-")</f>
        <v>0.9060393129548896</v>
      </c>
      <c r="T18" s="10">
        <f ca="1">IFERROR('RPK (live)'!T18/'ASK (live)'!T18,"-")</f>
        <v>0.85778859216144077</v>
      </c>
      <c r="U18" s="10">
        <f ca="1">IFERROR('RPK (live)'!U18/'ASK (live)'!U18,"-")</f>
        <v>0.889775059151244</v>
      </c>
      <c r="V18" s="10">
        <f ca="1">IFERROR('RPK (live)'!V18/'ASK (live)'!V18,"-")</f>
        <v>0.98133964736156687</v>
      </c>
      <c r="W18" s="10">
        <f ca="1">IFERROR('RPK (live)'!W18/'ASK (live)'!W18,"-")</f>
        <v>0.92030365317541774</v>
      </c>
      <c r="X18" s="10">
        <f ca="1">IFERROR('RPK (live)'!X18/'ASK (live)'!X18,"-")</f>
        <v>0.95105360734480071</v>
      </c>
      <c r="Y18" s="10">
        <f ca="1">IFERROR('RPK (live)'!Y18/'ASK (live)'!Y18,"-")</f>
        <v>0.98563668559031237</v>
      </c>
      <c r="Z18" s="10">
        <f ca="1">IFERROR('RPK (live)'!Z18/'ASK (live)'!Z18,"-")</f>
        <v>0.95684097378280797</v>
      </c>
      <c r="AA18" s="10">
        <f ca="1">IFERROR('RPK (live)'!AA18/'ASK (live)'!AA18,"-")</f>
        <v>0.90858227348102671</v>
      </c>
      <c r="AB18" s="10">
        <f ca="1">IFERROR('RPK (live)'!AB18/'ASK (live)'!AB18,"-")</f>
        <v>0.88949415127534759</v>
      </c>
      <c r="AC18" s="10">
        <f ca="1">IFERROR('RPK (live)'!AC18/'ASK (live)'!AC18,"-")</f>
        <v>0.93346936057606056</v>
      </c>
      <c r="AD18" s="10">
        <f ca="1">IFERROR('RPK (live)'!AD18/'ASK (live)'!AD18,"-")</f>
        <v>0.94903166055278021</v>
      </c>
      <c r="AE18" s="10">
        <f ca="1">IFERROR('RPK (live)'!AE18/'ASK (live)'!AE18,"-")</f>
        <v>0.8799739827800287</v>
      </c>
    </row>
    <row r="19" spans="1:31">
      <c r="A19" s="1" t="s">
        <v>152</v>
      </c>
      <c r="B19" s="5" t="s">
        <v>165</v>
      </c>
      <c r="C19" s="5" t="s">
        <v>166</v>
      </c>
      <c r="D19" s="5" t="s">
        <v>21</v>
      </c>
      <c r="E19" s="5" t="s">
        <v>31</v>
      </c>
      <c r="F19" s="5" t="s">
        <v>22</v>
      </c>
      <c r="G19" s="6"/>
      <c r="H19" s="6"/>
      <c r="I19" s="6"/>
      <c r="J19" s="6"/>
      <c r="K19" s="6"/>
      <c r="L19" s="10">
        <f ca="1">IFERROR('RPK (live)'!L19/'ASK (live)'!L19,"-")</f>
        <v>0.91999999999999982</v>
      </c>
      <c r="M19" s="10">
        <f ca="1">IFERROR('RPK (live)'!M19/'ASK (live)'!M19,"-")</f>
        <v>0.96186747180036514</v>
      </c>
      <c r="N19" s="10">
        <f ca="1">IFERROR('RPK (live)'!N19/'ASK (live)'!N19,"-")</f>
        <v>0.91</v>
      </c>
      <c r="O19" s="10">
        <f ca="1">IFERROR('RPK (live)'!O19/'ASK (live)'!O19,"-")</f>
        <v>0.83999999999999986</v>
      </c>
      <c r="P19" s="10">
        <f ca="1">IFERROR('RPK (live)'!P19/'ASK (live)'!P19,"-")</f>
        <v>0.89000000000000012</v>
      </c>
      <c r="Q19" s="10">
        <f ca="1">IFERROR('RPK (live)'!Q19/'ASK (live)'!Q19,"-")</f>
        <v>0.8899999999999999</v>
      </c>
      <c r="R19" s="10">
        <f ca="1">IFERROR('RPK (live)'!R19/'ASK (live)'!R19,"-")</f>
        <v>0.84</v>
      </c>
      <c r="S19" s="10">
        <f ca="1">IFERROR('RPK (live)'!S19/'ASK (live)'!S19,"-")</f>
        <v>0.81</v>
      </c>
      <c r="T19" s="10">
        <f ca="1">IFERROR('RPK (live)'!T19/'ASK (live)'!T19,"-")</f>
        <v>0.75993588972513415</v>
      </c>
      <c r="U19" s="10">
        <f ca="1">IFERROR('RPK (live)'!U19/'ASK (live)'!U19,"-")</f>
        <v>0.71674752341289383</v>
      </c>
      <c r="V19" s="10">
        <f ca="1">IFERROR('RPK (live)'!V19/'ASK (live)'!V19,"-")</f>
        <v>0.85661831883386286</v>
      </c>
      <c r="W19" s="10">
        <f ca="1">IFERROR('RPK (live)'!W19/'ASK (live)'!W19,"-")</f>
        <v>0.80378530683046157</v>
      </c>
      <c r="X19" s="10">
        <f ca="1">IFERROR('RPK (live)'!X19/'ASK (live)'!X19,"-")</f>
        <v>0.95604938697483122</v>
      </c>
      <c r="Y19" s="10">
        <f ca="1">IFERROR('RPK (live)'!Y19/'ASK (live)'!Y19,"-")</f>
        <v>0.98272766236460185</v>
      </c>
      <c r="Z19" s="10">
        <f ca="1">IFERROR('RPK (live)'!Z19/'ASK (live)'!Z19,"-")</f>
        <v>0.95013156327106318</v>
      </c>
      <c r="AA19" s="10">
        <f ca="1">IFERROR('RPK (live)'!AA19/'ASK (live)'!AA19,"-")</f>
        <v>0.80499786157238995</v>
      </c>
      <c r="AB19" s="10">
        <f ca="1">IFERROR('RPK (live)'!AB19/'ASK (live)'!AB19,"-")</f>
        <v>0.92888937948170569</v>
      </c>
      <c r="AC19" s="10">
        <f ca="1">IFERROR('RPK (live)'!AC19/'ASK (live)'!AC19,"-")</f>
        <v>0.98416889262017326</v>
      </c>
      <c r="AD19" s="10">
        <f ca="1">IFERROR('RPK (live)'!AD19/'ASK (live)'!AD19,"-")</f>
        <v>0.91646406746814235</v>
      </c>
      <c r="AE19" s="10">
        <f ca="1">IFERROR('RPK (live)'!AE19/'ASK (live)'!AE19,"-")</f>
        <v>0.84904181783063004</v>
      </c>
    </row>
    <row r="20" spans="1:31">
      <c r="A20" s="1" t="s">
        <v>152</v>
      </c>
      <c r="B20" s="5" t="s">
        <v>29</v>
      </c>
      <c r="C20" s="5" t="s">
        <v>30</v>
      </c>
      <c r="D20" s="5" t="s">
        <v>31</v>
      </c>
      <c r="E20" s="5" t="s">
        <v>21</v>
      </c>
      <c r="F20" s="5" t="s">
        <v>22</v>
      </c>
      <c r="G20" s="6"/>
      <c r="H20" s="6"/>
      <c r="I20" s="6"/>
      <c r="J20" s="6"/>
      <c r="K20" s="6"/>
      <c r="L20" s="10">
        <f ca="1">IFERROR('RPK (live)'!L20/'ASK (live)'!L20,"-")</f>
        <v>0.91999999999999982</v>
      </c>
      <c r="M20" s="10">
        <f ca="1">IFERROR('RPK (live)'!M20/'ASK (live)'!M20,"-")</f>
        <v>0.96186747180036514</v>
      </c>
      <c r="N20" s="10">
        <f ca="1">IFERROR('RPK (live)'!N20/'ASK (live)'!N20,"-")</f>
        <v>0.91</v>
      </c>
      <c r="O20" s="10">
        <f ca="1">IFERROR('RPK (live)'!O20/'ASK (live)'!O20,"-")</f>
        <v>0.83999999999999986</v>
      </c>
      <c r="P20" s="10">
        <f ca="1">IFERROR('RPK (live)'!P20/'ASK (live)'!P20,"-")</f>
        <v>0.89000000000000012</v>
      </c>
      <c r="Q20" s="10">
        <f ca="1">IFERROR('RPK (live)'!Q20/'ASK (live)'!Q20,"-")</f>
        <v>0.8899999999999999</v>
      </c>
      <c r="R20" s="10">
        <f ca="1">IFERROR('RPK (live)'!R20/'ASK (live)'!R20,"-")</f>
        <v>0.84</v>
      </c>
      <c r="S20" s="10">
        <f ca="1">IFERROR('RPK (live)'!S20/'ASK (live)'!S20,"-")</f>
        <v>0.81</v>
      </c>
      <c r="T20" s="10">
        <f ca="1">IFERROR('RPK (live)'!T20/'ASK (live)'!T20,"-")</f>
        <v>0.75993588972513415</v>
      </c>
      <c r="U20" s="10">
        <f ca="1">IFERROR('RPK (live)'!U20/'ASK (live)'!U20,"-")</f>
        <v>0.71674752341289383</v>
      </c>
      <c r="V20" s="10">
        <f ca="1">IFERROR('RPK (live)'!V20/'ASK (live)'!V20,"-")</f>
        <v>0.85661831883386286</v>
      </c>
      <c r="W20" s="10">
        <f ca="1">IFERROR('RPK (live)'!W20/'ASK (live)'!W20,"-")</f>
        <v>0.80378530683046157</v>
      </c>
      <c r="X20" s="10">
        <f ca="1">IFERROR('RPK (live)'!X20/'ASK (live)'!X20,"-")</f>
        <v>0.95604938697483122</v>
      </c>
      <c r="Y20" s="10">
        <f ca="1">IFERROR('RPK (live)'!Y20/'ASK (live)'!Y20,"-")</f>
        <v>0.98272766236460185</v>
      </c>
      <c r="Z20" s="10">
        <f ca="1">IFERROR('RPK (live)'!Z20/'ASK (live)'!Z20,"-")</f>
        <v>0.95013156327106318</v>
      </c>
      <c r="AA20" s="10">
        <f ca="1">IFERROR('RPK (live)'!AA20/'ASK (live)'!AA20,"-")</f>
        <v>0.80499786157238995</v>
      </c>
      <c r="AB20" s="10">
        <f ca="1">IFERROR('RPK (live)'!AB20/'ASK (live)'!AB20,"-")</f>
        <v>0.92888937948170569</v>
      </c>
      <c r="AC20" s="10">
        <f ca="1">IFERROR('RPK (live)'!AC20/'ASK (live)'!AC20,"-")</f>
        <v>0.98416889262017326</v>
      </c>
      <c r="AD20" s="10">
        <f ca="1">IFERROR('RPK (live)'!AD20/'ASK (live)'!AD20,"-")</f>
        <v>0.91646406746814235</v>
      </c>
      <c r="AE20" s="10">
        <f ca="1">IFERROR('RPK (live)'!AE20/'ASK (live)'!AE20,"-")</f>
        <v>0.84904181783063037</v>
      </c>
    </row>
    <row r="21" spans="1:31">
      <c r="A21" s="1" t="s">
        <v>152</v>
      </c>
      <c r="B21" s="5" t="s">
        <v>167</v>
      </c>
      <c r="C21" s="5" t="s">
        <v>168</v>
      </c>
      <c r="D21" s="5" t="s">
        <v>21</v>
      </c>
      <c r="E21" s="5" t="s">
        <v>76</v>
      </c>
      <c r="F21" s="5" t="s">
        <v>22</v>
      </c>
      <c r="G21" s="6"/>
      <c r="H21" s="6"/>
      <c r="I21" s="6"/>
      <c r="J21" s="6"/>
      <c r="K21" s="6"/>
      <c r="L21" s="10">
        <f ca="1">IFERROR('RPK (live)'!L21/'ASK (live)'!L21,"-")</f>
        <v>0.92999999999999994</v>
      </c>
      <c r="M21" s="10">
        <f ca="1">IFERROR('RPK (live)'!M21/'ASK (live)'!M21,"-")</f>
        <v>0.97199239255615844</v>
      </c>
      <c r="N21" s="10">
        <f ca="1">IFERROR('RPK (live)'!N21/'ASK (live)'!N21,"-")</f>
        <v>0.85999999999999988</v>
      </c>
      <c r="O21" s="10">
        <f ca="1">IFERROR('RPK (live)'!O21/'ASK (live)'!O21,"-")</f>
        <v>0.8600000000000001</v>
      </c>
      <c r="P21" s="10">
        <f ca="1">IFERROR('RPK (live)'!P21/'ASK (live)'!P21,"-")</f>
        <v>0.84</v>
      </c>
      <c r="Q21" s="10">
        <f ca="1">IFERROR('RPK (live)'!Q21/'ASK (live)'!Q21,"-")</f>
        <v>0.82</v>
      </c>
      <c r="R21" s="10">
        <f ca="1">IFERROR('RPK (live)'!R21/'ASK (live)'!R21,"-")</f>
        <v>0.85999999999999988</v>
      </c>
      <c r="S21" s="10">
        <f ca="1">IFERROR('RPK (live)'!S21/'ASK (live)'!S21,"-")</f>
        <v>0.82</v>
      </c>
      <c r="T21" s="10">
        <f ca="1">IFERROR('RPK (live)'!T21/'ASK (live)'!T21,"-")</f>
        <v>0.84246396255672318</v>
      </c>
      <c r="U21" s="10">
        <f ca="1">IFERROR('RPK (live)'!U21/'ASK (live)'!U21,"-")</f>
        <v>0.88420489103577327</v>
      </c>
      <c r="V21" s="10">
        <f ca="1">IFERROR('RPK (live)'!V21/'ASK (live)'!V21,"-")</f>
        <v>0.89061621734375607</v>
      </c>
      <c r="W21" s="10">
        <f ca="1">IFERROR('RPK (live)'!W21/'ASK (live)'!W21,"-")</f>
        <v>0.84705639038540093</v>
      </c>
      <c r="X21" s="10">
        <f ca="1">IFERROR('RPK (live)'!X21/'ASK (live)'!X21,"-")</f>
        <v>0.99051911298780126</v>
      </c>
      <c r="Y21" s="10">
        <f ca="1">IFERROR('RPK (live)'!Y21/'ASK (live)'!Y21,"-")</f>
        <v>0.99051911298780115</v>
      </c>
      <c r="Z21" s="10">
        <f ca="1">IFERROR('RPK (live)'!Z21/'ASK (live)'!Z21,"-")</f>
        <v>0.98011640696282987</v>
      </c>
      <c r="AA21" s="10">
        <f ca="1">IFERROR('RPK (live)'!AA21/'ASK (live)'!AA21,"-")</f>
        <v>0.97635865993742188</v>
      </c>
      <c r="AB21" s="10">
        <f ca="1">IFERROR('RPK (live)'!AB21/'ASK (live)'!AB21,"-")</f>
        <v>0.95358783621325727</v>
      </c>
      <c r="AC21" s="10">
        <f ca="1">IFERROR('RPK (live)'!AC21/'ASK (live)'!AC21,"-")</f>
        <v>0.95285614496971305</v>
      </c>
      <c r="AD21" s="10">
        <f ca="1">IFERROR('RPK (live)'!AD21/'ASK (live)'!AD21,"-")</f>
        <v>0.93154572709497951</v>
      </c>
      <c r="AE21" s="10">
        <f ca="1">IFERROR('RPK (live)'!AE21/'ASK (live)'!AE21,"-")</f>
        <v>0.72773675117192671</v>
      </c>
    </row>
    <row r="22" spans="1:31">
      <c r="A22" s="1" t="s">
        <v>152</v>
      </c>
      <c r="B22" s="5" t="s">
        <v>74</v>
      </c>
      <c r="C22" s="5" t="s">
        <v>75</v>
      </c>
      <c r="D22" s="5" t="s">
        <v>76</v>
      </c>
      <c r="E22" s="5" t="s">
        <v>21</v>
      </c>
      <c r="F22" s="5" t="s">
        <v>22</v>
      </c>
      <c r="G22" s="6"/>
      <c r="H22" s="6"/>
      <c r="I22" s="6"/>
      <c r="J22" s="6"/>
      <c r="K22" s="6"/>
      <c r="L22" s="10">
        <f ca="1">IFERROR('RPK (live)'!L22/'ASK (live)'!L22,"-")</f>
        <v>0.92999999999999994</v>
      </c>
      <c r="M22" s="10">
        <f ca="1">IFERROR('RPK (live)'!M22/'ASK (live)'!M22,"-")</f>
        <v>0.97199239255615844</v>
      </c>
      <c r="N22" s="10">
        <f ca="1">IFERROR('RPK (live)'!N22/'ASK (live)'!N22,"-")</f>
        <v>0.85999999999999988</v>
      </c>
      <c r="O22" s="10">
        <f ca="1">IFERROR('RPK (live)'!O22/'ASK (live)'!O22,"-")</f>
        <v>0.8600000000000001</v>
      </c>
      <c r="P22" s="10">
        <f ca="1">IFERROR('RPK (live)'!P22/'ASK (live)'!P22,"-")</f>
        <v>0.84</v>
      </c>
      <c r="Q22" s="10">
        <f ca="1">IFERROR('RPK (live)'!Q22/'ASK (live)'!Q22,"-")</f>
        <v>0.82</v>
      </c>
      <c r="R22" s="10">
        <f ca="1">IFERROR('RPK (live)'!R22/'ASK (live)'!R22,"-")</f>
        <v>0.85999999999999988</v>
      </c>
      <c r="S22" s="10">
        <f ca="1">IFERROR('RPK (live)'!S22/'ASK (live)'!S22,"-")</f>
        <v>0.82</v>
      </c>
      <c r="T22" s="10">
        <f ca="1">IFERROR('RPK (live)'!T22/'ASK (live)'!T22,"-")</f>
        <v>0.84246396255672318</v>
      </c>
      <c r="U22" s="10">
        <f ca="1">IFERROR('RPK (live)'!U22/'ASK (live)'!U22,"-")</f>
        <v>0.88420489103577327</v>
      </c>
      <c r="V22" s="10">
        <f ca="1">IFERROR('RPK (live)'!V22/'ASK (live)'!V22,"-")</f>
        <v>0.89061621734375607</v>
      </c>
      <c r="W22" s="10">
        <f ca="1">IFERROR('RPK (live)'!W22/'ASK (live)'!W22,"-")</f>
        <v>0.84705639038540093</v>
      </c>
      <c r="X22" s="10">
        <f ca="1">IFERROR('RPK (live)'!X22/'ASK (live)'!X22,"-")</f>
        <v>0.99051911298780126</v>
      </c>
      <c r="Y22" s="10">
        <f ca="1">IFERROR('RPK (live)'!Y22/'ASK (live)'!Y22,"-")</f>
        <v>0.99051911298780115</v>
      </c>
      <c r="Z22" s="10">
        <f ca="1">IFERROR('RPK (live)'!Z22/'ASK (live)'!Z22,"-")</f>
        <v>0.98011640696282987</v>
      </c>
      <c r="AA22" s="10">
        <f ca="1">IFERROR('RPK (live)'!AA22/'ASK (live)'!AA22,"-")</f>
        <v>0.97635865993742188</v>
      </c>
      <c r="AB22" s="10">
        <f ca="1">IFERROR('RPK (live)'!AB22/'ASK (live)'!AB22,"-")</f>
        <v>0.95358783621325727</v>
      </c>
      <c r="AC22" s="10">
        <f ca="1">IFERROR('RPK (live)'!AC22/'ASK (live)'!AC22,"-")</f>
        <v>0.95285614496971305</v>
      </c>
      <c r="AD22" s="10">
        <f ca="1">IFERROR('RPK (live)'!AD22/'ASK (live)'!AD22,"-")</f>
        <v>0.93154572709497951</v>
      </c>
      <c r="AE22" s="10">
        <f ca="1">IFERROR('RPK (live)'!AE22/'ASK (live)'!AE22,"-")</f>
        <v>0.72773675117192671</v>
      </c>
    </row>
    <row r="23" spans="1:31">
      <c r="A23" s="1" t="s">
        <v>152</v>
      </c>
      <c r="B23" s="5" t="s">
        <v>169</v>
      </c>
      <c r="C23" s="5" t="s">
        <v>170</v>
      </c>
      <c r="D23" s="5" t="s">
        <v>21</v>
      </c>
      <c r="E23" s="5" t="s">
        <v>35</v>
      </c>
      <c r="F23" s="5" t="s">
        <v>22</v>
      </c>
      <c r="G23" s="6"/>
      <c r="H23" s="6"/>
      <c r="I23" s="6"/>
      <c r="J23" s="6"/>
      <c r="K23" s="6"/>
      <c r="L23" s="10">
        <f ca="1">IFERROR('RPK (live)'!L23/'ASK (live)'!L23,"-")</f>
        <v>0.83</v>
      </c>
      <c r="M23" s="10">
        <f ca="1">IFERROR('RPK (live)'!M23/'ASK (live)'!M23,"-")</f>
        <v>0.86061826424243204</v>
      </c>
      <c r="N23" s="10">
        <f ca="1">IFERROR('RPK (live)'!N23/'ASK (live)'!N23,"-")</f>
        <v>0.85</v>
      </c>
      <c r="O23" s="10">
        <f ca="1">IFERROR('RPK (live)'!O23/'ASK (live)'!O23,"-")</f>
        <v>0.75</v>
      </c>
      <c r="P23" s="10">
        <f ca="1">IFERROR('RPK (live)'!P23/'ASK (live)'!P23,"-")</f>
        <v>0.85</v>
      </c>
      <c r="Q23" s="10">
        <f ca="1">IFERROR('RPK (live)'!Q23/'ASK (live)'!Q23,"-")</f>
        <v>0.83</v>
      </c>
      <c r="R23" s="10">
        <f ca="1">IFERROR('RPK (live)'!R23/'ASK (live)'!R23,"-")</f>
        <v>0.76</v>
      </c>
      <c r="S23" s="10">
        <f ca="1">IFERROR('RPK (live)'!S23/'ASK (live)'!S23,"-")</f>
        <v>0.69</v>
      </c>
      <c r="T23" s="10">
        <f ca="1">IFERROR('RPK (live)'!T23/'ASK (live)'!T23,"-")</f>
        <v>0.43782380236222213</v>
      </c>
      <c r="U23" s="10">
        <f ca="1">IFERROR('RPK (live)'!U23/'ASK (live)'!U23,"-")</f>
        <v>0.45600506658545947</v>
      </c>
      <c r="V23" s="10">
        <f ca="1">IFERROR('RPK (live)'!V23/'ASK (live)'!V23,"-")</f>
        <v>0.6805289776704021</v>
      </c>
      <c r="W23" s="10">
        <f ca="1">IFERROR('RPK (live)'!W23/'ASK (live)'!W23,"-")</f>
        <v>0.82072668206764987</v>
      </c>
      <c r="X23" s="10">
        <f ca="1">IFERROR('RPK (live)'!X23/'ASK (live)'!X23,"-")</f>
        <v>0.95584853569439732</v>
      </c>
      <c r="Y23" s="10">
        <f ca="1">IFERROR('RPK (live)'!Y23/'ASK (live)'!Y23,"-")</f>
        <v>0.95654814136926969</v>
      </c>
      <c r="Z23" s="10">
        <f ca="1">IFERROR('RPK (live)'!Z23/'ASK (live)'!Z23,"-")</f>
        <v>0.89440383246655242</v>
      </c>
      <c r="AA23" s="10">
        <f ca="1">IFERROR('RPK (live)'!AA23/'ASK (live)'!AA23,"-")</f>
        <v>0.79654001170786071</v>
      </c>
      <c r="AB23" s="10">
        <f ca="1">IFERROR('RPK (live)'!AB23/'ASK (live)'!AB23,"-")</f>
        <v>0.81935023389627548</v>
      </c>
      <c r="AC23" s="10">
        <f ca="1">IFERROR('RPK (live)'!AC23/'ASK (live)'!AC23,"-")</f>
        <v>0.82938798889204901</v>
      </c>
      <c r="AD23" s="10">
        <f ca="1">IFERROR('RPK (live)'!AD23/'ASK (live)'!AD23,"-")</f>
        <v>0.75699945197237195</v>
      </c>
      <c r="AE23" s="10">
        <f ca="1">IFERROR('RPK (live)'!AE23/'ASK (live)'!AE23,"-")</f>
        <v>0.71481283433593745</v>
      </c>
    </row>
    <row r="24" spans="1:31">
      <c r="A24" s="1" t="s">
        <v>152</v>
      </c>
      <c r="B24" s="5" t="s">
        <v>33</v>
      </c>
      <c r="C24" s="5" t="s">
        <v>34</v>
      </c>
      <c r="D24" s="5" t="s">
        <v>35</v>
      </c>
      <c r="E24" s="5" t="s">
        <v>21</v>
      </c>
      <c r="F24" s="5" t="s">
        <v>22</v>
      </c>
      <c r="G24" s="6"/>
      <c r="H24" s="6"/>
      <c r="I24" s="6"/>
      <c r="J24" s="6"/>
      <c r="K24" s="6"/>
      <c r="L24" s="10">
        <f ca="1">IFERROR('RPK (live)'!L24/'ASK (live)'!L24,"-")</f>
        <v>0.83</v>
      </c>
      <c r="M24" s="10">
        <f ca="1">IFERROR('RPK (live)'!M24/'ASK (live)'!M24,"-")</f>
        <v>0.86061826424243204</v>
      </c>
      <c r="N24" s="10">
        <f ca="1">IFERROR('RPK (live)'!N24/'ASK (live)'!N24,"-")</f>
        <v>0.85</v>
      </c>
      <c r="O24" s="10">
        <f ca="1">IFERROR('RPK (live)'!O24/'ASK (live)'!O24,"-")</f>
        <v>0.75</v>
      </c>
      <c r="P24" s="10">
        <f ca="1">IFERROR('RPK (live)'!P24/'ASK (live)'!P24,"-")</f>
        <v>0.85</v>
      </c>
      <c r="Q24" s="10">
        <f ca="1">IFERROR('RPK (live)'!Q24/'ASK (live)'!Q24,"-")</f>
        <v>0.83</v>
      </c>
      <c r="R24" s="10">
        <f ca="1">IFERROR('RPK (live)'!R24/'ASK (live)'!R24,"-")</f>
        <v>0.76</v>
      </c>
      <c r="S24" s="10">
        <f ca="1">IFERROR('RPK (live)'!S24/'ASK (live)'!S24,"-")</f>
        <v>0.69</v>
      </c>
      <c r="T24" s="10">
        <f ca="1">IFERROR('RPK (live)'!T24/'ASK (live)'!T24,"-")</f>
        <v>0.43782380236222213</v>
      </c>
      <c r="U24" s="10">
        <f ca="1">IFERROR('RPK (live)'!U24/'ASK (live)'!U24,"-")</f>
        <v>0.45600506658545947</v>
      </c>
      <c r="V24" s="10">
        <f ca="1">IFERROR('RPK (live)'!V24/'ASK (live)'!V24,"-")</f>
        <v>0.6805289776704021</v>
      </c>
      <c r="W24" s="10">
        <f ca="1">IFERROR('RPK (live)'!W24/'ASK (live)'!W24,"-")</f>
        <v>0.82072668206764987</v>
      </c>
      <c r="X24" s="10">
        <f ca="1">IFERROR('RPK (live)'!X24/'ASK (live)'!X24,"-")</f>
        <v>0.95584853569439732</v>
      </c>
      <c r="Y24" s="10">
        <f ca="1">IFERROR('RPK (live)'!Y24/'ASK (live)'!Y24,"-")</f>
        <v>0.95654814136926969</v>
      </c>
      <c r="Z24" s="10">
        <f ca="1">IFERROR('RPK (live)'!Z24/'ASK (live)'!Z24,"-")</f>
        <v>0.89440383246655242</v>
      </c>
      <c r="AA24" s="10">
        <f ca="1">IFERROR('RPK (live)'!AA24/'ASK (live)'!AA24,"-")</f>
        <v>0.79654001170786071</v>
      </c>
      <c r="AB24" s="10">
        <f ca="1">IFERROR('RPK (live)'!AB24/'ASK (live)'!AB24,"-")</f>
        <v>0.81935023389627548</v>
      </c>
      <c r="AC24" s="10">
        <f ca="1">IFERROR('RPK (live)'!AC24/'ASK (live)'!AC24,"-")</f>
        <v>0.82938798889204901</v>
      </c>
      <c r="AD24" s="10">
        <f ca="1">IFERROR('RPK (live)'!AD24/'ASK (live)'!AD24,"-")</f>
        <v>0.75699945197237195</v>
      </c>
      <c r="AE24" s="10">
        <f ca="1">IFERROR('RPK (live)'!AE24/'ASK (live)'!AE24,"-")</f>
        <v>0.71481283433593745</v>
      </c>
    </row>
    <row r="25" spans="1:31">
      <c r="A25" s="1" t="s">
        <v>152</v>
      </c>
      <c r="B25" s="5" t="s">
        <v>171</v>
      </c>
      <c r="C25" s="5" t="s">
        <v>163</v>
      </c>
      <c r="D25" s="5" t="s">
        <v>21</v>
      </c>
      <c r="E25" s="5" t="s">
        <v>54</v>
      </c>
      <c r="F25" s="5" t="s">
        <v>22</v>
      </c>
      <c r="G25" s="6"/>
      <c r="H25" s="6"/>
      <c r="I25" s="6"/>
      <c r="J25" s="6"/>
      <c r="K25" s="6"/>
      <c r="L25" s="10">
        <f ca="1">IFERROR('RPK (live)'!L25/'ASK (live)'!L25,"-")</f>
        <v>0.88</v>
      </c>
      <c r="M25" s="10">
        <f ca="1">IFERROR('RPK (live)'!M25/'ASK (live)'!M25,"-")</f>
        <v>0.96186747180036514</v>
      </c>
      <c r="N25" s="10">
        <f ca="1">IFERROR('RPK (live)'!N25/'ASK (live)'!N25,"-")</f>
        <v>0.96000000000000008</v>
      </c>
      <c r="O25" s="10">
        <f ca="1">IFERROR('RPK (live)'!O25/'ASK (live)'!O25,"-")</f>
        <v>0.95</v>
      </c>
      <c r="P25" s="10">
        <f ca="1">IFERROR('RPK (live)'!P25/'ASK (live)'!P25,"-")</f>
        <v>0.94</v>
      </c>
      <c r="Q25" s="10">
        <f ca="1">IFERROR('RPK (live)'!Q25/'ASK (live)'!Q25,"-")</f>
        <v>0.9</v>
      </c>
      <c r="R25" s="10">
        <f ca="1">IFERROR('RPK (live)'!R25/'ASK (live)'!R25,"-")</f>
        <v>0.92</v>
      </c>
      <c r="S25" s="10">
        <f ca="1">IFERROR('RPK (live)'!S25/'ASK (live)'!S25,"-")</f>
        <v>0.90000000000000013</v>
      </c>
      <c r="T25" s="10">
        <f ca="1">IFERROR('RPK (live)'!T25/'ASK (live)'!T25,"-")</f>
        <v>0.81881538598039816</v>
      </c>
      <c r="U25" s="10">
        <f ca="1">IFERROR('RPK (live)'!U25/'ASK (live)'!U25,"-")</f>
        <v>0.87918768925867596</v>
      </c>
      <c r="V25" s="10">
        <f ca="1">IFERROR('RPK (live)'!V25/'ASK (live)'!V25,"-")</f>
        <v>0.9905191129878016</v>
      </c>
      <c r="W25" s="10">
        <f ca="1">IFERROR('RPK (live)'!W25/'ASK (live)'!W25,"-")</f>
        <v>0.9866492098902947</v>
      </c>
      <c r="X25" s="10">
        <f ca="1">IFERROR('RPK (live)'!X25/'ASK (live)'!X25,"-")</f>
        <v>0.99051911298780138</v>
      </c>
      <c r="Y25" s="10">
        <f ca="1">IFERROR('RPK (live)'!Y25/'ASK (live)'!Y25,"-")</f>
        <v>0.99051911298780138</v>
      </c>
      <c r="Z25" s="10">
        <f ca="1">IFERROR('RPK (live)'!Z25/'ASK (live)'!Z25,"-")</f>
        <v>0.9905191129878016</v>
      </c>
      <c r="AA25" s="10">
        <f ca="1">IFERROR('RPK (live)'!AA25/'ASK (live)'!AA25,"-")</f>
        <v>0.99051911298780126</v>
      </c>
      <c r="AB25" s="10">
        <f ca="1">IFERROR('RPK (live)'!AB25/'ASK (live)'!AB25,"-")</f>
        <v>0.95273412551114534</v>
      </c>
      <c r="AC25" s="10">
        <f ca="1">IFERROR('RPK (live)'!AC25/'ASK (live)'!AC25,"-")</f>
        <v>0.94242121637937248</v>
      </c>
      <c r="AD25" s="10">
        <f ca="1">IFERROR('RPK (live)'!AD25/'ASK (live)'!AD25,"-")</f>
        <v>0.9905191129878016</v>
      </c>
      <c r="AE25" s="10">
        <f ca="1">IFERROR('RPK (live)'!AE25/'ASK (live)'!AE25,"-")</f>
        <v>0.92405556748581341</v>
      </c>
    </row>
    <row r="26" spans="1:31">
      <c r="A26" s="1" t="s">
        <v>152</v>
      </c>
      <c r="B26" s="5" t="s">
        <v>55</v>
      </c>
      <c r="C26" s="5" t="s">
        <v>53</v>
      </c>
      <c r="D26" s="5" t="s">
        <v>54</v>
      </c>
      <c r="E26" s="5" t="s">
        <v>21</v>
      </c>
      <c r="F26" s="5" t="s">
        <v>22</v>
      </c>
      <c r="G26" s="6"/>
      <c r="H26" s="6"/>
      <c r="I26" s="6"/>
      <c r="J26" s="6"/>
      <c r="K26" s="6"/>
      <c r="L26" s="10">
        <f ca="1">IFERROR('RPK (live)'!L26/'ASK (live)'!L26,"-")</f>
        <v>0.88</v>
      </c>
      <c r="M26" s="10">
        <f ca="1">IFERROR('RPK (live)'!M26/'ASK (live)'!M26,"-")</f>
        <v>0.96186747180036514</v>
      </c>
      <c r="N26" s="10">
        <f ca="1">IFERROR('RPK (live)'!N26/'ASK (live)'!N26,"-")</f>
        <v>0.96000000000000008</v>
      </c>
      <c r="O26" s="10">
        <f ca="1">IFERROR('RPK (live)'!O26/'ASK (live)'!O26,"-")</f>
        <v>0.95</v>
      </c>
      <c r="P26" s="10">
        <f ca="1">IFERROR('RPK (live)'!P26/'ASK (live)'!P26,"-")</f>
        <v>0.94</v>
      </c>
      <c r="Q26" s="10">
        <f ca="1">IFERROR('RPK (live)'!Q26/'ASK (live)'!Q26,"-")</f>
        <v>0.9</v>
      </c>
      <c r="R26" s="10">
        <f ca="1">IFERROR('RPK (live)'!R26/'ASK (live)'!R26,"-")</f>
        <v>0.92</v>
      </c>
      <c r="S26" s="10">
        <f ca="1">IFERROR('RPK (live)'!S26/'ASK (live)'!S26,"-")</f>
        <v>0.90000000000000013</v>
      </c>
      <c r="T26" s="10">
        <f ca="1">IFERROR('RPK (live)'!T26/'ASK (live)'!T26,"-")</f>
        <v>0.81881538598039816</v>
      </c>
      <c r="U26" s="10">
        <f ca="1">IFERROR('RPK (live)'!U26/'ASK (live)'!U26,"-")</f>
        <v>0.87918768925867596</v>
      </c>
      <c r="V26" s="10">
        <f ca="1">IFERROR('RPK (live)'!V26/'ASK (live)'!V26,"-")</f>
        <v>0.9905191129878016</v>
      </c>
      <c r="W26" s="10">
        <f ca="1">IFERROR('RPK (live)'!W26/'ASK (live)'!W26,"-")</f>
        <v>0.9866492098902947</v>
      </c>
      <c r="X26" s="10">
        <f ca="1">IFERROR('RPK (live)'!X26/'ASK (live)'!X26,"-")</f>
        <v>0.99051911298780138</v>
      </c>
      <c r="Y26" s="10">
        <f ca="1">IFERROR('RPK (live)'!Y26/'ASK (live)'!Y26,"-")</f>
        <v>0.99051911298780138</v>
      </c>
      <c r="Z26" s="10">
        <f ca="1">IFERROR('RPK (live)'!Z26/'ASK (live)'!Z26,"-")</f>
        <v>0.9905191129878016</v>
      </c>
      <c r="AA26" s="10">
        <f ca="1">IFERROR('RPK (live)'!AA26/'ASK (live)'!AA26,"-")</f>
        <v>0.99051911298780126</v>
      </c>
      <c r="AB26" s="10">
        <f ca="1">IFERROR('RPK (live)'!AB26/'ASK (live)'!AB26,"-")</f>
        <v>0.95273412551114534</v>
      </c>
      <c r="AC26" s="10">
        <f ca="1">IFERROR('RPK (live)'!AC26/'ASK (live)'!AC26,"-")</f>
        <v>0.94242121637937248</v>
      </c>
      <c r="AD26" s="10">
        <f ca="1">IFERROR('RPK (live)'!AD26/'ASK (live)'!AD26,"-")</f>
        <v>0.9905191129878016</v>
      </c>
      <c r="AE26" s="10">
        <f ca="1">IFERROR('RPK (live)'!AE26/'ASK (live)'!AE26,"-")</f>
        <v>0.92405556748581319</v>
      </c>
    </row>
    <row r="27" spans="1:31">
      <c r="A27" s="1" t="s">
        <v>152</v>
      </c>
      <c r="B27" s="5" t="s">
        <v>172</v>
      </c>
      <c r="C27" s="5" t="s">
        <v>159</v>
      </c>
      <c r="D27" s="5" t="s">
        <v>21</v>
      </c>
      <c r="E27" s="5" t="s">
        <v>38</v>
      </c>
      <c r="F27" s="5" t="s">
        <v>22</v>
      </c>
      <c r="G27" s="6"/>
      <c r="H27" s="6"/>
      <c r="I27" s="6"/>
      <c r="J27" s="6"/>
      <c r="K27" s="6"/>
      <c r="L27" s="10">
        <f ca="1">IFERROR('RPK (live)'!L27/'ASK (live)'!L27,"-")</f>
        <v>0.83057900149844954</v>
      </c>
      <c r="M27" s="10">
        <f ca="1">IFERROR('RPK (live)'!M27/'ASK (live)'!M27,"-")</f>
        <v>0.89083234976490211</v>
      </c>
      <c r="N27" s="10">
        <f ca="1">IFERROR('RPK (live)'!N27/'ASK (live)'!N27,"-")</f>
        <v>0.89886258978246836</v>
      </c>
      <c r="O27" s="10">
        <f ca="1">IFERROR('RPK (live)'!O27/'ASK (live)'!O27,"-")</f>
        <v>0.85709240832033062</v>
      </c>
      <c r="P27" s="10">
        <f ca="1">IFERROR('RPK (live)'!P27/'ASK (live)'!P27,"-")</f>
        <v>0.90360790689334436</v>
      </c>
      <c r="Q27" s="10">
        <f ca="1">IFERROR('RPK (live)'!Q27/'ASK (live)'!Q27,"-")</f>
        <v>0.94164682933058619</v>
      </c>
      <c r="R27" s="10">
        <f ca="1">IFERROR('RPK (live)'!R27/'ASK (live)'!R27,"-")</f>
        <v>0.90506351404163032</v>
      </c>
      <c r="S27" s="10">
        <f ca="1">IFERROR('RPK (live)'!S27/'ASK (live)'!S27,"-")</f>
        <v>0.9060393129548896</v>
      </c>
      <c r="T27" s="10">
        <f ca="1">IFERROR('RPK (live)'!T27/'ASK (live)'!T27,"-")</f>
        <v>0.85778859216144054</v>
      </c>
      <c r="U27" s="10">
        <f ca="1">IFERROR('RPK (live)'!U27/'ASK (live)'!U27,"-")</f>
        <v>0.88977505915124422</v>
      </c>
      <c r="V27" s="10">
        <f ca="1">IFERROR('RPK (live)'!V27/'ASK (live)'!V27,"-")</f>
        <v>0.98133964736156687</v>
      </c>
      <c r="W27" s="10">
        <f ca="1">IFERROR('RPK (live)'!W27/'ASK (live)'!W27,"-")</f>
        <v>0.92030365317541751</v>
      </c>
      <c r="X27" s="10">
        <f ca="1">IFERROR('RPK (live)'!X27/'ASK (live)'!X27,"-")</f>
        <v>0.9510536073448006</v>
      </c>
      <c r="Y27" s="10">
        <f ca="1">IFERROR('RPK (live)'!Y27/'ASK (live)'!Y27,"-")</f>
        <v>0.98563668559031237</v>
      </c>
      <c r="Z27" s="10">
        <f ca="1">IFERROR('RPK (live)'!Z27/'ASK (live)'!Z27,"-")</f>
        <v>0.95684097378280786</v>
      </c>
      <c r="AA27" s="10">
        <f ca="1">IFERROR('RPK (live)'!AA27/'ASK (live)'!AA27,"-")</f>
        <v>0.90858227348102683</v>
      </c>
      <c r="AB27" s="10">
        <f ca="1">IFERROR('RPK (live)'!AB27/'ASK (live)'!AB27,"-")</f>
        <v>0.88949415127534748</v>
      </c>
      <c r="AC27" s="10">
        <f ca="1">IFERROR('RPK (live)'!AC27/'ASK (live)'!AC27,"-")</f>
        <v>0.93346936057606067</v>
      </c>
      <c r="AD27" s="10">
        <f ca="1">IFERROR('RPK (live)'!AD27/'ASK (live)'!AD27,"-")</f>
        <v>0.94903166055278054</v>
      </c>
      <c r="AE27" s="10">
        <f ca="1">IFERROR('RPK (live)'!AE27/'ASK (live)'!AE27,"-")</f>
        <v>0.87997398278002881</v>
      </c>
    </row>
    <row r="28" spans="1:31">
      <c r="A28" s="1" t="s">
        <v>152</v>
      </c>
      <c r="B28" s="5" t="s">
        <v>40</v>
      </c>
      <c r="C28" s="5" t="s">
        <v>37</v>
      </c>
      <c r="D28" s="5" t="s">
        <v>38</v>
      </c>
      <c r="E28" s="5" t="s">
        <v>21</v>
      </c>
      <c r="F28" s="5" t="s">
        <v>22</v>
      </c>
      <c r="G28" s="6"/>
      <c r="H28" s="6"/>
      <c r="I28" s="6"/>
      <c r="J28" s="6"/>
      <c r="K28" s="6"/>
      <c r="L28" s="10">
        <f ca="1">IFERROR('RPK (live)'!L28/'ASK (live)'!L28,"-")</f>
        <v>0.83057900149844954</v>
      </c>
      <c r="M28" s="10">
        <f ca="1">IFERROR('RPK (live)'!M28/'ASK (live)'!M28,"-")</f>
        <v>0.89083234976490211</v>
      </c>
      <c r="N28" s="10">
        <f ca="1">IFERROR('RPK (live)'!N28/'ASK (live)'!N28,"-")</f>
        <v>0.89886258978246836</v>
      </c>
      <c r="O28" s="10">
        <f ca="1">IFERROR('RPK (live)'!O28/'ASK (live)'!O28,"-")</f>
        <v>0.85709240832033062</v>
      </c>
      <c r="P28" s="10">
        <f ca="1">IFERROR('RPK (live)'!P28/'ASK (live)'!P28,"-")</f>
        <v>0.90360790689334436</v>
      </c>
      <c r="Q28" s="10">
        <f ca="1">IFERROR('RPK (live)'!Q28/'ASK (live)'!Q28,"-")</f>
        <v>0.94164682933058619</v>
      </c>
      <c r="R28" s="10">
        <f ca="1">IFERROR('RPK (live)'!R28/'ASK (live)'!R28,"-")</f>
        <v>0.90506351404163032</v>
      </c>
      <c r="S28" s="10">
        <f ca="1">IFERROR('RPK (live)'!S28/'ASK (live)'!S28,"-")</f>
        <v>0.9060393129548896</v>
      </c>
      <c r="T28" s="10">
        <f ca="1">IFERROR('RPK (live)'!T28/'ASK (live)'!T28,"-")</f>
        <v>0.85778859216144054</v>
      </c>
      <c r="U28" s="10">
        <f ca="1">IFERROR('RPK (live)'!U28/'ASK (live)'!U28,"-")</f>
        <v>0.88977505915124422</v>
      </c>
      <c r="V28" s="10">
        <f ca="1">IFERROR('RPK (live)'!V28/'ASK (live)'!V28,"-")</f>
        <v>0.98133964736156687</v>
      </c>
      <c r="W28" s="10">
        <f ca="1">IFERROR('RPK (live)'!W28/'ASK (live)'!W28,"-")</f>
        <v>0.92030365317541751</v>
      </c>
      <c r="X28" s="10">
        <f ca="1">IFERROR('RPK (live)'!X28/'ASK (live)'!X28,"-")</f>
        <v>0.9510536073448006</v>
      </c>
      <c r="Y28" s="10">
        <f ca="1">IFERROR('RPK (live)'!Y28/'ASK (live)'!Y28,"-")</f>
        <v>0.98563668559031237</v>
      </c>
      <c r="Z28" s="10">
        <f ca="1">IFERROR('RPK (live)'!Z28/'ASK (live)'!Z28,"-")</f>
        <v>0.95684097378280786</v>
      </c>
      <c r="AA28" s="10">
        <f ca="1">IFERROR('RPK (live)'!AA28/'ASK (live)'!AA28,"-")</f>
        <v>0.90858227348102683</v>
      </c>
      <c r="AB28" s="10">
        <f ca="1">IFERROR('RPK (live)'!AB28/'ASK (live)'!AB28,"-")</f>
        <v>0.88949415127534748</v>
      </c>
      <c r="AC28" s="10">
        <f ca="1">IFERROR('RPK (live)'!AC28/'ASK (live)'!AC28,"-")</f>
        <v>0.93346936057606067</v>
      </c>
      <c r="AD28" s="10">
        <f ca="1">IFERROR('RPK (live)'!AD28/'ASK (live)'!AD28,"-")</f>
        <v>0.94903166055278054</v>
      </c>
      <c r="AE28" s="10">
        <f ca="1">IFERROR('RPK (live)'!AE28/'ASK (live)'!AE28,"-")</f>
        <v>0.87997398278002881</v>
      </c>
    </row>
    <row r="29" spans="1:31">
      <c r="A29" s="1" t="s">
        <v>152</v>
      </c>
      <c r="B29" s="5" t="s">
        <v>173</v>
      </c>
      <c r="C29" s="5" t="s">
        <v>168</v>
      </c>
      <c r="D29" s="5" t="s">
        <v>21</v>
      </c>
      <c r="E29" s="5" t="s">
        <v>76</v>
      </c>
      <c r="F29" s="5" t="s">
        <v>22</v>
      </c>
      <c r="G29" s="6"/>
      <c r="H29" s="6"/>
      <c r="I29" s="6"/>
      <c r="J29" s="6"/>
      <c r="K29" s="6"/>
      <c r="L29" s="10">
        <f ca="1">IFERROR('RPK (live)'!L29/'ASK (live)'!L29,"-")</f>
        <v>0.92999999999999994</v>
      </c>
      <c r="M29" s="10">
        <f ca="1">IFERROR('RPK (live)'!M29/'ASK (live)'!M29,"-")</f>
        <v>0.97199239255615844</v>
      </c>
      <c r="N29" s="10">
        <f ca="1">IFERROR('RPK (live)'!N29/'ASK (live)'!N29,"-")</f>
        <v>0.85999999999999988</v>
      </c>
      <c r="O29" s="10">
        <f ca="1">IFERROR('RPK (live)'!O29/'ASK (live)'!O29,"-")</f>
        <v>0.8600000000000001</v>
      </c>
      <c r="P29" s="10">
        <f ca="1">IFERROR('RPK (live)'!P29/'ASK (live)'!P29,"-")</f>
        <v>0.84</v>
      </c>
      <c r="Q29" s="10">
        <f ca="1">IFERROR('RPK (live)'!Q29/'ASK (live)'!Q29,"-")</f>
        <v>0.82</v>
      </c>
      <c r="R29" s="10" t="str">
        <f ca="1">IFERROR('RPK (live)'!R29/'ASK (live)'!R29,"-")</f>
        <v>-</v>
      </c>
      <c r="S29" s="10" t="str">
        <f ca="1">IFERROR('RPK (live)'!S29/'ASK (live)'!S29,"-")</f>
        <v>-</v>
      </c>
      <c r="T29" s="10" t="str">
        <f ca="1">IFERROR('RPK (live)'!T29/'ASK (live)'!T29,"-")</f>
        <v>-</v>
      </c>
      <c r="U29" s="10" t="str">
        <f ca="1">IFERROR('RPK (live)'!U29/'ASK (live)'!U29,"-")</f>
        <v>-</v>
      </c>
      <c r="V29" s="10">
        <f ca="1">IFERROR('RPK (live)'!V29/'ASK (live)'!V29,"-")</f>
        <v>0.89061621734375607</v>
      </c>
      <c r="W29" s="10">
        <f ca="1">IFERROR('RPK (live)'!W29/'ASK (live)'!W29,"-")</f>
        <v>0.84705639038540081</v>
      </c>
      <c r="X29" s="10">
        <f ca="1">IFERROR('RPK (live)'!X29/'ASK (live)'!X29,"-")</f>
        <v>0.99051911298780138</v>
      </c>
      <c r="Y29" s="10">
        <f ca="1">IFERROR('RPK (live)'!Y29/'ASK (live)'!Y29,"-")</f>
        <v>0.99051911298780138</v>
      </c>
      <c r="Z29" s="10">
        <f ca="1">IFERROR('RPK (live)'!Z29/'ASK (live)'!Z29,"-")</f>
        <v>0.98011640696282964</v>
      </c>
      <c r="AA29" s="10">
        <f ca="1">IFERROR('RPK (live)'!AA29/'ASK (live)'!AA29,"-")</f>
        <v>0.97635865993742199</v>
      </c>
      <c r="AB29" s="10">
        <f ca="1">IFERROR('RPK (live)'!AB29/'ASK (live)'!AB29,"-")</f>
        <v>0.95358783621325738</v>
      </c>
      <c r="AC29" s="10">
        <f ca="1">IFERROR('RPK (live)'!AC29/'ASK (live)'!AC29,"-")</f>
        <v>0.95285614496971327</v>
      </c>
      <c r="AD29" s="10" t="str">
        <f ca="1">IFERROR('RPK (live)'!AD29/'ASK (live)'!AD29,"-")</f>
        <v>-</v>
      </c>
      <c r="AE29" s="10" t="str">
        <f ca="1">IFERROR('RPK (live)'!AE29/'ASK (live)'!AE29,"-")</f>
        <v>-</v>
      </c>
    </row>
    <row r="30" spans="1:31">
      <c r="A30" s="1" t="s">
        <v>152</v>
      </c>
      <c r="B30" s="5" t="s">
        <v>77</v>
      </c>
      <c r="C30" s="5" t="s">
        <v>75</v>
      </c>
      <c r="D30" s="5" t="s">
        <v>76</v>
      </c>
      <c r="E30" s="5" t="s">
        <v>21</v>
      </c>
      <c r="F30" s="5" t="s">
        <v>22</v>
      </c>
      <c r="G30" s="6"/>
      <c r="H30" s="6"/>
      <c r="I30" s="6"/>
      <c r="J30" s="6"/>
      <c r="K30" s="6"/>
      <c r="L30" s="10">
        <f ca="1">IFERROR('RPK (live)'!L30/'ASK (live)'!L30,"-")</f>
        <v>0.92999999999999994</v>
      </c>
      <c r="M30" s="10">
        <f ca="1">IFERROR('RPK (live)'!M30/'ASK (live)'!M30,"-")</f>
        <v>0.97199239255615844</v>
      </c>
      <c r="N30" s="10">
        <f ca="1">IFERROR('RPK (live)'!N30/'ASK (live)'!N30,"-")</f>
        <v>0.85999999999999988</v>
      </c>
      <c r="O30" s="10">
        <f ca="1">IFERROR('RPK (live)'!O30/'ASK (live)'!O30,"-")</f>
        <v>0.8600000000000001</v>
      </c>
      <c r="P30" s="10">
        <f ca="1">IFERROR('RPK (live)'!P30/'ASK (live)'!P30,"-")</f>
        <v>0.84</v>
      </c>
      <c r="Q30" s="10">
        <f ca="1">IFERROR('RPK (live)'!Q30/'ASK (live)'!Q30,"-")</f>
        <v>0.82</v>
      </c>
      <c r="R30" s="10" t="str">
        <f ca="1">IFERROR('RPK (live)'!R30/'ASK (live)'!R30,"-")</f>
        <v>-</v>
      </c>
      <c r="S30" s="10" t="str">
        <f ca="1">IFERROR('RPK (live)'!S30/'ASK (live)'!S30,"-")</f>
        <v>-</v>
      </c>
      <c r="T30" s="10" t="str">
        <f ca="1">IFERROR('RPK (live)'!T30/'ASK (live)'!T30,"-")</f>
        <v>-</v>
      </c>
      <c r="U30" s="10" t="str">
        <f ca="1">IFERROR('RPK (live)'!U30/'ASK (live)'!U30,"-")</f>
        <v>-</v>
      </c>
      <c r="V30" s="10">
        <f ca="1">IFERROR('RPK (live)'!V30/'ASK (live)'!V30,"-")</f>
        <v>0.89061621734375607</v>
      </c>
      <c r="W30" s="10">
        <f ca="1">IFERROR('RPK (live)'!W30/'ASK (live)'!W30,"-")</f>
        <v>0.84705639038540081</v>
      </c>
      <c r="X30" s="10">
        <f ca="1">IFERROR('RPK (live)'!X30/'ASK (live)'!X30,"-")</f>
        <v>0.99051911298780138</v>
      </c>
      <c r="Y30" s="10">
        <f ca="1">IFERROR('RPK (live)'!Y30/'ASK (live)'!Y30,"-")</f>
        <v>0.99051911298780138</v>
      </c>
      <c r="Z30" s="10">
        <f ca="1">IFERROR('RPK (live)'!Z30/'ASK (live)'!Z30,"-")</f>
        <v>0.98011640696282964</v>
      </c>
      <c r="AA30" s="10">
        <f ca="1">IFERROR('RPK (live)'!AA30/'ASK (live)'!AA30,"-")</f>
        <v>0.97635865993742199</v>
      </c>
      <c r="AB30" s="10">
        <f ca="1">IFERROR('RPK (live)'!AB30/'ASK (live)'!AB30,"-")</f>
        <v>0.95358783621325738</v>
      </c>
      <c r="AC30" s="10">
        <f ca="1">IFERROR('RPK (live)'!AC30/'ASK (live)'!AC30,"-")</f>
        <v>0.95285614496971316</v>
      </c>
      <c r="AD30" s="10" t="str">
        <f ca="1">IFERROR('RPK (live)'!AD30/'ASK (live)'!AD30,"-")</f>
        <v>-</v>
      </c>
      <c r="AE30" s="10" t="str">
        <f ca="1">IFERROR('RPK (live)'!AE30/'ASK (live)'!AE30,"-")</f>
        <v>-</v>
      </c>
    </row>
    <row r="31" spans="1:31">
      <c r="A31" s="1" t="s">
        <v>152</v>
      </c>
      <c r="B31" s="5" t="s">
        <v>174</v>
      </c>
      <c r="C31" s="5" t="s">
        <v>159</v>
      </c>
      <c r="D31" s="5" t="s">
        <v>21</v>
      </c>
      <c r="E31" s="5" t="s">
        <v>38</v>
      </c>
      <c r="F31" s="5" t="s">
        <v>22</v>
      </c>
      <c r="G31" s="6"/>
      <c r="H31" s="6"/>
      <c r="I31" s="6"/>
      <c r="J31" s="6"/>
      <c r="K31" s="6"/>
      <c r="L31" s="10">
        <f ca="1">IFERROR('RPK (live)'!L31/'ASK (live)'!L31,"-")</f>
        <v>0.83057900149844954</v>
      </c>
      <c r="M31" s="10">
        <f ca="1">IFERROR('RPK (live)'!M31/'ASK (live)'!M31,"-")</f>
        <v>0.890832349764902</v>
      </c>
      <c r="N31" s="10">
        <f ca="1">IFERROR('RPK (live)'!N31/'ASK (live)'!N31,"-")</f>
        <v>0.89886258978246836</v>
      </c>
      <c r="O31" s="10">
        <f ca="1">IFERROR('RPK (live)'!O31/'ASK (live)'!O31,"-")</f>
        <v>0.85709240832033051</v>
      </c>
      <c r="P31" s="10">
        <f ca="1">IFERROR('RPK (live)'!P31/'ASK (live)'!P31,"-")</f>
        <v>0.90360790689334447</v>
      </c>
      <c r="Q31" s="10">
        <f ca="1">IFERROR('RPK (live)'!Q31/'ASK (live)'!Q31,"-")</f>
        <v>0.94164682933058619</v>
      </c>
      <c r="R31" s="10">
        <f ca="1">IFERROR('RPK (live)'!R31/'ASK (live)'!R31,"-")</f>
        <v>0.90506351404163055</v>
      </c>
      <c r="S31" s="10">
        <f ca="1">IFERROR('RPK (live)'!S31/'ASK (live)'!S31,"-")</f>
        <v>0.9060393129548896</v>
      </c>
      <c r="T31" s="10">
        <f ca="1">IFERROR('RPK (live)'!T31/'ASK (live)'!T31,"-")</f>
        <v>0.85778859216144054</v>
      </c>
      <c r="U31" s="10">
        <f ca="1">IFERROR('RPK (live)'!U31/'ASK (live)'!U31,"-")</f>
        <v>0.88977505915124411</v>
      </c>
      <c r="V31" s="10">
        <f ca="1">IFERROR('RPK (live)'!V31/'ASK (live)'!V31,"-")</f>
        <v>0.98133964736156676</v>
      </c>
      <c r="W31" s="10">
        <f ca="1">IFERROR('RPK (live)'!W31/'ASK (live)'!W31,"-")</f>
        <v>0.92030365317541796</v>
      </c>
      <c r="X31" s="10">
        <f ca="1">IFERROR('RPK (live)'!X31/'ASK (live)'!X31,"-")</f>
        <v>0.9510536073448006</v>
      </c>
      <c r="Y31" s="10">
        <f ca="1">IFERROR('RPK (live)'!Y31/'ASK (live)'!Y31,"-")</f>
        <v>0.98563668559031214</v>
      </c>
      <c r="Z31" s="10">
        <f ca="1">IFERROR('RPK (live)'!Z31/'ASK (live)'!Z31,"-")</f>
        <v>0.95684097378280808</v>
      </c>
      <c r="AA31" s="10">
        <f ca="1">IFERROR('RPK (live)'!AA31/'ASK (live)'!AA31,"-")</f>
        <v>0.90858227348102683</v>
      </c>
      <c r="AB31" s="10">
        <f ca="1">IFERROR('RPK (live)'!AB31/'ASK (live)'!AB31,"-")</f>
        <v>0.88949415127534748</v>
      </c>
      <c r="AC31" s="10">
        <f ca="1">IFERROR('RPK (live)'!AC31/'ASK (live)'!AC31,"-")</f>
        <v>0.93346936057606056</v>
      </c>
      <c r="AD31" s="10">
        <f ca="1">IFERROR('RPK (live)'!AD31/'ASK (live)'!AD31,"-")</f>
        <v>0.94903166055278054</v>
      </c>
      <c r="AE31" s="10">
        <f ca="1">IFERROR('RPK (live)'!AE31/'ASK (live)'!AE31,"-")</f>
        <v>0.87997398278002859</v>
      </c>
    </row>
    <row r="32" spans="1:31">
      <c r="A32" s="1" t="s">
        <v>152</v>
      </c>
      <c r="B32" s="5" t="s">
        <v>41</v>
      </c>
      <c r="C32" s="5" t="s">
        <v>37</v>
      </c>
      <c r="D32" s="5" t="s">
        <v>38</v>
      </c>
      <c r="E32" s="5" t="s">
        <v>21</v>
      </c>
      <c r="F32" s="5" t="s">
        <v>22</v>
      </c>
      <c r="G32" s="6"/>
      <c r="H32" s="6"/>
      <c r="I32" s="6"/>
      <c r="J32" s="6"/>
      <c r="K32" s="6"/>
      <c r="L32" s="10">
        <f ca="1">IFERROR('RPK (live)'!L32/'ASK (live)'!L32,"-")</f>
        <v>0.83057900149844965</v>
      </c>
      <c r="M32" s="10">
        <f ca="1">IFERROR('RPK (live)'!M32/'ASK (live)'!M32,"-")</f>
        <v>0.890832349764902</v>
      </c>
      <c r="N32" s="10">
        <f ca="1">IFERROR('RPK (live)'!N32/'ASK (live)'!N32,"-")</f>
        <v>0.89886258978246825</v>
      </c>
      <c r="O32" s="10">
        <f ca="1">IFERROR('RPK (live)'!O32/'ASK (live)'!O32,"-")</f>
        <v>0.85709240832033051</v>
      </c>
      <c r="P32" s="10">
        <f ca="1">IFERROR('RPK (live)'!P32/'ASK (live)'!P32,"-")</f>
        <v>0.90360790689334447</v>
      </c>
      <c r="Q32" s="10">
        <f ca="1">IFERROR('RPK (live)'!Q32/'ASK (live)'!Q32,"-")</f>
        <v>0.94164682933058619</v>
      </c>
      <c r="R32" s="10">
        <f ca="1">IFERROR('RPK (live)'!R32/'ASK (live)'!R32,"-")</f>
        <v>0.90506351404163055</v>
      </c>
      <c r="S32" s="10">
        <f ca="1">IFERROR('RPK (live)'!S32/'ASK (live)'!S32,"-")</f>
        <v>0.9060393129548896</v>
      </c>
      <c r="T32" s="10">
        <f ca="1">IFERROR('RPK (live)'!T32/'ASK (live)'!T32,"-")</f>
        <v>0.85778859216144077</v>
      </c>
      <c r="U32" s="10">
        <f ca="1">IFERROR('RPK (live)'!U32/'ASK (live)'!U32,"-")</f>
        <v>0.88977505915124411</v>
      </c>
      <c r="V32" s="10">
        <f ca="1">IFERROR('RPK (live)'!V32/'ASK (live)'!V32,"-")</f>
        <v>0.98133964736156676</v>
      </c>
      <c r="W32" s="10">
        <f ca="1">IFERROR('RPK (live)'!W32/'ASK (live)'!W32,"-")</f>
        <v>0.92030365317541796</v>
      </c>
      <c r="X32" s="10">
        <f ca="1">IFERROR('RPK (live)'!X32/'ASK (live)'!X32,"-")</f>
        <v>0.9510536073448006</v>
      </c>
      <c r="Y32" s="10">
        <f ca="1">IFERROR('RPK (live)'!Y32/'ASK (live)'!Y32,"-")</f>
        <v>0.98563668559031237</v>
      </c>
      <c r="Z32" s="10">
        <f ca="1">IFERROR('RPK (live)'!Z32/'ASK (live)'!Z32,"-")</f>
        <v>0.95684097378280786</v>
      </c>
      <c r="AA32" s="10">
        <f ca="1">IFERROR('RPK (live)'!AA32/'ASK (live)'!AA32,"-")</f>
        <v>0.90858227348102671</v>
      </c>
      <c r="AB32" s="10">
        <f ca="1">IFERROR('RPK (live)'!AB32/'ASK (live)'!AB32,"-")</f>
        <v>0.88949415127534759</v>
      </c>
      <c r="AC32" s="10">
        <f ca="1">IFERROR('RPK (live)'!AC32/'ASK (live)'!AC32,"-")</f>
        <v>0.93346936057606056</v>
      </c>
      <c r="AD32" s="10">
        <f ca="1">IFERROR('RPK (live)'!AD32/'ASK (live)'!AD32,"-")</f>
        <v>0.94903166055278054</v>
      </c>
      <c r="AE32" s="10">
        <f ca="1">IFERROR('RPK (live)'!AE32/'ASK (live)'!AE32,"-")</f>
        <v>0.8799739827800287</v>
      </c>
    </row>
    <row r="33" spans="1:31">
      <c r="A33" s="1" t="s">
        <v>152</v>
      </c>
      <c r="B33" s="5" t="s">
        <v>175</v>
      </c>
      <c r="C33" s="5" t="s">
        <v>159</v>
      </c>
      <c r="D33" s="5" t="s">
        <v>21</v>
      </c>
      <c r="E33" s="5" t="s">
        <v>38</v>
      </c>
      <c r="F33" s="5" t="s">
        <v>22</v>
      </c>
      <c r="G33" s="6"/>
      <c r="H33" s="6"/>
      <c r="I33" s="6"/>
      <c r="J33" s="6"/>
      <c r="K33" s="6"/>
      <c r="L33" s="10">
        <f ca="1">IFERROR('RPK (live)'!L33/'ASK (live)'!L33,"-")</f>
        <v>0.83057900149844954</v>
      </c>
      <c r="M33" s="10">
        <f ca="1">IFERROR('RPK (live)'!M33/'ASK (live)'!M33,"-")</f>
        <v>0.89083234976490189</v>
      </c>
      <c r="N33" s="10">
        <f ca="1">IFERROR('RPK (live)'!N33/'ASK (live)'!N33,"-")</f>
        <v>0.89886258978246825</v>
      </c>
      <c r="O33" s="10">
        <f ca="1">IFERROR('RPK (live)'!O33/'ASK (live)'!O33,"-")</f>
        <v>0.85709240832033051</v>
      </c>
      <c r="P33" s="10">
        <f ca="1">IFERROR('RPK (live)'!P33/'ASK (live)'!P33,"-")</f>
        <v>0.90360790689334436</v>
      </c>
      <c r="Q33" s="10">
        <f ca="1">IFERROR('RPK (live)'!Q33/'ASK (live)'!Q33,"-")</f>
        <v>0.94164682933058619</v>
      </c>
      <c r="R33" s="10" t="str">
        <f ca="1">IFERROR('RPK (live)'!R33/'ASK (live)'!R33,"-")</f>
        <v>-</v>
      </c>
      <c r="S33" s="10" t="str">
        <f ca="1">IFERROR('RPK (live)'!S33/'ASK (live)'!S33,"-")</f>
        <v>-</v>
      </c>
      <c r="T33" s="10" t="str">
        <f ca="1">IFERROR('RPK (live)'!T33/'ASK (live)'!T33,"-")</f>
        <v>-</v>
      </c>
      <c r="U33" s="10" t="str">
        <f ca="1">IFERROR('RPK (live)'!U33/'ASK (live)'!U33,"-")</f>
        <v>-</v>
      </c>
      <c r="V33" s="10">
        <f ca="1">IFERROR('RPK (live)'!V33/'ASK (live)'!V33,"-")</f>
        <v>0.98133964736156687</v>
      </c>
      <c r="W33" s="10">
        <f ca="1">IFERROR('RPK (live)'!W33/'ASK (live)'!W33,"-")</f>
        <v>0.92030365317541774</v>
      </c>
      <c r="X33" s="10">
        <f ca="1">IFERROR('RPK (live)'!X33/'ASK (live)'!X33,"-")</f>
        <v>0.9510536073448006</v>
      </c>
      <c r="Y33" s="10">
        <f ca="1">IFERROR('RPK (live)'!Y33/'ASK (live)'!Y33,"-")</f>
        <v>0.98563668559031248</v>
      </c>
      <c r="Z33" s="10">
        <f ca="1">IFERROR('RPK (live)'!Z33/'ASK (live)'!Z33,"-")</f>
        <v>0.95684097378280775</v>
      </c>
      <c r="AA33" s="10">
        <f ca="1">IFERROR('RPK (live)'!AA33/'ASK (live)'!AA33,"-")</f>
        <v>0.90858227348102671</v>
      </c>
      <c r="AB33" s="10">
        <f ca="1">IFERROR('RPK (live)'!AB33/'ASK (live)'!AB33,"-")</f>
        <v>0.88949415127534759</v>
      </c>
      <c r="AC33" s="10">
        <f ca="1">IFERROR('RPK (live)'!AC33/'ASK (live)'!AC33,"-")</f>
        <v>0.93346936057606067</v>
      </c>
      <c r="AD33" s="10" t="str">
        <f ca="1">IFERROR('RPK (live)'!AD33/'ASK (live)'!AD33,"-")</f>
        <v>-</v>
      </c>
      <c r="AE33" s="10" t="str">
        <f ca="1">IFERROR('RPK (live)'!AE33/'ASK (live)'!AE33,"-")</f>
        <v>-</v>
      </c>
    </row>
    <row r="34" spans="1:31">
      <c r="A34" s="1" t="s">
        <v>152</v>
      </c>
      <c r="B34" s="5" t="s">
        <v>42</v>
      </c>
      <c r="C34" s="5" t="s">
        <v>37</v>
      </c>
      <c r="D34" s="5" t="s">
        <v>38</v>
      </c>
      <c r="E34" s="5" t="s">
        <v>21</v>
      </c>
      <c r="F34" s="5" t="s">
        <v>22</v>
      </c>
      <c r="G34" s="6"/>
      <c r="H34" s="6"/>
      <c r="I34" s="6"/>
      <c r="J34" s="6"/>
      <c r="K34" s="6"/>
      <c r="L34" s="10">
        <f ca="1">IFERROR('RPK (live)'!L34/'ASK (live)'!L34,"-")</f>
        <v>0.83057900149844954</v>
      </c>
      <c r="M34" s="10">
        <f ca="1">IFERROR('RPK (live)'!M34/'ASK (live)'!M34,"-")</f>
        <v>0.89083234976490211</v>
      </c>
      <c r="N34" s="10">
        <f ca="1">IFERROR('RPK (live)'!N34/'ASK (live)'!N34,"-")</f>
        <v>0.89886258978246814</v>
      </c>
      <c r="O34" s="10">
        <f ca="1">IFERROR('RPK (live)'!O34/'ASK (live)'!O34,"-")</f>
        <v>0.85709240832033051</v>
      </c>
      <c r="P34" s="10">
        <f ca="1">IFERROR('RPK (live)'!P34/'ASK (live)'!P34,"-")</f>
        <v>0.90360790689334425</v>
      </c>
      <c r="Q34" s="10">
        <f ca="1">IFERROR('RPK (live)'!Q34/'ASK (live)'!Q34,"-")</f>
        <v>0.9416468293305863</v>
      </c>
      <c r="R34" s="10" t="str">
        <f ca="1">IFERROR('RPK (live)'!R34/'ASK (live)'!R34,"-")</f>
        <v>-</v>
      </c>
      <c r="S34" s="10" t="str">
        <f ca="1">IFERROR('RPK (live)'!S34/'ASK (live)'!S34,"-")</f>
        <v>-</v>
      </c>
      <c r="T34" s="10" t="str">
        <f ca="1">IFERROR('RPK (live)'!T34/'ASK (live)'!T34,"-")</f>
        <v>-</v>
      </c>
      <c r="U34" s="10" t="str">
        <f ca="1">IFERROR('RPK (live)'!U34/'ASK (live)'!U34,"-")</f>
        <v>-</v>
      </c>
      <c r="V34" s="10">
        <f ca="1">IFERROR('RPK (live)'!V34/'ASK (live)'!V34,"-")</f>
        <v>0.98133964736156687</v>
      </c>
      <c r="W34" s="10">
        <f ca="1">IFERROR('RPK (live)'!W34/'ASK (live)'!W34,"-")</f>
        <v>0.92030365317541774</v>
      </c>
      <c r="X34" s="10">
        <f ca="1">IFERROR('RPK (live)'!X34/'ASK (live)'!X34,"-")</f>
        <v>0.9510536073448006</v>
      </c>
      <c r="Y34" s="10">
        <f ca="1">IFERROR('RPK (live)'!Y34/'ASK (live)'!Y34,"-")</f>
        <v>0.98563668559031248</v>
      </c>
      <c r="Z34" s="10">
        <f ca="1">IFERROR('RPK (live)'!Z34/'ASK (live)'!Z34,"-")</f>
        <v>0.95684097378280775</v>
      </c>
      <c r="AA34" s="10">
        <f ca="1">IFERROR('RPK (live)'!AA34/'ASK (live)'!AA34,"-")</f>
        <v>0.90858227348102671</v>
      </c>
      <c r="AB34" s="10">
        <f ca="1">IFERROR('RPK (live)'!AB34/'ASK (live)'!AB34,"-")</f>
        <v>0.88949415127534759</v>
      </c>
      <c r="AC34" s="10">
        <f ca="1">IFERROR('RPK (live)'!AC34/'ASK (live)'!AC34,"-")</f>
        <v>0.93346936057606067</v>
      </c>
      <c r="AD34" s="10" t="str">
        <f ca="1">IFERROR('RPK (live)'!AD34/'ASK (live)'!AD34,"-")</f>
        <v>-</v>
      </c>
      <c r="AE34" s="10" t="str">
        <f ca="1">IFERROR('RPK (live)'!AE34/'ASK (live)'!AE34,"-")</f>
        <v>-</v>
      </c>
    </row>
    <row r="35" spans="1:31">
      <c r="A35" s="1" t="s">
        <v>152</v>
      </c>
      <c r="B35" s="5" t="s">
        <v>176</v>
      </c>
      <c r="C35" s="5" t="s">
        <v>177</v>
      </c>
      <c r="D35" s="5" t="s">
        <v>28</v>
      </c>
      <c r="E35" s="5" t="s">
        <v>59</v>
      </c>
      <c r="F35" s="5" t="s">
        <v>22</v>
      </c>
      <c r="G35" s="6"/>
      <c r="H35" s="6"/>
      <c r="I35" s="6"/>
      <c r="J35" s="6"/>
      <c r="K35" s="6"/>
      <c r="L35" s="10">
        <f ca="1">IFERROR('RPK (live)'!L35/'ASK (live)'!L35,"-")</f>
        <v>0.87</v>
      </c>
      <c r="M35" s="10">
        <f ca="1">IFERROR('RPK (live)'!M35/'ASK (live)'!M35,"-")</f>
        <v>0.91124286802139864</v>
      </c>
      <c r="N35" s="10">
        <f ca="1">IFERROR('RPK (live)'!N35/'ASK (live)'!N35,"-")</f>
        <v>0.8</v>
      </c>
      <c r="O35" s="10">
        <f ca="1">IFERROR('RPK (live)'!O35/'ASK (live)'!O35,"-")</f>
        <v>0.9</v>
      </c>
      <c r="P35" s="10">
        <f ca="1">IFERROR('RPK (live)'!P35/'ASK (live)'!P35,"-")</f>
        <v>0.92</v>
      </c>
      <c r="Q35" s="10">
        <f ca="1">IFERROR('RPK (live)'!Q35/'ASK (live)'!Q35,"-")</f>
        <v>0.82</v>
      </c>
      <c r="R35" s="10">
        <f ca="1">IFERROR('RPK (live)'!R35/'ASK (live)'!R35,"-")</f>
        <v>0.75</v>
      </c>
      <c r="S35" s="10">
        <f ca="1">IFERROR('RPK (live)'!S35/'ASK (live)'!S35,"-")</f>
        <v>0.75</v>
      </c>
      <c r="T35" s="10">
        <f ca="1">IFERROR('RPK (live)'!T35/'ASK (live)'!T35,"-")</f>
        <v>0.9905191129878016</v>
      </c>
      <c r="U35" s="10">
        <f ca="1">IFERROR('RPK (live)'!U35/'ASK (live)'!U35,"-")</f>
        <v>0.99051911298780138</v>
      </c>
      <c r="V35" s="10">
        <f ca="1">IFERROR('RPK (live)'!V35/'ASK (live)'!V35,"-")</f>
        <v>0.96329602686529059</v>
      </c>
      <c r="W35" s="10">
        <f ca="1">IFERROR('RPK (live)'!W35/'ASK (live)'!W35,"-")</f>
        <v>0.92558786118344882</v>
      </c>
      <c r="X35" s="10">
        <f ca="1">IFERROR('RPK (live)'!X35/'ASK (live)'!X35,"-")</f>
        <v>0.71216439223972217</v>
      </c>
      <c r="Y35" s="10">
        <f ca="1">IFERROR('RPK (live)'!Y35/'ASK (live)'!Y35,"-")</f>
        <v>0.83424870617185443</v>
      </c>
      <c r="Z35" s="10">
        <f ca="1">IFERROR('RPK (live)'!Z35/'ASK (live)'!Z35,"-")</f>
        <v>0.87893666648180124</v>
      </c>
      <c r="AA35" s="10">
        <f ca="1">IFERROR('RPK (live)'!AA35/'ASK (live)'!AA35,"-")</f>
        <v>0.99051911298780149</v>
      </c>
      <c r="AB35" s="10">
        <f ca="1">IFERROR('RPK (live)'!AB35/'ASK (live)'!AB35,"-")</f>
        <v>0.8712970789831499</v>
      </c>
      <c r="AC35" s="10">
        <f ca="1">IFERROR('RPK (live)'!AC35/'ASK (live)'!AC35,"-")</f>
        <v>0.95796050674254141</v>
      </c>
      <c r="AD35" s="10">
        <f ca="1">IFERROR('RPK (live)'!AD35/'ASK (live)'!AD35,"-")</f>
        <v>0.88390809766398171</v>
      </c>
      <c r="AE35" s="10">
        <f ca="1">IFERROR('RPK (live)'!AE35/'ASK (live)'!AE35,"-")</f>
        <v>0.77027437768424312</v>
      </c>
    </row>
    <row r="36" spans="1:31">
      <c r="A36" s="1" t="s">
        <v>152</v>
      </c>
      <c r="B36" s="5" t="s">
        <v>64</v>
      </c>
      <c r="C36" s="5" t="s">
        <v>65</v>
      </c>
      <c r="D36" s="5" t="s">
        <v>59</v>
      </c>
      <c r="E36" s="5" t="s">
        <v>28</v>
      </c>
      <c r="F36" s="5" t="s">
        <v>22</v>
      </c>
      <c r="G36" s="6"/>
      <c r="H36" s="6"/>
      <c r="I36" s="6"/>
      <c r="J36" s="6"/>
      <c r="K36" s="6"/>
      <c r="L36" s="10">
        <f ca="1">IFERROR('RPK (live)'!L36/'ASK (live)'!L36,"-")</f>
        <v>0.87</v>
      </c>
      <c r="M36" s="10">
        <f ca="1">IFERROR('RPK (live)'!M36/'ASK (live)'!M36,"-")</f>
        <v>0.91124286802139864</v>
      </c>
      <c r="N36" s="10">
        <f ca="1">IFERROR('RPK (live)'!N36/'ASK (live)'!N36,"-")</f>
        <v>0.8</v>
      </c>
      <c r="O36" s="10">
        <f ca="1">IFERROR('RPK (live)'!O36/'ASK (live)'!O36,"-")</f>
        <v>0.9</v>
      </c>
      <c r="P36" s="10">
        <f ca="1">IFERROR('RPK (live)'!P36/'ASK (live)'!P36,"-")</f>
        <v>0.92000000000000015</v>
      </c>
      <c r="Q36" s="10">
        <f ca="1">IFERROR('RPK (live)'!Q36/'ASK (live)'!Q36,"-")</f>
        <v>0.82</v>
      </c>
      <c r="R36" s="10">
        <f ca="1">IFERROR('RPK (live)'!R36/'ASK (live)'!R36,"-")</f>
        <v>0.75</v>
      </c>
      <c r="S36" s="10">
        <f ca="1">IFERROR('RPK (live)'!S36/'ASK (live)'!S36,"-")</f>
        <v>0.75</v>
      </c>
      <c r="T36" s="10">
        <f ca="1">IFERROR('RPK (live)'!T36/'ASK (live)'!T36,"-")</f>
        <v>0.9905191129878016</v>
      </c>
      <c r="U36" s="10">
        <f ca="1">IFERROR('RPK (live)'!U36/'ASK (live)'!U36,"-")</f>
        <v>0.99051911298780138</v>
      </c>
      <c r="V36" s="10">
        <f ca="1">IFERROR('RPK (live)'!V36/'ASK (live)'!V36,"-")</f>
        <v>0.96329602686529059</v>
      </c>
      <c r="W36" s="10">
        <f ca="1">IFERROR('RPK (live)'!W36/'ASK (live)'!W36,"-")</f>
        <v>0.92558786118344893</v>
      </c>
      <c r="X36" s="10">
        <f ca="1">IFERROR('RPK (live)'!X36/'ASK (live)'!X36,"-")</f>
        <v>0.71216439223972217</v>
      </c>
      <c r="Y36" s="10">
        <f ca="1">IFERROR('RPK (live)'!Y36/'ASK (live)'!Y36,"-")</f>
        <v>0.8342487061718542</v>
      </c>
      <c r="Z36" s="10">
        <f ca="1">IFERROR('RPK (live)'!Z36/'ASK (live)'!Z36,"-")</f>
        <v>0.87893666648180135</v>
      </c>
      <c r="AA36" s="10">
        <f ca="1">IFERROR('RPK (live)'!AA36/'ASK (live)'!AA36,"-")</f>
        <v>0.99051911298780149</v>
      </c>
      <c r="AB36" s="10">
        <f ca="1">IFERROR('RPK (live)'!AB36/'ASK (live)'!AB36,"-")</f>
        <v>0.8712970789831499</v>
      </c>
      <c r="AC36" s="10">
        <f ca="1">IFERROR('RPK (live)'!AC36/'ASK (live)'!AC36,"-")</f>
        <v>0.95796050674254141</v>
      </c>
      <c r="AD36" s="10">
        <f ca="1">IFERROR('RPK (live)'!AD36/'ASK (live)'!AD36,"-")</f>
        <v>0.88390809766398171</v>
      </c>
      <c r="AE36" s="10">
        <f ca="1">IFERROR('RPK (live)'!AE36/'ASK (live)'!AE36,"-")</f>
        <v>0.77027437768424312</v>
      </c>
    </row>
    <row r="37" spans="1:31">
      <c r="A37" s="1" t="s">
        <v>152</v>
      </c>
      <c r="B37" s="5" t="s">
        <v>178</v>
      </c>
      <c r="C37" s="5" t="s">
        <v>177</v>
      </c>
      <c r="D37" s="5" t="s">
        <v>28</v>
      </c>
      <c r="E37" s="5" t="s">
        <v>59</v>
      </c>
      <c r="F37" s="5" t="s">
        <v>22</v>
      </c>
      <c r="G37" s="6"/>
      <c r="H37" s="6"/>
      <c r="I37" s="6"/>
      <c r="J37" s="6"/>
      <c r="K37" s="6"/>
      <c r="L37" s="10">
        <f ca="1">IFERROR('RPK (live)'!L37/'ASK (live)'!L37,"-")</f>
        <v>0.87</v>
      </c>
      <c r="M37" s="10">
        <f ca="1">IFERROR('RPK (live)'!M37/'ASK (live)'!M37,"-")</f>
        <v>0.91124286802139864</v>
      </c>
      <c r="N37" s="10">
        <f ca="1">IFERROR('RPK (live)'!N37/'ASK (live)'!N37,"-")</f>
        <v>0.8</v>
      </c>
      <c r="O37" s="10">
        <f ca="1">IFERROR('RPK (live)'!O37/'ASK (live)'!O37,"-")</f>
        <v>0.89999999999999991</v>
      </c>
      <c r="P37" s="10">
        <f ca="1">IFERROR('RPK (live)'!P37/'ASK (live)'!P37,"-")</f>
        <v>0.92</v>
      </c>
      <c r="Q37" s="10">
        <f ca="1">IFERROR('RPK (live)'!Q37/'ASK (live)'!Q37,"-")</f>
        <v>0.82</v>
      </c>
      <c r="R37" s="10" t="str">
        <f ca="1">IFERROR('RPK (live)'!R37/'ASK (live)'!R37,"-")</f>
        <v>-</v>
      </c>
      <c r="S37" s="10" t="str">
        <f ca="1">IFERROR('RPK (live)'!S37/'ASK (live)'!S37,"-")</f>
        <v>-</v>
      </c>
      <c r="T37" s="10" t="str">
        <f ca="1">IFERROR('RPK (live)'!T37/'ASK (live)'!T37,"-")</f>
        <v>-</v>
      </c>
      <c r="U37" s="10" t="str">
        <f ca="1">IFERROR('RPK (live)'!U37/'ASK (live)'!U37,"-")</f>
        <v>-</v>
      </c>
      <c r="V37" s="10" t="str">
        <f ca="1">IFERROR('RPK (live)'!V37/'ASK (live)'!V37,"-")</f>
        <v>-</v>
      </c>
      <c r="W37" s="10">
        <f ca="1">IFERROR('RPK (live)'!W37/'ASK (live)'!W37,"-")</f>
        <v>0.92558786118344893</v>
      </c>
      <c r="X37" s="10">
        <f ca="1">IFERROR('RPK (live)'!X37/'ASK (live)'!X37,"-")</f>
        <v>0.71216439223972228</v>
      </c>
      <c r="Y37" s="10">
        <f ca="1">IFERROR('RPK (live)'!Y37/'ASK (live)'!Y37,"-")</f>
        <v>0.83424870617185443</v>
      </c>
      <c r="Z37" s="10">
        <f ca="1">IFERROR('RPK (live)'!Z37/'ASK (live)'!Z37,"-")</f>
        <v>0.87893666648180135</v>
      </c>
      <c r="AA37" s="10">
        <f ca="1">IFERROR('RPK (live)'!AA37/'ASK (live)'!AA37,"-")</f>
        <v>0.9905191129878016</v>
      </c>
      <c r="AB37" s="10">
        <f ca="1">IFERROR('RPK (live)'!AB37/'ASK (live)'!AB37,"-")</f>
        <v>0.87129707898314979</v>
      </c>
      <c r="AC37" s="10">
        <f ca="1">IFERROR('RPK (live)'!AC37/'ASK (live)'!AC37,"-")</f>
        <v>0.95796050674254152</v>
      </c>
      <c r="AD37" s="10" t="str">
        <f ca="1">IFERROR('RPK (live)'!AD37/'ASK (live)'!AD37,"-")</f>
        <v>-</v>
      </c>
      <c r="AE37" s="10" t="str">
        <f ca="1">IFERROR('RPK (live)'!AE37/'ASK (live)'!AE37,"-")</f>
        <v>-</v>
      </c>
    </row>
    <row r="38" spans="1:31">
      <c r="A38" s="1" t="s">
        <v>152</v>
      </c>
      <c r="B38" s="5" t="s">
        <v>66</v>
      </c>
      <c r="C38" s="5" t="s">
        <v>65</v>
      </c>
      <c r="D38" s="5" t="s">
        <v>59</v>
      </c>
      <c r="E38" s="5" t="s">
        <v>28</v>
      </c>
      <c r="F38" s="5" t="s">
        <v>22</v>
      </c>
      <c r="G38" s="6"/>
      <c r="H38" s="6"/>
      <c r="I38" s="6"/>
      <c r="J38" s="6"/>
      <c r="K38" s="6"/>
      <c r="L38" s="10">
        <f ca="1">IFERROR('RPK (live)'!L38/'ASK (live)'!L38,"-")</f>
        <v>0.87000000000000011</v>
      </c>
      <c r="M38" s="10">
        <f ca="1">IFERROR('RPK (live)'!M38/'ASK (live)'!M38,"-")</f>
        <v>0.91124286802139864</v>
      </c>
      <c r="N38" s="10">
        <f ca="1">IFERROR('RPK (live)'!N38/'ASK (live)'!N38,"-")</f>
        <v>0.8</v>
      </c>
      <c r="O38" s="10">
        <f ca="1">IFERROR('RPK (live)'!O38/'ASK (live)'!O38,"-")</f>
        <v>0.89999999999999991</v>
      </c>
      <c r="P38" s="10">
        <f ca="1">IFERROR('RPK (live)'!P38/'ASK (live)'!P38,"-")</f>
        <v>0.91999999999999993</v>
      </c>
      <c r="Q38" s="10">
        <f ca="1">IFERROR('RPK (live)'!Q38/'ASK (live)'!Q38,"-")</f>
        <v>0.82</v>
      </c>
      <c r="R38" s="10" t="str">
        <f ca="1">IFERROR('RPK (live)'!R38/'ASK (live)'!R38,"-")</f>
        <v>-</v>
      </c>
      <c r="S38" s="10" t="str">
        <f ca="1">IFERROR('RPK (live)'!S38/'ASK (live)'!S38,"-")</f>
        <v>-</v>
      </c>
      <c r="T38" s="10" t="str">
        <f ca="1">IFERROR('RPK (live)'!T38/'ASK (live)'!T38,"-")</f>
        <v>-</v>
      </c>
      <c r="U38" s="10" t="str">
        <f ca="1">IFERROR('RPK (live)'!U38/'ASK (live)'!U38,"-")</f>
        <v>-</v>
      </c>
      <c r="V38" s="10" t="str">
        <f ca="1">IFERROR('RPK (live)'!V38/'ASK (live)'!V38,"-")</f>
        <v>-</v>
      </c>
      <c r="W38" s="10">
        <f ca="1">IFERROR('RPK (live)'!W38/'ASK (live)'!W38,"-")</f>
        <v>0.92558786118344893</v>
      </c>
      <c r="X38" s="10">
        <f ca="1">IFERROR('RPK (live)'!X38/'ASK (live)'!X38,"-")</f>
        <v>0.71216439223972228</v>
      </c>
      <c r="Y38" s="10">
        <f ca="1">IFERROR('RPK (live)'!Y38/'ASK (live)'!Y38,"-")</f>
        <v>0.83424870617185443</v>
      </c>
      <c r="Z38" s="10">
        <f ca="1">IFERROR('RPK (live)'!Z38/'ASK (live)'!Z38,"-")</f>
        <v>0.87893666648180135</v>
      </c>
      <c r="AA38" s="10">
        <f ca="1">IFERROR('RPK (live)'!AA38/'ASK (live)'!AA38,"-")</f>
        <v>0.9905191129878016</v>
      </c>
      <c r="AB38" s="10">
        <f ca="1">IFERROR('RPK (live)'!AB38/'ASK (live)'!AB38,"-")</f>
        <v>0.87129707898314979</v>
      </c>
      <c r="AC38" s="10">
        <f ca="1">IFERROR('RPK (live)'!AC38/'ASK (live)'!AC38,"-")</f>
        <v>0.95796050674254152</v>
      </c>
      <c r="AD38" s="10" t="str">
        <f ca="1">IFERROR('RPK (live)'!AD38/'ASK (live)'!AD38,"-")</f>
        <v>-</v>
      </c>
      <c r="AE38" s="10" t="str">
        <f ca="1">IFERROR('RPK (live)'!AE38/'ASK (live)'!AE38,"-")</f>
        <v>-</v>
      </c>
    </row>
    <row r="39" spans="1:31">
      <c r="A39" s="1" t="s">
        <v>152</v>
      </c>
      <c r="B39" s="5" t="s">
        <v>179</v>
      </c>
      <c r="C39" s="5" t="s">
        <v>180</v>
      </c>
      <c r="D39" s="5" t="s">
        <v>28</v>
      </c>
      <c r="E39" s="5" t="s">
        <v>181</v>
      </c>
      <c r="F39" s="5" t="s">
        <v>22</v>
      </c>
      <c r="G39" s="6"/>
      <c r="H39" s="6"/>
      <c r="I39" s="6"/>
      <c r="J39" s="6"/>
      <c r="K39" s="6"/>
      <c r="L39" s="10" t="str">
        <f ca="1">IFERROR('RPK (live)'!L39/'ASK (live)'!L39,"-")</f>
        <v>-</v>
      </c>
      <c r="M39" s="10" t="str">
        <f ca="1">IFERROR('RPK (live)'!M39/'ASK (live)'!M39,"-")</f>
        <v>-</v>
      </c>
      <c r="N39" s="10" t="str">
        <f ca="1">IFERROR('RPK (live)'!N39/'ASK (live)'!N39,"-")</f>
        <v>-</v>
      </c>
      <c r="O39" s="10" t="str">
        <f ca="1">IFERROR('RPK (live)'!O39/'ASK (live)'!O39,"-")</f>
        <v>-</v>
      </c>
      <c r="P39" s="10" t="str">
        <f ca="1">IFERROR('RPK (live)'!P39/'ASK (live)'!P39,"-")</f>
        <v>-</v>
      </c>
      <c r="Q39" s="10">
        <f ca="1">IFERROR('RPK (live)'!Q39/'ASK (live)'!Q39,"-")</f>
        <v>0.78000000000000014</v>
      </c>
      <c r="R39" s="10">
        <f ca="1">IFERROR('RPK (live)'!R39/'ASK (live)'!R39,"-")</f>
        <v>0.86999999999999988</v>
      </c>
      <c r="S39" s="10">
        <f ca="1">IFERROR('RPK (live)'!S39/'ASK (live)'!S39,"-")</f>
        <v>0.8</v>
      </c>
      <c r="T39" s="10">
        <f ca="1">IFERROR('RPK (live)'!T39/'ASK (live)'!T39,"-")</f>
        <v>0.95376145963118442</v>
      </c>
      <c r="U39" s="10">
        <f ca="1">IFERROR('RPK (live)'!U39/'ASK (live)'!U39,"-")</f>
        <v>0.99051911298780149</v>
      </c>
      <c r="V39" s="10">
        <f ca="1">IFERROR('RPK (live)'!V39/'ASK (live)'!V39,"-")</f>
        <v>0.89982192648100967</v>
      </c>
      <c r="W39" s="10" t="str">
        <f ca="1">IFERROR('RPK (live)'!W39/'ASK (live)'!W39,"-")</f>
        <v>-</v>
      </c>
      <c r="X39" s="10" t="str">
        <f ca="1">IFERROR('RPK (live)'!X39/'ASK (live)'!X39,"-")</f>
        <v>-</v>
      </c>
      <c r="Y39" s="10" t="str">
        <f ca="1">IFERROR('RPK (live)'!Y39/'ASK (live)'!Y39,"-")</f>
        <v>-</v>
      </c>
      <c r="Z39" s="10" t="str">
        <f ca="1">IFERROR('RPK (live)'!Z39/'ASK (live)'!Z39,"-")</f>
        <v>-</v>
      </c>
      <c r="AA39" s="10" t="str">
        <f ca="1">IFERROR('RPK (live)'!AA39/'ASK (live)'!AA39,"-")</f>
        <v>-</v>
      </c>
      <c r="AB39" s="10" t="str">
        <f ca="1">IFERROR('RPK (live)'!AB39/'ASK (live)'!AB39,"-")</f>
        <v>-</v>
      </c>
      <c r="AC39" s="10">
        <f ca="1">IFERROR('RPK (live)'!AC39/'ASK (live)'!AC39,"-")</f>
        <v>0.91191102559156256</v>
      </c>
      <c r="AD39" s="10">
        <f ca="1">IFERROR('RPK (live)'!AD39/'ASK (live)'!AD39,"-")</f>
        <v>0.89400008878366688</v>
      </c>
      <c r="AE39" s="10">
        <f ca="1">IFERROR('RPK (live)'!AE39/'ASK (live)'!AE39,"-")</f>
        <v>0.9161986232547733</v>
      </c>
    </row>
    <row r="40" spans="1:31">
      <c r="A40" s="1" t="s">
        <v>152</v>
      </c>
      <c r="B40" s="5" t="s">
        <v>182</v>
      </c>
      <c r="C40" s="5" t="s">
        <v>183</v>
      </c>
      <c r="D40" s="5" t="s">
        <v>181</v>
      </c>
      <c r="E40" s="5" t="s">
        <v>28</v>
      </c>
      <c r="F40" s="5" t="s">
        <v>22</v>
      </c>
      <c r="G40" s="6"/>
      <c r="H40" s="6"/>
      <c r="I40" s="6"/>
      <c r="J40" s="6"/>
      <c r="K40" s="6"/>
      <c r="L40" s="10" t="str">
        <f ca="1">IFERROR('RPK (live)'!L40/'ASK (live)'!L40,"-")</f>
        <v>-</v>
      </c>
      <c r="M40" s="10" t="str">
        <f ca="1">IFERROR('RPK (live)'!M40/'ASK (live)'!M40,"-")</f>
        <v>-</v>
      </c>
      <c r="N40" s="10" t="str">
        <f ca="1">IFERROR('RPK (live)'!N40/'ASK (live)'!N40,"-")</f>
        <v>-</v>
      </c>
      <c r="O40" s="10" t="str">
        <f ca="1">IFERROR('RPK (live)'!O40/'ASK (live)'!O40,"-")</f>
        <v>-</v>
      </c>
      <c r="P40" s="10" t="str">
        <f ca="1">IFERROR('RPK (live)'!P40/'ASK (live)'!P40,"-")</f>
        <v>-</v>
      </c>
      <c r="Q40" s="10">
        <f ca="1">IFERROR('RPK (live)'!Q40/'ASK (live)'!Q40,"-")</f>
        <v>0.78000000000000014</v>
      </c>
      <c r="R40" s="10">
        <f ca="1">IFERROR('RPK (live)'!R40/'ASK (live)'!R40,"-")</f>
        <v>0.86999999999999988</v>
      </c>
      <c r="S40" s="10">
        <f ca="1">IFERROR('RPK (live)'!S40/'ASK (live)'!S40,"-")</f>
        <v>0.8</v>
      </c>
      <c r="T40" s="10">
        <f ca="1">IFERROR('RPK (live)'!T40/'ASK (live)'!T40,"-")</f>
        <v>0.95376145963118442</v>
      </c>
      <c r="U40" s="10">
        <f ca="1">IFERROR('RPK (live)'!U40/'ASK (live)'!U40,"-")</f>
        <v>0.99051911298780149</v>
      </c>
      <c r="V40" s="10">
        <f ca="1">IFERROR('RPK (live)'!V40/'ASK (live)'!V40,"-")</f>
        <v>0.89982192648100967</v>
      </c>
      <c r="W40" s="10" t="str">
        <f ca="1">IFERROR('RPK (live)'!W40/'ASK (live)'!W40,"-")</f>
        <v>-</v>
      </c>
      <c r="X40" s="10" t="str">
        <f ca="1">IFERROR('RPK (live)'!X40/'ASK (live)'!X40,"-")</f>
        <v>-</v>
      </c>
      <c r="Y40" s="10" t="str">
        <f ca="1">IFERROR('RPK (live)'!Y40/'ASK (live)'!Y40,"-")</f>
        <v>-</v>
      </c>
      <c r="Z40" s="10" t="str">
        <f ca="1">IFERROR('RPK (live)'!Z40/'ASK (live)'!Z40,"-")</f>
        <v>-</v>
      </c>
      <c r="AA40" s="10" t="str">
        <f ca="1">IFERROR('RPK (live)'!AA40/'ASK (live)'!AA40,"-")</f>
        <v>-</v>
      </c>
      <c r="AB40" s="10" t="str">
        <f ca="1">IFERROR('RPK (live)'!AB40/'ASK (live)'!AB40,"-")</f>
        <v>-</v>
      </c>
      <c r="AC40" s="10">
        <f ca="1">IFERROR('RPK (live)'!AC40/'ASK (live)'!AC40,"-")</f>
        <v>0.91191102559156256</v>
      </c>
      <c r="AD40" s="10">
        <f ca="1">IFERROR('RPK (live)'!AD40/'ASK (live)'!AD40,"-")</f>
        <v>0.89400008878366688</v>
      </c>
      <c r="AE40" s="10">
        <f ca="1">IFERROR('RPK (live)'!AE40/'ASK (live)'!AE40,"-")</f>
        <v>0.9161986232547733</v>
      </c>
    </row>
    <row r="41" spans="1:31">
      <c r="A41" s="1" t="s">
        <v>152</v>
      </c>
      <c r="B41" s="5" t="s">
        <v>184</v>
      </c>
      <c r="C41" s="5" t="s">
        <v>185</v>
      </c>
      <c r="D41" s="5" t="s">
        <v>28</v>
      </c>
      <c r="E41" s="5" t="s">
        <v>49</v>
      </c>
      <c r="F41" s="5" t="s">
        <v>22</v>
      </c>
      <c r="G41" s="6"/>
      <c r="H41" s="6"/>
      <c r="I41" s="6"/>
      <c r="J41" s="6"/>
      <c r="K41" s="6"/>
      <c r="L41" s="10" t="str">
        <f ca="1">IFERROR('RPK (live)'!L41/'ASK (live)'!L41,"-")</f>
        <v>-</v>
      </c>
      <c r="M41" s="10">
        <f ca="1">IFERROR('RPK (live)'!M41/'ASK (live)'!M41,"-")</f>
        <v>0.72899429441711894</v>
      </c>
      <c r="N41" s="10">
        <f ca="1">IFERROR('RPK (live)'!N41/'ASK (live)'!N41,"-")</f>
        <v>0.68</v>
      </c>
      <c r="O41" s="10">
        <f ca="1">IFERROR('RPK (live)'!O41/'ASK (live)'!O41,"-")</f>
        <v>0.64</v>
      </c>
      <c r="P41" s="10">
        <f ca="1">IFERROR('RPK (live)'!P41/'ASK (live)'!P41,"-")</f>
        <v>0.76000000000000012</v>
      </c>
      <c r="Q41" s="10">
        <f ca="1">IFERROR('RPK (live)'!Q41/'ASK (live)'!Q41,"-")</f>
        <v>0.65</v>
      </c>
      <c r="R41" s="10" t="str">
        <f ca="1">IFERROR('RPK (live)'!R41/'ASK (live)'!R41,"-")</f>
        <v>-</v>
      </c>
      <c r="S41" s="10" t="str">
        <f ca="1">IFERROR('RPK (live)'!S41/'ASK (live)'!S41,"-")</f>
        <v>-</v>
      </c>
      <c r="T41" s="10" t="str">
        <f ca="1">IFERROR('RPK (live)'!T41/'ASK (live)'!T41,"-")</f>
        <v>-</v>
      </c>
      <c r="U41" s="10" t="str">
        <f ca="1">IFERROR('RPK (live)'!U41/'ASK (live)'!U41,"-")</f>
        <v>-</v>
      </c>
      <c r="V41" s="10">
        <f ca="1">IFERROR('RPK (live)'!V41/'ASK (live)'!V41,"-")</f>
        <v>0.66667741263463642</v>
      </c>
      <c r="W41" s="10">
        <f ca="1">IFERROR('RPK (live)'!W41/'ASK (live)'!W41,"-")</f>
        <v>0.74075268070515154</v>
      </c>
      <c r="X41" s="10">
        <f ca="1">IFERROR('RPK (live)'!X41/'ASK (live)'!X41,"-")</f>
        <v>0.84567013870638463</v>
      </c>
      <c r="Y41" s="10">
        <f ca="1">IFERROR('RPK (live)'!Y41/'ASK (live)'!Y41,"-")</f>
        <v>0.7926948717104827</v>
      </c>
      <c r="Z41" s="10">
        <f ca="1">IFERROR('RPK (live)'!Z41/'ASK (live)'!Z41,"-")</f>
        <v>0.83792431261846412</v>
      </c>
      <c r="AA41" s="10">
        <f ca="1">IFERROR('RPK (live)'!AA41/'ASK (live)'!AA41,"-")</f>
        <v>0.75571173958427695</v>
      </c>
      <c r="AB41" s="10">
        <f ca="1">IFERROR('RPK (live)'!AB41/'ASK (live)'!AB41,"-")</f>
        <v>0.90621110885519229</v>
      </c>
      <c r="AC41" s="10">
        <f ca="1">IFERROR('RPK (live)'!AC41/'ASK (live)'!AC41,"-")</f>
        <v>0.77154633156097463</v>
      </c>
      <c r="AD41" s="10" t="str">
        <f ca="1">IFERROR('RPK (live)'!AD41/'ASK (live)'!AD41,"-")</f>
        <v>-</v>
      </c>
      <c r="AE41" s="10" t="str">
        <f ca="1">IFERROR('RPK (live)'!AE41/'ASK (live)'!AE41,"-")</f>
        <v>-</v>
      </c>
    </row>
    <row r="42" spans="1:31">
      <c r="A42" s="1" t="s">
        <v>152</v>
      </c>
      <c r="B42" s="5" t="s">
        <v>50</v>
      </c>
      <c r="C42" s="5" t="s">
        <v>51</v>
      </c>
      <c r="D42" s="5" t="s">
        <v>49</v>
      </c>
      <c r="E42" s="5" t="s">
        <v>28</v>
      </c>
      <c r="F42" s="5" t="s">
        <v>22</v>
      </c>
      <c r="G42" s="6"/>
      <c r="H42" s="6"/>
      <c r="I42" s="6"/>
      <c r="J42" s="6"/>
      <c r="K42" s="6"/>
      <c r="L42" s="10" t="str">
        <f ca="1">IFERROR('RPK (live)'!L42/'ASK (live)'!L42,"-")</f>
        <v>-</v>
      </c>
      <c r="M42" s="10">
        <f ca="1">IFERROR('RPK (live)'!M42/'ASK (live)'!M42,"-")</f>
        <v>0.72899429441711894</v>
      </c>
      <c r="N42" s="10">
        <f ca="1">IFERROR('RPK (live)'!N42/'ASK (live)'!N42,"-")</f>
        <v>0.68</v>
      </c>
      <c r="O42" s="10">
        <f ca="1">IFERROR('RPK (live)'!O42/'ASK (live)'!O42,"-")</f>
        <v>0.64</v>
      </c>
      <c r="P42" s="10">
        <f ca="1">IFERROR('RPK (live)'!P42/'ASK (live)'!P42,"-")</f>
        <v>0.76000000000000012</v>
      </c>
      <c r="Q42" s="10">
        <f ca="1">IFERROR('RPK (live)'!Q42/'ASK (live)'!Q42,"-")</f>
        <v>0.65</v>
      </c>
      <c r="R42" s="10" t="str">
        <f ca="1">IFERROR('RPK (live)'!R42/'ASK (live)'!R42,"-")</f>
        <v>-</v>
      </c>
      <c r="S42" s="10" t="str">
        <f ca="1">IFERROR('RPK (live)'!S42/'ASK (live)'!S42,"-")</f>
        <v>-</v>
      </c>
      <c r="T42" s="10" t="str">
        <f ca="1">IFERROR('RPK (live)'!T42/'ASK (live)'!T42,"-")</f>
        <v>-</v>
      </c>
      <c r="U42" s="10" t="str">
        <f ca="1">IFERROR('RPK (live)'!U42/'ASK (live)'!U42,"-")</f>
        <v>-</v>
      </c>
      <c r="V42" s="10">
        <f ca="1">IFERROR('RPK (live)'!V42/'ASK (live)'!V42,"-")</f>
        <v>0.66667741263463642</v>
      </c>
      <c r="W42" s="10">
        <f ca="1">IFERROR('RPK (live)'!W42/'ASK (live)'!W42,"-")</f>
        <v>0.74075268070515154</v>
      </c>
      <c r="X42" s="10">
        <f ca="1">IFERROR('RPK (live)'!X42/'ASK (live)'!X42,"-")</f>
        <v>0.84567013870638463</v>
      </c>
      <c r="Y42" s="10">
        <f ca="1">IFERROR('RPK (live)'!Y42/'ASK (live)'!Y42,"-")</f>
        <v>0.7926948717104827</v>
      </c>
      <c r="Z42" s="10">
        <f ca="1">IFERROR('RPK (live)'!Z42/'ASK (live)'!Z42,"-")</f>
        <v>0.83792431261846412</v>
      </c>
      <c r="AA42" s="10">
        <f ca="1">IFERROR('RPK (live)'!AA42/'ASK (live)'!AA42,"-")</f>
        <v>0.75571173958427695</v>
      </c>
      <c r="AB42" s="10">
        <f ca="1">IFERROR('RPK (live)'!AB42/'ASK (live)'!AB42,"-")</f>
        <v>0.90621110885519229</v>
      </c>
      <c r="AC42" s="10">
        <f ca="1">IFERROR('RPK (live)'!AC42/'ASK (live)'!AC42,"-")</f>
        <v>0.77154633156097463</v>
      </c>
      <c r="AD42" s="10" t="str">
        <f ca="1">IFERROR('RPK (live)'!AD42/'ASK (live)'!AD42,"-")</f>
        <v>-</v>
      </c>
      <c r="AE42" s="10" t="str">
        <f ca="1">IFERROR('RPK (live)'!AE42/'ASK (live)'!AE42,"-")</f>
        <v>-</v>
      </c>
    </row>
    <row r="43" spans="1:31">
      <c r="A43" s="1" t="s">
        <v>152</v>
      </c>
      <c r="B43" s="5" t="s">
        <v>186</v>
      </c>
      <c r="C43" s="5" t="s">
        <v>187</v>
      </c>
      <c r="D43" s="5" t="s">
        <v>21</v>
      </c>
      <c r="E43" s="5" t="s">
        <v>59</v>
      </c>
      <c r="F43" s="5" t="s">
        <v>22</v>
      </c>
      <c r="G43" s="6"/>
      <c r="H43" s="6"/>
      <c r="I43" s="6"/>
      <c r="J43" s="6"/>
      <c r="K43" s="6"/>
      <c r="L43" s="10">
        <f ca="1">IFERROR('RPK (live)'!L43/'ASK (live)'!L43,"-")</f>
        <v>0.92000000000000015</v>
      </c>
      <c r="M43" s="10">
        <f ca="1">IFERROR('RPK (live)'!M43/'ASK (live)'!M43,"-")</f>
        <v>0.97199239255615877</v>
      </c>
      <c r="N43" s="10">
        <f ca="1">IFERROR('RPK (live)'!N43/'ASK (live)'!N43,"-")</f>
        <v>0.95</v>
      </c>
      <c r="O43" s="10">
        <f ca="1">IFERROR('RPK (live)'!O43/'ASK (live)'!O43,"-")</f>
        <v>0.90000000000000013</v>
      </c>
      <c r="P43" s="10">
        <f ca="1">IFERROR('RPK (live)'!P43/'ASK (live)'!P43,"-")</f>
        <v>0.9</v>
      </c>
      <c r="Q43" s="10">
        <f ca="1">IFERROR('RPK (live)'!Q43/'ASK (live)'!Q43,"-")</f>
        <v>0.85000000000000009</v>
      </c>
      <c r="R43" s="10">
        <f ca="1">IFERROR('RPK (live)'!R43/'ASK (live)'!R43,"-")</f>
        <v>0.85000000000000009</v>
      </c>
      <c r="S43" s="10">
        <f ca="1">IFERROR('RPK (live)'!S43/'ASK (live)'!S43,"-")</f>
        <v>0.84</v>
      </c>
      <c r="T43" s="10">
        <f ca="1">IFERROR('RPK (live)'!T43/'ASK (live)'!T43,"-")</f>
        <v>0.9905191129878016</v>
      </c>
      <c r="U43" s="10">
        <f ca="1">IFERROR('RPK (live)'!U43/'ASK (live)'!U43,"-")</f>
        <v>0.99051911298780138</v>
      </c>
      <c r="V43" s="10">
        <f ca="1">IFERROR('RPK (live)'!V43/'ASK (live)'!V43,"-")</f>
        <v>0.99051911298780138</v>
      </c>
      <c r="W43" s="10">
        <f ca="1">IFERROR('RPK (live)'!W43/'ASK (live)'!W43,"-")</f>
        <v>0.98934345298111892</v>
      </c>
      <c r="X43" s="10">
        <f ca="1">IFERROR('RPK (live)'!X43/'ASK (live)'!X43,"-")</f>
        <v>0.98981196604266375</v>
      </c>
      <c r="Y43" s="10">
        <f ca="1">IFERROR('RPK (live)'!Y43/'ASK (live)'!Y43,"-")</f>
        <v>0.99051911298780126</v>
      </c>
      <c r="Z43" s="10">
        <f ca="1">IFERROR('RPK (live)'!Z43/'ASK (live)'!Z43,"-")</f>
        <v>0.99051911298780126</v>
      </c>
      <c r="AA43" s="10">
        <f ca="1">IFERROR('RPK (live)'!AA43/'ASK (live)'!AA43,"-")</f>
        <v>0.9905191129878016</v>
      </c>
      <c r="AB43" s="10">
        <f ca="1">IFERROR('RPK (live)'!AB43/'ASK (live)'!AB43,"-")</f>
        <v>0.98142694006956832</v>
      </c>
      <c r="AC43" s="10">
        <f ca="1">IFERROR('RPK (live)'!AC43/'ASK (live)'!AC43,"-")</f>
        <v>0.96678171984879613</v>
      </c>
      <c r="AD43" s="10">
        <f ca="1">IFERROR('RPK (live)'!AD43/'ASK (live)'!AD43,"-")</f>
        <v>0.98120147003995373</v>
      </c>
      <c r="AE43" s="10">
        <f ca="1">IFERROR('RPK (live)'!AE43/'ASK (live)'!AE43,"-")</f>
        <v>0.88749377287060915</v>
      </c>
    </row>
    <row r="44" spans="1:31">
      <c r="A44" s="1" t="s">
        <v>152</v>
      </c>
      <c r="B44" s="5" t="s">
        <v>61</v>
      </c>
      <c r="C44" s="5" t="s">
        <v>62</v>
      </c>
      <c r="D44" s="5" t="s">
        <v>59</v>
      </c>
      <c r="E44" s="5" t="s">
        <v>21</v>
      </c>
      <c r="F44" s="5" t="s">
        <v>22</v>
      </c>
      <c r="G44" s="6"/>
      <c r="H44" s="6"/>
      <c r="I44" s="6"/>
      <c r="J44" s="6"/>
      <c r="K44" s="6"/>
      <c r="L44" s="10">
        <f ca="1">IFERROR('RPK (live)'!L44/'ASK (live)'!L44,"-")</f>
        <v>0.92000000000000015</v>
      </c>
      <c r="M44" s="10">
        <f ca="1">IFERROR('RPK (live)'!M44/'ASK (live)'!M44,"-")</f>
        <v>0.97199239255615866</v>
      </c>
      <c r="N44" s="10">
        <f ca="1">IFERROR('RPK (live)'!N44/'ASK (live)'!N44,"-")</f>
        <v>0.95</v>
      </c>
      <c r="O44" s="10">
        <f ca="1">IFERROR('RPK (live)'!O44/'ASK (live)'!O44,"-")</f>
        <v>0.90000000000000013</v>
      </c>
      <c r="P44" s="10">
        <f ca="1">IFERROR('RPK (live)'!P44/'ASK (live)'!P44,"-")</f>
        <v>0.9</v>
      </c>
      <c r="Q44" s="10">
        <f ca="1">IFERROR('RPK (live)'!Q44/'ASK (live)'!Q44,"-")</f>
        <v>0.85</v>
      </c>
      <c r="R44" s="10">
        <f ca="1">IFERROR('RPK (live)'!R44/'ASK (live)'!R44,"-")</f>
        <v>0.85000000000000009</v>
      </c>
      <c r="S44" s="10">
        <f ca="1">IFERROR('RPK (live)'!S44/'ASK (live)'!S44,"-")</f>
        <v>0.84</v>
      </c>
      <c r="T44" s="10">
        <f ca="1">IFERROR('RPK (live)'!T44/'ASK (live)'!T44,"-")</f>
        <v>0.9905191129878016</v>
      </c>
      <c r="U44" s="10">
        <f ca="1">IFERROR('RPK (live)'!U44/'ASK (live)'!U44,"-")</f>
        <v>0.99051911298780138</v>
      </c>
      <c r="V44" s="10">
        <f ca="1">IFERROR('RPK (live)'!V44/'ASK (live)'!V44,"-")</f>
        <v>0.99051911298780138</v>
      </c>
      <c r="W44" s="10">
        <f ca="1">IFERROR('RPK (live)'!W44/'ASK (live)'!W44,"-")</f>
        <v>0.98934345298111892</v>
      </c>
      <c r="X44" s="10">
        <f ca="1">IFERROR('RPK (live)'!X44/'ASK (live)'!X44,"-")</f>
        <v>0.98981196604266375</v>
      </c>
      <c r="Y44" s="10">
        <f ca="1">IFERROR('RPK (live)'!Y44/'ASK (live)'!Y44,"-")</f>
        <v>0.99051911298780138</v>
      </c>
      <c r="Z44" s="10">
        <f ca="1">IFERROR('RPK (live)'!Z44/'ASK (live)'!Z44,"-")</f>
        <v>0.99051911298780138</v>
      </c>
      <c r="AA44" s="10">
        <f ca="1">IFERROR('RPK (live)'!AA44/'ASK (live)'!AA44,"-")</f>
        <v>0.9905191129878016</v>
      </c>
      <c r="AB44" s="10">
        <f ca="1">IFERROR('RPK (live)'!AB44/'ASK (live)'!AB44,"-")</f>
        <v>0.98142694006956843</v>
      </c>
      <c r="AC44" s="10">
        <f ca="1">IFERROR('RPK (live)'!AC44/'ASK (live)'!AC44,"-")</f>
        <v>0.96678171984879613</v>
      </c>
      <c r="AD44" s="10">
        <f ca="1">IFERROR('RPK (live)'!AD44/'ASK (live)'!AD44,"-")</f>
        <v>0.98120147003995373</v>
      </c>
      <c r="AE44" s="10">
        <f ca="1">IFERROR('RPK (live)'!AE44/'ASK (live)'!AE44,"-")</f>
        <v>0.88749377287060915</v>
      </c>
    </row>
    <row r="45" spans="1:31">
      <c r="A45" s="1" t="s">
        <v>152</v>
      </c>
      <c r="B45" s="5" t="s">
        <v>188</v>
      </c>
      <c r="C45" s="5" t="s">
        <v>189</v>
      </c>
      <c r="D45" s="5" t="s">
        <v>21</v>
      </c>
      <c r="E45" s="5" t="s">
        <v>20</v>
      </c>
      <c r="F45" s="5" t="s">
        <v>22</v>
      </c>
      <c r="G45" s="6"/>
      <c r="H45" s="6"/>
      <c r="I45" s="6"/>
      <c r="J45" s="6"/>
      <c r="K45" s="6"/>
      <c r="L45" s="10">
        <f ca="1">IFERROR('RPK (live)'!L45/'ASK (live)'!L45,"-")</f>
        <v>0.91999999999999993</v>
      </c>
      <c r="M45" s="10">
        <f ca="1">IFERROR('RPK (live)'!M45/'ASK (live)'!M45,"-")</f>
        <v>0.97199239255615855</v>
      </c>
      <c r="N45" s="10">
        <f ca="1">IFERROR('RPK (live)'!N45/'ASK (live)'!N45,"-")</f>
        <v>0.91999999999999993</v>
      </c>
      <c r="O45" s="10">
        <f ca="1">IFERROR('RPK (live)'!O45/'ASK (live)'!O45,"-")</f>
        <v>0.86</v>
      </c>
      <c r="P45" s="10">
        <f ca="1">IFERROR('RPK (live)'!P45/'ASK (live)'!P45,"-")</f>
        <v>0.89500000000000002</v>
      </c>
      <c r="Q45" s="10">
        <f ca="1">IFERROR('RPK (live)'!Q45/'ASK (live)'!Q45,"-")</f>
        <v>0.86799999999999999</v>
      </c>
      <c r="R45" s="10">
        <f ca="1">IFERROR('RPK (live)'!R45/'ASK (live)'!R45,"-")</f>
        <v>0.89</v>
      </c>
      <c r="S45" s="10">
        <f ca="1">IFERROR('RPK (live)'!S45/'ASK (live)'!S45,"-")</f>
        <v>0.88</v>
      </c>
      <c r="T45" s="10">
        <f ca="1">IFERROR('RPK (live)'!T45/'ASK (live)'!T45,"-")</f>
        <v>0.7869569788618086</v>
      </c>
      <c r="U45" s="10">
        <f ca="1">IFERROR('RPK (live)'!U45/'ASK (live)'!U45,"-")</f>
        <v>0.77893988636233147</v>
      </c>
      <c r="V45" s="10">
        <f ca="1">IFERROR('RPK (live)'!V45/'ASK (live)'!V45,"-")</f>
        <v>0.89692482269618612</v>
      </c>
      <c r="W45" s="10">
        <f ca="1">IFERROR('RPK (live)'!W45/'ASK (live)'!W45,"-")</f>
        <v>0.91134334811871798</v>
      </c>
      <c r="X45" s="10">
        <f ca="1">IFERROR('RPK (live)'!X45/'ASK (live)'!X45,"-")</f>
        <v>0.95381147035712843</v>
      </c>
      <c r="Y45" s="10">
        <f ca="1">IFERROR('RPK (live)'!Y45/'ASK (live)'!Y45,"-")</f>
        <v>0.9538114703571281</v>
      </c>
      <c r="Z45" s="10">
        <f ca="1">IFERROR('RPK (live)'!Z45/'ASK (live)'!Z45,"-")</f>
        <v>0.95532327931539807</v>
      </c>
      <c r="AA45" s="10">
        <f ca="1">IFERROR('RPK (live)'!AA45/'ASK (live)'!AA45,"-")</f>
        <v>0.85768698491035444</v>
      </c>
      <c r="AB45" s="10">
        <f ca="1">IFERROR('RPK (live)'!AB45/'ASK (live)'!AB45,"-")</f>
        <v>0.8823777156767133</v>
      </c>
      <c r="AC45" s="10">
        <f ca="1">IFERROR('RPK (live)'!AC45/'ASK (live)'!AC45,"-")</f>
        <v>0.86692952509273269</v>
      </c>
      <c r="AD45" s="10">
        <f ca="1">IFERROR('RPK (live)'!AD45/'ASK (live)'!AD45,"-")</f>
        <v>0.94778613483490859</v>
      </c>
      <c r="AE45" s="10">
        <f ca="1">IFERROR('RPK (live)'!AE45/'ASK (live)'!AE45,"-")</f>
        <v>0.9167487683842227</v>
      </c>
    </row>
    <row r="46" spans="1:31">
      <c r="A46" s="1" t="s">
        <v>152</v>
      </c>
      <c r="B46" s="5" t="s">
        <v>18</v>
      </c>
      <c r="C46" s="5" t="s">
        <v>19</v>
      </c>
      <c r="D46" s="5" t="s">
        <v>20</v>
      </c>
      <c r="E46" s="5" t="s">
        <v>21</v>
      </c>
      <c r="F46" s="5" t="s">
        <v>22</v>
      </c>
      <c r="G46" s="6"/>
      <c r="H46" s="6"/>
      <c r="I46" s="6"/>
      <c r="J46" s="6"/>
      <c r="K46" s="6"/>
      <c r="L46" s="10">
        <f ca="1">IFERROR('RPK (live)'!L46/'ASK (live)'!L46,"-")</f>
        <v>0.91999999999999993</v>
      </c>
      <c r="M46" s="10">
        <f ca="1">IFERROR('RPK (live)'!M46/'ASK (live)'!M46,"-")</f>
        <v>0.97199239255615855</v>
      </c>
      <c r="N46" s="10">
        <f ca="1">IFERROR('RPK (live)'!N46/'ASK (live)'!N46,"-")</f>
        <v>0.91999999999999993</v>
      </c>
      <c r="O46" s="10">
        <f ca="1">IFERROR('RPK (live)'!O46/'ASK (live)'!O46,"-")</f>
        <v>0.86</v>
      </c>
      <c r="P46" s="10">
        <f ca="1">IFERROR('RPK (live)'!P46/'ASK (live)'!P46,"-")</f>
        <v>0.89500000000000002</v>
      </c>
      <c r="Q46" s="10">
        <f ca="1">IFERROR('RPK (live)'!Q46/'ASK (live)'!Q46,"-")</f>
        <v>0.86799999999999999</v>
      </c>
      <c r="R46" s="10">
        <f ca="1">IFERROR('RPK (live)'!R46/'ASK (live)'!R46,"-")</f>
        <v>0.89</v>
      </c>
      <c r="S46" s="10">
        <f ca="1">IFERROR('RPK (live)'!S46/'ASK (live)'!S46,"-")</f>
        <v>0.88</v>
      </c>
      <c r="T46" s="10">
        <f ca="1">IFERROR('RPK (live)'!T46/'ASK (live)'!T46,"-")</f>
        <v>0.7869569788618086</v>
      </c>
      <c r="U46" s="10">
        <f ca="1">IFERROR('RPK (live)'!U46/'ASK (live)'!U46,"-")</f>
        <v>0.77893988636233147</v>
      </c>
      <c r="V46" s="10">
        <f ca="1">IFERROR('RPK (live)'!V46/'ASK (live)'!V46,"-")</f>
        <v>0.89692482269618612</v>
      </c>
      <c r="W46" s="10">
        <f ca="1">IFERROR('RPK (live)'!W46/'ASK (live)'!W46,"-")</f>
        <v>0.91134334811871798</v>
      </c>
      <c r="X46" s="10">
        <f ca="1">IFERROR('RPK (live)'!X46/'ASK (live)'!X46,"-")</f>
        <v>0.95381147035712843</v>
      </c>
      <c r="Y46" s="10">
        <f ca="1">IFERROR('RPK (live)'!Y46/'ASK (live)'!Y46,"-")</f>
        <v>0.9538114703571281</v>
      </c>
      <c r="Z46" s="10">
        <f ca="1">IFERROR('RPK (live)'!Z46/'ASK (live)'!Z46,"-")</f>
        <v>0.95532327931539807</v>
      </c>
      <c r="AA46" s="10">
        <f ca="1">IFERROR('RPK (live)'!AA46/'ASK (live)'!AA46,"-")</f>
        <v>0.85768698491035444</v>
      </c>
      <c r="AB46" s="10">
        <f ca="1">IFERROR('RPK (live)'!AB46/'ASK (live)'!AB46,"-")</f>
        <v>0.8823777156767133</v>
      </c>
      <c r="AC46" s="10">
        <f ca="1">IFERROR('RPK (live)'!AC46/'ASK (live)'!AC46,"-")</f>
        <v>0.86692952509273269</v>
      </c>
      <c r="AD46" s="10">
        <f ca="1">IFERROR('RPK (live)'!AD46/'ASK (live)'!AD46,"-")</f>
        <v>0.94778613483490859</v>
      </c>
      <c r="AE46" s="10">
        <f ca="1">IFERROR('RPK (live)'!AE46/'ASK (live)'!AE46,"-")</f>
        <v>0.9167487683842227</v>
      </c>
    </row>
    <row r="47" spans="1:31">
      <c r="A47" s="1" t="s">
        <v>152</v>
      </c>
      <c r="B47" s="5" t="s">
        <v>190</v>
      </c>
      <c r="C47" s="5" t="s">
        <v>191</v>
      </c>
      <c r="D47" s="5" t="s">
        <v>21</v>
      </c>
      <c r="E47" s="5" t="s">
        <v>73</v>
      </c>
      <c r="F47" s="5" t="s">
        <v>22</v>
      </c>
      <c r="G47" s="6"/>
      <c r="H47" s="6"/>
      <c r="I47" s="6"/>
      <c r="J47" s="6"/>
      <c r="K47" s="6"/>
      <c r="L47" s="10">
        <f ca="1">IFERROR('RPK (live)'!L47/'ASK (live)'!L47,"-")</f>
        <v>0.94499999999999995</v>
      </c>
      <c r="M47" s="10">
        <f ca="1">IFERROR('RPK (live)'!M47/'ASK (live)'!M47,"-")</f>
        <v>0.93149270953298535</v>
      </c>
      <c r="N47" s="10">
        <f ca="1">IFERROR('RPK (live)'!N47/'ASK (live)'!N47,"-")</f>
        <v>0.89</v>
      </c>
      <c r="O47" s="10">
        <f ca="1">IFERROR('RPK (live)'!O47/'ASK (live)'!O47,"-")</f>
        <v>0.82</v>
      </c>
      <c r="P47" s="10">
        <f ca="1">IFERROR('RPK (live)'!P47/'ASK (live)'!P47,"-")</f>
        <v>0.94699999999999984</v>
      </c>
      <c r="Q47" s="10">
        <f ca="1">IFERROR('RPK (live)'!Q47/'ASK (live)'!Q47,"-")</f>
        <v>0.88500000000000012</v>
      </c>
      <c r="R47" s="10">
        <f ca="1">IFERROR('RPK (live)'!R47/'ASK (live)'!R47,"-")</f>
        <v>0.747</v>
      </c>
      <c r="S47" s="10">
        <f ca="1">IFERROR('RPK (live)'!S47/'ASK (live)'!S47,"-")</f>
        <v>0.70999999999999985</v>
      </c>
      <c r="T47" s="10">
        <f ca="1">IFERROR('RPK (live)'!T47/'ASK (live)'!T47,"-")</f>
        <v>0.60010729357827464</v>
      </c>
      <c r="U47" s="10">
        <f ca="1">IFERROR('RPK (live)'!U47/'ASK (live)'!U47,"-")</f>
        <v>0.62693533892677056</v>
      </c>
      <c r="V47" s="10">
        <f ca="1">IFERROR('RPK (live)'!V47/'ASK (live)'!V47,"-")</f>
        <v>0.73901830494587717</v>
      </c>
      <c r="W47" s="10">
        <f ca="1">IFERROR('RPK (live)'!W47/'ASK (live)'!W47,"-")</f>
        <v>0.81345822136121348</v>
      </c>
      <c r="X47" s="10">
        <f ca="1">IFERROR('RPK (live)'!X47/'ASK (live)'!X47,"-")</f>
        <v>0.99051911298780115</v>
      </c>
      <c r="Y47" s="10">
        <f ca="1">IFERROR('RPK (live)'!Y47/'ASK (live)'!Y47,"-")</f>
        <v>0.99051911298780171</v>
      </c>
      <c r="Z47" s="10">
        <f ca="1">IFERROR('RPK (live)'!Z47/'ASK (live)'!Z47,"-")</f>
        <v>0.99051911298780138</v>
      </c>
      <c r="AA47" s="10">
        <f ca="1">IFERROR('RPK (live)'!AA47/'ASK (live)'!AA47,"-")</f>
        <v>0.93778556248677214</v>
      </c>
      <c r="AB47" s="10">
        <f ca="1">IFERROR('RPK (live)'!AB47/'ASK (live)'!AB47,"-")</f>
        <v>0.95159274980256892</v>
      </c>
      <c r="AC47" s="10">
        <f ca="1">IFERROR('RPK (live)'!AC47/'ASK (live)'!AC47,"-")</f>
        <v>0.87949004672737452</v>
      </c>
      <c r="AD47" s="10">
        <f ca="1">IFERROR('RPK (live)'!AD47/'ASK (live)'!AD47,"-")</f>
        <v>0.79295058212833291</v>
      </c>
      <c r="AE47" s="10">
        <f ca="1">IFERROR('RPK (live)'!AE47/'ASK (live)'!AE47,"-")</f>
        <v>0.63859051688032642</v>
      </c>
    </row>
    <row r="48" spans="1:31">
      <c r="A48" s="1" t="s">
        <v>152</v>
      </c>
      <c r="B48" s="5" t="s">
        <v>71</v>
      </c>
      <c r="C48" s="5" t="s">
        <v>72</v>
      </c>
      <c r="D48" s="5" t="s">
        <v>73</v>
      </c>
      <c r="E48" s="5" t="s">
        <v>21</v>
      </c>
      <c r="F48" s="5" t="s">
        <v>22</v>
      </c>
      <c r="G48" s="6"/>
      <c r="H48" s="6"/>
      <c r="I48" s="6"/>
      <c r="J48" s="6"/>
      <c r="K48" s="6"/>
      <c r="L48" s="10">
        <f ca="1">IFERROR('RPK (live)'!L48/'ASK (live)'!L48,"-")</f>
        <v>0.94499999999999995</v>
      </c>
      <c r="M48" s="10">
        <f ca="1">IFERROR('RPK (live)'!M48/'ASK (live)'!M48,"-")</f>
        <v>0.93149270953298535</v>
      </c>
      <c r="N48" s="10">
        <f ca="1">IFERROR('RPK (live)'!N48/'ASK (live)'!N48,"-")</f>
        <v>0.89</v>
      </c>
      <c r="O48" s="10">
        <f ca="1">IFERROR('RPK (live)'!O48/'ASK (live)'!O48,"-")</f>
        <v>0.82</v>
      </c>
      <c r="P48" s="10">
        <f ca="1">IFERROR('RPK (live)'!P48/'ASK (live)'!P48,"-")</f>
        <v>0.94699999999999984</v>
      </c>
      <c r="Q48" s="10">
        <f ca="1">IFERROR('RPK (live)'!Q48/'ASK (live)'!Q48,"-")</f>
        <v>0.88500000000000012</v>
      </c>
      <c r="R48" s="10">
        <f ca="1">IFERROR('RPK (live)'!R48/'ASK (live)'!R48,"-")</f>
        <v>0.747</v>
      </c>
      <c r="S48" s="10">
        <f ca="1">IFERROR('RPK (live)'!S48/'ASK (live)'!S48,"-")</f>
        <v>0.70999999999999985</v>
      </c>
      <c r="T48" s="10">
        <f ca="1">IFERROR('RPK (live)'!T48/'ASK (live)'!T48,"-")</f>
        <v>0.60010729357827464</v>
      </c>
      <c r="U48" s="10">
        <f ca="1">IFERROR('RPK (live)'!U48/'ASK (live)'!U48,"-")</f>
        <v>0.62693533892677056</v>
      </c>
      <c r="V48" s="10">
        <f ca="1">IFERROR('RPK (live)'!V48/'ASK (live)'!V48,"-")</f>
        <v>0.73901830494587717</v>
      </c>
      <c r="W48" s="10">
        <f ca="1">IFERROR('RPK (live)'!W48/'ASK (live)'!W48,"-")</f>
        <v>0.81345822136121348</v>
      </c>
      <c r="X48" s="10">
        <f ca="1">IFERROR('RPK (live)'!X48/'ASK (live)'!X48,"-")</f>
        <v>0.99051911298780115</v>
      </c>
      <c r="Y48" s="10">
        <f ca="1">IFERROR('RPK (live)'!Y48/'ASK (live)'!Y48,"-")</f>
        <v>0.99051911298780171</v>
      </c>
      <c r="Z48" s="10">
        <f ca="1">IFERROR('RPK (live)'!Z48/'ASK (live)'!Z48,"-")</f>
        <v>0.99051911298780138</v>
      </c>
      <c r="AA48" s="10">
        <f ca="1">IFERROR('RPK (live)'!AA48/'ASK (live)'!AA48,"-")</f>
        <v>0.93778556248677214</v>
      </c>
      <c r="AB48" s="10">
        <f ca="1">IFERROR('RPK (live)'!AB48/'ASK (live)'!AB48,"-")</f>
        <v>0.95159274980256892</v>
      </c>
      <c r="AC48" s="10">
        <f ca="1">IFERROR('RPK (live)'!AC48/'ASK (live)'!AC48,"-")</f>
        <v>0.87949004672737452</v>
      </c>
      <c r="AD48" s="10">
        <f ca="1">IFERROR('RPK (live)'!AD48/'ASK (live)'!AD48,"-")</f>
        <v>0.79295058212833291</v>
      </c>
      <c r="AE48" s="10">
        <f ca="1">IFERROR('RPK (live)'!AE48/'ASK (live)'!AE48,"-")</f>
        <v>0.63859051688032642</v>
      </c>
    </row>
    <row r="49" spans="1:31">
      <c r="A49" s="1" t="s">
        <v>152</v>
      </c>
      <c r="B49" s="5" t="s">
        <v>192</v>
      </c>
      <c r="C49" s="5" t="s">
        <v>193</v>
      </c>
      <c r="D49" s="5" t="s">
        <v>21</v>
      </c>
      <c r="E49" s="5" t="s">
        <v>194</v>
      </c>
      <c r="F49" s="5" t="s">
        <v>22</v>
      </c>
      <c r="G49" s="6"/>
      <c r="H49" s="6"/>
      <c r="I49" s="6"/>
      <c r="J49" s="6"/>
      <c r="K49" s="6"/>
      <c r="L49" s="10">
        <f ca="1">IFERROR('RPK (live)'!L49/'ASK (live)'!L49,"-")</f>
        <v>0.73</v>
      </c>
      <c r="M49" s="10">
        <f ca="1">IFERROR('RPK (live)'!M49/'ASK (live)'!M49,"-")</f>
        <v>0.75936905668449883</v>
      </c>
      <c r="N49" s="10">
        <f ca="1">IFERROR('RPK (live)'!N49/'ASK (live)'!N49,"-")</f>
        <v>0.7</v>
      </c>
      <c r="O49" s="10">
        <f ca="1">IFERROR('RPK (live)'!O49/'ASK (live)'!O49,"-")</f>
        <v>0.7</v>
      </c>
      <c r="P49" s="10">
        <f ca="1">IFERROR('RPK (live)'!P49/'ASK (live)'!P49,"-")</f>
        <v>0.77</v>
      </c>
      <c r="Q49" s="10">
        <f ca="1">IFERROR('RPK (live)'!Q49/'ASK (live)'!Q49,"-")</f>
        <v>0.87000000000000022</v>
      </c>
      <c r="R49" s="10">
        <f ca="1">IFERROR('RPK (live)'!R49/'ASK (live)'!R49,"-")</f>
        <v>0.87000000000000011</v>
      </c>
      <c r="S49" s="10">
        <f ca="1">IFERROR('RPK (live)'!S49/'ASK (live)'!S49,"-")</f>
        <v>0.745</v>
      </c>
      <c r="T49" s="10">
        <f ca="1">IFERROR('RPK (live)'!T49/'ASK (live)'!T49,"-")</f>
        <v>0.9640404792461732</v>
      </c>
      <c r="U49" s="10">
        <f ca="1">IFERROR('RPK (live)'!U49/'ASK (live)'!U49,"-")</f>
        <v>0.95128972934137557</v>
      </c>
      <c r="V49" s="10">
        <f ca="1">IFERROR('RPK (live)'!V49/'ASK (live)'!V49,"-")</f>
        <v>0.9754706788898948</v>
      </c>
      <c r="W49" s="10">
        <f ca="1">IFERROR('RPK (live)'!W49/'ASK (live)'!W49,"-")</f>
        <v>0.95940980572910828</v>
      </c>
      <c r="X49" s="10">
        <f ca="1">IFERROR('RPK (live)'!X49/'ASK (live)'!X49,"-")</f>
        <v>0.93298159361496036</v>
      </c>
      <c r="Y49" s="10">
        <f ca="1">IFERROR('RPK (live)'!Y49/'ASK (live)'!Y49,"-")</f>
        <v>0.88616513008492304</v>
      </c>
      <c r="Z49" s="10">
        <f ca="1">IFERROR('RPK (live)'!Z49/'ASK (live)'!Z49,"-")</f>
        <v>0.83656130665765027</v>
      </c>
      <c r="AA49" s="10">
        <f ca="1">IFERROR('RPK (live)'!AA49/'ASK (live)'!AA49,"-")</f>
        <v>0.88485524825458295</v>
      </c>
      <c r="AB49" s="10">
        <f ca="1">IFERROR('RPK (live)'!AB49/'ASK (live)'!AB49,"-")</f>
        <v>0.85769668895172735</v>
      </c>
      <c r="AC49" s="10">
        <f ca="1">IFERROR('RPK (live)'!AC49/'ASK (live)'!AC49,"-")</f>
        <v>0.98630633216613561</v>
      </c>
      <c r="AD49" s="10">
        <f ca="1">IFERROR('RPK (live)'!AD49/'ASK (live)'!AD49,"-")</f>
        <v>0.88062682307846019</v>
      </c>
      <c r="AE49" s="10">
        <f ca="1">IFERROR('RPK (live)'!AE49/'ASK (live)'!AE49,"-")</f>
        <v>0.75258763687340224</v>
      </c>
    </row>
    <row r="50" spans="1:31">
      <c r="A50" s="1" t="s">
        <v>152</v>
      </c>
      <c r="B50" s="5" t="s">
        <v>195</v>
      </c>
      <c r="C50" s="5" t="s">
        <v>196</v>
      </c>
      <c r="D50" s="5" t="s">
        <v>194</v>
      </c>
      <c r="E50" s="5" t="s">
        <v>21</v>
      </c>
      <c r="F50" s="5" t="s">
        <v>22</v>
      </c>
      <c r="G50" s="6"/>
      <c r="H50" s="6"/>
      <c r="I50" s="6"/>
      <c r="J50" s="6"/>
      <c r="K50" s="6"/>
      <c r="L50" s="10">
        <f ca="1">IFERROR('RPK (live)'!L50/'ASK (live)'!L50,"-")</f>
        <v>0.73</v>
      </c>
      <c r="M50" s="10">
        <f ca="1">IFERROR('RPK (live)'!M50/'ASK (live)'!M50,"-")</f>
        <v>0.75936905668449883</v>
      </c>
      <c r="N50" s="10">
        <f ca="1">IFERROR('RPK (live)'!N50/'ASK (live)'!N50,"-")</f>
        <v>0.7</v>
      </c>
      <c r="O50" s="10">
        <f ca="1">IFERROR('RPK (live)'!O50/'ASK (live)'!O50,"-")</f>
        <v>0.7</v>
      </c>
      <c r="P50" s="10">
        <f ca="1">IFERROR('RPK (live)'!P50/'ASK (live)'!P50,"-")</f>
        <v>0.77</v>
      </c>
      <c r="Q50" s="10">
        <f ca="1">IFERROR('RPK (live)'!Q50/'ASK (live)'!Q50,"-")</f>
        <v>0.87000000000000011</v>
      </c>
      <c r="R50" s="10">
        <f ca="1">IFERROR('RPK (live)'!R50/'ASK (live)'!R50,"-")</f>
        <v>0.87000000000000011</v>
      </c>
      <c r="S50" s="10">
        <f ca="1">IFERROR('RPK (live)'!S50/'ASK (live)'!S50,"-")</f>
        <v>0.745</v>
      </c>
      <c r="T50" s="10">
        <f ca="1">IFERROR('RPK (live)'!T50/'ASK (live)'!T50,"-")</f>
        <v>0.9640404792461732</v>
      </c>
      <c r="U50" s="10">
        <f ca="1">IFERROR('RPK (live)'!U50/'ASK (live)'!U50,"-")</f>
        <v>0.95128972934137557</v>
      </c>
      <c r="V50" s="10">
        <f ca="1">IFERROR('RPK (live)'!V50/'ASK (live)'!V50,"-")</f>
        <v>0.9754706788898948</v>
      </c>
      <c r="W50" s="10">
        <f ca="1">IFERROR('RPK (live)'!W50/'ASK (live)'!W50,"-")</f>
        <v>0.95940980572910828</v>
      </c>
      <c r="X50" s="10">
        <f ca="1">IFERROR('RPK (live)'!X50/'ASK (live)'!X50,"-")</f>
        <v>0.93298159361496036</v>
      </c>
      <c r="Y50" s="10">
        <f ca="1">IFERROR('RPK (live)'!Y50/'ASK (live)'!Y50,"-")</f>
        <v>0.88616513008492304</v>
      </c>
      <c r="Z50" s="10">
        <f ca="1">IFERROR('RPK (live)'!Z50/'ASK (live)'!Z50,"-")</f>
        <v>0.83656130665765027</v>
      </c>
      <c r="AA50" s="10">
        <f ca="1">IFERROR('RPK (live)'!AA50/'ASK (live)'!AA50,"-")</f>
        <v>0.88485524825458295</v>
      </c>
      <c r="AB50" s="10">
        <f ca="1">IFERROR('RPK (live)'!AB50/'ASK (live)'!AB50,"-")</f>
        <v>0.85769668895172735</v>
      </c>
      <c r="AC50" s="10">
        <f ca="1">IFERROR('RPK (live)'!AC50/'ASK (live)'!AC50,"-")</f>
        <v>0.98630633216613561</v>
      </c>
      <c r="AD50" s="10">
        <f ca="1">IFERROR('RPK (live)'!AD50/'ASK (live)'!AD50,"-")</f>
        <v>0.88062682307846019</v>
      </c>
      <c r="AE50" s="10">
        <f ca="1">IFERROR('RPK (live)'!AE50/'ASK (live)'!AE50,"-")</f>
        <v>0.75258763687340224</v>
      </c>
    </row>
    <row r="51" spans="1:31">
      <c r="A51" s="1" t="s">
        <v>152</v>
      </c>
      <c r="B51" s="5" t="s">
        <v>197</v>
      </c>
      <c r="C51" s="5" t="s">
        <v>198</v>
      </c>
      <c r="D51" s="5" t="s">
        <v>28</v>
      </c>
      <c r="E51" s="5" t="s">
        <v>20</v>
      </c>
      <c r="F51" s="5" t="s">
        <v>22</v>
      </c>
      <c r="G51" s="6"/>
      <c r="H51" s="6"/>
      <c r="I51" s="6"/>
      <c r="J51" s="6"/>
      <c r="K51" s="6"/>
      <c r="L51" s="10">
        <f ca="1">IFERROR('RPK (live)'!L51/'ASK (live)'!L51,"-")</f>
        <v>0.75</v>
      </c>
      <c r="M51" s="10">
        <f ca="1">IFERROR('RPK (live)'!M51/'ASK (live)'!M51,"-")</f>
        <v>0.80999366046346555</v>
      </c>
      <c r="N51" s="10">
        <f ca="1">IFERROR('RPK (live)'!N51/'ASK (live)'!N51,"-")</f>
        <v>0.81</v>
      </c>
      <c r="O51" s="10">
        <f ca="1">IFERROR('RPK (live)'!O51/'ASK (live)'!O51,"-")</f>
        <v>0.73</v>
      </c>
      <c r="P51" s="10">
        <f ca="1">IFERROR('RPK (live)'!P51/'ASK (live)'!P51,"-")</f>
        <v>0.83</v>
      </c>
      <c r="Q51" s="10">
        <f ca="1">IFERROR('RPK (live)'!Q51/'ASK (live)'!Q51,"-")</f>
        <v>0.87000000000000011</v>
      </c>
      <c r="R51" s="10">
        <f ca="1">IFERROR('RPK (live)'!R51/'ASK (live)'!R51,"-")</f>
        <v>0.71</v>
      </c>
      <c r="S51" s="10">
        <f ca="1">IFERROR('RPK (live)'!S51/'ASK (live)'!S51,"-")</f>
        <v>0.72</v>
      </c>
      <c r="T51" s="10">
        <f ca="1">IFERROR('RPK (live)'!T51/'ASK (live)'!T51,"-")</f>
        <v>0.62302375982596869</v>
      </c>
      <c r="U51" s="10">
        <f ca="1">IFERROR('RPK (live)'!U51/'ASK (live)'!U51,"-")</f>
        <v>0.64259183140316967</v>
      </c>
      <c r="V51" s="10">
        <f ca="1">IFERROR('RPK (live)'!V51/'ASK (live)'!V51,"-")</f>
        <v>0.83817719774932054</v>
      </c>
      <c r="W51" s="10">
        <f ca="1">IFERROR('RPK (live)'!W51/'ASK (live)'!W51,"-")</f>
        <v>0.94846839054313314</v>
      </c>
      <c r="X51" s="10">
        <f ca="1">IFERROR('RPK (live)'!X51/'ASK (live)'!X51,"-")</f>
        <v>0.75372024048853747</v>
      </c>
      <c r="Y51" s="10">
        <f ca="1">IFERROR('RPK (live)'!Y51/'ASK (live)'!Y51,"-")</f>
        <v>0.91600403241320572</v>
      </c>
      <c r="Z51" s="10">
        <f ca="1">IFERROR('RPK (live)'!Z51/'ASK (live)'!Z51,"-")</f>
        <v>0.9248116389984754</v>
      </c>
      <c r="AA51" s="10">
        <f ca="1">IFERROR('RPK (live)'!AA51/'ASK (live)'!AA51,"-")</f>
        <v>0.81243677581998186</v>
      </c>
      <c r="AB51" s="10">
        <f ca="1">IFERROR('RPK (live)'!AB51/'ASK (live)'!AB51,"-")</f>
        <v>0.87833628940451858</v>
      </c>
      <c r="AC51" s="10">
        <f ca="1">IFERROR('RPK (live)'!AC51/'ASK (live)'!AC51,"-")</f>
        <v>0.92964426031459657</v>
      </c>
      <c r="AD51" s="10">
        <f ca="1">IFERROR('RPK (live)'!AD51/'ASK (live)'!AD51,"-")</f>
        <v>0.84997817586333213</v>
      </c>
      <c r="AE51" s="10">
        <f ca="1">IFERROR('RPK (live)'!AE51/'ASK (live)'!AE51,"-")</f>
        <v>0.78123916689420936</v>
      </c>
    </row>
    <row r="52" spans="1:31">
      <c r="A52" s="1" t="s">
        <v>152</v>
      </c>
      <c r="B52" s="5" t="s">
        <v>26</v>
      </c>
      <c r="C52" s="5" t="s">
        <v>27</v>
      </c>
      <c r="D52" s="5" t="s">
        <v>20</v>
      </c>
      <c r="E52" s="5" t="s">
        <v>28</v>
      </c>
      <c r="F52" s="5" t="s">
        <v>22</v>
      </c>
      <c r="G52" s="6"/>
      <c r="H52" s="6"/>
      <c r="I52" s="6"/>
      <c r="J52" s="6"/>
      <c r="K52" s="6"/>
      <c r="L52" s="10">
        <f ca="1">IFERROR('RPK (live)'!L52/'ASK (live)'!L52,"-")</f>
        <v>0.75</v>
      </c>
      <c r="M52" s="10">
        <f ca="1">IFERROR('RPK (live)'!M52/'ASK (live)'!M52,"-")</f>
        <v>0.80999366046346555</v>
      </c>
      <c r="N52" s="10">
        <f ca="1">IFERROR('RPK (live)'!N52/'ASK (live)'!N52,"-")</f>
        <v>0.81</v>
      </c>
      <c r="O52" s="10">
        <f ca="1">IFERROR('RPK (live)'!O52/'ASK (live)'!O52,"-")</f>
        <v>0.73</v>
      </c>
      <c r="P52" s="10">
        <f ca="1">IFERROR('RPK (live)'!P52/'ASK (live)'!P52,"-")</f>
        <v>0.83</v>
      </c>
      <c r="Q52" s="10">
        <f ca="1">IFERROR('RPK (live)'!Q52/'ASK (live)'!Q52,"-")</f>
        <v>0.87000000000000011</v>
      </c>
      <c r="R52" s="10">
        <f ca="1">IFERROR('RPK (live)'!R52/'ASK (live)'!R52,"-")</f>
        <v>0.71</v>
      </c>
      <c r="S52" s="10">
        <f ca="1">IFERROR('RPK (live)'!S52/'ASK (live)'!S52,"-")</f>
        <v>0.72</v>
      </c>
      <c r="T52" s="10">
        <f ca="1">IFERROR('RPK (live)'!T52/'ASK (live)'!T52,"-")</f>
        <v>0.62302375982596869</v>
      </c>
      <c r="U52" s="10">
        <f ca="1">IFERROR('RPK (live)'!U52/'ASK (live)'!U52,"-")</f>
        <v>0.64259183140316967</v>
      </c>
      <c r="V52" s="10">
        <f ca="1">IFERROR('RPK (live)'!V52/'ASK (live)'!V52,"-")</f>
        <v>0.83817719774932054</v>
      </c>
      <c r="W52" s="10">
        <f ca="1">IFERROR('RPK (live)'!W52/'ASK (live)'!W52,"-")</f>
        <v>0.94846839054313314</v>
      </c>
      <c r="X52" s="10">
        <f ca="1">IFERROR('RPK (live)'!X52/'ASK (live)'!X52,"-")</f>
        <v>0.75372024048853747</v>
      </c>
      <c r="Y52" s="10">
        <f ca="1">IFERROR('RPK (live)'!Y52/'ASK (live)'!Y52,"-")</f>
        <v>0.91600403241320572</v>
      </c>
      <c r="Z52" s="10">
        <f ca="1">IFERROR('RPK (live)'!Z52/'ASK (live)'!Z52,"-")</f>
        <v>0.9248116389984754</v>
      </c>
      <c r="AA52" s="10">
        <f ca="1">IFERROR('RPK (live)'!AA52/'ASK (live)'!AA52,"-")</f>
        <v>0.81243677581998186</v>
      </c>
      <c r="AB52" s="10">
        <f ca="1">IFERROR('RPK (live)'!AB52/'ASK (live)'!AB52,"-")</f>
        <v>0.87833628940451858</v>
      </c>
      <c r="AC52" s="10">
        <f ca="1">IFERROR('RPK (live)'!AC52/'ASK (live)'!AC52,"-")</f>
        <v>0.92964426031459657</v>
      </c>
      <c r="AD52" s="10">
        <f ca="1">IFERROR('RPK (live)'!AD52/'ASK (live)'!AD52,"-")</f>
        <v>0.84997817586333213</v>
      </c>
      <c r="AE52" s="10">
        <f ca="1">IFERROR('RPK (live)'!AE52/'ASK (live)'!AE52,"-")</f>
        <v>0.78123916689420958</v>
      </c>
    </row>
    <row r="53" spans="1:31">
      <c r="A53" s="1" t="s">
        <v>152</v>
      </c>
      <c r="B53" s="5" t="s">
        <v>199</v>
      </c>
      <c r="C53" s="5" t="s">
        <v>189</v>
      </c>
      <c r="D53" s="5" t="s">
        <v>21</v>
      </c>
      <c r="E53" s="5" t="s">
        <v>20</v>
      </c>
      <c r="F53" s="5" t="s">
        <v>22</v>
      </c>
      <c r="G53" s="6"/>
      <c r="H53" s="6"/>
      <c r="I53" s="6"/>
      <c r="J53" s="6"/>
      <c r="K53" s="6"/>
      <c r="L53" s="10" t="str">
        <f ca="1">IFERROR('RPK (live)'!L53/'ASK (live)'!L53,"-")</f>
        <v>-</v>
      </c>
      <c r="M53" s="10" t="str">
        <f ca="1">IFERROR('RPK (live)'!M53/'ASK (live)'!M53,"-")</f>
        <v>-</v>
      </c>
      <c r="N53" s="10" t="str">
        <f ca="1">IFERROR('RPK (live)'!N53/'ASK (live)'!N53,"-")</f>
        <v>-</v>
      </c>
      <c r="O53" s="10">
        <f ca="1">IFERROR('RPK (live)'!O53/'ASK (live)'!O53,"-")</f>
        <v>0.86</v>
      </c>
      <c r="P53" s="10" t="str">
        <f ca="1">IFERROR('RPK (live)'!P53/'ASK (live)'!P53,"-")</f>
        <v>-</v>
      </c>
      <c r="Q53" s="10" t="str">
        <f ca="1">IFERROR('RPK (live)'!Q53/'ASK (live)'!Q53,"-")</f>
        <v>-</v>
      </c>
      <c r="R53" s="10" t="str">
        <f ca="1">IFERROR('RPK (live)'!R53/'ASK (live)'!R53,"-")</f>
        <v>-</v>
      </c>
      <c r="S53" s="10" t="str">
        <f ca="1">IFERROR('RPK (live)'!S53/'ASK (live)'!S53,"-")</f>
        <v>-</v>
      </c>
      <c r="T53" s="10" t="str">
        <f ca="1">IFERROR('RPK (live)'!T53/'ASK (live)'!T53,"-")</f>
        <v>-</v>
      </c>
      <c r="U53" s="10" t="str">
        <f ca="1">IFERROR('RPK (live)'!U53/'ASK (live)'!U53,"-")</f>
        <v>-</v>
      </c>
      <c r="V53" s="10">
        <f ca="1">IFERROR('RPK (live)'!V53/'ASK (live)'!V53,"-")</f>
        <v>0.89692482269618634</v>
      </c>
      <c r="W53" s="10">
        <f ca="1">IFERROR('RPK (live)'!W53/'ASK (live)'!W53,"-")</f>
        <v>0.91134334811871798</v>
      </c>
      <c r="X53" s="10">
        <f ca="1">IFERROR('RPK (live)'!X53/'ASK (live)'!X53,"-")</f>
        <v>0.95381147035712843</v>
      </c>
      <c r="Y53" s="10">
        <f ca="1">IFERROR('RPK (live)'!Y53/'ASK (live)'!Y53,"-")</f>
        <v>0.9538114703571281</v>
      </c>
      <c r="Z53" s="10">
        <f ca="1">IFERROR('RPK (live)'!Z53/'ASK (live)'!Z53,"-")</f>
        <v>0.95532327931539807</v>
      </c>
      <c r="AA53" s="10">
        <f ca="1">IFERROR('RPK (live)'!AA53/'ASK (live)'!AA53,"-")</f>
        <v>0.85768698491035444</v>
      </c>
      <c r="AB53" s="10">
        <f ca="1">IFERROR('RPK (live)'!AB53/'ASK (live)'!AB53,"-")</f>
        <v>0.8823777156767133</v>
      </c>
      <c r="AC53" s="10">
        <f ca="1">IFERROR('RPK (live)'!AC53/'ASK (live)'!AC53,"-")</f>
        <v>0.8669295250927328</v>
      </c>
      <c r="AD53" s="10" t="str">
        <f ca="1">IFERROR('RPK (live)'!AD53/'ASK (live)'!AD53,"-")</f>
        <v>-</v>
      </c>
      <c r="AE53" s="10" t="str">
        <f ca="1">IFERROR('RPK (live)'!AE53/'ASK (live)'!AE53,"-")</f>
        <v>-</v>
      </c>
    </row>
    <row r="54" spans="1:31">
      <c r="A54" s="1" t="s">
        <v>152</v>
      </c>
      <c r="B54" s="5" t="s">
        <v>23</v>
      </c>
      <c r="C54" s="5" t="s">
        <v>19</v>
      </c>
      <c r="D54" s="5" t="s">
        <v>20</v>
      </c>
      <c r="E54" s="5" t="s">
        <v>21</v>
      </c>
      <c r="F54" s="5" t="s">
        <v>22</v>
      </c>
      <c r="G54" s="6"/>
      <c r="H54" s="6"/>
      <c r="I54" s="6"/>
      <c r="J54" s="6"/>
      <c r="K54" s="6"/>
      <c r="L54" s="10" t="str">
        <f ca="1">IFERROR('RPK (live)'!L54/'ASK (live)'!L54,"-")</f>
        <v>-</v>
      </c>
      <c r="M54" s="10" t="str">
        <f ca="1">IFERROR('RPK (live)'!M54/'ASK (live)'!M54,"-")</f>
        <v>-</v>
      </c>
      <c r="N54" s="10" t="str">
        <f ca="1">IFERROR('RPK (live)'!N54/'ASK (live)'!N54,"-")</f>
        <v>-</v>
      </c>
      <c r="O54" s="10" t="str">
        <f ca="1">IFERROR('RPK (live)'!O54/'ASK (live)'!O54,"-")</f>
        <v>-</v>
      </c>
      <c r="P54" s="10" t="str">
        <f ca="1">IFERROR('RPK (live)'!P54/'ASK (live)'!P54,"-")</f>
        <v>-</v>
      </c>
      <c r="Q54" s="10" t="str">
        <f ca="1">IFERROR('RPK (live)'!Q54/'ASK (live)'!Q54,"-")</f>
        <v>-</v>
      </c>
      <c r="R54" s="10" t="str">
        <f ca="1">IFERROR('RPK (live)'!R54/'ASK (live)'!R54,"-")</f>
        <v>-</v>
      </c>
      <c r="S54" s="10" t="str">
        <f ca="1">IFERROR('RPK (live)'!S54/'ASK (live)'!S54,"-")</f>
        <v>-</v>
      </c>
      <c r="T54" s="10" t="str">
        <f ca="1">IFERROR('RPK (live)'!T54/'ASK (live)'!T54,"-")</f>
        <v>-</v>
      </c>
      <c r="U54" s="10" t="str">
        <f ca="1">IFERROR('RPK (live)'!U54/'ASK (live)'!U54,"-")</f>
        <v>-</v>
      </c>
      <c r="V54" s="10">
        <f ca="1">IFERROR('RPK (live)'!V54/'ASK (live)'!V54,"-")</f>
        <v>0.89692482269618634</v>
      </c>
      <c r="W54" s="10">
        <f ca="1">IFERROR('RPK (live)'!W54/'ASK (live)'!W54,"-")</f>
        <v>0.91134334811871798</v>
      </c>
      <c r="X54" s="10">
        <f ca="1">IFERROR('RPK (live)'!X54/'ASK (live)'!X54,"-")</f>
        <v>0.95381147035712843</v>
      </c>
      <c r="Y54" s="10">
        <f ca="1">IFERROR('RPK (live)'!Y54/'ASK (live)'!Y54,"-")</f>
        <v>0.9538114703571281</v>
      </c>
      <c r="Z54" s="10">
        <f ca="1">IFERROR('RPK (live)'!Z54/'ASK (live)'!Z54,"-")</f>
        <v>0.95532327931539807</v>
      </c>
      <c r="AA54" s="10">
        <f ca="1">IFERROR('RPK (live)'!AA54/'ASK (live)'!AA54,"-")</f>
        <v>0.85768698491035444</v>
      </c>
      <c r="AB54" s="10">
        <f ca="1">IFERROR('RPK (live)'!AB54/'ASK (live)'!AB54,"-")</f>
        <v>0.8823777156767133</v>
      </c>
      <c r="AC54" s="10">
        <f ca="1">IFERROR('RPK (live)'!AC54/'ASK (live)'!AC54,"-")</f>
        <v>0.8669295250927328</v>
      </c>
      <c r="AD54" s="10" t="str">
        <f ca="1">IFERROR('RPK (live)'!AD54/'ASK (live)'!AD54,"-")</f>
        <v>-</v>
      </c>
      <c r="AE54" s="10" t="str">
        <f ca="1">IFERROR('RPK (live)'!AE54/'ASK (live)'!AE54,"-")</f>
        <v>-</v>
      </c>
    </row>
    <row r="55" spans="1:31">
      <c r="A55" s="1" t="s">
        <v>152</v>
      </c>
      <c r="B55" s="5" t="s">
        <v>200</v>
      </c>
      <c r="C55" s="5" t="s">
        <v>161</v>
      </c>
      <c r="D55" s="5" t="s">
        <v>21</v>
      </c>
      <c r="E55" s="5" t="s">
        <v>69</v>
      </c>
      <c r="F55" s="5" t="s">
        <v>22</v>
      </c>
      <c r="G55" s="6"/>
      <c r="H55" s="6"/>
      <c r="I55" s="6"/>
      <c r="J55" s="6"/>
      <c r="K55" s="6"/>
      <c r="L55" s="10">
        <f ca="1">IFERROR('RPK (live)'!L55/'ASK (live)'!L55,"-")</f>
        <v>0.83</v>
      </c>
      <c r="M55" s="10">
        <f ca="1">IFERROR('RPK (live)'!M55/'ASK (live)'!M55,"-")</f>
        <v>0.91124286802139864</v>
      </c>
      <c r="N55" s="10">
        <f ca="1">IFERROR('RPK (live)'!N55/'ASK (live)'!N55,"-")</f>
        <v>0.85</v>
      </c>
      <c r="O55" s="10">
        <f ca="1">IFERROR('RPK (live)'!O55/'ASK (live)'!O55,"-")</f>
        <v>0.82000000000000017</v>
      </c>
      <c r="P55" s="10">
        <f ca="1">IFERROR('RPK (live)'!P55/'ASK (live)'!P55,"-")</f>
        <v>0.8</v>
      </c>
      <c r="Q55" s="10">
        <f ca="1">IFERROR('RPK (live)'!Q55/'ASK (live)'!Q55,"-")</f>
        <v>0.87</v>
      </c>
      <c r="R55" s="10">
        <f ca="1">IFERROR('RPK (live)'!R55/'ASK (live)'!R55,"-")</f>
        <v>0.85</v>
      </c>
      <c r="S55" s="10">
        <f ca="1">IFERROR('RPK (live)'!S55/'ASK (live)'!S55,"-")</f>
        <v>0.85</v>
      </c>
      <c r="T55" s="10">
        <f ca="1">IFERROR('RPK (live)'!T55/'ASK (live)'!T55,"-")</f>
        <v>0.96159077379254254</v>
      </c>
      <c r="U55" s="10">
        <f ca="1">IFERROR('RPK (live)'!U55/'ASK (live)'!U55,"-")</f>
        <v>0.95934146794658304</v>
      </c>
      <c r="V55" s="10">
        <f ca="1">IFERROR('RPK (live)'!V55/'ASK (live)'!V55,"-")</f>
        <v>0.95712278438062914</v>
      </c>
      <c r="W55" s="10">
        <f ca="1">IFERROR('RPK (live)'!W55/'ASK (live)'!W55,"-")</f>
        <v>0.97216354444086617</v>
      </c>
      <c r="X55" s="10">
        <f ca="1">IFERROR('RPK (live)'!X55/'ASK (live)'!X55,"-")</f>
        <v>0.97866606038901571</v>
      </c>
      <c r="Y55" s="10">
        <f ca="1">IFERROR('RPK (live)'!Y55/'ASK (live)'!Y55,"-")</f>
        <v>0.97733476466551539</v>
      </c>
      <c r="Z55" s="10">
        <f ca="1">IFERROR('RPK (live)'!Z55/'ASK (live)'!Z55,"-")</f>
        <v>0.95356776266801091</v>
      </c>
      <c r="AA55" s="10">
        <f ca="1">IFERROR('RPK (live)'!AA55/'ASK (live)'!AA55,"-")</f>
        <v>0.92107511571678446</v>
      </c>
      <c r="AB55" s="10">
        <f ca="1">IFERROR('RPK (live)'!AB55/'ASK (live)'!AB55,"-")</f>
        <v>0.88533951138694922</v>
      </c>
      <c r="AC55" s="10">
        <f ca="1">IFERROR('RPK (live)'!AC55/'ASK (live)'!AC55,"-")</f>
        <v>0.86194702413893665</v>
      </c>
      <c r="AD55" s="10">
        <f ca="1">IFERROR('RPK (live)'!AD55/'ASK (live)'!AD55,"-")</f>
        <v>0.89895576402428923</v>
      </c>
      <c r="AE55" s="10">
        <f ca="1">IFERROR('RPK (live)'!AE55/'ASK (live)'!AE55,"-")</f>
        <v>0.80748062443827029</v>
      </c>
    </row>
    <row r="56" spans="1:31">
      <c r="A56" s="1" t="s">
        <v>152</v>
      </c>
      <c r="B56" s="5" t="s">
        <v>70</v>
      </c>
      <c r="C56" s="5" t="s">
        <v>68</v>
      </c>
      <c r="D56" s="5" t="s">
        <v>69</v>
      </c>
      <c r="E56" s="5" t="s">
        <v>21</v>
      </c>
      <c r="F56" s="5" t="s">
        <v>22</v>
      </c>
      <c r="G56" s="6"/>
      <c r="H56" s="6"/>
      <c r="I56" s="6"/>
      <c r="J56" s="6"/>
      <c r="K56" s="6"/>
      <c r="L56" s="10">
        <f ca="1">IFERROR('RPK (live)'!L56/'ASK (live)'!L56,"-")</f>
        <v>0.83</v>
      </c>
      <c r="M56" s="10">
        <f ca="1">IFERROR('RPK (live)'!M56/'ASK (live)'!M56,"-")</f>
        <v>0.91124286802139864</v>
      </c>
      <c r="N56" s="10">
        <f ca="1">IFERROR('RPK (live)'!N56/'ASK (live)'!N56,"-")</f>
        <v>0.85</v>
      </c>
      <c r="O56" s="10">
        <f ca="1">IFERROR('RPK (live)'!O56/'ASK (live)'!O56,"-")</f>
        <v>0.82000000000000017</v>
      </c>
      <c r="P56" s="10">
        <f ca="1">IFERROR('RPK (live)'!P56/'ASK (live)'!P56,"-")</f>
        <v>0.8</v>
      </c>
      <c r="Q56" s="10">
        <f ca="1">IFERROR('RPK (live)'!Q56/'ASK (live)'!Q56,"-")</f>
        <v>0.87</v>
      </c>
      <c r="R56" s="10">
        <f ca="1">IFERROR('RPK (live)'!R56/'ASK (live)'!R56,"-")</f>
        <v>0.85</v>
      </c>
      <c r="S56" s="10">
        <f ca="1">IFERROR('RPK (live)'!S56/'ASK (live)'!S56,"-")</f>
        <v>0.85</v>
      </c>
      <c r="T56" s="10">
        <f ca="1">IFERROR('RPK (live)'!T56/'ASK (live)'!T56,"-")</f>
        <v>0.96159077379254254</v>
      </c>
      <c r="U56" s="10">
        <f ca="1">IFERROR('RPK (live)'!U56/'ASK (live)'!U56,"-")</f>
        <v>0.95934146794658304</v>
      </c>
      <c r="V56" s="10">
        <f ca="1">IFERROR('RPK (live)'!V56/'ASK (live)'!V56,"-")</f>
        <v>0.95712278438062914</v>
      </c>
      <c r="W56" s="10">
        <f ca="1">IFERROR('RPK (live)'!W56/'ASK (live)'!W56,"-")</f>
        <v>0.97216354444086617</v>
      </c>
      <c r="X56" s="10">
        <f ca="1">IFERROR('RPK (live)'!X56/'ASK (live)'!X56,"-")</f>
        <v>0.97866606038901571</v>
      </c>
      <c r="Y56" s="10">
        <f ca="1">IFERROR('RPK (live)'!Y56/'ASK (live)'!Y56,"-")</f>
        <v>0.97733476466551539</v>
      </c>
      <c r="Z56" s="10">
        <f ca="1">IFERROR('RPK (live)'!Z56/'ASK (live)'!Z56,"-")</f>
        <v>0.95356776266801091</v>
      </c>
      <c r="AA56" s="10">
        <f ca="1">IFERROR('RPK (live)'!AA56/'ASK (live)'!AA56,"-")</f>
        <v>0.92107511571678446</v>
      </c>
      <c r="AB56" s="10">
        <f ca="1">IFERROR('RPK (live)'!AB56/'ASK (live)'!AB56,"-")</f>
        <v>0.88533951138694922</v>
      </c>
      <c r="AC56" s="10">
        <f ca="1">IFERROR('RPK (live)'!AC56/'ASK (live)'!AC56,"-")</f>
        <v>0.86194702413893676</v>
      </c>
      <c r="AD56" s="10">
        <f ca="1">IFERROR('RPK (live)'!AD56/'ASK (live)'!AD56,"-")</f>
        <v>0.89895576402428923</v>
      </c>
      <c r="AE56" s="10">
        <f ca="1">IFERROR('RPK (live)'!AE56/'ASK (live)'!AE56,"-")</f>
        <v>0.80748062443827029</v>
      </c>
    </row>
    <row r="57" spans="1:31">
      <c r="A57" s="1" t="s">
        <v>152</v>
      </c>
      <c r="B57" s="5" t="s">
        <v>201</v>
      </c>
      <c r="C57" s="5" t="s">
        <v>202</v>
      </c>
      <c r="D57" s="5" t="s">
        <v>28</v>
      </c>
      <c r="E57" s="5" t="s">
        <v>38</v>
      </c>
      <c r="F57" s="5" t="s">
        <v>22</v>
      </c>
      <c r="G57" s="6"/>
      <c r="H57" s="6"/>
      <c r="I57" s="6"/>
      <c r="J57" s="6"/>
      <c r="K57" s="6"/>
      <c r="L57" s="10">
        <f ca="1">IFERROR('RPK (live)'!L57/'ASK (live)'!L57,"-")</f>
        <v>0.9284660262018205</v>
      </c>
      <c r="M57" s="10">
        <f ca="1">IFERROR('RPK (live)'!M57/'ASK (live)'!M57,"-")</f>
        <v>0.9341469618023146</v>
      </c>
      <c r="N57" s="10">
        <f ca="1">IFERROR('RPK (live)'!N57/'ASK (live)'!N57,"-")</f>
        <v>0.89740264125619829</v>
      </c>
      <c r="O57" s="10">
        <f ca="1">IFERROR('RPK (live)'!O57/'ASK (live)'!O57,"-")</f>
        <v>0.97790576998769074</v>
      </c>
      <c r="P57" s="10">
        <f ca="1">IFERROR('RPK (live)'!P57/'ASK (live)'!P57,"-")</f>
        <v>1</v>
      </c>
      <c r="Q57" s="10">
        <f ca="1">IFERROR('RPK (live)'!Q57/'ASK (live)'!Q57,"-")</f>
        <v>0.99724897428896553</v>
      </c>
      <c r="R57" s="10">
        <f ca="1">IFERROR('RPK (live)'!R57/'ASK (live)'!R57,"-")</f>
        <v>0.91270952323987042</v>
      </c>
      <c r="S57" s="10">
        <f ca="1">IFERROR('RPK (live)'!S57/'ASK (live)'!S57,"-")</f>
        <v>0.99999999999999989</v>
      </c>
      <c r="T57" s="10">
        <f ca="1">IFERROR('RPK (live)'!T57/'ASK (live)'!T57,"-")</f>
        <v>0.79633592581522694</v>
      </c>
      <c r="U57" s="10">
        <f ca="1">IFERROR('RPK (live)'!U57/'ASK (live)'!U57,"-")</f>
        <v>0.8192143552766028</v>
      </c>
      <c r="V57" s="10">
        <f ca="1">IFERROR('RPK (live)'!V57/'ASK (live)'!V57,"-")</f>
        <v>0.86675029412390592</v>
      </c>
      <c r="W57" s="10">
        <f ca="1">IFERROR('RPK (live)'!W57/'ASK (live)'!W57,"-")</f>
        <v>0.9779884544265488</v>
      </c>
      <c r="X57" s="10">
        <f ca="1">IFERROR('RPK (live)'!X57/'ASK (live)'!X57,"-")</f>
        <v>0.99051911298780126</v>
      </c>
      <c r="Y57" s="10">
        <f ca="1">IFERROR('RPK (live)'!Y57/'ASK (live)'!Y57,"-")</f>
        <v>0.94728285018435998</v>
      </c>
      <c r="Z57" s="10">
        <f ca="1">IFERROR('RPK (live)'!Z57/'ASK (live)'!Z57,"-")</f>
        <v>0.96434878266266244</v>
      </c>
      <c r="AA57" s="10">
        <f ca="1">IFERROR('RPK (live)'!AA57/'ASK (live)'!AA57,"-")</f>
        <v>0.83745563793755362</v>
      </c>
      <c r="AB57" s="10">
        <f ca="1">IFERROR('RPK (live)'!AB57/'ASK (live)'!AB57,"-")</f>
        <v>0.85745112718341643</v>
      </c>
      <c r="AC57" s="10">
        <f ca="1">IFERROR('RPK (live)'!AC57/'ASK (live)'!AC57,"-")</f>
        <v>0.94754226351140614</v>
      </c>
      <c r="AD57" s="10">
        <f ca="1">IFERROR('RPK (live)'!AD57/'ASK (live)'!AD57,"-")</f>
        <v>0.97616979153343908</v>
      </c>
      <c r="AE57" s="10">
        <f ca="1">IFERROR('RPK (live)'!AE57/'ASK (live)'!AE57,"-")</f>
        <v>0.96729518367795564</v>
      </c>
    </row>
    <row r="58" spans="1:31">
      <c r="A58" s="1" t="s">
        <v>152</v>
      </c>
      <c r="B58" s="5" t="s">
        <v>45</v>
      </c>
      <c r="C58" s="5" t="s">
        <v>46</v>
      </c>
      <c r="D58" s="5" t="s">
        <v>38</v>
      </c>
      <c r="E58" s="5" t="s">
        <v>28</v>
      </c>
      <c r="F58" s="5" t="s">
        <v>22</v>
      </c>
      <c r="G58" s="6"/>
      <c r="H58" s="6"/>
      <c r="I58" s="6"/>
      <c r="J58" s="6"/>
      <c r="K58" s="6"/>
      <c r="L58" s="10">
        <f ca="1">IFERROR('RPK (live)'!L58/'ASK (live)'!L58,"-")</f>
        <v>0.9284660262018205</v>
      </c>
      <c r="M58" s="10">
        <f ca="1">IFERROR('RPK (live)'!M58/'ASK (live)'!M58,"-")</f>
        <v>0.9341469618023146</v>
      </c>
      <c r="N58" s="10">
        <f ca="1">IFERROR('RPK (live)'!N58/'ASK (live)'!N58,"-")</f>
        <v>0.89740264125619829</v>
      </c>
      <c r="O58" s="10">
        <f ca="1">IFERROR('RPK (live)'!O58/'ASK (live)'!O58,"-")</f>
        <v>0.97790576998769074</v>
      </c>
      <c r="P58" s="10">
        <f ca="1">IFERROR('RPK (live)'!P58/'ASK (live)'!P58,"-")</f>
        <v>1</v>
      </c>
      <c r="Q58" s="10">
        <f ca="1">IFERROR('RPK (live)'!Q58/'ASK (live)'!Q58,"-")</f>
        <v>0.99724897428896553</v>
      </c>
      <c r="R58" s="10">
        <f ca="1">IFERROR('RPK (live)'!R58/'ASK (live)'!R58,"-")</f>
        <v>0.91270952323987042</v>
      </c>
      <c r="S58" s="10">
        <f ca="1">IFERROR('RPK (live)'!S58/'ASK (live)'!S58,"-")</f>
        <v>0.99999999999999989</v>
      </c>
      <c r="T58" s="10">
        <f ca="1">IFERROR('RPK (live)'!T58/'ASK (live)'!T58,"-")</f>
        <v>0.79633592581522694</v>
      </c>
      <c r="U58" s="10">
        <f ca="1">IFERROR('RPK (live)'!U58/'ASK (live)'!U58,"-")</f>
        <v>0.8192143552766028</v>
      </c>
      <c r="V58" s="10">
        <f ca="1">IFERROR('RPK (live)'!V58/'ASK (live)'!V58,"-")</f>
        <v>0.86675029412390592</v>
      </c>
      <c r="W58" s="10">
        <f ca="1">IFERROR('RPK (live)'!W58/'ASK (live)'!W58,"-")</f>
        <v>0.9779884544265488</v>
      </c>
      <c r="X58" s="10">
        <f ca="1">IFERROR('RPK (live)'!X58/'ASK (live)'!X58,"-")</f>
        <v>0.99051911298780126</v>
      </c>
      <c r="Y58" s="10">
        <f ca="1">IFERROR('RPK (live)'!Y58/'ASK (live)'!Y58,"-")</f>
        <v>0.94728285018435998</v>
      </c>
      <c r="Z58" s="10">
        <f ca="1">IFERROR('RPK (live)'!Z58/'ASK (live)'!Z58,"-")</f>
        <v>0.96434878266266244</v>
      </c>
      <c r="AA58" s="10">
        <f ca="1">IFERROR('RPK (live)'!AA58/'ASK (live)'!AA58,"-")</f>
        <v>0.83745563793755362</v>
      </c>
      <c r="AB58" s="10">
        <f ca="1">IFERROR('RPK (live)'!AB58/'ASK (live)'!AB58,"-")</f>
        <v>0.85745112718341643</v>
      </c>
      <c r="AC58" s="10">
        <f ca="1">IFERROR('RPK (live)'!AC58/'ASK (live)'!AC58,"-")</f>
        <v>0.94754226351140625</v>
      </c>
      <c r="AD58" s="10">
        <f ca="1">IFERROR('RPK (live)'!AD58/'ASK (live)'!AD58,"-")</f>
        <v>0.97616979153343908</v>
      </c>
      <c r="AE58" s="10">
        <f ca="1">IFERROR('RPK (live)'!AE58/'ASK (live)'!AE58,"-")</f>
        <v>0.96729518367795564</v>
      </c>
    </row>
    <row r="59" spans="1:31">
      <c r="A59" s="1" t="s">
        <v>152</v>
      </c>
      <c r="B59" s="5" t="s">
        <v>203</v>
      </c>
      <c r="C59" s="5" t="s">
        <v>204</v>
      </c>
      <c r="D59" s="5" t="s">
        <v>21</v>
      </c>
      <c r="E59" s="5" t="s">
        <v>80</v>
      </c>
      <c r="F59" s="5" t="s">
        <v>22</v>
      </c>
      <c r="G59" s="6"/>
      <c r="H59" s="6"/>
      <c r="I59" s="6"/>
      <c r="J59" s="6"/>
      <c r="K59" s="6"/>
      <c r="L59" s="10">
        <f ca="1">IFERROR('RPK (live)'!L59/'ASK (live)'!L59,"-")</f>
        <v>0.92999999999999994</v>
      </c>
      <c r="M59" s="10">
        <f ca="1">IFERROR('RPK (live)'!M59/'ASK (live)'!M59,"-")</f>
        <v>0.87074318499822534</v>
      </c>
      <c r="N59" s="10">
        <f ca="1">IFERROR('RPK (live)'!N59/'ASK (live)'!N59,"-")</f>
        <v>0.89</v>
      </c>
      <c r="O59" s="10">
        <f ca="1">IFERROR('RPK (live)'!O59/'ASK (live)'!O59,"-")</f>
        <v>0.76999999999999991</v>
      </c>
      <c r="P59" s="10">
        <f ca="1">IFERROR('RPK (live)'!P59/'ASK (live)'!P59,"-")</f>
        <v>0.78</v>
      </c>
      <c r="Q59" s="10">
        <f ca="1">IFERROR('RPK (live)'!Q59/'ASK (live)'!Q59,"-")</f>
        <v>0.74</v>
      </c>
      <c r="R59" s="10">
        <f ca="1">IFERROR('RPK (live)'!R59/'ASK (live)'!R59,"-")</f>
        <v>0.67</v>
      </c>
      <c r="S59" s="10">
        <f ca="1">IFERROR('RPK (live)'!S59/'ASK (live)'!S59,"-")</f>
        <v>0.72000000000000008</v>
      </c>
      <c r="T59" s="10">
        <f ca="1">IFERROR('RPK (live)'!T59/'ASK (live)'!T59,"-")</f>
        <v>0.97573266564673766</v>
      </c>
      <c r="U59" s="10">
        <f ca="1">IFERROR('RPK (live)'!U59/'ASK (live)'!U59,"-")</f>
        <v>0.97540997542803465</v>
      </c>
      <c r="V59" s="10">
        <f ca="1">IFERROR('RPK (live)'!V59/'ASK (live)'!V59,"-")</f>
        <v>0.93663212977215771</v>
      </c>
      <c r="W59" s="10">
        <f ca="1">IFERROR('RPK (live)'!W59/'ASK (live)'!W59,"-")</f>
        <v>0.94520880338940472</v>
      </c>
      <c r="X59" s="10">
        <f ca="1">IFERROR('RPK (live)'!X59/'ASK (live)'!X59,"-")</f>
        <v>0.99051911298780138</v>
      </c>
      <c r="Y59" s="10">
        <f ca="1">IFERROR('RPK (live)'!Y59/'ASK (live)'!Y59,"-")</f>
        <v>0.99051911298780149</v>
      </c>
      <c r="Z59" s="10">
        <f ca="1">IFERROR('RPK (live)'!Z59/'ASK (live)'!Z59,"-")</f>
        <v>0.99051911298780115</v>
      </c>
      <c r="AA59" s="10">
        <f ca="1">IFERROR('RPK (live)'!AA59/'ASK (live)'!AA59,"-")</f>
        <v>0.96200812455842721</v>
      </c>
      <c r="AB59" s="10">
        <f ca="1">IFERROR('RPK (live)'!AB59/'ASK (live)'!AB59,"-")</f>
        <v>0.94242947664193877</v>
      </c>
      <c r="AC59" s="10">
        <f ca="1">IFERROR('RPK (live)'!AC59/'ASK (live)'!AC59,"-")</f>
        <v>0.9905191129878016</v>
      </c>
      <c r="AD59" s="10">
        <f ca="1">IFERROR('RPK (live)'!AD59/'ASK (live)'!AD59,"-")</f>
        <v>0.99051911298780115</v>
      </c>
      <c r="AE59" s="10">
        <f ca="1">IFERROR('RPK (live)'!AE59/'ASK (live)'!AE59,"-")</f>
        <v>0.95009188516590481</v>
      </c>
    </row>
    <row r="60" spans="1:31">
      <c r="A60" s="1" t="s">
        <v>152</v>
      </c>
      <c r="B60" s="5" t="s">
        <v>78</v>
      </c>
      <c r="C60" s="5" t="s">
        <v>79</v>
      </c>
      <c r="D60" s="5" t="s">
        <v>80</v>
      </c>
      <c r="E60" s="5" t="s">
        <v>21</v>
      </c>
      <c r="F60" s="5" t="s">
        <v>22</v>
      </c>
      <c r="G60" s="6"/>
      <c r="H60" s="6"/>
      <c r="I60" s="6"/>
      <c r="J60" s="6"/>
      <c r="K60" s="6"/>
      <c r="L60" s="10">
        <f ca="1">IFERROR('RPK (live)'!L60/'ASK (live)'!L60,"-")</f>
        <v>0.92999999999999994</v>
      </c>
      <c r="M60" s="10">
        <f ca="1">IFERROR('RPK (live)'!M60/'ASK (live)'!M60,"-")</f>
        <v>0.87074318499822534</v>
      </c>
      <c r="N60" s="10">
        <f ca="1">IFERROR('RPK (live)'!N60/'ASK (live)'!N60,"-")</f>
        <v>0.89</v>
      </c>
      <c r="O60" s="10">
        <f ca="1">IFERROR('RPK (live)'!O60/'ASK (live)'!O60,"-")</f>
        <v>0.76999999999999991</v>
      </c>
      <c r="P60" s="10">
        <f ca="1">IFERROR('RPK (live)'!P60/'ASK (live)'!P60,"-")</f>
        <v>0.78</v>
      </c>
      <c r="Q60" s="10">
        <f ca="1">IFERROR('RPK (live)'!Q60/'ASK (live)'!Q60,"-")</f>
        <v>0.74</v>
      </c>
      <c r="R60" s="10">
        <f ca="1">IFERROR('RPK (live)'!R60/'ASK (live)'!R60,"-")</f>
        <v>0.67</v>
      </c>
      <c r="S60" s="10">
        <f ca="1">IFERROR('RPK (live)'!S60/'ASK (live)'!S60,"-")</f>
        <v>0.72000000000000008</v>
      </c>
      <c r="T60" s="10">
        <f ca="1">IFERROR('RPK (live)'!T60/'ASK (live)'!T60,"-")</f>
        <v>0.97573266564673766</v>
      </c>
      <c r="U60" s="10">
        <f ca="1">IFERROR('RPK (live)'!U60/'ASK (live)'!U60,"-")</f>
        <v>0.97540997542803465</v>
      </c>
      <c r="V60" s="10">
        <f ca="1">IFERROR('RPK (live)'!V60/'ASK (live)'!V60,"-")</f>
        <v>0.93663212977215771</v>
      </c>
      <c r="W60" s="10">
        <f ca="1">IFERROR('RPK (live)'!W60/'ASK (live)'!W60,"-")</f>
        <v>0.94520880338940472</v>
      </c>
      <c r="X60" s="10">
        <f ca="1">IFERROR('RPK (live)'!X60/'ASK (live)'!X60,"-")</f>
        <v>0.99051911298780138</v>
      </c>
      <c r="Y60" s="10">
        <f ca="1">IFERROR('RPK (live)'!Y60/'ASK (live)'!Y60,"-")</f>
        <v>0.99051911298780149</v>
      </c>
      <c r="Z60" s="10">
        <f ca="1">IFERROR('RPK (live)'!Z60/'ASK (live)'!Z60,"-")</f>
        <v>0.99051911298780115</v>
      </c>
      <c r="AA60" s="10">
        <f ca="1">IFERROR('RPK (live)'!AA60/'ASK (live)'!AA60,"-")</f>
        <v>0.96200812455842721</v>
      </c>
      <c r="AB60" s="10">
        <f ca="1">IFERROR('RPK (live)'!AB60/'ASK (live)'!AB60,"-")</f>
        <v>0.94242947664193877</v>
      </c>
      <c r="AC60" s="10">
        <f ca="1">IFERROR('RPK (live)'!AC60/'ASK (live)'!AC60,"-")</f>
        <v>0.9905191129878016</v>
      </c>
      <c r="AD60" s="10">
        <f ca="1">IFERROR('RPK (live)'!AD60/'ASK (live)'!AD60,"-")</f>
        <v>0.99051911298780115</v>
      </c>
      <c r="AE60" s="10">
        <f ca="1">IFERROR('RPK (live)'!AE60/'ASK (live)'!AE60,"-")</f>
        <v>0.9500918851659047</v>
      </c>
    </row>
    <row r="61" spans="1:31">
      <c r="A61" s="1" t="s">
        <v>152</v>
      </c>
      <c r="B61" s="5" t="s">
        <v>205</v>
      </c>
      <c r="C61" s="5" t="s">
        <v>206</v>
      </c>
      <c r="D61" s="5" t="s">
        <v>21</v>
      </c>
      <c r="E61" s="5" t="s">
        <v>181</v>
      </c>
      <c r="F61" s="5" t="s">
        <v>22</v>
      </c>
      <c r="G61" s="6"/>
      <c r="H61" s="6"/>
      <c r="I61" s="6"/>
      <c r="J61" s="6"/>
      <c r="K61" s="6"/>
      <c r="L61" s="10">
        <f ca="1">IFERROR('RPK (live)'!L61/'ASK (live)'!L61,"-")</f>
        <v>0.92999999999999983</v>
      </c>
      <c r="M61" s="10">
        <f ca="1">IFERROR('RPK (live)'!M61/'ASK (live)'!M61,"-")</f>
        <v>0.96186747180036525</v>
      </c>
      <c r="N61" s="10">
        <f ca="1">IFERROR('RPK (live)'!N61/'ASK (live)'!N61,"-")</f>
        <v>0.91999999999999993</v>
      </c>
      <c r="O61" s="10">
        <f ca="1">IFERROR('RPK (live)'!O61/'ASK (live)'!O61,"-")</f>
        <v>0.88</v>
      </c>
      <c r="P61" s="10">
        <f ca="1">IFERROR('RPK (live)'!P61/'ASK (live)'!P61,"-")</f>
        <v>0.92000000000000015</v>
      </c>
      <c r="Q61" s="10">
        <f ca="1">IFERROR('RPK (live)'!Q61/'ASK (live)'!Q61,"-")</f>
        <v>0.89999999999999991</v>
      </c>
      <c r="R61" s="10">
        <f ca="1">IFERROR('RPK (live)'!R61/'ASK (live)'!R61,"-")</f>
        <v>0.92000000000000015</v>
      </c>
      <c r="S61" s="10">
        <f ca="1">IFERROR('RPK (live)'!S61/'ASK (live)'!S61,"-")</f>
        <v>0.85</v>
      </c>
      <c r="T61" s="10">
        <f ca="1">IFERROR('RPK (live)'!T61/'ASK (live)'!T61,"-")</f>
        <v>0.959722192513348</v>
      </c>
      <c r="U61" s="10">
        <f ca="1">IFERROR('RPK (live)'!U61/'ASK (live)'!U61,"-")</f>
        <v>0.97081871367267991</v>
      </c>
      <c r="V61" s="10">
        <f ca="1">IFERROR('RPK (live)'!V61/'ASK (live)'!V61,"-")</f>
        <v>0.97804942572225106</v>
      </c>
      <c r="W61" s="10">
        <f ca="1">IFERROR('RPK (live)'!W61/'ASK (live)'!W61,"-")</f>
        <v>0.9905191129878016</v>
      </c>
      <c r="X61" s="10">
        <f ca="1">IFERROR('RPK (live)'!X61/'ASK (live)'!X61,"-")</f>
        <v>0.99051911298780115</v>
      </c>
      <c r="Y61" s="10">
        <f ca="1">IFERROR('RPK (live)'!Y61/'ASK (live)'!Y61,"-")</f>
        <v>0.99051911298780171</v>
      </c>
      <c r="Z61" s="10">
        <f ca="1">IFERROR('RPK (live)'!Z61/'ASK (live)'!Z61,"-")</f>
        <v>0.9899618987449369</v>
      </c>
      <c r="AA61" s="10">
        <f ca="1">IFERROR('RPK (live)'!AA61/'ASK (live)'!AA61,"-")</f>
        <v>0.96089813420616299</v>
      </c>
      <c r="AB61" s="10">
        <f ca="1">IFERROR('RPK (live)'!AB61/'ASK (live)'!AB61,"-")</f>
        <v>0.93734890531094583</v>
      </c>
      <c r="AC61" s="10">
        <f ca="1">IFERROR('RPK (live)'!AC61/'ASK (live)'!AC61,"-")</f>
        <v>0.8899648467578507</v>
      </c>
      <c r="AD61" s="10">
        <f ca="1">IFERROR('RPK (live)'!AD61/'ASK (live)'!AD61,"-")</f>
        <v>0.8480580567187338</v>
      </c>
      <c r="AE61" s="10">
        <f ca="1">IFERROR('RPK (live)'!AE61/'ASK (live)'!AE61,"-")</f>
        <v>0.82353524782462417</v>
      </c>
    </row>
    <row r="62" spans="1:31">
      <c r="A62" s="1" t="s">
        <v>152</v>
      </c>
      <c r="B62" s="5" t="s">
        <v>207</v>
      </c>
      <c r="C62" s="5" t="s">
        <v>208</v>
      </c>
      <c r="D62" s="5" t="s">
        <v>181</v>
      </c>
      <c r="E62" s="5" t="s">
        <v>21</v>
      </c>
      <c r="F62" s="5" t="s">
        <v>22</v>
      </c>
      <c r="G62" s="6"/>
      <c r="H62" s="6"/>
      <c r="I62" s="6"/>
      <c r="J62" s="6"/>
      <c r="K62" s="6"/>
      <c r="L62" s="10">
        <f ca="1">IFERROR('RPK (live)'!L62/'ASK (live)'!L62,"-")</f>
        <v>0.92999999999999983</v>
      </c>
      <c r="M62" s="10">
        <f ca="1">IFERROR('RPK (live)'!M62/'ASK (live)'!M62,"-")</f>
        <v>0.96186747180036525</v>
      </c>
      <c r="N62" s="10">
        <f ca="1">IFERROR('RPK (live)'!N62/'ASK (live)'!N62,"-")</f>
        <v>0.91999999999999993</v>
      </c>
      <c r="O62" s="10">
        <f ca="1">IFERROR('RPK (live)'!O62/'ASK (live)'!O62,"-")</f>
        <v>0.88</v>
      </c>
      <c r="P62" s="10">
        <f ca="1">IFERROR('RPK (live)'!P62/'ASK (live)'!P62,"-")</f>
        <v>0.92000000000000015</v>
      </c>
      <c r="Q62" s="10">
        <f ca="1">IFERROR('RPK (live)'!Q62/'ASK (live)'!Q62,"-")</f>
        <v>0.89999999999999991</v>
      </c>
      <c r="R62" s="10">
        <f ca="1">IFERROR('RPK (live)'!R62/'ASK (live)'!R62,"-")</f>
        <v>0.92000000000000015</v>
      </c>
      <c r="S62" s="10">
        <f ca="1">IFERROR('RPK (live)'!S62/'ASK (live)'!S62,"-")</f>
        <v>0.85</v>
      </c>
      <c r="T62" s="10">
        <f ca="1">IFERROR('RPK (live)'!T62/'ASK (live)'!T62,"-")</f>
        <v>0.959722192513348</v>
      </c>
      <c r="U62" s="10">
        <f ca="1">IFERROR('RPK (live)'!U62/'ASK (live)'!U62,"-")</f>
        <v>0.97081871367267991</v>
      </c>
      <c r="V62" s="10">
        <f ca="1">IFERROR('RPK (live)'!V62/'ASK (live)'!V62,"-")</f>
        <v>0.97804942572225106</v>
      </c>
      <c r="W62" s="10">
        <f ca="1">IFERROR('RPK (live)'!W62/'ASK (live)'!W62,"-")</f>
        <v>0.9905191129878016</v>
      </c>
      <c r="X62" s="10">
        <f ca="1">IFERROR('RPK (live)'!X62/'ASK (live)'!X62,"-")</f>
        <v>0.99051911298780115</v>
      </c>
      <c r="Y62" s="10">
        <f ca="1">IFERROR('RPK (live)'!Y62/'ASK (live)'!Y62,"-")</f>
        <v>0.99051911298780171</v>
      </c>
      <c r="Z62" s="10">
        <f ca="1">IFERROR('RPK (live)'!Z62/'ASK (live)'!Z62,"-")</f>
        <v>0.9899618987449369</v>
      </c>
      <c r="AA62" s="10">
        <f ca="1">IFERROR('RPK (live)'!AA62/'ASK (live)'!AA62,"-")</f>
        <v>0.96089813420616299</v>
      </c>
      <c r="AB62" s="10">
        <f ca="1">IFERROR('RPK (live)'!AB62/'ASK (live)'!AB62,"-")</f>
        <v>0.93734890531094583</v>
      </c>
      <c r="AC62" s="10">
        <f ca="1">IFERROR('RPK (live)'!AC62/'ASK (live)'!AC62,"-")</f>
        <v>0.8899648467578507</v>
      </c>
      <c r="AD62" s="10">
        <f ca="1">IFERROR('RPK (live)'!AD62/'ASK (live)'!AD62,"-")</f>
        <v>0.8480580567187338</v>
      </c>
      <c r="AE62" s="10">
        <f ca="1">IFERROR('RPK (live)'!AE62/'ASK (live)'!AE62,"-")</f>
        <v>0.82353524782462417</v>
      </c>
    </row>
    <row r="63" spans="1:31">
      <c r="A63" s="1" t="s">
        <v>152</v>
      </c>
      <c r="B63" s="5" t="s">
        <v>209</v>
      </c>
      <c r="C63" s="5" t="s">
        <v>210</v>
      </c>
      <c r="D63" s="5" t="s">
        <v>21</v>
      </c>
      <c r="E63" s="5" t="s">
        <v>211</v>
      </c>
      <c r="F63" s="5" t="s">
        <v>22</v>
      </c>
      <c r="G63" s="6"/>
      <c r="H63" s="6"/>
      <c r="I63" s="6"/>
      <c r="J63" s="6"/>
      <c r="K63" s="6"/>
      <c r="L63" s="10">
        <f ca="1">IFERROR('RPK (live)'!L63/'ASK (live)'!L63,"-")</f>
        <v>0.7</v>
      </c>
      <c r="M63" s="10" t="str">
        <f ca="1">IFERROR('RPK (live)'!M63/'ASK (live)'!M63,"-")</f>
        <v>-</v>
      </c>
      <c r="N63" s="10" t="str">
        <f ca="1">IFERROR('RPK (live)'!N63/'ASK (live)'!N63,"-")</f>
        <v>-</v>
      </c>
      <c r="O63" s="10" t="str">
        <f ca="1">IFERROR('RPK (live)'!O63/'ASK (live)'!O63,"-")</f>
        <v>-</v>
      </c>
      <c r="P63" s="10" t="str">
        <f ca="1">IFERROR('RPK (live)'!P63/'ASK (live)'!P63,"-")</f>
        <v>-</v>
      </c>
      <c r="Q63" s="10">
        <f ca="1">IFERROR('RPK (live)'!Q63/'ASK (live)'!Q63,"-")</f>
        <v>0.66999999999999993</v>
      </c>
      <c r="R63" s="10">
        <f ca="1">IFERROR('RPK (live)'!R63/'ASK (live)'!R63,"-")</f>
        <v>0.78</v>
      </c>
      <c r="S63" s="10">
        <f ca="1">IFERROR('RPK (live)'!S63/'ASK (live)'!S63,"-")</f>
        <v>0.87000000000000011</v>
      </c>
      <c r="T63" s="10">
        <f ca="1">IFERROR('RPK (live)'!T63/'ASK (live)'!T63,"-")</f>
        <v>0.9487041297586708</v>
      </c>
      <c r="U63" s="10">
        <f ca="1">IFERROR('RPK (live)'!U63/'ASK (live)'!U63,"-")</f>
        <v>0.95392968952754309</v>
      </c>
      <c r="V63" s="10">
        <f ca="1">IFERROR('RPK (live)'!V63/'ASK (live)'!V63,"-")</f>
        <v>0.97384969187563242</v>
      </c>
      <c r="W63" s="10" t="str">
        <f ca="1">IFERROR('RPK (live)'!W63/'ASK (live)'!W63,"-")</f>
        <v>-</v>
      </c>
      <c r="X63" s="10" t="str">
        <f ca="1">IFERROR('RPK (live)'!X63/'ASK (live)'!X63,"-")</f>
        <v>-</v>
      </c>
      <c r="Y63" s="10" t="str">
        <f ca="1">IFERROR('RPK (live)'!Y63/'ASK (live)'!Y63,"-")</f>
        <v>-</v>
      </c>
      <c r="Z63" s="10" t="str">
        <f ca="1">IFERROR('RPK (live)'!Z63/'ASK (live)'!Z63,"-")</f>
        <v>-</v>
      </c>
      <c r="AA63" s="10" t="str">
        <f ca="1">IFERROR('RPK (live)'!AA63/'ASK (live)'!AA63,"-")</f>
        <v>-</v>
      </c>
      <c r="AB63" s="10" t="str">
        <f ca="1">IFERROR('RPK (live)'!AB63/'ASK (live)'!AB63,"-")</f>
        <v>-</v>
      </c>
      <c r="AC63" s="10">
        <f ca="1">IFERROR('RPK (live)'!AC63/'ASK (live)'!AC63,"-")</f>
        <v>0.73008783622070961</v>
      </c>
      <c r="AD63" s="10">
        <f ca="1">IFERROR('RPK (live)'!AD63/'ASK (live)'!AD63,"-")</f>
        <v>0.77352306149260441</v>
      </c>
      <c r="AE63" s="10">
        <f ca="1">IFERROR('RPK (live)'!AE63/'ASK (live)'!AE63,"-")</f>
        <v>0.77981515815424884</v>
      </c>
    </row>
    <row r="64" spans="1:31">
      <c r="A64" s="1" t="s">
        <v>152</v>
      </c>
      <c r="B64" s="5" t="s">
        <v>212</v>
      </c>
      <c r="C64" s="5" t="s">
        <v>213</v>
      </c>
      <c r="D64" s="5" t="s">
        <v>211</v>
      </c>
      <c r="E64" s="5" t="s">
        <v>21</v>
      </c>
      <c r="F64" s="5" t="s">
        <v>22</v>
      </c>
      <c r="G64" s="6"/>
      <c r="H64" s="6"/>
      <c r="I64" s="6"/>
      <c r="J64" s="6"/>
      <c r="K64" s="6"/>
      <c r="L64" s="10">
        <f ca="1">IFERROR('RPK (live)'!L64/'ASK (live)'!L64,"-")</f>
        <v>0.7</v>
      </c>
      <c r="M64" s="10" t="str">
        <f ca="1">IFERROR('RPK (live)'!M64/'ASK (live)'!M64,"-")</f>
        <v>-</v>
      </c>
      <c r="N64" s="10" t="str">
        <f ca="1">IFERROR('RPK (live)'!N64/'ASK (live)'!N64,"-")</f>
        <v>-</v>
      </c>
      <c r="O64" s="10" t="str">
        <f ca="1">IFERROR('RPK (live)'!O64/'ASK (live)'!O64,"-")</f>
        <v>-</v>
      </c>
      <c r="P64" s="10" t="str">
        <f ca="1">IFERROR('RPK (live)'!P64/'ASK (live)'!P64,"-")</f>
        <v>-</v>
      </c>
      <c r="Q64" s="10">
        <f ca="1">IFERROR('RPK (live)'!Q64/'ASK (live)'!Q64,"-")</f>
        <v>0.66999999999999993</v>
      </c>
      <c r="R64" s="10">
        <f ca="1">IFERROR('RPK (live)'!R64/'ASK (live)'!R64,"-")</f>
        <v>0.78</v>
      </c>
      <c r="S64" s="10">
        <f ca="1">IFERROR('RPK (live)'!S64/'ASK (live)'!S64,"-")</f>
        <v>0.87000000000000011</v>
      </c>
      <c r="T64" s="10">
        <f ca="1">IFERROR('RPK (live)'!T64/'ASK (live)'!T64,"-")</f>
        <v>0.9487041297586708</v>
      </c>
      <c r="U64" s="10">
        <f ca="1">IFERROR('RPK (live)'!U64/'ASK (live)'!U64,"-")</f>
        <v>0.95392968952754309</v>
      </c>
      <c r="V64" s="10">
        <f ca="1">IFERROR('RPK (live)'!V64/'ASK (live)'!V64,"-")</f>
        <v>0.97384969187563242</v>
      </c>
      <c r="W64" s="10" t="str">
        <f ca="1">IFERROR('RPK (live)'!W64/'ASK (live)'!W64,"-")</f>
        <v>-</v>
      </c>
      <c r="X64" s="10" t="str">
        <f ca="1">IFERROR('RPK (live)'!X64/'ASK (live)'!X64,"-")</f>
        <v>-</v>
      </c>
      <c r="Y64" s="10" t="str">
        <f ca="1">IFERROR('RPK (live)'!Y64/'ASK (live)'!Y64,"-")</f>
        <v>-</v>
      </c>
      <c r="Z64" s="10" t="str">
        <f ca="1">IFERROR('RPK (live)'!Z64/'ASK (live)'!Z64,"-")</f>
        <v>-</v>
      </c>
      <c r="AA64" s="10" t="str">
        <f ca="1">IFERROR('RPK (live)'!AA64/'ASK (live)'!AA64,"-")</f>
        <v>-</v>
      </c>
      <c r="AB64" s="10" t="str">
        <f ca="1">IFERROR('RPK (live)'!AB64/'ASK (live)'!AB64,"-")</f>
        <v>-</v>
      </c>
      <c r="AC64" s="10">
        <f ca="1">IFERROR('RPK (live)'!AC64/'ASK (live)'!AC64,"-")</f>
        <v>0.73008783622070961</v>
      </c>
      <c r="AD64" s="10">
        <f ca="1">IFERROR('RPK (live)'!AD64/'ASK (live)'!AD64,"-")</f>
        <v>0.77352306149260441</v>
      </c>
      <c r="AE64" s="10">
        <f ca="1">IFERROR('RPK (live)'!AE64/'ASK (live)'!AE64,"-")</f>
        <v>0.77981515815424884</v>
      </c>
    </row>
    <row r="65" spans="1:31">
      <c r="A65" s="1" t="s">
        <v>152</v>
      </c>
      <c r="B65" s="5" t="s">
        <v>214</v>
      </c>
      <c r="C65" s="5" t="s">
        <v>187</v>
      </c>
      <c r="D65" s="5" t="s">
        <v>21</v>
      </c>
      <c r="E65" s="5" t="s">
        <v>59</v>
      </c>
      <c r="F65" s="5" t="s">
        <v>22</v>
      </c>
      <c r="G65" s="6"/>
      <c r="H65" s="6"/>
      <c r="I65" s="6"/>
      <c r="J65" s="6"/>
      <c r="K65" s="6"/>
      <c r="L65" s="10">
        <f ca="1">IFERROR('RPK (live)'!L65/'ASK (live)'!L65,"-")</f>
        <v>0.92000000000000026</v>
      </c>
      <c r="M65" s="10">
        <f ca="1">IFERROR('RPK (live)'!M65/'ASK (live)'!M65,"-")</f>
        <v>0.97199239255615866</v>
      </c>
      <c r="N65" s="10">
        <f ca="1">IFERROR('RPK (live)'!N65/'ASK (live)'!N65,"-")</f>
        <v>0.95</v>
      </c>
      <c r="O65" s="10">
        <f ca="1">IFERROR('RPK (live)'!O65/'ASK (live)'!O65,"-")</f>
        <v>0.90000000000000013</v>
      </c>
      <c r="P65" s="10">
        <f ca="1">IFERROR('RPK (live)'!P65/'ASK (live)'!P65,"-")</f>
        <v>0.9</v>
      </c>
      <c r="Q65" s="10">
        <f ca="1">IFERROR('RPK (live)'!Q65/'ASK (live)'!Q65,"-")</f>
        <v>0.85000000000000009</v>
      </c>
      <c r="R65" s="10">
        <f ca="1">IFERROR('RPK (live)'!R65/'ASK (live)'!R65,"-")</f>
        <v>0.85000000000000009</v>
      </c>
      <c r="S65" s="10" t="str">
        <f ca="1">IFERROR('RPK (live)'!S65/'ASK (live)'!S65,"-")</f>
        <v>-</v>
      </c>
      <c r="T65" s="10" t="str">
        <f ca="1">IFERROR('RPK (live)'!T65/'ASK (live)'!T65,"-")</f>
        <v>-</v>
      </c>
      <c r="U65" s="10" t="str">
        <f ca="1">IFERROR('RPK (live)'!U65/'ASK (live)'!U65,"-")</f>
        <v>-</v>
      </c>
      <c r="V65" s="10">
        <f ca="1">IFERROR('RPK (live)'!V65/'ASK (live)'!V65,"-")</f>
        <v>0.99051911298780126</v>
      </c>
      <c r="W65" s="10">
        <f ca="1">IFERROR('RPK (live)'!W65/'ASK (live)'!W65,"-")</f>
        <v>0.98934345298111892</v>
      </c>
      <c r="X65" s="10">
        <f ca="1">IFERROR('RPK (live)'!X65/'ASK (live)'!X65,"-")</f>
        <v>0.98981196604266375</v>
      </c>
      <c r="Y65" s="10">
        <f ca="1">IFERROR('RPK (live)'!Y65/'ASK (live)'!Y65,"-")</f>
        <v>0.99051911298780126</v>
      </c>
      <c r="Z65" s="10">
        <f ca="1">IFERROR('RPK (live)'!Z65/'ASK (live)'!Z65,"-")</f>
        <v>0.99051911298780126</v>
      </c>
      <c r="AA65" s="10">
        <f ca="1">IFERROR('RPK (live)'!AA65/'ASK (live)'!AA65,"-")</f>
        <v>0.99051911298780149</v>
      </c>
      <c r="AB65" s="10">
        <f ca="1">IFERROR('RPK (live)'!AB65/'ASK (live)'!AB65,"-")</f>
        <v>0.98142694006956832</v>
      </c>
      <c r="AC65" s="10">
        <f ca="1">IFERROR('RPK (live)'!AC65/'ASK (live)'!AC65,"-")</f>
        <v>0.96678171984879613</v>
      </c>
      <c r="AD65" s="10" t="str">
        <f ca="1">IFERROR('RPK (live)'!AD65/'ASK (live)'!AD65,"-")</f>
        <v>-</v>
      </c>
      <c r="AE65" s="10" t="str">
        <f ca="1">IFERROR('RPK (live)'!AE65/'ASK (live)'!AE65,"-")</f>
        <v>-</v>
      </c>
    </row>
    <row r="66" spans="1:31">
      <c r="A66" s="1" t="s">
        <v>152</v>
      </c>
      <c r="B66" s="5" t="s">
        <v>63</v>
      </c>
      <c r="C66" s="5" t="s">
        <v>62</v>
      </c>
      <c r="D66" s="5" t="s">
        <v>59</v>
      </c>
      <c r="E66" s="5" t="s">
        <v>21</v>
      </c>
      <c r="F66" s="5" t="s">
        <v>22</v>
      </c>
      <c r="G66" s="6"/>
      <c r="H66" s="6"/>
      <c r="I66" s="6"/>
      <c r="J66" s="6"/>
      <c r="K66" s="6"/>
      <c r="L66" s="10">
        <f ca="1">IFERROR('RPK (live)'!L66/'ASK (live)'!L66,"-")</f>
        <v>0.92000000000000026</v>
      </c>
      <c r="M66" s="10">
        <f ca="1">IFERROR('RPK (live)'!M66/'ASK (live)'!M66,"-")</f>
        <v>0.97199239255615866</v>
      </c>
      <c r="N66" s="10">
        <f ca="1">IFERROR('RPK (live)'!N66/'ASK (live)'!N66,"-")</f>
        <v>0.95</v>
      </c>
      <c r="O66" s="10">
        <f ca="1">IFERROR('RPK (live)'!O66/'ASK (live)'!O66,"-")</f>
        <v>0.90000000000000013</v>
      </c>
      <c r="P66" s="10">
        <f ca="1">IFERROR('RPK (live)'!P66/'ASK (live)'!P66,"-")</f>
        <v>0.9</v>
      </c>
      <c r="Q66" s="10">
        <f ca="1">IFERROR('RPK (live)'!Q66/'ASK (live)'!Q66,"-")</f>
        <v>0.85000000000000009</v>
      </c>
      <c r="R66" s="10">
        <f ca="1">IFERROR('RPK (live)'!R66/'ASK (live)'!R66,"-")</f>
        <v>0.85000000000000009</v>
      </c>
      <c r="S66" s="10" t="str">
        <f ca="1">IFERROR('RPK (live)'!S66/'ASK (live)'!S66,"-")</f>
        <v>-</v>
      </c>
      <c r="T66" s="10" t="str">
        <f ca="1">IFERROR('RPK (live)'!T66/'ASK (live)'!T66,"-")</f>
        <v>-</v>
      </c>
      <c r="U66" s="10" t="str">
        <f ca="1">IFERROR('RPK (live)'!U66/'ASK (live)'!U66,"-")</f>
        <v>-</v>
      </c>
      <c r="V66" s="10">
        <f ca="1">IFERROR('RPK (live)'!V66/'ASK (live)'!V66,"-")</f>
        <v>0.99051911298780126</v>
      </c>
      <c r="W66" s="10">
        <f ca="1">IFERROR('RPK (live)'!W66/'ASK (live)'!W66,"-")</f>
        <v>0.98934345298111892</v>
      </c>
      <c r="X66" s="10">
        <f ca="1">IFERROR('RPK (live)'!X66/'ASK (live)'!X66,"-")</f>
        <v>0.98981196604266375</v>
      </c>
      <c r="Y66" s="10">
        <f ca="1">IFERROR('RPK (live)'!Y66/'ASK (live)'!Y66,"-")</f>
        <v>0.99051911298780149</v>
      </c>
      <c r="Z66" s="10">
        <f ca="1">IFERROR('RPK (live)'!Z66/'ASK (live)'!Z66,"-")</f>
        <v>0.99051911298780126</v>
      </c>
      <c r="AA66" s="10">
        <f ca="1">IFERROR('RPK (live)'!AA66/'ASK (live)'!AA66,"-")</f>
        <v>0.99051911298780149</v>
      </c>
      <c r="AB66" s="10">
        <f ca="1">IFERROR('RPK (live)'!AB66/'ASK (live)'!AB66,"-")</f>
        <v>0.98142694006956832</v>
      </c>
      <c r="AC66" s="10">
        <f ca="1">IFERROR('RPK (live)'!AC66/'ASK (live)'!AC66,"-")</f>
        <v>0.96678171984879613</v>
      </c>
      <c r="AD66" s="10" t="str">
        <f ca="1">IFERROR('RPK (live)'!AD66/'ASK (live)'!AD66,"-")</f>
        <v>-</v>
      </c>
      <c r="AE66" s="10" t="str">
        <f ca="1">IFERROR('RPK (live)'!AE66/'ASK (live)'!AE66,"-")</f>
        <v>-</v>
      </c>
    </row>
    <row r="67" spans="1:31">
      <c r="A67" s="1" t="s">
        <v>152</v>
      </c>
      <c r="B67" s="5" t="s">
        <v>215</v>
      </c>
      <c r="C67" s="5" t="s">
        <v>159</v>
      </c>
      <c r="D67" s="5" t="s">
        <v>21</v>
      </c>
      <c r="E67" s="5" t="s">
        <v>38</v>
      </c>
      <c r="F67" s="5" t="s">
        <v>22</v>
      </c>
      <c r="G67" s="6"/>
      <c r="H67" s="6"/>
      <c r="I67" s="6"/>
      <c r="J67" s="6"/>
      <c r="K67" s="6"/>
      <c r="L67" s="10">
        <f ca="1">IFERROR('RPK (live)'!L67/'ASK (live)'!L67,"-")</f>
        <v>0.83057900149844954</v>
      </c>
      <c r="M67" s="10">
        <f ca="1">IFERROR('RPK (live)'!M67/'ASK (live)'!M67,"-")</f>
        <v>0.89083234976490211</v>
      </c>
      <c r="N67" s="10">
        <f ca="1">IFERROR('RPK (live)'!N67/'ASK (live)'!N67,"-")</f>
        <v>0.89886258978246825</v>
      </c>
      <c r="O67" s="10">
        <f ca="1">IFERROR('RPK (live)'!O67/'ASK (live)'!O67,"-")</f>
        <v>0.85709240832033051</v>
      </c>
      <c r="P67" s="10">
        <f ca="1">IFERROR('RPK (live)'!P67/'ASK (live)'!P67,"-")</f>
        <v>0.90360790689334436</v>
      </c>
      <c r="Q67" s="10">
        <f ca="1">IFERROR('RPK (live)'!Q67/'ASK (live)'!Q67,"-")</f>
        <v>0.94164682933058608</v>
      </c>
      <c r="R67" s="10">
        <f ca="1">IFERROR('RPK (live)'!R67/'ASK (live)'!R67,"-")</f>
        <v>0.90506351404163043</v>
      </c>
      <c r="S67" s="10">
        <f ca="1">IFERROR('RPK (live)'!S67/'ASK (live)'!S67,"-")</f>
        <v>0.9060393129548896</v>
      </c>
      <c r="T67" s="10">
        <f ca="1">IFERROR('RPK (live)'!T67/'ASK (live)'!T67,"-")</f>
        <v>0.85778859216144088</v>
      </c>
      <c r="U67" s="10">
        <f ca="1">IFERROR('RPK (live)'!U67/'ASK (live)'!U67,"-")</f>
        <v>0.88977505915124422</v>
      </c>
      <c r="V67" s="10">
        <f ca="1">IFERROR('RPK (live)'!V67/'ASK (live)'!V67,"-")</f>
        <v>0.98133964736156687</v>
      </c>
      <c r="W67" s="10">
        <f ca="1">IFERROR('RPK (live)'!W67/'ASK (live)'!W67,"-")</f>
        <v>0.92030365317541774</v>
      </c>
      <c r="X67" s="10">
        <f ca="1">IFERROR('RPK (live)'!X67/'ASK (live)'!X67,"-")</f>
        <v>0.9510536073448006</v>
      </c>
      <c r="Y67" s="10">
        <f ca="1">IFERROR('RPK (live)'!Y67/'ASK (live)'!Y67,"-")</f>
        <v>0.98563668559031192</v>
      </c>
      <c r="Z67" s="10">
        <f ca="1">IFERROR('RPK (live)'!Z67/'ASK (live)'!Z67,"-")</f>
        <v>0.95684097378280786</v>
      </c>
      <c r="AA67" s="10">
        <f ca="1">IFERROR('RPK (live)'!AA67/'ASK (live)'!AA67,"-")</f>
        <v>0.90858227348102694</v>
      </c>
      <c r="AB67" s="10">
        <f ca="1">IFERROR('RPK (live)'!AB67/'ASK (live)'!AB67,"-")</f>
        <v>0.88949415127534759</v>
      </c>
      <c r="AC67" s="10">
        <f ca="1">IFERROR('RPK (live)'!AC67/'ASK (live)'!AC67,"-")</f>
        <v>0.93346936057606089</v>
      </c>
      <c r="AD67" s="10">
        <f ca="1">IFERROR('RPK (live)'!AD67/'ASK (live)'!AD67,"-")</f>
        <v>0.94903166055278021</v>
      </c>
      <c r="AE67" s="10">
        <f ca="1">IFERROR('RPK (live)'!AE67/'ASK (live)'!AE67,"-")</f>
        <v>0.8799739827800287</v>
      </c>
    </row>
    <row r="68" spans="1:31">
      <c r="A68" s="1" t="s">
        <v>152</v>
      </c>
      <c r="B68" s="5" t="s">
        <v>43</v>
      </c>
      <c r="C68" s="5" t="s">
        <v>37</v>
      </c>
      <c r="D68" s="5" t="s">
        <v>38</v>
      </c>
      <c r="E68" s="5" t="s">
        <v>21</v>
      </c>
      <c r="F68" s="5" t="s">
        <v>22</v>
      </c>
      <c r="G68" s="6"/>
      <c r="H68" s="6"/>
      <c r="I68" s="6"/>
      <c r="J68" s="6"/>
      <c r="K68" s="6"/>
      <c r="L68" s="10">
        <f ca="1">IFERROR('RPK (live)'!L68/'ASK (live)'!L68,"-")</f>
        <v>0.83057900149844954</v>
      </c>
      <c r="M68" s="10">
        <f ca="1">IFERROR('RPK (live)'!M68/'ASK (live)'!M68,"-")</f>
        <v>0.890832349764902</v>
      </c>
      <c r="N68" s="10">
        <f ca="1">IFERROR('RPK (live)'!N68/'ASK (live)'!N68,"-")</f>
        <v>0.89886258978246825</v>
      </c>
      <c r="O68" s="10">
        <f ca="1">IFERROR('RPK (live)'!O68/'ASK (live)'!O68,"-")</f>
        <v>0.85709240832033051</v>
      </c>
      <c r="P68" s="10">
        <f ca="1">IFERROR('RPK (live)'!P68/'ASK (live)'!P68,"-")</f>
        <v>0.90360790689334436</v>
      </c>
      <c r="Q68" s="10">
        <f ca="1">IFERROR('RPK (live)'!Q68/'ASK (live)'!Q68,"-")</f>
        <v>0.94164682933058619</v>
      </c>
      <c r="R68" s="10">
        <f ca="1">IFERROR('RPK (live)'!R68/'ASK (live)'!R68,"-")</f>
        <v>0.90506351404163043</v>
      </c>
      <c r="S68" s="10">
        <f ca="1">IFERROR('RPK (live)'!S68/'ASK (live)'!S68,"-")</f>
        <v>0.9060393129548896</v>
      </c>
      <c r="T68" s="10">
        <f ca="1">IFERROR('RPK (live)'!T68/'ASK (live)'!T68,"-")</f>
        <v>0.85778859216144066</v>
      </c>
      <c r="U68" s="10">
        <f ca="1">IFERROR('RPK (live)'!U68/'ASK (live)'!U68,"-")</f>
        <v>0.88977505915124389</v>
      </c>
      <c r="V68" s="10">
        <f ca="1">IFERROR('RPK (live)'!V68/'ASK (live)'!V68,"-")</f>
        <v>0.98133964736156676</v>
      </c>
      <c r="W68" s="10">
        <f ca="1">IFERROR('RPK (live)'!W68/'ASK (live)'!W68,"-")</f>
        <v>0.92030365317541774</v>
      </c>
      <c r="X68" s="10">
        <f ca="1">IFERROR('RPK (live)'!X68/'ASK (live)'!X68,"-")</f>
        <v>0.9510536073448006</v>
      </c>
      <c r="Y68" s="10">
        <f ca="1">IFERROR('RPK (live)'!Y68/'ASK (live)'!Y68,"-")</f>
        <v>0.98563668559031192</v>
      </c>
      <c r="Z68" s="10">
        <f ca="1">IFERROR('RPK (live)'!Z68/'ASK (live)'!Z68,"-")</f>
        <v>0.95684097378280786</v>
      </c>
      <c r="AA68" s="10">
        <f ca="1">IFERROR('RPK (live)'!AA68/'ASK (live)'!AA68,"-")</f>
        <v>0.90858227348102694</v>
      </c>
      <c r="AB68" s="10">
        <f ca="1">IFERROR('RPK (live)'!AB68/'ASK (live)'!AB68,"-")</f>
        <v>0.88949415127534759</v>
      </c>
      <c r="AC68" s="10">
        <f ca="1">IFERROR('RPK (live)'!AC68/'ASK (live)'!AC68,"-")</f>
        <v>0.93346936057606078</v>
      </c>
      <c r="AD68" s="10">
        <f ca="1">IFERROR('RPK (live)'!AD68/'ASK (live)'!AD68,"-")</f>
        <v>0.94903166055278032</v>
      </c>
      <c r="AE68" s="10">
        <f ca="1">IFERROR('RPK (live)'!AE68/'ASK (live)'!AE68,"-")</f>
        <v>0.87997398278002881</v>
      </c>
    </row>
    <row r="69" spans="1:31">
      <c r="A69" s="1" t="s">
        <v>152</v>
      </c>
      <c r="B69" s="5" t="s">
        <v>216</v>
      </c>
      <c r="C69" s="5" t="s">
        <v>163</v>
      </c>
      <c r="D69" s="5" t="s">
        <v>21</v>
      </c>
      <c r="E69" s="5" t="s">
        <v>54</v>
      </c>
      <c r="F69" s="5" t="s">
        <v>22</v>
      </c>
      <c r="G69" s="6"/>
      <c r="H69" s="6"/>
      <c r="I69" s="6"/>
      <c r="J69" s="6"/>
      <c r="K69" s="6"/>
      <c r="L69" s="10">
        <f ca="1">IFERROR('RPK (live)'!L69/'ASK (live)'!L69,"-")</f>
        <v>0.88</v>
      </c>
      <c r="M69" s="10">
        <f ca="1">IFERROR('RPK (live)'!M69/'ASK (live)'!M69,"-")</f>
        <v>0.96186747180036514</v>
      </c>
      <c r="N69" s="10">
        <f ca="1">IFERROR('RPK (live)'!N69/'ASK (live)'!N69,"-")</f>
        <v>0.96</v>
      </c>
      <c r="O69" s="10">
        <f ca="1">IFERROR('RPK (live)'!O69/'ASK (live)'!O69,"-")</f>
        <v>0.95</v>
      </c>
      <c r="P69" s="10">
        <f ca="1">IFERROR('RPK (live)'!P69/'ASK (live)'!P69,"-")</f>
        <v>0.94</v>
      </c>
      <c r="Q69" s="10">
        <f ca="1">IFERROR('RPK (live)'!Q69/'ASK (live)'!Q69,"-")</f>
        <v>0.9</v>
      </c>
      <c r="R69" s="10" t="str">
        <f ca="1">IFERROR('RPK (live)'!R69/'ASK (live)'!R69,"-")</f>
        <v>-</v>
      </c>
      <c r="S69" s="10" t="str">
        <f ca="1">IFERROR('RPK (live)'!S69/'ASK (live)'!S69,"-")</f>
        <v>-</v>
      </c>
      <c r="T69" s="10" t="str">
        <f ca="1">IFERROR('RPK (live)'!T69/'ASK (live)'!T69,"-")</f>
        <v>-</v>
      </c>
      <c r="U69" s="10" t="str">
        <f ca="1">IFERROR('RPK (live)'!U69/'ASK (live)'!U69,"-")</f>
        <v>-</v>
      </c>
      <c r="V69" s="10">
        <f ca="1">IFERROR('RPK (live)'!V69/'ASK (live)'!V69,"-")</f>
        <v>0.99051911298780171</v>
      </c>
      <c r="W69" s="10">
        <f ca="1">IFERROR('RPK (live)'!W69/'ASK (live)'!W69,"-")</f>
        <v>0.98664920989029481</v>
      </c>
      <c r="X69" s="10">
        <f ca="1">IFERROR('RPK (live)'!X69/'ASK (live)'!X69,"-")</f>
        <v>0.9905191129878016</v>
      </c>
      <c r="Y69" s="10">
        <f ca="1">IFERROR('RPK (live)'!Y69/'ASK (live)'!Y69,"-")</f>
        <v>0.99051911298780126</v>
      </c>
      <c r="Z69" s="10">
        <f ca="1">IFERROR('RPK (live)'!Z69/'ASK (live)'!Z69,"-")</f>
        <v>0.9905191129878016</v>
      </c>
      <c r="AA69" s="10">
        <f ca="1">IFERROR('RPK (live)'!AA69/'ASK (live)'!AA69,"-")</f>
        <v>0.99051911298780126</v>
      </c>
      <c r="AB69" s="10">
        <f ca="1">IFERROR('RPK (live)'!AB69/'ASK (live)'!AB69,"-")</f>
        <v>0.95273412551114534</v>
      </c>
      <c r="AC69" s="10">
        <f ca="1">IFERROR('RPK (live)'!AC69/'ASK (live)'!AC69,"-")</f>
        <v>0.94242121637937259</v>
      </c>
      <c r="AD69" s="10" t="str">
        <f ca="1">IFERROR('RPK (live)'!AD69/'ASK (live)'!AD69,"-")</f>
        <v>-</v>
      </c>
      <c r="AE69" s="10" t="str">
        <f ca="1">IFERROR('RPK (live)'!AE69/'ASK (live)'!AE69,"-")</f>
        <v>-</v>
      </c>
    </row>
    <row r="70" spans="1:31">
      <c r="A70" s="1" t="s">
        <v>152</v>
      </c>
      <c r="B70" s="5" t="s">
        <v>56</v>
      </c>
      <c r="C70" s="5" t="s">
        <v>53</v>
      </c>
      <c r="D70" s="5" t="s">
        <v>54</v>
      </c>
      <c r="E70" s="5" t="s">
        <v>21</v>
      </c>
      <c r="F70" s="5" t="s">
        <v>22</v>
      </c>
      <c r="G70" s="6"/>
      <c r="H70" s="6"/>
      <c r="I70" s="6"/>
      <c r="J70" s="6"/>
      <c r="K70" s="6"/>
      <c r="L70" s="10">
        <f ca="1">IFERROR('RPK (live)'!L70/'ASK (live)'!L70,"-")</f>
        <v>0.88</v>
      </c>
      <c r="M70" s="10">
        <f ca="1">IFERROR('RPK (live)'!M70/'ASK (live)'!M70,"-")</f>
        <v>0.96186747180036514</v>
      </c>
      <c r="N70" s="10">
        <f ca="1">IFERROR('RPK (live)'!N70/'ASK (live)'!N70,"-")</f>
        <v>0.96</v>
      </c>
      <c r="O70" s="10">
        <f ca="1">IFERROR('RPK (live)'!O70/'ASK (live)'!O70,"-")</f>
        <v>0.95</v>
      </c>
      <c r="P70" s="10">
        <f ca="1">IFERROR('RPK (live)'!P70/'ASK (live)'!P70,"-")</f>
        <v>0.94</v>
      </c>
      <c r="Q70" s="10">
        <f ca="1">IFERROR('RPK (live)'!Q70/'ASK (live)'!Q70,"-")</f>
        <v>0.9</v>
      </c>
      <c r="R70" s="10" t="str">
        <f ca="1">IFERROR('RPK (live)'!R70/'ASK (live)'!R70,"-")</f>
        <v>-</v>
      </c>
      <c r="S70" s="10" t="str">
        <f ca="1">IFERROR('RPK (live)'!S70/'ASK (live)'!S70,"-")</f>
        <v>-</v>
      </c>
      <c r="T70" s="10" t="str">
        <f ca="1">IFERROR('RPK (live)'!T70/'ASK (live)'!T70,"-")</f>
        <v>-</v>
      </c>
      <c r="U70" s="10" t="str">
        <f ca="1">IFERROR('RPK (live)'!U70/'ASK (live)'!U70,"-")</f>
        <v>-</v>
      </c>
      <c r="V70" s="10">
        <f ca="1">IFERROR('RPK (live)'!V70/'ASK (live)'!V70,"-")</f>
        <v>0.99051911298780171</v>
      </c>
      <c r="W70" s="10">
        <f ca="1">IFERROR('RPK (live)'!W70/'ASK (live)'!W70,"-")</f>
        <v>0.98664920989029481</v>
      </c>
      <c r="X70" s="10">
        <f ca="1">IFERROR('RPK (live)'!X70/'ASK (live)'!X70,"-")</f>
        <v>0.9905191129878016</v>
      </c>
      <c r="Y70" s="10">
        <f ca="1">IFERROR('RPK (live)'!Y70/'ASK (live)'!Y70,"-")</f>
        <v>0.99051911298780126</v>
      </c>
      <c r="Z70" s="10">
        <f ca="1">IFERROR('RPK (live)'!Z70/'ASK (live)'!Z70,"-")</f>
        <v>0.9905191129878016</v>
      </c>
      <c r="AA70" s="10">
        <f ca="1">IFERROR('RPK (live)'!AA70/'ASK (live)'!AA70,"-")</f>
        <v>0.99051911298780126</v>
      </c>
      <c r="AB70" s="10">
        <f ca="1">IFERROR('RPK (live)'!AB70/'ASK (live)'!AB70,"-")</f>
        <v>0.95273412551114534</v>
      </c>
      <c r="AC70" s="10">
        <f ca="1">IFERROR('RPK (live)'!AC70/'ASK (live)'!AC70,"-")</f>
        <v>0.94242121637937259</v>
      </c>
      <c r="AD70" s="10" t="str">
        <f ca="1">IFERROR('RPK (live)'!AD70/'ASK (live)'!AD70,"-")</f>
        <v>-</v>
      </c>
      <c r="AE70" s="10" t="str">
        <f ca="1">IFERROR('RPK (live)'!AE70/'ASK (live)'!AE70,"-")</f>
        <v>-</v>
      </c>
    </row>
    <row r="71" spans="1:31">
      <c r="A71" s="1" t="s">
        <v>152</v>
      </c>
      <c r="B71" s="5" t="s">
        <v>217</v>
      </c>
      <c r="C71" s="5" t="s">
        <v>159</v>
      </c>
      <c r="D71" s="5" t="s">
        <v>21</v>
      </c>
      <c r="E71" s="5" t="s">
        <v>38</v>
      </c>
      <c r="F71" s="5" t="s">
        <v>22</v>
      </c>
      <c r="G71" s="6"/>
      <c r="H71" s="6"/>
      <c r="I71" s="6"/>
      <c r="J71" s="6"/>
      <c r="K71" s="6"/>
      <c r="L71" s="10">
        <f ca="1">IFERROR('RPK (live)'!L71/'ASK (live)'!L71,"-")</f>
        <v>0.83057900149844954</v>
      </c>
      <c r="M71" s="10">
        <f ca="1">IFERROR('RPK (live)'!M71/'ASK (live)'!M71,"-")</f>
        <v>0.890832349764902</v>
      </c>
      <c r="N71" s="10">
        <f ca="1">IFERROR('RPK (live)'!N71/'ASK (live)'!N71,"-")</f>
        <v>0.89886258978246825</v>
      </c>
      <c r="O71" s="10">
        <f ca="1">IFERROR('RPK (live)'!O71/'ASK (live)'!O71,"-")</f>
        <v>0.85709240832033062</v>
      </c>
      <c r="P71" s="10">
        <f ca="1">IFERROR('RPK (live)'!P71/'ASK (live)'!P71,"-")</f>
        <v>0.90360790689334436</v>
      </c>
      <c r="Q71" s="10" t="str">
        <f ca="1">IFERROR('RPK (live)'!Q71/'ASK (live)'!Q71,"-")</f>
        <v>-</v>
      </c>
      <c r="R71" s="10" t="str">
        <f ca="1">IFERROR('RPK (live)'!R71/'ASK (live)'!R71,"-")</f>
        <v>-</v>
      </c>
      <c r="S71" s="10" t="str">
        <f ca="1">IFERROR('RPK (live)'!S71/'ASK (live)'!S71,"-")</f>
        <v>-</v>
      </c>
      <c r="T71" s="10">
        <f ca="1">IFERROR('RPK (live)'!T71/'ASK (live)'!T71,"-")</f>
        <v>0.85778859216144066</v>
      </c>
      <c r="U71" s="10">
        <f ca="1">IFERROR('RPK (live)'!U71/'ASK (live)'!U71,"-")</f>
        <v>0.88977505915124411</v>
      </c>
      <c r="V71" s="10">
        <f ca="1">IFERROR('RPK (live)'!V71/'ASK (live)'!V71,"-")</f>
        <v>0.98133964736156676</v>
      </c>
      <c r="W71" s="10">
        <f ca="1">IFERROR('RPK (live)'!W71/'ASK (live)'!W71,"-")</f>
        <v>0.92030365317541785</v>
      </c>
      <c r="X71" s="10">
        <f ca="1">IFERROR('RPK (live)'!X71/'ASK (live)'!X71,"-")</f>
        <v>0.9510536073448006</v>
      </c>
      <c r="Y71" s="10">
        <f ca="1">IFERROR('RPK (live)'!Y71/'ASK (live)'!Y71,"-")</f>
        <v>0.98563668559031226</v>
      </c>
      <c r="Z71" s="10">
        <f ca="1">IFERROR('RPK (live)'!Z71/'ASK (live)'!Z71,"-")</f>
        <v>0.95684097378280786</v>
      </c>
      <c r="AA71" s="10">
        <f ca="1">IFERROR('RPK (live)'!AA71/'ASK (live)'!AA71,"-")</f>
        <v>0.90858227348102671</v>
      </c>
      <c r="AB71" s="10">
        <f ca="1">IFERROR('RPK (live)'!AB71/'ASK (live)'!AB71,"-")</f>
        <v>0.8894941512753477</v>
      </c>
      <c r="AC71" s="10">
        <f ca="1">IFERROR('RPK (live)'!AC71/'ASK (live)'!AC71,"-")</f>
        <v>0.93346936057606067</v>
      </c>
      <c r="AD71" s="10">
        <f ca="1">IFERROR('RPK (live)'!AD71/'ASK (live)'!AD71,"-")</f>
        <v>0.94903166055278021</v>
      </c>
      <c r="AE71" s="10">
        <f ca="1">IFERROR('RPK (live)'!AE71/'ASK (live)'!AE71,"-")</f>
        <v>0.8799739827800287</v>
      </c>
    </row>
    <row r="72" spans="1:31">
      <c r="A72" s="1" t="s">
        <v>152</v>
      </c>
      <c r="B72" s="5" t="s">
        <v>44</v>
      </c>
      <c r="C72" s="5" t="s">
        <v>37</v>
      </c>
      <c r="D72" s="5" t="s">
        <v>38</v>
      </c>
      <c r="E72" s="5" t="s">
        <v>21</v>
      </c>
      <c r="F72" s="5" t="s">
        <v>22</v>
      </c>
      <c r="G72" s="6"/>
      <c r="H72" s="6"/>
      <c r="I72" s="6"/>
      <c r="J72" s="6"/>
      <c r="K72" s="6"/>
      <c r="L72" s="10">
        <f ca="1">IFERROR('RPK (live)'!L72/'ASK (live)'!L72,"-")</f>
        <v>0.83057900149844965</v>
      </c>
      <c r="M72" s="10">
        <f ca="1">IFERROR('RPK (live)'!M72/'ASK (live)'!M72,"-")</f>
        <v>0.89083234976490211</v>
      </c>
      <c r="N72" s="10">
        <f ca="1">IFERROR('RPK (live)'!N72/'ASK (live)'!N72,"-")</f>
        <v>0.89886258978246814</v>
      </c>
      <c r="O72" s="10">
        <f ca="1">IFERROR('RPK (live)'!O72/'ASK (live)'!O72,"-")</f>
        <v>0.8570924083203304</v>
      </c>
      <c r="P72" s="10">
        <f ca="1">IFERROR('RPK (live)'!P72/'ASK (live)'!P72,"-")</f>
        <v>0.90360790689334447</v>
      </c>
      <c r="Q72" s="10">
        <f ca="1">IFERROR('RPK (live)'!Q72/'ASK (live)'!Q72,"-")</f>
        <v>0.94164682933058619</v>
      </c>
      <c r="R72" s="10" t="str">
        <f ca="1">IFERROR('RPK (live)'!R72/'ASK (live)'!R72,"-")</f>
        <v>-</v>
      </c>
      <c r="S72" s="10" t="str">
        <f ca="1">IFERROR('RPK (live)'!S72/'ASK (live)'!S72,"-")</f>
        <v>-</v>
      </c>
      <c r="T72" s="10">
        <f ca="1">IFERROR('RPK (live)'!T72/'ASK (live)'!T72,"-")</f>
        <v>0.85778859216144077</v>
      </c>
      <c r="U72" s="10">
        <f ca="1">IFERROR('RPK (live)'!U72/'ASK (live)'!U72,"-")</f>
        <v>0.88977505915124411</v>
      </c>
      <c r="V72" s="10">
        <f ca="1">IFERROR('RPK (live)'!V72/'ASK (live)'!V72,"-")</f>
        <v>0.98133964736156676</v>
      </c>
      <c r="W72" s="10">
        <f ca="1">IFERROR('RPK (live)'!W72/'ASK (live)'!W72,"-")</f>
        <v>0.92030365317541785</v>
      </c>
      <c r="X72" s="10">
        <f ca="1">IFERROR('RPK (live)'!X72/'ASK (live)'!X72,"-")</f>
        <v>0.9510536073448006</v>
      </c>
      <c r="Y72" s="10">
        <f ca="1">IFERROR('RPK (live)'!Y72/'ASK (live)'!Y72,"-")</f>
        <v>0.98563668559031226</v>
      </c>
      <c r="Z72" s="10">
        <f ca="1">IFERROR('RPK (live)'!Z72/'ASK (live)'!Z72,"-")</f>
        <v>0.95684097378280786</v>
      </c>
      <c r="AA72" s="10">
        <f ca="1">IFERROR('RPK (live)'!AA72/'ASK (live)'!AA72,"-")</f>
        <v>0.90858227348102671</v>
      </c>
      <c r="AB72" s="10">
        <f ca="1">IFERROR('RPK (live)'!AB72/'ASK (live)'!AB72,"-")</f>
        <v>0.8894941512753477</v>
      </c>
      <c r="AC72" s="10">
        <f ca="1">IFERROR('RPK (live)'!AC72/'ASK (live)'!AC72,"-")</f>
        <v>0.93346936057606078</v>
      </c>
      <c r="AD72" s="10">
        <f ca="1">IFERROR('RPK (live)'!AD72/'ASK (live)'!AD72,"-")</f>
        <v>0.94903166055278054</v>
      </c>
      <c r="AE72" s="10">
        <f ca="1">IFERROR('RPK (live)'!AE72/'ASK (live)'!AE72,"-")</f>
        <v>0.87997398278002881</v>
      </c>
    </row>
    <row r="73" spans="1:31">
      <c r="A73" s="1" t="s">
        <v>152</v>
      </c>
      <c r="B73" s="5" t="s">
        <v>218</v>
      </c>
      <c r="C73" s="5" t="s">
        <v>219</v>
      </c>
      <c r="D73" s="5" t="s">
        <v>21</v>
      </c>
      <c r="E73" s="5" t="s">
        <v>49</v>
      </c>
      <c r="F73" s="5" t="s">
        <v>22</v>
      </c>
      <c r="G73" s="6"/>
      <c r="H73" s="6"/>
      <c r="I73" s="6"/>
      <c r="J73" s="6"/>
      <c r="K73" s="6"/>
      <c r="L73" s="10">
        <f ca="1">IFERROR('RPK (live)'!L73/'ASK (live)'!L73,"-")</f>
        <v>0.9</v>
      </c>
      <c r="M73" s="10">
        <f ca="1">IFERROR('RPK (live)'!M73/'ASK (live)'!M73,"-")</f>
        <v>0.87074318499822534</v>
      </c>
      <c r="N73" s="10">
        <f ca="1">IFERROR('RPK (live)'!N73/'ASK (live)'!N73,"-")</f>
        <v>0.86999999999999988</v>
      </c>
      <c r="O73" s="10">
        <f ca="1">IFERROR('RPK (live)'!O73/'ASK (live)'!O73,"-")</f>
        <v>0.83</v>
      </c>
      <c r="P73" s="10">
        <f ca="1">IFERROR('RPK (live)'!P73/'ASK (live)'!P73,"-")</f>
        <v>0.79</v>
      </c>
      <c r="Q73" s="10">
        <f ca="1">IFERROR('RPK (live)'!Q73/'ASK (live)'!Q73,"-")</f>
        <v>0.77</v>
      </c>
      <c r="R73" s="10">
        <f ca="1">IFERROR('RPK (live)'!R73/'ASK (live)'!R73,"-")</f>
        <v>0.79</v>
      </c>
      <c r="S73" s="10">
        <f ca="1">IFERROR('RPK (live)'!S73/'ASK (live)'!S73,"-")</f>
        <v>0.71</v>
      </c>
      <c r="T73" s="10">
        <f ca="1">IFERROR('RPK (live)'!T73/'ASK (live)'!T73,"-")</f>
        <v>0.90126127064132677</v>
      </c>
      <c r="U73" s="10">
        <f ca="1">IFERROR('RPK (live)'!U73/'ASK (live)'!U73,"-")</f>
        <v>0.89902596635895882</v>
      </c>
      <c r="V73" s="10">
        <f ca="1">IFERROR('RPK (live)'!V73/'ASK (live)'!V73,"-")</f>
        <v>0.98614074321326184</v>
      </c>
      <c r="W73" s="10">
        <f ca="1">IFERROR('RPK (live)'!W73/'ASK (live)'!W73,"-")</f>
        <v>0.99051911298780126</v>
      </c>
      <c r="X73" s="10">
        <f ca="1">IFERROR('RPK (live)'!X73/'ASK (live)'!X73,"-")</f>
        <v>0.99051911298780149</v>
      </c>
      <c r="Y73" s="10">
        <f ca="1">IFERROR('RPK (live)'!Y73/'ASK (live)'!Y73,"-")</f>
        <v>0.99051911298780149</v>
      </c>
      <c r="Z73" s="10">
        <f ca="1">IFERROR('RPK (live)'!Z73/'ASK (live)'!Z73,"-")</f>
        <v>0.99051911298780149</v>
      </c>
      <c r="AA73" s="10">
        <f ca="1">IFERROR('RPK (live)'!AA73/'ASK (live)'!AA73,"-")</f>
        <v>0.9905191129878016</v>
      </c>
      <c r="AB73" s="10">
        <f ca="1">IFERROR('RPK (live)'!AB73/'ASK (live)'!AB73,"-")</f>
        <v>0.99051911298780149</v>
      </c>
      <c r="AC73" s="10">
        <f ca="1">IFERROR('RPK (live)'!AC73/'ASK (live)'!AC73,"-")</f>
        <v>0.97958601547386648</v>
      </c>
      <c r="AD73" s="10">
        <f ca="1">IFERROR('RPK (live)'!AD73/'ASK (live)'!AD73,"-")</f>
        <v>0.90909198023454496</v>
      </c>
      <c r="AE73" s="10">
        <f ca="1">IFERROR('RPK (live)'!AE73/'ASK (live)'!AE73,"-")</f>
        <v>0.75852690271486567</v>
      </c>
    </row>
    <row r="74" spans="1:31">
      <c r="A74" s="1" t="s">
        <v>152</v>
      </c>
      <c r="B74" s="5" t="s">
        <v>47</v>
      </c>
      <c r="C74" s="5" t="s">
        <v>48</v>
      </c>
      <c r="D74" s="5" t="s">
        <v>49</v>
      </c>
      <c r="E74" s="5" t="s">
        <v>21</v>
      </c>
      <c r="F74" s="5" t="s">
        <v>22</v>
      </c>
      <c r="G74" s="6"/>
      <c r="H74" s="6"/>
      <c r="I74" s="6"/>
      <c r="J74" s="6"/>
      <c r="K74" s="6"/>
      <c r="L74" s="10">
        <f ca="1">IFERROR('RPK (live)'!L74/'ASK (live)'!L74,"-")</f>
        <v>0.9</v>
      </c>
      <c r="M74" s="10">
        <f ca="1">IFERROR('RPK (live)'!M74/'ASK (live)'!M74,"-")</f>
        <v>0.87074318499822534</v>
      </c>
      <c r="N74" s="10">
        <f ca="1">IFERROR('RPK (live)'!N74/'ASK (live)'!N74,"-")</f>
        <v>0.86999999999999988</v>
      </c>
      <c r="O74" s="10">
        <f ca="1">IFERROR('RPK (live)'!O74/'ASK (live)'!O74,"-")</f>
        <v>0.83</v>
      </c>
      <c r="P74" s="10">
        <f ca="1">IFERROR('RPK (live)'!P74/'ASK (live)'!P74,"-")</f>
        <v>0.79</v>
      </c>
      <c r="Q74" s="10">
        <f ca="1">IFERROR('RPK (live)'!Q74/'ASK (live)'!Q74,"-")</f>
        <v>0.77</v>
      </c>
      <c r="R74" s="10">
        <f ca="1">IFERROR('RPK (live)'!R74/'ASK (live)'!R74,"-")</f>
        <v>0.79</v>
      </c>
      <c r="S74" s="10">
        <f ca="1">IFERROR('RPK (live)'!S74/'ASK (live)'!S74,"-")</f>
        <v>0.71</v>
      </c>
      <c r="T74" s="10">
        <f ca="1">IFERROR('RPK (live)'!T74/'ASK (live)'!T74,"-")</f>
        <v>0.90126127064132677</v>
      </c>
      <c r="U74" s="10">
        <f ca="1">IFERROR('RPK (live)'!U74/'ASK (live)'!U74,"-")</f>
        <v>0.89902596635895882</v>
      </c>
      <c r="V74" s="10">
        <f ca="1">IFERROR('RPK (live)'!V74/'ASK (live)'!V74,"-")</f>
        <v>0.98614074321326184</v>
      </c>
      <c r="W74" s="10">
        <f ca="1">IFERROR('RPK (live)'!W74/'ASK (live)'!W74,"-")</f>
        <v>0.99051911298780126</v>
      </c>
      <c r="X74" s="10">
        <f ca="1">IFERROR('RPK (live)'!X74/'ASK (live)'!X74,"-")</f>
        <v>0.99051911298780149</v>
      </c>
      <c r="Y74" s="10">
        <f ca="1">IFERROR('RPK (live)'!Y74/'ASK (live)'!Y74,"-")</f>
        <v>0.99051911298780149</v>
      </c>
      <c r="Z74" s="10">
        <f ca="1">IFERROR('RPK (live)'!Z74/'ASK (live)'!Z74,"-")</f>
        <v>0.99051911298780149</v>
      </c>
      <c r="AA74" s="10">
        <f ca="1">IFERROR('RPK (live)'!AA74/'ASK (live)'!AA74,"-")</f>
        <v>0.9905191129878016</v>
      </c>
      <c r="AB74" s="10">
        <f ca="1">IFERROR('RPK (live)'!AB74/'ASK (live)'!AB74,"-")</f>
        <v>0.99051911298780149</v>
      </c>
      <c r="AC74" s="10">
        <f ca="1">IFERROR('RPK (live)'!AC74/'ASK (live)'!AC74,"-")</f>
        <v>0.97958601547386648</v>
      </c>
      <c r="AD74" s="10">
        <f ca="1">IFERROR('RPK (live)'!AD74/'ASK (live)'!AD74,"-")</f>
        <v>0.90909198023454496</v>
      </c>
      <c r="AE74" s="10">
        <f ca="1">IFERROR('RPK (live)'!AE74/'ASK (live)'!AE74,"-")</f>
        <v>0.75852690271486567</v>
      </c>
    </row>
    <row r="75" spans="1:31">
      <c r="A75" s="1" t="s">
        <v>152</v>
      </c>
      <c r="B75" s="5" t="s">
        <v>220</v>
      </c>
      <c r="C75" s="5" t="s">
        <v>166</v>
      </c>
      <c r="D75" s="5" t="s">
        <v>21</v>
      </c>
      <c r="E75" s="5" t="s">
        <v>31</v>
      </c>
      <c r="F75" s="5" t="s">
        <v>22</v>
      </c>
      <c r="G75" s="6"/>
      <c r="H75" s="6"/>
      <c r="I75" s="6"/>
      <c r="J75" s="6"/>
      <c r="K75" s="6"/>
      <c r="L75" s="10">
        <f ca="1">IFERROR('RPK (live)'!L75/'ASK (live)'!L75,"-")</f>
        <v>0.91999999999999971</v>
      </c>
      <c r="M75" s="10">
        <f ca="1">IFERROR('RPK (live)'!M75/'ASK (live)'!M75,"-")</f>
        <v>0.96186747180036503</v>
      </c>
      <c r="N75" s="10">
        <f ca="1">IFERROR('RPK (live)'!N75/'ASK (live)'!N75,"-")</f>
        <v>0.91</v>
      </c>
      <c r="O75" s="10">
        <f ca="1">IFERROR('RPK (live)'!O75/'ASK (live)'!O75,"-")</f>
        <v>0.83999999999999986</v>
      </c>
      <c r="P75" s="10">
        <f ca="1">IFERROR('RPK (live)'!P75/'ASK (live)'!P75,"-")</f>
        <v>0.89</v>
      </c>
      <c r="Q75" s="10">
        <f ca="1">IFERROR('RPK (live)'!Q75/'ASK (live)'!Q75,"-")</f>
        <v>0.8899999999999999</v>
      </c>
      <c r="R75" s="10" t="str">
        <f ca="1">IFERROR('RPK (live)'!R75/'ASK (live)'!R75,"-")</f>
        <v>-</v>
      </c>
      <c r="S75" s="10" t="str">
        <f ca="1">IFERROR('RPK (live)'!S75/'ASK (live)'!S75,"-")</f>
        <v>-</v>
      </c>
      <c r="T75" s="10" t="str">
        <f ca="1">IFERROR('RPK (live)'!T75/'ASK (live)'!T75,"-")</f>
        <v>-</v>
      </c>
      <c r="U75" s="10" t="str">
        <f ca="1">IFERROR('RPK (live)'!U75/'ASK (live)'!U75,"-")</f>
        <v>-</v>
      </c>
      <c r="V75" s="10">
        <f ca="1">IFERROR('RPK (live)'!V75/'ASK (live)'!V75,"-")</f>
        <v>0.85661831883386264</v>
      </c>
      <c r="W75" s="10">
        <f ca="1">IFERROR('RPK (live)'!W75/'ASK (live)'!W75,"-")</f>
        <v>0.80378530683046157</v>
      </c>
      <c r="X75" s="10">
        <f ca="1">IFERROR('RPK (live)'!X75/'ASK (live)'!X75,"-")</f>
        <v>0.95604938697483122</v>
      </c>
      <c r="Y75" s="10">
        <f ca="1">IFERROR('RPK (live)'!Y75/'ASK (live)'!Y75,"-")</f>
        <v>0.98272766236460174</v>
      </c>
      <c r="Z75" s="10">
        <f ca="1">IFERROR('RPK (live)'!Z75/'ASK (live)'!Z75,"-")</f>
        <v>0.95013156327106318</v>
      </c>
      <c r="AA75" s="10">
        <f ca="1">IFERROR('RPK (live)'!AA75/'ASK (live)'!AA75,"-")</f>
        <v>0.80499786157238995</v>
      </c>
      <c r="AB75" s="10">
        <f ca="1">IFERROR('RPK (live)'!AB75/'ASK (live)'!AB75,"-")</f>
        <v>0.92888937948170569</v>
      </c>
      <c r="AC75" s="10">
        <f ca="1">IFERROR('RPK (live)'!AC75/'ASK (live)'!AC75,"-")</f>
        <v>0.98416889262017326</v>
      </c>
      <c r="AD75" s="10" t="str">
        <f ca="1">IFERROR('RPK (live)'!AD75/'ASK (live)'!AD75,"-")</f>
        <v>-</v>
      </c>
      <c r="AE75" s="10" t="str">
        <f ca="1">IFERROR('RPK (live)'!AE75/'ASK (live)'!AE75,"-")</f>
        <v>-</v>
      </c>
    </row>
    <row r="76" spans="1:31">
      <c r="A76" s="1" t="s">
        <v>152</v>
      </c>
      <c r="B76" s="5" t="s">
        <v>32</v>
      </c>
      <c r="C76" s="5" t="s">
        <v>30</v>
      </c>
      <c r="D76" s="5" t="s">
        <v>31</v>
      </c>
      <c r="E76" s="5" t="s">
        <v>21</v>
      </c>
      <c r="F76" s="5" t="s">
        <v>22</v>
      </c>
      <c r="G76" s="6"/>
      <c r="H76" s="6"/>
      <c r="I76" s="6"/>
      <c r="J76" s="6"/>
      <c r="K76" s="6"/>
      <c r="L76" s="10">
        <f ca="1">IFERROR('RPK (live)'!L76/'ASK (live)'!L76,"-")</f>
        <v>0.91999999999999971</v>
      </c>
      <c r="M76" s="10">
        <f ca="1">IFERROR('RPK (live)'!M76/'ASK (live)'!M76,"-")</f>
        <v>0.96186747180036503</v>
      </c>
      <c r="N76" s="10">
        <f ca="1">IFERROR('RPK (live)'!N76/'ASK (live)'!N76,"-")</f>
        <v>0.91</v>
      </c>
      <c r="O76" s="10">
        <f ca="1">IFERROR('RPK (live)'!O76/'ASK (live)'!O76,"-")</f>
        <v>0.83999999999999986</v>
      </c>
      <c r="P76" s="10">
        <f ca="1">IFERROR('RPK (live)'!P76/'ASK (live)'!P76,"-")</f>
        <v>0.89</v>
      </c>
      <c r="Q76" s="10">
        <f ca="1">IFERROR('RPK (live)'!Q76/'ASK (live)'!Q76,"-")</f>
        <v>0.8899999999999999</v>
      </c>
      <c r="R76" s="10" t="str">
        <f ca="1">IFERROR('RPK (live)'!R76/'ASK (live)'!R76,"-")</f>
        <v>-</v>
      </c>
      <c r="S76" s="10" t="str">
        <f ca="1">IFERROR('RPK (live)'!S76/'ASK (live)'!S76,"-")</f>
        <v>-</v>
      </c>
      <c r="T76" s="10" t="str">
        <f ca="1">IFERROR('RPK (live)'!T76/'ASK (live)'!T76,"-")</f>
        <v>-</v>
      </c>
      <c r="U76" s="10" t="str">
        <f ca="1">IFERROR('RPK (live)'!U76/'ASK (live)'!U76,"-")</f>
        <v>-</v>
      </c>
      <c r="V76" s="10">
        <f ca="1">IFERROR('RPK (live)'!V76/'ASK (live)'!V76,"-")</f>
        <v>0.85661831883386264</v>
      </c>
      <c r="W76" s="10">
        <f ca="1">IFERROR('RPK (live)'!W76/'ASK (live)'!W76,"-")</f>
        <v>0.80378530683046157</v>
      </c>
      <c r="X76" s="10">
        <f ca="1">IFERROR('RPK (live)'!X76/'ASK (live)'!X76,"-")</f>
        <v>0.95604938697483122</v>
      </c>
      <c r="Y76" s="10">
        <f ca="1">IFERROR('RPK (live)'!Y76/'ASK (live)'!Y76,"-")</f>
        <v>0.98272766236460174</v>
      </c>
      <c r="Z76" s="10">
        <f ca="1">IFERROR('RPK (live)'!Z76/'ASK (live)'!Z76,"-")</f>
        <v>0.95013156327106318</v>
      </c>
      <c r="AA76" s="10">
        <f ca="1">IFERROR('RPK (live)'!AA76/'ASK (live)'!AA76,"-")</f>
        <v>0.80499786157238995</v>
      </c>
      <c r="AB76" s="10">
        <f ca="1">IFERROR('RPK (live)'!AB76/'ASK (live)'!AB76,"-")</f>
        <v>0.92888937948170569</v>
      </c>
      <c r="AC76" s="10">
        <f ca="1">IFERROR('RPK (live)'!AC76/'ASK (live)'!AC76,"-")</f>
        <v>0.98416889262017326</v>
      </c>
      <c r="AD76" s="10" t="str">
        <f ca="1">IFERROR('RPK (live)'!AD76/'ASK (live)'!AD76,"-")</f>
        <v>-</v>
      </c>
      <c r="AE76" s="10" t="str">
        <f ca="1">IFERROR('RPK (live)'!AE76/'ASK (live)'!AE76,"-")</f>
        <v>-</v>
      </c>
    </row>
    <row r="77" spans="1:31">
      <c r="A77" s="1" t="s">
        <v>152</v>
      </c>
      <c r="B77" s="5" t="s">
        <v>221</v>
      </c>
      <c r="C77" s="5" t="s">
        <v>193</v>
      </c>
      <c r="D77" s="5" t="s">
        <v>21</v>
      </c>
      <c r="E77" s="5" t="s">
        <v>194</v>
      </c>
      <c r="F77" s="5" t="s">
        <v>22</v>
      </c>
      <c r="G77" s="6"/>
      <c r="H77" s="6"/>
      <c r="I77" s="6"/>
      <c r="J77" s="6"/>
      <c r="K77" s="6"/>
      <c r="L77" s="10">
        <f ca="1">IFERROR('RPK (live)'!L77/'ASK (live)'!L77,"-")</f>
        <v>0.73</v>
      </c>
      <c r="M77" s="10">
        <f ca="1">IFERROR('RPK (live)'!M77/'ASK (live)'!M77,"-")</f>
        <v>0.75936905668449883</v>
      </c>
      <c r="N77" s="10">
        <f ca="1">IFERROR('RPK (live)'!N77/'ASK (live)'!N77,"-")</f>
        <v>0.7</v>
      </c>
      <c r="O77" s="10">
        <f ca="1">IFERROR('RPK (live)'!O77/'ASK (live)'!O77,"-")</f>
        <v>0.7</v>
      </c>
      <c r="P77" s="10">
        <f ca="1">IFERROR('RPK (live)'!P77/'ASK (live)'!P77,"-")</f>
        <v>0.77</v>
      </c>
      <c r="Q77" s="10">
        <f ca="1">IFERROR('RPK (live)'!Q77/'ASK (live)'!Q77,"-")</f>
        <v>0.87000000000000011</v>
      </c>
      <c r="R77" s="10">
        <f ca="1">IFERROR('RPK (live)'!R77/'ASK (live)'!R77,"-")</f>
        <v>0.87000000000000011</v>
      </c>
      <c r="S77" s="10">
        <f ca="1">IFERROR('RPK (live)'!S77/'ASK (live)'!S77,"-")</f>
        <v>0.74500000000000011</v>
      </c>
      <c r="T77" s="10">
        <f ca="1">IFERROR('RPK (live)'!T77/'ASK (live)'!T77,"-")</f>
        <v>0.96404047924617342</v>
      </c>
      <c r="U77" s="10">
        <f ca="1">IFERROR('RPK (live)'!U77/'ASK (live)'!U77,"-")</f>
        <v>0.95128972934137546</v>
      </c>
      <c r="V77" s="10">
        <f ca="1">IFERROR('RPK (live)'!V77/'ASK (live)'!V77,"-")</f>
        <v>0.9754706788898948</v>
      </c>
      <c r="W77" s="10">
        <f ca="1">IFERROR('RPK (live)'!W77/'ASK (live)'!W77,"-")</f>
        <v>0.95940980572910817</v>
      </c>
      <c r="X77" s="10">
        <f ca="1">IFERROR('RPK (live)'!X77/'ASK (live)'!X77,"-")</f>
        <v>0.93298159361496025</v>
      </c>
      <c r="Y77" s="10">
        <f ca="1">IFERROR('RPK (live)'!Y77/'ASK (live)'!Y77,"-")</f>
        <v>0.88616513008492315</v>
      </c>
      <c r="Z77" s="10">
        <f ca="1">IFERROR('RPK (live)'!Z77/'ASK (live)'!Z77,"-")</f>
        <v>0.83656130665765027</v>
      </c>
      <c r="AA77" s="10">
        <f ca="1">IFERROR('RPK (live)'!AA77/'ASK (live)'!AA77,"-")</f>
        <v>0.88485524825458306</v>
      </c>
      <c r="AB77" s="10">
        <f ca="1">IFERROR('RPK (live)'!AB77/'ASK (live)'!AB77,"-")</f>
        <v>0.85769668895172724</v>
      </c>
      <c r="AC77" s="10">
        <f ca="1">IFERROR('RPK (live)'!AC77/'ASK (live)'!AC77,"-")</f>
        <v>0.98630633216613561</v>
      </c>
      <c r="AD77" s="10">
        <f ca="1">IFERROR('RPK (live)'!AD77/'ASK (live)'!AD77,"-")</f>
        <v>0.88062682307846007</v>
      </c>
      <c r="AE77" s="10">
        <f ca="1">IFERROR('RPK (live)'!AE77/'ASK (live)'!AE77,"-")</f>
        <v>0.75258763687340235</v>
      </c>
    </row>
    <row r="78" spans="1:31">
      <c r="A78" s="1" t="s">
        <v>152</v>
      </c>
      <c r="B78" s="5" t="s">
        <v>222</v>
      </c>
      <c r="C78" s="5" t="s">
        <v>196</v>
      </c>
      <c r="D78" s="5" t="s">
        <v>194</v>
      </c>
      <c r="E78" s="5" t="s">
        <v>21</v>
      </c>
      <c r="F78" s="5" t="s">
        <v>22</v>
      </c>
      <c r="G78" s="6"/>
      <c r="H78" s="6"/>
      <c r="I78" s="6"/>
      <c r="J78" s="6"/>
      <c r="K78" s="6"/>
      <c r="L78" s="10">
        <f ca="1">IFERROR('RPK (live)'!L78/'ASK (live)'!L78,"-")</f>
        <v>0.73</v>
      </c>
      <c r="M78" s="10">
        <f ca="1">IFERROR('RPK (live)'!M78/'ASK (live)'!M78,"-")</f>
        <v>0.75936905668449883</v>
      </c>
      <c r="N78" s="10">
        <f ca="1">IFERROR('RPK (live)'!N78/'ASK (live)'!N78,"-")</f>
        <v>0.7</v>
      </c>
      <c r="O78" s="10">
        <f ca="1">IFERROR('RPK (live)'!O78/'ASK (live)'!O78,"-")</f>
        <v>0.7</v>
      </c>
      <c r="P78" s="10">
        <f ca="1">IFERROR('RPK (live)'!P78/'ASK (live)'!P78,"-")</f>
        <v>0.77</v>
      </c>
      <c r="Q78" s="10">
        <f ca="1">IFERROR('RPK (live)'!Q78/'ASK (live)'!Q78,"-")</f>
        <v>0.87000000000000011</v>
      </c>
      <c r="R78" s="10">
        <f ca="1">IFERROR('RPK (live)'!R78/'ASK (live)'!R78,"-")</f>
        <v>0.87000000000000011</v>
      </c>
      <c r="S78" s="10">
        <f ca="1">IFERROR('RPK (live)'!S78/'ASK (live)'!S78,"-")</f>
        <v>0.74500000000000011</v>
      </c>
      <c r="T78" s="10">
        <f ca="1">IFERROR('RPK (live)'!T78/'ASK (live)'!T78,"-")</f>
        <v>0.96404047924617342</v>
      </c>
      <c r="U78" s="10">
        <f ca="1">IFERROR('RPK (live)'!U78/'ASK (live)'!U78,"-")</f>
        <v>0.95128972934137546</v>
      </c>
      <c r="V78" s="10">
        <f ca="1">IFERROR('RPK (live)'!V78/'ASK (live)'!V78,"-")</f>
        <v>0.9754706788898948</v>
      </c>
      <c r="W78" s="10">
        <f ca="1">IFERROR('RPK (live)'!W78/'ASK (live)'!W78,"-")</f>
        <v>0.95940980572910817</v>
      </c>
      <c r="X78" s="10">
        <f ca="1">IFERROR('RPK (live)'!X78/'ASK (live)'!X78,"-")</f>
        <v>0.93298159361496025</v>
      </c>
      <c r="Y78" s="10">
        <f ca="1">IFERROR('RPK (live)'!Y78/'ASK (live)'!Y78,"-")</f>
        <v>0.88616513008492315</v>
      </c>
      <c r="Z78" s="10">
        <f ca="1">IFERROR('RPK (live)'!Z78/'ASK (live)'!Z78,"-")</f>
        <v>0.83656130665765027</v>
      </c>
      <c r="AA78" s="10">
        <f ca="1">IFERROR('RPK (live)'!AA78/'ASK (live)'!AA78,"-")</f>
        <v>0.88485524825458306</v>
      </c>
      <c r="AB78" s="10">
        <f ca="1">IFERROR('RPK (live)'!AB78/'ASK (live)'!AB78,"-")</f>
        <v>0.85769668895172724</v>
      </c>
      <c r="AC78" s="10">
        <f ca="1">IFERROR('RPK (live)'!AC78/'ASK (live)'!AC78,"-")</f>
        <v>0.98630633216613561</v>
      </c>
      <c r="AD78" s="10">
        <f ca="1">IFERROR('RPK (live)'!AD78/'ASK (live)'!AD78,"-")</f>
        <v>0.88062682307846007</v>
      </c>
      <c r="AE78" s="10">
        <f ca="1">IFERROR('RPK (live)'!AE78/'ASK (live)'!AE78,"-")</f>
        <v>0.75258763687340235</v>
      </c>
    </row>
    <row r="79" spans="1:31">
      <c r="A79" s="1" t="s">
        <v>152</v>
      </c>
      <c r="B79" s="5" t="s">
        <v>223</v>
      </c>
      <c r="C79" s="5" t="s">
        <v>193</v>
      </c>
      <c r="D79" s="5" t="s">
        <v>21</v>
      </c>
      <c r="E79" s="5" t="s">
        <v>194</v>
      </c>
      <c r="F79" s="5" t="s">
        <v>22</v>
      </c>
      <c r="G79" s="6"/>
      <c r="H79" s="6"/>
      <c r="I79" s="6"/>
      <c r="J79" s="6"/>
      <c r="K79" s="6"/>
      <c r="L79" s="10">
        <f ca="1">IFERROR('RPK (live)'!L79/'ASK (live)'!L79,"-")</f>
        <v>0.73000000000000009</v>
      </c>
      <c r="M79" s="10">
        <f ca="1">IFERROR('RPK (live)'!M79/'ASK (live)'!M79,"-")</f>
        <v>0.75936905668449883</v>
      </c>
      <c r="N79" s="10">
        <f ca="1">IFERROR('RPK (live)'!N79/'ASK (live)'!N79,"-")</f>
        <v>0.70000000000000007</v>
      </c>
      <c r="O79" s="10">
        <f ca="1">IFERROR('RPK (live)'!O79/'ASK (live)'!O79,"-")</f>
        <v>0.70000000000000007</v>
      </c>
      <c r="P79" s="10">
        <f ca="1">IFERROR('RPK (live)'!P79/'ASK (live)'!P79,"-")</f>
        <v>0.76999999999999991</v>
      </c>
      <c r="Q79" s="10">
        <f ca="1">IFERROR('RPK (live)'!Q79/'ASK (live)'!Q79,"-")</f>
        <v>0.87000000000000011</v>
      </c>
      <c r="R79" s="10">
        <f ca="1">IFERROR('RPK (live)'!R79/'ASK (live)'!R79,"-")</f>
        <v>0.87000000000000011</v>
      </c>
      <c r="S79" s="10">
        <f ca="1">IFERROR('RPK (live)'!S79/'ASK (live)'!S79,"-")</f>
        <v>0.745</v>
      </c>
      <c r="T79" s="10">
        <f ca="1">IFERROR('RPK (live)'!T79/'ASK (live)'!T79,"-")</f>
        <v>0.96404047924617331</v>
      </c>
      <c r="U79" s="10">
        <f ca="1">IFERROR('RPK (live)'!U79/'ASK (live)'!U79,"-")</f>
        <v>0.95128972934137557</v>
      </c>
      <c r="V79" s="10">
        <f ca="1">IFERROR('RPK (live)'!V79/'ASK (live)'!V79,"-")</f>
        <v>0.9754706788898948</v>
      </c>
      <c r="W79" s="10">
        <f ca="1">IFERROR('RPK (live)'!W79/'ASK (live)'!W79,"-")</f>
        <v>0.95940980572910817</v>
      </c>
      <c r="X79" s="10">
        <f ca="1">IFERROR('RPK (live)'!X79/'ASK (live)'!X79,"-")</f>
        <v>0.93298159361496047</v>
      </c>
      <c r="Y79" s="10">
        <f ca="1">IFERROR('RPK (live)'!Y79/'ASK (live)'!Y79,"-")</f>
        <v>0.88616513008492315</v>
      </c>
      <c r="Z79" s="10">
        <f ca="1">IFERROR('RPK (live)'!Z79/'ASK (live)'!Z79,"-")</f>
        <v>0.83656130665765016</v>
      </c>
      <c r="AA79" s="10">
        <f ca="1">IFERROR('RPK (live)'!AA79/'ASK (live)'!AA79,"-")</f>
        <v>0.88485524825458295</v>
      </c>
      <c r="AB79" s="10">
        <f ca="1">IFERROR('RPK (live)'!AB79/'ASK (live)'!AB79,"-")</f>
        <v>0.85769668895172724</v>
      </c>
      <c r="AC79" s="10">
        <f ca="1">IFERROR('RPK (live)'!AC79/'ASK (live)'!AC79,"-")</f>
        <v>0.98630633216613561</v>
      </c>
      <c r="AD79" s="10">
        <f ca="1">IFERROR('RPK (live)'!AD79/'ASK (live)'!AD79,"-")</f>
        <v>0.88062682307846007</v>
      </c>
      <c r="AE79" s="10">
        <f ca="1">IFERROR('RPK (live)'!AE79/'ASK (live)'!AE79,"-")</f>
        <v>0.75258763687340224</v>
      </c>
    </row>
    <row r="80" spans="1:31">
      <c r="A80" s="1" t="s">
        <v>152</v>
      </c>
      <c r="B80" s="5" t="s">
        <v>224</v>
      </c>
      <c r="C80" s="5" t="s">
        <v>196</v>
      </c>
      <c r="D80" s="5" t="s">
        <v>194</v>
      </c>
      <c r="E80" s="5" t="s">
        <v>21</v>
      </c>
      <c r="F80" s="5" t="s">
        <v>22</v>
      </c>
      <c r="G80" s="6"/>
      <c r="H80" s="6"/>
      <c r="I80" s="6"/>
      <c r="J80" s="6"/>
      <c r="K80" s="6"/>
      <c r="L80" s="10">
        <f ca="1">IFERROR('RPK (live)'!L80/'ASK (live)'!L80,"-")</f>
        <v>0.73000000000000009</v>
      </c>
      <c r="M80" s="10">
        <f ca="1">IFERROR('RPK (live)'!M80/'ASK (live)'!M80,"-")</f>
        <v>0.75936905668449883</v>
      </c>
      <c r="N80" s="10">
        <f ca="1">IFERROR('RPK (live)'!N80/'ASK (live)'!N80,"-")</f>
        <v>0.70000000000000007</v>
      </c>
      <c r="O80" s="10">
        <f ca="1">IFERROR('RPK (live)'!O80/'ASK (live)'!O80,"-")</f>
        <v>0.70000000000000007</v>
      </c>
      <c r="P80" s="10">
        <f ca="1">IFERROR('RPK (live)'!P80/'ASK (live)'!P80,"-")</f>
        <v>0.76999999999999991</v>
      </c>
      <c r="Q80" s="10">
        <f ca="1">IFERROR('RPK (live)'!Q80/'ASK (live)'!Q80,"-")</f>
        <v>0.87000000000000022</v>
      </c>
      <c r="R80" s="10">
        <f ca="1">IFERROR('RPK (live)'!R80/'ASK (live)'!R80,"-")</f>
        <v>0.87000000000000011</v>
      </c>
      <c r="S80" s="10">
        <f ca="1">IFERROR('RPK (live)'!S80/'ASK (live)'!S80,"-")</f>
        <v>0.745</v>
      </c>
      <c r="T80" s="10">
        <f ca="1">IFERROR('RPK (live)'!T80/'ASK (live)'!T80,"-")</f>
        <v>0.96404047924617331</v>
      </c>
      <c r="U80" s="10">
        <f ca="1">IFERROR('RPK (live)'!U80/'ASK (live)'!U80,"-")</f>
        <v>0.95128972934137557</v>
      </c>
      <c r="V80" s="10">
        <f ca="1">IFERROR('RPK (live)'!V80/'ASK (live)'!V80,"-")</f>
        <v>0.9754706788898948</v>
      </c>
      <c r="W80" s="10">
        <f ca="1">IFERROR('RPK (live)'!W80/'ASK (live)'!W80,"-")</f>
        <v>0.95940980572910817</v>
      </c>
      <c r="X80" s="10">
        <f ca="1">IFERROR('RPK (live)'!X80/'ASK (live)'!X80,"-")</f>
        <v>0.93298159361496047</v>
      </c>
      <c r="Y80" s="10">
        <f ca="1">IFERROR('RPK (live)'!Y80/'ASK (live)'!Y80,"-")</f>
        <v>0.88616513008492315</v>
      </c>
      <c r="Z80" s="10">
        <f ca="1">IFERROR('RPK (live)'!Z80/'ASK (live)'!Z80,"-")</f>
        <v>0.83656130665765016</v>
      </c>
      <c r="AA80" s="10">
        <f ca="1">IFERROR('RPK (live)'!AA80/'ASK (live)'!AA80,"-")</f>
        <v>0.88485524825458295</v>
      </c>
      <c r="AB80" s="10">
        <f ca="1">IFERROR('RPK (live)'!AB80/'ASK (live)'!AB80,"-")</f>
        <v>0.85769668895172724</v>
      </c>
      <c r="AC80" s="10">
        <f ca="1">IFERROR('RPK (live)'!AC80/'ASK (live)'!AC80,"-")</f>
        <v>0.98630633216613561</v>
      </c>
      <c r="AD80" s="10">
        <f ca="1">IFERROR('RPK (live)'!AD80/'ASK (live)'!AD80,"-")</f>
        <v>0.88062682307846007</v>
      </c>
      <c r="AE80" s="10">
        <f ca="1">IFERROR('RPK (live)'!AE80/'ASK (live)'!AE80,"-")</f>
        <v>0.75258763687340224</v>
      </c>
    </row>
    <row r="81" spans="1:31">
      <c r="A81" s="1" t="s">
        <v>152</v>
      </c>
      <c r="B81" s="5" t="s">
        <v>225</v>
      </c>
      <c r="C81" s="5" t="s">
        <v>226</v>
      </c>
      <c r="D81" s="5" t="s">
        <v>21</v>
      </c>
      <c r="E81" s="5" t="s">
        <v>227</v>
      </c>
      <c r="F81" s="5" t="s">
        <v>22</v>
      </c>
      <c r="G81" s="6"/>
      <c r="H81" s="6"/>
      <c r="I81" s="6"/>
      <c r="J81" s="6"/>
      <c r="K81" s="6"/>
      <c r="L81" s="10" t="str">
        <f ca="1">IFERROR('RPK (live)'!L81/'ASK (live)'!L81,"-")</f>
        <v>-</v>
      </c>
      <c r="M81" s="10" t="str">
        <f ca="1">IFERROR('RPK (live)'!M81/'ASK (live)'!M81,"-")</f>
        <v>-</v>
      </c>
      <c r="N81" s="10" t="str">
        <f ca="1">IFERROR('RPK (live)'!N81/'ASK (live)'!N81,"-")</f>
        <v>-</v>
      </c>
      <c r="O81" s="10" t="str">
        <f ca="1">IFERROR('RPK (live)'!O81/'ASK (live)'!O81,"-")</f>
        <v>-</v>
      </c>
      <c r="P81" s="10" t="str">
        <f ca="1">IFERROR('RPK (live)'!P81/'ASK (live)'!P81,"-")</f>
        <v>-</v>
      </c>
      <c r="Q81" s="10">
        <f ca="1">IFERROR('RPK (live)'!Q81/'ASK (live)'!Q81,"-")</f>
        <v>0.89999999999999991</v>
      </c>
      <c r="R81" s="10">
        <f ca="1">IFERROR('RPK (live)'!R81/'ASK (live)'!R81,"-")</f>
        <v>0.92</v>
      </c>
      <c r="S81" s="10" t="str">
        <f ca="1">IFERROR('RPK (live)'!S81/'ASK (live)'!S81,"-")</f>
        <v>-</v>
      </c>
      <c r="T81" s="10" t="str">
        <f ca="1">IFERROR('RPK (live)'!T81/'ASK (live)'!T81,"-")</f>
        <v>-</v>
      </c>
      <c r="U81" s="10" t="str">
        <f ca="1">IFERROR('RPK (live)'!U81/'ASK (live)'!U81,"-")</f>
        <v>-</v>
      </c>
      <c r="V81" s="10" t="str">
        <f ca="1">IFERROR('RPK (live)'!V81/'ASK (live)'!V81,"-")</f>
        <v>-</v>
      </c>
      <c r="W81" s="10" t="str">
        <f ca="1">IFERROR('RPK (live)'!W81/'ASK (live)'!W81,"-")</f>
        <v>-</v>
      </c>
      <c r="X81" s="10" t="str">
        <f ca="1">IFERROR('RPK (live)'!X81/'ASK (live)'!X81,"-")</f>
        <v>-</v>
      </c>
      <c r="Y81" s="10" t="str">
        <f ca="1">IFERROR('RPK (live)'!Y81/'ASK (live)'!Y81,"-")</f>
        <v>-</v>
      </c>
      <c r="Z81" s="10" t="str">
        <f ca="1">IFERROR('RPK (live)'!Z81/'ASK (live)'!Z81,"-")</f>
        <v>-</v>
      </c>
      <c r="AA81" s="10" t="str">
        <f ca="1">IFERROR('RPK (live)'!AA81/'ASK (live)'!AA81,"-")</f>
        <v>-</v>
      </c>
      <c r="AB81" s="10" t="str">
        <f ca="1">IFERROR('RPK (live)'!AB81/'ASK (live)'!AB81,"-")</f>
        <v>-</v>
      </c>
      <c r="AC81" s="10" t="str">
        <f ca="1">IFERROR('RPK (live)'!AC81/'ASK (live)'!AC81,"-")</f>
        <v>-</v>
      </c>
      <c r="AD81" s="10" t="str">
        <f ca="1">IFERROR('RPK (live)'!AD81/'ASK (live)'!AD81,"-")</f>
        <v>-</v>
      </c>
      <c r="AE81" s="10" t="str">
        <f ca="1">IFERROR('RPK (live)'!AE81/'ASK (live)'!AE81,"-")</f>
        <v>-</v>
      </c>
    </row>
    <row r="82" spans="1:31">
      <c r="A82" s="1" t="s">
        <v>152</v>
      </c>
      <c r="B82" s="5" t="s">
        <v>228</v>
      </c>
      <c r="C82" s="5" t="s">
        <v>229</v>
      </c>
      <c r="D82" s="5" t="s">
        <v>227</v>
      </c>
      <c r="E82" s="5" t="s">
        <v>21</v>
      </c>
      <c r="F82" s="5" t="s">
        <v>22</v>
      </c>
      <c r="G82" s="6"/>
      <c r="H82" s="6"/>
      <c r="I82" s="6"/>
      <c r="J82" s="6"/>
      <c r="K82" s="6"/>
      <c r="L82" s="10" t="str">
        <f ca="1">IFERROR('RPK (live)'!L82/'ASK (live)'!L82,"-")</f>
        <v>-</v>
      </c>
      <c r="M82" s="10" t="str">
        <f ca="1">IFERROR('RPK (live)'!M82/'ASK (live)'!M82,"-")</f>
        <v>-</v>
      </c>
      <c r="N82" s="10" t="str">
        <f ca="1">IFERROR('RPK (live)'!N82/'ASK (live)'!N82,"-")</f>
        <v>-</v>
      </c>
      <c r="O82" s="10" t="str">
        <f ca="1">IFERROR('RPK (live)'!O82/'ASK (live)'!O82,"-")</f>
        <v>-</v>
      </c>
      <c r="P82" s="10" t="str">
        <f ca="1">IFERROR('RPK (live)'!P82/'ASK (live)'!P82,"-")</f>
        <v>-</v>
      </c>
      <c r="Q82" s="10">
        <f ca="1">IFERROR('RPK (live)'!Q82/'ASK (live)'!Q82,"-")</f>
        <v>0.89999999999999991</v>
      </c>
      <c r="R82" s="10">
        <f ca="1">IFERROR('RPK (live)'!R82/'ASK (live)'!R82,"-")</f>
        <v>0.92</v>
      </c>
      <c r="S82" s="10" t="str">
        <f ca="1">IFERROR('RPK (live)'!S82/'ASK (live)'!S82,"-")</f>
        <v>-</v>
      </c>
      <c r="T82" s="10" t="str">
        <f ca="1">IFERROR('RPK (live)'!T82/'ASK (live)'!T82,"-")</f>
        <v>-</v>
      </c>
      <c r="U82" s="10" t="str">
        <f ca="1">IFERROR('RPK (live)'!U82/'ASK (live)'!U82,"-")</f>
        <v>-</v>
      </c>
      <c r="V82" s="10" t="str">
        <f ca="1">IFERROR('RPK (live)'!V82/'ASK (live)'!V82,"-")</f>
        <v>-</v>
      </c>
      <c r="W82" s="10" t="str">
        <f ca="1">IFERROR('RPK (live)'!W82/'ASK (live)'!W82,"-")</f>
        <v>-</v>
      </c>
      <c r="X82" s="10" t="str">
        <f ca="1">IFERROR('RPK (live)'!X82/'ASK (live)'!X82,"-")</f>
        <v>-</v>
      </c>
      <c r="Y82" s="10" t="str">
        <f ca="1">IFERROR('RPK (live)'!Y82/'ASK (live)'!Y82,"-")</f>
        <v>-</v>
      </c>
      <c r="Z82" s="10" t="str">
        <f ca="1">IFERROR('RPK (live)'!Z82/'ASK (live)'!Z82,"-")</f>
        <v>-</v>
      </c>
      <c r="AA82" s="10" t="str">
        <f ca="1">IFERROR('RPK (live)'!AA82/'ASK (live)'!AA82,"-")</f>
        <v>-</v>
      </c>
      <c r="AB82" s="10" t="str">
        <f ca="1">IFERROR('RPK (live)'!AB82/'ASK (live)'!AB82,"-")</f>
        <v>-</v>
      </c>
      <c r="AC82" s="10" t="str">
        <f ca="1">IFERROR('RPK (live)'!AC82/'ASK (live)'!AC82,"-")</f>
        <v>-</v>
      </c>
      <c r="AD82" s="10" t="str">
        <f ca="1">IFERROR('RPK (live)'!AD82/'ASK (live)'!AD82,"-")</f>
        <v>-</v>
      </c>
      <c r="AE82" s="10" t="str">
        <f ca="1">IFERROR('RPK (live)'!AE82/'ASK (live)'!AE82,"-")</f>
        <v>-</v>
      </c>
    </row>
    <row r="83" spans="1:31">
      <c r="A83" s="1" t="s">
        <v>152</v>
      </c>
      <c r="B83" s="5" t="s">
        <v>230</v>
      </c>
      <c r="C83" s="5" t="s">
        <v>210</v>
      </c>
      <c r="D83" s="5" t="s">
        <v>21</v>
      </c>
      <c r="E83" s="5" t="s">
        <v>211</v>
      </c>
      <c r="F83" s="5" t="s">
        <v>22</v>
      </c>
      <c r="G83" s="6"/>
      <c r="H83" s="6"/>
      <c r="I83" s="6"/>
      <c r="J83" s="6"/>
      <c r="K83" s="6"/>
      <c r="L83" s="10">
        <f ca="1">IFERROR('RPK (live)'!L83/'ASK (live)'!L83,"-")</f>
        <v>0.92999999999999994</v>
      </c>
      <c r="M83" s="10">
        <f ca="1">IFERROR('RPK (live)'!M83/'ASK (live)'!M83,"-")</f>
        <v>0.96186747180036525</v>
      </c>
      <c r="N83" s="10">
        <f ca="1">IFERROR('RPK (live)'!N83/'ASK (live)'!N83,"-")</f>
        <v>0.91999999999999993</v>
      </c>
      <c r="O83" s="10">
        <f ca="1">IFERROR('RPK (live)'!O83/'ASK (live)'!O83,"-")</f>
        <v>0.88</v>
      </c>
      <c r="P83" s="10">
        <f ca="1">IFERROR('RPK (live)'!P83/'ASK (live)'!P83,"-")</f>
        <v>0.92000000000000026</v>
      </c>
      <c r="Q83" s="10">
        <f ca="1">IFERROR('RPK (live)'!Q83/'ASK (live)'!Q83,"-")</f>
        <v>0.89999999999999991</v>
      </c>
      <c r="R83" s="10" t="str">
        <f ca="1">IFERROR('RPK (live)'!R83/'ASK (live)'!R83,"-")</f>
        <v>-</v>
      </c>
      <c r="S83" s="10" t="str">
        <f ca="1">IFERROR('RPK (live)'!S83/'ASK (live)'!S83,"-")</f>
        <v>-</v>
      </c>
      <c r="T83" s="10" t="str">
        <f ca="1">IFERROR('RPK (live)'!T83/'ASK (live)'!T83,"-")</f>
        <v>-</v>
      </c>
      <c r="U83" s="10" t="str">
        <f ca="1">IFERROR('RPK (live)'!U83/'ASK (live)'!U83,"-")</f>
        <v>-</v>
      </c>
      <c r="V83" s="10" t="str">
        <f ca="1">IFERROR('RPK (live)'!V83/'ASK (live)'!V83,"-")</f>
        <v>-</v>
      </c>
      <c r="W83" s="10">
        <f ca="1">IFERROR('RPK (live)'!W83/'ASK (live)'!W83,"-")</f>
        <v>0.99051911298780149</v>
      </c>
      <c r="X83" s="10">
        <f ca="1">IFERROR('RPK (live)'!X83/'ASK (live)'!X83,"-")</f>
        <v>0.99051911298780138</v>
      </c>
      <c r="Y83" s="10">
        <f ca="1">IFERROR('RPK (live)'!Y83/'ASK (live)'!Y83,"-")</f>
        <v>0.99051911298780171</v>
      </c>
      <c r="Z83" s="10">
        <f ca="1">IFERROR('RPK (live)'!Z83/'ASK (live)'!Z83,"-")</f>
        <v>0.98996189874493701</v>
      </c>
      <c r="AA83" s="10">
        <f ca="1">IFERROR('RPK (live)'!AA83/'ASK (live)'!AA83,"-")</f>
        <v>0.96089813420616299</v>
      </c>
      <c r="AB83" s="10">
        <f ca="1">IFERROR('RPK (live)'!AB83/'ASK (live)'!AB83,"-")</f>
        <v>0.93734890531094572</v>
      </c>
      <c r="AC83" s="10" t="str">
        <f ca="1">IFERROR('RPK (live)'!AC83/'ASK (live)'!AC83,"-")</f>
        <v>-</v>
      </c>
      <c r="AD83" s="10" t="str">
        <f ca="1">IFERROR('RPK (live)'!AD83/'ASK (live)'!AD83,"-")</f>
        <v>-</v>
      </c>
      <c r="AE83" s="10" t="str">
        <f ca="1">IFERROR('RPK (live)'!AE83/'ASK (live)'!AE83,"-")</f>
        <v>-</v>
      </c>
    </row>
    <row r="84" spans="1:31">
      <c r="A84" s="1" t="s">
        <v>152</v>
      </c>
      <c r="B84" s="5" t="s">
        <v>231</v>
      </c>
      <c r="C84" s="5" t="s">
        <v>213</v>
      </c>
      <c r="D84" s="5" t="s">
        <v>211</v>
      </c>
      <c r="E84" s="5" t="s">
        <v>21</v>
      </c>
      <c r="F84" s="5" t="s">
        <v>22</v>
      </c>
      <c r="G84" s="6"/>
      <c r="H84" s="6"/>
      <c r="I84" s="6"/>
      <c r="J84" s="6"/>
      <c r="K84" s="6"/>
      <c r="L84" s="10">
        <f ca="1">IFERROR('RPK (live)'!L84/'ASK (live)'!L84,"-")</f>
        <v>0.92999999999999994</v>
      </c>
      <c r="M84" s="10">
        <f ca="1">IFERROR('RPK (live)'!M84/'ASK (live)'!M84,"-")</f>
        <v>0.96186747180036525</v>
      </c>
      <c r="N84" s="10">
        <f ca="1">IFERROR('RPK (live)'!N84/'ASK (live)'!N84,"-")</f>
        <v>0.91999999999999993</v>
      </c>
      <c r="O84" s="10">
        <f ca="1">IFERROR('RPK (live)'!O84/'ASK (live)'!O84,"-")</f>
        <v>0.88</v>
      </c>
      <c r="P84" s="10">
        <f ca="1">IFERROR('RPK (live)'!P84/'ASK (live)'!P84,"-")</f>
        <v>0.92000000000000026</v>
      </c>
      <c r="Q84" s="10">
        <f ca="1">IFERROR('RPK (live)'!Q84/'ASK (live)'!Q84,"-")</f>
        <v>0.89999999999999991</v>
      </c>
      <c r="R84" s="10" t="str">
        <f ca="1">IFERROR('RPK (live)'!R84/'ASK (live)'!R84,"-")</f>
        <v>-</v>
      </c>
      <c r="S84" s="10" t="str">
        <f ca="1">IFERROR('RPK (live)'!S84/'ASK (live)'!S84,"-")</f>
        <v>-</v>
      </c>
      <c r="T84" s="10" t="str">
        <f ca="1">IFERROR('RPK (live)'!T84/'ASK (live)'!T84,"-")</f>
        <v>-</v>
      </c>
      <c r="U84" s="10" t="str">
        <f ca="1">IFERROR('RPK (live)'!U84/'ASK (live)'!U84,"-")</f>
        <v>-</v>
      </c>
      <c r="V84" s="10" t="str">
        <f ca="1">IFERROR('RPK (live)'!V84/'ASK (live)'!V84,"-")</f>
        <v>-</v>
      </c>
      <c r="W84" s="10">
        <f ca="1">IFERROR('RPK (live)'!W84/'ASK (live)'!W84,"-")</f>
        <v>0.99051911298780149</v>
      </c>
      <c r="X84" s="10">
        <f ca="1">IFERROR('RPK (live)'!X84/'ASK (live)'!X84,"-")</f>
        <v>0.99051911298780138</v>
      </c>
      <c r="Y84" s="10">
        <f ca="1">IFERROR('RPK (live)'!Y84/'ASK (live)'!Y84,"-")</f>
        <v>0.99051911298780171</v>
      </c>
      <c r="Z84" s="10">
        <f ca="1">IFERROR('RPK (live)'!Z84/'ASK (live)'!Z84,"-")</f>
        <v>0.98996189874493701</v>
      </c>
      <c r="AA84" s="10">
        <f ca="1">IFERROR('RPK (live)'!AA84/'ASK (live)'!AA84,"-")</f>
        <v>0.96089813420616299</v>
      </c>
      <c r="AB84" s="10">
        <f ca="1">IFERROR('RPK (live)'!AB84/'ASK (live)'!AB84,"-")</f>
        <v>0.93734890531094572</v>
      </c>
      <c r="AC84" s="10" t="str">
        <f ca="1">IFERROR('RPK (live)'!AC84/'ASK (live)'!AC84,"-")</f>
        <v>-</v>
      </c>
      <c r="AD84" s="10" t="str">
        <f ca="1">IFERROR('RPK (live)'!AD84/'ASK (live)'!AD84,"-")</f>
        <v>-</v>
      </c>
      <c r="AE84" s="10" t="str">
        <f ca="1">IFERROR('RPK (live)'!AE84/'ASK (live)'!AE84,"-")</f>
        <v>-</v>
      </c>
    </row>
    <row r="85" spans="1:31">
      <c r="A85" s="1" t="s">
        <v>152</v>
      </c>
      <c r="B85" s="5" t="s">
        <v>232</v>
      </c>
      <c r="C85" s="5" t="s">
        <v>233</v>
      </c>
      <c r="D85" s="5" t="s">
        <v>21</v>
      </c>
      <c r="E85" s="5" t="s">
        <v>234</v>
      </c>
      <c r="F85" s="5" t="s">
        <v>22</v>
      </c>
      <c r="G85" s="6"/>
      <c r="H85" s="6"/>
      <c r="I85" s="6"/>
      <c r="J85" s="6"/>
      <c r="K85" s="6"/>
      <c r="L85" s="10">
        <f ca="1">IFERROR('RPK (live)'!L85/'ASK (live)'!L85,"-")</f>
        <v>0.92999999999999994</v>
      </c>
      <c r="M85" s="10">
        <f ca="1">IFERROR('RPK (live)'!M85/'ASK (live)'!M85,"-")</f>
        <v>0.96186747180036525</v>
      </c>
      <c r="N85" s="10">
        <f ca="1">IFERROR('RPK (live)'!N85/'ASK (live)'!N85,"-")</f>
        <v>0.91999999999999993</v>
      </c>
      <c r="O85" s="10">
        <f ca="1">IFERROR('RPK (live)'!O85/'ASK (live)'!O85,"-")</f>
        <v>0.88</v>
      </c>
      <c r="P85" s="10">
        <f ca="1">IFERROR('RPK (live)'!P85/'ASK (live)'!P85,"-")</f>
        <v>0.92000000000000015</v>
      </c>
      <c r="Q85" s="10">
        <f ca="1">IFERROR('RPK (live)'!Q85/'ASK (live)'!Q85,"-")</f>
        <v>0.89999999999999991</v>
      </c>
      <c r="R85" s="10">
        <f ca="1">IFERROR('RPK (live)'!R85/'ASK (live)'!R85,"-")</f>
        <v>0.92</v>
      </c>
      <c r="S85" s="10">
        <f ca="1">IFERROR('RPK (live)'!S85/'ASK (live)'!S85,"-")</f>
        <v>0.85</v>
      </c>
      <c r="T85" s="10">
        <f ca="1">IFERROR('RPK (live)'!T85/'ASK (live)'!T85,"-")</f>
        <v>0.959722192513348</v>
      </c>
      <c r="U85" s="10">
        <f ca="1">IFERROR('RPK (live)'!U85/'ASK (live)'!U85,"-")</f>
        <v>0.97081871367268013</v>
      </c>
      <c r="V85" s="10">
        <f ca="1">IFERROR('RPK (live)'!V85/'ASK (live)'!V85,"-")</f>
        <v>0.97804942572225084</v>
      </c>
      <c r="W85" s="10">
        <f ca="1">IFERROR('RPK (live)'!W85/'ASK (live)'!W85,"-")</f>
        <v>0.99051911298780149</v>
      </c>
      <c r="X85" s="10">
        <f ca="1">IFERROR('RPK (live)'!X85/'ASK (live)'!X85,"-")</f>
        <v>0.99051911298780115</v>
      </c>
      <c r="Y85" s="10">
        <f ca="1">IFERROR('RPK (live)'!Y85/'ASK (live)'!Y85,"-")</f>
        <v>0.9905191129878016</v>
      </c>
      <c r="Z85" s="10">
        <f ca="1">IFERROR('RPK (live)'!Z85/'ASK (live)'!Z85,"-")</f>
        <v>0.9899618987449369</v>
      </c>
      <c r="AA85" s="10">
        <f ca="1">IFERROR('RPK (live)'!AA85/'ASK (live)'!AA85,"-")</f>
        <v>0.96089813420616299</v>
      </c>
      <c r="AB85" s="10">
        <f ca="1">IFERROR('RPK (live)'!AB85/'ASK (live)'!AB85,"-")</f>
        <v>0.93734890531094583</v>
      </c>
      <c r="AC85" s="10">
        <f ca="1">IFERROR('RPK (live)'!AC85/'ASK (live)'!AC85,"-")</f>
        <v>0.88996484675785059</v>
      </c>
      <c r="AD85" s="10">
        <f ca="1">IFERROR('RPK (live)'!AD85/'ASK (live)'!AD85,"-")</f>
        <v>0.8480580567187338</v>
      </c>
      <c r="AE85" s="10">
        <f ca="1">IFERROR('RPK (live)'!AE85/'ASK (live)'!AE85,"-")</f>
        <v>0.82353524782462417</v>
      </c>
    </row>
    <row r="86" spans="1:31">
      <c r="A86" s="1" t="s">
        <v>152</v>
      </c>
      <c r="B86" s="5" t="s">
        <v>235</v>
      </c>
      <c r="C86" s="5" t="s">
        <v>236</v>
      </c>
      <c r="D86" s="5" t="s">
        <v>234</v>
      </c>
      <c r="E86" s="5" t="s">
        <v>21</v>
      </c>
      <c r="F86" s="5" t="s">
        <v>22</v>
      </c>
      <c r="G86" s="6"/>
      <c r="H86" s="6"/>
      <c r="I86" s="6"/>
      <c r="J86" s="6"/>
      <c r="K86" s="6"/>
      <c r="L86" s="10">
        <f ca="1">IFERROR('RPK (live)'!L86/'ASK (live)'!L86,"-")</f>
        <v>0.92999999999999994</v>
      </c>
      <c r="M86" s="10">
        <f ca="1">IFERROR('RPK (live)'!M86/'ASK (live)'!M86,"-")</f>
        <v>0.96186747180036525</v>
      </c>
      <c r="N86" s="10">
        <f ca="1">IFERROR('RPK (live)'!N86/'ASK (live)'!N86,"-")</f>
        <v>0.91999999999999993</v>
      </c>
      <c r="O86" s="10">
        <f ca="1">IFERROR('RPK (live)'!O86/'ASK (live)'!O86,"-")</f>
        <v>0.88</v>
      </c>
      <c r="P86" s="10">
        <f ca="1">IFERROR('RPK (live)'!P86/'ASK (live)'!P86,"-")</f>
        <v>0.92000000000000015</v>
      </c>
      <c r="Q86" s="10">
        <f ca="1">IFERROR('RPK (live)'!Q86/'ASK (live)'!Q86,"-")</f>
        <v>0.89999999999999991</v>
      </c>
      <c r="R86" s="10">
        <f ca="1">IFERROR('RPK (live)'!R86/'ASK (live)'!R86,"-")</f>
        <v>0.92</v>
      </c>
      <c r="S86" s="10">
        <f ca="1">IFERROR('RPK (live)'!S86/'ASK (live)'!S86,"-")</f>
        <v>0.85</v>
      </c>
      <c r="T86" s="10">
        <f ca="1">IFERROR('RPK (live)'!T86/'ASK (live)'!T86,"-")</f>
        <v>0.959722192513348</v>
      </c>
      <c r="U86" s="10">
        <f ca="1">IFERROR('RPK (live)'!U86/'ASK (live)'!U86,"-")</f>
        <v>0.97081871367268013</v>
      </c>
      <c r="V86" s="10">
        <f ca="1">IFERROR('RPK (live)'!V86/'ASK (live)'!V86,"-")</f>
        <v>0.97804942572225084</v>
      </c>
      <c r="W86" s="10">
        <f ca="1">IFERROR('RPK (live)'!W86/'ASK (live)'!W86,"-")</f>
        <v>0.99051911298780149</v>
      </c>
      <c r="X86" s="10">
        <f ca="1">IFERROR('RPK (live)'!X86/'ASK (live)'!X86,"-")</f>
        <v>0.99051911298780115</v>
      </c>
      <c r="Y86" s="10">
        <f ca="1">IFERROR('RPK (live)'!Y86/'ASK (live)'!Y86,"-")</f>
        <v>0.9905191129878016</v>
      </c>
      <c r="Z86" s="10">
        <f ca="1">IFERROR('RPK (live)'!Z86/'ASK (live)'!Z86,"-")</f>
        <v>0.9899618987449369</v>
      </c>
      <c r="AA86" s="10">
        <f ca="1">IFERROR('RPK (live)'!AA86/'ASK (live)'!AA86,"-")</f>
        <v>0.96089813420616299</v>
      </c>
      <c r="AB86" s="10">
        <f ca="1">IFERROR('RPK (live)'!AB86/'ASK (live)'!AB86,"-")</f>
        <v>0.93734890531094583</v>
      </c>
      <c r="AC86" s="10">
        <f ca="1">IFERROR('RPK (live)'!AC86/'ASK (live)'!AC86,"-")</f>
        <v>0.88996484675785059</v>
      </c>
      <c r="AD86" s="10">
        <f ca="1">IFERROR('RPK (live)'!AD86/'ASK (live)'!AD86,"-")</f>
        <v>0.8480580567187338</v>
      </c>
      <c r="AE86" s="10">
        <f ca="1">IFERROR('RPK (live)'!AE86/'ASK (live)'!AE86,"-")</f>
        <v>0.82353524782462417</v>
      </c>
    </row>
    <row r="87" spans="1:31">
      <c r="A87" s="1" t="s">
        <v>152</v>
      </c>
      <c r="B87" s="5" t="s">
        <v>237</v>
      </c>
      <c r="C87" s="5" t="s">
        <v>238</v>
      </c>
      <c r="D87" s="5" t="s">
        <v>21</v>
      </c>
      <c r="E87" s="5" t="s">
        <v>239</v>
      </c>
      <c r="F87" s="5" t="s">
        <v>22</v>
      </c>
      <c r="G87" s="6"/>
      <c r="H87" s="6"/>
      <c r="I87" s="6"/>
      <c r="J87" s="6"/>
      <c r="K87" s="6"/>
      <c r="L87" s="10" t="str">
        <f ca="1">IFERROR('RPK (live)'!L87/'ASK (live)'!L87,"-")</f>
        <v>-</v>
      </c>
      <c r="M87" s="10" t="str">
        <f ca="1">IFERROR('RPK (live)'!M87/'ASK (live)'!M87,"-")</f>
        <v>-</v>
      </c>
      <c r="N87" s="10" t="str">
        <f ca="1">IFERROR('RPK (live)'!N87/'ASK (live)'!N87,"-")</f>
        <v>-</v>
      </c>
      <c r="O87" s="10" t="str">
        <f ca="1">IFERROR('RPK (live)'!O87/'ASK (live)'!O87,"-")</f>
        <v>-</v>
      </c>
      <c r="P87" s="10" t="str">
        <f ca="1">IFERROR('RPK (live)'!P87/'ASK (live)'!P87,"-")</f>
        <v>-</v>
      </c>
      <c r="Q87" s="10" t="str">
        <f ca="1">IFERROR('RPK (live)'!Q87/'ASK (live)'!Q87,"-")</f>
        <v>-</v>
      </c>
      <c r="R87" s="10" t="str">
        <f ca="1">IFERROR('RPK (live)'!R87/'ASK (live)'!R87,"-")</f>
        <v>-</v>
      </c>
      <c r="S87" s="10" t="str">
        <f ca="1">IFERROR('RPK (live)'!S87/'ASK (live)'!S87,"-")</f>
        <v>-</v>
      </c>
      <c r="T87" s="10" t="str">
        <f ca="1">IFERROR('RPK (live)'!T87/'ASK (live)'!T87,"-")</f>
        <v>-</v>
      </c>
      <c r="U87" s="10" t="str">
        <f ca="1">IFERROR('RPK (live)'!U87/'ASK (live)'!U87,"-")</f>
        <v>-</v>
      </c>
      <c r="V87" s="10">
        <f ca="1">IFERROR('RPK (live)'!V87/'ASK (live)'!V87,"-")</f>
        <v>0.76852249220629132</v>
      </c>
      <c r="W87" s="10">
        <f ca="1">IFERROR('RPK (live)'!W87/'ASK (live)'!W87,"-")</f>
        <v>0.85348713666088238</v>
      </c>
      <c r="X87" s="10">
        <f ca="1">IFERROR('RPK (live)'!X87/'ASK (live)'!X87,"-")</f>
        <v>0.93124936093840338</v>
      </c>
      <c r="Y87" s="10">
        <f ca="1">IFERROR('RPK (live)'!Y87/'ASK (live)'!Y87,"-")</f>
        <v>0.94239001540268041</v>
      </c>
      <c r="Z87" s="10">
        <f ca="1">IFERROR('RPK (live)'!Z87/'ASK (live)'!Z87,"-")</f>
        <v>0.88575170350496835</v>
      </c>
      <c r="AA87" s="10">
        <f ca="1">IFERROR('RPK (live)'!AA87/'ASK (live)'!AA87,"-")</f>
        <v>0.73660148815927251</v>
      </c>
      <c r="AB87" s="10">
        <f ca="1">IFERROR('RPK (live)'!AB87/'ASK (live)'!AB87,"-")</f>
        <v>0.88936642967198565</v>
      </c>
      <c r="AC87" s="10">
        <f ca="1">IFERROR('RPK (live)'!AC87/'ASK (live)'!AC87,"-")</f>
        <v>0.93000020080816059</v>
      </c>
      <c r="AD87" s="10">
        <f ca="1">IFERROR('RPK (live)'!AD87/'ASK (live)'!AD87,"-")</f>
        <v>0.86365911433874243</v>
      </c>
      <c r="AE87" s="10">
        <f ca="1">IFERROR('RPK (live)'!AE87/'ASK (live)'!AE87,"-")</f>
        <v>0.73012349679480981</v>
      </c>
    </row>
    <row r="88" spans="1:31">
      <c r="A88" s="1" t="s">
        <v>152</v>
      </c>
      <c r="B88" s="5" t="s">
        <v>240</v>
      </c>
      <c r="C88" s="5" t="s">
        <v>241</v>
      </c>
      <c r="D88" s="5" t="s">
        <v>239</v>
      </c>
      <c r="E88" s="5" t="s">
        <v>21</v>
      </c>
      <c r="F88" s="5" t="s">
        <v>22</v>
      </c>
      <c r="G88" s="6"/>
      <c r="H88" s="6"/>
      <c r="I88" s="6"/>
      <c r="J88" s="6"/>
      <c r="K88" s="6"/>
      <c r="L88" s="10" t="str">
        <f ca="1">IFERROR('RPK (live)'!L88/'ASK (live)'!L88,"-")</f>
        <v>-</v>
      </c>
      <c r="M88" s="10" t="str">
        <f ca="1">IFERROR('RPK (live)'!M88/'ASK (live)'!M88,"-")</f>
        <v>-</v>
      </c>
      <c r="N88" s="10" t="str">
        <f ca="1">IFERROR('RPK (live)'!N88/'ASK (live)'!N88,"-")</f>
        <v>-</v>
      </c>
      <c r="O88" s="10" t="str">
        <f ca="1">IFERROR('RPK (live)'!O88/'ASK (live)'!O88,"-")</f>
        <v>-</v>
      </c>
      <c r="P88" s="10" t="str">
        <f ca="1">IFERROR('RPK (live)'!P88/'ASK (live)'!P88,"-")</f>
        <v>-</v>
      </c>
      <c r="Q88" s="10" t="str">
        <f ca="1">IFERROR('RPK (live)'!Q88/'ASK (live)'!Q88,"-")</f>
        <v>-</v>
      </c>
      <c r="R88" s="10" t="str">
        <f ca="1">IFERROR('RPK (live)'!R88/'ASK (live)'!R88,"-")</f>
        <v>-</v>
      </c>
      <c r="S88" s="10" t="str">
        <f ca="1">IFERROR('RPK (live)'!S88/'ASK (live)'!S88,"-")</f>
        <v>-</v>
      </c>
      <c r="T88" s="10" t="str">
        <f ca="1">IFERROR('RPK (live)'!T88/'ASK (live)'!T88,"-")</f>
        <v>-</v>
      </c>
      <c r="U88" s="10" t="str">
        <f ca="1">IFERROR('RPK (live)'!U88/'ASK (live)'!U88,"-")</f>
        <v>-</v>
      </c>
      <c r="V88" s="10">
        <f ca="1">IFERROR('RPK (live)'!V88/'ASK (live)'!V88,"-")</f>
        <v>0.76852249220629132</v>
      </c>
      <c r="W88" s="10">
        <f ca="1">IFERROR('RPK (live)'!W88/'ASK (live)'!W88,"-")</f>
        <v>0.85348713666088238</v>
      </c>
      <c r="X88" s="10">
        <f ca="1">IFERROR('RPK (live)'!X88/'ASK (live)'!X88,"-")</f>
        <v>0.93124936093840338</v>
      </c>
      <c r="Y88" s="10">
        <f ca="1">IFERROR('RPK (live)'!Y88/'ASK (live)'!Y88,"-")</f>
        <v>0.94239001540268041</v>
      </c>
      <c r="Z88" s="10">
        <f ca="1">IFERROR('RPK (live)'!Z88/'ASK (live)'!Z88,"-")</f>
        <v>0.88575170350496835</v>
      </c>
      <c r="AA88" s="10">
        <f ca="1">IFERROR('RPK (live)'!AA88/'ASK (live)'!AA88,"-")</f>
        <v>0.73660148815927251</v>
      </c>
      <c r="AB88" s="10">
        <f ca="1">IFERROR('RPK (live)'!AB88/'ASK (live)'!AB88,"-")</f>
        <v>0.88936642967198565</v>
      </c>
      <c r="AC88" s="10">
        <f ca="1">IFERROR('RPK (live)'!AC88/'ASK (live)'!AC88,"-")</f>
        <v>0.93000020080816048</v>
      </c>
      <c r="AD88" s="10">
        <f ca="1">IFERROR('RPK (live)'!AD88/'ASK (live)'!AD88,"-")</f>
        <v>0.86365911433874243</v>
      </c>
      <c r="AE88" s="10">
        <f ca="1">IFERROR('RPK (live)'!AE88/'ASK (live)'!AE88,"-")</f>
        <v>0.73012349679480981</v>
      </c>
    </row>
    <row r="89" spans="1:31">
      <c r="A89" s="1" t="s">
        <v>152</v>
      </c>
      <c r="B89" s="5" t="s">
        <v>242</v>
      </c>
      <c r="C89" s="5" t="s">
        <v>243</v>
      </c>
      <c r="D89" s="5" t="s">
        <v>21</v>
      </c>
      <c r="E89" s="5" t="s">
        <v>244</v>
      </c>
      <c r="F89" s="5" t="s">
        <v>22</v>
      </c>
      <c r="G89" s="6"/>
      <c r="H89" s="6"/>
      <c r="I89" s="6"/>
      <c r="J89" s="6"/>
      <c r="K89" s="6"/>
      <c r="L89" s="10">
        <f ca="1">IFERROR('RPK (live)'!L89/'ASK (live)'!L89,"-")</f>
        <v>0.92999999999999994</v>
      </c>
      <c r="M89" s="10">
        <f ca="1">IFERROR('RPK (live)'!M89/'ASK (live)'!M89,"-")</f>
        <v>0.96186747180036514</v>
      </c>
      <c r="N89" s="10">
        <f ca="1">IFERROR('RPK (live)'!N89/'ASK (live)'!N89,"-")</f>
        <v>0.91999999999999993</v>
      </c>
      <c r="O89" s="10">
        <f ca="1">IFERROR('RPK (live)'!O89/'ASK (live)'!O89,"-")</f>
        <v>0.88</v>
      </c>
      <c r="P89" s="10">
        <f ca="1">IFERROR('RPK (live)'!P89/'ASK (live)'!P89,"-")</f>
        <v>0.92000000000000015</v>
      </c>
      <c r="Q89" s="10">
        <f ca="1">IFERROR('RPK (live)'!Q89/'ASK (live)'!Q89,"-")</f>
        <v>0.8999999999999998</v>
      </c>
      <c r="R89" s="10">
        <f ca="1">IFERROR('RPK (live)'!R89/'ASK (live)'!R89,"-")</f>
        <v>0.92</v>
      </c>
      <c r="S89" s="10">
        <f ca="1">IFERROR('RPK (live)'!S89/'ASK (live)'!S89,"-")</f>
        <v>0.84999999999999987</v>
      </c>
      <c r="T89" s="10">
        <f ca="1">IFERROR('RPK (live)'!T89/'ASK (live)'!T89,"-")</f>
        <v>0.95972219251334812</v>
      </c>
      <c r="U89" s="10">
        <f ca="1">IFERROR('RPK (live)'!U89/'ASK (live)'!U89,"-")</f>
        <v>0.97081871367268013</v>
      </c>
      <c r="V89" s="10">
        <f ca="1">IFERROR('RPK (live)'!V89/'ASK (live)'!V89,"-")</f>
        <v>0.97804942572225095</v>
      </c>
      <c r="W89" s="10">
        <f ca="1">IFERROR('RPK (live)'!W89/'ASK (live)'!W89,"-")</f>
        <v>0.9905191129878016</v>
      </c>
      <c r="X89" s="10">
        <f ca="1">IFERROR('RPK (live)'!X89/'ASK (live)'!X89,"-")</f>
        <v>0.99051911298780126</v>
      </c>
      <c r="Y89" s="10">
        <f ca="1">IFERROR('RPK (live)'!Y89/'ASK (live)'!Y89,"-")</f>
        <v>0.9905191129878016</v>
      </c>
      <c r="Z89" s="10">
        <f ca="1">IFERROR('RPK (live)'!Z89/'ASK (live)'!Z89,"-")</f>
        <v>0.98996189874493701</v>
      </c>
      <c r="AA89" s="10">
        <f ca="1">IFERROR('RPK (live)'!AA89/'ASK (live)'!AA89,"-")</f>
        <v>0.9608981342061631</v>
      </c>
      <c r="AB89" s="10">
        <f ca="1">IFERROR('RPK (live)'!AB89/'ASK (live)'!AB89,"-")</f>
        <v>0.93734890531094572</v>
      </c>
      <c r="AC89" s="10">
        <f ca="1">IFERROR('RPK (live)'!AC89/'ASK (live)'!AC89,"-")</f>
        <v>0.8899648467578507</v>
      </c>
      <c r="AD89" s="10">
        <f ca="1">IFERROR('RPK (live)'!AD89/'ASK (live)'!AD89,"-")</f>
        <v>0.8480580567187338</v>
      </c>
      <c r="AE89" s="10">
        <f ca="1">IFERROR('RPK (live)'!AE89/'ASK (live)'!AE89,"-")</f>
        <v>0.82353524782462428</v>
      </c>
    </row>
    <row r="90" spans="1:31">
      <c r="A90" s="1" t="s">
        <v>152</v>
      </c>
      <c r="B90" s="5" t="s">
        <v>245</v>
      </c>
      <c r="C90" s="5" t="s">
        <v>246</v>
      </c>
      <c r="D90" s="5" t="s">
        <v>244</v>
      </c>
      <c r="E90" s="5" t="s">
        <v>21</v>
      </c>
      <c r="F90" s="5" t="s">
        <v>22</v>
      </c>
      <c r="G90" s="6"/>
      <c r="H90" s="6"/>
      <c r="I90" s="6"/>
      <c r="J90" s="6"/>
      <c r="K90" s="6"/>
      <c r="L90" s="10">
        <f ca="1">IFERROR('RPK (live)'!L90/'ASK (live)'!L90,"-")</f>
        <v>0.92999999999999994</v>
      </c>
      <c r="M90" s="10">
        <f ca="1">IFERROR('RPK (live)'!M90/'ASK (live)'!M90,"-")</f>
        <v>0.96186747180036514</v>
      </c>
      <c r="N90" s="10">
        <f ca="1">IFERROR('RPK (live)'!N90/'ASK (live)'!N90,"-")</f>
        <v>0.91999999999999993</v>
      </c>
      <c r="O90" s="10">
        <f ca="1">IFERROR('RPK (live)'!O90/'ASK (live)'!O90,"-")</f>
        <v>0.88</v>
      </c>
      <c r="P90" s="10">
        <f ca="1">IFERROR('RPK (live)'!P90/'ASK (live)'!P90,"-")</f>
        <v>0.92000000000000015</v>
      </c>
      <c r="Q90" s="10">
        <f ca="1">IFERROR('RPK (live)'!Q90/'ASK (live)'!Q90,"-")</f>
        <v>0.8999999999999998</v>
      </c>
      <c r="R90" s="10">
        <f ca="1">IFERROR('RPK (live)'!R90/'ASK (live)'!R90,"-")</f>
        <v>0.92</v>
      </c>
      <c r="S90" s="10">
        <f ca="1">IFERROR('RPK (live)'!S90/'ASK (live)'!S90,"-")</f>
        <v>0.84999999999999987</v>
      </c>
      <c r="T90" s="10">
        <f ca="1">IFERROR('RPK (live)'!T90/'ASK (live)'!T90,"-")</f>
        <v>0.95972219251334812</v>
      </c>
      <c r="U90" s="10">
        <f ca="1">IFERROR('RPK (live)'!U90/'ASK (live)'!U90,"-")</f>
        <v>0.97081871367268013</v>
      </c>
      <c r="V90" s="10">
        <f ca="1">IFERROR('RPK (live)'!V90/'ASK (live)'!V90,"-")</f>
        <v>0.97804942572225095</v>
      </c>
      <c r="W90" s="10">
        <f ca="1">IFERROR('RPK (live)'!W90/'ASK (live)'!W90,"-")</f>
        <v>0.9905191129878016</v>
      </c>
      <c r="X90" s="10">
        <f ca="1">IFERROR('RPK (live)'!X90/'ASK (live)'!X90,"-")</f>
        <v>0.99051911298780126</v>
      </c>
      <c r="Y90" s="10">
        <f ca="1">IFERROR('RPK (live)'!Y90/'ASK (live)'!Y90,"-")</f>
        <v>0.9905191129878016</v>
      </c>
      <c r="Z90" s="10">
        <f ca="1">IFERROR('RPK (live)'!Z90/'ASK (live)'!Z90,"-")</f>
        <v>0.98996189874493701</v>
      </c>
      <c r="AA90" s="10">
        <f ca="1">IFERROR('RPK (live)'!AA90/'ASK (live)'!AA90,"-")</f>
        <v>0.9608981342061631</v>
      </c>
      <c r="AB90" s="10">
        <f ca="1">IFERROR('RPK (live)'!AB90/'ASK (live)'!AB90,"-")</f>
        <v>0.93734890531094572</v>
      </c>
      <c r="AC90" s="10">
        <f ca="1">IFERROR('RPK (live)'!AC90/'ASK (live)'!AC90,"-")</f>
        <v>0.8899648467578507</v>
      </c>
      <c r="AD90" s="10">
        <f ca="1">IFERROR('RPK (live)'!AD90/'ASK (live)'!AD90,"-")</f>
        <v>0.8480580567187338</v>
      </c>
      <c r="AE90" s="10">
        <f ca="1">IFERROR('RPK (live)'!AE90/'ASK (live)'!AE90,"-")</f>
        <v>0.82353524782462428</v>
      </c>
    </row>
    <row r="91" spans="1:31">
      <c r="A91" s="1" t="s">
        <v>152</v>
      </c>
      <c r="B91" s="5" t="s">
        <v>247</v>
      </c>
      <c r="C91" s="5" t="s">
        <v>248</v>
      </c>
      <c r="D91" s="5" t="s">
        <v>21</v>
      </c>
      <c r="E91" s="5" t="s">
        <v>249</v>
      </c>
      <c r="F91" s="5" t="s">
        <v>22</v>
      </c>
      <c r="G91" s="6"/>
      <c r="H91" s="6"/>
      <c r="I91" s="6"/>
      <c r="J91" s="6"/>
      <c r="K91" s="6"/>
      <c r="L91" s="10" t="str">
        <f ca="1">IFERROR('RPK (live)'!L91/'ASK (live)'!L91,"-")</f>
        <v>-</v>
      </c>
      <c r="M91" s="10" t="str">
        <f ca="1">IFERROR('RPK (live)'!M91/'ASK (live)'!M91,"-")</f>
        <v>-</v>
      </c>
      <c r="N91" s="10" t="str">
        <f ca="1">IFERROR('RPK (live)'!N91/'ASK (live)'!N91,"-")</f>
        <v>-</v>
      </c>
      <c r="O91" s="10" t="str">
        <f ca="1">IFERROR('RPK (live)'!O91/'ASK (live)'!O91,"-")</f>
        <v>-</v>
      </c>
      <c r="P91" s="10" t="str">
        <f ca="1">IFERROR('RPK (live)'!P91/'ASK (live)'!P91,"-")</f>
        <v>-</v>
      </c>
      <c r="Q91" s="10" t="str">
        <f ca="1">IFERROR('RPK (live)'!Q91/'ASK (live)'!Q91,"-")</f>
        <v>-</v>
      </c>
      <c r="R91" s="10" t="str">
        <f ca="1">IFERROR('RPK (live)'!R91/'ASK (live)'!R91,"-")</f>
        <v>-</v>
      </c>
      <c r="S91" s="10" t="str">
        <f ca="1">IFERROR('RPK (live)'!S91/'ASK (live)'!S91,"-")</f>
        <v>-</v>
      </c>
      <c r="T91" s="10" t="str">
        <f ca="1">IFERROR('RPK (live)'!T91/'ASK (live)'!T91,"-")</f>
        <v>-</v>
      </c>
      <c r="U91" s="10" t="str">
        <f ca="1">IFERROR('RPK (live)'!U91/'ASK (live)'!U91,"-")</f>
        <v>-</v>
      </c>
      <c r="V91" s="10" t="str">
        <f ca="1">IFERROR('RPK (live)'!V91/'ASK (live)'!V91,"-")</f>
        <v>-</v>
      </c>
      <c r="W91" s="10" t="str">
        <f ca="1">IFERROR('RPK (live)'!W91/'ASK (live)'!W91,"-")</f>
        <v>-</v>
      </c>
      <c r="X91" s="10" t="str">
        <f ca="1">IFERROR('RPK (live)'!X91/'ASK (live)'!X91,"-")</f>
        <v>-</v>
      </c>
      <c r="Y91" s="10" t="str">
        <f ca="1">IFERROR('RPK (live)'!Y91/'ASK (live)'!Y91,"-")</f>
        <v>-</v>
      </c>
      <c r="Z91" s="10" t="str">
        <f ca="1">IFERROR('RPK (live)'!Z91/'ASK (live)'!Z91,"-")</f>
        <v>-</v>
      </c>
      <c r="AA91" s="10" t="str">
        <f ca="1">IFERROR('RPK (live)'!AA91/'ASK (live)'!AA91,"-")</f>
        <v>-</v>
      </c>
      <c r="AB91" s="10" t="str">
        <f ca="1">IFERROR('RPK (live)'!AB91/'ASK (live)'!AB91,"-")</f>
        <v>-</v>
      </c>
      <c r="AC91" s="10" t="str">
        <f ca="1">IFERROR('RPK (live)'!AC91/'ASK (live)'!AC91,"-")</f>
        <v>-</v>
      </c>
      <c r="AD91" s="10" t="str">
        <f ca="1">IFERROR('RPK (live)'!AD91/'ASK (live)'!AD91,"-")</f>
        <v>-</v>
      </c>
      <c r="AE91" s="10">
        <f ca="1">IFERROR('RPK (live)'!AE91/'ASK (live)'!AE91,"-")</f>
        <v>0.30953574518830035</v>
      </c>
    </row>
    <row r="92" spans="1:31">
      <c r="A92" s="1" t="s">
        <v>152</v>
      </c>
      <c r="B92" s="5" t="s">
        <v>250</v>
      </c>
      <c r="C92" s="5" t="s">
        <v>251</v>
      </c>
      <c r="D92" s="5" t="s">
        <v>249</v>
      </c>
      <c r="E92" s="5" t="s">
        <v>21</v>
      </c>
      <c r="F92" s="5" t="s">
        <v>22</v>
      </c>
      <c r="G92" s="6"/>
      <c r="H92" s="6"/>
      <c r="I92" s="6"/>
      <c r="J92" s="6"/>
      <c r="K92" s="6"/>
      <c r="L92" s="10" t="str">
        <f ca="1">IFERROR('RPK (live)'!L92/'ASK (live)'!L92,"-")</f>
        <v>-</v>
      </c>
      <c r="M92" s="10" t="str">
        <f ca="1">IFERROR('RPK (live)'!M92/'ASK (live)'!M92,"-")</f>
        <v>-</v>
      </c>
      <c r="N92" s="10" t="str">
        <f ca="1">IFERROR('RPK (live)'!N92/'ASK (live)'!N92,"-")</f>
        <v>-</v>
      </c>
      <c r="O92" s="10" t="str">
        <f ca="1">IFERROR('RPK (live)'!O92/'ASK (live)'!O92,"-")</f>
        <v>-</v>
      </c>
      <c r="P92" s="10" t="str">
        <f ca="1">IFERROR('RPK (live)'!P92/'ASK (live)'!P92,"-")</f>
        <v>-</v>
      </c>
      <c r="Q92" s="10" t="str">
        <f ca="1">IFERROR('RPK (live)'!Q92/'ASK (live)'!Q92,"-")</f>
        <v>-</v>
      </c>
      <c r="R92" s="10" t="str">
        <f ca="1">IFERROR('RPK (live)'!R92/'ASK (live)'!R92,"-")</f>
        <v>-</v>
      </c>
      <c r="S92" s="10" t="str">
        <f ca="1">IFERROR('RPK (live)'!S92/'ASK (live)'!S92,"-")</f>
        <v>-</v>
      </c>
      <c r="T92" s="10" t="str">
        <f ca="1">IFERROR('RPK (live)'!T92/'ASK (live)'!T92,"-")</f>
        <v>-</v>
      </c>
      <c r="U92" s="10" t="str">
        <f ca="1">IFERROR('RPK (live)'!U92/'ASK (live)'!U92,"-")</f>
        <v>-</v>
      </c>
      <c r="V92" s="10" t="str">
        <f ca="1">IFERROR('RPK (live)'!V92/'ASK (live)'!V92,"-")</f>
        <v>-</v>
      </c>
      <c r="W92" s="10" t="str">
        <f ca="1">IFERROR('RPK (live)'!W92/'ASK (live)'!W92,"-")</f>
        <v>-</v>
      </c>
      <c r="X92" s="10" t="str">
        <f ca="1">IFERROR('RPK (live)'!X92/'ASK (live)'!X92,"-")</f>
        <v>-</v>
      </c>
      <c r="Y92" s="10" t="str">
        <f ca="1">IFERROR('RPK (live)'!Y92/'ASK (live)'!Y92,"-")</f>
        <v>-</v>
      </c>
      <c r="Z92" s="10" t="str">
        <f ca="1">IFERROR('RPK (live)'!Z92/'ASK (live)'!Z92,"-")</f>
        <v>-</v>
      </c>
      <c r="AA92" s="10" t="str">
        <f ca="1">IFERROR('RPK (live)'!AA92/'ASK (live)'!AA92,"-")</f>
        <v>-</v>
      </c>
      <c r="AB92" s="10" t="str">
        <f ca="1">IFERROR('RPK (live)'!AB92/'ASK (live)'!AB92,"-")</f>
        <v>-</v>
      </c>
      <c r="AC92" s="10" t="str">
        <f ca="1">IFERROR('RPK (live)'!AC92/'ASK (live)'!AC92,"-")</f>
        <v>-</v>
      </c>
      <c r="AD92" s="10" t="str">
        <f ca="1">IFERROR('RPK (live)'!AD92/'ASK (live)'!AD92,"-")</f>
        <v>-</v>
      </c>
      <c r="AE92" s="10">
        <f ca="1">IFERROR('RPK (live)'!AE92/'ASK (live)'!AE92,"-")</f>
        <v>0.30953574518830035</v>
      </c>
    </row>
    <row r="93" spans="1:31">
      <c r="A93" s="1" t="s">
        <v>152</v>
      </c>
      <c r="B93" s="5" t="s">
        <v>252</v>
      </c>
      <c r="C93" s="5" t="s">
        <v>226</v>
      </c>
      <c r="D93" s="5" t="s">
        <v>21</v>
      </c>
      <c r="E93" s="5" t="s">
        <v>227</v>
      </c>
      <c r="F93" s="5" t="s">
        <v>22</v>
      </c>
      <c r="G93" s="6"/>
      <c r="H93" s="6"/>
      <c r="I93" s="6"/>
      <c r="J93" s="6"/>
      <c r="K93" s="6"/>
      <c r="L93" s="10">
        <f ca="1">IFERROR('RPK (live)'!L93/'ASK (live)'!L93,"-")</f>
        <v>0.43</v>
      </c>
      <c r="M93" s="10" t="str">
        <f ca="1">IFERROR('RPK (live)'!M93/'ASK (live)'!M93,"-")</f>
        <v>-</v>
      </c>
      <c r="N93" s="10" t="str">
        <f ca="1">IFERROR('RPK (live)'!N93/'ASK (live)'!N93,"-")</f>
        <v>-</v>
      </c>
      <c r="O93" s="10" t="str">
        <f ca="1">IFERROR('RPK (live)'!O93/'ASK (live)'!O93,"-")</f>
        <v>-</v>
      </c>
      <c r="P93" s="10" t="str">
        <f ca="1">IFERROR('RPK (live)'!P93/'ASK (live)'!P93,"-")</f>
        <v>-</v>
      </c>
      <c r="Q93" s="10" t="str">
        <f ca="1">IFERROR('RPK (live)'!Q93/'ASK (live)'!Q93,"-")</f>
        <v>-</v>
      </c>
      <c r="R93" s="10" t="str">
        <f ca="1">IFERROR('RPK (live)'!R93/'ASK (live)'!R93,"-")</f>
        <v>-</v>
      </c>
      <c r="S93" s="10">
        <f ca="1">IFERROR('RPK (live)'!S93/'ASK (live)'!S93,"-")</f>
        <v>0.77</v>
      </c>
      <c r="T93" s="10">
        <f ca="1">IFERROR('RPK (live)'!T93/'ASK (live)'!T93,"-")</f>
        <v>0.9893082357028552</v>
      </c>
      <c r="U93" s="10">
        <f ca="1">IFERROR('RPK (live)'!U93/'ASK (live)'!U93,"-")</f>
        <v>0.9905191129878016</v>
      </c>
      <c r="V93" s="10">
        <f ca="1">IFERROR('RPK (live)'!V93/'ASK (live)'!V93,"-")</f>
        <v>0.83561557346918658</v>
      </c>
      <c r="W93" s="10" t="str">
        <f ca="1">IFERROR('RPK (live)'!W93/'ASK (live)'!W93,"-")</f>
        <v>-</v>
      </c>
      <c r="X93" s="10" t="str">
        <f ca="1">IFERROR('RPK (live)'!X93/'ASK (live)'!X93,"-")</f>
        <v>-</v>
      </c>
      <c r="Y93" s="10" t="str">
        <f ca="1">IFERROR('RPK (live)'!Y93/'ASK (live)'!Y93,"-")</f>
        <v>-</v>
      </c>
      <c r="Z93" s="10" t="str">
        <f ca="1">IFERROR('RPK (live)'!Z93/'ASK (live)'!Z93,"-")</f>
        <v>-</v>
      </c>
      <c r="AA93" s="10" t="str">
        <f ca="1">IFERROR('RPK (live)'!AA93/'ASK (live)'!AA93,"-")</f>
        <v>-</v>
      </c>
      <c r="AB93" s="10" t="str">
        <f ca="1">IFERROR('RPK (live)'!AB93/'ASK (live)'!AB93,"-")</f>
        <v>-</v>
      </c>
      <c r="AC93" s="10">
        <f ca="1">IFERROR('RPK (live)'!AC93/'ASK (live)'!AC93,"-")</f>
        <v>0.65444146562610117</v>
      </c>
      <c r="AD93" s="10">
        <f ca="1">IFERROR('RPK (live)'!AD93/'ASK (live)'!AD93,"-")</f>
        <v>0.70396672362250223</v>
      </c>
      <c r="AE93" s="10">
        <f ca="1">IFERROR('RPK (live)'!AE93/'ASK (live)'!AE93,"-")</f>
        <v>0.72039974544650165</v>
      </c>
    </row>
    <row r="94" spans="1:31">
      <c r="A94" s="1" t="s">
        <v>152</v>
      </c>
      <c r="B94" s="5" t="s">
        <v>253</v>
      </c>
      <c r="C94" s="5" t="s">
        <v>229</v>
      </c>
      <c r="D94" s="5" t="s">
        <v>227</v>
      </c>
      <c r="E94" s="5" t="s">
        <v>21</v>
      </c>
      <c r="F94" s="5" t="s">
        <v>22</v>
      </c>
      <c r="G94" s="6"/>
      <c r="H94" s="6"/>
      <c r="I94" s="6"/>
      <c r="J94" s="6"/>
      <c r="K94" s="6"/>
      <c r="L94" s="10">
        <f ca="1">IFERROR('RPK (live)'!L94/'ASK (live)'!L94,"-")</f>
        <v>0.43</v>
      </c>
      <c r="M94" s="10" t="str">
        <f ca="1">IFERROR('RPK (live)'!M94/'ASK (live)'!M94,"-")</f>
        <v>-</v>
      </c>
      <c r="N94" s="10" t="str">
        <f ca="1">IFERROR('RPK (live)'!N94/'ASK (live)'!N94,"-")</f>
        <v>-</v>
      </c>
      <c r="O94" s="10" t="str">
        <f ca="1">IFERROR('RPK (live)'!O94/'ASK (live)'!O94,"-")</f>
        <v>-</v>
      </c>
      <c r="P94" s="10" t="str">
        <f ca="1">IFERROR('RPK (live)'!P94/'ASK (live)'!P94,"-")</f>
        <v>-</v>
      </c>
      <c r="Q94" s="10" t="str">
        <f ca="1">IFERROR('RPK (live)'!Q94/'ASK (live)'!Q94,"-")</f>
        <v>-</v>
      </c>
      <c r="R94" s="10" t="str">
        <f ca="1">IFERROR('RPK (live)'!R94/'ASK (live)'!R94,"-")</f>
        <v>-</v>
      </c>
      <c r="S94" s="10">
        <f ca="1">IFERROR('RPK (live)'!S94/'ASK (live)'!S94,"-")</f>
        <v>0.77</v>
      </c>
      <c r="T94" s="10">
        <f ca="1">IFERROR('RPK (live)'!T94/'ASK (live)'!T94,"-")</f>
        <v>0.9893082357028552</v>
      </c>
      <c r="U94" s="10">
        <f ca="1">IFERROR('RPK (live)'!U94/'ASK (live)'!U94,"-")</f>
        <v>0.9905191129878016</v>
      </c>
      <c r="V94" s="10">
        <f ca="1">IFERROR('RPK (live)'!V94/'ASK (live)'!V94,"-")</f>
        <v>0.83561557346918658</v>
      </c>
      <c r="W94" s="10" t="str">
        <f ca="1">IFERROR('RPK (live)'!W94/'ASK (live)'!W94,"-")</f>
        <v>-</v>
      </c>
      <c r="X94" s="10" t="str">
        <f ca="1">IFERROR('RPK (live)'!X94/'ASK (live)'!X94,"-")</f>
        <v>-</v>
      </c>
      <c r="Y94" s="10" t="str">
        <f ca="1">IFERROR('RPK (live)'!Y94/'ASK (live)'!Y94,"-")</f>
        <v>-</v>
      </c>
      <c r="Z94" s="10" t="str">
        <f ca="1">IFERROR('RPK (live)'!Z94/'ASK (live)'!Z94,"-")</f>
        <v>-</v>
      </c>
      <c r="AA94" s="10" t="str">
        <f ca="1">IFERROR('RPK (live)'!AA94/'ASK (live)'!AA94,"-")</f>
        <v>-</v>
      </c>
      <c r="AB94" s="10" t="str">
        <f ca="1">IFERROR('RPK (live)'!AB94/'ASK (live)'!AB94,"-")</f>
        <v>-</v>
      </c>
      <c r="AC94" s="10">
        <f ca="1">IFERROR('RPK (live)'!AC94/'ASK (live)'!AC94,"-")</f>
        <v>0.65444146562610117</v>
      </c>
      <c r="AD94" s="10">
        <f ca="1">IFERROR('RPK (live)'!AD94/'ASK (live)'!AD94,"-")</f>
        <v>0.70396672362250223</v>
      </c>
      <c r="AE94" s="10">
        <f ca="1">IFERROR('RPK (live)'!AE94/'ASK (live)'!AE94,"-")</f>
        <v>0.72039974544650165</v>
      </c>
    </row>
    <row r="95" spans="1:31">
      <c r="A95" s="1" t="s">
        <v>152</v>
      </c>
      <c r="B95" s="5" t="s">
        <v>254</v>
      </c>
      <c r="C95" s="5" t="s">
        <v>255</v>
      </c>
      <c r="D95" s="5" t="s">
        <v>60</v>
      </c>
      <c r="E95" s="5" t="s">
        <v>59</v>
      </c>
      <c r="F95" s="5" t="s">
        <v>22</v>
      </c>
      <c r="G95" s="6"/>
      <c r="H95" s="6"/>
      <c r="I95" s="6"/>
      <c r="J95" s="6"/>
      <c r="K95" s="6"/>
      <c r="L95" s="10">
        <f ca="1">IFERROR('RPK (live)'!L95/'ASK (live)'!L95,"-")</f>
        <v>0.8</v>
      </c>
      <c r="M95" s="10">
        <f ca="1">IFERROR('RPK (live)'!M95/'ASK (live)'!M95,"-")</f>
        <v>0.68849461139394574</v>
      </c>
      <c r="N95" s="10">
        <f ca="1">IFERROR('RPK (live)'!N95/'ASK (live)'!N95,"-")</f>
        <v>0.89999999999999991</v>
      </c>
      <c r="O95" s="10">
        <f ca="1">IFERROR('RPK (live)'!O95/'ASK (live)'!O95,"-")</f>
        <v>0.72</v>
      </c>
      <c r="P95" s="10">
        <f ca="1">IFERROR('RPK (live)'!P95/'ASK (live)'!P95,"-")</f>
        <v>0.88</v>
      </c>
      <c r="Q95" s="10">
        <f ca="1">IFERROR('RPK (live)'!Q95/'ASK (live)'!Q95,"-")</f>
        <v>0.83</v>
      </c>
      <c r="R95" s="10" t="str">
        <f ca="1">IFERROR('RPK (live)'!R95/'ASK (live)'!R95,"-")</f>
        <v>-</v>
      </c>
      <c r="S95" s="10" t="str">
        <f ca="1">IFERROR('RPK (live)'!S95/'ASK (live)'!S95,"-")</f>
        <v>-</v>
      </c>
      <c r="T95" s="10" t="str">
        <f ca="1">IFERROR('RPK (live)'!T95/'ASK (live)'!T95,"-")</f>
        <v>-</v>
      </c>
      <c r="U95" s="10" t="str">
        <f ca="1">IFERROR('RPK (live)'!U95/'ASK (live)'!U95,"-")</f>
        <v>-</v>
      </c>
      <c r="V95" s="10" t="str">
        <f ca="1">IFERROR('RPK (live)'!V95/'ASK (live)'!V95,"-")</f>
        <v>-</v>
      </c>
      <c r="W95" s="10">
        <f ca="1">IFERROR('RPK (live)'!W95/'ASK (live)'!W95,"-")</f>
        <v>0.69099706989751097</v>
      </c>
      <c r="X95" s="10">
        <f ca="1">IFERROR('RPK (live)'!X95/'ASK (live)'!X95,"-")</f>
        <v>0.75365011663845061</v>
      </c>
      <c r="Y95" s="10">
        <f ca="1">IFERROR('RPK (live)'!Y95/'ASK (live)'!Y95,"-")</f>
        <v>0.88623454764317</v>
      </c>
      <c r="Z95" s="10">
        <f ca="1">IFERROR('RPK (live)'!Z95/'ASK (live)'!Z95,"-")</f>
        <v>0.9905191129878016</v>
      </c>
      <c r="AA95" s="10">
        <f ca="1">IFERROR('RPK (live)'!AA95/'ASK (live)'!AA95,"-")</f>
        <v>0.99051911298780171</v>
      </c>
      <c r="AB95" s="10">
        <f ca="1">IFERROR('RPK (live)'!AB95/'ASK (live)'!AB95,"-")</f>
        <v>0.99051911298780138</v>
      </c>
      <c r="AC95" s="10">
        <f ca="1">IFERROR('RPK (live)'!AC95/'ASK (live)'!AC95,"-")</f>
        <v>0.97627205484987112</v>
      </c>
      <c r="AD95" s="10" t="str">
        <f ca="1">IFERROR('RPK (live)'!AD95/'ASK (live)'!AD95,"-")</f>
        <v>-</v>
      </c>
      <c r="AE95" s="10" t="str">
        <f ca="1">IFERROR('RPK (live)'!AE95/'ASK (live)'!AE95,"-")</f>
        <v>-</v>
      </c>
    </row>
    <row r="96" spans="1:31">
      <c r="A96" s="1" t="s">
        <v>152</v>
      </c>
      <c r="B96" s="5" t="s">
        <v>57</v>
      </c>
      <c r="C96" s="5" t="s">
        <v>58</v>
      </c>
      <c r="D96" s="5" t="s">
        <v>59</v>
      </c>
      <c r="E96" s="5" t="s">
        <v>60</v>
      </c>
      <c r="F96" s="5" t="s">
        <v>22</v>
      </c>
      <c r="G96" s="6"/>
      <c r="H96" s="6"/>
      <c r="I96" s="6"/>
      <c r="J96" s="6"/>
      <c r="K96" s="6"/>
      <c r="L96" s="10">
        <f ca="1">IFERROR('RPK (live)'!L96/'ASK (live)'!L96,"-")</f>
        <v>0.8</v>
      </c>
      <c r="M96" s="10">
        <f ca="1">IFERROR('RPK (live)'!M96/'ASK (live)'!M96,"-")</f>
        <v>0.68849461139394574</v>
      </c>
      <c r="N96" s="10">
        <f ca="1">IFERROR('RPK (live)'!N96/'ASK (live)'!N96,"-")</f>
        <v>0.89999999999999991</v>
      </c>
      <c r="O96" s="10">
        <f ca="1">IFERROR('RPK (live)'!O96/'ASK (live)'!O96,"-")</f>
        <v>0.72</v>
      </c>
      <c r="P96" s="10">
        <f ca="1">IFERROR('RPK (live)'!P96/'ASK (live)'!P96,"-")</f>
        <v>0.88</v>
      </c>
      <c r="Q96" s="10">
        <f ca="1">IFERROR('RPK (live)'!Q96/'ASK (live)'!Q96,"-")</f>
        <v>0.83</v>
      </c>
      <c r="R96" s="10" t="str">
        <f ca="1">IFERROR('RPK (live)'!R96/'ASK (live)'!R96,"-")</f>
        <v>-</v>
      </c>
      <c r="S96" s="10" t="str">
        <f ca="1">IFERROR('RPK (live)'!S96/'ASK (live)'!S96,"-")</f>
        <v>-</v>
      </c>
      <c r="T96" s="10" t="str">
        <f ca="1">IFERROR('RPK (live)'!T96/'ASK (live)'!T96,"-")</f>
        <v>-</v>
      </c>
      <c r="U96" s="10" t="str">
        <f ca="1">IFERROR('RPK (live)'!U96/'ASK (live)'!U96,"-")</f>
        <v>-</v>
      </c>
      <c r="V96" s="10" t="str">
        <f ca="1">IFERROR('RPK (live)'!V96/'ASK (live)'!V96,"-")</f>
        <v>-</v>
      </c>
      <c r="W96" s="10">
        <f ca="1">IFERROR('RPK (live)'!W96/'ASK (live)'!W96,"-")</f>
        <v>0.69099706989751097</v>
      </c>
      <c r="X96" s="10">
        <f ca="1">IFERROR('RPK (live)'!X96/'ASK (live)'!X96,"-")</f>
        <v>0.75365011663845061</v>
      </c>
      <c r="Y96" s="10">
        <f ca="1">IFERROR('RPK (live)'!Y96/'ASK (live)'!Y96,"-")</f>
        <v>0.88623454764317</v>
      </c>
      <c r="Z96" s="10">
        <f ca="1">IFERROR('RPK (live)'!Z96/'ASK (live)'!Z96,"-")</f>
        <v>0.9905191129878016</v>
      </c>
      <c r="AA96" s="10">
        <f ca="1">IFERROR('RPK (live)'!AA96/'ASK (live)'!AA96,"-")</f>
        <v>0.99051911298780171</v>
      </c>
      <c r="AB96" s="10">
        <f ca="1">IFERROR('RPK (live)'!AB96/'ASK (live)'!AB96,"-")</f>
        <v>0.99051911298780126</v>
      </c>
      <c r="AC96" s="10">
        <f ca="1">IFERROR('RPK (live)'!AC96/'ASK (live)'!AC96,"-")</f>
        <v>0.97627205484987112</v>
      </c>
      <c r="AD96" s="10" t="str">
        <f ca="1">IFERROR('RPK (live)'!AD96/'ASK (live)'!AD96,"-")</f>
        <v>-</v>
      </c>
      <c r="AE96" s="10" t="str">
        <f ca="1">IFERROR('RPK (live)'!AE96/'ASK (live)'!AE96,"-")</f>
        <v>-</v>
      </c>
    </row>
    <row r="97" spans="1:31">
      <c r="A97" s="1" t="s">
        <v>152</v>
      </c>
      <c r="B97" s="5" t="s">
        <v>256</v>
      </c>
      <c r="C97" s="5" t="s">
        <v>206</v>
      </c>
      <c r="D97" s="5" t="s">
        <v>21</v>
      </c>
      <c r="E97" s="5" t="s">
        <v>181</v>
      </c>
      <c r="F97" s="5" t="s">
        <v>22</v>
      </c>
      <c r="G97" s="6"/>
      <c r="H97" s="6"/>
      <c r="I97" s="6"/>
      <c r="J97" s="6"/>
      <c r="K97" s="6"/>
      <c r="L97" s="10" t="str">
        <f ca="1">IFERROR('RPK (live)'!L97/'ASK (live)'!L97,"-")</f>
        <v>-</v>
      </c>
      <c r="M97" s="10" t="str">
        <f ca="1">IFERROR('RPK (live)'!M97/'ASK (live)'!M97,"-")</f>
        <v>-</v>
      </c>
      <c r="N97" s="10" t="str">
        <f ca="1">IFERROR('RPK (live)'!N97/'ASK (live)'!N97,"-")</f>
        <v>-</v>
      </c>
      <c r="O97" s="10" t="str">
        <f ca="1">IFERROR('RPK (live)'!O97/'ASK (live)'!O97,"-")</f>
        <v>-</v>
      </c>
      <c r="P97" s="10" t="str">
        <f ca="1">IFERROR('RPK (live)'!P97/'ASK (live)'!P97,"-")</f>
        <v>-</v>
      </c>
      <c r="Q97" s="10" t="str">
        <f ca="1">IFERROR('RPK (live)'!Q97/'ASK (live)'!Q97,"-")</f>
        <v>-</v>
      </c>
      <c r="R97" s="10" t="str">
        <f ca="1">IFERROR('RPK (live)'!R97/'ASK (live)'!R97,"-")</f>
        <v>-</v>
      </c>
      <c r="S97" s="10" t="str">
        <f ca="1">IFERROR('RPK (live)'!S97/'ASK (live)'!S97,"-")</f>
        <v>-</v>
      </c>
      <c r="T97" s="10" t="str">
        <f ca="1">IFERROR('RPK (live)'!T97/'ASK (live)'!T97,"-")</f>
        <v>-</v>
      </c>
      <c r="U97" s="10" t="str">
        <f ca="1">IFERROR('RPK (live)'!U97/'ASK (live)'!U97,"-")</f>
        <v>-</v>
      </c>
      <c r="V97" s="10" t="str">
        <f ca="1">IFERROR('RPK (live)'!V97/'ASK (live)'!V97,"-")</f>
        <v>-</v>
      </c>
      <c r="W97" s="10" t="str">
        <f ca="1">IFERROR('RPK (live)'!W97/'ASK (live)'!W97,"-")</f>
        <v>-</v>
      </c>
      <c r="X97" s="10" t="str">
        <f ca="1">IFERROR('RPK (live)'!X97/'ASK (live)'!X97,"-")</f>
        <v>-</v>
      </c>
      <c r="Y97" s="10" t="str">
        <f ca="1">IFERROR('RPK (live)'!Y97/'ASK (live)'!Y97,"-")</f>
        <v>-</v>
      </c>
      <c r="Z97" s="10" t="str">
        <f ca="1">IFERROR('RPK (live)'!Z97/'ASK (live)'!Z97,"-")</f>
        <v>-</v>
      </c>
      <c r="AA97" s="10" t="str">
        <f ca="1">IFERROR('RPK (live)'!AA97/'ASK (live)'!AA97,"-")</f>
        <v>-</v>
      </c>
      <c r="AB97" s="10" t="str">
        <f ca="1">IFERROR('RPK (live)'!AB97/'ASK (live)'!AB97,"-")</f>
        <v>-</v>
      </c>
      <c r="AC97" s="10" t="str">
        <f ca="1">IFERROR('RPK (live)'!AC97/'ASK (live)'!AC97,"-")</f>
        <v>-</v>
      </c>
      <c r="AD97" s="10" t="str">
        <f ca="1">IFERROR('RPK (live)'!AD97/'ASK (live)'!AD97,"-")</f>
        <v>-</v>
      </c>
      <c r="AE97" s="10" t="str">
        <f ca="1">IFERROR('RPK (live)'!AE97/'ASK (live)'!AE97,"-")</f>
        <v>-</v>
      </c>
    </row>
    <row r="98" spans="1:31">
      <c r="A98" s="1" t="s">
        <v>152</v>
      </c>
      <c r="B98" s="5" t="s">
        <v>257</v>
      </c>
      <c r="C98" s="5" t="s">
        <v>208</v>
      </c>
      <c r="D98" s="5" t="s">
        <v>181</v>
      </c>
      <c r="E98" s="5" t="s">
        <v>21</v>
      </c>
      <c r="F98" s="5" t="s">
        <v>22</v>
      </c>
      <c r="G98" s="6"/>
      <c r="H98" s="6"/>
      <c r="I98" s="6"/>
      <c r="J98" s="6"/>
      <c r="K98" s="6"/>
      <c r="L98" s="10" t="str">
        <f ca="1">IFERROR('RPK (live)'!L98/'ASK (live)'!L98,"-")</f>
        <v>-</v>
      </c>
      <c r="M98" s="10" t="str">
        <f ca="1">IFERROR('RPK (live)'!M98/'ASK (live)'!M98,"-")</f>
        <v>-</v>
      </c>
      <c r="N98" s="10" t="str">
        <f ca="1">IFERROR('RPK (live)'!N98/'ASK (live)'!N98,"-")</f>
        <v>-</v>
      </c>
      <c r="O98" s="10" t="str">
        <f ca="1">IFERROR('RPK (live)'!O98/'ASK (live)'!O98,"-")</f>
        <v>-</v>
      </c>
      <c r="P98" s="10" t="str">
        <f ca="1">IFERROR('RPK (live)'!P98/'ASK (live)'!P98,"-")</f>
        <v>-</v>
      </c>
      <c r="Q98" s="10" t="str">
        <f ca="1">IFERROR('RPK (live)'!Q98/'ASK (live)'!Q98,"-")</f>
        <v>-</v>
      </c>
      <c r="R98" s="10" t="str">
        <f ca="1">IFERROR('RPK (live)'!R98/'ASK (live)'!R98,"-")</f>
        <v>-</v>
      </c>
      <c r="S98" s="10" t="str">
        <f ca="1">IFERROR('RPK (live)'!S98/'ASK (live)'!S98,"-")</f>
        <v>-</v>
      </c>
      <c r="T98" s="10" t="str">
        <f ca="1">IFERROR('RPK (live)'!T98/'ASK (live)'!T98,"-")</f>
        <v>-</v>
      </c>
      <c r="U98" s="10" t="str">
        <f ca="1">IFERROR('RPK (live)'!U98/'ASK (live)'!U98,"-")</f>
        <v>-</v>
      </c>
      <c r="V98" s="10" t="str">
        <f ca="1">IFERROR('RPK (live)'!V98/'ASK (live)'!V98,"-")</f>
        <v>-</v>
      </c>
      <c r="W98" s="10" t="str">
        <f ca="1">IFERROR('RPK (live)'!W98/'ASK (live)'!W98,"-")</f>
        <v>-</v>
      </c>
      <c r="X98" s="10" t="str">
        <f ca="1">IFERROR('RPK (live)'!X98/'ASK (live)'!X98,"-")</f>
        <v>-</v>
      </c>
      <c r="Y98" s="10" t="str">
        <f ca="1">IFERROR('RPK (live)'!Y98/'ASK (live)'!Y98,"-")</f>
        <v>-</v>
      </c>
      <c r="Z98" s="10" t="str">
        <f ca="1">IFERROR('RPK (live)'!Z98/'ASK (live)'!Z98,"-")</f>
        <v>-</v>
      </c>
      <c r="AA98" s="10" t="str">
        <f ca="1">IFERROR('RPK (live)'!AA98/'ASK (live)'!AA98,"-")</f>
        <v>-</v>
      </c>
      <c r="AB98" s="10" t="str">
        <f ca="1">IFERROR('RPK (live)'!AB98/'ASK (live)'!AB98,"-")</f>
        <v>-</v>
      </c>
      <c r="AC98" s="10" t="str">
        <f ca="1">IFERROR('RPK (live)'!AC98/'ASK (live)'!AC98,"-")</f>
        <v>-</v>
      </c>
      <c r="AD98" s="10" t="str">
        <f ca="1">IFERROR('RPK (live)'!AD98/'ASK (live)'!AD98,"-")</f>
        <v>-</v>
      </c>
      <c r="AE98" s="10" t="str">
        <f ca="1">IFERROR('RPK (live)'!AE98/'ASK (live)'!AE98,"-")</f>
        <v>-</v>
      </c>
    </row>
    <row r="99" spans="1:31">
      <c r="A99" s="1" t="s">
        <v>152</v>
      </c>
      <c r="B99" s="5" t="s">
        <v>258</v>
      </c>
      <c r="C99" s="5" t="s">
        <v>259</v>
      </c>
      <c r="D99" s="5" t="s">
        <v>21</v>
      </c>
      <c r="E99" s="5" t="s">
        <v>260</v>
      </c>
      <c r="F99" s="5" t="s">
        <v>22</v>
      </c>
      <c r="G99" s="6"/>
      <c r="H99" s="6"/>
      <c r="I99" s="6"/>
      <c r="J99" s="6"/>
      <c r="K99" s="6"/>
      <c r="L99" s="10">
        <f ca="1">IFERROR('RPK (live)'!L99/'ASK (live)'!L99,"-")</f>
        <v>0.87999999999999989</v>
      </c>
      <c r="M99" s="10">
        <f ca="1">IFERROR('RPK (live)'!M99/'ASK (live)'!M99,"-")</f>
        <v>0.86061826424243204</v>
      </c>
      <c r="N99" s="10">
        <f ca="1">IFERROR('RPK (live)'!N99/'ASK (live)'!N99,"-")</f>
        <v>0.88</v>
      </c>
      <c r="O99" s="10">
        <f ca="1">IFERROR('RPK (live)'!O99/'ASK (live)'!O99,"-")</f>
        <v>0.84999999999999987</v>
      </c>
      <c r="P99" s="10">
        <f ca="1">IFERROR('RPK (live)'!P99/'ASK (live)'!P99,"-")</f>
        <v>0.85000000000000009</v>
      </c>
      <c r="Q99" s="10">
        <f ca="1">IFERROR('RPK (live)'!Q99/'ASK (live)'!Q99,"-")</f>
        <v>0.91</v>
      </c>
      <c r="R99" s="10">
        <f ca="1">IFERROR('RPK (live)'!R99/'ASK (live)'!R99,"-")</f>
        <v>0.79</v>
      </c>
      <c r="S99" s="10">
        <f ca="1">IFERROR('RPK (live)'!S99/'ASK (live)'!S99,"-")</f>
        <v>0.73</v>
      </c>
      <c r="T99" s="10">
        <f ca="1">IFERROR('RPK (live)'!T99/'ASK (live)'!T99,"-")</f>
        <v>0.77499734474046877</v>
      </c>
      <c r="U99" s="10">
        <f ca="1">IFERROR('RPK (live)'!U99/'ASK (live)'!U99,"-")</f>
        <v>0.65198024143690725</v>
      </c>
      <c r="V99" s="10">
        <f ca="1">IFERROR('RPK (live)'!V99/'ASK (live)'!V99,"-")</f>
        <v>0.84161176220817024</v>
      </c>
      <c r="W99" s="10">
        <f ca="1">IFERROR('RPK (live)'!W99/'ASK (live)'!W99,"-")</f>
        <v>0.81862806769158603</v>
      </c>
      <c r="X99" s="10">
        <f ca="1">IFERROR('RPK (live)'!X99/'ASK (live)'!X99,"-")</f>
        <v>0.76937130202290749</v>
      </c>
      <c r="Y99" s="10">
        <f ca="1">IFERROR('RPK (live)'!Y99/'ASK (live)'!Y99,"-")</f>
        <v>0.90816840059140724</v>
      </c>
      <c r="Z99" s="10">
        <f ca="1">IFERROR('RPK (live)'!Z99/'ASK (live)'!Z99,"-")</f>
        <v>0.94271116319524395</v>
      </c>
      <c r="AA99" s="10">
        <f ca="1">IFERROR('RPK (live)'!AA99/'ASK (live)'!AA99,"-")</f>
        <v>0.91552826049224656</v>
      </c>
      <c r="AB99" s="10">
        <f ca="1">IFERROR('RPK (live)'!AB99/'ASK (live)'!AB99,"-")</f>
        <v>0.94941510834457066</v>
      </c>
      <c r="AC99" s="10">
        <f ca="1">IFERROR('RPK (live)'!AC99/'ASK (live)'!AC99,"-")</f>
        <v>0.8914092644940268</v>
      </c>
      <c r="AD99" s="10">
        <f ca="1">IFERROR('RPK (live)'!AD99/'ASK (live)'!AD99,"-")</f>
        <v>0.89634356098641133</v>
      </c>
      <c r="AE99" s="10">
        <f ca="1">IFERROR('RPK (live)'!AE99/'ASK (live)'!AE99,"-")</f>
        <v>0.71018544495053915</v>
      </c>
    </row>
    <row r="100" spans="1:31">
      <c r="A100" s="1" t="s">
        <v>152</v>
      </c>
      <c r="B100" s="5" t="s">
        <v>261</v>
      </c>
      <c r="C100" s="5" t="s">
        <v>262</v>
      </c>
      <c r="D100" s="5" t="s">
        <v>260</v>
      </c>
      <c r="E100" s="5" t="s">
        <v>21</v>
      </c>
      <c r="F100" s="5" t="s">
        <v>22</v>
      </c>
      <c r="G100" s="6"/>
      <c r="H100" s="6"/>
      <c r="I100" s="6"/>
      <c r="J100" s="6"/>
      <c r="K100" s="6"/>
      <c r="L100" s="10">
        <f ca="1">IFERROR('RPK (live)'!L100/'ASK (live)'!L100,"-")</f>
        <v>0.87999999999999989</v>
      </c>
      <c r="M100" s="10">
        <f ca="1">IFERROR('RPK (live)'!M100/'ASK (live)'!M100,"-")</f>
        <v>0.86061826424243204</v>
      </c>
      <c r="N100" s="10">
        <f ca="1">IFERROR('RPK (live)'!N100/'ASK (live)'!N100,"-")</f>
        <v>0.88</v>
      </c>
      <c r="O100" s="10">
        <f ca="1">IFERROR('RPK (live)'!O100/'ASK (live)'!O100,"-")</f>
        <v>0.84999999999999987</v>
      </c>
      <c r="P100" s="10">
        <f ca="1">IFERROR('RPK (live)'!P100/'ASK (live)'!P100,"-")</f>
        <v>0.85000000000000009</v>
      </c>
      <c r="Q100" s="10">
        <f ca="1">IFERROR('RPK (live)'!Q100/'ASK (live)'!Q100,"-")</f>
        <v>0.91</v>
      </c>
      <c r="R100" s="10">
        <f ca="1">IFERROR('RPK (live)'!R100/'ASK (live)'!R100,"-")</f>
        <v>0.79</v>
      </c>
      <c r="S100" s="10">
        <f ca="1">IFERROR('RPK (live)'!S100/'ASK (live)'!S100,"-")</f>
        <v>0.73</v>
      </c>
      <c r="T100" s="10">
        <f ca="1">IFERROR('RPK (live)'!T100/'ASK (live)'!T100,"-")</f>
        <v>0.77499734474046877</v>
      </c>
      <c r="U100" s="10">
        <f ca="1">IFERROR('RPK (live)'!U100/'ASK (live)'!U100,"-")</f>
        <v>0.65198024143690725</v>
      </c>
      <c r="V100" s="10">
        <f ca="1">IFERROR('RPK (live)'!V100/'ASK (live)'!V100,"-")</f>
        <v>0.84161176220817024</v>
      </c>
      <c r="W100" s="10">
        <f ca="1">IFERROR('RPK (live)'!W100/'ASK (live)'!W100,"-")</f>
        <v>0.81862806769158603</v>
      </c>
      <c r="X100" s="10">
        <f ca="1">IFERROR('RPK (live)'!X100/'ASK (live)'!X100,"-")</f>
        <v>0.76937130202290749</v>
      </c>
      <c r="Y100" s="10">
        <f ca="1">IFERROR('RPK (live)'!Y100/'ASK (live)'!Y100,"-")</f>
        <v>0.90816840059140724</v>
      </c>
      <c r="Z100" s="10">
        <f ca="1">IFERROR('RPK (live)'!Z100/'ASK (live)'!Z100,"-")</f>
        <v>0.94271116319524395</v>
      </c>
      <c r="AA100" s="10">
        <f ca="1">IFERROR('RPK (live)'!AA100/'ASK (live)'!AA100,"-")</f>
        <v>0.91552826049224656</v>
      </c>
      <c r="AB100" s="10">
        <f ca="1">IFERROR('RPK (live)'!AB100/'ASK (live)'!AB100,"-")</f>
        <v>0.94941510834457066</v>
      </c>
      <c r="AC100" s="10">
        <f ca="1">IFERROR('RPK (live)'!AC100/'ASK (live)'!AC100,"-")</f>
        <v>0.8914092644940268</v>
      </c>
      <c r="AD100" s="10">
        <f ca="1">IFERROR('RPK (live)'!AD100/'ASK (live)'!AD100,"-")</f>
        <v>0.89634356098641133</v>
      </c>
      <c r="AE100" s="10">
        <f ca="1">IFERROR('RPK (live)'!AE100/'ASK (live)'!AE100,"-")</f>
        <v>0.71018544495053915</v>
      </c>
    </row>
    <row r="101" spans="1:31">
      <c r="A101" s="1" t="s">
        <v>152</v>
      </c>
      <c r="B101" s="5" t="s">
        <v>263</v>
      </c>
      <c r="C101" s="5" t="s">
        <v>264</v>
      </c>
      <c r="D101" s="5" t="s">
        <v>21</v>
      </c>
      <c r="E101" s="5" t="s">
        <v>265</v>
      </c>
      <c r="F101" s="5" t="s">
        <v>22</v>
      </c>
      <c r="G101" s="6"/>
      <c r="H101" s="6"/>
      <c r="I101" s="6"/>
      <c r="J101" s="6"/>
      <c r="K101" s="6"/>
      <c r="L101" s="10">
        <f ca="1">IFERROR('RPK (live)'!L101/'ASK (live)'!L101,"-")</f>
        <v>0.86999999999999988</v>
      </c>
      <c r="M101" s="10">
        <f ca="1">IFERROR('RPK (live)'!M101/'ASK (live)'!M101,"-")</f>
        <v>0.91124286802139853</v>
      </c>
      <c r="N101" s="10">
        <f ca="1">IFERROR('RPK (live)'!N101/'ASK (live)'!N101,"-")</f>
        <v>0.86</v>
      </c>
      <c r="O101" s="10">
        <f ca="1">IFERROR('RPK (live)'!O101/'ASK (live)'!O101,"-")</f>
        <v>0.84</v>
      </c>
      <c r="P101" s="10">
        <f ca="1">IFERROR('RPK (live)'!P101/'ASK (live)'!P101,"-")</f>
        <v>0.98</v>
      </c>
      <c r="Q101" s="10">
        <f ca="1">IFERROR('RPK (live)'!Q101/'ASK (live)'!Q101,"-")</f>
        <v>0.94999999999999984</v>
      </c>
      <c r="R101" s="10">
        <f ca="1">IFERROR('RPK (live)'!R101/'ASK (live)'!R101,"-")</f>
        <v>0.98000000000000009</v>
      </c>
      <c r="S101" s="10">
        <f ca="1">IFERROR('RPK (live)'!S101/'ASK (live)'!S101,"-")</f>
        <v>0.98000000000000009</v>
      </c>
      <c r="T101" s="10">
        <f ca="1">IFERROR('RPK (live)'!T101/'ASK (live)'!T101,"-")</f>
        <v>0.95415401292692936</v>
      </c>
      <c r="U101" s="10">
        <f ca="1">IFERROR('RPK (live)'!U101/'ASK (live)'!U101,"-")</f>
        <v>0.99051911298780138</v>
      </c>
      <c r="V101" s="10">
        <f ca="1">IFERROR('RPK (live)'!V101/'ASK (live)'!V101,"-")</f>
        <v>0.967651222336812</v>
      </c>
      <c r="W101" s="10">
        <f ca="1">IFERROR('RPK (live)'!W101/'ASK (live)'!W101,"-")</f>
        <v>0.79925190707160887</v>
      </c>
      <c r="X101" s="10">
        <f ca="1">IFERROR('RPK (live)'!X101/'ASK (live)'!X101,"-")</f>
        <v>0.77977905794748525</v>
      </c>
      <c r="Y101" s="10">
        <f ca="1">IFERROR('RPK (live)'!Y101/'ASK (live)'!Y101,"-")</f>
        <v>0.9229520200128849</v>
      </c>
      <c r="Z101" s="10">
        <f ca="1">IFERROR('RPK (live)'!Z101/'ASK (live)'!Z101,"-")</f>
        <v>0.88273214911343101</v>
      </c>
      <c r="AA101" s="10">
        <f ca="1">IFERROR('RPK (live)'!AA101/'ASK (live)'!AA101,"-")</f>
        <v>0.91287256006794104</v>
      </c>
      <c r="AB101" s="10">
        <f ca="1">IFERROR('RPK (live)'!AB101/'ASK (live)'!AB101,"-")</f>
        <v>0.9905191129878016</v>
      </c>
      <c r="AC101" s="10">
        <f ca="1">IFERROR('RPK (live)'!AC101/'ASK (live)'!AC101,"-")</f>
        <v>0.97020364221467559</v>
      </c>
      <c r="AD101" s="10">
        <f ca="1">IFERROR('RPK (live)'!AD101/'ASK (live)'!AD101,"-")</f>
        <v>0.98946785973125595</v>
      </c>
      <c r="AE101" s="10">
        <f ca="1">IFERROR('RPK (live)'!AE101/'ASK (live)'!AE101,"-")</f>
        <v>0.93100257025239919</v>
      </c>
    </row>
    <row r="102" spans="1:31">
      <c r="A102" s="1" t="s">
        <v>152</v>
      </c>
      <c r="B102" s="5" t="s">
        <v>266</v>
      </c>
      <c r="C102" s="5" t="s">
        <v>267</v>
      </c>
      <c r="D102" s="5" t="s">
        <v>265</v>
      </c>
      <c r="E102" s="5" t="s">
        <v>21</v>
      </c>
      <c r="F102" s="5" t="s">
        <v>22</v>
      </c>
      <c r="G102" s="6"/>
      <c r="H102" s="6"/>
      <c r="I102" s="6"/>
      <c r="J102" s="6"/>
      <c r="K102" s="6"/>
      <c r="L102" s="10">
        <f ca="1">IFERROR('RPK (live)'!L102/'ASK (live)'!L102,"-")</f>
        <v>0.86999999999999988</v>
      </c>
      <c r="M102" s="10">
        <f ca="1">IFERROR('RPK (live)'!M102/'ASK (live)'!M102,"-")</f>
        <v>0.91124286802139853</v>
      </c>
      <c r="N102" s="10">
        <f ca="1">IFERROR('RPK (live)'!N102/'ASK (live)'!N102,"-")</f>
        <v>0.86</v>
      </c>
      <c r="O102" s="10">
        <f ca="1">IFERROR('RPK (live)'!O102/'ASK (live)'!O102,"-")</f>
        <v>0.84</v>
      </c>
      <c r="P102" s="10">
        <f ca="1">IFERROR('RPK (live)'!P102/'ASK (live)'!P102,"-")</f>
        <v>0.98</v>
      </c>
      <c r="Q102" s="10">
        <f ca="1">IFERROR('RPK (live)'!Q102/'ASK (live)'!Q102,"-")</f>
        <v>0.94999999999999984</v>
      </c>
      <c r="R102" s="10">
        <f ca="1">IFERROR('RPK (live)'!R102/'ASK (live)'!R102,"-")</f>
        <v>0.98000000000000009</v>
      </c>
      <c r="S102" s="10">
        <f ca="1">IFERROR('RPK (live)'!S102/'ASK (live)'!S102,"-")</f>
        <v>0.98000000000000009</v>
      </c>
      <c r="T102" s="10">
        <f ca="1">IFERROR('RPK (live)'!T102/'ASK (live)'!T102,"-")</f>
        <v>0.95415401292692936</v>
      </c>
      <c r="U102" s="10">
        <f ca="1">IFERROR('RPK (live)'!U102/'ASK (live)'!U102,"-")</f>
        <v>0.99051911298780138</v>
      </c>
      <c r="V102" s="10">
        <f ca="1">IFERROR('RPK (live)'!V102/'ASK (live)'!V102,"-")</f>
        <v>0.967651222336812</v>
      </c>
      <c r="W102" s="10">
        <f ca="1">IFERROR('RPK (live)'!W102/'ASK (live)'!W102,"-")</f>
        <v>0.79925190707160887</v>
      </c>
      <c r="X102" s="10">
        <f ca="1">IFERROR('RPK (live)'!X102/'ASK (live)'!X102,"-")</f>
        <v>0.77977905794748525</v>
      </c>
      <c r="Y102" s="10">
        <f ca="1">IFERROR('RPK (live)'!Y102/'ASK (live)'!Y102,"-")</f>
        <v>0.9229520200128849</v>
      </c>
      <c r="Z102" s="10">
        <f ca="1">IFERROR('RPK (live)'!Z102/'ASK (live)'!Z102,"-")</f>
        <v>0.88273214911343101</v>
      </c>
      <c r="AA102" s="10">
        <f ca="1">IFERROR('RPK (live)'!AA102/'ASK (live)'!AA102,"-")</f>
        <v>0.91287256006794104</v>
      </c>
      <c r="AB102" s="10">
        <f ca="1">IFERROR('RPK (live)'!AB102/'ASK (live)'!AB102,"-")</f>
        <v>0.9905191129878016</v>
      </c>
      <c r="AC102" s="10">
        <f ca="1">IFERROR('RPK (live)'!AC102/'ASK (live)'!AC102,"-")</f>
        <v>0.97020364221467559</v>
      </c>
      <c r="AD102" s="10">
        <f ca="1">IFERROR('RPK (live)'!AD102/'ASK (live)'!AD102,"-")</f>
        <v>0.98946785973125595</v>
      </c>
      <c r="AE102" s="10">
        <f ca="1">IFERROR('RPK (live)'!AE102/'ASK (live)'!AE102,"-")</f>
        <v>0.93100257025239919</v>
      </c>
    </row>
    <row r="103" spans="1:31">
      <c r="A103" s="1" t="s">
        <v>152</v>
      </c>
      <c r="B103" s="5" t="s">
        <v>268</v>
      </c>
      <c r="C103" s="5" t="s">
        <v>264</v>
      </c>
      <c r="D103" s="5" t="s">
        <v>21</v>
      </c>
      <c r="E103" s="5" t="s">
        <v>265</v>
      </c>
      <c r="F103" s="5" t="s">
        <v>22</v>
      </c>
      <c r="G103" s="6"/>
      <c r="H103" s="6"/>
      <c r="I103" s="6"/>
      <c r="J103" s="6"/>
      <c r="K103" s="6"/>
      <c r="L103" s="10">
        <f ca="1">IFERROR('RPK (live)'!L103/'ASK (live)'!L103,"-")</f>
        <v>0.86999999999999977</v>
      </c>
      <c r="M103" s="10">
        <f ca="1">IFERROR('RPK (live)'!M103/'ASK (live)'!M103,"-")</f>
        <v>0.91124286802139842</v>
      </c>
      <c r="N103" s="10">
        <f ca="1">IFERROR('RPK (live)'!N103/'ASK (live)'!N103,"-")</f>
        <v>0.86</v>
      </c>
      <c r="O103" s="10">
        <f ca="1">IFERROR('RPK (live)'!O103/'ASK (live)'!O103,"-")</f>
        <v>0.83999999999999986</v>
      </c>
      <c r="P103" s="10">
        <f ca="1">IFERROR('RPK (live)'!P103/'ASK (live)'!P103,"-")</f>
        <v>0.97999999999999987</v>
      </c>
      <c r="Q103" s="10">
        <f ca="1">IFERROR('RPK (live)'!Q103/'ASK (live)'!Q103,"-")</f>
        <v>0.94999999999999984</v>
      </c>
      <c r="R103" s="10">
        <f ca="1">IFERROR('RPK (live)'!R103/'ASK (live)'!R103,"-")</f>
        <v>0.98</v>
      </c>
      <c r="S103" s="10">
        <f ca="1">IFERROR('RPK (live)'!S103/'ASK (live)'!S103,"-")</f>
        <v>0.98</v>
      </c>
      <c r="T103" s="10">
        <f ca="1">IFERROR('RPK (live)'!T103/'ASK (live)'!T103,"-")</f>
        <v>0.95415401292692925</v>
      </c>
      <c r="U103" s="10">
        <f ca="1">IFERROR('RPK (live)'!U103/'ASK (live)'!U103,"-")</f>
        <v>0.99051911298780126</v>
      </c>
      <c r="V103" s="10">
        <f ca="1">IFERROR('RPK (live)'!V103/'ASK (live)'!V103,"-")</f>
        <v>0.967651222336812</v>
      </c>
      <c r="W103" s="10">
        <f ca="1">IFERROR('RPK (live)'!W103/'ASK (live)'!W103,"-")</f>
        <v>0.79925190707160887</v>
      </c>
      <c r="X103" s="10">
        <f ca="1">IFERROR('RPK (live)'!X103/'ASK (live)'!X103,"-")</f>
        <v>0.77977905794748525</v>
      </c>
      <c r="Y103" s="10">
        <f ca="1">IFERROR('RPK (live)'!Y103/'ASK (live)'!Y103,"-")</f>
        <v>0.92295202001288512</v>
      </c>
      <c r="Z103" s="10">
        <f ca="1">IFERROR('RPK (live)'!Z103/'ASK (live)'!Z103,"-")</f>
        <v>0.8827321491134309</v>
      </c>
      <c r="AA103" s="10">
        <f ca="1">IFERROR('RPK (live)'!AA103/'ASK (live)'!AA103,"-")</f>
        <v>0.91287256006794093</v>
      </c>
      <c r="AB103" s="10">
        <f ca="1">IFERROR('RPK (live)'!AB103/'ASK (live)'!AB103,"-")</f>
        <v>0.99051911298780149</v>
      </c>
      <c r="AC103" s="10">
        <f ca="1">IFERROR('RPK (live)'!AC103/'ASK (live)'!AC103,"-")</f>
        <v>0.97020364221467559</v>
      </c>
      <c r="AD103" s="10">
        <f ca="1">IFERROR('RPK (live)'!AD103/'ASK (live)'!AD103,"-")</f>
        <v>0.98946785973125606</v>
      </c>
      <c r="AE103" s="10">
        <f ca="1">IFERROR('RPK (live)'!AE103/'ASK (live)'!AE103,"-")</f>
        <v>0.93100257025239908</v>
      </c>
    </row>
    <row r="104" spans="1:31">
      <c r="A104" s="1" t="s">
        <v>152</v>
      </c>
      <c r="B104" s="5" t="s">
        <v>269</v>
      </c>
      <c r="C104" s="5" t="s">
        <v>267</v>
      </c>
      <c r="D104" s="5" t="s">
        <v>265</v>
      </c>
      <c r="E104" s="5" t="s">
        <v>21</v>
      </c>
      <c r="F104" s="5" t="s">
        <v>22</v>
      </c>
      <c r="G104" s="6"/>
      <c r="H104" s="6"/>
      <c r="I104" s="6"/>
      <c r="J104" s="6"/>
      <c r="K104" s="6"/>
      <c r="L104" s="10">
        <f ca="1">IFERROR('RPK (live)'!L104/'ASK (live)'!L104,"-")</f>
        <v>0.86999999999999977</v>
      </c>
      <c r="M104" s="10">
        <f ca="1">IFERROR('RPK (live)'!M104/'ASK (live)'!M104,"-")</f>
        <v>0.91124286802139842</v>
      </c>
      <c r="N104" s="10">
        <f ca="1">IFERROR('RPK (live)'!N104/'ASK (live)'!N104,"-")</f>
        <v>0.86</v>
      </c>
      <c r="O104" s="10">
        <f ca="1">IFERROR('RPK (live)'!O104/'ASK (live)'!O104,"-")</f>
        <v>0.83999999999999986</v>
      </c>
      <c r="P104" s="10">
        <f ca="1">IFERROR('RPK (live)'!P104/'ASK (live)'!P104,"-")</f>
        <v>0.97999999999999987</v>
      </c>
      <c r="Q104" s="10">
        <f ca="1">IFERROR('RPK (live)'!Q104/'ASK (live)'!Q104,"-")</f>
        <v>0.94999999999999984</v>
      </c>
      <c r="R104" s="10">
        <f ca="1">IFERROR('RPK (live)'!R104/'ASK (live)'!R104,"-")</f>
        <v>0.98</v>
      </c>
      <c r="S104" s="10">
        <f ca="1">IFERROR('RPK (live)'!S104/'ASK (live)'!S104,"-")</f>
        <v>0.98</v>
      </c>
      <c r="T104" s="10">
        <f ca="1">IFERROR('RPK (live)'!T104/'ASK (live)'!T104,"-")</f>
        <v>0.95415401292692925</v>
      </c>
      <c r="U104" s="10">
        <f ca="1">IFERROR('RPK (live)'!U104/'ASK (live)'!U104,"-")</f>
        <v>0.99051911298780126</v>
      </c>
      <c r="V104" s="10">
        <f ca="1">IFERROR('RPK (live)'!V104/'ASK (live)'!V104,"-")</f>
        <v>0.967651222336812</v>
      </c>
      <c r="W104" s="10">
        <f ca="1">IFERROR('RPK (live)'!W104/'ASK (live)'!W104,"-")</f>
        <v>0.79925190707160887</v>
      </c>
      <c r="X104" s="10">
        <f ca="1">IFERROR('RPK (live)'!X104/'ASK (live)'!X104,"-")</f>
        <v>0.77977905794748525</v>
      </c>
      <c r="Y104" s="10">
        <f ca="1">IFERROR('RPK (live)'!Y104/'ASK (live)'!Y104,"-")</f>
        <v>0.92295202001288512</v>
      </c>
      <c r="Z104" s="10">
        <f ca="1">IFERROR('RPK (live)'!Z104/'ASK (live)'!Z104,"-")</f>
        <v>0.8827321491134309</v>
      </c>
      <c r="AA104" s="10">
        <f ca="1">IFERROR('RPK (live)'!AA104/'ASK (live)'!AA104,"-")</f>
        <v>0.91287256006794093</v>
      </c>
      <c r="AB104" s="10">
        <f ca="1">IFERROR('RPK (live)'!AB104/'ASK (live)'!AB104,"-")</f>
        <v>0.99051911298780149</v>
      </c>
      <c r="AC104" s="10">
        <f ca="1">IFERROR('RPK (live)'!AC104/'ASK (live)'!AC104,"-")</f>
        <v>0.9702036422146757</v>
      </c>
      <c r="AD104" s="10">
        <f ca="1">IFERROR('RPK (live)'!AD104/'ASK (live)'!AD104,"-")</f>
        <v>0.98946785973125606</v>
      </c>
      <c r="AE104" s="10">
        <f ca="1">IFERROR('RPK (live)'!AE104/'ASK (live)'!AE104,"-")</f>
        <v>0.93100257025239908</v>
      </c>
    </row>
    <row r="105" spans="1:31">
      <c r="A105" s="1" t="s">
        <v>152</v>
      </c>
      <c r="B105" s="5" t="s">
        <v>270</v>
      </c>
      <c r="C105" s="5" t="s">
        <v>271</v>
      </c>
      <c r="D105" s="5" t="s">
        <v>21</v>
      </c>
      <c r="E105" s="5" t="s">
        <v>272</v>
      </c>
      <c r="F105" s="5" t="s">
        <v>22</v>
      </c>
      <c r="G105" s="6"/>
      <c r="H105" s="6"/>
      <c r="I105" s="6"/>
      <c r="J105" s="6"/>
      <c r="K105" s="6"/>
      <c r="L105" s="10">
        <f ca="1">IFERROR('RPK (live)'!L105/'ASK (live)'!L105,"-")</f>
        <v>0.8</v>
      </c>
      <c r="M105" s="10">
        <f ca="1">IFERROR('RPK (live)'!M105/'ASK (live)'!M105,"-")</f>
        <v>0.93149270953298535</v>
      </c>
      <c r="N105" s="10">
        <f ca="1">IFERROR('RPK (live)'!N105/'ASK (live)'!N105,"-")</f>
        <v>0.85</v>
      </c>
      <c r="O105" s="10">
        <f ca="1">IFERROR('RPK (live)'!O105/'ASK (live)'!O105,"-")</f>
        <v>0.72</v>
      </c>
      <c r="P105" s="10">
        <f ca="1">IFERROR('RPK (live)'!P105/'ASK (live)'!P105,"-")</f>
        <v>0.83</v>
      </c>
      <c r="Q105" s="10">
        <f ca="1">IFERROR('RPK (live)'!Q105/'ASK (live)'!Q105,"-")</f>
        <v>0.83</v>
      </c>
      <c r="R105" s="10">
        <f ca="1">IFERROR('RPK (live)'!R105/'ASK (live)'!R105,"-")</f>
        <v>0.69999999999999984</v>
      </c>
      <c r="S105" s="10">
        <f ca="1">IFERROR('RPK (live)'!S105/'ASK (live)'!S105,"-")</f>
        <v>0.70999999999999985</v>
      </c>
      <c r="T105" s="10">
        <f ca="1">IFERROR('RPK (live)'!T105/'ASK (live)'!T105,"-")</f>
        <v>0.76473236031002079</v>
      </c>
      <c r="U105" s="10">
        <f ca="1">IFERROR('RPK (live)'!U105/'ASK (live)'!U105,"-")</f>
        <v>0.77457588946102007</v>
      </c>
      <c r="V105" s="10">
        <f ca="1">IFERROR('RPK (live)'!V105/'ASK (live)'!V105,"-")</f>
        <v>0.80043863415898087</v>
      </c>
      <c r="W105" s="10">
        <f ca="1">IFERROR('RPK (live)'!W105/'ASK (live)'!W105,"-")</f>
        <v>0.83322128128106865</v>
      </c>
      <c r="X105" s="10">
        <f ca="1">IFERROR('RPK (live)'!X105/'ASK (live)'!X105,"-")</f>
        <v>0.90726082688570053</v>
      </c>
      <c r="Y105" s="10">
        <f ca="1">IFERROR('RPK (live)'!Y105/'ASK (live)'!Y105,"-")</f>
        <v>0.91786814942484929</v>
      </c>
      <c r="Z105" s="10">
        <f ca="1">IFERROR('RPK (live)'!Z105/'ASK (live)'!Z105,"-")</f>
        <v>0.86394125991415127</v>
      </c>
      <c r="AA105" s="10">
        <f ca="1">IFERROR('RPK (live)'!AA105/'ASK (live)'!AA105,"-")</f>
        <v>0.72193125089463583</v>
      </c>
      <c r="AB105" s="10">
        <f ca="1">IFERROR('RPK (live)'!AB105/'ASK (live)'!AB105,"-")</f>
        <v>0.86738293979635217</v>
      </c>
      <c r="AC105" s="10">
        <f ca="1">IFERROR('RPK (live)'!AC105/'ASK (live)'!AC105,"-")</f>
        <v>0.9064090538356061</v>
      </c>
      <c r="AD105" s="10">
        <f ca="1">IFERROR('RPK (live)'!AD105/'ASK (live)'!AD105,"-")</f>
        <v>0.92790788195407103</v>
      </c>
      <c r="AE105" s="10">
        <f ca="1">IFERROR('RPK (live)'!AE105/'ASK (live)'!AE105,"-")</f>
        <v>0.78157299711984207</v>
      </c>
    </row>
    <row r="106" spans="1:31">
      <c r="A106" s="1" t="s">
        <v>152</v>
      </c>
      <c r="B106" s="5" t="s">
        <v>273</v>
      </c>
      <c r="C106" s="5" t="s">
        <v>274</v>
      </c>
      <c r="D106" s="5" t="s">
        <v>272</v>
      </c>
      <c r="E106" s="5" t="s">
        <v>21</v>
      </c>
      <c r="F106" s="5" t="s">
        <v>22</v>
      </c>
      <c r="G106" s="6"/>
      <c r="H106" s="6"/>
      <c r="I106" s="6"/>
      <c r="J106" s="6"/>
      <c r="K106" s="6"/>
      <c r="L106" s="10">
        <f ca="1">IFERROR('RPK (live)'!L106/'ASK (live)'!L106,"-")</f>
        <v>0.8</v>
      </c>
      <c r="M106" s="10">
        <f ca="1">IFERROR('RPK (live)'!M106/'ASK (live)'!M106,"-")</f>
        <v>0.93149270953298535</v>
      </c>
      <c r="N106" s="10">
        <f ca="1">IFERROR('RPK (live)'!N106/'ASK (live)'!N106,"-")</f>
        <v>0.85</v>
      </c>
      <c r="O106" s="10">
        <f ca="1">IFERROR('RPK (live)'!O106/'ASK (live)'!O106,"-")</f>
        <v>0.72</v>
      </c>
      <c r="P106" s="10">
        <f ca="1">IFERROR('RPK (live)'!P106/'ASK (live)'!P106,"-")</f>
        <v>0.83</v>
      </c>
      <c r="Q106" s="10">
        <f ca="1">IFERROR('RPK (live)'!Q106/'ASK (live)'!Q106,"-")</f>
        <v>0.83</v>
      </c>
      <c r="R106" s="10">
        <f ca="1">IFERROR('RPK (live)'!R106/'ASK (live)'!R106,"-")</f>
        <v>0.69999999999999984</v>
      </c>
      <c r="S106" s="10">
        <f ca="1">IFERROR('RPK (live)'!S106/'ASK (live)'!S106,"-")</f>
        <v>0.70999999999999985</v>
      </c>
      <c r="T106" s="10">
        <f ca="1">IFERROR('RPK (live)'!T106/'ASK (live)'!T106,"-")</f>
        <v>0.76473236031002079</v>
      </c>
      <c r="U106" s="10">
        <f ca="1">IFERROR('RPK (live)'!U106/'ASK (live)'!U106,"-")</f>
        <v>0.77457588946102007</v>
      </c>
      <c r="V106" s="10">
        <f ca="1">IFERROR('RPK (live)'!V106/'ASK (live)'!V106,"-")</f>
        <v>0.80043863415898087</v>
      </c>
      <c r="W106" s="10">
        <f ca="1">IFERROR('RPK (live)'!W106/'ASK (live)'!W106,"-")</f>
        <v>0.83322128128106865</v>
      </c>
      <c r="X106" s="10">
        <f ca="1">IFERROR('RPK (live)'!X106/'ASK (live)'!X106,"-")</f>
        <v>0.90726082688570053</v>
      </c>
      <c r="Y106" s="10">
        <f ca="1">IFERROR('RPK (live)'!Y106/'ASK (live)'!Y106,"-")</f>
        <v>0.91786814942484929</v>
      </c>
      <c r="Z106" s="10">
        <f ca="1">IFERROR('RPK (live)'!Z106/'ASK (live)'!Z106,"-")</f>
        <v>0.86394125991415127</v>
      </c>
      <c r="AA106" s="10">
        <f ca="1">IFERROR('RPK (live)'!AA106/'ASK (live)'!AA106,"-")</f>
        <v>0.72193125089463583</v>
      </c>
      <c r="AB106" s="10">
        <f ca="1">IFERROR('RPK (live)'!AB106/'ASK (live)'!AB106,"-")</f>
        <v>0.86738293979635217</v>
      </c>
      <c r="AC106" s="10">
        <f ca="1">IFERROR('RPK (live)'!AC106/'ASK (live)'!AC106,"-")</f>
        <v>0.90640905383560633</v>
      </c>
      <c r="AD106" s="10">
        <f ca="1">IFERROR('RPK (live)'!AD106/'ASK (live)'!AD106,"-")</f>
        <v>0.92790788195407103</v>
      </c>
      <c r="AE106" s="10">
        <f ca="1">IFERROR('RPK (live)'!AE106/'ASK (live)'!AE106,"-")</f>
        <v>0.78157299711984207</v>
      </c>
    </row>
    <row r="107" spans="1:31">
      <c r="A107" s="1" t="s">
        <v>152</v>
      </c>
      <c r="B107" s="5" t="s">
        <v>275</v>
      </c>
      <c r="C107" s="5" t="s">
        <v>276</v>
      </c>
      <c r="D107" s="5" t="s">
        <v>21</v>
      </c>
      <c r="E107" s="5" t="s">
        <v>277</v>
      </c>
      <c r="F107" s="5" t="s">
        <v>22</v>
      </c>
      <c r="G107" s="6"/>
      <c r="H107" s="6"/>
      <c r="I107" s="6"/>
      <c r="J107" s="6"/>
      <c r="K107" s="6"/>
      <c r="L107" s="10">
        <f ca="1">IFERROR('RPK (live)'!L107/'ASK (live)'!L107,"-")</f>
        <v>0.83</v>
      </c>
      <c r="M107" s="10">
        <f ca="1">IFERROR('RPK (live)'!M107/'ASK (live)'!M107,"-")</f>
        <v>0.91124286802139853</v>
      </c>
      <c r="N107" s="10">
        <f ca="1">IFERROR('RPK (live)'!N107/'ASK (live)'!N107,"-")</f>
        <v>0.80000000000000016</v>
      </c>
      <c r="O107" s="10">
        <f ca="1">IFERROR('RPK (live)'!O107/'ASK (live)'!O107,"-")</f>
        <v>0.9</v>
      </c>
      <c r="P107" s="10">
        <f ca="1">IFERROR('RPK (live)'!P107/'ASK (live)'!P107,"-")</f>
        <v>0.93</v>
      </c>
      <c r="Q107" s="10">
        <f ca="1">IFERROR('RPK (live)'!Q107/'ASK (live)'!Q107,"-")</f>
        <v>0.80000000000000016</v>
      </c>
      <c r="R107" s="10">
        <f ca="1">IFERROR('RPK (live)'!R107/'ASK (live)'!R107,"-")</f>
        <v>0.8</v>
      </c>
      <c r="S107" s="10">
        <f ca="1">IFERROR('RPK (live)'!S107/'ASK (live)'!S107,"-")</f>
        <v>0.80000000000000016</v>
      </c>
      <c r="T107" s="10">
        <f ca="1">IFERROR('RPK (live)'!T107/'ASK (live)'!T107,"-")</f>
        <v>0.9905191129878016</v>
      </c>
      <c r="U107" s="10">
        <f ca="1">IFERROR('RPK (live)'!U107/'ASK (live)'!U107,"-")</f>
        <v>0.95846987748340062</v>
      </c>
      <c r="V107" s="10">
        <f ca="1">IFERROR('RPK (live)'!V107/'ASK (live)'!V107,"-")</f>
        <v>0.89767095564384791</v>
      </c>
      <c r="W107" s="10">
        <f ca="1">IFERROR('RPK (live)'!W107/'ASK (live)'!W107,"-")</f>
        <v>0.83878943151650442</v>
      </c>
      <c r="X107" s="10">
        <f ca="1">IFERROR('RPK (live)'!X107/'ASK (live)'!X107,"-")</f>
        <v>0.86846289561753243</v>
      </c>
      <c r="Y107" s="10">
        <f ca="1">IFERROR('RPK (live)'!Y107/'ASK (live)'!Y107,"-")</f>
        <v>0.9762219113866677</v>
      </c>
      <c r="Z107" s="10">
        <f ca="1">IFERROR('RPK (live)'!Z107/'ASK (live)'!Z107,"-")</f>
        <v>0.9253564995188488</v>
      </c>
      <c r="AA107" s="10">
        <f ca="1">IFERROR('RPK (live)'!AA107/'ASK (live)'!AA107,"-")</f>
        <v>0.85291187621037501</v>
      </c>
      <c r="AB107" s="10">
        <f ca="1">IFERROR('RPK (live)'!AB107/'ASK (live)'!AB107,"-")</f>
        <v>0.98210602483091658</v>
      </c>
      <c r="AC107" s="10">
        <f ca="1">IFERROR('RPK (live)'!AC107/'ASK (live)'!AC107,"-")</f>
        <v>0.82492618908322946</v>
      </c>
      <c r="AD107" s="10">
        <f ca="1">IFERROR('RPK (live)'!AD107/'ASK (live)'!AD107,"-")</f>
        <v>0.92102857489403167</v>
      </c>
      <c r="AE107" s="10">
        <f ca="1">IFERROR('RPK (live)'!AE107/'ASK (live)'!AE107,"-")</f>
        <v>0.87153779383006824</v>
      </c>
    </row>
    <row r="108" spans="1:31">
      <c r="A108" s="1" t="s">
        <v>152</v>
      </c>
      <c r="B108" s="5" t="s">
        <v>278</v>
      </c>
      <c r="C108" s="5" t="s">
        <v>279</v>
      </c>
      <c r="D108" s="5" t="s">
        <v>277</v>
      </c>
      <c r="E108" s="5" t="s">
        <v>21</v>
      </c>
      <c r="F108" s="5" t="s">
        <v>22</v>
      </c>
      <c r="G108" s="6"/>
      <c r="H108" s="6"/>
      <c r="I108" s="6"/>
      <c r="J108" s="6"/>
      <c r="K108" s="6"/>
      <c r="L108" s="10">
        <f ca="1">IFERROR('RPK (live)'!L108/'ASK (live)'!L108,"-")</f>
        <v>0.83</v>
      </c>
      <c r="M108" s="10">
        <f ca="1">IFERROR('RPK (live)'!M108/'ASK (live)'!M108,"-")</f>
        <v>0.91124286802139853</v>
      </c>
      <c r="N108" s="10">
        <f ca="1">IFERROR('RPK (live)'!N108/'ASK (live)'!N108,"-")</f>
        <v>0.80000000000000016</v>
      </c>
      <c r="O108" s="10">
        <f ca="1">IFERROR('RPK (live)'!O108/'ASK (live)'!O108,"-")</f>
        <v>0.9</v>
      </c>
      <c r="P108" s="10">
        <f ca="1">IFERROR('RPK (live)'!P108/'ASK (live)'!P108,"-")</f>
        <v>0.93</v>
      </c>
      <c r="Q108" s="10">
        <f ca="1">IFERROR('RPK (live)'!Q108/'ASK (live)'!Q108,"-")</f>
        <v>0.80000000000000016</v>
      </c>
      <c r="R108" s="10">
        <f ca="1">IFERROR('RPK (live)'!R108/'ASK (live)'!R108,"-")</f>
        <v>0.8</v>
      </c>
      <c r="S108" s="10">
        <f ca="1">IFERROR('RPK (live)'!S108/'ASK (live)'!S108,"-")</f>
        <v>0.80000000000000016</v>
      </c>
      <c r="T108" s="10">
        <f ca="1">IFERROR('RPK (live)'!T108/'ASK (live)'!T108,"-")</f>
        <v>0.9905191129878016</v>
      </c>
      <c r="U108" s="10">
        <f ca="1">IFERROR('RPK (live)'!U108/'ASK (live)'!U108,"-")</f>
        <v>0.95846987748340062</v>
      </c>
      <c r="V108" s="10">
        <f ca="1">IFERROR('RPK (live)'!V108/'ASK (live)'!V108,"-")</f>
        <v>0.89767095564384791</v>
      </c>
      <c r="W108" s="10">
        <f ca="1">IFERROR('RPK (live)'!W108/'ASK (live)'!W108,"-")</f>
        <v>0.83878943151650442</v>
      </c>
      <c r="X108" s="10">
        <f ca="1">IFERROR('RPK (live)'!X108/'ASK (live)'!X108,"-")</f>
        <v>0.86846289561753243</v>
      </c>
      <c r="Y108" s="10">
        <f ca="1">IFERROR('RPK (live)'!Y108/'ASK (live)'!Y108,"-")</f>
        <v>0.9762219113866677</v>
      </c>
      <c r="Z108" s="10">
        <f ca="1">IFERROR('RPK (live)'!Z108/'ASK (live)'!Z108,"-")</f>
        <v>0.9253564995188488</v>
      </c>
      <c r="AA108" s="10">
        <f ca="1">IFERROR('RPK (live)'!AA108/'ASK (live)'!AA108,"-")</f>
        <v>0.85291187621037501</v>
      </c>
      <c r="AB108" s="10">
        <f ca="1">IFERROR('RPK (live)'!AB108/'ASK (live)'!AB108,"-")</f>
        <v>0.98210602483091658</v>
      </c>
      <c r="AC108" s="10">
        <f ca="1">IFERROR('RPK (live)'!AC108/'ASK (live)'!AC108,"-")</f>
        <v>0.82492618908322946</v>
      </c>
      <c r="AD108" s="10">
        <f ca="1">IFERROR('RPK (live)'!AD108/'ASK (live)'!AD108,"-")</f>
        <v>0.92102857489403167</v>
      </c>
      <c r="AE108" s="10">
        <f ca="1">IFERROR('RPK (live)'!AE108/'ASK (live)'!AE108,"-")</f>
        <v>0.87153779383006824</v>
      </c>
    </row>
    <row r="109" spans="1:31">
      <c r="A109" s="1" t="s">
        <v>152</v>
      </c>
      <c r="B109" s="5" t="s">
        <v>280</v>
      </c>
      <c r="C109" s="5" t="s">
        <v>276</v>
      </c>
      <c r="D109" s="5" t="s">
        <v>21</v>
      </c>
      <c r="E109" s="5" t="s">
        <v>277</v>
      </c>
      <c r="F109" s="5" t="s">
        <v>22</v>
      </c>
      <c r="G109" s="6"/>
      <c r="H109" s="6"/>
      <c r="I109" s="6"/>
      <c r="J109" s="6"/>
      <c r="K109" s="6"/>
      <c r="L109" s="10" t="str">
        <f ca="1">IFERROR('RPK (live)'!L109/'ASK (live)'!L109,"-")</f>
        <v>-</v>
      </c>
      <c r="M109" s="10" t="str">
        <f ca="1">IFERROR('RPK (live)'!M109/'ASK (live)'!M109,"-")</f>
        <v>-</v>
      </c>
      <c r="N109" s="10" t="str">
        <f ca="1">IFERROR('RPK (live)'!N109/'ASK (live)'!N109,"-")</f>
        <v>-</v>
      </c>
      <c r="O109" s="10" t="str">
        <f ca="1">IFERROR('RPK (live)'!O109/'ASK (live)'!O109,"-")</f>
        <v>-</v>
      </c>
      <c r="P109" s="10" t="str">
        <f ca="1">IFERROR('RPK (live)'!P109/'ASK (live)'!P109,"-")</f>
        <v>-</v>
      </c>
      <c r="Q109" s="10">
        <f ca="1">IFERROR('RPK (live)'!Q109/'ASK (live)'!Q109,"-")</f>
        <v>0.8</v>
      </c>
      <c r="R109" s="10">
        <f ca="1">IFERROR('RPK (live)'!R109/'ASK (live)'!R109,"-")</f>
        <v>0.79999999999999993</v>
      </c>
      <c r="S109" s="10">
        <f ca="1">IFERROR('RPK (live)'!S109/'ASK (live)'!S109,"-")</f>
        <v>0.80000000000000016</v>
      </c>
      <c r="T109" s="10" t="str">
        <f ca="1">IFERROR('RPK (live)'!T109/'ASK (live)'!T109,"-")</f>
        <v>-</v>
      </c>
      <c r="U109" s="10" t="str">
        <f ca="1">IFERROR('RPK (live)'!U109/'ASK (live)'!U109,"-")</f>
        <v>-</v>
      </c>
      <c r="V109" s="10" t="str">
        <f ca="1">IFERROR('RPK (live)'!V109/'ASK (live)'!V109,"-")</f>
        <v>-</v>
      </c>
      <c r="W109" s="10" t="str">
        <f ca="1">IFERROR('RPK (live)'!W109/'ASK (live)'!W109,"-")</f>
        <v>-</v>
      </c>
      <c r="X109" s="10" t="str">
        <f ca="1">IFERROR('RPK (live)'!X109/'ASK (live)'!X109,"-")</f>
        <v>-</v>
      </c>
      <c r="Y109" s="10" t="str">
        <f ca="1">IFERROR('RPK (live)'!Y109/'ASK (live)'!Y109,"-")</f>
        <v>-</v>
      </c>
      <c r="Z109" s="10" t="str">
        <f ca="1">IFERROR('RPK (live)'!Z109/'ASK (live)'!Z109,"-")</f>
        <v>-</v>
      </c>
      <c r="AA109" s="10" t="str">
        <f ca="1">IFERROR('RPK (live)'!AA109/'ASK (live)'!AA109,"-")</f>
        <v>-</v>
      </c>
      <c r="AB109" s="10" t="str">
        <f ca="1">IFERROR('RPK (live)'!AB109/'ASK (live)'!AB109,"-")</f>
        <v>-</v>
      </c>
      <c r="AC109" s="10" t="str">
        <f ca="1">IFERROR('RPK (live)'!AC109/'ASK (live)'!AC109,"-")</f>
        <v>-</v>
      </c>
      <c r="AD109" s="10" t="str">
        <f ca="1">IFERROR('RPK (live)'!AD109/'ASK (live)'!AD109,"-")</f>
        <v>-</v>
      </c>
      <c r="AE109" s="10" t="str">
        <f ca="1">IFERROR('RPK (live)'!AE109/'ASK (live)'!AE109,"-")</f>
        <v>-</v>
      </c>
    </row>
    <row r="110" spans="1:31">
      <c r="A110" s="1" t="s">
        <v>152</v>
      </c>
      <c r="B110" s="5" t="s">
        <v>281</v>
      </c>
      <c r="C110" s="5" t="s">
        <v>279</v>
      </c>
      <c r="D110" s="5" t="s">
        <v>277</v>
      </c>
      <c r="E110" s="5" t="s">
        <v>21</v>
      </c>
      <c r="F110" s="5" t="s">
        <v>22</v>
      </c>
      <c r="G110" s="6"/>
      <c r="H110" s="6"/>
      <c r="I110" s="6"/>
      <c r="J110" s="6"/>
      <c r="K110" s="6"/>
      <c r="L110" s="10" t="str">
        <f ca="1">IFERROR('RPK (live)'!L110/'ASK (live)'!L110,"-")</f>
        <v>-</v>
      </c>
      <c r="M110" s="10" t="str">
        <f ca="1">IFERROR('RPK (live)'!M110/'ASK (live)'!M110,"-")</f>
        <v>-</v>
      </c>
      <c r="N110" s="10" t="str">
        <f ca="1">IFERROR('RPK (live)'!N110/'ASK (live)'!N110,"-")</f>
        <v>-</v>
      </c>
      <c r="O110" s="10" t="str">
        <f ca="1">IFERROR('RPK (live)'!O110/'ASK (live)'!O110,"-")</f>
        <v>-</v>
      </c>
      <c r="P110" s="10" t="str">
        <f ca="1">IFERROR('RPK (live)'!P110/'ASK (live)'!P110,"-")</f>
        <v>-</v>
      </c>
      <c r="Q110" s="10">
        <f ca="1">IFERROR('RPK (live)'!Q110/'ASK (live)'!Q110,"-")</f>
        <v>0.8</v>
      </c>
      <c r="R110" s="10">
        <f ca="1">IFERROR('RPK (live)'!R110/'ASK (live)'!R110,"-")</f>
        <v>0.79999999999999993</v>
      </c>
      <c r="S110" s="10">
        <f ca="1">IFERROR('RPK (live)'!S110/'ASK (live)'!S110,"-")</f>
        <v>0.80000000000000016</v>
      </c>
      <c r="T110" s="10" t="str">
        <f ca="1">IFERROR('RPK (live)'!T110/'ASK (live)'!T110,"-")</f>
        <v>-</v>
      </c>
      <c r="U110" s="10" t="str">
        <f ca="1">IFERROR('RPK (live)'!U110/'ASK (live)'!U110,"-")</f>
        <v>-</v>
      </c>
      <c r="V110" s="10" t="str">
        <f ca="1">IFERROR('RPK (live)'!V110/'ASK (live)'!V110,"-")</f>
        <v>-</v>
      </c>
      <c r="W110" s="10" t="str">
        <f ca="1">IFERROR('RPK (live)'!W110/'ASK (live)'!W110,"-")</f>
        <v>-</v>
      </c>
      <c r="X110" s="10" t="str">
        <f ca="1">IFERROR('RPK (live)'!X110/'ASK (live)'!X110,"-")</f>
        <v>-</v>
      </c>
      <c r="Y110" s="10" t="str">
        <f ca="1">IFERROR('RPK (live)'!Y110/'ASK (live)'!Y110,"-")</f>
        <v>-</v>
      </c>
      <c r="Z110" s="10" t="str">
        <f ca="1">IFERROR('RPK (live)'!Z110/'ASK (live)'!Z110,"-")</f>
        <v>-</v>
      </c>
      <c r="AA110" s="10" t="str">
        <f ca="1">IFERROR('RPK (live)'!AA110/'ASK (live)'!AA110,"-")</f>
        <v>-</v>
      </c>
      <c r="AB110" s="10" t="str">
        <f ca="1">IFERROR('RPK (live)'!AB110/'ASK (live)'!AB110,"-")</f>
        <v>-</v>
      </c>
      <c r="AC110" s="10" t="str">
        <f ca="1">IFERROR('RPK (live)'!AC110/'ASK (live)'!AC110,"-")</f>
        <v>-</v>
      </c>
      <c r="AD110" s="10" t="str">
        <f ca="1">IFERROR('RPK (live)'!AD110/'ASK (live)'!AD110,"-")</f>
        <v>-</v>
      </c>
      <c r="AE110" s="10" t="str">
        <f ca="1">IFERROR('RPK (live)'!AE110/'ASK (live)'!AE110,"-")</f>
        <v>-</v>
      </c>
    </row>
    <row r="111" spans="1:31">
      <c r="A111" s="1" t="s">
        <v>152</v>
      </c>
      <c r="B111" s="5" t="s">
        <v>282</v>
      </c>
      <c r="C111" s="5" t="s">
        <v>283</v>
      </c>
      <c r="D111" s="5" t="s">
        <v>21</v>
      </c>
      <c r="E111" s="5" t="s">
        <v>284</v>
      </c>
      <c r="F111" s="5" t="s">
        <v>22</v>
      </c>
      <c r="G111" s="6"/>
      <c r="H111" s="6"/>
      <c r="I111" s="6"/>
      <c r="J111" s="6"/>
      <c r="K111" s="6"/>
      <c r="L111" s="10" t="str">
        <f ca="1">IFERROR('RPK (live)'!L111/'ASK (live)'!L111,"-")</f>
        <v>-</v>
      </c>
      <c r="M111" s="10" t="str">
        <f ca="1">IFERROR('RPK (live)'!M111/'ASK (live)'!M111,"-")</f>
        <v>-</v>
      </c>
      <c r="N111" s="10" t="str">
        <f ca="1">IFERROR('RPK (live)'!N111/'ASK (live)'!N111,"-")</f>
        <v>-</v>
      </c>
      <c r="O111" s="10" t="str">
        <f ca="1">IFERROR('RPK (live)'!O111/'ASK (live)'!O111,"-")</f>
        <v>-</v>
      </c>
      <c r="P111" s="10" t="str">
        <f ca="1">IFERROR('RPK (live)'!P111/'ASK (live)'!P111,"-")</f>
        <v>-</v>
      </c>
      <c r="Q111" s="10">
        <f ca="1">IFERROR('RPK (live)'!Q111/'ASK (live)'!Q111,"-")</f>
        <v>0.72</v>
      </c>
      <c r="R111" s="10">
        <f ca="1">IFERROR('RPK (live)'!R111/'ASK (live)'!R111,"-")</f>
        <v>0.82</v>
      </c>
      <c r="S111" s="10">
        <f ca="1">IFERROR('RPK (live)'!S111/'ASK (live)'!S111,"-")</f>
        <v>0.86</v>
      </c>
      <c r="T111" s="10">
        <f ca="1">IFERROR('RPK (live)'!T111/'ASK (live)'!T111,"-")</f>
        <v>0.82757558675425535</v>
      </c>
      <c r="U111" s="10">
        <f ca="1">IFERROR('RPK (live)'!U111/'ASK (live)'!U111,"-")</f>
        <v>0.80864818037540276</v>
      </c>
      <c r="V111" s="10">
        <f ca="1">IFERROR('RPK (live)'!V111/'ASK (live)'!V111,"-")</f>
        <v>0.73868221226007535</v>
      </c>
      <c r="W111" s="10" t="str">
        <f ca="1">IFERROR('RPK (live)'!W111/'ASK (live)'!W111,"-")</f>
        <v>-</v>
      </c>
      <c r="X111" s="10" t="str">
        <f ca="1">IFERROR('RPK (live)'!X111/'ASK (live)'!X111,"-")</f>
        <v>-</v>
      </c>
      <c r="Y111" s="10" t="str">
        <f ca="1">IFERROR('RPK (live)'!Y111/'ASK (live)'!Y111,"-")</f>
        <v>-</v>
      </c>
      <c r="Z111" s="10" t="str">
        <f ca="1">IFERROR('RPK (live)'!Z111/'ASK (live)'!Z111,"-")</f>
        <v>-</v>
      </c>
      <c r="AA111" s="10" t="str">
        <f ca="1">IFERROR('RPK (live)'!AA111/'ASK (live)'!AA111,"-")</f>
        <v>-</v>
      </c>
      <c r="AB111" s="10" t="str">
        <f ca="1">IFERROR('RPK (live)'!AB111/'ASK (live)'!AB111,"-")</f>
        <v>-</v>
      </c>
      <c r="AC111" s="10">
        <f ca="1">IFERROR('RPK (live)'!AC111/'ASK (live)'!AC111,"-")</f>
        <v>0.70945605388590782</v>
      </c>
      <c r="AD111" s="10">
        <f ca="1">IFERROR('RPK (live)'!AD111/'ASK (live)'!AD111,"-")</f>
        <v>0.7939498283982046</v>
      </c>
      <c r="AE111" s="10">
        <f ca="1">IFERROR('RPK (live)'!AE111/'ASK (live)'!AE111,"-")</f>
        <v>0.8146733936638243</v>
      </c>
    </row>
    <row r="112" spans="1:31">
      <c r="A112" s="1" t="s">
        <v>152</v>
      </c>
      <c r="B112" s="5" t="s">
        <v>285</v>
      </c>
      <c r="C112" s="5" t="s">
        <v>286</v>
      </c>
      <c r="D112" s="5" t="s">
        <v>284</v>
      </c>
      <c r="E112" s="5" t="s">
        <v>21</v>
      </c>
      <c r="F112" s="5" t="s">
        <v>22</v>
      </c>
      <c r="G112" s="6"/>
      <c r="H112" s="6"/>
      <c r="I112" s="6"/>
      <c r="J112" s="6"/>
      <c r="K112" s="6"/>
      <c r="L112" s="10" t="str">
        <f ca="1">IFERROR('RPK (live)'!L112/'ASK (live)'!L112,"-")</f>
        <v>-</v>
      </c>
      <c r="M112" s="10" t="str">
        <f ca="1">IFERROR('RPK (live)'!M112/'ASK (live)'!M112,"-")</f>
        <v>-</v>
      </c>
      <c r="N112" s="10" t="str">
        <f ca="1">IFERROR('RPK (live)'!N112/'ASK (live)'!N112,"-")</f>
        <v>-</v>
      </c>
      <c r="O112" s="10" t="str">
        <f ca="1">IFERROR('RPK (live)'!O112/'ASK (live)'!O112,"-")</f>
        <v>-</v>
      </c>
      <c r="P112" s="10" t="str">
        <f ca="1">IFERROR('RPK (live)'!P112/'ASK (live)'!P112,"-")</f>
        <v>-</v>
      </c>
      <c r="Q112" s="10">
        <f ca="1">IFERROR('RPK (live)'!Q112/'ASK (live)'!Q112,"-")</f>
        <v>0.72</v>
      </c>
      <c r="R112" s="10">
        <f ca="1">IFERROR('RPK (live)'!R112/'ASK (live)'!R112,"-")</f>
        <v>0.82</v>
      </c>
      <c r="S112" s="10">
        <f ca="1">IFERROR('RPK (live)'!S112/'ASK (live)'!S112,"-")</f>
        <v>0.86</v>
      </c>
      <c r="T112" s="10">
        <f ca="1">IFERROR('RPK (live)'!T112/'ASK (live)'!T112,"-")</f>
        <v>0.82757558675425535</v>
      </c>
      <c r="U112" s="10">
        <f ca="1">IFERROR('RPK (live)'!U112/'ASK (live)'!U112,"-")</f>
        <v>0.80864818037540276</v>
      </c>
      <c r="V112" s="10">
        <f ca="1">IFERROR('RPK (live)'!V112/'ASK (live)'!V112,"-")</f>
        <v>0.73868221226007535</v>
      </c>
      <c r="W112" s="10" t="str">
        <f ca="1">IFERROR('RPK (live)'!W112/'ASK (live)'!W112,"-")</f>
        <v>-</v>
      </c>
      <c r="X112" s="10" t="str">
        <f ca="1">IFERROR('RPK (live)'!X112/'ASK (live)'!X112,"-")</f>
        <v>-</v>
      </c>
      <c r="Y112" s="10" t="str">
        <f ca="1">IFERROR('RPK (live)'!Y112/'ASK (live)'!Y112,"-")</f>
        <v>-</v>
      </c>
      <c r="Z112" s="10" t="str">
        <f ca="1">IFERROR('RPK (live)'!Z112/'ASK (live)'!Z112,"-")</f>
        <v>-</v>
      </c>
      <c r="AA112" s="10" t="str">
        <f ca="1">IFERROR('RPK (live)'!AA112/'ASK (live)'!AA112,"-")</f>
        <v>-</v>
      </c>
      <c r="AB112" s="10" t="str">
        <f ca="1">IFERROR('RPK (live)'!AB112/'ASK (live)'!AB112,"-")</f>
        <v>-</v>
      </c>
      <c r="AC112" s="10">
        <f ca="1">IFERROR('RPK (live)'!AC112/'ASK (live)'!AC112,"-")</f>
        <v>0.70945605388590771</v>
      </c>
      <c r="AD112" s="10">
        <f ca="1">IFERROR('RPK (live)'!AD112/'ASK (live)'!AD112,"-")</f>
        <v>0.7939498283982046</v>
      </c>
      <c r="AE112" s="10">
        <f ca="1">IFERROR('RPK (live)'!AE112/'ASK (live)'!AE112,"-")</f>
        <v>0.81467339366382441</v>
      </c>
    </row>
    <row r="113" spans="1:31">
      <c r="A113" s="1" t="s">
        <v>152</v>
      </c>
      <c r="B113" s="5" t="s">
        <v>287</v>
      </c>
      <c r="C113" s="5" t="s">
        <v>288</v>
      </c>
      <c r="D113" s="5" t="s">
        <v>21</v>
      </c>
      <c r="E113" s="5" t="s">
        <v>289</v>
      </c>
      <c r="F113" s="5" t="s">
        <v>22</v>
      </c>
      <c r="G113" s="6"/>
      <c r="H113" s="6"/>
      <c r="I113" s="6"/>
      <c r="J113" s="6"/>
      <c r="K113" s="6"/>
      <c r="L113" s="10" t="str">
        <f ca="1">IFERROR('RPK (live)'!L113/'ASK (live)'!L113,"-")</f>
        <v>-</v>
      </c>
      <c r="M113" s="10" t="str">
        <f ca="1">IFERROR('RPK (live)'!M113/'ASK (live)'!M113,"-")</f>
        <v>-</v>
      </c>
      <c r="N113" s="10" t="str">
        <f ca="1">IFERROR('RPK (live)'!N113/'ASK (live)'!N113,"-")</f>
        <v>-</v>
      </c>
      <c r="O113" s="10" t="str">
        <f ca="1">IFERROR('RPK (live)'!O113/'ASK (live)'!O113,"-")</f>
        <v>-</v>
      </c>
      <c r="P113" s="10" t="str">
        <f ca="1">IFERROR('RPK (live)'!P113/'ASK (live)'!P113,"-")</f>
        <v>-</v>
      </c>
      <c r="Q113" s="10">
        <f ca="1">IFERROR('RPK (live)'!Q113/'ASK (live)'!Q113,"-")</f>
        <v>0.94999999999999984</v>
      </c>
      <c r="R113" s="10">
        <f ca="1">IFERROR('RPK (live)'!R113/'ASK (live)'!R113,"-")</f>
        <v>0.82000000000000006</v>
      </c>
      <c r="S113" s="10">
        <f ca="1">IFERROR('RPK (live)'!S113/'ASK (live)'!S113,"-")</f>
        <v>0.81</v>
      </c>
      <c r="T113" s="10">
        <f ca="1">IFERROR('RPK (live)'!T113/'ASK (live)'!T113,"-")</f>
        <v>0.77879949372889912</v>
      </c>
      <c r="U113" s="10">
        <f ca="1">IFERROR('RPK (live)'!U113/'ASK (live)'!U113,"-")</f>
        <v>0.8449526821123895</v>
      </c>
      <c r="V113" s="10">
        <f ca="1">IFERROR('RPK (live)'!V113/'ASK (live)'!V113,"-")</f>
        <v>0.85586701824597189</v>
      </c>
      <c r="W113" s="10" t="str">
        <f ca="1">IFERROR('RPK (live)'!W113/'ASK (live)'!W113,"-")</f>
        <v>-</v>
      </c>
      <c r="X113" s="10" t="str">
        <f ca="1">IFERROR('RPK (live)'!X113/'ASK (live)'!X113,"-")</f>
        <v>-</v>
      </c>
      <c r="Y113" s="10" t="str">
        <f ca="1">IFERROR('RPK (live)'!Y113/'ASK (live)'!Y113,"-")</f>
        <v>-</v>
      </c>
      <c r="Z113" s="10" t="str">
        <f ca="1">IFERROR('RPK (live)'!Z113/'ASK (live)'!Z113,"-")</f>
        <v>-</v>
      </c>
      <c r="AA113" s="10" t="str">
        <f ca="1">IFERROR('RPK (live)'!AA113/'ASK (live)'!AA113,"-")</f>
        <v>-</v>
      </c>
      <c r="AB113" s="10" t="str">
        <f ca="1">IFERROR('RPK (live)'!AB113/'ASK (live)'!AB113,"-")</f>
        <v>-</v>
      </c>
      <c r="AC113" s="10">
        <f ca="1">IFERROR('RPK (live)'!AC113/'ASK (live)'!AC113,"-")</f>
        <v>0.44592964241771238</v>
      </c>
      <c r="AD113" s="10">
        <f ca="1">IFERROR('RPK (live)'!AD113/'ASK (live)'!AD113,"-")</f>
        <v>0.86700072906892967</v>
      </c>
      <c r="AE113" s="10">
        <f ca="1">IFERROR('RPK (live)'!AE113/'ASK (live)'!AE113,"-")</f>
        <v>0.81295969733178963</v>
      </c>
    </row>
    <row r="114" spans="1:31">
      <c r="A114" s="1" t="s">
        <v>152</v>
      </c>
      <c r="B114" s="5" t="s">
        <v>290</v>
      </c>
      <c r="C114" s="5" t="s">
        <v>291</v>
      </c>
      <c r="D114" s="5" t="s">
        <v>289</v>
      </c>
      <c r="E114" s="5" t="s">
        <v>21</v>
      </c>
      <c r="F114" s="5" t="s">
        <v>22</v>
      </c>
      <c r="G114" s="6"/>
      <c r="H114" s="6"/>
      <c r="I114" s="6"/>
      <c r="J114" s="6"/>
      <c r="K114" s="6"/>
      <c r="L114" s="10" t="str">
        <f ca="1">IFERROR('RPK (live)'!L114/'ASK (live)'!L114,"-")</f>
        <v>-</v>
      </c>
      <c r="M114" s="10" t="str">
        <f ca="1">IFERROR('RPK (live)'!M114/'ASK (live)'!M114,"-")</f>
        <v>-</v>
      </c>
      <c r="N114" s="10" t="str">
        <f ca="1">IFERROR('RPK (live)'!N114/'ASK (live)'!N114,"-")</f>
        <v>-</v>
      </c>
      <c r="O114" s="10" t="str">
        <f ca="1">IFERROR('RPK (live)'!O114/'ASK (live)'!O114,"-")</f>
        <v>-</v>
      </c>
      <c r="P114" s="10" t="str">
        <f ca="1">IFERROR('RPK (live)'!P114/'ASK (live)'!P114,"-")</f>
        <v>-</v>
      </c>
      <c r="Q114" s="10">
        <f ca="1">IFERROR('RPK (live)'!Q114/'ASK (live)'!Q114,"-")</f>
        <v>0.94999999999999984</v>
      </c>
      <c r="R114" s="10">
        <f ca="1">IFERROR('RPK (live)'!R114/'ASK (live)'!R114,"-")</f>
        <v>0.82000000000000006</v>
      </c>
      <c r="S114" s="10">
        <f ca="1">IFERROR('RPK (live)'!S114/'ASK (live)'!S114,"-")</f>
        <v>0.81</v>
      </c>
      <c r="T114" s="10">
        <f ca="1">IFERROR('RPK (live)'!T114/'ASK (live)'!T114,"-")</f>
        <v>0.77879949372889912</v>
      </c>
      <c r="U114" s="10">
        <f ca="1">IFERROR('RPK (live)'!U114/'ASK (live)'!U114,"-")</f>
        <v>0.8449526821123895</v>
      </c>
      <c r="V114" s="10">
        <f ca="1">IFERROR('RPK (live)'!V114/'ASK (live)'!V114,"-")</f>
        <v>0.85586701824597189</v>
      </c>
      <c r="W114" s="10" t="str">
        <f ca="1">IFERROR('RPK (live)'!W114/'ASK (live)'!W114,"-")</f>
        <v>-</v>
      </c>
      <c r="X114" s="10" t="str">
        <f ca="1">IFERROR('RPK (live)'!X114/'ASK (live)'!X114,"-")</f>
        <v>-</v>
      </c>
      <c r="Y114" s="10" t="str">
        <f ca="1">IFERROR('RPK (live)'!Y114/'ASK (live)'!Y114,"-")</f>
        <v>-</v>
      </c>
      <c r="Z114" s="10" t="str">
        <f ca="1">IFERROR('RPK (live)'!Z114/'ASK (live)'!Z114,"-")</f>
        <v>-</v>
      </c>
      <c r="AA114" s="10" t="str">
        <f ca="1">IFERROR('RPK (live)'!AA114/'ASK (live)'!AA114,"-")</f>
        <v>-</v>
      </c>
      <c r="AB114" s="10" t="str">
        <f ca="1">IFERROR('RPK (live)'!AB114/'ASK (live)'!AB114,"-")</f>
        <v>-</v>
      </c>
      <c r="AC114" s="10">
        <f ca="1">IFERROR('RPK (live)'!AC114/'ASK (live)'!AC114,"-")</f>
        <v>0.44592964241771238</v>
      </c>
      <c r="AD114" s="10">
        <f ca="1">IFERROR('RPK (live)'!AD114/'ASK (live)'!AD114,"-")</f>
        <v>0.86700072906892967</v>
      </c>
      <c r="AE114" s="10">
        <f ca="1">IFERROR('RPK (live)'!AE114/'ASK (live)'!AE114,"-")</f>
        <v>0.81295969733178963</v>
      </c>
    </row>
    <row r="115" spans="1:31">
      <c r="A115" s="1" t="s">
        <v>152</v>
      </c>
      <c r="B115" s="5" t="s">
        <v>292</v>
      </c>
      <c r="C115" s="5" t="s">
        <v>293</v>
      </c>
      <c r="D115" s="5" t="s">
        <v>21</v>
      </c>
      <c r="E115" s="5" t="s">
        <v>294</v>
      </c>
      <c r="F115" s="5" t="s">
        <v>22</v>
      </c>
      <c r="G115" s="6"/>
      <c r="H115" s="6"/>
      <c r="I115" s="6"/>
      <c r="J115" s="6"/>
      <c r="K115" s="6"/>
      <c r="L115" s="10">
        <f ca="1">IFERROR('RPK (live)'!L115/'ASK (live)'!L115,"-")</f>
        <v>0.79</v>
      </c>
      <c r="M115" s="10">
        <f ca="1">IFERROR('RPK (live)'!M115/'ASK (live)'!M115,"-")</f>
        <v>0.84036842273084544</v>
      </c>
      <c r="N115" s="10">
        <f ca="1">IFERROR('RPK (live)'!N115/'ASK (live)'!N115,"-")</f>
        <v>0.84000000000000008</v>
      </c>
      <c r="O115" s="10">
        <f ca="1">IFERROR('RPK (live)'!O115/'ASK (live)'!O115,"-")</f>
        <v>0.83999999999999986</v>
      </c>
      <c r="P115" s="10">
        <f ca="1">IFERROR('RPK (live)'!P115/'ASK (live)'!P115,"-")</f>
        <v>0.87000000000000011</v>
      </c>
      <c r="Q115" s="10">
        <f ca="1">IFERROR('RPK (live)'!Q115/'ASK (live)'!Q115,"-")</f>
        <v>0.83000000000000007</v>
      </c>
      <c r="R115" s="10">
        <f ca="1">IFERROR('RPK (live)'!R115/'ASK (live)'!R115,"-")</f>
        <v>0.84</v>
      </c>
      <c r="S115" s="10">
        <f ca="1">IFERROR('RPK (live)'!S115/'ASK (live)'!S115,"-")</f>
        <v>0.83999999999999986</v>
      </c>
      <c r="T115" s="10">
        <f ca="1">IFERROR('RPK (live)'!T115/'ASK (live)'!T115,"-")</f>
        <v>0.74608270307681013</v>
      </c>
      <c r="U115" s="10">
        <f ca="1">IFERROR('RPK (live)'!U115/'ASK (live)'!U115,"-")</f>
        <v>0.62058197491803824</v>
      </c>
      <c r="V115" s="10">
        <f ca="1">IFERROR('RPK (live)'!V115/'ASK (live)'!V115,"-")</f>
        <v>0.69315231751319162</v>
      </c>
      <c r="W115" s="10">
        <f ca="1">IFERROR('RPK (live)'!W115/'ASK (live)'!W115,"-")</f>
        <v>0.9590325939502411</v>
      </c>
      <c r="X115" s="10">
        <f ca="1">IFERROR('RPK (live)'!X115/'ASK (live)'!X115,"-")</f>
        <v>0.9597105547823741</v>
      </c>
      <c r="Y115" s="10">
        <f ca="1">IFERROR('RPK (live)'!Y115/'ASK (live)'!Y115,"-")</f>
        <v>0.84988791812627373</v>
      </c>
      <c r="Z115" s="10">
        <f ca="1">IFERROR('RPK (live)'!Z115/'ASK (live)'!Z115,"-")</f>
        <v>0.91809777081498511</v>
      </c>
      <c r="AA115" s="10">
        <f ca="1">IFERROR('RPK (live)'!AA115/'ASK (live)'!AA115,"-")</f>
        <v>0.97957743685418364</v>
      </c>
      <c r="AB115" s="10">
        <f ca="1">IFERROR('RPK (live)'!AB115/'ASK (live)'!AB115,"-")</f>
        <v>0.97858883272963759</v>
      </c>
      <c r="AC115" s="10">
        <f ca="1">IFERROR('RPK (live)'!AC115/'ASK (live)'!AC115,"-")</f>
        <v>0.79738827196893014</v>
      </c>
      <c r="AD115" s="10">
        <f ca="1">IFERROR('RPK (live)'!AD115/'ASK (live)'!AD115,"-")</f>
        <v>0.93944712119860374</v>
      </c>
      <c r="AE115" s="10">
        <f ca="1">IFERROR('RPK (live)'!AE115/'ASK (live)'!AE115,"-")</f>
        <v>0.8266032746162395</v>
      </c>
    </row>
    <row r="116" spans="1:31">
      <c r="A116" s="1" t="s">
        <v>152</v>
      </c>
      <c r="B116" s="5" t="s">
        <v>295</v>
      </c>
      <c r="C116" s="5" t="s">
        <v>296</v>
      </c>
      <c r="D116" s="5" t="s">
        <v>294</v>
      </c>
      <c r="E116" s="5" t="s">
        <v>21</v>
      </c>
      <c r="F116" s="5" t="s">
        <v>22</v>
      </c>
      <c r="G116" s="6"/>
      <c r="H116" s="6"/>
      <c r="I116" s="6"/>
      <c r="J116" s="6"/>
      <c r="K116" s="6"/>
      <c r="L116" s="10">
        <f ca="1">IFERROR('RPK (live)'!L116/'ASK (live)'!L116,"-")</f>
        <v>0.79000000000000026</v>
      </c>
      <c r="M116" s="10">
        <f ca="1">IFERROR('RPK (live)'!M116/'ASK (live)'!M116,"-")</f>
        <v>0.84036842273084555</v>
      </c>
      <c r="N116" s="10">
        <f ca="1">IFERROR('RPK (live)'!N116/'ASK (live)'!N116,"-")</f>
        <v>0.84000000000000008</v>
      </c>
      <c r="O116" s="10">
        <f ca="1">IFERROR('RPK (live)'!O116/'ASK (live)'!O116,"-")</f>
        <v>0.83999999999999986</v>
      </c>
      <c r="P116" s="10">
        <f ca="1">IFERROR('RPK (live)'!P116/'ASK (live)'!P116,"-")</f>
        <v>0.87000000000000011</v>
      </c>
      <c r="Q116" s="10">
        <f ca="1">IFERROR('RPK (live)'!Q116/'ASK (live)'!Q116,"-")</f>
        <v>0.83000000000000007</v>
      </c>
      <c r="R116" s="10">
        <f ca="1">IFERROR('RPK (live)'!R116/'ASK (live)'!R116,"-")</f>
        <v>0.84</v>
      </c>
      <c r="S116" s="10">
        <f ca="1">IFERROR('RPK (live)'!S116/'ASK (live)'!S116,"-")</f>
        <v>0.83999999999999986</v>
      </c>
      <c r="T116" s="10">
        <f ca="1">IFERROR('RPK (live)'!T116/'ASK (live)'!T116,"-")</f>
        <v>0.74608270307681024</v>
      </c>
      <c r="U116" s="10">
        <f ca="1">IFERROR('RPK (live)'!U116/'ASK (live)'!U116,"-")</f>
        <v>0.62058197491803824</v>
      </c>
      <c r="V116" s="10">
        <f ca="1">IFERROR('RPK (live)'!V116/'ASK (live)'!V116,"-")</f>
        <v>0.69315231751319162</v>
      </c>
      <c r="W116" s="10">
        <f ca="1">IFERROR('RPK (live)'!W116/'ASK (live)'!W116,"-")</f>
        <v>0.9590325939502411</v>
      </c>
      <c r="X116" s="10">
        <f ca="1">IFERROR('RPK (live)'!X116/'ASK (live)'!X116,"-")</f>
        <v>0.9597105547823741</v>
      </c>
      <c r="Y116" s="10">
        <f ca="1">IFERROR('RPK (live)'!Y116/'ASK (live)'!Y116,"-")</f>
        <v>0.84988791812627373</v>
      </c>
      <c r="Z116" s="10">
        <f ca="1">IFERROR('RPK (live)'!Z116/'ASK (live)'!Z116,"-")</f>
        <v>0.91809777081498511</v>
      </c>
      <c r="AA116" s="10">
        <f ca="1">IFERROR('RPK (live)'!AA116/'ASK (live)'!AA116,"-")</f>
        <v>0.97957743685418364</v>
      </c>
      <c r="AB116" s="10">
        <f ca="1">IFERROR('RPK (live)'!AB116/'ASK (live)'!AB116,"-")</f>
        <v>0.97858883272963759</v>
      </c>
      <c r="AC116" s="10">
        <f ca="1">IFERROR('RPK (live)'!AC116/'ASK (live)'!AC116,"-")</f>
        <v>0.79738827196893014</v>
      </c>
      <c r="AD116" s="10">
        <f ca="1">IFERROR('RPK (live)'!AD116/'ASK (live)'!AD116,"-")</f>
        <v>0.93944712119860374</v>
      </c>
      <c r="AE116" s="10">
        <f ca="1">IFERROR('RPK (live)'!AE116/'ASK (live)'!AE116,"-")</f>
        <v>0.8266032746162395</v>
      </c>
    </row>
    <row r="117" spans="1:31">
      <c r="A117" s="1" t="s">
        <v>152</v>
      </c>
      <c r="B117" s="5" t="s">
        <v>297</v>
      </c>
      <c r="C117" s="5" t="s">
        <v>298</v>
      </c>
      <c r="D117" s="5" t="s">
        <v>21</v>
      </c>
      <c r="E117" s="5" t="s">
        <v>299</v>
      </c>
      <c r="F117" s="5" t="s">
        <v>22</v>
      </c>
      <c r="G117" s="6"/>
      <c r="H117" s="6"/>
      <c r="I117" s="6"/>
      <c r="J117" s="6"/>
      <c r="K117" s="6"/>
      <c r="L117" s="10">
        <f ca="1">IFERROR('RPK (live)'!L117/'ASK (live)'!L117,"-")</f>
        <v>0.94999999999999984</v>
      </c>
      <c r="M117" s="10">
        <f ca="1">IFERROR('RPK (live)'!M117/'ASK (live)'!M117,"-")</f>
        <v>0.98211731331195185</v>
      </c>
      <c r="N117" s="10">
        <f ca="1">IFERROR('RPK (live)'!N117/'ASK (live)'!N117,"-")</f>
        <v>0.93</v>
      </c>
      <c r="O117" s="10">
        <f ca="1">IFERROR('RPK (live)'!O117/'ASK (live)'!O117,"-")</f>
        <v>0.93</v>
      </c>
      <c r="P117" s="10">
        <f ca="1">IFERROR('RPK (live)'!P117/'ASK (live)'!P117,"-")</f>
        <v>0.95</v>
      </c>
      <c r="Q117" s="10">
        <f ca="1">IFERROR('RPK (live)'!Q117/'ASK (live)'!Q117,"-")</f>
        <v>0.89000000000000012</v>
      </c>
      <c r="R117" s="10">
        <f ca="1">IFERROR('RPK (live)'!R117/'ASK (live)'!R117,"-")</f>
        <v>0.9</v>
      </c>
      <c r="S117" s="10">
        <f ca="1">IFERROR('RPK (live)'!S117/'ASK (live)'!S117,"-")</f>
        <v>0.84</v>
      </c>
      <c r="T117" s="10">
        <f ca="1">IFERROR('RPK (live)'!T117/'ASK (live)'!T117,"-")</f>
        <v>0.87978729252113153</v>
      </c>
      <c r="U117" s="10">
        <f ca="1">IFERROR('RPK (live)'!U117/'ASK (live)'!U117,"-")</f>
        <v>0.92286064911436327</v>
      </c>
      <c r="V117" s="10">
        <f ca="1">IFERROR('RPK (live)'!V117/'ASK (live)'!V117,"-")</f>
        <v>0.9728577925402474</v>
      </c>
      <c r="W117" s="10">
        <f ca="1">IFERROR('RPK (live)'!W117/'ASK (live)'!W117,"-")</f>
        <v>0.94158886379422024</v>
      </c>
      <c r="X117" s="10">
        <f ca="1">IFERROR('RPK (live)'!X117/'ASK (live)'!X117,"-")</f>
        <v>0.96553815581748703</v>
      </c>
      <c r="Y117" s="10">
        <f ca="1">IFERROR('RPK (live)'!Y117/'ASK (live)'!Y117,"-")</f>
        <v>0.97504588726485109</v>
      </c>
      <c r="Z117" s="10">
        <f ca="1">IFERROR('RPK (live)'!Z117/'ASK (live)'!Z117,"-")</f>
        <v>0.99051911298780149</v>
      </c>
      <c r="AA117" s="10">
        <f ca="1">IFERROR('RPK (live)'!AA117/'ASK (live)'!AA117,"-")</f>
        <v>0.98141500780919677</v>
      </c>
      <c r="AB117" s="10">
        <f ca="1">IFERROR('RPK (live)'!AB117/'ASK (live)'!AB117,"-")</f>
        <v>0.95200729938541873</v>
      </c>
      <c r="AC117" s="10">
        <f ca="1">IFERROR('RPK (live)'!AC117/'ASK (live)'!AC117,"-")</f>
        <v>0.83848730291218776</v>
      </c>
      <c r="AD117" s="10">
        <f ca="1">IFERROR('RPK (live)'!AD117/'ASK (live)'!AD117,"-")</f>
        <v>0.9467236982497329</v>
      </c>
      <c r="AE117" s="10">
        <f ca="1">IFERROR('RPK (live)'!AE117/'ASK (live)'!AE117,"-")</f>
        <v>0.86610860018372793</v>
      </c>
    </row>
    <row r="118" spans="1:31">
      <c r="A118" s="1" t="s">
        <v>152</v>
      </c>
      <c r="B118" s="5" t="s">
        <v>300</v>
      </c>
      <c r="C118" s="5" t="s">
        <v>301</v>
      </c>
      <c r="D118" s="5" t="s">
        <v>299</v>
      </c>
      <c r="E118" s="5" t="s">
        <v>21</v>
      </c>
      <c r="F118" s="5" t="s">
        <v>22</v>
      </c>
      <c r="G118" s="6"/>
      <c r="H118" s="6"/>
      <c r="I118" s="6"/>
      <c r="J118" s="6"/>
      <c r="K118" s="6"/>
      <c r="L118" s="10">
        <f ca="1">IFERROR('RPK (live)'!L118/'ASK (live)'!L118,"-")</f>
        <v>0.94999999999999984</v>
      </c>
      <c r="M118" s="10">
        <f ca="1">IFERROR('RPK (live)'!M118/'ASK (live)'!M118,"-")</f>
        <v>0.98211731331195185</v>
      </c>
      <c r="N118" s="10">
        <f ca="1">IFERROR('RPK (live)'!N118/'ASK (live)'!N118,"-")</f>
        <v>0.93</v>
      </c>
      <c r="O118" s="10">
        <f ca="1">IFERROR('RPK (live)'!O118/'ASK (live)'!O118,"-")</f>
        <v>0.93</v>
      </c>
      <c r="P118" s="10">
        <f ca="1">IFERROR('RPK (live)'!P118/'ASK (live)'!P118,"-")</f>
        <v>0.95</v>
      </c>
      <c r="Q118" s="10">
        <f ca="1">IFERROR('RPK (live)'!Q118/'ASK (live)'!Q118,"-")</f>
        <v>0.89000000000000012</v>
      </c>
      <c r="R118" s="10">
        <f ca="1">IFERROR('RPK (live)'!R118/'ASK (live)'!R118,"-")</f>
        <v>0.9</v>
      </c>
      <c r="S118" s="10">
        <f ca="1">IFERROR('RPK (live)'!S118/'ASK (live)'!S118,"-")</f>
        <v>0.84</v>
      </c>
      <c r="T118" s="10">
        <f ca="1">IFERROR('RPK (live)'!T118/'ASK (live)'!T118,"-")</f>
        <v>0.87978729252113153</v>
      </c>
      <c r="U118" s="10">
        <f ca="1">IFERROR('RPK (live)'!U118/'ASK (live)'!U118,"-")</f>
        <v>0.92286064911436327</v>
      </c>
      <c r="V118" s="10">
        <f ca="1">IFERROR('RPK (live)'!V118/'ASK (live)'!V118,"-")</f>
        <v>0.9728577925402474</v>
      </c>
      <c r="W118" s="10">
        <f ca="1">IFERROR('RPK (live)'!W118/'ASK (live)'!W118,"-")</f>
        <v>0.94158886379422024</v>
      </c>
      <c r="X118" s="10">
        <f ca="1">IFERROR('RPK (live)'!X118/'ASK (live)'!X118,"-")</f>
        <v>0.96553815581748703</v>
      </c>
      <c r="Y118" s="10">
        <f ca="1">IFERROR('RPK (live)'!Y118/'ASK (live)'!Y118,"-")</f>
        <v>0.97504588726485109</v>
      </c>
      <c r="Z118" s="10">
        <f ca="1">IFERROR('RPK (live)'!Z118/'ASK (live)'!Z118,"-")</f>
        <v>0.99051911298780149</v>
      </c>
      <c r="AA118" s="10">
        <f ca="1">IFERROR('RPK (live)'!AA118/'ASK (live)'!AA118,"-")</f>
        <v>0.98141500780919677</v>
      </c>
      <c r="AB118" s="10">
        <f ca="1">IFERROR('RPK (live)'!AB118/'ASK (live)'!AB118,"-")</f>
        <v>0.95200729938541873</v>
      </c>
      <c r="AC118" s="10">
        <f ca="1">IFERROR('RPK (live)'!AC118/'ASK (live)'!AC118,"-")</f>
        <v>0.83848730291218776</v>
      </c>
      <c r="AD118" s="10">
        <f ca="1">IFERROR('RPK (live)'!AD118/'ASK (live)'!AD118,"-")</f>
        <v>0.9467236982497329</v>
      </c>
      <c r="AE118" s="10">
        <f ca="1">IFERROR('RPK (live)'!AE118/'ASK (live)'!AE118,"-")</f>
        <v>0.86610860018372793</v>
      </c>
    </row>
    <row r="119" spans="1:31">
      <c r="A119" s="1" t="s">
        <v>152</v>
      </c>
      <c r="B119" s="5" t="s">
        <v>302</v>
      </c>
      <c r="C119" s="5" t="s">
        <v>303</v>
      </c>
      <c r="D119" s="5" t="s">
        <v>21</v>
      </c>
      <c r="E119" s="5" t="s">
        <v>304</v>
      </c>
      <c r="F119" s="5" t="s">
        <v>22</v>
      </c>
      <c r="G119" s="6"/>
      <c r="H119" s="6"/>
      <c r="I119" s="6"/>
      <c r="J119" s="6"/>
      <c r="K119" s="6"/>
      <c r="L119" s="10" t="str">
        <f ca="1">IFERROR('RPK (live)'!L119/'ASK (live)'!L119,"-")</f>
        <v>-</v>
      </c>
      <c r="M119" s="10" t="str">
        <f ca="1">IFERROR('RPK (live)'!M119/'ASK (live)'!M119,"-")</f>
        <v>-</v>
      </c>
      <c r="N119" s="10" t="str">
        <f ca="1">IFERROR('RPK (live)'!N119/'ASK (live)'!N119,"-")</f>
        <v>-</v>
      </c>
      <c r="O119" s="10" t="str">
        <f ca="1">IFERROR('RPK (live)'!O119/'ASK (live)'!O119,"-")</f>
        <v>-</v>
      </c>
      <c r="P119" s="10">
        <f ca="1">IFERROR('RPK (live)'!P119/'ASK (live)'!P119,"-")</f>
        <v>0.7</v>
      </c>
      <c r="Q119" s="10">
        <f ca="1">IFERROR('RPK (live)'!Q119/'ASK (live)'!Q119,"-")</f>
        <v>0.72999999999999987</v>
      </c>
      <c r="R119" s="10">
        <f ca="1">IFERROR('RPK (live)'!R119/'ASK (live)'!R119,"-")</f>
        <v>0.75</v>
      </c>
      <c r="S119" s="10">
        <f ca="1">IFERROR('RPK (live)'!S119/'ASK (live)'!S119,"-")</f>
        <v>0.75</v>
      </c>
      <c r="T119" s="10">
        <f ca="1">IFERROR('RPK (live)'!T119/'ASK (live)'!T119,"-")</f>
        <v>0.66076561420264091</v>
      </c>
      <c r="U119" s="10">
        <f ca="1">IFERROR('RPK (live)'!U119/'ASK (live)'!U119,"-")</f>
        <v>0.77496951908029588</v>
      </c>
      <c r="V119" s="10">
        <f ca="1">IFERROR('RPK (live)'!V119/'ASK (live)'!V119,"-")</f>
        <v>0.96319940034905138</v>
      </c>
      <c r="W119" s="10">
        <f ca="1">IFERROR('RPK (live)'!W119/'ASK (live)'!W119,"-")</f>
        <v>0.8228113103540271</v>
      </c>
      <c r="X119" s="10">
        <f ca="1">IFERROR('RPK (live)'!X119/'ASK (live)'!X119,"-")</f>
        <v>0.83870024251358588</v>
      </c>
      <c r="Y119" s="10">
        <f ca="1">IFERROR('RPK (live)'!Y119/'ASK (live)'!Y119,"-")</f>
        <v>0.86395368296190533</v>
      </c>
      <c r="Z119" s="10">
        <f ca="1">IFERROR('RPK (live)'!Z119/'ASK (live)'!Z119,"-")</f>
        <v>0.84476060843289136</v>
      </c>
      <c r="AA119" s="10">
        <f ca="1">IFERROR('RPK (live)'!AA119/'ASK (live)'!AA119,"-")</f>
        <v>0.80118884348237507</v>
      </c>
      <c r="AB119" s="10">
        <f ca="1">IFERROR('RPK (live)'!AB119/'ASK (live)'!AB119,"-")</f>
        <v>0.76438876664766453</v>
      </c>
      <c r="AC119" s="10">
        <f ca="1">IFERROR('RPK (live)'!AC119/'ASK (live)'!AC119,"-")</f>
        <v>0.74995276544406675</v>
      </c>
      <c r="AD119" s="10">
        <f ca="1">IFERROR('RPK (live)'!AD119/'ASK (live)'!AD119,"-")</f>
        <v>0.88053206583149202</v>
      </c>
      <c r="AE119" s="10">
        <f ca="1">IFERROR('RPK (live)'!AE119/'ASK (live)'!AE119,"-")</f>
        <v>0.73637109284375357</v>
      </c>
    </row>
    <row r="120" spans="1:31">
      <c r="A120" s="1" t="s">
        <v>152</v>
      </c>
      <c r="B120" s="5" t="s">
        <v>305</v>
      </c>
      <c r="C120" s="5" t="s">
        <v>306</v>
      </c>
      <c r="D120" s="5" t="s">
        <v>304</v>
      </c>
      <c r="E120" s="5" t="s">
        <v>21</v>
      </c>
      <c r="F120" s="5" t="s">
        <v>22</v>
      </c>
      <c r="G120" s="6"/>
      <c r="H120" s="6"/>
      <c r="I120" s="6"/>
      <c r="J120" s="6"/>
      <c r="K120" s="6"/>
      <c r="L120" s="10" t="str">
        <f ca="1">IFERROR('RPK (live)'!L120/'ASK (live)'!L120,"-")</f>
        <v>-</v>
      </c>
      <c r="M120" s="10" t="str">
        <f ca="1">IFERROR('RPK (live)'!M120/'ASK (live)'!M120,"-")</f>
        <v>-</v>
      </c>
      <c r="N120" s="10" t="str">
        <f ca="1">IFERROR('RPK (live)'!N120/'ASK (live)'!N120,"-")</f>
        <v>-</v>
      </c>
      <c r="O120" s="10" t="str">
        <f ca="1">IFERROR('RPK (live)'!O120/'ASK (live)'!O120,"-")</f>
        <v>-</v>
      </c>
      <c r="P120" s="10">
        <f ca="1">IFERROR('RPK (live)'!P120/'ASK (live)'!P120,"-")</f>
        <v>0.7</v>
      </c>
      <c r="Q120" s="10">
        <f ca="1">IFERROR('RPK (live)'!Q120/'ASK (live)'!Q120,"-")</f>
        <v>0.72999999999999987</v>
      </c>
      <c r="R120" s="10">
        <f ca="1">IFERROR('RPK (live)'!R120/'ASK (live)'!R120,"-")</f>
        <v>0.75</v>
      </c>
      <c r="S120" s="10">
        <f ca="1">IFERROR('RPK (live)'!S120/'ASK (live)'!S120,"-")</f>
        <v>0.75</v>
      </c>
      <c r="T120" s="10">
        <f ca="1">IFERROR('RPK (live)'!T120/'ASK (live)'!T120,"-")</f>
        <v>0.66076561420264091</v>
      </c>
      <c r="U120" s="10">
        <f ca="1">IFERROR('RPK (live)'!U120/'ASK (live)'!U120,"-")</f>
        <v>0.77496951908029588</v>
      </c>
      <c r="V120" s="10">
        <f ca="1">IFERROR('RPK (live)'!V120/'ASK (live)'!V120,"-")</f>
        <v>0.96319940034905138</v>
      </c>
      <c r="W120" s="10">
        <f ca="1">IFERROR('RPK (live)'!W120/'ASK (live)'!W120,"-")</f>
        <v>0.8228113103540271</v>
      </c>
      <c r="X120" s="10">
        <f ca="1">IFERROR('RPK (live)'!X120/'ASK (live)'!X120,"-")</f>
        <v>0.83870024251358588</v>
      </c>
      <c r="Y120" s="10">
        <f ca="1">IFERROR('RPK (live)'!Y120/'ASK (live)'!Y120,"-")</f>
        <v>0.86395368296190533</v>
      </c>
      <c r="Z120" s="10">
        <f ca="1">IFERROR('RPK (live)'!Z120/'ASK (live)'!Z120,"-")</f>
        <v>0.84476060843289136</v>
      </c>
      <c r="AA120" s="10">
        <f ca="1">IFERROR('RPK (live)'!AA120/'ASK (live)'!AA120,"-")</f>
        <v>0.80118884348237507</v>
      </c>
      <c r="AB120" s="10">
        <f ca="1">IFERROR('RPK (live)'!AB120/'ASK (live)'!AB120,"-")</f>
        <v>0.76438876664766453</v>
      </c>
      <c r="AC120" s="10">
        <f ca="1">IFERROR('RPK (live)'!AC120/'ASK (live)'!AC120,"-")</f>
        <v>0.74995276544406675</v>
      </c>
      <c r="AD120" s="10">
        <f ca="1">IFERROR('RPK (live)'!AD120/'ASK (live)'!AD120,"-")</f>
        <v>0.88053206583149202</v>
      </c>
      <c r="AE120" s="10">
        <f ca="1">IFERROR('RPK (live)'!AE120/'ASK (live)'!AE120,"-")</f>
        <v>0.73637109284375357</v>
      </c>
    </row>
    <row r="121" spans="1:31">
      <c r="A121" s="1" t="s">
        <v>152</v>
      </c>
      <c r="B121" s="5" t="s">
        <v>307</v>
      </c>
      <c r="C121" s="5" t="s">
        <v>308</v>
      </c>
      <c r="D121" s="5" t="s">
        <v>21</v>
      </c>
      <c r="E121" s="5" t="s">
        <v>309</v>
      </c>
      <c r="F121" s="5" t="s">
        <v>22</v>
      </c>
      <c r="G121" s="6"/>
      <c r="H121" s="6"/>
      <c r="I121" s="6"/>
      <c r="J121" s="6"/>
      <c r="K121" s="6"/>
      <c r="L121" s="10" t="str">
        <f ca="1">IFERROR('RPK (live)'!L121/'ASK (live)'!L121,"-")</f>
        <v>-</v>
      </c>
      <c r="M121" s="10" t="str">
        <f ca="1">IFERROR('RPK (live)'!M121/'ASK (live)'!M121,"-")</f>
        <v>-</v>
      </c>
      <c r="N121" s="10" t="str">
        <f ca="1">IFERROR('RPK (live)'!N121/'ASK (live)'!N121,"-")</f>
        <v>-</v>
      </c>
      <c r="O121" s="10" t="str">
        <f ca="1">IFERROR('RPK (live)'!O121/'ASK (live)'!O121,"-")</f>
        <v>-</v>
      </c>
      <c r="P121" s="10" t="str">
        <f ca="1">IFERROR('RPK (live)'!P121/'ASK (live)'!P121,"-")</f>
        <v>-</v>
      </c>
      <c r="Q121" s="10">
        <f ca="1">IFERROR('RPK (live)'!Q121/'ASK (live)'!Q121,"-")</f>
        <v>0.73200000000000021</v>
      </c>
      <c r="R121" s="10">
        <f ca="1">IFERROR('RPK (live)'!R121/'ASK (live)'!R121,"-")</f>
        <v>0.81</v>
      </c>
      <c r="S121" s="10">
        <f ca="1">IFERROR('RPK (live)'!S121/'ASK (live)'!S121,"-")</f>
        <v>0.84</v>
      </c>
      <c r="T121" s="10">
        <f ca="1">IFERROR('RPK (live)'!T121/'ASK (live)'!T121,"-")</f>
        <v>0.96653419917870864</v>
      </c>
      <c r="U121" s="10">
        <f ca="1">IFERROR('RPK (live)'!U121/'ASK (live)'!U121,"-")</f>
        <v>0.9905191129878016</v>
      </c>
      <c r="V121" s="10">
        <f ca="1">IFERROR('RPK (live)'!V121/'ASK (live)'!V121,"-")</f>
        <v>0.97836436419783845</v>
      </c>
      <c r="W121" s="10" t="str">
        <f ca="1">IFERROR('RPK (live)'!W121/'ASK (live)'!W121,"-")</f>
        <v>-</v>
      </c>
      <c r="X121" s="10" t="str">
        <f ca="1">IFERROR('RPK (live)'!X121/'ASK (live)'!X121,"-")</f>
        <v>-</v>
      </c>
      <c r="Y121" s="10" t="str">
        <f ca="1">IFERROR('RPK (live)'!Y121/'ASK (live)'!Y121,"-")</f>
        <v>-</v>
      </c>
      <c r="Z121" s="10" t="str">
        <f ca="1">IFERROR('RPK (live)'!Z121/'ASK (live)'!Z121,"-")</f>
        <v>-</v>
      </c>
      <c r="AA121" s="10" t="str">
        <f ca="1">IFERROR('RPK (live)'!AA121/'ASK (live)'!AA121,"-")</f>
        <v>-</v>
      </c>
      <c r="AB121" s="10" t="str">
        <f ca="1">IFERROR('RPK (live)'!AB121/'ASK (live)'!AB121,"-")</f>
        <v>-</v>
      </c>
      <c r="AC121" s="10">
        <f ca="1">IFERROR('RPK (live)'!AC121/'ASK (live)'!AC121,"-")</f>
        <v>0.98066892102712</v>
      </c>
      <c r="AD121" s="10">
        <f ca="1">IFERROR('RPK (live)'!AD121/'ASK (live)'!AD121,"-")</f>
        <v>0.72700840198373251</v>
      </c>
      <c r="AE121" s="10">
        <f ca="1">IFERROR('RPK (live)'!AE121/'ASK (live)'!AE121,"-")</f>
        <v>0.70459839408548164</v>
      </c>
    </row>
    <row r="122" spans="1:31">
      <c r="A122" s="1" t="s">
        <v>152</v>
      </c>
      <c r="B122" s="5" t="s">
        <v>310</v>
      </c>
      <c r="C122" s="5" t="s">
        <v>311</v>
      </c>
      <c r="D122" s="5" t="s">
        <v>309</v>
      </c>
      <c r="E122" s="5" t="s">
        <v>21</v>
      </c>
      <c r="F122" s="5" t="s">
        <v>22</v>
      </c>
      <c r="G122" s="6"/>
      <c r="H122" s="6"/>
      <c r="I122" s="6"/>
      <c r="J122" s="6"/>
      <c r="K122" s="6"/>
      <c r="L122" s="10" t="str">
        <f ca="1">IFERROR('RPK (live)'!L122/'ASK (live)'!L122,"-")</f>
        <v>-</v>
      </c>
      <c r="M122" s="10" t="str">
        <f ca="1">IFERROR('RPK (live)'!M122/'ASK (live)'!M122,"-")</f>
        <v>-</v>
      </c>
      <c r="N122" s="10" t="str">
        <f ca="1">IFERROR('RPK (live)'!N122/'ASK (live)'!N122,"-")</f>
        <v>-</v>
      </c>
      <c r="O122" s="10" t="str">
        <f ca="1">IFERROR('RPK (live)'!O122/'ASK (live)'!O122,"-")</f>
        <v>-</v>
      </c>
      <c r="P122" s="10" t="str">
        <f ca="1">IFERROR('RPK (live)'!P122/'ASK (live)'!P122,"-")</f>
        <v>-</v>
      </c>
      <c r="Q122" s="10">
        <f ca="1">IFERROR('RPK (live)'!Q122/'ASK (live)'!Q122,"-")</f>
        <v>0.7320000000000001</v>
      </c>
      <c r="R122" s="10">
        <f ca="1">IFERROR('RPK (live)'!R122/'ASK (live)'!R122,"-")</f>
        <v>0.81</v>
      </c>
      <c r="S122" s="10">
        <f ca="1">IFERROR('RPK (live)'!S122/'ASK (live)'!S122,"-")</f>
        <v>0.84</v>
      </c>
      <c r="T122" s="10">
        <f ca="1">IFERROR('RPK (live)'!T122/'ASK (live)'!T122,"-")</f>
        <v>0.96653419917870864</v>
      </c>
      <c r="U122" s="10">
        <f ca="1">IFERROR('RPK (live)'!U122/'ASK (live)'!U122,"-")</f>
        <v>0.9905191129878016</v>
      </c>
      <c r="V122" s="10">
        <f ca="1">IFERROR('RPK (live)'!V122/'ASK (live)'!V122,"-")</f>
        <v>0.97836436419783845</v>
      </c>
      <c r="W122" s="10" t="str">
        <f ca="1">IFERROR('RPK (live)'!W122/'ASK (live)'!W122,"-")</f>
        <v>-</v>
      </c>
      <c r="X122" s="10" t="str">
        <f ca="1">IFERROR('RPK (live)'!X122/'ASK (live)'!X122,"-")</f>
        <v>-</v>
      </c>
      <c r="Y122" s="10" t="str">
        <f ca="1">IFERROR('RPK (live)'!Y122/'ASK (live)'!Y122,"-")</f>
        <v>-</v>
      </c>
      <c r="Z122" s="10" t="str">
        <f ca="1">IFERROR('RPK (live)'!Z122/'ASK (live)'!Z122,"-")</f>
        <v>-</v>
      </c>
      <c r="AA122" s="10" t="str">
        <f ca="1">IFERROR('RPK (live)'!AA122/'ASK (live)'!AA122,"-")</f>
        <v>-</v>
      </c>
      <c r="AB122" s="10" t="str">
        <f ca="1">IFERROR('RPK (live)'!AB122/'ASK (live)'!AB122,"-")</f>
        <v>-</v>
      </c>
      <c r="AC122" s="10">
        <f ca="1">IFERROR('RPK (live)'!AC122/'ASK (live)'!AC122,"-")</f>
        <v>0.98066892102712</v>
      </c>
      <c r="AD122" s="10">
        <f ca="1">IFERROR('RPK (live)'!AD122/'ASK (live)'!AD122,"-")</f>
        <v>0.72700840198373251</v>
      </c>
      <c r="AE122" s="10">
        <f ca="1">IFERROR('RPK (live)'!AE122/'ASK (live)'!AE122,"-")</f>
        <v>0.70459839408548164</v>
      </c>
    </row>
    <row r="123" spans="1:31">
      <c r="A123" s="1" t="s">
        <v>152</v>
      </c>
      <c r="B123" s="5" t="s">
        <v>158</v>
      </c>
      <c r="C123" s="5" t="s">
        <v>159</v>
      </c>
      <c r="D123" s="5" t="s">
        <v>21</v>
      </c>
      <c r="E123" s="5" t="s">
        <v>38</v>
      </c>
      <c r="F123" s="5" t="s">
        <v>24</v>
      </c>
      <c r="G123" s="6"/>
      <c r="H123" s="6"/>
      <c r="I123" s="6"/>
      <c r="J123" s="6"/>
      <c r="K123" s="6"/>
      <c r="L123" s="10">
        <f ca="1">IFERROR('RPK (live)'!L123/'ASK (live)'!L123,"-")</f>
        <v>0.78686739800043348</v>
      </c>
      <c r="M123" s="10">
        <f ca="1">IFERROR('RPK (live)'!M123/'ASK (live)'!M123,"-")</f>
        <v>0.82699260106197647</v>
      </c>
      <c r="N123" s="10">
        <f ca="1">IFERROR('RPK (live)'!N123/'ASK (live)'!N123,"-")</f>
        <v>0.80878576872809571</v>
      </c>
      <c r="O123" s="10">
        <f ca="1">IFERROR('RPK (live)'!O123/'ASK (live)'!O123,"-")</f>
        <v>0.77971162802107818</v>
      </c>
      <c r="P123" s="10">
        <f ca="1">IFERROR('RPK (live)'!P123/'ASK (live)'!P123,"-")</f>
        <v>0.83407679196957119</v>
      </c>
      <c r="Q123" s="10">
        <f ca="1">IFERROR('RPK (live)'!Q123/'ASK (live)'!Q123,"-")</f>
        <v>0.90204242995938588</v>
      </c>
      <c r="R123" s="10">
        <f ca="1">IFERROR('RPK (live)'!R123/'ASK (live)'!R123,"-")</f>
        <v>0.93472371535693166</v>
      </c>
      <c r="S123" s="10">
        <f ca="1">IFERROR('RPK (live)'!S123/'ASK (live)'!S123,"-")</f>
        <v>1</v>
      </c>
      <c r="T123" s="10">
        <f ca="1">IFERROR('RPK (live)'!T123/'ASK (live)'!T123,"-")</f>
        <v>0.77537271114071438</v>
      </c>
      <c r="U123" s="10">
        <f ca="1">IFERROR('RPK (live)'!U123/'ASK (live)'!U123,"-")</f>
        <v>0.75933626016462541</v>
      </c>
      <c r="V123" s="10">
        <f ca="1">IFERROR('RPK (live)'!V123/'ASK (live)'!V123,"-")</f>
        <v>0.87172756548014907</v>
      </c>
      <c r="W123" s="10">
        <f ca="1">IFERROR('RPK (live)'!W123/'ASK (live)'!W123,"-")</f>
        <v>0.84097885950806739</v>
      </c>
      <c r="X123" s="10">
        <f ca="1">IFERROR('RPK (live)'!X123/'ASK (live)'!X123,"-")</f>
        <v>0.86225009018817123</v>
      </c>
      <c r="Y123" s="10">
        <f ca="1">IFERROR('RPK (live)'!Y123/'ASK (live)'!Y123,"-")</f>
        <v>0.8892894059732015</v>
      </c>
      <c r="Z123" s="10">
        <f ca="1">IFERROR('RPK (live)'!Z123/'ASK (live)'!Z123,"-")</f>
        <v>0.87619548384081425</v>
      </c>
      <c r="AA123" s="10">
        <f ca="1">IFERROR('RPK (live)'!AA123/'ASK (live)'!AA123,"-")</f>
        <v>0.79239224179188539</v>
      </c>
      <c r="AB123" s="10">
        <f ca="1">IFERROR('RPK (live)'!AB123/'ASK (live)'!AB123,"-")</f>
        <v>0.80188717667542242</v>
      </c>
      <c r="AC123" s="10">
        <f ca="1">IFERROR('RPK (live)'!AC123/'ASK (live)'!AC123,"-")</f>
        <v>0.83718449369422454</v>
      </c>
      <c r="AD123" s="10">
        <f ca="1">IFERROR('RPK (live)'!AD123/'ASK (live)'!AD123,"-")</f>
        <v>0.873203278302491</v>
      </c>
      <c r="AE123" s="10">
        <f ca="1">IFERROR('RPK (live)'!AE123/'ASK (live)'!AE123,"-")</f>
        <v>0.87686320253938244</v>
      </c>
    </row>
    <row r="124" spans="1:31">
      <c r="A124" s="1" t="s">
        <v>152</v>
      </c>
      <c r="B124" s="5" t="s">
        <v>36</v>
      </c>
      <c r="C124" s="5" t="s">
        <v>37</v>
      </c>
      <c r="D124" s="5" t="s">
        <v>38</v>
      </c>
      <c r="E124" s="5" t="s">
        <v>21</v>
      </c>
      <c r="F124" s="5" t="s">
        <v>24</v>
      </c>
      <c r="G124" s="6"/>
      <c r="H124" s="6"/>
      <c r="I124" s="6"/>
      <c r="J124" s="6"/>
      <c r="K124" s="6"/>
      <c r="L124" s="10">
        <f ca="1">IFERROR('RPK (live)'!L124/'ASK (live)'!L124,"-")</f>
        <v>0.78686739800043348</v>
      </c>
      <c r="M124" s="10">
        <f ca="1">IFERROR('RPK (live)'!M124/'ASK (live)'!M124,"-")</f>
        <v>0.82699260106197647</v>
      </c>
      <c r="N124" s="10">
        <f ca="1">IFERROR('RPK (live)'!N124/'ASK (live)'!N124,"-")</f>
        <v>0.80878576872809571</v>
      </c>
      <c r="O124" s="10">
        <f ca="1">IFERROR('RPK (live)'!O124/'ASK (live)'!O124,"-")</f>
        <v>0.77971162802107818</v>
      </c>
      <c r="P124" s="10">
        <f ca="1">IFERROR('RPK (live)'!P124/'ASK (live)'!P124,"-")</f>
        <v>0.83407679196957119</v>
      </c>
      <c r="Q124" s="10">
        <f ca="1">IFERROR('RPK (live)'!Q124/'ASK (live)'!Q124,"-")</f>
        <v>0.90204242995938588</v>
      </c>
      <c r="R124" s="10">
        <f ca="1">IFERROR('RPK (live)'!R124/'ASK (live)'!R124,"-")</f>
        <v>0.93472371535693166</v>
      </c>
      <c r="S124" s="10">
        <f ca="1">IFERROR('RPK (live)'!S124/'ASK (live)'!S124,"-")</f>
        <v>1</v>
      </c>
      <c r="T124" s="10">
        <f ca="1">IFERROR('RPK (live)'!T124/'ASK (live)'!T124,"-")</f>
        <v>0.77537271114071427</v>
      </c>
      <c r="U124" s="10">
        <f ca="1">IFERROR('RPK (live)'!U124/'ASK (live)'!U124,"-")</f>
        <v>0.75933626016462552</v>
      </c>
      <c r="V124" s="10">
        <f ca="1">IFERROR('RPK (live)'!V124/'ASK (live)'!V124,"-")</f>
        <v>0.87172756548014907</v>
      </c>
      <c r="W124" s="10">
        <f ca="1">IFERROR('RPK (live)'!W124/'ASK (live)'!W124,"-")</f>
        <v>0.84097885950806717</v>
      </c>
      <c r="X124" s="10">
        <f ca="1">IFERROR('RPK (live)'!X124/'ASK (live)'!X124,"-")</f>
        <v>0.86225009018817123</v>
      </c>
      <c r="Y124" s="10">
        <f ca="1">IFERROR('RPK (live)'!Y124/'ASK (live)'!Y124,"-")</f>
        <v>0.88928940597320161</v>
      </c>
      <c r="Z124" s="10">
        <f ca="1">IFERROR('RPK (live)'!Z124/'ASK (live)'!Z124,"-")</f>
        <v>0.87619548384081414</v>
      </c>
      <c r="AA124" s="10">
        <f ca="1">IFERROR('RPK (live)'!AA124/'ASK (live)'!AA124,"-")</f>
        <v>0.79239224179188528</v>
      </c>
      <c r="AB124" s="10">
        <f ca="1">IFERROR('RPK (live)'!AB124/'ASK (live)'!AB124,"-")</f>
        <v>0.80188717667542253</v>
      </c>
      <c r="AC124" s="10">
        <f ca="1">IFERROR('RPK (live)'!AC124/'ASK (live)'!AC124,"-")</f>
        <v>0.83718449369422454</v>
      </c>
      <c r="AD124" s="10">
        <f ca="1">IFERROR('RPK (live)'!AD124/'ASK (live)'!AD124,"-")</f>
        <v>0.873203278302491</v>
      </c>
      <c r="AE124" s="10">
        <f ca="1">IFERROR('RPK (live)'!AE124/'ASK (live)'!AE124,"-")</f>
        <v>0.87686320253938244</v>
      </c>
    </row>
    <row r="125" spans="1:31">
      <c r="A125" s="1" t="s">
        <v>152</v>
      </c>
      <c r="B125" s="5" t="s">
        <v>160</v>
      </c>
      <c r="C125" s="5" t="s">
        <v>161</v>
      </c>
      <c r="D125" s="5" t="s">
        <v>21</v>
      </c>
      <c r="E125" s="5" t="s">
        <v>69</v>
      </c>
      <c r="F125" s="5" t="s">
        <v>24</v>
      </c>
      <c r="G125" s="6"/>
      <c r="H125" s="6"/>
      <c r="I125" s="6"/>
      <c r="J125" s="6"/>
      <c r="K125" s="6"/>
      <c r="L125" s="10">
        <f ca="1">IFERROR('RPK (live)'!L125/'ASK (live)'!L125,"-")</f>
        <v>0.80000000000000016</v>
      </c>
      <c r="M125" s="10">
        <f ca="1">IFERROR('RPK (live)'!M125/'ASK (live)'!M125,"-")</f>
        <v>0.79986873970767225</v>
      </c>
      <c r="N125" s="10">
        <f ca="1">IFERROR('RPK (live)'!N125/'ASK (live)'!N125,"-")</f>
        <v>0.81</v>
      </c>
      <c r="O125" s="10">
        <f ca="1">IFERROR('RPK (live)'!O125/'ASK (live)'!O125,"-")</f>
        <v>0.8</v>
      </c>
      <c r="P125" s="10">
        <f ca="1">IFERROR('RPK (live)'!P125/'ASK (live)'!P125,"-")</f>
        <v>0.73999999999999988</v>
      </c>
      <c r="Q125" s="10">
        <f ca="1">IFERROR('RPK (live)'!Q125/'ASK (live)'!Q125,"-")</f>
        <v>0.85</v>
      </c>
      <c r="R125" s="10">
        <f ca="1">IFERROR('RPK (live)'!R125/'ASK (live)'!R125,"-")</f>
        <v>0.85</v>
      </c>
      <c r="S125" s="10">
        <f ca="1">IFERROR('RPK (live)'!S125/'ASK (live)'!S125,"-")</f>
        <v>0.83</v>
      </c>
      <c r="T125" s="10">
        <f ca="1">IFERROR('RPK (live)'!T125/'ASK (live)'!T125,"-")</f>
        <v>0.92703999698206863</v>
      </c>
      <c r="U125" s="10">
        <f ca="1">IFERROR('RPK (live)'!U125/'ASK (live)'!U125,"-")</f>
        <v>0.88664511776404609</v>
      </c>
      <c r="V125" s="10">
        <f ca="1">IFERROR('RPK (live)'!V125/'ASK (live)'!V125,"-")</f>
        <v>0.95384375516849129</v>
      </c>
      <c r="W125" s="10">
        <f ca="1">IFERROR('RPK (live)'!W125/'ASK (live)'!W125,"-")</f>
        <v>0.89968639562882724</v>
      </c>
      <c r="X125" s="10">
        <f ca="1">IFERROR('RPK (live)'!X125/'ASK (live)'!X125,"-")</f>
        <v>0.89004202495125595</v>
      </c>
      <c r="Y125" s="10">
        <f ca="1">IFERROR('RPK (live)'!Y125/'ASK (live)'!Y125,"-")</f>
        <v>0.93161435743254273</v>
      </c>
      <c r="Z125" s="10">
        <f ca="1">IFERROR('RPK (live)'!Z125/'ASK (live)'!Z125,"-")</f>
        <v>0.92025991694358433</v>
      </c>
      <c r="AA125" s="10">
        <f ca="1">IFERROR('RPK (live)'!AA125/'ASK (live)'!AA125,"-")</f>
        <v>0.84404886381985533</v>
      </c>
      <c r="AB125" s="10">
        <f ca="1">IFERROR('RPK (live)'!AB125/'ASK (live)'!AB125,"-")</f>
        <v>0.77179439068635858</v>
      </c>
      <c r="AC125" s="10">
        <f ca="1">IFERROR('RPK (live)'!AC125/'ASK (live)'!AC125,"-")</f>
        <v>0.7952004000074423</v>
      </c>
      <c r="AD125" s="10">
        <f ca="1">IFERROR('RPK (live)'!AD125/'ASK (live)'!AD125,"-")</f>
        <v>0.72326232009832037</v>
      </c>
      <c r="AE125" s="10">
        <f ca="1">IFERROR('RPK (live)'!AE125/'ASK (live)'!AE125,"-")</f>
        <v>0.71477149115816807</v>
      </c>
    </row>
    <row r="126" spans="1:31">
      <c r="A126" s="1" t="s">
        <v>152</v>
      </c>
      <c r="B126" s="5" t="s">
        <v>67</v>
      </c>
      <c r="C126" s="5" t="s">
        <v>68</v>
      </c>
      <c r="D126" s="5" t="s">
        <v>69</v>
      </c>
      <c r="E126" s="5" t="s">
        <v>21</v>
      </c>
      <c r="F126" s="5" t="s">
        <v>24</v>
      </c>
      <c r="G126" s="6"/>
      <c r="H126" s="6"/>
      <c r="I126" s="6"/>
      <c r="J126" s="6"/>
      <c r="K126" s="6"/>
      <c r="L126" s="10">
        <f ca="1">IFERROR('RPK (live)'!L126/'ASK (live)'!L126,"-")</f>
        <v>0.80000000000000016</v>
      </c>
      <c r="M126" s="10">
        <f ca="1">IFERROR('RPK (live)'!M126/'ASK (live)'!M126,"-")</f>
        <v>0.79986873970767225</v>
      </c>
      <c r="N126" s="10">
        <f ca="1">IFERROR('RPK (live)'!N126/'ASK (live)'!N126,"-")</f>
        <v>0.81</v>
      </c>
      <c r="O126" s="10">
        <f ca="1">IFERROR('RPK (live)'!O126/'ASK (live)'!O126,"-")</f>
        <v>0.8</v>
      </c>
      <c r="P126" s="10">
        <f ca="1">IFERROR('RPK (live)'!P126/'ASK (live)'!P126,"-")</f>
        <v>0.73999999999999988</v>
      </c>
      <c r="Q126" s="10">
        <f ca="1">IFERROR('RPK (live)'!Q126/'ASK (live)'!Q126,"-")</f>
        <v>0.85</v>
      </c>
      <c r="R126" s="10">
        <f ca="1">IFERROR('RPK (live)'!R126/'ASK (live)'!R126,"-")</f>
        <v>0.85</v>
      </c>
      <c r="S126" s="10">
        <f ca="1">IFERROR('RPK (live)'!S126/'ASK (live)'!S126,"-")</f>
        <v>0.83</v>
      </c>
      <c r="T126" s="10">
        <f ca="1">IFERROR('RPK (live)'!T126/'ASK (live)'!T126,"-")</f>
        <v>0.92703999698206863</v>
      </c>
      <c r="U126" s="10">
        <f ca="1">IFERROR('RPK (live)'!U126/'ASK (live)'!U126,"-")</f>
        <v>0.88664511776404609</v>
      </c>
      <c r="V126" s="10">
        <f ca="1">IFERROR('RPK (live)'!V126/'ASK (live)'!V126,"-")</f>
        <v>0.95384375516849129</v>
      </c>
      <c r="W126" s="10">
        <f ca="1">IFERROR('RPK (live)'!W126/'ASK (live)'!W126,"-")</f>
        <v>0.89968639562882724</v>
      </c>
      <c r="X126" s="10">
        <f ca="1">IFERROR('RPK (live)'!X126/'ASK (live)'!X126,"-")</f>
        <v>0.89004202495125595</v>
      </c>
      <c r="Y126" s="10">
        <f ca="1">IFERROR('RPK (live)'!Y126/'ASK (live)'!Y126,"-")</f>
        <v>0.93161435743254273</v>
      </c>
      <c r="Z126" s="10">
        <f ca="1">IFERROR('RPK (live)'!Z126/'ASK (live)'!Z126,"-")</f>
        <v>0.92025991694358433</v>
      </c>
      <c r="AA126" s="10">
        <f ca="1">IFERROR('RPK (live)'!AA126/'ASK (live)'!AA126,"-")</f>
        <v>0.84404886381985533</v>
      </c>
      <c r="AB126" s="10">
        <f ca="1">IFERROR('RPK (live)'!AB126/'ASK (live)'!AB126,"-")</f>
        <v>0.77179439068635858</v>
      </c>
      <c r="AC126" s="10">
        <f ca="1">IFERROR('RPK (live)'!AC126/'ASK (live)'!AC126,"-")</f>
        <v>0.7952004000074423</v>
      </c>
      <c r="AD126" s="10">
        <f ca="1">IFERROR('RPK (live)'!AD126/'ASK (live)'!AD126,"-")</f>
        <v>0.72326232009832037</v>
      </c>
      <c r="AE126" s="10">
        <f ca="1">IFERROR('RPK (live)'!AE126/'ASK (live)'!AE126,"-")</f>
        <v>0.71477149115816796</v>
      </c>
    </row>
    <row r="127" spans="1:31">
      <c r="A127" s="1" t="s">
        <v>152</v>
      </c>
      <c r="B127" s="5" t="s">
        <v>162</v>
      </c>
      <c r="C127" s="5" t="s">
        <v>163</v>
      </c>
      <c r="D127" s="5" t="s">
        <v>21</v>
      </c>
      <c r="E127" s="5" t="s">
        <v>54</v>
      </c>
      <c r="F127" s="5" t="s">
        <v>24</v>
      </c>
      <c r="G127" s="6"/>
      <c r="H127" s="6"/>
      <c r="I127" s="6"/>
      <c r="J127" s="6"/>
      <c r="K127" s="6"/>
      <c r="L127" s="10">
        <f ca="1">IFERROR('RPK (live)'!L127/'ASK (live)'!L127,"-")</f>
        <v>0.86</v>
      </c>
      <c r="M127" s="10">
        <f ca="1">IFERROR('RPK (live)'!M127/'ASK (live)'!M127,"-")</f>
        <v>0.93149270953298546</v>
      </c>
      <c r="N127" s="10">
        <f ca="1">IFERROR('RPK (live)'!N127/'ASK (live)'!N127,"-")</f>
        <v>0.93999999999999984</v>
      </c>
      <c r="O127" s="10">
        <f ca="1">IFERROR('RPK (live)'!O127/'ASK (live)'!O127,"-")</f>
        <v>0.90000000000000013</v>
      </c>
      <c r="P127" s="10">
        <f ca="1">IFERROR('RPK (live)'!P127/'ASK (live)'!P127,"-")</f>
        <v>0.93</v>
      </c>
      <c r="Q127" s="10">
        <f ca="1">IFERROR('RPK (live)'!Q127/'ASK (live)'!Q127,"-")</f>
        <v>0.82999999999999985</v>
      </c>
      <c r="R127" s="10">
        <f ca="1">IFERROR('RPK (live)'!R127/'ASK (live)'!R127,"-")</f>
        <v>0.84</v>
      </c>
      <c r="S127" s="10">
        <f ca="1">IFERROR('RPK (live)'!S127/'ASK (live)'!S127,"-")</f>
        <v>0.82</v>
      </c>
      <c r="T127" s="10">
        <f ca="1">IFERROR('RPK (live)'!T127/'ASK (live)'!T127,"-")</f>
        <v>0.76070377102008224</v>
      </c>
      <c r="U127" s="10">
        <f ca="1">IFERROR('RPK (live)'!U127/'ASK (live)'!U127,"-")</f>
        <v>0.72581023536241174</v>
      </c>
      <c r="V127" s="10">
        <f ca="1">IFERROR('RPK (live)'!V127/'ASK (live)'!V127,"-")</f>
        <v>0.84738602186583223</v>
      </c>
      <c r="W127" s="10">
        <f ca="1">IFERROR('RPK (live)'!W127/'ASK (live)'!W127,"-")</f>
        <v>0.88813870591387201</v>
      </c>
      <c r="X127" s="10">
        <f ca="1">IFERROR('RPK (live)'!X127/'ASK (live)'!X127,"-")</f>
        <v>0.94172994851123615</v>
      </c>
      <c r="Y127" s="10">
        <f ca="1">IFERROR('RPK (live)'!Y127/'ASK (live)'!Y127,"-")</f>
        <v>0.97745223642919865</v>
      </c>
      <c r="Z127" s="10">
        <f ca="1">IFERROR('RPK (live)'!Z127/'ASK (live)'!Z127,"-")</f>
        <v>0.97487285258906831</v>
      </c>
      <c r="AA127" s="10">
        <f ca="1">IFERROR('RPK (live)'!AA127/'ASK (live)'!AA127,"-")</f>
        <v>0.90760290387039488</v>
      </c>
      <c r="AB127" s="10">
        <f ca="1">IFERROR('RPK (live)'!AB127/'ASK (live)'!AB127,"-")</f>
        <v>0.93994658326453129</v>
      </c>
      <c r="AC127" s="10">
        <f ca="1">IFERROR('RPK (live)'!AC127/'ASK (live)'!AC127,"-")</f>
        <v>0.89049198317748035</v>
      </c>
      <c r="AD127" s="10">
        <f ca="1">IFERROR('RPK (live)'!AD127/'ASK (live)'!AD127,"-")</f>
        <v>0.89375663334984867</v>
      </c>
      <c r="AE127" s="10">
        <f ca="1">IFERROR('RPK (live)'!AE127/'ASK (live)'!AE127,"-")</f>
        <v>0.8730604825417948</v>
      </c>
    </row>
    <row r="128" spans="1:31">
      <c r="A128" s="1" t="s">
        <v>152</v>
      </c>
      <c r="B128" s="5" t="s">
        <v>52</v>
      </c>
      <c r="C128" s="5" t="s">
        <v>53</v>
      </c>
      <c r="D128" s="5" t="s">
        <v>54</v>
      </c>
      <c r="E128" s="5" t="s">
        <v>21</v>
      </c>
      <c r="F128" s="5" t="s">
        <v>24</v>
      </c>
      <c r="G128" s="6"/>
      <c r="H128" s="6"/>
      <c r="I128" s="6"/>
      <c r="J128" s="6"/>
      <c r="K128" s="6"/>
      <c r="L128" s="10">
        <f ca="1">IFERROR('RPK (live)'!L128/'ASK (live)'!L128,"-")</f>
        <v>0.86</v>
      </c>
      <c r="M128" s="10">
        <f ca="1">IFERROR('RPK (live)'!M128/'ASK (live)'!M128,"-")</f>
        <v>0.93149270953298546</v>
      </c>
      <c r="N128" s="10">
        <f ca="1">IFERROR('RPK (live)'!N128/'ASK (live)'!N128,"-")</f>
        <v>0.93999999999999984</v>
      </c>
      <c r="O128" s="10">
        <f ca="1">IFERROR('RPK (live)'!O128/'ASK (live)'!O128,"-")</f>
        <v>0.90000000000000013</v>
      </c>
      <c r="P128" s="10">
        <f ca="1">IFERROR('RPK (live)'!P128/'ASK (live)'!P128,"-")</f>
        <v>0.93</v>
      </c>
      <c r="Q128" s="10">
        <f ca="1">IFERROR('RPK (live)'!Q128/'ASK (live)'!Q128,"-")</f>
        <v>0.82999999999999985</v>
      </c>
      <c r="R128" s="10">
        <f ca="1">IFERROR('RPK (live)'!R128/'ASK (live)'!R128,"-")</f>
        <v>0.84</v>
      </c>
      <c r="S128" s="10">
        <f ca="1">IFERROR('RPK (live)'!S128/'ASK (live)'!S128,"-")</f>
        <v>0.82</v>
      </c>
      <c r="T128" s="10">
        <f ca="1">IFERROR('RPK (live)'!T128/'ASK (live)'!T128,"-")</f>
        <v>0.76070377102008224</v>
      </c>
      <c r="U128" s="10">
        <f ca="1">IFERROR('RPK (live)'!U128/'ASK (live)'!U128,"-")</f>
        <v>0.72581023536241174</v>
      </c>
      <c r="V128" s="10">
        <f ca="1">IFERROR('RPK (live)'!V128/'ASK (live)'!V128,"-")</f>
        <v>0.84738602186583223</v>
      </c>
      <c r="W128" s="10">
        <f ca="1">IFERROR('RPK (live)'!W128/'ASK (live)'!W128,"-")</f>
        <v>0.88813870591387201</v>
      </c>
      <c r="X128" s="10">
        <f ca="1">IFERROR('RPK (live)'!X128/'ASK (live)'!X128,"-")</f>
        <v>0.94172994851123615</v>
      </c>
      <c r="Y128" s="10">
        <f ca="1">IFERROR('RPK (live)'!Y128/'ASK (live)'!Y128,"-")</f>
        <v>0.97745223642919865</v>
      </c>
      <c r="Z128" s="10">
        <f ca="1">IFERROR('RPK (live)'!Z128/'ASK (live)'!Z128,"-")</f>
        <v>0.97487285258906831</v>
      </c>
      <c r="AA128" s="10">
        <f ca="1">IFERROR('RPK (live)'!AA128/'ASK (live)'!AA128,"-")</f>
        <v>0.90760290387039488</v>
      </c>
      <c r="AB128" s="10">
        <f ca="1">IFERROR('RPK (live)'!AB128/'ASK (live)'!AB128,"-")</f>
        <v>0.93994658326453129</v>
      </c>
      <c r="AC128" s="10">
        <f ca="1">IFERROR('RPK (live)'!AC128/'ASK (live)'!AC128,"-")</f>
        <v>0.89049198317748035</v>
      </c>
      <c r="AD128" s="10">
        <f ca="1">IFERROR('RPK (live)'!AD128/'ASK (live)'!AD128,"-")</f>
        <v>0.89375663334984867</v>
      </c>
      <c r="AE128" s="10">
        <f ca="1">IFERROR('RPK (live)'!AE128/'ASK (live)'!AE128,"-")</f>
        <v>0.87306048254179491</v>
      </c>
    </row>
    <row r="129" spans="1:31">
      <c r="A129" s="1" t="s">
        <v>152</v>
      </c>
      <c r="B129" s="5" t="s">
        <v>164</v>
      </c>
      <c r="C129" s="5" t="s">
        <v>159</v>
      </c>
      <c r="D129" s="5" t="s">
        <v>21</v>
      </c>
      <c r="E129" s="5" t="s">
        <v>38</v>
      </c>
      <c r="F129" s="5" t="s">
        <v>24</v>
      </c>
      <c r="G129" s="6"/>
      <c r="H129" s="6"/>
      <c r="I129" s="6"/>
      <c r="J129" s="6"/>
      <c r="K129" s="6"/>
      <c r="L129" s="10">
        <f ca="1">IFERROR('RPK (live)'!L129/'ASK (live)'!L129,"-")</f>
        <v>0.78686739800043337</v>
      </c>
      <c r="M129" s="10">
        <f ca="1">IFERROR('RPK (live)'!M129/'ASK (live)'!M129,"-")</f>
        <v>0.82699260106197647</v>
      </c>
      <c r="N129" s="10">
        <f ca="1">IFERROR('RPK (live)'!N129/'ASK (live)'!N129,"-")</f>
        <v>0.80878576872809571</v>
      </c>
      <c r="O129" s="10">
        <f ca="1">IFERROR('RPK (live)'!O129/'ASK (live)'!O129,"-")</f>
        <v>0.77971162802107818</v>
      </c>
      <c r="P129" s="10">
        <f ca="1">IFERROR('RPK (live)'!P129/'ASK (live)'!P129,"-")</f>
        <v>0.8340767919695713</v>
      </c>
      <c r="Q129" s="10">
        <f ca="1">IFERROR('RPK (live)'!Q129/'ASK (live)'!Q129,"-")</f>
        <v>0.90204242995938577</v>
      </c>
      <c r="R129" s="10">
        <f ca="1">IFERROR('RPK (live)'!R129/'ASK (live)'!R129,"-")</f>
        <v>0.93472371535693166</v>
      </c>
      <c r="S129" s="10">
        <f ca="1">IFERROR('RPK (live)'!S129/'ASK (live)'!S129,"-")</f>
        <v>1</v>
      </c>
      <c r="T129" s="10">
        <f ca="1">IFERROR('RPK (live)'!T129/'ASK (live)'!T129,"-")</f>
        <v>0.77537271114071415</v>
      </c>
      <c r="U129" s="10">
        <f ca="1">IFERROR('RPK (live)'!U129/'ASK (live)'!U129,"-")</f>
        <v>0.75933626016462541</v>
      </c>
      <c r="V129" s="10">
        <f ca="1">IFERROR('RPK (live)'!V129/'ASK (live)'!V129,"-")</f>
        <v>0.87172756548014918</v>
      </c>
      <c r="W129" s="10">
        <f ca="1">IFERROR('RPK (live)'!W129/'ASK (live)'!W129,"-")</f>
        <v>0.84097885950806728</v>
      </c>
      <c r="X129" s="10">
        <f ca="1">IFERROR('RPK (live)'!X129/'ASK (live)'!X129,"-")</f>
        <v>0.86225009018817111</v>
      </c>
      <c r="Y129" s="10">
        <f ca="1">IFERROR('RPK (live)'!Y129/'ASK (live)'!Y129,"-")</f>
        <v>0.88928940597320161</v>
      </c>
      <c r="Z129" s="10">
        <f ca="1">IFERROR('RPK (live)'!Z129/'ASK (live)'!Z129,"-")</f>
        <v>0.87619548384081425</v>
      </c>
      <c r="AA129" s="10">
        <f ca="1">IFERROR('RPK (live)'!AA129/'ASK (live)'!AA129,"-")</f>
        <v>0.79239224179188539</v>
      </c>
      <c r="AB129" s="10">
        <f ca="1">IFERROR('RPK (live)'!AB129/'ASK (live)'!AB129,"-")</f>
        <v>0.80188717667542253</v>
      </c>
      <c r="AC129" s="10">
        <f ca="1">IFERROR('RPK (live)'!AC129/'ASK (live)'!AC129,"-")</f>
        <v>0.83718449369422454</v>
      </c>
      <c r="AD129" s="10">
        <f ca="1">IFERROR('RPK (live)'!AD129/'ASK (live)'!AD129,"-")</f>
        <v>0.87320327830249089</v>
      </c>
      <c r="AE129" s="10">
        <f ca="1">IFERROR('RPK (live)'!AE129/'ASK (live)'!AE129,"-")</f>
        <v>0.87686320253938244</v>
      </c>
    </row>
    <row r="130" spans="1:31">
      <c r="A130" s="1" t="s">
        <v>152</v>
      </c>
      <c r="B130" s="5" t="s">
        <v>39</v>
      </c>
      <c r="C130" s="5" t="s">
        <v>37</v>
      </c>
      <c r="D130" s="5" t="s">
        <v>38</v>
      </c>
      <c r="E130" s="5" t="s">
        <v>21</v>
      </c>
      <c r="F130" s="5" t="s">
        <v>24</v>
      </c>
      <c r="G130" s="6"/>
      <c r="H130" s="6"/>
      <c r="I130" s="6"/>
      <c r="J130" s="6"/>
      <c r="K130" s="6"/>
      <c r="L130" s="10">
        <f ca="1">IFERROR('RPK (live)'!L130/'ASK (live)'!L130,"-")</f>
        <v>0.78686739800043348</v>
      </c>
      <c r="M130" s="10">
        <f ca="1">IFERROR('RPK (live)'!M130/'ASK (live)'!M130,"-")</f>
        <v>0.82699260106197647</v>
      </c>
      <c r="N130" s="10">
        <f ca="1">IFERROR('RPK (live)'!N130/'ASK (live)'!N130,"-")</f>
        <v>0.80878576872809571</v>
      </c>
      <c r="O130" s="10">
        <f ca="1">IFERROR('RPK (live)'!O130/'ASK (live)'!O130,"-")</f>
        <v>0.77971162802107818</v>
      </c>
      <c r="P130" s="10">
        <f ca="1">IFERROR('RPK (live)'!P130/'ASK (live)'!P130,"-")</f>
        <v>0.83407679196957119</v>
      </c>
      <c r="Q130" s="10">
        <f ca="1">IFERROR('RPK (live)'!Q130/'ASK (live)'!Q130,"-")</f>
        <v>0.90204242995938566</v>
      </c>
      <c r="R130" s="10">
        <f ca="1">IFERROR('RPK (live)'!R130/'ASK (live)'!R130,"-")</f>
        <v>0.93472371535693166</v>
      </c>
      <c r="S130" s="10">
        <f ca="1">IFERROR('RPK (live)'!S130/'ASK (live)'!S130,"-")</f>
        <v>1</v>
      </c>
      <c r="T130" s="10">
        <f ca="1">IFERROR('RPK (live)'!T130/'ASK (live)'!T130,"-")</f>
        <v>0.77537271114071415</v>
      </c>
      <c r="U130" s="10">
        <f ca="1">IFERROR('RPK (live)'!U130/'ASK (live)'!U130,"-")</f>
        <v>0.75933626016462541</v>
      </c>
      <c r="V130" s="10">
        <f ca="1">IFERROR('RPK (live)'!V130/'ASK (live)'!V130,"-")</f>
        <v>0.87172756548014918</v>
      </c>
      <c r="W130" s="10">
        <f ca="1">IFERROR('RPK (live)'!W130/'ASK (live)'!W130,"-")</f>
        <v>0.84097885950806728</v>
      </c>
      <c r="X130" s="10">
        <f ca="1">IFERROR('RPK (live)'!X130/'ASK (live)'!X130,"-")</f>
        <v>0.86225009018817111</v>
      </c>
      <c r="Y130" s="10">
        <f ca="1">IFERROR('RPK (live)'!Y130/'ASK (live)'!Y130,"-")</f>
        <v>0.88928940597320161</v>
      </c>
      <c r="Z130" s="10">
        <f ca="1">IFERROR('RPK (live)'!Z130/'ASK (live)'!Z130,"-")</f>
        <v>0.87619548384081425</v>
      </c>
      <c r="AA130" s="10">
        <f ca="1">IFERROR('RPK (live)'!AA130/'ASK (live)'!AA130,"-")</f>
        <v>0.79239224179188539</v>
      </c>
      <c r="AB130" s="10">
        <f ca="1">IFERROR('RPK (live)'!AB130/'ASK (live)'!AB130,"-")</f>
        <v>0.80188717667542253</v>
      </c>
      <c r="AC130" s="10">
        <f ca="1">IFERROR('RPK (live)'!AC130/'ASK (live)'!AC130,"-")</f>
        <v>0.83718449369422454</v>
      </c>
      <c r="AD130" s="10">
        <f ca="1">IFERROR('RPK (live)'!AD130/'ASK (live)'!AD130,"-")</f>
        <v>0.87320327830249089</v>
      </c>
      <c r="AE130" s="10">
        <f ca="1">IFERROR('RPK (live)'!AE130/'ASK (live)'!AE130,"-")</f>
        <v>0.87686320253938244</v>
      </c>
    </row>
    <row r="131" spans="1:31">
      <c r="A131" s="1" t="s">
        <v>152</v>
      </c>
      <c r="B131" s="5" t="s">
        <v>165</v>
      </c>
      <c r="C131" s="5" t="s">
        <v>166</v>
      </c>
      <c r="D131" s="5" t="s">
        <v>21</v>
      </c>
      <c r="E131" s="5" t="s">
        <v>31</v>
      </c>
      <c r="F131" s="5" t="s">
        <v>24</v>
      </c>
      <c r="G131" s="6"/>
      <c r="H131" s="6"/>
      <c r="I131" s="6"/>
      <c r="J131" s="6"/>
      <c r="K131" s="6"/>
      <c r="L131" s="10">
        <f ca="1">IFERROR('RPK (live)'!L131/'ASK (live)'!L131,"-")</f>
        <v>0.78</v>
      </c>
      <c r="M131" s="10">
        <f ca="1">IFERROR('RPK (live)'!M131/'ASK (live)'!M131,"-")</f>
        <v>0.93149270953298557</v>
      </c>
      <c r="N131" s="10">
        <f ca="1">IFERROR('RPK (live)'!N131/'ASK (live)'!N131,"-")</f>
        <v>0.77000000000000024</v>
      </c>
      <c r="O131" s="10">
        <f ca="1">IFERROR('RPK (live)'!O131/'ASK (live)'!O131,"-")</f>
        <v>0.83</v>
      </c>
      <c r="P131" s="10">
        <f ca="1">IFERROR('RPK (live)'!P131/'ASK (live)'!P131,"-")</f>
        <v>0.89000000000000012</v>
      </c>
      <c r="Q131" s="10">
        <f ca="1">IFERROR('RPK (live)'!Q131/'ASK (live)'!Q131,"-")</f>
        <v>0.87</v>
      </c>
      <c r="R131" s="10">
        <f ca="1">IFERROR('RPK (live)'!R131/'ASK (live)'!R131,"-")</f>
        <v>0.83999999999999986</v>
      </c>
      <c r="S131" s="10">
        <f ca="1">IFERROR('RPK (live)'!S131/'ASK (live)'!S131,"-")</f>
        <v>0.77</v>
      </c>
      <c r="T131" s="10">
        <f ca="1">IFERROR('RPK (live)'!T131/'ASK (live)'!T131,"-")</f>
        <v>0.6027976005204444</v>
      </c>
      <c r="U131" s="10">
        <f ca="1">IFERROR('RPK (live)'!U131/'ASK (live)'!U131,"-")</f>
        <v>0.49902830930915604</v>
      </c>
      <c r="V131" s="10">
        <f ca="1">IFERROR('RPK (live)'!V131/'ASK (live)'!V131,"-")</f>
        <v>0.7130110378144785</v>
      </c>
      <c r="W131" s="10">
        <f ca="1">IFERROR('RPK (live)'!W131/'ASK (live)'!W131,"-")</f>
        <v>0.65628694567584811</v>
      </c>
      <c r="X131" s="10">
        <f ca="1">IFERROR('RPK (live)'!X131/'ASK (live)'!X131,"-")</f>
        <v>0.79785813980538456</v>
      </c>
      <c r="Y131" s="10">
        <f ca="1">IFERROR('RPK (live)'!Y131/'ASK (live)'!Y131,"-")</f>
        <v>0.75976844860291404</v>
      </c>
      <c r="Z131" s="10">
        <f ca="1">IFERROR('RPK (live)'!Z131/'ASK (live)'!Z131,"-")</f>
        <v>0.80629712678086263</v>
      </c>
      <c r="AA131" s="10">
        <f ca="1">IFERROR('RPK (live)'!AA131/'ASK (live)'!AA131,"-")</f>
        <v>0.90150714206386473</v>
      </c>
      <c r="AB131" s="10">
        <f ca="1">IFERROR('RPK (live)'!AB131/'ASK (live)'!AB131,"-")</f>
        <v>0.82418641527240433</v>
      </c>
      <c r="AC131" s="10">
        <f ca="1">IFERROR('RPK (live)'!AC131/'ASK (live)'!AC131,"-")</f>
        <v>0.91767128546796195</v>
      </c>
      <c r="AD131" s="10">
        <f ca="1">IFERROR('RPK (live)'!AD131/'ASK (live)'!AD131,"-")</f>
        <v>0.821642023970654</v>
      </c>
      <c r="AE131" s="10">
        <f ca="1">IFERROR('RPK (live)'!AE131/'ASK (live)'!AE131,"-")</f>
        <v>0.87810120980088757</v>
      </c>
    </row>
    <row r="132" spans="1:31">
      <c r="A132" s="1" t="s">
        <v>152</v>
      </c>
      <c r="B132" s="5" t="s">
        <v>29</v>
      </c>
      <c r="C132" s="5" t="s">
        <v>30</v>
      </c>
      <c r="D132" s="5" t="s">
        <v>31</v>
      </c>
      <c r="E132" s="5" t="s">
        <v>21</v>
      </c>
      <c r="F132" s="5" t="s">
        <v>24</v>
      </c>
      <c r="G132" s="6"/>
      <c r="H132" s="6"/>
      <c r="I132" s="6"/>
      <c r="J132" s="6"/>
      <c r="K132" s="6"/>
      <c r="L132" s="10">
        <f ca="1">IFERROR('RPK (live)'!L132/'ASK (live)'!L132,"-")</f>
        <v>0.78</v>
      </c>
      <c r="M132" s="10">
        <f ca="1">IFERROR('RPK (live)'!M132/'ASK (live)'!M132,"-")</f>
        <v>0.93149270953298557</v>
      </c>
      <c r="N132" s="10">
        <f ca="1">IFERROR('RPK (live)'!N132/'ASK (live)'!N132,"-")</f>
        <v>0.77000000000000024</v>
      </c>
      <c r="O132" s="10">
        <f ca="1">IFERROR('RPK (live)'!O132/'ASK (live)'!O132,"-")</f>
        <v>0.83</v>
      </c>
      <c r="P132" s="10">
        <f ca="1">IFERROR('RPK (live)'!P132/'ASK (live)'!P132,"-")</f>
        <v>0.89000000000000012</v>
      </c>
      <c r="Q132" s="10">
        <f ca="1">IFERROR('RPK (live)'!Q132/'ASK (live)'!Q132,"-")</f>
        <v>0.87</v>
      </c>
      <c r="R132" s="10">
        <f ca="1">IFERROR('RPK (live)'!R132/'ASK (live)'!R132,"-")</f>
        <v>0.83999999999999986</v>
      </c>
      <c r="S132" s="10">
        <f ca="1">IFERROR('RPK (live)'!S132/'ASK (live)'!S132,"-")</f>
        <v>0.77</v>
      </c>
      <c r="T132" s="10">
        <f ca="1">IFERROR('RPK (live)'!T132/'ASK (live)'!T132,"-")</f>
        <v>0.6027976005204444</v>
      </c>
      <c r="U132" s="10">
        <f ca="1">IFERROR('RPK (live)'!U132/'ASK (live)'!U132,"-")</f>
        <v>0.49902830930915604</v>
      </c>
      <c r="V132" s="10">
        <f ca="1">IFERROR('RPK (live)'!V132/'ASK (live)'!V132,"-")</f>
        <v>0.7130110378144785</v>
      </c>
      <c r="W132" s="10">
        <f ca="1">IFERROR('RPK (live)'!W132/'ASK (live)'!W132,"-")</f>
        <v>0.65628694567584811</v>
      </c>
      <c r="X132" s="10">
        <f ca="1">IFERROR('RPK (live)'!X132/'ASK (live)'!X132,"-")</f>
        <v>0.79785813980538456</v>
      </c>
      <c r="Y132" s="10">
        <f ca="1">IFERROR('RPK (live)'!Y132/'ASK (live)'!Y132,"-")</f>
        <v>0.75976844860291404</v>
      </c>
      <c r="Z132" s="10">
        <f ca="1">IFERROR('RPK (live)'!Z132/'ASK (live)'!Z132,"-")</f>
        <v>0.80629712678086263</v>
      </c>
      <c r="AA132" s="10">
        <f ca="1">IFERROR('RPK (live)'!AA132/'ASK (live)'!AA132,"-")</f>
        <v>0.90150714206386473</v>
      </c>
      <c r="AB132" s="10">
        <f ca="1">IFERROR('RPK (live)'!AB132/'ASK (live)'!AB132,"-")</f>
        <v>0.82418641527240433</v>
      </c>
      <c r="AC132" s="10">
        <f ca="1">IFERROR('RPK (live)'!AC132/'ASK (live)'!AC132,"-")</f>
        <v>0.91767128546796195</v>
      </c>
      <c r="AD132" s="10">
        <f ca="1">IFERROR('RPK (live)'!AD132/'ASK (live)'!AD132,"-")</f>
        <v>0.821642023970654</v>
      </c>
      <c r="AE132" s="10">
        <f ca="1">IFERROR('RPK (live)'!AE132/'ASK (live)'!AE132,"-")</f>
        <v>0.87810120980088735</v>
      </c>
    </row>
    <row r="133" spans="1:31">
      <c r="A133" s="1" t="s">
        <v>152</v>
      </c>
      <c r="B133" s="5" t="s">
        <v>167</v>
      </c>
      <c r="C133" s="5" t="s">
        <v>168</v>
      </c>
      <c r="D133" s="5" t="s">
        <v>21</v>
      </c>
      <c r="E133" s="5" t="s">
        <v>76</v>
      </c>
      <c r="F133" s="5" t="s">
        <v>24</v>
      </c>
      <c r="G133" s="6"/>
      <c r="H133" s="6"/>
      <c r="I133" s="6"/>
      <c r="J133" s="6"/>
      <c r="K133" s="6"/>
      <c r="L133" s="10">
        <f ca="1">IFERROR('RPK (live)'!L133/'ASK (live)'!L133,"-")</f>
        <v>0.84</v>
      </c>
      <c r="M133" s="10">
        <f ca="1">IFERROR('RPK (live)'!M133/'ASK (live)'!M133,"-")</f>
        <v>0.92136778877719216</v>
      </c>
      <c r="N133" s="10">
        <f ca="1">IFERROR('RPK (live)'!N133/'ASK (live)'!N133,"-")</f>
        <v>0.83000000000000007</v>
      </c>
      <c r="O133" s="10">
        <f ca="1">IFERROR('RPK (live)'!O133/'ASK (live)'!O133,"-")</f>
        <v>0.85</v>
      </c>
      <c r="P133" s="10">
        <f ca="1">IFERROR('RPK (live)'!P133/'ASK (live)'!P133,"-")</f>
        <v>0.93999999999999984</v>
      </c>
      <c r="Q133" s="10">
        <f ca="1">IFERROR('RPK (live)'!Q133/'ASK (live)'!Q133,"-")</f>
        <v>0.85</v>
      </c>
      <c r="R133" s="10">
        <f ca="1">IFERROR('RPK (live)'!R133/'ASK (live)'!R133,"-")</f>
        <v>0.86</v>
      </c>
      <c r="S133" s="10">
        <f ca="1">IFERROR('RPK (live)'!S133/'ASK (live)'!S133,"-")</f>
        <v>0.84999999999999987</v>
      </c>
      <c r="T133" s="10">
        <f ca="1">IFERROR('RPK (live)'!T133/'ASK (live)'!T133,"-")</f>
        <v>0.84769848680917836</v>
      </c>
      <c r="U133" s="10">
        <f ca="1">IFERROR('RPK (live)'!U133/'ASK (live)'!U133,"-")</f>
        <v>0.87177266844877843</v>
      </c>
      <c r="V133" s="10">
        <f ca="1">IFERROR('RPK (live)'!V133/'ASK (live)'!V133,"-")</f>
        <v>0.84555934297806201</v>
      </c>
      <c r="W133" s="10">
        <f ca="1">IFERROR('RPK (live)'!W133/'ASK (live)'!W133,"-")</f>
        <v>0.74957835344030999</v>
      </c>
      <c r="X133" s="10">
        <f ca="1">IFERROR('RPK (live)'!X133/'ASK (live)'!X133,"-")</f>
        <v>0.85306568891903756</v>
      </c>
      <c r="Y133" s="10">
        <f ca="1">IFERROR('RPK (live)'!Y133/'ASK (live)'!Y133,"-")</f>
        <v>0.9703827710503371</v>
      </c>
      <c r="Z133" s="10">
        <f ca="1">IFERROR('RPK (live)'!Z133/'ASK (live)'!Z133,"-")</f>
        <v>0.90678053570426975</v>
      </c>
      <c r="AA133" s="10">
        <f ca="1">IFERROR('RPK (live)'!AA133/'ASK (live)'!AA133,"-")</f>
        <v>0.85088549344496645</v>
      </c>
      <c r="AB133" s="10">
        <f ca="1">IFERROR('RPK (live)'!AB133/'ASK (live)'!AB133,"-")</f>
        <v>0.94140470501767037</v>
      </c>
      <c r="AC133" s="10">
        <f ca="1">IFERROR('RPK (live)'!AC133/'ASK (live)'!AC133,"-")</f>
        <v>0.83836784143653897</v>
      </c>
      <c r="AD133" s="10">
        <f ca="1">IFERROR('RPK (live)'!AD133/'ASK (live)'!AD133,"-")</f>
        <v>0.8299348699170489</v>
      </c>
      <c r="AE133" s="10">
        <f ca="1">IFERROR('RPK (live)'!AE133/'ASK (live)'!AE133,"-")</f>
        <v>0.73392564618348466</v>
      </c>
    </row>
    <row r="134" spans="1:31">
      <c r="A134" s="1" t="s">
        <v>152</v>
      </c>
      <c r="B134" s="5" t="s">
        <v>74</v>
      </c>
      <c r="C134" s="5" t="s">
        <v>75</v>
      </c>
      <c r="D134" s="5" t="s">
        <v>76</v>
      </c>
      <c r="E134" s="5" t="s">
        <v>21</v>
      </c>
      <c r="F134" s="5" t="s">
        <v>24</v>
      </c>
      <c r="G134" s="6"/>
      <c r="H134" s="6"/>
      <c r="I134" s="6"/>
      <c r="J134" s="6"/>
      <c r="K134" s="6"/>
      <c r="L134" s="10">
        <f ca="1">IFERROR('RPK (live)'!L134/'ASK (live)'!L134,"-")</f>
        <v>0.84</v>
      </c>
      <c r="M134" s="10">
        <f ca="1">IFERROR('RPK (live)'!M134/'ASK (live)'!M134,"-")</f>
        <v>0.92136778877719216</v>
      </c>
      <c r="N134" s="10">
        <f ca="1">IFERROR('RPK (live)'!N134/'ASK (live)'!N134,"-")</f>
        <v>0.83000000000000007</v>
      </c>
      <c r="O134" s="10">
        <f ca="1">IFERROR('RPK (live)'!O134/'ASK (live)'!O134,"-")</f>
        <v>0.85</v>
      </c>
      <c r="P134" s="10">
        <f ca="1">IFERROR('RPK (live)'!P134/'ASK (live)'!P134,"-")</f>
        <v>0.93999999999999984</v>
      </c>
      <c r="Q134" s="10">
        <f ca="1">IFERROR('RPK (live)'!Q134/'ASK (live)'!Q134,"-")</f>
        <v>0.85</v>
      </c>
      <c r="R134" s="10">
        <f ca="1">IFERROR('RPK (live)'!R134/'ASK (live)'!R134,"-")</f>
        <v>0.86</v>
      </c>
      <c r="S134" s="10">
        <f ca="1">IFERROR('RPK (live)'!S134/'ASK (live)'!S134,"-")</f>
        <v>0.84999999999999987</v>
      </c>
      <c r="T134" s="10">
        <f ca="1">IFERROR('RPK (live)'!T134/'ASK (live)'!T134,"-")</f>
        <v>0.84769848680917836</v>
      </c>
      <c r="U134" s="10">
        <f ca="1">IFERROR('RPK (live)'!U134/'ASK (live)'!U134,"-")</f>
        <v>0.87177266844877843</v>
      </c>
      <c r="V134" s="10">
        <f ca="1">IFERROR('RPK (live)'!V134/'ASK (live)'!V134,"-")</f>
        <v>0.84555934297806201</v>
      </c>
      <c r="W134" s="10">
        <f ca="1">IFERROR('RPK (live)'!W134/'ASK (live)'!W134,"-")</f>
        <v>0.74957835344030999</v>
      </c>
      <c r="X134" s="10">
        <f ca="1">IFERROR('RPK (live)'!X134/'ASK (live)'!X134,"-")</f>
        <v>0.85306568891903756</v>
      </c>
      <c r="Y134" s="10">
        <f ca="1">IFERROR('RPK (live)'!Y134/'ASK (live)'!Y134,"-")</f>
        <v>0.9703827710503371</v>
      </c>
      <c r="Z134" s="10">
        <f ca="1">IFERROR('RPK (live)'!Z134/'ASK (live)'!Z134,"-")</f>
        <v>0.90678053570426975</v>
      </c>
      <c r="AA134" s="10">
        <f ca="1">IFERROR('RPK (live)'!AA134/'ASK (live)'!AA134,"-")</f>
        <v>0.85088549344496645</v>
      </c>
      <c r="AB134" s="10">
        <f ca="1">IFERROR('RPK (live)'!AB134/'ASK (live)'!AB134,"-")</f>
        <v>0.94140470501767037</v>
      </c>
      <c r="AC134" s="10">
        <f ca="1">IFERROR('RPK (live)'!AC134/'ASK (live)'!AC134,"-")</f>
        <v>0.83836784143653897</v>
      </c>
      <c r="AD134" s="10">
        <f ca="1">IFERROR('RPK (live)'!AD134/'ASK (live)'!AD134,"-")</f>
        <v>0.8299348699170489</v>
      </c>
      <c r="AE134" s="10">
        <f ca="1">IFERROR('RPK (live)'!AE134/'ASK (live)'!AE134,"-")</f>
        <v>0.73392564618348466</v>
      </c>
    </row>
    <row r="135" spans="1:31">
      <c r="A135" s="1" t="s">
        <v>152</v>
      </c>
      <c r="B135" s="5" t="s">
        <v>169</v>
      </c>
      <c r="C135" s="5" t="s">
        <v>170</v>
      </c>
      <c r="D135" s="5" t="s">
        <v>21</v>
      </c>
      <c r="E135" s="5" t="s">
        <v>35</v>
      </c>
      <c r="F135" s="5" t="s">
        <v>24</v>
      </c>
      <c r="G135" s="6"/>
      <c r="H135" s="6"/>
      <c r="I135" s="6"/>
      <c r="J135" s="6"/>
      <c r="K135" s="6"/>
      <c r="L135" s="10">
        <f ca="1">IFERROR('RPK (live)'!L135/'ASK (live)'!L135,"-")</f>
        <v>0.78000000000000014</v>
      </c>
      <c r="M135" s="10">
        <f ca="1">IFERROR('RPK (live)'!M135/'ASK (live)'!M135,"-")</f>
        <v>0.80999366046346566</v>
      </c>
      <c r="N135" s="10">
        <f ca="1">IFERROR('RPK (live)'!N135/'ASK (live)'!N135,"-")</f>
        <v>0.82</v>
      </c>
      <c r="O135" s="10">
        <f ca="1">IFERROR('RPK (live)'!O135/'ASK (live)'!O135,"-")</f>
        <v>0.7400000000000001</v>
      </c>
      <c r="P135" s="10">
        <f ca="1">IFERROR('RPK (live)'!P135/'ASK (live)'!P135,"-")</f>
        <v>0.79999999999999982</v>
      </c>
      <c r="Q135" s="10">
        <f ca="1">IFERROR('RPK (live)'!Q135/'ASK (live)'!Q135,"-")</f>
        <v>0.8</v>
      </c>
      <c r="R135" s="10">
        <f ca="1">IFERROR('RPK (live)'!R135/'ASK (live)'!R135,"-")</f>
        <v>0.80000000000000016</v>
      </c>
      <c r="S135" s="10">
        <f ca="1">IFERROR('RPK (live)'!S135/'ASK (live)'!S135,"-")</f>
        <v>0.68</v>
      </c>
      <c r="T135" s="10">
        <f ca="1">IFERROR('RPK (live)'!T135/'ASK (live)'!T135,"-")</f>
        <v>0.61659648637876907</v>
      </c>
      <c r="U135" s="10">
        <f ca="1">IFERROR('RPK (live)'!U135/'ASK (live)'!U135,"-")</f>
        <v>0.56073728075571216</v>
      </c>
      <c r="V135" s="10">
        <f ca="1">IFERROR('RPK (live)'!V135/'ASK (live)'!V135,"-")</f>
        <v>0.81083478951184063</v>
      </c>
      <c r="W135" s="10">
        <f ca="1">IFERROR('RPK (live)'!W135/'ASK (live)'!W135,"-")</f>
        <v>0.92738006198582379</v>
      </c>
      <c r="X135" s="10">
        <f ca="1">IFERROR('RPK (live)'!X135/'ASK (live)'!X135,"-")</f>
        <v>0.88889817849999719</v>
      </c>
      <c r="Y135" s="10">
        <f ca="1">IFERROR('RPK (live)'!Y135/'ASK (live)'!Y135,"-")</f>
        <v>0.92269530050043691</v>
      </c>
      <c r="Z135" s="10">
        <f ca="1">IFERROR('RPK (live)'!Z135/'ASK (live)'!Z135,"-")</f>
        <v>0.91847180281993557</v>
      </c>
      <c r="AA135" s="10">
        <f ca="1">IFERROR('RPK (live)'!AA135/'ASK (live)'!AA135,"-")</f>
        <v>0.79778913505564109</v>
      </c>
      <c r="AB135" s="10">
        <f ca="1">IFERROR('RPK (live)'!AB135/'ASK (live)'!AB135,"-")</f>
        <v>0.79154886587980799</v>
      </c>
      <c r="AC135" s="10">
        <f ca="1">IFERROR('RPK (live)'!AC135/'ASK (live)'!AC135,"-")</f>
        <v>0.78557456788091817</v>
      </c>
      <c r="AD135" s="10">
        <f ca="1">IFERROR('RPK (live)'!AD135/'ASK (live)'!AD135,"-")</f>
        <v>0.80284958289845887</v>
      </c>
      <c r="AE135" s="10">
        <f ca="1">IFERROR('RPK (live)'!AE135/'ASK (live)'!AE135,"-")</f>
        <v>0.79164814078238865</v>
      </c>
    </row>
    <row r="136" spans="1:31">
      <c r="A136" s="1" t="s">
        <v>152</v>
      </c>
      <c r="B136" s="5" t="s">
        <v>33</v>
      </c>
      <c r="C136" s="5" t="s">
        <v>34</v>
      </c>
      <c r="D136" s="5" t="s">
        <v>35</v>
      </c>
      <c r="E136" s="5" t="s">
        <v>21</v>
      </c>
      <c r="F136" s="5" t="s">
        <v>24</v>
      </c>
      <c r="G136" s="6"/>
      <c r="H136" s="6"/>
      <c r="I136" s="6"/>
      <c r="J136" s="6"/>
      <c r="K136" s="6"/>
      <c r="L136" s="10">
        <f ca="1">IFERROR('RPK (live)'!L136/'ASK (live)'!L136,"-")</f>
        <v>0.78000000000000014</v>
      </c>
      <c r="M136" s="10">
        <f ca="1">IFERROR('RPK (live)'!M136/'ASK (live)'!M136,"-")</f>
        <v>0.80999366046346566</v>
      </c>
      <c r="N136" s="10">
        <f ca="1">IFERROR('RPK (live)'!N136/'ASK (live)'!N136,"-")</f>
        <v>0.82</v>
      </c>
      <c r="O136" s="10">
        <f ca="1">IFERROR('RPK (live)'!O136/'ASK (live)'!O136,"-")</f>
        <v>0.7400000000000001</v>
      </c>
      <c r="P136" s="10">
        <f ca="1">IFERROR('RPK (live)'!P136/'ASK (live)'!P136,"-")</f>
        <v>0.79999999999999982</v>
      </c>
      <c r="Q136" s="10">
        <f ca="1">IFERROR('RPK (live)'!Q136/'ASK (live)'!Q136,"-")</f>
        <v>0.8</v>
      </c>
      <c r="R136" s="10">
        <f ca="1">IFERROR('RPK (live)'!R136/'ASK (live)'!R136,"-")</f>
        <v>0.80000000000000016</v>
      </c>
      <c r="S136" s="10">
        <f ca="1">IFERROR('RPK (live)'!S136/'ASK (live)'!S136,"-")</f>
        <v>0.68</v>
      </c>
      <c r="T136" s="10">
        <f ca="1">IFERROR('RPK (live)'!T136/'ASK (live)'!T136,"-")</f>
        <v>0.61659648637876907</v>
      </c>
      <c r="U136" s="10">
        <f ca="1">IFERROR('RPK (live)'!U136/'ASK (live)'!U136,"-")</f>
        <v>0.56073728075571216</v>
      </c>
      <c r="V136" s="10">
        <f ca="1">IFERROR('RPK (live)'!V136/'ASK (live)'!V136,"-")</f>
        <v>0.81083478951184063</v>
      </c>
      <c r="W136" s="10">
        <f ca="1">IFERROR('RPK (live)'!W136/'ASK (live)'!W136,"-")</f>
        <v>0.92738006198582379</v>
      </c>
      <c r="X136" s="10">
        <f ca="1">IFERROR('RPK (live)'!X136/'ASK (live)'!X136,"-")</f>
        <v>0.88889817849999719</v>
      </c>
      <c r="Y136" s="10">
        <f ca="1">IFERROR('RPK (live)'!Y136/'ASK (live)'!Y136,"-")</f>
        <v>0.92269530050043691</v>
      </c>
      <c r="Z136" s="10">
        <f ca="1">IFERROR('RPK (live)'!Z136/'ASK (live)'!Z136,"-")</f>
        <v>0.91847180281993557</v>
      </c>
      <c r="AA136" s="10">
        <f ca="1">IFERROR('RPK (live)'!AA136/'ASK (live)'!AA136,"-")</f>
        <v>0.79778913505564109</v>
      </c>
      <c r="AB136" s="10">
        <f ca="1">IFERROR('RPK (live)'!AB136/'ASK (live)'!AB136,"-")</f>
        <v>0.79154886587980799</v>
      </c>
      <c r="AC136" s="10">
        <f ca="1">IFERROR('RPK (live)'!AC136/'ASK (live)'!AC136,"-")</f>
        <v>0.78557456788091817</v>
      </c>
      <c r="AD136" s="10">
        <f ca="1">IFERROR('RPK (live)'!AD136/'ASK (live)'!AD136,"-")</f>
        <v>0.80284958289845887</v>
      </c>
      <c r="AE136" s="10">
        <f ca="1">IFERROR('RPK (live)'!AE136/'ASK (live)'!AE136,"-")</f>
        <v>0.79164814078238865</v>
      </c>
    </row>
    <row r="137" spans="1:31">
      <c r="A137" s="1" t="s">
        <v>152</v>
      </c>
      <c r="B137" s="5" t="s">
        <v>171</v>
      </c>
      <c r="C137" s="5" t="s">
        <v>163</v>
      </c>
      <c r="D137" s="5" t="s">
        <v>21</v>
      </c>
      <c r="E137" s="5" t="s">
        <v>54</v>
      </c>
      <c r="F137" s="5" t="s">
        <v>24</v>
      </c>
      <c r="G137" s="6"/>
      <c r="H137" s="6"/>
      <c r="I137" s="6"/>
      <c r="J137" s="6"/>
      <c r="K137" s="6"/>
      <c r="L137" s="10">
        <f ca="1">IFERROR('RPK (live)'!L137/'ASK (live)'!L137,"-")</f>
        <v>0.86</v>
      </c>
      <c r="M137" s="10">
        <f ca="1">IFERROR('RPK (live)'!M137/'ASK (live)'!M137,"-")</f>
        <v>0.93149270953298535</v>
      </c>
      <c r="N137" s="10">
        <f ca="1">IFERROR('RPK (live)'!N137/'ASK (live)'!N137,"-")</f>
        <v>0.94</v>
      </c>
      <c r="O137" s="10">
        <f ca="1">IFERROR('RPK (live)'!O137/'ASK (live)'!O137,"-")</f>
        <v>0.90000000000000024</v>
      </c>
      <c r="P137" s="10">
        <f ca="1">IFERROR('RPK (live)'!P137/'ASK (live)'!P137,"-")</f>
        <v>0.93</v>
      </c>
      <c r="Q137" s="10">
        <f ca="1">IFERROR('RPK (live)'!Q137/'ASK (live)'!Q137,"-")</f>
        <v>0.83</v>
      </c>
      <c r="R137" s="10">
        <f ca="1">IFERROR('RPK (live)'!R137/'ASK (live)'!R137,"-")</f>
        <v>0.83999999999999986</v>
      </c>
      <c r="S137" s="10">
        <f ca="1">IFERROR('RPK (live)'!S137/'ASK (live)'!S137,"-")</f>
        <v>0.82</v>
      </c>
      <c r="T137" s="10">
        <f ca="1">IFERROR('RPK (live)'!T137/'ASK (live)'!T137,"-")</f>
        <v>0.76070377102008224</v>
      </c>
      <c r="U137" s="10">
        <f ca="1">IFERROR('RPK (live)'!U137/'ASK (live)'!U137,"-")</f>
        <v>0.72581023536241174</v>
      </c>
      <c r="V137" s="10">
        <f ca="1">IFERROR('RPK (live)'!V137/'ASK (live)'!V137,"-")</f>
        <v>0.84738602186583234</v>
      </c>
      <c r="W137" s="10">
        <f ca="1">IFERROR('RPK (live)'!W137/'ASK (live)'!W137,"-")</f>
        <v>0.8881387059138719</v>
      </c>
      <c r="X137" s="10">
        <f ca="1">IFERROR('RPK (live)'!X137/'ASK (live)'!X137,"-")</f>
        <v>0.94172994851123637</v>
      </c>
      <c r="Y137" s="10">
        <f ca="1">IFERROR('RPK (live)'!Y137/'ASK (live)'!Y137,"-")</f>
        <v>0.97745223642919854</v>
      </c>
      <c r="Z137" s="10">
        <f ca="1">IFERROR('RPK (live)'!Z137/'ASK (live)'!Z137,"-")</f>
        <v>0.97487285258906831</v>
      </c>
      <c r="AA137" s="10">
        <f ca="1">IFERROR('RPK (live)'!AA137/'ASK (live)'!AA137,"-")</f>
        <v>0.90760290387039522</v>
      </c>
      <c r="AB137" s="10">
        <f ca="1">IFERROR('RPK (live)'!AB137/'ASK (live)'!AB137,"-")</f>
        <v>0.93994658326453129</v>
      </c>
      <c r="AC137" s="10">
        <f ca="1">IFERROR('RPK (live)'!AC137/'ASK (live)'!AC137,"-")</f>
        <v>0.89049198317748013</v>
      </c>
      <c r="AD137" s="10">
        <f ca="1">IFERROR('RPK (live)'!AD137/'ASK (live)'!AD137,"-")</f>
        <v>0.89375663334984867</v>
      </c>
      <c r="AE137" s="10">
        <f ca="1">IFERROR('RPK (live)'!AE137/'ASK (live)'!AE137,"-")</f>
        <v>0.8730604825417948</v>
      </c>
    </row>
    <row r="138" spans="1:31">
      <c r="A138" s="1" t="s">
        <v>152</v>
      </c>
      <c r="B138" s="5" t="s">
        <v>55</v>
      </c>
      <c r="C138" s="5" t="s">
        <v>53</v>
      </c>
      <c r="D138" s="5" t="s">
        <v>54</v>
      </c>
      <c r="E138" s="5" t="s">
        <v>21</v>
      </c>
      <c r="F138" s="5" t="s">
        <v>24</v>
      </c>
      <c r="G138" s="6"/>
      <c r="H138" s="6"/>
      <c r="I138" s="6"/>
      <c r="J138" s="6"/>
      <c r="K138" s="6"/>
      <c r="L138" s="10">
        <f ca="1">IFERROR('RPK (live)'!L138/'ASK (live)'!L138,"-")</f>
        <v>0.86</v>
      </c>
      <c r="M138" s="10">
        <f ca="1">IFERROR('RPK (live)'!M138/'ASK (live)'!M138,"-")</f>
        <v>0.93149270953298535</v>
      </c>
      <c r="N138" s="10">
        <f ca="1">IFERROR('RPK (live)'!N138/'ASK (live)'!N138,"-")</f>
        <v>0.94</v>
      </c>
      <c r="O138" s="10">
        <f ca="1">IFERROR('RPK (live)'!O138/'ASK (live)'!O138,"-")</f>
        <v>0.90000000000000024</v>
      </c>
      <c r="P138" s="10">
        <f ca="1">IFERROR('RPK (live)'!P138/'ASK (live)'!P138,"-")</f>
        <v>0.93</v>
      </c>
      <c r="Q138" s="10">
        <f ca="1">IFERROR('RPK (live)'!Q138/'ASK (live)'!Q138,"-")</f>
        <v>0.83</v>
      </c>
      <c r="R138" s="10">
        <f ca="1">IFERROR('RPK (live)'!R138/'ASK (live)'!R138,"-")</f>
        <v>0.83999999999999986</v>
      </c>
      <c r="S138" s="10">
        <f ca="1">IFERROR('RPK (live)'!S138/'ASK (live)'!S138,"-")</f>
        <v>0.82</v>
      </c>
      <c r="T138" s="10">
        <f ca="1">IFERROR('RPK (live)'!T138/'ASK (live)'!T138,"-")</f>
        <v>0.76070377102008224</v>
      </c>
      <c r="U138" s="10">
        <f ca="1">IFERROR('RPK (live)'!U138/'ASK (live)'!U138,"-")</f>
        <v>0.72581023536241174</v>
      </c>
      <c r="V138" s="10">
        <f ca="1">IFERROR('RPK (live)'!V138/'ASK (live)'!V138,"-")</f>
        <v>0.84738602186583234</v>
      </c>
      <c r="W138" s="10">
        <f ca="1">IFERROR('RPK (live)'!W138/'ASK (live)'!W138,"-")</f>
        <v>0.8881387059138719</v>
      </c>
      <c r="X138" s="10">
        <f ca="1">IFERROR('RPK (live)'!X138/'ASK (live)'!X138,"-")</f>
        <v>0.94172994851123637</v>
      </c>
      <c r="Y138" s="10">
        <f ca="1">IFERROR('RPK (live)'!Y138/'ASK (live)'!Y138,"-")</f>
        <v>0.97745223642919854</v>
      </c>
      <c r="Z138" s="10">
        <f ca="1">IFERROR('RPK (live)'!Z138/'ASK (live)'!Z138,"-")</f>
        <v>0.97487285258906831</v>
      </c>
      <c r="AA138" s="10">
        <f ca="1">IFERROR('RPK (live)'!AA138/'ASK (live)'!AA138,"-")</f>
        <v>0.90760290387039522</v>
      </c>
      <c r="AB138" s="10">
        <f ca="1">IFERROR('RPK (live)'!AB138/'ASK (live)'!AB138,"-")</f>
        <v>0.93994658326453129</v>
      </c>
      <c r="AC138" s="10">
        <f ca="1">IFERROR('RPK (live)'!AC138/'ASK (live)'!AC138,"-")</f>
        <v>0.89049198317748002</v>
      </c>
      <c r="AD138" s="10">
        <f ca="1">IFERROR('RPK (live)'!AD138/'ASK (live)'!AD138,"-")</f>
        <v>0.89375663334984867</v>
      </c>
      <c r="AE138" s="10">
        <f ca="1">IFERROR('RPK (live)'!AE138/'ASK (live)'!AE138,"-")</f>
        <v>0.87306048254179491</v>
      </c>
    </row>
    <row r="139" spans="1:31">
      <c r="A139" s="1" t="s">
        <v>152</v>
      </c>
      <c r="B139" s="5" t="s">
        <v>172</v>
      </c>
      <c r="C139" s="5" t="s">
        <v>159</v>
      </c>
      <c r="D139" s="5" t="s">
        <v>21</v>
      </c>
      <c r="E139" s="5" t="s">
        <v>38</v>
      </c>
      <c r="F139" s="5" t="s">
        <v>24</v>
      </c>
      <c r="G139" s="6"/>
      <c r="H139" s="6"/>
      <c r="I139" s="6"/>
      <c r="J139" s="6"/>
      <c r="K139" s="6"/>
      <c r="L139" s="10">
        <f ca="1">IFERROR('RPK (live)'!L139/'ASK (live)'!L139,"-")</f>
        <v>0.78686739800043348</v>
      </c>
      <c r="M139" s="10">
        <f ca="1">IFERROR('RPK (live)'!M139/'ASK (live)'!M139,"-")</f>
        <v>0.82699260106197647</v>
      </c>
      <c r="N139" s="10">
        <f ca="1">IFERROR('RPK (live)'!N139/'ASK (live)'!N139,"-")</f>
        <v>0.80878576872809571</v>
      </c>
      <c r="O139" s="10">
        <f ca="1">IFERROR('RPK (live)'!O139/'ASK (live)'!O139,"-")</f>
        <v>0.77971162802107818</v>
      </c>
      <c r="P139" s="10">
        <f ca="1">IFERROR('RPK (live)'!P139/'ASK (live)'!P139,"-")</f>
        <v>0.83407679196957119</v>
      </c>
      <c r="Q139" s="10">
        <f ca="1">IFERROR('RPK (live)'!Q139/'ASK (live)'!Q139,"-")</f>
        <v>0.90204242995938577</v>
      </c>
      <c r="R139" s="10">
        <f ca="1">IFERROR('RPK (live)'!R139/'ASK (live)'!R139,"-")</f>
        <v>0.93472371535693166</v>
      </c>
      <c r="S139" s="10">
        <f ca="1">IFERROR('RPK (live)'!S139/'ASK (live)'!S139,"-")</f>
        <v>1</v>
      </c>
      <c r="T139" s="10">
        <f ca="1">IFERROR('RPK (live)'!T139/'ASK (live)'!T139,"-")</f>
        <v>0.77537271114071427</v>
      </c>
      <c r="U139" s="10">
        <f ca="1">IFERROR('RPK (live)'!U139/'ASK (live)'!U139,"-")</f>
        <v>0.75933626016462552</v>
      </c>
      <c r="V139" s="10">
        <f ca="1">IFERROR('RPK (live)'!V139/'ASK (live)'!V139,"-")</f>
        <v>0.87172756548014896</v>
      </c>
      <c r="W139" s="10">
        <f ca="1">IFERROR('RPK (live)'!W139/'ASK (live)'!W139,"-")</f>
        <v>0.84097885950806706</v>
      </c>
      <c r="X139" s="10">
        <f ca="1">IFERROR('RPK (live)'!X139/'ASK (live)'!X139,"-")</f>
        <v>0.86225009018817111</v>
      </c>
      <c r="Y139" s="10">
        <f ca="1">IFERROR('RPK (live)'!Y139/'ASK (live)'!Y139,"-")</f>
        <v>0.8892894059732015</v>
      </c>
      <c r="Z139" s="10">
        <f ca="1">IFERROR('RPK (live)'!Z139/'ASK (live)'!Z139,"-")</f>
        <v>0.87619548384081425</v>
      </c>
      <c r="AA139" s="10">
        <f ca="1">IFERROR('RPK (live)'!AA139/'ASK (live)'!AA139,"-")</f>
        <v>0.7923922417918855</v>
      </c>
      <c r="AB139" s="10">
        <f ca="1">IFERROR('RPK (live)'!AB139/'ASK (live)'!AB139,"-")</f>
        <v>0.80188717667542242</v>
      </c>
      <c r="AC139" s="10">
        <f ca="1">IFERROR('RPK (live)'!AC139/'ASK (live)'!AC139,"-")</f>
        <v>0.83718449369422454</v>
      </c>
      <c r="AD139" s="10">
        <f ca="1">IFERROR('RPK (live)'!AD139/'ASK (live)'!AD139,"-")</f>
        <v>0.87320327830249123</v>
      </c>
      <c r="AE139" s="10">
        <f ca="1">IFERROR('RPK (live)'!AE139/'ASK (live)'!AE139,"-")</f>
        <v>0.87686320253938244</v>
      </c>
    </row>
    <row r="140" spans="1:31">
      <c r="A140" s="1" t="s">
        <v>152</v>
      </c>
      <c r="B140" s="5" t="s">
        <v>40</v>
      </c>
      <c r="C140" s="5" t="s">
        <v>37</v>
      </c>
      <c r="D140" s="5" t="s">
        <v>38</v>
      </c>
      <c r="E140" s="5" t="s">
        <v>21</v>
      </c>
      <c r="F140" s="5" t="s">
        <v>24</v>
      </c>
      <c r="G140" s="6"/>
      <c r="H140" s="6"/>
      <c r="I140" s="6"/>
      <c r="J140" s="6"/>
      <c r="K140" s="6"/>
      <c r="L140" s="10">
        <f ca="1">IFERROR('RPK (live)'!L140/'ASK (live)'!L140,"-")</f>
        <v>0.78686739800043348</v>
      </c>
      <c r="M140" s="10">
        <f ca="1">IFERROR('RPK (live)'!M140/'ASK (live)'!M140,"-")</f>
        <v>0.82699260106197647</v>
      </c>
      <c r="N140" s="10">
        <f ca="1">IFERROR('RPK (live)'!N140/'ASK (live)'!N140,"-")</f>
        <v>0.80878576872809571</v>
      </c>
      <c r="O140" s="10">
        <f ca="1">IFERROR('RPK (live)'!O140/'ASK (live)'!O140,"-")</f>
        <v>0.77971162802107818</v>
      </c>
      <c r="P140" s="10">
        <f ca="1">IFERROR('RPK (live)'!P140/'ASK (live)'!P140,"-")</f>
        <v>0.83407679196957119</v>
      </c>
      <c r="Q140" s="10">
        <f ca="1">IFERROR('RPK (live)'!Q140/'ASK (live)'!Q140,"-")</f>
        <v>0.90204242995938577</v>
      </c>
      <c r="R140" s="10">
        <f ca="1">IFERROR('RPK (live)'!R140/'ASK (live)'!R140,"-")</f>
        <v>0.93472371535693166</v>
      </c>
      <c r="S140" s="10">
        <f ca="1">IFERROR('RPK (live)'!S140/'ASK (live)'!S140,"-")</f>
        <v>1</v>
      </c>
      <c r="T140" s="10">
        <f ca="1">IFERROR('RPK (live)'!T140/'ASK (live)'!T140,"-")</f>
        <v>0.77537271114071427</v>
      </c>
      <c r="U140" s="10">
        <f ca="1">IFERROR('RPK (live)'!U140/'ASK (live)'!U140,"-")</f>
        <v>0.75933626016462552</v>
      </c>
      <c r="V140" s="10">
        <f ca="1">IFERROR('RPK (live)'!V140/'ASK (live)'!V140,"-")</f>
        <v>0.87172756548014896</v>
      </c>
      <c r="W140" s="10">
        <f ca="1">IFERROR('RPK (live)'!W140/'ASK (live)'!W140,"-")</f>
        <v>0.84097885950806706</v>
      </c>
      <c r="X140" s="10">
        <f ca="1">IFERROR('RPK (live)'!X140/'ASK (live)'!X140,"-")</f>
        <v>0.86225009018817111</v>
      </c>
      <c r="Y140" s="10">
        <f ca="1">IFERROR('RPK (live)'!Y140/'ASK (live)'!Y140,"-")</f>
        <v>0.8892894059732015</v>
      </c>
      <c r="Z140" s="10">
        <f ca="1">IFERROR('RPK (live)'!Z140/'ASK (live)'!Z140,"-")</f>
        <v>0.87619548384081425</v>
      </c>
      <c r="AA140" s="10">
        <f ca="1">IFERROR('RPK (live)'!AA140/'ASK (live)'!AA140,"-")</f>
        <v>0.7923922417918855</v>
      </c>
      <c r="AB140" s="10">
        <f ca="1">IFERROR('RPK (live)'!AB140/'ASK (live)'!AB140,"-")</f>
        <v>0.80188717667542242</v>
      </c>
      <c r="AC140" s="10">
        <f ca="1">IFERROR('RPK (live)'!AC140/'ASK (live)'!AC140,"-")</f>
        <v>0.83718449369422454</v>
      </c>
      <c r="AD140" s="10">
        <f ca="1">IFERROR('RPK (live)'!AD140/'ASK (live)'!AD140,"-")</f>
        <v>0.87320327830249123</v>
      </c>
      <c r="AE140" s="10">
        <f ca="1">IFERROR('RPK (live)'!AE140/'ASK (live)'!AE140,"-")</f>
        <v>0.87686320253938244</v>
      </c>
    </row>
    <row r="141" spans="1:31">
      <c r="A141" s="1" t="s">
        <v>152</v>
      </c>
      <c r="B141" s="5" t="s">
        <v>173</v>
      </c>
      <c r="C141" s="5" t="s">
        <v>168</v>
      </c>
      <c r="D141" s="5" t="s">
        <v>21</v>
      </c>
      <c r="E141" s="5" t="s">
        <v>76</v>
      </c>
      <c r="F141" s="5" t="s">
        <v>24</v>
      </c>
      <c r="G141" s="6"/>
      <c r="H141" s="6"/>
      <c r="I141" s="6"/>
      <c r="J141" s="6"/>
      <c r="K141" s="6"/>
      <c r="L141" s="10">
        <f ca="1">IFERROR('RPK (live)'!L141/'ASK (live)'!L141,"-")</f>
        <v>0.84</v>
      </c>
      <c r="M141" s="10">
        <f ca="1">IFERROR('RPK (live)'!M141/'ASK (live)'!M141,"-")</f>
        <v>0.92136778877719216</v>
      </c>
      <c r="N141" s="10">
        <f ca="1">IFERROR('RPK (live)'!N141/'ASK (live)'!N141,"-")</f>
        <v>0.83000000000000007</v>
      </c>
      <c r="O141" s="10">
        <f ca="1">IFERROR('RPK (live)'!O141/'ASK (live)'!O141,"-")</f>
        <v>0.85</v>
      </c>
      <c r="P141" s="10">
        <f ca="1">IFERROR('RPK (live)'!P141/'ASK (live)'!P141,"-")</f>
        <v>0.93999999999999984</v>
      </c>
      <c r="Q141" s="10">
        <f ca="1">IFERROR('RPK (live)'!Q141/'ASK (live)'!Q141,"-")</f>
        <v>0.85</v>
      </c>
      <c r="R141" s="10" t="str">
        <f ca="1">IFERROR('RPK (live)'!R141/'ASK (live)'!R141,"-")</f>
        <v>-</v>
      </c>
      <c r="S141" s="10" t="str">
        <f ca="1">IFERROR('RPK (live)'!S141/'ASK (live)'!S141,"-")</f>
        <v>-</v>
      </c>
      <c r="T141" s="10" t="str">
        <f ca="1">IFERROR('RPK (live)'!T141/'ASK (live)'!T141,"-")</f>
        <v>-</v>
      </c>
      <c r="U141" s="10" t="str">
        <f ca="1">IFERROR('RPK (live)'!U141/'ASK (live)'!U141,"-")</f>
        <v>-</v>
      </c>
      <c r="V141" s="10">
        <f ca="1">IFERROR('RPK (live)'!V141/'ASK (live)'!V141,"-")</f>
        <v>0.84555934297806201</v>
      </c>
      <c r="W141" s="10">
        <f ca="1">IFERROR('RPK (live)'!W141/'ASK (live)'!W141,"-")</f>
        <v>0.7495783534403101</v>
      </c>
      <c r="X141" s="10">
        <f ca="1">IFERROR('RPK (live)'!X141/'ASK (live)'!X141,"-")</f>
        <v>0.85306568891903756</v>
      </c>
      <c r="Y141" s="10">
        <f ca="1">IFERROR('RPK (live)'!Y141/'ASK (live)'!Y141,"-")</f>
        <v>0.9703827710503371</v>
      </c>
      <c r="Z141" s="10">
        <f ca="1">IFERROR('RPK (live)'!Z141/'ASK (live)'!Z141,"-")</f>
        <v>0.90678053570426975</v>
      </c>
      <c r="AA141" s="10">
        <f ca="1">IFERROR('RPK (live)'!AA141/'ASK (live)'!AA141,"-")</f>
        <v>0.85088549344496633</v>
      </c>
      <c r="AB141" s="10">
        <f ca="1">IFERROR('RPK (live)'!AB141/'ASK (live)'!AB141,"-")</f>
        <v>0.94140470501767037</v>
      </c>
      <c r="AC141" s="10">
        <f ca="1">IFERROR('RPK (live)'!AC141/'ASK (live)'!AC141,"-")</f>
        <v>0.83836784143653875</v>
      </c>
      <c r="AD141" s="10" t="str">
        <f ca="1">IFERROR('RPK (live)'!AD141/'ASK (live)'!AD141,"-")</f>
        <v>-</v>
      </c>
      <c r="AE141" s="10" t="str">
        <f ca="1">IFERROR('RPK (live)'!AE141/'ASK (live)'!AE141,"-")</f>
        <v>-</v>
      </c>
    </row>
    <row r="142" spans="1:31">
      <c r="A142" s="1" t="s">
        <v>152</v>
      </c>
      <c r="B142" s="5" t="s">
        <v>77</v>
      </c>
      <c r="C142" s="5" t="s">
        <v>75</v>
      </c>
      <c r="D142" s="5" t="s">
        <v>76</v>
      </c>
      <c r="E142" s="5" t="s">
        <v>21</v>
      </c>
      <c r="F142" s="5" t="s">
        <v>24</v>
      </c>
      <c r="G142" s="6"/>
      <c r="H142" s="6"/>
      <c r="I142" s="6"/>
      <c r="J142" s="6"/>
      <c r="K142" s="6"/>
      <c r="L142" s="10">
        <f ca="1">IFERROR('RPK (live)'!L142/'ASK (live)'!L142,"-")</f>
        <v>0.84</v>
      </c>
      <c r="M142" s="10">
        <f ca="1">IFERROR('RPK (live)'!M142/'ASK (live)'!M142,"-")</f>
        <v>0.92136778877719216</v>
      </c>
      <c r="N142" s="10">
        <f ca="1">IFERROR('RPK (live)'!N142/'ASK (live)'!N142,"-")</f>
        <v>0.83000000000000007</v>
      </c>
      <c r="O142" s="10">
        <f ca="1">IFERROR('RPK (live)'!O142/'ASK (live)'!O142,"-")</f>
        <v>0.85</v>
      </c>
      <c r="P142" s="10">
        <f ca="1">IFERROR('RPK (live)'!P142/'ASK (live)'!P142,"-")</f>
        <v>0.93999999999999984</v>
      </c>
      <c r="Q142" s="10">
        <f ca="1">IFERROR('RPK (live)'!Q142/'ASK (live)'!Q142,"-")</f>
        <v>0.85</v>
      </c>
      <c r="R142" s="10" t="str">
        <f ca="1">IFERROR('RPK (live)'!R142/'ASK (live)'!R142,"-")</f>
        <v>-</v>
      </c>
      <c r="S142" s="10" t="str">
        <f ca="1">IFERROR('RPK (live)'!S142/'ASK (live)'!S142,"-")</f>
        <v>-</v>
      </c>
      <c r="T142" s="10" t="str">
        <f ca="1">IFERROR('RPK (live)'!T142/'ASK (live)'!T142,"-")</f>
        <v>-</v>
      </c>
      <c r="U142" s="10" t="str">
        <f ca="1">IFERROR('RPK (live)'!U142/'ASK (live)'!U142,"-")</f>
        <v>-</v>
      </c>
      <c r="V142" s="10">
        <f ca="1">IFERROR('RPK (live)'!V142/'ASK (live)'!V142,"-")</f>
        <v>0.84555934297806201</v>
      </c>
      <c r="W142" s="10">
        <f ca="1">IFERROR('RPK (live)'!W142/'ASK (live)'!W142,"-")</f>
        <v>0.7495783534403101</v>
      </c>
      <c r="X142" s="10">
        <f ca="1">IFERROR('RPK (live)'!X142/'ASK (live)'!X142,"-")</f>
        <v>0.85306568891903756</v>
      </c>
      <c r="Y142" s="10">
        <f ca="1">IFERROR('RPK (live)'!Y142/'ASK (live)'!Y142,"-")</f>
        <v>0.9703827710503371</v>
      </c>
      <c r="Z142" s="10">
        <f ca="1">IFERROR('RPK (live)'!Z142/'ASK (live)'!Z142,"-")</f>
        <v>0.90678053570426975</v>
      </c>
      <c r="AA142" s="10">
        <f ca="1">IFERROR('RPK (live)'!AA142/'ASK (live)'!AA142,"-")</f>
        <v>0.85088549344496633</v>
      </c>
      <c r="AB142" s="10">
        <f ca="1">IFERROR('RPK (live)'!AB142/'ASK (live)'!AB142,"-")</f>
        <v>0.94140470501767037</v>
      </c>
      <c r="AC142" s="10">
        <f ca="1">IFERROR('RPK (live)'!AC142/'ASK (live)'!AC142,"-")</f>
        <v>0.83836784143653897</v>
      </c>
      <c r="AD142" s="10" t="str">
        <f ca="1">IFERROR('RPK (live)'!AD142/'ASK (live)'!AD142,"-")</f>
        <v>-</v>
      </c>
      <c r="AE142" s="10" t="str">
        <f ca="1">IFERROR('RPK (live)'!AE142/'ASK (live)'!AE142,"-")</f>
        <v>-</v>
      </c>
    </row>
    <row r="143" spans="1:31">
      <c r="A143" s="1" t="s">
        <v>152</v>
      </c>
      <c r="B143" s="5" t="s">
        <v>174</v>
      </c>
      <c r="C143" s="5" t="s">
        <v>159</v>
      </c>
      <c r="D143" s="5" t="s">
        <v>21</v>
      </c>
      <c r="E143" s="5" t="s">
        <v>38</v>
      </c>
      <c r="F143" s="5" t="s">
        <v>24</v>
      </c>
      <c r="G143" s="6"/>
      <c r="H143" s="6"/>
      <c r="I143" s="6"/>
      <c r="J143" s="6"/>
      <c r="K143" s="6"/>
      <c r="L143" s="10">
        <f ca="1">IFERROR('RPK (live)'!L143/'ASK (live)'!L143,"-")</f>
        <v>0.78686739800043348</v>
      </c>
      <c r="M143" s="10">
        <f ca="1">IFERROR('RPK (live)'!M143/'ASK (live)'!M143,"-")</f>
        <v>0.82699260106197647</v>
      </c>
      <c r="N143" s="10">
        <f ca="1">IFERROR('RPK (live)'!N143/'ASK (live)'!N143,"-")</f>
        <v>0.80878576872809571</v>
      </c>
      <c r="O143" s="10">
        <f ca="1">IFERROR('RPK (live)'!O143/'ASK (live)'!O143,"-")</f>
        <v>0.77971162802107818</v>
      </c>
      <c r="P143" s="10">
        <f ca="1">IFERROR('RPK (live)'!P143/'ASK (live)'!P143,"-")</f>
        <v>0.83407679196957119</v>
      </c>
      <c r="Q143" s="10">
        <f ca="1">IFERROR('RPK (live)'!Q143/'ASK (live)'!Q143,"-")</f>
        <v>0.90204242995938577</v>
      </c>
      <c r="R143" s="10">
        <f ca="1">IFERROR('RPK (live)'!R143/'ASK (live)'!R143,"-")</f>
        <v>0.93472371535693166</v>
      </c>
      <c r="S143" s="10">
        <f ca="1">IFERROR('RPK (live)'!S143/'ASK (live)'!S143,"-")</f>
        <v>1</v>
      </c>
      <c r="T143" s="10">
        <f ca="1">IFERROR('RPK (live)'!T143/'ASK (live)'!T143,"-")</f>
        <v>0.77537271114071415</v>
      </c>
      <c r="U143" s="10">
        <f ca="1">IFERROR('RPK (live)'!U143/'ASK (live)'!U143,"-")</f>
        <v>0.75933626016462541</v>
      </c>
      <c r="V143" s="10">
        <f ca="1">IFERROR('RPK (live)'!V143/'ASK (live)'!V143,"-")</f>
        <v>0.87172756548014918</v>
      </c>
      <c r="W143" s="10">
        <f ca="1">IFERROR('RPK (live)'!W143/'ASK (live)'!W143,"-")</f>
        <v>0.84097885950806717</v>
      </c>
      <c r="X143" s="10">
        <f ca="1">IFERROR('RPK (live)'!X143/'ASK (live)'!X143,"-")</f>
        <v>0.86225009018817111</v>
      </c>
      <c r="Y143" s="10">
        <f ca="1">IFERROR('RPK (live)'!Y143/'ASK (live)'!Y143,"-")</f>
        <v>0.88928940597320161</v>
      </c>
      <c r="Z143" s="10">
        <f ca="1">IFERROR('RPK (live)'!Z143/'ASK (live)'!Z143,"-")</f>
        <v>0.87619548384081425</v>
      </c>
      <c r="AA143" s="10">
        <f ca="1">IFERROR('RPK (live)'!AA143/'ASK (live)'!AA143,"-")</f>
        <v>0.79239224179188539</v>
      </c>
      <c r="AB143" s="10">
        <f ca="1">IFERROR('RPK (live)'!AB143/'ASK (live)'!AB143,"-")</f>
        <v>0.80188717667542264</v>
      </c>
      <c r="AC143" s="10">
        <f ca="1">IFERROR('RPK (live)'!AC143/'ASK (live)'!AC143,"-")</f>
        <v>0.83718449369422443</v>
      </c>
      <c r="AD143" s="10">
        <f ca="1">IFERROR('RPK (live)'!AD143/'ASK (live)'!AD143,"-")</f>
        <v>0.873203278302491</v>
      </c>
      <c r="AE143" s="10">
        <f ca="1">IFERROR('RPK (live)'!AE143/'ASK (live)'!AE143,"-")</f>
        <v>0.87686320253938244</v>
      </c>
    </row>
    <row r="144" spans="1:31">
      <c r="A144" s="1" t="s">
        <v>152</v>
      </c>
      <c r="B144" s="5" t="s">
        <v>41</v>
      </c>
      <c r="C144" s="5" t="s">
        <v>37</v>
      </c>
      <c r="D144" s="5" t="s">
        <v>38</v>
      </c>
      <c r="E144" s="5" t="s">
        <v>21</v>
      </c>
      <c r="F144" s="5" t="s">
        <v>24</v>
      </c>
      <c r="G144" s="6"/>
      <c r="H144" s="6"/>
      <c r="I144" s="6"/>
      <c r="J144" s="6"/>
      <c r="K144" s="6"/>
      <c r="L144" s="10">
        <f ca="1">IFERROR('RPK (live)'!L144/'ASK (live)'!L144,"-")</f>
        <v>0.78686739800043348</v>
      </c>
      <c r="M144" s="10">
        <f ca="1">IFERROR('RPK (live)'!M144/'ASK (live)'!M144,"-")</f>
        <v>0.82699260106197647</v>
      </c>
      <c r="N144" s="10">
        <f ca="1">IFERROR('RPK (live)'!N144/'ASK (live)'!N144,"-")</f>
        <v>0.80878576872809571</v>
      </c>
      <c r="O144" s="10">
        <f ca="1">IFERROR('RPK (live)'!O144/'ASK (live)'!O144,"-")</f>
        <v>0.77971162802107818</v>
      </c>
      <c r="P144" s="10">
        <f ca="1">IFERROR('RPK (live)'!P144/'ASK (live)'!P144,"-")</f>
        <v>0.83407679196957119</v>
      </c>
      <c r="Q144" s="10">
        <f ca="1">IFERROR('RPK (live)'!Q144/'ASK (live)'!Q144,"-")</f>
        <v>0.90204242995938577</v>
      </c>
      <c r="R144" s="10">
        <f ca="1">IFERROR('RPK (live)'!R144/'ASK (live)'!R144,"-")</f>
        <v>0.93472371535693166</v>
      </c>
      <c r="S144" s="10">
        <f ca="1">IFERROR('RPK (live)'!S144/'ASK (live)'!S144,"-")</f>
        <v>1</v>
      </c>
      <c r="T144" s="10">
        <f ca="1">IFERROR('RPK (live)'!T144/'ASK (live)'!T144,"-")</f>
        <v>0.77537271114071427</v>
      </c>
      <c r="U144" s="10">
        <f ca="1">IFERROR('RPK (live)'!U144/'ASK (live)'!U144,"-")</f>
        <v>0.75933626016462552</v>
      </c>
      <c r="V144" s="10">
        <f ca="1">IFERROR('RPK (live)'!V144/'ASK (live)'!V144,"-")</f>
        <v>0.87172756548014907</v>
      </c>
      <c r="W144" s="10">
        <f ca="1">IFERROR('RPK (live)'!W144/'ASK (live)'!W144,"-")</f>
        <v>0.84097885950806717</v>
      </c>
      <c r="X144" s="10">
        <f ca="1">IFERROR('RPK (live)'!X144/'ASK (live)'!X144,"-")</f>
        <v>0.86225009018817134</v>
      </c>
      <c r="Y144" s="10">
        <f ca="1">IFERROR('RPK (live)'!Y144/'ASK (live)'!Y144,"-")</f>
        <v>0.8892894059732015</v>
      </c>
      <c r="Z144" s="10">
        <f ca="1">IFERROR('RPK (live)'!Z144/'ASK (live)'!Z144,"-")</f>
        <v>0.87619548384081447</v>
      </c>
      <c r="AA144" s="10">
        <f ca="1">IFERROR('RPK (live)'!AA144/'ASK (live)'!AA144,"-")</f>
        <v>0.7923922417918855</v>
      </c>
      <c r="AB144" s="10">
        <f ca="1">IFERROR('RPK (live)'!AB144/'ASK (live)'!AB144,"-")</f>
        <v>0.80188717667542242</v>
      </c>
      <c r="AC144" s="10">
        <f ca="1">IFERROR('RPK (live)'!AC144/'ASK (live)'!AC144,"-")</f>
        <v>0.83718449369422454</v>
      </c>
      <c r="AD144" s="10">
        <f ca="1">IFERROR('RPK (live)'!AD144/'ASK (live)'!AD144,"-")</f>
        <v>0.87320327830249089</v>
      </c>
      <c r="AE144" s="10">
        <f ca="1">IFERROR('RPK (live)'!AE144/'ASK (live)'!AE144,"-")</f>
        <v>0.87686320253938244</v>
      </c>
    </row>
    <row r="145" spans="1:31">
      <c r="A145" s="1" t="s">
        <v>152</v>
      </c>
      <c r="B145" s="5" t="s">
        <v>175</v>
      </c>
      <c r="C145" s="5" t="s">
        <v>159</v>
      </c>
      <c r="D145" s="5" t="s">
        <v>21</v>
      </c>
      <c r="E145" s="5" t="s">
        <v>38</v>
      </c>
      <c r="F145" s="5" t="s">
        <v>24</v>
      </c>
      <c r="G145" s="6"/>
      <c r="H145" s="6"/>
      <c r="I145" s="6"/>
      <c r="J145" s="6"/>
      <c r="K145" s="6"/>
      <c r="L145" s="10">
        <f ca="1">IFERROR('RPK (live)'!L145/'ASK (live)'!L145,"-")</f>
        <v>0.78686739800043348</v>
      </c>
      <c r="M145" s="10">
        <f ca="1">IFERROR('RPK (live)'!M145/'ASK (live)'!M145,"-")</f>
        <v>0.82699260106197647</v>
      </c>
      <c r="N145" s="10">
        <f ca="1">IFERROR('RPK (live)'!N145/'ASK (live)'!N145,"-")</f>
        <v>0.80878576872809571</v>
      </c>
      <c r="O145" s="10">
        <f ca="1">IFERROR('RPK (live)'!O145/'ASK (live)'!O145,"-")</f>
        <v>0.77971162802107818</v>
      </c>
      <c r="P145" s="10">
        <f ca="1">IFERROR('RPK (live)'!P145/'ASK (live)'!P145,"-")</f>
        <v>0.83407679196957119</v>
      </c>
      <c r="Q145" s="10">
        <f ca="1">IFERROR('RPK (live)'!Q145/'ASK (live)'!Q145,"-")</f>
        <v>0.90204242995938577</v>
      </c>
      <c r="R145" s="10" t="str">
        <f ca="1">IFERROR('RPK (live)'!R145/'ASK (live)'!R145,"-")</f>
        <v>-</v>
      </c>
      <c r="S145" s="10" t="str">
        <f ca="1">IFERROR('RPK (live)'!S145/'ASK (live)'!S145,"-")</f>
        <v>-</v>
      </c>
      <c r="T145" s="10" t="str">
        <f ca="1">IFERROR('RPK (live)'!T145/'ASK (live)'!T145,"-")</f>
        <v>-</v>
      </c>
      <c r="U145" s="10" t="str">
        <f ca="1">IFERROR('RPK (live)'!U145/'ASK (live)'!U145,"-")</f>
        <v>-</v>
      </c>
      <c r="V145" s="10">
        <f ca="1">IFERROR('RPK (live)'!V145/'ASK (live)'!V145,"-")</f>
        <v>0.87172756548014907</v>
      </c>
      <c r="W145" s="10">
        <f ca="1">IFERROR('RPK (live)'!W145/'ASK (live)'!W145,"-")</f>
        <v>0.84097885950806728</v>
      </c>
      <c r="X145" s="10">
        <f ca="1">IFERROR('RPK (live)'!X145/'ASK (live)'!X145,"-")</f>
        <v>0.86225009018817111</v>
      </c>
      <c r="Y145" s="10">
        <f ca="1">IFERROR('RPK (live)'!Y145/'ASK (live)'!Y145,"-")</f>
        <v>0.88928940597320172</v>
      </c>
      <c r="Z145" s="10">
        <f ca="1">IFERROR('RPK (live)'!Z145/'ASK (live)'!Z145,"-")</f>
        <v>0.87619548384081425</v>
      </c>
      <c r="AA145" s="10">
        <f ca="1">IFERROR('RPK (live)'!AA145/'ASK (live)'!AA145,"-")</f>
        <v>0.79239224179188539</v>
      </c>
      <c r="AB145" s="10">
        <f ca="1">IFERROR('RPK (live)'!AB145/'ASK (live)'!AB145,"-")</f>
        <v>0.80188717667542242</v>
      </c>
      <c r="AC145" s="10">
        <f ca="1">IFERROR('RPK (live)'!AC145/'ASK (live)'!AC145,"-")</f>
        <v>0.83718449369422454</v>
      </c>
      <c r="AD145" s="10" t="str">
        <f ca="1">IFERROR('RPK (live)'!AD145/'ASK (live)'!AD145,"-")</f>
        <v>-</v>
      </c>
      <c r="AE145" s="10" t="str">
        <f ca="1">IFERROR('RPK (live)'!AE145/'ASK (live)'!AE145,"-")</f>
        <v>-</v>
      </c>
    </row>
    <row r="146" spans="1:31">
      <c r="A146" s="1" t="s">
        <v>152</v>
      </c>
      <c r="B146" s="5" t="s">
        <v>42</v>
      </c>
      <c r="C146" s="5" t="s">
        <v>37</v>
      </c>
      <c r="D146" s="5" t="s">
        <v>38</v>
      </c>
      <c r="E146" s="5" t="s">
        <v>21</v>
      </c>
      <c r="F146" s="5" t="s">
        <v>24</v>
      </c>
      <c r="G146" s="6"/>
      <c r="H146" s="6"/>
      <c r="I146" s="6"/>
      <c r="J146" s="6"/>
      <c r="K146" s="6"/>
      <c r="L146" s="10">
        <f ca="1">IFERROR('RPK (live)'!L146/'ASK (live)'!L146,"-")</f>
        <v>0.78686739800043348</v>
      </c>
      <c r="M146" s="10">
        <f ca="1">IFERROR('RPK (live)'!M146/'ASK (live)'!M146,"-")</f>
        <v>0.82699260106197647</v>
      </c>
      <c r="N146" s="10">
        <f ca="1">IFERROR('RPK (live)'!N146/'ASK (live)'!N146,"-")</f>
        <v>0.80878576872809571</v>
      </c>
      <c r="O146" s="10">
        <f ca="1">IFERROR('RPK (live)'!O146/'ASK (live)'!O146,"-")</f>
        <v>0.77971162802107818</v>
      </c>
      <c r="P146" s="10">
        <f ca="1">IFERROR('RPK (live)'!P146/'ASK (live)'!P146,"-")</f>
        <v>0.83407679196957119</v>
      </c>
      <c r="Q146" s="10">
        <f ca="1">IFERROR('RPK (live)'!Q146/'ASK (live)'!Q146,"-")</f>
        <v>0.90204242995938566</v>
      </c>
      <c r="R146" s="10" t="str">
        <f ca="1">IFERROR('RPK (live)'!R146/'ASK (live)'!R146,"-")</f>
        <v>-</v>
      </c>
      <c r="S146" s="10" t="str">
        <f ca="1">IFERROR('RPK (live)'!S146/'ASK (live)'!S146,"-")</f>
        <v>-</v>
      </c>
      <c r="T146" s="10" t="str">
        <f ca="1">IFERROR('RPK (live)'!T146/'ASK (live)'!T146,"-")</f>
        <v>-</v>
      </c>
      <c r="U146" s="10" t="str">
        <f ca="1">IFERROR('RPK (live)'!U146/'ASK (live)'!U146,"-")</f>
        <v>-</v>
      </c>
      <c r="V146" s="10">
        <f ca="1">IFERROR('RPK (live)'!V146/'ASK (live)'!V146,"-")</f>
        <v>0.87172756548014907</v>
      </c>
      <c r="W146" s="10">
        <f ca="1">IFERROR('RPK (live)'!W146/'ASK (live)'!W146,"-")</f>
        <v>0.84097885950806728</v>
      </c>
      <c r="X146" s="10">
        <f ca="1">IFERROR('RPK (live)'!X146/'ASK (live)'!X146,"-")</f>
        <v>0.86225009018817111</v>
      </c>
      <c r="Y146" s="10">
        <f ca="1">IFERROR('RPK (live)'!Y146/'ASK (live)'!Y146,"-")</f>
        <v>0.88928940597320172</v>
      </c>
      <c r="Z146" s="10">
        <f ca="1">IFERROR('RPK (live)'!Z146/'ASK (live)'!Z146,"-")</f>
        <v>0.87619548384081425</v>
      </c>
      <c r="AA146" s="10">
        <f ca="1">IFERROR('RPK (live)'!AA146/'ASK (live)'!AA146,"-")</f>
        <v>0.79239224179188539</v>
      </c>
      <c r="AB146" s="10">
        <f ca="1">IFERROR('RPK (live)'!AB146/'ASK (live)'!AB146,"-")</f>
        <v>0.80188717667542242</v>
      </c>
      <c r="AC146" s="10">
        <f ca="1">IFERROR('RPK (live)'!AC146/'ASK (live)'!AC146,"-")</f>
        <v>0.83718449369422454</v>
      </c>
      <c r="AD146" s="10" t="str">
        <f ca="1">IFERROR('RPK (live)'!AD146/'ASK (live)'!AD146,"-")</f>
        <v>-</v>
      </c>
      <c r="AE146" s="10" t="str">
        <f ca="1">IFERROR('RPK (live)'!AE146/'ASK (live)'!AE146,"-")</f>
        <v>-</v>
      </c>
    </row>
    <row r="147" spans="1:31">
      <c r="A147" s="1" t="s">
        <v>152</v>
      </c>
      <c r="B147" s="5" t="s">
        <v>176</v>
      </c>
      <c r="C147" s="5" t="s">
        <v>177</v>
      </c>
      <c r="D147" s="5" t="s">
        <v>28</v>
      </c>
      <c r="E147" s="5" t="s">
        <v>59</v>
      </c>
      <c r="F147" s="5" t="s">
        <v>24</v>
      </c>
      <c r="G147" s="6"/>
      <c r="H147" s="6"/>
      <c r="I147" s="6"/>
      <c r="J147" s="6"/>
      <c r="K147" s="6"/>
      <c r="L147" s="10">
        <f ca="1">IFERROR('RPK (live)'!L147/'ASK (live)'!L147,"-")</f>
        <v>0.86999999999999988</v>
      </c>
      <c r="M147" s="10">
        <f ca="1">IFERROR('RPK (live)'!M147/'ASK (live)'!M147,"-")</f>
        <v>0.74924413592870553</v>
      </c>
      <c r="N147" s="10">
        <f ca="1">IFERROR('RPK (live)'!N147/'ASK (live)'!N147,"-")</f>
        <v>0.78</v>
      </c>
      <c r="O147" s="10">
        <f ca="1">IFERROR('RPK (live)'!O147/'ASK (live)'!O147,"-")</f>
        <v>0.85</v>
      </c>
      <c r="P147" s="10">
        <f ca="1">IFERROR('RPK (live)'!P147/'ASK (live)'!P147,"-")</f>
        <v>0.91</v>
      </c>
      <c r="Q147" s="10">
        <f ca="1">IFERROR('RPK (live)'!Q147/'ASK (live)'!Q147,"-")</f>
        <v>0.84</v>
      </c>
      <c r="R147" s="10">
        <f ca="1">IFERROR('RPK (live)'!R147/'ASK (live)'!R147,"-")</f>
        <v>0.89000000000000012</v>
      </c>
      <c r="S147" s="10">
        <f ca="1">IFERROR('RPK (live)'!S147/'ASK (live)'!S147,"-")</f>
        <v>0.8</v>
      </c>
      <c r="T147" s="10">
        <f ca="1">IFERROR('RPK (live)'!T147/'ASK (live)'!T147,"-")</f>
        <v>0.93691203462132699</v>
      </c>
      <c r="U147" s="10">
        <f ca="1">IFERROR('RPK (live)'!U147/'ASK (live)'!U147,"-")</f>
        <v>0.97990152744702907</v>
      </c>
      <c r="V147" s="10">
        <f ca="1">IFERROR('RPK (live)'!V147/'ASK (live)'!V147,"-")</f>
        <v>0.91671235760974112</v>
      </c>
      <c r="W147" s="10">
        <f ca="1">IFERROR('RPK (live)'!W147/'ASK (live)'!W147,"-")</f>
        <v>0.97048034817479023</v>
      </c>
      <c r="X147" s="10">
        <f ca="1">IFERROR('RPK (live)'!X147/'ASK (live)'!X147,"-")</f>
        <v>0.6692825203485453</v>
      </c>
      <c r="Y147" s="10">
        <f ca="1">IFERROR('RPK (live)'!Y147/'ASK (live)'!Y147,"-")</f>
        <v>0.79972633386198089</v>
      </c>
      <c r="Z147" s="10">
        <f ca="1">IFERROR('RPK (live)'!Z147/'ASK (live)'!Z147,"-")</f>
        <v>0.92874923761059458</v>
      </c>
      <c r="AA147" s="10">
        <f ca="1">IFERROR('RPK (live)'!AA147/'ASK (live)'!AA147,"-")</f>
        <v>0.97876772345739604</v>
      </c>
      <c r="AB147" s="10">
        <f ca="1">IFERROR('RPK (live)'!AB147/'ASK (live)'!AB147,"-")</f>
        <v>0.90006337191851915</v>
      </c>
      <c r="AC147" s="10">
        <f ca="1">IFERROR('RPK (live)'!AC147/'ASK (live)'!AC147,"-")</f>
        <v>0.90997334140438213</v>
      </c>
      <c r="AD147" s="10">
        <f ca="1">IFERROR('RPK (live)'!AD147/'ASK (live)'!AD147,"-")</f>
        <v>0.88084965085369349</v>
      </c>
      <c r="AE147" s="10">
        <f ca="1">IFERROR('RPK (live)'!AE147/'ASK (live)'!AE147,"-")</f>
        <v>0.84109668474672683</v>
      </c>
    </row>
    <row r="148" spans="1:31">
      <c r="A148" s="1" t="s">
        <v>152</v>
      </c>
      <c r="B148" s="5" t="s">
        <v>64</v>
      </c>
      <c r="C148" s="5" t="s">
        <v>65</v>
      </c>
      <c r="D148" s="5" t="s">
        <v>59</v>
      </c>
      <c r="E148" s="5" t="s">
        <v>28</v>
      </c>
      <c r="F148" s="5" t="s">
        <v>24</v>
      </c>
      <c r="G148" s="6"/>
      <c r="H148" s="6"/>
      <c r="I148" s="6"/>
      <c r="J148" s="6"/>
      <c r="K148" s="6"/>
      <c r="L148" s="10">
        <f ca="1">IFERROR('RPK (live)'!L148/'ASK (live)'!L148,"-")</f>
        <v>0.86999999999999988</v>
      </c>
      <c r="M148" s="10">
        <f ca="1">IFERROR('RPK (live)'!M148/'ASK (live)'!M148,"-")</f>
        <v>0.74924413592870553</v>
      </c>
      <c r="N148" s="10">
        <f ca="1">IFERROR('RPK (live)'!N148/'ASK (live)'!N148,"-")</f>
        <v>0.78</v>
      </c>
      <c r="O148" s="10">
        <f ca="1">IFERROR('RPK (live)'!O148/'ASK (live)'!O148,"-")</f>
        <v>0.85</v>
      </c>
      <c r="P148" s="10">
        <f ca="1">IFERROR('RPK (live)'!P148/'ASK (live)'!P148,"-")</f>
        <v>0.91</v>
      </c>
      <c r="Q148" s="10">
        <f ca="1">IFERROR('RPK (live)'!Q148/'ASK (live)'!Q148,"-")</f>
        <v>0.84</v>
      </c>
      <c r="R148" s="10">
        <f ca="1">IFERROR('RPK (live)'!R148/'ASK (live)'!R148,"-")</f>
        <v>0.89000000000000012</v>
      </c>
      <c r="S148" s="10">
        <f ca="1">IFERROR('RPK (live)'!S148/'ASK (live)'!S148,"-")</f>
        <v>0.8</v>
      </c>
      <c r="T148" s="10">
        <f ca="1">IFERROR('RPK (live)'!T148/'ASK (live)'!T148,"-")</f>
        <v>0.93691203462132699</v>
      </c>
      <c r="U148" s="10">
        <f ca="1">IFERROR('RPK (live)'!U148/'ASK (live)'!U148,"-")</f>
        <v>0.97990152744702907</v>
      </c>
      <c r="V148" s="10">
        <f ca="1">IFERROR('RPK (live)'!V148/'ASK (live)'!V148,"-")</f>
        <v>0.91671235760974112</v>
      </c>
      <c r="W148" s="10">
        <f ca="1">IFERROR('RPK (live)'!W148/'ASK (live)'!W148,"-")</f>
        <v>0.97048034817479001</v>
      </c>
      <c r="X148" s="10">
        <f ca="1">IFERROR('RPK (live)'!X148/'ASK (live)'!X148,"-")</f>
        <v>0.6692825203485453</v>
      </c>
      <c r="Y148" s="10">
        <f ca="1">IFERROR('RPK (live)'!Y148/'ASK (live)'!Y148,"-")</f>
        <v>0.79972633386198078</v>
      </c>
      <c r="Z148" s="10">
        <f ca="1">IFERROR('RPK (live)'!Z148/'ASK (live)'!Z148,"-")</f>
        <v>0.92874923761059447</v>
      </c>
      <c r="AA148" s="10">
        <f ca="1">IFERROR('RPK (live)'!AA148/'ASK (live)'!AA148,"-")</f>
        <v>0.97876772345739649</v>
      </c>
      <c r="AB148" s="10">
        <f ca="1">IFERROR('RPK (live)'!AB148/'ASK (live)'!AB148,"-")</f>
        <v>0.90006337191851948</v>
      </c>
      <c r="AC148" s="10">
        <f ca="1">IFERROR('RPK (live)'!AC148/'ASK (live)'!AC148,"-")</f>
        <v>0.90997334140438213</v>
      </c>
      <c r="AD148" s="10">
        <f ca="1">IFERROR('RPK (live)'!AD148/'ASK (live)'!AD148,"-")</f>
        <v>0.88084965085369349</v>
      </c>
      <c r="AE148" s="10">
        <f ca="1">IFERROR('RPK (live)'!AE148/'ASK (live)'!AE148,"-")</f>
        <v>0.84109668474672705</v>
      </c>
    </row>
    <row r="149" spans="1:31">
      <c r="A149" s="1" t="s">
        <v>152</v>
      </c>
      <c r="B149" s="5" t="s">
        <v>178</v>
      </c>
      <c r="C149" s="5" t="s">
        <v>177</v>
      </c>
      <c r="D149" s="5" t="s">
        <v>28</v>
      </c>
      <c r="E149" s="5" t="s">
        <v>59</v>
      </c>
      <c r="F149" s="5" t="s">
        <v>24</v>
      </c>
      <c r="G149" s="6"/>
      <c r="H149" s="6"/>
      <c r="I149" s="6"/>
      <c r="J149" s="6"/>
      <c r="K149" s="6"/>
      <c r="L149" s="10">
        <f ca="1">IFERROR('RPK (live)'!L149/'ASK (live)'!L149,"-")</f>
        <v>0.86999999999999988</v>
      </c>
      <c r="M149" s="10">
        <f ca="1">IFERROR('RPK (live)'!M149/'ASK (live)'!M149,"-")</f>
        <v>0.74924413592870553</v>
      </c>
      <c r="N149" s="10">
        <f ca="1">IFERROR('RPK (live)'!N149/'ASK (live)'!N149,"-")</f>
        <v>0.78</v>
      </c>
      <c r="O149" s="10">
        <f ca="1">IFERROR('RPK (live)'!O149/'ASK (live)'!O149,"-")</f>
        <v>0.85000000000000009</v>
      </c>
      <c r="P149" s="10">
        <f ca="1">IFERROR('RPK (live)'!P149/'ASK (live)'!P149,"-")</f>
        <v>0.91</v>
      </c>
      <c r="Q149" s="10">
        <f ca="1">IFERROR('RPK (live)'!Q149/'ASK (live)'!Q149,"-")</f>
        <v>0.84</v>
      </c>
      <c r="R149" s="10" t="str">
        <f ca="1">IFERROR('RPK (live)'!R149/'ASK (live)'!R149,"-")</f>
        <v>-</v>
      </c>
      <c r="S149" s="10" t="str">
        <f ca="1">IFERROR('RPK (live)'!S149/'ASK (live)'!S149,"-")</f>
        <v>-</v>
      </c>
      <c r="T149" s="10" t="str">
        <f ca="1">IFERROR('RPK (live)'!T149/'ASK (live)'!T149,"-")</f>
        <v>-</v>
      </c>
      <c r="U149" s="10" t="str">
        <f ca="1">IFERROR('RPK (live)'!U149/'ASK (live)'!U149,"-")</f>
        <v>-</v>
      </c>
      <c r="V149" s="10" t="str">
        <f ca="1">IFERROR('RPK (live)'!V149/'ASK (live)'!V149,"-")</f>
        <v>-</v>
      </c>
      <c r="W149" s="10">
        <f ca="1">IFERROR('RPK (live)'!W149/'ASK (live)'!W149,"-")</f>
        <v>0.97048034817479012</v>
      </c>
      <c r="X149" s="10">
        <f ca="1">IFERROR('RPK (live)'!X149/'ASK (live)'!X149,"-")</f>
        <v>0.6692825203485453</v>
      </c>
      <c r="Y149" s="10">
        <f ca="1">IFERROR('RPK (live)'!Y149/'ASK (live)'!Y149,"-")</f>
        <v>0.79972633386198066</v>
      </c>
      <c r="Z149" s="10">
        <f ca="1">IFERROR('RPK (live)'!Z149/'ASK (live)'!Z149,"-")</f>
        <v>0.92874923761059447</v>
      </c>
      <c r="AA149" s="10">
        <f ca="1">IFERROR('RPK (live)'!AA149/'ASK (live)'!AA149,"-")</f>
        <v>0.97876772345739638</v>
      </c>
      <c r="AB149" s="10">
        <f ca="1">IFERROR('RPK (live)'!AB149/'ASK (live)'!AB149,"-")</f>
        <v>0.90006337191851926</v>
      </c>
      <c r="AC149" s="10">
        <f ca="1">IFERROR('RPK (live)'!AC149/'ASK (live)'!AC149,"-")</f>
        <v>0.90997334140438202</v>
      </c>
      <c r="AD149" s="10" t="str">
        <f ca="1">IFERROR('RPK (live)'!AD149/'ASK (live)'!AD149,"-")</f>
        <v>-</v>
      </c>
      <c r="AE149" s="10" t="str">
        <f ca="1">IFERROR('RPK (live)'!AE149/'ASK (live)'!AE149,"-")</f>
        <v>-</v>
      </c>
    </row>
    <row r="150" spans="1:31">
      <c r="A150" s="1" t="s">
        <v>152</v>
      </c>
      <c r="B150" s="5" t="s">
        <v>66</v>
      </c>
      <c r="C150" s="5" t="s">
        <v>65</v>
      </c>
      <c r="D150" s="5" t="s">
        <v>59</v>
      </c>
      <c r="E150" s="5" t="s">
        <v>28</v>
      </c>
      <c r="F150" s="5" t="s">
        <v>24</v>
      </c>
      <c r="G150" s="6"/>
      <c r="H150" s="6"/>
      <c r="I150" s="6"/>
      <c r="J150" s="6"/>
      <c r="K150" s="6"/>
      <c r="L150" s="10">
        <f ca="1">IFERROR('RPK (live)'!L150/'ASK (live)'!L150,"-")</f>
        <v>0.86999999999999988</v>
      </c>
      <c r="M150" s="10">
        <f ca="1">IFERROR('RPK (live)'!M150/'ASK (live)'!M150,"-")</f>
        <v>0.74924413592870553</v>
      </c>
      <c r="N150" s="10">
        <f ca="1">IFERROR('RPK (live)'!N150/'ASK (live)'!N150,"-")</f>
        <v>0.78</v>
      </c>
      <c r="O150" s="10">
        <f ca="1">IFERROR('RPK (live)'!O150/'ASK (live)'!O150,"-")</f>
        <v>0.85000000000000009</v>
      </c>
      <c r="P150" s="10">
        <f ca="1">IFERROR('RPK (live)'!P150/'ASK (live)'!P150,"-")</f>
        <v>0.91</v>
      </c>
      <c r="Q150" s="10">
        <f ca="1">IFERROR('RPK (live)'!Q150/'ASK (live)'!Q150,"-")</f>
        <v>0.84</v>
      </c>
      <c r="R150" s="10" t="str">
        <f ca="1">IFERROR('RPK (live)'!R150/'ASK (live)'!R150,"-")</f>
        <v>-</v>
      </c>
      <c r="S150" s="10" t="str">
        <f ca="1">IFERROR('RPK (live)'!S150/'ASK (live)'!S150,"-")</f>
        <v>-</v>
      </c>
      <c r="T150" s="10" t="str">
        <f ca="1">IFERROR('RPK (live)'!T150/'ASK (live)'!T150,"-")</f>
        <v>-</v>
      </c>
      <c r="U150" s="10" t="str">
        <f ca="1">IFERROR('RPK (live)'!U150/'ASK (live)'!U150,"-")</f>
        <v>-</v>
      </c>
      <c r="V150" s="10" t="str">
        <f ca="1">IFERROR('RPK (live)'!V150/'ASK (live)'!V150,"-")</f>
        <v>-</v>
      </c>
      <c r="W150" s="10">
        <f ca="1">IFERROR('RPK (live)'!W150/'ASK (live)'!W150,"-")</f>
        <v>0.97048034817479012</v>
      </c>
      <c r="X150" s="10">
        <f ca="1">IFERROR('RPK (live)'!X150/'ASK (live)'!X150,"-")</f>
        <v>0.6692825203485453</v>
      </c>
      <c r="Y150" s="10">
        <f ca="1">IFERROR('RPK (live)'!Y150/'ASK (live)'!Y150,"-")</f>
        <v>0.79972633386198066</v>
      </c>
      <c r="Z150" s="10">
        <f ca="1">IFERROR('RPK (live)'!Z150/'ASK (live)'!Z150,"-")</f>
        <v>0.92874923761059447</v>
      </c>
      <c r="AA150" s="10">
        <f ca="1">IFERROR('RPK (live)'!AA150/'ASK (live)'!AA150,"-")</f>
        <v>0.97876772345739638</v>
      </c>
      <c r="AB150" s="10">
        <f ca="1">IFERROR('RPK (live)'!AB150/'ASK (live)'!AB150,"-")</f>
        <v>0.90006337191851926</v>
      </c>
      <c r="AC150" s="10">
        <f ca="1">IFERROR('RPK (live)'!AC150/'ASK (live)'!AC150,"-")</f>
        <v>0.90997334140438202</v>
      </c>
      <c r="AD150" s="10" t="str">
        <f ca="1">IFERROR('RPK (live)'!AD150/'ASK (live)'!AD150,"-")</f>
        <v>-</v>
      </c>
      <c r="AE150" s="10" t="str">
        <f ca="1">IFERROR('RPK (live)'!AE150/'ASK (live)'!AE150,"-")</f>
        <v>-</v>
      </c>
    </row>
    <row r="151" spans="1:31">
      <c r="A151" s="1" t="s">
        <v>152</v>
      </c>
      <c r="B151" s="5" t="s">
        <v>179</v>
      </c>
      <c r="C151" s="5" t="s">
        <v>180</v>
      </c>
      <c r="D151" s="5" t="s">
        <v>28</v>
      </c>
      <c r="E151" s="5" t="s">
        <v>181</v>
      </c>
      <c r="F151" s="5" t="s">
        <v>24</v>
      </c>
      <c r="G151" s="6"/>
      <c r="H151" s="6"/>
      <c r="I151" s="6"/>
      <c r="J151" s="6"/>
      <c r="K151" s="6"/>
      <c r="L151" s="10" t="str">
        <f ca="1">IFERROR('RPK (live)'!L151/'ASK (live)'!L151,"-")</f>
        <v>-</v>
      </c>
      <c r="M151" s="10" t="str">
        <f ca="1">IFERROR('RPK (live)'!M151/'ASK (live)'!M151,"-")</f>
        <v>-</v>
      </c>
      <c r="N151" s="10" t="str">
        <f ca="1">IFERROR('RPK (live)'!N151/'ASK (live)'!N151,"-")</f>
        <v>-</v>
      </c>
      <c r="O151" s="10" t="str">
        <f ca="1">IFERROR('RPK (live)'!O151/'ASK (live)'!O151,"-")</f>
        <v>-</v>
      </c>
      <c r="P151" s="10" t="str">
        <f ca="1">IFERROR('RPK (live)'!P151/'ASK (live)'!P151,"-")</f>
        <v>-</v>
      </c>
      <c r="Q151" s="10">
        <f ca="1">IFERROR('RPK (live)'!Q151/'ASK (live)'!Q151,"-")</f>
        <v>0.71000000000000008</v>
      </c>
      <c r="R151" s="10">
        <f ca="1">IFERROR('RPK (live)'!R151/'ASK (live)'!R151,"-")</f>
        <v>0.85000000000000009</v>
      </c>
      <c r="S151" s="10">
        <f ca="1">IFERROR('RPK (live)'!S151/'ASK (live)'!S151,"-")</f>
        <v>0.80000000000000016</v>
      </c>
      <c r="T151" s="10">
        <f ca="1">IFERROR('RPK (live)'!T151/'ASK (live)'!T151,"-")</f>
        <v>0.93694067147279714</v>
      </c>
      <c r="U151" s="10">
        <f ca="1">IFERROR('RPK (live)'!U151/'ASK (live)'!U151,"-")</f>
        <v>0.99051911298780104</v>
      </c>
      <c r="V151" s="10">
        <f ca="1">IFERROR('RPK (live)'!V151/'ASK (live)'!V151,"-")</f>
        <v>0.87147906976472078</v>
      </c>
      <c r="W151" s="10" t="str">
        <f ca="1">IFERROR('RPK (live)'!W151/'ASK (live)'!W151,"-")</f>
        <v>-</v>
      </c>
      <c r="X151" s="10" t="str">
        <f ca="1">IFERROR('RPK (live)'!X151/'ASK (live)'!X151,"-")</f>
        <v>-</v>
      </c>
      <c r="Y151" s="10" t="str">
        <f ca="1">IFERROR('RPK (live)'!Y151/'ASK (live)'!Y151,"-")</f>
        <v>-</v>
      </c>
      <c r="Z151" s="10" t="str">
        <f ca="1">IFERROR('RPK (live)'!Z151/'ASK (live)'!Z151,"-")</f>
        <v>-</v>
      </c>
      <c r="AA151" s="10" t="str">
        <f ca="1">IFERROR('RPK (live)'!AA151/'ASK (live)'!AA151,"-")</f>
        <v>-</v>
      </c>
      <c r="AB151" s="10" t="str">
        <f ca="1">IFERROR('RPK (live)'!AB151/'ASK (live)'!AB151,"-")</f>
        <v>-</v>
      </c>
      <c r="AC151" s="10">
        <f ca="1">IFERROR('RPK (live)'!AC151/'ASK (live)'!AC151,"-")</f>
        <v>0.88714718909533719</v>
      </c>
      <c r="AD151" s="10">
        <f ca="1">IFERROR('RPK (live)'!AD151/'ASK (live)'!AD151,"-")</f>
        <v>0.83649924539695264</v>
      </c>
      <c r="AE151" s="10">
        <f ca="1">IFERROR('RPK (live)'!AE151/'ASK (live)'!AE151,"-")</f>
        <v>0.8801579728509229</v>
      </c>
    </row>
    <row r="152" spans="1:31">
      <c r="A152" s="1" t="s">
        <v>152</v>
      </c>
      <c r="B152" s="5" t="s">
        <v>182</v>
      </c>
      <c r="C152" s="5" t="s">
        <v>183</v>
      </c>
      <c r="D152" s="5" t="s">
        <v>181</v>
      </c>
      <c r="E152" s="5" t="s">
        <v>28</v>
      </c>
      <c r="F152" s="5" t="s">
        <v>24</v>
      </c>
      <c r="G152" s="6"/>
      <c r="H152" s="6"/>
      <c r="I152" s="6"/>
      <c r="J152" s="6"/>
      <c r="K152" s="6"/>
      <c r="L152" s="10" t="str">
        <f ca="1">IFERROR('RPK (live)'!L152/'ASK (live)'!L152,"-")</f>
        <v>-</v>
      </c>
      <c r="M152" s="10" t="str">
        <f ca="1">IFERROR('RPK (live)'!M152/'ASK (live)'!M152,"-")</f>
        <v>-</v>
      </c>
      <c r="N152" s="10" t="str">
        <f ca="1">IFERROR('RPK (live)'!N152/'ASK (live)'!N152,"-")</f>
        <v>-</v>
      </c>
      <c r="O152" s="10" t="str">
        <f ca="1">IFERROR('RPK (live)'!O152/'ASK (live)'!O152,"-")</f>
        <v>-</v>
      </c>
      <c r="P152" s="10" t="str">
        <f ca="1">IFERROR('RPK (live)'!P152/'ASK (live)'!P152,"-")</f>
        <v>-</v>
      </c>
      <c r="Q152" s="10">
        <f ca="1">IFERROR('RPK (live)'!Q152/'ASK (live)'!Q152,"-")</f>
        <v>0.71000000000000008</v>
      </c>
      <c r="R152" s="10">
        <f ca="1">IFERROR('RPK (live)'!R152/'ASK (live)'!R152,"-")</f>
        <v>0.85000000000000009</v>
      </c>
      <c r="S152" s="10">
        <f ca="1">IFERROR('RPK (live)'!S152/'ASK (live)'!S152,"-")</f>
        <v>0.80000000000000016</v>
      </c>
      <c r="T152" s="10">
        <f ca="1">IFERROR('RPK (live)'!T152/'ASK (live)'!T152,"-")</f>
        <v>0.93694067147279714</v>
      </c>
      <c r="U152" s="10">
        <f ca="1">IFERROR('RPK (live)'!U152/'ASK (live)'!U152,"-")</f>
        <v>0.99051911298780104</v>
      </c>
      <c r="V152" s="10">
        <f ca="1">IFERROR('RPK (live)'!V152/'ASK (live)'!V152,"-")</f>
        <v>0.87147906976472078</v>
      </c>
      <c r="W152" s="10" t="str">
        <f ca="1">IFERROR('RPK (live)'!W152/'ASK (live)'!W152,"-")</f>
        <v>-</v>
      </c>
      <c r="X152" s="10" t="str">
        <f ca="1">IFERROR('RPK (live)'!X152/'ASK (live)'!X152,"-")</f>
        <v>-</v>
      </c>
      <c r="Y152" s="10" t="str">
        <f ca="1">IFERROR('RPK (live)'!Y152/'ASK (live)'!Y152,"-")</f>
        <v>-</v>
      </c>
      <c r="Z152" s="10" t="str">
        <f ca="1">IFERROR('RPK (live)'!Z152/'ASK (live)'!Z152,"-")</f>
        <v>-</v>
      </c>
      <c r="AA152" s="10" t="str">
        <f ca="1">IFERROR('RPK (live)'!AA152/'ASK (live)'!AA152,"-")</f>
        <v>-</v>
      </c>
      <c r="AB152" s="10" t="str">
        <f ca="1">IFERROR('RPK (live)'!AB152/'ASK (live)'!AB152,"-")</f>
        <v>-</v>
      </c>
      <c r="AC152" s="10">
        <f ca="1">IFERROR('RPK (live)'!AC152/'ASK (live)'!AC152,"-")</f>
        <v>0.88714718909533719</v>
      </c>
      <c r="AD152" s="10">
        <f ca="1">IFERROR('RPK (live)'!AD152/'ASK (live)'!AD152,"-")</f>
        <v>0.83649924539695264</v>
      </c>
      <c r="AE152" s="10">
        <f ca="1">IFERROR('RPK (live)'!AE152/'ASK (live)'!AE152,"-")</f>
        <v>0.8801579728509229</v>
      </c>
    </row>
    <row r="153" spans="1:31">
      <c r="A153" s="1" t="s">
        <v>152</v>
      </c>
      <c r="B153" s="5" t="s">
        <v>184</v>
      </c>
      <c r="C153" s="5" t="s">
        <v>185</v>
      </c>
      <c r="D153" s="5" t="s">
        <v>28</v>
      </c>
      <c r="E153" s="5" t="s">
        <v>49</v>
      </c>
      <c r="F153" s="5" t="s">
        <v>24</v>
      </c>
      <c r="G153" s="6"/>
      <c r="H153" s="6"/>
      <c r="I153" s="6"/>
      <c r="J153" s="6"/>
      <c r="K153" s="6"/>
      <c r="L153" s="10" t="str">
        <f ca="1">IFERROR('RPK (live)'!L153/'ASK (live)'!L153,"-")</f>
        <v>-</v>
      </c>
      <c r="M153" s="10">
        <f ca="1">IFERROR('RPK (live)'!M153/'ASK (live)'!M153,"-")</f>
        <v>0.79986873970767225</v>
      </c>
      <c r="N153" s="10">
        <f ca="1">IFERROR('RPK (live)'!N153/'ASK (live)'!N153,"-")</f>
        <v>0.82</v>
      </c>
      <c r="O153" s="10">
        <f ca="1">IFERROR('RPK (live)'!O153/'ASK (live)'!O153,"-")</f>
        <v>0.79</v>
      </c>
      <c r="P153" s="10">
        <f ca="1">IFERROR('RPK (live)'!P153/'ASK (live)'!P153,"-")</f>
        <v>0.83000000000000007</v>
      </c>
      <c r="Q153" s="10">
        <f ca="1">IFERROR('RPK (live)'!Q153/'ASK (live)'!Q153,"-")</f>
        <v>0.77999999999999992</v>
      </c>
      <c r="R153" s="10" t="str">
        <f ca="1">IFERROR('RPK (live)'!R153/'ASK (live)'!R153,"-")</f>
        <v>-</v>
      </c>
      <c r="S153" s="10" t="str">
        <f ca="1">IFERROR('RPK (live)'!S153/'ASK (live)'!S153,"-")</f>
        <v>-</v>
      </c>
      <c r="T153" s="10" t="str">
        <f ca="1">IFERROR('RPK (live)'!T153/'ASK (live)'!T153,"-")</f>
        <v>-</v>
      </c>
      <c r="U153" s="10" t="str">
        <f ca="1">IFERROR('RPK (live)'!U153/'ASK (live)'!U153,"-")</f>
        <v>-</v>
      </c>
      <c r="V153" s="10">
        <f ca="1">IFERROR('RPK (live)'!V153/'ASK (live)'!V153,"-")</f>
        <v>0.53865937631088689</v>
      </c>
      <c r="W153" s="10">
        <f ca="1">IFERROR('RPK (live)'!W153/'ASK (live)'!W153,"-")</f>
        <v>0.5985104181232076</v>
      </c>
      <c r="X153" s="10">
        <f ca="1">IFERROR('RPK (live)'!X153/'ASK (live)'!X153,"-")</f>
        <v>0.80280757855367557</v>
      </c>
      <c r="Y153" s="10">
        <f ca="1">IFERROR('RPK (live)'!Y153/'ASK (live)'!Y153,"-")</f>
        <v>0.98136395807037669</v>
      </c>
      <c r="Z153" s="10">
        <f ca="1">IFERROR('RPK (live)'!Z153/'ASK (live)'!Z153,"-")</f>
        <v>0.75252304391478819</v>
      </c>
      <c r="AA153" s="10">
        <f ca="1">IFERROR('RPK (live)'!AA153/'ASK (live)'!AA153,"-")</f>
        <v>0.65388941544992352</v>
      </c>
      <c r="AB153" s="10">
        <f ca="1">IFERROR('RPK (live)'!AB153/'ASK (live)'!AB153,"-")</f>
        <v>0.90678895842328044</v>
      </c>
      <c r="AC153" s="10">
        <f ca="1">IFERROR('RPK (live)'!AC153/'ASK (live)'!AC153,"-")</f>
        <v>0.56829148601749369</v>
      </c>
      <c r="AD153" s="10" t="str">
        <f ca="1">IFERROR('RPK (live)'!AD153/'ASK (live)'!AD153,"-")</f>
        <v>-</v>
      </c>
      <c r="AE153" s="10" t="str">
        <f ca="1">IFERROR('RPK (live)'!AE153/'ASK (live)'!AE153,"-")</f>
        <v>-</v>
      </c>
    </row>
    <row r="154" spans="1:31">
      <c r="A154" s="1" t="s">
        <v>152</v>
      </c>
      <c r="B154" s="5" t="s">
        <v>50</v>
      </c>
      <c r="C154" s="5" t="s">
        <v>51</v>
      </c>
      <c r="D154" s="5" t="s">
        <v>49</v>
      </c>
      <c r="E154" s="5" t="s">
        <v>28</v>
      </c>
      <c r="F154" s="5" t="s">
        <v>24</v>
      </c>
      <c r="G154" s="6"/>
      <c r="H154" s="6"/>
      <c r="I154" s="6"/>
      <c r="J154" s="6"/>
      <c r="K154" s="6"/>
      <c r="L154" s="10" t="str">
        <f ca="1">IFERROR('RPK (live)'!L154/'ASK (live)'!L154,"-")</f>
        <v>-</v>
      </c>
      <c r="M154" s="10">
        <f ca="1">IFERROR('RPK (live)'!M154/'ASK (live)'!M154,"-")</f>
        <v>0.79986873970767225</v>
      </c>
      <c r="N154" s="10">
        <f ca="1">IFERROR('RPK (live)'!N154/'ASK (live)'!N154,"-")</f>
        <v>0.82</v>
      </c>
      <c r="O154" s="10">
        <f ca="1">IFERROR('RPK (live)'!O154/'ASK (live)'!O154,"-")</f>
        <v>0.79</v>
      </c>
      <c r="P154" s="10">
        <f ca="1">IFERROR('RPK (live)'!P154/'ASK (live)'!P154,"-")</f>
        <v>0.83000000000000007</v>
      </c>
      <c r="Q154" s="10">
        <f ca="1">IFERROR('RPK (live)'!Q154/'ASK (live)'!Q154,"-")</f>
        <v>0.77999999999999992</v>
      </c>
      <c r="R154" s="10" t="str">
        <f ca="1">IFERROR('RPK (live)'!R154/'ASK (live)'!R154,"-")</f>
        <v>-</v>
      </c>
      <c r="S154" s="10" t="str">
        <f ca="1">IFERROR('RPK (live)'!S154/'ASK (live)'!S154,"-")</f>
        <v>-</v>
      </c>
      <c r="T154" s="10" t="str">
        <f ca="1">IFERROR('RPK (live)'!T154/'ASK (live)'!T154,"-")</f>
        <v>-</v>
      </c>
      <c r="U154" s="10" t="str">
        <f ca="1">IFERROR('RPK (live)'!U154/'ASK (live)'!U154,"-")</f>
        <v>-</v>
      </c>
      <c r="V154" s="10">
        <f ca="1">IFERROR('RPK (live)'!V154/'ASK (live)'!V154,"-")</f>
        <v>0.53865937631088689</v>
      </c>
      <c r="W154" s="10">
        <f ca="1">IFERROR('RPK (live)'!W154/'ASK (live)'!W154,"-")</f>
        <v>0.5985104181232076</v>
      </c>
      <c r="X154" s="10">
        <f ca="1">IFERROR('RPK (live)'!X154/'ASK (live)'!X154,"-")</f>
        <v>0.80280757855367557</v>
      </c>
      <c r="Y154" s="10">
        <f ca="1">IFERROR('RPK (live)'!Y154/'ASK (live)'!Y154,"-")</f>
        <v>0.98136395807037669</v>
      </c>
      <c r="Z154" s="10">
        <f ca="1">IFERROR('RPK (live)'!Z154/'ASK (live)'!Z154,"-")</f>
        <v>0.75252304391478819</v>
      </c>
      <c r="AA154" s="10">
        <f ca="1">IFERROR('RPK (live)'!AA154/'ASK (live)'!AA154,"-")</f>
        <v>0.65388941544992352</v>
      </c>
      <c r="AB154" s="10">
        <f ca="1">IFERROR('RPK (live)'!AB154/'ASK (live)'!AB154,"-")</f>
        <v>0.90678895842328044</v>
      </c>
      <c r="AC154" s="10">
        <f ca="1">IFERROR('RPK (live)'!AC154/'ASK (live)'!AC154,"-")</f>
        <v>0.56829148601749369</v>
      </c>
      <c r="AD154" s="10" t="str">
        <f ca="1">IFERROR('RPK (live)'!AD154/'ASK (live)'!AD154,"-")</f>
        <v>-</v>
      </c>
      <c r="AE154" s="10" t="str">
        <f ca="1">IFERROR('RPK (live)'!AE154/'ASK (live)'!AE154,"-")</f>
        <v>-</v>
      </c>
    </row>
    <row r="155" spans="1:31">
      <c r="A155" s="1" t="s">
        <v>152</v>
      </c>
      <c r="B155" s="5" t="s">
        <v>186</v>
      </c>
      <c r="C155" s="5" t="s">
        <v>187</v>
      </c>
      <c r="D155" s="5" t="s">
        <v>21</v>
      </c>
      <c r="E155" s="5" t="s">
        <v>59</v>
      </c>
      <c r="F155" s="5" t="s">
        <v>24</v>
      </c>
      <c r="G155" s="6"/>
      <c r="H155" s="6"/>
      <c r="I155" s="6"/>
      <c r="J155" s="6"/>
      <c r="K155" s="6"/>
      <c r="L155" s="10">
        <f ca="1">IFERROR('RPK (live)'!L155/'ASK (live)'!L155,"-")</f>
        <v>0.91000000000000014</v>
      </c>
      <c r="M155" s="10">
        <f ca="1">IFERROR('RPK (live)'!M155/'ASK (live)'!M155,"-")</f>
        <v>0.87074318499822545</v>
      </c>
      <c r="N155" s="10">
        <f ca="1">IFERROR('RPK (live)'!N155/'ASK (live)'!N155,"-")</f>
        <v>0.81999999999999984</v>
      </c>
      <c r="O155" s="10">
        <f ca="1">IFERROR('RPK (live)'!O155/'ASK (live)'!O155,"-")</f>
        <v>0.85000000000000009</v>
      </c>
      <c r="P155" s="10">
        <f ca="1">IFERROR('RPK (live)'!P155/'ASK (live)'!P155,"-")</f>
        <v>0.85000000000000009</v>
      </c>
      <c r="Q155" s="10">
        <f ca="1">IFERROR('RPK (live)'!Q155/'ASK (live)'!Q155,"-")</f>
        <v>0.87000000000000022</v>
      </c>
      <c r="R155" s="10">
        <f ca="1">IFERROR('RPK (live)'!R155/'ASK (live)'!R155,"-")</f>
        <v>0.90000000000000013</v>
      </c>
      <c r="S155" s="10">
        <f ca="1">IFERROR('RPK (live)'!S155/'ASK (live)'!S155,"-")</f>
        <v>0.8</v>
      </c>
      <c r="T155" s="10">
        <f ca="1">IFERROR('RPK (live)'!T155/'ASK (live)'!T155,"-")</f>
        <v>0.96608158904808894</v>
      </c>
      <c r="U155" s="10">
        <f ca="1">IFERROR('RPK (live)'!U155/'ASK (live)'!U155,"-")</f>
        <v>0.98374989351933972</v>
      </c>
      <c r="V155" s="10">
        <f ca="1">IFERROR('RPK (live)'!V155/'ASK (live)'!V155,"-")</f>
        <v>0.93755595066620667</v>
      </c>
      <c r="W155" s="10">
        <f ca="1">IFERROR('RPK (live)'!W155/'ASK (live)'!W155,"-")</f>
        <v>0.94122867805648025</v>
      </c>
      <c r="X155" s="10">
        <f ca="1">IFERROR('RPK (live)'!X155/'ASK (live)'!X155,"-")</f>
        <v>0.99051911298780138</v>
      </c>
      <c r="Y155" s="10">
        <f ca="1">IFERROR('RPK (live)'!Y155/'ASK (live)'!Y155,"-")</f>
        <v>0.95172341328922339</v>
      </c>
      <c r="Z155" s="10">
        <f ca="1">IFERROR('RPK (live)'!Z155/'ASK (live)'!Z155,"-")</f>
        <v>0.95937918241303899</v>
      </c>
      <c r="AA155" s="10">
        <f ca="1">IFERROR('RPK (live)'!AA155/'ASK (live)'!AA155,"-")</f>
        <v>0.92946216101918355</v>
      </c>
      <c r="AB155" s="10">
        <f ca="1">IFERROR('RPK (live)'!AB155/'ASK (live)'!AB155,"-")</f>
        <v>0.96749965870783061</v>
      </c>
      <c r="AC155" s="10">
        <f ca="1">IFERROR('RPK (live)'!AC155/'ASK (live)'!AC155,"-")</f>
        <v>0.96973761272722636</v>
      </c>
      <c r="AD155" s="10">
        <f ca="1">IFERROR('RPK (live)'!AD155/'ASK (live)'!AD155,"-")</f>
        <v>0.97464245949738426</v>
      </c>
      <c r="AE155" s="10">
        <f ca="1">IFERROR('RPK (live)'!AE155/'ASK (live)'!AE155,"-")</f>
        <v>0.87748318624523447</v>
      </c>
    </row>
    <row r="156" spans="1:31">
      <c r="A156" s="1" t="s">
        <v>152</v>
      </c>
      <c r="B156" s="5" t="s">
        <v>61</v>
      </c>
      <c r="C156" s="5" t="s">
        <v>62</v>
      </c>
      <c r="D156" s="5" t="s">
        <v>59</v>
      </c>
      <c r="E156" s="5" t="s">
        <v>21</v>
      </c>
      <c r="F156" s="5" t="s">
        <v>24</v>
      </c>
      <c r="G156" s="6"/>
      <c r="H156" s="6"/>
      <c r="I156" s="6"/>
      <c r="J156" s="6"/>
      <c r="K156" s="6"/>
      <c r="L156" s="10">
        <f ca="1">IFERROR('RPK (live)'!L156/'ASK (live)'!L156,"-")</f>
        <v>0.91</v>
      </c>
      <c r="M156" s="10">
        <f ca="1">IFERROR('RPK (live)'!M156/'ASK (live)'!M156,"-")</f>
        <v>0.87074318499822534</v>
      </c>
      <c r="N156" s="10">
        <f ca="1">IFERROR('RPK (live)'!N156/'ASK (live)'!N156,"-")</f>
        <v>0.81999999999999984</v>
      </c>
      <c r="O156" s="10">
        <f ca="1">IFERROR('RPK (live)'!O156/'ASK (live)'!O156,"-")</f>
        <v>0.85000000000000009</v>
      </c>
      <c r="P156" s="10">
        <f ca="1">IFERROR('RPK (live)'!P156/'ASK (live)'!P156,"-")</f>
        <v>0.85000000000000009</v>
      </c>
      <c r="Q156" s="10">
        <f ca="1">IFERROR('RPK (live)'!Q156/'ASK (live)'!Q156,"-")</f>
        <v>0.87000000000000022</v>
      </c>
      <c r="R156" s="10">
        <f ca="1">IFERROR('RPK (live)'!R156/'ASK (live)'!R156,"-")</f>
        <v>0.9</v>
      </c>
      <c r="S156" s="10">
        <f ca="1">IFERROR('RPK (live)'!S156/'ASK (live)'!S156,"-")</f>
        <v>0.8</v>
      </c>
      <c r="T156" s="10">
        <f ca="1">IFERROR('RPK (live)'!T156/'ASK (live)'!T156,"-")</f>
        <v>0.96608158904808894</v>
      </c>
      <c r="U156" s="10">
        <f ca="1">IFERROR('RPK (live)'!U156/'ASK (live)'!U156,"-")</f>
        <v>0.98374989351933972</v>
      </c>
      <c r="V156" s="10">
        <f ca="1">IFERROR('RPK (live)'!V156/'ASK (live)'!V156,"-")</f>
        <v>0.93755595066620667</v>
      </c>
      <c r="W156" s="10">
        <f ca="1">IFERROR('RPK (live)'!W156/'ASK (live)'!W156,"-")</f>
        <v>0.94122867805648014</v>
      </c>
      <c r="X156" s="10">
        <f ca="1">IFERROR('RPK (live)'!X156/'ASK (live)'!X156,"-")</f>
        <v>0.99051911298780171</v>
      </c>
      <c r="Y156" s="10">
        <f ca="1">IFERROR('RPK (live)'!Y156/'ASK (live)'!Y156,"-")</f>
        <v>0.95172341328922339</v>
      </c>
      <c r="Z156" s="10">
        <f ca="1">IFERROR('RPK (live)'!Z156/'ASK (live)'!Z156,"-")</f>
        <v>0.9593791824130391</v>
      </c>
      <c r="AA156" s="10">
        <f ca="1">IFERROR('RPK (live)'!AA156/'ASK (live)'!AA156,"-")</f>
        <v>0.92946216101918344</v>
      </c>
      <c r="AB156" s="10">
        <f ca="1">IFERROR('RPK (live)'!AB156/'ASK (live)'!AB156,"-")</f>
        <v>0.9674996587078305</v>
      </c>
      <c r="AC156" s="10">
        <f ca="1">IFERROR('RPK (live)'!AC156/'ASK (live)'!AC156,"-")</f>
        <v>0.96973761272722625</v>
      </c>
      <c r="AD156" s="10">
        <f ca="1">IFERROR('RPK (live)'!AD156/'ASK (live)'!AD156,"-")</f>
        <v>0.97464245949738426</v>
      </c>
      <c r="AE156" s="10">
        <f ca="1">IFERROR('RPK (live)'!AE156/'ASK (live)'!AE156,"-")</f>
        <v>0.87748318624523447</v>
      </c>
    </row>
    <row r="157" spans="1:31">
      <c r="A157" s="1" t="s">
        <v>152</v>
      </c>
      <c r="B157" s="5" t="s">
        <v>188</v>
      </c>
      <c r="C157" s="5" t="s">
        <v>189</v>
      </c>
      <c r="D157" s="5" t="s">
        <v>21</v>
      </c>
      <c r="E157" s="5" t="s">
        <v>20</v>
      </c>
      <c r="F157" s="5" t="s">
        <v>24</v>
      </c>
      <c r="G157" s="6"/>
      <c r="H157" s="6"/>
      <c r="I157" s="6"/>
      <c r="J157" s="6"/>
      <c r="K157" s="6"/>
      <c r="L157" s="10">
        <f ca="1">IFERROR('RPK (live)'!L157/'ASK (live)'!L157,"-")</f>
        <v>0.91</v>
      </c>
      <c r="M157" s="10">
        <f ca="1">IFERROR('RPK (live)'!M157/'ASK (live)'!M157,"-")</f>
        <v>0.94161763028877865</v>
      </c>
      <c r="N157" s="10">
        <f ca="1">IFERROR('RPK (live)'!N157/'ASK (live)'!N157,"-")</f>
        <v>0.89000000000000012</v>
      </c>
      <c r="O157" s="10">
        <f ca="1">IFERROR('RPK (live)'!O157/'ASK (live)'!O157,"-")</f>
        <v>0.83499999999999985</v>
      </c>
      <c r="P157" s="10">
        <f ca="1">IFERROR('RPK (live)'!P157/'ASK (live)'!P157,"-")</f>
        <v>0.9</v>
      </c>
      <c r="Q157" s="10">
        <f ca="1">IFERROR('RPK (live)'!Q157/'ASK (live)'!Q157,"-")</f>
        <v>0.81699999999999984</v>
      </c>
      <c r="R157" s="10">
        <f ca="1">IFERROR('RPK (live)'!R157/'ASK (live)'!R157,"-")</f>
        <v>0.82</v>
      </c>
      <c r="S157" s="10">
        <f ca="1">IFERROR('RPK (live)'!S157/'ASK (live)'!S157,"-")</f>
        <v>0.84999999999999976</v>
      </c>
      <c r="T157" s="10">
        <f ca="1">IFERROR('RPK (live)'!T157/'ASK (live)'!T157,"-")</f>
        <v>0.7823694395370957</v>
      </c>
      <c r="U157" s="10">
        <f ca="1">IFERROR('RPK (live)'!U157/'ASK (live)'!U157,"-")</f>
        <v>0.74434932799076003</v>
      </c>
      <c r="V157" s="10">
        <f ca="1">IFERROR('RPK (live)'!V157/'ASK (live)'!V157,"-")</f>
        <v>0.88935980747720167</v>
      </c>
      <c r="W157" s="10">
        <f ca="1">IFERROR('RPK (live)'!W157/'ASK (live)'!W157,"-")</f>
        <v>0.89009117481899935</v>
      </c>
      <c r="X157" s="10">
        <f ca="1">IFERROR('RPK (live)'!X157/'ASK (live)'!X157,"-")</f>
        <v>0.92346844515254867</v>
      </c>
      <c r="Y157" s="10">
        <f ca="1">IFERROR('RPK (live)'!Y157/'ASK (live)'!Y157,"-")</f>
        <v>0.94672688177078634</v>
      </c>
      <c r="Z157" s="10">
        <f ca="1">IFERROR('RPK (live)'!Z157/'ASK (live)'!Z157,"-")</f>
        <v>0.89858208999377265</v>
      </c>
      <c r="AA157" s="10">
        <f ca="1">IFERROR('RPK (live)'!AA157/'ASK (live)'!AA157,"-")</f>
        <v>0.81824888312881594</v>
      </c>
      <c r="AB157" s="10">
        <f ca="1">IFERROR('RPK (live)'!AB157/'ASK (live)'!AB157,"-")</f>
        <v>0.88514678827150939</v>
      </c>
      <c r="AC157" s="10">
        <f ca="1">IFERROR('RPK (live)'!AC157/'ASK (live)'!AC157,"-")</f>
        <v>0.81104114072171796</v>
      </c>
      <c r="AD157" s="10">
        <f ca="1">IFERROR('RPK (live)'!AD157/'ASK (live)'!AD157,"-")</f>
        <v>0.8602787926108304</v>
      </c>
      <c r="AE157" s="10">
        <f ca="1">IFERROR('RPK (live)'!AE157/'ASK (live)'!AE157,"-")</f>
        <v>0.89500768405289666</v>
      </c>
    </row>
    <row r="158" spans="1:31">
      <c r="A158" s="1" t="s">
        <v>152</v>
      </c>
      <c r="B158" s="5" t="s">
        <v>18</v>
      </c>
      <c r="C158" s="5" t="s">
        <v>19</v>
      </c>
      <c r="D158" s="5" t="s">
        <v>20</v>
      </c>
      <c r="E158" s="5" t="s">
        <v>21</v>
      </c>
      <c r="F158" s="5" t="s">
        <v>24</v>
      </c>
      <c r="G158" s="6"/>
      <c r="H158" s="6"/>
      <c r="I158" s="6"/>
      <c r="J158" s="6"/>
      <c r="K158" s="6"/>
      <c r="L158" s="10">
        <f ca="1">IFERROR('RPK (live)'!L158/'ASK (live)'!L158,"-")</f>
        <v>0.91</v>
      </c>
      <c r="M158" s="10">
        <f ca="1">IFERROR('RPK (live)'!M158/'ASK (live)'!M158,"-")</f>
        <v>0.94161763028877865</v>
      </c>
      <c r="N158" s="10">
        <f ca="1">IFERROR('RPK (live)'!N158/'ASK (live)'!N158,"-")</f>
        <v>0.89000000000000012</v>
      </c>
      <c r="O158" s="10">
        <f ca="1">IFERROR('RPK (live)'!O158/'ASK (live)'!O158,"-")</f>
        <v>0.83499999999999985</v>
      </c>
      <c r="P158" s="10">
        <f ca="1">IFERROR('RPK (live)'!P158/'ASK (live)'!P158,"-")</f>
        <v>0.9</v>
      </c>
      <c r="Q158" s="10">
        <f ca="1">IFERROR('RPK (live)'!Q158/'ASK (live)'!Q158,"-")</f>
        <v>0.81699999999999984</v>
      </c>
      <c r="R158" s="10">
        <f ca="1">IFERROR('RPK (live)'!R158/'ASK (live)'!R158,"-")</f>
        <v>0.82</v>
      </c>
      <c r="S158" s="10">
        <f ca="1">IFERROR('RPK (live)'!S158/'ASK (live)'!S158,"-")</f>
        <v>0.84999999999999976</v>
      </c>
      <c r="T158" s="10">
        <f ca="1">IFERROR('RPK (live)'!T158/'ASK (live)'!T158,"-")</f>
        <v>0.7823694395370957</v>
      </c>
      <c r="U158" s="10">
        <f ca="1">IFERROR('RPK (live)'!U158/'ASK (live)'!U158,"-")</f>
        <v>0.74434932799076003</v>
      </c>
      <c r="V158" s="10">
        <f ca="1">IFERROR('RPK (live)'!V158/'ASK (live)'!V158,"-")</f>
        <v>0.88935980747720167</v>
      </c>
      <c r="W158" s="10">
        <f ca="1">IFERROR('RPK (live)'!W158/'ASK (live)'!W158,"-")</f>
        <v>0.89009117481899935</v>
      </c>
      <c r="X158" s="10">
        <f ca="1">IFERROR('RPK (live)'!X158/'ASK (live)'!X158,"-")</f>
        <v>0.92346844515254867</v>
      </c>
      <c r="Y158" s="10">
        <f ca="1">IFERROR('RPK (live)'!Y158/'ASK (live)'!Y158,"-")</f>
        <v>0.94672688177078634</v>
      </c>
      <c r="Z158" s="10">
        <f ca="1">IFERROR('RPK (live)'!Z158/'ASK (live)'!Z158,"-")</f>
        <v>0.89858208999377265</v>
      </c>
      <c r="AA158" s="10">
        <f ca="1">IFERROR('RPK (live)'!AA158/'ASK (live)'!AA158,"-")</f>
        <v>0.81824888312881594</v>
      </c>
      <c r="AB158" s="10">
        <f ca="1">IFERROR('RPK (live)'!AB158/'ASK (live)'!AB158,"-")</f>
        <v>0.88514678827150939</v>
      </c>
      <c r="AC158" s="10">
        <f ca="1">IFERROR('RPK (live)'!AC158/'ASK (live)'!AC158,"-")</f>
        <v>0.81104114072171796</v>
      </c>
      <c r="AD158" s="10">
        <f ca="1">IFERROR('RPK (live)'!AD158/'ASK (live)'!AD158,"-")</f>
        <v>0.8602787926108304</v>
      </c>
      <c r="AE158" s="10">
        <f ca="1">IFERROR('RPK (live)'!AE158/'ASK (live)'!AE158,"-")</f>
        <v>0.89500768405289666</v>
      </c>
    </row>
    <row r="159" spans="1:31">
      <c r="A159" s="1" t="s">
        <v>152</v>
      </c>
      <c r="B159" s="5" t="s">
        <v>190</v>
      </c>
      <c r="C159" s="5" t="s">
        <v>191</v>
      </c>
      <c r="D159" s="5" t="s">
        <v>21</v>
      </c>
      <c r="E159" s="5" t="s">
        <v>73</v>
      </c>
      <c r="F159" s="5" t="s">
        <v>24</v>
      </c>
      <c r="G159" s="6"/>
      <c r="H159" s="6"/>
      <c r="I159" s="6"/>
      <c r="J159" s="6"/>
      <c r="K159" s="6"/>
      <c r="L159" s="10">
        <f ca="1">IFERROR('RPK (live)'!L159/'ASK (live)'!L159,"-")</f>
        <v>0.9</v>
      </c>
      <c r="M159" s="10">
        <f ca="1">IFERROR('RPK (live)'!M159/'ASK (live)'!M159,"-")</f>
        <v>0.88086810575401864</v>
      </c>
      <c r="N159" s="10">
        <f ca="1">IFERROR('RPK (live)'!N159/'ASK (live)'!N159,"-")</f>
        <v>0.9</v>
      </c>
      <c r="O159" s="10">
        <f ca="1">IFERROR('RPK (live)'!O159/'ASK (live)'!O159,"-")</f>
        <v>0.89000000000000012</v>
      </c>
      <c r="P159" s="10">
        <f ca="1">IFERROR('RPK (live)'!P159/'ASK (live)'!P159,"-")</f>
        <v>0.95999999999999985</v>
      </c>
      <c r="Q159" s="10">
        <f ca="1">IFERROR('RPK (live)'!Q159/'ASK (live)'!Q159,"-")</f>
        <v>0.82999999999999985</v>
      </c>
      <c r="R159" s="10">
        <f ca="1">IFERROR('RPK (live)'!R159/'ASK (live)'!R159,"-")</f>
        <v>0.71</v>
      </c>
      <c r="S159" s="10">
        <f ca="1">IFERROR('RPK (live)'!S159/'ASK (live)'!S159,"-")</f>
        <v>0.68000000000000016</v>
      </c>
      <c r="T159" s="10">
        <f ca="1">IFERROR('RPK (live)'!T159/'ASK (live)'!T159,"-")</f>
        <v>0.7154485538064641</v>
      </c>
      <c r="U159" s="10">
        <f ca="1">IFERROR('RPK (live)'!U159/'ASK (live)'!U159,"-")</f>
        <v>0.69862977161323903</v>
      </c>
      <c r="V159" s="10">
        <f ca="1">IFERROR('RPK (live)'!V159/'ASK (live)'!V159,"-")</f>
        <v>0.74841503634263373</v>
      </c>
      <c r="W159" s="10">
        <f ca="1">IFERROR('RPK (live)'!W159/'ASK (live)'!W159,"-")</f>
        <v>0.83039585815432015</v>
      </c>
      <c r="X159" s="10">
        <f ca="1">IFERROR('RPK (live)'!X159/'ASK (live)'!X159,"-")</f>
        <v>0.95504872182851641</v>
      </c>
      <c r="Y159" s="10">
        <f ca="1">IFERROR('RPK (live)'!Y159/'ASK (live)'!Y159,"-")</f>
        <v>0.97094443048401391</v>
      </c>
      <c r="Z159" s="10">
        <f ca="1">IFERROR('RPK (live)'!Z159/'ASK (live)'!Z159,"-")</f>
        <v>0.91561098869006496</v>
      </c>
      <c r="AA159" s="10">
        <f ca="1">IFERROR('RPK (live)'!AA159/'ASK (live)'!AA159,"-")</f>
        <v>0.91031338561264696</v>
      </c>
      <c r="AB159" s="10">
        <f ca="1">IFERROR('RPK (live)'!AB159/'ASK (live)'!AB159,"-")</f>
        <v>0.98502476310377463</v>
      </c>
      <c r="AC159" s="10">
        <f ca="1">IFERROR('RPK (live)'!AC159/'ASK (live)'!AC159,"-")</f>
        <v>0.86755565768886678</v>
      </c>
      <c r="AD159" s="10">
        <f ca="1">IFERROR('RPK (live)'!AD159/'ASK (live)'!AD159,"-")</f>
        <v>0.76144271342262371</v>
      </c>
      <c r="AE159" s="10">
        <f ca="1">IFERROR('RPK (live)'!AE159/'ASK (live)'!AE159,"-")</f>
        <v>0.68228423342661937</v>
      </c>
    </row>
    <row r="160" spans="1:31">
      <c r="A160" s="1" t="s">
        <v>152</v>
      </c>
      <c r="B160" s="5" t="s">
        <v>71</v>
      </c>
      <c r="C160" s="5" t="s">
        <v>72</v>
      </c>
      <c r="D160" s="5" t="s">
        <v>73</v>
      </c>
      <c r="E160" s="5" t="s">
        <v>21</v>
      </c>
      <c r="F160" s="5" t="s">
        <v>24</v>
      </c>
      <c r="G160" s="6"/>
      <c r="H160" s="6"/>
      <c r="I160" s="6"/>
      <c r="J160" s="6"/>
      <c r="K160" s="6"/>
      <c r="L160" s="10">
        <f ca="1">IFERROR('RPK (live)'!L160/'ASK (live)'!L160,"-")</f>
        <v>0.9</v>
      </c>
      <c r="M160" s="10">
        <f ca="1">IFERROR('RPK (live)'!M160/'ASK (live)'!M160,"-")</f>
        <v>0.88086810575401864</v>
      </c>
      <c r="N160" s="10">
        <f ca="1">IFERROR('RPK (live)'!N160/'ASK (live)'!N160,"-")</f>
        <v>0.9</v>
      </c>
      <c r="O160" s="10">
        <f ca="1">IFERROR('RPK (live)'!O160/'ASK (live)'!O160,"-")</f>
        <v>0.89000000000000012</v>
      </c>
      <c r="P160" s="10">
        <f ca="1">IFERROR('RPK (live)'!P160/'ASK (live)'!P160,"-")</f>
        <v>0.95999999999999985</v>
      </c>
      <c r="Q160" s="10">
        <f ca="1">IFERROR('RPK (live)'!Q160/'ASK (live)'!Q160,"-")</f>
        <v>0.82999999999999985</v>
      </c>
      <c r="R160" s="10">
        <f ca="1">IFERROR('RPK (live)'!R160/'ASK (live)'!R160,"-")</f>
        <v>0.71</v>
      </c>
      <c r="S160" s="10">
        <f ca="1">IFERROR('RPK (live)'!S160/'ASK (live)'!S160,"-")</f>
        <v>0.68000000000000016</v>
      </c>
      <c r="T160" s="10">
        <f ca="1">IFERROR('RPK (live)'!T160/'ASK (live)'!T160,"-")</f>
        <v>0.7154485538064641</v>
      </c>
      <c r="U160" s="10">
        <f ca="1">IFERROR('RPK (live)'!U160/'ASK (live)'!U160,"-")</f>
        <v>0.69862977161323903</v>
      </c>
      <c r="V160" s="10">
        <f ca="1">IFERROR('RPK (live)'!V160/'ASK (live)'!V160,"-")</f>
        <v>0.74841503634263373</v>
      </c>
      <c r="W160" s="10">
        <f ca="1">IFERROR('RPK (live)'!W160/'ASK (live)'!W160,"-")</f>
        <v>0.83039585815432015</v>
      </c>
      <c r="X160" s="10">
        <f ca="1">IFERROR('RPK (live)'!X160/'ASK (live)'!X160,"-")</f>
        <v>0.95504872182851641</v>
      </c>
      <c r="Y160" s="10">
        <f ca="1">IFERROR('RPK (live)'!Y160/'ASK (live)'!Y160,"-")</f>
        <v>0.97094443048401391</v>
      </c>
      <c r="Z160" s="10">
        <f ca="1">IFERROR('RPK (live)'!Z160/'ASK (live)'!Z160,"-")</f>
        <v>0.91561098869006496</v>
      </c>
      <c r="AA160" s="10">
        <f ca="1">IFERROR('RPK (live)'!AA160/'ASK (live)'!AA160,"-")</f>
        <v>0.91031338561264696</v>
      </c>
      <c r="AB160" s="10">
        <f ca="1">IFERROR('RPK (live)'!AB160/'ASK (live)'!AB160,"-")</f>
        <v>0.98502476310377463</v>
      </c>
      <c r="AC160" s="10">
        <f ca="1">IFERROR('RPK (live)'!AC160/'ASK (live)'!AC160,"-")</f>
        <v>0.86755565768886678</v>
      </c>
      <c r="AD160" s="10">
        <f ca="1">IFERROR('RPK (live)'!AD160/'ASK (live)'!AD160,"-")</f>
        <v>0.76144271342262371</v>
      </c>
      <c r="AE160" s="10">
        <f ca="1">IFERROR('RPK (live)'!AE160/'ASK (live)'!AE160,"-")</f>
        <v>0.68228423342661937</v>
      </c>
    </row>
    <row r="161" spans="1:31">
      <c r="A161" s="1" t="s">
        <v>152</v>
      </c>
      <c r="B161" s="5" t="s">
        <v>192</v>
      </c>
      <c r="C161" s="5" t="s">
        <v>193</v>
      </c>
      <c r="D161" s="5" t="s">
        <v>21</v>
      </c>
      <c r="E161" s="5" t="s">
        <v>194</v>
      </c>
      <c r="F161" s="5" t="s">
        <v>24</v>
      </c>
      <c r="G161" s="6"/>
      <c r="H161" s="6"/>
      <c r="I161" s="6"/>
      <c r="J161" s="6"/>
      <c r="K161" s="6"/>
      <c r="L161" s="10">
        <f ca="1">IFERROR('RPK (live)'!L161/'ASK (live)'!L161,"-")</f>
        <v>0.75</v>
      </c>
      <c r="M161" s="10">
        <f ca="1">IFERROR('RPK (live)'!M161/'ASK (live)'!M161,"-")</f>
        <v>0.83024350197505214</v>
      </c>
      <c r="N161" s="10">
        <f ca="1">IFERROR('RPK (live)'!N161/'ASK (live)'!N161,"-")</f>
        <v>0.82</v>
      </c>
      <c r="O161" s="10">
        <f ca="1">IFERROR('RPK (live)'!O161/'ASK (live)'!O161,"-")</f>
        <v>0.72</v>
      </c>
      <c r="P161" s="10">
        <f ca="1">IFERROR('RPK (live)'!P161/'ASK (live)'!P161,"-")</f>
        <v>0.8899999999999999</v>
      </c>
      <c r="Q161" s="10">
        <f ca="1">IFERROR('RPK (live)'!Q161/'ASK (live)'!Q161,"-")</f>
        <v>0.89</v>
      </c>
      <c r="R161" s="10">
        <f ca="1">IFERROR('RPK (live)'!R161/'ASK (live)'!R161,"-")</f>
        <v>0.8</v>
      </c>
      <c r="S161" s="10">
        <f ca="1">IFERROR('RPK (live)'!S161/'ASK (live)'!S161,"-")</f>
        <v>0.72000000000000008</v>
      </c>
      <c r="T161" s="10">
        <f ca="1">IFERROR('RPK (live)'!T161/'ASK (live)'!T161,"-")</f>
        <v>0.93853678529403728</v>
      </c>
      <c r="U161" s="10">
        <f ca="1">IFERROR('RPK (live)'!U161/'ASK (live)'!U161,"-")</f>
        <v>0.88647954151087449</v>
      </c>
      <c r="V161" s="10">
        <f ca="1">IFERROR('RPK (live)'!V161/'ASK (live)'!V161,"-")</f>
        <v>0.93078151853330504</v>
      </c>
      <c r="W161" s="10">
        <f ca="1">IFERROR('RPK (live)'!W161/'ASK (live)'!W161,"-")</f>
        <v>0.90668170221508793</v>
      </c>
      <c r="X161" s="10">
        <f ca="1">IFERROR('RPK (live)'!X161/'ASK (live)'!X161,"-")</f>
        <v>0.94311435601611415</v>
      </c>
      <c r="Y161" s="10">
        <f ca="1">IFERROR('RPK (live)'!Y161/'ASK (live)'!Y161,"-")</f>
        <v>0.96803304334879103</v>
      </c>
      <c r="Z161" s="10">
        <f ca="1">IFERROR('RPK (live)'!Z161/'ASK (live)'!Z161,"-")</f>
        <v>0.9458503932418687</v>
      </c>
      <c r="AA161" s="10">
        <f ca="1">IFERROR('RPK (live)'!AA161/'ASK (live)'!AA161,"-")</f>
        <v>0.90116707887664282</v>
      </c>
      <c r="AB161" s="10">
        <f ca="1">IFERROR('RPK (live)'!AB161/'ASK (live)'!AB161,"-")</f>
        <v>0.98853308433205223</v>
      </c>
      <c r="AC161" s="10">
        <f ca="1">IFERROR('RPK (live)'!AC161/'ASK (live)'!AC161,"-")</f>
        <v>0.99051911298780149</v>
      </c>
      <c r="AD161" s="10">
        <f ca="1">IFERROR('RPK (live)'!AD161/'ASK (live)'!AD161,"-")</f>
        <v>0.85724110806166687</v>
      </c>
      <c r="AE161" s="10">
        <f ca="1">IFERROR('RPK (live)'!AE161/'ASK (live)'!AE161,"-")</f>
        <v>0.85714757923681995</v>
      </c>
    </row>
    <row r="162" spans="1:31">
      <c r="A162" s="1" t="s">
        <v>152</v>
      </c>
      <c r="B162" s="5" t="s">
        <v>195</v>
      </c>
      <c r="C162" s="5" t="s">
        <v>196</v>
      </c>
      <c r="D162" s="5" t="s">
        <v>194</v>
      </c>
      <c r="E162" s="5" t="s">
        <v>21</v>
      </c>
      <c r="F162" s="5" t="s">
        <v>24</v>
      </c>
      <c r="G162" s="6"/>
      <c r="H162" s="6"/>
      <c r="I162" s="6"/>
      <c r="J162" s="6"/>
      <c r="K162" s="6"/>
      <c r="L162" s="10">
        <f ca="1">IFERROR('RPK (live)'!L162/'ASK (live)'!L162,"-")</f>
        <v>0.75</v>
      </c>
      <c r="M162" s="10">
        <f ca="1">IFERROR('RPK (live)'!M162/'ASK (live)'!M162,"-")</f>
        <v>0.83024350197505214</v>
      </c>
      <c r="N162" s="10">
        <f ca="1">IFERROR('RPK (live)'!N162/'ASK (live)'!N162,"-")</f>
        <v>0.82</v>
      </c>
      <c r="O162" s="10">
        <f ca="1">IFERROR('RPK (live)'!O162/'ASK (live)'!O162,"-")</f>
        <v>0.72</v>
      </c>
      <c r="P162" s="10">
        <f ca="1">IFERROR('RPK (live)'!P162/'ASK (live)'!P162,"-")</f>
        <v>0.8899999999999999</v>
      </c>
      <c r="Q162" s="10">
        <f ca="1">IFERROR('RPK (live)'!Q162/'ASK (live)'!Q162,"-")</f>
        <v>0.89</v>
      </c>
      <c r="R162" s="10">
        <f ca="1">IFERROR('RPK (live)'!R162/'ASK (live)'!R162,"-")</f>
        <v>0.8</v>
      </c>
      <c r="S162" s="10">
        <f ca="1">IFERROR('RPK (live)'!S162/'ASK (live)'!S162,"-")</f>
        <v>0.72000000000000008</v>
      </c>
      <c r="T162" s="10">
        <f ca="1">IFERROR('RPK (live)'!T162/'ASK (live)'!T162,"-")</f>
        <v>0.93853678529403728</v>
      </c>
      <c r="U162" s="10">
        <f ca="1">IFERROR('RPK (live)'!U162/'ASK (live)'!U162,"-")</f>
        <v>0.88647954151087449</v>
      </c>
      <c r="V162" s="10">
        <f ca="1">IFERROR('RPK (live)'!V162/'ASK (live)'!V162,"-")</f>
        <v>0.93078151853330504</v>
      </c>
      <c r="W162" s="10">
        <f ca="1">IFERROR('RPK (live)'!W162/'ASK (live)'!W162,"-")</f>
        <v>0.90668170221508793</v>
      </c>
      <c r="X162" s="10">
        <f ca="1">IFERROR('RPK (live)'!X162/'ASK (live)'!X162,"-")</f>
        <v>0.94311435601611415</v>
      </c>
      <c r="Y162" s="10">
        <f ca="1">IFERROR('RPK (live)'!Y162/'ASK (live)'!Y162,"-")</f>
        <v>0.96803304334879103</v>
      </c>
      <c r="Z162" s="10">
        <f ca="1">IFERROR('RPK (live)'!Z162/'ASK (live)'!Z162,"-")</f>
        <v>0.9458503932418687</v>
      </c>
      <c r="AA162" s="10">
        <f ca="1">IFERROR('RPK (live)'!AA162/'ASK (live)'!AA162,"-")</f>
        <v>0.90116707887664282</v>
      </c>
      <c r="AB162" s="10">
        <f ca="1">IFERROR('RPK (live)'!AB162/'ASK (live)'!AB162,"-")</f>
        <v>0.98853308433205223</v>
      </c>
      <c r="AC162" s="10">
        <f ca="1">IFERROR('RPK (live)'!AC162/'ASK (live)'!AC162,"-")</f>
        <v>0.99051911298780149</v>
      </c>
      <c r="AD162" s="10">
        <f ca="1">IFERROR('RPK (live)'!AD162/'ASK (live)'!AD162,"-")</f>
        <v>0.85724110806166687</v>
      </c>
      <c r="AE162" s="10">
        <f ca="1">IFERROR('RPK (live)'!AE162/'ASK (live)'!AE162,"-")</f>
        <v>0.85714757923681995</v>
      </c>
    </row>
    <row r="163" spans="1:31">
      <c r="A163" s="1" t="s">
        <v>152</v>
      </c>
      <c r="B163" s="5" t="s">
        <v>197</v>
      </c>
      <c r="C163" s="5" t="s">
        <v>198</v>
      </c>
      <c r="D163" s="5" t="s">
        <v>28</v>
      </c>
      <c r="E163" s="5" t="s">
        <v>20</v>
      </c>
      <c r="F163" s="5" t="s">
        <v>24</v>
      </c>
      <c r="G163" s="6"/>
      <c r="H163" s="6"/>
      <c r="I163" s="6"/>
      <c r="J163" s="6"/>
      <c r="K163" s="6"/>
      <c r="L163" s="10">
        <f ca="1">IFERROR('RPK (live)'!L163/'ASK (live)'!L163,"-")</f>
        <v>0.87</v>
      </c>
      <c r="M163" s="10">
        <f ca="1">IFERROR('RPK (live)'!M163/'ASK (live)'!M163,"-")</f>
        <v>0.84745586725990074</v>
      </c>
      <c r="N163" s="10">
        <f ca="1">IFERROR('RPK (live)'!N163/'ASK (live)'!N163,"-")</f>
        <v>0.77</v>
      </c>
      <c r="O163" s="10">
        <f ca="1">IFERROR('RPK (live)'!O163/'ASK (live)'!O163,"-")</f>
        <v>0.79</v>
      </c>
      <c r="P163" s="10">
        <f ca="1">IFERROR('RPK (live)'!P163/'ASK (live)'!P163,"-")</f>
        <v>0.88</v>
      </c>
      <c r="Q163" s="10">
        <f ca="1">IFERROR('RPK (live)'!Q163/'ASK (live)'!Q163,"-")</f>
        <v>0.88</v>
      </c>
      <c r="R163" s="10">
        <f ca="1">IFERROR('RPK (live)'!R163/'ASK (live)'!R163,"-")</f>
        <v>0.8</v>
      </c>
      <c r="S163" s="10">
        <f ca="1">IFERROR('RPK (live)'!S163/'ASK (live)'!S163,"-")</f>
        <v>0.745</v>
      </c>
      <c r="T163" s="10">
        <f ca="1">IFERROR('RPK (live)'!T163/'ASK (live)'!T163,"-")</f>
        <v>0.74931831680012462</v>
      </c>
      <c r="U163" s="10">
        <f ca="1">IFERROR('RPK (live)'!U163/'ASK (live)'!U163,"-")</f>
        <v>0.72843925410082488</v>
      </c>
      <c r="V163" s="10">
        <f ca="1">IFERROR('RPK (live)'!V163/'ASK (live)'!V163,"-")</f>
        <v>0.86008578608571706</v>
      </c>
      <c r="W163" s="10">
        <f ca="1">IFERROR('RPK (live)'!W163/'ASK (live)'!W163,"-")</f>
        <v>0.88158935051412946</v>
      </c>
      <c r="X163" s="10">
        <f ca="1">IFERROR('RPK (live)'!X163/'ASK (live)'!X163,"-")</f>
        <v>0.87144339706094176</v>
      </c>
      <c r="Y163" s="10">
        <f ca="1">IFERROR('RPK (live)'!Y163/'ASK (live)'!Y163,"-")</f>
        <v>0.90284261388448039</v>
      </c>
      <c r="Z163" s="10">
        <f ca="1">IFERROR('RPK (live)'!Z163/'ASK (live)'!Z163,"-")</f>
        <v>0.90221789709333677</v>
      </c>
      <c r="AA163" s="10">
        <f ca="1">IFERROR('RPK (live)'!AA163/'ASK (live)'!AA163,"-")</f>
        <v>0.86274723917411034</v>
      </c>
      <c r="AB163" s="10">
        <f ca="1">IFERROR('RPK (live)'!AB163/'ASK (live)'!AB163,"-")</f>
        <v>0.88212014068149747</v>
      </c>
      <c r="AC163" s="10">
        <f ca="1">IFERROR('RPK (live)'!AC163/'ASK (live)'!AC163,"-")</f>
        <v>0.88358355962979096</v>
      </c>
      <c r="AD163" s="10">
        <f ca="1">IFERROR('RPK (live)'!AD163/'ASK (live)'!AD163,"-")</f>
        <v>0.84076712770460593</v>
      </c>
      <c r="AE163" s="10">
        <f ca="1">IFERROR('RPK (live)'!AE163/'ASK (live)'!AE163,"-")</f>
        <v>0.83548436895754885</v>
      </c>
    </row>
    <row r="164" spans="1:31">
      <c r="A164" s="1" t="s">
        <v>152</v>
      </c>
      <c r="B164" s="5" t="s">
        <v>26</v>
      </c>
      <c r="C164" s="5" t="s">
        <v>27</v>
      </c>
      <c r="D164" s="5" t="s">
        <v>20</v>
      </c>
      <c r="E164" s="5" t="s">
        <v>28</v>
      </c>
      <c r="F164" s="5" t="s">
        <v>24</v>
      </c>
      <c r="G164" s="6"/>
      <c r="H164" s="6"/>
      <c r="I164" s="6"/>
      <c r="J164" s="6"/>
      <c r="K164" s="6"/>
      <c r="L164" s="10">
        <f ca="1">IFERROR('RPK (live)'!L164/'ASK (live)'!L164,"-")</f>
        <v>0.87</v>
      </c>
      <c r="M164" s="10">
        <f ca="1">IFERROR('RPK (live)'!M164/'ASK (live)'!M164,"-")</f>
        <v>0.84745586725990074</v>
      </c>
      <c r="N164" s="10">
        <f ca="1">IFERROR('RPK (live)'!N164/'ASK (live)'!N164,"-")</f>
        <v>0.77</v>
      </c>
      <c r="O164" s="10">
        <f ca="1">IFERROR('RPK (live)'!O164/'ASK (live)'!O164,"-")</f>
        <v>0.79</v>
      </c>
      <c r="P164" s="10">
        <f ca="1">IFERROR('RPK (live)'!P164/'ASK (live)'!P164,"-")</f>
        <v>0.88</v>
      </c>
      <c r="Q164" s="10">
        <f ca="1">IFERROR('RPK (live)'!Q164/'ASK (live)'!Q164,"-")</f>
        <v>0.88</v>
      </c>
      <c r="R164" s="10">
        <f ca="1">IFERROR('RPK (live)'!R164/'ASK (live)'!R164,"-")</f>
        <v>0.8</v>
      </c>
      <c r="S164" s="10">
        <f ca="1">IFERROR('RPK (live)'!S164/'ASK (live)'!S164,"-")</f>
        <v>0.745</v>
      </c>
      <c r="T164" s="10">
        <f ca="1">IFERROR('RPK (live)'!T164/'ASK (live)'!T164,"-")</f>
        <v>0.74931831680012462</v>
      </c>
      <c r="U164" s="10">
        <f ca="1">IFERROR('RPK (live)'!U164/'ASK (live)'!U164,"-")</f>
        <v>0.72843925410082488</v>
      </c>
      <c r="V164" s="10">
        <f ca="1">IFERROR('RPK (live)'!V164/'ASK (live)'!V164,"-")</f>
        <v>0.86008578608571706</v>
      </c>
      <c r="W164" s="10">
        <f ca="1">IFERROR('RPK (live)'!W164/'ASK (live)'!W164,"-")</f>
        <v>0.88158935051412946</v>
      </c>
      <c r="X164" s="10">
        <f ca="1">IFERROR('RPK (live)'!X164/'ASK (live)'!X164,"-")</f>
        <v>0.87144339706094176</v>
      </c>
      <c r="Y164" s="10">
        <f ca="1">IFERROR('RPK (live)'!Y164/'ASK (live)'!Y164,"-")</f>
        <v>0.90284261388448039</v>
      </c>
      <c r="Z164" s="10">
        <f ca="1">IFERROR('RPK (live)'!Z164/'ASK (live)'!Z164,"-")</f>
        <v>0.90221789709333677</v>
      </c>
      <c r="AA164" s="10">
        <f ca="1">IFERROR('RPK (live)'!AA164/'ASK (live)'!AA164,"-")</f>
        <v>0.86274723917411034</v>
      </c>
      <c r="AB164" s="10">
        <f ca="1">IFERROR('RPK (live)'!AB164/'ASK (live)'!AB164,"-")</f>
        <v>0.88212014068149747</v>
      </c>
      <c r="AC164" s="10">
        <f ca="1">IFERROR('RPK (live)'!AC164/'ASK (live)'!AC164,"-")</f>
        <v>0.88358355962979096</v>
      </c>
      <c r="AD164" s="10">
        <f ca="1">IFERROR('RPK (live)'!AD164/'ASK (live)'!AD164,"-")</f>
        <v>0.84076712770460593</v>
      </c>
      <c r="AE164" s="10">
        <f ca="1">IFERROR('RPK (live)'!AE164/'ASK (live)'!AE164,"-")</f>
        <v>0.83548436895754885</v>
      </c>
    </row>
    <row r="165" spans="1:31">
      <c r="A165" s="1" t="s">
        <v>152</v>
      </c>
      <c r="B165" s="5" t="s">
        <v>199</v>
      </c>
      <c r="C165" s="5" t="s">
        <v>189</v>
      </c>
      <c r="D165" s="5" t="s">
        <v>21</v>
      </c>
      <c r="E165" s="5" t="s">
        <v>20</v>
      </c>
      <c r="F165" s="5" t="s">
        <v>24</v>
      </c>
      <c r="G165" s="6"/>
      <c r="H165" s="6"/>
      <c r="I165" s="6"/>
      <c r="J165" s="6"/>
      <c r="K165" s="6"/>
      <c r="L165" s="10" t="str">
        <f ca="1">IFERROR('RPK (live)'!L165/'ASK (live)'!L165,"-")</f>
        <v>-</v>
      </c>
      <c r="M165" s="10" t="str">
        <f ca="1">IFERROR('RPK (live)'!M165/'ASK (live)'!M165,"-")</f>
        <v>-</v>
      </c>
      <c r="N165" s="10" t="str">
        <f ca="1">IFERROR('RPK (live)'!N165/'ASK (live)'!N165,"-")</f>
        <v>-</v>
      </c>
      <c r="O165" s="10">
        <f ca="1">IFERROR('RPK (live)'!O165/'ASK (live)'!O165,"-")</f>
        <v>0.83500000000000008</v>
      </c>
      <c r="P165" s="10" t="str">
        <f ca="1">IFERROR('RPK (live)'!P165/'ASK (live)'!P165,"-")</f>
        <v>-</v>
      </c>
      <c r="Q165" s="10" t="str">
        <f ca="1">IFERROR('RPK (live)'!Q165/'ASK (live)'!Q165,"-")</f>
        <v>-</v>
      </c>
      <c r="R165" s="10" t="str">
        <f ca="1">IFERROR('RPK (live)'!R165/'ASK (live)'!R165,"-")</f>
        <v>-</v>
      </c>
      <c r="S165" s="10" t="str">
        <f ca="1">IFERROR('RPK (live)'!S165/'ASK (live)'!S165,"-")</f>
        <v>-</v>
      </c>
      <c r="T165" s="10" t="str">
        <f ca="1">IFERROR('RPK (live)'!T165/'ASK (live)'!T165,"-")</f>
        <v>-</v>
      </c>
      <c r="U165" s="10" t="str">
        <f ca="1">IFERROR('RPK (live)'!U165/'ASK (live)'!U165,"-")</f>
        <v>-</v>
      </c>
      <c r="V165" s="10">
        <f ca="1">IFERROR('RPK (live)'!V165/'ASK (live)'!V165,"-")</f>
        <v>0.88935980747720178</v>
      </c>
      <c r="W165" s="10">
        <f ca="1">IFERROR('RPK (live)'!W165/'ASK (live)'!W165,"-")</f>
        <v>0.89009117481899935</v>
      </c>
      <c r="X165" s="10">
        <f ca="1">IFERROR('RPK (live)'!X165/'ASK (live)'!X165,"-")</f>
        <v>0.92346844515254867</v>
      </c>
      <c r="Y165" s="10">
        <f ca="1">IFERROR('RPK (live)'!Y165/'ASK (live)'!Y165,"-")</f>
        <v>0.94672688177078634</v>
      </c>
      <c r="Z165" s="10">
        <f ca="1">IFERROR('RPK (live)'!Z165/'ASK (live)'!Z165,"-")</f>
        <v>0.89858208999377265</v>
      </c>
      <c r="AA165" s="10">
        <f ca="1">IFERROR('RPK (live)'!AA165/'ASK (live)'!AA165,"-")</f>
        <v>0.81824888312881594</v>
      </c>
      <c r="AB165" s="10">
        <f ca="1">IFERROR('RPK (live)'!AB165/'ASK (live)'!AB165,"-")</f>
        <v>0.88514678827150939</v>
      </c>
      <c r="AC165" s="10">
        <f ca="1">IFERROR('RPK (live)'!AC165/'ASK (live)'!AC165,"-")</f>
        <v>0.81104114072171807</v>
      </c>
      <c r="AD165" s="10" t="str">
        <f ca="1">IFERROR('RPK (live)'!AD165/'ASK (live)'!AD165,"-")</f>
        <v>-</v>
      </c>
      <c r="AE165" s="10" t="str">
        <f ca="1">IFERROR('RPK (live)'!AE165/'ASK (live)'!AE165,"-")</f>
        <v>-</v>
      </c>
    </row>
    <row r="166" spans="1:31">
      <c r="A166" s="1" t="s">
        <v>152</v>
      </c>
      <c r="B166" s="5" t="s">
        <v>23</v>
      </c>
      <c r="C166" s="5" t="s">
        <v>19</v>
      </c>
      <c r="D166" s="5" t="s">
        <v>20</v>
      </c>
      <c r="E166" s="5" t="s">
        <v>21</v>
      </c>
      <c r="F166" s="5" t="s">
        <v>24</v>
      </c>
      <c r="G166" s="6"/>
      <c r="H166" s="6"/>
      <c r="I166" s="6"/>
      <c r="J166" s="6"/>
      <c r="K166" s="6"/>
      <c r="L166" s="10" t="str">
        <f ca="1">IFERROR('RPK (live)'!L166/'ASK (live)'!L166,"-")</f>
        <v>-</v>
      </c>
      <c r="M166" s="10" t="str">
        <f ca="1">IFERROR('RPK (live)'!M166/'ASK (live)'!M166,"-")</f>
        <v>-</v>
      </c>
      <c r="N166" s="10" t="str">
        <f ca="1">IFERROR('RPK (live)'!N166/'ASK (live)'!N166,"-")</f>
        <v>-</v>
      </c>
      <c r="O166" s="10" t="str">
        <f ca="1">IFERROR('RPK (live)'!O166/'ASK (live)'!O166,"-")</f>
        <v>-</v>
      </c>
      <c r="P166" s="10" t="str">
        <f ca="1">IFERROR('RPK (live)'!P166/'ASK (live)'!P166,"-")</f>
        <v>-</v>
      </c>
      <c r="Q166" s="10" t="str">
        <f ca="1">IFERROR('RPK (live)'!Q166/'ASK (live)'!Q166,"-")</f>
        <v>-</v>
      </c>
      <c r="R166" s="10" t="str">
        <f ca="1">IFERROR('RPK (live)'!R166/'ASK (live)'!R166,"-")</f>
        <v>-</v>
      </c>
      <c r="S166" s="10" t="str">
        <f ca="1">IFERROR('RPK (live)'!S166/'ASK (live)'!S166,"-")</f>
        <v>-</v>
      </c>
      <c r="T166" s="10" t="str">
        <f ca="1">IFERROR('RPK (live)'!T166/'ASK (live)'!T166,"-")</f>
        <v>-</v>
      </c>
      <c r="U166" s="10" t="str">
        <f ca="1">IFERROR('RPK (live)'!U166/'ASK (live)'!U166,"-")</f>
        <v>-</v>
      </c>
      <c r="V166" s="10">
        <f ca="1">IFERROR('RPK (live)'!V166/'ASK (live)'!V166,"-")</f>
        <v>0.88935980747720178</v>
      </c>
      <c r="W166" s="10">
        <f ca="1">IFERROR('RPK (live)'!W166/'ASK (live)'!W166,"-")</f>
        <v>0.89009117481899935</v>
      </c>
      <c r="X166" s="10">
        <f ca="1">IFERROR('RPK (live)'!X166/'ASK (live)'!X166,"-")</f>
        <v>0.92346844515254867</v>
      </c>
      <c r="Y166" s="10">
        <f ca="1">IFERROR('RPK (live)'!Y166/'ASK (live)'!Y166,"-")</f>
        <v>0.94672688177078634</v>
      </c>
      <c r="Z166" s="10">
        <f ca="1">IFERROR('RPK (live)'!Z166/'ASK (live)'!Z166,"-")</f>
        <v>0.89858208999377265</v>
      </c>
      <c r="AA166" s="10">
        <f ca="1">IFERROR('RPK (live)'!AA166/'ASK (live)'!AA166,"-")</f>
        <v>0.81824888312881594</v>
      </c>
      <c r="AB166" s="10">
        <f ca="1">IFERROR('RPK (live)'!AB166/'ASK (live)'!AB166,"-")</f>
        <v>0.88514678827150939</v>
      </c>
      <c r="AC166" s="10">
        <f ca="1">IFERROR('RPK (live)'!AC166/'ASK (live)'!AC166,"-")</f>
        <v>0.81104114072171807</v>
      </c>
      <c r="AD166" s="10" t="str">
        <f ca="1">IFERROR('RPK (live)'!AD166/'ASK (live)'!AD166,"-")</f>
        <v>-</v>
      </c>
      <c r="AE166" s="10" t="str">
        <f ca="1">IFERROR('RPK (live)'!AE166/'ASK (live)'!AE166,"-")</f>
        <v>-</v>
      </c>
    </row>
    <row r="167" spans="1:31">
      <c r="A167" s="1" t="s">
        <v>152</v>
      </c>
      <c r="B167" s="5" t="s">
        <v>200</v>
      </c>
      <c r="C167" s="5" t="s">
        <v>161</v>
      </c>
      <c r="D167" s="5" t="s">
        <v>21</v>
      </c>
      <c r="E167" s="5" t="s">
        <v>69</v>
      </c>
      <c r="F167" s="5" t="s">
        <v>24</v>
      </c>
      <c r="G167" s="6"/>
      <c r="H167" s="6"/>
      <c r="I167" s="6"/>
      <c r="J167" s="6"/>
      <c r="K167" s="6"/>
      <c r="L167" s="10">
        <f ca="1">IFERROR('RPK (live)'!L167/'ASK (live)'!L167,"-")</f>
        <v>0.80000000000000016</v>
      </c>
      <c r="M167" s="10">
        <f ca="1">IFERROR('RPK (live)'!M167/'ASK (live)'!M167,"-")</f>
        <v>0.79986873970767236</v>
      </c>
      <c r="N167" s="10">
        <f ca="1">IFERROR('RPK (live)'!N167/'ASK (live)'!N167,"-")</f>
        <v>0.81</v>
      </c>
      <c r="O167" s="10">
        <f ca="1">IFERROR('RPK (live)'!O167/'ASK (live)'!O167,"-")</f>
        <v>0.8</v>
      </c>
      <c r="P167" s="10">
        <f ca="1">IFERROR('RPK (live)'!P167/'ASK (live)'!P167,"-")</f>
        <v>0.73999999999999988</v>
      </c>
      <c r="Q167" s="10">
        <f ca="1">IFERROR('RPK (live)'!Q167/'ASK (live)'!Q167,"-")</f>
        <v>0.85</v>
      </c>
      <c r="R167" s="10">
        <f ca="1">IFERROR('RPK (live)'!R167/'ASK (live)'!R167,"-")</f>
        <v>0.85</v>
      </c>
      <c r="S167" s="10">
        <f ca="1">IFERROR('RPK (live)'!S167/'ASK (live)'!S167,"-")</f>
        <v>0.82999999999999985</v>
      </c>
      <c r="T167" s="10">
        <f ca="1">IFERROR('RPK (live)'!T167/'ASK (live)'!T167,"-")</f>
        <v>0.92703999698206851</v>
      </c>
      <c r="U167" s="10">
        <f ca="1">IFERROR('RPK (live)'!U167/'ASK (live)'!U167,"-")</f>
        <v>0.88664511776404586</v>
      </c>
      <c r="V167" s="10">
        <f ca="1">IFERROR('RPK (live)'!V167/'ASK (live)'!V167,"-")</f>
        <v>0.95384375516849129</v>
      </c>
      <c r="W167" s="10">
        <f ca="1">IFERROR('RPK (live)'!W167/'ASK (live)'!W167,"-")</f>
        <v>0.89968639562882724</v>
      </c>
      <c r="X167" s="10">
        <f ca="1">IFERROR('RPK (live)'!X167/'ASK (live)'!X167,"-")</f>
        <v>0.89004202495125606</v>
      </c>
      <c r="Y167" s="10">
        <f ca="1">IFERROR('RPK (live)'!Y167/'ASK (live)'!Y167,"-")</f>
        <v>0.93161435743254295</v>
      </c>
      <c r="Z167" s="10">
        <f ca="1">IFERROR('RPK (live)'!Z167/'ASK (live)'!Z167,"-")</f>
        <v>0.92025991694358433</v>
      </c>
      <c r="AA167" s="10">
        <f ca="1">IFERROR('RPK (live)'!AA167/'ASK (live)'!AA167,"-")</f>
        <v>0.844048863819855</v>
      </c>
      <c r="AB167" s="10">
        <f ca="1">IFERROR('RPK (live)'!AB167/'ASK (live)'!AB167,"-")</f>
        <v>0.77179439068635836</v>
      </c>
      <c r="AC167" s="10">
        <f ca="1">IFERROR('RPK (live)'!AC167/'ASK (live)'!AC167,"-")</f>
        <v>0.7952004000074423</v>
      </c>
      <c r="AD167" s="10">
        <f ca="1">IFERROR('RPK (live)'!AD167/'ASK (live)'!AD167,"-")</f>
        <v>0.72326232009832037</v>
      </c>
      <c r="AE167" s="10">
        <f ca="1">IFERROR('RPK (live)'!AE167/'ASK (live)'!AE167,"-")</f>
        <v>0.71477149115816796</v>
      </c>
    </row>
    <row r="168" spans="1:31">
      <c r="A168" s="1" t="s">
        <v>152</v>
      </c>
      <c r="B168" s="5" t="s">
        <v>70</v>
      </c>
      <c r="C168" s="5" t="s">
        <v>68</v>
      </c>
      <c r="D168" s="5" t="s">
        <v>69</v>
      </c>
      <c r="E168" s="5" t="s">
        <v>21</v>
      </c>
      <c r="F168" s="5" t="s">
        <v>24</v>
      </c>
      <c r="G168" s="6"/>
      <c r="H168" s="6"/>
      <c r="I168" s="6"/>
      <c r="J168" s="6"/>
      <c r="K168" s="6"/>
      <c r="L168" s="10">
        <f ca="1">IFERROR('RPK (live)'!L168/'ASK (live)'!L168,"-")</f>
        <v>0.80000000000000016</v>
      </c>
      <c r="M168" s="10">
        <f ca="1">IFERROR('RPK (live)'!M168/'ASK (live)'!M168,"-")</f>
        <v>0.79986873970767236</v>
      </c>
      <c r="N168" s="10">
        <f ca="1">IFERROR('RPK (live)'!N168/'ASK (live)'!N168,"-")</f>
        <v>0.81</v>
      </c>
      <c r="O168" s="10">
        <f ca="1">IFERROR('RPK (live)'!O168/'ASK (live)'!O168,"-")</f>
        <v>0.8</v>
      </c>
      <c r="P168" s="10">
        <f ca="1">IFERROR('RPK (live)'!P168/'ASK (live)'!P168,"-")</f>
        <v>0.73999999999999988</v>
      </c>
      <c r="Q168" s="10">
        <f ca="1">IFERROR('RPK (live)'!Q168/'ASK (live)'!Q168,"-")</f>
        <v>0.85</v>
      </c>
      <c r="R168" s="10">
        <f ca="1">IFERROR('RPK (live)'!R168/'ASK (live)'!R168,"-")</f>
        <v>0.85</v>
      </c>
      <c r="S168" s="10">
        <f ca="1">IFERROR('RPK (live)'!S168/'ASK (live)'!S168,"-")</f>
        <v>0.82999999999999985</v>
      </c>
      <c r="T168" s="10">
        <f ca="1">IFERROR('RPK (live)'!T168/'ASK (live)'!T168,"-")</f>
        <v>0.92703999698206851</v>
      </c>
      <c r="U168" s="10">
        <f ca="1">IFERROR('RPK (live)'!U168/'ASK (live)'!U168,"-")</f>
        <v>0.88664511776404586</v>
      </c>
      <c r="V168" s="10">
        <f ca="1">IFERROR('RPK (live)'!V168/'ASK (live)'!V168,"-")</f>
        <v>0.95384375516849129</v>
      </c>
      <c r="W168" s="10">
        <f ca="1">IFERROR('RPK (live)'!W168/'ASK (live)'!W168,"-")</f>
        <v>0.89968639562882724</v>
      </c>
      <c r="X168" s="10">
        <f ca="1">IFERROR('RPK (live)'!X168/'ASK (live)'!X168,"-")</f>
        <v>0.89004202495125606</v>
      </c>
      <c r="Y168" s="10">
        <f ca="1">IFERROR('RPK (live)'!Y168/'ASK (live)'!Y168,"-")</f>
        <v>0.93161435743254295</v>
      </c>
      <c r="Z168" s="10">
        <f ca="1">IFERROR('RPK (live)'!Z168/'ASK (live)'!Z168,"-")</f>
        <v>0.92025991694358433</v>
      </c>
      <c r="AA168" s="10">
        <f ca="1">IFERROR('RPK (live)'!AA168/'ASK (live)'!AA168,"-")</f>
        <v>0.844048863819855</v>
      </c>
      <c r="AB168" s="10">
        <f ca="1">IFERROR('RPK (live)'!AB168/'ASK (live)'!AB168,"-")</f>
        <v>0.77179439068635836</v>
      </c>
      <c r="AC168" s="10">
        <f ca="1">IFERROR('RPK (live)'!AC168/'ASK (live)'!AC168,"-")</f>
        <v>0.7952004000074423</v>
      </c>
      <c r="AD168" s="10">
        <f ca="1">IFERROR('RPK (live)'!AD168/'ASK (live)'!AD168,"-")</f>
        <v>0.72326232009832037</v>
      </c>
      <c r="AE168" s="10">
        <f ca="1">IFERROR('RPK (live)'!AE168/'ASK (live)'!AE168,"-")</f>
        <v>0.71477149115816796</v>
      </c>
    </row>
    <row r="169" spans="1:31">
      <c r="A169" s="1" t="s">
        <v>152</v>
      </c>
      <c r="B169" s="5" t="s">
        <v>201</v>
      </c>
      <c r="C169" s="5" t="s">
        <v>202</v>
      </c>
      <c r="D169" s="5" t="s">
        <v>28</v>
      </c>
      <c r="E169" s="5" t="s">
        <v>38</v>
      </c>
      <c r="F169" s="5" t="s">
        <v>24</v>
      </c>
      <c r="G169" s="6"/>
      <c r="H169" s="6"/>
      <c r="I169" s="6"/>
      <c r="J169" s="6"/>
      <c r="K169" s="6"/>
      <c r="L169" s="10">
        <f ca="1">IFERROR('RPK (live)'!L169/'ASK (live)'!L169,"-")</f>
        <v>0.90452636599711556</v>
      </c>
      <c r="M169" s="10">
        <f ca="1">IFERROR('RPK (live)'!M169/'ASK (live)'!M169,"-")</f>
        <v>0.93582076186762886</v>
      </c>
      <c r="N169" s="10">
        <f ca="1">IFERROR('RPK (live)'!N169/'ASK (live)'!N169,"-")</f>
        <v>0.84950934977374148</v>
      </c>
      <c r="O169" s="10">
        <f ca="1">IFERROR('RPK (live)'!O169/'ASK (live)'!O169,"-")</f>
        <v>0.82320308880534632</v>
      </c>
      <c r="P169" s="10">
        <f ca="1">IFERROR('RPK (live)'!P169/'ASK (live)'!P169,"-")</f>
        <v>0.96130089523436812</v>
      </c>
      <c r="Q169" s="10">
        <f ca="1">IFERROR('RPK (live)'!Q169/'ASK (live)'!Q169,"-")</f>
        <v>0.95492251194385569</v>
      </c>
      <c r="R169" s="10">
        <f ca="1">IFERROR('RPK (live)'!R169/'ASK (live)'!R169,"-")</f>
        <v>0.97535517774712543</v>
      </c>
      <c r="S169" s="10">
        <f ca="1">IFERROR('RPK (live)'!S169/'ASK (live)'!S169,"-")</f>
        <v>0.97830322337971098</v>
      </c>
      <c r="T169" s="10">
        <f ca="1">IFERROR('RPK (live)'!T169/'ASK (live)'!T169,"-")</f>
        <v>0.90984370771443401</v>
      </c>
      <c r="U169" s="10">
        <f ca="1">IFERROR('RPK (live)'!U169/'ASK (live)'!U169,"-")</f>
        <v>0.96649990884983916</v>
      </c>
      <c r="V169" s="10">
        <f ca="1">IFERROR('RPK (live)'!V169/'ASK (live)'!V169,"-")</f>
        <v>0.93537788778584685</v>
      </c>
      <c r="W169" s="10">
        <f ca="1">IFERROR('RPK (live)'!W169/'ASK (live)'!W169,"-")</f>
        <v>0.95679786955234025</v>
      </c>
      <c r="X169" s="10">
        <f ca="1">IFERROR('RPK (live)'!X169/'ASK (live)'!X169,"-")</f>
        <v>0.98809398582857211</v>
      </c>
      <c r="Y169" s="10">
        <f ca="1">IFERROR('RPK (live)'!Y169/'ASK (live)'!Y169,"-")</f>
        <v>0.9016448230808618</v>
      </c>
      <c r="Z169" s="10">
        <f ca="1">IFERROR('RPK (live)'!Z169/'ASK (live)'!Z169,"-")</f>
        <v>0.932201183984537</v>
      </c>
      <c r="AA169" s="10">
        <f ca="1">IFERROR('RPK (live)'!AA169/'ASK (live)'!AA169,"-")</f>
        <v>0.90398652290668802</v>
      </c>
      <c r="AB169" s="10">
        <f ca="1">IFERROR('RPK (live)'!AB169/'ASK (live)'!AB169,"-")</f>
        <v>0.91429702131022028</v>
      </c>
      <c r="AC169" s="10">
        <f ca="1">IFERROR('RPK (live)'!AC169/'ASK (live)'!AC169,"-")</f>
        <v>0.87750374665190145</v>
      </c>
      <c r="AD169" s="10">
        <f ca="1">IFERROR('RPK (live)'!AD169/'ASK (live)'!AD169,"-")</f>
        <v>0.97463613680706684</v>
      </c>
      <c r="AE169" s="10">
        <f ca="1">IFERROR('RPK (live)'!AE169/'ASK (live)'!AE169,"-")</f>
        <v>0.94883817125956516</v>
      </c>
    </row>
    <row r="170" spans="1:31">
      <c r="A170" s="1" t="s">
        <v>152</v>
      </c>
      <c r="B170" s="5" t="s">
        <v>45</v>
      </c>
      <c r="C170" s="5" t="s">
        <v>46</v>
      </c>
      <c r="D170" s="5" t="s">
        <v>38</v>
      </c>
      <c r="E170" s="5" t="s">
        <v>28</v>
      </c>
      <c r="F170" s="5" t="s">
        <v>24</v>
      </c>
      <c r="G170" s="6"/>
      <c r="H170" s="6"/>
      <c r="I170" s="6"/>
      <c r="J170" s="6"/>
      <c r="K170" s="6"/>
      <c r="L170" s="10">
        <f ca="1">IFERROR('RPK (live)'!L170/'ASK (live)'!L170,"-")</f>
        <v>0.90452636599711556</v>
      </c>
      <c r="M170" s="10">
        <f ca="1">IFERROR('RPK (live)'!M170/'ASK (live)'!M170,"-")</f>
        <v>0.93582076186762886</v>
      </c>
      <c r="N170" s="10">
        <f ca="1">IFERROR('RPK (live)'!N170/'ASK (live)'!N170,"-")</f>
        <v>0.84950934977374148</v>
      </c>
      <c r="O170" s="10">
        <f ca="1">IFERROR('RPK (live)'!O170/'ASK (live)'!O170,"-")</f>
        <v>0.82320308880534632</v>
      </c>
      <c r="P170" s="10">
        <f ca="1">IFERROR('RPK (live)'!P170/'ASK (live)'!P170,"-")</f>
        <v>0.96130089523436812</v>
      </c>
      <c r="Q170" s="10">
        <f ca="1">IFERROR('RPK (live)'!Q170/'ASK (live)'!Q170,"-")</f>
        <v>0.95492251194385569</v>
      </c>
      <c r="R170" s="10">
        <f ca="1">IFERROR('RPK (live)'!R170/'ASK (live)'!R170,"-")</f>
        <v>0.97535517774712543</v>
      </c>
      <c r="S170" s="10">
        <f ca="1">IFERROR('RPK (live)'!S170/'ASK (live)'!S170,"-")</f>
        <v>0.97830322337971098</v>
      </c>
      <c r="T170" s="10">
        <f ca="1">IFERROR('RPK (live)'!T170/'ASK (live)'!T170,"-")</f>
        <v>0.90984370771443401</v>
      </c>
      <c r="U170" s="10">
        <f ca="1">IFERROR('RPK (live)'!U170/'ASK (live)'!U170,"-")</f>
        <v>0.96649990884983916</v>
      </c>
      <c r="V170" s="10">
        <f ca="1">IFERROR('RPK (live)'!V170/'ASK (live)'!V170,"-")</f>
        <v>0.93537788778584685</v>
      </c>
      <c r="W170" s="10">
        <f ca="1">IFERROR('RPK (live)'!W170/'ASK (live)'!W170,"-")</f>
        <v>0.95679786955234025</v>
      </c>
      <c r="X170" s="10">
        <f ca="1">IFERROR('RPK (live)'!X170/'ASK (live)'!X170,"-")</f>
        <v>0.98809398582857211</v>
      </c>
      <c r="Y170" s="10">
        <f ca="1">IFERROR('RPK (live)'!Y170/'ASK (live)'!Y170,"-")</f>
        <v>0.9016448230808618</v>
      </c>
      <c r="Z170" s="10">
        <f ca="1">IFERROR('RPK (live)'!Z170/'ASK (live)'!Z170,"-")</f>
        <v>0.932201183984537</v>
      </c>
      <c r="AA170" s="10">
        <f ca="1">IFERROR('RPK (live)'!AA170/'ASK (live)'!AA170,"-")</f>
        <v>0.90398652290668802</v>
      </c>
      <c r="AB170" s="10">
        <f ca="1">IFERROR('RPK (live)'!AB170/'ASK (live)'!AB170,"-")</f>
        <v>0.91429702131022028</v>
      </c>
      <c r="AC170" s="10">
        <f ca="1">IFERROR('RPK (live)'!AC170/'ASK (live)'!AC170,"-")</f>
        <v>0.87750374665190156</v>
      </c>
      <c r="AD170" s="10">
        <f ca="1">IFERROR('RPK (live)'!AD170/'ASK (live)'!AD170,"-")</f>
        <v>0.97463613680706684</v>
      </c>
      <c r="AE170" s="10">
        <f ca="1">IFERROR('RPK (live)'!AE170/'ASK (live)'!AE170,"-")</f>
        <v>0.94883817125956516</v>
      </c>
    </row>
    <row r="171" spans="1:31">
      <c r="A171" s="1" t="s">
        <v>152</v>
      </c>
      <c r="B171" s="5" t="s">
        <v>203</v>
      </c>
      <c r="C171" s="5" t="s">
        <v>204</v>
      </c>
      <c r="D171" s="5" t="s">
        <v>21</v>
      </c>
      <c r="E171" s="5" t="s">
        <v>80</v>
      </c>
      <c r="F171" s="5" t="s">
        <v>24</v>
      </c>
      <c r="G171" s="6"/>
      <c r="H171" s="6"/>
      <c r="I171" s="6"/>
      <c r="J171" s="6"/>
      <c r="K171" s="6"/>
      <c r="L171" s="10">
        <f ca="1">IFERROR('RPK (live)'!L171/'ASK (live)'!L171,"-")</f>
        <v>0.88</v>
      </c>
      <c r="M171" s="10">
        <f ca="1">IFERROR('RPK (live)'!M171/'ASK (live)'!M171,"-")</f>
        <v>0.92136778877719205</v>
      </c>
      <c r="N171" s="10">
        <f ca="1">IFERROR('RPK (live)'!N171/'ASK (live)'!N171,"-")</f>
        <v>0.91</v>
      </c>
      <c r="O171" s="10">
        <f ca="1">IFERROR('RPK (live)'!O171/'ASK (live)'!O171,"-")</f>
        <v>0.85000000000000009</v>
      </c>
      <c r="P171" s="10">
        <f ca="1">IFERROR('RPK (live)'!P171/'ASK (live)'!P171,"-")</f>
        <v>0.92000000000000015</v>
      </c>
      <c r="Q171" s="10">
        <f ca="1">IFERROR('RPK (live)'!Q171/'ASK (live)'!Q171,"-")</f>
        <v>0.97999999999999976</v>
      </c>
      <c r="R171" s="10">
        <f ca="1">IFERROR('RPK (live)'!R171/'ASK (live)'!R171,"-")</f>
        <v>0.95999999999999985</v>
      </c>
      <c r="S171" s="10">
        <f ca="1">IFERROR('RPK (live)'!S171/'ASK (live)'!S171,"-")</f>
        <v>0.82000000000000006</v>
      </c>
      <c r="T171" s="10">
        <f ca="1">IFERROR('RPK (live)'!T171/'ASK (live)'!T171,"-")</f>
        <v>0.93964179068589482</v>
      </c>
      <c r="U171" s="10">
        <f ca="1">IFERROR('RPK (live)'!U171/'ASK (live)'!U171,"-")</f>
        <v>0.90108289910451833</v>
      </c>
      <c r="V171" s="10">
        <f ca="1">IFERROR('RPK (live)'!V171/'ASK (live)'!V171,"-")</f>
        <v>0.9174784169758563</v>
      </c>
      <c r="W171" s="10">
        <f ca="1">IFERROR('RPK (live)'!W171/'ASK (live)'!W171,"-")</f>
        <v>0.81900638855281005</v>
      </c>
      <c r="X171" s="10">
        <f ca="1">IFERROR('RPK (live)'!X171/'ASK (live)'!X171,"-")</f>
        <v>0.96106830594403148</v>
      </c>
      <c r="Y171" s="10">
        <f ca="1">IFERROR('RPK (live)'!Y171/'ASK (live)'!Y171,"-")</f>
        <v>0.96026771985797343</v>
      </c>
      <c r="Z171" s="10">
        <f ca="1">IFERROR('RPK (live)'!Z171/'ASK (live)'!Z171,"-")</f>
        <v>0.80461222124906029</v>
      </c>
      <c r="AA171" s="10">
        <f ca="1">IFERROR('RPK (live)'!AA171/'ASK (live)'!AA171,"-")</f>
        <v>0.82329493017613264</v>
      </c>
      <c r="AB171" s="10">
        <f ca="1">IFERROR('RPK (live)'!AB171/'ASK (live)'!AB171,"-")</f>
        <v>0.83014791128413745</v>
      </c>
      <c r="AC171" s="10">
        <f ca="1">IFERROR('RPK (live)'!AC171/'ASK (live)'!AC171,"-")</f>
        <v>0.88922311290384459</v>
      </c>
      <c r="AD171" s="10">
        <f ca="1">IFERROR('RPK (live)'!AD171/'ASK (live)'!AD171,"-")</f>
        <v>0.89592941044994512</v>
      </c>
      <c r="AE171" s="10">
        <f ca="1">IFERROR('RPK (live)'!AE171/'ASK (live)'!AE171,"-")</f>
        <v>0.84207656321216751</v>
      </c>
    </row>
    <row r="172" spans="1:31">
      <c r="A172" s="1" t="s">
        <v>152</v>
      </c>
      <c r="B172" s="5" t="s">
        <v>78</v>
      </c>
      <c r="C172" s="5" t="s">
        <v>79</v>
      </c>
      <c r="D172" s="5" t="s">
        <v>80</v>
      </c>
      <c r="E172" s="5" t="s">
        <v>21</v>
      </c>
      <c r="F172" s="5" t="s">
        <v>24</v>
      </c>
      <c r="G172" s="6"/>
      <c r="H172" s="6"/>
      <c r="I172" s="6"/>
      <c r="J172" s="6"/>
      <c r="K172" s="6"/>
      <c r="L172" s="10">
        <f ca="1">IFERROR('RPK (live)'!L172/'ASK (live)'!L172,"-")</f>
        <v>0.88</v>
      </c>
      <c r="M172" s="10">
        <f ca="1">IFERROR('RPK (live)'!M172/'ASK (live)'!M172,"-")</f>
        <v>0.92136778877719205</v>
      </c>
      <c r="N172" s="10">
        <f ca="1">IFERROR('RPK (live)'!N172/'ASK (live)'!N172,"-")</f>
        <v>0.91</v>
      </c>
      <c r="O172" s="10">
        <f ca="1">IFERROR('RPK (live)'!O172/'ASK (live)'!O172,"-")</f>
        <v>0.85000000000000009</v>
      </c>
      <c r="P172" s="10">
        <f ca="1">IFERROR('RPK (live)'!P172/'ASK (live)'!P172,"-")</f>
        <v>0.92000000000000015</v>
      </c>
      <c r="Q172" s="10">
        <f ca="1">IFERROR('RPK (live)'!Q172/'ASK (live)'!Q172,"-")</f>
        <v>0.97999999999999976</v>
      </c>
      <c r="R172" s="10">
        <f ca="1">IFERROR('RPK (live)'!R172/'ASK (live)'!R172,"-")</f>
        <v>0.95999999999999985</v>
      </c>
      <c r="S172" s="10">
        <f ca="1">IFERROR('RPK (live)'!S172/'ASK (live)'!S172,"-")</f>
        <v>0.82000000000000006</v>
      </c>
      <c r="T172" s="10">
        <f ca="1">IFERROR('RPK (live)'!T172/'ASK (live)'!T172,"-")</f>
        <v>0.93964179068589482</v>
      </c>
      <c r="U172" s="10">
        <f ca="1">IFERROR('RPK (live)'!U172/'ASK (live)'!U172,"-")</f>
        <v>0.90108289910451833</v>
      </c>
      <c r="V172" s="10">
        <f ca="1">IFERROR('RPK (live)'!V172/'ASK (live)'!V172,"-")</f>
        <v>0.9174784169758563</v>
      </c>
      <c r="W172" s="10">
        <f ca="1">IFERROR('RPK (live)'!W172/'ASK (live)'!W172,"-")</f>
        <v>0.81900638855281005</v>
      </c>
      <c r="X172" s="10">
        <f ca="1">IFERROR('RPK (live)'!X172/'ASK (live)'!X172,"-")</f>
        <v>0.96106830594403148</v>
      </c>
      <c r="Y172" s="10">
        <f ca="1">IFERROR('RPK (live)'!Y172/'ASK (live)'!Y172,"-")</f>
        <v>0.96026771985797343</v>
      </c>
      <c r="Z172" s="10">
        <f ca="1">IFERROR('RPK (live)'!Z172/'ASK (live)'!Z172,"-")</f>
        <v>0.80461222124906029</v>
      </c>
      <c r="AA172" s="10">
        <f ca="1">IFERROR('RPK (live)'!AA172/'ASK (live)'!AA172,"-")</f>
        <v>0.82329493017613264</v>
      </c>
      <c r="AB172" s="10">
        <f ca="1">IFERROR('RPK (live)'!AB172/'ASK (live)'!AB172,"-")</f>
        <v>0.83014791128413745</v>
      </c>
      <c r="AC172" s="10">
        <f ca="1">IFERROR('RPK (live)'!AC172/'ASK (live)'!AC172,"-")</f>
        <v>0.88922311290384426</v>
      </c>
      <c r="AD172" s="10">
        <f ca="1">IFERROR('RPK (live)'!AD172/'ASK (live)'!AD172,"-")</f>
        <v>0.89592941044994512</v>
      </c>
      <c r="AE172" s="10">
        <f ca="1">IFERROR('RPK (live)'!AE172/'ASK (live)'!AE172,"-")</f>
        <v>0.84207656321216751</v>
      </c>
    </row>
    <row r="173" spans="1:31">
      <c r="A173" s="1" t="s">
        <v>152</v>
      </c>
      <c r="B173" s="5" t="s">
        <v>205</v>
      </c>
      <c r="C173" s="5" t="s">
        <v>206</v>
      </c>
      <c r="D173" s="5" t="s">
        <v>21</v>
      </c>
      <c r="E173" s="5" t="s">
        <v>181</v>
      </c>
      <c r="F173" s="5" t="s">
        <v>24</v>
      </c>
      <c r="G173" s="6"/>
      <c r="H173" s="6"/>
      <c r="I173" s="6"/>
      <c r="J173" s="6"/>
      <c r="K173" s="6"/>
      <c r="L173" s="10">
        <f ca="1">IFERROR('RPK (live)'!L173/'ASK (live)'!L173,"-")</f>
        <v>0.89</v>
      </c>
      <c r="M173" s="10">
        <f ca="1">IFERROR('RPK (live)'!M173/'ASK (live)'!M173,"-")</f>
        <v>0.96186747180036525</v>
      </c>
      <c r="N173" s="10">
        <f ca="1">IFERROR('RPK (live)'!N173/'ASK (live)'!N173,"-")</f>
        <v>0.89</v>
      </c>
      <c r="O173" s="10">
        <f ca="1">IFERROR('RPK (live)'!O173/'ASK (live)'!O173,"-")</f>
        <v>0.86000000000000021</v>
      </c>
      <c r="P173" s="10">
        <f ca="1">IFERROR('RPK (live)'!P173/'ASK (live)'!P173,"-")</f>
        <v>0.92000000000000015</v>
      </c>
      <c r="Q173" s="10">
        <f ca="1">IFERROR('RPK (live)'!Q173/'ASK (live)'!Q173,"-")</f>
        <v>0.86</v>
      </c>
      <c r="R173" s="10">
        <f ca="1">IFERROR('RPK (live)'!R173/'ASK (live)'!R173,"-")</f>
        <v>0.84999999999999987</v>
      </c>
      <c r="S173" s="10">
        <f ca="1">IFERROR('RPK (live)'!S173/'ASK (live)'!S173,"-")</f>
        <v>0.85</v>
      </c>
      <c r="T173" s="10">
        <f ca="1">IFERROR('RPK (live)'!T173/'ASK (live)'!T173,"-")</f>
        <v>0.94547986959134522</v>
      </c>
      <c r="U173" s="10">
        <f ca="1">IFERROR('RPK (live)'!U173/'ASK (live)'!U173,"-")</f>
        <v>0.96478188594770065</v>
      </c>
      <c r="V173" s="10">
        <f ca="1">IFERROR('RPK (live)'!V173/'ASK (live)'!V173,"-")</f>
        <v>0.96339968099193452</v>
      </c>
      <c r="W173" s="10">
        <f ca="1">IFERROR('RPK (live)'!W173/'ASK (live)'!W173,"-")</f>
        <v>0.97106499796715051</v>
      </c>
      <c r="X173" s="10">
        <f ca="1">IFERROR('RPK (live)'!X173/'ASK (live)'!X173,"-")</f>
        <v>0.9905191129878016</v>
      </c>
      <c r="Y173" s="10">
        <f ca="1">IFERROR('RPK (live)'!Y173/'ASK (live)'!Y173,"-")</f>
        <v>0.9905191129878016</v>
      </c>
      <c r="Z173" s="10">
        <f ca="1">IFERROR('RPK (live)'!Z173/'ASK (live)'!Z173,"-")</f>
        <v>0.99051911298780171</v>
      </c>
      <c r="AA173" s="10">
        <f ca="1">IFERROR('RPK (live)'!AA173/'ASK (live)'!AA173,"-")</f>
        <v>0.97146391069131333</v>
      </c>
      <c r="AB173" s="10">
        <f ca="1">IFERROR('RPK (live)'!AB173/'ASK (live)'!AB173,"-")</f>
        <v>0.95080773461651036</v>
      </c>
      <c r="AC173" s="10">
        <f ca="1">IFERROR('RPK (live)'!AC173/'ASK (live)'!AC173,"-")</f>
        <v>0.89333876873233786</v>
      </c>
      <c r="AD173" s="10">
        <f ca="1">IFERROR('RPK (live)'!AD173/'ASK (live)'!AD173,"-")</f>
        <v>0.77754152236017204</v>
      </c>
      <c r="AE173" s="10">
        <f ca="1">IFERROR('RPK (live)'!AE173/'ASK (live)'!AE173,"-")</f>
        <v>0.72365224188762245</v>
      </c>
    </row>
    <row r="174" spans="1:31">
      <c r="A174" s="1" t="s">
        <v>152</v>
      </c>
      <c r="B174" s="5" t="s">
        <v>207</v>
      </c>
      <c r="C174" s="5" t="s">
        <v>208</v>
      </c>
      <c r="D174" s="5" t="s">
        <v>181</v>
      </c>
      <c r="E174" s="5" t="s">
        <v>21</v>
      </c>
      <c r="F174" s="5" t="s">
        <v>24</v>
      </c>
      <c r="G174" s="6"/>
      <c r="H174" s="6"/>
      <c r="I174" s="6"/>
      <c r="J174" s="6"/>
      <c r="K174" s="6"/>
      <c r="L174" s="10">
        <f ca="1">IFERROR('RPK (live)'!L174/'ASK (live)'!L174,"-")</f>
        <v>0.89</v>
      </c>
      <c r="M174" s="10">
        <f ca="1">IFERROR('RPK (live)'!M174/'ASK (live)'!M174,"-")</f>
        <v>0.96186747180036525</v>
      </c>
      <c r="N174" s="10">
        <f ca="1">IFERROR('RPK (live)'!N174/'ASK (live)'!N174,"-")</f>
        <v>0.89</v>
      </c>
      <c r="O174" s="10">
        <f ca="1">IFERROR('RPK (live)'!O174/'ASK (live)'!O174,"-")</f>
        <v>0.86000000000000021</v>
      </c>
      <c r="P174" s="10">
        <f ca="1">IFERROR('RPK (live)'!P174/'ASK (live)'!P174,"-")</f>
        <v>0.92000000000000015</v>
      </c>
      <c r="Q174" s="10">
        <f ca="1">IFERROR('RPK (live)'!Q174/'ASK (live)'!Q174,"-")</f>
        <v>0.86</v>
      </c>
      <c r="R174" s="10">
        <f ca="1">IFERROR('RPK (live)'!R174/'ASK (live)'!R174,"-")</f>
        <v>0.84999999999999987</v>
      </c>
      <c r="S174" s="10">
        <f ca="1">IFERROR('RPK (live)'!S174/'ASK (live)'!S174,"-")</f>
        <v>0.85</v>
      </c>
      <c r="T174" s="10">
        <f ca="1">IFERROR('RPK (live)'!T174/'ASK (live)'!T174,"-")</f>
        <v>0.94547986959134522</v>
      </c>
      <c r="U174" s="10">
        <f ca="1">IFERROR('RPK (live)'!U174/'ASK (live)'!U174,"-")</f>
        <v>0.96478188594770065</v>
      </c>
      <c r="V174" s="10">
        <f ca="1">IFERROR('RPK (live)'!V174/'ASK (live)'!V174,"-")</f>
        <v>0.96339968099193452</v>
      </c>
      <c r="W174" s="10">
        <f ca="1">IFERROR('RPK (live)'!W174/'ASK (live)'!W174,"-")</f>
        <v>0.97106499796715051</v>
      </c>
      <c r="X174" s="10">
        <f ca="1">IFERROR('RPK (live)'!X174/'ASK (live)'!X174,"-")</f>
        <v>0.9905191129878016</v>
      </c>
      <c r="Y174" s="10">
        <f ca="1">IFERROR('RPK (live)'!Y174/'ASK (live)'!Y174,"-")</f>
        <v>0.9905191129878016</v>
      </c>
      <c r="Z174" s="10">
        <f ca="1">IFERROR('RPK (live)'!Z174/'ASK (live)'!Z174,"-")</f>
        <v>0.99051911298780171</v>
      </c>
      <c r="AA174" s="10">
        <f ca="1">IFERROR('RPK (live)'!AA174/'ASK (live)'!AA174,"-")</f>
        <v>0.97146391069131333</v>
      </c>
      <c r="AB174" s="10">
        <f ca="1">IFERROR('RPK (live)'!AB174/'ASK (live)'!AB174,"-")</f>
        <v>0.95080773461651036</v>
      </c>
      <c r="AC174" s="10">
        <f ca="1">IFERROR('RPK (live)'!AC174/'ASK (live)'!AC174,"-")</f>
        <v>0.89333876873233786</v>
      </c>
      <c r="AD174" s="10">
        <f ca="1">IFERROR('RPK (live)'!AD174/'ASK (live)'!AD174,"-")</f>
        <v>0.77754152236017204</v>
      </c>
      <c r="AE174" s="10">
        <f ca="1">IFERROR('RPK (live)'!AE174/'ASK (live)'!AE174,"-")</f>
        <v>0.72365224188762245</v>
      </c>
    </row>
    <row r="175" spans="1:31">
      <c r="A175" s="1" t="s">
        <v>152</v>
      </c>
      <c r="B175" s="5" t="s">
        <v>209</v>
      </c>
      <c r="C175" s="5" t="s">
        <v>210</v>
      </c>
      <c r="D175" s="5" t="s">
        <v>21</v>
      </c>
      <c r="E175" s="5" t="s">
        <v>211</v>
      </c>
      <c r="F175" s="5" t="s">
        <v>24</v>
      </c>
      <c r="G175" s="6"/>
      <c r="H175" s="6"/>
      <c r="I175" s="6"/>
      <c r="J175" s="6"/>
      <c r="K175" s="6"/>
      <c r="L175" s="10">
        <f ca="1">IFERROR('RPK (live)'!L175/'ASK (live)'!L175,"-")</f>
        <v>0.68</v>
      </c>
      <c r="M175" s="10" t="str">
        <f ca="1">IFERROR('RPK (live)'!M175/'ASK (live)'!M175,"-")</f>
        <v>-</v>
      </c>
      <c r="N175" s="10" t="str">
        <f ca="1">IFERROR('RPK (live)'!N175/'ASK (live)'!N175,"-")</f>
        <v>-</v>
      </c>
      <c r="O175" s="10" t="str">
        <f ca="1">IFERROR('RPK (live)'!O175/'ASK (live)'!O175,"-")</f>
        <v>-</v>
      </c>
      <c r="P175" s="10" t="str">
        <f ca="1">IFERROR('RPK (live)'!P175/'ASK (live)'!P175,"-")</f>
        <v>-</v>
      </c>
      <c r="Q175" s="10">
        <f ca="1">IFERROR('RPK (live)'!Q175/'ASK (live)'!Q175,"-")</f>
        <v>0.53</v>
      </c>
      <c r="R175" s="10">
        <f ca="1">IFERROR('RPK (live)'!R175/'ASK (live)'!R175,"-")</f>
        <v>0.70000000000000007</v>
      </c>
      <c r="S175" s="10">
        <f ca="1">IFERROR('RPK (live)'!S175/'ASK (live)'!S175,"-")</f>
        <v>0.8</v>
      </c>
      <c r="T175" s="10">
        <f ca="1">IFERROR('RPK (live)'!T175/'ASK (live)'!T175,"-")</f>
        <v>0.88079862349590321</v>
      </c>
      <c r="U175" s="10">
        <f ca="1">IFERROR('RPK (live)'!U175/'ASK (live)'!U175,"-")</f>
        <v>0.96182053903270104</v>
      </c>
      <c r="V175" s="10">
        <f ca="1">IFERROR('RPK (live)'!V175/'ASK (live)'!V175,"-")</f>
        <v>0.92547625157399016</v>
      </c>
      <c r="W175" s="10" t="str">
        <f ca="1">IFERROR('RPK (live)'!W175/'ASK (live)'!W175,"-")</f>
        <v>-</v>
      </c>
      <c r="X175" s="10" t="str">
        <f ca="1">IFERROR('RPK (live)'!X175/'ASK (live)'!X175,"-")</f>
        <v>-</v>
      </c>
      <c r="Y175" s="10" t="str">
        <f ca="1">IFERROR('RPK (live)'!Y175/'ASK (live)'!Y175,"-")</f>
        <v>-</v>
      </c>
      <c r="Z175" s="10" t="str">
        <f ca="1">IFERROR('RPK (live)'!Z175/'ASK (live)'!Z175,"-")</f>
        <v>-</v>
      </c>
      <c r="AA175" s="10" t="str">
        <f ca="1">IFERROR('RPK (live)'!AA175/'ASK (live)'!AA175,"-")</f>
        <v>-</v>
      </c>
      <c r="AB175" s="10" t="str">
        <f ca="1">IFERROR('RPK (live)'!AB175/'ASK (live)'!AB175,"-")</f>
        <v>-</v>
      </c>
      <c r="AC175" s="10">
        <f ca="1">IFERROR('RPK (live)'!AC175/'ASK (live)'!AC175,"-")</f>
        <v>0.67902717469645779</v>
      </c>
      <c r="AD175" s="10">
        <f ca="1">IFERROR('RPK (live)'!AD175/'ASK (live)'!AD175,"-")</f>
        <v>0.66074469113897494</v>
      </c>
      <c r="AE175" s="10">
        <f ca="1">IFERROR('RPK (live)'!AE175/'ASK (live)'!AE175,"-")</f>
        <v>0.86360446626716791</v>
      </c>
    </row>
    <row r="176" spans="1:31">
      <c r="A176" s="1" t="s">
        <v>152</v>
      </c>
      <c r="B176" s="5" t="s">
        <v>212</v>
      </c>
      <c r="C176" s="5" t="s">
        <v>213</v>
      </c>
      <c r="D176" s="5" t="s">
        <v>211</v>
      </c>
      <c r="E176" s="5" t="s">
        <v>21</v>
      </c>
      <c r="F176" s="5" t="s">
        <v>24</v>
      </c>
      <c r="G176" s="6"/>
      <c r="H176" s="6"/>
      <c r="I176" s="6"/>
      <c r="J176" s="6"/>
      <c r="K176" s="6"/>
      <c r="L176" s="10">
        <f ca="1">IFERROR('RPK (live)'!L176/'ASK (live)'!L176,"-")</f>
        <v>0.68</v>
      </c>
      <c r="M176" s="10" t="str">
        <f ca="1">IFERROR('RPK (live)'!M176/'ASK (live)'!M176,"-")</f>
        <v>-</v>
      </c>
      <c r="N176" s="10" t="str">
        <f ca="1">IFERROR('RPK (live)'!N176/'ASK (live)'!N176,"-")</f>
        <v>-</v>
      </c>
      <c r="O176" s="10" t="str">
        <f ca="1">IFERROR('RPK (live)'!O176/'ASK (live)'!O176,"-")</f>
        <v>-</v>
      </c>
      <c r="P176" s="10" t="str">
        <f ca="1">IFERROR('RPK (live)'!P176/'ASK (live)'!P176,"-")</f>
        <v>-</v>
      </c>
      <c r="Q176" s="10">
        <f ca="1">IFERROR('RPK (live)'!Q176/'ASK (live)'!Q176,"-")</f>
        <v>0.53</v>
      </c>
      <c r="R176" s="10">
        <f ca="1">IFERROR('RPK (live)'!R176/'ASK (live)'!R176,"-")</f>
        <v>0.70000000000000007</v>
      </c>
      <c r="S176" s="10">
        <f ca="1">IFERROR('RPK (live)'!S176/'ASK (live)'!S176,"-")</f>
        <v>0.8</v>
      </c>
      <c r="T176" s="10">
        <f ca="1">IFERROR('RPK (live)'!T176/'ASK (live)'!T176,"-")</f>
        <v>0.88079862349590321</v>
      </c>
      <c r="U176" s="10">
        <f ca="1">IFERROR('RPK (live)'!U176/'ASK (live)'!U176,"-")</f>
        <v>0.96182053903270104</v>
      </c>
      <c r="V176" s="10">
        <f ca="1">IFERROR('RPK (live)'!V176/'ASK (live)'!V176,"-")</f>
        <v>0.92547625157399016</v>
      </c>
      <c r="W176" s="10" t="str">
        <f ca="1">IFERROR('RPK (live)'!W176/'ASK (live)'!W176,"-")</f>
        <v>-</v>
      </c>
      <c r="X176" s="10" t="str">
        <f ca="1">IFERROR('RPK (live)'!X176/'ASK (live)'!X176,"-")</f>
        <v>-</v>
      </c>
      <c r="Y176" s="10" t="str">
        <f ca="1">IFERROR('RPK (live)'!Y176/'ASK (live)'!Y176,"-")</f>
        <v>-</v>
      </c>
      <c r="Z176" s="10" t="str">
        <f ca="1">IFERROR('RPK (live)'!Z176/'ASK (live)'!Z176,"-")</f>
        <v>-</v>
      </c>
      <c r="AA176" s="10" t="str">
        <f ca="1">IFERROR('RPK (live)'!AA176/'ASK (live)'!AA176,"-")</f>
        <v>-</v>
      </c>
      <c r="AB176" s="10" t="str">
        <f ca="1">IFERROR('RPK (live)'!AB176/'ASK (live)'!AB176,"-")</f>
        <v>-</v>
      </c>
      <c r="AC176" s="10">
        <f ca="1">IFERROR('RPK (live)'!AC176/'ASK (live)'!AC176,"-")</f>
        <v>0.67902717469645779</v>
      </c>
      <c r="AD176" s="10">
        <f ca="1">IFERROR('RPK (live)'!AD176/'ASK (live)'!AD176,"-")</f>
        <v>0.66074469113897494</v>
      </c>
      <c r="AE176" s="10">
        <f ca="1">IFERROR('RPK (live)'!AE176/'ASK (live)'!AE176,"-")</f>
        <v>0.86360446626716791</v>
      </c>
    </row>
    <row r="177" spans="1:31">
      <c r="A177" s="1" t="s">
        <v>152</v>
      </c>
      <c r="B177" s="5" t="s">
        <v>214</v>
      </c>
      <c r="C177" s="5" t="s">
        <v>187</v>
      </c>
      <c r="D177" s="5" t="s">
        <v>21</v>
      </c>
      <c r="E177" s="5" t="s">
        <v>59</v>
      </c>
      <c r="F177" s="5" t="s">
        <v>24</v>
      </c>
      <c r="G177" s="6"/>
      <c r="H177" s="6"/>
      <c r="I177" s="6"/>
      <c r="J177" s="6"/>
      <c r="K177" s="6"/>
      <c r="L177" s="10">
        <f ca="1">IFERROR('RPK (live)'!L177/'ASK (live)'!L177,"-")</f>
        <v>0.91</v>
      </c>
      <c r="M177" s="10">
        <f ca="1">IFERROR('RPK (live)'!M177/'ASK (live)'!M177,"-")</f>
        <v>0.87074318499822534</v>
      </c>
      <c r="N177" s="10">
        <f ca="1">IFERROR('RPK (live)'!N177/'ASK (live)'!N177,"-")</f>
        <v>0.81999999999999984</v>
      </c>
      <c r="O177" s="10">
        <f ca="1">IFERROR('RPK (live)'!O177/'ASK (live)'!O177,"-")</f>
        <v>0.85</v>
      </c>
      <c r="P177" s="10">
        <f ca="1">IFERROR('RPK (live)'!P177/'ASK (live)'!P177,"-")</f>
        <v>0.8500000000000002</v>
      </c>
      <c r="Q177" s="10">
        <f ca="1">IFERROR('RPK (live)'!Q177/'ASK (live)'!Q177,"-")</f>
        <v>0.87000000000000011</v>
      </c>
      <c r="R177" s="10">
        <f ca="1">IFERROR('RPK (live)'!R177/'ASK (live)'!R177,"-")</f>
        <v>0.89999999999999991</v>
      </c>
      <c r="S177" s="10" t="str">
        <f ca="1">IFERROR('RPK (live)'!S177/'ASK (live)'!S177,"-")</f>
        <v>-</v>
      </c>
      <c r="T177" s="10" t="str">
        <f ca="1">IFERROR('RPK (live)'!T177/'ASK (live)'!T177,"-")</f>
        <v>-</v>
      </c>
      <c r="U177" s="10" t="str">
        <f ca="1">IFERROR('RPK (live)'!U177/'ASK (live)'!U177,"-")</f>
        <v>-</v>
      </c>
      <c r="V177" s="10">
        <f ca="1">IFERROR('RPK (live)'!V177/'ASK (live)'!V177,"-")</f>
        <v>0.93755595066620656</v>
      </c>
      <c r="W177" s="10">
        <f ca="1">IFERROR('RPK (live)'!W177/'ASK (live)'!W177,"-")</f>
        <v>0.94122867805648014</v>
      </c>
      <c r="X177" s="10">
        <f ca="1">IFERROR('RPK (live)'!X177/'ASK (live)'!X177,"-")</f>
        <v>0.99051911298780138</v>
      </c>
      <c r="Y177" s="10">
        <f ca="1">IFERROR('RPK (live)'!Y177/'ASK (live)'!Y177,"-")</f>
        <v>0.95172341328922339</v>
      </c>
      <c r="Z177" s="10">
        <f ca="1">IFERROR('RPK (live)'!Z177/'ASK (live)'!Z177,"-")</f>
        <v>0.95937918241303932</v>
      </c>
      <c r="AA177" s="10">
        <f ca="1">IFERROR('RPK (live)'!AA177/'ASK (live)'!AA177,"-")</f>
        <v>0.92946216101918333</v>
      </c>
      <c r="AB177" s="10">
        <f ca="1">IFERROR('RPK (live)'!AB177/'ASK (live)'!AB177,"-")</f>
        <v>0.96749965870783095</v>
      </c>
      <c r="AC177" s="10">
        <f ca="1">IFERROR('RPK (live)'!AC177/'ASK (live)'!AC177,"-")</f>
        <v>0.96973761272722603</v>
      </c>
      <c r="AD177" s="10" t="str">
        <f ca="1">IFERROR('RPK (live)'!AD177/'ASK (live)'!AD177,"-")</f>
        <v>-</v>
      </c>
      <c r="AE177" s="10" t="str">
        <f ca="1">IFERROR('RPK (live)'!AE177/'ASK (live)'!AE177,"-")</f>
        <v>-</v>
      </c>
    </row>
    <row r="178" spans="1:31">
      <c r="A178" s="1" t="s">
        <v>152</v>
      </c>
      <c r="B178" s="5" t="s">
        <v>63</v>
      </c>
      <c r="C178" s="5" t="s">
        <v>62</v>
      </c>
      <c r="D178" s="5" t="s">
        <v>59</v>
      </c>
      <c r="E178" s="5" t="s">
        <v>21</v>
      </c>
      <c r="F178" s="5" t="s">
        <v>24</v>
      </c>
      <c r="G178" s="6"/>
      <c r="H178" s="6"/>
      <c r="I178" s="6"/>
      <c r="J178" s="6"/>
      <c r="K178" s="6"/>
      <c r="L178" s="10">
        <f ca="1">IFERROR('RPK (live)'!L178/'ASK (live)'!L178,"-")</f>
        <v>0.91</v>
      </c>
      <c r="M178" s="10">
        <f ca="1">IFERROR('RPK (live)'!M178/'ASK (live)'!M178,"-")</f>
        <v>0.87074318499822534</v>
      </c>
      <c r="N178" s="10">
        <f ca="1">IFERROR('RPK (live)'!N178/'ASK (live)'!N178,"-")</f>
        <v>0.81999999999999984</v>
      </c>
      <c r="O178" s="10">
        <f ca="1">IFERROR('RPK (live)'!O178/'ASK (live)'!O178,"-")</f>
        <v>0.85</v>
      </c>
      <c r="P178" s="10">
        <f ca="1">IFERROR('RPK (live)'!P178/'ASK (live)'!P178,"-")</f>
        <v>0.8500000000000002</v>
      </c>
      <c r="Q178" s="10">
        <f ca="1">IFERROR('RPK (live)'!Q178/'ASK (live)'!Q178,"-")</f>
        <v>0.87000000000000011</v>
      </c>
      <c r="R178" s="10">
        <f ca="1">IFERROR('RPK (live)'!R178/'ASK (live)'!R178,"-")</f>
        <v>0.89999999999999991</v>
      </c>
      <c r="S178" s="10" t="str">
        <f ca="1">IFERROR('RPK (live)'!S178/'ASK (live)'!S178,"-")</f>
        <v>-</v>
      </c>
      <c r="T178" s="10" t="str">
        <f ca="1">IFERROR('RPK (live)'!T178/'ASK (live)'!T178,"-")</f>
        <v>-</v>
      </c>
      <c r="U178" s="10" t="str">
        <f ca="1">IFERROR('RPK (live)'!U178/'ASK (live)'!U178,"-")</f>
        <v>-</v>
      </c>
      <c r="V178" s="10">
        <f ca="1">IFERROR('RPK (live)'!V178/'ASK (live)'!V178,"-")</f>
        <v>0.93755595066620656</v>
      </c>
      <c r="W178" s="10">
        <f ca="1">IFERROR('RPK (live)'!W178/'ASK (live)'!W178,"-")</f>
        <v>0.94122867805647992</v>
      </c>
      <c r="X178" s="10">
        <f ca="1">IFERROR('RPK (live)'!X178/'ASK (live)'!X178,"-")</f>
        <v>0.99051911298780138</v>
      </c>
      <c r="Y178" s="10">
        <f ca="1">IFERROR('RPK (live)'!Y178/'ASK (live)'!Y178,"-")</f>
        <v>0.9517234132892235</v>
      </c>
      <c r="Z178" s="10">
        <f ca="1">IFERROR('RPK (live)'!Z178/'ASK (live)'!Z178,"-")</f>
        <v>0.95937918241303921</v>
      </c>
      <c r="AA178" s="10">
        <f ca="1">IFERROR('RPK (live)'!AA178/'ASK (live)'!AA178,"-")</f>
        <v>0.92946216101918333</v>
      </c>
      <c r="AB178" s="10">
        <f ca="1">IFERROR('RPK (live)'!AB178/'ASK (live)'!AB178,"-")</f>
        <v>0.9674996587078305</v>
      </c>
      <c r="AC178" s="10">
        <f ca="1">IFERROR('RPK (live)'!AC178/'ASK (live)'!AC178,"-")</f>
        <v>0.96973761272722614</v>
      </c>
      <c r="AD178" s="10" t="str">
        <f ca="1">IFERROR('RPK (live)'!AD178/'ASK (live)'!AD178,"-")</f>
        <v>-</v>
      </c>
      <c r="AE178" s="10" t="str">
        <f ca="1">IFERROR('RPK (live)'!AE178/'ASK (live)'!AE178,"-")</f>
        <v>-</v>
      </c>
    </row>
    <row r="179" spans="1:31">
      <c r="A179" s="1" t="s">
        <v>152</v>
      </c>
      <c r="B179" s="5" t="s">
        <v>215</v>
      </c>
      <c r="C179" s="5" t="s">
        <v>159</v>
      </c>
      <c r="D179" s="5" t="s">
        <v>21</v>
      </c>
      <c r="E179" s="5" t="s">
        <v>38</v>
      </c>
      <c r="F179" s="5" t="s">
        <v>24</v>
      </c>
      <c r="G179" s="6"/>
      <c r="H179" s="6"/>
      <c r="I179" s="6"/>
      <c r="J179" s="6"/>
      <c r="K179" s="6"/>
      <c r="L179" s="10">
        <f ca="1">IFERROR('RPK (live)'!L179/'ASK (live)'!L179,"-")</f>
        <v>0.78686739800043348</v>
      </c>
      <c r="M179" s="10">
        <f ca="1">IFERROR('RPK (live)'!M179/'ASK (live)'!M179,"-")</f>
        <v>0.82699260106197647</v>
      </c>
      <c r="N179" s="10">
        <f ca="1">IFERROR('RPK (live)'!N179/'ASK (live)'!N179,"-")</f>
        <v>0.80878576872809571</v>
      </c>
      <c r="O179" s="10">
        <f ca="1">IFERROR('RPK (live)'!O179/'ASK (live)'!O179,"-")</f>
        <v>0.77971162802107818</v>
      </c>
      <c r="P179" s="10">
        <f ca="1">IFERROR('RPK (live)'!P179/'ASK (live)'!P179,"-")</f>
        <v>0.83407679196957119</v>
      </c>
      <c r="Q179" s="10">
        <f ca="1">IFERROR('RPK (live)'!Q179/'ASK (live)'!Q179,"-")</f>
        <v>0.90204242995938588</v>
      </c>
      <c r="R179" s="10">
        <f ca="1">IFERROR('RPK (live)'!R179/'ASK (live)'!R179,"-")</f>
        <v>0.93472371535693166</v>
      </c>
      <c r="S179" s="10">
        <f ca="1">IFERROR('RPK (live)'!S179/'ASK (live)'!S179,"-")</f>
        <v>1</v>
      </c>
      <c r="T179" s="10">
        <f ca="1">IFERROR('RPK (live)'!T179/'ASK (live)'!T179,"-")</f>
        <v>0.77537271114071449</v>
      </c>
      <c r="U179" s="10">
        <f ca="1">IFERROR('RPK (live)'!U179/'ASK (live)'!U179,"-")</f>
        <v>0.75933626016462541</v>
      </c>
      <c r="V179" s="10">
        <f ca="1">IFERROR('RPK (live)'!V179/'ASK (live)'!V179,"-")</f>
        <v>0.87172756548014918</v>
      </c>
      <c r="W179" s="10">
        <f ca="1">IFERROR('RPK (live)'!W179/'ASK (live)'!W179,"-")</f>
        <v>0.84097885950806739</v>
      </c>
      <c r="X179" s="10">
        <f ca="1">IFERROR('RPK (live)'!X179/'ASK (live)'!X179,"-")</f>
        <v>0.86225009018817123</v>
      </c>
      <c r="Y179" s="10">
        <f ca="1">IFERROR('RPK (live)'!Y179/'ASK (live)'!Y179,"-")</f>
        <v>0.8892894059732015</v>
      </c>
      <c r="Z179" s="10">
        <f ca="1">IFERROR('RPK (live)'!Z179/'ASK (live)'!Z179,"-")</f>
        <v>0.87619548384081425</v>
      </c>
      <c r="AA179" s="10">
        <f ca="1">IFERROR('RPK (live)'!AA179/'ASK (live)'!AA179,"-")</f>
        <v>0.79239224179188539</v>
      </c>
      <c r="AB179" s="10">
        <f ca="1">IFERROR('RPK (live)'!AB179/'ASK (live)'!AB179,"-")</f>
        <v>0.80188717667542242</v>
      </c>
      <c r="AC179" s="10">
        <f ca="1">IFERROR('RPK (live)'!AC179/'ASK (live)'!AC179,"-")</f>
        <v>0.83718449369422443</v>
      </c>
      <c r="AD179" s="10">
        <f ca="1">IFERROR('RPK (live)'!AD179/'ASK (live)'!AD179,"-")</f>
        <v>0.87320327830249111</v>
      </c>
      <c r="AE179" s="10">
        <f ca="1">IFERROR('RPK (live)'!AE179/'ASK (live)'!AE179,"-")</f>
        <v>0.87686320253938232</v>
      </c>
    </row>
    <row r="180" spans="1:31">
      <c r="A180" s="1" t="s">
        <v>152</v>
      </c>
      <c r="B180" s="5" t="s">
        <v>43</v>
      </c>
      <c r="C180" s="5" t="s">
        <v>37</v>
      </c>
      <c r="D180" s="5" t="s">
        <v>38</v>
      </c>
      <c r="E180" s="5" t="s">
        <v>21</v>
      </c>
      <c r="F180" s="5" t="s">
        <v>24</v>
      </c>
      <c r="G180" s="6"/>
      <c r="H180" s="6"/>
      <c r="I180" s="6"/>
      <c r="J180" s="6"/>
      <c r="K180" s="6"/>
      <c r="L180" s="10">
        <f ca="1">IFERROR('RPK (live)'!L180/'ASK (live)'!L180,"-")</f>
        <v>0.78686739800043348</v>
      </c>
      <c r="M180" s="10">
        <f ca="1">IFERROR('RPK (live)'!M180/'ASK (live)'!M180,"-")</f>
        <v>0.82699260106197647</v>
      </c>
      <c r="N180" s="10">
        <f ca="1">IFERROR('RPK (live)'!N180/'ASK (live)'!N180,"-")</f>
        <v>0.80878576872809571</v>
      </c>
      <c r="O180" s="10">
        <f ca="1">IFERROR('RPK (live)'!O180/'ASK (live)'!O180,"-")</f>
        <v>0.77971162802107818</v>
      </c>
      <c r="P180" s="10">
        <f ca="1">IFERROR('RPK (live)'!P180/'ASK (live)'!P180,"-")</f>
        <v>0.83407679196957119</v>
      </c>
      <c r="Q180" s="10">
        <f ca="1">IFERROR('RPK (live)'!Q180/'ASK (live)'!Q180,"-")</f>
        <v>0.90204242995938577</v>
      </c>
      <c r="R180" s="10">
        <f ca="1">IFERROR('RPK (live)'!R180/'ASK (live)'!R180,"-")</f>
        <v>0.93472371535693166</v>
      </c>
      <c r="S180" s="10">
        <f ca="1">IFERROR('RPK (live)'!S180/'ASK (live)'!S180,"-")</f>
        <v>1</v>
      </c>
      <c r="T180" s="10">
        <f ca="1">IFERROR('RPK (live)'!T180/'ASK (live)'!T180,"-")</f>
        <v>0.77537271114071427</v>
      </c>
      <c r="U180" s="10">
        <f ca="1">IFERROR('RPK (live)'!U180/'ASK (live)'!U180,"-")</f>
        <v>0.75933626016462541</v>
      </c>
      <c r="V180" s="10">
        <f ca="1">IFERROR('RPK (live)'!V180/'ASK (live)'!V180,"-")</f>
        <v>0.87172756548014896</v>
      </c>
      <c r="W180" s="10">
        <f ca="1">IFERROR('RPK (live)'!W180/'ASK (live)'!W180,"-")</f>
        <v>0.84097885950806739</v>
      </c>
      <c r="X180" s="10">
        <f ca="1">IFERROR('RPK (live)'!X180/'ASK (live)'!X180,"-")</f>
        <v>0.86225009018817123</v>
      </c>
      <c r="Y180" s="10">
        <f ca="1">IFERROR('RPK (live)'!Y180/'ASK (live)'!Y180,"-")</f>
        <v>0.8892894059732015</v>
      </c>
      <c r="Z180" s="10">
        <f ca="1">IFERROR('RPK (live)'!Z180/'ASK (live)'!Z180,"-")</f>
        <v>0.87619548384081425</v>
      </c>
      <c r="AA180" s="10">
        <f ca="1">IFERROR('RPK (live)'!AA180/'ASK (live)'!AA180,"-")</f>
        <v>0.79239224179188539</v>
      </c>
      <c r="AB180" s="10">
        <f ca="1">IFERROR('RPK (live)'!AB180/'ASK (live)'!AB180,"-")</f>
        <v>0.80188717667542242</v>
      </c>
      <c r="AC180" s="10">
        <f ca="1">IFERROR('RPK (live)'!AC180/'ASK (live)'!AC180,"-")</f>
        <v>0.83718449369422454</v>
      </c>
      <c r="AD180" s="10">
        <f ca="1">IFERROR('RPK (live)'!AD180/'ASK (live)'!AD180,"-")</f>
        <v>0.873203278302491</v>
      </c>
      <c r="AE180" s="10">
        <f ca="1">IFERROR('RPK (live)'!AE180/'ASK (live)'!AE180,"-")</f>
        <v>0.87686320253938244</v>
      </c>
    </row>
    <row r="181" spans="1:31">
      <c r="A181" s="1" t="s">
        <v>152</v>
      </c>
      <c r="B181" s="5" t="s">
        <v>216</v>
      </c>
      <c r="C181" s="5" t="s">
        <v>163</v>
      </c>
      <c r="D181" s="5" t="s">
        <v>21</v>
      </c>
      <c r="E181" s="5" t="s">
        <v>54</v>
      </c>
      <c r="F181" s="5" t="s">
        <v>24</v>
      </c>
      <c r="G181" s="6"/>
      <c r="H181" s="6"/>
      <c r="I181" s="6"/>
      <c r="J181" s="6"/>
      <c r="K181" s="6"/>
      <c r="L181" s="10">
        <f ca="1">IFERROR('RPK (live)'!L181/'ASK (live)'!L181,"-")</f>
        <v>0.86</v>
      </c>
      <c r="M181" s="10">
        <f ca="1">IFERROR('RPK (live)'!M181/'ASK (live)'!M181,"-")</f>
        <v>0.93149270953298546</v>
      </c>
      <c r="N181" s="10">
        <f ca="1">IFERROR('RPK (live)'!N181/'ASK (live)'!N181,"-")</f>
        <v>0.93999999999999984</v>
      </c>
      <c r="O181" s="10">
        <f ca="1">IFERROR('RPK (live)'!O181/'ASK (live)'!O181,"-")</f>
        <v>0.90000000000000024</v>
      </c>
      <c r="P181" s="10">
        <f ca="1">IFERROR('RPK (live)'!P181/'ASK (live)'!P181,"-")</f>
        <v>0.93</v>
      </c>
      <c r="Q181" s="10">
        <f ca="1">IFERROR('RPK (live)'!Q181/'ASK (live)'!Q181,"-")</f>
        <v>0.83</v>
      </c>
      <c r="R181" s="10" t="str">
        <f ca="1">IFERROR('RPK (live)'!R181/'ASK (live)'!R181,"-")</f>
        <v>-</v>
      </c>
      <c r="S181" s="10" t="str">
        <f ca="1">IFERROR('RPK (live)'!S181/'ASK (live)'!S181,"-")</f>
        <v>-</v>
      </c>
      <c r="T181" s="10" t="str">
        <f ca="1">IFERROR('RPK (live)'!T181/'ASK (live)'!T181,"-")</f>
        <v>-</v>
      </c>
      <c r="U181" s="10" t="str">
        <f ca="1">IFERROR('RPK (live)'!U181/'ASK (live)'!U181,"-")</f>
        <v>-</v>
      </c>
      <c r="V181" s="10">
        <f ca="1">IFERROR('RPK (live)'!V181/'ASK (live)'!V181,"-")</f>
        <v>0.84738602186583223</v>
      </c>
      <c r="W181" s="10">
        <f ca="1">IFERROR('RPK (live)'!W181/'ASK (live)'!W181,"-")</f>
        <v>0.88813870591387201</v>
      </c>
      <c r="X181" s="10">
        <f ca="1">IFERROR('RPK (live)'!X181/'ASK (live)'!X181,"-")</f>
        <v>0.94172994851123615</v>
      </c>
      <c r="Y181" s="10">
        <f ca="1">IFERROR('RPK (live)'!Y181/'ASK (live)'!Y181,"-")</f>
        <v>0.97745223642919865</v>
      </c>
      <c r="Z181" s="10">
        <f ca="1">IFERROR('RPK (live)'!Z181/'ASK (live)'!Z181,"-")</f>
        <v>0.97487285258906831</v>
      </c>
      <c r="AA181" s="10">
        <f ca="1">IFERROR('RPK (live)'!AA181/'ASK (live)'!AA181,"-")</f>
        <v>0.90760290387039488</v>
      </c>
      <c r="AB181" s="10">
        <f ca="1">IFERROR('RPK (live)'!AB181/'ASK (live)'!AB181,"-")</f>
        <v>0.93994658326453129</v>
      </c>
      <c r="AC181" s="10">
        <f ca="1">IFERROR('RPK (live)'!AC181/'ASK (live)'!AC181,"-")</f>
        <v>0.89049198317748035</v>
      </c>
      <c r="AD181" s="10" t="str">
        <f ca="1">IFERROR('RPK (live)'!AD181/'ASK (live)'!AD181,"-")</f>
        <v>-</v>
      </c>
      <c r="AE181" s="10" t="str">
        <f ca="1">IFERROR('RPK (live)'!AE181/'ASK (live)'!AE181,"-")</f>
        <v>-</v>
      </c>
    </row>
    <row r="182" spans="1:31">
      <c r="A182" s="1" t="s">
        <v>152</v>
      </c>
      <c r="B182" s="5" t="s">
        <v>56</v>
      </c>
      <c r="C182" s="5" t="s">
        <v>53</v>
      </c>
      <c r="D182" s="5" t="s">
        <v>54</v>
      </c>
      <c r="E182" s="5" t="s">
        <v>21</v>
      </c>
      <c r="F182" s="5" t="s">
        <v>24</v>
      </c>
      <c r="G182" s="6"/>
      <c r="H182" s="6"/>
      <c r="I182" s="6"/>
      <c r="J182" s="6"/>
      <c r="K182" s="6"/>
      <c r="L182" s="10">
        <f ca="1">IFERROR('RPK (live)'!L182/'ASK (live)'!L182,"-")</f>
        <v>0.86</v>
      </c>
      <c r="M182" s="10">
        <f ca="1">IFERROR('RPK (live)'!M182/'ASK (live)'!M182,"-")</f>
        <v>0.93149270953298546</v>
      </c>
      <c r="N182" s="10">
        <f ca="1">IFERROR('RPK (live)'!N182/'ASK (live)'!N182,"-")</f>
        <v>0.93999999999999984</v>
      </c>
      <c r="O182" s="10">
        <f ca="1">IFERROR('RPK (live)'!O182/'ASK (live)'!O182,"-")</f>
        <v>0.90000000000000024</v>
      </c>
      <c r="P182" s="10">
        <f ca="1">IFERROR('RPK (live)'!P182/'ASK (live)'!P182,"-")</f>
        <v>0.93</v>
      </c>
      <c r="Q182" s="10">
        <f ca="1">IFERROR('RPK (live)'!Q182/'ASK (live)'!Q182,"-")</f>
        <v>0.83</v>
      </c>
      <c r="R182" s="10" t="str">
        <f ca="1">IFERROR('RPK (live)'!R182/'ASK (live)'!R182,"-")</f>
        <v>-</v>
      </c>
      <c r="S182" s="10" t="str">
        <f ca="1">IFERROR('RPK (live)'!S182/'ASK (live)'!S182,"-")</f>
        <v>-</v>
      </c>
      <c r="T182" s="10" t="str">
        <f ca="1">IFERROR('RPK (live)'!T182/'ASK (live)'!T182,"-")</f>
        <v>-</v>
      </c>
      <c r="U182" s="10" t="str">
        <f ca="1">IFERROR('RPK (live)'!U182/'ASK (live)'!U182,"-")</f>
        <v>-</v>
      </c>
      <c r="V182" s="10">
        <f ca="1">IFERROR('RPK (live)'!V182/'ASK (live)'!V182,"-")</f>
        <v>0.84738602186583223</v>
      </c>
      <c r="W182" s="10">
        <f ca="1">IFERROR('RPK (live)'!W182/'ASK (live)'!W182,"-")</f>
        <v>0.88813870591387201</v>
      </c>
      <c r="X182" s="10">
        <f ca="1">IFERROR('RPK (live)'!X182/'ASK (live)'!X182,"-")</f>
        <v>0.94172994851123615</v>
      </c>
      <c r="Y182" s="10">
        <f ca="1">IFERROR('RPK (live)'!Y182/'ASK (live)'!Y182,"-")</f>
        <v>0.97745223642919865</v>
      </c>
      <c r="Z182" s="10">
        <f ca="1">IFERROR('RPK (live)'!Z182/'ASK (live)'!Z182,"-")</f>
        <v>0.97487285258906831</v>
      </c>
      <c r="AA182" s="10">
        <f ca="1">IFERROR('RPK (live)'!AA182/'ASK (live)'!AA182,"-")</f>
        <v>0.90760290387039488</v>
      </c>
      <c r="AB182" s="10">
        <f ca="1">IFERROR('RPK (live)'!AB182/'ASK (live)'!AB182,"-")</f>
        <v>0.93994658326453129</v>
      </c>
      <c r="AC182" s="10">
        <f ca="1">IFERROR('RPK (live)'!AC182/'ASK (live)'!AC182,"-")</f>
        <v>0.89049198317748024</v>
      </c>
      <c r="AD182" s="10" t="str">
        <f ca="1">IFERROR('RPK (live)'!AD182/'ASK (live)'!AD182,"-")</f>
        <v>-</v>
      </c>
      <c r="AE182" s="10" t="str">
        <f ca="1">IFERROR('RPK (live)'!AE182/'ASK (live)'!AE182,"-")</f>
        <v>-</v>
      </c>
    </row>
    <row r="183" spans="1:31">
      <c r="A183" s="1" t="s">
        <v>152</v>
      </c>
      <c r="B183" s="5" t="s">
        <v>217</v>
      </c>
      <c r="C183" s="5" t="s">
        <v>159</v>
      </c>
      <c r="D183" s="5" t="s">
        <v>21</v>
      </c>
      <c r="E183" s="5" t="s">
        <v>38</v>
      </c>
      <c r="F183" s="5" t="s">
        <v>24</v>
      </c>
      <c r="G183" s="6"/>
      <c r="H183" s="6"/>
      <c r="I183" s="6"/>
      <c r="J183" s="6"/>
      <c r="K183" s="6"/>
      <c r="L183" s="10">
        <f ca="1">IFERROR('RPK (live)'!L183/'ASK (live)'!L183,"-")</f>
        <v>0.78686739800043348</v>
      </c>
      <c r="M183" s="10">
        <f ca="1">IFERROR('RPK (live)'!M183/'ASK (live)'!M183,"-")</f>
        <v>0.82699260106197647</v>
      </c>
      <c r="N183" s="10">
        <f ca="1">IFERROR('RPK (live)'!N183/'ASK (live)'!N183,"-")</f>
        <v>0.80878576872809571</v>
      </c>
      <c r="O183" s="10">
        <f ca="1">IFERROR('RPK (live)'!O183/'ASK (live)'!O183,"-")</f>
        <v>0.77971162802107818</v>
      </c>
      <c r="P183" s="10">
        <f ca="1">IFERROR('RPK (live)'!P183/'ASK (live)'!P183,"-")</f>
        <v>0.83407679196957119</v>
      </c>
      <c r="Q183" s="10" t="str">
        <f ca="1">IFERROR('RPK (live)'!Q183/'ASK (live)'!Q183,"-")</f>
        <v>-</v>
      </c>
      <c r="R183" s="10" t="str">
        <f ca="1">IFERROR('RPK (live)'!R183/'ASK (live)'!R183,"-")</f>
        <v>-</v>
      </c>
      <c r="S183" s="10" t="str">
        <f ca="1">IFERROR('RPK (live)'!S183/'ASK (live)'!S183,"-")</f>
        <v>-</v>
      </c>
      <c r="T183" s="10">
        <f ca="1">IFERROR('RPK (live)'!T183/'ASK (live)'!T183,"-")</f>
        <v>0.77537271114071415</v>
      </c>
      <c r="U183" s="10">
        <f ca="1">IFERROR('RPK (live)'!U183/'ASK (live)'!U183,"-")</f>
        <v>0.75933626016462541</v>
      </c>
      <c r="V183" s="10">
        <f ca="1">IFERROR('RPK (live)'!V183/'ASK (live)'!V183,"-")</f>
        <v>0.87172756548014907</v>
      </c>
      <c r="W183" s="10">
        <f ca="1">IFERROR('RPK (live)'!W183/'ASK (live)'!W183,"-")</f>
        <v>0.84097885950806739</v>
      </c>
      <c r="X183" s="10">
        <f ca="1">IFERROR('RPK (live)'!X183/'ASK (live)'!X183,"-")</f>
        <v>0.86225009018817134</v>
      </c>
      <c r="Y183" s="10">
        <f ca="1">IFERROR('RPK (live)'!Y183/'ASK (live)'!Y183,"-")</f>
        <v>0.8892894059732015</v>
      </c>
      <c r="Z183" s="10">
        <f ca="1">IFERROR('RPK (live)'!Z183/'ASK (live)'!Z183,"-")</f>
        <v>0.87619548384081425</v>
      </c>
      <c r="AA183" s="10">
        <f ca="1">IFERROR('RPK (live)'!AA183/'ASK (live)'!AA183,"-")</f>
        <v>0.7923922417918855</v>
      </c>
      <c r="AB183" s="10">
        <f ca="1">IFERROR('RPK (live)'!AB183/'ASK (live)'!AB183,"-")</f>
        <v>0.80188717667542275</v>
      </c>
      <c r="AC183" s="10">
        <f ca="1">IFERROR('RPK (live)'!AC183/'ASK (live)'!AC183,"-")</f>
        <v>0.83718449369422454</v>
      </c>
      <c r="AD183" s="10">
        <f ca="1">IFERROR('RPK (live)'!AD183/'ASK (live)'!AD183,"-")</f>
        <v>0.87320327830249111</v>
      </c>
      <c r="AE183" s="10">
        <f ca="1">IFERROR('RPK (live)'!AE183/'ASK (live)'!AE183,"-")</f>
        <v>0.87686320253938244</v>
      </c>
    </row>
    <row r="184" spans="1:31">
      <c r="A184" s="1" t="s">
        <v>152</v>
      </c>
      <c r="B184" s="5" t="s">
        <v>44</v>
      </c>
      <c r="C184" s="5" t="s">
        <v>37</v>
      </c>
      <c r="D184" s="5" t="s">
        <v>38</v>
      </c>
      <c r="E184" s="5" t="s">
        <v>21</v>
      </c>
      <c r="F184" s="5" t="s">
        <v>24</v>
      </c>
      <c r="G184" s="6"/>
      <c r="H184" s="6"/>
      <c r="I184" s="6"/>
      <c r="J184" s="6"/>
      <c r="K184" s="6"/>
      <c r="L184" s="10">
        <f ca="1">IFERROR('RPK (live)'!L184/'ASK (live)'!L184,"-")</f>
        <v>0.78686739800043348</v>
      </c>
      <c r="M184" s="10">
        <f ca="1">IFERROR('RPK (live)'!M184/'ASK (live)'!M184,"-")</f>
        <v>0.82699260106197647</v>
      </c>
      <c r="N184" s="10">
        <f ca="1">IFERROR('RPK (live)'!N184/'ASK (live)'!N184,"-")</f>
        <v>0.80878576872809571</v>
      </c>
      <c r="O184" s="10">
        <f ca="1">IFERROR('RPK (live)'!O184/'ASK (live)'!O184,"-")</f>
        <v>0.77971162802107818</v>
      </c>
      <c r="P184" s="10">
        <f ca="1">IFERROR('RPK (live)'!P184/'ASK (live)'!P184,"-")</f>
        <v>0.8340767919695713</v>
      </c>
      <c r="Q184" s="10">
        <f ca="1">IFERROR('RPK (live)'!Q184/'ASK (live)'!Q184,"-")</f>
        <v>0.90204242995938577</v>
      </c>
      <c r="R184" s="10" t="str">
        <f ca="1">IFERROR('RPK (live)'!R184/'ASK (live)'!R184,"-")</f>
        <v>-</v>
      </c>
      <c r="S184" s="10" t="str">
        <f ca="1">IFERROR('RPK (live)'!S184/'ASK (live)'!S184,"-")</f>
        <v>-</v>
      </c>
      <c r="T184" s="10">
        <f ca="1">IFERROR('RPK (live)'!T184/'ASK (live)'!T184,"-")</f>
        <v>0.77537271114071427</v>
      </c>
      <c r="U184" s="10">
        <f ca="1">IFERROR('RPK (live)'!U184/'ASK (live)'!U184,"-")</f>
        <v>0.75933626016462552</v>
      </c>
      <c r="V184" s="10">
        <f ca="1">IFERROR('RPK (live)'!V184/'ASK (live)'!V184,"-")</f>
        <v>0.87172756548014918</v>
      </c>
      <c r="W184" s="10">
        <f ca="1">IFERROR('RPK (live)'!W184/'ASK (live)'!W184,"-")</f>
        <v>0.84097885950806739</v>
      </c>
      <c r="X184" s="10">
        <f ca="1">IFERROR('RPK (live)'!X184/'ASK (live)'!X184,"-")</f>
        <v>0.86225009018817134</v>
      </c>
      <c r="Y184" s="10">
        <f ca="1">IFERROR('RPK (live)'!Y184/'ASK (live)'!Y184,"-")</f>
        <v>0.8892894059732015</v>
      </c>
      <c r="Z184" s="10">
        <f ca="1">IFERROR('RPK (live)'!Z184/'ASK (live)'!Z184,"-")</f>
        <v>0.87619548384081425</v>
      </c>
      <c r="AA184" s="10">
        <f ca="1">IFERROR('RPK (live)'!AA184/'ASK (live)'!AA184,"-")</f>
        <v>0.7923922417918855</v>
      </c>
      <c r="AB184" s="10">
        <f ca="1">IFERROR('RPK (live)'!AB184/'ASK (live)'!AB184,"-")</f>
        <v>0.80188717667542275</v>
      </c>
      <c r="AC184" s="10">
        <f ca="1">IFERROR('RPK (live)'!AC184/'ASK (live)'!AC184,"-")</f>
        <v>0.83718449369422454</v>
      </c>
      <c r="AD184" s="10">
        <f ca="1">IFERROR('RPK (live)'!AD184/'ASK (live)'!AD184,"-")</f>
        <v>0.873203278302491</v>
      </c>
      <c r="AE184" s="10">
        <f ca="1">IFERROR('RPK (live)'!AE184/'ASK (live)'!AE184,"-")</f>
        <v>0.87686320253938232</v>
      </c>
    </row>
    <row r="185" spans="1:31">
      <c r="A185" s="1" t="s">
        <v>152</v>
      </c>
      <c r="B185" s="5" t="s">
        <v>218</v>
      </c>
      <c r="C185" s="5" t="s">
        <v>219</v>
      </c>
      <c r="D185" s="5" t="s">
        <v>21</v>
      </c>
      <c r="E185" s="5" t="s">
        <v>49</v>
      </c>
      <c r="F185" s="5" t="s">
        <v>24</v>
      </c>
      <c r="G185" s="6"/>
      <c r="H185" s="6"/>
      <c r="I185" s="6"/>
      <c r="J185" s="6"/>
      <c r="K185" s="6"/>
      <c r="L185" s="10">
        <f ca="1">IFERROR('RPK (live)'!L185/'ASK (live)'!L185,"-")</f>
        <v>0.86999999999999988</v>
      </c>
      <c r="M185" s="10">
        <f ca="1">IFERROR('RPK (live)'!M185/'ASK (live)'!M185,"-")</f>
        <v>0.90111794726560546</v>
      </c>
      <c r="N185" s="10">
        <f ca="1">IFERROR('RPK (live)'!N185/'ASK (live)'!N185,"-")</f>
        <v>0.85999999999999988</v>
      </c>
      <c r="O185" s="10">
        <f ca="1">IFERROR('RPK (live)'!O185/'ASK (live)'!O185,"-")</f>
        <v>0.85999999999999988</v>
      </c>
      <c r="P185" s="10">
        <f ca="1">IFERROR('RPK (live)'!P185/'ASK (live)'!P185,"-")</f>
        <v>0.91</v>
      </c>
      <c r="Q185" s="10">
        <f ca="1">IFERROR('RPK (live)'!Q185/'ASK (live)'!Q185,"-")</f>
        <v>0.8899999999999999</v>
      </c>
      <c r="R185" s="10">
        <f ca="1">IFERROR('RPK (live)'!R185/'ASK (live)'!R185,"-")</f>
        <v>0.85</v>
      </c>
      <c r="S185" s="10">
        <f ca="1">IFERROR('RPK (live)'!S185/'ASK (live)'!S185,"-")</f>
        <v>0.72</v>
      </c>
      <c r="T185" s="10">
        <f ca="1">IFERROR('RPK (live)'!T185/'ASK (live)'!T185,"-")</f>
        <v>0.86611023088278449</v>
      </c>
      <c r="U185" s="10">
        <f ca="1">IFERROR('RPK (live)'!U185/'ASK (live)'!U185,"-")</f>
        <v>0.951897251879815</v>
      </c>
      <c r="V185" s="10">
        <f ca="1">IFERROR('RPK (live)'!V185/'ASK (live)'!V185,"-")</f>
        <v>0.98106590308912023</v>
      </c>
      <c r="W185" s="10">
        <f ca="1">IFERROR('RPK (live)'!W185/'ASK (live)'!W185,"-")</f>
        <v>0.98959486842762212</v>
      </c>
      <c r="X185" s="10">
        <f ca="1">IFERROR('RPK (live)'!X185/'ASK (live)'!X185,"-")</f>
        <v>0.99051911298780126</v>
      </c>
      <c r="Y185" s="10">
        <f ca="1">IFERROR('RPK (live)'!Y185/'ASK (live)'!Y185,"-")</f>
        <v>0.99051911298780138</v>
      </c>
      <c r="Z185" s="10">
        <f ca="1">IFERROR('RPK (live)'!Z185/'ASK (live)'!Z185,"-")</f>
        <v>0.99051911298780126</v>
      </c>
      <c r="AA185" s="10">
        <f ca="1">IFERROR('RPK (live)'!AA185/'ASK (live)'!AA185,"-")</f>
        <v>0.99051911298780104</v>
      </c>
      <c r="AB185" s="10">
        <f ca="1">IFERROR('RPK (live)'!AB185/'ASK (live)'!AB185,"-")</f>
        <v>0.98442627138515626</v>
      </c>
      <c r="AC185" s="10">
        <f ca="1">IFERROR('RPK (live)'!AC185/'ASK (live)'!AC185,"-")</f>
        <v>0.97382054098021165</v>
      </c>
      <c r="AD185" s="10">
        <f ca="1">IFERROR('RPK (live)'!AD185/'ASK (live)'!AD185,"-")</f>
        <v>0.86140923600919428</v>
      </c>
      <c r="AE185" s="10">
        <f ca="1">IFERROR('RPK (live)'!AE185/'ASK (live)'!AE185,"-")</f>
        <v>0.76214521384167266</v>
      </c>
    </row>
    <row r="186" spans="1:31">
      <c r="A186" s="1" t="s">
        <v>152</v>
      </c>
      <c r="B186" s="5" t="s">
        <v>47</v>
      </c>
      <c r="C186" s="5" t="s">
        <v>48</v>
      </c>
      <c r="D186" s="5" t="s">
        <v>49</v>
      </c>
      <c r="E186" s="5" t="s">
        <v>21</v>
      </c>
      <c r="F186" s="5" t="s">
        <v>24</v>
      </c>
      <c r="G186" s="6"/>
      <c r="H186" s="6"/>
      <c r="I186" s="6"/>
      <c r="J186" s="6"/>
      <c r="K186" s="6"/>
      <c r="L186" s="10">
        <f ca="1">IFERROR('RPK (live)'!L186/'ASK (live)'!L186,"-")</f>
        <v>0.86999999999999988</v>
      </c>
      <c r="M186" s="10">
        <f ca="1">IFERROR('RPK (live)'!M186/'ASK (live)'!M186,"-")</f>
        <v>0.90111794726560546</v>
      </c>
      <c r="N186" s="10">
        <f ca="1">IFERROR('RPK (live)'!N186/'ASK (live)'!N186,"-")</f>
        <v>0.85999999999999988</v>
      </c>
      <c r="O186" s="10">
        <f ca="1">IFERROR('RPK (live)'!O186/'ASK (live)'!O186,"-")</f>
        <v>0.85999999999999988</v>
      </c>
      <c r="P186" s="10">
        <f ca="1">IFERROR('RPK (live)'!P186/'ASK (live)'!P186,"-")</f>
        <v>0.91</v>
      </c>
      <c r="Q186" s="10">
        <f ca="1">IFERROR('RPK (live)'!Q186/'ASK (live)'!Q186,"-")</f>
        <v>0.8899999999999999</v>
      </c>
      <c r="R186" s="10">
        <f ca="1">IFERROR('RPK (live)'!R186/'ASK (live)'!R186,"-")</f>
        <v>0.85</v>
      </c>
      <c r="S186" s="10">
        <f ca="1">IFERROR('RPK (live)'!S186/'ASK (live)'!S186,"-")</f>
        <v>0.72</v>
      </c>
      <c r="T186" s="10">
        <f ca="1">IFERROR('RPK (live)'!T186/'ASK (live)'!T186,"-")</f>
        <v>0.86611023088278449</v>
      </c>
      <c r="U186" s="10">
        <f ca="1">IFERROR('RPK (live)'!U186/'ASK (live)'!U186,"-")</f>
        <v>0.951897251879815</v>
      </c>
      <c r="V186" s="10">
        <f ca="1">IFERROR('RPK (live)'!V186/'ASK (live)'!V186,"-")</f>
        <v>0.98106590308912023</v>
      </c>
      <c r="W186" s="10">
        <f ca="1">IFERROR('RPK (live)'!W186/'ASK (live)'!W186,"-")</f>
        <v>0.98959486842762212</v>
      </c>
      <c r="X186" s="10">
        <f ca="1">IFERROR('RPK (live)'!X186/'ASK (live)'!X186,"-")</f>
        <v>0.99051911298780126</v>
      </c>
      <c r="Y186" s="10">
        <f ca="1">IFERROR('RPK (live)'!Y186/'ASK (live)'!Y186,"-")</f>
        <v>0.99051911298780138</v>
      </c>
      <c r="Z186" s="10">
        <f ca="1">IFERROR('RPK (live)'!Z186/'ASK (live)'!Z186,"-")</f>
        <v>0.99051911298780126</v>
      </c>
      <c r="AA186" s="10">
        <f ca="1">IFERROR('RPK (live)'!AA186/'ASK (live)'!AA186,"-")</f>
        <v>0.99051911298780104</v>
      </c>
      <c r="AB186" s="10">
        <f ca="1">IFERROR('RPK (live)'!AB186/'ASK (live)'!AB186,"-")</f>
        <v>0.98442627138515626</v>
      </c>
      <c r="AC186" s="10">
        <f ca="1">IFERROR('RPK (live)'!AC186/'ASK (live)'!AC186,"-")</f>
        <v>0.97382054098021198</v>
      </c>
      <c r="AD186" s="10">
        <f ca="1">IFERROR('RPK (live)'!AD186/'ASK (live)'!AD186,"-")</f>
        <v>0.86140923600919428</v>
      </c>
      <c r="AE186" s="10">
        <f ca="1">IFERROR('RPK (live)'!AE186/'ASK (live)'!AE186,"-")</f>
        <v>0.76214521384167266</v>
      </c>
    </row>
    <row r="187" spans="1:31">
      <c r="A187" s="1" t="s">
        <v>152</v>
      </c>
      <c r="B187" s="5" t="s">
        <v>220</v>
      </c>
      <c r="C187" s="5" t="s">
        <v>166</v>
      </c>
      <c r="D187" s="5" t="s">
        <v>21</v>
      </c>
      <c r="E187" s="5" t="s">
        <v>31</v>
      </c>
      <c r="F187" s="5" t="s">
        <v>24</v>
      </c>
      <c r="G187" s="6"/>
      <c r="H187" s="6"/>
      <c r="I187" s="6"/>
      <c r="J187" s="6"/>
      <c r="K187" s="6"/>
      <c r="L187" s="10">
        <f ca="1">IFERROR('RPK (live)'!L187/'ASK (live)'!L187,"-")</f>
        <v>0.78</v>
      </c>
      <c r="M187" s="10">
        <f ca="1">IFERROR('RPK (live)'!M187/'ASK (live)'!M187,"-")</f>
        <v>0.93149270953298546</v>
      </c>
      <c r="N187" s="10">
        <f ca="1">IFERROR('RPK (live)'!N187/'ASK (live)'!N187,"-")</f>
        <v>0.77000000000000013</v>
      </c>
      <c r="O187" s="10">
        <f ca="1">IFERROR('RPK (live)'!O187/'ASK (live)'!O187,"-")</f>
        <v>0.82999999999999985</v>
      </c>
      <c r="P187" s="10">
        <f ca="1">IFERROR('RPK (live)'!P187/'ASK (live)'!P187,"-")</f>
        <v>0.89000000000000012</v>
      </c>
      <c r="Q187" s="10">
        <f ca="1">IFERROR('RPK (live)'!Q187/'ASK (live)'!Q187,"-")</f>
        <v>0.87</v>
      </c>
      <c r="R187" s="10" t="str">
        <f ca="1">IFERROR('RPK (live)'!R187/'ASK (live)'!R187,"-")</f>
        <v>-</v>
      </c>
      <c r="S187" s="10" t="str">
        <f ca="1">IFERROR('RPK (live)'!S187/'ASK (live)'!S187,"-")</f>
        <v>-</v>
      </c>
      <c r="T187" s="10" t="str">
        <f ca="1">IFERROR('RPK (live)'!T187/'ASK (live)'!T187,"-")</f>
        <v>-</v>
      </c>
      <c r="U187" s="10" t="str">
        <f ca="1">IFERROR('RPK (live)'!U187/'ASK (live)'!U187,"-")</f>
        <v>-</v>
      </c>
      <c r="V187" s="10">
        <f ca="1">IFERROR('RPK (live)'!V187/'ASK (live)'!V187,"-")</f>
        <v>0.71301103781447861</v>
      </c>
      <c r="W187" s="10">
        <f ca="1">IFERROR('RPK (live)'!W187/'ASK (live)'!W187,"-")</f>
        <v>0.65628694567584822</v>
      </c>
      <c r="X187" s="10">
        <f ca="1">IFERROR('RPK (live)'!X187/'ASK (live)'!X187,"-")</f>
        <v>0.79785813980538467</v>
      </c>
      <c r="Y187" s="10">
        <f ca="1">IFERROR('RPK (live)'!Y187/'ASK (live)'!Y187,"-")</f>
        <v>0.75976844860291404</v>
      </c>
      <c r="Z187" s="10">
        <f ca="1">IFERROR('RPK (live)'!Z187/'ASK (live)'!Z187,"-")</f>
        <v>0.80629712678086263</v>
      </c>
      <c r="AA187" s="10">
        <f ca="1">IFERROR('RPK (live)'!AA187/'ASK (live)'!AA187,"-")</f>
        <v>0.90150714206386473</v>
      </c>
      <c r="AB187" s="10">
        <f ca="1">IFERROR('RPK (live)'!AB187/'ASK (live)'!AB187,"-")</f>
        <v>0.82418641527240433</v>
      </c>
      <c r="AC187" s="10">
        <f ca="1">IFERROR('RPK (live)'!AC187/'ASK (live)'!AC187,"-")</f>
        <v>0.91767128546796195</v>
      </c>
      <c r="AD187" s="10" t="str">
        <f ca="1">IFERROR('RPK (live)'!AD187/'ASK (live)'!AD187,"-")</f>
        <v>-</v>
      </c>
      <c r="AE187" s="10" t="str">
        <f ca="1">IFERROR('RPK (live)'!AE187/'ASK (live)'!AE187,"-")</f>
        <v>-</v>
      </c>
    </row>
    <row r="188" spans="1:31">
      <c r="A188" s="1" t="s">
        <v>152</v>
      </c>
      <c r="B188" s="5" t="s">
        <v>32</v>
      </c>
      <c r="C188" s="5" t="s">
        <v>30</v>
      </c>
      <c r="D188" s="5" t="s">
        <v>31</v>
      </c>
      <c r="E188" s="5" t="s">
        <v>21</v>
      </c>
      <c r="F188" s="5" t="s">
        <v>24</v>
      </c>
      <c r="G188" s="6"/>
      <c r="H188" s="6"/>
      <c r="I188" s="6"/>
      <c r="J188" s="6"/>
      <c r="K188" s="6"/>
      <c r="L188" s="10">
        <f ca="1">IFERROR('RPK (live)'!L188/'ASK (live)'!L188,"-")</f>
        <v>0.78</v>
      </c>
      <c r="M188" s="10">
        <f ca="1">IFERROR('RPK (live)'!M188/'ASK (live)'!M188,"-")</f>
        <v>0.93149270953298546</v>
      </c>
      <c r="N188" s="10">
        <f ca="1">IFERROR('RPK (live)'!N188/'ASK (live)'!N188,"-")</f>
        <v>0.77000000000000013</v>
      </c>
      <c r="O188" s="10">
        <f ca="1">IFERROR('RPK (live)'!O188/'ASK (live)'!O188,"-")</f>
        <v>0.82999999999999985</v>
      </c>
      <c r="P188" s="10">
        <f ca="1">IFERROR('RPK (live)'!P188/'ASK (live)'!P188,"-")</f>
        <v>0.89000000000000012</v>
      </c>
      <c r="Q188" s="10">
        <f ca="1">IFERROR('RPK (live)'!Q188/'ASK (live)'!Q188,"-")</f>
        <v>0.87</v>
      </c>
      <c r="R188" s="10" t="str">
        <f ca="1">IFERROR('RPK (live)'!R188/'ASK (live)'!R188,"-")</f>
        <v>-</v>
      </c>
      <c r="S188" s="10" t="str">
        <f ca="1">IFERROR('RPK (live)'!S188/'ASK (live)'!S188,"-")</f>
        <v>-</v>
      </c>
      <c r="T188" s="10" t="str">
        <f ca="1">IFERROR('RPK (live)'!T188/'ASK (live)'!T188,"-")</f>
        <v>-</v>
      </c>
      <c r="U188" s="10" t="str">
        <f ca="1">IFERROR('RPK (live)'!U188/'ASK (live)'!U188,"-")</f>
        <v>-</v>
      </c>
      <c r="V188" s="10">
        <f ca="1">IFERROR('RPK (live)'!V188/'ASK (live)'!V188,"-")</f>
        <v>0.71301103781447861</v>
      </c>
      <c r="W188" s="10">
        <f ca="1">IFERROR('RPK (live)'!W188/'ASK (live)'!W188,"-")</f>
        <v>0.65628694567584822</v>
      </c>
      <c r="X188" s="10">
        <f ca="1">IFERROR('RPK (live)'!X188/'ASK (live)'!X188,"-")</f>
        <v>0.79785813980538467</v>
      </c>
      <c r="Y188" s="10">
        <f ca="1">IFERROR('RPK (live)'!Y188/'ASK (live)'!Y188,"-")</f>
        <v>0.75976844860291404</v>
      </c>
      <c r="Z188" s="10">
        <f ca="1">IFERROR('RPK (live)'!Z188/'ASK (live)'!Z188,"-")</f>
        <v>0.80629712678086263</v>
      </c>
      <c r="AA188" s="10">
        <f ca="1">IFERROR('RPK (live)'!AA188/'ASK (live)'!AA188,"-")</f>
        <v>0.90150714206386473</v>
      </c>
      <c r="AB188" s="10">
        <f ca="1">IFERROR('RPK (live)'!AB188/'ASK (live)'!AB188,"-")</f>
        <v>0.82418641527240433</v>
      </c>
      <c r="AC188" s="10">
        <f ca="1">IFERROR('RPK (live)'!AC188/'ASK (live)'!AC188,"-")</f>
        <v>0.91767128546796195</v>
      </c>
      <c r="AD188" s="10" t="str">
        <f ca="1">IFERROR('RPK (live)'!AD188/'ASK (live)'!AD188,"-")</f>
        <v>-</v>
      </c>
      <c r="AE188" s="10" t="str">
        <f ca="1">IFERROR('RPK (live)'!AE188/'ASK (live)'!AE188,"-")</f>
        <v>-</v>
      </c>
    </row>
    <row r="189" spans="1:31">
      <c r="A189" s="1" t="s">
        <v>152</v>
      </c>
      <c r="B189" s="5" t="s">
        <v>221</v>
      </c>
      <c r="C189" s="5" t="s">
        <v>193</v>
      </c>
      <c r="D189" s="5" t="s">
        <v>21</v>
      </c>
      <c r="E189" s="5" t="s">
        <v>194</v>
      </c>
      <c r="F189" s="5" t="s">
        <v>24</v>
      </c>
      <c r="G189" s="6"/>
      <c r="H189" s="6"/>
      <c r="I189" s="6"/>
      <c r="J189" s="6"/>
      <c r="K189" s="6"/>
      <c r="L189" s="10">
        <f ca="1">IFERROR('RPK (live)'!L189/'ASK (live)'!L189,"-")</f>
        <v>0.75</v>
      </c>
      <c r="M189" s="10">
        <f ca="1">IFERROR('RPK (live)'!M189/'ASK (live)'!M189,"-")</f>
        <v>0.83024350197505214</v>
      </c>
      <c r="N189" s="10">
        <f ca="1">IFERROR('RPK (live)'!N189/'ASK (live)'!N189,"-")</f>
        <v>0.82</v>
      </c>
      <c r="O189" s="10">
        <f ca="1">IFERROR('RPK (live)'!O189/'ASK (live)'!O189,"-")</f>
        <v>0.72</v>
      </c>
      <c r="P189" s="10">
        <f ca="1">IFERROR('RPK (live)'!P189/'ASK (live)'!P189,"-")</f>
        <v>0.89</v>
      </c>
      <c r="Q189" s="10">
        <f ca="1">IFERROR('RPK (live)'!Q189/'ASK (live)'!Q189,"-")</f>
        <v>0.89</v>
      </c>
      <c r="R189" s="10">
        <f ca="1">IFERROR('RPK (live)'!R189/'ASK (live)'!R189,"-")</f>
        <v>0.8</v>
      </c>
      <c r="S189" s="10">
        <f ca="1">IFERROR('RPK (live)'!S189/'ASK (live)'!S189,"-")</f>
        <v>0.72000000000000008</v>
      </c>
      <c r="T189" s="10">
        <f ca="1">IFERROR('RPK (live)'!T189/'ASK (live)'!T189,"-")</f>
        <v>0.93853678529403717</v>
      </c>
      <c r="U189" s="10">
        <f ca="1">IFERROR('RPK (live)'!U189/'ASK (live)'!U189,"-")</f>
        <v>0.88647954151087449</v>
      </c>
      <c r="V189" s="10">
        <f ca="1">IFERROR('RPK (live)'!V189/'ASK (live)'!V189,"-")</f>
        <v>0.93078151853330493</v>
      </c>
      <c r="W189" s="10">
        <f ca="1">IFERROR('RPK (live)'!W189/'ASK (live)'!W189,"-")</f>
        <v>0.90668170221508804</v>
      </c>
      <c r="X189" s="10">
        <f ca="1">IFERROR('RPK (live)'!X189/'ASK (live)'!X189,"-")</f>
        <v>0.94311435601611393</v>
      </c>
      <c r="Y189" s="10">
        <f ca="1">IFERROR('RPK (live)'!Y189/'ASK (live)'!Y189,"-")</f>
        <v>0.96803304334879103</v>
      </c>
      <c r="Z189" s="10">
        <f ca="1">IFERROR('RPK (live)'!Z189/'ASK (live)'!Z189,"-")</f>
        <v>0.9458503932418687</v>
      </c>
      <c r="AA189" s="10">
        <f ca="1">IFERROR('RPK (live)'!AA189/'ASK (live)'!AA189,"-")</f>
        <v>0.90116707887664294</v>
      </c>
      <c r="AB189" s="10">
        <f ca="1">IFERROR('RPK (live)'!AB189/'ASK (live)'!AB189,"-")</f>
        <v>0.98853308433205234</v>
      </c>
      <c r="AC189" s="10">
        <f ca="1">IFERROR('RPK (live)'!AC189/'ASK (live)'!AC189,"-")</f>
        <v>0.99051911298780138</v>
      </c>
      <c r="AD189" s="10">
        <f ca="1">IFERROR('RPK (live)'!AD189/'ASK (live)'!AD189,"-")</f>
        <v>0.85724110806166687</v>
      </c>
      <c r="AE189" s="10">
        <f ca="1">IFERROR('RPK (live)'!AE189/'ASK (live)'!AE189,"-")</f>
        <v>0.85714757923681983</v>
      </c>
    </row>
    <row r="190" spans="1:31">
      <c r="A190" s="1" t="s">
        <v>152</v>
      </c>
      <c r="B190" s="5" t="s">
        <v>222</v>
      </c>
      <c r="C190" s="5" t="s">
        <v>196</v>
      </c>
      <c r="D190" s="5" t="s">
        <v>194</v>
      </c>
      <c r="E190" s="5" t="s">
        <v>21</v>
      </c>
      <c r="F190" s="5" t="s">
        <v>24</v>
      </c>
      <c r="G190" s="6"/>
      <c r="H190" s="6"/>
      <c r="I190" s="6"/>
      <c r="J190" s="6"/>
      <c r="K190" s="6"/>
      <c r="L190" s="10">
        <f ca="1">IFERROR('RPK (live)'!L190/'ASK (live)'!L190,"-")</f>
        <v>0.75</v>
      </c>
      <c r="M190" s="10">
        <f ca="1">IFERROR('RPK (live)'!M190/'ASK (live)'!M190,"-")</f>
        <v>0.83024350197505214</v>
      </c>
      <c r="N190" s="10">
        <f ca="1">IFERROR('RPK (live)'!N190/'ASK (live)'!N190,"-")</f>
        <v>0.82</v>
      </c>
      <c r="O190" s="10">
        <f ca="1">IFERROR('RPK (live)'!O190/'ASK (live)'!O190,"-")</f>
        <v>0.72</v>
      </c>
      <c r="P190" s="10">
        <f ca="1">IFERROR('RPK (live)'!P190/'ASK (live)'!P190,"-")</f>
        <v>0.89</v>
      </c>
      <c r="Q190" s="10">
        <f ca="1">IFERROR('RPK (live)'!Q190/'ASK (live)'!Q190,"-")</f>
        <v>0.89</v>
      </c>
      <c r="R190" s="10">
        <f ca="1">IFERROR('RPK (live)'!R190/'ASK (live)'!R190,"-")</f>
        <v>0.8</v>
      </c>
      <c r="S190" s="10">
        <f ca="1">IFERROR('RPK (live)'!S190/'ASK (live)'!S190,"-")</f>
        <v>0.72000000000000008</v>
      </c>
      <c r="T190" s="10">
        <f ca="1">IFERROR('RPK (live)'!T190/'ASK (live)'!T190,"-")</f>
        <v>0.93853678529403717</v>
      </c>
      <c r="U190" s="10">
        <f ca="1">IFERROR('RPK (live)'!U190/'ASK (live)'!U190,"-")</f>
        <v>0.88647954151087449</v>
      </c>
      <c r="V190" s="10">
        <f ca="1">IFERROR('RPK (live)'!V190/'ASK (live)'!V190,"-")</f>
        <v>0.93078151853330493</v>
      </c>
      <c r="W190" s="10">
        <f ca="1">IFERROR('RPK (live)'!W190/'ASK (live)'!W190,"-")</f>
        <v>0.90668170221508804</v>
      </c>
      <c r="X190" s="10">
        <f ca="1">IFERROR('RPK (live)'!X190/'ASK (live)'!X190,"-")</f>
        <v>0.94311435601611393</v>
      </c>
      <c r="Y190" s="10">
        <f ca="1">IFERROR('RPK (live)'!Y190/'ASK (live)'!Y190,"-")</f>
        <v>0.96803304334879103</v>
      </c>
      <c r="Z190" s="10">
        <f ca="1">IFERROR('RPK (live)'!Z190/'ASK (live)'!Z190,"-")</f>
        <v>0.9458503932418687</v>
      </c>
      <c r="AA190" s="10">
        <f ca="1">IFERROR('RPK (live)'!AA190/'ASK (live)'!AA190,"-")</f>
        <v>0.90116707887664294</v>
      </c>
      <c r="AB190" s="10">
        <f ca="1">IFERROR('RPK (live)'!AB190/'ASK (live)'!AB190,"-")</f>
        <v>0.98853308433205234</v>
      </c>
      <c r="AC190" s="10">
        <f ca="1">IFERROR('RPK (live)'!AC190/'ASK (live)'!AC190,"-")</f>
        <v>0.99051911298780138</v>
      </c>
      <c r="AD190" s="10">
        <f ca="1">IFERROR('RPK (live)'!AD190/'ASK (live)'!AD190,"-")</f>
        <v>0.85724110806166687</v>
      </c>
      <c r="AE190" s="10">
        <f ca="1">IFERROR('RPK (live)'!AE190/'ASK (live)'!AE190,"-")</f>
        <v>0.85714757923681995</v>
      </c>
    </row>
    <row r="191" spans="1:31">
      <c r="A191" s="1" t="s">
        <v>152</v>
      </c>
      <c r="B191" s="5" t="s">
        <v>223</v>
      </c>
      <c r="C191" s="5" t="s">
        <v>193</v>
      </c>
      <c r="D191" s="5" t="s">
        <v>21</v>
      </c>
      <c r="E191" s="5" t="s">
        <v>194</v>
      </c>
      <c r="F191" s="5" t="s">
        <v>24</v>
      </c>
      <c r="G191" s="6"/>
      <c r="H191" s="6"/>
      <c r="I191" s="6"/>
      <c r="J191" s="6"/>
      <c r="K191" s="6"/>
      <c r="L191" s="10">
        <f ca="1">IFERROR('RPK (live)'!L191/'ASK (live)'!L191,"-")</f>
        <v>0.75</v>
      </c>
      <c r="M191" s="10">
        <f ca="1">IFERROR('RPK (live)'!M191/'ASK (live)'!M191,"-")</f>
        <v>0.83024350197505226</v>
      </c>
      <c r="N191" s="10">
        <f ca="1">IFERROR('RPK (live)'!N191/'ASK (live)'!N191,"-")</f>
        <v>0.81999999999999984</v>
      </c>
      <c r="O191" s="10">
        <f ca="1">IFERROR('RPK (live)'!O191/'ASK (live)'!O191,"-")</f>
        <v>0.72</v>
      </c>
      <c r="P191" s="10">
        <f ca="1">IFERROR('RPK (live)'!P191/'ASK (live)'!P191,"-")</f>
        <v>0.89</v>
      </c>
      <c r="Q191" s="10">
        <f ca="1">IFERROR('RPK (live)'!Q191/'ASK (live)'!Q191,"-")</f>
        <v>0.89</v>
      </c>
      <c r="R191" s="10">
        <f ca="1">IFERROR('RPK (live)'!R191/'ASK (live)'!R191,"-")</f>
        <v>0.8</v>
      </c>
      <c r="S191" s="10">
        <f ca="1">IFERROR('RPK (live)'!S191/'ASK (live)'!S191,"-")</f>
        <v>0.72000000000000008</v>
      </c>
      <c r="T191" s="10">
        <f ca="1">IFERROR('RPK (live)'!T191/'ASK (live)'!T191,"-")</f>
        <v>0.93853678529403706</v>
      </c>
      <c r="U191" s="10">
        <f ca="1">IFERROR('RPK (live)'!U191/'ASK (live)'!U191,"-")</f>
        <v>0.88647954151087449</v>
      </c>
      <c r="V191" s="10">
        <f ca="1">IFERROR('RPK (live)'!V191/'ASK (live)'!V191,"-")</f>
        <v>0.93078151853330482</v>
      </c>
      <c r="W191" s="10">
        <f ca="1">IFERROR('RPK (live)'!W191/'ASK (live)'!W191,"-")</f>
        <v>0.90668170221508804</v>
      </c>
      <c r="X191" s="10">
        <f ca="1">IFERROR('RPK (live)'!X191/'ASK (live)'!X191,"-")</f>
        <v>0.94311435601611393</v>
      </c>
      <c r="Y191" s="10">
        <f ca="1">IFERROR('RPK (live)'!Y191/'ASK (live)'!Y191,"-")</f>
        <v>0.96803304334879114</v>
      </c>
      <c r="Z191" s="10">
        <f ca="1">IFERROR('RPK (live)'!Z191/'ASK (live)'!Z191,"-")</f>
        <v>0.94585039324186881</v>
      </c>
      <c r="AA191" s="10">
        <f ca="1">IFERROR('RPK (live)'!AA191/'ASK (live)'!AA191,"-")</f>
        <v>0.90116707887664305</v>
      </c>
      <c r="AB191" s="10">
        <f ca="1">IFERROR('RPK (live)'!AB191/'ASK (live)'!AB191,"-")</f>
        <v>0.98853308433205223</v>
      </c>
      <c r="AC191" s="10">
        <f ca="1">IFERROR('RPK (live)'!AC191/'ASK (live)'!AC191,"-")</f>
        <v>0.99051911298780138</v>
      </c>
      <c r="AD191" s="10">
        <f ca="1">IFERROR('RPK (live)'!AD191/'ASK (live)'!AD191,"-")</f>
        <v>0.85724110806166709</v>
      </c>
      <c r="AE191" s="10">
        <f ca="1">IFERROR('RPK (live)'!AE191/'ASK (live)'!AE191,"-")</f>
        <v>0.85714757923681983</v>
      </c>
    </row>
    <row r="192" spans="1:31">
      <c r="A192" s="1" t="s">
        <v>152</v>
      </c>
      <c r="B192" s="5" t="s">
        <v>224</v>
      </c>
      <c r="C192" s="5" t="s">
        <v>196</v>
      </c>
      <c r="D192" s="5" t="s">
        <v>194</v>
      </c>
      <c r="E192" s="5" t="s">
        <v>21</v>
      </c>
      <c r="F192" s="5" t="s">
        <v>24</v>
      </c>
      <c r="G192" s="6"/>
      <c r="H192" s="6"/>
      <c r="I192" s="6"/>
      <c r="J192" s="6"/>
      <c r="K192" s="6"/>
      <c r="L192" s="10">
        <f ca="1">IFERROR('RPK (live)'!L192/'ASK (live)'!L192,"-")</f>
        <v>0.75</v>
      </c>
      <c r="M192" s="10">
        <f ca="1">IFERROR('RPK (live)'!M192/'ASK (live)'!M192,"-")</f>
        <v>0.83024350197505226</v>
      </c>
      <c r="N192" s="10">
        <f ca="1">IFERROR('RPK (live)'!N192/'ASK (live)'!N192,"-")</f>
        <v>0.81999999999999984</v>
      </c>
      <c r="O192" s="10">
        <f ca="1">IFERROR('RPK (live)'!O192/'ASK (live)'!O192,"-")</f>
        <v>0.72</v>
      </c>
      <c r="P192" s="10">
        <f ca="1">IFERROR('RPK (live)'!P192/'ASK (live)'!P192,"-")</f>
        <v>0.89</v>
      </c>
      <c r="Q192" s="10">
        <f ca="1">IFERROR('RPK (live)'!Q192/'ASK (live)'!Q192,"-")</f>
        <v>0.89</v>
      </c>
      <c r="R192" s="10">
        <f ca="1">IFERROR('RPK (live)'!R192/'ASK (live)'!R192,"-")</f>
        <v>0.8</v>
      </c>
      <c r="S192" s="10">
        <f ca="1">IFERROR('RPK (live)'!S192/'ASK (live)'!S192,"-")</f>
        <v>0.72000000000000008</v>
      </c>
      <c r="T192" s="10">
        <f ca="1">IFERROR('RPK (live)'!T192/'ASK (live)'!T192,"-")</f>
        <v>0.93853678529403706</v>
      </c>
      <c r="U192" s="10">
        <f ca="1">IFERROR('RPK (live)'!U192/'ASK (live)'!U192,"-")</f>
        <v>0.88647954151087449</v>
      </c>
      <c r="V192" s="10">
        <f ca="1">IFERROR('RPK (live)'!V192/'ASK (live)'!V192,"-")</f>
        <v>0.93078151853330482</v>
      </c>
      <c r="W192" s="10">
        <f ca="1">IFERROR('RPK (live)'!W192/'ASK (live)'!W192,"-")</f>
        <v>0.90668170221508804</v>
      </c>
      <c r="X192" s="10">
        <f ca="1">IFERROR('RPK (live)'!X192/'ASK (live)'!X192,"-")</f>
        <v>0.94311435601611393</v>
      </c>
      <c r="Y192" s="10">
        <f ca="1">IFERROR('RPK (live)'!Y192/'ASK (live)'!Y192,"-")</f>
        <v>0.96803304334879114</v>
      </c>
      <c r="Z192" s="10">
        <f ca="1">IFERROR('RPK (live)'!Z192/'ASK (live)'!Z192,"-")</f>
        <v>0.94585039324186881</v>
      </c>
      <c r="AA192" s="10">
        <f ca="1">IFERROR('RPK (live)'!AA192/'ASK (live)'!AA192,"-")</f>
        <v>0.90116707887664305</v>
      </c>
      <c r="AB192" s="10">
        <f ca="1">IFERROR('RPK (live)'!AB192/'ASK (live)'!AB192,"-")</f>
        <v>0.98853308433205223</v>
      </c>
      <c r="AC192" s="10">
        <f ca="1">IFERROR('RPK (live)'!AC192/'ASK (live)'!AC192,"-")</f>
        <v>0.99051911298780138</v>
      </c>
      <c r="AD192" s="10">
        <f ca="1">IFERROR('RPK (live)'!AD192/'ASK (live)'!AD192,"-")</f>
        <v>0.85724110806166709</v>
      </c>
      <c r="AE192" s="10">
        <f ca="1">IFERROR('RPK (live)'!AE192/'ASK (live)'!AE192,"-")</f>
        <v>0.85714757923681983</v>
      </c>
    </row>
    <row r="193" spans="1:31">
      <c r="A193" s="1" t="s">
        <v>152</v>
      </c>
      <c r="B193" s="5" t="s">
        <v>225</v>
      </c>
      <c r="C193" s="5" t="s">
        <v>226</v>
      </c>
      <c r="D193" s="5" t="s">
        <v>21</v>
      </c>
      <c r="E193" s="5" t="s">
        <v>227</v>
      </c>
      <c r="F193" s="5" t="s">
        <v>24</v>
      </c>
      <c r="G193" s="6"/>
      <c r="H193" s="6"/>
      <c r="I193" s="6"/>
      <c r="J193" s="6"/>
      <c r="K193" s="6"/>
      <c r="L193" s="10" t="str">
        <f ca="1">IFERROR('RPK (live)'!L193/'ASK (live)'!L193,"-")</f>
        <v>-</v>
      </c>
      <c r="M193" s="10" t="str">
        <f ca="1">IFERROR('RPK (live)'!M193/'ASK (live)'!M193,"-")</f>
        <v>-</v>
      </c>
      <c r="N193" s="10" t="str">
        <f ca="1">IFERROR('RPK (live)'!N193/'ASK (live)'!N193,"-")</f>
        <v>-</v>
      </c>
      <c r="O193" s="10" t="str">
        <f ca="1">IFERROR('RPK (live)'!O193/'ASK (live)'!O193,"-")</f>
        <v>-</v>
      </c>
      <c r="P193" s="10" t="str">
        <f ca="1">IFERROR('RPK (live)'!P193/'ASK (live)'!P193,"-")</f>
        <v>-</v>
      </c>
      <c r="Q193" s="10">
        <f ca="1">IFERROR('RPK (live)'!Q193/'ASK (live)'!Q193,"-")</f>
        <v>0.85999999999999976</v>
      </c>
      <c r="R193" s="10">
        <f ca="1">IFERROR('RPK (live)'!R193/'ASK (live)'!R193,"-")</f>
        <v>0.85</v>
      </c>
      <c r="S193" s="10" t="str">
        <f ca="1">IFERROR('RPK (live)'!S193/'ASK (live)'!S193,"-")</f>
        <v>-</v>
      </c>
      <c r="T193" s="10" t="str">
        <f ca="1">IFERROR('RPK (live)'!T193/'ASK (live)'!T193,"-")</f>
        <v>-</v>
      </c>
      <c r="U193" s="10" t="str">
        <f ca="1">IFERROR('RPK (live)'!U193/'ASK (live)'!U193,"-")</f>
        <v>-</v>
      </c>
      <c r="V193" s="10" t="str">
        <f ca="1">IFERROR('RPK (live)'!V193/'ASK (live)'!V193,"-")</f>
        <v>-</v>
      </c>
      <c r="W193" s="10" t="str">
        <f ca="1">IFERROR('RPK (live)'!W193/'ASK (live)'!W193,"-")</f>
        <v>-</v>
      </c>
      <c r="X193" s="10" t="str">
        <f ca="1">IFERROR('RPK (live)'!X193/'ASK (live)'!X193,"-")</f>
        <v>-</v>
      </c>
      <c r="Y193" s="10" t="str">
        <f ca="1">IFERROR('RPK (live)'!Y193/'ASK (live)'!Y193,"-")</f>
        <v>-</v>
      </c>
      <c r="Z193" s="10" t="str">
        <f ca="1">IFERROR('RPK (live)'!Z193/'ASK (live)'!Z193,"-")</f>
        <v>-</v>
      </c>
      <c r="AA193" s="10" t="str">
        <f ca="1">IFERROR('RPK (live)'!AA193/'ASK (live)'!AA193,"-")</f>
        <v>-</v>
      </c>
      <c r="AB193" s="10" t="str">
        <f ca="1">IFERROR('RPK (live)'!AB193/'ASK (live)'!AB193,"-")</f>
        <v>-</v>
      </c>
      <c r="AC193" s="10" t="str">
        <f ca="1">IFERROR('RPK (live)'!AC193/'ASK (live)'!AC193,"-")</f>
        <v>-</v>
      </c>
      <c r="AD193" s="10" t="str">
        <f ca="1">IFERROR('RPK (live)'!AD193/'ASK (live)'!AD193,"-")</f>
        <v>-</v>
      </c>
      <c r="AE193" s="10" t="str">
        <f ca="1">IFERROR('RPK (live)'!AE193/'ASK (live)'!AE193,"-")</f>
        <v>-</v>
      </c>
    </row>
    <row r="194" spans="1:31">
      <c r="A194" s="1" t="s">
        <v>152</v>
      </c>
      <c r="B194" s="5" t="s">
        <v>228</v>
      </c>
      <c r="C194" s="5" t="s">
        <v>229</v>
      </c>
      <c r="D194" s="5" t="s">
        <v>227</v>
      </c>
      <c r="E194" s="5" t="s">
        <v>21</v>
      </c>
      <c r="F194" s="5" t="s">
        <v>24</v>
      </c>
      <c r="G194" s="6"/>
      <c r="H194" s="6"/>
      <c r="I194" s="6"/>
      <c r="J194" s="6"/>
      <c r="K194" s="6"/>
      <c r="L194" s="10" t="str">
        <f ca="1">IFERROR('RPK (live)'!L194/'ASK (live)'!L194,"-")</f>
        <v>-</v>
      </c>
      <c r="M194" s="10" t="str">
        <f ca="1">IFERROR('RPK (live)'!M194/'ASK (live)'!M194,"-")</f>
        <v>-</v>
      </c>
      <c r="N194" s="10" t="str">
        <f ca="1">IFERROR('RPK (live)'!N194/'ASK (live)'!N194,"-")</f>
        <v>-</v>
      </c>
      <c r="O194" s="10" t="str">
        <f ca="1">IFERROR('RPK (live)'!O194/'ASK (live)'!O194,"-")</f>
        <v>-</v>
      </c>
      <c r="P194" s="10" t="str">
        <f ca="1">IFERROR('RPK (live)'!P194/'ASK (live)'!P194,"-")</f>
        <v>-</v>
      </c>
      <c r="Q194" s="10">
        <f ca="1">IFERROR('RPK (live)'!Q194/'ASK (live)'!Q194,"-")</f>
        <v>0.85999999999999976</v>
      </c>
      <c r="R194" s="10">
        <f ca="1">IFERROR('RPK (live)'!R194/'ASK (live)'!R194,"-")</f>
        <v>0.85</v>
      </c>
      <c r="S194" s="10" t="str">
        <f ca="1">IFERROR('RPK (live)'!S194/'ASK (live)'!S194,"-")</f>
        <v>-</v>
      </c>
      <c r="T194" s="10" t="str">
        <f ca="1">IFERROR('RPK (live)'!T194/'ASK (live)'!T194,"-")</f>
        <v>-</v>
      </c>
      <c r="U194" s="10" t="str">
        <f ca="1">IFERROR('RPK (live)'!U194/'ASK (live)'!U194,"-")</f>
        <v>-</v>
      </c>
      <c r="V194" s="10" t="str">
        <f ca="1">IFERROR('RPK (live)'!V194/'ASK (live)'!V194,"-")</f>
        <v>-</v>
      </c>
      <c r="W194" s="10" t="str">
        <f ca="1">IFERROR('RPK (live)'!W194/'ASK (live)'!W194,"-")</f>
        <v>-</v>
      </c>
      <c r="X194" s="10" t="str">
        <f ca="1">IFERROR('RPK (live)'!X194/'ASK (live)'!X194,"-")</f>
        <v>-</v>
      </c>
      <c r="Y194" s="10" t="str">
        <f ca="1">IFERROR('RPK (live)'!Y194/'ASK (live)'!Y194,"-")</f>
        <v>-</v>
      </c>
      <c r="Z194" s="10" t="str">
        <f ca="1">IFERROR('RPK (live)'!Z194/'ASK (live)'!Z194,"-")</f>
        <v>-</v>
      </c>
      <c r="AA194" s="10" t="str">
        <f ca="1">IFERROR('RPK (live)'!AA194/'ASK (live)'!AA194,"-")</f>
        <v>-</v>
      </c>
      <c r="AB194" s="10" t="str">
        <f ca="1">IFERROR('RPK (live)'!AB194/'ASK (live)'!AB194,"-")</f>
        <v>-</v>
      </c>
      <c r="AC194" s="10" t="str">
        <f ca="1">IFERROR('RPK (live)'!AC194/'ASK (live)'!AC194,"-")</f>
        <v>-</v>
      </c>
      <c r="AD194" s="10" t="str">
        <f ca="1">IFERROR('RPK (live)'!AD194/'ASK (live)'!AD194,"-")</f>
        <v>-</v>
      </c>
      <c r="AE194" s="10" t="str">
        <f ca="1">IFERROR('RPK (live)'!AE194/'ASK (live)'!AE194,"-")</f>
        <v>-</v>
      </c>
    </row>
    <row r="195" spans="1:31">
      <c r="A195" s="1" t="s">
        <v>152</v>
      </c>
      <c r="B195" s="5" t="s">
        <v>230</v>
      </c>
      <c r="C195" s="5" t="s">
        <v>210</v>
      </c>
      <c r="D195" s="5" t="s">
        <v>21</v>
      </c>
      <c r="E195" s="5" t="s">
        <v>211</v>
      </c>
      <c r="F195" s="5" t="s">
        <v>24</v>
      </c>
      <c r="G195" s="6"/>
      <c r="H195" s="6"/>
      <c r="I195" s="6"/>
      <c r="J195" s="6"/>
      <c r="K195" s="6"/>
      <c r="L195" s="10">
        <f ca="1">IFERROR('RPK (live)'!L195/'ASK (live)'!L195,"-")</f>
        <v>0.89</v>
      </c>
      <c r="M195" s="10">
        <f ca="1">IFERROR('RPK (live)'!M195/'ASK (live)'!M195,"-")</f>
        <v>0.96186747180036525</v>
      </c>
      <c r="N195" s="10">
        <f ca="1">IFERROR('RPK (live)'!N195/'ASK (live)'!N195,"-")</f>
        <v>0.89</v>
      </c>
      <c r="O195" s="10">
        <f ca="1">IFERROR('RPK (live)'!O195/'ASK (live)'!O195,"-")</f>
        <v>0.86000000000000032</v>
      </c>
      <c r="P195" s="10">
        <f ca="1">IFERROR('RPK (live)'!P195/'ASK (live)'!P195,"-")</f>
        <v>0.92000000000000026</v>
      </c>
      <c r="Q195" s="10">
        <f ca="1">IFERROR('RPK (live)'!Q195/'ASK (live)'!Q195,"-")</f>
        <v>0.85999999999999988</v>
      </c>
      <c r="R195" s="10" t="str">
        <f ca="1">IFERROR('RPK (live)'!R195/'ASK (live)'!R195,"-")</f>
        <v>-</v>
      </c>
      <c r="S195" s="10" t="str">
        <f ca="1">IFERROR('RPK (live)'!S195/'ASK (live)'!S195,"-")</f>
        <v>-</v>
      </c>
      <c r="T195" s="10" t="str">
        <f ca="1">IFERROR('RPK (live)'!T195/'ASK (live)'!T195,"-")</f>
        <v>-</v>
      </c>
      <c r="U195" s="10" t="str">
        <f ca="1">IFERROR('RPK (live)'!U195/'ASK (live)'!U195,"-")</f>
        <v>-</v>
      </c>
      <c r="V195" s="10" t="str">
        <f ca="1">IFERROR('RPK (live)'!V195/'ASK (live)'!V195,"-")</f>
        <v>-</v>
      </c>
      <c r="W195" s="10">
        <f ca="1">IFERROR('RPK (live)'!W195/'ASK (live)'!W195,"-")</f>
        <v>0.97106499796715029</v>
      </c>
      <c r="X195" s="10">
        <f ca="1">IFERROR('RPK (live)'!X195/'ASK (live)'!X195,"-")</f>
        <v>0.99051911298780138</v>
      </c>
      <c r="Y195" s="10">
        <f ca="1">IFERROR('RPK (live)'!Y195/'ASK (live)'!Y195,"-")</f>
        <v>0.99051911298780126</v>
      </c>
      <c r="Z195" s="10">
        <f ca="1">IFERROR('RPK (live)'!Z195/'ASK (live)'!Z195,"-")</f>
        <v>0.99051911298780149</v>
      </c>
      <c r="AA195" s="10">
        <f ca="1">IFERROR('RPK (live)'!AA195/'ASK (live)'!AA195,"-")</f>
        <v>0.97146391069131333</v>
      </c>
      <c r="AB195" s="10">
        <f ca="1">IFERROR('RPK (live)'!AB195/'ASK (live)'!AB195,"-")</f>
        <v>0.95080773461651036</v>
      </c>
      <c r="AC195" s="10" t="str">
        <f ca="1">IFERROR('RPK (live)'!AC195/'ASK (live)'!AC195,"-")</f>
        <v>-</v>
      </c>
      <c r="AD195" s="10" t="str">
        <f ca="1">IFERROR('RPK (live)'!AD195/'ASK (live)'!AD195,"-")</f>
        <v>-</v>
      </c>
      <c r="AE195" s="10" t="str">
        <f ca="1">IFERROR('RPK (live)'!AE195/'ASK (live)'!AE195,"-")</f>
        <v>-</v>
      </c>
    </row>
    <row r="196" spans="1:31">
      <c r="A196" s="1" t="s">
        <v>152</v>
      </c>
      <c r="B196" s="5" t="s">
        <v>231</v>
      </c>
      <c r="C196" s="5" t="s">
        <v>213</v>
      </c>
      <c r="D196" s="5" t="s">
        <v>211</v>
      </c>
      <c r="E196" s="5" t="s">
        <v>21</v>
      </c>
      <c r="F196" s="5" t="s">
        <v>24</v>
      </c>
      <c r="G196" s="6"/>
      <c r="H196" s="6"/>
      <c r="I196" s="6"/>
      <c r="J196" s="6"/>
      <c r="K196" s="6"/>
      <c r="L196" s="10">
        <f ca="1">IFERROR('RPK (live)'!L196/'ASK (live)'!L196,"-")</f>
        <v>0.89</v>
      </c>
      <c r="M196" s="10">
        <f ca="1">IFERROR('RPK (live)'!M196/'ASK (live)'!M196,"-")</f>
        <v>0.96186747180036525</v>
      </c>
      <c r="N196" s="10">
        <f ca="1">IFERROR('RPK (live)'!N196/'ASK (live)'!N196,"-")</f>
        <v>0.89</v>
      </c>
      <c r="O196" s="10">
        <f ca="1">IFERROR('RPK (live)'!O196/'ASK (live)'!O196,"-")</f>
        <v>0.86000000000000032</v>
      </c>
      <c r="P196" s="10">
        <f ca="1">IFERROR('RPK (live)'!P196/'ASK (live)'!P196,"-")</f>
        <v>0.92000000000000026</v>
      </c>
      <c r="Q196" s="10">
        <f ca="1">IFERROR('RPK (live)'!Q196/'ASK (live)'!Q196,"-")</f>
        <v>0.85999999999999988</v>
      </c>
      <c r="R196" s="10" t="str">
        <f ca="1">IFERROR('RPK (live)'!R196/'ASK (live)'!R196,"-")</f>
        <v>-</v>
      </c>
      <c r="S196" s="10" t="str">
        <f ca="1">IFERROR('RPK (live)'!S196/'ASK (live)'!S196,"-")</f>
        <v>-</v>
      </c>
      <c r="T196" s="10" t="str">
        <f ca="1">IFERROR('RPK (live)'!T196/'ASK (live)'!T196,"-")</f>
        <v>-</v>
      </c>
      <c r="U196" s="10" t="str">
        <f ca="1">IFERROR('RPK (live)'!U196/'ASK (live)'!U196,"-")</f>
        <v>-</v>
      </c>
      <c r="V196" s="10" t="str">
        <f ca="1">IFERROR('RPK (live)'!V196/'ASK (live)'!V196,"-")</f>
        <v>-</v>
      </c>
      <c r="W196" s="10">
        <f ca="1">IFERROR('RPK (live)'!W196/'ASK (live)'!W196,"-")</f>
        <v>0.97106499796715029</v>
      </c>
      <c r="X196" s="10">
        <f ca="1">IFERROR('RPK (live)'!X196/'ASK (live)'!X196,"-")</f>
        <v>0.99051911298780138</v>
      </c>
      <c r="Y196" s="10">
        <f ca="1">IFERROR('RPK (live)'!Y196/'ASK (live)'!Y196,"-")</f>
        <v>0.99051911298780126</v>
      </c>
      <c r="Z196" s="10">
        <f ca="1">IFERROR('RPK (live)'!Z196/'ASK (live)'!Z196,"-")</f>
        <v>0.99051911298780149</v>
      </c>
      <c r="AA196" s="10">
        <f ca="1">IFERROR('RPK (live)'!AA196/'ASK (live)'!AA196,"-")</f>
        <v>0.97146391069131333</v>
      </c>
      <c r="AB196" s="10">
        <f ca="1">IFERROR('RPK (live)'!AB196/'ASK (live)'!AB196,"-")</f>
        <v>0.95080773461651036</v>
      </c>
      <c r="AC196" s="10" t="str">
        <f ca="1">IFERROR('RPK (live)'!AC196/'ASK (live)'!AC196,"-")</f>
        <v>-</v>
      </c>
      <c r="AD196" s="10" t="str">
        <f ca="1">IFERROR('RPK (live)'!AD196/'ASK (live)'!AD196,"-")</f>
        <v>-</v>
      </c>
      <c r="AE196" s="10" t="str">
        <f ca="1">IFERROR('RPK (live)'!AE196/'ASK (live)'!AE196,"-")</f>
        <v>-</v>
      </c>
    </row>
    <row r="197" spans="1:31">
      <c r="A197" s="1" t="s">
        <v>152</v>
      </c>
      <c r="B197" s="5" t="s">
        <v>232</v>
      </c>
      <c r="C197" s="5" t="s">
        <v>233</v>
      </c>
      <c r="D197" s="5" t="s">
        <v>21</v>
      </c>
      <c r="E197" s="5" t="s">
        <v>234</v>
      </c>
      <c r="F197" s="5" t="s">
        <v>24</v>
      </c>
      <c r="G197" s="6"/>
      <c r="H197" s="6"/>
      <c r="I197" s="6"/>
      <c r="J197" s="6"/>
      <c r="K197" s="6"/>
      <c r="L197" s="10">
        <f ca="1">IFERROR('RPK (live)'!L197/'ASK (live)'!L197,"-")</f>
        <v>0.89000000000000012</v>
      </c>
      <c r="M197" s="10">
        <f ca="1">IFERROR('RPK (live)'!M197/'ASK (live)'!M197,"-")</f>
        <v>0.96186747180036525</v>
      </c>
      <c r="N197" s="10">
        <f ca="1">IFERROR('RPK (live)'!N197/'ASK (live)'!N197,"-")</f>
        <v>0.89</v>
      </c>
      <c r="O197" s="10">
        <f ca="1">IFERROR('RPK (live)'!O197/'ASK (live)'!O197,"-")</f>
        <v>0.86000000000000021</v>
      </c>
      <c r="P197" s="10">
        <f ca="1">IFERROR('RPK (live)'!P197/'ASK (live)'!P197,"-")</f>
        <v>0.92000000000000015</v>
      </c>
      <c r="Q197" s="10">
        <f ca="1">IFERROR('RPK (live)'!Q197/'ASK (live)'!Q197,"-")</f>
        <v>0.85999999999999976</v>
      </c>
      <c r="R197" s="10">
        <f ca="1">IFERROR('RPK (live)'!R197/'ASK (live)'!R197,"-")</f>
        <v>0.84999999999999987</v>
      </c>
      <c r="S197" s="10">
        <f ca="1">IFERROR('RPK (live)'!S197/'ASK (live)'!S197,"-")</f>
        <v>0.85</v>
      </c>
      <c r="T197" s="10">
        <f ca="1">IFERROR('RPK (live)'!T197/'ASK (live)'!T197,"-")</f>
        <v>0.94547986959134556</v>
      </c>
      <c r="U197" s="10">
        <f ca="1">IFERROR('RPK (live)'!U197/'ASK (live)'!U197,"-")</f>
        <v>0.96478188594770042</v>
      </c>
      <c r="V197" s="10">
        <f ca="1">IFERROR('RPK (live)'!V197/'ASK (live)'!V197,"-")</f>
        <v>0.96339968099193474</v>
      </c>
      <c r="W197" s="10">
        <f ca="1">IFERROR('RPK (live)'!W197/'ASK (live)'!W197,"-")</f>
        <v>0.97106499796715018</v>
      </c>
      <c r="X197" s="10">
        <f ca="1">IFERROR('RPK (live)'!X197/'ASK (live)'!X197,"-")</f>
        <v>0.99051911298780126</v>
      </c>
      <c r="Y197" s="10">
        <f ca="1">IFERROR('RPK (live)'!Y197/'ASK (live)'!Y197,"-")</f>
        <v>0.9905191129878016</v>
      </c>
      <c r="Z197" s="10">
        <f ca="1">IFERROR('RPK (live)'!Z197/'ASK (live)'!Z197,"-")</f>
        <v>0.99051911298780149</v>
      </c>
      <c r="AA197" s="10">
        <f ca="1">IFERROR('RPK (live)'!AA197/'ASK (live)'!AA197,"-")</f>
        <v>0.97146391069131344</v>
      </c>
      <c r="AB197" s="10">
        <f ca="1">IFERROR('RPK (live)'!AB197/'ASK (live)'!AB197,"-")</f>
        <v>0.95080773461651047</v>
      </c>
      <c r="AC197" s="10">
        <f ca="1">IFERROR('RPK (live)'!AC197/'ASK (live)'!AC197,"-")</f>
        <v>0.89333876873233797</v>
      </c>
      <c r="AD197" s="10">
        <f ca="1">IFERROR('RPK (live)'!AD197/'ASK (live)'!AD197,"-")</f>
        <v>0.77754152236017215</v>
      </c>
      <c r="AE197" s="10">
        <f ca="1">IFERROR('RPK (live)'!AE197/'ASK (live)'!AE197,"-")</f>
        <v>0.72365224188762256</v>
      </c>
    </row>
    <row r="198" spans="1:31">
      <c r="A198" s="1" t="s">
        <v>152</v>
      </c>
      <c r="B198" s="5" t="s">
        <v>235</v>
      </c>
      <c r="C198" s="5" t="s">
        <v>236</v>
      </c>
      <c r="D198" s="5" t="s">
        <v>234</v>
      </c>
      <c r="E198" s="5" t="s">
        <v>21</v>
      </c>
      <c r="F198" s="5" t="s">
        <v>24</v>
      </c>
      <c r="G198" s="6"/>
      <c r="H198" s="6"/>
      <c r="I198" s="6"/>
      <c r="J198" s="6"/>
      <c r="K198" s="6"/>
      <c r="L198" s="10">
        <f ca="1">IFERROR('RPK (live)'!L198/'ASK (live)'!L198,"-")</f>
        <v>0.89000000000000012</v>
      </c>
      <c r="M198" s="10">
        <f ca="1">IFERROR('RPK (live)'!M198/'ASK (live)'!M198,"-")</f>
        <v>0.96186747180036525</v>
      </c>
      <c r="N198" s="10">
        <f ca="1">IFERROR('RPK (live)'!N198/'ASK (live)'!N198,"-")</f>
        <v>0.89</v>
      </c>
      <c r="O198" s="10">
        <f ca="1">IFERROR('RPK (live)'!O198/'ASK (live)'!O198,"-")</f>
        <v>0.86000000000000021</v>
      </c>
      <c r="P198" s="10">
        <f ca="1">IFERROR('RPK (live)'!P198/'ASK (live)'!P198,"-")</f>
        <v>0.92000000000000015</v>
      </c>
      <c r="Q198" s="10">
        <f ca="1">IFERROR('RPK (live)'!Q198/'ASK (live)'!Q198,"-")</f>
        <v>0.85999999999999976</v>
      </c>
      <c r="R198" s="10">
        <f ca="1">IFERROR('RPK (live)'!R198/'ASK (live)'!R198,"-")</f>
        <v>0.84999999999999987</v>
      </c>
      <c r="S198" s="10">
        <f ca="1">IFERROR('RPK (live)'!S198/'ASK (live)'!S198,"-")</f>
        <v>0.85</v>
      </c>
      <c r="T198" s="10">
        <f ca="1">IFERROR('RPK (live)'!T198/'ASK (live)'!T198,"-")</f>
        <v>0.94547986959134556</v>
      </c>
      <c r="U198" s="10">
        <f ca="1">IFERROR('RPK (live)'!U198/'ASK (live)'!U198,"-")</f>
        <v>0.96478188594770042</v>
      </c>
      <c r="V198" s="10">
        <f ca="1">IFERROR('RPK (live)'!V198/'ASK (live)'!V198,"-")</f>
        <v>0.96339968099193474</v>
      </c>
      <c r="W198" s="10">
        <f ca="1">IFERROR('RPK (live)'!W198/'ASK (live)'!W198,"-")</f>
        <v>0.97106499796715018</v>
      </c>
      <c r="X198" s="10">
        <f ca="1">IFERROR('RPK (live)'!X198/'ASK (live)'!X198,"-")</f>
        <v>0.99051911298780126</v>
      </c>
      <c r="Y198" s="10">
        <f ca="1">IFERROR('RPK (live)'!Y198/'ASK (live)'!Y198,"-")</f>
        <v>0.9905191129878016</v>
      </c>
      <c r="Z198" s="10">
        <f ca="1">IFERROR('RPK (live)'!Z198/'ASK (live)'!Z198,"-")</f>
        <v>0.99051911298780149</v>
      </c>
      <c r="AA198" s="10">
        <f ca="1">IFERROR('RPK (live)'!AA198/'ASK (live)'!AA198,"-")</f>
        <v>0.97146391069131344</v>
      </c>
      <c r="AB198" s="10">
        <f ca="1">IFERROR('RPK (live)'!AB198/'ASK (live)'!AB198,"-")</f>
        <v>0.95080773461651047</v>
      </c>
      <c r="AC198" s="10">
        <f ca="1">IFERROR('RPK (live)'!AC198/'ASK (live)'!AC198,"-")</f>
        <v>0.89333876873233797</v>
      </c>
      <c r="AD198" s="10">
        <f ca="1">IFERROR('RPK (live)'!AD198/'ASK (live)'!AD198,"-")</f>
        <v>0.77754152236017215</v>
      </c>
      <c r="AE198" s="10">
        <f ca="1">IFERROR('RPK (live)'!AE198/'ASK (live)'!AE198,"-")</f>
        <v>0.72365224188762256</v>
      </c>
    </row>
    <row r="199" spans="1:31">
      <c r="A199" s="1" t="s">
        <v>152</v>
      </c>
      <c r="B199" s="5" t="s">
        <v>237</v>
      </c>
      <c r="C199" s="5" t="s">
        <v>238</v>
      </c>
      <c r="D199" s="5" t="s">
        <v>21</v>
      </c>
      <c r="E199" s="5" t="s">
        <v>239</v>
      </c>
      <c r="F199" s="5" t="s">
        <v>24</v>
      </c>
      <c r="G199" s="6"/>
      <c r="H199" s="6"/>
      <c r="I199" s="6"/>
      <c r="J199" s="6"/>
      <c r="K199" s="6"/>
      <c r="L199" s="10" t="str">
        <f ca="1">IFERROR('RPK (live)'!L199/'ASK (live)'!L199,"-")</f>
        <v>-</v>
      </c>
      <c r="M199" s="10" t="str">
        <f ca="1">IFERROR('RPK (live)'!M199/'ASK (live)'!M199,"-")</f>
        <v>-</v>
      </c>
      <c r="N199" s="10" t="str">
        <f ca="1">IFERROR('RPK (live)'!N199/'ASK (live)'!N199,"-")</f>
        <v>-</v>
      </c>
      <c r="O199" s="10" t="str">
        <f ca="1">IFERROR('RPK (live)'!O199/'ASK (live)'!O199,"-")</f>
        <v>-</v>
      </c>
      <c r="P199" s="10" t="str">
        <f ca="1">IFERROR('RPK (live)'!P199/'ASK (live)'!P199,"-")</f>
        <v>-</v>
      </c>
      <c r="Q199" s="10" t="str">
        <f ca="1">IFERROR('RPK (live)'!Q199/'ASK (live)'!Q199,"-")</f>
        <v>-</v>
      </c>
      <c r="R199" s="10" t="str">
        <f ca="1">IFERROR('RPK (live)'!R199/'ASK (live)'!R199,"-")</f>
        <v>-</v>
      </c>
      <c r="S199" s="10" t="str">
        <f ca="1">IFERROR('RPK (live)'!S199/'ASK (live)'!S199,"-")</f>
        <v>-</v>
      </c>
      <c r="T199" s="10" t="str">
        <f ca="1">IFERROR('RPK (live)'!T199/'ASK (live)'!T199,"-")</f>
        <v>-</v>
      </c>
      <c r="U199" s="10" t="str">
        <f ca="1">IFERROR('RPK (live)'!U199/'ASK (live)'!U199,"-")</f>
        <v>-</v>
      </c>
      <c r="V199" s="10">
        <f ca="1">IFERROR('RPK (live)'!V199/'ASK (live)'!V199,"-")</f>
        <v>0.73802252613955344</v>
      </c>
      <c r="W199" s="10">
        <f ca="1">IFERROR('RPK (live)'!W199/'ASK (live)'!W199,"-")</f>
        <v>0.81961522143323151</v>
      </c>
      <c r="X199" s="10">
        <f ca="1">IFERROR('RPK (live)'!X199/'ASK (live)'!X199,"-")</f>
        <v>0.89797321313210621</v>
      </c>
      <c r="Y199" s="10">
        <f ca="1">IFERROR('RPK (live)'!Y199/'ASK (live)'!Y199,"-")</f>
        <v>0.90919922059450131</v>
      </c>
      <c r="Z199" s="10">
        <f ca="1">IFERROR('RPK (live)'!Z199/'ASK (live)'!Z199,"-")</f>
        <v>0.8521269799949982</v>
      </c>
      <c r="AA199" s="10">
        <f ca="1">IFERROR('RPK (live)'!AA199/'ASK (live)'!AA199,"-")</f>
        <v>0.70183406535004211</v>
      </c>
      <c r="AB199" s="10">
        <f ca="1">IFERROR('RPK (live)'!AB199/'ASK (live)'!AB199,"-")</f>
        <v>0.8557694000211794</v>
      </c>
      <c r="AC199" s="10">
        <f ca="1">IFERROR('RPK (live)'!AC199/'ASK (live)'!AC199,"-")</f>
        <v>0.89605201021799141</v>
      </c>
      <c r="AD199" s="10">
        <f ca="1">IFERROR('RPK (live)'!AD199/'ASK (live)'!AD199,"-")</f>
        <v>0.82256249091849298</v>
      </c>
      <c r="AE199" s="10">
        <f ca="1">IFERROR('RPK (live)'!AE199/'ASK (live)'!AE199,"-")</f>
        <v>0.68836003261809864</v>
      </c>
    </row>
    <row r="200" spans="1:31">
      <c r="A200" s="1" t="s">
        <v>152</v>
      </c>
      <c r="B200" s="5" t="s">
        <v>240</v>
      </c>
      <c r="C200" s="5" t="s">
        <v>241</v>
      </c>
      <c r="D200" s="5" t="s">
        <v>239</v>
      </c>
      <c r="E200" s="5" t="s">
        <v>21</v>
      </c>
      <c r="F200" s="5" t="s">
        <v>24</v>
      </c>
      <c r="G200" s="6"/>
      <c r="H200" s="6"/>
      <c r="I200" s="6"/>
      <c r="J200" s="6"/>
      <c r="K200" s="6"/>
      <c r="L200" s="10" t="str">
        <f ca="1">IFERROR('RPK (live)'!L200/'ASK (live)'!L200,"-")</f>
        <v>-</v>
      </c>
      <c r="M200" s="10" t="str">
        <f ca="1">IFERROR('RPK (live)'!M200/'ASK (live)'!M200,"-")</f>
        <v>-</v>
      </c>
      <c r="N200" s="10" t="str">
        <f ca="1">IFERROR('RPK (live)'!N200/'ASK (live)'!N200,"-")</f>
        <v>-</v>
      </c>
      <c r="O200" s="10" t="str">
        <f ca="1">IFERROR('RPK (live)'!O200/'ASK (live)'!O200,"-")</f>
        <v>-</v>
      </c>
      <c r="P200" s="10" t="str">
        <f ca="1">IFERROR('RPK (live)'!P200/'ASK (live)'!P200,"-")</f>
        <v>-</v>
      </c>
      <c r="Q200" s="10" t="str">
        <f ca="1">IFERROR('RPK (live)'!Q200/'ASK (live)'!Q200,"-")</f>
        <v>-</v>
      </c>
      <c r="R200" s="10" t="str">
        <f ca="1">IFERROR('RPK (live)'!R200/'ASK (live)'!R200,"-")</f>
        <v>-</v>
      </c>
      <c r="S200" s="10" t="str">
        <f ca="1">IFERROR('RPK (live)'!S200/'ASK (live)'!S200,"-")</f>
        <v>-</v>
      </c>
      <c r="T200" s="10" t="str">
        <f ca="1">IFERROR('RPK (live)'!T200/'ASK (live)'!T200,"-")</f>
        <v>-</v>
      </c>
      <c r="U200" s="10" t="str">
        <f ca="1">IFERROR('RPK (live)'!U200/'ASK (live)'!U200,"-")</f>
        <v>-</v>
      </c>
      <c r="V200" s="10">
        <f ca="1">IFERROR('RPK (live)'!V200/'ASK (live)'!V200,"-")</f>
        <v>0.73802252613955344</v>
      </c>
      <c r="W200" s="10">
        <f ca="1">IFERROR('RPK (live)'!W200/'ASK (live)'!W200,"-")</f>
        <v>0.81961522143323151</v>
      </c>
      <c r="X200" s="10">
        <f ca="1">IFERROR('RPK (live)'!X200/'ASK (live)'!X200,"-")</f>
        <v>0.89797321313210621</v>
      </c>
      <c r="Y200" s="10">
        <f ca="1">IFERROR('RPK (live)'!Y200/'ASK (live)'!Y200,"-")</f>
        <v>0.90919922059450131</v>
      </c>
      <c r="Z200" s="10">
        <f ca="1">IFERROR('RPK (live)'!Z200/'ASK (live)'!Z200,"-")</f>
        <v>0.8521269799949982</v>
      </c>
      <c r="AA200" s="10">
        <f ca="1">IFERROR('RPK (live)'!AA200/'ASK (live)'!AA200,"-")</f>
        <v>0.70183406535004211</v>
      </c>
      <c r="AB200" s="10">
        <f ca="1">IFERROR('RPK (live)'!AB200/'ASK (live)'!AB200,"-")</f>
        <v>0.8557694000211794</v>
      </c>
      <c r="AC200" s="10">
        <f ca="1">IFERROR('RPK (live)'!AC200/'ASK (live)'!AC200,"-")</f>
        <v>0.89605201021799152</v>
      </c>
      <c r="AD200" s="10">
        <f ca="1">IFERROR('RPK (live)'!AD200/'ASK (live)'!AD200,"-")</f>
        <v>0.82256249091849298</v>
      </c>
      <c r="AE200" s="10">
        <f ca="1">IFERROR('RPK (live)'!AE200/'ASK (live)'!AE200,"-")</f>
        <v>0.68836003261809853</v>
      </c>
    </row>
    <row r="201" spans="1:31">
      <c r="A201" s="1" t="s">
        <v>152</v>
      </c>
      <c r="B201" s="5" t="s">
        <v>242</v>
      </c>
      <c r="C201" s="5" t="s">
        <v>243</v>
      </c>
      <c r="D201" s="5" t="s">
        <v>21</v>
      </c>
      <c r="E201" s="5" t="s">
        <v>244</v>
      </c>
      <c r="F201" s="5" t="s">
        <v>24</v>
      </c>
      <c r="G201" s="6"/>
      <c r="H201" s="6"/>
      <c r="I201" s="6"/>
      <c r="J201" s="6"/>
      <c r="K201" s="6"/>
      <c r="L201" s="10">
        <f ca="1">IFERROR('RPK (live)'!L201/'ASK (live)'!L201,"-")</f>
        <v>0.89</v>
      </c>
      <c r="M201" s="10">
        <f ca="1">IFERROR('RPK (live)'!M201/'ASK (live)'!M201,"-")</f>
        <v>0.96186747180036525</v>
      </c>
      <c r="N201" s="10">
        <f ca="1">IFERROR('RPK (live)'!N201/'ASK (live)'!N201,"-")</f>
        <v>0.89</v>
      </c>
      <c r="O201" s="10">
        <f ca="1">IFERROR('RPK (live)'!O201/'ASK (live)'!O201,"-")</f>
        <v>0.86000000000000032</v>
      </c>
      <c r="P201" s="10">
        <f ca="1">IFERROR('RPK (live)'!P201/'ASK (live)'!P201,"-")</f>
        <v>0.92000000000000015</v>
      </c>
      <c r="Q201" s="10">
        <f ca="1">IFERROR('RPK (live)'!Q201/'ASK (live)'!Q201,"-")</f>
        <v>0.85999999999999988</v>
      </c>
      <c r="R201" s="10">
        <f ca="1">IFERROR('RPK (live)'!R201/'ASK (live)'!R201,"-")</f>
        <v>0.84999999999999987</v>
      </c>
      <c r="S201" s="10">
        <f ca="1">IFERROR('RPK (live)'!S201/'ASK (live)'!S201,"-")</f>
        <v>0.85</v>
      </c>
      <c r="T201" s="10">
        <f ca="1">IFERROR('RPK (live)'!T201/'ASK (live)'!T201,"-")</f>
        <v>0.94547986959134545</v>
      </c>
      <c r="U201" s="10">
        <f ca="1">IFERROR('RPK (live)'!U201/'ASK (live)'!U201,"-")</f>
        <v>0.96478188594770053</v>
      </c>
      <c r="V201" s="10">
        <f ca="1">IFERROR('RPK (live)'!V201/'ASK (live)'!V201,"-")</f>
        <v>0.96339968099193463</v>
      </c>
      <c r="W201" s="10">
        <f ca="1">IFERROR('RPK (live)'!W201/'ASK (live)'!W201,"-")</f>
        <v>0.9710649979671504</v>
      </c>
      <c r="X201" s="10">
        <f ca="1">IFERROR('RPK (live)'!X201/'ASK (live)'!X201,"-")</f>
        <v>0.99051911298780138</v>
      </c>
      <c r="Y201" s="10">
        <f ca="1">IFERROR('RPK (live)'!Y201/'ASK (live)'!Y201,"-")</f>
        <v>0.9905191129878016</v>
      </c>
      <c r="Z201" s="10">
        <f ca="1">IFERROR('RPK (live)'!Z201/'ASK (live)'!Z201,"-")</f>
        <v>0.99051911298780182</v>
      </c>
      <c r="AA201" s="10">
        <f ca="1">IFERROR('RPK (live)'!AA201/'ASK (live)'!AA201,"-")</f>
        <v>0.97146391069131355</v>
      </c>
      <c r="AB201" s="10">
        <f ca="1">IFERROR('RPK (live)'!AB201/'ASK (live)'!AB201,"-")</f>
        <v>0.95080773461651025</v>
      </c>
      <c r="AC201" s="10">
        <f ca="1">IFERROR('RPK (live)'!AC201/'ASK (live)'!AC201,"-")</f>
        <v>0.89333876873233808</v>
      </c>
      <c r="AD201" s="10">
        <f ca="1">IFERROR('RPK (live)'!AD201/'ASK (live)'!AD201,"-")</f>
        <v>0.77754152236017193</v>
      </c>
      <c r="AE201" s="10">
        <f ca="1">IFERROR('RPK (live)'!AE201/'ASK (live)'!AE201,"-")</f>
        <v>0.72365224188762256</v>
      </c>
    </row>
    <row r="202" spans="1:31">
      <c r="A202" s="1" t="s">
        <v>152</v>
      </c>
      <c r="B202" s="5" t="s">
        <v>245</v>
      </c>
      <c r="C202" s="5" t="s">
        <v>246</v>
      </c>
      <c r="D202" s="5" t="s">
        <v>244</v>
      </c>
      <c r="E202" s="5" t="s">
        <v>21</v>
      </c>
      <c r="F202" s="5" t="s">
        <v>24</v>
      </c>
      <c r="G202" s="6"/>
      <c r="H202" s="6"/>
      <c r="I202" s="6"/>
      <c r="J202" s="6"/>
      <c r="K202" s="6"/>
      <c r="L202" s="10">
        <f ca="1">IFERROR('RPK (live)'!L202/'ASK (live)'!L202,"-")</f>
        <v>0.89</v>
      </c>
      <c r="M202" s="10">
        <f ca="1">IFERROR('RPK (live)'!M202/'ASK (live)'!M202,"-")</f>
        <v>0.96186747180036525</v>
      </c>
      <c r="N202" s="10">
        <f ca="1">IFERROR('RPK (live)'!N202/'ASK (live)'!N202,"-")</f>
        <v>0.89</v>
      </c>
      <c r="O202" s="10">
        <f ca="1">IFERROR('RPK (live)'!O202/'ASK (live)'!O202,"-")</f>
        <v>0.86000000000000032</v>
      </c>
      <c r="P202" s="10">
        <f ca="1">IFERROR('RPK (live)'!P202/'ASK (live)'!P202,"-")</f>
        <v>0.92000000000000015</v>
      </c>
      <c r="Q202" s="10">
        <f ca="1">IFERROR('RPK (live)'!Q202/'ASK (live)'!Q202,"-")</f>
        <v>0.85999999999999988</v>
      </c>
      <c r="R202" s="10">
        <f ca="1">IFERROR('RPK (live)'!R202/'ASK (live)'!R202,"-")</f>
        <v>0.84999999999999987</v>
      </c>
      <c r="S202" s="10">
        <f ca="1">IFERROR('RPK (live)'!S202/'ASK (live)'!S202,"-")</f>
        <v>0.85</v>
      </c>
      <c r="T202" s="10">
        <f ca="1">IFERROR('RPK (live)'!T202/'ASK (live)'!T202,"-")</f>
        <v>0.94547986959134545</v>
      </c>
      <c r="U202" s="10">
        <f ca="1">IFERROR('RPK (live)'!U202/'ASK (live)'!U202,"-")</f>
        <v>0.96478188594770053</v>
      </c>
      <c r="V202" s="10">
        <f ca="1">IFERROR('RPK (live)'!V202/'ASK (live)'!V202,"-")</f>
        <v>0.96339968099193463</v>
      </c>
      <c r="W202" s="10">
        <f ca="1">IFERROR('RPK (live)'!W202/'ASK (live)'!W202,"-")</f>
        <v>0.9710649979671504</v>
      </c>
      <c r="X202" s="10">
        <f ca="1">IFERROR('RPK (live)'!X202/'ASK (live)'!X202,"-")</f>
        <v>0.99051911298780138</v>
      </c>
      <c r="Y202" s="10">
        <f ca="1">IFERROR('RPK (live)'!Y202/'ASK (live)'!Y202,"-")</f>
        <v>0.9905191129878016</v>
      </c>
      <c r="Z202" s="10">
        <f ca="1">IFERROR('RPK (live)'!Z202/'ASK (live)'!Z202,"-")</f>
        <v>0.99051911298780182</v>
      </c>
      <c r="AA202" s="10">
        <f ca="1">IFERROR('RPK (live)'!AA202/'ASK (live)'!AA202,"-")</f>
        <v>0.97146391069131355</v>
      </c>
      <c r="AB202" s="10">
        <f ca="1">IFERROR('RPK (live)'!AB202/'ASK (live)'!AB202,"-")</f>
        <v>0.95080773461651025</v>
      </c>
      <c r="AC202" s="10">
        <f ca="1">IFERROR('RPK (live)'!AC202/'ASK (live)'!AC202,"-")</f>
        <v>0.89333876873233808</v>
      </c>
      <c r="AD202" s="10">
        <f ca="1">IFERROR('RPK (live)'!AD202/'ASK (live)'!AD202,"-")</f>
        <v>0.77754152236017193</v>
      </c>
      <c r="AE202" s="10">
        <f ca="1">IFERROR('RPK (live)'!AE202/'ASK (live)'!AE202,"-")</f>
        <v>0.72365224188762256</v>
      </c>
    </row>
    <row r="203" spans="1:31">
      <c r="A203" s="1" t="s">
        <v>152</v>
      </c>
      <c r="B203" s="5" t="s">
        <v>247</v>
      </c>
      <c r="C203" s="5" t="s">
        <v>248</v>
      </c>
      <c r="D203" s="5" t="s">
        <v>21</v>
      </c>
      <c r="E203" s="5" t="s">
        <v>249</v>
      </c>
      <c r="F203" s="5" t="s">
        <v>24</v>
      </c>
      <c r="G203" s="6"/>
      <c r="H203" s="6"/>
      <c r="I203" s="6"/>
      <c r="J203" s="6"/>
      <c r="K203" s="6"/>
      <c r="L203" s="10" t="str">
        <f ca="1">IFERROR('RPK (live)'!L203/'ASK (live)'!L203,"-")</f>
        <v>-</v>
      </c>
      <c r="M203" s="10" t="str">
        <f ca="1">IFERROR('RPK (live)'!M203/'ASK (live)'!M203,"-")</f>
        <v>-</v>
      </c>
      <c r="N203" s="10" t="str">
        <f ca="1">IFERROR('RPK (live)'!N203/'ASK (live)'!N203,"-")</f>
        <v>-</v>
      </c>
      <c r="O203" s="10" t="str">
        <f ca="1">IFERROR('RPK (live)'!O203/'ASK (live)'!O203,"-")</f>
        <v>-</v>
      </c>
      <c r="P203" s="10" t="str">
        <f ca="1">IFERROR('RPK (live)'!P203/'ASK (live)'!P203,"-")</f>
        <v>-</v>
      </c>
      <c r="Q203" s="10" t="str">
        <f ca="1">IFERROR('RPK (live)'!Q203/'ASK (live)'!Q203,"-")</f>
        <v>-</v>
      </c>
      <c r="R203" s="10" t="str">
        <f ca="1">IFERROR('RPK (live)'!R203/'ASK (live)'!R203,"-")</f>
        <v>-</v>
      </c>
      <c r="S203" s="10" t="str">
        <f ca="1">IFERROR('RPK (live)'!S203/'ASK (live)'!S203,"-")</f>
        <v>-</v>
      </c>
      <c r="T203" s="10" t="str">
        <f ca="1">IFERROR('RPK (live)'!T203/'ASK (live)'!T203,"-")</f>
        <v>-</v>
      </c>
      <c r="U203" s="10" t="str">
        <f ca="1">IFERROR('RPK (live)'!U203/'ASK (live)'!U203,"-")</f>
        <v>-</v>
      </c>
      <c r="V203" s="10" t="str">
        <f ca="1">IFERROR('RPK (live)'!V203/'ASK (live)'!V203,"-")</f>
        <v>-</v>
      </c>
      <c r="W203" s="10" t="str">
        <f ca="1">IFERROR('RPK (live)'!W203/'ASK (live)'!W203,"-")</f>
        <v>-</v>
      </c>
      <c r="X203" s="10" t="str">
        <f ca="1">IFERROR('RPK (live)'!X203/'ASK (live)'!X203,"-")</f>
        <v>-</v>
      </c>
      <c r="Y203" s="10" t="str">
        <f ca="1">IFERROR('RPK (live)'!Y203/'ASK (live)'!Y203,"-")</f>
        <v>-</v>
      </c>
      <c r="Z203" s="10" t="str">
        <f ca="1">IFERROR('RPK (live)'!Z203/'ASK (live)'!Z203,"-")</f>
        <v>-</v>
      </c>
      <c r="AA203" s="10" t="str">
        <f ca="1">IFERROR('RPK (live)'!AA203/'ASK (live)'!AA203,"-")</f>
        <v>-</v>
      </c>
      <c r="AB203" s="10" t="str">
        <f ca="1">IFERROR('RPK (live)'!AB203/'ASK (live)'!AB203,"-")</f>
        <v>-</v>
      </c>
      <c r="AC203" s="10" t="str">
        <f ca="1">IFERROR('RPK (live)'!AC203/'ASK (live)'!AC203,"-")</f>
        <v>-</v>
      </c>
      <c r="AD203" s="10" t="str">
        <f ca="1">IFERROR('RPK (live)'!AD203/'ASK (live)'!AD203,"-")</f>
        <v>-</v>
      </c>
      <c r="AE203" s="10">
        <f ca="1">IFERROR('RPK (live)'!AE203/'ASK (live)'!AE203,"-")</f>
        <v>0.41685398319275452</v>
      </c>
    </row>
    <row r="204" spans="1:31">
      <c r="A204" s="1" t="s">
        <v>152</v>
      </c>
      <c r="B204" s="5" t="s">
        <v>250</v>
      </c>
      <c r="C204" s="5" t="s">
        <v>251</v>
      </c>
      <c r="D204" s="5" t="s">
        <v>249</v>
      </c>
      <c r="E204" s="5" t="s">
        <v>21</v>
      </c>
      <c r="F204" s="5" t="s">
        <v>24</v>
      </c>
      <c r="G204" s="6"/>
      <c r="H204" s="6"/>
      <c r="I204" s="6"/>
      <c r="J204" s="6"/>
      <c r="K204" s="6"/>
      <c r="L204" s="10" t="str">
        <f ca="1">IFERROR('RPK (live)'!L204/'ASK (live)'!L204,"-")</f>
        <v>-</v>
      </c>
      <c r="M204" s="10" t="str">
        <f ca="1">IFERROR('RPK (live)'!M204/'ASK (live)'!M204,"-")</f>
        <v>-</v>
      </c>
      <c r="N204" s="10" t="str">
        <f ca="1">IFERROR('RPK (live)'!N204/'ASK (live)'!N204,"-")</f>
        <v>-</v>
      </c>
      <c r="O204" s="10" t="str">
        <f ca="1">IFERROR('RPK (live)'!O204/'ASK (live)'!O204,"-")</f>
        <v>-</v>
      </c>
      <c r="P204" s="10" t="str">
        <f ca="1">IFERROR('RPK (live)'!P204/'ASK (live)'!P204,"-")</f>
        <v>-</v>
      </c>
      <c r="Q204" s="10" t="str">
        <f ca="1">IFERROR('RPK (live)'!Q204/'ASK (live)'!Q204,"-")</f>
        <v>-</v>
      </c>
      <c r="R204" s="10" t="str">
        <f ca="1">IFERROR('RPK (live)'!R204/'ASK (live)'!R204,"-")</f>
        <v>-</v>
      </c>
      <c r="S204" s="10" t="str">
        <f ca="1">IFERROR('RPK (live)'!S204/'ASK (live)'!S204,"-")</f>
        <v>-</v>
      </c>
      <c r="T204" s="10" t="str">
        <f ca="1">IFERROR('RPK (live)'!T204/'ASK (live)'!T204,"-")</f>
        <v>-</v>
      </c>
      <c r="U204" s="10" t="str">
        <f ca="1">IFERROR('RPK (live)'!U204/'ASK (live)'!U204,"-")</f>
        <v>-</v>
      </c>
      <c r="V204" s="10" t="str">
        <f ca="1">IFERROR('RPK (live)'!V204/'ASK (live)'!V204,"-")</f>
        <v>-</v>
      </c>
      <c r="W204" s="10" t="str">
        <f ca="1">IFERROR('RPK (live)'!W204/'ASK (live)'!W204,"-")</f>
        <v>-</v>
      </c>
      <c r="X204" s="10" t="str">
        <f ca="1">IFERROR('RPK (live)'!X204/'ASK (live)'!X204,"-")</f>
        <v>-</v>
      </c>
      <c r="Y204" s="10" t="str">
        <f ca="1">IFERROR('RPK (live)'!Y204/'ASK (live)'!Y204,"-")</f>
        <v>-</v>
      </c>
      <c r="Z204" s="10" t="str">
        <f ca="1">IFERROR('RPK (live)'!Z204/'ASK (live)'!Z204,"-")</f>
        <v>-</v>
      </c>
      <c r="AA204" s="10" t="str">
        <f ca="1">IFERROR('RPK (live)'!AA204/'ASK (live)'!AA204,"-")</f>
        <v>-</v>
      </c>
      <c r="AB204" s="10" t="str">
        <f ca="1">IFERROR('RPK (live)'!AB204/'ASK (live)'!AB204,"-")</f>
        <v>-</v>
      </c>
      <c r="AC204" s="10" t="str">
        <f ca="1">IFERROR('RPK (live)'!AC204/'ASK (live)'!AC204,"-")</f>
        <v>-</v>
      </c>
      <c r="AD204" s="10" t="str">
        <f ca="1">IFERROR('RPK (live)'!AD204/'ASK (live)'!AD204,"-")</f>
        <v>-</v>
      </c>
      <c r="AE204" s="10">
        <f ca="1">IFERROR('RPK (live)'!AE204/'ASK (live)'!AE204,"-")</f>
        <v>0.41685398319275452</v>
      </c>
    </row>
    <row r="205" spans="1:31">
      <c r="A205" s="1" t="s">
        <v>152</v>
      </c>
      <c r="B205" s="5" t="s">
        <v>252</v>
      </c>
      <c r="C205" s="5" t="s">
        <v>226</v>
      </c>
      <c r="D205" s="5" t="s">
        <v>21</v>
      </c>
      <c r="E205" s="5" t="s">
        <v>227</v>
      </c>
      <c r="F205" s="5" t="s">
        <v>24</v>
      </c>
      <c r="G205" s="6"/>
      <c r="H205" s="6"/>
      <c r="I205" s="6"/>
      <c r="J205" s="6"/>
      <c r="K205" s="6"/>
      <c r="L205" s="10">
        <f ca="1">IFERROR('RPK (live)'!L205/'ASK (live)'!L205,"-")</f>
        <v>0.36</v>
      </c>
      <c r="M205" s="10" t="str">
        <f ca="1">IFERROR('RPK (live)'!M205/'ASK (live)'!M205,"-")</f>
        <v>-</v>
      </c>
      <c r="N205" s="10" t="str">
        <f ca="1">IFERROR('RPK (live)'!N205/'ASK (live)'!N205,"-")</f>
        <v>-</v>
      </c>
      <c r="O205" s="10" t="str">
        <f ca="1">IFERROR('RPK (live)'!O205/'ASK (live)'!O205,"-")</f>
        <v>-</v>
      </c>
      <c r="P205" s="10" t="str">
        <f ca="1">IFERROR('RPK (live)'!P205/'ASK (live)'!P205,"-")</f>
        <v>-</v>
      </c>
      <c r="Q205" s="10" t="str">
        <f ca="1">IFERROR('RPK (live)'!Q205/'ASK (live)'!Q205,"-")</f>
        <v>-</v>
      </c>
      <c r="R205" s="10" t="str">
        <f ca="1">IFERROR('RPK (live)'!R205/'ASK (live)'!R205,"-")</f>
        <v>-</v>
      </c>
      <c r="S205" s="10">
        <f ca="1">IFERROR('RPK (live)'!S205/'ASK (live)'!S205,"-")</f>
        <v>0.75000000000000011</v>
      </c>
      <c r="T205" s="10">
        <f ca="1">IFERROR('RPK (live)'!T205/'ASK (live)'!T205,"-")</f>
        <v>0.99051911298780115</v>
      </c>
      <c r="U205" s="10">
        <f ca="1">IFERROR('RPK (live)'!U205/'ASK (live)'!U205,"-")</f>
        <v>0.99051911298780138</v>
      </c>
      <c r="V205" s="10">
        <f ca="1">IFERROR('RPK (live)'!V205/'ASK (live)'!V205,"-")</f>
        <v>0.81735798054305908</v>
      </c>
      <c r="W205" s="10" t="str">
        <f ca="1">IFERROR('RPK (live)'!W205/'ASK (live)'!W205,"-")</f>
        <v>-</v>
      </c>
      <c r="X205" s="10" t="str">
        <f ca="1">IFERROR('RPK (live)'!X205/'ASK (live)'!X205,"-")</f>
        <v>-</v>
      </c>
      <c r="Y205" s="10" t="str">
        <f ca="1">IFERROR('RPK (live)'!Y205/'ASK (live)'!Y205,"-")</f>
        <v>-</v>
      </c>
      <c r="Z205" s="10" t="str">
        <f ca="1">IFERROR('RPK (live)'!Z205/'ASK (live)'!Z205,"-")</f>
        <v>-</v>
      </c>
      <c r="AA205" s="10" t="str">
        <f ca="1">IFERROR('RPK (live)'!AA205/'ASK (live)'!AA205,"-")</f>
        <v>-</v>
      </c>
      <c r="AB205" s="10" t="str">
        <f ca="1">IFERROR('RPK (live)'!AB205/'ASK (live)'!AB205,"-")</f>
        <v>-</v>
      </c>
      <c r="AC205" s="10">
        <f ca="1">IFERROR('RPK (live)'!AC205/'ASK (live)'!AC205,"-")</f>
        <v>0.5904757846381099</v>
      </c>
      <c r="AD205" s="10">
        <f ca="1">IFERROR('RPK (live)'!AD205/'ASK (live)'!AD205,"-")</f>
        <v>0.63764005625997233</v>
      </c>
      <c r="AE205" s="10">
        <f ca="1">IFERROR('RPK (live)'!AE205/'ASK (live)'!AE205,"-")</f>
        <v>0.64406089593973437</v>
      </c>
    </row>
    <row r="206" spans="1:31">
      <c r="A206" s="1" t="s">
        <v>152</v>
      </c>
      <c r="B206" s="5" t="s">
        <v>253</v>
      </c>
      <c r="C206" s="5" t="s">
        <v>229</v>
      </c>
      <c r="D206" s="5" t="s">
        <v>227</v>
      </c>
      <c r="E206" s="5" t="s">
        <v>21</v>
      </c>
      <c r="F206" s="5" t="s">
        <v>24</v>
      </c>
      <c r="G206" s="6"/>
      <c r="H206" s="6"/>
      <c r="I206" s="6"/>
      <c r="J206" s="6"/>
      <c r="K206" s="6"/>
      <c r="L206" s="10">
        <f ca="1">IFERROR('RPK (live)'!L206/'ASK (live)'!L206,"-")</f>
        <v>0.36</v>
      </c>
      <c r="M206" s="10" t="str">
        <f ca="1">IFERROR('RPK (live)'!M206/'ASK (live)'!M206,"-")</f>
        <v>-</v>
      </c>
      <c r="N206" s="10" t="str">
        <f ca="1">IFERROR('RPK (live)'!N206/'ASK (live)'!N206,"-")</f>
        <v>-</v>
      </c>
      <c r="O206" s="10" t="str">
        <f ca="1">IFERROR('RPK (live)'!O206/'ASK (live)'!O206,"-")</f>
        <v>-</v>
      </c>
      <c r="P206" s="10" t="str">
        <f ca="1">IFERROR('RPK (live)'!P206/'ASK (live)'!P206,"-")</f>
        <v>-</v>
      </c>
      <c r="Q206" s="10" t="str">
        <f ca="1">IFERROR('RPK (live)'!Q206/'ASK (live)'!Q206,"-")</f>
        <v>-</v>
      </c>
      <c r="R206" s="10" t="str">
        <f ca="1">IFERROR('RPK (live)'!R206/'ASK (live)'!R206,"-")</f>
        <v>-</v>
      </c>
      <c r="S206" s="10">
        <f ca="1">IFERROR('RPK (live)'!S206/'ASK (live)'!S206,"-")</f>
        <v>0.75000000000000011</v>
      </c>
      <c r="T206" s="10">
        <f ca="1">IFERROR('RPK (live)'!T206/'ASK (live)'!T206,"-")</f>
        <v>0.99051911298780115</v>
      </c>
      <c r="U206" s="10">
        <f ca="1">IFERROR('RPK (live)'!U206/'ASK (live)'!U206,"-")</f>
        <v>0.99051911298780138</v>
      </c>
      <c r="V206" s="10">
        <f ca="1">IFERROR('RPK (live)'!V206/'ASK (live)'!V206,"-")</f>
        <v>0.81735798054305908</v>
      </c>
      <c r="W206" s="10" t="str">
        <f ca="1">IFERROR('RPK (live)'!W206/'ASK (live)'!W206,"-")</f>
        <v>-</v>
      </c>
      <c r="X206" s="10" t="str">
        <f ca="1">IFERROR('RPK (live)'!X206/'ASK (live)'!X206,"-")</f>
        <v>-</v>
      </c>
      <c r="Y206" s="10" t="str">
        <f ca="1">IFERROR('RPK (live)'!Y206/'ASK (live)'!Y206,"-")</f>
        <v>-</v>
      </c>
      <c r="Z206" s="10" t="str">
        <f ca="1">IFERROR('RPK (live)'!Z206/'ASK (live)'!Z206,"-")</f>
        <v>-</v>
      </c>
      <c r="AA206" s="10" t="str">
        <f ca="1">IFERROR('RPK (live)'!AA206/'ASK (live)'!AA206,"-")</f>
        <v>-</v>
      </c>
      <c r="AB206" s="10" t="str">
        <f ca="1">IFERROR('RPK (live)'!AB206/'ASK (live)'!AB206,"-")</f>
        <v>-</v>
      </c>
      <c r="AC206" s="10">
        <f ca="1">IFERROR('RPK (live)'!AC206/'ASK (live)'!AC206,"-")</f>
        <v>0.5904757846381099</v>
      </c>
      <c r="AD206" s="10">
        <f ca="1">IFERROR('RPK (live)'!AD206/'ASK (live)'!AD206,"-")</f>
        <v>0.63764005625997233</v>
      </c>
      <c r="AE206" s="10">
        <f ca="1">IFERROR('RPK (live)'!AE206/'ASK (live)'!AE206,"-")</f>
        <v>0.64406089593973437</v>
      </c>
    </row>
    <row r="207" spans="1:31">
      <c r="A207" s="1" t="s">
        <v>152</v>
      </c>
      <c r="B207" s="5" t="s">
        <v>254</v>
      </c>
      <c r="C207" s="5" t="s">
        <v>255</v>
      </c>
      <c r="D207" s="5" t="s">
        <v>60</v>
      </c>
      <c r="E207" s="5" t="s">
        <v>59</v>
      </c>
      <c r="F207" s="5" t="s">
        <v>24</v>
      </c>
      <c r="G207" s="6"/>
      <c r="H207" s="6"/>
      <c r="I207" s="6"/>
      <c r="J207" s="6"/>
      <c r="K207" s="6"/>
      <c r="L207" s="10">
        <f ca="1">IFERROR('RPK (live)'!L207/'ASK (live)'!L207,"-")</f>
        <v>0.84</v>
      </c>
      <c r="M207" s="10">
        <f ca="1">IFERROR('RPK (live)'!M207/'ASK (live)'!M207,"-")</f>
        <v>0.80999366046346566</v>
      </c>
      <c r="N207" s="10">
        <f ca="1">IFERROR('RPK (live)'!N207/'ASK (live)'!N207,"-")</f>
        <v>0.93</v>
      </c>
      <c r="O207" s="10">
        <f ca="1">IFERROR('RPK (live)'!O207/'ASK (live)'!O207,"-")</f>
        <v>0.84999999999999987</v>
      </c>
      <c r="P207" s="10">
        <f ca="1">IFERROR('RPK (live)'!P207/'ASK (live)'!P207,"-")</f>
        <v>0.82000000000000006</v>
      </c>
      <c r="Q207" s="10">
        <f ca="1">IFERROR('RPK (live)'!Q207/'ASK (live)'!Q207,"-")</f>
        <v>0.88000000000000012</v>
      </c>
      <c r="R207" s="10" t="str">
        <f ca="1">IFERROR('RPK (live)'!R207/'ASK (live)'!R207,"-")</f>
        <v>-</v>
      </c>
      <c r="S207" s="10" t="str">
        <f ca="1">IFERROR('RPK (live)'!S207/'ASK (live)'!S207,"-")</f>
        <v>-</v>
      </c>
      <c r="T207" s="10" t="str">
        <f ca="1">IFERROR('RPK (live)'!T207/'ASK (live)'!T207,"-")</f>
        <v>-</v>
      </c>
      <c r="U207" s="10" t="str">
        <f ca="1">IFERROR('RPK (live)'!U207/'ASK (live)'!U207,"-")</f>
        <v>-</v>
      </c>
      <c r="V207" s="10" t="str">
        <f ca="1">IFERROR('RPK (live)'!V207/'ASK (live)'!V207,"-")</f>
        <v>-</v>
      </c>
      <c r="W207" s="10">
        <f ca="1">IFERROR('RPK (live)'!W207/'ASK (live)'!W207,"-")</f>
        <v>0.6570103740191322</v>
      </c>
      <c r="X207" s="10">
        <f ca="1">IFERROR('RPK (live)'!X207/'ASK (live)'!X207,"-")</f>
        <v>0.71658183020317701</v>
      </c>
      <c r="Y207" s="10">
        <f ca="1">IFERROR('RPK (live)'!Y207/'ASK (live)'!Y207,"-")</f>
        <v>0.84159133605875514</v>
      </c>
      <c r="Z207" s="10">
        <f ca="1">IFERROR('RPK (live)'!Z207/'ASK (live)'!Z207,"-")</f>
        <v>0.9317201511084432</v>
      </c>
      <c r="AA207" s="10">
        <f ca="1">IFERROR('RPK (live)'!AA207/'ASK (live)'!AA207,"-")</f>
        <v>0.85278127236053392</v>
      </c>
      <c r="AB207" s="10">
        <f ca="1">IFERROR('RPK (live)'!AB207/'ASK (live)'!AB207,"-")</f>
        <v>0.92317850562452752</v>
      </c>
      <c r="AC207" s="10">
        <f ca="1">IFERROR('RPK (live)'!AC207/'ASK (live)'!AC207,"-")</f>
        <v>0.89011709179032872</v>
      </c>
      <c r="AD207" s="10" t="str">
        <f ca="1">IFERROR('RPK (live)'!AD207/'ASK (live)'!AD207,"-")</f>
        <v>-</v>
      </c>
      <c r="AE207" s="10" t="str">
        <f ca="1">IFERROR('RPK (live)'!AE207/'ASK (live)'!AE207,"-")</f>
        <v>-</v>
      </c>
    </row>
    <row r="208" spans="1:31">
      <c r="A208" s="1" t="s">
        <v>152</v>
      </c>
      <c r="B208" s="5" t="s">
        <v>57</v>
      </c>
      <c r="C208" s="5" t="s">
        <v>58</v>
      </c>
      <c r="D208" s="5" t="s">
        <v>59</v>
      </c>
      <c r="E208" s="5" t="s">
        <v>60</v>
      </c>
      <c r="F208" s="5" t="s">
        <v>24</v>
      </c>
      <c r="G208" s="6"/>
      <c r="H208" s="6"/>
      <c r="I208" s="6"/>
      <c r="J208" s="6"/>
      <c r="K208" s="6"/>
      <c r="L208" s="10">
        <f ca="1">IFERROR('RPK (live)'!L208/'ASK (live)'!L208,"-")</f>
        <v>0.84</v>
      </c>
      <c r="M208" s="10">
        <f ca="1">IFERROR('RPK (live)'!M208/'ASK (live)'!M208,"-")</f>
        <v>0.80999366046346566</v>
      </c>
      <c r="N208" s="10">
        <f ca="1">IFERROR('RPK (live)'!N208/'ASK (live)'!N208,"-")</f>
        <v>0.93</v>
      </c>
      <c r="O208" s="10">
        <f ca="1">IFERROR('RPK (live)'!O208/'ASK (live)'!O208,"-")</f>
        <v>0.84999999999999987</v>
      </c>
      <c r="P208" s="10">
        <f ca="1">IFERROR('RPK (live)'!P208/'ASK (live)'!P208,"-")</f>
        <v>0.82000000000000006</v>
      </c>
      <c r="Q208" s="10">
        <f ca="1">IFERROR('RPK (live)'!Q208/'ASK (live)'!Q208,"-")</f>
        <v>0.88000000000000012</v>
      </c>
      <c r="R208" s="10" t="str">
        <f ca="1">IFERROR('RPK (live)'!R208/'ASK (live)'!R208,"-")</f>
        <v>-</v>
      </c>
      <c r="S208" s="10" t="str">
        <f ca="1">IFERROR('RPK (live)'!S208/'ASK (live)'!S208,"-")</f>
        <v>-</v>
      </c>
      <c r="T208" s="10" t="str">
        <f ca="1">IFERROR('RPK (live)'!T208/'ASK (live)'!T208,"-")</f>
        <v>-</v>
      </c>
      <c r="U208" s="10" t="str">
        <f ca="1">IFERROR('RPK (live)'!U208/'ASK (live)'!U208,"-")</f>
        <v>-</v>
      </c>
      <c r="V208" s="10" t="str">
        <f ca="1">IFERROR('RPK (live)'!V208/'ASK (live)'!V208,"-")</f>
        <v>-</v>
      </c>
      <c r="W208" s="10">
        <f ca="1">IFERROR('RPK (live)'!W208/'ASK (live)'!W208,"-")</f>
        <v>0.6570103740191322</v>
      </c>
      <c r="X208" s="10">
        <f ca="1">IFERROR('RPK (live)'!X208/'ASK (live)'!X208,"-")</f>
        <v>0.71658183020317701</v>
      </c>
      <c r="Y208" s="10">
        <f ca="1">IFERROR('RPK (live)'!Y208/'ASK (live)'!Y208,"-")</f>
        <v>0.84159133605875514</v>
      </c>
      <c r="Z208" s="10">
        <f ca="1">IFERROR('RPK (live)'!Z208/'ASK (live)'!Z208,"-")</f>
        <v>0.9317201511084432</v>
      </c>
      <c r="AA208" s="10">
        <f ca="1">IFERROR('RPK (live)'!AA208/'ASK (live)'!AA208,"-")</f>
        <v>0.85278127236053392</v>
      </c>
      <c r="AB208" s="10">
        <f ca="1">IFERROR('RPK (live)'!AB208/'ASK (live)'!AB208,"-")</f>
        <v>0.92317850562452741</v>
      </c>
      <c r="AC208" s="10">
        <f ca="1">IFERROR('RPK (live)'!AC208/'ASK (live)'!AC208,"-")</f>
        <v>0.89011709179032883</v>
      </c>
      <c r="AD208" s="10" t="str">
        <f ca="1">IFERROR('RPK (live)'!AD208/'ASK (live)'!AD208,"-")</f>
        <v>-</v>
      </c>
      <c r="AE208" s="10" t="str">
        <f ca="1">IFERROR('RPK (live)'!AE208/'ASK (live)'!AE208,"-")</f>
        <v>-</v>
      </c>
    </row>
    <row r="209" spans="1:31">
      <c r="A209" s="1" t="s">
        <v>152</v>
      </c>
      <c r="B209" s="5" t="s">
        <v>256</v>
      </c>
      <c r="C209" s="5" t="s">
        <v>206</v>
      </c>
      <c r="D209" s="5" t="s">
        <v>21</v>
      </c>
      <c r="E209" s="5" t="s">
        <v>181</v>
      </c>
      <c r="F209" s="5" t="s">
        <v>24</v>
      </c>
      <c r="G209" s="6"/>
      <c r="H209" s="6"/>
      <c r="I209" s="6"/>
      <c r="J209" s="6"/>
      <c r="K209" s="6"/>
      <c r="L209" s="10" t="str">
        <f ca="1">IFERROR('RPK (live)'!L209/'ASK (live)'!L209,"-")</f>
        <v>-</v>
      </c>
      <c r="M209" s="10" t="str">
        <f ca="1">IFERROR('RPK (live)'!M209/'ASK (live)'!M209,"-")</f>
        <v>-</v>
      </c>
      <c r="N209" s="10" t="str">
        <f ca="1">IFERROR('RPK (live)'!N209/'ASK (live)'!N209,"-")</f>
        <v>-</v>
      </c>
      <c r="O209" s="10" t="str">
        <f ca="1">IFERROR('RPK (live)'!O209/'ASK (live)'!O209,"-")</f>
        <v>-</v>
      </c>
      <c r="P209" s="10" t="str">
        <f ca="1">IFERROR('RPK (live)'!P209/'ASK (live)'!P209,"-")</f>
        <v>-</v>
      </c>
      <c r="Q209" s="10" t="str">
        <f ca="1">IFERROR('RPK (live)'!Q209/'ASK (live)'!Q209,"-")</f>
        <v>-</v>
      </c>
      <c r="R209" s="10" t="str">
        <f ca="1">IFERROR('RPK (live)'!R209/'ASK (live)'!R209,"-")</f>
        <v>-</v>
      </c>
      <c r="S209" s="10" t="str">
        <f ca="1">IFERROR('RPK (live)'!S209/'ASK (live)'!S209,"-")</f>
        <v>-</v>
      </c>
      <c r="T209" s="10" t="str">
        <f ca="1">IFERROR('RPK (live)'!T209/'ASK (live)'!T209,"-")</f>
        <v>-</v>
      </c>
      <c r="U209" s="10" t="str">
        <f ca="1">IFERROR('RPK (live)'!U209/'ASK (live)'!U209,"-")</f>
        <v>-</v>
      </c>
      <c r="V209" s="10" t="str">
        <f ca="1">IFERROR('RPK (live)'!V209/'ASK (live)'!V209,"-")</f>
        <v>-</v>
      </c>
      <c r="W209" s="10" t="str">
        <f ca="1">IFERROR('RPK (live)'!W209/'ASK (live)'!W209,"-")</f>
        <v>-</v>
      </c>
      <c r="X209" s="10" t="str">
        <f ca="1">IFERROR('RPK (live)'!X209/'ASK (live)'!X209,"-")</f>
        <v>-</v>
      </c>
      <c r="Y209" s="10" t="str">
        <f ca="1">IFERROR('RPK (live)'!Y209/'ASK (live)'!Y209,"-")</f>
        <v>-</v>
      </c>
      <c r="Z209" s="10" t="str">
        <f ca="1">IFERROR('RPK (live)'!Z209/'ASK (live)'!Z209,"-")</f>
        <v>-</v>
      </c>
      <c r="AA209" s="10" t="str">
        <f ca="1">IFERROR('RPK (live)'!AA209/'ASK (live)'!AA209,"-")</f>
        <v>-</v>
      </c>
      <c r="AB209" s="10" t="str">
        <f ca="1">IFERROR('RPK (live)'!AB209/'ASK (live)'!AB209,"-")</f>
        <v>-</v>
      </c>
      <c r="AC209" s="10" t="str">
        <f ca="1">IFERROR('RPK (live)'!AC209/'ASK (live)'!AC209,"-")</f>
        <v>-</v>
      </c>
      <c r="AD209" s="10" t="str">
        <f ca="1">IFERROR('RPK (live)'!AD209/'ASK (live)'!AD209,"-")</f>
        <v>-</v>
      </c>
      <c r="AE209" s="10" t="str">
        <f ca="1">IFERROR('RPK (live)'!AE209/'ASK (live)'!AE209,"-")</f>
        <v>-</v>
      </c>
    </row>
    <row r="210" spans="1:31">
      <c r="A210" s="1" t="s">
        <v>152</v>
      </c>
      <c r="B210" s="5" t="s">
        <v>257</v>
      </c>
      <c r="C210" s="5" t="s">
        <v>208</v>
      </c>
      <c r="D210" s="5" t="s">
        <v>181</v>
      </c>
      <c r="E210" s="5" t="s">
        <v>21</v>
      </c>
      <c r="F210" s="5" t="s">
        <v>24</v>
      </c>
      <c r="G210" s="6"/>
      <c r="H210" s="6"/>
      <c r="I210" s="6"/>
      <c r="J210" s="6"/>
      <c r="K210" s="6"/>
      <c r="L210" s="10" t="str">
        <f ca="1">IFERROR('RPK (live)'!L210/'ASK (live)'!L210,"-")</f>
        <v>-</v>
      </c>
      <c r="M210" s="10" t="str">
        <f ca="1">IFERROR('RPK (live)'!M210/'ASK (live)'!M210,"-")</f>
        <v>-</v>
      </c>
      <c r="N210" s="10" t="str">
        <f ca="1">IFERROR('RPK (live)'!N210/'ASK (live)'!N210,"-")</f>
        <v>-</v>
      </c>
      <c r="O210" s="10" t="str">
        <f ca="1">IFERROR('RPK (live)'!O210/'ASK (live)'!O210,"-")</f>
        <v>-</v>
      </c>
      <c r="P210" s="10" t="str">
        <f ca="1">IFERROR('RPK (live)'!P210/'ASK (live)'!P210,"-")</f>
        <v>-</v>
      </c>
      <c r="Q210" s="10" t="str">
        <f ca="1">IFERROR('RPK (live)'!Q210/'ASK (live)'!Q210,"-")</f>
        <v>-</v>
      </c>
      <c r="R210" s="10" t="str">
        <f ca="1">IFERROR('RPK (live)'!R210/'ASK (live)'!R210,"-")</f>
        <v>-</v>
      </c>
      <c r="S210" s="10" t="str">
        <f ca="1">IFERROR('RPK (live)'!S210/'ASK (live)'!S210,"-")</f>
        <v>-</v>
      </c>
      <c r="T210" s="10" t="str">
        <f ca="1">IFERROR('RPK (live)'!T210/'ASK (live)'!T210,"-")</f>
        <v>-</v>
      </c>
      <c r="U210" s="10" t="str">
        <f ca="1">IFERROR('RPK (live)'!U210/'ASK (live)'!U210,"-")</f>
        <v>-</v>
      </c>
      <c r="V210" s="10" t="str">
        <f ca="1">IFERROR('RPK (live)'!V210/'ASK (live)'!V210,"-")</f>
        <v>-</v>
      </c>
      <c r="W210" s="10" t="str">
        <f ca="1">IFERROR('RPK (live)'!W210/'ASK (live)'!W210,"-")</f>
        <v>-</v>
      </c>
      <c r="X210" s="10" t="str">
        <f ca="1">IFERROR('RPK (live)'!X210/'ASK (live)'!X210,"-")</f>
        <v>-</v>
      </c>
      <c r="Y210" s="10" t="str">
        <f ca="1">IFERROR('RPK (live)'!Y210/'ASK (live)'!Y210,"-")</f>
        <v>-</v>
      </c>
      <c r="Z210" s="10" t="str">
        <f ca="1">IFERROR('RPK (live)'!Z210/'ASK (live)'!Z210,"-")</f>
        <v>-</v>
      </c>
      <c r="AA210" s="10" t="str">
        <f ca="1">IFERROR('RPK (live)'!AA210/'ASK (live)'!AA210,"-")</f>
        <v>-</v>
      </c>
      <c r="AB210" s="10" t="str">
        <f ca="1">IFERROR('RPK (live)'!AB210/'ASK (live)'!AB210,"-")</f>
        <v>-</v>
      </c>
      <c r="AC210" s="10" t="str">
        <f ca="1">IFERROR('RPK (live)'!AC210/'ASK (live)'!AC210,"-")</f>
        <v>-</v>
      </c>
      <c r="AD210" s="10" t="str">
        <f ca="1">IFERROR('RPK (live)'!AD210/'ASK (live)'!AD210,"-")</f>
        <v>-</v>
      </c>
      <c r="AE210" s="10" t="str">
        <f ca="1">IFERROR('RPK (live)'!AE210/'ASK (live)'!AE210,"-")</f>
        <v>-</v>
      </c>
    </row>
    <row r="211" spans="1:31">
      <c r="A211" s="1" t="s">
        <v>152</v>
      </c>
      <c r="B211" s="5" t="s">
        <v>258</v>
      </c>
      <c r="C211" s="5" t="s">
        <v>259</v>
      </c>
      <c r="D211" s="5" t="s">
        <v>21</v>
      </c>
      <c r="E211" s="5" t="s">
        <v>260</v>
      </c>
      <c r="F211" s="5" t="s">
        <v>24</v>
      </c>
      <c r="G211" s="6"/>
      <c r="H211" s="6"/>
      <c r="I211" s="6"/>
      <c r="J211" s="6"/>
      <c r="K211" s="6"/>
      <c r="L211" s="10">
        <f ca="1">IFERROR('RPK (live)'!L211/'ASK (live)'!L211,"-")</f>
        <v>0.8</v>
      </c>
      <c r="M211" s="10">
        <f ca="1">IFERROR('RPK (live)'!M211/'ASK (live)'!M211,"-")</f>
        <v>0.87074318499822534</v>
      </c>
      <c r="N211" s="10">
        <f ca="1">IFERROR('RPK (live)'!N211/'ASK (live)'!N211,"-")</f>
        <v>0.93999999999999984</v>
      </c>
      <c r="O211" s="10">
        <f ca="1">IFERROR('RPK (live)'!O211/'ASK (live)'!O211,"-")</f>
        <v>0.9</v>
      </c>
      <c r="P211" s="10">
        <f ca="1">IFERROR('RPK (live)'!P211/'ASK (live)'!P211,"-")</f>
        <v>0.85</v>
      </c>
      <c r="Q211" s="10">
        <f ca="1">IFERROR('RPK (live)'!Q211/'ASK (live)'!Q211,"-")</f>
        <v>0.87500000000000022</v>
      </c>
      <c r="R211" s="10">
        <f ca="1">IFERROR('RPK (live)'!R211/'ASK (live)'!R211,"-")</f>
        <v>0.7</v>
      </c>
      <c r="S211" s="10">
        <f ca="1">IFERROR('RPK (live)'!S211/'ASK (live)'!S211,"-")</f>
        <v>0.79000000000000015</v>
      </c>
      <c r="T211" s="10">
        <f ca="1">IFERROR('RPK (live)'!T211/'ASK (live)'!T211,"-")</f>
        <v>0.88028104680740282</v>
      </c>
      <c r="U211" s="10">
        <f ca="1">IFERROR('RPK (live)'!U211/'ASK (live)'!U211,"-")</f>
        <v>0.80980699063207151</v>
      </c>
      <c r="V211" s="10">
        <f ca="1">IFERROR('RPK (live)'!V211/'ASK (live)'!V211,"-")</f>
        <v>0.92913083159652177</v>
      </c>
      <c r="W211" s="10">
        <f ca="1">IFERROR('RPK (live)'!W211/'ASK (live)'!W211,"-")</f>
        <v>0.92498395596661376</v>
      </c>
      <c r="X211" s="10">
        <f ca="1">IFERROR('RPK (live)'!X211/'ASK (live)'!X211,"-")</f>
        <v>0.85391064578290765</v>
      </c>
      <c r="Y211" s="10">
        <f ca="1">IFERROR('RPK (live)'!Y211/'ASK (live)'!Y211,"-")</f>
        <v>0.96326245171917235</v>
      </c>
      <c r="Z211" s="10">
        <f ca="1">IFERROR('RPK (live)'!Z211/'ASK (live)'!Z211,"-")</f>
        <v>0.99051911298780126</v>
      </c>
      <c r="AA211" s="10">
        <f ca="1">IFERROR('RPK (live)'!AA211/'ASK (live)'!AA211,"-")</f>
        <v>0.93765156240894931</v>
      </c>
      <c r="AB211" s="10">
        <f ca="1">IFERROR('RPK (live)'!AB211/'ASK (live)'!AB211,"-")</f>
        <v>0.99051911298780115</v>
      </c>
      <c r="AC211" s="10">
        <f ca="1">IFERROR('RPK (live)'!AC211/'ASK (live)'!AC211,"-")</f>
        <v>0.95281120380087303</v>
      </c>
      <c r="AD211" s="10">
        <f ca="1">IFERROR('RPK (live)'!AD211/'ASK (live)'!AD211,"-")</f>
        <v>0.9228124668910348</v>
      </c>
      <c r="AE211" s="10">
        <f ca="1">IFERROR('RPK (live)'!AE211/'ASK (live)'!AE211,"-")</f>
        <v>0.91501020716077963</v>
      </c>
    </row>
    <row r="212" spans="1:31">
      <c r="A212" s="1" t="s">
        <v>152</v>
      </c>
      <c r="B212" s="5" t="s">
        <v>261</v>
      </c>
      <c r="C212" s="5" t="s">
        <v>262</v>
      </c>
      <c r="D212" s="5" t="s">
        <v>260</v>
      </c>
      <c r="E212" s="5" t="s">
        <v>21</v>
      </c>
      <c r="F212" s="5" t="s">
        <v>24</v>
      </c>
      <c r="G212" s="6"/>
      <c r="H212" s="6"/>
      <c r="I212" s="6"/>
      <c r="J212" s="6"/>
      <c r="K212" s="6"/>
      <c r="L212" s="10">
        <f ca="1">IFERROR('RPK (live)'!L212/'ASK (live)'!L212,"-")</f>
        <v>0.8</v>
      </c>
      <c r="M212" s="10">
        <f ca="1">IFERROR('RPK (live)'!M212/'ASK (live)'!M212,"-")</f>
        <v>0.87074318499822534</v>
      </c>
      <c r="N212" s="10">
        <f ca="1">IFERROR('RPK (live)'!N212/'ASK (live)'!N212,"-")</f>
        <v>0.93999999999999984</v>
      </c>
      <c r="O212" s="10">
        <f ca="1">IFERROR('RPK (live)'!O212/'ASK (live)'!O212,"-")</f>
        <v>0.9</v>
      </c>
      <c r="P212" s="10">
        <f ca="1">IFERROR('RPK (live)'!P212/'ASK (live)'!P212,"-")</f>
        <v>0.85</v>
      </c>
      <c r="Q212" s="10">
        <f ca="1">IFERROR('RPK (live)'!Q212/'ASK (live)'!Q212,"-")</f>
        <v>0.87500000000000022</v>
      </c>
      <c r="R212" s="10">
        <f ca="1">IFERROR('RPK (live)'!R212/'ASK (live)'!R212,"-")</f>
        <v>0.7</v>
      </c>
      <c r="S212" s="10">
        <f ca="1">IFERROR('RPK (live)'!S212/'ASK (live)'!S212,"-")</f>
        <v>0.79000000000000015</v>
      </c>
      <c r="T212" s="10">
        <f ca="1">IFERROR('RPK (live)'!T212/'ASK (live)'!T212,"-")</f>
        <v>0.88028104680740282</v>
      </c>
      <c r="U212" s="10">
        <f ca="1">IFERROR('RPK (live)'!U212/'ASK (live)'!U212,"-")</f>
        <v>0.80980699063207151</v>
      </c>
      <c r="V212" s="10">
        <f ca="1">IFERROR('RPK (live)'!V212/'ASK (live)'!V212,"-")</f>
        <v>0.92913083159652177</v>
      </c>
      <c r="W212" s="10">
        <f ca="1">IFERROR('RPK (live)'!W212/'ASK (live)'!W212,"-")</f>
        <v>0.92498395596661376</v>
      </c>
      <c r="X212" s="10">
        <f ca="1">IFERROR('RPK (live)'!X212/'ASK (live)'!X212,"-")</f>
        <v>0.85391064578290765</v>
      </c>
      <c r="Y212" s="10">
        <f ca="1">IFERROR('RPK (live)'!Y212/'ASK (live)'!Y212,"-")</f>
        <v>0.96326245171917235</v>
      </c>
      <c r="Z212" s="10">
        <f ca="1">IFERROR('RPK (live)'!Z212/'ASK (live)'!Z212,"-")</f>
        <v>0.99051911298780126</v>
      </c>
      <c r="AA212" s="10">
        <f ca="1">IFERROR('RPK (live)'!AA212/'ASK (live)'!AA212,"-")</f>
        <v>0.93765156240894931</v>
      </c>
      <c r="AB212" s="10">
        <f ca="1">IFERROR('RPK (live)'!AB212/'ASK (live)'!AB212,"-")</f>
        <v>0.99051911298780115</v>
      </c>
      <c r="AC212" s="10">
        <f ca="1">IFERROR('RPK (live)'!AC212/'ASK (live)'!AC212,"-")</f>
        <v>0.95281120380087303</v>
      </c>
      <c r="AD212" s="10">
        <f ca="1">IFERROR('RPK (live)'!AD212/'ASK (live)'!AD212,"-")</f>
        <v>0.9228124668910348</v>
      </c>
      <c r="AE212" s="10">
        <f ca="1">IFERROR('RPK (live)'!AE212/'ASK (live)'!AE212,"-")</f>
        <v>0.91501020716077963</v>
      </c>
    </row>
    <row r="213" spans="1:31">
      <c r="A213" s="1" t="s">
        <v>152</v>
      </c>
      <c r="B213" s="5" t="s">
        <v>263</v>
      </c>
      <c r="C213" s="5" t="s">
        <v>264</v>
      </c>
      <c r="D213" s="5" t="s">
        <v>21</v>
      </c>
      <c r="E213" s="5" t="s">
        <v>265</v>
      </c>
      <c r="F213" s="5" t="s">
        <v>24</v>
      </c>
      <c r="G213" s="6"/>
      <c r="H213" s="6"/>
      <c r="I213" s="6"/>
      <c r="J213" s="6"/>
      <c r="K213" s="6"/>
      <c r="L213" s="10">
        <f ca="1">IFERROR('RPK (live)'!L213/'ASK (live)'!L213,"-")</f>
        <v>0.76</v>
      </c>
      <c r="M213" s="10">
        <f ca="1">IFERROR('RPK (live)'!M213/'ASK (live)'!M213,"-")</f>
        <v>0.94161763028877876</v>
      </c>
      <c r="N213" s="10">
        <f ca="1">IFERROR('RPK (live)'!N213/'ASK (live)'!N213,"-")</f>
        <v>0.96</v>
      </c>
      <c r="O213" s="10">
        <f ca="1">IFERROR('RPK (live)'!O213/'ASK (live)'!O213,"-")</f>
        <v>0.8600000000000001</v>
      </c>
      <c r="P213" s="10">
        <f ca="1">IFERROR('RPK (live)'!P213/'ASK (live)'!P213,"-")</f>
        <v>0.92000000000000015</v>
      </c>
      <c r="Q213" s="10">
        <f ca="1">IFERROR('RPK (live)'!Q213/'ASK (live)'!Q213,"-")</f>
        <v>0.9</v>
      </c>
      <c r="R213" s="10">
        <f ca="1">IFERROR('RPK (live)'!R213/'ASK (live)'!R213,"-")</f>
        <v>0.9</v>
      </c>
      <c r="S213" s="10">
        <f ca="1">IFERROR('RPK (live)'!S213/'ASK (live)'!S213,"-")</f>
        <v>0.87</v>
      </c>
      <c r="T213" s="10">
        <f ca="1">IFERROR('RPK (live)'!T213/'ASK (live)'!T213,"-")</f>
        <v>0.96789454201174951</v>
      </c>
      <c r="U213" s="10">
        <f ca="1">IFERROR('RPK (live)'!U213/'ASK (live)'!U213,"-")</f>
        <v>0.99051911298780126</v>
      </c>
      <c r="V213" s="10">
        <f ca="1">IFERROR('RPK (live)'!V213/'ASK (live)'!V213,"-")</f>
        <v>0.96113513589727484</v>
      </c>
      <c r="W213" s="10">
        <f ca="1">IFERROR('RPK (live)'!W213/'ASK (live)'!W213,"-")</f>
        <v>0.81090548700348086</v>
      </c>
      <c r="X213" s="10">
        <f ca="1">IFERROR('RPK (live)'!X213/'ASK (live)'!X213,"-")</f>
        <v>0.74561997033103</v>
      </c>
      <c r="Y213" s="10">
        <f ca="1">IFERROR('RPK (live)'!Y213/'ASK (live)'!Y213,"-")</f>
        <v>0.94029627135578842</v>
      </c>
      <c r="Z213" s="10">
        <f ca="1">IFERROR('RPK (live)'!Z213/'ASK (live)'!Z213,"-")</f>
        <v>0.98153610966744753</v>
      </c>
      <c r="AA213" s="10">
        <f ca="1">IFERROR('RPK (live)'!AA213/'ASK (live)'!AA213,"-")</f>
        <v>0.85893058180671966</v>
      </c>
      <c r="AB213" s="10">
        <f ca="1">IFERROR('RPK (live)'!AB213/'ASK (live)'!AB213,"-")</f>
        <v>0.94019268035272008</v>
      </c>
      <c r="AC213" s="10">
        <f ca="1">IFERROR('RPK (live)'!AC213/'ASK (live)'!AC213,"-")</f>
        <v>0.9260439804962054</v>
      </c>
      <c r="AD213" s="10">
        <f ca="1">IFERROR('RPK (live)'!AD213/'ASK (live)'!AD213,"-")</f>
        <v>0.98378333687296704</v>
      </c>
      <c r="AE213" s="10">
        <f ca="1">IFERROR('RPK (live)'!AE213/'ASK (live)'!AE213,"-")</f>
        <v>0.92226704412062488</v>
      </c>
    </row>
    <row r="214" spans="1:31">
      <c r="A214" s="1" t="s">
        <v>152</v>
      </c>
      <c r="B214" s="5" t="s">
        <v>266</v>
      </c>
      <c r="C214" s="5" t="s">
        <v>267</v>
      </c>
      <c r="D214" s="5" t="s">
        <v>265</v>
      </c>
      <c r="E214" s="5" t="s">
        <v>21</v>
      </c>
      <c r="F214" s="5" t="s">
        <v>24</v>
      </c>
      <c r="G214" s="6"/>
      <c r="H214" s="6"/>
      <c r="I214" s="6"/>
      <c r="J214" s="6"/>
      <c r="K214" s="6"/>
      <c r="L214" s="10">
        <f ca="1">IFERROR('RPK (live)'!L214/'ASK (live)'!L214,"-")</f>
        <v>0.76</v>
      </c>
      <c r="M214" s="10">
        <f ca="1">IFERROR('RPK (live)'!M214/'ASK (live)'!M214,"-")</f>
        <v>0.94161763028877876</v>
      </c>
      <c r="N214" s="10">
        <f ca="1">IFERROR('RPK (live)'!N214/'ASK (live)'!N214,"-")</f>
        <v>0.96</v>
      </c>
      <c r="O214" s="10">
        <f ca="1">IFERROR('RPK (live)'!O214/'ASK (live)'!O214,"-")</f>
        <v>0.8600000000000001</v>
      </c>
      <c r="P214" s="10">
        <f ca="1">IFERROR('RPK (live)'!P214/'ASK (live)'!P214,"-")</f>
        <v>0.92000000000000015</v>
      </c>
      <c r="Q214" s="10">
        <f ca="1">IFERROR('RPK (live)'!Q214/'ASK (live)'!Q214,"-")</f>
        <v>0.9</v>
      </c>
      <c r="R214" s="10">
        <f ca="1">IFERROR('RPK (live)'!R214/'ASK (live)'!R214,"-")</f>
        <v>0.9</v>
      </c>
      <c r="S214" s="10">
        <f ca="1">IFERROR('RPK (live)'!S214/'ASK (live)'!S214,"-")</f>
        <v>0.87</v>
      </c>
      <c r="T214" s="10">
        <f ca="1">IFERROR('RPK (live)'!T214/'ASK (live)'!T214,"-")</f>
        <v>0.96789454201174951</v>
      </c>
      <c r="U214" s="10">
        <f ca="1">IFERROR('RPK (live)'!U214/'ASK (live)'!U214,"-")</f>
        <v>0.99051911298780126</v>
      </c>
      <c r="V214" s="10">
        <f ca="1">IFERROR('RPK (live)'!V214/'ASK (live)'!V214,"-")</f>
        <v>0.96113513589727484</v>
      </c>
      <c r="W214" s="10">
        <f ca="1">IFERROR('RPK (live)'!W214/'ASK (live)'!W214,"-")</f>
        <v>0.81090548700348086</v>
      </c>
      <c r="X214" s="10">
        <f ca="1">IFERROR('RPK (live)'!X214/'ASK (live)'!X214,"-")</f>
        <v>0.74561997033103</v>
      </c>
      <c r="Y214" s="10">
        <f ca="1">IFERROR('RPK (live)'!Y214/'ASK (live)'!Y214,"-")</f>
        <v>0.94029627135578842</v>
      </c>
      <c r="Z214" s="10">
        <f ca="1">IFERROR('RPK (live)'!Z214/'ASK (live)'!Z214,"-")</f>
        <v>0.98153610966744753</v>
      </c>
      <c r="AA214" s="10">
        <f ca="1">IFERROR('RPK (live)'!AA214/'ASK (live)'!AA214,"-")</f>
        <v>0.85893058180671966</v>
      </c>
      <c r="AB214" s="10">
        <f ca="1">IFERROR('RPK (live)'!AB214/'ASK (live)'!AB214,"-")</f>
        <v>0.94019268035272008</v>
      </c>
      <c r="AC214" s="10">
        <f ca="1">IFERROR('RPK (live)'!AC214/'ASK (live)'!AC214,"-")</f>
        <v>0.9260439804962054</v>
      </c>
      <c r="AD214" s="10">
        <f ca="1">IFERROR('RPK (live)'!AD214/'ASK (live)'!AD214,"-")</f>
        <v>0.98378333687296704</v>
      </c>
      <c r="AE214" s="10">
        <f ca="1">IFERROR('RPK (live)'!AE214/'ASK (live)'!AE214,"-")</f>
        <v>0.92226704412062488</v>
      </c>
    </row>
    <row r="215" spans="1:31">
      <c r="A215" s="1" t="s">
        <v>152</v>
      </c>
      <c r="B215" s="5" t="s">
        <v>268</v>
      </c>
      <c r="C215" s="5" t="s">
        <v>264</v>
      </c>
      <c r="D215" s="5" t="s">
        <v>21</v>
      </c>
      <c r="E215" s="5" t="s">
        <v>265</v>
      </c>
      <c r="F215" s="5" t="s">
        <v>24</v>
      </c>
      <c r="G215" s="6"/>
      <c r="H215" s="6"/>
      <c r="I215" s="6"/>
      <c r="J215" s="6"/>
      <c r="K215" s="6"/>
      <c r="L215" s="10">
        <f ca="1">IFERROR('RPK (live)'!L215/'ASK (live)'!L215,"-")</f>
        <v>0.76</v>
      </c>
      <c r="M215" s="10">
        <f ca="1">IFERROR('RPK (live)'!M215/'ASK (live)'!M215,"-")</f>
        <v>0.94161763028877854</v>
      </c>
      <c r="N215" s="10">
        <f ca="1">IFERROR('RPK (live)'!N215/'ASK (live)'!N215,"-")</f>
        <v>0.95999999999999985</v>
      </c>
      <c r="O215" s="10">
        <f ca="1">IFERROR('RPK (live)'!O215/'ASK (live)'!O215,"-")</f>
        <v>0.86</v>
      </c>
      <c r="P215" s="10">
        <f ca="1">IFERROR('RPK (live)'!P215/'ASK (live)'!P215,"-")</f>
        <v>0.92000000000000015</v>
      </c>
      <c r="Q215" s="10">
        <f ca="1">IFERROR('RPK (live)'!Q215/'ASK (live)'!Q215,"-")</f>
        <v>0.9</v>
      </c>
      <c r="R215" s="10">
        <f ca="1">IFERROR('RPK (live)'!R215/'ASK (live)'!R215,"-")</f>
        <v>0.9</v>
      </c>
      <c r="S215" s="10">
        <f ca="1">IFERROR('RPK (live)'!S215/'ASK (live)'!S215,"-")</f>
        <v>0.87</v>
      </c>
      <c r="T215" s="10">
        <f ca="1">IFERROR('RPK (live)'!T215/'ASK (live)'!T215,"-")</f>
        <v>0.96789454201174951</v>
      </c>
      <c r="U215" s="10">
        <f ca="1">IFERROR('RPK (live)'!U215/'ASK (live)'!U215,"-")</f>
        <v>0.99051911298780115</v>
      </c>
      <c r="V215" s="10">
        <f ca="1">IFERROR('RPK (live)'!V215/'ASK (live)'!V215,"-")</f>
        <v>0.96113513589727517</v>
      </c>
      <c r="W215" s="10">
        <f ca="1">IFERROR('RPK (live)'!W215/'ASK (live)'!W215,"-")</f>
        <v>0.81090548700348097</v>
      </c>
      <c r="X215" s="10">
        <f ca="1">IFERROR('RPK (live)'!X215/'ASK (live)'!X215,"-")</f>
        <v>0.74561997033103011</v>
      </c>
      <c r="Y215" s="10">
        <f ca="1">IFERROR('RPK (live)'!Y215/'ASK (live)'!Y215,"-")</f>
        <v>0.94029627135578842</v>
      </c>
      <c r="Z215" s="10">
        <f ca="1">IFERROR('RPK (live)'!Z215/'ASK (live)'!Z215,"-")</f>
        <v>0.98153610966744731</v>
      </c>
      <c r="AA215" s="10">
        <f ca="1">IFERROR('RPK (live)'!AA215/'ASK (live)'!AA215,"-")</f>
        <v>0.85893058180671966</v>
      </c>
      <c r="AB215" s="10">
        <f ca="1">IFERROR('RPK (live)'!AB215/'ASK (live)'!AB215,"-")</f>
        <v>0.94019268035271997</v>
      </c>
      <c r="AC215" s="10">
        <f ca="1">IFERROR('RPK (live)'!AC215/'ASK (live)'!AC215,"-")</f>
        <v>0.92604398049620573</v>
      </c>
      <c r="AD215" s="10">
        <f ca="1">IFERROR('RPK (live)'!AD215/'ASK (live)'!AD215,"-")</f>
        <v>0.98378333687296693</v>
      </c>
      <c r="AE215" s="10">
        <f ca="1">IFERROR('RPK (live)'!AE215/'ASK (live)'!AE215,"-")</f>
        <v>0.92226704412062488</v>
      </c>
    </row>
    <row r="216" spans="1:31">
      <c r="A216" s="1" t="s">
        <v>152</v>
      </c>
      <c r="B216" s="5" t="s">
        <v>269</v>
      </c>
      <c r="C216" s="5" t="s">
        <v>267</v>
      </c>
      <c r="D216" s="5" t="s">
        <v>265</v>
      </c>
      <c r="E216" s="5" t="s">
        <v>21</v>
      </c>
      <c r="F216" s="5" t="s">
        <v>24</v>
      </c>
      <c r="G216" s="6"/>
      <c r="H216" s="6"/>
      <c r="I216" s="6"/>
      <c r="J216" s="6"/>
      <c r="K216" s="6"/>
      <c r="L216" s="10">
        <f ca="1">IFERROR('RPK (live)'!L216/'ASK (live)'!L216,"-")</f>
        <v>0.76</v>
      </c>
      <c r="M216" s="10">
        <f ca="1">IFERROR('RPK (live)'!M216/'ASK (live)'!M216,"-")</f>
        <v>0.94161763028877854</v>
      </c>
      <c r="N216" s="10">
        <f ca="1">IFERROR('RPK (live)'!N216/'ASK (live)'!N216,"-")</f>
        <v>0.95999999999999985</v>
      </c>
      <c r="O216" s="10">
        <f ca="1">IFERROR('RPK (live)'!O216/'ASK (live)'!O216,"-")</f>
        <v>0.86</v>
      </c>
      <c r="P216" s="10">
        <f ca="1">IFERROR('RPK (live)'!P216/'ASK (live)'!P216,"-")</f>
        <v>0.92000000000000015</v>
      </c>
      <c r="Q216" s="10">
        <f ca="1">IFERROR('RPK (live)'!Q216/'ASK (live)'!Q216,"-")</f>
        <v>0.9</v>
      </c>
      <c r="R216" s="10">
        <f ca="1">IFERROR('RPK (live)'!R216/'ASK (live)'!R216,"-")</f>
        <v>0.9</v>
      </c>
      <c r="S216" s="10">
        <f ca="1">IFERROR('RPK (live)'!S216/'ASK (live)'!S216,"-")</f>
        <v>0.87</v>
      </c>
      <c r="T216" s="10">
        <f ca="1">IFERROR('RPK (live)'!T216/'ASK (live)'!T216,"-")</f>
        <v>0.96789454201174951</v>
      </c>
      <c r="U216" s="10">
        <f ca="1">IFERROR('RPK (live)'!U216/'ASK (live)'!U216,"-")</f>
        <v>0.99051911298780115</v>
      </c>
      <c r="V216" s="10">
        <f ca="1">IFERROR('RPK (live)'!V216/'ASK (live)'!V216,"-")</f>
        <v>0.96113513589727517</v>
      </c>
      <c r="W216" s="10">
        <f ca="1">IFERROR('RPK (live)'!W216/'ASK (live)'!W216,"-")</f>
        <v>0.81090548700348097</v>
      </c>
      <c r="X216" s="10">
        <f ca="1">IFERROR('RPK (live)'!X216/'ASK (live)'!X216,"-")</f>
        <v>0.74561997033103011</v>
      </c>
      <c r="Y216" s="10">
        <f ca="1">IFERROR('RPK (live)'!Y216/'ASK (live)'!Y216,"-")</f>
        <v>0.94029627135578842</v>
      </c>
      <c r="Z216" s="10">
        <f ca="1">IFERROR('RPK (live)'!Z216/'ASK (live)'!Z216,"-")</f>
        <v>0.98153610966744731</v>
      </c>
      <c r="AA216" s="10">
        <f ca="1">IFERROR('RPK (live)'!AA216/'ASK (live)'!AA216,"-")</f>
        <v>0.85893058180671966</v>
      </c>
      <c r="AB216" s="10">
        <f ca="1">IFERROR('RPK (live)'!AB216/'ASK (live)'!AB216,"-")</f>
        <v>0.94019268035271997</v>
      </c>
      <c r="AC216" s="10">
        <f ca="1">IFERROR('RPK (live)'!AC216/'ASK (live)'!AC216,"-")</f>
        <v>0.9260439804962054</v>
      </c>
      <c r="AD216" s="10">
        <f ca="1">IFERROR('RPK (live)'!AD216/'ASK (live)'!AD216,"-")</f>
        <v>0.98378333687296693</v>
      </c>
      <c r="AE216" s="10">
        <f ca="1">IFERROR('RPK (live)'!AE216/'ASK (live)'!AE216,"-")</f>
        <v>0.92226704412062488</v>
      </c>
    </row>
    <row r="217" spans="1:31">
      <c r="A217" s="1" t="s">
        <v>152</v>
      </c>
      <c r="B217" s="5" t="s">
        <v>270</v>
      </c>
      <c r="C217" s="5" t="s">
        <v>271</v>
      </c>
      <c r="D217" s="5" t="s">
        <v>21</v>
      </c>
      <c r="E217" s="5" t="s">
        <v>272</v>
      </c>
      <c r="F217" s="5" t="s">
        <v>24</v>
      </c>
      <c r="G217" s="6"/>
      <c r="H217" s="6"/>
      <c r="I217" s="6"/>
      <c r="J217" s="6"/>
      <c r="K217" s="6"/>
      <c r="L217" s="10">
        <f ca="1">IFERROR('RPK (live)'!L217/'ASK (live)'!L217,"-")</f>
        <v>0.82</v>
      </c>
      <c r="M217" s="10">
        <f ca="1">IFERROR('RPK (live)'!M217/'ASK (live)'!M217,"-")</f>
        <v>0.86061826424243204</v>
      </c>
      <c r="N217" s="10">
        <f ca="1">IFERROR('RPK (live)'!N217/'ASK (live)'!N217,"-")</f>
        <v>0.86</v>
      </c>
      <c r="O217" s="10">
        <f ca="1">IFERROR('RPK (live)'!O217/'ASK (live)'!O217,"-")</f>
        <v>0.78</v>
      </c>
      <c r="P217" s="10">
        <f ca="1">IFERROR('RPK (live)'!P217/'ASK (live)'!P217,"-")</f>
        <v>0.82</v>
      </c>
      <c r="Q217" s="10">
        <f ca="1">IFERROR('RPK (live)'!Q217/'ASK (live)'!Q217,"-")</f>
        <v>0.69999999999999984</v>
      </c>
      <c r="R217" s="10">
        <f ca="1">IFERROR('RPK (live)'!R217/'ASK (live)'!R217,"-")</f>
        <v>0.67000000000000015</v>
      </c>
      <c r="S217" s="10">
        <f ca="1">IFERROR('RPK (live)'!S217/'ASK (live)'!S217,"-")</f>
        <v>0.76999999999999991</v>
      </c>
      <c r="T217" s="10">
        <f ca="1">IFERROR('RPK (live)'!T217/'ASK (live)'!T217,"-")</f>
        <v>0.82159204824067822</v>
      </c>
      <c r="U217" s="10">
        <f ca="1">IFERROR('RPK (live)'!U217/'ASK (live)'!U217,"-")</f>
        <v>0.83143578856583056</v>
      </c>
      <c r="V217" s="10">
        <f ca="1">IFERROR('RPK (live)'!V217/'ASK (live)'!V217,"-")</f>
        <v>0.85454860670988408</v>
      </c>
      <c r="W217" s="10">
        <f ca="1">IFERROR('RPK (live)'!W217/'ASK (live)'!W217,"-")</f>
        <v>0.82833666539598594</v>
      </c>
      <c r="X217" s="10">
        <f ca="1">IFERROR('RPK (live)'!X217/'ASK (live)'!X217,"-")</f>
        <v>0.9023762110006176</v>
      </c>
      <c r="Y217" s="10">
        <f ca="1">IFERROR('RPK (live)'!Y217/'ASK (live)'!Y217,"-")</f>
        <v>0.91298353353976636</v>
      </c>
      <c r="Z217" s="10">
        <f ca="1">IFERROR('RPK (live)'!Z217/'ASK (live)'!Z217,"-")</f>
        <v>0.85905664402906856</v>
      </c>
      <c r="AA217" s="10">
        <f ca="1">IFERROR('RPK (live)'!AA217/'ASK (live)'!AA217,"-")</f>
        <v>0.71704663500955312</v>
      </c>
      <c r="AB217" s="10">
        <f ca="1">IFERROR('RPK (live)'!AB217/'ASK (live)'!AB217,"-")</f>
        <v>0.86249832391126913</v>
      </c>
      <c r="AC217" s="10">
        <f ca="1">IFERROR('RPK (live)'!AC217/'ASK (live)'!AC217,"-")</f>
        <v>0.90144436228027625</v>
      </c>
      <c r="AD217" s="10">
        <f ca="1">IFERROR('RPK (live)'!AD217/'ASK (live)'!AD217,"-")</f>
        <v>0.98772982544777255</v>
      </c>
      <c r="AE217" s="10">
        <f ca="1">IFERROR('RPK (live)'!AE217/'ASK (live)'!AE217,"-")</f>
        <v>0.84139043022716065</v>
      </c>
    </row>
    <row r="218" spans="1:31">
      <c r="A218" s="1" t="s">
        <v>152</v>
      </c>
      <c r="B218" s="5" t="s">
        <v>273</v>
      </c>
      <c r="C218" s="5" t="s">
        <v>274</v>
      </c>
      <c r="D218" s="5" t="s">
        <v>272</v>
      </c>
      <c r="E218" s="5" t="s">
        <v>21</v>
      </c>
      <c r="F218" s="5" t="s">
        <v>24</v>
      </c>
      <c r="G218" s="6"/>
      <c r="H218" s="6"/>
      <c r="I218" s="6"/>
      <c r="J218" s="6"/>
      <c r="K218" s="6"/>
      <c r="L218" s="10">
        <f ca="1">IFERROR('RPK (live)'!L218/'ASK (live)'!L218,"-")</f>
        <v>0.82</v>
      </c>
      <c r="M218" s="10">
        <f ca="1">IFERROR('RPK (live)'!M218/'ASK (live)'!M218,"-")</f>
        <v>0.86061826424243204</v>
      </c>
      <c r="N218" s="10">
        <f ca="1">IFERROR('RPK (live)'!N218/'ASK (live)'!N218,"-")</f>
        <v>0.86</v>
      </c>
      <c r="O218" s="10">
        <f ca="1">IFERROR('RPK (live)'!O218/'ASK (live)'!O218,"-")</f>
        <v>0.78</v>
      </c>
      <c r="P218" s="10">
        <f ca="1">IFERROR('RPK (live)'!P218/'ASK (live)'!P218,"-")</f>
        <v>0.82</v>
      </c>
      <c r="Q218" s="10">
        <f ca="1">IFERROR('RPK (live)'!Q218/'ASK (live)'!Q218,"-")</f>
        <v>0.69999999999999984</v>
      </c>
      <c r="R218" s="10">
        <f ca="1">IFERROR('RPK (live)'!R218/'ASK (live)'!R218,"-")</f>
        <v>0.67000000000000015</v>
      </c>
      <c r="S218" s="10">
        <f ca="1">IFERROR('RPK (live)'!S218/'ASK (live)'!S218,"-")</f>
        <v>0.76999999999999991</v>
      </c>
      <c r="T218" s="10">
        <f ca="1">IFERROR('RPK (live)'!T218/'ASK (live)'!T218,"-")</f>
        <v>0.82159204824067822</v>
      </c>
      <c r="U218" s="10">
        <f ca="1">IFERROR('RPK (live)'!U218/'ASK (live)'!U218,"-")</f>
        <v>0.83143578856583056</v>
      </c>
      <c r="V218" s="10">
        <f ca="1">IFERROR('RPK (live)'!V218/'ASK (live)'!V218,"-")</f>
        <v>0.85454860670988408</v>
      </c>
      <c r="W218" s="10">
        <f ca="1">IFERROR('RPK (live)'!W218/'ASK (live)'!W218,"-")</f>
        <v>0.82833666539598594</v>
      </c>
      <c r="X218" s="10">
        <f ca="1">IFERROR('RPK (live)'!X218/'ASK (live)'!X218,"-")</f>
        <v>0.9023762110006176</v>
      </c>
      <c r="Y218" s="10">
        <f ca="1">IFERROR('RPK (live)'!Y218/'ASK (live)'!Y218,"-")</f>
        <v>0.91298353353976636</v>
      </c>
      <c r="Z218" s="10">
        <f ca="1">IFERROR('RPK (live)'!Z218/'ASK (live)'!Z218,"-")</f>
        <v>0.85905664402906856</v>
      </c>
      <c r="AA218" s="10">
        <f ca="1">IFERROR('RPK (live)'!AA218/'ASK (live)'!AA218,"-")</f>
        <v>0.71704663500955312</v>
      </c>
      <c r="AB218" s="10">
        <f ca="1">IFERROR('RPK (live)'!AB218/'ASK (live)'!AB218,"-")</f>
        <v>0.86249832391126913</v>
      </c>
      <c r="AC218" s="10">
        <f ca="1">IFERROR('RPK (live)'!AC218/'ASK (live)'!AC218,"-")</f>
        <v>0.90144436228027625</v>
      </c>
      <c r="AD218" s="10">
        <f ca="1">IFERROR('RPK (live)'!AD218/'ASK (live)'!AD218,"-")</f>
        <v>0.98772982544777255</v>
      </c>
      <c r="AE218" s="10">
        <f ca="1">IFERROR('RPK (live)'!AE218/'ASK (live)'!AE218,"-")</f>
        <v>0.84139043022716065</v>
      </c>
    </row>
    <row r="219" spans="1:31">
      <c r="A219" s="1" t="s">
        <v>152</v>
      </c>
      <c r="B219" s="5" t="s">
        <v>275</v>
      </c>
      <c r="C219" s="5" t="s">
        <v>276</v>
      </c>
      <c r="D219" s="5" t="s">
        <v>21</v>
      </c>
      <c r="E219" s="5" t="s">
        <v>277</v>
      </c>
      <c r="F219" s="5" t="s">
        <v>24</v>
      </c>
      <c r="G219" s="6"/>
      <c r="H219" s="6"/>
      <c r="I219" s="6"/>
      <c r="J219" s="6"/>
      <c r="K219" s="6"/>
      <c r="L219" s="10">
        <f ca="1">IFERROR('RPK (live)'!L219/'ASK (live)'!L219,"-")</f>
        <v>0.85</v>
      </c>
      <c r="M219" s="10">
        <f ca="1">IFERROR('RPK (live)'!M219/'ASK (live)'!M219,"-")</f>
        <v>0.88086810575401875</v>
      </c>
      <c r="N219" s="10">
        <f ca="1">IFERROR('RPK (live)'!N219/'ASK (live)'!N219,"-")</f>
        <v>0.92</v>
      </c>
      <c r="O219" s="10">
        <f ca="1">IFERROR('RPK (live)'!O219/'ASK (live)'!O219,"-")</f>
        <v>0.82</v>
      </c>
      <c r="P219" s="10">
        <f ca="1">IFERROR('RPK (live)'!P219/'ASK (live)'!P219,"-")</f>
        <v>0.83</v>
      </c>
      <c r="Q219" s="10">
        <f ca="1">IFERROR('RPK (live)'!Q219/'ASK (live)'!Q219,"-")</f>
        <v>0.8</v>
      </c>
      <c r="R219" s="10">
        <f ca="1">IFERROR('RPK (live)'!R219/'ASK (live)'!R219,"-")</f>
        <v>0.8</v>
      </c>
      <c r="S219" s="10">
        <f ca="1">IFERROR('RPK (live)'!S219/'ASK (live)'!S219,"-")</f>
        <v>0.85999999999999988</v>
      </c>
      <c r="T219" s="10">
        <f ca="1">IFERROR('RPK (live)'!T219/'ASK (live)'!T219,"-")</f>
        <v>0.95336013843732703</v>
      </c>
      <c r="U219" s="10">
        <f ca="1">IFERROR('RPK (live)'!U219/'ASK (live)'!U219,"-")</f>
        <v>0.88399527640241082</v>
      </c>
      <c r="V219" s="10">
        <f ca="1">IFERROR('RPK (live)'!V219/'ASK (live)'!V219,"-")</f>
        <v>0.83205571753922836</v>
      </c>
      <c r="W219" s="10">
        <f ca="1">IFERROR('RPK (live)'!W219/'ASK (live)'!W219,"-")</f>
        <v>0.76421298188577036</v>
      </c>
      <c r="X219" s="10">
        <f ca="1">IFERROR('RPK (live)'!X219/'ASK (live)'!X219,"-")</f>
        <v>0.74414863130564579</v>
      </c>
      <c r="Y219" s="10">
        <f ca="1">IFERROR('RPK (live)'!Y219/'ASK (live)'!Y219,"-")</f>
        <v>0.92508837942836486</v>
      </c>
      <c r="Z219" s="10">
        <f ca="1">IFERROR('RPK (live)'!Z219/'ASK (live)'!Z219,"-")</f>
        <v>0.9425547876411885</v>
      </c>
      <c r="AA219" s="10">
        <f ca="1">IFERROR('RPK (live)'!AA219/'ASK (live)'!AA219,"-")</f>
        <v>0.80293919439032724</v>
      </c>
      <c r="AB219" s="10">
        <f ca="1">IFERROR('RPK (live)'!AB219/'ASK (live)'!AB219,"-")</f>
        <v>0.87684413279495788</v>
      </c>
      <c r="AC219" s="10">
        <f ca="1">IFERROR('RPK (live)'!AC219/'ASK (live)'!AC219,"-")</f>
        <v>0.83239803878273533</v>
      </c>
      <c r="AD219" s="10">
        <f ca="1">IFERROR('RPK (live)'!AD219/'ASK (live)'!AD219,"-")</f>
        <v>0.86149227956640195</v>
      </c>
      <c r="AE219" s="10">
        <f ca="1">IFERROR('RPK (live)'!AE219/'ASK (live)'!AE219,"-")</f>
        <v>0.92732114481735017</v>
      </c>
    </row>
    <row r="220" spans="1:31">
      <c r="A220" s="1" t="s">
        <v>152</v>
      </c>
      <c r="B220" s="5" t="s">
        <v>278</v>
      </c>
      <c r="C220" s="5" t="s">
        <v>279</v>
      </c>
      <c r="D220" s="5" t="s">
        <v>277</v>
      </c>
      <c r="E220" s="5" t="s">
        <v>21</v>
      </c>
      <c r="F220" s="5" t="s">
        <v>24</v>
      </c>
      <c r="G220" s="6"/>
      <c r="H220" s="6"/>
      <c r="I220" s="6"/>
      <c r="J220" s="6"/>
      <c r="K220" s="6"/>
      <c r="L220" s="10">
        <f ca="1">IFERROR('RPK (live)'!L220/'ASK (live)'!L220,"-")</f>
        <v>0.85</v>
      </c>
      <c r="M220" s="10">
        <f ca="1">IFERROR('RPK (live)'!M220/'ASK (live)'!M220,"-")</f>
        <v>0.88086810575401875</v>
      </c>
      <c r="N220" s="10">
        <f ca="1">IFERROR('RPK (live)'!N220/'ASK (live)'!N220,"-")</f>
        <v>0.92</v>
      </c>
      <c r="O220" s="10">
        <f ca="1">IFERROR('RPK (live)'!O220/'ASK (live)'!O220,"-")</f>
        <v>0.82</v>
      </c>
      <c r="P220" s="10">
        <f ca="1">IFERROR('RPK (live)'!P220/'ASK (live)'!P220,"-")</f>
        <v>0.83</v>
      </c>
      <c r="Q220" s="10">
        <f ca="1">IFERROR('RPK (live)'!Q220/'ASK (live)'!Q220,"-")</f>
        <v>0.8</v>
      </c>
      <c r="R220" s="10">
        <f ca="1">IFERROR('RPK (live)'!R220/'ASK (live)'!R220,"-")</f>
        <v>0.8</v>
      </c>
      <c r="S220" s="10">
        <f ca="1">IFERROR('RPK (live)'!S220/'ASK (live)'!S220,"-")</f>
        <v>0.85999999999999988</v>
      </c>
      <c r="T220" s="10">
        <f ca="1">IFERROR('RPK (live)'!T220/'ASK (live)'!T220,"-")</f>
        <v>0.95336013843732703</v>
      </c>
      <c r="U220" s="10">
        <f ca="1">IFERROR('RPK (live)'!U220/'ASK (live)'!U220,"-")</f>
        <v>0.88399527640241082</v>
      </c>
      <c r="V220" s="10">
        <f ca="1">IFERROR('RPK (live)'!V220/'ASK (live)'!V220,"-")</f>
        <v>0.83205571753922836</v>
      </c>
      <c r="W220" s="10">
        <f ca="1">IFERROR('RPK (live)'!W220/'ASK (live)'!W220,"-")</f>
        <v>0.76421298188577036</v>
      </c>
      <c r="X220" s="10">
        <f ca="1">IFERROR('RPK (live)'!X220/'ASK (live)'!X220,"-")</f>
        <v>0.74414863130564579</v>
      </c>
      <c r="Y220" s="10">
        <f ca="1">IFERROR('RPK (live)'!Y220/'ASK (live)'!Y220,"-")</f>
        <v>0.92508837942836486</v>
      </c>
      <c r="Z220" s="10">
        <f ca="1">IFERROR('RPK (live)'!Z220/'ASK (live)'!Z220,"-")</f>
        <v>0.9425547876411885</v>
      </c>
      <c r="AA220" s="10">
        <f ca="1">IFERROR('RPK (live)'!AA220/'ASK (live)'!AA220,"-")</f>
        <v>0.80293919439032724</v>
      </c>
      <c r="AB220" s="10">
        <f ca="1">IFERROR('RPK (live)'!AB220/'ASK (live)'!AB220,"-")</f>
        <v>0.87684413279495788</v>
      </c>
      <c r="AC220" s="10">
        <f ca="1">IFERROR('RPK (live)'!AC220/'ASK (live)'!AC220,"-")</f>
        <v>0.83239803878273533</v>
      </c>
      <c r="AD220" s="10">
        <f ca="1">IFERROR('RPK (live)'!AD220/'ASK (live)'!AD220,"-")</f>
        <v>0.86149227956640195</v>
      </c>
      <c r="AE220" s="10">
        <f ca="1">IFERROR('RPK (live)'!AE220/'ASK (live)'!AE220,"-")</f>
        <v>0.92732114481735017</v>
      </c>
    </row>
    <row r="221" spans="1:31">
      <c r="A221" s="1" t="s">
        <v>152</v>
      </c>
      <c r="B221" s="5" t="s">
        <v>280</v>
      </c>
      <c r="C221" s="5" t="s">
        <v>276</v>
      </c>
      <c r="D221" s="5" t="s">
        <v>21</v>
      </c>
      <c r="E221" s="5" t="s">
        <v>277</v>
      </c>
      <c r="F221" s="5" t="s">
        <v>24</v>
      </c>
      <c r="G221" s="6"/>
      <c r="H221" s="6"/>
      <c r="I221" s="6"/>
      <c r="J221" s="6"/>
      <c r="K221" s="6"/>
      <c r="L221" s="10" t="str">
        <f ca="1">IFERROR('RPK (live)'!L221/'ASK (live)'!L221,"-")</f>
        <v>-</v>
      </c>
      <c r="M221" s="10" t="str">
        <f ca="1">IFERROR('RPK (live)'!M221/'ASK (live)'!M221,"-")</f>
        <v>-</v>
      </c>
      <c r="N221" s="10" t="str">
        <f ca="1">IFERROR('RPK (live)'!N221/'ASK (live)'!N221,"-")</f>
        <v>-</v>
      </c>
      <c r="O221" s="10" t="str">
        <f ca="1">IFERROR('RPK (live)'!O221/'ASK (live)'!O221,"-")</f>
        <v>-</v>
      </c>
      <c r="P221" s="10" t="str">
        <f ca="1">IFERROR('RPK (live)'!P221/'ASK (live)'!P221,"-")</f>
        <v>-</v>
      </c>
      <c r="Q221" s="10">
        <f ca="1">IFERROR('RPK (live)'!Q221/'ASK (live)'!Q221,"-")</f>
        <v>0.8</v>
      </c>
      <c r="R221" s="10">
        <f ca="1">IFERROR('RPK (live)'!R221/'ASK (live)'!R221,"-")</f>
        <v>0.8</v>
      </c>
      <c r="S221" s="10">
        <f ca="1">IFERROR('RPK (live)'!S221/'ASK (live)'!S221,"-")</f>
        <v>0.85999999999999988</v>
      </c>
      <c r="T221" s="10" t="str">
        <f ca="1">IFERROR('RPK (live)'!T221/'ASK (live)'!T221,"-")</f>
        <v>-</v>
      </c>
      <c r="U221" s="10" t="str">
        <f ca="1">IFERROR('RPK (live)'!U221/'ASK (live)'!U221,"-")</f>
        <v>-</v>
      </c>
      <c r="V221" s="10" t="str">
        <f ca="1">IFERROR('RPK (live)'!V221/'ASK (live)'!V221,"-")</f>
        <v>-</v>
      </c>
      <c r="W221" s="10" t="str">
        <f ca="1">IFERROR('RPK (live)'!W221/'ASK (live)'!W221,"-")</f>
        <v>-</v>
      </c>
      <c r="X221" s="10" t="str">
        <f ca="1">IFERROR('RPK (live)'!X221/'ASK (live)'!X221,"-")</f>
        <v>-</v>
      </c>
      <c r="Y221" s="10" t="str">
        <f ca="1">IFERROR('RPK (live)'!Y221/'ASK (live)'!Y221,"-")</f>
        <v>-</v>
      </c>
      <c r="Z221" s="10" t="str">
        <f ca="1">IFERROR('RPK (live)'!Z221/'ASK (live)'!Z221,"-")</f>
        <v>-</v>
      </c>
      <c r="AA221" s="10" t="str">
        <f ca="1">IFERROR('RPK (live)'!AA221/'ASK (live)'!AA221,"-")</f>
        <v>-</v>
      </c>
      <c r="AB221" s="10" t="str">
        <f ca="1">IFERROR('RPK (live)'!AB221/'ASK (live)'!AB221,"-")</f>
        <v>-</v>
      </c>
      <c r="AC221" s="10" t="str">
        <f ca="1">IFERROR('RPK (live)'!AC221/'ASK (live)'!AC221,"-")</f>
        <v>-</v>
      </c>
      <c r="AD221" s="10" t="str">
        <f ca="1">IFERROR('RPK (live)'!AD221/'ASK (live)'!AD221,"-")</f>
        <v>-</v>
      </c>
      <c r="AE221" s="10" t="str">
        <f ca="1">IFERROR('RPK (live)'!AE221/'ASK (live)'!AE221,"-")</f>
        <v>-</v>
      </c>
    </row>
    <row r="222" spans="1:31">
      <c r="A222" s="1" t="s">
        <v>152</v>
      </c>
      <c r="B222" s="5" t="s">
        <v>281</v>
      </c>
      <c r="C222" s="5" t="s">
        <v>279</v>
      </c>
      <c r="D222" s="5" t="s">
        <v>277</v>
      </c>
      <c r="E222" s="5" t="s">
        <v>21</v>
      </c>
      <c r="F222" s="5" t="s">
        <v>24</v>
      </c>
      <c r="G222" s="6"/>
      <c r="H222" s="6"/>
      <c r="I222" s="6"/>
      <c r="J222" s="6"/>
      <c r="K222" s="6"/>
      <c r="L222" s="10" t="str">
        <f ca="1">IFERROR('RPK (live)'!L222/'ASK (live)'!L222,"-")</f>
        <v>-</v>
      </c>
      <c r="M222" s="10" t="str">
        <f ca="1">IFERROR('RPK (live)'!M222/'ASK (live)'!M222,"-")</f>
        <v>-</v>
      </c>
      <c r="N222" s="10" t="str">
        <f ca="1">IFERROR('RPK (live)'!N222/'ASK (live)'!N222,"-")</f>
        <v>-</v>
      </c>
      <c r="O222" s="10" t="str">
        <f ca="1">IFERROR('RPK (live)'!O222/'ASK (live)'!O222,"-")</f>
        <v>-</v>
      </c>
      <c r="P222" s="10" t="str">
        <f ca="1">IFERROR('RPK (live)'!P222/'ASK (live)'!P222,"-")</f>
        <v>-</v>
      </c>
      <c r="Q222" s="10">
        <f ca="1">IFERROR('RPK (live)'!Q222/'ASK (live)'!Q222,"-")</f>
        <v>0.8</v>
      </c>
      <c r="R222" s="10">
        <f ca="1">IFERROR('RPK (live)'!R222/'ASK (live)'!R222,"-")</f>
        <v>0.8</v>
      </c>
      <c r="S222" s="10">
        <f ca="1">IFERROR('RPK (live)'!S222/'ASK (live)'!S222,"-")</f>
        <v>0.85999999999999988</v>
      </c>
      <c r="T222" s="10" t="str">
        <f ca="1">IFERROR('RPK (live)'!T222/'ASK (live)'!T222,"-")</f>
        <v>-</v>
      </c>
      <c r="U222" s="10" t="str">
        <f ca="1">IFERROR('RPK (live)'!U222/'ASK (live)'!U222,"-")</f>
        <v>-</v>
      </c>
      <c r="V222" s="10" t="str">
        <f ca="1">IFERROR('RPK (live)'!V222/'ASK (live)'!V222,"-")</f>
        <v>-</v>
      </c>
      <c r="W222" s="10" t="str">
        <f ca="1">IFERROR('RPK (live)'!W222/'ASK (live)'!W222,"-")</f>
        <v>-</v>
      </c>
      <c r="X222" s="10" t="str">
        <f ca="1">IFERROR('RPK (live)'!X222/'ASK (live)'!X222,"-")</f>
        <v>-</v>
      </c>
      <c r="Y222" s="10" t="str">
        <f ca="1">IFERROR('RPK (live)'!Y222/'ASK (live)'!Y222,"-")</f>
        <v>-</v>
      </c>
      <c r="Z222" s="10" t="str">
        <f ca="1">IFERROR('RPK (live)'!Z222/'ASK (live)'!Z222,"-")</f>
        <v>-</v>
      </c>
      <c r="AA222" s="10" t="str">
        <f ca="1">IFERROR('RPK (live)'!AA222/'ASK (live)'!AA222,"-")</f>
        <v>-</v>
      </c>
      <c r="AB222" s="10" t="str">
        <f ca="1">IFERROR('RPK (live)'!AB222/'ASK (live)'!AB222,"-")</f>
        <v>-</v>
      </c>
      <c r="AC222" s="10" t="str">
        <f ca="1">IFERROR('RPK (live)'!AC222/'ASK (live)'!AC222,"-")</f>
        <v>-</v>
      </c>
      <c r="AD222" s="10" t="str">
        <f ca="1">IFERROR('RPK (live)'!AD222/'ASK (live)'!AD222,"-")</f>
        <v>-</v>
      </c>
      <c r="AE222" s="10" t="str">
        <f ca="1">IFERROR('RPK (live)'!AE222/'ASK (live)'!AE222,"-")</f>
        <v>-</v>
      </c>
    </row>
    <row r="223" spans="1:31">
      <c r="A223" s="1" t="s">
        <v>152</v>
      </c>
      <c r="B223" s="5" t="s">
        <v>282</v>
      </c>
      <c r="C223" s="5" t="s">
        <v>283</v>
      </c>
      <c r="D223" s="5" t="s">
        <v>21</v>
      </c>
      <c r="E223" s="5" t="s">
        <v>284</v>
      </c>
      <c r="F223" s="5" t="s">
        <v>24</v>
      </c>
      <c r="G223" s="6"/>
      <c r="H223" s="6"/>
      <c r="I223" s="6"/>
      <c r="J223" s="6"/>
      <c r="K223" s="6"/>
      <c r="L223" s="10" t="str">
        <f ca="1">IFERROR('RPK (live)'!L223/'ASK (live)'!L223,"-")</f>
        <v>-</v>
      </c>
      <c r="M223" s="10" t="str">
        <f ca="1">IFERROR('RPK (live)'!M223/'ASK (live)'!M223,"-")</f>
        <v>-</v>
      </c>
      <c r="N223" s="10" t="str">
        <f ca="1">IFERROR('RPK (live)'!N223/'ASK (live)'!N223,"-")</f>
        <v>-</v>
      </c>
      <c r="O223" s="10" t="str">
        <f ca="1">IFERROR('RPK (live)'!O223/'ASK (live)'!O223,"-")</f>
        <v>-</v>
      </c>
      <c r="P223" s="10" t="str">
        <f ca="1">IFERROR('RPK (live)'!P223/'ASK (live)'!P223,"-")</f>
        <v>-</v>
      </c>
      <c r="Q223" s="10">
        <f ca="1">IFERROR('RPK (live)'!Q223/'ASK (live)'!Q223,"-")</f>
        <v>0.61799999999999999</v>
      </c>
      <c r="R223" s="10">
        <f ca="1">IFERROR('RPK (live)'!R223/'ASK (live)'!R223,"-")</f>
        <v>0.753</v>
      </c>
      <c r="S223" s="10">
        <f ca="1">IFERROR('RPK (live)'!S223/'ASK (live)'!S223,"-")</f>
        <v>0.82</v>
      </c>
      <c r="T223" s="10">
        <f ca="1">IFERROR('RPK (live)'!T223/'ASK (live)'!T223,"-")</f>
        <v>0.82536356023175872</v>
      </c>
      <c r="U223" s="10">
        <f ca="1">IFERROR('RPK (live)'!U223/'ASK (live)'!U223,"-")</f>
        <v>0.85700595798064338</v>
      </c>
      <c r="V223" s="10">
        <f ca="1">IFERROR('RPK (live)'!V223/'ASK (live)'!V223,"-")</f>
        <v>0.85799525504551488</v>
      </c>
      <c r="W223" s="10" t="str">
        <f ca="1">IFERROR('RPK (live)'!W223/'ASK (live)'!W223,"-")</f>
        <v>-</v>
      </c>
      <c r="X223" s="10" t="str">
        <f ca="1">IFERROR('RPK (live)'!X223/'ASK (live)'!X223,"-")</f>
        <v>-</v>
      </c>
      <c r="Y223" s="10" t="str">
        <f ca="1">IFERROR('RPK (live)'!Y223/'ASK (live)'!Y223,"-")</f>
        <v>-</v>
      </c>
      <c r="Z223" s="10" t="str">
        <f ca="1">IFERROR('RPK (live)'!Z223/'ASK (live)'!Z223,"-")</f>
        <v>-</v>
      </c>
      <c r="AA223" s="10" t="str">
        <f ca="1">IFERROR('RPK (live)'!AA223/'ASK (live)'!AA223,"-")</f>
        <v>-</v>
      </c>
      <c r="AB223" s="10" t="str">
        <f ca="1">IFERROR('RPK (live)'!AB223/'ASK (live)'!AB223,"-")</f>
        <v>-</v>
      </c>
      <c r="AC223" s="10">
        <f ca="1">IFERROR('RPK (live)'!AC223/'ASK (live)'!AC223,"-")</f>
        <v>0.65950963869568613</v>
      </c>
      <c r="AD223" s="10">
        <f ca="1">IFERROR('RPK (live)'!AD223/'ASK (live)'!AD223,"-")</f>
        <v>0.77418975223441244</v>
      </c>
      <c r="AE223" s="10">
        <f ca="1">IFERROR('RPK (live)'!AE223/'ASK (live)'!AE223,"-")</f>
        <v>0.74613640560870131</v>
      </c>
    </row>
    <row r="224" spans="1:31">
      <c r="A224" s="1" t="s">
        <v>152</v>
      </c>
      <c r="B224" s="5" t="s">
        <v>285</v>
      </c>
      <c r="C224" s="5" t="s">
        <v>286</v>
      </c>
      <c r="D224" s="5" t="s">
        <v>284</v>
      </c>
      <c r="E224" s="5" t="s">
        <v>21</v>
      </c>
      <c r="F224" s="5" t="s">
        <v>24</v>
      </c>
      <c r="G224" s="6"/>
      <c r="H224" s="6"/>
      <c r="I224" s="6"/>
      <c r="J224" s="6"/>
      <c r="K224" s="6"/>
      <c r="L224" s="10" t="str">
        <f ca="1">IFERROR('RPK (live)'!L224/'ASK (live)'!L224,"-")</f>
        <v>-</v>
      </c>
      <c r="M224" s="10" t="str">
        <f ca="1">IFERROR('RPK (live)'!M224/'ASK (live)'!M224,"-")</f>
        <v>-</v>
      </c>
      <c r="N224" s="10" t="str">
        <f ca="1">IFERROR('RPK (live)'!N224/'ASK (live)'!N224,"-")</f>
        <v>-</v>
      </c>
      <c r="O224" s="10" t="str">
        <f ca="1">IFERROR('RPK (live)'!O224/'ASK (live)'!O224,"-")</f>
        <v>-</v>
      </c>
      <c r="P224" s="10" t="str">
        <f ca="1">IFERROR('RPK (live)'!P224/'ASK (live)'!P224,"-")</f>
        <v>-</v>
      </c>
      <c r="Q224" s="10">
        <f ca="1">IFERROR('RPK (live)'!Q224/'ASK (live)'!Q224,"-")</f>
        <v>0.61799999999999999</v>
      </c>
      <c r="R224" s="10">
        <f ca="1">IFERROR('RPK (live)'!R224/'ASK (live)'!R224,"-")</f>
        <v>0.753</v>
      </c>
      <c r="S224" s="10">
        <f ca="1">IFERROR('RPK (live)'!S224/'ASK (live)'!S224,"-")</f>
        <v>0.82</v>
      </c>
      <c r="T224" s="10">
        <f ca="1">IFERROR('RPK (live)'!T224/'ASK (live)'!T224,"-")</f>
        <v>0.82536356023175872</v>
      </c>
      <c r="U224" s="10">
        <f ca="1">IFERROR('RPK (live)'!U224/'ASK (live)'!U224,"-")</f>
        <v>0.85700595798064338</v>
      </c>
      <c r="V224" s="10">
        <f ca="1">IFERROR('RPK (live)'!V224/'ASK (live)'!V224,"-")</f>
        <v>0.85799525504551488</v>
      </c>
      <c r="W224" s="10" t="str">
        <f ca="1">IFERROR('RPK (live)'!W224/'ASK (live)'!W224,"-")</f>
        <v>-</v>
      </c>
      <c r="X224" s="10" t="str">
        <f ca="1">IFERROR('RPK (live)'!X224/'ASK (live)'!X224,"-")</f>
        <v>-</v>
      </c>
      <c r="Y224" s="10" t="str">
        <f ca="1">IFERROR('RPK (live)'!Y224/'ASK (live)'!Y224,"-")</f>
        <v>-</v>
      </c>
      <c r="Z224" s="10" t="str">
        <f ca="1">IFERROR('RPK (live)'!Z224/'ASK (live)'!Z224,"-")</f>
        <v>-</v>
      </c>
      <c r="AA224" s="10" t="str">
        <f ca="1">IFERROR('RPK (live)'!AA224/'ASK (live)'!AA224,"-")</f>
        <v>-</v>
      </c>
      <c r="AB224" s="10" t="str">
        <f ca="1">IFERROR('RPK (live)'!AB224/'ASK (live)'!AB224,"-")</f>
        <v>-</v>
      </c>
      <c r="AC224" s="10">
        <f ca="1">IFERROR('RPK (live)'!AC224/'ASK (live)'!AC224,"-")</f>
        <v>0.65950963869568613</v>
      </c>
      <c r="AD224" s="10">
        <f ca="1">IFERROR('RPK (live)'!AD224/'ASK (live)'!AD224,"-")</f>
        <v>0.77418975223441244</v>
      </c>
      <c r="AE224" s="10">
        <f ca="1">IFERROR('RPK (live)'!AE224/'ASK (live)'!AE224,"-")</f>
        <v>0.7461364056087012</v>
      </c>
    </row>
    <row r="225" spans="1:31">
      <c r="A225" s="1" t="s">
        <v>152</v>
      </c>
      <c r="B225" s="5" t="s">
        <v>287</v>
      </c>
      <c r="C225" s="5" t="s">
        <v>288</v>
      </c>
      <c r="D225" s="5" t="s">
        <v>21</v>
      </c>
      <c r="E225" s="5" t="s">
        <v>289</v>
      </c>
      <c r="F225" s="5" t="s">
        <v>24</v>
      </c>
      <c r="G225" s="6"/>
      <c r="H225" s="6"/>
      <c r="I225" s="6"/>
      <c r="J225" s="6"/>
      <c r="K225" s="6"/>
      <c r="L225" s="10" t="str">
        <f ca="1">IFERROR('RPK (live)'!L225/'ASK (live)'!L225,"-")</f>
        <v>-</v>
      </c>
      <c r="M225" s="10" t="str">
        <f ca="1">IFERROR('RPK (live)'!M225/'ASK (live)'!M225,"-")</f>
        <v>-</v>
      </c>
      <c r="N225" s="10" t="str">
        <f ca="1">IFERROR('RPK (live)'!N225/'ASK (live)'!N225,"-")</f>
        <v>-</v>
      </c>
      <c r="O225" s="10" t="str">
        <f ca="1">IFERROR('RPK (live)'!O225/'ASK (live)'!O225,"-")</f>
        <v>-</v>
      </c>
      <c r="P225" s="10" t="str">
        <f ca="1">IFERROR('RPK (live)'!P225/'ASK (live)'!P225,"-")</f>
        <v>-</v>
      </c>
      <c r="Q225" s="10">
        <f ca="1">IFERROR('RPK (live)'!Q225/'ASK (live)'!Q225,"-")</f>
        <v>0.57099999999999995</v>
      </c>
      <c r="R225" s="10">
        <f ca="1">IFERROR('RPK (live)'!R225/'ASK (live)'!R225,"-")</f>
        <v>0.8</v>
      </c>
      <c r="S225" s="10">
        <f ca="1">IFERROR('RPK (live)'!S225/'ASK (live)'!S225,"-")</f>
        <v>0.81000000000000016</v>
      </c>
      <c r="T225" s="10">
        <f ca="1">IFERROR('RPK (live)'!T225/'ASK (live)'!T225,"-")</f>
        <v>0.78499683672440679</v>
      </c>
      <c r="U225" s="10">
        <f ca="1">IFERROR('RPK (live)'!U225/'ASK (live)'!U225,"-")</f>
        <v>0.80189909935754022</v>
      </c>
      <c r="V225" s="10">
        <f ca="1">IFERROR('RPK (live)'!V225/'ASK (live)'!V225,"-")</f>
        <v>0.78405927660247099</v>
      </c>
      <c r="W225" s="10" t="str">
        <f ca="1">IFERROR('RPK (live)'!W225/'ASK (live)'!W225,"-")</f>
        <v>-</v>
      </c>
      <c r="X225" s="10" t="str">
        <f ca="1">IFERROR('RPK (live)'!X225/'ASK (live)'!X225,"-")</f>
        <v>-</v>
      </c>
      <c r="Y225" s="10" t="str">
        <f ca="1">IFERROR('RPK (live)'!Y225/'ASK (live)'!Y225,"-")</f>
        <v>-</v>
      </c>
      <c r="Z225" s="10" t="str">
        <f ca="1">IFERROR('RPK (live)'!Z225/'ASK (live)'!Z225,"-")</f>
        <v>-</v>
      </c>
      <c r="AA225" s="10" t="str">
        <f ca="1">IFERROR('RPK (live)'!AA225/'ASK (live)'!AA225,"-")</f>
        <v>-</v>
      </c>
      <c r="AB225" s="10" t="str">
        <f ca="1">IFERROR('RPK (live)'!AB225/'ASK (live)'!AB225,"-")</f>
        <v>-</v>
      </c>
      <c r="AC225" s="10">
        <f ca="1">IFERROR('RPK (live)'!AC225/'ASK (live)'!AC225,"-")</f>
        <v>0.60256345653787136</v>
      </c>
      <c r="AD225" s="10">
        <f ca="1">IFERROR('RPK (live)'!AD225/'ASK (live)'!AD225,"-")</f>
        <v>0.84903686787100774</v>
      </c>
      <c r="AE225" s="10">
        <f ca="1">IFERROR('RPK (live)'!AE225/'ASK (live)'!AE225,"-")</f>
        <v>0.81743963438473799</v>
      </c>
    </row>
    <row r="226" spans="1:31">
      <c r="A226" s="1" t="s">
        <v>152</v>
      </c>
      <c r="B226" s="5" t="s">
        <v>290</v>
      </c>
      <c r="C226" s="5" t="s">
        <v>291</v>
      </c>
      <c r="D226" s="5" t="s">
        <v>289</v>
      </c>
      <c r="E226" s="5" t="s">
        <v>21</v>
      </c>
      <c r="F226" s="5" t="s">
        <v>24</v>
      </c>
      <c r="G226" s="6"/>
      <c r="H226" s="6"/>
      <c r="I226" s="6"/>
      <c r="J226" s="6"/>
      <c r="K226" s="6"/>
      <c r="L226" s="10" t="str">
        <f ca="1">IFERROR('RPK (live)'!L226/'ASK (live)'!L226,"-")</f>
        <v>-</v>
      </c>
      <c r="M226" s="10" t="str">
        <f ca="1">IFERROR('RPK (live)'!M226/'ASK (live)'!M226,"-")</f>
        <v>-</v>
      </c>
      <c r="N226" s="10" t="str">
        <f ca="1">IFERROR('RPK (live)'!N226/'ASK (live)'!N226,"-")</f>
        <v>-</v>
      </c>
      <c r="O226" s="10" t="str">
        <f ca="1">IFERROR('RPK (live)'!O226/'ASK (live)'!O226,"-")</f>
        <v>-</v>
      </c>
      <c r="P226" s="10" t="str">
        <f ca="1">IFERROR('RPK (live)'!P226/'ASK (live)'!P226,"-")</f>
        <v>-</v>
      </c>
      <c r="Q226" s="10">
        <f ca="1">IFERROR('RPK (live)'!Q226/'ASK (live)'!Q226,"-")</f>
        <v>0.57099999999999995</v>
      </c>
      <c r="R226" s="10">
        <f ca="1">IFERROR('RPK (live)'!R226/'ASK (live)'!R226,"-")</f>
        <v>0.8</v>
      </c>
      <c r="S226" s="10">
        <f ca="1">IFERROR('RPK (live)'!S226/'ASK (live)'!S226,"-")</f>
        <v>0.81000000000000016</v>
      </c>
      <c r="T226" s="10">
        <f ca="1">IFERROR('RPK (live)'!T226/'ASK (live)'!T226,"-")</f>
        <v>0.78499683672440679</v>
      </c>
      <c r="U226" s="10">
        <f ca="1">IFERROR('RPK (live)'!U226/'ASK (live)'!U226,"-")</f>
        <v>0.80189909935754022</v>
      </c>
      <c r="V226" s="10">
        <f ca="1">IFERROR('RPK (live)'!V226/'ASK (live)'!V226,"-")</f>
        <v>0.78405927660247099</v>
      </c>
      <c r="W226" s="10" t="str">
        <f ca="1">IFERROR('RPK (live)'!W226/'ASK (live)'!W226,"-")</f>
        <v>-</v>
      </c>
      <c r="X226" s="10" t="str">
        <f ca="1">IFERROR('RPK (live)'!X226/'ASK (live)'!X226,"-")</f>
        <v>-</v>
      </c>
      <c r="Y226" s="10" t="str">
        <f ca="1">IFERROR('RPK (live)'!Y226/'ASK (live)'!Y226,"-")</f>
        <v>-</v>
      </c>
      <c r="Z226" s="10" t="str">
        <f ca="1">IFERROR('RPK (live)'!Z226/'ASK (live)'!Z226,"-")</f>
        <v>-</v>
      </c>
      <c r="AA226" s="10" t="str">
        <f ca="1">IFERROR('RPK (live)'!AA226/'ASK (live)'!AA226,"-")</f>
        <v>-</v>
      </c>
      <c r="AB226" s="10" t="str">
        <f ca="1">IFERROR('RPK (live)'!AB226/'ASK (live)'!AB226,"-")</f>
        <v>-</v>
      </c>
      <c r="AC226" s="10">
        <f ca="1">IFERROR('RPK (live)'!AC226/'ASK (live)'!AC226,"-")</f>
        <v>0.60256345653787136</v>
      </c>
      <c r="AD226" s="10">
        <f ca="1">IFERROR('RPK (live)'!AD226/'ASK (live)'!AD226,"-")</f>
        <v>0.84903686787100774</v>
      </c>
      <c r="AE226" s="10">
        <f ca="1">IFERROR('RPK (live)'!AE226/'ASK (live)'!AE226,"-")</f>
        <v>0.81743963438473799</v>
      </c>
    </row>
    <row r="227" spans="1:31">
      <c r="A227" s="1" t="s">
        <v>152</v>
      </c>
      <c r="B227" s="5" t="s">
        <v>292</v>
      </c>
      <c r="C227" s="5" t="s">
        <v>293</v>
      </c>
      <c r="D227" s="5" t="s">
        <v>21</v>
      </c>
      <c r="E227" s="5" t="s">
        <v>294</v>
      </c>
      <c r="F227" s="5" t="s">
        <v>24</v>
      </c>
      <c r="G227" s="6"/>
      <c r="H227" s="6"/>
      <c r="I227" s="6"/>
      <c r="J227" s="6"/>
      <c r="K227" s="6"/>
      <c r="L227" s="10">
        <f ca="1">IFERROR('RPK (live)'!L227/'ASK (live)'!L227,"-")</f>
        <v>0.83</v>
      </c>
      <c r="M227" s="10">
        <f ca="1">IFERROR('RPK (live)'!M227/'ASK (live)'!M227,"-")</f>
        <v>0.93149270953298535</v>
      </c>
      <c r="N227" s="10">
        <f ca="1">IFERROR('RPK (live)'!N227/'ASK (live)'!N227,"-")</f>
        <v>0.92</v>
      </c>
      <c r="O227" s="10">
        <f ca="1">IFERROR('RPK (live)'!O227/'ASK (live)'!O227,"-")</f>
        <v>0.9</v>
      </c>
      <c r="P227" s="10">
        <f ca="1">IFERROR('RPK (live)'!P227/'ASK (live)'!P227,"-")</f>
        <v>0.9</v>
      </c>
      <c r="Q227" s="10">
        <f ca="1">IFERROR('RPK (live)'!Q227/'ASK (live)'!Q227,"-")</f>
        <v>0.87</v>
      </c>
      <c r="R227" s="10">
        <f ca="1">IFERROR('RPK (live)'!R227/'ASK (live)'!R227,"-")</f>
        <v>0.86999999999999988</v>
      </c>
      <c r="S227" s="10">
        <f ca="1">IFERROR('RPK (live)'!S227/'ASK (live)'!S227,"-")</f>
        <v>0.84999999999999987</v>
      </c>
      <c r="T227" s="10">
        <f ca="1">IFERROR('RPK (live)'!T227/'ASK (live)'!T227,"-")</f>
        <v>0.85977347083513744</v>
      </c>
      <c r="U227" s="10">
        <f ca="1">IFERROR('RPK (live)'!U227/'ASK (live)'!U227,"-")</f>
        <v>0.72404697315543654</v>
      </c>
      <c r="V227" s="10">
        <f ca="1">IFERROR('RPK (live)'!V227/'ASK (live)'!V227,"-")</f>
        <v>0.69771368493894015</v>
      </c>
      <c r="W227" s="10">
        <f ca="1">IFERROR('RPK (live)'!W227/'ASK (live)'!W227,"-")</f>
        <v>0.98639700112774431</v>
      </c>
      <c r="X227" s="10">
        <f ca="1">IFERROR('RPK (live)'!X227/'ASK (live)'!X227,"-")</f>
        <v>0.89101539824558584</v>
      </c>
      <c r="Y227" s="10">
        <f ca="1">IFERROR('RPK (live)'!Y227/'ASK (live)'!Y227,"-")</f>
        <v>0.93321146700400859</v>
      </c>
      <c r="Z227" s="10">
        <f ca="1">IFERROR('RPK (live)'!Z227/'ASK (live)'!Z227,"-")</f>
        <v>0.97537077625183832</v>
      </c>
      <c r="AA227" s="10">
        <f ca="1">IFERROR('RPK (live)'!AA227/'ASK (live)'!AA227,"-")</f>
        <v>0.97393933375295427</v>
      </c>
      <c r="AB227" s="10">
        <f ca="1">IFERROR('RPK (live)'!AB227/'ASK (live)'!AB227,"-")</f>
        <v>0.99051911298780171</v>
      </c>
      <c r="AC227" s="10">
        <f ca="1">IFERROR('RPK (live)'!AC227/'ASK (live)'!AC227,"-")</f>
        <v>0.99051911298780138</v>
      </c>
      <c r="AD227" s="10">
        <f ca="1">IFERROR('RPK (live)'!AD227/'ASK (live)'!AD227,"-")</f>
        <v>0.97219880181616836</v>
      </c>
      <c r="AE227" s="10">
        <f ca="1">IFERROR('RPK (live)'!AE227/'ASK (live)'!AE227,"-")</f>
        <v>0.96506693253038778</v>
      </c>
    </row>
    <row r="228" spans="1:31">
      <c r="A228" s="1" t="s">
        <v>152</v>
      </c>
      <c r="B228" s="5" t="s">
        <v>295</v>
      </c>
      <c r="C228" s="5" t="s">
        <v>296</v>
      </c>
      <c r="D228" s="5" t="s">
        <v>294</v>
      </c>
      <c r="E228" s="5" t="s">
        <v>21</v>
      </c>
      <c r="F228" s="5" t="s">
        <v>24</v>
      </c>
      <c r="G228" s="6"/>
      <c r="H228" s="6"/>
      <c r="I228" s="6"/>
      <c r="J228" s="6"/>
      <c r="K228" s="6"/>
      <c r="L228" s="10">
        <f ca="1">IFERROR('RPK (live)'!L228/'ASK (live)'!L228,"-")</f>
        <v>0.83</v>
      </c>
      <c r="M228" s="10">
        <f ca="1">IFERROR('RPK (live)'!M228/'ASK (live)'!M228,"-")</f>
        <v>0.93149270953298535</v>
      </c>
      <c r="N228" s="10">
        <f ca="1">IFERROR('RPK (live)'!N228/'ASK (live)'!N228,"-")</f>
        <v>0.92</v>
      </c>
      <c r="O228" s="10">
        <f ca="1">IFERROR('RPK (live)'!O228/'ASK (live)'!O228,"-")</f>
        <v>0.9</v>
      </c>
      <c r="P228" s="10">
        <f ca="1">IFERROR('RPK (live)'!P228/'ASK (live)'!P228,"-")</f>
        <v>0.9</v>
      </c>
      <c r="Q228" s="10">
        <f ca="1">IFERROR('RPK (live)'!Q228/'ASK (live)'!Q228,"-")</f>
        <v>0.87</v>
      </c>
      <c r="R228" s="10">
        <f ca="1">IFERROR('RPK (live)'!R228/'ASK (live)'!R228,"-")</f>
        <v>0.86999999999999988</v>
      </c>
      <c r="S228" s="10">
        <f ca="1">IFERROR('RPK (live)'!S228/'ASK (live)'!S228,"-")</f>
        <v>0.84999999999999987</v>
      </c>
      <c r="T228" s="10">
        <f ca="1">IFERROR('RPK (live)'!T228/'ASK (live)'!T228,"-")</f>
        <v>0.85977347083513744</v>
      </c>
      <c r="U228" s="10">
        <f ca="1">IFERROR('RPK (live)'!U228/'ASK (live)'!U228,"-")</f>
        <v>0.72404697315543654</v>
      </c>
      <c r="V228" s="10">
        <f ca="1">IFERROR('RPK (live)'!V228/'ASK (live)'!V228,"-")</f>
        <v>0.69771368493894015</v>
      </c>
      <c r="W228" s="10">
        <f ca="1">IFERROR('RPK (live)'!W228/'ASK (live)'!W228,"-")</f>
        <v>0.98639700112774431</v>
      </c>
      <c r="X228" s="10">
        <f ca="1">IFERROR('RPK (live)'!X228/'ASK (live)'!X228,"-")</f>
        <v>0.89101539824558584</v>
      </c>
      <c r="Y228" s="10">
        <f ca="1">IFERROR('RPK (live)'!Y228/'ASK (live)'!Y228,"-")</f>
        <v>0.93321146700400859</v>
      </c>
      <c r="Z228" s="10">
        <f ca="1">IFERROR('RPK (live)'!Z228/'ASK (live)'!Z228,"-")</f>
        <v>0.97537077625183832</v>
      </c>
      <c r="AA228" s="10">
        <f ca="1">IFERROR('RPK (live)'!AA228/'ASK (live)'!AA228,"-")</f>
        <v>0.97393933375295427</v>
      </c>
      <c r="AB228" s="10">
        <f ca="1">IFERROR('RPK (live)'!AB228/'ASK (live)'!AB228,"-")</f>
        <v>0.99051911298780171</v>
      </c>
      <c r="AC228" s="10">
        <f ca="1">IFERROR('RPK (live)'!AC228/'ASK (live)'!AC228,"-")</f>
        <v>0.99051911298780138</v>
      </c>
      <c r="AD228" s="10">
        <f ca="1">IFERROR('RPK (live)'!AD228/'ASK (live)'!AD228,"-")</f>
        <v>0.97219880181616836</v>
      </c>
      <c r="AE228" s="10">
        <f ca="1">IFERROR('RPK (live)'!AE228/'ASK (live)'!AE228,"-")</f>
        <v>0.96506693253038778</v>
      </c>
    </row>
    <row r="229" spans="1:31">
      <c r="A229" s="1" t="s">
        <v>152</v>
      </c>
      <c r="B229" s="5" t="s">
        <v>297</v>
      </c>
      <c r="C229" s="5" t="s">
        <v>298</v>
      </c>
      <c r="D229" s="5" t="s">
        <v>21</v>
      </c>
      <c r="E229" s="5" t="s">
        <v>299</v>
      </c>
      <c r="F229" s="5" t="s">
        <v>24</v>
      </c>
      <c r="G229" s="6"/>
      <c r="H229" s="6"/>
      <c r="I229" s="6"/>
      <c r="J229" s="6"/>
      <c r="K229" s="6"/>
      <c r="L229" s="10">
        <f ca="1">IFERROR('RPK (live)'!L229/'ASK (live)'!L229,"-")</f>
        <v>0.92</v>
      </c>
      <c r="M229" s="10">
        <f ca="1">IFERROR('RPK (live)'!M229/'ASK (live)'!M229,"-")</f>
        <v>0.90111794726560546</v>
      </c>
      <c r="N229" s="10">
        <f ca="1">IFERROR('RPK (live)'!N229/'ASK (live)'!N229,"-")</f>
        <v>0.91</v>
      </c>
      <c r="O229" s="10">
        <f ca="1">IFERROR('RPK (live)'!O229/'ASK (live)'!O229,"-")</f>
        <v>0.94</v>
      </c>
      <c r="P229" s="10">
        <f ca="1">IFERROR('RPK (live)'!P229/'ASK (live)'!P229,"-")</f>
        <v>0.95</v>
      </c>
      <c r="Q229" s="10">
        <f ca="1">IFERROR('RPK (live)'!Q229/'ASK (live)'!Q229,"-")</f>
        <v>0.86</v>
      </c>
      <c r="R229" s="10">
        <f ca="1">IFERROR('RPK (live)'!R229/'ASK (live)'!R229,"-")</f>
        <v>0.85</v>
      </c>
      <c r="S229" s="10">
        <f ca="1">IFERROR('RPK (live)'!S229/'ASK (live)'!S229,"-")</f>
        <v>0.85</v>
      </c>
      <c r="T229" s="10">
        <f ca="1">IFERROR('RPK (live)'!T229/'ASK (live)'!T229,"-")</f>
        <v>0.87982748509416198</v>
      </c>
      <c r="U229" s="10">
        <f ca="1">IFERROR('RPK (live)'!U229/'ASK (live)'!U229,"-")</f>
        <v>0.88561538314715926</v>
      </c>
      <c r="V229" s="10">
        <f ca="1">IFERROR('RPK (live)'!V229/'ASK (live)'!V229,"-")</f>
        <v>0.91843050209789656</v>
      </c>
      <c r="W229" s="10">
        <f ca="1">IFERROR('RPK (live)'!W229/'ASK (live)'!W229,"-")</f>
        <v>0.89586128687055278</v>
      </c>
      <c r="X229" s="10">
        <f ca="1">IFERROR('RPK (live)'!X229/'ASK (live)'!X229,"-")</f>
        <v>0.87651744294107026</v>
      </c>
      <c r="Y229" s="10">
        <f ca="1">IFERROR('RPK (live)'!Y229/'ASK (live)'!Y229,"-")</f>
        <v>0.89603064514347885</v>
      </c>
      <c r="Z229" s="10">
        <f ca="1">IFERROR('RPK (live)'!Z229/'ASK (live)'!Z229,"-")</f>
        <v>0.97327103283318483</v>
      </c>
      <c r="AA229" s="10">
        <f ca="1">IFERROR('RPK (live)'!AA229/'ASK (live)'!AA229,"-")</f>
        <v>0.97050818975076902</v>
      </c>
      <c r="AB229" s="10">
        <f ca="1">IFERROR('RPK (live)'!AB229/'ASK (live)'!AB229,"-")</f>
        <v>0.98695222662545412</v>
      </c>
      <c r="AC229" s="10">
        <f ca="1">IFERROR('RPK (live)'!AC229/'ASK (live)'!AC229,"-")</f>
        <v>0.97124300389448615</v>
      </c>
      <c r="AD229" s="10">
        <f ca="1">IFERROR('RPK (live)'!AD229/'ASK (live)'!AD229,"-")</f>
        <v>0.8987211491445225</v>
      </c>
      <c r="AE229" s="10">
        <f ca="1">IFERROR('RPK (live)'!AE229/'ASK (live)'!AE229,"-")</f>
        <v>0.98348713835107571</v>
      </c>
    </row>
    <row r="230" spans="1:31">
      <c r="A230" s="1" t="s">
        <v>152</v>
      </c>
      <c r="B230" s="5" t="s">
        <v>300</v>
      </c>
      <c r="C230" s="5" t="s">
        <v>301</v>
      </c>
      <c r="D230" s="5" t="s">
        <v>299</v>
      </c>
      <c r="E230" s="5" t="s">
        <v>21</v>
      </c>
      <c r="F230" s="5" t="s">
        <v>24</v>
      </c>
      <c r="G230" s="6"/>
      <c r="H230" s="6"/>
      <c r="I230" s="6"/>
      <c r="J230" s="6"/>
      <c r="K230" s="6"/>
      <c r="L230" s="10">
        <f ca="1">IFERROR('RPK (live)'!L230/'ASK (live)'!L230,"-")</f>
        <v>0.92</v>
      </c>
      <c r="M230" s="10">
        <f ca="1">IFERROR('RPK (live)'!M230/'ASK (live)'!M230,"-")</f>
        <v>0.90111794726560546</v>
      </c>
      <c r="N230" s="10">
        <f ca="1">IFERROR('RPK (live)'!N230/'ASK (live)'!N230,"-")</f>
        <v>0.91</v>
      </c>
      <c r="O230" s="10">
        <f ca="1">IFERROR('RPK (live)'!O230/'ASK (live)'!O230,"-")</f>
        <v>0.94</v>
      </c>
      <c r="P230" s="10">
        <f ca="1">IFERROR('RPK (live)'!P230/'ASK (live)'!P230,"-")</f>
        <v>0.95</v>
      </c>
      <c r="Q230" s="10">
        <f ca="1">IFERROR('RPK (live)'!Q230/'ASK (live)'!Q230,"-")</f>
        <v>0.86</v>
      </c>
      <c r="R230" s="10">
        <f ca="1">IFERROR('RPK (live)'!R230/'ASK (live)'!R230,"-")</f>
        <v>0.85</v>
      </c>
      <c r="S230" s="10">
        <f ca="1">IFERROR('RPK (live)'!S230/'ASK (live)'!S230,"-")</f>
        <v>0.85</v>
      </c>
      <c r="T230" s="10">
        <f ca="1">IFERROR('RPK (live)'!T230/'ASK (live)'!T230,"-")</f>
        <v>0.87982748509416198</v>
      </c>
      <c r="U230" s="10">
        <f ca="1">IFERROR('RPK (live)'!U230/'ASK (live)'!U230,"-")</f>
        <v>0.88561538314715926</v>
      </c>
      <c r="V230" s="10">
        <f ca="1">IFERROR('RPK (live)'!V230/'ASK (live)'!V230,"-")</f>
        <v>0.91843050209789656</v>
      </c>
      <c r="W230" s="10">
        <f ca="1">IFERROR('RPK (live)'!W230/'ASK (live)'!W230,"-")</f>
        <v>0.89586128687055278</v>
      </c>
      <c r="X230" s="10">
        <f ca="1">IFERROR('RPK (live)'!X230/'ASK (live)'!X230,"-")</f>
        <v>0.87651744294107026</v>
      </c>
      <c r="Y230" s="10">
        <f ca="1">IFERROR('RPK (live)'!Y230/'ASK (live)'!Y230,"-")</f>
        <v>0.89603064514347885</v>
      </c>
      <c r="Z230" s="10">
        <f ca="1">IFERROR('RPK (live)'!Z230/'ASK (live)'!Z230,"-")</f>
        <v>0.97327103283318483</v>
      </c>
      <c r="AA230" s="10">
        <f ca="1">IFERROR('RPK (live)'!AA230/'ASK (live)'!AA230,"-")</f>
        <v>0.97050818975076902</v>
      </c>
      <c r="AB230" s="10">
        <f ca="1">IFERROR('RPK (live)'!AB230/'ASK (live)'!AB230,"-")</f>
        <v>0.98695222662545412</v>
      </c>
      <c r="AC230" s="10">
        <f ca="1">IFERROR('RPK (live)'!AC230/'ASK (live)'!AC230,"-")</f>
        <v>0.97124300389448615</v>
      </c>
      <c r="AD230" s="10">
        <f ca="1">IFERROR('RPK (live)'!AD230/'ASK (live)'!AD230,"-")</f>
        <v>0.8987211491445225</v>
      </c>
      <c r="AE230" s="10">
        <f ca="1">IFERROR('RPK (live)'!AE230/'ASK (live)'!AE230,"-")</f>
        <v>0.98348713835107571</v>
      </c>
    </row>
    <row r="231" spans="1:31">
      <c r="A231" s="1" t="s">
        <v>152</v>
      </c>
      <c r="B231" s="5" t="s">
        <v>302</v>
      </c>
      <c r="C231" s="5" t="s">
        <v>303</v>
      </c>
      <c r="D231" s="5" t="s">
        <v>21</v>
      </c>
      <c r="E231" s="5" t="s">
        <v>304</v>
      </c>
      <c r="F231" s="5" t="s">
        <v>24</v>
      </c>
      <c r="G231" s="6"/>
      <c r="H231" s="6"/>
      <c r="I231" s="6"/>
      <c r="J231" s="6"/>
      <c r="K231" s="6"/>
      <c r="L231" s="10" t="str">
        <f ca="1">IFERROR('RPK (live)'!L231/'ASK (live)'!L231,"-")</f>
        <v>-</v>
      </c>
      <c r="M231" s="10" t="str">
        <f ca="1">IFERROR('RPK (live)'!M231/'ASK (live)'!M231,"-")</f>
        <v>-</v>
      </c>
      <c r="N231" s="10" t="str">
        <f ca="1">IFERROR('RPK (live)'!N231/'ASK (live)'!N231,"-")</f>
        <v>-</v>
      </c>
      <c r="O231" s="10" t="str">
        <f ca="1">IFERROR('RPK (live)'!O231/'ASK (live)'!O231,"-")</f>
        <v>-</v>
      </c>
      <c r="P231" s="10">
        <f ca="1">IFERROR('RPK (live)'!P231/'ASK (live)'!P231,"-")</f>
        <v>0.65</v>
      </c>
      <c r="Q231" s="10">
        <f ca="1">IFERROR('RPK (live)'!Q231/'ASK (live)'!Q231,"-")</f>
        <v>0.71</v>
      </c>
      <c r="R231" s="10">
        <f ca="1">IFERROR('RPK (live)'!R231/'ASK (live)'!R231,"-")</f>
        <v>0.77</v>
      </c>
      <c r="S231" s="10">
        <f ca="1">IFERROR('RPK (live)'!S231/'ASK (live)'!S231,"-")</f>
        <v>0.75</v>
      </c>
      <c r="T231" s="10">
        <f ca="1">IFERROR('RPK (live)'!T231/'ASK (live)'!T231,"-")</f>
        <v>0.42345600749389767</v>
      </c>
      <c r="U231" s="10">
        <f ca="1">IFERROR('RPK (live)'!U231/'ASK (live)'!U231,"-")</f>
        <v>0.47334506534626469</v>
      </c>
      <c r="V231" s="10">
        <f ca="1">IFERROR('RPK (live)'!V231/'ASK (live)'!V231,"-")</f>
        <v>0.77331694481554292</v>
      </c>
      <c r="W231" s="10">
        <f ca="1">IFERROR('RPK (live)'!W231/'ASK (live)'!W231,"-")</f>
        <v>0.73636011733433893</v>
      </c>
      <c r="X231" s="10">
        <f ca="1">IFERROR('RPK (live)'!X231/'ASK (live)'!X231,"-")</f>
        <v>0.70710206234209838</v>
      </c>
      <c r="Y231" s="10">
        <f ca="1">IFERROR('RPK (live)'!Y231/'ASK (live)'!Y231,"-")</f>
        <v>0.8230830338757662</v>
      </c>
      <c r="Z231" s="10">
        <f ca="1">IFERROR('RPK (live)'!Z231/'ASK (live)'!Z231,"-")</f>
        <v>0.85085945606642599</v>
      </c>
      <c r="AA231" s="10">
        <f ca="1">IFERROR('RPK (live)'!AA231/'ASK (live)'!AA231,"-")</f>
        <v>0.82186972756046472</v>
      </c>
      <c r="AB231" s="10">
        <f ca="1">IFERROR('RPK (live)'!AB231/'ASK (live)'!AB231,"-")</f>
        <v>0.71117260799689586</v>
      </c>
      <c r="AC231" s="10">
        <f ca="1">IFERROR('RPK (live)'!AC231/'ASK (live)'!AC231,"-")</f>
        <v>0.76676847215649901</v>
      </c>
      <c r="AD231" s="10">
        <f ca="1">IFERROR('RPK (live)'!AD231/'ASK (live)'!AD231,"-")</f>
        <v>0.92733675843625762</v>
      </c>
      <c r="AE231" s="10">
        <f ca="1">IFERROR('RPK (live)'!AE231/'ASK (live)'!AE231,"-")</f>
        <v>0.89528490422520046</v>
      </c>
    </row>
    <row r="232" spans="1:31">
      <c r="A232" s="1" t="s">
        <v>152</v>
      </c>
      <c r="B232" s="5" t="s">
        <v>305</v>
      </c>
      <c r="C232" s="5" t="s">
        <v>306</v>
      </c>
      <c r="D232" s="5" t="s">
        <v>304</v>
      </c>
      <c r="E232" s="5" t="s">
        <v>21</v>
      </c>
      <c r="F232" s="5" t="s">
        <v>24</v>
      </c>
      <c r="G232" s="6"/>
      <c r="H232" s="6"/>
      <c r="I232" s="6"/>
      <c r="J232" s="6"/>
      <c r="K232" s="6"/>
      <c r="L232" s="10" t="str">
        <f ca="1">IFERROR('RPK (live)'!L232/'ASK (live)'!L232,"-")</f>
        <v>-</v>
      </c>
      <c r="M232" s="10" t="str">
        <f ca="1">IFERROR('RPK (live)'!M232/'ASK (live)'!M232,"-")</f>
        <v>-</v>
      </c>
      <c r="N232" s="10" t="str">
        <f ca="1">IFERROR('RPK (live)'!N232/'ASK (live)'!N232,"-")</f>
        <v>-</v>
      </c>
      <c r="O232" s="10" t="str">
        <f ca="1">IFERROR('RPK (live)'!O232/'ASK (live)'!O232,"-")</f>
        <v>-</v>
      </c>
      <c r="P232" s="10">
        <f ca="1">IFERROR('RPK (live)'!P232/'ASK (live)'!P232,"-")</f>
        <v>0.65</v>
      </c>
      <c r="Q232" s="10">
        <f ca="1">IFERROR('RPK (live)'!Q232/'ASK (live)'!Q232,"-")</f>
        <v>0.71</v>
      </c>
      <c r="R232" s="10">
        <f ca="1">IFERROR('RPK (live)'!R232/'ASK (live)'!R232,"-")</f>
        <v>0.77</v>
      </c>
      <c r="S232" s="10">
        <f ca="1">IFERROR('RPK (live)'!S232/'ASK (live)'!S232,"-")</f>
        <v>0.75</v>
      </c>
      <c r="T232" s="10">
        <f ca="1">IFERROR('RPK (live)'!T232/'ASK (live)'!T232,"-")</f>
        <v>0.42345600749389772</v>
      </c>
      <c r="U232" s="10">
        <f ca="1">IFERROR('RPK (live)'!U232/'ASK (live)'!U232,"-")</f>
        <v>0.47334506534626469</v>
      </c>
      <c r="V232" s="10">
        <f ca="1">IFERROR('RPK (live)'!V232/'ASK (live)'!V232,"-")</f>
        <v>0.77331694481554292</v>
      </c>
      <c r="W232" s="10">
        <f ca="1">IFERROR('RPK (live)'!W232/'ASK (live)'!W232,"-")</f>
        <v>0.73636011733433893</v>
      </c>
      <c r="X232" s="10">
        <f ca="1">IFERROR('RPK (live)'!X232/'ASK (live)'!X232,"-")</f>
        <v>0.70710206234209838</v>
      </c>
      <c r="Y232" s="10">
        <f ca="1">IFERROR('RPK (live)'!Y232/'ASK (live)'!Y232,"-")</f>
        <v>0.8230830338757662</v>
      </c>
      <c r="Z232" s="10">
        <f ca="1">IFERROR('RPK (live)'!Z232/'ASK (live)'!Z232,"-")</f>
        <v>0.85085945606642599</v>
      </c>
      <c r="AA232" s="10">
        <f ca="1">IFERROR('RPK (live)'!AA232/'ASK (live)'!AA232,"-")</f>
        <v>0.82186972756046472</v>
      </c>
      <c r="AB232" s="10">
        <f ca="1">IFERROR('RPK (live)'!AB232/'ASK (live)'!AB232,"-")</f>
        <v>0.71117260799689586</v>
      </c>
      <c r="AC232" s="10">
        <f ca="1">IFERROR('RPK (live)'!AC232/'ASK (live)'!AC232,"-")</f>
        <v>0.76676847215649901</v>
      </c>
      <c r="AD232" s="10">
        <f ca="1">IFERROR('RPK (live)'!AD232/'ASK (live)'!AD232,"-")</f>
        <v>0.92733675843625762</v>
      </c>
      <c r="AE232" s="10">
        <f ca="1">IFERROR('RPK (live)'!AE232/'ASK (live)'!AE232,"-")</f>
        <v>0.89528490422520046</v>
      </c>
    </row>
    <row r="233" spans="1:31">
      <c r="A233" s="1" t="s">
        <v>152</v>
      </c>
      <c r="B233" s="5" t="s">
        <v>307</v>
      </c>
      <c r="C233" s="5" t="s">
        <v>308</v>
      </c>
      <c r="D233" s="5" t="s">
        <v>21</v>
      </c>
      <c r="E233" s="5" t="s">
        <v>309</v>
      </c>
      <c r="F233" s="5" t="s">
        <v>24</v>
      </c>
      <c r="G233" s="6"/>
      <c r="H233" s="6"/>
      <c r="I233" s="6"/>
      <c r="J233" s="6"/>
      <c r="K233" s="6"/>
      <c r="L233" s="10" t="str">
        <f ca="1">IFERROR('RPK (live)'!L233/'ASK (live)'!L233,"-")</f>
        <v>-</v>
      </c>
      <c r="M233" s="10" t="str">
        <f ca="1">IFERROR('RPK (live)'!M233/'ASK (live)'!M233,"-")</f>
        <v>-</v>
      </c>
      <c r="N233" s="10" t="str">
        <f ca="1">IFERROR('RPK (live)'!N233/'ASK (live)'!N233,"-")</f>
        <v>-</v>
      </c>
      <c r="O233" s="10" t="str">
        <f ca="1">IFERROR('RPK (live)'!O233/'ASK (live)'!O233,"-")</f>
        <v>-</v>
      </c>
      <c r="P233" s="10" t="str">
        <f ca="1">IFERROR('RPK (live)'!P233/'ASK (live)'!P233,"-")</f>
        <v>-</v>
      </c>
      <c r="Q233" s="10">
        <f ca="1">IFERROR('RPK (live)'!Q233/'ASK (live)'!Q233,"-")</f>
        <v>0.77000000000000013</v>
      </c>
      <c r="R233" s="10">
        <f ca="1">IFERROR('RPK (live)'!R233/'ASK (live)'!R233,"-")</f>
        <v>0.74</v>
      </c>
      <c r="S233" s="10">
        <f ca="1">IFERROR('RPK (live)'!S233/'ASK (live)'!S233,"-")</f>
        <v>0.77</v>
      </c>
      <c r="T233" s="10">
        <f ca="1">IFERROR('RPK (live)'!T233/'ASK (live)'!T233,"-")</f>
        <v>0.97332612087274328</v>
      </c>
      <c r="U233" s="10">
        <f ca="1">IFERROR('RPK (live)'!U233/'ASK (live)'!U233,"-")</f>
        <v>0.99051911298780138</v>
      </c>
      <c r="V233" s="10">
        <f ca="1">IFERROR('RPK (live)'!V233/'ASK (live)'!V233,"-")</f>
        <v>0.86557050354728615</v>
      </c>
      <c r="W233" s="10" t="str">
        <f ca="1">IFERROR('RPK (live)'!W233/'ASK (live)'!W233,"-")</f>
        <v>-</v>
      </c>
      <c r="X233" s="10" t="str">
        <f ca="1">IFERROR('RPK (live)'!X233/'ASK (live)'!X233,"-")</f>
        <v>-</v>
      </c>
      <c r="Y233" s="10" t="str">
        <f ca="1">IFERROR('RPK (live)'!Y233/'ASK (live)'!Y233,"-")</f>
        <v>-</v>
      </c>
      <c r="Z233" s="10" t="str">
        <f ca="1">IFERROR('RPK (live)'!Z233/'ASK (live)'!Z233,"-")</f>
        <v>-</v>
      </c>
      <c r="AA233" s="10" t="str">
        <f ca="1">IFERROR('RPK (live)'!AA233/'ASK (live)'!AA233,"-")</f>
        <v>-</v>
      </c>
      <c r="AB233" s="10" t="str">
        <f ca="1">IFERROR('RPK (live)'!AB233/'ASK (live)'!AB233,"-")</f>
        <v>-</v>
      </c>
      <c r="AC233" s="10">
        <f ca="1">IFERROR('RPK (live)'!AC233/'ASK (live)'!AC233,"-")</f>
        <v>0.95904496655274907</v>
      </c>
      <c r="AD233" s="10">
        <f ca="1">IFERROR('RPK (live)'!AD233/'ASK (live)'!AD233,"-")</f>
        <v>0.831012081957752</v>
      </c>
      <c r="AE233" s="10">
        <f ca="1">IFERROR('RPK (live)'!AE233/'ASK (live)'!AE233,"-")</f>
        <v>0.78843521565908203</v>
      </c>
    </row>
    <row r="234" spans="1:31">
      <c r="A234" s="1" t="s">
        <v>152</v>
      </c>
      <c r="B234" s="5" t="s">
        <v>310</v>
      </c>
      <c r="C234" s="5" t="s">
        <v>311</v>
      </c>
      <c r="D234" s="5" t="s">
        <v>309</v>
      </c>
      <c r="E234" s="5" t="s">
        <v>21</v>
      </c>
      <c r="F234" s="5" t="s">
        <v>24</v>
      </c>
      <c r="G234" s="6"/>
      <c r="H234" s="6"/>
      <c r="I234" s="6"/>
      <c r="J234" s="6"/>
      <c r="K234" s="6"/>
      <c r="L234" s="10" t="str">
        <f ca="1">IFERROR('RPK (live)'!L234/'ASK (live)'!L234,"-")</f>
        <v>-</v>
      </c>
      <c r="M234" s="10" t="str">
        <f ca="1">IFERROR('RPK (live)'!M234/'ASK (live)'!M234,"-")</f>
        <v>-</v>
      </c>
      <c r="N234" s="10" t="str">
        <f ca="1">IFERROR('RPK (live)'!N234/'ASK (live)'!N234,"-")</f>
        <v>-</v>
      </c>
      <c r="O234" s="10" t="str">
        <f ca="1">IFERROR('RPK (live)'!O234/'ASK (live)'!O234,"-")</f>
        <v>-</v>
      </c>
      <c r="P234" s="10" t="str">
        <f ca="1">IFERROR('RPK (live)'!P234/'ASK (live)'!P234,"-")</f>
        <v>-</v>
      </c>
      <c r="Q234" s="10">
        <f ca="1">IFERROR('RPK (live)'!Q234/'ASK (live)'!Q234,"-")</f>
        <v>0.77000000000000013</v>
      </c>
      <c r="R234" s="10">
        <f ca="1">IFERROR('RPK (live)'!R234/'ASK (live)'!R234,"-")</f>
        <v>0.74</v>
      </c>
      <c r="S234" s="10">
        <f ca="1">IFERROR('RPK (live)'!S234/'ASK (live)'!S234,"-")</f>
        <v>0.77</v>
      </c>
      <c r="T234" s="10">
        <f ca="1">IFERROR('RPK (live)'!T234/'ASK (live)'!T234,"-")</f>
        <v>0.97332612087274328</v>
      </c>
      <c r="U234" s="10">
        <f ca="1">IFERROR('RPK (live)'!U234/'ASK (live)'!U234,"-")</f>
        <v>0.99051911298780138</v>
      </c>
      <c r="V234" s="10">
        <f ca="1">IFERROR('RPK (live)'!V234/'ASK (live)'!V234,"-")</f>
        <v>0.86557050354728615</v>
      </c>
      <c r="W234" s="10" t="str">
        <f ca="1">IFERROR('RPK (live)'!W234/'ASK (live)'!W234,"-")</f>
        <v>-</v>
      </c>
      <c r="X234" s="10" t="str">
        <f ca="1">IFERROR('RPK (live)'!X234/'ASK (live)'!X234,"-")</f>
        <v>-</v>
      </c>
      <c r="Y234" s="10" t="str">
        <f ca="1">IFERROR('RPK (live)'!Y234/'ASK (live)'!Y234,"-")</f>
        <v>-</v>
      </c>
      <c r="Z234" s="10" t="str">
        <f ca="1">IFERROR('RPK (live)'!Z234/'ASK (live)'!Z234,"-")</f>
        <v>-</v>
      </c>
      <c r="AA234" s="10" t="str">
        <f ca="1">IFERROR('RPK (live)'!AA234/'ASK (live)'!AA234,"-")</f>
        <v>-</v>
      </c>
      <c r="AB234" s="10" t="str">
        <f ca="1">IFERROR('RPK (live)'!AB234/'ASK (live)'!AB234,"-")</f>
        <v>-</v>
      </c>
      <c r="AC234" s="10">
        <f ca="1">IFERROR('RPK (live)'!AC234/'ASK (live)'!AC234,"-")</f>
        <v>0.95904496655274907</v>
      </c>
      <c r="AD234" s="10">
        <f ca="1">IFERROR('RPK (live)'!AD234/'ASK (live)'!AD234,"-")</f>
        <v>0.831012081957752</v>
      </c>
      <c r="AE234" s="10">
        <f ca="1">IFERROR('RPK (live)'!AE234/'ASK (live)'!AE234,"-")</f>
        <v>0.78843521565908203</v>
      </c>
    </row>
    <row r="235" spans="1:31">
      <c r="A235" s="1" t="s">
        <v>152</v>
      </c>
      <c r="B235" s="5" t="s">
        <v>158</v>
      </c>
      <c r="C235" s="5" t="s">
        <v>159</v>
      </c>
      <c r="D235" s="5" t="s">
        <v>21</v>
      </c>
      <c r="E235" s="5" t="s">
        <v>38</v>
      </c>
      <c r="F235" s="5" t="s">
        <v>25</v>
      </c>
      <c r="G235" s="6"/>
      <c r="H235" s="6"/>
      <c r="I235" s="6"/>
      <c r="J235" s="6"/>
      <c r="K235" s="6"/>
      <c r="L235" s="10">
        <f ca="1">IFERROR('RPK (live)'!L235/'ASK (live)'!L235,"-")</f>
        <v>0.70712258520062643</v>
      </c>
      <c r="M235" s="10">
        <f ca="1">IFERROR('RPK (live)'!M235/'ASK (live)'!M235,"-")</f>
        <v>0.83451694707262192</v>
      </c>
      <c r="N235" s="10">
        <f ca="1">IFERROR('RPK (live)'!N235/'ASK (live)'!N235,"-")</f>
        <v>0.80704181881326775</v>
      </c>
      <c r="O235" s="10">
        <f ca="1">IFERROR('RPK (live)'!O235/'ASK (live)'!O235,"-")</f>
        <v>0.92947612479598263</v>
      </c>
      <c r="P235" s="10">
        <f ca="1">IFERROR('RPK (live)'!P235/'ASK (live)'!P235,"-")</f>
        <v>0.66182141809551842</v>
      </c>
      <c r="Q235" s="10">
        <f ca="1">IFERROR('RPK (live)'!Q235/'ASK (live)'!Q235,"-")</f>
        <v>0.78392711174967877</v>
      </c>
      <c r="R235" s="10">
        <f ca="1">IFERROR('RPK (live)'!R235/'ASK (live)'!R235,"-")</f>
        <v>0.75</v>
      </c>
      <c r="S235" s="10">
        <f ca="1">IFERROR('RPK (live)'!S235/'ASK (live)'!S235,"-")</f>
        <v>0.87590891197026999</v>
      </c>
      <c r="T235" s="10">
        <f ca="1">IFERROR('RPK (live)'!T235/'ASK (live)'!T235,"-")</f>
        <v>0.66766432203568238</v>
      </c>
      <c r="U235" s="10">
        <f ca="1">IFERROR('RPK (live)'!U235/'ASK (live)'!U235,"-")</f>
        <v>0.71640457134087732</v>
      </c>
      <c r="V235" s="10">
        <f ca="1">IFERROR('RPK (live)'!V235/'ASK (live)'!V235,"-")</f>
        <v>0.72761381526658397</v>
      </c>
      <c r="W235" s="10">
        <f ca="1">IFERROR('RPK (live)'!W235/'ASK (live)'!W235,"-")</f>
        <v>0.81731420599132609</v>
      </c>
      <c r="X235" s="10">
        <f ca="1">IFERROR('RPK (live)'!X235/'ASK (live)'!X235,"-")</f>
        <v>0.79225017465348846</v>
      </c>
      <c r="Y235" s="10">
        <f ca="1">IFERROR('RPK (live)'!Y235/'ASK (live)'!Y235,"-")</f>
        <v>0.87333613496133267</v>
      </c>
      <c r="Z235" s="10">
        <f ca="1">IFERROR('RPK (live)'!Z235/'ASK (live)'!Z235,"-")</f>
        <v>0.91269345217695974</v>
      </c>
      <c r="AA235" s="10">
        <f ca="1">IFERROR('RPK (live)'!AA235/'ASK (live)'!AA235,"-")</f>
        <v>0.97764387090354476</v>
      </c>
      <c r="AB235" s="10">
        <f ca="1">IFERROR('RPK (live)'!AB235/'ASK (live)'!AB235,"-")</f>
        <v>0.68988420477605417</v>
      </c>
      <c r="AC235" s="10">
        <f ca="1">IFERROR('RPK (live)'!AC235/'ASK (live)'!AC235,"-")</f>
        <v>0.76526925418615699</v>
      </c>
      <c r="AD235" s="10">
        <f ca="1">IFERROR('RPK (live)'!AD235/'ASK (live)'!AD235,"-")</f>
        <v>0.71617347057752023</v>
      </c>
      <c r="AE235" s="10">
        <f ca="1">IFERROR('RPK (live)'!AE235/'ASK (live)'!AE235,"-")</f>
        <v>0.83889065055270695</v>
      </c>
    </row>
    <row r="236" spans="1:31">
      <c r="A236" s="1" t="s">
        <v>152</v>
      </c>
      <c r="B236" s="5" t="s">
        <v>36</v>
      </c>
      <c r="C236" s="5" t="s">
        <v>37</v>
      </c>
      <c r="D236" s="5" t="s">
        <v>38</v>
      </c>
      <c r="E236" s="5" t="s">
        <v>21</v>
      </c>
      <c r="F236" s="5" t="s">
        <v>25</v>
      </c>
      <c r="G236" s="6"/>
      <c r="H236" s="6"/>
      <c r="I236" s="6"/>
      <c r="J236" s="6"/>
      <c r="K236" s="6"/>
      <c r="L236" s="10">
        <f ca="1">IFERROR('RPK (live)'!L236/'ASK (live)'!L236,"-")</f>
        <v>0.70712258520062643</v>
      </c>
      <c r="M236" s="10">
        <f ca="1">IFERROR('RPK (live)'!M236/'ASK (live)'!M236,"-")</f>
        <v>0.83451694707262192</v>
      </c>
      <c r="N236" s="10">
        <f ca="1">IFERROR('RPK (live)'!N236/'ASK (live)'!N236,"-")</f>
        <v>0.80704181881326775</v>
      </c>
      <c r="O236" s="10">
        <f ca="1">IFERROR('RPK (live)'!O236/'ASK (live)'!O236,"-")</f>
        <v>0.92947612479598263</v>
      </c>
      <c r="P236" s="10">
        <f ca="1">IFERROR('RPK (live)'!P236/'ASK (live)'!P236,"-")</f>
        <v>0.66182141809551842</v>
      </c>
      <c r="Q236" s="10">
        <f ca="1">IFERROR('RPK (live)'!Q236/'ASK (live)'!Q236,"-")</f>
        <v>0.78392711174967877</v>
      </c>
      <c r="R236" s="10">
        <f ca="1">IFERROR('RPK (live)'!R236/'ASK (live)'!R236,"-")</f>
        <v>0.75</v>
      </c>
      <c r="S236" s="10">
        <f ca="1">IFERROR('RPK (live)'!S236/'ASK (live)'!S236,"-")</f>
        <v>0.87590891197026999</v>
      </c>
      <c r="T236" s="10">
        <f ca="1">IFERROR('RPK (live)'!T236/'ASK (live)'!T236,"-")</f>
        <v>0.66766432203568227</v>
      </c>
      <c r="U236" s="10">
        <f ca="1">IFERROR('RPK (live)'!U236/'ASK (live)'!U236,"-")</f>
        <v>0.71640457134087743</v>
      </c>
      <c r="V236" s="10">
        <f ca="1">IFERROR('RPK (live)'!V236/'ASK (live)'!V236,"-")</f>
        <v>0.72761381526658375</v>
      </c>
      <c r="W236" s="10">
        <f ca="1">IFERROR('RPK (live)'!W236/'ASK (live)'!W236,"-")</f>
        <v>0.8173142059913262</v>
      </c>
      <c r="X236" s="10">
        <f ca="1">IFERROR('RPK (live)'!X236/'ASK (live)'!X236,"-")</f>
        <v>0.79225017465348846</v>
      </c>
      <c r="Y236" s="10">
        <f ca="1">IFERROR('RPK (live)'!Y236/'ASK (live)'!Y236,"-")</f>
        <v>0.87333613496133256</v>
      </c>
      <c r="Z236" s="10">
        <f ca="1">IFERROR('RPK (live)'!Z236/'ASK (live)'!Z236,"-")</f>
        <v>0.91269345217695963</v>
      </c>
      <c r="AA236" s="10">
        <f ca="1">IFERROR('RPK (live)'!AA236/'ASK (live)'!AA236,"-")</f>
        <v>0.97764387090354465</v>
      </c>
      <c r="AB236" s="10">
        <f ca="1">IFERROR('RPK (live)'!AB236/'ASK (live)'!AB236,"-")</f>
        <v>0.68988420477605428</v>
      </c>
      <c r="AC236" s="10">
        <f ca="1">IFERROR('RPK (live)'!AC236/'ASK (live)'!AC236,"-")</f>
        <v>0.76526925418615721</v>
      </c>
      <c r="AD236" s="10">
        <f ca="1">IFERROR('RPK (live)'!AD236/'ASK (live)'!AD236,"-")</f>
        <v>0.71617347057752023</v>
      </c>
      <c r="AE236" s="10">
        <f ca="1">IFERROR('RPK (live)'!AE236/'ASK (live)'!AE236,"-")</f>
        <v>0.83889065055270717</v>
      </c>
    </row>
    <row r="237" spans="1:31">
      <c r="A237" s="1" t="s">
        <v>152</v>
      </c>
      <c r="B237" s="5" t="s">
        <v>160</v>
      </c>
      <c r="C237" s="5" t="s">
        <v>161</v>
      </c>
      <c r="D237" s="5" t="s">
        <v>21</v>
      </c>
      <c r="E237" s="5" t="s">
        <v>69</v>
      </c>
      <c r="F237" s="5" t="s">
        <v>25</v>
      </c>
      <c r="G237" s="6"/>
      <c r="H237" s="6"/>
      <c r="I237" s="6"/>
      <c r="J237" s="6"/>
      <c r="K237" s="6"/>
      <c r="L237" s="10">
        <f ca="1">IFERROR('RPK (live)'!L237/'ASK (live)'!L237,"-")</f>
        <v>0.72</v>
      </c>
      <c r="M237" s="10">
        <f ca="1">IFERROR('RPK (live)'!M237/'ASK (live)'!M237,"-")</f>
        <v>0.79986873970767214</v>
      </c>
      <c r="N237" s="10">
        <f ca="1">IFERROR('RPK (live)'!N237/'ASK (live)'!N237,"-")</f>
        <v>0.82</v>
      </c>
      <c r="O237" s="10">
        <f ca="1">IFERROR('RPK (live)'!O237/'ASK (live)'!O237,"-")</f>
        <v>0.81</v>
      </c>
      <c r="P237" s="10">
        <f ca="1">IFERROR('RPK (live)'!P237/'ASK (live)'!P237,"-")</f>
        <v>0.59</v>
      </c>
      <c r="Q237" s="10">
        <f ca="1">IFERROR('RPK (live)'!Q237/'ASK (live)'!Q237,"-")</f>
        <v>0.69</v>
      </c>
      <c r="R237" s="10">
        <f ca="1">IFERROR('RPK (live)'!R237/'ASK (live)'!R237,"-")</f>
        <v>0.72999999999999987</v>
      </c>
      <c r="S237" s="10">
        <f ca="1">IFERROR('RPK (live)'!S237/'ASK (live)'!S237,"-")</f>
        <v>0.79999999999999993</v>
      </c>
      <c r="T237" s="10">
        <f ca="1">IFERROR('RPK (live)'!T237/'ASK (live)'!T237,"-")</f>
        <v>0.74607613153227526</v>
      </c>
      <c r="U237" s="10">
        <f ca="1">IFERROR('RPK (live)'!U237/'ASK (live)'!U237,"-")</f>
        <v>0.72866876169187433</v>
      </c>
      <c r="V237" s="10">
        <f ca="1">IFERROR('RPK (live)'!V237/'ASK (live)'!V237,"-")</f>
        <v>0.81065965871105494</v>
      </c>
      <c r="W237" s="10">
        <f ca="1">IFERROR('RPK (live)'!W237/'ASK (live)'!W237,"-")</f>
        <v>0.80600301054177348</v>
      </c>
      <c r="X237" s="10">
        <f ca="1">IFERROR('RPK (live)'!X237/'ASK (live)'!X237,"-")</f>
        <v>0.82816574547606026</v>
      </c>
      <c r="Y237" s="10">
        <f ca="1">IFERROR('RPK (live)'!Y237/'ASK (live)'!Y237,"-")</f>
        <v>0.86882004447993388</v>
      </c>
      <c r="Z237" s="10">
        <f ca="1">IFERROR('RPK (live)'!Z237/'ASK (live)'!Z237,"-")</f>
        <v>0.87102023191158229</v>
      </c>
      <c r="AA237" s="10">
        <f ca="1">IFERROR('RPK (live)'!AA237/'ASK (live)'!AA237,"-")</f>
        <v>0.8446771443770319</v>
      </c>
      <c r="AB237" s="10">
        <f ca="1">IFERROR('RPK (live)'!AB237/'ASK (live)'!AB237,"-")</f>
        <v>0.59568421134826799</v>
      </c>
      <c r="AC237" s="10">
        <f ca="1">IFERROR('RPK (live)'!AC237/'ASK (live)'!AC237,"-")</f>
        <v>0.7322954383715139</v>
      </c>
      <c r="AD237" s="10">
        <f ca="1">IFERROR('RPK (live)'!AD237/'ASK (live)'!AD237,"-")</f>
        <v>0.71832927447848982</v>
      </c>
      <c r="AE237" s="10">
        <f ca="1">IFERROR('RPK (live)'!AE237/'ASK (live)'!AE237,"-")</f>
        <v>0.73784226501522332</v>
      </c>
    </row>
    <row r="238" spans="1:31">
      <c r="A238" s="1" t="s">
        <v>152</v>
      </c>
      <c r="B238" s="5" t="s">
        <v>67</v>
      </c>
      <c r="C238" s="5" t="s">
        <v>68</v>
      </c>
      <c r="D238" s="5" t="s">
        <v>69</v>
      </c>
      <c r="E238" s="5" t="s">
        <v>21</v>
      </c>
      <c r="F238" s="5" t="s">
        <v>25</v>
      </c>
      <c r="G238" s="6"/>
      <c r="H238" s="6"/>
      <c r="I238" s="6"/>
      <c r="J238" s="6"/>
      <c r="K238" s="6"/>
      <c r="L238" s="10">
        <f ca="1">IFERROR('RPK (live)'!L238/'ASK (live)'!L238,"-")</f>
        <v>0.72</v>
      </c>
      <c r="M238" s="10">
        <f ca="1">IFERROR('RPK (live)'!M238/'ASK (live)'!M238,"-")</f>
        <v>0.79986873970767214</v>
      </c>
      <c r="N238" s="10">
        <f ca="1">IFERROR('RPK (live)'!N238/'ASK (live)'!N238,"-")</f>
        <v>0.82</v>
      </c>
      <c r="O238" s="10">
        <f ca="1">IFERROR('RPK (live)'!O238/'ASK (live)'!O238,"-")</f>
        <v>0.81</v>
      </c>
      <c r="P238" s="10">
        <f ca="1">IFERROR('RPK (live)'!P238/'ASK (live)'!P238,"-")</f>
        <v>0.59</v>
      </c>
      <c r="Q238" s="10">
        <f ca="1">IFERROR('RPK (live)'!Q238/'ASK (live)'!Q238,"-")</f>
        <v>0.69</v>
      </c>
      <c r="R238" s="10">
        <f ca="1">IFERROR('RPK (live)'!R238/'ASK (live)'!R238,"-")</f>
        <v>0.72999999999999987</v>
      </c>
      <c r="S238" s="10">
        <f ca="1">IFERROR('RPK (live)'!S238/'ASK (live)'!S238,"-")</f>
        <v>0.79999999999999993</v>
      </c>
      <c r="T238" s="10">
        <f ca="1">IFERROR('RPK (live)'!T238/'ASK (live)'!T238,"-")</f>
        <v>0.74607613153227526</v>
      </c>
      <c r="U238" s="10">
        <f ca="1">IFERROR('RPK (live)'!U238/'ASK (live)'!U238,"-")</f>
        <v>0.72866876169187433</v>
      </c>
      <c r="V238" s="10">
        <f ca="1">IFERROR('RPK (live)'!V238/'ASK (live)'!V238,"-")</f>
        <v>0.81065965871105494</v>
      </c>
      <c r="W238" s="10">
        <f ca="1">IFERROR('RPK (live)'!W238/'ASK (live)'!W238,"-")</f>
        <v>0.80600301054177348</v>
      </c>
      <c r="X238" s="10">
        <f ca="1">IFERROR('RPK (live)'!X238/'ASK (live)'!X238,"-")</f>
        <v>0.82816574547606026</v>
      </c>
      <c r="Y238" s="10">
        <f ca="1">IFERROR('RPK (live)'!Y238/'ASK (live)'!Y238,"-")</f>
        <v>0.86882004447993388</v>
      </c>
      <c r="Z238" s="10">
        <f ca="1">IFERROR('RPK (live)'!Z238/'ASK (live)'!Z238,"-")</f>
        <v>0.87102023191158229</v>
      </c>
      <c r="AA238" s="10">
        <f ca="1">IFERROR('RPK (live)'!AA238/'ASK (live)'!AA238,"-")</f>
        <v>0.8446771443770319</v>
      </c>
      <c r="AB238" s="10">
        <f ca="1">IFERROR('RPK (live)'!AB238/'ASK (live)'!AB238,"-")</f>
        <v>0.59568421134826799</v>
      </c>
      <c r="AC238" s="10">
        <f ca="1">IFERROR('RPK (live)'!AC238/'ASK (live)'!AC238,"-")</f>
        <v>0.7322954383715139</v>
      </c>
      <c r="AD238" s="10">
        <f ca="1">IFERROR('RPK (live)'!AD238/'ASK (live)'!AD238,"-")</f>
        <v>0.71832927447848982</v>
      </c>
      <c r="AE238" s="10">
        <f ca="1">IFERROR('RPK (live)'!AE238/'ASK (live)'!AE238,"-")</f>
        <v>0.73784226501522299</v>
      </c>
    </row>
    <row r="239" spans="1:31">
      <c r="A239" s="1" t="s">
        <v>152</v>
      </c>
      <c r="B239" s="5" t="s">
        <v>162</v>
      </c>
      <c r="C239" s="5" t="s">
        <v>163</v>
      </c>
      <c r="D239" s="5" t="s">
        <v>21</v>
      </c>
      <c r="E239" s="5" t="s">
        <v>54</v>
      </c>
      <c r="F239" s="5" t="s">
        <v>25</v>
      </c>
      <c r="G239" s="6"/>
      <c r="H239" s="6"/>
      <c r="I239" s="6"/>
      <c r="J239" s="6"/>
      <c r="K239" s="6"/>
      <c r="L239" s="10">
        <f ca="1">IFERROR('RPK (live)'!L239/'ASK (live)'!L239,"-")</f>
        <v>0.7</v>
      </c>
      <c r="M239" s="10">
        <f ca="1">IFERROR('RPK (live)'!M239/'ASK (live)'!M239,"-")</f>
        <v>0.87074318499822534</v>
      </c>
      <c r="N239" s="10">
        <f ca="1">IFERROR('RPK (live)'!N239/'ASK (live)'!N239,"-")</f>
        <v>0.9</v>
      </c>
      <c r="O239" s="10">
        <f ca="1">IFERROR('RPK (live)'!O239/'ASK (live)'!O239,"-")</f>
        <v>0.83999999999999986</v>
      </c>
      <c r="P239" s="10">
        <f ca="1">IFERROR('RPK (live)'!P239/'ASK (live)'!P239,"-")</f>
        <v>0.72999999999999987</v>
      </c>
      <c r="Q239" s="10">
        <f ca="1">IFERROR('RPK (live)'!Q239/'ASK (live)'!Q239,"-")</f>
        <v>0.7</v>
      </c>
      <c r="R239" s="10">
        <f ca="1">IFERROR('RPK (live)'!R239/'ASK (live)'!R239,"-")</f>
        <v>0.68000000000000016</v>
      </c>
      <c r="S239" s="10">
        <f ca="1">IFERROR('RPK (live)'!S239/'ASK (live)'!S239,"-")</f>
        <v>0.78</v>
      </c>
      <c r="T239" s="10">
        <f ca="1">IFERROR('RPK (live)'!T239/'ASK (live)'!T239,"-")</f>
        <v>0.62395282500626637</v>
      </c>
      <c r="U239" s="10">
        <f ca="1">IFERROR('RPK (live)'!U239/'ASK (live)'!U239,"-")</f>
        <v>0.55563903919078184</v>
      </c>
      <c r="V239" s="10">
        <f ca="1">IFERROR('RPK (live)'!V239/'ASK (live)'!V239,"-")</f>
        <v>0.72126990802570368</v>
      </c>
      <c r="W239" s="10">
        <f ca="1">IFERROR('RPK (live)'!W239/'ASK (live)'!W239,"-")</f>
        <v>0.75090553190798914</v>
      </c>
      <c r="X239" s="10">
        <f ca="1">IFERROR('RPK (live)'!X239/'ASK (live)'!X239,"-")</f>
        <v>0.73716400516204972</v>
      </c>
      <c r="Y239" s="10">
        <f ca="1">IFERROR('RPK (live)'!Y239/'ASK (live)'!Y239,"-")</f>
        <v>0.88958574267756807</v>
      </c>
      <c r="Z239" s="10">
        <f ca="1">IFERROR('RPK (live)'!Z239/'ASK (live)'!Z239,"-")</f>
        <v>0.93540785195292253</v>
      </c>
      <c r="AA239" s="10">
        <f ca="1">IFERROR('RPK (live)'!AA239/'ASK (live)'!AA239,"-")</f>
        <v>0.86995151698981477</v>
      </c>
      <c r="AB239" s="10">
        <f ca="1">IFERROR('RPK (live)'!AB239/'ASK (live)'!AB239,"-")</f>
        <v>0.77534113641733893</v>
      </c>
      <c r="AC239" s="10">
        <f ca="1">IFERROR('RPK (live)'!AC239/'ASK (live)'!AC239,"-")</f>
        <v>0.72538203905255905</v>
      </c>
      <c r="AD239" s="10">
        <f ca="1">IFERROR('RPK (live)'!AD239/'ASK (live)'!AD239,"-")</f>
        <v>0.73926228856645815</v>
      </c>
      <c r="AE239" s="10">
        <f ca="1">IFERROR('RPK (live)'!AE239/'ASK (live)'!AE239,"-")</f>
        <v>0.87600384363018946</v>
      </c>
    </row>
    <row r="240" spans="1:31">
      <c r="A240" s="1" t="s">
        <v>152</v>
      </c>
      <c r="B240" s="5" t="s">
        <v>52</v>
      </c>
      <c r="C240" s="5" t="s">
        <v>53</v>
      </c>
      <c r="D240" s="5" t="s">
        <v>54</v>
      </c>
      <c r="E240" s="5" t="s">
        <v>21</v>
      </c>
      <c r="F240" s="5" t="s">
        <v>25</v>
      </c>
      <c r="G240" s="6"/>
      <c r="H240" s="6"/>
      <c r="I240" s="6"/>
      <c r="J240" s="6"/>
      <c r="K240" s="6"/>
      <c r="L240" s="10">
        <f ca="1">IFERROR('RPK (live)'!L240/'ASK (live)'!L240,"-")</f>
        <v>0.7</v>
      </c>
      <c r="M240" s="10">
        <f ca="1">IFERROR('RPK (live)'!M240/'ASK (live)'!M240,"-")</f>
        <v>0.87074318499822534</v>
      </c>
      <c r="N240" s="10">
        <f ca="1">IFERROR('RPK (live)'!N240/'ASK (live)'!N240,"-")</f>
        <v>0.9</v>
      </c>
      <c r="O240" s="10">
        <f ca="1">IFERROR('RPK (live)'!O240/'ASK (live)'!O240,"-")</f>
        <v>0.83999999999999986</v>
      </c>
      <c r="P240" s="10">
        <f ca="1">IFERROR('RPK (live)'!P240/'ASK (live)'!P240,"-")</f>
        <v>0.72999999999999987</v>
      </c>
      <c r="Q240" s="10">
        <f ca="1">IFERROR('RPK (live)'!Q240/'ASK (live)'!Q240,"-")</f>
        <v>0.7</v>
      </c>
      <c r="R240" s="10">
        <f ca="1">IFERROR('RPK (live)'!R240/'ASK (live)'!R240,"-")</f>
        <v>0.68000000000000016</v>
      </c>
      <c r="S240" s="10">
        <f ca="1">IFERROR('RPK (live)'!S240/'ASK (live)'!S240,"-")</f>
        <v>0.78</v>
      </c>
      <c r="T240" s="10">
        <f ca="1">IFERROR('RPK (live)'!T240/'ASK (live)'!T240,"-")</f>
        <v>0.62395282500626637</v>
      </c>
      <c r="U240" s="10">
        <f ca="1">IFERROR('RPK (live)'!U240/'ASK (live)'!U240,"-")</f>
        <v>0.55563903919078184</v>
      </c>
      <c r="V240" s="10">
        <f ca="1">IFERROR('RPK (live)'!V240/'ASK (live)'!V240,"-")</f>
        <v>0.72126990802570368</v>
      </c>
      <c r="W240" s="10">
        <f ca="1">IFERROR('RPK (live)'!W240/'ASK (live)'!W240,"-")</f>
        <v>0.75090553190798914</v>
      </c>
      <c r="X240" s="10">
        <f ca="1">IFERROR('RPK (live)'!X240/'ASK (live)'!X240,"-")</f>
        <v>0.73716400516204972</v>
      </c>
      <c r="Y240" s="10">
        <f ca="1">IFERROR('RPK (live)'!Y240/'ASK (live)'!Y240,"-")</f>
        <v>0.88958574267756807</v>
      </c>
      <c r="Z240" s="10">
        <f ca="1">IFERROR('RPK (live)'!Z240/'ASK (live)'!Z240,"-")</f>
        <v>0.93540785195292253</v>
      </c>
      <c r="AA240" s="10">
        <f ca="1">IFERROR('RPK (live)'!AA240/'ASK (live)'!AA240,"-")</f>
        <v>0.86995151698981477</v>
      </c>
      <c r="AB240" s="10">
        <f ca="1">IFERROR('RPK (live)'!AB240/'ASK (live)'!AB240,"-")</f>
        <v>0.77534113641733893</v>
      </c>
      <c r="AC240" s="10">
        <f ca="1">IFERROR('RPK (live)'!AC240/'ASK (live)'!AC240,"-")</f>
        <v>0.72538203905255905</v>
      </c>
      <c r="AD240" s="10">
        <f ca="1">IFERROR('RPK (live)'!AD240/'ASK (live)'!AD240,"-")</f>
        <v>0.73926228856645815</v>
      </c>
      <c r="AE240" s="10">
        <f ca="1">IFERROR('RPK (live)'!AE240/'ASK (live)'!AE240,"-")</f>
        <v>0.87600384363018946</v>
      </c>
    </row>
    <row r="241" spans="1:31">
      <c r="A241" s="1" t="s">
        <v>152</v>
      </c>
      <c r="B241" s="5" t="s">
        <v>164</v>
      </c>
      <c r="C241" s="5" t="s">
        <v>159</v>
      </c>
      <c r="D241" s="5" t="s">
        <v>21</v>
      </c>
      <c r="E241" s="5" t="s">
        <v>38</v>
      </c>
      <c r="F241" s="5" t="s">
        <v>25</v>
      </c>
      <c r="G241" s="6"/>
      <c r="H241" s="6"/>
      <c r="I241" s="6"/>
      <c r="J241" s="6"/>
      <c r="K241" s="6"/>
      <c r="L241" s="10">
        <f ca="1">IFERROR('RPK (live)'!L241/'ASK (live)'!L241,"-")</f>
        <v>0.70712258520062643</v>
      </c>
      <c r="M241" s="10">
        <f ca="1">IFERROR('RPK (live)'!M241/'ASK (live)'!M241,"-")</f>
        <v>0.83451694707262192</v>
      </c>
      <c r="N241" s="10">
        <f ca="1">IFERROR('RPK (live)'!N241/'ASK (live)'!N241,"-")</f>
        <v>0.80704181881326775</v>
      </c>
      <c r="O241" s="10">
        <f ca="1">IFERROR('RPK (live)'!O241/'ASK (live)'!O241,"-")</f>
        <v>0.92947612479598263</v>
      </c>
      <c r="P241" s="10">
        <f ca="1">IFERROR('RPK (live)'!P241/'ASK (live)'!P241,"-")</f>
        <v>0.66182141809551831</v>
      </c>
      <c r="Q241" s="10">
        <f ca="1">IFERROR('RPK (live)'!Q241/'ASK (live)'!Q241,"-")</f>
        <v>0.78392711174967888</v>
      </c>
      <c r="R241" s="10">
        <f ca="1">IFERROR('RPK (live)'!R241/'ASK (live)'!R241,"-")</f>
        <v>0.75</v>
      </c>
      <c r="S241" s="10">
        <f ca="1">IFERROR('RPK (live)'!S241/'ASK (live)'!S241,"-")</f>
        <v>0.87590891197026999</v>
      </c>
      <c r="T241" s="10">
        <f ca="1">IFERROR('RPK (live)'!T241/'ASK (live)'!T241,"-")</f>
        <v>0.66766432203568238</v>
      </c>
      <c r="U241" s="10">
        <f ca="1">IFERROR('RPK (live)'!U241/'ASK (live)'!U241,"-")</f>
        <v>0.71640457134087732</v>
      </c>
      <c r="V241" s="10">
        <f ca="1">IFERROR('RPK (live)'!V241/'ASK (live)'!V241,"-")</f>
        <v>0.72761381526658375</v>
      </c>
      <c r="W241" s="10">
        <f ca="1">IFERROR('RPK (live)'!W241/'ASK (live)'!W241,"-")</f>
        <v>0.81731420599132609</v>
      </c>
      <c r="X241" s="10">
        <f ca="1">IFERROR('RPK (live)'!X241/'ASK (live)'!X241,"-")</f>
        <v>0.79225017465348835</v>
      </c>
      <c r="Y241" s="10">
        <f ca="1">IFERROR('RPK (live)'!Y241/'ASK (live)'!Y241,"-")</f>
        <v>0.87333613496133256</v>
      </c>
      <c r="Z241" s="10">
        <f ca="1">IFERROR('RPK (live)'!Z241/'ASK (live)'!Z241,"-")</f>
        <v>0.91269345217695974</v>
      </c>
      <c r="AA241" s="10">
        <f ca="1">IFERROR('RPK (live)'!AA241/'ASK (live)'!AA241,"-")</f>
        <v>0.97764387090354465</v>
      </c>
      <c r="AB241" s="10">
        <f ca="1">IFERROR('RPK (live)'!AB241/'ASK (live)'!AB241,"-")</f>
        <v>0.68988420477605406</v>
      </c>
      <c r="AC241" s="10">
        <f ca="1">IFERROR('RPK (live)'!AC241/'ASK (live)'!AC241,"-")</f>
        <v>0.7652692541861571</v>
      </c>
      <c r="AD241" s="10">
        <f ca="1">IFERROR('RPK (live)'!AD241/'ASK (live)'!AD241,"-")</f>
        <v>0.71617347057752023</v>
      </c>
      <c r="AE241" s="10">
        <f ca="1">IFERROR('RPK (live)'!AE241/'ASK (live)'!AE241,"-")</f>
        <v>0.83889065055270717</v>
      </c>
    </row>
    <row r="242" spans="1:31">
      <c r="A242" s="1" t="s">
        <v>152</v>
      </c>
      <c r="B242" s="5" t="s">
        <v>39</v>
      </c>
      <c r="C242" s="5" t="s">
        <v>37</v>
      </c>
      <c r="D242" s="5" t="s">
        <v>38</v>
      </c>
      <c r="E242" s="5" t="s">
        <v>21</v>
      </c>
      <c r="F242" s="5" t="s">
        <v>25</v>
      </c>
      <c r="G242" s="6"/>
      <c r="H242" s="6"/>
      <c r="I242" s="6"/>
      <c r="J242" s="6"/>
      <c r="K242" s="6"/>
      <c r="L242" s="10">
        <f ca="1">IFERROR('RPK (live)'!L242/'ASK (live)'!L242,"-")</f>
        <v>0.70712258520062632</v>
      </c>
      <c r="M242" s="10">
        <f ca="1">IFERROR('RPK (live)'!M242/'ASK (live)'!M242,"-")</f>
        <v>0.83451694707262192</v>
      </c>
      <c r="N242" s="10">
        <f ca="1">IFERROR('RPK (live)'!N242/'ASK (live)'!N242,"-")</f>
        <v>0.80704181881326775</v>
      </c>
      <c r="O242" s="10">
        <f ca="1">IFERROR('RPK (live)'!O242/'ASK (live)'!O242,"-")</f>
        <v>0.92947612479598263</v>
      </c>
      <c r="P242" s="10">
        <f ca="1">IFERROR('RPK (live)'!P242/'ASK (live)'!P242,"-")</f>
        <v>0.66182141809551831</v>
      </c>
      <c r="Q242" s="10">
        <f ca="1">IFERROR('RPK (live)'!Q242/'ASK (live)'!Q242,"-")</f>
        <v>0.78392711174967888</v>
      </c>
      <c r="R242" s="10">
        <f ca="1">IFERROR('RPK (live)'!R242/'ASK (live)'!R242,"-")</f>
        <v>0.75</v>
      </c>
      <c r="S242" s="10">
        <f ca="1">IFERROR('RPK (live)'!S242/'ASK (live)'!S242,"-")</f>
        <v>0.87590891197026999</v>
      </c>
      <c r="T242" s="10">
        <f ca="1">IFERROR('RPK (live)'!T242/'ASK (live)'!T242,"-")</f>
        <v>0.66766432203568238</v>
      </c>
      <c r="U242" s="10">
        <f ca="1">IFERROR('RPK (live)'!U242/'ASK (live)'!U242,"-")</f>
        <v>0.71640457134087732</v>
      </c>
      <c r="V242" s="10">
        <f ca="1">IFERROR('RPK (live)'!V242/'ASK (live)'!V242,"-")</f>
        <v>0.72761381526658375</v>
      </c>
      <c r="W242" s="10">
        <f ca="1">IFERROR('RPK (live)'!W242/'ASK (live)'!W242,"-")</f>
        <v>0.81731420599132609</v>
      </c>
      <c r="X242" s="10">
        <f ca="1">IFERROR('RPK (live)'!X242/'ASK (live)'!X242,"-")</f>
        <v>0.79225017465348835</v>
      </c>
      <c r="Y242" s="10">
        <f ca="1">IFERROR('RPK (live)'!Y242/'ASK (live)'!Y242,"-")</f>
        <v>0.87333613496133256</v>
      </c>
      <c r="Z242" s="10">
        <f ca="1">IFERROR('RPK (live)'!Z242/'ASK (live)'!Z242,"-")</f>
        <v>0.91269345217695974</v>
      </c>
      <c r="AA242" s="10">
        <f ca="1">IFERROR('RPK (live)'!AA242/'ASK (live)'!AA242,"-")</f>
        <v>0.97764387090354465</v>
      </c>
      <c r="AB242" s="10">
        <f ca="1">IFERROR('RPK (live)'!AB242/'ASK (live)'!AB242,"-")</f>
        <v>0.68988420477605406</v>
      </c>
      <c r="AC242" s="10">
        <f ca="1">IFERROR('RPK (live)'!AC242/'ASK (live)'!AC242,"-")</f>
        <v>0.7652692541861571</v>
      </c>
      <c r="AD242" s="10">
        <f ca="1">IFERROR('RPK (live)'!AD242/'ASK (live)'!AD242,"-")</f>
        <v>0.71617347057752023</v>
      </c>
      <c r="AE242" s="10">
        <f ca="1">IFERROR('RPK (live)'!AE242/'ASK (live)'!AE242,"-")</f>
        <v>0.83889065055270706</v>
      </c>
    </row>
    <row r="243" spans="1:31">
      <c r="A243" s="1" t="s">
        <v>152</v>
      </c>
      <c r="B243" s="5" t="s">
        <v>165</v>
      </c>
      <c r="C243" s="5" t="s">
        <v>166</v>
      </c>
      <c r="D243" s="5" t="s">
        <v>21</v>
      </c>
      <c r="E243" s="5" t="s">
        <v>31</v>
      </c>
      <c r="F243" s="5" t="s">
        <v>25</v>
      </c>
      <c r="G243" s="6"/>
      <c r="H243" s="6"/>
      <c r="I243" s="6"/>
      <c r="J243" s="6"/>
      <c r="K243" s="6"/>
      <c r="L243" s="10">
        <f ca="1">IFERROR('RPK (live)'!L243/'ASK (live)'!L243,"-")</f>
        <v>0.69999999999999984</v>
      </c>
      <c r="M243" s="10">
        <f ca="1">IFERROR('RPK (live)'!M243/'ASK (live)'!M243,"-")</f>
        <v>0.91124286802139864</v>
      </c>
      <c r="N243" s="10">
        <f ca="1">IFERROR('RPK (live)'!N243/'ASK (live)'!N243,"-")</f>
        <v>0.92</v>
      </c>
      <c r="O243" s="10">
        <f ca="1">IFERROR('RPK (live)'!O243/'ASK (live)'!O243,"-")</f>
        <v>0.95</v>
      </c>
      <c r="P243" s="10">
        <f ca="1">IFERROR('RPK (live)'!P243/'ASK (live)'!P243,"-")</f>
        <v>0.73999999999999988</v>
      </c>
      <c r="Q243" s="10">
        <f ca="1">IFERROR('RPK (live)'!Q243/'ASK (live)'!Q243,"-")</f>
        <v>0.69</v>
      </c>
      <c r="R243" s="10">
        <f ca="1">IFERROR('RPK (live)'!R243/'ASK (live)'!R243,"-")</f>
        <v>0.62000000000000011</v>
      </c>
      <c r="S243" s="10">
        <f ca="1">IFERROR('RPK (live)'!S243/'ASK (live)'!S243,"-")</f>
        <v>0.78</v>
      </c>
      <c r="T243" s="10">
        <f ca="1">IFERROR('RPK (live)'!T243/'ASK (live)'!T243,"-")</f>
        <v>0.54324019576322813</v>
      </c>
      <c r="U243" s="10">
        <f ca="1">IFERROR('RPK (live)'!U243/'ASK (live)'!U243,"-")</f>
        <v>0.42677812483964528</v>
      </c>
      <c r="V243" s="10">
        <f ca="1">IFERROR('RPK (live)'!V243/'ASK (live)'!V243,"-")</f>
        <v>0.63372412158249625</v>
      </c>
      <c r="W243" s="10">
        <f ca="1">IFERROR('RPK (live)'!W243/'ASK (live)'!W243,"-")</f>
        <v>0.78826367532792174</v>
      </c>
      <c r="X243" s="10">
        <f ca="1">IFERROR('RPK (live)'!X243/'ASK (live)'!X243,"-")</f>
        <v>0.873072112653559</v>
      </c>
      <c r="Y243" s="10">
        <f ca="1">IFERROR('RPK (live)'!Y243/'ASK (live)'!Y243,"-")</f>
        <v>0.89938472662589786</v>
      </c>
      <c r="Z243" s="10">
        <f ca="1">IFERROR('RPK (live)'!Z243/'ASK (live)'!Z243,"-")</f>
        <v>0.96314711078953474</v>
      </c>
      <c r="AA243" s="10">
        <f ca="1">IFERROR('RPK (live)'!AA243/'ASK (live)'!AA243,"-")</f>
        <v>0.95927586610817606</v>
      </c>
      <c r="AB243" s="10">
        <f ca="1">IFERROR('RPK (live)'!AB243/'ASK (live)'!AB243,"-")</f>
        <v>0.78827930021884096</v>
      </c>
      <c r="AC243" s="10">
        <f ca="1">IFERROR('RPK (live)'!AC243/'ASK (live)'!AC243,"-")</f>
        <v>0.72190692378442012</v>
      </c>
      <c r="AD243" s="10">
        <f ca="1">IFERROR('RPK (live)'!AD243/'ASK (live)'!AD243,"-")</f>
        <v>0.69073430232288513</v>
      </c>
      <c r="AE243" s="10">
        <f ca="1">IFERROR('RPK (live)'!AE243/'ASK (live)'!AE243,"-")</f>
        <v>0.83780864958783585</v>
      </c>
    </row>
    <row r="244" spans="1:31">
      <c r="A244" s="1" t="s">
        <v>152</v>
      </c>
      <c r="B244" s="5" t="s">
        <v>29</v>
      </c>
      <c r="C244" s="5" t="s">
        <v>30</v>
      </c>
      <c r="D244" s="5" t="s">
        <v>31</v>
      </c>
      <c r="E244" s="5" t="s">
        <v>21</v>
      </c>
      <c r="F244" s="5" t="s">
        <v>25</v>
      </c>
      <c r="G244" s="6"/>
      <c r="H244" s="6"/>
      <c r="I244" s="6"/>
      <c r="J244" s="6"/>
      <c r="K244" s="6"/>
      <c r="L244" s="10">
        <f ca="1">IFERROR('RPK (live)'!L244/'ASK (live)'!L244,"-")</f>
        <v>0.69999999999999984</v>
      </c>
      <c r="M244" s="10">
        <f ca="1">IFERROR('RPK (live)'!M244/'ASK (live)'!M244,"-")</f>
        <v>0.91124286802139864</v>
      </c>
      <c r="N244" s="10">
        <f ca="1">IFERROR('RPK (live)'!N244/'ASK (live)'!N244,"-")</f>
        <v>0.92</v>
      </c>
      <c r="O244" s="10">
        <f ca="1">IFERROR('RPK (live)'!O244/'ASK (live)'!O244,"-")</f>
        <v>0.95</v>
      </c>
      <c r="P244" s="10">
        <f ca="1">IFERROR('RPK (live)'!P244/'ASK (live)'!P244,"-")</f>
        <v>0.73999999999999988</v>
      </c>
      <c r="Q244" s="10">
        <f ca="1">IFERROR('RPK (live)'!Q244/'ASK (live)'!Q244,"-")</f>
        <v>0.69</v>
      </c>
      <c r="R244" s="10">
        <f ca="1">IFERROR('RPK (live)'!R244/'ASK (live)'!R244,"-")</f>
        <v>0.62000000000000011</v>
      </c>
      <c r="S244" s="10">
        <f ca="1">IFERROR('RPK (live)'!S244/'ASK (live)'!S244,"-")</f>
        <v>0.78</v>
      </c>
      <c r="T244" s="10">
        <f ca="1">IFERROR('RPK (live)'!T244/'ASK (live)'!T244,"-")</f>
        <v>0.54324019576322813</v>
      </c>
      <c r="U244" s="10">
        <f ca="1">IFERROR('RPK (live)'!U244/'ASK (live)'!U244,"-")</f>
        <v>0.42677812483964528</v>
      </c>
      <c r="V244" s="10">
        <f ca="1">IFERROR('RPK (live)'!V244/'ASK (live)'!V244,"-")</f>
        <v>0.63372412158249625</v>
      </c>
      <c r="W244" s="10">
        <f ca="1">IFERROR('RPK (live)'!W244/'ASK (live)'!W244,"-")</f>
        <v>0.78826367532792174</v>
      </c>
      <c r="X244" s="10">
        <f ca="1">IFERROR('RPK (live)'!X244/'ASK (live)'!X244,"-")</f>
        <v>0.873072112653559</v>
      </c>
      <c r="Y244" s="10">
        <f ca="1">IFERROR('RPK (live)'!Y244/'ASK (live)'!Y244,"-")</f>
        <v>0.89938472662589786</v>
      </c>
      <c r="Z244" s="10">
        <f ca="1">IFERROR('RPK (live)'!Z244/'ASK (live)'!Z244,"-")</f>
        <v>0.96314711078953474</v>
      </c>
      <c r="AA244" s="10">
        <f ca="1">IFERROR('RPK (live)'!AA244/'ASK (live)'!AA244,"-")</f>
        <v>0.95927586610817606</v>
      </c>
      <c r="AB244" s="10">
        <f ca="1">IFERROR('RPK (live)'!AB244/'ASK (live)'!AB244,"-")</f>
        <v>0.78827930021884096</v>
      </c>
      <c r="AC244" s="10">
        <f ca="1">IFERROR('RPK (live)'!AC244/'ASK (live)'!AC244,"-")</f>
        <v>0.72190692378442034</v>
      </c>
      <c r="AD244" s="10">
        <f ca="1">IFERROR('RPK (live)'!AD244/'ASK (live)'!AD244,"-")</f>
        <v>0.69073430232288513</v>
      </c>
      <c r="AE244" s="10">
        <f ca="1">IFERROR('RPK (live)'!AE244/'ASK (live)'!AE244,"-")</f>
        <v>0.83780864958783585</v>
      </c>
    </row>
    <row r="245" spans="1:31">
      <c r="A245" s="1" t="s">
        <v>152</v>
      </c>
      <c r="B245" s="5" t="s">
        <v>167</v>
      </c>
      <c r="C245" s="5" t="s">
        <v>168</v>
      </c>
      <c r="D245" s="5" t="s">
        <v>21</v>
      </c>
      <c r="E245" s="5" t="s">
        <v>76</v>
      </c>
      <c r="F245" s="5" t="s">
        <v>25</v>
      </c>
      <c r="G245" s="6"/>
      <c r="H245" s="6"/>
      <c r="I245" s="6"/>
      <c r="J245" s="6"/>
      <c r="K245" s="6"/>
      <c r="L245" s="10">
        <f ca="1">IFERROR('RPK (live)'!L245/'ASK (live)'!L245,"-")</f>
        <v>0.69999999999999984</v>
      </c>
      <c r="M245" s="10">
        <f ca="1">IFERROR('RPK (live)'!M245/'ASK (live)'!M245,"-")</f>
        <v>0.87074318499822545</v>
      </c>
      <c r="N245" s="10">
        <f ca="1">IFERROR('RPK (live)'!N245/'ASK (live)'!N245,"-")</f>
        <v>0.85</v>
      </c>
      <c r="O245" s="10">
        <f ca="1">IFERROR('RPK (live)'!O245/'ASK (live)'!O245,"-")</f>
        <v>0.81</v>
      </c>
      <c r="P245" s="10">
        <f ca="1">IFERROR('RPK (live)'!P245/'ASK (live)'!P245,"-")</f>
        <v>0.78</v>
      </c>
      <c r="Q245" s="10">
        <f ca="1">IFERROR('RPK (live)'!Q245/'ASK (live)'!Q245,"-")</f>
        <v>0.65000000000000013</v>
      </c>
      <c r="R245" s="10">
        <f ca="1">IFERROR('RPK (live)'!R245/'ASK (live)'!R245,"-")</f>
        <v>0.7</v>
      </c>
      <c r="S245" s="10">
        <f ca="1">IFERROR('RPK (live)'!S245/'ASK (live)'!S245,"-")</f>
        <v>0.71999999999999986</v>
      </c>
      <c r="T245" s="10">
        <f ca="1">IFERROR('RPK (live)'!T245/'ASK (live)'!T245,"-")</f>
        <v>0.7031186945539164</v>
      </c>
      <c r="U245" s="10">
        <f ca="1">IFERROR('RPK (live)'!U245/'ASK (live)'!U245,"-")</f>
        <v>0.69563344496528534</v>
      </c>
      <c r="V245" s="10">
        <f ca="1">IFERROR('RPK (live)'!V245/'ASK (live)'!V245,"-")</f>
        <v>0.64483633313926003</v>
      </c>
      <c r="W245" s="10">
        <f ca="1">IFERROR('RPK (live)'!W245/'ASK (live)'!W245,"-")</f>
        <v>0.62325907887432785</v>
      </c>
      <c r="X245" s="10">
        <f ca="1">IFERROR('RPK (live)'!X245/'ASK (live)'!X245,"-")</f>
        <v>0.67400921898350663</v>
      </c>
      <c r="Y245" s="10">
        <f ca="1">IFERROR('RPK (live)'!Y245/'ASK (live)'!Y245,"-")</f>
        <v>0.93057065691328322</v>
      </c>
      <c r="Z245" s="10">
        <f ca="1">IFERROR('RPK (live)'!Z245/'ASK (live)'!Z245,"-")</f>
        <v>0.92524819676250625</v>
      </c>
      <c r="AA245" s="10">
        <f ca="1">IFERROR('RPK (live)'!AA245/'ASK (live)'!AA245,"-")</f>
        <v>0.87827556885192903</v>
      </c>
      <c r="AB245" s="10">
        <f ca="1">IFERROR('RPK (live)'!AB245/'ASK (live)'!AB245,"-")</f>
        <v>0.84795402177827317</v>
      </c>
      <c r="AC245" s="10">
        <f ca="1">IFERROR('RPK (live)'!AC245/'ASK (live)'!AC245,"-")</f>
        <v>0.63614080712065191</v>
      </c>
      <c r="AD245" s="10">
        <f ca="1">IFERROR('RPK (live)'!AD245/'ASK (live)'!AD245,"-")</f>
        <v>0.72364676866129052</v>
      </c>
      <c r="AE245" s="10">
        <f ca="1">IFERROR('RPK (live)'!AE245/'ASK (live)'!AE245,"-")</f>
        <v>0.77530031333954208</v>
      </c>
    </row>
    <row r="246" spans="1:31">
      <c r="A246" s="1" t="s">
        <v>152</v>
      </c>
      <c r="B246" s="5" t="s">
        <v>74</v>
      </c>
      <c r="C246" s="5" t="s">
        <v>75</v>
      </c>
      <c r="D246" s="5" t="s">
        <v>76</v>
      </c>
      <c r="E246" s="5" t="s">
        <v>21</v>
      </c>
      <c r="F246" s="5" t="s">
        <v>25</v>
      </c>
      <c r="G246" s="6"/>
      <c r="H246" s="6"/>
      <c r="I246" s="6"/>
      <c r="J246" s="6"/>
      <c r="K246" s="6"/>
      <c r="L246" s="10">
        <f ca="1">IFERROR('RPK (live)'!L246/'ASK (live)'!L246,"-")</f>
        <v>0.69999999999999984</v>
      </c>
      <c r="M246" s="10">
        <f ca="1">IFERROR('RPK (live)'!M246/'ASK (live)'!M246,"-")</f>
        <v>0.87074318499822545</v>
      </c>
      <c r="N246" s="10">
        <f ca="1">IFERROR('RPK (live)'!N246/'ASK (live)'!N246,"-")</f>
        <v>0.85</v>
      </c>
      <c r="O246" s="10">
        <f ca="1">IFERROR('RPK (live)'!O246/'ASK (live)'!O246,"-")</f>
        <v>0.81</v>
      </c>
      <c r="P246" s="10">
        <f ca="1">IFERROR('RPK (live)'!P246/'ASK (live)'!P246,"-")</f>
        <v>0.78</v>
      </c>
      <c r="Q246" s="10">
        <f ca="1">IFERROR('RPK (live)'!Q246/'ASK (live)'!Q246,"-")</f>
        <v>0.65000000000000013</v>
      </c>
      <c r="R246" s="10">
        <f ca="1">IFERROR('RPK (live)'!R246/'ASK (live)'!R246,"-")</f>
        <v>0.7</v>
      </c>
      <c r="S246" s="10">
        <f ca="1">IFERROR('RPK (live)'!S246/'ASK (live)'!S246,"-")</f>
        <v>0.71999999999999986</v>
      </c>
      <c r="T246" s="10">
        <f ca="1">IFERROR('RPK (live)'!T246/'ASK (live)'!T246,"-")</f>
        <v>0.7031186945539164</v>
      </c>
      <c r="U246" s="10">
        <f ca="1">IFERROR('RPK (live)'!U246/'ASK (live)'!U246,"-")</f>
        <v>0.69563344496528534</v>
      </c>
      <c r="V246" s="10">
        <f ca="1">IFERROR('RPK (live)'!V246/'ASK (live)'!V246,"-")</f>
        <v>0.64483633313926003</v>
      </c>
      <c r="W246" s="10">
        <f ca="1">IFERROR('RPK (live)'!W246/'ASK (live)'!W246,"-")</f>
        <v>0.62325907887432785</v>
      </c>
      <c r="X246" s="10">
        <f ca="1">IFERROR('RPK (live)'!X246/'ASK (live)'!X246,"-")</f>
        <v>0.67400921898350663</v>
      </c>
      <c r="Y246" s="10">
        <f ca="1">IFERROR('RPK (live)'!Y246/'ASK (live)'!Y246,"-")</f>
        <v>0.93057065691328322</v>
      </c>
      <c r="Z246" s="10">
        <f ca="1">IFERROR('RPK (live)'!Z246/'ASK (live)'!Z246,"-")</f>
        <v>0.92524819676250625</v>
      </c>
      <c r="AA246" s="10">
        <f ca="1">IFERROR('RPK (live)'!AA246/'ASK (live)'!AA246,"-")</f>
        <v>0.87827556885192903</v>
      </c>
      <c r="AB246" s="10">
        <f ca="1">IFERROR('RPK (live)'!AB246/'ASK (live)'!AB246,"-")</f>
        <v>0.84795402177827317</v>
      </c>
      <c r="AC246" s="10">
        <f ca="1">IFERROR('RPK (live)'!AC246/'ASK (live)'!AC246,"-")</f>
        <v>0.63614080712065191</v>
      </c>
      <c r="AD246" s="10">
        <f ca="1">IFERROR('RPK (live)'!AD246/'ASK (live)'!AD246,"-")</f>
        <v>0.72364676866129052</v>
      </c>
      <c r="AE246" s="10">
        <f ca="1">IFERROR('RPK (live)'!AE246/'ASK (live)'!AE246,"-")</f>
        <v>0.77530031333954208</v>
      </c>
    </row>
    <row r="247" spans="1:31">
      <c r="A247" s="1" t="s">
        <v>152</v>
      </c>
      <c r="B247" s="5" t="s">
        <v>169</v>
      </c>
      <c r="C247" s="5" t="s">
        <v>170</v>
      </c>
      <c r="D247" s="5" t="s">
        <v>21</v>
      </c>
      <c r="E247" s="5" t="s">
        <v>35</v>
      </c>
      <c r="F247" s="5" t="s">
        <v>25</v>
      </c>
      <c r="G247" s="6"/>
      <c r="H247" s="6"/>
      <c r="I247" s="6"/>
      <c r="J247" s="6"/>
      <c r="K247" s="6"/>
      <c r="L247" s="10">
        <f ca="1">IFERROR('RPK (live)'!L247/'ASK (live)'!L247,"-")</f>
        <v>0.73</v>
      </c>
      <c r="M247" s="10">
        <f ca="1">IFERROR('RPK (live)'!M247/'ASK (live)'!M247,"-")</f>
        <v>0.79986873970767214</v>
      </c>
      <c r="N247" s="10">
        <f ca="1">IFERROR('RPK (live)'!N247/'ASK (live)'!N247,"-")</f>
        <v>0.85999999999999988</v>
      </c>
      <c r="O247" s="10">
        <f ca="1">IFERROR('RPK (live)'!O247/'ASK (live)'!O247,"-")</f>
        <v>0.80999999999999994</v>
      </c>
      <c r="P247" s="10">
        <f ca="1">IFERROR('RPK (live)'!P247/'ASK (live)'!P247,"-")</f>
        <v>0.63</v>
      </c>
      <c r="Q247" s="10">
        <f ca="1">IFERROR('RPK (live)'!Q247/'ASK (live)'!Q247,"-")</f>
        <v>0.61</v>
      </c>
      <c r="R247" s="10">
        <f ca="1">IFERROR('RPK (live)'!R247/'ASK (live)'!R247,"-")</f>
        <v>0.59</v>
      </c>
      <c r="S247" s="10">
        <f ca="1">IFERROR('RPK (live)'!S247/'ASK (live)'!S247,"-")</f>
        <v>0.67</v>
      </c>
      <c r="T247" s="10">
        <f ca="1">IFERROR('RPK (live)'!T247/'ASK (live)'!T247,"-")</f>
        <v>0.49003109041361226</v>
      </c>
      <c r="U247" s="10">
        <f ca="1">IFERROR('RPK (live)'!U247/'ASK (live)'!U247,"-")</f>
        <v>0.39591440132049316</v>
      </c>
      <c r="V247" s="10">
        <f ca="1">IFERROR('RPK (live)'!V247/'ASK (live)'!V247,"-")</f>
        <v>0.65984162464780138</v>
      </c>
      <c r="W247" s="10">
        <f ca="1">IFERROR('RPK (live)'!W247/'ASK (live)'!W247,"-")</f>
        <v>0.78122031114032153</v>
      </c>
      <c r="X247" s="10">
        <f ca="1">IFERROR('RPK (live)'!X247/'ASK (live)'!X247,"-")</f>
        <v>0.84903443972979131</v>
      </c>
      <c r="Y247" s="10">
        <f ca="1">IFERROR('RPK (live)'!Y247/'ASK (live)'!Y247,"-")</f>
        <v>0.95341980828029793</v>
      </c>
      <c r="Z247" s="10">
        <f ca="1">IFERROR('RPK (live)'!Z247/'ASK (live)'!Z247,"-")</f>
        <v>0.96297767054523131</v>
      </c>
      <c r="AA247" s="10">
        <f ca="1">IFERROR('RPK (live)'!AA247/'ASK (live)'!AA247,"-")</f>
        <v>0.862545508741699</v>
      </c>
      <c r="AB247" s="10">
        <f ca="1">IFERROR('RPK (live)'!AB247/'ASK (live)'!AB247,"-")</f>
        <v>0.66503783567807873</v>
      </c>
      <c r="AC247" s="10">
        <f ca="1">IFERROR('RPK (live)'!AC247/'ASK (live)'!AC247,"-")</f>
        <v>0.72586608765456073</v>
      </c>
      <c r="AD247" s="10">
        <f ca="1">IFERROR('RPK (live)'!AD247/'ASK (live)'!AD247,"-")</f>
        <v>0.59355593266737994</v>
      </c>
      <c r="AE247" s="10">
        <f ca="1">IFERROR('RPK (live)'!AE247/'ASK (live)'!AE247,"-")</f>
        <v>0.84266974502238023</v>
      </c>
    </row>
    <row r="248" spans="1:31">
      <c r="A248" s="1" t="s">
        <v>152</v>
      </c>
      <c r="B248" s="5" t="s">
        <v>33</v>
      </c>
      <c r="C248" s="5" t="s">
        <v>34</v>
      </c>
      <c r="D248" s="5" t="s">
        <v>35</v>
      </c>
      <c r="E248" s="5" t="s">
        <v>21</v>
      </c>
      <c r="F248" s="5" t="s">
        <v>25</v>
      </c>
      <c r="G248" s="6"/>
      <c r="H248" s="6"/>
      <c r="I248" s="6"/>
      <c r="J248" s="6"/>
      <c r="K248" s="6"/>
      <c r="L248" s="10">
        <f ca="1">IFERROR('RPK (live)'!L248/'ASK (live)'!L248,"-")</f>
        <v>0.73</v>
      </c>
      <c r="M248" s="10">
        <f ca="1">IFERROR('RPK (live)'!M248/'ASK (live)'!M248,"-")</f>
        <v>0.79986873970767214</v>
      </c>
      <c r="N248" s="10">
        <f ca="1">IFERROR('RPK (live)'!N248/'ASK (live)'!N248,"-")</f>
        <v>0.85999999999999988</v>
      </c>
      <c r="O248" s="10">
        <f ca="1">IFERROR('RPK (live)'!O248/'ASK (live)'!O248,"-")</f>
        <v>0.80999999999999994</v>
      </c>
      <c r="P248" s="10">
        <f ca="1">IFERROR('RPK (live)'!P248/'ASK (live)'!P248,"-")</f>
        <v>0.63</v>
      </c>
      <c r="Q248" s="10">
        <f ca="1">IFERROR('RPK (live)'!Q248/'ASK (live)'!Q248,"-")</f>
        <v>0.61</v>
      </c>
      <c r="R248" s="10">
        <f ca="1">IFERROR('RPK (live)'!R248/'ASK (live)'!R248,"-")</f>
        <v>0.59</v>
      </c>
      <c r="S248" s="10">
        <f ca="1">IFERROR('RPK (live)'!S248/'ASK (live)'!S248,"-")</f>
        <v>0.67</v>
      </c>
      <c r="T248" s="10">
        <f ca="1">IFERROR('RPK (live)'!T248/'ASK (live)'!T248,"-")</f>
        <v>0.49003109041361226</v>
      </c>
      <c r="U248" s="10">
        <f ca="1">IFERROR('RPK (live)'!U248/'ASK (live)'!U248,"-")</f>
        <v>0.39591440132049316</v>
      </c>
      <c r="V248" s="10">
        <f ca="1">IFERROR('RPK (live)'!V248/'ASK (live)'!V248,"-")</f>
        <v>0.65984162464780138</v>
      </c>
      <c r="W248" s="10">
        <f ca="1">IFERROR('RPK (live)'!W248/'ASK (live)'!W248,"-")</f>
        <v>0.78122031114032153</v>
      </c>
      <c r="X248" s="10">
        <f ca="1">IFERROR('RPK (live)'!X248/'ASK (live)'!X248,"-")</f>
        <v>0.84903443972979131</v>
      </c>
      <c r="Y248" s="10">
        <f ca="1">IFERROR('RPK (live)'!Y248/'ASK (live)'!Y248,"-")</f>
        <v>0.95341980828029793</v>
      </c>
      <c r="Z248" s="10">
        <f ca="1">IFERROR('RPK (live)'!Z248/'ASK (live)'!Z248,"-")</f>
        <v>0.96297767054523131</v>
      </c>
      <c r="AA248" s="10">
        <f ca="1">IFERROR('RPK (live)'!AA248/'ASK (live)'!AA248,"-")</f>
        <v>0.862545508741699</v>
      </c>
      <c r="AB248" s="10">
        <f ca="1">IFERROR('RPK (live)'!AB248/'ASK (live)'!AB248,"-")</f>
        <v>0.66503783567807873</v>
      </c>
      <c r="AC248" s="10">
        <f ca="1">IFERROR('RPK (live)'!AC248/'ASK (live)'!AC248,"-")</f>
        <v>0.72586608765456062</v>
      </c>
      <c r="AD248" s="10">
        <f ca="1">IFERROR('RPK (live)'!AD248/'ASK (live)'!AD248,"-")</f>
        <v>0.59355593266737994</v>
      </c>
      <c r="AE248" s="10">
        <f ca="1">IFERROR('RPK (live)'!AE248/'ASK (live)'!AE248,"-")</f>
        <v>0.84266974502238023</v>
      </c>
    </row>
    <row r="249" spans="1:31">
      <c r="A249" s="1" t="s">
        <v>152</v>
      </c>
      <c r="B249" s="5" t="s">
        <v>171</v>
      </c>
      <c r="C249" s="5" t="s">
        <v>163</v>
      </c>
      <c r="D249" s="5" t="s">
        <v>21</v>
      </c>
      <c r="E249" s="5" t="s">
        <v>54</v>
      </c>
      <c r="F249" s="5" t="s">
        <v>25</v>
      </c>
      <c r="G249" s="6"/>
      <c r="H249" s="6"/>
      <c r="I249" s="6"/>
      <c r="J249" s="6"/>
      <c r="K249" s="6"/>
      <c r="L249" s="10">
        <f ca="1">IFERROR('RPK (live)'!L249/'ASK (live)'!L249,"-")</f>
        <v>0.7</v>
      </c>
      <c r="M249" s="10">
        <f ca="1">IFERROR('RPK (live)'!M249/'ASK (live)'!M249,"-")</f>
        <v>0.87074318499822534</v>
      </c>
      <c r="N249" s="10">
        <f ca="1">IFERROR('RPK (live)'!N249/'ASK (live)'!N249,"-")</f>
        <v>0.9</v>
      </c>
      <c r="O249" s="10">
        <f ca="1">IFERROR('RPK (live)'!O249/'ASK (live)'!O249,"-")</f>
        <v>0.83999999999999986</v>
      </c>
      <c r="P249" s="10">
        <f ca="1">IFERROR('RPK (live)'!P249/'ASK (live)'!P249,"-")</f>
        <v>0.72999999999999987</v>
      </c>
      <c r="Q249" s="10">
        <f ca="1">IFERROR('RPK (live)'!Q249/'ASK (live)'!Q249,"-")</f>
        <v>0.7</v>
      </c>
      <c r="R249" s="10">
        <f ca="1">IFERROR('RPK (live)'!R249/'ASK (live)'!R249,"-")</f>
        <v>0.68000000000000016</v>
      </c>
      <c r="S249" s="10">
        <f ca="1">IFERROR('RPK (live)'!S249/'ASK (live)'!S249,"-")</f>
        <v>0.78000000000000014</v>
      </c>
      <c r="T249" s="10">
        <f ca="1">IFERROR('RPK (live)'!T249/'ASK (live)'!T249,"-")</f>
        <v>0.62395282500626637</v>
      </c>
      <c r="U249" s="10">
        <f ca="1">IFERROR('RPK (live)'!U249/'ASK (live)'!U249,"-")</f>
        <v>0.55563903919078184</v>
      </c>
      <c r="V249" s="10">
        <f ca="1">IFERROR('RPK (live)'!V249/'ASK (live)'!V249,"-")</f>
        <v>0.72126990802570357</v>
      </c>
      <c r="W249" s="10">
        <f ca="1">IFERROR('RPK (live)'!W249/'ASK (live)'!W249,"-")</f>
        <v>0.75090553190798937</v>
      </c>
      <c r="X249" s="10">
        <f ca="1">IFERROR('RPK (live)'!X249/'ASK (live)'!X249,"-")</f>
        <v>0.73716400516204972</v>
      </c>
      <c r="Y249" s="10">
        <f ca="1">IFERROR('RPK (live)'!Y249/'ASK (live)'!Y249,"-")</f>
        <v>0.88958574267756796</v>
      </c>
      <c r="Z249" s="10">
        <f ca="1">IFERROR('RPK (live)'!Z249/'ASK (live)'!Z249,"-")</f>
        <v>0.93540785195292242</v>
      </c>
      <c r="AA249" s="10">
        <f ca="1">IFERROR('RPK (live)'!AA249/'ASK (live)'!AA249,"-")</f>
        <v>0.86995151698981465</v>
      </c>
      <c r="AB249" s="10">
        <f ca="1">IFERROR('RPK (live)'!AB249/'ASK (live)'!AB249,"-")</f>
        <v>0.77534113641733893</v>
      </c>
      <c r="AC249" s="10">
        <f ca="1">IFERROR('RPK (live)'!AC249/'ASK (live)'!AC249,"-")</f>
        <v>0.72538203905255916</v>
      </c>
      <c r="AD249" s="10">
        <f ca="1">IFERROR('RPK (live)'!AD249/'ASK (live)'!AD249,"-")</f>
        <v>0.73926228856645815</v>
      </c>
      <c r="AE249" s="10">
        <f ca="1">IFERROR('RPK (live)'!AE249/'ASK (live)'!AE249,"-")</f>
        <v>0.87600384363018946</v>
      </c>
    </row>
    <row r="250" spans="1:31">
      <c r="A250" s="1" t="s">
        <v>152</v>
      </c>
      <c r="B250" s="5" t="s">
        <v>55</v>
      </c>
      <c r="C250" s="5" t="s">
        <v>53</v>
      </c>
      <c r="D250" s="5" t="s">
        <v>54</v>
      </c>
      <c r="E250" s="5" t="s">
        <v>21</v>
      </c>
      <c r="F250" s="5" t="s">
        <v>25</v>
      </c>
      <c r="G250" s="6"/>
      <c r="H250" s="6"/>
      <c r="I250" s="6"/>
      <c r="J250" s="6"/>
      <c r="K250" s="6"/>
      <c r="L250" s="10">
        <f ca="1">IFERROR('RPK (live)'!L250/'ASK (live)'!L250,"-")</f>
        <v>0.7</v>
      </c>
      <c r="M250" s="10">
        <f ca="1">IFERROR('RPK (live)'!M250/'ASK (live)'!M250,"-")</f>
        <v>0.87074318499822534</v>
      </c>
      <c r="N250" s="10">
        <f ca="1">IFERROR('RPK (live)'!N250/'ASK (live)'!N250,"-")</f>
        <v>0.9</v>
      </c>
      <c r="O250" s="10">
        <f ca="1">IFERROR('RPK (live)'!O250/'ASK (live)'!O250,"-")</f>
        <v>0.83999999999999986</v>
      </c>
      <c r="P250" s="10">
        <f ca="1">IFERROR('RPK (live)'!P250/'ASK (live)'!P250,"-")</f>
        <v>0.72999999999999987</v>
      </c>
      <c r="Q250" s="10">
        <f ca="1">IFERROR('RPK (live)'!Q250/'ASK (live)'!Q250,"-")</f>
        <v>0.7</v>
      </c>
      <c r="R250" s="10">
        <f ca="1">IFERROR('RPK (live)'!R250/'ASK (live)'!R250,"-")</f>
        <v>0.68000000000000016</v>
      </c>
      <c r="S250" s="10">
        <f ca="1">IFERROR('RPK (live)'!S250/'ASK (live)'!S250,"-")</f>
        <v>0.78000000000000014</v>
      </c>
      <c r="T250" s="10">
        <f ca="1">IFERROR('RPK (live)'!T250/'ASK (live)'!T250,"-")</f>
        <v>0.62395282500626637</v>
      </c>
      <c r="U250" s="10">
        <f ca="1">IFERROR('RPK (live)'!U250/'ASK (live)'!U250,"-")</f>
        <v>0.55563903919078184</v>
      </c>
      <c r="V250" s="10">
        <f ca="1">IFERROR('RPK (live)'!V250/'ASK (live)'!V250,"-")</f>
        <v>0.72126990802570357</v>
      </c>
      <c r="W250" s="10">
        <f ca="1">IFERROR('RPK (live)'!W250/'ASK (live)'!W250,"-")</f>
        <v>0.75090553190798937</v>
      </c>
      <c r="X250" s="10">
        <f ca="1">IFERROR('RPK (live)'!X250/'ASK (live)'!X250,"-")</f>
        <v>0.73716400516204972</v>
      </c>
      <c r="Y250" s="10">
        <f ca="1">IFERROR('RPK (live)'!Y250/'ASK (live)'!Y250,"-")</f>
        <v>0.88958574267756796</v>
      </c>
      <c r="Z250" s="10">
        <f ca="1">IFERROR('RPK (live)'!Z250/'ASK (live)'!Z250,"-")</f>
        <v>0.93540785195292242</v>
      </c>
      <c r="AA250" s="10">
        <f ca="1">IFERROR('RPK (live)'!AA250/'ASK (live)'!AA250,"-")</f>
        <v>0.86995151698981465</v>
      </c>
      <c r="AB250" s="10">
        <f ca="1">IFERROR('RPK (live)'!AB250/'ASK (live)'!AB250,"-")</f>
        <v>0.77534113641733893</v>
      </c>
      <c r="AC250" s="10">
        <f ca="1">IFERROR('RPK (live)'!AC250/'ASK (live)'!AC250,"-")</f>
        <v>0.72538203905255927</v>
      </c>
      <c r="AD250" s="10">
        <f ca="1">IFERROR('RPK (live)'!AD250/'ASK (live)'!AD250,"-")</f>
        <v>0.73926228856645815</v>
      </c>
      <c r="AE250" s="10">
        <f ca="1">IFERROR('RPK (live)'!AE250/'ASK (live)'!AE250,"-")</f>
        <v>0.87600384363018946</v>
      </c>
    </row>
    <row r="251" spans="1:31">
      <c r="A251" s="1" t="s">
        <v>152</v>
      </c>
      <c r="B251" s="5" t="s">
        <v>172</v>
      </c>
      <c r="C251" s="5" t="s">
        <v>159</v>
      </c>
      <c r="D251" s="5" t="s">
        <v>21</v>
      </c>
      <c r="E251" s="5" t="s">
        <v>38</v>
      </c>
      <c r="F251" s="5" t="s">
        <v>25</v>
      </c>
      <c r="G251" s="6"/>
      <c r="H251" s="6"/>
      <c r="I251" s="6"/>
      <c r="J251" s="6"/>
      <c r="K251" s="6"/>
      <c r="L251" s="10">
        <f ca="1">IFERROR('RPK (live)'!L251/'ASK (live)'!L251,"-")</f>
        <v>0.70712258520062643</v>
      </c>
      <c r="M251" s="10">
        <f ca="1">IFERROR('RPK (live)'!M251/'ASK (live)'!M251,"-")</f>
        <v>0.83451694707262192</v>
      </c>
      <c r="N251" s="10">
        <f ca="1">IFERROR('RPK (live)'!N251/'ASK (live)'!N251,"-")</f>
        <v>0.80704181881326775</v>
      </c>
      <c r="O251" s="10">
        <f ca="1">IFERROR('RPK (live)'!O251/'ASK (live)'!O251,"-")</f>
        <v>0.92947612479598274</v>
      </c>
      <c r="P251" s="10">
        <f ca="1">IFERROR('RPK (live)'!P251/'ASK (live)'!P251,"-")</f>
        <v>0.66182141809551831</v>
      </c>
      <c r="Q251" s="10">
        <f ca="1">IFERROR('RPK (live)'!Q251/'ASK (live)'!Q251,"-")</f>
        <v>0.78392711174967888</v>
      </c>
      <c r="R251" s="10">
        <f ca="1">IFERROR('RPK (live)'!R251/'ASK (live)'!R251,"-")</f>
        <v>0.75</v>
      </c>
      <c r="S251" s="10">
        <f ca="1">IFERROR('RPK (live)'!S251/'ASK (live)'!S251,"-")</f>
        <v>0.87590891197026999</v>
      </c>
      <c r="T251" s="10">
        <f ca="1">IFERROR('RPK (live)'!T251/'ASK (live)'!T251,"-")</f>
        <v>0.66766432203568227</v>
      </c>
      <c r="U251" s="10">
        <f ca="1">IFERROR('RPK (live)'!U251/'ASK (live)'!U251,"-")</f>
        <v>0.71640457134087743</v>
      </c>
      <c r="V251" s="10">
        <f ca="1">IFERROR('RPK (live)'!V251/'ASK (live)'!V251,"-")</f>
        <v>0.72761381526658397</v>
      </c>
      <c r="W251" s="10">
        <f ca="1">IFERROR('RPK (live)'!W251/'ASK (live)'!W251,"-")</f>
        <v>0.81731420599132609</v>
      </c>
      <c r="X251" s="10">
        <f ca="1">IFERROR('RPK (live)'!X251/'ASK (live)'!X251,"-")</f>
        <v>0.79225017465348835</v>
      </c>
      <c r="Y251" s="10">
        <f ca="1">IFERROR('RPK (live)'!Y251/'ASK (live)'!Y251,"-")</f>
        <v>0.87333613496133256</v>
      </c>
      <c r="Z251" s="10">
        <f ca="1">IFERROR('RPK (live)'!Z251/'ASK (live)'!Z251,"-")</f>
        <v>0.91269345217695952</v>
      </c>
      <c r="AA251" s="10">
        <f ca="1">IFERROR('RPK (live)'!AA251/'ASK (live)'!AA251,"-")</f>
        <v>0.97764387090354476</v>
      </c>
      <c r="AB251" s="10">
        <f ca="1">IFERROR('RPK (live)'!AB251/'ASK (live)'!AB251,"-")</f>
        <v>0.68988420477605406</v>
      </c>
      <c r="AC251" s="10">
        <f ca="1">IFERROR('RPK (live)'!AC251/'ASK (live)'!AC251,"-")</f>
        <v>0.7652692541861571</v>
      </c>
      <c r="AD251" s="10">
        <f ca="1">IFERROR('RPK (live)'!AD251/'ASK (live)'!AD251,"-")</f>
        <v>0.71617347057752034</v>
      </c>
      <c r="AE251" s="10">
        <f ca="1">IFERROR('RPK (live)'!AE251/'ASK (live)'!AE251,"-")</f>
        <v>0.83889065055270695</v>
      </c>
    </row>
    <row r="252" spans="1:31">
      <c r="A252" s="1" t="s">
        <v>152</v>
      </c>
      <c r="B252" s="5" t="s">
        <v>40</v>
      </c>
      <c r="C252" s="5" t="s">
        <v>37</v>
      </c>
      <c r="D252" s="5" t="s">
        <v>38</v>
      </c>
      <c r="E252" s="5" t="s">
        <v>21</v>
      </c>
      <c r="F252" s="5" t="s">
        <v>25</v>
      </c>
      <c r="G252" s="6"/>
      <c r="H252" s="6"/>
      <c r="I252" s="6"/>
      <c r="J252" s="6"/>
      <c r="K252" s="6"/>
      <c r="L252" s="10">
        <f ca="1">IFERROR('RPK (live)'!L252/'ASK (live)'!L252,"-")</f>
        <v>0.70712258520062643</v>
      </c>
      <c r="M252" s="10">
        <f ca="1">IFERROR('RPK (live)'!M252/'ASK (live)'!M252,"-")</f>
        <v>0.83451694707262192</v>
      </c>
      <c r="N252" s="10">
        <f ca="1">IFERROR('RPK (live)'!N252/'ASK (live)'!N252,"-")</f>
        <v>0.80704181881326775</v>
      </c>
      <c r="O252" s="10">
        <f ca="1">IFERROR('RPK (live)'!O252/'ASK (live)'!O252,"-")</f>
        <v>0.92947612479598274</v>
      </c>
      <c r="P252" s="10">
        <f ca="1">IFERROR('RPK (live)'!P252/'ASK (live)'!P252,"-")</f>
        <v>0.66182141809551831</v>
      </c>
      <c r="Q252" s="10">
        <f ca="1">IFERROR('RPK (live)'!Q252/'ASK (live)'!Q252,"-")</f>
        <v>0.78392711174967888</v>
      </c>
      <c r="R252" s="10">
        <f ca="1">IFERROR('RPK (live)'!R252/'ASK (live)'!R252,"-")</f>
        <v>0.75</v>
      </c>
      <c r="S252" s="10">
        <f ca="1">IFERROR('RPK (live)'!S252/'ASK (live)'!S252,"-")</f>
        <v>0.87590891197026999</v>
      </c>
      <c r="T252" s="10">
        <f ca="1">IFERROR('RPK (live)'!T252/'ASK (live)'!T252,"-")</f>
        <v>0.66766432203568227</v>
      </c>
      <c r="U252" s="10">
        <f ca="1">IFERROR('RPK (live)'!U252/'ASK (live)'!U252,"-")</f>
        <v>0.71640457134087743</v>
      </c>
      <c r="V252" s="10">
        <f ca="1">IFERROR('RPK (live)'!V252/'ASK (live)'!V252,"-")</f>
        <v>0.72761381526658397</v>
      </c>
      <c r="W252" s="10">
        <f ca="1">IFERROR('RPK (live)'!W252/'ASK (live)'!W252,"-")</f>
        <v>0.81731420599132609</v>
      </c>
      <c r="X252" s="10">
        <f ca="1">IFERROR('RPK (live)'!X252/'ASK (live)'!X252,"-")</f>
        <v>0.79225017465348835</v>
      </c>
      <c r="Y252" s="10">
        <f ca="1">IFERROR('RPK (live)'!Y252/'ASK (live)'!Y252,"-")</f>
        <v>0.87333613496133256</v>
      </c>
      <c r="Z252" s="10">
        <f ca="1">IFERROR('RPK (live)'!Z252/'ASK (live)'!Z252,"-")</f>
        <v>0.91269345217695952</v>
      </c>
      <c r="AA252" s="10">
        <f ca="1">IFERROR('RPK (live)'!AA252/'ASK (live)'!AA252,"-")</f>
        <v>0.97764387090354476</v>
      </c>
      <c r="AB252" s="10">
        <f ca="1">IFERROR('RPK (live)'!AB252/'ASK (live)'!AB252,"-")</f>
        <v>0.68988420477605406</v>
      </c>
      <c r="AC252" s="10">
        <f ca="1">IFERROR('RPK (live)'!AC252/'ASK (live)'!AC252,"-")</f>
        <v>0.7652692541861571</v>
      </c>
      <c r="AD252" s="10">
        <f ca="1">IFERROR('RPK (live)'!AD252/'ASK (live)'!AD252,"-")</f>
        <v>0.71617347057752034</v>
      </c>
      <c r="AE252" s="10">
        <f ca="1">IFERROR('RPK (live)'!AE252/'ASK (live)'!AE252,"-")</f>
        <v>0.83889065055270695</v>
      </c>
    </row>
    <row r="253" spans="1:31">
      <c r="A253" s="1" t="s">
        <v>152</v>
      </c>
      <c r="B253" s="5" t="s">
        <v>173</v>
      </c>
      <c r="C253" s="5" t="s">
        <v>168</v>
      </c>
      <c r="D253" s="5" t="s">
        <v>21</v>
      </c>
      <c r="E253" s="5" t="s">
        <v>76</v>
      </c>
      <c r="F253" s="5" t="s">
        <v>25</v>
      </c>
      <c r="G253" s="6"/>
      <c r="H253" s="6"/>
      <c r="I253" s="6"/>
      <c r="J253" s="6"/>
      <c r="K253" s="6"/>
      <c r="L253" s="10">
        <f ca="1">IFERROR('RPK (live)'!L253/'ASK (live)'!L253,"-")</f>
        <v>0.7</v>
      </c>
      <c r="M253" s="10">
        <f ca="1">IFERROR('RPK (live)'!M253/'ASK (live)'!M253,"-")</f>
        <v>0.87074318499822523</v>
      </c>
      <c r="N253" s="10">
        <f ca="1">IFERROR('RPK (live)'!N253/'ASK (live)'!N253,"-")</f>
        <v>0.85</v>
      </c>
      <c r="O253" s="10">
        <f ca="1">IFERROR('RPK (live)'!O253/'ASK (live)'!O253,"-")</f>
        <v>0.81000000000000016</v>
      </c>
      <c r="P253" s="10">
        <f ca="1">IFERROR('RPK (live)'!P253/'ASK (live)'!P253,"-")</f>
        <v>0.78000000000000014</v>
      </c>
      <c r="Q253" s="10">
        <f ca="1">IFERROR('RPK (live)'!Q253/'ASK (live)'!Q253,"-")</f>
        <v>0.65000000000000013</v>
      </c>
      <c r="R253" s="10" t="str">
        <f ca="1">IFERROR('RPK (live)'!R253/'ASK (live)'!R253,"-")</f>
        <v>-</v>
      </c>
      <c r="S253" s="10" t="str">
        <f ca="1">IFERROR('RPK (live)'!S253/'ASK (live)'!S253,"-")</f>
        <v>-</v>
      </c>
      <c r="T253" s="10" t="str">
        <f ca="1">IFERROR('RPK (live)'!T253/'ASK (live)'!T253,"-")</f>
        <v>-</v>
      </c>
      <c r="U253" s="10" t="str">
        <f ca="1">IFERROR('RPK (live)'!U253/'ASK (live)'!U253,"-")</f>
        <v>-</v>
      </c>
      <c r="V253" s="10">
        <f ca="1">IFERROR('RPK (live)'!V253/'ASK (live)'!V253,"-")</f>
        <v>0.64483633313926014</v>
      </c>
      <c r="W253" s="10">
        <f ca="1">IFERROR('RPK (live)'!W253/'ASK (live)'!W253,"-")</f>
        <v>0.62325907887432774</v>
      </c>
      <c r="X253" s="10">
        <f ca="1">IFERROR('RPK (live)'!X253/'ASK (live)'!X253,"-")</f>
        <v>0.67400921898350652</v>
      </c>
      <c r="Y253" s="10">
        <f ca="1">IFERROR('RPK (live)'!Y253/'ASK (live)'!Y253,"-")</f>
        <v>0.93057065691328322</v>
      </c>
      <c r="Z253" s="10">
        <f ca="1">IFERROR('RPK (live)'!Z253/'ASK (live)'!Z253,"-")</f>
        <v>0.92524819676250614</v>
      </c>
      <c r="AA253" s="10">
        <f ca="1">IFERROR('RPK (live)'!AA253/'ASK (live)'!AA253,"-")</f>
        <v>0.87827556885192914</v>
      </c>
      <c r="AB253" s="10">
        <f ca="1">IFERROR('RPK (live)'!AB253/'ASK (live)'!AB253,"-")</f>
        <v>0.84795402177827339</v>
      </c>
      <c r="AC253" s="10">
        <f ca="1">IFERROR('RPK (live)'!AC253/'ASK (live)'!AC253,"-")</f>
        <v>0.6361408071206518</v>
      </c>
      <c r="AD253" s="10" t="str">
        <f ca="1">IFERROR('RPK (live)'!AD253/'ASK (live)'!AD253,"-")</f>
        <v>-</v>
      </c>
      <c r="AE253" s="10" t="str">
        <f ca="1">IFERROR('RPK (live)'!AE253/'ASK (live)'!AE253,"-")</f>
        <v>-</v>
      </c>
    </row>
    <row r="254" spans="1:31">
      <c r="A254" s="1" t="s">
        <v>152</v>
      </c>
      <c r="B254" s="5" t="s">
        <v>77</v>
      </c>
      <c r="C254" s="5" t="s">
        <v>75</v>
      </c>
      <c r="D254" s="5" t="s">
        <v>76</v>
      </c>
      <c r="E254" s="5" t="s">
        <v>21</v>
      </c>
      <c r="F254" s="5" t="s">
        <v>25</v>
      </c>
      <c r="G254" s="6"/>
      <c r="H254" s="6"/>
      <c r="I254" s="6"/>
      <c r="J254" s="6"/>
      <c r="K254" s="6"/>
      <c r="L254" s="10">
        <f ca="1">IFERROR('RPK (live)'!L254/'ASK (live)'!L254,"-")</f>
        <v>0.7</v>
      </c>
      <c r="M254" s="10">
        <f ca="1">IFERROR('RPK (live)'!M254/'ASK (live)'!M254,"-")</f>
        <v>0.87074318499822523</v>
      </c>
      <c r="N254" s="10">
        <f ca="1">IFERROR('RPK (live)'!N254/'ASK (live)'!N254,"-")</f>
        <v>0.85</v>
      </c>
      <c r="O254" s="10">
        <f ca="1">IFERROR('RPK (live)'!O254/'ASK (live)'!O254,"-")</f>
        <v>0.81000000000000016</v>
      </c>
      <c r="P254" s="10">
        <f ca="1">IFERROR('RPK (live)'!P254/'ASK (live)'!P254,"-")</f>
        <v>0.78000000000000014</v>
      </c>
      <c r="Q254" s="10">
        <f ca="1">IFERROR('RPK (live)'!Q254/'ASK (live)'!Q254,"-")</f>
        <v>0.65000000000000013</v>
      </c>
      <c r="R254" s="10" t="str">
        <f ca="1">IFERROR('RPK (live)'!R254/'ASK (live)'!R254,"-")</f>
        <v>-</v>
      </c>
      <c r="S254" s="10" t="str">
        <f ca="1">IFERROR('RPK (live)'!S254/'ASK (live)'!S254,"-")</f>
        <v>-</v>
      </c>
      <c r="T254" s="10" t="str">
        <f ca="1">IFERROR('RPK (live)'!T254/'ASK (live)'!T254,"-")</f>
        <v>-</v>
      </c>
      <c r="U254" s="10" t="str">
        <f ca="1">IFERROR('RPK (live)'!U254/'ASK (live)'!U254,"-")</f>
        <v>-</v>
      </c>
      <c r="V254" s="10">
        <f ca="1">IFERROR('RPK (live)'!V254/'ASK (live)'!V254,"-")</f>
        <v>0.64483633313926014</v>
      </c>
      <c r="W254" s="10">
        <f ca="1">IFERROR('RPK (live)'!W254/'ASK (live)'!W254,"-")</f>
        <v>0.62325907887432774</v>
      </c>
      <c r="X254" s="10">
        <f ca="1">IFERROR('RPK (live)'!X254/'ASK (live)'!X254,"-")</f>
        <v>0.67400921898350652</v>
      </c>
      <c r="Y254" s="10">
        <f ca="1">IFERROR('RPK (live)'!Y254/'ASK (live)'!Y254,"-")</f>
        <v>0.93057065691328322</v>
      </c>
      <c r="Z254" s="10">
        <f ca="1">IFERROR('RPK (live)'!Z254/'ASK (live)'!Z254,"-")</f>
        <v>0.92524819676250614</v>
      </c>
      <c r="AA254" s="10">
        <f ca="1">IFERROR('RPK (live)'!AA254/'ASK (live)'!AA254,"-")</f>
        <v>0.87827556885192914</v>
      </c>
      <c r="AB254" s="10">
        <f ca="1">IFERROR('RPK (live)'!AB254/'ASK (live)'!AB254,"-")</f>
        <v>0.84795402177827339</v>
      </c>
      <c r="AC254" s="10">
        <f ca="1">IFERROR('RPK (live)'!AC254/'ASK (live)'!AC254,"-")</f>
        <v>0.6361408071206518</v>
      </c>
      <c r="AD254" s="10" t="str">
        <f ca="1">IFERROR('RPK (live)'!AD254/'ASK (live)'!AD254,"-")</f>
        <v>-</v>
      </c>
      <c r="AE254" s="10" t="str">
        <f ca="1">IFERROR('RPK (live)'!AE254/'ASK (live)'!AE254,"-")</f>
        <v>-</v>
      </c>
    </row>
    <row r="255" spans="1:31">
      <c r="A255" s="1" t="s">
        <v>152</v>
      </c>
      <c r="B255" s="5" t="s">
        <v>174</v>
      </c>
      <c r="C255" s="5" t="s">
        <v>159</v>
      </c>
      <c r="D255" s="5" t="s">
        <v>21</v>
      </c>
      <c r="E255" s="5" t="s">
        <v>38</v>
      </c>
      <c r="F255" s="5" t="s">
        <v>25</v>
      </c>
      <c r="G255" s="6"/>
      <c r="H255" s="6"/>
      <c r="I255" s="6"/>
      <c r="J255" s="6"/>
      <c r="K255" s="6"/>
      <c r="L255" s="10">
        <f ca="1">IFERROR('RPK (live)'!L255/'ASK (live)'!L255,"-")</f>
        <v>0.70712258520062643</v>
      </c>
      <c r="M255" s="10">
        <f ca="1">IFERROR('RPK (live)'!M255/'ASK (live)'!M255,"-")</f>
        <v>0.83451694707262192</v>
      </c>
      <c r="N255" s="10">
        <f ca="1">IFERROR('RPK (live)'!N255/'ASK (live)'!N255,"-")</f>
        <v>0.80704181881326775</v>
      </c>
      <c r="O255" s="10">
        <f ca="1">IFERROR('RPK (live)'!O255/'ASK (live)'!O255,"-")</f>
        <v>0.92947612479598263</v>
      </c>
      <c r="P255" s="10">
        <f ca="1">IFERROR('RPK (live)'!P255/'ASK (live)'!P255,"-")</f>
        <v>0.66182141809551831</v>
      </c>
      <c r="Q255" s="10">
        <f ca="1">IFERROR('RPK (live)'!Q255/'ASK (live)'!Q255,"-")</f>
        <v>0.78392711174967888</v>
      </c>
      <c r="R255" s="10">
        <f ca="1">IFERROR('RPK (live)'!R255/'ASK (live)'!R255,"-")</f>
        <v>0.75</v>
      </c>
      <c r="S255" s="10">
        <f ca="1">IFERROR('RPK (live)'!S255/'ASK (live)'!S255,"-")</f>
        <v>0.87590891197026999</v>
      </c>
      <c r="T255" s="10">
        <f ca="1">IFERROR('RPK (live)'!T255/'ASK (live)'!T255,"-")</f>
        <v>0.66766432203568227</v>
      </c>
      <c r="U255" s="10">
        <f ca="1">IFERROR('RPK (live)'!U255/'ASK (live)'!U255,"-")</f>
        <v>0.71640457134087743</v>
      </c>
      <c r="V255" s="10">
        <f ca="1">IFERROR('RPK (live)'!V255/'ASK (live)'!V255,"-")</f>
        <v>0.72761381526658386</v>
      </c>
      <c r="W255" s="10">
        <f ca="1">IFERROR('RPK (live)'!W255/'ASK (live)'!W255,"-")</f>
        <v>0.8173142059913262</v>
      </c>
      <c r="X255" s="10">
        <f ca="1">IFERROR('RPK (live)'!X255/'ASK (live)'!X255,"-")</f>
        <v>0.79225017465348857</v>
      </c>
      <c r="Y255" s="10">
        <f ca="1">IFERROR('RPK (live)'!Y255/'ASK (live)'!Y255,"-")</f>
        <v>0.87333613496133278</v>
      </c>
      <c r="Z255" s="10">
        <f ca="1">IFERROR('RPK (live)'!Z255/'ASK (live)'!Z255,"-")</f>
        <v>0.91269345217695963</v>
      </c>
      <c r="AA255" s="10">
        <f ca="1">IFERROR('RPK (live)'!AA255/'ASK (live)'!AA255,"-")</f>
        <v>0.97764387090354476</v>
      </c>
      <c r="AB255" s="10">
        <f ca="1">IFERROR('RPK (live)'!AB255/'ASK (live)'!AB255,"-")</f>
        <v>0.68988420477605406</v>
      </c>
      <c r="AC255" s="10">
        <f ca="1">IFERROR('RPK (live)'!AC255/'ASK (live)'!AC255,"-")</f>
        <v>0.76526925418615721</v>
      </c>
      <c r="AD255" s="10">
        <f ca="1">IFERROR('RPK (live)'!AD255/'ASK (live)'!AD255,"-")</f>
        <v>0.71617347057752023</v>
      </c>
      <c r="AE255" s="10">
        <f ca="1">IFERROR('RPK (live)'!AE255/'ASK (live)'!AE255,"-")</f>
        <v>0.83889065055270706</v>
      </c>
    </row>
    <row r="256" spans="1:31">
      <c r="A256" s="1" t="s">
        <v>152</v>
      </c>
      <c r="B256" s="5" t="s">
        <v>41</v>
      </c>
      <c r="C256" s="5" t="s">
        <v>37</v>
      </c>
      <c r="D256" s="5" t="s">
        <v>38</v>
      </c>
      <c r="E256" s="5" t="s">
        <v>21</v>
      </c>
      <c r="F256" s="5" t="s">
        <v>25</v>
      </c>
      <c r="G256" s="6"/>
      <c r="H256" s="6"/>
      <c r="I256" s="6"/>
      <c r="J256" s="6"/>
      <c r="K256" s="6"/>
      <c r="L256" s="10">
        <f ca="1">IFERROR('RPK (live)'!L256/'ASK (live)'!L256,"-")</f>
        <v>0.70712258520062643</v>
      </c>
      <c r="M256" s="10">
        <f ca="1">IFERROR('RPK (live)'!M256/'ASK (live)'!M256,"-")</f>
        <v>0.83451694707262192</v>
      </c>
      <c r="N256" s="10">
        <f ca="1">IFERROR('RPK (live)'!N256/'ASK (live)'!N256,"-")</f>
        <v>0.80704181881326775</v>
      </c>
      <c r="O256" s="10">
        <f ca="1">IFERROR('RPK (live)'!O256/'ASK (live)'!O256,"-")</f>
        <v>0.92947612479598263</v>
      </c>
      <c r="P256" s="10">
        <f ca="1">IFERROR('RPK (live)'!P256/'ASK (live)'!P256,"-")</f>
        <v>0.66182141809551831</v>
      </c>
      <c r="Q256" s="10">
        <f ca="1">IFERROR('RPK (live)'!Q256/'ASK (live)'!Q256,"-")</f>
        <v>0.78392711174967888</v>
      </c>
      <c r="R256" s="10">
        <f ca="1">IFERROR('RPK (live)'!R256/'ASK (live)'!R256,"-")</f>
        <v>0.75</v>
      </c>
      <c r="S256" s="10">
        <f ca="1">IFERROR('RPK (live)'!S256/'ASK (live)'!S256,"-")</f>
        <v>0.87590891197026999</v>
      </c>
      <c r="T256" s="10">
        <f ca="1">IFERROR('RPK (live)'!T256/'ASK (live)'!T256,"-")</f>
        <v>0.66766432203568216</v>
      </c>
      <c r="U256" s="10">
        <f ca="1">IFERROR('RPK (live)'!U256/'ASK (live)'!U256,"-")</f>
        <v>0.71640457134087732</v>
      </c>
      <c r="V256" s="10">
        <f ca="1">IFERROR('RPK (live)'!V256/'ASK (live)'!V256,"-")</f>
        <v>0.72761381526658386</v>
      </c>
      <c r="W256" s="10">
        <f ca="1">IFERROR('RPK (live)'!W256/'ASK (live)'!W256,"-")</f>
        <v>0.81731420599132631</v>
      </c>
      <c r="X256" s="10">
        <f ca="1">IFERROR('RPK (live)'!X256/'ASK (live)'!X256,"-")</f>
        <v>0.79225017465348846</v>
      </c>
      <c r="Y256" s="10">
        <f ca="1">IFERROR('RPK (live)'!Y256/'ASK (live)'!Y256,"-")</f>
        <v>0.87333613496133244</v>
      </c>
      <c r="Z256" s="10">
        <f ca="1">IFERROR('RPK (live)'!Z256/'ASK (live)'!Z256,"-")</f>
        <v>0.91269345217695985</v>
      </c>
      <c r="AA256" s="10">
        <f ca="1">IFERROR('RPK (live)'!AA256/'ASK (live)'!AA256,"-")</f>
        <v>0.97764387090354465</v>
      </c>
      <c r="AB256" s="10">
        <f ca="1">IFERROR('RPK (live)'!AB256/'ASK (live)'!AB256,"-")</f>
        <v>0.68988420477605406</v>
      </c>
      <c r="AC256" s="10">
        <f ca="1">IFERROR('RPK (live)'!AC256/'ASK (live)'!AC256,"-")</f>
        <v>0.76526925418615721</v>
      </c>
      <c r="AD256" s="10">
        <f ca="1">IFERROR('RPK (live)'!AD256/'ASK (live)'!AD256,"-")</f>
        <v>0.71617347057752034</v>
      </c>
      <c r="AE256" s="10">
        <f ca="1">IFERROR('RPK (live)'!AE256/'ASK (live)'!AE256,"-")</f>
        <v>0.83889065055270695</v>
      </c>
    </row>
    <row r="257" spans="1:31">
      <c r="A257" s="1" t="s">
        <v>152</v>
      </c>
      <c r="B257" s="5" t="s">
        <v>175</v>
      </c>
      <c r="C257" s="5" t="s">
        <v>159</v>
      </c>
      <c r="D257" s="5" t="s">
        <v>21</v>
      </c>
      <c r="E257" s="5" t="s">
        <v>38</v>
      </c>
      <c r="F257" s="5" t="s">
        <v>25</v>
      </c>
      <c r="G257" s="6"/>
      <c r="H257" s="6"/>
      <c r="I257" s="6"/>
      <c r="J257" s="6"/>
      <c r="K257" s="6"/>
      <c r="L257" s="10">
        <f ca="1">IFERROR('RPK (live)'!L257/'ASK (live)'!L257,"-")</f>
        <v>0.70712258520062643</v>
      </c>
      <c r="M257" s="10">
        <f ca="1">IFERROR('RPK (live)'!M257/'ASK (live)'!M257,"-")</f>
        <v>0.83451694707262192</v>
      </c>
      <c r="N257" s="10">
        <f ca="1">IFERROR('RPK (live)'!N257/'ASK (live)'!N257,"-")</f>
        <v>0.80704181881326775</v>
      </c>
      <c r="O257" s="10">
        <f ca="1">IFERROR('RPK (live)'!O257/'ASK (live)'!O257,"-")</f>
        <v>0.92947612479598263</v>
      </c>
      <c r="P257" s="10">
        <f ca="1">IFERROR('RPK (live)'!P257/'ASK (live)'!P257,"-")</f>
        <v>0.66182141809551831</v>
      </c>
      <c r="Q257" s="10">
        <f ca="1">IFERROR('RPK (live)'!Q257/'ASK (live)'!Q257,"-")</f>
        <v>0.78392711174967888</v>
      </c>
      <c r="R257" s="10" t="str">
        <f ca="1">IFERROR('RPK (live)'!R257/'ASK (live)'!R257,"-")</f>
        <v>-</v>
      </c>
      <c r="S257" s="10" t="str">
        <f ca="1">IFERROR('RPK (live)'!S257/'ASK (live)'!S257,"-")</f>
        <v>-</v>
      </c>
      <c r="T257" s="10" t="str">
        <f ca="1">IFERROR('RPK (live)'!T257/'ASK (live)'!T257,"-")</f>
        <v>-</v>
      </c>
      <c r="U257" s="10" t="str">
        <f ca="1">IFERROR('RPK (live)'!U257/'ASK (live)'!U257,"-")</f>
        <v>-</v>
      </c>
      <c r="V257" s="10">
        <f ca="1">IFERROR('RPK (live)'!V257/'ASK (live)'!V257,"-")</f>
        <v>0.72761381526658397</v>
      </c>
      <c r="W257" s="10">
        <f ca="1">IFERROR('RPK (live)'!W257/'ASK (live)'!W257,"-")</f>
        <v>0.81731420599132598</v>
      </c>
      <c r="X257" s="10">
        <f ca="1">IFERROR('RPK (live)'!X257/'ASK (live)'!X257,"-")</f>
        <v>0.79225017465348846</v>
      </c>
      <c r="Y257" s="10">
        <f ca="1">IFERROR('RPK (live)'!Y257/'ASK (live)'!Y257,"-")</f>
        <v>0.87333613496133267</v>
      </c>
      <c r="Z257" s="10">
        <f ca="1">IFERROR('RPK (live)'!Z257/'ASK (live)'!Z257,"-")</f>
        <v>0.91269345217695974</v>
      </c>
      <c r="AA257" s="10">
        <f ca="1">IFERROR('RPK (live)'!AA257/'ASK (live)'!AA257,"-")</f>
        <v>0.97764387090354488</v>
      </c>
      <c r="AB257" s="10">
        <f ca="1">IFERROR('RPK (live)'!AB257/'ASK (live)'!AB257,"-")</f>
        <v>0.68988420477605417</v>
      </c>
      <c r="AC257" s="10">
        <f ca="1">IFERROR('RPK (live)'!AC257/'ASK (live)'!AC257,"-")</f>
        <v>0.76526925418615721</v>
      </c>
      <c r="AD257" s="10" t="str">
        <f ca="1">IFERROR('RPK (live)'!AD257/'ASK (live)'!AD257,"-")</f>
        <v>-</v>
      </c>
      <c r="AE257" s="10" t="str">
        <f ca="1">IFERROR('RPK (live)'!AE257/'ASK (live)'!AE257,"-")</f>
        <v>-</v>
      </c>
    </row>
    <row r="258" spans="1:31">
      <c r="A258" s="1" t="s">
        <v>152</v>
      </c>
      <c r="B258" s="5" t="s">
        <v>42</v>
      </c>
      <c r="C258" s="5" t="s">
        <v>37</v>
      </c>
      <c r="D258" s="5" t="s">
        <v>38</v>
      </c>
      <c r="E258" s="5" t="s">
        <v>21</v>
      </c>
      <c r="F258" s="5" t="s">
        <v>25</v>
      </c>
      <c r="G258" s="6"/>
      <c r="H258" s="6"/>
      <c r="I258" s="6"/>
      <c r="J258" s="6"/>
      <c r="K258" s="6"/>
      <c r="L258" s="10">
        <f ca="1">IFERROR('RPK (live)'!L258/'ASK (live)'!L258,"-")</f>
        <v>0.70712258520062643</v>
      </c>
      <c r="M258" s="10">
        <f ca="1">IFERROR('RPK (live)'!M258/'ASK (live)'!M258,"-")</f>
        <v>0.83451694707262192</v>
      </c>
      <c r="N258" s="10">
        <f ca="1">IFERROR('RPK (live)'!N258/'ASK (live)'!N258,"-")</f>
        <v>0.80704181881326775</v>
      </c>
      <c r="O258" s="10">
        <f ca="1">IFERROR('RPK (live)'!O258/'ASK (live)'!O258,"-")</f>
        <v>0.92947612479598263</v>
      </c>
      <c r="P258" s="10">
        <f ca="1">IFERROR('RPK (live)'!P258/'ASK (live)'!P258,"-")</f>
        <v>0.66182141809551831</v>
      </c>
      <c r="Q258" s="10">
        <f ca="1">IFERROR('RPK (live)'!Q258/'ASK (live)'!Q258,"-")</f>
        <v>0.78392711174967888</v>
      </c>
      <c r="R258" s="10" t="str">
        <f ca="1">IFERROR('RPK (live)'!R258/'ASK (live)'!R258,"-")</f>
        <v>-</v>
      </c>
      <c r="S258" s="10" t="str">
        <f ca="1">IFERROR('RPK (live)'!S258/'ASK (live)'!S258,"-")</f>
        <v>-</v>
      </c>
      <c r="T258" s="10" t="str">
        <f ca="1">IFERROR('RPK (live)'!T258/'ASK (live)'!T258,"-")</f>
        <v>-</v>
      </c>
      <c r="U258" s="10" t="str">
        <f ca="1">IFERROR('RPK (live)'!U258/'ASK (live)'!U258,"-")</f>
        <v>-</v>
      </c>
      <c r="V258" s="10">
        <f ca="1">IFERROR('RPK (live)'!V258/'ASK (live)'!V258,"-")</f>
        <v>0.72761381526658397</v>
      </c>
      <c r="W258" s="10">
        <f ca="1">IFERROR('RPK (live)'!W258/'ASK (live)'!W258,"-")</f>
        <v>0.81731420599132598</v>
      </c>
      <c r="X258" s="10">
        <f ca="1">IFERROR('RPK (live)'!X258/'ASK (live)'!X258,"-")</f>
        <v>0.79225017465348846</v>
      </c>
      <c r="Y258" s="10">
        <f ca="1">IFERROR('RPK (live)'!Y258/'ASK (live)'!Y258,"-")</f>
        <v>0.87333613496133267</v>
      </c>
      <c r="Z258" s="10">
        <f ca="1">IFERROR('RPK (live)'!Z258/'ASK (live)'!Z258,"-")</f>
        <v>0.91269345217695974</v>
      </c>
      <c r="AA258" s="10">
        <f ca="1">IFERROR('RPK (live)'!AA258/'ASK (live)'!AA258,"-")</f>
        <v>0.97764387090354488</v>
      </c>
      <c r="AB258" s="10">
        <f ca="1">IFERROR('RPK (live)'!AB258/'ASK (live)'!AB258,"-")</f>
        <v>0.68988420477605417</v>
      </c>
      <c r="AC258" s="10">
        <f ca="1">IFERROR('RPK (live)'!AC258/'ASK (live)'!AC258,"-")</f>
        <v>0.76526925418615721</v>
      </c>
      <c r="AD258" s="10" t="str">
        <f ca="1">IFERROR('RPK (live)'!AD258/'ASK (live)'!AD258,"-")</f>
        <v>-</v>
      </c>
      <c r="AE258" s="10" t="str">
        <f ca="1">IFERROR('RPK (live)'!AE258/'ASK (live)'!AE258,"-")</f>
        <v>-</v>
      </c>
    </row>
    <row r="259" spans="1:31">
      <c r="A259" s="1" t="s">
        <v>152</v>
      </c>
      <c r="B259" s="5" t="s">
        <v>176</v>
      </c>
      <c r="C259" s="5" t="s">
        <v>177</v>
      </c>
      <c r="D259" s="5" t="s">
        <v>28</v>
      </c>
      <c r="E259" s="5" t="s">
        <v>59</v>
      </c>
      <c r="F259" s="5" t="s">
        <v>25</v>
      </c>
      <c r="G259" s="6"/>
      <c r="H259" s="6"/>
      <c r="I259" s="6"/>
      <c r="J259" s="6"/>
      <c r="K259" s="6"/>
      <c r="L259" s="10">
        <f ca="1">IFERROR('RPK (live)'!L259/'ASK (live)'!L259,"-")</f>
        <v>0.78</v>
      </c>
      <c r="M259" s="10">
        <f ca="1">IFERROR('RPK (live)'!M259/'ASK (live)'!M259,"-")</f>
        <v>0.58724540383601243</v>
      </c>
      <c r="N259" s="10">
        <f ca="1">IFERROR('RPK (live)'!N259/'ASK (live)'!N259,"-")</f>
        <v>0.7</v>
      </c>
      <c r="O259" s="10">
        <f ca="1">IFERROR('RPK (live)'!O259/'ASK (live)'!O259,"-")</f>
        <v>0.78</v>
      </c>
      <c r="P259" s="10">
        <f ca="1">IFERROR('RPK (live)'!P259/'ASK (live)'!P259,"-")</f>
        <v>0.7</v>
      </c>
      <c r="Q259" s="10">
        <f ca="1">IFERROR('RPK (live)'!Q259/'ASK (live)'!Q259,"-")</f>
        <v>0.64999999999999991</v>
      </c>
      <c r="R259" s="10">
        <f ca="1">IFERROR('RPK (live)'!R259/'ASK (live)'!R259,"-")</f>
        <v>0.87</v>
      </c>
      <c r="S259" s="10">
        <f ca="1">IFERROR('RPK (live)'!S259/'ASK (live)'!S259,"-")</f>
        <v>0.73000000000000009</v>
      </c>
      <c r="T259" s="10">
        <f ca="1">IFERROR('RPK (live)'!T259/'ASK (live)'!T259,"-")</f>
        <v>0.80784544326215491</v>
      </c>
      <c r="U259" s="10">
        <f ca="1">IFERROR('RPK (live)'!U259/'ASK (live)'!U259,"-")</f>
        <v>0.85210450528209758</v>
      </c>
      <c r="V259" s="10">
        <f ca="1">IFERROR('RPK (live)'!V259/'ASK (live)'!V259,"-")</f>
        <v>0.72696462563773623</v>
      </c>
      <c r="W259" s="10">
        <f ca="1">IFERROR('RPK (live)'!W259/'ASK (live)'!W259,"-")</f>
        <v>0.9240568615037561</v>
      </c>
      <c r="X259" s="10">
        <f ca="1">IFERROR('RPK (live)'!X259/'ASK (live)'!X259,"-")</f>
        <v>0.62329291253696362</v>
      </c>
      <c r="Y259" s="10">
        <f ca="1">IFERROR('RPK (live)'!Y259/'ASK (live)'!Y259,"-")</f>
        <v>0.75528457056072129</v>
      </c>
      <c r="Z259" s="10">
        <f ca="1">IFERROR('RPK (live)'!Z259/'ASK (live)'!Z259,"-")</f>
        <v>0.87277633133630528</v>
      </c>
      <c r="AA259" s="10">
        <f ca="1">IFERROR('RPK (live)'!AA259/'ASK (live)'!AA259,"-")</f>
        <v>0.96601165322553972</v>
      </c>
      <c r="AB259" s="10">
        <f ca="1">IFERROR('RPK (live)'!AB259/'ASK (live)'!AB259,"-")</f>
        <v>0.77706503485295797</v>
      </c>
      <c r="AC259" s="10">
        <f ca="1">IFERROR('RPK (live)'!AC259/'ASK (live)'!AC259,"-")</f>
        <v>0.82418202234191884</v>
      </c>
      <c r="AD259" s="10">
        <f ca="1">IFERROR('RPK (live)'!AD259/'ASK (live)'!AD259,"-")</f>
        <v>0.90640198017766072</v>
      </c>
      <c r="AE259" s="10">
        <f ca="1">IFERROR('RPK (live)'!AE259/'ASK (live)'!AE259,"-")</f>
        <v>0.83971807063209492</v>
      </c>
    </row>
    <row r="260" spans="1:31">
      <c r="A260" s="1" t="s">
        <v>152</v>
      </c>
      <c r="B260" s="5" t="s">
        <v>64</v>
      </c>
      <c r="C260" s="5" t="s">
        <v>65</v>
      </c>
      <c r="D260" s="5" t="s">
        <v>59</v>
      </c>
      <c r="E260" s="5" t="s">
        <v>28</v>
      </c>
      <c r="F260" s="5" t="s">
        <v>25</v>
      </c>
      <c r="G260" s="6"/>
      <c r="H260" s="6"/>
      <c r="I260" s="6"/>
      <c r="J260" s="6"/>
      <c r="K260" s="6"/>
      <c r="L260" s="10">
        <f ca="1">IFERROR('RPK (live)'!L260/'ASK (live)'!L260,"-")</f>
        <v>0.78</v>
      </c>
      <c r="M260" s="10">
        <f ca="1">IFERROR('RPK (live)'!M260/'ASK (live)'!M260,"-")</f>
        <v>0.58724540383601243</v>
      </c>
      <c r="N260" s="10">
        <f ca="1">IFERROR('RPK (live)'!N260/'ASK (live)'!N260,"-")</f>
        <v>0.7</v>
      </c>
      <c r="O260" s="10">
        <f ca="1">IFERROR('RPK (live)'!O260/'ASK (live)'!O260,"-")</f>
        <v>0.78</v>
      </c>
      <c r="P260" s="10">
        <f ca="1">IFERROR('RPK (live)'!P260/'ASK (live)'!P260,"-")</f>
        <v>0.7</v>
      </c>
      <c r="Q260" s="10">
        <f ca="1">IFERROR('RPK (live)'!Q260/'ASK (live)'!Q260,"-")</f>
        <v>0.64999999999999991</v>
      </c>
      <c r="R260" s="10">
        <f ca="1">IFERROR('RPK (live)'!R260/'ASK (live)'!R260,"-")</f>
        <v>0.87</v>
      </c>
      <c r="S260" s="10">
        <f ca="1">IFERROR('RPK (live)'!S260/'ASK (live)'!S260,"-")</f>
        <v>0.73000000000000009</v>
      </c>
      <c r="T260" s="10">
        <f ca="1">IFERROR('RPK (live)'!T260/'ASK (live)'!T260,"-")</f>
        <v>0.80784544326215491</v>
      </c>
      <c r="U260" s="10">
        <f ca="1">IFERROR('RPK (live)'!U260/'ASK (live)'!U260,"-")</f>
        <v>0.85210450528209758</v>
      </c>
      <c r="V260" s="10">
        <f ca="1">IFERROR('RPK (live)'!V260/'ASK (live)'!V260,"-")</f>
        <v>0.72696462563773623</v>
      </c>
      <c r="W260" s="10">
        <f ca="1">IFERROR('RPK (live)'!W260/'ASK (live)'!W260,"-")</f>
        <v>0.9240568615037561</v>
      </c>
      <c r="X260" s="10">
        <f ca="1">IFERROR('RPK (live)'!X260/'ASK (live)'!X260,"-")</f>
        <v>0.62329291253696362</v>
      </c>
      <c r="Y260" s="10">
        <f ca="1">IFERROR('RPK (live)'!Y260/'ASK (live)'!Y260,"-")</f>
        <v>0.7552845705607214</v>
      </c>
      <c r="Z260" s="10">
        <f ca="1">IFERROR('RPK (live)'!Z260/'ASK (live)'!Z260,"-")</f>
        <v>0.87277633133630506</v>
      </c>
      <c r="AA260" s="10">
        <f ca="1">IFERROR('RPK (live)'!AA260/'ASK (live)'!AA260,"-")</f>
        <v>0.96601165322553961</v>
      </c>
      <c r="AB260" s="10">
        <f ca="1">IFERROR('RPK (live)'!AB260/'ASK (live)'!AB260,"-")</f>
        <v>0.77706503485295808</v>
      </c>
      <c r="AC260" s="10">
        <f ca="1">IFERROR('RPK (live)'!AC260/'ASK (live)'!AC260,"-")</f>
        <v>0.82418202234191873</v>
      </c>
      <c r="AD260" s="10">
        <f ca="1">IFERROR('RPK (live)'!AD260/'ASK (live)'!AD260,"-")</f>
        <v>0.90640198017766072</v>
      </c>
      <c r="AE260" s="10">
        <f ca="1">IFERROR('RPK (live)'!AE260/'ASK (live)'!AE260,"-")</f>
        <v>0.83971807063209492</v>
      </c>
    </row>
    <row r="261" spans="1:31">
      <c r="A261" s="1" t="s">
        <v>152</v>
      </c>
      <c r="B261" s="5" t="s">
        <v>178</v>
      </c>
      <c r="C261" s="5" t="s">
        <v>177</v>
      </c>
      <c r="D261" s="5" t="s">
        <v>28</v>
      </c>
      <c r="E261" s="5" t="s">
        <v>59</v>
      </c>
      <c r="F261" s="5" t="s">
        <v>25</v>
      </c>
      <c r="G261" s="6"/>
      <c r="H261" s="6"/>
      <c r="I261" s="6"/>
      <c r="J261" s="6"/>
      <c r="K261" s="6"/>
      <c r="L261" s="10">
        <f ca="1">IFERROR('RPK (live)'!L261/'ASK (live)'!L261,"-")</f>
        <v>0.78</v>
      </c>
      <c r="M261" s="10">
        <f ca="1">IFERROR('RPK (live)'!M261/'ASK (live)'!M261,"-")</f>
        <v>0.58724540383601243</v>
      </c>
      <c r="N261" s="10">
        <f ca="1">IFERROR('RPK (live)'!N261/'ASK (live)'!N261,"-")</f>
        <v>0.7</v>
      </c>
      <c r="O261" s="10">
        <f ca="1">IFERROR('RPK (live)'!O261/'ASK (live)'!O261,"-")</f>
        <v>0.78</v>
      </c>
      <c r="P261" s="10">
        <f ca="1">IFERROR('RPK (live)'!P261/'ASK (live)'!P261,"-")</f>
        <v>0.7</v>
      </c>
      <c r="Q261" s="10">
        <f ca="1">IFERROR('RPK (live)'!Q261/'ASK (live)'!Q261,"-")</f>
        <v>0.64999999999999991</v>
      </c>
      <c r="R261" s="10" t="str">
        <f ca="1">IFERROR('RPK (live)'!R261/'ASK (live)'!R261,"-")</f>
        <v>-</v>
      </c>
      <c r="S261" s="10" t="str">
        <f ca="1">IFERROR('RPK (live)'!S261/'ASK (live)'!S261,"-")</f>
        <v>-</v>
      </c>
      <c r="T261" s="10" t="str">
        <f ca="1">IFERROR('RPK (live)'!T261/'ASK (live)'!T261,"-")</f>
        <v>-</v>
      </c>
      <c r="U261" s="10" t="str">
        <f ca="1">IFERROR('RPK (live)'!U261/'ASK (live)'!U261,"-")</f>
        <v>-</v>
      </c>
      <c r="V261" s="10" t="str">
        <f ca="1">IFERROR('RPK (live)'!V261/'ASK (live)'!V261,"-")</f>
        <v>-</v>
      </c>
      <c r="W261" s="10">
        <f ca="1">IFERROR('RPK (live)'!W261/'ASK (live)'!W261,"-")</f>
        <v>0.92405686150375621</v>
      </c>
      <c r="X261" s="10">
        <f ca="1">IFERROR('RPK (live)'!X261/'ASK (live)'!X261,"-")</f>
        <v>0.62329291253696351</v>
      </c>
      <c r="Y261" s="10">
        <f ca="1">IFERROR('RPK (live)'!Y261/'ASK (live)'!Y261,"-")</f>
        <v>0.7552845705607214</v>
      </c>
      <c r="Z261" s="10">
        <f ca="1">IFERROR('RPK (live)'!Z261/'ASK (live)'!Z261,"-")</f>
        <v>0.87277633133630517</v>
      </c>
      <c r="AA261" s="10">
        <f ca="1">IFERROR('RPK (live)'!AA261/'ASK (live)'!AA261,"-")</f>
        <v>0.96601165322553983</v>
      </c>
      <c r="AB261" s="10">
        <f ca="1">IFERROR('RPK (live)'!AB261/'ASK (live)'!AB261,"-")</f>
        <v>0.77706503485295797</v>
      </c>
      <c r="AC261" s="10">
        <f ca="1">IFERROR('RPK (live)'!AC261/'ASK (live)'!AC261,"-")</f>
        <v>0.82418202234191862</v>
      </c>
      <c r="AD261" s="10" t="str">
        <f ca="1">IFERROR('RPK (live)'!AD261/'ASK (live)'!AD261,"-")</f>
        <v>-</v>
      </c>
      <c r="AE261" s="10" t="str">
        <f ca="1">IFERROR('RPK (live)'!AE261/'ASK (live)'!AE261,"-")</f>
        <v>-</v>
      </c>
    </row>
    <row r="262" spans="1:31">
      <c r="A262" s="1" t="s">
        <v>152</v>
      </c>
      <c r="B262" s="5" t="s">
        <v>66</v>
      </c>
      <c r="C262" s="5" t="s">
        <v>65</v>
      </c>
      <c r="D262" s="5" t="s">
        <v>59</v>
      </c>
      <c r="E262" s="5" t="s">
        <v>28</v>
      </c>
      <c r="F262" s="5" t="s">
        <v>25</v>
      </c>
      <c r="G262" s="6"/>
      <c r="H262" s="6"/>
      <c r="I262" s="6"/>
      <c r="J262" s="6"/>
      <c r="K262" s="6"/>
      <c r="L262" s="10">
        <f ca="1">IFERROR('RPK (live)'!L262/'ASK (live)'!L262,"-")</f>
        <v>0.78</v>
      </c>
      <c r="M262" s="10">
        <f ca="1">IFERROR('RPK (live)'!M262/'ASK (live)'!M262,"-")</f>
        <v>0.58724540383601243</v>
      </c>
      <c r="N262" s="10">
        <f ca="1">IFERROR('RPK (live)'!N262/'ASK (live)'!N262,"-")</f>
        <v>0.7</v>
      </c>
      <c r="O262" s="10">
        <f ca="1">IFERROR('RPK (live)'!O262/'ASK (live)'!O262,"-")</f>
        <v>0.78</v>
      </c>
      <c r="P262" s="10">
        <f ca="1">IFERROR('RPK (live)'!P262/'ASK (live)'!P262,"-")</f>
        <v>0.7</v>
      </c>
      <c r="Q262" s="10">
        <f ca="1">IFERROR('RPK (live)'!Q262/'ASK (live)'!Q262,"-")</f>
        <v>0.64999999999999991</v>
      </c>
      <c r="R262" s="10" t="str">
        <f ca="1">IFERROR('RPK (live)'!R262/'ASK (live)'!R262,"-")</f>
        <v>-</v>
      </c>
      <c r="S262" s="10" t="str">
        <f ca="1">IFERROR('RPK (live)'!S262/'ASK (live)'!S262,"-")</f>
        <v>-</v>
      </c>
      <c r="T262" s="10" t="str">
        <f ca="1">IFERROR('RPK (live)'!T262/'ASK (live)'!T262,"-")</f>
        <v>-</v>
      </c>
      <c r="U262" s="10" t="str">
        <f ca="1">IFERROR('RPK (live)'!U262/'ASK (live)'!U262,"-")</f>
        <v>-</v>
      </c>
      <c r="V262" s="10" t="str">
        <f ca="1">IFERROR('RPK (live)'!V262/'ASK (live)'!V262,"-")</f>
        <v>-</v>
      </c>
      <c r="W262" s="10">
        <f ca="1">IFERROR('RPK (live)'!W262/'ASK (live)'!W262,"-")</f>
        <v>0.92405686150375621</v>
      </c>
      <c r="X262" s="10">
        <f ca="1">IFERROR('RPK (live)'!X262/'ASK (live)'!X262,"-")</f>
        <v>0.62329291253696351</v>
      </c>
      <c r="Y262" s="10">
        <f ca="1">IFERROR('RPK (live)'!Y262/'ASK (live)'!Y262,"-")</f>
        <v>0.7552845705607214</v>
      </c>
      <c r="Z262" s="10">
        <f ca="1">IFERROR('RPK (live)'!Z262/'ASK (live)'!Z262,"-")</f>
        <v>0.87277633133630517</v>
      </c>
      <c r="AA262" s="10">
        <f ca="1">IFERROR('RPK (live)'!AA262/'ASK (live)'!AA262,"-")</f>
        <v>0.96601165322553983</v>
      </c>
      <c r="AB262" s="10">
        <f ca="1">IFERROR('RPK (live)'!AB262/'ASK (live)'!AB262,"-")</f>
        <v>0.77706503485295797</v>
      </c>
      <c r="AC262" s="10">
        <f ca="1">IFERROR('RPK (live)'!AC262/'ASK (live)'!AC262,"-")</f>
        <v>0.82418202234191862</v>
      </c>
      <c r="AD262" s="10" t="str">
        <f ca="1">IFERROR('RPK (live)'!AD262/'ASK (live)'!AD262,"-")</f>
        <v>-</v>
      </c>
      <c r="AE262" s="10" t="str">
        <f ca="1">IFERROR('RPK (live)'!AE262/'ASK (live)'!AE262,"-")</f>
        <v>-</v>
      </c>
    </row>
    <row r="263" spans="1:31">
      <c r="A263" s="1" t="s">
        <v>152</v>
      </c>
      <c r="B263" s="5" t="s">
        <v>179</v>
      </c>
      <c r="C263" s="5" t="s">
        <v>180</v>
      </c>
      <c r="D263" s="5" t="s">
        <v>28</v>
      </c>
      <c r="E263" s="5" t="s">
        <v>181</v>
      </c>
      <c r="F263" s="5" t="s">
        <v>25</v>
      </c>
      <c r="G263" s="6"/>
      <c r="H263" s="6"/>
      <c r="I263" s="6"/>
      <c r="J263" s="6"/>
      <c r="K263" s="6"/>
      <c r="L263" s="10" t="str">
        <f ca="1">IFERROR('RPK (live)'!L263/'ASK (live)'!L263,"-")</f>
        <v>-</v>
      </c>
      <c r="M263" s="10" t="str">
        <f ca="1">IFERROR('RPK (live)'!M263/'ASK (live)'!M263,"-")</f>
        <v>-</v>
      </c>
      <c r="N263" s="10" t="str">
        <f ca="1">IFERROR('RPK (live)'!N263/'ASK (live)'!N263,"-")</f>
        <v>-</v>
      </c>
      <c r="O263" s="10" t="str">
        <f ca="1">IFERROR('RPK (live)'!O263/'ASK (live)'!O263,"-")</f>
        <v>-</v>
      </c>
      <c r="P263" s="10" t="str">
        <f ca="1">IFERROR('RPK (live)'!P263/'ASK (live)'!P263,"-")</f>
        <v>-</v>
      </c>
      <c r="Q263" s="10">
        <f ca="1">IFERROR('RPK (live)'!Q263/'ASK (live)'!Q263,"-")</f>
        <v>0.75000000000000011</v>
      </c>
      <c r="R263" s="10">
        <f ca="1">IFERROR('RPK (live)'!R263/'ASK (live)'!R263,"-")</f>
        <v>0.83</v>
      </c>
      <c r="S263" s="10">
        <f ca="1">IFERROR('RPK (live)'!S263/'ASK (live)'!S263,"-")</f>
        <v>0.72</v>
      </c>
      <c r="T263" s="10">
        <f ca="1">IFERROR('RPK (live)'!T263/'ASK (live)'!T263,"-")</f>
        <v>0.76937900650654434</v>
      </c>
      <c r="U263" s="10">
        <f ca="1">IFERROR('RPK (live)'!U263/'ASK (live)'!U263,"-")</f>
        <v>0.8694476310581335</v>
      </c>
      <c r="V263" s="10">
        <f ca="1">IFERROR('RPK (live)'!V263/'ASK (live)'!V263,"-")</f>
        <v>0.71600515701821932</v>
      </c>
      <c r="W263" s="10" t="str">
        <f ca="1">IFERROR('RPK (live)'!W263/'ASK (live)'!W263,"-")</f>
        <v>-</v>
      </c>
      <c r="X263" s="10" t="str">
        <f ca="1">IFERROR('RPK (live)'!X263/'ASK (live)'!X263,"-")</f>
        <v>-</v>
      </c>
      <c r="Y263" s="10" t="str">
        <f ca="1">IFERROR('RPK (live)'!Y263/'ASK (live)'!Y263,"-")</f>
        <v>-</v>
      </c>
      <c r="Z263" s="10" t="str">
        <f ca="1">IFERROR('RPK (live)'!Z263/'ASK (live)'!Z263,"-")</f>
        <v>-</v>
      </c>
      <c r="AA263" s="10" t="str">
        <f ca="1">IFERROR('RPK (live)'!AA263/'ASK (live)'!AA263,"-")</f>
        <v>-</v>
      </c>
      <c r="AB263" s="10" t="str">
        <f ca="1">IFERROR('RPK (live)'!AB263/'ASK (live)'!AB263,"-")</f>
        <v>-</v>
      </c>
      <c r="AC263" s="10">
        <f ca="1">IFERROR('RPK (live)'!AC263/'ASK (live)'!AC263,"-")</f>
        <v>0.91106578288925189</v>
      </c>
      <c r="AD263" s="10">
        <f ca="1">IFERROR('RPK (live)'!AD263/'ASK (live)'!AD263,"-")</f>
        <v>0.87760289246413814</v>
      </c>
      <c r="AE263" s="10">
        <f ca="1">IFERROR('RPK (live)'!AE263/'ASK (live)'!AE263,"-")</f>
        <v>0.87099926330939692</v>
      </c>
    </row>
    <row r="264" spans="1:31">
      <c r="A264" s="1" t="s">
        <v>152</v>
      </c>
      <c r="B264" s="5" t="s">
        <v>182</v>
      </c>
      <c r="C264" s="5" t="s">
        <v>183</v>
      </c>
      <c r="D264" s="5" t="s">
        <v>181</v>
      </c>
      <c r="E264" s="5" t="s">
        <v>28</v>
      </c>
      <c r="F264" s="5" t="s">
        <v>25</v>
      </c>
      <c r="G264" s="6"/>
      <c r="H264" s="6"/>
      <c r="I264" s="6"/>
      <c r="J264" s="6"/>
      <c r="K264" s="6"/>
      <c r="L264" s="10" t="str">
        <f ca="1">IFERROR('RPK (live)'!L264/'ASK (live)'!L264,"-")</f>
        <v>-</v>
      </c>
      <c r="M264" s="10" t="str">
        <f ca="1">IFERROR('RPK (live)'!M264/'ASK (live)'!M264,"-")</f>
        <v>-</v>
      </c>
      <c r="N264" s="10" t="str">
        <f ca="1">IFERROR('RPK (live)'!N264/'ASK (live)'!N264,"-")</f>
        <v>-</v>
      </c>
      <c r="O264" s="10" t="str">
        <f ca="1">IFERROR('RPK (live)'!O264/'ASK (live)'!O264,"-")</f>
        <v>-</v>
      </c>
      <c r="P264" s="10" t="str">
        <f ca="1">IFERROR('RPK (live)'!P264/'ASK (live)'!P264,"-")</f>
        <v>-</v>
      </c>
      <c r="Q264" s="10">
        <f ca="1">IFERROR('RPK (live)'!Q264/'ASK (live)'!Q264,"-")</f>
        <v>0.75000000000000011</v>
      </c>
      <c r="R264" s="10">
        <f ca="1">IFERROR('RPK (live)'!R264/'ASK (live)'!R264,"-")</f>
        <v>0.83</v>
      </c>
      <c r="S264" s="10">
        <f ca="1">IFERROR('RPK (live)'!S264/'ASK (live)'!S264,"-")</f>
        <v>0.72</v>
      </c>
      <c r="T264" s="10">
        <f ca="1">IFERROR('RPK (live)'!T264/'ASK (live)'!T264,"-")</f>
        <v>0.76937900650654434</v>
      </c>
      <c r="U264" s="10">
        <f ca="1">IFERROR('RPK (live)'!U264/'ASK (live)'!U264,"-")</f>
        <v>0.8694476310581335</v>
      </c>
      <c r="V264" s="10">
        <f ca="1">IFERROR('RPK (live)'!V264/'ASK (live)'!V264,"-")</f>
        <v>0.71600515701821932</v>
      </c>
      <c r="W264" s="10" t="str">
        <f ca="1">IFERROR('RPK (live)'!W264/'ASK (live)'!W264,"-")</f>
        <v>-</v>
      </c>
      <c r="X264" s="10" t="str">
        <f ca="1">IFERROR('RPK (live)'!X264/'ASK (live)'!X264,"-")</f>
        <v>-</v>
      </c>
      <c r="Y264" s="10" t="str">
        <f ca="1">IFERROR('RPK (live)'!Y264/'ASK (live)'!Y264,"-")</f>
        <v>-</v>
      </c>
      <c r="Z264" s="10" t="str">
        <f ca="1">IFERROR('RPK (live)'!Z264/'ASK (live)'!Z264,"-")</f>
        <v>-</v>
      </c>
      <c r="AA264" s="10" t="str">
        <f ca="1">IFERROR('RPK (live)'!AA264/'ASK (live)'!AA264,"-")</f>
        <v>-</v>
      </c>
      <c r="AB264" s="10" t="str">
        <f ca="1">IFERROR('RPK (live)'!AB264/'ASK (live)'!AB264,"-")</f>
        <v>-</v>
      </c>
      <c r="AC264" s="10">
        <f ca="1">IFERROR('RPK (live)'!AC264/'ASK (live)'!AC264,"-")</f>
        <v>0.91106578288925189</v>
      </c>
      <c r="AD264" s="10">
        <f ca="1">IFERROR('RPK (live)'!AD264/'ASK (live)'!AD264,"-")</f>
        <v>0.87760289246413814</v>
      </c>
      <c r="AE264" s="10">
        <f ca="1">IFERROR('RPK (live)'!AE264/'ASK (live)'!AE264,"-")</f>
        <v>0.87099926330939692</v>
      </c>
    </row>
    <row r="265" spans="1:31">
      <c r="A265" s="1" t="s">
        <v>152</v>
      </c>
      <c r="B265" s="5" t="s">
        <v>184</v>
      </c>
      <c r="C265" s="5" t="s">
        <v>185</v>
      </c>
      <c r="D265" s="5" t="s">
        <v>28</v>
      </c>
      <c r="E265" s="5" t="s">
        <v>49</v>
      </c>
      <c r="F265" s="5" t="s">
        <v>25</v>
      </c>
      <c r="G265" s="6"/>
      <c r="H265" s="6"/>
      <c r="I265" s="6"/>
      <c r="J265" s="6"/>
      <c r="K265" s="6"/>
      <c r="L265" s="10" t="str">
        <f ca="1">IFERROR('RPK (live)'!L265/'ASK (live)'!L265,"-")</f>
        <v>-</v>
      </c>
      <c r="M265" s="10">
        <f ca="1">IFERROR('RPK (live)'!M265/'ASK (live)'!M265,"-")</f>
        <v>0.64799492837077244</v>
      </c>
      <c r="N265" s="10">
        <f ca="1">IFERROR('RPK (live)'!N265/'ASK (live)'!N265,"-")</f>
        <v>0.61</v>
      </c>
      <c r="O265" s="10">
        <f ca="1">IFERROR('RPK (live)'!O265/'ASK (live)'!O265,"-")</f>
        <v>0.52</v>
      </c>
      <c r="P265" s="10">
        <f ca="1">IFERROR('RPK (live)'!P265/'ASK (live)'!P265,"-")</f>
        <v>0.80000000000000016</v>
      </c>
      <c r="Q265" s="10">
        <f ca="1">IFERROR('RPK (live)'!Q265/'ASK (live)'!Q265,"-")</f>
        <v>0.62</v>
      </c>
      <c r="R265" s="10" t="str">
        <f ca="1">IFERROR('RPK (live)'!R265/'ASK (live)'!R265,"-")</f>
        <v>-</v>
      </c>
      <c r="S265" s="10" t="str">
        <f ca="1">IFERROR('RPK (live)'!S265/'ASK (live)'!S265,"-")</f>
        <v>-</v>
      </c>
      <c r="T265" s="10" t="str">
        <f ca="1">IFERROR('RPK (live)'!T265/'ASK (live)'!T265,"-")</f>
        <v>-</v>
      </c>
      <c r="U265" s="10" t="str">
        <f ca="1">IFERROR('RPK (live)'!U265/'ASK (live)'!U265,"-")</f>
        <v>-</v>
      </c>
      <c r="V265" s="10">
        <f ca="1">IFERROR('RPK (live)'!V265/'ASK (live)'!V265,"-")</f>
        <v>0.72878837254862439</v>
      </c>
      <c r="W265" s="10">
        <f ca="1">IFERROR('RPK (live)'!W265/'ASK (live)'!W265,"-")</f>
        <v>0.80976485838736068</v>
      </c>
      <c r="X265" s="10">
        <f ca="1">IFERROR('RPK (live)'!X265/'ASK (live)'!X265,"-")</f>
        <v>0.71304230630470011</v>
      </c>
      <c r="Y265" s="10">
        <f ca="1">IFERROR('RPK (live)'!Y265/'ASK (live)'!Y265,"-")</f>
        <v>0.91899514418797035</v>
      </c>
      <c r="Z265" s="10">
        <f ca="1">IFERROR('RPK (live)'!Z265/'ASK (live)'!Z265,"-")</f>
        <v>0.76537013929961351</v>
      </c>
      <c r="AA265" s="10">
        <f ca="1">IFERROR('RPK (live)'!AA265/'ASK (live)'!AA265,"-")</f>
        <v>0.74191315086919807</v>
      </c>
      <c r="AB265" s="10">
        <f ca="1">IFERROR('RPK (live)'!AB265/'ASK (live)'!AB265,"-")</f>
        <v>0.70032476278233402</v>
      </c>
      <c r="AC265" s="10">
        <f ca="1">IFERROR('RPK (live)'!AC265/'ASK (live)'!AC265,"-")</f>
        <v>0.95059666752017136</v>
      </c>
      <c r="AD265" s="10" t="str">
        <f ca="1">IFERROR('RPK (live)'!AD265/'ASK (live)'!AD265,"-")</f>
        <v>-</v>
      </c>
      <c r="AE265" s="10" t="str">
        <f ca="1">IFERROR('RPK (live)'!AE265/'ASK (live)'!AE265,"-")</f>
        <v>-</v>
      </c>
    </row>
    <row r="266" spans="1:31">
      <c r="A266" s="1" t="s">
        <v>152</v>
      </c>
      <c r="B266" s="5" t="s">
        <v>50</v>
      </c>
      <c r="C266" s="5" t="s">
        <v>51</v>
      </c>
      <c r="D266" s="5" t="s">
        <v>49</v>
      </c>
      <c r="E266" s="5" t="s">
        <v>28</v>
      </c>
      <c r="F266" s="5" t="s">
        <v>25</v>
      </c>
      <c r="G266" s="6"/>
      <c r="H266" s="6"/>
      <c r="I266" s="6"/>
      <c r="J266" s="6"/>
      <c r="K266" s="6"/>
      <c r="L266" s="10" t="str">
        <f ca="1">IFERROR('RPK (live)'!L266/'ASK (live)'!L266,"-")</f>
        <v>-</v>
      </c>
      <c r="M266" s="10">
        <f ca="1">IFERROR('RPK (live)'!M266/'ASK (live)'!M266,"-")</f>
        <v>0.64799492837077244</v>
      </c>
      <c r="N266" s="10">
        <f ca="1">IFERROR('RPK (live)'!N266/'ASK (live)'!N266,"-")</f>
        <v>0.61</v>
      </c>
      <c r="O266" s="10">
        <f ca="1">IFERROR('RPK (live)'!O266/'ASK (live)'!O266,"-")</f>
        <v>0.52</v>
      </c>
      <c r="P266" s="10">
        <f ca="1">IFERROR('RPK (live)'!P266/'ASK (live)'!P266,"-")</f>
        <v>0.80000000000000016</v>
      </c>
      <c r="Q266" s="10">
        <f ca="1">IFERROR('RPK (live)'!Q266/'ASK (live)'!Q266,"-")</f>
        <v>0.62</v>
      </c>
      <c r="R266" s="10" t="str">
        <f ca="1">IFERROR('RPK (live)'!R266/'ASK (live)'!R266,"-")</f>
        <v>-</v>
      </c>
      <c r="S266" s="10" t="str">
        <f ca="1">IFERROR('RPK (live)'!S266/'ASK (live)'!S266,"-")</f>
        <v>-</v>
      </c>
      <c r="T266" s="10" t="str">
        <f ca="1">IFERROR('RPK (live)'!T266/'ASK (live)'!T266,"-")</f>
        <v>-</v>
      </c>
      <c r="U266" s="10" t="str">
        <f ca="1">IFERROR('RPK (live)'!U266/'ASK (live)'!U266,"-")</f>
        <v>-</v>
      </c>
      <c r="V266" s="10">
        <f ca="1">IFERROR('RPK (live)'!V266/'ASK (live)'!V266,"-")</f>
        <v>0.72878837254862439</v>
      </c>
      <c r="W266" s="10">
        <f ca="1">IFERROR('RPK (live)'!W266/'ASK (live)'!W266,"-")</f>
        <v>0.80976485838736068</v>
      </c>
      <c r="X266" s="10">
        <f ca="1">IFERROR('RPK (live)'!X266/'ASK (live)'!X266,"-")</f>
        <v>0.71304230630470011</v>
      </c>
      <c r="Y266" s="10">
        <f ca="1">IFERROR('RPK (live)'!Y266/'ASK (live)'!Y266,"-")</f>
        <v>0.91899514418797035</v>
      </c>
      <c r="Z266" s="10">
        <f ca="1">IFERROR('RPK (live)'!Z266/'ASK (live)'!Z266,"-")</f>
        <v>0.76537013929961351</v>
      </c>
      <c r="AA266" s="10">
        <f ca="1">IFERROR('RPK (live)'!AA266/'ASK (live)'!AA266,"-")</f>
        <v>0.74191315086919807</v>
      </c>
      <c r="AB266" s="10">
        <f ca="1">IFERROR('RPK (live)'!AB266/'ASK (live)'!AB266,"-")</f>
        <v>0.70032476278233402</v>
      </c>
      <c r="AC266" s="10">
        <f ca="1">IFERROR('RPK (live)'!AC266/'ASK (live)'!AC266,"-")</f>
        <v>0.95059666752017136</v>
      </c>
      <c r="AD266" s="10" t="str">
        <f ca="1">IFERROR('RPK (live)'!AD266/'ASK (live)'!AD266,"-")</f>
        <v>-</v>
      </c>
      <c r="AE266" s="10" t="str">
        <f ca="1">IFERROR('RPK (live)'!AE266/'ASK (live)'!AE266,"-")</f>
        <v>-</v>
      </c>
    </row>
    <row r="267" spans="1:31">
      <c r="A267" s="1" t="s">
        <v>152</v>
      </c>
      <c r="B267" s="5" t="s">
        <v>186</v>
      </c>
      <c r="C267" s="5" t="s">
        <v>187</v>
      </c>
      <c r="D267" s="5" t="s">
        <v>21</v>
      </c>
      <c r="E267" s="5" t="s">
        <v>59</v>
      </c>
      <c r="F267" s="5" t="s">
        <v>25</v>
      </c>
      <c r="G267" s="6"/>
      <c r="H267" s="6"/>
      <c r="I267" s="6"/>
      <c r="J267" s="6"/>
      <c r="K267" s="6"/>
      <c r="L267" s="10">
        <f ca="1">IFERROR('RPK (live)'!L267/'ASK (live)'!L267,"-")</f>
        <v>0.8600000000000001</v>
      </c>
      <c r="M267" s="10">
        <f ca="1">IFERROR('RPK (live)'!M267/'ASK (live)'!M267,"-")</f>
        <v>0.77961889819608554</v>
      </c>
      <c r="N267" s="10">
        <f ca="1">IFERROR('RPK (live)'!N267/'ASK (live)'!N267,"-")</f>
        <v>0.80000000000000016</v>
      </c>
      <c r="O267" s="10">
        <f ca="1">IFERROR('RPK (live)'!O267/'ASK (live)'!O267,"-")</f>
        <v>0.84000000000000008</v>
      </c>
      <c r="P267" s="10">
        <f ca="1">IFERROR('RPK (live)'!P267/'ASK (live)'!P267,"-")</f>
        <v>0.8</v>
      </c>
      <c r="Q267" s="10">
        <f ca="1">IFERROR('RPK (live)'!Q267/'ASK (live)'!Q267,"-")</f>
        <v>0.80000000000000016</v>
      </c>
      <c r="R267" s="10">
        <f ca="1">IFERROR('RPK (live)'!R267/'ASK (live)'!R267,"-")</f>
        <v>0.95000000000000007</v>
      </c>
      <c r="S267" s="10">
        <f ca="1">IFERROR('RPK (live)'!S267/'ASK (live)'!S267,"-")</f>
        <v>0.94000000000000006</v>
      </c>
      <c r="T267" s="10">
        <f ca="1">IFERROR('RPK (live)'!T267/'ASK (live)'!T267,"-")</f>
        <v>0.82500858328325</v>
      </c>
      <c r="U267" s="10">
        <f ca="1">IFERROR('RPK (live)'!U267/'ASK (live)'!U267,"-")</f>
        <v>0.8772493546288237</v>
      </c>
      <c r="V267" s="10">
        <f ca="1">IFERROR('RPK (live)'!V267/'ASK (live)'!V267,"-")</f>
        <v>0.77352861796495576</v>
      </c>
      <c r="W267" s="10">
        <f ca="1">IFERROR('RPK (live)'!W267/'ASK (live)'!W267,"-")</f>
        <v>0.82423952846634863</v>
      </c>
      <c r="X267" s="10">
        <f ca="1">IFERROR('RPK (live)'!X267/'ASK (live)'!X267,"-")</f>
        <v>0.96205278017796614</v>
      </c>
      <c r="Y267" s="10">
        <f ca="1">IFERROR('RPK (live)'!Y267/'ASK (live)'!Y267,"-")</f>
        <v>0.84492015043324553</v>
      </c>
      <c r="Z267" s="10">
        <f ca="1">IFERROR('RPK (live)'!Z267/'ASK (live)'!Z267,"-")</f>
        <v>0.91099983950873953</v>
      </c>
      <c r="AA267" s="10">
        <f ca="1">IFERROR('RPK (live)'!AA267/'ASK (live)'!AA267,"-")</f>
        <v>0.94259297343702741</v>
      </c>
      <c r="AB267" s="10">
        <f ca="1">IFERROR('RPK (live)'!AB267/'ASK (live)'!AB267,"-")</f>
        <v>0.82065324402083473</v>
      </c>
      <c r="AC267" s="10">
        <f ca="1">IFERROR('RPK (live)'!AC267/'ASK (live)'!AC267,"-")</f>
        <v>0.86345181211280608</v>
      </c>
      <c r="AD267" s="10">
        <f ca="1">IFERROR('RPK (live)'!AD267/'ASK (live)'!AD267,"-")</f>
        <v>0.99051911298780115</v>
      </c>
      <c r="AE267" s="10">
        <f ca="1">IFERROR('RPK (live)'!AE267/'ASK (live)'!AE267,"-")</f>
        <v>0.9086888995241732</v>
      </c>
    </row>
    <row r="268" spans="1:31">
      <c r="A268" s="1" t="s">
        <v>152</v>
      </c>
      <c r="B268" s="5" t="s">
        <v>61</v>
      </c>
      <c r="C268" s="5" t="s">
        <v>62</v>
      </c>
      <c r="D268" s="5" t="s">
        <v>59</v>
      </c>
      <c r="E268" s="5" t="s">
        <v>21</v>
      </c>
      <c r="F268" s="5" t="s">
        <v>25</v>
      </c>
      <c r="G268" s="6"/>
      <c r="H268" s="6"/>
      <c r="I268" s="6"/>
      <c r="J268" s="6"/>
      <c r="K268" s="6"/>
      <c r="L268" s="10">
        <f ca="1">IFERROR('RPK (live)'!L268/'ASK (live)'!L268,"-")</f>
        <v>0.86</v>
      </c>
      <c r="M268" s="10">
        <f ca="1">IFERROR('RPK (live)'!M268/'ASK (live)'!M268,"-")</f>
        <v>0.77961889819608543</v>
      </c>
      <c r="N268" s="10">
        <f ca="1">IFERROR('RPK (live)'!N268/'ASK (live)'!N268,"-")</f>
        <v>0.80000000000000016</v>
      </c>
      <c r="O268" s="10">
        <f ca="1">IFERROR('RPK (live)'!O268/'ASK (live)'!O268,"-")</f>
        <v>0.84000000000000008</v>
      </c>
      <c r="P268" s="10">
        <f ca="1">IFERROR('RPK (live)'!P268/'ASK (live)'!P268,"-")</f>
        <v>0.8</v>
      </c>
      <c r="Q268" s="10">
        <f ca="1">IFERROR('RPK (live)'!Q268/'ASK (live)'!Q268,"-")</f>
        <v>0.80000000000000016</v>
      </c>
      <c r="R268" s="10">
        <f ca="1">IFERROR('RPK (live)'!R268/'ASK (live)'!R268,"-")</f>
        <v>0.95</v>
      </c>
      <c r="S268" s="10">
        <f ca="1">IFERROR('RPK (live)'!S268/'ASK (live)'!S268,"-")</f>
        <v>0.94000000000000006</v>
      </c>
      <c r="T268" s="10">
        <f ca="1">IFERROR('RPK (live)'!T268/'ASK (live)'!T268,"-")</f>
        <v>0.82500858328325</v>
      </c>
      <c r="U268" s="10">
        <f ca="1">IFERROR('RPK (live)'!U268/'ASK (live)'!U268,"-")</f>
        <v>0.8772493546288237</v>
      </c>
      <c r="V268" s="10">
        <f ca="1">IFERROR('RPK (live)'!V268/'ASK (live)'!V268,"-")</f>
        <v>0.77352861796495576</v>
      </c>
      <c r="W268" s="10">
        <f ca="1">IFERROR('RPK (live)'!W268/'ASK (live)'!W268,"-")</f>
        <v>0.82423952846634851</v>
      </c>
      <c r="X268" s="10">
        <f ca="1">IFERROR('RPK (live)'!X268/'ASK (live)'!X268,"-")</f>
        <v>0.96205278017796614</v>
      </c>
      <c r="Y268" s="10">
        <f ca="1">IFERROR('RPK (live)'!Y268/'ASK (live)'!Y268,"-")</f>
        <v>0.84492015043324553</v>
      </c>
      <c r="Z268" s="10">
        <f ca="1">IFERROR('RPK (live)'!Z268/'ASK (live)'!Z268,"-")</f>
        <v>0.91099983950873964</v>
      </c>
      <c r="AA268" s="10">
        <f ca="1">IFERROR('RPK (live)'!AA268/'ASK (live)'!AA268,"-")</f>
        <v>0.9425929734370273</v>
      </c>
      <c r="AB268" s="10">
        <f ca="1">IFERROR('RPK (live)'!AB268/'ASK (live)'!AB268,"-")</f>
        <v>0.82065324402083462</v>
      </c>
      <c r="AC268" s="10">
        <f ca="1">IFERROR('RPK (live)'!AC268/'ASK (live)'!AC268,"-")</f>
        <v>0.86345181211280597</v>
      </c>
      <c r="AD268" s="10">
        <f ca="1">IFERROR('RPK (live)'!AD268/'ASK (live)'!AD268,"-")</f>
        <v>0.99051911298780115</v>
      </c>
      <c r="AE268" s="10">
        <f ca="1">IFERROR('RPK (live)'!AE268/'ASK (live)'!AE268,"-")</f>
        <v>0.9086888995241732</v>
      </c>
    </row>
    <row r="269" spans="1:31">
      <c r="A269" s="1" t="s">
        <v>152</v>
      </c>
      <c r="B269" s="5" t="s">
        <v>188</v>
      </c>
      <c r="C269" s="5" t="s">
        <v>189</v>
      </c>
      <c r="D269" s="5" t="s">
        <v>21</v>
      </c>
      <c r="E269" s="5" t="s">
        <v>20</v>
      </c>
      <c r="F269" s="5" t="s">
        <v>25</v>
      </c>
      <c r="G269" s="6"/>
      <c r="H269" s="6"/>
      <c r="I269" s="6"/>
      <c r="J269" s="6"/>
      <c r="K269" s="6"/>
      <c r="L269" s="10">
        <f ca="1">IFERROR('RPK (live)'!L269/'ASK (live)'!L269,"-")</f>
        <v>0.83599999999999997</v>
      </c>
      <c r="M269" s="10">
        <f ca="1">IFERROR('RPK (live)'!M269/'ASK (live)'!M269,"-")</f>
        <v>0.96186747180036525</v>
      </c>
      <c r="N269" s="10">
        <f ca="1">IFERROR('RPK (live)'!N269/'ASK (live)'!N269,"-")</f>
        <v>0.90000000000000013</v>
      </c>
      <c r="O269" s="10">
        <f ca="1">IFERROR('RPK (live)'!O269/'ASK (live)'!O269,"-")</f>
        <v>0.79499999999999993</v>
      </c>
      <c r="P269" s="10">
        <f ca="1">IFERROR('RPK (live)'!P269/'ASK (live)'!P269,"-")</f>
        <v>0.74</v>
      </c>
      <c r="Q269" s="10">
        <f ca="1">IFERROR('RPK (live)'!Q269/'ASK (live)'!Q269,"-")</f>
        <v>0.68</v>
      </c>
      <c r="R269" s="10">
        <f ca="1">IFERROR('RPK (live)'!R269/'ASK (live)'!R269,"-")</f>
        <v>0.64</v>
      </c>
      <c r="S269" s="10">
        <f ca="1">IFERROR('RPK (live)'!S269/'ASK (live)'!S269,"-")</f>
        <v>0.8</v>
      </c>
      <c r="T269" s="10">
        <f ca="1">IFERROR('RPK (live)'!T269/'ASK (live)'!T269,"-")</f>
        <v>0.58210797268040926</v>
      </c>
      <c r="U269" s="10">
        <f ca="1">IFERROR('RPK (live)'!U269/'ASK (live)'!U269,"-")</f>
        <v>0.43339845378787029</v>
      </c>
      <c r="V269" s="10">
        <f ca="1">IFERROR('RPK (live)'!V269/'ASK (live)'!V269,"-")</f>
        <v>0.73100307204254422</v>
      </c>
      <c r="W269" s="10">
        <f ca="1">IFERROR('RPK (live)'!W269/'ASK (live)'!W269,"-")</f>
        <v>0.71070107433676644</v>
      </c>
      <c r="X269" s="10">
        <f ca="1">IFERROR('RPK (live)'!X269/'ASK (live)'!X269,"-")</f>
        <v>0.83169545687077617</v>
      </c>
      <c r="Y269" s="10">
        <f ca="1">IFERROR('RPK (live)'!Y269/'ASK (live)'!Y269,"-")</f>
        <v>0.93098848252851474</v>
      </c>
      <c r="Z269" s="10">
        <f ca="1">IFERROR('RPK (live)'!Z269/'ASK (live)'!Z269,"-")</f>
        <v>0.88118355902029721</v>
      </c>
      <c r="AA269" s="10">
        <f ca="1">IFERROR('RPK (live)'!AA269/'ASK (live)'!AA269,"-")</f>
        <v>0.73895659851720308</v>
      </c>
      <c r="AB269" s="10">
        <f ca="1">IFERROR('RPK (live)'!AB269/'ASK (live)'!AB269,"-")</f>
        <v>0.71599719260126327</v>
      </c>
      <c r="AC269" s="10">
        <f ca="1">IFERROR('RPK (live)'!AC269/'ASK (live)'!AC269,"-")</f>
        <v>0.6473883640074396</v>
      </c>
      <c r="AD269" s="10">
        <f ca="1">IFERROR('RPK (live)'!AD269/'ASK (live)'!AD269,"-")</f>
        <v>0.68662106264851164</v>
      </c>
      <c r="AE269" s="10">
        <f ca="1">IFERROR('RPK (live)'!AE269/'ASK (live)'!AE269,"-")</f>
        <v>0.84133921434989156</v>
      </c>
    </row>
    <row r="270" spans="1:31">
      <c r="A270" s="1" t="s">
        <v>152</v>
      </c>
      <c r="B270" s="5" t="s">
        <v>18</v>
      </c>
      <c r="C270" s="5" t="s">
        <v>19</v>
      </c>
      <c r="D270" s="5" t="s">
        <v>20</v>
      </c>
      <c r="E270" s="5" t="s">
        <v>21</v>
      </c>
      <c r="F270" s="5" t="s">
        <v>25</v>
      </c>
      <c r="G270" s="6"/>
      <c r="H270" s="6"/>
      <c r="I270" s="6"/>
      <c r="J270" s="6"/>
      <c r="K270" s="6"/>
      <c r="L270" s="10">
        <f ca="1">IFERROR('RPK (live)'!L270/'ASK (live)'!L270,"-")</f>
        <v>0.83599999999999997</v>
      </c>
      <c r="M270" s="10">
        <f ca="1">IFERROR('RPK (live)'!M270/'ASK (live)'!M270,"-")</f>
        <v>0.96186747180036525</v>
      </c>
      <c r="N270" s="10">
        <f ca="1">IFERROR('RPK (live)'!N270/'ASK (live)'!N270,"-")</f>
        <v>0.90000000000000013</v>
      </c>
      <c r="O270" s="10">
        <f ca="1">IFERROR('RPK (live)'!O270/'ASK (live)'!O270,"-")</f>
        <v>0.79499999999999993</v>
      </c>
      <c r="P270" s="10">
        <f ca="1">IFERROR('RPK (live)'!P270/'ASK (live)'!P270,"-")</f>
        <v>0.74</v>
      </c>
      <c r="Q270" s="10">
        <f ca="1">IFERROR('RPK (live)'!Q270/'ASK (live)'!Q270,"-")</f>
        <v>0.68</v>
      </c>
      <c r="R270" s="10">
        <f ca="1">IFERROR('RPK (live)'!R270/'ASK (live)'!R270,"-")</f>
        <v>0.64</v>
      </c>
      <c r="S270" s="10">
        <f ca="1">IFERROR('RPK (live)'!S270/'ASK (live)'!S270,"-")</f>
        <v>0.8</v>
      </c>
      <c r="T270" s="10">
        <f ca="1">IFERROR('RPK (live)'!T270/'ASK (live)'!T270,"-")</f>
        <v>0.58210797268040926</v>
      </c>
      <c r="U270" s="10">
        <f ca="1">IFERROR('RPK (live)'!U270/'ASK (live)'!U270,"-")</f>
        <v>0.43339845378787029</v>
      </c>
      <c r="V270" s="10">
        <f ca="1">IFERROR('RPK (live)'!V270/'ASK (live)'!V270,"-")</f>
        <v>0.73100307204254422</v>
      </c>
      <c r="W270" s="10">
        <f ca="1">IFERROR('RPK (live)'!W270/'ASK (live)'!W270,"-")</f>
        <v>0.71070107433676644</v>
      </c>
      <c r="X270" s="10">
        <f ca="1">IFERROR('RPK (live)'!X270/'ASK (live)'!X270,"-")</f>
        <v>0.83169545687077617</v>
      </c>
      <c r="Y270" s="10">
        <f ca="1">IFERROR('RPK (live)'!Y270/'ASK (live)'!Y270,"-")</f>
        <v>0.93098848252851474</v>
      </c>
      <c r="Z270" s="10">
        <f ca="1">IFERROR('RPK (live)'!Z270/'ASK (live)'!Z270,"-")</f>
        <v>0.88118355902029721</v>
      </c>
      <c r="AA270" s="10">
        <f ca="1">IFERROR('RPK (live)'!AA270/'ASK (live)'!AA270,"-")</f>
        <v>0.73895659851720308</v>
      </c>
      <c r="AB270" s="10">
        <f ca="1">IFERROR('RPK (live)'!AB270/'ASK (live)'!AB270,"-")</f>
        <v>0.71599719260126327</v>
      </c>
      <c r="AC270" s="10">
        <f ca="1">IFERROR('RPK (live)'!AC270/'ASK (live)'!AC270,"-")</f>
        <v>0.6473883640074396</v>
      </c>
      <c r="AD270" s="10">
        <f ca="1">IFERROR('RPK (live)'!AD270/'ASK (live)'!AD270,"-")</f>
        <v>0.68662106264851164</v>
      </c>
      <c r="AE270" s="10">
        <f ca="1">IFERROR('RPK (live)'!AE270/'ASK (live)'!AE270,"-")</f>
        <v>0.84133921434989156</v>
      </c>
    </row>
    <row r="271" spans="1:31">
      <c r="A271" s="1" t="s">
        <v>152</v>
      </c>
      <c r="B271" s="5" t="s">
        <v>190</v>
      </c>
      <c r="C271" s="5" t="s">
        <v>191</v>
      </c>
      <c r="D271" s="5" t="s">
        <v>21</v>
      </c>
      <c r="E271" s="5" t="s">
        <v>73</v>
      </c>
      <c r="F271" s="5" t="s">
        <v>25</v>
      </c>
      <c r="G271" s="6"/>
      <c r="H271" s="6"/>
      <c r="I271" s="6"/>
      <c r="J271" s="6"/>
      <c r="K271" s="6"/>
      <c r="L271" s="10">
        <f ca="1">IFERROR('RPK (live)'!L271/'ASK (live)'!L271,"-")</f>
        <v>0.81499999999999984</v>
      </c>
      <c r="M271" s="10">
        <f ca="1">IFERROR('RPK (live)'!M271/'ASK (live)'!M271,"-")</f>
        <v>0.93149270953298546</v>
      </c>
      <c r="N271" s="10">
        <f ca="1">IFERROR('RPK (live)'!N271/'ASK (live)'!N271,"-")</f>
        <v>0.93000000000000016</v>
      </c>
      <c r="O271" s="10">
        <f ca="1">IFERROR('RPK (live)'!O271/'ASK (live)'!O271,"-")</f>
        <v>0.89000000000000012</v>
      </c>
      <c r="P271" s="10">
        <f ca="1">IFERROR('RPK (live)'!P271/'ASK (live)'!P271,"-")</f>
        <v>0.86</v>
      </c>
      <c r="Q271" s="10">
        <f ca="1">IFERROR('RPK (live)'!Q271/'ASK (live)'!Q271,"-")</f>
        <v>0.84</v>
      </c>
      <c r="R271" s="10">
        <f ca="1">IFERROR('RPK (live)'!R271/'ASK (live)'!R271,"-")</f>
        <v>0.75000000000000011</v>
      </c>
      <c r="S271" s="10">
        <f ca="1">IFERROR('RPK (live)'!S271/'ASK (live)'!S271,"-")</f>
        <v>0.8</v>
      </c>
      <c r="T271" s="10">
        <f ca="1">IFERROR('RPK (live)'!T271/'ASK (live)'!T271,"-")</f>
        <v>0.59289716439556472</v>
      </c>
      <c r="U271" s="10">
        <f ca="1">IFERROR('RPK (live)'!U271/'ASK (live)'!U271,"-")</f>
        <v>0.5192941622266386</v>
      </c>
      <c r="V271" s="10">
        <f ca="1">IFERROR('RPK (live)'!V271/'ASK (live)'!V271,"-")</f>
        <v>0.63034534667691089</v>
      </c>
      <c r="W271" s="10">
        <f ca="1">IFERROR('RPK (live)'!W271/'ASK (live)'!W271,"-")</f>
        <v>0.55749249509477639</v>
      </c>
      <c r="X271" s="10">
        <f ca="1">IFERROR('RPK (live)'!X271/'ASK (live)'!X271,"-")</f>
        <v>0.719042288597464</v>
      </c>
      <c r="Y271" s="10">
        <f ca="1">IFERROR('RPK (live)'!Y271/'ASK (live)'!Y271,"-")</f>
        <v>0.90834727564466988</v>
      </c>
      <c r="Z271" s="10">
        <f ca="1">IFERROR('RPK (live)'!Z271/'ASK (live)'!Z271,"-")</f>
        <v>0.95423489856033838</v>
      </c>
      <c r="AA271" s="10">
        <f ca="1">IFERROR('RPK (live)'!AA271/'ASK (live)'!AA271,"-")</f>
        <v>0.87248276126140822</v>
      </c>
      <c r="AB271" s="10">
        <f ca="1">IFERROR('RPK (live)'!AB271/'ASK (live)'!AB271,"-")</f>
        <v>0.91689164915937205</v>
      </c>
      <c r="AC271" s="10">
        <f ca="1">IFERROR('RPK (live)'!AC271/'ASK (live)'!AC271,"-")</f>
        <v>0.63592525330016436</v>
      </c>
      <c r="AD271" s="10">
        <f ca="1">IFERROR('RPK (live)'!AD271/'ASK (live)'!AD271,"-")</f>
        <v>0.53468303830602859</v>
      </c>
      <c r="AE271" s="10">
        <f ca="1">IFERROR('RPK (live)'!AE271/'ASK (live)'!AE271,"-")</f>
        <v>0.73549589781925229</v>
      </c>
    </row>
    <row r="272" spans="1:31">
      <c r="A272" s="1" t="s">
        <v>152</v>
      </c>
      <c r="B272" s="5" t="s">
        <v>71</v>
      </c>
      <c r="C272" s="5" t="s">
        <v>72</v>
      </c>
      <c r="D272" s="5" t="s">
        <v>73</v>
      </c>
      <c r="E272" s="5" t="s">
        <v>21</v>
      </c>
      <c r="F272" s="5" t="s">
        <v>25</v>
      </c>
      <c r="G272" s="6"/>
      <c r="H272" s="6"/>
      <c r="I272" s="6"/>
      <c r="J272" s="6"/>
      <c r="K272" s="6"/>
      <c r="L272" s="10">
        <f ca="1">IFERROR('RPK (live)'!L272/'ASK (live)'!L272,"-")</f>
        <v>0.81499999999999984</v>
      </c>
      <c r="M272" s="10">
        <f ca="1">IFERROR('RPK (live)'!M272/'ASK (live)'!M272,"-")</f>
        <v>0.93149270953298546</v>
      </c>
      <c r="N272" s="10">
        <f ca="1">IFERROR('RPK (live)'!N272/'ASK (live)'!N272,"-")</f>
        <v>0.93000000000000016</v>
      </c>
      <c r="O272" s="10">
        <f ca="1">IFERROR('RPK (live)'!O272/'ASK (live)'!O272,"-")</f>
        <v>0.89000000000000012</v>
      </c>
      <c r="P272" s="10">
        <f ca="1">IFERROR('RPK (live)'!P272/'ASK (live)'!P272,"-")</f>
        <v>0.86</v>
      </c>
      <c r="Q272" s="10">
        <f ca="1">IFERROR('RPK (live)'!Q272/'ASK (live)'!Q272,"-")</f>
        <v>0.84</v>
      </c>
      <c r="R272" s="10">
        <f ca="1">IFERROR('RPK (live)'!R272/'ASK (live)'!R272,"-")</f>
        <v>0.75000000000000011</v>
      </c>
      <c r="S272" s="10">
        <f ca="1">IFERROR('RPK (live)'!S272/'ASK (live)'!S272,"-")</f>
        <v>0.8</v>
      </c>
      <c r="T272" s="10">
        <f ca="1">IFERROR('RPK (live)'!T272/'ASK (live)'!T272,"-")</f>
        <v>0.59289716439556472</v>
      </c>
      <c r="U272" s="10">
        <f ca="1">IFERROR('RPK (live)'!U272/'ASK (live)'!U272,"-")</f>
        <v>0.5192941622266386</v>
      </c>
      <c r="V272" s="10">
        <f ca="1">IFERROR('RPK (live)'!V272/'ASK (live)'!V272,"-")</f>
        <v>0.63034534667691089</v>
      </c>
      <c r="W272" s="10">
        <f ca="1">IFERROR('RPK (live)'!W272/'ASK (live)'!W272,"-")</f>
        <v>0.55749249509477639</v>
      </c>
      <c r="X272" s="10">
        <f ca="1">IFERROR('RPK (live)'!X272/'ASK (live)'!X272,"-")</f>
        <v>0.719042288597464</v>
      </c>
      <c r="Y272" s="10">
        <f ca="1">IFERROR('RPK (live)'!Y272/'ASK (live)'!Y272,"-")</f>
        <v>0.90834727564466988</v>
      </c>
      <c r="Z272" s="10">
        <f ca="1">IFERROR('RPK (live)'!Z272/'ASK (live)'!Z272,"-")</f>
        <v>0.95423489856033838</v>
      </c>
      <c r="AA272" s="10">
        <f ca="1">IFERROR('RPK (live)'!AA272/'ASK (live)'!AA272,"-")</f>
        <v>0.87248276126140822</v>
      </c>
      <c r="AB272" s="10">
        <f ca="1">IFERROR('RPK (live)'!AB272/'ASK (live)'!AB272,"-")</f>
        <v>0.91689164915937205</v>
      </c>
      <c r="AC272" s="10">
        <f ca="1">IFERROR('RPK (live)'!AC272/'ASK (live)'!AC272,"-")</f>
        <v>0.63592525330016436</v>
      </c>
      <c r="AD272" s="10">
        <f ca="1">IFERROR('RPK (live)'!AD272/'ASK (live)'!AD272,"-")</f>
        <v>0.53468303830602859</v>
      </c>
      <c r="AE272" s="10">
        <f ca="1">IFERROR('RPK (live)'!AE272/'ASK (live)'!AE272,"-")</f>
        <v>0.73549589781925251</v>
      </c>
    </row>
    <row r="273" spans="1:31">
      <c r="A273" s="1" t="s">
        <v>152</v>
      </c>
      <c r="B273" s="5" t="s">
        <v>192</v>
      </c>
      <c r="C273" s="5" t="s">
        <v>193</v>
      </c>
      <c r="D273" s="5" t="s">
        <v>21</v>
      </c>
      <c r="E273" s="5" t="s">
        <v>194</v>
      </c>
      <c r="F273" s="5" t="s">
        <v>25</v>
      </c>
      <c r="G273" s="6"/>
      <c r="H273" s="6"/>
      <c r="I273" s="6"/>
      <c r="J273" s="6"/>
      <c r="K273" s="6"/>
      <c r="L273" s="10">
        <f ca="1">IFERROR('RPK (live)'!L273/'ASK (live)'!L273,"-")</f>
        <v>0.85</v>
      </c>
      <c r="M273" s="10">
        <f ca="1">IFERROR('RPK (live)'!M273/'ASK (live)'!M273,"-")</f>
        <v>0.93149270953298524</v>
      </c>
      <c r="N273" s="10">
        <f ca="1">IFERROR('RPK (live)'!N273/'ASK (live)'!N273,"-")</f>
        <v>0.9</v>
      </c>
      <c r="O273" s="10">
        <f ca="1">IFERROR('RPK (live)'!O273/'ASK (live)'!O273,"-")</f>
        <v>0.9</v>
      </c>
      <c r="P273" s="10">
        <f ca="1">IFERROR('RPK (live)'!P273/'ASK (live)'!P273,"-")</f>
        <v>0.90999999999999992</v>
      </c>
      <c r="Q273" s="10">
        <f ca="1">IFERROR('RPK (live)'!Q273/'ASK (live)'!Q273,"-")</f>
        <v>0.89500000000000002</v>
      </c>
      <c r="R273" s="10">
        <f ca="1">IFERROR('RPK (live)'!R273/'ASK (live)'!R273,"-")</f>
        <v>0.83999999999999986</v>
      </c>
      <c r="S273" s="10">
        <f ca="1">IFERROR('RPK (live)'!S273/'ASK (live)'!S273,"-")</f>
        <v>0.79999999999999993</v>
      </c>
      <c r="T273" s="10">
        <f ca="1">IFERROR('RPK (live)'!T273/'ASK (live)'!T273,"-")</f>
        <v>0.95716021322722344</v>
      </c>
      <c r="U273" s="10">
        <f ca="1">IFERROR('RPK (live)'!U273/'ASK (live)'!U273,"-")</f>
        <v>0.99051911298780138</v>
      </c>
      <c r="V273" s="10">
        <f ca="1">IFERROR('RPK (live)'!V273/'ASK (live)'!V273,"-")</f>
        <v>0.99051911298780171</v>
      </c>
      <c r="W273" s="10">
        <f ca="1">IFERROR('RPK (live)'!W273/'ASK (live)'!W273,"-")</f>
        <v>0.9549551184281635</v>
      </c>
      <c r="X273" s="10">
        <f ca="1">IFERROR('RPK (live)'!X273/'ASK (live)'!X273,"-")</f>
        <v>0.9905191129878016</v>
      </c>
      <c r="Y273" s="10">
        <f ca="1">IFERROR('RPK (live)'!Y273/'ASK (live)'!Y273,"-")</f>
        <v>0.99051911298780171</v>
      </c>
      <c r="Z273" s="10">
        <f ca="1">IFERROR('RPK (live)'!Z273/'ASK (live)'!Z273,"-")</f>
        <v>0.97892816223024037</v>
      </c>
      <c r="AA273" s="10">
        <f ca="1">IFERROR('RPK (live)'!AA273/'ASK (live)'!AA273,"-")</f>
        <v>0.97826446650574006</v>
      </c>
      <c r="AB273" s="10">
        <f ca="1">IFERROR('RPK (live)'!AB273/'ASK (live)'!AB273,"-")</f>
        <v>0.9905191129878016</v>
      </c>
      <c r="AC273" s="10">
        <f ca="1">IFERROR('RPK (live)'!AC273/'ASK (live)'!AC273,"-")</f>
        <v>0.99051911298780149</v>
      </c>
      <c r="AD273" s="10">
        <f ca="1">IFERROR('RPK (live)'!AD273/'ASK (live)'!AD273,"-")</f>
        <v>0.83436563187174795</v>
      </c>
      <c r="AE273" s="10">
        <f ca="1">IFERROR('RPK (live)'!AE273/'ASK (live)'!AE273,"-")</f>
        <v>0.82623521212495254</v>
      </c>
    </row>
    <row r="274" spans="1:31">
      <c r="A274" s="1" t="s">
        <v>152</v>
      </c>
      <c r="B274" s="5" t="s">
        <v>195</v>
      </c>
      <c r="C274" s="5" t="s">
        <v>196</v>
      </c>
      <c r="D274" s="5" t="s">
        <v>194</v>
      </c>
      <c r="E274" s="5" t="s">
        <v>21</v>
      </c>
      <c r="F274" s="5" t="s">
        <v>25</v>
      </c>
      <c r="G274" s="6"/>
      <c r="H274" s="6"/>
      <c r="I274" s="6"/>
      <c r="J274" s="6"/>
      <c r="K274" s="6"/>
      <c r="L274" s="10">
        <f ca="1">IFERROR('RPK (live)'!L274/'ASK (live)'!L274,"-")</f>
        <v>0.85</v>
      </c>
      <c r="M274" s="10">
        <f ca="1">IFERROR('RPK (live)'!M274/'ASK (live)'!M274,"-")</f>
        <v>0.93149270953298524</v>
      </c>
      <c r="N274" s="10">
        <f ca="1">IFERROR('RPK (live)'!N274/'ASK (live)'!N274,"-")</f>
        <v>0.9</v>
      </c>
      <c r="O274" s="10">
        <f ca="1">IFERROR('RPK (live)'!O274/'ASK (live)'!O274,"-")</f>
        <v>0.9</v>
      </c>
      <c r="P274" s="10">
        <f ca="1">IFERROR('RPK (live)'!P274/'ASK (live)'!P274,"-")</f>
        <v>0.90999999999999992</v>
      </c>
      <c r="Q274" s="10">
        <f ca="1">IFERROR('RPK (live)'!Q274/'ASK (live)'!Q274,"-")</f>
        <v>0.89500000000000013</v>
      </c>
      <c r="R274" s="10">
        <f ca="1">IFERROR('RPK (live)'!R274/'ASK (live)'!R274,"-")</f>
        <v>0.83999999999999986</v>
      </c>
      <c r="S274" s="10">
        <f ca="1">IFERROR('RPK (live)'!S274/'ASK (live)'!S274,"-")</f>
        <v>0.79999999999999993</v>
      </c>
      <c r="T274" s="10">
        <f ca="1">IFERROR('RPK (live)'!T274/'ASK (live)'!T274,"-")</f>
        <v>0.95716021322722344</v>
      </c>
      <c r="U274" s="10">
        <f ca="1">IFERROR('RPK (live)'!U274/'ASK (live)'!U274,"-")</f>
        <v>0.99051911298780138</v>
      </c>
      <c r="V274" s="10">
        <f ca="1">IFERROR('RPK (live)'!V274/'ASK (live)'!V274,"-")</f>
        <v>0.99051911298780171</v>
      </c>
      <c r="W274" s="10">
        <f ca="1">IFERROR('RPK (live)'!W274/'ASK (live)'!W274,"-")</f>
        <v>0.9549551184281635</v>
      </c>
      <c r="X274" s="10">
        <f ca="1">IFERROR('RPK (live)'!X274/'ASK (live)'!X274,"-")</f>
        <v>0.9905191129878016</v>
      </c>
      <c r="Y274" s="10">
        <f ca="1">IFERROR('RPK (live)'!Y274/'ASK (live)'!Y274,"-")</f>
        <v>0.99051911298780171</v>
      </c>
      <c r="Z274" s="10">
        <f ca="1">IFERROR('RPK (live)'!Z274/'ASK (live)'!Z274,"-")</f>
        <v>0.97892816223024037</v>
      </c>
      <c r="AA274" s="10">
        <f ca="1">IFERROR('RPK (live)'!AA274/'ASK (live)'!AA274,"-")</f>
        <v>0.97826446650574006</v>
      </c>
      <c r="AB274" s="10">
        <f ca="1">IFERROR('RPK (live)'!AB274/'ASK (live)'!AB274,"-")</f>
        <v>0.9905191129878016</v>
      </c>
      <c r="AC274" s="10">
        <f ca="1">IFERROR('RPK (live)'!AC274/'ASK (live)'!AC274,"-")</f>
        <v>0.99051911298780149</v>
      </c>
      <c r="AD274" s="10">
        <f ca="1">IFERROR('RPK (live)'!AD274/'ASK (live)'!AD274,"-")</f>
        <v>0.83436563187174795</v>
      </c>
      <c r="AE274" s="10">
        <f ca="1">IFERROR('RPK (live)'!AE274/'ASK (live)'!AE274,"-")</f>
        <v>0.82623521212495254</v>
      </c>
    </row>
    <row r="275" spans="1:31">
      <c r="A275" s="1" t="s">
        <v>152</v>
      </c>
      <c r="B275" s="5" t="s">
        <v>197</v>
      </c>
      <c r="C275" s="5" t="s">
        <v>198</v>
      </c>
      <c r="D275" s="5" t="s">
        <v>28</v>
      </c>
      <c r="E275" s="5" t="s">
        <v>20</v>
      </c>
      <c r="F275" s="5" t="s">
        <v>25</v>
      </c>
      <c r="G275" s="6"/>
      <c r="H275" s="6"/>
      <c r="I275" s="6"/>
      <c r="J275" s="6"/>
      <c r="K275" s="6"/>
      <c r="L275" s="10">
        <f ca="1">IFERROR('RPK (live)'!L275/'ASK (live)'!L275,"-")</f>
        <v>0.83999999999999986</v>
      </c>
      <c r="M275" s="10">
        <f ca="1">IFERROR('RPK (live)'!M275/'ASK (live)'!M275,"-")</f>
        <v>0.84036842273084544</v>
      </c>
      <c r="N275" s="10">
        <f ca="1">IFERROR('RPK (live)'!N275/'ASK (live)'!N275,"-")</f>
        <v>0.8</v>
      </c>
      <c r="O275" s="10">
        <f ca="1">IFERROR('RPK (live)'!O275/'ASK (live)'!O275,"-")</f>
        <v>0.76</v>
      </c>
      <c r="P275" s="10">
        <f ca="1">IFERROR('RPK (live)'!P275/'ASK (live)'!P275,"-")</f>
        <v>0.75</v>
      </c>
      <c r="Q275" s="10">
        <f ca="1">IFERROR('RPK (live)'!Q275/'ASK (live)'!Q275,"-")</f>
        <v>0.73</v>
      </c>
      <c r="R275" s="10">
        <f ca="1">IFERROR('RPK (live)'!R275/'ASK (live)'!R275,"-")</f>
        <v>0.747</v>
      </c>
      <c r="S275" s="10">
        <f ca="1">IFERROR('RPK (live)'!S275/'ASK (live)'!S275,"-")</f>
        <v>0.73299999999999987</v>
      </c>
      <c r="T275" s="10">
        <f ca="1">IFERROR('RPK (live)'!T275/'ASK (live)'!T275,"-")</f>
        <v>0.67760585158430753</v>
      </c>
      <c r="U275" s="10">
        <f ca="1">IFERROR('RPK (live)'!U275/'ASK (live)'!U275,"-")</f>
        <v>0.585826111879858</v>
      </c>
      <c r="V275" s="10">
        <f ca="1">IFERROR('RPK (live)'!V275/'ASK (live)'!V275,"-")</f>
        <v>0.76540377999935971</v>
      </c>
      <c r="W275" s="10">
        <f ca="1">IFERROR('RPK (live)'!W275/'ASK (live)'!W275,"-")</f>
        <v>0.99051911298780126</v>
      </c>
      <c r="X275" s="10">
        <f ca="1">IFERROR('RPK (live)'!X275/'ASK (live)'!X275,"-")</f>
        <v>0.91213036089413668</v>
      </c>
      <c r="Y275" s="10">
        <f ca="1">IFERROR('RPK (live)'!Y275/'ASK (live)'!Y275,"-")</f>
        <v>0.9560364816668846</v>
      </c>
      <c r="Z275" s="10">
        <f ca="1">IFERROR('RPK (live)'!Z275/'ASK (live)'!Z275,"-")</f>
        <v>0.95964926394245009</v>
      </c>
      <c r="AA275" s="10">
        <f ca="1">IFERROR('RPK (live)'!AA275/'ASK (live)'!AA275,"-")</f>
        <v>0.89818381104156508</v>
      </c>
      <c r="AB275" s="10">
        <f ca="1">IFERROR('RPK (live)'!AB275/'ASK (live)'!AB275,"-")</f>
        <v>0.88866460577790141</v>
      </c>
      <c r="AC275" s="10">
        <f ca="1">IFERROR('RPK (live)'!AC275/'ASK (live)'!AC275,"-")</f>
        <v>0.87633652369918635</v>
      </c>
      <c r="AD275" s="10">
        <f ca="1">IFERROR('RPK (live)'!AD275/'ASK (live)'!AD275,"-")</f>
        <v>0.83059927933934075</v>
      </c>
      <c r="AE275" s="10">
        <f ca="1">IFERROR('RPK (live)'!AE275/'ASK (live)'!AE275,"-")</f>
        <v>0.84102430808916617</v>
      </c>
    </row>
    <row r="276" spans="1:31">
      <c r="A276" s="1" t="s">
        <v>152</v>
      </c>
      <c r="B276" s="5" t="s">
        <v>26</v>
      </c>
      <c r="C276" s="5" t="s">
        <v>27</v>
      </c>
      <c r="D276" s="5" t="s">
        <v>20</v>
      </c>
      <c r="E276" s="5" t="s">
        <v>28</v>
      </c>
      <c r="F276" s="5" t="s">
        <v>25</v>
      </c>
      <c r="G276" s="6"/>
      <c r="H276" s="6"/>
      <c r="I276" s="6"/>
      <c r="J276" s="6"/>
      <c r="K276" s="6"/>
      <c r="L276" s="10">
        <f ca="1">IFERROR('RPK (live)'!L276/'ASK (live)'!L276,"-")</f>
        <v>0.83999999999999986</v>
      </c>
      <c r="M276" s="10">
        <f ca="1">IFERROR('RPK (live)'!M276/'ASK (live)'!M276,"-")</f>
        <v>0.84036842273084544</v>
      </c>
      <c r="N276" s="10">
        <f ca="1">IFERROR('RPK (live)'!N276/'ASK (live)'!N276,"-")</f>
        <v>0.8</v>
      </c>
      <c r="O276" s="10">
        <f ca="1">IFERROR('RPK (live)'!O276/'ASK (live)'!O276,"-")</f>
        <v>0.76</v>
      </c>
      <c r="P276" s="10">
        <f ca="1">IFERROR('RPK (live)'!P276/'ASK (live)'!P276,"-")</f>
        <v>0.75</v>
      </c>
      <c r="Q276" s="10">
        <f ca="1">IFERROR('RPK (live)'!Q276/'ASK (live)'!Q276,"-")</f>
        <v>0.73</v>
      </c>
      <c r="R276" s="10">
        <f ca="1">IFERROR('RPK (live)'!R276/'ASK (live)'!R276,"-")</f>
        <v>0.747</v>
      </c>
      <c r="S276" s="10">
        <f ca="1">IFERROR('RPK (live)'!S276/'ASK (live)'!S276,"-")</f>
        <v>0.73299999999999987</v>
      </c>
      <c r="T276" s="10">
        <f ca="1">IFERROR('RPK (live)'!T276/'ASK (live)'!T276,"-")</f>
        <v>0.67760585158430753</v>
      </c>
      <c r="U276" s="10">
        <f ca="1">IFERROR('RPK (live)'!U276/'ASK (live)'!U276,"-")</f>
        <v>0.585826111879858</v>
      </c>
      <c r="V276" s="10">
        <f ca="1">IFERROR('RPK (live)'!V276/'ASK (live)'!V276,"-")</f>
        <v>0.76540377999935971</v>
      </c>
      <c r="W276" s="10">
        <f ca="1">IFERROR('RPK (live)'!W276/'ASK (live)'!W276,"-")</f>
        <v>0.99051911298780126</v>
      </c>
      <c r="X276" s="10">
        <f ca="1">IFERROR('RPK (live)'!X276/'ASK (live)'!X276,"-")</f>
        <v>0.91213036089413668</v>
      </c>
      <c r="Y276" s="10">
        <f ca="1">IFERROR('RPK (live)'!Y276/'ASK (live)'!Y276,"-")</f>
        <v>0.9560364816668846</v>
      </c>
      <c r="Z276" s="10">
        <f ca="1">IFERROR('RPK (live)'!Z276/'ASK (live)'!Z276,"-")</f>
        <v>0.95964926394245009</v>
      </c>
      <c r="AA276" s="10">
        <f ca="1">IFERROR('RPK (live)'!AA276/'ASK (live)'!AA276,"-")</f>
        <v>0.89818381104156508</v>
      </c>
      <c r="AB276" s="10">
        <f ca="1">IFERROR('RPK (live)'!AB276/'ASK (live)'!AB276,"-")</f>
        <v>0.88866460577790141</v>
      </c>
      <c r="AC276" s="10">
        <f ca="1">IFERROR('RPK (live)'!AC276/'ASK (live)'!AC276,"-")</f>
        <v>0.87633652369918635</v>
      </c>
      <c r="AD276" s="10">
        <f ca="1">IFERROR('RPK (live)'!AD276/'ASK (live)'!AD276,"-")</f>
        <v>0.83059927933934075</v>
      </c>
      <c r="AE276" s="10">
        <f ca="1">IFERROR('RPK (live)'!AE276/'ASK (live)'!AE276,"-")</f>
        <v>0.84102430808916617</v>
      </c>
    </row>
    <row r="277" spans="1:31">
      <c r="A277" s="1" t="s">
        <v>152</v>
      </c>
      <c r="B277" s="5" t="s">
        <v>199</v>
      </c>
      <c r="C277" s="5" t="s">
        <v>189</v>
      </c>
      <c r="D277" s="5" t="s">
        <v>21</v>
      </c>
      <c r="E277" s="5" t="s">
        <v>20</v>
      </c>
      <c r="F277" s="5" t="s">
        <v>25</v>
      </c>
      <c r="G277" s="6"/>
      <c r="H277" s="6"/>
      <c r="I277" s="6"/>
      <c r="J277" s="6"/>
      <c r="K277" s="6"/>
      <c r="L277" s="10" t="str">
        <f ca="1">IFERROR('RPK (live)'!L277/'ASK (live)'!L277,"-")</f>
        <v>-</v>
      </c>
      <c r="M277" s="10" t="str">
        <f ca="1">IFERROR('RPK (live)'!M277/'ASK (live)'!M277,"-")</f>
        <v>-</v>
      </c>
      <c r="N277" s="10" t="str">
        <f ca="1">IFERROR('RPK (live)'!N277/'ASK (live)'!N277,"-")</f>
        <v>-</v>
      </c>
      <c r="O277" s="10">
        <f ca="1">IFERROR('RPK (live)'!O277/'ASK (live)'!O277,"-")</f>
        <v>0.79499999999999993</v>
      </c>
      <c r="P277" s="10" t="str">
        <f ca="1">IFERROR('RPK (live)'!P277/'ASK (live)'!P277,"-")</f>
        <v>-</v>
      </c>
      <c r="Q277" s="10" t="str">
        <f ca="1">IFERROR('RPK (live)'!Q277/'ASK (live)'!Q277,"-")</f>
        <v>-</v>
      </c>
      <c r="R277" s="10" t="str">
        <f ca="1">IFERROR('RPK (live)'!R277/'ASK (live)'!R277,"-")</f>
        <v>-</v>
      </c>
      <c r="S277" s="10" t="str">
        <f ca="1">IFERROR('RPK (live)'!S277/'ASK (live)'!S277,"-")</f>
        <v>-</v>
      </c>
      <c r="T277" s="10" t="str">
        <f ca="1">IFERROR('RPK (live)'!T277/'ASK (live)'!T277,"-")</f>
        <v>-</v>
      </c>
      <c r="U277" s="10" t="str">
        <f ca="1">IFERROR('RPK (live)'!U277/'ASK (live)'!U277,"-")</f>
        <v>-</v>
      </c>
      <c r="V277" s="10">
        <f ca="1">IFERROR('RPK (live)'!V277/'ASK (live)'!V277,"-")</f>
        <v>0.73100307204254411</v>
      </c>
      <c r="W277" s="10">
        <f ca="1">IFERROR('RPK (live)'!W277/'ASK (live)'!W277,"-")</f>
        <v>0.71070107433676644</v>
      </c>
      <c r="X277" s="10">
        <f ca="1">IFERROR('RPK (live)'!X277/'ASK (live)'!X277,"-")</f>
        <v>0.83169545687077617</v>
      </c>
      <c r="Y277" s="10">
        <f ca="1">IFERROR('RPK (live)'!Y277/'ASK (live)'!Y277,"-")</f>
        <v>0.93098848252851474</v>
      </c>
      <c r="Z277" s="10">
        <f ca="1">IFERROR('RPK (live)'!Z277/'ASK (live)'!Z277,"-")</f>
        <v>0.88118355902029721</v>
      </c>
      <c r="AA277" s="10">
        <f ca="1">IFERROR('RPK (live)'!AA277/'ASK (live)'!AA277,"-")</f>
        <v>0.73895659851720308</v>
      </c>
      <c r="AB277" s="10">
        <f ca="1">IFERROR('RPK (live)'!AB277/'ASK (live)'!AB277,"-")</f>
        <v>0.71599719260126327</v>
      </c>
      <c r="AC277" s="10">
        <f ca="1">IFERROR('RPK (live)'!AC277/'ASK (live)'!AC277,"-")</f>
        <v>0.6473883640074396</v>
      </c>
      <c r="AD277" s="10" t="str">
        <f ca="1">IFERROR('RPK (live)'!AD277/'ASK (live)'!AD277,"-")</f>
        <v>-</v>
      </c>
      <c r="AE277" s="10" t="str">
        <f ca="1">IFERROR('RPK (live)'!AE277/'ASK (live)'!AE277,"-")</f>
        <v>-</v>
      </c>
    </row>
    <row r="278" spans="1:31">
      <c r="A278" s="1" t="s">
        <v>152</v>
      </c>
      <c r="B278" s="5" t="s">
        <v>23</v>
      </c>
      <c r="C278" s="5" t="s">
        <v>19</v>
      </c>
      <c r="D278" s="5" t="s">
        <v>20</v>
      </c>
      <c r="E278" s="5" t="s">
        <v>21</v>
      </c>
      <c r="F278" s="5" t="s">
        <v>25</v>
      </c>
      <c r="G278" s="6"/>
      <c r="H278" s="6"/>
      <c r="I278" s="6"/>
      <c r="J278" s="6"/>
      <c r="K278" s="6"/>
      <c r="L278" s="10" t="str">
        <f ca="1">IFERROR('RPK (live)'!L278/'ASK (live)'!L278,"-")</f>
        <v>-</v>
      </c>
      <c r="M278" s="10" t="str">
        <f ca="1">IFERROR('RPK (live)'!M278/'ASK (live)'!M278,"-")</f>
        <v>-</v>
      </c>
      <c r="N278" s="10" t="str">
        <f ca="1">IFERROR('RPK (live)'!N278/'ASK (live)'!N278,"-")</f>
        <v>-</v>
      </c>
      <c r="O278" s="10" t="str">
        <f ca="1">IFERROR('RPK (live)'!O278/'ASK (live)'!O278,"-")</f>
        <v>-</v>
      </c>
      <c r="P278" s="10" t="str">
        <f ca="1">IFERROR('RPK (live)'!P278/'ASK (live)'!P278,"-")</f>
        <v>-</v>
      </c>
      <c r="Q278" s="10" t="str">
        <f ca="1">IFERROR('RPK (live)'!Q278/'ASK (live)'!Q278,"-")</f>
        <v>-</v>
      </c>
      <c r="R278" s="10" t="str">
        <f ca="1">IFERROR('RPK (live)'!R278/'ASK (live)'!R278,"-")</f>
        <v>-</v>
      </c>
      <c r="S278" s="10" t="str">
        <f ca="1">IFERROR('RPK (live)'!S278/'ASK (live)'!S278,"-")</f>
        <v>-</v>
      </c>
      <c r="T278" s="10" t="str">
        <f ca="1">IFERROR('RPK (live)'!T278/'ASK (live)'!T278,"-")</f>
        <v>-</v>
      </c>
      <c r="U278" s="10" t="str">
        <f ca="1">IFERROR('RPK (live)'!U278/'ASK (live)'!U278,"-")</f>
        <v>-</v>
      </c>
      <c r="V278" s="10">
        <f ca="1">IFERROR('RPK (live)'!V278/'ASK (live)'!V278,"-")</f>
        <v>0.73100307204254411</v>
      </c>
      <c r="W278" s="10">
        <f ca="1">IFERROR('RPK (live)'!W278/'ASK (live)'!W278,"-")</f>
        <v>0.71070107433676644</v>
      </c>
      <c r="X278" s="10">
        <f ca="1">IFERROR('RPK (live)'!X278/'ASK (live)'!X278,"-")</f>
        <v>0.83169545687077617</v>
      </c>
      <c r="Y278" s="10">
        <f ca="1">IFERROR('RPK (live)'!Y278/'ASK (live)'!Y278,"-")</f>
        <v>0.93098848252851474</v>
      </c>
      <c r="Z278" s="10">
        <f ca="1">IFERROR('RPK (live)'!Z278/'ASK (live)'!Z278,"-")</f>
        <v>0.88118355902029721</v>
      </c>
      <c r="AA278" s="10">
        <f ca="1">IFERROR('RPK (live)'!AA278/'ASK (live)'!AA278,"-")</f>
        <v>0.73895659851720308</v>
      </c>
      <c r="AB278" s="10">
        <f ca="1">IFERROR('RPK (live)'!AB278/'ASK (live)'!AB278,"-")</f>
        <v>0.71599719260126327</v>
      </c>
      <c r="AC278" s="10">
        <f ca="1">IFERROR('RPK (live)'!AC278/'ASK (live)'!AC278,"-")</f>
        <v>0.6473883640074396</v>
      </c>
      <c r="AD278" s="10" t="str">
        <f ca="1">IFERROR('RPK (live)'!AD278/'ASK (live)'!AD278,"-")</f>
        <v>-</v>
      </c>
      <c r="AE278" s="10" t="str">
        <f ca="1">IFERROR('RPK (live)'!AE278/'ASK (live)'!AE278,"-")</f>
        <v>-</v>
      </c>
    </row>
    <row r="279" spans="1:31">
      <c r="A279" s="1" t="s">
        <v>152</v>
      </c>
      <c r="B279" s="5" t="s">
        <v>200</v>
      </c>
      <c r="C279" s="5" t="s">
        <v>161</v>
      </c>
      <c r="D279" s="5" t="s">
        <v>21</v>
      </c>
      <c r="E279" s="5" t="s">
        <v>69</v>
      </c>
      <c r="F279" s="5" t="s">
        <v>25</v>
      </c>
      <c r="G279" s="6"/>
      <c r="H279" s="6"/>
      <c r="I279" s="6"/>
      <c r="J279" s="6"/>
      <c r="K279" s="6"/>
      <c r="L279" s="10">
        <f ca="1">IFERROR('RPK (live)'!L279/'ASK (live)'!L279,"-")</f>
        <v>0.72</v>
      </c>
      <c r="M279" s="10">
        <f ca="1">IFERROR('RPK (live)'!M279/'ASK (live)'!M279,"-")</f>
        <v>0.79986873970767214</v>
      </c>
      <c r="N279" s="10">
        <f ca="1">IFERROR('RPK (live)'!N279/'ASK (live)'!N279,"-")</f>
        <v>0.82</v>
      </c>
      <c r="O279" s="10">
        <f ca="1">IFERROR('RPK (live)'!O279/'ASK (live)'!O279,"-")</f>
        <v>0.81</v>
      </c>
      <c r="P279" s="10">
        <f ca="1">IFERROR('RPK (live)'!P279/'ASK (live)'!P279,"-")</f>
        <v>0.59</v>
      </c>
      <c r="Q279" s="10">
        <f ca="1">IFERROR('RPK (live)'!Q279/'ASK (live)'!Q279,"-")</f>
        <v>0.69</v>
      </c>
      <c r="R279" s="10">
        <f ca="1">IFERROR('RPK (live)'!R279/'ASK (live)'!R279,"-")</f>
        <v>0.72999999999999987</v>
      </c>
      <c r="S279" s="10">
        <f ca="1">IFERROR('RPK (live)'!S279/'ASK (live)'!S279,"-")</f>
        <v>0.79999999999999993</v>
      </c>
      <c r="T279" s="10">
        <f ca="1">IFERROR('RPK (live)'!T279/'ASK (live)'!T279,"-")</f>
        <v>0.74607613153227514</v>
      </c>
      <c r="U279" s="10">
        <f ca="1">IFERROR('RPK (live)'!U279/'ASK (live)'!U279,"-")</f>
        <v>0.72866876169187433</v>
      </c>
      <c r="V279" s="10">
        <f ca="1">IFERROR('RPK (live)'!V279/'ASK (live)'!V279,"-")</f>
        <v>0.81065965871105505</v>
      </c>
      <c r="W279" s="10">
        <f ca="1">IFERROR('RPK (live)'!W279/'ASK (live)'!W279,"-")</f>
        <v>0.80600301054177348</v>
      </c>
      <c r="X279" s="10">
        <f ca="1">IFERROR('RPK (live)'!X279/'ASK (live)'!X279,"-")</f>
        <v>0.82816574547606026</v>
      </c>
      <c r="Y279" s="10">
        <f ca="1">IFERROR('RPK (live)'!Y279/'ASK (live)'!Y279,"-")</f>
        <v>0.86882004447993388</v>
      </c>
      <c r="Z279" s="10">
        <f ca="1">IFERROR('RPK (live)'!Z279/'ASK (live)'!Z279,"-")</f>
        <v>0.87102023191158251</v>
      </c>
      <c r="AA279" s="10">
        <f ca="1">IFERROR('RPK (live)'!AA279/'ASK (live)'!AA279,"-")</f>
        <v>0.8446771443770319</v>
      </c>
      <c r="AB279" s="10">
        <f ca="1">IFERROR('RPK (live)'!AB279/'ASK (live)'!AB279,"-")</f>
        <v>0.59568421134826799</v>
      </c>
      <c r="AC279" s="10">
        <f ca="1">IFERROR('RPK (live)'!AC279/'ASK (live)'!AC279,"-")</f>
        <v>0.7322954383715139</v>
      </c>
      <c r="AD279" s="10">
        <f ca="1">IFERROR('RPK (live)'!AD279/'ASK (live)'!AD279,"-")</f>
        <v>0.71832927447848982</v>
      </c>
      <c r="AE279" s="10">
        <f ca="1">IFERROR('RPK (live)'!AE279/'ASK (live)'!AE279,"-")</f>
        <v>0.73784226501522321</v>
      </c>
    </row>
    <row r="280" spans="1:31">
      <c r="A280" s="1" t="s">
        <v>152</v>
      </c>
      <c r="B280" s="5" t="s">
        <v>70</v>
      </c>
      <c r="C280" s="5" t="s">
        <v>68</v>
      </c>
      <c r="D280" s="5" t="s">
        <v>69</v>
      </c>
      <c r="E280" s="5" t="s">
        <v>21</v>
      </c>
      <c r="F280" s="5" t="s">
        <v>25</v>
      </c>
      <c r="G280" s="6"/>
      <c r="H280" s="6"/>
      <c r="I280" s="6"/>
      <c r="J280" s="6"/>
      <c r="K280" s="6"/>
      <c r="L280" s="10">
        <f ca="1">IFERROR('RPK (live)'!L280/'ASK (live)'!L280,"-")</f>
        <v>0.72</v>
      </c>
      <c r="M280" s="10">
        <f ca="1">IFERROR('RPK (live)'!M280/'ASK (live)'!M280,"-")</f>
        <v>0.79986873970767214</v>
      </c>
      <c r="N280" s="10">
        <f ca="1">IFERROR('RPK (live)'!N280/'ASK (live)'!N280,"-")</f>
        <v>0.82</v>
      </c>
      <c r="O280" s="10">
        <f ca="1">IFERROR('RPK (live)'!O280/'ASK (live)'!O280,"-")</f>
        <v>0.81</v>
      </c>
      <c r="P280" s="10">
        <f ca="1">IFERROR('RPK (live)'!P280/'ASK (live)'!P280,"-")</f>
        <v>0.59</v>
      </c>
      <c r="Q280" s="10">
        <f ca="1">IFERROR('RPK (live)'!Q280/'ASK (live)'!Q280,"-")</f>
        <v>0.69</v>
      </c>
      <c r="R280" s="10">
        <f ca="1">IFERROR('RPK (live)'!R280/'ASK (live)'!R280,"-")</f>
        <v>0.72999999999999987</v>
      </c>
      <c r="S280" s="10">
        <f ca="1">IFERROR('RPK (live)'!S280/'ASK (live)'!S280,"-")</f>
        <v>0.79999999999999993</v>
      </c>
      <c r="T280" s="10">
        <f ca="1">IFERROR('RPK (live)'!T280/'ASK (live)'!T280,"-")</f>
        <v>0.74607613153227514</v>
      </c>
      <c r="U280" s="10">
        <f ca="1">IFERROR('RPK (live)'!U280/'ASK (live)'!U280,"-")</f>
        <v>0.72866876169187433</v>
      </c>
      <c r="V280" s="10">
        <f ca="1">IFERROR('RPK (live)'!V280/'ASK (live)'!V280,"-")</f>
        <v>0.81065965871105505</v>
      </c>
      <c r="W280" s="10">
        <f ca="1">IFERROR('RPK (live)'!W280/'ASK (live)'!W280,"-")</f>
        <v>0.80600301054177348</v>
      </c>
      <c r="X280" s="10">
        <f ca="1">IFERROR('RPK (live)'!X280/'ASK (live)'!X280,"-")</f>
        <v>0.82816574547606026</v>
      </c>
      <c r="Y280" s="10">
        <f ca="1">IFERROR('RPK (live)'!Y280/'ASK (live)'!Y280,"-")</f>
        <v>0.86882004447993388</v>
      </c>
      <c r="Z280" s="10">
        <f ca="1">IFERROR('RPK (live)'!Z280/'ASK (live)'!Z280,"-")</f>
        <v>0.87102023191158251</v>
      </c>
      <c r="AA280" s="10">
        <f ca="1">IFERROR('RPK (live)'!AA280/'ASK (live)'!AA280,"-")</f>
        <v>0.8446771443770319</v>
      </c>
      <c r="AB280" s="10">
        <f ca="1">IFERROR('RPK (live)'!AB280/'ASK (live)'!AB280,"-")</f>
        <v>0.59568421134826799</v>
      </c>
      <c r="AC280" s="10">
        <f ca="1">IFERROR('RPK (live)'!AC280/'ASK (live)'!AC280,"-")</f>
        <v>0.73229543837151401</v>
      </c>
      <c r="AD280" s="10">
        <f ca="1">IFERROR('RPK (live)'!AD280/'ASK (live)'!AD280,"-")</f>
        <v>0.71832927447848982</v>
      </c>
      <c r="AE280" s="10">
        <f ca="1">IFERROR('RPK (live)'!AE280/'ASK (live)'!AE280,"-")</f>
        <v>0.73784226501522321</v>
      </c>
    </row>
    <row r="281" spans="1:31">
      <c r="A281" s="1" t="s">
        <v>152</v>
      </c>
      <c r="B281" s="5" t="s">
        <v>201</v>
      </c>
      <c r="C281" s="5" t="s">
        <v>202</v>
      </c>
      <c r="D281" s="5" t="s">
        <v>28</v>
      </c>
      <c r="E281" s="5" t="s">
        <v>38</v>
      </c>
      <c r="F281" s="5" t="s">
        <v>25</v>
      </c>
      <c r="G281" s="6"/>
      <c r="H281" s="6"/>
      <c r="I281" s="6"/>
      <c r="J281" s="6"/>
      <c r="K281" s="6"/>
      <c r="L281" s="10">
        <f ca="1">IFERROR('RPK (live)'!L281/'ASK (live)'!L281,"-")</f>
        <v>0.80753620530212888</v>
      </c>
      <c r="M281" s="10">
        <f ca="1">IFERROR('RPK (live)'!M281/'ASK (live)'!M281,"-")</f>
        <v>0.91113019192710276</v>
      </c>
      <c r="N281" s="10">
        <f ca="1">IFERROR('RPK (live)'!N281/'ASK (live)'!N281,"-")</f>
        <v>0.79750368265538574</v>
      </c>
      <c r="O281" s="10">
        <f ca="1">IFERROR('RPK (live)'!O281/'ASK (live)'!O281,"-")</f>
        <v>0.78253921935168314</v>
      </c>
      <c r="P281" s="10">
        <f ca="1">IFERROR('RPK (live)'!P281/'ASK (live)'!P281,"-")</f>
        <v>0.76378033127787825</v>
      </c>
      <c r="Q281" s="10">
        <f ca="1">IFERROR('RPK (live)'!Q281/'ASK (live)'!Q281,"-")</f>
        <v>0.70078499693672514</v>
      </c>
      <c r="R281" s="10">
        <f ca="1">IFERROR('RPK (live)'!R281/'ASK (live)'!R281,"-")</f>
        <v>0.74428373336874165</v>
      </c>
      <c r="S281" s="10">
        <f ca="1">IFERROR('RPK (live)'!S281/'ASK (live)'!S281,"-")</f>
        <v>0.85814057575793812</v>
      </c>
      <c r="T281" s="10">
        <f ca="1">IFERROR('RPK (live)'!T281/'ASK (live)'!T281,"-")</f>
        <v>0.94689397707211509</v>
      </c>
      <c r="U281" s="10">
        <f ca="1">IFERROR('RPK (live)'!U281/'ASK (live)'!U281,"-")</f>
        <v>0.99051911298780138</v>
      </c>
      <c r="V281" s="10">
        <f ca="1">IFERROR('RPK (live)'!V281/'ASK (live)'!V281,"-")</f>
        <v>0.93754307796502012</v>
      </c>
      <c r="W281" s="10">
        <f ca="1">IFERROR('RPK (live)'!W281/'ASK (live)'!W281,"-")</f>
        <v>0.93188524400609707</v>
      </c>
      <c r="X281" s="10">
        <f ca="1">IFERROR('RPK (live)'!X281/'ASK (live)'!X281,"-")</f>
        <v>0.92589341992452878</v>
      </c>
      <c r="Y281" s="10">
        <f ca="1">IFERROR('RPK (live)'!Y281/'ASK (live)'!Y281,"-")</f>
        <v>0.84192497865523364</v>
      </c>
      <c r="Z281" s="10">
        <f ca="1">IFERROR('RPK (live)'!Z281/'ASK (live)'!Z281,"-")</f>
        <v>0.89511629871954812</v>
      </c>
      <c r="AA281" s="10">
        <f ca="1">IFERROR('RPK (live)'!AA281/'ASK (live)'!AA281,"-")</f>
        <v>0.94997326800036097</v>
      </c>
      <c r="AB281" s="10">
        <f ca="1">IFERROR('RPK (live)'!AB281/'ASK (live)'!AB281,"-")</f>
        <v>0.79224130347096766</v>
      </c>
      <c r="AC281" s="10">
        <f ca="1">IFERROR('RPK (live)'!AC281/'ASK (live)'!AC281,"-")</f>
        <v>0.77483211382443828</v>
      </c>
      <c r="AD281" s="10">
        <f ca="1">IFERROR('RPK (live)'!AD281/'ASK (live)'!AD281,"-")</f>
        <v>0.92114831225893534</v>
      </c>
      <c r="AE281" s="10">
        <f ca="1">IFERROR('RPK (live)'!AE281/'ASK (live)'!AE281,"-")</f>
        <v>0.9905191129878016</v>
      </c>
    </row>
    <row r="282" spans="1:31">
      <c r="A282" s="1" t="s">
        <v>152</v>
      </c>
      <c r="B282" s="5" t="s">
        <v>45</v>
      </c>
      <c r="C282" s="5" t="s">
        <v>46</v>
      </c>
      <c r="D282" s="5" t="s">
        <v>38</v>
      </c>
      <c r="E282" s="5" t="s">
        <v>28</v>
      </c>
      <c r="F282" s="5" t="s">
        <v>25</v>
      </c>
      <c r="G282" s="6"/>
      <c r="H282" s="6"/>
      <c r="I282" s="6"/>
      <c r="J282" s="6"/>
      <c r="K282" s="6"/>
      <c r="L282" s="10">
        <f ca="1">IFERROR('RPK (live)'!L282/'ASK (live)'!L282,"-")</f>
        <v>0.80753620530212888</v>
      </c>
      <c r="M282" s="10">
        <f ca="1">IFERROR('RPK (live)'!M282/'ASK (live)'!M282,"-")</f>
        <v>0.91113019192710276</v>
      </c>
      <c r="N282" s="10">
        <f ca="1">IFERROR('RPK (live)'!N282/'ASK (live)'!N282,"-")</f>
        <v>0.79750368265538574</v>
      </c>
      <c r="O282" s="10">
        <f ca="1">IFERROR('RPK (live)'!O282/'ASK (live)'!O282,"-")</f>
        <v>0.78253921935168314</v>
      </c>
      <c r="P282" s="10">
        <f ca="1">IFERROR('RPK (live)'!P282/'ASK (live)'!P282,"-")</f>
        <v>0.76378033127787825</v>
      </c>
      <c r="Q282" s="10">
        <f ca="1">IFERROR('RPK (live)'!Q282/'ASK (live)'!Q282,"-")</f>
        <v>0.70078499693672514</v>
      </c>
      <c r="R282" s="10">
        <f ca="1">IFERROR('RPK (live)'!R282/'ASK (live)'!R282,"-")</f>
        <v>0.74428373336874165</v>
      </c>
      <c r="S282" s="10">
        <f ca="1">IFERROR('RPK (live)'!S282/'ASK (live)'!S282,"-")</f>
        <v>0.85814057575793812</v>
      </c>
      <c r="T282" s="10">
        <f ca="1">IFERROR('RPK (live)'!T282/'ASK (live)'!T282,"-")</f>
        <v>0.94689397707211509</v>
      </c>
      <c r="U282" s="10">
        <f ca="1">IFERROR('RPK (live)'!U282/'ASK (live)'!U282,"-")</f>
        <v>0.99051911298780138</v>
      </c>
      <c r="V282" s="10">
        <f ca="1">IFERROR('RPK (live)'!V282/'ASK (live)'!V282,"-")</f>
        <v>0.93754307796502012</v>
      </c>
      <c r="W282" s="10">
        <f ca="1">IFERROR('RPK (live)'!W282/'ASK (live)'!W282,"-")</f>
        <v>0.93188524400609707</v>
      </c>
      <c r="X282" s="10">
        <f ca="1">IFERROR('RPK (live)'!X282/'ASK (live)'!X282,"-")</f>
        <v>0.92589341992452878</v>
      </c>
      <c r="Y282" s="10">
        <f ca="1">IFERROR('RPK (live)'!Y282/'ASK (live)'!Y282,"-")</f>
        <v>0.84192497865523364</v>
      </c>
      <c r="Z282" s="10">
        <f ca="1">IFERROR('RPK (live)'!Z282/'ASK (live)'!Z282,"-")</f>
        <v>0.89511629871954812</v>
      </c>
      <c r="AA282" s="10">
        <f ca="1">IFERROR('RPK (live)'!AA282/'ASK (live)'!AA282,"-")</f>
        <v>0.94997326800036097</v>
      </c>
      <c r="AB282" s="10">
        <f ca="1">IFERROR('RPK (live)'!AB282/'ASK (live)'!AB282,"-")</f>
        <v>0.79224130347096766</v>
      </c>
      <c r="AC282" s="10">
        <f ca="1">IFERROR('RPK (live)'!AC282/'ASK (live)'!AC282,"-")</f>
        <v>0.77483211382443828</v>
      </c>
      <c r="AD282" s="10">
        <f ca="1">IFERROR('RPK (live)'!AD282/'ASK (live)'!AD282,"-")</f>
        <v>0.92114831225893534</v>
      </c>
      <c r="AE282" s="10">
        <f ca="1">IFERROR('RPK (live)'!AE282/'ASK (live)'!AE282,"-")</f>
        <v>0.9905191129878016</v>
      </c>
    </row>
    <row r="283" spans="1:31">
      <c r="A283" s="1" t="s">
        <v>152</v>
      </c>
      <c r="B283" s="5" t="s">
        <v>203</v>
      </c>
      <c r="C283" s="5" t="s">
        <v>204</v>
      </c>
      <c r="D283" s="5" t="s">
        <v>21</v>
      </c>
      <c r="E283" s="5" t="s">
        <v>80</v>
      </c>
      <c r="F283" s="5" t="s">
        <v>25</v>
      </c>
      <c r="G283" s="6"/>
      <c r="H283" s="6"/>
      <c r="I283" s="6"/>
      <c r="J283" s="6"/>
      <c r="K283" s="6"/>
      <c r="L283" s="10">
        <f ca="1">IFERROR('RPK (live)'!L283/'ASK (live)'!L283,"-")</f>
        <v>0.74</v>
      </c>
      <c r="M283" s="10">
        <f ca="1">IFERROR('RPK (live)'!M283/'ASK (live)'!M283,"-")</f>
        <v>0.76949397744029235</v>
      </c>
      <c r="N283" s="10">
        <f ca="1">IFERROR('RPK (live)'!N283/'ASK (live)'!N283,"-")</f>
        <v>0.70999999999999985</v>
      </c>
      <c r="O283" s="10">
        <f ca="1">IFERROR('RPK (live)'!O283/'ASK (live)'!O283,"-")</f>
        <v>0.7599999999999999</v>
      </c>
      <c r="P283" s="10">
        <f ca="1">IFERROR('RPK (live)'!P283/'ASK (live)'!P283,"-")</f>
        <v>0.5</v>
      </c>
      <c r="Q283" s="10">
        <f ca="1">IFERROR('RPK (live)'!Q283/'ASK (live)'!Q283,"-")</f>
        <v>0.6</v>
      </c>
      <c r="R283" s="10">
        <f ca="1">IFERROR('RPK (live)'!R283/'ASK (live)'!R283,"-")</f>
        <v>0.62</v>
      </c>
      <c r="S283" s="10">
        <f ca="1">IFERROR('RPK (live)'!S283/'ASK (live)'!S283,"-")</f>
        <v>0.6</v>
      </c>
      <c r="T283" s="10">
        <f ca="1">IFERROR('RPK (live)'!T283/'ASK (live)'!T283,"-")</f>
        <v>0.74007281559136651</v>
      </c>
      <c r="U283" s="10">
        <f ca="1">IFERROR('RPK (live)'!U283/'ASK (live)'!U283,"-")</f>
        <v>0.72472909759152992</v>
      </c>
      <c r="V283" s="10">
        <f ca="1">IFERROR('RPK (live)'!V283/'ASK (live)'!V283,"-")</f>
        <v>0.81549175101829607</v>
      </c>
      <c r="W283" s="10">
        <f ca="1">IFERROR('RPK (live)'!W283/'ASK (live)'!W283,"-")</f>
        <v>0.65536184301889477</v>
      </c>
      <c r="X283" s="10">
        <f ca="1">IFERROR('RPK (live)'!X283/'ASK (live)'!X283,"-")</f>
        <v>0.82939874875145736</v>
      </c>
      <c r="Y283" s="10">
        <f ca="1">IFERROR('RPK (live)'!Y283/'ASK (live)'!Y283,"-")</f>
        <v>0.84739929113087797</v>
      </c>
      <c r="Z283" s="10">
        <f ca="1">IFERROR('RPK (live)'!Z283/'ASK (live)'!Z283,"-")</f>
        <v>0.82580397206528156</v>
      </c>
      <c r="AA283" s="10">
        <f ca="1">IFERROR('RPK (live)'!AA283/'ASK (live)'!AA283,"-")</f>
        <v>0.90202417612105346</v>
      </c>
      <c r="AB283" s="10">
        <f ca="1">IFERROR('RPK (live)'!AB283/'ASK (live)'!AB283,"-")</f>
        <v>0.60363533635595124</v>
      </c>
      <c r="AC283" s="10">
        <f ca="1">IFERROR('RPK (live)'!AC283/'ASK (live)'!AC283,"-")</f>
        <v>0.80981422459538988</v>
      </c>
      <c r="AD283" s="10">
        <f ca="1">IFERROR('RPK (live)'!AD283/'ASK (live)'!AD283,"-")</f>
        <v>0.79797850331659392</v>
      </c>
      <c r="AE283" s="10">
        <f ca="1">IFERROR('RPK (live)'!AE283/'ASK (live)'!AE283,"-")</f>
        <v>0.83519197757595665</v>
      </c>
    </row>
    <row r="284" spans="1:31">
      <c r="A284" s="1" t="s">
        <v>152</v>
      </c>
      <c r="B284" s="5" t="s">
        <v>78</v>
      </c>
      <c r="C284" s="5" t="s">
        <v>79</v>
      </c>
      <c r="D284" s="5" t="s">
        <v>80</v>
      </c>
      <c r="E284" s="5" t="s">
        <v>21</v>
      </c>
      <c r="F284" s="5" t="s">
        <v>25</v>
      </c>
      <c r="G284" s="6"/>
      <c r="H284" s="6"/>
      <c r="I284" s="6"/>
      <c r="J284" s="6"/>
      <c r="K284" s="6"/>
      <c r="L284" s="10">
        <f ca="1">IFERROR('RPK (live)'!L284/'ASK (live)'!L284,"-")</f>
        <v>0.74</v>
      </c>
      <c r="M284" s="10">
        <f ca="1">IFERROR('RPK (live)'!M284/'ASK (live)'!M284,"-")</f>
        <v>0.76949397744029235</v>
      </c>
      <c r="N284" s="10">
        <f ca="1">IFERROR('RPK (live)'!N284/'ASK (live)'!N284,"-")</f>
        <v>0.70999999999999985</v>
      </c>
      <c r="O284" s="10">
        <f ca="1">IFERROR('RPK (live)'!O284/'ASK (live)'!O284,"-")</f>
        <v>0.7599999999999999</v>
      </c>
      <c r="P284" s="10">
        <f ca="1">IFERROR('RPK (live)'!P284/'ASK (live)'!P284,"-")</f>
        <v>0.5</v>
      </c>
      <c r="Q284" s="10">
        <f ca="1">IFERROR('RPK (live)'!Q284/'ASK (live)'!Q284,"-")</f>
        <v>0.6</v>
      </c>
      <c r="R284" s="10">
        <f ca="1">IFERROR('RPK (live)'!R284/'ASK (live)'!R284,"-")</f>
        <v>0.62</v>
      </c>
      <c r="S284" s="10">
        <f ca="1">IFERROR('RPK (live)'!S284/'ASK (live)'!S284,"-")</f>
        <v>0.6</v>
      </c>
      <c r="T284" s="10">
        <f ca="1">IFERROR('RPK (live)'!T284/'ASK (live)'!T284,"-")</f>
        <v>0.74007281559136651</v>
      </c>
      <c r="U284" s="10">
        <f ca="1">IFERROR('RPK (live)'!U284/'ASK (live)'!U284,"-")</f>
        <v>0.72472909759152992</v>
      </c>
      <c r="V284" s="10">
        <f ca="1">IFERROR('RPK (live)'!V284/'ASK (live)'!V284,"-")</f>
        <v>0.81549175101829607</v>
      </c>
      <c r="W284" s="10">
        <f ca="1">IFERROR('RPK (live)'!W284/'ASK (live)'!W284,"-")</f>
        <v>0.65536184301889477</v>
      </c>
      <c r="X284" s="10">
        <f ca="1">IFERROR('RPK (live)'!X284/'ASK (live)'!X284,"-")</f>
        <v>0.82939874875145736</v>
      </c>
      <c r="Y284" s="10">
        <f ca="1">IFERROR('RPK (live)'!Y284/'ASK (live)'!Y284,"-")</f>
        <v>0.84739929113087797</v>
      </c>
      <c r="Z284" s="10">
        <f ca="1">IFERROR('RPK (live)'!Z284/'ASK (live)'!Z284,"-")</f>
        <v>0.82580397206528156</v>
      </c>
      <c r="AA284" s="10">
        <f ca="1">IFERROR('RPK (live)'!AA284/'ASK (live)'!AA284,"-")</f>
        <v>0.90202417612105346</v>
      </c>
      <c r="AB284" s="10">
        <f ca="1">IFERROR('RPK (live)'!AB284/'ASK (live)'!AB284,"-")</f>
        <v>0.60363533635595124</v>
      </c>
      <c r="AC284" s="10">
        <f ca="1">IFERROR('RPK (live)'!AC284/'ASK (live)'!AC284,"-")</f>
        <v>0.80981422459538988</v>
      </c>
      <c r="AD284" s="10">
        <f ca="1">IFERROR('RPK (live)'!AD284/'ASK (live)'!AD284,"-")</f>
        <v>0.79797850331659392</v>
      </c>
      <c r="AE284" s="10">
        <f ca="1">IFERROR('RPK (live)'!AE284/'ASK (live)'!AE284,"-")</f>
        <v>0.83519197757595665</v>
      </c>
    </row>
    <row r="285" spans="1:31">
      <c r="A285" s="1" t="s">
        <v>152</v>
      </c>
      <c r="B285" s="5" t="s">
        <v>205</v>
      </c>
      <c r="C285" s="5" t="s">
        <v>206</v>
      </c>
      <c r="D285" s="5" t="s">
        <v>21</v>
      </c>
      <c r="E285" s="5" t="s">
        <v>181</v>
      </c>
      <c r="F285" s="5" t="s">
        <v>25</v>
      </c>
      <c r="G285" s="6"/>
      <c r="H285" s="6"/>
      <c r="I285" s="6"/>
      <c r="J285" s="6"/>
      <c r="K285" s="6"/>
      <c r="L285" s="10">
        <f ca="1">IFERROR('RPK (live)'!L285/'ASK (live)'!L285,"-")</f>
        <v>0.95</v>
      </c>
      <c r="M285" s="10">
        <f ca="1">IFERROR('RPK (live)'!M285/'ASK (live)'!M285,"-")</f>
        <v>0.98211731331195185</v>
      </c>
      <c r="N285" s="10">
        <f ca="1">IFERROR('RPK (live)'!N285/'ASK (live)'!N285,"-")</f>
        <v>0.94000000000000006</v>
      </c>
      <c r="O285" s="10">
        <f ca="1">IFERROR('RPK (live)'!O285/'ASK (live)'!O285,"-")</f>
        <v>0.95</v>
      </c>
      <c r="P285" s="10">
        <f ca="1">IFERROR('RPK (live)'!P285/'ASK (live)'!P285,"-")</f>
        <v>0.95000000000000018</v>
      </c>
      <c r="Q285" s="10">
        <f ca="1">IFERROR('RPK (live)'!Q285/'ASK (live)'!Q285,"-")</f>
        <v>0.8600000000000001</v>
      </c>
      <c r="R285" s="10">
        <f ca="1">IFERROR('RPK (live)'!R285/'ASK (live)'!R285,"-")</f>
        <v>0.82999999999999985</v>
      </c>
      <c r="S285" s="10">
        <f ca="1">IFERROR('RPK (live)'!S285/'ASK (live)'!S285,"-")</f>
        <v>0.78</v>
      </c>
      <c r="T285" s="10">
        <f ca="1">IFERROR('RPK (live)'!T285/'ASK (live)'!T285,"-")</f>
        <v>0.89609236944063553</v>
      </c>
      <c r="U285" s="10">
        <f ca="1">IFERROR('RPK (live)'!U285/'ASK (live)'!U285,"-")</f>
        <v>0.94808170507625222</v>
      </c>
      <c r="V285" s="10">
        <f ca="1">IFERROR('RPK (live)'!V285/'ASK (live)'!V285,"-")</f>
        <v>0.94471392841011304</v>
      </c>
      <c r="W285" s="10">
        <f ca="1">IFERROR('RPK (live)'!W285/'ASK (live)'!W285,"-")</f>
        <v>0.96520133278783571</v>
      </c>
      <c r="X285" s="10">
        <f ca="1">IFERROR('RPK (live)'!X285/'ASK (live)'!X285,"-")</f>
        <v>0.9905191129878016</v>
      </c>
      <c r="Y285" s="10">
        <f ca="1">IFERROR('RPK (live)'!Y285/'ASK (live)'!Y285,"-")</f>
        <v>0.99051911298780182</v>
      </c>
      <c r="Z285" s="10">
        <f ca="1">IFERROR('RPK (live)'!Z285/'ASK (live)'!Z285,"-")</f>
        <v>0.99051911298780126</v>
      </c>
      <c r="AA285" s="10">
        <f ca="1">IFERROR('RPK (live)'!AA285/'ASK (live)'!AA285,"-")</f>
        <v>0.99051911298780149</v>
      </c>
      <c r="AB285" s="10">
        <f ca="1">IFERROR('RPK (live)'!AB285/'ASK (live)'!AB285,"-")</f>
        <v>0.9905191129878016</v>
      </c>
      <c r="AC285" s="10">
        <f ca="1">IFERROR('RPK (live)'!AC285/'ASK (live)'!AC285,"-")</f>
        <v>0.88904790033561165</v>
      </c>
      <c r="AD285" s="10">
        <f ca="1">IFERROR('RPK (live)'!AD285/'ASK (live)'!AD285,"-")</f>
        <v>0.81348627049039124</v>
      </c>
      <c r="AE285" s="10">
        <f ca="1">IFERROR('RPK (live)'!AE285/'ASK (live)'!AE285,"-")</f>
        <v>0.79501069760665033</v>
      </c>
    </row>
    <row r="286" spans="1:31">
      <c r="A286" s="1" t="s">
        <v>152</v>
      </c>
      <c r="B286" s="5" t="s">
        <v>207</v>
      </c>
      <c r="C286" s="5" t="s">
        <v>208</v>
      </c>
      <c r="D286" s="5" t="s">
        <v>181</v>
      </c>
      <c r="E286" s="5" t="s">
        <v>21</v>
      </c>
      <c r="F286" s="5" t="s">
        <v>25</v>
      </c>
      <c r="G286" s="6"/>
      <c r="H286" s="6"/>
      <c r="I286" s="6"/>
      <c r="J286" s="6"/>
      <c r="K286" s="6"/>
      <c r="L286" s="10">
        <f ca="1">IFERROR('RPK (live)'!L286/'ASK (live)'!L286,"-")</f>
        <v>0.95</v>
      </c>
      <c r="M286" s="10">
        <f ca="1">IFERROR('RPK (live)'!M286/'ASK (live)'!M286,"-")</f>
        <v>0.98211731331195185</v>
      </c>
      <c r="N286" s="10">
        <f ca="1">IFERROR('RPK (live)'!N286/'ASK (live)'!N286,"-")</f>
        <v>0.94000000000000006</v>
      </c>
      <c r="O286" s="10">
        <f ca="1">IFERROR('RPK (live)'!O286/'ASK (live)'!O286,"-")</f>
        <v>0.95</v>
      </c>
      <c r="P286" s="10">
        <f ca="1">IFERROR('RPK (live)'!P286/'ASK (live)'!P286,"-")</f>
        <v>0.95000000000000018</v>
      </c>
      <c r="Q286" s="10">
        <f ca="1">IFERROR('RPK (live)'!Q286/'ASK (live)'!Q286,"-")</f>
        <v>0.8600000000000001</v>
      </c>
      <c r="R286" s="10">
        <f ca="1">IFERROR('RPK (live)'!R286/'ASK (live)'!R286,"-")</f>
        <v>0.82999999999999985</v>
      </c>
      <c r="S286" s="10">
        <f ca="1">IFERROR('RPK (live)'!S286/'ASK (live)'!S286,"-")</f>
        <v>0.78</v>
      </c>
      <c r="T286" s="10">
        <f ca="1">IFERROR('RPK (live)'!T286/'ASK (live)'!T286,"-")</f>
        <v>0.89609236944063553</v>
      </c>
      <c r="U286" s="10">
        <f ca="1">IFERROR('RPK (live)'!U286/'ASK (live)'!U286,"-")</f>
        <v>0.94808170507625222</v>
      </c>
      <c r="V286" s="10">
        <f ca="1">IFERROR('RPK (live)'!V286/'ASK (live)'!V286,"-")</f>
        <v>0.94471392841011304</v>
      </c>
      <c r="W286" s="10">
        <f ca="1">IFERROR('RPK (live)'!W286/'ASK (live)'!W286,"-")</f>
        <v>0.96520133278783571</v>
      </c>
      <c r="X286" s="10">
        <f ca="1">IFERROR('RPK (live)'!X286/'ASK (live)'!X286,"-")</f>
        <v>0.9905191129878016</v>
      </c>
      <c r="Y286" s="10">
        <f ca="1">IFERROR('RPK (live)'!Y286/'ASK (live)'!Y286,"-")</f>
        <v>0.99051911298780182</v>
      </c>
      <c r="Z286" s="10">
        <f ca="1">IFERROR('RPK (live)'!Z286/'ASK (live)'!Z286,"-")</f>
        <v>0.99051911298780126</v>
      </c>
      <c r="AA286" s="10">
        <f ca="1">IFERROR('RPK (live)'!AA286/'ASK (live)'!AA286,"-")</f>
        <v>0.99051911298780149</v>
      </c>
      <c r="AB286" s="10">
        <f ca="1">IFERROR('RPK (live)'!AB286/'ASK (live)'!AB286,"-")</f>
        <v>0.9905191129878016</v>
      </c>
      <c r="AC286" s="10">
        <f ca="1">IFERROR('RPK (live)'!AC286/'ASK (live)'!AC286,"-")</f>
        <v>0.88904790033561165</v>
      </c>
      <c r="AD286" s="10">
        <f ca="1">IFERROR('RPK (live)'!AD286/'ASK (live)'!AD286,"-")</f>
        <v>0.81348627049039124</v>
      </c>
      <c r="AE286" s="10">
        <f ca="1">IFERROR('RPK (live)'!AE286/'ASK (live)'!AE286,"-")</f>
        <v>0.79501069760665033</v>
      </c>
    </row>
    <row r="287" spans="1:31">
      <c r="A287" s="1" t="s">
        <v>152</v>
      </c>
      <c r="B287" s="5" t="s">
        <v>209</v>
      </c>
      <c r="C287" s="5" t="s">
        <v>210</v>
      </c>
      <c r="D287" s="5" t="s">
        <v>21</v>
      </c>
      <c r="E287" s="5" t="s">
        <v>211</v>
      </c>
      <c r="F287" s="5" t="s">
        <v>25</v>
      </c>
      <c r="G287" s="6"/>
      <c r="H287" s="6"/>
      <c r="I287" s="6"/>
      <c r="J287" s="6"/>
      <c r="K287" s="6"/>
      <c r="L287" s="10">
        <f ca="1">IFERROR('RPK (live)'!L287/'ASK (live)'!L287,"-")</f>
        <v>0.47000000000000003</v>
      </c>
      <c r="M287" s="10" t="str">
        <f ca="1">IFERROR('RPK (live)'!M287/'ASK (live)'!M287,"-")</f>
        <v>-</v>
      </c>
      <c r="N287" s="10" t="str">
        <f ca="1">IFERROR('RPK (live)'!N287/'ASK (live)'!N287,"-")</f>
        <v>-</v>
      </c>
      <c r="O287" s="10" t="str">
        <f ca="1">IFERROR('RPK (live)'!O287/'ASK (live)'!O287,"-")</f>
        <v>-</v>
      </c>
      <c r="P287" s="10" t="str">
        <f ca="1">IFERROR('RPK (live)'!P287/'ASK (live)'!P287,"-")</f>
        <v>-</v>
      </c>
      <c r="Q287" s="10">
        <f ca="1">IFERROR('RPK (live)'!Q287/'ASK (live)'!Q287,"-")</f>
        <v>0.45</v>
      </c>
      <c r="R287" s="10">
        <f ca="1">IFERROR('RPK (live)'!R287/'ASK (live)'!R287,"-")</f>
        <v>0.48</v>
      </c>
      <c r="S287" s="10">
        <f ca="1">IFERROR('RPK (live)'!S287/'ASK (live)'!S287,"-")</f>
        <v>0.65</v>
      </c>
      <c r="T287" s="10">
        <f ca="1">IFERROR('RPK (live)'!T287/'ASK (live)'!T287,"-")</f>
        <v>0.63629676224239162</v>
      </c>
      <c r="U287" s="10">
        <f ca="1">IFERROR('RPK (live)'!U287/'ASK (live)'!U287,"-")</f>
        <v>0.75588210344085549</v>
      </c>
      <c r="V287" s="10">
        <f ca="1">IFERROR('RPK (live)'!V287/'ASK (live)'!V287,"-")</f>
        <v>0.78293992433560256</v>
      </c>
      <c r="W287" s="10" t="str">
        <f ca="1">IFERROR('RPK (live)'!W287/'ASK (live)'!W287,"-")</f>
        <v>-</v>
      </c>
      <c r="X287" s="10" t="str">
        <f ca="1">IFERROR('RPK (live)'!X287/'ASK (live)'!X287,"-")</f>
        <v>-</v>
      </c>
      <c r="Y287" s="10" t="str">
        <f ca="1">IFERROR('RPK (live)'!Y287/'ASK (live)'!Y287,"-")</f>
        <v>-</v>
      </c>
      <c r="Z287" s="10" t="str">
        <f ca="1">IFERROR('RPK (live)'!Z287/'ASK (live)'!Z287,"-")</f>
        <v>-</v>
      </c>
      <c r="AA287" s="10" t="str">
        <f ca="1">IFERROR('RPK (live)'!AA287/'ASK (live)'!AA287,"-")</f>
        <v>-</v>
      </c>
      <c r="AB287" s="10" t="str">
        <f ca="1">IFERROR('RPK (live)'!AB287/'ASK (live)'!AB287,"-")</f>
        <v>-</v>
      </c>
      <c r="AC287" s="10">
        <f ca="1">IFERROR('RPK (live)'!AC287/'ASK (live)'!AC287,"-")</f>
        <v>0.54372858003720903</v>
      </c>
      <c r="AD287" s="10">
        <f ca="1">IFERROR('RPK (live)'!AD287/'ASK (live)'!AD287,"-")</f>
        <v>0.65815971908374915</v>
      </c>
      <c r="AE287" s="10">
        <f ca="1">IFERROR('RPK (live)'!AE287/'ASK (live)'!AE287,"-")</f>
        <v>0.8769081494141282</v>
      </c>
    </row>
    <row r="288" spans="1:31">
      <c r="A288" s="1" t="s">
        <v>152</v>
      </c>
      <c r="B288" s="5" t="s">
        <v>212</v>
      </c>
      <c r="C288" s="5" t="s">
        <v>213</v>
      </c>
      <c r="D288" s="5" t="s">
        <v>211</v>
      </c>
      <c r="E288" s="5" t="s">
        <v>21</v>
      </c>
      <c r="F288" s="5" t="s">
        <v>25</v>
      </c>
      <c r="G288" s="6"/>
      <c r="H288" s="6"/>
      <c r="I288" s="6"/>
      <c r="J288" s="6"/>
      <c r="K288" s="6"/>
      <c r="L288" s="10">
        <f ca="1">IFERROR('RPK (live)'!L288/'ASK (live)'!L288,"-")</f>
        <v>0.47000000000000003</v>
      </c>
      <c r="M288" s="10" t="str">
        <f ca="1">IFERROR('RPK (live)'!M288/'ASK (live)'!M288,"-")</f>
        <v>-</v>
      </c>
      <c r="N288" s="10" t="str">
        <f ca="1">IFERROR('RPK (live)'!N288/'ASK (live)'!N288,"-")</f>
        <v>-</v>
      </c>
      <c r="O288" s="10" t="str">
        <f ca="1">IFERROR('RPK (live)'!O288/'ASK (live)'!O288,"-")</f>
        <v>-</v>
      </c>
      <c r="P288" s="10" t="str">
        <f ca="1">IFERROR('RPK (live)'!P288/'ASK (live)'!P288,"-")</f>
        <v>-</v>
      </c>
      <c r="Q288" s="10">
        <f ca="1">IFERROR('RPK (live)'!Q288/'ASK (live)'!Q288,"-")</f>
        <v>0.45</v>
      </c>
      <c r="R288" s="10">
        <f ca="1">IFERROR('RPK (live)'!R288/'ASK (live)'!R288,"-")</f>
        <v>0.48</v>
      </c>
      <c r="S288" s="10">
        <f ca="1">IFERROR('RPK (live)'!S288/'ASK (live)'!S288,"-")</f>
        <v>0.65</v>
      </c>
      <c r="T288" s="10">
        <f ca="1">IFERROR('RPK (live)'!T288/'ASK (live)'!T288,"-")</f>
        <v>0.63629676224239162</v>
      </c>
      <c r="U288" s="10">
        <f ca="1">IFERROR('RPK (live)'!U288/'ASK (live)'!U288,"-")</f>
        <v>0.75588210344085549</v>
      </c>
      <c r="V288" s="10">
        <f ca="1">IFERROR('RPK (live)'!V288/'ASK (live)'!V288,"-")</f>
        <v>0.78293992433560256</v>
      </c>
      <c r="W288" s="10" t="str">
        <f ca="1">IFERROR('RPK (live)'!W288/'ASK (live)'!W288,"-")</f>
        <v>-</v>
      </c>
      <c r="X288" s="10" t="str">
        <f ca="1">IFERROR('RPK (live)'!X288/'ASK (live)'!X288,"-")</f>
        <v>-</v>
      </c>
      <c r="Y288" s="10" t="str">
        <f ca="1">IFERROR('RPK (live)'!Y288/'ASK (live)'!Y288,"-")</f>
        <v>-</v>
      </c>
      <c r="Z288" s="10" t="str">
        <f ca="1">IFERROR('RPK (live)'!Z288/'ASK (live)'!Z288,"-")</f>
        <v>-</v>
      </c>
      <c r="AA288" s="10" t="str">
        <f ca="1">IFERROR('RPK (live)'!AA288/'ASK (live)'!AA288,"-")</f>
        <v>-</v>
      </c>
      <c r="AB288" s="10" t="str">
        <f ca="1">IFERROR('RPK (live)'!AB288/'ASK (live)'!AB288,"-")</f>
        <v>-</v>
      </c>
      <c r="AC288" s="10">
        <f ca="1">IFERROR('RPK (live)'!AC288/'ASK (live)'!AC288,"-")</f>
        <v>0.54372858003720903</v>
      </c>
      <c r="AD288" s="10">
        <f ca="1">IFERROR('RPK (live)'!AD288/'ASK (live)'!AD288,"-")</f>
        <v>0.65815971908374915</v>
      </c>
      <c r="AE288" s="10">
        <f ca="1">IFERROR('RPK (live)'!AE288/'ASK (live)'!AE288,"-")</f>
        <v>0.8769081494141282</v>
      </c>
    </row>
    <row r="289" spans="1:31">
      <c r="A289" s="1" t="s">
        <v>152</v>
      </c>
      <c r="B289" s="5" t="s">
        <v>214</v>
      </c>
      <c r="C289" s="5" t="s">
        <v>187</v>
      </c>
      <c r="D289" s="5" t="s">
        <v>21</v>
      </c>
      <c r="E289" s="5" t="s">
        <v>59</v>
      </c>
      <c r="F289" s="5" t="s">
        <v>25</v>
      </c>
      <c r="G289" s="6"/>
      <c r="H289" s="6"/>
      <c r="I289" s="6"/>
      <c r="J289" s="6"/>
      <c r="K289" s="6"/>
      <c r="L289" s="10">
        <f ca="1">IFERROR('RPK (live)'!L289/'ASK (live)'!L289,"-")</f>
        <v>0.8600000000000001</v>
      </c>
      <c r="M289" s="10">
        <f ca="1">IFERROR('RPK (live)'!M289/'ASK (live)'!M289,"-")</f>
        <v>0.77961889819608554</v>
      </c>
      <c r="N289" s="10">
        <f ca="1">IFERROR('RPK (live)'!N289/'ASK (live)'!N289,"-")</f>
        <v>0.80000000000000016</v>
      </c>
      <c r="O289" s="10">
        <f ca="1">IFERROR('RPK (live)'!O289/'ASK (live)'!O289,"-")</f>
        <v>0.84000000000000008</v>
      </c>
      <c r="P289" s="10">
        <f ca="1">IFERROR('RPK (live)'!P289/'ASK (live)'!P289,"-")</f>
        <v>0.8</v>
      </c>
      <c r="Q289" s="10">
        <f ca="1">IFERROR('RPK (live)'!Q289/'ASK (live)'!Q289,"-")</f>
        <v>0.80000000000000016</v>
      </c>
      <c r="R289" s="10">
        <f ca="1">IFERROR('RPK (live)'!R289/'ASK (live)'!R289,"-")</f>
        <v>0.95</v>
      </c>
      <c r="S289" s="10" t="str">
        <f ca="1">IFERROR('RPK (live)'!S289/'ASK (live)'!S289,"-")</f>
        <v>-</v>
      </c>
      <c r="T289" s="10" t="str">
        <f ca="1">IFERROR('RPK (live)'!T289/'ASK (live)'!T289,"-")</f>
        <v>-</v>
      </c>
      <c r="U289" s="10" t="str">
        <f ca="1">IFERROR('RPK (live)'!U289/'ASK (live)'!U289,"-")</f>
        <v>-</v>
      </c>
      <c r="V289" s="10">
        <f ca="1">IFERROR('RPK (live)'!V289/'ASK (live)'!V289,"-")</f>
        <v>0.77352861796495564</v>
      </c>
      <c r="W289" s="10">
        <f ca="1">IFERROR('RPK (live)'!W289/'ASK (live)'!W289,"-")</f>
        <v>0.82423952846634863</v>
      </c>
      <c r="X289" s="10">
        <f ca="1">IFERROR('RPK (live)'!X289/'ASK (live)'!X289,"-")</f>
        <v>0.96205278017796625</v>
      </c>
      <c r="Y289" s="10">
        <f ca="1">IFERROR('RPK (live)'!Y289/'ASK (live)'!Y289,"-")</f>
        <v>0.84492015043324553</v>
      </c>
      <c r="Z289" s="10">
        <f ca="1">IFERROR('RPK (live)'!Z289/'ASK (live)'!Z289,"-")</f>
        <v>0.91099983950873953</v>
      </c>
      <c r="AA289" s="10">
        <f ca="1">IFERROR('RPK (live)'!AA289/'ASK (live)'!AA289,"-")</f>
        <v>0.94259297343702741</v>
      </c>
      <c r="AB289" s="10">
        <f ca="1">IFERROR('RPK (live)'!AB289/'ASK (live)'!AB289,"-")</f>
        <v>0.82065324402083473</v>
      </c>
      <c r="AC289" s="10">
        <f ca="1">IFERROR('RPK (live)'!AC289/'ASK (live)'!AC289,"-")</f>
        <v>0.86345181211280597</v>
      </c>
      <c r="AD289" s="10" t="str">
        <f ca="1">IFERROR('RPK (live)'!AD289/'ASK (live)'!AD289,"-")</f>
        <v>-</v>
      </c>
      <c r="AE289" s="10" t="str">
        <f ca="1">IFERROR('RPK (live)'!AE289/'ASK (live)'!AE289,"-")</f>
        <v>-</v>
      </c>
    </row>
    <row r="290" spans="1:31">
      <c r="A290" s="1" t="s">
        <v>152</v>
      </c>
      <c r="B290" s="5" t="s">
        <v>63</v>
      </c>
      <c r="C290" s="5" t="s">
        <v>62</v>
      </c>
      <c r="D290" s="5" t="s">
        <v>59</v>
      </c>
      <c r="E290" s="5" t="s">
        <v>21</v>
      </c>
      <c r="F290" s="5" t="s">
        <v>25</v>
      </c>
      <c r="G290" s="6"/>
      <c r="H290" s="6"/>
      <c r="I290" s="6"/>
      <c r="J290" s="6"/>
      <c r="K290" s="6"/>
      <c r="L290" s="10">
        <f ca="1">IFERROR('RPK (live)'!L290/'ASK (live)'!L290,"-")</f>
        <v>0.8600000000000001</v>
      </c>
      <c r="M290" s="10">
        <f ca="1">IFERROR('RPK (live)'!M290/'ASK (live)'!M290,"-")</f>
        <v>0.77961889819608554</v>
      </c>
      <c r="N290" s="10">
        <f ca="1">IFERROR('RPK (live)'!N290/'ASK (live)'!N290,"-")</f>
        <v>0.80000000000000016</v>
      </c>
      <c r="O290" s="10">
        <f ca="1">IFERROR('RPK (live)'!O290/'ASK (live)'!O290,"-")</f>
        <v>0.84000000000000008</v>
      </c>
      <c r="P290" s="10">
        <f ca="1">IFERROR('RPK (live)'!P290/'ASK (live)'!P290,"-")</f>
        <v>0.8</v>
      </c>
      <c r="Q290" s="10">
        <f ca="1">IFERROR('RPK (live)'!Q290/'ASK (live)'!Q290,"-")</f>
        <v>0.80000000000000016</v>
      </c>
      <c r="R290" s="10">
        <f ca="1">IFERROR('RPK (live)'!R290/'ASK (live)'!R290,"-")</f>
        <v>0.95</v>
      </c>
      <c r="S290" s="10" t="str">
        <f ca="1">IFERROR('RPK (live)'!S290/'ASK (live)'!S290,"-")</f>
        <v>-</v>
      </c>
      <c r="T290" s="10" t="str">
        <f ca="1">IFERROR('RPK (live)'!T290/'ASK (live)'!T290,"-")</f>
        <v>-</v>
      </c>
      <c r="U290" s="10" t="str">
        <f ca="1">IFERROR('RPK (live)'!U290/'ASK (live)'!U290,"-")</f>
        <v>-</v>
      </c>
      <c r="V290" s="10">
        <f ca="1">IFERROR('RPK (live)'!V290/'ASK (live)'!V290,"-")</f>
        <v>0.77352861796495564</v>
      </c>
      <c r="W290" s="10">
        <f ca="1">IFERROR('RPK (live)'!W290/'ASK (live)'!W290,"-")</f>
        <v>0.82423952846634851</v>
      </c>
      <c r="X290" s="10">
        <f ca="1">IFERROR('RPK (live)'!X290/'ASK (live)'!X290,"-")</f>
        <v>0.96205278017796603</v>
      </c>
      <c r="Y290" s="10">
        <f ca="1">IFERROR('RPK (live)'!Y290/'ASK (live)'!Y290,"-")</f>
        <v>0.84492015043324531</v>
      </c>
      <c r="Z290" s="10">
        <f ca="1">IFERROR('RPK (live)'!Z290/'ASK (live)'!Z290,"-")</f>
        <v>0.91099983950873953</v>
      </c>
      <c r="AA290" s="10">
        <f ca="1">IFERROR('RPK (live)'!AA290/'ASK (live)'!AA290,"-")</f>
        <v>0.9425929734370273</v>
      </c>
      <c r="AB290" s="10">
        <f ca="1">IFERROR('RPK (live)'!AB290/'ASK (live)'!AB290,"-")</f>
        <v>0.82065324402083484</v>
      </c>
      <c r="AC290" s="10">
        <f ca="1">IFERROR('RPK (live)'!AC290/'ASK (live)'!AC290,"-")</f>
        <v>0.86345181211280597</v>
      </c>
      <c r="AD290" s="10" t="str">
        <f ca="1">IFERROR('RPK (live)'!AD290/'ASK (live)'!AD290,"-")</f>
        <v>-</v>
      </c>
      <c r="AE290" s="10" t="str">
        <f ca="1">IFERROR('RPK (live)'!AE290/'ASK (live)'!AE290,"-")</f>
        <v>-</v>
      </c>
    </row>
    <row r="291" spans="1:31">
      <c r="A291" s="1" t="s">
        <v>152</v>
      </c>
      <c r="B291" s="5" t="s">
        <v>215</v>
      </c>
      <c r="C291" s="5" t="s">
        <v>159</v>
      </c>
      <c r="D291" s="5" t="s">
        <v>21</v>
      </c>
      <c r="E291" s="5" t="s">
        <v>38</v>
      </c>
      <c r="F291" s="5" t="s">
        <v>25</v>
      </c>
      <c r="G291" s="6"/>
      <c r="H291" s="6"/>
      <c r="I291" s="6"/>
      <c r="J291" s="6"/>
      <c r="K291" s="6"/>
      <c r="L291" s="10">
        <f ca="1">IFERROR('RPK (live)'!L291/'ASK (live)'!L291,"-")</f>
        <v>0.70712258520062643</v>
      </c>
      <c r="M291" s="10">
        <f ca="1">IFERROR('RPK (live)'!M291/'ASK (live)'!M291,"-")</f>
        <v>0.83451694707262192</v>
      </c>
      <c r="N291" s="10">
        <f ca="1">IFERROR('RPK (live)'!N291/'ASK (live)'!N291,"-")</f>
        <v>0.80704181881326775</v>
      </c>
      <c r="O291" s="10">
        <f ca="1">IFERROR('RPK (live)'!O291/'ASK (live)'!O291,"-")</f>
        <v>0.92947612479598252</v>
      </c>
      <c r="P291" s="10">
        <f ca="1">IFERROR('RPK (live)'!P291/'ASK (live)'!P291,"-")</f>
        <v>0.66182141809551831</v>
      </c>
      <c r="Q291" s="10">
        <f ca="1">IFERROR('RPK (live)'!Q291/'ASK (live)'!Q291,"-")</f>
        <v>0.78392711174967888</v>
      </c>
      <c r="R291" s="10">
        <f ca="1">IFERROR('RPK (live)'!R291/'ASK (live)'!R291,"-")</f>
        <v>0.75</v>
      </c>
      <c r="S291" s="10">
        <f ca="1">IFERROR('RPK (live)'!S291/'ASK (live)'!S291,"-")</f>
        <v>0.87590891197026999</v>
      </c>
      <c r="T291" s="10">
        <f ca="1">IFERROR('RPK (live)'!T291/'ASK (live)'!T291,"-")</f>
        <v>0.66766432203568227</v>
      </c>
      <c r="U291" s="10">
        <f ca="1">IFERROR('RPK (live)'!U291/'ASK (live)'!U291,"-")</f>
        <v>0.71640457134087732</v>
      </c>
      <c r="V291" s="10">
        <f ca="1">IFERROR('RPK (live)'!V291/'ASK (live)'!V291,"-")</f>
        <v>0.72761381526658375</v>
      </c>
      <c r="W291" s="10">
        <f ca="1">IFERROR('RPK (live)'!W291/'ASK (live)'!W291,"-")</f>
        <v>0.81731420599132609</v>
      </c>
      <c r="X291" s="10">
        <f ca="1">IFERROR('RPK (live)'!X291/'ASK (live)'!X291,"-")</f>
        <v>0.79225017465348846</v>
      </c>
      <c r="Y291" s="10">
        <f ca="1">IFERROR('RPK (live)'!Y291/'ASK (live)'!Y291,"-")</f>
        <v>0.87333613496133267</v>
      </c>
      <c r="Z291" s="10">
        <f ca="1">IFERROR('RPK (live)'!Z291/'ASK (live)'!Z291,"-")</f>
        <v>0.91269345217695974</v>
      </c>
      <c r="AA291" s="10">
        <f ca="1">IFERROR('RPK (live)'!AA291/'ASK (live)'!AA291,"-")</f>
        <v>0.97764387090354476</v>
      </c>
      <c r="AB291" s="10">
        <f ca="1">IFERROR('RPK (live)'!AB291/'ASK (live)'!AB291,"-")</f>
        <v>0.68988420477605417</v>
      </c>
      <c r="AC291" s="10">
        <f ca="1">IFERROR('RPK (live)'!AC291/'ASK (live)'!AC291,"-")</f>
        <v>0.7652692541861571</v>
      </c>
      <c r="AD291" s="10">
        <f ca="1">IFERROR('RPK (live)'!AD291/'ASK (live)'!AD291,"-")</f>
        <v>0.71617347057752023</v>
      </c>
      <c r="AE291" s="10">
        <f ca="1">IFERROR('RPK (live)'!AE291/'ASK (live)'!AE291,"-")</f>
        <v>0.83889065055270706</v>
      </c>
    </row>
    <row r="292" spans="1:31">
      <c r="A292" s="1" t="s">
        <v>152</v>
      </c>
      <c r="B292" s="5" t="s">
        <v>43</v>
      </c>
      <c r="C292" s="5" t="s">
        <v>37</v>
      </c>
      <c r="D292" s="5" t="s">
        <v>38</v>
      </c>
      <c r="E292" s="5" t="s">
        <v>21</v>
      </c>
      <c r="F292" s="5" t="s">
        <v>25</v>
      </c>
      <c r="G292" s="6"/>
      <c r="H292" s="6"/>
      <c r="I292" s="6"/>
      <c r="J292" s="6"/>
      <c r="K292" s="6"/>
      <c r="L292" s="10">
        <f ca="1">IFERROR('RPK (live)'!L292/'ASK (live)'!L292,"-")</f>
        <v>0.70712258520062643</v>
      </c>
      <c r="M292" s="10">
        <f ca="1">IFERROR('RPK (live)'!M292/'ASK (live)'!M292,"-")</f>
        <v>0.83451694707262192</v>
      </c>
      <c r="N292" s="10">
        <f ca="1">IFERROR('RPK (live)'!N292/'ASK (live)'!N292,"-")</f>
        <v>0.80704181881326775</v>
      </c>
      <c r="O292" s="10">
        <f ca="1">IFERROR('RPK (live)'!O292/'ASK (live)'!O292,"-")</f>
        <v>0.92947612479598263</v>
      </c>
      <c r="P292" s="10">
        <f ca="1">IFERROR('RPK (live)'!P292/'ASK (live)'!P292,"-")</f>
        <v>0.66182141809551831</v>
      </c>
      <c r="Q292" s="10">
        <f ca="1">IFERROR('RPK (live)'!Q292/'ASK (live)'!Q292,"-")</f>
        <v>0.78392711174967888</v>
      </c>
      <c r="R292" s="10">
        <f ca="1">IFERROR('RPK (live)'!R292/'ASK (live)'!R292,"-")</f>
        <v>0.75</v>
      </c>
      <c r="S292" s="10">
        <f ca="1">IFERROR('RPK (live)'!S292/'ASK (live)'!S292,"-")</f>
        <v>0.87590891197026999</v>
      </c>
      <c r="T292" s="10">
        <f ca="1">IFERROR('RPK (live)'!T292/'ASK (live)'!T292,"-")</f>
        <v>0.66766432203568227</v>
      </c>
      <c r="U292" s="10">
        <f ca="1">IFERROR('RPK (live)'!U292/'ASK (live)'!U292,"-")</f>
        <v>0.71640457134087732</v>
      </c>
      <c r="V292" s="10">
        <f ca="1">IFERROR('RPK (live)'!V292/'ASK (live)'!V292,"-")</f>
        <v>0.72761381526658386</v>
      </c>
      <c r="W292" s="10">
        <f ca="1">IFERROR('RPK (live)'!W292/'ASK (live)'!W292,"-")</f>
        <v>0.81731420599132609</v>
      </c>
      <c r="X292" s="10">
        <f ca="1">IFERROR('RPK (live)'!X292/'ASK (live)'!X292,"-")</f>
        <v>0.79225017465348846</v>
      </c>
      <c r="Y292" s="10">
        <f ca="1">IFERROR('RPK (live)'!Y292/'ASK (live)'!Y292,"-")</f>
        <v>0.87333613496133267</v>
      </c>
      <c r="Z292" s="10">
        <f ca="1">IFERROR('RPK (live)'!Z292/'ASK (live)'!Z292,"-")</f>
        <v>0.91269345217695974</v>
      </c>
      <c r="AA292" s="10">
        <f ca="1">IFERROR('RPK (live)'!AA292/'ASK (live)'!AA292,"-")</f>
        <v>0.97764387090354476</v>
      </c>
      <c r="AB292" s="10">
        <f ca="1">IFERROR('RPK (live)'!AB292/'ASK (live)'!AB292,"-")</f>
        <v>0.68988420477605417</v>
      </c>
      <c r="AC292" s="10">
        <f ca="1">IFERROR('RPK (live)'!AC292/'ASK (live)'!AC292,"-")</f>
        <v>0.7652692541861571</v>
      </c>
      <c r="AD292" s="10">
        <f ca="1">IFERROR('RPK (live)'!AD292/'ASK (live)'!AD292,"-")</f>
        <v>0.71617347057752023</v>
      </c>
      <c r="AE292" s="10">
        <f ca="1">IFERROR('RPK (live)'!AE292/'ASK (live)'!AE292,"-")</f>
        <v>0.83889065055270706</v>
      </c>
    </row>
    <row r="293" spans="1:31">
      <c r="A293" s="1" t="s">
        <v>152</v>
      </c>
      <c r="B293" s="5" t="s">
        <v>216</v>
      </c>
      <c r="C293" s="5" t="s">
        <v>163</v>
      </c>
      <c r="D293" s="5" t="s">
        <v>21</v>
      </c>
      <c r="E293" s="5" t="s">
        <v>54</v>
      </c>
      <c r="F293" s="5" t="s">
        <v>25</v>
      </c>
      <c r="G293" s="6"/>
      <c r="H293" s="6"/>
      <c r="I293" s="6"/>
      <c r="J293" s="6"/>
      <c r="K293" s="6"/>
      <c r="L293" s="10">
        <f ca="1">IFERROR('RPK (live)'!L293/'ASK (live)'!L293,"-")</f>
        <v>0.7</v>
      </c>
      <c r="M293" s="10">
        <f ca="1">IFERROR('RPK (live)'!M293/'ASK (live)'!M293,"-")</f>
        <v>0.87074318499822534</v>
      </c>
      <c r="N293" s="10">
        <f ca="1">IFERROR('RPK (live)'!N293/'ASK (live)'!N293,"-")</f>
        <v>0.9</v>
      </c>
      <c r="O293" s="10">
        <f ca="1">IFERROR('RPK (live)'!O293/'ASK (live)'!O293,"-")</f>
        <v>0.83999999999999986</v>
      </c>
      <c r="P293" s="10">
        <f ca="1">IFERROR('RPK (live)'!P293/'ASK (live)'!P293,"-")</f>
        <v>0.72999999999999987</v>
      </c>
      <c r="Q293" s="10">
        <f ca="1">IFERROR('RPK (live)'!Q293/'ASK (live)'!Q293,"-")</f>
        <v>0.7</v>
      </c>
      <c r="R293" s="10" t="str">
        <f ca="1">IFERROR('RPK (live)'!R293/'ASK (live)'!R293,"-")</f>
        <v>-</v>
      </c>
      <c r="S293" s="10" t="str">
        <f ca="1">IFERROR('RPK (live)'!S293/'ASK (live)'!S293,"-")</f>
        <v>-</v>
      </c>
      <c r="T293" s="10" t="str">
        <f ca="1">IFERROR('RPK (live)'!T293/'ASK (live)'!T293,"-")</f>
        <v>-</v>
      </c>
      <c r="U293" s="10" t="str">
        <f ca="1">IFERROR('RPK (live)'!U293/'ASK (live)'!U293,"-")</f>
        <v>-</v>
      </c>
      <c r="V293" s="10">
        <f ca="1">IFERROR('RPK (live)'!V293/'ASK (live)'!V293,"-")</f>
        <v>0.72126990802570357</v>
      </c>
      <c r="W293" s="10">
        <f ca="1">IFERROR('RPK (live)'!W293/'ASK (live)'!W293,"-")</f>
        <v>0.75090553190798914</v>
      </c>
      <c r="X293" s="10">
        <f ca="1">IFERROR('RPK (live)'!X293/'ASK (live)'!X293,"-")</f>
        <v>0.73716400516204972</v>
      </c>
      <c r="Y293" s="10">
        <f ca="1">IFERROR('RPK (live)'!Y293/'ASK (live)'!Y293,"-")</f>
        <v>0.88958574267756807</v>
      </c>
      <c r="Z293" s="10">
        <f ca="1">IFERROR('RPK (live)'!Z293/'ASK (live)'!Z293,"-")</f>
        <v>0.93540785195292253</v>
      </c>
      <c r="AA293" s="10">
        <f ca="1">IFERROR('RPK (live)'!AA293/'ASK (live)'!AA293,"-")</f>
        <v>0.86995151698981477</v>
      </c>
      <c r="AB293" s="10">
        <f ca="1">IFERROR('RPK (live)'!AB293/'ASK (live)'!AB293,"-")</f>
        <v>0.77534113641733893</v>
      </c>
      <c r="AC293" s="10">
        <f ca="1">IFERROR('RPK (live)'!AC293/'ASK (live)'!AC293,"-")</f>
        <v>0.72538203905255916</v>
      </c>
      <c r="AD293" s="10" t="str">
        <f ca="1">IFERROR('RPK (live)'!AD293/'ASK (live)'!AD293,"-")</f>
        <v>-</v>
      </c>
      <c r="AE293" s="10" t="str">
        <f ca="1">IFERROR('RPK (live)'!AE293/'ASK (live)'!AE293,"-")</f>
        <v>-</v>
      </c>
    </row>
    <row r="294" spans="1:31">
      <c r="A294" s="1" t="s">
        <v>152</v>
      </c>
      <c r="B294" s="5" t="s">
        <v>56</v>
      </c>
      <c r="C294" s="5" t="s">
        <v>53</v>
      </c>
      <c r="D294" s="5" t="s">
        <v>54</v>
      </c>
      <c r="E294" s="5" t="s">
        <v>21</v>
      </c>
      <c r="F294" s="5" t="s">
        <v>25</v>
      </c>
      <c r="G294" s="6"/>
      <c r="H294" s="6"/>
      <c r="I294" s="6"/>
      <c r="J294" s="6"/>
      <c r="K294" s="6"/>
      <c r="L294" s="10">
        <f ca="1">IFERROR('RPK (live)'!L294/'ASK (live)'!L294,"-")</f>
        <v>0.7</v>
      </c>
      <c r="M294" s="10">
        <f ca="1">IFERROR('RPK (live)'!M294/'ASK (live)'!M294,"-")</f>
        <v>0.87074318499822534</v>
      </c>
      <c r="N294" s="10">
        <f ca="1">IFERROR('RPK (live)'!N294/'ASK (live)'!N294,"-")</f>
        <v>0.9</v>
      </c>
      <c r="O294" s="10">
        <f ca="1">IFERROR('RPK (live)'!O294/'ASK (live)'!O294,"-")</f>
        <v>0.83999999999999986</v>
      </c>
      <c r="P294" s="10">
        <f ca="1">IFERROR('RPK (live)'!P294/'ASK (live)'!P294,"-")</f>
        <v>0.72999999999999987</v>
      </c>
      <c r="Q294" s="10">
        <f ca="1">IFERROR('RPK (live)'!Q294/'ASK (live)'!Q294,"-")</f>
        <v>0.7</v>
      </c>
      <c r="R294" s="10" t="str">
        <f ca="1">IFERROR('RPK (live)'!R294/'ASK (live)'!R294,"-")</f>
        <v>-</v>
      </c>
      <c r="S294" s="10" t="str">
        <f ca="1">IFERROR('RPK (live)'!S294/'ASK (live)'!S294,"-")</f>
        <v>-</v>
      </c>
      <c r="T294" s="10" t="str">
        <f ca="1">IFERROR('RPK (live)'!T294/'ASK (live)'!T294,"-")</f>
        <v>-</v>
      </c>
      <c r="U294" s="10" t="str">
        <f ca="1">IFERROR('RPK (live)'!U294/'ASK (live)'!U294,"-")</f>
        <v>-</v>
      </c>
      <c r="V294" s="10">
        <f ca="1">IFERROR('RPK (live)'!V294/'ASK (live)'!V294,"-")</f>
        <v>0.72126990802570357</v>
      </c>
      <c r="W294" s="10">
        <f ca="1">IFERROR('RPK (live)'!W294/'ASK (live)'!W294,"-")</f>
        <v>0.75090553190798914</v>
      </c>
      <c r="X294" s="10">
        <f ca="1">IFERROR('RPK (live)'!X294/'ASK (live)'!X294,"-")</f>
        <v>0.73716400516204972</v>
      </c>
      <c r="Y294" s="10">
        <f ca="1">IFERROR('RPK (live)'!Y294/'ASK (live)'!Y294,"-")</f>
        <v>0.88958574267756807</v>
      </c>
      <c r="Z294" s="10">
        <f ca="1">IFERROR('RPK (live)'!Z294/'ASK (live)'!Z294,"-")</f>
        <v>0.93540785195292253</v>
      </c>
      <c r="AA294" s="10">
        <f ca="1">IFERROR('RPK (live)'!AA294/'ASK (live)'!AA294,"-")</f>
        <v>0.86995151698981477</v>
      </c>
      <c r="AB294" s="10">
        <f ca="1">IFERROR('RPK (live)'!AB294/'ASK (live)'!AB294,"-")</f>
        <v>0.77534113641733893</v>
      </c>
      <c r="AC294" s="10">
        <f ca="1">IFERROR('RPK (live)'!AC294/'ASK (live)'!AC294,"-")</f>
        <v>0.72538203905255927</v>
      </c>
      <c r="AD294" s="10" t="str">
        <f ca="1">IFERROR('RPK (live)'!AD294/'ASK (live)'!AD294,"-")</f>
        <v>-</v>
      </c>
      <c r="AE294" s="10" t="str">
        <f ca="1">IFERROR('RPK (live)'!AE294/'ASK (live)'!AE294,"-")</f>
        <v>-</v>
      </c>
    </row>
    <row r="295" spans="1:31">
      <c r="A295" s="1" t="s">
        <v>152</v>
      </c>
      <c r="B295" s="5" t="s">
        <v>217</v>
      </c>
      <c r="C295" s="5" t="s">
        <v>159</v>
      </c>
      <c r="D295" s="5" t="s">
        <v>21</v>
      </c>
      <c r="E295" s="5" t="s">
        <v>38</v>
      </c>
      <c r="F295" s="5" t="s">
        <v>25</v>
      </c>
      <c r="G295" s="6"/>
      <c r="H295" s="6"/>
      <c r="I295" s="6"/>
      <c r="J295" s="6"/>
      <c r="K295" s="6"/>
      <c r="L295" s="10">
        <f ca="1">IFERROR('RPK (live)'!L295/'ASK (live)'!L295,"-")</f>
        <v>0.70712258520062643</v>
      </c>
      <c r="M295" s="10">
        <f ca="1">IFERROR('RPK (live)'!M295/'ASK (live)'!M295,"-")</f>
        <v>0.83451694707262192</v>
      </c>
      <c r="N295" s="10">
        <f ca="1">IFERROR('RPK (live)'!N295/'ASK (live)'!N295,"-")</f>
        <v>0.80704181881326775</v>
      </c>
      <c r="O295" s="10">
        <f ca="1">IFERROR('RPK (live)'!O295/'ASK (live)'!O295,"-")</f>
        <v>0.92947612479598263</v>
      </c>
      <c r="P295" s="10">
        <f ca="1">IFERROR('RPK (live)'!P295/'ASK (live)'!P295,"-")</f>
        <v>0.66182141809551831</v>
      </c>
      <c r="Q295" s="10" t="str">
        <f ca="1">IFERROR('RPK (live)'!Q295/'ASK (live)'!Q295,"-")</f>
        <v>-</v>
      </c>
      <c r="R295" s="10" t="str">
        <f ca="1">IFERROR('RPK (live)'!R295/'ASK (live)'!R295,"-")</f>
        <v>-</v>
      </c>
      <c r="S295" s="10" t="str">
        <f ca="1">IFERROR('RPK (live)'!S295/'ASK (live)'!S295,"-")</f>
        <v>-</v>
      </c>
      <c r="T295" s="10">
        <f ca="1">IFERROR('RPK (live)'!T295/'ASK (live)'!T295,"-")</f>
        <v>0.66766432203568227</v>
      </c>
      <c r="U295" s="10">
        <f ca="1">IFERROR('RPK (live)'!U295/'ASK (live)'!U295,"-")</f>
        <v>0.71640457134087743</v>
      </c>
      <c r="V295" s="10">
        <f ca="1">IFERROR('RPK (live)'!V295/'ASK (live)'!V295,"-")</f>
        <v>0.72761381526658386</v>
      </c>
      <c r="W295" s="10">
        <f ca="1">IFERROR('RPK (live)'!W295/'ASK (live)'!W295,"-")</f>
        <v>0.81731420599132609</v>
      </c>
      <c r="X295" s="10">
        <f ca="1">IFERROR('RPK (live)'!X295/'ASK (live)'!X295,"-")</f>
        <v>0.79225017465348846</v>
      </c>
      <c r="Y295" s="10">
        <f ca="1">IFERROR('RPK (live)'!Y295/'ASK (live)'!Y295,"-")</f>
        <v>0.87333613496133256</v>
      </c>
      <c r="Z295" s="10">
        <f ca="1">IFERROR('RPK (live)'!Z295/'ASK (live)'!Z295,"-")</f>
        <v>0.91269345217695985</v>
      </c>
      <c r="AA295" s="10">
        <f ca="1">IFERROR('RPK (live)'!AA295/'ASK (live)'!AA295,"-")</f>
        <v>0.97764387090354476</v>
      </c>
      <c r="AB295" s="10">
        <f ca="1">IFERROR('RPK (live)'!AB295/'ASK (live)'!AB295,"-")</f>
        <v>0.68988420477605417</v>
      </c>
      <c r="AC295" s="10">
        <f ca="1">IFERROR('RPK (live)'!AC295/'ASK (live)'!AC295,"-")</f>
        <v>0.76526925418615699</v>
      </c>
      <c r="AD295" s="10">
        <f ca="1">IFERROR('RPK (live)'!AD295/'ASK (live)'!AD295,"-")</f>
        <v>0.71617347057752012</v>
      </c>
      <c r="AE295" s="10">
        <f ca="1">IFERROR('RPK (live)'!AE295/'ASK (live)'!AE295,"-")</f>
        <v>0.83889065055270717</v>
      </c>
    </row>
    <row r="296" spans="1:31">
      <c r="A296" s="1" t="s">
        <v>152</v>
      </c>
      <c r="B296" s="5" t="s">
        <v>44</v>
      </c>
      <c r="C296" s="5" t="s">
        <v>37</v>
      </c>
      <c r="D296" s="5" t="s">
        <v>38</v>
      </c>
      <c r="E296" s="5" t="s">
        <v>21</v>
      </c>
      <c r="F296" s="5" t="s">
        <v>25</v>
      </c>
      <c r="G296" s="6"/>
      <c r="H296" s="6"/>
      <c r="I296" s="6"/>
      <c r="J296" s="6"/>
      <c r="K296" s="6"/>
      <c r="L296" s="10">
        <f ca="1">IFERROR('RPK (live)'!L296/'ASK (live)'!L296,"-")</f>
        <v>0.70712258520062643</v>
      </c>
      <c r="M296" s="10">
        <f ca="1">IFERROR('RPK (live)'!M296/'ASK (live)'!M296,"-")</f>
        <v>0.83451694707262192</v>
      </c>
      <c r="N296" s="10">
        <f ca="1">IFERROR('RPK (live)'!N296/'ASK (live)'!N296,"-")</f>
        <v>0.80704181881326775</v>
      </c>
      <c r="O296" s="10">
        <f ca="1">IFERROR('RPK (live)'!O296/'ASK (live)'!O296,"-")</f>
        <v>0.92947612479598263</v>
      </c>
      <c r="P296" s="10">
        <f ca="1">IFERROR('RPK (live)'!P296/'ASK (live)'!P296,"-")</f>
        <v>0.66182141809551831</v>
      </c>
      <c r="Q296" s="10">
        <f ca="1">IFERROR('RPK (live)'!Q296/'ASK (live)'!Q296,"-")</f>
        <v>0.78392711174967888</v>
      </c>
      <c r="R296" s="10" t="str">
        <f ca="1">IFERROR('RPK (live)'!R296/'ASK (live)'!R296,"-")</f>
        <v>-</v>
      </c>
      <c r="S296" s="10" t="str">
        <f ca="1">IFERROR('RPK (live)'!S296/'ASK (live)'!S296,"-")</f>
        <v>-</v>
      </c>
      <c r="T296" s="10">
        <f ca="1">IFERROR('RPK (live)'!T296/'ASK (live)'!T296,"-")</f>
        <v>0.66766432203568227</v>
      </c>
      <c r="U296" s="10">
        <f ca="1">IFERROR('RPK (live)'!U296/'ASK (live)'!U296,"-")</f>
        <v>0.71640457134087732</v>
      </c>
      <c r="V296" s="10">
        <f ca="1">IFERROR('RPK (live)'!V296/'ASK (live)'!V296,"-")</f>
        <v>0.72761381526658386</v>
      </c>
      <c r="W296" s="10">
        <f ca="1">IFERROR('RPK (live)'!W296/'ASK (live)'!W296,"-")</f>
        <v>0.81731420599132609</v>
      </c>
      <c r="X296" s="10">
        <f ca="1">IFERROR('RPK (live)'!X296/'ASK (live)'!X296,"-")</f>
        <v>0.79225017465348846</v>
      </c>
      <c r="Y296" s="10">
        <f ca="1">IFERROR('RPK (live)'!Y296/'ASK (live)'!Y296,"-")</f>
        <v>0.87333613496133256</v>
      </c>
      <c r="Z296" s="10">
        <f ca="1">IFERROR('RPK (live)'!Z296/'ASK (live)'!Z296,"-")</f>
        <v>0.91269345217695985</v>
      </c>
      <c r="AA296" s="10">
        <f ca="1">IFERROR('RPK (live)'!AA296/'ASK (live)'!AA296,"-")</f>
        <v>0.97764387090354476</v>
      </c>
      <c r="AB296" s="10">
        <f ca="1">IFERROR('RPK (live)'!AB296/'ASK (live)'!AB296,"-")</f>
        <v>0.68988420477605417</v>
      </c>
      <c r="AC296" s="10">
        <f ca="1">IFERROR('RPK (live)'!AC296/'ASK (live)'!AC296,"-")</f>
        <v>0.76526925418615721</v>
      </c>
      <c r="AD296" s="10">
        <f ca="1">IFERROR('RPK (live)'!AD296/'ASK (live)'!AD296,"-")</f>
        <v>0.71617347057752012</v>
      </c>
      <c r="AE296" s="10">
        <f ca="1">IFERROR('RPK (live)'!AE296/'ASK (live)'!AE296,"-")</f>
        <v>0.83889065055270695</v>
      </c>
    </row>
    <row r="297" spans="1:31">
      <c r="A297" s="1" t="s">
        <v>152</v>
      </c>
      <c r="B297" s="5" t="s">
        <v>218</v>
      </c>
      <c r="C297" s="5" t="s">
        <v>219</v>
      </c>
      <c r="D297" s="5" t="s">
        <v>21</v>
      </c>
      <c r="E297" s="5" t="s">
        <v>49</v>
      </c>
      <c r="F297" s="5" t="s">
        <v>25</v>
      </c>
      <c r="G297" s="6"/>
      <c r="H297" s="6"/>
      <c r="I297" s="6"/>
      <c r="J297" s="6"/>
      <c r="K297" s="6"/>
      <c r="L297" s="10">
        <f ca="1">IFERROR('RPK (live)'!L297/'ASK (live)'!L297,"-")</f>
        <v>0.92000000000000015</v>
      </c>
      <c r="M297" s="10">
        <f ca="1">IFERROR('RPK (live)'!M297/'ASK (live)'!M297,"-")</f>
        <v>0.87074318499822523</v>
      </c>
      <c r="N297" s="10">
        <f ca="1">IFERROR('RPK (live)'!N297/'ASK (live)'!N297,"-")</f>
        <v>0.82999999999999985</v>
      </c>
      <c r="O297" s="10">
        <f ca="1">IFERROR('RPK (live)'!O297/'ASK (live)'!O297,"-")</f>
        <v>0.81</v>
      </c>
      <c r="P297" s="10">
        <f ca="1">IFERROR('RPK (live)'!P297/'ASK (live)'!P297,"-")</f>
        <v>0.86</v>
      </c>
      <c r="Q297" s="10">
        <f ca="1">IFERROR('RPK (live)'!Q297/'ASK (live)'!Q297,"-")</f>
        <v>0.81</v>
      </c>
      <c r="R297" s="10">
        <f ca="1">IFERROR('RPK (live)'!R297/'ASK (live)'!R297,"-")</f>
        <v>0.75</v>
      </c>
      <c r="S297" s="10">
        <f ca="1">IFERROR('RPK (live)'!S297/'ASK (live)'!S297,"-")</f>
        <v>0.61</v>
      </c>
      <c r="T297" s="10">
        <f ca="1">IFERROR('RPK (live)'!T297/'ASK (live)'!T297,"-")</f>
        <v>0.68817791861162447</v>
      </c>
      <c r="U297" s="10">
        <f ca="1">IFERROR('RPK (live)'!U297/'ASK (live)'!U297,"-")</f>
        <v>0.83973225996080836</v>
      </c>
      <c r="V297" s="10">
        <f ca="1">IFERROR('RPK (live)'!V297/'ASK (live)'!V297,"-")</f>
        <v>0.90300742265269041</v>
      </c>
      <c r="W297" s="10">
        <f ca="1">IFERROR('RPK (live)'!W297/'ASK (live)'!W297,"-")</f>
        <v>0.91212115500820234</v>
      </c>
      <c r="X297" s="10">
        <f ca="1">IFERROR('RPK (live)'!X297/'ASK (live)'!X297,"-")</f>
        <v>0.99051911298780149</v>
      </c>
      <c r="Y297" s="10">
        <f ca="1">IFERROR('RPK (live)'!Y297/'ASK (live)'!Y297,"-")</f>
        <v>0.99051911298780149</v>
      </c>
      <c r="Z297" s="10">
        <f ca="1">IFERROR('RPK (live)'!Z297/'ASK (live)'!Z297,"-")</f>
        <v>0.93604354899746833</v>
      </c>
      <c r="AA297" s="10">
        <f ca="1">IFERROR('RPK (live)'!AA297/'ASK (live)'!AA297,"-")</f>
        <v>0.90303464120245369</v>
      </c>
      <c r="AB297" s="10">
        <f ca="1">IFERROR('RPK (live)'!AB297/'ASK (live)'!AB297,"-")</f>
        <v>0.99051911298780149</v>
      </c>
      <c r="AC297" s="10">
        <f ca="1">IFERROR('RPK (live)'!AC297/'ASK (live)'!AC297,"-")</f>
        <v>0.99051911298780149</v>
      </c>
      <c r="AD297" s="10">
        <f ca="1">IFERROR('RPK (live)'!AD297/'ASK (live)'!AD297,"-")</f>
        <v>0.87460694341873557</v>
      </c>
      <c r="AE297" s="10">
        <f ca="1">IFERROR('RPK (live)'!AE297/'ASK (live)'!AE297,"-")</f>
        <v>0.6973805350530341</v>
      </c>
    </row>
    <row r="298" spans="1:31">
      <c r="A298" s="1" t="s">
        <v>152</v>
      </c>
      <c r="B298" s="5" t="s">
        <v>47</v>
      </c>
      <c r="C298" s="5" t="s">
        <v>48</v>
      </c>
      <c r="D298" s="5" t="s">
        <v>49</v>
      </c>
      <c r="E298" s="5" t="s">
        <v>21</v>
      </c>
      <c r="F298" s="5" t="s">
        <v>25</v>
      </c>
      <c r="G298" s="6"/>
      <c r="H298" s="6"/>
      <c r="I298" s="6"/>
      <c r="J298" s="6"/>
      <c r="K298" s="6"/>
      <c r="L298" s="10">
        <f ca="1">IFERROR('RPK (live)'!L298/'ASK (live)'!L298,"-")</f>
        <v>0.92000000000000015</v>
      </c>
      <c r="M298" s="10">
        <f ca="1">IFERROR('RPK (live)'!M298/'ASK (live)'!M298,"-")</f>
        <v>0.87074318499822523</v>
      </c>
      <c r="N298" s="10">
        <f ca="1">IFERROR('RPK (live)'!N298/'ASK (live)'!N298,"-")</f>
        <v>0.82999999999999985</v>
      </c>
      <c r="O298" s="10">
        <f ca="1">IFERROR('RPK (live)'!O298/'ASK (live)'!O298,"-")</f>
        <v>0.81</v>
      </c>
      <c r="P298" s="10">
        <f ca="1">IFERROR('RPK (live)'!P298/'ASK (live)'!P298,"-")</f>
        <v>0.86</v>
      </c>
      <c r="Q298" s="10">
        <f ca="1">IFERROR('RPK (live)'!Q298/'ASK (live)'!Q298,"-")</f>
        <v>0.81</v>
      </c>
      <c r="R298" s="10">
        <f ca="1">IFERROR('RPK (live)'!R298/'ASK (live)'!R298,"-")</f>
        <v>0.75</v>
      </c>
      <c r="S298" s="10">
        <f ca="1">IFERROR('RPK (live)'!S298/'ASK (live)'!S298,"-")</f>
        <v>0.61</v>
      </c>
      <c r="T298" s="10">
        <f ca="1">IFERROR('RPK (live)'!T298/'ASK (live)'!T298,"-")</f>
        <v>0.68817791861162447</v>
      </c>
      <c r="U298" s="10">
        <f ca="1">IFERROR('RPK (live)'!U298/'ASK (live)'!U298,"-")</f>
        <v>0.83973225996080836</v>
      </c>
      <c r="V298" s="10">
        <f ca="1">IFERROR('RPK (live)'!V298/'ASK (live)'!V298,"-")</f>
        <v>0.90300742265269041</v>
      </c>
      <c r="W298" s="10">
        <f ca="1">IFERROR('RPK (live)'!W298/'ASK (live)'!W298,"-")</f>
        <v>0.91212115500820234</v>
      </c>
      <c r="X298" s="10">
        <f ca="1">IFERROR('RPK (live)'!X298/'ASK (live)'!X298,"-")</f>
        <v>0.99051911298780149</v>
      </c>
      <c r="Y298" s="10">
        <f ca="1">IFERROR('RPK (live)'!Y298/'ASK (live)'!Y298,"-")</f>
        <v>0.99051911298780149</v>
      </c>
      <c r="Z298" s="10">
        <f ca="1">IFERROR('RPK (live)'!Z298/'ASK (live)'!Z298,"-")</f>
        <v>0.93604354899746833</v>
      </c>
      <c r="AA298" s="10">
        <f ca="1">IFERROR('RPK (live)'!AA298/'ASK (live)'!AA298,"-")</f>
        <v>0.90303464120245369</v>
      </c>
      <c r="AB298" s="10">
        <f ca="1">IFERROR('RPK (live)'!AB298/'ASK (live)'!AB298,"-")</f>
        <v>0.99051911298780149</v>
      </c>
      <c r="AC298" s="10">
        <f ca="1">IFERROR('RPK (live)'!AC298/'ASK (live)'!AC298,"-")</f>
        <v>0.99051911298780138</v>
      </c>
      <c r="AD298" s="10">
        <f ca="1">IFERROR('RPK (live)'!AD298/'ASK (live)'!AD298,"-")</f>
        <v>0.87460694341873557</v>
      </c>
      <c r="AE298" s="10">
        <f ca="1">IFERROR('RPK (live)'!AE298/'ASK (live)'!AE298,"-")</f>
        <v>0.6973805350530341</v>
      </c>
    </row>
    <row r="299" spans="1:31">
      <c r="A299" s="1" t="s">
        <v>152</v>
      </c>
      <c r="B299" s="5" t="s">
        <v>220</v>
      </c>
      <c r="C299" s="5" t="s">
        <v>166</v>
      </c>
      <c r="D299" s="5" t="s">
        <v>21</v>
      </c>
      <c r="E299" s="5" t="s">
        <v>31</v>
      </c>
      <c r="F299" s="5" t="s">
        <v>25</v>
      </c>
      <c r="G299" s="6"/>
      <c r="H299" s="6"/>
      <c r="I299" s="6"/>
      <c r="J299" s="6"/>
      <c r="K299" s="6"/>
      <c r="L299" s="10">
        <f ca="1">IFERROR('RPK (live)'!L299/'ASK (live)'!L299,"-")</f>
        <v>0.7</v>
      </c>
      <c r="M299" s="10">
        <f ca="1">IFERROR('RPK (live)'!M299/'ASK (live)'!M299,"-")</f>
        <v>0.91124286802139853</v>
      </c>
      <c r="N299" s="10">
        <f ca="1">IFERROR('RPK (live)'!N299/'ASK (live)'!N299,"-")</f>
        <v>0.92</v>
      </c>
      <c r="O299" s="10">
        <f ca="1">IFERROR('RPK (live)'!O299/'ASK (live)'!O299,"-")</f>
        <v>0.95</v>
      </c>
      <c r="P299" s="10">
        <f ca="1">IFERROR('RPK (live)'!P299/'ASK (live)'!P299,"-")</f>
        <v>0.73999999999999988</v>
      </c>
      <c r="Q299" s="10">
        <f ca="1">IFERROR('RPK (live)'!Q299/'ASK (live)'!Q299,"-")</f>
        <v>0.69</v>
      </c>
      <c r="R299" s="10" t="str">
        <f ca="1">IFERROR('RPK (live)'!R299/'ASK (live)'!R299,"-")</f>
        <v>-</v>
      </c>
      <c r="S299" s="10" t="str">
        <f ca="1">IFERROR('RPK (live)'!S299/'ASK (live)'!S299,"-")</f>
        <v>-</v>
      </c>
      <c r="T299" s="10" t="str">
        <f ca="1">IFERROR('RPK (live)'!T299/'ASK (live)'!T299,"-")</f>
        <v>-</v>
      </c>
      <c r="U299" s="10" t="str">
        <f ca="1">IFERROR('RPK (live)'!U299/'ASK (live)'!U299,"-")</f>
        <v>-</v>
      </c>
      <c r="V299" s="10">
        <f ca="1">IFERROR('RPK (live)'!V299/'ASK (live)'!V299,"-")</f>
        <v>0.63372412158249625</v>
      </c>
      <c r="W299" s="10">
        <f ca="1">IFERROR('RPK (live)'!W299/'ASK (live)'!W299,"-")</f>
        <v>0.78826367532792185</v>
      </c>
      <c r="X299" s="10">
        <f ca="1">IFERROR('RPK (live)'!X299/'ASK (live)'!X299,"-")</f>
        <v>0.87307211265355944</v>
      </c>
      <c r="Y299" s="10">
        <f ca="1">IFERROR('RPK (live)'!Y299/'ASK (live)'!Y299,"-")</f>
        <v>0.89938472662589786</v>
      </c>
      <c r="Z299" s="10">
        <f ca="1">IFERROR('RPK (live)'!Z299/'ASK (live)'!Z299,"-")</f>
        <v>0.96314711078953474</v>
      </c>
      <c r="AA299" s="10">
        <f ca="1">IFERROR('RPK (live)'!AA299/'ASK (live)'!AA299,"-")</f>
        <v>0.95927586610817606</v>
      </c>
      <c r="AB299" s="10">
        <f ca="1">IFERROR('RPK (live)'!AB299/'ASK (live)'!AB299,"-")</f>
        <v>0.78827930021884096</v>
      </c>
      <c r="AC299" s="10">
        <f ca="1">IFERROR('RPK (live)'!AC299/'ASK (live)'!AC299,"-")</f>
        <v>0.72190692378442023</v>
      </c>
      <c r="AD299" s="10" t="str">
        <f ca="1">IFERROR('RPK (live)'!AD299/'ASK (live)'!AD299,"-")</f>
        <v>-</v>
      </c>
      <c r="AE299" s="10" t="str">
        <f ca="1">IFERROR('RPK (live)'!AE299/'ASK (live)'!AE299,"-")</f>
        <v>-</v>
      </c>
    </row>
    <row r="300" spans="1:31">
      <c r="A300" s="1" t="s">
        <v>152</v>
      </c>
      <c r="B300" s="5" t="s">
        <v>32</v>
      </c>
      <c r="C300" s="5" t="s">
        <v>30</v>
      </c>
      <c r="D300" s="5" t="s">
        <v>31</v>
      </c>
      <c r="E300" s="5" t="s">
        <v>21</v>
      </c>
      <c r="F300" s="5" t="s">
        <v>25</v>
      </c>
      <c r="G300" s="6"/>
      <c r="H300" s="6"/>
      <c r="I300" s="6"/>
      <c r="J300" s="6"/>
      <c r="K300" s="6"/>
      <c r="L300" s="10">
        <f ca="1">IFERROR('RPK (live)'!L300/'ASK (live)'!L300,"-")</f>
        <v>0.7</v>
      </c>
      <c r="M300" s="10">
        <f ca="1">IFERROR('RPK (live)'!M300/'ASK (live)'!M300,"-")</f>
        <v>0.91124286802139853</v>
      </c>
      <c r="N300" s="10">
        <f ca="1">IFERROR('RPK (live)'!N300/'ASK (live)'!N300,"-")</f>
        <v>0.92</v>
      </c>
      <c r="O300" s="10">
        <f ca="1">IFERROR('RPK (live)'!O300/'ASK (live)'!O300,"-")</f>
        <v>0.95</v>
      </c>
      <c r="P300" s="10">
        <f ca="1">IFERROR('RPK (live)'!P300/'ASK (live)'!P300,"-")</f>
        <v>0.73999999999999988</v>
      </c>
      <c r="Q300" s="10">
        <f ca="1">IFERROR('RPK (live)'!Q300/'ASK (live)'!Q300,"-")</f>
        <v>0.69</v>
      </c>
      <c r="R300" s="10" t="str">
        <f ca="1">IFERROR('RPK (live)'!R300/'ASK (live)'!R300,"-")</f>
        <v>-</v>
      </c>
      <c r="S300" s="10" t="str">
        <f ca="1">IFERROR('RPK (live)'!S300/'ASK (live)'!S300,"-")</f>
        <v>-</v>
      </c>
      <c r="T300" s="10" t="str">
        <f ca="1">IFERROR('RPK (live)'!T300/'ASK (live)'!T300,"-")</f>
        <v>-</v>
      </c>
      <c r="U300" s="10" t="str">
        <f ca="1">IFERROR('RPK (live)'!U300/'ASK (live)'!U300,"-")</f>
        <v>-</v>
      </c>
      <c r="V300" s="10">
        <f ca="1">IFERROR('RPK (live)'!V300/'ASK (live)'!V300,"-")</f>
        <v>0.63372412158249625</v>
      </c>
      <c r="W300" s="10">
        <f ca="1">IFERROR('RPK (live)'!W300/'ASK (live)'!W300,"-")</f>
        <v>0.78826367532792185</v>
      </c>
      <c r="X300" s="10">
        <f ca="1">IFERROR('RPK (live)'!X300/'ASK (live)'!X300,"-")</f>
        <v>0.87307211265355944</v>
      </c>
      <c r="Y300" s="10">
        <f ca="1">IFERROR('RPK (live)'!Y300/'ASK (live)'!Y300,"-")</f>
        <v>0.89938472662589786</v>
      </c>
      <c r="Z300" s="10">
        <f ca="1">IFERROR('RPK (live)'!Z300/'ASK (live)'!Z300,"-")</f>
        <v>0.96314711078953474</v>
      </c>
      <c r="AA300" s="10">
        <f ca="1">IFERROR('RPK (live)'!AA300/'ASK (live)'!AA300,"-")</f>
        <v>0.95927586610817606</v>
      </c>
      <c r="AB300" s="10">
        <f ca="1">IFERROR('RPK (live)'!AB300/'ASK (live)'!AB300,"-")</f>
        <v>0.78827930021884096</v>
      </c>
      <c r="AC300" s="10">
        <f ca="1">IFERROR('RPK (live)'!AC300/'ASK (live)'!AC300,"-")</f>
        <v>0.72190692378442034</v>
      </c>
      <c r="AD300" s="10" t="str">
        <f ca="1">IFERROR('RPK (live)'!AD300/'ASK (live)'!AD300,"-")</f>
        <v>-</v>
      </c>
      <c r="AE300" s="10" t="str">
        <f ca="1">IFERROR('RPK (live)'!AE300/'ASK (live)'!AE300,"-")</f>
        <v>-</v>
      </c>
    </row>
    <row r="301" spans="1:31">
      <c r="A301" s="1" t="s">
        <v>152</v>
      </c>
      <c r="B301" s="5" t="s">
        <v>221</v>
      </c>
      <c r="C301" s="5" t="s">
        <v>193</v>
      </c>
      <c r="D301" s="5" t="s">
        <v>21</v>
      </c>
      <c r="E301" s="5" t="s">
        <v>194</v>
      </c>
      <c r="F301" s="5" t="s">
        <v>25</v>
      </c>
      <c r="G301" s="6"/>
      <c r="H301" s="6"/>
      <c r="I301" s="6"/>
      <c r="J301" s="6"/>
      <c r="K301" s="6"/>
      <c r="L301" s="10">
        <f ca="1">IFERROR('RPK (live)'!L301/'ASK (live)'!L301,"-")</f>
        <v>0.84999999999999987</v>
      </c>
      <c r="M301" s="10">
        <f ca="1">IFERROR('RPK (live)'!M301/'ASK (live)'!M301,"-")</f>
        <v>0.93149270953298513</v>
      </c>
      <c r="N301" s="10">
        <f ca="1">IFERROR('RPK (live)'!N301/'ASK (live)'!N301,"-")</f>
        <v>0.90000000000000013</v>
      </c>
      <c r="O301" s="10">
        <f ca="1">IFERROR('RPK (live)'!O301/'ASK (live)'!O301,"-")</f>
        <v>0.90000000000000013</v>
      </c>
      <c r="P301" s="10">
        <f ca="1">IFERROR('RPK (live)'!P301/'ASK (live)'!P301,"-")</f>
        <v>0.90999999999999992</v>
      </c>
      <c r="Q301" s="10">
        <f ca="1">IFERROR('RPK (live)'!Q301/'ASK (live)'!Q301,"-")</f>
        <v>0.89500000000000002</v>
      </c>
      <c r="R301" s="10">
        <f ca="1">IFERROR('RPK (live)'!R301/'ASK (live)'!R301,"-")</f>
        <v>0.83999999999999986</v>
      </c>
      <c r="S301" s="10">
        <f ca="1">IFERROR('RPK (live)'!S301/'ASK (live)'!S301,"-")</f>
        <v>0.79999999999999993</v>
      </c>
      <c r="T301" s="10">
        <f ca="1">IFERROR('RPK (live)'!T301/'ASK (live)'!T301,"-")</f>
        <v>0.95716021322722344</v>
      </c>
      <c r="U301" s="10">
        <f ca="1">IFERROR('RPK (live)'!U301/'ASK (live)'!U301,"-")</f>
        <v>0.99051911298780149</v>
      </c>
      <c r="V301" s="10">
        <f ca="1">IFERROR('RPK (live)'!V301/'ASK (live)'!V301,"-")</f>
        <v>0.99051911298780182</v>
      </c>
      <c r="W301" s="10">
        <f ca="1">IFERROR('RPK (live)'!W301/'ASK (live)'!W301,"-")</f>
        <v>0.9549551184281635</v>
      </c>
      <c r="X301" s="10">
        <f ca="1">IFERROR('RPK (live)'!X301/'ASK (live)'!X301,"-")</f>
        <v>0.9905191129878016</v>
      </c>
      <c r="Y301" s="10">
        <f ca="1">IFERROR('RPK (live)'!Y301/'ASK (live)'!Y301,"-")</f>
        <v>0.99051911298780149</v>
      </c>
      <c r="Z301" s="10">
        <f ca="1">IFERROR('RPK (live)'!Z301/'ASK (live)'!Z301,"-")</f>
        <v>0.97892816223024037</v>
      </c>
      <c r="AA301" s="10">
        <f ca="1">IFERROR('RPK (live)'!AA301/'ASK (live)'!AA301,"-")</f>
        <v>0.97826446650574006</v>
      </c>
      <c r="AB301" s="10">
        <f ca="1">IFERROR('RPK (live)'!AB301/'ASK (live)'!AB301,"-")</f>
        <v>0.99051911298780171</v>
      </c>
      <c r="AC301" s="10">
        <f ca="1">IFERROR('RPK (live)'!AC301/'ASK (live)'!AC301,"-")</f>
        <v>0.99051911298780138</v>
      </c>
      <c r="AD301" s="10">
        <f ca="1">IFERROR('RPK (live)'!AD301/'ASK (live)'!AD301,"-")</f>
        <v>0.83436563187174784</v>
      </c>
      <c r="AE301" s="10">
        <f ca="1">IFERROR('RPK (live)'!AE301/'ASK (live)'!AE301,"-")</f>
        <v>0.82623521212495254</v>
      </c>
    </row>
    <row r="302" spans="1:31">
      <c r="A302" s="1" t="s">
        <v>152</v>
      </c>
      <c r="B302" s="5" t="s">
        <v>222</v>
      </c>
      <c r="C302" s="5" t="s">
        <v>196</v>
      </c>
      <c r="D302" s="5" t="s">
        <v>194</v>
      </c>
      <c r="E302" s="5" t="s">
        <v>21</v>
      </c>
      <c r="F302" s="5" t="s">
        <v>25</v>
      </c>
      <c r="G302" s="6"/>
      <c r="H302" s="6"/>
      <c r="I302" s="6"/>
      <c r="J302" s="6"/>
      <c r="K302" s="6"/>
      <c r="L302" s="10">
        <f ca="1">IFERROR('RPK (live)'!L302/'ASK (live)'!L302,"-")</f>
        <v>0.84999999999999987</v>
      </c>
      <c r="M302" s="10">
        <f ca="1">IFERROR('RPK (live)'!M302/'ASK (live)'!M302,"-")</f>
        <v>0.93149270953298513</v>
      </c>
      <c r="N302" s="10">
        <f ca="1">IFERROR('RPK (live)'!N302/'ASK (live)'!N302,"-")</f>
        <v>0.90000000000000013</v>
      </c>
      <c r="O302" s="10">
        <f ca="1">IFERROR('RPK (live)'!O302/'ASK (live)'!O302,"-")</f>
        <v>0.90000000000000013</v>
      </c>
      <c r="P302" s="10">
        <f ca="1">IFERROR('RPK (live)'!P302/'ASK (live)'!P302,"-")</f>
        <v>0.90999999999999992</v>
      </c>
      <c r="Q302" s="10">
        <f ca="1">IFERROR('RPK (live)'!Q302/'ASK (live)'!Q302,"-")</f>
        <v>0.89500000000000002</v>
      </c>
      <c r="R302" s="10">
        <f ca="1">IFERROR('RPK (live)'!R302/'ASK (live)'!R302,"-")</f>
        <v>0.83999999999999986</v>
      </c>
      <c r="S302" s="10">
        <f ca="1">IFERROR('RPK (live)'!S302/'ASK (live)'!S302,"-")</f>
        <v>0.79999999999999993</v>
      </c>
      <c r="T302" s="10">
        <f ca="1">IFERROR('RPK (live)'!T302/'ASK (live)'!T302,"-")</f>
        <v>0.95716021322722344</v>
      </c>
      <c r="U302" s="10">
        <f ca="1">IFERROR('RPK (live)'!U302/'ASK (live)'!U302,"-")</f>
        <v>0.99051911298780149</v>
      </c>
      <c r="V302" s="10">
        <f ca="1">IFERROR('RPK (live)'!V302/'ASK (live)'!V302,"-")</f>
        <v>0.99051911298780182</v>
      </c>
      <c r="W302" s="10">
        <f ca="1">IFERROR('RPK (live)'!W302/'ASK (live)'!W302,"-")</f>
        <v>0.9549551184281635</v>
      </c>
      <c r="X302" s="10">
        <f ca="1">IFERROR('RPK (live)'!X302/'ASK (live)'!X302,"-")</f>
        <v>0.9905191129878016</v>
      </c>
      <c r="Y302" s="10">
        <f ca="1">IFERROR('RPK (live)'!Y302/'ASK (live)'!Y302,"-")</f>
        <v>0.99051911298780149</v>
      </c>
      <c r="Z302" s="10">
        <f ca="1">IFERROR('RPK (live)'!Z302/'ASK (live)'!Z302,"-")</f>
        <v>0.97892816223024037</v>
      </c>
      <c r="AA302" s="10">
        <f ca="1">IFERROR('RPK (live)'!AA302/'ASK (live)'!AA302,"-")</f>
        <v>0.97826446650574006</v>
      </c>
      <c r="AB302" s="10">
        <f ca="1">IFERROR('RPK (live)'!AB302/'ASK (live)'!AB302,"-")</f>
        <v>0.99051911298780171</v>
      </c>
      <c r="AC302" s="10">
        <f ca="1">IFERROR('RPK (live)'!AC302/'ASK (live)'!AC302,"-")</f>
        <v>0.99051911298780138</v>
      </c>
      <c r="AD302" s="10">
        <f ca="1">IFERROR('RPK (live)'!AD302/'ASK (live)'!AD302,"-")</f>
        <v>0.83436563187174784</v>
      </c>
      <c r="AE302" s="10">
        <f ca="1">IFERROR('RPK (live)'!AE302/'ASK (live)'!AE302,"-")</f>
        <v>0.82623521212495243</v>
      </c>
    </row>
    <row r="303" spans="1:31">
      <c r="A303" s="1" t="s">
        <v>152</v>
      </c>
      <c r="B303" s="5" t="s">
        <v>223</v>
      </c>
      <c r="C303" s="5" t="s">
        <v>193</v>
      </c>
      <c r="D303" s="5" t="s">
        <v>21</v>
      </c>
      <c r="E303" s="5" t="s">
        <v>194</v>
      </c>
      <c r="F303" s="5" t="s">
        <v>25</v>
      </c>
      <c r="G303" s="6"/>
      <c r="H303" s="6"/>
      <c r="I303" s="6"/>
      <c r="J303" s="6"/>
      <c r="K303" s="6"/>
      <c r="L303" s="10">
        <f ca="1">IFERROR('RPK (live)'!L303/'ASK (live)'!L303,"-")</f>
        <v>0.85</v>
      </c>
      <c r="M303" s="10">
        <f ca="1">IFERROR('RPK (live)'!M303/'ASK (live)'!M303,"-")</f>
        <v>0.93149270953298524</v>
      </c>
      <c r="N303" s="10">
        <f ca="1">IFERROR('RPK (live)'!N303/'ASK (live)'!N303,"-")</f>
        <v>0.90000000000000013</v>
      </c>
      <c r="O303" s="10">
        <f ca="1">IFERROR('RPK (live)'!O303/'ASK (live)'!O303,"-")</f>
        <v>0.90000000000000013</v>
      </c>
      <c r="P303" s="10">
        <f ca="1">IFERROR('RPK (live)'!P303/'ASK (live)'!P303,"-")</f>
        <v>0.91</v>
      </c>
      <c r="Q303" s="10">
        <f ca="1">IFERROR('RPK (live)'!Q303/'ASK (live)'!Q303,"-")</f>
        <v>0.89500000000000002</v>
      </c>
      <c r="R303" s="10">
        <f ca="1">IFERROR('RPK (live)'!R303/'ASK (live)'!R303,"-")</f>
        <v>0.83999999999999975</v>
      </c>
      <c r="S303" s="10">
        <f ca="1">IFERROR('RPK (live)'!S303/'ASK (live)'!S303,"-")</f>
        <v>0.79999999999999993</v>
      </c>
      <c r="T303" s="10">
        <f ca="1">IFERROR('RPK (live)'!T303/'ASK (live)'!T303,"-")</f>
        <v>0.95716021322722344</v>
      </c>
      <c r="U303" s="10">
        <f ca="1">IFERROR('RPK (live)'!U303/'ASK (live)'!U303,"-")</f>
        <v>0.99051911298780138</v>
      </c>
      <c r="V303" s="10">
        <f ca="1">IFERROR('RPK (live)'!V303/'ASK (live)'!V303,"-")</f>
        <v>0.99051911298780171</v>
      </c>
      <c r="W303" s="10">
        <f ca="1">IFERROR('RPK (live)'!W303/'ASK (live)'!W303,"-")</f>
        <v>0.9549551184281635</v>
      </c>
      <c r="X303" s="10">
        <f ca="1">IFERROR('RPK (live)'!X303/'ASK (live)'!X303,"-")</f>
        <v>0.9905191129878016</v>
      </c>
      <c r="Y303" s="10">
        <f ca="1">IFERROR('RPK (live)'!Y303/'ASK (live)'!Y303,"-")</f>
        <v>0.99051911298780138</v>
      </c>
      <c r="Z303" s="10">
        <f ca="1">IFERROR('RPK (live)'!Z303/'ASK (live)'!Z303,"-")</f>
        <v>0.97892816223024048</v>
      </c>
      <c r="AA303" s="10">
        <f ca="1">IFERROR('RPK (live)'!AA303/'ASK (live)'!AA303,"-")</f>
        <v>0.97826446650574017</v>
      </c>
      <c r="AB303" s="10">
        <f ca="1">IFERROR('RPK (live)'!AB303/'ASK (live)'!AB303,"-")</f>
        <v>0.9905191129878016</v>
      </c>
      <c r="AC303" s="10">
        <f ca="1">IFERROR('RPK (live)'!AC303/'ASK (live)'!AC303,"-")</f>
        <v>0.99051911298780138</v>
      </c>
      <c r="AD303" s="10">
        <f ca="1">IFERROR('RPK (live)'!AD303/'ASK (live)'!AD303,"-")</f>
        <v>0.83436563187174784</v>
      </c>
      <c r="AE303" s="10">
        <f ca="1">IFERROR('RPK (live)'!AE303/'ASK (live)'!AE303,"-")</f>
        <v>0.82623521212495254</v>
      </c>
    </row>
    <row r="304" spans="1:31">
      <c r="A304" s="1" t="s">
        <v>152</v>
      </c>
      <c r="B304" s="5" t="s">
        <v>224</v>
      </c>
      <c r="C304" s="5" t="s">
        <v>196</v>
      </c>
      <c r="D304" s="5" t="s">
        <v>194</v>
      </c>
      <c r="E304" s="5" t="s">
        <v>21</v>
      </c>
      <c r="F304" s="5" t="s">
        <v>25</v>
      </c>
      <c r="G304" s="6"/>
      <c r="H304" s="6"/>
      <c r="I304" s="6"/>
      <c r="J304" s="6"/>
      <c r="K304" s="6"/>
      <c r="L304" s="10">
        <f ca="1">IFERROR('RPK (live)'!L304/'ASK (live)'!L304,"-")</f>
        <v>0.85</v>
      </c>
      <c r="M304" s="10">
        <f ca="1">IFERROR('RPK (live)'!M304/'ASK (live)'!M304,"-")</f>
        <v>0.93149270953298524</v>
      </c>
      <c r="N304" s="10">
        <f ca="1">IFERROR('RPK (live)'!N304/'ASK (live)'!N304,"-")</f>
        <v>0.90000000000000013</v>
      </c>
      <c r="O304" s="10">
        <f ca="1">IFERROR('RPK (live)'!O304/'ASK (live)'!O304,"-")</f>
        <v>0.90000000000000013</v>
      </c>
      <c r="P304" s="10">
        <f ca="1">IFERROR('RPK (live)'!P304/'ASK (live)'!P304,"-")</f>
        <v>0.91</v>
      </c>
      <c r="Q304" s="10">
        <f ca="1">IFERROR('RPK (live)'!Q304/'ASK (live)'!Q304,"-")</f>
        <v>0.89500000000000002</v>
      </c>
      <c r="R304" s="10">
        <f ca="1">IFERROR('RPK (live)'!R304/'ASK (live)'!R304,"-")</f>
        <v>0.83999999999999975</v>
      </c>
      <c r="S304" s="10">
        <f ca="1">IFERROR('RPK (live)'!S304/'ASK (live)'!S304,"-")</f>
        <v>0.79999999999999993</v>
      </c>
      <c r="T304" s="10">
        <f ca="1">IFERROR('RPK (live)'!T304/'ASK (live)'!T304,"-")</f>
        <v>0.95716021322722344</v>
      </c>
      <c r="U304" s="10">
        <f ca="1">IFERROR('RPK (live)'!U304/'ASK (live)'!U304,"-")</f>
        <v>0.99051911298780138</v>
      </c>
      <c r="V304" s="10">
        <f ca="1">IFERROR('RPK (live)'!V304/'ASK (live)'!V304,"-")</f>
        <v>0.99051911298780171</v>
      </c>
      <c r="W304" s="10">
        <f ca="1">IFERROR('RPK (live)'!W304/'ASK (live)'!W304,"-")</f>
        <v>0.9549551184281635</v>
      </c>
      <c r="X304" s="10">
        <f ca="1">IFERROR('RPK (live)'!X304/'ASK (live)'!X304,"-")</f>
        <v>0.9905191129878016</v>
      </c>
      <c r="Y304" s="10">
        <f ca="1">IFERROR('RPK (live)'!Y304/'ASK (live)'!Y304,"-")</f>
        <v>0.99051911298780138</v>
      </c>
      <c r="Z304" s="10">
        <f ca="1">IFERROR('RPK (live)'!Z304/'ASK (live)'!Z304,"-")</f>
        <v>0.97892816223024048</v>
      </c>
      <c r="AA304" s="10">
        <f ca="1">IFERROR('RPK (live)'!AA304/'ASK (live)'!AA304,"-")</f>
        <v>0.97826446650574017</v>
      </c>
      <c r="AB304" s="10">
        <f ca="1">IFERROR('RPK (live)'!AB304/'ASK (live)'!AB304,"-")</f>
        <v>0.9905191129878016</v>
      </c>
      <c r="AC304" s="10">
        <f ca="1">IFERROR('RPK (live)'!AC304/'ASK (live)'!AC304,"-")</f>
        <v>0.99051911298780138</v>
      </c>
      <c r="AD304" s="10">
        <f ca="1">IFERROR('RPK (live)'!AD304/'ASK (live)'!AD304,"-")</f>
        <v>0.83436563187174784</v>
      </c>
      <c r="AE304" s="10">
        <f ca="1">IFERROR('RPK (live)'!AE304/'ASK (live)'!AE304,"-")</f>
        <v>0.82623521212495254</v>
      </c>
    </row>
    <row r="305" spans="1:31">
      <c r="A305" s="1" t="s">
        <v>152</v>
      </c>
      <c r="B305" s="5" t="s">
        <v>225</v>
      </c>
      <c r="C305" s="5" t="s">
        <v>226</v>
      </c>
      <c r="D305" s="5" t="s">
        <v>21</v>
      </c>
      <c r="E305" s="5" t="s">
        <v>227</v>
      </c>
      <c r="F305" s="5" t="s">
        <v>25</v>
      </c>
      <c r="G305" s="6"/>
      <c r="H305" s="6"/>
      <c r="I305" s="6"/>
      <c r="J305" s="6"/>
      <c r="K305" s="6"/>
      <c r="L305" s="10" t="str">
        <f ca="1">IFERROR('RPK (live)'!L305/'ASK (live)'!L305,"-")</f>
        <v>-</v>
      </c>
      <c r="M305" s="10" t="str">
        <f ca="1">IFERROR('RPK (live)'!M305/'ASK (live)'!M305,"-")</f>
        <v>-</v>
      </c>
      <c r="N305" s="10" t="str">
        <f ca="1">IFERROR('RPK (live)'!N305/'ASK (live)'!N305,"-")</f>
        <v>-</v>
      </c>
      <c r="O305" s="10" t="str">
        <f ca="1">IFERROR('RPK (live)'!O305/'ASK (live)'!O305,"-")</f>
        <v>-</v>
      </c>
      <c r="P305" s="10" t="str">
        <f ca="1">IFERROR('RPK (live)'!P305/'ASK (live)'!P305,"-")</f>
        <v>-</v>
      </c>
      <c r="Q305" s="10">
        <f ca="1">IFERROR('RPK (live)'!Q305/'ASK (live)'!Q305,"-")</f>
        <v>0.86</v>
      </c>
      <c r="R305" s="10">
        <f ca="1">IFERROR('RPK (live)'!R305/'ASK (live)'!R305,"-")</f>
        <v>0.82999999999999985</v>
      </c>
      <c r="S305" s="10" t="str">
        <f ca="1">IFERROR('RPK (live)'!S305/'ASK (live)'!S305,"-")</f>
        <v>-</v>
      </c>
      <c r="T305" s="10" t="str">
        <f ca="1">IFERROR('RPK (live)'!T305/'ASK (live)'!T305,"-")</f>
        <v>-</v>
      </c>
      <c r="U305" s="10" t="str">
        <f ca="1">IFERROR('RPK (live)'!U305/'ASK (live)'!U305,"-")</f>
        <v>-</v>
      </c>
      <c r="V305" s="10" t="str">
        <f ca="1">IFERROR('RPK (live)'!V305/'ASK (live)'!V305,"-")</f>
        <v>-</v>
      </c>
      <c r="W305" s="10" t="str">
        <f ca="1">IFERROR('RPK (live)'!W305/'ASK (live)'!W305,"-")</f>
        <v>-</v>
      </c>
      <c r="X305" s="10" t="str">
        <f ca="1">IFERROR('RPK (live)'!X305/'ASK (live)'!X305,"-")</f>
        <v>-</v>
      </c>
      <c r="Y305" s="10" t="str">
        <f ca="1">IFERROR('RPK (live)'!Y305/'ASK (live)'!Y305,"-")</f>
        <v>-</v>
      </c>
      <c r="Z305" s="10" t="str">
        <f ca="1">IFERROR('RPK (live)'!Z305/'ASK (live)'!Z305,"-")</f>
        <v>-</v>
      </c>
      <c r="AA305" s="10" t="str">
        <f ca="1">IFERROR('RPK (live)'!AA305/'ASK (live)'!AA305,"-")</f>
        <v>-</v>
      </c>
      <c r="AB305" s="10" t="str">
        <f ca="1">IFERROR('RPK (live)'!AB305/'ASK (live)'!AB305,"-")</f>
        <v>-</v>
      </c>
      <c r="AC305" s="10" t="str">
        <f ca="1">IFERROR('RPK (live)'!AC305/'ASK (live)'!AC305,"-")</f>
        <v>-</v>
      </c>
      <c r="AD305" s="10" t="str">
        <f ca="1">IFERROR('RPK (live)'!AD305/'ASK (live)'!AD305,"-")</f>
        <v>-</v>
      </c>
      <c r="AE305" s="10" t="str">
        <f ca="1">IFERROR('RPK (live)'!AE305/'ASK (live)'!AE305,"-")</f>
        <v>-</v>
      </c>
    </row>
    <row r="306" spans="1:31">
      <c r="A306" s="1" t="s">
        <v>152</v>
      </c>
      <c r="B306" s="5" t="s">
        <v>228</v>
      </c>
      <c r="C306" s="5" t="s">
        <v>229</v>
      </c>
      <c r="D306" s="5" t="s">
        <v>227</v>
      </c>
      <c r="E306" s="5" t="s">
        <v>21</v>
      </c>
      <c r="F306" s="5" t="s">
        <v>25</v>
      </c>
      <c r="G306" s="6"/>
      <c r="H306" s="6"/>
      <c r="I306" s="6"/>
      <c r="J306" s="6"/>
      <c r="K306" s="6"/>
      <c r="L306" s="10" t="str">
        <f ca="1">IFERROR('RPK (live)'!L306/'ASK (live)'!L306,"-")</f>
        <v>-</v>
      </c>
      <c r="M306" s="10" t="str">
        <f ca="1">IFERROR('RPK (live)'!M306/'ASK (live)'!M306,"-")</f>
        <v>-</v>
      </c>
      <c r="N306" s="10" t="str">
        <f ca="1">IFERROR('RPK (live)'!N306/'ASK (live)'!N306,"-")</f>
        <v>-</v>
      </c>
      <c r="O306" s="10" t="str">
        <f ca="1">IFERROR('RPK (live)'!O306/'ASK (live)'!O306,"-")</f>
        <v>-</v>
      </c>
      <c r="P306" s="10" t="str">
        <f ca="1">IFERROR('RPK (live)'!P306/'ASK (live)'!P306,"-")</f>
        <v>-</v>
      </c>
      <c r="Q306" s="10">
        <f ca="1">IFERROR('RPK (live)'!Q306/'ASK (live)'!Q306,"-")</f>
        <v>0.86</v>
      </c>
      <c r="R306" s="10">
        <f ca="1">IFERROR('RPK (live)'!R306/'ASK (live)'!R306,"-")</f>
        <v>0.82999999999999985</v>
      </c>
      <c r="S306" s="10" t="str">
        <f ca="1">IFERROR('RPK (live)'!S306/'ASK (live)'!S306,"-")</f>
        <v>-</v>
      </c>
      <c r="T306" s="10" t="str">
        <f ca="1">IFERROR('RPK (live)'!T306/'ASK (live)'!T306,"-")</f>
        <v>-</v>
      </c>
      <c r="U306" s="10" t="str">
        <f ca="1">IFERROR('RPK (live)'!U306/'ASK (live)'!U306,"-")</f>
        <v>-</v>
      </c>
      <c r="V306" s="10" t="str">
        <f ca="1">IFERROR('RPK (live)'!V306/'ASK (live)'!V306,"-")</f>
        <v>-</v>
      </c>
      <c r="W306" s="10" t="str">
        <f ca="1">IFERROR('RPK (live)'!W306/'ASK (live)'!W306,"-")</f>
        <v>-</v>
      </c>
      <c r="X306" s="10" t="str">
        <f ca="1">IFERROR('RPK (live)'!X306/'ASK (live)'!X306,"-")</f>
        <v>-</v>
      </c>
      <c r="Y306" s="10" t="str">
        <f ca="1">IFERROR('RPK (live)'!Y306/'ASK (live)'!Y306,"-")</f>
        <v>-</v>
      </c>
      <c r="Z306" s="10" t="str">
        <f ca="1">IFERROR('RPK (live)'!Z306/'ASK (live)'!Z306,"-")</f>
        <v>-</v>
      </c>
      <c r="AA306" s="10" t="str">
        <f ca="1">IFERROR('RPK (live)'!AA306/'ASK (live)'!AA306,"-")</f>
        <v>-</v>
      </c>
      <c r="AB306" s="10" t="str">
        <f ca="1">IFERROR('RPK (live)'!AB306/'ASK (live)'!AB306,"-")</f>
        <v>-</v>
      </c>
      <c r="AC306" s="10" t="str">
        <f ca="1">IFERROR('RPK (live)'!AC306/'ASK (live)'!AC306,"-")</f>
        <v>-</v>
      </c>
      <c r="AD306" s="10" t="str">
        <f ca="1">IFERROR('RPK (live)'!AD306/'ASK (live)'!AD306,"-")</f>
        <v>-</v>
      </c>
      <c r="AE306" s="10" t="str">
        <f ca="1">IFERROR('RPK (live)'!AE306/'ASK (live)'!AE306,"-")</f>
        <v>-</v>
      </c>
    </row>
    <row r="307" spans="1:31">
      <c r="A307" s="1" t="s">
        <v>152</v>
      </c>
      <c r="B307" s="5" t="s">
        <v>230</v>
      </c>
      <c r="C307" s="5" t="s">
        <v>210</v>
      </c>
      <c r="D307" s="5" t="s">
        <v>21</v>
      </c>
      <c r="E307" s="5" t="s">
        <v>211</v>
      </c>
      <c r="F307" s="5" t="s">
        <v>25</v>
      </c>
      <c r="G307" s="6"/>
      <c r="H307" s="6"/>
      <c r="I307" s="6"/>
      <c r="J307" s="6"/>
      <c r="K307" s="6"/>
      <c r="L307" s="10">
        <f ca="1">IFERROR('RPK (live)'!L307/'ASK (live)'!L307,"-")</f>
        <v>0.95</v>
      </c>
      <c r="M307" s="10">
        <f ca="1">IFERROR('RPK (live)'!M307/'ASK (live)'!M307,"-")</f>
        <v>0.98211731331195196</v>
      </c>
      <c r="N307" s="10">
        <f ca="1">IFERROR('RPK (live)'!N307/'ASK (live)'!N307,"-")</f>
        <v>0.94</v>
      </c>
      <c r="O307" s="10">
        <f ca="1">IFERROR('RPK (live)'!O307/'ASK (live)'!O307,"-")</f>
        <v>0.95</v>
      </c>
      <c r="P307" s="10">
        <f ca="1">IFERROR('RPK (live)'!P307/'ASK (live)'!P307,"-")</f>
        <v>0.95000000000000018</v>
      </c>
      <c r="Q307" s="10">
        <f ca="1">IFERROR('RPK (live)'!Q307/'ASK (live)'!Q307,"-")</f>
        <v>0.86</v>
      </c>
      <c r="R307" s="10" t="str">
        <f ca="1">IFERROR('RPK (live)'!R307/'ASK (live)'!R307,"-")</f>
        <v>-</v>
      </c>
      <c r="S307" s="10" t="str">
        <f ca="1">IFERROR('RPK (live)'!S307/'ASK (live)'!S307,"-")</f>
        <v>-</v>
      </c>
      <c r="T307" s="10" t="str">
        <f ca="1">IFERROR('RPK (live)'!T307/'ASK (live)'!T307,"-")</f>
        <v>-</v>
      </c>
      <c r="U307" s="10" t="str">
        <f ca="1">IFERROR('RPK (live)'!U307/'ASK (live)'!U307,"-")</f>
        <v>-</v>
      </c>
      <c r="V307" s="10" t="str">
        <f ca="1">IFERROR('RPK (live)'!V307/'ASK (live)'!V307,"-")</f>
        <v>-</v>
      </c>
      <c r="W307" s="10">
        <f ca="1">IFERROR('RPK (live)'!W307/'ASK (live)'!W307,"-")</f>
        <v>0.96520133278783582</v>
      </c>
      <c r="X307" s="10">
        <f ca="1">IFERROR('RPK (live)'!X307/'ASK (live)'!X307,"-")</f>
        <v>0.99051911298780126</v>
      </c>
      <c r="Y307" s="10">
        <f ca="1">IFERROR('RPK (live)'!Y307/'ASK (live)'!Y307,"-")</f>
        <v>0.99051911298780171</v>
      </c>
      <c r="Z307" s="10">
        <f ca="1">IFERROR('RPK (live)'!Z307/'ASK (live)'!Z307,"-")</f>
        <v>0.99051911298780149</v>
      </c>
      <c r="AA307" s="10">
        <f ca="1">IFERROR('RPK (live)'!AA307/'ASK (live)'!AA307,"-")</f>
        <v>0.99051911298780149</v>
      </c>
      <c r="AB307" s="10">
        <f ca="1">IFERROR('RPK (live)'!AB307/'ASK (live)'!AB307,"-")</f>
        <v>0.99051911298780149</v>
      </c>
      <c r="AC307" s="10" t="str">
        <f ca="1">IFERROR('RPK (live)'!AC307/'ASK (live)'!AC307,"-")</f>
        <v>-</v>
      </c>
      <c r="AD307" s="10" t="str">
        <f ca="1">IFERROR('RPK (live)'!AD307/'ASK (live)'!AD307,"-")</f>
        <v>-</v>
      </c>
      <c r="AE307" s="10" t="str">
        <f ca="1">IFERROR('RPK (live)'!AE307/'ASK (live)'!AE307,"-")</f>
        <v>-</v>
      </c>
    </row>
    <row r="308" spans="1:31">
      <c r="A308" s="1" t="s">
        <v>152</v>
      </c>
      <c r="B308" s="5" t="s">
        <v>231</v>
      </c>
      <c r="C308" s="5" t="s">
        <v>213</v>
      </c>
      <c r="D308" s="5" t="s">
        <v>211</v>
      </c>
      <c r="E308" s="5" t="s">
        <v>21</v>
      </c>
      <c r="F308" s="5" t="s">
        <v>25</v>
      </c>
      <c r="G308" s="6"/>
      <c r="H308" s="6"/>
      <c r="I308" s="6"/>
      <c r="J308" s="6"/>
      <c r="K308" s="6"/>
      <c r="L308" s="10">
        <f ca="1">IFERROR('RPK (live)'!L308/'ASK (live)'!L308,"-")</f>
        <v>0.95</v>
      </c>
      <c r="M308" s="10">
        <f ca="1">IFERROR('RPK (live)'!M308/'ASK (live)'!M308,"-")</f>
        <v>0.98211731331195196</v>
      </c>
      <c r="N308" s="10">
        <f ca="1">IFERROR('RPK (live)'!N308/'ASK (live)'!N308,"-")</f>
        <v>0.94</v>
      </c>
      <c r="O308" s="10">
        <f ca="1">IFERROR('RPK (live)'!O308/'ASK (live)'!O308,"-")</f>
        <v>0.95</v>
      </c>
      <c r="P308" s="10">
        <f ca="1">IFERROR('RPK (live)'!P308/'ASK (live)'!P308,"-")</f>
        <v>0.95000000000000018</v>
      </c>
      <c r="Q308" s="10">
        <f ca="1">IFERROR('RPK (live)'!Q308/'ASK (live)'!Q308,"-")</f>
        <v>0.86</v>
      </c>
      <c r="R308" s="10" t="str">
        <f ca="1">IFERROR('RPK (live)'!R308/'ASK (live)'!R308,"-")</f>
        <v>-</v>
      </c>
      <c r="S308" s="10" t="str">
        <f ca="1">IFERROR('RPK (live)'!S308/'ASK (live)'!S308,"-")</f>
        <v>-</v>
      </c>
      <c r="T308" s="10" t="str">
        <f ca="1">IFERROR('RPK (live)'!T308/'ASK (live)'!T308,"-")</f>
        <v>-</v>
      </c>
      <c r="U308" s="10" t="str">
        <f ca="1">IFERROR('RPK (live)'!U308/'ASK (live)'!U308,"-")</f>
        <v>-</v>
      </c>
      <c r="V308" s="10" t="str">
        <f ca="1">IFERROR('RPK (live)'!V308/'ASK (live)'!V308,"-")</f>
        <v>-</v>
      </c>
      <c r="W308" s="10">
        <f ca="1">IFERROR('RPK (live)'!W308/'ASK (live)'!W308,"-")</f>
        <v>0.96520133278783582</v>
      </c>
      <c r="X308" s="10">
        <f ca="1">IFERROR('RPK (live)'!X308/'ASK (live)'!X308,"-")</f>
        <v>0.99051911298780126</v>
      </c>
      <c r="Y308" s="10">
        <f ca="1">IFERROR('RPK (live)'!Y308/'ASK (live)'!Y308,"-")</f>
        <v>0.99051911298780171</v>
      </c>
      <c r="Z308" s="10">
        <f ca="1">IFERROR('RPK (live)'!Z308/'ASK (live)'!Z308,"-")</f>
        <v>0.99051911298780149</v>
      </c>
      <c r="AA308" s="10">
        <f ca="1">IFERROR('RPK (live)'!AA308/'ASK (live)'!AA308,"-")</f>
        <v>0.99051911298780149</v>
      </c>
      <c r="AB308" s="10">
        <f ca="1">IFERROR('RPK (live)'!AB308/'ASK (live)'!AB308,"-")</f>
        <v>0.99051911298780149</v>
      </c>
      <c r="AC308" s="10" t="str">
        <f ca="1">IFERROR('RPK (live)'!AC308/'ASK (live)'!AC308,"-")</f>
        <v>-</v>
      </c>
      <c r="AD308" s="10" t="str">
        <f ca="1">IFERROR('RPK (live)'!AD308/'ASK (live)'!AD308,"-")</f>
        <v>-</v>
      </c>
      <c r="AE308" s="10" t="str">
        <f ca="1">IFERROR('RPK (live)'!AE308/'ASK (live)'!AE308,"-")</f>
        <v>-</v>
      </c>
    </row>
    <row r="309" spans="1:31">
      <c r="A309" s="1" t="s">
        <v>152</v>
      </c>
      <c r="B309" s="5" t="s">
        <v>232</v>
      </c>
      <c r="C309" s="5" t="s">
        <v>233</v>
      </c>
      <c r="D309" s="5" t="s">
        <v>21</v>
      </c>
      <c r="E309" s="5" t="s">
        <v>234</v>
      </c>
      <c r="F309" s="5" t="s">
        <v>25</v>
      </c>
      <c r="G309" s="6"/>
      <c r="H309" s="6"/>
      <c r="I309" s="6"/>
      <c r="J309" s="6"/>
      <c r="K309" s="6"/>
      <c r="L309" s="10">
        <f ca="1">IFERROR('RPK (live)'!L309/'ASK (live)'!L309,"-")</f>
        <v>0.95</v>
      </c>
      <c r="M309" s="10">
        <f ca="1">IFERROR('RPK (live)'!M309/'ASK (live)'!M309,"-")</f>
        <v>0.98211731331195196</v>
      </c>
      <c r="N309" s="10">
        <f ca="1">IFERROR('RPK (live)'!N309/'ASK (live)'!N309,"-")</f>
        <v>0.94</v>
      </c>
      <c r="O309" s="10">
        <f ca="1">IFERROR('RPK (live)'!O309/'ASK (live)'!O309,"-")</f>
        <v>0.95</v>
      </c>
      <c r="P309" s="10">
        <f ca="1">IFERROR('RPK (live)'!P309/'ASK (live)'!P309,"-")</f>
        <v>0.95000000000000018</v>
      </c>
      <c r="Q309" s="10">
        <f ca="1">IFERROR('RPK (live)'!Q309/'ASK (live)'!Q309,"-")</f>
        <v>0.85999999999999988</v>
      </c>
      <c r="R309" s="10">
        <f ca="1">IFERROR('RPK (live)'!R309/'ASK (live)'!R309,"-")</f>
        <v>0.82999999999999985</v>
      </c>
      <c r="S309" s="10">
        <f ca="1">IFERROR('RPK (live)'!S309/'ASK (live)'!S309,"-")</f>
        <v>0.78</v>
      </c>
      <c r="T309" s="10">
        <f ca="1">IFERROR('RPK (live)'!T309/'ASK (live)'!T309,"-")</f>
        <v>0.89609236944063553</v>
      </c>
      <c r="U309" s="10">
        <f ca="1">IFERROR('RPK (live)'!U309/'ASK (live)'!U309,"-")</f>
        <v>0.94808170507625211</v>
      </c>
      <c r="V309" s="10">
        <f ca="1">IFERROR('RPK (live)'!V309/'ASK (live)'!V309,"-")</f>
        <v>0.94471392841011304</v>
      </c>
      <c r="W309" s="10">
        <f ca="1">IFERROR('RPK (live)'!W309/'ASK (live)'!W309,"-")</f>
        <v>0.96520133278783593</v>
      </c>
      <c r="X309" s="10">
        <f ca="1">IFERROR('RPK (live)'!X309/'ASK (live)'!X309,"-")</f>
        <v>0.99051911298780149</v>
      </c>
      <c r="Y309" s="10">
        <f ca="1">IFERROR('RPK (live)'!Y309/'ASK (live)'!Y309,"-")</f>
        <v>0.9905191129878016</v>
      </c>
      <c r="Z309" s="10">
        <f ca="1">IFERROR('RPK (live)'!Z309/'ASK (live)'!Z309,"-")</f>
        <v>0.99051911298780138</v>
      </c>
      <c r="AA309" s="10">
        <f ca="1">IFERROR('RPK (live)'!AA309/'ASK (live)'!AA309,"-")</f>
        <v>0.99051911298780171</v>
      </c>
      <c r="AB309" s="10">
        <f ca="1">IFERROR('RPK (live)'!AB309/'ASK (live)'!AB309,"-")</f>
        <v>0.99051911298780171</v>
      </c>
      <c r="AC309" s="10">
        <f ca="1">IFERROR('RPK (live)'!AC309/'ASK (live)'!AC309,"-")</f>
        <v>0.88904790033561165</v>
      </c>
      <c r="AD309" s="10">
        <f ca="1">IFERROR('RPK (live)'!AD309/'ASK (live)'!AD309,"-")</f>
        <v>0.81348627049039124</v>
      </c>
      <c r="AE309" s="10">
        <f ca="1">IFERROR('RPK (live)'!AE309/'ASK (live)'!AE309,"-")</f>
        <v>0.79501069760665033</v>
      </c>
    </row>
    <row r="310" spans="1:31">
      <c r="A310" s="1" t="s">
        <v>152</v>
      </c>
      <c r="B310" s="5" t="s">
        <v>235</v>
      </c>
      <c r="C310" s="5" t="s">
        <v>236</v>
      </c>
      <c r="D310" s="5" t="s">
        <v>234</v>
      </c>
      <c r="E310" s="5" t="s">
        <v>21</v>
      </c>
      <c r="F310" s="5" t="s">
        <v>25</v>
      </c>
      <c r="G310" s="6"/>
      <c r="H310" s="6"/>
      <c r="I310" s="6"/>
      <c r="J310" s="6"/>
      <c r="K310" s="6"/>
      <c r="L310" s="10">
        <f ca="1">IFERROR('RPK (live)'!L310/'ASK (live)'!L310,"-")</f>
        <v>0.95</v>
      </c>
      <c r="M310" s="10">
        <f ca="1">IFERROR('RPK (live)'!M310/'ASK (live)'!M310,"-")</f>
        <v>0.98211731331195196</v>
      </c>
      <c r="N310" s="10">
        <f ca="1">IFERROR('RPK (live)'!N310/'ASK (live)'!N310,"-")</f>
        <v>0.94</v>
      </c>
      <c r="O310" s="10">
        <f ca="1">IFERROR('RPK (live)'!O310/'ASK (live)'!O310,"-")</f>
        <v>0.95</v>
      </c>
      <c r="P310" s="10">
        <f ca="1">IFERROR('RPK (live)'!P310/'ASK (live)'!P310,"-")</f>
        <v>0.95000000000000018</v>
      </c>
      <c r="Q310" s="10">
        <f ca="1">IFERROR('RPK (live)'!Q310/'ASK (live)'!Q310,"-")</f>
        <v>0.85999999999999988</v>
      </c>
      <c r="R310" s="10">
        <f ca="1">IFERROR('RPK (live)'!R310/'ASK (live)'!R310,"-")</f>
        <v>0.82999999999999985</v>
      </c>
      <c r="S310" s="10">
        <f ca="1">IFERROR('RPK (live)'!S310/'ASK (live)'!S310,"-")</f>
        <v>0.78</v>
      </c>
      <c r="T310" s="10">
        <f ca="1">IFERROR('RPK (live)'!T310/'ASK (live)'!T310,"-")</f>
        <v>0.89609236944063553</v>
      </c>
      <c r="U310" s="10">
        <f ca="1">IFERROR('RPK (live)'!U310/'ASK (live)'!U310,"-")</f>
        <v>0.94808170507625211</v>
      </c>
      <c r="V310" s="10">
        <f ca="1">IFERROR('RPK (live)'!V310/'ASK (live)'!V310,"-")</f>
        <v>0.94471392841011304</v>
      </c>
      <c r="W310" s="10">
        <f ca="1">IFERROR('RPK (live)'!W310/'ASK (live)'!W310,"-")</f>
        <v>0.96520133278783593</v>
      </c>
      <c r="X310" s="10">
        <f ca="1">IFERROR('RPK (live)'!X310/'ASK (live)'!X310,"-")</f>
        <v>0.99051911298780149</v>
      </c>
      <c r="Y310" s="10">
        <f ca="1">IFERROR('RPK (live)'!Y310/'ASK (live)'!Y310,"-")</f>
        <v>0.9905191129878016</v>
      </c>
      <c r="Z310" s="10">
        <f ca="1">IFERROR('RPK (live)'!Z310/'ASK (live)'!Z310,"-")</f>
        <v>0.99051911298780138</v>
      </c>
      <c r="AA310" s="10">
        <f ca="1">IFERROR('RPK (live)'!AA310/'ASK (live)'!AA310,"-")</f>
        <v>0.99051911298780171</v>
      </c>
      <c r="AB310" s="10">
        <f ca="1">IFERROR('RPK (live)'!AB310/'ASK (live)'!AB310,"-")</f>
        <v>0.99051911298780171</v>
      </c>
      <c r="AC310" s="10">
        <f ca="1">IFERROR('RPK (live)'!AC310/'ASK (live)'!AC310,"-")</f>
        <v>0.88904790033561165</v>
      </c>
      <c r="AD310" s="10">
        <f ca="1">IFERROR('RPK (live)'!AD310/'ASK (live)'!AD310,"-")</f>
        <v>0.81348627049039124</v>
      </c>
      <c r="AE310" s="10">
        <f ca="1">IFERROR('RPK (live)'!AE310/'ASK (live)'!AE310,"-")</f>
        <v>0.79501069760665033</v>
      </c>
    </row>
    <row r="311" spans="1:31">
      <c r="A311" s="1" t="s">
        <v>152</v>
      </c>
      <c r="B311" s="5" t="s">
        <v>237</v>
      </c>
      <c r="C311" s="5" t="s">
        <v>238</v>
      </c>
      <c r="D311" s="5" t="s">
        <v>21</v>
      </c>
      <c r="E311" s="5" t="s">
        <v>239</v>
      </c>
      <c r="F311" s="5" t="s">
        <v>25</v>
      </c>
      <c r="G311" s="6"/>
      <c r="H311" s="6"/>
      <c r="I311" s="6"/>
      <c r="J311" s="6"/>
      <c r="K311" s="6"/>
      <c r="L311" s="10" t="str">
        <f ca="1">IFERROR('RPK (live)'!L311/'ASK (live)'!L311,"-")</f>
        <v>-</v>
      </c>
      <c r="M311" s="10" t="str">
        <f ca="1">IFERROR('RPK (live)'!M311/'ASK (live)'!M311,"-")</f>
        <v>-</v>
      </c>
      <c r="N311" s="10" t="str">
        <f ca="1">IFERROR('RPK (live)'!N311/'ASK (live)'!N311,"-")</f>
        <v>-</v>
      </c>
      <c r="O311" s="10" t="str">
        <f ca="1">IFERROR('RPK (live)'!O311/'ASK (live)'!O311,"-")</f>
        <v>-</v>
      </c>
      <c r="P311" s="10" t="str">
        <f ca="1">IFERROR('RPK (live)'!P311/'ASK (live)'!P311,"-")</f>
        <v>-</v>
      </c>
      <c r="Q311" s="10" t="str">
        <f ca="1">IFERROR('RPK (live)'!Q311/'ASK (live)'!Q311,"-")</f>
        <v>-</v>
      </c>
      <c r="R311" s="10" t="str">
        <f ca="1">IFERROR('RPK (live)'!R311/'ASK (live)'!R311,"-")</f>
        <v>-</v>
      </c>
      <c r="S311" s="10" t="str">
        <f ca="1">IFERROR('RPK (live)'!S311/'ASK (live)'!S311,"-")</f>
        <v>-</v>
      </c>
      <c r="T311" s="10" t="str">
        <f ca="1">IFERROR('RPK (live)'!T311/'ASK (live)'!T311,"-")</f>
        <v>-</v>
      </c>
      <c r="U311" s="10" t="str">
        <f ca="1">IFERROR('RPK (live)'!U311/'ASK (live)'!U311,"-")</f>
        <v>-</v>
      </c>
      <c r="V311" s="10">
        <f ca="1">IFERROR('RPK (live)'!V311/'ASK (live)'!V311,"-")</f>
        <v>0.77105614947270507</v>
      </c>
      <c r="W311" s="10">
        <f ca="1">IFERROR('RPK (live)'!W311/'ASK (live)'!W311,"-")</f>
        <v>0.85630090451741359</v>
      </c>
      <c r="X311" s="10">
        <f ca="1">IFERROR('RPK (live)'!X311/'ASK (live)'!X311,"-")</f>
        <v>0.83237145819365388</v>
      </c>
      <c r="Y311" s="10">
        <f ca="1">IFERROR('RPK (live)'!Y311/'ASK (live)'!Y311,"-")</f>
        <v>0.87434203087522355</v>
      </c>
      <c r="Z311" s="10">
        <f ca="1">IFERROR('RPK (live)'!Z311/'ASK (live)'!Z311,"-")</f>
        <v>0.82561418227156402</v>
      </c>
      <c r="AA311" s="10">
        <f ca="1">IFERROR('RPK (live)'!AA311/'ASK (live)'!AA311,"-")</f>
        <v>0.89178060487923627</v>
      </c>
      <c r="AB311" s="10">
        <f ca="1">IFERROR('RPK (live)'!AB311/'ASK (live)'!AB311,"-")</f>
        <v>0.85403247212664757</v>
      </c>
      <c r="AC311" s="10">
        <f ca="1">IFERROR('RPK (live)'!AC311/'ASK (live)'!AC311,"-")</f>
        <v>0.8941629749004304</v>
      </c>
      <c r="AD311" s="10">
        <f ca="1">IFERROR('RPK (live)'!AD311/'ASK (live)'!AD311,"-")</f>
        <v>0.8281043043023274</v>
      </c>
      <c r="AE311" s="10">
        <f ca="1">IFERROR('RPK (live)'!AE311/'ASK (live)'!AE311,"-")</f>
        <v>0.83212808185736586</v>
      </c>
    </row>
    <row r="312" spans="1:31">
      <c r="A312" s="1" t="s">
        <v>152</v>
      </c>
      <c r="B312" s="5" t="s">
        <v>240</v>
      </c>
      <c r="C312" s="5" t="s">
        <v>241</v>
      </c>
      <c r="D312" s="5" t="s">
        <v>239</v>
      </c>
      <c r="E312" s="5" t="s">
        <v>21</v>
      </c>
      <c r="F312" s="5" t="s">
        <v>25</v>
      </c>
      <c r="G312" s="6"/>
      <c r="H312" s="6"/>
      <c r="I312" s="6"/>
      <c r="J312" s="6"/>
      <c r="K312" s="6"/>
      <c r="L312" s="10" t="str">
        <f ca="1">IFERROR('RPK (live)'!L312/'ASK (live)'!L312,"-")</f>
        <v>-</v>
      </c>
      <c r="M312" s="10" t="str">
        <f ca="1">IFERROR('RPK (live)'!M312/'ASK (live)'!M312,"-")</f>
        <v>-</v>
      </c>
      <c r="N312" s="10" t="str">
        <f ca="1">IFERROR('RPK (live)'!N312/'ASK (live)'!N312,"-")</f>
        <v>-</v>
      </c>
      <c r="O312" s="10" t="str">
        <f ca="1">IFERROR('RPK (live)'!O312/'ASK (live)'!O312,"-")</f>
        <v>-</v>
      </c>
      <c r="P312" s="10" t="str">
        <f ca="1">IFERROR('RPK (live)'!P312/'ASK (live)'!P312,"-")</f>
        <v>-</v>
      </c>
      <c r="Q312" s="10" t="str">
        <f ca="1">IFERROR('RPK (live)'!Q312/'ASK (live)'!Q312,"-")</f>
        <v>-</v>
      </c>
      <c r="R312" s="10" t="str">
        <f ca="1">IFERROR('RPK (live)'!R312/'ASK (live)'!R312,"-")</f>
        <v>-</v>
      </c>
      <c r="S312" s="10" t="str">
        <f ca="1">IFERROR('RPK (live)'!S312/'ASK (live)'!S312,"-")</f>
        <v>-</v>
      </c>
      <c r="T312" s="10" t="str">
        <f ca="1">IFERROR('RPK (live)'!T312/'ASK (live)'!T312,"-")</f>
        <v>-</v>
      </c>
      <c r="U312" s="10" t="str">
        <f ca="1">IFERROR('RPK (live)'!U312/'ASK (live)'!U312,"-")</f>
        <v>-</v>
      </c>
      <c r="V312" s="10">
        <f ca="1">IFERROR('RPK (live)'!V312/'ASK (live)'!V312,"-")</f>
        <v>0.77105614947270507</v>
      </c>
      <c r="W312" s="10">
        <f ca="1">IFERROR('RPK (live)'!W312/'ASK (live)'!W312,"-")</f>
        <v>0.85630090451741359</v>
      </c>
      <c r="X312" s="10">
        <f ca="1">IFERROR('RPK (live)'!X312/'ASK (live)'!X312,"-")</f>
        <v>0.83237145819365388</v>
      </c>
      <c r="Y312" s="10">
        <f ca="1">IFERROR('RPK (live)'!Y312/'ASK (live)'!Y312,"-")</f>
        <v>0.87434203087522355</v>
      </c>
      <c r="Z312" s="10">
        <f ca="1">IFERROR('RPK (live)'!Z312/'ASK (live)'!Z312,"-")</f>
        <v>0.82561418227156402</v>
      </c>
      <c r="AA312" s="10">
        <f ca="1">IFERROR('RPK (live)'!AA312/'ASK (live)'!AA312,"-")</f>
        <v>0.89178060487923627</v>
      </c>
      <c r="AB312" s="10">
        <f ca="1">IFERROR('RPK (live)'!AB312/'ASK (live)'!AB312,"-")</f>
        <v>0.85403247212664757</v>
      </c>
      <c r="AC312" s="10">
        <f ca="1">IFERROR('RPK (live)'!AC312/'ASK (live)'!AC312,"-")</f>
        <v>0.8941629749004304</v>
      </c>
      <c r="AD312" s="10">
        <f ca="1">IFERROR('RPK (live)'!AD312/'ASK (live)'!AD312,"-")</f>
        <v>0.8281043043023274</v>
      </c>
      <c r="AE312" s="10">
        <f ca="1">IFERROR('RPK (live)'!AE312/'ASK (live)'!AE312,"-")</f>
        <v>0.83212808185736586</v>
      </c>
    </row>
    <row r="313" spans="1:31">
      <c r="A313" s="1" t="s">
        <v>152</v>
      </c>
      <c r="B313" s="5" t="s">
        <v>242</v>
      </c>
      <c r="C313" s="5" t="s">
        <v>243</v>
      </c>
      <c r="D313" s="5" t="s">
        <v>21</v>
      </c>
      <c r="E313" s="5" t="s">
        <v>244</v>
      </c>
      <c r="F313" s="5" t="s">
        <v>25</v>
      </c>
      <c r="G313" s="6"/>
      <c r="H313" s="6"/>
      <c r="I313" s="6"/>
      <c r="J313" s="6"/>
      <c r="K313" s="6"/>
      <c r="L313" s="10">
        <f ca="1">IFERROR('RPK (live)'!L313/'ASK (live)'!L313,"-")</f>
        <v>0.95</v>
      </c>
      <c r="M313" s="10">
        <f ca="1">IFERROR('RPK (live)'!M313/'ASK (live)'!M313,"-")</f>
        <v>0.98211731331195185</v>
      </c>
      <c r="N313" s="10">
        <f ca="1">IFERROR('RPK (live)'!N313/'ASK (live)'!N313,"-")</f>
        <v>0.94</v>
      </c>
      <c r="O313" s="10">
        <f ca="1">IFERROR('RPK (live)'!O313/'ASK (live)'!O313,"-")</f>
        <v>0.95</v>
      </c>
      <c r="P313" s="10">
        <f ca="1">IFERROR('RPK (live)'!P313/'ASK (live)'!P313,"-")</f>
        <v>0.95000000000000018</v>
      </c>
      <c r="Q313" s="10">
        <f ca="1">IFERROR('RPK (live)'!Q313/'ASK (live)'!Q313,"-")</f>
        <v>0.86</v>
      </c>
      <c r="R313" s="10">
        <f ca="1">IFERROR('RPK (live)'!R313/'ASK (live)'!R313,"-")</f>
        <v>0.82999999999999985</v>
      </c>
      <c r="S313" s="10">
        <f ca="1">IFERROR('RPK (live)'!S313/'ASK (live)'!S313,"-")</f>
        <v>0.78</v>
      </c>
      <c r="T313" s="10">
        <f ca="1">IFERROR('RPK (live)'!T313/'ASK (live)'!T313,"-")</f>
        <v>0.89609236944063553</v>
      </c>
      <c r="U313" s="10">
        <f ca="1">IFERROR('RPK (live)'!U313/'ASK (live)'!U313,"-")</f>
        <v>0.948081705076252</v>
      </c>
      <c r="V313" s="10">
        <f ca="1">IFERROR('RPK (live)'!V313/'ASK (live)'!V313,"-")</f>
        <v>0.94471392841011315</v>
      </c>
      <c r="W313" s="10">
        <f ca="1">IFERROR('RPK (live)'!W313/'ASK (live)'!W313,"-")</f>
        <v>0.96520133278783582</v>
      </c>
      <c r="X313" s="10">
        <f ca="1">IFERROR('RPK (live)'!X313/'ASK (live)'!X313,"-")</f>
        <v>0.99051911298780138</v>
      </c>
      <c r="Y313" s="10">
        <f ca="1">IFERROR('RPK (live)'!Y313/'ASK (live)'!Y313,"-")</f>
        <v>0.99051911298780171</v>
      </c>
      <c r="Z313" s="10">
        <f ca="1">IFERROR('RPK (live)'!Z313/'ASK (live)'!Z313,"-")</f>
        <v>0.99051911298780138</v>
      </c>
      <c r="AA313" s="10">
        <f ca="1">IFERROR('RPK (live)'!AA313/'ASK (live)'!AA313,"-")</f>
        <v>0.99051911298780149</v>
      </c>
      <c r="AB313" s="10">
        <f ca="1">IFERROR('RPK (live)'!AB313/'ASK (live)'!AB313,"-")</f>
        <v>0.9905191129878016</v>
      </c>
      <c r="AC313" s="10">
        <f ca="1">IFERROR('RPK (live)'!AC313/'ASK (live)'!AC313,"-")</f>
        <v>0.88904790033561165</v>
      </c>
      <c r="AD313" s="10">
        <f ca="1">IFERROR('RPK (live)'!AD313/'ASK (live)'!AD313,"-")</f>
        <v>0.81348627049039113</v>
      </c>
      <c r="AE313" s="10">
        <f ca="1">IFERROR('RPK (live)'!AE313/'ASK (live)'!AE313,"-")</f>
        <v>0.79501069760665022</v>
      </c>
    </row>
    <row r="314" spans="1:31">
      <c r="A314" s="1" t="s">
        <v>152</v>
      </c>
      <c r="B314" s="5" t="s">
        <v>245</v>
      </c>
      <c r="C314" s="5" t="s">
        <v>246</v>
      </c>
      <c r="D314" s="5" t="s">
        <v>244</v>
      </c>
      <c r="E314" s="5" t="s">
        <v>21</v>
      </c>
      <c r="F314" s="5" t="s">
        <v>25</v>
      </c>
      <c r="G314" s="6"/>
      <c r="H314" s="6"/>
      <c r="I314" s="6"/>
      <c r="J314" s="6"/>
      <c r="K314" s="6"/>
      <c r="L314" s="10">
        <f ca="1">IFERROR('RPK (live)'!L314/'ASK (live)'!L314,"-")</f>
        <v>0.95</v>
      </c>
      <c r="M314" s="10">
        <f ca="1">IFERROR('RPK (live)'!M314/'ASK (live)'!M314,"-")</f>
        <v>0.98211731331195185</v>
      </c>
      <c r="N314" s="10">
        <f ca="1">IFERROR('RPK (live)'!N314/'ASK (live)'!N314,"-")</f>
        <v>0.94</v>
      </c>
      <c r="O314" s="10">
        <f ca="1">IFERROR('RPK (live)'!O314/'ASK (live)'!O314,"-")</f>
        <v>0.95</v>
      </c>
      <c r="P314" s="10">
        <f ca="1">IFERROR('RPK (live)'!P314/'ASK (live)'!P314,"-")</f>
        <v>0.95000000000000018</v>
      </c>
      <c r="Q314" s="10">
        <f ca="1">IFERROR('RPK (live)'!Q314/'ASK (live)'!Q314,"-")</f>
        <v>0.86</v>
      </c>
      <c r="R314" s="10">
        <f ca="1">IFERROR('RPK (live)'!R314/'ASK (live)'!R314,"-")</f>
        <v>0.82999999999999985</v>
      </c>
      <c r="S314" s="10">
        <f ca="1">IFERROR('RPK (live)'!S314/'ASK (live)'!S314,"-")</f>
        <v>0.78</v>
      </c>
      <c r="T314" s="10">
        <f ca="1">IFERROR('RPK (live)'!T314/'ASK (live)'!T314,"-")</f>
        <v>0.89609236944063553</v>
      </c>
      <c r="U314" s="10">
        <f ca="1">IFERROR('RPK (live)'!U314/'ASK (live)'!U314,"-")</f>
        <v>0.948081705076252</v>
      </c>
      <c r="V314" s="10">
        <f ca="1">IFERROR('RPK (live)'!V314/'ASK (live)'!V314,"-")</f>
        <v>0.94471392841011315</v>
      </c>
      <c r="W314" s="10">
        <f ca="1">IFERROR('RPK (live)'!W314/'ASK (live)'!W314,"-")</f>
        <v>0.96520133278783582</v>
      </c>
      <c r="X314" s="10">
        <f ca="1">IFERROR('RPK (live)'!X314/'ASK (live)'!X314,"-")</f>
        <v>0.99051911298780138</v>
      </c>
      <c r="Y314" s="10">
        <f ca="1">IFERROR('RPK (live)'!Y314/'ASK (live)'!Y314,"-")</f>
        <v>0.99051911298780171</v>
      </c>
      <c r="Z314" s="10">
        <f ca="1">IFERROR('RPK (live)'!Z314/'ASK (live)'!Z314,"-")</f>
        <v>0.99051911298780138</v>
      </c>
      <c r="AA314" s="10">
        <f ca="1">IFERROR('RPK (live)'!AA314/'ASK (live)'!AA314,"-")</f>
        <v>0.99051911298780149</v>
      </c>
      <c r="AB314" s="10">
        <f ca="1">IFERROR('RPK (live)'!AB314/'ASK (live)'!AB314,"-")</f>
        <v>0.9905191129878016</v>
      </c>
      <c r="AC314" s="10">
        <f ca="1">IFERROR('RPK (live)'!AC314/'ASK (live)'!AC314,"-")</f>
        <v>0.88904790033561165</v>
      </c>
      <c r="AD314" s="10">
        <f ca="1">IFERROR('RPK (live)'!AD314/'ASK (live)'!AD314,"-")</f>
        <v>0.81348627049039113</v>
      </c>
      <c r="AE314" s="10">
        <f ca="1">IFERROR('RPK (live)'!AE314/'ASK (live)'!AE314,"-")</f>
        <v>0.79501069760665022</v>
      </c>
    </row>
    <row r="315" spans="1:31">
      <c r="A315" s="1" t="s">
        <v>152</v>
      </c>
      <c r="B315" s="5" t="s">
        <v>247</v>
      </c>
      <c r="C315" s="5" t="s">
        <v>248</v>
      </c>
      <c r="D315" s="5" t="s">
        <v>21</v>
      </c>
      <c r="E315" s="5" t="s">
        <v>249</v>
      </c>
      <c r="F315" s="5" t="s">
        <v>25</v>
      </c>
      <c r="G315" s="6"/>
      <c r="H315" s="6"/>
      <c r="I315" s="6"/>
      <c r="J315" s="6"/>
      <c r="K315" s="6"/>
      <c r="L315" s="10" t="str">
        <f ca="1">IFERROR('RPK (live)'!L315/'ASK (live)'!L315,"-")</f>
        <v>-</v>
      </c>
      <c r="M315" s="10" t="str">
        <f ca="1">IFERROR('RPK (live)'!M315/'ASK (live)'!M315,"-")</f>
        <v>-</v>
      </c>
      <c r="N315" s="10" t="str">
        <f ca="1">IFERROR('RPK (live)'!N315/'ASK (live)'!N315,"-")</f>
        <v>-</v>
      </c>
      <c r="O315" s="10" t="str">
        <f ca="1">IFERROR('RPK (live)'!O315/'ASK (live)'!O315,"-")</f>
        <v>-</v>
      </c>
      <c r="P315" s="10" t="str">
        <f ca="1">IFERROR('RPK (live)'!P315/'ASK (live)'!P315,"-")</f>
        <v>-</v>
      </c>
      <c r="Q315" s="10" t="str">
        <f ca="1">IFERROR('RPK (live)'!Q315/'ASK (live)'!Q315,"-")</f>
        <v>-</v>
      </c>
      <c r="R315" s="10" t="str">
        <f ca="1">IFERROR('RPK (live)'!R315/'ASK (live)'!R315,"-")</f>
        <v>-</v>
      </c>
      <c r="S315" s="10" t="str">
        <f ca="1">IFERROR('RPK (live)'!S315/'ASK (live)'!S315,"-")</f>
        <v>-</v>
      </c>
      <c r="T315" s="10" t="str">
        <f ca="1">IFERROR('RPK (live)'!T315/'ASK (live)'!T315,"-")</f>
        <v>-</v>
      </c>
      <c r="U315" s="10" t="str">
        <f ca="1">IFERROR('RPK (live)'!U315/'ASK (live)'!U315,"-")</f>
        <v>-</v>
      </c>
      <c r="V315" s="10" t="str">
        <f ca="1">IFERROR('RPK (live)'!V315/'ASK (live)'!V315,"-")</f>
        <v>-</v>
      </c>
      <c r="W315" s="10" t="str">
        <f ca="1">IFERROR('RPK (live)'!W315/'ASK (live)'!W315,"-")</f>
        <v>-</v>
      </c>
      <c r="X315" s="10" t="str">
        <f ca="1">IFERROR('RPK (live)'!X315/'ASK (live)'!X315,"-")</f>
        <v>-</v>
      </c>
      <c r="Y315" s="10" t="str">
        <f ca="1">IFERROR('RPK (live)'!Y315/'ASK (live)'!Y315,"-")</f>
        <v>-</v>
      </c>
      <c r="Z315" s="10" t="str">
        <f ca="1">IFERROR('RPK (live)'!Z315/'ASK (live)'!Z315,"-")</f>
        <v>-</v>
      </c>
      <c r="AA315" s="10" t="str">
        <f ca="1">IFERROR('RPK (live)'!AA315/'ASK (live)'!AA315,"-")</f>
        <v>-</v>
      </c>
      <c r="AB315" s="10" t="str">
        <f ca="1">IFERROR('RPK (live)'!AB315/'ASK (live)'!AB315,"-")</f>
        <v>-</v>
      </c>
      <c r="AC315" s="10" t="str">
        <f ca="1">IFERROR('RPK (live)'!AC315/'ASK (live)'!AC315,"-")</f>
        <v>-</v>
      </c>
      <c r="AD315" s="10" t="str">
        <f ca="1">IFERROR('RPK (live)'!AD315/'ASK (live)'!AD315,"-")</f>
        <v>-</v>
      </c>
      <c r="AE315" s="10">
        <f ca="1">IFERROR('RPK (live)'!AE315/'ASK (live)'!AE315,"-")</f>
        <v>0.41260037111935893</v>
      </c>
    </row>
    <row r="316" spans="1:31">
      <c r="A316" s="1" t="s">
        <v>152</v>
      </c>
      <c r="B316" s="5" t="s">
        <v>250</v>
      </c>
      <c r="C316" s="5" t="s">
        <v>251</v>
      </c>
      <c r="D316" s="5" t="s">
        <v>249</v>
      </c>
      <c r="E316" s="5" t="s">
        <v>21</v>
      </c>
      <c r="F316" s="5" t="s">
        <v>25</v>
      </c>
      <c r="G316" s="6"/>
      <c r="H316" s="6"/>
      <c r="I316" s="6"/>
      <c r="J316" s="6"/>
      <c r="K316" s="6"/>
      <c r="L316" s="10" t="str">
        <f ca="1">IFERROR('RPK (live)'!L316/'ASK (live)'!L316,"-")</f>
        <v>-</v>
      </c>
      <c r="M316" s="10" t="str">
        <f ca="1">IFERROR('RPK (live)'!M316/'ASK (live)'!M316,"-")</f>
        <v>-</v>
      </c>
      <c r="N316" s="10" t="str">
        <f ca="1">IFERROR('RPK (live)'!N316/'ASK (live)'!N316,"-")</f>
        <v>-</v>
      </c>
      <c r="O316" s="10" t="str">
        <f ca="1">IFERROR('RPK (live)'!O316/'ASK (live)'!O316,"-")</f>
        <v>-</v>
      </c>
      <c r="P316" s="10" t="str">
        <f ca="1">IFERROR('RPK (live)'!P316/'ASK (live)'!P316,"-")</f>
        <v>-</v>
      </c>
      <c r="Q316" s="10" t="str">
        <f ca="1">IFERROR('RPK (live)'!Q316/'ASK (live)'!Q316,"-")</f>
        <v>-</v>
      </c>
      <c r="R316" s="10" t="str">
        <f ca="1">IFERROR('RPK (live)'!R316/'ASK (live)'!R316,"-")</f>
        <v>-</v>
      </c>
      <c r="S316" s="10" t="str">
        <f ca="1">IFERROR('RPK (live)'!S316/'ASK (live)'!S316,"-")</f>
        <v>-</v>
      </c>
      <c r="T316" s="10" t="str">
        <f ca="1">IFERROR('RPK (live)'!T316/'ASK (live)'!T316,"-")</f>
        <v>-</v>
      </c>
      <c r="U316" s="10" t="str">
        <f ca="1">IFERROR('RPK (live)'!U316/'ASK (live)'!U316,"-")</f>
        <v>-</v>
      </c>
      <c r="V316" s="10" t="str">
        <f ca="1">IFERROR('RPK (live)'!V316/'ASK (live)'!V316,"-")</f>
        <v>-</v>
      </c>
      <c r="W316" s="10" t="str">
        <f ca="1">IFERROR('RPK (live)'!W316/'ASK (live)'!W316,"-")</f>
        <v>-</v>
      </c>
      <c r="X316" s="10" t="str">
        <f ca="1">IFERROR('RPK (live)'!X316/'ASK (live)'!X316,"-")</f>
        <v>-</v>
      </c>
      <c r="Y316" s="10" t="str">
        <f ca="1">IFERROR('RPK (live)'!Y316/'ASK (live)'!Y316,"-")</f>
        <v>-</v>
      </c>
      <c r="Z316" s="10" t="str">
        <f ca="1">IFERROR('RPK (live)'!Z316/'ASK (live)'!Z316,"-")</f>
        <v>-</v>
      </c>
      <c r="AA316" s="10" t="str">
        <f ca="1">IFERROR('RPK (live)'!AA316/'ASK (live)'!AA316,"-")</f>
        <v>-</v>
      </c>
      <c r="AB316" s="10" t="str">
        <f ca="1">IFERROR('RPK (live)'!AB316/'ASK (live)'!AB316,"-")</f>
        <v>-</v>
      </c>
      <c r="AC316" s="10" t="str">
        <f ca="1">IFERROR('RPK (live)'!AC316/'ASK (live)'!AC316,"-")</f>
        <v>-</v>
      </c>
      <c r="AD316" s="10" t="str">
        <f ca="1">IFERROR('RPK (live)'!AD316/'ASK (live)'!AD316,"-")</f>
        <v>-</v>
      </c>
      <c r="AE316" s="10">
        <f ca="1">IFERROR('RPK (live)'!AE316/'ASK (live)'!AE316,"-")</f>
        <v>0.41260037111935893</v>
      </c>
    </row>
    <row r="317" spans="1:31">
      <c r="A317" s="1" t="s">
        <v>152</v>
      </c>
      <c r="B317" s="5" t="s">
        <v>252</v>
      </c>
      <c r="C317" s="5" t="s">
        <v>226</v>
      </c>
      <c r="D317" s="5" t="s">
        <v>21</v>
      </c>
      <c r="E317" s="5" t="s">
        <v>227</v>
      </c>
      <c r="F317" s="5" t="s">
        <v>25</v>
      </c>
      <c r="G317" s="6"/>
      <c r="H317" s="6"/>
      <c r="I317" s="6"/>
      <c r="J317" s="6"/>
      <c r="K317" s="6"/>
      <c r="L317" s="10">
        <f ca="1">IFERROR('RPK (live)'!L317/'ASK (live)'!L317,"-")</f>
        <v>0.3</v>
      </c>
      <c r="M317" s="10" t="str">
        <f ca="1">IFERROR('RPK (live)'!M317/'ASK (live)'!M317,"-")</f>
        <v>-</v>
      </c>
      <c r="N317" s="10" t="str">
        <f ca="1">IFERROR('RPK (live)'!N317/'ASK (live)'!N317,"-")</f>
        <v>-</v>
      </c>
      <c r="O317" s="10" t="str">
        <f ca="1">IFERROR('RPK (live)'!O317/'ASK (live)'!O317,"-")</f>
        <v>-</v>
      </c>
      <c r="P317" s="10" t="str">
        <f ca="1">IFERROR('RPK (live)'!P317/'ASK (live)'!P317,"-")</f>
        <v>-</v>
      </c>
      <c r="Q317" s="10" t="str">
        <f ca="1">IFERROR('RPK (live)'!Q317/'ASK (live)'!Q317,"-")</f>
        <v>-</v>
      </c>
      <c r="R317" s="10" t="str">
        <f ca="1">IFERROR('RPK (live)'!R317/'ASK (live)'!R317,"-")</f>
        <v>-</v>
      </c>
      <c r="S317" s="10">
        <f ca="1">IFERROR('RPK (live)'!S317/'ASK (live)'!S317,"-")</f>
        <v>0.6</v>
      </c>
      <c r="T317" s="10">
        <f ca="1">IFERROR('RPK (live)'!T317/'ASK (live)'!T317,"-")</f>
        <v>0.72960642166158884</v>
      </c>
      <c r="U317" s="10">
        <f ca="1">IFERROR('RPK (live)'!U317/'ASK (live)'!U317,"-")</f>
        <v>0.9055504761413683</v>
      </c>
      <c r="V317" s="10">
        <f ca="1">IFERROR('RPK (live)'!V317/'ASK (live)'!V317,"-")</f>
        <v>0.72857253082487361</v>
      </c>
      <c r="W317" s="10" t="str">
        <f ca="1">IFERROR('RPK (live)'!W317/'ASK (live)'!W317,"-")</f>
        <v>-</v>
      </c>
      <c r="X317" s="10" t="str">
        <f ca="1">IFERROR('RPK (live)'!X317/'ASK (live)'!X317,"-")</f>
        <v>-</v>
      </c>
      <c r="Y317" s="10" t="str">
        <f ca="1">IFERROR('RPK (live)'!Y317/'ASK (live)'!Y317,"-")</f>
        <v>-</v>
      </c>
      <c r="Z317" s="10" t="str">
        <f ca="1">IFERROR('RPK (live)'!Z317/'ASK (live)'!Z317,"-")</f>
        <v>-</v>
      </c>
      <c r="AA317" s="10" t="str">
        <f ca="1">IFERROR('RPK (live)'!AA317/'ASK (live)'!AA317,"-")</f>
        <v>-</v>
      </c>
      <c r="AB317" s="10" t="str">
        <f ca="1">IFERROR('RPK (live)'!AB317/'ASK (live)'!AB317,"-")</f>
        <v>-</v>
      </c>
      <c r="AC317" s="10">
        <f ca="1">IFERROR('RPK (live)'!AC317/'ASK (live)'!AC317,"-")</f>
        <v>0.47251574071338648</v>
      </c>
      <c r="AD317" s="10">
        <f ca="1">IFERROR('RPK (live)'!AD317/'ASK (live)'!AD317,"-")</f>
        <v>0.51209223554995476</v>
      </c>
      <c r="AE317" s="10">
        <f ca="1">IFERROR('RPK (live)'!AE317/'ASK (live)'!AE317,"-")</f>
        <v>0.59878629955543738</v>
      </c>
    </row>
    <row r="318" spans="1:31">
      <c r="A318" s="1" t="s">
        <v>152</v>
      </c>
      <c r="B318" s="5" t="s">
        <v>253</v>
      </c>
      <c r="C318" s="5" t="s">
        <v>229</v>
      </c>
      <c r="D318" s="5" t="s">
        <v>227</v>
      </c>
      <c r="E318" s="5" t="s">
        <v>21</v>
      </c>
      <c r="F318" s="5" t="s">
        <v>25</v>
      </c>
      <c r="G318" s="6"/>
      <c r="H318" s="6"/>
      <c r="I318" s="6"/>
      <c r="J318" s="6"/>
      <c r="K318" s="6"/>
      <c r="L318" s="10">
        <f ca="1">IFERROR('RPK (live)'!L318/'ASK (live)'!L318,"-")</f>
        <v>0.3</v>
      </c>
      <c r="M318" s="10" t="str">
        <f ca="1">IFERROR('RPK (live)'!M318/'ASK (live)'!M318,"-")</f>
        <v>-</v>
      </c>
      <c r="N318" s="10" t="str">
        <f ca="1">IFERROR('RPK (live)'!N318/'ASK (live)'!N318,"-")</f>
        <v>-</v>
      </c>
      <c r="O318" s="10" t="str">
        <f ca="1">IFERROR('RPK (live)'!O318/'ASK (live)'!O318,"-")</f>
        <v>-</v>
      </c>
      <c r="P318" s="10" t="str">
        <f ca="1">IFERROR('RPK (live)'!P318/'ASK (live)'!P318,"-")</f>
        <v>-</v>
      </c>
      <c r="Q318" s="10" t="str">
        <f ca="1">IFERROR('RPK (live)'!Q318/'ASK (live)'!Q318,"-")</f>
        <v>-</v>
      </c>
      <c r="R318" s="10" t="str">
        <f ca="1">IFERROR('RPK (live)'!R318/'ASK (live)'!R318,"-")</f>
        <v>-</v>
      </c>
      <c r="S318" s="10">
        <f ca="1">IFERROR('RPK (live)'!S318/'ASK (live)'!S318,"-")</f>
        <v>0.6</v>
      </c>
      <c r="T318" s="10">
        <f ca="1">IFERROR('RPK (live)'!T318/'ASK (live)'!T318,"-")</f>
        <v>0.72960642166158884</v>
      </c>
      <c r="U318" s="10">
        <f ca="1">IFERROR('RPK (live)'!U318/'ASK (live)'!U318,"-")</f>
        <v>0.9055504761413683</v>
      </c>
      <c r="V318" s="10">
        <f ca="1">IFERROR('RPK (live)'!V318/'ASK (live)'!V318,"-")</f>
        <v>0.72857253082487361</v>
      </c>
      <c r="W318" s="10" t="str">
        <f ca="1">IFERROR('RPK (live)'!W318/'ASK (live)'!W318,"-")</f>
        <v>-</v>
      </c>
      <c r="X318" s="10" t="str">
        <f ca="1">IFERROR('RPK (live)'!X318/'ASK (live)'!X318,"-")</f>
        <v>-</v>
      </c>
      <c r="Y318" s="10" t="str">
        <f ca="1">IFERROR('RPK (live)'!Y318/'ASK (live)'!Y318,"-")</f>
        <v>-</v>
      </c>
      <c r="Z318" s="10" t="str">
        <f ca="1">IFERROR('RPK (live)'!Z318/'ASK (live)'!Z318,"-")</f>
        <v>-</v>
      </c>
      <c r="AA318" s="10" t="str">
        <f ca="1">IFERROR('RPK (live)'!AA318/'ASK (live)'!AA318,"-")</f>
        <v>-</v>
      </c>
      <c r="AB318" s="10" t="str">
        <f ca="1">IFERROR('RPK (live)'!AB318/'ASK (live)'!AB318,"-")</f>
        <v>-</v>
      </c>
      <c r="AC318" s="10">
        <f ca="1">IFERROR('RPK (live)'!AC318/'ASK (live)'!AC318,"-")</f>
        <v>0.47251574071338648</v>
      </c>
      <c r="AD318" s="10">
        <f ca="1">IFERROR('RPK (live)'!AD318/'ASK (live)'!AD318,"-")</f>
        <v>0.51209223554995476</v>
      </c>
      <c r="AE318" s="10">
        <f ca="1">IFERROR('RPK (live)'!AE318/'ASK (live)'!AE318,"-")</f>
        <v>0.59878629955543738</v>
      </c>
    </row>
    <row r="319" spans="1:31">
      <c r="A319" s="1" t="s">
        <v>152</v>
      </c>
      <c r="B319" s="5" t="s">
        <v>254</v>
      </c>
      <c r="C319" s="5" t="s">
        <v>255</v>
      </c>
      <c r="D319" s="5" t="s">
        <v>60</v>
      </c>
      <c r="E319" s="5" t="s">
        <v>59</v>
      </c>
      <c r="F319" s="5" t="s">
        <v>25</v>
      </c>
      <c r="G319" s="6"/>
      <c r="H319" s="6"/>
      <c r="I319" s="6"/>
      <c r="J319" s="6"/>
      <c r="K319" s="6"/>
      <c r="L319" s="10">
        <f ca="1">IFERROR('RPK (live)'!L319/'ASK (live)'!L319,"-")</f>
        <v>0.8</v>
      </c>
      <c r="M319" s="10">
        <f ca="1">IFERROR('RPK (live)'!M319/'ASK (live)'!M319,"-")</f>
        <v>0.73911921517291213</v>
      </c>
      <c r="N319" s="10">
        <f ca="1">IFERROR('RPK (live)'!N319/'ASK (live)'!N319,"-")</f>
        <v>0.92</v>
      </c>
      <c r="O319" s="10">
        <f ca="1">IFERROR('RPK (live)'!O319/'ASK (live)'!O319,"-")</f>
        <v>0.72</v>
      </c>
      <c r="P319" s="10">
        <f ca="1">IFERROR('RPK (live)'!P319/'ASK (live)'!P319,"-")</f>
        <v>0.88000000000000012</v>
      </c>
      <c r="Q319" s="10">
        <f ca="1">IFERROR('RPK (live)'!Q319/'ASK (live)'!Q319,"-")</f>
        <v>0.9</v>
      </c>
      <c r="R319" s="10" t="str">
        <f ca="1">IFERROR('RPK (live)'!R319/'ASK (live)'!R319,"-")</f>
        <v>-</v>
      </c>
      <c r="S319" s="10" t="str">
        <f ca="1">IFERROR('RPK (live)'!S319/'ASK (live)'!S319,"-")</f>
        <v>-</v>
      </c>
      <c r="T319" s="10" t="str">
        <f ca="1">IFERROR('RPK (live)'!T319/'ASK (live)'!T319,"-")</f>
        <v>-</v>
      </c>
      <c r="U319" s="10" t="str">
        <f ca="1">IFERROR('RPK (live)'!U319/'ASK (live)'!U319,"-")</f>
        <v>-</v>
      </c>
      <c r="V319" s="10" t="str">
        <f ca="1">IFERROR('RPK (live)'!V319/'ASK (live)'!V319,"-")</f>
        <v>-</v>
      </c>
      <c r="W319" s="10">
        <f ca="1">IFERROR('RPK (live)'!W319/'ASK (live)'!W319,"-")</f>
        <v>0.70118841339710136</v>
      </c>
      <c r="X319" s="10">
        <f ca="1">IFERROR('RPK (live)'!X319/'ASK (live)'!X319,"-")</f>
        <v>0.76476551430331852</v>
      </c>
      <c r="Y319" s="10">
        <f ca="1">IFERROR('RPK (live)'!Y319/'ASK (live)'!Y319,"-")</f>
        <v>0.89757044865430602</v>
      </c>
      <c r="Z319" s="10">
        <f ca="1">IFERROR('RPK (live)'!Z319/'ASK (live)'!Z319,"-")</f>
        <v>0.96995198270900573</v>
      </c>
      <c r="AA319" s="10">
        <f ca="1">IFERROR('RPK (live)'!AA319/'ASK (live)'!AA319,"-")</f>
        <v>0.68940980583071032</v>
      </c>
      <c r="AB319" s="10">
        <f ca="1">IFERROR('RPK (live)'!AB319/'ASK (live)'!AB319,"-")</f>
        <v>0.84991753974143769</v>
      </c>
      <c r="AC319" s="10">
        <f ca="1">IFERROR('RPK (live)'!AC319/'ASK (live)'!AC319,"-")</f>
        <v>0.84106991927499031</v>
      </c>
      <c r="AD319" s="10" t="str">
        <f ca="1">IFERROR('RPK (live)'!AD319/'ASK (live)'!AD319,"-")</f>
        <v>-</v>
      </c>
      <c r="AE319" s="10" t="str">
        <f ca="1">IFERROR('RPK (live)'!AE319/'ASK (live)'!AE319,"-")</f>
        <v>-</v>
      </c>
    </row>
    <row r="320" spans="1:31">
      <c r="A320" s="1" t="s">
        <v>152</v>
      </c>
      <c r="B320" s="5" t="s">
        <v>57</v>
      </c>
      <c r="C320" s="5" t="s">
        <v>58</v>
      </c>
      <c r="D320" s="5" t="s">
        <v>59</v>
      </c>
      <c r="E320" s="5" t="s">
        <v>60</v>
      </c>
      <c r="F320" s="5" t="s">
        <v>25</v>
      </c>
      <c r="G320" s="6"/>
      <c r="H320" s="6"/>
      <c r="I320" s="6"/>
      <c r="J320" s="6"/>
      <c r="K320" s="6"/>
      <c r="L320" s="10">
        <f ca="1">IFERROR('RPK (live)'!L320/'ASK (live)'!L320,"-")</f>
        <v>0.8</v>
      </c>
      <c r="M320" s="10">
        <f ca="1">IFERROR('RPK (live)'!M320/'ASK (live)'!M320,"-")</f>
        <v>0.73911921517291213</v>
      </c>
      <c r="N320" s="10">
        <f ca="1">IFERROR('RPK (live)'!N320/'ASK (live)'!N320,"-")</f>
        <v>0.92</v>
      </c>
      <c r="O320" s="10">
        <f ca="1">IFERROR('RPK (live)'!O320/'ASK (live)'!O320,"-")</f>
        <v>0.72</v>
      </c>
      <c r="P320" s="10">
        <f ca="1">IFERROR('RPK (live)'!P320/'ASK (live)'!P320,"-")</f>
        <v>0.88000000000000012</v>
      </c>
      <c r="Q320" s="10">
        <f ca="1">IFERROR('RPK (live)'!Q320/'ASK (live)'!Q320,"-")</f>
        <v>0.9</v>
      </c>
      <c r="R320" s="10" t="str">
        <f ca="1">IFERROR('RPK (live)'!R320/'ASK (live)'!R320,"-")</f>
        <v>-</v>
      </c>
      <c r="S320" s="10" t="str">
        <f ca="1">IFERROR('RPK (live)'!S320/'ASK (live)'!S320,"-")</f>
        <v>-</v>
      </c>
      <c r="T320" s="10" t="str">
        <f ca="1">IFERROR('RPK (live)'!T320/'ASK (live)'!T320,"-")</f>
        <v>-</v>
      </c>
      <c r="U320" s="10" t="str">
        <f ca="1">IFERROR('RPK (live)'!U320/'ASK (live)'!U320,"-")</f>
        <v>-</v>
      </c>
      <c r="V320" s="10" t="str">
        <f ca="1">IFERROR('RPK (live)'!V320/'ASK (live)'!V320,"-")</f>
        <v>-</v>
      </c>
      <c r="W320" s="10">
        <f ca="1">IFERROR('RPK (live)'!W320/'ASK (live)'!W320,"-")</f>
        <v>0.70118841339710136</v>
      </c>
      <c r="X320" s="10">
        <f ca="1">IFERROR('RPK (live)'!X320/'ASK (live)'!X320,"-")</f>
        <v>0.76476551430331852</v>
      </c>
      <c r="Y320" s="10">
        <f ca="1">IFERROR('RPK (live)'!Y320/'ASK (live)'!Y320,"-")</f>
        <v>0.89757044865430602</v>
      </c>
      <c r="Z320" s="10">
        <f ca="1">IFERROR('RPK (live)'!Z320/'ASK (live)'!Z320,"-")</f>
        <v>0.96995198270900573</v>
      </c>
      <c r="AA320" s="10">
        <f ca="1">IFERROR('RPK (live)'!AA320/'ASK (live)'!AA320,"-")</f>
        <v>0.68940980583071032</v>
      </c>
      <c r="AB320" s="10">
        <f ca="1">IFERROR('RPK (live)'!AB320/'ASK (live)'!AB320,"-")</f>
        <v>0.84991753974143769</v>
      </c>
      <c r="AC320" s="10">
        <f ca="1">IFERROR('RPK (live)'!AC320/'ASK (live)'!AC320,"-")</f>
        <v>0.8410699192749902</v>
      </c>
      <c r="AD320" s="10" t="str">
        <f ca="1">IFERROR('RPK (live)'!AD320/'ASK (live)'!AD320,"-")</f>
        <v>-</v>
      </c>
      <c r="AE320" s="10" t="str">
        <f ca="1">IFERROR('RPK (live)'!AE320/'ASK (live)'!AE320,"-")</f>
        <v>-</v>
      </c>
    </row>
    <row r="321" spans="1:31">
      <c r="A321" s="1" t="s">
        <v>152</v>
      </c>
      <c r="B321" s="5" t="s">
        <v>256</v>
      </c>
      <c r="C321" s="5" t="s">
        <v>206</v>
      </c>
      <c r="D321" s="5" t="s">
        <v>21</v>
      </c>
      <c r="E321" s="5" t="s">
        <v>181</v>
      </c>
      <c r="F321" s="5" t="s">
        <v>25</v>
      </c>
      <c r="G321" s="6"/>
      <c r="H321" s="6"/>
      <c r="I321" s="6"/>
      <c r="J321" s="6"/>
      <c r="K321" s="6"/>
      <c r="L321" s="10" t="str">
        <f ca="1">IFERROR('RPK (live)'!L321/'ASK (live)'!L321,"-")</f>
        <v>-</v>
      </c>
      <c r="M321" s="10" t="str">
        <f ca="1">IFERROR('RPK (live)'!M321/'ASK (live)'!M321,"-")</f>
        <v>-</v>
      </c>
      <c r="N321" s="10" t="str">
        <f ca="1">IFERROR('RPK (live)'!N321/'ASK (live)'!N321,"-")</f>
        <v>-</v>
      </c>
      <c r="O321" s="10" t="str">
        <f ca="1">IFERROR('RPK (live)'!O321/'ASK (live)'!O321,"-")</f>
        <v>-</v>
      </c>
      <c r="P321" s="10" t="str">
        <f ca="1">IFERROR('RPK (live)'!P321/'ASK (live)'!P321,"-")</f>
        <v>-</v>
      </c>
      <c r="Q321" s="10" t="str">
        <f ca="1">IFERROR('RPK (live)'!Q321/'ASK (live)'!Q321,"-")</f>
        <v>-</v>
      </c>
      <c r="R321" s="10" t="str">
        <f ca="1">IFERROR('RPK (live)'!R321/'ASK (live)'!R321,"-")</f>
        <v>-</v>
      </c>
      <c r="S321" s="10" t="str">
        <f ca="1">IFERROR('RPK (live)'!S321/'ASK (live)'!S321,"-")</f>
        <v>-</v>
      </c>
      <c r="T321" s="10" t="str">
        <f ca="1">IFERROR('RPK (live)'!T321/'ASK (live)'!T321,"-")</f>
        <v>-</v>
      </c>
      <c r="U321" s="10" t="str">
        <f ca="1">IFERROR('RPK (live)'!U321/'ASK (live)'!U321,"-")</f>
        <v>-</v>
      </c>
      <c r="V321" s="10" t="str">
        <f ca="1">IFERROR('RPK (live)'!V321/'ASK (live)'!V321,"-")</f>
        <v>-</v>
      </c>
      <c r="W321" s="10" t="str">
        <f ca="1">IFERROR('RPK (live)'!W321/'ASK (live)'!W321,"-")</f>
        <v>-</v>
      </c>
      <c r="X321" s="10" t="str">
        <f ca="1">IFERROR('RPK (live)'!X321/'ASK (live)'!X321,"-")</f>
        <v>-</v>
      </c>
      <c r="Y321" s="10" t="str">
        <f ca="1">IFERROR('RPK (live)'!Y321/'ASK (live)'!Y321,"-")</f>
        <v>-</v>
      </c>
      <c r="Z321" s="10" t="str">
        <f ca="1">IFERROR('RPK (live)'!Z321/'ASK (live)'!Z321,"-")</f>
        <v>-</v>
      </c>
      <c r="AA321" s="10" t="str">
        <f ca="1">IFERROR('RPK (live)'!AA321/'ASK (live)'!AA321,"-")</f>
        <v>-</v>
      </c>
      <c r="AB321" s="10" t="str">
        <f ca="1">IFERROR('RPK (live)'!AB321/'ASK (live)'!AB321,"-")</f>
        <v>-</v>
      </c>
      <c r="AC321" s="10" t="str">
        <f ca="1">IFERROR('RPK (live)'!AC321/'ASK (live)'!AC321,"-")</f>
        <v>-</v>
      </c>
      <c r="AD321" s="10" t="str">
        <f ca="1">IFERROR('RPK (live)'!AD321/'ASK (live)'!AD321,"-")</f>
        <v>-</v>
      </c>
      <c r="AE321" s="10" t="str">
        <f ca="1">IFERROR('RPK (live)'!AE321/'ASK (live)'!AE321,"-")</f>
        <v>-</v>
      </c>
    </row>
    <row r="322" spans="1:31">
      <c r="A322" s="1" t="s">
        <v>152</v>
      </c>
      <c r="B322" s="5" t="s">
        <v>257</v>
      </c>
      <c r="C322" s="5" t="s">
        <v>208</v>
      </c>
      <c r="D322" s="5" t="s">
        <v>181</v>
      </c>
      <c r="E322" s="5" t="s">
        <v>21</v>
      </c>
      <c r="F322" s="5" t="s">
        <v>25</v>
      </c>
      <c r="G322" s="6"/>
      <c r="H322" s="6"/>
      <c r="I322" s="6"/>
      <c r="J322" s="6"/>
      <c r="K322" s="6"/>
      <c r="L322" s="10" t="str">
        <f ca="1">IFERROR('RPK (live)'!L322/'ASK (live)'!L322,"-")</f>
        <v>-</v>
      </c>
      <c r="M322" s="10" t="str">
        <f ca="1">IFERROR('RPK (live)'!M322/'ASK (live)'!M322,"-")</f>
        <v>-</v>
      </c>
      <c r="N322" s="10" t="str">
        <f ca="1">IFERROR('RPK (live)'!N322/'ASK (live)'!N322,"-")</f>
        <v>-</v>
      </c>
      <c r="O322" s="10" t="str">
        <f ca="1">IFERROR('RPK (live)'!O322/'ASK (live)'!O322,"-")</f>
        <v>-</v>
      </c>
      <c r="P322" s="10" t="str">
        <f ca="1">IFERROR('RPK (live)'!P322/'ASK (live)'!P322,"-")</f>
        <v>-</v>
      </c>
      <c r="Q322" s="10" t="str">
        <f ca="1">IFERROR('RPK (live)'!Q322/'ASK (live)'!Q322,"-")</f>
        <v>-</v>
      </c>
      <c r="R322" s="10" t="str">
        <f ca="1">IFERROR('RPK (live)'!R322/'ASK (live)'!R322,"-")</f>
        <v>-</v>
      </c>
      <c r="S322" s="10" t="str">
        <f ca="1">IFERROR('RPK (live)'!S322/'ASK (live)'!S322,"-")</f>
        <v>-</v>
      </c>
      <c r="T322" s="10" t="str">
        <f ca="1">IFERROR('RPK (live)'!T322/'ASK (live)'!T322,"-")</f>
        <v>-</v>
      </c>
      <c r="U322" s="10" t="str">
        <f ca="1">IFERROR('RPK (live)'!U322/'ASK (live)'!U322,"-")</f>
        <v>-</v>
      </c>
      <c r="V322" s="10" t="str">
        <f ca="1">IFERROR('RPK (live)'!V322/'ASK (live)'!V322,"-")</f>
        <v>-</v>
      </c>
      <c r="W322" s="10" t="str">
        <f ca="1">IFERROR('RPK (live)'!W322/'ASK (live)'!W322,"-")</f>
        <v>-</v>
      </c>
      <c r="X322" s="10" t="str">
        <f ca="1">IFERROR('RPK (live)'!X322/'ASK (live)'!X322,"-")</f>
        <v>-</v>
      </c>
      <c r="Y322" s="10" t="str">
        <f ca="1">IFERROR('RPK (live)'!Y322/'ASK (live)'!Y322,"-")</f>
        <v>-</v>
      </c>
      <c r="Z322" s="10" t="str">
        <f ca="1">IFERROR('RPK (live)'!Z322/'ASK (live)'!Z322,"-")</f>
        <v>-</v>
      </c>
      <c r="AA322" s="10" t="str">
        <f ca="1">IFERROR('RPK (live)'!AA322/'ASK (live)'!AA322,"-")</f>
        <v>-</v>
      </c>
      <c r="AB322" s="10" t="str">
        <f ca="1">IFERROR('RPK (live)'!AB322/'ASK (live)'!AB322,"-")</f>
        <v>-</v>
      </c>
      <c r="AC322" s="10" t="str">
        <f ca="1">IFERROR('RPK (live)'!AC322/'ASK (live)'!AC322,"-")</f>
        <v>-</v>
      </c>
      <c r="AD322" s="10" t="str">
        <f ca="1">IFERROR('RPK (live)'!AD322/'ASK (live)'!AD322,"-")</f>
        <v>-</v>
      </c>
      <c r="AE322" s="10" t="str">
        <f ca="1">IFERROR('RPK (live)'!AE322/'ASK (live)'!AE322,"-")</f>
        <v>-</v>
      </c>
    </row>
    <row r="323" spans="1:31">
      <c r="A323" s="1" t="s">
        <v>152</v>
      </c>
      <c r="B323" s="5" t="s">
        <v>258</v>
      </c>
      <c r="C323" s="5" t="s">
        <v>259</v>
      </c>
      <c r="D323" s="5" t="s">
        <v>21</v>
      </c>
      <c r="E323" s="5" t="s">
        <v>260</v>
      </c>
      <c r="F323" s="5" t="s">
        <v>25</v>
      </c>
      <c r="G323" s="6"/>
      <c r="H323" s="6"/>
      <c r="I323" s="6"/>
      <c r="J323" s="6"/>
      <c r="K323" s="6"/>
      <c r="L323" s="10">
        <f ca="1">IFERROR('RPK (live)'!L323/'ASK (live)'!L323,"-")</f>
        <v>0.77</v>
      </c>
      <c r="M323" s="10">
        <f ca="1">IFERROR('RPK (live)'!M323/'ASK (live)'!M323,"-")</f>
        <v>0.86061826424243226</v>
      </c>
      <c r="N323" s="10">
        <f ca="1">IFERROR('RPK (live)'!N323/'ASK (live)'!N323,"-")</f>
        <v>0.9</v>
      </c>
      <c r="O323" s="10">
        <f ca="1">IFERROR('RPK (live)'!O323/'ASK (live)'!O323,"-")</f>
        <v>0.9</v>
      </c>
      <c r="P323" s="10">
        <f ca="1">IFERROR('RPK (live)'!P323/'ASK (live)'!P323,"-")</f>
        <v>0.85</v>
      </c>
      <c r="Q323" s="10">
        <f ca="1">IFERROR('RPK (live)'!Q323/'ASK (live)'!Q323,"-")</f>
        <v>0.85</v>
      </c>
      <c r="R323" s="10">
        <f ca="1">IFERROR('RPK (live)'!R323/'ASK (live)'!R323,"-")</f>
        <v>0.66999999999999993</v>
      </c>
      <c r="S323" s="10">
        <f ca="1">IFERROR('RPK (live)'!S323/'ASK (live)'!S323,"-")</f>
        <v>0.69999999999999984</v>
      </c>
      <c r="T323" s="10">
        <f ca="1">IFERROR('RPK (live)'!T323/'ASK (live)'!T323,"-")</f>
        <v>0.78334392122853891</v>
      </c>
      <c r="U323" s="10">
        <f ca="1">IFERROR('RPK (live)'!U323/'ASK (live)'!U323,"-")</f>
        <v>0.78251635110683493</v>
      </c>
      <c r="V323" s="10">
        <f ca="1">IFERROR('RPK (live)'!V323/'ASK (live)'!V323,"-")</f>
        <v>0.66097887209041684</v>
      </c>
      <c r="W323" s="10">
        <f ca="1">IFERROR('RPK (live)'!W323/'ASK (live)'!W323,"-")</f>
        <v>0.82050068003210408</v>
      </c>
      <c r="X323" s="10">
        <f ca="1">IFERROR('RPK (live)'!X323/'ASK (live)'!X323,"-")</f>
        <v>0.89981356961618308</v>
      </c>
      <c r="Y323" s="10">
        <f ca="1">IFERROR('RPK (live)'!Y323/'ASK (live)'!Y323,"-")</f>
        <v>0.96531248352838306</v>
      </c>
      <c r="Z323" s="10">
        <f ca="1">IFERROR('RPK (live)'!Z323/'ASK (live)'!Z323,"-")</f>
        <v>0.9905191129878016</v>
      </c>
      <c r="AA323" s="10">
        <f ca="1">IFERROR('RPK (live)'!AA323/'ASK (live)'!AA323,"-")</f>
        <v>0.94592545449176502</v>
      </c>
      <c r="AB323" s="10">
        <f ca="1">IFERROR('RPK (live)'!AB323/'ASK (live)'!AB323,"-")</f>
        <v>0.98159197448121671</v>
      </c>
      <c r="AC323" s="10">
        <f ca="1">IFERROR('RPK (live)'!AC323/'ASK (live)'!AC323,"-")</f>
        <v>0.8958609246313477</v>
      </c>
      <c r="AD323" s="10">
        <f ca="1">IFERROR('RPK (live)'!AD323/'ASK (live)'!AD323,"-")</f>
        <v>0.75017111220793675</v>
      </c>
      <c r="AE323" s="10">
        <f ca="1">IFERROR('RPK (live)'!AE323/'ASK (live)'!AE323,"-")</f>
        <v>0.87683243636038855</v>
      </c>
    </row>
    <row r="324" spans="1:31">
      <c r="A324" s="1" t="s">
        <v>152</v>
      </c>
      <c r="B324" s="5" t="s">
        <v>261</v>
      </c>
      <c r="C324" s="5" t="s">
        <v>262</v>
      </c>
      <c r="D324" s="5" t="s">
        <v>260</v>
      </c>
      <c r="E324" s="5" t="s">
        <v>21</v>
      </c>
      <c r="F324" s="5" t="s">
        <v>25</v>
      </c>
      <c r="G324" s="6"/>
      <c r="H324" s="6"/>
      <c r="I324" s="6"/>
      <c r="J324" s="6"/>
      <c r="K324" s="6"/>
      <c r="L324" s="10">
        <f ca="1">IFERROR('RPK (live)'!L324/'ASK (live)'!L324,"-")</f>
        <v>0.77</v>
      </c>
      <c r="M324" s="10">
        <f ca="1">IFERROR('RPK (live)'!M324/'ASK (live)'!M324,"-")</f>
        <v>0.86061826424243226</v>
      </c>
      <c r="N324" s="10">
        <f ca="1">IFERROR('RPK (live)'!N324/'ASK (live)'!N324,"-")</f>
        <v>0.9</v>
      </c>
      <c r="O324" s="10">
        <f ca="1">IFERROR('RPK (live)'!O324/'ASK (live)'!O324,"-")</f>
        <v>0.9</v>
      </c>
      <c r="P324" s="10">
        <f ca="1">IFERROR('RPK (live)'!P324/'ASK (live)'!P324,"-")</f>
        <v>0.85</v>
      </c>
      <c r="Q324" s="10">
        <f ca="1">IFERROR('RPK (live)'!Q324/'ASK (live)'!Q324,"-")</f>
        <v>0.85</v>
      </c>
      <c r="R324" s="10">
        <f ca="1">IFERROR('RPK (live)'!R324/'ASK (live)'!R324,"-")</f>
        <v>0.66999999999999993</v>
      </c>
      <c r="S324" s="10">
        <f ca="1">IFERROR('RPK (live)'!S324/'ASK (live)'!S324,"-")</f>
        <v>0.69999999999999984</v>
      </c>
      <c r="T324" s="10">
        <f ca="1">IFERROR('RPK (live)'!T324/'ASK (live)'!T324,"-")</f>
        <v>0.78334392122853891</v>
      </c>
      <c r="U324" s="10">
        <f ca="1">IFERROR('RPK (live)'!U324/'ASK (live)'!U324,"-")</f>
        <v>0.78251635110683493</v>
      </c>
      <c r="V324" s="10">
        <f ca="1">IFERROR('RPK (live)'!V324/'ASK (live)'!V324,"-")</f>
        <v>0.66097887209041684</v>
      </c>
      <c r="W324" s="10">
        <f ca="1">IFERROR('RPK (live)'!W324/'ASK (live)'!W324,"-")</f>
        <v>0.82050068003210408</v>
      </c>
      <c r="X324" s="10">
        <f ca="1">IFERROR('RPK (live)'!X324/'ASK (live)'!X324,"-")</f>
        <v>0.89981356961618308</v>
      </c>
      <c r="Y324" s="10">
        <f ca="1">IFERROR('RPK (live)'!Y324/'ASK (live)'!Y324,"-")</f>
        <v>0.96531248352838306</v>
      </c>
      <c r="Z324" s="10">
        <f ca="1">IFERROR('RPK (live)'!Z324/'ASK (live)'!Z324,"-")</f>
        <v>0.9905191129878016</v>
      </c>
      <c r="AA324" s="10">
        <f ca="1">IFERROR('RPK (live)'!AA324/'ASK (live)'!AA324,"-")</f>
        <v>0.94592545449176502</v>
      </c>
      <c r="AB324" s="10">
        <f ca="1">IFERROR('RPK (live)'!AB324/'ASK (live)'!AB324,"-")</f>
        <v>0.98159197448121671</v>
      </c>
      <c r="AC324" s="10">
        <f ca="1">IFERROR('RPK (live)'!AC324/'ASK (live)'!AC324,"-")</f>
        <v>0.8958609246313477</v>
      </c>
      <c r="AD324" s="10">
        <f ca="1">IFERROR('RPK (live)'!AD324/'ASK (live)'!AD324,"-")</f>
        <v>0.75017111220793675</v>
      </c>
      <c r="AE324" s="10">
        <f ca="1">IFERROR('RPK (live)'!AE324/'ASK (live)'!AE324,"-")</f>
        <v>0.87683243636038855</v>
      </c>
    </row>
    <row r="325" spans="1:31">
      <c r="A325" s="1" t="s">
        <v>152</v>
      </c>
      <c r="B325" s="5" t="s">
        <v>263</v>
      </c>
      <c r="C325" s="5" t="s">
        <v>264</v>
      </c>
      <c r="D325" s="5" t="s">
        <v>21</v>
      </c>
      <c r="E325" s="5" t="s">
        <v>265</v>
      </c>
      <c r="F325" s="5" t="s">
        <v>25</v>
      </c>
      <c r="G325" s="6"/>
      <c r="H325" s="6"/>
      <c r="I325" s="6"/>
      <c r="J325" s="6"/>
      <c r="K325" s="6"/>
      <c r="L325" s="10">
        <f ca="1">IFERROR('RPK (live)'!L325/'ASK (live)'!L325,"-")</f>
        <v>0.85000000000000009</v>
      </c>
      <c r="M325" s="10">
        <f ca="1">IFERROR('RPK (live)'!M325/'ASK (live)'!M325,"-")</f>
        <v>0.97199239255615866</v>
      </c>
      <c r="N325" s="10">
        <f ca="1">IFERROR('RPK (live)'!N325/'ASK (live)'!N325,"-")</f>
        <v>0.9</v>
      </c>
      <c r="O325" s="10">
        <f ca="1">IFERROR('RPK (live)'!O325/'ASK (live)'!O325,"-")</f>
        <v>0.81000000000000016</v>
      </c>
      <c r="P325" s="10">
        <f ca="1">IFERROR('RPK (live)'!P325/'ASK (live)'!P325,"-")</f>
        <v>0.82</v>
      </c>
      <c r="Q325" s="10">
        <f ca="1">IFERROR('RPK (live)'!Q325/'ASK (live)'!Q325,"-")</f>
        <v>0.83999999999999986</v>
      </c>
      <c r="R325" s="10">
        <f ca="1">IFERROR('RPK (live)'!R325/'ASK (live)'!R325,"-")</f>
        <v>0.88</v>
      </c>
      <c r="S325" s="10">
        <f ca="1">IFERROR('RPK (live)'!S325/'ASK (live)'!S325,"-")</f>
        <v>0.81999999999999984</v>
      </c>
      <c r="T325" s="10">
        <f ca="1">IFERROR('RPK (live)'!T325/'ASK (live)'!T325,"-")</f>
        <v>0.99051911298780149</v>
      </c>
      <c r="U325" s="10">
        <f ca="1">IFERROR('RPK (live)'!U325/'ASK (live)'!U325,"-")</f>
        <v>0.99051911298780149</v>
      </c>
      <c r="V325" s="10">
        <f ca="1">IFERROR('RPK (live)'!V325/'ASK (live)'!V325,"-")</f>
        <v>0.90210260184880575</v>
      </c>
      <c r="W325" s="10">
        <f ca="1">IFERROR('RPK (live)'!W325/'ASK (live)'!W325,"-")</f>
        <v>0.82981020878782874</v>
      </c>
      <c r="X325" s="10">
        <f ca="1">IFERROR('RPK (live)'!X325/'ASK (live)'!X325,"-")</f>
        <v>0.87910349042491354</v>
      </c>
      <c r="Y325" s="10">
        <f ca="1">IFERROR('RPK (live)'!Y325/'ASK (live)'!Y325,"-")</f>
        <v>0.99051911298780138</v>
      </c>
      <c r="Z325" s="10">
        <f ca="1">IFERROR('RPK (live)'!Z325/'ASK (live)'!Z325,"-")</f>
        <v>0.9854408461658456</v>
      </c>
      <c r="AA325" s="10">
        <f ca="1">IFERROR('RPK (live)'!AA325/'ASK (live)'!AA325,"-")</f>
        <v>0.87205161370353868</v>
      </c>
      <c r="AB325" s="10">
        <f ca="1">IFERROR('RPK (live)'!AB325/'ASK (live)'!AB325,"-")</f>
        <v>0.89872290040057912</v>
      </c>
      <c r="AC325" s="10">
        <f ca="1">IFERROR('RPK (live)'!AC325/'ASK (live)'!AC325,"-")</f>
        <v>0.86379527861735228</v>
      </c>
      <c r="AD325" s="10">
        <f ca="1">IFERROR('RPK (live)'!AD325/'ASK (live)'!AD325,"-")</f>
        <v>0.92140108335676263</v>
      </c>
      <c r="AE325" s="10">
        <f ca="1">IFERROR('RPK (live)'!AE325/'ASK (live)'!AE325,"-")</f>
        <v>0.86825621534266817</v>
      </c>
    </row>
    <row r="326" spans="1:31">
      <c r="A326" s="1" t="s">
        <v>152</v>
      </c>
      <c r="B326" s="5" t="s">
        <v>266</v>
      </c>
      <c r="C326" s="5" t="s">
        <v>267</v>
      </c>
      <c r="D326" s="5" t="s">
        <v>265</v>
      </c>
      <c r="E326" s="5" t="s">
        <v>21</v>
      </c>
      <c r="F326" s="5" t="s">
        <v>25</v>
      </c>
      <c r="G326" s="6"/>
      <c r="H326" s="6"/>
      <c r="I326" s="6"/>
      <c r="J326" s="6"/>
      <c r="K326" s="6"/>
      <c r="L326" s="10">
        <f ca="1">IFERROR('RPK (live)'!L326/'ASK (live)'!L326,"-")</f>
        <v>0.85000000000000009</v>
      </c>
      <c r="M326" s="10">
        <f ca="1">IFERROR('RPK (live)'!M326/'ASK (live)'!M326,"-")</f>
        <v>0.97199239255615866</v>
      </c>
      <c r="N326" s="10">
        <f ca="1">IFERROR('RPK (live)'!N326/'ASK (live)'!N326,"-")</f>
        <v>0.9</v>
      </c>
      <c r="O326" s="10">
        <f ca="1">IFERROR('RPK (live)'!O326/'ASK (live)'!O326,"-")</f>
        <v>0.81000000000000016</v>
      </c>
      <c r="P326" s="10">
        <f ca="1">IFERROR('RPK (live)'!P326/'ASK (live)'!P326,"-")</f>
        <v>0.82</v>
      </c>
      <c r="Q326" s="10">
        <f ca="1">IFERROR('RPK (live)'!Q326/'ASK (live)'!Q326,"-")</f>
        <v>0.83999999999999986</v>
      </c>
      <c r="R326" s="10">
        <f ca="1">IFERROR('RPK (live)'!R326/'ASK (live)'!R326,"-")</f>
        <v>0.88</v>
      </c>
      <c r="S326" s="10">
        <f ca="1">IFERROR('RPK (live)'!S326/'ASK (live)'!S326,"-")</f>
        <v>0.81999999999999984</v>
      </c>
      <c r="T326" s="10">
        <f ca="1">IFERROR('RPK (live)'!T326/'ASK (live)'!T326,"-")</f>
        <v>0.99051911298780149</v>
      </c>
      <c r="U326" s="10">
        <f ca="1">IFERROR('RPK (live)'!U326/'ASK (live)'!U326,"-")</f>
        <v>0.99051911298780149</v>
      </c>
      <c r="V326" s="10">
        <f ca="1">IFERROR('RPK (live)'!V326/'ASK (live)'!V326,"-")</f>
        <v>0.90210260184880575</v>
      </c>
      <c r="W326" s="10">
        <f ca="1">IFERROR('RPK (live)'!W326/'ASK (live)'!W326,"-")</f>
        <v>0.82981020878782874</v>
      </c>
      <c r="X326" s="10">
        <f ca="1">IFERROR('RPK (live)'!X326/'ASK (live)'!X326,"-")</f>
        <v>0.87910349042491354</v>
      </c>
      <c r="Y326" s="10">
        <f ca="1">IFERROR('RPK (live)'!Y326/'ASK (live)'!Y326,"-")</f>
        <v>0.99051911298780138</v>
      </c>
      <c r="Z326" s="10">
        <f ca="1">IFERROR('RPK (live)'!Z326/'ASK (live)'!Z326,"-")</f>
        <v>0.9854408461658456</v>
      </c>
      <c r="AA326" s="10">
        <f ca="1">IFERROR('RPK (live)'!AA326/'ASK (live)'!AA326,"-")</f>
        <v>0.87205161370353868</v>
      </c>
      <c r="AB326" s="10">
        <f ca="1">IFERROR('RPK (live)'!AB326/'ASK (live)'!AB326,"-")</f>
        <v>0.89872290040057912</v>
      </c>
      <c r="AC326" s="10">
        <f ca="1">IFERROR('RPK (live)'!AC326/'ASK (live)'!AC326,"-")</f>
        <v>0.86379527861735228</v>
      </c>
      <c r="AD326" s="10">
        <f ca="1">IFERROR('RPK (live)'!AD326/'ASK (live)'!AD326,"-")</f>
        <v>0.92140108335676263</v>
      </c>
      <c r="AE326" s="10">
        <f ca="1">IFERROR('RPK (live)'!AE326/'ASK (live)'!AE326,"-")</f>
        <v>0.86825621534266817</v>
      </c>
    </row>
    <row r="327" spans="1:31">
      <c r="A327" s="1" t="s">
        <v>152</v>
      </c>
      <c r="B327" s="5" t="s">
        <v>268</v>
      </c>
      <c r="C327" s="5" t="s">
        <v>264</v>
      </c>
      <c r="D327" s="5" t="s">
        <v>21</v>
      </c>
      <c r="E327" s="5" t="s">
        <v>265</v>
      </c>
      <c r="F327" s="5" t="s">
        <v>25</v>
      </c>
      <c r="G327" s="6"/>
      <c r="H327" s="6"/>
      <c r="I327" s="6"/>
      <c r="J327" s="6"/>
      <c r="K327" s="6"/>
      <c r="L327" s="10">
        <f ca="1">IFERROR('RPK (live)'!L327/'ASK (live)'!L327,"-")</f>
        <v>0.85000000000000009</v>
      </c>
      <c r="M327" s="10">
        <f ca="1">IFERROR('RPK (live)'!M327/'ASK (live)'!M327,"-")</f>
        <v>0.97199239255615866</v>
      </c>
      <c r="N327" s="10">
        <f ca="1">IFERROR('RPK (live)'!N327/'ASK (live)'!N327,"-")</f>
        <v>0.90000000000000013</v>
      </c>
      <c r="O327" s="10">
        <f ca="1">IFERROR('RPK (live)'!O327/'ASK (live)'!O327,"-")</f>
        <v>0.81000000000000016</v>
      </c>
      <c r="P327" s="10">
        <f ca="1">IFERROR('RPK (live)'!P327/'ASK (live)'!P327,"-")</f>
        <v>0.82</v>
      </c>
      <c r="Q327" s="10">
        <f ca="1">IFERROR('RPK (live)'!Q327/'ASK (live)'!Q327,"-")</f>
        <v>0.83999999999999986</v>
      </c>
      <c r="R327" s="10">
        <f ca="1">IFERROR('RPK (live)'!R327/'ASK (live)'!R327,"-")</f>
        <v>0.88</v>
      </c>
      <c r="S327" s="10">
        <f ca="1">IFERROR('RPK (live)'!S327/'ASK (live)'!S327,"-")</f>
        <v>0.81999999999999984</v>
      </c>
      <c r="T327" s="10">
        <f ca="1">IFERROR('RPK (live)'!T327/'ASK (live)'!T327,"-")</f>
        <v>0.9905191129878016</v>
      </c>
      <c r="U327" s="10">
        <f ca="1">IFERROR('RPK (live)'!U327/'ASK (live)'!U327,"-")</f>
        <v>0.99051911298780138</v>
      </c>
      <c r="V327" s="10">
        <f ca="1">IFERROR('RPK (live)'!V327/'ASK (live)'!V327,"-")</f>
        <v>0.90210260184880597</v>
      </c>
      <c r="W327" s="10">
        <f ca="1">IFERROR('RPK (live)'!W327/'ASK (live)'!W327,"-")</f>
        <v>0.82981020878782874</v>
      </c>
      <c r="X327" s="10">
        <f ca="1">IFERROR('RPK (live)'!X327/'ASK (live)'!X327,"-")</f>
        <v>0.87910349042491376</v>
      </c>
      <c r="Y327" s="10">
        <f ca="1">IFERROR('RPK (live)'!Y327/'ASK (live)'!Y327,"-")</f>
        <v>0.99051911298780126</v>
      </c>
      <c r="Z327" s="10">
        <f ca="1">IFERROR('RPK (live)'!Z327/'ASK (live)'!Z327,"-")</f>
        <v>0.98544084616584537</v>
      </c>
      <c r="AA327" s="10">
        <f ca="1">IFERROR('RPK (live)'!AA327/'ASK (live)'!AA327,"-")</f>
        <v>0.87205161370353901</v>
      </c>
      <c r="AB327" s="10">
        <f ca="1">IFERROR('RPK (live)'!AB327/'ASK (live)'!AB327,"-")</f>
        <v>0.89872290040057923</v>
      </c>
      <c r="AC327" s="10">
        <f ca="1">IFERROR('RPK (live)'!AC327/'ASK (live)'!AC327,"-")</f>
        <v>0.86379527861735228</v>
      </c>
      <c r="AD327" s="10">
        <f ca="1">IFERROR('RPK (live)'!AD327/'ASK (live)'!AD327,"-")</f>
        <v>0.92140108335676241</v>
      </c>
      <c r="AE327" s="10">
        <f ca="1">IFERROR('RPK (live)'!AE327/'ASK (live)'!AE327,"-")</f>
        <v>0.86825621534266861</v>
      </c>
    </row>
    <row r="328" spans="1:31">
      <c r="A328" s="1" t="s">
        <v>152</v>
      </c>
      <c r="B328" s="5" t="s">
        <v>269</v>
      </c>
      <c r="C328" s="5" t="s">
        <v>267</v>
      </c>
      <c r="D328" s="5" t="s">
        <v>265</v>
      </c>
      <c r="E328" s="5" t="s">
        <v>21</v>
      </c>
      <c r="F328" s="5" t="s">
        <v>25</v>
      </c>
      <c r="G328" s="6"/>
      <c r="H328" s="6"/>
      <c r="I328" s="6"/>
      <c r="J328" s="6"/>
      <c r="K328" s="6"/>
      <c r="L328" s="10">
        <f ca="1">IFERROR('RPK (live)'!L328/'ASK (live)'!L328,"-")</f>
        <v>0.85000000000000009</v>
      </c>
      <c r="M328" s="10">
        <f ca="1">IFERROR('RPK (live)'!M328/'ASK (live)'!M328,"-")</f>
        <v>0.97199239255615866</v>
      </c>
      <c r="N328" s="10">
        <f ca="1">IFERROR('RPK (live)'!N328/'ASK (live)'!N328,"-")</f>
        <v>0.90000000000000013</v>
      </c>
      <c r="O328" s="10">
        <f ca="1">IFERROR('RPK (live)'!O328/'ASK (live)'!O328,"-")</f>
        <v>0.81000000000000016</v>
      </c>
      <c r="P328" s="10">
        <f ca="1">IFERROR('RPK (live)'!P328/'ASK (live)'!P328,"-")</f>
        <v>0.82</v>
      </c>
      <c r="Q328" s="10">
        <f ca="1">IFERROR('RPK (live)'!Q328/'ASK (live)'!Q328,"-")</f>
        <v>0.83999999999999986</v>
      </c>
      <c r="R328" s="10">
        <f ca="1">IFERROR('RPK (live)'!R328/'ASK (live)'!R328,"-")</f>
        <v>0.88</v>
      </c>
      <c r="S328" s="10">
        <f ca="1">IFERROR('RPK (live)'!S328/'ASK (live)'!S328,"-")</f>
        <v>0.81999999999999984</v>
      </c>
      <c r="T328" s="10">
        <f ca="1">IFERROR('RPK (live)'!T328/'ASK (live)'!T328,"-")</f>
        <v>0.9905191129878016</v>
      </c>
      <c r="U328" s="10">
        <f ca="1">IFERROR('RPK (live)'!U328/'ASK (live)'!U328,"-")</f>
        <v>0.99051911298780138</v>
      </c>
      <c r="V328" s="10">
        <f ca="1">IFERROR('RPK (live)'!V328/'ASK (live)'!V328,"-")</f>
        <v>0.90210260184880597</v>
      </c>
      <c r="W328" s="10">
        <f ca="1">IFERROR('RPK (live)'!W328/'ASK (live)'!W328,"-")</f>
        <v>0.82981020878782874</v>
      </c>
      <c r="X328" s="10">
        <f ca="1">IFERROR('RPK (live)'!X328/'ASK (live)'!X328,"-")</f>
        <v>0.87910349042491376</v>
      </c>
      <c r="Y328" s="10">
        <f ca="1">IFERROR('RPK (live)'!Y328/'ASK (live)'!Y328,"-")</f>
        <v>0.99051911298780126</v>
      </c>
      <c r="Z328" s="10">
        <f ca="1">IFERROR('RPK (live)'!Z328/'ASK (live)'!Z328,"-")</f>
        <v>0.98544084616584537</v>
      </c>
      <c r="AA328" s="10">
        <f ca="1">IFERROR('RPK (live)'!AA328/'ASK (live)'!AA328,"-")</f>
        <v>0.87205161370353901</v>
      </c>
      <c r="AB328" s="10">
        <f ca="1">IFERROR('RPK (live)'!AB328/'ASK (live)'!AB328,"-")</f>
        <v>0.89872290040057923</v>
      </c>
      <c r="AC328" s="10">
        <f ca="1">IFERROR('RPK (live)'!AC328/'ASK (live)'!AC328,"-")</f>
        <v>0.86379527861735206</v>
      </c>
      <c r="AD328" s="10">
        <f ca="1">IFERROR('RPK (live)'!AD328/'ASK (live)'!AD328,"-")</f>
        <v>0.92140108335676241</v>
      </c>
      <c r="AE328" s="10">
        <f ca="1">IFERROR('RPK (live)'!AE328/'ASK (live)'!AE328,"-")</f>
        <v>0.86825621534266861</v>
      </c>
    </row>
    <row r="329" spans="1:31">
      <c r="A329" s="1" t="s">
        <v>152</v>
      </c>
      <c r="B329" s="5" t="s">
        <v>270</v>
      </c>
      <c r="C329" s="5" t="s">
        <v>271</v>
      </c>
      <c r="D329" s="5" t="s">
        <v>21</v>
      </c>
      <c r="E329" s="5" t="s">
        <v>272</v>
      </c>
      <c r="F329" s="5" t="s">
        <v>25</v>
      </c>
      <c r="G329" s="6"/>
      <c r="H329" s="6"/>
      <c r="I329" s="6"/>
      <c r="J329" s="6"/>
      <c r="K329" s="6"/>
      <c r="L329" s="10">
        <f ca="1">IFERROR('RPK (live)'!L329/'ASK (live)'!L329,"-")</f>
        <v>0.87000000000000011</v>
      </c>
      <c r="M329" s="10">
        <f ca="1">IFERROR('RPK (live)'!M329/'ASK (live)'!M329,"-")</f>
        <v>0.95174255104457184</v>
      </c>
      <c r="N329" s="10">
        <f ca="1">IFERROR('RPK (live)'!N329/'ASK (live)'!N329,"-")</f>
        <v>0.78000000000000014</v>
      </c>
      <c r="O329" s="10">
        <f ca="1">IFERROR('RPK (live)'!O329/'ASK (live)'!O329,"-")</f>
        <v>0.84</v>
      </c>
      <c r="P329" s="10">
        <f ca="1">IFERROR('RPK (live)'!P329/'ASK (live)'!P329,"-")</f>
        <v>0.81</v>
      </c>
      <c r="Q329" s="10">
        <f ca="1">IFERROR('RPK (live)'!Q329/'ASK (live)'!Q329,"-")</f>
        <v>0.75</v>
      </c>
      <c r="R329" s="10">
        <f ca="1">IFERROR('RPK (live)'!R329/'ASK (live)'!R329,"-")</f>
        <v>0.7</v>
      </c>
      <c r="S329" s="10">
        <f ca="1">IFERROR('RPK (live)'!S329/'ASK (live)'!S329,"-")</f>
        <v>0.82000000000000006</v>
      </c>
      <c r="T329" s="10">
        <f ca="1">IFERROR('RPK (live)'!T329/'ASK (live)'!T329,"-")</f>
        <v>0.7994654360412764</v>
      </c>
      <c r="U329" s="10">
        <f ca="1">IFERROR('RPK (live)'!U329/'ASK (live)'!U329,"-")</f>
        <v>0.81267011150370794</v>
      </c>
      <c r="V329" s="10">
        <f ca="1">IFERROR('RPK (live)'!V329/'ASK (live)'!V329,"-")</f>
        <v>0.77199804387614257</v>
      </c>
      <c r="W329" s="10">
        <f ca="1">IFERROR('RPK (live)'!W329/'ASK (live)'!W329,"-")</f>
        <v>0.84773254966102818</v>
      </c>
      <c r="X329" s="10">
        <f ca="1">IFERROR('RPK (live)'!X329/'ASK (live)'!X329,"-")</f>
        <v>0.82506329845532245</v>
      </c>
      <c r="Y329" s="10">
        <f ca="1">IFERROR('RPK (live)'!Y329/'ASK (live)'!Y329,"-")</f>
        <v>0.86482357717189007</v>
      </c>
      <c r="Z329" s="10">
        <f ca="1">IFERROR('RPK (live)'!Z329/'ASK (live)'!Z329,"-")</f>
        <v>0.81866188058415246</v>
      </c>
      <c r="AA329" s="10">
        <f ca="1">IFERROR('RPK (live)'!AA329/'ASK (live)'!AA329,"-")</f>
        <v>0.8813437845104839</v>
      </c>
      <c r="AB329" s="10">
        <f ca="1">IFERROR('RPK (live)'!AB329/'ASK (live)'!AB329,"-")</f>
        <v>0.84558357960072306</v>
      </c>
      <c r="AC329" s="10">
        <f ca="1">IFERROR('RPK (live)'!AC329/'ASK (live)'!AC329,"-")</f>
        <v>0.88419949474067061</v>
      </c>
      <c r="AD329" s="10">
        <f ca="1">IFERROR('RPK (live)'!AD329/'ASK (live)'!AD329,"-")</f>
        <v>0.89997958818653523</v>
      </c>
      <c r="AE329" s="10">
        <f ca="1">IFERROR('RPK (live)'!AE329/'ASK (live)'!AE329,"-")</f>
        <v>0.89051972240117649</v>
      </c>
    </row>
    <row r="330" spans="1:31">
      <c r="A330" s="1" t="s">
        <v>152</v>
      </c>
      <c r="B330" s="5" t="s">
        <v>273</v>
      </c>
      <c r="C330" s="5" t="s">
        <v>274</v>
      </c>
      <c r="D330" s="5" t="s">
        <v>272</v>
      </c>
      <c r="E330" s="5" t="s">
        <v>21</v>
      </c>
      <c r="F330" s="5" t="s">
        <v>25</v>
      </c>
      <c r="G330" s="6"/>
      <c r="H330" s="6"/>
      <c r="I330" s="6"/>
      <c r="J330" s="6"/>
      <c r="K330" s="6"/>
      <c r="L330" s="10">
        <f ca="1">IFERROR('RPK (live)'!L330/'ASK (live)'!L330,"-")</f>
        <v>0.87000000000000011</v>
      </c>
      <c r="M330" s="10">
        <f ca="1">IFERROR('RPK (live)'!M330/'ASK (live)'!M330,"-")</f>
        <v>0.95174255104457184</v>
      </c>
      <c r="N330" s="10">
        <f ca="1">IFERROR('RPK (live)'!N330/'ASK (live)'!N330,"-")</f>
        <v>0.78000000000000014</v>
      </c>
      <c r="O330" s="10">
        <f ca="1">IFERROR('RPK (live)'!O330/'ASK (live)'!O330,"-")</f>
        <v>0.84</v>
      </c>
      <c r="P330" s="10">
        <f ca="1">IFERROR('RPK (live)'!P330/'ASK (live)'!P330,"-")</f>
        <v>0.81</v>
      </c>
      <c r="Q330" s="10">
        <f ca="1">IFERROR('RPK (live)'!Q330/'ASK (live)'!Q330,"-")</f>
        <v>0.75</v>
      </c>
      <c r="R330" s="10">
        <f ca="1">IFERROR('RPK (live)'!R330/'ASK (live)'!R330,"-")</f>
        <v>0.7</v>
      </c>
      <c r="S330" s="10">
        <f ca="1">IFERROR('RPK (live)'!S330/'ASK (live)'!S330,"-")</f>
        <v>0.82000000000000006</v>
      </c>
      <c r="T330" s="10">
        <f ca="1">IFERROR('RPK (live)'!T330/'ASK (live)'!T330,"-")</f>
        <v>0.7994654360412764</v>
      </c>
      <c r="U330" s="10">
        <f ca="1">IFERROR('RPK (live)'!U330/'ASK (live)'!U330,"-")</f>
        <v>0.81267011150370794</v>
      </c>
      <c r="V330" s="10">
        <f ca="1">IFERROR('RPK (live)'!V330/'ASK (live)'!V330,"-")</f>
        <v>0.77199804387614257</v>
      </c>
      <c r="W330" s="10">
        <f ca="1">IFERROR('RPK (live)'!W330/'ASK (live)'!W330,"-")</f>
        <v>0.84773254966102818</v>
      </c>
      <c r="X330" s="10">
        <f ca="1">IFERROR('RPK (live)'!X330/'ASK (live)'!X330,"-")</f>
        <v>0.82506329845532245</v>
      </c>
      <c r="Y330" s="10">
        <f ca="1">IFERROR('RPK (live)'!Y330/'ASK (live)'!Y330,"-")</f>
        <v>0.86482357717189007</v>
      </c>
      <c r="Z330" s="10">
        <f ca="1">IFERROR('RPK (live)'!Z330/'ASK (live)'!Z330,"-")</f>
        <v>0.81866188058415246</v>
      </c>
      <c r="AA330" s="10">
        <f ca="1">IFERROR('RPK (live)'!AA330/'ASK (live)'!AA330,"-")</f>
        <v>0.8813437845104839</v>
      </c>
      <c r="AB330" s="10">
        <f ca="1">IFERROR('RPK (live)'!AB330/'ASK (live)'!AB330,"-")</f>
        <v>0.84558357960072306</v>
      </c>
      <c r="AC330" s="10">
        <f ca="1">IFERROR('RPK (live)'!AC330/'ASK (live)'!AC330,"-")</f>
        <v>0.88419949474067117</v>
      </c>
      <c r="AD330" s="10">
        <f ca="1">IFERROR('RPK (live)'!AD330/'ASK (live)'!AD330,"-")</f>
        <v>0.89997958818653523</v>
      </c>
      <c r="AE330" s="10">
        <f ca="1">IFERROR('RPK (live)'!AE330/'ASK (live)'!AE330,"-")</f>
        <v>0.89051972240117649</v>
      </c>
    </row>
    <row r="331" spans="1:31">
      <c r="A331" s="1" t="s">
        <v>152</v>
      </c>
      <c r="B331" s="5" t="s">
        <v>275</v>
      </c>
      <c r="C331" s="5" t="s">
        <v>276</v>
      </c>
      <c r="D331" s="5" t="s">
        <v>21</v>
      </c>
      <c r="E331" s="5" t="s">
        <v>277</v>
      </c>
      <c r="F331" s="5" t="s">
        <v>25</v>
      </c>
      <c r="G331" s="6"/>
      <c r="H331" s="6"/>
      <c r="I331" s="6"/>
      <c r="J331" s="6"/>
      <c r="K331" s="6"/>
      <c r="L331" s="10">
        <f ca="1">IFERROR('RPK (live)'!L331/'ASK (live)'!L331,"-")</f>
        <v>0.88</v>
      </c>
      <c r="M331" s="10">
        <f ca="1">IFERROR('RPK (live)'!M331/'ASK (live)'!M331,"-")</f>
        <v>0.96186747180036525</v>
      </c>
      <c r="N331" s="10">
        <f ca="1">IFERROR('RPK (live)'!N331/'ASK (live)'!N331,"-")</f>
        <v>0.90999999999999992</v>
      </c>
      <c r="O331" s="10">
        <f ca="1">IFERROR('RPK (live)'!O331/'ASK (live)'!O331,"-")</f>
        <v>0.83999999999999986</v>
      </c>
      <c r="P331" s="10">
        <f ca="1">IFERROR('RPK (live)'!P331/'ASK (live)'!P331,"-")</f>
        <v>0.81999999999999984</v>
      </c>
      <c r="Q331" s="10">
        <f ca="1">IFERROR('RPK (live)'!Q331/'ASK (live)'!Q331,"-")</f>
        <v>0.71999999999999986</v>
      </c>
      <c r="R331" s="10">
        <f ca="1">IFERROR('RPK (live)'!R331/'ASK (live)'!R331,"-")</f>
        <v>0.7</v>
      </c>
      <c r="S331" s="10">
        <f ca="1">IFERROR('RPK (live)'!S331/'ASK (live)'!S331,"-")</f>
        <v>0.79999999999999982</v>
      </c>
      <c r="T331" s="10">
        <f ca="1">IFERROR('RPK (live)'!T331/'ASK (live)'!T331,"-")</f>
        <v>0.99051911298780149</v>
      </c>
      <c r="U331" s="10">
        <f ca="1">IFERROR('RPK (live)'!U331/'ASK (live)'!U331,"-")</f>
        <v>0.91720622880389724</v>
      </c>
      <c r="V331" s="10">
        <f ca="1">IFERROR('RPK (live)'!V331/'ASK (live)'!V331,"-")</f>
        <v>0.81688329858150754</v>
      </c>
      <c r="W331" s="10">
        <f ca="1">IFERROR('RPK (live)'!W331/'ASK (live)'!W331,"-")</f>
        <v>0.85698418244394092</v>
      </c>
      <c r="X331" s="10">
        <f ca="1">IFERROR('RPK (live)'!X331/'ASK (live)'!X331,"-")</f>
        <v>0.87223839400419312</v>
      </c>
      <c r="Y331" s="10">
        <f ca="1">IFERROR('RPK (live)'!Y331/'ASK (live)'!Y331,"-")</f>
        <v>0.98173033498988116</v>
      </c>
      <c r="Z331" s="10">
        <f ca="1">IFERROR('RPK (live)'!Z331/'ASK (live)'!Z331,"-")</f>
        <v>0.99051911298780149</v>
      </c>
      <c r="AA331" s="10">
        <f ca="1">IFERROR('RPK (live)'!AA331/'ASK (live)'!AA331,"-")</f>
        <v>0.87327108058303327</v>
      </c>
      <c r="AB331" s="10">
        <f ca="1">IFERROR('RPK (live)'!AB331/'ASK (live)'!AB331,"-")</f>
        <v>0.86305584774376853</v>
      </c>
      <c r="AC331" s="10">
        <f ca="1">IFERROR('RPK (live)'!AC331/'ASK (live)'!AC331,"-")</f>
        <v>0.77884364517939741</v>
      </c>
      <c r="AD331" s="10">
        <f ca="1">IFERROR('RPK (live)'!AD331/'ASK (live)'!AD331,"-")</f>
        <v>0.76012980134841734</v>
      </c>
      <c r="AE331" s="10">
        <f ca="1">IFERROR('RPK (live)'!AE331/'ASK (live)'!AE331,"-")</f>
        <v>0.82996816825643471</v>
      </c>
    </row>
    <row r="332" spans="1:31">
      <c r="A332" s="1" t="s">
        <v>152</v>
      </c>
      <c r="B332" s="5" t="s">
        <v>278</v>
      </c>
      <c r="C332" s="5" t="s">
        <v>279</v>
      </c>
      <c r="D332" s="5" t="s">
        <v>277</v>
      </c>
      <c r="E332" s="5" t="s">
        <v>21</v>
      </c>
      <c r="F332" s="5" t="s">
        <v>25</v>
      </c>
      <c r="G332" s="6"/>
      <c r="H332" s="6"/>
      <c r="I332" s="6"/>
      <c r="J332" s="6"/>
      <c r="K332" s="6"/>
      <c r="L332" s="10">
        <f ca="1">IFERROR('RPK (live)'!L332/'ASK (live)'!L332,"-")</f>
        <v>0.88</v>
      </c>
      <c r="M332" s="10">
        <f ca="1">IFERROR('RPK (live)'!M332/'ASK (live)'!M332,"-")</f>
        <v>0.96186747180036525</v>
      </c>
      <c r="N332" s="10">
        <f ca="1">IFERROR('RPK (live)'!N332/'ASK (live)'!N332,"-")</f>
        <v>0.90999999999999992</v>
      </c>
      <c r="O332" s="10">
        <f ca="1">IFERROR('RPK (live)'!O332/'ASK (live)'!O332,"-")</f>
        <v>0.83999999999999986</v>
      </c>
      <c r="P332" s="10">
        <f ca="1">IFERROR('RPK (live)'!P332/'ASK (live)'!P332,"-")</f>
        <v>0.81999999999999984</v>
      </c>
      <c r="Q332" s="10">
        <f ca="1">IFERROR('RPK (live)'!Q332/'ASK (live)'!Q332,"-")</f>
        <v>0.71999999999999986</v>
      </c>
      <c r="R332" s="10">
        <f ca="1">IFERROR('RPK (live)'!R332/'ASK (live)'!R332,"-")</f>
        <v>0.7</v>
      </c>
      <c r="S332" s="10">
        <f ca="1">IFERROR('RPK (live)'!S332/'ASK (live)'!S332,"-")</f>
        <v>0.79999999999999982</v>
      </c>
      <c r="T332" s="10">
        <f ca="1">IFERROR('RPK (live)'!T332/'ASK (live)'!T332,"-")</f>
        <v>0.99051911298780149</v>
      </c>
      <c r="U332" s="10">
        <f ca="1">IFERROR('RPK (live)'!U332/'ASK (live)'!U332,"-")</f>
        <v>0.91720622880389724</v>
      </c>
      <c r="V332" s="10">
        <f ca="1">IFERROR('RPK (live)'!V332/'ASK (live)'!V332,"-")</f>
        <v>0.81688329858150754</v>
      </c>
      <c r="W332" s="10">
        <f ca="1">IFERROR('RPK (live)'!W332/'ASK (live)'!W332,"-")</f>
        <v>0.85698418244394092</v>
      </c>
      <c r="X332" s="10">
        <f ca="1">IFERROR('RPK (live)'!X332/'ASK (live)'!X332,"-")</f>
        <v>0.87223839400419312</v>
      </c>
      <c r="Y332" s="10">
        <f ca="1">IFERROR('RPK (live)'!Y332/'ASK (live)'!Y332,"-")</f>
        <v>0.98173033498988116</v>
      </c>
      <c r="Z332" s="10">
        <f ca="1">IFERROR('RPK (live)'!Z332/'ASK (live)'!Z332,"-")</f>
        <v>0.99051911298780149</v>
      </c>
      <c r="AA332" s="10">
        <f ca="1">IFERROR('RPK (live)'!AA332/'ASK (live)'!AA332,"-")</f>
        <v>0.87327108058303327</v>
      </c>
      <c r="AB332" s="10">
        <f ca="1">IFERROR('RPK (live)'!AB332/'ASK (live)'!AB332,"-")</f>
        <v>0.86305584774376853</v>
      </c>
      <c r="AC332" s="10">
        <f ca="1">IFERROR('RPK (live)'!AC332/'ASK (live)'!AC332,"-")</f>
        <v>0.77884364517939741</v>
      </c>
      <c r="AD332" s="10">
        <f ca="1">IFERROR('RPK (live)'!AD332/'ASK (live)'!AD332,"-")</f>
        <v>0.76012980134841734</v>
      </c>
      <c r="AE332" s="10">
        <f ca="1">IFERROR('RPK (live)'!AE332/'ASK (live)'!AE332,"-")</f>
        <v>0.82996816825643471</v>
      </c>
    </row>
    <row r="333" spans="1:31">
      <c r="A333" s="1" t="s">
        <v>152</v>
      </c>
      <c r="B333" s="5" t="s">
        <v>280</v>
      </c>
      <c r="C333" s="5" t="s">
        <v>276</v>
      </c>
      <c r="D333" s="5" t="s">
        <v>21</v>
      </c>
      <c r="E333" s="5" t="s">
        <v>277</v>
      </c>
      <c r="F333" s="5" t="s">
        <v>25</v>
      </c>
      <c r="G333" s="6"/>
      <c r="H333" s="6"/>
      <c r="I333" s="6"/>
      <c r="J333" s="6"/>
      <c r="K333" s="6"/>
      <c r="L333" s="10" t="str">
        <f ca="1">IFERROR('RPK (live)'!L333/'ASK (live)'!L333,"-")</f>
        <v>-</v>
      </c>
      <c r="M333" s="10" t="str">
        <f ca="1">IFERROR('RPK (live)'!M333/'ASK (live)'!M333,"-")</f>
        <v>-</v>
      </c>
      <c r="N333" s="10" t="str">
        <f ca="1">IFERROR('RPK (live)'!N333/'ASK (live)'!N333,"-")</f>
        <v>-</v>
      </c>
      <c r="O333" s="10" t="str">
        <f ca="1">IFERROR('RPK (live)'!O333/'ASK (live)'!O333,"-")</f>
        <v>-</v>
      </c>
      <c r="P333" s="10" t="str">
        <f ca="1">IFERROR('RPK (live)'!P333/'ASK (live)'!P333,"-")</f>
        <v>-</v>
      </c>
      <c r="Q333" s="10">
        <f ca="1">IFERROR('RPK (live)'!Q333/'ASK (live)'!Q333,"-")</f>
        <v>0.71999999999999986</v>
      </c>
      <c r="R333" s="10">
        <f ca="1">IFERROR('RPK (live)'!R333/'ASK (live)'!R333,"-")</f>
        <v>0.7</v>
      </c>
      <c r="S333" s="10">
        <f ca="1">IFERROR('RPK (live)'!S333/'ASK (live)'!S333,"-")</f>
        <v>0.79999999999999993</v>
      </c>
      <c r="T333" s="10" t="str">
        <f ca="1">IFERROR('RPK (live)'!T333/'ASK (live)'!T333,"-")</f>
        <v>-</v>
      </c>
      <c r="U333" s="10" t="str">
        <f ca="1">IFERROR('RPK (live)'!U333/'ASK (live)'!U333,"-")</f>
        <v>-</v>
      </c>
      <c r="V333" s="10" t="str">
        <f ca="1">IFERROR('RPK (live)'!V333/'ASK (live)'!V333,"-")</f>
        <v>-</v>
      </c>
      <c r="W333" s="10" t="str">
        <f ca="1">IFERROR('RPK (live)'!W333/'ASK (live)'!W333,"-")</f>
        <v>-</v>
      </c>
      <c r="X333" s="10" t="str">
        <f ca="1">IFERROR('RPK (live)'!X333/'ASK (live)'!X333,"-")</f>
        <v>-</v>
      </c>
      <c r="Y333" s="10" t="str">
        <f ca="1">IFERROR('RPK (live)'!Y333/'ASK (live)'!Y333,"-")</f>
        <v>-</v>
      </c>
      <c r="Z333" s="10" t="str">
        <f ca="1">IFERROR('RPK (live)'!Z333/'ASK (live)'!Z333,"-")</f>
        <v>-</v>
      </c>
      <c r="AA333" s="10" t="str">
        <f ca="1">IFERROR('RPK (live)'!AA333/'ASK (live)'!AA333,"-")</f>
        <v>-</v>
      </c>
      <c r="AB333" s="10" t="str">
        <f ca="1">IFERROR('RPK (live)'!AB333/'ASK (live)'!AB333,"-")</f>
        <v>-</v>
      </c>
      <c r="AC333" s="10" t="str">
        <f ca="1">IFERROR('RPK (live)'!AC333/'ASK (live)'!AC333,"-")</f>
        <v>-</v>
      </c>
      <c r="AD333" s="10" t="str">
        <f ca="1">IFERROR('RPK (live)'!AD333/'ASK (live)'!AD333,"-")</f>
        <v>-</v>
      </c>
      <c r="AE333" s="10" t="str">
        <f ca="1">IFERROR('RPK (live)'!AE333/'ASK (live)'!AE333,"-")</f>
        <v>-</v>
      </c>
    </row>
    <row r="334" spans="1:31">
      <c r="A334" s="1" t="s">
        <v>152</v>
      </c>
      <c r="B334" s="5" t="s">
        <v>281</v>
      </c>
      <c r="C334" s="5" t="s">
        <v>279</v>
      </c>
      <c r="D334" s="5" t="s">
        <v>277</v>
      </c>
      <c r="E334" s="5" t="s">
        <v>21</v>
      </c>
      <c r="F334" s="5" t="s">
        <v>25</v>
      </c>
      <c r="G334" s="6"/>
      <c r="H334" s="6"/>
      <c r="I334" s="6"/>
      <c r="J334" s="6"/>
      <c r="K334" s="6"/>
      <c r="L334" s="10" t="str">
        <f ca="1">IFERROR('RPK (live)'!L334/'ASK (live)'!L334,"-")</f>
        <v>-</v>
      </c>
      <c r="M334" s="10" t="str">
        <f ca="1">IFERROR('RPK (live)'!M334/'ASK (live)'!M334,"-")</f>
        <v>-</v>
      </c>
      <c r="N334" s="10" t="str">
        <f ca="1">IFERROR('RPK (live)'!N334/'ASK (live)'!N334,"-")</f>
        <v>-</v>
      </c>
      <c r="O334" s="10" t="str">
        <f ca="1">IFERROR('RPK (live)'!O334/'ASK (live)'!O334,"-")</f>
        <v>-</v>
      </c>
      <c r="P334" s="10" t="str">
        <f ca="1">IFERROR('RPK (live)'!P334/'ASK (live)'!P334,"-")</f>
        <v>-</v>
      </c>
      <c r="Q334" s="10">
        <f ca="1">IFERROR('RPK (live)'!Q334/'ASK (live)'!Q334,"-")</f>
        <v>0.71999999999999986</v>
      </c>
      <c r="R334" s="10">
        <f ca="1">IFERROR('RPK (live)'!R334/'ASK (live)'!R334,"-")</f>
        <v>0.7</v>
      </c>
      <c r="S334" s="10">
        <f ca="1">IFERROR('RPK (live)'!S334/'ASK (live)'!S334,"-")</f>
        <v>0.79999999999999993</v>
      </c>
      <c r="T334" s="10" t="str">
        <f ca="1">IFERROR('RPK (live)'!T334/'ASK (live)'!T334,"-")</f>
        <v>-</v>
      </c>
      <c r="U334" s="10" t="str">
        <f ca="1">IFERROR('RPK (live)'!U334/'ASK (live)'!U334,"-")</f>
        <v>-</v>
      </c>
      <c r="V334" s="10" t="str">
        <f ca="1">IFERROR('RPK (live)'!V334/'ASK (live)'!V334,"-")</f>
        <v>-</v>
      </c>
      <c r="W334" s="10" t="str">
        <f ca="1">IFERROR('RPK (live)'!W334/'ASK (live)'!W334,"-")</f>
        <v>-</v>
      </c>
      <c r="X334" s="10" t="str">
        <f ca="1">IFERROR('RPK (live)'!X334/'ASK (live)'!X334,"-")</f>
        <v>-</v>
      </c>
      <c r="Y334" s="10" t="str">
        <f ca="1">IFERROR('RPK (live)'!Y334/'ASK (live)'!Y334,"-")</f>
        <v>-</v>
      </c>
      <c r="Z334" s="10" t="str">
        <f ca="1">IFERROR('RPK (live)'!Z334/'ASK (live)'!Z334,"-")</f>
        <v>-</v>
      </c>
      <c r="AA334" s="10" t="str">
        <f ca="1">IFERROR('RPK (live)'!AA334/'ASK (live)'!AA334,"-")</f>
        <v>-</v>
      </c>
      <c r="AB334" s="10" t="str">
        <f ca="1">IFERROR('RPK (live)'!AB334/'ASK (live)'!AB334,"-")</f>
        <v>-</v>
      </c>
      <c r="AC334" s="10" t="str">
        <f ca="1">IFERROR('RPK (live)'!AC334/'ASK (live)'!AC334,"-")</f>
        <v>-</v>
      </c>
      <c r="AD334" s="10" t="str">
        <f ca="1">IFERROR('RPK (live)'!AD334/'ASK (live)'!AD334,"-")</f>
        <v>-</v>
      </c>
      <c r="AE334" s="10" t="str">
        <f ca="1">IFERROR('RPK (live)'!AE334/'ASK (live)'!AE334,"-")</f>
        <v>-</v>
      </c>
    </row>
    <row r="335" spans="1:31">
      <c r="A335" s="1" t="s">
        <v>152</v>
      </c>
      <c r="B335" s="5" t="s">
        <v>282</v>
      </c>
      <c r="C335" s="5" t="s">
        <v>283</v>
      </c>
      <c r="D335" s="5" t="s">
        <v>21</v>
      </c>
      <c r="E335" s="5" t="s">
        <v>284</v>
      </c>
      <c r="F335" s="5" t="s">
        <v>25</v>
      </c>
      <c r="G335" s="6"/>
      <c r="H335" s="6"/>
      <c r="I335" s="6"/>
      <c r="J335" s="6"/>
      <c r="K335" s="6"/>
      <c r="L335" s="10" t="str">
        <f ca="1">IFERROR('RPK (live)'!L335/'ASK (live)'!L335,"-")</f>
        <v>-</v>
      </c>
      <c r="M335" s="10" t="str">
        <f ca="1">IFERROR('RPK (live)'!M335/'ASK (live)'!M335,"-")</f>
        <v>-</v>
      </c>
      <c r="N335" s="10" t="str">
        <f ca="1">IFERROR('RPK (live)'!N335/'ASK (live)'!N335,"-")</f>
        <v>-</v>
      </c>
      <c r="O335" s="10" t="str">
        <f ca="1">IFERROR('RPK (live)'!O335/'ASK (live)'!O335,"-")</f>
        <v>-</v>
      </c>
      <c r="P335" s="10" t="str">
        <f ca="1">IFERROR('RPK (live)'!P335/'ASK (live)'!P335,"-")</f>
        <v>-</v>
      </c>
      <c r="Q335" s="10">
        <f ca="1">IFERROR('RPK (live)'!Q335/'ASK (live)'!Q335,"-")</f>
        <v>0.60499999999999998</v>
      </c>
      <c r="R335" s="10">
        <f ca="1">IFERROR('RPK (live)'!R335/'ASK (live)'!R335,"-")</f>
        <v>0.7</v>
      </c>
      <c r="S335" s="10">
        <f ca="1">IFERROR('RPK (live)'!S335/'ASK (live)'!S335,"-")</f>
        <v>0.73</v>
      </c>
      <c r="T335" s="10">
        <f ca="1">IFERROR('RPK (live)'!T335/'ASK (live)'!T335,"-")</f>
        <v>0.78962110983658551</v>
      </c>
      <c r="U335" s="10">
        <f ca="1">IFERROR('RPK (live)'!U335/'ASK (live)'!U335,"-")</f>
        <v>0.86977940474179094</v>
      </c>
      <c r="V335" s="10">
        <f ca="1">IFERROR('RPK (live)'!V335/'ASK (live)'!V335,"-")</f>
        <v>0.81349093896584024</v>
      </c>
      <c r="W335" s="10" t="str">
        <f ca="1">IFERROR('RPK (live)'!W335/'ASK (live)'!W335,"-")</f>
        <v>-</v>
      </c>
      <c r="X335" s="10" t="str">
        <f ca="1">IFERROR('RPK (live)'!X335/'ASK (live)'!X335,"-")</f>
        <v>-</v>
      </c>
      <c r="Y335" s="10" t="str">
        <f ca="1">IFERROR('RPK (live)'!Y335/'ASK (live)'!Y335,"-")</f>
        <v>-</v>
      </c>
      <c r="Z335" s="10" t="str">
        <f ca="1">IFERROR('RPK (live)'!Z335/'ASK (live)'!Z335,"-")</f>
        <v>-</v>
      </c>
      <c r="AA335" s="10" t="str">
        <f ca="1">IFERROR('RPK (live)'!AA335/'ASK (live)'!AA335,"-")</f>
        <v>-</v>
      </c>
      <c r="AB335" s="10" t="str">
        <f ca="1">IFERROR('RPK (live)'!AB335/'ASK (live)'!AB335,"-")</f>
        <v>-</v>
      </c>
      <c r="AC335" s="10">
        <f ca="1">IFERROR('RPK (live)'!AC335/'ASK (live)'!AC335,"-")</f>
        <v>0.58902898100058998</v>
      </c>
      <c r="AD335" s="10">
        <f ca="1">IFERROR('RPK (live)'!AD335/'ASK (live)'!AD335,"-")</f>
        <v>0.71983006331090882</v>
      </c>
      <c r="AE335" s="10">
        <f ca="1">IFERROR('RPK (live)'!AE335/'ASK (live)'!AE335,"-")</f>
        <v>0.78695526270403726</v>
      </c>
    </row>
    <row r="336" spans="1:31">
      <c r="A336" s="1" t="s">
        <v>152</v>
      </c>
      <c r="B336" s="5" t="s">
        <v>285</v>
      </c>
      <c r="C336" s="5" t="s">
        <v>286</v>
      </c>
      <c r="D336" s="5" t="s">
        <v>284</v>
      </c>
      <c r="E336" s="5" t="s">
        <v>21</v>
      </c>
      <c r="F336" s="5" t="s">
        <v>25</v>
      </c>
      <c r="G336" s="6"/>
      <c r="H336" s="6"/>
      <c r="I336" s="6"/>
      <c r="J336" s="6"/>
      <c r="K336" s="6"/>
      <c r="L336" s="10" t="str">
        <f ca="1">IFERROR('RPK (live)'!L336/'ASK (live)'!L336,"-")</f>
        <v>-</v>
      </c>
      <c r="M336" s="10" t="str">
        <f ca="1">IFERROR('RPK (live)'!M336/'ASK (live)'!M336,"-")</f>
        <v>-</v>
      </c>
      <c r="N336" s="10" t="str">
        <f ca="1">IFERROR('RPK (live)'!N336/'ASK (live)'!N336,"-")</f>
        <v>-</v>
      </c>
      <c r="O336" s="10" t="str">
        <f ca="1">IFERROR('RPK (live)'!O336/'ASK (live)'!O336,"-")</f>
        <v>-</v>
      </c>
      <c r="P336" s="10" t="str">
        <f ca="1">IFERROR('RPK (live)'!P336/'ASK (live)'!P336,"-")</f>
        <v>-</v>
      </c>
      <c r="Q336" s="10">
        <f ca="1">IFERROR('RPK (live)'!Q336/'ASK (live)'!Q336,"-")</f>
        <v>0.60499999999999998</v>
      </c>
      <c r="R336" s="10">
        <f ca="1">IFERROR('RPK (live)'!R336/'ASK (live)'!R336,"-")</f>
        <v>0.7</v>
      </c>
      <c r="S336" s="10">
        <f ca="1">IFERROR('RPK (live)'!S336/'ASK (live)'!S336,"-")</f>
        <v>0.73</v>
      </c>
      <c r="T336" s="10">
        <f ca="1">IFERROR('RPK (live)'!T336/'ASK (live)'!T336,"-")</f>
        <v>0.78962110983658551</v>
      </c>
      <c r="U336" s="10">
        <f ca="1">IFERROR('RPK (live)'!U336/'ASK (live)'!U336,"-")</f>
        <v>0.86977940474179094</v>
      </c>
      <c r="V336" s="10">
        <f ca="1">IFERROR('RPK (live)'!V336/'ASK (live)'!V336,"-")</f>
        <v>0.81349093896584046</v>
      </c>
      <c r="W336" s="10" t="str">
        <f ca="1">IFERROR('RPK (live)'!W336/'ASK (live)'!W336,"-")</f>
        <v>-</v>
      </c>
      <c r="X336" s="10" t="str">
        <f ca="1">IFERROR('RPK (live)'!X336/'ASK (live)'!X336,"-")</f>
        <v>-</v>
      </c>
      <c r="Y336" s="10" t="str">
        <f ca="1">IFERROR('RPK (live)'!Y336/'ASK (live)'!Y336,"-")</f>
        <v>-</v>
      </c>
      <c r="Z336" s="10" t="str">
        <f ca="1">IFERROR('RPK (live)'!Z336/'ASK (live)'!Z336,"-")</f>
        <v>-</v>
      </c>
      <c r="AA336" s="10" t="str">
        <f ca="1">IFERROR('RPK (live)'!AA336/'ASK (live)'!AA336,"-")</f>
        <v>-</v>
      </c>
      <c r="AB336" s="10" t="str">
        <f ca="1">IFERROR('RPK (live)'!AB336/'ASK (live)'!AB336,"-")</f>
        <v>-</v>
      </c>
      <c r="AC336" s="10">
        <f ca="1">IFERROR('RPK (live)'!AC336/'ASK (live)'!AC336,"-")</f>
        <v>0.58902898100058998</v>
      </c>
      <c r="AD336" s="10">
        <f ca="1">IFERROR('RPK (live)'!AD336/'ASK (live)'!AD336,"-")</f>
        <v>0.71983006331090882</v>
      </c>
      <c r="AE336" s="10">
        <f ca="1">IFERROR('RPK (live)'!AE336/'ASK (live)'!AE336,"-")</f>
        <v>0.78695526270403726</v>
      </c>
    </row>
    <row r="337" spans="1:31">
      <c r="A337" s="1" t="s">
        <v>152</v>
      </c>
      <c r="B337" s="5" t="s">
        <v>287</v>
      </c>
      <c r="C337" s="5" t="s">
        <v>288</v>
      </c>
      <c r="D337" s="5" t="s">
        <v>21</v>
      </c>
      <c r="E337" s="5" t="s">
        <v>289</v>
      </c>
      <c r="F337" s="5" t="s">
        <v>25</v>
      </c>
      <c r="G337" s="6"/>
      <c r="H337" s="6"/>
      <c r="I337" s="6"/>
      <c r="J337" s="6"/>
      <c r="K337" s="6"/>
      <c r="L337" s="10" t="str">
        <f ca="1">IFERROR('RPK (live)'!L337/'ASK (live)'!L337,"-")</f>
        <v>-</v>
      </c>
      <c r="M337" s="10" t="str">
        <f ca="1">IFERROR('RPK (live)'!M337/'ASK (live)'!M337,"-")</f>
        <v>-</v>
      </c>
      <c r="N337" s="10" t="str">
        <f ca="1">IFERROR('RPK (live)'!N337/'ASK (live)'!N337,"-")</f>
        <v>-</v>
      </c>
      <c r="O337" s="10" t="str">
        <f ca="1">IFERROR('RPK (live)'!O337/'ASK (live)'!O337,"-")</f>
        <v>-</v>
      </c>
      <c r="P337" s="10" t="str">
        <f ca="1">IFERROR('RPK (live)'!P337/'ASK (live)'!P337,"-")</f>
        <v>-</v>
      </c>
      <c r="Q337" s="10">
        <f ca="1">IFERROR('RPK (live)'!Q337/'ASK (live)'!Q337,"-")</f>
        <v>0.68900000000000006</v>
      </c>
      <c r="R337" s="10">
        <f ca="1">IFERROR('RPK (live)'!R337/'ASK (live)'!R337,"-")</f>
        <v>0.7</v>
      </c>
      <c r="S337" s="10">
        <f ca="1">IFERROR('RPK (live)'!S337/'ASK (live)'!S337,"-")</f>
        <v>0.83999999999999986</v>
      </c>
      <c r="T337" s="10">
        <f ca="1">IFERROR('RPK (live)'!T337/'ASK (live)'!T337,"-")</f>
        <v>0.90067491372220065</v>
      </c>
      <c r="U337" s="10">
        <f ca="1">IFERROR('RPK (live)'!U337/'ASK (live)'!U337,"-")</f>
        <v>0.85680373128858422</v>
      </c>
      <c r="V337" s="10">
        <f ca="1">IFERROR('RPK (live)'!V337/'ASK (live)'!V337,"-")</f>
        <v>0.88415248668556412</v>
      </c>
      <c r="W337" s="10" t="str">
        <f ca="1">IFERROR('RPK (live)'!W337/'ASK (live)'!W337,"-")</f>
        <v>-</v>
      </c>
      <c r="X337" s="10" t="str">
        <f ca="1">IFERROR('RPK (live)'!X337/'ASK (live)'!X337,"-")</f>
        <v>-</v>
      </c>
      <c r="Y337" s="10" t="str">
        <f ca="1">IFERROR('RPK (live)'!Y337/'ASK (live)'!Y337,"-")</f>
        <v>-</v>
      </c>
      <c r="Z337" s="10" t="str">
        <f ca="1">IFERROR('RPK (live)'!Z337/'ASK (live)'!Z337,"-")</f>
        <v>-</v>
      </c>
      <c r="AA337" s="10" t="str">
        <f ca="1">IFERROR('RPK (live)'!AA337/'ASK (live)'!AA337,"-")</f>
        <v>-</v>
      </c>
      <c r="AB337" s="10" t="str">
        <f ca="1">IFERROR('RPK (live)'!AB337/'ASK (live)'!AB337,"-")</f>
        <v>-</v>
      </c>
      <c r="AC337" s="10">
        <f ca="1">IFERROR('RPK (live)'!AC337/'ASK (live)'!AC337,"-")</f>
        <v>0.36476580713780155</v>
      </c>
      <c r="AD337" s="10">
        <f ca="1">IFERROR('RPK (live)'!AD337/'ASK (live)'!AD337,"-")</f>
        <v>0.82033587659079232</v>
      </c>
      <c r="AE337" s="10">
        <f ca="1">IFERROR('RPK (live)'!AE337/'ASK (live)'!AE337,"-")</f>
        <v>0.8481231929567129</v>
      </c>
    </row>
    <row r="338" spans="1:31">
      <c r="A338" s="1" t="s">
        <v>152</v>
      </c>
      <c r="B338" s="5" t="s">
        <v>290</v>
      </c>
      <c r="C338" s="5" t="s">
        <v>291</v>
      </c>
      <c r="D338" s="5" t="s">
        <v>289</v>
      </c>
      <c r="E338" s="5" t="s">
        <v>21</v>
      </c>
      <c r="F338" s="5" t="s">
        <v>25</v>
      </c>
      <c r="G338" s="6"/>
      <c r="H338" s="6"/>
      <c r="I338" s="6"/>
      <c r="J338" s="6"/>
      <c r="K338" s="6"/>
      <c r="L338" s="10" t="str">
        <f ca="1">IFERROR('RPK (live)'!L338/'ASK (live)'!L338,"-")</f>
        <v>-</v>
      </c>
      <c r="M338" s="10" t="str">
        <f ca="1">IFERROR('RPK (live)'!M338/'ASK (live)'!M338,"-")</f>
        <v>-</v>
      </c>
      <c r="N338" s="10" t="str">
        <f ca="1">IFERROR('RPK (live)'!N338/'ASK (live)'!N338,"-")</f>
        <v>-</v>
      </c>
      <c r="O338" s="10" t="str">
        <f ca="1">IFERROR('RPK (live)'!O338/'ASK (live)'!O338,"-")</f>
        <v>-</v>
      </c>
      <c r="P338" s="10" t="str">
        <f ca="1">IFERROR('RPK (live)'!P338/'ASK (live)'!P338,"-")</f>
        <v>-</v>
      </c>
      <c r="Q338" s="10">
        <f ca="1">IFERROR('RPK (live)'!Q338/'ASK (live)'!Q338,"-")</f>
        <v>0.68900000000000006</v>
      </c>
      <c r="R338" s="10">
        <f ca="1">IFERROR('RPK (live)'!R338/'ASK (live)'!R338,"-")</f>
        <v>0.7</v>
      </c>
      <c r="S338" s="10">
        <f ca="1">IFERROR('RPK (live)'!S338/'ASK (live)'!S338,"-")</f>
        <v>0.83999999999999986</v>
      </c>
      <c r="T338" s="10">
        <f ca="1">IFERROR('RPK (live)'!T338/'ASK (live)'!T338,"-")</f>
        <v>0.90067491372220065</v>
      </c>
      <c r="U338" s="10">
        <f ca="1">IFERROR('RPK (live)'!U338/'ASK (live)'!U338,"-")</f>
        <v>0.85680373128858422</v>
      </c>
      <c r="V338" s="10">
        <f ca="1">IFERROR('RPK (live)'!V338/'ASK (live)'!V338,"-")</f>
        <v>0.88415248668556412</v>
      </c>
      <c r="W338" s="10" t="str">
        <f ca="1">IFERROR('RPK (live)'!W338/'ASK (live)'!W338,"-")</f>
        <v>-</v>
      </c>
      <c r="X338" s="10" t="str">
        <f ca="1">IFERROR('RPK (live)'!X338/'ASK (live)'!X338,"-")</f>
        <v>-</v>
      </c>
      <c r="Y338" s="10" t="str">
        <f ca="1">IFERROR('RPK (live)'!Y338/'ASK (live)'!Y338,"-")</f>
        <v>-</v>
      </c>
      <c r="Z338" s="10" t="str">
        <f ca="1">IFERROR('RPK (live)'!Z338/'ASK (live)'!Z338,"-")</f>
        <v>-</v>
      </c>
      <c r="AA338" s="10" t="str">
        <f ca="1">IFERROR('RPK (live)'!AA338/'ASK (live)'!AA338,"-")</f>
        <v>-</v>
      </c>
      <c r="AB338" s="10" t="str">
        <f ca="1">IFERROR('RPK (live)'!AB338/'ASK (live)'!AB338,"-")</f>
        <v>-</v>
      </c>
      <c r="AC338" s="10">
        <f ca="1">IFERROR('RPK (live)'!AC338/'ASK (live)'!AC338,"-")</f>
        <v>0.36476580713780155</v>
      </c>
      <c r="AD338" s="10">
        <f ca="1">IFERROR('RPK (live)'!AD338/'ASK (live)'!AD338,"-")</f>
        <v>0.82033587659079232</v>
      </c>
      <c r="AE338" s="10">
        <f ca="1">IFERROR('RPK (live)'!AE338/'ASK (live)'!AE338,"-")</f>
        <v>0.8481231929567129</v>
      </c>
    </row>
    <row r="339" spans="1:31">
      <c r="A339" s="1" t="s">
        <v>152</v>
      </c>
      <c r="B339" s="5" t="s">
        <v>292</v>
      </c>
      <c r="C339" s="5" t="s">
        <v>293</v>
      </c>
      <c r="D339" s="5" t="s">
        <v>21</v>
      </c>
      <c r="E339" s="5" t="s">
        <v>294</v>
      </c>
      <c r="F339" s="5" t="s">
        <v>25</v>
      </c>
      <c r="G339" s="6"/>
      <c r="H339" s="6"/>
      <c r="I339" s="6"/>
      <c r="J339" s="6"/>
      <c r="K339" s="6"/>
      <c r="L339" s="10">
        <f ca="1">IFERROR('RPK (live)'!L339/'ASK (live)'!L339,"-")</f>
        <v>0.95</v>
      </c>
      <c r="M339" s="10">
        <f ca="1">IFERROR('RPK (live)'!M339/'ASK (live)'!M339,"-")</f>
        <v>0.95174255104457184</v>
      </c>
      <c r="N339" s="10">
        <f ca="1">IFERROR('RPK (live)'!N339/'ASK (live)'!N339,"-")</f>
        <v>0.89</v>
      </c>
      <c r="O339" s="10">
        <f ca="1">IFERROR('RPK (live)'!O339/'ASK (live)'!O339,"-")</f>
        <v>0.92000000000000015</v>
      </c>
      <c r="P339" s="10">
        <f ca="1">IFERROR('RPK (live)'!P339/'ASK (live)'!P339,"-")</f>
        <v>0.94</v>
      </c>
      <c r="Q339" s="10">
        <f ca="1">IFERROR('RPK (live)'!Q339/'ASK (live)'!Q339,"-")</f>
        <v>0.84</v>
      </c>
      <c r="R339" s="10">
        <f ca="1">IFERROR('RPK (live)'!R339/'ASK (live)'!R339,"-")</f>
        <v>0.87</v>
      </c>
      <c r="S339" s="10">
        <f ca="1">IFERROR('RPK (live)'!S339/'ASK (live)'!S339,"-")</f>
        <v>0.9</v>
      </c>
      <c r="T339" s="10">
        <f ca="1">IFERROR('RPK (live)'!T339/'ASK (live)'!T339,"-")</f>
        <v>0.91601941816857024</v>
      </c>
      <c r="U339" s="10">
        <f ca="1">IFERROR('RPK (live)'!U339/'ASK (live)'!U339,"-")</f>
        <v>0.72812305798375077</v>
      </c>
      <c r="V339" s="10">
        <f ca="1">IFERROR('RPK (live)'!V339/'ASK (live)'!V339,"-")</f>
        <v>0.70531926836350545</v>
      </c>
      <c r="W339" s="10">
        <f ca="1">IFERROR('RPK (live)'!W339/'ASK (live)'!W339,"-")</f>
        <v>0.97826701322488863</v>
      </c>
      <c r="X339" s="10">
        <f ca="1">IFERROR('RPK (live)'!X339/'ASK (live)'!X339,"-")</f>
        <v>0.94272433914311582</v>
      </c>
      <c r="Y339" s="10">
        <f ca="1">IFERROR('RPK (live)'!Y339/'ASK (live)'!Y339,"-")</f>
        <v>0.98816034024002941</v>
      </c>
      <c r="Z339" s="10">
        <f ca="1">IFERROR('RPK (live)'!Z339/'ASK (live)'!Z339,"-")</f>
        <v>0.99051911298780138</v>
      </c>
      <c r="AA339" s="10">
        <f ca="1">IFERROR('RPK (live)'!AA339/'ASK (live)'!AA339,"-")</f>
        <v>0.99051911298780138</v>
      </c>
      <c r="AB339" s="10">
        <f ca="1">IFERROR('RPK (live)'!AB339/'ASK (live)'!AB339,"-")</f>
        <v>0.9905191129878016</v>
      </c>
      <c r="AC339" s="10">
        <f ca="1">IFERROR('RPK (live)'!AC339/'ASK (live)'!AC339,"-")</f>
        <v>0.99051911298780149</v>
      </c>
      <c r="AD339" s="10">
        <f ca="1">IFERROR('RPK (live)'!AD339/'ASK (live)'!AD339,"-")</f>
        <v>0.98125321095516138</v>
      </c>
      <c r="AE339" s="10">
        <f ca="1">IFERROR('RPK (live)'!AE339/'ASK (live)'!AE339,"-")</f>
        <v>0.93241796373824193</v>
      </c>
    </row>
    <row r="340" spans="1:31">
      <c r="A340" s="1" t="s">
        <v>152</v>
      </c>
      <c r="B340" s="5" t="s">
        <v>295</v>
      </c>
      <c r="C340" s="5" t="s">
        <v>296</v>
      </c>
      <c r="D340" s="5" t="s">
        <v>294</v>
      </c>
      <c r="E340" s="5" t="s">
        <v>21</v>
      </c>
      <c r="F340" s="5" t="s">
        <v>25</v>
      </c>
      <c r="G340" s="6"/>
      <c r="H340" s="6"/>
      <c r="I340" s="6"/>
      <c r="J340" s="6"/>
      <c r="K340" s="6"/>
      <c r="L340" s="10">
        <f ca="1">IFERROR('RPK (live)'!L340/'ASK (live)'!L340,"-")</f>
        <v>0.95</v>
      </c>
      <c r="M340" s="10">
        <f ca="1">IFERROR('RPK (live)'!M340/'ASK (live)'!M340,"-")</f>
        <v>0.95174255104457184</v>
      </c>
      <c r="N340" s="10">
        <f ca="1">IFERROR('RPK (live)'!N340/'ASK (live)'!N340,"-")</f>
        <v>0.89</v>
      </c>
      <c r="O340" s="10">
        <f ca="1">IFERROR('RPK (live)'!O340/'ASK (live)'!O340,"-")</f>
        <v>0.92000000000000015</v>
      </c>
      <c r="P340" s="10">
        <f ca="1">IFERROR('RPK (live)'!P340/'ASK (live)'!P340,"-")</f>
        <v>0.94</v>
      </c>
      <c r="Q340" s="10">
        <f ca="1">IFERROR('RPK (live)'!Q340/'ASK (live)'!Q340,"-")</f>
        <v>0.84</v>
      </c>
      <c r="R340" s="10">
        <f ca="1">IFERROR('RPK (live)'!R340/'ASK (live)'!R340,"-")</f>
        <v>0.87</v>
      </c>
      <c r="S340" s="10">
        <f ca="1">IFERROR('RPK (live)'!S340/'ASK (live)'!S340,"-")</f>
        <v>0.9</v>
      </c>
      <c r="T340" s="10">
        <f ca="1">IFERROR('RPK (live)'!T340/'ASK (live)'!T340,"-")</f>
        <v>0.91601941816857024</v>
      </c>
      <c r="U340" s="10">
        <f ca="1">IFERROR('RPK (live)'!U340/'ASK (live)'!U340,"-")</f>
        <v>0.72812305798375077</v>
      </c>
      <c r="V340" s="10">
        <f ca="1">IFERROR('RPK (live)'!V340/'ASK (live)'!V340,"-")</f>
        <v>0.70531926836350545</v>
      </c>
      <c r="W340" s="10">
        <f ca="1">IFERROR('RPK (live)'!W340/'ASK (live)'!W340,"-")</f>
        <v>0.97826701322488863</v>
      </c>
      <c r="X340" s="10">
        <f ca="1">IFERROR('RPK (live)'!X340/'ASK (live)'!X340,"-")</f>
        <v>0.94272433914311582</v>
      </c>
      <c r="Y340" s="10">
        <f ca="1">IFERROR('RPK (live)'!Y340/'ASK (live)'!Y340,"-")</f>
        <v>0.98816034024002941</v>
      </c>
      <c r="Z340" s="10">
        <f ca="1">IFERROR('RPK (live)'!Z340/'ASK (live)'!Z340,"-")</f>
        <v>0.99051911298780138</v>
      </c>
      <c r="AA340" s="10">
        <f ca="1">IFERROR('RPK (live)'!AA340/'ASK (live)'!AA340,"-")</f>
        <v>0.99051911298780138</v>
      </c>
      <c r="AB340" s="10">
        <f ca="1">IFERROR('RPK (live)'!AB340/'ASK (live)'!AB340,"-")</f>
        <v>0.9905191129878016</v>
      </c>
      <c r="AC340" s="10">
        <f ca="1">IFERROR('RPK (live)'!AC340/'ASK (live)'!AC340,"-")</f>
        <v>0.99051911298780149</v>
      </c>
      <c r="AD340" s="10">
        <f ca="1">IFERROR('RPK (live)'!AD340/'ASK (live)'!AD340,"-")</f>
        <v>0.98125321095516138</v>
      </c>
      <c r="AE340" s="10">
        <f ca="1">IFERROR('RPK (live)'!AE340/'ASK (live)'!AE340,"-")</f>
        <v>0.93241796373824193</v>
      </c>
    </row>
    <row r="341" spans="1:31">
      <c r="A341" s="1" t="s">
        <v>152</v>
      </c>
      <c r="B341" s="5" t="s">
        <v>297</v>
      </c>
      <c r="C341" s="5" t="s">
        <v>298</v>
      </c>
      <c r="D341" s="5" t="s">
        <v>21</v>
      </c>
      <c r="E341" s="5" t="s">
        <v>299</v>
      </c>
      <c r="F341" s="5" t="s">
        <v>25</v>
      </c>
      <c r="G341" s="6"/>
      <c r="H341" s="6"/>
      <c r="I341" s="6"/>
      <c r="J341" s="6"/>
      <c r="K341" s="6"/>
      <c r="L341" s="10">
        <f ca="1">IFERROR('RPK (live)'!L341/'ASK (live)'!L341,"-")</f>
        <v>0.85</v>
      </c>
      <c r="M341" s="10">
        <f ca="1">IFERROR('RPK (live)'!M341/'ASK (live)'!M341,"-")</f>
        <v>0.93149270953298535</v>
      </c>
      <c r="N341" s="10">
        <f ca="1">IFERROR('RPK (live)'!N341/'ASK (live)'!N341,"-")</f>
        <v>0.96</v>
      </c>
      <c r="O341" s="10">
        <f ca="1">IFERROR('RPK (live)'!O341/'ASK (live)'!O341,"-")</f>
        <v>0.96</v>
      </c>
      <c r="P341" s="10">
        <f ca="1">IFERROR('RPK (live)'!P341/'ASK (live)'!P341,"-")</f>
        <v>0.95</v>
      </c>
      <c r="Q341" s="10">
        <f ca="1">IFERROR('RPK (live)'!Q341/'ASK (live)'!Q341,"-")</f>
        <v>0.91999999999999993</v>
      </c>
      <c r="R341" s="10">
        <f ca="1">IFERROR('RPK (live)'!R341/'ASK (live)'!R341,"-")</f>
        <v>0.82</v>
      </c>
      <c r="S341" s="10">
        <f ca="1">IFERROR('RPK (live)'!S341/'ASK (live)'!S341,"-")</f>
        <v>0.87</v>
      </c>
      <c r="T341" s="10">
        <f ca="1">IFERROR('RPK (live)'!T341/'ASK (live)'!T341,"-")</f>
        <v>0.86098800026065214</v>
      </c>
      <c r="U341" s="10">
        <f ca="1">IFERROR('RPK (live)'!U341/'ASK (live)'!U341,"-")</f>
        <v>0.768478464848391</v>
      </c>
      <c r="V341" s="10">
        <f ca="1">IFERROR('RPK (live)'!V341/'ASK (live)'!V341,"-")</f>
        <v>0.88791851620940321</v>
      </c>
      <c r="W341" s="10">
        <f ca="1">IFERROR('RPK (live)'!W341/'ASK (live)'!W341,"-")</f>
        <v>0.87547093722196057</v>
      </c>
      <c r="X341" s="10">
        <f ca="1">IFERROR('RPK (live)'!X341/'ASK (live)'!X341,"-")</f>
        <v>0.80008924959036931</v>
      </c>
      <c r="Y341" s="10">
        <f ca="1">IFERROR('RPK (live)'!Y341/'ASK (live)'!Y341,"-")</f>
        <v>0.91589576023699282</v>
      </c>
      <c r="Z341" s="10">
        <f ca="1">IFERROR('RPK (live)'!Z341/'ASK (live)'!Z341,"-")</f>
        <v>0.99051911298780171</v>
      </c>
      <c r="AA341" s="10">
        <f ca="1">IFERROR('RPK (live)'!AA341/'ASK (live)'!AA341,"-")</f>
        <v>0.99051911298780171</v>
      </c>
      <c r="AB341" s="10">
        <f ca="1">IFERROR('RPK (live)'!AB341/'ASK (live)'!AB341,"-")</f>
        <v>0.9905191129878016</v>
      </c>
      <c r="AC341" s="10">
        <f ca="1">IFERROR('RPK (live)'!AC341/'ASK (live)'!AC341,"-")</f>
        <v>0.98138211505878648</v>
      </c>
      <c r="AD341" s="10">
        <f ca="1">IFERROR('RPK (live)'!AD341/'ASK (live)'!AD341,"-")</f>
        <v>0.92851396903164496</v>
      </c>
      <c r="AE341" s="10">
        <f ca="1">IFERROR('RPK (live)'!AE341/'ASK (live)'!AE341,"-")</f>
        <v>0.99051911298780171</v>
      </c>
    </row>
    <row r="342" spans="1:31">
      <c r="A342" s="1" t="s">
        <v>152</v>
      </c>
      <c r="B342" s="5" t="s">
        <v>300</v>
      </c>
      <c r="C342" s="5" t="s">
        <v>301</v>
      </c>
      <c r="D342" s="5" t="s">
        <v>299</v>
      </c>
      <c r="E342" s="5" t="s">
        <v>21</v>
      </c>
      <c r="F342" s="5" t="s">
        <v>25</v>
      </c>
      <c r="G342" s="6"/>
      <c r="H342" s="6"/>
      <c r="I342" s="6"/>
      <c r="J342" s="6"/>
      <c r="K342" s="6"/>
      <c r="L342" s="10">
        <f ca="1">IFERROR('RPK (live)'!L342/'ASK (live)'!L342,"-")</f>
        <v>0.85</v>
      </c>
      <c r="M342" s="10">
        <f ca="1">IFERROR('RPK (live)'!M342/'ASK (live)'!M342,"-")</f>
        <v>0.93149270953298535</v>
      </c>
      <c r="N342" s="10">
        <f ca="1">IFERROR('RPK (live)'!N342/'ASK (live)'!N342,"-")</f>
        <v>0.96</v>
      </c>
      <c r="O342" s="10">
        <f ca="1">IFERROR('RPK (live)'!O342/'ASK (live)'!O342,"-")</f>
        <v>0.96</v>
      </c>
      <c r="P342" s="10">
        <f ca="1">IFERROR('RPK (live)'!P342/'ASK (live)'!P342,"-")</f>
        <v>0.95</v>
      </c>
      <c r="Q342" s="10">
        <f ca="1">IFERROR('RPK (live)'!Q342/'ASK (live)'!Q342,"-")</f>
        <v>0.91999999999999993</v>
      </c>
      <c r="R342" s="10">
        <f ca="1">IFERROR('RPK (live)'!R342/'ASK (live)'!R342,"-")</f>
        <v>0.82</v>
      </c>
      <c r="S342" s="10">
        <f ca="1">IFERROR('RPK (live)'!S342/'ASK (live)'!S342,"-")</f>
        <v>0.87</v>
      </c>
      <c r="T342" s="10">
        <f ca="1">IFERROR('RPK (live)'!T342/'ASK (live)'!T342,"-")</f>
        <v>0.86098800026065214</v>
      </c>
      <c r="U342" s="10">
        <f ca="1">IFERROR('RPK (live)'!U342/'ASK (live)'!U342,"-")</f>
        <v>0.768478464848391</v>
      </c>
      <c r="V342" s="10">
        <f ca="1">IFERROR('RPK (live)'!V342/'ASK (live)'!V342,"-")</f>
        <v>0.88791851620940321</v>
      </c>
      <c r="W342" s="10">
        <f ca="1">IFERROR('RPK (live)'!W342/'ASK (live)'!W342,"-")</f>
        <v>0.87547093722196057</v>
      </c>
      <c r="X342" s="10">
        <f ca="1">IFERROR('RPK (live)'!X342/'ASK (live)'!X342,"-")</f>
        <v>0.80008924959036931</v>
      </c>
      <c r="Y342" s="10">
        <f ca="1">IFERROR('RPK (live)'!Y342/'ASK (live)'!Y342,"-")</f>
        <v>0.91589576023699282</v>
      </c>
      <c r="Z342" s="10">
        <f ca="1">IFERROR('RPK (live)'!Z342/'ASK (live)'!Z342,"-")</f>
        <v>0.99051911298780171</v>
      </c>
      <c r="AA342" s="10">
        <f ca="1">IFERROR('RPK (live)'!AA342/'ASK (live)'!AA342,"-")</f>
        <v>0.99051911298780171</v>
      </c>
      <c r="AB342" s="10">
        <f ca="1">IFERROR('RPK (live)'!AB342/'ASK (live)'!AB342,"-")</f>
        <v>0.9905191129878016</v>
      </c>
      <c r="AC342" s="10">
        <f ca="1">IFERROR('RPK (live)'!AC342/'ASK (live)'!AC342,"-")</f>
        <v>0.98138211505878648</v>
      </c>
      <c r="AD342" s="10">
        <f ca="1">IFERROR('RPK (live)'!AD342/'ASK (live)'!AD342,"-")</f>
        <v>0.92851396903164496</v>
      </c>
      <c r="AE342" s="10">
        <f ca="1">IFERROR('RPK (live)'!AE342/'ASK (live)'!AE342,"-")</f>
        <v>0.99051911298780171</v>
      </c>
    </row>
    <row r="343" spans="1:31">
      <c r="A343" s="1" t="s">
        <v>152</v>
      </c>
      <c r="B343" s="5" t="s">
        <v>302</v>
      </c>
      <c r="C343" s="5" t="s">
        <v>303</v>
      </c>
      <c r="D343" s="5" t="s">
        <v>21</v>
      </c>
      <c r="E343" s="5" t="s">
        <v>304</v>
      </c>
      <c r="F343" s="5" t="s">
        <v>25</v>
      </c>
      <c r="G343" s="6"/>
      <c r="H343" s="6"/>
      <c r="I343" s="6"/>
      <c r="J343" s="6"/>
      <c r="K343" s="6"/>
      <c r="L343" s="10" t="str">
        <f ca="1">IFERROR('RPK (live)'!L343/'ASK (live)'!L343,"-")</f>
        <v>-</v>
      </c>
      <c r="M343" s="10" t="str">
        <f ca="1">IFERROR('RPK (live)'!M343/'ASK (live)'!M343,"-")</f>
        <v>-</v>
      </c>
      <c r="N343" s="10" t="str">
        <f ca="1">IFERROR('RPK (live)'!N343/'ASK (live)'!N343,"-")</f>
        <v>-</v>
      </c>
      <c r="O343" s="10" t="str">
        <f ca="1">IFERROR('RPK (live)'!O343/'ASK (live)'!O343,"-")</f>
        <v>-</v>
      </c>
      <c r="P343" s="10">
        <f ca="1">IFERROR('RPK (live)'!P343/'ASK (live)'!P343,"-")</f>
        <v>0.73499999999999988</v>
      </c>
      <c r="Q343" s="10">
        <f ca="1">IFERROR('RPK (live)'!Q343/'ASK (live)'!Q343,"-")</f>
        <v>0.84699999999999998</v>
      </c>
      <c r="R343" s="10">
        <f ca="1">IFERROR('RPK (live)'!R343/'ASK (live)'!R343,"-")</f>
        <v>0.82200000000000006</v>
      </c>
      <c r="S343" s="10">
        <f ca="1">IFERROR('RPK (live)'!S343/'ASK (live)'!S343,"-")</f>
        <v>0.80099999999999993</v>
      </c>
      <c r="T343" s="10">
        <f ca="1">IFERROR('RPK (live)'!T343/'ASK (live)'!T343,"-")</f>
        <v>0.50774657713026805</v>
      </c>
      <c r="U343" s="10">
        <f ca="1">IFERROR('RPK (live)'!U343/'ASK (live)'!U343,"-")</f>
        <v>0.6421430282679772</v>
      </c>
      <c r="V343" s="10">
        <f ca="1">IFERROR('RPK (live)'!V343/'ASK (live)'!V343,"-")</f>
        <v>0.89032252575112647</v>
      </c>
      <c r="W343" s="10">
        <f ca="1">IFERROR('RPK (live)'!W343/'ASK (live)'!W343,"-")</f>
        <v>0.92824659835197931</v>
      </c>
      <c r="X343" s="10">
        <f ca="1">IFERROR('RPK (live)'!X343/'ASK (live)'!X343,"-")</f>
        <v>0.85343402985838301</v>
      </c>
      <c r="Y343" s="10">
        <f ca="1">IFERROR('RPK (live)'!Y343/'ASK (live)'!Y343,"-")</f>
        <v>0.97548666800490447</v>
      </c>
      <c r="Z343" s="10">
        <f ca="1">IFERROR('RPK (live)'!Z343/'ASK (live)'!Z343,"-")</f>
        <v>0.75926747753312795</v>
      </c>
      <c r="AA343" s="10">
        <f ca="1">IFERROR('RPK (live)'!AA343/'ASK (live)'!AA343,"-")</f>
        <v>0.94779532568765201</v>
      </c>
      <c r="AB343" s="10">
        <f ca="1">IFERROR('RPK (live)'!AB343/'ASK (live)'!AB343,"-")</f>
        <v>0.92310873746405919</v>
      </c>
      <c r="AC343" s="10">
        <f ca="1">IFERROR('RPK (live)'!AC343/'ASK (live)'!AC343,"-")</f>
        <v>0.80467650135670787</v>
      </c>
      <c r="AD343" s="10">
        <f ca="1">IFERROR('RPK (live)'!AD343/'ASK (live)'!AD343,"-")</f>
        <v>0.99216863261922317</v>
      </c>
      <c r="AE343" s="10">
        <f ca="1">IFERROR('RPK (live)'!AE343/'ASK (live)'!AE343,"-")</f>
        <v>0.96299747912734313</v>
      </c>
    </row>
    <row r="344" spans="1:31">
      <c r="A344" s="1" t="s">
        <v>152</v>
      </c>
      <c r="B344" s="5" t="s">
        <v>305</v>
      </c>
      <c r="C344" s="5" t="s">
        <v>306</v>
      </c>
      <c r="D344" s="5" t="s">
        <v>304</v>
      </c>
      <c r="E344" s="5" t="s">
        <v>21</v>
      </c>
      <c r="F344" s="5" t="s">
        <v>25</v>
      </c>
      <c r="G344" s="6"/>
      <c r="H344" s="6"/>
      <c r="I344" s="6"/>
      <c r="J344" s="6"/>
      <c r="K344" s="6"/>
      <c r="L344" s="10" t="str">
        <f ca="1">IFERROR('RPK (live)'!L344/'ASK (live)'!L344,"-")</f>
        <v>-</v>
      </c>
      <c r="M344" s="10" t="str">
        <f ca="1">IFERROR('RPK (live)'!M344/'ASK (live)'!M344,"-")</f>
        <v>-</v>
      </c>
      <c r="N344" s="10" t="str">
        <f ca="1">IFERROR('RPK (live)'!N344/'ASK (live)'!N344,"-")</f>
        <v>-</v>
      </c>
      <c r="O344" s="10" t="str">
        <f ca="1">IFERROR('RPK (live)'!O344/'ASK (live)'!O344,"-")</f>
        <v>-</v>
      </c>
      <c r="P344" s="10">
        <f ca="1">IFERROR('RPK (live)'!P344/'ASK (live)'!P344,"-")</f>
        <v>0.73499999999999988</v>
      </c>
      <c r="Q344" s="10">
        <f ca="1">IFERROR('RPK (live)'!Q344/'ASK (live)'!Q344,"-")</f>
        <v>0.84700000000000009</v>
      </c>
      <c r="R344" s="10">
        <f ca="1">IFERROR('RPK (live)'!R344/'ASK (live)'!R344,"-")</f>
        <v>0.82200000000000006</v>
      </c>
      <c r="S344" s="10">
        <f ca="1">IFERROR('RPK (live)'!S344/'ASK (live)'!S344,"-")</f>
        <v>0.80100000000000005</v>
      </c>
      <c r="T344" s="10">
        <f ca="1">IFERROR('RPK (live)'!T344/'ASK (live)'!T344,"-")</f>
        <v>0.50774657713026816</v>
      </c>
      <c r="U344" s="10">
        <f ca="1">IFERROR('RPK (live)'!U344/'ASK (live)'!U344,"-")</f>
        <v>0.6421430282679772</v>
      </c>
      <c r="V344" s="10">
        <f ca="1">IFERROR('RPK (live)'!V344/'ASK (live)'!V344,"-")</f>
        <v>0.89032252575112647</v>
      </c>
      <c r="W344" s="10">
        <f ca="1">IFERROR('RPK (live)'!W344/'ASK (live)'!W344,"-")</f>
        <v>0.92824659835197931</v>
      </c>
      <c r="X344" s="10">
        <f ca="1">IFERROR('RPK (live)'!X344/'ASK (live)'!X344,"-")</f>
        <v>0.85343402985838301</v>
      </c>
      <c r="Y344" s="10">
        <f ca="1">IFERROR('RPK (live)'!Y344/'ASK (live)'!Y344,"-")</f>
        <v>0.97548666800490447</v>
      </c>
      <c r="Z344" s="10">
        <f ca="1">IFERROR('RPK (live)'!Z344/'ASK (live)'!Z344,"-")</f>
        <v>0.75926747753312795</v>
      </c>
      <c r="AA344" s="10">
        <f ca="1">IFERROR('RPK (live)'!AA344/'ASK (live)'!AA344,"-")</f>
        <v>0.94779532568765201</v>
      </c>
      <c r="AB344" s="10">
        <f ca="1">IFERROR('RPK (live)'!AB344/'ASK (live)'!AB344,"-")</f>
        <v>0.92310873746405919</v>
      </c>
      <c r="AC344" s="10">
        <f ca="1">IFERROR('RPK (live)'!AC344/'ASK (live)'!AC344,"-")</f>
        <v>0.80467650135670787</v>
      </c>
      <c r="AD344" s="10">
        <f ca="1">IFERROR('RPK (live)'!AD344/'ASK (live)'!AD344,"-")</f>
        <v>0.99216863261922295</v>
      </c>
      <c r="AE344" s="10">
        <f ca="1">IFERROR('RPK (live)'!AE344/'ASK (live)'!AE344,"-")</f>
        <v>0.96299747912734313</v>
      </c>
    </row>
    <row r="345" spans="1:31">
      <c r="A345" s="1" t="s">
        <v>152</v>
      </c>
      <c r="B345" s="5" t="s">
        <v>307</v>
      </c>
      <c r="C345" s="5" t="s">
        <v>308</v>
      </c>
      <c r="D345" s="5" t="s">
        <v>21</v>
      </c>
      <c r="E345" s="5" t="s">
        <v>309</v>
      </c>
      <c r="F345" s="5" t="s">
        <v>25</v>
      </c>
      <c r="G345" s="6"/>
      <c r="H345" s="6"/>
      <c r="I345" s="6"/>
      <c r="J345" s="6"/>
      <c r="K345" s="6"/>
      <c r="L345" s="10" t="str">
        <f ca="1">IFERROR('RPK (live)'!L345/'ASK (live)'!L345,"-")</f>
        <v>-</v>
      </c>
      <c r="M345" s="10" t="str">
        <f ca="1">IFERROR('RPK (live)'!M345/'ASK (live)'!M345,"-")</f>
        <v>-</v>
      </c>
      <c r="N345" s="10" t="str">
        <f ca="1">IFERROR('RPK (live)'!N345/'ASK (live)'!N345,"-")</f>
        <v>-</v>
      </c>
      <c r="O345" s="10" t="str">
        <f ca="1">IFERROR('RPK (live)'!O345/'ASK (live)'!O345,"-")</f>
        <v>-</v>
      </c>
      <c r="P345" s="10" t="str">
        <f ca="1">IFERROR('RPK (live)'!P345/'ASK (live)'!P345,"-")</f>
        <v>-</v>
      </c>
      <c r="Q345" s="10">
        <f ca="1">IFERROR('RPK (live)'!Q345/'ASK (live)'!Q345,"-")</f>
        <v>0.6</v>
      </c>
      <c r="R345" s="10">
        <f ca="1">IFERROR('RPK (live)'!R345/'ASK (live)'!R345,"-")</f>
        <v>0.65</v>
      </c>
      <c r="S345" s="10">
        <f ca="1">IFERROR('RPK (live)'!S345/'ASK (live)'!S345,"-")</f>
        <v>0.76</v>
      </c>
      <c r="T345" s="10">
        <f ca="1">IFERROR('RPK (live)'!T345/'ASK (live)'!T345,"-")</f>
        <v>0.85699508935671243</v>
      </c>
      <c r="U345" s="10">
        <f ca="1">IFERROR('RPK (live)'!U345/'ASK (live)'!U345,"-")</f>
        <v>0.81611773242887486</v>
      </c>
      <c r="V345" s="10">
        <f ca="1">IFERROR('RPK (live)'!V345/'ASK (live)'!V345,"-")</f>
        <v>0.7643189385455893</v>
      </c>
      <c r="W345" s="10" t="str">
        <f ca="1">IFERROR('RPK (live)'!W345/'ASK (live)'!W345,"-")</f>
        <v>-</v>
      </c>
      <c r="X345" s="10" t="str">
        <f ca="1">IFERROR('RPK (live)'!X345/'ASK (live)'!X345,"-")</f>
        <v>-</v>
      </c>
      <c r="Y345" s="10" t="str">
        <f ca="1">IFERROR('RPK (live)'!Y345/'ASK (live)'!Y345,"-")</f>
        <v>-</v>
      </c>
      <c r="Z345" s="10" t="str">
        <f ca="1">IFERROR('RPK (live)'!Z345/'ASK (live)'!Z345,"-")</f>
        <v>-</v>
      </c>
      <c r="AA345" s="10" t="str">
        <f ca="1">IFERROR('RPK (live)'!AA345/'ASK (live)'!AA345,"-")</f>
        <v>-</v>
      </c>
      <c r="AB345" s="10" t="str">
        <f ca="1">IFERROR('RPK (live)'!AB345/'ASK (live)'!AB345,"-")</f>
        <v>-</v>
      </c>
      <c r="AC345" s="10">
        <f ca="1">IFERROR('RPK (live)'!AC345/'ASK (live)'!AC345,"-")</f>
        <v>0.74116010996302839</v>
      </c>
      <c r="AD345" s="10">
        <f ca="1">IFERROR('RPK (live)'!AD345/'ASK (live)'!AD345,"-")</f>
        <v>0.6878103614498764</v>
      </c>
      <c r="AE345" s="10">
        <f ca="1">IFERROR('RPK (live)'!AE345/'ASK (live)'!AE345,"-")</f>
        <v>0.84958827308448293</v>
      </c>
    </row>
    <row r="346" spans="1:31">
      <c r="A346" s="1" t="s">
        <v>152</v>
      </c>
      <c r="B346" s="5" t="s">
        <v>310</v>
      </c>
      <c r="C346" s="5" t="s">
        <v>311</v>
      </c>
      <c r="D346" s="5" t="s">
        <v>309</v>
      </c>
      <c r="E346" s="5" t="s">
        <v>21</v>
      </c>
      <c r="F346" s="5" t="s">
        <v>25</v>
      </c>
      <c r="G346" s="6"/>
      <c r="H346" s="6"/>
      <c r="I346" s="6"/>
      <c r="J346" s="6"/>
      <c r="K346" s="6"/>
      <c r="L346" s="10" t="str">
        <f ca="1">IFERROR('RPK (live)'!L346/'ASK (live)'!L346,"-")</f>
        <v>-</v>
      </c>
      <c r="M346" s="10" t="str">
        <f ca="1">IFERROR('RPK (live)'!M346/'ASK (live)'!M346,"-")</f>
        <v>-</v>
      </c>
      <c r="N346" s="10" t="str">
        <f ca="1">IFERROR('RPK (live)'!N346/'ASK (live)'!N346,"-")</f>
        <v>-</v>
      </c>
      <c r="O346" s="10" t="str">
        <f ca="1">IFERROR('RPK (live)'!O346/'ASK (live)'!O346,"-")</f>
        <v>-</v>
      </c>
      <c r="P346" s="10" t="str">
        <f ca="1">IFERROR('RPK (live)'!P346/'ASK (live)'!P346,"-")</f>
        <v>-</v>
      </c>
      <c r="Q346" s="10">
        <f ca="1">IFERROR('RPK (live)'!Q346/'ASK (live)'!Q346,"-")</f>
        <v>0.6</v>
      </c>
      <c r="R346" s="10">
        <f ca="1">IFERROR('RPK (live)'!R346/'ASK (live)'!R346,"-")</f>
        <v>0.65</v>
      </c>
      <c r="S346" s="10">
        <f ca="1">IFERROR('RPK (live)'!S346/'ASK (live)'!S346,"-")</f>
        <v>0.76</v>
      </c>
      <c r="T346" s="10">
        <f ca="1">IFERROR('RPK (live)'!T346/'ASK (live)'!T346,"-")</f>
        <v>0.85699508935671243</v>
      </c>
      <c r="U346" s="10">
        <f ca="1">IFERROR('RPK (live)'!U346/'ASK (live)'!U346,"-")</f>
        <v>0.81611773242887486</v>
      </c>
      <c r="V346" s="10">
        <f ca="1">IFERROR('RPK (live)'!V346/'ASK (live)'!V346,"-")</f>
        <v>0.7643189385455893</v>
      </c>
      <c r="W346" s="10" t="str">
        <f ca="1">IFERROR('RPK (live)'!W346/'ASK (live)'!W346,"-")</f>
        <v>-</v>
      </c>
      <c r="X346" s="10" t="str">
        <f ca="1">IFERROR('RPK (live)'!X346/'ASK (live)'!X346,"-")</f>
        <v>-</v>
      </c>
      <c r="Y346" s="10" t="str">
        <f ca="1">IFERROR('RPK (live)'!Y346/'ASK (live)'!Y346,"-")</f>
        <v>-</v>
      </c>
      <c r="Z346" s="10" t="str">
        <f ca="1">IFERROR('RPK (live)'!Z346/'ASK (live)'!Z346,"-")</f>
        <v>-</v>
      </c>
      <c r="AA346" s="10" t="str">
        <f ca="1">IFERROR('RPK (live)'!AA346/'ASK (live)'!AA346,"-")</f>
        <v>-</v>
      </c>
      <c r="AB346" s="10" t="str">
        <f ca="1">IFERROR('RPK (live)'!AB346/'ASK (live)'!AB346,"-")</f>
        <v>-</v>
      </c>
      <c r="AC346" s="10">
        <f ca="1">IFERROR('RPK (live)'!AC346/'ASK (live)'!AC346,"-")</f>
        <v>0.74116010996302839</v>
      </c>
      <c r="AD346" s="10">
        <f ca="1">IFERROR('RPK (live)'!AD346/'ASK (live)'!AD346,"-")</f>
        <v>0.6878103614498764</v>
      </c>
      <c r="AE346" s="10">
        <f ca="1">IFERROR('RPK (live)'!AE346/'ASK (live)'!AE346,"-")</f>
        <v>0.84958827308448293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5758-F195-43EC-8352-F7FBC0BAEF3B}">
  <dimension ref="A1:AE346"/>
  <sheetViews>
    <sheetView workbookViewId="0">
      <pane ySplit="10" topLeftCell="A11" activePane="bottomLeft" state="frozen"/>
      <selection pane="bottomLeft" activeCell="G47" sqref="G47"/>
      <selection activeCell="G47" sqref="G47"/>
    </sheetView>
  </sheetViews>
  <sheetFormatPr defaultRowHeight="16.5"/>
  <cols>
    <col min="1" max="1" width="16" style="1" bestFit="1" customWidth="1"/>
    <col min="2" max="2" width="25.85546875" style="1" bestFit="1" customWidth="1"/>
    <col min="3" max="5" width="25.85546875" style="1" customWidth="1"/>
    <col min="6" max="6" width="17.7109375" style="1" customWidth="1"/>
    <col min="7" max="11" width="13.42578125" style="1" customWidth="1"/>
    <col min="12" max="31" width="12.7109375" style="1" bestFit="1" customWidth="1"/>
    <col min="32" max="16384" width="9.140625" style="1"/>
  </cols>
  <sheetData>
    <row r="1" spans="1:31">
      <c r="A1" s="1" t="s">
        <v>122</v>
      </c>
      <c r="B1" s="1" t="str">
        <f ca="1">_xll.VIEW("planning:oraclegl-reporting",$B$2,$B$7,$B$3,$B$4,$B$5,"!",$B$6,"!","!","!")</f>
        <v>planning:oraclegl-reporting</v>
      </c>
    </row>
    <row r="2" spans="1:31">
      <c r="A2" s="1" t="s">
        <v>123</v>
      </c>
      <c r="B2" s="1" t="str">
        <f ca="1">_xll.SUBNM("planning:translation","","translated")</f>
        <v>translated</v>
      </c>
    </row>
    <row r="3" spans="1:31">
      <c r="A3" s="1" t="s">
        <v>125</v>
      </c>
      <c r="B3" s="1" t="str">
        <f ca="1">_xll.SUBNM("planning:sob","","Total SOB")</f>
        <v>Total SOB</v>
      </c>
    </row>
    <row r="4" spans="1:31">
      <c r="A4" s="1" t="s">
        <v>127</v>
      </c>
      <c r="B4" s="1" t="str">
        <f ca="1">_xll.SUBNM("planning:lob","","VA")</f>
        <v>VA</v>
      </c>
    </row>
    <row r="5" spans="1:31">
      <c r="A5" s="1" t="s">
        <v>129</v>
      </c>
      <c r="B5" s="1" t="str">
        <f ca="1">_xll.SUBNM("planning:currency","","Total Currency")</f>
        <v>Total Currency</v>
      </c>
    </row>
    <row r="6" spans="1:31">
      <c r="A6" s="1" t="s">
        <v>132</v>
      </c>
      <c r="B6" s="1" t="str">
        <f ca="1">_xll.SUBNM("planning:rcentre","Default","VALT","desc")</f>
        <v>VALT - Total VAAL</v>
      </c>
    </row>
    <row r="7" spans="1:31">
      <c r="A7" s="1" t="s">
        <v>133</v>
      </c>
      <c r="B7" s="1" t="s">
        <v>134</v>
      </c>
    </row>
    <row r="10" spans="1:31">
      <c r="B10" s="3" t="s">
        <v>1</v>
      </c>
      <c r="C10" s="3" t="s">
        <v>2</v>
      </c>
      <c r="D10" s="3" t="s">
        <v>3</v>
      </c>
      <c r="E10" s="3" t="s">
        <v>4</v>
      </c>
      <c r="F10" s="3" t="s">
        <v>157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3" t="s">
        <v>148</v>
      </c>
      <c r="S10" s="3" t="s">
        <v>149</v>
      </c>
      <c r="T10" s="3" t="s">
        <v>6</v>
      </c>
      <c r="U10" s="3" t="s">
        <v>7</v>
      </c>
      <c r="V10" s="3" t="s">
        <v>8</v>
      </c>
      <c r="W10" s="3" t="s">
        <v>9</v>
      </c>
      <c r="X10" s="3" t="s">
        <v>10</v>
      </c>
      <c r="Y10" s="3" t="s">
        <v>11</v>
      </c>
      <c r="Z10" s="3" t="s">
        <v>12</v>
      </c>
      <c r="AA10" s="3" t="s">
        <v>13</v>
      </c>
      <c r="AB10" s="3" t="s">
        <v>14</v>
      </c>
      <c r="AC10" s="3" t="s">
        <v>15</v>
      </c>
      <c r="AD10" s="3" t="s">
        <v>16</v>
      </c>
      <c r="AE10" s="3" t="s">
        <v>17</v>
      </c>
    </row>
    <row r="11" spans="1:31">
      <c r="A11" s="1" t="s">
        <v>152</v>
      </c>
      <c r="B11" s="5" t="s">
        <v>158</v>
      </c>
      <c r="C11" s="5" t="s">
        <v>159</v>
      </c>
      <c r="D11" s="5" t="s">
        <v>21</v>
      </c>
      <c r="E11" s="5" t="s">
        <v>38</v>
      </c>
      <c r="F11" s="5" t="s">
        <v>22</v>
      </c>
      <c r="G11" s="6"/>
      <c r="H11" s="6"/>
      <c r="I11" s="6"/>
      <c r="J11" s="6"/>
      <c r="K11" s="6"/>
      <c r="L11" s="4">
        <f ca="1">_xll.DBRW($B$1,$B$2,$B$7,$B$3,$B$4,$B$5,$F11,$B$6,L$10,$A11,$B11)</f>
        <v>4976384</v>
      </c>
      <c r="M11" s="4">
        <f ca="1">_xll.DBRW($B$1,$B$2,$B$7,$B$3,$B$4,$B$5,$F11,$B$6,M$10,$A11,$B11)</f>
        <v>4798656</v>
      </c>
      <c r="N11" s="4">
        <f ca="1">_xll.DBRW($B$1,$B$2,$B$7,$B$3,$B$4,$B$5,$F11,$B$6,N$10,$A11,$B11)</f>
        <v>5148558</v>
      </c>
      <c r="O11" s="4">
        <f ca="1">_xll.DBRW($B$1,$B$2,$B$7,$B$3,$B$4,$B$5,$F11,$B$6,O$10,$A11,$B11)</f>
        <v>5154112</v>
      </c>
      <c r="P11" s="4">
        <f ca="1">_xll.DBRW($B$1,$B$2,$B$7,$B$3,$B$4,$B$5,$F11,$B$6,P$10,$A11,$B11)</f>
        <v>4976384</v>
      </c>
      <c r="Q11" s="4">
        <f ca="1">_xll.DBRW($B$1,$B$2,$B$7,$B$3,$B$4,$B$5,$F11,$B$6,Q$10,$A11,$B11)</f>
        <v>4754224</v>
      </c>
      <c r="R11" s="4">
        <f ca="1">_xll.DBRW($B$1,$B$2,$B$7,$B$3,$B$4,$B$5,$F11,$B$6,R$10,$A11,$B11)</f>
        <v>6598152</v>
      </c>
      <c r="S11" s="4">
        <f ca="1">_xll.DBRW($B$1,$B$2,$B$7,$B$3,$B$4,$B$5,$F11,$B$6,S$10,$A11,$B11)</f>
        <v>7575656</v>
      </c>
      <c r="T11" s="4">
        <f ca="1">_xll.DBRW($B$1,$B$2,$B$7,$B$3,$B$4,$B$5,$F11,$B$6,T$10,$A11,$B11)</f>
        <v>5509568</v>
      </c>
      <c r="U11" s="4">
        <f ca="1">_xll.DBRW($B$1,$B$2,$B$7,$B$3,$B$4,$B$5,$F11,$B$6,U$10,$A11,$B11)</f>
        <v>4976384</v>
      </c>
      <c r="V11" s="4">
        <f ca="1">_xll.DBRW($B$1,$B$2,$B$7,$B$3,$B$4,$B$5,$F11,$B$6,V$10,$A11,$B11)</f>
        <v>5576216</v>
      </c>
      <c r="W11" s="4">
        <f ca="1">_xll.DBRW($B$1,$B$2,$B$7,$B$3,$B$4,$B$5,$F11,$B$6,W$10,$A11,$B11)</f>
        <v>7064688</v>
      </c>
      <c r="X11" s="4">
        <f ca="1">_xll.DBRW($B$1,$B$2,$B$7,$B$3,$B$4,$B$5,$F11,$B$6,X$10,$A11,$B11)</f>
        <v>7309064</v>
      </c>
      <c r="Y11" s="4">
        <f ca="1">_xll.DBRW($B$1,$B$2,$B$7,$B$3,$B$4,$B$5,$F11,$B$6,Y$10,$A11,$B11)</f>
        <v>6998040</v>
      </c>
      <c r="Z11" s="4">
        <f ca="1">_xll.DBRW($B$1,$B$2,$B$7,$B$3,$B$4,$B$5,$F11,$B$6,Z$10,$A11,$B11)</f>
        <v>7309064</v>
      </c>
      <c r="AA11" s="4">
        <f ca="1">_xll.DBRW($B$1,$B$2,$B$7,$B$3,$B$4,$B$5,$F11,$B$6,AA$10,$A11,$B11)</f>
        <v>7242416</v>
      </c>
      <c r="AB11" s="4">
        <f ca="1">_xll.DBRW($B$1,$B$2,$B$7,$B$3,$B$4,$B$5,$F11,$B$6,AB$10,$A11,$B11)</f>
        <v>7064688</v>
      </c>
      <c r="AC11" s="4">
        <f ca="1">_xll.DBRW($B$1,$B$2,$B$7,$B$3,$B$4,$B$5,$F11,$B$6,AC$10,$A11,$B11)</f>
        <v>6975824</v>
      </c>
      <c r="AD11" s="4">
        <f ca="1">_xll.DBRW($B$1,$B$2,$B$7,$B$3,$B$4,$B$5,$F11,$B$6,AD$10,$A11,$B11)</f>
        <v>5331840</v>
      </c>
      <c r="AE11" s="4">
        <f ca="1">_xll.DBRW($B$1,$B$2,$B$7,$B$3,$B$4,$B$5,$F11,$B$6,AE$10,$A11,$B11)</f>
        <v>5509568</v>
      </c>
    </row>
    <row r="12" spans="1:31">
      <c r="A12" s="1" t="s">
        <v>152</v>
      </c>
      <c r="B12" s="5" t="s">
        <v>36</v>
      </c>
      <c r="C12" s="5" t="s">
        <v>37</v>
      </c>
      <c r="D12" s="5" t="s">
        <v>38</v>
      </c>
      <c r="E12" s="5" t="s">
        <v>21</v>
      </c>
      <c r="F12" s="5" t="s">
        <v>22</v>
      </c>
      <c r="G12" s="6"/>
      <c r="H12" s="6"/>
      <c r="I12" s="6"/>
      <c r="J12" s="6"/>
      <c r="K12" s="6"/>
      <c r="L12" s="4">
        <f ca="1">_xll.DBRW($B$1,$B$2,$B$7,$B$3,$B$4,$B$5,$F12,$B$6,L$10,$A12,$B12)</f>
        <v>5026370</v>
      </c>
      <c r="M12" s="4">
        <f ca="1">_xll.DBRW($B$1,$B$2,$B$7,$B$3,$B$4,$B$5,$F12,$B$6,M$10,$A12,$B12)</f>
        <v>4798656</v>
      </c>
      <c r="N12" s="4">
        <f ca="1">_xll.DBRW($B$1,$B$2,$B$7,$B$3,$B$4,$B$5,$F12,$B$6,N$10,$A12,$B12)</f>
        <v>5131896</v>
      </c>
      <c r="O12" s="4">
        <f ca="1">_xll.DBRW($B$1,$B$2,$B$7,$B$3,$B$4,$B$5,$F12,$B$6,O$10,$A12,$B12)</f>
        <v>5154112</v>
      </c>
      <c r="P12" s="4">
        <f ca="1">_xll.DBRW($B$1,$B$2,$B$7,$B$3,$B$4,$B$5,$F12,$B$6,P$10,$A12,$B12)</f>
        <v>4976384</v>
      </c>
      <c r="Q12" s="4">
        <f ca="1">_xll.DBRW($B$1,$B$2,$B$7,$B$3,$B$4,$B$5,$F12,$B$6,Q$10,$A12,$B12)</f>
        <v>4754224</v>
      </c>
      <c r="R12" s="4">
        <f ca="1">_xll.DBRW($B$1,$B$2,$B$7,$B$3,$B$4,$B$5,$F12,$B$6,R$10,$A12,$B12)</f>
        <v>6598152</v>
      </c>
      <c r="S12" s="4">
        <f ca="1">_xll.DBRW($B$1,$B$2,$B$7,$B$3,$B$4,$B$5,$F12,$B$6,S$10,$A12,$B12)</f>
        <v>7575656</v>
      </c>
      <c r="T12" s="4">
        <f ca="1">_xll.DBRW($B$1,$B$2,$B$7,$B$3,$B$4,$B$5,$F12,$B$6,T$10,$A12,$B12)</f>
        <v>5815038</v>
      </c>
      <c r="U12" s="4">
        <f ca="1">_xll.DBRW($B$1,$B$2,$B$7,$B$3,$B$4,$B$5,$F12,$B$6,U$10,$A12,$B12)</f>
        <v>5220760</v>
      </c>
      <c r="V12" s="4">
        <f ca="1">_xll.DBRW($B$1,$B$2,$B$7,$B$3,$B$4,$B$5,$F12,$B$6,V$10,$A12,$B12)</f>
        <v>5748390</v>
      </c>
      <c r="W12" s="4">
        <f ca="1">_xll.DBRW($B$1,$B$2,$B$7,$B$3,$B$4,$B$5,$F12,$B$6,W$10,$A12,$B12)</f>
        <v>6487072</v>
      </c>
      <c r="X12" s="4">
        <f ca="1">_xll.DBRW($B$1,$B$2,$B$7,$B$3,$B$4,$B$5,$F12,$B$6,X$10,$A12,$B12)</f>
        <v>6659246</v>
      </c>
      <c r="Y12" s="4">
        <f ca="1">_xll.DBRW($B$1,$B$2,$B$7,$B$3,$B$4,$B$5,$F12,$B$6,Y$10,$A12,$B12)</f>
        <v>6348222</v>
      </c>
      <c r="Z12" s="4">
        <f ca="1">_xll.DBRW($B$1,$B$2,$B$7,$B$3,$B$4,$B$5,$F12,$B$6,Z$10,$A12,$B12)</f>
        <v>6659246</v>
      </c>
      <c r="AA12" s="4">
        <f ca="1">_xll.DBRW($B$1,$B$2,$B$7,$B$3,$B$4,$B$5,$F12,$B$6,AA$10,$A12,$B12)</f>
        <v>6664800</v>
      </c>
      <c r="AB12" s="4">
        <f ca="1">_xll.DBRW($B$1,$B$2,$B$7,$B$3,$B$4,$B$5,$F12,$B$6,AB$10,$A12,$B12)</f>
        <v>6414870</v>
      </c>
      <c r="AC12" s="4">
        <f ca="1">_xll.DBRW($B$1,$B$2,$B$7,$B$3,$B$4,$B$5,$F12,$B$6,AC$10,$A12,$B12)</f>
        <v>6531504</v>
      </c>
      <c r="AD12" s="4">
        <f ca="1">_xll.DBRW($B$1,$B$2,$B$7,$B$3,$B$4,$B$5,$F12,$B$6,AD$10,$A12,$B12)</f>
        <v>5576216</v>
      </c>
      <c r="AE12" s="4">
        <f ca="1">_xll.DBRW($B$1,$B$2,$B$7,$B$3,$B$4,$B$5,$F12,$B$6,AE$10,$A12,$B12)</f>
        <v>5820592</v>
      </c>
    </row>
    <row r="13" spans="1:31">
      <c r="A13" s="1" t="s">
        <v>152</v>
      </c>
      <c r="B13" s="5" t="s">
        <v>160</v>
      </c>
      <c r="C13" s="5" t="s">
        <v>161</v>
      </c>
      <c r="D13" s="5" t="s">
        <v>21</v>
      </c>
      <c r="E13" s="5" t="s">
        <v>69</v>
      </c>
      <c r="F13" s="5" t="s">
        <v>22</v>
      </c>
      <c r="G13" s="6"/>
      <c r="H13" s="6"/>
      <c r="I13" s="6"/>
      <c r="J13" s="6"/>
      <c r="K13" s="6"/>
      <c r="L13" s="4">
        <f ca="1">_xll.DBRW($B$1,$B$2,$B$7,$B$3,$B$4,$B$5,$F13,$B$6,L$10,$A13,$B13)</f>
        <v>6850402</v>
      </c>
      <c r="M13" s="4">
        <f ca="1">_xll.DBRW($B$1,$B$2,$B$7,$B$3,$B$4,$B$5,$F13,$B$6,M$10,$A13,$B13)</f>
        <v>6651014</v>
      </c>
      <c r="N13" s="4">
        <f ca="1">_xll.DBRW($B$1,$B$2,$B$7,$B$3,$B$4,$B$5,$F13,$B$6,N$10,$A13,$B13)</f>
        <v>6629651</v>
      </c>
      <c r="O13" s="4">
        <f ca="1">_xll.DBRW($B$1,$B$2,$B$7,$B$3,$B$4,$B$5,$F13,$B$6,O$10,$A13,$B13)</f>
        <v>6622530</v>
      </c>
      <c r="P13" s="4">
        <f ca="1">_xll.DBRW($B$1,$B$2,$B$7,$B$3,$B$4,$B$5,$F13,$B$6,P$10,$A13,$B13)</f>
        <v>6401779</v>
      </c>
      <c r="Q13" s="4">
        <f ca="1">_xll.DBRW($B$1,$B$2,$B$7,$B$3,$B$4,$B$5,$F13,$B$6,Q$10,$A13,$B13)</f>
        <v>6622530</v>
      </c>
      <c r="R13" s="4">
        <f ca="1">_xll.DBRW($B$1,$B$2,$B$7,$B$3,$B$4,$B$5,$F13,$B$6,R$10,$A13,$B13)</f>
        <v>6401779</v>
      </c>
      <c r="S13" s="4">
        <f ca="1">_xll.DBRW($B$1,$B$2,$B$7,$B$3,$B$4,$B$5,$F13,$B$6,S$10,$A13,$B13)</f>
        <v>6622530</v>
      </c>
      <c r="T13" s="4">
        <f ca="1">_xll.DBRW($B$1,$B$2,$B$7,$B$3,$B$4,$B$5,$F13,$B$6,T$10,$A13,$B13)</f>
        <v>7064032</v>
      </c>
      <c r="U13" s="4">
        <f ca="1">_xll.DBRW($B$1,$B$2,$B$7,$B$3,$B$4,$B$5,$F13,$B$6,U$10,$A13,$B13)</f>
        <v>6380416</v>
      </c>
      <c r="V13" s="4">
        <f ca="1">_xll.DBRW($B$1,$B$2,$B$7,$B$3,$B$4,$B$5,$F13,$B$6,V$10,$A13,$B13)</f>
        <v>7064032</v>
      </c>
      <c r="W13" s="4">
        <f ca="1">_xll.DBRW($B$1,$B$2,$B$7,$B$3,$B$4,$B$5,$F13,$B$6,W$10,$A13,$B13)</f>
        <v>6807676</v>
      </c>
      <c r="X13" s="4">
        <f ca="1">_xll.DBRW($B$1,$B$2,$B$7,$B$3,$B$4,$B$5,$F13,$B$6,X$10,$A13,$B13)</f>
        <v>7028427</v>
      </c>
      <c r="Y13" s="4">
        <f ca="1">_xll.DBRW($B$1,$B$2,$B$7,$B$3,$B$4,$B$5,$F13,$B$6,Y$10,$A13,$B13)</f>
        <v>6807676</v>
      </c>
      <c r="Z13" s="4">
        <f ca="1">_xll.DBRW($B$1,$B$2,$B$7,$B$3,$B$4,$B$5,$F13,$B$6,Z$10,$A13,$B13)</f>
        <v>7035548</v>
      </c>
      <c r="AA13" s="4">
        <f ca="1">_xll.DBRW($B$1,$B$2,$B$7,$B$3,$B$4,$B$5,$F13,$B$6,AA$10,$A13,$B13)</f>
        <v>7028427</v>
      </c>
      <c r="AB13" s="4">
        <f ca="1">_xll.DBRW($B$1,$B$2,$B$7,$B$3,$B$4,$B$5,$F13,$B$6,AB$10,$A13,$B13)</f>
        <v>6807676</v>
      </c>
      <c r="AC13" s="4">
        <f ca="1">_xll.DBRW($B$1,$B$2,$B$7,$B$3,$B$4,$B$5,$F13,$B$6,AC$10,$A13,$B13)</f>
        <v>7035548</v>
      </c>
      <c r="AD13" s="4">
        <f ca="1">_xll.DBRW($B$1,$B$2,$B$7,$B$3,$B$4,$B$5,$F13,$B$6,AD$10,$A13,$B13)</f>
        <v>6836160</v>
      </c>
      <c r="AE13" s="4">
        <f ca="1">_xll.DBRW($B$1,$B$2,$B$7,$B$3,$B$4,$B$5,$F13,$B$6,AE$10,$A13,$B13)</f>
        <v>7064032</v>
      </c>
    </row>
    <row r="14" spans="1:31">
      <c r="A14" s="1" t="s">
        <v>152</v>
      </c>
      <c r="B14" s="5" t="s">
        <v>67</v>
      </c>
      <c r="C14" s="5" t="s">
        <v>68</v>
      </c>
      <c r="D14" s="5" t="s">
        <v>69</v>
      </c>
      <c r="E14" s="5" t="s">
        <v>21</v>
      </c>
      <c r="F14" s="5" t="s">
        <v>22</v>
      </c>
      <c r="G14" s="6"/>
      <c r="H14" s="6"/>
      <c r="I14" s="6"/>
      <c r="J14" s="6"/>
      <c r="K14" s="6"/>
      <c r="L14" s="4">
        <f ca="1">_xll.DBRW($B$1,$B$2,$B$7,$B$3,$B$4,$B$5,$F14,$B$6,L$10,$A14,$B14)</f>
        <v>6850402</v>
      </c>
      <c r="M14" s="4">
        <f ca="1">_xll.DBRW($B$1,$B$2,$B$7,$B$3,$B$4,$B$5,$F14,$B$6,M$10,$A14,$B14)</f>
        <v>6651014</v>
      </c>
      <c r="N14" s="4">
        <f ca="1">_xll.DBRW($B$1,$B$2,$B$7,$B$3,$B$4,$B$5,$F14,$B$6,N$10,$A14,$B14)</f>
        <v>6629651</v>
      </c>
      <c r="O14" s="4">
        <f ca="1">_xll.DBRW($B$1,$B$2,$B$7,$B$3,$B$4,$B$5,$F14,$B$6,O$10,$A14,$B14)</f>
        <v>6622530</v>
      </c>
      <c r="P14" s="4">
        <f ca="1">_xll.DBRW($B$1,$B$2,$B$7,$B$3,$B$4,$B$5,$F14,$B$6,P$10,$A14,$B14)</f>
        <v>6401779</v>
      </c>
      <c r="Q14" s="4">
        <f ca="1">_xll.DBRW($B$1,$B$2,$B$7,$B$3,$B$4,$B$5,$F14,$B$6,Q$10,$A14,$B14)</f>
        <v>6622530</v>
      </c>
      <c r="R14" s="4">
        <f ca="1">_xll.DBRW($B$1,$B$2,$B$7,$B$3,$B$4,$B$5,$F14,$B$6,R$10,$A14,$B14)</f>
        <v>6401779</v>
      </c>
      <c r="S14" s="4">
        <f ca="1">_xll.DBRW($B$1,$B$2,$B$7,$B$3,$B$4,$B$5,$F14,$B$6,S$10,$A14,$B14)</f>
        <v>6622530</v>
      </c>
      <c r="T14" s="4">
        <f ca="1">_xll.DBRW($B$1,$B$2,$B$7,$B$3,$B$4,$B$5,$F14,$B$6,T$10,$A14,$B14)</f>
        <v>7064032</v>
      </c>
      <c r="U14" s="4">
        <f ca="1">_xll.DBRW($B$1,$B$2,$B$7,$B$3,$B$4,$B$5,$F14,$B$6,U$10,$A14,$B14)</f>
        <v>6380416</v>
      </c>
      <c r="V14" s="4">
        <f ca="1">_xll.DBRW($B$1,$B$2,$B$7,$B$3,$B$4,$B$5,$F14,$B$6,V$10,$A14,$B14)</f>
        <v>7064032</v>
      </c>
      <c r="W14" s="4">
        <f ca="1">_xll.DBRW($B$1,$B$2,$B$7,$B$3,$B$4,$B$5,$F14,$B$6,W$10,$A14,$B14)</f>
        <v>6807676</v>
      </c>
      <c r="X14" s="4">
        <f ca="1">_xll.DBRW($B$1,$B$2,$B$7,$B$3,$B$4,$B$5,$F14,$B$6,X$10,$A14,$B14)</f>
        <v>7028427</v>
      </c>
      <c r="Y14" s="4">
        <f ca="1">_xll.DBRW($B$1,$B$2,$B$7,$B$3,$B$4,$B$5,$F14,$B$6,Y$10,$A14,$B14)</f>
        <v>6807676</v>
      </c>
      <c r="Z14" s="4">
        <f ca="1">_xll.DBRW($B$1,$B$2,$B$7,$B$3,$B$4,$B$5,$F14,$B$6,Z$10,$A14,$B14)</f>
        <v>7035548</v>
      </c>
      <c r="AA14" s="4">
        <f ca="1">_xll.DBRW($B$1,$B$2,$B$7,$B$3,$B$4,$B$5,$F14,$B$6,AA$10,$A14,$B14)</f>
        <v>7028427</v>
      </c>
      <c r="AB14" s="4">
        <f ca="1">_xll.DBRW($B$1,$B$2,$B$7,$B$3,$B$4,$B$5,$F14,$B$6,AB$10,$A14,$B14)</f>
        <v>6807676</v>
      </c>
      <c r="AC14" s="4">
        <f ca="1">_xll.DBRW($B$1,$B$2,$B$7,$B$3,$B$4,$B$5,$F14,$B$6,AC$10,$A14,$B14)</f>
        <v>7035548</v>
      </c>
      <c r="AD14" s="4">
        <f ca="1">_xll.DBRW($B$1,$B$2,$B$7,$B$3,$B$4,$B$5,$F14,$B$6,AD$10,$A14,$B14)</f>
        <v>6836160</v>
      </c>
      <c r="AE14" s="4">
        <f ca="1">_xll.DBRW($B$1,$B$2,$B$7,$B$3,$B$4,$B$5,$F14,$B$6,AE$10,$A14,$B14)</f>
        <v>6836160</v>
      </c>
    </row>
    <row r="15" spans="1:31">
      <c r="A15" s="1" t="s">
        <v>152</v>
      </c>
      <c r="B15" s="5" t="s">
        <v>162</v>
      </c>
      <c r="C15" s="5" t="s">
        <v>163</v>
      </c>
      <c r="D15" s="5" t="s">
        <v>21</v>
      </c>
      <c r="E15" s="5" t="s">
        <v>54</v>
      </c>
      <c r="F15" s="5" t="s">
        <v>22</v>
      </c>
      <c r="G15" s="6"/>
      <c r="H15" s="6"/>
      <c r="I15" s="6"/>
      <c r="J15" s="6"/>
      <c r="K15" s="6"/>
      <c r="L15" s="4">
        <f ca="1">_xll.DBRW($B$1,$B$2,$B$7,$B$3,$B$4,$B$5,$F15,$B$6,L$10,$A15,$B15)</f>
        <v>7348860</v>
      </c>
      <c r="M15" s="4">
        <f ca="1">_xll.DBRW($B$1,$B$2,$B$7,$B$3,$B$4,$B$5,$F15,$B$6,M$10,$A15,$B15)</f>
        <v>8165400</v>
      </c>
      <c r="N15" s="4">
        <f ca="1">_xll.DBRW($B$1,$B$2,$B$7,$B$3,$B$4,$B$5,$F15,$B$6,N$10,$A15,$B15)</f>
        <v>9605320</v>
      </c>
      <c r="O15" s="4">
        <f ca="1">_xll.DBRW($B$1,$B$2,$B$7,$B$3,$B$4,$B$5,$F15,$B$6,O$10,$A15,$B15)</f>
        <v>11975920</v>
      </c>
      <c r="P15" s="4">
        <f ca="1">_xll.DBRW($B$1,$B$2,$B$7,$B$3,$B$4,$B$5,$F15,$B$6,P$10,$A15,$B15)</f>
        <v>11589600</v>
      </c>
      <c r="Q15" s="4">
        <f ca="1">_xll.DBRW($B$1,$B$2,$B$7,$B$3,$B$4,$B$5,$F15,$B$6,Q$10,$A15,$B15)</f>
        <v>11975920</v>
      </c>
      <c r="R15" s="4">
        <f ca="1">_xll.DBRW($B$1,$B$2,$B$7,$B$3,$B$4,$B$5,$F15,$B$6,R$10,$A15,$B15)</f>
        <v>11203280</v>
      </c>
      <c r="S15" s="4">
        <f ca="1">_xll.DBRW($B$1,$B$2,$B$7,$B$3,$B$4,$B$5,$F15,$B$6,S$10,$A15,$B15)</f>
        <v>11975920</v>
      </c>
      <c r="T15" s="4">
        <f ca="1">_xll.DBRW($B$1,$B$2,$B$7,$B$3,$B$4,$B$5,$F15,$B$6,T$10,$A15,$B15)</f>
        <v>11975920</v>
      </c>
      <c r="U15" s="4">
        <f ca="1">_xll.DBRW($B$1,$B$2,$B$7,$B$3,$B$4,$B$5,$F15,$B$6,U$10,$A15,$B15)</f>
        <v>10816960</v>
      </c>
      <c r="V15" s="4">
        <f ca="1">_xll.DBRW($B$1,$B$2,$B$7,$B$3,$B$4,$B$5,$F15,$B$6,V$10,$A15,$B15)</f>
        <v>11975920</v>
      </c>
      <c r="W15" s="4">
        <f ca="1">_xll.DBRW($B$1,$B$2,$B$7,$B$3,$B$4,$B$5,$F15,$B$6,W$10,$A15,$B15)</f>
        <v>11589600</v>
      </c>
      <c r="X15" s="4">
        <f ca="1">_xll.DBRW($B$1,$B$2,$B$7,$B$3,$B$4,$B$5,$F15,$B$6,X$10,$A15,$B15)</f>
        <v>11975920</v>
      </c>
      <c r="Y15" s="4">
        <f ca="1">_xll.DBRW($B$1,$B$2,$B$7,$B$3,$B$4,$B$5,$F15,$B$6,Y$10,$A15,$B15)</f>
        <v>11589600</v>
      </c>
      <c r="Z15" s="4">
        <f ca="1">_xll.DBRW($B$1,$B$2,$B$7,$B$3,$B$4,$B$5,$F15,$B$6,Z$10,$A15,$B15)</f>
        <v>11975920</v>
      </c>
      <c r="AA15" s="4">
        <f ca="1">_xll.DBRW($B$1,$B$2,$B$7,$B$3,$B$4,$B$5,$F15,$B$6,AA$10,$A15,$B15)</f>
        <v>11975920</v>
      </c>
      <c r="AB15" s="4">
        <f ca="1">_xll.DBRW($B$1,$B$2,$B$7,$B$3,$B$4,$B$5,$F15,$B$6,AB$10,$A15,$B15)</f>
        <v>11589600</v>
      </c>
      <c r="AC15" s="4">
        <f ca="1">_xll.DBRW($B$1,$B$2,$B$7,$B$3,$B$4,$B$5,$F15,$B$6,AC$10,$A15,$B15)</f>
        <v>11975920</v>
      </c>
      <c r="AD15" s="4">
        <f ca="1">_xll.DBRW($B$1,$B$2,$B$7,$B$3,$B$4,$B$5,$F15,$B$6,AD$10,$A15,$B15)</f>
        <v>11589600</v>
      </c>
      <c r="AE15" s="4">
        <f ca="1">_xll.DBRW($B$1,$B$2,$B$7,$B$3,$B$4,$B$5,$F15,$B$6,AE$10,$A15,$B15)</f>
        <v>11975920</v>
      </c>
    </row>
    <row r="16" spans="1:31">
      <c r="A16" s="1" t="s">
        <v>152</v>
      </c>
      <c r="B16" s="5" t="s">
        <v>52</v>
      </c>
      <c r="C16" s="5" t="s">
        <v>53</v>
      </c>
      <c r="D16" s="5" t="s">
        <v>54</v>
      </c>
      <c r="E16" s="5" t="s">
        <v>21</v>
      </c>
      <c r="F16" s="5" t="s">
        <v>22</v>
      </c>
      <c r="G16" s="6"/>
      <c r="H16" s="6"/>
      <c r="I16" s="6"/>
      <c r="J16" s="6"/>
      <c r="K16" s="6"/>
      <c r="L16" s="4">
        <f ca="1">_xll.DBRW($B$1,$B$2,$B$7,$B$3,$B$4,$B$5,$F16,$B$6,L$10,$A16,$B16)</f>
        <v>7348860</v>
      </c>
      <c r="M16" s="4">
        <f ca="1">_xll.DBRW($B$1,$B$2,$B$7,$B$3,$B$4,$B$5,$F16,$B$6,M$10,$A16,$B16)</f>
        <v>8165400</v>
      </c>
      <c r="N16" s="4">
        <f ca="1">_xll.DBRW($B$1,$B$2,$B$7,$B$3,$B$4,$B$5,$F16,$B$6,N$10,$A16,$B16)</f>
        <v>9991640</v>
      </c>
      <c r="O16" s="4">
        <f ca="1">_xll.DBRW($B$1,$B$2,$B$7,$B$3,$B$4,$B$5,$F16,$B$6,O$10,$A16,$B16)</f>
        <v>11975920</v>
      </c>
      <c r="P16" s="4">
        <f ca="1">_xll.DBRW($B$1,$B$2,$B$7,$B$3,$B$4,$B$5,$F16,$B$6,P$10,$A16,$B16)</f>
        <v>11589600</v>
      </c>
      <c r="Q16" s="4">
        <f ca="1">_xll.DBRW($B$1,$B$2,$B$7,$B$3,$B$4,$B$5,$F16,$B$6,Q$10,$A16,$B16)</f>
        <v>11975920</v>
      </c>
      <c r="R16" s="4">
        <f ca="1">_xll.DBRW($B$1,$B$2,$B$7,$B$3,$B$4,$B$5,$F16,$B$6,R$10,$A16,$B16)</f>
        <v>11203280</v>
      </c>
      <c r="S16" s="4">
        <f ca="1">_xll.DBRW($B$1,$B$2,$B$7,$B$3,$B$4,$B$5,$F16,$B$6,S$10,$A16,$B16)</f>
        <v>11975920</v>
      </c>
      <c r="T16" s="4">
        <f ca="1">_xll.DBRW($B$1,$B$2,$B$7,$B$3,$B$4,$B$5,$F16,$B$6,T$10,$A16,$B16)</f>
        <v>11975920</v>
      </c>
      <c r="U16" s="4">
        <f ca="1">_xll.DBRW($B$1,$B$2,$B$7,$B$3,$B$4,$B$5,$F16,$B$6,U$10,$A16,$B16)</f>
        <v>10816960</v>
      </c>
      <c r="V16" s="4">
        <f ca="1">_xll.DBRW($B$1,$B$2,$B$7,$B$3,$B$4,$B$5,$F16,$B$6,V$10,$A16,$B16)</f>
        <v>11975920</v>
      </c>
      <c r="W16" s="4">
        <f ca="1">_xll.DBRW($B$1,$B$2,$B$7,$B$3,$B$4,$B$5,$F16,$B$6,W$10,$A16,$B16)</f>
        <v>11589600</v>
      </c>
      <c r="X16" s="4">
        <f ca="1">_xll.DBRW($B$1,$B$2,$B$7,$B$3,$B$4,$B$5,$F16,$B$6,X$10,$A16,$B16)</f>
        <v>11975920</v>
      </c>
      <c r="Y16" s="4">
        <f ca="1">_xll.DBRW($B$1,$B$2,$B$7,$B$3,$B$4,$B$5,$F16,$B$6,Y$10,$A16,$B16)</f>
        <v>11589600</v>
      </c>
      <c r="Z16" s="4">
        <f ca="1">_xll.DBRW($B$1,$B$2,$B$7,$B$3,$B$4,$B$5,$F16,$B$6,Z$10,$A16,$B16)</f>
        <v>11975920</v>
      </c>
      <c r="AA16" s="4">
        <f ca="1">_xll.DBRW($B$1,$B$2,$B$7,$B$3,$B$4,$B$5,$F16,$B$6,AA$10,$A16,$B16)</f>
        <v>11975920</v>
      </c>
      <c r="AB16" s="4">
        <f ca="1">_xll.DBRW($B$1,$B$2,$B$7,$B$3,$B$4,$B$5,$F16,$B$6,AB$10,$A16,$B16)</f>
        <v>11589600</v>
      </c>
      <c r="AC16" s="4">
        <f ca="1">_xll.DBRW($B$1,$B$2,$B$7,$B$3,$B$4,$B$5,$F16,$B$6,AC$10,$A16,$B16)</f>
        <v>11975920</v>
      </c>
      <c r="AD16" s="4">
        <f ca="1">_xll.DBRW($B$1,$B$2,$B$7,$B$3,$B$4,$B$5,$F16,$B$6,AD$10,$A16,$B16)</f>
        <v>11589600</v>
      </c>
      <c r="AE16" s="4">
        <f ca="1">_xll.DBRW($B$1,$B$2,$B$7,$B$3,$B$4,$B$5,$F16,$B$6,AE$10,$A16,$B16)</f>
        <v>11589600</v>
      </c>
    </row>
    <row r="17" spans="1:31">
      <c r="A17" s="1" t="s">
        <v>152</v>
      </c>
      <c r="B17" s="5" t="s">
        <v>164</v>
      </c>
      <c r="C17" s="5" t="s">
        <v>159</v>
      </c>
      <c r="D17" s="5" t="s">
        <v>21</v>
      </c>
      <c r="E17" s="5" t="s">
        <v>38</v>
      </c>
      <c r="F17" s="5" t="s">
        <v>22</v>
      </c>
      <c r="G17" s="6"/>
      <c r="H17" s="6"/>
      <c r="I17" s="6"/>
      <c r="J17" s="6"/>
      <c r="K17" s="6"/>
      <c r="L17" s="4">
        <f ca="1">_xll.DBRW($B$1,$B$2,$B$7,$B$3,$B$4,$B$5,$F17,$B$6,L$10,$A17,$B17)</f>
        <v>5648418</v>
      </c>
      <c r="M17" s="4">
        <f ca="1">_xll.DBRW($B$1,$B$2,$B$7,$B$3,$B$4,$B$5,$F17,$B$6,M$10,$A17,$B17)</f>
        <v>5576216</v>
      </c>
      <c r="N17" s="4">
        <f ca="1">_xll.DBRW($B$1,$B$2,$B$7,$B$3,$B$4,$B$5,$F17,$B$6,N$10,$A17,$B17)</f>
        <v>5770606</v>
      </c>
      <c r="O17" s="4">
        <f ca="1">_xll.DBRW($B$1,$B$2,$B$7,$B$3,$B$4,$B$5,$F17,$B$6,O$10,$A17,$B17)</f>
        <v>5559554</v>
      </c>
      <c r="P17" s="4">
        <f ca="1">_xll.DBRW($B$1,$B$2,$B$7,$B$3,$B$4,$B$5,$F17,$B$6,P$10,$A17,$B17)</f>
        <v>5392934</v>
      </c>
      <c r="Q17" s="4">
        <f ca="1">_xll.DBRW($B$1,$B$2,$B$7,$B$3,$B$4,$B$5,$F17,$B$6,Q$10,$A17,$B17)</f>
        <v>5137450</v>
      </c>
      <c r="R17" s="4">
        <f ca="1">_xll.DBRW($B$1,$B$2,$B$7,$B$3,$B$4,$B$5,$F17,$B$6,R$10,$A17,$B17)</f>
        <v>3976664</v>
      </c>
      <c r="S17" s="4">
        <f ca="1">_xll.DBRW($B$1,$B$2,$B$7,$B$3,$B$4,$B$5,$F17,$B$6,S$10,$A17,$B17)</f>
        <v>3843368</v>
      </c>
      <c r="T17" s="4">
        <f ca="1">_xll.DBRW($B$1,$B$2,$B$7,$B$3,$B$4,$B$5,$F17,$B$6,T$10,$A17,$B17)</f>
        <v>5620648</v>
      </c>
      <c r="U17" s="4">
        <f ca="1">_xll.DBRW($B$1,$B$2,$B$7,$B$3,$B$4,$B$5,$F17,$B$6,U$10,$A17,$B17)</f>
        <v>5043032</v>
      </c>
      <c r="V17" s="4">
        <f ca="1">_xll.DBRW($B$1,$B$2,$B$7,$B$3,$B$4,$B$5,$F17,$B$6,V$10,$A17,$B17)</f>
        <v>5554000</v>
      </c>
      <c r="W17" s="4">
        <f ca="1">_xll.DBRW($B$1,$B$2,$B$7,$B$3,$B$4,$B$5,$F17,$B$6,W$10,$A17,$B17)</f>
        <v>6053860</v>
      </c>
      <c r="X17" s="4">
        <f ca="1">_xll.DBRW($B$1,$B$2,$B$7,$B$3,$B$4,$B$5,$F17,$B$6,X$10,$A17,$B17)</f>
        <v>6370438</v>
      </c>
      <c r="Y17" s="4">
        <f ca="1">_xll.DBRW($B$1,$B$2,$B$7,$B$3,$B$4,$B$5,$F17,$B$6,Y$10,$A17,$B17)</f>
        <v>6131616</v>
      </c>
      <c r="Z17" s="4">
        <f ca="1">_xll.DBRW($B$1,$B$2,$B$7,$B$3,$B$4,$B$5,$F17,$B$6,Z$10,$A17,$B17)</f>
        <v>6298236</v>
      </c>
      <c r="AA17" s="4">
        <f ca="1">_xll.DBRW($B$1,$B$2,$B$7,$B$3,$B$4,$B$5,$F17,$B$6,AA$10,$A17,$B17)</f>
        <v>6370438</v>
      </c>
      <c r="AB17" s="4">
        <f ca="1">_xll.DBRW($B$1,$B$2,$B$7,$B$3,$B$4,$B$5,$F17,$B$6,AB$10,$A17,$B17)</f>
        <v>6059414</v>
      </c>
      <c r="AC17" s="4">
        <f ca="1">_xll.DBRW($B$1,$B$2,$B$7,$B$3,$B$4,$B$5,$F17,$B$6,AC$10,$A17,$B17)</f>
        <v>6287128</v>
      </c>
      <c r="AD17" s="4">
        <f ca="1">_xll.DBRW($B$1,$B$2,$B$7,$B$3,$B$4,$B$5,$F17,$B$6,AD$10,$A17,$B17)</f>
        <v>5309624</v>
      </c>
      <c r="AE17" s="4">
        <f ca="1">_xll.DBRW($B$1,$B$2,$B$7,$B$3,$B$4,$B$5,$F17,$B$6,AE$10,$A17,$B17)</f>
        <v>5548446</v>
      </c>
    </row>
    <row r="18" spans="1:31">
      <c r="A18" s="1" t="s">
        <v>152</v>
      </c>
      <c r="B18" s="5" t="s">
        <v>39</v>
      </c>
      <c r="C18" s="5" t="s">
        <v>37</v>
      </c>
      <c r="D18" s="5" t="s">
        <v>38</v>
      </c>
      <c r="E18" s="5" t="s">
        <v>21</v>
      </c>
      <c r="F18" s="5" t="s">
        <v>22</v>
      </c>
      <c r="G18" s="6"/>
      <c r="H18" s="6"/>
      <c r="I18" s="6"/>
      <c r="J18" s="6"/>
      <c r="K18" s="6"/>
      <c r="L18" s="4">
        <f ca="1">_xll.DBRW($B$1,$B$2,$B$7,$B$3,$B$4,$B$5,$F18,$B$6,L$10,$A18,$B18)</f>
        <v>5681742</v>
      </c>
      <c r="M18" s="4">
        <f ca="1">_xll.DBRW($B$1,$B$2,$B$7,$B$3,$B$4,$B$5,$F18,$B$6,M$10,$A18,$B18)</f>
        <v>5598432</v>
      </c>
      <c r="N18" s="4">
        <f ca="1">_xll.DBRW($B$1,$B$2,$B$7,$B$3,$B$4,$B$5,$F18,$B$6,N$10,$A18,$B18)</f>
        <v>5842808</v>
      </c>
      <c r="O18" s="4">
        <f ca="1">_xll.DBRW($B$1,$B$2,$B$7,$B$3,$B$4,$B$5,$F18,$B$6,O$10,$A18,$B18)</f>
        <v>5776160</v>
      </c>
      <c r="P18" s="4">
        <f ca="1">_xll.DBRW($B$1,$B$2,$B$7,$B$3,$B$4,$B$5,$F18,$B$6,P$10,$A18,$B18)</f>
        <v>5598432</v>
      </c>
      <c r="Q18" s="4">
        <f ca="1">_xll.DBRW($B$1,$B$2,$B$7,$B$3,$B$4,$B$5,$F18,$B$6,Q$10,$A18,$B18)</f>
        <v>4904182</v>
      </c>
      <c r="R18" s="4">
        <f ca="1">_xll.DBRW($B$1,$B$2,$B$7,$B$3,$B$4,$B$5,$F18,$B$6,R$10,$A18,$B18)</f>
        <v>3976664</v>
      </c>
      <c r="S18" s="4">
        <f ca="1">_xll.DBRW($B$1,$B$2,$B$7,$B$3,$B$4,$B$5,$F18,$B$6,S$10,$A18,$B18)</f>
        <v>3843368</v>
      </c>
      <c r="T18" s="4">
        <f ca="1">_xll.DBRW($B$1,$B$2,$B$7,$B$3,$B$4,$B$5,$F18,$B$6,T$10,$A18,$B18)</f>
        <v>5620648</v>
      </c>
      <c r="U18" s="4">
        <f ca="1">_xll.DBRW($B$1,$B$2,$B$7,$B$3,$B$4,$B$5,$F18,$B$6,U$10,$A18,$B18)</f>
        <v>5043032</v>
      </c>
      <c r="V18" s="4">
        <f ca="1">_xll.DBRW($B$1,$B$2,$B$7,$B$3,$B$4,$B$5,$F18,$B$6,V$10,$A18,$B18)</f>
        <v>5554000</v>
      </c>
      <c r="W18" s="4">
        <f ca="1">_xll.DBRW($B$1,$B$2,$B$7,$B$3,$B$4,$B$5,$F18,$B$6,W$10,$A18,$B18)</f>
        <v>6053860</v>
      </c>
      <c r="X18" s="4">
        <f ca="1">_xll.DBRW($B$1,$B$2,$B$7,$B$3,$B$4,$B$5,$F18,$B$6,X$10,$A18,$B18)</f>
        <v>6370438</v>
      </c>
      <c r="Y18" s="4">
        <f ca="1">_xll.DBRW($B$1,$B$2,$B$7,$B$3,$B$4,$B$5,$F18,$B$6,Y$10,$A18,$B18)</f>
        <v>6131616</v>
      </c>
      <c r="Z18" s="4">
        <f ca="1">_xll.DBRW($B$1,$B$2,$B$7,$B$3,$B$4,$B$5,$F18,$B$6,Z$10,$A18,$B18)</f>
        <v>6298236</v>
      </c>
      <c r="AA18" s="4">
        <f ca="1">_xll.DBRW($B$1,$B$2,$B$7,$B$3,$B$4,$B$5,$F18,$B$6,AA$10,$A18,$B18)</f>
        <v>6370438</v>
      </c>
      <c r="AB18" s="4">
        <f ca="1">_xll.DBRW($B$1,$B$2,$B$7,$B$3,$B$4,$B$5,$F18,$B$6,AB$10,$A18,$B18)</f>
        <v>6059414</v>
      </c>
      <c r="AC18" s="4">
        <f ca="1">_xll.DBRW($B$1,$B$2,$B$7,$B$3,$B$4,$B$5,$F18,$B$6,AC$10,$A18,$B18)</f>
        <v>6287128</v>
      </c>
      <c r="AD18" s="4">
        <f ca="1">_xll.DBRW($B$1,$B$2,$B$7,$B$3,$B$4,$B$5,$F18,$B$6,AD$10,$A18,$B18)</f>
        <v>5309624</v>
      </c>
      <c r="AE18" s="4">
        <f ca="1">_xll.DBRW($B$1,$B$2,$B$7,$B$3,$B$4,$B$5,$F18,$B$6,AE$10,$A18,$B18)</f>
        <v>5459582</v>
      </c>
    </row>
    <row r="19" spans="1:31">
      <c r="A19" s="1" t="s">
        <v>152</v>
      </c>
      <c r="B19" s="5" t="s">
        <v>165</v>
      </c>
      <c r="C19" s="5" t="s">
        <v>166</v>
      </c>
      <c r="D19" s="5" t="s">
        <v>21</v>
      </c>
      <c r="E19" s="5" t="s">
        <v>31</v>
      </c>
      <c r="F19" s="5" t="s">
        <v>22</v>
      </c>
      <c r="G19" s="6"/>
      <c r="H19" s="6"/>
      <c r="I19" s="6"/>
      <c r="J19" s="6"/>
      <c r="K19" s="6"/>
      <c r="L19" s="4">
        <f ca="1">_xll.DBRW($B$1,$B$2,$B$7,$B$3,$B$4,$B$5,$F19,$B$6,L$10,$A19,$B19)</f>
        <v>4944014</v>
      </c>
      <c r="M19" s="4">
        <f ca="1">_xll.DBRW($B$1,$B$2,$B$7,$B$3,$B$4,$B$5,$F19,$B$6,M$10,$A19,$B19)</f>
        <v>5017570</v>
      </c>
      <c r="N19" s="4">
        <f ca="1">_xll.DBRW($B$1,$B$2,$B$7,$B$3,$B$4,$B$5,$F19,$B$6,N$10,$A19,$B19)</f>
        <v>5164682</v>
      </c>
      <c r="O19" s="4">
        <f ca="1">_xll.DBRW($B$1,$B$2,$B$7,$B$3,$B$4,$B$5,$F19,$B$6,O$10,$A19,$B19)</f>
        <v>5196206</v>
      </c>
      <c r="P19" s="4">
        <f ca="1">_xll.DBRW($B$1,$B$2,$B$7,$B$3,$B$4,$B$5,$F19,$B$6,P$10,$A19,$B19)</f>
        <v>5043840</v>
      </c>
      <c r="Q19" s="4">
        <f ca="1">_xll.DBRW($B$1,$B$2,$B$7,$B$3,$B$4,$B$5,$F19,$B$6,Q$10,$A19,$B19)</f>
        <v>5201460</v>
      </c>
      <c r="R19" s="4">
        <f ca="1">_xll.DBRW($B$1,$B$2,$B$7,$B$3,$B$4,$B$5,$F19,$B$6,R$10,$A19,$B19)</f>
        <v>5043840</v>
      </c>
      <c r="S19" s="4">
        <f ca="1">_xll.DBRW($B$1,$B$2,$B$7,$B$3,$B$4,$B$5,$F19,$B$6,S$10,$A19,$B19)</f>
        <v>5211968</v>
      </c>
      <c r="T19" s="4">
        <f ca="1">_xll.DBRW($B$1,$B$2,$B$7,$B$3,$B$4,$B$5,$F19,$B$6,T$10,$A19,$B19)</f>
        <v>5143666</v>
      </c>
      <c r="U19" s="4">
        <f ca="1">_xll.DBRW($B$1,$B$2,$B$7,$B$3,$B$4,$B$5,$F19,$B$6,U$10,$A19,$B19)</f>
        <v>4644536</v>
      </c>
      <c r="V19" s="4">
        <f ca="1">_xll.DBRW($B$1,$B$2,$B$7,$B$3,$B$4,$B$5,$F19,$B$6,V$10,$A19,$B19)</f>
        <v>5148920</v>
      </c>
      <c r="W19" s="4">
        <f ca="1">_xll.DBRW($B$1,$B$2,$B$7,$B$3,$B$4,$B$5,$F19,$B$6,W$10,$A19,$B19)</f>
        <v>5001808</v>
      </c>
      <c r="X19" s="4">
        <f ca="1">_xll.DBRW($B$1,$B$2,$B$7,$B$3,$B$4,$B$5,$F19,$B$6,X$10,$A19,$B19)</f>
        <v>5159428</v>
      </c>
      <c r="Y19" s="4">
        <f ca="1">_xll.DBRW($B$1,$B$2,$B$7,$B$3,$B$4,$B$5,$F19,$B$6,Y$10,$A19,$B19)</f>
        <v>5001808</v>
      </c>
      <c r="Z19" s="4">
        <f ca="1">_xll.DBRW($B$1,$B$2,$B$7,$B$3,$B$4,$B$5,$F19,$B$6,Z$10,$A19,$B19)</f>
        <v>5164682</v>
      </c>
      <c r="AA19" s="4">
        <f ca="1">_xll.DBRW($B$1,$B$2,$B$7,$B$3,$B$4,$B$5,$F19,$B$6,AA$10,$A19,$B19)</f>
        <v>5164682</v>
      </c>
      <c r="AB19" s="4">
        <f ca="1">_xll.DBRW($B$1,$B$2,$B$7,$B$3,$B$4,$B$5,$F19,$B$6,AB$10,$A19,$B19)</f>
        <v>5001808</v>
      </c>
      <c r="AC19" s="4">
        <f ca="1">_xll.DBRW($B$1,$B$2,$B$7,$B$3,$B$4,$B$5,$F19,$B$6,AC$10,$A19,$B19)</f>
        <v>5154174</v>
      </c>
      <c r="AD19" s="4">
        <f ca="1">_xll.DBRW($B$1,$B$2,$B$7,$B$3,$B$4,$B$5,$F19,$B$6,AD$10,$A19,$B19)</f>
        <v>4975538</v>
      </c>
      <c r="AE19" s="4">
        <f ca="1">_xll.DBRW($B$1,$B$2,$B$7,$B$3,$B$4,$B$5,$F19,$B$6,AE$10,$A19,$B19)</f>
        <v>5143666</v>
      </c>
    </row>
    <row r="20" spans="1:31">
      <c r="A20" s="1" t="s">
        <v>152</v>
      </c>
      <c r="B20" s="5" t="s">
        <v>29</v>
      </c>
      <c r="C20" s="5" t="s">
        <v>30</v>
      </c>
      <c r="D20" s="5" t="s">
        <v>31</v>
      </c>
      <c r="E20" s="5" t="s">
        <v>21</v>
      </c>
      <c r="F20" s="5" t="s">
        <v>22</v>
      </c>
      <c r="G20" s="6"/>
      <c r="H20" s="6"/>
      <c r="I20" s="6"/>
      <c r="J20" s="6"/>
      <c r="K20" s="6"/>
      <c r="L20" s="4">
        <f ca="1">_xll.DBRW($B$1,$B$2,$B$7,$B$3,$B$4,$B$5,$F20,$B$6,L$10,$A20,$B20)</f>
        <v>4944014</v>
      </c>
      <c r="M20" s="4">
        <f ca="1">_xll.DBRW($B$1,$B$2,$B$7,$B$3,$B$4,$B$5,$F20,$B$6,M$10,$A20,$B20)</f>
        <v>5017570</v>
      </c>
      <c r="N20" s="4">
        <f ca="1">_xll.DBRW($B$1,$B$2,$B$7,$B$3,$B$4,$B$5,$F20,$B$6,N$10,$A20,$B20)</f>
        <v>5164682</v>
      </c>
      <c r="O20" s="4">
        <f ca="1">_xll.DBRW($B$1,$B$2,$B$7,$B$3,$B$4,$B$5,$F20,$B$6,O$10,$A20,$B20)</f>
        <v>5196206</v>
      </c>
      <c r="P20" s="4">
        <f ca="1">_xll.DBRW($B$1,$B$2,$B$7,$B$3,$B$4,$B$5,$F20,$B$6,P$10,$A20,$B20)</f>
        <v>5043840</v>
      </c>
      <c r="Q20" s="4">
        <f ca="1">_xll.DBRW($B$1,$B$2,$B$7,$B$3,$B$4,$B$5,$F20,$B$6,Q$10,$A20,$B20)</f>
        <v>5201460</v>
      </c>
      <c r="R20" s="4">
        <f ca="1">_xll.DBRW($B$1,$B$2,$B$7,$B$3,$B$4,$B$5,$F20,$B$6,R$10,$A20,$B20)</f>
        <v>5043840</v>
      </c>
      <c r="S20" s="4">
        <f ca="1">_xll.DBRW($B$1,$B$2,$B$7,$B$3,$B$4,$B$5,$F20,$B$6,S$10,$A20,$B20)</f>
        <v>5211968</v>
      </c>
      <c r="T20" s="4">
        <f ca="1">_xll.DBRW($B$1,$B$2,$B$7,$B$3,$B$4,$B$5,$F20,$B$6,T$10,$A20,$B20)</f>
        <v>5143666</v>
      </c>
      <c r="U20" s="4">
        <f ca="1">_xll.DBRW($B$1,$B$2,$B$7,$B$3,$B$4,$B$5,$F20,$B$6,U$10,$A20,$B20)</f>
        <v>4644536</v>
      </c>
      <c r="V20" s="4">
        <f ca="1">_xll.DBRW($B$1,$B$2,$B$7,$B$3,$B$4,$B$5,$F20,$B$6,V$10,$A20,$B20)</f>
        <v>5148920</v>
      </c>
      <c r="W20" s="4">
        <f ca="1">_xll.DBRW($B$1,$B$2,$B$7,$B$3,$B$4,$B$5,$F20,$B$6,W$10,$A20,$B20)</f>
        <v>5001808</v>
      </c>
      <c r="X20" s="4">
        <f ca="1">_xll.DBRW($B$1,$B$2,$B$7,$B$3,$B$4,$B$5,$F20,$B$6,X$10,$A20,$B20)</f>
        <v>5159428</v>
      </c>
      <c r="Y20" s="4">
        <f ca="1">_xll.DBRW($B$1,$B$2,$B$7,$B$3,$B$4,$B$5,$F20,$B$6,Y$10,$A20,$B20)</f>
        <v>5001808</v>
      </c>
      <c r="Z20" s="4">
        <f ca="1">_xll.DBRW($B$1,$B$2,$B$7,$B$3,$B$4,$B$5,$F20,$B$6,Z$10,$A20,$B20)</f>
        <v>5164682</v>
      </c>
      <c r="AA20" s="4">
        <f ca="1">_xll.DBRW($B$1,$B$2,$B$7,$B$3,$B$4,$B$5,$F20,$B$6,AA$10,$A20,$B20)</f>
        <v>5164682</v>
      </c>
      <c r="AB20" s="4">
        <f ca="1">_xll.DBRW($B$1,$B$2,$B$7,$B$3,$B$4,$B$5,$F20,$B$6,AB$10,$A20,$B20)</f>
        <v>5001808</v>
      </c>
      <c r="AC20" s="4">
        <f ca="1">_xll.DBRW($B$1,$B$2,$B$7,$B$3,$B$4,$B$5,$F20,$B$6,AC$10,$A20,$B20)</f>
        <v>4986046</v>
      </c>
      <c r="AD20" s="4">
        <f ca="1">_xll.DBRW($B$1,$B$2,$B$7,$B$3,$B$4,$B$5,$F20,$B$6,AD$10,$A20,$B20)</f>
        <v>4975538</v>
      </c>
      <c r="AE20" s="4">
        <f ca="1">_xll.DBRW($B$1,$B$2,$B$7,$B$3,$B$4,$B$5,$F20,$B$6,AE$10,$A20,$B20)</f>
        <v>4975538</v>
      </c>
    </row>
    <row r="21" spans="1:31">
      <c r="A21" s="1" t="s">
        <v>152</v>
      </c>
      <c r="B21" s="5" t="s">
        <v>167</v>
      </c>
      <c r="C21" s="5" t="s">
        <v>168</v>
      </c>
      <c r="D21" s="5" t="s">
        <v>21</v>
      </c>
      <c r="E21" s="5" t="s">
        <v>76</v>
      </c>
      <c r="F21" s="5" t="s">
        <v>22</v>
      </c>
      <c r="G21" s="6"/>
      <c r="H21" s="6"/>
      <c r="I21" s="6"/>
      <c r="J21" s="6"/>
      <c r="K21" s="6"/>
      <c r="L21" s="4">
        <f ca="1">_xll.DBRW($B$1,$B$2,$B$7,$B$3,$B$4,$B$5,$F21,$B$6,L$10,$A21,$B21)</f>
        <v>8033340</v>
      </c>
      <c r="M21" s="4">
        <f ca="1">_xll.DBRW($B$1,$B$2,$B$7,$B$3,$B$4,$B$5,$F21,$B$6,M$10,$A21,$B21)</f>
        <v>7765562</v>
      </c>
      <c r="N21" s="4">
        <f ca="1">_xll.DBRW($B$1,$B$2,$B$7,$B$3,$B$4,$B$5,$F21,$B$6,N$10,$A21,$B21)</f>
        <v>8033340</v>
      </c>
      <c r="O21" s="4">
        <f ca="1">_xll.DBRW($B$1,$B$2,$B$7,$B$3,$B$4,$B$5,$F21,$B$6,O$10,$A21,$B21)</f>
        <v>8033340</v>
      </c>
      <c r="P21" s="4">
        <f ca="1">_xll.DBRW($B$1,$B$2,$B$7,$B$3,$B$4,$B$5,$F21,$B$6,P$10,$A21,$B21)</f>
        <v>7765562</v>
      </c>
      <c r="Q21" s="4">
        <f ca="1">_xll.DBRW($B$1,$B$2,$B$7,$B$3,$B$4,$B$5,$F21,$B$6,Q$10,$A21,$B21)</f>
        <v>7765562</v>
      </c>
      <c r="R21" s="4">
        <f ca="1">_xll.DBRW($B$1,$B$2,$B$7,$B$3,$B$4,$B$5,$F21,$B$6,R$10,$A21,$B21)</f>
        <v>7765562</v>
      </c>
      <c r="S21" s="4">
        <f ca="1">_xll.DBRW($B$1,$B$2,$B$7,$B$3,$B$4,$B$5,$F21,$B$6,S$10,$A21,$B21)</f>
        <v>8033340</v>
      </c>
      <c r="T21" s="4">
        <f ca="1">_xll.DBRW($B$1,$B$2,$B$7,$B$3,$B$4,$B$5,$F21,$B$6,T$10,$A21,$B21)</f>
        <v>11782232</v>
      </c>
      <c r="U21" s="4">
        <f ca="1">_xll.DBRW($B$1,$B$2,$B$7,$B$3,$B$4,$B$5,$F21,$B$6,U$10,$A21,$B21)</f>
        <v>10642016</v>
      </c>
      <c r="V21" s="4">
        <f ca="1">_xll.DBRW($B$1,$B$2,$B$7,$B$3,$B$4,$B$5,$F21,$B$6,V$10,$A21,$B21)</f>
        <v>11574920</v>
      </c>
      <c r="W21" s="4">
        <f ca="1">_xll.DBRW($B$1,$B$2,$B$7,$B$3,$B$4,$B$5,$F21,$B$6,W$10,$A21,$B21)</f>
        <v>8292480</v>
      </c>
      <c r="X21" s="4">
        <f ca="1">_xll.DBRW($B$1,$B$2,$B$7,$B$3,$B$4,$B$5,$F21,$B$6,X$10,$A21,$B21)</f>
        <v>8568896</v>
      </c>
      <c r="Y21" s="4">
        <f ca="1">_xll.DBRW($B$1,$B$2,$B$7,$B$3,$B$4,$B$5,$F21,$B$6,Y$10,$A21,$B21)</f>
        <v>8292480</v>
      </c>
      <c r="Z21" s="4">
        <f ca="1">_xll.DBRW($B$1,$B$2,$B$7,$B$3,$B$4,$B$5,$F21,$B$6,Z$10,$A21,$B21)</f>
        <v>8568896</v>
      </c>
      <c r="AA21" s="4">
        <f ca="1">_xll.DBRW($B$1,$B$2,$B$7,$B$3,$B$4,$B$5,$F21,$B$6,AA$10,$A21,$B21)</f>
        <v>8568896</v>
      </c>
      <c r="AB21" s="4">
        <f ca="1">_xll.DBRW($B$1,$B$2,$B$7,$B$3,$B$4,$B$5,$F21,$B$6,AB$10,$A21,$B21)</f>
        <v>8292480</v>
      </c>
      <c r="AC21" s="4">
        <f ca="1">_xll.DBRW($B$1,$B$2,$B$7,$B$3,$B$4,$B$5,$F21,$B$6,AC$10,$A21,$B21)</f>
        <v>9190832</v>
      </c>
      <c r="AD21" s="4">
        <f ca="1">_xll.DBRW($B$1,$B$2,$B$7,$B$3,$B$4,$B$5,$F21,$B$6,AD$10,$A21,$B21)</f>
        <v>11402160</v>
      </c>
      <c r="AE21" s="4">
        <f ca="1">_xll.DBRW($B$1,$B$2,$B$7,$B$3,$B$4,$B$5,$F21,$B$6,AE$10,$A21,$B21)</f>
        <v>11782232</v>
      </c>
    </row>
    <row r="22" spans="1:31">
      <c r="A22" s="1" t="s">
        <v>152</v>
      </c>
      <c r="B22" s="5" t="s">
        <v>74</v>
      </c>
      <c r="C22" s="5" t="s">
        <v>75</v>
      </c>
      <c r="D22" s="5" t="s">
        <v>76</v>
      </c>
      <c r="E22" s="5" t="s">
        <v>21</v>
      </c>
      <c r="F22" s="5" t="s">
        <v>22</v>
      </c>
      <c r="G22" s="6"/>
      <c r="H22" s="6"/>
      <c r="I22" s="6"/>
      <c r="J22" s="6"/>
      <c r="K22" s="6"/>
      <c r="L22" s="4">
        <f ca="1">_xll.DBRW($B$1,$B$2,$B$7,$B$3,$B$4,$B$5,$F22,$B$6,L$10,$A22,$B22)</f>
        <v>8033340</v>
      </c>
      <c r="M22" s="4">
        <f ca="1">_xll.DBRW($B$1,$B$2,$B$7,$B$3,$B$4,$B$5,$F22,$B$6,M$10,$A22,$B22)</f>
        <v>7765562</v>
      </c>
      <c r="N22" s="4">
        <f ca="1">_xll.DBRW($B$1,$B$2,$B$7,$B$3,$B$4,$B$5,$F22,$B$6,N$10,$A22,$B22)</f>
        <v>8033340</v>
      </c>
      <c r="O22" s="4">
        <f ca="1">_xll.DBRW($B$1,$B$2,$B$7,$B$3,$B$4,$B$5,$F22,$B$6,O$10,$A22,$B22)</f>
        <v>8033340</v>
      </c>
      <c r="P22" s="4">
        <f ca="1">_xll.DBRW($B$1,$B$2,$B$7,$B$3,$B$4,$B$5,$F22,$B$6,P$10,$A22,$B22)</f>
        <v>7765562</v>
      </c>
      <c r="Q22" s="4">
        <f ca="1">_xll.DBRW($B$1,$B$2,$B$7,$B$3,$B$4,$B$5,$F22,$B$6,Q$10,$A22,$B22)</f>
        <v>7765562</v>
      </c>
      <c r="R22" s="4">
        <f ca="1">_xll.DBRW($B$1,$B$2,$B$7,$B$3,$B$4,$B$5,$F22,$B$6,R$10,$A22,$B22)</f>
        <v>7765562</v>
      </c>
      <c r="S22" s="4">
        <f ca="1">_xll.DBRW($B$1,$B$2,$B$7,$B$3,$B$4,$B$5,$F22,$B$6,S$10,$A22,$B22)</f>
        <v>8033340</v>
      </c>
      <c r="T22" s="4">
        <f ca="1">_xll.DBRW($B$1,$B$2,$B$7,$B$3,$B$4,$B$5,$F22,$B$6,T$10,$A22,$B22)</f>
        <v>11782232</v>
      </c>
      <c r="U22" s="4">
        <f ca="1">_xll.DBRW($B$1,$B$2,$B$7,$B$3,$B$4,$B$5,$F22,$B$6,U$10,$A22,$B22)</f>
        <v>10642016</v>
      </c>
      <c r="V22" s="4">
        <f ca="1">_xll.DBRW($B$1,$B$2,$B$7,$B$3,$B$4,$B$5,$F22,$B$6,V$10,$A22,$B22)</f>
        <v>11574920</v>
      </c>
      <c r="W22" s="4">
        <f ca="1">_xll.DBRW($B$1,$B$2,$B$7,$B$3,$B$4,$B$5,$F22,$B$6,W$10,$A22,$B22)</f>
        <v>8292480</v>
      </c>
      <c r="X22" s="4">
        <f ca="1">_xll.DBRW($B$1,$B$2,$B$7,$B$3,$B$4,$B$5,$F22,$B$6,X$10,$A22,$B22)</f>
        <v>8568896</v>
      </c>
      <c r="Y22" s="4">
        <f ca="1">_xll.DBRW($B$1,$B$2,$B$7,$B$3,$B$4,$B$5,$F22,$B$6,Y$10,$A22,$B22)</f>
        <v>8292480</v>
      </c>
      <c r="Z22" s="4">
        <f ca="1">_xll.DBRW($B$1,$B$2,$B$7,$B$3,$B$4,$B$5,$F22,$B$6,Z$10,$A22,$B22)</f>
        <v>8568896</v>
      </c>
      <c r="AA22" s="4">
        <f ca="1">_xll.DBRW($B$1,$B$2,$B$7,$B$3,$B$4,$B$5,$F22,$B$6,AA$10,$A22,$B22)</f>
        <v>8568896</v>
      </c>
      <c r="AB22" s="4">
        <f ca="1">_xll.DBRW($B$1,$B$2,$B$7,$B$3,$B$4,$B$5,$F22,$B$6,AB$10,$A22,$B22)</f>
        <v>8292480</v>
      </c>
      <c r="AC22" s="4">
        <f ca="1">_xll.DBRW($B$1,$B$2,$B$7,$B$3,$B$4,$B$5,$F22,$B$6,AC$10,$A22,$B22)</f>
        <v>9190832</v>
      </c>
      <c r="AD22" s="4">
        <f ca="1">_xll.DBRW($B$1,$B$2,$B$7,$B$3,$B$4,$B$5,$F22,$B$6,AD$10,$A22,$B22)</f>
        <v>11402160</v>
      </c>
      <c r="AE22" s="4">
        <f ca="1">_xll.DBRW($B$1,$B$2,$B$7,$B$3,$B$4,$B$5,$F22,$B$6,AE$10,$A22,$B22)</f>
        <v>11782232</v>
      </c>
    </row>
    <row r="23" spans="1:31">
      <c r="A23" s="1" t="s">
        <v>152</v>
      </c>
      <c r="B23" s="5" t="s">
        <v>169</v>
      </c>
      <c r="C23" s="5" t="s">
        <v>170</v>
      </c>
      <c r="D23" s="5" t="s">
        <v>21</v>
      </c>
      <c r="E23" s="5" t="s">
        <v>35</v>
      </c>
      <c r="F23" s="5" t="s">
        <v>22</v>
      </c>
      <c r="G23" s="6"/>
      <c r="H23" s="6"/>
      <c r="I23" s="6"/>
      <c r="J23" s="6"/>
      <c r="K23" s="6"/>
      <c r="L23" s="4">
        <f ca="1">_xll.DBRW($B$1,$B$2,$B$7,$B$3,$B$4,$B$5,$F23,$B$6,L$10,$A23,$B23)</f>
        <v>7840025</v>
      </c>
      <c r="M23" s="4">
        <f ca="1">_xll.DBRW($B$1,$B$2,$B$7,$B$3,$B$4,$B$5,$F23,$B$6,M$10,$A23,$B23)</f>
        <v>7810440</v>
      </c>
      <c r="N23" s="4">
        <f ca="1">_xll.DBRW($B$1,$B$2,$B$7,$B$3,$B$4,$B$5,$F23,$B$6,N$10,$A23,$B23)</f>
        <v>8070788</v>
      </c>
      <c r="O23" s="4">
        <f ca="1">_xll.DBRW($B$1,$B$2,$B$7,$B$3,$B$4,$B$5,$F23,$B$6,O$10,$A23,$B23)</f>
        <v>8070788</v>
      </c>
      <c r="P23" s="4">
        <f ca="1">_xll.DBRW($B$1,$B$2,$B$7,$B$3,$B$4,$B$5,$F23,$B$6,P$10,$A23,$B23)</f>
        <v>5887415</v>
      </c>
      <c r="Q23" s="4">
        <f ca="1">_xll.DBRW($B$1,$B$2,$B$7,$B$3,$B$4,$B$5,$F23,$B$6,Q$10,$A23,$B23)</f>
        <v>5686237</v>
      </c>
      <c r="R23" s="4">
        <f ca="1">_xll.DBRW($B$1,$B$2,$B$7,$B$3,$B$4,$B$5,$F23,$B$6,R$10,$A23,$B23)</f>
        <v>5532395</v>
      </c>
      <c r="S23" s="4">
        <f ca="1">_xll.DBRW($B$1,$B$2,$B$7,$B$3,$B$4,$B$5,$F23,$B$6,S$10,$A23,$B23)</f>
        <v>5709905</v>
      </c>
      <c r="T23" s="4">
        <f ca="1">_xll.DBRW($B$1,$B$2,$B$7,$B$3,$B$4,$B$5,$F23,$B$6,T$10,$A23,$B23)</f>
        <v>5822328</v>
      </c>
      <c r="U23" s="4">
        <f ca="1">_xll.DBRW($B$1,$B$2,$B$7,$B$3,$B$4,$B$5,$F23,$B$6,U$10,$A23,$B23)</f>
        <v>5254296</v>
      </c>
      <c r="V23" s="4">
        <f ca="1">_xll.DBRW($B$1,$B$2,$B$7,$B$3,$B$4,$B$5,$F23,$B$6,V$10,$A23,$B23)</f>
        <v>5964336</v>
      </c>
      <c r="W23" s="4">
        <f ca="1">_xll.DBRW($B$1,$B$2,$B$7,$B$3,$B$4,$B$5,$F23,$B$6,W$10,$A23,$B23)</f>
        <v>7810440</v>
      </c>
      <c r="X23" s="4">
        <f ca="1">_xll.DBRW($B$1,$B$2,$B$7,$B$3,$B$4,$B$5,$F23,$B$6,X$10,$A23,$B23)</f>
        <v>8070788</v>
      </c>
      <c r="Y23" s="4">
        <f ca="1">_xll.DBRW($B$1,$B$2,$B$7,$B$3,$B$4,$B$5,$F23,$B$6,Y$10,$A23,$B23)</f>
        <v>7810440</v>
      </c>
      <c r="Z23" s="4">
        <f ca="1">_xll.DBRW($B$1,$B$2,$B$7,$B$3,$B$4,$B$5,$F23,$B$6,Z$10,$A23,$B23)</f>
        <v>8070788</v>
      </c>
      <c r="AA23" s="4">
        <f ca="1">_xll.DBRW($B$1,$B$2,$B$7,$B$3,$B$4,$B$5,$F23,$B$6,AA$10,$A23,$B23)</f>
        <v>8070788</v>
      </c>
      <c r="AB23" s="4">
        <f ca="1">_xll.DBRW($B$1,$B$2,$B$7,$B$3,$B$4,$B$5,$F23,$B$6,AB$10,$A23,$B23)</f>
        <v>7810440</v>
      </c>
      <c r="AC23" s="4">
        <f ca="1">_xll.DBRW($B$1,$B$2,$B$7,$B$3,$B$4,$B$5,$F23,$B$6,AC$10,$A23,$B23)</f>
        <v>7632930</v>
      </c>
      <c r="AD23" s="4">
        <f ca="1">_xll.DBRW($B$1,$B$2,$B$7,$B$3,$B$4,$B$5,$F23,$B$6,AD$10,$A23,$B23)</f>
        <v>5627067</v>
      </c>
      <c r="AE23" s="4">
        <f ca="1">_xll.DBRW($B$1,$B$2,$B$7,$B$3,$B$4,$B$5,$F23,$B$6,AE$10,$A23,$B23)</f>
        <v>5816411</v>
      </c>
    </row>
    <row r="24" spans="1:31">
      <c r="A24" s="1" t="s">
        <v>152</v>
      </c>
      <c r="B24" s="5" t="s">
        <v>33</v>
      </c>
      <c r="C24" s="5" t="s">
        <v>34</v>
      </c>
      <c r="D24" s="5" t="s">
        <v>35</v>
      </c>
      <c r="E24" s="5" t="s">
        <v>21</v>
      </c>
      <c r="F24" s="5" t="s">
        <v>22</v>
      </c>
      <c r="G24" s="6"/>
      <c r="H24" s="6"/>
      <c r="I24" s="6"/>
      <c r="J24" s="6"/>
      <c r="K24" s="6"/>
      <c r="L24" s="4">
        <f ca="1">_xll.DBRW($B$1,$B$2,$B$7,$B$3,$B$4,$B$5,$F24,$B$6,L$10,$A24,$B24)</f>
        <v>7840025</v>
      </c>
      <c r="M24" s="4">
        <f ca="1">_xll.DBRW($B$1,$B$2,$B$7,$B$3,$B$4,$B$5,$F24,$B$6,M$10,$A24,$B24)</f>
        <v>7810440</v>
      </c>
      <c r="N24" s="4">
        <f ca="1">_xll.DBRW($B$1,$B$2,$B$7,$B$3,$B$4,$B$5,$F24,$B$6,N$10,$A24,$B24)</f>
        <v>8070788</v>
      </c>
      <c r="O24" s="4">
        <f ca="1">_xll.DBRW($B$1,$B$2,$B$7,$B$3,$B$4,$B$5,$F24,$B$6,O$10,$A24,$B24)</f>
        <v>8070788</v>
      </c>
      <c r="P24" s="4">
        <f ca="1">_xll.DBRW($B$1,$B$2,$B$7,$B$3,$B$4,$B$5,$F24,$B$6,P$10,$A24,$B24)</f>
        <v>5887415</v>
      </c>
      <c r="Q24" s="4">
        <f ca="1">_xll.DBRW($B$1,$B$2,$B$7,$B$3,$B$4,$B$5,$F24,$B$6,Q$10,$A24,$B24)</f>
        <v>5686237</v>
      </c>
      <c r="R24" s="4">
        <f ca="1">_xll.DBRW($B$1,$B$2,$B$7,$B$3,$B$4,$B$5,$F24,$B$6,R$10,$A24,$B24)</f>
        <v>5532395</v>
      </c>
      <c r="S24" s="4">
        <f ca="1">_xll.DBRW($B$1,$B$2,$B$7,$B$3,$B$4,$B$5,$F24,$B$6,S$10,$A24,$B24)</f>
        <v>5709905</v>
      </c>
      <c r="T24" s="4">
        <f ca="1">_xll.DBRW($B$1,$B$2,$B$7,$B$3,$B$4,$B$5,$F24,$B$6,T$10,$A24,$B24)</f>
        <v>5822328</v>
      </c>
      <c r="U24" s="4">
        <f ca="1">_xll.DBRW($B$1,$B$2,$B$7,$B$3,$B$4,$B$5,$F24,$B$6,U$10,$A24,$B24)</f>
        <v>5254296</v>
      </c>
      <c r="V24" s="4">
        <f ca="1">_xll.DBRW($B$1,$B$2,$B$7,$B$3,$B$4,$B$5,$F24,$B$6,V$10,$A24,$B24)</f>
        <v>5964336</v>
      </c>
      <c r="W24" s="4">
        <f ca="1">_xll.DBRW($B$1,$B$2,$B$7,$B$3,$B$4,$B$5,$F24,$B$6,W$10,$A24,$B24)</f>
        <v>7810440</v>
      </c>
      <c r="X24" s="4">
        <f ca="1">_xll.DBRW($B$1,$B$2,$B$7,$B$3,$B$4,$B$5,$F24,$B$6,X$10,$A24,$B24)</f>
        <v>8070788</v>
      </c>
      <c r="Y24" s="4">
        <f ca="1">_xll.DBRW($B$1,$B$2,$B$7,$B$3,$B$4,$B$5,$F24,$B$6,Y$10,$A24,$B24)</f>
        <v>7810440</v>
      </c>
      <c r="Z24" s="4">
        <f ca="1">_xll.DBRW($B$1,$B$2,$B$7,$B$3,$B$4,$B$5,$F24,$B$6,Z$10,$A24,$B24)</f>
        <v>8070788</v>
      </c>
      <c r="AA24" s="4">
        <f ca="1">_xll.DBRW($B$1,$B$2,$B$7,$B$3,$B$4,$B$5,$F24,$B$6,AA$10,$A24,$B24)</f>
        <v>8070788</v>
      </c>
      <c r="AB24" s="4">
        <f ca="1">_xll.DBRW($B$1,$B$2,$B$7,$B$3,$B$4,$B$5,$F24,$B$6,AB$10,$A24,$B24)</f>
        <v>7810440</v>
      </c>
      <c r="AC24" s="4">
        <f ca="1">_xll.DBRW($B$1,$B$2,$B$7,$B$3,$B$4,$B$5,$F24,$B$6,AC$10,$A24,$B24)</f>
        <v>7449503</v>
      </c>
      <c r="AD24" s="4">
        <f ca="1">_xll.DBRW($B$1,$B$2,$B$7,$B$3,$B$4,$B$5,$F24,$B$6,AD$10,$A24,$B24)</f>
        <v>5627067</v>
      </c>
      <c r="AE24" s="4">
        <f ca="1">_xll.DBRW($B$1,$B$2,$B$7,$B$3,$B$4,$B$5,$F24,$B$6,AE$10,$A24,$B24)</f>
        <v>5816411</v>
      </c>
    </row>
    <row r="25" spans="1:31">
      <c r="A25" s="1" t="s">
        <v>152</v>
      </c>
      <c r="B25" s="5" t="s">
        <v>171</v>
      </c>
      <c r="C25" s="5" t="s">
        <v>163</v>
      </c>
      <c r="D25" s="5" t="s">
        <v>21</v>
      </c>
      <c r="E25" s="5" t="s">
        <v>54</v>
      </c>
      <c r="F25" s="5" t="s">
        <v>22</v>
      </c>
      <c r="G25" s="6"/>
      <c r="H25" s="6"/>
      <c r="I25" s="6"/>
      <c r="J25" s="6"/>
      <c r="K25" s="6"/>
      <c r="L25" s="4">
        <f ca="1">_xll.DBRW($B$1,$B$2,$B$7,$B$3,$B$4,$B$5,$F25,$B$6,L$10,$A25,$B25)</f>
        <v>11589600</v>
      </c>
      <c r="M25" s="4">
        <f ca="1">_xll.DBRW($B$1,$B$2,$B$7,$B$3,$B$4,$B$5,$F25,$B$6,M$10,$A25,$B25)</f>
        <v>11203280</v>
      </c>
      <c r="N25" s="4">
        <f ca="1">_xll.DBRW($B$1,$B$2,$B$7,$B$3,$B$4,$B$5,$F25,$B$6,N$10,$A25,$B25)</f>
        <v>10035540</v>
      </c>
      <c r="O25" s="4">
        <f ca="1">_xll.DBRW($B$1,$B$2,$B$7,$B$3,$B$4,$B$5,$F25,$B$6,O$10,$A25,$B25)</f>
        <v>8437580</v>
      </c>
      <c r="P25" s="4">
        <f ca="1">_xll.DBRW($B$1,$B$2,$B$7,$B$3,$B$4,$B$5,$F25,$B$6,P$10,$A25,$B25)</f>
        <v>11018900</v>
      </c>
      <c r="Q25" s="4">
        <f ca="1">_xll.DBRW($B$1,$B$2,$B$7,$B$3,$B$4,$B$5,$F25,$B$6,Q$10,$A25,$B25)</f>
        <v>11018900</v>
      </c>
      <c r="R25" s="4">
        <f ca="1">_xll.DBRW($B$1,$B$2,$B$7,$B$3,$B$4,$B$5,$F25,$B$6,R$10,$A25,$B25)</f>
        <v>8165400</v>
      </c>
      <c r="S25" s="4">
        <f ca="1">_xll.DBRW($B$1,$B$2,$B$7,$B$3,$B$4,$B$5,$F25,$B$6,S$10,$A25,$B25)</f>
        <v>8437580</v>
      </c>
      <c r="T25" s="4">
        <f ca="1">_xll.DBRW($B$1,$B$2,$B$7,$B$3,$B$4,$B$5,$F25,$B$6,T$10,$A25,$B25)</f>
        <v>11975920</v>
      </c>
      <c r="U25" s="4">
        <f ca="1">_xll.DBRW($B$1,$B$2,$B$7,$B$3,$B$4,$B$5,$F25,$B$6,U$10,$A25,$B25)</f>
        <v>10816960</v>
      </c>
      <c r="V25" s="4">
        <f ca="1">_xll.DBRW($B$1,$B$2,$B$7,$B$3,$B$4,$B$5,$F25,$B$6,V$10,$A25,$B25)</f>
        <v>11747640</v>
      </c>
      <c r="W25" s="4">
        <f ca="1">_xll.DBRW($B$1,$B$2,$B$7,$B$3,$B$4,$B$5,$F25,$B$6,W$10,$A25,$B25)</f>
        <v>8165400</v>
      </c>
      <c r="X25" s="4">
        <f ca="1">_xll.DBRW($B$1,$B$2,$B$7,$B$3,$B$4,$B$5,$F25,$B$6,X$10,$A25,$B25)</f>
        <v>8437580</v>
      </c>
      <c r="Y25" s="4">
        <f ca="1">_xll.DBRW($B$1,$B$2,$B$7,$B$3,$B$4,$B$5,$F25,$B$6,Y$10,$A25,$B25)</f>
        <v>8165400</v>
      </c>
      <c r="Z25" s="4">
        <f ca="1">_xll.DBRW($B$1,$B$2,$B$7,$B$3,$B$4,$B$5,$F25,$B$6,Z$10,$A25,$B25)</f>
        <v>8437580</v>
      </c>
      <c r="AA25" s="4">
        <f ca="1">_xll.DBRW($B$1,$B$2,$B$7,$B$3,$B$4,$B$5,$F25,$B$6,AA$10,$A25,$B25)</f>
        <v>8437580</v>
      </c>
      <c r="AB25" s="4">
        <f ca="1">_xll.DBRW($B$1,$B$2,$B$7,$B$3,$B$4,$B$5,$F25,$B$6,AB$10,$A25,$B25)</f>
        <v>8165400</v>
      </c>
      <c r="AC25" s="4">
        <f ca="1">_xll.DBRW($B$1,$B$2,$B$7,$B$3,$B$4,$B$5,$F25,$B$6,AC$10,$A25,$B25)</f>
        <v>9122420</v>
      </c>
      <c r="AD25" s="4">
        <f ca="1">_xll.DBRW($B$1,$B$2,$B$7,$B$3,$B$4,$B$5,$F25,$B$6,AD$10,$A25,$B25)</f>
        <v>11589600</v>
      </c>
      <c r="AE25" s="4">
        <f ca="1">_xll.DBRW($B$1,$B$2,$B$7,$B$3,$B$4,$B$5,$F25,$B$6,AE$10,$A25,$B25)</f>
        <v>11975920</v>
      </c>
    </row>
    <row r="26" spans="1:31">
      <c r="A26" s="1" t="s">
        <v>152</v>
      </c>
      <c r="B26" s="5" t="s">
        <v>55</v>
      </c>
      <c r="C26" s="5" t="s">
        <v>53</v>
      </c>
      <c r="D26" s="5" t="s">
        <v>54</v>
      </c>
      <c r="E26" s="5" t="s">
        <v>21</v>
      </c>
      <c r="F26" s="5" t="s">
        <v>22</v>
      </c>
      <c r="G26" s="6"/>
      <c r="H26" s="6"/>
      <c r="I26" s="6"/>
      <c r="J26" s="6"/>
      <c r="K26" s="6"/>
      <c r="L26" s="4">
        <f ca="1">_xll.DBRW($B$1,$B$2,$B$7,$B$3,$B$4,$B$5,$F26,$B$6,L$10,$A26,$B26)</f>
        <v>11589600</v>
      </c>
      <c r="M26" s="4">
        <f ca="1">_xll.DBRW($B$1,$B$2,$B$7,$B$3,$B$4,$B$5,$F26,$B$6,M$10,$A26,$B26)</f>
        <v>11203280</v>
      </c>
      <c r="N26" s="4">
        <f ca="1">_xll.DBRW($B$1,$B$2,$B$7,$B$3,$B$4,$B$5,$F26,$B$6,N$10,$A26,$B26)</f>
        <v>10035540</v>
      </c>
      <c r="O26" s="4">
        <f ca="1">_xll.DBRW($B$1,$B$2,$B$7,$B$3,$B$4,$B$5,$F26,$B$6,O$10,$A26,$B26)</f>
        <v>8437580</v>
      </c>
      <c r="P26" s="4">
        <f ca="1">_xll.DBRW($B$1,$B$2,$B$7,$B$3,$B$4,$B$5,$F26,$B$6,P$10,$A26,$B26)</f>
        <v>11018900</v>
      </c>
      <c r="Q26" s="4">
        <f ca="1">_xll.DBRW($B$1,$B$2,$B$7,$B$3,$B$4,$B$5,$F26,$B$6,Q$10,$A26,$B26)</f>
        <v>11018900</v>
      </c>
      <c r="R26" s="4">
        <f ca="1">_xll.DBRW($B$1,$B$2,$B$7,$B$3,$B$4,$B$5,$F26,$B$6,R$10,$A26,$B26)</f>
        <v>8165400</v>
      </c>
      <c r="S26" s="4">
        <f ca="1">_xll.DBRW($B$1,$B$2,$B$7,$B$3,$B$4,$B$5,$F26,$B$6,S$10,$A26,$B26)</f>
        <v>8437580</v>
      </c>
      <c r="T26" s="4">
        <f ca="1">_xll.DBRW($B$1,$B$2,$B$7,$B$3,$B$4,$B$5,$F26,$B$6,T$10,$A26,$B26)</f>
        <v>11975920</v>
      </c>
      <c r="U26" s="4">
        <f ca="1">_xll.DBRW($B$1,$B$2,$B$7,$B$3,$B$4,$B$5,$F26,$B$6,U$10,$A26,$B26)</f>
        <v>10816960</v>
      </c>
      <c r="V26" s="4">
        <f ca="1">_xll.DBRW($B$1,$B$2,$B$7,$B$3,$B$4,$B$5,$F26,$B$6,V$10,$A26,$B26)</f>
        <v>11747640</v>
      </c>
      <c r="W26" s="4">
        <f ca="1">_xll.DBRW($B$1,$B$2,$B$7,$B$3,$B$4,$B$5,$F26,$B$6,W$10,$A26,$B26)</f>
        <v>8165400</v>
      </c>
      <c r="X26" s="4">
        <f ca="1">_xll.DBRW($B$1,$B$2,$B$7,$B$3,$B$4,$B$5,$F26,$B$6,X$10,$A26,$B26)</f>
        <v>8437580</v>
      </c>
      <c r="Y26" s="4">
        <f ca="1">_xll.DBRW($B$1,$B$2,$B$7,$B$3,$B$4,$B$5,$F26,$B$6,Y$10,$A26,$B26)</f>
        <v>8165400</v>
      </c>
      <c r="Z26" s="4">
        <f ca="1">_xll.DBRW($B$1,$B$2,$B$7,$B$3,$B$4,$B$5,$F26,$B$6,Z$10,$A26,$B26)</f>
        <v>8437580</v>
      </c>
      <c r="AA26" s="4">
        <f ca="1">_xll.DBRW($B$1,$B$2,$B$7,$B$3,$B$4,$B$5,$F26,$B$6,AA$10,$A26,$B26)</f>
        <v>8437580</v>
      </c>
      <c r="AB26" s="4">
        <f ca="1">_xll.DBRW($B$1,$B$2,$B$7,$B$3,$B$4,$B$5,$F26,$B$6,AB$10,$A26,$B26)</f>
        <v>8165400</v>
      </c>
      <c r="AC26" s="4">
        <f ca="1">_xll.DBRW($B$1,$B$2,$B$7,$B$3,$B$4,$B$5,$F26,$B$6,AC$10,$A26,$B26)</f>
        <v>8850240</v>
      </c>
      <c r="AD26" s="4">
        <f ca="1">_xll.DBRW($B$1,$B$2,$B$7,$B$3,$B$4,$B$5,$F26,$B$6,AD$10,$A26,$B26)</f>
        <v>11589600</v>
      </c>
      <c r="AE26" s="4">
        <f ca="1">_xll.DBRW($B$1,$B$2,$B$7,$B$3,$B$4,$B$5,$F26,$B$6,AE$10,$A26,$B26)</f>
        <v>11589600</v>
      </c>
    </row>
    <row r="27" spans="1:31">
      <c r="A27" s="1" t="s">
        <v>152</v>
      </c>
      <c r="B27" s="5" t="s">
        <v>172</v>
      </c>
      <c r="C27" s="5" t="s">
        <v>159</v>
      </c>
      <c r="D27" s="5" t="s">
        <v>21</v>
      </c>
      <c r="E27" s="5" t="s">
        <v>38</v>
      </c>
      <c r="F27" s="5" t="s">
        <v>22</v>
      </c>
      <c r="G27" s="6"/>
      <c r="H27" s="6"/>
      <c r="I27" s="6"/>
      <c r="J27" s="6"/>
      <c r="K27" s="6"/>
      <c r="L27" s="4">
        <f ca="1">_xll.DBRW($B$1,$B$2,$B$7,$B$3,$B$4,$B$5,$F27,$B$6,L$10,$A27,$B27)</f>
        <v>7575656</v>
      </c>
      <c r="M27" s="4">
        <f ca="1">_xll.DBRW($B$1,$B$2,$B$7,$B$3,$B$4,$B$5,$F27,$B$6,M$10,$A27,$B27)</f>
        <v>7331280</v>
      </c>
      <c r="N27" s="4">
        <f ca="1">_xll.DBRW($B$1,$B$2,$B$7,$B$3,$B$4,$B$5,$F27,$B$6,N$10,$A27,$B27)</f>
        <v>7575656</v>
      </c>
      <c r="O27" s="4">
        <f ca="1">_xll.DBRW($B$1,$B$2,$B$7,$B$3,$B$4,$B$5,$F27,$B$6,O$10,$A27,$B27)</f>
        <v>7575656</v>
      </c>
      <c r="P27" s="4">
        <f ca="1">_xll.DBRW($B$1,$B$2,$B$7,$B$3,$B$4,$B$5,$F27,$B$6,P$10,$A27,$B27)</f>
        <v>7331280</v>
      </c>
      <c r="Q27" s="4">
        <f ca="1">_xll.DBRW($B$1,$B$2,$B$7,$B$3,$B$4,$B$5,$F27,$B$6,Q$10,$A27,$B27)</f>
        <v>7236862</v>
      </c>
      <c r="R27" s="4">
        <f ca="1">_xll.DBRW($B$1,$B$2,$B$7,$B$3,$B$4,$B$5,$F27,$B$6,R$10,$A27,$B27)</f>
        <v>4926398</v>
      </c>
      <c r="S27" s="4">
        <f ca="1">_xll.DBRW($B$1,$B$2,$B$7,$B$3,$B$4,$B$5,$F27,$B$6,S$10,$A27,$B27)</f>
        <v>5109680</v>
      </c>
      <c r="T27" s="4">
        <f ca="1">_xll.DBRW($B$1,$B$2,$B$7,$B$3,$B$4,$B$5,$F27,$B$6,T$10,$A27,$B27)</f>
        <v>5337394</v>
      </c>
      <c r="U27" s="4">
        <f ca="1">_xll.DBRW($B$1,$B$2,$B$7,$B$3,$B$4,$B$5,$F27,$B$6,U$10,$A27,$B27)</f>
        <v>4820872</v>
      </c>
      <c r="V27" s="4">
        <f ca="1">_xll.DBRW($B$1,$B$2,$B$7,$B$3,$B$4,$B$5,$F27,$B$6,V$10,$A27,$B27)</f>
        <v>5337394</v>
      </c>
      <c r="W27" s="4">
        <f ca="1">_xll.DBRW($B$1,$B$2,$B$7,$B$3,$B$4,$B$5,$F27,$B$6,W$10,$A27,$B27)</f>
        <v>5165220</v>
      </c>
      <c r="X27" s="4">
        <f ca="1">_xll.DBRW($B$1,$B$2,$B$7,$B$3,$B$4,$B$5,$F27,$B$6,X$10,$A27,$B27)</f>
        <v>5337394</v>
      </c>
      <c r="Y27" s="4">
        <f ca="1">_xll.DBRW($B$1,$B$2,$B$7,$B$3,$B$4,$B$5,$F27,$B$6,Y$10,$A27,$B27)</f>
        <v>5165220</v>
      </c>
      <c r="Z27" s="4">
        <f ca="1">_xll.DBRW($B$1,$B$2,$B$7,$B$3,$B$4,$B$5,$F27,$B$6,Z$10,$A27,$B27)</f>
        <v>5337394</v>
      </c>
      <c r="AA27" s="4">
        <f ca="1">_xll.DBRW($B$1,$B$2,$B$7,$B$3,$B$4,$B$5,$F27,$B$6,AA$10,$A27,$B27)</f>
        <v>5337394</v>
      </c>
      <c r="AB27" s="4">
        <f ca="1">_xll.DBRW($B$1,$B$2,$B$7,$B$3,$B$4,$B$5,$F27,$B$6,AB$10,$A27,$B27)</f>
        <v>5165220</v>
      </c>
      <c r="AC27" s="4">
        <f ca="1">_xll.DBRW($B$1,$B$2,$B$7,$B$3,$B$4,$B$5,$F27,$B$6,AC$10,$A27,$B27)</f>
        <v>5337394</v>
      </c>
      <c r="AD27" s="4">
        <f ca="1">_xll.DBRW($B$1,$B$2,$B$7,$B$3,$B$4,$B$5,$F27,$B$6,AD$10,$A27,$B27)</f>
        <v>5165220</v>
      </c>
      <c r="AE27" s="4">
        <f ca="1">_xll.DBRW($B$1,$B$2,$B$7,$B$3,$B$4,$B$5,$F27,$B$6,AE$10,$A27,$B27)</f>
        <v>5337394</v>
      </c>
    </row>
    <row r="28" spans="1:31">
      <c r="A28" s="1" t="s">
        <v>152</v>
      </c>
      <c r="B28" s="5" t="s">
        <v>40</v>
      </c>
      <c r="C28" s="5" t="s">
        <v>37</v>
      </c>
      <c r="D28" s="5" t="s">
        <v>38</v>
      </c>
      <c r="E28" s="5" t="s">
        <v>21</v>
      </c>
      <c r="F28" s="5" t="s">
        <v>22</v>
      </c>
      <c r="G28" s="6"/>
      <c r="H28" s="6"/>
      <c r="I28" s="6"/>
      <c r="J28" s="6"/>
      <c r="K28" s="6"/>
      <c r="L28" s="4">
        <f ca="1">_xll.DBRW($B$1,$B$2,$B$7,$B$3,$B$4,$B$5,$F28,$B$6,L$10,$A28,$B28)</f>
        <v>7575656</v>
      </c>
      <c r="M28" s="4">
        <f ca="1">_xll.DBRW($B$1,$B$2,$B$7,$B$3,$B$4,$B$5,$F28,$B$6,M$10,$A28,$B28)</f>
        <v>7331280</v>
      </c>
      <c r="N28" s="4">
        <f ca="1">_xll.DBRW($B$1,$B$2,$B$7,$B$3,$B$4,$B$5,$F28,$B$6,N$10,$A28,$B28)</f>
        <v>7575656</v>
      </c>
      <c r="O28" s="4">
        <f ca="1">_xll.DBRW($B$1,$B$2,$B$7,$B$3,$B$4,$B$5,$F28,$B$6,O$10,$A28,$B28)</f>
        <v>7575656</v>
      </c>
      <c r="P28" s="4">
        <f ca="1">_xll.DBRW($B$1,$B$2,$B$7,$B$3,$B$4,$B$5,$F28,$B$6,P$10,$A28,$B28)</f>
        <v>7331280</v>
      </c>
      <c r="Q28" s="4">
        <f ca="1">_xll.DBRW($B$1,$B$2,$B$7,$B$3,$B$4,$B$5,$F28,$B$6,Q$10,$A28,$B28)</f>
        <v>7236862</v>
      </c>
      <c r="R28" s="4">
        <f ca="1">_xll.DBRW($B$1,$B$2,$B$7,$B$3,$B$4,$B$5,$F28,$B$6,R$10,$A28,$B28)</f>
        <v>4926398</v>
      </c>
      <c r="S28" s="4">
        <f ca="1">_xll.DBRW($B$1,$B$2,$B$7,$B$3,$B$4,$B$5,$F28,$B$6,S$10,$A28,$B28)</f>
        <v>5109680</v>
      </c>
      <c r="T28" s="4">
        <f ca="1">_xll.DBRW($B$1,$B$2,$B$7,$B$3,$B$4,$B$5,$F28,$B$6,T$10,$A28,$B28)</f>
        <v>5337394</v>
      </c>
      <c r="U28" s="4">
        <f ca="1">_xll.DBRW($B$1,$B$2,$B$7,$B$3,$B$4,$B$5,$F28,$B$6,U$10,$A28,$B28)</f>
        <v>4820872</v>
      </c>
      <c r="V28" s="4">
        <f ca="1">_xll.DBRW($B$1,$B$2,$B$7,$B$3,$B$4,$B$5,$F28,$B$6,V$10,$A28,$B28)</f>
        <v>5337394</v>
      </c>
      <c r="W28" s="4">
        <f ca="1">_xll.DBRW($B$1,$B$2,$B$7,$B$3,$B$4,$B$5,$F28,$B$6,W$10,$A28,$B28)</f>
        <v>5165220</v>
      </c>
      <c r="X28" s="4">
        <f ca="1">_xll.DBRW($B$1,$B$2,$B$7,$B$3,$B$4,$B$5,$F28,$B$6,X$10,$A28,$B28)</f>
        <v>5337394</v>
      </c>
      <c r="Y28" s="4">
        <f ca="1">_xll.DBRW($B$1,$B$2,$B$7,$B$3,$B$4,$B$5,$F28,$B$6,Y$10,$A28,$B28)</f>
        <v>5165220</v>
      </c>
      <c r="Z28" s="4">
        <f ca="1">_xll.DBRW($B$1,$B$2,$B$7,$B$3,$B$4,$B$5,$F28,$B$6,Z$10,$A28,$B28)</f>
        <v>5337394</v>
      </c>
      <c r="AA28" s="4">
        <f ca="1">_xll.DBRW($B$1,$B$2,$B$7,$B$3,$B$4,$B$5,$F28,$B$6,AA$10,$A28,$B28)</f>
        <v>5337394</v>
      </c>
      <c r="AB28" s="4">
        <f ca="1">_xll.DBRW($B$1,$B$2,$B$7,$B$3,$B$4,$B$5,$F28,$B$6,AB$10,$A28,$B28)</f>
        <v>5165220</v>
      </c>
      <c r="AC28" s="4">
        <f ca="1">_xll.DBRW($B$1,$B$2,$B$7,$B$3,$B$4,$B$5,$F28,$B$6,AC$10,$A28,$B28)</f>
        <v>5337394</v>
      </c>
      <c r="AD28" s="4">
        <f ca="1">_xll.DBRW($B$1,$B$2,$B$7,$B$3,$B$4,$B$5,$F28,$B$6,AD$10,$A28,$B28)</f>
        <v>5165220</v>
      </c>
      <c r="AE28" s="4">
        <f ca="1">_xll.DBRW($B$1,$B$2,$B$7,$B$3,$B$4,$B$5,$F28,$B$6,AE$10,$A28,$B28)</f>
        <v>5337394</v>
      </c>
    </row>
    <row r="29" spans="1:31">
      <c r="A29" s="1" t="s">
        <v>152</v>
      </c>
      <c r="B29" s="5" t="s">
        <v>173</v>
      </c>
      <c r="C29" s="5" t="s">
        <v>168</v>
      </c>
      <c r="D29" s="5" t="s">
        <v>21</v>
      </c>
      <c r="E29" s="5" t="s">
        <v>76</v>
      </c>
      <c r="F29" s="5" t="s">
        <v>22</v>
      </c>
      <c r="G29" s="6"/>
      <c r="H29" s="6"/>
      <c r="I29" s="6"/>
      <c r="J29" s="6"/>
      <c r="K29" s="6"/>
      <c r="L29" s="4">
        <f ca="1">_xll.DBRW($B$1,$B$2,$B$7,$B$3,$B$4,$B$5,$F29,$B$6,L$10,$A29,$B29)</f>
        <v>8301118</v>
      </c>
      <c r="M29" s="4">
        <f ca="1">_xll.DBRW($B$1,$B$2,$B$7,$B$3,$B$4,$B$5,$F29,$B$6,M$10,$A29,$B29)</f>
        <v>8033340</v>
      </c>
      <c r="N29" s="4">
        <f ca="1">_xll.DBRW($B$1,$B$2,$B$7,$B$3,$B$4,$B$5,$F29,$B$6,N$10,$A29,$B29)</f>
        <v>8033340</v>
      </c>
      <c r="O29" s="4">
        <f ca="1">_xll.DBRW($B$1,$B$2,$B$7,$B$3,$B$4,$B$5,$F29,$B$6,O$10,$A29,$B29)</f>
        <v>8301118</v>
      </c>
      <c r="P29" s="4">
        <f ca="1">_xll.DBRW($B$1,$B$2,$B$7,$B$3,$B$4,$B$5,$F29,$B$6,P$10,$A29,$B29)</f>
        <v>8033340</v>
      </c>
      <c r="Q29" s="4">
        <f ca="1">_xll.DBRW($B$1,$B$2,$B$7,$B$3,$B$4,$B$5,$F29,$B$6,Q$10,$A29,$B29)</f>
        <v>6962228</v>
      </c>
      <c r="R29" s="4">
        <f ca="1">_xll.DBRW($B$1,$B$2,$B$7,$B$3,$B$4,$B$5,$F29,$B$6,R$10,$A29,$B29)</f>
        <v>0</v>
      </c>
      <c r="S29" s="4">
        <f ca="1">_xll.DBRW($B$1,$B$2,$B$7,$B$3,$B$4,$B$5,$F29,$B$6,S$10,$A29,$B29)</f>
        <v>0</v>
      </c>
      <c r="T29" s="4">
        <f ca="1">_xll.DBRW($B$1,$B$2,$B$7,$B$3,$B$4,$B$5,$F29,$B$6,T$10,$A29,$B29)</f>
        <v>0</v>
      </c>
      <c r="U29" s="4">
        <f ca="1">_xll.DBRW($B$1,$B$2,$B$7,$B$3,$B$4,$B$5,$F29,$B$6,U$10,$A29,$B29)</f>
        <v>0</v>
      </c>
      <c r="V29" s="4">
        <f ca="1">_xll.DBRW($B$1,$B$2,$B$7,$B$3,$B$4,$B$5,$F29,$B$6,V$10,$A29,$B29)</f>
        <v>760144</v>
      </c>
      <c r="W29" s="4">
        <f ca="1">_xll.DBRW($B$1,$B$2,$B$7,$B$3,$B$4,$B$5,$F29,$B$6,W$10,$A29,$B29)</f>
        <v>11402160</v>
      </c>
      <c r="X29" s="4">
        <f ca="1">_xll.DBRW($B$1,$B$2,$B$7,$B$3,$B$4,$B$5,$F29,$B$6,X$10,$A29,$B29)</f>
        <v>11782232</v>
      </c>
      <c r="Y29" s="4">
        <f ca="1">_xll.DBRW($B$1,$B$2,$B$7,$B$3,$B$4,$B$5,$F29,$B$6,Y$10,$A29,$B29)</f>
        <v>11402160</v>
      </c>
      <c r="Z29" s="4">
        <f ca="1">_xll.DBRW($B$1,$B$2,$B$7,$B$3,$B$4,$B$5,$F29,$B$6,Z$10,$A29,$B29)</f>
        <v>11782232</v>
      </c>
      <c r="AA29" s="4">
        <f ca="1">_xll.DBRW($B$1,$B$2,$B$7,$B$3,$B$4,$B$5,$F29,$B$6,AA$10,$A29,$B29)</f>
        <v>11782232</v>
      </c>
      <c r="AB29" s="4">
        <f ca="1">_xll.DBRW($B$1,$B$2,$B$7,$B$3,$B$4,$B$5,$F29,$B$6,AB$10,$A29,$B29)</f>
        <v>11402160</v>
      </c>
      <c r="AC29" s="4">
        <f ca="1">_xll.DBRW($B$1,$B$2,$B$7,$B$3,$B$4,$B$5,$F29,$B$6,AC$10,$A29,$B29)</f>
        <v>9501800</v>
      </c>
      <c r="AD29" s="4">
        <f ca="1">_xll.DBRW($B$1,$B$2,$B$7,$B$3,$B$4,$B$5,$F29,$B$6,AD$10,$A29,$B29)</f>
        <v>0</v>
      </c>
      <c r="AE29" s="4">
        <f ca="1">_xll.DBRW($B$1,$B$2,$B$7,$B$3,$B$4,$B$5,$F29,$B$6,AE$10,$A29,$B29)</f>
        <v>0</v>
      </c>
    </row>
    <row r="30" spans="1:31">
      <c r="A30" s="1" t="s">
        <v>152</v>
      </c>
      <c r="B30" s="5" t="s">
        <v>77</v>
      </c>
      <c r="C30" s="5" t="s">
        <v>75</v>
      </c>
      <c r="D30" s="5" t="s">
        <v>76</v>
      </c>
      <c r="E30" s="5" t="s">
        <v>21</v>
      </c>
      <c r="F30" s="5" t="s">
        <v>22</v>
      </c>
      <c r="G30" s="6"/>
      <c r="H30" s="6"/>
      <c r="I30" s="6"/>
      <c r="J30" s="6"/>
      <c r="K30" s="6"/>
      <c r="L30" s="4">
        <f ca="1">_xll.DBRW($B$1,$B$2,$B$7,$B$3,$B$4,$B$5,$F30,$B$6,L$10,$A30,$B30)</f>
        <v>8301118</v>
      </c>
      <c r="M30" s="4">
        <f ca="1">_xll.DBRW($B$1,$B$2,$B$7,$B$3,$B$4,$B$5,$F30,$B$6,M$10,$A30,$B30)</f>
        <v>8033340</v>
      </c>
      <c r="N30" s="4">
        <f ca="1">_xll.DBRW($B$1,$B$2,$B$7,$B$3,$B$4,$B$5,$F30,$B$6,N$10,$A30,$B30)</f>
        <v>8413412</v>
      </c>
      <c r="O30" s="4">
        <f ca="1">_xll.DBRW($B$1,$B$2,$B$7,$B$3,$B$4,$B$5,$F30,$B$6,O$10,$A30,$B30)</f>
        <v>8301118</v>
      </c>
      <c r="P30" s="4">
        <f ca="1">_xll.DBRW($B$1,$B$2,$B$7,$B$3,$B$4,$B$5,$F30,$B$6,P$10,$A30,$B30)</f>
        <v>8033340</v>
      </c>
      <c r="Q30" s="4">
        <f ca="1">_xll.DBRW($B$1,$B$2,$B$7,$B$3,$B$4,$B$5,$F30,$B$6,Q$10,$A30,$B30)</f>
        <v>6962228</v>
      </c>
      <c r="R30" s="4">
        <f ca="1">_xll.DBRW($B$1,$B$2,$B$7,$B$3,$B$4,$B$5,$F30,$B$6,R$10,$A30,$B30)</f>
        <v>0</v>
      </c>
      <c r="S30" s="4">
        <f ca="1">_xll.DBRW($B$1,$B$2,$B$7,$B$3,$B$4,$B$5,$F30,$B$6,S$10,$A30,$B30)</f>
        <v>0</v>
      </c>
      <c r="T30" s="4">
        <f ca="1">_xll.DBRW($B$1,$B$2,$B$7,$B$3,$B$4,$B$5,$F30,$B$6,T$10,$A30,$B30)</f>
        <v>0</v>
      </c>
      <c r="U30" s="4">
        <f ca="1">_xll.DBRW($B$1,$B$2,$B$7,$B$3,$B$4,$B$5,$F30,$B$6,U$10,$A30,$B30)</f>
        <v>0</v>
      </c>
      <c r="V30" s="4">
        <f ca="1">_xll.DBRW($B$1,$B$2,$B$7,$B$3,$B$4,$B$5,$F30,$B$6,V$10,$A30,$B30)</f>
        <v>760144</v>
      </c>
      <c r="W30" s="4">
        <f ca="1">_xll.DBRW($B$1,$B$2,$B$7,$B$3,$B$4,$B$5,$F30,$B$6,W$10,$A30,$B30)</f>
        <v>11402160</v>
      </c>
      <c r="X30" s="4">
        <f ca="1">_xll.DBRW($B$1,$B$2,$B$7,$B$3,$B$4,$B$5,$F30,$B$6,X$10,$A30,$B30)</f>
        <v>11782232</v>
      </c>
      <c r="Y30" s="4">
        <f ca="1">_xll.DBRW($B$1,$B$2,$B$7,$B$3,$B$4,$B$5,$F30,$B$6,Y$10,$A30,$B30)</f>
        <v>11402160</v>
      </c>
      <c r="Z30" s="4">
        <f ca="1">_xll.DBRW($B$1,$B$2,$B$7,$B$3,$B$4,$B$5,$F30,$B$6,Z$10,$A30,$B30)</f>
        <v>11782232</v>
      </c>
      <c r="AA30" s="4">
        <f ca="1">_xll.DBRW($B$1,$B$2,$B$7,$B$3,$B$4,$B$5,$F30,$B$6,AA$10,$A30,$B30)</f>
        <v>11782232</v>
      </c>
      <c r="AB30" s="4">
        <f ca="1">_xll.DBRW($B$1,$B$2,$B$7,$B$3,$B$4,$B$5,$F30,$B$6,AB$10,$A30,$B30)</f>
        <v>11402160</v>
      </c>
      <c r="AC30" s="4">
        <f ca="1">_xll.DBRW($B$1,$B$2,$B$7,$B$3,$B$4,$B$5,$F30,$B$6,AC$10,$A30,$B30)</f>
        <v>9121728</v>
      </c>
      <c r="AD30" s="4">
        <f ca="1">_xll.DBRW($B$1,$B$2,$B$7,$B$3,$B$4,$B$5,$F30,$B$6,AD$10,$A30,$B30)</f>
        <v>0</v>
      </c>
      <c r="AE30" s="4">
        <f ca="1">_xll.DBRW($B$1,$B$2,$B$7,$B$3,$B$4,$B$5,$F30,$B$6,AE$10,$A30,$B30)</f>
        <v>0</v>
      </c>
    </row>
    <row r="31" spans="1:31">
      <c r="A31" s="1" t="s">
        <v>152</v>
      </c>
      <c r="B31" s="5" t="s">
        <v>174</v>
      </c>
      <c r="C31" s="5" t="s">
        <v>159</v>
      </c>
      <c r="D31" s="5" t="s">
        <v>21</v>
      </c>
      <c r="E31" s="5" t="s">
        <v>38</v>
      </c>
      <c r="F31" s="5" t="s">
        <v>22</v>
      </c>
      <c r="G31" s="6"/>
      <c r="H31" s="6"/>
      <c r="I31" s="6"/>
      <c r="J31" s="6"/>
      <c r="K31" s="6"/>
      <c r="L31" s="4">
        <f ca="1">_xll.DBRW($B$1,$B$2,$B$7,$B$3,$B$4,$B$5,$F31,$B$6,L$10,$A31,$B31)</f>
        <v>6231588</v>
      </c>
      <c r="M31" s="4">
        <f ca="1">_xll.DBRW($B$1,$B$2,$B$7,$B$3,$B$4,$B$5,$F31,$B$6,M$10,$A31,$B31)</f>
        <v>5931672</v>
      </c>
      <c r="N31" s="4">
        <f ca="1">_xll.DBRW($B$1,$B$2,$B$7,$B$3,$B$4,$B$5,$F31,$B$6,N$10,$A31,$B31)</f>
        <v>6103846</v>
      </c>
      <c r="O31" s="4">
        <f ca="1">_xll.DBRW($B$1,$B$2,$B$7,$B$3,$B$4,$B$5,$F31,$B$6,O$10,$A31,$B31)</f>
        <v>6303790</v>
      </c>
      <c r="P31" s="4">
        <f ca="1">_xll.DBRW($B$1,$B$2,$B$7,$B$3,$B$4,$B$5,$F31,$B$6,P$10,$A31,$B31)</f>
        <v>5865024</v>
      </c>
      <c r="Q31" s="4">
        <f ca="1">_xll.DBRW($B$1,$B$2,$B$7,$B$3,$B$4,$B$5,$F31,$B$6,Q$10,$A31,$B31)</f>
        <v>6087184</v>
      </c>
      <c r="R31" s="4">
        <f ca="1">_xll.DBRW($B$1,$B$2,$B$7,$B$3,$B$4,$B$5,$F31,$B$6,R$10,$A31,$B31)</f>
        <v>6109400</v>
      </c>
      <c r="S31" s="4">
        <f ca="1">_xll.DBRW($B$1,$B$2,$B$7,$B$3,$B$4,$B$5,$F31,$B$6,S$10,$A31,$B31)</f>
        <v>6131616</v>
      </c>
      <c r="T31" s="4">
        <f ca="1">_xll.DBRW($B$1,$B$2,$B$7,$B$3,$B$4,$B$5,$F31,$B$6,T$10,$A31,$B31)</f>
        <v>5792822</v>
      </c>
      <c r="U31" s="4">
        <f ca="1">_xll.DBRW($B$1,$B$2,$B$7,$B$3,$B$4,$B$5,$F31,$B$6,U$10,$A31,$B31)</f>
        <v>5198544</v>
      </c>
      <c r="V31" s="4">
        <f ca="1">_xll.DBRW($B$1,$B$2,$B$7,$B$3,$B$4,$B$5,$F31,$B$6,V$10,$A31,$B31)</f>
        <v>5726174</v>
      </c>
      <c r="W31" s="4">
        <f ca="1">_xll.DBRW($B$1,$B$2,$B$7,$B$3,$B$4,$B$5,$F31,$B$6,W$10,$A31,$B31)</f>
        <v>5498460</v>
      </c>
      <c r="X31" s="4">
        <f ca="1">_xll.DBRW($B$1,$B$2,$B$7,$B$3,$B$4,$B$5,$F31,$B$6,X$10,$A31,$B31)</f>
        <v>5748390</v>
      </c>
      <c r="Y31" s="4">
        <f ca="1">_xll.DBRW($B$1,$B$2,$B$7,$B$3,$B$4,$B$5,$F31,$B$6,Y$10,$A31,$B31)</f>
        <v>5504014</v>
      </c>
      <c r="Z31" s="4">
        <f ca="1">_xll.DBRW($B$1,$B$2,$B$7,$B$3,$B$4,$B$5,$F31,$B$6,Z$10,$A31,$B31)</f>
        <v>5670634</v>
      </c>
      <c r="AA31" s="4">
        <f ca="1">_xll.DBRW($B$1,$B$2,$B$7,$B$3,$B$4,$B$5,$F31,$B$6,AA$10,$A31,$B31)</f>
        <v>5753944</v>
      </c>
      <c r="AB31" s="4">
        <f ca="1">_xll.DBRW($B$1,$B$2,$B$7,$B$3,$B$4,$B$5,$F31,$B$6,AB$10,$A31,$B31)</f>
        <v>5498460</v>
      </c>
      <c r="AC31" s="4">
        <f ca="1">_xll.DBRW($B$1,$B$2,$B$7,$B$3,$B$4,$B$5,$F31,$B$6,AC$10,$A31,$B31)</f>
        <v>5753944</v>
      </c>
      <c r="AD31" s="4">
        <f ca="1">_xll.DBRW($B$1,$B$2,$B$7,$B$3,$B$4,$B$5,$F31,$B$6,AD$10,$A31,$B31)</f>
        <v>5554000</v>
      </c>
      <c r="AE31" s="4">
        <f ca="1">_xll.DBRW($B$1,$B$2,$B$7,$B$3,$B$4,$B$5,$F31,$B$6,AE$10,$A31,$B31)</f>
        <v>5792822</v>
      </c>
    </row>
    <row r="32" spans="1:31">
      <c r="A32" s="1" t="s">
        <v>152</v>
      </c>
      <c r="B32" s="5" t="s">
        <v>41</v>
      </c>
      <c r="C32" s="5" t="s">
        <v>37</v>
      </c>
      <c r="D32" s="5" t="s">
        <v>38</v>
      </c>
      <c r="E32" s="5" t="s">
        <v>21</v>
      </c>
      <c r="F32" s="5" t="s">
        <v>22</v>
      </c>
      <c r="G32" s="6"/>
      <c r="H32" s="6"/>
      <c r="I32" s="6"/>
      <c r="J32" s="6"/>
      <c r="K32" s="6"/>
      <c r="L32" s="4">
        <f ca="1">_xll.DBRW($B$1,$B$2,$B$7,$B$3,$B$4,$B$5,$F32,$B$6,L$10,$A32,$B32)</f>
        <v>6176048</v>
      </c>
      <c r="M32" s="4">
        <f ca="1">_xll.DBRW($B$1,$B$2,$B$7,$B$3,$B$4,$B$5,$F32,$B$6,M$10,$A32,$B32)</f>
        <v>5931672</v>
      </c>
      <c r="N32" s="4">
        <f ca="1">_xll.DBRW($B$1,$B$2,$B$7,$B$3,$B$4,$B$5,$F32,$B$6,N$10,$A32,$B32)</f>
        <v>5865024</v>
      </c>
      <c r="O32" s="4">
        <f ca="1">_xll.DBRW($B$1,$B$2,$B$7,$B$3,$B$4,$B$5,$F32,$B$6,O$10,$A32,$B32)</f>
        <v>6037198</v>
      </c>
      <c r="P32" s="4">
        <f ca="1">_xll.DBRW($B$1,$B$2,$B$7,$B$3,$B$4,$B$5,$F32,$B$6,P$10,$A32,$B32)</f>
        <v>5865024</v>
      </c>
      <c r="Q32" s="4">
        <f ca="1">_xll.DBRW($B$1,$B$2,$B$7,$B$3,$B$4,$B$5,$F32,$B$6,Q$10,$A32,$B32)</f>
        <v>6087184</v>
      </c>
      <c r="R32" s="4">
        <f ca="1">_xll.DBRW($B$1,$B$2,$B$7,$B$3,$B$4,$B$5,$F32,$B$6,R$10,$A32,$B32)</f>
        <v>6109400</v>
      </c>
      <c r="S32" s="4">
        <f ca="1">_xll.DBRW($B$1,$B$2,$B$7,$B$3,$B$4,$B$5,$F32,$B$6,S$10,$A32,$B32)</f>
        <v>6131616</v>
      </c>
      <c r="T32" s="4">
        <f ca="1">_xll.DBRW($B$1,$B$2,$B$7,$B$3,$B$4,$B$5,$F32,$B$6,T$10,$A32,$B32)</f>
        <v>5398488</v>
      </c>
      <c r="U32" s="4">
        <f ca="1">_xll.DBRW($B$1,$B$2,$B$7,$B$3,$B$4,$B$5,$F32,$B$6,U$10,$A32,$B32)</f>
        <v>4865304</v>
      </c>
      <c r="V32" s="4">
        <f ca="1">_xll.DBRW($B$1,$B$2,$B$7,$B$3,$B$4,$B$5,$F32,$B$6,V$10,$A32,$B32)</f>
        <v>5531784</v>
      </c>
      <c r="W32" s="4">
        <f ca="1">_xll.DBRW($B$1,$B$2,$B$7,$B$3,$B$4,$B$5,$F32,$B$6,W$10,$A32,$B32)</f>
        <v>6076076</v>
      </c>
      <c r="X32" s="4">
        <f ca="1">_xll.DBRW($B$1,$B$2,$B$7,$B$3,$B$4,$B$5,$F32,$B$6,X$10,$A32,$B32)</f>
        <v>6398208</v>
      </c>
      <c r="Y32" s="4">
        <f ca="1">_xll.DBRW($B$1,$B$2,$B$7,$B$3,$B$4,$B$5,$F32,$B$6,Y$10,$A32,$B32)</f>
        <v>6153832</v>
      </c>
      <c r="Z32" s="4">
        <f ca="1">_xll.DBRW($B$1,$B$2,$B$7,$B$3,$B$4,$B$5,$F32,$B$6,Z$10,$A32,$B32)</f>
        <v>6320452</v>
      </c>
      <c r="AA32" s="4">
        <f ca="1">_xll.DBRW($B$1,$B$2,$B$7,$B$3,$B$4,$B$5,$F32,$B$6,AA$10,$A32,$B32)</f>
        <v>6331560</v>
      </c>
      <c r="AB32" s="4">
        <f ca="1">_xll.DBRW($B$1,$B$2,$B$7,$B$3,$B$4,$B$5,$F32,$B$6,AB$10,$A32,$B32)</f>
        <v>6148278</v>
      </c>
      <c r="AC32" s="4">
        <f ca="1">_xll.DBRW($B$1,$B$2,$B$7,$B$3,$B$4,$B$5,$F32,$B$6,AC$10,$A32,$B32)</f>
        <v>6109400</v>
      </c>
      <c r="AD32" s="4">
        <f ca="1">_xll.DBRW($B$1,$B$2,$B$7,$B$3,$B$4,$B$5,$F32,$B$6,AD$10,$A32,$B32)</f>
        <v>5287408</v>
      </c>
      <c r="AE32" s="4">
        <f ca="1">_xll.DBRW($B$1,$B$2,$B$7,$B$3,$B$4,$B$5,$F32,$B$6,AE$10,$A32,$B32)</f>
        <v>5304070</v>
      </c>
    </row>
    <row r="33" spans="1:31">
      <c r="A33" s="1" t="s">
        <v>152</v>
      </c>
      <c r="B33" s="5" t="s">
        <v>175</v>
      </c>
      <c r="C33" s="5" t="s">
        <v>159</v>
      </c>
      <c r="D33" s="5" t="s">
        <v>21</v>
      </c>
      <c r="E33" s="5" t="s">
        <v>38</v>
      </c>
      <c r="F33" s="5" t="s">
        <v>22</v>
      </c>
      <c r="G33" s="6"/>
      <c r="H33" s="6"/>
      <c r="I33" s="6"/>
      <c r="J33" s="6"/>
      <c r="K33" s="6"/>
      <c r="L33" s="4">
        <f ca="1">_xll.DBRW($B$1,$B$2,$B$7,$B$3,$B$4,$B$5,$F33,$B$6,L$10,$A33,$B33)</f>
        <v>2260478</v>
      </c>
      <c r="M33" s="4">
        <f ca="1">_xll.DBRW($B$1,$B$2,$B$7,$B$3,$B$4,$B$5,$F33,$B$6,M$10,$A33,$B33)</f>
        <v>5598432</v>
      </c>
      <c r="N33" s="4">
        <f ca="1">_xll.DBRW($B$1,$B$2,$B$7,$B$3,$B$4,$B$5,$F33,$B$6,N$10,$A33,$B33)</f>
        <v>5831700</v>
      </c>
      <c r="O33" s="4">
        <f ca="1">_xll.DBRW($B$1,$B$2,$B$7,$B$3,$B$4,$B$5,$F33,$B$6,O$10,$A33,$B33)</f>
        <v>5776160</v>
      </c>
      <c r="P33" s="4">
        <f ca="1">_xll.DBRW($B$1,$B$2,$B$7,$B$3,$B$4,$B$5,$F33,$B$6,P$10,$A33,$B33)</f>
        <v>5598432</v>
      </c>
      <c r="Q33" s="4">
        <f ca="1">_xll.DBRW($B$1,$B$2,$B$7,$B$3,$B$4,$B$5,$F33,$B$6,Q$10,$A33,$B33)</f>
        <v>4887520</v>
      </c>
      <c r="R33" s="4">
        <f ca="1">_xll.DBRW($B$1,$B$2,$B$7,$B$3,$B$4,$B$5,$F33,$B$6,R$10,$A33,$B33)</f>
        <v>0</v>
      </c>
      <c r="S33" s="4">
        <f ca="1">_xll.DBRW($B$1,$B$2,$B$7,$B$3,$B$4,$B$5,$F33,$B$6,S$10,$A33,$B33)</f>
        <v>0</v>
      </c>
      <c r="T33" s="4">
        <f ca="1">_xll.DBRW($B$1,$B$2,$B$7,$B$3,$B$4,$B$5,$F33,$B$6,T$10,$A33,$B33)</f>
        <v>0</v>
      </c>
      <c r="U33" s="4">
        <f ca="1">_xll.DBRW($B$1,$B$2,$B$7,$B$3,$B$4,$B$5,$F33,$B$6,U$10,$A33,$B33)</f>
        <v>0</v>
      </c>
      <c r="V33" s="4">
        <f ca="1">_xll.DBRW($B$1,$B$2,$B$7,$B$3,$B$4,$B$5,$F33,$B$6,V$10,$A33,$B33)</f>
        <v>344348</v>
      </c>
      <c r="W33" s="4">
        <f ca="1">_xll.DBRW($B$1,$B$2,$B$7,$B$3,$B$4,$B$5,$F33,$B$6,W$10,$A33,$B33)</f>
        <v>3615654</v>
      </c>
      <c r="X33" s="4">
        <f ca="1">_xll.DBRW($B$1,$B$2,$B$7,$B$3,$B$4,$B$5,$F33,$B$6,X$10,$A33,$B33)</f>
        <v>3787828</v>
      </c>
      <c r="Y33" s="4">
        <f ca="1">_xll.DBRW($B$1,$B$2,$B$7,$B$3,$B$4,$B$5,$F33,$B$6,Y$10,$A33,$B33)</f>
        <v>3787828</v>
      </c>
      <c r="Z33" s="4">
        <f ca="1">_xll.DBRW($B$1,$B$2,$B$7,$B$3,$B$4,$B$5,$F33,$B$6,Z$10,$A33,$B33)</f>
        <v>3787828</v>
      </c>
      <c r="AA33" s="4">
        <f ca="1">_xll.DBRW($B$1,$B$2,$B$7,$B$3,$B$4,$B$5,$F33,$B$6,AA$10,$A33,$B33)</f>
        <v>3787828</v>
      </c>
      <c r="AB33" s="4">
        <f ca="1">_xll.DBRW($B$1,$B$2,$B$7,$B$3,$B$4,$B$5,$F33,$B$6,AB$10,$A33,$B33)</f>
        <v>3787828</v>
      </c>
      <c r="AC33" s="4">
        <f ca="1">_xll.DBRW($B$1,$B$2,$B$7,$B$3,$B$4,$B$5,$F33,$B$6,AC$10,$A33,$B33)</f>
        <v>2754784</v>
      </c>
      <c r="AD33" s="4">
        <f ca="1">_xll.DBRW($B$1,$B$2,$B$7,$B$3,$B$4,$B$5,$F33,$B$6,AD$10,$A33,$B33)</f>
        <v>0</v>
      </c>
      <c r="AE33" s="4">
        <f ca="1">_xll.DBRW($B$1,$B$2,$B$7,$B$3,$B$4,$B$5,$F33,$B$6,AE$10,$A33,$B33)</f>
        <v>0</v>
      </c>
    </row>
    <row r="34" spans="1:31">
      <c r="A34" s="1" t="s">
        <v>152</v>
      </c>
      <c r="B34" s="5" t="s">
        <v>42</v>
      </c>
      <c r="C34" s="5" t="s">
        <v>37</v>
      </c>
      <c r="D34" s="5" t="s">
        <v>38</v>
      </c>
      <c r="E34" s="5" t="s">
        <v>21</v>
      </c>
      <c r="F34" s="5" t="s">
        <v>22</v>
      </c>
      <c r="G34" s="6"/>
      <c r="H34" s="6"/>
      <c r="I34" s="6"/>
      <c r="J34" s="6"/>
      <c r="K34" s="6"/>
      <c r="L34" s="4">
        <f ca="1">_xll.DBRW($B$1,$B$2,$B$7,$B$3,$B$4,$B$5,$F34,$B$6,L$10,$A34,$B34)</f>
        <v>2360450</v>
      </c>
      <c r="M34" s="4">
        <f ca="1">_xll.DBRW($B$1,$B$2,$B$7,$B$3,$B$4,$B$5,$F34,$B$6,M$10,$A34,$B34)</f>
        <v>5815038</v>
      </c>
      <c r="N34" s="4">
        <f ca="1">_xll.DBRW($B$1,$B$2,$B$7,$B$3,$B$4,$B$5,$F34,$B$6,N$10,$A34,$B34)</f>
        <v>5848362</v>
      </c>
      <c r="O34" s="4">
        <f ca="1">_xll.DBRW($B$1,$B$2,$B$7,$B$3,$B$4,$B$5,$F34,$B$6,O$10,$A34,$B34)</f>
        <v>6126062</v>
      </c>
      <c r="P34" s="4">
        <f ca="1">_xll.DBRW($B$1,$B$2,$B$7,$B$3,$B$4,$B$5,$F34,$B$6,P$10,$A34,$B34)</f>
        <v>7131336</v>
      </c>
      <c r="Q34" s="4">
        <f ca="1">_xll.DBRW($B$1,$B$2,$B$7,$B$3,$B$4,$B$5,$F34,$B$6,Q$10,$A34,$B34)</f>
        <v>6220480</v>
      </c>
      <c r="R34" s="4">
        <f ca="1">_xll.DBRW($B$1,$B$2,$B$7,$B$3,$B$4,$B$5,$F34,$B$6,R$10,$A34,$B34)</f>
        <v>0</v>
      </c>
      <c r="S34" s="4">
        <f ca="1">_xll.DBRW($B$1,$B$2,$B$7,$B$3,$B$4,$B$5,$F34,$B$6,S$10,$A34,$B34)</f>
        <v>0</v>
      </c>
      <c r="T34" s="4">
        <f ca="1">_xll.DBRW($B$1,$B$2,$B$7,$B$3,$B$4,$B$5,$F34,$B$6,T$10,$A34,$B34)</f>
        <v>0</v>
      </c>
      <c r="U34" s="4">
        <f ca="1">_xll.DBRW($B$1,$B$2,$B$7,$B$3,$B$4,$B$5,$F34,$B$6,U$10,$A34,$B34)</f>
        <v>0</v>
      </c>
      <c r="V34" s="4">
        <f ca="1">_xll.DBRW($B$1,$B$2,$B$7,$B$3,$B$4,$B$5,$F34,$B$6,V$10,$A34,$B34)</f>
        <v>344348</v>
      </c>
      <c r="W34" s="4">
        <f ca="1">_xll.DBRW($B$1,$B$2,$B$7,$B$3,$B$4,$B$5,$F34,$B$6,W$10,$A34,$B34)</f>
        <v>3615654</v>
      </c>
      <c r="X34" s="4">
        <f ca="1">_xll.DBRW($B$1,$B$2,$B$7,$B$3,$B$4,$B$5,$F34,$B$6,X$10,$A34,$B34)</f>
        <v>3787828</v>
      </c>
      <c r="Y34" s="4">
        <f ca="1">_xll.DBRW($B$1,$B$2,$B$7,$B$3,$B$4,$B$5,$F34,$B$6,Y$10,$A34,$B34)</f>
        <v>3787828</v>
      </c>
      <c r="Z34" s="4">
        <f ca="1">_xll.DBRW($B$1,$B$2,$B$7,$B$3,$B$4,$B$5,$F34,$B$6,Z$10,$A34,$B34)</f>
        <v>3787828</v>
      </c>
      <c r="AA34" s="4">
        <f ca="1">_xll.DBRW($B$1,$B$2,$B$7,$B$3,$B$4,$B$5,$F34,$B$6,AA$10,$A34,$B34)</f>
        <v>3787828</v>
      </c>
      <c r="AB34" s="4">
        <f ca="1">_xll.DBRW($B$1,$B$2,$B$7,$B$3,$B$4,$B$5,$F34,$B$6,AB$10,$A34,$B34)</f>
        <v>3787828</v>
      </c>
      <c r="AC34" s="4">
        <f ca="1">_xll.DBRW($B$1,$B$2,$B$7,$B$3,$B$4,$B$5,$F34,$B$6,AC$10,$A34,$B34)</f>
        <v>2754784</v>
      </c>
      <c r="AD34" s="4">
        <f ca="1">_xll.DBRW($B$1,$B$2,$B$7,$B$3,$B$4,$B$5,$F34,$B$6,AD$10,$A34,$B34)</f>
        <v>0</v>
      </c>
      <c r="AE34" s="4">
        <f ca="1">_xll.DBRW($B$1,$B$2,$B$7,$B$3,$B$4,$B$5,$F34,$B$6,AE$10,$A34,$B34)</f>
        <v>0</v>
      </c>
    </row>
    <row r="35" spans="1:31">
      <c r="A35" s="1" t="s">
        <v>152</v>
      </c>
      <c r="B35" s="5" t="s">
        <v>176</v>
      </c>
      <c r="C35" s="5" t="s">
        <v>177</v>
      </c>
      <c r="D35" s="5" t="s">
        <v>28</v>
      </c>
      <c r="E35" s="5" t="s">
        <v>59</v>
      </c>
      <c r="F35" s="5" t="s">
        <v>22</v>
      </c>
      <c r="G35" s="6"/>
      <c r="H35" s="6"/>
      <c r="I35" s="6"/>
      <c r="J35" s="6"/>
      <c r="K35" s="6"/>
      <c r="L35" s="4">
        <f ca="1">_xll.DBRW($B$1,$B$2,$B$7,$B$3,$B$4,$B$5,$F35,$B$6,L$10,$A35,$B35)</f>
        <v>2399584</v>
      </c>
      <c r="M35" s="4">
        <f ca="1">_xll.DBRW($B$1,$B$2,$B$7,$B$3,$B$4,$B$5,$F35,$B$6,M$10,$A35,$B35)</f>
        <v>1963296</v>
      </c>
      <c r="N35" s="4">
        <f ca="1">_xll.DBRW($B$1,$B$2,$B$7,$B$3,$B$4,$B$5,$F35,$B$6,N$10,$A35,$B35)</f>
        <v>2290512</v>
      </c>
      <c r="O35" s="4">
        <f ca="1">_xll.DBRW($B$1,$B$2,$B$7,$B$3,$B$4,$B$5,$F35,$B$6,O$10,$A35,$B35)</f>
        <v>2399584</v>
      </c>
      <c r="P35" s="4">
        <f ca="1">_xll.DBRW($B$1,$B$2,$B$7,$B$3,$B$4,$B$5,$F35,$B$6,P$10,$A35,$B35)</f>
        <v>2072368</v>
      </c>
      <c r="Q35" s="4">
        <f ca="1">_xll.DBRW($B$1,$B$2,$B$7,$B$3,$B$4,$B$5,$F35,$B$6,Q$10,$A35,$B35)</f>
        <v>2910859</v>
      </c>
      <c r="R35" s="4">
        <f ca="1">_xll.DBRW($B$1,$B$2,$B$7,$B$3,$B$4,$B$5,$F35,$B$6,R$10,$A35,$B35)</f>
        <v>6196653</v>
      </c>
      <c r="S35" s="4">
        <f ca="1">_xll.DBRW($B$1,$B$2,$B$7,$B$3,$B$4,$B$5,$F35,$B$6,S$10,$A35,$B35)</f>
        <v>6394346</v>
      </c>
      <c r="T35" s="4">
        <f ca="1">_xll.DBRW($B$1,$B$2,$B$7,$B$3,$B$4,$B$5,$F35,$B$6,T$10,$A35,$B35)</f>
        <v>3381232</v>
      </c>
      <c r="U35" s="4">
        <f ca="1">_xll.DBRW($B$1,$B$2,$B$7,$B$3,$B$4,$B$5,$F35,$B$6,U$10,$A35,$B35)</f>
        <v>3054016</v>
      </c>
      <c r="V35" s="4">
        <f ca="1">_xll.DBRW($B$1,$B$2,$B$7,$B$3,$B$4,$B$5,$F35,$B$6,V$10,$A35,$B35)</f>
        <v>3585742</v>
      </c>
      <c r="W35" s="4">
        <f ca="1">_xll.DBRW($B$1,$B$2,$B$7,$B$3,$B$4,$B$5,$F35,$B$6,W$10,$A35,$B35)</f>
        <v>4499220</v>
      </c>
      <c r="X35" s="4">
        <f ca="1">_xll.DBRW($B$1,$B$2,$B$7,$B$3,$B$4,$B$5,$F35,$B$6,X$10,$A35,$B35)</f>
        <v>4710547</v>
      </c>
      <c r="Y35" s="4">
        <f ca="1">_xll.DBRW($B$1,$B$2,$B$7,$B$3,$B$4,$B$5,$F35,$B$6,Y$10,$A35,$B35)</f>
        <v>4703730</v>
      </c>
      <c r="Z35" s="4">
        <f ca="1">_xll.DBRW($B$1,$B$2,$B$7,$B$3,$B$4,$B$5,$F35,$B$6,Z$10,$A35,$B35)</f>
        <v>4710547</v>
      </c>
      <c r="AA35" s="4">
        <f ca="1">_xll.DBRW($B$1,$B$2,$B$7,$B$3,$B$4,$B$5,$F35,$B$6,AA$10,$A35,$B35)</f>
        <v>4710547</v>
      </c>
      <c r="AB35" s="4">
        <f ca="1">_xll.DBRW($B$1,$B$2,$B$7,$B$3,$B$4,$B$5,$F35,$B$6,AB$10,$A35,$B35)</f>
        <v>4601475</v>
      </c>
      <c r="AC35" s="4">
        <f ca="1">_xll.DBRW($B$1,$B$2,$B$7,$B$3,$B$4,$B$5,$F35,$B$6,AC$10,$A35,$B35)</f>
        <v>4403782</v>
      </c>
      <c r="AD35" s="4">
        <f ca="1">_xll.DBRW($B$1,$B$2,$B$7,$B$3,$B$4,$B$5,$F35,$B$6,AD$10,$A35,$B35)</f>
        <v>3272160</v>
      </c>
      <c r="AE35" s="4">
        <f ca="1">_xll.DBRW($B$1,$B$2,$B$7,$B$3,$B$4,$B$5,$F35,$B$6,AE$10,$A35,$B35)</f>
        <v>3381232</v>
      </c>
    </row>
    <row r="36" spans="1:31">
      <c r="A36" s="1" t="s">
        <v>152</v>
      </c>
      <c r="B36" s="5" t="s">
        <v>64</v>
      </c>
      <c r="C36" s="5" t="s">
        <v>65</v>
      </c>
      <c r="D36" s="5" t="s">
        <v>59</v>
      </c>
      <c r="E36" s="5" t="s">
        <v>28</v>
      </c>
      <c r="F36" s="5" t="s">
        <v>22</v>
      </c>
      <c r="G36" s="6"/>
      <c r="H36" s="6"/>
      <c r="I36" s="6"/>
      <c r="J36" s="6"/>
      <c r="K36" s="6"/>
      <c r="L36" s="4">
        <f ca="1">_xll.DBRW($B$1,$B$2,$B$7,$B$3,$B$4,$B$5,$F36,$B$6,L$10,$A36,$B36)</f>
        <v>2399584</v>
      </c>
      <c r="M36" s="4">
        <f ca="1">_xll.DBRW($B$1,$B$2,$B$7,$B$3,$B$4,$B$5,$F36,$B$6,M$10,$A36,$B36)</f>
        <v>2399584</v>
      </c>
      <c r="N36" s="4">
        <f ca="1">_xll.DBRW($B$1,$B$2,$B$7,$B$3,$B$4,$B$5,$F36,$B$6,N$10,$A36,$B36)</f>
        <v>2399584</v>
      </c>
      <c r="O36" s="4">
        <f ca="1">_xll.DBRW($B$1,$B$2,$B$7,$B$3,$B$4,$B$5,$F36,$B$6,O$10,$A36,$B36)</f>
        <v>2399584</v>
      </c>
      <c r="P36" s="4">
        <f ca="1">_xll.DBRW($B$1,$B$2,$B$7,$B$3,$B$4,$B$5,$F36,$B$6,P$10,$A36,$B36)</f>
        <v>2399584</v>
      </c>
      <c r="Q36" s="4">
        <f ca="1">_xll.DBRW($B$1,$B$2,$B$7,$B$3,$B$4,$B$5,$F36,$B$6,Q$10,$A36,$B36)</f>
        <v>3033565</v>
      </c>
      <c r="R36" s="4">
        <f ca="1">_xll.DBRW($B$1,$B$2,$B$7,$B$3,$B$4,$B$5,$F36,$B$6,R$10,$A36,$B36)</f>
        <v>6183019</v>
      </c>
      <c r="S36" s="4">
        <f ca="1">_xll.DBRW($B$1,$B$2,$B$7,$B$3,$B$4,$B$5,$F36,$B$6,S$10,$A36,$B36)</f>
        <v>6394346</v>
      </c>
      <c r="T36" s="4">
        <f ca="1">_xll.DBRW($B$1,$B$2,$B$7,$B$3,$B$4,$B$5,$F36,$B$6,T$10,$A36,$B36)</f>
        <v>3381232</v>
      </c>
      <c r="U36" s="4">
        <f ca="1">_xll.DBRW($B$1,$B$2,$B$7,$B$3,$B$4,$B$5,$F36,$B$6,U$10,$A36,$B36)</f>
        <v>3054016</v>
      </c>
      <c r="V36" s="4">
        <f ca="1">_xll.DBRW($B$1,$B$2,$B$7,$B$3,$B$4,$B$5,$F36,$B$6,V$10,$A36,$B36)</f>
        <v>3585742</v>
      </c>
      <c r="W36" s="4">
        <f ca="1">_xll.DBRW($B$1,$B$2,$B$7,$B$3,$B$4,$B$5,$F36,$B$6,W$10,$A36,$B36)</f>
        <v>5010495</v>
      </c>
      <c r="X36" s="4">
        <f ca="1">_xll.DBRW($B$1,$B$2,$B$7,$B$3,$B$4,$B$5,$F36,$B$6,X$10,$A36,$B36)</f>
        <v>5119567</v>
      </c>
      <c r="Y36" s="4">
        <f ca="1">_xll.DBRW($B$1,$B$2,$B$7,$B$3,$B$4,$B$5,$F36,$B$6,Y$10,$A36,$B36)</f>
        <v>5112750</v>
      </c>
      <c r="Z36" s="4">
        <f ca="1">_xll.DBRW($B$1,$B$2,$B$7,$B$3,$B$4,$B$5,$F36,$B$6,Z$10,$A36,$B36)</f>
        <v>5119567</v>
      </c>
      <c r="AA36" s="4">
        <f ca="1">_xll.DBRW($B$1,$B$2,$B$7,$B$3,$B$4,$B$5,$F36,$B$6,AA$10,$A36,$B36)</f>
        <v>5221822</v>
      </c>
      <c r="AB36" s="4">
        <f ca="1">_xll.DBRW($B$1,$B$2,$B$7,$B$3,$B$4,$B$5,$F36,$B$6,AB$10,$A36,$B36)</f>
        <v>5010495</v>
      </c>
      <c r="AC36" s="4">
        <f ca="1">_xll.DBRW($B$1,$B$2,$B$7,$B$3,$B$4,$B$5,$F36,$B$6,AC$10,$A36,$B36)</f>
        <v>4601475</v>
      </c>
      <c r="AD36" s="4">
        <f ca="1">_xll.DBRW($B$1,$B$2,$B$7,$B$3,$B$4,$B$5,$F36,$B$6,AD$10,$A36,$B36)</f>
        <v>3272160</v>
      </c>
      <c r="AE36" s="4">
        <f ca="1">_xll.DBRW($B$1,$B$2,$B$7,$B$3,$B$4,$B$5,$F36,$B$6,AE$10,$A36,$B36)</f>
        <v>3272160</v>
      </c>
    </row>
    <row r="37" spans="1:31">
      <c r="A37" s="1" t="s">
        <v>152</v>
      </c>
      <c r="B37" s="5" t="s">
        <v>178</v>
      </c>
      <c r="C37" s="5" t="s">
        <v>177</v>
      </c>
      <c r="D37" s="5" t="s">
        <v>28</v>
      </c>
      <c r="E37" s="5" t="s">
        <v>59</v>
      </c>
      <c r="F37" s="5" t="s">
        <v>22</v>
      </c>
      <c r="G37" s="6"/>
      <c r="H37" s="6"/>
      <c r="I37" s="6"/>
      <c r="J37" s="6"/>
      <c r="K37" s="6"/>
      <c r="L37" s="4">
        <f ca="1">_xll.DBRW($B$1,$B$2,$B$7,$B$3,$B$4,$B$5,$F37,$B$6,L$10,$A37,$B37)</f>
        <v>5630842</v>
      </c>
      <c r="M37" s="4">
        <f ca="1">_xll.DBRW($B$1,$B$2,$B$7,$B$3,$B$4,$B$5,$F37,$B$6,M$10,$A37,$B37)</f>
        <v>3837971</v>
      </c>
      <c r="N37" s="4">
        <f ca="1">_xll.DBRW($B$1,$B$2,$B$7,$B$3,$B$4,$B$5,$F37,$B$6,N$10,$A37,$B37)</f>
        <v>4390148</v>
      </c>
      <c r="O37" s="4">
        <f ca="1">_xll.DBRW($B$1,$B$2,$B$7,$B$3,$B$4,$B$5,$F37,$B$6,O$10,$A37,$B37)</f>
        <v>4710547</v>
      </c>
      <c r="P37" s="4">
        <f ca="1">_xll.DBRW($B$1,$B$2,$B$7,$B$3,$B$4,$B$5,$F37,$B$6,P$10,$A37,$B37)</f>
        <v>3756167</v>
      </c>
      <c r="Q37" s="4">
        <f ca="1">_xll.DBRW($B$1,$B$2,$B$7,$B$3,$B$4,$B$5,$F37,$B$6,Q$10,$A37,$B37)</f>
        <v>3538023</v>
      </c>
      <c r="R37" s="4">
        <f ca="1">_xll.DBRW($B$1,$B$2,$B$7,$B$3,$B$4,$B$5,$F37,$B$6,R$10,$A37,$B37)</f>
        <v>0</v>
      </c>
      <c r="S37" s="4">
        <f ca="1">_xll.DBRW($B$1,$B$2,$B$7,$B$3,$B$4,$B$5,$F37,$B$6,S$10,$A37,$B37)</f>
        <v>0</v>
      </c>
      <c r="T37" s="4">
        <f ca="1">_xll.DBRW($B$1,$B$2,$B$7,$B$3,$B$4,$B$5,$F37,$B$6,T$10,$A37,$B37)</f>
        <v>0</v>
      </c>
      <c r="U37" s="4">
        <f ca="1">_xll.DBRW($B$1,$B$2,$B$7,$B$3,$B$4,$B$5,$F37,$B$6,U$10,$A37,$B37)</f>
        <v>0</v>
      </c>
      <c r="V37" s="4">
        <f ca="1">_xll.DBRW($B$1,$B$2,$B$7,$B$3,$B$4,$B$5,$F37,$B$6,V$10,$A37,$B37)</f>
        <v>0</v>
      </c>
      <c r="W37" s="4">
        <f ca="1">_xll.DBRW($B$1,$B$2,$B$7,$B$3,$B$4,$B$5,$F37,$B$6,W$10,$A37,$B37)</f>
        <v>981648</v>
      </c>
      <c r="X37" s="4">
        <f ca="1">_xll.DBRW($B$1,$B$2,$B$7,$B$3,$B$4,$B$5,$F37,$B$6,X$10,$A37,$B37)</f>
        <v>981648</v>
      </c>
      <c r="Y37" s="4">
        <f ca="1">_xll.DBRW($B$1,$B$2,$B$7,$B$3,$B$4,$B$5,$F37,$B$6,Y$10,$A37,$B37)</f>
        <v>872576</v>
      </c>
      <c r="Z37" s="4">
        <f ca="1">_xll.DBRW($B$1,$B$2,$B$7,$B$3,$B$4,$B$5,$F37,$B$6,Z$10,$A37,$B37)</f>
        <v>1090720</v>
      </c>
      <c r="AA37" s="4">
        <f ca="1">_xll.DBRW($B$1,$B$2,$B$7,$B$3,$B$4,$B$5,$F37,$B$6,AA$10,$A37,$B37)</f>
        <v>872576</v>
      </c>
      <c r="AB37" s="4">
        <f ca="1">_xll.DBRW($B$1,$B$2,$B$7,$B$3,$B$4,$B$5,$F37,$B$6,AB$10,$A37,$B37)</f>
        <v>981648</v>
      </c>
      <c r="AC37" s="4">
        <f ca="1">_xll.DBRW($B$1,$B$2,$B$7,$B$3,$B$4,$B$5,$F37,$B$6,AC$10,$A37,$B37)</f>
        <v>763504</v>
      </c>
      <c r="AD37" s="4">
        <f ca="1">_xll.DBRW($B$1,$B$2,$B$7,$B$3,$B$4,$B$5,$F37,$B$6,AD$10,$A37,$B37)</f>
        <v>0</v>
      </c>
      <c r="AE37" s="4">
        <f ca="1">_xll.DBRW($B$1,$B$2,$B$7,$B$3,$B$4,$B$5,$F37,$B$6,AE$10,$A37,$B37)</f>
        <v>0</v>
      </c>
    </row>
    <row r="38" spans="1:31">
      <c r="A38" s="1" t="s">
        <v>152</v>
      </c>
      <c r="B38" s="5" t="s">
        <v>66</v>
      </c>
      <c r="C38" s="5" t="s">
        <v>65</v>
      </c>
      <c r="D38" s="5" t="s">
        <v>59</v>
      </c>
      <c r="E38" s="5" t="s">
        <v>28</v>
      </c>
      <c r="F38" s="5" t="s">
        <v>22</v>
      </c>
      <c r="G38" s="6"/>
      <c r="H38" s="6"/>
      <c r="I38" s="6"/>
      <c r="J38" s="6"/>
      <c r="K38" s="6"/>
      <c r="L38" s="4">
        <f ca="1">_xll.DBRW($B$1,$B$2,$B$7,$B$3,$B$4,$B$5,$F38,$B$6,L$10,$A38,$B38)</f>
        <v>5528587</v>
      </c>
      <c r="M38" s="4">
        <f ca="1">_xll.DBRW($B$1,$B$2,$B$7,$B$3,$B$4,$B$5,$F38,$B$6,M$10,$A38,$B38)</f>
        <v>3613010</v>
      </c>
      <c r="N38" s="4">
        <f ca="1">_xll.DBRW($B$1,$B$2,$B$7,$B$3,$B$4,$B$5,$F38,$B$6,N$10,$A38,$B38)</f>
        <v>4281076</v>
      </c>
      <c r="O38" s="4">
        <f ca="1">_xll.DBRW($B$1,$B$2,$B$7,$B$3,$B$4,$B$5,$F38,$B$6,O$10,$A38,$B38)</f>
        <v>4710547</v>
      </c>
      <c r="P38" s="4">
        <f ca="1">_xll.DBRW($B$1,$B$2,$B$7,$B$3,$B$4,$B$5,$F38,$B$6,P$10,$A38,$B38)</f>
        <v>3428951</v>
      </c>
      <c r="Q38" s="4">
        <f ca="1">_xll.DBRW($B$1,$B$2,$B$7,$B$3,$B$4,$B$5,$F38,$B$6,Q$10,$A38,$B38)</f>
        <v>3428951</v>
      </c>
      <c r="R38" s="4">
        <f ca="1">_xll.DBRW($B$1,$B$2,$B$7,$B$3,$B$4,$B$5,$F38,$B$6,R$10,$A38,$B38)</f>
        <v>0</v>
      </c>
      <c r="S38" s="4">
        <f ca="1">_xll.DBRW($B$1,$B$2,$B$7,$B$3,$B$4,$B$5,$F38,$B$6,S$10,$A38,$B38)</f>
        <v>0</v>
      </c>
      <c r="T38" s="4">
        <f ca="1">_xll.DBRW($B$1,$B$2,$B$7,$B$3,$B$4,$B$5,$F38,$B$6,T$10,$A38,$B38)</f>
        <v>0</v>
      </c>
      <c r="U38" s="4">
        <f ca="1">_xll.DBRW($B$1,$B$2,$B$7,$B$3,$B$4,$B$5,$F38,$B$6,U$10,$A38,$B38)</f>
        <v>0</v>
      </c>
      <c r="V38" s="4">
        <f ca="1">_xll.DBRW($B$1,$B$2,$B$7,$B$3,$B$4,$B$5,$F38,$B$6,V$10,$A38,$B38)</f>
        <v>0</v>
      </c>
      <c r="W38" s="4">
        <f ca="1">_xll.DBRW($B$1,$B$2,$B$7,$B$3,$B$4,$B$5,$F38,$B$6,W$10,$A38,$B38)</f>
        <v>981648</v>
      </c>
      <c r="X38" s="4">
        <f ca="1">_xll.DBRW($B$1,$B$2,$B$7,$B$3,$B$4,$B$5,$F38,$B$6,X$10,$A38,$B38)</f>
        <v>981648</v>
      </c>
      <c r="Y38" s="4">
        <f ca="1">_xll.DBRW($B$1,$B$2,$B$7,$B$3,$B$4,$B$5,$F38,$B$6,Y$10,$A38,$B38)</f>
        <v>872576</v>
      </c>
      <c r="Z38" s="4">
        <f ca="1">_xll.DBRW($B$1,$B$2,$B$7,$B$3,$B$4,$B$5,$F38,$B$6,Z$10,$A38,$B38)</f>
        <v>1090720</v>
      </c>
      <c r="AA38" s="4">
        <f ca="1">_xll.DBRW($B$1,$B$2,$B$7,$B$3,$B$4,$B$5,$F38,$B$6,AA$10,$A38,$B38)</f>
        <v>872576</v>
      </c>
      <c r="AB38" s="4">
        <f ca="1">_xll.DBRW($B$1,$B$2,$B$7,$B$3,$B$4,$B$5,$F38,$B$6,AB$10,$A38,$B38)</f>
        <v>981648</v>
      </c>
      <c r="AC38" s="4">
        <f ca="1">_xll.DBRW($B$1,$B$2,$B$7,$B$3,$B$4,$B$5,$F38,$B$6,AC$10,$A38,$B38)</f>
        <v>763504</v>
      </c>
      <c r="AD38" s="4">
        <f ca="1">_xll.DBRW($B$1,$B$2,$B$7,$B$3,$B$4,$B$5,$F38,$B$6,AD$10,$A38,$B38)</f>
        <v>0</v>
      </c>
      <c r="AE38" s="4">
        <f ca="1">_xll.DBRW($B$1,$B$2,$B$7,$B$3,$B$4,$B$5,$F38,$B$6,AE$10,$A38,$B38)</f>
        <v>0</v>
      </c>
    </row>
    <row r="39" spans="1:31">
      <c r="A39" s="1" t="s">
        <v>152</v>
      </c>
      <c r="B39" s="5" t="s">
        <v>179</v>
      </c>
      <c r="C39" s="5" t="s">
        <v>180</v>
      </c>
      <c r="D39" s="5" t="s">
        <v>28</v>
      </c>
      <c r="E39" s="5" t="s">
        <v>181</v>
      </c>
      <c r="F39" s="5" t="s">
        <v>22</v>
      </c>
      <c r="G39" s="6"/>
      <c r="H39" s="6"/>
      <c r="I39" s="6"/>
      <c r="J39" s="6"/>
      <c r="K39" s="6"/>
      <c r="L39" s="4">
        <f ca="1">_xll.DBRW($B$1,$B$2,$B$7,$B$3,$B$4,$B$5,$F39,$B$6,L$10,$A39,$B39)</f>
        <v>0</v>
      </c>
      <c r="M39" s="4">
        <f ca="1">_xll.DBRW($B$1,$B$2,$B$7,$B$3,$B$4,$B$5,$F39,$B$6,M$10,$A39,$B39)</f>
        <v>0</v>
      </c>
      <c r="N39" s="4">
        <f ca="1">_xll.DBRW($B$1,$B$2,$B$7,$B$3,$B$4,$B$5,$F39,$B$6,N$10,$A39,$B39)</f>
        <v>0</v>
      </c>
      <c r="O39" s="4">
        <f ca="1">_xll.DBRW($B$1,$B$2,$B$7,$B$3,$B$4,$B$5,$F39,$B$6,O$10,$A39,$B39)</f>
        <v>0</v>
      </c>
      <c r="P39" s="4">
        <f ca="1">_xll.DBRW($B$1,$B$2,$B$7,$B$3,$B$4,$B$5,$F39,$B$6,P$10,$A39,$B39)</f>
        <v>0</v>
      </c>
      <c r="Q39" s="4">
        <f ca="1">_xll.DBRW($B$1,$B$2,$B$7,$B$3,$B$4,$B$5,$F39,$B$6,Q$10,$A39,$B39)</f>
        <v>1246014</v>
      </c>
      <c r="R39" s="4">
        <f ca="1">_xll.DBRW($B$1,$B$2,$B$7,$B$3,$B$4,$B$5,$F39,$B$6,R$10,$A39,$B39)</f>
        <v>3530373</v>
      </c>
      <c r="S39" s="4">
        <f ca="1">_xll.DBRW($B$1,$B$2,$B$7,$B$3,$B$4,$B$5,$F39,$B$6,S$10,$A39,$B39)</f>
        <v>3738042</v>
      </c>
      <c r="T39" s="4">
        <f ca="1">_xll.DBRW($B$1,$B$2,$B$7,$B$3,$B$4,$B$5,$F39,$B$6,T$10,$A39,$B39)</f>
        <v>3530373</v>
      </c>
      <c r="U39" s="4">
        <f ca="1">_xll.DBRW($B$1,$B$2,$B$7,$B$3,$B$4,$B$5,$F39,$B$6,U$10,$A39,$B39)</f>
        <v>3322704</v>
      </c>
      <c r="V39" s="4">
        <f ca="1">_xll.DBRW($B$1,$B$2,$B$7,$B$3,$B$4,$B$5,$F39,$B$6,V$10,$A39,$B39)</f>
        <v>3530373</v>
      </c>
      <c r="W39" s="4">
        <f ca="1">_xll.DBRW($B$1,$B$2,$B$7,$B$3,$B$4,$B$5,$F39,$B$6,W$10,$A39,$B39)</f>
        <v>0</v>
      </c>
      <c r="X39" s="4">
        <f ca="1">_xll.DBRW($B$1,$B$2,$B$7,$B$3,$B$4,$B$5,$F39,$B$6,X$10,$A39,$B39)</f>
        <v>0</v>
      </c>
      <c r="Y39" s="4">
        <f ca="1">_xll.DBRW($B$1,$B$2,$B$7,$B$3,$B$4,$B$5,$F39,$B$6,Y$10,$A39,$B39)</f>
        <v>0</v>
      </c>
      <c r="Z39" s="4">
        <f ca="1">_xll.DBRW($B$1,$B$2,$B$7,$B$3,$B$4,$B$5,$F39,$B$6,Z$10,$A39,$B39)</f>
        <v>0</v>
      </c>
      <c r="AA39" s="4">
        <f ca="1">_xll.DBRW($B$1,$B$2,$B$7,$B$3,$B$4,$B$5,$F39,$B$6,AA$10,$A39,$B39)</f>
        <v>0</v>
      </c>
      <c r="AB39" s="4">
        <f ca="1">_xll.DBRW($B$1,$B$2,$B$7,$B$3,$B$4,$B$5,$F39,$B$6,AB$10,$A39,$B39)</f>
        <v>0</v>
      </c>
      <c r="AC39" s="4">
        <f ca="1">_xll.DBRW($B$1,$B$2,$B$7,$B$3,$B$4,$B$5,$F39,$B$6,AC$10,$A39,$B39)</f>
        <v>623007</v>
      </c>
      <c r="AD39" s="4">
        <f ca="1">_xll.DBRW($B$1,$B$2,$B$7,$B$3,$B$4,$B$5,$F39,$B$6,AD$10,$A39,$B39)</f>
        <v>3738042</v>
      </c>
      <c r="AE39" s="4">
        <f ca="1">_xll.DBRW($B$1,$B$2,$B$7,$B$3,$B$4,$B$5,$F39,$B$6,AE$10,$A39,$B39)</f>
        <v>3530373</v>
      </c>
    </row>
    <row r="40" spans="1:31">
      <c r="A40" s="1" t="s">
        <v>152</v>
      </c>
      <c r="B40" s="5" t="s">
        <v>182</v>
      </c>
      <c r="C40" s="5" t="s">
        <v>183</v>
      </c>
      <c r="D40" s="5" t="s">
        <v>181</v>
      </c>
      <c r="E40" s="5" t="s">
        <v>28</v>
      </c>
      <c r="F40" s="5" t="s">
        <v>22</v>
      </c>
      <c r="G40" s="6"/>
      <c r="H40" s="6"/>
      <c r="I40" s="6"/>
      <c r="J40" s="6"/>
      <c r="K40" s="6"/>
      <c r="L40" s="4">
        <f ca="1">_xll.DBRW($B$1,$B$2,$B$7,$B$3,$B$4,$B$5,$F40,$B$6,L$10,$A40,$B40)</f>
        <v>0</v>
      </c>
      <c r="M40" s="4">
        <f ca="1">_xll.DBRW($B$1,$B$2,$B$7,$B$3,$B$4,$B$5,$F40,$B$6,M$10,$A40,$B40)</f>
        <v>0</v>
      </c>
      <c r="N40" s="4">
        <f ca="1">_xll.DBRW($B$1,$B$2,$B$7,$B$3,$B$4,$B$5,$F40,$B$6,N$10,$A40,$B40)</f>
        <v>0</v>
      </c>
      <c r="O40" s="4">
        <f ca="1">_xll.DBRW($B$1,$B$2,$B$7,$B$3,$B$4,$B$5,$F40,$B$6,O$10,$A40,$B40)</f>
        <v>0</v>
      </c>
      <c r="P40" s="4">
        <f ca="1">_xll.DBRW($B$1,$B$2,$B$7,$B$3,$B$4,$B$5,$F40,$B$6,P$10,$A40,$B40)</f>
        <v>0</v>
      </c>
      <c r="Q40" s="4">
        <f ca="1">_xll.DBRW($B$1,$B$2,$B$7,$B$3,$B$4,$B$5,$F40,$B$6,Q$10,$A40,$B40)</f>
        <v>1246014</v>
      </c>
      <c r="R40" s="4">
        <f ca="1">_xll.DBRW($B$1,$B$2,$B$7,$B$3,$B$4,$B$5,$F40,$B$6,R$10,$A40,$B40)</f>
        <v>3530373</v>
      </c>
      <c r="S40" s="4">
        <f ca="1">_xll.DBRW($B$1,$B$2,$B$7,$B$3,$B$4,$B$5,$F40,$B$6,S$10,$A40,$B40)</f>
        <v>3738042</v>
      </c>
      <c r="T40" s="4">
        <f ca="1">_xll.DBRW($B$1,$B$2,$B$7,$B$3,$B$4,$B$5,$F40,$B$6,T$10,$A40,$B40)</f>
        <v>3530373</v>
      </c>
      <c r="U40" s="4">
        <f ca="1">_xll.DBRW($B$1,$B$2,$B$7,$B$3,$B$4,$B$5,$F40,$B$6,U$10,$A40,$B40)</f>
        <v>3322704</v>
      </c>
      <c r="V40" s="4">
        <f ca="1">_xll.DBRW($B$1,$B$2,$B$7,$B$3,$B$4,$B$5,$F40,$B$6,V$10,$A40,$B40)</f>
        <v>3530373</v>
      </c>
      <c r="W40" s="4">
        <f ca="1">_xll.DBRW($B$1,$B$2,$B$7,$B$3,$B$4,$B$5,$F40,$B$6,W$10,$A40,$B40)</f>
        <v>0</v>
      </c>
      <c r="X40" s="4">
        <f ca="1">_xll.DBRW($B$1,$B$2,$B$7,$B$3,$B$4,$B$5,$F40,$B$6,X$10,$A40,$B40)</f>
        <v>0</v>
      </c>
      <c r="Y40" s="4">
        <f ca="1">_xll.DBRW($B$1,$B$2,$B$7,$B$3,$B$4,$B$5,$F40,$B$6,Y$10,$A40,$B40)</f>
        <v>0</v>
      </c>
      <c r="Z40" s="4">
        <f ca="1">_xll.DBRW($B$1,$B$2,$B$7,$B$3,$B$4,$B$5,$F40,$B$6,Z$10,$A40,$B40)</f>
        <v>0</v>
      </c>
      <c r="AA40" s="4">
        <f ca="1">_xll.DBRW($B$1,$B$2,$B$7,$B$3,$B$4,$B$5,$F40,$B$6,AA$10,$A40,$B40)</f>
        <v>0</v>
      </c>
      <c r="AB40" s="4">
        <f ca="1">_xll.DBRW($B$1,$B$2,$B$7,$B$3,$B$4,$B$5,$F40,$B$6,AB$10,$A40,$B40)</f>
        <v>0</v>
      </c>
      <c r="AC40" s="4">
        <f ca="1">_xll.DBRW($B$1,$B$2,$B$7,$B$3,$B$4,$B$5,$F40,$B$6,AC$10,$A40,$B40)</f>
        <v>623007</v>
      </c>
      <c r="AD40" s="4">
        <f ca="1">_xll.DBRW($B$1,$B$2,$B$7,$B$3,$B$4,$B$5,$F40,$B$6,AD$10,$A40,$B40)</f>
        <v>3738042</v>
      </c>
      <c r="AE40" s="4">
        <f ca="1">_xll.DBRW($B$1,$B$2,$B$7,$B$3,$B$4,$B$5,$F40,$B$6,AE$10,$A40,$B40)</f>
        <v>3530373</v>
      </c>
    </row>
    <row r="41" spans="1:31">
      <c r="A41" s="1" t="s">
        <v>152</v>
      </c>
      <c r="B41" s="5" t="s">
        <v>184</v>
      </c>
      <c r="C41" s="5" t="s">
        <v>185</v>
      </c>
      <c r="D41" s="5" t="s">
        <v>28</v>
      </c>
      <c r="E41" s="5" t="s">
        <v>49</v>
      </c>
      <c r="F41" s="5" t="s">
        <v>22</v>
      </c>
      <c r="G41" s="6"/>
      <c r="H41" s="6"/>
      <c r="I41" s="6"/>
      <c r="J41" s="6"/>
      <c r="K41" s="6"/>
      <c r="L41" s="4">
        <f ca="1">_xll.DBRW($B$1,$B$2,$B$7,$B$3,$B$4,$B$5,$F41,$B$6,L$10,$A41,$B41)</f>
        <v>0</v>
      </c>
      <c r="M41" s="4">
        <f ca="1">_xll.DBRW($B$1,$B$2,$B$7,$B$3,$B$4,$B$5,$F41,$B$6,M$10,$A41,$B41)</f>
        <v>1702688</v>
      </c>
      <c r="N41" s="4">
        <f ca="1">_xll.DBRW($B$1,$B$2,$B$7,$B$3,$B$4,$B$5,$F41,$B$6,N$10,$A41,$B41)</f>
        <v>1702688</v>
      </c>
      <c r="O41" s="4">
        <f ca="1">_xll.DBRW($B$1,$B$2,$B$7,$B$3,$B$4,$B$5,$F41,$B$6,O$10,$A41,$B41)</f>
        <v>1702688</v>
      </c>
      <c r="P41" s="4">
        <f ca="1">_xll.DBRW($B$1,$B$2,$B$7,$B$3,$B$4,$B$5,$F41,$B$6,P$10,$A41,$B41)</f>
        <v>1702688</v>
      </c>
      <c r="Q41" s="4">
        <f ca="1">_xll.DBRW($B$1,$B$2,$B$7,$B$3,$B$4,$B$5,$F41,$B$6,Q$10,$A41,$B41)</f>
        <v>1440736</v>
      </c>
      <c r="R41" s="4">
        <f ca="1">_xll.DBRW($B$1,$B$2,$B$7,$B$3,$B$4,$B$5,$F41,$B$6,R$10,$A41,$B41)</f>
        <v>0</v>
      </c>
      <c r="S41" s="4">
        <f ca="1">_xll.DBRW($B$1,$B$2,$B$7,$B$3,$B$4,$B$5,$F41,$B$6,S$10,$A41,$B41)</f>
        <v>0</v>
      </c>
      <c r="T41" s="4">
        <f ca="1">_xll.DBRW($B$1,$B$2,$B$7,$B$3,$B$4,$B$5,$F41,$B$6,T$10,$A41,$B41)</f>
        <v>0</v>
      </c>
      <c r="U41" s="4">
        <f ca="1">_xll.DBRW($B$1,$B$2,$B$7,$B$3,$B$4,$B$5,$F41,$B$6,U$10,$A41,$B41)</f>
        <v>0</v>
      </c>
      <c r="V41" s="4">
        <f ca="1">_xll.DBRW($B$1,$B$2,$B$7,$B$3,$B$4,$B$5,$F41,$B$6,V$10,$A41,$B41)</f>
        <v>130976</v>
      </c>
      <c r="W41" s="4">
        <f ca="1">_xll.DBRW($B$1,$B$2,$B$7,$B$3,$B$4,$B$5,$F41,$B$6,W$10,$A41,$B41)</f>
        <v>1702688</v>
      </c>
      <c r="X41" s="4">
        <f ca="1">_xll.DBRW($B$1,$B$2,$B$7,$B$3,$B$4,$B$5,$F41,$B$6,X$10,$A41,$B41)</f>
        <v>1702688</v>
      </c>
      <c r="Y41" s="4">
        <f ca="1">_xll.DBRW($B$1,$B$2,$B$7,$B$3,$B$4,$B$5,$F41,$B$6,Y$10,$A41,$B41)</f>
        <v>1702688</v>
      </c>
      <c r="Z41" s="4">
        <f ca="1">_xll.DBRW($B$1,$B$2,$B$7,$B$3,$B$4,$B$5,$F41,$B$6,Z$10,$A41,$B41)</f>
        <v>1702688</v>
      </c>
      <c r="AA41" s="4">
        <f ca="1">_xll.DBRW($B$1,$B$2,$B$7,$B$3,$B$4,$B$5,$F41,$B$6,AA$10,$A41,$B41)</f>
        <v>1833664</v>
      </c>
      <c r="AB41" s="4">
        <f ca="1">_xll.DBRW($B$1,$B$2,$B$7,$B$3,$B$4,$B$5,$F41,$B$6,AB$10,$A41,$B41)</f>
        <v>1571712</v>
      </c>
      <c r="AC41" s="4">
        <f ca="1">_xll.DBRW($B$1,$B$2,$B$7,$B$3,$B$4,$B$5,$F41,$B$6,AC$10,$A41,$B41)</f>
        <v>1440736</v>
      </c>
      <c r="AD41" s="4">
        <f ca="1">_xll.DBRW($B$1,$B$2,$B$7,$B$3,$B$4,$B$5,$F41,$B$6,AD$10,$A41,$B41)</f>
        <v>0</v>
      </c>
      <c r="AE41" s="4">
        <f ca="1">_xll.DBRW($B$1,$B$2,$B$7,$B$3,$B$4,$B$5,$F41,$B$6,AE$10,$A41,$B41)</f>
        <v>0</v>
      </c>
    </row>
    <row r="42" spans="1:31">
      <c r="A42" s="1" t="s">
        <v>152</v>
      </c>
      <c r="B42" s="5" t="s">
        <v>50</v>
      </c>
      <c r="C42" s="5" t="s">
        <v>51</v>
      </c>
      <c r="D42" s="5" t="s">
        <v>49</v>
      </c>
      <c r="E42" s="5" t="s">
        <v>28</v>
      </c>
      <c r="F42" s="5" t="s">
        <v>22</v>
      </c>
      <c r="G42" s="6"/>
      <c r="H42" s="6"/>
      <c r="I42" s="6"/>
      <c r="J42" s="6"/>
      <c r="K42" s="6"/>
      <c r="L42" s="4">
        <f ca="1">_xll.DBRW($B$1,$B$2,$B$7,$B$3,$B$4,$B$5,$F42,$B$6,L$10,$A42,$B42)</f>
        <v>0</v>
      </c>
      <c r="M42" s="4">
        <f ca="1">_xll.DBRW($B$1,$B$2,$B$7,$B$3,$B$4,$B$5,$F42,$B$6,M$10,$A42,$B42)</f>
        <v>1702688</v>
      </c>
      <c r="N42" s="4">
        <f ca="1">_xll.DBRW($B$1,$B$2,$B$7,$B$3,$B$4,$B$5,$F42,$B$6,N$10,$A42,$B42)</f>
        <v>1702688</v>
      </c>
      <c r="O42" s="4">
        <f ca="1">_xll.DBRW($B$1,$B$2,$B$7,$B$3,$B$4,$B$5,$F42,$B$6,O$10,$A42,$B42)</f>
        <v>1702688</v>
      </c>
      <c r="P42" s="4">
        <f ca="1">_xll.DBRW($B$1,$B$2,$B$7,$B$3,$B$4,$B$5,$F42,$B$6,P$10,$A42,$B42)</f>
        <v>1702688</v>
      </c>
      <c r="Q42" s="4">
        <f ca="1">_xll.DBRW($B$1,$B$2,$B$7,$B$3,$B$4,$B$5,$F42,$B$6,Q$10,$A42,$B42)</f>
        <v>1440736</v>
      </c>
      <c r="R42" s="4">
        <f ca="1">_xll.DBRW($B$1,$B$2,$B$7,$B$3,$B$4,$B$5,$F42,$B$6,R$10,$A42,$B42)</f>
        <v>0</v>
      </c>
      <c r="S42" s="4">
        <f ca="1">_xll.DBRW($B$1,$B$2,$B$7,$B$3,$B$4,$B$5,$F42,$B$6,S$10,$A42,$B42)</f>
        <v>0</v>
      </c>
      <c r="T42" s="4">
        <f ca="1">_xll.DBRW($B$1,$B$2,$B$7,$B$3,$B$4,$B$5,$F42,$B$6,T$10,$A42,$B42)</f>
        <v>0</v>
      </c>
      <c r="U42" s="4">
        <f ca="1">_xll.DBRW($B$1,$B$2,$B$7,$B$3,$B$4,$B$5,$F42,$B$6,U$10,$A42,$B42)</f>
        <v>0</v>
      </c>
      <c r="V42" s="4">
        <f ca="1">_xll.DBRW($B$1,$B$2,$B$7,$B$3,$B$4,$B$5,$F42,$B$6,V$10,$A42,$B42)</f>
        <v>130976</v>
      </c>
      <c r="W42" s="4">
        <f ca="1">_xll.DBRW($B$1,$B$2,$B$7,$B$3,$B$4,$B$5,$F42,$B$6,W$10,$A42,$B42)</f>
        <v>1702688</v>
      </c>
      <c r="X42" s="4">
        <f ca="1">_xll.DBRW($B$1,$B$2,$B$7,$B$3,$B$4,$B$5,$F42,$B$6,X$10,$A42,$B42)</f>
        <v>1702688</v>
      </c>
      <c r="Y42" s="4">
        <f ca="1">_xll.DBRW($B$1,$B$2,$B$7,$B$3,$B$4,$B$5,$F42,$B$6,Y$10,$A42,$B42)</f>
        <v>1702688</v>
      </c>
      <c r="Z42" s="4">
        <f ca="1">_xll.DBRW($B$1,$B$2,$B$7,$B$3,$B$4,$B$5,$F42,$B$6,Z$10,$A42,$B42)</f>
        <v>1702688</v>
      </c>
      <c r="AA42" s="4">
        <f ca="1">_xll.DBRW($B$1,$B$2,$B$7,$B$3,$B$4,$B$5,$F42,$B$6,AA$10,$A42,$B42)</f>
        <v>1833664</v>
      </c>
      <c r="AB42" s="4">
        <f ca="1">_xll.DBRW($B$1,$B$2,$B$7,$B$3,$B$4,$B$5,$F42,$B$6,AB$10,$A42,$B42)</f>
        <v>1571712</v>
      </c>
      <c r="AC42" s="4">
        <f ca="1">_xll.DBRW($B$1,$B$2,$B$7,$B$3,$B$4,$B$5,$F42,$B$6,AC$10,$A42,$B42)</f>
        <v>1440736</v>
      </c>
      <c r="AD42" s="4">
        <f ca="1">_xll.DBRW($B$1,$B$2,$B$7,$B$3,$B$4,$B$5,$F42,$B$6,AD$10,$A42,$B42)</f>
        <v>0</v>
      </c>
      <c r="AE42" s="4">
        <f ca="1">_xll.DBRW($B$1,$B$2,$B$7,$B$3,$B$4,$B$5,$F42,$B$6,AE$10,$A42,$B42)</f>
        <v>0</v>
      </c>
    </row>
    <row r="43" spans="1:31">
      <c r="A43" s="1" t="s">
        <v>152</v>
      </c>
      <c r="B43" s="5" t="s">
        <v>186</v>
      </c>
      <c r="C43" s="5" t="s">
        <v>187</v>
      </c>
      <c r="D43" s="5" t="s">
        <v>21</v>
      </c>
      <c r="E43" s="5" t="s">
        <v>59</v>
      </c>
      <c r="F43" s="5" t="s">
        <v>22</v>
      </c>
      <c r="G43" s="6"/>
      <c r="H43" s="6"/>
      <c r="I43" s="6"/>
      <c r="J43" s="6"/>
      <c r="K43" s="6"/>
      <c r="L43" s="4">
        <f ca="1">_xll.DBRW($B$1,$B$2,$B$7,$B$3,$B$4,$B$5,$F43,$B$6,L$10,$A43,$B43)</f>
        <v>5869339</v>
      </c>
      <c r="M43" s="4">
        <f ca="1">_xll.DBRW($B$1,$B$2,$B$7,$B$3,$B$4,$B$5,$F43,$B$6,M$10,$A43,$B43)</f>
        <v>6071730</v>
      </c>
      <c r="N43" s="4">
        <f ca="1">_xll.DBRW($B$1,$B$2,$B$7,$B$3,$B$4,$B$5,$F43,$B$6,N$10,$A43,$B43)</f>
        <v>6078709</v>
      </c>
      <c r="O43" s="4">
        <f ca="1">_xll.DBRW($B$1,$B$2,$B$7,$B$3,$B$4,$B$5,$F43,$B$6,O$10,$A43,$B43)</f>
        <v>6183394</v>
      </c>
      <c r="P43" s="4">
        <f ca="1">_xll.DBRW($B$1,$B$2,$B$7,$B$3,$B$4,$B$5,$F43,$B$6,P$10,$A43,$B43)</f>
        <v>6071730</v>
      </c>
      <c r="Q43" s="4">
        <f ca="1">_xll.DBRW($B$1,$B$2,$B$7,$B$3,$B$4,$B$5,$F43,$B$6,Q$10,$A43,$B43)</f>
        <v>7223265</v>
      </c>
      <c r="R43" s="4">
        <f ca="1">_xll.DBRW($B$1,$B$2,$B$7,$B$3,$B$4,$B$5,$F43,$B$6,R$10,$A43,$B43)</f>
        <v>7467530</v>
      </c>
      <c r="S43" s="4">
        <f ca="1">_xll.DBRW($B$1,$B$2,$B$7,$B$3,$B$4,$B$5,$F43,$B$6,S$10,$A43,$B43)</f>
        <v>6762651</v>
      </c>
      <c r="T43" s="4">
        <f ca="1">_xll.DBRW($B$1,$B$2,$B$7,$B$3,$B$4,$B$5,$F43,$B$6,T$10,$A43,$B43)</f>
        <v>3461584</v>
      </c>
      <c r="U43" s="4">
        <f ca="1">_xll.DBRW($B$1,$B$2,$B$7,$B$3,$B$4,$B$5,$F43,$B$6,U$10,$A43,$B43)</f>
        <v>3126592</v>
      </c>
      <c r="V43" s="4">
        <f ca="1">_xll.DBRW($B$1,$B$2,$B$7,$B$3,$B$4,$B$5,$F43,$B$6,V$10,$A43,$B43)</f>
        <v>3566269</v>
      </c>
      <c r="W43" s="4">
        <f ca="1">_xll.DBRW($B$1,$B$2,$B$7,$B$3,$B$4,$B$5,$F43,$B$6,W$10,$A43,$B43)</f>
        <v>5164460</v>
      </c>
      <c r="X43" s="4">
        <f ca="1">_xll.DBRW($B$1,$B$2,$B$7,$B$3,$B$4,$B$5,$F43,$B$6,X$10,$A43,$B43)</f>
        <v>5373830</v>
      </c>
      <c r="Y43" s="4">
        <f ca="1">_xll.DBRW($B$1,$B$2,$B$7,$B$3,$B$4,$B$5,$F43,$B$6,Y$10,$A43,$B43)</f>
        <v>5157481</v>
      </c>
      <c r="Z43" s="4">
        <f ca="1">_xll.DBRW($B$1,$B$2,$B$7,$B$3,$B$4,$B$5,$F43,$B$6,Z$10,$A43,$B43)</f>
        <v>5276124</v>
      </c>
      <c r="AA43" s="4">
        <f ca="1">_xll.DBRW($B$1,$B$2,$B$7,$B$3,$B$4,$B$5,$F43,$B$6,AA$10,$A43,$B43)</f>
        <v>5373830</v>
      </c>
      <c r="AB43" s="4">
        <f ca="1">_xll.DBRW($B$1,$B$2,$B$7,$B$3,$B$4,$B$5,$F43,$B$6,AB$10,$A43,$B43)</f>
        <v>5269145</v>
      </c>
      <c r="AC43" s="4">
        <f ca="1">_xll.DBRW($B$1,$B$2,$B$7,$B$3,$B$4,$B$5,$F43,$B$6,AC$10,$A43,$B43)</f>
        <v>4948111</v>
      </c>
      <c r="AD43" s="4">
        <f ca="1">_xll.DBRW($B$1,$B$2,$B$7,$B$3,$B$4,$B$5,$F43,$B$6,AD$10,$A43,$B43)</f>
        <v>3349920</v>
      </c>
      <c r="AE43" s="4">
        <f ca="1">_xll.DBRW($B$1,$B$2,$B$7,$B$3,$B$4,$B$5,$F43,$B$6,AE$10,$A43,$B43)</f>
        <v>3461584</v>
      </c>
    </row>
    <row r="44" spans="1:31">
      <c r="A44" s="1" t="s">
        <v>152</v>
      </c>
      <c r="B44" s="5" t="s">
        <v>61</v>
      </c>
      <c r="C44" s="5" t="s">
        <v>62</v>
      </c>
      <c r="D44" s="5" t="s">
        <v>59</v>
      </c>
      <c r="E44" s="5" t="s">
        <v>21</v>
      </c>
      <c r="F44" s="5" t="s">
        <v>22</v>
      </c>
      <c r="G44" s="6"/>
      <c r="H44" s="6"/>
      <c r="I44" s="6"/>
      <c r="J44" s="6"/>
      <c r="K44" s="6"/>
      <c r="L44" s="4">
        <f ca="1">_xll.DBRW($B$1,$B$2,$B$7,$B$3,$B$4,$B$5,$F44,$B$6,L$10,$A44,$B44)</f>
        <v>5974024</v>
      </c>
      <c r="M44" s="4">
        <f ca="1">_xll.DBRW($B$1,$B$2,$B$7,$B$3,$B$4,$B$5,$F44,$B$6,M$10,$A44,$B44)</f>
        <v>5967045</v>
      </c>
      <c r="N44" s="4">
        <f ca="1">_xll.DBRW($B$1,$B$2,$B$7,$B$3,$B$4,$B$5,$F44,$B$6,N$10,$A44,$B44)</f>
        <v>6078709</v>
      </c>
      <c r="O44" s="4">
        <f ca="1">_xll.DBRW($B$1,$B$2,$B$7,$B$3,$B$4,$B$5,$F44,$B$6,O$10,$A44,$B44)</f>
        <v>6183394</v>
      </c>
      <c r="P44" s="4">
        <f ca="1">_xll.DBRW($B$1,$B$2,$B$7,$B$3,$B$4,$B$5,$F44,$B$6,P$10,$A44,$B44)</f>
        <v>6071730</v>
      </c>
      <c r="Q44" s="4">
        <f ca="1">_xll.DBRW($B$1,$B$2,$B$7,$B$3,$B$4,$B$5,$F44,$B$6,Q$10,$A44,$B44)</f>
        <v>7209307</v>
      </c>
      <c r="R44" s="4">
        <f ca="1">_xll.DBRW($B$1,$B$2,$B$7,$B$3,$B$4,$B$5,$F44,$B$6,R$10,$A44,$B44)</f>
        <v>7481488</v>
      </c>
      <c r="S44" s="4">
        <f ca="1">_xll.DBRW($B$1,$B$2,$B$7,$B$3,$B$4,$B$5,$F44,$B$6,S$10,$A44,$B44)</f>
        <v>6762651</v>
      </c>
      <c r="T44" s="4">
        <f ca="1">_xll.DBRW($B$1,$B$2,$B$7,$B$3,$B$4,$B$5,$F44,$B$6,T$10,$A44,$B44)</f>
        <v>3461584</v>
      </c>
      <c r="U44" s="4">
        <f ca="1">_xll.DBRW($B$1,$B$2,$B$7,$B$3,$B$4,$B$5,$F44,$B$6,U$10,$A44,$B44)</f>
        <v>3126592</v>
      </c>
      <c r="V44" s="4">
        <f ca="1">_xll.DBRW($B$1,$B$2,$B$7,$B$3,$B$4,$B$5,$F44,$B$6,V$10,$A44,$B44)</f>
        <v>3566269</v>
      </c>
      <c r="W44" s="4">
        <f ca="1">_xll.DBRW($B$1,$B$2,$B$7,$B$3,$B$4,$B$5,$F44,$B$6,W$10,$A44,$B44)</f>
        <v>4745720</v>
      </c>
      <c r="X44" s="4">
        <f ca="1">_xll.DBRW($B$1,$B$2,$B$7,$B$3,$B$4,$B$5,$F44,$B$6,X$10,$A44,$B44)</f>
        <v>4850405</v>
      </c>
      <c r="Y44" s="4">
        <f ca="1">_xll.DBRW($B$1,$B$2,$B$7,$B$3,$B$4,$B$5,$F44,$B$6,Y$10,$A44,$B44)</f>
        <v>4738741</v>
      </c>
      <c r="Z44" s="4">
        <f ca="1">_xll.DBRW($B$1,$B$2,$B$7,$B$3,$B$4,$B$5,$F44,$B$6,Z$10,$A44,$B44)</f>
        <v>4857384</v>
      </c>
      <c r="AA44" s="4">
        <f ca="1">_xll.DBRW($B$1,$B$2,$B$7,$B$3,$B$4,$B$5,$F44,$B$6,AA$10,$A44,$B44)</f>
        <v>4850405</v>
      </c>
      <c r="AB44" s="4">
        <f ca="1">_xll.DBRW($B$1,$B$2,$B$7,$B$3,$B$4,$B$5,$F44,$B$6,AB$10,$A44,$B44)</f>
        <v>4850405</v>
      </c>
      <c r="AC44" s="4">
        <f ca="1">_xll.DBRW($B$1,$B$2,$B$7,$B$3,$B$4,$B$5,$F44,$B$6,AC$10,$A44,$B44)</f>
        <v>4529371</v>
      </c>
      <c r="AD44" s="4">
        <f ca="1">_xll.DBRW($B$1,$B$2,$B$7,$B$3,$B$4,$B$5,$F44,$B$6,AD$10,$A44,$B44)</f>
        <v>3349920</v>
      </c>
      <c r="AE44" s="4">
        <f ca="1">_xll.DBRW($B$1,$B$2,$B$7,$B$3,$B$4,$B$5,$F44,$B$6,AE$10,$A44,$B44)</f>
        <v>3461584</v>
      </c>
    </row>
    <row r="45" spans="1:31">
      <c r="A45" s="1" t="s">
        <v>152</v>
      </c>
      <c r="B45" s="5" t="s">
        <v>188</v>
      </c>
      <c r="C45" s="5" t="s">
        <v>189</v>
      </c>
      <c r="D45" s="5" t="s">
        <v>21</v>
      </c>
      <c r="E45" s="5" t="s">
        <v>20</v>
      </c>
      <c r="F45" s="5" t="s">
        <v>22</v>
      </c>
      <c r="G45" s="6"/>
      <c r="H45" s="6"/>
      <c r="I45" s="6"/>
      <c r="J45" s="6"/>
      <c r="K45" s="6"/>
      <c r="L45" s="4">
        <f ca="1">_xll.DBRW($B$1,$B$2,$B$7,$B$3,$B$4,$B$5,$F45,$B$6,L$10,$A45,$B45)</f>
        <v>9242464</v>
      </c>
      <c r="M45" s="4">
        <f ca="1">_xll.DBRW($B$1,$B$2,$B$7,$B$3,$B$4,$B$5,$F45,$B$6,M$10,$A45,$B45)</f>
        <v>8944320</v>
      </c>
      <c r="N45" s="4">
        <f ca="1">_xll.DBRW($B$1,$B$2,$B$7,$B$3,$B$4,$B$5,$F45,$B$6,N$10,$A45,$B45)</f>
        <v>9242464</v>
      </c>
      <c r="O45" s="4">
        <f ca="1">_xll.DBRW($B$1,$B$2,$B$7,$B$3,$B$4,$B$5,$F45,$B$6,O$10,$A45,$B45)</f>
        <v>9242464</v>
      </c>
      <c r="P45" s="4">
        <f ca="1">_xll.DBRW($B$1,$B$2,$B$7,$B$3,$B$4,$B$5,$F45,$B$6,P$10,$A45,$B45)</f>
        <v>8944320</v>
      </c>
      <c r="Q45" s="4">
        <f ca="1">_xll.DBRW($B$1,$B$2,$B$7,$B$3,$B$4,$B$5,$F45,$B$6,Q$10,$A45,$B45)</f>
        <v>9161152</v>
      </c>
      <c r="R45" s="4">
        <f ca="1">_xll.DBRW($B$1,$B$2,$B$7,$B$3,$B$4,$B$5,$F45,$B$6,R$10,$A45,$B45)</f>
        <v>8619072</v>
      </c>
      <c r="S45" s="4">
        <f ca="1">_xll.DBRW($B$1,$B$2,$B$7,$B$3,$B$4,$B$5,$F45,$B$6,S$10,$A45,$B45)</f>
        <v>8835904</v>
      </c>
      <c r="T45" s="4">
        <f ca="1">_xll.DBRW($B$1,$B$2,$B$7,$B$3,$B$4,$B$5,$F45,$B$6,T$10,$A45,$B45)</f>
        <v>6721792</v>
      </c>
      <c r="U45" s="4">
        <f ca="1">_xll.DBRW($B$1,$B$2,$B$7,$B$3,$B$4,$B$5,$F45,$B$6,U$10,$A45,$B45)</f>
        <v>6071296</v>
      </c>
      <c r="V45" s="4">
        <f ca="1">_xll.DBRW($B$1,$B$2,$B$7,$B$3,$B$4,$B$5,$F45,$B$6,V$10,$A45,$B45)</f>
        <v>6721792</v>
      </c>
      <c r="W45" s="4">
        <f ca="1">_xll.DBRW($B$1,$B$2,$B$7,$B$3,$B$4,$B$5,$F45,$B$6,W$10,$A45,$B45)</f>
        <v>6504960</v>
      </c>
      <c r="X45" s="4">
        <f ca="1">_xll.DBRW($B$1,$B$2,$B$7,$B$3,$B$4,$B$5,$F45,$B$6,X$10,$A45,$B45)</f>
        <v>6721792</v>
      </c>
      <c r="Y45" s="4">
        <f ca="1">_xll.DBRW($B$1,$B$2,$B$7,$B$3,$B$4,$B$5,$F45,$B$6,Y$10,$A45,$B45)</f>
        <v>6504960</v>
      </c>
      <c r="Z45" s="4">
        <f ca="1">_xll.DBRW($B$1,$B$2,$B$7,$B$3,$B$4,$B$5,$F45,$B$6,Z$10,$A45,$B45)</f>
        <v>6721792</v>
      </c>
      <c r="AA45" s="4">
        <f ca="1">_xll.DBRW($B$1,$B$2,$B$7,$B$3,$B$4,$B$5,$F45,$B$6,AA$10,$A45,$B45)</f>
        <v>6721792</v>
      </c>
      <c r="AB45" s="4">
        <f ca="1">_xll.DBRW($B$1,$B$2,$B$7,$B$3,$B$4,$B$5,$F45,$B$6,AB$10,$A45,$B45)</f>
        <v>6504960</v>
      </c>
      <c r="AC45" s="4">
        <f ca="1">_xll.DBRW($B$1,$B$2,$B$7,$B$3,$B$4,$B$5,$F45,$B$6,AC$10,$A45,$B45)</f>
        <v>6721792</v>
      </c>
      <c r="AD45" s="4">
        <f ca="1">_xll.DBRW($B$1,$B$2,$B$7,$B$3,$B$4,$B$5,$F45,$B$6,AD$10,$A45,$B45)</f>
        <v>6504960</v>
      </c>
      <c r="AE45" s="4">
        <f ca="1">_xll.DBRW($B$1,$B$2,$B$7,$B$3,$B$4,$B$5,$F45,$B$6,AE$10,$A45,$B45)</f>
        <v>6721792</v>
      </c>
    </row>
    <row r="46" spans="1:31">
      <c r="A46" s="1" t="s">
        <v>152</v>
      </c>
      <c r="B46" s="5" t="s">
        <v>18</v>
      </c>
      <c r="C46" s="5" t="s">
        <v>19</v>
      </c>
      <c r="D46" s="5" t="s">
        <v>20</v>
      </c>
      <c r="E46" s="5" t="s">
        <v>21</v>
      </c>
      <c r="F46" s="5" t="s">
        <v>22</v>
      </c>
      <c r="G46" s="6"/>
      <c r="H46" s="6"/>
      <c r="I46" s="6"/>
      <c r="J46" s="6"/>
      <c r="K46" s="6"/>
      <c r="L46" s="4">
        <f ca="1">_xll.DBRW($B$1,$B$2,$B$7,$B$3,$B$4,$B$5,$F46,$B$6,L$10,$A46,$B46)</f>
        <v>9242464</v>
      </c>
      <c r="M46" s="4">
        <f ca="1">_xll.DBRW($B$1,$B$2,$B$7,$B$3,$B$4,$B$5,$F46,$B$6,M$10,$A46,$B46)</f>
        <v>8944320</v>
      </c>
      <c r="N46" s="4">
        <f ca="1">_xll.DBRW($B$1,$B$2,$B$7,$B$3,$B$4,$B$5,$F46,$B$6,N$10,$A46,$B46)</f>
        <v>9242464</v>
      </c>
      <c r="O46" s="4">
        <f ca="1">_xll.DBRW($B$1,$B$2,$B$7,$B$3,$B$4,$B$5,$F46,$B$6,O$10,$A46,$B46)</f>
        <v>9242464</v>
      </c>
      <c r="P46" s="4">
        <f ca="1">_xll.DBRW($B$1,$B$2,$B$7,$B$3,$B$4,$B$5,$F46,$B$6,P$10,$A46,$B46)</f>
        <v>8944320</v>
      </c>
      <c r="Q46" s="4">
        <f ca="1">_xll.DBRW($B$1,$B$2,$B$7,$B$3,$B$4,$B$5,$F46,$B$6,Q$10,$A46,$B46)</f>
        <v>9161152</v>
      </c>
      <c r="R46" s="4">
        <f ca="1">_xll.DBRW($B$1,$B$2,$B$7,$B$3,$B$4,$B$5,$F46,$B$6,R$10,$A46,$B46)</f>
        <v>8619072</v>
      </c>
      <c r="S46" s="4">
        <f ca="1">_xll.DBRW($B$1,$B$2,$B$7,$B$3,$B$4,$B$5,$F46,$B$6,S$10,$A46,$B46)</f>
        <v>8835904</v>
      </c>
      <c r="T46" s="4">
        <f ca="1">_xll.DBRW($B$1,$B$2,$B$7,$B$3,$B$4,$B$5,$F46,$B$6,T$10,$A46,$B46)</f>
        <v>6721792</v>
      </c>
      <c r="U46" s="4">
        <f ca="1">_xll.DBRW($B$1,$B$2,$B$7,$B$3,$B$4,$B$5,$F46,$B$6,U$10,$A46,$B46)</f>
        <v>6071296</v>
      </c>
      <c r="V46" s="4">
        <f ca="1">_xll.DBRW($B$1,$B$2,$B$7,$B$3,$B$4,$B$5,$F46,$B$6,V$10,$A46,$B46)</f>
        <v>6721792</v>
      </c>
      <c r="W46" s="4">
        <f ca="1">_xll.DBRW($B$1,$B$2,$B$7,$B$3,$B$4,$B$5,$F46,$B$6,W$10,$A46,$B46)</f>
        <v>6504960</v>
      </c>
      <c r="X46" s="4">
        <f ca="1">_xll.DBRW($B$1,$B$2,$B$7,$B$3,$B$4,$B$5,$F46,$B$6,X$10,$A46,$B46)</f>
        <v>6721792</v>
      </c>
      <c r="Y46" s="4">
        <f ca="1">_xll.DBRW($B$1,$B$2,$B$7,$B$3,$B$4,$B$5,$F46,$B$6,Y$10,$A46,$B46)</f>
        <v>6504960</v>
      </c>
      <c r="Z46" s="4">
        <f ca="1">_xll.DBRW($B$1,$B$2,$B$7,$B$3,$B$4,$B$5,$F46,$B$6,Z$10,$A46,$B46)</f>
        <v>6721792</v>
      </c>
      <c r="AA46" s="4">
        <f ca="1">_xll.DBRW($B$1,$B$2,$B$7,$B$3,$B$4,$B$5,$F46,$B$6,AA$10,$A46,$B46)</f>
        <v>6721792</v>
      </c>
      <c r="AB46" s="4">
        <f ca="1">_xll.DBRW($B$1,$B$2,$B$7,$B$3,$B$4,$B$5,$F46,$B$6,AB$10,$A46,$B46)</f>
        <v>6504960</v>
      </c>
      <c r="AC46" s="4">
        <f ca="1">_xll.DBRW($B$1,$B$2,$B$7,$B$3,$B$4,$B$5,$F46,$B$6,AC$10,$A46,$B46)</f>
        <v>6721792</v>
      </c>
      <c r="AD46" s="4">
        <f ca="1">_xll.DBRW($B$1,$B$2,$B$7,$B$3,$B$4,$B$5,$F46,$B$6,AD$10,$A46,$B46)</f>
        <v>6504960</v>
      </c>
      <c r="AE46" s="4">
        <f ca="1">_xll.DBRW($B$1,$B$2,$B$7,$B$3,$B$4,$B$5,$F46,$B$6,AE$10,$A46,$B46)</f>
        <v>6721792</v>
      </c>
    </row>
    <row r="47" spans="1:31">
      <c r="A47" s="1" t="s">
        <v>152</v>
      </c>
      <c r="B47" s="5" t="s">
        <v>190</v>
      </c>
      <c r="C47" s="5" t="s">
        <v>191</v>
      </c>
      <c r="D47" s="5" t="s">
        <v>21</v>
      </c>
      <c r="E47" s="5" t="s">
        <v>73</v>
      </c>
      <c r="F47" s="5" t="s">
        <v>22</v>
      </c>
      <c r="G47" s="6"/>
      <c r="H47" s="6"/>
      <c r="I47" s="6"/>
      <c r="J47" s="6"/>
      <c r="K47" s="6"/>
      <c r="L47" s="4">
        <f ca="1">_xll.DBRW($B$1,$B$2,$B$7,$B$3,$B$4,$B$5,$F47,$B$6,L$10,$A47,$B47)</f>
        <v>7423725</v>
      </c>
      <c r="M47" s="4">
        <f ca="1">_xll.DBRW($B$1,$B$2,$B$7,$B$3,$B$4,$B$5,$F47,$B$6,M$10,$A47,$B47)</f>
        <v>7184250</v>
      </c>
      <c r="N47" s="4">
        <f ca="1">_xll.DBRW($B$1,$B$2,$B$7,$B$3,$B$4,$B$5,$F47,$B$6,N$10,$A47,$B47)</f>
        <v>7423725</v>
      </c>
      <c r="O47" s="4">
        <f ca="1">_xll.DBRW($B$1,$B$2,$B$7,$B$3,$B$4,$B$5,$F47,$B$6,O$10,$A47,$B47)</f>
        <v>7423725</v>
      </c>
      <c r="P47" s="4">
        <f ca="1">_xll.DBRW($B$1,$B$2,$B$7,$B$3,$B$4,$B$5,$F47,$B$6,P$10,$A47,$B47)</f>
        <v>7184250</v>
      </c>
      <c r="Q47" s="4">
        <f ca="1">_xll.DBRW($B$1,$B$2,$B$7,$B$3,$B$4,$B$5,$F47,$B$6,Q$10,$A47,$B47)</f>
        <v>7423725</v>
      </c>
      <c r="R47" s="4">
        <f ca="1">_xll.DBRW($B$1,$B$2,$B$7,$B$3,$B$4,$B$5,$F47,$B$6,R$10,$A47,$B47)</f>
        <v>7184250</v>
      </c>
      <c r="S47" s="4">
        <f ca="1">_xll.DBRW($B$1,$B$2,$B$7,$B$3,$B$4,$B$5,$F47,$B$6,S$10,$A47,$B47)</f>
        <v>7423725</v>
      </c>
      <c r="T47" s="4">
        <f ca="1">_xll.DBRW($B$1,$B$2,$B$7,$B$3,$B$4,$B$5,$F47,$B$6,T$10,$A47,$B47)</f>
        <v>7423725</v>
      </c>
      <c r="U47" s="4">
        <f ca="1">_xll.DBRW($B$1,$B$2,$B$7,$B$3,$B$4,$B$5,$F47,$B$6,U$10,$A47,$B47)</f>
        <v>6705300</v>
      </c>
      <c r="V47" s="4">
        <f ca="1">_xll.DBRW($B$1,$B$2,$B$7,$B$3,$B$4,$B$5,$F47,$B$6,V$10,$A47,$B47)</f>
        <v>7423725</v>
      </c>
      <c r="W47" s="4">
        <f ca="1">_xll.DBRW($B$1,$B$2,$B$7,$B$3,$B$4,$B$5,$F47,$B$6,W$10,$A47,$B47)</f>
        <v>7184250</v>
      </c>
      <c r="X47" s="4">
        <f ca="1">_xll.DBRW($B$1,$B$2,$B$7,$B$3,$B$4,$B$5,$F47,$B$6,X$10,$A47,$B47)</f>
        <v>7423725</v>
      </c>
      <c r="Y47" s="4">
        <f ca="1">_xll.DBRW($B$1,$B$2,$B$7,$B$3,$B$4,$B$5,$F47,$B$6,Y$10,$A47,$B47)</f>
        <v>7184250</v>
      </c>
      <c r="Z47" s="4">
        <f ca="1">_xll.DBRW($B$1,$B$2,$B$7,$B$3,$B$4,$B$5,$F47,$B$6,Z$10,$A47,$B47)</f>
        <v>7423725</v>
      </c>
      <c r="AA47" s="4">
        <f ca="1">_xll.DBRW($B$1,$B$2,$B$7,$B$3,$B$4,$B$5,$F47,$B$6,AA$10,$A47,$B47)</f>
        <v>7423725</v>
      </c>
      <c r="AB47" s="4">
        <f ca="1">_xll.DBRW($B$1,$B$2,$B$7,$B$3,$B$4,$B$5,$F47,$B$6,AB$10,$A47,$B47)</f>
        <v>7184250</v>
      </c>
      <c r="AC47" s="4">
        <f ca="1">_xll.DBRW($B$1,$B$2,$B$7,$B$3,$B$4,$B$5,$F47,$B$6,AC$10,$A47,$B47)</f>
        <v>7423725</v>
      </c>
      <c r="AD47" s="4">
        <f ca="1">_xll.DBRW($B$1,$B$2,$B$7,$B$3,$B$4,$B$5,$F47,$B$6,AD$10,$A47,$B47)</f>
        <v>7184250</v>
      </c>
      <c r="AE47" s="4">
        <f ca="1">_xll.DBRW($B$1,$B$2,$B$7,$B$3,$B$4,$B$5,$F47,$B$6,AE$10,$A47,$B47)</f>
        <v>7423725</v>
      </c>
    </row>
    <row r="48" spans="1:31">
      <c r="A48" s="1" t="s">
        <v>152</v>
      </c>
      <c r="B48" s="5" t="s">
        <v>71</v>
      </c>
      <c r="C48" s="5" t="s">
        <v>72</v>
      </c>
      <c r="D48" s="5" t="s">
        <v>73</v>
      </c>
      <c r="E48" s="5" t="s">
        <v>21</v>
      </c>
      <c r="F48" s="5" t="s">
        <v>22</v>
      </c>
      <c r="G48" s="6"/>
      <c r="H48" s="6"/>
      <c r="I48" s="6"/>
      <c r="J48" s="6"/>
      <c r="K48" s="6"/>
      <c r="L48" s="4">
        <f ca="1">_xll.DBRW($B$1,$B$2,$B$7,$B$3,$B$4,$B$5,$F48,$B$6,L$10,$A48,$B48)</f>
        <v>7423725</v>
      </c>
      <c r="M48" s="4">
        <f ca="1">_xll.DBRW($B$1,$B$2,$B$7,$B$3,$B$4,$B$5,$F48,$B$6,M$10,$A48,$B48)</f>
        <v>7184250</v>
      </c>
      <c r="N48" s="4">
        <f ca="1">_xll.DBRW($B$1,$B$2,$B$7,$B$3,$B$4,$B$5,$F48,$B$6,N$10,$A48,$B48)</f>
        <v>7423725</v>
      </c>
      <c r="O48" s="4">
        <f ca="1">_xll.DBRW($B$1,$B$2,$B$7,$B$3,$B$4,$B$5,$F48,$B$6,O$10,$A48,$B48)</f>
        <v>7423725</v>
      </c>
      <c r="P48" s="4">
        <f ca="1">_xll.DBRW($B$1,$B$2,$B$7,$B$3,$B$4,$B$5,$F48,$B$6,P$10,$A48,$B48)</f>
        <v>7184250</v>
      </c>
      <c r="Q48" s="4">
        <f ca="1">_xll.DBRW($B$1,$B$2,$B$7,$B$3,$B$4,$B$5,$F48,$B$6,Q$10,$A48,$B48)</f>
        <v>7423725</v>
      </c>
      <c r="R48" s="4">
        <f ca="1">_xll.DBRW($B$1,$B$2,$B$7,$B$3,$B$4,$B$5,$F48,$B$6,R$10,$A48,$B48)</f>
        <v>7184250</v>
      </c>
      <c r="S48" s="4">
        <f ca="1">_xll.DBRW($B$1,$B$2,$B$7,$B$3,$B$4,$B$5,$F48,$B$6,S$10,$A48,$B48)</f>
        <v>7423725</v>
      </c>
      <c r="T48" s="4">
        <f ca="1">_xll.DBRW($B$1,$B$2,$B$7,$B$3,$B$4,$B$5,$F48,$B$6,T$10,$A48,$B48)</f>
        <v>7423725</v>
      </c>
      <c r="U48" s="4">
        <f ca="1">_xll.DBRW($B$1,$B$2,$B$7,$B$3,$B$4,$B$5,$F48,$B$6,U$10,$A48,$B48)</f>
        <v>6705300</v>
      </c>
      <c r="V48" s="4">
        <f ca="1">_xll.DBRW($B$1,$B$2,$B$7,$B$3,$B$4,$B$5,$F48,$B$6,V$10,$A48,$B48)</f>
        <v>7423725</v>
      </c>
      <c r="W48" s="4">
        <f ca="1">_xll.DBRW($B$1,$B$2,$B$7,$B$3,$B$4,$B$5,$F48,$B$6,W$10,$A48,$B48)</f>
        <v>7184250</v>
      </c>
      <c r="X48" s="4">
        <f ca="1">_xll.DBRW($B$1,$B$2,$B$7,$B$3,$B$4,$B$5,$F48,$B$6,X$10,$A48,$B48)</f>
        <v>7423725</v>
      </c>
      <c r="Y48" s="4">
        <f ca="1">_xll.DBRW($B$1,$B$2,$B$7,$B$3,$B$4,$B$5,$F48,$B$6,Y$10,$A48,$B48)</f>
        <v>7184250</v>
      </c>
      <c r="Z48" s="4">
        <f ca="1">_xll.DBRW($B$1,$B$2,$B$7,$B$3,$B$4,$B$5,$F48,$B$6,Z$10,$A48,$B48)</f>
        <v>7423725</v>
      </c>
      <c r="AA48" s="4">
        <f ca="1">_xll.DBRW($B$1,$B$2,$B$7,$B$3,$B$4,$B$5,$F48,$B$6,AA$10,$A48,$B48)</f>
        <v>7423725</v>
      </c>
      <c r="AB48" s="4">
        <f ca="1">_xll.DBRW($B$1,$B$2,$B$7,$B$3,$B$4,$B$5,$F48,$B$6,AB$10,$A48,$B48)</f>
        <v>7184250</v>
      </c>
      <c r="AC48" s="4">
        <f ca="1">_xll.DBRW($B$1,$B$2,$B$7,$B$3,$B$4,$B$5,$F48,$B$6,AC$10,$A48,$B48)</f>
        <v>7423725</v>
      </c>
      <c r="AD48" s="4">
        <f ca="1">_xll.DBRW($B$1,$B$2,$B$7,$B$3,$B$4,$B$5,$F48,$B$6,AD$10,$A48,$B48)</f>
        <v>7184250</v>
      </c>
      <c r="AE48" s="4">
        <f ca="1">_xll.DBRW($B$1,$B$2,$B$7,$B$3,$B$4,$B$5,$F48,$B$6,AE$10,$A48,$B48)</f>
        <v>7184250</v>
      </c>
    </row>
    <row r="49" spans="1:31">
      <c r="A49" s="1" t="s">
        <v>152</v>
      </c>
      <c r="B49" s="5" t="s">
        <v>192</v>
      </c>
      <c r="C49" s="5" t="s">
        <v>193</v>
      </c>
      <c r="D49" s="5" t="s">
        <v>21</v>
      </c>
      <c r="E49" s="5" t="s">
        <v>194</v>
      </c>
      <c r="F49" s="5" t="s">
        <v>22</v>
      </c>
      <c r="G49" s="6"/>
      <c r="H49" s="6"/>
      <c r="I49" s="6"/>
      <c r="J49" s="6"/>
      <c r="K49" s="6"/>
      <c r="L49" s="4">
        <f ca="1">_xll.DBRW($B$1,$B$2,$B$7,$B$3,$B$4,$B$5,$F49,$B$6,L$10,$A49,$B49)</f>
        <v>2151927</v>
      </c>
      <c r="M49" s="4">
        <f ca="1">_xll.DBRW($B$1,$B$2,$B$7,$B$3,$B$4,$B$5,$F49,$B$6,M$10,$A49,$B49)</f>
        <v>1912824</v>
      </c>
      <c r="N49" s="4">
        <f ca="1">_xll.DBRW($B$1,$B$2,$B$7,$B$3,$B$4,$B$5,$F49,$B$6,N$10,$A49,$B49)</f>
        <v>2151927</v>
      </c>
      <c r="O49" s="4">
        <f ca="1">_xll.DBRW($B$1,$B$2,$B$7,$B$3,$B$4,$B$5,$F49,$B$6,O$10,$A49,$B49)</f>
        <v>2151927</v>
      </c>
      <c r="P49" s="4">
        <f ca="1">_xll.DBRW($B$1,$B$2,$B$7,$B$3,$B$4,$B$5,$F49,$B$6,P$10,$A49,$B49)</f>
        <v>2151927</v>
      </c>
      <c r="Q49" s="4">
        <f ca="1">_xll.DBRW($B$1,$B$2,$B$7,$B$3,$B$4,$B$5,$F49,$B$6,Q$10,$A49,$B49)</f>
        <v>2630133</v>
      </c>
      <c r="R49" s="4">
        <f ca="1">_xll.DBRW($B$1,$B$2,$B$7,$B$3,$B$4,$B$5,$F49,$B$6,R$10,$A49,$B49)</f>
        <v>2869236</v>
      </c>
      <c r="S49" s="4">
        <f ca="1">_xll.DBRW($B$1,$B$2,$B$7,$B$3,$B$4,$B$5,$F49,$B$6,S$10,$A49,$B49)</f>
        <v>3347442</v>
      </c>
      <c r="T49" s="4">
        <f ca="1">_xll.DBRW($B$1,$B$2,$B$7,$B$3,$B$4,$B$5,$F49,$B$6,T$10,$A49,$B49)</f>
        <v>3108339</v>
      </c>
      <c r="U49" s="4">
        <f ca="1">_xll.DBRW($B$1,$B$2,$B$7,$B$3,$B$4,$B$5,$F49,$B$6,U$10,$A49,$B49)</f>
        <v>2869236</v>
      </c>
      <c r="V49" s="4">
        <f ca="1">_xll.DBRW($B$1,$B$2,$B$7,$B$3,$B$4,$B$5,$F49,$B$6,V$10,$A49,$B49)</f>
        <v>3108339</v>
      </c>
      <c r="W49" s="4">
        <f ca="1">_xll.DBRW($B$1,$B$2,$B$7,$B$3,$B$4,$B$5,$F49,$B$6,W$10,$A49,$B49)</f>
        <v>1912824</v>
      </c>
      <c r="X49" s="4">
        <f ca="1">_xll.DBRW($B$1,$B$2,$B$7,$B$3,$B$4,$B$5,$F49,$B$6,X$10,$A49,$B49)</f>
        <v>2151927</v>
      </c>
      <c r="Y49" s="4">
        <f ca="1">_xll.DBRW($B$1,$B$2,$B$7,$B$3,$B$4,$B$5,$F49,$B$6,Y$10,$A49,$B49)</f>
        <v>2151927</v>
      </c>
      <c r="Z49" s="4">
        <f ca="1">_xll.DBRW($B$1,$B$2,$B$7,$B$3,$B$4,$B$5,$F49,$B$6,Z$10,$A49,$B49)</f>
        <v>1912824</v>
      </c>
      <c r="AA49" s="4">
        <f ca="1">_xll.DBRW($B$1,$B$2,$B$7,$B$3,$B$4,$B$5,$F49,$B$6,AA$10,$A49,$B49)</f>
        <v>2151927</v>
      </c>
      <c r="AB49" s="4">
        <f ca="1">_xll.DBRW($B$1,$B$2,$B$7,$B$3,$B$4,$B$5,$F49,$B$6,AB$10,$A49,$B49)</f>
        <v>2151927</v>
      </c>
      <c r="AC49" s="4">
        <f ca="1">_xll.DBRW($B$1,$B$2,$B$7,$B$3,$B$4,$B$5,$F49,$B$6,AC$10,$A49,$B49)</f>
        <v>2391030</v>
      </c>
      <c r="AD49" s="4">
        <f ca="1">_xll.DBRW($B$1,$B$2,$B$7,$B$3,$B$4,$B$5,$F49,$B$6,AD$10,$A49,$B49)</f>
        <v>3108339</v>
      </c>
      <c r="AE49" s="4">
        <f ca="1">_xll.DBRW($B$1,$B$2,$B$7,$B$3,$B$4,$B$5,$F49,$B$6,AE$10,$A49,$B49)</f>
        <v>3108339</v>
      </c>
    </row>
    <row r="50" spans="1:31">
      <c r="A50" s="1" t="s">
        <v>152</v>
      </c>
      <c r="B50" s="5" t="s">
        <v>195</v>
      </c>
      <c r="C50" s="5" t="s">
        <v>196</v>
      </c>
      <c r="D50" s="5" t="s">
        <v>194</v>
      </c>
      <c r="E50" s="5" t="s">
        <v>21</v>
      </c>
      <c r="F50" s="5" t="s">
        <v>22</v>
      </c>
      <c r="G50" s="6"/>
      <c r="H50" s="6"/>
      <c r="I50" s="6"/>
      <c r="J50" s="6"/>
      <c r="K50" s="6"/>
      <c r="L50" s="4">
        <f ca="1">_xll.DBRW($B$1,$B$2,$B$7,$B$3,$B$4,$B$5,$F50,$B$6,L$10,$A50,$B50)</f>
        <v>2151927</v>
      </c>
      <c r="M50" s="4">
        <f ca="1">_xll.DBRW($B$1,$B$2,$B$7,$B$3,$B$4,$B$5,$F50,$B$6,M$10,$A50,$B50)</f>
        <v>1912824</v>
      </c>
      <c r="N50" s="4">
        <f ca="1">_xll.DBRW($B$1,$B$2,$B$7,$B$3,$B$4,$B$5,$F50,$B$6,N$10,$A50,$B50)</f>
        <v>2151927</v>
      </c>
      <c r="O50" s="4">
        <f ca="1">_xll.DBRW($B$1,$B$2,$B$7,$B$3,$B$4,$B$5,$F50,$B$6,O$10,$A50,$B50)</f>
        <v>2151927</v>
      </c>
      <c r="P50" s="4">
        <f ca="1">_xll.DBRW($B$1,$B$2,$B$7,$B$3,$B$4,$B$5,$F50,$B$6,P$10,$A50,$B50)</f>
        <v>2151927</v>
      </c>
      <c r="Q50" s="4">
        <f ca="1">_xll.DBRW($B$1,$B$2,$B$7,$B$3,$B$4,$B$5,$F50,$B$6,Q$10,$A50,$B50)</f>
        <v>2391030</v>
      </c>
      <c r="R50" s="4">
        <f ca="1">_xll.DBRW($B$1,$B$2,$B$7,$B$3,$B$4,$B$5,$F50,$B$6,R$10,$A50,$B50)</f>
        <v>2869236</v>
      </c>
      <c r="S50" s="4">
        <f ca="1">_xll.DBRW($B$1,$B$2,$B$7,$B$3,$B$4,$B$5,$F50,$B$6,S$10,$A50,$B50)</f>
        <v>3347442</v>
      </c>
      <c r="T50" s="4">
        <f ca="1">_xll.DBRW($B$1,$B$2,$B$7,$B$3,$B$4,$B$5,$F50,$B$6,T$10,$A50,$B50)</f>
        <v>3108339</v>
      </c>
      <c r="U50" s="4">
        <f ca="1">_xll.DBRW($B$1,$B$2,$B$7,$B$3,$B$4,$B$5,$F50,$B$6,U$10,$A50,$B50)</f>
        <v>2869236</v>
      </c>
      <c r="V50" s="4">
        <f ca="1">_xll.DBRW($B$1,$B$2,$B$7,$B$3,$B$4,$B$5,$F50,$B$6,V$10,$A50,$B50)</f>
        <v>3108339</v>
      </c>
      <c r="W50" s="4">
        <f ca="1">_xll.DBRW($B$1,$B$2,$B$7,$B$3,$B$4,$B$5,$F50,$B$6,W$10,$A50,$B50)</f>
        <v>1912824</v>
      </c>
      <c r="X50" s="4">
        <f ca="1">_xll.DBRW($B$1,$B$2,$B$7,$B$3,$B$4,$B$5,$F50,$B$6,X$10,$A50,$B50)</f>
        <v>2151927</v>
      </c>
      <c r="Y50" s="4">
        <f ca="1">_xll.DBRW($B$1,$B$2,$B$7,$B$3,$B$4,$B$5,$F50,$B$6,Y$10,$A50,$B50)</f>
        <v>2151927</v>
      </c>
      <c r="Z50" s="4">
        <f ca="1">_xll.DBRW($B$1,$B$2,$B$7,$B$3,$B$4,$B$5,$F50,$B$6,Z$10,$A50,$B50)</f>
        <v>1912824</v>
      </c>
      <c r="AA50" s="4">
        <f ca="1">_xll.DBRW($B$1,$B$2,$B$7,$B$3,$B$4,$B$5,$F50,$B$6,AA$10,$A50,$B50)</f>
        <v>2151927</v>
      </c>
      <c r="AB50" s="4">
        <f ca="1">_xll.DBRW($B$1,$B$2,$B$7,$B$3,$B$4,$B$5,$F50,$B$6,AB$10,$A50,$B50)</f>
        <v>2151927</v>
      </c>
      <c r="AC50" s="4">
        <f ca="1">_xll.DBRW($B$1,$B$2,$B$7,$B$3,$B$4,$B$5,$F50,$B$6,AC$10,$A50,$B50)</f>
        <v>2391030</v>
      </c>
      <c r="AD50" s="4">
        <f ca="1">_xll.DBRW($B$1,$B$2,$B$7,$B$3,$B$4,$B$5,$F50,$B$6,AD$10,$A50,$B50)</f>
        <v>3108339</v>
      </c>
      <c r="AE50" s="4">
        <f ca="1">_xll.DBRW($B$1,$B$2,$B$7,$B$3,$B$4,$B$5,$F50,$B$6,AE$10,$A50,$B50)</f>
        <v>3108339</v>
      </c>
    </row>
    <row r="51" spans="1:31">
      <c r="A51" s="1" t="s">
        <v>152</v>
      </c>
      <c r="B51" s="5" t="s">
        <v>197</v>
      </c>
      <c r="C51" s="5" t="s">
        <v>198</v>
      </c>
      <c r="D51" s="5" t="s">
        <v>28</v>
      </c>
      <c r="E51" s="5" t="s">
        <v>20</v>
      </c>
      <c r="F51" s="5" t="s">
        <v>22</v>
      </c>
      <c r="G51" s="6"/>
      <c r="H51" s="6"/>
      <c r="I51" s="6"/>
      <c r="J51" s="6"/>
      <c r="K51" s="6"/>
      <c r="L51" s="4">
        <f ca="1">_xll.DBRW($B$1,$B$2,$B$7,$B$3,$B$4,$B$5,$F51,$B$6,L$10,$A51,$B51)</f>
        <v>6338756</v>
      </c>
      <c r="M51" s="4">
        <f ca="1">_xll.DBRW($B$1,$B$2,$B$7,$B$3,$B$4,$B$5,$F51,$B$6,M$10,$A51,$B51)</f>
        <v>6134280</v>
      </c>
      <c r="N51" s="4">
        <f ca="1">_xll.DBRW($B$1,$B$2,$B$7,$B$3,$B$4,$B$5,$F51,$B$6,N$10,$A51,$B51)</f>
        <v>6338756</v>
      </c>
      <c r="O51" s="4">
        <f ca="1">_xll.DBRW($B$1,$B$2,$B$7,$B$3,$B$4,$B$5,$F51,$B$6,O$10,$A51,$B51)</f>
        <v>6338756</v>
      </c>
      <c r="P51" s="4">
        <f ca="1">_xll.DBRW($B$1,$B$2,$B$7,$B$3,$B$4,$B$5,$F51,$B$6,P$10,$A51,$B51)</f>
        <v>6134280</v>
      </c>
      <c r="Q51" s="4">
        <f ca="1">_xll.DBRW($B$1,$B$2,$B$7,$B$3,$B$4,$B$5,$F51,$B$6,Q$10,$A51,$B51)</f>
        <v>5731924</v>
      </c>
      <c r="R51" s="4">
        <f ca="1">_xll.DBRW($B$1,$B$2,$B$7,$B$3,$B$4,$B$5,$F51,$B$6,R$10,$A51,$B51)</f>
        <v>4557836</v>
      </c>
      <c r="S51" s="4">
        <f ca="1">_xll.DBRW($B$1,$B$2,$B$7,$B$3,$B$4,$B$5,$F51,$B$6,S$10,$A51,$B51)</f>
        <v>4346764</v>
      </c>
      <c r="T51" s="4">
        <f ca="1">_xll.DBRW($B$1,$B$2,$B$7,$B$3,$B$4,$B$5,$F51,$B$6,T$10,$A51,$B51)</f>
        <v>4702948</v>
      </c>
      <c r="U51" s="4">
        <f ca="1">_xll.DBRW($B$1,$B$2,$B$7,$B$3,$B$4,$B$5,$F51,$B$6,U$10,$A51,$B51)</f>
        <v>4089520</v>
      </c>
      <c r="V51" s="4">
        <f ca="1">_xll.DBRW($B$1,$B$2,$B$7,$B$3,$B$4,$B$5,$F51,$B$6,V$10,$A51,$B51)</f>
        <v>4702948</v>
      </c>
      <c r="W51" s="4">
        <f ca="1">_xll.DBRW($B$1,$B$2,$B$7,$B$3,$B$4,$B$5,$F51,$B$6,W$10,$A51,$B51)</f>
        <v>6134280</v>
      </c>
      <c r="X51" s="4">
        <f ca="1">_xll.DBRW($B$1,$B$2,$B$7,$B$3,$B$4,$B$5,$F51,$B$6,X$10,$A51,$B51)</f>
        <v>6338756</v>
      </c>
      <c r="Y51" s="4">
        <f ca="1">_xll.DBRW($B$1,$B$2,$B$7,$B$3,$B$4,$B$5,$F51,$B$6,Y$10,$A51,$B51)</f>
        <v>6134280</v>
      </c>
      <c r="Z51" s="4">
        <f ca="1">_xll.DBRW($B$1,$B$2,$B$7,$B$3,$B$4,$B$5,$F51,$B$6,Z$10,$A51,$B51)</f>
        <v>6338756</v>
      </c>
      <c r="AA51" s="4">
        <f ca="1">_xll.DBRW($B$1,$B$2,$B$7,$B$3,$B$4,$B$5,$F51,$B$6,AA$10,$A51,$B51)</f>
        <v>6338756</v>
      </c>
      <c r="AB51" s="4">
        <f ca="1">_xll.DBRW($B$1,$B$2,$B$7,$B$3,$B$4,$B$5,$F51,$B$6,AB$10,$A51,$B51)</f>
        <v>6134280</v>
      </c>
      <c r="AC51" s="4">
        <f ca="1">_xll.DBRW($B$1,$B$2,$B$7,$B$3,$B$4,$B$5,$F51,$B$6,AC$10,$A51,$B51)</f>
        <v>5929804</v>
      </c>
      <c r="AD51" s="4">
        <f ca="1">_xll.DBRW($B$1,$B$2,$B$7,$B$3,$B$4,$B$5,$F51,$B$6,AD$10,$A51,$B51)</f>
        <v>4293996</v>
      </c>
      <c r="AE51" s="4">
        <f ca="1">_xll.DBRW($B$1,$B$2,$B$7,$B$3,$B$4,$B$5,$F51,$B$6,AE$10,$A51,$B51)</f>
        <v>4498472</v>
      </c>
    </row>
    <row r="52" spans="1:31">
      <c r="A52" s="1" t="s">
        <v>152</v>
      </c>
      <c r="B52" s="5" t="s">
        <v>26</v>
      </c>
      <c r="C52" s="5" t="s">
        <v>27</v>
      </c>
      <c r="D52" s="5" t="s">
        <v>20</v>
      </c>
      <c r="E52" s="5" t="s">
        <v>28</v>
      </c>
      <c r="F52" s="5" t="s">
        <v>22</v>
      </c>
      <c r="G52" s="6"/>
      <c r="H52" s="6"/>
      <c r="I52" s="6"/>
      <c r="J52" s="6"/>
      <c r="K52" s="6"/>
      <c r="L52" s="4">
        <f ca="1">_xll.DBRW($B$1,$B$2,$B$7,$B$3,$B$4,$B$5,$F52,$B$6,L$10,$A52,$B52)</f>
        <v>6338756</v>
      </c>
      <c r="M52" s="4">
        <f ca="1">_xll.DBRW($B$1,$B$2,$B$7,$B$3,$B$4,$B$5,$F52,$B$6,M$10,$A52,$B52)</f>
        <v>6134280</v>
      </c>
      <c r="N52" s="4">
        <f ca="1">_xll.DBRW($B$1,$B$2,$B$7,$B$3,$B$4,$B$5,$F52,$B$6,N$10,$A52,$B52)</f>
        <v>6338756</v>
      </c>
      <c r="O52" s="4">
        <f ca="1">_xll.DBRW($B$1,$B$2,$B$7,$B$3,$B$4,$B$5,$F52,$B$6,O$10,$A52,$B52)</f>
        <v>6338756</v>
      </c>
      <c r="P52" s="4">
        <f ca="1">_xll.DBRW($B$1,$B$2,$B$7,$B$3,$B$4,$B$5,$F52,$B$6,P$10,$A52,$B52)</f>
        <v>6134280</v>
      </c>
      <c r="Q52" s="4">
        <f ca="1">_xll.DBRW($B$1,$B$2,$B$7,$B$3,$B$4,$B$5,$F52,$B$6,Q$10,$A52,$B52)</f>
        <v>5731924</v>
      </c>
      <c r="R52" s="4">
        <f ca="1">_xll.DBRW($B$1,$B$2,$B$7,$B$3,$B$4,$B$5,$F52,$B$6,R$10,$A52,$B52)</f>
        <v>4557836</v>
      </c>
      <c r="S52" s="4">
        <f ca="1">_xll.DBRW($B$1,$B$2,$B$7,$B$3,$B$4,$B$5,$F52,$B$6,S$10,$A52,$B52)</f>
        <v>4346764</v>
      </c>
      <c r="T52" s="4">
        <f ca="1">_xll.DBRW($B$1,$B$2,$B$7,$B$3,$B$4,$B$5,$F52,$B$6,T$10,$A52,$B52)</f>
        <v>4702948</v>
      </c>
      <c r="U52" s="4">
        <f ca="1">_xll.DBRW($B$1,$B$2,$B$7,$B$3,$B$4,$B$5,$F52,$B$6,U$10,$A52,$B52)</f>
        <v>4089520</v>
      </c>
      <c r="V52" s="4">
        <f ca="1">_xll.DBRW($B$1,$B$2,$B$7,$B$3,$B$4,$B$5,$F52,$B$6,V$10,$A52,$B52)</f>
        <v>4702948</v>
      </c>
      <c r="W52" s="4">
        <f ca="1">_xll.DBRW($B$1,$B$2,$B$7,$B$3,$B$4,$B$5,$F52,$B$6,W$10,$A52,$B52)</f>
        <v>6134280</v>
      </c>
      <c r="X52" s="4">
        <f ca="1">_xll.DBRW($B$1,$B$2,$B$7,$B$3,$B$4,$B$5,$F52,$B$6,X$10,$A52,$B52)</f>
        <v>6338756</v>
      </c>
      <c r="Y52" s="4">
        <f ca="1">_xll.DBRW($B$1,$B$2,$B$7,$B$3,$B$4,$B$5,$F52,$B$6,Y$10,$A52,$B52)</f>
        <v>6134280</v>
      </c>
      <c r="Z52" s="4">
        <f ca="1">_xll.DBRW($B$1,$B$2,$B$7,$B$3,$B$4,$B$5,$F52,$B$6,Z$10,$A52,$B52)</f>
        <v>6338756</v>
      </c>
      <c r="AA52" s="4">
        <f ca="1">_xll.DBRW($B$1,$B$2,$B$7,$B$3,$B$4,$B$5,$F52,$B$6,AA$10,$A52,$B52)</f>
        <v>6338756</v>
      </c>
      <c r="AB52" s="4">
        <f ca="1">_xll.DBRW($B$1,$B$2,$B$7,$B$3,$B$4,$B$5,$F52,$B$6,AB$10,$A52,$B52)</f>
        <v>6134280</v>
      </c>
      <c r="AC52" s="4">
        <f ca="1">_xll.DBRW($B$1,$B$2,$B$7,$B$3,$B$4,$B$5,$F52,$B$6,AC$10,$A52,$B52)</f>
        <v>5929804</v>
      </c>
      <c r="AD52" s="4">
        <f ca="1">_xll.DBRW($B$1,$B$2,$B$7,$B$3,$B$4,$B$5,$F52,$B$6,AD$10,$A52,$B52)</f>
        <v>4293996</v>
      </c>
      <c r="AE52" s="4">
        <f ca="1">_xll.DBRW($B$1,$B$2,$B$7,$B$3,$B$4,$B$5,$F52,$B$6,AE$10,$A52,$B52)</f>
        <v>4293996</v>
      </c>
    </row>
    <row r="53" spans="1:31">
      <c r="A53" s="1" t="s">
        <v>152</v>
      </c>
      <c r="B53" s="5" t="s">
        <v>199</v>
      </c>
      <c r="C53" s="5" t="s">
        <v>189</v>
      </c>
      <c r="D53" s="5" t="s">
        <v>21</v>
      </c>
      <c r="E53" s="5" t="s">
        <v>20</v>
      </c>
      <c r="F53" s="5" t="s">
        <v>22</v>
      </c>
      <c r="G53" s="6"/>
      <c r="H53" s="6"/>
      <c r="I53" s="6"/>
      <c r="J53" s="6"/>
      <c r="K53" s="6"/>
      <c r="L53" s="4">
        <f ca="1">_xll.DBRW($B$1,$B$2,$B$7,$B$3,$B$4,$B$5,$F53,$B$6,L$10,$A53,$B53)</f>
        <v>0</v>
      </c>
      <c r="M53" s="4">
        <f ca="1">_xll.DBRW($B$1,$B$2,$B$7,$B$3,$B$4,$B$5,$F53,$B$6,M$10,$A53,$B53)</f>
        <v>0</v>
      </c>
      <c r="N53" s="4">
        <f ca="1">_xll.DBRW($B$1,$B$2,$B$7,$B$3,$B$4,$B$5,$F53,$B$6,N$10,$A53,$B53)</f>
        <v>0</v>
      </c>
      <c r="O53" s="4">
        <f ca="1">_xll.DBRW($B$1,$B$2,$B$7,$B$3,$B$4,$B$5,$F53,$B$6,O$10,$A53,$B53)</f>
        <v>298144</v>
      </c>
      <c r="P53" s="4">
        <f ca="1">_xll.DBRW($B$1,$B$2,$B$7,$B$3,$B$4,$B$5,$F53,$B$6,P$10,$A53,$B53)</f>
        <v>0</v>
      </c>
      <c r="Q53" s="4">
        <f ca="1">_xll.DBRW($B$1,$B$2,$B$7,$B$3,$B$4,$B$5,$F53,$B$6,Q$10,$A53,$B53)</f>
        <v>0</v>
      </c>
      <c r="R53" s="4">
        <f ca="1">_xll.DBRW($B$1,$B$2,$B$7,$B$3,$B$4,$B$5,$F53,$B$6,R$10,$A53,$B53)</f>
        <v>0</v>
      </c>
      <c r="S53" s="4">
        <f ca="1">_xll.DBRW($B$1,$B$2,$B$7,$B$3,$B$4,$B$5,$F53,$B$6,S$10,$A53,$B53)</f>
        <v>0</v>
      </c>
      <c r="T53" s="4">
        <f ca="1">_xll.DBRW($B$1,$B$2,$B$7,$B$3,$B$4,$B$5,$F53,$B$6,T$10,$A53,$B53)</f>
        <v>0</v>
      </c>
      <c r="U53" s="4">
        <f ca="1">_xll.DBRW($B$1,$B$2,$B$7,$B$3,$B$4,$B$5,$F53,$B$6,U$10,$A53,$B53)</f>
        <v>0</v>
      </c>
      <c r="V53" s="4">
        <f ca="1">_xll.DBRW($B$1,$B$2,$B$7,$B$3,$B$4,$B$5,$F53,$B$6,V$10,$A53,$B53)</f>
        <v>433664</v>
      </c>
      <c r="W53" s="4">
        <f ca="1">_xll.DBRW($B$1,$B$2,$B$7,$B$3,$B$4,$B$5,$F53,$B$6,W$10,$A53,$B53)</f>
        <v>6504960</v>
      </c>
      <c r="X53" s="4">
        <f ca="1">_xll.DBRW($B$1,$B$2,$B$7,$B$3,$B$4,$B$5,$F53,$B$6,X$10,$A53,$B53)</f>
        <v>6721792</v>
      </c>
      <c r="Y53" s="4">
        <f ca="1">_xll.DBRW($B$1,$B$2,$B$7,$B$3,$B$4,$B$5,$F53,$B$6,Y$10,$A53,$B53)</f>
        <v>6504960</v>
      </c>
      <c r="Z53" s="4">
        <f ca="1">_xll.DBRW($B$1,$B$2,$B$7,$B$3,$B$4,$B$5,$F53,$B$6,Z$10,$A53,$B53)</f>
        <v>6721792</v>
      </c>
      <c r="AA53" s="4">
        <f ca="1">_xll.DBRW($B$1,$B$2,$B$7,$B$3,$B$4,$B$5,$F53,$B$6,AA$10,$A53,$B53)</f>
        <v>6721792</v>
      </c>
      <c r="AB53" s="4">
        <f ca="1">_xll.DBRW($B$1,$B$2,$B$7,$B$3,$B$4,$B$5,$F53,$B$6,AB$10,$A53,$B53)</f>
        <v>6504960</v>
      </c>
      <c r="AC53" s="4">
        <f ca="1">_xll.DBRW($B$1,$B$2,$B$7,$B$3,$B$4,$B$5,$F53,$B$6,AC$10,$A53,$B53)</f>
        <v>5420800</v>
      </c>
      <c r="AD53" s="4">
        <f ca="1">_xll.DBRW($B$1,$B$2,$B$7,$B$3,$B$4,$B$5,$F53,$B$6,AD$10,$A53,$B53)</f>
        <v>0</v>
      </c>
      <c r="AE53" s="4">
        <f ca="1">_xll.DBRW($B$1,$B$2,$B$7,$B$3,$B$4,$B$5,$F53,$B$6,AE$10,$A53,$B53)</f>
        <v>0</v>
      </c>
    </row>
    <row r="54" spans="1:31">
      <c r="A54" s="1" t="s">
        <v>152</v>
      </c>
      <c r="B54" s="5" t="s">
        <v>23</v>
      </c>
      <c r="C54" s="5" t="s">
        <v>19</v>
      </c>
      <c r="D54" s="5" t="s">
        <v>20</v>
      </c>
      <c r="E54" s="5" t="s">
        <v>21</v>
      </c>
      <c r="F54" s="5" t="s">
        <v>22</v>
      </c>
      <c r="G54" s="6"/>
      <c r="H54" s="6"/>
      <c r="I54" s="6"/>
      <c r="J54" s="6"/>
      <c r="K54" s="6"/>
      <c r="L54" s="4">
        <f ca="1">_xll.DBRW($B$1,$B$2,$B$7,$B$3,$B$4,$B$5,$F54,$B$6,L$10,$A54,$B54)</f>
        <v>0</v>
      </c>
      <c r="M54" s="4">
        <f ca="1">_xll.DBRW($B$1,$B$2,$B$7,$B$3,$B$4,$B$5,$F54,$B$6,M$10,$A54,$B54)</f>
        <v>0</v>
      </c>
      <c r="N54" s="4">
        <f ca="1">_xll.DBRW($B$1,$B$2,$B$7,$B$3,$B$4,$B$5,$F54,$B$6,N$10,$A54,$B54)</f>
        <v>0</v>
      </c>
      <c r="O54" s="4">
        <f ca="1">_xll.DBRW($B$1,$B$2,$B$7,$B$3,$B$4,$B$5,$F54,$B$6,O$10,$A54,$B54)</f>
        <v>0</v>
      </c>
      <c r="P54" s="4">
        <f ca="1">_xll.DBRW($B$1,$B$2,$B$7,$B$3,$B$4,$B$5,$F54,$B$6,P$10,$A54,$B54)</f>
        <v>0</v>
      </c>
      <c r="Q54" s="4">
        <f ca="1">_xll.DBRW($B$1,$B$2,$B$7,$B$3,$B$4,$B$5,$F54,$B$6,Q$10,$A54,$B54)</f>
        <v>0</v>
      </c>
      <c r="R54" s="4">
        <f ca="1">_xll.DBRW($B$1,$B$2,$B$7,$B$3,$B$4,$B$5,$F54,$B$6,R$10,$A54,$B54)</f>
        <v>0</v>
      </c>
      <c r="S54" s="4">
        <f ca="1">_xll.DBRW($B$1,$B$2,$B$7,$B$3,$B$4,$B$5,$F54,$B$6,S$10,$A54,$B54)</f>
        <v>0</v>
      </c>
      <c r="T54" s="4">
        <f ca="1">_xll.DBRW($B$1,$B$2,$B$7,$B$3,$B$4,$B$5,$F54,$B$6,T$10,$A54,$B54)</f>
        <v>0</v>
      </c>
      <c r="U54" s="4">
        <f ca="1">_xll.DBRW($B$1,$B$2,$B$7,$B$3,$B$4,$B$5,$F54,$B$6,U$10,$A54,$B54)</f>
        <v>0</v>
      </c>
      <c r="V54" s="4">
        <f ca="1">_xll.DBRW($B$1,$B$2,$B$7,$B$3,$B$4,$B$5,$F54,$B$6,V$10,$A54,$B54)</f>
        <v>433664</v>
      </c>
      <c r="W54" s="4">
        <f ca="1">_xll.DBRW($B$1,$B$2,$B$7,$B$3,$B$4,$B$5,$F54,$B$6,W$10,$A54,$B54)</f>
        <v>6504960</v>
      </c>
      <c r="X54" s="4">
        <f ca="1">_xll.DBRW($B$1,$B$2,$B$7,$B$3,$B$4,$B$5,$F54,$B$6,X$10,$A54,$B54)</f>
        <v>6721792</v>
      </c>
      <c r="Y54" s="4">
        <f ca="1">_xll.DBRW($B$1,$B$2,$B$7,$B$3,$B$4,$B$5,$F54,$B$6,Y$10,$A54,$B54)</f>
        <v>6504960</v>
      </c>
      <c r="Z54" s="4">
        <f ca="1">_xll.DBRW($B$1,$B$2,$B$7,$B$3,$B$4,$B$5,$F54,$B$6,Z$10,$A54,$B54)</f>
        <v>6721792</v>
      </c>
      <c r="AA54" s="4">
        <f ca="1">_xll.DBRW($B$1,$B$2,$B$7,$B$3,$B$4,$B$5,$F54,$B$6,AA$10,$A54,$B54)</f>
        <v>6721792</v>
      </c>
      <c r="AB54" s="4">
        <f ca="1">_xll.DBRW($B$1,$B$2,$B$7,$B$3,$B$4,$B$5,$F54,$B$6,AB$10,$A54,$B54)</f>
        <v>6504960</v>
      </c>
      <c r="AC54" s="4">
        <f ca="1">_xll.DBRW($B$1,$B$2,$B$7,$B$3,$B$4,$B$5,$F54,$B$6,AC$10,$A54,$B54)</f>
        <v>5420800</v>
      </c>
      <c r="AD54" s="4">
        <f ca="1">_xll.DBRW($B$1,$B$2,$B$7,$B$3,$B$4,$B$5,$F54,$B$6,AD$10,$A54,$B54)</f>
        <v>0</v>
      </c>
      <c r="AE54" s="4">
        <f ca="1">_xll.DBRW($B$1,$B$2,$B$7,$B$3,$B$4,$B$5,$F54,$B$6,AE$10,$A54,$B54)</f>
        <v>0</v>
      </c>
    </row>
    <row r="55" spans="1:31">
      <c r="A55" s="1" t="s">
        <v>152</v>
      </c>
      <c r="B55" s="5" t="s">
        <v>200</v>
      </c>
      <c r="C55" s="5" t="s">
        <v>161</v>
      </c>
      <c r="D55" s="5" t="s">
        <v>21</v>
      </c>
      <c r="E55" s="5" t="s">
        <v>69</v>
      </c>
      <c r="F55" s="5" t="s">
        <v>22</v>
      </c>
      <c r="G55" s="6"/>
      <c r="H55" s="6"/>
      <c r="I55" s="6"/>
      <c r="J55" s="6"/>
      <c r="K55" s="6"/>
      <c r="L55" s="4">
        <f ca="1">_xll.DBRW($B$1,$B$2,$B$7,$B$3,$B$4,$B$5,$F55,$B$6,L$10,$A55,$B55)</f>
        <v>6622530</v>
      </c>
      <c r="M55" s="4">
        <f ca="1">_xll.DBRW($B$1,$B$2,$B$7,$B$3,$B$4,$B$5,$F55,$B$6,M$10,$A55,$B55)</f>
        <v>6401779</v>
      </c>
      <c r="N55" s="4">
        <f ca="1">_xll.DBRW($B$1,$B$2,$B$7,$B$3,$B$4,$B$5,$F55,$B$6,N$10,$A55,$B55)</f>
        <v>6843281</v>
      </c>
      <c r="O55" s="4">
        <f ca="1">_xll.DBRW($B$1,$B$2,$B$7,$B$3,$B$4,$B$5,$F55,$B$6,O$10,$A55,$B55)</f>
        <v>6843281</v>
      </c>
      <c r="P55" s="4">
        <f ca="1">_xll.DBRW($B$1,$B$2,$B$7,$B$3,$B$4,$B$5,$F55,$B$6,P$10,$A55,$B55)</f>
        <v>6622530</v>
      </c>
      <c r="Q55" s="4">
        <f ca="1">_xll.DBRW($B$1,$B$2,$B$7,$B$3,$B$4,$B$5,$F55,$B$6,Q$10,$A55,$B55)</f>
        <v>7049790</v>
      </c>
      <c r="R55" s="4">
        <f ca="1">_xll.DBRW($B$1,$B$2,$B$7,$B$3,$B$4,$B$5,$F55,$B$6,R$10,$A55,$B55)</f>
        <v>7519776</v>
      </c>
      <c r="S55" s="4">
        <f ca="1">_xll.DBRW($B$1,$B$2,$B$7,$B$3,$B$4,$B$5,$F55,$B$6,S$10,$A55,$B55)</f>
        <v>7833100</v>
      </c>
      <c r="T55" s="4">
        <f ca="1">_xll.DBRW($B$1,$B$2,$B$7,$B$3,$B$4,$B$5,$F55,$B$6,T$10,$A55,$B55)</f>
        <v>6971459</v>
      </c>
      <c r="U55" s="4">
        <f ca="1">_xll.DBRW($B$1,$B$2,$B$7,$B$3,$B$4,$B$5,$F55,$B$6,U$10,$A55,$B55)</f>
        <v>6294964</v>
      </c>
      <c r="V55" s="4">
        <f ca="1">_xll.DBRW($B$1,$B$2,$B$7,$B$3,$B$4,$B$5,$F55,$B$6,V$10,$A55,$B55)</f>
        <v>6964338</v>
      </c>
      <c r="W55" s="4">
        <f ca="1">_xll.DBRW($B$1,$B$2,$B$7,$B$3,$B$4,$B$5,$F55,$B$6,W$10,$A55,$B55)</f>
        <v>6622530</v>
      </c>
      <c r="X55" s="4">
        <f ca="1">_xll.DBRW($B$1,$B$2,$B$7,$B$3,$B$4,$B$5,$F55,$B$6,X$10,$A55,$B55)</f>
        <v>6843281</v>
      </c>
      <c r="Y55" s="4">
        <f ca="1">_xll.DBRW($B$1,$B$2,$B$7,$B$3,$B$4,$B$5,$F55,$B$6,Y$10,$A55,$B55)</f>
        <v>6622530</v>
      </c>
      <c r="Z55" s="4">
        <f ca="1">_xll.DBRW($B$1,$B$2,$B$7,$B$3,$B$4,$B$5,$F55,$B$6,Z$10,$A55,$B55)</f>
        <v>6843281</v>
      </c>
      <c r="AA55" s="4">
        <f ca="1">_xll.DBRW($B$1,$B$2,$B$7,$B$3,$B$4,$B$5,$F55,$B$6,AA$10,$A55,$B55)</f>
        <v>6843281</v>
      </c>
      <c r="AB55" s="4">
        <f ca="1">_xll.DBRW($B$1,$B$2,$B$7,$B$3,$B$4,$B$5,$F55,$B$6,AB$10,$A55,$B55)</f>
        <v>6622530</v>
      </c>
      <c r="AC55" s="4">
        <f ca="1">_xll.DBRW($B$1,$B$2,$B$7,$B$3,$B$4,$B$5,$F55,$B$6,AC$10,$A55,$B55)</f>
        <v>6864644</v>
      </c>
      <c r="AD55" s="4">
        <f ca="1">_xll.DBRW($B$1,$B$2,$B$7,$B$3,$B$4,$B$5,$F55,$B$6,AD$10,$A55,$B55)</f>
        <v>6750708</v>
      </c>
      <c r="AE55" s="4">
        <f ca="1">_xll.DBRW($B$1,$B$2,$B$7,$B$3,$B$4,$B$5,$F55,$B$6,AE$10,$A55,$B55)</f>
        <v>6957217</v>
      </c>
    </row>
    <row r="56" spans="1:31">
      <c r="A56" s="1" t="s">
        <v>152</v>
      </c>
      <c r="B56" s="5" t="s">
        <v>70</v>
      </c>
      <c r="C56" s="5" t="s">
        <v>68</v>
      </c>
      <c r="D56" s="5" t="s">
        <v>69</v>
      </c>
      <c r="E56" s="5" t="s">
        <v>21</v>
      </c>
      <c r="F56" s="5" t="s">
        <v>22</v>
      </c>
      <c r="G56" s="6"/>
      <c r="H56" s="6"/>
      <c r="I56" s="6"/>
      <c r="J56" s="6"/>
      <c r="K56" s="6"/>
      <c r="L56" s="4">
        <f ca="1">_xll.DBRW($B$1,$B$2,$B$7,$B$3,$B$4,$B$5,$F56,$B$6,L$10,$A56,$B56)</f>
        <v>6622530</v>
      </c>
      <c r="M56" s="4">
        <f ca="1">_xll.DBRW($B$1,$B$2,$B$7,$B$3,$B$4,$B$5,$F56,$B$6,M$10,$A56,$B56)</f>
        <v>6401779</v>
      </c>
      <c r="N56" s="4">
        <f ca="1">_xll.DBRW($B$1,$B$2,$B$7,$B$3,$B$4,$B$5,$F56,$B$6,N$10,$A56,$B56)</f>
        <v>6843281</v>
      </c>
      <c r="O56" s="4">
        <f ca="1">_xll.DBRW($B$1,$B$2,$B$7,$B$3,$B$4,$B$5,$F56,$B$6,O$10,$A56,$B56)</f>
        <v>6843281</v>
      </c>
      <c r="P56" s="4">
        <f ca="1">_xll.DBRW($B$1,$B$2,$B$7,$B$3,$B$4,$B$5,$F56,$B$6,P$10,$A56,$B56)</f>
        <v>6622530</v>
      </c>
      <c r="Q56" s="4">
        <f ca="1">_xll.DBRW($B$1,$B$2,$B$7,$B$3,$B$4,$B$5,$F56,$B$6,Q$10,$A56,$B56)</f>
        <v>7049790</v>
      </c>
      <c r="R56" s="4">
        <f ca="1">_xll.DBRW($B$1,$B$2,$B$7,$B$3,$B$4,$B$5,$F56,$B$6,R$10,$A56,$B56)</f>
        <v>7519776</v>
      </c>
      <c r="S56" s="4">
        <f ca="1">_xll.DBRW($B$1,$B$2,$B$7,$B$3,$B$4,$B$5,$F56,$B$6,S$10,$A56,$B56)</f>
        <v>7833100</v>
      </c>
      <c r="T56" s="4">
        <f ca="1">_xll.DBRW($B$1,$B$2,$B$7,$B$3,$B$4,$B$5,$F56,$B$6,T$10,$A56,$B56)</f>
        <v>6971459</v>
      </c>
      <c r="U56" s="4">
        <f ca="1">_xll.DBRW($B$1,$B$2,$B$7,$B$3,$B$4,$B$5,$F56,$B$6,U$10,$A56,$B56)</f>
        <v>6294964</v>
      </c>
      <c r="V56" s="4">
        <f ca="1">_xll.DBRW($B$1,$B$2,$B$7,$B$3,$B$4,$B$5,$F56,$B$6,V$10,$A56,$B56)</f>
        <v>6964338</v>
      </c>
      <c r="W56" s="4">
        <f ca="1">_xll.DBRW($B$1,$B$2,$B$7,$B$3,$B$4,$B$5,$F56,$B$6,W$10,$A56,$B56)</f>
        <v>6622530</v>
      </c>
      <c r="X56" s="4">
        <f ca="1">_xll.DBRW($B$1,$B$2,$B$7,$B$3,$B$4,$B$5,$F56,$B$6,X$10,$A56,$B56)</f>
        <v>6843281</v>
      </c>
      <c r="Y56" s="4">
        <f ca="1">_xll.DBRW($B$1,$B$2,$B$7,$B$3,$B$4,$B$5,$F56,$B$6,Y$10,$A56,$B56)</f>
        <v>6622530</v>
      </c>
      <c r="Z56" s="4">
        <f ca="1">_xll.DBRW($B$1,$B$2,$B$7,$B$3,$B$4,$B$5,$F56,$B$6,Z$10,$A56,$B56)</f>
        <v>6843281</v>
      </c>
      <c r="AA56" s="4">
        <f ca="1">_xll.DBRW($B$1,$B$2,$B$7,$B$3,$B$4,$B$5,$F56,$B$6,AA$10,$A56,$B56)</f>
        <v>6843281</v>
      </c>
      <c r="AB56" s="4">
        <f ca="1">_xll.DBRW($B$1,$B$2,$B$7,$B$3,$B$4,$B$5,$F56,$B$6,AB$10,$A56,$B56)</f>
        <v>6622530</v>
      </c>
      <c r="AC56" s="4">
        <f ca="1">_xll.DBRW($B$1,$B$2,$B$7,$B$3,$B$4,$B$5,$F56,$B$6,AC$10,$A56,$B56)</f>
        <v>6636772</v>
      </c>
      <c r="AD56" s="4">
        <f ca="1">_xll.DBRW($B$1,$B$2,$B$7,$B$3,$B$4,$B$5,$F56,$B$6,AD$10,$A56,$B56)</f>
        <v>6750708</v>
      </c>
      <c r="AE56" s="4">
        <f ca="1">_xll.DBRW($B$1,$B$2,$B$7,$B$3,$B$4,$B$5,$F56,$B$6,AE$10,$A56,$B56)</f>
        <v>6957217</v>
      </c>
    </row>
    <row r="57" spans="1:31">
      <c r="A57" s="1" t="s">
        <v>152</v>
      </c>
      <c r="B57" s="5" t="s">
        <v>201</v>
      </c>
      <c r="C57" s="5" t="s">
        <v>202</v>
      </c>
      <c r="D57" s="5" t="s">
        <v>28</v>
      </c>
      <c r="E57" s="5" t="s">
        <v>38</v>
      </c>
      <c r="F57" s="5" t="s">
        <v>22</v>
      </c>
      <c r="G57" s="6"/>
      <c r="H57" s="6"/>
      <c r="I57" s="6"/>
      <c r="J57" s="6"/>
      <c r="K57" s="6"/>
      <c r="L57" s="4">
        <f ca="1">_xll.DBRW($B$1,$B$2,$B$7,$B$3,$B$4,$B$5,$F57,$B$6,L$10,$A57,$B57)</f>
        <v>5166336</v>
      </c>
      <c r="M57" s="4">
        <f ca="1">_xll.DBRW($B$1,$B$2,$B$7,$B$3,$B$4,$B$5,$F57,$B$6,M$10,$A57,$B57)</f>
        <v>4999680</v>
      </c>
      <c r="N57" s="4">
        <f ca="1">_xll.DBRW($B$1,$B$2,$B$7,$B$3,$B$4,$B$5,$F57,$B$6,N$10,$A57,$B57)</f>
        <v>5166336</v>
      </c>
      <c r="O57" s="4">
        <f ca="1">_xll.DBRW($B$1,$B$2,$B$7,$B$3,$B$4,$B$5,$F57,$B$6,O$10,$A57,$B57)</f>
        <v>5166336</v>
      </c>
      <c r="P57" s="4">
        <f ca="1">_xll.DBRW($B$1,$B$2,$B$7,$B$3,$B$4,$B$5,$F57,$B$6,P$10,$A57,$B57)</f>
        <v>4999680</v>
      </c>
      <c r="Q57" s="4">
        <f ca="1">_xll.DBRW($B$1,$B$2,$B$7,$B$3,$B$4,$B$5,$F57,$B$6,Q$10,$A57,$B57)</f>
        <v>4666368</v>
      </c>
      <c r="R57" s="4">
        <f ca="1">_xll.DBRW($B$1,$B$2,$B$7,$B$3,$B$4,$B$5,$F57,$B$6,R$10,$A57,$B57)</f>
        <v>3499776</v>
      </c>
      <c r="S57" s="4">
        <f ca="1">_xll.DBRW($B$1,$B$2,$B$7,$B$3,$B$4,$B$5,$F57,$B$6,S$10,$A57,$B57)</f>
        <v>3833088</v>
      </c>
      <c r="T57" s="4">
        <f ca="1">_xll.DBRW($B$1,$B$2,$B$7,$B$3,$B$4,$B$5,$F57,$B$6,T$10,$A57,$B57)</f>
        <v>3666432</v>
      </c>
      <c r="U57" s="4">
        <f ca="1">_xll.DBRW($B$1,$B$2,$B$7,$B$3,$B$4,$B$5,$F57,$B$6,U$10,$A57,$B57)</f>
        <v>3333120</v>
      </c>
      <c r="V57" s="4">
        <f ca="1">_xll.DBRW($B$1,$B$2,$B$7,$B$3,$B$4,$B$5,$F57,$B$6,V$10,$A57,$B57)</f>
        <v>3585792</v>
      </c>
      <c r="W57" s="4">
        <f ca="1">_xll.DBRW($B$1,$B$2,$B$7,$B$3,$B$4,$B$5,$F57,$B$6,W$10,$A57,$B57)</f>
        <v>3628800</v>
      </c>
      <c r="X57" s="4">
        <f ca="1">_xll.DBRW($B$1,$B$2,$B$7,$B$3,$B$4,$B$5,$F57,$B$6,X$10,$A57,$B57)</f>
        <v>3714816</v>
      </c>
      <c r="Y57" s="4">
        <f ca="1">_xll.DBRW($B$1,$B$2,$B$7,$B$3,$B$4,$B$5,$F57,$B$6,Y$10,$A57,$B57)</f>
        <v>3628800</v>
      </c>
      <c r="Z57" s="4">
        <f ca="1">_xll.DBRW($B$1,$B$2,$B$7,$B$3,$B$4,$B$5,$F57,$B$6,Z$10,$A57,$B57)</f>
        <v>3714816</v>
      </c>
      <c r="AA57" s="4">
        <f ca="1">_xll.DBRW($B$1,$B$2,$B$7,$B$3,$B$4,$B$5,$F57,$B$6,AA$10,$A57,$B57)</f>
        <v>3795456</v>
      </c>
      <c r="AB57" s="4">
        <f ca="1">_xll.DBRW($B$1,$B$2,$B$7,$B$3,$B$4,$B$5,$F57,$B$6,AB$10,$A57,$B57)</f>
        <v>3548160</v>
      </c>
      <c r="AC57" s="4">
        <f ca="1">_xll.DBRW($B$1,$B$2,$B$7,$B$3,$B$4,$B$5,$F57,$B$6,AC$10,$A57,$B57)</f>
        <v>3870720</v>
      </c>
      <c r="AD57" s="4">
        <f ca="1">_xll.DBRW($B$1,$B$2,$B$7,$B$3,$B$4,$B$5,$F57,$B$6,AD$10,$A57,$B57)</f>
        <v>3499776</v>
      </c>
      <c r="AE57" s="4">
        <f ca="1">_xll.DBRW($B$1,$B$2,$B$7,$B$3,$B$4,$B$5,$F57,$B$6,AE$10,$A57,$B57)</f>
        <v>3833088</v>
      </c>
    </row>
    <row r="58" spans="1:31">
      <c r="A58" s="1" t="s">
        <v>152</v>
      </c>
      <c r="B58" s="5" t="s">
        <v>45</v>
      </c>
      <c r="C58" s="5" t="s">
        <v>46</v>
      </c>
      <c r="D58" s="5" t="s">
        <v>38</v>
      </c>
      <c r="E58" s="5" t="s">
        <v>28</v>
      </c>
      <c r="F58" s="5" t="s">
        <v>22</v>
      </c>
      <c r="G58" s="6"/>
      <c r="H58" s="6"/>
      <c r="I58" s="6"/>
      <c r="J58" s="6"/>
      <c r="K58" s="6"/>
      <c r="L58" s="4">
        <f ca="1">_xll.DBRW($B$1,$B$2,$B$7,$B$3,$B$4,$B$5,$F58,$B$6,L$10,$A58,$B58)</f>
        <v>5166336</v>
      </c>
      <c r="M58" s="4">
        <f ca="1">_xll.DBRW($B$1,$B$2,$B$7,$B$3,$B$4,$B$5,$F58,$B$6,M$10,$A58,$B58)</f>
        <v>4999680</v>
      </c>
      <c r="N58" s="4">
        <f ca="1">_xll.DBRW($B$1,$B$2,$B$7,$B$3,$B$4,$B$5,$F58,$B$6,N$10,$A58,$B58)</f>
        <v>5166336</v>
      </c>
      <c r="O58" s="4">
        <f ca="1">_xll.DBRW($B$1,$B$2,$B$7,$B$3,$B$4,$B$5,$F58,$B$6,O$10,$A58,$B58)</f>
        <v>5166336</v>
      </c>
      <c r="P58" s="4">
        <f ca="1">_xll.DBRW($B$1,$B$2,$B$7,$B$3,$B$4,$B$5,$F58,$B$6,P$10,$A58,$B58)</f>
        <v>4999680</v>
      </c>
      <c r="Q58" s="4">
        <f ca="1">_xll.DBRW($B$1,$B$2,$B$7,$B$3,$B$4,$B$5,$F58,$B$6,Q$10,$A58,$B58)</f>
        <v>4666368</v>
      </c>
      <c r="R58" s="4">
        <f ca="1">_xll.DBRW($B$1,$B$2,$B$7,$B$3,$B$4,$B$5,$F58,$B$6,R$10,$A58,$B58)</f>
        <v>3499776</v>
      </c>
      <c r="S58" s="4">
        <f ca="1">_xll.DBRW($B$1,$B$2,$B$7,$B$3,$B$4,$B$5,$F58,$B$6,S$10,$A58,$B58)</f>
        <v>3833088</v>
      </c>
      <c r="T58" s="4">
        <f ca="1">_xll.DBRW($B$1,$B$2,$B$7,$B$3,$B$4,$B$5,$F58,$B$6,T$10,$A58,$B58)</f>
        <v>3666432</v>
      </c>
      <c r="U58" s="4">
        <f ca="1">_xll.DBRW($B$1,$B$2,$B$7,$B$3,$B$4,$B$5,$F58,$B$6,U$10,$A58,$B58)</f>
        <v>3333120</v>
      </c>
      <c r="V58" s="4">
        <f ca="1">_xll.DBRW($B$1,$B$2,$B$7,$B$3,$B$4,$B$5,$F58,$B$6,V$10,$A58,$B58)</f>
        <v>3585792</v>
      </c>
      <c r="W58" s="4">
        <f ca="1">_xll.DBRW($B$1,$B$2,$B$7,$B$3,$B$4,$B$5,$F58,$B$6,W$10,$A58,$B58)</f>
        <v>3628800</v>
      </c>
      <c r="X58" s="4">
        <f ca="1">_xll.DBRW($B$1,$B$2,$B$7,$B$3,$B$4,$B$5,$F58,$B$6,X$10,$A58,$B58)</f>
        <v>3714816</v>
      </c>
      <c r="Y58" s="4">
        <f ca="1">_xll.DBRW($B$1,$B$2,$B$7,$B$3,$B$4,$B$5,$F58,$B$6,Y$10,$A58,$B58)</f>
        <v>3628800</v>
      </c>
      <c r="Z58" s="4">
        <f ca="1">_xll.DBRW($B$1,$B$2,$B$7,$B$3,$B$4,$B$5,$F58,$B$6,Z$10,$A58,$B58)</f>
        <v>3714816</v>
      </c>
      <c r="AA58" s="4">
        <f ca="1">_xll.DBRW($B$1,$B$2,$B$7,$B$3,$B$4,$B$5,$F58,$B$6,AA$10,$A58,$B58)</f>
        <v>3795456</v>
      </c>
      <c r="AB58" s="4">
        <f ca="1">_xll.DBRW($B$1,$B$2,$B$7,$B$3,$B$4,$B$5,$F58,$B$6,AB$10,$A58,$B58)</f>
        <v>3548160</v>
      </c>
      <c r="AC58" s="4">
        <f ca="1">_xll.DBRW($B$1,$B$2,$B$7,$B$3,$B$4,$B$5,$F58,$B$6,AC$10,$A58,$B58)</f>
        <v>3704064</v>
      </c>
      <c r="AD58" s="4">
        <f ca="1">_xll.DBRW($B$1,$B$2,$B$7,$B$3,$B$4,$B$5,$F58,$B$6,AD$10,$A58,$B58)</f>
        <v>3499776</v>
      </c>
      <c r="AE58" s="4">
        <f ca="1">_xll.DBRW($B$1,$B$2,$B$7,$B$3,$B$4,$B$5,$F58,$B$6,AE$10,$A58,$B58)</f>
        <v>3833088</v>
      </c>
    </row>
    <row r="59" spans="1:31">
      <c r="A59" s="1" t="s">
        <v>152</v>
      </c>
      <c r="B59" s="5" t="s">
        <v>203</v>
      </c>
      <c r="C59" s="5" t="s">
        <v>204</v>
      </c>
      <c r="D59" s="5" t="s">
        <v>21</v>
      </c>
      <c r="E59" s="5" t="s">
        <v>80</v>
      </c>
      <c r="F59" s="5" t="s">
        <v>22</v>
      </c>
      <c r="G59" s="6"/>
      <c r="H59" s="6"/>
      <c r="I59" s="6"/>
      <c r="J59" s="6"/>
      <c r="K59" s="6"/>
      <c r="L59" s="4">
        <f ca="1">_xll.DBRW($B$1,$B$2,$B$7,$B$3,$B$4,$B$5,$F59,$B$6,L$10,$A59,$B59)</f>
        <v>6835374</v>
      </c>
      <c r="M59" s="4">
        <f ca="1">_xll.DBRW($B$1,$B$2,$B$7,$B$3,$B$4,$B$5,$F59,$B$6,M$10,$A59,$B59)</f>
        <v>6601140</v>
      </c>
      <c r="N59" s="4">
        <f ca="1">_xll.DBRW($B$1,$B$2,$B$7,$B$3,$B$4,$B$5,$F59,$B$6,N$10,$A59,$B59)</f>
        <v>6821178</v>
      </c>
      <c r="O59" s="4">
        <f ca="1">_xll.DBRW($B$1,$B$2,$B$7,$B$3,$B$4,$B$5,$F59,$B$6,O$10,$A59,$B59)</f>
        <v>6821178</v>
      </c>
      <c r="P59" s="4">
        <f ca="1">_xll.DBRW($B$1,$B$2,$B$7,$B$3,$B$4,$B$5,$F59,$B$6,P$10,$A59,$B59)</f>
        <v>6743100</v>
      </c>
      <c r="Q59" s="4">
        <f ca="1">_xll.DBRW($B$1,$B$2,$B$7,$B$3,$B$4,$B$5,$F59,$B$6,Q$10,$A59,$B59)</f>
        <v>6977334</v>
      </c>
      <c r="R59" s="4">
        <f ca="1">_xll.DBRW($B$1,$B$2,$B$7,$B$3,$B$4,$B$5,$F59,$B$6,R$10,$A59,$B59)</f>
        <v>6814080</v>
      </c>
      <c r="S59" s="4">
        <f ca="1">_xll.DBRW($B$1,$B$2,$B$7,$B$3,$B$4,$B$5,$F59,$B$6,S$10,$A59,$B59)</f>
        <v>7041216</v>
      </c>
      <c r="T59" s="4">
        <f ca="1">_xll.DBRW($B$1,$B$2,$B$7,$B$3,$B$4,$B$5,$F59,$B$6,T$10,$A59,$B59)</f>
        <v>6821178</v>
      </c>
      <c r="U59" s="4">
        <f ca="1">_xll.DBRW($B$1,$B$2,$B$7,$B$3,$B$4,$B$5,$F59,$B$6,U$10,$A59,$B59)</f>
        <v>6161064</v>
      </c>
      <c r="V59" s="4">
        <f ca="1">_xll.DBRW($B$1,$B$2,$B$7,$B$3,$B$4,$B$5,$F59,$B$6,V$10,$A59,$B59)</f>
        <v>6821178</v>
      </c>
      <c r="W59" s="4">
        <f ca="1">_xll.DBRW($B$1,$B$2,$B$7,$B$3,$B$4,$B$5,$F59,$B$6,W$10,$A59,$B59)</f>
        <v>6721806</v>
      </c>
      <c r="X59" s="4">
        <f ca="1">_xll.DBRW($B$1,$B$2,$B$7,$B$3,$B$4,$B$5,$F59,$B$6,X$10,$A59,$B59)</f>
        <v>6956040</v>
      </c>
      <c r="Y59" s="4">
        <f ca="1">_xll.DBRW($B$1,$B$2,$B$7,$B$3,$B$4,$B$5,$F59,$B$6,Y$10,$A59,$B59)</f>
        <v>6714708</v>
      </c>
      <c r="Z59" s="4">
        <f ca="1">_xll.DBRW($B$1,$B$2,$B$7,$B$3,$B$4,$B$5,$F59,$B$6,Z$10,$A59,$B59)</f>
        <v>6948942</v>
      </c>
      <c r="AA59" s="4">
        <f ca="1">_xll.DBRW($B$1,$B$2,$B$7,$B$3,$B$4,$B$5,$F59,$B$6,AA$10,$A59,$B59)</f>
        <v>6948942</v>
      </c>
      <c r="AB59" s="4">
        <f ca="1">_xll.DBRW($B$1,$B$2,$B$7,$B$3,$B$4,$B$5,$F59,$B$6,AB$10,$A59,$B59)</f>
        <v>6714708</v>
      </c>
      <c r="AC59" s="4">
        <f ca="1">_xll.DBRW($B$1,$B$2,$B$7,$B$3,$B$4,$B$5,$F59,$B$6,AC$10,$A59,$B59)</f>
        <v>6934746</v>
      </c>
      <c r="AD59" s="4">
        <f ca="1">_xll.DBRW($B$1,$B$2,$B$7,$B$3,$B$4,$B$5,$F59,$B$6,AD$10,$A59,$B59)</f>
        <v>6601140</v>
      </c>
      <c r="AE59" s="4">
        <f ca="1">_xll.DBRW($B$1,$B$2,$B$7,$B$3,$B$4,$B$5,$F59,$B$6,AE$10,$A59,$B59)</f>
        <v>6821178</v>
      </c>
    </row>
    <row r="60" spans="1:31">
      <c r="A60" s="1" t="s">
        <v>152</v>
      </c>
      <c r="B60" s="5" t="s">
        <v>78</v>
      </c>
      <c r="C60" s="5" t="s">
        <v>79</v>
      </c>
      <c r="D60" s="5" t="s">
        <v>80</v>
      </c>
      <c r="E60" s="5" t="s">
        <v>21</v>
      </c>
      <c r="F60" s="5" t="s">
        <v>22</v>
      </c>
      <c r="G60" s="6"/>
      <c r="H60" s="6"/>
      <c r="I60" s="6"/>
      <c r="J60" s="6"/>
      <c r="K60" s="6"/>
      <c r="L60" s="4">
        <f ca="1">_xll.DBRW($B$1,$B$2,$B$7,$B$3,$B$4,$B$5,$F60,$B$6,L$10,$A60,$B60)</f>
        <v>6835374</v>
      </c>
      <c r="M60" s="4">
        <f ca="1">_xll.DBRW($B$1,$B$2,$B$7,$B$3,$B$4,$B$5,$F60,$B$6,M$10,$A60,$B60)</f>
        <v>6601140</v>
      </c>
      <c r="N60" s="4">
        <f ca="1">_xll.DBRW($B$1,$B$2,$B$7,$B$3,$B$4,$B$5,$F60,$B$6,N$10,$A60,$B60)</f>
        <v>6821178</v>
      </c>
      <c r="O60" s="4">
        <f ca="1">_xll.DBRW($B$1,$B$2,$B$7,$B$3,$B$4,$B$5,$F60,$B$6,O$10,$A60,$B60)</f>
        <v>6821178</v>
      </c>
      <c r="P60" s="4">
        <f ca="1">_xll.DBRW($B$1,$B$2,$B$7,$B$3,$B$4,$B$5,$F60,$B$6,P$10,$A60,$B60)</f>
        <v>6743100</v>
      </c>
      <c r="Q60" s="4">
        <f ca="1">_xll.DBRW($B$1,$B$2,$B$7,$B$3,$B$4,$B$5,$F60,$B$6,Q$10,$A60,$B60)</f>
        <v>6977334</v>
      </c>
      <c r="R60" s="4">
        <f ca="1">_xll.DBRW($B$1,$B$2,$B$7,$B$3,$B$4,$B$5,$F60,$B$6,R$10,$A60,$B60)</f>
        <v>6814080</v>
      </c>
      <c r="S60" s="4">
        <f ca="1">_xll.DBRW($B$1,$B$2,$B$7,$B$3,$B$4,$B$5,$F60,$B$6,S$10,$A60,$B60)</f>
        <v>7041216</v>
      </c>
      <c r="T60" s="4">
        <f ca="1">_xll.DBRW($B$1,$B$2,$B$7,$B$3,$B$4,$B$5,$F60,$B$6,T$10,$A60,$B60)</f>
        <v>6821178</v>
      </c>
      <c r="U60" s="4">
        <f ca="1">_xll.DBRW($B$1,$B$2,$B$7,$B$3,$B$4,$B$5,$F60,$B$6,U$10,$A60,$B60)</f>
        <v>6161064</v>
      </c>
      <c r="V60" s="4">
        <f ca="1">_xll.DBRW($B$1,$B$2,$B$7,$B$3,$B$4,$B$5,$F60,$B$6,V$10,$A60,$B60)</f>
        <v>6821178</v>
      </c>
      <c r="W60" s="4">
        <f ca="1">_xll.DBRW($B$1,$B$2,$B$7,$B$3,$B$4,$B$5,$F60,$B$6,W$10,$A60,$B60)</f>
        <v>6721806</v>
      </c>
      <c r="X60" s="4">
        <f ca="1">_xll.DBRW($B$1,$B$2,$B$7,$B$3,$B$4,$B$5,$F60,$B$6,X$10,$A60,$B60)</f>
        <v>6956040</v>
      </c>
      <c r="Y60" s="4">
        <f ca="1">_xll.DBRW($B$1,$B$2,$B$7,$B$3,$B$4,$B$5,$F60,$B$6,Y$10,$A60,$B60)</f>
        <v>6714708</v>
      </c>
      <c r="Z60" s="4">
        <f ca="1">_xll.DBRW($B$1,$B$2,$B$7,$B$3,$B$4,$B$5,$F60,$B$6,Z$10,$A60,$B60)</f>
        <v>6948942</v>
      </c>
      <c r="AA60" s="4">
        <f ca="1">_xll.DBRW($B$1,$B$2,$B$7,$B$3,$B$4,$B$5,$F60,$B$6,AA$10,$A60,$B60)</f>
        <v>6948942</v>
      </c>
      <c r="AB60" s="4">
        <f ca="1">_xll.DBRW($B$1,$B$2,$B$7,$B$3,$B$4,$B$5,$F60,$B$6,AB$10,$A60,$B60)</f>
        <v>6714708</v>
      </c>
      <c r="AC60" s="4">
        <f ca="1">_xll.DBRW($B$1,$B$2,$B$7,$B$3,$B$4,$B$5,$F60,$B$6,AC$10,$A60,$B60)</f>
        <v>6707610</v>
      </c>
      <c r="AD60" s="4">
        <f ca="1">_xll.DBRW($B$1,$B$2,$B$7,$B$3,$B$4,$B$5,$F60,$B$6,AD$10,$A60,$B60)</f>
        <v>6601140</v>
      </c>
      <c r="AE60" s="4">
        <f ca="1">_xll.DBRW($B$1,$B$2,$B$7,$B$3,$B$4,$B$5,$F60,$B$6,AE$10,$A60,$B60)</f>
        <v>6601140</v>
      </c>
    </row>
    <row r="61" spans="1:31">
      <c r="A61" s="1" t="s">
        <v>152</v>
      </c>
      <c r="B61" s="5" t="s">
        <v>205</v>
      </c>
      <c r="C61" s="5" t="s">
        <v>206</v>
      </c>
      <c r="D61" s="5" t="s">
        <v>21</v>
      </c>
      <c r="E61" s="5" t="s">
        <v>181</v>
      </c>
      <c r="F61" s="5" t="s">
        <v>22</v>
      </c>
      <c r="G61" s="6"/>
      <c r="H61" s="6"/>
      <c r="I61" s="6"/>
      <c r="J61" s="6"/>
      <c r="K61" s="6"/>
      <c r="L61" s="4">
        <f ca="1">_xll.DBRW($B$1,$B$2,$B$7,$B$3,$B$4,$B$5,$F61,$B$6,L$10,$A61,$B61)</f>
        <v>1674496</v>
      </c>
      <c r="M61" s="4">
        <f ca="1">_xll.DBRW($B$1,$B$2,$B$7,$B$3,$B$4,$B$5,$F61,$B$6,M$10,$A61,$B61)</f>
        <v>837248</v>
      </c>
      <c r="N61" s="4">
        <f ca="1">_xll.DBRW($B$1,$B$2,$B$7,$B$3,$B$4,$B$5,$F61,$B$6,N$10,$A61,$B61)</f>
        <v>837248</v>
      </c>
      <c r="O61" s="4">
        <f ca="1">_xll.DBRW($B$1,$B$2,$B$7,$B$3,$B$4,$B$5,$F61,$B$6,O$10,$A61,$B61)</f>
        <v>1046560</v>
      </c>
      <c r="P61" s="4">
        <f ca="1">_xll.DBRW($B$1,$B$2,$B$7,$B$3,$B$4,$B$5,$F61,$B$6,P$10,$A61,$B61)</f>
        <v>837248</v>
      </c>
      <c r="Q61" s="4">
        <f ca="1">_xll.DBRW($B$1,$B$2,$B$7,$B$3,$B$4,$B$5,$F61,$B$6,Q$10,$A61,$B61)</f>
        <v>2147136</v>
      </c>
      <c r="R61" s="4">
        <f ca="1">_xll.DBRW($B$1,$B$2,$B$7,$B$3,$B$4,$B$5,$F61,$B$6,R$10,$A61,$B61)</f>
        <v>6974816</v>
      </c>
      <c r="S61" s="4">
        <f ca="1">_xll.DBRW($B$1,$B$2,$B$7,$B$3,$B$4,$B$5,$F61,$B$6,S$10,$A61,$B61)</f>
        <v>8885632</v>
      </c>
      <c r="T61" s="4">
        <f ca="1">_xll.DBRW($B$1,$B$2,$B$7,$B$3,$B$4,$B$5,$F61,$B$6,T$10,$A61,$B61)</f>
        <v>7535232</v>
      </c>
      <c r="U61" s="4">
        <f ca="1">_xll.DBRW($B$1,$B$2,$B$7,$B$3,$B$4,$B$5,$F61,$B$6,U$10,$A61,$B61)</f>
        <v>6670976</v>
      </c>
      <c r="V61" s="4">
        <f ca="1">_xll.DBRW($B$1,$B$2,$B$7,$B$3,$B$4,$B$5,$F61,$B$6,V$10,$A61,$B61)</f>
        <v>4712896</v>
      </c>
      <c r="W61" s="4">
        <f ca="1">_xll.DBRW($B$1,$B$2,$B$7,$B$3,$B$4,$B$5,$F61,$B$6,W$10,$A61,$B61)</f>
        <v>1674496</v>
      </c>
      <c r="X61" s="4">
        <f ca="1">_xll.DBRW($B$1,$B$2,$B$7,$B$3,$B$4,$B$5,$F61,$B$6,X$10,$A61,$B61)</f>
        <v>1883808</v>
      </c>
      <c r="Y61" s="4">
        <f ca="1">_xll.DBRW($B$1,$B$2,$B$7,$B$3,$B$4,$B$5,$F61,$B$6,Y$10,$A61,$B61)</f>
        <v>1883808</v>
      </c>
      <c r="Z61" s="4">
        <f ca="1">_xll.DBRW($B$1,$B$2,$B$7,$B$3,$B$4,$B$5,$F61,$B$6,Z$10,$A61,$B61)</f>
        <v>1674496</v>
      </c>
      <c r="AA61" s="4">
        <f ca="1">_xll.DBRW($B$1,$B$2,$B$7,$B$3,$B$4,$B$5,$F61,$B$6,AA$10,$A61,$B61)</f>
        <v>1883808</v>
      </c>
      <c r="AB61" s="4">
        <f ca="1">_xll.DBRW($B$1,$B$2,$B$7,$B$3,$B$4,$B$5,$F61,$B$6,AB$10,$A61,$B61)</f>
        <v>1883808</v>
      </c>
      <c r="AC61" s="4">
        <f ca="1">_xll.DBRW($B$1,$B$2,$B$7,$B$3,$B$4,$B$5,$F61,$B$6,AC$10,$A61,$B61)</f>
        <v>7568992</v>
      </c>
      <c r="AD61" s="4">
        <f ca="1">_xll.DBRW($B$1,$B$2,$B$7,$B$3,$B$4,$B$5,$F61,$B$6,AD$10,$A61,$B61)</f>
        <v>7143616</v>
      </c>
      <c r="AE61" s="4">
        <f ca="1">_xll.DBRW($B$1,$B$2,$B$7,$B$3,$B$4,$B$5,$F61,$B$6,AE$10,$A61,$B61)</f>
        <v>7352928</v>
      </c>
    </row>
    <row r="62" spans="1:31">
      <c r="A62" s="1" t="s">
        <v>152</v>
      </c>
      <c r="B62" s="5" t="s">
        <v>207</v>
      </c>
      <c r="C62" s="5" t="s">
        <v>208</v>
      </c>
      <c r="D62" s="5" t="s">
        <v>181</v>
      </c>
      <c r="E62" s="5" t="s">
        <v>21</v>
      </c>
      <c r="F62" s="5" t="s">
        <v>22</v>
      </c>
      <c r="G62" s="6"/>
      <c r="H62" s="6"/>
      <c r="I62" s="6"/>
      <c r="J62" s="6"/>
      <c r="K62" s="6"/>
      <c r="L62" s="4">
        <f ca="1">_xll.DBRW($B$1,$B$2,$B$7,$B$3,$B$4,$B$5,$F62,$B$6,L$10,$A62,$B62)</f>
        <v>1674496</v>
      </c>
      <c r="M62" s="4">
        <f ca="1">_xll.DBRW($B$1,$B$2,$B$7,$B$3,$B$4,$B$5,$F62,$B$6,M$10,$A62,$B62)</f>
        <v>837248</v>
      </c>
      <c r="N62" s="4">
        <f ca="1">_xll.DBRW($B$1,$B$2,$B$7,$B$3,$B$4,$B$5,$F62,$B$6,N$10,$A62,$B62)</f>
        <v>837248</v>
      </c>
      <c r="O62" s="4">
        <f ca="1">_xll.DBRW($B$1,$B$2,$B$7,$B$3,$B$4,$B$5,$F62,$B$6,O$10,$A62,$B62)</f>
        <v>1046560</v>
      </c>
      <c r="P62" s="4">
        <f ca="1">_xll.DBRW($B$1,$B$2,$B$7,$B$3,$B$4,$B$5,$F62,$B$6,P$10,$A62,$B62)</f>
        <v>837248</v>
      </c>
      <c r="Q62" s="4">
        <f ca="1">_xll.DBRW($B$1,$B$2,$B$7,$B$3,$B$4,$B$5,$F62,$B$6,Q$10,$A62,$B62)</f>
        <v>2147136</v>
      </c>
      <c r="R62" s="4">
        <f ca="1">_xll.DBRW($B$1,$B$2,$B$7,$B$3,$B$4,$B$5,$F62,$B$6,R$10,$A62,$B62)</f>
        <v>6974816</v>
      </c>
      <c r="S62" s="4">
        <f ca="1">_xll.DBRW($B$1,$B$2,$B$7,$B$3,$B$4,$B$5,$F62,$B$6,S$10,$A62,$B62)</f>
        <v>8885632</v>
      </c>
      <c r="T62" s="4">
        <f ca="1">_xll.DBRW($B$1,$B$2,$B$7,$B$3,$B$4,$B$5,$F62,$B$6,T$10,$A62,$B62)</f>
        <v>7535232</v>
      </c>
      <c r="U62" s="4">
        <f ca="1">_xll.DBRW($B$1,$B$2,$B$7,$B$3,$B$4,$B$5,$F62,$B$6,U$10,$A62,$B62)</f>
        <v>6670976</v>
      </c>
      <c r="V62" s="4">
        <f ca="1">_xll.DBRW($B$1,$B$2,$B$7,$B$3,$B$4,$B$5,$F62,$B$6,V$10,$A62,$B62)</f>
        <v>4712896</v>
      </c>
      <c r="W62" s="4">
        <f ca="1">_xll.DBRW($B$1,$B$2,$B$7,$B$3,$B$4,$B$5,$F62,$B$6,W$10,$A62,$B62)</f>
        <v>1674496</v>
      </c>
      <c r="X62" s="4">
        <f ca="1">_xll.DBRW($B$1,$B$2,$B$7,$B$3,$B$4,$B$5,$F62,$B$6,X$10,$A62,$B62)</f>
        <v>1883808</v>
      </c>
      <c r="Y62" s="4">
        <f ca="1">_xll.DBRW($B$1,$B$2,$B$7,$B$3,$B$4,$B$5,$F62,$B$6,Y$10,$A62,$B62)</f>
        <v>1883808</v>
      </c>
      <c r="Z62" s="4">
        <f ca="1">_xll.DBRW($B$1,$B$2,$B$7,$B$3,$B$4,$B$5,$F62,$B$6,Z$10,$A62,$B62)</f>
        <v>1674496</v>
      </c>
      <c r="AA62" s="4">
        <f ca="1">_xll.DBRW($B$1,$B$2,$B$7,$B$3,$B$4,$B$5,$F62,$B$6,AA$10,$A62,$B62)</f>
        <v>1883808</v>
      </c>
      <c r="AB62" s="4">
        <f ca="1">_xll.DBRW($B$1,$B$2,$B$7,$B$3,$B$4,$B$5,$F62,$B$6,AB$10,$A62,$B62)</f>
        <v>1883808</v>
      </c>
      <c r="AC62" s="4">
        <f ca="1">_xll.DBRW($B$1,$B$2,$B$7,$B$3,$B$4,$B$5,$F62,$B$6,AC$10,$A62,$B62)</f>
        <v>7568992</v>
      </c>
      <c r="AD62" s="4">
        <f ca="1">_xll.DBRW($B$1,$B$2,$B$7,$B$3,$B$4,$B$5,$F62,$B$6,AD$10,$A62,$B62)</f>
        <v>7143616</v>
      </c>
      <c r="AE62" s="4">
        <f ca="1">_xll.DBRW($B$1,$B$2,$B$7,$B$3,$B$4,$B$5,$F62,$B$6,AE$10,$A62,$B62)</f>
        <v>7352928</v>
      </c>
    </row>
    <row r="63" spans="1:31">
      <c r="A63" s="1" t="s">
        <v>152</v>
      </c>
      <c r="B63" s="5" t="s">
        <v>209</v>
      </c>
      <c r="C63" s="5" t="s">
        <v>210</v>
      </c>
      <c r="D63" s="5" t="s">
        <v>21</v>
      </c>
      <c r="E63" s="5" t="s">
        <v>211</v>
      </c>
      <c r="F63" s="5" t="s">
        <v>22</v>
      </c>
      <c r="G63" s="6"/>
      <c r="H63" s="6"/>
      <c r="I63" s="6"/>
      <c r="J63" s="6"/>
      <c r="K63" s="6"/>
      <c r="L63" s="4">
        <f ca="1">_xll.DBRW($B$1,$B$2,$B$7,$B$3,$B$4,$B$5,$F63,$B$6,L$10,$A63,$B63)</f>
        <v>1626136</v>
      </c>
      <c r="M63" s="4">
        <f ca="1">_xll.DBRW($B$1,$B$2,$B$7,$B$3,$B$4,$B$5,$F63,$B$6,M$10,$A63,$B63)</f>
        <v>0</v>
      </c>
      <c r="N63" s="4">
        <f ca="1">_xll.DBRW($B$1,$B$2,$B$7,$B$3,$B$4,$B$5,$F63,$B$6,N$10,$A63,$B63)</f>
        <v>0</v>
      </c>
      <c r="O63" s="4">
        <f ca="1">_xll.DBRW($B$1,$B$2,$B$7,$B$3,$B$4,$B$5,$F63,$B$6,O$10,$A63,$B63)</f>
        <v>0</v>
      </c>
      <c r="P63" s="4">
        <f ca="1">_xll.DBRW($B$1,$B$2,$B$7,$B$3,$B$4,$B$5,$F63,$B$6,P$10,$A63,$B63)</f>
        <v>0</v>
      </c>
      <c r="Q63" s="4">
        <f ca="1">_xll.DBRW($B$1,$B$2,$B$7,$B$3,$B$4,$B$5,$F63,$B$6,Q$10,$A63,$B63)</f>
        <v>609801</v>
      </c>
      <c r="R63" s="4">
        <f ca="1">_xll.DBRW($B$1,$B$2,$B$7,$B$3,$B$4,$B$5,$F63,$B$6,R$10,$A63,$B63)</f>
        <v>3455539</v>
      </c>
      <c r="S63" s="4">
        <f ca="1">_xll.DBRW($B$1,$B$2,$B$7,$B$3,$B$4,$B$5,$F63,$B$6,S$10,$A63,$B63)</f>
        <v>3658806</v>
      </c>
      <c r="T63" s="4">
        <f ca="1">_xll.DBRW($B$1,$B$2,$B$7,$B$3,$B$4,$B$5,$F63,$B$6,T$10,$A63,$B63)</f>
        <v>3658806</v>
      </c>
      <c r="U63" s="4">
        <f ca="1">_xll.DBRW($B$1,$B$2,$B$7,$B$3,$B$4,$B$5,$F63,$B$6,U$10,$A63,$B63)</f>
        <v>3252272</v>
      </c>
      <c r="V63" s="4">
        <f ca="1">_xll.DBRW($B$1,$B$2,$B$7,$B$3,$B$4,$B$5,$F63,$B$6,V$10,$A63,$B63)</f>
        <v>3252272</v>
      </c>
      <c r="W63" s="4">
        <f ca="1">_xll.DBRW($B$1,$B$2,$B$7,$B$3,$B$4,$B$5,$F63,$B$6,W$10,$A63,$B63)</f>
        <v>0</v>
      </c>
      <c r="X63" s="4">
        <f ca="1">_xll.DBRW($B$1,$B$2,$B$7,$B$3,$B$4,$B$5,$F63,$B$6,X$10,$A63,$B63)</f>
        <v>0</v>
      </c>
      <c r="Y63" s="4">
        <f ca="1">_xll.DBRW($B$1,$B$2,$B$7,$B$3,$B$4,$B$5,$F63,$B$6,Y$10,$A63,$B63)</f>
        <v>0</v>
      </c>
      <c r="Z63" s="4">
        <f ca="1">_xll.DBRW($B$1,$B$2,$B$7,$B$3,$B$4,$B$5,$F63,$B$6,Z$10,$A63,$B63)</f>
        <v>0</v>
      </c>
      <c r="AA63" s="4">
        <f ca="1">_xll.DBRW($B$1,$B$2,$B$7,$B$3,$B$4,$B$5,$F63,$B$6,AA$10,$A63,$B63)</f>
        <v>0</v>
      </c>
      <c r="AB63" s="4">
        <f ca="1">_xll.DBRW($B$1,$B$2,$B$7,$B$3,$B$4,$B$5,$F63,$B$6,AB$10,$A63,$B63)</f>
        <v>0</v>
      </c>
      <c r="AC63" s="4">
        <f ca="1">_xll.DBRW($B$1,$B$2,$B$7,$B$3,$B$4,$B$5,$F63,$B$6,AC$10,$A63,$B63)</f>
        <v>813068</v>
      </c>
      <c r="AD63" s="4">
        <f ca="1">_xll.DBRW($B$1,$B$2,$B$7,$B$3,$B$4,$B$5,$F63,$B$6,AD$10,$A63,$B63)</f>
        <v>3455539</v>
      </c>
      <c r="AE63" s="4">
        <f ca="1">_xll.DBRW($B$1,$B$2,$B$7,$B$3,$B$4,$B$5,$F63,$B$6,AE$10,$A63,$B63)</f>
        <v>3658806</v>
      </c>
    </row>
    <row r="64" spans="1:31">
      <c r="A64" s="1" t="s">
        <v>152</v>
      </c>
      <c r="B64" s="5" t="s">
        <v>212</v>
      </c>
      <c r="C64" s="5" t="s">
        <v>213</v>
      </c>
      <c r="D64" s="5" t="s">
        <v>211</v>
      </c>
      <c r="E64" s="5" t="s">
        <v>21</v>
      </c>
      <c r="F64" s="5" t="s">
        <v>22</v>
      </c>
      <c r="G64" s="6"/>
      <c r="H64" s="6"/>
      <c r="I64" s="6"/>
      <c r="J64" s="6"/>
      <c r="K64" s="6"/>
      <c r="L64" s="4">
        <f ca="1">_xll.DBRW($B$1,$B$2,$B$7,$B$3,$B$4,$B$5,$F64,$B$6,L$10,$A64,$B64)</f>
        <v>1626136</v>
      </c>
      <c r="M64" s="4">
        <f ca="1">_xll.DBRW($B$1,$B$2,$B$7,$B$3,$B$4,$B$5,$F64,$B$6,M$10,$A64,$B64)</f>
        <v>0</v>
      </c>
      <c r="N64" s="4">
        <f ca="1">_xll.DBRW($B$1,$B$2,$B$7,$B$3,$B$4,$B$5,$F64,$B$6,N$10,$A64,$B64)</f>
        <v>0</v>
      </c>
      <c r="O64" s="4">
        <f ca="1">_xll.DBRW($B$1,$B$2,$B$7,$B$3,$B$4,$B$5,$F64,$B$6,O$10,$A64,$B64)</f>
        <v>0</v>
      </c>
      <c r="P64" s="4">
        <f ca="1">_xll.DBRW($B$1,$B$2,$B$7,$B$3,$B$4,$B$5,$F64,$B$6,P$10,$A64,$B64)</f>
        <v>0</v>
      </c>
      <c r="Q64" s="4">
        <f ca="1">_xll.DBRW($B$1,$B$2,$B$7,$B$3,$B$4,$B$5,$F64,$B$6,Q$10,$A64,$B64)</f>
        <v>609801</v>
      </c>
      <c r="R64" s="4">
        <f ca="1">_xll.DBRW($B$1,$B$2,$B$7,$B$3,$B$4,$B$5,$F64,$B$6,R$10,$A64,$B64)</f>
        <v>3455539</v>
      </c>
      <c r="S64" s="4">
        <f ca="1">_xll.DBRW($B$1,$B$2,$B$7,$B$3,$B$4,$B$5,$F64,$B$6,S$10,$A64,$B64)</f>
        <v>3658806</v>
      </c>
      <c r="T64" s="4">
        <f ca="1">_xll.DBRW($B$1,$B$2,$B$7,$B$3,$B$4,$B$5,$F64,$B$6,T$10,$A64,$B64)</f>
        <v>3658806</v>
      </c>
      <c r="U64" s="4">
        <f ca="1">_xll.DBRW($B$1,$B$2,$B$7,$B$3,$B$4,$B$5,$F64,$B$6,U$10,$A64,$B64)</f>
        <v>3252272</v>
      </c>
      <c r="V64" s="4">
        <f ca="1">_xll.DBRW($B$1,$B$2,$B$7,$B$3,$B$4,$B$5,$F64,$B$6,V$10,$A64,$B64)</f>
        <v>3252272</v>
      </c>
      <c r="W64" s="4">
        <f ca="1">_xll.DBRW($B$1,$B$2,$B$7,$B$3,$B$4,$B$5,$F64,$B$6,W$10,$A64,$B64)</f>
        <v>0</v>
      </c>
      <c r="X64" s="4">
        <f ca="1">_xll.DBRW($B$1,$B$2,$B$7,$B$3,$B$4,$B$5,$F64,$B$6,X$10,$A64,$B64)</f>
        <v>0</v>
      </c>
      <c r="Y64" s="4">
        <f ca="1">_xll.DBRW($B$1,$B$2,$B$7,$B$3,$B$4,$B$5,$F64,$B$6,Y$10,$A64,$B64)</f>
        <v>0</v>
      </c>
      <c r="Z64" s="4">
        <f ca="1">_xll.DBRW($B$1,$B$2,$B$7,$B$3,$B$4,$B$5,$F64,$B$6,Z$10,$A64,$B64)</f>
        <v>0</v>
      </c>
      <c r="AA64" s="4">
        <f ca="1">_xll.DBRW($B$1,$B$2,$B$7,$B$3,$B$4,$B$5,$F64,$B$6,AA$10,$A64,$B64)</f>
        <v>0</v>
      </c>
      <c r="AB64" s="4">
        <f ca="1">_xll.DBRW($B$1,$B$2,$B$7,$B$3,$B$4,$B$5,$F64,$B$6,AB$10,$A64,$B64)</f>
        <v>0</v>
      </c>
      <c r="AC64" s="4">
        <f ca="1">_xll.DBRW($B$1,$B$2,$B$7,$B$3,$B$4,$B$5,$F64,$B$6,AC$10,$A64,$B64)</f>
        <v>813068</v>
      </c>
      <c r="AD64" s="4">
        <f ca="1">_xll.DBRW($B$1,$B$2,$B$7,$B$3,$B$4,$B$5,$F64,$B$6,AD$10,$A64,$B64)</f>
        <v>3455539</v>
      </c>
      <c r="AE64" s="4">
        <f ca="1">_xll.DBRW($B$1,$B$2,$B$7,$B$3,$B$4,$B$5,$F64,$B$6,AE$10,$A64,$B64)</f>
        <v>3658806</v>
      </c>
    </row>
    <row r="65" spans="1:31">
      <c r="A65" s="1" t="s">
        <v>152</v>
      </c>
      <c r="B65" s="5" t="s">
        <v>214</v>
      </c>
      <c r="C65" s="5" t="s">
        <v>187</v>
      </c>
      <c r="D65" s="5" t="s">
        <v>21</v>
      </c>
      <c r="E65" s="5" t="s">
        <v>59</v>
      </c>
      <c r="F65" s="5" t="s">
        <v>22</v>
      </c>
      <c r="G65" s="6"/>
      <c r="H65" s="6"/>
      <c r="I65" s="6"/>
      <c r="J65" s="6"/>
      <c r="K65" s="6"/>
      <c r="L65" s="4">
        <f ca="1">_xll.DBRW($B$1,$B$2,$B$7,$B$3,$B$4,$B$5,$F65,$B$6,L$10,$A65,$B65)</f>
        <v>3461584</v>
      </c>
      <c r="M65" s="4">
        <f ca="1">_xll.DBRW($B$1,$B$2,$B$7,$B$3,$B$4,$B$5,$F65,$B$6,M$10,$A65,$B65)</f>
        <v>3349920</v>
      </c>
      <c r="N65" s="4">
        <f ca="1">_xll.DBRW($B$1,$B$2,$B$7,$B$3,$B$4,$B$5,$F65,$B$6,N$10,$A65,$B65)</f>
        <v>3461584</v>
      </c>
      <c r="O65" s="4">
        <f ca="1">_xll.DBRW($B$1,$B$2,$B$7,$B$3,$B$4,$B$5,$F65,$B$6,O$10,$A65,$B65)</f>
        <v>3461584</v>
      </c>
      <c r="P65" s="4">
        <f ca="1">_xll.DBRW($B$1,$B$2,$B$7,$B$3,$B$4,$B$5,$F65,$B$6,P$10,$A65,$B65)</f>
        <v>3349920</v>
      </c>
      <c r="Q65" s="4">
        <f ca="1">_xll.DBRW($B$1,$B$2,$B$7,$B$3,$B$4,$B$5,$F65,$B$6,Q$10,$A65,$B65)</f>
        <v>3126592</v>
      </c>
      <c r="R65" s="4">
        <f ca="1">_xll.DBRW($B$1,$B$2,$B$7,$B$3,$B$4,$B$5,$F65,$B$6,R$10,$A65,$B65)</f>
        <v>1842456</v>
      </c>
      <c r="S65" s="4">
        <f ca="1">_xll.DBRW($B$1,$B$2,$B$7,$B$3,$B$4,$B$5,$F65,$B$6,S$10,$A65,$B65)</f>
        <v>0</v>
      </c>
      <c r="T65" s="4">
        <f ca="1">_xll.DBRW($B$1,$B$2,$B$7,$B$3,$B$4,$B$5,$F65,$B$6,T$10,$A65,$B65)</f>
        <v>0</v>
      </c>
      <c r="U65" s="4">
        <f ca="1">_xll.DBRW($B$1,$B$2,$B$7,$B$3,$B$4,$B$5,$F65,$B$6,U$10,$A65,$B65)</f>
        <v>0</v>
      </c>
      <c r="V65" s="4">
        <f ca="1">_xll.DBRW($B$1,$B$2,$B$7,$B$3,$B$4,$B$5,$F65,$B$6,V$10,$A65,$B65)</f>
        <v>223328</v>
      </c>
      <c r="W65" s="4">
        <f ca="1">_xll.DBRW($B$1,$B$2,$B$7,$B$3,$B$4,$B$5,$F65,$B$6,W$10,$A65,$B65)</f>
        <v>3349920</v>
      </c>
      <c r="X65" s="4">
        <f ca="1">_xll.DBRW($B$1,$B$2,$B$7,$B$3,$B$4,$B$5,$F65,$B$6,X$10,$A65,$B65)</f>
        <v>3461584</v>
      </c>
      <c r="Y65" s="4">
        <f ca="1">_xll.DBRW($B$1,$B$2,$B$7,$B$3,$B$4,$B$5,$F65,$B$6,Y$10,$A65,$B65)</f>
        <v>3349920</v>
      </c>
      <c r="Z65" s="4">
        <f ca="1">_xll.DBRW($B$1,$B$2,$B$7,$B$3,$B$4,$B$5,$F65,$B$6,Z$10,$A65,$B65)</f>
        <v>3461584</v>
      </c>
      <c r="AA65" s="4">
        <f ca="1">_xll.DBRW($B$1,$B$2,$B$7,$B$3,$B$4,$B$5,$F65,$B$6,AA$10,$A65,$B65)</f>
        <v>3461584</v>
      </c>
      <c r="AB65" s="4">
        <f ca="1">_xll.DBRW($B$1,$B$2,$B$7,$B$3,$B$4,$B$5,$F65,$B$6,AB$10,$A65,$B65)</f>
        <v>3349920</v>
      </c>
      <c r="AC65" s="4">
        <f ca="1">_xll.DBRW($B$1,$B$2,$B$7,$B$3,$B$4,$B$5,$F65,$B$6,AC$10,$A65,$B65)</f>
        <v>2791600</v>
      </c>
      <c r="AD65" s="4">
        <f ca="1">_xll.DBRW($B$1,$B$2,$B$7,$B$3,$B$4,$B$5,$F65,$B$6,AD$10,$A65,$B65)</f>
        <v>0</v>
      </c>
      <c r="AE65" s="4">
        <f ca="1">_xll.DBRW($B$1,$B$2,$B$7,$B$3,$B$4,$B$5,$F65,$B$6,AE$10,$A65,$B65)</f>
        <v>0</v>
      </c>
    </row>
    <row r="66" spans="1:31">
      <c r="A66" s="1" t="s">
        <v>152</v>
      </c>
      <c r="B66" s="5" t="s">
        <v>63</v>
      </c>
      <c r="C66" s="5" t="s">
        <v>62</v>
      </c>
      <c r="D66" s="5" t="s">
        <v>59</v>
      </c>
      <c r="E66" s="5" t="s">
        <v>21</v>
      </c>
      <c r="F66" s="5" t="s">
        <v>22</v>
      </c>
      <c r="G66" s="6"/>
      <c r="H66" s="6"/>
      <c r="I66" s="6"/>
      <c r="J66" s="6"/>
      <c r="K66" s="6"/>
      <c r="L66" s="4">
        <f ca="1">_xll.DBRW($B$1,$B$2,$B$7,$B$3,$B$4,$B$5,$F66,$B$6,L$10,$A66,$B66)</f>
        <v>3461584</v>
      </c>
      <c r="M66" s="4">
        <f ca="1">_xll.DBRW($B$1,$B$2,$B$7,$B$3,$B$4,$B$5,$F66,$B$6,M$10,$A66,$B66)</f>
        <v>3349920</v>
      </c>
      <c r="N66" s="4">
        <f ca="1">_xll.DBRW($B$1,$B$2,$B$7,$B$3,$B$4,$B$5,$F66,$B$6,N$10,$A66,$B66)</f>
        <v>3461584</v>
      </c>
      <c r="O66" s="4">
        <f ca="1">_xll.DBRW($B$1,$B$2,$B$7,$B$3,$B$4,$B$5,$F66,$B$6,O$10,$A66,$B66)</f>
        <v>3461584</v>
      </c>
      <c r="P66" s="4">
        <f ca="1">_xll.DBRW($B$1,$B$2,$B$7,$B$3,$B$4,$B$5,$F66,$B$6,P$10,$A66,$B66)</f>
        <v>3349920</v>
      </c>
      <c r="Q66" s="4">
        <f ca="1">_xll.DBRW($B$1,$B$2,$B$7,$B$3,$B$4,$B$5,$F66,$B$6,Q$10,$A66,$B66)</f>
        <v>3126592</v>
      </c>
      <c r="R66" s="4">
        <f ca="1">_xll.DBRW($B$1,$B$2,$B$7,$B$3,$B$4,$B$5,$F66,$B$6,R$10,$A66,$B66)</f>
        <v>1842456</v>
      </c>
      <c r="S66" s="4">
        <f ca="1">_xll.DBRW($B$1,$B$2,$B$7,$B$3,$B$4,$B$5,$F66,$B$6,S$10,$A66,$B66)</f>
        <v>0</v>
      </c>
      <c r="T66" s="4">
        <f ca="1">_xll.DBRW($B$1,$B$2,$B$7,$B$3,$B$4,$B$5,$F66,$B$6,T$10,$A66,$B66)</f>
        <v>0</v>
      </c>
      <c r="U66" s="4">
        <f ca="1">_xll.DBRW($B$1,$B$2,$B$7,$B$3,$B$4,$B$5,$F66,$B$6,U$10,$A66,$B66)</f>
        <v>0</v>
      </c>
      <c r="V66" s="4">
        <f ca="1">_xll.DBRW($B$1,$B$2,$B$7,$B$3,$B$4,$B$5,$F66,$B$6,V$10,$A66,$B66)</f>
        <v>223328</v>
      </c>
      <c r="W66" s="4">
        <f ca="1">_xll.DBRW($B$1,$B$2,$B$7,$B$3,$B$4,$B$5,$F66,$B$6,W$10,$A66,$B66)</f>
        <v>3768660</v>
      </c>
      <c r="X66" s="4">
        <f ca="1">_xll.DBRW($B$1,$B$2,$B$7,$B$3,$B$4,$B$5,$F66,$B$6,X$10,$A66,$B66)</f>
        <v>3985009</v>
      </c>
      <c r="Y66" s="4">
        <f ca="1">_xll.DBRW($B$1,$B$2,$B$7,$B$3,$B$4,$B$5,$F66,$B$6,Y$10,$A66,$B66)</f>
        <v>3768660</v>
      </c>
      <c r="Z66" s="4">
        <f ca="1">_xll.DBRW($B$1,$B$2,$B$7,$B$3,$B$4,$B$5,$F66,$B$6,Z$10,$A66,$B66)</f>
        <v>3985009</v>
      </c>
      <c r="AA66" s="4">
        <f ca="1">_xll.DBRW($B$1,$B$2,$B$7,$B$3,$B$4,$B$5,$F66,$B$6,AA$10,$A66,$B66)</f>
        <v>3880324</v>
      </c>
      <c r="AB66" s="4">
        <f ca="1">_xll.DBRW($B$1,$B$2,$B$7,$B$3,$B$4,$B$5,$F66,$B$6,AB$10,$A66,$B66)</f>
        <v>3768660</v>
      </c>
      <c r="AC66" s="4">
        <f ca="1">_xll.DBRW($B$1,$B$2,$B$7,$B$3,$B$4,$B$5,$F66,$B$6,AC$10,$A66,$B66)</f>
        <v>3210340</v>
      </c>
      <c r="AD66" s="4">
        <f ca="1">_xll.DBRW($B$1,$B$2,$B$7,$B$3,$B$4,$B$5,$F66,$B$6,AD$10,$A66,$B66)</f>
        <v>0</v>
      </c>
      <c r="AE66" s="4">
        <f ca="1">_xll.DBRW($B$1,$B$2,$B$7,$B$3,$B$4,$B$5,$F66,$B$6,AE$10,$A66,$B66)</f>
        <v>0</v>
      </c>
    </row>
    <row r="67" spans="1:31">
      <c r="A67" s="1" t="s">
        <v>152</v>
      </c>
      <c r="B67" s="5" t="s">
        <v>215</v>
      </c>
      <c r="C67" s="5" t="s">
        <v>159</v>
      </c>
      <c r="D67" s="5" t="s">
        <v>21</v>
      </c>
      <c r="E67" s="5" t="s">
        <v>38</v>
      </c>
      <c r="F67" s="5" t="s">
        <v>22</v>
      </c>
      <c r="G67" s="6"/>
      <c r="H67" s="6"/>
      <c r="I67" s="6"/>
      <c r="J67" s="6"/>
      <c r="K67" s="6"/>
      <c r="L67" s="4">
        <f ca="1">_xll.DBRW($B$1,$B$2,$B$7,$B$3,$B$4,$B$5,$F67,$B$6,L$10,$A67,$B67)</f>
        <v>7503454</v>
      </c>
      <c r="M67" s="4">
        <f ca="1">_xll.DBRW($B$1,$B$2,$B$7,$B$3,$B$4,$B$5,$F67,$B$6,M$10,$A67,$B67)</f>
        <v>7331280</v>
      </c>
      <c r="N67" s="4">
        <f ca="1">_xll.DBRW($B$1,$B$2,$B$7,$B$3,$B$4,$B$5,$F67,$B$6,N$10,$A67,$B67)</f>
        <v>7442360</v>
      </c>
      <c r="O67" s="4">
        <f ca="1">_xll.DBRW($B$1,$B$2,$B$7,$B$3,$B$4,$B$5,$F67,$B$6,O$10,$A67,$B67)</f>
        <v>7020256</v>
      </c>
      <c r="P67" s="4">
        <f ca="1">_xll.DBRW($B$1,$B$2,$B$7,$B$3,$B$4,$B$5,$F67,$B$6,P$10,$A67,$B67)</f>
        <v>7331280</v>
      </c>
      <c r="Q67" s="4">
        <f ca="1">_xll.DBRW($B$1,$B$2,$B$7,$B$3,$B$4,$B$5,$F67,$B$6,Q$10,$A67,$B67)</f>
        <v>7242416</v>
      </c>
      <c r="R67" s="4">
        <f ca="1">_xll.DBRW($B$1,$B$2,$B$7,$B$3,$B$4,$B$5,$F67,$B$6,R$10,$A67,$B67)</f>
        <v>6731448</v>
      </c>
      <c r="S67" s="4">
        <f ca="1">_xll.DBRW($B$1,$B$2,$B$7,$B$3,$B$4,$B$5,$F67,$B$6,S$10,$A67,$B67)</f>
        <v>6642584</v>
      </c>
      <c r="T67" s="4">
        <f ca="1">_xll.DBRW($B$1,$B$2,$B$7,$B$3,$B$4,$B$5,$F67,$B$6,T$10,$A67,$B67)</f>
        <v>5487352</v>
      </c>
      <c r="U67" s="4">
        <f ca="1">_xll.DBRW($B$1,$B$2,$B$7,$B$3,$B$4,$B$5,$F67,$B$6,U$10,$A67,$B67)</f>
        <v>5065248</v>
      </c>
      <c r="V67" s="4">
        <f ca="1">_xll.DBRW($B$1,$B$2,$B$7,$B$3,$B$4,$B$5,$F67,$B$6,V$10,$A67,$B67)</f>
        <v>5731728</v>
      </c>
      <c r="W67" s="4">
        <f ca="1">_xll.DBRW($B$1,$B$2,$B$7,$B$3,$B$4,$B$5,$F67,$B$6,W$10,$A67,$B67)</f>
        <v>7064688</v>
      </c>
      <c r="X67" s="4">
        <f ca="1">_xll.DBRW($B$1,$B$2,$B$7,$B$3,$B$4,$B$5,$F67,$B$6,X$10,$A67,$B67)</f>
        <v>7309064</v>
      </c>
      <c r="Y67" s="4">
        <f ca="1">_xll.DBRW($B$1,$B$2,$B$7,$B$3,$B$4,$B$5,$F67,$B$6,Y$10,$A67,$B67)</f>
        <v>6998040</v>
      </c>
      <c r="Z67" s="4">
        <f ca="1">_xll.DBRW($B$1,$B$2,$B$7,$B$3,$B$4,$B$5,$F67,$B$6,Z$10,$A67,$B67)</f>
        <v>7309064</v>
      </c>
      <c r="AA67" s="4">
        <f ca="1">_xll.DBRW($B$1,$B$2,$B$7,$B$3,$B$4,$B$5,$F67,$B$6,AA$10,$A67,$B67)</f>
        <v>7242416</v>
      </c>
      <c r="AB67" s="4">
        <f ca="1">_xll.DBRW($B$1,$B$2,$B$7,$B$3,$B$4,$B$5,$F67,$B$6,AB$10,$A67,$B67)</f>
        <v>7064688</v>
      </c>
      <c r="AC67" s="4">
        <f ca="1">_xll.DBRW($B$1,$B$2,$B$7,$B$3,$B$4,$B$5,$F67,$B$6,AC$10,$A67,$B67)</f>
        <v>6931392</v>
      </c>
      <c r="AD67" s="4">
        <f ca="1">_xll.DBRW($B$1,$B$2,$B$7,$B$3,$B$4,$B$5,$F67,$B$6,AD$10,$A67,$B67)</f>
        <v>5487352</v>
      </c>
      <c r="AE67" s="4">
        <f ca="1">_xll.DBRW($B$1,$B$2,$B$7,$B$3,$B$4,$B$5,$F67,$B$6,AE$10,$A67,$B67)</f>
        <v>5731728</v>
      </c>
    </row>
    <row r="68" spans="1:31">
      <c r="A68" s="1" t="s">
        <v>152</v>
      </c>
      <c r="B68" s="5" t="s">
        <v>43</v>
      </c>
      <c r="C68" s="5" t="s">
        <v>37</v>
      </c>
      <c r="D68" s="5" t="s">
        <v>38</v>
      </c>
      <c r="E68" s="5" t="s">
        <v>21</v>
      </c>
      <c r="F68" s="5" t="s">
        <v>22</v>
      </c>
      <c r="G68" s="6"/>
      <c r="H68" s="6"/>
      <c r="I68" s="6"/>
      <c r="J68" s="6"/>
      <c r="K68" s="6"/>
      <c r="L68" s="4">
        <f ca="1">_xll.DBRW($B$1,$B$2,$B$7,$B$3,$B$4,$B$5,$F68,$B$6,L$10,$A68,$B68)</f>
        <v>7231308</v>
      </c>
      <c r="M68" s="4">
        <f ca="1">_xll.DBRW($B$1,$B$2,$B$7,$B$3,$B$4,$B$5,$F68,$B$6,M$10,$A68,$B68)</f>
        <v>6975824</v>
      </c>
      <c r="N68" s="4">
        <f ca="1">_xll.DBRW($B$1,$B$2,$B$7,$B$3,$B$4,$B$5,$F68,$B$6,N$10,$A68,$B68)</f>
        <v>7220200</v>
      </c>
      <c r="O68" s="4">
        <f ca="1">_xll.DBRW($B$1,$B$2,$B$7,$B$3,$B$4,$B$5,$F68,$B$6,O$10,$A68,$B68)</f>
        <v>6481518</v>
      </c>
      <c r="P68" s="4">
        <f ca="1">_xll.DBRW($B$1,$B$2,$B$7,$B$3,$B$4,$B$5,$F68,$B$6,P$10,$A68,$B68)</f>
        <v>910856</v>
      </c>
      <c r="Q68" s="4">
        <f ca="1">_xll.DBRW($B$1,$B$2,$B$7,$B$3,$B$4,$B$5,$F68,$B$6,Q$10,$A68,$B68)</f>
        <v>1444040</v>
      </c>
      <c r="R68" s="4">
        <f ca="1">_xll.DBRW($B$1,$B$2,$B$7,$B$3,$B$4,$B$5,$F68,$B$6,R$10,$A68,$B68)</f>
        <v>6731448</v>
      </c>
      <c r="S68" s="4">
        <f ca="1">_xll.DBRW($B$1,$B$2,$B$7,$B$3,$B$4,$B$5,$F68,$B$6,S$10,$A68,$B68)</f>
        <v>6642584</v>
      </c>
      <c r="T68" s="4">
        <f ca="1">_xll.DBRW($B$1,$B$2,$B$7,$B$3,$B$4,$B$5,$F68,$B$6,T$10,$A68,$B68)</f>
        <v>7309064</v>
      </c>
      <c r="U68" s="4">
        <f ca="1">_xll.DBRW($B$1,$B$2,$B$7,$B$3,$B$4,$B$5,$F68,$B$6,U$10,$A68,$B68)</f>
        <v>6575936</v>
      </c>
      <c r="V68" s="4">
        <f ca="1">_xll.DBRW($B$1,$B$2,$B$7,$B$3,$B$4,$B$5,$F68,$B$6,V$10,$A68,$B68)</f>
        <v>7242416</v>
      </c>
      <c r="W68" s="4">
        <f ca="1">_xll.DBRW($B$1,$B$2,$B$7,$B$3,$B$4,$B$5,$F68,$B$6,W$10,$A68,$B68)</f>
        <v>7064688</v>
      </c>
      <c r="X68" s="4">
        <f ca="1">_xll.DBRW($B$1,$B$2,$B$7,$B$3,$B$4,$B$5,$F68,$B$6,X$10,$A68,$B68)</f>
        <v>7309064</v>
      </c>
      <c r="Y68" s="4">
        <f ca="1">_xll.DBRW($B$1,$B$2,$B$7,$B$3,$B$4,$B$5,$F68,$B$6,Y$10,$A68,$B68)</f>
        <v>6998040</v>
      </c>
      <c r="Z68" s="4">
        <f ca="1">_xll.DBRW($B$1,$B$2,$B$7,$B$3,$B$4,$B$5,$F68,$B$6,Z$10,$A68,$B68)</f>
        <v>7309064</v>
      </c>
      <c r="AA68" s="4">
        <f ca="1">_xll.DBRW($B$1,$B$2,$B$7,$B$3,$B$4,$B$5,$F68,$B$6,AA$10,$A68,$B68)</f>
        <v>7242416</v>
      </c>
      <c r="AB68" s="4">
        <f ca="1">_xll.DBRW($B$1,$B$2,$B$7,$B$3,$B$4,$B$5,$F68,$B$6,AB$10,$A68,$B68)</f>
        <v>7064688</v>
      </c>
      <c r="AC68" s="4">
        <f ca="1">_xll.DBRW($B$1,$B$2,$B$7,$B$3,$B$4,$B$5,$F68,$B$6,AC$10,$A68,$B68)</f>
        <v>7064688</v>
      </c>
      <c r="AD68" s="4">
        <f ca="1">_xll.DBRW($B$1,$B$2,$B$7,$B$3,$B$4,$B$5,$F68,$B$6,AD$10,$A68,$B68)</f>
        <v>7064688</v>
      </c>
      <c r="AE68" s="4">
        <f ca="1">_xll.DBRW($B$1,$B$2,$B$7,$B$3,$B$4,$B$5,$F68,$B$6,AE$10,$A68,$B68)</f>
        <v>6998040</v>
      </c>
    </row>
    <row r="69" spans="1:31">
      <c r="A69" s="1" t="s">
        <v>152</v>
      </c>
      <c r="B69" s="5" t="s">
        <v>216</v>
      </c>
      <c r="C69" s="5" t="s">
        <v>163</v>
      </c>
      <c r="D69" s="5" t="s">
        <v>21</v>
      </c>
      <c r="E69" s="5" t="s">
        <v>54</v>
      </c>
      <c r="F69" s="5" t="s">
        <v>22</v>
      </c>
      <c r="G69" s="6"/>
      <c r="H69" s="6"/>
      <c r="I69" s="6"/>
      <c r="J69" s="6"/>
      <c r="K69" s="6"/>
      <c r="L69" s="4">
        <f ca="1">_xll.DBRW($B$1,$B$2,$B$7,$B$3,$B$4,$B$5,$F69,$B$6,L$10,$A69,$B69)</f>
        <v>8437580</v>
      </c>
      <c r="M69" s="4">
        <f ca="1">_xll.DBRW($B$1,$B$2,$B$7,$B$3,$B$4,$B$5,$F69,$B$6,M$10,$A69,$B69)</f>
        <v>8165400</v>
      </c>
      <c r="N69" s="4">
        <f ca="1">_xll.DBRW($B$1,$B$2,$B$7,$B$3,$B$4,$B$5,$F69,$B$6,N$10,$A69,$B69)</f>
        <v>8437580</v>
      </c>
      <c r="O69" s="4">
        <f ca="1">_xll.DBRW($B$1,$B$2,$B$7,$B$3,$B$4,$B$5,$F69,$B$6,O$10,$A69,$B69)</f>
        <v>8437580</v>
      </c>
      <c r="P69" s="4">
        <f ca="1">_xll.DBRW($B$1,$B$2,$B$7,$B$3,$B$4,$B$5,$F69,$B$6,P$10,$A69,$B69)</f>
        <v>8165400</v>
      </c>
      <c r="Q69" s="4">
        <f ca="1">_xll.DBRW($B$1,$B$2,$B$7,$B$3,$B$4,$B$5,$F69,$B$6,Q$10,$A69,$B69)</f>
        <v>7076680</v>
      </c>
      <c r="R69" s="4">
        <f ca="1">_xll.DBRW($B$1,$B$2,$B$7,$B$3,$B$4,$B$5,$F69,$B$6,R$10,$A69,$B69)</f>
        <v>0</v>
      </c>
      <c r="S69" s="4">
        <f ca="1">_xll.DBRW($B$1,$B$2,$B$7,$B$3,$B$4,$B$5,$F69,$B$6,S$10,$A69,$B69)</f>
        <v>0</v>
      </c>
      <c r="T69" s="4">
        <f ca="1">_xll.DBRW($B$1,$B$2,$B$7,$B$3,$B$4,$B$5,$F69,$B$6,T$10,$A69,$B69)</f>
        <v>0</v>
      </c>
      <c r="U69" s="4">
        <f ca="1">_xll.DBRW($B$1,$B$2,$B$7,$B$3,$B$4,$B$5,$F69,$B$6,U$10,$A69,$B69)</f>
        <v>0</v>
      </c>
      <c r="V69" s="4">
        <f ca="1">_xll.DBRW($B$1,$B$2,$B$7,$B$3,$B$4,$B$5,$F69,$B$6,V$10,$A69,$B69)</f>
        <v>772640</v>
      </c>
      <c r="W69" s="4">
        <f ca="1">_xll.DBRW($B$1,$B$2,$B$7,$B$3,$B$4,$B$5,$F69,$B$6,W$10,$A69,$B69)</f>
        <v>11589600</v>
      </c>
      <c r="X69" s="4">
        <f ca="1">_xll.DBRW($B$1,$B$2,$B$7,$B$3,$B$4,$B$5,$F69,$B$6,X$10,$A69,$B69)</f>
        <v>11975920</v>
      </c>
      <c r="Y69" s="4">
        <f ca="1">_xll.DBRW($B$1,$B$2,$B$7,$B$3,$B$4,$B$5,$F69,$B$6,Y$10,$A69,$B69)</f>
        <v>11589600</v>
      </c>
      <c r="Z69" s="4">
        <f ca="1">_xll.DBRW($B$1,$B$2,$B$7,$B$3,$B$4,$B$5,$F69,$B$6,Z$10,$A69,$B69)</f>
        <v>11975920</v>
      </c>
      <c r="AA69" s="4">
        <f ca="1">_xll.DBRW($B$1,$B$2,$B$7,$B$3,$B$4,$B$5,$F69,$B$6,AA$10,$A69,$B69)</f>
        <v>11975920</v>
      </c>
      <c r="AB69" s="4">
        <f ca="1">_xll.DBRW($B$1,$B$2,$B$7,$B$3,$B$4,$B$5,$F69,$B$6,AB$10,$A69,$B69)</f>
        <v>11589600</v>
      </c>
      <c r="AC69" s="4">
        <f ca="1">_xll.DBRW($B$1,$B$2,$B$7,$B$3,$B$4,$B$5,$F69,$B$6,AC$10,$A69,$B69)</f>
        <v>9658000</v>
      </c>
      <c r="AD69" s="4">
        <f ca="1">_xll.DBRW($B$1,$B$2,$B$7,$B$3,$B$4,$B$5,$F69,$B$6,AD$10,$A69,$B69)</f>
        <v>0</v>
      </c>
      <c r="AE69" s="4">
        <f ca="1">_xll.DBRW($B$1,$B$2,$B$7,$B$3,$B$4,$B$5,$F69,$B$6,AE$10,$A69,$B69)</f>
        <v>0</v>
      </c>
    </row>
    <row r="70" spans="1:31">
      <c r="A70" s="1" t="s">
        <v>152</v>
      </c>
      <c r="B70" s="5" t="s">
        <v>56</v>
      </c>
      <c r="C70" s="5" t="s">
        <v>53</v>
      </c>
      <c r="D70" s="5" t="s">
        <v>54</v>
      </c>
      <c r="E70" s="5" t="s">
        <v>21</v>
      </c>
      <c r="F70" s="5" t="s">
        <v>22</v>
      </c>
      <c r="G70" s="6"/>
      <c r="H70" s="6"/>
      <c r="I70" s="6"/>
      <c r="J70" s="6"/>
      <c r="K70" s="6"/>
      <c r="L70" s="4">
        <f ca="1">_xll.DBRW($B$1,$B$2,$B$7,$B$3,$B$4,$B$5,$F70,$B$6,L$10,$A70,$B70)</f>
        <v>8437580</v>
      </c>
      <c r="M70" s="4">
        <f ca="1">_xll.DBRW($B$1,$B$2,$B$7,$B$3,$B$4,$B$5,$F70,$B$6,M$10,$A70,$B70)</f>
        <v>8165400</v>
      </c>
      <c r="N70" s="4">
        <f ca="1">_xll.DBRW($B$1,$B$2,$B$7,$B$3,$B$4,$B$5,$F70,$B$6,N$10,$A70,$B70)</f>
        <v>8437580</v>
      </c>
      <c r="O70" s="4">
        <f ca="1">_xll.DBRW($B$1,$B$2,$B$7,$B$3,$B$4,$B$5,$F70,$B$6,O$10,$A70,$B70)</f>
        <v>8437580</v>
      </c>
      <c r="P70" s="4">
        <f ca="1">_xll.DBRW($B$1,$B$2,$B$7,$B$3,$B$4,$B$5,$F70,$B$6,P$10,$A70,$B70)</f>
        <v>8165400</v>
      </c>
      <c r="Q70" s="4">
        <f ca="1">_xll.DBRW($B$1,$B$2,$B$7,$B$3,$B$4,$B$5,$F70,$B$6,Q$10,$A70,$B70)</f>
        <v>7076680</v>
      </c>
      <c r="R70" s="4">
        <f ca="1">_xll.DBRW($B$1,$B$2,$B$7,$B$3,$B$4,$B$5,$F70,$B$6,R$10,$A70,$B70)</f>
        <v>0</v>
      </c>
      <c r="S70" s="4">
        <f ca="1">_xll.DBRW($B$1,$B$2,$B$7,$B$3,$B$4,$B$5,$F70,$B$6,S$10,$A70,$B70)</f>
        <v>0</v>
      </c>
      <c r="T70" s="4">
        <f ca="1">_xll.DBRW($B$1,$B$2,$B$7,$B$3,$B$4,$B$5,$F70,$B$6,T$10,$A70,$B70)</f>
        <v>0</v>
      </c>
      <c r="U70" s="4">
        <f ca="1">_xll.DBRW($B$1,$B$2,$B$7,$B$3,$B$4,$B$5,$F70,$B$6,U$10,$A70,$B70)</f>
        <v>0</v>
      </c>
      <c r="V70" s="4">
        <f ca="1">_xll.DBRW($B$1,$B$2,$B$7,$B$3,$B$4,$B$5,$F70,$B$6,V$10,$A70,$B70)</f>
        <v>772640</v>
      </c>
      <c r="W70" s="4">
        <f ca="1">_xll.DBRW($B$1,$B$2,$B$7,$B$3,$B$4,$B$5,$F70,$B$6,W$10,$A70,$B70)</f>
        <v>11589600</v>
      </c>
      <c r="X70" s="4">
        <f ca="1">_xll.DBRW($B$1,$B$2,$B$7,$B$3,$B$4,$B$5,$F70,$B$6,X$10,$A70,$B70)</f>
        <v>11975920</v>
      </c>
      <c r="Y70" s="4">
        <f ca="1">_xll.DBRW($B$1,$B$2,$B$7,$B$3,$B$4,$B$5,$F70,$B$6,Y$10,$A70,$B70)</f>
        <v>11589600</v>
      </c>
      <c r="Z70" s="4">
        <f ca="1">_xll.DBRW($B$1,$B$2,$B$7,$B$3,$B$4,$B$5,$F70,$B$6,Z$10,$A70,$B70)</f>
        <v>11975920</v>
      </c>
      <c r="AA70" s="4">
        <f ca="1">_xll.DBRW($B$1,$B$2,$B$7,$B$3,$B$4,$B$5,$F70,$B$6,AA$10,$A70,$B70)</f>
        <v>11975920</v>
      </c>
      <c r="AB70" s="4">
        <f ca="1">_xll.DBRW($B$1,$B$2,$B$7,$B$3,$B$4,$B$5,$F70,$B$6,AB$10,$A70,$B70)</f>
        <v>11589600</v>
      </c>
      <c r="AC70" s="4">
        <f ca="1">_xll.DBRW($B$1,$B$2,$B$7,$B$3,$B$4,$B$5,$F70,$B$6,AC$10,$A70,$B70)</f>
        <v>9271680</v>
      </c>
      <c r="AD70" s="4">
        <f ca="1">_xll.DBRW($B$1,$B$2,$B$7,$B$3,$B$4,$B$5,$F70,$B$6,AD$10,$A70,$B70)</f>
        <v>0</v>
      </c>
      <c r="AE70" s="4">
        <f ca="1">_xll.DBRW($B$1,$B$2,$B$7,$B$3,$B$4,$B$5,$F70,$B$6,AE$10,$A70,$B70)</f>
        <v>0</v>
      </c>
    </row>
    <row r="71" spans="1:31">
      <c r="A71" s="1" t="s">
        <v>152</v>
      </c>
      <c r="B71" s="5" t="s">
        <v>217</v>
      </c>
      <c r="C71" s="5" t="s">
        <v>159</v>
      </c>
      <c r="D71" s="5" t="s">
        <v>21</v>
      </c>
      <c r="E71" s="5" t="s">
        <v>38</v>
      </c>
      <c r="F71" s="5" t="s">
        <v>22</v>
      </c>
      <c r="G71" s="6"/>
      <c r="H71" s="6"/>
      <c r="I71" s="6"/>
      <c r="J71" s="6"/>
      <c r="K71" s="6"/>
      <c r="L71" s="4">
        <f ca="1">_xll.DBRW($B$1,$B$2,$B$7,$B$3,$B$4,$B$5,$F71,$B$6,L$10,$A71,$B71)</f>
        <v>5681742</v>
      </c>
      <c r="M71" s="4">
        <f ca="1">_xll.DBRW($B$1,$B$2,$B$7,$B$3,$B$4,$B$5,$F71,$B$6,M$10,$A71,$B71)</f>
        <v>5459582</v>
      </c>
      <c r="N71" s="4">
        <f ca="1">_xll.DBRW($B$1,$B$2,$B$7,$B$3,$B$4,$B$5,$F71,$B$6,N$10,$A71,$B71)</f>
        <v>5626202</v>
      </c>
      <c r="O71" s="4">
        <f ca="1">_xll.DBRW($B$1,$B$2,$B$7,$B$3,$B$4,$B$5,$F71,$B$6,O$10,$A71,$B71)</f>
        <v>5831700</v>
      </c>
      <c r="P71" s="4">
        <f ca="1">_xll.DBRW($B$1,$B$2,$B$7,$B$3,$B$4,$B$5,$F71,$B$6,P$10,$A71,$B71)</f>
        <v>710912</v>
      </c>
      <c r="Q71" s="4">
        <f ca="1">_xll.DBRW($B$1,$B$2,$B$7,$B$3,$B$4,$B$5,$F71,$B$6,Q$10,$A71,$B71)</f>
        <v>0</v>
      </c>
      <c r="R71" s="4">
        <f ca="1">_xll.DBRW($B$1,$B$2,$B$7,$B$3,$B$4,$B$5,$F71,$B$6,R$10,$A71,$B71)</f>
        <v>0</v>
      </c>
      <c r="S71" s="4">
        <f ca="1">_xll.DBRW($B$1,$B$2,$B$7,$B$3,$B$4,$B$5,$F71,$B$6,S$10,$A71,$B71)</f>
        <v>0</v>
      </c>
      <c r="T71" s="4">
        <f ca="1">_xll.DBRW($B$1,$B$2,$B$7,$B$3,$B$4,$B$5,$F71,$B$6,T$10,$A71,$B71)</f>
        <v>6331560</v>
      </c>
      <c r="U71" s="4">
        <f ca="1">_xll.DBRW($B$1,$B$2,$B$7,$B$3,$B$4,$B$5,$F71,$B$6,U$10,$A71,$B71)</f>
        <v>5665080</v>
      </c>
      <c r="V71" s="4">
        <f ca="1">_xll.DBRW($B$1,$B$2,$B$7,$B$3,$B$4,$B$5,$F71,$B$6,V$10,$A71,$B71)</f>
        <v>6326006</v>
      </c>
      <c r="W71" s="4">
        <f ca="1">_xll.DBRW($B$1,$B$2,$B$7,$B$3,$B$4,$B$5,$F71,$B$6,W$10,$A71,$B71)</f>
        <v>6220480</v>
      </c>
      <c r="X71" s="4">
        <f ca="1">_xll.DBRW($B$1,$B$2,$B$7,$B$3,$B$4,$B$5,$F71,$B$6,X$10,$A71,$B71)</f>
        <v>6259358</v>
      </c>
      <c r="Y71" s="4">
        <f ca="1">_xll.DBRW($B$1,$B$2,$B$7,$B$3,$B$4,$B$5,$F71,$B$6,Y$10,$A71,$B71)</f>
        <v>6148278</v>
      </c>
      <c r="Z71" s="4">
        <f ca="1">_xll.DBRW($B$1,$B$2,$B$7,$B$3,$B$4,$B$5,$F71,$B$6,Z$10,$A71,$B71)</f>
        <v>6398208</v>
      </c>
      <c r="AA71" s="4">
        <f ca="1">_xll.DBRW($B$1,$B$2,$B$7,$B$3,$B$4,$B$5,$F71,$B$6,AA$10,$A71,$B71)</f>
        <v>6253804</v>
      </c>
      <c r="AB71" s="4">
        <f ca="1">_xll.DBRW($B$1,$B$2,$B$7,$B$3,$B$4,$B$5,$F71,$B$6,AB$10,$A71,$B71)</f>
        <v>6220480</v>
      </c>
      <c r="AC71" s="4">
        <f ca="1">_xll.DBRW($B$1,$B$2,$B$7,$B$3,$B$4,$B$5,$F71,$B$6,AC$10,$A71,$B71)</f>
        <v>6242696</v>
      </c>
      <c r="AD71" s="4">
        <f ca="1">_xll.DBRW($B$1,$B$2,$B$7,$B$3,$B$4,$B$5,$F71,$B$6,AD$10,$A71,$B71)</f>
        <v>6153832</v>
      </c>
      <c r="AE71" s="4">
        <f ca="1">_xll.DBRW($B$1,$B$2,$B$7,$B$3,$B$4,$B$5,$F71,$B$6,AE$10,$A71,$B71)</f>
        <v>6103846</v>
      </c>
    </row>
    <row r="72" spans="1:31">
      <c r="A72" s="1" t="s">
        <v>152</v>
      </c>
      <c r="B72" s="5" t="s">
        <v>44</v>
      </c>
      <c r="C72" s="5" t="s">
        <v>37</v>
      </c>
      <c r="D72" s="5" t="s">
        <v>38</v>
      </c>
      <c r="E72" s="5" t="s">
        <v>21</v>
      </c>
      <c r="F72" s="5" t="s">
        <v>22</v>
      </c>
      <c r="G72" s="6"/>
      <c r="H72" s="6"/>
      <c r="I72" s="6"/>
      <c r="J72" s="6"/>
      <c r="K72" s="6"/>
      <c r="L72" s="4">
        <f ca="1">_xll.DBRW($B$1,$B$2,$B$7,$B$3,$B$4,$B$5,$F72,$B$6,L$10,$A72,$B72)</f>
        <v>5826146</v>
      </c>
      <c r="M72" s="4">
        <f ca="1">_xll.DBRW($B$1,$B$2,$B$7,$B$3,$B$4,$B$5,$F72,$B$6,M$10,$A72,$B72)</f>
        <v>5576216</v>
      </c>
      <c r="N72" s="4">
        <f ca="1">_xll.DBRW($B$1,$B$2,$B$7,$B$3,$B$4,$B$5,$F72,$B$6,N$10,$A72,$B72)</f>
        <v>5770606</v>
      </c>
      <c r="O72" s="4">
        <f ca="1">_xll.DBRW($B$1,$B$2,$B$7,$B$3,$B$4,$B$5,$F72,$B$6,O$10,$A72,$B72)</f>
        <v>5826146</v>
      </c>
      <c r="P72" s="4">
        <f ca="1">_xll.DBRW($B$1,$B$2,$B$7,$B$3,$B$4,$B$5,$F72,$B$6,P$10,$A72,$B72)</f>
        <v>5392934</v>
      </c>
      <c r="Q72" s="4">
        <f ca="1">_xll.DBRW($B$1,$B$2,$B$7,$B$3,$B$4,$B$5,$F72,$B$6,Q$10,$A72,$B72)</f>
        <v>4454308</v>
      </c>
      <c r="R72" s="4">
        <f ca="1">_xll.DBRW($B$1,$B$2,$B$7,$B$3,$B$4,$B$5,$F72,$B$6,R$10,$A72,$B72)</f>
        <v>0</v>
      </c>
      <c r="S72" s="4">
        <f ca="1">_xll.DBRW($B$1,$B$2,$B$7,$B$3,$B$4,$B$5,$F72,$B$6,S$10,$A72,$B72)</f>
        <v>0</v>
      </c>
      <c r="T72" s="4">
        <f ca="1">_xll.DBRW($B$1,$B$2,$B$7,$B$3,$B$4,$B$5,$F72,$B$6,T$10,$A72,$B72)</f>
        <v>4598712</v>
      </c>
      <c r="U72" s="4">
        <f ca="1">_xll.DBRW($B$1,$B$2,$B$7,$B$3,$B$4,$B$5,$F72,$B$6,U$10,$A72,$B72)</f>
        <v>4243256</v>
      </c>
      <c r="V72" s="4">
        <f ca="1">_xll.DBRW($B$1,$B$2,$B$7,$B$3,$B$4,$B$5,$F72,$B$6,V$10,$A72,$B72)</f>
        <v>4837534</v>
      </c>
      <c r="W72" s="4">
        <f ca="1">_xll.DBRW($B$1,$B$2,$B$7,$B$3,$B$4,$B$5,$F72,$B$6,W$10,$A72,$B72)</f>
        <v>6220480</v>
      </c>
      <c r="X72" s="4">
        <f ca="1">_xll.DBRW($B$1,$B$2,$B$7,$B$3,$B$4,$B$5,$F72,$B$6,X$10,$A72,$B72)</f>
        <v>6259358</v>
      </c>
      <c r="Y72" s="4">
        <f ca="1">_xll.DBRW($B$1,$B$2,$B$7,$B$3,$B$4,$B$5,$F72,$B$6,Y$10,$A72,$B72)</f>
        <v>6148278</v>
      </c>
      <c r="Z72" s="4">
        <f ca="1">_xll.DBRW($B$1,$B$2,$B$7,$B$3,$B$4,$B$5,$F72,$B$6,Z$10,$A72,$B72)</f>
        <v>6398208</v>
      </c>
      <c r="AA72" s="4">
        <f ca="1">_xll.DBRW($B$1,$B$2,$B$7,$B$3,$B$4,$B$5,$F72,$B$6,AA$10,$A72,$B72)</f>
        <v>6253804</v>
      </c>
      <c r="AB72" s="4">
        <f ca="1">_xll.DBRW($B$1,$B$2,$B$7,$B$3,$B$4,$B$5,$F72,$B$6,AB$10,$A72,$B72)</f>
        <v>6220480</v>
      </c>
      <c r="AC72" s="4">
        <f ca="1">_xll.DBRW($B$1,$B$2,$B$7,$B$3,$B$4,$B$5,$F72,$B$6,AC$10,$A72,$B72)</f>
        <v>5781714</v>
      </c>
      <c r="AD72" s="4">
        <f ca="1">_xll.DBRW($B$1,$B$2,$B$7,$B$3,$B$4,$B$5,$F72,$B$6,AD$10,$A72,$B72)</f>
        <v>4598712</v>
      </c>
      <c r="AE72" s="4">
        <f ca="1">_xll.DBRW($B$1,$B$2,$B$7,$B$3,$B$4,$B$5,$F72,$B$6,AE$10,$A72,$B72)</f>
        <v>4593158</v>
      </c>
    </row>
    <row r="73" spans="1:31">
      <c r="A73" s="1" t="s">
        <v>152</v>
      </c>
      <c r="B73" s="5" t="s">
        <v>218</v>
      </c>
      <c r="C73" s="5" t="s">
        <v>219</v>
      </c>
      <c r="D73" s="5" t="s">
        <v>21</v>
      </c>
      <c r="E73" s="5" t="s">
        <v>49</v>
      </c>
      <c r="F73" s="5" t="s">
        <v>22</v>
      </c>
      <c r="G73" s="6"/>
      <c r="H73" s="6"/>
      <c r="I73" s="6"/>
      <c r="J73" s="6"/>
      <c r="K73" s="6"/>
      <c r="L73" s="4">
        <f ca="1">_xll.DBRW($B$1,$B$2,$B$7,$B$3,$B$4,$B$5,$F73,$B$6,L$10,$A73,$B73)</f>
        <v>8087776</v>
      </c>
      <c r="M73" s="4">
        <f ca="1">_xll.DBRW($B$1,$B$2,$B$7,$B$3,$B$4,$B$5,$F73,$B$6,M$10,$A73,$B73)</f>
        <v>7826880</v>
      </c>
      <c r="N73" s="4">
        <f ca="1">_xll.DBRW($B$1,$B$2,$B$7,$B$3,$B$4,$B$5,$F73,$B$6,N$10,$A73,$B73)</f>
        <v>8087776</v>
      </c>
      <c r="O73" s="4">
        <f ca="1">_xll.DBRW($B$1,$B$2,$B$7,$B$3,$B$4,$B$5,$F73,$B$6,O$10,$A73,$B73)</f>
        <v>8087776</v>
      </c>
      <c r="P73" s="4">
        <f ca="1">_xll.DBRW($B$1,$B$2,$B$7,$B$3,$B$4,$B$5,$F73,$B$6,P$10,$A73,$B73)</f>
        <v>7826880</v>
      </c>
      <c r="Q73" s="4">
        <f ca="1">_xll.DBRW($B$1,$B$2,$B$7,$B$3,$B$4,$B$5,$F73,$B$6,Q$10,$A73,$B73)</f>
        <v>8087776</v>
      </c>
      <c r="R73" s="4">
        <f ca="1">_xll.DBRW($B$1,$B$2,$B$7,$B$3,$B$4,$B$5,$F73,$B$6,R$10,$A73,$B73)</f>
        <v>7826880</v>
      </c>
      <c r="S73" s="4">
        <f ca="1">_xll.DBRW($B$1,$B$2,$B$7,$B$3,$B$4,$B$5,$F73,$B$6,S$10,$A73,$B73)</f>
        <v>8087776</v>
      </c>
      <c r="T73" s="4">
        <f ca="1">_xll.DBRW($B$1,$B$2,$B$7,$B$3,$B$4,$B$5,$F73,$B$6,T$10,$A73,$B73)</f>
        <v>8087776</v>
      </c>
      <c r="U73" s="4">
        <f ca="1">_xll.DBRW($B$1,$B$2,$B$7,$B$3,$B$4,$B$5,$F73,$B$6,U$10,$A73,$B73)</f>
        <v>7305088</v>
      </c>
      <c r="V73" s="4">
        <f ca="1">_xll.DBRW($B$1,$B$2,$B$7,$B$3,$B$4,$B$5,$F73,$B$6,V$10,$A73,$B73)</f>
        <v>8087776</v>
      </c>
      <c r="W73" s="4">
        <f ca="1">_xll.DBRW($B$1,$B$2,$B$7,$B$3,$B$4,$B$5,$F73,$B$6,W$10,$A73,$B73)</f>
        <v>7826880</v>
      </c>
      <c r="X73" s="4">
        <f ca="1">_xll.DBRW($B$1,$B$2,$B$7,$B$3,$B$4,$B$5,$F73,$B$6,X$10,$A73,$B73)</f>
        <v>8087776</v>
      </c>
      <c r="Y73" s="4">
        <f ca="1">_xll.DBRW($B$1,$B$2,$B$7,$B$3,$B$4,$B$5,$F73,$B$6,Y$10,$A73,$B73)</f>
        <v>7826880</v>
      </c>
      <c r="Z73" s="4">
        <f ca="1">_xll.DBRW($B$1,$B$2,$B$7,$B$3,$B$4,$B$5,$F73,$B$6,Z$10,$A73,$B73)</f>
        <v>8087776</v>
      </c>
      <c r="AA73" s="4">
        <f ca="1">_xll.DBRW($B$1,$B$2,$B$7,$B$3,$B$4,$B$5,$F73,$B$6,AA$10,$A73,$B73)</f>
        <v>8087776</v>
      </c>
      <c r="AB73" s="4">
        <f ca="1">_xll.DBRW($B$1,$B$2,$B$7,$B$3,$B$4,$B$5,$F73,$B$6,AB$10,$A73,$B73)</f>
        <v>7826880</v>
      </c>
      <c r="AC73" s="4">
        <f ca="1">_xll.DBRW($B$1,$B$2,$B$7,$B$3,$B$4,$B$5,$F73,$B$6,AC$10,$A73,$B73)</f>
        <v>8087776</v>
      </c>
      <c r="AD73" s="4">
        <f ca="1">_xll.DBRW($B$1,$B$2,$B$7,$B$3,$B$4,$B$5,$F73,$B$6,AD$10,$A73,$B73)</f>
        <v>7826880</v>
      </c>
      <c r="AE73" s="4">
        <f ca="1">_xll.DBRW($B$1,$B$2,$B$7,$B$3,$B$4,$B$5,$F73,$B$6,AE$10,$A73,$B73)</f>
        <v>8087776</v>
      </c>
    </row>
    <row r="74" spans="1:31">
      <c r="A74" s="1" t="s">
        <v>152</v>
      </c>
      <c r="B74" s="5" t="s">
        <v>47</v>
      </c>
      <c r="C74" s="5" t="s">
        <v>48</v>
      </c>
      <c r="D74" s="5" t="s">
        <v>49</v>
      </c>
      <c r="E74" s="5" t="s">
        <v>21</v>
      </c>
      <c r="F74" s="5" t="s">
        <v>22</v>
      </c>
      <c r="G74" s="6"/>
      <c r="H74" s="6"/>
      <c r="I74" s="6"/>
      <c r="J74" s="6"/>
      <c r="K74" s="6"/>
      <c r="L74" s="4">
        <f ca="1">_xll.DBRW($B$1,$B$2,$B$7,$B$3,$B$4,$B$5,$F74,$B$6,L$10,$A74,$B74)</f>
        <v>8087776</v>
      </c>
      <c r="M74" s="4">
        <f ca="1">_xll.DBRW($B$1,$B$2,$B$7,$B$3,$B$4,$B$5,$F74,$B$6,M$10,$A74,$B74)</f>
        <v>7826880</v>
      </c>
      <c r="N74" s="4">
        <f ca="1">_xll.DBRW($B$1,$B$2,$B$7,$B$3,$B$4,$B$5,$F74,$B$6,N$10,$A74,$B74)</f>
        <v>8087776</v>
      </c>
      <c r="O74" s="4">
        <f ca="1">_xll.DBRW($B$1,$B$2,$B$7,$B$3,$B$4,$B$5,$F74,$B$6,O$10,$A74,$B74)</f>
        <v>8087776</v>
      </c>
      <c r="P74" s="4">
        <f ca="1">_xll.DBRW($B$1,$B$2,$B$7,$B$3,$B$4,$B$5,$F74,$B$6,P$10,$A74,$B74)</f>
        <v>7826880</v>
      </c>
      <c r="Q74" s="4">
        <f ca="1">_xll.DBRW($B$1,$B$2,$B$7,$B$3,$B$4,$B$5,$F74,$B$6,Q$10,$A74,$B74)</f>
        <v>8087776</v>
      </c>
      <c r="R74" s="4">
        <f ca="1">_xll.DBRW($B$1,$B$2,$B$7,$B$3,$B$4,$B$5,$F74,$B$6,R$10,$A74,$B74)</f>
        <v>7826880</v>
      </c>
      <c r="S74" s="4">
        <f ca="1">_xll.DBRW($B$1,$B$2,$B$7,$B$3,$B$4,$B$5,$F74,$B$6,S$10,$A74,$B74)</f>
        <v>8087776</v>
      </c>
      <c r="T74" s="4">
        <f ca="1">_xll.DBRW($B$1,$B$2,$B$7,$B$3,$B$4,$B$5,$F74,$B$6,T$10,$A74,$B74)</f>
        <v>8087776</v>
      </c>
      <c r="U74" s="4">
        <f ca="1">_xll.DBRW($B$1,$B$2,$B$7,$B$3,$B$4,$B$5,$F74,$B$6,U$10,$A74,$B74)</f>
        <v>7305088</v>
      </c>
      <c r="V74" s="4">
        <f ca="1">_xll.DBRW($B$1,$B$2,$B$7,$B$3,$B$4,$B$5,$F74,$B$6,V$10,$A74,$B74)</f>
        <v>8087776</v>
      </c>
      <c r="W74" s="4">
        <f ca="1">_xll.DBRW($B$1,$B$2,$B$7,$B$3,$B$4,$B$5,$F74,$B$6,W$10,$A74,$B74)</f>
        <v>7826880</v>
      </c>
      <c r="X74" s="4">
        <f ca="1">_xll.DBRW($B$1,$B$2,$B$7,$B$3,$B$4,$B$5,$F74,$B$6,X$10,$A74,$B74)</f>
        <v>8087776</v>
      </c>
      <c r="Y74" s="4">
        <f ca="1">_xll.DBRW($B$1,$B$2,$B$7,$B$3,$B$4,$B$5,$F74,$B$6,Y$10,$A74,$B74)</f>
        <v>7826880</v>
      </c>
      <c r="Z74" s="4">
        <f ca="1">_xll.DBRW($B$1,$B$2,$B$7,$B$3,$B$4,$B$5,$F74,$B$6,Z$10,$A74,$B74)</f>
        <v>8087776</v>
      </c>
      <c r="AA74" s="4">
        <f ca="1">_xll.DBRW($B$1,$B$2,$B$7,$B$3,$B$4,$B$5,$F74,$B$6,AA$10,$A74,$B74)</f>
        <v>8087776</v>
      </c>
      <c r="AB74" s="4">
        <f ca="1">_xll.DBRW($B$1,$B$2,$B$7,$B$3,$B$4,$B$5,$F74,$B$6,AB$10,$A74,$B74)</f>
        <v>7826880</v>
      </c>
      <c r="AC74" s="4">
        <f ca="1">_xll.DBRW($B$1,$B$2,$B$7,$B$3,$B$4,$B$5,$F74,$B$6,AC$10,$A74,$B74)</f>
        <v>7826880</v>
      </c>
      <c r="AD74" s="4">
        <f ca="1">_xll.DBRW($B$1,$B$2,$B$7,$B$3,$B$4,$B$5,$F74,$B$6,AD$10,$A74,$B74)</f>
        <v>7826880</v>
      </c>
      <c r="AE74" s="4">
        <f ca="1">_xll.DBRW($B$1,$B$2,$B$7,$B$3,$B$4,$B$5,$F74,$B$6,AE$10,$A74,$B74)</f>
        <v>8087776</v>
      </c>
    </row>
    <row r="75" spans="1:31">
      <c r="A75" s="1" t="s">
        <v>152</v>
      </c>
      <c r="B75" s="5" t="s">
        <v>220</v>
      </c>
      <c r="C75" s="5" t="s">
        <v>166</v>
      </c>
      <c r="D75" s="5" t="s">
        <v>21</v>
      </c>
      <c r="E75" s="5" t="s">
        <v>31</v>
      </c>
      <c r="F75" s="5" t="s">
        <v>22</v>
      </c>
      <c r="G75" s="6"/>
      <c r="H75" s="6"/>
      <c r="I75" s="6"/>
      <c r="J75" s="6"/>
      <c r="K75" s="6"/>
      <c r="L75" s="4">
        <f ca="1">_xll.DBRW($B$1,$B$2,$B$7,$B$3,$B$4,$B$5,$F75,$B$6,L$10,$A75,$B75)</f>
        <v>5096380</v>
      </c>
      <c r="M75" s="4">
        <f ca="1">_xll.DBRW($B$1,$B$2,$B$7,$B$3,$B$4,$B$5,$F75,$B$6,M$10,$A75,$B75)</f>
        <v>4954522</v>
      </c>
      <c r="N75" s="4">
        <f ca="1">_xll.DBRW($B$1,$B$2,$B$7,$B$3,$B$4,$B$5,$F75,$B$6,N$10,$A75,$B75)</f>
        <v>5080618</v>
      </c>
      <c r="O75" s="4">
        <f ca="1">_xll.DBRW($B$1,$B$2,$B$7,$B$3,$B$4,$B$5,$F75,$B$6,O$10,$A75,$B75)</f>
        <v>5122650</v>
      </c>
      <c r="P75" s="4">
        <f ca="1">_xll.DBRW($B$1,$B$2,$B$7,$B$3,$B$4,$B$5,$F75,$B$6,P$10,$A75,$B75)</f>
        <v>5022824</v>
      </c>
      <c r="Q75" s="4">
        <f ca="1">_xll.DBRW($B$1,$B$2,$B$7,$B$3,$B$4,$B$5,$F75,$B$6,Q$10,$A75,$B75)</f>
        <v>4360820</v>
      </c>
      <c r="R75" s="4">
        <f ca="1">_xll.DBRW($B$1,$B$2,$B$7,$B$3,$B$4,$B$5,$F75,$B$6,R$10,$A75,$B75)</f>
        <v>0</v>
      </c>
      <c r="S75" s="4">
        <f ca="1">_xll.DBRW($B$1,$B$2,$B$7,$B$3,$B$4,$B$5,$F75,$B$6,S$10,$A75,$B75)</f>
        <v>0</v>
      </c>
      <c r="T75" s="4">
        <f ca="1">_xll.DBRW($B$1,$B$2,$B$7,$B$3,$B$4,$B$5,$F75,$B$6,T$10,$A75,$B75)</f>
        <v>0</v>
      </c>
      <c r="U75" s="4">
        <f ca="1">_xll.DBRW($B$1,$B$2,$B$7,$B$3,$B$4,$B$5,$F75,$B$6,U$10,$A75,$B75)</f>
        <v>0</v>
      </c>
      <c r="V75" s="4">
        <f ca="1">_xll.DBRW($B$1,$B$2,$B$7,$B$3,$B$4,$B$5,$F75,$B$6,V$10,$A75,$B75)</f>
        <v>331002</v>
      </c>
      <c r="W75" s="4">
        <f ca="1">_xll.DBRW($B$1,$B$2,$B$7,$B$3,$B$4,$B$5,$F75,$B$6,W$10,$A75,$B75)</f>
        <v>4996554</v>
      </c>
      <c r="X75" s="4">
        <f ca="1">_xll.DBRW($B$1,$B$2,$B$7,$B$3,$B$4,$B$5,$F75,$B$6,X$10,$A75,$B75)</f>
        <v>5169936</v>
      </c>
      <c r="Y75" s="4">
        <f ca="1">_xll.DBRW($B$1,$B$2,$B$7,$B$3,$B$4,$B$5,$F75,$B$6,Y$10,$A75,$B75)</f>
        <v>4996554</v>
      </c>
      <c r="Z75" s="4">
        <f ca="1">_xll.DBRW($B$1,$B$2,$B$7,$B$3,$B$4,$B$5,$F75,$B$6,Z$10,$A75,$B75)</f>
        <v>5164682</v>
      </c>
      <c r="AA75" s="4">
        <f ca="1">_xll.DBRW($B$1,$B$2,$B$7,$B$3,$B$4,$B$5,$F75,$B$6,AA$10,$A75,$B75)</f>
        <v>5164682</v>
      </c>
      <c r="AB75" s="4">
        <f ca="1">_xll.DBRW($B$1,$B$2,$B$7,$B$3,$B$4,$B$5,$F75,$B$6,AB$10,$A75,$B75)</f>
        <v>5001808</v>
      </c>
      <c r="AC75" s="4">
        <f ca="1">_xll.DBRW($B$1,$B$2,$B$7,$B$3,$B$4,$B$5,$F75,$B$6,AC$10,$A75,$B75)</f>
        <v>4166422</v>
      </c>
      <c r="AD75" s="4">
        <f ca="1">_xll.DBRW($B$1,$B$2,$B$7,$B$3,$B$4,$B$5,$F75,$B$6,AD$10,$A75,$B75)</f>
        <v>0</v>
      </c>
      <c r="AE75" s="4">
        <f ca="1">_xll.DBRW($B$1,$B$2,$B$7,$B$3,$B$4,$B$5,$F75,$B$6,AE$10,$A75,$B75)</f>
        <v>0</v>
      </c>
    </row>
    <row r="76" spans="1:31">
      <c r="A76" s="1" t="s">
        <v>152</v>
      </c>
      <c r="B76" s="5" t="s">
        <v>32</v>
      </c>
      <c r="C76" s="5" t="s">
        <v>30</v>
      </c>
      <c r="D76" s="5" t="s">
        <v>31</v>
      </c>
      <c r="E76" s="5" t="s">
        <v>21</v>
      </c>
      <c r="F76" s="5" t="s">
        <v>22</v>
      </c>
      <c r="G76" s="6"/>
      <c r="H76" s="6"/>
      <c r="I76" s="6"/>
      <c r="J76" s="6"/>
      <c r="K76" s="6"/>
      <c r="L76" s="4">
        <f ca="1">_xll.DBRW($B$1,$B$2,$B$7,$B$3,$B$4,$B$5,$F76,$B$6,L$10,$A76,$B76)</f>
        <v>5096380</v>
      </c>
      <c r="M76" s="4">
        <f ca="1">_xll.DBRW($B$1,$B$2,$B$7,$B$3,$B$4,$B$5,$F76,$B$6,M$10,$A76,$B76)</f>
        <v>4954522</v>
      </c>
      <c r="N76" s="4">
        <f ca="1">_xll.DBRW($B$1,$B$2,$B$7,$B$3,$B$4,$B$5,$F76,$B$6,N$10,$A76,$B76)</f>
        <v>5080618</v>
      </c>
      <c r="O76" s="4">
        <f ca="1">_xll.DBRW($B$1,$B$2,$B$7,$B$3,$B$4,$B$5,$F76,$B$6,O$10,$A76,$B76)</f>
        <v>5122650</v>
      </c>
      <c r="P76" s="4">
        <f ca="1">_xll.DBRW($B$1,$B$2,$B$7,$B$3,$B$4,$B$5,$F76,$B$6,P$10,$A76,$B76)</f>
        <v>5022824</v>
      </c>
      <c r="Q76" s="4">
        <f ca="1">_xll.DBRW($B$1,$B$2,$B$7,$B$3,$B$4,$B$5,$F76,$B$6,Q$10,$A76,$B76)</f>
        <v>4360820</v>
      </c>
      <c r="R76" s="4">
        <f ca="1">_xll.DBRW($B$1,$B$2,$B$7,$B$3,$B$4,$B$5,$F76,$B$6,R$10,$A76,$B76)</f>
        <v>0</v>
      </c>
      <c r="S76" s="4">
        <f ca="1">_xll.DBRW($B$1,$B$2,$B$7,$B$3,$B$4,$B$5,$F76,$B$6,S$10,$A76,$B76)</f>
        <v>0</v>
      </c>
      <c r="T76" s="4">
        <f ca="1">_xll.DBRW($B$1,$B$2,$B$7,$B$3,$B$4,$B$5,$F76,$B$6,T$10,$A76,$B76)</f>
        <v>0</v>
      </c>
      <c r="U76" s="4">
        <f ca="1">_xll.DBRW($B$1,$B$2,$B$7,$B$3,$B$4,$B$5,$F76,$B$6,U$10,$A76,$B76)</f>
        <v>0</v>
      </c>
      <c r="V76" s="4">
        <f ca="1">_xll.DBRW($B$1,$B$2,$B$7,$B$3,$B$4,$B$5,$F76,$B$6,V$10,$A76,$B76)</f>
        <v>331002</v>
      </c>
      <c r="W76" s="4">
        <f ca="1">_xll.DBRW($B$1,$B$2,$B$7,$B$3,$B$4,$B$5,$F76,$B$6,W$10,$A76,$B76)</f>
        <v>4996554</v>
      </c>
      <c r="X76" s="4">
        <f ca="1">_xll.DBRW($B$1,$B$2,$B$7,$B$3,$B$4,$B$5,$F76,$B$6,X$10,$A76,$B76)</f>
        <v>5169936</v>
      </c>
      <c r="Y76" s="4">
        <f ca="1">_xll.DBRW($B$1,$B$2,$B$7,$B$3,$B$4,$B$5,$F76,$B$6,Y$10,$A76,$B76)</f>
        <v>4996554</v>
      </c>
      <c r="Z76" s="4">
        <f ca="1">_xll.DBRW($B$1,$B$2,$B$7,$B$3,$B$4,$B$5,$F76,$B$6,Z$10,$A76,$B76)</f>
        <v>5164682</v>
      </c>
      <c r="AA76" s="4">
        <f ca="1">_xll.DBRW($B$1,$B$2,$B$7,$B$3,$B$4,$B$5,$F76,$B$6,AA$10,$A76,$B76)</f>
        <v>5164682</v>
      </c>
      <c r="AB76" s="4">
        <f ca="1">_xll.DBRW($B$1,$B$2,$B$7,$B$3,$B$4,$B$5,$F76,$B$6,AB$10,$A76,$B76)</f>
        <v>5001808</v>
      </c>
      <c r="AC76" s="4">
        <f ca="1">_xll.DBRW($B$1,$B$2,$B$7,$B$3,$B$4,$B$5,$F76,$B$6,AC$10,$A76,$B76)</f>
        <v>3998294</v>
      </c>
      <c r="AD76" s="4">
        <f ca="1">_xll.DBRW($B$1,$B$2,$B$7,$B$3,$B$4,$B$5,$F76,$B$6,AD$10,$A76,$B76)</f>
        <v>0</v>
      </c>
      <c r="AE76" s="4">
        <f ca="1">_xll.DBRW($B$1,$B$2,$B$7,$B$3,$B$4,$B$5,$F76,$B$6,AE$10,$A76,$B76)</f>
        <v>0</v>
      </c>
    </row>
    <row r="77" spans="1:31">
      <c r="A77" s="1" t="s">
        <v>152</v>
      </c>
      <c r="B77" s="5" t="s">
        <v>221</v>
      </c>
      <c r="C77" s="5" t="s">
        <v>193</v>
      </c>
      <c r="D77" s="5" t="s">
        <v>21</v>
      </c>
      <c r="E77" s="5" t="s">
        <v>194</v>
      </c>
      <c r="F77" s="5" t="s">
        <v>22</v>
      </c>
      <c r="G77" s="6"/>
      <c r="H77" s="6"/>
      <c r="I77" s="6"/>
      <c r="J77" s="6"/>
      <c r="K77" s="6"/>
      <c r="L77" s="4">
        <f ca="1">_xll.DBRW($B$1,$B$2,$B$7,$B$3,$B$4,$B$5,$F77,$B$6,L$10,$A77,$B77)</f>
        <v>2116494</v>
      </c>
      <c r="M77" s="4">
        <f ca="1">_xll.DBRW($B$1,$B$2,$B$7,$B$3,$B$4,$B$5,$F77,$B$6,M$10,$A77,$B77)</f>
        <v>1881328</v>
      </c>
      <c r="N77" s="4">
        <f ca="1">_xll.DBRW($B$1,$B$2,$B$7,$B$3,$B$4,$B$5,$F77,$B$6,N$10,$A77,$B77)</f>
        <v>2116494</v>
      </c>
      <c r="O77" s="4">
        <f ca="1">_xll.DBRW($B$1,$B$2,$B$7,$B$3,$B$4,$B$5,$F77,$B$6,O$10,$A77,$B77)</f>
        <v>2116494</v>
      </c>
      <c r="P77" s="4">
        <f ca="1">_xll.DBRW($B$1,$B$2,$B$7,$B$3,$B$4,$B$5,$F77,$B$6,P$10,$A77,$B77)</f>
        <v>1881328</v>
      </c>
      <c r="Q77" s="4">
        <f ca="1">_xll.DBRW($B$1,$B$2,$B$7,$B$3,$B$4,$B$5,$F77,$B$6,Q$10,$A77,$B77)</f>
        <v>2116494</v>
      </c>
      <c r="R77" s="4">
        <f ca="1">_xll.DBRW($B$1,$B$2,$B$7,$B$3,$B$4,$B$5,$F77,$B$6,R$10,$A77,$B77)</f>
        <v>2116494</v>
      </c>
      <c r="S77" s="4">
        <f ca="1">_xll.DBRW($B$1,$B$2,$B$7,$B$3,$B$4,$B$5,$F77,$B$6,S$10,$A77,$B77)</f>
        <v>1881328</v>
      </c>
      <c r="T77" s="4">
        <f ca="1">_xll.DBRW($B$1,$B$2,$B$7,$B$3,$B$4,$B$5,$F77,$B$6,T$10,$A77,$B77)</f>
        <v>2116494</v>
      </c>
      <c r="U77" s="4">
        <f ca="1">_xll.DBRW($B$1,$B$2,$B$7,$B$3,$B$4,$B$5,$F77,$B$6,U$10,$A77,$B77)</f>
        <v>1881328</v>
      </c>
      <c r="V77" s="4">
        <f ca="1">_xll.DBRW($B$1,$B$2,$B$7,$B$3,$B$4,$B$5,$F77,$B$6,V$10,$A77,$B77)</f>
        <v>2116494</v>
      </c>
      <c r="W77" s="4">
        <f ca="1">_xll.DBRW($B$1,$B$2,$B$7,$B$3,$B$4,$B$5,$F77,$B$6,W$10,$A77,$B77)</f>
        <v>2116494</v>
      </c>
      <c r="X77" s="4">
        <f ca="1">_xll.DBRW($B$1,$B$2,$B$7,$B$3,$B$4,$B$5,$F77,$B$6,X$10,$A77,$B77)</f>
        <v>2116494</v>
      </c>
      <c r="Y77" s="4">
        <f ca="1">_xll.DBRW($B$1,$B$2,$B$7,$B$3,$B$4,$B$5,$F77,$B$6,Y$10,$A77,$B77)</f>
        <v>1881328</v>
      </c>
      <c r="Z77" s="4">
        <f ca="1">_xll.DBRW($B$1,$B$2,$B$7,$B$3,$B$4,$B$5,$F77,$B$6,Z$10,$A77,$B77)</f>
        <v>2351660</v>
      </c>
      <c r="AA77" s="4">
        <f ca="1">_xll.DBRW($B$1,$B$2,$B$7,$B$3,$B$4,$B$5,$F77,$B$6,AA$10,$A77,$B77)</f>
        <v>1881328</v>
      </c>
      <c r="AB77" s="4">
        <f ca="1">_xll.DBRW($B$1,$B$2,$B$7,$B$3,$B$4,$B$5,$F77,$B$6,AB$10,$A77,$B77)</f>
        <v>2116494</v>
      </c>
      <c r="AC77" s="4">
        <f ca="1">_xll.DBRW($B$1,$B$2,$B$7,$B$3,$B$4,$B$5,$F77,$B$6,AC$10,$A77,$B77)</f>
        <v>1881328</v>
      </c>
      <c r="AD77" s="4">
        <f ca="1">_xll.DBRW($B$1,$B$2,$B$7,$B$3,$B$4,$B$5,$F77,$B$6,AD$10,$A77,$B77)</f>
        <v>2116494</v>
      </c>
      <c r="AE77" s="4">
        <f ca="1">_xll.DBRW($B$1,$B$2,$B$7,$B$3,$B$4,$B$5,$F77,$B$6,AE$10,$A77,$B77)</f>
        <v>2116494</v>
      </c>
    </row>
    <row r="78" spans="1:31">
      <c r="A78" s="1" t="s">
        <v>152</v>
      </c>
      <c r="B78" s="5" t="s">
        <v>222</v>
      </c>
      <c r="C78" s="5" t="s">
        <v>196</v>
      </c>
      <c r="D78" s="5" t="s">
        <v>194</v>
      </c>
      <c r="E78" s="5" t="s">
        <v>21</v>
      </c>
      <c r="F78" s="5" t="s">
        <v>22</v>
      </c>
      <c r="G78" s="6"/>
      <c r="H78" s="6"/>
      <c r="I78" s="6"/>
      <c r="J78" s="6"/>
      <c r="K78" s="6"/>
      <c r="L78" s="4">
        <f ca="1">_xll.DBRW($B$1,$B$2,$B$7,$B$3,$B$4,$B$5,$F78,$B$6,L$10,$A78,$B78)</f>
        <v>2116494</v>
      </c>
      <c r="M78" s="4">
        <f ca="1">_xll.DBRW($B$1,$B$2,$B$7,$B$3,$B$4,$B$5,$F78,$B$6,M$10,$A78,$B78)</f>
        <v>1881328</v>
      </c>
      <c r="N78" s="4">
        <f ca="1">_xll.DBRW($B$1,$B$2,$B$7,$B$3,$B$4,$B$5,$F78,$B$6,N$10,$A78,$B78)</f>
        <v>2116494</v>
      </c>
      <c r="O78" s="4">
        <f ca="1">_xll.DBRW($B$1,$B$2,$B$7,$B$3,$B$4,$B$5,$F78,$B$6,O$10,$A78,$B78)</f>
        <v>2116494</v>
      </c>
      <c r="P78" s="4">
        <f ca="1">_xll.DBRW($B$1,$B$2,$B$7,$B$3,$B$4,$B$5,$F78,$B$6,P$10,$A78,$B78)</f>
        <v>1881328</v>
      </c>
      <c r="Q78" s="4">
        <f ca="1">_xll.DBRW($B$1,$B$2,$B$7,$B$3,$B$4,$B$5,$F78,$B$6,Q$10,$A78,$B78)</f>
        <v>2116494</v>
      </c>
      <c r="R78" s="4">
        <f ca="1">_xll.DBRW($B$1,$B$2,$B$7,$B$3,$B$4,$B$5,$F78,$B$6,R$10,$A78,$B78)</f>
        <v>2116494</v>
      </c>
      <c r="S78" s="4">
        <f ca="1">_xll.DBRW($B$1,$B$2,$B$7,$B$3,$B$4,$B$5,$F78,$B$6,S$10,$A78,$B78)</f>
        <v>1881328</v>
      </c>
      <c r="T78" s="4">
        <f ca="1">_xll.DBRW($B$1,$B$2,$B$7,$B$3,$B$4,$B$5,$F78,$B$6,T$10,$A78,$B78)</f>
        <v>2116494</v>
      </c>
      <c r="U78" s="4">
        <f ca="1">_xll.DBRW($B$1,$B$2,$B$7,$B$3,$B$4,$B$5,$F78,$B$6,U$10,$A78,$B78)</f>
        <v>1881328</v>
      </c>
      <c r="V78" s="4">
        <f ca="1">_xll.DBRW($B$1,$B$2,$B$7,$B$3,$B$4,$B$5,$F78,$B$6,V$10,$A78,$B78)</f>
        <v>2116494</v>
      </c>
      <c r="W78" s="4">
        <f ca="1">_xll.DBRW($B$1,$B$2,$B$7,$B$3,$B$4,$B$5,$F78,$B$6,W$10,$A78,$B78)</f>
        <v>2116494</v>
      </c>
      <c r="X78" s="4">
        <f ca="1">_xll.DBRW($B$1,$B$2,$B$7,$B$3,$B$4,$B$5,$F78,$B$6,X$10,$A78,$B78)</f>
        <v>2116494</v>
      </c>
      <c r="Y78" s="4">
        <f ca="1">_xll.DBRW($B$1,$B$2,$B$7,$B$3,$B$4,$B$5,$F78,$B$6,Y$10,$A78,$B78)</f>
        <v>1881328</v>
      </c>
      <c r="Z78" s="4">
        <f ca="1">_xll.DBRW($B$1,$B$2,$B$7,$B$3,$B$4,$B$5,$F78,$B$6,Z$10,$A78,$B78)</f>
        <v>2351660</v>
      </c>
      <c r="AA78" s="4">
        <f ca="1">_xll.DBRW($B$1,$B$2,$B$7,$B$3,$B$4,$B$5,$F78,$B$6,AA$10,$A78,$B78)</f>
        <v>1881328</v>
      </c>
      <c r="AB78" s="4">
        <f ca="1">_xll.DBRW($B$1,$B$2,$B$7,$B$3,$B$4,$B$5,$F78,$B$6,AB$10,$A78,$B78)</f>
        <v>2116494</v>
      </c>
      <c r="AC78" s="4">
        <f ca="1">_xll.DBRW($B$1,$B$2,$B$7,$B$3,$B$4,$B$5,$F78,$B$6,AC$10,$A78,$B78)</f>
        <v>1881328</v>
      </c>
      <c r="AD78" s="4">
        <f ca="1">_xll.DBRW($B$1,$B$2,$B$7,$B$3,$B$4,$B$5,$F78,$B$6,AD$10,$A78,$B78)</f>
        <v>2116494</v>
      </c>
      <c r="AE78" s="4">
        <f ca="1">_xll.DBRW($B$1,$B$2,$B$7,$B$3,$B$4,$B$5,$F78,$B$6,AE$10,$A78,$B78)</f>
        <v>1881328</v>
      </c>
    </row>
    <row r="79" spans="1:31">
      <c r="A79" s="1" t="s">
        <v>152</v>
      </c>
      <c r="B79" s="5" t="s">
        <v>223</v>
      </c>
      <c r="C79" s="5" t="s">
        <v>193</v>
      </c>
      <c r="D79" s="5" t="s">
        <v>21</v>
      </c>
      <c r="E79" s="5" t="s">
        <v>194</v>
      </c>
      <c r="F79" s="5" t="s">
        <v>22</v>
      </c>
      <c r="G79" s="6"/>
      <c r="H79" s="6"/>
      <c r="I79" s="6"/>
      <c r="J79" s="6"/>
      <c r="K79" s="6"/>
      <c r="L79" s="4">
        <f ca="1">_xll.DBRW($B$1,$B$2,$B$7,$B$3,$B$4,$B$5,$F79,$B$6,L$10,$A79,$B79)</f>
        <v>3045068</v>
      </c>
      <c r="M79" s="4">
        <f ca="1">_xll.DBRW($B$1,$B$2,$B$7,$B$3,$B$4,$B$5,$F79,$B$6,M$10,$A79,$B79)</f>
        <v>2576596</v>
      </c>
      <c r="N79" s="4">
        <f ca="1">_xll.DBRW($B$1,$B$2,$B$7,$B$3,$B$4,$B$5,$F79,$B$6,N$10,$A79,$B79)</f>
        <v>3045068</v>
      </c>
      <c r="O79" s="4">
        <f ca="1">_xll.DBRW($B$1,$B$2,$B$7,$B$3,$B$4,$B$5,$F79,$B$6,O$10,$A79,$B79)</f>
        <v>3045068</v>
      </c>
      <c r="P79" s="4">
        <f ca="1">_xll.DBRW($B$1,$B$2,$B$7,$B$3,$B$4,$B$5,$F79,$B$6,P$10,$A79,$B79)</f>
        <v>3045068</v>
      </c>
      <c r="Q79" s="4">
        <f ca="1">_xll.DBRW($B$1,$B$2,$B$7,$B$3,$B$4,$B$5,$F79,$B$6,Q$10,$A79,$B79)</f>
        <v>2342360</v>
      </c>
      <c r="R79" s="4">
        <f ca="1">_xll.DBRW($B$1,$B$2,$B$7,$B$3,$B$4,$B$5,$F79,$B$6,R$10,$A79,$B79)</f>
        <v>2108124</v>
      </c>
      <c r="S79" s="4">
        <f ca="1">_xll.DBRW($B$1,$B$2,$B$7,$B$3,$B$4,$B$5,$F79,$B$6,S$10,$A79,$B79)</f>
        <v>2108124</v>
      </c>
      <c r="T79" s="4">
        <f ca="1">_xll.DBRW($B$1,$B$2,$B$7,$B$3,$B$4,$B$5,$F79,$B$6,T$10,$A79,$B79)</f>
        <v>2108124</v>
      </c>
      <c r="U79" s="4">
        <f ca="1">_xll.DBRW($B$1,$B$2,$B$7,$B$3,$B$4,$B$5,$F79,$B$6,U$10,$A79,$B79)</f>
        <v>1873888</v>
      </c>
      <c r="V79" s="4">
        <f ca="1">_xll.DBRW($B$1,$B$2,$B$7,$B$3,$B$4,$B$5,$F79,$B$6,V$10,$A79,$B79)</f>
        <v>1873888</v>
      </c>
      <c r="W79" s="4">
        <f ca="1">_xll.DBRW($B$1,$B$2,$B$7,$B$3,$B$4,$B$5,$F79,$B$6,W$10,$A79,$B79)</f>
        <v>1171180</v>
      </c>
      <c r="X79" s="4">
        <f ca="1">_xll.DBRW($B$1,$B$2,$B$7,$B$3,$B$4,$B$5,$F79,$B$6,X$10,$A79,$B79)</f>
        <v>936944</v>
      </c>
      <c r="Y79" s="4">
        <f ca="1">_xll.DBRW($B$1,$B$2,$B$7,$B$3,$B$4,$B$5,$F79,$B$6,Y$10,$A79,$B79)</f>
        <v>936944</v>
      </c>
      <c r="Z79" s="4">
        <f ca="1">_xll.DBRW($B$1,$B$2,$B$7,$B$3,$B$4,$B$5,$F79,$B$6,Z$10,$A79,$B79)</f>
        <v>1171180</v>
      </c>
      <c r="AA79" s="4">
        <f ca="1">_xll.DBRW($B$1,$B$2,$B$7,$B$3,$B$4,$B$5,$F79,$B$6,AA$10,$A79,$B79)</f>
        <v>936944</v>
      </c>
      <c r="AB79" s="4">
        <f ca="1">_xll.DBRW($B$1,$B$2,$B$7,$B$3,$B$4,$B$5,$F79,$B$6,AB$10,$A79,$B79)</f>
        <v>936944</v>
      </c>
      <c r="AC79" s="4">
        <f ca="1">_xll.DBRW($B$1,$B$2,$B$7,$B$3,$B$4,$B$5,$F79,$B$6,AC$10,$A79,$B79)</f>
        <v>1405416</v>
      </c>
      <c r="AD79" s="4">
        <f ca="1">_xll.DBRW($B$1,$B$2,$B$7,$B$3,$B$4,$B$5,$F79,$B$6,AD$10,$A79,$B79)</f>
        <v>1873888</v>
      </c>
      <c r="AE79" s="4">
        <f ca="1">_xll.DBRW($B$1,$B$2,$B$7,$B$3,$B$4,$B$5,$F79,$B$6,AE$10,$A79,$B79)</f>
        <v>2108124</v>
      </c>
    </row>
    <row r="80" spans="1:31">
      <c r="A80" s="1" t="s">
        <v>152</v>
      </c>
      <c r="B80" s="5" t="s">
        <v>224</v>
      </c>
      <c r="C80" s="5" t="s">
        <v>196</v>
      </c>
      <c r="D80" s="5" t="s">
        <v>194</v>
      </c>
      <c r="E80" s="5" t="s">
        <v>21</v>
      </c>
      <c r="F80" s="5" t="s">
        <v>22</v>
      </c>
      <c r="G80" s="6"/>
      <c r="H80" s="6"/>
      <c r="I80" s="6"/>
      <c r="J80" s="6"/>
      <c r="K80" s="6"/>
      <c r="L80" s="4">
        <f ca="1">_xll.DBRW($B$1,$B$2,$B$7,$B$3,$B$4,$B$5,$F80,$B$6,L$10,$A80,$B80)</f>
        <v>3045068</v>
      </c>
      <c r="M80" s="4">
        <f ca="1">_xll.DBRW($B$1,$B$2,$B$7,$B$3,$B$4,$B$5,$F80,$B$6,M$10,$A80,$B80)</f>
        <v>2576596</v>
      </c>
      <c r="N80" s="4">
        <f ca="1">_xll.DBRW($B$1,$B$2,$B$7,$B$3,$B$4,$B$5,$F80,$B$6,N$10,$A80,$B80)</f>
        <v>3045068</v>
      </c>
      <c r="O80" s="4">
        <f ca="1">_xll.DBRW($B$1,$B$2,$B$7,$B$3,$B$4,$B$5,$F80,$B$6,O$10,$A80,$B80)</f>
        <v>3045068</v>
      </c>
      <c r="P80" s="4">
        <f ca="1">_xll.DBRW($B$1,$B$2,$B$7,$B$3,$B$4,$B$5,$F80,$B$6,P$10,$A80,$B80)</f>
        <v>3045068</v>
      </c>
      <c r="Q80" s="4">
        <f ca="1">_xll.DBRW($B$1,$B$2,$B$7,$B$3,$B$4,$B$5,$F80,$B$6,Q$10,$A80,$B80)</f>
        <v>2576596</v>
      </c>
      <c r="R80" s="4">
        <f ca="1">_xll.DBRW($B$1,$B$2,$B$7,$B$3,$B$4,$B$5,$F80,$B$6,R$10,$A80,$B80)</f>
        <v>2108124</v>
      </c>
      <c r="S80" s="4">
        <f ca="1">_xll.DBRW($B$1,$B$2,$B$7,$B$3,$B$4,$B$5,$F80,$B$6,S$10,$A80,$B80)</f>
        <v>2108124</v>
      </c>
      <c r="T80" s="4">
        <f ca="1">_xll.DBRW($B$1,$B$2,$B$7,$B$3,$B$4,$B$5,$F80,$B$6,T$10,$A80,$B80)</f>
        <v>2108124</v>
      </c>
      <c r="U80" s="4">
        <f ca="1">_xll.DBRW($B$1,$B$2,$B$7,$B$3,$B$4,$B$5,$F80,$B$6,U$10,$A80,$B80)</f>
        <v>1873888</v>
      </c>
      <c r="V80" s="4">
        <f ca="1">_xll.DBRW($B$1,$B$2,$B$7,$B$3,$B$4,$B$5,$F80,$B$6,V$10,$A80,$B80)</f>
        <v>1873888</v>
      </c>
      <c r="W80" s="4">
        <f ca="1">_xll.DBRW($B$1,$B$2,$B$7,$B$3,$B$4,$B$5,$F80,$B$6,W$10,$A80,$B80)</f>
        <v>1171180</v>
      </c>
      <c r="X80" s="4">
        <f ca="1">_xll.DBRW($B$1,$B$2,$B$7,$B$3,$B$4,$B$5,$F80,$B$6,X$10,$A80,$B80)</f>
        <v>936944</v>
      </c>
      <c r="Y80" s="4">
        <f ca="1">_xll.DBRW($B$1,$B$2,$B$7,$B$3,$B$4,$B$5,$F80,$B$6,Y$10,$A80,$B80)</f>
        <v>936944</v>
      </c>
      <c r="Z80" s="4">
        <f ca="1">_xll.DBRW($B$1,$B$2,$B$7,$B$3,$B$4,$B$5,$F80,$B$6,Z$10,$A80,$B80)</f>
        <v>1171180</v>
      </c>
      <c r="AA80" s="4">
        <f ca="1">_xll.DBRW($B$1,$B$2,$B$7,$B$3,$B$4,$B$5,$F80,$B$6,AA$10,$A80,$B80)</f>
        <v>936944</v>
      </c>
      <c r="AB80" s="4">
        <f ca="1">_xll.DBRW($B$1,$B$2,$B$7,$B$3,$B$4,$B$5,$F80,$B$6,AB$10,$A80,$B80)</f>
        <v>936944</v>
      </c>
      <c r="AC80" s="4">
        <f ca="1">_xll.DBRW($B$1,$B$2,$B$7,$B$3,$B$4,$B$5,$F80,$B$6,AC$10,$A80,$B80)</f>
        <v>1405416</v>
      </c>
      <c r="AD80" s="4">
        <f ca="1">_xll.DBRW($B$1,$B$2,$B$7,$B$3,$B$4,$B$5,$F80,$B$6,AD$10,$A80,$B80)</f>
        <v>1873888</v>
      </c>
      <c r="AE80" s="4">
        <f ca="1">_xll.DBRW($B$1,$B$2,$B$7,$B$3,$B$4,$B$5,$F80,$B$6,AE$10,$A80,$B80)</f>
        <v>2108124</v>
      </c>
    </row>
    <row r="81" spans="1:31">
      <c r="A81" s="1" t="s">
        <v>152</v>
      </c>
      <c r="B81" s="5" t="s">
        <v>225</v>
      </c>
      <c r="C81" s="5" t="s">
        <v>226</v>
      </c>
      <c r="D81" s="5" t="s">
        <v>21</v>
      </c>
      <c r="E81" s="5" t="s">
        <v>227</v>
      </c>
      <c r="F81" s="5" t="s">
        <v>22</v>
      </c>
      <c r="G81" s="6"/>
      <c r="H81" s="6"/>
      <c r="I81" s="6"/>
      <c r="J81" s="6"/>
      <c r="K81" s="6"/>
      <c r="L81" s="4">
        <f ca="1">_xll.DBRW($B$1,$B$2,$B$7,$B$3,$B$4,$B$5,$F81,$B$6,L$10,$A81,$B81)</f>
        <v>0</v>
      </c>
      <c r="M81" s="4">
        <f ca="1">_xll.DBRW($B$1,$B$2,$B$7,$B$3,$B$4,$B$5,$F81,$B$6,M$10,$A81,$B81)</f>
        <v>0</v>
      </c>
      <c r="N81" s="4">
        <f ca="1">_xll.DBRW($B$1,$B$2,$B$7,$B$3,$B$4,$B$5,$F81,$B$6,N$10,$A81,$B81)</f>
        <v>0</v>
      </c>
      <c r="O81" s="4">
        <f ca="1">_xll.DBRW($B$1,$B$2,$B$7,$B$3,$B$4,$B$5,$F81,$B$6,O$10,$A81,$B81)</f>
        <v>0</v>
      </c>
      <c r="P81" s="4">
        <f ca="1">_xll.DBRW($B$1,$B$2,$B$7,$B$3,$B$4,$B$5,$F81,$B$6,P$10,$A81,$B81)</f>
        <v>0</v>
      </c>
      <c r="Q81" s="4">
        <f ca="1">_xll.DBRW($B$1,$B$2,$B$7,$B$3,$B$4,$B$5,$F81,$B$6,Q$10,$A81,$B81)</f>
        <v>443264</v>
      </c>
      <c r="R81" s="4">
        <f ca="1">_xll.DBRW($B$1,$B$2,$B$7,$B$3,$B$4,$B$5,$F81,$B$6,R$10,$A81,$B81)</f>
        <v>1773056</v>
      </c>
      <c r="S81" s="4">
        <f ca="1">_xll.DBRW($B$1,$B$2,$B$7,$B$3,$B$4,$B$5,$F81,$B$6,S$10,$A81,$B81)</f>
        <v>0</v>
      </c>
      <c r="T81" s="4">
        <f ca="1">_xll.DBRW($B$1,$B$2,$B$7,$B$3,$B$4,$B$5,$F81,$B$6,T$10,$A81,$B81)</f>
        <v>0</v>
      </c>
      <c r="U81" s="4">
        <f ca="1">_xll.DBRW($B$1,$B$2,$B$7,$B$3,$B$4,$B$5,$F81,$B$6,U$10,$A81,$B81)</f>
        <v>0</v>
      </c>
      <c r="V81" s="4">
        <f ca="1">_xll.DBRW($B$1,$B$2,$B$7,$B$3,$B$4,$B$5,$F81,$B$6,V$10,$A81,$B81)</f>
        <v>0</v>
      </c>
      <c r="W81" s="4">
        <f ca="1">_xll.DBRW($B$1,$B$2,$B$7,$B$3,$B$4,$B$5,$F81,$B$6,W$10,$A81,$B81)</f>
        <v>0</v>
      </c>
      <c r="X81" s="4">
        <f ca="1">_xll.DBRW($B$1,$B$2,$B$7,$B$3,$B$4,$B$5,$F81,$B$6,X$10,$A81,$B81)</f>
        <v>0</v>
      </c>
      <c r="Y81" s="4">
        <f ca="1">_xll.DBRW($B$1,$B$2,$B$7,$B$3,$B$4,$B$5,$F81,$B$6,Y$10,$A81,$B81)</f>
        <v>0</v>
      </c>
      <c r="Z81" s="4">
        <f ca="1">_xll.DBRW($B$1,$B$2,$B$7,$B$3,$B$4,$B$5,$F81,$B$6,Z$10,$A81,$B81)</f>
        <v>0</v>
      </c>
      <c r="AA81" s="4">
        <f ca="1">_xll.DBRW($B$1,$B$2,$B$7,$B$3,$B$4,$B$5,$F81,$B$6,AA$10,$A81,$B81)</f>
        <v>0</v>
      </c>
      <c r="AB81" s="4">
        <f ca="1">_xll.DBRW($B$1,$B$2,$B$7,$B$3,$B$4,$B$5,$F81,$B$6,AB$10,$A81,$B81)</f>
        <v>0</v>
      </c>
      <c r="AC81" s="4">
        <f ca="1">_xll.DBRW($B$1,$B$2,$B$7,$B$3,$B$4,$B$5,$F81,$B$6,AC$10,$A81,$B81)</f>
        <v>0</v>
      </c>
      <c r="AD81" s="4">
        <f ca="1">_xll.DBRW($B$1,$B$2,$B$7,$B$3,$B$4,$B$5,$F81,$B$6,AD$10,$A81,$B81)</f>
        <v>0</v>
      </c>
      <c r="AE81" s="4">
        <f ca="1">_xll.DBRW($B$1,$B$2,$B$7,$B$3,$B$4,$B$5,$F81,$B$6,AE$10,$A81,$B81)</f>
        <v>0</v>
      </c>
    </row>
    <row r="82" spans="1:31">
      <c r="A82" s="1" t="s">
        <v>152</v>
      </c>
      <c r="B82" s="5" t="s">
        <v>228</v>
      </c>
      <c r="C82" s="5" t="s">
        <v>229</v>
      </c>
      <c r="D82" s="5" t="s">
        <v>227</v>
      </c>
      <c r="E82" s="5" t="s">
        <v>21</v>
      </c>
      <c r="F82" s="5" t="s">
        <v>22</v>
      </c>
      <c r="G82" s="6"/>
      <c r="H82" s="6"/>
      <c r="I82" s="6"/>
      <c r="J82" s="6"/>
      <c r="K82" s="6"/>
      <c r="L82" s="4">
        <f ca="1">_xll.DBRW($B$1,$B$2,$B$7,$B$3,$B$4,$B$5,$F82,$B$6,L$10,$A82,$B82)</f>
        <v>0</v>
      </c>
      <c r="M82" s="4">
        <f ca="1">_xll.DBRW($B$1,$B$2,$B$7,$B$3,$B$4,$B$5,$F82,$B$6,M$10,$A82,$B82)</f>
        <v>0</v>
      </c>
      <c r="N82" s="4">
        <f ca="1">_xll.DBRW($B$1,$B$2,$B$7,$B$3,$B$4,$B$5,$F82,$B$6,N$10,$A82,$B82)</f>
        <v>0</v>
      </c>
      <c r="O82" s="4">
        <f ca="1">_xll.DBRW($B$1,$B$2,$B$7,$B$3,$B$4,$B$5,$F82,$B$6,O$10,$A82,$B82)</f>
        <v>0</v>
      </c>
      <c r="P82" s="4">
        <f ca="1">_xll.DBRW($B$1,$B$2,$B$7,$B$3,$B$4,$B$5,$F82,$B$6,P$10,$A82,$B82)</f>
        <v>0</v>
      </c>
      <c r="Q82" s="4">
        <f ca="1">_xll.DBRW($B$1,$B$2,$B$7,$B$3,$B$4,$B$5,$F82,$B$6,Q$10,$A82,$B82)</f>
        <v>443264</v>
      </c>
      <c r="R82" s="4">
        <f ca="1">_xll.DBRW($B$1,$B$2,$B$7,$B$3,$B$4,$B$5,$F82,$B$6,R$10,$A82,$B82)</f>
        <v>1773056</v>
      </c>
      <c r="S82" s="4">
        <f ca="1">_xll.DBRW($B$1,$B$2,$B$7,$B$3,$B$4,$B$5,$F82,$B$6,S$10,$A82,$B82)</f>
        <v>0</v>
      </c>
      <c r="T82" s="4">
        <f ca="1">_xll.DBRW($B$1,$B$2,$B$7,$B$3,$B$4,$B$5,$F82,$B$6,T$10,$A82,$B82)</f>
        <v>0</v>
      </c>
      <c r="U82" s="4">
        <f ca="1">_xll.DBRW($B$1,$B$2,$B$7,$B$3,$B$4,$B$5,$F82,$B$6,U$10,$A82,$B82)</f>
        <v>0</v>
      </c>
      <c r="V82" s="4">
        <f ca="1">_xll.DBRW($B$1,$B$2,$B$7,$B$3,$B$4,$B$5,$F82,$B$6,V$10,$A82,$B82)</f>
        <v>0</v>
      </c>
      <c r="W82" s="4">
        <f ca="1">_xll.DBRW($B$1,$B$2,$B$7,$B$3,$B$4,$B$5,$F82,$B$6,W$10,$A82,$B82)</f>
        <v>0</v>
      </c>
      <c r="X82" s="4">
        <f ca="1">_xll.DBRW($B$1,$B$2,$B$7,$B$3,$B$4,$B$5,$F82,$B$6,X$10,$A82,$B82)</f>
        <v>0</v>
      </c>
      <c r="Y82" s="4">
        <f ca="1">_xll.DBRW($B$1,$B$2,$B$7,$B$3,$B$4,$B$5,$F82,$B$6,Y$10,$A82,$B82)</f>
        <v>0</v>
      </c>
      <c r="Z82" s="4">
        <f ca="1">_xll.DBRW($B$1,$B$2,$B$7,$B$3,$B$4,$B$5,$F82,$B$6,Z$10,$A82,$B82)</f>
        <v>0</v>
      </c>
      <c r="AA82" s="4">
        <f ca="1">_xll.DBRW($B$1,$B$2,$B$7,$B$3,$B$4,$B$5,$F82,$B$6,AA$10,$A82,$B82)</f>
        <v>0</v>
      </c>
      <c r="AB82" s="4">
        <f ca="1">_xll.DBRW($B$1,$B$2,$B$7,$B$3,$B$4,$B$5,$F82,$B$6,AB$10,$A82,$B82)</f>
        <v>0</v>
      </c>
      <c r="AC82" s="4">
        <f ca="1">_xll.DBRW($B$1,$B$2,$B$7,$B$3,$B$4,$B$5,$F82,$B$6,AC$10,$A82,$B82)</f>
        <v>0</v>
      </c>
      <c r="AD82" s="4">
        <f ca="1">_xll.DBRW($B$1,$B$2,$B$7,$B$3,$B$4,$B$5,$F82,$B$6,AD$10,$A82,$B82)</f>
        <v>0</v>
      </c>
      <c r="AE82" s="4">
        <f ca="1">_xll.DBRW($B$1,$B$2,$B$7,$B$3,$B$4,$B$5,$F82,$B$6,AE$10,$A82,$B82)</f>
        <v>0</v>
      </c>
    </row>
    <row r="83" spans="1:31">
      <c r="A83" s="1" t="s">
        <v>152</v>
      </c>
      <c r="B83" s="5" t="s">
        <v>230</v>
      </c>
      <c r="C83" s="5" t="s">
        <v>210</v>
      </c>
      <c r="D83" s="5" t="s">
        <v>21</v>
      </c>
      <c r="E83" s="5" t="s">
        <v>211</v>
      </c>
      <c r="F83" s="5" t="s">
        <v>22</v>
      </c>
      <c r="G83" s="6"/>
      <c r="H83" s="6"/>
      <c r="I83" s="6"/>
      <c r="J83" s="6"/>
      <c r="K83" s="6"/>
      <c r="L83" s="4">
        <f ca="1">_xll.DBRW($B$1,$B$2,$B$7,$B$3,$B$4,$B$5,$F83,$B$6,L$10,$A83,$B83)</f>
        <v>450430</v>
      </c>
      <c r="M83" s="4">
        <f ca="1">_xll.DBRW($B$1,$B$2,$B$7,$B$3,$B$4,$B$5,$F83,$B$6,M$10,$A83,$B83)</f>
        <v>900860</v>
      </c>
      <c r="N83" s="4">
        <f ca="1">_xll.DBRW($B$1,$B$2,$B$7,$B$3,$B$4,$B$5,$F83,$B$6,N$10,$A83,$B83)</f>
        <v>900860</v>
      </c>
      <c r="O83" s="4">
        <f ca="1">_xll.DBRW($B$1,$B$2,$B$7,$B$3,$B$4,$B$5,$F83,$B$6,O$10,$A83,$B83)</f>
        <v>1126075</v>
      </c>
      <c r="P83" s="4">
        <f ca="1">_xll.DBRW($B$1,$B$2,$B$7,$B$3,$B$4,$B$5,$F83,$B$6,P$10,$A83,$B83)</f>
        <v>900860</v>
      </c>
      <c r="Q83" s="4">
        <f ca="1">_xll.DBRW($B$1,$B$2,$B$7,$B$3,$B$4,$B$5,$F83,$B$6,Q$10,$A83,$B83)</f>
        <v>900860</v>
      </c>
      <c r="R83" s="4">
        <f ca="1">_xll.DBRW($B$1,$B$2,$B$7,$B$3,$B$4,$B$5,$F83,$B$6,R$10,$A83,$B83)</f>
        <v>0</v>
      </c>
      <c r="S83" s="4">
        <f ca="1">_xll.DBRW($B$1,$B$2,$B$7,$B$3,$B$4,$B$5,$F83,$B$6,S$10,$A83,$B83)</f>
        <v>0</v>
      </c>
      <c r="T83" s="4">
        <f ca="1">_xll.DBRW($B$1,$B$2,$B$7,$B$3,$B$4,$B$5,$F83,$B$6,T$10,$A83,$B83)</f>
        <v>0</v>
      </c>
      <c r="U83" s="4">
        <f ca="1">_xll.DBRW($B$1,$B$2,$B$7,$B$3,$B$4,$B$5,$F83,$B$6,U$10,$A83,$B83)</f>
        <v>0</v>
      </c>
      <c r="V83" s="4">
        <f ca="1">_xll.DBRW($B$1,$B$2,$B$7,$B$3,$B$4,$B$5,$F83,$B$6,V$10,$A83,$B83)</f>
        <v>0</v>
      </c>
      <c r="W83" s="4">
        <f ca="1">_xll.DBRW($B$1,$B$2,$B$7,$B$3,$B$4,$B$5,$F83,$B$6,W$10,$A83,$B83)</f>
        <v>929920</v>
      </c>
      <c r="X83" s="4">
        <f ca="1">_xll.DBRW($B$1,$B$2,$B$7,$B$3,$B$4,$B$5,$F83,$B$6,X$10,$A83,$B83)</f>
        <v>1162400</v>
      </c>
      <c r="Y83" s="4">
        <f ca="1">_xll.DBRW($B$1,$B$2,$B$7,$B$3,$B$4,$B$5,$F83,$B$6,Y$10,$A83,$B83)</f>
        <v>929920</v>
      </c>
      <c r="Z83" s="4">
        <f ca="1">_xll.DBRW($B$1,$B$2,$B$7,$B$3,$B$4,$B$5,$F83,$B$6,Z$10,$A83,$B83)</f>
        <v>1162400</v>
      </c>
      <c r="AA83" s="4">
        <f ca="1">_xll.DBRW($B$1,$B$2,$B$7,$B$3,$B$4,$B$5,$F83,$B$6,AA$10,$A83,$B83)</f>
        <v>929920</v>
      </c>
      <c r="AB83" s="4">
        <f ca="1">_xll.DBRW($B$1,$B$2,$B$7,$B$3,$B$4,$B$5,$F83,$B$6,AB$10,$A83,$B83)</f>
        <v>929920</v>
      </c>
      <c r="AC83" s="4">
        <f ca="1">_xll.DBRW($B$1,$B$2,$B$7,$B$3,$B$4,$B$5,$F83,$B$6,AC$10,$A83,$B83)</f>
        <v>0</v>
      </c>
      <c r="AD83" s="4">
        <f ca="1">_xll.DBRW($B$1,$B$2,$B$7,$B$3,$B$4,$B$5,$F83,$B$6,AD$10,$A83,$B83)</f>
        <v>0</v>
      </c>
      <c r="AE83" s="4">
        <f ca="1">_xll.DBRW($B$1,$B$2,$B$7,$B$3,$B$4,$B$5,$F83,$B$6,AE$10,$A83,$B83)</f>
        <v>0</v>
      </c>
    </row>
    <row r="84" spans="1:31">
      <c r="A84" s="1" t="s">
        <v>152</v>
      </c>
      <c r="B84" s="5" t="s">
        <v>231</v>
      </c>
      <c r="C84" s="5" t="s">
        <v>213</v>
      </c>
      <c r="D84" s="5" t="s">
        <v>211</v>
      </c>
      <c r="E84" s="5" t="s">
        <v>21</v>
      </c>
      <c r="F84" s="5" t="s">
        <v>22</v>
      </c>
      <c r="G84" s="6"/>
      <c r="H84" s="6"/>
      <c r="I84" s="6"/>
      <c r="J84" s="6"/>
      <c r="K84" s="6"/>
      <c r="L84" s="4">
        <f ca="1">_xll.DBRW($B$1,$B$2,$B$7,$B$3,$B$4,$B$5,$F84,$B$6,L$10,$A84,$B84)</f>
        <v>450430</v>
      </c>
      <c r="M84" s="4">
        <f ca="1">_xll.DBRW($B$1,$B$2,$B$7,$B$3,$B$4,$B$5,$F84,$B$6,M$10,$A84,$B84)</f>
        <v>900860</v>
      </c>
      <c r="N84" s="4">
        <f ca="1">_xll.DBRW($B$1,$B$2,$B$7,$B$3,$B$4,$B$5,$F84,$B$6,N$10,$A84,$B84)</f>
        <v>900860</v>
      </c>
      <c r="O84" s="4">
        <f ca="1">_xll.DBRW($B$1,$B$2,$B$7,$B$3,$B$4,$B$5,$F84,$B$6,O$10,$A84,$B84)</f>
        <v>1126075</v>
      </c>
      <c r="P84" s="4">
        <f ca="1">_xll.DBRW($B$1,$B$2,$B$7,$B$3,$B$4,$B$5,$F84,$B$6,P$10,$A84,$B84)</f>
        <v>900860</v>
      </c>
      <c r="Q84" s="4">
        <f ca="1">_xll.DBRW($B$1,$B$2,$B$7,$B$3,$B$4,$B$5,$F84,$B$6,Q$10,$A84,$B84)</f>
        <v>900860</v>
      </c>
      <c r="R84" s="4">
        <f ca="1">_xll.DBRW($B$1,$B$2,$B$7,$B$3,$B$4,$B$5,$F84,$B$6,R$10,$A84,$B84)</f>
        <v>0</v>
      </c>
      <c r="S84" s="4">
        <f ca="1">_xll.DBRW($B$1,$B$2,$B$7,$B$3,$B$4,$B$5,$F84,$B$6,S$10,$A84,$B84)</f>
        <v>0</v>
      </c>
      <c r="T84" s="4">
        <f ca="1">_xll.DBRW($B$1,$B$2,$B$7,$B$3,$B$4,$B$5,$F84,$B$6,T$10,$A84,$B84)</f>
        <v>0</v>
      </c>
      <c r="U84" s="4">
        <f ca="1">_xll.DBRW($B$1,$B$2,$B$7,$B$3,$B$4,$B$5,$F84,$B$6,U$10,$A84,$B84)</f>
        <v>0</v>
      </c>
      <c r="V84" s="4">
        <f ca="1">_xll.DBRW($B$1,$B$2,$B$7,$B$3,$B$4,$B$5,$F84,$B$6,V$10,$A84,$B84)</f>
        <v>0</v>
      </c>
      <c r="W84" s="4">
        <f ca="1">_xll.DBRW($B$1,$B$2,$B$7,$B$3,$B$4,$B$5,$F84,$B$6,W$10,$A84,$B84)</f>
        <v>929920</v>
      </c>
      <c r="X84" s="4">
        <f ca="1">_xll.DBRW($B$1,$B$2,$B$7,$B$3,$B$4,$B$5,$F84,$B$6,X$10,$A84,$B84)</f>
        <v>1162400</v>
      </c>
      <c r="Y84" s="4">
        <f ca="1">_xll.DBRW($B$1,$B$2,$B$7,$B$3,$B$4,$B$5,$F84,$B$6,Y$10,$A84,$B84)</f>
        <v>929920</v>
      </c>
      <c r="Z84" s="4">
        <f ca="1">_xll.DBRW($B$1,$B$2,$B$7,$B$3,$B$4,$B$5,$F84,$B$6,Z$10,$A84,$B84)</f>
        <v>1162400</v>
      </c>
      <c r="AA84" s="4">
        <f ca="1">_xll.DBRW($B$1,$B$2,$B$7,$B$3,$B$4,$B$5,$F84,$B$6,AA$10,$A84,$B84)</f>
        <v>929920</v>
      </c>
      <c r="AB84" s="4">
        <f ca="1">_xll.DBRW($B$1,$B$2,$B$7,$B$3,$B$4,$B$5,$F84,$B$6,AB$10,$A84,$B84)</f>
        <v>929920</v>
      </c>
      <c r="AC84" s="4">
        <f ca="1">_xll.DBRW($B$1,$B$2,$B$7,$B$3,$B$4,$B$5,$F84,$B$6,AC$10,$A84,$B84)</f>
        <v>0</v>
      </c>
      <c r="AD84" s="4">
        <f ca="1">_xll.DBRW($B$1,$B$2,$B$7,$B$3,$B$4,$B$5,$F84,$B$6,AD$10,$A84,$B84)</f>
        <v>0</v>
      </c>
      <c r="AE84" s="4">
        <f ca="1">_xll.DBRW($B$1,$B$2,$B$7,$B$3,$B$4,$B$5,$F84,$B$6,AE$10,$A84,$B84)</f>
        <v>0</v>
      </c>
    </row>
    <row r="85" spans="1:31">
      <c r="A85" s="1" t="s">
        <v>152</v>
      </c>
      <c r="B85" s="5" t="s">
        <v>232</v>
      </c>
      <c r="C85" s="5" t="s">
        <v>233</v>
      </c>
      <c r="D85" s="5" t="s">
        <v>21</v>
      </c>
      <c r="E85" s="5" t="s">
        <v>234</v>
      </c>
      <c r="F85" s="5" t="s">
        <v>22</v>
      </c>
      <c r="G85" s="6"/>
      <c r="H85" s="6"/>
      <c r="I85" s="6"/>
      <c r="J85" s="6"/>
      <c r="K85" s="6"/>
      <c r="L85" s="4">
        <f ca="1">_xll.DBRW($B$1,$B$2,$B$7,$B$3,$B$4,$B$5,$F85,$B$6,L$10,$A85,$B85)</f>
        <v>1742944</v>
      </c>
      <c r="M85" s="4">
        <f ca="1">_xll.DBRW($B$1,$B$2,$B$7,$B$3,$B$4,$B$5,$F85,$B$6,M$10,$A85,$B85)</f>
        <v>1960812</v>
      </c>
      <c r="N85" s="4">
        <f ca="1">_xll.DBRW($B$1,$B$2,$B$7,$B$3,$B$4,$B$5,$F85,$B$6,N$10,$A85,$B85)</f>
        <v>1960812</v>
      </c>
      <c r="O85" s="4">
        <f ca="1">_xll.DBRW($B$1,$B$2,$B$7,$B$3,$B$4,$B$5,$F85,$B$6,O$10,$A85,$B85)</f>
        <v>1960812</v>
      </c>
      <c r="P85" s="4">
        <f ca="1">_xll.DBRW($B$1,$B$2,$B$7,$B$3,$B$4,$B$5,$F85,$B$6,P$10,$A85,$B85)</f>
        <v>1742944</v>
      </c>
      <c r="Q85" s="4">
        <f ca="1">_xll.DBRW($B$1,$B$2,$B$7,$B$3,$B$4,$B$5,$F85,$B$6,Q$10,$A85,$B85)</f>
        <v>1967840</v>
      </c>
      <c r="R85" s="4">
        <f ca="1">_xll.DBRW($B$1,$B$2,$B$7,$B$3,$B$4,$B$5,$F85,$B$6,R$10,$A85,$B85)</f>
        <v>3148544</v>
      </c>
      <c r="S85" s="4">
        <f ca="1">_xll.DBRW($B$1,$B$2,$B$7,$B$3,$B$4,$B$5,$F85,$B$6,S$10,$A85,$B85)</f>
        <v>2923648</v>
      </c>
      <c r="T85" s="4">
        <f ca="1">_xll.DBRW($B$1,$B$2,$B$7,$B$3,$B$4,$B$5,$F85,$B$6,T$10,$A85,$B85)</f>
        <v>2832284</v>
      </c>
      <c r="U85" s="4">
        <f ca="1">_xll.DBRW($B$1,$B$2,$B$7,$B$3,$B$4,$B$5,$F85,$B$6,U$10,$A85,$B85)</f>
        <v>2614416</v>
      </c>
      <c r="V85" s="4">
        <f ca="1">_xll.DBRW($B$1,$B$2,$B$7,$B$3,$B$4,$B$5,$F85,$B$6,V$10,$A85,$B85)</f>
        <v>2832284</v>
      </c>
      <c r="W85" s="4">
        <f ca="1">_xll.DBRW($B$1,$B$2,$B$7,$B$3,$B$4,$B$5,$F85,$B$6,W$10,$A85,$B85)</f>
        <v>1988924</v>
      </c>
      <c r="X85" s="4">
        <f ca="1">_xll.DBRW($B$1,$B$2,$B$7,$B$3,$B$4,$B$5,$F85,$B$6,X$10,$A85,$B85)</f>
        <v>1995952</v>
      </c>
      <c r="Y85" s="4">
        <f ca="1">_xll.DBRW($B$1,$B$2,$B$7,$B$3,$B$4,$B$5,$F85,$B$6,Y$10,$A85,$B85)</f>
        <v>1771056</v>
      </c>
      <c r="Z85" s="4">
        <f ca="1">_xll.DBRW($B$1,$B$2,$B$7,$B$3,$B$4,$B$5,$F85,$B$6,Z$10,$A85,$B85)</f>
        <v>1988924</v>
      </c>
      <c r="AA85" s="4">
        <f ca="1">_xll.DBRW($B$1,$B$2,$B$7,$B$3,$B$4,$B$5,$F85,$B$6,AA$10,$A85,$B85)</f>
        <v>1995952</v>
      </c>
      <c r="AB85" s="4">
        <f ca="1">_xll.DBRW($B$1,$B$2,$B$7,$B$3,$B$4,$B$5,$F85,$B$6,AB$10,$A85,$B85)</f>
        <v>1988924</v>
      </c>
      <c r="AC85" s="4">
        <f ca="1">_xll.DBRW($B$1,$B$2,$B$7,$B$3,$B$4,$B$5,$F85,$B$6,AC$10,$A85,$B85)</f>
        <v>2832284</v>
      </c>
      <c r="AD85" s="4">
        <f ca="1">_xll.DBRW($B$1,$B$2,$B$7,$B$3,$B$4,$B$5,$F85,$B$6,AD$10,$A85,$B85)</f>
        <v>2832284</v>
      </c>
      <c r="AE85" s="4">
        <f ca="1">_xll.DBRW($B$1,$B$2,$B$7,$B$3,$B$4,$B$5,$F85,$B$6,AE$10,$A85,$B85)</f>
        <v>2832284</v>
      </c>
    </row>
    <row r="86" spans="1:31">
      <c r="A86" s="1" t="s">
        <v>152</v>
      </c>
      <c r="B86" s="5" t="s">
        <v>235</v>
      </c>
      <c r="C86" s="5" t="s">
        <v>236</v>
      </c>
      <c r="D86" s="5" t="s">
        <v>234</v>
      </c>
      <c r="E86" s="5" t="s">
        <v>21</v>
      </c>
      <c r="F86" s="5" t="s">
        <v>22</v>
      </c>
      <c r="G86" s="6"/>
      <c r="H86" s="6"/>
      <c r="I86" s="6"/>
      <c r="J86" s="6"/>
      <c r="K86" s="6"/>
      <c r="L86" s="4">
        <f ca="1">_xll.DBRW($B$1,$B$2,$B$7,$B$3,$B$4,$B$5,$F86,$B$6,L$10,$A86,$B86)</f>
        <v>1742944</v>
      </c>
      <c r="M86" s="4">
        <f ca="1">_xll.DBRW($B$1,$B$2,$B$7,$B$3,$B$4,$B$5,$F86,$B$6,M$10,$A86,$B86)</f>
        <v>1960812</v>
      </c>
      <c r="N86" s="4">
        <f ca="1">_xll.DBRW($B$1,$B$2,$B$7,$B$3,$B$4,$B$5,$F86,$B$6,N$10,$A86,$B86)</f>
        <v>1960812</v>
      </c>
      <c r="O86" s="4">
        <f ca="1">_xll.DBRW($B$1,$B$2,$B$7,$B$3,$B$4,$B$5,$F86,$B$6,O$10,$A86,$B86)</f>
        <v>1960812</v>
      </c>
      <c r="P86" s="4">
        <f ca="1">_xll.DBRW($B$1,$B$2,$B$7,$B$3,$B$4,$B$5,$F86,$B$6,P$10,$A86,$B86)</f>
        <v>1742944</v>
      </c>
      <c r="Q86" s="4">
        <f ca="1">_xll.DBRW($B$1,$B$2,$B$7,$B$3,$B$4,$B$5,$F86,$B$6,Q$10,$A86,$B86)</f>
        <v>1967840</v>
      </c>
      <c r="R86" s="4">
        <f ca="1">_xll.DBRW($B$1,$B$2,$B$7,$B$3,$B$4,$B$5,$F86,$B$6,R$10,$A86,$B86)</f>
        <v>3148544</v>
      </c>
      <c r="S86" s="4">
        <f ca="1">_xll.DBRW($B$1,$B$2,$B$7,$B$3,$B$4,$B$5,$F86,$B$6,S$10,$A86,$B86)</f>
        <v>2923648</v>
      </c>
      <c r="T86" s="4">
        <f ca="1">_xll.DBRW($B$1,$B$2,$B$7,$B$3,$B$4,$B$5,$F86,$B$6,T$10,$A86,$B86)</f>
        <v>2832284</v>
      </c>
      <c r="U86" s="4">
        <f ca="1">_xll.DBRW($B$1,$B$2,$B$7,$B$3,$B$4,$B$5,$F86,$B$6,U$10,$A86,$B86)</f>
        <v>2614416</v>
      </c>
      <c r="V86" s="4">
        <f ca="1">_xll.DBRW($B$1,$B$2,$B$7,$B$3,$B$4,$B$5,$F86,$B$6,V$10,$A86,$B86)</f>
        <v>2832284</v>
      </c>
      <c r="W86" s="4">
        <f ca="1">_xll.DBRW($B$1,$B$2,$B$7,$B$3,$B$4,$B$5,$F86,$B$6,W$10,$A86,$B86)</f>
        <v>1988924</v>
      </c>
      <c r="X86" s="4">
        <f ca="1">_xll.DBRW($B$1,$B$2,$B$7,$B$3,$B$4,$B$5,$F86,$B$6,X$10,$A86,$B86)</f>
        <v>1995952</v>
      </c>
      <c r="Y86" s="4">
        <f ca="1">_xll.DBRW($B$1,$B$2,$B$7,$B$3,$B$4,$B$5,$F86,$B$6,Y$10,$A86,$B86)</f>
        <v>1771056</v>
      </c>
      <c r="Z86" s="4">
        <f ca="1">_xll.DBRW($B$1,$B$2,$B$7,$B$3,$B$4,$B$5,$F86,$B$6,Z$10,$A86,$B86)</f>
        <v>1988924</v>
      </c>
      <c r="AA86" s="4">
        <f ca="1">_xll.DBRW($B$1,$B$2,$B$7,$B$3,$B$4,$B$5,$F86,$B$6,AA$10,$A86,$B86)</f>
        <v>1995952</v>
      </c>
      <c r="AB86" s="4">
        <f ca="1">_xll.DBRW($B$1,$B$2,$B$7,$B$3,$B$4,$B$5,$F86,$B$6,AB$10,$A86,$B86)</f>
        <v>1988924</v>
      </c>
      <c r="AC86" s="4">
        <f ca="1">_xll.DBRW($B$1,$B$2,$B$7,$B$3,$B$4,$B$5,$F86,$B$6,AC$10,$A86,$B86)</f>
        <v>2832284</v>
      </c>
      <c r="AD86" s="4">
        <f ca="1">_xll.DBRW($B$1,$B$2,$B$7,$B$3,$B$4,$B$5,$F86,$B$6,AD$10,$A86,$B86)</f>
        <v>2832284</v>
      </c>
      <c r="AE86" s="4">
        <f ca="1">_xll.DBRW($B$1,$B$2,$B$7,$B$3,$B$4,$B$5,$F86,$B$6,AE$10,$A86,$B86)</f>
        <v>2832284</v>
      </c>
    </row>
    <row r="87" spans="1:31">
      <c r="A87" s="1" t="s">
        <v>152</v>
      </c>
      <c r="B87" s="5" t="s">
        <v>237</v>
      </c>
      <c r="C87" s="5" t="s">
        <v>238</v>
      </c>
      <c r="D87" s="5" t="s">
        <v>21</v>
      </c>
      <c r="E87" s="5" t="s">
        <v>239</v>
      </c>
      <c r="F87" s="5" t="s">
        <v>22</v>
      </c>
      <c r="G87" s="6"/>
      <c r="H87" s="6"/>
      <c r="I87" s="6"/>
      <c r="J87" s="6"/>
      <c r="K87" s="6"/>
      <c r="L87" s="4">
        <f ca="1">_xll.DBRW($B$1,$B$2,$B$7,$B$3,$B$4,$B$5,$F87,$B$6,L$10,$A87,$B87)</f>
        <v>0</v>
      </c>
      <c r="M87" s="4">
        <f ca="1">_xll.DBRW($B$1,$B$2,$B$7,$B$3,$B$4,$B$5,$F87,$B$6,M$10,$A87,$B87)</f>
        <v>0</v>
      </c>
      <c r="N87" s="4">
        <f ca="1">_xll.DBRW($B$1,$B$2,$B$7,$B$3,$B$4,$B$5,$F87,$B$6,N$10,$A87,$B87)</f>
        <v>0</v>
      </c>
      <c r="O87" s="4">
        <f ca="1">_xll.DBRW($B$1,$B$2,$B$7,$B$3,$B$4,$B$5,$F87,$B$6,O$10,$A87,$B87)</f>
        <v>0</v>
      </c>
      <c r="P87" s="4">
        <f ca="1">_xll.DBRW($B$1,$B$2,$B$7,$B$3,$B$4,$B$5,$F87,$B$6,P$10,$A87,$B87)</f>
        <v>0</v>
      </c>
      <c r="Q87" s="4">
        <f ca="1">_xll.DBRW($B$1,$B$2,$B$7,$B$3,$B$4,$B$5,$F87,$B$6,Q$10,$A87,$B87)</f>
        <v>0</v>
      </c>
      <c r="R87" s="4">
        <f ca="1">_xll.DBRW($B$1,$B$2,$B$7,$B$3,$B$4,$B$5,$F87,$B$6,R$10,$A87,$B87)</f>
        <v>0</v>
      </c>
      <c r="S87" s="4">
        <f ca="1">_xll.DBRW($B$1,$B$2,$B$7,$B$3,$B$4,$B$5,$F87,$B$6,S$10,$A87,$B87)</f>
        <v>0</v>
      </c>
      <c r="T87" s="4">
        <f ca="1">_xll.DBRW($B$1,$B$2,$B$7,$B$3,$B$4,$B$5,$F87,$B$6,T$10,$A87,$B87)</f>
        <v>0</v>
      </c>
      <c r="U87" s="4">
        <f ca="1">_xll.DBRW($B$1,$B$2,$B$7,$B$3,$B$4,$B$5,$F87,$B$6,U$10,$A87,$B87)</f>
        <v>0</v>
      </c>
      <c r="V87" s="4">
        <f ca="1">_xll.DBRW($B$1,$B$2,$B$7,$B$3,$B$4,$B$5,$F87,$B$6,V$10,$A87,$B87)</f>
        <v>585032</v>
      </c>
      <c r="W87" s="4">
        <f ca="1">_xll.DBRW($B$1,$B$2,$B$7,$B$3,$B$4,$B$5,$F87,$B$6,W$10,$A87,$B87)</f>
        <v>8775480</v>
      </c>
      <c r="X87" s="4">
        <f ca="1">_xll.DBRW($B$1,$B$2,$B$7,$B$3,$B$4,$B$5,$F87,$B$6,X$10,$A87,$B87)</f>
        <v>9067996</v>
      </c>
      <c r="Y87" s="4">
        <f ca="1">_xll.DBRW($B$1,$B$2,$B$7,$B$3,$B$4,$B$5,$F87,$B$6,Y$10,$A87,$B87)</f>
        <v>8775480</v>
      </c>
      <c r="Z87" s="4">
        <f ca="1">_xll.DBRW($B$1,$B$2,$B$7,$B$3,$B$4,$B$5,$F87,$B$6,Z$10,$A87,$B87)</f>
        <v>9067996</v>
      </c>
      <c r="AA87" s="4">
        <f ca="1">_xll.DBRW($B$1,$B$2,$B$7,$B$3,$B$4,$B$5,$F87,$B$6,AA$10,$A87,$B87)</f>
        <v>9067996</v>
      </c>
      <c r="AB87" s="4">
        <f ca="1">_xll.DBRW($B$1,$B$2,$B$7,$B$3,$B$4,$B$5,$F87,$B$6,AB$10,$A87,$B87)</f>
        <v>8775480</v>
      </c>
      <c r="AC87" s="4">
        <f ca="1">_xll.DBRW($B$1,$B$2,$B$7,$B$3,$B$4,$B$5,$F87,$B$6,AC$10,$A87,$B87)</f>
        <v>9067996</v>
      </c>
      <c r="AD87" s="4">
        <f ca="1">_xll.DBRW($B$1,$B$2,$B$7,$B$3,$B$4,$B$5,$F87,$B$6,AD$10,$A87,$B87)</f>
        <v>8775480</v>
      </c>
      <c r="AE87" s="4">
        <f ca="1">_xll.DBRW($B$1,$B$2,$B$7,$B$3,$B$4,$B$5,$F87,$B$6,AE$10,$A87,$B87)</f>
        <v>9067996</v>
      </c>
    </row>
    <row r="88" spans="1:31">
      <c r="A88" s="1" t="s">
        <v>152</v>
      </c>
      <c r="B88" s="5" t="s">
        <v>240</v>
      </c>
      <c r="C88" s="5" t="s">
        <v>241</v>
      </c>
      <c r="D88" s="5" t="s">
        <v>239</v>
      </c>
      <c r="E88" s="5" t="s">
        <v>21</v>
      </c>
      <c r="F88" s="5" t="s">
        <v>22</v>
      </c>
      <c r="G88" s="6"/>
      <c r="H88" s="6"/>
      <c r="I88" s="6"/>
      <c r="J88" s="6"/>
      <c r="K88" s="6"/>
      <c r="L88" s="4">
        <f ca="1">_xll.DBRW($B$1,$B$2,$B$7,$B$3,$B$4,$B$5,$F88,$B$6,L$10,$A88,$B88)</f>
        <v>0</v>
      </c>
      <c r="M88" s="4">
        <f ca="1">_xll.DBRW($B$1,$B$2,$B$7,$B$3,$B$4,$B$5,$F88,$B$6,M$10,$A88,$B88)</f>
        <v>0</v>
      </c>
      <c r="N88" s="4">
        <f ca="1">_xll.DBRW($B$1,$B$2,$B$7,$B$3,$B$4,$B$5,$F88,$B$6,N$10,$A88,$B88)</f>
        <v>0</v>
      </c>
      <c r="O88" s="4">
        <f ca="1">_xll.DBRW($B$1,$B$2,$B$7,$B$3,$B$4,$B$5,$F88,$B$6,O$10,$A88,$B88)</f>
        <v>0</v>
      </c>
      <c r="P88" s="4">
        <f ca="1">_xll.DBRW($B$1,$B$2,$B$7,$B$3,$B$4,$B$5,$F88,$B$6,P$10,$A88,$B88)</f>
        <v>0</v>
      </c>
      <c r="Q88" s="4">
        <f ca="1">_xll.DBRW($B$1,$B$2,$B$7,$B$3,$B$4,$B$5,$F88,$B$6,Q$10,$A88,$B88)</f>
        <v>0</v>
      </c>
      <c r="R88" s="4">
        <f ca="1">_xll.DBRW($B$1,$B$2,$B$7,$B$3,$B$4,$B$5,$F88,$B$6,R$10,$A88,$B88)</f>
        <v>0</v>
      </c>
      <c r="S88" s="4">
        <f ca="1">_xll.DBRW($B$1,$B$2,$B$7,$B$3,$B$4,$B$5,$F88,$B$6,S$10,$A88,$B88)</f>
        <v>0</v>
      </c>
      <c r="T88" s="4">
        <f ca="1">_xll.DBRW($B$1,$B$2,$B$7,$B$3,$B$4,$B$5,$F88,$B$6,T$10,$A88,$B88)</f>
        <v>0</v>
      </c>
      <c r="U88" s="4">
        <f ca="1">_xll.DBRW($B$1,$B$2,$B$7,$B$3,$B$4,$B$5,$F88,$B$6,U$10,$A88,$B88)</f>
        <v>0</v>
      </c>
      <c r="V88" s="4">
        <f ca="1">_xll.DBRW($B$1,$B$2,$B$7,$B$3,$B$4,$B$5,$F88,$B$6,V$10,$A88,$B88)</f>
        <v>585032</v>
      </c>
      <c r="W88" s="4">
        <f ca="1">_xll.DBRW($B$1,$B$2,$B$7,$B$3,$B$4,$B$5,$F88,$B$6,W$10,$A88,$B88)</f>
        <v>8775480</v>
      </c>
      <c r="X88" s="4">
        <f ca="1">_xll.DBRW($B$1,$B$2,$B$7,$B$3,$B$4,$B$5,$F88,$B$6,X$10,$A88,$B88)</f>
        <v>9067996</v>
      </c>
      <c r="Y88" s="4">
        <f ca="1">_xll.DBRW($B$1,$B$2,$B$7,$B$3,$B$4,$B$5,$F88,$B$6,Y$10,$A88,$B88)</f>
        <v>8775480</v>
      </c>
      <c r="Z88" s="4">
        <f ca="1">_xll.DBRW($B$1,$B$2,$B$7,$B$3,$B$4,$B$5,$F88,$B$6,Z$10,$A88,$B88)</f>
        <v>9067996</v>
      </c>
      <c r="AA88" s="4">
        <f ca="1">_xll.DBRW($B$1,$B$2,$B$7,$B$3,$B$4,$B$5,$F88,$B$6,AA$10,$A88,$B88)</f>
        <v>9067996</v>
      </c>
      <c r="AB88" s="4">
        <f ca="1">_xll.DBRW($B$1,$B$2,$B$7,$B$3,$B$4,$B$5,$F88,$B$6,AB$10,$A88,$B88)</f>
        <v>8775480</v>
      </c>
      <c r="AC88" s="4">
        <f ca="1">_xll.DBRW($B$1,$B$2,$B$7,$B$3,$B$4,$B$5,$F88,$B$6,AC$10,$A88,$B88)</f>
        <v>8775480</v>
      </c>
      <c r="AD88" s="4">
        <f ca="1">_xll.DBRW($B$1,$B$2,$B$7,$B$3,$B$4,$B$5,$F88,$B$6,AD$10,$A88,$B88)</f>
        <v>8775480</v>
      </c>
      <c r="AE88" s="4">
        <f ca="1">_xll.DBRW($B$1,$B$2,$B$7,$B$3,$B$4,$B$5,$F88,$B$6,AE$10,$A88,$B88)</f>
        <v>8775480</v>
      </c>
    </row>
    <row r="89" spans="1:31">
      <c r="A89" s="1" t="s">
        <v>152</v>
      </c>
      <c r="B89" s="5" t="s">
        <v>242</v>
      </c>
      <c r="C89" s="5" t="s">
        <v>243</v>
      </c>
      <c r="D89" s="5" t="s">
        <v>21</v>
      </c>
      <c r="E89" s="5" t="s">
        <v>244</v>
      </c>
      <c r="F89" s="5" t="s">
        <v>22</v>
      </c>
      <c r="G89" s="6"/>
      <c r="H89" s="6"/>
      <c r="I89" s="6"/>
      <c r="J89" s="6"/>
      <c r="K89" s="6"/>
      <c r="L89" s="4">
        <f ca="1">_xll.DBRW($B$1,$B$2,$B$7,$B$3,$B$4,$B$5,$F89,$B$6,L$10,$A89,$B89)</f>
        <v>2793596</v>
      </c>
      <c r="M89" s="4">
        <f ca="1">_xll.DBRW($B$1,$B$2,$B$7,$B$3,$B$4,$B$5,$F89,$B$6,M$10,$A89,$B89)</f>
        <v>2793596</v>
      </c>
      <c r="N89" s="4">
        <f ca="1">_xll.DBRW($B$1,$B$2,$B$7,$B$3,$B$4,$B$5,$F89,$B$6,N$10,$A89,$B89)</f>
        <v>2793596</v>
      </c>
      <c r="O89" s="4">
        <f ca="1">_xll.DBRW($B$1,$B$2,$B$7,$B$3,$B$4,$B$5,$F89,$B$6,O$10,$A89,$B89)</f>
        <v>2363812</v>
      </c>
      <c r="P89" s="4">
        <f ca="1">_xll.DBRW($B$1,$B$2,$B$7,$B$3,$B$4,$B$5,$F89,$B$6,P$10,$A89,$B89)</f>
        <v>2793596</v>
      </c>
      <c r="Q89" s="4">
        <f ca="1">_xll.DBRW($B$1,$B$2,$B$7,$B$3,$B$4,$B$5,$F89,$B$6,Q$10,$A89,$B89)</f>
        <v>2370744</v>
      </c>
      <c r="R89" s="4">
        <f ca="1">_xll.DBRW($B$1,$B$2,$B$7,$B$3,$B$4,$B$5,$F89,$B$6,R$10,$A89,$B89)</f>
        <v>1531972</v>
      </c>
      <c r="S89" s="4">
        <f ca="1">_xll.DBRW($B$1,$B$2,$B$7,$B$3,$B$4,$B$5,$F89,$B$6,S$10,$A89,$B89)</f>
        <v>2883712</v>
      </c>
      <c r="T89" s="4">
        <f ca="1">_xll.DBRW($B$1,$B$2,$B$7,$B$3,$B$4,$B$5,$F89,$B$6,T$10,$A89,$B89)</f>
        <v>2793596</v>
      </c>
      <c r="U89" s="4">
        <f ca="1">_xll.DBRW($B$1,$B$2,$B$7,$B$3,$B$4,$B$5,$F89,$B$6,U$10,$A89,$B89)</f>
        <v>2578704</v>
      </c>
      <c r="V89" s="4">
        <f ca="1">_xll.DBRW($B$1,$B$2,$B$7,$B$3,$B$4,$B$5,$F89,$B$6,V$10,$A89,$B89)</f>
        <v>2793596</v>
      </c>
      <c r="W89" s="4">
        <f ca="1">_xll.DBRW($B$1,$B$2,$B$7,$B$3,$B$4,$B$5,$F89,$B$6,W$10,$A89,$B89)</f>
        <v>1934028</v>
      </c>
      <c r="X89" s="4">
        <f ca="1">_xll.DBRW($B$1,$B$2,$B$7,$B$3,$B$4,$B$5,$F89,$B$6,X$10,$A89,$B89)</f>
        <v>1719136</v>
      </c>
      <c r="Y89" s="4">
        <f ca="1">_xll.DBRW($B$1,$B$2,$B$7,$B$3,$B$4,$B$5,$F89,$B$6,Y$10,$A89,$B89)</f>
        <v>1934028</v>
      </c>
      <c r="Z89" s="4">
        <f ca="1">_xll.DBRW($B$1,$B$2,$B$7,$B$3,$B$4,$B$5,$F89,$B$6,Z$10,$A89,$B89)</f>
        <v>1934028</v>
      </c>
      <c r="AA89" s="4">
        <f ca="1">_xll.DBRW($B$1,$B$2,$B$7,$B$3,$B$4,$B$5,$F89,$B$6,AA$10,$A89,$B89)</f>
        <v>1934028</v>
      </c>
      <c r="AB89" s="4">
        <f ca="1">_xll.DBRW($B$1,$B$2,$B$7,$B$3,$B$4,$B$5,$F89,$B$6,AB$10,$A89,$B89)</f>
        <v>1719136</v>
      </c>
      <c r="AC89" s="4">
        <f ca="1">_xll.DBRW($B$1,$B$2,$B$7,$B$3,$B$4,$B$5,$F89,$B$6,AC$10,$A89,$B89)</f>
        <v>2793596</v>
      </c>
      <c r="AD89" s="4">
        <f ca="1">_xll.DBRW($B$1,$B$2,$B$7,$B$3,$B$4,$B$5,$F89,$B$6,AD$10,$A89,$B89)</f>
        <v>2793596</v>
      </c>
      <c r="AE89" s="4">
        <f ca="1">_xll.DBRW($B$1,$B$2,$B$7,$B$3,$B$4,$B$5,$F89,$B$6,AE$10,$A89,$B89)</f>
        <v>3008488</v>
      </c>
    </row>
    <row r="90" spans="1:31">
      <c r="A90" s="1" t="s">
        <v>152</v>
      </c>
      <c r="B90" s="5" t="s">
        <v>245</v>
      </c>
      <c r="C90" s="5" t="s">
        <v>246</v>
      </c>
      <c r="D90" s="5" t="s">
        <v>244</v>
      </c>
      <c r="E90" s="5" t="s">
        <v>21</v>
      </c>
      <c r="F90" s="5" t="s">
        <v>22</v>
      </c>
      <c r="G90" s="6"/>
      <c r="H90" s="6"/>
      <c r="I90" s="6"/>
      <c r="J90" s="6"/>
      <c r="K90" s="6"/>
      <c r="L90" s="4">
        <f ca="1">_xll.DBRW($B$1,$B$2,$B$7,$B$3,$B$4,$B$5,$F90,$B$6,L$10,$A90,$B90)</f>
        <v>2793596</v>
      </c>
      <c r="M90" s="4">
        <f ca="1">_xll.DBRW($B$1,$B$2,$B$7,$B$3,$B$4,$B$5,$F90,$B$6,M$10,$A90,$B90)</f>
        <v>2793596</v>
      </c>
      <c r="N90" s="4">
        <f ca="1">_xll.DBRW($B$1,$B$2,$B$7,$B$3,$B$4,$B$5,$F90,$B$6,N$10,$A90,$B90)</f>
        <v>2793596</v>
      </c>
      <c r="O90" s="4">
        <f ca="1">_xll.DBRW($B$1,$B$2,$B$7,$B$3,$B$4,$B$5,$F90,$B$6,O$10,$A90,$B90)</f>
        <v>2363812</v>
      </c>
      <c r="P90" s="4">
        <f ca="1">_xll.DBRW($B$1,$B$2,$B$7,$B$3,$B$4,$B$5,$F90,$B$6,P$10,$A90,$B90)</f>
        <v>2793596</v>
      </c>
      <c r="Q90" s="4">
        <f ca="1">_xll.DBRW($B$1,$B$2,$B$7,$B$3,$B$4,$B$5,$F90,$B$6,Q$10,$A90,$B90)</f>
        <v>2370744</v>
      </c>
      <c r="R90" s="4">
        <f ca="1">_xll.DBRW($B$1,$B$2,$B$7,$B$3,$B$4,$B$5,$F90,$B$6,R$10,$A90,$B90)</f>
        <v>1531972</v>
      </c>
      <c r="S90" s="4">
        <f ca="1">_xll.DBRW($B$1,$B$2,$B$7,$B$3,$B$4,$B$5,$F90,$B$6,S$10,$A90,$B90)</f>
        <v>2883712</v>
      </c>
      <c r="T90" s="4">
        <f ca="1">_xll.DBRW($B$1,$B$2,$B$7,$B$3,$B$4,$B$5,$F90,$B$6,T$10,$A90,$B90)</f>
        <v>2793596</v>
      </c>
      <c r="U90" s="4">
        <f ca="1">_xll.DBRW($B$1,$B$2,$B$7,$B$3,$B$4,$B$5,$F90,$B$6,U$10,$A90,$B90)</f>
        <v>2578704</v>
      </c>
      <c r="V90" s="4">
        <f ca="1">_xll.DBRW($B$1,$B$2,$B$7,$B$3,$B$4,$B$5,$F90,$B$6,V$10,$A90,$B90)</f>
        <v>2793596</v>
      </c>
      <c r="W90" s="4">
        <f ca="1">_xll.DBRW($B$1,$B$2,$B$7,$B$3,$B$4,$B$5,$F90,$B$6,W$10,$A90,$B90)</f>
        <v>1934028</v>
      </c>
      <c r="X90" s="4">
        <f ca="1">_xll.DBRW($B$1,$B$2,$B$7,$B$3,$B$4,$B$5,$F90,$B$6,X$10,$A90,$B90)</f>
        <v>1719136</v>
      </c>
      <c r="Y90" s="4">
        <f ca="1">_xll.DBRW($B$1,$B$2,$B$7,$B$3,$B$4,$B$5,$F90,$B$6,Y$10,$A90,$B90)</f>
        <v>1934028</v>
      </c>
      <c r="Z90" s="4">
        <f ca="1">_xll.DBRW($B$1,$B$2,$B$7,$B$3,$B$4,$B$5,$F90,$B$6,Z$10,$A90,$B90)</f>
        <v>1934028</v>
      </c>
      <c r="AA90" s="4">
        <f ca="1">_xll.DBRW($B$1,$B$2,$B$7,$B$3,$B$4,$B$5,$F90,$B$6,AA$10,$A90,$B90)</f>
        <v>1934028</v>
      </c>
      <c r="AB90" s="4">
        <f ca="1">_xll.DBRW($B$1,$B$2,$B$7,$B$3,$B$4,$B$5,$F90,$B$6,AB$10,$A90,$B90)</f>
        <v>1719136</v>
      </c>
      <c r="AC90" s="4">
        <f ca="1">_xll.DBRW($B$1,$B$2,$B$7,$B$3,$B$4,$B$5,$F90,$B$6,AC$10,$A90,$B90)</f>
        <v>2793596</v>
      </c>
      <c r="AD90" s="4">
        <f ca="1">_xll.DBRW($B$1,$B$2,$B$7,$B$3,$B$4,$B$5,$F90,$B$6,AD$10,$A90,$B90)</f>
        <v>2793596</v>
      </c>
      <c r="AE90" s="4">
        <f ca="1">_xll.DBRW($B$1,$B$2,$B$7,$B$3,$B$4,$B$5,$F90,$B$6,AE$10,$A90,$B90)</f>
        <v>3008488</v>
      </c>
    </row>
    <row r="91" spans="1:31">
      <c r="A91" s="1" t="s">
        <v>152</v>
      </c>
      <c r="B91" s="5" t="s">
        <v>247</v>
      </c>
      <c r="C91" s="5" t="s">
        <v>248</v>
      </c>
      <c r="D91" s="5" t="s">
        <v>21</v>
      </c>
      <c r="E91" s="5" t="s">
        <v>249</v>
      </c>
      <c r="F91" s="5" t="s">
        <v>22</v>
      </c>
      <c r="G91" s="6"/>
      <c r="H91" s="6"/>
      <c r="I91" s="6"/>
      <c r="J91" s="6"/>
      <c r="K91" s="6"/>
      <c r="L91" s="4">
        <f ca="1">_xll.DBRW($B$1,$B$2,$B$7,$B$3,$B$4,$B$5,$F91,$B$6,L$10,$A91,$B91)</f>
        <v>0</v>
      </c>
      <c r="M91" s="4">
        <f ca="1">_xll.DBRW($B$1,$B$2,$B$7,$B$3,$B$4,$B$5,$F91,$B$6,M$10,$A91,$B91)</f>
        <v>0</v>
      </c>
      <c r="N91" s="4">
        <f ca="1">_xll.DBRW($B$1,$B$2,$B$7,$B$3,$B$4,$B$5,$F91,$B$6,N$10,$A91,$B91)</f>
        <v>0</v>
      </c>
      <c r="O91" s="4">
        <f ca="1">_xll.DBRW($B$1,$B$2,$B$7,$B$3,$B$4,$B$5,$F91,$B$6,O$10,$A91,$B91)</f>
        <v>0</v>
      </c>
      <c r="P91" s="4">
        <f ca="1">_xll.DBRW($B$1,$B$2,$B$7,$B$3,$B$4,$B$5,$F91,$B$6,P$10,$A91,$B91)</f>
        <v>0</v>
      </c>
      <c r="Q91" s="4">
        <f ca="1">_xll.DBRW($B$1,$B$2,$B$7,$B$3,$B$4,$B$5,$F91,$B$6,Q$10,$A91,$B91)</f>
        <v>0</v>
      </c>
      <c r="R91" s="4">
        <f ca="1">_xll.DBRW($B$1,$B$2,$B$7,$B$3,$B$4,$B$5,$F91,$B$6,R$10,$A91,$B91)</f>
        <v>0</v>
      </c>
      <c r="S91" s="4">
        <f ca="1">_xll.DBRW($B$1,$B$2,$B$7,$B$3,$B$4,$B$5,$F91,$B$6,S$10,$A91,$B91)</f>
        <v>0</v>
      </c>
      <c r="T91" s="4">
        <f ca="1">_xll.DBRW($B$1,$B$2,$B$7,$B$3,$B$4,$B$5,$F91,$B$6,T$10,$A91,$B91)</f>
        <v>0</v>
      </c>
      <c r="U91" s="4">
        <f ca="1">_xll.DBRW($B$1,$B$2,$B$7,$B$3,$B$4,$B$5,$F91,$B$6,U$10,$A91,$B91)</f>
        <v>0</v>
      </c>
      <c r="V91" s="4">
        <f ca="1">_xll.DBRW($B$1,$B$2,$B$7,$B$3,$B$4,$B$5,$F91,$B$6,V$10,$A91,$B91)</f>
        <v>0</v>
      </c>
      <c r="W91" s="4">
        <f ca="1">_xll.DBRW($B$1,$B$2,$B$7,$B$3,$B$4,$B$5,$F91,$B$6,W$10,$A91,$B91)</f>
        <v>0</v>
      </c>
      <c r="X91" s="4">
        <f ca="1">_xll.DBRW($B$1,$B$2,$B$7,$B$3,$B$4,$B$5,$F91,$B$6,X$10,$A91,$B91)</f>
        <v>0</v>
      </c>
      <c r="Y91" s="4">
        <f ca="1">_xll.DBRW($B$1,$B$2,$B$7,$B$3,$B$4,$B$5,$F91,$B$6,Y$10,$A91,$B91)</f>
        <v>0</v>
      </c>
      <c r="Z91" s="4">
        <f ca="1">_xll.DBRW($B$1,$B$2,$B$7,$B$3,$B$4,$B$5,$F91,$B$6,Z$10,$A91,$B91)</f>
        <v>0</v>
      </c>
      <c r="AA91" s="4">
        <f ca="1">_xll.DBRW($B$1,$B$2,$B$7,$B$3,$B$4,$B$5,$F91,$B$6,AA$10,$A91,$B91)</f>
        <v>0</v>
      </c>
      <c r="AB91" s="4">
        <f ca="1">_xll.DBRW($B$1,$B$2,$B$7,$B$3,$B$4,$B$5,$F91,$B$6,AB$10,$A91,$B91)</f>
        <v>0</v>
      </c>
      <c r="AC91" s="4">
        <f ca="1">_xll.DBRW($B$1,$B$2,$B$7,$B$3,$B$4,$B$5,$F91,$B$6,AC$10,$A91,$B91)</f>
        <v>0</v>
      </c>
      <c r="AD91" s="4">
        <f ca="1">_xll.DBRW($B$1,$B$2,$B$7,$B$3,$B$4,$B$5,$F91,$B$6,AD$10,$A91,$B91)</f>
        <v>0</v>
      </c>
      <c r="AE91" s="4">
        <f ca="1">_xll.DBRW($B$1,$B$2,$B$7,$B$3,$B$4,$B$5,$F91,$B$6,AE$10,$A91,$B91)</f>
        <v>8545212</v>
      </c>
    </row>
    <row r="92" spans="1:31">
      <c r="A92" s="1" t="s">
        <v>152</v>
      </c>
      <c r="B92" s="5" t="s">
        <v>250</v>
      </c>
      <c r="C92" s="5" t="s">
        <v>251</v>
      </c>
      <c r="D92" s="5" t="s">
        <v>249</v>
      </c>
      <c r="E92" s="5" t="s">
        <v>21</v>
      </c>
      <c r="F92" s="5" t="s">
        <v>22</v>
      </c>
      <c r="G92" s="6"/>
      <c r="H92" s="6"/>
      <c r="I92" s="6"/>
      <c r="J92" s="6"/>
      <c r="K92" s="6"/>
      <c r="L92" s="4">
        <f ca="1">_xll.DBRW($B$1,$B$2,$B$7,$B$3,$B$4,$B$5,$F92,$B$6,L$10,$A92,$B92)</f>
        <v>0</v>
      </c>
      <c r="M92" s="4">
        <f ca="1">_xll.DBRW($B$1,$B$2,$B$7,$B$3,$B$4,$B$5,$F92,$B$6,M$10,$A92,$B92)</f>
        <v>0</v>
      </c>
      <c r="N92" s="4">
        <f ca="1">_xll.DBRW($B$1,$B$2,$B$7,$B$3,$B$4,$B$5,$F92,$B$6,N$10,$A92,$B92)</f>
        <v>0</v>
      </c>
      <c r="O92" s="4">
        <f ca="1">_xll.DBRW($B$1,$B$2,$B$7,$B$3,$B$4,$B$5,$F92,$B$6,O$10,$A92,$B92)</f>
        <v>0</v>
      </c>
      <c r="P92" s="4">
        <f ca="1">_xll.DBRW($B$1,$B$2,$B$7,$B$3,$B$4,$B$5,$F92,$B$6,P$10,$A92,$B92)</f>
        <v>0</v>
      </c>
      <c r="Q92" s="4">
        <f ca="1">_xll.DBRW($B$1,$B$2,$B$7,$B$3,$B$4,$B$5,$F92,$B$6,Q$10,$A92,$B92)</f>
        <v>0</v>
      </c>
      <c r="R92" s="4">
        <f ca="1">_xll.DBRW($B$1,$B$2,$B$7,$B$3,$B$4,$B$5,$F92,$B$6,R$10,$A92,$B92)</f>
        <v>0</v>
      </c>
      <c r="S92" s="4">
        <f ca="1">_xll.DBRW($B$1,$B$2,$B$7,$B$3,$B$4,$B$5,$F92,$B$6,S$10,$A92,$B92)</f>
        <v>0</v>
      </c>
      <c r="T92" s="4">
        <f ca="1">_xll.DBRW($B$1,$B$2,$B$7,$B$3,$B$4,$B$5,$F92,$B$6,T$10,$A92,$B92)</f>
        <v>0</v>
      </c>
      <c r="U92" s="4">
        <f ca="1">_xll.DBRW($B$1,$B$2,$B$7,$B$3,$B$4,$B$5,$F92,$B$6,U$10,$A92,$B92)</f>
        <v>0</v>
      </c>
      <c r="V92" s="4">
        <f ca="1">_xll.DBRW($B$1,$B$2,$B$7,$B$3,$B$4,$B$5,$F92,$B$6,V$10,$A92,$B92)</f>
        <v>0</v>
      </c>
      <c r="W92" s="4">
        <f ca="1">_xll.DBRW($B$1,$B$2,$B$7,$B$3,$B$4,$B$5,$F92,$B$6,W$10,$A92,$B92)</f>
        <v>0</v>
      </c>
      <c r="X92" s="4">
        <f ca="1">_xll.DBRW($B$1,$B$2,$B$7,$B$3,$B$4,$B$5,$F92,$B$6,X$10,$A92,$B92)</f>
        <v>0</v>
      </c>
      <c r="Y92" s="4">
        <f ca="1">_xll.DBRW($B$1,$B$2,$B$7,$B$3,$B$4,$B$5,$F92,$B$6,Y$10,$A92,$B92)</f>
        <v>0</v>
      </c>
      <c r="Z92" s="4">
        <f ca="1">_xll.DBRW($B$1,$B$2,$B$7,$B$3,$B$4,$B$5,$F92,$B$6,Z$10,$A92,$B92)</f>
        <v>0</v>
      </c>
      <c r="AA92" s="4">
        <f ca="1">_xll.DBRW($B$1,$B$2,$B$7,$B$3,$B$4,$B$5,$F92,$B$6,AA$10,$A92,$B92)</f>
        <v>0</v>
      </c>
      <c r="AB92" s="4">
        <f ca="1">_xll.DBRW($B$1,$B$2,$B$7,$B$3,$B$4,$B$5,$F92,$B$6,AB$10,$A92,$B92)</f>
        <v>0</v>
      </c>
      <c r="AC92" s="4">
        <f ca="1">_xll.DBRW($B$1,$B$2,$B$7,$B$3,$B$4,$B$5,$F92,$B$6,AC$10,$A92,$B92)</f>
        <v>0</v>
      </c>
      <c r="AD92" s="4">
        <f ca="1">_xll.DBRW($B$1,$B$2,$B$7,$B$3,$B$4,$B$5,$F92,$B$6,AD$10,$A92,$B92)</f>
        <v>0</v>
      </c>
      <c r="AE92" s="4">
        <f ca="1">_xll.DBRW($B$1,$B$2,$B$7,$B$3,$B$4,$B$5,$F92,$B$6,AE$10,$A92,$B92)</f>
        <v>8545212</v>
      </c>
    </row>
    <row r="93" spans="1:31">
      <c r="A93" s="1" t="s">
        <v>152</v>
      </c>
      <c r="B93" s="5" t="s">
        <v>252</v>
      </c>
      <c r="C93" s="5" t="s">
        <v>226</v>
      </c>
      <c r="D93" s="5" t="s">
        <v>21</v>
      </c>
      <c r="E93" s="5" t="s">
        <v>227</v>
      </c>
      <c r="F93" s="5" t="s">
        <v>22</v>
      </c>
      <c r="G93" s="6"/>
      <c r="H93" s="6"/>
      <c r="I93" s="6"/>
      <c r="J93" s="6"/>
      <c r="K93" s="6"/>
      <c r="L93" s="4">
        <f ca="1">_xll.DBRW($B$1,$B$2,$B$7,$B$3,$B$4,$B$5,$F93,$B$6,L$10,$A93,$B93)</f>
        <v>2316413</v>
      </c>
      <c r="M93" s="4">
        <f ca="1">_xll.DBRW($B$1,$B$2,$B$7,$B$3,$B$4,$B$5,$F93,$B$6,M$10,$A93,$B93)</f>
        <v>0</v>
      </c>
      <c r="N93" s="4">
        <f ca="1">_xll.DBRW($B$1,$B$2,$B$7,$B$3,$B$4,$B$5,$F93,$B$6,N$10,$A93,$B93)</f>
        <v>0</v>
      </c>
      <c r="O93" s="4">
        <f ca="1">_xll.DBRW($B$1,$B$2,$B$7,$B$3,$B$4,$B$5,$F93,$B$6,O$10,$A93,$B93)</f>
        <v>0</v>
      </c>
      <c r="P93" s="4">
        <f ca="1">_xll.DBRW($B$1,$B$2,$B$7,$B$3,$B$4,$B$5,$F93,$B$6,P$10,$A93,$B93)</f>
        <v>0</v>
      </c>
      <c r="Q93" s="4">
        <f ca="1">_xll.DBRW($B$1,$B$2,$B$7,$B$3,$B$4,$B$5,$F93,$B$6,Q$10,$A93,$B93)</f>
        <v>0</v>
      </c>
      <c r="R93" s="4">
        <f ca="1">_xll.DBRW($B$1,$B$2,$B$7,$B$3,$B$4,$B$5,$F93,$B$6,R$10,$A93,$B93)</f>
        <v>0</v>
      </c>
      <c r="S93" s="4">
        <f ca="1">_xll.DBRW($B$1,$B$2,$B$7,$B$3,$B$4,$B$5,$F93,$B$6,S$10,$A93,$B93)</f>
        <v>2737579</v>
      </c>
      <c r="T93" s="4">
        <f ca="1">_xll.DBRW($B$1,$B$2,$B$7,$B$3,$B$4,$B$5,$F93,$B$6,T$10,$A93,$B93)</f>
        <v>2737579</v>
      </c>
      <c r="U93" s="4">
        <f ca="1">_xll.DBRW($B$1,$B$2,$B$7,$B$3,$B$4,$B$5,$F93,$B$6,U$10,$A93,$B93)</f>
        <v>2526996</v>
      </c>
      <c r="V93" s="4">
        <f ca="1">_xll.DBRW($B$1,$B$2,$B$7,$B$3,$B$4,$B$5,$F93,$B$6,V$10,$A93,$B93)</f>
        <v>2737579</v>
      </c>
      <c r="W93" s="4">
        <f ca="1">_xll.DBRW($B$1,$B$2,$B$7,$B$3,$B$4,$B$5,$F93,$B$6,W$10,$A93,$B93)</f>
        <v>0</v>
      </c>
      <c r="X93" s="4">
        <f ca="1">_xll.DBRW($B$1,$B$2,$B$7,$B$3,$B$4,$B$5,$F93,$B$6,X$10,$A93,$B93)</f>
        <v>0</v>
      </c>
      <c r="Y93" s="4">
        <f ca="1">_xll.DBRW($B$1,$B$2,$B$7,$B$3,$B$4,$B$5,$F93,$B$6,Y$10,$A93,$B93)</f>
        <v>0</v>
      </c>
      <c r="Z93" s="4">
        <f ca="1">_xll.DBRW($B$1,$B$2,$B$7,$B$3,$B$4,$B$5,$F93,$B$6,Z$10,$A93,$B93)</f>
        <v>0</v>
      </c>
      <c r="AA93" s="4">
        <f ca="1">_xll.DBRW($B$1,$B$2,$B$7,$B$3,$B$4,$B$5,$F93,$B$6,AA$10,$A93,$B93)</f>
        <v>0</v>
      </c>
      <c r="AB93" s="4">
        <f ca="1">_xll.DBRW($B$1,$B$2,$B$7,$B$3,$B$4,$B$5,$F93,$B$6,AB$10,$A93,$B93)</f>
        <v>0</v>
      </c>
      <c r="AC93" s="4">
        <f ca="1">_xll.DBRW($B$1,$B$2,$B$7,$B$3,$B$4,$B$5,$F93,$B$6,AC$10,$A93,$B93)</f>
        <v>421166</v>
      </c>
      <c r="AD93" s="4">
        <f ca="1">_xll.DBRW($B$1,$B$2,$B$7,$B$3,$B$4,$B$5,$F93,$B$6,AD$10,$A93,$B93)</f>
        <v>2737579</v>
      </c>
      <c r="AE93" s="4">
        <f ca="1">_xll.DBRW($B$1,$B$2,$B$7,$B$3,$B$4,$B$5,$F93,$B$6,AE$10,$A93,$B93)</f>
        <v>2737579</v>
      </c>
    </row>
    <row r="94" spans="1:31">
      <c r="A94" s="1" t="s">
        <v>152</v>
      </c>
      <c r="B94" s="5" t="s">
        <v>253</v>
      </c>
      <c r="C94" s="5" t="s">
        <v>229</v>
      </c>
      <c r="D94" s="5" t="s">
        <v>227</v>
      </c>
      <c r="E94" s="5" t="s">
        <v>21</v>
      </c>
      <c r="F94" s="5" t="s">
        <v>22</v>
      </c>
      <c r="G94" s="6"/>
      <c r="H94" s="6"/>
      <c r="I94" s="6"/>
      <c r="J94" s="6"/>
      <c r="K94" s="6"/>
      <c r="L94" s="4">
        <f ca="1">_xll.DBRW($B$1,$B$2,$B$7,$B$3,$B$4,$B$5,$F94,$B$6,L$10,$A94,$B94)</f>
        <v>2316413</v>
      </c>
      <c r="M94" s="4">
        <f ca="1">_xll.DBRW($B$1,$B$2,$B$7,$B$3,$B$4,$B$5,$F94,$B$6,M$10,$A94,$B94)</f>
        <v>0</v>
      </c>
      <c r="N94" s="4">
        <f ca="1">_xll.DBRW($B$1,$B$2,$B$7,$B$3,$B$4,$B$5,$F94,$B$6,N$10,$A94,$B94)</f>
        <v>0</v>
      </c>
      <c r="O94" s="4">
        <f ca="1">_xll.DBRW($B$1,$B$2,$B$7,$B$3,$B$4,$B$5,$F94,$B$6,O$10,$A94,$B94)</f>
        <v>0</v>
      </c>
      <c r="P94" s="4">
        <f ca="1">_xll.DBRW($B$1,$B$2,$B$7,$B$3,$B$4,$B$5,$F94,$B$6,P$10,$A94,$B94)</f>
        <v>0</v>
      </c>
      <c r="Q94" s="4">
        <f ca="1">_xll.DBRW($B$1,$B$2,$B$7,$B$3,$B$4,$B$5,$F94,$B$6,Q$10,$A94,$B94)</f>
        <v>0</v>
      </c>
      <c r="R94" s="4">
        <f ca="1">_xll.DBRW($B$1,$B$2,$B$7,$B$3,$B$4,$B$5,$F94,$B$6,R$10,$A94,$B94)</f>
        <v>0</v>
      </c>
      <c r="S94" s="4">
        <f ca="1">_xll.DBRW($B$1,$B$2,$B$7,$B$3,$B$4,$B$5,$F94,$B$6,S$10,$A94,$B94)</f>
        <v>2737579</v>
      </c>
      <c r="T94" s="4">
        <f ca="1">_xll.DBRW($B$1,$B$2,$B$7,$B$3,$B$4,$B$5,$F94,$B$6,T$10,$A94,$B94)</f>
        <v>2737579</v>
      </c>
      <c r="U94" s="4">
        <f ca="1">_xll.DBRW($B$1,$B$2,$B$7,$B$3,$B$4,$B$5,$F94,$B$6,U$10,$A94,$B94)</f>
        <v>2526996</v>
      </c>
      <c r="V94" s="4">
        <f ca="1">_xll.DBRW($B$1,$B$2,$B$7,$B$3,$B$4,$B$5,$F94,$B$6,V$10,$A94,$B94)</f>
        <v>2737579</v>
      </c>
      <c r="W94" s="4">
        <f ca="1">_xll.DBRW($B$1,$B$2,$B$7,$B$3,$B$4,$B$5,$F94,$B$6,W$10,$A94,$B94)</f>
        <v>0</v>
      </c>
      <c r="X94" s="4">
        <f ca="1">_xll.DBRW($B$1,$B$2,$B$7,$B$3,$B$4,$B$5,$F94,$B$6,X$10,$A94,$B94)</f>
        <v>0</v>
      </c>
      <c r="Y94" s="4">
        <f ca="1">_xll.DBRW($B$1,$B$2,$B$7,$B$3,$B$4,$B$5,$F94,$B$6,Y$10,$A94,$B94)</f>
        <v>0</v>
      </c>
      <c r="Z94" s="4">
        <f ca="1">_xll.DBRW($B$1,$B$2,$B$7,$B$3,$B$4,$B$5,$F94,$B$6,Z$10,$A94,$B94)</f>
        <v>0</v>
      </c>
      <c r="AA94" s="4">
        <f ca="1">_xll.DBRW($B$1,$B$2,$B$7,$B$3,$B$4,$B$5,$F94,$B$6,AA$10,$A94,$B94)</f>
        <v>0</v>
      </c>
      <c r="AB94" s="4">
        <f ca="1">_xll.DBRW($B$1,$B$2,$B$7,$B$3,$B$4,$B$5,$F94,$B$6,AB$10,$A94,$B94)</f>
        <v>0</v>
      </c>
      <c r="AC94" s="4">
        <f ca="1">_xll.DBRW($B$1,$B$2,$B$7,$B$3,$B$4,$B$5,$F94,$B$6,AC$10,$A94,$B94)</f>
        <v>421166</v>
      </c>
      <c r="AD94" s="4">
        <f ca="1">_xll.DBRW($B$1,$B$2,$B$7,$B$3,$B$4,$B$5,$F94,$B$6,AD$10,$A94,$B94)</f>
        <v>2737579</v>
      </c>
      <c r="AE94" s="4">
        <f ca="1">_xll.DBRW($B$1,$B$2,$B$7,$B$3,$B$4,$B$5,$F94,$B$6,AE$10,$A94,$B94)</f>
        <v>2737579</v>
      </c>
    </row>
    <row r="95" spans="1:31">
      <c r="A95" s="1" t="s">
        <v>152</v>
      </c>
      <c r="B95" s="5" t="s">
        <v>254</v>
      </c>
      <c r="C95" s="5" t="s">
        <v>255</v>
      </c>
      <c r="D95" s="5" t="s">
        <v>60</v>
      </c>
      <c r="E95" s="5" t="s">
        <v>59</v>
      </c>
      <c r="F95" s="5" t="s">
        <v>22</v>
      </c>
      <c r="G95" s="6"/>
      <c r="H95" s="6"/>
      <c r="I95" s="6"/>
      <c r="J95" s="6"/>
      <c r="K95" s="6"/>
      <c r="L95" s="4">
        <f ca="1">_xll.DBRW($B$1,$B$2,$B$7,$B$3,$B$4,$B$5,$F95,$B$6,L$10,$A95,$B95)</f>
        <v>965232</v>
      </c>
      <c r="M95" s="4">
        <f ca="1">_xll.DBRW($B$1,$B$2,$B$7,$B$3,$B$4,$B$5,$F95,$B$6,M$10,$A95,$B95)</f>
        <v>965232</v>
      </c>
      <c r="N95" s="4">
        <f ca="1">_xll.DBRW($B$1,$B$2,$B$7,$B$3,$B$4,$B$5,$F95,$B$6,N$10,$A95,$B95)</f>
        <v>965232</v>
      </c>
      <c r="O95" s="4">
        <f ca="1">_xll.DBRW($B$1,$B$2,$B$7,$B$3,$B$4,$B$5,$F95,$B$6,O$10,$A95,$B95)</f>
        <v>965232</v>
      </c>
      <c r="P95" s="4">
        <f ca="1">_xll.DBRW($B$1,$B$2,$B$7,$B$3,$B$4,$B$5,$F95,$B$6,P$10,$A95,$B95)</f>
        <v>857984</v>
      </c>
      <c r="Q95" s="4">
        <f ca="1">_xll.DBRW($B$1,$B$2,$B$7,$B$3,$B$4,$B$5,$F95,$B$6,Q$10,$A95,$B95)</f>
        <v>857984</v>
      </c>
      <c r="R95" s="4">
        <f ca="1">_xll.DBRW($B$1,$B$2,$B$7,$B$3,$B$4,$B$5,$F95,$B$6,R$10,$A95,$B95)</f>
        <v>0</v>
      </c>
      <c r="S95" s="4">
        <f ca="1">_xll.DBRW($B$1,$B$2,$B$7,$B$3,$B$4,$B$5,$F95,$B$6,S$10,$A95,$B95)</f>
        <v>0</v>
      </c>
      <c r="T95" s="4">
        <f ca="1">_xll.DBRW($B$1,$B$2,$B$7,$B$3,$B$4,$B$5,$F95,$B$6,T$10,$A95,$B95)</f>
        <v>0</v>
      </c>
      <c r="U95" s="4">
        <f ca="1">_xll.DBRW($B$1,$B$2,$B$7,$B$3,$B$4,$B$5,$F95,$B$6,U$10,$A95,$B95)</f>
        <v>0</v>
      </c>
      <c r="V95" s="4">
        <f ca="1">_xll.DBRW($B$1,$B$2,$B$7,$B$3,$B$4,$B$5,$F95,$B$6,V$10,$A95,$B95)</f>
        <v>0</v>
      </c>
      <c r="W95" s="4">
        <f ca="1">_xll.DBRW($B$1,$B$2,$B$7,$B$3,$B$4,$B$5,$F95,$B$6,W$10,$A95,$B95)</f>
        <v>965232</v>
      </c>
      <c r="X95" s="4">
        <f ca="1">_xll.DBRW($B$1,$B$2,$B$7,$B$3,$B$4,$B$5,$F95,$B$6,X$10,$A95,$B95)</f>
        <v>965232</v>
      </c>
      <c r="Y95" s="4">
        <f ca="1">_xll.DBRW($B$1,$B$2,$B$7,$B$3,$B$4,$B$5,$F95,$B$6,Y$10,$A95,$B95)</f>
        <v>857984</v>
      </c>
      <c r="Z95" s="4">
        <f ca="1">_xll.DBRW($B$1,$B$2,$B$7,$B$3,$B$4,$B$5,$F95,$B$6,Z$10,$A95,$B95)</f>
        <v>965232</v>
      </c>
      <c r="AA95" s="4">
        <f ca="1">_xll.DBRW($B$1,$B$2,$B$7,$B$3,$B$4,$B$5,$F95,$B$6,AA$10,$A95,$B95)</f>
        <v>965232</v>
      </c>
      <c r="AB95" s="4">
        <f ca="1">_xll.DBRW($B$1,$B$2,$B$7,$B$3,$B$4,$B$5,$F95,$B$6,AB$10,$A95,$B95)</f>
        <v>857984</v>
      </c>
      <c r="AC95" s="4">
        <f ca="1">_xll.DBRW($B$1,$B$2,$B$7,$B$3,$B$4,$B$5,$F95,$B$6,AC$10,$A95,$B95)</f>
        <v>857984</v>
      </c>
      <c r="AD95" s="4">
        <f ca="1">_xll.DBRW($B$1,$B$2,$B$7,$B$3,$B$4,$B$5,$F95,$B$6,AD$10,$A95,$B95)</f>
        <v>0</v>
      </c>
      <c r="AE95" s="4">
        <f ca="1">_xll.DBRW($B$1,$B$2,$B$7,$B$3,$B$4,$B$5,$F95,$B$6,AE$10,$A95,$B95)</f>
        <v>0</v>
      </c>
    </row>
    <row r="96" spans="1:31">
      <c r="A96" s="1" t="s">
        <v>152</v>
      </c>
      <c r="B96" s="5" t="s">
        <v>57</v>
      </c>
      <c r="C96" s="5" t="s">
        <v>58</v>
      </c>
      <c r="D96" s="5" t="s">
        <v>59</v>
      </c>
      <c r="E96" s="5" t="s">
        <v>60</v>
      </c>
      <c r="F96" s="5" t="s">
        <v>22</v>
      </c>
      <c r="G96" s="6"/>
      <c r="H96" s="6"/>
      <c r="I96" s="6"/>
      <c r="J96" s="6"/>
      <c r="K96" s="6"/>
      <c r="L96" s="4">
        <f ca="1">_xll.DBRW($B$1,$B$2,$B$7,$B$3,$B$4,$B$5,$F96,$B$6,L$10,$A96,$B96)</f>
        <v>965232</v>
      </c>
      <c r="M96" s="4">
        <f ca="1">_xll.DBRW($B$1,$B$2,$B$7,$B$3,$B$4,$B$5,$F96,$B$6,M$10,$A96,$B96)</f>
        <v>857984</v>
      </c>
      <c r="N96" s="4">
        <f ca="1">_xll.DBRW($B$1,$B$2,$B$7,$B$3,$B$4,$B$5,$F96,$B$6,N$10,$A96,$B96)</f>
        <v>965232</v>
      </c>
      <c r="O96" s="4">
        <f ca="1">_xll.DBRW($B$1,$B$2,$B$7,$B$3,$B$4,$B$5,$F96,$B$6,O$10,$A96,$B96)</f>
        <v>965232</v>
      </c>
      <c r="P96" s="4">
        <f ca="1">_xll.DBRW($B$1,$B$2,$B$7,$B$3,$B$4,$B$5,$F96,$B$6,P$10,$A96,$B96)</f>
        <v>857984</v>
      </c>
      <c r="Q96" s="4">
        <f ca="1">_xll.DBRW($B$1,$B$2,$B$7,$B$3,$B$4,$B$5,$F96,$B$6,Q$10,$A96,$B96)</f>
        <v>857984</v>
      </c>
      <c r="R96" s="4">
        <f ca="1">_xll.DBRW($B$1,$B$2,$B$7,$B$3,$B$4,$B$5,$F96,$B$6,R$10,$A96,$B96)</f>
        <v>0</v>
      </c>
      <c r="S96" s="4">
        <f ca="1">_xll.DBRW($B$1,$B$2,$B$7,$B$3,$B$4,$B$5,$F96,$B$6,S$10,$A96,$B96)</f>
        <v>0</v>
      </c>
      <c r="T96" s="4">
        <f ca="1">_xll.DBRW($B$1,$B$2,$B$7,$B$3,$B$4,$B$5,$F96,$B$6,T$10,$A96,$B96)</f>
        <v>0</v>
      </c>
      <c r="U96" s="4">
        <f ca="1">_xll.DBRW($B$1,$B$2,$B$7,$B$3,$B$4,$B$5,$F96,$B$6,U$10,$A96,$B96)</f>
        <v>0</v>
      </c>
      <c r="V96" s="4">
        <f ca="1">_xll.DBRW($B$1,$B$2,$B$7,$B$3,$B$4,$B$5,$F96,$B$6,V$10,$A96,$B96)</f>
        <v>0</v>
      </c>
      <c r="W96" s="4">
        <f ca="1">_xll.DBRW($B$1,$B$2,$B$7,$B$3,$B$4,$B$5,$F96,$B$6,W$10,$A96,$B96)</f>
        <v>965232</v>
      </c>
      <c r="X96" s="4">
        <f ca="1">_xll.DBRW($B$1,$B$2,$B$7,$B$3,$B$4,$B$5,$F96,$B$6,X$10,$A96,$B96)</f>
        <v>965232</v>
      </c>
      <c r="Y96" s="4">
        <f ca="1">_xll.DBRW($B$1,$B$2,$B$7,$B$3,$B$4,$B$5,$F96,$B$6,Y$10,$A96,$B96)</f>
        <v>857984</v>
      </c>
      <c r="Z96" s="4">
        <f ca="1">_xll.DBRW($B$1,$B$2,$B$7,$B$3,$B$4,$B$5,$F96,$B$6,Z$10,$A96,$B96)</f>
        <v>965232</v>
      </c>
      <c r="AA96" s="4">
        <f ca="1">_xll.DBRW($B$1,$B$2,$B$7,$B$3,$B$4,$B$5,$F96,$B$6,AA$10,$A96,$B96)</f>
        <v>965232</v>
      </c>
      <c r="AB96" s="4">
        <f ca="1">_xll.DBRW($B$1,$B$2,$B$7,$B$3,$B$4,$B$5,$F96,$B$6,AB$10,$A96,$B96)</f>
        <v>965232</v>
      </c>
      <c r="AC96" s="4">
        <f ca="1">_xll.DBRW($B$1,$B$2,$B$7,$B$3,$B$4,$B$5,$F96,$B$6,AC$10,$A96,$B96)</f>
        <v>750736</v>
      </c>
      <c r="AD96" s="4">
        <f ca="1">_xll.DBRW($B$1,$B$2,$B$7,$B$3,$B$4,$B$5,$F96,$B$6,AD$10,$A96,$B96)</f>
        <v>0</v>
      </c>
      <c r="AE96" s="4">
        <f ca="1">_xll.DBRW($B$1,$B$2,$B$7,$B$3,$B$4,$B$5,$F96,$B$6,AE$10,$A96,$B96)</f>
        <v>0</v>
      </c>
    </row>
    <row r="97" spans="1:31">
      <c r="A97" s="1" t="s">
        <v>152</v>
      </c>
      <c r="B97" s="5" t="s">
        <v>256</v>
      </c>
      <c r="C97" s="5" t="s">
        <v>206</v>
      </c>
      <c r="D97" s="5" t="s">
        <v>21</v>
      </c>
      <c r="E97" s="5" t="s">
        <v>181</v>
      </c>
      <c r="F97" s="5" t="s">
        <v>22</v>
      </c>
      <c r="G97" s="6"/>
      <c r="H97" s="6"/>
      <c r="I97" s="6"/>
      <c r="J97" s="6"/>
      <c r="K97" s="6"/>
      <c r="L97" s="4">
        <f ca="1">_xll.DBRW($B$1,$B$2,$B$7,$B$3,$B$4,$B$5,$F97,$B$6,L$10,$A97,$B97)</f>
        <v>0</v>
      </c>
      <c r="M97" s="4">
        <f ca="1">_xll.DBRW($B$1,$B$2,$B$7,$B$3,$B$4,$B$5,$F97,$B$6,M$10,$A97,$B97)</f>
        <v>0</v>
      </c>
      <c r="N97" s="4">
        <f ca="1">_xll.DBRW($B$1,$B$2,$B$7,$B$3,$B$4,$B$5,$F97,$B$6,N$10,$A97,$B97)</f>
        <v>0</v>
      </c>
      <c r="O97" s="4">
        <f ca="1">_xll.DBRW($B$1,$B$2,$B$7,$B$3,$B$4,$B$5,$F97,$B$6,O$10,$A97,$B97)</f>
        <v>0</v>
      </c>
      <c r="P97" s="4">
        <f ca="1">_xll.DBRW($B$1,$B$2,$B$7,$B$3,$B$4,$B$5,$F97,$B$6,P$10,$A97,$B97)</f>
        <v>0</v>
      </c>
      <c r="Q97" s="4">
        <f ca="1">_xll.DBRW($B$1,$B$2,$B$7,$B$3,$B$4,$B$5,$F97,$B$6,Q$10,$A97,$B97)</f>
        <v>0</v>
      </c>
      <c r="R97" s="4">
        <f ca="1">_xll.DBRW($B$1,$B$2,$B$7,$B$3,$B$4,$B$5,$F97,$B$6,R$10,$A97,$B97)</f>
        <v>0</v>
      </c>
      <c r="S97" s="4">
        <f ca="1">_xll.DBRW($B$1,$B$2,$B$7,$B$3,$B$4,$B$5,$F97,$B$6,S$10,$A97,$B97)</f>
        <v>0</v>
      </c>
      <c r="T97" s="4">
        <f ca="1">_xll.DBRW($B$1,$B$2,$B$7,$B$3,$B$4,$B$5,$F97,$B$6,T$10,$A97,$B97)</f>
        <v>0</v>
      </c>
      <c r="U97" s="4">
        <f ca="1">_xll.DBRW($B$1,$B$2,$B$7,$B$3,$B$4,$B$5,$F97,$B$6,U$10,$A97,$B97)</f>
        <v>0</v>
      </c>
      <c r="V97" s="4">
        <f ca="1">_xll.DBRW($B$1,$B$2,$B$7,$B$3,$B$4,$B$5,$F97,$B$6,V$10,$A97,$B97)</f>
        <v>0</v>
      </c>
      <c r="W97" s="4">
        <f ca="1">_xll.DBRW($B$1,$B$2,$B$7,$B$3,$B$4,$B$5,$F97,$B$6,W$10,$A97,$B97)</f>
        <v>0</v>
      </c>
      <c r="X97" s="4">
        <f ca="1">_xll.DBRW($B$1,$B$2,$B$7,$B$3,$B$4,$B$5,$F97,$B$6,X$10,$A97,$B97)</f>
        <v>0</v>
      </c>
      <c r="Y97" s="4">
        <f ca="1">_xll.DBRW($B$1,$B$2,$B$7,$B$3,$B$4,$B$5,$F97,$B$6,Y$10,$A97,$B97)</f>
        <v>0</v>
      </c>
      <c r="Z97" s="4">
        <f ca="1">_xll.DBRW($B$1,$B$2,$B$7,$B$3,$B$4,$B$5,$F97,$B$6,Z$10,$A97,$B97)</f>
        <v>0</v>
      </c>
      <c r="AA97" s="4">
        <f ca="1">_xll.DBRW($B$1,$B$2,$B$7,$B$3,$B$4,$B$5,$F97,$B$6,AA$10,$A97,$B97)</f>
        <v>0</v>
      </c>
      <c r="AB97" s="4">
        <f ca="1">_xll.DBRW($B$1,$B$2,$B$7,$B$3,$B$4,$B$5,$F97,$B$6,AB$10,$A97,$B97)</f>
        <v>0</v>
      </c>
      <c r="AC97" s="4">
        <f ca="1">_xll.DBRW($B$1,$B$2,$B$7,$B$3,$B$4,$B$5,$F97,$B$6,AC$10,$A97,$B97)</f>
        <v>0</v>
      </c>
      <c r="AD97" s="4">
        <f ca="1">_xll.DBRW($B$1,$B$2,$B$7,$B$3,$B$4,$B$5,$F97,$B$6,AD$10,$A97,$B97)</f>
        <v>0</v>
      </c>
      <c r="AE97" s="4">
        <f ca="1">_xll.DBRW($B$1,$B$2,$B$7,$B$3,$B$4,$B$5,$F97,$B$6,AE$10,$A97,$B97)</f>
        <v>0</v>
      </c>
    </row>
    <row r="98" spans="1:31">
      <c r="A98" s="1" t="s">
        <v>152</v>
      </c>
      <c r="B98" s="5" t="s">
        <v>257</v>
      </c>
      <c r="C98" s="5" t="s">
        <v>208</v>
      </c>
      <c r="D98" s="5" t="s">
        <v>181</v>
      </c>
      <c r="E98" s="5" t="s">
        <v>21</v>
      </c>
      <c r="F98" s="5" t="s">
        <v>22</v>
      </c>
      <c r="G98" s="6"/>
      <c r="H98" s="6"/>
      <c r="I98" s="6"/>
      <c r="J98" s="6"/>
      <c r="K98" s="6"/>
      <c r="L98" s="4">
        <f ca="1">_xll.DBRW($B$1,$B$2,$B$7,$B$3,$B$4,$B$5,$F98,$B$6,L$10,$A98,$B98)</f>
        <v>0</v>
      </c>
      <c r="M98" s="4">
        <f ca="1">_xll.DBRW($B$1,$B$2,$B$7,$B$3,$B$4,$B$5,$F98,$B$6,M$10,$A98,$B98)</f>
        <v>0</v>
      </c>
      <c r="N98" s="4">
        <f ca="1">_xll.DBRW($B$1,$B$2,$B$7,$B$3,$B$4,$B$5,$F98,$B$6,N$10,$A98,$B98)</f>
        <v>0</v>
      </c>
      <c r="O98" s="4">
        <f ca="1">_xll.DBRW($B$1,$B$2,$B$7,$B$3,$B$4,$B$5,$F98,$B$6,O$10,$A98,$B98)</f>
        <v>0</v>
      </c>
      <c r="P98" s="4">
        <f ca="1">_xll.DBRW($B$1,$B$2,$B$7,$B$3,$B$4,$B$5,$F98,$B$6,P$10,$A98,$B98)</f>
        <v>0</v>
      </c>
      <c r="Q98" s="4">
        <f ca="1">_xll.DBRW($B$1,$B$2,$B$7,$B$3,$B$4,$B$5,$F98,$B$6,Q$10,$A98,$B98)</f>
        <v>0</v>
      </c>
      <c r="R98" s="4">
        <f ca="1">_xll.DBRW($B$1,$B$2,$B$7,$B$3,$B$4,$B$5,$F98,$B$6,R$10,$A98,$B98)</f>
        <v>0</v>
      </c>
      <c r="S98" s="4">
        <f ca="1">_xll.DBRW($B$1,$B$2,$B$7,$B$3,$B$4,$B$5,$F98,$B$6,S$10,$A98,$B98)</f>
        <v>0</v>
      </c>
      <c r="T98" s="4">
        <f ca="1">_xll.DBRW($B$1,$B$2,$B$7,$B$3,$B$4,$B$5,$F98,$B$6,T$10,$A98,$B98)</f>
        <v>0</v>
      </c>
      <c r="U98" s="4">
        <f ca="1">_xll.DBRW($B$1,$B$2,$B$7,$B$3,$B$4,$B$5,$F98,$B$6,U$10,$A98,$B98)</f>
        <v>0</v>
      </c>
      <c r="V98" s="4">
        <f ca="1">_xll.DBRW($B$1,$B$2,$B$7,$B$3,$B$4,$B$5,$F98,$B$6,V$10,$A98,$B98)</f>
        <v>0</v>
      </c>
      <c r="W98" s="4">
        <f ca="1">_xll.DBRW($B$1,$B$2,$B$7,$B$3,$B$4,$B$5,$F98,$B$6,W$10,$A98,$B98)</f>
        <v>0</v>
      </c>
      <c r="X98" s="4">
        <f ca="1">_xll.DBRW($B$1,$B$2,$B$7,$B$3,$B$4,$B$5,$F98,$B$6,X$10,$A98,$B98)</f>
        <v>0</v>
      </c>
      <c r="Y98" s="4">
        <f ca="1">_xll.DBRW($B$1,$B$2,$B$7,$B$3,$B$4,$B$5,$F98,$B$6,Y$10,$A98,$B98)</f>
        <v>0</v>
      </c>
      <c r="Z98" s="4">
        <f ca="1">_xll.DBRW($B$1,$B$2,$B$7,$B$3,$B$4,$B$5,$F98,$B$6,Z$10,$A98,$B98)</f>
        <v>0</v>
      </c>
      <c r="AA98" s="4">
        <f ca="1">_xll.DBRW($B$1,$B$2,$B$7,$B$3,$B$4,$B$5,$F98,$B$6,AA$10,$A98,$B98)</f>
        <v>0</v>
      </c>
      <c r="AB98" s="4">
        <f ca="1">_xll.DBRW($B$1,$B$2,$B$7,$B$3,$B$4,$B$5,$F98,$B$6,AB$10,$A98,$B98)</f>
        <v>0</v>
      </c>
      <c r="AC98" s="4">
        <f ca="1">_xll.DBRW($B$1,$B$2,$B$7,$B$3,$B$4,$B$5,$F98,$B$6,AC$10,$A98,$B98)</f>
        <v>0</v>
      </c>
      <c r="AD98" s="4">
        <f ca="1">_xll.DBRW($B$1,$B$2,$B$7,$B$3,$B$4,$B$5,$F98,$B$6,AD$10,$A98,$B98)</f>
        <v>0</v>
      </c>
      <c r="AE98" s="4">
        <f ca="1">_xll.DBRW($B$1,$B$2,$B$7,$B$3,$B$4,$B$5,$F98,$B$6,AE$10,$A98,$B98)</f>
        <v>0</v>
      </c>
    </row>
    <row r="99" spans="1:31">
      <c r="A99" s="1" t="s">
        <v>152</v>
      </c>
      <c r="B99" s="5" t="s">
        <v>258</v>
      </c>
      <c r="C99" s="5" t="s">
        <v>259</v>
      </c>
      <c r="D99" s="5" t="s">
        <v>21</v>
      </c>
      <c r="E99" s="5" t="s">
        <v>260</v>
      </c>
      <c r="F99" s="5" t="s">
        <v>22</v>
      </c>
      <c r="G99" s="6"/>
      <c r="H99" s="6"/>
      <c r="I99" s="6"/>
      <c r="J99" s="6"/>
      <c r="K99" s="6"/>
      <c r="L99" s="4">
        <f ca="1">_xll.DBRW($B$1,$B$2,$B$7,$B$3,$B$4,$B$5,$F99,$B$6,L$10,$A99,$B99)</f>
        <v>8038548</v>
      </c>
      <c r="M99" s="4">
        <f ca="1">_xll.DBRW($B$1,$B$2,$B$7,$B$3,$B$4,$B$5,$F99,$B$6,M$10,$A99,$B99)</f>
        <v>7177275</v>
      </c>
      <c r="N99" s="4">
        <f ca="1">_xll.DBRW($B$1,$B$2,$B$7,$B$3,$B$4,$B$5,$F99,$B$6,N$10,$A99,$B99)</f>
        <v>8612730</v>
      </c>
      <c r="O99" s="4">
        <f ca="1">_xll.DBRW($B$1,$B$2,$B$7,$B$3,$B$4,$B$5,$F99,$B$6,O$10,$A99,$B99)</f>
        <v>8612730</v>
      </c>
      <c r="P99" s="4">
        <f ca="1">_xll.DBRW($B$1,$B$2,$B$7,$B$3,$B$4,$B$5,$F99,$B$6,P$10,$A99,$B99)</f>
        <v>8325639</v>
      </c>
      <c r="Q99" s="4">
        <f ca="1">_xll.DBRW($B$1,$B$2,$B$7,$B$3,$B$4,$B$5,$F99,$B$6,Q$10,$A99,$B99)</f>
        <v>8612730</v>
      </c>
      <c r="R99" s="4">
        <f ca="1">_xll.DBRW($B$1,$B$2,$B$7,$B$3,$B$4,$B$5,$F99,$B$6,R$10,$A99,$B99)</f>
        <v>8325639</v>
      </c>
      <c r="S99" s="4">
        <f ca="1">_xll.DBRW($B$1,$B$2,$B$7,$B$3,$B$4,$B$5,$F99,$B$6,S$10,$A99,$B99)</f>
        <v>8612730</v>
      </c>
      <c r="T99" s="4">
        <f ca="1">_xll.DBRW($B$1,$B$2,$B$7,$B$3,$B$4,$B$5,$F99,$B$6,T$10,$A99,$B99)</f>
        <v>8899821</v>
      </c>
      <c r="U99" s="4">
        <f ca="1">_xll.DBRW($B$1,$B$2,$B$7,$B$3,$B$4,$B$5,$F99,$B$6,U$10,$A99,$B99)</f>
        <v>8038548</v>
      </c>
      <c r="V99" s="4">
        <f ca="1">_xll.DBRW($B$1,$B$2,$B$7,$B$3,$B$4,$B$5,$F99,$B$6,V$10,$A99,$B99)</f>
        <v>8899821</v>
      </c>
      <c r="W99" s="4">
        <f ca="1">_xll.DBRW($B$1,$B$2,$B$7,$B$3,$B$4,$B$5,$F99,$B$6,W$10,$A99,$B99)</f>
        <v>8612730</v>
      </c>
      <c r="X99" s="4">
        <f ca="1">_xll.DBRW($B$1,$B$2,$B$7,$B$3,$B$4,$B$5,$F99,$B$6,X$10,$A99,$B99)</f>
        <v>8899821</v>
      </c>
      <c r="Y99" s="4">
        <f ca="1">_xll.DBRW($B$1,$B$2,$B$7,$B$3,$B$4,$B$5,$F99,$B$6,Y$10,$A99,$B99)</f>
        <v>8612730</v>
      </c>
      <c r="Z99" s="4">
        <f ca="1">_xll.DBRW($B$1,$B$2,$B$7,$B$3,$B$4,$B$5,$F99,$B$6,Z$10,$A99,$B99)</f>
        <v>8899821</v>
      </c>
      <c r="AA99" s="4">
        <f ca="1">_xll.DBRW($B$1,$B$2,$B$7,$B$3,$B$4,$B$5,$F99,$B$6,AA$10,$A99,$B99)</f>
        <v>8899821</v>
      </c>
      <c r="AB99" s="4">
        <f ca="1">_xll.DBRW($B$1,$B$2,$B$7,$B$3,$B$4,$B$5,$F99,$B$6,AB$10,$A99,$B99)</f>
        <v>8612730</v>
      </c>
      <c r="AC99" s="4">
        <f ca="1">_xll.DBRW($B$1,$B$2,$B$7,$B$3,$B$4,$B$5,$F99,$B$6,AC$10,$A99,$B99)</f>
        <v>8899821</v>
      </c>
      <c r="AD99" s="4">
        <f ca="1">_xll.DBRW($B$1,$B$2,$B$7,$B$3,$B$4,$B$5,$F99,$B$6,AD$10,$A99,$B99)</f>
        <v>8612730</v>
      </c>
      <c r="AE99" s="4">
        <f ca="1">_xll.DBRW($B$1,$B$2,$B$7,$B$3,$B$4,$B$5,$F99,$B$6,AE$10,$A99,$B99)</f>
        <v>8899821</v>
      </c>
    </row>
    <row r="100" spans="1:31">
      <c r="A100" s="1" t="s">
        <v>152</v>
      </c>
      <c r="B100" s="5" t="s">
        <v>261</v>
      </c>
      <c r="C100" s="5" t="s">
        <v>262</v>
      </c>
      <c r="D100" s="5" t="s">
        <v>260</v>
      </c>
      <c r="E100" s="5" t="s">
        <v>21</v>
      </c>
      <c r="F100" s="5" t="s">
        <v>22</v>
      </c>
      <c r="G100" s="6"/>
      <c r="H100" s="6"/>
      <c r="I100" s="6"/>
      <c r="J100" s="6"/>
      <c r="K100" s="6"/>
      <c r="L100" s="4">
        <f ca="1">_xll.DBRW($B$1,$B$2,$B$7,$B$3,$B$4,$B$5,$F100,$B$6,L$10,$A100,$B100)</f>
        <v>8038548</v>
      </c>
      <c r="M100" s="4">
        <f ca="1">_xll.DBRW($B$1,$B$2,$B$7,$B$3,$B$4,$B$5,$F100,$B$6,M$10,$A100,$B100)</f>
        <v>7177275</v>
      </c>
      <c r="N100" s="4">
        <f ca="1">_xll.DBRW($B$1,$B$2,$B$7,$B$3,$B$4,$B$5,$F100,$B$6,N$10,$A100,$B100)</f>
        <v>8612730</v>
      </c>
      <c r="O100" s="4">
        <f ca="1">_xll.DBRW($B$1,$B$2,$B$7,$B$3,$B$4,$B$5,$F100,$B$6,O$10,$A100,$B100)</f>
        <v>8612730</v>
      </c>
      <c r="P100" s="4">
        <f ca="1">_xll.DBRW($B$1,$B$2,$B$7,$B$3,$B$4,$B$5,$F100,$B$6,P$10,$A100,$B100)</f>
        <v>8325639</v>
      </c>
      <c r="Q100" s="4">
        <f ca="1">_xll.DBRW($B$1,$B$2,$B$7,$B$3,$B$4,$B$5,$F100,$B$6,Q$10,$A100,$B100)</f>
        <v>8612730</v>
      </c>
      <c r="R100" s="4">
        <f ca="1">_xll.DBRW($B$1,$B$2,$B$7,$B$3,$B$4,$B$5,$F100,$B$6,R$10,$A100,$B100)</f>
        <v>8325639</v>
      </c>
      <c r="S100" s="4">
        <f ca="1">_xll.DBRW($B$1,$B$2,$B$7,$B$3,$B$4,$B$5,$F100,$B$6,S$10,$A100,$B100)</f>
        <v>8612730</v>
      </c>
      <c r="T100" s="4">
        <f ca="1">_xll.DBRW($B$1,$B$2,$B$7,$B$3,$B$4,$B$5,$F100,$B$6,T$10,$A100,$B100)</f>
        <v>8899821</v>
      </c>
      <c r="U100" s="4">
        <f ca="1">_xll.DBRW($B$1,$B$2,$B$7,$B$3,$B$4,$B$5,$F100,$B$6,U$10,$A100,$B100)</f>
        <v>8038548</v>
      </c>
      <c r="V100" s="4">
        <f ca="1">_xll.DBRW($B$1,$B$2,$B$7,$B$3,$B$4,$B$5,$F100,$B$6,V$10,$A100,$B100)</f>
        <v>8899821</v>
      </c>
      <c r="W100" s="4">
        <f ca="1">_xll.DBRW($B$1,$B$2,$B$7,$B$3,$B$4,$B$5,$F100,$B$6,W$10,$A100,$B100)</f>
        <v>8612730</v>
      </c>
      <c r="X100" s="4">
        <f ca="1">_xll.DBRW($B$1,$B$2,$B$7,$B$3,$B$4,$B$5,$F100,$B$6,X$10,$A100,$B100)</f>
        <v>8899821</v>
      </c>
      <c r="Y100" s="4">
        <f ca="1">_xll.DBRW($B$1,$B$2,$B$7,$B$3,$B$4,$B$5,$F100,$B$6,Y$10,$A100,$B100)</f>
        <v>8612730</v>
      </c>
      <c r="Z100" s="4">
        <f ca="1">_xll.DBRW($B$1,$B$2,$B$7,$B$3,$B$4,$B$5,$F100,$B$6,Z$10,$A100,$B100)</f>
        <v>8899821</v>
      </c>
      <c r="AA100" s="4">
        <f ca="1">_xll.DBRW($B$1,$B$2,$B$7,$B$3,$B$4,$B$5,$F100,$B$6,AA$10,$A100,$B100)</f>
        <v>8899821</v>
      </c>
      <c r="AB100" s="4">
        <f ca="1">_xll.DBRW($B$1,$B$2,$B$7,$B$3,$B$4,$B$5,$F100,$B$6,AB$10,$A100,$B100)</f>
        <v>8612730</v>
      </c>
      <c r="AC100" s="4">
        <f ca="1">_xll.DBRW($B$1,$B$2,$B$7,$B$3,$B$4,$B$5,$F100,$B$6,AC$10,$A100,$B100)</f>
        <v>8899821</v>
      </c>
      <c r="AD100" s="4">
        <f ca="1">_xll.DBRW($B$1,$B$2,$B$7,$B$3,$B$4,$B$5,$F100,$B$6,AD$10,$A100,$B100)</f>
        <v>8612730</v>
      </c>
      <c r="AE100" s="4">
        <f ca="1">_xll.DBRW($B$1,$B$2,$B$7,$B$3,$B$4,$B$5,$F100,$B$6,AE$10,$A100,$B100)</f>
        <v>8899821</v>
      </c>
    </row>
    <row r="101" spans="1:31">
      <c r="A101" s="1" t="s">
        <v>152</v>
      </c>
      <c r="B101" s="5" t="s">
        <v>263</v>
      </c>
      <c r="C101" s="5" t="s">
        <v>264</v>
      </c>
      <c r="D101" s="5" t="s">
        <v>21</v>
      </c>
      <c r="E101" s="5" t="s">
        <v>265</v>
      </c>
      <c r="F101" s="5" t="s">
        <v>22</v>
      </c>
      <c r="G101" s="6"/>
      <c r="H101" s="6"/>
      <c r="I101" s="6"/>
      <c r="J101" s="6"/>
      <c r="K101" s="6"/>
      <c r="L101" s="4">
        <f ca="1">_xll.DBRW($B$1,$B$2,$B$7,$B$3,$B$4,$B$5,$F101,$B$6,L$10,$A101,$B101)</f>
        <v>6480984</v>
      </c>
      <c r="M101" s="4">
        <f ca="1">_xll.DBRW($B$1,$B$2,$B$7,$B$3,$B$4,$B$5,$F101,$B$6,M$10,$A101,$B101)</f>
        <v>6271920</v>
      </c>
      <c r="N101" s="4">
        <f ca="1">_xll.DBRW($B$1,$B$2,$B$7,$B$3,$B$4,$B$5,$F101,$B$6,N$10,$A101,$B101)</f>
        <v>6480984</v>
      </c>
      <c r="O101" s="4">
        <f ca="1">_xll.DBRW($B$1,$B$2,$B$7,$B$3,$B$4,$B$5,$F101,$B$6,O$10,$A101,$B101)</f>
        <v>6480984</v>
      </c>
      <c r="P101" s="4">
        <f ca="1">_xll.DBRW($B$1,$B$2,$B$7,$B$3,$B$4,$B$5,$F101,$B$6,P$10,$A101,$B101)</f>
        <v>6271920</v>
      </c>
      <c r="Q101" s="4">
        <f ca="1">_xll.DBRW($B$1,$B$2,$B$7,$B$3,$B$4,$B$5,$F101,$B$6,Q$10,$A101,$B101)</f>
        <v>6164016</v>
      </c>
      <c r="R101" s="4">
        <f ca="1">_xll.DBRW($B$1,$B$2,$B$7,$B$3,$B$4,$B$5,$F101,$B$6,R$10,$A101,$B101)</f>
        <v>3992448</v>
      </c>
      <c r="S101" s="4">
        <f ca="1">_xll.DBRW($B$1,$B$2,$B$7,$B$3,$B$4,$B$5,$F101,$B$6,S$10,$A101,$B101)</f>
        <v>4289184</v>
      </c>
      <c r="T101" s="4">
        <f ca="1">_xll.DBRW($B$1,$B$2,$B$7,$B$3,$B$4,$B$5,$F101,$B$6,T$10,$A101,$B101)</f>
        <v>4100352</v>
      </c>
      <c r="U101" s="4">
        <f ca="1">_xll.DBRW($B$1,$B$2,$B$7,$B$3,$B$4,$B$5,$F101,$B$6,U$10,$A101,$B101)</f>
        <v>3776640</v>
      </c>
      <c r="V101" s="4">
        <f ca="1">_xll.DBRW($B$1,$B$2,$B$7,$B$3,$B$4,$B$5,$F101,$B$6,V$10,$A101,$B101)</f>
        <v>4302672</v>
      </c>
      <c r="W101" s="4">
        <f ca="1">_xll.DBRW($B$1,$B$2,$B$7,$B$3,$B$4,$B$5,$F101,$B$6,W$10,$A101,$B101)</f>
        <v>6271920</v>
      </c>
      <c r="X101" s="4">
        <f ca="1">_xll.DBRW($B$1,$B$2,$B$7,$B$3,$B$4,$B$5,$F101,$B$6,X$10,$A101,$B101)</f>
        <v>6480984</v>
      </c>
      <c r="Y101" s="4">
        <f ca="1">_xll.DBRW($B$1,$B$2,$B$7,$B$3,$B$4,$B$5,$F101,$B$6,Y$10,$A101,$B101)</f>
        <v>6271920</v>
      </c>
      <c r="Z101" s="4">
        <f ca="1">_xll.DBRW($B$1,$B$2,$B$7,$B$3,$B$4,$B$5,$F101,$B$6,Z$10,$A101,$B101)</f>
        <v>6480984</v>
      </c>
      <c r="AA101" s="4">
        <f ca="1">_xll.DBRW($B$1,$B$2,$B$7,$B$3,$B$4,$B$5,$F101,$B$6,AA$10,$A101,$B101)</f>
        <v>6480984</v>
      </c>
      <c r="AB101" s="4">
        <f ca="1">_xll.DBRW($B$1,$B$2,$B$7,$B$3,$B$4,$B$5,$F101,$B$6,AB$10,$A101,$B101)</f>
        <v>6271920</v>
      </c>
      <c r="AC101" s="4">
        <f ca="1">_xll.DBRW($B$1,$B$2,$B$7,$B$3,$B$4,$B$5,$F101,$B$6,AC$10,$A101,$B101)</f>
        <v>6062856</v>
      </c>
      <c r="AD101" s="4">
        <f ca="1">_xll.DBRW($B$1,$B$2,$B$7,$B$3,$B$4,$B$5,$F101,$B$6,AD$10,$A101,$B101)</f>
        <v>3992448</v>
      </c>
      <c r="AE101" s="4">
        <f ca="1">_xll.DBRW($B$1,$B$2,$B$7,$B$3,$B$4,$B$5,$F101,$B$6,AE$10,$A101,$B101)</f>
        <v>4289184</v>
      </c>
    </row>
    <row r="102" spans="1:31">
      <c r="A102" s="1" t="s">
        <v>152</v>
      </c>
      <c r="B102" s="5" t="s">
        <v>266</v>
      </c>
      <c r="C102" s="5" t="s">
        <v>267</v>
      </c>
      <c r="D102" s="5" t="s">
        <v>265</v>
      </c>
      <c r="E102" s="5" t="s">
        <v>21</v>
      </c>
      <c r="F102" s="5" t="s">
        <v>22</v>
      </c>
      <c r="G102" s="6"/>
      <c r="H102" s="6"/>
      <c r="I102" s="6"/>
      <c r="J102" s="6"/>
      <c r="K102" s="6"/>
      <c r="L102" s="4">
        <f ca="1">_xll.DBRW($B$1,$B$2,$B$7,$B$3,$B$4,$B$5,$F102,$B$6,L$10,$A102,$B102)</f>
        <v>6480984</v>
      </c>
      <c r="M102" s="4">
        <f ca="1">_xll.DBRW($B$1,$B$2,$B$7,$B$3,$B$4,$B$5,$F102,$B$6,M$10,$A102,$B102)</f>
        <v>6271920</v>
      </c>
      <c r="N102" s="4">
        <f ca="1">_xll.DBRW($B$1,$B$2,$B$7,$B$3,$B$4,$B$5,$F102,$B$6,N$10,$A102,$B102)</f>
        <v>6480984</v>
      </c>
      <c r="O102" s="4">
        <f ca="1">_xll.DBRW($B$1,$B$2,$B$7,$B$3,$B$4,$B$5,$F102,$B$6,O$10,$A102,$B102)</f>
        <v>6480984</v>
      </c>
      <c r="P102" s="4">
        <f ca="1">_xll.DBRW($B$1,$B$2,$B$7,$B$3,$B$4,$B$5,$F102,$B$6,P$10,$A102,$B102)</f>
        <v>6271920</v>
      </c>
      <c r="Q102" s="4">
        <f ca="1">_xll.DBRW($B$1,$B$2,$B$7,$B$3,$B$4,$B$5,$F102,$B$6,Q$10,$A102,$B102)</f>
        <v>6164016</v>
      </c>
      <c r="R102" s="4">
        <f ca="1">_xll.DBRW($B$1,$B$2,$B$7,$B$3,$B$4,$B$5,$F102,$B$6,R$10,$A102,$B102)</f>
        <v>3992448</v>
      </c>
      <c r="S102" s="4">
        <f ca="1">_xll.DBRW($B$1,$B$2,$B$7,$B$3,$B$4,$B$5,$F102,$B$6,S$10,$A102,$B102)</f>
        <v>4289184</v>
      </c>
      <c r="T102" s="4">
        <f ca="1">_xll.DBRW($B$1,$B$2,$B$7,$B$3,$B$4,$B$5,$F102,$B$6,T$10,$A102,$B102)</f>
        <v>4100352</v>
      </c>
      <c r="U102" s="4">
        <f ca="1">_xll.DBRW($B$1,$B$2,$B$7,$B$3,$B$4,$B$5,$F102,$B$6,U$10,$A102,$B102)</f>
        <v>3776640</v>
      </c>
      <c r="V102" s="4">
        <f ca="1">_xll.DBRW($B$1,$B$2,$B$7,$B$3,$B$4,$B$5,$F102,$B$6,V$10,$A102,$B102)</f>
        <v>4302672</v>
      </c>
      <c r="W102" s="4">
        <f ca="1">_xll.DBRW($B$1,$B$2,$B$7,$B$3,$B$4,$B$5,$F102,$B$6,W$10,$A102,$B102)</f>
        <v>6271920</v>
      </c>
      <c r="X102" s="4">
        <f ca="1">_xll.DBRW($B$1,$B$2,$B$7,$B$3,$B$4,$B$5,$F102,$B$6,X$10,$A102,$B102)</f>
        <v>6480984</v>
      </c>
      <c r="Y102" s="4">
        <f ca="1">_xll.DBRW($B$1,$B$2,$B$7,$B$3,$B$4,$B$5,$F102,$B$6,Y$10,$A102,$B102)</f>
        <v>6271920</v>
      </c>
      <c r="Z102" s="4">
        <f ca="1">_xll.DBRW($B$1,$B$2,$B$7,$B$3,$B$4,$B$5,$F102,$B$6,Z$10,$A102,$B102)</f>
        <v>6480984</v>
      </c>
      <c r="AA102" s="4">
        <f ca="1">_xll.DBRW($B$1,$B$2,$B$7,$B$3,$B$4,$B$5,$F102,$B$6,AA$10,$A102,$B102)</f>
        <v>6480984</v>
      </c>
      <c r="AB102" s="4">
        <f ca="1">_xll.DBRW($B$1,$B$2,$B$7,$B$3,$B$4,$B$5,$F102,$B$6,AB$10,$A102,$B102)</f>
        <v>6271920</v>
      </c>
      <c r="AC102" s="4">
        <f ca="1">_xll.DBRW($B$1,$B$2,$B$7,$B$3,$B$4,$B$5,$F102,$B$6,AC$10,$A102,$B102)</f>
        <v>6062856</v>
      </c>
      <c r="AD102" s="4">
        <f ca="1">_xll.DBRW($B$1,$B$2,$B$7,$B$3,$B$4,$B$5,$F102,$B$6,AD$10,$A102,$B102)</f>
        <v>3992448</v>
      </c>
      <c r="AE102" s="4">
        <f ca="1">_xll.DBRW($B$1,$B$2,$B$7,$B$3,$B$4,$B$5,$F102,$B$6,AE$10,$A102,$B102)</f>
        <v>4289184</v>
      </c>
    </row>
    <row r="103" spans="1:31">
      <c r="A103" s="1" t="s">
        <v>152</v>
      </c>
      <c r="B103" s="5" t="s">
        <v>268</v>
      </c>
      <c r="C103" s="5" t="s">
        <v>264</v>
      </c>
      <c r="D103" s="5" t="s">
        <v>21</v>
      </c>
      <c r="E103" s="5" t="s">
        <v>265</v>
      </c>
      <c r="F103" s="5" t="s">
        <v>22</v>
      </c>
      <c r="G103" s="6"/>
      <c r="H103" s="6"/>
      <c r="I103" s="6"/>
      <c r="J103" s="6"/>
      <c r="K103" s="6"/>
      <c r="L103" s="4">
        <f ca="1">_xll.DBRW($B$1,$B$2,$B$7,$B$3,$B$4,$B$5,$F103,$B$6,L$10,$A103,$B103)</f>
        <v>3345024</v>
      </c>
      <c r="M103" s="4">
        <f ca="1">_xll.DBRW($B$1,$B$2,$B$7,$B$3,$B$4,$B$5,$F103,$B$6,M$10,$A103,$B103)</f>
        <v>3237120</v>
      </c>
      <c r="N103" s="4">
        <f ca="1">_xll.DBRW($B$1,$B$2,$B$7,$B$3,$B$4,$B$5,$F103,$B$6,N$10,$A103,$B103)</f>
        <v>3345024</v>
      </c>
      <c r="O103" s="4">
        <f ca="1">_xll.DBRW($B$1,$B$2,$B$7,$B$3,$B$4,$B$5,$F103,$B$6,O$10,$A103,$B103)</f>
        <v>3345024</v>
      </c>
      <c r="P103" s="4">
        <f ca="1">_xll.DBRW($B$1,$B$2,$B$7,$B$3,$B$4,$B$5,$F103,$B$6,P$10,$A103,$B103)</f>
        <v>3237120</v>
      </c>
      <c r="Q103" s="4">
        <f ca="1">_xll.DBRW($B$1,$B$2,$B$7,$B$3,$B$4,$B$5,$F103,$B$6,Q$10,$A103,$B103)</f>
        <v>3533856</v>
      </c>
      <c r="R103" s="4">
        <f ca="1">_xll.DBRW($B$1,$B$2,$B$7,$B$3,$B$4,$B$5,$F103,$B$6,R$10,$A103,$B103)</f>
        <v>3237120</v>
      </c>
      <c r="S103" s="4">
        <f ca="1">_xll.DBRW($B$1,$B$2,$B$7,$B$3,$B$4,$B$5,$F103,$B$6,S$10,$A103,$B103)</f>
        <v>3345024</v>
      </c>
      <c r="T103" s="4">
        <f ca="1">_xll.DBRW($B$1,$B$2,$B$7,$B$3,$B$4,$B$5,$F103,$B$6,T$10,$A103,$B103)</f>
        <v>6480984</v>
      </c>
      <c r="U103" s="4">
        <f ca="1">_xll.DBRW($B$1,$B$2,$B$7,$B$3,$B$4,$B$5,$F103,$B$6,U$10,$A103,$B103)</f>
        <v>5853792</v>
      </c>
      <c r="V103" s="4">
        <f ca="1">_xll.DBRW($B$1,$B$2,$B$7,$B$3,$B$4,$B$5,$F103,$B$6,V$10,$A103,$B103)</f>
        <v>6278664</v>
      </c>
      <c r="W103" s="4">
        <f ca="1">_xll.DBRW($B$1,$B$2,$B$7,$B$3,$B$4,$B$5,$F103,$B$6,W$10,$A103,$B103)</f>
        <v>3237120</v>
      </c>
      <c r="X103" s="4">
        <f ca="1">_xll.DBRW($B$1,$B$2,$B$7,$B$3,$B$4,$B$5,$F103,$B$6,X$10,$A103,$B103)</f>
        <v>3345024</v>
      </c>
      <c r="Y103" s="4">
        <f ca="1">_xll.DBRW($B$1,$B$2,$B$7,$B$3,$B$4,$B$5,$F103,$B$6,Y$10,$A103,$B103)</f>
        <v>3237120</v>
      </c>
      <c r="Z103" s="4">
        <f ca="1">_xll.DBRW($B$1,$B$2,$B$7,$B$3,$B$4,$B$5,$F103,$B$6,Z$10,$A103,$B103)</f>
        <v>3345024</v>
      </c>
      <c r="AA103" s="4">
        <f ca="1">_xll.DBRW($B$1,$B$2,$B$7,$B$3,$B$4,$B$5,$F103,$B$6,AA$10,$A103,$B103)</f>
        <v>3345024</v>
      </c>
      <c r="AB103" s="4">
        <f ca="1">_xll.DBRW($B$1,$B$2,$B$7,$B$3,$B$4,$B$5,$F103,$B$6,AB$10,$A103,$B103)</f>
        <v>3237120</v>
      </c>
      <c r="AC103" s="4">
        <f ca="1">_xll.DBRW($B$1,$B$2,$B$7,$B$3,$B$4,$B$5,$F103,$B$6,AC$10,$A103,$B103)</f>
        <v>3951984</v>
      </c>
      <c r="AD103" s="4">
        <f ca="1">_xll.DBRW($B$1,$B$2,$B$7,$B$3,$B$4,$B$5,$F103,$B$6,AD$10,$A103,$B103)</f>
        <v>6271920</v>
      </c>
      <c r="AE103" s="4">
        <f ca="1">_xll.DBRW($B$1,$B$2,$B$7,$B$3,$B$4,$B$5,$F103,$B$6,AE$10,$A103,$B103)</f>
        <v>6480984</v>
      </c>
    </row>
    <row r="104" spans="1:31">
      <c r="A104" s="1" t="s">
        <v>152</v>
      </c>
      <c r="B104" s="5" t="s">
        <v>269</v>
      </c>
      <c r="C104" s="5" t="s">
        <v>267</v>
      </c>
      <c r="D104" s="5" t="s">
        <v>265</v>
      </c>
      <c r="E104" s="5" t="s">
        <v>21</v>
      </c>
      <c r="F104" s="5" t="s">
        <v>22</v>
      </c>
      <c r="G104" s="6"/>
      <c r="H104" s="6"/>
      <c r="I104" s="6"/>
      <c r="J104" s="6"/>
      <c r="K104" s="6"/>
      <c r="L104" s="4">
        <f ca="1">_xll.DBRW($B$1,$B$2,$B$7,$B$3,$B$4,$B$5,$F104,$B$6,L$10,$A104,$B104)</f>
        <v>3345024</v>
      </c>
      <c r="M104" s="4">
        <f ca="1">_xll.DBRW($B$1,$B$2,$B$7,$B$3,$B$4,$B$5,$F104,$B$6,M$10,$A104,$B104)</f>
        <v>3237120</v>
      </c>
      <c r="N104" s="4">
        <f ca="1">_xll.DBRW($B$1,$B$2,$B$7,$B$3,$B$4,$B$5,$F104,$B$6,N$10,$A104,$B104)</f>
        <v>3345024</v>
      </c>
      <c r="O104" s="4">
        <f ca="1">_xll.DBRW($B$1,$B$2,$B$7,$B$3,$B$4,$B$5,$F104,$B$6,O$10,$A104,$B104)</f>
        <v>3345024</v>
      </c>
      <c r="P104" s="4">
        <f ca="1">_xll.DBRW($B$1,$B$2,$B$7,$B$3,$B$4,$B$5,$F104,$B$6,P$10,$A104,$B104)</f>
        <v>3237120</v>
      </c>
      <c r="Q104" s="4">
        <f ca="1">_xll.DBRW($B$1,$B$2,$B$7,$B$3,$B$4,$B$5,$F104,$B$6,Q$10,$A104,$B104)</f>
        <v>3533856</v>
      </c>
      <c r="R104" s="4">
        <f ca="1">_xll.DBRW($B$1,$B$2,$B$7,$B$3,$B$4,$B$5,$F104,$B$6,R$10,$A104,$B104)</f>
        <v>3237120</v>
      </c>
      <c r="S104" s="4">
        <f ca="1">_xll.DBRW($B$1,$B$2,$B$7,$B$3,$B$4,$B$5,$F104,$B$6,S$10,$A104,$B104)</f>
        <v>3345024</v>
      </c>
      <c r="T104" s="4">
        <f ca="1">_xll.DBRW($B$1,$B$2,$B$7,$B$3,$B$4,$B$5,$F104,$B$6,T$10,$A104,$B104)</f>
        <v>6480984</v>
      </c>
      <c r="U104" s="4">
        <f ca="1">_xll.DBRW($B$1,$B$2,$B$7,$B$3,$B$4,$B$5,$F104,$B$6,U$10,$A104,$B104)</f>
        <v>5853792</v>
      </c>
      <c r="V104" s="4">
        <f ca="1">_xll.DBRW($B$1,$B$2,$B$7,$B$3,$B$4,$B$5,$F104,$B$6,V$10,$A104,$B104)</f>
        <v>6278664</v>
      </c>
      <c r="W104" s="4">
        <f ca="1">_xll.DBRW($B$1,$B$2,$B$7,$B$3,$B$4,$B$5,$F104,$B$6,W$10,$A104,$B104)</f>
        <v>3237120</v>
      </c>
      <c r="X104" s="4">
        <f ca="1">_xll.DBRW($B$1,$B$2,$B$7,$B$3,$B$4,$B$5,$F104,$B$6,X$10,$A104,$B104)</f>
        <v>3345024</v>
      </c>
      <c r="Y104" s="4">
        <f ca="1">_xll.DBRW($B$1,$B$2,$B$7,$B$3,$B$4,$B$5,$F104,$B$6,Y$10,$A104,$B104)</f>
        <v>3237120</v>
      </c>
      <c r="Z104" s="4">
        <f ca="1">_xll.DBRW($B$1,$B$2,$B$7,$B$3,$B$4,$B$5,$F104,$B$6,Z$10,$A104,$B104)</f>
        <v>3345024</v>
      </c>
      <c r="AA104" s="4">
        <f ca="1">_xll.DBRW($B$1,$B$2,$B$7,$B$3,$B$4,$B$5,$F104,$B$6,AA$10,$A104,$B104)</f>
        <v>3345024</v>
      </c>
      <c r="AB104" s="4">
        <f ca="1">_xll.DBRW($B$1,$B$2,$B$7,$B$3,$B$4,$B$5,$F104,$B$6,AB$10,$A104,$B104)</f>
        <v>3237120</v>
      </c>
      <c r="AC104" s="4">
        <f ca="1">_xll.DBRW($B$1,$B$2,$B$7,$B$3,$B$4,$B$5,$F104,$B$6,AC$10,$A104,$B104)</f>
        <v>3742920</v>
      </c>
      <c r="AD104" s="4">
        <f ca="1">_xll.DBRW($B$1,$B$2,$B$7,$B$3,$B$4,$B$5,$F104,$B$6,AD$10,$A104,$B104)</f>
        <v>6271920</v>
      </c>
      <c r="AE104" s="4">
        <f ca="1">_xll.DBRW($B$1,$B$2,$B$7,$B$3,$B$4,$B$5,$F104,$B$6,AE$10,$A104,$B104)</f>
        <v>6480984</v>
      </c>
    </row>
    <row r="105" spans="1:31">
      <c r="A105" s="1" t="s">
        <v>152</v>
      </c>
      <c r="B105" s="5" t="s">
        <v>270</v>
      </c>
      <c r="C105" s="5" t="s">
        <v>271</v>
      </c>
      <c r="D105" s="5" t="s">
        <v>21</v>
      </c>
      <c r="E105" s="5" t="s">
        <v>272</v>
      </c>
      <c r="F105" s="5" t="s">
        <v>22</v>
      </c>
      <c r="G105" s="6"/>
      <c r="H105" s="6"/>
      <c r="I105" s="6"/>
      <c r="J105" s="6"/>
      <c r="K105" s="6"/>
      <c r="L105" s="4">
        <f ca="1">_xll.DBRW($B$1,$B$2,$B$7,$B$3,$B$4,$B$5,$F105,$B$6,L$10,$A105,$B105)</f>
        <v>7737972</v>
      </c>
      <c r="M105" s="4">
        <f ca="1">_xll.DBRW($B$1,$B$2,$B$7,$B$3,$B$4,$B$5,$F105,$B$6,M$10,$A105,$B105)</f>
        <v>7488360</v>
      </c>
      <c r="N105" s="4">
        <f ca="1">_xll.DBRW($B$1,$B$2,$B$7,$B$3,$B$4,$B$5,$F105,$B$6,N$10,$A105,$B105)</f>
        <v>7737972</v>
      </c>
      <c r="O105" s="4">
        <f ca="1">_xll.DBRW($B$1,$B$2,$B$7,$B$3,$B$4,$B$5,$F105,$B$6,O$10,$A105,$B105)</f>
        <v>7737972</v>
      </c>
      <c r="P105" s="4">
        <f ca="1">_xll.DBRW($B$1,$B$2,$B$7,$B$3,$B$4,$B$5,$F105,$B$6,P$10,$A105,$B105)</f>
        <v>7488360</v>
      </c>
      <c r="Q105" s="4">
        <f ca="1">_xll.DBRW($B$1,$B$2,$B$7,$B$3,$B$4,$B$5,$F105,$B$6,Q$10,$A105,$B105)</f>
        <v>7737972</v>
      </c>
      <c r="R105" s="4">
        <f ca="1">_xll.DBRW($B$1,$B$2,$B$7,$B$3,$B$4,$B$5,$F105,$B$6,R$10,$A105,$B105)</f>
        <v>7488360</v>
      </c>
      <c r="S105" s="4">
        <f ca="1">_xll.DBRW($B$1,$B$2,$B$7,$B$3,$B$4,$B$5,$F105,$B$6,S$10,$A105,$B105)</f>
        <v>7737972</v>
      </c>
      <c r="T105" s="4">
        <f ca="1">_xll.DBRW($B$1,$B$2,$B$7,$B$3,$B$4,$B$5,$F105,$B$6,T$10,$A105,$B105)</f>
        <v>7737972</v>
      </c>
      <c r="U105" s="4">
        <f ca="1">_xll.DBRW($B$1,$B$2,$B$7,$B$3,$B$4,$B$5,$F105,$B$6,U$10,$A105,$B105)</f>
        <v>6989136</v>
      </c>
      <c r="V105" s="4">
        <f ca="1">_xll.DBRW($B$1,$B$2,$B$7,$B$3,$B$4,$B$5,$F105,$B$6,V$10,$A105,$B105)</f>
        <v>7737972</v>
      </c>
      <c r="W105" s="4">
        <f ca="1">_xll.DBRW($B$1,$B$2,$B$7,$B$3,$B$4,$B$5,$F105,$B$6,W$10,$A105,$B105)</f>
        <v>7488360</v>
      </c>
      <c r="X105" s="4">
        <f ca="1">_xll.DBRW($B$1,$B$2,$B$7,$B$3,$B$4,$B$5,$F105,$B$6,X$10,$A105,$B105)</f>
        <v>7737972</v>
      </c>
      <c r="Y105" s="4">
        <f ca="1">_xll.DBRW($B$1,$B$2,$B$7,$B$3,$B$4,$B$5,$F105,$B$6,Y$10,$A105,$B105)</f>
        <v>7488360</v>
      </c>
      <c r="Z105" s="4">
        <f ca="1">_xll.DBRW($B$1,$B$2,$B$7,$B$3,$B$4,$B$5,$F105,$B$6,Z$10,$A105,$B105)</f>
        <v>7737972</v>
      </c>
      <c r="AA105" s="4">
        <f ca="1">_xll.DBRW($B$1,$B$2,$B$7,$B$3,$B$4,$B$5,$F105,$B$6,AA$10,$A105,$B105)</f>
        <v>7737972</v>
      </c>
      <c r="AB105" s="4">
        <f ca="1">_xll.DBRW($B$1,$B$2,$B$7,$B$3,$B$4,$B$5,$F105,$B$6,AB$10,$A105,$B105)</f>
        <v>7488360</v>
      </c>
      <c r="AC105" s="4">
        <f ca="1">_xll.DBRW($B$1,$B$2,$B$7,$B$3,$B$4,$B$5,$F105,$B$6,AC$10,$A105,$B105)</f>
        <v>7737972</v>
      </c>
      <c r="AD105" s="4">
        <f ca="1">_xll.DBRW($B$1,$B$2,$B$7,$B$3,$B$4,$B$5,$F105,$B$6,AD$10,$A105,$B105)</f>
        <v>7488360</v>
      </c>
      <c r="AE105" s="4">
        <f ca="1">_xll.DBRW($B$1,$B$2,$B$7,$B$3,$B$4,$B$5,$F105,$B$6,AE$10,$A105,$B105)</f>
        <v>7737972</v>
      </c>
    </row>
    <row r="106" spans="1:31">
      <c r="A106" s="1" t="s">
        <v>152</v>
      </c>
      <c r="B106" s="5" t="s">
        <v>273</v>
      </c>
      <c r="C106" s="5" t="s">
        <v>274</v>
      </c>
      <c r="D106" s="5" t="s">
        <v>272</v>
      </c>
      <c r="E106" s="5" t="s">
        <v>21</v>
      </c>
      <c r="F106" s="5" t="s">
        <v>22</v>
      </c>
      <c r="G106" s="6"/>
      <c r="H106" s="6"/>
      <c r="I106" s="6"/>
      <c r="J106" s="6"/>
      <c r="K106" s="6"/>
      <c r="L106" s="4">
        <f ca="1">_xll.DBRW($B$1,$B$2,$B$7,$B$3,$B$4,$B$5,$F106,$B$6,L$10,$A106,$B106)</f>
        <v>7737972</v>
      </c>
      <c r="M106" s="4">
        <f ca="1">_xll.DBRW($B$1,$B$2,$B$7,$B$3,$B$4,$B$5,$F106,$B$6,M$10,$A106,$B106)</f>
        <v>7488360</v>
      </c>
      <c r="N106" s="4">
        <f ca="1">_xll.DBRW($B$1,$B$2,$B$7,$B$3,$B$4,$B$5,$F106,$B$6,N$10,$A106,$B106)</f>
        <v>7737972</v>
      </c>
      <c r="O106" s="4">
        <f ca="1">_xll.DBRW($B$1,$B$2,$B$7,$B$3,$B$4,$B$5,$F106,$B$6,O$10,$A106,$B106)</f>
        <v>7737972</v>
      </c>
      <c r="P106" s="4">
        <f ca="1">_xll.DBRW($B$1,$B$2,$B$7,$B$3,$B$4,$B$5,$F106,$B$6,P$10,$A106,$B106)</f>
        <v>7488360</v>
      </c>
      <c r="Q106" s="4">
        <f ca="1">_xll.DBRW($B$1,$B$2,$B$7,$B$3,$B$4,$B$5,$F106,$B$6,Q$10,$A106,$B106)</f>
        <v>7737972</v>
      </c>
      <c r="R106" s="4">
        <f ca="1">_xll.DBRW($B$1,$B$2,$B$7,$B$3,$B$4,$B$5,$F106,$B$6,R$10,$A106,$B106)</f>
        <v>7488360</v>
      </c>
      <c r="S106" s="4">
        <f ca="1">_xll.DBRW($B$1,$B$2,$B$7,$B$3,$B$4,$B$5,$F106,$B$6,S$10,$A106,$B106)</f>
        <v>7737972</v>
      </c>
      <c r="T106" s="4">
        <f ca="1">_xll.DBRW($B$1,$B$2,$B$7,$B$3,$B$4,$B$5,$F106,$B$6,T$10,$A106,$B106)</f>
        <v>7737972</v>
      </c>
      <c r="U106" s="4">
        <f ca="1">_xll.DBRW($B$1,$B$2,$B$7,$B$3,$B$4,$B$5,$F106,$B$6,U$10,$A106,$B106)</f>
        <v>6989136</v>
      </c>
      <c r="V106" s="4">
        <f ca="1">_xll.DBRW($B$1,$B$2,$B$7,$B$3,$B$4,$B$5,$F106,$B$6,V$10,$A106,$B106)</f>
        <v>7737972</v>
      </c>
      <c r="W106" s="4">
        <f ca="1">_xll.DBRW($B$1,$B$2,$B$7,$B$3,$B$4,$B$5,$F106,$B$6,W$10,$A106,$B106)</f>
        <v>7488360</v>
      </c>
      <c r="X106" s="4">
        <f ca="1">_xll.DBRW($B$1,$B$2,$B$7,$B$3,$B$4,$B$5,$F106,$B$6,X$10,$A106,$B106)</f>
        <v>7737972</v>
      </c>
      <c r="Y106" s="4">
        <f ca="1">_xll.DBRW($B$1,$B$2,$B$7,$B$3,$B$4,$B$5,$F106,$B$6,Y$10,$A106,$B106)</f>
        <v>7488360</v>
      </c>
      <c r="Z106" s="4">
        <f ca="1">_xll.DBRW($B$1,$B$2,$B$7,$B$3,$B$4,$B$5,$F106,$B$6,Z$10,$A106,$B106)</f>
        <v>7737972</v>
      </c>
      <c r="AA106" s="4">
        <f ca="1">_xll.DBRW($B$1,$B$2,$B$7,$B$3,$B$4,$B$5,$F106,$B$6,AA$10,$A106,$B106)</f>
        <v>7737972</v>
      </c>
      <c r="AB106" s="4">
        <f ca="1">_xll.DBRW($B$1,$B$2,$B$7,$B$3,$B$4,$B$5,$F106,$B$6,AB$10,$A106,$B106)</f>
        <v>7488360</v>
      </c>
      <c r="AC106" s="4">
        <f ca="1">_xll.DBRW($B$1,$B$2,$B$7,$B$3,$B$4,$B$5,$F106,$B$6,AC$10,$A106,$B106)</f>
        <v>7488360</v>
      </c>
      <c r="AD106" s="4">
        <f ca="1">_xll.DBRW($B$1,$B$2,$B$7,$B$3,$B$4,$B$5,$F106,$B$6,AD$10,$A106,$B106)</f>
        <v>7488360</v>
      </c>
      <c r="AE106" s="4">
        <f ca="1">_xll.DBRW($B$1,$B$2,$B$7,$B$3,$B$4,$B$5,$F106,$B$6,AE$10,$A106,$B106)</f>
        <v>7737972</v>
      </c>
    </row>
    <row r="107" spans="1:31">
      <c r="A107" s="1" t="s">
        <v>152</v>
      </c>
      <c r="B107" s="5" t="s">
        <v>275</v>
      </c>
      <c r="C107" s="5" t="s">
        <v>276</v>
      </c>
      <c r="D107" s="5" t="s">
        <v>21</v>
      </c>
      <c r="E107" s="5" t="s">
        <v>277</v>
      </c>
      <c r="F107" s="5" t="s">
        <v>22</v>
      </c>
      <c r="G107" s="6"/>
      <c r="H107" s="6"/>
      <c r="I107" s="6"/>
      <c r="J107" s="6"/>
      <c r="K107" s="6"/>
      <c r="L107" s="4">
        <f ca="1">_xll.DBRW($B$1,$B$2,$B$7,$B$3,$B$4,$B$5,$F107,$B$6,L$10,$A107,$B107)</f>
        <v>6939381</v>
      </c>
      <c r="M107" s="4">
        <f ca="1">_xll.DBRW($B$1,$B$2,$B$7,$B$3,$B$4,$B$5,$F107,$B$6,M$10,$A107,$B107)</f>
        <v>6715530</v>
      </c>
      <c r="N107" s="4">
        <f ca="1">_xll.DBRW($B$1,$B$2,$B$7,$B$3,$B$4,$B$5,$F107,$B$6,N$10,$A107,$B107)</f>
        <v>6939381</v>
      </c>
      <c r="O107" s="4">
        <f ca="1">_xll.DBRW($B$1,$B$2,$B$7,$B$3,$B$4,$B$5,$F107,$B$6,O$10,$A107,$B107)</f>
        <v>6939381</v>
      </c>
      <c r="P107" s="4">
        <f ca="1">_xll.DBRW($B$1,$B$2,$B$7,$B$3,$B$4,$B$5,$F107,$B$6,P$10,$A107,$B107)</f>
        <v>6715530</v>
      </c>
      <c r="Q107" s="4">
        <f ca="1">_xll.DBRW($B$1,$B$2,$B$7,$B$3,$B$4,$B$5,$F107,$B$6,Q$10,$A107,$B107)</f>
        <v>6939381</v>
      </c>
      <c r="R107" s="4">
        <f ca="1">_xll.DBRW($B$1,$B$2,$B$7,$B$3,$B$4,$B$5,$F107,$B$6,R$10,$A107,$B107)</f>
        <v>6715530</v>
      </c>
      <c r="S107" s="4">
        <f ca="1">_xll.DBRW($B$1,$B$2,$B$7,$B$3,$B$4,$B$5,$F107,$B$6,S$10,$A107,$B107)</f>
        <v>6939381</v>
      </c>
      <c r="T107" s="4">
        <f ca="1">_xll.DBRW($B$1,$B$2,$B$7,$B$3,$B$4,$B$5,$F107,$B$6,T$10,$A107,$B107)</f>
        <v>3581616</v>
      </c>
      <c r="U107" s="4">
        <f ca="1">_xll.DBRW($B$1,$B$2,$B$7,$B$3,$B$4,$B$5,$F107,$B$6,U$10,$A107,$B107)</f>
        <v>3235008</v>
      </c>
      <c r="V107" s="4">
        <f ca="1">_xll.DBRW($B$1,$B$2,$B$7,$B$3,$B$4,$B$5,$F107,$B$6,V$10,$A107,$B107)</f>
        <v>3798246</v>
      </c>
      <c r="W107" s="4">
        <f ca="1">_xll.DBRW($B$1,$B$2,$B$7,$B$3,$B$4,$B$5,$F107,$B$6,W$10,$A107,$B107)</f>
        <v>6715530</v>
      </c>
      <c r="X107" s="4">
        <f ca="1">_xll.DBRW($B$1,$B$2,$B$7,$B$3,$B$4,$B$5,$F107,$B$6,X$10,$A107,$B107)</f>
        <v>6939381</v>
      </c>
      <c r="Y107" s="4">
        <f ca="1">_xll.DBRW($B$1,$B$2,$B$7,$B$3,$B$4,$B$5,$F107,$B$6,Y$10,$A107,$B107)</f>
        <v>6715530</v>
      </c>
      <c r="Z107" s="4">
        <f ca="1">_xll.DBRW($B$1,$B$2,$B$7,$B$3,$B$4,$B$5,$F107,$B$6,Z$10,$A107,$B107)</f>
        <v>6939381</v>
      </c>
      <c r="AA107" s="4">
        <f ca="1">_xll.DBRW($B$1,$B$2,$B$7,$B$3,$B$4,$B$5,$F107,$B$6,AA$10,$A107,$B107)</f>
        <v>6939381</v>
      </c>
      <c r="AB107" s="4">
        <f ca="1">_xll.DBRW($B$1,$B$2,$B$7,$B$3,$B$4,$B$5,$F107,$B$6,AB$10,$A107,$B107)</f>
        <v>6715530</v>
      </c>
      <c r="AC107" s="4">
        <f ca="1">_xll.DBRW($B$1,$B$2,$B$7,$B$3,$B$4,$B$5,$F107,$B$6,AC$10,$A107,$B107)</f>
        <v>6289491</v>
      </c>
      <c r="AD107" s="4">
        <f ca="1">_xll.DBRW($B$1,$B$2,$B$7,$B$3,$B$4,$B$5,$F107,$B$6,AD$10,$A107,$B107)</f>
        <v>3466080</v>
      </c>
      <c r="AE107" s="4">
        <f ca="1">_xll.DBRW($B$1,$B$2,$B$7,$B$3,$B$4,$B$5,$F107,$B$6,AE$10,$A107,$B107)</f>
        <v>3581616</v>
      </c>
    </row>
    <row r="108" spans="1:31">
      <c r="A108" s="1" t="s">
        <v>152</v>
      </c>
      <c r="B108" s="5" t="s">
        <v>278</v>
      </c>
      <c r="C108" s="5" t="s">
        <v>279</v>
      </c>
      <c r="D108" s="5" t="s">
        <v>277</v>
      </c>
      <c r="E108" s="5" t="s">
        <v>21</v>
      </c>
      <c r="F108" s="5" t="s">
        <v>22</v>
      </c>
      <c r="G108" s="6"/>
      <c r="H108" s="6"/>
      <c r="I108" s="6"/>
      <c r="J108" s="6"/>
      <c r="K108" s="6"/>
      <c r="L108" s="4">
        <f ca="1">_xll.DBRW($B$1,$B$2,$B$7,$B$3,$B$4,$B$5,$F108,$B$6,L$10,$A108,$B108)</f>
        <v>6939381</v>
      </c>
      <c r="M108" s="4">
        <f ca="1">_xll.DBRW($B$1,$B$2,$B$7,$B$3,$B$4,$B$5,$F108,$B$6,M$10,$A108,$B108)</f>
        <v>6715530</v>
      </c>
      <c r="N108" s="4">
        <f ca="1">_xll.DBRW($B$1,$B$2,$B$7,$B$3,$B$4,$B$5,$F108,$B$6,N$10,$A108,$B108)</f>
        <v>6939381</v>
      </c>
      <c r="O108" s="4">
        <f ca="1">_xll.DBRW($B$1,$B$2,$B$7,$B$3,$B$4,$B$5,$F108,$B$6,O$10,$A108,$B108)</f>
        <v>6939381</v>
      </c>
      <c r="P108" s="4">
        <f ca="1">_xll.DBRW($B$1,$B$2,$B$7,$B$3,$B$4,$B$5,$F108,$B$6,P$10,$A108,$B108)</f>
        <v>6715530</v>
      </c>
      <c r="Q108" s="4">
        <f ca="1">_xll.DBRW($B$1,$B$2,$B$7,$B$3,$B$4,$B$5,$F108,$B$6,Q$10,$A108,$B108)</f>
        <v>6939381</v>
      </c>
      <c r="R108" s="4">
        <f ca="1">_xll.DBRW($B$1,$B$2,$B$7,$B$3,$B$4,$B$5,$F108,$B$6,R$10,$A108,$B108)</f>
        <v>6715530</v>
      </c>
      <c r="S108" s="4">
        <f ca="1">_xll.DBRW($B$1,$B$2,$B$7,$B$3,$B$4,$B$5,$F108,$B$6,S$10,$A108,$B108)</f>
        <v>6939381</v>
      </c>
      <c r="T108" s="4">
        <f ca="1">_xll.DBRW($B$1,$B$2,$B$7,$B$3,$B$4,$B$5,$F108,$B$6,T$10,$A108,$B108)</f>
        <v>3581616</v>
      </c>
      <c r="U108" s="4">
        <f ca="1">_xll.DBRW($B$1,$B$2,$B$7,$B$3,$B$4,$B$5,$F108,$B$6,U$10,$A108,$B108)</f>
        <v>3235008</v>
      </c>
      <c r="V108" s="4">
        <f ca="1">_xll.DBRW($B$1,$B$2,$B$7,$B$3,$B$4,$B$5,$F108,$B$6,V$10,$A108,$B108)</f>
        <v>3798246</v>
      </c>
      <c r="W108" s="4">
        <f ca="1">_xll.DBRW($B$1,$B$2,$B$7,$B$3,$B$4,$B$5,$F108,$B$6,W$10,$A108,$B108)</f>
        <v>6715530</v>
      </c>
      <c r="X108" s="4">
        <f ca="1">_xll.DBRW($B$1,$B$2,$B$7,$B$3,$B$4,$B$5,$F108,$B$6,X$10,$A108,$B108)</f>
        <v>6939381</v>
      </c>
      <c r="Y108" s="4">
        <f ca="1">_xll.DBRW($B$1,$B$2,$B$7,$B$3,$B$4,$B$5,$F108,$B$6,Y$10,$A108,$B108)</f>
        <v>6715530</v>
      </c>
      <c r="Z108" s="4">
        <f ca="1">_xll.DBRW($B$1,$B$2,$B$7,$B$3,$B$4,$B$5,$F108,$B$6,Z$10,$A108,$B108)</f>
        <v>6939381</v>
      </c>
      <c r="AA108" s="4">
        <f ca="1">_xll.DBRW($B$1,$B$2,$B$7,$B$3,$B$4,$B$5,$F108,$B$6,AA$10,$A108,$B108)</f>
        <v>6939381</v>
      </c>
      <c r="AB108" s="4">
        <f ca="1">_xll.DBRW($B$1,$B$2,$B$7,$B$3,$B$4,$B$5,$F108,$B$6,AB$10,$A108,$B108)</f>
        <v>6715530</v>
      </c>
      <c r="AC108" s="4">
        <f ca="1">_xll.DBRW($B$1,$B$2,$B$7,$B$3,$B$4,$B$5,$F108,$B$6,AC$10,$A108,$B108)</f>
        <v>6289491</v>
      </c>
      <c r="AD108" s="4">
        <f ca="1">_xll.DBRW($B$1,$B$2,$B$7,$B$3,$B$4,$B$5,$F108,$B$6,AD$10,$A108,$B108)</f>
        <v>3466080</v>
      </c>
      <c r="AE108" s="4">
        <f ca="1">_xll.DBRW($B$1,$B$2,$B$7,$B$3,$B$4,$B$5,$F108,$B$6,AE$10,$A108,$B108)</f>
        <v>3581616</v>
      </c>
    </row>
    <row r="109" spans="1:31">
      <c r="A109" s="1" t="s">
        <v>152</v>
      </c>
      <c r="B109" s="5" t="s">
        <v>280</v>
      </c>
      <c r="C109" s="5" t="s">
        <v>276</v>
      </c>
      <c r="D109" s="5" t="s">
        <v>21</v>
      </c>
      <c r="E109" s="5" t="s">
        <v>277</v>
      </c>
      <c r="F109" s="5" t="s">
        <v>22</v>
      </c>
      <c r="G109" s="6"/>
      <c r="H109" s="6"/>
      <c r="I109" s="6"/>
      <c r="J109" s="6"/>
      <c r="K109" s="6"/>
      <c r="L109" s="4">
        <f ca="1">_xll.DBRW($B$1,$B$2,$B$7,$B$3,$B$4,$B$5,$F109,$B$6,L$10,$A109,$B109)</f>
        <v>0</v>
      </c>
      <c r="M109" s="4">
        <f ca="1">_xll.DBRW($B$1,$B$2,$B$7,$B$3,$B$4,$B$5,$F109,$B$6,M$10,$A109,$B109)</f>
        <v>0</v>
      </c>
      <c r="N109" s="4">
        <f ca="1">_xll.DBRW($B$1,$B$2,$B$7,$B$3,$B$4,$B$5,$F109,$B$6,N$10,$A109,$B109)</f>
        <v>0</v>
      </c>
      <c r="O109" s="4">
        <f ca="1">_xll.DBRW($B$1,$B$2,$B$7,$B$3,$B$4,$B$5,$F109,$B$6,O$10,$A109,$B109)</f>
        <v>0</v>
      </c>
      <c r="P109" s="4">
        <f ca="1">_xll.DBRW($B$1,$B$2,$B$7,$B$3,$B$4,$B$5,$F109,$B$6,P$10,$A109,$B109)</f>
        <v>0</v>
      </c>
      <c r="Q109" s="4">
        <f ca="1">_xll.DBRW($B$1,$B$2,$B$7,$B$3,$B$4,$B$5,$F109,$B$6,Q$10,$A109,$B109)</f>
        <v>577680</v>
      </c>
      <c r="R109" s="4">
        <f ca="1">_xll.DBRW($B$1,$B$2,$B$7,$B$3,$B$4,$B$5,$F109,$B$6,R$10,$A109,$B109)</f>
        <v>4072644</v>
      </c>
      <c r="S109" s="4">
        <f ca="1">_xll.DBRW($B$1,$B$2,$B$7,$B$3,$B$4,$B$5,$F109,$B$6,S$10,$A109,$B109)</f>
        <v>3581616</v>
      </c>
      <c r="T109" s="4">
        <f ca="1">_xll.DBRW($B$1,$B$2,$B$7,$B$3,$B$4,$B$5,$F109,$B$6,T$10,$A109,$B109)</f>
        <v>0</v>
      </c>
      <c r="U109" s="4">
        <f ca="1">_xll.DBRW($B$1,$B$2,$B$7,$B$3,$B$4,$B$5,$F109,$B$6,U$10,$A109,$B109)</f>
        <v>0</v>
      </c>
      <c r="V109" s="4">
        <f ca="1">_xll.DBRW($B$1,$B$2,$B$7,$B$3,$B$4,$B$5,$F109,$B$6,V$10,$A109,$B109)</f>
        <v>0</v>
      </c>
      <c r="W109" s="4">
        <f ca="1">_xll.DBRW($B$1,$B$2,$B$7,$B$3,$B$4,$B$5,$F109,$B$6,W$10,$A109,$B109)</f>
        <v>0</v>
      </c>
      <c r="X109" s="4">
        <f ca="1">_xll.DBRW($B$1,$B$2,$B$7,$B$3,$B$4,$B$5,$F109,$B$6,X$10,$A109,$B109)</f>
        <v>0</v>
      </c>
      <c r="Y109" s="4">
        <f ca="1">_xll.DBRW($B$1,$B$2,$B$7,$B$3,$B$4,$B$5,$F109,$B$6,Y$10,$A109,$B109)</f>
        <v>0</v>
      </c>
      <c r="Z109" s="4">
        <f ca="1">_xll.DBRW($B$1,$B$2,$B$7,$B$3,$B$4,$B$5,$F109,$B$6,Z$10,$A109,$B109)</f>
        <v>0</v>
      </c>
      <c r="AA109" s="4">
        <f ca="1">_xll.DBRW($B$1,$B$2,$B$7,$B$3,$B$4,$B$5,$F109,$B$6,AA$10,$A109,$B109)</f>
        <v>0</v>
      </c>
      <c r="AB109" s="4">
        <f ca="1">_xll.DBRW($B$1,$B$2,$B$7,$B$3,$B$4,$B$5,$F109,$B$6,AB$10,$A109,$B109)</f>
        <v>0</v>
      </c>
      <c r="AC109" s="4">
        <f ca="1">_xll.DBRW($B$1,$B$2,$B$7,$B$3,$B$4,$B$5,$F109,$B$6,AC$10,$A109,$B109)</f>
        <v>0</v>
      </c>
      <c r="AD109" s="4">
        <f ca="1">_xll.DBRW($B$1,$B$2,$B$7,$B$3,$B$4,$B$5,$F109,$B$6,AD$10,$A109,$B109)</f>
        <v>0</v>
      </c>
      <c r="AE109" s="4">
        <f ca="1">_xll.DBRW($B$1,$B$2,$B$7,$B$3,$B$4,$B$5,$F109,$B$6,AE$10,$A109,$B109)</f>
        <v>0</v>
      </c>
    </row>
    <row r="110" spans="1:31">
      <c r="A110" s="1" t="s">
        <v>152</v>
      </c>
      <c r="B110" s="5" t="s">
        <v>281</v>
      </c>
      <c r="C110" s="5" t="s">
        <v>279</v>
      </c>
      <c r="D110" s="5" t="s">
        <v>277</v>
      </c>
      <c r="E110" s="5" t="s">
        <v>21</v>
      </c>
      <c r="F110" s="5" t="s">
        <v>22</v>
      </c>
      <c r="G110" s="6"/>
      <c r="H110" s="6"/>
      <c r="I110" s="6"/>
      <c r="J110" s="6"/>
      <c r="K110" s="6"/>
      <c r="L110" s="4">
        <f ca="1">_xll.DBRW($B$1,$B$2,$B$7,$B$3,$B$4,$B$5,$F110,$B$6,L$10,$A110,$B110)</f>
        <v>0</v>
      </c>
      <c r="M110" s="4">
        <f ca="1">_xll.DBRW($B$1,$B$2,$B$7,$B$3,$B$4,$B$5,$F110,$B$6,M$10,$A110,$B110)</f>
        <v>0</v>
      </c>
      <c r="N110" s="4">
        <f ca="1">_xll.DBRW($B$1,$B$2,$B$7,$B$3,$B$4,$B$5,$F110,$B$6,N$10,$A110,$B110)</f>
        <v>0</v>
      </c>
      <c r="O110" s="4">
        <f ca="1">_xll.DBRW($B$1,$B$2,$B$7,$B$3,$B$4,$B$5,$F110,$B$6,O$10,$A110,$B110)</f>
        <v>0</v>
      </c>
      <c r="P110" s="4">
        <f ca="1">_xll.DBRW($B$1,$B$2,$B$7,$B$3,$B$4,$B$5,$F110,$B$6,P$10,$A110,$B110)</f>
        <v>0</v>
      </c>
      <c r="Q110" s="4">
        <f ca="1">_xll.DBRW($B$1,$B$2,$B$7,$B$3,$B$4,$B$5,$F110,$B$6,Q$10,$A110,$B110)</f>
        <v>577680</v>
      </c>
      <c r="R110" s="4">
        <f ca="1">_xll.DBRW($B$1,$B$2,$B$7,$B$3,$B$4,$B$5,$F110,$B$6,R$10,$A110,$B110)</f>
        <v>4072644</v>
      </c>
      <c r="S110" s="4">
        <f ca="1">_xll.DBRW($B$1,$B$2,$B$7,$B$3,$B$4,$B$5,$F110,$B$6,S$10,$A110,$B110)</f>
        <v>3581616</v>
      </c>
      <c r="T110" s="4">
        <f ca="1">_xll.DBRW($B$1,$B$2,$B$7,$B$3,$B$4,$B$5,$F110,$B$6,T$10,$A110,$B110)</f>
        <v>0</v>
      </c>
      <c r="U110" s="4">
        <f ca="1">_xll.DBRW($B$1,$B$2,$B$7,$B$3,$B$4,$B$5,$F110,$B$6,U$10,$A110,$B110)</f>
        <v>0</v>
      </c>
      <c r="V110" s="4">
        <f ca="1">_xll.DBRW($B$1,$B$2,$B$7,$B$3,$B$4,$B$5,$F110,$B$6,V$10,$A110,$B110)</f>
        <v>0</v>
      </c>
      <c r="W110" s="4">
        <f ca="1">_xll.DBRW($B$1,$B$2,$B$7,$B$3,$B$4,$B$5,$F110,$B$6,W$10,$A110,$B110)</f>
        <v>0</v>
      </c>
      <c r="X110" s="4">
        <f ca="1">_xll.DBRW($B$1,$B$2,$B$7,$B$3,$B$4,$B$5,$F110,$B$6,X$10,$A110,$B110)</f>
        <v>0</v>
      </c>
      <c r="Y110" s="4">
        <f ca="1">_xll.DBRW($B$1,$B$2,$B$7,$B$3,$B$4,$B$5,$F110,$B$6,Y$10,$A110,$B110)</f>
        <v>0</v>
      </c>
      <c r="Z110" s="4">
        <f ca="1">_xll.DBRW($B$1,$B$2,$B$7,$B$3,$B$4,$B$5,$F110,$B$6,Z$10,$A110,$B110)</f>
        <v>0</v>
      </c>
      <c r="AA110" s="4">
        <f ca="1">_xll.DBRW($B$1,$B$2,$B$7,$B$3,$B$4,$B$5,$F110,$B$6,AA$10,$A110,$B110)</f>
        <v>0</v>
      </c>
      <c r="AB110" s="4">
        <f ca="1">_xll.DBRW($B$1,$B$2,$B$7,$B$3,$B$4,$B$5,$F110,$B$6,AB$10,$A110,$B110)</f>
        <v>0</v>
      </c>
      <c r="AC110" s="4">
        <f ca="1">_xll.DBRW($B$1,$B$2,$B$7,$B$3,$B$4,$B$5,$F110,$B$6,AC$10,$A110,$B110)</f>
        <v>0</v>
      </c>
      <c r="AD110" s="4">
        <f ca="1">_xll.DBRW($B$1,$B$2,$B$7,$B$3,$B$4,$B$5,$F110,$B$6,AD$10,$A110,$B110)</f>
        <v>0</v>
      </c>
      <c r="AE110" s="4">
        <f ca="1">_xll.DBRW($B$1,$B$2,$B$7,$B$3,$B$4,$B$5,$F110,$B$6,AE$10,$A110,$B110)</f>
        <v>0</v>
      </c>
    </row>
    <row r="111" spans="1:31">
      <c r="A111" s="1" t="s">
        <v>152</v>
      </c>
      <c r="B111" s="5" t="s">
        <v>282</v>
      </c>
      <c r="C111" s="5" t="s">
        <v>283</v>
      </c>
      <c r="D111" s="5" t="s">
        <v>21</v>
      </c>
      <c r="E111" s="5" t="s">
        <v>284</v>
      </c>
      <c r="F111" s="5" t="s">
        <v>22</v>
      </c>
      <c r="G111" s="6"/>
      <c r="H111" s="6"/>
      <c r="I111" s="6"/>
      <c r="J111" s="6"/>
      <c r="K111" s="6"/>
      <c r="L111" s="4">
        <f ca="1">_xll.DBRW($B$1,$B$2,$B$7,$B$3,$B$4,$B$5,$F111,$B$6,L$10,$A111,$B111)</f>
        <v>0</v>
      </c>
      <c r="M111" s="4">
        <f ca="1">_xll.DBRW($B$1,$B$2,$B$7,$B$3,$B$4,$B$5,$F111,$B$6,M$10,$A111,$B111)</f>
        <v>0</v>
      </c>
      <c r="N111" s="4">
        <f ca="1">_xll.DBRW($B$1,$B$2,$B$7,$B$3,$B$4,$B$5,$F111,$B$6,N$10,$A111,$B111)</f>
        <v>0</v>
      </c>
      <c r="O111" s="4">
        <f ca="1">_xll.DBRW($B$1,$B$2,$B$7,$B$3,$B$4,$B$5,$F111,$B$6,O$10,$A111,$B111)</f>
        <v>0</v>
      </c>
      <c r="P111" s="4">
        <f ca="1">_xll.DBRW($B$1,$B$2,$B$7,$B$3,$B$4,$B$5,$F111,$B$6,P$10,$A111,$B111)</f>
        <v>0</v>
      </c>
      <c r="Q111" s="4">
        <f ca="1">_xll.DBRW($B$1,$B$2,$B$7,$B$3,$B$4,$B$5,$F111,$B$6,Q$10,$A111,$B111)</f>
        <v>1323545</v>
      </c>
      <c r="R111" s="4">
        <f ca="1">_xll.DBRW($B$1,$B$2,$B$7,$B$3,$B$4,$B$5,$F111,$B$6,R$10,$A111,$B111)</f>
        <v>7941270</v>
      </c>
      <c r="S111" s="4">
        <f ca="1">_xll.DBRW($B$1,$B$2,$B$7,$B$3,$B$4,$B$5,$F111,$B$6,S$10,$A111,$B111)</f>
        <v>8205979</v>
      </c>
      <c r="T111" s="4">
        <f ca="1">_xll.DBRW($B$1,$B$2,$B$7,$B$3,$B$4,$B$5,$F111,$B$6,T$10,$A111,$B111)</f>
        <v>8205979</v>
      </c>
      <c r="U111" s="4">
        <f ca="1">_xll.DBRW($B$1,$B$2,$B$7,$B$3,$B$4,$B$5,$F111,$B$6,U$10,$A111,$B111)</f>
        <v>7411852</v>
      </c>
      <c r="V111" s="4">
        <f ca="1">_xll.DBRW($B$1,$B$2,$B$7,$B$3,$B$4,$B$5,$F111,$B$6,V$10,$A111,$B111)</f>
        <v>7411852</v>
      </c>
      <c r="W111" s="4">
        <f ca="1">_xll.DBRW($B$1,$B$2,$B$7,$B$3,$B$4,$B$5,$F111,$B$6,W$10,$A111,$B111)</f>
        <v>0</v>
      </c>
      <c r="X111" s="4">
        <f ca="1">_xll.DBRW($B$1,$B$2,$B$7,$B$3,$B$4,$B$5,$F111,$B$6,X$10,$A111,$B111)</f>
        <v>0</v>
      </c>
      <c r="Y111" s="4">
        <f ca="1">_xll.DBRW($B$1,$B$2,$B$7,$B$3,$B$4,$B$5,$F111,$B$6,Y$10,$A111,$B111)</f>
        <v>0</v>
      </c>
      <c r="Z111" s="4">
        <f ca="1">_xll.DBRW($B$1,$B$2,$B$7,$B$3,$B$4,$B$5,$F111,$B$6,Z$10,$A111,$B111)</f>
        <v>0</v>
      </c>
      <c r="AA111" s="4">
        <f ca="1">_xll.DBRW($B$1,$B$2,$B$7,$B$3,$B$4,$B$5,$F111,$B$6,AA$10,$A111,$B111)</f>
        <v>0</v>
      </c>
      <c r="AB111" s="4">
        <f ca="1">_xll.DBRW($B$1,$B$2,$B$7,$B$3,$B$4,$B$5,$F111,$B$6,AB$10,$A111,$B111)</f>
        <v>0</v>
      </c>
      <c r="AC111" s="4">
        <f ca="1">_xll.DBRW($B$1,$B$2,$B$7,$B$3,$B$4,$B$5,$F111,$B$6,AC$10,$A111,$B111)</f>
        <v>1588254</v>
      </c>
      <c r="AD111" s="4">
        <f ca="1">_xll.DBRW($B$1,$B$2,$B$7,$B$3,$B$4,$B$5,$F111,$B$6,AD$10,$A111,$B111)</f>
        <v>7941270</v>
      </c>
      <c r="AE111" s="4">
        <f ca="1">_xll.DBRW($B$1,$B$2,$B$7,$B$3,$B$4,$B$5,$F111,$B$6,AE$10,$A111,$B111)</f>
        <v>8205979</v>
      </c>
    </row>
    <row r="112" spans="1:31">
      <c r="A112" s="1" t="s">
        <v>152</v>
      </c>
      <c r="B112" s="5" t="s">
        <v>285</v>
      </c>
      <c r="C112" s="5" t="s">
        <v>286</v>
      </c>
      <c r="D112" s="5" t="s">
        <v>284</v>
      </c>
      <c r="E112" s="5" t="s">
        <v>21</v>
      </c>
      <c r="F112" s="5" t="s">
        <v>22</v>
      </c>
      <c r="G112" s="6"/>
      <c r="H112" s="6"/>
      <c r="I112" s="6"/>
      <c r="J112" s="6"/>
      <c r="K112" s="6"/>
      <c r="L112" s="4">
        <f ca="1">_xll.DBRW($B$1,$B$2,$B$7,$B$3,$B$4,$B$5,$F112,$B$6,L$10,$A112,$B112)</f>
        <v>0</v>
      </c>
      <c r="M112" s="4">
        <f ca="1">_xll.DBRW($B$1,$B$2,$B$7,$B$3,$B$4,$B$5,$F112,$B$6,M$10,$A112,$B112)</f>
        <v>0</v>
      </c>
      <c r="N112" s="4">
        <f ca="1">_xll.DBRW($B$1,$B$2,$B$7,$B$3,$B$4,$B$5,$F112,$B$6,N$10,$A112,$B112)</f>
        <v>0</v>
      </c>
      <c r="O112" s="4">
        <f ca="1">_xll.DBRW($B$1,$B$2,$B$7,$B$3,$B$4,$B$5,$F112,$B$6,O$10,$A112,$B112)</f>
        <v>0</v>
      </c>
      <c r="P112" s="4">
        <f ca="1">_xll.DBRW($B$1,$B$2,$B$7,$B$3,$B$4,$B$5,$F112,$B$6,P$10,$A112,$B112)</f>
        <v>0</v>
      </c>
      <c r="Q112" s="4">
        <f ca="1">_xll.DBRW($B$1,$B$2,$B$7,$B$3,$B$4,$B$5,$F112,$B$6,Q$10,$A112,$B112)</f>
        <v>1323545</v>
      </c>
      <c r="R112" s="4">
        <f ca="1">_xll.DBRW($B$1,$B$2,$B$7,$B$3,$B$4,$B$5,$F112,$B$6,R$10,$A112,$B112)</f>
        <v>7941270</v>
      </c>
      <c r="S112" s="4">
        <f ca="1">_xll.DBRW($B$1,$B$2,$B$7,$B$3,$B$4,$B$5,$F112,$B$6,S$10,$A112,$B112)</f>
        <v>8205979</v>
      </c>
      <c r="T112" s="4">
        <f ca="1">_xll.DBRW($B$1,$B$2,$B$7,$B$3,$B$4,$B$5,$F112,$B$6,T$10,$A112,$B112)</f>
        <v>7941270</v>
      </c>
      <c r="U112" s="4">
        <f ca="1">_xll.DBRW($B$1,$B$2,$B$7,$B$3,$B$4,$B$5,$F112,$B$6,U$10,$A112,$B112)</f>
        <v>7411852</v>
      </c>
      <c r="V112" s="4">
        <f ca="1">_xll.DBRW($B$1,$B$2,$B$7,$B$3,$B$4,$B$5,$F112,$B$6,V$10,$A112,$B112)</f>
        <v>7676561</v>
      </c>
      <c r="W112" s="4">
        <f ca="1">_xll.DBRW($B$1,$B$2,$B$7,$B$3,$B$4,$B$5,$F112,$B$6,W$10,$A112,$B112)</f>
        <v>0</v>
      </c>
      <c r="X112" s="4">
        <f ca="1">_xll.DBRW($B$1,$B$2,$B$7,$B$3,$B$4,$B$5,$F112,$B$6,X$10,$A112,$B112)</f>
        <v>0</v>
      </c>
      <c r="Y112" s="4">
        <f ca="1">_xll.DBRW($B$1,$B$2,$B$7,$B$3,$B$4,$B$5,$F112,$B$6,Y$10,$A112,$B112)</f>
        <v>0</v>
      </c>
      <c r="Z112" s="4">
        <f ca="1">_xll.DBRW($B$1,$B$2,$B$7,$B$3,$B$4,$B$5,$F112,$B$6,Z$10,$A112,$B112)</f>
        <v>0</v>
      </c>
      <c r="AA112" s="4">
        <f ca="1">_xll.DBRW($B$1,$B$2,$B$7,$B$3,$B$4,$B$5,$F112,$B$6,AA$10,$A112,$B112)</f>
        <v>0</v>
      </c>
      <c r="AB112" s="4">
        <f ca="1">_xll.DBRW($B$1,$B$2,$B$7,$B$3,$B$4,$B$5,$F112,$B$6,AB$10,$A112,$B112)</f>
        <v>0</v>
      </c>
      <c r="AC112" s="4">
        <f ca="1">_xll.DBRW($B$1,$B$2,$B$7,$B$3,$B$4,$B$5,$F112,$B$6,AC$10,$A112,$B112)</f>
        <v>1323545</v>
      </c>
      <c r="AD112" s="4">
        <f ca="1">_xll.DBRW($B$1,$B$2,$B$7,$B$3,$B$4,$B$5,$F112,$B$6,AD$10,$A112,$B112)</f>
        <v>7941270</v>
      </c>
      <c r="AE112" s="4">
        <f ca="1">_xll.DBRW($B$1,$B$2,$B$7,$B$3,$B$4,$B$5,$F112,$B$6,AE$10,$A112,$B112)</f>
        <v>7676561</v>
      </c>
    </row>
    <row r="113" spans="1:31">
      <c r="A113" s="1" t="s">
        <v>152</v>
      </c>
      <c r="B113" s="5" t="s">
        <v>287</v>
      </c>
      <c r="C113" s="5" t="s">
        <v>288</v>
      </c>
      <c r="D113" s="5" t="s">
        <v>21</v>
      </c>
      <c r="E113" s="5" t="s">
        <v>289</v>
      </c>
      <c r="F113" s="5" t="s">
        <v>22</v>
      </c>
      <c r="G113" s="6"/>
      <c r="H113" s="6"/>
      <c r="I113" s="6"/>
      <c r="J113" s="6"/>
      <c r="K113" s="6"/>
      <c r="L113" s="4">
        <f ca="1">_xll.DBRW($B$1,$B$2,$B$7,$B$3,$B$4,$B$5,$F113,$B$6,L$10,$A113,$B113)</f>
        <v>0</v>
      </c>
      <c r="M113" s="4">
        <f ca="1">_xll.DBRW($B$1,$B$2,$B$7,$B$3,$B$4,$B$5,$F113,$B$6,M$10,$A113,$B113)</f>
        <v>0</v>
      </c>
      <c r="N113" s="4">
        <f ca="1">_xll.DBRW($B$1,$B$2,$B$7,$B$3,$B$4,$B$5,$F113,$B$6,N$10,$A113,$B113)</f>
        <v>0</v>
      </c>
      <c r="O113" s="4">
        <f ca="1">_xll.DBRW($B$1,$B$2,$B$7,$B$3,$B$4,$B$5,$F113,$B$6,O$10,$A113,$B113)</f>
        <v>0</v>
      </c>
      <c r="P113" s="4">
        <f ca="1">_xll.DBRW($B$1,$B$2,$B$7,$B$3,$B$4,$B$5,$F113,$B$6,P$10,$A113,$B113)</f>
        <v>0</v>
      </c>
      <c r="Q113" s="4">
        <f ca="1">_xll.DBRW($B$1,$B$2,$B$7,$B$3,$B$4,$B$5,$F113,$B$6,Q$10,$A113,$B113)</f>
        <v>1040445</v>
      </c>
      <c r="R113" s="4">
        <f ca="1">_xll.DBRW($B$1,$B$2,$B$7,$B$3,$B$4,$B$5,$F113,$B$6,R$10,$A113,$B113)</f>
        <v>5213235</v>
      </c>
      <c r="S113" s="4">
        <f ca="1">_xll.DBRW($B$1,$B$2,$B$7,$B$3,$B$4,$B$5,$F113,$B$6,S$10,$A113,$B113)</f>
        <v>5356365</v>
      </c>
      <c r="T113" s="4">
        <f ca="1">_xll.DBRW($B$1,$B$2,$B$7,$B$3,$B$4,$B$5,$F113,$B$6,T$10,$A113,$B113)</f>
        <v>5290305</v>
      </c>
      <c r="U113" s="4">
        <f ca="1">_xll.DBRW($B$1,$B$2,$B$7,$B$3,$B$4,$B$5,$F113,$B$6,U$10,$A113,$B113)</f>
        <v>4778340</v>
      </c>
      <c r="V113" s="4">
        <f ca="1">_xll.DBRW($B$1,$B$2,$B$7,$B$3,$B$4,$B$5,$F113,$B$6,V$10,$A113,$B113)</f>
        <v>4948995</v>
      </c>
      <c r="W113" s="4">
        <f ca="1">_xll.DBRW($B$1,$B$2,$B$7,$B$3,$B$4,$B$5,$F113,$B$6,W$10,$A113,$B113)</f>
        <v>0</v>
      </c>
      <c r="X113" s="4">
        <f ca="1">_xll.DBRW($B$1,$B$2,$B$7,$B$3,$B$4,$B$5,$F113,$B$6,X$10,$A113,$B113)</f>
        <v>0</v>
      </c>
      <c r="Y113" s="4">
        <f ca="1">_xll.DBRW($B$1,$B$2,$B$7,$B$3,$B$4,$B$5,$F113,$B$6,Y$10,$A113,$B113)</f>
        <v>0</v>
      </c>
      <c r="Z113" s="4">
        <f ca="1">_xll.DBRW($B$1,$B$2,$B$7,$B$3,$B$4,$B$5,$F113,$B$6,Z$10,$A113,$B113)</f>
        <v>0</v>
      </c>
      <c r="AA113" s="4">
        <f ca="1">_xll.DBRW($B$1,$B$2,$B$7,$B$3,$B$4,$B$5,$F113,$B$6,AA$10,$A113,$B113)</f>
        <v>0</v>
      </c>
      <c r="AB113" s="4">
        <f ca="1">_xll.DBRW($B$1,$B$2,$B$7,$B$3,$B$4,$B$5,$F113,$B$6,AB$10,$A113,$B113)</f>
        <v>0</v>
      </c>
      <c r="AC113" s="4">
        <f ca="1">_xll.DBRW($B$1,$B$2,$B$7,$B$3,$B$4,$B$5,$F113,$B$6,AC$10,$A113,$B113)</f>
        <v>1023930</v>
      </c>
      <c r="AD113" s="4">
        <f ca="1">_xll.DBRW($B$1,$B$2,$B$7,$B$3,$B$4,$B$5,$F113,$B$6,AD$10,$A113,$B113)</f>
        <v>5119650</v>
      </c>
      <c r="AE113" s="4">
        <f ca="1">_xll.DBRW($B$1,$B$2,$B$7,$B$3,$B$4,$B$5,$F113,$B$6,AE$10,$A113,$B113)</f>
        <v>5290305</v>
      </c>
    </row>
    <row r="114" spans="1:31">
      <c r="A114" s="1" t="s">
        <v>152</v>
      </c>
      <c r="B114" s="5" t="s">
        <v>290</v>
      </c>
      <c r="C114" s="5" t="s">
        <v>291</v>
      </c>
      <c r="D114" s="5" t="s">
        <v>289</v>
      </c>
      <c r="E114" s="5" t="s">
        <v>21</v>
      </c>
      <c r="F114" s="5" t="s">
        <v>22</v>
      </c>
      <c r="G114" s="6"/>
      <c r="H114" s="6"/>
      <c r="I114" s="6"/>
      <c r="J114" s="6"/>
      <c r="K114" s="6"/>
      <c r="L114" s="4">
        <f ca="1">_xll.DBRW($B$1,$B$2,$B$7,$B$3,$B$4,$B$5,$F114,$B$6,L$10,$A114,$B114)</f>
        <v>0</v>
      </c>
      <c r="M114" s="4">
        <f ca="1">_xll.DBRW($B$1,$B$2,$B$7,$B$3,$B$4,$B$5,$F114,$B$6,M$10,$A114,$B114)</f>
        <v>0</v>
      </c>
      <c r="N114" s="4">
        <f ca="1">_xll.DBRW($B$1,$B$2,$B$7,$B$3,$B$4,$B$5,$F114,$B$6,N$10,$A114,$B114)</f>
        <v>0</v>
      </c>
      <c r="O114" s="4">
        <f ca="1">_xll.DBRW($B$1,$B$2,$B$7,$B$3,$B$4,$B$5,$F114,$B$6,O$10,$A114,$B114)</f>
        <v>0</v>
      </c>
      <c r="P114" s="4">
        <f ca="1">_xll.DBRW($B$1,$B$2,$B$7,$B$3,$B$4,$B$5,$F114,$B$6,P$10,$A114,$B114)</f>
        <v>0</v>
      </c>
      <c r="Q114" s="4">
        <f ca="1">_xll.DBRW($B$1,$B$2,$B$7,$B$3,$B$4,$B$5,$F114,$B$6,Q$10,$A114,$B114)</f>
        <v>699135</v>
      </c>
      <c r="R114" s="4">
        <f ca="1">_xll.DBRW($B$1,$B$2,$B$7,$B$3,$B$4,$B$5,$F114,$B$6,R$10,$A114,$B114)</f>
        <v>5213235</v>
      </c>
      <c r="S114" s="4">
        <f ca="1">_xll.DBRW($B$1,$B$2,$B$7,$B$3,$B$4,$B$5,$F114,$B$6,S$10,$A114,$B114)</f>
        <v>5356365</v>
      </c>
      <c r="T114" s="4">
        <f ca="1">_xll.DBRW($B$1,$B$2,$B$7,$B$3,$B$4,$B$5,$F114,$B$6,T$10,$A114,$B114)</f>
        <v>5290305</v>
      </c>
      <c r="U114" s="4">
        <f ca="1">_xll.DBRW($B$1,$B$2,$B$7,$B$3,$B$4,$B$5,$F114,$B$6,U$10,$A114,$B114)</f>
        <v>4778340</v>
      </c>
      <c r="V114" s="4">
        <f ca="1">_xll.DBRW($B$1,$B$2,$B$7,$B$3,$B$4,$B$5,$F114,$B$6,V$10,$A114,$B114)</f>
        <v>4948995</v>
      </c>
      <c r="W114" s="4">
        <f ca="1">_xll.DBRW($B$1,$B$2,$B$7,$B$3,$B$4,$B$5,$F114,$B$6,W$10,$A114,$B114)</f>
        <v>0</v>
      </c>
      <c r="X114" s="4">
        <f ca="1">_xll.DBRW($B$1,$B$2,$B$7,$B$3,$B$4,$B$5,$F114,$B$6,X$10,$A114,$B114)</f>
        <v>0</v>
      </c>
      <c r="Y114" s="4">
        <f ca="1">_xll.DBRW($B$1,$B$2,$B$7,$B$3,$B$4,$B$5,$F114,$B$6,Y$10,$A114,$B114)</f>
        <v>0</v>
      </c>
      <c r="Z114" s="4">
        <f ca="1">_xll.DBRW($B$1,$B$2,$B$7,$B$3,$B$4,$B$5,$F114,$B$6,Z$10,$A114,$B114)</f>
        <v>0</v>
      </c>
      <c r="AA114" s="4">
        <f ca="1">_xll.DBRW($B$1,$B$2,$B$7,$B$3,$B$4,$B$5,$F114,$B$6,AA$10,$A114,$B114)</f>
        <v>0</v>
      </c>
      <c r="AB114" s="4">
        <f ca="1">_xll.DBRW($B$1,$B$2,$B$7,$B$3,$B$4,$B$5,$F114,$B$6,AB$10,$A114,$B114)</f>
        <v>0</v>
      </c>
      <c r="AC114" s="4">
        <f ca="1">_xll.DBRW($B$1,$B$2,$B$7,$B$3,$B$4,$B$5,$F114,$B$6,AC$10,$A114,$B114)</f>
        <v>1023930</v>
      </c>
      <c r="AD114" s="4">
        <f ca="1">_xll.DBRW($B$1,$B$2,$B$7,$B$3,$B$4,$B$5,$F114,$B$6,AD$10,$A114,$B114)</f>
        <v>5119650</v>
      </c>
      <c r="AE114" s="4">
        <f ca="1">_xll.DBRW($B$1,$B$2,$B$7,$B$3,$B$4,$B$5,$F114,$B$6,AE$10,$A114,$B114)</f>
        <v>5290305</v>
      </c>
    </row>
    <row r="115" spans="1:31">
      <c r="A115" s="1" t="s">
        <v>152</v>
      </c>
      <c r="B115" s="5" t="s">
        <v>292</v>
      </c>
      <c r="C115" s="5" t="s">
        <v>293</v>
      </c>
      <c r="D115" s="5" t="s">
        <v>21</v>
      </c>
      <c r="E115" s="5" t="s">
        <v>294</v>
      </c>
      <c r="F115" s="5" t="s">
        <v>22</v>
      </c>
      <c r="G115" s="6"/>
      <c r="H115" s="6"/>
      <c r="I115" s="6"/>
      <c r="J115" s="6"/>
      <c r="K115" s="6"/>
      <c r="L115" s="4">
        <f ca="1">_xll.DBRW($B$1,$B$2,$B$7,$B$3,$B$4,$B$5,$F115,$B$6,L$10,$A115,$B115)</f>
        <v>6342290</v>
      </c>
      <c r="M115" s="4">
        <f ca="1">_xll.DBRW($B$1,$B$2,$B$7,$B$3,$B$4,$B$5,$F115,$B$6,M$10,$A115,$B115)</f>
        <v>6327320</v>
      </c>
      <c r="N115" s="4">
        <f ca="1">_xll.DBRW($B$1,$B$2,$B$7,$B$3,$B$4,$B$5,$F115,$B$6,N$10,$A115,$B115)</f>
        <v>6546880</v>
      </c>
      <c r="O115" s="4">
        <f ca="1">_xll.DBRW($B$1,$B$2,$B$7,$B$3,$B$4,$B$5,$F115,$B$6,O$10,$A115,$B115)</f>
        <v>6352270</v>
      </c>
      <c r="P115" s="4">
        <f ca="1">_xll.DBRW($B$1,$B$2,$B$7,$B$3,$B$4,$B$5,$F115,$B$6,P$10,$A115,$B115)</f>
        <v>6327320</v>
      </c>
      <c r="Q115" s="4">
        <f ca="1">_xll.DBRW($B$1,$B$2,$B$7,$B$3,$B$4,$B$5,$F115,$B$6,Q$10,$A115,$B115)</f>
        <v>5848280</v>
      </c>
      <c r="R115" s="4">
        <f ca="1">_xll.DBRW($B$1,$B$2,$B$7,$B$3,$B$4,$B$5,$F115,$B$6,R$10,$A115,$B115)</f>
        <v>2534920</v>
      </c>
      <c r="S115" s="4">
        <f ca="1">_xll.DBRW($B$1,$B$2,$B$7,$B$3,$B$4,$B$5,$F115,$B$6,S$10,$A115,$B115)</f>
        <v>2754480</v>
      </c>
      <c r="T115" s="4">
        <f ca="1">_xll.DBRW($B$1,$B$2,$B$7,$B$3,$B$4,$B$5,$F115,$B$6,T$10,$A115,$B115)</f>
        <v>6247480</v>
      </c>
      <c r="U115" s="4">
        <f ca="1">_xll.DBRW($B$1,$B$2,$B$7,$B$3,$B$4,$B$5,$F115,$B$6,U$10,$A115,$B115)</f>
        <v>5588800</v>
      </c>
      <c r="V115" s="4">
        <f ca="1">_xll.DBRW($B$1,$B$2,$B$7,$B$3,$B$4,$B$5,$F115,$B$6,V$10,$A115,$B115)</f>
        <v>6117740</v>
      </c>
      <c r="W115" s="4">
        <f ca="1">_xll.DBRW($B$1,$B$2,$B$7,$B$3,$B$4,$B$5,$F115,$B$6,W$10,$A115,$B115)</f>
        <v>4640700</v>
      </c>
      <c r="X115" s="4">
        <f ca="1">_xll.DBRW($B$1,$B$2,$B$7,$B$3,$B$4,$B$5,$F115,$B$6,X$10,$A115,$B115)</f>
        <v>4795390</v>
      </c>
      <c r="Y115" s="4">
        <f ca="1">_xll.DBRW($B$1,$B$2,$B$7,$B$3,$B$4,$B$5,$F115,$B$6,Y$10,$A115,$B115)</f>
        <v>4640700</v>
      </c>
      <c r="Z115" s="4">
        <f ca="1">_xll.DBRW($B$1,$B$2,$B$7,$B$3,$B$4,$B$5,$F115,$B$6,Z$10,$A115,$B115)</f>
        <v>4795390</v>
      </c>
      <c r="AA115" s="4">
        <f ca="1">_xll.DBRW($B$1,$B$2,$B$7,$B$3,$B$4,$B$5,$F115,$B$6,AA$10,$A115,$B115)</f>
        <v>4795390</v>
      </c>
      <c r="AB115" s="4">
        <f ca="1">_xll.DBRW($B$1,$B$2,$B$7,$B$3,$B$4,$B$5,$F115,$B$6,AB$10,$A115,$B115)</f>
        <v>4640700</v>
      </c>
      <c r="AC115" s="4">
        <f ca="1">_xll.DBRW($B$1,$B$2,$B$7,$B$3,$B$4,$B$5,$F115,$B$6,AC$10,$A115,$B115)</f>
        <v>5044890</v>
      </c>
      <c r="AD115" s="4">
        <f ca="1">_xll.DBRW($B$1,$B$2,$B$7,$B$3,$B$4,$B$5,$F115,$B$6,AD$10,$A115,$B115)</f>
        <v>6027920</v>
      </c>
      <c r="AE115" s="4">
        <f ca="1">_xll.DBRW($B$1,$B$2,$B$7,$B$3,$B$4,$B$5,$F115,$B$6,AE$10,$A115,$B115)</f>
        <v>6107760</v>
      </c>
    </row>
    <row r="116" spans="1:31">
      <c r="A116" s="1" t="s">
        <v>152</v>
      </c>
      <c r="B116" s="5" t="s">
        <v>295</v>
      </c>
      <c r="C116" s="5" t="s">
        <v>296</v>
      </c>
      <c r="D116" s="5" t="s">
        <v>294</v>
      </c>
      <c r="E116" s="5" t="s">
        <v>21</v>
      </c>
      <c r="F116" s="5" t="s">
        <v>22</v>
      </c>
      <c r="G116" s="6"/>
      <c r="H116" s="6"/>
      <c r="I116" s="6"/>
      <c r="J116" s="6"/>
      <c r="K116" s="6"/>
      <c r="L116" s="4">
        <f ca="1">_xll.DBRW($B$1,$B$2,$B$7,$B$3,$B$4,$B$5,$F116,$B$6,L$10,$A116,$B116)</f>
        <v>6407160</v>
      </c>
      <c r="M116" s="4">
        <f ca="1">_xll.DBRW($B$1,$B$2,$B$7,$B$3,$B$4,$B$5,$F116,$B$6,M$10,$A116,$B116)</f>
        <v>6262450</v>
      </c>
      <c r="N116" s="4">
        <f ca="1">_xll.DBRW($B$1,$B$2,$B$7,$B$3,$B$4,$B$5,$F116,$B$6,N$10,$A116,$B116)</f>
        <v>6546880</v>
      </c>
      <c r="O116" s="4">
        <f ca="1">_xll.DBRW($B$1,$B$2,$B$7,$B$3,$B$4,$B$5,$F116,$B$6,O$10,$A116,$B116)</f>
        <v>6352270</v>
      </c>
      <c r="P116" s="4">
        <f ca="1">_xll.DBRW($B$1,$B$2,$B$7,$B$3,$B$4,$B$5,$F116,$B$6,P$10,$A116,$B116)</f>
        <v>6327320</v>
      </c>
      <c r="Q116" s="4">
        <f ca="1">_xll.DBRW($B$1,$B$2,$B$7,$B$3,$B$4,$B$5,$F116,$B$6,Q$10,$A116,$B116)</f>
        <v>5848280</v>
      </c>
      <c r="R116" s="4">
        <f ca="1">_xll.DBRW($B$1,$B$2,$B$7,$B$3,$B$4,$B$5,$F116,$B$6,R$10,$A116,$B116)</f>
        <v>2534920</v>
      </c>
      <c r="S116" s="4">
        <f ca="1">_xll.DBRW($B$1,$B$2,$B$7,$B$3,$B$4,$B$5,$F116,$B$6,S$10,$A116,$B116)</f>
        <v>2754480</v>
      </c>
      <c r="T116" s="4">
        <f ca="1">_xll.DBRW($B$1,$B$2,$B$7,$B$3,$B$4,$B$5,$F116,$B$6,T$10,$A116,$B116)</f>
        <v>6107760</v>
      </c>
      <c r="U116" s="4">
        <f ca="1">_xll.DBRW($B$1,$B$2,$B$7,$B$3,$B$4,$B$5,$F116,$B$6,U$10,$A116,$B116)</f>
        <v>5588800</v>
      </c>
      <c r="V116" s="4">
        <f ca="1">_xll.DBRW($B$1,$B$2,$B$7,$B$3,$B$4,$B$5,$F116,$B$6,V$10,$A116,$B116)</f>
        <v>6117740</v>
      </c>
      <c r="W116" s="4">
        <f ca="1">_xll.DBRW($B$1,$B$2,$B$7,$B$3,$B$4,$B$5,$F116,$B$6,W$10,$A116,$B116)</f>
        <v>4640700</v>
      </c>
      <c r="X116" s="4">
        <f ca="1">_xll.DBRW($B$1,$B$2,$B$7,$B$3,$B$4,$B$5,$F116,$B$6,X$10,$A116,$B116)</f>
        <v>4795390</v>
      </c>
      <c r="Y116" s="4">
        <f ca="1">_xll.DBRW($B$1,$B$2,$B$7,$B$3,$B$4,$B$5,$F116,$B$6,Y$10,$A116,$B116)</f>
        <v>4640700</v>
      </c>
      <c r="Z116" s="4">
        <f ca="1">_xll.DBRW($B$1,$B$2,$B$7,$B$3,$B$4,$B$5,$F116,$B$6,Z$10,$A116,$B116)</f>
        <v>4795390</v>
      </c>
      <c r="AA116" s="4">
        <f ca="1">_xll.DBRW($B$1,$B$2,$B$7,$B$3,$B$4,$B$5,$F116,$B$6,AA$10,$A116,$B116)</f>
        <v>4795390</v>
      </c>
      <c r="AB116" s="4">
        <f ca="1">_xll.DBRW($B$1,$B$2,$B$7,$B$3,$B$4,$B$5,$F116,$B$6,AB$10,$A116,$B116)</f>
        <v>4640700</v>
      </c>
      <c r="AC116" s="4">
        <f ca="1">_xll.DBRW($B$1,$B$2,$B$7,$B$3,$B$4,$B$5,$F116,$B$6,AC$10,$A116,$B116)</f>
        <v>5044890</v>
      </c>
      <c r="AD116" s="4">
        <f ca="1">_xll.DBRW($B$1,$B$2,$B$7,$B$3,$B$4,$B$5,$F116,$B$6,AD$10,$A116,$B116)</f>
        <v>6027920</v>
      </c>
      <c r="AE116" s="4">
        <f ca="1">_xll.DBRW($B$1,$B$2,$B$7,$B$3,$B$4,$B$5,$F116,$B$6,AE$10,$A116,$B116)</f>
        <v>6107760</v>
      </c>
    </row>
    <row r="117" spans="1:31">
      <c r="A117" s="1" t="s">
        <v>152</v>
      </c>
      <c r="B117" s="5" t="s">
        <v>297</v>
      </c>
      <c r="C117" s="5" t="s">
        <v>298</v>
      </c>
      <c r="D117" s="5" t="s">
        <v>21</v>
      </c>
      <c r="E117" s="5" t="s">
        <v>299</v>
      </c>
      <c r="F117" s="5" t="s">
        <v>22</v>
      </c>
      <c r="G117" s="6"/>
      <c r="H117" s="6"/>
      <c r="I117" s="6"/>
      <c r="J117" s="6"/>
      <c r="K117" s="6"/>
      <c r="L117" s="4">
        <f ca="1">_xll.DBRW($B$1,$B$2,$B$7,$B$3,$B$4,$B$5,$F117,$B$6,L$10,$A117,$B117)</f>
        <v>8692245</v>
      </c>
      <c r="M117" s="4">
        <f ca="1">_xll.DBRW($B$1,$B$2,$B$7,$B$3,$B$4,$B$5,$F117,$B$6,M$10,$A117,$B117)</f>
        <v>8411850</v>
      </c>
      <c r="N117" s="4">
        <f ca="1">_xll.DBRW($B$1,$B$2,$B$7,$B$3,$B$4,$B$5,$F117,$B$6,N$10,$A117,$B117)</f>
        <v>8692245</v>
      </c>
      <c r="O117" s="4">
        <f ca="1">_xll.DBRW($B$1,$B$2,$B$7,$B$3,$B$4,$B$5,$F117,$B$6,O$10,$A117,$B117)</f>
        <v>8692245</v>
      </c>
      <c r="P117" s="4">
        <f ca="1">_xll.DBRW($B$1,$B$2,$B$7,$B$3,$B$4,$B$5,$F117,$B$6,P$10,$A117,$B117)</f>
        <v>8411850</v>
      </c>
      <c r="Q117" s="4">
        <f ca="1">_xll.DBRW($B$1,$B$2,$B$7,$B$3,$B$4,$B$5,$F117,$B$6,Q$10,$A117,$B117)</f>
        <v>8692245</v>
      </c>
      <c r="R117" s="4">
        <f ca="1">_xll.DBRW($B$1,$B$2,$B$7,$B$3,$B$4,$B$5,$F117,$B$6,R$10,$A117,$B117)</f>
        <v>8411850</v>
      </c>
      <c r="S117" s="4">
        <f ca="1">_xll.DBRW($B$1,$B$2,$B$7,$B$3,$B$4,$B$5,$F117,$B$6,S$10,$A117,$B117)</f>
        <v>8692245</v>
      </c>
      <c r="T117" s="4">
        <f ca="1">_xll.DBRW($B$1,$B$2,$B$7,$B$3,$B$4,$B$5,$F117,$B$6,T$10,$A117,$B117)</f>
        <v>8692245</v>
      </c>
      <c r="U117" s="4">
        <f ca="1">_xll.DBRW($B$1,$B$2,$B$7,$B$3,$B$4,$B$5,$F117,$B$6,U$10,$A117,$B117)</f>
        <v>7851060</v>
      </c>
      <c r="V117" s="4">
        <f ca="1">_xll.DBRW($B$1,$B$2,$B$7,$B$3,$B$4,$B$5,$F117,$B$6,V$10,$A117,$B117)</f>
        <v>8692245</v>
      </c>
      <c r="W117" s="4">
        <f ca="1">_xll.DBRW($B$1,$B$2,$B$7,$B$3,$B$4,$B$5,$F117,$B$6,W$10,$A117,$B117)</f>
        <v>8411850</v>
      </c>
      <c r="X117" s="4">
        <f ca="1">_xll.DBRW($B$1,$B$2,$B$7,$B$3,$B$4,$B$5,$F117,$B$6,X$10,$A117,$B117)</f>
        <v>8692245</v>
      </c>
      <c r="Y117" s="4">
        <f ca="1">_xll.DBRW($B$1,$B$2,$B$7,$B$3,$B$4,$B$5,$F117,$B$6,Y$10,$A117,$B117)</f>
        <v>8411850</v>
      </c>
      <c r="Z117" s="4">
        <f ca="1">_xll.DBRW($B$1,$B$2,$B$7,$B$3,$B$4,$B$5,$F117,$B$6,Z$10,$A117,$B117)</f>
        <v>8692245</v>
      </c>
      <c r="AA117" s="4">
        <f ca="1">_xll.DBRW($B$1,$B$2,$B$7,$B$3,$B$4,$B$5,$F117,$B$6,AA$10,$A117,$B117)</f>
        <v>8692245</v>
      </c>
      <c r="AB117" s="4">
        <f ca="1">_xll.DBRW($B$1,$B$2,$B$7,$B$3,$B$4,$B$5,$F117,$B$6,AB$10,$A117,$B117)</f>
        <v>8411850</v>
      </c>
      <c r="AC117" s="4">
        <f ca="1">_xll.DBRW($B$1,$B$2,$B$7,$B$3,$B$4,$B$5,$F117,$B$6,AC$10,$A117,$B117)</f>
        <v>8692245</v>
      </c>
      <c r="AD117" s="4">
        <f ca="1">_xll.DBRW($B$1,$B$2,$B$7,$B$3,$B$4,$B$5,$F117,$B$6,AD$10,$A117,$B117)</f>
        <v>8411850</v>
      </c>
      <c r="AE117" s="4">
        <f ca="1">_xll.DBRW($B$1,$B$2,$B$7,$B$3,$B$4,$B$5,$F117,$B$6,AE$10,$A117,$B117)</f>
        <v>8692245</v>
      </c>
    </row>
    <row r="118" spans="1:31">
      <c r="A118" s="1" t="s">
        <v>152</v>
      </c>
      <c r="B118" s="5" t="s">
        <v>300</v>
      </c>
      <c r="C118" s="5" t="s">
        <v>301</v>
      </c>
      <c r="D118" s="5" t="s">
        <v>299</v>
      </c>
      <c r="E118" s="5" t="s">
        <v>21</v>
      </c>
      <c r="F118" s="5" t="s">
        <v>22</v>
      </c>
      <c r="G118" s="6"/>
      <c r="H118" s="6"/>
      <c r="I118" s="6"/>
      <c r="J118" s="6"/>
      <c r="K118" s="6"/>
      <c r="L118" s="4">
        <f ca="1">_xll.DBRW($B$1,$B$2,$B$7,$B$3,$B$4,$B$5,$F118,$B$6,L$10,$A118,$B118)</f>
        <v>8692245</v>
      </c>
      <c r="M118" s="4">
        <f ca="1">_xll.DBRW($B$1,$B$2,$B$7,$B$3,$B$4,$B$5,$F118,$B$6,M$10,$A118,$B118)</f>
        <v>8411850</v>
      </c>
      <c r="N118" s="4">
        <f ca="1">_xll.DBRW($B$1,$B$2,$B$7,$B$3,$B$4,$B$5,$F118,$B$6,N$10,$A118,$B118)</f>
        <v>8692245</v>
      </c>
      <c r="O118" s="4">
        <f ca="1">_xll.DBRW($B$1,$B$2,$B$7,$B$3,$B$4,$B$5,$F118,$B$6,O$10,$A118,$B118)</f>
        <v>8692245</v>
      </c>
      <c r="P118" s="4">
        <f ca="1">_xll.DBRW($B$1,$B$2,$B$7,$B$3,$B$4,$B$5,$F118,$B$6,P$10,$A118,$B118)</f>
        <v>8411850</v>
      </c>
      <c r="Q118" s="4">
        <f ca="1">_xll.DBRW($B$1,$B$2,$B$7,$B$3,$B$4,$B$5,$F118,$B$6,Q$10,$A118,$B118)</f>
        <v>8692245</v>
      </c>
      <c r="R118" s="4">
        <f ca="1">_xll.DBRW($B$1,$B$2,$B$7,$B$3,$B$4,$B$5,$F118,$B$6,R$10,$A118,$B118)</f>
        <v>8411850</v>
      </c>
      <c r="S118" s="4">
        <f ca="1">_xll.DBRW($B$1,$B$2,$B$7,$B$3,$B$4,$B$5,$F118,$B$6,S$10,$A118,$B118)</f>
        <v>8692245</v>
      </c>
      <c r="T118" s="4">
        <f ca="1">_xll.DBRW($B$1,$B$2,$B$7,$B$3,$B$4,$B$5,$F118,$B$6,T$10,$A118,$B118)</f>
        <v>8692245</v>
      </c>
      <c r="U118" s="4">
        <f ca="1">_xll.DBRW($B$1,$B$2,$B$7,$B$3,$B$4,$B$5,$F118,$B$6,U$10,$A118,$B118)</f>
        <v>7851060</v>
      </c>
      <c r="V118" s="4">
        <f ca="1">_xll.DBRW($B$1,$B$2,$B$7,$B$3,$B$4,$B$5,$F118,$B$6,V$10,$A118,$B118)</f>
        <v>8692245</v>
      </c>
      <c r="W118" s="4">
        <f ca="1">_xll.DBRW($B$1,$B$2,$B$7,$B$3,$B$4,$B$5,$F118,$B$6,W$10,$A118,$B118)</f>
        <v>8411850</v>
      </c>
      <c r="X118" s="4">
        <f ca="1">_xll.DBRW($B$1,$B$2,$B$7,$B$3,$B$4,$B$5,$F118,$B$6,X$10,$A118,$B118)</f>
        <v>8692245</v>
      </c>
      <c r="Y118" s="4">
        <f ca="1">_xll.DBRW($B$1,$B$2,$B$7,$B$3,$B$4,$B$5,$F118,$B$6,Y$10,$A118,$B118)</f>
        <v>8411850</v>
      </c>
      <c r="Z118" s="4">
        <f ca="1">_xll.DBRW($B$1,$B$2,$B$7,$B$3,$B$4,$B$5,$F118,$B$6,Z$10,$A118,$B118)</f>
        <v>8692245</v>
      </c>
      <c r="AA118" s="4">
        <f ca="1">_xll.DBRW($B$1,$B$2,$B$7,$B$3,$B$4,$B$5,$F118,$B$6,AA$10,$A118,$B118)</f>
        <v>8692245</v>
      </c>
      <c r="AB118" s="4">
        <f ca="1">_xll.DBRW($B$1,$B$2,$B$7,$B$3,$B$4,$B$5,$F118,$B$6,AB$10,$A118,$B118)</f>
        <v>8411850</v>
      </c>
      <c r="AC118" s="4">
        <f ca="1">_xll.DBRW($B$1,$B$2,$B$7,$B$3,$B$4,$B$5,$F118,$B$6,AC$10,$A118,$B118)</f>
        <v>8692245</v>
      </c>
      <c r="AD118" s="4">
        <f ca="1">_xll.DBRW($B$1,$B$2,$B$7,$B$3,$B$4,$B$5,$F118,$B$6,AD$10,$A118,$B118)</f>
        <v>8411850</v>
      </c>
      <c r="AE118" s="4">
        <f ca="1">_xll.DBRW($B$1,$B$2,$B$7,$B$3,$B$4,$B$5,$F118,$B$6,AE$10,$A118,$B118)</f>
        <v>8692245</v>
      </c>
    </row>
    <row r="119" spans="1:31">
      <c r="A119" s="1" t="s">
        <v>152</v>
      </c>
      <c r="B119" s="5" t="s">
        <v>302</v>
      </c>
      <c r="C119" s="5" t="s">
        <v>303</v>
      </c>
      <c r="D119" s="5" t="s">
        <v>21</v>
      </c>
      <c r="E119" s="5" t="s">
        <v>304</v>
      </c>
      <c r="F119" s="5" t="s">
        <v>22</v>
      </c>
      <c r="G119" s="6"/>
      <c r="H119" s="6"/>
      <c r="I119" s="6"/>
      <c r="J119" s="6"/>
      <c r="K119" s="6"/>
      <c r="L119" s="4">
        <f ca="1">_xll.DBRW($B$1,$B$2,$B$7,$B$3,$B$4,$B$5,$F119,$B$6,L$10,$A119,$B119)</f>
        <v>0</v>
      </c>
      <c r="M119" s="4">
        <f ca="1">_xll.DBRW($B$1,$B$2,$B$7,$B$3,$B$4,$B$5,$F119,$B$6,M$10,$A119,$B119)</f>
        <v>0</v>
      </c>
      <c r="N119" s="4">
        <f ca="1">_xll.DBRW($B$1,$B$2,$B$7,$B$3,$B$4,$B$5,$F119,$B$6,N$10,$A119,$B119)</f>
        <v>0</v>
      </c>
      <c r="O119" s="4">
        <f ca="1">_xll.DBRW($B$1,$B$2,$B$7,$B$3,$B$4,$B$5,$F119,$B$6,O$10,$A119,$B119)</f>
        <v>0</v>
      </c>
      <c r="P119" s="4">
        <f ca="1">_xll.DBRW($B$1,$B$2,$B$7,$B$3,$B$4,$B$5,$F119,$B$6,P$10,$A119,$B119)</f>
        <v>2910330</v>
      </c>
      <c r="Q119" s="4">
        <f ca="1">_xll.DBRW($B$1,$B$2,$B$7,$B$3,$B$4,$B$5,$F119,$B$6,Q$10,$A119,$B119)</f>
        <v>3456466</v>
      </c>
      <c r="R119" s="4">
        <f ca="1">_xll.DBRW($B$1,$B$2,$B$7,$B$3,$B$4,$B$5,$F119,$B$6,R$10,$A119,$B119)</f>
        <v>3341490</v>
      </c>
      <c r="S119" s="4">
        <f ca="1">_xll.DBRW($B$1,$B$2,$B$7,$B$3,$B$4,$B$5,$F119,$B$6,S$10,$A119,$B119)</f>
        <v>3467245</v>
      </c>
      <c r="T119" s="4">
        <f ca="1">_xll.DBRW($B$1,$B$2,$B$7,$B$3,$B$4,$B$5,$F119,$B$6,T$10,$A119,$B119)</f>
        <v>3452873</v>
      </c>
      <c r="U119" s="4">
        <f ca="1">_xll.DBRW($B$1,$B$2,$B$7,$B$3,$B$4,$B$5,$F119,$B$6,U$10,$A119,$B119)</f>
        <v>3118724</v>
      </c>
      <c r="V119" s="4">
        <f ca="1">_xll.DBRW($B$1,$B$2,$B$7,$B$3,$B$4,$B$5,$F119,$B$6,V$10,$A119,$B119)</f>
        <v>3452873</v>
      </c>
      <c r="W119" s="4">
        <f ca="1">_xll.DBRW($B$1,$B$2,$B$7,$B$3,$B$4,$B$5,$F119,$B$6,W$10,$A119,$B119)</f>
        <v>3341490</v>
      </c>
      <c r="X119" s="4">
        <f ca="1">_xll.DBRW($B$1,$B$2,$B$7,$B$3,$B$4,$B$5,$F119,$B$6,X$10,$A119,$B119)</f>
        <v>3452873</v>
      </c>
      <c r="Y119" s="4">
        <f ca="1">_xll.DBRW($B$1,$B$2,$B$7,$B$3,$B$4,$B$5,$F119,$B$6,Y$10,$A119,$B119)</f>
        <v>3341490</v>
      </c>
      <c r="Z119" s="4">
        <f ca="1">_xll.DBRW($B$1,$B$2,$B$7,$B$3,$B$4,$B$5,$F119,$B$6,Z$10,$A119,$B119)</f>
        <v>3452873</v>
      </c>
      <c r="AA119" s="4">
        <f ca="1">_xll.DBRW($B$1,$B$2,$B$7,$B$3,$B$4,$B$5,$F119,$B$6,AA$10,$A119,$B119)</f>
        <v>3452873</v>
      </c>
      <c r="AB119" s="4">
        <f ca="1">_xll.DBRW($B$1,$B$2,$B$7,$B$3,$B$4,$B$5,$F119,$B$6,AB$10,$A119,$B119)</f>
        <v>3341490</v>
      </c>
      <c r="AC119" s="4">
        <f ca="1">_xll.DBRW($B$1,$B$2,$B$7,$B$3,$B$4,$B$5,$F119,$B$6,AC$10,$A119,$B119)</f>
        <v>3452873</v>
      </c>
      <c r="AD119" s="4">
        <f ca="1">_xll.DBRW($B$1,$B$2,$B$7,$B$3,$B$4,$B$5,$F119,$B$6,AD$10,$A119,$B119)</f>
        <v>3341490</v>
      </c>
      <c r="AE119" s="4">
        <f ca="1">_xll.DBRW($B$1,$B$2,$B$7,$B$3,$B$4,$B$5,$F119,$B$6,AE$10,$A119,$B119)</f>
        <v>3452873</v>
      </c>
    </row>
    <row r="120" spans="1:31">
      <c r="A120" s="1" t="s">
        <v>152</v>
      </c>
      <c r="B120" s="5" t="s">
        <v>305</v>
      </c>
      <c r="C120" s="5" t="s">
        <v>306</v>
      </c>
      <c r="D120" s="5" t="s">
        <v>304</v>
      </c>
      <c r="E120" s="5" t="s">
        <v>21</v>
      </c>
      <c r="F120" s="5" t="s">
        <v>22</v>
      </c>
      <c r="G120" s="6"/>
      <c r="H120" s="6"/>
      <c r="I120" s="6"/>
      <c r="J120" s="6"/>
      <c r="K120" s="6"/>
      <c r="L120" s="4">
        <f ca="1">_xll.DBRW($B$1,$B$2,$B$7,$B$3,$B$4,$B$5,$F120,$B$6,L$10,$A120,$B120)</f>
        <v>0</v>
      </c>
      <c r="M120" s="4">
        <f ca="1">_xll.DBRW($B$1,$B$2,$B$7,$B$3,$B$4,$B$5,$F120,$B$6,M$10,$A120,$B120)</f>
        <v>0</v>
      </c>
      <c r="N120" s="4">
        <f ca="1">_xll.DBRW($B$1,$B$2,$B$7,$B$3,$B$4,$B$5,$F120,$B$6,N$10,$A120,$B120)</f>
        <v>0</v>
      </c>
      <c r="O120" s="4">
        <f ca="1">_xll.DBRW($B$1,$B$2,$B$7,$B$3,$B$4,$B$5,$F120,$B$6,O$10,$A120,$B120)</f>
        <v>0</v>
      </c>
      <c r="P120" s="4">
        <f ca="1">_xll.DBRW($B$1,$B$2,$B$7,$B$3,$B$4,$B$5,$F120,$B$6,P$10,$A120,$B120)</f>
        <v>2798947</v>
      </c>
      <c r="Q120" s="4">
        <f ca="1">_xll.DBRW($B$1,$B$2,$B$7,$B$3,$B$4,$B$5,$F120,$B$6,Q$10,$A120,$B120)</f>
        <v>3460059</v>
      </c>
      <c r="R120" s="4">
        <f ca="1">_xll.DBRW($B$1,$B$2,$B$7,$B$3,$B$4,$B$5,$F120,$B$6,R$10,$A120,$B120)</f>
        <v>3341490</v>
      </c>
      <c r="S120" s="4">
        <f ca="1">_xll.DBRW($B$1,$B$2,$B$7,$B$3,$B$4,$B$5,$F120,$B$6,S$10,$A120,$B120)</f>
        <v>3467245</v>
      </c>
      <c r="T120" s="4">
        <f ca="1">_xll.DBRW($B$1,$B$2,$B$7,$B$3,$B$4,$B$5,$F120,$B$6,T$10,$A120,$B120)</f>
        <v>3452873</v>
      </c>
      <c r="U120" s="4">
        <f ca="1">_xll.DBRW($B$1,$B$2,$B$7,$B$3,$B$4,$B$5,$F120,$B$6,U$10,$A120,$B120)</f>
        <v>3118724</v>
      </c>
      <c r="V120" s="4">
        <f ca="1">_xll.DBRW($B$1,$B$2,$B$7,$B$3,$B$4,$B$5,$F120,$B$6,V$10,$A120,$B120)</f>
        <v>3452873</v>
      </c>
      <c r="W120" s="4">
        <f ca="1">_xll.DBRW($B$1,$B$2,$B$7,$B$3,$B$4,$B$5,$F120,$B$6,W$10,$A120,$B120)</f>
        <v>3341490</v>
      </c>
      <c r="X120" s="4">
        <f ca="1">_xll.DBRW($B$1,$B$2,$B$7,$B$3,$B$4,$B$5,$F120,$B$6,X$10,$A120,$B120)</f>
        <v>3452873</v>
      </c>
      <c r="Y120" s="4">
        <f ca="1">_xll.DBRW($B$1,$B$2,$B$7,$B$3,$B$4,$B$5,$F120,$B$6,Y$10,$A120,$B120)</f>
        <v>3341490</v>
      </c>
      <c r="Z120" s="4">
        <f ca="1">_xll.DBRW($B$1,$B$2,$B$7,$B$3,$B$4,$B$5,$F120,$B$6,Z$10,$A120,$B120)</f>
        <v>3452873</v>
      </c>
      <c r="AA120" s="4">
        <f ca="1">_xll.DBRW($B$1,$B$2,$B$7,$B$3,$B$4,$B$5,$F120,$B$6,AA$10,$A120,$B120)</f>
        <v>3452873</v>
      </c>
      <c r="AB120" s="4">
        <f ca="1">_xll.DBRW($B$1,$B$2,$B$7,$B$3,$B$4,$B$5,$F120,$B$6,AB$10,$A120,$B120)</f>
        <v>3341490</v>
      </c>
      <c r="AC120" s="4">
        <f ca="1">_xll.DBRW($B$1,$B$2,$B$7,$B$3,$B$4,$B$5,$F120,$B$6,AC$10,$A120,$B120)</f>
        <v>3452873</v>
      </c>
      <c r="AD120" s="4">
        <f ca="1">_xll.DBRW($B$1,$B$2,$B$7,$B$3,$B$4,$B$5,$F120,$B$6,AD$10,$A120,$B120)</f>
        <v>3341490</v>
      </c>
      <c r="AE120" s="4">
        <f ca="1">_xll.DBRW($B$1,$B$2,$B$7,$B$3,$B$4,$B$5,$F120,$B$6,AE$10,$A120,$B120)</f>
        <v>3452873</v>
      </c>
    </row>
    <row r="121" spans="1:31">
      <c r="A121" s="1" t="s">
        <v>152</v>
      </c>
      <c r="B121" s="5" t="s">
        <v>307</v>
      </c>
      <c r="C121" s="5" t="s">
        <v>308</v>
      </c>
      <c r="D121" s="5" t="s">
        <v>21</v>
      </c>
      <c r="E121" s="5" t="s">
        <v>309</v>
      </c>
      <c r="F121" s="5" t="s">
        <v>22</v>
      </c>
      <c r="G121" s="6"/>
      <c r="H121" s="6"/>
      <c r="I121" s="6"/>
      <c r="J121" s="6"/>
      <c r="K121" s="6"/>
      <c r="L121" s="4">
        <f ca="1">_xll.DBRW($B$1,$B$2,$B$7,$B$3,$B$4,$B$5,$F121,$B$6,L$10,$A121,$B121)</f>
        <v>0</v>
      </c>
      <c r="M121" s="4">
        <f ca="1">_xll.DBRW($B$1,$B$2,$B$7,$B$3,$B$4,$B$5,$F121,$B$6,M$10,$A121,$B121)</f>
        <v>0</v>
      </c>
      <c r="N121" s="4">
        <f ca="1">_xll.DBRW($B$1,$B$2,$B$7,$B$3,$B$4,$B$5,$F121,$B$6,N$10,$A121,$B121)</f>
        <v>0</v>
      </c>
      <c r="O121" s="4">
        <f ca="1">_xll.DBRW($B$1,$B$2,$B$7,$B$3,$B$4,$B$5,$F121,$B$6,O$10,$A121,$B121)</f>
        <v>0</v>
      </c>
      <c r="P121" s="4">
        <f ca="1">_xll.DBRW($B$1,$B$2,$B$7,$B$3,$B$4,$B$5,$F121,$B$6,P$10,$A121,$B121)</f>
        <v>0</v>
      </c>
      <c r="Q121" s="4">
        <f ca="1">_xll.DBRW($B$1,$B$2,$B$7,$B$3,$B$4,$B$5,$F121,$B$6,Q$10,$A121,$B121)</f>
        <v>1794528</v>
      </c>
      <c r="R121" s="4">
        <f ca="1">_xll.DBRW($B$1,$B$2,$B$7,$B$3,$B$4,$B$5,$F121,$B$6,R$10,$A121,$B121)</f>
        <v>8972640</v>
      </c>
      <c r="S121" s="4">
        <f ca="1">_xll.DBRW($B$1,$B$2,$B$7,$B$3,$B$4,$B$5,$F121,$B$6,S$10,$A121,$B121)</f>
        <v>9271728</v>
      </c>
      <c r="T121" s="4">
        <f ca="1">_xll.DBRW($B$1,$B$2,$B$7,$B$3,$B$4,$B$5,$F121,$B$6,T$10,$A121,$B121)</f>
        <v>9271728</v>
      </c>
      <c r="U121" s="4">
        <f ca="1">_xll.DBRW($B$1,$B$2,$B$7,$B$3,$B$4,$B$5,$F121,$B$6,U$10,$A121,$B121)</f>
        <v>8374464</v>
      </c>
      <c r="V121" s="4">
        <f ca="1">_xll.DBRW($B$1,$B$2,$B$7,$B$3,$B$4,$B$5,$F121,$B$6,V$10,$A121,$B121)</f>
        <v>8673552</v>
      </c>
      <c r="W121" s="4">
        <f ca="1">_xll.DBRW($B$1,$B$2,$B$7,$B$3,$B$4,$B$5,$F121,$B$6,W$10,$A121,$B121)</f>
        <v>0</v>
      </c>
      <c r="X121" s="4">
        <f ca="1">_xll.DBRW($B$1,$B$2,$B$7,$B$3,$B$4,$B$5,$F121,$B$6,X$10,$A121,$B121)</f>
        <v>0</v>
      </c>
      <c r="Y121" s="4">
        <f ca="1">_xll.DBRW($B$1,$B$2,$B$7,$B$3,$B$4,$B$5,$F121,$B$6,Y$10,$A121,$B121)</f>
        <v>0</v>
      </c>
      <c r="Z121" s="4">
        <f ca="1">_xll.DBRW($B$1,$B$2,$B$7,$B$3,$B$4,$B$5,$F121,$B$6,Z$10,$A121,$B121)</f>
        <v>0</v>
      </c>
      <c r="AA121" s="4">
        <f ca="1">_xll.DBRW($B$1,$B$2,$B$7,$B$3,$B$4,$B$5,$F121,$B$6,AA$10,$A121,$B121)</f>
        <v>0</v>
      </c>
      <c r="AB121" s="4">
        <f ca="1">_xll.DBRW($B$1,$B$2,$B$7,$B$3,$B$4,$B$5,$F121,$B$6,AB$10,$A121,$B121)</f>
        <v>0</v>
      </c>
      <c r="AC121" s="4">
        <f ca="1">_xll.DBRW($B$1,$B$2,$B$7,$B$3,$B$4,$B$5,$F121,$B$6,AC$10,$A121,$B121)</f>
        <v>1794528</v>
      </c>
      <c r="AD121" s="4">
        <f ca="1">_xll.DBRW($B$1,$B$2,$B$7,$B$3,$B$4,$B$5,$F121,$B$6,AD$10,$A121,$B121)</f>
        <v>8972640</v>
      </c>
      <c r="AE121" s="4">
        <f ca="1">_xll.DBRW($B$1,$B$2,$B$7,$B$3,$B$4,$B$5,$F121,$B$6,AE$10,$A121,$B121)</f>
        <v>9271728</v>
      </c>
    </row>
    <row r="122" spans="1:31">
      <c r="A122" s="1" t="s">
        <v>152</v>
      </c>
      <c r="B122" s="5" t="s">
        <v>310</v>
      </c>
      <c r="C122" s="5" t="s">
        <v>311</v>
      </c>
      <c r="D122" s="5" t="s">
        <v>309</v>
      </c>
      <c r="E122" s="5" t="s">
        <v>21</v>
      </c>
      <c r="F122" s="5" t="s">
        <v>22</v>
      </c>
      <c r="G122" s="6"/>
      <c r="H122" s="6"/>
      <c r="I122" s="6"/>
      <c r="J122" s="6"/>
      <c r="K122" s="6"/>
      <c r="L122" s="4">
        <f ca="1">_xll.DBRW($B$1,$B$2,$B$7,$B$3,$B$4,$B$5,$F122,$B$6,L$10,$A122,$B122)</f>
        <v>0</v>
      </c>
      <c r="M122" s="4">
        <f ca="1">_xll.DBRW($B$1,$B$2,$B$7,$B$3,$B$4,$B$5,$F122,$B$6,M$10,$A122,$B122)</f>
        <v>0</v>
      </c>
      <c r="N122" s="4">
        <f ca="1">_xll.DBRW($B$1,$B$2,$B$7,$B$3,$B$4,$B$5,$F122,$B$6,N$10,$A122,$B122)</f>
        <v>0</v>
      </c>
      <c r="O122" s="4">
        <f ca="1">_xll.DBRW($B$1,$B$2,$B$7,$B$3,$B$4,$B$5,$F122,$B$6,O$10,$A122,$B122)</f>
        <v>0</v>
      </c>
      <c r="P122" s="4">
        <f ca="1">_xll.DBRW($B$1,$B$2,$B$7,$B$3,$B$4,$B$5,$F122,$B$6,P$10,$A122,$B122)</f>
        <v>0</v>
      </c>
      <c r="Q122" s="4">
        <f ca="1">_xll.DBRW($B$1,$B$2,$B$7,$B$3,$B$4,$B$5,$F122,$B$6,Q$10,$A122,$B122)</f>
        <v>1495440</v>
      </c>
      <c r="R122" s="4">
        <f ca="1">_xll.DBRW($B$1,$B$2,$B$7,$B$3,$B$4,$B$5,$F122,$B$6,R$10,$A122,$B122)</f>
        <v>8972640</v>
      </c>
      <c r="S122" s="4">
        <f ca="1">_xll.DBRW($B$1,$B$2,$B$7,$B$3,$B$4,$B$5,$F122,$B$6,S$10,$A122,$B122)</f>
        <v>9271728</v>
      </c>
      <c r="T122" s="4">
        <f ca="1">_xll.DBRW($B$1,$B$2,$B$7,$B$3,$B$4,$B$5,$F122,$B$6,T$10,$A122,$B122)</f>
        <v>9271728</v>
      </c>
      <c r="U122" s="4">
        <f ca="1">_xll.DBRW($B$1,$B$2,$B$7,$B$3,$B$4,$B$5,$F122,$B$6,U$10,$A122,$B122)</f>
        <v>8374464</v>
      </c>
      <c r="V122" s="4">
        <f ca="1">_xll.DBRW($B$1,$B$2,$B$7,$B$3,$B$4,$B$5,$F122,$B$6,V$10,$A122,$B122)</f>
        <v>8673552</v>
      </c>
      <c r="W122" s="4">
        <f ca="1">_xll.DBRW($B$1,$B$2,$B$7,$B$3,$B$4,$B$5,$F122,$B$6,W$10,$A122,$B122)</f>
        <v>0</v>
      </c>
      <c r="X122" s="4">
        <f ca="1">_xll.DBRW($B$1,$B$2,$B$7,$B$3,$B$4,$B$5,$F122,$B$6,X$10,$A122,$B122)</f>
        <v>0</v>
      </c>
      <c r="Y122" s="4">
        <f ca="1">_xll.DBRW($B$1,$B$2,$B$7,$B$3,$B$4,$B$5,$F122,$B$6,Y$10,$A122,$B122)</f>
        <v>0</v>
      </c>
      <c r="Z122" s="4">
        <f ca="1">_xll.DBRW($B$1,$B$2,$B$7,$B$3,$B$4,$B$5,$F122,$B$6,Z$10,$A122,$B122)</f>
        <v>0</v>
      </c>
      <c r="AA122" s="4">
        <f ca="1">_xll.DBRW($B$1,$B$2,$B$7,$B$3,$B$4,$B$5,$F122,$B$6,AA$10,$A122,$B122)</f>
        <v>0</v>
      </c>
      <c r="AB122" s="4">
        <f ca="1">_xll.DBRW($B$1,$B$2,$B$7,$B$3,$B$4,$B$5,$F122,$B$6,AB$10,$A122,$B122)</f>
        <v>0</v>
      </c>
      <c r="AC122" s="4">
        <f ca="1">_xll.DBRW($B$1,$B$2,$B$7,$B$3,$B$4,$B$5,$F122,$B$6,AC$10,$A122,$B122)</f>
        <v>1794528</v>
      </c>
      <c r="AD122" s="4">
        <f ca="1">_xll.DBRW($B$1,$B$2,$B$7,$B$3,$B$4,$B$5,$F122,$B$6,AD$10,$A122,$B122)</f>
        <v>8972640</v>
      </c>
      <c r="AE122" s="4">
        <f ca="1">_xll.DBRW($B$1,$B$2,$B$7,$B$3,$B$4,$B$5,$F122,$B$6,AE$10,$A122,$B122)</f>
        <v>9271728</v>
      </c>
    </row>
    <row r="123" spans="1:31">
      <c r="A123" s="1" t="s">
        <v>152</v>
      </c>
      <c r="B123" s="5" t="s">
        <v>158</v>
      </c>
      <c r="C123" s="5" t="s">
        <v>159</v>
      </c>
      <c r="D123" s="5" t="s">
        <v>21</v>
      </c>
      <c r="E123" s="5" t="s">
        <v>38</v>
      </c>
      <c r="F123" s="5" t="s">
        <v>24</v>
      </c>
      <c r="G123" s="6"/>
      <c r="H123" s="6"/>
      <c r="I123" s="6"/>
      <c r="J123" s="6"/>
      <c r="K123" s="6"/>
      <c r="L123" s="4">
        <f ca="1">_xll.DBRW($B$1,$B$2,$B$7,$B$3,$B$4,$B$5,$F123,$B$6,L$10,$A123,$B123)</f>
        <v>7153552</v>
      </c>
      <c r="M123" s="4">
        <f ca="1">_xll.DBRW($B$1,$B$2,$B$7,$B$3,$B$4,$B$5,$F123,$B$6,M$10,$A123,$B123)</f>
        <v>6898068</v>
      </c>
      <c r="N123" s="4">
        <f ca="1">_xll.DBRW($B$1,$B$2,$B$7,$B$3,$B$4,$B$5,$F123,$B$6,N$10,$A123,$B123)</f>
        <v>7420144</v>
      </c>
      <c r="O123" s="4">
        <f ca="1">_xll.DBRW($B$1,$B$2,$B$7,$B$3,$B$4,$B$5,$F123,$B$6,O$10,$A123,$B123)</f>
        <v>7409036</v>
      </c>
      <c r="P123" s="4">
        <f ca="1">_xll.DBRW($B$1,$B$2,$B$7,$B$3,$B$4,$B$5,$F123,$B$6,P$10,$A123,$B123)</f>
        <v>7153552</v>
      </c>
      <c r="Q123" s="4">
        <f ca="1">_xll.DBRW($B$1,$B$2,$B$7,$B$3,$B$4,$B$5,$F123,$B$6,Q$10,$A123,$B123)</f>
        <v>6753664</v>
      </c>
      <c r="R123" s="4">
        <f ca="1">_xll.DBRW($B$1,$B$2,$B$7,$B$3,$B$4,$B$5,$F123,$B$6,R$10,$A123,$B123)</f>
        <v>8397648</v>
      </c>
      <c r="S123" s="4">
        <f ca="1">_xll.DBRW($B$1,$B$2,$B$7,$B$3,$B$4,$B$5,$F123,$B$6,S$10,$A123,$B123)</f>
        <v>9641744</v>
      </c>
      <c r="T123" s="4">
        <f ca="1">_xll.DBRW($B$1,$B$2,$B$7,$B$3,$B$4,$B$5,$F123,$B$6,T$10,$A123,$B123)</f>
        <v>7920004</v>
      </c>
      <c r="U123" s="4">
        <f ca="1">_xll.DBRW($B$1,$B$2,$B$7,$B$3,$B$4,$B$5,$F123,$B$6,U$10,$A123,$B123)</f>
        <v>7153552</v>
      </c>
      <c r="V123" s="4">
        <f ca="1">_xll.DBRW($B$1,$B$2,$B$7,$B$3,$B$4,$B$5,$F123,$B$6,V$10,$A123,$B123)</f>
        <v>7975544</v>
      </c>
      <c r="W123" s="4">
        <f ca="1">_xll.DBRW($B$1,$B$2,$B$7,$B$3,$B$4,$B$5,$F123,$B$6,W$10,$A123,$B123)</f>
        <v>9108560</v>
      </c>
      <c r="X123" s="4">
        <f ca="1">_xll.DBRW($B$1,$B$2,$B$7,$B$3,$B$4,$B$5,$F123,$B$6,X$10,$A123,$B123)</f>
        <v>9419584</v>
      </c>
      <c r="Y123" s="4">
        <f ca="1">_xll.DBRW($B$1,$B$2,$B$7,$B$3,$B$4,$B$5,$F123,$B$6,Y$10,$A123,$B123)</f>
        <v>9053020</v>
      </c>
      <c r="Z123" s="4">
        <f ca="1">_xll.DBRW($B$1,$B$2,$B$7,$B$3,$B$4,$B$5,$F123,$B$6,Z$10,$A123,$B123)</f>
        <v>9419584</v>
      </c>
      <c r="AA123" s="4">
        <f ca="1">_xll.DBRW($B$1,$B$2,$B$7,$B$3,$B$4,$B$5,$F123,$B$6,AA$10,$A123,$B123)</f>
        <v>9364044</v>
      </c>
      <c r="AB123" s="4">
        <f ca="1">_xll.DBRW($B$1,$B$2,$B$7,$B$3,$B$4,$B$5,$F123,$B$6,AB$10,$A123,$B123)</f>
        <v>9108560</v>
      </c>
      <c r="AC123" s="4">
        <f ca="1">_xll.DBRW($B$1,$B$2,$B$7,$B$3,$B$4,$B$5,$F123,$B$6,AC$10,$A123,$B123)</f>
        <v>9141884</v>
      </c>
      <c r="AD123" s="4">
        <f ca="1">_xll.DBRW($B$1,$B$2,$B$7,$B$3,$B$4,$B$5,$F123,$B$6,AD$10,$A123,$B123)</f>
        <v>7664520</v>
      </c>
      <c r="AE123" s="4">
        <f ca="1">_xll.DBRW($B$1,$B$2,$B$7,$B$3,$B$4,$B$5,$F123,$B$6,AE$10,$A123,$B123)</f>
        <v>7920004</v>
      </c>
    </row>
    <row r="124" spans="1:31">
      <c r="A124" s="1" t="s">
        <v>152</v>
      </c>
      <c r="B124" s="5" t="s">
        <v>36</v>
      </c>
      <c r="C124" s="5" t="s">
        <v>37</v>
      </c>
      <c r="D124" s="5" t="s">
        <v>38</v>
      </c>
      <c r="E124" s="5" t="s">
        <v>21</v>
      </c>
      <c r="F124" s="5" t="s">
        <v>24</v>
      </c>
      <c r="G124" s="6"/>
      <c r="H124" s="6"/>
      <c r="I124" s="6"/>
      <c r="J124" s="6"/>
      <c r="K124" s="6"/>
      <c r="L124" s="4">
        <f ca="1">_xll.DBRW($B$1,$B$2,$B$7,$B$3,$B$4,$B$5,$F124,$B$6,L$10,$A124,$B124)</f>
        <v>7170214</v>
      </c>
      <c r="M124" s="4">
        <f ca="1">_xll.DBRW($B$1,$B$2,$B$7,$B$3,$B$4,$B$5,$F124,$B$6,M$10,$A124,$B124)</f>
        <v>6898068</v>
      </c>
      <c r="N124" s="4">
        <f ca="1">_xll.DBRW($B$1,$B$2,$B$7,$B$3,$B$4,$B$5,$F124,$B$6,N$10,$A124,$B124)</f>
        <v>7453468</v>
      </c>
      <c r="O124" s="4">
        <f ca="1">_xll.DBRW($B$1,$B$2,$B$7,$B$3,$B$4,$B$5,$F124,$B$6,O$10,$A124,$B124)</f>
        <v>7409036</v>
      </c>
      <c r="P124" s="4">
        <f ca="1">_xll.DBRW($B$1,$B$2,$B$7,$B$3,$B$4,$B$5,$F124,$B$6,P$10,$A124,$B124)</f>
        <v>7153552</v>
      </c>
      <c r="Q124" s="4">
        <f ca="1">_xll.DBRW($B$1,$B$2,$B$7,$B$3,$B$4,$B$5,$F124,$B$6,Q$10,$A124,$B124)</f>
        <v>6753664</v>
      </c>
      <c r="R124" s="4">
        <f ca="1">_xll.DBRW($B$1,$B$2,$B$7,$B$3,$B$4,$B$5,$F124,$B$6,R$10,$A124,$B124)</f>
        <v>8397648</v>
      </c>
      <c r="S124" s="4">
        <f ca="1">_xll.DBRW($B$1,$B$2,$B$7,$B$3,$B$4,$B$5,$F124,$B$6,S$10,$A124,$B124)</f>
        <v>9641744</v>
      </c>
      <c r="T124" s="4">
        <f ca="1">_xll.DBRW($B$1,$B$2,$B$7,$B$3,$B$4,$B$5,$F124,$B$6,T$10,$A124,$B124)</f>
        <v>7892234</v>
      </c>
      <c r="U124" s="4">
        <f ca="1">_xll.DBRW($B$1,$B$2,$B$7,$B$3,$B$4,$B$5,$F124,$B$6,U$10,$A124,$B124)</f>
        <v>7131336</v>
      </c>
      <c r="V124" s="4">
        <f ca="1">_xll.DBRW($B$1,$B$2,$B$7,$B$3,$B$4,$B$5,$F124,$B$6,V$10,$A124,$B124)</f>
        <v>7908896</v>
      </c>
      <c r="W124" s="4">
        <f ca="1">_xll.DBRW($B$1,$B$2,$B$7,$B$3,$B$4,$B$5,$F124,$B$6,W$10,$A124,$B124)</f>
        <v>8753104</v>
      </c>
      <c r="X124" s="4">
        <f ca="1">_xll.DBRW($B$1,$B$2,$B$7,$B$3,$B$4,$B$5,$F124,$B$6,X$10,$A124,$B124)</f>
        <v>9019696</v>
      </c>
      <c r="Y124" s="4">
        <f ca="1">_xll.DBRW($B$1,$B$2,$B$7,$B$3,$B$4,$B$5,$F124,$B$6,Y$10,$A124,$B124)</f>
        <v>8653132</v>
      </c>
      <c r="Z124" s="4">
        <f ca="1">_xll.DBRW($B$1,$B$2,$B$7,$B$3,$B$4,$B$5,$F124,$B$6,Z$10,$A124,$B124)</f>
        <v>9019696</v>
      </c>
      <c r="AA124" s="4">
        <f ca="1">_xll.DBRW($B$1,$B$2,$B$7,$B$3,$B$4,$B$5,$F124,$B$6,AA$10,$A124,$B124)</f>
        <v>9008588</v>
      </c>
      <c r="AB124" s="4">
        <f ca="1">_xll.DBRW($B$1,$B$2,$B$7,$B$3,$B$4,$B$5,$F124,$B$6,AB$10,$A124,$B124)</f>
        <v>8708672</v>
      </c>
      <c r="AC124" s="4">
        <f ca="1">_xll.DBRW($B$1,$B$2,$B$7,$B$3,$B$4,$B$5,$F124,$B$6,AC$10,$A124,$B124)</f>
        <v>8825306</v>
      </c>
      <c r="AD124" s="4">
        <f ca="1">_xll.DBRW($B$1,$B$2,$B$7,$B$3,$B$4,$B$5,$F124,$B$6,AD$10,$A124,$B124)</f>
        <v>7642304</v>
      </c>
      <c r="AE124" s="4">
        <f ca="1">_xll.DBRW($B$1,$B$2,$B$7,$B$3,$B$4,$B$5,$F124,$B$6,AE$10,$A124,$B124)</f>
        <v>7953328</v>
      </c>
    </row>
    <row r="125" spans="1:31">
      <c r="A125" s="1" t="s">
        <v>152</v>
      </c>
      <c r="B125" s="5" t="s">
        <v>160</v>
      </c>
      <c r="C125" s="5" t="s">
        <v>161</v>
      </c>
      <c r="D125" s="5" t="s">
        <v>21</v>
      </c>
      <c r="E125" s="5" t="s">
        <v>69</v>
      </c>
      <c r="F125" s="5" t="s">
        <v>24</v>
      </c>
      <c r="G125" s="6"/>
      <c r="H125" s="6"/>
      <c r="I125" s="6"/>
      <c r="J125" s="6"/>
      <c r="K125" s="6"/>
      <c r="L125" s="4">
        <f ca="1">_xll.DBRW($B$1,$B$2,$B$7,$B$3,$B$4,$B$5,$F125,$B$6,L$10,$A125,$B125)</f>
        <v>10396660</v>
      </c>
      <c r="M125" s="4">
        <f ca="1">_xll.DBRW($B$1,$B$2,$B$7,$B$3,$B$4,$B$5,$F125,$B$6,M$10,$A125,$B125)</f>
        <v>10197272</v>
      </c>
      <c r="N125" s="4">
        <f ca="1">_xll.DBRW($B$1,$B$2,$B$7,$B$3,$B$4,$B$5,$F125,$B$6,N$10,$A125,$B125)</f>
        <v>9036549</v>
      </c>
      <c r="O125" s="4">
        <f ca="1">_xll.DBRW($B$1,$B$2,$B$7,$B$3,$B$4,$B$5,$F125,$B$6,O$10,$A125,$B125)</f>
        <v>9143364</v>
      </c>
      <c r="P125" s="4">
        <f ca="1">_xll.DBRW($B$1,$B$2,$B$7,$B$3,$B$4,$B$5,$F125,$B$6,P$10,$A125,$B125)</f>
        <v>7412961</v>
      </c>
      <c r="Q125" s="4">
        <f ca="1">_xll.DBRW($B$1,$B$2,$B$7,$B$3,$B$4,$B$5,$F125,$B$6,Q$10,$A125,$B125)</f>
        <v>7477050</v>
      </c>
      <c r="R125" s="4">
        <f ca="1">_xll.DBRW($B$1,$B$2,$B$7,$B$3,$B$4,$B$5,$F125,$B$6,R$10,$A125,$B125)</f>
        <v>7227815</v>
      </c>
      <c r="S125" s="4">
        <f ca="1">_xll.DBRW($B$1,$B$2,$B$7,$B$3,$B$4,$B$5,$F125,$B$6,S$10,$A125,$B125)</f>
        <v>7477050</v>
      </c>
      <c r="T125" s="4">
        <f ca="1">_xll.DBRW($B$1,$B$2,$B$7,$B$3,$B$4,$B$5,$F125,$B$6,T$10,$A125,$B125)</f>
        <v>10154546</v>
      </c>
      <c r="U125" s="4">
        <f ca="1">_xll.DBRW($B$1,$B$2,$B$7,$B$3,$B$4,$B$5,$F125,$B$6,U$10,$A125,$B125)</f>
        <v>9171848</v>
      </c>
      <c r="V125" s="4">
        <f ca="1">_xll.DBRW($B$1,$B$2,$B$7,$B$3,$B$4,$B$5,$F125,$B$6,V$10,$A125,$B125)</f>
        <v>10154546</v>
      </c>
      <c r="W125" s="4">
        <f ca="1">_xll.DBRW($B$1,$B$2,$B$7,$B$3,$B$4,$B$5,$F125,$B$6,W$10,$A125,$B125)</f>
        <v>9883948</v>
      </c>
      <c r="X125" s="4">
        <f ca="1">_xll.DBRW($B$1,$B$2,$B$7,$B$3,$B$4,$B$5,$F125,$B$6,X$10,$A125,$B125)</f>
        <v>10225756</v>
      </c>
      <c r="Y125" s="4">
        <f ca="1">_xll.DBRW($B$1,$B$2,$B$7,$B$3,$B$4,$B$5,$F125,$B$6,Y$10,$A125,$B125)</f>
        <v>9883948</v>
      </c>
      <c r="Z125" s="4">
        <f ca="1">_xll.DBRW($B$1,$B$2,$B$7,$B$3,$B$4,$B$5,$F125,$B$6,Z$10,$A125,$B125)</f>
        <v>10211514</v>
      </c>
      <c r="AA125" s="4">
        <f ca="1">_xll.DBRW($B$1,$B$2,$B$7,$B$3,$B$4,$B$5,$F125,$B$6,AA$10,$A125,$B125)</f>
        <v>10225756</v>
      </c>
      <c r="AB125" s="4">
        <f ca="1">_xll.DBRW($B$1,$B$2,$B$7,$B$3,$B$4,$B$5,$F125,$B$6,AB$10,$A125,$B125)</f>
        <v>9883948</v>
      </c>
      <c r="AC125" s="4">
        <f ca="1">_xll.DBRW($B$1,$B$2,$B$7,$B$3,$B$4,$B$5,$F125,$B$6,AC$10,$A125,$B125)</f>
        <v>10211514</v>
      </c>
      <c r="AD125" s="4">
        <f ca="1">_xll.DBRW($B$1,$B$2,$B$7,$B$3,$B$4,$B$5,$F125,$B$6,AD$10,$A125,$B125)</f>
        <v>9826980</v>
      </c>
      <c r="AE125" s="4">
        <f ca="1">_xll.DBRW($B$1,$B$2,$B$7,$B$3,$B$4,$B$5,$F125,$B$6,AE$10,$A125,$B125)</f>
        <v>10154546</v>
      </c>
    </row>
    <row r="126" spans="1:31">
      <c r="A126" s="1" t="s">
        <v>152</v>
      </c>
      <c r="B126" s="5" t="s">
        <v>67</v>
      </c>
      <c r="C126" s="5" t="s">
        <v>68</v>
      </c>
      <c r="D126" s="5" t="s">
        <v>69</v>
      </c>
      <c r="E126" s="5" t="s">
        <v>21</v>
      </c>
      <c r="F126" s="5" t="s">
        <v>24</v>
      </c>
      <c r="G126" s="6"/>
      <c r="H126" s="6"/>
      <c r="I126" s="6"/>
      <c r="J126" s="6"/>
      <c r="K126" s="6"/>
      <c r="L126" s="4">
        <f ca="1">_xll.DBRW($B$1,$B$2,$B$7,$B$3,$B$4,$B$5,$F126,$B$6,L$10,$A126,$B126)</f>
        <v>10396660</v>
      </c>
      <c r="M126" s="4">
        <f ca="1">_xll.DBRW($B$1,$B$2,$B$7,$B$3,$B$4,$B$5,$F126,$B$6,M$10,$A126,$B126)</f>
        <v>10197272</v>
      </c>
      <c r="N126" s="4">
        <f ca="1">_xll.DBRW($B$1,$B$2,$B$7,$B$3,$B$4,$B$5,$F126,$B$6,N$10,$A126,$B126)</f>
        <v>9036549</v>
      </c>
      <c r="O126" s="4">
        <f ca="1">_xll.DBRW($B$1,$B$2,$B$7,$B$3,$B$4,$B$5,$F126,$B$6,O$10,$A126,$B126)</f>
        <v>9143364</v>
      </c>
      <c r="P126" s="4">
        <f ca="1">_xll.DBRW($B$1,$B$2,$B$7,$B$3,$B$4,$B$5,$F126,$B$6,P$10,$A126,$B126)</f>
        <v>7412961</v>
      </c>
      <c r="Q126" s="4">
        <f ca="1">_xll.DBRW($B$1,$B$2,$B$7,$B$3,$B$4,$B$5,$F126,$B$6,Q$10,$A126,$B126)</f>
        <v>7477050</v>
      </c>
      <c r="R126" s="4">
        <f ca="1">_xll.DBRW($B$1,$B$2,$B$7,$B$3,$B$4,$B$5,$F126,$B$6,R$10,$A126,$B126)</f>
        <v>7227815</v>
      </c>
      <c r="S126" s="4">
        <f ca="1">_xll.DBRW($B$1,$B$2,$B$7,$B$3,$B$4,$B$5,$F126,$B$6,S$10,$A126,$B126)</f>
        <v>7477050</v>
      </c>
      <c r="T126" s="4">
        <f ca="1">_xll.DBRW($B$1,$B$2,$B$7,$B$3,$B$4,$B$5,$F126,$B$6,T$10,$A126,$B126)</f>
        <v>10154546</v>
      </c>
      <c r="U126" s="4">
        <f ca="1">_xll.DBRW($B$1,$B$2,$B$7,$B$3,$B$4,$B$5,$F126,$B$6,U$10,$A126,$B126)</f>
        <v>9171848</v>
      </c>
      <c r="V126" s="4">
        <f ca="1">_xll.DBRW($B$1,$B$2,$B$7,$B$3,$B$4,$B$5,$F126,$B$6,V$10,$A126,$B126)</f>
        <v>10154546</v>
      </c>
      <c r="W126" s="4">
        <f ca="1">_xll.DBRW($B$1,$B$2,$B$7,$B$3,$B$4,$B$5,$F126,$B$6,W$10,$A126,$B126)</f>
        <v>9883948</v>
      </c>
      <c r="X126" s="4">
        <f ca="1">_xll.DBRW($B$1,$B$2,$B$7,$B$3,$B$4,$B$5,$F126,$B$6,X$10,$A126,$B126)</f>
        <v>10225756</v>
      </c>
      <c r="Y126" s="4">
        <f ca="1">_xll.DBRW($B$1,$B$2,$B$7,$B$3,$B$4,$B$5,$F126,$B$6,Y$10,$A126,$B126)</f>
        <v>9883948</v>
      </c>
      <c r="Z126" s="4">
        <f ca="1">_xll.DBRW($B$1,$B$2,$B$7,$B$3,$B$4,$B$5,$F126,$B$6,Z$10,$A126,$B126)</f>
        <v>10211514</v>
      </c>
      <c r="AA126" s="4">
        <f ca="1">_xll.DBRW($B$1,$B$2,$B$7,$B$3,$B$4,$B$5,$F126,$B$6,AA$10,$A126,$B126)</f>
        <v>10225756</v>
      </c>
      <c r="AB126" s="4">
        <f ca="1">_xll.DBRW($B$1,$B$2,$B$7,$B$3,$B$4,$B$5,$F126,$B$6,AB$10,$A126,$B126)</f>
        <v>9883948</v>
      </c>
      <c r="AC126" s="4">
        <f ca="1">_xll.DBRW($B$1,$B$2,$B$7,$B$3,$B$4,$B$5,$F126,$B$6,AC$10,$A126,$B126)</f>
        <v>10211514</v>
      </c>
      <c r="AD126" s="4">
        <f ca="1">_xll.DBRW($B$1,$B$2,$B$7,$B$3,$B$4,$B$5,$F126,$B$6,AD$10,$A126,$B126)</f>
        <v>9826980</v>
      </c>
      <c r="AE126" s="4">
        <f ca="1">_xll.DBRW($B$1,$B$2,$B$7,$B$3,$B$4,$B$5,$F126,$B$6,AE$10,$A126,$B126)</f>
        <v>9826980</v>
      </c>
    </row>
    <row r="127" spans="1:31">
      <c r="A127" s="1" t="s">
        <v>152</v>
      </c>
      <c r="B127" s="5" t="s">
        <v>162</v>
      </c>
      <c r="C127" s="5" t="s">
        <v>163</v>
      </c>
      <c r="D127" s="5" t="s">
        <v>21</v>
      </c>
      <c r="E127" s="5" t="s">
        <v>54</v>
      </c>
      <c r="F127" s="5" t="s">
        <v>24</v>
      </c>
      <c r="G127" s="6"/>
      <c r="H127" s="6"/>
      <c r="I127" s="6"/>
      <c r="J127" s="6"/>
      <c r="K127" s="6"/>
      <c r="L127" s="4">
        <f ca="1">_xll.DBRW($B$1,$B$2,$B$7,$B$3,$B$4,$B$5,$F127,$B$6,L$10,$A127,$B127)</f>
        <v>8297100</v>
      </c>
      <c r="M127" s="4">
        <f ca="1">_xll.DBRW($B$1,$B$2,$B$7,$B$3,$B$4,$B$5,$F127,$B$6,M$10,$A127,$B127)</f>
        <v>9219000</v>
      </c>
      <c r="N127" s="4">
        <f ca="1">_xll.DBRW($B$1,$B$2,$B$7,$B$3,$B$4,$B$5,$F127,$B$6,N$10,$A127,$B127)</f>
        <v>11677400</v>
      </c>
      <c r="O127" s="4">
        <f ca="1">_xll.DBRW($B$1,$B$2,$B$7,$B$3,$B$4,$B$5,$F127,$B$6,O$10,$A127,$B127)</f>
        <v>15242080</v>
      </c>
      <c r="P127" s="4">
        <f ca="1">_xll.DBRW($B$1,$B$2,$B$7,$B$3,$B$4,$B$5,$F127,$B$6,P$10,$A127,$B127)</f>
        <v>14750400</v>
      </c>
      <c r="Q127" s="4">
        <f ca="1">_xll.DBRW($B$1,$B$2,$B$7,$B$3,$B$4,$B$5,$F127,$B$6,Q$10,$A127,$B127)</f>
        <v>15242080</v>
      </c>
      <c r="R127" s="4">
        <f ca="1">_xll.DBRW($B$1,$B$2,$B$7,$B$3,$B$4,$B$5,$F127,$B$6,R$10,$A127,$B127)</f>
        <v>14258720</v>
      </c>
      <c r="S127" s="4">
        <f ca="1">_xll.DBRW($B$1,$B$2,$B$7,$B$3,$B$4,$B$5,$F127,$B$6,S$10,$A127,$B127)</f>
        <v>15242080</v>
      </c>
      <c r="T127" s="4">
        <f ca="1">_xll.DBRW($B$1,$B$2,$B$7,$B$3,$B$4,$B$5,$F127,$B$6,T$10,$A127,$B127)</f>
        <v>15242080</v>
      </c>
      <c r="U127" s="4">
        <f ca="1">_xll.DBRW($B$1,$B$2,$B$7,$B$3,$B$4,$B$5,$F127,$B$6,U$10,$A127,$B127)</f>
        <v>13767040</v>
      </c>
      <c r="V127" s="4">
        <f ca="1">_xll.DBRW($B$1,$B$2,$B$7,$B$3,$B$4,$B$5,$F127,$B$6,V$10,$A127,$B127)</f>
        <v>15242080</v>
      </c>
      <c r="W127" s="4">
        <f ca="1">_xll.DBRW($B$1,$B$2,$B$7,$B$3,$B$4,$B$5,$F127,$B$6,W$10,$A127,$B127)</f>
        <v>14750400</v>
      </c>
      <c r="X127" s="4">
        <f ca="1">_xll.DBRW($B$1,$B$2,$B$7,$B$3,$B$4,$B$5,$F127,$B$6,X$10,$A127,$B127)</f>
        <v>15242080</v>
      </c>
      <c r="Y127" s="4">
        <f ca="1">_xll.DBRW($B$1,$B$2,$B$7,$B$3,$B$4,$B$5,$F127,$B$6,Y$10,$A127,$B127)</f>
        <v>14750400</v>
      </c>
      <c r="Z127" s="4">
        <f ca="1">_xll.DBRW($B$1,$B$2,$B$7,$B$3,$B$4,$B$5,$F127,$B$6,Z$10,$A127,$B127)</f>
        <v>15242080</v>
      </c>
      <c r="AA127" s="4">
        <f ca="1">_xll.DBRW($B$1,$B$2,$B$7,$B$3,$B$4,$B$5,$F127,$B$6,AA$10,$A127,$B127)</f>
        <v>15242080</v>
      </c>
      <c r="AB127" s="4">
        <f ca="1">_xll.DBRW($B$1,$B$2,$B$7,$B$3,$B$4,$B$5,$F127,$B$6,AB$10,$A127,$B127)</f>
        <v>14750400</v>
      </c>
      <c r="AC127" s="4">
        <f ca="1">_xll.DBRW($B$1,$B$2,$B$7,$B$3,$B$4,$B$5,$F127,$B$6,AC$10,$A127,$B127)</f>
        <v>15242080</v>
      </c>
      <c r="AD127" s="4">
        <f ca="1">_xll.DBRW($B$1,$B$2,$B$7,$B$3,$B$4,$B$5,$F127,$B$6,AD$10,$A127,$B127)</f>
        <v>14750400</v>
      </c>
      <c r="AE127" s="4">
        <f ca="1">_xll.DBRW($B$1,$B$2,$B$7,$B$3,$B$4,$B$5,$F127,$B$6,AE$10,$A127,$B127)</f>
        <v>15242080</v>
      </c>
    </row>
    <row r="128" spans="1:31">
      <c r="A128" s="1" t="s">
        <v>152</v>
      </c>
      <c r="B128" s="5" t="s">
        <v>52</v>
      </c>
      <c r="C128" s="5" t="s">
        <v>53</v>
      </c>
      <c r="D128" s="5" t="s">
        <v>54</v>
      </c>
      <c r="E128" s="5" t="s">
        <v>21</v>
      </c>
      <c r="F128" s="5" t="s">
        <v>24</v>
      </c>
      <c r="G128" s="6"/>
      <c r="H128" s="6"/>
      <c r="I128" s="6"/>
      <c r="J128" s="6"/>
      <c r="K128" s="6"/>
      <c r="L128" s="4">
        <f ca="1">_xll.DBRW($B$1,$B$2,$B$7,$B$3,$B$4,$B$5,$F128,$B$6,L$10,$A128,$B128)</f>
        <v>8297100</v>
      </c>
      <c r="M128" s="4">
        <f ca="1">_xll.DBRW($B$1,$B$2,$B$7,$B$3,$B$4,$B$5,$F128,$B$6,M$10,$A128,$B128)</f>
        <v>9219000</v>
      </c>
      <c r="N128" s="4">
        <f ca="1">_xll.DBRW($B$1,$B$2,$B$7,$B$3,$B$4,$B$5,$F128,$B$6,N$10,$A128,$B128)</f>
        <v>12169080</v>
      </c>
      <c r="O128" s="4">
        <f ca="1">_xll.DBRW($B$1,$B$2,$B$7,$B$3,$B$4,$B$5,$F128,$B$6,O$10,$A128,$B128)</f>
        <v>15242080</v>
      </c>
      <c r="P128" s="4">
        <f ca="1">_xll.DBRW($B$1,$B$2,$B$7,$B$3,$B$4,$B$5,$F128,$B$6,P$10,$A128,$B128)</f>
        <v>14750400</v>
      </c>
      <c r="Q128" s="4">
        <f ca="1">_xll.DBRW($B$1,$B$2,$B$7,$B$3,$B$4,$B$5,$F128,$B$6,Q$10,$A128,$B128)</f>
        <v>15242080</v>
      </c>
      <c r="R128" s="4">
        <f ca="1">_xll.DBRW($B$1,$B$2,$B$7,$B$3,$B$4,$B$5,$F128,$B$6,R$10,$A128,$B128)</f>
        <v>14258720</v>
      </c>
      <c r="S128" s="4">
        <f ca="1">_xll.DBRW($B$1,$B$2,$B$7,$B$3,$B$4,$B$5,$F128,$B$6,S$10,$A128,$B128)</f>
        <v>15242080</v>
      </c>
      <c r="T128" s="4">
        <f ca="1">_xll.DBRW($B$1,$B$2,$B$7,$B$3,$B$4,$B$5,$F128,$B$6,T$10,$A128,$B128)</f>
        <v>15242080</v>
      </c>
      <c r="U128" s="4">
        <f ca="1">_xll.DBRW($B$1,$B$2,$B$7,$B$3,$B$4,$B$5,$F128,$B$6,U$10,$A128,$B128)</f>
        <v>13767040</v>
      </c>
      <c r="V128" s="4">
        <f ca="1">_xll.DBRW($B$1,$B$2,$B$7,$B$3,$B$4,$B$5,$F128,$B$6,V$10,$A128,$B128)</f>
        <v>15242080</v>
      </c>
      <c r="W128" s="4">
        <f ca="1">_xll.DBRW($B$1,$B$2,$B$7,$B$3,$B$4,$B$5,$F128,$B$6,W$10,$A128,$B128)</f>
        <v>14750400</v>
      </c>
      <c r="X128" s="4">
        <f ca="1">_xll.DBRW($B$1,$B$2,$B$7,$B$3,$B$4,$B$5,$F128,$B$6,X$10,$A128,$B128)</f>
        <v>15242080</v>
      </c>
      <c r="Y128" s="4">
        <f ca="1">_xll.DBRW($B$1,$B$2,$B$7,$B$3,$B$4,$B$5,$F128,$B$6,Y$10,$A128,$B128)</f>
        <v>14750400</v>
      </c>
      <c r="Z128" s="4">
        <f ca="1">_xll.DBRW($B$1,$B$2,$B$7,$B$3,$B$4,$B$5,$F128,$B$6,Z$10,$A128,$B128)</f>
        <v>15242080</v>
      </c>
      <c r="AA128" s="4">
        <f ca="1">_xll.DBRW($B$1,$B$2,$B$7,$B$3,$B$4,$B$5,$F128,$B$6,AA$10,$A128,$B128)</f>
        <v>15242080</v>
      </c>
      <c r="AB128" s="4">
        <f ca="1">_xll.DBRW($B$1,$B$2,$B$7,$B$3,$B$4,$B$5,$F128,$B$6,AB$10,$A128,$B128)</f>
        <v>14750400</v>
      </c>
      <c r="AC128" s="4">
        <f ca="1">_xll.DBRW($B$1,$B$2,$B$7,$B$3,$B$4,$B$5,$F128,$B$6,AC$10,$A128,$B128)</f>
        <v>15242080</v>
      </c>
      <c r="AD128" s="4">
        <f ca="1">_xll.DBRW($B$1,$B$2,$B$7,$B$3,$B$4,$B$5,$F128,$B$6,AD$10,$A128,$B128)</f>
        <v>14750400</v>
      </c>
      <c r="AE128" s="4">
        <f ca="1">_xll.DBRW($B$1,$B$2,$B$7,$B$3,$B$4,$B$5,$F128,$B$6,AE$10,$A128,$B128)</f>
        <v>14750400</v>
      </c>
    </row>
    <row r="129" spans="1:31">
      <c r="A129" s="1" t="s">
        <v>152</v>
      </c>
      <c r="B129" s="5" t="s">
        <v>164</v>
      </c>
      <c r="C129" s="5" t="s">
        <v>159</v>
      </c>
      <c r="D129" s="5" t="s">
        <v>21</v>
      </c>
      <c r="E129" s="5" t="s">
        <v>38</v>
      </c>
      <c r="F129" s="5" t="s">
        <v>24</v>
      </c>
      <c r="G129" s="6"/>
      <c r="H129" s="6"/>
      <c r="I129" s="6"/>
      <c r="J129" s="6"/>
      <c r="K129" s="6"/>
      <c r="L129" s="4">
        <f ca="1">_xll.DBRW($B$1,$B$2,$B$7,$B$3,$B$4,$B$5,$F129,$B$6,L$10,$A129,$B129)</f>
        <v>7975544</v>
      </c>
      <c r="M129" s="4">
        <f ca="1">_xll.DBRW($B$1,$B$2,$B$7,$B$3,$B$4,$B$5,$F129,$B$6,M$10,$A129,$B129)</f>
        <v>7931112</v>
      </c>
      <c r="N129" s="4">
        <f ca="1">_xll.DBRW($B$1,$B$2,$B$7,$B$3,$B$4,$B$5,$F129,$B$6,N$10,$A129,$B129)</f>
        <v>8153272</v>
      </c>
      <c r="O129" s="4">
        <f ca="1">_xll.DBRW($B$1,$B$2,$B$7,$B$3,$B$4,$B$5,$F129,$B$6,O$10,$A129,$B129)</f>
        <v>8008868</v>
      </c>
      <c r="P129" s="4">
        <f ca="1">_xll.DBRW($B$1,$B$2,$B$7,$B$3,$B$4,$B$5,$F129,$B$6,P$10,$A129,$B129)</f>
        <v>7731168</v>
      </c>
      <c r="Q129" s="4">
        <f ca="1">_xll.DBRW($B$1,$B$2,$B$7,$B$3,$B$4,$B$5,$F129,$B$6,Q$10,$A129,$B129)</f>
        <v>7831140</v>
      </c>
      <c r="R129" s="4">
        <f ca="1">_xll.DBRW($B$1,$B$2,$B$7,$B$3,$B$4,$B$5,$F129,$B$6,R$10,$A129,$B129)</f>
        <v>8653132</v>
      </c>
      <c r="S129" s="4">
        <f ca="1">_xll.DBRW($B$1,$B$2,$B$7,$B$3,$B$4,$B$5,$F129,$B$6,S$10,$A129,$B129)</f>
        <v>9641744</v>
      </c>
      <c r="T129" s="4">
        <f ca="1">_xll.DBRW($B$1,$B$2,$B$7,$B$3,$B$4,$B$5,$F129,$B$6,T$10,$A129,$B129)</f>
        <v>8953048</v>
      </c>
      <c r="U129" s="4">
        <f ca="1">_xll.DBRW($B$1,$B$2,$B$7,$B$3,$B$4,$B$5,$F129,$B$6,U$10,$A129,$B129)</f>
        <v>8019976</v>
      </c>
      <c r="V129" s="4">
        <f ca="1">_xll.DBRW($B$1,$B$2,$B$7,$B$3,$B$4,$B$5,$F129,$B$6,V$10,$A129,$B129)</f>
        <v>8897508</v>
      </c>
      <c r="W129" s="4">
        <f ca="1">_xll.DBRW($B$1,$B$2,$B$7,$B$3,$B$4,$B$5,$F129,$B$6,W$10,$A129,$B129)</f>
        <v>8125502</v>
      </c>
      <c r="X129" s="4">
        <f ca="1">_xll.DBRW($B$1,$B$2,$B$7,$B$3,$B$4,$B$5,$F129,$B$6,X$10,$A129,$B129)</f>
        <v>8553160</v>
      </c>
      <c r="Y129" s="4">
        <f ca="1">_xll.DBRW($B$1,$B$2,$B$7,$B$3,$B$4,$B$5,$F129,$B$6,Y$10,$A129,$B129)</f>
        <v>8231028</v>
      </c>
      <c r="Z129" s="4">
        <f ca="1">_xll.DBRW($B$1,$B$2,$B$7,$B$3,$B$4,$B$5,$F129,$B$6,Z$10,$A129,$B129)</f>
        <v>8436526</v>
      </c>
      <c r="AA129" s="4">
        <f ca="1">_xll.DBRW($B$1,$B$2,$B$7,$B$3,$B$4,$B$5,$F129,$B$6,AA$10,$A129,$B129)</f>
        <v>8553160</v>
      </c>
      <c r="AB129" s="4">
        <f ca="1">_xll.DBRW($B$1,$B$2,$B$7,$B$3,$B$4,$B$5,$F129,$B$6,AB$10,$A129,$B129)</f>
        <v>8114394</v>
      </c>
      <c r="AC129" s="4">
        <f ca="1">_xll.DBRW($B$1,$B$2,$B$7,$B$3,$B$4,$B$5,$F129,$B$6,AC$10,$A129,$B129)</f>
        <v>8597592</v>
      </c>
      <c r="AD129" s="4">
        <f ca="1">_xll.DBRW($B$1,$B$2,$B$7,$B$3,$B$4,$B$5,$F129,$B$6,AD$10,$A129,$B129)</f>
        <v>8586484</v>
      </c>
      <c r="AE129" s="4">
        <f ca="1">_xll.DBRW($B$1,$B$2,$B$7,$B$3,$B$4,$B$5,$F129,$B$6,AE$10,$A129,$B129)</f>
        <v>8836414</v>
      </c>
    </row>
    <row r="130" spans="1:31">
      <c r="A130" s="1" t="s">
        <v>152</v>
      </c>
      <c r="B130" s="5" t="s">
        <v>39</v>
      </c>
      <c r="C130" s="5" t="s">
        <v>37</v>
      </c>
      <c r="D130" s="5" t="s">
        <v>38</v>
      </c>
      <c r="E130" s="5" t="s">
        <v>21</v>
      </c>
      <c r="F130" s="5" t="s">
        <v>24</v>
      </c>
      <c r="G130" s="6"/>
      <c r="H130" s="6"/>
      <c r="I130" s="6"/>
      <c r="J130" s="6"/>
      <c r="K130" s="6"/>
      <c r="L130" s="4">
        <f ca="1">_xll.DBRW($B$1,$B$2,$B$7,$B$3,$B$4,$B$5,$F130,$B$6,L$10,$A130,$B130)</f>
        <v>7864464</v>
      </c>
      <c r="M130" s="4">
        <f ca="1">_xll.DBRW($B$1,$B$2,$B$7,$B$3,$B$4,$B$5,$F130,$B$6,M$10,$A130,$B130)</f>
        <v>7886680</v>
      </c>
      <c r="N130" s="4">
        <f ca="1">_xll.DBRW($B$1,$B$2,$B$7,$B$3,$B$4,$B$5,$F130,$B$6,N$10,$A130,$B130)</f>
        <v>8197704</v>
      </c>
      <c r="O130" s="4">
        <f ca="1">_xll.DBRW($B$1,$B$2,$B$7,$B$3,$B$4,$B$5,$F130,$B$6,O$10,$A130,$B130)</f>
        <v>8142164</v>
      </c>
      <c r="P130" s="4">
        <f ca="1">_xll.DBRW($B$1,$B$2,$B$7,$B$3,$B$4,$B$5,$F130,$B$6,P$10,$A130,$B130)</f>
        <v>7886680</v>
      </c>
      <c r="Q130" s="4">
        <f ca="1">_xll.DBRW($B$1,$B$2,$B$7,$B$3,$B$4,$B$5,$F130,$B$6,Q$10,$A130,$B130)</f>
        <v>7497900</v>
      </c>
      <c r="R130" s="4">
        <f ca="1">_xll.DBRW($B$1,$B$2,$B$7,$B$3,$B$4,$B$5,$F130,$B$6,R$10,$A130,$B130)</f>
        <v>8653132</v>
      </c>
      <c r="S130" s="4">
        <f ca="1">_xll.DBRW($B$1,$B$2,$B$7,$B$3,$B$4,$B$5,$F130,$B$6,S$10,$A130,$B130)</f>
        <v>9641744</v>
      </c>
      <c r="T130" s="4">
        <f ca="1">_xll.DBRW($B$1,$B$2,$B$7,$B$3,$B$4,$B$5,$F130,$B$6,T$10,$A130,$B130)</f>
        <v>8953048</v>
      </c>
      <c r="U130" s="4">
        <f ca="1">_xll.DBRW($B$1,$B$2,$B$7,$B$3,$B$4,$B$5,$F130,$B$6,U$10,$A130,$B130)</f>
        <v>8019976</v>
      </c>
      <c r="V130" s="4">
        <f ca="1">_xll.DBRW($B$1,$B$2,$B$7,$B$3,$B$4,$B$5,$F130,$B$6,V$10,$A130,$B130)</f>
        <v>8897508</v>
      </c>
      <c r="W130" s="4">
        <f ca="1">_xll.DBRW($B$1,$B$2,$B$7,$B$3,$B$4,$B$5,$F130,$B$6,W$10,$A130,$B130)</f>
        <v>8125502</v>
      </c>
      <c r="X130" s="4">
        <f ca="1">_xll.DBRW($B$1,$B$2,$B$7,$B$3,$B$4,$B$5,$F130,$B$6,X$10,$A130,$B130)</f>
        <v>8553160</v>
      </c>
      <c r="Y130" s="4">
        <f ca="1">_xll.DBRW($B$1,$B$2,$B$7,$B$3,$B$4,$B$5,$F130,$B$6,Y$10,$A130,$B130)</f>
        <v>8231028</v>
      </c>
      <c r="Z130" s="4">
        <f ca="1">_xll.DBRW($B$1,$B$2,$B$7,$B$3,$B$4,$B$5,$F130,$B$6,Z$10,$A130,$B130)</f>
        <v>8436526</v>
      </c>
      <c r="AA130" s="4">
        <f ca="1">_xll.DBRW($B$1,$B$2,$B$7,$B$3,$B$4,$B$5,$F130,$B$6,AA$10,$A130,$B130)</f>
        <v>8553160</v>
      </c>
      <c r="AB130" s="4">
        <f ca="1">_xll.DBRW($B$1,$B$2,$B$7,$B$3,$B$4,$B$5,$F130,$B$6,AB$10,$A130,$B130)</f>
        <v>8114394</v>
      </c>
      <c r="AC130" s="4">
        <f ca="1">_xll.DBRW($B$1,$B$2,$B$7,$B$3,$B$4,$B$5,$F130,$B$6,AC$10,$A130,$B130)</f>
        <v>8597592</v>
      </c>
      <c r="AD130" s="4">
        <f ca="1">_xll.DBRW($B$1,$B$2,$B$7,$B$3,$B$4,$B$5,$F130,$B$6,AD$10,$A130,$B130)</f>
        <v>8586484</v>
      </c>
      <c r="AE130" s="4">
        <f ca="1">_xll.DBRW($B$1,$B$2,$B$7,$B$3,$B$4,$B$5,$F130,$B$6,AE$10,$A130,$B130)</f>
        <v>8525390</v>
      </c>
    </row>
    <row r="131" spans="1:31">
      <c r="A131" s="1" t="s">
        <v>152</v>
      </c>
      <c r="B131" s="5" t="s">
        <v>165</v>
      </c>
      <c r="C131" s="5" t="s">
        <v>166</v>
      </c>
      <c r="D131" s="5" t="s">
        <v>21</v>
      </c>
      <c r="E131" s="5" t="s">
        <v>31</v>
      </c>
      <c r="F131" s="5" t="s">
        <v>24</v>
      </c>
      <c r="G131" s="6"/>
      <c r="H131" s="6"/>
      <c r="I131" s="6"/>
      <c r="J131" s="6"/>
      <c r="K131" s="6"/>
      <c r="L131" s="4">
        <f ca="1">_xll.DBRW($B$1,$B$2,$B$7,$B$3,$B$4,$B$5,$F131,$B$6,L$10,$A131,$B131)</f>
        <v>7450172</v>
      </c>
      <c r="M131" s="4">
        <f ca="1">_xll.DBRW($B$1,$B$2,$B$7,$B$3,$B$4,$B$5,$F131,$B$6,M$10,$A131,$B131)</f>
        <v>7303060</v>
      </c>
      <c r="N131" s="4">
        <f ca="1">_xll.DBRW($B$1,$B$2,$B$7,$B$3,$B$4,$B$5,$F131,$B$6,N$10,$A131,$B131)</f>
        <v>7586776</v>
      </c>
      <c r="O131" s="4">
        <f ca="1">_xll.DBRW($B$1,$B$2,$B$7,$B$3,$B$4,$B$5,$F131,$B$6,O$10,$A131,$B131)</f>
        <v>7523728</v>
      </c>
      <c r="P131" s="4">
        <f ca="1">_xll.DBRW($B$1,$B$2,$B$7,$B$3,$B$4,$B$5,$F131,$B$6,P$10,$A131,$B131)</f>
        <v>7250520</v>
      </c>
      <c r="Q131" s="4">
        <f ca="1">_xll.DBRW($B$1,$B$2,$B$7,$B$3,$B$4,$B$5,$F131,$B$6,Q$10,$A131,$B131)</f>
        <v>7513220</v>
      </c>
      <c r="R131" s="4">
        <f ca="1">_xll.DBRW($B$1,$B$2,$B$7,$B$3,$B$4,$B$5,$F131,$B$6,R$10,$A131,$B131)</f>
        <v>7250520</v>
      </c>
      <c r="S131" s="4">
        <f ca="1">_xll.DBRW($B$1,$B$2,$B$7,$B$3,$B$4,$B$5,$F131,$B$6,S$10,$A131,$B131)</f>
        <v>7492204</v>
      </c>
      <c r="T131" s="4">
        <f ca="1">_xll.DBRW($B$1,$B$2,$B$7,$B$3,$B$4,$B$5,$F131,$B$6,T$10,$A131,$B131)</f>
        <v>7628808</v>
      </c>
      <c r="U131" s="4">
        <f ca="1">_xll.DBRW($B$1,$B$2,$B$7,$B$3,$B$4,$B$5,$F131,$B$6,U$10,$A131,$B131)</f>
        <v>6893248</v>
      </c>
      <c r="V131" s="4">
        <f ca="1">_xll.DBRW($B$1,$B$2,$B$7,$B$3,$B$4,$B$5,$F131,$B$6,V$10,$A131,$B131)</f>
        <v>7618300</v>
      </c>
      <c r="W131" s="4">
        <f ca="1">_xll.DBRW($B$1,$B$2,$B$7,$B$3,$B$4,$B$5,$F131,$B$6,W$10,$A131,$B131)</f>
        <v>7334584</v>
      </c>
      <c r="X131" s="4">
        <f ca="1">_xll.DBRW($B$1,$B$2,$B$7,$B$3,$B$4,$B$5,$F131,$B$6,X$10,$A131,$B131)</f>
        <v>7597284</v>
      </c>
      <c r="Y131" s="4">
        <f ca="1">_xll.DBRW($B$1,$B$2,$B$7,$B$3,$B$4,$B$5,$F131,$B$6,Y$10,$A131,$B131)</f>
        <v>7334584</v>
      </c>
      <c r="Z131" s="4">
        <f ca="1">_xll.DBRW($B$1,$B$2,$B$7,$B$3,$B$4,$B$5,$F131,$B$6,Z$10,$A131,$B131)</f>
        <v>7586776</v>
      </c>
      <c r="AA131" s="4">
        <f ca="1">_xll.DBRW($B$1,$B$2,$B$7,$B$3,$B$4,$B$5,$F131,$B$6,AA$10,$A131,$B131)</f>
        <v>7586776</v>
      </c>
      <c r="AB131" s="4">
        <f ca="1">_xll.DBRW($B$1,$B$2,$B$7,$B$3,$B$4,$B$5,$F131,$B$6,AB$10,$A131,$B131)</f>
        <v>7334584</v>
      </c>
      <c r="AC131" s="4">
        <f ca="1">_xll.DBRW($B$1,$B$2,$B$7,$B$3,$B$4,$B$5,$F131,$B$6,AC$10,$A131,$B131)</f>
        <v>7607792</v>
      </c>
      <c r="AD131" s="4">
        <f ca="1">_xll.DBRW($B$1,$B$2,$B$7,$B$3,$B$4,$B$5,$F131,$B$6,AD$10,$A131,$B131)</f>
        <v>7387124</v>
      </c>
      <c r="AE131" s="4">
        <f ca="1">_xll.DBRW($B$1,$B$2,$B$7,$B$3,$B$4,$B$5,$F131,$B$6,AE$10,$A131,$B131)</f>
        <v>7628808</v>
      </c>
    </row>
    <row r="132" spans="1:31">
      <c r="A132" s="1" t="s">
        <v>152</v>
      </c>
      <c r="B132" s="5" t="s">
        <v>29</v>
      </c>
      <c r="C132" s="5" t="s">
        <v>30</v>
      </c>
      <c r="D132" s="5" t="s">
        <v>31</v>
      </c>
      <c r="E132" s="5" t="s">
        <v>21</v>
      </c>
      <c r="F132" s="5" t="s">
        <v>24</v>
      </c>
      <c r="G132" s="6"/>
      <c r="H132" s="6"/>
      <c r="I132" s="6"/>
      <c r="J132" s="6"/>
      <c r="K132" s="6"/>
      <c r="L132" s="4">
        <f ca="1">_xll.DBRW($B$1,$B$2,$B$7,$B$3,$B$4,$B$5,$F132,$B$6,L$10,$A132,$B132)</f>
        <v>7450172</v>
      </c>
      <c r="M132" s="4">
        <f ca="1">_xll.DBRW($B$1,$B$2,$B$7,$B$3,$B$4,$B$5,$F132,$B$6,M$10,$A132,$B132)</f>
        <v>7303060</v>
      </c>
      <c r="N132" s="4">
        <f ca="1">_xll.DBRW($B$1,$B$2,$B$7,$B$3,$B$4,$B$5,$F132,$B$6,N$10,$A132,$B132)</f>
        <v>7586776</v>
      </c>
      <c r="O132" s="4">
        <f ca="1">_xll.DBRW($B$1,$B$2,$B$7,$B$3,$B$4,$B$5,$F132,$B$6,O$10,$A132,$B132)</f>
        <v>7523728</v>
      </c>
      <c r="P132" s="4">
        <f ca="1">_xll.DBRW($B$1,$B$2,$B$7,$B$3,$B$4,$B$5,$F132,$B$6,P$10,$A132,$B132)</f>
        <v>7250520</v>
      </c>
      <c r="Q132" s="4">
        <f ca="1">_xll.DBRW($B$1,$B$2,$B$7,$B$3,$B$4,$B$5,$F132,$B$6,Q$10,$A132,$B132)</f>
        <v>7513220</v>
      </c>
      <c r="R132" s="4">
        <f ca="1">_xll.DBRW($B$1,$B$2,$B$7,$B$3,$B$4,$B$5,$F132,$B$6,R$10,$A132,$B132)</f>
        <v>7250520</v>
      </c>
      <c r="S132" s="4">
        <f ca="1">_xll.DBRW($B$1,$B$2,$B$7,$B$3,$B$4,$B$5,$F132,$B$6,S$10,$A132,$B132)</f>
        <v>7492204</v>
      </c>
      <c r="T132" s="4">
        <f ca="1">_xll.DBRW($B$1,$B$2,$B$7,$B$3,$B$4,$B$5,$F132,$B$6,T$10,$A132,$B132)</f>
        <v>7628808</v>
      </c>
      <c r="U132" s="4">
        <f ca="1">_xll.DBRW($B$1,$B$2,$B$7,$B$3,$B$4,$B$5,$F132,$B$6,U$10,$A132,$B132)</f>
        <v>6893248</v>
      </c>
      <c r="V132" s="4">
        <f ca="1">_xll.DBRW($B$1,$B$2,$B$7,$B$3,$B$4,$B$5,$F132,$B$6,V$10,$A132,$B132)</f>
        <v>7618300</v>
      </c>
      <c r="W132" s="4">
        <f ca="1">_xll.DBRW($B$1,$B$2,$B$7,$B$3,$B$4,$B$5,$F132,$B$6,W$10,$A132,$B132)</f>
        <v>7334584</v>
      </c>
      <c r="X132" s="4">
        <f ca="1">_xll.DBRW($B$1,$B$2,$B$7,$B$3,$B$4,$B$5,$F132,$B$6,X$10,$A132,$B132)</f>
        <v>7597284</v>
      </c>
      <c r="Y132" s="4">
        <f ca="1">_xll.DBRW($B$1,$B$2,$B$7,$B$3,$B$4,$B$5,$F132,$B$6,Y$10,$A132,$B132)</f>
        <v>7334584</v>
      </c>
      <c r="Z132" s="4">
        <f ca="1">_xll.DBRW($B$1,$B$2,$B$7,$B$3,$B$4,$B$5,$F132,$B$6,Z$10,$A132,$B132)</f>
        <v>7586776</v>
      </c>
      <c r="AA132" s="4">
        <f ca="1">_xll.DBRW($B$1,$B$2,$B$7,$B$3,$B$4,$B$5,$F132,$B$6,AA$10,$A132,$B132)</f>
        <v>7586776</v>
      </c>
      <c r="AB132" s="4">
        <f ca="1">_xll.DBRW($B$1,$B$2,$B$7,$B$3,$B$4,$B$5,$F132,$B$6,AB$10,$A132,$B132)</f>
        <v>7334584</v>
      </c>
      <c r="AC132" s="4">
        <f ca="1">_xll.DBRW($B$1,$B$2,$B$7,$B$3,$B$4,$B$5,$F132,$B$6,AC$10,$A132,$B132)</f>
        <v>7366108</v>
      </c>
      <c r="AD132" s="4">
        <f ca="1">_xll.DBRW($B$1,$B$2,$B$7,$B$3,$B$4,$B$5,$F132,$B$6,AD$10,$A132,$B132)</f>
        <v>7387124</v>
      </c>
      <c r="AE132" s="4">
        <f ca="1">_xll.DBRW($B$1,$B$2,$B$7,$B$3,$B$4,$B$5,$F132,$B$6,AE$10,$A132,$B132)</f>
        <v>7387124</v>
      </c>
    </row>
    <row r="133" spans="1:31">
      <c r="A133" s="1" t="s">
        <v>152</v>
      </c>
      <c r="B133" s="5" t="s">
        <v>167</v>
      </c>
      <c r="C133" s="5" t="s">
        <v>168</v>
      </c>
      <c r="D133" s="5" t="s">
        <v>21</v>
      </c>
      <c r="E133" s="5" t="s">
        <v>76</v>
      </c>
      <c r="F133" s="5" t="s">
        <v>24</v>
      </c>
      <c r="G133" s="6"/>
      <c r="H133" s="6"/>
      <c r="I133" s="6"/>
      <c r="J133" s="6"/>
      <c r="K133" s="6"/>
      <c r="L133" s="4">
        <f ca="1">_xll.DBRW($B$1,$B$2,$B$7,$B$3,$B$4,$B$5,$F133,$B$6,L$10,$A133,$B133)</f>
        <v>9069900</v>
      </c>
      <c r="M133" s="4">
        <f ca="1">_xll.DBRW($B$1,$B$2,$B$7,$B$3,$B$4,$B$5,$F133,$B$6,M$10,$A133,$B133)</f>
        <v>8767570</v>
      </c>
      <c r="N133" s="4">
        <f ca="1">_xll.DBRW($B$1,$B$2,$B$7,$B$3,$B$4,$B$5,$F133,$B$6,N$10,$A133,$B133)</f>
        <v>9069900</v>
      </c>
      <c r="O133" s="4">
        <f ca="1">_xll.DBRW($B$1,$B$2,$B$7,$B$3,$B$4,$B$5,$F133,$B$6,O$10,$A133,$B133)</f>
        <v>9069900</v>
      </c>
      <c r="P133" s="4">
        <f ca="1">_xll.DBRW($B$1,$B$2,$B$7,$B$3,$B$4,$B$5,$F133,$B$6,P$10,$A133,$B133)</f>
        <v>8767570</v>
      </c>
      <c r="Q133" s="4">
        <f ca="1">_xll.DBRW($B$1,$B$2,$B$7,$B$3,$B$4,$B$5,$F133,$B$6,Q$10,$A133,$B133)</f>
        <v>8767570</v>
      </c>
      <c r="R133" s="4">
        <f ca="1">_xll.DBRW($B$1,$B$2,$B$7,$B$3,$B$4,$B$5,$F133,$B$6,R$10,$A133,$B133)</f>
        <v>8767570</v>
      </c>
      <c r="S133" s="4">
        <f ca="1">_xll.DBRW($B$1,$B$2,$B$7,$B$3,$B$4,$B$5,$F133,$B$6,S$10,$A133,$B133)</f>
        <v>9069900</v>
      </c>
      <c r="T133" s="4">
        <f ca="1">_xll.DBRW($B$1,$B$2,$B$7,$B$3,$B$4,$B$5,$F133,$B$6,T$10,$A133,$B133)</f>
        <v>14995568</v>
      </c>
      <c r="U133" s="4">
        <f ca="1">_xll.DBRW($B$1,$B$2,$B$7,$B$3,$B$4,$B$5,$F133,$B$6,U$10,$A133,$B133)</f>
        <v>13544384</v>
      </c>
      <c r="V133" s="4">
        <f ca="1">_xll.DBRW($B$1,$B$2,$B$7,$B$3,$B$4,$B$5,$F133,$B$6,V$10,$A133,$B133)</f>
        <v>14822808</v>
      </c>
      <c r="W133" s="4">
        <f ca="1">_xll.DBRW($B$1,$B$2,$B$7,$B$3,$B$4,$B$5,$F133,$B$6,W$10,$A133,$B133)</f>
        <v>11920440</v>
      </c>
      <c r="X133" s="4">
        <f ca="1">_xll.DBRW($B$1,$B$2,$B$7,$B$3,$B$4,$B$5,$F133,$B$6,X$10,$A133,$B133)</f>
        <v>12317788</v>
      </c>
      <c r="Y133" s="4">
        <f ca="1">_xll.DBRW($B$1,$B$2,$B$7,$B$3,$B$4,$B$5,$F133,$B$6,Y$10,$A133,$B133)</f>
        <v>11920440</v>
      </c>
      <c r="Z133" s="4">
        <f ca="1">_xll.DBRW($B$1,$B$2,$B$7,$B$3,$B$4,$B$5,$F133,$B$6,Z$10,$A133,$B133)</f>
        <v>12317788</v>
      </c>
      <c r="AA133" s="4">
        <f ca="1">_xll.DBRW($B$1,$B$2,$B$7,$B$3,$B$4,$B$5,$F133,$B$6,AA$10,$A133,$B133)</f>
        <v>12317788</v>
      </c>
      <c r="AB133" s="4">
        <f ca="1">_xll.DBRW($B$1,$B$2,$B$7,$B$3,$B$4,$B$5,$F133,$B$6,AB$10,$A133,$B133)</f>
        <v>11920440</v>
      </c>
      <c r="AC133" s="4">
        <f ca="1">_xll.DBRW($B$1,$B$2,$B$7,$B$3,$B$4,$B$5,$F133,$B$6,AC$10,$A133,$B133)</f>
        <v>12836068</v>
      </c>
      <c r="AD133" s="4">
        <f ca="1">_xll.DBRW($B$1,$B$2,$B$7,$B$3,$B$4,$B$5,$F133,$B$6,AD$10,$A133,$B133)</f>
        <v>14511840</v>
      </c>
      <c r="AE133" s="4">
        <f ca="1">_xll.DBRW($B$1,$B$2,$B$7,$B$3,$B$4,$B$5,$F133,$B$6,AE$10,$A133,$B133)</f>
        <v>14995568</v>
      </c>
    </row>
    <row r="134" spans="1:31">
      <c r="A134" s="1" t="s">
        <v>152</v>
      </c>
      <c r="B134" s="5" t="s">
        <v>74</v>
      </c>
      <c r="C134" s="5" t="s">
        <v>75</v>
      </c>
      <c r="D134" s="5" t="s">
        <v>76</v>
      </c>
      <c r="E134" s="5" t="s">
        <v>21</v>
      </c>
      <c r="F134" s="5" t="s">
        <v>24</v>
      </c>
      <c r="G134" s="6"/>
      <c r="H134" s="6"/>
      <c r="I134" s="6"/>
      <c r="J134" s="6"/>
      <c r="K134" s="6"/>
      <c r="L134" s="4">
        <f ca="1">_xll.DBRW($B$1,$B$2,$B$7,$B$3,$B$4,$B$5,$F134,$B$6,L$10,$A134,$B134)</f>
        <v>9069900</v>
      </c>
      <c r="M134" s="4">
        <f ca="1">_xll.DBRW($B$1,$B$2,$B$7,$B$3,$B$4,$B$5,$F134,$B$6,M$10,$A134,$B134)</f>
        <v>8767570</v>
      </c>
      <c r="N134" s="4">
        <f ca="1">_xll.DBRW($B$1,$B$2,$B$7,$B$3,$B$4,$B$5,$F134,$B$6,N$10,$A134,$B134)</f>
        <v>9069900</v>
      </c>
      <c r="O134" s="4">
        <f ca="1">_xll.DBRW($B$1,$B$2,$B$7,$B$3,$B$4,$B$5,$F134,$B$6,O$10,$A134,$B134)</f>
        <v>9069900</v>
      </c>
      <c r="P134" s="4">
        <f ca="1">_xll.DBRW($B$1,$B$2,$B$7,$B$3,$B$4,$B$5,$F134,$B$6,P$10,$A134,$B134)</f>
        <v>8767570</v>
      </c>
      <c r="Q134" s="4">
        <f ca="1">_xll.DBRW($B$1,$B$2,$B$7,$B$3,$B$4,$B$5,$F134,$B$6,Q$10,$A134,$B134)</f>
        <v>8767570</v>
      </c>
      <c r="R134" s="4">
        <f ca="1">_xll.DBRW($B$1,$B$2,$B$7,$B$3,$B$4,$B$5,$F134,$B$6,R$10,$A134,$B134)</f>
        <v>8767570</v>
      </c>
      <c r="S134" s="4">
        <f ca="1">_xll.DBRW($B$1,$B$2,$B$7,$B$3,$B$4,$B$5,$F134,$B$6,S$10,$A134,$B134)</f>
        <v>9069900</v>
      </c>
      <c r="T134" s="4">
        <f ca="1">_xll.DBRW($B$1,$B$2,$B$7,$B$3,$B$4,$B$5,$F134,$B$6,T$10,$A134,$B134)</f>
        <v>14995568</v>
      </c>
      <c r="U134" s="4">
        <f ca="1">_xll.DBRW($B$1,$B$2,$B$7,$B$3,$B$4,$B$5,$F134,$B$6,U$10,$A134,$B134)</f>
        <v>13544384</v>
      </c>
      <c r="V134" s="4">
        <f ca="1">_xll.DBRW($B$1,$B$2,$B$7,$B$3,$B$4,$B$5,$F134,$B$6,V$10,$A134,$B134)</f>
        <v>14822808</v>
      </c>
      <c r="W134" s="4">
        <f ca="1">_xll.DBRW($B$1,$B$2,$B$7,$B$3,$B$4,$B$5,$F134,$B$6,W$10,$A134,$B134)</f>
        <v>11920440</v>
      </c>
      <c r="X134" s="4">
        <f ca="1">_xll.DBRW($B$1,$B$2,$B$7,$B$3,$B$4,$B$5,$F134,$B$6,X$10,$A134,$B134)</f>
        <v>12317788</v>
      </c>
      <c r="Y134" s="4">
        <f ca="1">_xll.DBRW($B$1,$B$2,$B$7,$B$3,$B$4,$B$5,$F134,$B$6,Y$10,$A134,$B134)</f>
        <v>11920440</v>
      </c>
      <c r="Z134" s="4">
        <f ca="1">_xll.DBRW($B$1,$B$2,$B$7,$B$3,$B$4,$B$5,$F134,$B$6,Z$10,$A134,$B134)</f>
        <v>12317788</v>
      </c>
      <c r="AA134" s="4">
        <f ca="1">_xll.DBRW($B$1,$B$2,$B$7,$B$3,$B$4,$B$5,$F134,$B$6,AA$10,$A134,$B134)</f>
        <v>12317788</v>
      </c>
      <c r="AB134" s="4">
        <f ca="1">_xll.DBRW($B$1,$B$2,$B$7,$B$3,$B$4,$B$5,$F134,$B$6,AB$10,$A134,$B134)</f>
        <v>11920440</v>
      </c>
      <c r="AC134" s="4">
        <f ca="1">_xll.DBRW($B$1,$B$2,$B$7,$B$3,$B$4,$B$5,$F134,$B$6,AC$10,$A134,$B134)</f>
        <v>12836068</v>
      </c>
      <c r="AD134" s="4">
        <f ca="1">_xll.DBRW($B$1,$B$2,$B$7,$B$3,$B$4,$B$5,$F134,$B$6,AD$10,$A134,$B134)</f>
        <v>14511840</v>
      </c>
      <c r="AE134" s="4">
        <f ca="1">_xll.DBRW($B$1,$B$2,$B$7,$B$3,$B$4,$B$5,$F134,$B$6,AE$10,$A134,$B134)</f>
        <v>14995568</v>
      </c>
    </row>
    <row r="135" spans="1:31">
      <c r="A135" s="1" t="s">
        <v>152</v>
      </c>
      <c r="B135" s="5" t="s">
        <v>169</v>
      </c>
      <c r="C135" s="5" t="s">
        <v>170</v>
      </c>
      <c r="D135" s="5" t="s">
        <v>21</v>
      </c>
      <c r="E135" s="5" t="s">
        <v>35</v>
      </c>
      <c r="F135" s="5" t="s">
        <v>24</v>
      </c>
      <c r="G135" s="6"/>
      <c r="H135" s="6"/>
      <c r="I135" s="6"/>
      <c r="J135" s="6"/>
      <c r="K135" s="6"/>
      <c r="L135" s="4">
        <f ca="1">_xll.DBRW($B$1,$B$2,$B$7,$B$3,$B$4,$B$5,$F135,$B$6,L$10,$A135,$B135)</f>
        <v>10129904</v>
      </c>
      <c r="M135" s="4">
        <f ca="1">_xll.DBRW($B$1,$B$2,$B$7,$B$3,$B$4,$B$5,$F135,$B$6,M$10,$A135,$B135)</f>
        <v>9940560</v>
      </c>
      <c r="N135" s="4">
        <f ca="1">_xll.DBRW($B$1,$B$2,$B$7,$B$3,$B$4,$B$5,$F135,$B$6,N$10,$A135,$B135)</f>
        <v>10271912</v>
      </c>
      <c r="O135" s="4">
        <f ca="1">_xll.DBRW($B$1,$B$2,$B$7,$B$3,$B$4,$B$5,$F135,$B$6,O$10,$A135,$B135)</f>
        <v>10271912</v>
      </c>
      <c r="P135" s="4">
        <f ca="1">_xll.DBRW($B$1,$B$2,$B$7,$B$3,$B$4,$B$5,$F135,$B$6,P$10,$A135,$B135)</f>
        <v>6834135</v>
      </c>
      <c r="Q135" s="4">
        <f ca="1">_xll.DBRW($B$1,$B$2,$B$7,$B$3,$B$4,$B$5,$F135,$B$6,Q$10,$A135,$B135)</f>
        <v>6419945</v>
      </c>
      <c r="R135" s="4">
        <f ca="1">_xll.DBRW($B$1,$B$2,$B$7,$B$3,$B$4,$B$5,$F135,$B$6,R$10,$A135,$B135)</f>
        <v>6538285</v>
      </c>
      <c r="S135" s="4">
        <f ca="1">_xll.DBRW($B$1,$B$2,$B$7,$B$3,$B$4,$B$5,$F135,$B$6,S$10,$A135,$B135)</f>
        <v>6680293</v>
      </c>
      <c r="T135" s="4">
        <f ca="1">_xll.DBRW($B$1,$B$2,$B$7,$B$3,$B$4,$B$5,$F135,$B$6,T$10,$A135,$B135)</f>
        <v>8532314</v>
      </c>
      <c r="U135" s="4">
        <f ca="1">_xll.DBRW($B$1,$B$2,$B$7,$B$3,$B$4,$B$5,$F135,$B$6,U$10,$A135,$B135)</f>
        <v>7715768</v>
      </c>
      <c r="V135" s="4">
        <f ca="1">_xll.DBRW($B$1,$B$2,$B$7,$B$3,$B$4,$B$5,$F135,$B$6,V$10,$A135,$B135)</f>
        <v>8650654</v>
      </c>
      <c r="W135" s="4">
        <f ca="1">_xll.DBRW($B$1,$B$2,$B$7,$B$3,$B$4,$B$5,$F135,$B$6,W$10,$A135,$B135)</f>
        <v>9940560</v>
      </c>
      <c r="X135" s="4">
        <f ca="1">_xll.DBRW($B$1,$B$2,$B$7,$B$3,$B$4,$B$5,$F135,$B$6,X$10,$A135,$B135)</f>
        <v>10271912</v>
      </c>
      <c r="Y135" s="4">
        <f ca="1">_xll.DBRW($B$1,$B$2,$B$7,$B$3,$B$4,$B$5,$F135,$B$6,Y$10,$A135,$B135)</f>
        <v>9940560</v>
      </c>
      <c r="Z135" s="4">
        <f ca="1">_xll.DBRW($B$1,$B$2,$B$7,$B$3,$B$4,$B$5,$F135,$B$6,Z$10,$A135,$B135)</f>
        <v>10271912</v>
      </c>
      <c r="AA135" s="4">
        <f ca="1">_xll.DBRW($B$1,$B$2,$B$7,$B$3,$B$4,$B$5,$F135,$B$6,AA$10,$A135,$B135)</f>
        <v>10271912</v>
      </c>
      <c r="AB135" s="4">
        <f ca="1">_xll.DBRW($B$1,$B$2,$B$7,$B$3,$B$4,$B$5,$F135,$B$6,AB$10,$A135,$B135)</f>
        <v>9940560</v>
      </c>
      <c r="AC135" s="4">
        <f ca="1">_xll.DBRW($B$1,$B$2,$B$7,$B$3,$B$4,$B$5,$F135,$B$6,AC$10,$A135,$B135)</f>
        <v>9940560</v>
      </c>
      <c r="AD135" s="4">
        <f ca="1">_xll.DBRW($B$1,$B$2,$B$7,$B$3,$B$4,$B$5,$F135,$B$6,AD$10,$A135,$B135)</f>
        <v>8271966</v>
      </c>
      <c r="AE135" s="4">
        <f ca="1">_xll.DBRW($B$1,$B$2,$B$7,$B$3,$B$4,$B$5,$F135,$B$6,AE$10,$A135,$B135)</f>
        <v>8544148</v>
      </c>
    </row>
    <row r="136" spans="1:31">
      <c r="A136" s="1" t="s">
        <v>152</v>
      </c>
      <c r="B136" s="5" t="s">
        <v>33</v>
      </c>
      <c r="C136" s="5" t="s">
        <v>34</v>
      </c>
      <c r="D136" s="5" t="s">
        <v>35</v>
      </c>
      <c r="E136" s="5" t="s">
        <v>21</v>
      </c>
      <c r="F136" s="5" t="s">
        <v>24</v>
      </c>
      <c r="G136" s="6"/>
      <c r="H136" s="6"/>
      <c r="I136" s="6"/>
      <c r="J136" s="6"/>
      <c r="K136" s="6"/>
      <c r="L136" s="4">
        <f ca="1">_xll.DBRW($B$1,$B$2,$B$7,$B$3,$B$4,$B$5,$F136,$B$6,L$10,$A136,$B136)</f>
        <v>10129904</v>
      </c>
      <c r="M136" s="4">
        <f ca="1">_xll.DBRW($B$1,$B$2,$B$7,$B$3,$B$4,$B$5,$F136,$B$6,M$10,$A136,$B136)</f>
        <v>9940560</v>
      </c>
      <c r="N136" s="4">
        <f ca="1">_xll.DBRW($B$1,$B$2,$B$7,$B$3,$B$4,$B$5,$F136,$B$6,N$10,$A136,$B136)</f>
        <v>10271912</v>
      </c>
      <c r="O136" s="4">
        <f ca="1">_xll.DBRW($B$1,$B$2,$B$7,$B$3,$B$4,$B$5,$F136,$B$6,O$10,$A136,$B136)</f>
        <v>10271912</v>
      </c>
      <c r="P136" s="4">
        <f ca="1">_xll.DBRW($B$1,$B$2,$B$7,$B$3,$B$4,$B$5,$F136,$B$6,P$10,$A136,$B136)</f>
        <v>6834135</v>
      </c>
      <c r="Q136" s="4">
        <f ca="1">_xll.DBRW($B$1,$B$2,$B$7,$B$3,$B$4,$B$5,$F136,$B$6,Q$10,$A136,$B136)</f>
        <v>6419945</v>
      </c>
      <c r="R136" s="4">
        <f ca="1">_xll.DBRW($B$1,$B$2,$B$7,$B$3,$B$4,$B$5,$F136,$B$6,R$10,$A136,$B136)</f>
        <v>6538285</v>
      </c>
      <c r="S136" s="4">
        <f ca="1">_xll.DBRW($B$1,$B$2,$B$7,$B$3,$B$4,$B$5,$F136,$B$6,S$10,$A136,$B136)</f>
        <v>6680293</v>
      </c>
      <c r="T136" s="4">
        <f ca="1">_xll.DBRW($B$1,$B$2,$B$7,$B$3,$B$4,$B$5,$F136,$B$6,T$10,$A136,$B136)</f>
        <v>8532314</v>
      </c>
      <c r="U136" s="4">
        <f ca="1">_xll.DBRW($B$1,$B$2,$B$7,$B$3,$B$4,$B$5,$F136,$B$6,U$10,$A136,$B136)</f>
        <v>7715768</v>
      </c>
      <c r="V136" s="4">
        <f ca="1">_xll.DBRW($B$1,$B$2,$B$7,$B$3,$B$4,$B$5,$F136,$B$6,V$10,$A136,$B136)</f>
        <v>8650654</v>
      </c>
      <c r="W136" s="4">
        <f ca="1">_xll.DBRW($B$1,$B$2,$B$7,$B$3,$B$4,$B$5,$F136,$B$6,W$10,$A136,$B136)</f>
        <v>9940560</v>
      </c>
      <c r="X136" s="4">
        <f ca="1">_xll.DBRW($B$1,$B$2,$B$7,$B$3,$B$4,$B$5,$F136,$B$6,X$10,$A136,$B136)</f>
        <v>10271912</v>
      </c>
      <c r="Y136" s="4">
        <f ca="1">_xll.DBRW($B$1,$B$2,$B$7,$B$3,$B$4,$B$5,$F136,$B$6,Y$10,$A136,$B136)</f>
        <v>9940560</v>
      </c>
      <c r="Z136" s="4">
        <f ca="1">_xll.DBRW($B$1,$B$2,$B$7,$B$3,$B$4,$B$5,$F136,$B$6,Z$10,$A136,$B136)</f>
        <v>10271912</v>
      </c>
      <c r="AA136" s="4">
        <f ca="1">_xll.DBRW($B$1,$B$2,$B$7,$B$3,$B$4,$B$5,$F136,$B$6,AA$10,$A136,$B136)</f>
        <v>10271912</v>
      </c>
      <c r="AB136" s="4">
        <f ca="1">_xll.DBRW($B$1,$B$2,$B$7,$B$3,$B$4,$B$5,$F136,$B$6,AB$10,$A136,$B136)</f>
        <v>9940560</v>
      </c>
      <c r="AC136" s="4">
        <f ca="1">_xll.DBRW($B$1,$B$2,$B$7,$B$3,$B$4,$B$5,$F136,$B$6,AC$10,$A136,$B136)</f>
        <v>9656544</v>
      </c>
      <c r="AD136" s="4">
        <f ca="1">_xll.DBRW($B$1,$B$2,$B$7,$B$3,$B$4,$B$5,$F136,$B$6,AD$10,$A136,$B136)</f>
        <v>8271966</v>
      </c>
      <c r="AE136" s="4">
        <f ca="1">_xll.DBRW($B$1,$B$2,$B$7,$B$3,$B$4,$B$5,$F136,$B$6,AE$10,$A136,$B136)</f>
        <v>8544148</v>
      </c>
    </row>
    <row r="137" spans="1:31">
      <c r="A137" s="1" t="s">
        <v>152</v>
      </c>
      <c r="B137" s="5" t="s">
        <v>171</v>
      </c>
      <c r="C137" s="5" t="s">
        <v>163</v>
      </c>
      <c r="D137" s="5" t="s">
        <v>21</v>
      </c>
      <c r="E137" s="5" t="s">
        <v>54</v>
      </c>
      <c r="F137" s="5" t="s">
        <v>24</v>
      </c>
      <c r="G137" s="6"/>
      <c r="H137" s="6"/>
      <c r="I137" s="6"/>
      <c r="J137" s="6"/>
      <c r="K137" s="6"/>
      <c r="L137" s="4">
        <f ca="1">_xll.DBRW($B$1,$B$2,$B$7,$B$3,$B$4,$B$5,$F137,$B$6,L$10,$A137,$B137)</f>
        <v>14750400</v>
      </c>
      <c r="M137" s="4">
        <f ca="1">_xll.DBRW($B$1,$B$2,$B$7,$B$3,$B$4,$B$5,$F137,$B$6,M$10,$A137,$B137)</f>
        <v>14258720</v>
      </c>
      <c r="N137" s="4">
        <f ca="1">_xll.DBRW($B$1,$B$2,$B$7,$B$3,$B$4,$B$5,$F137,$B$6,N$10,$A137,$B137)</f>
        <v>12107620</v>
      </c>
      <c r="O137" s="4">
        <f ca="1">_xll.DBRW($B$1,$B$2,$B$7,$B$3,$B$4,$B$5,$F137,$B$6,O$10,$A137,$B137)</f>
        <v>9526300</v>
      </c>
      <c r="P137" s="4">
        <f ca="1">_xll.DBRW($B$1,$B$2,$B$7,$B$3,$B$4,$B$5,$F137,$B$6,P$10,$A137,$B137)</f>
        <v>13828500</v>
      </c>
      <c r="Q137" s="4">
        <f ca="1">_xll.DBRW($B$1,$B$2,$B$7,$B$3,$B$4,$B$5,$F137,$B$6,Q$10,$A137,$B137)</f>
        <v>13828500</v>
      </c>
      <c r="R137" s="4">
        <f ca="1">_xll.DBRW($B$1,$B$2,$B$7,$B$3,$B$4,$B$5,$F137,$B$6,R$10,$A137,$B137)</f>
        <v>9219000</v>
      </c>
      <c r="S137" s="4">
        <f ca="1">_xll.DBRW($B$1,$B$2,$B$7,$B$3,$B$4,$B$5,$F137,$B$6,S$10,$A137,$B137)</f>
        <v>9526300</v>
      </c>
      <c r="T137" s="4">
        <f ca="1">_xll.DBRW($B$1,$B$2,$B$7,$B$3,$B$4,$B$5,$F137,$B$6,T$10,$A137,$B137)</f>
        <v>15242080</v>
      </c>
      <c r="U137" s="4">
        <f ca="1">_xll.DBRW($B$1,$B$2,$B$7,$B$3,$B$4,$B$5,$F137,$B$6,U$10,$A137,$B137)</f>
        <v>13767040</v>
      </c>
      <c r="V137" s="4">
        <f ca="1">_xll.DBRW($B$1,$B$2,$B$7,$B$3,$B$4,$B$5,$F137,$B$6,V$10,$A137,$B137)</f>
        <v>14873320</v>
      </c>
      <c r="W137" s="4">
        <f ca="1">_xll.DBRW($B$1,$B$2,$B$7,$B$3,$B$4,$B$5,$F137,$B$6,W$10,$A137,$B137)</f>
        <v>9219000</v>
      </c>
      <c r="X137" s="4">
        <f ca="1">_xll.DBRW($B$1,$B$2,$B$7,$B$3,$B$4,$B$5,$F137,$B$6,X$10,$A137,$B137)</f>
        <v>9526300</v>
      </c>
      <c r="Y137" s="4">
        <f ca="1">_xll.DBRW($B$1,$B$2,$B$7,$B$3,$B$4,$B$5,$F137,$B$6,Y$10,$A137,$B137)</f>
        <v>9219000</v>
      </c>
      <c r="Z137" s="4">
        <f ca="1">_xll.DBRW($B$1,$B$2,$B$7,$B$3,$B$4,$B$5,$F137,$B$6,Z$10,$A137,$B137)</f>
        <v>9526300</v>
      </c>
      <c r="AA137" s="4">
        <f ca="1">_xll.DBRW($B$1,$B$2,$B$7,$B$3,$B$4,$B$5,$F137,$B$6,AA$10,$A137,$B137)</f>
        <v>9526300</v>
      </c>
      <c r="AB137" s="4">
        <f ca="1">_xll.DBRW($B$1,$B$2,$B$7,$B$3,$B$4,$B$5,$F137,$B$6,AB$10,$A137,$B137)</f>
        <v>9219000</v>
      </c>
      <c r="AC137" s="4">
        <f ca="1">_xll.DBRW($B$1,$B$2,$B$7,$B$3,$B$4,$B$5,$F137,$B$6,AC$10,$A137,$B137)</f>
        <v>10632580</v>
      </c>
      <c r="AD137" s="4">
        <f ca="1">_xll.DBRW($B$1,$B$2,$B$7,$B$3,$B$4,$B$5,$F137,$B$6,AD$10,$A137,$B137)</f>
        <v>14750400</v>
      </c>
      <c r="AE137" s="4">
        <f ca="1">_xll.DBRW($B$1,$B$2,$B$7,$B$3,$B$4,$B$5,$F137,$B$6,AE$10,$A137,$B137)</f>
        <v>15242080</v>
      </c>
    </row>
    <row r="138" spans="1:31">
      <c r="A138" s="1" t="s">
        <v>152</v>
      </c>
      <c r="B138" s="5" t="s">
        <v>55</v>
      </c>
      <c r="C138" s="5" t="s">
        <v>53</v>
      </c>
      <c r="D138" s="5" t="s">
        <v>54</v>
      </c>
      <c r="E138" s="5" t="s">
        <v>21</v>
      </c>
      <c r="F138" s="5" t="s">
        <v>24</v>
      </c>
      <c r="G138" s="6"/>
      <c r="H138" s="6"/>
      <c r="I138" s="6"/>
      <c r="J138" s="6"/>
      <c r="K138" s="6"/>
      <c r="L138" s="4">
        <f ca="1">_xll.DBRW($B$1,$B$2,$B$7,$B$3,$B$4,$B$5,$F138,$B$6,L$10,$A138,$B138)</f>
        <v>14750400</v>
      </c>
      <c r="M138" s="4">
        <f ca="1">_xll.DBRW($B$1,$B$2,$B$7,$B$3,$B$4,$B$5,$F138,$B$6,M$10,$A138,$B138)</f>
        <v>14258720</v>
      </c>
      <c r="N138" s="4">
        <f ca="1">_xll.DBRW($B$1,$B$2,$B$7,$B$3,$B$4,$B$5,$F138,$B$6,N$10,$A138,$B138)</f>
        <v>12107620</v>
      </c>
      <c r="O138" s="4">
        <f ca="1">_xll.DBRW($B$1,$B$2,$B$7,$B$3,$B$4,$B$5,$F138,$B$6,O$10,$A138,$B138)</f>
        <v>9526300</v>
      </c>
      <c r="P138" s="4">
        <f ca="1">_xll.DBRW($B$1,$B$2,$B$7,$B$3,$B$4,$B$5,$F138,$B$6,P$10,$A138,$B138)</f>
        <v>13828500</v>
      </c>
      <c r="Q138" s="4">
        <f ca="1">_xll.DBRW($B$1,$B$2,$B$7,$B$3,$B$4,$B$5,$F138,$B$6,Q$10,$A138,$B138)</f>
        <v>13828500</v>
      </c>
      <c r="R138" s="4">
        <f ca="1">_xll.DBRW($B$1,$B$2,$B$7,$B$3,$B$4,$B$5,$F138,$B$6,R$10,$A138,$B138)</f>
        <v>9219000</v>
      </c>
      <c r="S138" s="4">
        <f ca="1">_xll.DBRW($B$1,$B$2,$B$7,$B$3,$B$4,$B$5,$F138,$B$6,S$10,$A138,$B138)</f>
        <v>9526300</v>
      </c>
      <c r="T138" s="4">
        <f ca="1">_xll.DBRW($B$1,$B$2,$B$7,$B$3,$B$4,$B$5,$F138,$B$6,T$10,$A138,$B138)</f>
        <v>15242080</v>
      </c>
      <c r="U138" s="4">
        <f ca="1">_xll.DBRW($B$1,$B$2,$B$7,$B$3,$B$4,$B$5,$F138,$B$6,U$10,$A138,$B138)</f>
        <v>13767040</v>
      </c>
      <c r="V138" s="4">
        <f ca="1">_xll.DBRW($B$1,$B$2,$B$7,$B$3,$B$4,$B$5,$F138,$B$6,V$10,$A138,$B138)</f>
        <v>14873320</v>
      </c>
      <c r="W138" s="4">
        <f ca="1">_xll.DBRW($B$1,$B$2,$B$7,$B$3,$B$4,$B$5,$F138,$B$6,W$10,$A138,$B138)</f>
        <v>9219000</v>
      </c>
      <c r="X138" s="4">
        <f ca="1">_xll.DBRW($B$1,$B$2,$B$7,$B$3,$B$4,$B$5,$F138,$B$6,X$10,$A138,$B138)</f>
        <v>9526300</v>
      </c>
      <c r="Y138" s="4">
        <f ca="1">_xll.DBRW($B$1,$B$2,$B$7,$B$3,$B$4,$B$5,$F138,$B$6,Y$10,$A138,$B138)</f>
        <v>9219000</v>
      </c>
      <c r="Z138" s="4">
        <f ca="1">_xll.DBRW($B$1,$B$2,$B$7,$B$3,$B$4,$B$5,$F138,$B$6,Z$10,$A138,$B138)</f>
        <v>9526300</v>
      </c>
      <c r="AA138" s="4">
        <f ca="1">_xll.DBRW($B$1,$B$2,$B$7,$B$3,$B$4,$B$5,$F138,$B$6,AA$10,$A138,$B138)</f>
        <v>9526300</v>
      </c>
      <c r="AB138" s="4">
        <f ca="1">_xll.DBRW($B$1,$B$2,$B$7,$B$3,$B$4,$B$5,$F138,$B$6,AB$10,$A138,$B138)</f>
        <v>9219000</v>
      </c>
      <c r="AC138" s="4">
        <f ca="1">_xll.DBRW($B$1,$B$2,$B$7,$B$3,$B$4,$B$5,$F138,$B$6,AC$10,$A138,$B138)</f>
        <v>10325280</v>
      </c>
      <c r="AD138" s="4">
        <f ca="1">_xll.DBRW($B$1,$B$2,$B$7,$B$3,$B$4,$B$5,$F138,$B$6,AD$10,$A138,$B138)</f>
        <v>14750400</v>
      </c>
      <c r="AE138" s="4">
        <f ca="1">_xll.DBRW($B$1,$B$2,$B$7,$B$3,$B$4,$B$5,$F138,$B$6,AE$10,$A138,$B138)</f>
        <v>14750400</v>
      </c>
    </row>
    <row r="139" spans="1:31">
      <c r="A139" s="1" t="s">
        <v>152</v>
      </c>
      <c r="B139" s="5" t="s">
        <v>172</v>
      </c>
      <c r="C139" s="5" t="s">
        <v>159</v>
      </c>
      <c r="D139" s="5" t="s">
        <v>21</v>
      </c>
      <c r="E139" s="5" t="s">
        <v>38</v>
      </c>
      <c r="F139" s="5" t="s">
        <v>24</v>
      </c>
      <c r="G139" s="6"/>
      <c r="H139" s="6"/>
      <c r="I139" s="6"/>
      <c r="J139" s="6"/>
      <c r="K139" s="6"/>
      <c r="L139" s="4">
        <f ca="1">_xll.DBRW($B$1,$B$2,$B$7,$B$3,$B$4,$B$5,$F139,$B$6,L$10,$A139,$B139)</f>
        <v>9641744</v>
      </c>
      <c r="M139" s="4">
        <f ca="1">_xll.DBRW($B$1,$B$2,$B$7,$B$3,$B$4,$B$5,$F139,$B$6,M$10,$A139,$B139)</f>
        <v>9330720</v>
      </c>
      <c r="N139" s="4">
        <f ca="1">_xll.DBRW($B$1,$B$2,$B$7,$B$3,$B$4,$B$5,$F139,$B$6,N$10,$A139,$B139)</f>
        <v>9641744</v>
      </c>
      <c r="O139" s="4">
        <f ca="1">_xll.DBRW($B$1,$B$2,$B$7,$B$3,$B$4,$B$5,$F139,$B$6,O$10,$A139,$B139)</f>
        <v>9641744</v>
      </c>
      <c r="P139" s="4">
        <f ca="1">_xll.DBRW($B$1,$B$2,$B$7,$B$3,$B$4,$B$5,$F139,$B$6,P$10,$A139,$B139)</f>
        <v>9330720</v>
      </c>
      <c r="Q139" s="4">
        <f ca="1">_xll.DBRW($B$1,$B$2,$B$7,$B$3,$B$4,$B$5,$F139,$B$6,Q$10,$A139,$B139)</f>
        <v>9375152</v>
      </c>
      <c r="R139" s="4">
        <f ca="1">_xll.DBRW($B$1,$B$2,$B$7,$B$3,$B$4,$B$5,$F139,$B$6,R$10,$A139,$B139)</f>
        <v>7253524</v>
      </c>
      <c r="S139" s="4">
        <f ca="1">_xll.DBRW($B$1,$B$2,$B$7,$B$3,$B$4,$B$5,$F139,$B$6,S$10,$A139,$B139)</f>
        <v>7497900</v>
      </c>
      <c r="T139" s="4">
        <f ca="1">_xll.DBRW($B$1,$B$2,$B$7,$B$3,$B$4,$B$5,$F139,$B$6,T$10,$A139,$B139)</f>
        <v>6026090</v>
      </c>
      <c r="U139" s="4">
        <f ca="1">_xll.DBRW($B$1,$B$2,$B$7,$B$3,$B$4,$B$5,$F139,$B$6,U$10,$A139,$B139)</f>
        <v>5442920</v>
      </c>
      <c r="V139" s="4">
        <f ca="1">_xll.DBRW($B$1,$B$2,$B$7,$B$3,$B$4,$B$5,$F139,$B$6,V$10,$A139,$B139)</f>
        <v>6026090</v>
      </c>
      <c r="W139" s="4">
        <f ca="1">_xll.DBRW($B$1,$B$2,$B$7,$B$3,$B$4,$B$5,$F139,$B$6,W$10,$A139,$B139)</f>
        <v>5831700</v>
      </c>
      <c r="X139" s="4">
        <f ca="1">_xll.DBRW($B$1,$B$2,$B$7,$B$3,$B$4,$B$5,$F139,$B$6,X$10,$A139,$B139)</f>
        <v>6026090</v>
      </c>
      <c r="Y139" s="4">
        <f ca="1">_xll.DBRW($B$1,$B$2,$B$7,$B$3,$B$4,$B$5,$F139,$B$6,Y$10,$A139,$B139)</f>
        <v>5831700</v>
      </c>
      <c r="Z139" s="4">
        <f ca="1">_xll.DBRW($B$1,$B$2,$B$7,$B$3,$B$4,$B$5,$F139,$B$6,Z$10,$A139,$B139)</f>
        <v>6026090</v>
      </c>
      <c r="AA139" s="4">
        <f ca="1">_xll.DBRW($B$1,$B$2,$B$7,$B$3,$B$4,$B$5,$F139,$B$6,AA$10,$A139,$B139)</f>
        <v>6026090</v>
      </c>
      <c r="AB139" s="4">
        <f ca="1">_xll.DBRW($B$1,$B$2,$B$7,$B$3,$B$4,$B$5,$F139,$B$6,AB$10,$A139,$B139)</f>
        <v>5831700</v>
      </c>
      <c r="AC139" s="4">
        <f ca="1">_xll.DBRW($B$1,$B$2,$B$7,$B$3,$B$4,$B$5,$F139,$B$6,AC$10,$A139,$B139)</f>
        <v>6026090</v>
      </c>
      <c r="AD139" s="4">
        <f ca="1">_xll.DBRW($B$1,$B$2,$B$7,$B$3,$B$4,$B$5,$F139,$B$6,AD$10,$A139,$B139)</f>
        <v>5831700</v>
      </c>
      <c r="AE139" s="4">
        <f ca="1">_xll.DBRW($B$1,$B$2,$B$7,$B$3,$B$4,$B$5,$F139,$B$6,AE$10,$A139,$B139)</f>
        <v>6026090</v>
      </c>
    </row>
    <row r="140" spans="1:31">
      <c r="A140" s="1" t="s">
        <v>152</v>
      </c>
      <c r="B140" s="5" t="s">
        <v>40</v>
      </c>
      <c r="C140" s="5" t="s">
        <v>37</v>
      </c>
      <c r="D140" s="5" t="s">
        <v>38</v>
      </c>
      <c r="E140" s="5" t="s">
        <v>21</v>
      </c>
      <c r="F140" s="5" t="s">
        <v>24</v>
      </c>
      <c r="G140" s="6"/>
      <c r="H140" s="6"/>
      <c r="I140" s="6"/>
      <c r="J140" s="6"/>
      <c r="K140" s="6"/>
      <c r="L140" s="4">
        <f ca="1">_xll.DBRW($B$1,$B$2,$B$7,$B$3,$B$4,$B$5,$F140,$B$6,L$10,$A140,$B140)</f>
        <v>9641744</v>
      </c>
      <c r="M140" s="4">
        <f ca="1">_xll.DBRW($B$1,$B$2,$B$7,$B$3,$B$4,$B$5,$F140,$B$6,M$10,$A140,$B140)</f>
        <v>9330720</v>
      </c>
      <c r="N140" s="4">
        <f ca="1">_xll.DBRW($B$1,$B$2,$B$7,$B$3,$B$4,$B$5,$F140,$B$6,N$10,$A140,$B140)</f>
        <v>9641744</v>
      </c>
      <c r="O140" s="4">
        <f ca="1">_xll.DBRW($B$1,$B$2,$B$7,$B$3,$B$4,$B$5,$F140,$B$6,O$10,$A140,$B140)</f>
        <v>9641744</v>
      </c>
      <c r="P140" s="4">
        <f ca="1">_xll.DBRW($B$1,$B$2,$B$7,$B$3,$B$4,$B$5,$F140,$B$6,P$10,$A140,$B140)</f>
        <v>9330720</v>
      </c>
      <c r="Q140" s="4">
        <f ca="1">_xll.DBRW($B$1,$B$2,$B$7,$B$3,$B$4,$B$5,$F140,$B$6,Q$10,$A140,$B140)</f>
        <v>9375152</v>
      </c>
      <c r="R140" s="4">
        <f ca="1">_xll.DBRW($B$1,$B$2,$B$7,$B$3,$B$4,$B$5,$F140,$B$6,R$10,$A140,$B140)</f>
        <v>7253524</v>
      </c>
      <c r="S140" s="4">
        <f ca="1">_xll.DBRW($B$1,$B$2,$B$7,$B$3,$B$4,$B$5,$F140,$B$6,S$10,$A140,$B140)</f>
        <v>7497900</v>
      </c>
      <c r="T140" s="4">
        <f ca="1">_xll.DBRW($B$1,$B$2,$B$7,$B$3,$B$4,$B$5,$F140,$B$6,T$10,$A140,$B140)</f>
        <v>6026090</v>
      </c>
      <c r="U140" s="4">
        <f ca="1">_xll.DBRW($B$1,$B$2,$B$7,$B$3,$B$4,$B$5,$F140,$B$6,U$10,$A140,$B140)</f>
        <v>5442920</v>
      </c>
      <c r="V140" s="4">
        <f ca="1">_xll.DBRW($B$1,$B$2,$B$7,$B$3,$B$4,$B$5,$F140,$B$6,V$10,$A140,$B140)</f>
        <v>6026090</v>
      </c>
      <c r="W140" s="4">
        <f ca="1">_xll.DBRW($B$1,$B$2,$B$7,$B$3,$B$4,$B$5,$F140,$B$6,W$10,$A140,$B140)</f>
        <v>5831700</v>
      </c>
      <c r="X140" s="4">
        <f ca="1">_xll.DBRW($B$1,$B$2,$B$7,$B$3,$B$4,$B$5,$F140,$B$6,X$10,$A140,$B140)</f>
        <v>6026090</v>
      </c>
      <c r="Y140" s="4">
        <f ca="1">_xll.DBRW($B$1,$B$2,$B$7,$B$3,$B$4,$B$5,$F140,$B$6,Y$10,$A140,$B140)</f>
        <v>5831700</v>
      </c>
      <c r="Z140" s="4">
        <f ca="1">_xll.DBRW($B$1,$B$2,$B$7,$B$3,$B$4,$B$5,$F140,$B$6,Z$10,$A140,$B140)</f>
        <v>6026090</v>
      </c>
      <c r="AA140" s="4">
        <f ca="1">_xll.DBRW($B$1,$B$2,$B$7,$B$3,$B$4,$B$5,$F140,$B$6,AA$10,$A140,$B140)</f>
        <v>6026090</v>
      </c>
      <c r="AB140" s="4">
        <f ca="1">_xll.DBRW($B$1,$B$2,$B$7,$B$3,$B$4,$B$5,$F140,$B$6,AB$10,$A140,$B140)</f>
        <v>5831700</v>
      </c>
      <c r="AC140" s="4">
        <f ca="1">_xll.DBRW($B$1,$B$2,$B$7,$B$3,$B$4,$B$5,$F140,$B$6,AC$10,$A140,$B140)</f>
        <v>6026090</v>
      </c>
      <c r="AD140" s="4">
        <f ca="1">_xll.DBRW($B$1,$B$2,$B$7,$B$3,$B$4,$B$5,$F140,$B$6,AD$10,$A140,$B140)</f>
        <v>5831700</v>
      </c>
      <c r="AE140" s="4">
        <f ca="1">_xll.DBRW($B$1,$B$2,$B$7,$B$3,$B$4,$B$5,$F140,$B$6,AE$10,$A140,$B140)</f>
        <v>6026090</v>
      </c>
    </row>
    <row r="141" spans="1:31">
      <c r="A141" s="1" t="s">
        <v>152</v>
      </c>
      <c r="B141" s="5" t="s">
        <v>173</v>
      </c>
      <c r="C141" s="5" t="s">
        <v>168</v>
      </c>
      <c r="D141" s="5" t="s">
        <v>21</v>
      </c>
      <c r="E141" s="5" t="s">
        <v>76</v>
      </c>
      <c r="F141" s="5" t="s">
        <v>24</v>
      </c>
      <c r="G141" s="6"/>
      <c r="H141" s="6"/>
      <c r="I141" s="6"/>
      <c r="J141" s="6"/>
      <c r="K141" s="6"/>
      <c r="L141" s="4">
        <f ca="1">_xll.DBRW($B$1,$B$2,$B$7,$B$3,$B$4,$B$5,$F141,$B$6,L$10,$A141,$B141)</f>
        <v>9372230</v>
      </c>
      <c r="M141" s="4">
        <f ca="1">_xll.DBRW($B$1,$B$2,$B$7,$B$3,$B$4,$B$5,$F141,$B$6,M$10,$A141,$B141)</f>
        <v>9069900</v>
      </c>
      <c r="N141" s="4">
        <f ca="1">_xll.DBRW($B$1,$B$2,$B$7,$B$3,$B$4,$B$5,$F141,$B$6,N$10,$A141,$B141)</f>
        <v>9069900</v>
      </c>
      <c r="O141" s="4">
        <f ca="1">_xll.DBRW($B$1,$B$2,$B$7,$B$3,$B$4,$B$5,$F141,$B$6,O$10,$A141,$B141)</f>
        <v>9372230</v>
      </c>
      <c r="P141" s="4">
        <f ca="1">_xll.DBRW($B$1,$B$2,$B$7,$B$3,$B$4,$B$5,$F141,$B$6,P$10,$A141,$B141)</f>
        <v>9069900</v>
      </c>
      <c r="Q141" s="4">
        <f ca="1">_xll.DBRW($B$1,$B$2,$B$7,$B$3,$B$4,$B$5,$F141,$B$6,Q$10,$A141,$B141)</f>
        <v>7860580</v>
      </c>
      <c r="R141" s="4">
        <f ca="1">_xll.DBRW($B$1,$B$2,$B$7,$B$3,$B$4,$B$5,$F141,$B$6,R$10,$A141,$B141)</f>
        <v>0</v>
      </c>
      <c r="S141" s="4">
        <f ca="1">_xll.DBRW($B$1,$B$2,$B$7,$B$3,$B$4,$B$5,$F141,$B$6,S$10,$A141,$B141)</f>
        <v>0</v>
      </c>
      <c r="T141" s="4">
        <f ca="1">_xll.DBRW($B$1,$B$2,$B$7,$B$3,$B$4,$B$5,$F141,$B$6,T$10,$A141,$B141)</f>
        <v>0</v>
      </c>
      <c r="U141" s="4">
        <f ca="1">_xll.DBRW($B$1,$B$2,$B$7,$B$3,$B$4,$B$5,$F141,$B$6,U$10,$A141,$B141)</f>
        <v>0</v>
      </c>
      <c r="V141" s="4">
        <f ca="1">_xll.DBRW($B$1,$B$2,$B$7,$B$3,$B$4,$B$5,$F141,$B$6,V$10,$A141,$B141)</f>
        <v>967456</v>
      </c>
      <c r="W141" s="4">
        <f ca="1">_xll.DBRW($B$1,$B$2,$B$7,$B$3,$B$4,$B$5,$F141,$B$6,W$10,$A141,$B141)</f>
        <v>14511840</v>
      </c>
      <c r="X141" s="4">
        <f ca="1">_xll.DBRW($B$1,$B$2,$B$7,$B$3,$B$4,$B$5,$F141,$B$6,X$10,$A141,$B141)</f>
        <v>14995568</v>
      </c>
      <c r="Y141" s="4">
        <f ca="1">_xll.DBRW($B$1,$B$2,$B$7,$B$3,$B$4,$B$5,$F141,$B$6,Y$10,$A141,$B141)</f>
        <v>14511840</v>
      </c>
      <c r="Z141" s="4">
        <f ca="1">_xll.DBRW($B$1,$B$2,$B$7,$B$3,$B$4,$B$5,$F141,$B$6,Z$10,$A141,$B141)</f>
        <v>14995568</v>
      </c>
      <c r="AA141" s="4">
        <f ca="1">_xll.DBRW($B$1,$B$2,$B$7,$B$3,$B$4,$B$5,$F141,$B$6,AA$10,$A141,$B141)</f>
        <v>14995568</v>
      </c>
      <c r="AB141" s="4">
        <f ca="1">_xll.DBRW($B$1,$B$2,$B$7,$B$3,$B$4,$B$5,$F141,$B$6,AB$10,$A141,$B141)</f>
        <v>14511840</v>
      </c>
      <c r="AC141" s="4">
        <f ca="1">_xll.DBRW($B$1,$B$2,$B$7,$B$3,$B$4,$B$5,$F141,$B$6,AC$10,$A141,$B141)</f>
        <v>12093200</v>
      </c>
      <c r="AD141" s="4">
        <f ca="1">_xll.DBRW($B$1,$B$2,$B$7,$B$3,$B$4,$B$5,$F141,$B$6,AD$10,$A141,$B141)</f>
        <v>0</v>
      </c>
      <c r="AE141" s="4">
        <f ca="1">_xll.DBRW($B$1,$B$2,$B$7,$B$3,$B$4,$B$5,$F141,$B$6,AE$10,$A141,$B141)</f>
        <v>0</v>
      </c>
    </row>
    <row r="142" spans="1:31">
      <c r="A142" s="1" t="s">
        <v>152</v>
      </c>
      <c r="B142" s="5" t="s">
        <v>77</v>
      </c>
      <c r="C142" s="5" t="s">
        <v>75</v>
      </c>
      <c r="D142" s="5" t="s">
        <v>76</v>
      </c>
      <c r="E142" s="5" t="s">
        <v>21</v>
      </c>
      <c r="F142" s="5" t="s">
        <v>24</v>
      </c>
      <c r="G142" s="6"/>
      <c r="H142" s="6"/>
      <c r="I142" s="6"/>
      <c r="J142" s="6"/>
      <c r="K142" s="6"/>
      <c r="L142" s="4">
        <f ca="1">_xll.DBRW($B$1,$B$2,$B$7,$B$3,$B$4,$B$5,$F142,$B$6,L$10,$A142,$B142)</f>
        <v>9372230</v>
      </c>
      <c r="M142" s="4">
        <f ca="1">_xll.DBRW($B$1,$B$2,$B$7,$B$3,$B$4,$B$5,$F142,$B$6,M$10,$A142,$B142)</f>
        <v>9069900</v>
      </c>
      <c r="N142" s="4">
        <f ca="1">_xll.DBRW($B$1,$B$2,$B$7,$B$3,$B$4,$B$5,$F142,$B$6,N$10,$A142,$B142)</f>
        <v>9553628</v>
      </c>
      <c r="O142" s="4">
        <f ca="1">_xll.DBRW($B$1,$B$2,$B$7,$B$3,$B$4,$B$5,$F142,$B$6,O$10,$A142,$B142)</f>
        <v>9372230</v>
      </c>
      <c r="P142" s="4">
        <f ca="1">_xll.DBRW($B$1,$B$2,$B$7,$B$3,$B$4,$B$5,$F142,$B$6,P$10,$A142,$B142)</f>
        <v>9069900</v>
      </c>
      <c r="Q142" s="4">
        <f ca="1">_xll.DBRW($B$1,$B$2,$B$7,$B$3,$B$4,$B$5,$F142,$B$6,Q$10,$A142,$B142)</f>
        <v>7860580</v>
      </c>
      <c r="R142" s="4">
        <f ca="1">_xll.DBRW($B$1,$B$2,$B$7,$B$3,$B$4,$B$5,$F142,$B$6,R$10,$A142,$B142)</f>
        <v>0</v>
      </c>
      <c r="S142" s="4">
        <f ca="1">_xll.DBRW($B$1,$B$2,$B$7,$B$3,$B$4,$B$5,$F142,$B$6,S$10,$A142,$B142)</f>
        <v>0</v>
      </c>
      <c r="T142" s="4">
        <f ca="1">_xll.DBRW($B$1,$B$2,$B$7,$B$3,$B$4,$B$5,$F142,$B$6,T$10,$A142,$B142)</f>
        <v>0</v>
      </c>
      <c r="U142" s="4">
        <f ca="1">_xll.DBRW($B$1,$B$2,$B$7,$B$3,$B$4,$B$5,$F142,$B$6,U$10,$A142,$B142)</f>
        <v>0</v>
      </c>
      <c r="V142" s="4">
        <f ca="1">_xll.DBRW($B$1,$B$2,$B$7,$B$3,$B$4,$B$5,$F142,$B$6,V$10,$A142,$B142)</f>
        <v>967456</v>
      </c>
      <c r="W142" s="4">
        <f ca="1">_xll.DBRW($B$1,$B$2,$B$7,$B$3,$B$4,$B$5,$F142,$B$6,W$10,$A142,$B142)</f>
        <v>14511840</v>
      </c>
      <c r="X142" s="4">
        <f ca="1">_xll.DBRW($B$1,$B$2,$B$7,$B$3,$B$4,$B$5,$F142,$B$6,X$10,$A142,$B142)</f>
        <v>14995568</v>
      </c>
      <c r="Y142" s="4">
        <f ca="1">_xll.DBRW($B$1,$B$2,$B$7,$B$3,$B$4,$B$5,$F142,$B$6,Y$10,$A142,$B142)</f>
        <v>14511840</v>
      </c>
      <c r="Z142" s="4">
        <f ca="1">_xll.DBRW($B$1,$B$2,$B$7,$B$3,$B$4,$B$5,$F142,$B$6,Z$10,$A142,$B142)</f>
        <v>14995568</v>
      </c>
      <c r="AA142" s="4">
        <f ca="1">_xll.DBRW($B$1,$B$2,$B$7,$B$3,$B$4,$B$5,$F142,$B$6,AA$10,$A142,$B142)</f>
        <v>14995568</v>
      </c>
      <c r="AB142" s="4">
        <f ca="1">_xll.DBRW($B$1,$B$2,$B$7,$B$3,$B$4,$B$5,$F142,$B$6,AB$10,$A142,$B142)</f>
        <v>14511840</v>
      </c>
      <c r="AC142" s="4">
        <f ca="1">_xll.DBRW($B$1,$B$2,$B$7,$B$3,$B$4,$B$5,$F142,$B$6,AC$10,$A142,$B142)</f>
        <v>11609472</v>
      </c>
      <c r="AD142" s="4">
        <f ca="1">_xll.DBRW($B$1,$B$2,$B$7,$B$3,$B$4,$B$5,$F142,$B$6,AD$10,$A142,$B142)</f>
        <v>0</v>
      </c>
      <c r="AE142" s="4">
        <f ca="1">_xll.DBRW($B$1,$B$2,$B$7,$B$3,$B$4,$B$5,$F142,$B$6,AE$10,$A142,$B142)</f>
        <v>0</v>
      </c>
    </row>
    <row r="143" spans="1:31">
      <c r="A143" s="1" t="s">
        <v>152</v>
      </c>
      <c r="B143" s="5" t="s">
        <v>174</v>
      </c>
      <c r="C143" s="5" t="s">
        <v>159</v>
      </c>
      <c r="D143" s="5" t="s">
        <v>21</v>
      </c>
      <c r="E143" s="5" t="s">
        <v>38</v>
      </c>
      <c r="F143" s="5" t="s">
        <v>24</v>
      </c>
      <c r="G143" s="6"/>
      <c r="H143" s="6"/>
      <c r="I143" s="6"/>
      <c r="J143" s="6"/>
      <c r="K143" s="6"/>
      <c r="L143" s="4">
        <f ca="1">_xll.DBRW($B$1,$B$2,$B$7,$B$3,$B$4,$B$5,$F143,$B$6,L$10,$A143,$B143)</f>
        <v>8480958</v>
      </c>
      <c r="M143" s="4">
        <f ca="1">_xll.DBRW($B$1,$B$2,$B$7,$B$3,$B$4,$B$5,$F143,$B$6,M$10,$A143,$B143)</f>
        <v>8164380</v>
      </c>
      <c r="N143" s="4">
        <f ca="1">_xll.DBRW($B$1,$B$2,$B$7,$B$3,$B$4,$B$5,$F143,$B$6,N$10,$A143,$B143)</f>
        <v>8430972</v>
      </c>
      <c r="O143" s="4">
        <f ca="1">_xll.DBRW($B$1,$B$2,$B$7,$B$3,$B$4,$B$5,$F143,$B$6,O$10,$A143,$B143)</f>
        <v>8597592</v>
      </c>
      <c r="P143" s="4">
        <f ca="1">_xll.DBRW($B$1,$B$2,$B$7,$B$3,$B$4,$B$5,$F143,$B$6,P$10,$A143,$B143)</f>
        <v>8108840</v>
      </c>
      <c r="Q143" s="4">
        <f ca="1">_xll.DBRW($B$1,$B$2,$B$7,$B$3,$B$4,$B$5,$F143,$B$6,Q$10,$A143,$B143)</f>
        <v>8530944</v>
      </c>
      <c r="R143" s="4">
        <f ca="1">_xll.DBRW($B$1,$B$2,$B$7,$B$3,$B$4,$B$5,$F143,$B$6,R$10,$A143,$B143)</f>
        <v>8830860</v>
      </c>
      <c r="S143" s="4">
        <f ca="1">_xll.DBRW($B$1,$B$2,$B$7,$B$3,$B$4,$B$5,$F143,$B$6,S$10,$A143,$B143)</f>
        <v>9086344</v>
      </c>
      <c r="T143" s="4">
        <f ca="1">_xll.DBRW($B$1,$B$2,$B$7,$B$3,$B$4,$B$5,$F143,$B$6,T$10,$A143,$B143)</f>
        <v>7647858</v>
      </c>
      <c r="U143" s="4">
        <f ca="1">_xll.DBRW($B$1,$B$2,$B$7,$B$3,$B$4,$B$5,$F143,$B$6,U$10,$A143,$B143)</f>
        <v>6886960</v>
      </c>
      <c r="V143" s="4">
        <f ca="1">_xll.DBRW($B$1,$B$2,$B$7,$B$3,$B$4,$B$5,$F143,$B$6,V$10,$A143,$B143)</f>
        <v>7664520</v>
      </c>
      <c r="W143" s="4">
        <f ca="1">_xll.DBRW($B$1,$B$2,$B$7,$B$3,$B$4,$B$5,$F143,$B$6,W$10,$A143,$B143)</f>
        <v>7725614</v>
      </c>
      <c r="X143" s="4">
        <f ca="1">_xll.DBRW($B$1,$B$2,$B$7,$B$3,$B$4,$B$5,$F143,$B$6,X$10,$A143,$B143)</f>
        <v>8097732</v>
      </c>
      <c r="Y143" s="4">
        <f ca="1">_xll.DBRW($B$1,$B$2,$B$7,$B$3,$B$4,$B$5,$F143,$B$6,Y$10,$A143,$B143)</f>
        <v>7786708</v>
      </c>
      <c r="Z143" s="4">
        <f ca="1">_xll.DBRW($B$1,$B$2,$B$7,$B$3,$B$4,$B$5,$F143,$B$6,Z$10,$A143,$B143)</f>
        <v>7992206</v>
      </c>
      <c r="AA143" s="4">
        <f ca="1">_xll.DBRW($B$1,$B$2,$B$7,$B$3,$B$4,$B$5,$F143,$B$6,AA$10,$A143,$B143)</f>
        <v>8086624</v>
      </c>
      <c r="AB143" s="4">
        <f ca="1">_xll.DBRW($B$1,$B$2,$B$7,$B$3,$B$4,$B$5,$F143,$B$6,AB$10,$A143,$B143)</f>
        <v>7797816</v>
      </c>
      <c r="AC143" s="4">
        <f ca="1">_xll.DBRW($B$1,$B$2,$B$7,$B$3,$B$4,$B$5,$F143,$B$6,AC$10,$A143,$B143)</f>
        <v>7942220</v>
      </c>
      <c r="AD143" s="4">
        <f ca="1">_xll.DBRW($B$1,$B$2,$B$7,$B$3,$B$4,$B$5,$F143,$B$6,AD$10,$A143,$B143)</f>
        <v>7397928</v>
      </c>
      <c r="AE143" s="4">
        <f ca="1">_xll.DBRW($B$1,$B$2,$B$7,$B$3,$B$4,$B$5,$F143,$B$6,AE$10,$A143,$B143)</f>
        <v>7647858</v>
      </c>
    </row>
    <row r="144" spans="1:31">
      <c r="A144" s="1" t="s">
        <v>152</v>
      </c>
      <c r="B144" s="5" t="s">
        <v>41</v>
      </c>
      <c r="C144" s="5" t="s">
        <v>37</v>
      </c>
      <c r="D144" s="5" t="s">
        <v>38</v>
      </c>
      <c r="E144" s="5" t="s">
        <v>21</v>
      </c>
      <c r="F144" s="5" t="s">
        <v>24</v>
      </c>
      <c r="G144" s="6"/>
      <c r="H144" s="6"/>
      <c r="I144" s="6"/>
      <c r="J144" s="6"/>
      <c r="K144" s="6"/>
      <c r="L144" s="4">
        <f ca="1">_xll.DBRW($B$1,$B$2,$B$7,$B$3,$B$4,$B$5,$F144,$B$6,L$10,$A144,$B144)</f>
        <v>8475404</v>
      </c>
      <c r="M144" s="4">
        <f ca="1">_xll.DBRW($B$1,$B$2,$B$7,$B$3,$B$4,$B$5,$F144,$B$6,M$10,$A144,$B144)</f>
        <v>8164380</v>
      </c>
      <c r="N144" s="4">
        <f ca="1">_xll.DBRW($B$1,$B$2,$B$7,$B$3,$B$4,$B$5,$F144,$B$6,N$10,$A144,$B144)</f>
        <v>8108840</v>
      </c>
      <c r="O144" s="4">
        <f ca="1">_xll.DBRW($B$1,$B$2,$B$7,$B$3,$B$4,$B$5,$F144,$B$6,O$10,$A144,$B144)</f>
        <v>8375432</v>
      </c>
      <c r="P144" s="4">
        <f ca="1">_xll.DBRW($B$1,$B$2,$B$7,$B$3,$B$4,$B$5,$F144,$B$6,P$10,$A144,$B144)</f>
        <v>8108840</v>
      </c>
      <c r="Q144" s="4">
        <f ca="1">_xll.DBRW($B$1,$B$2,$B$7,$B$3,$B$4,$B$5,$F144,$B$6,Q$10,$A144,$B144)</f>
        <v>8530944</v>
      </c>
      <c r="R144" s="4">
        <f ca="1">_xll.DBRW($B$1,$B$2,$B$7,$B$3,$B$4,$B$5,$F144,$B$6,R$10,$A144,$B144)</f>
        <v>8830860</v>
      </c>
      <c r="S144" s="4">
        <f ca="1">_xll.DBRW($B$1,$B$2,$B$7,$B$3,$B$4,$B$5,$F144,$B$6,S$10,$A144,$B144)</f>
        <v>9086344</v>
      </c>
      <c r="T144" s="4">
        <f ca="1">_xll.DBRW($B$1,$B$2,$B$7,$B$3,$B$4,$B$5,$F144,$B$6,T$10,$A144,$B144)</f>
        <v>8119948</v>
      </c>
      <c r="U144" s="4">
        <f ca="1">_xll.DBRW($B$1,$B$2,$B$7,$B$3,$B$4,$B$5,$F144,$B$6,U$10,$A144,$B144)</f>
        <v>7353496</v>
      </c>
      <c r="V144" s="4">
        <f ca="1">_xll.DBRW($B$1,$B$2,$B$7,$B$3,$B$4,$B$5,$F144,$B$6,V$10,$A144,$B144)</f>
        <v>8231028</v>
      </c>
      <c r="W144" s="4">
        <f ca="1">_xll.DBRW($B$1,$B$2,$B$7,$B$3,$B$4,$B$5,$F144,$B$6,W$10,$A144,$B144)</f>
        <v>8081070</v>
      </c>
      <c r="X144" s="4">
        <f ca="1">_xll.DBRW($B$1,$B$2,$B$7,$B$3,$B$4,$B$5,$F144,$B$6,X$10,$A144,$B144)</f>
        <v>8497620</v>
      </c>
      <c r="Y144" s="4">
        <f ca="1">_xll.DBRW($B$1,$B$2,$B$7,$B$3,$B$4,$B$5,$F144,$B$6,Y$10,$A144,$B144)</f>
        <v>8186596</v>
      </c>
      <c r="Z144" s="4">
        <f ca="1">_xll.DBRW($B$1,$B$2,$B$7,$B$3,$B$4,$B$5,$F144,$B$6,Z$10,$A144,$B144)</f>
        <v>8392094</v>
      </c>
      <c r="AA144" s="4">
        <f ca="1">_xll.DBRW($B$1,$B$2,$B$7,$B$3,$B$4,$B$5,$F144,$B$6,AA$10,$A144,$B144)</f>
        <v>8442080</v>
      </c>
      <c r="AB144" s="4">
        <f ca="1">_xll.DBRW($B$1,$B$2,$B$7,$B$3,$B$4,$B$5,$F144,$B$6,AB$10,$A144,$B144)</f>
        <v>8197704</v>
      </c>
      <c r="AC144" s="4">
        <f ca="1">_xll.DBRW($B$1,$B$2,$B$7,$B$3,$B$4,$B$5,$F144,$B$6,AC$10,$A144,$B144)</f>
        <v>8314338</v>
      </c>
      <c r="AD144" s="4">
        <f ca="1">_xll.DBRW($B$1,$B$2,$B$7,$B$3,$B$4,$B$5,$F144,$B$6,AD$10,$A144,$B144)</f>
        <v>7920004</v>
      </c>
      <c r="AE144" s="4">
        <f ca="1">_xll.DBRW($B$1,$B$2,$B$7,$B$3,$B$4,$B$5,$F144,$B$6,AE$10,$A144,$B144)</f>
        <v>8114394</v>
      </c>
    </row>
    <row r="145" spans="1:31">
      <c r="A145" s="1" t="s">
        <v>152</v>
      </c>
      <c r="B145" s="5" t="s">
        <v>175</v>
      </c>
      <c r="C145" s="5" t="s">
        <v>159</v>
      </c>
      <c r="D145" s="5" t="s">
        <v>21</v>
      </c>
      <c r="E145" s="5" t="s">
        <v>38</v>
      </c>
      <c r="F145" s="5" t="s">
        <v>24</v>
      </c>
      <c r="G145" s="6"/>
      <c r="H145" s="6"/>
      <c r="I145" s="6"/>
      <c r="J145" s="6"/>
      <c r="K145" s="6"/>
      <c r="L145" s="4">
        <f ca="1">_xll.DBRW($B$1,$B$2,$B$7,$B$3,$B$4,$B$5,$F145,$B$6,L$10,$A145,$B145)</f>
        <v>3187996</v>
      </c>
      <c r="M145" s="4">
        <f ca="1">_xll.DBRW($B$1,$B$2,$B$7,$B$3,$B$4,$B$5,$F145,$B$6,M$10,$A145,$B145)</f>
        <v>7886680</v>
      </c>
      <c r="N145" s="4">
        <f ca="1">_xll.DBRW($B$1,$B$2,$B$7,$B$3,$B$4,$B$5,$F145,$B$6,N$10,$A145,$B145)</f>
        <v>8219920</v>
      </c>
      <c r="O145" s="4">
        <f ca="1">_xll.DBRW($B$1,$B$2,$B$7,$B$3,$B$4,$B$5,$F145,$B$6,O$10,$A145,$B145)</f>
        <v>8142164</v>
      </c>
      <c r="P145" s="4">
        <f ca="1">_xll.DBRW($B$1,$B$2,$B$7,$B$3,$B$4,$B$5,$F145,$B$6,P$10,$A145,$B145)</f>
        <v>7886680</v>
      </c>
      <c r="Q145" s="4">
        <f ca="1">_xll.DBRW($B$1,$B$2,$B$7,$B$3,$B$4,$B$5,$F145,$B$6,Q$10,$A145,$B145)</f>
        <v>6864744</v>
      </c>
      <c r="R145" s="4">
        <f ca="1">_xll.DBRW($B$1,$B$2,$B$7,$B$3,$B$4,$B$5,$F145,$B$6,R$10,$A145,$B145)</f>
        <v>0</v>
      </c>
      <c r="S145" s="4">
        <f ca="1">_xll.DBRW($B$1,$B$2,$B$7,$B$3,$B$4,$B$5,$F145,$B$6,S$10,$A145,$B145)</f>
        <v>0</v>
      </c>
      <c r="T145" s="4">
        <f ca="1">_xll.DBRW($B$1,$B$2,$B$7,$B$3,$B$4,$B$5,$F145,$B$6,T$10,$A145,$B145)</f>
        <v>0</v>
      </c>
      <c r="U145" s="4">
        <f ca="1">_xll.DBRW($B$1,$B$2,$B$7,$B$3,$B$4,$B$5,$F145,$B$6,U$10,$A145,$B145)</f>
        <v>0</v>
      </c>
      <c r="V145" s="4">
        <f ca="1">_xll.DBRW($B$1,$B$2,$B$7,$B$3,$B$4,$B$5,$F145,$B$6,V$10,$A145,$B145)</f>
        <v>388780</v>
      </c>
      <c r="W145" s="4">
        <f ca="1">_xll.DBRW($B$1,$B$2,$B$7,$B$3,$B$4,$B$5,$F145,$B$6,W$10,$A145,$B145)</f>
        <v>4082190</v>
      </c>
      <c r="X145" s="4">
        <f ca="1">_xll.DBRW($B$1,$B$2,$B$7,$B$3,$B$4,$B$5,$F145,$B$6,X$10,$A145,$B145)</f>
        <v>4276580</v>
      </c>
      <c r="Y145" s="4">
        <f ca="1">_xll.DBRW($B$1,$B$2,$B$7,$B$3,$B$4,$B$5,$F145,$B$6,Y$10,$A145,$B145)</f>
        <v>4276580</v>
      </c>
      <c r="Z145" s="4">
        <f ca="1">_xll.DBRW($B$1,$B$2,$B$7,$B$3,$B$4,$B$5,$F145,$B$6,Z$10,$A145,$B145)</f>
        <v>4276580</v>
      </c>
      <c r="AA145" s="4">
        <f ca="1">_xll.DBRW($B$1,$B$2,$B$7,$B$3,$B$4,$B$5,$F145,$B$6,AA$10,$A145,$B145)</f>
        <v>4276580</v>
      </c>
      <c r="AB145" s="4">
        <f ca="1">_xll.DBRW($B$1,$B$2,$B$7,$B$3,$B$4,$B$5,$F145,$B$6,AB$10,$A145,$B145)</f>
        <v>4276580</v>
      </c>
      <c r="AC145" s="4">
        <f ca="1">_xll.DBRW($B$1,$B$2,$B$7,$B$3,$B$4,$B$5,$F145,$B$6,AC$10,$A145,$B145)</f>
        <v>3110240</v>
      </c>
      <c r="AD145" s="4">
        <f ca="1">_xll.DBRW($B$1,$B$2,$B$7,$B$3,$B$4,$B$5,$F145,$B$6,AD$10,$A145,$B145)</f>
        <v>0</v>
      </c>
      <c r="AE145" s="4">
        <f ca="1">_xll.DBRW($B$1,$B$2,$B$7,$B$3,$B$4,$B$5,$F145,$B$6,AE$10,$A145,$B145)</f>
        <v>0</v>
      </c>
    </row>
    <row r="146" spans="1:31">
      <c r="A146" s="1" t="s">
        <v>152</v>
      </c>
      <c r="B146" s="5" t="s">
        <v>42</v>
      </c>
      <c r="C146" s="5" t="s">
        <v>37</v>
      </c>
      <c r="D146" s="5" t="s">
        <v>38</v>
      </c>
      <c r="E146" s="5" t="s">
        <v>21</v>
      </c>
      <c r="F146" s="5" t="s">
        <v>24</v>
      </c>
      <c r="G146" s="6"/>
      <c r="H146" s="6"/>
      <c r="I146" s="6"/>
      <c r="J146" s="6"/>
      <c r="K146" s="6"/>
      <c r="L146" s="4">
        <f ca="1">_xll.DBRW($B$1,$B$2,$B$7,$B$3,$B$4,$B$5,$F146,$B$6,L$10,$A146,$B146)</f>
        <v>3365724</v>
      </c>
      <c r="M146" s="4">
        <f ca="1">_xll.DBRW($B$1,$B$2,$B$7,$B$3,$B$4,$B$5,$F146,$B$6,M$10,$A146,$B146)</f>
        <v>8397648</v>
      </c>
      <c r="N146" s="4">
        <f ca="1">_xll.DBRW($B$1,$B$2,$B$7,$B$3,$B$4,$B$5,$F146,$B$6,N$10,$A146,$B146)</f>
        <v>8492066</v>
      </c>
      <c r="O146" s="4">
        <f ca="1">_xll.DBRW($B$1,$B$2,$B$7,$B$3,$B$4,$B$5,$F146,$B$6,O$10,$A146,$B146)</f>
        <v>8342108</v>
      </c>
      <c r="P146" s="4">
        <f ca="1">_xll.DBRW($B$1,$B$2,$B$7,$B$3,$B$4,$B$5,$F146,$B$6,P$10,$A146,$B146)</f>
        <v>9164100</v>
      </c>
      <c r="Q146" s="4">
        <f ca="1">_xll.DBRW($B$1,$B$2,$B$7,$B$3,$B$4,$B$5,$F146,$B$6,Q$10,$A146,$B146)</f>
        <v>7975544</v>
      </c>
      <c r="R146" s="4">
        <f ca="1">_xll.DBRW($B$1,$B$2,$B$7,$B$3,$B$4,$B$5,$F146,$B$6,R$10,$A146,$B146)</f>
        <v>0</v>
      </c>
      <c r="S146" s="4">
        <f ca="1">_xll.DBRW($B$1,$B$2,$B$7,$B$3,$B$4,$B$5,$F146,$B$6,S$10,$A146,$B146)</f>
        <v>0</v>
      </c>
      <c r="T146" s="4">
        <f ca="1">_xll.DBRW($B$1,$B$2,$B$7,$B$3,$B$4,$B$5,$F146,$B$6,T$10,$A146,$B146)</f>
        <v>0</v>
      </c>
      <c r="U146" s="4">
        <f ca="1">_xll.DBRW($B$1,$B$2,$B$7,$B$3,$B$4,$B$5,$F146,$B$6,U$10,$A146,$B146)</f>
        <v>0</v>
      </c>
      <c r="V146" s="4">
        <f ca="1">_xll.DBRW($B$1,$B$2,$B$7,$B$3,$B$4,$B$5,$F146,$B$6,V$10,$A146,$B146)</f>
        <v>388780</v>
      </c>
      <c r="W146" s="4">
        <f ca="1">_xll.DBRW($B$1,$B$2,$B$7,$B$3,$B$4,$B$5,$F146,$B$6,W$10,$A146,$B146)</f>
        <v>4082190</v>
      </c>
      <c r="X146" s="4">
        <f ca="1">_xll.DBRW($B$1,$B$2,$B$7,$B$3,$B$4,$B$5,$F146,$B$6,X$10,$A146,$B146)</f>
        <v>4276580</v>
      </c>
      <c r="Y146" s="4">
        <f ca="1">_xll.DBRW($B$1,$B$2,$B$7,$B$3,$B$4,$B$5,$F146,$B$6,Y$10,$A146,$B146)</f>
        <v>4276580</v>
      </c>
      <c r="Z146" s="4">
        <f ca="1">_xll.DBRW($B$1,$B$2,$B$7,$B$3,$B$4,$B$5,$F146,$B$6,Z$10,$A146,$B146)</f>
        <v>4276580</v>
      </c>
      <c r="AA146" s="4">
        <f ca="1">_xll.DBRW($B$1,$B$2,$B$7,$B$3,$B$4,$B$5,$F146,$B$6,AA$10,$A146,$B146)</f>
        <v>4276580</v>
      </c>
      <c r="AB146" s="4">
        <f ca="1">_xll.DBRW($B$1,$B$2,$B$7,$B$3,$B$4,$B$5,$F146,$B$6,AB$10,$A146,$B146)</f>
        <v>4276580</v>
      </c>
      <c r="AC146" s="4">
        <f ca="1">_xll.DBRW($B$1,$B$2,$B$7,$B$3,$B$4,$B$5,$F146,$B$6,AC$10,$A146,$B146)</f>
        <v>3110240</v>
      </c>
      <c r="AD146" s="4">
        <f ca="1">_xll.DBRW($B$1,$B$2,$B$7,$B$3,$B$4,$B$5,$F146,$B$6,AD$10,$A146,$B146)</f>
        <v>0</v>
      </c>
      <c r="AE146" s="4">
        <f ca="1">_xll.DBRW($B$1,$B$2,$B$7,$B$3,$B$4,$B$5,$F146,$B$6,AE$10,$A146,$B146)</f>
        <v>0</v>
      </c>
    </row>
    <row r="147" spans="1:31">
      <c r="A147" s="1" t="s">
        <v>152</v>
      </c>
      <c r="B147" s="5" t="s">
        <v>176</v>
      </c>
      <c r="C147" s="5" t="s">
        <v>177</v>
      </c>
      <c r="D147" s="5" t="s">
        <v>28</v>
      </c>
      <c r="E147" s="5" t="s">
        <v>59</v>
      </c>
      <c r="F147" s="5" t="s">
        <v>24</v>
      </c>
      <c r="G147" s="6"/>
      <c r="H147" s="6"/>
      <c r="I147" s="6"/>
      <c r="J147" s="6"/>
      <c r="K147" s="6"/>
      <c r="L147" s="4">
        <f ca="1">_xll.DBRW($B$1,$B$2,$B$7,$B$3,$B$4,$B$5,$F147,$B$6,L$10,$A147,$B147)</f>
        <v>8398544</v>
      </c>
      <c r="M147" s="4">
        <f ca="1">_xll.DBRW($B$1,$B$2,$B$7,$B$3,$B$4,$B$5,$F147,$B$6,M$10,$A147,$B147)</f>
        <v>6871536</v>
      </c>
      <c r="N147" s="4">
        <f ca="1">_xll.DBRW($B$1,$B$2,$B$7,$B$3,$B$4,$B$5,$F147,$B$6,N$10,$A147,$B147)</f>
        <v>8016792</v>
      </c>
      <c r="O147" s="4">
        <f ca="1">_xll.DBRW($B$1,$B$2,$B$7,$B$3,$B$4,$B$5,$F147,$B$6,O$10,$A147,$B147)</f>
        <v>8398544</v>
      </c>
      <c r="P147" s="4">
        <f ca="1">_xll.DBRW($B$1,$B$2,$B$7,$B$3,$B$4,$B$5,$F147,$B$6,P$10,$A147,$B147)</f>
        <v>7253288</v>
      </c>
      <c r="Q147" s="4">
        <f ca="1">_xll.DBRW($B$1,$B$2,$B$7,$B$3,$B$4,$B$5,$F147,$B$6,Q$10,$A147,$B147)</f>
        <v>8125864</v>
      </c>
      <c r="R147" s="4">
        <f ca="1">_xll.DBRW($B$1,$B$2,$B$7,$B$3,$B$4,$B$5,$F147,$B$6,R$10,$A147,$B147)</f>
        <v>9352924</v>
      </c>
      <c r="S147" s="4">
        <f ca="1">_xll.DBRW($B$1,$B$2,$B$7,$B$3,$B$4,$B$5,$F147,$B$6,S$10,$A147,$B147)</f>
        <v>9707408</v>
      </c>
      <c r="T147" s="4">
        <f ca="1">_xll.DBRW($B$1,$B$2,$B$7,$B$3,$B$4,$B$5,$F147,$B$6,T$10,$A147,$B147)</f>
        <v>11834312</v>
      </c>
      <c r="U147" s="4">
        <f ca="1">_xll.DBRW($B$1,$B$2,$B$7,$B$3,$B$4,$B$5,$F147,$B$6,U$10,$A147,$B147)</f>
        <v>10689056</v>
      </c>
      <c r="V147" s="4">
        <f ca="1">_xll.DBRW($B$1,$B$2,$B$7,$B$3,$B$4,$B$5,$F147,$B$6,V$10,$A147,$B147)</f>
        <v>11725240</v>
      </c>
      <c r="W147" s="4">
        <f ca="1">_xll.DBRW($B$1,$B$2,$B$7,$B$3,$B$4,$B$5,$F147,$B$6,W$10,$A147,$B147)</f>
        <v>10798128</v>
      </c>
      <c r="X147" s="4">
        <f ca="1">_xll.DBRW($B$1,$B$2,$B$7,$B$3,$B$4,$B$5,$F147,$B$6,X$10,$A147,$B147)</f>
        <v>11125344</v>
      </c>
      <c r="Y147" s="4">
        <f ca="1">_xll.DBRW($B$1,$B$2,$B$7,$B$3,$B$4,$B$5,$F147,$B$6,Y$10,$A147,$B147)</f>
        <v>10689056</v>
      </c>
      <c r="Z147" s="4">
        <f ca="1">_xll.DBRW($B$1,$B$2,$B$7,$B$3,$B$4,$B$5,$F147,$B$6,Z$10,$A147,$B147)</f>
        <v>11125344</v>
      </c>
      <c r="AA147" s="4">
        <f ca="1">_xll.DBRW($B$1,$B$2,$B$7,$B$3,$B$4,$B$5,$F147,$B$6,AA$10,$A147,$B147)</f>
        <v>11125344</v>
      </c>
      <c r="AB147" s="4">
        <f ca="1">_xll.DBRW($B$1,$B$2,$B$7,$B$3,$B$4,$B$5,$F147,$B$6,AB$10,$A147,$B147)</f>
        <v>10743592</v>
      </c>
      <c r="AC147" s="4">
        <f ca="1">_xll.DBRW($B$1,$B$2,$B$7,$B$3,$B$4,$B$5,$F147,$B$6,AC$10,$A147,$B147)</f>
        <v>11288952</v>
      </c>
      <c r="AD147" s="4">
        <f ca="1">_xll.DBRW($B$1,$B$2,$B$7,$B$3,$B$4,$B$5,$F147,$B$6,AD$10,$A147,$B147)</f>
        <v>11452560</v>
      </c>
      <c r="AE147" s="4">
        <f ca="1">_xll.DBRW($B$1,$B$2,$B$7,$B$3,$B$4,$B$5,$F147,$B$6,AE$10,$A147,$B147)</f>
        <v>11834312</v>
      </c>
    </row>
    <row r="148" spans="1:31">
      <c r="A148" s="1" t="s">
        <v>152</v>
      </c>
      <c r="B148" s="5" t="s">
        <v>64</v>
      </c>
      <c r="C148" s="5" t="s">
        <v>65</v>
      </c>
      <c r="D148" s="5" t="s">
        <v>59</v>
      </c>
      <c r="E148" s="5" t="s">
        <v>28</v>
      </c>
      <c r="F148" s="5" t="s">
        <v>24</v>
      </c>
      <c r="G148" s="6"/>
      <c r="H148" s="6"/>
      <c r="I148" s="6"/>
      <c r="J148" s="6"/>
      <c r="K148" s="6"/>
      <c r="L148" s="4">
        <f ca="1">_xll.DBRW($B$1,$B$2,$B$7,$B$3,$B$4,$B$5,$F148,$B$6,L$10,$A148,$B148)</f>
        <v>8398544</v>
      </c>
      <c r="M148" s="4">
        <f ca="1">_xll.DBRW($B$1,$B$2,$B$7,$B$3,$B$4,$B$5,$F148,$B$6,M$10,$A148,$B148)</f>
        <v>8398544</v>
      </c>
      <c r="N148" s="4">
        <f ca="1">_xll.DBRW($B$1,$B$2,$B$7,$B$3,$B$4,$B$5,$F148,$B$6,N$10,$A148,$B148)</f>
        <v>8398544</v>
      </c>
      <c r="O148" s="4">
        <f ca="1">_xll.DBRW($B$1,$B$2,$B$7,$B$3,$B$4,$B$5,$F148,$B$6,O$10,$A148,$B148)</f>
        <v>8398544</v>
      </c>
      <c r="P148" s="4">
        <f ca="1">_xll.DBRW($B$1,$B$2,$B$7,$B$3,$B$4,$B$5,$F148,$B$6,P$10,$A148,$B148)</f>
        <v>8398544</v>
      </c>
      <c r="Q148" s="4">
        <f ca="1">_xll.DBRW($B$1,$B$2,$B$7,$B$3,$B$4,$B$5,$F148,$B$6,Q$10,$A148,$B148)</f>
        <v>8480348</v>
      </c>
      <c r="R148" s="4">
        <f ca="1">_xll.DBRW($B$1,$B$2,$B$7,$B$3,$B$4,$B$5,$F148,$B$6,R$10,$A148,$B148)</f>
        <v>9380192</v>
      </c>
      <c r="S148" s="4">
        <f ca="1">_xll.DBRW($B$1,$B$2,$B$7,$B$3,$B$4,$B$5,$F148,$B$6,S$10,$A148,$B148)</f>
        <v>9707408</v>
      </c>
      <c r="T148" s="4">
        <f ca="1">_xll.DBRW($B$1,$B$2,$B$7,$B$3,$B$4,$B$5,$F148,$B$6,T$10,$A148,$B148)</f>
        <v>11834312</v>
      </c>
      <c r="U148" s="4">
        <f ca="1">_xll.DBRW($B$1,$B$2,$B$7,$B$3,$B$4,$B$5,$F148,$B$6,U$10,$A148,$B148)</f>
        <v>10689056</v>
      </c>
      <c r="V148" s="4">
        <f ca="1">_xll.DBRW($B$1,$B$2,$B$7,$B$3,$B$4,$B$5,$F148,$B$6,V$10,$A148,$B148)</f>
        <v>11725240</v>
      </c>
      <c r="W148" s="4">
        <f ca="1">_xll.DBRW($B$1,$B$2,$B$7,$B$3,$B$4,$B$5,$F148,$B$6,W$10,$A148,$B148)</f>
        <v>10525448</v>
      </c>
      <c r="X148" s="4">
        <f ca="1">_xll.DBRW($B$1,$B$2,$B$7,$B$3,$B$4,$B$5,$F148,$B$6,X$10,$A148,$B148)</f>
        <v>10907200</v>
      </c>
      <c r="Y148" s="4">
        <f ca="1">_xll.DBRW($B$1,$B$2,$B$7,$B$3,$B$4,$B$5,$F148,$B$6,Y$10,$A148,$B148)</f>
        <v>10470912</v>
      </c>
      <c r="Z148" s="4">
        <f ca="1">_xll.DBRW($B$1,$B$2,$B$7,$B$3,$B$4,$B$5,$F148,$B$6,Z$10,$A148,$B148)</f>
        <v>10907200</v>
      </c>
      <c r="AA148" s="4">
        <f ca="1">_xll.DBRW($B$1,$B$2,$B$7,$B$3,$B$4,$B$5,$F148,$B$6,AA$10,$A148,$B148)</f>
        <v>10852664</v>
      </c>
      <c r="AB148" s="4">
        <f ca="1">_xll.DBRW($B$1,$B$2,$B$7,$B$3,$B$4,$B$5,$F148,$B$6,AB$10,$A148,$B148)</f>
        <v>10525448</v>
      </c>
      <c r="AC148" s="4">
        <f ca="1">_xll.DBRW($B$1,$B$2,$B$7,$B$3,$B$4,$B$5,$F148,$B$6,AC$10,$A148,$B148)</f>
        <v>10743592</v>
      </c>
      <c r="AD148" s="4">
        <f ca="1">_xll.DBRW($B$1,$B$2,$B$7,$B$3,$B$4,$B$5,$F148,$B$6,AD$10,$A148,$B148)</f>
        <v>11452560</v>
      </c>
      <c r="AE148" s="4">
        <f ca="1">_xll.DBRW($B$1,$B$2,$B$7,$B$3,$B$4,$B$5,$F148,$B$6,AE$10,$A148,$B148)</f>
        <v>11452560</v>
      </c>
    </row>
    <row r="149" spans="1:31">
      <c r="A149" s="1" t="s">
        <v>152</v>
      </c>
      <c r="B149" s="5" t="s">
        <v>178</v>
      </c>
      <c r="C149" s="5" t="s">
        <v>177</v>
      </c>
      <c r="D149" s="5" t="s">
        <v>28</v>
      </c>
      <c r="E149" s="5" t="s">
        <v>59</v>
      </c>
      <c r="F149" s="5" t="s">
        <v>24</v>
      </c>
      <c r="G149" s="6"/>
      <c r="H149" s="6"/>
      <c r="I149" s="6"/>
      <c r="J149" s="6"/>
      <c r="K149" s="6"/>
      <c r="L149" s="4">
        <f ca="1">_xll.DBRW($B$1,$B$2,$B$7,$B$3,$B$4,$B$5,$F149,$B$6,L$10,$A149,$B149)</f>
        <v>10634520</v>
      </c>
      <c r="M149" s="4">
        <f ca="1">_xll.DBRW($B$1,$B$2,$B$7,$B$3,$B$4,$B$5,$F149,$B$6,M$10,$A149,$B149)</f>
        <v>8071328</v>
      </c>
      <c r="N149" s="4">
        <f ca="1">_xll.DBRW($B$1,$B$2,$B$7,$B$3,$B$4,$B$5,$F149,$B$6,N$10,$A149,$B149)</f>
        <v>10416376</v>
      </c>
      <c r="O149" s="4">
        <f ca="1">_xll.DBRW($B$1,$B$2,$B$7,$B$3,$B$4,$B$5,$F149,$B$6,O$10,$A149,$B149)</f>
        <v>11125344</v>
      </c>
      <c r="P149" s="4">
        <f ca="1">_xll.DBRW($B$1,$B$2,$B$7,$B$3,$B$4,$B$5,$F149,$B$6,P$10,$A149,$B149)</f>
        <v>9434728</v>
      </c>
      <c r="Q149" s="4">
        <f ca="1">_xll.DBRW($B$1,$B$2,$B$7,$B$3,$B$4,$B$5,$F149,$B$6,Q$10,$A149,$B149)</f>
        <v>8671224</v>
      </c>
      <c r="R149" s="4">
        <f ca="1">_xll.DBRW($B$1,$B$2,$B$7,$B$3,$B$4,$B$5,$F149,$B$6,R$10,$A149,$B149)</f>
        <v>0</v>
      </c>
      <c r="S149" s="4">
        <f ca="1">_xll.DBRW($B$1,$B$2,$B$7,$B$3,$B$4,$B$5,$F149,$B$6,S$10,$A149,$B149)</f>
        <v>0</v>
      </c>
      <c r="T149" s="4">
        <f ca="1">_xll.DBRW($B$1,$B$2,$B$7,$B$3,$B$4,$B$5,$F149,$B$6,T$10,$A149,$B149)</f>
        <v>0</v>
      </c>
      <c r="U149" s="4">
        <f ca="1">_xll.DBRW($B$1,$B$2,$B$7,$B$3,$B$4,$B$5,$F149,$B$6,U$10,$A149,$B149)</f>
        <v>0</v>
      </c>
      <c r="V149" s="4">
        <f ca="1">_xll.DBRW($B$1,$B$2,$B$7,$B$3,$B$4,$B$5,$F149,$B$6,V$10,$A149,$B149)</f>
        <v>0</v>
      </c>
      <c r="W149" s="4">
        <f ca="1">_xll.DBRW($B$1,$B$2,$B$7,$B$3,$B$4,$B$5,$F149,$B$6,W$10,$A149,$B149)</f>
        <v>3435768</v>
      </c>
      <c r="X149" s="4">
        <f ca="1">_xll.DBRW($B$1,$B$2,$B$7,$B$3,$B$4,$B$5,$F149,$B$6,X$10,$A149,$B149)</f>
        <v>3435768</v>
      </c>
      <c r="Y149" s="4">
        <f ca="1">_xll.DBRW($B$1,$B$2,$B$7,$B$3,$B$4,$B$5,$F149,$B$6,Y$10,$A149,$B149)</f>
        <v>3054016</v>
      </c>
      <c r="Z149" s="4">
        <f ca="1">_xll.DBRW($B$1,$B$2,$B$7,$B$3,$B$4,$B$5,$F149,$B$6,Z$10,$A149,$B149)</f>
        <v>3817520</v>
      </c>
      <c r="AA149" s="4">
        <f ca="1">_xll.DBRW($B$1,$B$2,$B$7,$B$3,$B$4,$B$5,$F149,$B$6,AA$10,$A149,$B149)</f>
        <v>3054016</v>
      </c>
      <c r="AB149" s="4">
        <f ca="1">_xll.DBRW($B$1,$B$2,$B$7,$B$3,$B$4,$B$5,$F149,$B$6,AB$10,$A149,$B149)</f>
        <v>3435768</v>
      </c>
      <c r="AC149" s="4">
        <f ca="1">_xll.DBRW($B$1,$B$2,$B$7,$B$3,$B$4,$B$5,$F149,$B$6,AC$10,$A149,$B149)</f>
        <v>2672264</v>
      </c>
      <c r="AD149" s="4">
        <f ca="1">_xll.DBRW($B$1,$B$2,$B$7,$B$3,$B$4,$B$5,$F149,$B$6,AD$10,$A149,$B149)</f>
        <v>0</v>
      </c>
      <c r="AE149" s="4">
        <f ca="1">_xll.DBRW($B$1,$B$2,$B$7,$B$3,$B$4,$B$5,$F149,$B$6,AE$10,$A149,$B149)</f>
        <v>0</v>
      </c>
    </row>
    <row r="150" spans="1:31">
      <c r="A150" s="1" t="s">
        <v>152</v>
      </c>
      <c r="B150" s="5" t="s">
        <v>66</v>
      </c>
      <c r="C150" s="5" t="s">
        <v>65</v>
      </c>
      <c r="D150" s="5" t="s">
        <v>59</v>
      </c>
      <c r="E150" s="5" t="s">
        <v>28</v>
      </c>
      <c r="F150" s="5" t="s">
        <v>24</v>
      </c>
      <c r="G150" s="6"/>
      <c r="H150" s="6"/>
      <c r="I150" s="6"/>
      <c r="J150" s="6"/>
      <c r="K150" s="6"/>
      <c r="L150" s="4">
        <f ca="1">_xll.DBRW($B$1,$B$2,$B$7,$B$3,$B$4,$B$5,$F150,$B$6,L$10,$A150,$B150)</f>
        <v>10689056</v>
      </c>
      <c r="M150" s="4">
        <f ca="1">_xll.DBRW($B$1,$B$2,$B$7,$B$3,$B$4,$B$5,$F150,$B$6,M$10,$A150,$B150)</f>
        <v>6871536</v>
      </c>
      <c r="N150" s="4">
        <f ca="1">_xll.DBRW($B$1,$B$2,$B$7,$B$3,$B$4,$B$5,$F150,$B$6,N$10,$A150,$B150)</f>
        <v>10034624</v>
      </c>
      <c r="O150" s="4">
        <f ca="1">_xll.DBRW($B$1,$B$2,$B$7,$B$3,$B$4,$B$5,$F150,$B$6,O$10,$A150,$B150)</f>
        <v>11125344</v>
      </c>
      <c r="P150" s="4">
        <f ca="1">_xll.DBRW($B$1,$B$2,$B$7,$B$3,$B$4,$B$5,$F150,$B$6,P$10,$A150,$B150)</f>
        <v>8289472</v>
      </c>
      <c r="Q150" s="4">
        <f ca="1">_xll.DBRW($B$1,$B$2,$B$7,$B$3,$B$4,$B$5,$F150,$B$6,Q$10,$A150,$B150)</f>
        <v>8289472</v>
      </c>
      <c r="R150" s="4">
        <f ca="1">_xll.DBRW($B$1,$B$2,$B$7,$B$3,$B$4,$B$5,$F150,$B$6,R$10,$A150,$B150)</f>
        <v>0</v>
      </c>
      <c r="S150" s="4">
        <f ca="1">_xll.DBRW($B$1,$B$2,$B$7,$B$3,$B$4,$B$5,$F150,$B$6,S$10,$A150,$B150)</f>
        <v>0</v>
      </c>
      <c r="T150" s="4">
        <f ca="1">_xll.DBRW($B$1,$B$2,$B$7,$B$3,$B$4,$B$5,$F150,$B$6,T$10,$A150,$B150)</f>
        <v>0</v>
      </c>
      <c r="U150" s="4">
        <f ca="1">_xll.DBRW($B$1,$B$2,$B$7,$B$3,$B$4,$B$5,$F150,$B$6,U$10,$A150,$B150)</f>
        <v>0</v>
      </c>
      <c r="V150" s="4">
        <f ca="1">_xll.DBRW($B$1,$B$2,$B$7,$B$3,$B$4,$B$5,$F150,$B$6,V$10,$A150,$B150)</f>
        <v>0</v>
      </c>
      <c r="W150" s="4">
        <f ca="1">_xll.DBRW($B$1,$B$2,$B$7,$B$3,$B$4,$B$5,$F150,$B$6,W$10,$A150,$B150)</f>
        <v>3435768</v>
      </c>
      <c r="X150" s="4">
        <f ca="1">_xll.DBRW($B$1,$B$2,$B$7,$B$3,$B$4,$B$5,$F150,$B$6,X$10,$A150,$B150)</f>
        <v>3435768</v>
      </c>
      <c r="Y150" s="4">
        <f ca="1">_xll.DBRW($B$1,$B$2,$B$7,$B$3,$B$4,$B$5,$F150,$B$6,Y$10,$A150,$B150)</f>
        <v>3054016</v>
      </c>
      <c r="Z150" s="4">
        <f ca="1">_xll.DBRW($B$1,$B$2,$B$7,$B$3,$B$4,$B$5,$F150,$B$6,Z$10,$A150,$B150)</f>
        <v>3817520</v>
      </c>
      <c r="AA150" s="4">
        <f ca="1">_xll.DBRW($B$1,$B$2,$B$7,$B$3,$B$4,$B$5,$F150,$B$6,AA$10,$A150,$B150)</f>
        <v>3054016</v>
      </c>
      <c r="AB150" s="4">
        <f ca="1">_xll.DBRW($B$1,$B$2,$B$7,$B$3,$B$4,$B$5,$F150,$B$6,AB$10,$A150,$B150)</f>
        <v>3435768</v>
      </c>
      <c r="AC150" s="4">
        <f ca="1">_xll.DBRW($B$1,$B$2,$B$7,$B$3,$B$4,$B$5,$F150,$B$6,AC$10,$A150,$B150)</f>
        <v>2672264</v>
      </c>
      <c r="AD150" s="4">
        <f ca="1">_xll.DBRW($B$1,$B$2,$B$7,$B$3,$B$4,$B$5,$F150,$B$6,AD$10,$A150,$B150)</f>
        <v>0</v>
      </c>
      <c r="AE150" s="4">
        <f ca="1">_xll.DBRW($B$1,$B$2,$B$7,$B$3,$B$4,$B$5,$F150,$B$6,AE$10,$A150,$B150)</f>
        <v>0</v>
      </c>
    </row>
    <row r="151" spans="1:31">
      <c r="A151" s="1" t="s">
        <v>152</v>
      </c>
      <c r="B151" s="5" t="s">
        <v>179</v>
      </c>
      <c r="C151" s="5" t="s">
        <v>180</v>
      </c>
      <c r="D151" s="5" t="s">
        <v>28</v>
      </c>
      <c r="E151" s="5" t="s">
        <v>181</v>
      </c>
      <c r="F151" s="5" t="s">
        <v>24</v>
      </c>
      <c r="G151" s="6"/>
      <c r="H151" s="6"/>
      <c r="I151" s="6"/>
      <c r="J151" s="6"/>
      <c r="K151" s="6"/>
      <c r="L151" s="4">
        <f ca="1">_xll.DBRW($B$1,$B$2,$B$7,$B$3,$B$4,$B$5,$F151,$B$6,L$10,$A151,$B151)</f>
        <v>0</v>
      </c>
      <c r="M151" s="4">
        <f ca="1">_xll.DBRW($B$1,$B$2,$B$7,$B$3,$B$4,$B$5,$F151,$B$6,M$10,$A151,$B151)</f>
        <v>0</v>
      </c>
      <c r="N151" s="4">
        <f ca="1">_xll.DBRW($B$1,$B$2,$B$7,$B$3,$B$4,$B$5,$F151,$B$6,N$10,$A151,$B151)</f>
        <v>0</v>
      </c>
      <c r="O151" s="4">
        <f ca="1">_xll.DBRW($B$1,$B$2,$B$7,$B$3,$B$4,$B$5,$F151,$B$6,O$10,$A151,$B151)</f>
        <v>0</v>
      </c>
      <c r="P151" s="4">
        <f ca="1">_xll.DBRW($B$1,$B$2,$B$7,$B$3,$B$4,$B$5,$F151,$B$6,P$10,$A151,$B151)</f>
        <v>0</v>
      </c>
      <c r="Q151" s="4">
        <f ca="1">_xll.DBRW($B$1,$B$2,$B$7,$B$3,$B$4,$B$5,$F151,$B$6,Q$10,$A151,$B151)</f>
        <v>1929312</v>
      </c>
      <c r="R151" s="4">
        <f ca="1">_xll.DBRW($B$1,$B$2,$B$7,$B$3,$B$4,$B$5,$F151,$B$6,R$10,$A151,$B151)</f>
        <v>5466384</v>
      </c>
      <c r="S151" s="4">
        <f ca="1">_xll.DBRW($B$1,$B$2,$B$7,$B$3,$B$4,$B$5,$F151,$B$6,S$10,$A151,$B151)</f>
        <v>5787936</v>
      </c>
      <c r="T151" s="4">
        <f ca="1">_xll.DBRW($B$1,$B$2,$B$7,$B$3,$B$4,$B$5,$F151,$B$6,T$10,$A151,$B151)</f>
        <v>5466384</v>
      </c>
      <c r="U151" s="4">
        <f ca="1">_xll.DBRW($B$1,$B$2,$B$7,$B$3,$B$4,$B$5,$F151,$B$6,U$10,$A151,$B151)</f>
        <v>5144832</v>
      </c>
      <c r="V151" s="4">
        <f ca="1">_xll.DBRW($B$1,$B$2,$B$7,$B$3,$B$4,$B$5,$F151,$B$6,V$10,$A151,$B151)</f>
        <v>5466384</v>
      </c>
      <c r="W151" s="4">
        <f ca="1">_xll.DBRW($B$1,$B$2,$B$7,$B$3,$B$4,$B$5,$F151,$B$6,W$10,$A151,$B151)</f>
        <v>0</v>
      </c>
      <c r="X151" s="4">
        <f ca="1">_xll.DBRW($B$1,$B$2,$B$7,$B$3,$B$4,$B$5,$F151,$B$6,X$10,$A151,$B151)</f>
        <v>0</v>
      </c>
      <c r="Y151" s="4">
        <f ca="1">_xll.DBRW($B$1,$B$2,$B$7,$B$3,$B$4,$B$5,$F151,$B$6,Y$10,$A151,$B151)</f>
        <v>0</v>
      </c>
      <c r="Z151" s="4">
        <f ca="1">_xll.DBRW($B$1,$B$2,$B$7,$B$3,$B$4,$B$5,$F151,$B$6,Z$10,$A151,$B151)</f>
        <v>0</v>
      </c>
      <c r="AA151" s="4">
        <f ca="1">_xll.DBRW($B$1,$B$2,$B$7,$B$3,$B$4,$B$5,$F151,$B$6,AA$10,$A151,$B151)</f>
        <v>0</v>
      </c>
      <c r="AB151" s="4">
        <f ca="1">_xll.DBRW($B$1,$B$2,$B$7,$B$3,$B$4,$B$5,$F151,$B$6,AB$10,$A151,$B151)</f>
        <v>0</v>
      </c>
      <c r="AC151" s="4">
        <f ca="1">_xll.DBRW($B$1,$B$2,$B$7,$B$3,$B$4,$B$5,$F151,$B$6,AC$10,$A151,$B151)</f>
        <v>964656</v>
      </c>
      <c r="AD151" s="4">
        <f ca="1">_xll.DBRW($B$1,$B$2,$B$7,$B$3,$B$4,$B$5,$F151,$B$6,AD$10,$A151,$B151)</f>
        <v>5787936</v>
      </c>
      <c r="AE151" s="4">
        <f ca="1">_xll.DBRW($B$1,$B$2,$B$7,$B$3,$B$4,$B$5,$F151,$B$6,AE$10,$A151,$B151)</f>
        <v>5466384</v>
      </c>
    </row>
    <row r="152" spans="1:31">
      <c r="A152" s="1" t="s">
        <v>152</v>
      </c>
      <c r="B152" s="5" t="s">
        <v>182</v>
      </c>
      <c r="C152" s="5" t="s">
        <v>183</v>
      </c>
      <c r="D152" s="5" t="s">
        <v>181</v>
      </c>
      <c r="E152" s="5" t="s">
        <v>28</v>
      </c>
      <c r="F152" s="5" t="s">
        <v>24</v>
      </c>
      <c r="G152" s="6"/>
      <c r="H152" s="6"/>
      <c r="I152" s="6"/>
      <c r="J152" s="6"/>
      <c r="K152" s="6"/>
      <c r="L152" s="4">
        <f ca="1">_xll.DBRW($B$1,$B$2,$B$7,$B$3,$B$4,$B$5,$F152,$B$6,L$10,$A152,$B152)</f>
        <v>0</v>
      </c>
      <c r="M152" s="4">
        <f ca="1">_xll.DBRW($B$1,$B$2,$B$7,$B$3,$B$4,$B$5,$F152,$B$6,M$10,$A152,$B152)</f>
        <v>0</v>
      </c>
      <c r="N152" s="4">
        <f ca="1">_xll.DBRW($B$1,$B$2,$B$7,$B$3,$B$4,$B$5,$F152,$B$6,N$10,$A152,$B152)</f>
        <v>0</v>
      </c>
      <c r="O152" s="4">
        <f ca="1">_xll.DBRW($B$1,$B$2,$B$7,$B$3,$B$4,$B$5,$F152,$B$6,O$10,$A152,$B152)</f>
        <v>0</v>
      </c>
      <c r="P152" s="4">
        <f ca="1">_xll.DBRW($B$1,$B$2,$B$7,$B$3,$B$4,$B$5,$F152,$B$6,P$10,$A152,$B152)</f>
        <v>0</v>
      </c>
      <c r="Q152" s="4">
        <f ca="1">_xll.DBRW($B$1,$B$2,$B$7,$B$3,$B$4,$B$5,$F152,$B$6,Q$10,$A152,$B152)</f>
        <v>1929312</v>
      </c>
      <c r="R152" s="4">
        <f ca="1">_xll.DBRW($B$1,$B$2,$B$7,$B$3,$B$4,$B$5,$F152,$B$6,R$10,$A152,$B152)</f>
        <v>5466384</v>
      </c>
      <c r="S152" s="4">
        <f ca="1">_xll.DBRW($B$1,$B$2,$B$7,$B$3,$B$4,$B$5,$F152,$B$6,S$10,$A152,$B152)</f>
        <v>5787936</v>
      </c>
      <c r="T152" s="4">
        <f ca="1">_xll.DBRW($B$1,$B$2,$B$7,$B$3,$B$4,$B$5,$F152,$B$6,T$10,$A152,$B152)</f>
        <v>5466384</v>
      </c>
      <c r="U152" s="4">
        <f ca="1">_xll.DBRW($B$1,$B$2,$B$7,$B$3,$B$4,$B$5,$F152,$B$6,U$10,$A152,$B152)</f>
        <v>5144832</v>
      </c>
      <c r="V152" s="4">
        <f ca="1">_xll.DBRW($B$1,$B$2,$B$7,$B$3,$B$4,$B$5,$F152,$B$6,V$10,$A152,$B152)</f>
        <v>5466384</v>
      </c>
      <c r="W152" s="4">
        <f ca="1">_xll.DBRW($B$1,$B$2,$B$7,$B$3,$B$4,$B$5,$F152,$B$6,W$10,$A152,$B152)</f>
        <v>0</v>
      </c>
      <c r="X152" s="4">
        <f ca="1">_xll.DBRW($B$1,$B$2,$B$7,$B$3,$B$4,$B$5,$F152,$B$6,X$10,$A152,$B152)</f>
        <v>0</v>
      </c>
      <c r="Y152" s="4">
        <f ca="1">_xll.DBRW($B$1,$B$2,$B$7,$B$3,$B$4,$B$5,$F152,$B$6,Y$10,$A152,$B152)</f>
        <v>0</v>
      </c>
      <c r="Z152" s="4">
        <f ca="1">_xll.DBRW($B$1,$B$2,$B$7,$B$3,$B$4,$B$5,$F152,$B$6,Z$10,$A152,$B152)</f>
        <v>0</v>
      </c>
      <c r="AA152" s="4">
        <f ca="1">_xll.DBRW($B$1,$B$2,$B$7,$B$3,$B$4,$B$5,$F152,$B$6,AA$10,$A152,$B152)</f>
        <v>0</v>
      </c>
      <c r="AB152" s="4">
        <f ca="1">_xll.DBRW($B$1,$B$2,$B$7,$B$3,$B$4,$B$5,$F152,$B$6,AB$10,$A152,$B152)</f>
        <v>0</v>
      </c>
      <c r="AC152" s="4">
        <f ca="1">_xll.DBRW($B$1,$B$2,$B$7,$B$3,$B$4,$B$5,$F152,$B$6,AC$10,$A152,$B152)</f>
        <v>964656</v>
      </c>
      <c r="AD152" s="4">
        <f ca="1">_xll.DBRW($B$1,$B$2,$B$7,$B$3,$B$4,$B$5,$F152,$B$6,AD$10,$A152,$B152)</f>
        <v>5787936</v>
      </c>
      <c r="AE152" s="4">
        <f ca="1">_xll.DBRW($B$1,$B$2,$B$7,$B$3,$B$4,$B$5,$F152,$B$6,AE$10,$A152,$B152)</f>
        <v>5466384</v>
      </c>
    </row>
    <row r="153" spans="1:31">
      <c r="A153" s="1" t="s">
        <v>152</v>
      </c>
      <c r="B153" s="5" t="s">
        <v>184</v>
      </c>
      <c r="C153" s="5" t="s">
        <v>185</v>
      </c>
      <c r="D153" s="5" t="s">
        <v>28</v>
      </c>
      <c r="E153" s="5" t="s">
        <v>49</v>
      </c>
      <c r="F153" s="5" t="s">
        <v>24</v>
      </c>
      <c r="G153" s="6"/>
      <c r="H153" s="6"/>
      <c r="I153" s="6"/>
      <c r="J153" s="6"/>
      <c r="K153" s="6"/>
      <c r="L153" s="4">
        <f ca="1">_xll.DBRW($B$1,$B$2,$B$7,$B$3,$B$4,$B$5,$F153,$B$6,L$10,$A153,$B153)</f>
        <v>0</v>
      </c>
      <c r="M153" s="4">
        <f ca="1">_xll.DBRW($B$1,$B$2,$B$7,$B$3,$B$4,$B$5,$F153,$B$6,M$10,$A153,$B153)</f>
        <v>5959408</v>
      </c>
      <c r="N153" s="4">
        <f ca="1">_xll.DBRW($B$1,$B$2,$B$7,$B$3,$B$4,$B$5,$F153,$B$6,N$10,$A153,$B153)</f>
        <v>5959408</v>
      </c>
      <c r="O153" s="4">
        <f ca="1">_xll.DBRW($B$1,$B$2,$B$7,$B$3,$B$4,$B$5,$F153,$B$6,O$10,$A153,$B153)</f>
        <v>5959408</v>
      </c>
      <c r="P153" s="4">
        <f ca="1">_xll.DBRW($B$1,$B$2,$B$7,$B$3,$B$4,$B$5,$F153,$B$6,P$10,$A153,$B153)</f>
        <v>5959408</v>
      </c>
      <c r="Q153" s="4">
        <f ca="1">_xll.DBRW($B$1,$B$2,$B$7,$B$3,$B$4,$B$5,$F153,$B$6,Q$10,$A153,$B153)</f>
        <v>5042576</v>
      </c>
      <c r="R153" s="4">
        <f ca="1">_xll.DBRW($B$1,$B$2,$B$7,$B$3,$B$4,$B$5,$F153,$B$6,R$10,$A153,$B153)</f>
        <v>0</v>
      </c>
      <c r="S153" s="4">
        <f ca="1">_xll.DBRW($B$1,$B$2,$B$7,$B$3,$B$4,$B$5,$F153,$B$6,S$10,$A153,$B153)</f>
        <v>0</v>
      </c>
      <c r="T153" s="4">
        <f ca="1">_xll.DBRW($B$1,$B$2,$B$7,$B$3,$B$4,$B$5,$F153,$B$6,T$10,$A153,$B153)</f>
        <v>0</v>
      </c>
      <c r="U153" s="4">
        <f ca="1">_xll.DBRW($B$1,$B$2,$B$7,$B$3,$B$4,$B$5,$F153,$B$6,U$10,$A153,$B153)</f>
        <v>0</v>
      </c>
      <c r="V153" s="4">
        <f ca="1">_xll.DBRW($B$1,$B$2,$B$7,$B$3,$B$4,$B$5,$F153,$B$6,V$10,$A153,$B153)</f>
        <v>458416</v>
      </c>
      <c r="W153" s="4">
        <f ca="1">_xll.DBRW($B$1,$B$2,$B$7,$B$3,$B$4,$B$5,$F153,$B$6,W$10,$A153,$B153)</f>
        <v>5959408</v>
      </c>
      <c r="X153" s="4">
        <f ca="1">_xll.DBRW($B$1,$B$2,$B$7,$B$3,$B$4,$B$5,$F153,$B$6,X$10,$A153,$B153)</f>
        <v>5959408</v>
      </c>
      <c r="Y153" s="4">
        <f ca="1">_xll.DBRW($B$1,$B$2,$B$7,$B$3,$B$4,$B$5,$F153,$B$6,Y$10,$A153,$B153)</f>
        <v>5959408</v>
      </c>
      <c r="Z153" s="4">
        <f ca="1">_xll.DBRW($B$1,$B$2,$B$7,$B$3,$B$4,$B$5,$F153,$B$6,Z$10,$A153,$B153)</f>
        <v>5959408</v>
      </c>
      <c r="AA153" s="4">
        <f ca="1">_xll.DBRW($B$1,$B$2,$B$7,$B$3,$B$4,$B$5,$F153,$B$6,AA$10,$A153,$B153)</f>
        <v>6417824</v>
      </c>
      <c r="AB153" s="4">
        <f ca="1">_xll.DBRW($B$1,$B$2,$B$7,$B$3,$B$4,$B$5,$F153,$B$6,AB$10,$A153,$B153)</f>
        <v>5500992</v>
      </c>
      <c r="AC153" s="4">
        <f ca="1">_xll.DBRW($B$1,$B$2,$B$7,$B$3,$B$4,$B$5,$F153,$B$6,AC$10,$A153,$B153)</f>
        <v>5042576</v>
      </c>
      <c r="AD153" s="4">
        <f ca="1">_xll.DBRW($B$1,$B$2,$B$7,$B$3,$B$4,$B$5,$F153,$B$6,AD$10,$A153,$B153)</f>
        <v>0</v>
      </c>
      <c r="AE153" s="4">
        <f ca="1">_xll.DBRW($B$1,$B$2,$B$7,$B$3,$B$4,$B$5,$F153,$B$6,AE$10,$A153,$B153)</f>
        <v>0</v>
      </c>
    </row>
    <row r="154" spans="1:31">
      <c r="A154" s="1" t="s">
        <v>152</v>
      </c>
      <c r="B154" s="5" t="s">
        <v>50</v>
      </c>
      <c r="C154" s="5" t="s">
        <v>51</v>
      </c>
      <c r="D154" s="5" t="s">
        <v>49</v>
      </c>
      <c r="E154" s="5" t="s">
        <v>28</v>
      </c>
      <c r="F154" s="5" t="s">
        <v>24</v>
      </c>
      <c r="G154" s="6"/>
      <c r="H154" s="6"/>
      <c r="I154" s="6"/>
      <c r="J154" s="6"/>
      <c r="K154" s="6"/>
      <c r="L154" s="4">
        <f ca="1">_xll.DBRW($B$1,$B$2,$B$7,$B$3,$B$4,$B$5,$F154,$B$6,L$10,$A154,$B154)</f>
        <v>0</v>
      </c>
      <c r="M154" s="4">
        <f ca="1">_xll.DBRW($B$1,$B$2,$B$7,$B$3,$B$4,$B$5,$F154,$B$6,M$10,$A154,$B154)</f>
        <v>5959408</v>
      </c>
      <c r="N154" s="4">
        <f ca="1">_xll.DBRW($B$1,$B$2,$B$7,$B$3,$B$4,$B$5,$F154,$B$6,N$10,$A154,$B154)</f>
        <v>5959408</v>
      </c>
      <c r="O154" s="4">
        <f ca="1">_xll.DBRW($B$1,$B$2,$B$7,$B$3,$B$4,$B$5,$F154,$B$6,O$10,$A154,$B154)</f>
        <v>5959408</v>
      </c>
      <c r="P154" s="4">
        <f ca="1">_xll.DBRW($B$1,$B$2,$B$7,$B$3,$B$4,$B$5,$F154,$B$6,P$10,$A154,$B154)</f>
        <v>5959408</v>
      </c>
      <c r="Q154" s="4">
        <f ca="1">_xll.DBRW($B$1,$B$2,$B$7,$B$3,$B$4,$B$5,$F154,$B$6,Q$10,$A154,$B154)</f>
        <v>5042576</v>
      </c>
      <c r="R154" s="4">
        <f ca="1">_xll.DBRW($B$1,$B$2,$B$7,$B$3,$B$4,$B$5,$F154,$B$6,R$10,$A154,$B154)</f>
        <v>0</v>
      </c>
      <c r="S154" s="4">
        <f ca="1">_xll.DBRW($B$1,$B$2,$B$7,$B$3,$B$4,$B$5,$F154,$B$6,S$10,$A154,$B154)</f>
        <v>0</v>
      </c>
      <c r="T154" s="4">
        <f ca="1">_xll.DBRW($B$1,$B$2,$B$7,$B$3,$B$4,$B$5,$F154,$B$6,T$10,$A154,$B154)</f>
        <v>0</v>
      </c>
      <c r="U154" s="4">
        <f ca="1">_xll.DBRW($B$1,$B$2,$B$7,$B$3,$B$4,$B$5,$F154,$B$6,U$10,$A154,$B154)</f>
        <v>0</v>
      </c>
      <c r="V154" s="4">
        <f ca="1">_xll.DBRW($B$1,$B$2,$B$7,$B$3,$B$4,$B$5,$F154,$B$6,V$10,$A154,$B154)</f>
        <v>458416</v>
      </c>
      <c r="W154" s="4">
        <f ca="1">_xll.DBRW($B$1,$B$2,$B$7,$B$3,$B$4,$B$5,$F154,$B$6,W$10,$A154,$B154)</f>
        <v>5959408</v>
      </c>
      <c r="X154" s="4">
        <f ca="1">_xll.DBRW($B$1,$B$2,$B$7,$B$3,$B$4,$B$5,$F154,$B$6,X$10,$A154,$B154)</f>
        <v>5959408</v>
      </c>
      <c r="Y154" s="4">
        <f ca="1">_xll.DBRW($B$1,$B$2,$B$7,$B$3,$B$4,$B$5,$F154,$B$6,Y$10,$A154,$B154)</f>
        <v>5959408</v>
      </c>
      <c r="Z154" s="4">
        <f ca="1">_xll.DBRW($B$1,$B$2,$B$7,$B$3,$B$4,$B$5,$F154,$B$6,Z$10,$A154,$B154)</f>
        <v>5959408</v>
      </c>
      <c r="AA154" s="4">
        <f ca="1">_xll.DBRW($B$1,$B$2,$B$7,$B$3,$B$4,$B$5,$F154,$B$6,AA$10,$A154,$B154)</f>
        <v>6417824</v>
      </c>
      <c r="AB154" s="4">
        <f ca="1">_xll.DBRW($B$1,$B$2,$B$7,$B$3,$B$4,$B$5,$F154,$B$6,AB$10,$A154,$B154)</f>
        <v>5500992</v>
      </c>
      <c r="AC154" s="4">
        <f ca="1">_xll.DBRW($B$1,$B$2,$B$7,$B$3,$B$4,$B$5,$F154,$B$6,AC$10,$A154,$B154)</f>
        <v>5042576</v>
      </c>
      <c r="AD154" s="4">
        <f ca="1">_xll.DBRW($B$1,$B$2,$B$7,$B$3,$B$4,$B$5,$F154,$B$6,AD$10,$A154,$B154)</f>
        <v>0</v>
      </c>
      <c r="AE154" s="4">
        <f ca="1">_xll.DBRW($B$1,$B$2,$B$7,$B$3,$B$4,$B$5,$F154,$B$6,AE$10,$A154,$B154)</f>
        <v>0</v>
      </c>
    </row>
    <row r="155" spans="1:31">
      <c r="A155" s="1" t="s">
        <v>152</v>
      </c>
      <c r="B155" s="5" t="s">
        <v>186</v>
      </c>
      <c r="C155" s="5" t="s">
        <v>187</v>
      </c>
      <c r="D155" s="5" t="s">
        <v>21</v>
      </c>
      <c r="E155" s="5" t="s">
        <v>59</v>
      </c>
      <c r="F155" s="5" t="s">
        <v>24</v>
      </c>
      <c r="G155" s="6"/>
      <c r="H155" s="6"/>
      <c r="I155" s="6"/>
      <c r="J155" s="6"/>
      <c r="K155" s="6"/>
      <c r="L155" s="4">
        <f ca="1">_xll.DBRW($B$1,$B$2,$B$7,$B$3,$B$4,$B$5,$F155,$B$6,L$10,$A155,$B155)</f>
        <v>10831408</v>
      </c>
      <c r="M155" s="4">
        <f ca="1">_xll.DBRW($B$1,$B$2,$B$7,$B$3,$B$4,$B$5,$F155,$B$6,M$10,$A155,$B155)</f>
        <v>10273088</v>
      </c>
      <c r="N155" s="4">
        <f ca="1">_xll.DBRW($B$1,$B$2,$B$7,$B$3,$B$4,$B$5,$F155,$B$6,N$10,$A155,$B155)</f>
        <v>10719744</v>
      </c>
      <c r="O155" s="4">
        <f ca="1">_xll.DBRW($B$1,$B$2,$B$7,$B$3,$B$4,$B$5,$F155,$B$6,O$10,$A155,$B155)</f>
        <v>10663912</v>
      </c>
      <c r="P155" s="4">
        <f ca="1">_xll.DBRW($B$1,$B$2,$B$7,$B$3,$B$4,$B$5,$F155,$B$6,P$10,$A155,$B155)</f>
        <v>10273088</v>
      </c>
      <c r="Q155" s="4">
        <f ca="1">_xll.DBRW($B$1,$B$2,$B$7,$B$3,$B$4,$B$5,$F155,$B$6,Q$10,$A155,$B155)</f>
        <v>11752636</v>
      </c>
      <c r="R155" s="4">
        <f ca="1">_xll.DBRW($B$1,$B$2,$B$7,$B$3,$B$4,$B$5,$F155,$B$6,R$10,$A155,$B155)</f>
        <v>11110568</v>
      </c>
      <c r="S155" s="4">
        <f ca="1">_xll.DBRW($B$1,$B$2,$B$7,$B$3,$B$4,$B$5,$F155,$B$6,S$10,$A155,$B155)</f>
        <v>10273088</v>
      </c>
      <c r="T155" s="4">
        <f ca="1">_xll.DBRW($B$1,$B$2,$B$7,$B$3,$B$4,$B$5,$F155,$B$6,T$10,$A155,$B155)</f>
        <v>12115544</v>
      </c>
      <c r="U155" s="4">
        <f ca="1">_xll.DBRW($B$1,$B$2,$B$7,$B$3,$B$4,$B$5,$F155,$B$6,U$10,$A155,$B155)</f>
        <v>10943072</v>
      </c>
      <c r="V155" s="4">
        <f ca="1">_xll.DBRW($B$1,$B$2,$B$7,$B$3,$B$4,$B$5,$F155,$B$6,V$10,$A155,$B155)</f>
        <v>12059712</v>
      </c>
      <c r="W155" s="4">
        <f ca="1">_xll.DBRW($B$1,$B$2,$B$7,$B$3,$B$4,$B$5,$F155,$B$6,W$10,$A155,$B155)</f>
        <v>10705786</v>
      </c>
      <c r="X155" s="4">
        <f ca="1">_xll.DBRW($B$1,$B$2,$B$7,$B$3,$B$4,$B$5,$F155,$B$6,X$10,$A155,$B155)</f>
        <v>11054736</v>
      </c>
      <c r="Y155" s="4">
        <f ca="1">_xll.DBRW($B$1,$B$2,$B$7,$B$3,$B$4,$B$5,$F155,$B$6,Y$10,$A155,$B155)</f>
        <v>10719744</v>
      </c>
      <c r="Z155" s="4">
        <f ca="1">_xll.DBRW($B$1,$B$2,$B$7,$B$3,$B$4,$B$5,$F155,$B$6,Z$10,$A155,$B155)</f>
        <v>11096610</v>
      </c>
      <c r="AA155" s="4">
        <f ca="1">_xll.DBRW($B$1,$B$2,$B$7,$B$3,$B$4,$B$5,$F155,$B$6,AA$10,$A155,$B155)</f>
        <v>11054736</v>
      </c>
      <c r="AB155" s="4">
        <f ca="1">_xll.DBRW($B$1,$B$2,$B$7,$B$3,$B$4,$B$5,$F155,$B$6,AB$10,$A155,$B155)</f>
        <v>10649954</v>
      </c>
      <c r="AC155" s="4">
        <f ca="1">_xll.DBRW($B$1,$B$2,$B$7,$B$3,$B$4,$B$5,$F155,$B$6,AC$10,$A155,$B155)</f>
        <v>11292022</v>
      </c>
      <c r="AD155" s="4">
        <f ca="1">_xll.DBRW($B$1,$B$2,$B$7,$B$3,$B$4,$B$5,$F155,$B$6,AD$10,$A155,$B155)</f>
        <v>11724720</v>
      </c>
      <c r="AE155" s="4">
        <f ca="1">_xll.DBRW($B$1,$B$2,$B$7,$B$3,$B$4,$B$5,$F155,$B$6,AE$10,$A155,$B155)</f>
        <v>12115544</v>
      </c>
    </row>
    <row r="156" spans="1:31">
      <c r="A156" s="1" t="s">
        <v>152</v>
      </c>
      <c r="B156" s="5" t="s">
        <v>61</v>
      </c>
      <c r="C156" s="5" t="s">
        <v>62</v>
      </c>
      <c r="D156" s="5" t="s">
        <v>59</v>
      </c>
      <c r="E156" s="5" t="s">
        <v>21</v>
      </c>
      <c r="F156" s="5" t="s">
        <v>24</v>
      </c>
      <c r="G156" s="6"/>
      <c r="H156" s="6"/>
      <c r="I156" s="6"/>
      <c r="J156" s="6"/>
      <c r="K156" s="6"/>
      <c r="L156" s="4">
        <f ca="1">_xll.DBRW($B$1,$B$2,$B$7,$B$3,$B$4,$B$5,$F156,$B$6,L$10,$A156,$B156)</f>
        <v>10775576</v>
      </c>
      <c r="M156" s="4">
        <f ca="1">_xll.DBRW($B$1,$B$2,$B$7,$B$3,$B$4,$B$5,$F156,$B$6,M$10,$A156,$B156)</f>
        <v>10328920</v>
      </c>
      <c r="N156" s="4">
        <f ca="1">_xll.DBRW($B$1,$B$2,$B$7,$B$3,$B$4,$B$5,$F156,$B$6,N$10,$A156,$B156)</f>
        <v>10719744</v>
      </c>
      <c r="O156" s="4">
        <f ca="1">_xll.DBRW($B$1,$B$2,$B$7,$B$3,$B$4,$B$5,$F156,$B$6,O$10,$A156,$B156)</f>
        <v>10663912</v>
      </c>
      <c r="P156" s="4">
        <f ca="1">_xll.DBRW($B$1,$B$2,$B$7,$B$3,$B$4,$B$5,$F156,$B$6,P$10,$A156,$B156)</f>
        <v>10273088</v>
      </c>
      <c r="Q156" s="4">
        <f ca="1">_xll.DBRW($B$1,$B$2,$B$7,$B$3,$B$4,$B$5,$F156,$B$6,Q$10,$A156,$B156)</f>
        <v>11780552</v>
      </c>
      <c r="R156" s="4">
        <f ca="1">_xll.DBRW($B$1,$B$2,$B$7,$B$3,$B$4,$B$5,$F156,$B$6,R$10,$A156,$B156)</f>
        <v>11082652</v>
      </c>
      <c r="S156" s="4">
        <f ca="1">_xll.DBRW($B$1,$B$2,$B$7,$B$3,$B$4,$B$5,$F156,$B$6,S$10,$A156,$B156)</f>
        <v>10273088</v>
      </c>
      <c r="T156" s="4">
        <f ca="1">_xll.DBRW($B$1,$B$2,$B$7,$B$3,$B$4,$B$5,$F156,$B$6,T$10,$A156,$B156)</f>
        <v>12115544</v>
      </c>
      <c r="U156" s="4">
        <f ca="1">_xll.DBRW($B$1,$B$2,$B$7,$B$3,$B$4,$B$5,$F156,$B$6,U$10,$A156,$B156)</f>
        <v>10943072</v>
      </c>
      <c r="V156" s="4">
        <f ca="1">_xll.DBRW($B$1,$B$2,$B$7,$B$3,$B$4,$B$5,$F156,$B$6,V$10,$A156,$B156)</f>
        <v>12059712</v>
      </c>
      <c r="W156" s="4">
        <f ca="1">_xll.DBRW($B$1,$B$2,$B$7,$B$3,$B$4,$B$5,$F156,$B$6,W$10,$A156,$B156)</f>
        <v>10929114</v>
      </c>
      <c r="X156" s="4">
        <f ca="1">_xll.DBRW($B$1,$B$2,$B$7,$B$3,$B$4,$B$5,$F156,$B$6,X$10,$A156,$B156)</f>
        <v>11333896</v>
      </c>
      <c r="Y156" s="4">
        <f ca="1">_xll.DBRW($B$1,$B$2,$B$7,$B$3,$B$4,$B$5,$F156,$B$6,Y$10,$A156,$B156)</f>
        <v>10943072</v>
      </c>
      <c r="Z156" s="4">
        <f ca="1">_xll.DBRW($B$1,$B$2,$B$7,$B$3,$B$4,$B$5,$F156,$B$6,Z$10,$A156,$B156)</f>
        <v>11319938</v>
      </c>
      <c r="AA156" s="4">
        <f ca="1">_xll.DBRW($B$1,$B$2,$B$7,$B$3,$B$4,$B$5,$F156,$B$6,AA$10,$A156,$B156)</f>
        <v>11333896</v>
      </c>
      <c r="AB156" s="4">
        <f ca="1">_xll.DBRW($B$1,$B$2,$B$7,$B$3,$B$4,$B$5,$F156,$B$6,AB$10,$A156,$B156)</f>
        <v>10873282</v>
      </c>
      <c r="AC156" s="4">
        <f ca="1">_xll.DBRW($B$1,$B$2,$B$7,$B$3,$B$4,$B$5,$F156,$B$6,AC$10,$A156,$B156)</f>
        <v>11515350</v>
      </c>
      <c r="AD156" s="4">
        <f ca="1">_xll.DBRW($B$1,$B$2,$B$7,$B$3,$B$4,$B$5,$F156,$B$6,AD$10,$A156,$B156)</f>
        <v>11724720</v>
      </c>
      <c r="AE156" s="4">
        <f ca="1">_xll.DBRW($B$1,$B$2,$B$7,$B$3,$B$4,$B$5,$F156,$B$6,AE$10,$A156,$B156)</f>
        <v>12115544</v>
      </c>
    </row>
    <row r="157" spans="1:31">
      <c r="A157" s="1" t="s">
        <v>152</v>
      </c>
      <c r="B157" s="5" t="s">
        <v>188</v>
      </c>
      <c r="C157" s="5" t="s">
        <v>189</v>
      </c>
      <c r="D157" s="5" t="s">
        <v>21</v>
      </c>
      <c r="E157" s="5" t="s">
        <v>20</v>
      </c>
      <c r="F157" s="5" t="s">
        <v>24</v>
      </c>
      <c r="G157" s="6"/>
      <c r="H157" s="6"/>
      <c r="I157" s="6"/>
      <c r="J157" s="6"/>
      <c r="K157" s="6"/>
      <c r="L157" s="4">
        <f ca="1">_xll.DBRW($B$1,$B$2,$B$7,$B$3,$B$4,$B$5,$F157,$B$6,L$10,$A157,$B157)</f>
        <v>11763136</v>
      </c>
      <c r="M157" s="4">
        <f ca="1">_xll.DBRW($B$1,$B$2,$B$7,$B$3,$B$4,$B$5,$F157,$B$6,M$10,$A157,$B157)</f>
        <v>11383680</v>
      </c>
      <c r="N157" s="4">
        <f ca="1">_xll.DBRW($B$1,$B$2,$B$7,$B$3,$B$4,$B$5,$F157,$B$6,N$10,$A157,$B157)</f>
        <v>11763136</v>
      </c>
      <c r="O157" s="4">
        <f ca="1">_xll.DBRW($B$1,$B$2,$B$7,$B$3,$B$4,$B$5,$F157,$B$6,O$10,$A157,$B157)</f>
        <v>11763136</v>
      </c>
      <c r="P157" s="4">
        <f ca="1">_xll.DBRW($B$1,$B$2,$B$7,$B$3,$B$4,$B$5,$F157,$B$6,P$10,$A157,$B157)</f>
        <v>11383680</v>
      </c>
      <c r="Q157" s="4">
        <f ca="1">_xll.DBRW($B$1,$B$2,$B$7,$B$3,$B$4,$B$5,$F157,$B$6,Q$10,$A157,$B157)</f>
        <v>11695376</v>
      </c>
      <c r="R157" s="4">
        <f ca="1">_xll.DBRW($B$1,$B$2,$B$7,$B$3,$B$4,$B$5,$F157,$B$6,R$10,$A157,$B157)</f>
        <v>11112640</v>
      </c>
      <c r="S157" s="4">
        <f ca="1">_xll.DBRW($B$1,$B$2,$B$7,$B$3,$B$4,$B$5,$F157,$B$6,S$10,$A157,$B157)</f>
        <v>11424336</v>
      </c>
      <c r="T157" s="4">
        <f ca="1">_xll.DBRW($B$1,$B$2,$B$7,$B$3,$B$4,$B$5,$F157,$B$6,T$10,$A157,$B157)</f>
        <v>9662576</v>
      </c>
      <c r="U157" s="4">
        <f ca="1">_xll.DBRW($B$1,$B$2,$B$7,$B$3,$B$4,$B$5,$F157,$B$6,U$10,$A157,$B157)</f>
        <v>8727488</v>
      </c>
      <c r="V157" s="4">
        <f ca="1">_xll.DBRW($B$1,$B$2,$B$7,$B$3,$B$4,$B$5,$F157,$B$6,V$10,$A157,$B157)</f>
        <v>9662576</v>
      </c>
      <c r="W157" s="4">
        <f ca="1">_xll.DBRW($B$1,$B$2,$B$7,$B$3,$B$4,$B$5,$F157,$B$6,W$10,$A157,$B157)</f>
        <v>9350880</v>
      </c>
      <c r="X157" s="4">
        <f ca="1">_xll.DBRW($B$1,$B$2,$B$7,$B$3,$B$4,$B$5,$F157,$B$6,X$10,$A157,$B157)</f>
        <v>9662576</v>
      </c>
      <c r="Y157" s="4">
        <f ca="1">_xll.DBRW($B$1,$B$2,$B$7,$B$3,$B$4,$B$5,$F157,$B$6,Y$10,$A157,$B157)</f>
        <v>9350880</v>
      </c>
      <c r="Z157" s="4">
        <f ca="1">_xll.DBRW($B$1,$B$2,$B$7,$B$3,$B$4,$B$5,$F157,$B$6,Z$10,$A157,$B157)</f>
        <v>9662576</v>
      </c>
      <c r="AA157" s="4">
        <f ca="1">_xll.DBRW($B$1,$B$2,$B$7,$B$3,$B$4,$B$5,$F157,$B$6,AA$10,$A157,$B157)</f>
        <v>9662576</v>
      </c>
      <c r="AB157" s="4">
        <f ca="1">_xll.DBRW($B$1,$B$2,$B$7,$B$3,$B$4,$B$5,$F157,$B$6,AB$10,$A157,$B157)</f>
        <v>9350880</v>
      </c>
      <c r="AC157" s="4">
        <f ca="1">_xll.DBRW($B$1,$B$2,$B$7,$B$3,$B$4,$B$5,$F157,$B$6,AC$10,$A157,$B157)</f>
        <v>9662576</v>
      </c>
      <c r="AD157" s="4">
        <f ca="1">_xll.DBRW($B$1,$B$2,$B$7,$B$3,$B$4,$B$5,$F157,$B$6,AD$10,$A157,$B157)</f>
        <v>9350880</v>
      </c>
      <c r="AE157" s="4">
        <f ca="1">_xll.DBRW($B$1,$B$2,$B$7,$B$3,$B$4,$B$5,$F157,$B$6,AE$10,$A157,$B157)</f>
        <v>9662576</v>
      </c>
    </row>
    <row r="158" spans="1:31">
      <c r="A158" s="1" t="s">
        <v>152</v>
      </c>
      <c r="B158" s="5" t="s">
        <v>18</v>
      </c>
      <c r="C158" s="5" t="s">
        <v>19</v>
      </c>
      <c r="D158" s="5" t="s">
        <v>20</v>
      </c>
      <c r="E158" s="5" t="s">
        <v>21</v>
      </c>
      <c r="F158" s="5" t="s">
        <v>24</v>
      </c>
      <c r="G158" s="6"/>
      <c r="H158" s="6"/>
      <c r="I158" s="6"/>
      <c r="J158" s="6"/>
      <c r="K158" s="6"/>
      <c r="L158" s="4">
        <f ca="1">_xll.DBRW($B$1,$B$2,$B$7,$B$3,$B$4,$B$5,$F158,$B$6,L$10,$A158,$B158)</f>
        <v>11763136</v>
      </c>
      <c r="M158" s="4">
        <f ca="1">_xll.DBRW($B$1,$B$2,$B$7,$B$3,$B$4,$B$5,$F158,$B$6,M$10,$A158,$B158)</f>
        <v>11383680</v>
      </c>
      <c r="N158" s="4">
        <f ca="1">_xll.DBRW($B$1,$B$2,$B$7,$B$3,$B$4,$B$5,$F158,$B$6,N$10,$A158,$B158)</f>
        <v>11763136</v>
      </c>
      <c r="O158" s="4">
        <f ca="1">_xll.DBRW($B$1,$B$2,$B$7,$B$3,$B$4,$B$5,$F158,$B$6,O$10,$A158,$B158)</f>
        <v>11763136</v>
      </c>
      <c r="P158" s="4">
        <f ca="1">_xll.DBRW($B$1,$B$2,$B$7,$B$3,$B$4,$B$5,$F158,$B$6,P$10,$A158,$B158)</f>
        <v>11383680</v>
      </c>
      <c r="Q158" s="4">
        <f ca="1">_xll.DBRW($B$1,$B$2,$B$7,$B$3,$B$4,$B$5,$F158,$B$6,Q$10,$A158,$B158)</f>
        <v>11695376</v>
      </c>
      <c r="R158" s="4">
        <f ca="1">_xll.DBRW($B$1,$B$2,$B$7,$B$3,$B$4,$B$5,$F158,$B$6,R$10,$A158,$B158)</f>
        <v>11112640</v>
      </c>
      <c r="S158" s="4">
        <f ca="1">_xll.DBRW($B$1,$B$2,$B$7,$B$3,$B$4,$B$5,$F158,$B$6,S$10,$A158,$B158)</f>
        <v>11424336</v>
      </c>
      <c r="T158" s="4">
        <f ca="1">_xll.DBRW($B$1,$B$2,$B$7,$B$3,$B$4,$B$5,$F158,$B$6,T$10,$A158,$B158)</f>
        <v>9662576</v>
      </c>
      <c r="U158" s="4">
        <f ca="1">_xll.DBRW($B$1,$B$2,$B$7,$B$3,$B$4,$B$5,$F158,$B$6,U$10,$A158,$B158)</f>
        <v>8727488</v>
      </c>
      <c r="V158" s="4">
        <f ca="1">_xll.DBRW($B$1,$B$2,$B$7,$B$3,$B$4,$B$5,$F158,$B$6,V$10,$A158,$B158)</f>
        <v>9662576</v>
      </c>
      <c r="W158" s="4">
        <f ca="1">_xll.DBRW($B$1,$B$2,$B$7,$B$3,$B$4,$B$5,$F158,$B$6,W$10,$A158,$B158)</f>
        <v>9350880</v>
      </c>
      <c r="X158" s="4">
        <f ca="1">_xll.DBRW($B$1,$B$2,$B$7,$B$3,$B$4,$B$5,$F158,$B$6,X$10,$A158,$B158)</f>
        <v>9662576</v>
      </c>
      <c r="Y158" s="4">
        <f ca="1">_xll.DBRW($B$1,$B$2,$B$7,$B$3,$B$4,$B$5,$F158,$B$6,Y$10,$A158,$B158)</f>
        <v>9350880</v>
      </c>
      <c r="Z158" s="4">
        <f ca="1">_xll.DBRW($B$1,$B$2,$B$7,$B$3,$B$4,$B$5,$F158,$B$6,Z$10,$A158,$B158)</f>
        <v>9662576</v>
      </c>
      <c r="AA158" s="4">
        <f ca="1">_xll.DBRW($B$1,$B$2,$B$7,$B$3,$B$4,$B$5,$F158,$B$6,AA$10,$A158,$B158)</f>
        <v>9662576</v>
      </c>
      <c r="AB158" s="4">
        <f ca="1">_xll.DBRW($B$1,$B$2,$B$7,$B$3,$B$4,$B$5,$F158,$B$6,AB$10,$A158,$B158)</f>
        <v>9350880</v>
      </c>
      <c r="AC158" s="4">
        <f ca="1">_xll.DBRW($B$1,$B$2,$B$7,$B$3,$B$4,$B$5,$F158,$B$6,AC$10,$A158,$B158)</f>
        <v>9662576</v>
      </c>
      <c r="AD158" s="4">
        <f ca="1">_xll.DBRW($B$1,$B$2,$B$7,$B$3,$B$4,$B$5,$F158,$B$6,AD$10,$A158,$B158)</f>
        <v>9350880</v>
      </c>
      <c r="AE158" s="4">
        <f ca="1">_xll.DBRW($B$1,$B$2,$B$7,$B$3,$B$4,$B$5,$F158,$B$6,AE$10,$A158,$B158)</f>
        <v>9662576</v>
      </c>
    </row>
    <row r="159" spans="1:31">
      <c r="A159" s="1" t="s">
        <v>152</v>
      </c>
      <c r="B159" s="5" t="s">
        <v>190</v>
      </c>
      <c r="C159" s="5" t="s">
        <v>191</v>
      </c>
      <c r="D159" s="5" t="s">
        <v>21</v>
      </c>
      <c r="E159" s="5" t="s">
        <v>73</v>
      </c>
      <c r="F159" s="5" t="s">
        <v>24</v>
      </c>
      <c r="G159" s="6"/>
      <c r="H159" s="6"/>
      <c r="I159" s="6"/>
      <c r="J159" s="6"/>
      <c r="K159" s="6"/>
      <c r="L159" s="4">
        <f ca="1">_xll.DBRW($B$1,$B$2,$B$7,$B$3,$B$4,$B$5,$F159,$B$6,L$10,$A159,$B159)</f>
        <v>8381625</v>
      </c>
      <c r="M159" s="4">
        <f ca="1">_xll.DBRW($B$1,$B$2,$B$7,$B$3,$B$4,$B$5,$F159,$B$6,M$10,$A159,$B159)</f>
        <v>8111250</v>
      </c>
      <c r="N159" s="4">
        <f ca="1">_xll.DBRW($B$1,$B$2,$B$7,$B$3,$B$4,$B$5,$F159,$B$6,N$10,$A159,$B159)</f>
        <v>8381625</v>
      </c>
      <c r="O159" s="4">
        <f ca="1">_xll.DBRW($B$1,$B$2,$B$7,$B$3,$B$4,$B$5,$F159,$B$6,O$10,$A159,$B159)</f>
        <v>8381625</v>
      </c>
      <c r="P159" s="4">
        <f ca="1">_xll.DBRW($B$1,$B$2,$B$7,$B$3,$B$4,$B$5,$F159,$B$6,P$10,$A159,$B159)</f>
        <v>8111250</v>
      </c>
      <c r="Q159" s="4">
        <f ca="1">_xll.DBRW($B$1,$B$2,$B$7,$B$3,$B$4,$B$5,$F159,$B$6,Q$10,$A159,$B159)</f>
        <v>8381625</v>
      </c>
      <c r="R159" s="4">
        <f ca="1">_xll.DBRW($B$1,$B$2,$B$7,$B$3,$B$4,$B$5,$F159,$B$6,R$10,$A159,$B159)</f>
        <v>8111250</v>
      </c>
      <c r="S159" s="4">
        <f ca="1">_xll.DBRW($B$1,$B$2,$B$7,$B$3,$B$4,$B$5,$F159,$B$6,S$10,$A159,$B159)</f>
        <v>8381625</v>
      </c>
      <c r="T159" s="4">
        <f ca="1">_xll.DBRW($B$1,$B$2,$B$7,$B$3,$B$4,$B$5,$F159,$B$6,T$10,$A159,$B159)</f>
        <v>8381625</v>
      </c>
      <c r="U159" s="4">
        <f ca="1">_xll.DBRW($B$1,$B$2,$B$7,$B$3,$B$4,$B$5,$F159,$B$6,U$10,$A159,$B159)</f>
        <v>7570500</v>
      </c>
      <c r="V159" s="4">
        <f ca="1">_xll.DBRW($B$1,$B$2,$B$7,$B$3,$B$4,$B$5,$F159,$B$6,V$10,$A159,$B159)</f>
        <v>8381625</v>
      </c>
      <c r="W159" s="4">
        <f ca="1">_xll.DBRW($B$1,$B$2,$B$7,$B$3,$B$4,$B$5,$F159,$B$6,W$10,$A159,$B159)</f>
        <v>8111250</v>
      </c>
      <c r="X159" s="4">
        <f ca="1">_xll.DBRW($B$1,$B$2,$B$7,$B$3,$B$4,$B$5,$F159,$B$6,X$10,$A159,$B159)</f>
        <v>8381625</v>
      </c>
      <c r="Y159" s="4">
        <f ca="1">_xll.DBRW($B$1,$B$2,$B$7,$B$3,$B$4,$B$5,$F159,$B$6,Y$10,$A159,$B159)</f>
        <v>8111250</v>
      </c>
      <c r="Z159" s="4">
        <f ca="1">_xll.DBRW($B$1,$B$2,$B$7,$B$3,$B$4,$B$5,$F159,$B$6,Z$10,$A159,$B159)</f>
        <v>8381625</v>
      </c>
      <c r="AA159" s="4">
        <f ca="1">_xll.DBRW($B$1,$B$2,$B$7,$B$3,$B$4,$B$5,$F159,$B$6,AA$10,$A159,$B159)</f>
        <v>8381625</v>
      </c>
      <c r="AB159" s="4">
        <f ca="1">_xll.DBRW($B$1,$B$2,$B$7,$B$3,$B$4,$B$5,$F159,$B$6,AB$10,$A159,$B159)</f>
        <v>8111250</v>
      </c>
      <c r="AC159" s="4">
        <f ca="1">_xll.DBRW($B$1,$B$2,$B$7,$B$3,$B$4,$B$5,$F159,$B$6,AC$10,$A159,$B159)</f>
        <v>8381625</v>
      </c>
      <c r="AD159" s="4">
        <f ca="1">_xll.DBRW($B$1,$B$2,$B$7,$B$3,$B$4,$B$5,$F159,$B$6,AD$10,$A159,$B159)</f>
        <v>8111250</v>
      </c>
      <c r="AE159" s="4">
        <f ca="1">_xll.DBRW($B$1,$B$2,$B$7,$B$3,$B$4,$B$5,$F159,$B$6,AE$10,$A159,$B159)</f>
        <v>8381625</v>
      </c>
    </row>
    <row r="160" spans="1:31">
      <c r="A160" s="1" t="s">
        <v>152</v>
      </c>
      <c r="B160" s="5" t="s">
        <v>71</v>
      </c>
      <c r="C160" s="5" t="s">
        <v>72</v>
      </c>
      <c r="D160" s="5" t="s">
        <v>73</v>
      </c>
      <c r="E160" s="5" t="s">
        <v>21</v>
      </c>
      <c r="F160" s="5" t="s">
        <v>24</v>
      </c>
      <c r="G160" s="6"/>
      <c r="H160" s="6"/>
      <c r="I160" s="6"/>
      <c r="J160" s="6"/>
      <c r="K160" s="6"/>
      <c r="L160" s="4">
        <f ca="1">_xll.DBRW($B$1,$B$2,$B$7,$B$3,$B$4,$B$5,$F160,$B$6,L$10,$A160,$B160)</f>
        <v>8381625</v>
      </c>
      <c r="M160" s="4">
        <f ca="1">_xll.DBRW($B$1,$B$2,$B$7,$B$3,$B$4,$B$5,$F160,$B$6,M$10,$A160,$B160)</f>
        <v>8111250</v>
      </c>
      <c r="N160" s="4">
        <f ca="1">_xll.DBRW($B$1,$B$2,$B$7,$B$3,$B$4,$B$5,$F160,$B$6,N$10,$A160,$B160)</f>
        <v>8381625</v>
      </c>
      <c r="O160" s="4">
        <f ca="1">_xll.DBRW($B$1,$B$2,$B$7,$B$3,$B$4,$B$5,$F160,$B$6,O$10,$A160,$B160)</f>
        <v>8381625</v>
      </c>
      <c r="P160" s="4">
        <f ca="1">_xll.DBRW($B$1,$B$2,$B$7,$B$3,$B$4,$B$5,$F160,$B$6,P$10,$A160,$B160)</f>
        <v>8111250</v>
      </c>
      <c r="Q160" s="4">
        <f ca="1">_xll.DBRW($B$1,$B$2,$B$7,$B$3,$B$4,$B$5,$F160,$B$6,Q$10,$A160,$B160)</f>
        <v>8381625</v>
      </c>
      <c r="R160" s="4">
        <f ca="1">_xll.DBRW($B$1,$B$2,$B$7,$B$3,$B$4,$B$5,$F160,$B$6,R$10,$A160,$B160)</f>
        <v>8111250</v>
      </c>
      <c r="S160" s="4">
        <f ca="1">_xll.DBRW($B$1,$B$2,$B$7,$B$3,$B$4,$B$5,$F160,$B$6,S$10,$A160,$B160)</f>
        <v>8381625</v>
      </c>
      <c r="T160" s="4">
        <f ca="1">_xll.DBRW($B$1,$B$2,$B$7,$B$3,$B$4,$B$5,$F160,$B$6,T$10,$A160,$B160)</f>
        <v>8381625</v>
      </c>
      <c r="U160" s="4">
        <f ca="1">_xll.DBRW($B$1,$B$2,$B$7,$B$3,$B$4,$B$5,$F160,$B$6,U$10,$A160,$B160)</f>
        <v>7570500</v>
      </c>
      <c r="V160" s="4">
        <f ca="1">_xll.DBRW($B$1,$B$2,$B$7,$B$3,$B$4,$B$5,$F160,$B$6,V$10,$A160,$B160)</f>
        <v>8381625</v>
      </c>
      <c r="W160" s="4">
        <f ca="1">_xll.DBRW($B$1,$B$2,$B$7,$B$3,$B$4,$B$5,$F160,$B$6,W$10,$A160,$B160)</f>
        <v>8111250</v>
      </c>
      <c r="X160" s="4">
        <f ca="1">_xll.DBRW($B$1,$B$2,$B$7,$B$3,$B$4,$B$5,$F160,$B$6,X$10,$A160,$B160)</f>
        <v>8381625</v>
      </c>
      <c r="Y160" s="4">
        <f ca="1">_xll.DBRW($B$1,$B$2,$B$7,$B$3,$B$4,$B$5,$F160,$B$6,Y$10,$A160,$B160)</f>
        <v>8111250</v>
      </c>
      <c r="Z160" s="4">
        <f ca="1">_xll.DBRW($B$1,$B$2,$B$7,$B$3,$B$4,$B$5,$F160,$B$6,Z$10,$A160,$B160)</f>
        <v>8381625</v>
      </c>
      <c r="AA160" s="4">
        <f ca="1">_xll.DBRW($B$1,$B$2,$B$7,$B$3,$B$4,$B$5,$F160,$B$6,AA$10,$A160,$B160)</f>
        <v>8381625</v>
      </c>
      <c r="AB160" s="4">
        <f ca="1">_xll.DBRW($B$1,$B$2,$B$7,$B$3,$B$4,$B$5,$F160,$B$6,AB$10,$A160,$B160)</f>
        <v>8111250</v>
      </c>
      <c r="AC160" s="4">
        <f ca="1">_xll.DBRW($B$1,$B$2,$B$7,$B$3,$B$4,$B$5,$F160,$B$6,AC$10,$A160,$B160)</f>
        <v>8381625</v>
      </c>
      <c r="AD160" s="4">
        <f ca="1">_xll.DBRW($B$1,$B$2,$B$7,$B$3,$B$4,$B$5,$F160,$B$6,AD$10,$A160,$B160)</f>
        <v>8111250</v>
      </c>
      <c r="AE160" s="4">
        <f ca="1">_xll.DBRW($B$1,$B$2,$B$7,$B$3,$B$4,$B$5,$F160,$B$6,AE$10,$A160,$B160)</f>
        <v>8111250</v>
      </c>
    </row>
    <row r="161" spans="1:31">
      <c r="A161" s="1" t="s">
        <v>152</v>
      </c>
      <c r="B161" s="5" t="s">
        <v>192</v>
      </c>
      <c r="C161" s="5" t="s">
        <v>193</v>
      </c>
      <c r="D161" s="5" t="s">
        <v>21</v>
      </c>
      <c r="E161" s="5" t="s">
        <v>194</v>
      </c>
      <c r="F161" s="5" t="s">
        <v>24</v>
      </c>
      <c r="G161" s="6"/>
      <c r="H161" s="6"/>
      <c r="I161" s="6"/>
      <c r="J161" s="6"/>
      <c r="K161" s="6"/>
      <c r="L161" s="4">
        <f ca="1">_xll.DBRW($B$1,$B$2,$B$7,$B$3,$B$4,$B$5,$F161,$B$6,L$10,$A161,$B161)</f>
        <v>2429595</v>
      </c>
      <c r="M161" s="4">
        <f ca="1">_xll.DBRW($B$1,$B$2,$B$7,$B$3,$B$4,$B$5,$F161,$B$6,M$10,$A161,$B161)</f>
        <v>2159640</v>
      </c>
      <c r="N161" s="4">
        <f ca="1">_xll.DBRW($B$1,$B$2,$B$7,$B$3,$B$4,$B$5,$F161,$B$6,N$10,$A161,$B161)</f>
        <v>2429595</v>
      </c>
      <c r="O161" s="4">
        <f ca="1">_xll.DBRW($B$1,$B$2,$B$7,$B$3,$B$4,$B$5,$F161,$B$6,O$10,$A161,$B161)</f>
        <v>2429595</v>
      </c>
      <c r="P161" s="4">
        <f ca="1">_xll.DBRW($B$1,$B$2,$B$7,$B$3,$B$4,$B$5,$F161,$B$6,P$10,$A161,$B161)</f>
        <v>2429595</v>
      </c>
      <c r="Q161" s="4">
        <f ca="1">_xll.DBRW($B$1,$B$2,$B$7,$B$3,$B$4,$B$5,$F161,$B$6,Q$10,$A161,$B161)</f>
        <v>2969505</v>
      </c>
      <c r="R161" s="4">
        <f ca="1">_xll.DBRW($B$1,$B$2,$B$7,$B$3,$B$4,$B$5,$F161,$B$6,R$10,$A161,$B161)</f>
        <v>3239460</v>
      </c>
      <c r="S161" s="4">
        <f ca="1">_xll.DBRW($B$1,$B$2,$B$7,$B$3,$B$4,$B$5,$F161,$B$6,S$10,$A161,$B161)</f>
        <v>3779370</v>
      </c>
      <c r="T161" s="4">
        <f ca="1">_xll.DBRW($B$1,$B$2,$B$7,$B$3,$B$4,$B$5,$F161,$B$6,T$10,$A161,$B161)</f>
        <v>3509415</v>
      </c>
      <c r="U161" s="4">
        <f ca="1">_xll.DBRW($B$1,$B$2,$B$7,$B$3,$B$4,$B$5,$F161,$B$6,U$10,$A161,$B161)</f>
        <v>3239460</v>
      </c>
      <c r="V161" s="4">
        <f ca="1">_xll.DBRW($B$1,$B$2,$B$7,$B$3,$B$4,$B$5,$F161,$B$6,V$10,$A161,$B161)</f>
        <v>3509415</v>
      </c>
      <c r="W161" s="4">
        <f ca="1">_xll.DBRW($B$1,$B$2,$B$7,$B$3,$B$4,$B$5,$F161,$B$6,W$10,$A161,$B161)</f>
        <v>2159640</v>
      </c>
      <c r="X161" s="4">
        <f ca="1">_xll.DBRW($B$1,$B$2,$B$7,$B$3,$B$4,$B$5,$F161,$B$6,X$10,$A161,$B161)</f>
        <v>2429595</v>
      </c>
      <c r="Y161" s="4">
        <f ca="1">_xll.DBRW($B$1,$B$2,$B$7,$B$3,$B$4,$B$5,$F161,$B$6,Y$10,$A161,$B161)</f>
        <v>2429595</v>
      </c>
      <c r="Z161" s="4">
        <f ca="1">_xll.DBRW($B$1,$B$2,$B$7,$B$3,$B$4,$B$5,$F161,$B$6,Z$10,$A161,$B161)</f>
        <v>2159640</v>
      </c>
      <c r="AA161" s="4">
        <f ca="1">_xll.DBRW($B$1,$B$2,$B$7,$B$3,$B$4,$B$5,$F161,$B$6,AA$10,$A161,$B161)</f>
        <v>2429595</v>
      </c>
      <c r="AB161" s="4">
        <f ca="1">_xll.DBRW($B$1,$B$2,$B$7,$B$3,$B$4,$B$5,$F161,$B$6,AB$10,$A161,$B161)</f>
        <v>2429595</v>
      </c>
      <c r="AC161" s="4">
        <f ca="1">_xll.DBRW($B$1,$B$2,$B$7,$B$3,$B$4,$B$5,$F161,$B$6,AC$10,$A161,$B161)</f>
        <v>2699550</v>
      </c>
      <c r="AD161" s="4">
        <f ca="1">_xll.DBRW($B$1,$B$2,$B$7,$B$3,$B$4,$B$5,$F161,$B$6,AD$10,$A161,$B161)</f>
        <v>3509415</v>
      </c>
      <c r="AE161" s="4">
        <f ca="1">_xll.DBRW($B$1,$B$2,$B$7,$B$3,$B$4,$B$5,$F161,$B$6,AE$10,$A161,$B161)</f>
        <v>3509415</v>
      </c>
    </row>
    <row r="162" spans="1:31">
      <c r="A162" s="1" t="s">
        <v>152</v>
      </c>
      <c r="B162" s="5" t="s">
        <v>195</v>
      </c>
      <c r="C162" s="5" t="s">
        <v>196</v>
      </c>
      <c r="D162" s="5" t="s">
        <v>194</v>
      </c>
      <c r="E162" s="5" t="s">
        <v>21</v>
      </c>
      <c r="F162" s="5" t="s">
        <v>24</v>
      </c>
      <c r="G162" s="6"/>
      <c r="H162" s="6"/>
      <c r="I162" s="6"/>
      <c r="J162" s="6"/>
      <c r="K162" s="6"/>
      <c r="L162" s="4">
        <f ca="1">_xll.DBRW($B$1,$B$2,$B$7,$B$3,$B$4,$B$5,$F162,$B$6,L$10,$A162,$B162)</f>
        <v>2429595</v>
      </c>
      <c r="M162" s="4">
        <f ca="1">_xll.DBRW($B$1,$B$2,$B$7,$B$3,$B$4,$B$5,$F162,$B$6,M$10,$A162,$B162)</f>
        <v>2159640</v>
      </c>
      <c r="N162" s="4">
        <f ca="1">_xll.DBRW($B$1,$B$2,$B$7,$B$3,$B$4,$B$5,$F162,$B$6,N$10,$A162,$B162)</f>
        <v>2429595</v>
      </c>
      <c r="O162" s="4">
        <f ca="1">_xll.DBRW($B$1,$B$2,$B$7,$B$3,$B$4,$B$5,$F162,$B$6,O$10,$A162,$B162)</f>
        <v>2429595</v>
      </c>
      <c r="P162" s="4">
        <f ca="1">_xll.DBRW($B$1,$B$2,$B$7,$B$3,$B$4,$B$5,$F162,$B$6,P$10,$A162,$B162)</f>
        <v>2429595</v>
      </c>
      <c r="Q162" s="4">
        <f ca="1">_xll.DBRW($B$1,$B$2,$B$7,$B$3,$B$4,$B$5,$F162,$B$6,Q$10,$A162,$B162)</f>
        <v>2699550</v>
      </c>
      <c r="R162" s="4">
        <f ca="1">_xll.DBRW($B$1,$B$2,$B$7,$B$3,$B$4,$B$5,$F162,$B$6,R$10,$A162,$B162)</f>
        <v>3239460</v>
      </c>
      <c r="S162" s="4">
        <f ca="1">_xll.DBRW($B$1,$B$2,$B$7,$B$3,$B$4,$B$5,$F162,$B$6,S$10,$A162,$B162)</f>
        <v>3779370</v>
      </c>
      <c r="T162" s="4">
        <f ca="1">_xll.DBRW($B$1,$B$2,$B$7,$B$3,$B$4,$B$5,$F162,$B$6,T$10,$A162,$B162)</f>
        <v>3509415</v>
      </c>
      <c r="U162" s="4">
        <f ca="1">_xll.DBRW($B$1,$B$2,$B$7,$B$3,$B$4,$B$5,$F162,$B$6,U$10,$A162,$B162)</f>
        <v>3239460</v>
      </c>
      <c r="V162" s="4">
        <f ca="1">_xll.DBRW($B$1,$B$2,$B$7,$B$3,$B$4,$B$5,$F162,$B$6,V$10,$A162,$B162)</f>
        <v>3509415</v>
      </c>
      <c r="W162" s="4">
        <f ca="1">_xll.DBRW($B$1,$B$2,$B$7,$B$3,$B$4,$B$5,$F162,$B$6,W$10,$A162,$B162)</f>
        <v>2159640</v>
      </c>
      <c r="X162" s="4">
        <f ca="1">_xll.DBRW($B$1,$B$2,$B$7,$B$3,$B$4,$B$5,$F162,$B$6,X$10,$A162,$B162)</f>
        <v>2429595</v>
      </c>
      <c r="Y162" s="4">
        <f ca="1">_xll.DBRW($B$1,$B$2,$B$7,$B$3,$B$4,$B$5,$F162,$B$6,Y$10,$A162,$B162)</f>
        <v>2429595</v>
      </c>
      <c r="Z162" s="4">
        <f ca="1">_xll.DBRW($B$1,$B$2,$B$7,$B$3,$B$4,$B$5,$F162,$B$6,Z$10,$A162,$B162)</f>
        <v>2159640</v>
      </c>
      <c r="AA162" s="4">
        <f ca="1">_xll.DBRW($B$1,$B$2,$B$7,$B$3,$B$4,$B$5,$F162,$B$6,AA$10,$A162,$B162)</f>
        <v>2429595</v>
      </c>
      <c r="AB162" s="4">
        <f ca="1">_xll.DBRW($B$1,$B$2,$B$7,$B$3,$B$4,$B$5,$F162,$B$6,AB$10,$A162,$B162)</f>
        <v>2429595</v>
      </c>
      <c r="AC162" s="4">
        <f ca="1">_xll.DBRW($B$1,$B$2,$B$7,$B$3,$B$4,$B$5,$F162,$B$6,AC$10,$A162,$B162)</f>
        <v>2699550</v>
      </c>
      <c r="AD162" s="4">
        <f ca="1">_xll.DBRW($B$1,$B$2,$B$7,$B$3,$B$4,$B$5,$F162,$B$6,AD$10,$A162,$B162)</f>
        <v>3509415</v>
      </c>
      <c r="AE162" s="4">
        <f ca="1">_xll.DBRW($B$1,$B$2,$B$7,$B$3,$B$4,$B$5,$F162,$B$6,AE$10,$A162,$B162)</f>
        <v>3509415</v>
      </c>
    </row>
    <row r="163" spans="1:31">
      <c r="A163" s="1" t="s">
        <v>152</v>
      </c>
      <c r="B163" s="5" t="s">
        <v>197</v>
      </c>
      <c r="C163" s="5" t="s">
        <v>198</v>
      </c>
      <c r="D163" s="5" t="s">
        <v>28</v>
      </c>
      <c r="E163" s="5" t="s">
        <v>20</v>
      </c>
      <c r="F163" s="5" t="s">
        <v>24</v>
      </c>
      <c r="G163" s="6"/>
      <c r="H163" s="6"/>
      <c r="I163" s="6"/>
      <c r="J163" s="6"/>
      <c r="K163" s="6"/>
      <c r="L163" s="4">
        <f ca="1">_xll.DBRW($B$1,$B$2,$B$7,$B$3,$B$4,$B$5,$F163,$B$6,L$10,$A163,$B163)</f>
        <v>9814848</v>
      </c>
      <c r="M163" s="4">
        <f ca="1">_xll.DBRW($B$1,$B$2,$B$7,$B$3,$B$4,$B$5,$F163,$B$6,M$10,$A163,$B163)</f>
        <v>9498240</v>
      </c>
      <c r="N163" s="4">
        <f ca="1">_xll.DBRW($B$1,$B$2,$B$7,$B$3,$B$4,$B$5,$F163,$B$6,N$10,$A163,$B163)</f>
        <v>9814848</v>
      </c>
      <c r="O163" s="4">
        <f ca="1">_xll.DBRW($B$1,$B$2,$B$7,$B$3,$B$4,$B$5,$F163,$B$6,O$10,$A163,$B163)</f>
        <v>9814848</v>
      </c>
      <c r="P163" s="4">
        <f ca="1">_xll.DBRW($B$1,$B$2,$B$7,$B$3,$B$4,$B$5,$F163,$B$6,P$10,$A163,$B163)</f>
        <v>9498240</v>
      </c>
      <c r="Q163" s="4">
        <f ca="1">_xll.DBRW($B$1,$B$2,$B$7,$B$3,$B$4,$B$5,$F163,$B$6,Q$10,$A163,$B163)</f>
        <v>8851832</v>
      </c>
      <c r="R163" s="4">
        <f ca="1">_xll.DBRW($B$1,$B$2,$B$7,$B$3,$B$4,$B$5,$F163,$B$6,R$10,$A163,$B163)</f>
        <v>6846648</v>
      </c>
      <c r="S163" s="4">
        <f ca="1">_xll.DBRW($B$1,$B$2,$B$7,$B$3,$B$4,$B$5,$F163,$B$6,S$10,$A163,$B163)</f>
        <v>6543232</v>
      </c>
      <c r="T163" s="4">
        <f ca="1">_xll.DBRW($B$1,$B$2,$B$7,$B$3,$B$4,$B$5,$F163,$B$6,T$10,$A163,$B163)</f>
        <v>7281984</v>
      </c>
      <c r="U163" s="4">
        <f ca="1">_xll.DBRW($B$1,$B$2,$B$7,$B$3,$B$4,$B$5,$F163,$B$6,U$10,$A163,$B163)</f>
        <v>6332160</v>
      </c>
      <c r="V163" s="4">
        <f ca="1">_xll.DBRW($B$1,$B$2,$B$7,$B$3,$B$4,$B$5,$F163,$B$6,V$10,$A163,$B163)</f>
        <v>7281984</v>
      </c>
      <c r="W163" s="4">
        <f ca="1">_xll.DBRW($B$1,$B$2,$B$7,$B$3,$B$4,$B$5,$F163,$B$6,W$10,$A163,$B163)</f>
        <v>9498240</v>
      </c>
      <c r="X163" s="4">
        <f ca="1">_xll.DBRW($B$1,$B$2,$B$7,$B$3,$B$4,$B$5,$F163,$B$6,X$10,$A163,$B163)</f>
        <v>9814848</v>
      </c>
      <c r="Y163" s="4">
        <f ca="1">_xll.DBRW($B$1,$B$2,$B$7,$B$3,$B$4,$B$5,$F163,$B$6,Y$10,$A163,$B163)</f>
        <v>9498240</v>
      </c>
      <c r="Z163" s="4">
        <f ca="1">_xll.DBRW($B$1,$B$2,$B$7,$B$3,$B$4,$B$5,$F163,$B$6,Z$10,$A163,$B163)</f>
        <v>9814848</v>
      </c>
      <c r="AA163" s="4">
        <f ca="1">_xll.DBRW($B$1,$B$2,$B$7,$B$3,$B$4,$B$5,$F163,$B$6,AA$10,$A163,$B163)</f>
        <v>9814848</v>
      </c>
      <c r="AB163" s="4">
        <f ca="1">_xll.DBRW($B$1,$B$2,$B$7,$B$3,$B$4,$B$5,$F163,$B$6,AB$10,$A163,$B163)</f>
        <v>9498240</v>
      </c>
      <c r="AC163" s="4">
        <f ca="1">_xll.DBRW($B$1,$B$2,$B$7,$B$3,$B$4,$B$5,$F163,$B$6,AC$10,$A163,$B163)</f>
        <v>9181632</v>
      </c>
      <c r="AD163" s="4">
        <f ca="1">_xll.DBRW($B$1,$B$2,$B$7,$B$3,$B$4,$B$5,$F163,$B$6,AD$10,$A163,$B163)</f>
        <v>6648768</v>
      </c>
      <c r="AE163" s="4">
        <f ca="1">_xll.DBRW($B$1,$B$2,$B$7,$B$3,$B$4,$B$5,$F163,$B$6,AE$10,$A163,$B163)</f>
        <v>6965376</v>
      </c>
    </row>
    <row r="164" spans="1:31">
      <c r="A164" s="1" t="s">
        <v>152</v>
      </c>
      <c r="B164" s="5" t="s">
        <v>26</v>
      </c>
      <c r="C164" s="5" t="s">
        <v>27</v>
      </c>
      <c r="D164" s="5" t="s">
        <v>20</v>
      </c>
      <c r="E164" s="5" t="s">
        <v>28</v>
      </c>
      <c r="F164" s="5" t="s">
        <v>24</v>
      </c>
      <c r="G164" s="6"/>
      <c r="H164" s="6"/>
      <c r="I164" s="6"/>
      <c r="J164" s="6"/>
      <c r="K164" s="6"/>
      <c r="L164" s="4">
        <f ca="1">_xll.DBRW($B$1,$B$2,$B$7,$B$3,$B$4,$B$5,$F164,$B$6,L$10,$A164,$B164)</f>
        <v>9814848</v>
      </c>
      <c r="M164" s="4">
        <f ca="1">_xll.DBRW($B$1,$B$2,$B$7,$B$3,$B$4,$B$5,$F164,$B$6,M$10,$A164,$B164)</f>
        <v>9498240</v>
      </c>
      <c r="N164" s="4">
        <f ca="1">_xll.DBRW($B$1,$B$2,$B$7,$B$3,$B$4,$B$5,$F164,$B$6,N$10,$A164,$B164)</f>
        <v>9814848</v>
      </c>
      <c r="O164" s="4">
        <f ca="1">_xll.DBRW($B$1,$B$2,$B$7,$B$3,$B$4,$B$5,$F164,$B$6,O$10,$A164,$B164)</f>
        <v>9814848</v>
      </c>
      <c r="P164" s="4">
        <f ca="1">_xll.DBRW($B$1,$B$2,$B$7,$B$3,$B$4,$B$5,$F164,$B$6,P$10,$A164,$B164)</f>
        <v>9498240</v>
      </c>
      <c r="Q164" s="4">
        <f ca="1">_xll.DBRW($B$1,$B$2,$B$7,$B$3,$B$4,$B$5,$F164,$B$6,Q$10,$A164,$B164)</f>
        <v>8851832</v>
      </c>
      <c r="R164" s="4">
        <f ca="1">_xll.DBRW($B$1,$B$2,$B$7,$B$3,$B$4,$B$5,$F164,$B$6,R$10,$A164,$B164)</f>
        <v>6846648</v>
      </c>
      <c r="S164" s="4">
        <f ca="1">_xll.DBRW($B$1,$B$2,$B$7,$B$3,$B$4,$B$5,$F164,$B$6,S$10,$A164,$B164)</f>
        <v>6543232</v>
      </c>
      <c r="T164" s="4">
        <f ca="1">_xll.DBRW($B$1,$B$2,$B$7,$B$3,$B$4,$B$5,$F164,$B$6,T$10,$A164,$B164)</f>
        <v>7281984</v>
      </c>
      <c r="U164" s="4">
        <f ca="1">_xll.DBRW($B$1,$B$2,$B$7,$B$3,$B$4,$B$5,$F164,$B$6,U$10,$A164,$B164)</f>
        <v>6332160</v>
      </c>
      <c r="V164" s="4">
        <f ca="1">_xll.DBRW($B$1,$B$2,$B$7,$B$3,$B$4,$B$5,$F164,$B$6,V$10,$A164,$B164)</f>
        <v>7281984</v>
      </c>
      <c r="W164" s="4">
        <f ca="1">_xll.DBRW($B$1,$B$2,$B$7,$B$3,$B$4,$B$5,$F164,$B$6,W$10,$A164,$B164)</f>
        <v>9498240</v>
      </c>
      <c r="X164" s="4">
        <f ca="1">_xll.DBRW($B$1,$B$2,$B$7,$B$3,$B$4,$B$5,$F164,$B$6,X$10,$A164,$B164)</f>
        <v>9814848</v>
      </c>
      <c r="Y164" s="4">
        <f ca="1">_xll.DBRW($B$1,$B$2,$B$7,$B$3,$B$4,$B$5,$F164,$B$6,Y$10,$A164,$B164)</f>
        <v>9498240</v>
      </c>
      <c r="Z164" s="4">
        <f ca="1">_xll.DBRW($B$1,$B$2,$B$7,$B$3,$B$4,$B$5,$F164,$B$6,Z$10,$A164,$B164)</f>
        <v>9814848</v>
      </c>
      <c r="AA164" s="4">
        <f ca="1">_xll.DBRW($B$1,$B$2,$B$7,$B$3,$B$4,$B$5,$F164,$B$6,AA$10,$A164,$B164)</f>
        <v>9814848</v>
      </c>
      <c r="AB164" s="4">
        <f ca="1">_xll.DBRW($B$1,$B$2,$B$7,$B$3,$B$4,$B$5,$F164,$B$6,AB$10,$A164,$B164)</f>
        <v>9498240</v>
      </c>
      <c r="AC164" s="4">
        <f ca="1">_xll.DBRW($B$1,$B$2,$B$7,$B$3,$B$4,$B$5,$F164,$B$6,AC$10,$A164,$B164)</f>
        <v>9181632</v>
      </c>
      <c r="AD164" s="4">
        <f ca="1">_xll.DBRW($B$1,$B$2,$B$7,$B$3,$B$4,$B$5,$F164,$B$6,AD$10,$A164,$B164)</f>
        <v>6648768</v>
      </c>
      <c r="AE164" s="4">
        <f ca="1">_xll.DBRW($B$1,$B$2,$B$7,$B$3,$B$4,$B$5,$F164,$B$6,AE$10,$A164,$B164)</f>
        <v>6648768</v>
      </c>
    </row>
    <row r="165" spans="1:31">
      <c r="A165" s="1" t="s">
        <v>152</v>
      </c>
      <c r="B165" s="5" t="s">
        <v>199</v>
      </c>
      <c r="C165" s="5" t="s">
        <v>189</v>
      </c>
      <c r="D165" s="5" t="s">
        <v>21</v>
      </c>
      <c r="E165" s="5" t="s">
        <v>20</v>
      </c>
      <c r="F165" s="5" t="s">
        <v>24</v>
      </c>
      <c r="G165" s="6"/>
      <c r="H165" s="6"/>
      <c r="I165" s="6"/>
      <c r="J165" s="6"/>
      <c r="K165" s="6"/>
      <c r="L165" s="4">
        <f ca="1">_xll.DBRW($B$1,$B$2,$B$7,$B$3,$B$4,$B$5,$F165,$B$6,L$10,$A165,$B165)</f>
        <v>0</v>
      </c>
      <c r="M165" s="4">
        <f ca="1">_xll.DBRW($B$1,$B$2,$B$7,$B$3,$B$4,$B$5,$F165,$B$6,M$10,$A165,$B165)</f>
        <v>0</v>
      </c>
      <c r="N165" s="4">
        <f ca="1">_xll.DBRW($B$1,$B$2,$B$7,$B$3,$B$4,$B$5,$F165,$B$6,N$10,$A165,$B165)</f>
        <v>0</v>
      </c>
      <c r="O165" s="4">
        <f ca="1">_xll.DBRW($B$1,$B$2,$B$7,$B$3,$B$4,$B$5,$F165,$B$6,O$10,$A165,$B165)</f>
        <v>379456</v>
      </c>
      <c r="P165" s="4">
        <f ca="1">_xll.DBRW($B$1,$B$2,$B$7,$B$3,$B$4,$B$5,$F165,$B$6,P$10,$A165,$B165)</f>
        <v>0</v>
      </c>
      <c r="Q165" s="4">
        <f ca="1">_xll.DBRW($B$1,$B$2,$B$7,$B$3,$B$4,$B$5,$F165,$B$6,Q$10,$A165,$B165)</f>
        <v>0</v>
      </c>
      <c r="R165" s="4">
        <f ca="1">_xll.DBRW($B$1,$B$2,$B$7,$B$3,$B$4,$B$5,$F165,$B$6,R$10,$A165,$B165)</f>
        <v>0</v>
      </c>
      <c r="S165" s="4">
        <f ca="1">_xll.DBRW($B$1,$B$2,$B$7,$B$3,$B$4,$B$5,$F165,$B$6,S$10,$A165,$B165)</f>
        <v>0</v>
      </c>
      <c r="T165" s="4">
        <f ca="1">_xll.DBRW($B$1,$B$2,$B$7,$B$3,$B$4,$B$5,$F165,$B$6,T$10,$A165,$B165)</f>
        <v>0</v>
      </c>
      <c r="U165" s="4">
        <f ca="1">_xll.DBRW($B$1,$B$2,$B$7,$B$3,$B$4,$B$5,$F165,$B$6,U$10,$A165,$B165)</f>
        <v>0</v>
      </c>
      <c r="V165" s="4">
        <f ca="1">_xll.DBRW($B$1,$B$2,$B$7,$B$3,$B$4,$B$5,$F165,$B$6,V$10,$A165,$B165)</f>
        <v>623392</v>
      </c>
      <c r="W165" s="4">
        <f ca="1">_xll.DBRW($B$1,$B$2,$B$7,$B$3,$B$4,$B$5,$F165,$B$6,W$10,$A165,$B165)</f>
        <v>9350880</v>
      </c>
      <c r="X165" s="4">
        <f ca="1">_xll.DBRW($B$1,$B$2,$B$7,$B$3,$B$4,$B$5,$F165,$B$6,X$10,$A165,$B165)</f>
        <v>9662576</v>
      </c>
      <c r="Y165" s="4">
        <f ca="1">_xll.DBRW($B$1,$B$2,$B$7,$B$3,$B$4,$B$5,$F165,$B$6,Y$10,$A165,$B165)</f>
        <v>9350880</v>
      </c>
      <c r="Z165" s="4">
        <f ca="1">_xll.DBRW($B$1,$B$2,$B$7,$B$3,$B$4,$B$5,$F165,$B$6,Z$10,$A165,$B165)</f>
        <v>9662576</v>
      </c>
      <c r="AA165" s="4">
        <f ca="1">_xll.DBRW($B$1,$B$2,$B$7,$B$3,$B$4,$B$5,$F165,$B$6,AA$10,$A165,$B165)</f>
        <v>9662576</v>
      </c>
      <c r="AB165" s="4">
        <f ca="1">_xll.DBRW($B$1,$B$2,$B$7,$B$3,$B$4,$B$5,$F165,$B$6,AB$10,$A165,$B165)</f>
        <v>9350880</v>
      </c>
      <c r="AC165" s="4">
        <f ca="1">_xll.DBRW($B$1,$B$2,$B$7,$B$3,$B$4,$B$5,$F165,$B$6,AC$10,$A165,$B165)</f>
        <v>7792400</v>
      </c>
      <c r="AD165" s="4">
        <f ca="1">_xll.DBRW($B$1,$B$2,$B$7,$B$3,$B$4,$B$5,$F165,$B$6,AD$10,$A165,$B165)</f>
        <v>0</v>
      </c>
      <c r="AE165" s="4">
        <f ca="1">_xll.DBRW($B$1,$B$2,$B$7,$B$3,$B$4,$B$5,$F165,$B$6,AE$10,$A165,$B165)</f>
        <v>0</v>
      </c>
    </row>
    <row r="166" spans="1:31">
      <c r="A166" s="1" t="s">
        <v>152</v>
      </c>
      <c r="B166" s="5" t="s">
        <v>23</v>
      </c>
      <c r="C166" s="5" t="s">
        <v>19</v>
      </c>
      <c r="D166" s="5" t="s">
        <v>20</v>
      </c>
      <c r="E166" s="5" t="s">
        <v>21</v>
      </c>
      <c r="F166" s="5" t="s">
        <v>24</v>
      </c>
      <c r="G166" s="6"/>
      <c r="H166" s="6"/>
      <c r="I166" s="6"/>
      <c r="J166" s="6"/>
      <c r="K166" s="6"/>
      <c r="L166" s="4">
        <f ca="1">_xll.DBRW($B$1,$B$2,$B$7,$B$3,$B$4,$B$5,$F166,$B$6,L$10,$A166,$B166)</f>
        <v>0</v>
      </c>
      <c r="M166" s="4">
        <f ca="1">_xll.DBRW($B$1,$B$2,$B$7,$B$3,$B$4,$B$5,$F166,$B$6,M$10,$A166,$B166)</f>
        <v>0</v>
      </c>
      <c r="N166" s="4">
        <f ca="1">_xll.DBRW($B$1,$B$2,$B$7,$B$3,$B$4,$B$5,$F166,$B$6,N$10,$A166,$B166)</f>
        <v>0</v>
      </c>
      <c r="O166" s="4">
        <f ca="1">_xll.DBRW($B$1,$B$2,$B$7,$B$3,$B$4,$B$5,$F166,$B$6,O$10,$A166,$B166)</f>
        <v>0</v>
      </c>
      <c r="P166" s="4">
        <f ca="1">_xll.DBRW($B$1,$B$2,$B$7,$B$3,$B$4,$B$5,$F166,$B$6,P$10,$A166,$B166)</f>
        <v>0</v>
      </c>
      <c r="Q166" s="4">
        <f ca="1">_xll.DBRW($B$1,$B$2,$B$7,$B$3,$B$4,$B$5,$F166,$B$6,Q$10,$A166,$B166)</f>
        <v>0</v>
      </c>
      <c r="R166" s="4">
        <f ca="1">_xll.DBRW($B$1,$B$2,$B$7,$B$3,$B$4,$B$5,$F166,$B$6,R$10,$A166,$B166)</f>
        <v>0</v>
      </c>
      <c r="S166" s="4">
        <f ca="1">_xll.DBRW($B$1,$B$2,$B$7,$B$3,$B$4,$B$5,$F166,$B$6,S$10,$A166,$B166)</f>
        <v>0</v>
      </c>
      <c r="T166" s="4">
        <f ca="1">_xll.DBRW($B$1,$B$2,$B$7,$B$3,$B$4,$B$5,$F166,$B$6,T$10,$A166,$B166)</f>
        <v>0</v>
      </c>
      <c r="U166" s="4">
        <f ca="1">_xll.DBRW($B$1,$B$2,$B$7,$B$3,$B$4,$B$5,$F166,$B$6,U$10,$A166,$B166)</f>
        <v>0</v>
      </c>
      <c r="V166" s="4">
        <f ca="1">_xll.DBRW($B$1,$B$2,$B$7,$B$3,$B$4,$B$5,$F166,$B$6,V$10,$A166,$B166)</f>
        <v>623392</v>
      </c>
      <c r="W166" s="4">
        <f ca="1">_xll.DBRW($B$1,$B$2,$B$7,$B$3,$B$4,$B$5,$F166,$B$6,W$10,$A166,$B166)</f>
        <v>9350880</v>
      </c>
      <c r="X166" s="4">
        <f ca="1">_xll.DBRW($B$1,$B$2,$B$7,$B$3,$B$4,$B$5,$F166,$B$6,X$10,$A166,$B166)</f>
        <v>9662576</v>
      </c>
      <c r="Y166" s="4">
        <f ca="1">_xll.DBRW($B$1,$B$2,$B$7,$B$3,$B$4,$B$5,$F166,$B$6,Y$10,$A166,$B166)</f>
        <v>9350880</v>
      </c>
      <c r="Z166" s="4">
        <f ca="1">_xll.DBRW($B$1,$B$2,$B$7,$B$3,$B$4,$B$5,$F166,$B$6,Z$10,$A166,$B166)</f>
        <v>9662576</v>
      </c>
      <c r="AA166" s="4">
        <f ca="1">_xll.DBRW($B$1,$B$2,$B$7,$B$3,$B$4,$B$5,$F166,$B$6,AA$10,$A166,$B166)</f>
        <v>9662576</v>
      </c>
      <c r="AB166" s="4">
        <f ca="1">_xll.DBRW($B$1,$B$2,$B$7,$B$3,$B$4,$B$5,$F166,$B$6,AB$10,$A166,$B166)</f>
        <v>9350880</v>
      </c>
      <c r="AC166" s="4">
        <f ca="1">_xll.DBRW($B$1,$B$2,$B$7,$B$3,$B$4,$B$5,$F166,$B$6,AC$10,$A166,$B166)</f>
        <v>7792400</v>
      </c>
      <c r="AD166" s="4">
        <f ca="1">_xll.DBRW($B$1,$B$2,$B$7,$B$3,$B$4,$B$5,$F166,$B$6,AD$10,$A166,$B166)</f>
        <v>0</v>
      </c>
      <c r="AE166" s="4">
        <f ca="1">_xll.DBRW($B$1,$B$2,$B$7,$B$3,$B$4,$B$5,$F166,$B$6,AE$10,$A166,$B166)</f>
        <v>0</v>
      </c>
    </row>
    <row r="167" spans="1:31">
      <c r="A167" s="1" t="s">
        <v>152</v>
      </c>
      <c r="B167" s="5" t="s">
        <v>200</v>
      </c>
      <c r="C167" s="5" t="s">
        <v>161</v>
      </c>
      <c r="D167" s="5" t="s">
        <v>21</v>
      </c>
      <c r="E167" s="5" t="s">
        <v>69</v>
      </c>
      <c r="F167" s="5" t="s">
        <v>24</v>
      </c>
      <c r="G167" s="6"/>
      <c r="H167" s="6"/>
      <c r="I167" s="6"/>
      <c r="J167" s="6"/>
      <c r="K167" s="6"/>
      <c r="L167" s="4">
        <f ca="1">_xll.DBRW($B$1,$B$2,$B$7,$B$3,$B$4,$B$5,$F167,$B$6,L$10,$A167,$B167)</f>
        <v>7477050</v>
      </c>
      <c r="M167" s="4">
        <f ca="1">_xll.DBRW($B$1,$B$2,$B$7,$B$3,$B$4,$B$5,$F167,$B$6,M$10,$A167,$B167)</f>
        <v>7227815</v>
      </c>
      <c r="N167" s="4">
        <f ca="1">_xll.DBRW($B$1,$B$2,$B$7,$B$3,$B$4,$B$5,$F167,$B$6,N$10,$A167,$B167)</f>
        <v>7726285</v>
      </c>
      <c r="O167" s="4">
        <f ca="1">_xll.DBRW($B$1,$B$2,$B$7,$B$3,$B$4,$B$5,$F167,$B$6,O$10,$A167,$B167)</f>
        <v>7726285</v>
      </c>
      <c r="P167" s="4">
        <f ca="1">_xll.DBRW($B$1,$B$2,$B$7,$B$3,$B$4,$B$5,$F167,$B$6,P$10,$A167,$B167)</f>
        <v>7477050</v>
      </c>
      <c r="Q167" s="4">
        <f ca="1">_xll.DBRW($B$1,$B$2,$B$7,$B$3,$B$4,$B$5,$F167,$B$6,Q$10,$A167,$B167)</f>
        <v>8260360</v>
      </c>
      <c r="R167" s="4">
        <f ca="1">_xll.DBRW($B$1,$B$2,$B$7,$B$3,$B$4,$B$5,$F167,$B$6,R$10,$A167,$B167)</f>
        <v>10396660</v>
      </c>
      <c r="S167" s="4">
        <f ca="1">_xll.DBRW($B$1,$B$2,$B$7,$B$3,$B$4,$B$5,$F167,$B$6,S$10,$A167,$B167)</f>
        <v>10795436</v>
      </c>
      <c r="T167" s="4">
        <f ca="1">_xll.DBRW($B$1,$B$2,$B$7,$B$3,$B$4,$B$5,$F167,$B$6,T$10,$A167,$B167)</f>
        <v>10339692</v>
      </c>
      <c r="U167" s="4">
        <f ca="1">_xll.DBRW($B$1,$B$2,$B$7,$B$3,$B$4,$B$5,$F167,$B$6,U$10,$A167,$B167)</f>
        <v>9342752</v>
      </c>
      <c r="V167" s="4">
        <f ca="1">_xll.DBRW($B$1,$B$2,$B$7,$B$3,$B$4,$B$5,$F167,$B$6,V$10,$A167,$B167)</f>
        <v>10168788</v>
      </c>
      <c r="W167" s="4">
        <f ca="1">_xll.DBRW($B$1,$B$2,$B$7,$B$3,$B$4,$B$5,$F167,$B$6,W$10,$A167,$B167)</f>
        <v>7477050</v>
      </c>
      <c r="X167" s="4">
        <f ca="1">_xll.DBRW($B$1,$B$2,$B$7,$B$3,$B$4,$B$5,$F167,$B$6,X$10,$A167,$B167)</f>
        <v>7726285</v>
      </c>
      <c r="Y167" s="4">
        <f ca="1">_xll.DBRW($B$1,$B$2,$B$7,$B$3,$B$4,$B$5,$F167,$B$6,Y$10,$A167,$B167)</f>
        <v>7477050</v>
      </c>
      <c r="Z167" s="4">
        <f ca="1">_xll.DBRW($B$1,$B$2,$B$7,$B$3,$B$4,$B$5,$F167,$B$6,Z$10,$A167,$B167)</f>
        <v>7726285</v>
      </c>
      <c r="AA167" s="4">
        <f ca="1">_xll.DBRW($B$1,$B$2,$B$7,$B$3,$B$4,$B$5,$F167,$B$6,AA$10,$A167,$B167)</f>
        <v>7726285</v>
      </c>
      <c r="AB167" s="4">
        <f ca="1">_xll.DBRW($B$1,$B$2,$B$7,$B$3,$B$4,$B$5,$F167,$B$6,AB$10,$A167,$B167)</f>
        <v>7477050</v>
      </c>
      <c r="AC167" s="4">
        <f ca="1">_xll.DBRW($B$1,$B$2,$B$7,$B$3,$B$4,$B$5,$F167,$B$6,AC$10,$A167,$B167)</f>
        <v>8238997</v>
      </c>
      <c r="AD167" s="4">
        <f ca="1">_xll.DBRW($B$1,$B$2,$B$7,$B$3,$B$4,$B$5,$F167,$B$6,AD$10,$A167,$B167)</f>
        <v>9997884</v>
      </c>
      <c r="AE167" s="4">
        <f ca="1">_xll.DBRW($B$1,$B$2,$B$7,$B$3,$B$4,$B$5,$F167,$B$6,AE$10,$A167,$B167)</f>
        <v>10368176</v>
      </c>
    </row>
    <row r="168" spans="1:31">
      <c r="A168" s="1" t="s">
        <v>152</v>
      </c>
      <c r="B168" s="5" t="s">
        <v>70</v>
      </c>
      <c r="C168" s="5" t="s">
        <v>68</v>
      </c>
      <c r="D168" s="5" t="s">
        <v>69</v>
      </c>
      <c r="E168" s="5" t="s">
        <v>21</v>
      </c>
      <c r="F168" s="5" t="s">
        <v>24</v>
      </c>
      <c r="G168" s="6"/>
      <c r="H168" s="6"/>
      <c r="I168" s="6"/>
      <c r="J168" s="6"/>
      <c r="K168" s="6"/>
      <c r="L168" s="4">
        <f ca="1">_xll.DBRW($B$1,$B$2,$B$7,$B$3,$B$4,$B$5,$F168,$B$6,L$10,$A168,$B168)</f>
        <v>7477050</v>
      </c>
      <c r="M168" s="4">
        <f ca="1">_xll.DBRW($B$1,$B$2,$B$7,$B$3,$B$4,$B$5,$F168,$B$6,M$10,$A168,$B168)</f>
        <v>7227815</v>
      </c>
      <c r="N168" s="4">
        <f ca="1">_xll.DBRW($B$1,$B$2,$B$7,$B$3,$B$4,$B$5,$F168,$B$6,N$10,$A168,$B168)</f>
        <v>7726285</v>
      </c>
      <c r="O168" s="4">
        <f ca="1">_xll.DBRW($B$1,$B$2,$B$7,$B$3,$B$4,$B$5,$F168,$B$6,O$10,$A168,$B168)</f>
        <v>7726285</v>
      </c>
      <c r="P168" s="4">
        <f ca="1">_xll.DBRW($B$1,$B$2,$B$7,$B$3,$B$4,$B$5,$F168,$B$6,P$10,$A168,$B168)</f>
        <v>7477050</v>
      </c>
      <c r="Q168" s="4">
        <f ca="1">_xll.DBRW($B$1,$B$2,$B$7,$B$3,$B$4,$B$5,$F168,$B$6,Q$10,$A168,$B168)</f>
        <v>8260360</v>
      </c>
      <c r="R168" s="4">
        <f ca="1">_xll.DBRW($B$1,$B$2,$B$7,$B$3,$B$4,$B$5,$F168,$B$6,R$10,$A168,$B168)</f>
        <v>10396660</v>
      </c>
      <c r="S168" s="4">
        <f ca="1">_xll.DBRW($B$1,$B$2,$B$7,$B$3,$B$4,$B$5,$F168,$B$6,S$10,$A168,$B168)</f>
        <v>10795436</v>
      </c>
      <c r="T168" s="4">
        <f ca="1">_xll.DBRW($B$1,$B$2,$B$7,$B$3,$B$4,$B$5,$F168,$B$6,T$10,$A168,$B168)</f>
        <v>10339692</v>
      </c>
      <c r="U168" s="4">
        <f ca="1">_xll.DBRW($B$1,$B$2,$B$7,$B$3,$B$4,$B$5,$F168,$B$6,U$10,$A168,$B168)</f>
        <v>9342752</v>
      </c>
      <c r="V168" s="4">
        <f ca="1">_xll.DBRW($B$1,$B$2,$B$7,$B$3,$B$4,$B$5,$F168,$B$6,V$10,$A168,$B168)</f>
        <v>10168788</v>
      </c>
      <c r="W168" s="4">
        <f ca="1">_xll.DBRW($B$1,$B$2,$B$7,$B$3,$B$4,$B$5,$F168,$B$6,W$10,$A168,$B168)</f>
        <v>7477050</v>
      </c>
      <c r="X168" s="4">
        <f ca="1">_xll.DBRW($B$1,$B$2,$B$7,$B$3,$B$4,$B$5,$F168,$B$6,X$10,$A168,$B168)</f>
        <v>7726285</v>
      </c>
      <c r="Y168" s="4">
        <f ca="1">_xll.DBRW($B$1,$B$2,$B$7,$B$3,$B$4,$B$5,$F168,$B$6,Y$10,$A168,$B168)</f>
        <v>7477050</v>
      </c>
      <c r="Z168" s="4">
        <f ca="1">_xll.DBRW($B$1,$B$2,$B$7,$B$3,$B$4,$B$5,$F168,$B$6,Z$10,$A168,$B168)</f>
        <v>7726285</v>
      </c>
      <c r="AA168" s="4">
        <f ca="1">_xll.DBRW($B$1,$B$2,$B$7,$B$3,$B$4,$B$5,$F168,$B$6,AA$10,$A168,$B168)</f>
        <v>7726285</v>
      </c>
      <c r="AB168" s="4">
        <f ca="1">_xll.DBRW($B$1,$B$2,$B$7,$B$3,$B$4,$B$5,$F168,$B$6,AB$10,$A168,$B168)</f>
        <v>7477050</v>
      </c>
      <c r="AC168" s="4">
        <f ca="1">_xll.DBRW($B$1,$B$2,$B$7,$B$3,$B$4,$B$5,$F168,$B$6,AC$10,$A168,$B168)</f>
        <v>7911431</v>
      </c>
      <c r="AD168" s="4">
        <f ca="1">_xll.DBRW($B$1,$B$2,$B$7,$B$3,$B$4,$B$5,$F168,$B$6,AD$10,$A168,$B168)</f>
        <v>9997884</v>
      </c>
      <c r="AE168" s="4">
        <f ca="1">_xll.DBRW($B$1,$B$2,$B$7,$B$3,$B$4,$B$5,$F168,$B$6,AE$10,$A168,$B168)</f>
        <v>10368176</v>
      </c>
    </row>
    <row r="169" spans="1:31">
      <c r="A169" s="1" t="s">
        <v>152</v>
      </c>
      <c r="B169" s="5" t="s">
        <v>201</v>
      </c>
      <c r="C169" s="5" t="s">
        <v>202</v>
      </c>
      <c r="D169" s="5" t="s">
        <v>28</v>
      </c>
      <c r="E169" s="5" t="s">
        <v>38</v>
      </c>
      <c r="F169" s="5" t="s">
        <v>24</v>
      </c>
      <c r="G169" s="6"/>
      <c r="H169" s="6"/>
      <c r="I169" s="6"/>
      <c r="J169" s="6"/>
      <c r="K169" s="6"/>
      <c r="L169" s="4">
        <f ca="1">_xll.DBRW($B$1,$B$2,$B$7,$B$3,$B$4,$B$5,$F169,$B$6,L$10,$A169,$B169)</f>
        <v>7999488</v>
      </c>
      <c r="M169" s="4">
        <f ca="1">_xll.DBRW($B$1,$B$2,$B$7,$B$3,$B$4,$B$5,$F169,$B$6,M$10,$A169,$B169)</f>
        <v>7741440</v>
      </c>
      <c r="N169" s="4">
        <f ca="1">_xll.DBRW($B$1,$B$2,$B$7,$B$3,$B$4,$B$5,$F169,$B$6,N$10,$A169,$B169)</f>
        <v>7999488</v>
      </c>
      <c r="O169" s="4">
        <f ca="1">_xll.DBRW($B$1,$B$2,$B$7,$B$3,$B$4,$B$5,$F169,$B$6,O$10,$A169,$B169)</f>
        <v>7999488</v>
      </c>
      <c r="P169" s="4">
        <f ca="1">_xll.DBRW($B$1,$B$2,$B$7,$B$3,$B$4,$B$5,$F169,$B$6,P$10,$A169,$B169)</f>
        <v>7741440</v>
      </c>
      <c r="Q169" s="4">
        <f ca="1">_xll.DBRW($B$1,$B$2,$B$7,$B$3,$B$4,$B$5,$F169,$B$6,Q$10,$A169,$B169)</f>
        <v>7225344</v>
      </c>
      <c r="R169" s="4">
        <f ca="1">_xll.DBRW($B$1,$B$2,$B$7,$B$3,$B$4,$B$5,$F169,$B$6,R$10,$A169,$B169)</f>
        <v>5419008</v>
      </c>
      <c r="S169" s="4">
        <f ca="1">_xll.DBRW($B$1,$B$2,$B$7,$B$3,$B$4,$B$5,$F169,$B$6,S$10,$A169,$B169)</f>
        <v>5935104</v>
      </c>
      <c r="T169" s="4">
        <f ca="1">_xll.DBRW($B$1,$B$2,$B$7,$B$3,$B$4,$B$5,$F169,$B$6,T$10,$A169,$B169)</f>
        <v>5677056</v>
      </c>
      <c r="U169" s="4">
        <f ca="1">_xll.DBRW($B$1,$B$2,$B$7,$B$3,$B$4,$B$5,$F169,$B$6,U$10,$A169,$B169)</f>
        <v>5160960</v>
      </c>
      <c r="V169" s="4">
        <f ca="1">_xll.DBRW($B$1,$B$2,$B$7,$B$3,$B$4,$B$5,$F169,$B$6,V$10,$A169,$B169)</f>
        <v>5720064</v>
      </c>
      <c r="W169" s="4">
        <f ca="1">_xll.DBRW($B$1,$B$2,$B$7,$B$3,$B$4,$B$5,$F169,$B$6,W$10,$A169,$B169)</f>
        <v>8472576</v>
      </c>
      <c r="X169" s="4">
        <f ca="1">_xll.DBRW($B$1,$B$2,$B$7,$B$3,$B$4,$B$5,$F169,$B$6,X$10,$A169,$B169)</f>
        <v>8773632</v>
      </c>
      <c r="Y169" s="4">
        <f ca="1">_xll.DBRW($B$1,$B$2,$B$7,$B$3,$B$4,$B$5,$F169,$B$6,Y$10,$A169,$B169)</f>
        <v>8472576</v>
      </c>
      <c r="Z169" s="4">
        <f ca="1">_xll.DBRW($B$1,$B$2,$B$7,$B$3,$B$4,$B$5,$F169,$B$6,Z$10,$A169,$B169)</f>
        <v>8773632</v>
      </c>
      <c r="AA169" s="4">
        <f ca="1">_xll.DBRW($B$1,$B$2,$B$7,$B$3,$B$4,$B$5,$F169,$B$6,AA$10,$A169,$B169)</f>
        <v>8730624</v>
      </c>
      <c r="AB169" s="4">
        <f ca="1">_xll.DBRW($B$1,$B$2,$B$7,$B$3,$B$4,$B$5,$F169,$B$6,AB$10,$A169,$B169)</f>
        <v>8515584</v>
      </c>
      <c r="AC169" s="4">
        <f ca="1">_xll.DBRW($B$1,$B$2,$B$7,$B$3,$B$4,$B$5,$F169,$B$6,AC$10,$A169,$B169)</f>
        <v>8343552</v>
      </c>
      <c r="AD169" s="4">
        <f ca="1">_xll.DBRW($B$1,$B$2,$B$7,$B$3,$B$4,$B$5,$F169,$B$6,AD$10,$A169,$B169)</f>
        <v>5419008</v>
      </c>
      <c r="AE169" s="4">
        <f ca="1">_xll.DBRW($B$1,$B$2,$B$7,$B$3,$B$4,$B$5,$F169,$B$6,AE$10,$A169,$B169)</f>
        <v>5935104</v>
      </c>
    </row>
    <row r="170" spans="1:31">
      <c r="A170" s="1" t="s">
        <v>152</v>
      </c>
      <c r="B170" s="5" t="s">
        <v>45</v>
      </c>
      <c r="C170" s="5" t="s">
        <v>46</v>
      </c>
      <c r="D170" s="5" t="s">
        <v>38</v>
      </c>
      <c r="E170" s="5" t="s">
        <v>28</v>
      </c>
      <c r="F170" s="5" t="s">
        <v>24</v>
      </c>
      <c r="G170" s="6"/>
      <c r="H170" s="6"/>
      <c r="I170" s="6"/>
      <c r="J170" s="6"/>
      <c r="K170" s="6"/>
      <c r="L170" s="4">
        <f ca="1">_xll.DBRW($B$1,$B$2,$B$7,$B$3,$B$4,$B$5,$F170,$B$6,L$10,$A170,$B170)</f>
        <v>7999488</v>
      </c>
      <c r="M170" s="4">
        <f ca="1">_xll.DBRW($B$1,$B$2,$B$7,$B$3,$B$4,$B$5,$F170,$B$6,M$10,$A170,$B170)</f>
        <v>7741440</v>
      </c>
      <c r="N170" s="4">
        <f ca="1">_xll.DBRW($B$1,$B$2,$B$7,$B$3,$B$4,$B$5,$F170,$B$6,N$10,$A170,$B170)</f>
        <v>7999488</v>
      </c>
      <c r="O170" s="4">
        <f ca="1">_xll.DBRW($B$1,$B$2,$B$7,$B$3,$B$4,$B$5,$F170,$B$6,O$10,$A170,$B170)</f>
        <v>7999488</v>
      </c>
      <c r="P170" s="4">
        <f ca="1">_xll.DBRW($B$1,$B$2,$B$7,$B$3,$B$4,$B$5,$F170,$B$6,P$10,$A170,$B170)</f>
        <v>7741440</v>
      </c>
      <c r="Q170" s="4">
        <f ca="1">_xll.DBRW($B$1,$B$2,$B$7,$B$3,$B$4,$B$5,$F170,$B$6,Q$10,$A170,$B170)</f>
        <v>7225344</v>
      </c>
      <c r="R170" s="4">
        <f ca="1">_xll.DBRW($B$1,$B$2,$B$7,$B$3,$B$4,$B$5,$F170,$B$6,R$10,$A170,$B170)</f>
        <v>5419008</v>
      </c>
      <c r="S170" s="4">
        <f ca="1">_xll.DBRW($B$1,$B$2,$B$7,$B$3,$B$4,$B$5,$F170,$B$6,S$10,$A170,$B170)</f>
        <v>5935104</v>
      </c>
      <c r="T170" s="4">
        <f ca="1">_xll.DBRW($B$1,$B$2,$B$7,$B$3,$B$4,$B$5,$F170,$B$6,T$10,$A170,$B170)</f>
        <v>5677056</v>
      </c>
      <c r="U170" s="4">
        <f ca="1">_xll.DBRW($B$1,$B$2,$B$7,$B$3,$B$4,$B$5,$F170,$B$6,U$10,$A170,$B170)</f>
        <v>5160960</v>
      </c>
      <c r="V170" s="4">
        <f ca="1">_xll.DBRW($B$1,$B$2,$B$7,$B$3,$B$4,$B$5,$F170,$B$6,V$10,$A170,$B170)</f>
        <v>5720064</v>
      </c>
      <c r="W170" s="4">
        <f ca="1">_xll.DBRW($B$1,$B$2,$B$7,$B$3,$B$4,$B$5,$F170,$B$6,W$10,$A170,$B170)</f>
        <v>8472576</v>
      </c>
      <c r="X170" s="4">
        <f ca="1">_xll.DBRW($B$1,$B$2,$B$7,$B$3,$B$4,$B$5,$F170,$B$6,X$10,$A170,$B170)</f>
        <v>8773632</v>
      </c>
      <c r="Y170" s="4">
        <f ca="1">_xll.DBRW($B$1,$B$2,$B$7,$B$3,$B$4,$B$5,$F170,$B$6,Y$10,$A170,$B170)</f>
        <v>8472576</v>
      </c>
      <c r="Z170" s="4">
        <f ca="1">_xll.DBRW($B$1,$B$2,$B$7,$B$3,$B$4,$B$5,$F170,$B$6,Z$10,$A170,$B170)</f>
        <v>8773632</v>
      </c>
      <c r="AA170" s="4">
        <f ca="1">_xll.DBRW($B$1,$B$2,$B$7,$B$3,$B$4,$B$5,$F170,$B$6,AA$10,$A170,$B170)</f>
        <v>8730624</v>
      </c>
      <c r="AB170" s="4">
        <f ca="1">_xll.DBRW($B$1,$B$2,$B$7,$B$3,$B$4,$B$5,$F170,$B$6,AB$10,$A170,$B170)</f>
        <v>8515584</v>
      </c>
      <c r="AC170" s="4">
        <f ca="1">_xll.DBRW($B$1,$B$2,$B$7,$B$3,$B$4,$B$5,$F170,$B$6,AC$10,$A170,$B170)</f>
        <v>8085504</v>
      </c>
      <c r="AD170" s="4">
        <f ca="1">_xll.DBRW($B$1,$B$2,$B$7,$B$3,$B$4,$B$5,$F170,$B$6,AD$10,$A170,$B170)</f>
        <v>5419008</v>
      </c>
      <c r="AE170" s="4">
        <f ca="1">_xll.DBRW($B$1,$B$2,$B$7,$B$3,$B$4,$B$5,$F170,$B$6,AE$10,$A170,$B170)</f>
        <v>5935104</v>
      </c>
    </row>
    <row r="171" spans="1:31">
      <c r="A171" s="1" t="s">
        <v>152</v>
      </c>
      <c r="B171" s="5" t="s">
        <v>203</v>
      </c>
      <c r="C171" s="5" t="s">
        <v>204</v>
      </c>
      <c r="D171" s="5" t="s">
        <v>21</v>
      </c>
      <c r="E171" s="5" t="s">
        <v>80</v>
      </c>
      <c r="F171" s="5" t="s">
        <v>24</v>
      </c>
      <c r="G171" s="6"/>
      <c r="H171" s="6"/>
      <c r="I171" s="6"/>
      <c r="J171" s="6"/>
      <c r="K171" s="6"/>
      <c r="L171" s="4">
        <f ca="1">_xll.DBRW($B$1,$B$2,$B$7,$B$3,$B$4,$B$5,$F171,$B$6,L$10,$A171,$B171)</f>
        <v>10533432</v>
      </c>
      <c r="M171" s="4">
        <f ca="1">_xll.DBRW($B$1,$B$2,$B$7,$B$3,$B$4,$B$5,$F171,$B$6,M$10,$A171,$B171)</f>
        <v>10221120</v>
      </c>
      <c r="N171" s="4">
        <f ca="1">_xll.DBRW($B$1,$B$2,$B$7,$B$3,$B$4,$B$5,$F171,$B$6,N$10,$A171,$B171)</f>
        <v>10561824</v>
      </c>
      <c r="O171" s="4">
        <f ca="1">_xll.DBRW($B$1,$B$2,$B$7,$B$3,$B$4,$B$5,$F171,$B$6,O$10,$A171,$B171)</f>
        <v>10561824</v>
      </c>
      <c r="P171" s="4">
        <f ca="1">_xll.DBRW($B$1,$B$2,$B$7,$B$3,$B$4,$B$5,$F171,$B$6,P$10,$A171,$B171)</f>
        <v>9937200</v>
      </c>
      <c r="Q171" s="4">
        <f ca="1">_xll.DBRW($B$1,$B$2,$B$7,$B$3,$B$4,$B$5,$F171,$B$6,Q$10,$A171,$B171)</f>
        <v>10249512</v>
      </c>
      <c r="R171" s="4">
        <f ca="1">_xll.DBRW($B$1,$B$2,$B$7,$B$3,$B$4,$B$5,$F171,$B$6,R$10,$A171,$B171)</f>
        <v>9795240</v>
      </c>
      <c r="S171" s="4">
        <f ca="1">_xll.DBRW($B$1,$B$2,$B$7,$B$3,$B$4,$B$5,$F171,$B$6,S$10,$A171,$B171)</f>
        <v>10121748</v>
      </c>
      <c r="T171" s="4">
        <f ca="1">_xll.DBRW($B$1,$B$2,$B$7,$B$3,$B$4,$B$5,$F171,$B$6,T$10,$A171,$B171)</f>
        <v>10561824</v>
      </c>
      <c r="U171" s="4">
        <f ca="1">_xll.DBRW($B$1,$B$2,$B$7,$B$3,$B$4,$B$5,$F171,$B$6,U$10,$A171,$B171)</f>
        <v>9539712</v>
      </c>
      <c r="V171" s="4">
        <f ca="1">_xll.DBRW($B$1,$B$2,$B$7,$B$3,$B$4,$B$5,$F171,$B$6,V$10,$A171,$B171)</f>
        <v>10561824</v>
      </c>
      <c r="W171" s="4">
        <f ca="1">_xll.DBRW($B$1,$B$2,$B$7,$B$3,$B$4,$B$5,$F171,$B$6,W$10,$A171,$B171)</f>
        <v>9979788</v>
      </c>
      <c r="X171" s="4">
        <f ca="1">_xll.DBRW($B$1,$B$2,$B$7,$B$3,$B$4,$B$5,$F171,$B$6,X$10,$A171,$B171)</f>
        <v>10292100</v>
      </c>
      <c r="Y171" s="4">
        <f ca="1">_xll.DBRW($B$1,$B$2,$B$7,$B$3,$B$4,$B$5,$F171,$B$6,Y$10,$A171,$B171)</f>
        <v>9993984</v>
      </c>
      <c r="Z171" s="4">
        <f ca="1">_xll.DBRW($B$1,$B$2,$B$7,$B$3,$B$4,$B$5,$F171,$B$6,Z$10,$A171,$B171)</f>
        <v>10306296</v>
      </c>
      <c r="AA171" s="4">
        <f ca="1">_xll.DBRW($B$1,$B$2,$B$7,$B$3,$B$4,$B$5,$F171,$B$6,AA$10,$A171,$B171)</f>
        <v>10306296</v>
      </c>
      <c r="AB171" s="4">
        <f ca="1">_xll.DBRW($B$1,$B$2,$B$7,$B$3,$B$4,$B$5,$F171,$B$6,AB$10,$A171,$B171)</f>
        <v>9993984</v>
      </c>
      <c r="AC171" s="4">
        <f ca="1">_xll.DBRW($B$1,$B$2,$B$7,$B$3,$B$4,$B$5,$F171,$B$6,AC$10,$A171,$B171)</f>
        <v>10334688</v>
      </c>
      <c r="AD171" s="4">
        <f ca="1">_xll.DBRW($B$1,$B$2,$B$7,$B$3,$B$4,$B$5,$F171,$B$6,AD$10,$A171,$B171)</f>
        <v>10221120</v>
      </c>
      <c r="AE171" s="4">
        <f ca="1">_xll.DBRW($B$1,$B$2,$B$7,$B$3,$B$4,$B$5,$F171,$B$6,AE$10,$A171,$B171)</f>
        <v>10561824</v>
      </c>
    </row>
    <row r="172" spans="1:31">
      <c r="A172" s="1" t="s">
        <v>152</v>
      </c>
      <c r="B172" s="5" t="s">
        <v>78</v>
      </c>
      <c r="C172" s="5" t="s">
        <v>79</v>
      </c>
      <c r="D172" s="5" t="s">
        <v>80</v>
      </c>
      <c r="E172" s="5" t="s">
        <v>21</v>
      </c>
      <c r="F172" s="5" t="s">
        <v>24</v>
      </c>
      <c r="G172" s="6"/>
      <c r="H172" s="6"/>
      <c r="I172" s="6"/>
      <c r="J172" s="6"/>
      <c r="K172" s="6"/>
      <c r="L172" s="4">
        <f ca="1">_xll.DBRW($B$1,$B$2,$B$7,$B$3,$B$4,$B$5,$F172,$B$6,L$10,$A172,$B172)</f>
        <v>10533432</v>
      </c>
      <c r="M172" s="4">
        <f ca="1">_xll.DBRW($B$1,$B$2,$B$7,$B$3,$B$4,$B$5,$F172,$B$6,M$10,$A172,$B172)</f>
        <v>10221120</v>
      </c>
      <c r="N172" s="4">
        <f ca="1">_xll.DBRW($B$1,$B$2,$B$7,$B$3,$B$4,$B$5,$F172,$B$6,N$10,$A172,$B172)</f>
        <v>10561824</v>
      </c>
      <c r="O172" s="4">
        <f ca="1">_xll.DBRW($B$1,$B$2,$B$7,$B$3,$B$4,$B$5,$F172,$B$6,O$10,$A172,$B172)</f>
        <v>10561824</v>
      </c>
      <c r="P172" s="4">
        <f ca="1">_xll.DBRW($B$1,$B$2,$B$7,$B$3,$B$4,$B$5,$F172,$B$6,P$10,$A172,$B172)</f>
        <v>9937200</v>
      </c>
      <c r="Q172" s="4">
        <f ca="1">_xll.DBRW($B$1,$B$2,$B$7,$B$3,$B$4,$B$5,$F172,$B$6,Q$10,$A172,$B172)</f>
        <v>10249512</v>
      </c>
      <c r="R172" s="4">
        <f ca="1">_xll.DBRW($B$1,$B$2,$B$7,$B$3,$B$4,$B$5,$F172,$B$6,R$10,$A172,$B172)</f>
        <v>9795240</v>
      </c>
      <c r="S172" s="4">
        <f ca="1">_xll.DBRW($B$1,$B$2,$B$7,$B$3,$B$4,$B$5,$F172,$B$6,S$10,$A172,$B172)</f>
        <v>10121748</v>
      </c>
      <c r="T172" s="4">
        <f ca="1">_xll.DBRW($B$1,$B$2,$B$7,$B$3,$B$4,$B$5,$F172,$B$6,T$10,$A172,$B172)</f>
        <v>10561824</v>
      </c>
      <c r="U172" s="4">
        <f ca="1">_xll.DBRW($B$1,$B$2,$B$7,$B$3,$B$4,$B$5,$F172,$B$6,U$10,$A172,$B172)</f>
        <v>9539712</v>
      </c>
      <c r="V172" s="4">
        <f ca="1">_xll.DBRW($B$1,$B$2,$B$7,$B$3,$B$4,$B$5,$F172,$B$6,V$10,$A172,$B172)</f>
        <v>10561824</v>
      </c>
      <c r="W172" s="4">
        <f ca="1">_xll.DBRW($B$1,$B$2,$B$7,$B$3,$B$4,$B$5,$F172,$B$6,W$10,$A172,$B172)</f>
        <v>9979788</v>
      </c>
      <c r="X172" s="4">
        <f ca="1">_xll.DBRW($B$1,$B$2,$B$7,$B$3,$B$4,$B$5,$F172,$B$6,X$10,$A172,$B172)</f>
        <v>10292100</v>
      </c>
      <c r="Y172" s="4">
        <f ca="1">_xll.DBRW($B$1,$B$2,$B$7,$B$3,$B$4,$B$5,$F172,$B$6,Y$10,$A172,$B172)</f>
        <v>9993984</v>
      </c>
      <c r="Z172" s="4">
        <f ca="1">_xll.DBRW($B$1,$B$2,$B$7,$B$3,$B$4,$B$5,$F172,$B$6,Z$10,$A172,$B172)</f>
        <v>10306296</v>
      </c>
      <c r="AA172" s="4">
        <f ca="1">_xll.DBRW($B$1,$B$2,$B$7,$B$3,$B$4,$B$5,$F172,$B$6,AA$10,$A172,$B172)</f>
        <v>10306296</v>
      </c>
      <c r="AB172" s="4">
        <f ca="1">_xll.DBRW($B$1,$B$2,$B$7,$B$3,$B$4,$B$5,$F172,$B$6,AB$10,$A172,$B172)</f>
        <v>9993984</v>
      </c>
      <c r="AC172" s="4">
        <f ca="1">_xll.DBRW($B$1,$B$2,$B$7,$B$3,$B$4,$B$5,$F172,$B$6,AC$10,$A172,$B172)</f>
        <v>10008180</v>
      </c>
      <c r="AD172" s="4">
        <f ca="1">_xll.DBRW($B$1,$B$2,$B$7,$B$3,$B$4,$B$5,$F172,$B$6,AD$10,$A172,$B172)</f>
        <v>10221120</v>
      </c>
      <c r="AE172" s="4">
        <f ca="1">_xll.DBRW($B$1,$B$2,$B$7,$B$3,$B$4,$B$5,$F172,$B$6,AE$10,$A172,$B172)</f>
        <v>10221120</v>
      </c>
    </row>
    <row r="173" spans="1:31">
      <c r="A173" s="1" t="s">
        <v>152</v>
      </c>
      <c r="B173" s="5" t="s">
        <v>205</v>
      </c>
      <c r="C173" s="5" t="s">
        <v>206</v>
      </c>
      <c r="D173" s="5" t="s">
        <v>21</v>
      </c>
      <c r="E173" s="5" t="s">
        <v>181</v>
      </c>
      <c r="F173" s="5" t="s">
        <v>24</v>
      </c>
      <c r="G173" s="6"/>
      <c r="H173" s="6"/>
      <c r="I173" s="6"/>
      <c r="J173" s="6"/>
      <c r="K173" s="6"/>
      <c r="L173" s="4">
        <f ca="1">_xll.DBRW($B$1,$B$2,$B$7,$B$3,$B$4,$B$5,$F173,$B$6,L$10,$A173,$B173)</f>
        <v>2592768</v>
      </c>
      <c r="M173" s="4">
        <f ca="1">_xll.DBRW($B$1,$B$2,$B$7,$B$3,$B$4,$B$5,$F173,$B$6,M$10,$A173,$B173)</f>
        <v>1296384</v>
      </c>
      <c r="N173" s="4">
        <f ca="1">_xll.DBRW($B$1,$B$2,$B$7,$B$3,$B$4,$B$5,$F173,$B$6,N$10,$A173,$B173)</f>
        <v>1296384</v>
      </c>
      <c r="O173" s="4">
        <f ca="1">_xll.DBRW($B$1,$B$2,$B$7,$B$3,$B$4,$B$5,$F173,$B$6,O$10,$A173,$B173)</f>
        <v>1620480</v>
      </c>
      <c r="P173" s="4">
        <f ca="1">_xll.DBRW($B$1,$B$2,$B$7,$B$3,$B$4,$B$5,$F173,$B$6,P$10,$A173,$B173)</f>
        <v>1296384</v>
      </c>
      <c r="Q173" s="4">
        <f ca="1">_xll.DBRW($B$1,$B$2,$B$7,$B$3,$B$4,$B$5,$F173,$B$6,Q$10,$A173,$B173)</f>
        <v>3078912</v>
      </c>
      <c r="R173" s="4">
        <f ca="1">_xll.DBRW($B$1,$B$2,$B$7,$B$3,$B$4,$B$5,$F173,$B$6,R$10,$A173,$B173)</f>
        <v>9547328</v>
      </c>
      <c r="S173" s="4">
        <f ca="1">_xll.DBRW($B$1,$B$2,$B$7,$B$3,$B$4,$B$5,$F173,$B$6,S$10,$A173,$B173)</f>
        <v>11451392</v>
      </c>
      <c r="T173" s="4">
        <f ca="1">_xll.DBRW($B$1,$B$2,$B$7,$B$3,$B$4,$B$5,$F173,$B$6,T$10,$A173,$B173)</f>
        <v>10924736</v>
      </c>
      <c r="U173" s="4">
        <f ca="1">_xll.DBRW($B$1,$B$2,$B$7,$B$3,$B$4,$B$5,$F173,$B$6,U$10,$A173,$B173)</f>
        <v>9682368</v>
      </c>
      <c r="V173" s="4">
        <f ca="1">_xll.DBRW($B$1,$B$2,$B$7,$B$3,$B$4,$B$5,$F173,$B$6,V$10,$A173,$B173)</f>
        <v>6914048</v>
      </c>
      <c r="W173" s="4">
        <f ca="1">_xll.DBRW($B$1,$B$2,$B$7,$B$3,$B$4,$B$5,$F173,$B$6,W$10,$A173,$B173)</f>
        <v>2592768</v>
      </c>
      <c r="X173" s="4">
        <f ca="1">_xll.DBRW($B$1,$B$2,$B$7,$B$3,$B$4,$B$5,$F173,$B$6,X$10,$A173,$B173)</f>
        <v>2916864</v>
      </c>
      <c r="Y173" s="4">
        <f ca="1">_xll.DBRW($B$1,$B$2,$B$7,$B$3,$B$4,$B$5,$F173,$B$6,Y$10,$A173,$B173)</f>
        <v>2916864</v>
      </c>
      <c r="Z173" s="4">
        <f ca="1">_xll.DBRW($B$1,$B$2,$B$7,$B$3,$B$4,$B$5,$F173,$B$6,Z$10,$A173,$B173)</f>
        <v>2592768</v>
      </c>
      <c r="AA173" s="4">
        <f ca="1">_xll.DBRW($B$1,$B$2,$B$7,$B$3,$B$4,$B$5,$F173,$B$6,AA$10,$A173,$B173)</f>
        <v>2916864</v>
      </c>
      <c r="AB173" s="4">
        <f ca="1">_xll.DBRW($B$1,$B$2,$B$7,$B$3,$B$4,$B$5,$F173,$B$6,AB$10,$A173,$B173)</f>
        <v>2916864</v>
      </c>
      <c r="AC173" s="4">
        <f ca="1">_xll.DBRW($B$1,$B$2,$B$7,$B$3,$B$4,$B$5,$F173,$B$6,AC$10,$A173,$B173)</f>
        <v>11599936</v>
      </c>
      <c r="AD173" s="4">
        <f ca="1">_xll.DBRW($B$1,$B$2,$B$7,$B$3,$B$4,$B$5,$F173,$B$6,AD$10,$A173,$B173)</f>
        <v>10965248</v>
      </c>
      <c r="AE173" s="4">
        <f ca="1">_xll.DBRW($B$1,$B$2,$B$7,$B$3,$B$4,$B$5,$F173,$B$6,AE$10,$A173,$B173)</f>
        <v>11289344</v>
      </c>
    </row>
    <row r="174" spans="1:31">
      <c r="A174" s="1" t="s">
        <v>152</v>
      </c>
      <c r="B174" s="5" t="s">
        <v>207</v>
      </c>
      <c r="C174" s="5" t="s">
        <v>208</v>
      </c>
      <c r="D174" s="5" t="s">
        <v>181</v>
      </c>
      <c r="E174" s="5" t="s">
        <v>21</v>
      </c>
      <c r="F174" s="5" t="s">
        <v>24</v>
      </c>
      <c r="G174" s="6"/>
      <c r="H174" s="6"/>
      <c r="I174" s="6"/>
      <c r="J174" s="6"/>
      <c r="K174" s="6"/>
      <c r="L174" s="4">
        <f ca="1">_xll.DBRW($B$1,$B$2,$B$7,$B$3,$B$4,$B$5,$F174,$B$6,L$10,$A174,$B174)</f>
        <v>2592768</v>
      </c>
      <c r="M174" s="4">
        <f ca="1">_xll.DBRW($B$1,$B$2,$B$7,$B$3,$B$4,$B$5,$F174,$B$6,M$10,$A174,$B174)</f>
        <v>1296384</v>
      </c>
      <c r="N174" s="4">
        <f ca="1">_xll.DBRW($B$1,$B$2,$B$7,$B$3,$B$4,$B$5,$F174,$B$6,N$10,$A174,$B174)</f>
        <v>1296384</v>
      </c>
      <c r="O174" s="4">
        <f ca="1">_xll.DBRW($B$1,$B$2,$B$7,$B$3,$B$4,$B$5,$F174,$B$6,O$10,$A174,$B174)</f>
        <v>1620480</v>
      </c>
      <c r="P174" s="4">
        <f ca="1">_xll.DBRW($B$1,$B$2,$B$7,$B$3,$B$4,$B$5,$F174,$B$6,P$10,$A174,$B174)</f>
        <v>1296384</v>
      </c>
      <c r="Q174" s="4">
        <f ca="1">_xll.DBRW($B$1,$B$2,$B$7,$B$3,$B$4,$B$5,$F174,$B$6,Q$10,$A174,$B174)</f>
        <v>3078912</v>
      </c>
      <c r="R174" s="4">
        <f ca="1">_xll.DBRW($B$1,$B$2,$B$7,$B$3,$B$4,$B$5,$F174,$B$6,R$10,$A174,$B174)</f>
        <v>9547328</v>
      </c>
      <c r="S174" s="4">
        <f ca="1">_xll.DBRW($B$1,$B$2,$B$7,$B$3,$B$4,$B$5,$F174,$B$6,S$10,$A174,$B174)</f>
        <v>11451392</v>
      </c>
      <c r="T174" s="4">
        <f ca="1">_xll.DBRW($B$1,$B$2,$B$7,$B$3,$B$4,$B$5,$F174,$B$6,T$10,$A174,$B174)</f>
        <v>10924736</v>
      </c>
      <c r="U174" s="4">
        <f ca="1">_xll.DBRW($B$1,$B$2,$B$7,$B$3,$B$4,$B$5,$F174,$B$6,U$10,$A174,$B174)</f>
        <v>9682368</v>
      </c>
      <c r="V174" s="4">
        <f ca="1">_xll.DBRW($B$1,$B$2,$B$7,$B$3,$B$4,$B$5,$F174,$B$6,V$10,$A174,$B174)</f>
        <v>6914048</v>
      </c>
      <c r="W174" s="4">
        <f ca="1">_xll.DBRW($B$1,$B$2,$B$7,$B$3,$B$4,$B$5,$F174,$B$6,W$10,$A174,$B174)</f>
        <v>2592768</v>
      </c>
      <c r="X174" s="4">
        <f ca="1">_xll.DBRW($B$1,$B$2,$B$7,$B$3,$B$4,$B$5,$F174,$B$6,X$10,$A174,$B174)</f>
        <v>2916864</v>
      </c>
      <c r="Y174" s="4">
        <f ca="1">_xll.DBRW($B$1,$B$2,$B$7,$B$3,$B$4,$B$5,$F174,$B$6,Y$10,$A174,$B174)</f>
        <v>2916864</v>
      </c>
      <c r="Z174" s="4">
        <f ca="1">_xll.DBRW($B$1,$B$2,$B$7,$B$3,$B$4,$B$5,$F174,$B$6,Z$10,$A174,$B174)</f>
        <v>2592768</v>
      </c>
      <c r="AA174" s="4">
        <f ca="1">_xll.DBRW($B$1,$B$2,$B$7,$B$3,$B$4,$B$5,$F174,$B$6,AA$10,$A174,$B174)</f>
        <v>2916864</v>
      </c>
      <c r="AB174" s="4">
        <f ca="1">_xll.DBRW($B$1,$B$2,$B$7,$B$3,$B$4,$B$5,$F174,$B$6,AB$10,$A174,$B174)</f>
        <v>2916864</v>
      </c>
      <c r="AC174" s="4">
        <f ca="1">_xll.DBRW($B$1,$B$2,$B$7,$B$3,$B$4,$B$5,$F174,$B$6,AC$10,$A174,$B174)</f>
        <v>11599936</v>
      </c>
      <c r="AD174" s="4">
        <f ca="1">_xll.DBRW($B$1,$B$2,$B$7,$B$3,$B$4,$B$5,$F174,$B$6,AD$10,$A174,$B174)</f>
        <v>10965248</v>
      </c>
      <c r="AE174" s="4">
        <f ca="1">_xll.DBRW($B$1,$B$2,$B$7,$B$3,$B$4,$B$5,$F174,$B$6,AE$10,$A174,$B174)</f>
        <v>11289344</v>
      </c>
    </row>
    <row r="175" spans="1:31">
      <c r="A175" s="1" t="s">
        <v>152</v>
      </c>
      <c r="B175" s="5" t="s">
        <v>209</v>
      </c>
      <c r="C175" s="5" t="s">
        <v>210</v>
      </c>
      <c r="D175" s="5" t="s">
        <v>21</v>
      </c>
      <c r="E175" s="5" t="s">
        <v>211</v>
      </c>
      <c r="F175" s="5" t="s">
        <v>24</v>
      </c>
      <c r="G175" s="6"/>
      <c r="H175" s="6"/>
      <c r="I175" s="6"/>
      <c r="J175" s="6"/>
      <c r="K175" s="6"/>
      <c r="L175" s="4">
        <f ca="1">_xll.DBRW($B$1,$B$2,$B$7,$B$3,$B$4,$B$5,$F175,$B$6,L$10,$A175,$B175)</f>
        <v>2517888</v>
      </c>
      <c r="M175" s="4">
        <f ca="1">_xll.DBRW($B$1,$B$2,$B$7,$B$3,$B$4,$B$5,$F175,$B$6,M$10,$A175,$B175)</f>
        <v>0</v>
      </c>
      <c r="N175" s="4">
        <f ca="1">_xll.DBRW($B$1,$B$2,$B$7,$B$3,$B$4,$B$5,$F175,$B$6,N$10,$A175,$B175)</f>
        <v>0</v>
      </c>
      <c r="O175" s="4">
        <f ca="1">_xll.DBRW($B$1,$B$2,$B$7,$B$3,$B$4,$B$5,$F175,$B$6,O$10,$A175,$B175)</f>
        <v>0</v>
      </c>
      <c r="P175" s="4">
        <f ca="1">_xll.DBRW($B$1,$B$2,$B$7,$B$3,$B$4,$B$5,$F175,$B$6,P$10,$A175,$B175)</f>
        <v>0</v>
      </c>
      <c r="Q175" s="4">
        <f ca="1">_xll.DBRW($B$1,$B$2,$B$7,$B$3,$B$4,$B$5,$F175,$B$6,Q$10,$A175,$B175)</f>
        <v>944208</v>
      </c>
      <c r="R175" s="4">
        <f ca="1">_xll.DBRW($B$1,$B$2,$B$7,$B$3,$B$4,$B$5,$F175,$B$6,R$10,$A175,$B175)</f>
        <v>5350512</v>
      </c>
      <c r="S175" s="4">
        <f ca="1">_xll.DBRW($B$1,$B$2,$B$7,$B$3,$B$4,$B$5,$F175,$B$6,S$10,$A175,$B175)</f>
        <v>5665248</v>
      </c>
      <c r="T175" s="4">
        <f ca="1">_xll.DBRW($B$1,$B$2,$B$7,$B$3,$B$4,$B$5,$F175,$B$6,T$10,$A175,$B175)</f>
        <v>5665248</v>
      </c>
      <c r="U175" s="4">
        <f ca="1">_xll.DBRW($B$1,$B$2,$B$7,$B$3,$B$4,$B$5,$F175,$B$6,U$10,$A175,$B175)</f>
        <v>5035776</v>
      </c>
      <c r="V175" s="4">
        <f ca="1">_xll.DBRW($B$1,$B$2,$B$7,$B$3,$B$4,$B$5,$F175,$B$6,V$10,$A175,$B175)</f>
        <v>5035776</v>
      </c>
      <c r="W175" s="4">
        <f ca="1">_xll.DBRW($B$1,$B$2,$B$7,$B$3,$B$4,$B$5,$F175,$B$6,W$10,$A175,$B175)</f>
        <v>0</v>
      </c>
      <c r="X175" s="4">
        <f ca="1">_xll.DBRW($B$1,$B$2,$B$7,$B$3,$B$4,$B$5,$F175,$B$6,X$10,$A175,$B175)</f>
        <v>0</v>
      </c>
      <c r="Y175" s="4">
        <f ca="1">_xll.DBRW($B$1,$B$2,$B$7,$B$3,$B$4,$B$5,$F175,$B$6,Y$10,$A175,$B175)</f>
        <v>0</v>
      </c>
      <c r="Z175" s="4">
        <f ca="1">_xll.DBRW($B$1,$B$2,$B$7,$B$3,$B$4,$B$5,$F175,$B$6,Z$10,$A175,$B175)</f>
        <v>0</v>
      </c>
      <c r="AA175" s="4">
        <f ca="1">_xll.DBRW($B$1,$B$2,$B$7,$B$3,$B$4,$B$5,$F175,$B$6,AA$10,$A175,$B175)</f>
        <v>0</v>
      </c>
      <c r="AB175" s="4">
        <f ca="1">_xll.DBRW($B$1,$B$2,$B$7,$B$3,$B$4,$B$5,$F175,$B$6,AB$10,$A175,$B175)</f>
        <v>0</v>
      </c>
      <c r="AC175" s="4">
        <f ca="1">_xll.DBRW($B$1,$B$2,$B$7,$B$3,$B$4,$B$5,$F175,$B$6,AC$10,$A175,$B175)</f>
        <v>1258944</v>
      </c>
      <c r="AD175" s="4">
        <f ca="1">_xll.DBRW($B$1,$B$2,$B$7,$B$3,$B$4,$B$5,$F175,$B$6,AD$10,$A175,$B175)</f>
        <v>5350512</v>
      </c>
      <c r="AE175" s="4">
        <f ca="1">_xll.DBRW($B$1,$B$2,$B$7,$B$3,$B$4,$B$5,$F175,$B$6,AE$10,$A175,$B175)</f>
        <v>5665248</v>
      </c>
    </row>
    <row r="176" spans="1:31">
      <c r="A176" s="1" t="s">
        <v>152</v>
      </c>
      <c r="B176" s="5" t="s">
        <v>212</v>
      </c>
      <c r="C176" s="5" t="s">
        <v>213</v>
      </c>
      <c r="D176" s="5" t="s">
        <v>211</v>
      </c>
      <c r="E176" s="5" t="s">
        <v>21</v>
      </c>
      <c r="F176" s="5" t="s">
        <v>24</v>
      </c>
      <c r="G176" s="6"/>
      <c r="H176" s="6"/>
      <c r="I176" s="6"/>
      <c r="J176" s="6"/>
      <c r="K176" s="6"/>
      <c r="L176" s="4">
        <f ca="1">_xll.DBRW($B$1,$B$2,$B$7,$B$3,$B$4,$B$5,$F176,$B$6,L$10,$A176,$B176)</f>
        <v>2517888</v>
      </c>
      <c r="M176" s="4">
        <f ca="1">_xll.DBRW($B$1,$B$2,$B$7,$B$3,$B$4,$B$5,$F176,$B$6,M$10,$A176,$B176)</f>
        <v>0</v>
      </c>
      <c r="N176" s="4">
        <f ca="1">_xll.DBRW($B$1,$B$2,$B$7,$B$3,$B$4,$B$5,$F176,$B$6,N$10,$A176,$B176)</f>
        <v>0</v>
      </c>
      <c r="O176" s="4">
        <f ca="1">_xll.DBRW($B$1,$B$2,$B$7,$B$3,$B$4,$B$5,$F176,$B$6,O$10,$A176,$B176)</f>
        <v>0</v>
      </c>
      <c r="P176" s="4">
        <f ca="1">_xll.DBRW($B$1,$B$2,$B$7,$B$3,$B$4,$B$5,$F176,$B$6,P$10,$A176,$B176)</f>
        <v>0</v>
      </c>
      <c r="Q176" s="4">
        <f ca="1">_xll.DBRW($B$1,$B$2,$B$7,$B$3,$B$4,$B$5,$F176,$B$6,Q$10,$A176,$B176)</f>
        <v>944208</v>
      </c>
      <c r="R176" s="4">
        <f ca="1">_xll.DBRW($B$1,$B$2,$B$7,$B$3,$B$4,$B$5,$F176,$B$6,R$10,$A176,$B176)</f>
        <v>5350512</v>
      </c>
      <c r="S176" s="4">
        <f ca="1">_xll.DBRW($B$1,$B$2,$B$7,$B$3,$B$4,$B$5,$F176,$B$6,S$10,$A176,$B176)</f>
        <v>5665248</v>
      </c>
      <c r="T176" s="4">
        <f ca="1">_xll.DBRW($B$1,$B$2,$B$7,$B$3,$B$4,$B$5,$F176,$B$6,T$10,$A176,$B176)</f>
        <v>5665248</v>
      </c>
      <c r="U176" s="4">
        <f ca="1">_xll.DBRW($B$1,$B$2,$B$7,$B$3,$B$4,$B$5,$F176,$B$6,U$10,$A176,$B176)</f>
        <v>5035776</v>
      </c>
      <c r="V176" s="4">
        <f ca="1">_xll.DBRW($B$1,$B$2,$B$7,$B$3,$B$4,$B$5,$F176,$B$6,V$10,$A176,$B176)</f>
        <v>5035776</v>
      </c>
      <c r="W176" s="4">
        <f ca="1">_xll.DBRW($B$1,$B$2,$B$7,$B$3,$B$4,$B$5,$F176,$B$6,W$10,$A176,$B176)</f>
        <v>0</v>
      </c>
      <c r="X176" s="4">
        <f ca="1">_xll.DBRW($B$1,$B$2,$B$7,$B$3,$B$4,$B$5,$F176,$B$6,X$10,$A176,$B176)</f>
        <v>0</v>
      </c>
      <c r="Y176" s="4">
        <f ca="1">_xll.DBRW($B$1,$B$2,$B$7,$B$3,$B$4,$B$5,$F176,$B$6,Y$10,$A176,$B176)</f>
        <v>0</v>
      </c>
      <c r="Z176" s="4">
        <f ca="1">_xll.DBRW($B$1,$B$2,$B$7,$B$3,$B$4,$B$5,$F176,$B$6,Z$10,$A176,$B176)</f>
        <v>0</v>
      </c>
      <c r="AA176" s="4">
        <f ca="1">_xll.DBRW($B$1,$B$2,$B$7,$B$3,$B$4,$B$5,$F176,$B$6,AA$10,$A176,$B176)</f>
        <v>0</v>
      </c>
      <c r="AB176" s="4">
        <f ca="1">_xll.DBRW($B$1,$B$2,$B$7,$B$3,$B$4,$B$5,$F176,$B$6,AB$10,$A176,$B176)</f>
        <v>0</v>
      </c>
      <c r="AC176" s="4">
        <f ca="1">_xll.DBRW($B$1,$B$2,$B$7,$B$3,$B$4,$B$5,$F176,$B$6,AC$10,$A176,$B176)</f>
        <v>1258944</v>
      </c>
      <c r="AD176" s="4">
        <f ca="1">_xll.DBRW($B$1,$B$2,$B$7,$B$3,$B$4,$B$5,$F176,$B$6,AD$10,$A176,$B176)</f>
        <v>5350512</v>
      </c>
      <c r="AE176" s="4">
        <f ca="1">_xll.DBRW($B$1,$B$2,$B$7,$B$3,$B$4,$B$5,$F176,$B$6,AE$10,$A176,$B176)</f>
        <v>5665248</v>
      </c>
    </row>
    <row r="177" spans="1:31">
      <c r="A177" s="1" t="s">
        <v>152</v>
      </c>
      <c r="B177" s="5" t="s">
        <v>214</v>
      </c>
      <c r="C177" s="5" t="s">
        <v>187</v>
      </c>
      <c r="D177" s="5" t="s">
        <v>21</v>
      </c>
      <c r="E177" s="5" t="s">
        <v>59</v>
      </c>
      <c r="F177" s="5" t="s">
        <v>24</v>
      </c>
      <c r="G177" s="6"/>
      <c r="H177" s="6"/>
      <c r="I177" s="6"/>
      <c r="J177" s="6"/>
      <c r="K177" s="6"/>
      <c r="L177" s="4">
        <f ca="1">_xll.DBRW($B$1,$B$2,$B$7,$B$3,$B$4,$B$5,$F177,$B$6,L$10,$A177,$B177)</f>
        <v>12115544</v>
      </c>
      <c r="M177" s="4">
        <f ca="1">_xll.DBRW($B$1,$B$2,$B$7,$B$3,$B$4,$B$5,$F177,$B$6,M$10,$A177,$B177)</f>
        <v>11724720</v>
      </c>
      <c r="N177" s="4">
        <f ca="1">_xll.DBRW($B$1,$B$2,$B$7,$B$3,$B$4,$B$5,$F177,$B$6,N$10,$A177,$B177)</f>
        <v>12115544</v>
      </c>
      <c r="O177" s="4">
        <f ca="1">_xll.DBRW($B$1,$B$2,$B$7,$B$3,$B$4,$B$5,$F177,$B$6,O$10,$A177,$B177)</f>
        <v>12115544</v>
      </c>
      <c r="P177" s="4">
        <f ca="1">_xll.DBRW($B$1,$B$2,$B$7,$B$3,$B$4,$B$5,$F177,$B$6,P$10,$A177,$B177)</f>
        <v>11724720</v>
      </c>
      <c r="Q177" s="4">
        <f ca="1">_xll.DBRW($B$1,$B$2,$B$7,$B$3,$B$4,$B$5,$F177,$B$6,Q$10,$A177,$B177)</f>
        <v>10943072</v>
      </c>
      <c r="R177" s="4">
        <f ca="1">_xll.DBRW($B$1,$B$2,$B$7,$B$3,$B$4,$B$5,$F177,$B$6,R$10,$A177,$B177)</f>
        <v>5080712</v>
      </c>
      <c r="S177" s="4">
        <f ca="1">_xll.DBRW($B$1,$B$2,$B$7,$B$3,$B$4,$B$5,$F177,$B$6,S$10,$A177,$B177)</f>
        <v>0</v>
      </c>
      <c r="T177" s="4">
        <f ca="1">_xll.DBRW($B$1,$B$2,$B$7,$B$3,$B$4,$B$5,$F177,$B$6,T$10,$A177,$B177)</f>
        <v>0</v>
      </c>
      <c r="U177" s="4">
        <f ca="1">_xll.DBRW($B$1,$B$2,$B$7,$B$3,$B$4,$B$5,$F177,$B$6,U$10,$A177,$B177)</f>
        <v>0</v>
      </c>
      <c r="V177" s="4">
        <f ca="1">_xll.DBRW($B$1,$B$2,$B$7,$B$3,$B$4,$B$5,$F177,$B$6,V$10,$A177,$B177)</f>
        <v>781648</v>
      </c>
      <c r="W177" s="4">
        <f ca="1">_xll.DBRW($B$1,$B$2,$B$7,$B$3,$B$4,$B$5,$F177,$B$6,W$10,$A177,$B177)</f>
        <v>11724720</v>
      </c>
      <c r="X177" s="4">
        <f ca="1">_xll.DBRW($B$1,$B$2,$B$7,$B$3,$B$4,$B$5,$F177,$B$6,X$10,$A177,$B177)</f>
        <v>12115544</v>
      </c>
      <c r="Y177" s="4">
        <f ca="1">_xll.DBRW($B$1,$B$2,$B$7,$B$3,$B$4,$B$5,$F177,$B$6,Y$10,$A177,$B177)</f>
        <v>11724720</v>
      </c>
      <c r="Z177" s="4">
        <f ca="1">_xll.DBRW($B$1,$B$2,$B$7,$B$3,$B$4,$B$5,$F177,$B$6,Z$10,$A177,$B177)</f>
        <v>12115544</v>
      </c>
      <c r="AA177" s="4">
        <f ca="1">_xll.DBRW($B$1,$B$2,$B$7,$B$3,$B$4,$B$5,$F177,$B$6,AA$10,$A177,$B177)</f>
        <v>12115544</v>
      </c>
      <c r="AB177" s="4">
        <f ca="1">_xll.DBRW($B$1,$B$2,$B$7,$B$3,$B$4,$B$5,$F177,$B$6,AB$10,$A177,$B177)</f>
        <v>11724720</v>
      </c>
      <c r="AC177" s="4">
        <f ca="1">_xll.DBRW($B$1,$B$2,$B$7,$B$3,$B$4,$B$5,$F177,$B$6,AC$10,$A177,$B177)</f>
        <v>9770600</v>
      </c>
      <c r="AD177" s="4">
        <f ca="1">_xll.DBRW($B$1,$B$2,$B$7,$B$3,$B$4,$B$5,$F177,$B$6,AD$10,$A177,$B177)</f>
        <v>0</v>
      </c>
      <c r="AE177" s="4">
        <f ca="1">_xll.DBRW($B$1,$B$2,$B$7,$B$3,$B$4,$B$5,$F177,$B$6,AE$10,$A177,$B177)</f>
        <v>0</v>
      </c>
    </row>
    <row r="178" spans="1:31">
      <c r="A178" s="1" t="s">
        <v>152</v>
      </c>
      <c r="B178" s="5" t="s">
        <v>63</v>
      </c>
      <c r="C178" s="5" t="s">
        <v>62</v>
      </c>
      <c r="D178" s="5" t="s">
        <v>59</v>
      </c>
      <c r="E178" s="5" t="s">
        <v>21</v>
      </c>
      <c r="F178" s="5" t="s">
        <v>24</v>
      </c>
      <c r="G178" s="6"/>
      <c r="H178" s="6"/>
      <c r="I178" s="6"/>
      <c r="J178" s="6"/>
      <c r="K178" s="6"/>
      <c r="L178" s="4">
        <f ca="1">_xll.DBRW($B$1,$B$2,$B$7,$B$3,$B$4,$B$5,$F178,$B$6,L$10,$A178,$B178)</f>
        <v>12115544</v>
      </c>
      <c r="M178" s="4">
        <f ca="1">_xll.DBRW($B$1,$B$2,$B$7,$B$3,$B$4,$B$5,$F178,$B$6,M$10,$A178,$B178)</f>
        <v>11724720</v>
      </c>
      <c r="N178" s="4">
        <f ca="1">_xll.DBRW($B$1,$B$2,$B$7,$B$3,$B$4,$B$5,$F178,$B$6,N$10,$A178,$B178)</f>
        <v>12115544</v>
      </c>
      <c r="O178" s="4">
        <f ca="1">_xll.DBRW($B$1,$B$2,$B$7,$B$3,$B$4,$B$5,$F178,$B$6,O$10,$A178,$B178)</f>
        <v>12115544</v>
      </c>
      <c r="P178" s="4">
        <f ca="1">_xll.DBRW($B$1,$B$2,$B$7,$B$3,$B$4,$B$5,$F178,$B$6,P$10,$A178,$B178)</f>
        <v>11724720</v>
      </c>
      <c r="Q178" s="4">
        <f ca="1">_xll.DBRW($B$1,$B$2,$B$7,$B$3,$B$4,$B$5,$F178,$B$6,Q$10,$A178,$B178)</f>
        <v>10943072</v>
      </c>
      <c r="R178" s="4">
        <f ca="1">_xll.DBRW($B$1,$B$2,$B$7,$B$3,$B$4,$B$5,$F178,$B$6,R$10,$A178,$B178)</f>
        <v>5080712</v>
      </c>
      <c r="S178" s="4">
        <f ca="1">_xll.DBRW($B$1,$B$2,$B$7,$B$3,$B$4,$B$5,$F178,$B$6,S$10,$A178,$B178)</f>
        <v>0</v>
      </c>
      <c r="T178" s="4">
        <f ca="1">_xll.DBRW($B$1,$B$2,$B$7,$B$3,$B$4,$B$5,$F178,$B$6,T$10,$A178,$B178)</f>
        <v>0</v>
      </c>
      <c r="U178" s="4">
        <f ca="1">_xll.DBRW($B$1,$B$2,$B$7,$B$3,$B$4,$B$5,$F178,$B$6,U$10,$A178,$B178)</f>
        <v>0</v>
      </c>
      <c r="V178" s="4">
        <f ca="1">_xll.DBRW($B$1,$B$2,$B$7,$B$3,$B$4,$B$5,$F178,$B$6,V$10,$A178,$B178)</f>
        <v>781648</v>
      </c>
      <c r="W178" s="4">
        <f ca="1">_xll.DBRW($B$1,$B$2,$B$7,$B$3,$B$4,$B$5,$F178,$B$6,W$10,$A178,$B178)</f>
        <v>11501392</v>
      </c>
      <c r="X178" s="4">
        <f ca="1">_xll.DBRW($B$1,$B$2,$B$7,$B$3,$B$4,$B$5,$F178,$B$6,X$10,$A178,$B178)</f>
        <v>11836384</v>
      </c>
      <c r="Y178" s="4">
        <f ca="1">_xll.DBRW($B$1,$B$2,$B$7,$B$3,$B$4,$B$5,$F178,$B$6,Y$10,$A178,$B178)</f>
        <v>11501392</v>
      </c>
      <c r="Z178" s="4">
        <f ca="1">_xll.DBRW($B$1,$B$2,$B$7,$B$3,$B$4,$B$5,$F178,$B$6,Z$10,$A178,$B178)</f>
        <v>11836384</v>
      </c>
      <c r="AA178" s="4">
        <f ca="1">_xll.DBRW($B$1,$B$2,$B$7,$B$3,$B$4,$B$5,$F178,$B$6,AA$10,$A178,$B178)</f>
        <v>11892216</v>
      </c>
      <c r="AB178" s="4">
        <f ca="1">_xll.DBRW($B$1,$B$2,$B$7,$B$3,$B$4,$B$5,$F178,$B$6,AB$10,$A178,$B178)</f>
        <v>11501392</v>
      </c>
      <c r="AC178" s="4">
        <f ca="1">_xll.DBRW($B$1,$B$2,$B$7,$B$3,$B$4,$B$5,$F178,$B$6,AC$10,$A178,$B178)</f>
        <v>9547272</v>
      </c>
      <c r="AD178" s="4">
        <f ca="1">_xll.DBRW($B$1,$B$2,$B$7,$B$3,$B$4,$B$5,$F178,$B$6,AD$10,$A178,$B178)</f>
        <v>0</v>
      </c>
      <c r="AE178" s="4">
        <f ca="1">_xll.DBRW($B$1,$B$2,$B$7,$B$3,$B$4,$B$5,$F178,$B$6,AE$10,$A178,$B178)</f>
        <v>0</v>
      </c>
    </row>
    <row r="179" spans="1:31">
      <c r="A179" s="1" t="s">
        <v>152</v>
      </c>
      <c r="B179" s="5" t="s">
        <v>215</v>
      </c>
      <c r="C179" s="5" t="s">
        <v>159</v>
      </c>
      <c r="D179" s="5" t="s">
        <v>21</v>
      </c>
      <c r="E179" s="5" t="s">
        <v>38</v>
      </c>
      <c r="F179" s="5" t="s">
        <v>24</v>
      </c>
      <c r="G179" s="6"/>
      <c r="H179" s="6"/>
      <c r="I179" s="6"/>
      <c r="J179" s="6"/>
      <c r="K179" s="6"/>
      <c r="L179" s="4">
        <f ca="1">_xll.DBRW($B$1,$B$2,$B$7,$B$3,$B$4,$B$5,$F179,$B$6,L$10,$A179,$B179)</f>
        <v>9525110</v>
      </c>
      <c r="M179" s="4">
        <f ca="1">_xll.DBRW($B$1,$B$2,$B$7,$B$3,$B$4,$B$5,$F179,$B$6,M$10,$A179,$B179)</f>
        <v>9330720</v>
      </c>
      <c r="N179" s="4">
        <f ca="1">_xll.DBRW($B$1,$B$2,$B$7,$B$3,$B$4,$B$5,$F179,$B$6,N$10,$A179,$B179)</f>
        <v>9530664</v>
      </c>
      <c r="O179" s="4">
        <f ca="1">_xll.DBRW($B$1,$B$2,$B$7,$B$3,$B$4,$B$5,$F179,$B$6,O$10,$A179,$B179)</f>
        <v>8964156</v>
      </c>
      <c r="P179" s="4">
        <f ca="1">_xll.DBRW($B$1,$B$2,$B$7,$B$3,$B$4,$B$5,$F179,$B$6,P$10,$A179,$B179)</f>
        <v>9330720</v>
      </c>
      <c r="Q179" s="4">
        <f ca="1">_xll.DBRW($B$1,$B$2,$B$7,$B$3,$B$4,$B$5,$F179,$B$6,Q$10,$A179,$B179)</f>
        <v>9364044</v>
      </c>
      <c r="R179" s="4">
        <f ca="1">_xll.DBRW($B$1,$B$2,$B$7,$B$3,$B$4,$B$5,$F179,$B$6,R$10,$A179,$B179)</f>
        <v>8830860</v>
      </c>
      <c r="S179" s="4">
        <f ca="1">_xll.DBRW($B$1,$B$2,$B$7,$B$3,$B$4,$B$5,$F179,$B$6,S$10,$A179,$B179)</f>
        <v>8864184</v>
      </c>
      <c r="T179" s="4">
        <f ca="1">_xll.DBRW($B$1,$B$2,$B$7,$B$3,$B$4,$B$5,$F179,$B$6,T$10,$A179,$B179)</f>
        <v>9197424</v>
      </c>
      <c r="U179" s="4">
        <f ca="1">_xll.DBRW($B$1,$B$2,$B$7,$B$3,$B$4,$B$5,$F179,$B$6,U$10,$A179,$B179)</f>
        <v>8264352</v>
      </c>
      <c r="V179" s="4">
        <f ca="1">_xll.DBRW($B$1,$B$2,$B$7,$B$3,$B$4,$B$5,$F179,$B$6,V$10,$A179,$B179)</f>
        <v>9141884</v>
      </c>
      <c r="W179" s="4">
        <f ca="1">_xll.DBRW($B$1,$B$2,$B$7,$B$3,$B$4,$B$5,$F179,$B$6,W$10,$A179,$B179)</f>
        <v>9108560</v>
      </c>
      <c r="X179" s="4">
        <f ca="1">_xll.DBRW($B$1,$B$2,$B$7,$B$3,$B$4,$B$5,$F179,$B$6,X$10,$A179,$B179)</f>
        <v>9419584</v>
      </c>
      <c r="Y179" s="4">
        <f ca="1">_xll.DBRW($B$1,$B$2,$B$7,$B$3,$B$4,$B$5,$F179,$B$6,Y$10,$A179,$B179)</f>
        <v>9053020</v>
      </c>
      <c r="Z179" s="4">
        <f ca="1">_xll.DBRW($B$1,$B$2,$B$7,$B$3,$B$4,$B$5,$F179,$B$6,Z$10,$A179,$B179)</f>
        <v>9419584</v>
      </c>
      <c r="AA179" s="4">
        <f ca="1">_xll.DBRW($B$1,$B$2,$B$7,$B$3,$B$4,$B$5,$F179,$B$6,AA$10,$A179,$B179)</f>
        <v>9364044</v>
      </c>
      <c r="AB179" s="4">
        <f ca="1">_xll.DBRW($B$1,$B$2,$B$7,$B$3,$B$4,$B$5,$F179,$B$6,AB$10,$A179,$B179)</f>
        <v>9108560</v>
      </c>
      <c r="AC179" s="4">
        <f ca="1">_xll.DBRW($B$1,$B$2,$B$7,$B$3,$B$4,$B$5,$F179,$B$6,AC$10,$A179,$B179)</f>
        <v>9364044</v>
      </c>
      <c r="AD179" s="4">
        <f ca="1">_xll.DBRW($B$1,$B$2,$B$7,$B$3,$B$4,$B$5,$F179,$B$6,AD$10,$A179,$B179)</f>
        <v>8830860</v>
      </c>
      <c r="AE179" s="4">
        <f ca="1">_xll.DBRW($B$1,$B$2,$B$7,$B$3,$B$4,$B$5,$F179,$B$6,AE$10,$A179,$B179)</f>
        <v>9141884</v>
      </c>
    </row>
    <row r="180" spans="1:31">
      <c r="A180" s="1" t="s">
        <v>152</v>
      </c>
      <c r="B180" s="5" t="s">
        <v>43</v>
      </c>
      <c r="C180" s="5" t="s">
        <v>37</v>
      </c>
      <c r="D180" s="5" t="s">
        <v>38</v>
      </c>
      <c r="E180" s="5" t="s">
        <v>21</v>
      </c>
      <c r="F180" s="5" t="s">
        <v>24</v>
      </c>
      <c r="G180" s="6"/>
      <c r="H180" s="6"/>
      <c r="I180" s="6"/>
      <c r="J180" s="6"/>
      <c r="K180" s="6"/>
      <c r="L180" s="4">
        <f ca="1">_xll.DBRW($B$1,$B$2,$B$7,$B$3,$B$4,$B$5,$F180,$B$6,L$10,$A180,$B180)</f>
        <v>9241856</v>
      </c>
      <c r="M180" s="4">
        <f ca="1">_xll.DBRW($B$1,$B$2,$B$7,$B$3,$B$4,$B$5,$F180,$B$6,M$10,$A180,$B180)</f>
        <v>9097452</v>
      </c>
      <c r="N180" s="4">
        <f ca="1">_xll.DBRW($B$1,$B$2,$B$7,$B$3,$B$4,$B$5,$F180,$B$6,N$10,$A180,$B180)</f>
        <v>9408476</v>
      </c>
      <c r="O180" s="4">
        <f ca="1">_xll.DBRW($B$1,$B$2,$B$7,$B$3,$B$4,$B$5,$F180,$B$6,O$10,$A180,$B180)</f>
        <v>8530944</v>
      </c>
      <c r="P180" s="4">
        <f ca="1">_xll.DBRW($B$1,$B$2,$B$7,$B$3,$B$4,$B$5,$F180,$B$6,P$10,$A180,$B180)</f>
        <v>1188556</v>
      </c>
      <c r="Q180" s="4">
        <f ca="1">_xll.DBRW($B$1,$B$2,$B$7,$B$3,$B$4,$B$5,$F180,$B$6,Q$10,$A180,$B180)</f>
        <v>1955008</v>
      </c>
      <c r="R180" s="4">
        <f ca="1">_xll.DBRW($B$1,$B$2,$B$7,$B$3,$B$4,$B$5,$F180,$B$6,R$10,$A180,$B180)</f>
        <v>8830860</v>
      </c>
      <c r="S180" s="4">
        <f ca="1">_xll.DBRW($B$1,$B$2,$B$7,$B$3,$B$4,$B$5,$F180,$B$6,S$10,$A180,$B180)</f>
        <v>8864184</v>
      </c>
      <c r="T180" s="4">
        <f ca="1">_xll.DBRW($B$1,$B$2,$B$7,$B$3,$B$4,$B$5,$F180,$B$6,T$10,$A180,$B180)</f>
        <v>9419584</v>
      </c>
      <c r="U180" s="4">
        <f ca="1">_xll.DBRW($B$1,$B$2,$B$7,$B$3,$B$4,$B$5,$F180,$B$6,U$10,$A180,$B180)</f>
        <v>8486512</v>
      </c>
      <c r="V180" s="4">
        <f ca="1">_xll.DBRW($B$1,$B$2,$B$7,$B$3,$B$4,$B$5,$F180,$B$6,V$10,$A180,$B180)</f>
        <v>9364044</v>
      </c>
      <c r="W180" s="4">
        <f ca="1">_xll.DBRW($B$1,$B$2,$B$7,$B$3,$B$4,$B$5,$F180,$B$6,W$10,$A180,$B180)</f>
        <v>9108560</v>
      </c>
      <c r="X180" s="4">
        <f ca="1">_xll.DBRW($B$1,$B$2,$B$7,$B$3,$B$4,$B$5,$F180,$B$6,X$10,$A180,$B180)</f>
        <v>9419584</v>
      </c>
      <c r="Y180" s="4">
        <f ca="1">_xll.DBRW($B$1,$B$2,$B$7,$B$3,$B$4,$B$5,$F180,$B$6,Y$10,$A180,$B180)</f>
        <v>9053020</v>
      </c>
      <c r="Z180" s="4">
        <f ca="1">_xll.DBRW($B$1,$B$2,$B$7,$B$3,$B$4,$B$5,$F180,$B$6,Z$10,$A180,$B180)</f>
        <v>9419584</v>
      </c>
      <c r="AA180" s="4">
        <f ca="1">_xll.DBRW($B$1,$B$2,$B$7,$B$3,$B$4,$B$5,$F180,$B$6,AA$10,$A180,$B180)</f>
        <v>9364044</v>
      </c>
      <c r="AB180" s="4">
        <f ca="1">_xll.DBRW($B$1,$B$2,$B$7,$B$3,$B$4,$B$5,$F180,$B$6,AB$10,$A180,$B180)</f>
        <v>9108560</v>
      </c>
      <c r="AC180" s="4">
        <f ca="1">_xll.DBRW($B$1,$B$2,$B$7,$B$3,$B$4,$B$5,$F180,$B$6,AC$10,$A180,$B180)</f>
        <v>9108560</v>
      </c>
      <c r="AD180" s="4">
        <f ca="1">_xll.DBRW($B$1,$B$2,$B$7,$B$3,$B$4,$B$5,$F180,$B$6,AD$10,$A180,$B180)</f>
        <v>9108560</v>
      </c>
      <c r="AE180" s="4">
        <f ca="1">_xll.DBRW($B$1,$B$2,$B$7,$B$3,$B$4,$B$5,$F180,$B$6,AE$10,$A180,$B180)</f>
        <v>9053020</v>
      </c>
    </row>
    <row r="181" spans="1:31">
      <c r="A181" s="1" t="s">
        <v>152</v>
      </c>
      <c r="B181" s="5" t="s">
        <v>216</v>
      </c>
      <c r="C181" s="5" t="s">
        <v>163</v>
      </c>
      <c r="D181" s="5" t="s">
        <v>21</v>
      </c>
      <c r="E181" s="5" t="s">
        <v>54</v>
      </c>
      <c r="F181" s="5" t="s">
        <v>24</v>
      </c>
      <c r="G181" s="6"/>
      <c r="H181" s="6"/>
      <c r="I181" s="6"/>
      <c r="J181" s="6"/>
      <c r="K181" s="6"/>
      <c r="L181" s="4">
        <f ca="1">_xll.DBRW($B$1,$B$2,$B$7,$B$3,$B$4,$B$5,$F181,$B$6,L$10,$A181,$B181)</f>
        <v>9526300</v>
      </c>
      <c r="M181" s="4">
        <f ca="1">_xll.DBRW($B$1,$B$2,$B$7,$B$3,$B$4,$B$5,$F181,$B$6,M$10,$A181,$B181)</f>
        <v>9219000</v>
      </c>
      <c r="N181" s="4">
        <f ca="1">_xll.DBRW($B$1,$B$2,$B$7,$B$3,$B$4,$B$5,$F181,$B$6,N$10,$A181,$B181)</f>
        <v>9526300</v>
      </c>
      <c r="O181" s="4">
        <f ca="1">_xll.DBRW($B$1,$B$2,$B$7,$B$3,$B$4,$B$5,$F181,$B$6,O$10,$A181,$B181)</f>
        <v>9526300</v>
      </c>
      <c r="P181" s="4">
        <f ca="1">_xll.DBRW($B$1,$B$2,$B$7,$B$3,$B$4,$B$5,$F181,$B$6,P$10,$A181,$B181)</f>
        <v>9219000</v>
      </c>
      <c r="Q181" s="4">
        <f ca="1">_xll.DBRW($B$1,$B$2,$B$7,$B$3,$B$4,$B$5,$F181,$B$6,Q$10,$A181,$B181)</f>
        <v>7989800</v>
      </c>
      <c r="R181" s="4">
        <f ca="1">_xll.DBRW($B$1,$B$2,$B$7,$B$3,$B$4,$B$5,$F181,$B$6,R$10,$A181,$B181)</f>
        <v>0</v>
      </c>
      <c r="S181" s="4">
        <f ca="1">_xll.DBRW($B$1,$B$2,$B$7,$B$3,$B$4,$B$5,$F181,$B$6,S$10,$A181,$B181)</f>
        <v>0</v>
      </c>
      <c r="T181" s="4">
        <f ca="1">_xll.DBRW($B$1,$B$2,$B$7,$B$3,$B$4,$B$5,$F181,$B$6,T$10,$A181,$B181)</f>
        <v>0</v>
      </c>
      <c r="U181" s="4">
        <f ca="1">_xll.DBRW($B$1,$B$2,$B$7,$B$3,$B$4,$B$5,$F181,$B$6,U$10,$A181,$B181)</f>
        <v>0</v>
      </c>
      <c r="V181" s="4">
        <f ca="1">_xll.DBRW($B$1,$B$2,$B$7,$B$3,$B$4,$B$5,$F181,$B$6,V$10,$A181,$B181)</f>
        <v>983360</v>
      </c>
      <c r="W181" s="4">
        <f ca="1">_xll.DBRW($B$1,$B$2,$B$7,$B$3,$B$4,$B$5,$F181,$B$6,W$10,$A181,$B181)</f>
        <v>14750400</v>
      </c>
      <c r="X181" s="4">
        <f ca="1">_xll.DBRW($B$1,$B$2,$B$7,$B$3,$B$4,$B$5,$F181,$B$6,X$10,$A181,$B181)</f>
        <v>15242080</v>
      </c>
      <c r="Y181" s="4">
        <f ca="1">_xll.DBRW($B$1,$B$2,$B$7,$B$3,$B$4,$B$5,$F181,$B$6,Y$10,$A181,$B181)</f>
        <v>14750400</v>
      </c>
      <c r="Z181" s="4">
        <f ca="1">_xll.DBRW($B$1,$B$2,$B$7,$B$3,$B$4,$B$5,$F181,$B$6,Z$10,$A181,$B181)</f>
        <v>15242080</v>
      </c>
      <c r="AA181" s="4">
        <f ca="1">_xll.DBRW($B$1,$B$2,$B$7,$B$3,$B$4,$B$5,$F181,$B$6,AA$10,$A181,$B181)</f>
        <v>15242080</v>
      </c>
      <c r="AB181" s="4">
        <f ca="1">_xll.DBRW($B$1,$B$2,$B$7,$B$3,$B$4,$B$5,$F181,$B$6,AB$10,$A181,$B181)</f>
        <v>14750400</v>
      </c>
      <c r="AC181" s="4">
        <f ca="1">_xll.DBRW($B$1,$B$2,$B$7,$B$3,$B$4,$B$5,$F181,$B$6,AC$10,$A181,$B181)</f>
        <v>12292000</v>
      </c>
      <c r="AD181" s="4">
        <f ca="1">_xll.DBRW($B$1,$B$2,$B$7,$B$3,$B$4,$B$5,$F181,$B$6,AD$10,$A181,$B181)</f>
        <v>0</v>
      </c>
      <c r="AE181" s="4">
        <f ca="1">_xll.DBRW($B$1,$B$2,$B$7,$B$3,$B$4,$B$5,$F181,$B$6,AE$10,$A181,$B181)</f>
        <v>0</v>
      </c>
    </row>
    <row r="182" spans="1:31">
      <c r="A182" s="1" t="s">
        <v>152</v>
      </c>
      <c r="B182" s="5" t="s">
        <v>56</v>
      </c>
      <c r="C182" s="5" t="s">
        <v>53</v>
      </c>
      <c r="D182" s="5" t="s">
        <v>54</v>
      </c>
      <c r="E182" s="5" t="s">
        <v>21</v>
      </c>
      <c r="F182" s="5" t="s">
        <v>24</v>
      </c>
      <c r="G182" s="6"/>
      <c r="H182" s="6"/>
      <c r="I182" s="6"/>
      <c r="J182" s="6"/>
      <c r="K182" s="6"/>
      <c r="L182" s="4">
        <f ca="1">_xll.DBRW($B$1,$B$2,$B$7,$B$3,$B$4,$B$5,$F182,$B$6,L$10,$A182,$B182)</f>
        <v>9526300</v>
      </c>
      <c r="M182" s="4">
        <f ca="1">_xll.DBRW($B$1,$B$2,$B$7,$B$3,$B$4,$B$5,$F182,$B$6,M$10,$A182,$B182)</f>
        <v>9219000</v>
      </c>
      <c r="N182" s="4">
        <f ca="1">_xll.DBRW($B$1,$B$2,$B$7,$B$3,$B$4,$B$5,$F182,$B$6,N$10,$A182,$B182)</f>
        <v>9526300</v>
      </c>
      <c r="O182" s="4">
        <f ca="1">_xll.DBRW($B$1,$B$2,$B$7,$B$3,$B$4,$B$5,$F182,$B$6,O$10,$A182,$B182)</f>
        <v>9526300</v>
      </c>
      <c r="P182" s="4">
        <f ca="1">_xll.DBRW($B$1,$B$2,$B$7,$B$3,$B$4,$B$5,$F182,$B$6,P$10,$A182,$B182)</f>
        <v>9219000</v>
      </c>
      <c r="Q182" s="4">
        <f ca="1">_xll.DBRW($B$1,$B$2,$B$7,$B$3,$B$4,$B$5,$F182,$B$6,Q$10,$A182,$B182)</f>
        <v>7989800</v>
      </c>
      <c r="R182" s="4">
        <f ca="1">_xll.DBRW($B$1,$B$2,$B$7,$B$3,$B$4,$B$5,$F182,$B$6,R$10,$A182,$B182)</f>
        <v>0</v>
      </c>
      <c r="S182" s="4">
        <f ca="1">_xll.DBRW($B$1,$B$2,$B$7,$B$3,$B$4,$B$5,$F182,$B$6,S$10,$A182,$B182)</f>
        <v>0</v>
      </c>
      <c r="T182" s="4">
        <f ca="1">_xll.DBRW($B$1,$B$2,$B$7,$B$3,$B$4,$B$5,$F182,$B$6,T$10,$A182,$B182)</f>
        <v>0</v>
      </c>
      <c r="U182" s="4">
        <f ca="1">_xll.DBRW($B$1,$B$2,$B$7,$B$3,$B$4,$B$5,$F182,$B$6,U$10,$A182,$B182)</f>
        <v>0</v>
      </c>
      <c r="V182" s="4">
        <f ca="1">_xll.DBRW($B$1,$B$2,$B$7,$B$3,$B$4,$B$5,$F182,$B$6,V$10,$A182,$B182)</f>
        <v>983360</v>
      </c>
      <c r="W182" s="4">
        <f ca="1">_xll.DBRW($B$1,$B$2,$B$7,$B$3,$B$4,$B$5,$F182,$B$6,W$10,$A182,$B182)</f>
        <v>14750400</v>
      </c>
      <c r="X182" s="4">
        <f ca="1">_xll.DBRW($B$1,$B$2,$B$7,$B$3,$B$4,$B$5,$F182,$B$6,X$10,$A182,$B182)</f>
        <v>15242080</v>
      </c>
      <c r="Y182" s="4">
        <f ca="1">_xll.DBRW($B$1,$B$2,$B$7,$B$3,$B$4,$B$5,$F182,$B$6,Y$10,$A182,$B182)</f>
        <v>14750400</v>
      </c>
      <c r="Z182" s="4">
        <f ca="1">_xll.DBRW($B$1,$B$2,$B$7,$B$3,$B$4,$B$5,$F182,$B$6,Z$10,$A182,$B182)</f>
        <v>15242080</v>
      </c>
      <c r="AA182" s="4">
        <f ca="1">_xll.DBRW($B$1,$B$2,$B$7,$B$3,$B$4,$B$5,$F182,$B$6,AA$10,$A182,$B182)</f>
        <v>15242080</v>
      </c>
      <c r="AB182" s="4">
        <f ca="1">_xll.DBRW($B$1,$B$2,$B$7,$B$3,$B$4,$B$5,$F182,$B$6,AB$10,$A182,$B182)</f>
        <v>14750400</v>
      </c>
      <c r="AC182" s="4">
        <f ca="1">_xll.DBRW($B$1,$B$2,$B$7,$B$3,$B$4,$B$5,$F182,$B$6,AC$10,$A182,$B182)</f>
        <v>11800320</v>
      </c>
      <c r="AD182" s="4">
        <f ca="1">_xll.DBRW($B$1,$B$2,$B$7,$B$3,$B$4,$B$5,$F182,$B$6,AD$10,$A182,$B182)</f>
        <v>0</v>
      </c>
      <c r="AE182" s="4">
        <f ca="1">_xll.DBRW($B$1,$B$2,$B$7,$B$3,$B$4,$B$5,$F182,$B$6,AE$10,$A182,$B182)</f>
        <v>0</v>
      </c>
    </row>
    <row r="183" spans="1:31">
      <c r="A183" s="1" t="s">
        <v>152</v>
      </c>
      <c r="B183" s="5" t="s">
        <v>217</v>
      </c>
      <c r="C183" s="5" t="s">
        <v>159</v>
      </c>
      <c r="D183" s="5" t="s">
        <v>21</v>
      </c>
      <c r="E183" s="5" t="s">
        <v>38</v>
      </c>
      <c r="F183" s="5" t="s">
        <v>24</v>
      </c>
      <c r="G183" s="6"/>
      <c r="H183" s="6"/>
      <c r="I183" s="6"/>
      <c r="J183" s="6"/>
      <c r="K183" s="6"/>
      <c r="L183" s="4">
        <f ca="1">_xll.DBRW($B$1,$B$2,$B$7,$B$3,$B$4,$B$5,$F183,$B$6,L$10,$A183,$B183)</f>
        <v>8025530</v>
      </c>
      <c r="M183" s="4">
        <f ca="1">_xll.DBRW($B$1,$B$2,$B$7,$B$3,$B$4,$B$5,$F183,$B$6,M$10,$A183,$B183)</f>
        <v>8164380</v>
      </c>
      <c r="N183" s="4">
        <f ca="1">_xll.DBRW($B$1,$B$2,$B$7,$B$3,$B$4,$B$5,$F183,$B$6,N$10,$A183,$B183)</f>
        <v>8369878</v>
      </c>
      <c r="O183" s="4">
        <f ca="1">_xll.DBRW($B$1,$B$2,$B$7,$B$3,$B$4,$B$5,$F183,$B$6,O$10,$A183,$B183)</f>
        <v>8219920</v>
      </c>
      <c r="P183" s="4">
        <f ca="1">_xll.DBRW($B$1,$B$2,$B$7,$B$3,$B$4,$B$5,$F183,$B$6,P$10,$A183,$B183)</f>
        <v>1021936</v>
      </c>
      <c r="Q183" s="4">
        <f ca="1">_xll.DBRW($B$1,$B$2,$B$7,$B$3,$B$4,$B$5,$F183,$B$6,Q$10,$A183,$B183)</f>
        <v>0</v>
      </c>
      <c r="R183" s="4">
        <f ca="1">_xll.DBRW($B$1,$B$2,$B$7,$B$3,$B$4,$B$5,$F183,$B$6,R$10,$A183,$B183)</f>
        <v>0</v>
      </c>
      <c r="S183" s="4">
        <f ca="1">_xll.DBRW($B$1,$B$2,$B$7,$B$3,$B$4,$B$5,$F183,$B$6,S$10,$A183,$B183)</f>
        <v>0</v>
      </c>
      <c r="T183" s="4">
        <f ca="1">_xll.DBRW($B$1,$B$2,$B$7,$B$3,$B$4,$B$5,$F183,$B$6,T$10,$A183,$B183)</f>
        <v>8897508</v>
      </c>
      <c r="U183" s="4">
        <f ca="1">_xll.DBRW($B$1,$B$2,$B$7,$B$3,$B$4,$B$5,$F183,$B$6,U$10,$A183,$B183)</f>
        <v>8019976</v>
      </c>
      <c r="V183" s="4">
        <f ca="1">_xll.DBRW($B$1,$B$2,$B$7,$B$3,$B$4,$B$5,$F183,$B$6,V$10,$A183,$B183)</f>
        <v>8908616</v>
      </c>
      <c r="W183" s="4">
        <f ca="1">_xll.DBRW($B$1,$B$2,$B$7,$B$3,$B$4,$B$5,$F183,$B$6,W$10,$A183,$B183)</f>
        <v>8242136</v>
      </c>
      <c r="X183" s="4">
        <f ca="1">_xll.DBRW($B$1,$B$2,$B$7,$B$3,$B$4,$B$5,$F183,$B$6,X$10,$A183,$B183)</f>
        <v>8325446</v>
      </c>
      <c r="Y183" s="4">
        <f ca="1">_xll.DBRW($B$1,$B$2,$B$7,$B$3,$B$4,$B$5,$F183,$B$6,Y$10,$A183,$B183)</f>
        <v>8197704</v>
      </c>
      <c r="Z183" s="4">
        <f ca="1">_xll.DBRW($B$1,$B$2,$B$7,$B$3,$B$4,$B$5,$F183,$B$6,Z$10,$A183,$B183)</f>
        <v>8497620</v>
      </c>
      <c r="AA183" s="4">
        <f ca="1">_xll.DBRW($B$1,$B$2,$B$7,$B$3,$B$4,$B$5,$F183,$B$6,AA$10,$A183,$B183)</f>
        <v>8336554</v>
      </c>
      <c r="AB183" s="4">
        <f ca="1">_xll.DBRW($B$1,$B$2,$B$7,$B$3,$B$4,$B$5,$F183,$B$6,AB$10,$A183,$B183)</f>
        <v>8242136</v>
      </c>
      <c r="AC183" s="4">
        <f ca="1">_xll.DBRW($B$1,$B$2,$B$7,$B$3,$B$4,$B$5,$F183,$B$6,AC$10,$A183,$B183)</f>
        <v>8425418</v>
      </c>
      <c r="AD183" s="4">
        <f ca="1">_xll.DBRW($B$1,$B$2,$B$7,$B$3,$B$4,$B$5,$F183,$B$6,AD$10,$A183,$B183)</f>
        <v>8642024</v>
      </c>
      <c r="AE183" s="4">
        <f ca="1">_xll.DBRW($B$1,$B$2,$B$7,$B$3,$B$4,$B$5,$F183,$B$6,AE$10,$A183,$B183)</f>
        <v>8780874</v>
      </c>
    </row>
    <row r="184" spans="1:31">
      <c r="A184" s="1" t="s">
        <v>152</v>
      </c>
      <c r="B184" s="5" t="s">
        <v>44</v>
      </c>
      <c r="C184" s="5" t="s">
        <v>37</v>
      </c>
      <c r="D184" s="5" t="s">
        <v>38</v>
      </c>
      <c r="E184" s="5" t="s">
        <v>21</v>
      </c>
      <c r="F184" s="5" t="s">
        <v>24</v>
      </c>
      <c r="G184" s="6"/>
      <c r="H184" s="6"/>
      <c r="I184" s="6"/>
      <c r="J184" s="6"/>
      <c r="K184" s="6"/>
      <c r="L184" s="4">
        <f ca="1">_xll.DBRW($B$1,$B$2,$B$7,$B$3,$B$4,$B$5,$F184,$B$6,L$10,$A184,$B184)</f>
        <v>8231028</v>
      </c>
      <c r="M184" s="4">
        <f ca="1">_xll.DBRW($B$1,$B$2,$B$7,$B$3,$B$4,$B$5,$F184,$B$6,M$10,$A184,$B184)</f>
        <v>7931112</v>
      </c>
      <c r="N184" s="4">
        <f ca="1">_xll.DBRW($B$1,$B$2,$B$7,$B$3,$B$4,$B$5,$F184,$B$6,N$10,$A184,$B184)</f>
        <v>8153272</v>
      </c>
      <c r="O184" s="4">
        <f ca="1">_xll.DBRW($B$1,$B$2,$B$7,$B$3,$B$4,$B$5,$F184,$B$6,O$10,$A184,$B184)</f>
        <v>8231028</v>
      </c>
      <c r="P184" s="4">
        <f ca="1">_xll.DBRW($B$1,$B$2,$B$7,$B$3,$B$4,$B$5,$F184,$B$6,P$10,$A184,$B184)</f>
        <v>7731168</v>
      </c>
      <c r="Q184" s="4">
        <f ca="1">_xll.DBRW($B$1,$B$2,$B$7,$B$3,$B$4,$B$5,$F184,$B$6,Q$10,$A184,$B184)</f>
        <v>6320452</v>
      </c>
      <c r="R184" s="4">
        <f ca="1">_xll.DBRW($B$1,$B$2,$B$7,$B$3,$B$4,$B$5,$F184,$B$6,R$10,$A184,$B184)</f>
        <v>0</v>
      </c>
      <c r="S184" s="4">
        <f ca="1">_xll.DBRW($B$1,$B$2,$B$7,$B$3,$B$4,$B$5,$F184,$B$6,S$10,$A184,$B184)</f>
        <v>0</v>
      </c>
      <c r="T184" s="4">
        <f ca="1">_xll.DBRW($B$1,$B$2,$B$7,$B$3,$B$4,$B$5,$F184,$B$6,T$10,$A184,$B184)</f>
        <v>8231028</v>
      </c>
      <c r="U184" s="4">
        <f ca="1">_xll.DBRW($B$1,$B$2,$B$7,$B$3,$B$4,$B$5,$F184,$B$6,U$10,$A184,$B184)</f>
        <v>7353496</v>
      </c>
      <c r="V184" s="4">
        <f ca="1">_xll.DBRW($B$1,$B$2,$B$7,$B$3,$B$4,$B$5,$F184,$B$6,V$10,$A184,$B184)</f>
        <v>8186596</v>
      </c>
      <c r="W184" s="4">
        <f ca="1">_xll.DBRW($B$1,$B$2,$B$7,$B$3,$B$4,$B$5,$F184,$B$6,W$10,$A184,$B184)</f>
        <v>8242136</v>
      </c>
      <c r="X184" s="4">
        <f ca="1">_xll.DBRW($B$1,$B$2,$B$7,$B$3,$B$4,$B$5,$F184,$B$6,X$10,$A184,$B184)</f>
        <v>8325446</v>
      </c>
      <c r="Y184" s="4">
        <f ca="1">_xll.DBRW($B$1,$B$2,$B$7,$B$3,$B$4,$B$5,$F184,$B$6,Y$10,$A184,$B184)</f>
        <v>8197704</v>
      </c>
      <c r="Z184" s="4">
        <f ca="1">_xll.DBRW($B$1,$B$2,$B$7,$B$3,$B$4,$B$5,$F184,$B$6,Z$10,$A184,$B184)</f>
        <v>8497620</v>
      </c>
      <c r="AA184" s="4">
        <f ca="1">_xll.DBRW($B$1,$B$2,$B$7,$B$3,$B$4,$B$5,$F184,$B$6,AA$10,$A184,$B184)</f>
        <v>8336554</v>
      </c>
      <c r="AB184" s="4">
        <f ca="1">_xll.DBRW($B$1,$B$2,$B$7,$B$3,$B$4,$B$5,$F184,$B$6,AB$10,$A184,$B184)</f>
        <v>8242136</v>
      </c>
      <c r="AC184" s="4">
        <f ca="1">_xll.DBRW($B$1,$B$2,$B$7,$B$3,$B$4,$B$5,$F184,$B$6,AC$10,$A184,$B184)</f>
        <v>8119948</v>
      </c>
      <c r="AD184" s="4">
        <f ca="1">_xll.DBRW($B$1,$B$2,$B$7,$B$3,$B$4,$B$5,$F184,$B$6,AD$10,$A184,$B184)</f>
        <v>7864464</v>
      </c>
      <c r="AE184" s="4">
        <f ca="1">_xll.DBRW($B$1,$B$2,$B$7,$B$3,$B$4,$B$5,$F184,$B$6,AE$10,$A184,$B184)</f>
        <v>7803370</v>
      </c>
    </row>
    <row r="185" spans="1:31">
      <c r="A185" s="1" t="s">
        <v>152</v>
      </c>
      <c r="B185" s="5" t="s">
        <v>218</v>
      </c>
      <c r="C185" s="5" t="s">
        <v>219</v>
      </c>
      <c r="D185" s="5" t="s">
        <v>21</v>
      </c>
      <c r="E185" s="5" t="s">
        <v>49</v>
      </c>
      <c r="F185" s="5" t="s">
        <v>24</v>
      </c>
      <c r="G185" s="6"/>
      <c r="H185" s="6"/>
      <c r="I185" s="6"/>
      <c r="J185" s="6"/>
      <c r="K185" s="6"/>
      <c r="L185" s="4">
        <f ca="1">_xll.DBRW($B$1,$B$2,$B$7,$B$3,$B$4,$B$5,$F185,$B$6,L$10,$A185,$B185)</f>
        <v>9131360</v>
      </c>
      <c r="M185" s="4">
        <f ca="1">_xll.DBRW($B$1,$B$2,$B$7,$B$3,$B$4,$B$5,$F185,$B$6,M$10,$A185,$B185)</f>
        <v>8836800</v>
      </c>
      <c r="N185" s="4">
        <f ca="1">_xll.DBRW($B$1,$B$2,$B$7,$B$3,$B$4,$B$5,$F185,$B$6,N$10,$A185,$B185)</f>
        <v>9131360</v>
      </c>
      <c r="O185" s="4">
        <f ca="1">_xll.DBRW($B$1,$B$2,$B$7,$B$3,$B$4,$B$5,$F185,$B$6,O$10,$A185,$B185)</f>
        <v>9131360</v>
      </c>
      <c r="P185" s="4">
        <f ca="1">_xll.DBRW($B$1,$B$2,$B$7,$B$3,$B$4,$B$5,$F185,$B$6,P$10,$A185,$B185)</f>
        <v>8836800</v>
      </c>
      <c r="Q185" s="4">
        <f ca="1">_xll.DBRW($B$1,$B$2,$B$7,$B$3,$B$4,$B$5,$F185,$B$6,Q$10,$A185,$B185)</f>
        <v>9131360</v>
      </c>
      <c r="R185" s="4">
        <f ca="1">_xll.DBRW($B$1,$B$2,$B$7,$B$3,$B$4,$B$5,$F185,$B$6,R$10,$A185,$B185)</f>
        <v>8836800</v>
      </c>
      <c r="S185" s="4">
        <f ca="1">_xll.DBRW($B$1,$B$2,$B$7,$B$3,$B$4,$B$5,$F185,$B$6,S$10,$A185,$B185)</f>
        <v>9131360</v>
      </c>
      <c r="T185" s="4">
        <f ca="1">_xll.DBRW($B$1,$B$2,$B$7,$B$3,$B$4,$B$5,$F185,$B$6,T$10,$A185,$B185)</f>
        <v>9131360</v>
      </c>
      <c r="U185" s="4">
        <f ca="1">_xll.DBRW($B$1,$B$2,$B$7,$B$3,$B$4,$B$5,$F185,$B$6,U$10,$A185,$B185)</f>
        <v>8247680</v>
      </c>
      <c r="V185" s="4">
        <f ca="1">_xll.DBRW($B$1,$B$2,$B$7,$B$3,$B$4,$B$5,$F185,$B$6,V$10,$A185,$B185)</f>
        <v>9131360</v>
      </c>
      <c r="W185" s="4">
        <f ca="1">_xll.DBRW($B$1,$B$2,$B$7,$B$3,$B$4,$B$5,$F185,$B$6,W$10,$A185,$B185)</f>
        <v>8836800</v>
      </c>
      <c r="X185" s="4">
        <f ca="1">_xll.DBRW($B$1,$B$2,$B$7,$B$3,$B$4,$B$5,$F185,$B$6,X$10,$A185,$B185)</f>
        <v>9131360</v>
      </c>
      <c r="Y185" s="4">
        <f ca="1">_xll.DBRW($B$1,$B$2,$B$7,$B$3,$B$4,$B$5,$F185,$B$6,Y$10,$A185,$B185)</f>
        <v>8836800</v>
      </c>
      <c r="Z185" s="4">
        <f ca="1">_xll.DBRW($B$1,$B$2,$B$7,$B$3,$B$4,$B$5,$F185,$B$6,Z$10,$A185,$B185)</f>
        <v>9131360</v>
      </c>
      <c r="AA185" s="4">
        <f ca="1">_xll.DBRW($B$1,$B$2,$B$7,$B$3,$B$4,$B$5,$F185,$B$6,AA$10,$A185,$B185)</f>
        <v>9131360</v>
      </c>
      <c r="AB185" s="4">
        <f ca="1">_xll.DBRW($B$1,$B$2,$B$7,$B$3,$B$4,$B$5,$F185,$B$6,AB$10,$A185,$B185)</f>
        <v>8836800</v>
      </c>
      <c r="AC185" s="4">
        <f ca="1">_xll.DBRW($B$1,$B$2,$B$7,$B$3,$B$4,$B$5,$F185,$B$6,AC$10,$A185,$B185)</f>
        <v>9131360</v>
      </c>
      <c r="AD185" s="4">
        <f ca="1">_xll.DBRW($B$1,$B$2,$B$7,$B$3,$B$4,$B$5,$F185,$B$6,AD$10,$A185,$B185)</f>
        <v>8836800</v>
      </c>
      <c r="AE185" s="4">
        <f ca="1">_xll.DBRW($B$1,$B$2,$B$7,$B$3,$B$4,$B$5,$F185,$B$6,AE$10,$A185,$B185)</f>
        <v>9131360</v>
      </c>
    </row>
    <row r="186" spans="1:31">
      <c r="A186" s="1" t="s">
        <v>152</v>
      </c>
      <c r="B186" s="5" t="s">
        <v>47</v>
      </c>
      <c r="C186" s="5" t="s">
        <v>48</v>
      </c>
      <c r="D186" s="5" t="s">
        <v>49</v>
      </c>
      <c r="E186" s="5" t="s">
        <v>21</v>
      </c>
      <c r="F186" s="5" t="s">
        <v>24</v>
      </c>
      <c r="G186" s="6"/>
      <c r="H186" s="6"/>
      <c r="I186" s="6"/>
      <c r="J186" s="6"/>
      <c r="K186" s="6"/>
      <c r="L186" s="4">
        <f ca="1">_xll.DBRW($B$1,$B$2,$B$7,$B$3,$B$4,$B$5,$F186,$B$6,L$10,$A186,$B186)</f>
        <v>9131360</v>
      </c>
      <c r="M186" s="4">
        <f ca="1">_xll.DBRW($B$1,$B$2,$B$7,$B$3,$B$4,$B$5,$F186,$B$6,M$10,$A186,$B186)</f>
        <v>8836800</v>
      </c>
      <c r="N186" s="4">
        <f ca="1">_xll.DBRW($B$1,$B$2,$B$7,$B$3,$B$4,$B$5,$F186,$B$6,N$10,$A186,$B186)</f>
        <v>9131360</v>
      </c>
      <c r="O186" s="4">
        <f ca="1">_xll.DBRW($B$1,$B$2,$B$7,$B$3,$B$4,$B$5,$F186,$B$6,O$10,$A186,$B186)</f>
        <v>9131360</v>
      </c>
      <c r="P186" s="4">
        <f ca="1">_xll.DBRW($B$1,$B$2,$B$7,$B$3,$B$4,$B$5,$F186,$B$6,P$10,$A186,$B186)</f>
        <v>8836800</v>
      </c>
      <c r="Q186" s="4">
        <f ca="1">_xll.DBRW($B$1,$B$2,$B$7,$B$3,$B$4,$B$5,$F186,$B$6,Q$10,$A186,$B186)</f>
        <v>9131360</v>
      </c>
      <c r="R186" s="4">
        <f ca="1">_xll.DBRW($B$1,$B$2,$B$7,$B$3,$B$4,$B$5,$F186,$B$6,R$10,$A186,$B186)</f>
        <v>8836800</v>
      </c>
      <c r="S186" s="4">
        <f ca="1">_xll.DBRW($B$1,$B$2,$B$7,$B$3,$B$4,$B$5,$F186,$B$6,S$10,$A186,$B186)</f>
        <v>9131360</v>
      </c>
      <c r="T186" s="4">
        <f ca="1">_xll.DBRW($B$1,$B$2,$B$7,$B$3,$B$4,$B$5,$F186,$B$6,T$10,$A186,$B186)</f>
        <v>9131360</v>
      </c>
      <c r="U186" s="4">
        <f ca="1">_xll.DBRW($B$1,$B$2,$B$7,$B$3,$B$4,$B$5,$F186,$B$6,U$10,$A186,$B186)</f>
        <v>8247680</v>
      </c>
      <c r="V186" s="4">
        <f ca="1">_xll.DBRW($B$1,$B$2,$B$7,$B$3,$B$4,$B$5,$F186,$B$6,V$10,$A186,$B186)</f>
        <v>9131360</v>
      </c>
      <c r="W186" s="4">
        <f ca="1">_xll.DBRW($B$1,$B$2,$B$7,$B$3,$B$4,$B$5,$F186,$B$6,W$10,$A186,$B186)</f>
        <v>8836800</v>
      </c>
      <c r="X186" s="4">
        <f ca="1">_xll.DBRW($B$1,$B$2,$B$7,$B$3,$B$4,$B$5,$F186,$B$6,X$10,$A186,$B186)</f>
        <v>9131360</v>
      </c>
      <c r="Y186" s="4">
        <f ca="1">_xll.DBRW($B$1,$B$2,$B$7,$B$3,$B$4,$B$5,$F186,$B$6,Y$10,$A186,$B186)</f>
        <v>8836800</v>
      </c>
      <c r="Z186" s="4">
        <f ca="1">_xll.DBRW($B$1,$B$2,$B$7,$B$3,$B$4,$B$5,$F186,$B$6,Z$10,$A186,$B186)</f>
        <v>9131360</v>
      </c>
      <c r="AA186" s="4">
        <f ca="1">_xll.DBRW($B$1,$B$2,$B$7,$B$3,$B$4,$B$5,$F186,$B$6,AA$10,$A186,$B186)</f>
        <v>9131360</v>
      </c>
      <c r="AB186" s="4">
        <f ca="1">_xll.DBRW($B$1,$B$2,$B$7,$B$3,$B$4,$B$5,$F186,$B$6,AB$10,$A186,$B186)</f>
        <v>8836800</v>
      </c>
      <c r="AC186" s="4">
        <f ca="1">_xll.DBRW($B$1,$B$2,$B$7,$B$3,$B$4,$B$5,$F186,$B$6,AC$10,$A186,$B186)</f>
        <v>8836800</v>
      </c>
      <c r="AD186" s="4">
        <f ca="1">_xll.DBRW($B$1,$B$2,$B$7,$B$3,$B$4,$B$5,$F186,$B$6,AD$10,$A186,$B186)</f>
        <v>8836800</v>
      </c>
      <c r="AE186" s="4">
        <f ca="1">_xll.DBRW($B$1,$B$2,$B$7,$B$3,$B$4,$B$5,$F186,$B$6,AE$10,$A186,$B186)</f>
        <v>9131360</v>
      </c>
    </row>
    <row r="187" spans="1:31">
      <c r="A187" s="1" t="s">
        <v>152</v>
      </c>
      <c r="B187" s="5" t="s">
        <v>220</v>
      </c>
      <c r="C187" s="5" t="s">
        <v>166</v>
      </c>
      <c r="D187" s="5" t="s">
        <v>21</v>
      </c>
      <c r="E187" s="5" t="s">
        <v>31</v>
      </c>
      <c r="F187" s="5" t="s">
        <v>24</v>
      </c>
      <c r="G187" s="6"/>
      <c r="H187" s="6"/>
      <c r="I187" s="6"/>
      <c r="J187" s="6"/>
      <c r="K187" s="6"/>
      <c r="L187" s="4">
        <f ca="1">_xll.DBRW($B$1,$B$2,$B$7,$B$3,$B$4,$B$5,$F187,$B$6,L$10,$A187,$B187)</f>
        <v>7723380</v>
      </c>
      <c r="M187" s="4">
        <f ca="1">_xll.DBRW($B$1,$B$2,$B$7,$B$3,$B$4,$B$5,$F187,$B$6,M$10,$A187,$B187)</f>
        <v>7429156</v>
      </c>
      <c r="N187" s="4">
        <f ca="1">_xll.DBRW($B$1,$B$2,$B$7,$B$3,$B$4,$B$5,$F187,$B$6,N$10,$A187,$B187)</f>
        <v>7754904</v>
      </c>
      <c r="O187" s="4">
        <f ca="1">_xll.DBRW($B$1,$B$2,$B$7,$B$3,$B$4,$B$5,$F187,$B$6,O$10,$A187,$B187)</f>
        <v>7670840</v>
      </c>
      <c r="P187" s="4">
        <f ca="1">_xll.DBRW($B$1,$B$2,$B$7,$B$3,$B$4,$B$5,$F187,$B$6,P$10,$A187,$B187)</f>
        <v>7292552</v>
      </c>
      <c r="Q187" s="4">
        <f ca="1">_xll.DBRW($B$1,$B$2,$B$7,$B$3,$B$4,$B$5,$F187,$B$6,Q$10,$A187,$B187)</f>
        <v>6304800</v>
      </c>
      <c r="R187" s="4">
        <f ca="1">_xll.DBRW($B$1,$B$2,$B$7,$B$3,$B$4,$B$5,$F187,$B$6,R$10,$A187,$B187)</f>
        <v>0</v>
      </c>
      <c r="S187" s="4">
        <f ca="1">_xll.DBRW($B$1,$B$2,$B$7,$B$3,$B$4,$B$5,$F187,$B$6,S$10,$A187,$B187)</f>
        <v>0</v>
      </c>
      <c r="T187" s="4">
        <f ca="1">_xll.DBRW($B$1,$B$2,$B$7,$B$3,$B$4,$B$5,$F187,$B$6,T$10,$A187,$B187)</f>
        <v>0</v>
      </c>
      <c r="U187" s="4">
        <f ca="1">_xll.DBRW($B$1,$B$2,$B$7,$B$3,$B$4,$B$5,$F187,$B$6,U$10,$A187,$B187)</f>
        <v>0</v>
      </c>
      <c r="V187" s="4">
        <f ca="1">_xll.DBRW($B$1,$B$2,$B$7,$B$3,$B$4,$B$5,$F187,$B$6,V$10,$A187,$B187)</f>
        <v>493876</v>
      </c>
      <c r="W187" s="4">
        <f ca="1">_xll.DBRW($B$1,$B$2,$B$7,$B$3,$B$4,$B$5,$F187,$B$6,W$10,$A187,$B187)</f>
        <v>7345092</v>
      </c>
      <c r="X187" s="4">
        <f ca="1">_xll.DBRW($B$1,$B$2,$B$7,$B$3,$B$4,$B$5,$F187,$B$6,X$10,$A187,$B187)</f>
        <v>7576268</v>
      </c>
      <c r="Y187" s="4">
        <f ca="1">_xll.DBRW($B$1,$B$2,$B$7,$B$3,$B$4,$B$5,$F187,$B$6,Y$10,$A187,$B187)</f>
        <v>7345092</v>
      </c>
      <c r="Z187" s="4">
        <f ca="1">_xll.DBRW($B$1,$B$2,$B$7,$B$3,$B$4,$B$5,$F187,$B$6,Z$10,$A187,$B187)</f>
        <v>7586776</v>
      </c>
      <c r="AA187" s="4">
        <f ca="1">_xll.DBRW($B$1,$B$2,$B$7,$B$3,$B$4,$B$5,$F187,$B$6,AA$10,$A187,$B187)</f>
        <v>7586776</v>
      </c>
      <c r="AB187" s="4">
        <f ca="1">_xll.DBRW($B$1,$B$2,$B$7,$B$3,$B$4,$B$5,$F187,$B$6,AB$10,$A187,$B187)</f>
        <v>7334584</v>
      </c>
      <c r="AC187" s="4">
        <f ca="1">_xll.DBRW($B$1,$B$2,$B$7,$B$3,$B$4,$B$5,$F187,$B$6,AC$10,$A187,$B187)</f>
        <v>6115656</v>
      </c>
      <c r="AD187" s="4">
        <f ca="1">_xll.DBRW($B$1,$B$2,$B$7,$B$3,$B$4,$B$5,$F187,$B$6,AD$10,$A187,$B187)</f>
        <v>0</v>
      </c>
      <c r="AE187" s="4">
        <f ca="1">_xll.DBRW($B$1,$B$2,$B$7,$B$3,$B$4,$B$5,$F187,$B$6,AE$10,$A187,$B187)</f>
        <v>0</v>
      </c>
    </row>
    <row r="188" spans="1:31">
      <c r="A188" s="1" t="s">
        <v>152</v>
      </c>
      <c r="B188" s="5" t="s">
        <v>32</v>
      </c>
      <c r="C188" s="5" t="s">
        <v>30</v>
      </c>
      <c r="D188" s="5" t="s">
        <v>31</v>
      </c>
      <c r="E188" s="5" t="s">
        <v>21</v>
      </c>
      <c r="F188" s="5" t="s">
        <v>24</v>
      </c>
      <c r="G188" s="6"/>
      <c r="H188" s="6"/>
      <c r="I188" s="6"/>
      <c r="J188" s="6"/>
      <c r="K188" s="6"/>
      <c r="L188" s="4">
        <f ca="1">_xll.DBRW($B$1,$B$2,$B$7,$B$3,$B$4,$B$5,$F188,$B$6,L$10,$A188,$B188)</f>
        <v>7723380</v>
      </c>
      <c r="M188" s="4">
        <f ca="1">_xll.DBRW($B$1,$B$2,$B$7,$B$3,$B$4,$B$5,$F188,$B$6,M$10,$A188,$B188)</f>
        <v>7429156</v>
      </c>
      <c r="N188" s="4">
        <f ca="1">_xll.DBRW($B$1,$B$2,$B$7,$B$3,$B$4,$B$5,$F188,$B$6,N$10,$A188,$B188)</f>
        <v>7754904</v>
      </c>
      <c r="O188" s="4">
        <f ca="1">_xll.DBRW($B$1,$B$2,$B$7,$B$3,$B$4,$B$5,$F188,$B$6,O$10,$A188,$B188)</f>
        <v>7670840</v>
      </c>
      <c r="P188" s="4">
        <f ca="1">_xll.DBRW($B$1,$B$2,$B$7,$B$3,$B$4,$B$5,$F188,$B$6,P$10,$A188,$B188)</f>
        <v>7292552</v>
      </c>
      <c r="Q188" s="4">
        <f ca="1">_xll.DBRW($B$1,$B$2,$B$7,$B$3,$B$4,$B$5,$F188,$B$6,Q$10,$A188,$B188)</f>
        <v>6304800</v>
      </c>
      <c r="R188" s="4">
        <f ca="1">_xll.DBRW($B$1,$B$2,$B$7,$B$3,$B$4,$B$5,$F188,$B$6,R$10,$A188,$B188)</f>
        <v>0</v>
      </c>
      <c r="S188" s="4">
        <f ca="1">_xll.DBRW($B$1,$B$2,$B$7,$B$3,$B$4,$B$5,$F188,$B$6,S$10,$A188,$B188)</f>
        <v>0</v>
      </c>
      <c r="T188" s="4">
        <f ca="1">_xll.DBRW($B$1,$B$2,$B$7,$B$3,$B$4,$B$5,$F188,$B$6,T$10,$A188,$B188)</f>
        <v>0</v>
      </c>
      <c r="U188" s="4">
        <f ca="1">_xll.DBRW($B$1,$B$2,$B$7,$B$3,$B$4,$B$5,$F188,$B$6,U$10,$A188,$B188)</f>
        <v>0</v>
      </c>
      <c r="V188" s="4">
        <f ca="1">_xll.DBRW($B$1,$B$2,$B$7,$B$3,$B$4,$B$5,$F188,$B$6,V$10,$A188,$B188)</f>
        <v>493876</v>
      </c>
      <c r="W188" s="4">
        <f ca="1">_xll.DBRW($B$1,$B$2,$B$7,$B$3,$B$4,$B$5,$F188,$B$6,W$10,$A188,$B188)</f>
        <v>7345092</v>
      </c>
      <c r="X188" s="4">
        <f ca="1">_xll.DBRW($B$1,$B$2,$B$7,$B$3,$B$4,$B$5,$F188,$B$6,X$10,$A188,$B188)</f>
        <v>7576268</v>
      </c>
      <c r="Y188" s="4">
        <f ca="1">_xll.DBRW($B$1,$B$2,$B$7,$B$3,$B$4,$B$5,$F188,$B$6,Y$10,$A188,$B188)</f>
        <v>7345092</v>
      </c>
      <c r="Z188" s="4">
        <f ca="1">_xll.DBRW($B$1,$B$2,$B$7,$B$3,$B$4,$B$5,$F188,$B$6,Z$10,$A188,$B188)</f>
        <v>7586776</v>
      </c>
      <c r="AA188" s="4">
        <f ca="1">_xll.DBRW($B$1,$B$2,$B$7,$B$3,$B$4,$B$5,$F188,$B$6,AA$10,$A188,$B188)</f>
        <v>7586776</v>
      </c>
      <c r="AB188" s="4">
        <f ca="1">_xll.DBRW($B$1,$B$2,$B$7,$B$3,$B$4,$B$5,$F188,$B$6,AB$10,$A188,$B188)</f>
        <v>7334584</v>
      </c>
      <c r="AC188" s="4">
        <f ca="1">_xll.DBRW($B$1,$B$2,$B$7,$B$3,$B$4,$B$5,$F188,$B$6,AC$10,$A188,$B188)</f>
        <v>5873972</v>
      </c>
      <c r="AD188" s="4">
        <f ca="1">_xll.DBRW($B$1,$B$2,$B$7,$B$3,$B$4,$B$5,$F188,$B$6,AD$10,$A188,$B188)</f>
        <v>0</v>
      </c>
      <c r="AE188" s="4">
        <f ca="1">_xll.DBRW($B$1,$B$2,$B$7,$B$3,$B$4,$B$5,$F188,$B$6,AE$10,$A188,$B188)</f>
        <v>0</v>
      </c>
    </row>
    <row r="189" spans="1:31">
      <c r="A189" s="1" t="s">
        <v>152</v>
      </c>
      <c r="B189" s="5" t="s">
        <v>221</v>
      </c>
      <c r="C189" s="5" t="s">
        <v>193</v>
      </c>
      <c r="D189" s="5" t="s">
        <v>21</v>
      </c>
      <c r="E189" s="5" t="s">
        <v>194</v>
      </c>
      <c r="F189" s="5" t="s">
        <v>24</v>
      </c>
      <c r="G189" s="6"/>
      <c r="H189" s="6"/>
      <c r="I189" s="6"/>
      <c r="J189" s="6"/>
      <c r="K189" s="6"/>
      <c r="L189" s="4">
        <f ca="1">_xll.DBRW($B$1,$B$2,$B$7,$B$3,$B$4,$B$5,$F189,$B$6,L$10,$A189,$B189)</f>
        <v>2389590</v>
      </c>
      <c r="M189" s="4">
        <f ca="1">_xll.DBRW($B$1,$B$2,$B$7,$B$3,$B$4,$B$5,$F189,$B$6,M$10,$A189,$B189)</f>
        <v>2124080</v>
      </c>
      <c r="N189" s="4">
        <f ca="1">_xll.DBRW($B$1,$B$2,$B$7,$B$3,$B$4,$B$5,$F189,$B$6,N$10,$A189,$B189)</f>
        <v>2389590</v>
      </c>
      <c r="O189" s="4">
        <f ca="1">_xll.DBRW($B$1,$B$2,$B$7,$B$3,$B$4,$B$5,$F189,$B$6,O$10,$A189,$B189)</f>
        <v>2389590</v>
      </c>
      <c r="P189" s="4">
        <f ca="1">_xll.DBRW($B$1,$B$2,$B$7,$B$3,$B$4,$B$5,$F189,$B$6,P$10,$A189,$B189)</f>
        <v>2124080</v>
      </c>
      <c r="Q189" s="4">
        <f ca="1">_xll.DBRW($B$1,$B$2,$B$7,$B$3,$B$4,$B$5,$F189,$B$6,Q$10,$A189,$B189)</f>
        <v>2389590</v>
      </c>
      <c r="R189" s="4">
        <f ca="1">_xll.DBRW($B$1,$B$2,$B$7,$B$3,$B$4,$B$5,$F189,$B$6,R$10,$A189,$B189)</f>
        <v>2389590</v>
      </c>
      <c r="S189" s="4">
        <f ca="1">_xll.DBRW($B$1,$B$2,$B$7,$B$3,$B$4,$B$5,$F189,$B$6,S$10,$A189,$B189)</f>
        <v>2124080</v>
      </c>
      <c r="T189" s="4">
        <f ca="1">_xll.DBRW($B$1,$B$2,$B$7,$B$3,$B$4,$B$5,$F189,$B$6,T$10,$A189,$B189)</f>
        <v>2389590</v>
      </c>
      <c r="U189" s="4">
        <f ca="1">_xll.DBRW($B$1,$B$2,$B$7,$B$3,$B$4,$B$5,$F189,$B$6,U$10,$A189,$B189)</f>
        <v>2124080</v>
      </c>
      <c r="V189" s="4">
        <f ca="1">_xll.DBRW($B$1,$B$2,$B$7,$B$3,$B$4,$B$5,$F189,$B$6,V$10,$A189,$B189)</f>
        <v>2389590</v>
      </c>
      <c r="W189" s="4">
        <f ca="1">_xll.DBRW($B$1,$B$2,$B$7,$B$3,$B$4,$B$5,$F189,$B$6,W$10,$A189,$B189)</f>
        <v>2389590</v>
      </c>
      <c r="X189" s="4">
        <f ca="1">_xll.DBRW($B$1,$B$2,$B$7,$B$3,$B$4,$B$5,$F189,$B$6,X$10,$A189,$B189)</f>
        <v>2389590</v>
      </c>
      <c r="Y189" s="4">
        <f ca="1">_xll.DBRW($B$1,$B$2,$B$7,$B$3,$B$4,$B$5,$F189,$B$6,Y$10,$A189,$B189)</f>
        <v>2124080</v>
      </c>
      <c r="Z189" s="4">
        <f ca="1">_xll.DBRW($B$1,$B$2,$B$7,$B$3,$B$4,$B$5,$F189,$B$6,Z$10,$A189,$B189)</f>
        <v>2655100</v>
      </c>
      <c r="AA189" s="4">
        <f ca="1">_xll.DBRW($B$1,$B$2,$B$7,$B$3,$B$4,$B$5,$F189,$B$6,AA$10,$A189,$B189)</f>
        <v>2124080</v>
      </c>
      <c r="AB189" s="4">
        <f ca="1">_xll.DBRW($B$1,$B$2,$B$7,$B$3,$B$4,$B$5,$F189,$B$6,AB$10,$A189,$B189)</f>
        <v>2389590</v>
      </c>
      <c r="AC189" s="4">
        <f ca="1">_xll.DBRW($B$1,$B$2,$B$7,$B$3,$B$4,$B$5,$F189,$B$6,AC$10,$A189,$B189)</f>
        <v>2124080</v>
      </c>
      <c r="AD189" s="4">
        <f ca="1">_xll.DBRW($B$1,$B$2,$B$7,$B$3,$B$4,$B$5,$F189,$B$6,AD$10,$A189,$B189)</f>
        <v>2389590</v>
      </c>
      <c r="AE189" s="4">
        <f ca="1">_xll.DBRW($B$1,$B$2,$B$7,$B$3,$B$4,$B$5,$F189,$B$6,AE$10,$A189,$B189)</f>
        <v>2389590</v>
      </c>
    </row>
    <row r="190" spans="1:31">
      <c r="A190" s="1" t="s">
        <v>152</v>
      </c>
      <c r="B190" s="5" t="s">
        <v>222</v>
      </c>
      <c r="C190" s="5" t="s">
        <v>196</v>
      </c>
      <c r="D190" s="5" t="s">
        <v>194</v>
      </c>
      <c r="E190" s="5" t="s">
        <v>21</v>
      </c>
      <c r="F190" s="5" t="s">
        <v>24</v>
      </c>
      <c r="G190" s="6"/>
      <c r="H190" s="6"/>
      <c r="I190" s="6"/>
      <c r="J190" s="6"/>
      <c r="K190" s="6"/>
      <c r="L190" s="4">
        <f ca="1">_xll.DBRW($B$1,$B$2,$B$7,$B$3,$B$4,$B$5,$F190,$B$6,L$10,$A190,$B190)</f>
        <v>2389590</v>
      </c>
      <c r="M190" s="4">
        <f ca="1">_xll.DBRW($B$1,$B$2,$B$7,$B$3,$B$4,$B$5,$F190,$B$6,M$10,$A190,$B190)</f>
        <v>2124080</v>
      </c>
      <c r="N190" s="4">
        <f ca="1">_xll.DBRW($B$1,$B$2,$B$7,$B$3,$B$4,$B$5,$F190,$B$6,N$10,$A190,$B190)</f>
        <v>2389590</v>
      </c>
      <c r="O190" s="4">
        <f ca="1">_xll.DBRW($B$1,$B$2,$B$7,$B$3,$B$4,$B$5,$F190,$B$6,O$10,$A190,$B190)</f>
        <v>2389590</v>
      </c>
      <c r="P190" s="4">
        <f ca="1">_xll.DBRW($B$1,$B$2,$B$7,$B$3,$B$4,$B$5,$F190,$B$6,P$10,$A190,$B190)</f>
        <v>2124080</v>
      </c>
      <c r="Q190" s="4">
        <f ca="1">_xll.DBRW($B$1,$B$2,$B$7,$B$3,$B$4,$B$5,$F190,$B$6,Q$10,$A190,$B190)</f>
        <v>2389590</v>
      </c>
      <c r="R190" s="4">
        <f ca="1">_xll.DBRW($B$1,$B$2,$B$7,$B$3,$B$4,$B$5,$F190,$B$6,R$10,$A190,$B190)</f>
        <v>2389590</v>
      </c>
      <c r="S190" s="4">
        <f ca="1">_xll.DBRW($B$1,$B$2,$B$7,$B$3,$B$4,$B$5,$F190,$B$6,S$10,$A190,$B190)</f>
        <v>2124080</v>
      </c>
      <c r="T190" s="4">
        <f ca="1">_xll.DBRW($B$1,$B$2,$B$7,$B$3,$B$4,$B$5,$F190,$B$6,T$10,$A190,$B190)</f>
        <v>2389590</v>
      </c>
      <c r="U190" s="4">
        <f ca="1">_xll.DBRW($B$1,$B$2,$B$7,$B$3,$B$4,$B$5,$F190,$B$6,U$10,$A190,$B190)</f>
        <v>2124080</v>
      </c>
      <c r="V190" s="4">
        <f ca="1">_xll.DBRW($B$1,$B$2,$B$7,$B$3,$B$4,$B$5,$F190,$B$6,V$10,$A190,$B190)</f>
        <v>2389590</v>
      </c>
      <c r="W190" s="4">
        <f ca="1">_xll.DBRW($B$1,$B$2,$B$7,$B$3,$B$4,$B$5,$F190,$B$6,W$10,$A190,$B190)</f>
        <v>2389590</v>
      </c>
      <c r="X190" s="4">
        <f ca="1">_xll.DBRW($B$1,$B$2,$B$7,$B$3,$B$4,$B$5,$F190,$B$6,X$10,$A190,$B190)</f>
        <v>2389590</v>
      </c>
      <c r="Y190" s="4">
        <f ca="1">_xll.DBRW($B$1,$B$2,$B$7,$B$3,$B$4,$B$5,$F190,$B$6,Y$10,$A190,$B190)</f>
        <v>2124080</v>
      </c>
      <c r="Z190" s="4">
        <f ca="1">_xll.DBRW($B$1,$B$2,$B$7,$B$3,$B$4,$B$5,$F190,$B$6,Z$10,$A190,$B190)</f>
        <v>2655100</v>
      </c>
      <c r="AA190" s="4">
        <f ca="1">_xll.DBRW($B$1,$B$2,$B$7,$B$3,$B$4,$B$5,$F190,$B$6,AA$10,$A190,$B190)</f>
        <v>2124080</v>
      </c>
      <c r="AB190" s="4">
        <f ca="1">_xll.DBRW($B$1,$B$2,$B$7,$B$3,$B$4,$B$5,$F190,$B$6,AB$10,$A190,$B190)</f>
        <v>2389590</v>
      </c>
      <c r="AC190" s="4">
        <f ca="1">_xll.DBRW($B$1,$B$2,$B$7,$B$3,$B$4,$B$5,$F190,$B$6,AC$10,$A190,$B190)</f>
        <v>2124080</v>
      </c>
      <c r="AD190" s="4">
        <f ca="1">_xll.DBRW($B$1,$B$2,$B$7,$B$3,$B$4,$B$5,$F190,$B$6,AD$10,$A190,$B190)</f>
        <v>2389590</v>
      </c>
      <c r="AE190" s="4">
        <f ca="1">_xll.DBRW($B$1,$B$2,$B$7,$B$3,$B$4,$B$5,$F190,$B$6,AE$10,$A190,$B190)</f>
        <v>2124080</v>
      </c>
    </row>
    <row r="191" spans="1:31">
      <c r="A191" s="1" t="s">
        <v>152</v>
      </c>
      <c r="B191" s="5" t="s">
        <v>223</v>
      </c>
      <c r="C191" s="5" t="s">
        <v>193</v>
      </c>
      <c r="D191" s="5" t="s">
        <v>21</v>
      </c>
      <c r="E191" s="5" t="s">
        <v>194</v>
      </c>
      <c r="F191" s="5" t="s">
        <v>24</v>
      </c>
      <c r="G191" s="6"/>
      <c r="H191" s="6"/>
      <c r="I191" s="6"/>
      <c r="J191" s="6"/>
      <c r="K191" s="6"/>
      <c r="L191" s="4">
        <f ca="1">_xll.DBRW($B$1,$B$2,$B$7,$B$3,$B$4,$B$5,$F191,$B$6,L$10,$A191,$B191)</f>
        <v>3437980</v>
      </c>
      <c r="M191" s="4">
        <f ca="1">_xll.DBRW($B$1,$B$2,$B$7,$B$3,$B$4,$B$5,$F191,$B$6,M$10,$A191,$B191)</f>
        <v>2909060</v>
      </c>
      <c r="N191" s="4">
        <f ca="1">_xll.DBRW($B$1,$B$2,$B$7,$B$3,$B$4,$B$5,$F191,$B$6,N$10,$A191,$B191)</f>
        <v>3437980</v>
      </c>
      <c r="O191" s="4">
        <f ca="1">_xll.DBRW($B$1,$B$2,$B$7,$B$3,$B$4,$B$5,$F191,$B$6,O$10,$A191,$B191)</f>
        <v>3437980</v>
      </c>
      <c r="P191" s="4">
        <f ca="1">_xll.DBRW($B$1,$B$2,$B$7,$B$3,$B$4,$B$5,$F191,$B$6,P$10,$A191,$B191)</f>
        <v>3437980</v>
      </c>
      <c r="Q191" s="4">
        <f ca="1">_xll.DBRW($B$1,$B$2,$B$7,$B$3,$B$4,$B$5,$F191,$B$6,Q$10,$A191,$B191)</f>
        <v>2644600</v>
      </c>
      <c r="R191" s="4">
        <f ca="1">_xll.DBRW($B$1,$B$2,$B$7,$B$3,$B$4,$B$5,$F191,$B$6,R$10,$A191,$B191)</f>
        <v>2380140</v>
      </c>
      <c r="S191" s="4">
        <f ca="1">_xll.DBRW($B$1,$B$2,$B$7,$B$3,$B$4,$B$5,$F191,$B$6,S$10,$A191,$B191)</f>
        <v>2380140</v>
      </c>
      <c r="T191" s="4">
        <f ca="1">_xll.DBRW($B$1,$B$2,$B$7,$B$3,$B$4,$B$5,$F191,$B$6,T$10,$A191,$B191)</f>
        <v>2380140</v>
      </c>
      <c r="U191" s="4">
        <f ca="1">_xll.DBRW($B$1,$B$2,$B$7,$B$3,$B$4,$B$5,$F191,$B$6,U$10,$A191,$B191)</f>
        <v>2115680</v>
      </c>
      <c r="V191" s="4">
        <f ca="1">_xll.DBRW($B$1,$B$2,$B$7,$B$3,$B$4,$B$5,$F191,$B$6,V$10,$A191,$B191)</f>
        <v>2115680</v>
      </c>
      <c r="W191" s="4">
        <f ca="1">_xll.DBRW($B$1,$B$2,$B$7,$B$3,$B$4,$B$5,$F191,$B$6,W$10,$A191,$B191)</f>
        <v>1322300</v>
      </c>
      <c r="X191" s="4">
        <f ca="1">_xll.DBRW($B$1,$B$2,$B$7,$B$3,$B$4,$B$5,$F191,$B$6,X$10,$A191,$B191)</f>
        <v>1057840</v>
      </c>
      <c r="Y191" s="4">
        <f ca="1">_xll.DBRW($B$1,$B$2,$B$7,$B$3,$B$4,$B$5,$F191,$B$6,Y$10,$A191,$B191)</f>
        <v>1057840</v>
      </c>
      <c r="Z191" s="4">
        <f ca="1">_xll.DBRW($B$1,$B$2,$B$7,$B$3,$B$4,$B$5,$F191,$B$6,Z$10,$A191,$B191)</f>
        <v>1322300</v>
      </c>
      <c r="AA191" s="4">
        <f ca="1">_xll.DBRW($B$1,$B$2,$B$7,$B$3,$B$4,$B$5,$F191,$B$6,AA$10,$A191,$B191)</f>
        <v>1057840</v>
      </c>
      <c r="AB191" s="4">
        <f ca="1">_xll.DBRW($B$1,$B$2,$B$7,$B$3,$B$4,$B$5,$F191,$B$6,AB$10,$A191,$B191)</f>
        <v>1057840</v>
      </c>
      <c r="AC191" s="4">
        <f ca="1">_xll.DBRW($B$1,$B$2,$B$7,$B$3,$B$4,$B$5,$F191,$B$6,AC$10,$A191,$B191)</f>
        <v>1586760</v>
      </c>
      <c r="AD191" s="4">
        <f ca="1">_xll.DBRW($B$1,$B$2,$B$7,$B$3,$B$4,$B$5,$F191,$B$6,AD$10,$A191,$B191)</f>
        <v>2115680</v>
      </c>
      <c r="AE191" s="4">
        <f ca="1">_xll.DBRW($B$1,$B$2,$B$7,$B$3,$B$4,$B$5,$F191,$B$6,AE$10,$A191,$B191)</f>
        <v>2380140</v>
      </c>
    </row>
    <row r="192" spans="1:31">
      <c r="A192" s="1" t="s">
        <v>152</v>
      </c>
      <c r="B192" s="5" t="s">
        <v>224</v>
      </c>
      <c r="C192" s="5" t="s">
        <v>196</v>
      </c>
      <c r="D192" s="5" t="s">
        <v>194</v>
      </c>
      <c r="E192" s="5" t="s">
        <v>21</v>
      </c>
      <c r="F192" s="5" t="s">
        <v>24</v>
      </c>
      <c r="G192" s="6"/>
      <c r="H192" s="6"/>
      <c r="I192" s="6"/>
      <c r="J192" s="6"/>
      <c r="K192" s="6"/>
      <c r="L192" s="4">
        <f ca="1">_xll.DBRW($B$1,$B$2,$B$7,$B$3,$B$4,$B$5,$F192,$B$6,L$10,$A192,$B192)</f>
        <v>3437980</v>
      </c>
      <c r="M192" s="4">
        <f ca="1">_xll.DBRW($B$1,$B$2,$B$7,$B$3,$B$4,$B$5,$F192,$B$6,M$10,$A192,$B192)</f>
        <v>2909060</v>
      </c>
      <c r="N192" s="4">
        <f ca="1">_xll.DBRW($B$1,$B$2,$B$7,$B$3,$B$4,$B$5,$F192,$B$6,N$10,$A192,$B192)</f>
        <v>3437980</v>
      </c>
      <c r="O192" s="4">
        <f ca="1">_xll.DBRW($B$1,$B$2,$B$7,$B$3,$B$4,$B$5,$F192,$B$6,O$10,$A192,$B192)</f>
        <v>3437980</v>
      </c>
      <c r="P192" s="4">
        <f ca="1">_xll.DBRW($B$1,$B$2,$B$7,$B$3,$B$4,$B$5,$F192,$B$6,P$10,$A192,$B192)</f>
        <v>3437980</v>
      </c>
      <c r="Q192" s="4">
        <f ca="1">_xll.DBRW($B$1,$B$2,$B$7,$B$3,$B$4,$B$5,$F192,$B$6,Q$10,$A192,$B192)</f>
        <v>2909060</v>
      </c>
      <c r="R192" s="4">
        <f ca="1">_xll.DBRW($B$1,$B$2,$B$7,$B$3,$B$4,$B$5,$F192,$B$6,R$10,$A192,$B192)</f>
        <v>2380140</v>
      </c>
      <c r="S192" s="4">
        <f ca="1">_xll.DBRW($B$1,$B$2,$B$7,$B$3,$B$4,$B$5,$F192,$B$6,S$10,$A192,$B192)</f>
        <v>2380140</v>
      </c>
      <c r="T192" s="4">
        <f ca="1">_xll.DBRW($B$1,$B$2,$B$7,$B$3,$B$4,$B$5,$F192,$B$6,T$10,$A192,$B192)</f>
        <v>2380140</v>
      </c>
      <c r="U192" s="4">
        <f ca="1">_xll.DBRW($B$1,$B$2,$B$7,$B$3,$B$4,$B$5,$F192,$B$6,U$10,$A192,$B192)</f>
        <v>2115680</v>
      </c>
      <c r="V192" s="4">
        <f ca="1">_xll.DBRW($B$1,$B$2,$B$7,$B$3,$B$4,$B$5,$F192,$B$6,V$10,$A192,$B192)</f>
        <v>2115680</v>
      </c>
      <c r="W192" s="4">
        <f ca="1">_xll.DBRW($B$1,$B$2,$B$7,$B$3,$B$4,$B$5,$F192,$B$6,W$10,$A192,$B192)</f>
        <v>1322300</v>
      </c>
      <c r="X192" s="4">
        <f ca="1">_xll.DBRW($B$1,$B$2,$B$7,$B$3,$B$4,$B$5,$F192,$B$6,X$10,$A192,$B192)</f>
        <v>1057840</v>
      </c>
      <c r="Y192" s="4">
        <f ca="1">_xll.DBRW($B$1,$B$2,$B$7,$B$3,$B$4,$B$5,$F192,$B$6,Y$10,$A192,$B192)</f>
        <v>1057840</v>
      </c>
      <c r="Z192" s="4">
        <f ca="1">_xll.DBRW($B$1,$B$2,$B$7,$B$3,$B$4,$B$5,$F192,$B$6,Z$10,$A192,$B192)</f>
        <v>1322300</v>
      </c>
      <c r="AA192" s="4">
        <f ca="1">_xll.DBRW($B$1,$B$2,$B$7,$B$3,$B$4,$B$5,$F192,$B$6,AA$10,$A192,$B192)</f>
        <v>1057840</v>
      </c>
      <c r="AB192" s="4">
        <f ca="1">_xll.DBRW($B$1,$B$2,$B$7,$B$3,$B$4,$B$5,$F192,$B$6,AB$10,$A192,$B192)</f>
        <v>1057840</v>
      </c>
      <c r="AC192" s="4">
        <f ca="1">_xll.DBRW($B$1,$B$2,$B$7,$B$3,$B$4,$B$5,$F192,$B$6,AC$10,$A192,$B192)</f>
        <v>1586760</v>
      </c>
      <c r="AD192" s="4">
        <f ca="1">_xll.DBRW($B$1,$B$2,$B$7,$B$3,$B$4,$B$5,$F192,$B$6,AD$10,$A192,$B192)</f>
        <v>2115680</v>
      </c>
      <c r="AE192" s="4">
        <f ca="1">_xll.DBRW($B$1,$B$2,$B$7,$B$3,$B$4,$B$5,$F192,$B$6,AE$10,$A192,$B192)</f>
        <v>2380140</v>
      </c>
    </row>
    <row r="193" spans="1:31">
      <c r="A193" s="1" t="s">
        <v>152</v>
      </c>
      <c r="B193" s="5" t="s">
        <v>225</v>
      </c>
      <c r="C193" s="5" t="s">
        <v>226</v>
      </c>
      <c r="D193" s="5" t="s">
        <v>21</v>
      </c>
      <c r="E193" s="5" t="s">
        <v>227</v>
      </c>
      <c r="F193" s="5" t="s">
        <v>24</v>
      </c>
      <c r="G193" s="6"/>
      <c r="H193" s="6"/>
      <c r="I193" s="6"/>
      <c r="J193" s="6"/>
      <c r="K193" s="6"/>
      <c r="L193" s="4">
        <f ca="1">_xll.DBRW($B$1,$B$2,$B$7,$B$3,$B$4,$B$5,$F193,$B$6,L$10,$A193,$B193)</f>
        <v>0</v>
      </c>
      <c r="M193" s="4">
        <f ca="1">_xll.DBRW($B$1,$B$2,$B$7,$B$3,$B$4,$B$5,$F193,$B$6,M$10,$A193,$B193)</f>
        <v>0</v>
      </c>
      <c r="N193" s="4">
        <f ca="1">_xll.DBRW($B$1,$B$2,$B$7,$B$3,$B$4,$B$5,$F193,$B$6,N$10,$A193,$B193)</f>
        <v>0</v>
      </c>
      <c r="O193" s="4">
        <f ca="1">_xll.DBRW($B$1,$B$2,$B$7,$B$3,$B$4,$B$5,$F193,$B$6,O$10,$A193,$B193)</f>
        <v>0</v>
      </c>
      <c r="P193" s="4">
        <f ca="1">_xll.DBRW($B$1,$B$2,$B$7,$B$3,$B$4,$B$5,$F193,$B$6,P$10,$A193,$B193)</f>
        <v>0</v>
      </c>
      <c r="Q193" s="4">
        <f ca="1">_xll.DBRW($B$1,$B$2,$B$7,$B$3,$B$4,$B$5,$F193,$B$6,Q$10,$A193,$B193)</f>
        <v>637192</v>
      </c>
      <c r="R193" s="4">
        <f ca="1">_xll.DBRW($B$1,$B$2,$B$7,$B$3,$B$4,$B$5,$F193,$B$6,R$10,$A193,$B193)</f>
        <v>2548768</v>
      </c>
      <c r="S193" s="4">
        <f ca="1">_xll.DBRW($B$1,$B$2,$B$7,$B$3,$B$4,$B$5,$F193,$B$6,S$10,$A193,$B193)</f>
        <v>0</v>
      </c>
      <c r="T193" s="4">
        <f ca="1">_xll.DBRW($B$1,$B$2,$B$7,$B$3,$B$4,$B$5,$F193,$B$6,T$10,$A193,$B193)</f>
        <v>0</v>
      </c>
      <c r="U193" s="4">
        <f ca="1">_xll.DBRW($B$1,$B$2,$B$7,$B$3,$B$4,$B$5,$F193,$B$6,U$10,$A193,$B193)</f>
        <v>0</v>
      </c>
      <c r="V193" s="4">
        <f ca="1">_xll.DBRW($B$1,$B$2,$B$7,$B$3,$B$4,$B$5,$F193,$B$6,V$10,$A193,$B193)</f>
        <v>0</v>
      </c>
      <c r="W193" s="4">
        <f ca="1">_xll.DBRW($B$1,$B$2,$B$7,$B$3,$B$4,$B$5,$F193,$B$6,W$10,$A193,$B193)</f>
        <v>0</v>
      </c>
      <c r="X193" s="4">
        <f ca="1">_xll.DBRW($B$1,$B$2,$B$7,$B$3,$B$4,$B$5,$F193,$B$6,X$10,$A193,$B193)</f>
        <v>0</v>
      </c>
      <c r="Y193" s="4">
        <f ca="1">_xll.DBRW($B$1,$B$2,$B$7,$B$3,$B$4,$B$5,$F193,$B$6,Y$10,$A193,$B193)</f>
        <v>0</v>
      </c>
      <c r="Z193" s="4">
        <f ca="1">_xll.DBRW($B$1,$B$2,$B$7,$B$3,$B$4,$B$5,$F193,$B$6,Z$10,$A193,$B193)</f>
        <v>0</v>
      </c>
      <c r="AA193" s="4">
        <f ca="1">_xll.DBRW($B$1,$B$2,$B$7,$B$3,$B$4,$B$5,$F193,$B$6,AA$10,$A193,$B193)</f>
        <v>0</v>
      </c>
      <c r="AB193" s="4">
        <f ca="1">_xll.DBRW($B$1,$B$2,$B$7,$B$3,$B$4,$B$5,$F193,$B$6,AB$10,$A193,$B193)</f>
        <v>0</v>
      </c>
      <c r="AC193" s="4">
        <f ca="1">_xll.DBRW($B$1,$B$2,$B$7,$B$3,$B$4,$B$5,$F193,$B$6,AC$10,$A193,$B193)</f>
        <v>0</v>
      </c>
      <c r="AD193" s="4">
        <f ca="1">_xll.DBRW($B$1,$B$2,$B$7,$B$3,$B$4,$B$5,$F193,$B$6,AD$10,$A193,$B193)</f>
        <v>0</v>
      </c>
      <c r="AE193" s="4">
        <f ca="1">_xll.DBRW($B$1,$B$2,$B$7,$B$3,$B$4,$B$5,$F193,$B$6,AE$10,$A193,$B193)</f>
        <v>0</v>
      </c>
    </row>
    <row r="194" spans="1:31">
      <c r="A194" s="1" t="s">
        <v>152</v>
      </c>
      <c r="B194" s="5" t="s">
        <v>228</v>
      </c>
      <c r="C194" s="5" t="s">
        <v>229</v>
      </c>
      <c r="D194" s="5" t="s">
        <v>227</v>
      </c>
      <c r="E194" s="5" t="s">
        <v>21</v>
      </c>
      <c r="F194" s="5" t="s">
        <v>24</v>
      </c>
      <c r="G194" s="6"/>
      <c r="H194" s="6"/>
      <c r="I194" s="6"/>
      <c r="J194" s="6"/>
      <c r="K194" s="6"/>
      <c r="L194" s="4">
        <f ca="1">_xll.DBRW($B$1,$B$2,$B$7,$B$3,$B$4,$B$5,$F194,$B$6,L$10,$A194,$B194)</f>
        <v>0</v>
      </c>
      <c r="M194" s="4">
        <f ca="1">_xll.DBRW($B$1,$B$2,$B$7,$B$3,$B$4,$B$5,$F194,$B$6,M$10,$A194,$B194)</f>
        <v>0</v>
      </c>
      <c r="N194" s="4">
        <f ca="1">_xll.DBRW($B$1,$B$2,$B$7,$B$3,$B$4,$B$5,$F194,$B$6,N$10,$A194,$B194)</f>
        <v>0</v>
      </c>
      <c r="O194" s="4">
        <f ca="1">_xll.DBRW($B$1,$B$2,$B$7,$B$3,$B$4,$B$5,$F194,$B$6,O$10,$A194,$B194)</f>
        <v>0</v>
      </c>
      <c r="P194" s="4">
        <f ca="1">_xll.DBRW($B$1,$B$2,$B$7,$B$3,$B$4,$B$5,$F194,$B$6,P$10,$A194,$B194)</f>
        <v>0</v>
      </c>
      <c r="Q194" s="4">
        <f ca="1">_xll.DBRW($B$1,$B$2,$B$7,$B$3,$B$4,$B$5,$F194,$B$6,Q$10,$A194,$B194)</f>
        <v>637192</v>
      </c>
      <c r="R194" s="4">
        <f ca="1">_xll.DBRW($B$1,$B$2,$B$7,$B$3,$B$4,$B$5,$F194,$B$6,R$10,$A194,$B194)</f>
        <v>2548768</v>
      </c>
      <c r="S194" s="4">
        <f ca="1">_xll.DBRW($B$1,$B$2,$B$7,$B$3,$B$4,$B$5,$F194,$B$6,S$10,$A194,$B194)</f>
        <v>0</v>
      </c>
      <c r="T194" s="4">
        <f ca="1">_xll.DBRW($B$1,$B$2,$B$7,$B$3,$B$4,$B$5,$F194,$B$6,T$10,$A194,$B194)</f>
        <v>0</v>
      </c>
      <c r="U194" s="4">
        <f ca="1">_xll.DBRW($B$1,$B$2,$B$7,$B$3,$B$4,$B$5,$F194,$B$6,U$10,$A194,$B194)</f>
        <v>0</v>
      </c>
      <c r="V194" s="4">
        <f ca="1">_xll.DBRW($B$1,$B$2,$B$7,$B$3,$B$4,$B$5,$F194,$B$6,V$10,$A194,$B194)</f>
        <v>0</v>
      </c>
      <c r="W194" s="4">
        <f ca="1">_xll.DBRW($B$1,$B$2,$B$7,$B$3,$B$4,$B$5,$F194,$B$6,W$10,$A194,$B194)</f>
        <v>0</v>
      </c>
      <c r="X194" s="4">
        <f ca="1">_xll.DBRW($B$1,$B$2,$B$7,$B$3,$B$4,$B$5,$F194,$B$6,X$10,$A194,$B194)</f>
        <v>0</v>
      </c>
      <c r="Y194" s="4">
        <f ca="1">_xll.DBRW($B$1,$B$2,$B$7,$B$3,$B$4,$B$5,$F194,$B$6,Y$10,$A194,$B194)</f>
        <v>0</v>
      </c>
      <c r="Z194" s="4">
        <f ca="1">_xll.DBRW($B$1,$B$2,$B$7,$B$3,$B$4,$B$5,$F194,$B$6,Z$10,$A194,$B194)</f>
        <v>0</v>
      </c>
      <c r="AA194" s="4">
        <f ca="1">_xll.DBRW($B$1,$B$2,$B$7,$B$3,$B$4,$B$5,$F194,$B$6,AA$10,$A194,$B194)</f>
        <v>0</v>
      </c>
      <c r="AB194" s="4">
        <f ca="1">_xll.DBRW($B$1,$B$2,$B$7,$B$3,$B$4,$B$5,$F194,$B$6,AB$10,$A194,$B194)</f>
        <v>0</v>
      </c>
      <c r="AC194" s="4">
        <f ca="1">_xll.DBRW($B$1,$B$2,$B$7,$B$3,$B$4,$B$5,$F194,$B$6,AC$10,$A194,$B194)</f>
        <v>0</v>
      </c>
      <c r="AD194" s="4">
        <f ca="1">_xll.DBRW($B$1,$B$2,$B$7,$B$3,$B$4,$B$5,$F194,$B$6,AD$10,$A194,$B194)</f>
        <v>0</v>
      </c>
      <c r="AE194" s="4">
        <f ca="1">_xll.DBRW($B$1,$B$2,$B$7,$B$3,$B$4,$B$5,$F194,$B$6,AE$10,$A194,$B194)</f>
        <v>0</v>
      </c>
    </row>
    <row r="195" spans="1:31">
      <c r="A195" s="1" t="s">
        <v>152</v>
      </c>
      <c r="B195" s="5" t="s">
        <v>230</v>
      </c>
      <c r="C195" s="5" t="s">
        <v>210</v>
      </c>
      <c r="D195" s="5" t="s">
        <v>21</v>
      </c>
      <c r="E195" s="5" t="s">
        <v>211</v>
      </c>
      <c r="F195" s="5" t="s">
        <v>24</v>
      </c>
      <c r="G195" s="6"/>
      <c r="H195" s="6"/>
      <c r="I195" s="6"/>
      <c r="J195" s="6"/>
      <c r="K195" s="6"/>
      <c r="L195" s="4">
        <f ca="1">_xll.DBRW($B$1,$B$2,$B$7,$B$3,$B$4,$B$5,$F195,$B$6,L$10,$A195,$B195)</f>
        <v>697440</v>
      </c>
      <c r="M195" s="4">
        <f ca="1">_xll.DBRW($B$1,$B$2,$B$7,$B$3,$B$4,$B$5,$F195,$B$6,M$10,$A195,$B195)</f>
        <v>1394880</v>
      </c>
      <c r="N195" s="4">
        <f ca="1">_xll.DBRW($B$1,$B$2,$B$7,$B$3,$B$4,$B$5,$F195,$B$6,N$10,$A195,$B195)</f>
        <v>1394880</v>
      </c>
      <c r="O195" s="4">
        <f ca="1">_xll.DBRW($B$1,$B$2,$B$7,$B$3,$B$4,$B$5,$F195,$B$6,O$10,$A195,$B195)</f>
        <v>1743600</v>
      </c>
      <c r="P195" s="4">
        <f ca="1">_xll.DBRW($B$1,$B$2,$B$7,$B$3,$B$4,$B$5,$F195,$B$6,P$10,$A195,$B195)</f>
        <v>1394880</v>
      </c>
      <c r="Q195" s="4">
        <f ca="1">_xll.DBRW($B$1,$B$2,$B$7,$B$3,$B$4,$B$5,$F195,$B$6,Q$10,$A195,$B195)</f>
        <v>1394880</v>
      </c>
      <c r="R195" s="4">
        <f ca="1">_xll.DBRW($B$1,$B$2,$B$7,$B$3,$B$4,$B$5,$F195,$B$6,R$10,$A195,$B195)</f>
        <v>0</v>
      </c>
      <c r="S195" s="4">
        <f ca="1">_xll.DBRW($B$1,$B$2,$B$7,$B$3,$B$4,$B$5,$F195,$B$6,S$10,$A195,$B195)</f>
        <v>0</v>
      </c>
      <c r="T195" s="4">
        <f ca="1">_xll.DBRW($B$1,$B$2,$B$7,$B$3,$B$4,$B$5,$F195,$B$6,T$10,$A195,$B195)</f>
        <v>0</v>
      </c>
      <c r="U195" s="4">
        <f ca="1">_xll.DBRW($B$1,$B$2,$B$7,$B$3,$B$4,$B$5,$F195,$B$6,U$10,$A195,$B195)</f>
        <v>0</v>
      </c>
      <c r="V195" s="4">
        <f ca="1">_xll.DBRW($B$1,$B$2,$B$7,$B$3,$B$4,$B$5,$F195,$B$6,V$10,$A195,$B195)</f>
        <v>0</v>
      </c>
      <c r="W195" s="4">
        <f ca="1">_xll.DBRW($B$1,$B$2,$B$7,$B$3,$B$4,$B$5,$F195,$B$6,W$10,$A195,$B195)</f>
        <v>1336760</v>
      </c>
      <c r="X195" s="4">
        <f ca="1">_xll.DBRW($B$1,$B$2,$B$7,$B$3,$B$4,$B$5,$F195,$B$6,X$10,$A195,$B195)</f>
        <v>1670950</v>
      </c>
      <c r="Y195" s="4">
        <f ca="1">_xll.DBRW($B$1,$B$2,$B$7,$B$3,$B$4,$B$5,$F195,$B$6,Y$10,$A195,$B195)</f>
        <v>1336760</v>
      </c>
      <c r="Z195" s="4">
        <f ca="1">_xll.DBRW($B$1,$B$2,$B$7,$B$3,$B$4,$B$5,$F195,$B$6,Z$10,$A195,$B195)</f>
        <v>1670950</v>
      </c>
      <c r="AA195" s="4">
        <f ca="1">_xll.DBRW($B$1,$B$2,$B$7,$B$3,$B$4,$B$5,$F195,$B$6,AA$10,$A195,$B195)</f>
        <v>1336760</v>
      </c>
      <c r="AB195" s="4">
        <f ca="1">_xll.DBRW($B$1,$B$2,$B$7,$B$3,$B$4,$B$5,$F195,$B$6,AB$10,$A195,$B195)</f>
        <v>1336760</v>
      </c>
      <c r="AC195" s="4">
        <f ca="1">_xll.DBRW($B$1,$B$2,$B$7,$B$3,$B$4,$B$5,$F195,$B$6,AC$10,$A195,$B195)</f>
        <v>0</v>
      </c>
      <c r="AD195" s="4">
        <f ca="1">_xll.DBRW($B$1,$B$2,$B$7,$B$3,$B$4,$B$5,$F195,$B$6,AD$10,$A195,$B195)</f>
        <v>0</v>
      </c>
      <c r="AE195" s="4">
        <f ca="1">_xll.DBRW($B$1,$B$2,$B$7,$B$3,$B$4,$B$5,$F195,$B$6,AE$10,$A195,$B195)</f>
        <v>0</v>
      </c>
    </row>
    <row r="196" spans="1:31">
      <c r="A196" s="1" t="s">
        <v>152</v>
      </c>
      <c r="B196" s="5" t="s">
        <v>231</v>
      </c>
      <c r="C196" s="5" t="s">
        <v>213</v>
      </c>
      <c r="D196" s="5" t="s">
        <v>211</v>
      </c>
      <c r="E196" s="5" t="s">
        <v>21</v>
      </c>
      <c r="F196" s="5" t="s">
        <v>24</v>
      </c>
      <c r="G196" s="6"/>
      <c r="H196" s="6"/>
      <c r="I196" s="6"/>
      <c r="J196" s="6"/>
      <c r="K196" s="6"/>
      <c r="L196" s="4">
        <f ca="1">_xll.DBRW($B$1,$B$2,$B$7,$B$3,$B$4,$B$5,$F196,$B$6,L$10,$A196,$B196)</f>
        <v>697440</v>
      </c>
      <c r="M196" s="4">
        <f ca="1">_xll.DBRW($B$1,$B$2,$B$7,$B$3,$B$4,$B$5,$F196,$B$6,M$10,$A196,$B196)</f>
        <v>1394880</v>
      </c>
      <c r="N196" s="4">
        <f ca="1">_xll.DBRW($B$1,$B$2,$B$7,$B$3,$B$4,$B$5,$F196,$B$6,N$10,$A196,$B196)</f>
        <v>1394880</v>
      </c>
      <c r="O196" s="4">
        <f ca="1">_xll.DBRW($B$1,$B$2,$B$7,$B$3,$B$4,$B$5,$F196,$B$6,O$10,$A196,$B196)</f>
        <v>1743600</v>
      </c>
      <c r="P196" s="4">
        <f ca="1">_xll.DBRW($B$1,$B$2,$B$7,$B$3,$B$4,$B$5,$F196,$B$6,P$10,$A196,$B196)</f>
        <v>1394880</v>
      </c>
      <c r="Q196" s="4">
        <f ca="1">_xll.DBRW($B$1,$B$2,$B$7,$B$3,$B$4,$B$5,$F196,$B$6,Q$10,$A196,$B196)</f>
        <v>1394880</v>
      </c>
      <c r="R196" s="4">
        <f ca="1">_xll.DBRW($B$1,$B$2,$B$7,$B$3,$B$4,$B$5,$F196,$B$6,R$10,$A196,$B196)</f>
        <v>0</v>
      </c>
      <c r="S196" s="4">
        <f ca="1">_xll.DBRW($B$1,$B$2,$B$7,$B$3,$B$4,$B$5,$F196,$B$6,S$10,$A196,$B196)</f>
        <v>0</v>
      </c>
      <c r="T196" s="4">
        <f ca="1">_xll.DBRW($B$1,$B$2,$B$7,$B$3,$B$4,$B$5,$F196,$B$6,T$10,$A196,$B196)</f>
        <v>0</v>
      </c>
      <c r="U196" s="4">
        <f ca="1">_xll.DBRW($B$1,$B$2,$B$7,$B$3,$B$4,$B$5,$F196,$B$6,U$10,$A196,$B196)</f>
        <v>0</v>
      </c>
      <c r="V196" s="4">
        <f ca="1">_xll.DBRW($B$1,$B$2,$B$7,$B$3,$B$4,$B$5,$F196,$B$6,V$10,$A196,$B196)</f>
        <v>0</v>
      </c>
      <c r="W196" s="4">
        <f ca="1">_xll.DBRW($B$1,$B$2,$B$7,$B$3,$B$4,$B$5,$F196,$B$6,W$10,$A196,$B196)</f>
        <v>1336760</v>
      </c>
      <c r="X196" s="4">
        <f ca="1">_xll.DBRW($B$1,$B$2,$B$7,$B$3,$B$4,$B$5,$F196,$B$6,X$10,$A196,$B196)</f>
        <v>1670950</v>
      </c>
      <c r="Y196" s="4">
        <f ca="1">_xll.DBRW($B$1,$B$2,$B$7,$B$3,$B$4,$B$5,$F196,$B$6,Y$10,$A196,$B196)</f>
        <v>1336760</v>
      </c>
      <c r="Z196" s="4">
        <f ca="1">_xll.DBRW($B$1,$B$2,$B$7,$B$3,$B$4,$B$5,$F196,$B$6,Z$10,$A196,$B196)</f>
        <v>1670950</v>
      </c>
      <c r="AA196" s="4">
        <f ca="1">_xll.DBRW($B$1,$B$2,$B$7,$B$3,$B$4,$B$5,$F196,$B$6,AA$10,$A196,$B196)</f>
        <v>1336760</v>
      </c>
      <c r="AB196" s="4">
        <f ca="1">_xll.DBRW($B$1,$B$2,$B$7,$B$3,$B$4,$B$5,$F196,$B$6,AB$10,$A196,$B196)</f>
        <v>1336760</v>
      </c>
      <c r="AC196" s="4">
        <f ca="1">_xll.DBRW($B$1,$B$2,$B$7,$B$3,$B$4,$B$5,$F196,$B$6,AC$10,$A196,$B196)</f>
        <v>0</v>
      </c>
      <c r="AD196" s="4">
        <f ca="1">_xll.DBRW($B$1,$B$2,$B$7,$B$3,$B$4,$B$5,$F196,$B$6,AD$10,$A196,$B196)</f>
        <v>0</v>
      </c>
      <c r="AE196" s="4">
        <f ca="1">_xll.DBRW($B$1,$B$2,$B$7,$B$3,$B$4,$B$5,$F196,$B$6,AE$10,$A196,$B196)</f>
        <v>0</v>
      </c>
    </row>
    <row r="197" spans="1:31">
      <c r="A197" s="1" t="s">
        <v>152</v>
      </c>
      <c r="B197" s="5" t="s">
        <v>232</v>
      </c>
      <c r="C197" s="5" t="s">
        <v>233</v>
      </c>
      <c r="D197" s="5" t="s">
        <v>21</v>
      </c>
      <c r="E197" s="5" t="s">
        <v>234</v>
      </c>
      <c r="F197" s="5" t="s">
        <v>24</v>
      </c>
      <c r="G197" s="6"/>
      <c r="H197" s="6"/>
      <c r="I197" s="6"/>
      <c r="J197" s="6"/>
      <c r="K197" s="6"/>
      <c r="L197" s="4">
        <f ca="1">_xll.DBRW($B$1,$B$2,$B$7,$B$3,$B$4,$B$5,$F197,$B$6,L$10,$A197,$B197)</f>
        <v>2698752</v>
      </c>
      <c r="M197" s="4">
        <f ca="1">_xll.DBRW($B$1,$B$2,$B$7,$B$3,$B$4,$B$5,$F197,$B$6,M$10,$A197,$B197)</f>
        <v>3036096</v>
      </c>
      <c r="N197" s="4">
        <f ca="1">_xll.DBRW($B$1,$B$2,$B$7,$B$3,$B$4,$B$5,$F197,$B$6,N$10,$A197,$B197)</f>
        <v>3036096</v>
      </c>
      <c r="O197" s="4">
        <f ca="1">_xll.DBRW($B$1,$B$2,$B$7,$B$3,$B$4,$B$5,$F197,$B$6,O$10,$A197,$B197)</f>
        <v>3036096</v>
      </c>
      <c r="P197" s="4">
        <f ca="1">_xll.DBRW($B$1,$B$2,$B$7,$B$3,$B$4,$B$5,$F197,$B$6,P$10,$A197,$B197)</f>
        <v>2698752</v>
      </c>
      <c r="Q197" s="4">
        <f ca="1">_xll.DBRW($B$1,$B$2,$B$7,$B$3,$B$4,$B$5,$F197,$B$6,Q$10,$A197,$B197)</f>
        <v>3022040</v>
      </c>
      <c r="R197" s="4">
        <f ca="1">_xll.DBRW($B$1,$B$2,$B$7,$B$3,$B$4,$B$5,$F197,$B$6,R$10,$A197,$B197)</f>
        <v>4526032</v>
      </c>
      <c r="S197" s="4">
        <f ca="1">_xll.DBRW($B$1,$B$2,$B$7,$B$3,$B$4,$B$5,$F197,$B$6,S$10,$A197,$B197)</f>
        <v>4202744</v>
      </c>
      <c r="T197" s="4">
        <f ca="1">_xll.DBRW($B$1,$B$2,$B$7,$B$3,$B$4,$B$5,$F197,$B$6,T$10,$A197,$B197)</f>
        <v>4385472</v>
      </c>
      <c r="U197" s="4">
        <f ca="1">_xll.DBRW($B$1,$B$2,$B$7,$B$3,$B$4,$B$5,$F197,$B$6,U$10,$A197,$B197)</f>
        <v>4048128</v>
      </c>
      <c r="V197" s="4">
        <f ca="1">_xll.DBRW($B$1,$B$2,$B$7,$B$3,$B$4,$B$5,$F197,$B$6,V$10,$A197,$B197)</f>
        <v>4385472</v>
      </c>
      <c r="W197" s="4">
        <f ca="1">_xll.DBRW($B$1,$B$2,$B$7,$B$3,$B$4,$B$5,$F197,$B$6,W$10,$A197,$B197)</f>
        <v>2979872</v>
      </c>
      <c r="X197" s="4">
        <f ca="1">_xll.DBRW($B$1,$B$2,$B$7,$B$3,$B$4,$B$5,$F197,$B$6,X$10,$A197,$B197)</f>
        <v>2965816</v>
      </c>
      <c r="Y197" s="4">
        <f ca="1">_xll.DBRW($B$1,$B$2,$B$7,$B$3,$B$4,$B$5,$F197,$B$6,Y$10,$A197,$B197)</f>
        <v>2642528</v>
      </c>
      <c r="Z197" s="4">
        <f ca="1">_xll.DBRW($B$1,$B$2,$B$7,$B$3,$B$4,$B$5,$F197,$B$6,Z$10,$A197,$B197)</f>
        <v>2979872</v>
      </c>
      <c r="AA197" s="4">
        <f ca="1">_xll.DBRW($B$1,$B$2,$B$7,$B$3,$B$4,$B$5,$F197,$B$6,AA$10,$A197,$B197)</f>
        <v>2965816</v>
      </c>
      <c r="AB197" s="4">
        <f ca="1">_xll.DBRW($B$1,$B$2,$B$7,$B$3,$B$4,$B$5,$F197,$B$6,AB$10,$A197,$B197)</f>
        <v>2979872</v>
      </c>
      <c r="AC197" s="4">
        <f ca="1">_xll.DBRW($B$1,$B$2,$B$7,$B$3,$B$4,$B$5,$F197,$B$6,AC$10,$A197,$B197)</f>
        <v>4385472</v>
      </c>
      <c r="AD197" s="4">
        <f ca="1">_xll.DBRW($B$1,$B$2,$B$7,$B$3,$B$4,$B$5,$F197,$B$6,AD$10,$A197,$B197)</f>
        <v>4385472</v>
      </c>
      <c r="AE197" s="4">
        <f ca="1">_xll.DBRW($B$1,$B$2,$B$7,$B$3,$B$4,$B$5,$F197,$B$6,AE$10,$A197,$B197)</f>
        <v>4385472</v>
      </c>
    </row>
    <row r="198" spans="1:31">
      <c r="A198" s="1" t="s">
        <v>152</v>
      </c>
      <c r="B198" s="5" t="s">
        <v>235</v>
      </c>
      <c r="C198" s="5" t="s">
        <v>236</v>
      </c>
      <c r="D198" s="5" t="s">
        <v>234</v>
      </c>
      <c r="E198" s="5" t="s">
        <v>21</v>
      </c>
      <c r="F198" s="5" t="s">
        <v>24</v>
      </c>
      <c r="G198" s="6"/>
      <c r="H198" s="6"/>
      <c r="I198" s="6"/>
      <c r="J198" s="6"/>
      <c r="K198" s="6"/>
      <c r="L198" s="4">
        <f ca="1">_xll.DBRW($B$1,$B$2,$B$7,$B$3,$B$4,$B$5,$F198,$B$6,L$10,$A198,$B198)</f>
        <v>2698752</v>
      </c>
      <c r="M198" s="4">
        <f ca="1">_xll.DBRW($B$1,$B$2,$B$7,$B$3,$B$4,$B$5,$F198,$B$6,M$10,$A198,$B198)</f>
        <v>3036096</v>
      </c>
      <c r="N198" s="4">
        <f ca="1">_xll.DBRW($B$1,$B$2,$B$7,$B$3,$B$4,$B$5,$F198,$B$6,N$10,$A198,$B198)</f>
        <v>3036096</v>
      </c>
      <c r="O198" s="4">
        <f ca="1">_xll.DBRW($B$1,$B$2,$B$7,$B$3,$B$4,$B$5,$F198,$B$6,O$10,$A198,$B198)</f>
        <v>3036096</v>
      </c>
      <c r="P198" s="4">
        <f ca="1">_xll.DBRW($B$1,$B$2,$B$7,$B$3,$B$4,$B$5,$F198,$B$6,P$10,$A198,$B198)</f>
        <v>2698752</v>
      </c>
      <c r="Q198" s="4">
        <f ca="1">_xll.DBRW($B$1,$B$2,$B$7,$B$3,$B$4,$B$5,$F198,$B$6,Q$10,$A198,$B198)</f>
        <v>3022040</v>
      </c>
      <c r="R198" s="4">
        <f ca="1">_xll.DBRW($B$1,$B$2,$B$7,$B$3,$B$4,$B$5,$F198,$B$6,R$10,$A198,$B198)</f>
        <v>4526032</v>
      </c>
      <c r="S198" s="4">
        <f ca="1">_xll.DBRW($B$1,$B$2,$B$7,$B$3,$B$4,$B$5,$F198,$B$6,S$10,$A198,$B198)</f>
        <v>4202744</v>
      </c>
      <c r="T198" s="4">
        <f ca="1">_xll.DBRW($B$1,$B$2,$B$7,$B$3,$B$4,$B$5,$F198,$B$6,T$10,$A198,$B198)</f>
        <v>4385472</v>
      </c>
      <c r="U198" s="4">
        <f ca="1">_xll.DBRW($B$1,$B$2,$B$7,$B$3,$B$4,$B$5,$F198,$B$6,U$10,$A198,$B198)</f>
        <v>4048128</v>
      </c>
      <c r="V198" s="4">
        <f ca="1">_xll.DBRW($B$1,$B$2,$B$7,$B$3,$B$4,$B$5,$F198,$B$6,V$10,$A198,$B198)</f>
        <v>4385472</v>
      </c>
      <c r="W198" s="4">
        <f ca="1">_xll.DBRW($B$1,$B$2,$B$7,$B$3,$B$4,$B$5,$F198,$B$6,W$10,$A198,$B198)</f>
        <v>2979872</v>
      </c>
      <c r="X198" s="4">
        <f ca="1">_xll.DBRW($B$1,$B$2,$B$7,$B$3,$B$4,$B$5,$F198,$B$6,X$10,$A198,$B198)</f>
        <v>2965816</v>
      </c>
      <c r="Y198" s="4">
        <f ca="1">_xll.DBRW($B$1,$B$2,$B$7,$B$3,$B$4,$B$5,$F198,$B$6,Y$10,$A198,$B198)</f>
        <v>2642528</v>
      </c>
      <c r="Z198" s="4">
        <f ca="1">_xll.DBRW($B$1,$B$2,$B$7,$B$3,$B$4,$B$5,$F198,$B$6,Z$10,$A198,$B198)</f>
        <v>2979872</v>
      </c>
      <c r="AA198" s="4">
        <f ca="1">_xll.DBRW($B$1,$B$2,$B$7,$B$3,$B$4,$B$5,$F198,$B$6,AA$10,$A198,$B198)</f>
        <v>2965816</v>
      </c>
      <c r="AB198" s="4">
        <f ca="1">_xll.DBRW($B$1,$B$2,$B$7,$B$3,$B$4,$B$5,$F198,$B$6,AB$10,$A198,$B198)</f>
        <v>2979872</v>
      </c>
      <c r="AC198" s="4">
        <f ca="1">_xll.DBRW($B$1,$B$2,$B$7,$B$3,$B$4,$B$5,$F198,$B$6,AC$10,$A198,$B198)</f>
        <v>4385472</v>
      </c>
      <c r="AD198" s="4">
        <f ca="1">_xll.DBRW($B$1,$B$2,$B$7,$B$3,$B$4,$B$5,$F198,$B$6,AD$10,$A198,$B198)</f>
        <v>4385472</v>
      </c>
      <c r="AE198" s="4">
        <f ca="1">_xll.DBRW($B$1,$B$2,$B$7,$B$3,$B$4,$B$5,$F198,$B$6,AE$10,$A198,$B198)</f>
        <v>4385472</v>
      </c>
    </row>
    <row r="199" spans="1:31">
      <c r="A199" s="1" t="s">
        <v>152</v>
      </c>
      <c r="B199" s="5" t="s">
        <v>237</v>
      </c>
      <c r="C199" s="5" t="s">
        <v>238</v>
      </c>
      <c r="D199" s="5" t="s">
        <v>21</v>
      </c>
      <c r="E199" s="5" t="s">
        <v>239</v>
      </c>
      <c r="F199" s="5" t="s">
        <v>24</v>
      </c>
      <c r="G199" s="6"/>
      <c r="H199" s="6"/>
      <c r="I199" s="6"/>
      <c r="J199" s="6"/>
      <c r="K199" s="6"/>
      <c r="L199" s="4">
        <f ca="1">_xll.DBRW($B$1,$B$2,$B$7,$B$3,$B$4,$B$5,$F199,$B$6,L$10,$A199,$B199)</f>
        <v>0</v>
      </c>
      <c r="M199" s="4">
        <f ca="1">_xll.DBRW($B$1,$B$2,$B$7,$B$3,$B$4,$B$5,$F199,$B$6,M$10,$A199,$B199)</f>
        <v>0</v>
      </c>
      <c r="N199" s="4">
        <f ca="1">_xll.DBRW($B$1,$B$2,$B$7,$B$3,$B$4,$B$5,$F199,$B$6,N$10,$A199,$B199)</f>
        <v>0</v>
      </c>
      <c r="O199" s="4">
        <f ca="1">_xll.DBRW($B$1,$B$2,$B$7,$B$3,$B$4,$B$5,$F199,$B$6,O$10,$A199,$B199)</f>
        <v>0</v>
      </c>
      <c r="P199" s="4">
        <f ca="1">_xll.DBRW($B$1,$B$2,$B$7,$B$3,$B$4,$B$5,$F199,$B$6,P$10,$A199,$B199)</f>
        <v>0</v>
      </c>
      <c r="Q199" s="4">
        <f ca="1">_xll.DBRW($B$1,$B$2,$B$7,$B$3,$B$4,$B$5,$F199,$B$6,Q$10,$A199,$B199)</f>
        <v>0</v>
      </c>
      <c r="R199" s="4">
        <f ca="1">_xll.DBRW($B$1,$B$2,$B$7,$B$3,$B$4,$B$5,$F199,$B$6,R$10,$A199,$B199)</f>
        <v>0</v>
      </c>
      <c r="S199" s="4">
        <f ca="1">_xll.DBRW($B$1,$B$2,$B$7,$B$3,$B$4,$B$5,$F199,$B$6,S$10,$A199,$B199)</f>
        <v>0</v>
      </c>
      <c r="T199" s="4">
        <f ca="1">_xll.DBRW($B$1,$B$2,$B$7,$B$3,$B$4,$B$5,$F199,$B$6,T$10,$A199,$B199)</f>
        <v>0</v>
      </c>
      <c r="U199" s="4">
        <f ca="1">_xll.DBRW($B$1,$B$2,$B$7,$B$3,$B$4,$B$5,$F199,$B$6,U$10,$A199,$B199)</f>
        <v>0</v>
      </c>
      <c r="V199" s="4">
        <f ca="1">_xll.DBRW($B$1,$B$2,$B$7,$B$3,$B$4,$B$5,$F199,$B$6,V$10,$A199,$B199)</f>
        <v>660520</v>
      </c>
      <c r="W199" s="4">
        <f ca="1">_xll.DBRW($B$1,$B$2,$B$7,$B$3,$B$4,$B$5,$F199,$B$6,W$10,$A199,$B199)</f>
        <v>9907800</v>
      </c>
      <c r="X199" s="4">
        <f ca="1">_xll.DBRW($B$1,$B$2,$B$7,$B$3,$B$4,$B$5,$F199,$B$6,X$10,$A199,$B199)</f>
        <v>10238060</v>
      </c>
      <c r="Y199" s="4">
        <f ca="1">_xll.DBRW($B$1,$B$2,$B$7,$B$3,$B$4,$B$5,$F199,$B$6,Y$10,$A199,$B199)</f>
        <v>9907800</v>
      </c>
      <c r="Z199" s="4">
        <f ca="1">_xll.DBRW($B$1,$B$2,$B$7,$B$3,$B$4,$B$5,$F199,$B$6,Z$10,$A199,$B199)</f>
        <v>10238060</v>
      </c>
      <c r="AA199" s="4">
        <f ca="1">_xll.DBRW($B$1,$B$2,$B$7,$B$3,$B$4,$B$5,$F199,$B$6,AA$10,$A199,$B199)</f>
        <v>10238060</v>
      </c>
      <c r="AB199" s="4">
        <f ca="1">_xll.DBRW($B$1,$B$2,$B$7,$B$3,$B$4,$B$5,$F199,$B$6,AB$10,$A199,$B199)</f>
        <v>9907800</v>
      </c>
      <c r="AC199" s="4">
        <f ca="1">_xll.DBRW($B$1,$B$2,$B$7,$B$3,$B$4,$B$5,$F199,$B$6,AC$10,$A199,$B199)</f>
        <v>10238060</v>
      </c>
      <c r="AD199" s="4">
        <f ca="1">_xll.DBRW($B$1,$B$2,$B$7,$B$3,$B$4,$B$5,$F199,$B$6,AD$10,$A199,$B199)</f>
        <v>9907800</v>
      </c>
      <c r="AE199" s="4">
        <f ca="1">_xll.DBRW($B$1,$B$2,$B$7,$B$3,$B$4,$B$5,$F199,$B$6,AE$10,$A199,$B199)</f>
        <v>10238060</v>
      </c>
    </row>
    <row r="200" spans="1:31">
      <c r="A200" s="1" t="s">
        <v>152</v>
      </c>
      <c r="B200" s="5" t="s">
        <v>240</v>
      </c>
      <c r="C200" s="5" t="s">
        <v>241</v>
      </c>
      <c r="D200" s="5" t="s">
        <v>239</v>
      </c>
      <c r="E200" s="5" t="s">
        <v>21</v>
      </c>
      <c r="F200" s="5" t="s">
        <v>24</v>
      </c>
      <c r="G200" s="6"/>
      <c r="H200" s="6"/>
      <c r="I200" s="6"/>
      <c r="J200" s="6"/>
      <c r="K200" s="6"/>
      <c r="L200" s="4">
        <f ca="1">_xll.DBRW($B$1,$B$2,$B$7,$B$3,$B$4,$B$5,$F200,$B$6,L$10,$A200,$B200)</f>
        <v>0</v>
      </c>
      <c r="M200" s="4">
        <f ca="1">_xll.DBRW($B$1,$B$2,$B$7,$B$3,$B$4,$B$5,$F200,$B$6,M$10,$A200,$B200)</f>
        <v>0</v>
      </c>
      <c r="N200" s="4">
        <f ca="1">_xll.DBRW($B$1,$B$2,$B$7,$B$3,$B$4,$B$5,$F200,$B$6,N$10,$A200,$B200)</f>
        <v>0</v>
      </c>
      <c r="O200" s="4">
        <f ca="1">_xll.DBRW($B$1,$B$2,$B$7,$B$3,$B$4,$B$5,$F200,$B$6,O$10,$A200,$B200)</f>
        <v>0</v>
      </c>
      <c r="P200" s="4">
        <f ca="1">_xll.DBRW($B$1,$B$2,$B$7,$B$3,$B$4,$B$5,$F200,$B$6,P$10,$A200,$B200)</f>
        <v>0</v>
      </c>
      <c r="Q200" s="4">
        <f ca="1">_xll.DBRW($B$1,$B$2,$B$7,$B$3,$B$4,$B$5,$F200,$B$6,Q$10,$A200,$B200)</f>
        <v>0</v>
      </c>
      <c r="R200" s="4">
        <f ca="1">_xll.DBRW($B$1,$B$2,$B$7,$B$3,$B$4,$B$5,$F200,$B$6,R$10,$A200,$B200)</f>
        <v>0</v>
      </c>
      <c r="S200" s="4">
        <f ca="1">_xll.DBRW($B$1,$B$2,$B$7,$B$3,$B$4,$B$5,$F200,$B$6,S$10,$A200,$B200)</f>
        <v>0</v>
      </c>
      <c r="T200" s="4">
        <f ca="1">_xll.DBRW($B$1,$B$2,$B$7,$B$3,$B$4,$B$5,$F200,$B$6,T$10,$A200,$B200)</f>
        <v>0</v>
      </c>
      <c r="U200" s="4">
        <f ca="1">_xll.DBRW($B$1,$B$2,$B$7,$B$3,$B$4,$B$5,$F200,$B$6,U$10,$A200,$B200)</f>
        <v>0</v>
      </c>
      <c r="V200" s="4">
        <f ca="1">_xll.DBRW($B$1,$B$2,$B$7,$B$3,$B$4,$B$5,$F200,$B$6,V$10,$A200,$B200)</f>
        <v>660520</v>
      </c>
      <c r="W200" s="4">
        <f ca="1">_xll.DBRW($B$1,$B$2,$B$7,$B$3,$B$4,$B$5,$F200,$B$6,W$10,$A200,$B200)</f>
        <v>9907800</v>
      </c>
      <c r="X200" s="4">
        <f ca="1">_xll.DBRW($B$1,$B$2,$B$7,$B$3,$B$4,$B$5,$F200,$B$6,X$10,$A200,$B200)</f>
        <v>10238060</v>
      </c>
      <c r="Y200" s="4">
        <f ca="1">_xll.DBRW($B$1,$B$2,$B$7,$B$3,$B$4,$B$5,$F200,$B$6,Y$10,$A200,$B200)</f>
        <v>9907800</v>
      </c>
      <c r="Z200" s="4">
        <f ca="1">_xll.DBRW($B$1,$B$2,$B$7,$B$3,$B$4,$B$5,$F200,$B$6,Z$10,$A200,$B200)</f>
        <v>10238060</v>
      </c>
      <c r="AA200" s="4">
        <f ca="1">_xll.DBRW($B$1,$B$2,$B$7,$B$3,$B$4,$B$5,$F200,$B$6,AA$10,$A200,$B200)</f>
        <v>10238060</v>
      </c>
      <c r="AB200" s="4">
        <f ca="1">_xll.DBRW($B$1,$B$2,$B$7,$B$3,$B$4,$B$5,$F200,$B$6,AB$10,$A200,$B200)</f>
        <v>9907800</v>
      </c>
      <c r="AC200" s="4">
        <f ca="1">_xll.DBRW($B$1,$B$2,$B$7,$B$3,$B$4,$B$5,$F200,$B$6,AC$10,$A200,$B200)</f>
        <v>9907800</v>
      </c>
      <c r="AD200" s="4">
        <f ca="1">_xll.DBRW($B$1,$B$2,$B$7,$B$3,$B$4,$B$5,$F200,$B$6,AD$10,$A200,$B200)</f>
        <v>9907800</v>
      </c>
      <c r="AE200" s="4">
        <f ca="1">_xll.DBRW($B$1,$B$2,$B$7,$B$3,$B$4,$B$5,$F200,$B$6,AE$10,$A200,$B200)</f>
        <v>9907800</v>
      </c>
    </row>
    <row r="201" spans="1:31">
      <c r="A201" s="1" t="s">
        <v>152</v>
      </c>
      <c r="B201" s="5" t="s">
        <v>242</v>
      </c>
      <c r="C201" s="5" t="s">
        <v>243</v>
      </c>
      <c r="D201" s="5" t="s">
        <v>21</v>
      </c>
      <c r="E201" s="5" t="s">
        <v>244</v>
      </c>
      <c r="F201" s="5" t="s">
        <v>24</v>
      </c>
      <c r="G201" s="6"/>
      <c r="H201" s="6"/>
      <c r="I201" s="6"/>
      <c r="J201" s="6"/>
      <c r="K201" s="6"/>
      <c r="L201" s="4">
        <f ca="1">_xll.DBRW($B$1,$B$2,$B$7,$B$3,$B$4,$B$5,$F201,$B$6,L$10,$A201,$B201)</f>
        <v>4325568</v>
      </c>
      <c r="M201" s="4">
        <f ca="1">_xll.DBRW($B$1,$B$2,$B$7,$B$3,$B$4,$B$5,$F201,$B$6,M$10,$A201,$B201)</f>
        <v>4325568</v>
      </c>
      <c r="N201" s="4">
        <f ca="1">_xll.DBRW($B$1,$B$2,$B$7,$B$3,$B$4,$B$5,$F201,$B$6,N$10,$A201,$B201)</f>
        <v>4325568</v>
      </c>
      <c r="O201" s="4">
        <f ca="1">_xll.DBRW($B$1,$B$2,$B$7,$B$3,$B$4,$B$5,$F201,$B$6,O$10,$A201,$B201)</f>
        <v>3660096</v>
      </c>
      <c r="P201" s="4">
        <f ca="1">_xll.DBRW($B$1,$B$2,$B$7,$B$3,$B$4,$B$5,$F201,$B$6,P$10,$A201,$B201)</f>
        <v>4325568</v>
      </c>
      <c r="Q201" s="4">
        <f ca="1">_xll.DBRW($B$1,$B$2,$B$7,$B$3,$B$4,$B$5,$F201,$B$6,Q$10,$A201,$B201)</f>
        <v>3646232</v>
      </c>
      <c r="R201" s="4">
        <f ca="1">_xll.DBRW($B$1,$B$2,$B$7,$B$3,$B$4,$B$5,$F201,$B$6,R$10,$A201,$B201)</f>
        <v>2273696</v>
      </c>
      <c r="S201" s="4">
        <f ca="1">_xll.DBRW($B$1,$B$2,$B$7,$B$3,$B$4,$B$5,$F201,$B$6,S$10,$A201,$B201)</f>
        <v>4145336</v>
      </c>
      <c r="T201" s="4">
        <f ca="1">_xll.DBRW($B$1,$B$2,$B$7,$B$3,$B$4,$B$5,$F201,$B$6,T$10,$A201,$B201)</f>
        <v>4325568</v>
      </c>
      <c r="U201" s="4">
        <f ca="1">_xll.DBRW($B$1,$B$2,$B$7,$B$3,$B$4,$B$5,$F201,$B$6,U$10,$A201,$B201)</f>
        <v>3992832</v>
      </c>
      <c r="V201" s="4">
        <f ca="1">_xll.DBRW($B$1,$B$2,$B$7,$B$3,$B$4,$B$5,$F201,$B$6,V$10,$A201,$B201)</f>
        <v>4325568</v>
      </c>
      <c r="W201" s="4">
        <f ca="1">_xll.DBRW($B$1,$B$2,$B$7,$B$3,$B$4,$B$5,$F201,$B$6,W$10,$A201,$B201)</f>
        <v>2994624</v>
      </c>
      <c r="X201" s="4">
        <f ca="1">_xll.DBRW($B$1,$B$2,$B$7,$B$3,$B$4,$B$5,$F201,$B$6,X$10,$A201,$B201)</f>
        <v>2661888</v>
      </c>
      <c r="Y201" s="4">
        <f ca="1">_xll.DBRW($B$1,$B$2,$B$7,$B$3,$B$4,$B$5,$F201,$B$6,Y$10,$A201,$B201)</f>
        <v>2994624</v>
      </c>
      <c r="Z201" s="4">
        <f ca="1">_xll.DBRW($B$1,$B$2,$B$7,$B$3,$B$4,$B$5,$F201,$B$6,Z$10,$A201,$B201)</f>
        <v>2994624</v>
      </c>
      <c r="AA201" s="4">
        <f ca="1">_xll.DBRW($B$1,$B$2,$B$7,$B$3,$B$4,$B$5,$F201,$B$6,AA$10,$A201,$B201)</f>
        <v>2994624</v>
      </c>
      <c r="AB201" s="4">
        <f ca="1">_xll.DBRW($B$1,$B$2,$B$7,$B$3,$B$4,$B$5,$F201,$B$6,AB$10,$A201,$B201)</f>
        <v>2661888</v>
      </c>
      <c r="AC201" s="4">
        <f ca="1">_xll.DBRW($B$1,$B$2,$B$7,$B$3,$B$4,$B$5,$F201,$B$6,AC$10,$A201,$B201)</f>
        <v>4325568</v>
      </c>
      <c r="AD201" s="4">
        <f ca="1">_xll.DBRW($B$1,$B$2,$B$7,$B$3,$B$4,$B$5,$F201,$B$6,AD$10,$A201,$B201)</f>
        <v>4325568</v>
      </c>
      <c r="AE201" s="4">
        <f ca="1">_xll.DBRW($B$1,$B$2,$B$7,$B$3,$B$4,$B$5,$F201,$B$6,AE$10,$A201,$B201)</f>
        <v>4658304</v>
      </c>
    </row>
    <row r="202" spans="1:31">
      <c r="A202" s="1" t="s">
        <v>152</v>
      </c>
      <c r="B202" s="5" t="s">
        <v>245</v>
      </c>
      <c r="C202" s="5" t="s">
        <v>246</v>
      </c>
      <c r="D202" s="5" t="s">
        <v>244</v>
      </c>
      <c r="E202" s="5" t="s">
        <v>21</v>
      </c>
      <c r="F202" s="5" t="s">
        <v>24</v>
      </c>
      <c r="G202" s="6"/>
      <c r="H202" s="6"/>
      <c r="I202" s="6"/>
      <c r="J202" s="6"/>
      <c r="K202" s="6"/>
      <c r="L202" s="4">
        <f ca="1">_xll.DBRW($B$1,$B$2,$B$7,$B$3,$B$4,$B$5,$F202,$B$6,L$10,$A202,$B202)</f>
        <v>4325568</v>
      </c>
      <c r="M202" s="4">
        <f ca="1">_xll.DBRW($B$1,$B$2,$B$7,$B$3,$B$4,$B$5,$F202,$B$6,M$10,$A202,$B202)</f>
        <v>4325568</v>
      </c>
      <c r="N202" s="4">
        <f ca="1">_xll.DBRW($B$1,$B$2,$B$7,$B$3,$B$4,$B$5,$F202,$B$6,N$10,$A202,$B202)</f>
        <v>4325568</v>
      </c>
      <c r="O202" s="4">
        <f ca="1">_xll.DBRW($B$1,$B$2,$B$7,$B$3,$B$4,$B$5,$F202,$B$6,O$10,$A202,$B202)</f>
        <v>3660096</v>
      </c>
      <c r="P202" s="4">
        <f ca="1">_xll.DBRW($B$1,$B$2,$B$7,$B$3,$B$4,$B$5,$F202,$B$6,P$10,$A202,$B202)</f>
        <v>4325568</v>
      </c>
      <c r="Q202" s="4">
        <f ca="1">_xll.DBRW($B$1,$B$2,$B$7,$B$3,$B$4,$B$5,$F202,$B$6,Q$10,$A202,$B202)</f>
        <v>3646232</v>
      </c>
      <c r="R202" s="4">
        <f ca="1">_xll.DBRW($B$1,$B$2,$B$7,$B$3,$B$4,$B$5,$F202,$B$6,R$10,$A202,$B202)</f>
        <v>2273696</v>
      </c>
      <c r="S202" s="4">
        <f ca="1">_xll.DBRW($B$1,$B$2,$B$7,$B$3,$B$4,$B$5,$F202,$B$6,S$10,$A202,$B202)</f>
        <v>4145336</v>
      </c>
      <c r="T202" s="4">
        <f ca="1">_xll.DBRW($B$1,$B$2,$B$7,$B$3,$B$4,$B$5,$F202,$B$6,T$10,$A202,$B202)</f>
        <v>4325568</v>
      </c>
      <c r="U202" s="4">
        <f ca="1">_xll.DBRW($B$1,$B$2,$B$7,$B$3,$B$4,$B$5,$F202,$B$6,U$10,$A202,$B202)</f>
        <v>3992832</v>
      </c>
      <c r="V202" s="4">
        <f ca="1">_xll.DBRW($B$1,$B$2,$B$7,$B$3,$B$4,$B$5,$F202,$B$6,V$10,$A202,$B202)</f>
        <v>4325568</v>
      </c>
      <c r="W202" s="4">
        <f ca="1">_xll.DBRW($B$1,$B$2,$B$7,$B$3,$B$4,$B$5,$F202,$B$6,W$10,$A202,$B202)</f>
        <v>2994624</v>
      </c>
      <c r="X202" s="4">
        <f ca="1">_xll.DBRW($B$1,$B$2,$B$7,$B$3,$B$4,$B$5,$F202,$B$6,X$10,$A202,$B202)</f>
        <v>2661888</v>
      </c>
      <c r="Y202" s="4">
        <f ca="1">_xll.DBRW($B$1,$B$2,$B$7,$B$3,$B$4,$B$5,$F202,$B$6,Y$10,$A202,$B202)</f>
        <v>2994624</v>
      </c>
      <c r="Z202" s="4">
        <f ca="1">_xll.DBRW($B$1,$B$2,$B$7,$B$3,$B$4,$B$5,$F202,$B$6,Z$10,$A202,$B202)</f>
        <v>2994624</v>
      </c>
      <c r="AA202" s="4">
        <f ca="1">_xll.DBRW($B$1,$B$2,$B$7,$B$3,$B$4,$B$5,$F202,$B$6,AA$10,$A202,$B202)</f>
        <v>2994624</v>
      </c>
      <c r="AB202" s="4">
        <f ca="1">_xll.DBRW($B$1,$B$2,$B$7,$B$3,$B$4,$B$5,$F202,$B$6,AB$10,$A202,$B202)</f>
        <v>2661888</v>
      </c>
      <c r="AC202" s="4">
        <f ca="1">_xll.DBRW($B$1,$B$2,$B$7,$B$3,$B$4,$B$5,$F202,$B$6,AC$10,$A202,$B202)</f>
        <v>4325568</v>
      </c>
      <c r="AD202" s="4">
        <f ca="1">_xll.DBRW($B$1,$B$2,$B$7,$B$3,$B$4,$B$5,$F202,$B$6,AD$10,$A202,$B202)</f>
        <v>4325568</v>
      </c>
      <c r="AE202" s="4">
        <f ca="1">_xll.DBRW($B$1,$B$2,$B$7,$B$3,$B$4,$B$5,$F202,$B$6,AE$10,$A202,$B202)</f>
        <v>4658304</v>
      </c>
    </row>
    <row r="203" spans="1:31">
      <c r="A203" s="1" t="s">
        <v>152</v>
      </c>
      <c r="B203" s="5" t="s">
        <v>247</v>
      </c>
      <c r="C203" s="5" t="s">
        <v>248</v>
      </c>
      <c r="D203" s="5" t="s">
        <v>21</v>
      </c>
      <c r="E203" s="5" t="s">
        <v>249</v>
      </c>
      <c r="F203" s="5" t="s">
        <v>24</v>
      </c>
      <c r="G203" s="6"/>
      <c r="H203" s="6"/>
      <c r="I203" s="6"/>
      <c r="J203" s="6"/>
      <c r="K203" s="6"/>
      <c r="L203" s="4">
        <f ca="1">_xll.DBRW($B$1,$B$2,$B$7,$B$3,$B$4,$B$5,$F203,$B$6,L$10,$A203,$B203)</f>
        <v>0</v>
      </c>
      <c r="M203" s="4">
        <f ca="1">_xll.DBRW($B$1,$B$2,$B$7,$B$3,$B$4,$B$5,$F203,$B$6,M$10,$A203,$B203)</f>
        <v>0</v>
      </c>
      <c r="N203" s="4">
        <f ca="1">_xll.DBRW($B$1,$B$2,$B$7,$B$3,$B$4,$B$5,$F203,$B$6,N$10,$A203,$B203)</f>
        <v>0</v>
      </c>
      <c r="O203" s="4">
        <f ca="1">_xll.DBRW($B$1,$B$2,$B$7,$B$3,$B$4,$B$5,$F203,$B$6,O$10,$A203,$B203)</f>
        <v>0</v>
      </c>
      <c r="P203" s="4">
        <f ca="1">_xll.DBRW($B$1,$B$2,$B$7,$B$3,$B$4,$B$5,$F203,$B$6,P$10,$A203,$B203)</f>
        <v>0</v>
      </c>
      <c r="Q203" s="4">
        <f ca="1">_xll.DBRW($B$1,$B$2,$B$7,$B$3,$B$4,$B$5,$F203,$B$6,Q$10,$A203,$B203)</f>
        <v>0</v>
      </c>
      <c r="R203" s="4">
        <f ca="1">_xll.DBRW($B$1,$B$2,$B$7,$B$3,$B$4,$B$5,$F203,$B$6,R$10,$A203,$B203)</f>
        <v>0</v>
      </c>
      <c r="S203" s="4">
        <f ca="1">_xll.DBRW($B$1,$B$2,$B$7,$B$3,$B$4,$B$5,$F203,$B$6,S$10,$A203,$B203)</f>
        <v>0</v>
      </c>
      <c r="T203" s="4">
        <f ca="1">_xll.DBRW($B$1,$B$2,$B$7,$B$3,$B$4,$B$5,$F203,$B$6,T$10,$A203,$B203)</f>
        <v>0</v>
      </c>
      <c r="U203" s="4">
        <f ca="1">_xll.DBRW($B$1,$B$2,$B$7,$B$3,$B$4,$B$5,$F203,$B$6,U$10,$A203,$B203)</f>
        <v>0</v>
      </c>
      <c r="V203" s="4">
        <f ca="1">_xll.DBRW($B$1,$B$2,$B$7,$B$3,$B$4,$B$5,$F203,$B$6,V$10,$A203,$B203)</f>
        <v>0</v>
      </c>
      <c r="W203" s="4">
        <f ca="1">_xll.DBRW($B$1,$B$2,$B$7,$B$3,$B$4,$B$5,$F203,$B$6,W$10,$A203,$B203)</f>
        <v>0</v>
      </c>
      <c r="X203" s="4">
        <f ca="1">_xll.DBRW($B$1,$B$2,$B$7,$B$3,$B$4,$B$5,$F203,$B$6,X$10,$A203,$B203)</f>
        <v>0</v>
      </c>
      <c r="Y203" s="4">
        <f ca="1">_xll.DBRW($B$1,$B$2,$B$7,$B$3,$B$4,$B$5,$F203,$B$6,Y$10,$A203,$B203)</f>
        <v>0</v>
      </c>
      <c r="Z203" s="4">
        <f ca="1">_xll.DBRW($B$1,$B$2,$B$7,$B$3,$B$4,$B$5,$F203,$B$6,Z$10,$A203,$B203)</f>
        <v>0</v>
      </c>
      <c r="AA203" s="4">
        <f ca="1">_xll.DBRW($B$1,$B$2,$B$7,$B$3,$B$4,$B$5,$F203,$B$6,AA$10,$A203,$B203)</f>
        <v>0</v>
      </c>
      <c r="AB203" s="4">
        <f ca="1">_xll.DBRW($B$1,$B$2,$B$7,$B$3,$B$4,$B$5,$F203,$B$6,AB$10,$A203,$B203)</f>
        <v>0</v>
      </c>
      <c r="AC203" s="4">
        <f ca="1">_xll.DBRW($B$1,$B$2,$B$7,$B$3,$B$4,$B$5,$F203,$B$6,AC$10,$A203,$B203)</f>
        <v>0</v>
      </c>
      <c r="AD203" s="4">
        <f ca="1">_xll.DBRW($B$1,$B$2,$B$7,$B$3,$B$4,$B$5,$F203,$B$6,AD$10,$A203,$B203)</f>
        <v>0</v>
      </c>
      <c r="AE203" s="4">
        <f ca="1">_xll.DBRW($B$1,$B$2,$B$7,$B$3,$B$4,$B$5,$F203,$B$6,AE$10,$A203,$B203)</f>
        <v>9647820</v>
      </c>
    </row>
    <row r="204" spans="1:31">
      <c r="A204" s="1" t="s">
        <v>152</v>
      </c>
      <c r="B204" s="5" t="s">
        <v>250</v>
      </c>
      <c r="C204" s="5" t="s">
        <v>251</v>
      </c>
      <c r="D204" s="5" t="s">
        <v>249</v>
      </c>
      <c r="E204" s="5" t="s">
        <v>21</v>
      </c>
      <c r="F204" s="5" t="s">
        <v>24</v>
      </c>
      <c r="G204" s="6"/>
      <c r="H204" s="6"/>
      <c r="I204" s="6"/>
      <c r="J204" s="6"/>
      <c r="K204" s="6"/>
      <c r="L204" s="4">
        <f ca="1">_xll.DBRW($B$1,$B$2,$B$7,$B$3,$B$4,$B$5,$F204,$B$6,L$10,$A204,$B204)</f>
        <v>0</v>
      </c>
      <c r="M204" s="4">
        <f ca="1">_xll.DBRW($B$1,$B$2,$B$7,$B$3,$B$4,$B$5,$F204,$B$6,M$10,$A204,$B204)</f>
        <v>0</v>
      </c>
      <c r="N204" s="4">
        <f ca="1">_xll.DBRW($B$1,$B$2,$B$7,$B$3,$B$4,$B$5,$F204,$B$6,N$10,$A204,$B204)</f>
        <v>0</v>
      </c>
      <c r="O204" s="4">
        <f ca="1">_xll.DBRW($B$1,$B$2,$B$7,$B$3,$B$4,$B$5,$F204,$B$6,O$10,$A204,$B204)</f>
        <v>0</v>
      </c>
      <c r="P204" s="4">
        <f ca="1">_xll.DBRW($B$1,$B$2,$B$7,$B$3,$B$4,$B$5,$F204,$B$6,P$10,$A204,$B204)</f>
        <v>0</v>
      </c>
      <c r="Q204" s="4">
        <f ca="1">_xll.DBRW($B$1,$B$2,$B$7,$B$3,$B$4,$B$5,$F204,$B$6,Q$10,$A204,$B204)</f>
        <v>0</v>
      </c>
      <c r="R204" s="4">
        <f ca="1">_xll.DBRW($B$1,$B$2,$B$7,$B$3,$B$4,$B$5,$F204,$B$6,R$10,$A204,$B204)</f>
        <v>0</v>
      </c>
      <c r="S204" s="4">
        <f ca="1">_xll.DBRW($B$1,$B$2,$B$7,$B$3,$B$4,$B$5,$F204,$B$6,S$10,$A204,$B204)</f>
        <v>0</v>
      </c>
      <c r="T204" s="4">
        <f ca="1">_xll.DBRW($B$1,$B$2,$B$7,$B$3,$B$4,$B$5,$F204,$B$6,T$10,$A204,$B204)</f>
        <v>0</v>
      </c>
      <c r="U204" s="4">
        <f ca="1">_xll.DBRW($B$1,$B$2,$B$7,$B$3,$B$4,$B$5,$F204,$B$6,U$10,$A204,$B204)</f>
        <v>0</v>
      </c>
      <c r="V204" s="4">
        <f ca="1">_xll.DBRW($B$1,$B$2,$B$7,$B$3,$B$4,$B$5,$F204,$B$6,V$10,$A204,$B204)</f>
        <v>0</v>
      </c>
      <c r="W204" s="4">
        <f ca="1">_xll.DBRW($B$1,$B$2,$B$7,$B$3,$B$4,$B$5,$F204,$B$6,W$10,$A204,$B204)</f>
        <v>0</v>
      </c>
      <c r="X204" s="4">
        <f ca="1">_xll.DBRW($B$1,$B$2,$B$7,$B$3,$B$4,$B$5,$F204,$B$6,X$10,$A204,$B204)</f>
        <v>0</v>
      </c>
      <c r="Y204" s="4">
        <f ca="1">_xll.DBRW($B$1,$B$2,$B$7,$B$3,$B$4,$B$5,$F204,$B$6,Y$10,$A204,$B204)</f>
        <v>0</v>
      </c>
      <c r="Z204" s="4">
        <f ca="1">_xll.DBRW($B$1,$B$2,$B$7,$B$3,$B$4,$B$5,$F204,$B$6,Z$10,$A204,$B204)</f>
        <v>0</v>
      </c>
      <c r="AA204" s="4">
        <f ca="1">_xll.DBRW($B$1,$B$2,$B$7,$B$3,$B$4,$B$5,$F204,$B$6,AA$10,$A204,$B204)</f>
        <v>0</v>
      </c>
      <c r="AB204" s="4">
        <f ca="1">_xll.DBRW($B$1,$B$2,$B$7,$B$3,$B$4,$B$5,$F204,$B$6,AB$10,$A204,$B204)</f>
        <v>0</v>
      </c>
      <c r="AC204" s="4">
        <f ca="1">_xll.DBRW($B$1,$B$2,$B$7,$B$3,$B$4,$B$5,$F204,$B$6,AC$10,$A204,$B204)</f>
        <v>0</v>
      </c>
      <c r="AD204" s="4">
        <f ca="1">_xll.DBRW($B$1,$B$2,$B$7,$B$3,$B$4,$B$5,$F204,$B$6,AD$10,$A204,$B204)</f>
        <v>0</v>
      </c>
      <c r="AE204" s="4">
        <f ca="1">_xll.DBRW($B$1,$B$2,$B$7,$B$3,$B$4,$B$5,$F204,$B$6,AE$10,$A204,$B204)</f>
        <v>9647820</v>
      </c>
    </row>
    <row r="205" spans="1:31">
      <c r="A205" s="1" t="s">
        <v>152</v>
      </c>
      <c r="B205" s="5" t="s">
        <v>252</v>
      </c>
      <c r="C205" s="5" t="s">
        <v>226</v>
      </c>
      <c r="D205" s="5" t="s">
        <v>21</v>
      </c>
      <c r="E205" s="5" t="s">
        <v>227</v>
      </c>
      <c r="F205" s="5" t="s">
        <v>24</v>
      </c>
      <c r="G205" s="6"/>
      <c r="H205" s="6"/>
      <c r="I205" s="6"/>
      <c r="J205" s="6"/>
      <c r="K205" s="6"/>
      <c r="L205" s="4">
        <f ca="1">_xll.DBRW($B$1,$B$2,$B$7,$B$3,$B$4,$B$5,$F205,$B$6,L$10,$A205,$B205)</f>
        <v>3586704</v>
      </c>
      <c r="M205" s="4">
        <f ca="1">_xll.DBRW($B$1,$B$2,$B$7,$B$3,$B$4,$B$5,$F205,$B$6,M$10,$A205,$B205)</f>
        <v>0</v>
      </c>
      <c r="N205" s="4">
        <f ca="1">_xll.DBRW($B$1,$B$2,$B$7,$B$3,$B$4,$B$5,$F205,$B$6,N$10,$A205,$B205)</f>
        <v>0</v>
      </c>
      <c r="O205" s="4">
        <f ca="1">_xll.DBRW($B$1,$B$2,$B$7,$B$3,$B$4,$B$5,$F205,$B$6,O$10,$A205,$B205)</f>
        <v>0</v>
      </c>
      <c r="P205" s="4">
        <f ca="1">_xll.DBRW($B$1,$B$2,$B$7,$B$3,$B$4,$B$5,$F205,$B$6,P$10,$A205,$B205)</f>
        <v>0</v>
      </c>
      <c r="Q205" s="4">
        <f ca="1">_xll.DBRW($B$1,$B$2,$B$7,$B$3,$B$4,$B$5,$F205,$B$6,Q$10,$A205,$B205)</f>
        <v>0</v>
      </c>
      <c r="R205" s="4">
        <f ca="1">_xll.DBRW($B$1,$B$2,$B$7,$B$3,$B$4,$B$5,$F205,$B$6,R$10,$A205,$B205)</f>
        <v>0</v>
      </c>
      <c r="S205" s="4">
        <f ca="1">_xll.DBRW($B$1,$B$2,$B$7,$B$3,$B$4,$B$5,$F205,$B$6,S$10,$A205,$B205)</f>
        <v>4238832</v>
      </c>
      <c r="T205" s="4">
        <f ca="1">_xll.DBRW($B$1,$B$2,$B$7,$B$3,$B$4,$B$5,$F205,$B$6,T$10,$A205,$B205)</f>
        <v>4238832</v>
      </c>
      <c r="U205" s="4">
        <f ca="1">_xll.DBRW($B$1,$B$2,$B$7,$B$3,$B$4,$B$5,$F205,$B$6,U$10,$A205,$B205)</f>
        <v>3912768</v>
      </c>
      <c r="V205" s="4">
        <f ca="1">_xll.DBRW($B$1,$B$2,$B$7,$B$3,$B$4,$B$5,$F205,$B$6,V$10,$A205,$B205)</f>
        <v>4238832</v>
      </c>
      <c r="W205" s="4">
        <f ca="1">_xll.DBRW($B$1,$B$2,$B$7,$B$3,$B$4,$B$5,$F205,$B$6,W$10,$A205,$B205)</f>
        <v>0</v>
      </c>
      <c r="X205" s="4">
        <f ca="1">_xll.DBRW($B$1,$B$2,$B$7,$B$3,$B$4,$B$5,$F205,$B$6,X$10,$A205,$B205)</f>
        <v>0</v>
      </c>
      <c r="Y205" s="4">
        <f ca="1">_xll.DBRW($B$1,$B$2,$B$7,$B$3,$B$4,$B$5,$F205,$B$6,Y$10,$A205,$B205)</f>
        <v>0</v>
      </c>
      <c r="Z205" s="4">
        <f ca="1">_xll.DBRW($B$1,$B$2,$B$7,$B$3,$B$4,$B$5,$F205,$B$6,Z$10,$A205,$B205)</f>
        <v>0</v>
      </c>
      <c r="AA205" s="4">
        <f ca="1">_xll.DBRW($B$1,$B$2,$B$7,$B$3,$B$4,$B$5,$F205,$B$6,AA$10,$A205,$B205)</f>
        <v>0</v>
      </c>
      <c r="AB205" s="4">
        <f ca="1">_xll.DBRW($B$1,$B$2,$B$7,$B$3,$B$4,$B$5,$F205,$B$6,AB$10,$A205,$B205)</f>
        <v>0</v>
      </c>
      <c r="AC205" s="4">
        <f ca="1">_xll.DBRW($B$1,$B$2,$B$7,$B$3,$B$4,$B$5,$F205,$B$6,AC$10,$A205,$B205)</f>
        <v>652128</v>
      </c>
      <c r="AD205" s="4">
        <f ca="1">_xll.DBRW($B$1,$B$2,$B$7,$B$3,$B$4,$B$5,$F205,$B$6,AD$10,$A205,$B205)</f>
        <v>4238832</v>
      </c>
      <c r="AE205" s="4">
        <f ca="1">_xll.DBRW($B$1,$B$2,$B$7,$B$3,$B$4,$B$5,$F205,$B$6,AE$10,$A205,$B205)</f>
        <v>4238832</v>
      </c>
    </row>
    <row r="206" spans="1:31">
      <c r="A206" s="1" t="s">
        <v>152</v>
      </c>
      <c r="B206" s="5" t="s">
        <v>253</v>
      </c>
      <c r="C206" s="5" t="s">
        <v>229</v>
      </c>
      <c r="D206" s="5" t="s">
        <v>227</v>
      </c>
      <c r="E206" s="5" t="s">
        <v>21</v>
      </c>
      <c r="F206" s="5" t="s">
        <v>24</v>
      </c>
      <c r="G206" s="6"/>
      <c r="H206" s="6"/>
      <c r="I206" s="6"/>
      <c r="J206" s="6"/>
      <c r="K206" s="6"/>
      <c r="L206" s="4">
        <f ca="1">_xll.DBRW($B$1,$B$2,$B$7,$B$3,$B$4,$B$5,$F206,$B$6,L$10,$A206,$B206)</f>
        <v>3586704</v>
      </c>
      <c r="M206" s="4">
        <f ca="1">_xll.DBRW($B$1,$B$2,$B$7,$B$3,$B$4,$B$5,$F206,$B$6,M$10,$A206,$B206)</f>
        <v>0</v>
      </c>
      <c r="N206" s="4">
        <f ca="1">_xll.DBRW($B$1,$B$2,$B$7,$B$3,$B$4,$B$5,$F206,$B$6,N$10,$A206,$B206)</f>
        <v>0</v>
      </c>
      <c r="O206" s="4">
        <f ca="1">_xll.DBRW($B$1,$B$2,$B$7,$B$3,$B$4,$B$5,$F206,$B$6,O$10,$A206,$B206)</f>
        <v>0</v>
      </c>
      <c r="P206" s="4">
        <f ca="1">_xll.DBRW($B$1,$B$2,$B$7,$B$3,$B$4,$B$5,$F206,$B$6,P$10,$A206,$B206)</f>
        <v>0</v>
      </c>
      <c r="Q206" s="4">
        <f ca="1">_xll.DBRW($B$1,$B$2,$B$7,$B$3,$B$4,$B$5,$F206,$B$6,Q$10,$A206,$B206)</f>
        <v>0</v>
      </c>
      <c r="R206" s="4">
        <f ca="1">_xll.DBRW($B$1,$B$2,$B$7,$B$3,$B$4,$B$5,$F206,$B$6,R$10,$A206,$B206)</f>
        <v>0</v>
      </c>
      <c r="S206" s="4">
        <f ca="1">_xll.DBRW($B$1,$B$2,$B$7,$B$3,$B$4,$B$5,$F206,$B$6,S$10,$A206,$B206)</f>
        <v>4238832</v>
      </c>
      <c r="T206" s="4">
        <f ca="1">_xll.DBRW($B$1,$B$2,$B$7,$B$3,$B$4,$B$5,$F206,$B$6,T$10,$A206,$B206)</f>
        <v>4238832</v>
      </c>
      <c r="U206" s="4">
        <f ca="1">_xll.DBRW($B$1,$B$2,$B$7,$B$3,$B$4,$B$5,$F206,$B$6,U$10,$A206,$B206)</f>
        <v>3912768</v>
      </c>
      <c r="V206" s="4">
        <f ca="1">_xll.DBRW($B$1,$B$2,$B$7,$B$3,$B$4,$B$5,$F206,$B$6,V$10,$A206,$B206)</f>
        <v>4238832</v>
      </c>
      <c r="W206" s="4">
        <f ca="1">_xll.DBRW($B$1,$B$2,$B$7,$B$3,$B$4,$B$5,$F206,$B$6,W$10,$A206,$B206)</f>
        <v>0</v>
      </c>
      <c r="X206" s="4">
        <f ca="1">_xll.DBRW($B$1,$B$2,$B$7,$B$3,$B$4,$B$5,$F206,$B$6,X$10,$A206,$B206)</f>
        <v>0</v>
      </c>
      <c r="Y206" s="4">
        <f ca="1">_xll.DBRW($B$1,$B$2,$B$7,$B$3,$B$4,$B$5,$F206,$B$6,Y$10,$A206,$B206)</f>
        <v>0</v>
      </c>
      <c r="Z206" s="4">
        <f ca="1">_xll.DBRW($B$1,$B$2,$B$7,$B$3,$B$4,$B$5,$F206,$B$6,Z$10,$A206,$B206)</f>
        <v>0</v>
      </c>
      <c r="AA206" s="4">
        <f ca="1">_xll.DBRW($B$1,$B$2,$B$7,$B$3,$B$4,$B$5,$F206,$B$6,AA$10,$A206,$B206)</f>
        <v>0</v>
      </c>
      <c r="AB206" s="4">
        <f ca="1">_xll.DBRW($B$1,$B$2,$B$7,$B$3,$B$4,$B$5,$F206,$B$6,AB$10,$A206,$B206)</f>
        <v>0</v>
      </c>
      <c r="AC206" s="4">
        <f ca="1">_xll.DBRW($B$1,$B$2,$B$7,$B$3,$B$4,$B$5,$F206,$B$6,AC$10,$A206,$B206)</f>
        <v>652128</v>
      </c>
      <c r="AD206" s="4">
        <f ca="1">_xll.DBRW($B$1,$B$2,$B$7,$B$3,$B$4,$B$5,$F206,$B$6,AD$10,$A206,$B206)</f>
        <v>4238832</v>
      </c>
      <c r="AE206" s="4">
        <f ca="1">_xll.DBRW($B$1,$B$2,$B$7,$B$3,$B$4,$B$5,$F206,$B$6,AE$10,$A206,$B206)</f>
        <v>4238832</v>
      </c>
    </row>
    <row r="207" spans="1:31">
      <c r="A207" s="1" t="s">
        <v>152</v>
      </c>
      <c r="B207" s="5" t="s">
        <v>254</v>
      </c>
      <c r="C207" s="5" t="s">
        <v>255</v>
      </c>
      <c r="D207" s="5" t="s">
        <v>60</v>
      </c>
      <c r="E207" s="5" t="s">
        <v>59</v>
      </c>
      <c r="F207" s="5" t="s">
        <v>24</v>
      </c>
      <c r="G207" s="6"/>
      <c r="H207" s="6"/>
      <c r="I207" s="6"/>
      <c r="J207" s="6"/>
      <c r="K207" s="6"/>
      <c r="L207" s="4">
        <f ca="1">_xll.DBRW($B$1,$B$2,$B$7,$B$3,$B$4,$B$5,$F207,$B$6,L$10,$A207,$B207)</f>
        <v>3378312</v>
      </c>
      <c r="M207" s="4">
        <f ca="1">_xll.DBRW($B$1,$B$2,$B$7,$B$3,$B$4,$B$5,$F207,$B$6,M$10,$A207,$B207)</f>
        <v>3378312</v>
      </c>
      <c r="N207" s="4">
        <f ca="1">_xll.DBRW($B$1,$B$2,$B$7,$B$3,$B$4,$B$5,$F207,$B$6,N$10,$A207,$B207)</f>
        <v>3378312</v>
      </c>
      <c r="O207" s="4">
        <f ca="1">_xll.DBRW($B$1,$B$2,$B$7,$B$3,$B$4,$B$5,$F207,$B$6,O$10,$A207,$B207)</f>
        <v>3378312</v>
      </c>
      <c r="P207" s="4">
        <f ca="1">_xll.DBRW($B$1,$B$2,$B$7,$B$3,$B$4,$B$5,$F207,$B$6,P$10,$A207,$B207)</f>
        <v>3002944</v>
      </c>
      <c r="Q207" s="4">
        <f ca="1">_xll.DBRW($B$1,$B$2,$B$7,$B$3,$B$4,$B$5,$F207,$B$6,Q$10,$A207,$B207)</f>
        <v>3002944</v>
      </c>
      <c r="R207" s="4">
        <f ca="1">_xll.DBRW($B$1,$B$2,$B$7,$B$3,$B$4,$B$5,$F207,$B$6,R$10,$A207,$B207)</f>
        <v>0</v>
      </c>
      <c r="S207" s="4">
        <f ca="1">_xll.DBRW($B$1,$B$2,$B$7,$B$3,$B$4,$B$5,$F207,$B$6,S$10,$A207,$B207)</f>
        <v>0</v>
      </c>
      <c r="T207" s="4">
        <f ca="1">_xll.DBRW($B$1,$B$2,$B$7,$B$3,$B$4,$B$5,$F207,$B$6,T$10,$A207,$B207)</f>
        <v>0</v>
      </c>
      <c r="U207" s="4">
        <f ca="1">_xll.DBRW($B$1,$B$2,$B$7,$B$3,$B$4,$B$5,$F207,$B$6,U$10,$A207,$B207)</f>
        <v>0</v>
      </c>
      <c r="V207" s="4">
        <f ca="1">_xll.DBRW($B$1,$B$2,$B$7,$B$3,$B$4,$B$5,$F207,$B$6,V$10,$A207,$B207)</f>
        <v>0</v>
      </c>
      <c r="W207" s="4">
        <f ca="1">_xll.DBRW($B$1,$B$2,$B$7,$B$3,$B$4,$B$5,$F207,$B$6,W$10,$A207,$B207)</f>
        <v>3378312</v>
      </c>
      <c r="X207" s="4">
        <f ca="1">_xll.DBRW($B$1,$B$2,$B$7,$B$3,$B$4,$B$5,$F207,$B$6,X$10,$A207,$B207)</f>
        <v>3378312</v>
      </c>
      <c r="Y207" s="4">
        <f ca="1">_xll.DBRW($B$1,$B$2,$B$7,$B$3,$B$4,$B$5,$F207,$B$6,Y$10,$A207,$B207)</f>
        <v>3002944</v>
      </c>
      <c r="Z207" s="4">
        <f ca="1">_xll.DBRW($B$1,$B$2,$B$7,$B$3,$B$4,$B$5,$F207,$B$6,Z$10,$A207,$B207)</f>
        <v>3378312</v>
      </c>
      <c r="AA207" s="4">
        <f ca="1">_xll.DBRW($B$1,$B$2,$B$7,$B$3,$B$4,$B$5,$F207,$B$6,AA$10,$A207,$B207)</f>
        <v>3378312</v>
      </c>
      <c r="AB207" s="4">
        <f ca="1">_xll.DBRW($B$1,$B$2,$B$7,$B$3,$B$4,$B$5,$F207,$B$6,AB$10,$A207,$B207)</f>
        <v>3002944</v>
      </c>
      <c r="AC207" s="4">
        <f ca="1">_xll.DBRW($B$1,$B$2,$B$7,$B$3,$B$4,$B$5,$F207,$B$6,AC$10,$A207,$B207)</f>
        <v>3002944</v>
      </c>
      <c r="AD207" s="4">
        <f ca="1">_xll.DBRW($B$1,$B$2,$B$7,$B$3,$B$4,$B$5,$F207,$B$6,AD$10,$A207,$B207)</f>
        <v>0</v>
      </c>
      <c r="AE207" s="4">
        <f ca="1">_xll.DBRW($B$1,$B$2,$B$7,$B$3,$B$4,$B$5,$F207,$B$6,AE$10,$A207,$B207)</f>
        <v>0</v>
      </c>
    </row>
    <row r="208" spans="1:31">
      <c r="A208" s="1" t="s">
        <v>152</v>
      </c>
      <c r="B208" s="5" t="s">
        <v>57</v>
      </c>
      <c r="C208" s="5" t="s">
        <v>58</v>
      </c>
      <c r="D208" s="5" t="s">
        <v>59</v>
      </c>
      <c r="E208" s="5" t="s">
        <v>60</v>
      </c>
      <c r="F208" s="5" t="s">
        <v>24</v>
      </c>
      <c r="G208" s="6"/>
      <c r="H208" s="6"/>
      <c r="I208" s="6"/>
      <c r="J208" s="6"/>
      <c r="K208" s="6"/>
      <c r="L208" s="4">
        <f ca="1">_xll.DBRW($B$1,$B$2,$B$7,$B$3,$B$4,$B$5,$F208,$B$6,L$10,$A208,$B208)</f>
        <v>3378312</v>
      </c>
      <c r="M208" s="4">
        <f ca="1">_xll.DBRW($B$1,$B$2,$B$7,$B$3,$B$4,$B$5,$F208,$B$6,M$10,$A208,$B208)</f>
        <v>3002944</v>
      </c>
      <c r="N208" s="4">
        <f ca="1">_xll.DBRW($B$1,$B$2,$B$7,$B$3,$B$4,$B$5,$F208,$B$6,N$10,$A208,$B208)</f>
        <v>3378312</v>
      </c>
      <c r="O208" s="4">
        <f ca="1">_xll.DBRW($B$1,$B$2,$B$7,$B$3,$B$4,$B$5,$F208,$B$6,O$10,$A208,$B208)</f>
        <v>3378312</v>
      </c>
      <c r="P208" s="4">
        <f ca="1">_xll.DBRW($B$1,$B$2,$B$7,$B$3,$B$4,$B$5,$F208,$B$6,P$10,$A208,$B208)</f>
        <v>3002944</v>
      </c>
      <c r="Q208" s="4">
        <f ca="1">_xll.DBRW($B$1,$B$2,$B$7,$B$3,$B$4,$B$5,$F208,$B$6,Q$10,$A208,$B208)</f>
        <v>3002944</v>
      </c>
      <c r="R208" s="4">
        <f ca="1">_xll.DBRW($B$1,$B$2,$B$7,$B$3,$B$4,$B$5,$F208,$B$6,R$10,$A208,$B208)</f>
        <v>0</v>
      </c>
      <c r="S208" s="4">
        <f ca="1">_xll.DBRW($B$1,$B$2,$B$7,$B$3,$B$4,$B$5,$F208,$B$6,S$10,$A208,$B208)</f>
        <v>0</v>
      </c>
      <c r="T208" s="4">
        <f ca="1">_xll.DBRW($B$1,$B$2,$B$7,$B$3,$B$4,$B$5,$F208,$B$6,T$10,$A208,$B208)</f>
        <v>0</v>
      </c>
      <c r="U208" s="4">
        <f ca="1">_xll.DBRW($B$1,$B$2,$B$7,$B$3,$B$4,$B$5,$F208,$B$6,U$10,$A208,$B208)</f>
        <v>0</v>
      </c>
      <c r="V208" s="4">
        <f ca="1">_xll.DBRW($B$1,$B$2,$B$7,$B$3,$B$4,$B$5,$F208,$B$6,V$10,$A208,$B208)</f>
        <v>0</v>
      </c>
      <c r="W208" s="4">
        <f ca="1">_xll.DBRW($B$1,$B$2,$B$7,$B$3,$B$4,$B$5,$F208,$B$6,W$10,$A208,$B208)</f>
        <v>3378312</v>
      </c>
      <c r="X208" s="4">
        <f ca="1">_xll.DBRW($B$1,$B$2,$B$7,$B$3,$B$4,$B$5,$F208,$B$6,X$10,$A208,$B208)</f>
        <v>3378312</v>
      </c>
      <c r="Y208" s="4">
        <f ca="1">_xll.DBRW($B$1,$B$2,$B$7,$B$3,$B$4,$B$5,$F208,$B$6,Y$10,$A208,$B208)</f>
        <v>3002944</v>
      </c>
      <c r="Z208" s="4">
        <f ca="1">_xll.DBRW($B$1,$B$2,$B$7,$B$3,$B$4,$B$5,$F208,$B$6,Z$10,$A208,$B208)</f>
        <v>3378312</v>
      </c>
      <c r="AA208" s="4">
        <f ca="1">_xll.DBRW($B$1,$B$2,$B$7,$B$3,$B$4,$B$5,$F208,$B$6,AA$10,$A208,$B208)</f>
        <v>3378312</v>
      </c>
      <c r="AB208" s="4">
        <f ca="1">_xll.DBRW($B$1,$B$2,$B$7,$B$3,$B$4,$B$5,$F208,$B$6,AB$10,$A208,$B208)</f>
        <v>3378312</v>
      </c>
      <c r="AC208" s="4">
        <f ca="1">_xll.DBRW($B$1,$B$2,$B$7,$B$3,$B$4,$B$5,$F208,$B$6,AC$10,$A208,$B208)</f>
        <v>2627576</v>
      </c>
      <c r="AD208" s="4">
        <f ca="1">_xll.DBRW($B$1,$B$2,$B$7,$B$3,$B$4,$B$5,$F208,$B$6,AD$10,$A208,$B208)</f>
        <v>0</v>
      </c>
      <c r="AE208" s="4">
        <f ca="1">_xll.DBRW($B$1,$B$2,$B$7,$B$3,$B$4,$B$5,$F208,$B$6,AE$10,$A208,$B208)</f>
        <v>0</v>
      </c>
    </row>
    <row r="209" spans="1:31">
      <c r="A209" s="1" t="s">
        <v>152</v>
      </c>
      <c r="B209" s="5" t="s">
        <v>256</v>
      </c>
      <c r="C209" s="5" t="s">
        <v>206</v>
      </c>
      <c r="D209" s="5" t="s">
        <v>21</v>
      </c>
      <c r="E209" s="5" t="s">
        <v>181</v>
      </c>
      <c r="F209" s="5" t="s">
        <v>24</v>
      </c>
      <c r="G209" s="6"/>
      <c r="H209" s="6"/>
      <c r="I209" s="6"/>
      <c r="J209" s="6"/>
      <c r="K209" s="6"/>
      <c r="L209" s="4">
        <f ca="1">_xll.DBRW($B$1,$B$2,$B$7,$B$3,$B$4,$B$5,$F209,$B$6,L$10,$A209,$B209)</f>
        <v>0</v>
      </c>
      <c r="M209" s="4">
        <f ca="1">_xll.DBRW($B$1,$B$2,$B$7,$B$3,$B$4,$B$5,$F209,$B$6,M$10,$A209,$B209)</f>
        <v>0</v>
      </c>
      <c r="N209" s="4">
        <f ca="1">_xll.DBRW($B$1,$B$2,$B$7,$B$3,$B$4,$B$5,$F209,$B$6,N$10,$A209,$B209)</f>
        <v>0</v>
      </c>
      <c r="O209" s="4">
        <f ca="1">_xll.DBRW($B$1,$B$2,$B$7,$B$3,$B$4,$B$5,$F209,$B$6,O$10,$A209,$B209)</f>
        <v>0</v>
      </c>
      <c r="P209" s="4">
        <f ca="1">_xll.DBRW($B$1,$B$2,$B$7,$B$3,$B$4,$B$5,$F209,$B$6,P$10,$A209,$B209)</f>
        <v>0</v>
      </c>
      <c r="Q209" s="4">
        <f ca="1">_xll.DBRW($B$1,$B$2,$B$7,$B$3,$B$4,$B$5,$F209,$B$6,Q$10,$A209,$B209)</f>
        <v>0</v>
      </c>
      <c r="R209" s="4">
        <f ca="1">_xll.DBRW($B$1,$B$2,$B$7,$B$3,$B$4,$B$5,$F209,$B$6,R$10,$A209,$B209)</f>
        <v>0</v>
      </c>
      <c r="S209" s="4">
        <f ca="1">_xll.DBRW($B$1,$B$2,$B$7,$B$3,$B$4,$B$5,$F209,$B$6,S$10,$A209,$B209)</f>
        <v>0</v>
      </c>
      <c r="T209" s="4">
        <f ca="1">_xll.DBRW($B$1,$B$2,$B$7,$B$3,$B$4,$B$5,$F209,$B$6,T$10,$A209,$B209)</f>
        <v>0</v>
      </c>
      <c r="U209" s="4">
        <f ca="1">_xll.DBRW($B$1,$B$2,$B$7,$B$3,$B$4,$B$5,$F209,$B$6,U$10,$A209,$B209)</f>
        <v>0</v>
      </c>
      <c r="V209" s="4">
        <f ca="1">_xll.DBRW($B$1,$B$2,$B$7,$B$3,$B$4,$B$5,$F209,$B$6,V$10,$A209,$B209)</f>
        <v>0</v>
      </c>
      <c r="W209" s="4">
        <f ca="1">_xll.DBRW($B$1,$B$2,$B$7,$B$3,$B$4,$B$5,$F209,$B$6,W$10,$A209,$B209)</f>
        <v>0</v>
      </c>
      <c r="X209" s="4">
        <f ca="1">_xll.DBRW($B$1,$B$2,$B$7,$B$3,$B$4,$B$5,$F209,$B$6,X$10,$A209,$B209)</f>
        <v>0</v>
      </c>
      <c r="Y209" s="4">
        <f ca="1">_xll.DBRW($B$1,$B$2,$B$7,$B$3,$B$4,$B$5,$F209,$B$6,Y$10,$A209,$B209)</f>
        <v>0</v>
      </c>
      <c r="Z209" s="4">
        <f ca="1">_xll.DBRW($B$1,$B$2,$B$7,$B$3,$B$4,$B$5,$F209,$B$6,Z$10,$A209,$B209)</f>
        <v>0</v>
      </c>
      <c r="AA209" s="4">
        <f ca="1">_xll.DBRW($B$1,$B$2,$B$7,$B$3,$B$4,$B$5,$F209,$B$6,AA$10,$A209,$B209)</f>
        <v>0</v>
      </c>
      <c r="AB209" s="4">
        <f ca="1">_xll.DBRW($B$1,$B$2,$B$7,$B$3,$B$4,$B$5,$F209,$B$6,AB$10,$A209,$B209)</f>
        <v>0</v>
      </c>
      <c r="AC209" s="4">
        <f ca="1">_xll.DBRW($B$1,$B$2,$B$7,$B$3,$B$4,$B$5,$F209,$B$6,AC$10,$A209,$B209)</f>
        <v>0</v>
      </c>
      <c r="AD209" s="4">
        <f ca="1">_xll.DBRW($B$1,$B$2,$B$7,$B$3,$B$4,$B$5,$F209,$B$6,AD$10,$A209,$B209)</f>
        <v>0</v>
      </c>
      <c r="AE209" s="4">
        <f ca="1">_xll.DBRW($B$1,$B$2,$B$7,$B$3,$B$4,$B$5,$F209,$B$6,AE$10,$A209,$B209)</f>
        <v>0</v>
      </c>
    </row>
    <row r="210" spans="1:31">
      <c r="A210" s="1" t="s">
        <v>152</v>
      </c>
      <c r="B210" s="5" t="s">
        <v>257</v>
      </c>
      <c r="C210" s="5" t="s">
        <v>208</v>
      </c>
      <c r="D210" s="5" t="s">
        <v>181</v>
      </c>
      <c r="E210" s="5" t="s">
        <v>21</v>
      </c>
      <c r="F210" s="5" t="s">
        <v>24</v>
      </c>
      <c r="G210" s="6"/>
      <c r="H210" s="6"/>
      <c r="I210" s="6"/>
      <c r="J210" s="6"/>
      <c r="K210" s="6"/>
      <c r="L210" s="4">
        <f ca="1">_xll.DBRW($B$1,$B$2,$B$7,$B$3,$B$4,$B$5,$F210,$B$6,L$10,$A210,$B210)</f>
        <v>0</v>
      </c>
      <c r="M210" s="4">
        <f ca="1">_xll.DBRW($B$1,$B$2,$B$7,$B$3,$B$4,$B$5,$F210,$B$6,M$10,$A210,$B210)</f>
        <v>0</v>
      </c>
      <c r="N210" s="4">
        <f ca="1">_xll.DBRW($B$1,$B$2,$B$7,$B$3,$B$4,$B$5,$F210,$B$6,N$10,$A210,$B210)</f>
        <v>0</v>
      </c>
      <c r="O210" s="4">
        <f ca="1">_xll.DBRW($B$1,$B$2,$B$7,$B$3,$B$4,$B$5,$F210,$B$6,O$10,$A210,$B210)</f>
        <v>0</v>
      </c>
      <c r="P210" s="4">
        <f ca="1">_xll.DBRW($B$1,$B$2,$B$7,$B$3,$B$4,$B$5,$F210,$B$6,P$10,$A210,$B210)</f>
        <v>0</v>
      </c>
      <c r="Q210" s="4">
        <f ca="1">_xll.DBRW($B$1,$B$2,$B$7,$B$3,$B$4,$B$5,$F210,$B$6,Q$10,$A210,$B210)</f>
        <v>0</v>
      </c>
      <c r="R210" s="4">
        <f ca="1">_xll.DBRW($B$1,$B$2,$B$7,$B$3,$B$4,$B$5,$F210,$B$6,R$10,$A210,$B210)</f>
        <v>0</v>
      </c>
      <c r="S210" s="4">
        <f ca="1">_xll.DBRW($B$1,$B$2,$B$7,$B$3,$B$4,$B$5,$F210,$B$6,S$10,$A210,$B210)</f>
        <v>0</v>
      </c>
      <c r="T210" s="4">
        <f ca="1">_xll.DBRW($B$1,$B$2,$B$7,$B$3,$B$4,$B$5,$F210,$B$6,T$10,$A210,$B210)</f>
        <v>0</v>
      </c>
      <c r="U210" s="4">
        <f ca="1">_xll.DBRW($B$1,$B$2,$B$7,$B$3,$B$4,$B$5,$F210,$B$6,U$10,$A210,$B210)</f>
        <v>0</v>
      </c>
      <c r="V210" s="4">
        <f ca="1">_xll.DBRW($B$1,$B$2,$B$7,$B$3,$B$4,$B$5,$F210,$B$6,V$10,$A210,$B210)</f>
        <v>0</v>
      </c>
      <c r="W210" s="4">
        <f ca="1">_xll.DBRW($B$1,$B$2,$B$7,$B$3,$B$4,$B$5,$F210,$B$6,W$10,$A210,$B210)</f>
        <v>0</v>
      </c>
      <c r="X210" s="4">
        <f ca="1">_xll.DBRW($B$1,$B$2,$B$7,$B$3,$B$4,$B$5,$F210,$B$6,X$10,$A210,$B210)</f>
        <v>0</v>
      </c>
      <c r="Y210" s="4">
        <f ca="1">_xll.DBRW($B$1,$B$2,$B$7,$B$3,$B$4,$B$5,$F210,$B$6,Y$10,$A210,$B210)</f>
        <v>0</v>
      </c>
      <c r="Z210" s="4">
        <f ca="1">_xll.DBRW($B$1,$B$2,$B$7,$B$3,$B$4,$B$5,$F210,$B$6,Z$10,$A210,$B210)</f>
        <v>0</v>
      </c>
      <c r="AA210" s="4">
        <f ca="1">_xll.DBRW($B$1,$B$2,$B$7,$B$3,$B$4,$B$5,$F210,$B$6,AA$10,$A210,$B210)</f>
        <v>0</v>
      </c>
      <c r="AB210" s="4">
        <f ca="1">_xll.DBRW($B$1,$B$2,$B$7,$B$3,$B$4,$B$5,$F210,$B$6,AB$10,$A210,$B210)</f>
        <v>0</v>
      </c>
      <c r="AC210" s="4">
        <f ca="1">_xll.DBRW($B$1,$B$2,$B$7,$B$3,$B$4,$B$5,$F210,$B$6,AC$10,$A210,$B210)</f>
        <v>0</v>
      </c>
      <c r="AD210" s="4">
        <f ca="1">_xll.DBRW($B$1,$B$2,$B$7,$B$3,$B$4,$B$5,$F210,$B$6,AD$10,$A210,$B210)</f>
        <v>0</v>
      </c>
      <c r="AE210" s="4">
        <f ca="1">_xll.DBRW($B$1,$B$2,$B$7,$B$3,$B$4,$B$5,$F210,$B$6,AE$10,$A210,$B210)</f>
        <v>0</v>
      </c>
    </row>
    <row r="211" spans="1:31">
      <c r="A211" s="1" t="s">
        <v>152</v>
      </c>
      <c r="B211" s="5" t="s">
        <v>258</v>
      </c>
      <c r="C211" s="5" t="s">
        <v>259</v>
      </c>
      <c r="D211" s="5" t="s">
        <v>21</v>
      </c>
      <c r="E211" s="5" t="s">
        <v>260</v>
      </c>
      <c r="F211" s="5" t="s">
        <v>24</v>
      </c>
      <c r="G211" s="6"/>
      <c r="H211" s="6"/>
      <c r="I211" s="6"/>
      <c r="J211" s="6"/>
      <c r="K211" s="6"/>
      <c r="L211" s="4">
        <f ca="1">_xll.DBRW($B$1,$B$2,$B$7,$B$3,$B$4,$B$5,$F211,$B$6,L$10,$A211,$B211)</f>
        <v>9075780</v>
      </c>
      <c r="M211" s="4">
        <f ca="1">_xll.DBRW($B$1,$B$2,$B$7,$B$3,$B$4,$B$5,$F211,$B$6,M$10,$A211,$B211)</f>
        <v>8103375</v>
      </c>
      <c r="N211" s="4">
        <f ca="1">_xll.DBRW($B$1,$B$2,$B$7,$B$3,$B$4,$B$5,$F211,$B$6,N$10,$A211,$B211)</f>
        <v>9724050</v>
      </c>
      <c r="O211" s="4">
        <f ca="1">_xll.DBRW($B$1,$B$2,$B$7,$B$3,$B$4,$B$5,$F211,$B$6,O$10,$A211,$B211)</f>
        <v>9724050</v>
      </c>
      <c r="P211" s="4">
        <f ca="1">_xll.DBRW($B$1,$B$2,$B$7,$B$3,$B$4,$B$5,$F211,$B$6,P$10,$A211,$B211)</f>
        <v>9399915</v>
      </c>
      <c r="Q211" s="4">
        <f ca="1">_xll.DBRW($B$1,$B$2,$B$7,$B$3,$B$4,$B$5,$F211,$B$6,Q$10,$A211,$B211)</f>
        <v>9724050</v>
      </c>
      <c r="R211" s="4">
        <f ca="1">_xll.DBRW($B$1,$B$2,$B$7,$B$3,$B$4,$B$5,$F211,$B$6,R$10,$A211,$B211)</f>
        <v>9399915</v>
      </c>
      <c r="S211" s="4">
        <f ca="1">_xll.DBRW($B$1,$B$2,$B$7,$B$3,$B$4,$B$5,$F211,$B$6,S$10,$A211,$B211)</f>
        <v>9724050</v>
      </c>
      <c r="T211" s="4">
        <f ca="1">_xll.DBRW($B$1,$B$2,$B$7,$B$3,$B$4,$B$5,$F211,$B$6,T$10,$A211,$B211)</f>
        <v>10048185</v>
      </c>
      <c r="U211" s="4">
        <f ca="1">_xll.DBRW($B$1,$B$2,$B$7,$B$3,$B$4,$B$5,$F211,$B$6,U$10,$A211,$B211)</f>
        <v>9075780</v>
      </c>
      <c r="V211" s="4">
        <f ca="1">_xll.DBRW($B$1,$B$2,$B$7,$B$3,$B$4,$B$5,$F211,$B$6,V$10,$A211,$B211)</f>
        <v>10048185</v>
      </c>
      <c r="W211" s="4">
        <f ca="1">_xll.DBRW($B$1,$B$2,$B$7,$B$3,$B$4,$B$5,$F211,$B$6,W$10,$A211,$B211)</f>
        <v>9724050</v>
      </c>
      <c r="X211" s="4">
        <f ca="1">_xll.DBRW($B$1,$B$2,$B$7,$B$3,$B$4,$B$5,$F211,$B$6,X$10,$A211,$B211)</f>
        <v>10048185</v>
      </c>
      <c r="Y211" s="4">
        <f ca="1">_xll.DBRW($B$1,$B$2,$B$7,$B$3,$B$4,$B$5,$F211,$B$6,Y$10,$A211,$B211)</f>
        <v>9724050</v>
      </c>
      <c r="Z211" s="4">
        <f ca="1">_xll.DBRW($B$1,$B$2,$B$7,$B$3,$B$4,$B$5,$F211,$B$6,Z$10,$A211,$B211)</f>
        <v>10048185</v>
      </c>
      <c r="AA211" s="4">
        <f ca="1">_xll.DBRW($B$1,$B$2,$B$7,$B$3,$B$4,$B$5,$F211,$B$6,AA$10,$A211,$B211)</f>
        <v>10048185</v>
      </c>
      <c r="AB211" s="4">
        <f ca="1">_xll.DBRW($B$1,$B$2,$B$7,$B$3,$B$4,$B$5,$F211,$B$6,AB$10,$A211,$B211)</f>
        <v>9724050</v>
      </c>
      <c r="AC211" s="4">
        <f ca="1">_xll.DBRW($B$1,$B$2,$B$7,$B$3,$B$4,$B$5,$F211,$B$6,AC$10,$A211,$B211)</f>
        <v>10048185</v>
      </c>
      <c r="AD211" s="4">
        <f ca="1">_xll.DBRW($B$1,$B$2,$B$7,$B$3,$B$4,$B$5,$F211,$B$6,AD$10,$A211,$B211)</f>
        <v>9724050</v>
      </c>
      <c r="AE211" s="4">
        <f ca="1">_xll.DBRW($B$1,$B$2,$B$7,$B$3,$B$4,$B$5,$F211,$B$6,AE$10,$A211,$B211)</f>
        <v>10048185</v>
      </c>
    </row>
    <row r="212" spans="1:31">
      <c r="A212" s="1" t="s">
        <v>152</v>
      </c>
      <c r="B212" s="5" t="s">
        <v>261</v>
      </c>
      <c r="C212" s="5" t="s">
        <v>262</v>
      </c>
      <c r="D212" s="5" t="s">
        <v>260</v>
      </c>
      <c r="E212" s="5" t="s">
        <v>21</v>
      </c>
      <c r="F212" s="5" t="s">
        <v>24</v>
      </c>
      <c r="G212" s="6"/>
      <c r="H212" s="6"/>
      <c r="I212" s="6"/>
      <c r="J212" s="6"/>
      <c r="K212" s="6"/>
      <c r="L212" s="4">
        <f ca="1">_xll.DBRW($B$1,$B$2,$B$7,$B$3,$B$4,$B$5,$F212,$B$6,L$10,$A212,$B212)</f>
        <v>9075780</v>
      </c>
      <c r="M212" s="4">
        <f ca="1">_xll.DBRW($B$1,$B$2,$B$7,$B$3,$B$4,$B$5,$F212,$B$6,M$10,$A212,$B212)</f>
        <v>8103375</v>
      </c>
      <c r="N212" s="4">
        <f ca="1">_xll.DBRW($B$1,$B$2,$B$7,$B$3,$B$4,$B$5,$F212,$B$6,N$10,$A212,$B212)</f>
        <v>9724050</v>
      </c>
      <c r="O212" s="4">
        <f ca="1">_xll.DBRW($B$1,$B$2,$B$7,$B$3,$B$4,$B$5,$F212,$B$6,O$10,$A212,$B212)</f>
        <v>9724050</v>
      </c>
      <c r="P212" s="4">
        <f ca="1">_xll.DBRW($B$1,$B$2,$B$7,$B$3,$B$4,$B$5,$F212,$B$6,P$10,$A212,$B212)</f>
        <v>9399915</v>
      </c>
      <c r="Q212" s="4">
        <f ca="1">_xll.DBRW($B$1,$B$2,$B$7,$B$3,$B$4,$B$5,$F212,$B$6,Q$10,$A212,$B212)</f>
        <v>9724050</v>
      </c>
      <c r="R212" s="4">
        <f ca="1">_xll.DBRW($B$1,$B$2,$B$7,$B$3,$B$4,$B$5,$F212,$B$6,R$10,$A212,$B212)</f>
        <v>9399915</v>
      </c>
      <c r="S212" s="4">
        <f ca="1">_xll.DBRW($B$1,$B$2,$B$7,$B$3,$B$4,$B$5,$F212,$B$6,S$10,$A212,$B212)</f>
        <v>9724050</v>
      </c>
      <c r="T212" s="4">
        <f ca="1">_xll.DBRW($B$1,$B$2,$B$7,$B$3,$B$4,$B$5,$F212,$B$6,T$10,$A212,$B212)</f>
        <v>10048185</v>
      </c>
      <c r="U212" s="4">
        <f ca="1">_xll.DBRW($B$1,$B$2,$B$7,$B$3,$B$4,$B$5,$F212,$B$6,U$10,$A212,$B212)</f>
        <v>9075780</v>
      </c>
      <c r="V212" s="4">
        <f ca="1">_xll.DBRW($B$1,$B$2,$B$7,$B$3,$B$4,$B$5,$F212,$B$6,V$10,$A212,$B212)</f>
        <v>10048185</v>
      </c>
      <c r="W212" s="4">
        <f ca="1">_xll.DBRW($B$1,$B$2,$B$7,$B$3,$B$4,$B$5,$F212,$B$6,W$10,$A212,$B212)</f>
        <v>9724050</v>
      </c>
      <c r="X212" s="4">
        <f ca="1">_xll.DBRW($B$1,$B$2,$B$7,$B$3,$B$4,$B$5,$F212,$B$6,X$10,$A212,$B212)</f>
        <v>10048185</v>
      </c>
      <c r="Y212" s="4">
        <f ca="1">_xll.DBRW($B$1,$B$2,$B$7,$B$3,$B$4,$B$5,$F212,$B$6,Y$10,$A212,$B212)</f>
        <v>9724050</v>
      </c>
      <c r="Z212" s="4">
        <f ca="1">_xll.DBRW($B$1,$B$2,$B$7,$B$3,$B$4,$B$5,$F212,$B$6,Z$10,$A212,$B212)</f>
        <v>10048185</v>
      </c>
      <c r="AA212" s="4">
        <f ca="1">_xll.DBRW($B$1,$B$2,$B$7,$B$3,$B$4,$B$5,$F212,$B$6,AA$10,$A212,$B212)</f>
        <v>10048185</v>
      </c>
      <c r="AB212" s="4">
        <f ca="1">_xll.DBRW($B$1,$B$2,$B$7,$B$3,$B$4,$B$5,$F212,$B$6,AB$10,$A212,$B212)</f>
        <v>9724050</v>
      </c>
      <c r="AC212" s="4">
        <f ca="1">_xll.DBRW($B$1,$B$2,$B$7,$B$3,$B$4,$B$5,$F212,$B$6,AC$10,$A212,$B212)</f>
        <v>10048185</v>
      </c>
      <c r="AD212" s="4">
        <f ca="1">_xll.DBRW($B$1,$B$2,$B$7,$B$3,$B$4,$B$5,$F212,$B$6,AD$10,$A212,$B212)</f>
        <v>9724050</v>
      </c>
      <c r="AE212" s="4">
        <f ca="1">_xll.DBRW($B$1,$B$2,$B$7,$B$3,$B$4,$B$5,$F212,$B$6,AE$10,$A212,$B212)</f>
        <v>10048185</v>
      </c>
    </row>
    <row r="213" spans="1:31">
      <c r="A213" s="1" t="s">
        <v>152</v>
      </c>
      <c r="B213" s="5" t="s">
        <v>263</v>
      </c>
      <c r="C213" s="5" t="s">
        <v>264</v>
      </c>
      <c r="D213" s="5" t="s">
        <v>21</v>
      </c>
      <c r="E213" s="5" t="s">
        <v>265</v>
      </c>
      <c r="F213" s="5" t="s">
        <v>24</v>
      </c>
      <c r="G213" s="6"/>
      <c r="H213" s="6"/>
      <c r="I213" s="6"/>
      <c r="J213" s="6"/>
      <c r="K213" s="6"/>
      <c r="L213" s="4">
        <f ca="1">_xll.DBRW($B$1,$B$2,$B$7,$B$3,$B$4,$B$5,$F213,$B$6,L$10,$A213,$B213)</f>
        <v>7317240</v>
      </c>
      <c r="M213" s="4">
        <f ca="1">_xll.DBRW($B$1,$B$2,$B$7,$B$3,$B$4,$B$5,$F213,$B$6,M$10,$A213,$B213)</f>
        <v>7081200</v>
      </c>
      <c r="N213" s="4">
        <f ca="1">_xll.DBRW($B$1,$B$2,$B$7,$B$3,$B$4,$B$5,$F213,$B$6,N$10,$A213,$B213)</f>
        <v>7317240</v>
      </c>
      <c r="O213" s="4">
        <f ca="1">_xll.DBRW($B$1,$B$2,$B$7,$B$3,$B$4,$B$5,$F213,$B$6,O$10,$A213,$B213)</f>
        <v>7317240</v>
      </c>
      <c r="P213" s="4">
        <f ca="1">_xll.DBRW($B$1,$B$2,$B$7,$B$3,$B$4,$B$5,$F213,$B$6,P$10,$A213,$B213)</f>
        <v>7081200</v>
      </c>
      <c r="Q213" s="4">
        <f ca="1">_xll.DBRW($B$1,$B$2,$B$7,$B$3,$B$4,$B$5,$F213,$B$6,Q$10,$A213,$B213)</f>
        <v>8025360</v>
      </c>
      <c r="R213" s="4">
        <f ca="1">_xll.DBRW($B$1,$B$2,$B$7,$B$3,$B$4,$B$5,$F213,$B$6,R$10,$A213,$B213)</f>
        <v>11329920</v>
      </c>
      <c r="S213" s="4">
        <f ca="1">_xll.DBRW($B$1,$B$2,$B$7,$B$3,$B$4,$B$5,$F213,$B$6,S$10,$A213,$B213)</f>
        <v>11707584</v>
      </c>
      <c r="T213" s="4">
        <f ca="1">_xll.DBRW($B$1,$B$2,$B$7,$B$3,$B$4,$B$5,$F213,$B$6,T$10,$A213,$B213)</f>
        <v>11707584</v>
      </c>
      <c r="U213" s="4">
        <f ca="1">_xll.DBRW($B$1,$B$2,$B$7,$B$3,$B$4,$B$5,$F213,$B$6,U$10,$A213,$B213)</f>
        <v>10574592</v>
      </c>
      <c r="V213" s="4">
        <f ca="1">_xll.DBRW($B$1,$B$2,$B$7,$B$3,$B$4,$B$5,$F213,$B$6,V$10,$A213,$B213)</f>
        <v>11424336</v>
      </c>
      <c r="W213" s="4">
        <f ca="1">_xll.DBRW($B$1,$B$2,$B$7,$B$3,$B$4,$B$5,$F213,$B$6,W$10,$A213,$B213)</f>
        <v>7081200</v>
      </c>
      <c r="X213" s="4">
        <f ca="1">_xll.DBRW($B$1,$B$2,$B$7,$B$3,$B$4,$B$5,$F213,$B$6,X$10,$A213,$B213)</f>
        <v>7317240</v>
      </c>
      <c r="Y213" s="4">
        <f ca="1">_xll.DBRW($B$1,$B$2,$B$7,$B$3,$B$4,$B$5,$F213,$B$6,Y$10,$A213,$B213)</f>
        <v>7081200</v>
      </c>
      <c r="Z213" s="4">
        <f ca="1">_xll.DBRW($B$1,$B$2,$B$7,$B$3,$B$4,$B$5,$F213,$B$6,Z$10,$A213,$B213)</f>
        <v>7317240</v>
      </c>
      <c r="AA213" s="4">
        <f ca="1">_xll.DBRW($B$1,$B$2,$B$7,$B$3,$B$4,$B$5,$F213,$B$6,AA$10,$A213,$B213)</f>
        <v>7317240</v>
      </c>
      <c r="AB213" s="4">
        <f ca="1">_xll.DBRW($B$1,$B$2,$B$7,$B$3,$B$4,$B$5,$F213,$B$6,AB$10,$A213,$B213)</f>
        <v>7081200</v>
      </c>
      <c r="AC213" s="4">
        <f ca="1">_xll.DBRW($B$1,$B$2,$B$7,$B$3,$B$4,$B$5,$F213,$B$6,AC$10,$A213,$B213)</f>
        <v>8166984</v>
      </c>
      <c r="AD213" s="4">
        <f ca="1">_xll.DBRW($B$1,$B$2,$B$7,$B$3,$B$4,$B$5,$F213,$B$6,AD$10,$A213,$B213)</f>
        <v>11329920</v>
      </c>
      <c r="AE213" s="4">
        <f ca="1">_xll.DBRW($B$1,$B$2,$B$7,$B$3,$B$4,$B$5,$F213,$B$6,AE$10,$A213,$B213)</f>
        <v>11707584</v>
      </c>
    </row>
    <row r="214" spans="1:31">
      <c r="A214" s="1" t="s">
        <v>152</v>
      </c>
      <c r="B214" s="5" t="s">
        <v>266</v>
      </c>
      <c r="C214" s="5" t="s">
        <v>267</v>
      </c>
      <c r="D214" s="5" t="s">
        <v>265</v>
      </c>
      <c r="E214" s="5" t="s">
        <v>21</v>
      </c>
      <c r="F214" s="5" t="s">
        <v>24</v>
      </c>
      <c r="G214" s="6"/>
      <c r="H214" s="6"/>
      <c r="I214" s="6"/>
      <c r="J214" s="6"/>
      <c r="K214" s="6"/>
      <c r="L214" s="4">
        <f ca="1">_xll.DBRW($B$1,$B$2,$B$7,$B$3,$B$4,$B$5,$F214,$B$6,L$10,$A214,$B214)</f>
        <v>7317240</v>
      </c>
      <c r="M214" s="4">
        <f ca="1">_xll.DBRW($B$1,$B$2,$B$7,$B$3,$B$4,$B$5,$F214,$B$6,M$10,$A214,$B214)</f>
        <v>7081200</v>
      </c>
      <c r="N214" s="4">
        <f ca="1">_xll.DBRW($B$1,$B$2,$B$7,$B$3,$B$4,$B$5,$F214,$B$6,N$10,$A214,$B214)</f>
        <v>7317240</v>
      </c>
      <c r="O214" s="4">
        <f ca="1">_xll.DBRW($B$1,$B$2,$B$7,$B$3,$B$4,$B$5,$F214,$B$6,O$10,$A214,$B214)</f>
        <v>7317240</v>
      </c>
      <c r="P214" s="4">
        <f ca="1">_xll.DBRW($B$1,$B$2,$B$7,$B$3,$B$4,$B$5,$F214,$B$6,P$10,$A214,$B214)</f>
        <v>7081200</v>
      </c>
      <c r="Q214" s="4">
        <f ca="1">_xll.DBRW($B$1,$B$2,$B$7,$B$3,$B$4,$B$5,$F214,$B$6,Q$10,$A214,$B214)</f>
        <v>8025360</v>
      </c>
      <c r="R214" s="4">
        <f ca="1">_xll.DBRW($B$1,$B$2,$B$7,$B$3,$B$4,$B$5,$F214,$B$6,R$10,$A214,$B214)</f>
        <v>11329920</v>
      </c>
      <c r="S214" s="4">
        <f ca="1">_xll.DBRW($B$1,$B$2,$B$7,$B$3,$B$4,$B$5,$F214,$B$6,S$10,$A214,$B214)</f>
        <v>11707584</v>
      </c>
      <c r="T214" s="4">
        <f ca="1">_xll.DBRW($B$1,$B$2,$B$7,$B$3,$B$4,$B$5,$F214,$B$6,T$10,$A214,$B214)</f>
        <v>11707584</v>
      </c>
      <c r="U214" s="4">
        <f ca="1">_xll.DBRW($B$1,$B$2,$B$7,$B$3,$B$4,$B$5,$F214,$B$6,U$10,$A214,$B214)</f>
        <v>10574592</v>
      </c>
      <c r="V214" s="4">
        <f ca="1">_xll.DBRW($B$1,$B$2,$B$7,$B$3,$B$4,$B$5,$F214,$B$6,V$10,$A214,$B214)</f>
        <v>11424336</v>
      </c>
      <c r="W214" s="4">
        <f ca="1">_xll.DBRW($B$1,$B$2,$B$7,$B$3,$B$4,$B$5,$F214,$B$6,W$10,$A214,$B214)</f>
        <v>7081200</v>
      </c>
      <c r="X214" s="4">
        <f ca="1">_xll.DBRW($B$1,$B$2,$B$7,$B$3,$B$4,$B$5,$F214,$B$6,X$10,$A214,$B214)</f>
        <v>7317240</v>
      </c>
      <c r="Y214" s="4">
        <f ca="1">_xll.DBRW($B$1,$B$2,$B$7,$B$3,$B$4,$B$5,$F214,$B$6,Y$10,$A214,$B214)</f>
        <v>7081200</v>
      </c>
      <c r="Z214" s="4">
        <f ca="1">_xll.DBRW($B$1,$B$2,$B$7,$B$3,$B$4,$B$5,$F214,$B$6,Z$10,$A214,$B214)</f>
        <v>7317240</v>
      </c>
      <c r="AA214" s="4">
        <f ca="1">_xll.DBRW($B$1,$B$2,$B$7,$B$3,$B$4,$B$5,$F214,$B$6,AA$10,$A214,$B214)</f>
        <v>7317240</v>
      </c>
      <c r="AB214" s="4">
        <f ca="1">_xll.DBRW($B$1,$B$2,$B$7,$B$3,$B$4,$B$5,$F214,$B$6,AB$10,$A214,$B214)</f>
        <v>7081200</v>
      </c>
      <c r="AC214" s="4">
        <f ca="1">_xll.DBRW($B$1,$B$2,$B$7,$B$3,$B$4,$B$5,$F214,$B$6,AC$10,$A214,$B214)</f>
        <v>8166984</v>
      </c>
      <c r="AD214" s="4">
        <f ca="1">_xll.DBRW($B$1,$B$2,$B$7,$B$3,$B$4,$B$5,$F214,$B$6,AD$10,$A214,$B214)</f>
        <v>11329920</v>
      </c>
      <c r="AE214" s="4">
        <f ca="1">_xll.DBRW($B$1,$B$2,$B$7,$B$3,$B$4,$B$5,$F214,$B$6,AE$10,$A214,$B214)</f>
        <v>11707584</v>
      </c>
    </row>
    <row r="215" spans="1:31">
      <c r="A215" s="1" t="s">
        <v>152</v>
      </c>
      <c r="B215" s="5" t="s">
        <v>268</v>
      </c>
      <c r="C215" s="5" t="s">
        <v>264</v>
      </c>
      <c r="D215" s="5" t="s">
        <v>21</v>
      </c>
      <c r="E215" s="5" t="s">
        <v>265</v>
      </c>
      <c r="F215" s="5" t="s">
        <v>24</v>
      </c>
      <c r="G215" s="6"/>
      <c r="H215" s="6"/>
      <c r="I215" s="6"/>
      <c r="J215" s="6"/>
      <c r="K215" s="6"/>
      <c r="L215" s="4">
        <f ca="1">_xll.DBRW($B$1,$B$2,$B$7,$B$3,$B$4,$B$5,$F215,$B$6,L$10,$A215,$B215)</f>
        <v>11707584</v>
      </c>
      <c r="M215" s="4">
        <f ca="1">_xll.DBRW($B$1,$B$2,$B$7,$B$3,$B$4,$B$5,$F215,$B$6,M$10,$A215,$B215)</f>
        <v>11329920</v>
      </c>
      <c r="N215" s="4">
        <f ca="1">_xll.DBRW($B$1,$B$2,$B$7,$B$3,$B$4,$B$5,$F215,$B$6,N$10,$A215,$B215)</f>
        <v>11707584</v>
      </c>
      <c r="O215" s="4">
        <f ca="1">_xll.DBRW($B$1,$B$2,$B$7,$B$3,$B$4,$B$5,$F215,$B$6,O$10,$A215,$B215)</f>
        <v>11707584</v>
      </c>
      <c r="P215" s="4">
        <f ca="1">_xll.DBRW($B$1,$B$2,$B$7,$B$3,$B$4,$B$5,$F215,$B$6,P$10,$A215,$B215)</f>
        <v>11329920</v>
      </c>
      <c r="Q215" s="4">
        <f ca="1">_xll.DBRW($B$1,$B$2,$B$7,$B$3,$B$4,$B$5,$F215,$B$6,Q$10,$A215,$B215)</f>
        <v>11707584</v>
      </c>
      <c r="R215" s="4">
        <f ca="1">_xll.DBRW($B$1,$B$2,$B$7,$B$3,$B$4,$B$5,$F215,$B$6,R$10,$A215,$B215)</f>
        <v>11329920</v>
      </c>
      <c r="S215" s="4">
        <f ca="1">_xll.DBRW($B$1,$B$2,$B$7,$B$3,$B$4,$B$5,$F215,$B$6,S$10,$A215,$B215)</f>
        <v>11707584</v>
      </c>
      <c r="T215" s="4">
        <f ca="1">_xll.DBRW($B$1,$B$2,$B$7,$B$3,$B$4,$B$5,$F215,$B$6,T$10,$A215,$B215)</f>
        <v>7317240</v>
      </c>
      <c r="U215" s="4">
        <f ca="1">_xll.DBRW($B$1,$B$2,$B$7,$B$3,$B$4,$B$5,$F215,$B$6,U$10,$A215,$B215)</f>
        <v>6609120</v>
      </c>
      <c r="V215" s="4">
        <f ca="1">_xll.DBRW($B$1,$B$2,$B$7,$B$3,$B$4,$B$5,$F215,$B$6,V$10,$A215,$B215)</f>
        <v>7600488</v>
      </c>
      <c r="W215" s="4">
        <f ca="1">_xll.DBRW($B$1,$B$2,$B$7,$B$3,$B$4,$B$5,$F215,$B$6,W$10,$A215,$B215)</f>
        <v>11329920</v>
      </c>
      <c r="X215" s="4">
        <f ca="1">_xll.DBRW($B$1,$B$2,$B$7,$B$3,$B$4,$B$5,$F215,$B$6,X$10,$A215,$B215)</f>
        <v>11707584</v>
      </c>
      <c r="Y215" s="4">
        <f ca="1">_xll.DBRW($B$1,$B$2,$B$7,$B$3,$B$4,$B$5,$F215,$B$6,Y$10,$A215,$B215)</f>
        <v>11329920</v>
      </c>
      <c r="Z215" s="4">
        <f ca="1">_xll.DBRW($B$1,$B$2,$B$7,$B$3,$B$4,$B$5,$F215,$B$6,Z$10,$A215,$B215)</f>
        <v>11707584</v>
      </c>
      <c r="AA215" s="4">
        <f ca="1">_xll.DBRW($B$1,$B$2,$B$7,$B$3,$B$4,$B$5,$F215,$B$6,AA$10,$A215,$B215)</f>
        <v>11707584</v>
      </c>
      <c r="AB215" s="4">
        <f ca="1">_xll.DBRW($B$1,$B$2,$B$7,$B$3,$B$4,$B$5,$F215,$B$6,AB$10,$A215,$B215)</f>
        <v>11329920</v>
      </c>
      <c r="AC215" s="4">
        <f ca="1">_xll.DBRW($B$1,$B$2,$B$7,$B$3,$B$4,$B$5,$F215,$B$6,AC$10,$A215,$B215)</f>
        <v>10857840</v>
      </c>
      <c r="AD215" s="4">
        <f ca="1">_xll.DBRW($B$1,$B$2,$B$7,$B$3,$B$4,$B$5,$F215,$B$6,AD$10,$A215,$B215)</f>
        <v>7081200</v>
      </c>
      <c r="AE215" s="4">
        <f ca="1">_xll.DBRW($B$1,$B$2,$B$7,$B$3,$B$4,$B$5,$F215,$B$6,AE$10,$A215,$B215)</f>
        <v>7317240</v>
      </c>
    </row>
    <row r="216" spans="1:31">
      <c r="A216" s="1" t="s">
        <v>152</v>
      </c>
      <c r="B216" s="5" t="s">
        <v>269</v>
      </c>
      <c r="C216" s="5" t="s">
        <v>267</v>
      </c>
      <c r="D216" s="5" t="s">
        <v>265</v>
      </c>
      <c r="E216" s="5" t="s">
        <v>21</v>
      </c>
      <c r="F216" s="5" t="s">
        <v>24</v>
      </c>
      <c r="G216" s="6"/>
      <c r="H216" s="6"/>
      <c r="I216" s="6"/>
      <c r="J216" s="6"/>
      <c r="K216" s="6"/>
      <c r="L216" s="4">
        <f ca="1">_xll.DBRW($B$1,$B$2,$B$7,$B$3,$B$4,$B$5,$F216,$B$6,L$10,$A216,$B216)</f>
        <v>11707584</v>
      </c>
      <c r="M216" s="4">
        <f ca="1">_xll.DBRW($B$1,$B$2,$B$7,$B$3,$B$4,$B$5,$F216,$B$6,M$10,$A216,$B216)</f>
        <v>11329920</v>
      </c>
      <c r="N216" s="4">
        <f ca="1">_xll.DBRW($B$1,$B$2,$B$7,$B$3,$B$4,$B$5,$F216,$B$6,N$10,$A216,$B216)</f>
        <v>11707584</v>
      </c>
      <c r="O216" s="4">
        <f ca="1">_xll.DBRW($B$1,$B$2,$B$7,$B$3,$B$4,$B$5,$F216,$B$6,O$10,$A216,$B216)</f>
        <v>11707584</v>
      </c>
      <c r="P216" s="4">
        <f ca="1">_xll.DBRW($B$1,$B$2,$B$7,$B$3,$B$4,$B$5,$F216,$B$6,P$10,$A216,$B216)</f>
        <v>11329920</v>
      </c>
      <c r="Q216" s="4">
        <f ca="1">_xll.DBRW($B$1,$B$2,$B$7,$B$3,$B$4,$B$5,$F216,$B$6,Q$10,$A216,$B216)</f>
        <v>11707584</v>
      </c>
      <c r="R216" s="4">
        <f ca="1">_xll.DBRW($B$1,$B$2,$B$7,$B$3,$B$4,$B$5,$F216,$B$6,R$10,$A216,$B216)</f>
        <v>11329920</v>
      </c>
      <c r="S216" s="4">
        <f ca="1">_xll.DBRW($B$1,$B$2,$B$7,$B$3,$B$4,$B$5,$F216,$B$6,S$10,$A216,$B216)</f>
        <v>11707584</v>
      </c>
      <c r="T216" s="4">
        <f ca="1">_xll.DBRW($B$1,$B$2,$B$7,$B$3,$B$4,$B$5,$F216,$B$6,T$10,$A216,$B216)</f>
        <v>7317240</v>
      </c>
      <c r="U216" s="4">
        <f ca="1">_xll.DBRW($B$1,$B$2,$B$7,$B$3,$B$4,$B$5,$F216,$B$6,U$10,$A216,$B216)</f>
        <v>6609120</v>
      </c>
      <c r="V216" s="4">
        <f ca="1">_xll.DBRW($B$1,$B$2,$B$7,$B$3,$B$4,$B$5,$F216,$B$6,V$10,$A216,$B216)</f>
        <v>7600488</v>
      </c>
      <c r="W216" s="4">
        <f ca="1">_xll.DBRW($B$1,$B$2,$B$7,$B$3,$B$4,$B$5,$F216,$B$6,W$10,$A216,$B216)</f>
        <v>11329920</v>
      </c>
      <c r="X216" s="4">
        <f ca="1">_xll.DBRW($B$1,$B$2,$B$7,$B$3,$B$4,$B$5,$F216,$B$6,X$10,$A216,$B216)</f>
        <v>11707584</v>
      </c>
      <c r="Y216" s="4">
        <f ca="1">_xll.DBRW($B$1,$B$2,$B$7,$B$3,$B$4,$B$5,$F216,$B$6,Y$10,$A216,$B216)</f>
        <v>11329920</v>
      </c>
      <c r="Z216" s="4">
        <f ca="1">_xll.DBRW($B$1,$B$2,$B$7,$B$3,$B$4,$B$5,$F216,$B$6,Z$10,$A216,$B216)</f>
        <v>11707584</v>
      </c>
      <c r="AA216" s="4">
        <f ca="1">_xll.DBRW($B$1,$B$2,$B$7,$B$3,$B$4,$B$5,$F216,$B$6,AA$10,$A216,$B216)</f>
        <v>11707584</v>
      </c>
      <c r="AB216" s="4">
        <f ca="1">_xll.DBRW($B$1,$B$2,$B$7,$B$3,$B$4,$B$5,$F216,$B$6,AB$10,$A216,$B216)</f>
        <v>11329920</v>
      </c>
      <c r="AC216" s="4">
        <f ca="1">_xll.DBRW($B$1,$B$2,$B$7,$B$3,$B$4,$B$5,$F216,$B$6,AC$10,$A216,$B216)</f>
        <v>10621800</v>
      </c>
      <c r="AD216" s="4">
        <f ca="1">_xll.DBRW($B$1,$B$2,$B$7,$B$3,$B$4,$B$5,$F216,$B$6,AD$10,$A216,$B216)</f>
        <v>7081200</v>
      </c>
      <c r="AE216" s="4">
        <f ca="1">_xll.DBRW($B$1,$B$2,$B$7,$B$3,$B$4,$B$5,$F216,$B$6,AE$10,$A216,$B216)</f>
        <v>7317240</v>
      </c>
    </row>
    <row r="217" spans="1:31">
      <c r="A217" s="1" t="s">
        <v>152</v>
      </c>
      <c r="B217" s="5" t="s">
        <v>270</v>
      </c>
      <c r="C217" s="5" t="s">
        <v>271</v>
      </c>
      <c r="D217" s="5" t="s">
        <v>21</v>
      </c>
      <c r="E217" s="5" t="s">
        <v>272</v>
      </c>
      <c r="F217" s="5" t="s">
        <v>24</v>
      </c>
      <c r="G217" s="6"/>
      <c r="H217" s="6"/>
      <c r="I217" s="6"/>
      <c r="J217" s="6"/>
      <c r="K217" s="6"/>
      <c r="L217" s="4">
        <f ca="1">_xll.DBRW($B$1,$B$2,$B$7,$B$3,$B$4,$B$5,$F217,$B$6,L$10,$A217,$B217)</f>
        <v>8736420</v>
      </c>
      <c r="M217" s="4">
        <f ca="1">_xll.DBRW($B$1,$B$2,$B$7,$B$3,$B$4,$B$5,$F217,$B$6,M$10,$A217,$B217)</f>
        <v>8454600</v>
      </c>
      <c r="N217" s="4">
        <f ca="1">_xll.DBRW($B$1,$B$2,$B$7,$B$3,$B$4,$B$5,$F217,$B$6,N$10,$A217,$B217)</f>
        <v>8736420</v>
      </c>
      <c r="O217" s="4">
        <f ca="1">_xll.DBRW($B$1,$B$2,$B$7,$B$3,$B$4,$B$5,$F217,$B$6,O$10,$A217,$B217)</f>
        <v>8736420</v>
      </c>
      <c r="P217" s="4">
        <f ca="1">_xll.DBRW($B$1,$B$2,$B$7,$B$3,$B$4,$B$5,$F217,$B$6,P$10,$A217,$B217)</f>
        <v>8454600</v>
      </c>
      <c r="Q217" s="4">
        <f ca="1">_xll.DBRW($B$1,$B$2,$B$7,$B$3,$B$4,$B$5,$F217,$B$6,Q$10,$A217,$B217)</f>
        <v>8736420</v>
      </c>
      <c r="R217" s="4">
        <f ca="1">_xll.DBRW($B$1,$B$2,$B$7,$B$3,$B$4,$B$5,$F217,$B$6,R$10,$A217,$B217)</f>
        <v>8454600</v>
      </c>
      <c r="S217" s="4">
        <f ca="1">_xll.DBRW($B$1,$B$2,$B$7,$B$3,$B$4,$B$5,$F217,$B$6,S$10,$A217,$B217)</f>
        <v>8736420</v>
      </c>
      <c r="T217" s="4">
        <f ca="1">_xll.DBRW($B$1,$B$2,$B$7,$B$3,$B$4,$B$5,$F217,$B$6,T$10,$A217,$B217)</f>
        <v>8736420</v>
      </c>
      <c r="U217" s="4">
        <f ca="1">_xll.DBRW($B$1,$B$2,$B$7,$B$3,$B$4,$B$5,$F217,$B$6,U$10,$A217,$B217)</f>
        <v>7890960</v>
      </c>
      <c r="V217" s="4">
        <f ca="1">_xll.DBRW($B$1,$B$2,$B$7,$B$3,$B$4,$B$5,$F217,$B$6,V$10,$A217,$B217)</f>
        <v>8736420</v>
      </c>
      <c r="W217" s="4">
        <f ca="1">_xll.DBRW($B$1,$B$2,$B$7,$B$3,$B$4,$B$5,$F217,$B$6,W$10,$A217,$B217)</f>
        <v>8454600</v>
      </c>
      <c r="X217" s="4">
        <f ca="1">_xll.DBRW($B$1,$B$2,$B$7,$B$3,$B$4,$B$5,$F217,$B$6,X$10,$A217,$B217)</f>
        <v>8736420</v>
      </c>
      <c r="Y217" s="4">
        <f ca="1">_xll.DBRW($B$1,$B$2,$B$7,$B$3,$B$4,$B$5,$F217,$B$6,Y$10,$A217,$B217)</f>
        <v>8454600</v>
      </c>
      <c r="Z217" s="4">
        <f ca="1">_xll.DBRW($B$1,$B$2,$B$7,$B$3,$B$4,$B$5,$F217,$B$6,Z$10,$A217,$B217)</f>
        <v>8736420</v>
      </c>
      <c r="AA217" s="4">
        <f ca="1">_xll.DBRW($B$1,$B$2,$B$7,$B$3,$B$4,$B$5,$F217,$B$6,AA$10,$A217,$B217)</f>
        <v>8736420</v>
      </c>
      <c r="AB217" s="4">
        <f ca="1">_xll.DBRW($B$1,$B$2,$B$7,$B$3,$B$4,$B$5,$F217,$B$6,AB$10,$A217,$B217)</f>
        <v>8454600</v>
      </c>
      <c r="AC217" s="4">
        <f ca="1">_xll.DBRW($B$1,$B$2,$B$7,$B$3,$B$4,$B$5,$F217,$B$6,AC$10,$A217,$B217)</f>
        <v>8736420</v>
      </c>
      <c r="AD217" s="4">
        <f ca="1">_xll.DBRW($B$1,$B$2,$B$7,$B$3,$B$4,$B$5,$F217,$B$6,AD$10,$A217,$B217)</f>
        <v>8454600</v>
      </c>
      <c r="AE217" s="4">
        <f ca="1">_xll.DBRW($B$1,$B$2,$B$7,$B$3,$B$4,$B$5,$F217,$B$6,AE$10,$A217,$B217)</f>
        <v>8736420</v>
      </c>
    </row>
    <row r="218" spans="1:31">
      <c r="A218" s="1" t="s">
        <v>152</v>
      </c>
      <c r="B218" s="5" t="s">
        <v>273</v>
      </c>
      <c r="C218" s="5" t="s">
        <v>274</v>
      </c>
      <c r="D218" s="5" t="s">
        <v>272</v>
      </c>
      <c r="E218" s="5" t="s">
        <v>21</v>
      </c>
      <c r="F218" s="5" t="s">
        <v>24</v>
      </c>
      <c r="G218" s="6"/>
      <c r="H218" s="6"/>
      <c r="I218" s="6"/>
      <c r="J218" s="6"/>
      <c r="K218" s="6"/>
      <c r="L218" s="4">
        <f ca="1">_xll.DBRW($B$1,$B$2,$B$7,$B$3,$B$4,$B$5,$F218,$B$6,L$10,$A218,$B218)</f>
        <v>8736420</v>
      </c>
      <c r="M218" s="4">
        <f ca="1">_xll.DBRW($B$1,$B$2,$B$7,$B$3,$B$4,$B$5,$F218,$B$6,M$10,$A218,$B218)</f>
        <v>8454600</v>
      </c>
      <c r="N218" s="4">
        <f ca="1">_xll.DBRW($B$1,$B$2,$B$7,$B$3,$B$4,$B$5,$F218,$B$6,N$10,$A218,$B218)</f>
        <v>8736420</v>
      </c>
      <c r="O218" s="4">
        <f ca="1">_xll.DBRW($B$1,$B$2,$B$7,$B$3,$B$4,$B$5,$F218,$B$6,O$10,$A218,$B218)</f>
        <v>8736420</v>
      </c>
      <c r="P218" s="4">
        <f ca="1">_xll.DBRW($B$1,$B$2,$B$7,$B$3,$B$4,$B$5,$F218,$B$6,P$10,$A218,$B218)</f>
        <v>8454600</v>
      </c>
      <c r="Q218" s="4">
        <f ca="1">_xll.DBRW($B$1,$B$2,$B$7,$B$3,$B$4,$B$5,$F218,$B$6,Q$10,$A218,$B218)</f>
        <v>8736420</v>
      </c>
      <c r="R218" s="4">
        <f ca="1">_xll.DBRW($B$1,$B$2,$B$7,$B$3,$B$4,$B$5,$F218,$B$6,R$10,$A218,$B218)</f>
        <v>8454600</v>
      </c>
      <c r="S218" s="4">
        <f ca="1">_xll.DBRW($B$1,$B$2,$B$7,$B$3,$B$4,$B$5,$F218,$B$6,S$10,$A218,$B218)</f>
        <v>8736420</v>
      </c>
      <c r="T218" s="4">
        <f ca="1">_xll.DBRW($B$1,$B$2,$B$7,$B$3,$B$4,$B$5,$F218,$B$6,T$10,$A218,$B218)</f>
        <v>8736420</v>
      </c>
      <c r="U218" s="4">
        <f ca="1">_xll.DBRW($B$1,$B$2,$B$7,$B$3,$B$4,$B$5,$F218,$B$6,U$10,$A218,$B218)</f>
        <v>7890960</v>
      </c>
      <c r="V218" s="4">
        <f ca="1">_xll.DBRW($B$1,$B$2,$B$7,$B$3,$B$4,$B$5,$F218,$B$6,V$10,$A218,$B218)</f>
        <v>8736420</v>
      </c>
      <c r="W218" s="4">
        <f ca="1">_xll.DBRW($B$1,$B$2,$B$7,$B$3,$B$4,$B$5,$F218,$B$6,W$10,$A218,$B218)</f>
        <v>8454600</v>
      </c>
      <c r="X218" s="4">
        <f ca="1">_xll.DBRW($B$1,$B$2,$B$7,$B$3,$B$4,$B$5,$F218,$B$6,X$10,$A218,$B218)</f>
        <v>8736420</v>
      </c>
      <c r="Y218" s="4">
        <f ca="1">_xll.DBRW($B$1,$B$2,$B$7,$B$3,$B$4,$B$5,$F218,$B$6,Y$10,$A218,$B218)</f>
        <v>8454600</v>
      </c>
      <c r="Z218" s="4">
        <f ca="1">_xll.DBRW($B$1,$B$2,$B$7,$B$3,$B$4,$B$5,$F218,$B$6,Z$10,$A218,$B218)</f>
        <v>8736420</v>
      </c>
      <c r="AA218" s="4">
        <f ca="1">_xll.DBRW($B$1,$B$2,$B$7,$B$3,$B$4,$B$5,$F218,$B$6,AA$10,$A218,$B218)</f>
        <v>8736420</v>
      </c>
      <c r="AB218" s="4">
        <f ca="1">_xll.DBRW($B$1,$B$2,$B$7,$B$3,$B$4,$B$5,$F218,$B$6,AB$10,$A218,$B218)</f>
        <v>8454600</v>
      </c>
      <c r="AC218" s="4">
        <f ca="1">_xll.DBRW($B$1,$B$2,$B$7,$B$3,$B$4,$B$5,$F218,$B$6,AC$10,$A218,$B218)</f>
        <v>8454600</v>
      </c>
      <c r="AD218" s="4">
        <f ca="1">_xll.DBRW($B$1,$B$2,$B$7,$B$3,$B$4,$B$5,$F218,$B$6,AD$10,$A218,$B218)</f>
        <v>8454600</v>
      </c>
      <c r="AE218" s="4">
        <f ca="1">_xll.DBRW($B$1,$B$2,$B$7,$B$3,$B$4,$B$5,$F218,$B$6,AE$10,$A218,$B218)</f>
        <v>8736420</v>
      </c>
    </row>
    <row r="219" spans="1:31">
      <c r="A219" s="1" t="s">
        <v>152</v>
      </c>
      <c r="B219" s="5" t="s">
        <v>275</v>
      </c>
      <c r="C219" s="5" t="s">
        <v>276</v>
      </c>
      <c r="D219" s="5" t="s">
        <v>21</v>
      </c>
      <c r="E219" s="5" t="s">
        <v>277</v>
      </c>
      <c r="F219" s="5" t="s">
        <v>24</v>
      </c>
      <c r="G219" s="6"/>
      <c r="H219" s="6"/>
      <c r="I219" s="6"/>
      <c r="J219" s="6"/>
      <c r="K219" s="6"/>
      <c r="L219" s="4">
        <f ca="1">_xll.DBRW($B$1,$B$2,$B$7,$B$3,$B$4,$B$5,$F219,$B$6,L$10,$A219,$B219)</f>
        <v>7834785</v>
      </c>
      <c r="M219" s="4">
        <f ca="1">_xll.DBRW($B$1,$B$2,$B$7,$B$3,$B$4,$B$5,$F219,$B$6,M$10,$A219,$B219)</f>
        <v>7582050</v>
      </c>
      <c r="N219" s="4">
        <f ca="1">_xll.DBRW($B$1,$B$2,$B$7,$B$3,$B$4,$B$5,$F219,$B$6,N$10,$A219,$B219)</f>
        <v>7834785</v>
      </c>
      <c r="O219" s="4">
        <f ca="1">_xll.DBRW($B$1,$B$2,$B$7,$B$3,$B$4,$B$5,$F219,$B$6,O$10,$A219,$B219)</f>
        <v>7834785</v>
      </c>
      <c r="P219" s="4">
        <f ca="1">_xll.DBRW($B$1,$B$2,$B$7,$B$3,$B$4,$B$5,$F219,$B$6,P$10,$A219,$B219)</f>
        <v>7582050</v>
      </c>
      <c r="Q219" s="4">
        <f ca="1">_xll.DBRW($B$1,$B$2,$B$7,$B$3,$B$4,$B$5,$F219,$B$6,Q$10,$A219,$B219)</f>
        <v>7834785</v>
      </c>
      <c r="R219" s="4">
        <f ca="1">_xll.DBRW($B$1,$B$2,$B$7,$B$3,$B$4,$B$5,$F219,$B$6,R$10,$A219,$B219)</f>
        <v>7582050</v>
      </c>
      <c r="S219" s="4">
        <f ca="1">_xll.DBRW($B$1,$B$2,$B$7,$B$3,$B$4,$B$5,$F219,$B$6,S$10,$A219,$B219)</f>
        <v>7834785</v>
      </c>
      <c r="T219" s="4">
        <f ca="1">_xll.DBRW($B$1,$B$2,$B$7,$B$3,$B$4,$B$5,$F219,$B$6,T$10,$A219,$B219)</f>
        <v>12535656</v>
      </c>
      <c r="U219" s="4">
        <f ca="1">_xll.DBRW($B$1,$B$2,$B$7,$B$3,$B$4,$B$5,$F219,$B$6,U$10,$A219,$B219)</f>
        <v>11322528</v>
      </c>
      <c r="V219" s="4">
        <f ca="1">_xll.DBRW($B$1,$B$2,$B$7,$B$3,$B$4,$B$5,$F219,$B$6,V$10,$A219,$B219)</f>
        <v>12232374</v>
      </c>
      <c r="W219" s="4">
        <f ca="1">_xll.DBRW($B$1,$B$2,$B$7,$B$3,$B$4,$B$5,$F219,$B$6,W$10,$A219,$B219)</f>
        <v>7582050</v>
      </c>
      <c r="X219" s="4">
        <f ca="1">_xll.DBRW($B$1,$B$2,$B$7,$B$3,$B$4,$B$5,$F219,$B$6,X$10,$A219,$B219)</f>
        <v>7834785</v>
      </c>
      <c r="Y219" s="4">
        <f ca="1">_xll.DBRW($B$1,$B$2,$B$7,$B$3,$B$4,$B$5,$F219,$B$6,Y$10,$A219,$B219)</f>
        <v>7582050</v>
      </c>
      <c r="Z219" s="4">
        <f ca="1">_xll.DBRW($B$1,$B$2,$B$7,$B$3,$B$4,$B$5,$F219,$B$6,Z$10,$A219,$B219)</f>
        <v>7834785</v>
      </c>
      <c r="AA219" s="4">
        <f ca="1">_xll.DBRW($B$1,$B$2,$B$7,$B$3,$B$4,$B$5,$F219,$B$6,AA$10,$A219,$B219)</f>
        <v>7834785</v>
      </c>
      <c r="AB219" s="4">
        <f ca="1">_xll.DBRW($B$1,$B$2,$B$7,$B$3,$B$4,$B$5,$F219,$B$6,AB$10,$A219,$B219)</f>
        <v>7582050</v>
      </c>
      <c r="AC219" s="4">
        <f ca="1">_xll.DBRW($B$1,$B$2,$B$7,$B$3,$B$4,$B$5,$F219,$B$6,AC$10,$A219,$B219)</f>
        <v>8744631</v>
      </c>
      <c r="AD219" s="4">
        <f ca="1">_xll.DBRW($B$1,$B$2,$B$7,$B$3,$B$4,$B$5,$F219,$B$6,AD$10,$A219,$B219)</f>
        <v>12131280</v>
      </c>
      <c r="AE219" s="4">
        <f ca="1">_xll.DBRW($B$1,$B$2,$B$7,$B$3,$B$4,$B$5,$F219,$B$6,AE$10,$A219,$B219)</f>
        <v>12535656</v>
      </c>
    </row>
    <row r="220" spans="1:31">
      <c r="A220" s="1" t="s">
        <v>152</v>
      </c>
      <c r="B220" s="5" t="s">
        <v>278</v>
      </c>
      <c r="C220" s="5" t="s">
        <v>279</v>
      </c>
      <c r="D220" s="5" t="s">
        <v>277</v>
      </c>
      <c r="E220" s="5" t="s">
        <v>21</v>
      </c>
      <c r="F220" s="5" t="s">
        <v>24</v>
      </c>
      <c r="G220" s="6"/>
      <c r="H220" s="6"/>
      <c r="I220" s="6"/>
      <c r="J220" s="6"/>
      <c r="K220" s="6"/>
      <c r="L220" s="4">
        <f ca="1">_xll.DBRW($B$1,$B$2,$B$7,$B$3,$B$4,$B$5,$F220,$B$6,L$10,$A220,$B220)</f>
        <v>7834785</v>
      </c>
      <c r="M220" s="4">
        <f ca="1">_xll.DBRW($B$1,$B$2,$B$7,$B$3,$B$4,$B$5,$F220,$B$6,M$10,$A220,$B220)</f>
        <v>7582050</v>
      </c>
      <c r="N220" s="4">
        <f ca="1">_xll.DBRW($B$1,$B$2,$B$7,$B$3,$B$4,$B$5,$F220,$B$6,N$10,$A220,$B220)</f>
        <v>7834785</v>
      </c>
      <c r="O220" s="4">
        <f ca="1">_xll.DBRW($B$1,$B$2,$B$7,$B$3,$B$4,$B$5,$F220,$B$6,O$10,$A220,$B220)</f>
        <v>7834785</v>
      </c>
      <c r="P220" s="4">
        <f ca="1">_xll.DBRW($B$1,$B$2,$B$7,$B$3,$B$4,$B$5,$F220,$B$6,P$10,$A220,$B220)</f>
        <v>7582050</v>
      </c>
      <c r="Q220" s="4">
        <f ca="1">_xll.DBRW($B$1,$B$2,$B$7,$B$3,$B$4,$B$5,$F220,$B$6,Q$10,$A220,$B220)</f>
        <v>7834785</v>
      </c>
      <c r="R220" s="4">
        <f ca="1">_xll.DBRW($B$1,$B$2,$B$7,$B$3,$B$4,$B$5,$F220,$B$6,R$10,$A220,$B220)</f>
        <v>7582050</v>
      </c>
      <c r="S220" s="4">
        <f ca="1">_xll.DBRW($B$1,$B$2,$B$7,$B$3,$B$4,$B$5,$F220,$B$6,S$10,$A220,$B220)</f>
        <v>7834785</v>
      </c>
      <c r="T220" s="4">
        <f ca="1">_xll.DBRW($B$1,$B$2,$B$7,$B$3,$B$4,$B$5,$F220,$B$6,T$10,$A220,$B220)</f>
        <v>12535656</v>
      </c>
      <c r="U220" s="4">
        <f ca="1">_xll.DBRW($B$1,$B$2,$B$7,$B$3,$B$4,$B$5,$F220,$B$6,U$10,$A220,$B220)</f>
        <v>11322528</v>
      </c>
      <c r="V220" s="4">
        <f ca="1">_xll.DBRW($B$1,$B$2,$B$7,$B$3,$B$4,$B$5,$F220,$B$6,V$10,$A220,$B220)</f>
        <v>12232374</v>
      </c>
      <c r="W220" s="4">
        <f ca="1">_xll.DBRW($B$1,$B$2,$B$7,$B$3,$B$4,$B$5,$F220,$B$6,W$10,$A220,$B220)</f>
        <v>7582050</v>
      </c>
      <c r="X220" s="4">
        <f ca="1">_xll.DBRW($B$1,$B$2,$B$7,$B$3,$B$4,$B$5,$F220,$B$6,X$10,$A220,$B220)</f>
        <v>7834785</v>
      </c>
      <c r="Y220" s="4">
        <f ca="1">_xll.DBRW($B$1,$B$2,$B$7,$B$3,$B$4,$B$5,$F220,$B$6,Y$10,$A220,$B220)</f>
        <v>7582050</v>
      </c>
      <c r="Z220" s="4">
        <f ca="1">_xll.DBRW($B$1,$B$2,$B$7,$B$3,$B$4,$B$5,$F220,$B$6,Z$10,$A220,$B220)</f>
        <v>7834785</v>
      </c>
      <c r="AA220" s="4">
        <f ca="1">_xll.DBRW($B$1,$B$2,$B$7,$B$3,$B$4,$B$5,$F220,$B$6,AA$10,$A220,$B220)</f>
        <v>7834785</v>
      </c>
      <c r="AB220" s="4">
        <f ca="1">_xll.DBRW($B$1,$B$2,$B$7,$B$3,$B$4,$B$5,$F220,$B$6,AB$10,$A220,$B220)</f>
        <v>7582050</v>
      </c>
      <c r="AC220" s="4">
        <f ca="1">_xll.DBRW($B$1,$B$2,$B$7,$B$3,$B$4,$B$5,$F220,$B$6,AC$10,$A220,$B220)</f>
        <v>8744631</v>
      </c>
      <c r="AD220" s="4">
        <f ca="1">_xll.DBRW($B$1,$B$2,$B$7,$B$3,$B$4,$B$5,$F220,$B$6,AD$10,$A220,$B220)</f>
        <v>12131280</v>
      </c>
      <c r="AE220" s="4">
        <f ca="1">_xll.DBRW($B$1,$B$2,$B$7,$B$3,$B$4,$B$5,$F220,$B$6,AE$10,$A220,$B220)</f>
        <v>12535656</v>
      </c>
    </row>
    <row r="221" spans="1:31">
      <c r="A221" s="1" t="s">
        <v>152</v>
      </c>
      <c r="B221" s="5" t="s">
        <v>280</v>
      </c>
      <c r="C221" s="5" t="s">
        <v>276</v>
      </c>
      <c r="D221" s="5" t="s">
        <v>21</v>
      </c>
      <c r="E221" s="5" t="s">
        <v>277</v>
      </c>
      <c r="F221" s="5" t="s">
        <v>24</v>
      </c>
      <c r="G221" s="6"/>
      <c r="H221" s="6"/>
      <c r="I221" s="6"/>
      <c r="J221" s="6"/>
      <c r="K221" s="6"/>
      <c r="L221" s="4">
        <f ca="1">_xll.DBRW($B$1,$B$2,$B$7,$B$3,$B$4,$B$5,$F221,$B$6,L$10,$A221,$B221)</f>
        <v>0</v>
      </c>
      <c r="M221" s="4">
        <f ca="1">_xll.DBRW($B$1,$B$2,$B$7,$B$3,$B$4,$B$5,$F221,$B$6,M$10,$A221,$B221)</f>
        <v>0</v>
      </c>
      <c r="N221" s="4">
        <f ca="1">_xll.DBRW($B$1,$B$2,$B$7,$B$3,$B$4,$B$5,$F221,$B$6,N$10,$A221,$B221)</f>
        <v>0</v>
      </c>
      <c r="O221" s="4">
        <f ca="1">_xll.DBRW($B$1,$B$2,$B$7,$B$3,$B$4,$B$5,$F221,$B$6,O$10,$A221,$B221)</f>
        <v>0</v>
      </c>
      <c r="P221" s="4">
        <f ca="1">_xll.DBRW($B$1,$B$2,$B$7,$B$3,$B$4,$B$5,$F221,$B$6,P$10,$A221,$B221)</f>
        <v>0</v>
      </c>
      <c r="Q221" s="4">
        <f ca="1">_xll.DBRW($B$1,$B$2,$B$7,$B$3,$B$4,$B$5,$F221,$B$6,Q$10,$A221,$B221)</f>
        <v>2021880</v>
      </c>
      <c r="R221" s="4">
        <f ca="1">_xll.DBRW($B$1,$B$2,$B$7,$B$3,$B$4,$B$5,$F221,$B$6,R$10,$A221,$B221)</f>
        <v>12131280</v>
      </c>
      <c r="S221" s="4">
        <f ca="1">_xll.DBRW($B$1,$B$2,$B$7,$B$3,$B$4,$B$5,$F221,$B$6,S$10,$A221,$B221)</f>
        <v>12535656</v>
      </c>
      <c r="T221" s="4">
        <f ca="1">_xll.DBRW($B$1,$B$2,$B$7,$B$3,$B$4,$B$5,$F221,$B$6,T$10,$A221,$B221)</f>
        <v>0</v>
      </c>
      <c r="U221" s="4">
        <f ca="1">_xll.DBRW($B$1,$B$2,$B$7,$B$3,$B$4,$B$5,$F221,$B$6,U$10,$A221,$B221)</f>
        <v>0</v>
      </c>
      <c r="V221" s="4">
        <f ca="1">_xll.DBRW($B$1,$B$2,$B$7,$B$3,$B$4,$B$5,$F221,$B$6,V$10,$A221,$B221)</f>
        <v>0</v>
      </c>
      <c r="W221" s="4">
        <f ca="1">_xll.DBRW($B$1,$B$2,$B$7,$B$3,$B$4,$B$5,$F221,$B$6,W$10,$A221,$B221)</f>
        <v>0</v>
      </c>
      <c r="X221" s="4">
        <f ca="1">_xll.DBRW($B$1,$B$2,$B$7,$B$3,$B$4,$B$5,$F221,$B$6,X$10,$A221,$B221)</f>
        <v>0</v>
      </c>
      <c r="Y221" s="4">
        <f ca="1">_xll.DBRW($B$1,$B$2,$B$7,$B$3,$B$4,$B$5,$F221,$B$6,Y$10,$A221,$B221)</f>
        <v>0</v>
      </c>
      <c r="Z221" s="4">
        <f ca="1">_xll.DBRW($B$1,$B$2,$B$7,$B$3,$B$4,$B$5,$F221,$B$6,Z$10,$A221,$B221)</f>
        <v>0</v>
      </c>
      <c r="AA221" s="4">
        <f ca="1">_xll.DBRW($B$1,$B$2,$B$7,$B$3,$B$4,$B$5,$F221,$B$6,AA$10,$A221,$B221)</f>
        <v>0</v>
      </c>
      <c r="AB221" s="4">
        <f ca="1">_xll.DBRW($B$1,$B$2,$B$7,$B$3,$B$4,$B$5,$F221,$B$6,AB$10,$A221,$B221)</f>
        <v>0</v>
      </c>
      <c r="AC221" s="4">
        <f ca="1">_xll.DBRW($B$1,$B$2,$B$7,$B$3,$B$4,$B$5,$F221,$B$6,AC$10,$A221,$B221)</f>
        <v>0</v>
      </c>
      <c r="AD221" s="4">
        <f ca="1">_xll.DBRW($B$1,$B$2,$B$7,$B$3,$B$4,$B$5,$F221,$B$6,AD$10,$A221,$B221)</f>
        <v>0</v>
      </c>
      <c r="AE221" s="4">
        <f ca="1">_xll.DBRW($B$1,$B$2,$B$7,$B$3,$B$4,$B$5,$F221,$B$6,AE$10,$A221,$B221)</f>
        <v>0</v>
      </c>
    </row>
    <row r="222" spans="1:31">
      <c r="A222" s="1" t="s">
        <v>152</v>
      </c>
      <c r="B222" s="5" t="s">
        <v>281</v>
      </c>
      <c r="C222" s="5" t="s">
        <v>279</v>
      </c>
      <c r="D222" s="5" t="s">
        <v>277</v>
      </c>
      <c r="E222" s="5" t="s">
        <v>21</v>
      </c>
      <c r="F222" s="5" t="s">
        <v>24</v>
      </c>
      <c r="G222" s="6"/>
      <c r="H222" s="6"/>
      <c r="I222" s="6"/>
      <c r="J222" s="6"/>
      <c r="K222" s="6"/>
      <c r="L222" s="4">
        <f ca="1">_xll.DBRW($B$1,$B$2,$B$7,$B$3,$B$4,$B$5,$F222,$B$6,L$10,$A222,$B222)</f>
        <v>0</v>
      </c>
      <c r="M222" s="4">
        <f ca="1">_xll.DBRW($B$1,$B$2,$B$7,$B$3,$B$4,$B$5,$F222,$B$6,M$10,$A222,$B222)</f>
        <v>0</v>
      </c>
      <c r="N222" s="4">
        <f ca="1">_xll.DBRW($B$1,$B$2,$B$7,$B$3,$B$4,$B$5,$F222,$B$6,N$10,$A222,$B222)</f>
        <v>0</v>
      </c>
      <c r="O222" s="4">
        <f ca="1">_xll.DBRW($B$1,$B$2,$B$7,$B$3,$B$4,$B$5,$F222,$B$6,O$10,$A222,$B222)</f>
        <v>0</v>
      </c>
      <c r="P222" s="4">
        <f ca="1">_xll.DBRW($B$1,$B$2,$B$7,$B$3,$B$4,$B$5,$F222,$B$6,P$10,$A222,$B222)</f>
        <v>0</v>
      </c>
      <c r="Q222" s="4">
        <f ca="1">_xll.DBRW($B$1,$B$2,$B$7,$B$3,$B$4,$B$5,$F222,$B$6,Q$10,$A222,$B222)</f>
        <v>2021880</v>
      </c>
      <c r="R222" s="4">
        <f ca="1">_xll.DBRW($B$1,$B$2,$B$7,$B$3,$B$4,$B$5,$F222,$B$6,R$10,$A222,$B222)</f>
        <v>12131280</v>
      </c>
      <c r="S222" s="4">
        <f ca="1">_xll.DBRW($B$1,$B$2,$B$7,$B$3,$B$4,$B$5,$F222,$B$6,S$10,$A222,$B222)</f>
        <v>12535656</v>
      </c>
      <c r="T222" s="4">
        <f ca="1">_xll.DBRW($B$1,$B$2,$B$7,$B$3,$B$4,$B$5,$F222,$B$6,T$10,$A222,$B222)</f>
        <v>0</v>
      </c>
      <c r="U222" s="4">
        <f ca="1">_xll.DBRW($B$1,$B$2,$B$7,$B$3,$B$4,$B$5,$F222,$B$6,U$10,$A222,$B222)</f>
        <v>0</v>
      </c>
      <c r="V222" s="4">
        <f ca="1">_xll.DBRW($B$1,$B$2,$B$7,$B$3,$B$4,$B$5,$F222,$B$6,V$10,$A222,$B222)</f>
        <v>0</v>
      </c>
      <c r="W222" s="4">
        <f ca="1">_xll.DBRW($B$1,$B$2,$B$7,$B$3,$B$4,$B$5,$F222,$B$6,W$10,$A222,$B222)</f>
        <v>0</v>
      </c>
      <c r="X222" s="4">
        <f ca="1">_xll.DBRW($B$1,$B$2,$B$7,$B$3,$B$4,$B$5,$F222,$B$6,X$10,$A222,$B222)</f>
        <v>0</v>
      </c>
      <c r="Y222" s="4">
        <f ca="1">_xll.DBRW($B$1,$B$2,$B$7,$B$3,$B$4,$B$5,$F222,$B$6,Y$10,$A222,$B222)</f>
        <v>0</v>
      </c>
      <c r="Z222" s="4">
        <f ca="1">_xll.DBRW($B$1,$B$2,$B$7,$B$3,$B$4,$B$5,$F222,$B$6,Z$10,$A222,$B222)</f>
        <v>0</v>
      </c>
      <c r="AA222" s="4">
        <f ca="1">_xll.DBRW($B$1,$B$2,$B$7,$B$3,$B$4,$B$5,$F222,$B$6,AA$10,$A222,$B222)</f>
        <v>0</v>
      </c>
      <c r="AB222" s="4">
        <f ca="1">_xll.DBRW($B$1,$B$2,$B$7,$B$3,$B$4,$B$5,$F222,$B$6,AB$10,$A222,$B222)</f>
        <v>0</v>
      </c>
      <c r="AC222" s="4">
        <f ca="1">_xll.DBRW($B$1,$B$2,$B$7,$B$3,$B$4,$B$5,$F222,$B$6,AC$10,$A222,$B222)</f>
        <v>0</v>
      </c>
      <c r="AD222" s="4">
        <f ca="1">_xll.DBRW($B$1,$B$2,$B$7,$B$3,$B$4,$B$5,$F222,$B$6,AD$10,$A222,$B222)</f>
        <v>0</v>
      </c>
      <c r="AE222" s="4">
        <f ca="1">_xll.DBRW($B$1,$B$2,$B$7,$B$3,$B$4,$B$5,$F222,$B$6,AE$10,$A222,$B222)</f>
        <v>0</v>
      </c>
    </row>
    <row r="223" spans="1:31">
      <c r="A223" s="1" t="s">
        <v>152</v>
      </c>
      <c r="B223" s="5" t="s">
        <v>282</v>
      </c>
      <c r="C223" s="5" t="s">
        <v>283</v>
      </c>
      <c r="D223" s="5" t="s">
        <v>21</v>
      </c>
      <c r="E223" s="5" t="s">
        <v>284</v>
      </c>
      <c r="F223" s="5" t="s">
        <v>24</v>
      </c>
      <c r="G223" s="6"/>
      <c r="H223" s="6"/>
      <c r="I223" s="6"/>
      <c r="J223" s="6"/>
      <c r="K223" s="6"/>
      <c r="L223" s="4">
        <f ca="1">_xll.DBRW($B$1,$B$2,$B$7,$B$3,$B$4,$B$5,$F223,$B$6,L$10,$A223,$B223)</f>
        <v>0</v>
      </c>
      <c r="M223" s="4">
        <f ca="1">_xll.DBRW($B$1,$B$2,$B$7,$B$3,$B$4,$B$5,$F223,$B$6,M$10,$A223,$B223)</f>
        <v>0</v>
      </c>
      <c r="N223" s="4">
        <f ca="1">_xll.DBRW($B$1,$B$2,$B$7,$B$3,$B$4,$B$5,$F223,$B$6,N$10,$A223,$B223)</f>
        <v>0</v>
      </c>
      <c r="O223" s="4">
        <f ca="1">_xll.DBRW($B$1,$B$2,$B$7,$B$3,$B$4,$B$5,$F223,$B$6,O$10,$A223,$B223)</f>
        <v>0</v>
      </c>
      <c r="P223" s="4">
        <f ca="1">_xll.DBRW($B$1,$B$2,$B$7,$B$3,$B$4,$B$5,$F223,$B$6,P$10,$A223,$B223)</f>
        <v>0</v>
      </c>
      <c r="Q223" s="4">
        <f ca="1">_xll.DBRW($B$1,$B$2,$B$7,$B$3,$B$4,$B$5,$F223,$B$6,Q$10,$A223,$B223)</f>
        <v>1494325</v>
      </c>
      <c r="R223" s="4">
        <f ca="1">_xll.DBRW($B$1,$B$2,$B$7,$B$3,$B$4,$B$5,$F223,$B$6,R$10,$A223,$B223)</f>
        <v>8965950</v>
      </c>
      <c r="S223" s="4">
        <f ca="1">_xll.DBRW($B$1,$B$2,$B$7,$B$3,$B$4,$B$5,$F223,$B$6,S$10,$A223,$B223)</f>
        <v>9264815</v>
      </c>
      <c r="T223" s="4">
        <f ca="1">_xll.DBRW($B$1,$B$2,$B$7,$B$3,$B$4,$B$5,$F223,$B$6,T$10,$A223,$B223)</f>
        <v>9264815</v>
      </c>
      <c r="U223" s="4">
        <f ca="1">_xll.DBRW($B$1,$B$2,$B$7,$B$3,$B$4,$B$5,$F223,$B$6,U$10,$A223,$B223)</f>
        <v>8368220</v>
      </c>
      <c r="V223" s="4">
        <f ca="1">_xll.DBRW($B$1,$B$2,$B$7,$B$3,$B$4,$B$5,$F223,$B$6,V$10,$A223,$B223)</f>
        <v>8368220</v>
      </c>
      <c r="W223" s="4">
        <f ca="1">_xll.DBRW($B$1,$B$2,$B$7,$B$3,$B$4,$B$5,$F223,$B$6,W$10,$A223,$B223)</f>
        <v>0</v>
      </c>
      <c r="X223" s="4">
        <f ca="1">_xll.DBRW($B$1,$B$2,$B$7,$B$3,$B$4,$B$5,$F223,$B$6,X$10,$A223,$B223)</f>
        <v>0</v>
      </c>
      <c r="Y223" s="4">
        <f ca="1">_xll.DBRW($B$1,$B$2,$B$7,$B$3,$B$4,$B$5,$F223,$B$6,Y$10,$A223,$B223)</f>
        <v>0</v>
      </c>
      <c r="Z223" s="4">
        <f ca="1">_xll.DBRW($B$1,$B$2,$B$7,$B$3,$B$4,$B$5,$F223,$B$6,Z$10,$A223,$B223)</f>
        <v>0</v>
      </c>
      <c r="AA223" s="4">
        <f ca="1">_xll.DBRW($B$1,$B$2,$B$7,$B$3,$B$4,$B$5,$F223,$B$6,AA$10,$A223,$B223)</f>
        <v>0</v>
      </c>
      <c r="AB223" s="4">
        <f ca="1">_xll.DBRW($B$1,$B$2,$B$7,$B$3,$B$4,$B$5,$F223,$B$6,AB$10,$A223,$B223)</f>
        <v>0</v>
      </c>
      <c r="AC223" s="4">
        <f ca="1">_xll.DBRW($B$1,$B$2,$B$7,$B$3,$B$4,$B$5,$F223,$B$6,AC$10,$A223,$B223)</f>
        <v>1793190</v>
      </c>
      <c r="AD223" s="4">
        <f ca="1">_xll.DBRW($B$1,$B$2,$B$7,$B$3,$B$4,$B$5,$F223,$B$6,AD$10,$A223,$B223)</f>
        <v>8965950</v>
      </c>
      <c r="AE223" s="4">
        <f ca="1">_xll.DBRW($B$1,$B$2,$B$7,$B$3,$B$4,$B$5,$F223,$B$6,AE$10,$A223,$B223)</f>
        <v>9264815</v>
      </c>
    </row>
    <row r="224" spans="1:31">
      <c r="A224" s="1" t="s">
        <v>152</v>
      </c>
      <c r="B224" s="5" t="s">
        <v>285</v>
      </c>
      <c r="C224" s="5" t="s">
        <v>286</v>
      </c>
      <c r="D224" s="5" t="s">
        <v>284</v>
      </c>
      <c r="E224" s="5" t="s">
        <v>21</v>
      </c>
      <c r="F224" s="5" t="s">
        <v>24</v>
      </c>
      <c r="G224" s="6"/>
      <c r="H224" s="6"/>
      <c r="I224" s="6"/>
      <c r="J224" s="6"/>
      <c r="K224" s="6"/>
      <c r="L224" s="4">
        <f ca="1">_xll.DBRW($B$1,$B$2,$B$7,$B$3,$B$4,$B$5,$F224,$B$6,L$10,$A224,$B224)</f>
        <v>0</v>
      </c>
      <c r="M224" s="4">
        <f ca="1">_xll.DBRW($B$1,$B$2,$B$7,$B$3,$B$4,$B$5,$F224,$B$6,M$10,$A224,$B224)</f>
        <v>0</v>
      </c>
      <c r="N224" s="4">
        <f ca="1">_xll.DBRW($B$1,$B$2,$B$7,$B$3,$B$4,$B$5,$F224,$B$6,N$10,$A224,$B224)</f>
        <v>0</v>
      </c>
      <c r="O224" s="4">
        <f ca="1">_xll.DBRW($B$1,$B$2,$B$7,$B$3,$B$4,$B$5,$F224,$B$6,O$10,$A224,$B224)</f>
        <v>0</v>
      </c>
      <c r="P224" s="4">
        <f ca="1">_xll.DBRW($B$1,$B$2,$B$7,$B$3,$B$4,$B$5,$F224,$B$6,P$10,$A224,$B224)</f>
        <v>0</v>
      </c>
      <c r="Q224" s="4">
        <f ca="1">_xll.DBRW($B$1,$B$2,$B$7,$B$3,$B$4,$B$5,$F224,$B$6,Q$10,$A224,$B224)</f>
        <v>1494325</v>
      </c>
      <c r="R224" s="4">
        <f ca="1">_xll.DBRW($B$1,$B$2,$B$7,$B$3,$B$4,$B$5,$F224,$B$6,R$10,$A224,$B224)</f>
        <v>8965950</v>
      </c>
      <c r="S224" s="4">
        <f ca="1">_xll.DBRW($B$1,$B$2,$B$7,$B$3,$B$4,$B$5,$F224,$B$6,S$10,$A224,$B224)</f>
        <v>9264815</v>
      </c>
      <c r="T224" s="4">
        <f ca="1">_xll.DBRW($B$1,$B$2,$B$7,$B$3,$B$4,$B$5,$F224,$B$6,T$10,$A224,$B224)</f>
        <v>8965950</v>
      </c>
      <c r="U224" s="4">
        <f ca="1">_xll.DBRW($B$1,$B$2,$B$7,$B$3,$B$4,$B$5,$F224,$B$6,U$10,$A224,$B224)</f>
        <v>8368220</v>
      </c>
      <c r="V224" s="4">
        <f ca="1">_xll.DBRW($B$1,$B$2,$B$7,$B$3,$B$4,$B$5,$F224,$B$6,V$10,$A224,$B224)</f>
        <v>8667085</v>
      </c>
      <c r="W224" s="4">
        <f ca="1">_xll.DBRW($B$1,$B$2,$B$7,$B$3,$B$4,$B$5,$F224,$B$6,W$10,$A224,$B224)</f>
        <v>0</v>
      </c>
      <c r="X224" s="4">
        <f ca="1">_xll.DBRW($B$1,$B$2,$B$7,$B$3,$B$4,$B$5,$F224,$B$6,X$10,$A224,$B224)</f>
        <v>0</v>
      </c>
      <c r="Y224" s="4">
        <f ca="1">_xll.DBRW($B$1,$B$2,$B$7,$B$3,$B$4,$B$5,$F224,$B$6,Y$10,$A224,$B224)</f>
        <v>0</v>
      </c>
      <c r="Z224" s="4">
        <f ca="1">_xll.DBRW($B$1,$B$2,$B$7,$B$3,$B$4,$B$5,$F224,$B$6,Z$10,$A224,$B224)</f>
        <v>0</v>
      </c>
      <c r="AA224" s="4">
        <f ca="1">_xll.DBRW($B$1,$B$2,$B$7,$B$3,$B$4,$B$5,$F224,$B$6,AA$10,$A224,$B224)</f>
        <v>0</v>
      </c>
      <c r="AB224" s="4">
        <f ca="1">_xll.DBRW($B$1,$B$2,$B$7,$B$3,$B$4,$B$5,$F224,$B$6,AB$10,$A224,$B224)</f>
        <v>0</v>
      </c>
      <c r="AC224" s="4">
        <f ca="1">_xll.DBRW($B$1,$B$2,$B$7,$B$3,$B$4,$B$5,$F224,$B$6,AC$10,$A224,$B224)</f>
        <v>1494325</v>
      </c>
      <c r="AD224" s="4">
        <f ca="1">_xll.DBRW($B$1,$B$2,$B$7,$B$3,$B$4,$B$5,$F224,$B$6,AD$10,$A224,$B224)</f>
        <v>8965950</v>
      </c>
      <c r="AE224" s="4">
        <f ca="1">_xll.DBRW($B$1,$B$2,$B$7,$B$3,$B$4,$B$5,$F224,$B$6,AE$10,$A224,$B224)</f>
        <v>8667085</v>
      </c>
    </row>
    <row r="225" spans="1:31">
      <c r="A225" s="1" t="s">
        <v>152</v>
      </c>
      <c r="B225" s="5" t="s">
        <v>287</v>
      </c>
      <c r="C225" s="5" t="s">
        <v>288</v>
      </c>
      <c r="D225" s="5" t="s">
        <v>21</v>
      </c>
      <c r="E225" s="5" t="s">
        <v>289</v>
      </c>
      <c r="F225" s="5" t="s">
        <v>24</v>
      </c>
      <c r="G225" s="6"/>
      <c r="H225" s="6"/>
      <c r="I225" s="6"/>
      <c r="J225" s="6"/>
      <c r="K225" s="6"/>
      <c r="L225" s="4">
        <f ca="1">_xll.DBRW($B$1,$B$2,$B$7,$B$3,$B$4,$B$5,$F225,$B$6,L$10,$A225,$B225)</f>
        <v>0</v>
      </c>
      <c r="M225" s="4">
        <f ca="1">_xll.DBRW($B$1,$B$2,$B$7,$B$3,$B$4,$B$5,$F225,$B$6,M$10,$A225,$B225)</f>
        <v>0</v>
      </c>
      <c r="N225" s="4">
        <f ca="1">_xll.DBRW($B$1,$B$2,$B$7,$B$3,$B$4,$B$5,$F225,$B$6,N$10,$A225,$B225)</f>
        <v>0</v>
      </c>
      <c r="O225" s="4">
        <f ca="1">_xll.DBRW($B$1,$B$2,$B$7,$B$3,$B$4,$B$5,$F225,$B$6,O$10,$A225,$B225)</f>
        <v>0</v>
      </c>
      <c r="P225" s="4">
        <f ca="1">_xll.DBRW($B$1,$B$2,$B$7,$B$3,$B$4,$B$5,$F225,$B$6,P$10,$A225,$B225)</f>
        <v>0</v>
      </c>
      <c r="Q225" s="4">
        <f ca="1">_xll.DBRW($B$1,$B$2,$B$7,$B$3,$B$4,$B$5,$F225,$B$6,Q$10,$A225,$B225)</f>
        <v>1480845</v>
      </c>
      <c r="R225" s="4">
        <f ca="1">_xll.DBRW($B$1,$B$2,$B$7,$B$3,$B$4,$B$5,$F225,$B$6,R$10,$A225,$B225)</f>
        <v>7740030</v>
      </c>
      <c r="S225" s="4">
        <f ca="1">_xll.DBRW($B$1,$B$2,$B$7,$B$3,$B$4,$B$5,$F225,$B$6,S$10,$A225,$B225)</f>
        <v>8059320</v>
      </c>
      <c r="T225" s="4">
        <f ca="1">_xll.DBRW($B$1,$B$2,$B$7,$B$3,$B$4,$B$5,$F225,$B$6,T$10,$A225,$B225)</f>
        <v>5972925</v>
      </c>
      <c r="U225" s="4">
        <f ca="1">_xll.DBRW($B$1,$B$2,$B$7,$B$3,$B$4,$B$5,$F225,$B$6,U$10,$A225,$B225)</f>
        <v>5394900</v>
      </c>
      <c r="V225" s="4">
        <f ca="1">_xll.DBRW($B$1,$B$2,$B$7,$B$3,$B$4,$B$5,$F225,$B$6,V$10,$A225,$B225)</f>
        <v>5587575</v>
      </c>
      <c r="W225" s="4">
        <f ca="1">_xll.DBRW($B$1,$B$2,$B$7,$B$3,$B$4,$B$5,$F225,$B$6,W$10,$A225,$B225)</f>
        <v>0</v>
      </c>
      <c r="X225" s="4">
        <f ca="1">_xll.DBRW($B$1,$B$2,$B$7,$B$3,$B$4,$B$5,$F225,$B$6,X$10,$A225,$B225)</f>
        <v>0</v>
      </c>
      <c r="Y225" s="4">
        <f ca="1">_xll.DBRW($B$1,$B$2,$B$7,$B$3,$B$4,$B$5,$F225,$B$6,Y$10,$A225,$B225)</f>
        <v>0</v>
      </c>
      <c r="Z225" s="4">
        <f ca="1">_xll.DBRW($B$1,$B$2,$B$7,$B$3,$B$4,$B$5,$F225,$B$6,Z$10,$A225,$B225)</f>
        <v>0</v>
      </c>
      <c r="AA225" s="4">
        <f ca="1">_xll.DBRW($B$1,$B$2,$B$7,$B$3,$B$4,$B$5,$F225,$B$6,AA$10,$A225,$B225)</f>
        <v>0</v>
      </c>
      <c r="AB225" s="4">
        <f ca="1">_xll.DBRW($B$1,$B$2,$B$7,$B$3,$B$4,$B$5,$F225,$B$6,AB$10,$A225,$B225)</f>
        <v>0</v>
      </c>
      <c r="AC225" s="4">
        <f ca="1">_xll.DBRW($B$1,$B$2,$B$7,$B$3,$B$4,$B$5,$F225,$B$6,AC$10,$A225,$B225)</f>
        <v>1156050</v>
      </c>
      <c r="AD225" s="4">
        <f ca="1">_xll.DBRW($B$1,$B$2,$B$7,$B$3,$B$4,$B$5,$F225,$B$6,AD$10,$A225,$B225)</f>
        <v>5780250</v>
      </c>
      <c r="AE225" s="4">
        <f ca="1">_xll.DBRW($B$1,$B$2,$B$7,$B$3,$B$4,$B$5,$F225,$B$6,AE$10,$A225,$B225)</f>
        <v>5972925</v>
      </c>
    </row>
    <row r="226" spans="1:31">
      <c r="A226" s="1" t="s">
        <v>152</v>
      </c>
      <c r="B226" s="5" t="s">
        <v>290</v>
      </c>
      <c r="C226" s="5" t="s">
        <v>291</v>
      </c>
      <c r="D226" s="5" t="s">
        <v>289</v>
      </c>
      <c r="E226" s="5" t="s">
        <v>21</v>
      </c>
      <c r="F226" s="5" t="s">
        <v>24</v>
      </c>
      <c r="G226" s="6"/>
      <c r="H226" s="6"/>
      <c r="I226" s="6"/>
      <c r="J226" s="6"/>
      <c r="K226" s="6"/>
      <c r="L226" s="4">
        <f ca="1">_xll.DBRW($B$1,$B$2,$B$7,$B$3,$B$4,$B$5,$F226,$B$6,L$10,$A226,$B226)</f>
        <v>0</v>
      </c>
      <c r="M226" s="4">
        <f ca="1">_xll.DBRW($B$1,$B$2,$B$7,$B$3,$B$4,$B$5,$F226,$B$6,M$10,$A226,$B226)</f>
        <v>0</v>
      </c>
      <c r="N226" s="4">
        <f ca="1">_xll.DBRW($B$1,$B$2,$B$7,$B$3,$B$4,$B$5,$F226,$B$6,N$10,$A226,$B226)</f>
        <v>0</v>
      </c>
      <c r="O226" s="4">
        <f ca="1">_xll.DBRW($B$1,$B$2,$B$7,$B$3,$B$4,$B$5,$F226,$B$6,O$10,$A226,$B226)</f>
        <v>0</v>
      </c>
      <c r="P226" s="4">
        <f ca="1">_xll.DBRW($B$1,$B$2,$B$7,$B$3,$B$4,$B$5,$F226,$B$6,P$10,$A226,$B226)</f>
        <v>0</v>
      </c>
      <c r="Q226" s="4">
        <f ca="1">_xll.DBRW($B$1,$B$2,$B$7,$B$3,$B$4,$B$5,$F226,$B$6,Q$10,$A226,$B226)</f>
        <v>1023930</v>
      </c>
      <c r="R226" s="4">
        <f ca="1">_xll.DBRW($B$1,$B$2,$B$7,$B$3,$B$4,$B$5,$F226,$B$6,R$10,$A226,$B226)</f>
        <v>7740030</v>
      </c>
      <c r="S226" s="4">
        <f ca="1">_xll.DBRW($B$1,$B$2,$B$7,$B$3,$B$4,$B$5,$F226,$B$6,S$10,$A226,$B226)</f>
        <v>8059320</v>
      </c>
      <c r="T226" s="4">
        <f ca="1">_xll.DBRW($B$1,$B$2,$B$7,$B$3,$B$4,$B$5,$F226,$B$6,T$10,$A226,$B226)</f>
        <v>5972925</v>
      </c>
      <c r="U226" s="4">
        <f ca="1">_xll.DBRW($B$1,$B$2,$B$7,$B$3,$B$4,$B$5,$F226,$B$6,U$10,$A226,$B226)</f>
        <v>5394900</v>
      </c>
      <c r="V226" s="4">
        <f ca="1">_xll.DBRW($B$1,$B$2,$B$7,$B$3,$B$4,$B$5,$F226,$B$6,V$10,$A226,$B226)</f>
        <v>5587575</v>
      </c>
      <c r="W226" s="4">
        <f ca="1">_xll.DBRW($B$1,$B$2,$B$7,$B$3,$B$4,$B$5,$F226,$B$6,W$10,$A226,$B226)</f>
        <v>0</v>
      </c>
      <c r="X226" s="4">
        <f ca="1">_xll.DBRW($B$1,$B$2,$B$7,$B$3,$B$4,$B$5,$F226,$B$6,X$10,$A226,$B226)</f>
        <v>0</v>
      </c>
      <c r="Y226" s="4">
        <f ca="1">_xll.DBRW($B$1,$B$2,$B$7,$B$3,$B$4,$B$5,$F226,$B$6,Y$10,$A226,$B226)</f>
        <v>0</v>
      </c>
      <c r="Z226" s="4">
        <f ca="1">_xll.DBRW($B$1,$B$2,$B$7,$B$3,$B$4,$B$5,$F226,$B$6,Z$10,$A226,$B226)</f>
        <v>0</v>
      </c>
      <c r="AA226" s="4">
        <f ca="1">_xll.DBRW($B$1,$B$2,$B$7,$B$3,$B$4,$B$5,$F226,$B$6,AA$10,$A226,$B226)</f>
        <v>0</v>
      </c>
      <c r="AB226" s="4">
        <f ca="1">_xll.DBRW($B$1,$B$2,$B$7,$B$3,$B$4,$B$5,$F226,$B$6,AB$10,$A226,$B226)</f>
        <v>0</v>
      </c>
      <c r="AC226" s="4">
        <f ca="1">_xll.DBRW($B$1,$B$2,$B$7,$B$3,$B$4,$B$5,$F226,$B$6,AC$10,$A226,$B226)</f>
        <v>1156050</v>
      </c>
      <c r="AD226" s="4">
        <f ca="1">_xll.DBRW($B$1,$B$2,$B$7,$B$3,$B$4,$B$5,$F226,$B$6,AD$10,$A226,$B226)</f>
        <v>5780250</v>
      </c>
      <c r="AE226" s="4">
        <f ca="1">_xll.DBRW($B$1,$B$2,$B$7,$B$3,$B$4,$B$5,$F226,$B$6,AE$10,$A226,$B226)</f>
        <v>5972925</v>
      </c>
    </row>
    <row r="227" spans="1:31">
      <c r="A227" s="1" t="s">
        <v>152</v>
      </c>
      <c r="B227" s="5" t="s">
        <v>292</v>
      </c>
      <c r="C227" s="5" t="s">
        <v>293</v>
      </c>
      <c r="D227" s="5" t="s">
        <v>21</v>
      </c>
      <c r="E227" s="5" t="s">
        <v>294</v>
      </c>
      <c r="F227" s="5" t="s">
        <v>24</v>
      </c>
      <c r="G227" s="6"/>
      <c r="H227" s="6"/>
      <c r="I227" s="6"/>
      <c r="J227" s="6"/>
      <c r="K227" s="6"/>
      <c r="L227" s="4">
        <f ca="1">_xll.DBRW($B$1,$B$2,$B$7,$B$3,$B$4,$B$5,$F227,$B$6,L$10,$A227,$B227)</f>
        <v>8463040</v>
      </c>
      <c r="M227" s="4">
        <f ca="1">_xll.DBRW($B$1,$B$2,$B$7,$B$3,$B$4,$B$5,$F227,$B$6,M$10,$A227,$B227)</f>
        <v>8223520</v>
      </c>
      <c r="N227" s="4">
        <f ca="1">_xll.DBRW($B$1,$B$2,$B$7,$B$3,$B$4,$B$5,$F227,$B$6,N$10,$A227,$B227)</f>
        <v>8502960</v>
      </c>
      <c r="O227" s="4">
        <f ca="1">_xll.DBRW($B$1,$B$2,$B$7,$B$3,$B$4,$B$5,$F227,$B$6,O$10,$A227,$B227)</f>
        <v>8383200</v>
      </c>
      <c r="P227" s="4">
        <f ca="1">_xll.DBRW($B$1,$B$2,$B$7,$B$3,$B$4,$B$5,$F227,$B$6,P$10,$A227,$B227)</f>
        <v>8223520</v>
      </c>
      <c r="Q227" s="4">
        <f ca="1">_xll.DBRW($B$1,$B$2,$B$7,$B$3,$B$4,$B$5,$F227,$B$6,Q$10,$A227,$B227)</f>
        <v>8502960</v>
      </c>
      <c r="R227" s="4">
        <f ca="1">_xll.DBRW($B$1,$B$2,$B$7,$B$3,$B$4,$B$5,$F227,$B$6,R$10,$A227,$B227)</f>
        <v>8383200</v>
      </c>
      <c r="S227" s="4">
        <f ca="1">_xll.DBRW($B$1,$B$2,$B$7,$B$3,$B$4,$B$5,$F227,$B$6,S$10,$A227,$B227)</f>
        <v>8662640</v>
      </c>
      <c r="T227" s="4">
        <f ca="1">_xll.DBRW($B$1,$B$2,$B$7,$B$3,$B$4,$B$5,$F227,$B$6,T$10,$A227,$B227)</f>
        <v>8662640</v>
      </c>
      <c r="U227" s="4">
        <f ca="1">_xll.DBRW($B$1,$B$2,$B$7,$B$3,$B$4,$B$5,$F227,$B$6,U$10,$A227,$B227)</f>
        <v>7824320</v>
      </c>
      <c r="V227" s="4">
        <f ca="1">_xll.DBRW($B$1,$B$2,$B$7,$B$3,$B$4,$B$5,$F227,$B$6,V$10,$A227,$B227)</f>
        <v>8582800</v>
      </c>
      <c r="W227" s="4">
        <f ca="1">_xll.DBRW($B$1,$B$2,$B$7,$B$3,$B$4,$B$5,$F227,$B$6,W$10,$A227,$B227)</f>
        <v>7185600</v>
      </c>
      <c r="X227" s="4">
        <f ca="1">_xll.DBRW($B$1,$B$2,$B$7,$B$3,$B$4,$B$5,$F227,$B$6,X$10,$A227,$B227)</f>
        <v>7425120</v>
      </c>
      <c r="Y227" s="4">
        <f ca="1">_xll.DBRW($B$1,$B$2,$B$7,$B$3,$B$4,$B$5,$F227,$B$6,Y$10,$A227,$B227)</f>
        <v>7185600</v>
      </c>
      <c r="Z227" s="4">
        <f ca="1">_xll.DBRW($B$1,$B$2,$B$7,$B$3,$B$4,$B$5,$F227,$B$6,Z$10,$A227,$B227)</f>
        <v>7425120</v>
      </c>
      <c r="AA227" s="4">
        <f ca="1">_xll.DBRW($B$1,$B$2,$B$7,$B$3,$B$4,$B$5,$F227,$B$6,AA$10,$A227,$B227)</f>
        <v>7425120</v>
      </c>
      <c r="AB227" s="4">
        <f ca="1">_xll.DBRW($B$1,$B$2,$B$7,$B$3,$B$4,$B$5,$F227,$B$6,AB$10,$A227,$B227)</f>
        <v>7185600</v>
      </c>
      <c r="AC227" s="4">
        <f ca="1">_xll.DBRW($B$1,$B$2,$B$7,$B$3,$B$4,$B$5,$F227,$B$6,AC$10,$A227,$B227)</f>
        <v>7664640</v>
      </c>
      <c r="AD227" s="4">
        <f ca="1">_xll.DBRW($B$1,$B$2,$B$7,$B$3,$B$4,$B$5,$F227,$B$6,AD$10,$A227,$B227)</f>
        <v>8383200</v>
      </c>
      <c r="AE227" s="4">
        <f ca="1">_xll.DBRW($B$1,$B$2,$B$7,$B$3,$B$4,$B$5,$F227,$B$6,AE$10,$A227,$B227)</f>
        <v>8662640</v>
      </c>
    </row>
    <row r="228" spans="1:31">
      <c r="A228" s="1" t="s">
        <v>152</v>
      </c>
      <c r="B228" s="5" t="s">
        <v>295</v>
      </c>
      <c r="C228" s="5" t="s">
        <v>296</v>
      </c>
      <c r="D228" s="5" t="s">
        <v>294</v>
      </c>
      <c r="E228" s="5" t="s">
        <v>21</v>
      </c>
      <c r="F228" s="5" t="s">
        <v>24</v>
      </c>
      <c r="G228" s="6"/>
      <c r="H228" s="6"/>
      <c r="I228" s="6"/>
      <c r="J228" s="6"/>
      <c r="K228" s="6"/>
      <c r="L228" s="4">
        <f ca="1">_xll.DBRW($B$1,$B$2,$B$7,$B$3,$B$4,$B$5,$F228,$B$6,L$10,$A228,$B228)</f>
        <v>8502960</v>
      </c>
      <c r="M228" s="4">
        <f ca="1">_xll.DBRW($B$1,$B$2,$B$7,$B$3,$B$4,$B$5,$F228,$B$6,M$10,$A228,$B228)</f>
        <v>8183600</v>
      </c>
      <c r="N228" s="4">
        <f ca="1">_xll.DBRW($B$1,$B$2,$B$7,$B$3,$B$4,$B$5,$F228,$B$6,N$10,$A228,$B228)</f>
        <v>8502960</v>
      </c>
      <c r="O228" s="4">
        <f ca="1">_xll.DBRW($B$1,$B$2,$B$7,$B$3,$B$4,$B$5,$F228,$B$6,O$10,$A228,$B228)</f>
        <v>8383200</v>
      </c>
      <c r="P228" s="4">
        <f ca="1">_xll.DBRW($B$1,$B$2,$B$7,$B$3,$B$4,$B$5,$F228,$B$6,P$10,$A228,$B228)</f>
        <v>8223520</v>
      </c>
      <c r="Q228" s="4">
        <f ca="1">_xll.DBRW($B$1,$B$2,$B$7,$B$3,$B$4,$B$5,$F228,$B$6,Q$10,$A228,$B228)</f>
        <v>8502960</v>
      </c>
      <c r="R228" s="4">
        <f ca="1">_xll.DBRW($B$1,$B$2,$B$7,$B$3,$B$4,$B$5,$F228,$B$6,R$10,$A228,$B228)</f>
        <v>8383200</v>
      </c>
      <c r="S228" s="4">
        <f ca="1">_xll.DBRW($B$1,$B$2,$B$7,$B$3,$B$4,$B$5,$F228,$B$6,S$10,$A228,$B228)</f>
        <v>8662640</v>
      </c>
      <c r="T228" s="4">
        <f ca="1">_xll.DBRW($B$1,$B$2,$B$7,$B$3,$B$4,$B$5,$F228,$B$6,T$10,$A228,$B228)</f>
        <v>8662640</v>
      </c>
      <c r="U228" s="4">
        <f ca="1">_xll.DBRW($B$1,$B$2,$B$7,$B$3,$B$4,$B$5,$F228,$B$6,U$10,$A228,$B228)</f>
        <v>7824320</v>
      </c>
      <c r="V228" s="4">
        <f ca="1">_xll.DBRW($B$1,$B$2,$B$7,$B$3,$B$4,$B$5,$F228,$B$6,V$10,$A228,$B228)</f>
        <v>8582800</v>
      </c>
      <c r="W228" s="4">
        <f ca="1">_xll.DBRW($B$1,$B$2,$B$7,$B$3,$B$4,$B$5,$F228,$B$6,W$10,$A228,$B228)</f>
        <v>7185600</v>
      </c>
      <c r="X228" s="4">
        <f ca="1">_xll.DBRW($B$1,$B$2,$B$7,$B$3,$B$4,$B$5,$F228,$B$6,X$10,$A228,$B228)</f>
        <v>7425120</v>
      </c>
      <c r="Y228" s="4">
        <f ca="1">_xll.DBRW($B$1,$B$2,$B$7,$B$3,$B$4,$B$5,$F228,$B$6,Y$10,$A228,$B228)</f>
        <v>7185600</v>
      </c>
      <c r="Z228" s="4">
        <f ca="1">_xll.DBRW($B$1,$B$2,$B$7,$B$3,$B$4,$B$5,$F228,$B$6,Z$10,$A228,$B228)</f>
        <v>7425120</v>
      </c>
      <c r="AA228" s="4">
        <f ca="1">_xll.DBRW($B$1,$B$2,$B$7,$B$3,$B$4,$B$5,$F228,$B$6,AA$10,$A228,$B228)</f>
        <v>7425120</v>
      </c>
      <c r="AB228" s="4">
        <f ca="1">_xll.DBRW($B$1,$B$2,$B$7,$B$3,$B$4,$B$5,$F228,$B$6,AB$10,$A228,$B228)</f>
        <v>7185600</v>
      </c>
      <c r="AC228" s="4">
        <f ca="1">_xll.DBRW($B$1,$B$2,$B$7,$B$3,$B$4,$B$5,$F228,$B$6,AC$10,$A228,$B228)</f>
        <v>7664640</v>
      </c>
      <c r="AD228" s="4">
        <f ca="1">_xll.DBRW($B$1,$B$2,$B$7,$B$3,$B$4,$B$5,$F228,$B$6,AD$10,$A228,$B228)</f>
        <v>8383200</v>
      </c>
      <c r="AE228" s="4">
        <f ca="1">_xll.DBRW($B$1,$B$2,$B$7,$B$3,$B$4,$B$5,$F228,$B$6,AE$10,$A228,$B228)</f>
        <v>8662640</v>
      </c>
    </row>
    <row r="229" spans="1:31">
      <c r="A229" s="1" t="s">
        <v>152</v>
      </c>
      <c r="B229" s="5" t="s">
        <v>297</v>
      </c>
      <c r="C229" s="5" t="s">
        <v>298</v>
      </c>
      <c r="D229" s="5" t="s">
        <v>21</v>
      </c>
      <c r="E229" s="5" t="s">
        <v>299</v>
      </c>
      <c r="F229" s="5" t="s">
        <v>24</v>
      </c>
      <c r="G229" s="6"/>
      <c r="H229" s="6"/>
      <c r="I229" s="6"/>
      <c r="J229" s="6"/>
      <c r="K229" s="6"/>
      <c r="L229" s="4">
        <f ca="1">_xll.DBRW($B$1,$B$2,$B$7,$B$3,$B$4,$B$5,$F229,$B$6,L$10,$A229,$B229)</f>
        <v>9813825</v>
      </c>
      <c r="M229" s="4">
        <f ca="1">_xll.DBRW($B$1,$B$2,$B$7,$B$3,$B$4,$B$5,$F229,$B$6,M$10,$A229,$B229)</f>
        <v>9497250</v>
      </c>
      <c r="N229" s="4">
        <f ca="1">_xll.DBRW($B$1,$B$2,$B$7,$B$3,$B$4,$B$5,$F229,$B$6,N$10,$A229,$B229)</f>
        <v>9813825</v>
      </c>
      <c r="O229" s="4">
        <f ca="1">_xll.DBRW($B$1,$B$2,$B$7,$B$3,$B$4,$B$5,$F229,$B$6,O$10,$A229,$B229)</f>
        <v>9813825</v>
      </c>
      <c r="P229" s="4">
        <f ca="1">_xll.DBRW($B$1,$B$2,$B$7,$B$3,$B$4,$B$5,$F229,$B$6,P$10,$A229,$B229)</f>
        <v>9497250</v>
      </c>
      <c r="Q229" s="4">
        <f ca="1">_xll.DBRW($B$1,$B$2,$B$7,$B$3,$B$4,$B$5,$F229,$B$6,Q$10,$A229,$B229)</f>
        <v>9813825</v>
      </c>
      <c r="R229" s="4">
        <f ca="1">_xll.DBRW($B$1,$B$2,$B$7,$B$3,$B$4,$B$5,$F229,$B$6,R$10,$A229,$B229)</f>
        <v>9497250</v>
      </c>
      <c r="S229" s="4">
        <f ca="1">_xll.DBRW($B$1,$B$2,$B$7,$B$3,$B$4,$B$5,$F229,$B$6,S$10,$A229,$B229)</f>
        <v>9813825</v>
      </c>
      <c r="T229" s="4">
        <f ca="1">_xll.DBRW($B$1,$B$2,$B$7,$B$3,$B$4,$B$5,$F229,$B$6,T$10,$A229,$B229)</f>
        <v>9813825</v>
      </c>
      <c r="U229" s="4">
        <f ca="1">_xll.DBRW($B$1,$B$2,$B$7,$B$3,$B$4,$B$5,$F229,$B$6,U$10,$A229,$B229)</f>
        <v>8864100</v>
      </c>
      <c r="V229" s="4">
        <f ca="1">_xll.DBRW($B$1,$B$2,$B$7,$B$3,$B$4,$B$5,$F229,$B$6,V$10,$A229,$B229)</f>
        <v>9813825</v>
      </c>
      <c r="W229" s="4">
        <f ca="1">_xll.DBRW($B$1,$B$2,$B$7,$B$3,$B$4,$B$5,$F229,$B$6,W$10,$A229,$B229)</f>
        <v>9497250</v>
      </c>
      <c r="X229" s="4">
        <f ca="1">_xll.DBRW($B$1,$B$2,$B$7,$B$3,$B$4,$B$5,$F229,$B$6,X$10,$A229,$B229)</f>
        <v>9813825</v>
      </c>
      <c r="Y229" s="4">
        <f ca="1">_xll.DBRW($B$1,$B$2,$B$7,$B$3,$B$4,$B$5,$F229,$B$6,Y$10,$A229,$B229)</f>
        <v>9497250</v>
      </c>
      <c r="Z229" s="4">
        <f ca="1">_xll.DBRW($B$1,$B$2,$B$7,$B$3,$B$4,$B$5,$F229,$B$6,Z$10,$A229,$B229)</f>
        <v>9813825</v>
      </c>
      <c r="AA229" s="4">
        <f ca="1">_xll.DBRW($B$1,$B$2,$B$7,$B$3,$B$4,$B$5,$F229,$B$6,AA$10,$A229,$B229)</f>
        <v>9813825</v>
      </c>
      <c r="AB229" s="4">
        <f ca="1">_xll.DBRW($B$1,$B$2,$B$7,$B$3,$B$4,$B$5,$F229,$B$6,AB$10,$A229,$B229)</f>
        <v>9497250</v>
      </c>
      <c r="AC229" s="4">
        <f ca="1">_xll.DBRW($B$1,$B$2,$B$7,$B$3,$B$4,$B$5,$F229,$B$6,AC$10,$A229,$B229)</f>
        <v>9813825</v>
      </c>
      <c r="AD229" s="4">
        <f ca="1">_xll.DBRW($B$1,$B$2,$B$7,$B$3,$B$4,$B$5,$F229,$B$6,AD$10,$A229,$B229)</f>
        <v>9497250</v>
      </c>
      <c r="AE229" s="4">
        <f ca="1">_xll.DBRW($B$1,$B$2,$B$7,$B$3,$B$4,$B$5,$F229,$B$6,AE$10,$A229,$B229)</f>
        <v>9813825</v>
      </c>
    </row>
    <row r="230" spans="1:31">
      <c r="A230" s="1" t="s">
        <v>152</v>
      </c>
      <c r="B230" s="5" t="s">
        <v>300</v>
      </c>
      <c r="C230" s="5" t="s">
        <v>301</v>
      </c>
      <c r="D230" s="5" t="s">
        <v>299</v>
      </c>
      <c r="E230" s="5" t="s">
        <v>21</v>
      </c>
      <c r="F230" s="5" t="s">
        <v>24</v>
      </c>
      <c r="G230" s="6"/>
      <c r="H230" s="6"/>
      <c r="I230" s="6"/>
      <c r="J230" s="6"/>
      <c r="K230" s="6"/>
      <c r="L230" s="4">
        <f ca="1">_xll.DBRW($B$1,$B$2,$B$7,$B$3,$B$4,$B$5,$F230,$B$6,L$10,$A230,$B230)</f>
        <v>9813825</v>
      </c>
      <c r="M230" s="4">
        <f ca="1">_xll.DBRW($B$1,$B$2,$B$7,$B$3,$B$4,$B$5,$F230,$B$6,M$10,$A230,$B230)</f>
        <v>9497250</v>
      </c>
      <c r="N230" s="4">
        <f ca="1">_xll.DBRW($B$1,$B$2,$B$7,$B$3,$B$4,$B$5,$F230,$B$6,N$10,$A230,$B230)</f>
        <v>9813825</v>
      </c>
      <c r="O230" s="4">
        <f ca="1">_xll.DBRW($B$1,$B$2,$B$7,$B$3,$B$4,$B$5,$F230,$B$6,O$10,$A230,$B230)</f>
        <v>9813825</v>
      </c>
      <c r="P230" s="4">
        <f ca="1">_xll.DBRW($B$1,$B$2,$B$7,$B$3,$B$4,$B$5,$F230,$B$6,P$10,$A230,$B230)</f>
        <v>9497250</v>
      </c>
      <c r="Q230" s="4">
        <f ca="1">_xll.DBRW($B$1,$B$2,$B$7,$B$3,$B$4,$B$5,$F230,$B$6,Q$10,$A230,$B230)</f>
        <v>9813825</v>
      </c>
      <c r="R230" s="4">
        <f ca="1">_xll.DBRW($B$1,$B$2,$B$7,$B$3,$B$4,$B$5,$F230,$B$6,R$10,$A230,$B230)</f>
        <v>9497250</v>
      </c>
      <c r="S230" s="4">
        <f ca="1">_xll.DBRW($B$1,$B$2,$B$7,$B$3,$B$4,$B$5,$F230,$B$6,S$10,$A230,$B230)</f>
        <v>9813825</v>
      </c>
      <c r="T230" s="4">
        <f ca="1">_xll.DBRW($B$1,$B$2,$B$7,$B$3,$B$4,$B$5,$F230,$B$6,T$10,$A230,$B230)</f>
        <v>9813825</v>
      </c>
      <c r="U230" s="4">
        <f ca="1">_xll.DBRW($B$1,$B$2,$B$7,$B$3,$B$4,$B$5,$F230,$B$6,U$10,$A230,$B230)</f>
        <v>8864100</v>
      </c>
      <c r="V230" s="4">
        <f ca="1">_xll.DBRW($B$1,$B$2,$B$7,$B$3,$B$4,$B$5,$F230,$B$6,V$10,$A230,$B230)</f>
        <v>9813825</v>
      </c>
      <c r="W230" s="4">
        <f ca="1">_xll.DBRW($B$1,$B$2,$B$7,$B$3,$B$4,$B$5,$F230,$B$6,W$10,$A230,$B230)</f>
        <v>9497250</v>
      </c>
      <c r="X230" s="4">
        <f ca="1">_xll.DBRW($B$1,$B$2,$B$7,$B$3,$B$4,$B$5,$F230,$B$6,X$10,$A230,$B230)</f>
        <v>9813825</v>
      </c>
      <c r="Y230" s="4">
        <f ca="1">_xll.DBRW($B$1,$B$2,$B$7,$B$3,$B$4,$B$5,$F230,$B$6,Y$10,$A230,$B230)</f>
        <v>9497250</v>
      </c>
      <c r="Z230" s="4">
        <f ca="1">_xll.DBRW($B$1,$B$2,$B$7,$B$3,$B$4,$B$5,$F230,$B$6,Z$10,$A230,$B230)</f>
        <v>9813825</v>
      </c>
      <c r="AA230" s="4">
        <f ca="1">_xll.DBRW($B$1,$B$2,$B$7,$B$3,$B$4,$B$5,$F230,$B$6,AA$10,$A230,$B230)</f>
        <v>9813825</v>
      </c>
      <c r="AB230" s="4">
        <f ca="1">_xll.DBRW($B$1,$B$2,$B$7,$B$3,$B$4,$B$5,$F230,$B$6,AB$10,$A230,$B230)</f>
        <v>9497250</v>
      </c>
      <c r="AC230" s="4">
        <f ca="1">_xll.DBRW($B$1,$B$2,$B$7,$B$3,$B$4,$B$5,$F230,$B$6,AC$10,$A230,$B230)</f>
        <v>9813825</v>
      </c>
      <c r="AD230" s="4">
        <f ca="1">_xll.DBRW($B$1,$B$2,$B$7,$B$3,$B$4,$B$5,$F230,$B$6,AD$10,$A230,$B230)</f>
        <v>9497250</v>
      </c>
      <c r="AE230" s="4">
        <f ca="1">_xll.DBRW($B$1,$B$2,$B$7,$B$3,$B$4,$B$5,$F230,$B$6,AE$10,$A230,$B230)</f>
        <v>9813825</v>
      </c>
    </row>
    <row r="231" spans="1:31">
      <c r="A231" s="1" t="s">
        <v>152</v>
      </c>
      <c r="B231" s="5" t="s">
        <v>302</v>
      </c>
      <c r="C231" s="5" t="s">
        <v>303</v>
      </c>
      <c r="D231" s="5" t="s">
        <v>21</v>
      </c>
      <c r="E231" s="5" t="s">
        <v>304</v>
      </c>
      <c r="F231" s="5" t="s">
        <v>24</v>
      </c>
      <c r="G231" s="6"/>
      <c r="H231" s="6"/>
      <c r="I231" s="6"/>
      <c r="J231" s="6"/>
      <c r="K231" s="6"/>
      <c r="L231" s="4">
        <f ca="1">_xll.DBRW($B$1,$B$2,$B$7,$B$3,$B$4,$B$5,$F231,$B$6,L$10,$A231,$B231)</f>
        <v>0</v>
      </c>
      <c r="M231" s="4">
        <f ca="1">_xll.DBRW($B$1,$B$2,$B$7,$B$3,$B$4,$B$5,$F231,$B$6,M$10,$A231,$B231)</f>
        <v>0</v>
      </c>
      <c r="N231" s="4">
        <f ca="1">_xll.DBRW($B$1,$B$2,$B$7,$B$3,$B$4,$B$5,$F231,$B$6,N$10,$A231,$B231)</f>
        <v>0</v>
      </c>
      <c r="O231" s="4">
        <f ca="1">_xll.DBRW($B$1,$B$2,$B$7,$B$3,$B$4,$B$5,$F231,$B$6,O$10,$A231,$B231)</f>
        <v>0</v>
      </c>
      <c r="P231" s="4">
        <f ca="1">_xll.DBRW($B$1,$B$2,$B$7,$B$3,$B$4,$B$5,$F231,$B$6,P$10,$A231,$B231)</f>
        <v>4455320</v>
      </c>
      <c r="Q231" s="4">
        <f ca="1">_xll.DBRW($B$1,$B$2,$B$7,$B$3,$B$4,$B$5,$F231,$B$6,Q$10,$A231,$B231)</f>
        <v>5152362</v>
      </c>
      <c r="R231" s="4">
        <f ca="1">_xll.DBRW($B$1,$B$2,$B$7,$B$3,$B$4,$B$5,$F231,$B$6,R$10,$A231,$B231)</f>
        <v>4426576</v>
      </c>
      <c r="S231" s="4">
        <f ca="1">_xll.DBRW($B$1,$B$2,$B$7,$B$3,$B$4,$B$5,$F231,$B$6,S$10,$A231,$B231)</f>
        <v>4430169</v>
      </c>
      <c r="T231" s="4">
        <f ca="1">_xll.DBRW($B$1,$B$2,$B$7,$B$3,$B$4,$B$5,$F231,$B$6,T$10,$A231,$B231)</f>
        <v>4318786</v>
      </c>
      <c r="U231" s="4">
        <f ca="1">_xll.DBRW($B$1,$B$2,$B$7,$B$3,$B$4,$B$5,$F231,$B$6,U$10,$A231,$B231)</f>
        <v>3894812</v>
      </c>
      <c r="V231" s="4">
        <f ca="1">_xll.DBRW($B$1,$B$2,$B$7,$B$3,$B$4,$B$5,$F231,$B$6,V$10,$A231,$B231)</f>
        <v>4412204</v>
      </c>
      <c r="W231" s="4">
        <f ca="1">_xll.DBRW($B$1,$B$2,$B$7,$B$3,$B$4,$B$5,$F231,$B$6,W$10,$A231,$B231)</f>
        <v>5173920</v>
      </c>
      <c r="X231" s="4">
        <f ca="1">_xll.DBRW($B$1,$B$2,$B$7,$B$3,$B$4,$B$5,$F231,$B$6,X$10,$A231,$B231)</f>
        <v>5346384</v>
      </c>
      <c r="Y231" s="4">
        <f ca="1">_xll.DBRW($B$1,$B$2,$B$7,$B$3,$B$4,$B$5,$F231,$B$6,Y$10,$A231,$B231)</f>
        <v>5173920</v>
      </c>
      <c r="Z231" s="4">
        <f ca="1">_xll.DBRW($B$1,$B$2,$B$7,$B$3,$B$4,$B$5,$F231,$B$6,Z$10,$A231,$B231)</f>
        <v>5346384</v>
      </c>
      <c r="AA231" s="4">
        <f ca="1">_xll.DBRW($B$1,$B$2,$B$7,$B$3,$B$4,$B$5,$F231,$B$6,AA$10,$A231,$B231)</f>
        <v>5346384</v>
      </c>
      <c r="AB231" s="4">
        <f ca="1">_xll.DBRW($B$1,$B$2,$B$7,$B$3,$B$4,$B$5,$F231,$B$6,AB$10,$A231,$B231)</f>
        <v>5173920</v>
      </c>
      <c r="AC231" s="4">
        <f ca="1">_xll.DBRW($B$1,$B$2,$B$7,$B$3,$B$4,$B$5,$F231,$B$6,AC$10,$A231,$B231)</f>
        <v>5112839</v>
      </c>
      <c r="AD231" s="4">
        <f ca="1">_xll.DBRW($B$1,$B$2,$B$7,$B$3,$B$4,$B$5,$F231,$B$6,AD$10,$A231,$B231)</f>
        <v>4193031</v>
      </c>
      <c r="AE231" s="4">
        <f ca="1">_xll.DBRW($B$1,$B$2,$B$7,$B$3,$B$4,$B$5,$F231,$B$6,AE$10,$A231,$B231)</f>
        <v>4272077</v>
      </c>
    </row>
    <row r="232" spans="1:31">
      <c r="A232" s="1" t="s">
        <v>152</v>
      </c>
      <c r="B232" s="5" t="s">
        <v>305</v>
      </c>
      <c r="C232" s="5" t="s">
        <v>306</v>
      </c>
      <c r="D232" s="5" t="s">
        <v>304</v>
      </c>
      <c r="E232" s="5" t="s">
        <v>21</v>
      </c>
      <c r="F232" s="5" t="s">
        <v>24</v>
      </c>
      <c r="G232" s="6"/>
      <c r="H232" s="6"/>
      <c r="I232" s="6"/>
      <c r="J232" s="6"/>
      <c r="K232" s="6"/>
      <c r="L232" s="4">
        <f ca="1">_xll.DBRW($B$1,$B$2,$B$7,$B$3,$B$4,$B$5,$F232,$B$6,L$10,$A232,$B232)</f>
        <v>0</v>
      </c>
      <c r="M232" s="4">
        <f ca="1">_xll.DBRW($B$1,$B$2,$B$7,$B$3,$B$4,$B$5,$F232,$B$6,M$10,$A232,$B232)</f>
        <v>0</v>
      </c>
      <c r="N232" s="4">
        <f ca="1">_xll.DBRW($B$1,$B$2,$B$7,$B$3,$B$4,$B$5,$F232,$B$6,N$10,$A232,$B232)</f>
        <v>0</v>
      </c>
      <c r="O232" s="4">
        <f ca="1">_xll.DBRW($B$1,$B$2,$B$7,$B$3,$B$4,$B$5,$F232,$B$6,O$10,$A232,$B232)</f>
        <v>0</v>
      </c>
      <c r="P232" s="4">
        <f ca="1">_xll.DBRW($B$1,$B$2,$B$7,$B$3,$B$4,$B$5,$F232,$B$6,P$10,$A232,$B232)</f>
        <v>4282856</v>
      </c>
      <c r="Q232" s="4">
        <f ca="1">_xll.DBRW($B$1,$B$2,$B$7,$B$3,$B$4,$B$5,$F232,$B$6,Q$10,$A232,$B232)</f>
        <v>5145176</v>
      </c>
      <c r="R232" s="4">
        <f ca="1">_xll.DBRW($B$1,$B$2,$B$7,$B$3,$B$4,$B$5,$F232,$B$6,R$10,$A232,$B232)</f>
        <v>4426576</v>
      </c>
      <c r="S232" s="4">
        <f ca="1">_xll.DBRW($B$1,$B$2,$B$7,$B$3,$B$4,$B$5,$F232,$B$6,S$10,$A232,$B232)</f>
        <v>4476878</v>
      </c>
      <c r="T232" s="4">
        <f ca="1">_xll.DBRW($B$1,$B$2,$B$7,$B$3,$B$4,$B$5,$F232,$B$6,T$10,$A232,$B232)</f>
        <v>4272077</v>
      </c>
      <c r="U232" s="4">
        <f ca="1">_xll.DBRW($B$1,$B$2,$B$7,$B$3,$B$4,$B$5,$F232,$B$6,U$10,$A232,$B232)</f>
        <v>3894812</v>
      </c>
      <c r="V232" s="4">
        <f ca="1">_xll.DBRW($B$1,$B$2,$B$7,$B$3,$B$4,$B$5,$F232,$B$6,V$10,$A232,$B232)</f>
        <v>4412204</v>
      </c>
      <c r="W232" s="4">
        <f ca="1">_xll.DBRW($B$1,$B$2,$B$7,$B$3,$B$4,$B$5,$F232,$B$6,W$10,$A232,$B232)</f>
        <v>5173920</v>
      </c>
      <c r="X232" s="4">
        <f ca="1">_xll.DBRW($B$1,$B$2,$B$7,$B$3,$B$4,$B$5,$F232,$B$6,X$10,$A232,$B232)</f>
        <v>5346384</v>
      </c>
      <c r="Y232" s="4">
        <f ca="1">_xll.DBRW($B$1,$B$2,$B$7,$B$3,$B$4,$B$5,$F232,$B$6,Y$10,$A232,$B232)</f>
        <v>5173920</v>
      </c>
      <c r="Z232" s="4">
        <f ca="1">_xll.DBRW($B$1,$B$2,$B$7,$B$3,$B$4,$B$5,$F232,$B$6,Z$10,$A232,$B232)</f>
        <v>5346384</v>
      </c>
      <c r="AA232" s="4">
        <f ca="1">_xll.DBRW($B$1,$B$2,$B$7,$B$3,$B$4,$B$5,$F232,$B$6,AA$10,$A232,$B232)</f>
        <v>5346384</v>
      </c>
      <c r="AB232" s="4">
        <f ca="1">_xll.DBRW($B$1,$B$2,$B$7,$B$3,$B$4,$B$5,$F232,$B$6,AB$10,$A232,$B232)</f>
        <v>5173920</v>
      </c>
      <c r="AC232" s="4">
        <f ca="1">_xll.DBRW($B$1,$B$2,$B$7,$B$3,$B$4,$B$5,$F232,$B$6,AC$10,$A232,$B232)</f>
        <v>5112839</v>
      </c>
      <c r="AD232" s="4">
        <f ca="1">_xll.DBRW($B$1,$B$2,$B$7,$B$3,$B$4,$B$5,$F232,$B$6,AD$10,$A232,$B232)</f>
        <v>4239740</v>
      </c>
      <c r="AE232" s="4">
        <f ca="1">_xll.DBRW($B$1,$B$2,$B$7,$B$3,$B$4,$B$5,$F232,$B$6,AE$10,$A232,$B232)</f>
        <v>4272077</v>
      </c>
    </row>
    <row r="233" spans="1:31">
      <c r="A233" s="1" t="s">
        <v>152</v>
      </c>
      <c r="B233" s="5" t="s">
        <v>307</v>
      </c>
      <c r="C233" s="5" t="s">
        <v>308</v>
      </c>
      <c r="D233" s="5" t="s">
        <v>21</v>
      </c>
      <c r="E233" s="5" t="s">
        <v>309</v>
      </c>
      <c r="F233" s="5" t="s">
        <v>24</v>
      </c>
      <c r="G233" s="6"/>
      <c r="H233" s="6"/>
      <c r="I233" s="6"/>
      <c r="J233" s="6"/>
      <c r="K233" s="6"/>
      <c r="L233" s="4">
        <f ca="1">_xll.DBRW($B$1,$B$2,$B$7,$B$3,$B$4,$B$5,$F233,$B$6,L$10,$A233,$B233)</f>
        <v>0</v>
      </c>
      <c r="M233" s="4">
        <f ca="1">_xll.DBRW($B$1,$B$2,$B$7,$B$3,$B$4,$B$5,$F233,$B$6,M$10,$A233,$B233)</f>
        <v>0</v>
      </c>
      <c r="N233" s="4">
        <f ca="1">_xll.DBRW($B$1,$B$2,$B$7,$B$3,$B$4,$B$5,$F233,$B$6,N$10,$A233,$B233)</f>
        <v>0</v>
      </c>
      <c r="O233" s="4">
        <f ca="1">_xll.DBRW($B$1,$B$2,$B$7,$B$3,$B$4,$B$5,$F233,$B$6,O$10,$A233,$B233)</f>
        <v>0</v>
      </c>
      <c r="P233" s="4">
        <f ca="1">_xll.DBRW($B$1,$B$2,$B$7,$B$3,$B$4,$B$5,$F233,$B$6,P$10,$A233,$B233)</f>
        <v>0</v>
      </c>
      <c r="Q233" s="4">
        <f ca="1">_xll.DBRW($B$1,$B$2,$B$7,$B$3,$B$4,$B$5,$F233,$B$6,Q$10,$A233,$B233)</f>
        <v>2026080</v>
      </c>
      <c r="R233" s="4">
        <f ca="1">_xll.DBRW($B$1,$B$2,$B$7,$B$3,$B$4,$B$5,$F233,$B$6,R$10,$A233,$B233)</f>
        <v>10130400</v>
      </c>
      <c r="S233" s="4">
        <f ca="1">_xll.DBRW($B$1,$B$2,$B$7,$B$3,$B$4,$B$5,$F233,$B$6,S$10,$A233,$B233)</f>
        <v>10468080</v>
      </c>
      <c r="T233" s="4">
        <f ca="1">_xll.DBRW($B$1,$B$2,$B$7,$B$3,$B$4,$B$5,$F233,$B$6,T$10,$A233,$B233)</f>
        <v>10468080</v>
      </c>
      <c r="U233" s="4">
        <f ca="1">_xll.DBRW($B$1,$B$2,$B$7,$B$3,$B$4,$B$5,$F233,$B$6,U$10,$A233,$B233)</f>
        <v>9455040</v>
      </c>
      <c r="V233" s="4">
        <f ca="1">_xll.DBRW($B$1,$B$2,$B$7,$B$3,$B$4,$B$5,$F233,$B$6,V$10,$A233,$B233)</f>
        <v>9792720</v>
      </c>
      <c r="W233" s="4">
        <f ca="1">_xll.DBRW($B$1,$B$2,$B$7,$B$3,$B$4,$B$5,$F233,$B$6,W$10,$A233,$B233)</f>
        <v>0</v>
      </c>
      <c r="X233" s="4">
        <f ca="1">_xll.DBRW($B$1,$B$2,$B$7,$B$3,$B$4,$B$5,$F233,$B$6,X$10,$A233,$B233)</f>
        <v>0</v>
      </c>
      <c r="Y233" s="4">
        <f ca="1">_xll.DBRW($B$1,$B$2,$B$7,$B$3,$B$4,$B$5,$F233,$B$6,Y$10,$A233,$B233)</f>
        <v>0</v>
      </c>
      <c r="Z233" s="4">
        <f ca="1">_xll.DBRW($B$1,$B$2,$B$7,$B$3,$B$4,$B$5,$F233,$B$6,Z$10,$A233,$B233)</f>
        <v>0</v>
      </c>
      <c r="AA233" s="4">
        <f ca="1">_xll.DBRW($B$1,$B$2,$B$7,$B$3,$B$4,$B$5,$F233,$B$6,AA$10,$A233,$B233)</f>
        <v>0</v>
      </c>
      <c r="AB233" s="4">
        <f ca="1">_xll.DBRW($B$1,$B$2,$B$7,$B$3,$B$4,$B$5,$F233,$B$6,AB$10,$A233,$B233)</f>
        <v>0</v>
      </c>
      <c r="AC233" s="4">
        <f ca="1">_xll.DBRW($B$1,$B$2,$B$7,$B$3,$B$4,$B$5,$F233,$B$6,AC$10,$A233,$B233)</f>
        <v>2026080</v>
      </c>
      <c r="AD233" s="4">
        <f ca="1">_xll.DBRW($B$1,$B$2,$B$7,$B$3,$B$4,$B$5,$F233,$B$6,AD$10,$A233,$B233)</f>
        <v>10130400</v>
      </c>
      <c r="AE233" s="4">
        <f ca="1">_xll.DBRW($B$1,$B$2,$B$7,$B$3,$B$4,$B$5,$F233,$B$6,AE$10,$A233,$B233)</f>
        <v>10468080</v>
      </c>
    </row>
    <row r="234" spans="1:31">
      <c r="A234" s="1" t="s">
        <v>152</v>
      </c>
      <c r="B234" s="5" t="s">
        <v>310</v>
      </c>
      <c r="C234" s="5" t="s">
        <v>311</v>
      </c>
      <c r="D234" s="5" t="s">
        <v>309</v>
      </c>
      <c r="E234" s="5" t="s">
        <v>21</v>
      </c>
      <c r="F234" s="5" t="s">
        <v>24</v>
      </c>
      <c r="G234" s="6"/>
      <c r="H234" s="6"/>
      <c r="I234" s="6"/>
      <c r="J234" s="6"/>
      <c r="K234" s="6"/>
      <c r="L234" s="4">
        <f ca="1">_xll.DBRW($B$1,$B$2,$B$7,$B$3,$B$4,$B$5,$F234,$B$6,L$10,$A234,$B234)</f>
        <v>0</v>
      </c>
      <c r="M234" s="4">
        <f ca="1">_xll.DBRW($B$1,$B$2,$B$7,$B$3,$B$4,$B$5,$F234,$B$6,M$10,$A234,$B234)</f>
        <v>0</v>
      </c>
      <c r="N234" s="4">
        <f ca="1">_xll.DBRW($B$1,$B$2,$B$7,$B$3,$B$4,$B$5,$F234,$B$6,N$10,$A234,$B234)</f>
        <v>0</v>
      </c>
      <c r="O234" s="4">
        <f ca="1">_xll.DBRW($B$1,$B$2,$B$7,$B$3,$B$4,$B$5,$F234,$B$6,O$10,$A234,$B234)</f>
        <v>0</v>
      </c>
      <c r="P234" s="4">
        <f ca="1">_xll.DBRW($B$1,$B$2,$B$7,$B$3,$B$4,$B$5,$F234,$B$6,P$10,$A234,$B234)</f>
        <v>0</v>
      </c>
      <c r="Q234" s="4">
        <f ca="1">_xll.DBRW($B$1,$B$2,$B$7,$B$3,$B$4,$B$5,$F234,$B$6,Q$10,$A234,$B234)</f>
        <v>1688400</v>
      </c>
      <c r="R234" s="4">
        <f ca="1">_xll.DBRW($B$1,$B$2,$B$7,$B$3,$B$4,$B$5,$F234,$B$6,R$10,$A234,$B234)</f>
        <v>10130400</v>
      </c>
      <c r="S234" s="4">
        <f ca="1">_xll.DBRW($B$1,$B$2,$B$7,$B$3,$B$4,$B$5,$F234,$B$6,S$10,$A234,$B234)</f>
        <v>10468080</v>
      </c>
      <c r="T234" s="4">
        <f ca="1">_xll.DBRW($B$1,$B$2,$B$7,$B$3,$B$4,$B$5,$F234,$B$6,T$10,$A234,$B234)</f>
        <v>10468080</v>
      </c>
      <c r="U234" s="4">
        <f ca="1">_xll.DBRW($B$1,$B$2,$B$7,$B$3,$B$4,$B$5,$F234,$B$6,U$10,$A234,$B234)</f>
        <v>9455040</v>
      </c>
      <c r="V234" s="4">
        <f ca="1">_xll.DBRW($B$1,$B$2,$B$7,$B$3,$B$4,$B$5,$F234,$B$6,V$10,$A234,$B234)</f>
        <v>9792720</v>
      </c>
      <c r="W234" s="4">
        <f ca="1">_xll.DBRW($B$1,$B$2,$B$7,$B$3,$B$4,$B$5,$F234,$B$6,W$10,$A234,$B234)</f>
        <v>0</v>
      </c>
      <c r="X234" s="4">
        <f ca="1">_xll.DBRW($B$1,$B$2,$B$7,$B$3,$B$4,$B$5,$F234,$B$6,X$10,$A234,$B234)</f>
        <v>0</v>
      </c>
      <c r="Y234" s="4">
        <f ca="1">_xll.DBRW($B$1,$B$2,$B$7,$B$3,$B$4,$B$5,$F234,$B$6,Y$10,$A234,$B234)</f>
        <v>0</v>
      </c>
      <c r="Z234" s="4">
        <f ca="1">_xll.DBRW($B$1,$B$2,$B$7,$B$3,$B$4,$B$5,$F234,$B$6,Z$10,$A234,$B234)</f>
        <v>0</v>
      </c>
      <c r="AA234" s="4">
        <f ca="1">_xll.DBRW($B$1,$B$2,$B$7,$B$3,$B$4,$B$5,$F234,$B$6,AA$10,$A234,$B234)</f>
        <v>0</v>
      </c>
      <c r="AB234" s="4">
        <f ca="1">_xll.DBRW($B$1,$B$2,$B$7,$B$3,$B$4,$B$5,$F234,$B$6,AB$10,$A234,$B234)</f>
        <v>0</v>
      </c>
      <c r="AC234" s="4">
        <f ca="1">_xll.DBRW($B$1,$B$2,$B$7,$B$3,$B$4,$B$5,$F234,$B$6,AC$10,$A234,$B234)</f>
        <v>2026080</v>
      </c>
      <c r="AD234" s="4">
        <f ca="1">_xll.DBRW($B$1,$B$2,$B$7,$B$3,$B$4,$B$5,$F234,$B$6,AD$10,$A234,$B234)</f>
        <v>10130400</v>
      </c>
      <c r="AE234" s="4">
        <f ca="1">_xll.DBRW($B$1,$B$2,$B$7,$B$3,$B$4,$B$5,$F234,$B$6,AE$10,$A234,$B234)</f>
        <v>10468080</v>
      </c>
    </row>
    <row r="235" spans="1:31">
      <c r="A235" s="1" t="s">
        <v>152</v>
      </c>
      <c r="B235" s="5" t="s">
        <v>158</v>
      </c>
      <c r="C235" s="5" t="s">
        <v>159</v>
      </c>
      <c r="D235" s="5" t="s">
        <v>21</v>
      </c>
      <c r="E235" s="5" t="s">
        <v>38</v>
      </c>
      <c r="F235" s="5" t="s">
        <v>25</v>
      </c>
      <c r="G235" s="6"/>
      <c r="H235" s="6"/>
      <c r="I235" s="6"/>
      <c r="J235" s="6"/>
      <c r="K235" s="6"/>
      <c r="L235" s="4">
        <f ca="1">_xll.DBRW($B$1,$B$2,$B$7,$B$3,$B$4,$B$5,$F235,$B$6,L$10,$A235,$B235)</f>
        <v>28614208</v>
      </c>
      <c r="M235" s="4">
        <f ca="1">_xll.DBRW($B$1,$B$2,$B$7,$B$3,$B$4,$B$5,$F235,$B$6,M$10,$A235,$B235)</f>
        <v>27592272</v>
      </c>
      <c r="N235" s="4">
        <f ca="1">_xll.DBRW($B$1,$B$2,$B$7,$B$3,$B$4,$B$5,$F235,$B$6,N$10,$A235,$B235)</f>
        <v>29641698</v>
      </c>
      <c r="O235" s="4">
        <f ca="1">_xll.DBRW($B$1,$B$2,$B$7,$B$3,$B$4,$B$5,$F235,$B$6,O$10,$A235,$B235)</f>
        <v>29636144</v>
      </c>
      <c r="P235" s="4">
        <f ca="1">_xll.DBRW($B$1,$B$2,$B$7,$B$3,$B$4,$B$5,$F235,$B$6,P$10,$A235,$B235)</f>
        <v>28614208</v>
      </c>
      <c r="Q235" s="4">
        <f ca="1">_xll.DBRW($B$1,$B$2,$B$7,$B$3,$B$4,$B$5,$F235,$B$6,Q$10,$A235,$B235)</f>
        <v>27136844</v>
      </c>
      <c r="R235" s="4">
        <f ca="1">_xll.DBRW($B$1,$B$2,$B$7,$B$3,$B$4,$B$5,$F235,$B$6,R$10,$A235,$B235)</f>
        <v>35240130</v>
      </c>
      <c r="S235" s="4">
        <f ca="1">_xll.DBRW($B$1,$B$2,$B$7,$B$3,$B$4,$B$5,$F235,$B$6,S$10,$A235,$B235)</f>
        <v>40460890</v>
      </c>
      <c r="T235" s="4">
        <f ca="1">_xll.DBRW($B$1,$B$2,$B$7,$B$3,$B$4,$B$5,$F235,$B$6,T$10,$A235,$B235)</f>
        <v>31680016</v>
      </c>
      <c r="U235" s="4">
        <f ca="1">_xll.DBRW($B$1,$B$2,$B$7,$B$3,$B$4,$B$5,$F235,$B$6,U$10,$A235,$B235)</f>
        <v>28614208</v>
      </c>
      <c r="V235" s="4">
        <f ca="1">_xll.DBRW($B$1,$B$2,$B$7,$B$3,$B$4,$B$5,$F235,$B$6,V$10,$A235,$B235)</f>
        <v>31963270</v>
      </c>
      <c r="W235" s="4">
        <f ca="1">_xll.DBRW($B$1,$B$2,$B$7,$B$3,$B$4,$B$5,$F235,$B$6,W$10,$A235,$B235)</f>
        <v>38022684</v>
      </c>
      <c r="X235" s="4">
        <f ca="1">_xll.DBRW($B$1,$B$2,$B$7,$B$3,$B$4,$B$5,$F235,$B$6,X$10,$A235,$B235)</f>
        <v>39327874</v>
      </c>
      <c r="Y235" s="4">
        <f ca="1">_xll.DBRW($B$1,$B$2,$B$7,$B$3,$B$4,$B$5,$F235,$B$6,Y$10,$A235,$B235)</f>
        <v>37739430</v>
      </c>
      <c r="Z235" s="4">
        <f ca="1">_xll.DBRW($B$1,$B$2,$B$7,$B$3,$B$4,$B$5,$F235,$B$6,Z$10,$A235,$B235)</f>
        <v>39327874</v>
      </c>
      <c r="AA235" s="4">
        <f ca="1">_xll.DBRW($B$1,$B$2,$B$7,$B$3,$B$4,$B$5,$F235,$B$6,AA$10,$A235,$B235)</f>
        <v>39044620</v>
      </c>
      <c r="AB235" s="4">
        <f ca="1">_xll.DBRW($B$1,$B$2,$B$7,$B$3,$B$4,$B$5,$F235,$B$6,AB$10,$A235,$B235)</f>
        <v>38022684</v>
      </c>
      <c r="AC235" s="4">
        <f ca="1">_xll.DBRW($B$1,$B$2,$B$7,$B$3,$B$4,$B$5,$F235,$B$6,AC$10,$A235,$B235)</f>
        <v>37911604</v>
      </c>
      <c r="AD235" s="4">
        <f ca="1">_xll.DBRW($B$1,$B$2,$B$7,$B$3,$B$4,$B$5,$F235,$B$6,AD$10,$A235,$B235)</f>
        <v>30658080</v>
      </c>
      <c r="AE235" s="4">
        <f ca="1">_xll.DBRW($B$1,$B$2,$B$7,$B$3,$B$4,$B$5,$F235,$B$6,AE$10,$A235,$B235)</f>
        <v>31680016</v>
      </c>
    </row>
    <row r="236" spans="1:31">
      <c r="A236" s="1" t="s">
        <v>152</v>
      </c>
      <c r="B236" s="5" t="s">
        <v>36</v>
      </c>
      <c r="C236" s="5" t="s">
        <v>37</v>
      </c>
      <c r="D236" s="5" t="s">
        <v>38</v>
      </c>
      <c r="E236" s="5" t="s">
        <v>21</v>
      </c>
      <c r="F236" s="5" t="s">
        <v>25</v>
      </c>
      <c r="G236" s="6"/>
      <c r="H236" s="6"/>
      <c r="I236" s="6"/>
      <c r="J236" s="6"/>
      <c r="K236" s="6"/>
      <c r="L236" s="4">
        <f ca="1">_xll.DBRW($B$1,$B$2,$B$7,$B$3,$B$4,$B$5,$F236,$B$6,L$10,$A236,$B236)</f>
        <v>28953002</v>
      </c>
      <c r="M236" s="4">
        <f ca="1">_xll.DBRW($B$1,$B$2,$B$7,$B$3,$B$4,$B$5,$F236,$B$6,M$10,$A236,$B236)</f>
        <v>27592272</v>
      </c>
      <c r="N236" s="4">
        <f ca="1">_xll.DBRW($B$1,$B$2,$B$7,$B$3,$B$4,$B$5,$F236,$B$6,N$10,$A236,$B236)</f>
        <v>29658360</v>
      </c>
      <c r="O236" s="4">
        <f ca="1">_xll.DBRW($B$1,$B$2,$B$7,$B$3,$B$4,$B$5,$F236,$B$6,O$10,$A236,$B236)</f>
        <v>29636144</v>
      </c>
      <c r="P236" s="4">
        <f ca="1">_xll.DBRW($B$1,$B$2,$B$7,$B$3,$B$4,$B$5,$F236,$B$6,P$10,$A236,$B236)</f>
        <v>28614208</v>
      </c>
      <c r="Q236" s="4">
        <f ca="1">_xll.DBRW($B$1,$B$2,$B$7,$B$3,$B$4,$B$5,$F236,$B$6,Q$10,$A236,$B236)</f>
        <v>27136844</v>
      </c>
      <c r="R236" s="4">
        <f ca="1">_xll.DBRW($B$1,$B$2,$B$7,$B$3,$B$4,$B$5,$F236,$B$6,R$10,$A236,$B236)</f>
        <v>35240130</v>
      </c>
      <c r="S236" s="4">
        <f ca="1">_xll.DBRW($B$1,$B$2,$B$7,$B$3,$B$4,$B$5,$F236,$B$6,S$10,$A236,$B236)</f>
        <v>40460890</v>
      </c>
      <c r="T236" s="4">
        <f ca="1">_xll.DBRW($B$1,$B$2,$B$7,$B$3,$B$4,$B$5,$F236,$B$6,T$10,$A236,$B236)</f>
        <v>33318446</v>
      </c>
      <c r="U236" s="4">
        <f ca="1">_xll.DBRW($B$1,$B$2,$B$7,$B$3,$B$4,$B$5,$F236,$B$6,U$10,$A236,$B236)</f>
        <v>29924952</v>
      </c>
      <c r="V236" s="4">
        <f ca="1">_xll.DBRW($B$1,$B$2,$B$7,$B$3,$B$4,$B$5,$F236,$B$6,V$10,$A236,$B236)</f>
        <v>32996314</v>
      </c>
      <c r="W236" s="4">
        <f ca="1">_xll.DBRW($B$1,$B$2,$B$7,$B$3,$B$4,$B$5,$F236,$B$6,W$10,$A236,$B236)</f>
        <v>35801084</v>
      </c>
      <c r="X236" s="4">
        <f ca="1">_xll.DBRW($B$1,$B$2,$B$7,$B$3,$B$4,$B$5,$F236,$B$6,X$10,$A236,$B236)</f>
        <v>36828574</v>
      </c>
      <c r="Y236" s="4">
        <f ca="1">_xll.DBRW($B$1,$B$2,$B$7,$B$3,$B$4,$B$5,$F236,$B$6,Y$10,$A236,$B236)</f>
        <v>35240130</v>
      </c>
      <c r="Z236" s="4">
        <f ca="1">_xll.DBRW($B$1,$B$2,$B$7,$B$3,$B$4,$B$5,$F236,$B$6,Z$10,$A236,$B236)</f>
        <v>36828574</v>
      </c>
      <c r="AA236" s="4">
        <f ca="1">_xll.DBRW($B$1,$B$2,$B$7,$B$3,$B$4,$B$5,$F236,$B$6,AA$10,$A236,$B236)</f>
        <v>36823020</v>
      </c>
      <c r="AB236" s="4">
        <f ca="1">_xll.DBRW($B$1,$B$2,$B$7,$B$3,$B$4,$B$5,$F236,$B$6,AB$10,$A236,$B236)</f>
        <v>35523384</v>
      </c>
      <c r="AC236" s="4">
        <f ca="1">_xll.DBRW($B$1,$B$2,$B$7,$B$3,$B$4,$B$5,$F236,$B$6,AC$10,$A236,$B236)</f>
        <v>36295390</v>
      </c>
      <c r="AD236" s="4">
        <f ca="1">_xll.DBRW($B$1,$B$2,$B$7,$B$3,$B$4,$B$5,$F236,$B$6,AD$10,$A236,$B236)</f>
        <v>31968824</v>
      </c>
      <c r="AE236" s="4">
        <f ca="1">_xll.DBRW($B$1,$B$2,$B$7,$B$3,$B$4,$B$5,$F236,$B$6,AE$10,$A236,$B236)</f>
        <v>33274014</v>
      </c>
    </row>
    <row r="237" spans="1:31">
      <c r="A237" s="1" t="s">
        <v>152</v>
      </c>
      <c r="B237" s="5" t="s">
        <v>160</v>
      </c>
      <c r="C237" s="5" t="s">
        <v>161</v>
      </c>
      <c r="D237" s="5" t="s">
        <v>21</v>
      </c>
      <c r="E237" s="5" t="s">
        <v>69</v>
      </c>
      <c r="F237" s="5" t="s">
        <v>25</v>
      </c>
      <c r="G237" s="6"/>
      <c r="H237" s="6"/>
      <c r="I237" s="6"/>
      <c r="J237" s="6"/>
      <c r="K237" s="6"/>
      <c r="L237" s="4">
        <f ca="1">_xll.DBRW($B$1,$B$2,$B$7,$B$3,$B$4,$B$5,$F237,$B$6,L$10,$A237,$B237)</f>
        <v>40931508</v>
      </c>
      <c r="M237" s="4">
        <f ca="1">_xll.DBRW($B$1,$B$2,$B$7,$B$3,$B$4,$B$5,$F237,$B$6,M$10,$A237,$B237)</f>
        <v>39493066</v>
      </c>
      <c r="N237" s="4">
        <f ca="1">_xll.DBRW($B$1,$B$2,$B$7,$B$3,$B$4,$B$5,$F237,$B$6,N$10,$A237,$B237)</f>
        <v>40162440</v>
      </c>
      <c r="O237" s="4">
        <f ca="1">_xll.DBRW($B$1,$B$2,$B$7,$B$3,$B$4,$B$5,$F237,$B$6,O$10,$A237,$B237)</f>
        <v>40119714</v>
      </c>
      <c r="P237" s="4">
        <f ca="1">_xll.DBRW($B$1,$B$2,$B$7,$B$3,$B$4,$B$5,$F237,$B$6,P$10,$A237,$B237)</f>
        <v>39550034</v>
      </c>
      <c r="Q237" s="4">
        <f ca="1">_xll.DBRW($B$1,$B$2,$B$7,$B$3,$B$4,$B$5,$F237,$B$6,Q$10,$A237,$B237)</f>
        <v>41016960</v>
      </c>
      <c r="R237" s="4">
        <f ca="1">_xll.DBRW($B$1,$B$2,$B$7,$B$3,$B$4,$B$5,$F237,$B$6,R$10,$A237,$B237)</f>
        <v>39649728</v>
      </c>
      <c r="S237" s="4">
        <f ca="1">_xll.DBRW($B$1,$B$2,$B$7,$B$3,$B$4,$B$5,$F237,$B$6,S$10,$A237,$B237)</f>
        <v>41016960</v>
      </c>
      <c r="T237" s="4">
        <f ca="1">_xll.DBRW($B$1,$B$2,$B$7,$B$3,$B$4,$B$5,$F237,$B$6,T$10,$A237,$B237)</f>
        <v>40618184</v>
      </c>
      <c r="U237" s="4">
        <f ca="1">_xll.DBRW($B$1,$B$2,$B$7,$B$3,$B$4,$B$5,$F237,$B$6,U$10,$A237,$B237)</f>
        <v>36687392</v>
      </c>
      <c r="V237" s="4">
        <f ca="1">_xll.DBRW($B$1,$B$2,$B$7,$B$3,$B$4,$B$5,$F237,$B$6,V$10,$A237,$B237)</f>
        <v>40618184</v>
      </c>
      <c r="W237" s="4">
        <f ca="1">_xll.DBRW($B$1,$B$2,$B$7,$B$3,$B$4,$B$5,$F237,$B$6,W$10,$A237,$B237)</f>
        <v>39336404</v>
      </c>
      <c r="X237" s="4">
        <f ca="1">_xll.DBRW($B$1,$B$2,$B$7,$B$3,$B$4,$B$5,$F237,$B$6,X$10,$A237,$B237)</f>
        <v>40653789</v>
      </c>
      <c r="Y237" s="4">
        <f ca="1">_xll.DBRW($B$1,$B$2,$B$7,$B$3,$B$4,$B$5,$F237,$B$6,Y$10,$A237,$B237)</f>
        <v>39336404</v>
      </c>
      <c r="Z237" s="4">
        <f ca="1">_xll.DBRW($B$1,$B$2,$B$7,$B$3,$B$4,$B$5,$F237,$B$6,Z$10,$A237,$B237)</f>
        <v>40646668</v>
      </c>
      <c r="AA237" s="4">
        <f ca="1">_xll.DBRW($B$1,$B$2,$B$7,$B$3,$B$4,$B$5,$F237,$B$6,AA$10,$A237,$B237)</f>
        <v>40653789</v>
      </c>
      <c r="AB237" s="4">
        <f ca="1">_xll.DBRW($B$1,$B$2,$B$7,$B$3,$B$4,$B$5,$F237,$B$6,AB$10,$A237,$B237)</f>
        <v>39336404</v>
      </c>
      <c r="AC237" s="4">
        <f ca="1">_xll.DBRW($B$1,$B$2,$B$7,$B$3,$B$4,$B$5,$F237,$B$6,AC$10,$A237,$B237)</f>
        <v>40646668</v>
      </c>
      <c r="AD237" s="4">
        <f ca="1">_xll.DBRW($B$1,$B$2,$B$7,$B$3,$B$4,$B$5,$F237,$B$6,AD$10,$A237,$B237)</f>
        <v>39307920</v>
      </c>
      <c r="AE237" s="4">
        <f ca="1">_xll.DBRW($B$1,$B$2,$B$7,$B$3,$B$4,$B$5,$F237,$B$6,AE$10,$A237,$B237)</f>
        <v>40618184</v>
      </c>
    </row>
    <row r="238" spans="1:31">
      <c r="A238" s="1" t="s">
        <v>152</v>
      </c>
      <c r="B238" s="5" t="s">
        <v>67</v>
      </c>
      <c r="C238" s="5" t="s">
        <v>68</v>
      </c>
      <c r="D238" s="5" t="s">
        <v>69</v>
      </c>
      <c r="E238" s="5" t="s">
        <v>21</v>
      </c>
      <c r="F238" s="5" t="s">
        <v>25</v>
      </c>
      <c r="G238" s="6"/>
      <c r="H238" s="6"/>
      <c r="I238" s="6"/>
      <c r="J238" s="6"/>
      <c r="K238" s="6"/>
      <c r="L238" s="4">
        <f ca="1">_xll.DBRW($B$1,$B$2,$B$7,$B$3,$B$4,$B$5,$F238,$B$6,L$10,$A238,$B238)</f>
        <v>40931508</v>
      </c>
      <c r="M238" s="4">
        <f ca="1">_xll.DBRW($B$1,$B$2,$B$7,$B$3,$B$4,$B$5,$F238,$B$6,M$10,$A238,$B238)</f>
        <v>39493066</v>
      </c>
      <c r="N238" s="4">
        <f ca="1">_xll.DBRW($B$1,$B$2,$B$7,$B$3,$B$4,$B$5,$F238,$B$6,N$10,$A238,$B238)</f>
        <v>40162440</v>
      </c>
      <c r="O238" s="4">
        <f ca="1">_xll.DBRW($B$1,$B$2,$B$7,$B$3,$B$4,$B$5,$F238,$B$6,O$10,$A238,$B238)</f>
        <v>40119714</v>
      </c>
      <c r="P238" s="4">
        <f ca="1">_xll.DBRW($B$1,$B$2,$B$7,$B$3,$B$4,$B$5,$F238,$B$6,P$10,$A238,$B238)</f>
        <v>39550034</v>
      </c>
      <c r="Q238" s="4">
        <f ca="1">_xll.DBRW($B$1,$B$2,$B$7,$B$3,$B$4,$B$5,$F238,$B$6,Q$10,$A238,$B238)</f>
        <v>41016960</v>
      </c>
      <c r="R238" s="4">
        <f ca="1">_xll.DBRW($B$1,$B$2,$B$7,$B$3,$B$4,$B$5,$F238,$B$6,R$10,$A238,$B238)</f>
        <v>39649728</v>
      </c>
      <c r="S238" s="4">
        <f ca="1">_xll.DBRW($B$1,$B$2,$B$7,$B$3,$B$4,$B$5,$F238,$B$6,S$10,$A238,$B238)</f>
        <v>41016960</v>
      </c>
      <c r="T238" s="4">
        <f ca="1">_xll.DBRW($B$1,$B$2,$B$7,$B$3,$B$4,$B$5,$F238,$B$6,T$10,$A238,$B238)</f>
        <v>40618184</v>
      </c>
      <c r="U238" s="4">
        <f ca="1">_xll.DBRW($B$1,$B$2,$B$7,$B$3,$B$4,$B$5,$F238,$B$6,U$10,$A238,$B238)</f>
        <v>36687392</v>
      </c>
      <c r="V238" s="4">
        <f ca="1">_xll.DBRW($B$1,$B$2,$B$7,$B$3,$B$4,$B$5,$F238,$B$6,V$10,$A238,$B238)</f>
        <v>40618184</v>
      </c>
      <c r="W238" s="4">
        <f ca="1">_xll.DBRW($B$1,$B$2,$B$7,$B$3,$B$4,$B$5,$F238,$B$6,W$10,$A238,$B238)</f>
        <v>39336404</v>
      </c>
      <c r="X238" s="4">
        <f ca="1">_xll.DBRW($B$1,$B$2,$B$7,$B$3,$B$4,$B$5,$F238,$B$6,X$10,$A238,$B238)</f>
        <v>40653789</v>
      </c>
      <c r="Y238" s="4">
        <f ca="1">_xll.DBRW($B$1,$B$2,$B$7,$B$3,$B$4,$B$5,$F238,$B$6,Y$10,$A238,$B238)</f>
        <v>39336404</v>
      </c>
      <c r="Z238" s="4">
        <f ca="1">_xll.DBRW($B$1,$B$2,$B$7,$B$3,$B$4,$B$5,$F238,$B$6,Z$10,$A238,$B238)</f>
        <v>40646668</v>
      </c>
      <c r="AA238" s="4">
        <f ca="1">_xll.DBRW($B$1,$B$2,$B$7,$B$3,$B$4,$B$5,$F238,$B$6,AA$10,$A238,$B238)</f>
        <v>40653789</v>
      </c>
      <c r="AB238" s="4">
        <f ca="1">_xll.DBRW($B$1,$B$2,$B$7,$B$3,$B$4,$B$5,$F238,$B$6,AB$10,$A238,$B238)</f>
        <v>39336404</v>
      </c>
      <c r="AC238" s="4">
        <f ca="1">_xll.DBRW($B$1,$B$2,$B$7,$B$3,$B$4,$B$5,$F238,$B$6,AC$10,$A238,$B238)</f>
        <v>40646668</v>
      </c>
      <c r="AD238" s="4">
        <f ca="1">_xll.DBRW($B$1,$B$2,$B$7,$B$3,$B$4,$B$5,$F238,$B$6,AD$10,$A238,$B238)</f>
        <v>39307920</v>
      </c>
      <c r="AE238" s="4">
        <f ca="1">_xll.DBRW($B$1,$B$2,$B$7,$B$3,$B$4,$B$5,$F238,$B$6,AE$10,$A238,$B238)</f>
        <v>39307920</v>
      </c>
    </row>
    <row r="239" spans="1:31">
      <c r="A239" s="1" t="s">
        <v>152</v>
      </c>
      <c r="B239" s="5" t="s">
        <v>162</v>
      </c>
      <c r="C239" s="5" t="s">
        <v>163</v>
      </c>
      <c r="D239" s="5" t="s">
        <v>21</v>
      </c>
      <c r="E239" s="5" t="s">
        <v>54</v>
      </c>
      <c r="F239" s="5" t="s">
        <v>25</v>
      </c>
      <c r="G239" s="6"/>
      <c r="H239" s="6"/>
      <c r="I239" s="6"/>
      <c r="J239" s="6"/>
      <c r="K239" s="6"/>
      <c r="L239" s="4">
        <f ca="1">_xll.DBRW($B$1,$B$2,$B$7,$B$3,$B$4,$B$5,$F239,$B$6,L$10,$A239,$B239)</f>
        <v>45515520</v>
      </c>
      <c r="M239" s="4">
        <f ca="1">_xll.DBRW($B$1,$B$2,$B$7,$B$3,$B$4,$B$5,$F239,$B$6,M$10,$A239,$B239)</f>
        <v>50572800</v>
      </c>
      <c r="N239" s="4">
        <f ca="1">_xll.DBRW($B$1,$B$2,$B$7,$B$3,$B$4,$B$5,$F239,$B$6,N$10,$A239,$B239)</f>
        <v>54550140</v>
      </c>
      <c r="O239" s="4">
        <f ca="1">_xll.DBRW($B$1,$B$2,$B$7,$B$3,$B$4,$B$5,$F239,$B$6,O$10,$A239,$B239)</f>
        <v>63962300</v>
      </c>
      <c r="P239" s="4">
        <f ca="1">_xll.DBRW($B$1,$B$2,$B$7,$B$3,$B$4,$B$5,$F239,$B$6,P$10,$A239,$B239)</f>
        <v>61899000</v>
      </c>
      <c r="Q239" s="4">
        <f ca="1">_xll.DBRW($B$1,$B$2,$B$7,$B$3,$B$4,$B$5,$F239,$B$6,Q$10,$A239,$B239)</f>
        <v>63962300</v>
      </c>
      <c r="R239" s="4">
        <f ca="1">_xll.DBRW($B$1,$B$2,$B$7,$B$3,$B$4,$B$5,$F239,$B$6,R$10,$A239,$B239)</f>
        <v>59835700</v>
      </c>
      <c r="S239" s="4">
        <f ca="1">_xll.DBRW($B$1,$B$2,$B$7,$B$3,$B$4,$B$5,$F239,$B$6,S$10,$A239,$B239)</f>
        <v>63962300</v>
      </c>
      <c r="T239" s="4">
        <f ca="1">_xll.DBRW($B$1,$B$2,$B$7,$B$3,$B$4,$B$5,$F239,$B$6,T$10,$A239,$B239)</f>
        <v>63962300</v>
      </c>
      <c r="U239" s="4">
        <f ca="1">_xll.DBRW($B$1,$B$2,$B$7,$B$3,$B$4,$B$5,$F239,$B$6,U$10,$A239,$B239)</f>
        <v>57772400</v>
      </c>
      <c r="V239" s="4">
        <f ca="1">_xll.DBRW($B$1,$B$2,$B$7,$B$3,$B$4,$B$5,$F239,$B$6,V$10,$A239,$B239)</f>
        <v>63962300</v>
      </c>
      <c r="W239" s="4">
        <f ca="1">_xll.DBRW($B$1,$B$2,$B$7,$B$3,$B$4,$B$5,$F239,$B$6,W$10,$A239,$B239)</f>
        <v>61899000</v>
      </c>
      <c r="X239" s="4">
        <f ca="1">_xll.DBRW($B$1,$B$2,$B$7,$B$3,$B$4,$B$5,$F239,$B$6,X$10,$A239,$B239)</f>
        <v>63962300</v>
      </c>
      <c r="Y239" s="4">
        <f ca="1">_xll.DBRW($B$1,$B$2,$B$7,$B$3,$B$4,$B$5,$F239,$B$6,Y$10,$A239,$B239)</f>
        <v>61899000</v>
      </c>
      <c r="Z239" s="4">
        <f ca="1">_xll.DBRW($B$1,$B$2,$B$7,$B$3,$B$4,$B$5,$F239,$B$6,Z$10,$A239,$B239)</f>
        <v>63962300</v>
      </c>
      <c r="AA239" s="4">
        <f ca="1">_xll.DBRW($B$1,$B$2,$B$7,$B$3,$B$4,$B$5,$F239,$B$6,AA$10,$A239,$B239)</f>
        <v>63962300</v>
      </c>
      <c r="AB239" s="4">
        <f ca="1">_xll.DBRW($B$1,$B$2,$B$7,$B$3,$B$4,$B$5,$F239,$B$6,AB$10,$A239,$B239)</f>
        <v>61899000</v>
      </c>
      <c r="AC239" s="4">
        <f ca="1">_xll.DBRW($B$1,$B$2,$B$7,$B$3,$B$4,$B$5,$F239,$B$6,AC$10,$A239,$B239)</f>
        <v>63962300</v>
      </c>
      <c r="AD239" s="4">
        <f ca="1">_xll.DBRW($B$1,$B$2,$B$7,$B$3,$B$4,$B$5,$F239,$B$6,AD$10,$A239,$B239)</f>
        <v>61899000</v>
      </c>
      <c r="AE239" s="4">
        <f ca="1">_xll.DBRW($B$1,$B$2,$B$7,$B$3,$B$4,$B$5,$F239,$B$6,AE$10,$A239,$B239)</f>
        <v>63962300</v>
      </c>
    </row>
    <row r="240" spans="1:31">
      <c r="A240" s="1" t="s">
        <v>152</v>
      </c>
      <c r="B240" s="5" t="s">
        <v>52</v>
      </c>
      <c r="C240" s="5" t="s">
        <v>53</v>
      </c>
      <c r="D240" s="5" t="s">
        <v>54</v>
      </c>
      <c r="E240" s="5" t="s">
        <v>21</v>
      </c>
      <c r="F240" s="5" t="s">
        <v>25</v>
      </c>
      <c r="G240" s="6"/>
      <c r="H240" s="6"/>
      <c r="I240" s="6"/>
      <c r="J240" s="6"/>
      <c r="K240" s="6"/>
      <c r="L240" s="4">
        <f ca="1">_xll.DBRW($B$1,$B$2,$B$7,$B$3,$B$4,$B$5,$F240,$B$6,L$10,$A240,$B240)</f>
        <v>45515520</v>
      </c>
      <c r="M240" s="4">
        <f ca="1">_xll.DBRW($B$1,$B$2,$B$7,$B$3,$B$4,$B$5,$F240,$B$6,M$10,$A240,$B240)</f>
        <v>50572800</v>
      </c>
      <c r="N240" s="4">
        <f ca="1">_xll.DBRW($B$1,$B$2,$B$7,$B$3,$B$4,$B$5,$F240,$B$6,N$10,$A240,$B240)</f>
        <v>56613440</v>
      </c>
      <c r="O240" s="4">
        <f ca="1">_xll.DBRW($B$1,$B$2,$B$7,$B$3,$B$4,$B$5,$F240,$B$6,O$10,$A240,$B240)</f>
        <v>63962300</v>
      </c>
      <c r="P240" s="4">
        <f ca="1">_xll.DBRW($B$1,$B$2,$B$7,$B$3,$B$4,$B$5,$F240,$B$6,P$10,$A240,$B240)</f>
        <v>61899000</v>
      </c>
      <c r="Q240" s="4">
        <f ca="1">_xll.DBRW($B$1,$B$2,$B$7,$B$3,$B$4,$B$5,$F240,$B$6,Q$10,$A240,$B240)</f>
        <v>63962300</v>
      </c>
      <c r="R240" s="4">
        <f ca="1">_xll.DBRW($B$1,$B$2,$B$7,$B$3,$B$4,$B$5,$F240,$B$6,R$10,$A240,$B240)</f>
        <v>59835700</v>
      </c>
      <c r="S240" s="4">
        <f ca="1">_xll.DBRW($B$1,$B$2,$B$7,$B$3,$B$4,$B$5,$F240,$B$6,S$10,$A240,$B240)</f>
        <v>63962300</v>
      </c>
      <c r="T240" s="4">
        <f ca="1">_xll.DBRW($B$1,$B$2,$B$7,$B$3,$B$4,$B$5,$F240,$B$6,T$10,$A240,$B240)</f>
        <v>63962300</v>
      </c>
      <c r="U240" s="4">
        <f ca="1">_xll.DBRW($B$1,$B$2,$B$7,$B$3,$B$4,$B$5,$F240,$B$6,U$10,$A240,$B240)</f>
        <v>57772400</v>
      </c>
      <c r="V240" s="4">
        <f ca="1">_xll.DBRW($B$1,$B$2,$B$7,$B$3,$B$4,$B$5,$F240,$B$6,V$10,$A240,$B240)</f>
        <v>63962300</v>
      </c>
      <c r="W240" s="4">
        <f ca="1">_xll.DBRW($B$1,$B$2,$B$7,$B$3,$B$4,$B$5,$F240,$B$6,W$10,$A240,$B240)</f>
        <v>61899000</v>
      </c>
      <c r="X240" s="4">
        <f ca="1">_xll.DBRW($B$1,$B$2,$B$7,$B$3,$B$4,$B$5,$F240,$B$6,X$10,$A240,$B240)</f>
        <v>63962300</v>
      </c>
      <c r="Y240" s="4">
        <f ca="1">_xll.DBRW($B$1,$B$2,$B$7,$B$3,$B$4,$B$5,$F240,$B$6,Y$10,$A240,$B240)</f>
        <v>61899000</v>
      </c>
      <c r="Z240" s="4">
        <f ca="1">_xll.DBRW($B$1,$B$2,$B$7,$B$3,$B$4,$B$5,$F240,$B$6,Z$10,$A240,$B240)</f>
        <v>63962300</v>
      </c>
      <c r="AA240" s="4">
        <f ca="1">_xll.DBRW($B$1,$B$2,$B$7,$B$3,$B$4,$B$5,$F240,$B$6,AA$10,$A240,$B240)</f>
        <v>63962300</v>
      </c>
      <c r="AB240" s="4">
        <f ca="1">_xll.DBRW($B$1,$B$2,$B$7,$B$3,$B$4,$B$5,$F240,$B$6,AB$10,$A240,$B240)</f>
        <v>61899000</v>
      </c>
      <c r="AC240" s="4">
        <f ca="1">_xll.DBRW($B$1,$B$2,$B$7,$B$3,$B$4,$B$5,$F240,$B$6,AC$10,$A240,$B240)</f>
        <v>63962300</v>
      </c>
      <c r="AD240" s="4">
        <f ca="1">_xll.DBRW($B$1,$B$2,$B$7,$B$3,$B$4,$B$5,$F240,$B$6,AD$10,$A240,$B240)</f>
        <v>61899000</v>
      </c>
      <c r="AE240" s="4">
        <f ca="1">_xll.DBRW($B$1,$B$2,$B$7,$B$3,$B$4,$B$5,$F240,$B$6,AE$10,$A240,$B240)</f>
        <v>61899000</v>
      </c>
    </row>
    <row r="241" spans="1:31">
      <c r="A241" s="1" t="s">
        <v>152</v>
      </c>
      <c r="B241" s="5" t="s">
        <v>164</v>
      </c>
      <c r="C241" s="5" t="s">
        <v>159</v>
      </c>
      <c r="D241" s="5" t="s">
        <v>21</v>
      </c>
      <c r="E241" s="5" t="s">
        <v>38</v>
      </c>
      <c r="F241" s="5" t="s">
        <v>25</v>
      </c>
      <c r="G241" s="6"/>
      <c r="H241" s="6"/>
      <c r="I241" s="6"/>
      <c r="J241" s="6"/>
      <c r="K241" s="6"/>
      <c r="L241" s="4">
        <f ca="1">_xll.DBRW($B$1,$B$2,$B$7,$B$3,$B$4,$B$5,$F241,$B$6,L$10,$A241,$B241)</f>
        <v>32091012</v>
      </c>
      <c r="M241" s="4">
        <f ca="1">_xll.DBRW($B$1,$B$2,$B$7,$B$3,$B$4,$B$5,$F241,$B$6,M$10,$A241,$B241)</f>
        <v>31813312</v>
      </c>
      <c r="N241" s="4">
        <f ca="1">_xll.DBRW($B$1,$B$2,$B$7,$B$3,$B$4,$B$5,$F241,$B$6,N$10,$A241,$B241)</f>
        <v>32818586</v>
      </c>
      <c r="O241" s="4">
        <f ca="1">_xll.DBRW($B$1,$B$2,$B$7,$B$3,$B$4,$B$5,$F241,$B$6,O$10,$A241,$B241)</f>
        <v>31979932</v>
      </c>
      <c r="P241" s="4">
        <f ca="1">_xll.DBRW($B$1,$B$2,$B$7,$B$3,$B$4,$B$5,$F241,$B$6,P$10,$A241,$B241)</f>
        <v>30946888</v>
      </c>
      <c r="Q241" s="4">
        <f ca="1">_xll.DBRW($B$1,$B$2,$B$7,$B$3,$B$4,$B$5,$F241,$B$6,Q$10,$A241,$B241)</f>
        <v>33135164</v>
      </c>
      <c r="R241" s="4">
        <f ca="1">_xll.DBRW($B$1,$B$2,$B$7,$B$3,$B$4,$B$5,$F241,$B$6,R$10,$A241,$B241)</f>
        <v>45259546</v>
      </c>
      <c r="S241" s="4">
        <f ca="1">_xll.DBRW($B$1,$B$2,$B$7,$B$3,$B$4,$B$5,$F241,$B$6,S$10,$A241,$B241)</f>
        <v>52457530</v>
      </c>
      <c r="T241" s="4">
        <f ca="1">_xll.DBRW($B$1,$B$2,$B$7,$B$3,$B$4,$B$5,$F241,$B$6,T$10,$A241,$B241)</f>
        <v>42871326</v>
      </c>
      <c r="U241" s="4">
        <f ca="1">_xll.DBRW($B$1,$B$2,$B$7,$B$3,$B$4,$B$5,$F241,$B$6,U$10,$A241,$B241)</f>
        <v>38455896</v>
      </c>
      <c r="V241" s="4">
        <f ca="1">_xll.DBRW($B$1,$B$2,$B$7,$B$3,$B$4,$B$5,$F241,$B$6,V$10,$A241,$B241)</f>
        <v>42588072</v>
      </c>
      <c r="W241" s="4">
        <f ca="1">_xll.DBRW($B$1,$B$2,$B$7,$B$3,$B$4,$B$5,$F241,$B$6,W$10,$A241,$B241)</f>
        <v>34329274</v>
      </c>
      <c r="X241" s="4">
        <f ca="1">_xll.DBRW($B$1,$B$2,$B$7,$B$3,$B$4,$B$5,$F241,$B$6,X$10,$A241,$B241)</f>
        <v>35873286</v>
      </c>
      <c r="Y241" s="4">
        <f ca="1">_xll.DBRW($B$1,$B$2,$B$7,$B$3,$B$4,$B$5,$F241,$B$6,Y$10,$A241,$B241)</f>
        <v>34562542</v>
      </c>
      <c r="Z241" s="4">
        <f ca="1">_xll.DBRW($B$1,$B$2,$B$7,$B$3,$B$4,$B$5,$F241,$B$6,Z$10,$A241,$B241)</f>
        <v>35634464</v>
      </c>
      <c r="AA241" s="4">
        <f ca="1">_xll.DBRW($B$1,$B$2,$B$7,$B$3,$B$4,$B$5,$F241,$B$6,AA$10,$A241,$B241)</f>
        <v>35873286</v>
      </c>
      <c r="AB241" s="4">
        <f ca="1">_xll.DBRW($B$1,$B$2,$B$7,$B$3,$B$4,$B$5,$F241,$B$6,AB$10,$A241,$B241)</f>
        <v>34323720</v>
      </c>
      <c r="AC241" s="4">
        <f ca="1">_xll.DBRW($B$1,$B$2,$B$7,$B$3,$B$4,$B$5,$F241,$B$6,AC$10,$A241,$B241)</f>
        <v>36650846</v>
      </c>
      <c r="AD241" s="4">
        <f ca="1">_xll.DBRW($B$1,$B$2,$B$7,$B$3,$B$4,$B$5,$F241,$B$6,AD$10,$A241,$B241)</f>
        <v>41282882</v>
      </c>
      <c r="AE241" s="4">
        <f ca="1">_xll.DBRW($B$1,$B$2,$B$7,$B$3,$B$4,$B$5,$F241,$B$6,AE$10,$A241,$B241)</f>
        <v>42632504</v>
      </c>
    </row>
    <row r="242" spans="1:31">
      <c r="A242" s="1" t="s">
        <v>152</v>
      </c>
      <c r="B242" s="5" t="s">
        <v>39</v>
      </c>
      <c r="C242" s="5" t="s">
        <v>37</v>
      </c>
      <c r="D242" s="5" t="s">
        <v>38</v>
      </c>
      <c r="E242" s="5" t="s">
        <v>21</v>
      </c>
      <c r="F242" s="5" t="s">
        <v>25</v>
      </c>
      <c r="G242" s="6"/>
      <c r="H242" s="6"/>
      <c r="I242" s="6"/>
      <c r="J242" s="6"/>
      <c r="K242" s="6"/>
      <c r="L242" s="4">
        <f ca="1">_xll.DBRW($B$1,$B$2,$B$7,$B$3,$B$4,$B$5,$F242,$B$6,L$10,$A242,$B242)</f>
        <v>31907730</v>
      </c>
      <c r="M242" s="4">
        <f ca="1">_xll.DBRW($B$1,$B$2,$B$7,$B$3,$B$4,$B$5,$F242,$B$6,M$10,$A242,$B242)</f>
        <v>31791096</v>
      </c>
      <c r="N242" s="4">
        <f ca="1">_xll.DBRW($B$1,$B$2,$B$7,$B$3,$B$4,$B$5,$F242,$B$6,N$10,$A242,$B242)</f>
        <v>33096286</v>
      </c>
      <c r="O242" s="4">
        <f ca="1">_xll.DBRW($B$1,$B$2,$B$7,$B$3,$B$4,$B$5,$F242,$B$6,O$10,$A242,$B242)</f>
        <v>32813032</v>
      </c>
      <c r="P242" s="4">
        <f ca="1">_xll.DBRW($B$1,$B$2,$B$7,$B$3,$B$4,$B$5,$F242,$B$6,P$10,$A242,$B242)</f>
        <v>31791096</v>
      </c>
      <c r="Q242" s="4">
        <f ca="1">_xll.DBRW($B$1,$B$2,$B$7,$B$3,$B$4,$B$5,$F242,$B$6,Q$10,$A242,$B242)</f>
        <v>31818866</v>
      </c>
      <c r="R242" s="4">
        <f ca="1">_xll.DBRW($B$1,$B$2,$B$7,$B$3,$B$4,$B$5,$F242,$B$6,R$10,$A242,$B242)</f>
        <v>45259546</v>
      </c>
      <c r="S242" s="4">
        <f ca="1">_xll.DBRW($B$1,$B$2,$B$7,$B$3,$B$4,$B$5,$F242,$B$6,S$10,$A242,$B242)</f>
        <v>52457530</v>
      </c>
      <c r="T242" s="4">
        <f ca="1">_xll.DBRW($B$1,$B$2,$B$7,$B$3,$B$4,$B$5,$F242,$B$6,T$10,$A242,$B242)</f>
        <v>42871326</v>
      </c>
      <c r="U242" s="4">
        <f ca="1">_xll.DBRW($B$1,$B$2,$B$7,$B$3,$B$4,$B$5,$F242,$B$6,U$10,$A242,$B242)</f>
        <v>38455896</v>
      </c>
      <c r="V242" s="4">
        <f ca="1">_xll.DBRW($B$1,$B$2,$B$7,$B$3,$B$4,$B$5,$F242,$B$6,V$10,$A242,$B242)</f>
        <v>42588072</v>
      </c>
      <c r="W242" s="4">
        <f ca="1">_xll.DBRW($B$1,$B$2,$B$7,$B$3,$B$4,$B$5,$F242,$B$6,W$10,$A242,$B242)</f>
        <v>34329274</v>
      </c>
      <c r="X242" s="4">
        <f ca="1">_xll.DBRW($B$1,$B$2,$B$7,$B$3,$B$4,$B$5,$F242,$B$6,X$10,$A242,$B242)</f>
        <v>35873286</v>
      </c>
      <c r="Y242" s="4">
        <f ca="1">_xll.DBRW($B$1,$B$2,$B$7,$B$3,$B$4,$B$5,$F242,$B$6,Y$10,$A242,$B242)</f>
        <v>34562542</v>
      </c>
      <c r="Z242" s="4">
        <f ca="1">_xll.DBRW($B$1,$B$2,$B$7,$B$3,$B$4,$B$5,$F242,$B$6,Z$10,$A242,$B242)</f>
        <v>35634464</v>
      </c>
      <c r="AA242" s="4">
        <f ca="1">_xll.DBRW($B$1,$B$2,$B$7,$B$3,$B$4,$B$5,$F242,$B$6,AA$10,$A242,$B242)</f>
        <v>35873286</v>
      </c>
      <c r="AB242" s="4">
        <f ca="1">_xll.DBRW($B$1,$B$2,$B$7,$B$3,$B$4,$B$5,$F242,$B$6,AB$10,$A242,$B242)</f>
        <v>34323720</v>
      </c>
      <c r="AC242" s="4">
        <f ca="1">_xll.DBRW($B$1,$B$2,$B$7,$B$3,$B$4,$B$5,$F242,$B$6,AC$10,$A242,$B242)</f>
        <v>36650846</v>
      </c>
      <c r="AD242" s="4">
        <f ca="1">_xll.DBRW($B$1,$B$2,$B$7,$B$3,$B$4,$B$5,$F242,$B$6,AD$10,$A242,$B242)</f>
        <v>41282882</v>
      </c>
      <c r="AE242" s="4">
        <f ca="1">_xll.DBRW($B$1,$B$2,$B$7,$B$3,$B$4,$B$5,$F242,$B$6,AE$10,$A242,$B242)</f>
        <v>40827454</v>
      </c>
    </row>
    <row r="243" spans="1:31">
      <c r="A243" s="1" t="s">
        <v>152</v>
      </c>
      <c r="B243" s="5" t="s">
        <v>165</v>
      </c>
      <c r="C243" s="5" t="s">
        <v>166</v>
      </c>
      <c r="D243" s="5" t="s">
        <v>21</v>
      </c>
      <c r="E243" s="5" t="s">
        <v>31</v>
      </c>
      <c r="F243" s="5" t="s">
        <v>25</v>
      </c>
      <c r="G243" s="6"/>
      <c r="H243" s="6"/>
      <c r="I243" s="6"/>
      <c r="J243" s="6"/>
      <c r="K243" s="6"/>
      <c r="L243" s="4">
        <f ca="1">_xll.DBRW($B$1,$B$2,$B$7,$B$3,$B$4,$B$5,$F243,$B$6,L$10,$A243,$B243)</f>
        <v>29101906</v>
      </c>
      <c r="M243" s="4">
        <f ca="1">_xll.DBRW($B$1,$B$2,$B$7,$B$3,$B$4,$B$5,$F243,$B$6,M$10,$A243,$B243)</f>
        <v>29028350</v>
      </c>
      <c r="N243" s="4">
        <f ca="1">_xll.DBRW($B$1,$B$2,$B$7,$B$3,$B$4,$B$5,$F243,$B$6,N$10,$A243,$B243)</f>
        <v>30016102</v>
      </c>
      <c r="O243" s="4">
        <f ca="1">_xll.DBRW($B$1,$B$2,$B$7,$B$3,$B$4,$B$5,$F243,$B$6,O$10,$A243,$B243)</f>
        <v>29984578</v>
      </c>
      <c r="P243" s="4">
        <f ca="1">_xll.DBRW($B$1,$B$2,$B$7,$B$3,$B$4,$B$5,$F243,$B$6,P$10,$A243,$B243)</f>
        <v>29002080</v>
      </c>
      <c r="Q243" s="4">
        <f ca="1">_xll.DBRW($B$1,$B$2,$B$7,$B$3,$B$4,$B$5,$F243,$B$6,Q$10,$A243,$B243)</f>
        <v>29979324</v>
      </c>
      <c r="R243" s="4">
        <f ca="1">_xll.DBRW($B$1,$B$2,$B$7,$B$3,$B$4,$B$5,$F243,$B$6,R$10,$A243,$B243)</f>
        <v>29002080</v>
      </c>
      <c r="S243" s="4">
        <f ca="1">_xll.DBRW($B$1,$B$2,$B$7,$B$3,$B$4,$B$5,$F243,$B$6,S$10,$A243,$B243)</f>
        <v>29968816</v>
      </c>
      <c r="T243" s="4">
        <f ca="1">_xll.DBRW($B$1,$B$2,$B$7,$B$3,$B$4,$B$5,$F243,$B$6,T$10,$A243,$B243)</f>
        <v>30037118</v>
      </c>
      <c r="U243" s="4">
        <f ca="1">_xll.DBRW($B$1,$B$2,$B$7,$B$3,$B$4,$B$5,$F243,$B$6,U$10,$A243,$B243)</f>
        <v>27131656</v>
      </c>
      <c r="V243" s="4">
        <f ca="1">_xll.DBRW($B$1,$B$2,$B$7,$B$3,$B$4,$B$5,$F243,$B$6,V$10,$A243,$B243)</f>
        <v>30031864</v>
      </c>
      <c r="W243" s="4">
        <f ca="1">_xll.DBRW($B$1,$B$2,$B$7,$B$3,$B$4,$B$5,$F243,$B$6,W$10,$A243,$B243)</f>
        <v>29044112</v>
      </c>
      <c r="X243" s="4">
        <f ca="1">_xll.DBRW($B$1,$B$2,$B$7,$B$3,$B$4,$B$5,$F243,$B$6,X$10,$A243,$B243)</f>
        <v>30021356</v>
      </c>
      <c r="Y243" s="4">
        <f ca="1">_xll.DBRW($B$1,$B$2,$B$7,$B$3,$B$4,$B$5,$F243,$B$6,Y$10,$A243,$B243)</f>
        <v>29044112</v>
      </c>
      <c r="Z243" s="4">
        <f ca="1">_xll.DBRW($B$1,$B$2,$B$7,$B$3,$B$4,$B$5,$F243,$B$6,Z$10,$A243,$B243)</f>
        <v>30016102</v>
      </c>
      <c r="AA243" s="4">
        <f ca="1">_xll.DBRW($B$1,$B$2,$B$7,$B$3,$B$4,$B$5,$F243,$B$6,AA$10,$A243,$B243)</f>
        <v>30016102</v>
      </c>
      <c r="AB243" s="4">
        <f ca="1">_xll.DBRW($B$1,$B$2,$B$7,$B$3,$B$4,$B$5,$F243,$B$6,AB$10,$A243,$B243)</f>
        <v>29044112</v>
      </c>
      <c r="AC243" s="4">
        <f ca="1">_xll.DBRW($B$1,$B$2,$B$7,$B$3,$B$4,$B$5,$F243,$B$6,AC$10,$A243,$B243)</f>
        <v>30026610</v>
      </c>
      <c r="AD243" s="4">
        <f ca="1">_xll.DBRW($B$1,$B$2,$B$7,$B$3,$B$4,$B$5,$F243,$B$6,AD$10,$A243,$B243)</f>
        <v>29070382</v>
      </c>
      <c r="AE243" s="4">
        <f ca="1">_xll.DBRW($B$1,$B$2,$B$7,$B$3,$B$4,$B$5,$F243,$B$6,AE$10,$A243,$B243)</f>
        <v>30037118</v>
      </c>
    </row>
    <row r="244" spans="1:31">
      <c r="A244" s="1" t="s">
        <v>152</v>
      </c>
      <c r="B244" s="5" t="s">
        <v>29</v>
      </c>
      <c r="C244" s="5" t="s">
        <v>30</v>
      </c>
      <c r="D244" s="5" t="s">
        <v>31</v>
      </c>
      <c r="E244" s="5" t="s">
        <v>21</v>
      </c>
      <c r="F244" s="5" t="s">
        <v>25</v>
      </c>
      <c r="G244" s="6"/>
      <c r="H244" s="6"/>
      <c r="I244" s="6"/>
      <c r="J244" s="6"/>
      <c r="K244" s="6"/>
      <c r="L244" s="4">
        <f ca="1">_xll.DBRW($B$1,$B$2,$B$7,$B$3,$B$4,$B$5,$F244,$B$6,L$10,$A244,$B244)</f>
        <v>29101906</v>
      </c>
      <c r="M244" s="4">
        <f ca="1">_xll.DBRW($B$1,$B$2,$B$7,$B$3,$B$4,$B$5,$F244,$B$6,M$10,$A244,$B244)</f>
        <v>29028350</v>
      </c>
      <c r="N244" s="4">
        <f ca="1">_xll.DBRW($B$1,$B$2,$B$7,$B$3,$B$4,$B$5,$F244,$B$6,N$10,$A244,$B244)</f>
        <v>30016102</v>
      </c>
      <c r="O244" s="4">
        <f ca="1">_xll.DBRW($B$1,$B$2,$B$7,$B$3,$B$4,$B$5,$F244,$B$6,O$10,$A244,$B244)</f>
        <v>29984578</v>
      </c>
      <c r="P244" s="4">
        <f ca="1">_xll.DBRW($B$1,$B$2,$B$7,$B$3,$B$4,$B$5,$F244,$B$6,P$10,$A244,$B244)</f>
        <v>29002080</v>
      </c>
      <c r="Q244" s="4">
        <f ca="1">_xll.DBRW($B$1,$B$2,$B$7,$B$3,$B$4,$B$5,$F244,$B$6,Q$10,$A244,$B244)</f>
        <v>29979324</v>
      </c>
      <c r="R244" s="4">
        <f ca="1">_xll.DBRW($B$1,$B$2,$B$7,$B$3,$B$4,$B$5,$F244,$B$6,R$10,$A244,$B244)</f>
        <v>29002080</v>
      </c>
      <c r="S244" s="4">
        <f ca="1">_xll.DBRW($B$1,$B$2,$B$7,$B$3,$B$4,$B$5,$F244,$B$6,S$10,$A244,$B244)</f>
        <v>29968816</v>
      </c>
      <c r="T244" s="4">
        <f ca="1">_xll.DBRW($B$1,$B$2,$B$7,$B$3,$B$4,$B$5,$F244,$B$6,T$10,$A244,$B244)</f>
        <v>30037118</v>
      </c>
      <c r="U244" s="4">
        <f ca="1">_xll.DBRW($B$1,$B$2,$B$7,$B$3,$B$4,$B$5,$F244,$B$6,U$10,$A244,$B244)</f>
        <v>27131656</v>
      </c>
      <c r="V244" s="4">
        <f ca="1">_xll.DBRW($B$1,$B$2,$B$7,$B$3,$B$4,$B$5,$F244,$B$6,V$10,$A244,$B244)</f>
        <v>30031864</v>
      </c>
      <c r="W244" s="4">
        <f ca="1">_xll.DBRW($B$1,$B$2,$B$7,$B$3,$B$4,$B$5,$F244,$B$6,W$10,$A244,$B244)</f>
        <v>29044112</v>
      </c>
      <c r="X244" s="4">
        <f ca="1">_xll.DBRW($B$1,$B$2,$B$7,$B$3,$B$4,$B$5,$F244,$B$6,X$10,$A244,$B244)</f>
        <v>30021356</v>
      </c>
      <c r="Y244" s="4">
        <f ca="1">_xll.DBRW($B$1,$B$2,$B$7,$B$3,$B$4,$B$5,$F244,$B$6,Y$10,$A244,$B244)</f>
        <v>29044112</v>
      </c>
      <c r="Z244" s="4">
        <f ca="1">_xll.DBRW($B$1,$B$2,$B$7,$B$3,$B$4,$B$5,$F244,$B$6,Z$10,$A244,$B244)</f>
        <v>30016102</v>
      </c>
      <c r="AA244" s="4">
        <f ca="1">_xll.DBRW($B$1,$B$2,$B$7,$B$3,$B$4,$B$5,$F244,$B$6,AA$10,$A244,$B244)</f>
        <v>30016102</v>
      </c>
      <c r="AB244" s="4">
        <f ca="1">_xll.DBRW($B$1,$B$2,$B$7,$B$3,$B$4,$B$5,$F244,$B$6,AB$10,$A244,$B244)</f>
        <v>29044112</v>
      </c>
      <c r="AC244" s="4">
        <f ca="1">_xll.DBRW($B$1,$B$2,$B$7,$B$3,$B$4,$B$5,$F244,$B$6,AC$10,$A244,$B244)</f>
        <v>29059874</v>
      </c>
      <c r="AD244" s="4">
        <f ca="1">_xll.DBRW($B$1,$B$2,$B$7,$B$3,$B$4,$B$5,$F244,$B$6,AD$10,$A244,$B244)</f>
        <v>29070382</v>
      </c>
      <c r="AE244" s="4">
        <f ca="1">_xll.DBRW($B$1,$B$2,$B$7,$B$3,$B$4,$B$5,$F244,$B$6,AE$10,$A244,$B244)</f>
        <v>29070382</v>
      </c>
    </row>
    <row r="245" spans="1:31">
      <c r="A245" s="1" t="s">
        <v>152</v>
      </c>
      <c r="B245" s="5" t="s">
        <v>167</v>
      </c>
      <c r="C245" s="5" t="s">
        <v>168</v>
      </c>
      <c r="D245" s="5" t="s">
        <v>21</v>
      </c>
      <c r="E245" s="5" t="s">
        <v>76</v>
      </c>
      <c r="F245" s="5" t="s">
        <v>25</v>
      </c>
      <c r="G245" s="6"/>
      <c r="H245" s="6"/>
      <c r="I245" s="6"/>
      <c r="J245" s="6"/>
      <c r="K245" s="6"/>
      <c r="L245" s="4">
        <f ca="1">_xll.DBRW($B$1,$B$2,$B$7,$B$3,$B$4,$B$5,$F245,$B$6,L$10,$A245,$B245)</f>
        <v>49754880</v>
      </c>
      <c r="M245" s="4">
        <f ca="1">_xll.DBRW($B$1,$B$2,$B$7,$B$3,$B$4,$B$5,$F245,$B$6,M$10,$A245,$B245)</f>
        <v>48096384</v>
      </c>
      <c r="N245" s="4">
        <f ca="1">_xll.DBRW($B$1,$B$2,$B$7,$B$3,$B$4,$B$5,$F245,$B$6,N$10,$A245,$B245)</f>
        <v>49754880</v>
      </c>
      <c r="O245" s="4">
        <f ca="1">_xll.DBRW($B$1,$B$2,$B$7,$B$3,$B$4,$B$5,$F245,$B$6,O$10,$A245,$B245)</f>
        <v>49754880</v>
      </c>
      <c r="P245" s="4">
        <f ca="1">_xll.DBRW($B$1,$B$2,$B$7,$B$3,$B$4,$B$5,$F245,$B$6,P$10,$A245,$B245)</f>
        <v>48096384</v>
      </c>
      <c r="Q245" s="4">
        <f ca="1">_xll.DBRW($B$1,$B$2,$B$7,$B$3,$B$4,$B$5,$F245,$B$6,Q$10,$A245,$B245)</f>
        <v>48096384</v>
      </c>
      <c r="R245" s="4">
        <f ca="1">_xll.DBRW($B$1,$B$2,$B$7,$B$3,$B$4,$B$5,$F245,$B$6,R$10,$A245,$B245)</f>
        <v>48096384</v>
      </c>
      <c r="S245" s="4">
        <f ca="1">_xll.DBRW($B$1,$B$2,$B$7,$B$3,$B$4,$B$5,$F245,$B$6,S$10,$A245,$B245)</f>
        <v>49754880</v>
      </c>
      <c r="T245" s="4">
        <f ca="1">_xll.DBRW($B$1,$B$2,$B$7,$B$3,$B$4,$B$5,$F245,$B$6,T$10,$A245,$B245)</f>
        <v>62927830</v>
      </c>
      <c r="U245" s="4">
        <f ca="1">_xll.DBRW($B$1,$B$2,$B$7,$B$3,$B$4,$B$5,$F245,$B$6,U$10,$A245,$B245)</f>
        <v>56838040</v>
      </c>
      <c r="V245" s="4">
        <f ca="1">_xll.DBRW($B$1,$B$2,$B$7,$B$3,$B$4,$B$5,$F245,$B$6,V$10,$A245,$B245)</f>
        <v>62046754</v>
      </c>
      <c r="W245" s="4">
        <f ca="1">_xll.DBRW($B$1,$B$2,$B$7,$B$3,$B$4,$B$5,$F245,$B$6,W$10,$A245,$B245)</f>
        <v>47681760</v>
      </c>
      <c r="X245" s="4">
        <f ca="1">_xll.DBRW($B$1,$B$2,$B$7,$B$3,$B$4,$B$5,$F245,$B$6,X$10,$A245,$B245)</f>
        <v>49271152</v>
      </c>
      <c r="Y245" s="4">
        <f ca="1">_xll.DBRW($B$1,$B$2,$B$7,$B$3,$B$4,$B$5,$F245,$B$6,Y$10,$A245,$B245)</f>
        <v>47681760</v>
      </c>
      <c r="Z245" s="4">
        <f ca="1">_xll.DBRW($B$1,$B$2,$B$7,$B$3,$B$4,$B$5,$F245,$B$6,Z$10,$A245,$B245)</f>
        <v>49271152</v>
      </c>
      <c r="AA245" s="4">
        <f ca="1">_xll.DBRW($B$1,$B$2,$B$7,$B$3,$B$4,$B$5,$F245,$B$6,AA$10,$A245,$B245)</f>
        <v>49271152</v>
      </c>
      <c r="AB245" s="4">
        <f ca="1">_xll.DBRW($B$1,$B$2,$B$7,$B$3,$B$4,$B$5,$F245,$B$6,AB$10,$A245,$B245)</f>
        <v>47681760</v>
      </c>
      <c r="AC245" s="4">
        <f ca="1">_xll.DBRW($B$1,$B$2,$B$7,$B$3,$B$4,$B$5,$F245,$B$6,AC$10,$A245,$B245)</f>
        <v>51914380</v>
      </c>
      <c r="AD245" s="4">
        <f ca="1">_xll.DBRW($B$1,$B$2,$B$7,$B$3,$B$4,$B$5,$F245,$B$6,AD$10,$A245,$B245)</f>
        <v>60897900</v>
      </c>
      <c r="AE245" s="4">
        <f ca="1">_xll.DBRW($B$1,$B$2,$B$7,$B$3,$B$4,$B$5,$F245,$B$6,AE$10,$A245,$B245)</f>
        <v>62927830</v>
      </c>
    </row>
    <row r="246" spans="1:31">
      <c r="A246" s="1" t="s">
        <v>152</v>
      </c>
      <c r="B246" s="5" t="s">
        <v>74</v>
      </c>
      <c r="C246" s="5" t="s">
        <v>75</v>
      </c>
      <c r="D246" s="5" t="s">
        <v>76</v>
      </c>
      <c r="E246" s="5" t="s">
        <v>21</v>
      </c>
      <c r="F246" s="5" t="s">
        <v>25</v>
      </c>
      <c r="G246" s="6"/>
      <c r="H246" s="6"/>
      <c r="I246" s="6"/>
      <c r="J246" s="6"/>
      <c r="K246" s="6"/>
      <c r="L246" s="4">
        <f ca="1">_xll.DBRW($B$1,$B$2,$B$7,$B$3,$B$4,$B$5,$F246,$B$6,L$10,$A246,$B246)</f>
        <v>49754880</v>
      </c>
      <c r="M246" s="4">
        <f ca="1">_xll.DBRW($B$1,$B$2,$B$7,$B$3,$B$4,$B$5,$F246,$B$6,M$10,$A246,$B246)</f>
        <v>48096384</v>
      </c>
      <c r="N246" s="4">
        <f ca="1">_xll.DBRW($B$1,$B$2,$B$7,$B$3,$B$4,$B$5,$F246,$B$6,N$10,$A246,$B246)</f>
        <v>49754880</v>
      </c>
      <c r="O246" s="4">
        <f ca="1">_xll.DBRW($B$1,$B$2,$B$7,$B$3,$B$4,$B$5,$F246,$B$6,O$10,$A246,$B246)</f>
        <v>49754880</v>
      </c>
      <c r="P246" s="4">
        <f ca="1">_xll.DBRW($B$1,$B$2,$B$7,$B$3,$B$4,$B$5,$F246,$B$6,P$10,$A246,$B246)</f>
        <v>48096384</v>
      </c>
      <c r="Q246" s="4">
        <f ca="1">_xll.DBRW($B$1,$B$2,$B$7,$B$3,$B$4,$B$5,$F246,$B$6,Q$10,$A246,$B246)</f>
        <v>48096384</v>
      </c>
      <c r="R246" s="4">
        <f ca="1">_xll.DBRW($B$1,$B$2,$B$7,$B$3,$B$4,$B$5,$F246,$B$6,R$10,$A246,$B246)</f>
        <v>48096384</v>
      </c>
      <c r="S246" s="4">
        <f ca="1">_xll.DBRW($B$1,$B$2,$B$7,$B$3,$B$4,$B$5,$F246,$B$6,S$10,$A246,$B246)</f>
        <v>49754880</v>
      </c>
      <c r="T246" s="4">
        <f ca="1">_xll.DBRW($B$1,$B$2,$B$7,$B$3,$B$4,$B$5,$F246,$B$6,T$10,$A246,$B246)</f>
        <v>62927830</v>
      </c>
      <c r="U246" s="4">
        <f ca="1">_xll.DBRW($B$1,$B$2,$B$7,$B$3,$B$4,$B$5,$F246,$B$6,U$10,$A246,$B246)</f>
        <v>56838040</v>
      </c>
      <c r="V246" s="4">
        <f ca="1">_xll.DBRW($B$1,$B$2,$B$7,$B$3,$B$4,$B$5,$F246,$B$6,V$10,$A246,$B246)</f>
        <v>62046754</v>
      </c>
      <c r="W246" s="4">
        <f ca="1">_xll.DBRW($B$1,$B$2,$B$7,$B$3,$B$4,$B$5,$F246,$B$6,W$10,$A246,$B246)</f>
        <v>47681760</v>
      </c>
      <c r="X246" s="4">
        <f ca="1">_xll.DBRW($B$1,$B$2,$B$7,$B$3,$B$4,$B$5,$F246,$B$6,X$10,$A246,$B246)</f>
        <v>49271152</v>
      </c>
      <c r="Y246" s="4">
        <f ca="1">_xll.DBRW($B$1,$B$2,$B$7,$B$3,$B$4,$B$5,$F246,$B$6,Y$10,$A246,$B246)</f>
        <v>47681760</v>
      </c>
      <c r="Z246" s="4">
        <f ca="1">_xll.DBRW($B$1,$B$2,$B$7,$B$3,$B$4,$B$5,$F246,$B$6,Z$10,$A246,$B246)</f>
        <v>49271152</v>
      </c>
      <c r="AA246" s="4">
        <f ca="1">_xll.DBRW($B$1,$B$2,$B$7,$B$3,$B$4,$B$5,$F246,$B$6,AA$10,$A246,$B246)</f>
        <v>49271152</v>
      </c>
      <c r="AB246" s="4">
        <f ca="1">_xll.DBRW($B$1,$B$2,$B$7,$B$3,$B$4,$B$5,$F246,$B$6,AB$10,$A246,$B246)</f>
        <v>47681760</v>
      </c>
      <c r="AC246" s="4">
        <f ca="1">_xll.DBRW($B$1,$B$2,$B$7,$B$3,$B$4,$B$5,$F246,$B$6,AC$10,$A246,$B246)</f>
        <v>51914380</v>
      </c>
      <c r="AD246" s="4">
        <f ca="1">_xll.DBRW($B$1,$B$2,$B$7,$B$3,$B$4,$B$5,$F246,$B$6,AD$10,$A246,$B246)</f>
        <v>60897900</v>
      </c>
      <c r="AE246" s="4">
        <f ca="1">_xll.DBRW($B$1,$B$2,$B$7,$B$3,$B$4,$B$5,$F246,$B$6,AE$10,$A246,$B246)</f>
        <v>62927830</v>
      </c>
    </row>
    <row r="247" spans="1:31">
      <c r="A247" s="1" t="s">
        <v>152</v>
      </c>
      <c r="B247" s="5" t="s">
        <v>169</v>
      </c>
      <c r="C247" s="5" t="s">
        <v>170</v>
      </c>
      <c r="D247" s="5" t="s">
        <v>21</v>
      </c>
      <c r="E247" s="5" t="s">
        <v>35</v>
      </c>
      <c r="F247" s="5" t="s">
        <v>25</v>
      </c>
      <c r="G247" s="6"/>
      <c r="H247" s="6"/>
      <c r="I247" s="6"/>
      <c r="J247" s="6"/>
      <c r="K247" s="6"/>
      <c r="L247" s="4">
        <f ca="1">_xll.DBRW($B$1,$B$2,$B$7,$B$3,$B$4,$B$5,$F247,$B$6,L$10,$A247,$B247)</f>
        <v>42217795</v>
      </c>
      <c r="M247" s="4">
        <f ca="1">_xll.DBRW($B$1,$B$2,$B$7,$B$3,$B$4,$B$5,$F247,$B$6,M$10,$A247,$B247)</f>
        <v>41714850</v>
      </c>
      <c r="N247" s="4">
        <f ca="1">_xll.DBRW($B$1,$B$2,$B$7,$B$3,$B$4,$B$5,$F247,$B$6,N$10,$A247,$B247)</f>
        <v>43105345</v>
      </c>
      <c r="O247" s="4">
        <f ca="1">_xll.DBRW($B$1,$B$2,$B$7,$B$3,$B$4,$B$5,$F247,$B$6,O$10,$A247,$B247)</f>
        <v>43105345</v>
      </c>
      <c r="P247" s="4">
        <f ca="1">_xll.DBRW($B$1,$B$2,$B$7,$B$3,$B$4,$B$5,$F247,$B$6,P$10,$A247,$B247)</f>
        <v>35354075</v>
      </c>
      <c r="Q247" s="4">
        <f ca="1">_xll.DBRW($B$1,$B$2,$B$7,$B$3,$B$4,$B$5,$F247,$B$6,Q$10,$A247,$B247)</f>
        <v>35217984</v>
      </c>
      <c r="R247" s="4">
        <f ca="1">_xll.DBRW($B$1,$B$2,$B$7,$B$3,$B$4,$B$5,$F247,$B$6,R$10,$A247,$B247)</f>
        <v>33845240</v>
      </c>
      <c r="S247" s="4">
        <f ca="1">_xll.DBRW($B$1,$B$2,$B$7,$B$3,$B$4,$B$5,$F247,$B$6,S$10,$A247,$B247)</f>
        <v>35028640</v>
      </c>
      <c r="T247" s="4">
        <f ca="1">_xll.DBRW($B$1,$B$2,$B$7,$B$3,$B$4,$B$5,$F247,$B$6,T$10,$A247,$B247)</f>
        <v>33797904</v>
      </c>
      <c r="U247" s="4">
        <f ca="1">_xll.DBRW($B$1,$B$2,$B$7,$B$3,$B$4,$B$5,$F247,$B$6,U$10,$A247,$B247)</f>
        <v>30531720</v>
      </c>
      <c r="V247" s="4">
        <f ca="1">_xll.DBRW($B$1,$B$2,$B$7,$B$3,$B$4,$B$5,$F247,$B$6,V$10,$A247,$B247)</f>
        <v>34401438</v>
      </c>
      <c r="W247" s="4">
        <f ca="1">_xll.DBRW($B$1,$B$2,$B$7,$B$3,$B$4,$B$5,$F247,$B$6,W$10,$A247,$B247)</f>
        <v>41714850</v>
      </c>
      <c r="X247" s="4">
        <f ca="1">_xll.DBRW($B$1,$B$2,$B$7,$B$3,$B$4,$B$5,$F247,$B$6,X$10,$A247,$B247)</f>
        <v>43105345</v>
      </c>
      <c r="Y247" s="4">
        <f ca="1">_xll.DBRW($B$1,$B$2,$B$7,$B$3,$B$4,$B$5,$F247,$B$6,Y$10,$A247,$B247)</f>
        <v>41714850</v>
      </c>
      <c r="Z247" s="4">
        <f ca="1">_xll.DBRW($B$1,$B$2,$B$7,$B$3,$B$4,$B$5,$F247,$B$6,Z$10,$A247,$B247)</f>
        <v>43105345</v>
      </c>
      <c r="AA247" s="4">
        <f ca="1">_xll.DBRW($B$1,$B$2,$B$7,$B$3,$B$4,$B$5,$F247,$B$6,AA$10,$A247,$B247)</f>
        <v>43105345</v>
      </c>
      <c r="AB247" s="4">
        <f ca="1">_xll.DBRW($B$1,$B$2,$B$7,$B$3,$B$4,$B$5,$F247,$B$6,AB$10,$A247,$B247)</f>
        <v>41714850</v>
      </c>
      <c r="AC247" s="4">
        <f ca="1">_xll.DBRW($B$1,$B$2,$B$7,$B$3,$B$4,$B$5,$F247,$B$6,AC$10,$A247,$B247)</f>
        <v>41306577</v>
      </c>
      <c r="AD247" s="4">
        <f ca="1">_xll.DBRW($B$1,$B$2,$B$7,$B$3,$B$4,$B$5,$F247,$B$6,AD$10,$A247,$B247)</f>
        <v>32715093</v>
      </c>
      <c r="AE247" s="4">
        <f ca="1">_xll.DBRW($B$1,$B$2,$B$7,$B$3,$B$4,$B$5,$F247,$B$6,AE$10,$A247,$B247)</f>
        <v>33803821</v>
      </c>
    </row>
    <row r="248" spans="1:31">
      <c r="A248" s="1" t="s">
        <v>152</v>
      </c>
      <c r="B248" s="5" t="s">
        <v>33</v>
      </c>
      <c r="C248" s="5" t="s">
        <v>34</v>
      </c>
      <c r="D248" s="5" t="s">
        <v>35</v>
      </c>
      <c r="E248" s="5" t="s">
        <v>21</v>
      </c>
      <c r="F248" s="5" t="s">
        <v>25</v>
      </c>
      <c r="G248" s="6"/>
      <c r="H248" s="6"/>
      <c r="I248" s="6"/>
      <c r="J248" s="6"/>
      <c r="K248" s="6"/>
      <c r="L248" s="4">
        <f ca="1">_xll.DBRW($B$1,$B$2,$B$7,$B$3,$B$4,$B$5,$F248,$B$6,L$10,$A248,$B248)</f>
        <v>42217795</v>
      </c>
      <c r="M248" s="4">
        <f ca="1">_xll.DBRW($B$1,$B$2,$B$7,$B$3,$B$4,$B$5,$F248,$B$6,M$10,$A248,$B248)</f>
        <v>41714850</v>
      </c>
      <c r="N248" s="4">
        <f ca="1">_xll.DBRW($B$1,$B$2,$B$7,$B$3,$B$4,$B$5,$F248,$B$6,N$10,$A248,$B248)</f>
        <v>43105345</v>
      </c>
      <c r="O248" s="4">
        <f ca="1">_xll.DBRW($B$1,$B$2,$B$7,$B$3,$B$4,$B$5,$F248,$B$6,O$10,$A248,$B248)</f>
        <v>43105345</v>
      </c>
      <c r="P248" s="4">
        <f ca="1">_xll.DBRW($B$1,$B$2,$B$7,$B$3,$B$4,$B$5,$F248,$B$6,P$10,$A248,$B248)</f>
        <v>35354075</v>
      </c>
      <c r="Q248" s="4">
        <f ca="1">_xll.DBRW($B$1,$B$2,$B$7,$B$3,$B$4,$B$5,$F248,$B$6,Q$10,$A248,$B248)</f>
        <v>35217984</v>
      </c>
      <c r="R248" s="4">
        <f ca="1">_xll.DBRW($B$1,$B$2,$B$7,$B$3,$B$4,$B$5,$F248,$B$6,R$10,$A248,$B248)</f>
        <v>33845240</v>
      </c>
      <c r="S248" s="4">
        <f ca="1">_xll.DBRW($B$1,$B$2,$B$7,$B$3,$B$4,$B$5,$F248,$B$6,S$10,$A248,$B248)</f>
        <v>35028640</v>
      </c>
      <c r="T248" s="4">
        <f ca="1">_xll.DBRW($B$1,$B$2,$B$7,$B$3,$B$4,$B$5,$F248,$B$6,T$10,$A248,$B248)</f>
        <v>33797904</v>
      </c>
      <c r="U248" s="4">
        <f ca="1">_xll.DBRW($B$1,$B$2,$B$7,$B$3,$B$4,$B$5,$F248,$B$6,U$10,$A248,$B248)</f>
        <v>30531720</v>
      </c>
      <c r="V248" s="4">
        <f ca="1">_xll.DBRW($B$1,$B$2,$B$7,$B$3,$B$4,$B$5,$F248,$B$6,V$10,$A248,$B248)</f>
        <v>34401438</v>
      </c>
      <c r="W248" s="4">
        <f ca="1">_xll.DBRW($B$1,$B$2,$B$7,$B$3,$B$4,$B$5,$F248,$B$6,W$10,$A248,$B248)</f>
        <v>41714850</v>
      </c>
      <c r="X248" s="4">
        <f ca="1">_xll.DBRW($B$1,$B$2,$B$7,$B$3,$B$4,$B$5,$F248,$B$6,X$10,$A248,$B248)</f>
        <v>43105345</v>
      </c>
      <c r="Y248" s="4">
        <f ca="1">_xll.DBRW($B$1,$B$2,$B$7,$B$3,$B$4,$B$5,$F248,$B$6,Y$10,$A248,$B248)</f>
        <v>41714850</v>
      </c>
      <c r="Z248" s="4">
        <f ca="1">_xll.DBRW($B$1,$B$2,$B$7,$B$3,$B$4,$B$5,$F248,$B$6,Z$10,$A248,$B248)</f>
        <v>43105345</v>
      </c>
      <c r="AA248" s="4">
        <f ca="1">_xll.DBRW($B$1,$B$2,$B$7,$B$3,$B$4,$B$5,$F248,$B$6,AA$10,$A248,$B248)</f>
        <v>43105345</v>
      </c>
      <c r="AB248" s="4">
        <f ca="1">_xll.DBRW($B$1,$B$2,$B$7,$B$3,$B$4,$B$5,$F248,$B$6,AB$10,$A248,$B248)</f>
        <v>41714850</v>
      </c>
      <c r="AC248" s="4">
        <f ca="1">_xll.DBRW($B$1,$B$2,$B$7,$B$3,$B$4,$B$5,$F248,$B$6,AC$10,$A248,$B248)</f>
        <v>40211932</v>
      </c>
      <c r="AD248" s="4">
        <f ca="1">_xll.DBRW($B$1,$B$2,$B$7,$B$3,$B$4,$B$5,$F248,$B$6,AD$10,$A248,$B248)</f>
        <v>32715093</v>
      </c>
      <c r="AE248" s="4">
        <f ca="1">_xll.DBRW($B$1,$B$2,$B$7,$B$3,$B$4,$B$5,$F248,$B$6,AE$10,$A248,$B248)</f>
        <v>33803821</v>
      </c>
    </row>
    <row r="249" spans="1:31">
      <c r="A249" s="1" t="s">
        <v>152</v>
      </c>
      <c r="B249" s="5" t="s">
        <v>171</v>
      </c>
      <c r="C249" s="5" t="s">
        <v>163</v>
      </c>
      <c r="D249" s="5" t="s">
        <v>21</v>
      </c>
      <c r="E249" s="5" t="s">
        <v>54</v>
      </c>
      <c r="F249" s="5" t="s">
        <v>25</v>
      </c>
      <c r="G249" s="6"/>
      <c r="H249" s="6"/>
      <c r="I249" s="6"/>
      <c r="J249" s="6"/>
      <c r="K249" s="6"/>
      <c r="L249" s="4">
        <f ca="1">_xll.DBRW($B$1,$B$2,$B$7,$B$3,$B$4,$B$5,$F249,$B$6,L$10,$A249,$B249)</f>
        <v>61899000</v>
      </c>
      <c r="M249" s="4">
        <f ca="1">_xll.DBRW($B$1,$B$2,$B$7,$B$3,$B$4,$B$5,$F249,$B$6,M$10,$A249,$B249)</f>
        <v>59835700</v>
      </c>
      <c r="N249" s="4">
        <f ca="1">_xll.DBRW($B$1,$B$2,$B$7,$B$3,$B$4,$B$5,$F249,$B$6,N$10,$A249,$B249)</f>
        <v>57544120</v>
      </c>
      <c r="O249" s="4">
        <f ca="1">_xll.DBRW($B$1,$B$2,$B$7,$B$3,$B$4,$B$5,$F249,$B$6,O$10,$A249,$B249)</f>
        <v>52258560</v>
      </c>
      <c r="P249" s="4">
        <f ca="1">_xll.DBRW($B$1,$B$2,$B$7,$B$3,$B$4,$B$5,$F249,$B$6,P$10,$A249,$B249)</f>
        <v>60011300</v>
      </c>
      <c r="Q249" s="4">
        <f ca="1">_xll.DBRW($B$1,$B$2,$B$7,$B$3,$B$4,$B$5,$F249,$B$6,Q$10,$A249,$B249)</f>
        <v>60011300</v>
      </c>
      <c r="R249" s="4">
        <f ca="1">_xll.DBRW($B$1,$B$2,$B$7,$B$3,$B$4,$B$5,$F249,$B$6,R$10,$A249,$B249)</f>
        <v>50572800</v>
      </c>
      <c r="S249" s="4">
        <f ca="1">_xll.DBRW($B$1,$B$2,$B$7,$B$3,$B$4,$B$5,$F249,$B$6,S$10,$A249,$B249)</f>
        <v>52258560</v>
      </c>
      <c r="T249" s="4">
        <f ca="1">_xll.DBRW($B$1,$B$2,$B$7,$B$3,$B$4,$B$5,$F249,$B$6,T$10,$A249,$B249)</f>
        <v>63962300</v>
      </c>
      <c r="U249" s="4">
        <f ca="1">_xll.DBRW($B$1,$B$2,$B$7,$B$3,$B$4,$B$5,$F249,$B$6,U$10,$A249,$B249)</f>
        <v>57772400</v>
      </c>
      <c r="V249" s="4">
        <f ca="1">_xll.DBRW($B$1,$B$2,$B$7,$B$3,$B$4,$B$5,$F249,$B$6,V$10,$A249,$B249)</f>
        <v>63207220</v>
      </c>
      <c r="W249" s="4">
        <f ca="1">_xll.DBRW($B$1,$B$2,$B$7,$B$3,$B$4,$B$5,$F249,$B$6,W$10,$A249,$B249)</f>
        <v>50572800</v>
      </c>
      <c r="X249" s="4">
        <f ca="1">_xll.DBRW($B$1,$B$2,$B$7,$B$3,$B$4,$B$5,$F249,$B$6,X$10,$A249,$B249)</f>
        <v>52258560</v>
      </c>
      <c r="Y249" s="4">
        <f ca="1">_xll.DBRW($B$1,$B$2,$B$7,$B$3,$B$4,$B$5,$F249,$B$6,Y$10,$A249,$B249)</f>
        <v>50572800</v>
      </c>
      <c r="Z249" s="4">
        <f ca="1">_xll.DBRW($B$1,$B$2,$B$7,$B$3,$B$4,$B$5,$F249,$B$6,Z$10,$A249,$B249)</f>
        <v>52258560</v>
      </c>
      <c r="AA249" s="4">
        <f ca="1">_xll.DBRW($B$1,$B$2,$B$7,$B$3,$B$4,$B$5,$F249,$B$6,AA$10,$A249,$B249)</f>
        <v>52258560</v>
      </c>
      <c r="AB249" s="4">
        <f ca="1">_xll.DBRW($B$1,$B$2,$B$7,$B$3,$B$4,$B$5,$F249,$B$6,AB$10,$A249,$B249)</f>
        <v>50572800</v>
      </c>
      <c r="AC249" s="4">
        <f ca="1">_xll.DBRW($B$1,$B$2,$B$7,$B$3,$B$4,$B$5,$F249,$B$6,AC$10,$A249,$B249)</f>
        <v>54523800</v>
      </c>
      <c r="AD249" s="4">
        <f ca="1">_xll.DBRW($B$1,$B$2,$B$7,$B$3,$B$4,$B$5,$F249,$B$6,AD$10,$A249,$B249)</f>
        <v>61899000</v>
      </c>
      <c r="AE249" s="4">
        <f ca="1">_xll.DBRW($B$1,$B$2,$B$7,$B$3,$B$4,$B$5,$F249,$B$6,AE$10,$A249,$B249)</f>
        <v>63962300</v>
      </c>
    </row>
    <row r="250" spans="1:31">
      <c r="A250" s="1" t="s">
        <v>152</v>
      </c>
      <c r="B250" s="5" t="s">
        <v>55</v>
      </c>
      <c r="C250" s="5" t="s">
        <v>53</v>
      </c>
      <c r="D250" s="5" t="s">
        <v>54</v>
      </c>
      <c r="E250" s="5" t="s">
        <v>21</v>
      </c>
      <c r="F250" s="5" t="s">
        <v>25</v>
      </c>
      <c r="G250" s="6"/>
      <c r="H250" s="6"/>
      <c r="I250" s="6"/>
      <c r="J250" s="6"/>
      <c r="K250" s="6"/>
      <c r="L250" s="4">
        <f ca="1">_xll.DBRW($B$1,$B$2,$B$7,$B$3,$B$4,$B$5,$F250,$B$6,L$10,$A250,$B250)</f>
        <v>61899000</v>
      </c>
      <c r="M250" s="4">
        <f ca="1">_xll.DBRW($B$1,$B$2,$B$7,$B$3,$B$4,$B$5,$F250,$B$6,M$10,$A250,$B250)</f>
        <v>59835700</v>
      </c>
      <c r="N250" s="4">
        <f ca="1">_xll.DBRW($B$1,$B$2,$B$7,$B$3,$B$4,$B$5,$F250,$B$6,N$10,$A250,$B250)</f>
        <v>57544120</v>
      </c>
      <c r="O250" s="4">
        <f ca="1">_xll.DBRW($B$1,$B$2,$B$7,$B$3,$B$4,$B$5,$F250,$B$6,O$10,$A250,$B250)</f>
        <v>52258560</v>
      </c>
      <c r="P250" s="4">
        <f ca="1">_xll.DBRW($B$1,$B$2,$B$7,$B$3,$B$4,$B$5,$F250,$B$6,P$10,$A250,$B250)</f>
        <v>60011300</v>
      </c>
      <c r="Q250" s="4">
        <f ca="1">_xll.DBRW($B$1,$B$2,$B$7,$B$3,$B$4,$B$5,$F250,$B$6,Q$10,$A250,$B250)</f>
        <v>60011300</v>
      </c>
      <c r="R250" s="4">
        <f ca="1">_xll.DBRW($B$1,$B$2,$B$7,$B$3,$B$4,$B$5,$F250,$B$6,R$10,$A250,$B250)</f>
        <v>50572800</v>
      </c>
      <c r="S250" s="4">
        <f ca="1">_xll.DBRW($B$1,$B$2,$B$7,$B$3,$B$4,$B$5,$F250,$B$6,S$10,$A250,$B250)</f>
        <v>52258560</v>
      </c>
      <c r="T250" s="4">
        <f ca="1">_xll.DBRW($B$1,$B$2,$B$7,$B$3,$B$4,$B$5,$F250,$B$6,T$10,$A250,$B250)</f>
        <v>63962300</v>
      </c>
      <c r="U250" s="4">
        <f ca="1">_xll.DBRW($B$1,$B$2,$B$7,$B$3,$B$4,$B$5,$F250,$B$6,U$10,$A250,$B250)</f>
        <v>57772400</v>
      </c>
      <c r="V250" s="4">
        <f ca="1">_xll.DBRW($B$1,$B$2,$B$7,$B$3,$B$4,$B$5,$F250,$B$6,V$10,$A250,$B250)</f>
        <v>63207220</v>
      </c>
      <c r="W250" s="4">
        <f ca="1">_xll.DBRW($B$1,$B$2,$B$7,$B$3,$B$4,$B$5,$F250,$B$6,W$10,$A250,$B250)</f>
        <v>50572800</v>
      </c>
      <c r="X250" s="4">
        <f ca="1">_xll.DBRW($B$1,$B$2,$B$7,$B$3,$B$4,$B$5,$F250,$B$6,X$10,$A250,$B250)</f>
        <v>52258560</v>
      </c>
      <c r="Y250" s="4">
        <f ca="1">_xll.DBRW($B$1,$B$2,$B$7,$B$3,$B$4,$B$5,$F250,$B$6,Y$10,$A250,$B250)</f>
        <v>50572800</v>
      </c>
      <c r="Z250" s="4">
        <f ca="1">_xll.DBRW($B$1,$B$2,$B$7,$B$3,$B$4,$B$5,$F250,$B$6,Z$10,$A250,$B250)</f>
        <v>52258560</v>
      </c>
      <c r="AA250" s="4">
        <f ca="1">_xll.DBRW($B$1,$B$2,$B$7,$B$3,$B$4,$B$5,$F250,$B$6,AA$10,$A250,$B250)</f>
        <v>52258560</v>
      </c>
      <c r="AB250" s="4">
        <f ca="1">_xll.DBRW($B$1,$B$2,$B$7,$B$3,$B$4,$B$5,$F250,$B$6,AB$10,$A250,$B250)</f>
        <v>50572800</v>
      </c>
      <c r="AC250" s="4">
        <f ca="1">_xll.DBRW($B$1,$B$2,$B$7,$B$3,$B$4,$B$5,$F250,$B$6,AC$10,$A250,$B250)</f>
        <v>52838040</v>
      </c>
      <c r="AD250" s="4">
        <f ca="1">_xll.DBRW($B$1,$B$2,$B$7,$B$3,$B$4,$B$5,$F250,$B$6,AD$10,$A250,$B250)</f>
        <v>61899000</v>
      </c>
      <c r="AE250" s="4">
        <f ca="1">_xll.DBRW($B$1,$B$2,$B$7,$B$3,$B$4,$B$5,$F250,$B$6,AE$10,$A250,$B250)</f>
        <v>61899000</v>
      </c>
    </row>
    <row r="251" spans="1:31">
      <c r="A251" s="1" t="s">
        <v>152</v>
      </c>
      <c r="B251" s="5" t="s">
        <v>172</v>
      </c>
      <c r="C251" s="5" t="s">
        <v>159</v>
      </c>
      <c r="D251" s="5" t="s">
        <v>21</v>
      </c>
      <c r="E251" s="5" t="s">
        <v>38</v>
      </c>
      <c r="F251" s="5" t="s">
        <v>25</v>
      </c>
      <c r="G251" s="6"/>
      <c r="H251" s="6"/>
      <c r="I251" s="6"/>
      <c r="J251" s="6"/>
      <c r="K251" s="6"/>
      <c r="L251" s="4">
        <f ca="1">_xll.DBRW($B$1,$B$2,$B$7,$B$3,$B$4,$B$5,$F251,$B$6,L$10,$A251,$B251)</f>
        <v>40460890</v>
      </c>
      <c r="M251" s="4">
        <f ca="1">_xll.DBRW($B$1,$B$2,$B$7,$B$3,$B$4,$B$5,$F251,$B$6,M$10,$A251,$B251)</f>
        <v>39155700</v>
      </c>
      <c r="N251" s="4">
        <f ca="1">_xll.DBRW($B$1,$B$2,$B$7,$B$3,$B$4,$B$5,$F251,$B$6,N$10,$A251,$B251)</f>
        <v>40460890</v>
      </c>
      <c r="O251" s="4">
        <f ca="1">_xll.DBRW($B$1,$B$2,$B$7,$B$3,$B$4,$B$5,$F251,$B$6,O$10,$A251,$B251)</f>
        <v>40460890</v>
      </c>
      <c r="P251" s="4">
        <f ca="1">_xll.DBRW($B$1,$B$2,$B$7,$B$3,$B$4,$B$5,$F251,$B$6,P$10,$A251,$B251)</f>
        <v>39155700</v>
      </c>
      <c r="Q251" s="4">
        <f ca="1">_xll.DBRW($B$1,$B$2,$B$7,$B$3,$B$4,$B$5,$F251,$B$6,Q$10,$A251,$B251)</f>
        <v>39050174</v>
      </c>
      <c r="R251" s="4">
        <f ca="1">_xll.DBRW($B$1,$B$2,$B$7,$B$3,$B$4,$B$5,$F251,$B$6,R$10,$A251,$B251)</f>
        <v>28664194</v>
      </c>
      <c r="S251" s="4">
        <f ca="1">_xll.DBRW($B$1,$B$2,$B$7,$B$3,$B$4,$B$5,$F251,$B$6,S$10,$A251,$B251)</f>
        <v>29680576</v>
      </c>
      <c r="T251" s="4">
        <f ca="1">_xll.DBRW($B$1,$B$2,$B$7,$B$3,$B$4,$B$5,$F251,$B$6,T$10,$A251,$B251)</f>
        <v>33057408</v>
      </c>
      <c r="U251" s="4">
        <f ca="1">_xll.DBRW($B$1,$B$2,$B$7,$B$3,$B$4,$B$5,$F251,$B$6,U$10,$A251,$B251)</f>
        <v>29858304</v>
      </c>
      <c r="V251" s="4">
        <f ca="1">_xll.DBRW($B$1,$B$2,$B$7,$B$3,$B$4,$B$5,$F251,$B$6,V$10,$A251,$B251)</f>
        <v>33057408</v>
      </c>
      <c r="W251" s="4">
        <f ca="1">_xll.DBRW($B$1,$B$2,$B$7,$B$3,$B$4,$B$5,$F251,$B$6,W$10,$A251,$B251)</f>
        <v>31991040</v>
      </c>
      <c r="X251" s="4">
        <f ca="1">_xll.DBRW($B$1,$B$2,$B$7,$B$3,$B$4,$B$5,$F251,$B$6,X$10,$A251,$B251)</f>
        <v>33057408</v>
      </c>
      <c r="Y251" s="4">
        <f ca="1">_xll.DBRW($B$1,$B$2,$B$7,$B$3,$B$4,$B$5,$F251,$B$6,Y$10,$A251,$B251)</f>
        <v>31991040</v>
      </c>
      <c r="Z251" s="4">
        <f ca="1">_xll.DBRW($B$1,$B$2,$B$7,$B$3,$B$4,$B$5,$F251,$B$6,Z$10,$A251,$B251)</f>
        <v>33057408</v>
      </c>
      <c r="AA251" s="4">
        <f ca="1">_xll.DBRW($B$1,$B$2,$B$7,$B$3,$B$4,$B$5,$F251,$B$6,AA$10,$A251,$B251)</f>
        <v>33057408</v>
      </c>
      <c r="AB251" s="4">
        <f ca="1">_xll.DBRW($B$1,$B$2,$B$7,$B$3,$B$4,$B$5,$F251,$B$6,AB$10,$A251,$B251)</f>
        <v>31991040</v>
      </c>
      <c r="AC251" s="4">
        <f ca="1">_xll.DBRW($B$1,$B$2,$B$7,$B$3,$B$4,$B$5,$F251,$B$6,AC$10,$A251,$B251)</f>
        <v>33057408</v>
      </c>
      <c r="AD251" s="4">
        <f ca="1">_xll.DBRW($B$1,$B$2,$B$7,$B$3,$B$4,$B$5,$F251,$B$6,AD$10,$A251,$B251)</f>
        <v>31991040</v>
      </c>
      <c r="AE251" s="4">
        <f ca="1">_xll.DBRW($B$1,$B$2,$B$7,$B$3,$B$4,$B$5,$F251,$B$6,AE$10,$A251,$B251)</f>
        <v>33057408</v>
      </c>
    </row>
    <row r="252" spans="1:31">
      <c r="A252" s="1" t="s">
        <v>152</v>
      </c>
      <c r="B252" s="5" t="s">
        <v>40</v>
      </c>
      <c r="C252" s="5" t="s">
        <v>37</v>
      </c>
      <c r="D252" s="5" t="s">
        <v>38</v>
      </c>
      <c r="E252" s="5" t="s">
        <v>21</v>
      </c>
      <c r="F252" s="5" t="s">
        <v>25</v>
      </c>
      <c r="G252" s="6"/>
      <c r="H252" s="6"/>
      <c r="I252" s="6"/>
      <c r="J252" s="6"/>
      <c r="K252" s="6"/>
      <c r="L252" s="4">
        <f ca="1">_xll.DBRW($B$1,$B$2,$B$7,$B$3,$B$4,$B$5,$F252,$B$6,L$10,$A252,$B252)</f>
        <v>40460890</v>
      </c>
      <c r="M252" s="4">
        <f ca="1">_xll.DBRW($B$1,$B$2,$B$7,$B$3,$B$4,$B$5,$F252,$B$6,M$10,$A252,$B252)</f>
        <v>39155700</v>
      </c>
      <c r="N252" s="4">
        <f ca="1">_xll.DBRW($B$1,$B$2,$B$7,$B$3,$B$4,$B$5,$F252,$B$6,N$10,$A252,$B252)</f>
        <v>40460890</v>
      </c>
      <c r="O252" s="4">
        <f ca="1">_xll.DBRW($B$1,$B$2,$B$7,$B$3,$B$4,$B$5,$F252,$B$6,O$10,$A252,$B252)</f>
        <v>40460890</v>
      </c>
      <c r="P252" s="4">
        <f ca="1">_xll.DBRW($B$1,$B$2,$B$7,$B$3,$B$4,$B$5,$F252,$B$6,P$10,$A252,$B252)</f>
        <v>39155700</v>
      </c>
      <c r="Q252" s="4">
        <f ca="1">_xll.DBRW($B$1,$B$2,$B$7,$B$3,$B$4,$B$5,$F252,$B$6,Q$10,$A252,$B252)</f>
        <v>39050174</v>
      </c>
      <c r="R252" s="4">
        <f ca="1">_xll.DBRW($B$1,$B$2,$B$7,$B$3,$B$4,$B$5,$F252,$B$6,R$10,$A252,$B252)</f>
        <v>28664194</v>
      </c>
      <c r="S252" s="4">
        <f ca="1">_xll.DBRW($B$1,$B$2,$B$7,$B$3,$B$4,$B$5,$F252,$B$6,S$10,$A252,$B252)</f>
        <v>29680576</v>
      </c>
      <c r="T252" s="4">
        <f ca="1">_xll.DBRW($B$1,$B$2,$B$7,$B$3,$B$4,$B$5,$F252,$B$6,T$10,$A252,$B252)</f>
        <v>33057408</v>
      </c>
      <c r="U252" s="4">
        <f ca="1">_xll.DBRW($B$1,$B$2,$B$7,$B$3,$B$4,$B$5,$F252,$B$6,U$10,$A252,$B252)</f>
        <v>29858304</v>
      </c>
      <c r="V252" s="4">
        <f ca="1">_xll.DBRW($B$1,$B$2,$B$7,$B$3,$B$4,$B$5,$F252,$B$6,V$10,$A252,$B252)</f>
        <v>33057408</v>
      </c>
      <c r="W252" s="4">
        <f ca="1">_xll.DBRW($B$1,$B$2,$B$7,$B$3,$B$4,$B$5,$F252,$B$6,W$10,$A252,$B252)</f>
        <v>31991040</v>
      </c>
      <c r="X252" s="4">
        <f ca="1">_xll.DBRW($B$1,$B$2,$B$7,$B$3,$B$4,$B$5,$F252,$B$6,X$10,$A252,$B252)</f>
        <v>33057408</v>
      </c>
      <c r="Y252" s="4">
        <f ca="1">_xll.DBRW($B$1,$B$2,$B$7,$B$3,$B$4,$B$5,$F252,$B$6,Y$10,$A252,$B252)</f>
        <v>31991040</v>
      </c>
      <c r="Z252" s="4">
        <f ca="1">_xll.DBRW($B$1,$B$2,$B$7,$B$3,$B$4,$B$5,$F252,$B$6,Z$10,$A252,$B252)</f>
        <v>33057408</v>
      </c>
      <c r="AA252" s="4">
        <f ca="1">_xll.DBRW($B$1,$B$2,$B$7,$B$3,$B$4,$B$5,$F252,$B$6,AA$10,$A252,$B252)</f>
        <v>33057408</v>
      </c>
      <c r="AB252" s="4">
        <f ca="1">_xll.DBRW($B$1,$B$2,$B$7,$B$3,$B$4,$B$5,$F252,$B$6,AB$10,$A252,$B252)</f>
        <v>31991040</v>
      </c>
      <c r="AC252" s="4">
        <f ca="1">_xll.DBRW($B$1,$B$2,$B$7,$B$3,$B$4,$B$5,$F252,$B$6,AC$10,$A252,$B252)</f>
        <v>33057408</v>
      </c>
      <c r="AD252" s="4">
        <f ca="1">_xll.DBRW($B$1,$B$2,$B$7,$B$3,$B$4,$B$5,$F252,$B$6,AD$10,$A252,$B252)</f>
        <v>31991040</v>
      </c>
      <c r="AE252" s="4">
        <f ca="1">_xll.DBRW($B$1,$B$2,$B$7,$B$3,$B$4,$B$5,$F252,$B$6,AE$10,$A252,$B252)</f>
        <v>33057408</v>
      </c>
    </row>
    <row r="253" spans="1:31">
      <c r="A253" s="1" t="s">
        <v>152</v>
      </c>
      <c r="B253" s="5" t="s">
        <v>173</v>
      </c>
      <c r="C253" s="5" t="s">
        <v>168</v>
      </c>
      <c r="D253" s="5" t="s">
        <v>21</v>
      </c>
      <c r="E253" s="5" t="s">
        <v>76</v>
      </c>
      <c r="F253" s="5" t="s">
        <v>25</v>
      </c>
      <c r="G253" s="6"/>
      <c r="H253" s="6"/>
      <c r="I253" s="6"/>
      <c r="J253" s="6"/>
      <c r="K253" s="6"/>
      <c r="L253" s="4">
        <f ca="1">_xll.DBRW($B$1,$B$2,$B$7,$B$3,$B$4,$B$5,$F253,$B$6,L$10,$A253,$B253)</f>
        <v>51413376</v>
      </c>
      <c r="M253" s="4">
        <f ca="1">_xll.DBRW($B$1,$B$2,$B$7,$B$3,$B$4,$B$5,$F253,$B$6,M$10,$A253,$B253)</f>
        <v>49754880</v>
      </c>
      <c r="N253" s="4">
        <f ca="1">_xll.DBRW($B$1,$B$2,$B$7,$B$3,$B$4,$B$5,$F253,$B$6,N$10,$A253,$B253)</f>
        <v>49754880</v>
      </c>
      <c r="O253" s="4">
        <f ca="1">_xll.DBRW($B$1,$B$2,$B$7,$B$3,$B$4,$B$5,$F253,$B$6,O$10,$A253,$B253)</f>
        <v>51413376</v>
      </c>
      <c r="P253" s="4">
        <f ca="1">_xll.DBRW($B$1,$B$2,$B$7,$B$3,$B$4,$B$5,$F253,$B$6,P$10,$A253,$B253)</f>
        <v>49754880</v>
      </c>
      <c r="Q253" s="4">
        <f ca="1">_xll.DBRW($B$1,$B$2,$B$7,$B$3,$B$4,$B$5,$F253,$B$6,Q$10,$A253,$B253)</f>
        <v>43120896</v>
      </c>
      <c r="R253" s="4">
        <f ca="1">_xll.DBRW($B$1,$B$2,$B$7,$B$3,$B$4,$B$5,$F253,$B$6,R$10,$A253,$B253)</f>
        <v>0</v>
      </c>
      <c r="S253" s="4">
        <f ca="1">_xll.DBRW($B$1,$B$2,$B$7,$B$3,$B$4,$B$5,$F253,$B$6,S$10,$A253,$B253)</f>
        <v>0</v>
      </c>
      <c r="T253" s="4">
        <f ca="1">_xll.DBRW($B$1,$B$2,$B$7,$B$3,$B$4,$B$5,$F253,$B$6,T$10,$A253,$B253)</f>
        <v>0</v>
      </c>
      <c r="U253" s="4">
        <f ca="1">_xll.DBRW($B$1,$B$2,$B$7,$B$3,$B$4,$B$5,$F253,$B$6,U$10,$A253,$B253)</f>
        <v>0</v>
      </c>
      <c r="V253" s="4">
        <f ca="1">_xll.DBRW($B$1,$B$2,$B$7,$B$3,$B$4,$B$5,$F253,$B$6,V$10,$A253,$B253)</f>
        <v>4059860</v>
      </c>
      <c r="W253" s="4">
        <f ca="1">_xll.DBRW($B$1,$B$2,$B$7,$B$3,$B$4,$B$5,$F253,$B$6,W$10,$A253,$B253)</f>
        <v>60897900</v>
      </c>
      <c r="X253" s="4">
        <f ca="1">_xll.DBRW($B$1,$B$2,$B$7,$B$3,$B$4,$B$5,$F253,$B$6,X$10,$A253,$B253)</f>
        <v>62927830</v>
      </c>
      <c r="Y253" s="4">
        <f ca="1">_xll.DBRW($B$1,$B$2,$B$7,$B$3,$B$4,$B$5,$F253,$B$6,Y$10,$A253,$B253)</f>
        <v>60897900</v>
      </c>
      <c r="Z253" s="4">
        <f ca="1">_xll.DBRW($B$1,$B$2,$B$7,$B$3,$B$4,$B$5,$F253,$B$6,Z$10,$A253,$B253)</f>
        <v>62927830</v>
      </c>
      <c r="AA253" s="4">
        <f ca="1">_xll.DBRW($B$1,$B$2,$B$7,$B$3,$B$4,$B$5,$F253,$B$6,AA$10,$A253,$B253)</f>
        <v>62927830</v>
      </c>
      <c r="AB253" s="4">
        <f ca="1">_xll.DBRW($B$1,$B$2,$B$7,$B$3,$B$4,$B$5,$F253,$B$6,AB$10,$A253,$B253)</f>
        <v>60897900</v>
      </c>
      <c r="AC253" s="4">
        <f ca="1">_xll.DBRW($B$1,$B$2,$B$7,$B$3,$B$4,$B$5,$F253,$B$6,AC$10,$A253,$B253)</f>
        <v>50748250</v>
      </c>
      <c r="AD253" s="4">
        <f ca="1">_xll.DBRW($B$1,$B$2,$B$7,$B$3,$B$4,$B$5,$F253,$B$6,AD$10,$A253,$B253)</f>
        <v>0</v>
      </c>
      <c r="AE253" s="4">
        <f ca="1">_xll.DBRW($B$1,$B$2,$B$7,$B$3,$B$4,$B$5,$F253,$B$6,AE$10,$A253,$B253)</f>
        <v>0</v>
      </c>
    </row>
    <row r="254" spans="1:31">
      <c r="A254" s="1" t="s">
        <v>152</v>
      </c>
      <c r="B254" s="5" t="s">
        <v>77</v>
      </c>
      <c r="C254" s="5" t="s">
        <v>75</v>
      </c>
      <c r="D254" s="5" t="s">
        <v>76</v>
      </c>
      <c r="E254" s="5" t="s">
        <v>21</v>
      </c>
      <c r="F254" s="5" t="s">
        <v>25</v>
      </c>
      <c r="G254" s="6"/>
      <c r="H254" s="6"/>
      <c r="I254" s="6"/>
      <c r="J254" s="6"/>
      <c r="K254" s="6"/>
      <c r="L254" s="4">
        <f ca="1">_xll.DBRW($B$1,$B$2,$B$7,$B$3,$B$4,$B$5,$F254,$B$6,L$10,$A254,$B254)</f>
        <v>51413376</v>
      </c>
      <c r="M254" s="4">
        <f ca="1">_xll.DBRW($B$1,$B$2,$B$7,$B$3,$B$4,$B$5,$F254,$B$6,M$10,$A254,$B254)</f>
        <v>49754880</v>
      </c>
      <c r="N254" s="4">
        <f ca="1">_xll.DBRW($B$1,$B$2,$B$7,$B$3,$B$4,$B$5,$F254,$B$6,N$10,$A254,$B254)</f>
        <v>51784810</v>
      </c>
      <c r="O254" s="4">
        <f ca="1">_xll.DBRW($B$1,$B$2,$B$7,$B$3,$B$4,$B$5,$F254,$B$6,O$10,$A254,$B254)</f>
        <v>51413376</v>
      </c>
      <c r="P254" s="4">
        <f ca="1">_xll.DBRW($B$1,$B$2,$B$7,$B$3,$B$4,$B$5,$F254,$B$6,P$10,$A254,$B254)</f>
        <v>49754880</v>
      </c>
      <c r="Q254" s="4">
        <f ca="1">_xll.DBRW($B$1,$B$2,$B$7,$B$3,$B$4,$B$5,$F254,$B$6,Q$10,$A254,$B254)</f>
        <v>43120896</v>
      </c>
      <c r="R254" s="4">
        <f ca="1">_xll.DBRW($B$1,$B$2,$B$7,$B$3,$B$4,$B$5,$F254,$B$6,R$10,$A254,$B254)</f>
        <v>0</v>
      </c>
      <c r="S254" s="4">
        <f ca="1">_xll.DBRW($B$1,$B$2,$B$7,$B$3,$B$4,$B$5,$F254,$B$6,S$10,$A254,$B254)</f>
        <v>0</v>
      </c>
      <c r="T254" s="4">
        <f ca="1">_xll.DBRW($B$1,$B$2,$B$7,$B$3,$B$4,$B$5,$F254,$B$6,T$10,$A254,$B254)</f>
        <v>0</v>
      </c>
      <c r="U254" s="4">
        <f ca="1">_xll.DBRW($B$1,$B$2,$B$7,$B$3,$B$4,$B$5,$F254,$B$6,U$10,$A254,$B254)</f>
        <v>0</v>
      </c>
      <c r="V254" s="4">
        <f ca="1">_xll.DBRW($B$1,$B$2,$B$7,$B$3,$B$4,$B$5,$F254,$B$6,V$10,$A254,$B254)</f>
        <v>4059860</v>
      </c>
      <c r="W254" s="4">
        <f ca="1">_xll.DBRW($B$1,$B$2,$B$7,$B$3,$B$4,$B$5,$F254,$B$6,W$10,$A254,$B254)</f>
        <v>60897900</v>
      </c>
      <c r="X254" s="4">
        <f ca="1">_xll.DBRW($B$1,$B$2,$B$7,$B$3,$B$4,$B$5,$F254,$B$6,X$10,$A254,$B254)</f>
        <v>62927830</v>
      </c>
      <c r="Y254" s="4">
        <f ca="1">_xll.DBRW($B$1,$B$2,$B$7,$B$3,$B$4,$B$5,$F254,$B$6,Y$10,$A254,$B254)</f>
        <v>60897900</v>
      </c>
      <c r="Z254" s="4">
        <f ca="1">_xll.DBRW($B$1,$B$2,$B$7,$B$3,$B$4,$B$5,$F254,$B$6,Z$10,$A254,$B254)</f>
        <v>62927830</v>
      </c>
      <c r="AA254" s="4">
        <f ca="1">_xll.DBRW($B$1,$B$2,$B$7,$B$3,$B$4,$B$5,$F254,$B$6,AA$10,$A254,$B254)</f>
        <v>62927830</v>
      </c>
      <c r="AB254" s="4">
        <f ca="1">_xll.DBRW($B$1,$B$2,$B$7,$B$3,$B$4,$B$5,$F254,$B$6,AB$10,$A254,$B254)</f>
        <v>60897900</v>
      </c>
      <c r="AC254" s="4">
        <f ca="1">_xll.DBRW($B$1,$B$2,$B$7,$B$3,$B$4,$B$5,$F254,$B$6,AC$10,$A254,$B254)</f>
        <v>48718320</v>
      </c>
      <c r="AD254" s="4">
        <f ca="1">_xll.DBRW($B$1,$B$2,$B$7,$B$3,$B$4,$B$5,$F254,$B$6,AD$10,$A254,$B254)</f>
        <v>0</v>
      </c>
      <c r="AE254" s="4">
        <f ca="1">_xll.DBRW($B$1,$B$2,$B$7,$B$3,$B$4,$B$5,$F254,$B$6,AE$10,$A254,$B254)</f>
        <v>0</v>
      </c>
    </row>
    <row r="255" spans="1:31">
      <c r="A255" s="1" t="s">
        <v>152</v>
      </c>
      <c r="B255" s="5" t="s">
        <v>174</v>
      </c>
      <c r="C255" s="5" t="s">
        <v>159</v>
      </c>
      <c r="D255" s="5" t="s">
        <v>21</v>
      </c>
      <c r="E255" s="5" t="s">
        <v>38</v>
      </c>
      <c r="F255" s="5" t="s">
        <v>25</v>
      </c>
      <c r="G255" s="6"/>
      <c r="H255" s="6"/>
      <c r="I255" s="6"/>
      <c r="J255" s="6"/>
      <c r="K255" s="6"/>
      <c r="L255" s="4">
        <f ca="1">_xll.DBRW($B$1,$B$2,$B$7,$B$3,$B$4,$B$5,$F255,$B$6,L$10,$A255,$B255)</f>
        <v>34845796</v>
      </c>
      <c r="M255" s="4">
        <f ca="1">_xll.DBRW($B$1,$B$2,$B$7,$B$3,$B$4,$B$5,$F255,$B$6,M$10,$A255,$B255)</f>
        <v>33207366</v>
      </c>
      <c r="N255" s="4">
        <f ca="1">_xll.DBRW($B$1,$B$2,$B$7,$B$3,$B$4,$B$5,$F255,$B$6,N$10,$A255,$B255)</f>
        <v>34234856</v>
      </c>
      <c r="O255" s="4">
        <f ca="1">_xll.DBRW($B$1,$B$2,$B$7,$B$3,$B$4,$B$5,$F255,$B$6,O$10,$A255,$B255)</f>
        <v>35084618</v>
      </c>
      <c r="P255" s="4">
        <f ca="1">_xll.DBRW($B$1,$B$2,$B$7,$B$3,$B$4,$B$5,$F255,$B$6,P$10,$A255,$B255)</f>
        <v>32924112</v>
      </c>
      <c r="Q255" s="4">
        <f ca="1">_xll.DBRW($B$1,$B$2,$B$7,$B$3,$B$4,$B$5,$F255,$B$6,Q$10,$A255,$B255)</f>
        <v>35295670</v>
      </c>
      <c r="R255" s="4">
        <f ca="1">_xll.DBRW($B$1,$B$2,$B$7,$B$3,$B$4,$B$5,$F255,$B$6,R$10,$A255,$B255)</f>
        <v>38605854</v>
      </c>
      <c r="S255" s="4">
        <f ca="1">_xll.DBRW($B$1,$B$2,$B$7,$B$3,$B$4,$B$5,$F255,$B$6,S$10,$A255,$B255)</f>
        <v>40127650</v>
      </c>
      <c r="T255" s="4">
        <f ca="1">_xll.DBRW($B$1,$B$2,$B$7,$B$3,$B$4,$B$5,$F255,$B$6,T$10,$A255,$B255)</f>
        <v>33496174</v>
      </c>
      <c r="U255" s="4">
        <f ca="1">_xll.DBRW($B$1,$B$2,$B$7,$B$3,$B$4,$B$5,$F255,$B$6,U$10,$A255,$B255)</f>
        <v>30102680</v>
      </c>
      <c r="V255" s="4">
        <f ca="1">_xll.DBRW($B$1,$B$2,$B$7,$B$3,$B$4,$B$5,$F255,$B$6,V$10,$A255,$B255)</f>
        <v>33174042</v>
      </c>
      <c r="W255" s="4">
        <f ca="1">_xll.DBRW($B$1,$B$2,$B$7,$B$3,$B$4,$B$5,$F255,$B$6,W$10,$A255,$B255)</f>
        <v>32085458</v>
      </c>
      <c r="X255" s="4">
        <f ca="1">_xll.DBRW($B$1,$B$2,$B$7,$B$3,$B$4,$B$5,$F255,$B$6,X$10,$A255,$B255)</f>
        <v>33346216</v>
      </c>
      <c r="Y255" s="4">
        <f ca="1">_xll.DBRW($B$1,$B$2,$B$7,$B$3,$B$4,$B$5,$F255,$B$6,Y$10,$A255,$B255)</f>
        <v>32041026</v>
      </c>
      <c r="Z255" s="4">
        <f ca="1">_xll.DBRW($B$1,$B$2,$B$7,$B$3,$B$4,$B$5,$F255,$B$6,Z$10,$A255,$B255)</f>
        <v>33112948</v>
      </c>
      <c r="AA255" s="4">
        <f ca="1">_xll.DBRW($B$1,$B$2,$B$7,$B$3,$B$4,$B$5,$F255,$B$6,AA$10,$A255,$B255)</f>
        <v>33340662</v>
      </c>
      <c r="AB255" s="4">
        <f ca="1">_xll.DBRW($B$1,$B$2,$B$7,$B$3,$B$4,$B$5,$F255,$B$6,AB$10,$A255,$B255)</f>
        <v>32046580</v>
      </c>
      <c r="AC255" s="4">
        <f ca="1">_xll.DBRW($B$1,$B$2,$B$7,$B$3,$B$4,$B$5,$F255,$B$6,AC$10,$A255,$B255)</f>
        <v>33418418</v>
      </c>
      <c r="AD255" s="4">
        <f ca="1">_xll.DBRW($B$1,$B$2,$B$7,$B$3,$B$4,$B$5,$F255,$B$6,AD$10,$A255,$B255)</f>
        <v>32146552</v>
      </c>
      <c r="AE255" s="4">
        <f ca="1">_xll.DBRW($B$1,$B$2,$B$7,$B$3,$B$4,$B$5,$F255,$B$6,AE$10,$A255,$B255)</f>
        <v>33496174</v>
      </c>
    </row>
    <row r="256" spans="1:31">
      <c r="A256" s="1" t="s">
        <v>152</v>
      </c>
      <c r="B256" s="5" t="s">
        <v>41</v>
      </c>
      <c r="C256" s="5" t="s">
        <v>37</v>
      </c>
      <c r="D256" s="5" t="s">
        <v>38</v>
      </c>
      <c r="E256" s="5" t="s">
        <v>21</v>
      </c>
      <c r="F256" s="5" t="s">
        <v>25</v>
      </c>
      <c r="G256" s="6"/>
      <c r="H256" s="6"/>
      <c r="I256" s="6"/>
      <c r="J256" s="6"/>
      <c r="K256" s="6"/>
      <c r="L256" s="4">
        <f ca="1">_xll.DBRW($B$1,$B$2,$B$7,$B$3,$B$4,$B$5,$F256,$B$6,L$10,$A256,$B256)</f>
        <v>34512556</v>
      </c>
      <c r="M256" s="4">
        <f ca="1">_xll.DBRW($B$1,$B$2,$B$7,$B$3,$B$4,$B$5,$F256,$B$6,M$10,$A256,$B256)</f>
        <v>33207366</v>
      </c>
      <c r="N256" s="4">
        <f ca="1">_xll.DBRW($B$1,$B$2,$B$7,$B$3,$B$4,$B$5,$F256,$B$6,N$10,$A256,$B256)</f>
        <v>32924112</v>
      </c>
      <c r="O256" s="4">
        <f ca="1">_xll.DBRW($B$1,$B$2,$B$7,$B$3,$B$4,$B$5,$F256,$B$6,O$10,$A256,$B256)</f>
        <v>33951602</v>
      </c>
      <c r="P256" s="4">
        <f ca="1">_xll.DBRW($B$1,$B$2,$B$7,$B$3,$B$4,$B$5,$F256,$B$6,P$10,$A256,$B256)</f>
        <v>32924112</v>
      </c>
      <c r="Q256" s="4">
        <f ca="1">_xll.DBRW($B$1,$B$2,$B$7,$B$3,$B$4,$B$5,$F256,$B$6,Q$10,$A256,$B256)</f>
        <v>35295670</v>
      </c>
      <c r="R256" s="4">
        <f ca="1">_xll.DBRW($B$1,$B$2,$B$7,$B$3,$B$4,$B$5,$F256,$B$6,R$10,$A256,$B256)</f>
        <v>38605854</v>
      </c>
      <c r="S256" s="4">
        <f ca="1">_xll.DBRW($B$1,$B$2,$B$7,$B$3,$B$4,$B$5,$F256,$B$6,S$10,$A256,$B256)</f>
        <v>40127650</v>
      </c>
      <c r="T256" s="4">
        <f ca="1">_xll.DBRW($B$1,$B$2,$B$7,$B$3,$B$4,$B$5,$F256,$B$6,T$10,$A256,$B256)</f>
        <v>36123216</v>
      </c>
      <c r="U256" s="4">
        <f ca="1">_xll.DBRW($B$1,$B$2,$B$7,$B$3,$B$4,$B$5,$F256,$B$6,U$10,$A256,$B256)</f>
        <v>33057408</v>
      </c>
      <c r="V256" s="4">
        <f ca="1">_xll.DBRW($B$1,$B$2,$B$7,$B$3,$B$4,$B$5,$F256,$B$6,V$10,$A256,$B256)</f>
        <v>36689724</v>
      </c>
      <c r="W256" s="4">
        <f ca="1">_xll.DBRW($B$1,$B$2,$B$7,$B$3,$B$4,$B$5,$F256,$B$6,W$10,$A256,$B256)</f>
        <v>34307058</v>
      </c>
      <c r="X256" s="4">
        <f ca="1">_xll.DBRW($B$1,$B$2,$B$7,$B$3,$B$4,$B$5,$F256,$B$6,X$10,$A256,$B256)</f>
        <v>35845516</v>
      </c>
      <c r="Y256" s="4">
        <f ca="1">_xll.DBRW($B$1,$B$2,$B$7,$B$3,$B$4,$B$5,$F256,$B$6,Y$10,$A256,$B256)</f>
        <v>34540326</v>
      </c>
      <c r="Z256" s="4">
        <f ca="1">_xll.DBRW($B$1,$B$2,$B$7,$B$3,$B$4,$B$5,$F256,$B$6,Z$10,$A256,$B256)</f>
        <v>35612248</v>
      </c>
      <c r="AA256" s="4">
        <f ca="1">_xll.DBRW($B$1,$B$2,$B$7,$B$3,$B$4,$B$5,$F256,$B$6,AA$10,$A256,$B256)</f>
        <v>35562262</v>
      </c>
      <c r="AB256" s="4">
        <f ca="1">_xll.DBRW($B$1,$B$2,$B$7,$B$3,$B$4,$B$5,$F256,$B$6,AB$10,$A256,$B256)</f>
        <v>34545880</v>
      </c>
      <c r="AC256" s="4">
        <f ca="1">_xll.DBRW($B$1,$B$2,$B$7,$B$3,$B$4,$B$5,$F256,$B$6,AC$10,$A256,$B256)</f>
        <v>35817746</v>
      </c>
      <c r="AD256" s="4">
        <f ca="1">_xll.DBRW($B$1,$B$2,$B$7,$B$3,$B$4,$B$5,$F256,$B$6,AD$10,$A256,$B256)</f>
        <v>35384534</v>
      </c>
      <c r="AE256" s="4">
        <f ca="1">_xll.DBRW($B$1,$B$2,$B$7,$B$3,$B$4,$B$5,$F256,$B$6,AE$10,$A256,$B256)</f>
        <v>36950762</v>
      </c>
    </row>
    <row r="257" spans="1:31">
      <c r="A257" s="1" t="s">
        <v>152</v>
      </c>
      <c r="B257" s="5" t="s">
        <v>175</v>
      </c>
      <c r="C257" s="5" t="s">
        <v>159</v>
      </c>
      <c r="D257" s="5" t="s">
        <v>21</v>
      </c>
      <c r="E257" s="5" t="s">
        <v>38</v>
      </c>
      <c r="F257" s="5" t="s">
        <v>25</v>
      </c>
      <c r="G257" s="6"/>
      <c r="H257" s="6"/>
      <c r="I257" s="6"/>
      <c r="J257" s="6"/>
      <c r="K257" s="6"/>
      <c r="L257" s="4">
        <f ca="1">_xll.DBRW($B$1,$B$2,$B$7,$B$3,$B$4,$B$5,$F257,$B$6,L$10,$A257,$B257)</f>
        <v>12835294</v>
      </c>
      <c r="M257" s="4">
        <f ca="1">_xll.DBRW($B$1,$B$2,$B$7,$B$3,$B$4,$B$5,$F257,$B$6,M$10,$A257,$B257)</f>
        <v>31791096</v>
      </c>
      <c r="N257" s="4">
        <f ca="1">_xll.DBRW($B$1,$B$2,$B$7,$B$3,$B$4,$B$5,$F257,$B$6,N$10,$A257,$B257)</f>
        <v>33107394</v>
      </c>
      <c r="O257" s="4">
        <f ca="1">_xll.DBRW($B$1,$B$2,$B$7,$B$3,$B$4,$B$5,$F257,$B$6,O$10,$A257,$B257)</f>
        <v>32813032</v>
      </c>
      <c r="P257" s="4">
        <f ca="1">_xll.DBRW($B$1,$B$2,$B$7,$B$3,$B$4,$B$5,$F257,$B$6,P$10,$A257,$B257)</f>
        <v>31791096</v>
      </c>
      <c r="Q257" s="4">
        <f ca="1">_xll.DBRW($B$1,$B$2,$B$7,$B$3,$B$4,$B$5,$F257,$B$6,Q$10,$A257,$B257)</f>
        <v>27703352</v>
      </c>
      <c r="R257" s="4">
        <f ca="1">_xll.DBRW($B$1,$B$2,$B$7,$B$3,$B$4,$B$5,$F257,$B$6,R$10,$A257,$B257)</f>
        <v>0</v>
      </c>
      <c r="S257" s="4">
        <f ca="1">_xll.DBRW($B$1,$B$2,$B$7,$B$3,$B$4,$B$5,$F257,$B$6,S$10,$A257,$B257)</f>
        <v>0</v>
      </c>
      <c r="T257" s="4">
        <f ca="1">_xll.DBRW($B$1,$B$2,$B$7,$B$3,$B$4,$B$5,$F257,$B$6,T$10,$A257,$B257)</f>
        <v>0</v>
      </c>
      <c r="U257" s="4">
        <f ca="1">_xll.DBRW($B$1,$B$2,$B$7,$B$3,$B$4,$B$5,$F257,$B$6,U$10,$A257,$B257)</f>
        <v>0</v>
      </c>
      <c r="V257" s="4">
        <f ca="1">_xll.DBRW($B$1,$B$2,$B$7,$B$3,$B$4,$B$5,$F257,$B$6,V$10,$A257,$B257)</f>
        <v>2132736</v>
      </c>
      <c r="W257" s="4">
        <f ca="1">_xll.DBRW($B$1,$B$2,$B$7,$B$3,$B$4,$B$5,$F257,$B$6,W$10,$A257,$B257)</f>
        <v>22393728</v>
      </c>
      <c r="X257" s="4">
        <f ca="1">_xll.DBRW($B$1,$B$2,$B$7,$B$3,$B$4,$B$5,$F257,$B$6,X$10,$A257,$B257)</f>
        <v>23460096</v>
      </c>
      <c r="Y257" s="4">
        <f ca="1">_xll.DBRW($B$1,$B$2,$B$7,$B$3,$B$4,$B$5,$F257,$B$6,Y$10,$A257,$B257)</f>
        <v>23460096</v>
      </c>
      <c r="Z257" s="4">
        <f ca="1">_xll.DBRW($B$1,$B$2,$B$7,$B$3,$B$4,$B$5,$F257,$B$6,Z$10,$A257,$B257)</f>
        <v>23460096</v>
      </c>
      <c r="AA257" s="4">
        <f ca="1">_xll.DBRW($B$1,$B$2,$B$7,$B$3,$B$4,$B$5,$F257,$B$6,AA$10,$A257,$B257)</f>
        <v>23460096</v>
      </c>
      <c r="AB257" s="4">
        <f ca="1">_xll.DBRW($B$1,$B$2,$B$7,$B$3,$B$4,$B$5,$F257,$B$6,AB$10,$A257,$B257)</f>
        <v>23460096</v>
      </c>
      <c r="AC257" s="4">
        <f ca="1">_xll.DBRW($B$1,$B$2,$B$7,$B$3,$B$4,$B$5,$F257,$B$6,AC$10,$A257,$B257)</f>
        <v>17061888</v>
      </c>
      <c r="AD257" s="4">
        <f ca="1">_xll.DBRW($B$1,$B$2,$B$7,$B$3,$B$4,$B$5,$F257,$B$6,AD$10,$A257,$B257)</f>
        <v>0</v>
      </c>
      <c r="AE257" s="4">
        <f ca="1">_xll.DBRW($B$1,$B$2,$B$7,$B$3,$B$4,$B$5,$F257,$B$6,AE$10,$A257,$B257)</f>
        <v>0</v>
      </c>
    </row>
    <row r="258" spans="1:31">
      <c r="A258" s="1" t="s">
        <v>152</v>
      </c>
      <c r="B258" s="5" t="s">
        <v>42</v>
      </c>
      <c r="C258" s="5" t="s">
        <v>37</v>
      </c>
      <c r="D258" s="5" t="s">
        <v>38</v>
      </c>
      <c r="E258" s="5" t="s">
        <v>21</v>
      </c>
      <c r="F258" s="5" t="s">
        <v>25</v>
      </c>
      <c r="G258" s="6"/>
      <c r="H258" s="6"/>
      <c r="I258" s="6"/>
      <c r="J258" s="6"/>
      <c r="K258" s="6"/>
      <c r="L258" s="4">
        <f ca="1">_xll.DBRW($B$1,$B$2,$B$7,$B$3,$B$4,$B$5,$F258,$B$6,L$10,$A258,$B258)</f>
        <v>13435126</v>
      </c>
      <c r="M258" s="4">
        <f ca="1">_xll.DBRW($B$1,$B$2,$B$7,$B$3,$B$4,$B$5,$F258,$B$6,M$10,$A258,$B258)</f>
        <v>33324000</v>
      </c>
      <c r="N258" s="4">
        <f ca="1">_xll.DBRW($B$1,$B$2,$B$7,$B$3,$B$4,$B$5,$F258,$B$6,N$10,$A258,$B258)</f>
        <v>33829414</v>
      </c>
      <c r="O258" s="4">
        <f ca="1">_xll.DBRW($B$1,$B$2,$B$7,$B$3,$B$4,$B$5,$F258,$B$6,O$10,$A258,$B258)</f>
        <v>34062682</v>
      </c>
      <c r="P258" s="4">
        <f ca="1">_xll.DBRW($B$1,$B$2,$B$7,$B$3,$B$4,$B$5,$F258,$B$6,P$10,$A258,$B258)</f>
        <v>38305938</v>
      </c>
      <c r="Q258" s="4">
        <f ca="1">_xll.DBRW($B$1,$B$2,$B$7,$B$3,$B$4,$B$5,$F258,$B$6,Q$10,$A258,$B258)</f>
        <v>33368432</v>
      </c>
      <c r="R258" s="4">
        <f ca="1">_xll.DBRW($B$1,$B$2,$B$7,$B$3,$B$4,$B$5,$F258,$B$6,R$10,$A258,$B258)</f>
        <v>0</v>
      </c>
      <c r="S258" s="4">
        <f ca="1">_xll.DBRW($B$1,$B$2,$B$7,$B$3,$B$4,$B$5,$F258,$B$6,S$10,$A258,$B258)</f>
        <v>0</v>
      </c>
      <c r="T258" s="4">
        <f ca="1">_xll.DBRW($B$1,$B$2,$B$7,$B$3,$B$4,$B$5,$F258,$B$6,T$10,$A258,$B258)</f>
        <v>0</v>
      </c>
      <c r="U258" s="4">
        <f ca="1">_xll.DBRW($B$1,$B$2,$B$7,$B$3,$B$4,$B$5,$F258,$B$6,U$10,$A258,$B258)</f>
        <v>0</v>
      </c>
      <c r="V258" s="4">
        <f ca="1">_xll.DBRW($B$1,$B$2,$B$7,$B$3,$B$4,$B$5,$F258,$B$6,V$10,$A258,$B258)</f>
        <v>2132736</v>
      </c>
      <c r="W258" s="4">
        <f ca="1">_xll.DBRW($B$1,$B$2,$B$7,$B$3,$B$4,$B$5,$F258,$B$6,W$10,$A258,$B258)</f>
        <v>22393728</v>
      </c>
      <c r="X258" s="4">
        <f ca="1">_xll.DBRW($B$1,$B$2,$B$7,$B$3,$B$4,$B$5,$F258,$B$6,X$10,$A258,$B258)</f>
        <v>23460096</v>
      </c>
      <c r="Y258" s="4">
        <f ca="1">_xll.DBRW($B$1,$B$2,$B$7,$B$3,$B$4,$B$5,$F258,$B$6,Y$10,$A258,$B258)</f>
        <v>23460096</v>
      </c>
      <c r="Z258" s="4">
        <f ca="1">_xll.DBRW($B$1,$B$2,$B$7,$B$3,$B$4,$B$5,$F258,$B$6,Z$10,$A258,$B258)</f>
        <v>23460096</v>
      </c>
      <c r="AA258" s="4">
        <f ca="1">_xll.DBRW($B$1,$B$2,$B$7,$B$3,$B$4,$B$5,$F258,$B$6,AA$10,$A258,$B258)</f>
        <v>23460096</v>
      </c>
      <c r="AB258" s="4">
        <f ca="1">_xll.DBRW($B$1,$B$2,$B$7,$B$3,$B$4,$B$5,$F258,$B$6,AB$10,$A258,$B258)</f>
        <v>23460096</v>
      </c>
      <c r="AC258" s="4">
        <f ca="1">_xll.DBRW($B$1,$B$2,$B$7,$B$3,$B$4,$B$5,$F258,$B$6,AC$10,$A258,$B258)</f>
        <v>17061888</v>
      </c>
      <c r="AD258" s="4">
        <f ca="1">_xll.DBRW($B$1,$B$2,$B$7,$B$3,$B$4,$B$5,$F258,$B$6,AD$10,$A258,$B258)</f>
        <v>0</v>
      </c>
      <c r="AE258" s="4">
        <f ca="1">_xll.DBRW($B$1,$B$2,$B$7,$B$3,$B$4,$B$5,$F258,$B$6,AE$10,$A258,$B258)</f>
        <v>0</v>
      </c>
    </row>
    <row r="259" spans="1:31">
      <c r="A259" s="1" t="s">
        <v>152</v>
      </c>
      <c r="B259" s="5" t="s">
        <v>176</v>
      </c>
      <c r="C259" s="5" t="s">
        <v>177</v>
      </c>
      <c r="D259" s="5" t="s">
        <v>28</v>
      </c>
      <c r="E259" s="5" t="s">
        <v>59</v>
      </c>
      <c r="F259" s="5" t="s">
        <v>25</v>
      </c>
      <c r="G259" s="6"/>
      <c r="H259" s="6"/>
      <c r="I259" s="6"/>
      <c r="J259" s="6"/>
      <c r="K259" s="6"/>
      <c r="L259" s="4">
        <f ca="1">_xll.DBRW($B$1,$B$2,$B$7,$B$3,$B$4,$B$5,$F259,$B$6,L$10,$A259,$B259)</f>
        <v>48741550</v>
      </c>
      <c r="M259" s="4">
        <f ca="1">_xll.DBRW($B$1,$B$2,$B$7,$B$3,$B$4,$B$5,$F259,$B$6,M$10,$A259,$B259)</f>
        <v>39879450</v>
      </c>
      <c r="N259" s="4">
        <f ca="1">_xll.DBRW($B$1,$B$2,$B$7,$B$3,$B$4,$B$5,$F259,$B$6,N$10,$A259,$B259)</f>
        <v>46526025</v>
      </c>
      <c r="O259" s="4">
        <f ca="1">_xll.DBRW($B$1,$B$2,$B$7,$B$3,$B$4,$B$5,$F259,$B$6,O$10,$A259,$B259)</f>
        <v>48741550</v>
      </c>
      <c r="P259" s="4">
        <f ca="1">_xll.DBRW($B$1,$B$2,$B$7,$B$3,$B$4,$B$5,$F259,$B$6,P$10,$A259,$B259)</f>
        <v>42094975</v>
      </c>
      <c r="Q259" s="4">
        <f ca="1">_xll.DBRW($B$1,$B$2,$B$7,$B$3,$B$4,$B$5,$F259,$B$6,Q$10,$A259,$B259)</f>
        <v>43969650</v>
      </c>
      <c r="R259" s="4">
        <f ca="1">_xll.DBRW($B$1,$B$2,$B$7,$B$3,$B$4,$B$5,$F259,$B$6,R$10,$A259,$B259)</f>
        <v>36505035</v>
      </c>
      <c r="S259" s="4">
        <f ca="1">_xll.DBRW($B$1,$B$2,$B$7,$B$3,$B$4,$B$5,$F259,$B$6,S$10,$A259,$B259)</f>
        <v>37779814</v>
      </c>
      <c r="T259" s="4">
        <f ca="1">_xll.DBRW($B$1,$B$2,$B$7,$B$3,$B$4,$B$5,$F259,$B$6,T$10,$A259,$B259)</f>
        <v>68681275</v>
      </c>
      <c r="U259" s="4">
        <f ca="1">_xll.DBRW($B$1,$B$2,$B$7,$B$3,$B$4,$B$5,$F259,$B$6,U$10,$A259,$B259)</f>
        <v>62034700</v>
      </c>
      <c r="V259" s="4">
        <f ca="1">_xll.DBRW($B$1,$B$2,$B$7,$B$3,$B$4,$B$5,$F259,$B$6,V$10,$A259,$B259)</f>
        <v>66772515</v>
      </c>
      <c r="W259" s="4">
        <f ca="1">_xll.DBRW($B$1,$B$2,$B$7,$B$3,$B$4,$B$5,$F259,$B$6,W$10,$A259,$B259)</f>
        <v>55013190</v>
      </c>
      <c r="X259" s="4">
        <f ca="1">_xll.DBRW($B$1,$B$2,$B$7,$B$3,$B$4,$B$5,$F259,$B$6,X$10,$A259,$B259)</f>
        <v>56274335</v>
      </c>
      <c r="Y259" s="4">
        <f ca="1">_xll.DBRW($B$1,$B$2,$B$7,$B$3,$B$4,$B$5,$F259,$B$6,Y$10,$A259,$B259)</f>
        <v>53104430</v>
      </c>
      <c r="Z259" s="4">
        <f ca="1">_xll.DBRW($B$1,$B$2,$B$7,$B$3,$B$4,$B$5,$F259,$B$6,Z$10,$A259,$B259)</f>
        <v>56274335</v>
      </c>
      <c r="AA259" s="4">
        <f ca="1">_xll.DBRW($B$1,$B$2,$B$7,$B$3,$B$4,$B$5,$F259,$B$6,AA$10,$A259,$B259)</f>
        <v>56274335</v>
      </c>
      <c r="AB259" s="4">
        <f ca="1">_xll.DBRW($B$1,$B$2,$B$7,$B$3,$B$4,$B$5,$F259,$B$6,AB$10,$A259,$B259)</f>
        <v>54058810</v>
      </c>
      <c r="AC259" s="4">
        <f ca="1">_xll.DBRW($B$1,$B$2,$B$7,$B$3,$B$4,$B$5,$F259,$B$6,AC$10,$A259,$B259)</f>
        <v>59137475</v>
      </c>
      <c r="AD259" s="4">
        <f ca="1">_xll.DBRW($B$1,$B$2,$B$7,$B$3,$B$4,$B$5,$F259,$B$6,AD$10,$A259,$B259)</f>
        <v>66465750</v>
      </c>
      <c r="AE259" s="4">
        <f ca="1">_xll.DBRW($B$1,$B$2,$B$7,$B$3,$B$4,$B$5,$F259,$B$6,AE$10,$A259,$B259)</f>
        <v>68681275</v>
      </c>
    </row>
    <row r="260" spans="1:31">
      <c r="A260" s="1" t="s">
        <v>152</v>
      </c>
      <c r="B260" s="5" t="s">
        <v>64</v>
      </c>
      <c r="C260" s="5" t="s">
        <v>65</v>
      </c>
      <c r="D260" s="5" t="s">
        <v>59</v>
      </c>
      <c r="E260" s="5" t="s">
        <v>28</v>
      </c>
      <c r="F260" s="5" t="s">
        <v>25</v>
      </c>
      <c r="G260" s="6"/>
      <c r="H260" s="6"/>
      <c r="I260" s="6"/>
      <c r="J260" s="6"/>
      <c r="K260" s="6"/>
      <c r="L260" s="4">
        <f ca="1">_xll.DBRW($B$1,$B$2,$B$7,$B$3,$B$4,$B$5,$F260,$B$6,L$10,$A260,$B260)</f>
        <v>48741550</v>
      </c>
      <c r="M260" s="4">
        <f ca="1">_xll.DBRW($B$1,$B$2,$B$7,$B$3,$B$4,$B$5,$F260,$B$6,M$10,$A260,$B260)</f>
        <v>48741550</v>
      </c>
      <c r="N260" s="4">
        <f ca="1">_xll.DBRW($B$1,$B$2,$B$7,$B$3,$B$4,$B$5,$F260,$B$6,N$10,$A260,$B260)</f>
        <v>48741550</v>
      </c>
      <c r="O260" s="4">
        <f ca="1">_xll.DBRW($B$1,$B$2,$B$7,$B$3,$B$4,$B$5,$F260,$B$6,O$10,$A260,$B260)</f>
        <v>48741550</v>
      </c>
      <c r="P260" s="4">
        <f ca="1">_xll.DBRW($B$1,$B$2,$B$7,$B$3,$B$4,$B$5,$F260,$B$6,P$10,$A260,$B260)</f>
        <v>48741550</v>
      </c>
      <c r="Q260" s="4">
        <f ca="1">_xll.DBRW($B$1,$B$2,$B$7,$B$3,$B$4,$B$5,$F260,$B$6,Q$10,$A260,$B260)</f>
        <v>46171541</v>
      </c>
      <c r="R260" s="4">
        <f ca="1">_xll.DBRW($B$1,$B$2,$B$7,$B$3,$B$4,$B$5,$F260,$B$6,R$10,$A260,$B260)</f>
        <v>36518669</v>
      </c>
      <c r="S260" s="4">
        <f ca="1">_xll.DBRW($B$1,$B$2,$B$7,$B$3,$B$4,$B$5,$F260,$B$6,S$10,$A260,$B260)</f>
        <v>37779814</v>
      </c>
      <c r="T260" s="4">
        <f ca="1">_xll.DBRW($B$1,$B$2,$B$7,$B$3,$B$4,$B$5,$F260,$B$6,T$10,$A260,$B260)</f>
        <v>68681275</v>
      </c>
      <c r="U260" s="4">
        <f ca="1">_xll.DBRW($B$1,$B$2,$B$7,$B$3,$B$4,$B$5,$F260,$B$6,U$10,$A260,$B260)</f>
        <v>62034700</v>
      </c>
      <c r="V260" s="4">
        <f ca="1">_xll.DBRW($B$1,$B$2,$B$7,$B$3,$B$4,$B$5,$F260,$B$6,V$10,$A260,$B260)</f>
        <v>66772515</v>
      </c>
      <c r="W260" s="4">
        <f ca="1">_xll.DBRW($B$1,$B$2,$B$7,$B$3,$B$4,$B$5,$F260,$B$6,W$10,$A260,$B260)</f>
        <v>50241290</v>
      </c>
      <c r="X260" s="4">
        <f ca="1">_xll.DBRW($B$1,$B$2,$B$7,$B$3,$B$4,$B$5,$F260,$B$6,X$10,$A260,$B260)</f>
        <v>52456815</v>
      </c>
      <c r="Y260" s="4">
        <f ca="1">_xll.DBRW($B$1,$B$2,$B$7,$B$3,$B$4,$B$5,$F260,$B$6,Y$10,$A260,$B260)</f>
        <v>49286910</v>
      </c>
      <c r="Z260" s="4">
        <f ca="1">_xll.DBRW($B$1,$B$2,$B$7,$B$3,$B$4,$B$5,$F260,$B$6,Z$10,$A260,$B260)</f>
        <v>52456815</v>
      </c>
      <c r="AA260" s="4">
        <f ca="1">_xll.DBRW($B$1,$B$2,$B$7,$B$3,$B$4,$B$5,$F260,$B$6,AA$10,$A260,$B260)</f>
        <v>51502435</v>
      </c>
      <c r="AB260" s="4">
        <f ca="1">_xll.DBRW($B$1,$B$2,$B$7,$B$3,$B$4,$B$5,$F260,$B$6,AB$10,$A260,$B260)</f>
        <v>50241290</v>
      </c>
      <c r="AC260" s="4">
        <f ca="1">_xll.DBRW($B$1,$B$2,$B$7,$B$3,$B$4,$B$5,$F260,$B$6,AC$10,$A260,$B260)</f>
        <v>54058810</v>
      </c>
      <c r="AD260" s="4">
        <f ca="1">_xll.DBRW($B$1,$B$2,$B$7,$B$3,$B$4,$B$5,$F260,$B$6,AD$10,$A260,$B260)</f>
        <v>66465750</v>
      </c>
      <c r="AE260" s="4">
        <f ca="1">_xll.DBRW($B$1,$B$2,$B$7,$B$3,$B$4,$B$5,$F260,$B$6,AE$10,$A260,$B260)</f>
        <v>66465750</v>
      </c>
    </row>
    <row r="261" spans="1:31">
      <c r="A261" s="1" t="s">
        <v>152</v>
      </c>
      <c r="B261" s="5" t="s">
        <v>178</v>
      </c>
      <c r="C261" s="5" t="s">
        <v>177</v>
      </c>
      <c r="D261" s="5" t="s">
        <v>28</v>
      </c>
      <c r="E261" s="5" t="s">
        <v>59</v>
      </c>
      <c r="F261" s="5" t="s">
        <v>25</v>
      </c>
      <c r="G261" s="6"/>
      <c r="H261" s="6"/>
      <c r="I261" s="6"/>
      <c r="J261" s="6"/>
      <c r="K261" s="6"/>
      <c r="L261" s="4">
        <f ca="1">_xll.DBRW($B$1,$B$2,$B$7,$B$3,$B$4,$B$5,$F261,$B$6,L$10,$A261,$B261)</f>
        <v>47684915</v>
      </c>
      <c r="M261" s="4">
        <f ca="1">_xll.DBRW($B$1,$B$2,$B$7,$B$3,$B$4,$B$5,$F261,$B$6,M$10,$A261,$B261)</f>
        <v>38550135</v>
      </c>
      <c r="N261" s="4">
        <f ca="1">_xll.DBRW($B$1,$B$2,$B$7,$B$3,$B$4,$B$5,$F261,$B$6,N$10,$A261,$B261)</f>
        <v>52797665</v>
      </c>
      <c r="O261" s="4">
        <f ca="1">_xll.DBRW($B$1,$B$2,$B$7,$B$3,$B$4,$B$5,$F261,$B$6,O$10,$A261,$B261)</f>
        <v>56274335</v>
      </c>
      <c r="P261" s="4">
        <f ca="1">_xll.DBRW($B$1,$B$2,$B$7,$B$3,$B$4,$B$5,$F261,$B$6,P$10,$A261,$B261)</f>
        <v>49014230</v>
      </c>
      <c r="Q261" s="4">
        <f ca="1">_xll.DBRW($B$1,$B$2,$B$7,$B$3,$B$4,$B$5,$F261,$B$6,Q$10,$A261,$B261)</f>
        <v>44583180</v>
      </c>
      <c r="R261" s="4">
        <f ca="1">_xll.DBRW($B$1,$B$2,$B$7,$B$3,$B$4,$B$5,$F261,$B$6,R$10,$A261,$B261)</f>
        <v>0</v>
      </c>
      <c r="S261" s="4">
        <f ca="1">_xll.DBRW($B$1,$B$2,$B$7,$B$3,$B$4,$B$5,$F261,$B$6,S$10,$A261,$B261)</f>
        <v>0</v>
      </c>
      <c r="T261" s="4">
        <f ca="1">_xll.DBRW($B$1,$B$2,$B$7,$B$3,$B$4,$B$5,$F261,$B$6,T$10,$A261,$B261)</f>
        <v>0</v>
      </c>
      <c r="U261" s="4">
        <f ca="1">_xll.DBRW($B$1,$B$2,$B$7,$B$3,$B$4,$B$5,$F261,$B$6,U$10,$A261,$B261)</f>
        <v>0</v>
      </c>
      <c r="V261" s="4">
        <f ca="1">_xll.DBRW($B$1,$B$2,$B$7,$B$3,$B$4,$B$5,$F261,$B$6,V$10,$A261,$B261)</f>
        <v>0</v>
      </c>
      <c r="W261" s="4">
        <f ca="1">_xll.DBRW($B$1,$B$2,$B$7,$B$3,$B$4,$B$5,$F261,$B$6,W$10,$A261,$B261)</f>
        <v>19939725</v>
      </c>
      <c r="X261" s="4">
        <f ca="1">_xll.DBRW($B$1,$B$2,$B$7,$B$3,$B$4,$B$5,$F261,$B$6,X$10,$A261,$B261)</f>
        <v>19939725</v>
      </c>
      <c r="Y261" s="4">
        <f ca="1">_xll.DBRW($B$1,$B$2,$B$7,$B$3,$B$4,$B$5,$F261,$B$6,Y$10,$A261,$B261)</f>
        <v>17724200</v>
      </c>
      <c r="Z261" s="4">
        <f ca="1">_xll.DBRW($B$1,$B$2,$B$7,$B$3,$B$4,$B$5,$F261,$B$6,Z$10,$A261,$B261)</f>
        <v>22155250</v>
      </c>
      <c r="AA261" s="4">
        <f ca="1">_xll.DBRW($B$1,$B$2,$B$7,$B$3,$B$4,$B$5,$F261,$B$6,AA$10,$A261,$B261)</f>
        <v>17724200</v>
      </c>
      <c r="AB261" s="4">
        <f ca="1">_xll.DBRW($B$1,$B$2,$B$7,$B$3,$B$4,$B$5,$F261,$B$6,AB$10,$A261,$B261)</f>
        <v>19939725</v>
      </c>
      <c r="AC261" s="4">
        <f ca="1">_xll.DBRW($B$1,$B$2,$B$7,$B$3,$B$4,$B$5,$F261,$B$6,AC$10,$A261,$B261)</f>
        <v>15508675</v>
      </c>
      <c r="AD261" s="4">
        <f ca="1">_xll.DBRW($B$1,$B$2,$B$7,$B$3,$B$4,$B$5,$F261,$B$6,AD$10,$A261,$B261)</f>
        <v>0</v>
      </c>
      <c r="AE261" s="4">
        <f ca="1">_xll.DBRW($B$1,$B$2,$B$7,$B$3,$B$4,$B$5,$F261,$B$6,AE$10,$A261,$B261)</f>
        <v>0</v>
      </c>
    </row>
    <row r="262" spans="1:31">
      <c r="A262" s="1" t="s">
        <v>152</v>
      </c>
      <c r="B262" s="5" t="s">
        <v>66</v>
      </c>
      <c r="C262" s="5" t="s">
        <v>65</v>
      </c>
      <c r="D262" s="5" t="s">
        <v>59</v>
      </c>
      <c r="E262" s="5" t="s">
        <v>28</v>
      </c>
      <c r="F262" s="5" t="s">
        <v>25</v>
      </c>
      <c r="G262" s="6"/>
      <c r="H262" s="6"/>
      <c r="I262" s="6"/>
      <c r="J262" s="6"/>
      <c r="K262" s="6"/>
      <c r="L262" s="4">
        <f ca="1">_xll.DBRW($B$1,$B$2,$B$7,$B$3,$B$4,$B$5,$F262,$B$6,L$10,$A262,$B262)</f>
        <v>48639295</v>
      </c>
      <c r="M262" s="4">
        <f ca="1">_xll.DBRW($B$1,$B$2,$B$7,$B$3,$B$4,$B$5,$F262,$B$6,M$10,$A262,$B262)</f>
        <v>30949180</v>
      </c>
      <c r="N262" s="4">
        <f ca="1">_xll.DBRW($B$1,$B$2,$B$7,$B$3,$B$4,$B$5,$F262,$B$6,N$10,$A262,$B262)</f>
        <v>50582140</v>
      </c>
      <c r="O262" s="4">
        <f ca="1">_xll.DBRW($B$1,$B$2,$B$7,$B$3,$B$4,$B$5,$F262,$B$6,O$10,$A262,$B262)</f>
        <v>56274335</v>
      </c>
      <c r="P262" s="4">
        <f ca="1">_xll.DBRW($B$1,$B$2,$B$7,$B$3,$B$4,$B$5,$F262,$B$6,P$10,$A262,$B262)</f>
        <v>42367655</v>
      </c>
      <c r="Q262" s="4">
        <f ca="1">_xll.DBRW($B$1,$B$2,$B$7,$B$3,$B$4,$B$5,$F262,$B$6,Q$10,$A262,$B262)</f>
        <v>42367655</v>
      </c>
      <c r="R262" s="4">
        <f ca="1">_xll.DBRW($B$1,$B$2,$B$7,$B$3,$B$4,$B$5,$F262,$B$6,R$10,$A262,$B262)</f>
        <v>0</v>
      </c>
      <c r="S262" s="4">
        <f ca="1">_xll.DBRW($B$1,$B$2,$B$7,$B$3,$B$4,$B$5,$F262,$B$6,S$10,$A262,$B262)</f>
        <v>0</v>
      </c>
      <c r="T262" s="4">
        <f ca="1">_xll.DBRW($B$1,$B$2,$B$7,$B$3,$B$4,$B$5,$F262,$B$6,T$10,$A262,$B262)</f>
        <v>0</v>
      </c>
      <c r="U262" s="4">
        <f ca="1">_xll.DBRW($B$1,$B$2,$B$7,$B$3,$B$4,$B$5,$F262,$B$6,U$10,$A262,$B262)</f>
        <v>0</v>
      </c>
      <c r="V262" s="4">
        <f ca="1">_xll.DBRW($B$1,$B$2,$B$7,$B$3,$B$4,$B$5,$F262,$B$6,V$10,$A262,$B262)</f>
        <v>0</v>
      </c>
      <c r="W262" s="4">
        <f ca="1">_xll.DBRW($B$1,$B$2,$B$7,$B$3,$B$4,$B$5,$F262,$B$6,W$10,$A262,$B262)</f>
        <v>19939725</v>
      </c>
      <c r="X262" s="4">
        <f ca="1">_xll.DBRW($B$1,$B$2,$B$7,$B$3,$B$4,$B$5,$F262,$B$6,X$10,$A262,$B262)</f>
        <v>19939725</v>
      </c>
      <c r="Y262" s="4">
        <f ca="1">_xll.DBRW($B$1,$B$2,$B$7,$B$3,$B$4,$B$5,$F262,$B$6,Y$10,$A262,$B262)</f>
        <v>17724200</v>
      </c>
      <c r="Z262" s="4">
        <f ca="1">_xll.DBRW($B$1,$B$2,$B$7,$B$3,$B$4,$B$5,$F262,$B$6,Z$10,$A262,$B262)</f>
        <v>22155250</v>
      </c>
      <c r="AA262" s="4">
        <f ca="1">_xll.DBRW($B$1,$B$2,$B$7,$B$3,$B$4,$B$5,$F262,$B$6,AA$10,$A262,$B262)</f>
        <v>17724200</v>
      </c>
      <c r="AB262" s="4">
        <f ca="1">_xll.DBRW($B$1,$B$2,$B$7,$B$3,$B$4,$B$5,$F262,$B$6,AB$10,$A262,$B262)</f>
        <v>19939725</v>
      </c>
      <c r="AC262" s="4">
        <f ca="1">_xll.DBRW($B$1,$B$2,$B$7,$B$3,$B$4,$B$5,$F262,$B$6,AC$10,$A262,$B262)</f>
        <v>15508675</v>
      </c>
      <c r="AD262" s="4">
        <f ca="1">_xll.DBRW($B$1,$B$2,$B$7,$B$3,$B$4,$B$5,$F262,$B$6,AD$10,$A262,$B262)</f>
        <v>0</v>
      </c>
      <c r="AE262" s="4">
        <f ca="1">_xll.DBRW($B$1,$B$2,$B$7,$B$3,$B$4,$B$5,$F262,$B$6,AE$10,$A262,$B262)</f>
        <v>0</v>
      </c>
    </row>
    <row r="263" spans="1:31">
      <c r="A263" s="1" t="s">
        <v>152</v>
      </c>
      <c r="B263" s="5" t="s">
        <v>179</v>
      </c>
      <c r="C263" s="5" t="s">
        <v>180</v>
      </c>
      <c r="D263" s="5" t="s">
        <v>28</v>
      </c>
      <c r="E263" s="5" t="s">
        <v>181</v>
      </c>
      <c r="F263" s="5" t="s">
        <v>25</v>
      </c>
      <c r="G263" s="6"/>
      <c r="H263" s="6"/>
      <c r="I263" s="6"/>
      <c r="J263" s="6"/>
      <c r="K263" s="6"/>
      <c r="L263" s="4">
        <f ca="1">_xll.DBRW($B$1,$B$2,$B$7,$B$3,$B$4,$B$5,$F263,$B$6,L$10,$A263,$B263)</f>
        <v>0</v>
      </c>
      <c r="M263" s="4">
        <f ca="1">_xll.DBRW($B$1,$B$2,$B$7,$B$3,$B$4,$B$5,$F263,$B$6,M$10,$A263,$B263)</f>
        <v>0</v>
      </c>
      <c r="N263" s="4">
        <f ca="1">_xll.DBRW($B$1,$B$2,$B$7,$B$3,$B$4,$B$5,$F263,$B$6,N$10,$A263,$B263)</f>
        <v>0</v>
      </c>
      <c r="O263" s="4">
        <f ca="1">_xll.DBRW($B$1,$B$2,$B$7,$B$3,$B$4,$B$5,$F263,$B$6,O$10,$A263,$B263)</f>
        <v>0</v>
      </c>
      <c r="P263" s="4">
        <f ca="1">_xll.DBRW($B$1,$B$2,$B$7,$B$3,$B$4,$B$5,$F263,$B$6,P$10,$A263,$B263)</f>
        <v>0</v>
      </c>
      <c r="Q263" s="4">
        <f ca="1">_xll.DBRW($B$1,$B$2,$B$7,$B$3,$B$4,$B$5,$F263,$B$6,Q$10,$A263,$B263)</f>
        <v>7435890</v>
      </c>
      <c r="R263" s="4">
        <f ca="1">_xll.DBRW($B$1,$B$2,$B$7,$B$3,$B$4,$B$5,$F263,$B$6,R$10,$A263,$B263)</f>
        <v>21068355</v>
      </c>
      <c r="S263" s="4">
        <f ca="1">_xll.DBRW($B$1,$B$2,$B$7,$B$3,$B$4,$B$5,$F263,$B$6,S$10,$A263,$B263)</f>
        <v>22307670</v>
      </c>
      <c r="T263" s="4">
        <f ca="1">_xll.DBRW($B$1,$B$2,$B$7,$B$3,$B$4,$B$5,$F263,$B$6,T$10,$A263,$B263)</f>
        <v>21068355</v>
      </c>
      <c r="U263" s="4">
        <f ca="1">_xll.DBRW($B$1,$B$2,$B$7,$B$3,$B$4,$B$5,$F263,$B$6,U$10,$A263,$B263)</f>
        <v>19829040</v>
      </c>
      <c r="V263" s="4">
        <f ca="1">_xll.DBRW($B$1,$B$2,$B$7,$B$3,$B$4,$B$5,$F263,$B$6,V$10,$A263,$B263)</f>
        <v>21068355</v>
      </c>
      <c r="W263" s="4">
        <f ca="1">_xll.DBRW($B$1,$B$2,$B$7,$B$3,$B$4,$B$5,$F263,$B$6,W$10,$A263,$B263)</f>
        <v>0</v>
      </c>
      <c r="X263" s="4">
        <f ca="1">_xll.DBRW($B$1,$B$2,$B$7,$B$3,$B$4,$B$5,$F263,$B$6,X$10,$A263,$B263)</f>
        <v>0</v>
      </c>
      <c r="Y263" s="4">
        <f ca="1">_xll.DBRW($B$1,$B$2,$B$7,$B$3,$B$4,$B$5,$F263,$B$6,Y$10,$A263,$B263)</f>
        <v>0</v>
      </c>
      <c r="Z263" s="4">
        <f ca="1">_xll.DBRW($B$1,$B$2,$B$7,$B$3,$B$4,$B$5,$F263,$B$6,Z$10,$A263,$B263)</f>
        <v>0</v>
      </c>
      <c r="AA263" s="4">
        <f ca="1">_xll.DBRW($B$1,$B$2,$B$7,$B$3,$B$4,$B$5,$F263,$B$6,AA$10,$A263,$B263)</f>
        <v>0</v>
      </c>
      <c r="AB263" s="4">
        <f ca="1">_xll.DBRW($B$1,$B$2,$B$7,$B$3,$B$4,$B$5,$F263,$B$6,AB$10,$A263,$B263)</f>
        <v>0</v>
      </c>
      <c r="AC263" s="4">
        <f ca="1">_xll.DBRW($B$1,$B$2,$B$7,$B$3,$B$4,$B$5,$F263,$B$6,AC$10,$A263,$B263)</f>
        <v>3717945</v>
      </c>
      <c r="AD263" s="4">
        <f ca="1">_xll.DBRW($B$1,$B$2,$B$7,$B$3,$B$4,$B$5,$F263,$B$6,AD$10,$A263,$B263)</f>
        <v>22307670</v>
      </c>
      <c r="AE263" s="4">
        <f ca="1">_xll.DBRW($B$1,$B$2,$B$7,$B$3,$B$4,$B$5,$F263,$B$6,AE$10,$A263,$B263)</f>
        <v>21068355</v>
      </c>
    </row>
    <row r="264" spans="1:31">
      <c r="A264" s="1" t="s">
        <v>152</v>
      </c>
      <c r="B264" s="5" t="s">
        <v>182</v>
      </c>
      <c r="C264" s="5" t="s">
        <v>183</v>
      </c>
      <c r="D264" s="5" t="s">
        <v>181</v>
      </c>
      <c r="E264" s="5" t="s">
        <v>28</v>
      </c>
      <c r="F264" s="5" t="s">
        <v>25</v>
      </c>
      <c r="G264" s="6"/>
      <c r="H264" s="6"/>
      <c r="I264" s="6"/>
      <c r="J264" s="6"/>
      <c r="K264" s="6"/>
      <c r="L264" s="4">
        <f ca="1">_xll.DBRW($B$1,$B$2,$B$7,$B$3,$B$4,$B$5,$F264,$B$6,L$10,$A264,$B264)</f>
        <v>0</v>
      </c>
      <c r="M264" s="4">
        <f ca="1">_xll.DBRW($B$1,$B$2,$B$7,$B$3,$B$4,$B$5,$F264,$B$6,M$10,$A264,$B264)</f>
        <v>0</v>
      </c>
      <c r="N264" s="4">
        <f ca="1">_xll.DBRW($B$1,$B$2,$B$7,$B$3,$B$4,$B$5,$F264,$B$6,N$10,$A264,$B264)</f>
        <v>0</v>
      </c>
      <c r="O264" s="4">
        <f ca="1">_xll.DBRW($B$1,$B$2,$B$7,$B$3,$B$4,$B$5,$F264,$B$6,O$10,$A264,$B264)</f>
        <v>0</v>
      </c>
      <c r="P264" s="4">
        <f ca="1">_xll.DBRW($B$1,$B$2,$B$7,$B$3,$B$4,$B$5,$F264,$B$6,P$10,$A264,$B264)</f>
        <v>0</v>
      </c>
      <c r="Q264" s="4">
        <f ca="1">_xll.DBRW($B$1,$B$2,$B$7,$B$3,$B$4,$B$5,$F264,$B$6,Q$10,$A264,$B264)</f>
        <v>7435890</v>
      </c>
      <c r="R264" s="4">
        <f ca="1">_xll.DBRW($B$1,$B$2,$B$7,$B$3,$B$4,$B$5,$F264,$B$6,R$10,$A264,$B264)</f>
        <v>21068355</v>
      </c>
      <c r="S264" s="4">
        <f ca="1">_xll.DBRW($B$1,$B$2,$B$7,$B$3,$B$4,$B$5,$F264,$B$6,S$10,$A264,$B264)</f>
        <v>22307670</v>
      </c>
      <c r="T264" s="4">
        <f ca="1">_xll.DBRW($B$1,$B$2,$B$7,$B$3,$B$4,$B$5,$F264,$B$6,T$10,$A264,$B264)</f>
        <v>21068355</v>
      </c>
      <c r="U264" s="4">
        <f ca="1">_xll.DBRW($B$1,$B$2,$B$7,$B$3,$B$4,$B$5,$F264,$B$6,U$10,$A264,$B264)</f>
        <v>19829040</v>
      </c>
      <c r="V264" s="4">
        <f ca="1">_xll.DBRW($B$1,$B$2,$B$7,$B$3,$B$4,$B$5,$F264,$B$6,V$10,$A264,$B264)</f>
        <v>21068355</v>
      </c>
      <c r="W264" s="4">
        <f ca="1">_xll.DBRW($B$1,$B$2,$B$7,$B$3,$B$4,$B$5,$F264,$B$6,W$10,$A264,$B264)</f>
        <v>0</v>
      </c>
      <c r="X264" s="4">
        <f ca="1">_xll.DBRW($B$1,$B$2,$B$7,$B$3,$B$4,$B$5,$F264,$B$6,X$10,$A264,$B264)</f>
        <v>0</v>
      </c>
      <c r="Y264" s="4">
        <f ca="1">_xll.DBRW($B$1,$B$2,$B$7,$B$3,$B$4,$B$5,$F264,$B$6,Y$10,$A264,$B264)</f>
        <v>0</v>
      </c>
      <c r="Z264" s="4">
        <f ca="1">_xll.DBRW($B$1,$B$2,$B$7,$B$3,$B$4,$B$5,$F264,$B$6,Z$10,$A264,$B264)</f>
        <v>0</v>
      </c>
      <c r="AA264" s="4">
        <f ca="1">_xll.DBRW($B$1,$B$2,$B$7,$B$3,$B$4,$B$5,$F264,$B$6,AA$10,$A264,$B264)</f>
        <v>0</v>
      </c>
      <c r="AB264" s="4">
        <f ca="1">_xll.DBRW($B$1,$B$2,$B$7,$B$3,$B$4,$B$5,$F264,$B$6,AB$10,$A264,$B264)</f>
        <v>0</v>
      </c>
      <c r="AC264" s="4">
        <f ca="1">_xll.DBRW($B$1,$B$2,$B$7,$B$3,$B$4,$B$5,$F264,$B$6,AC$10,$A264,$B264)</f>
        <v>3717945</v>
      </c>
      <c r="AD264" s="4">
        <f ca="1">_xll.DBRW($B$1,$B$2,$B$7,$B$3,$B$4,$B$5,$F264,$B$6,AD$10,$A264,$B264)</f>
        <v>22307670</v>
      </c>
      <c r="AE264" s="4">
        <f ca="1">_xll.DBRW($B$1,$B$2,$B$7,$B$3,$B$4,$B$5,$F264,$B$6,AE$10,$A264,$B264)</f>
        <v>21068355</v>
      </c>
    </row>
    <row r="265" spans="1:31">
      <c r="A265" s="1" t="s">
        <v>152</v>
      </c>
      <c r="B265" s="5" t="s">
        <v>184</v>
      </c>
      <c r="C265" s="5" t="s">
        <v>185</v>
      </c>
      <c r="D265" s="5" t="s">
        <v>28</v>
      </c>
      <c r="E265" s="5" t="s">
        <v>49</v>
      </c>
      <c r="F265" s="5" t="s">
        <v>25</v>
      </c>
      <c r="G265" s="6"/>
      <c r="H265" s="6"/>
      <c r="I265" s="6"/>
      <c r="J265" s="6"/>
      <c r="K265" s="6"/>
      <c r="L265" s="4">
        <f ca="1">_xll.DBRW($B$1,$B$2,$B$7,$B$3,$B$4,$B$5,$F265,$B$6,L$10,$A265,$B265)</f>
        <v>0</v>
      </c>
      <c r="M265" s="4">
        <f ca="1">_xll.DBRW($B$1,$B$2,$B$7,$B$3,$B$4,$B$5,$F265,$B$6,M$10,$A265,$B265)</f>
        <v>34585850</v>
      </c>
      <c r="N265" s="4">
        <f ca="1">_xll.DBRW($B$1,$B$2,$B$7,$B$3,$B$4,$B$5,$F265,$B$6,N$10,$A265,$B265)</f>
        <v>34585850</v>
      </c>
      <c r="O265" s="4">
        <f ca="1">_xll.DBRW($B$1,$B$2,$B$7,$B$3,$B$4,$B$5,$F265,$B$6,O$10,$A265,$B265)</f>
        <v>34585850</v>
      </c>
      <c r="P265" s="4">
        <f ca="1">_xll.DBRW($B$1,$B$2,$B$7,$B$3,$B$4,$B$5,$F265,$B$6,P$10,$A265,$B265)</f>
        <v>34585850</v>
      </c>
      <c r="Q265" s="4">
        <f ca="1">_xll.DBRW($B$1,$B$2,$B$7,$B$3,$B$4,$B$5,$F265,$B$6,Q$10,$A265,$B265)</f>
        <v>29264950</v>
      </c>
      <c r="R265" s="4">
        <f ca="1">_xll.DBRW($B$1,$B$2,$B$7,$B$3,$B$4,$B$5,$F265,$B$6,R$10,$A265,$B265)</f>
        <v>0</v>
      </c>
      <c r="S265" s="4">
        <f ca="1">_xll.DBRW($B$1,$B$2,$B$7,$B$3,$B$4,$B$5,$F265,$B$6,S$10,$A265,$B265)</f>
        <v>0</v>
      </c>
      <c r="T265" s="4">
        <f ca="1">_xll.DBRW($B$1,$B$2,$B$7,$B$3,$B$4,$B$5,$F265,$B$6,T$10,$A265,$B265)</f>
        <v>0</v>
      </c>
      <c r="U265" s="4">
        <f ca="1">_xll.DBRW($B$1,$B$2,$B$7,$B$3,$B$4,$B$5,$F265,$B$6,U$10,$A265,$B265)</f>
        <v>0</v>
      </c>
      <c r="V265" s="4">
        <f ca="1">_xll.DBRW($B$1,$B$2,$B$7,$B$3,$B$4,$B$5,$F265,$B$6,V$10,$A265,$B265)</f>
        <v>2660450</v>
      </c>
      <c r="W265" s="4">
        <f ca="1">_xll.DBRW($B$1,$B$2,$B$7,$B$3,$B$4,$B$5,$F265,$B$6,W$10,$A265,$B265)</f>
        <v>34585850</v>
      </c>
      <c r="X265" s="4">
        <f ca="1">_xll.DBRW($B$1,$B$2,$B$7,$B$3,$B$4,$B$5,$F265,$B$6,X$10,$A265,$B265)</f>
        <v>34585850</v>
      </c>
      <c r="Y265" s="4">
        <f ca="1">_xll.DBRW($B$1,$B$2,$B$7,$B$3,$B$4,$B$5,$F265,$B$6,Y$10,$A265,$B265)</f>
        <v>34585850</v>
      </c>
      <c r="Z265" s="4">
        <f ca="1">_xll.DBRW($B$1,$B$2,$B$7,$B$3,$B$4,$B$5,$F265,$B$6,Z$10,$A265,$B265)</f>
        <v>34585850</v>
      </c>
      <c r="AA265" s="4">
        <f ca="1">_xll.DBRW($B$1,$B$2,$B$7,$B$3,$B$4,$B$5,$F265,$B$6,AA$10,$A265,$B265)</f>
        <v>37246300</v>
      </c>
      <c r="AB265" s="4">
        <f ca="1">_xll.DBRW($B$1,$B$2,$B$7,$B$3,$B$4,$B$5,$F265,$B$6,AB$10,$A265,$B265)</f>
        <v>31925400</v>
      </c>
      <c r="AC265" s="4">
        <f ca="1">_xll.DBRW($B$1,$B$2,$B$7,$B$3,$B$4,$B$5,$F265,$B$6,AC$10,$A265,$B265)</f>
        <v>29264950</v>
      </c>
      <c r="AD265" s="4">
        <f ca="1">_xll.DBRW($B$1,$B$2,$B$7,$B$3,$B$4,$B$5,$F265,$B$6,AD$10,$A265,$B265)</f>
        <v>0</v>
      </c>
      <c r="AE265" s="4">
        <f ca="1">_xll.DBRW($B$1,$B$2,$B$7,$B$3,$B$4,$B$5,$F265,$B$6,AE$10,$A265,$B265)</f>
        <v>0</v>
      </c>
    </row>
    <row r="266" spans="1:31">
      <c r="A266" s="1" t="s">
        <v>152</v>
      </c>
      <c r="B266" s="5" t="s">
        <v>50</v>
      </c>
      <c r="C266" s="5" t="s">
        <v>51</v>
      </c>
      <c r="D266" s="5" t="s">
        <v>49</v>
      </c>
      <c r="E266" s="5" t="s">
        <v>28</v>
      </c>
      <c r="F266" s="5" t="s">
        <v>25</v>
      </c>
      <c r="G266" s="6"/>
      <c r="H266" s="6"/>
      <c r="I266" s="6"/>
      <c r="J266" s="6"/>
      <c r="K266" s="6"/>
      <c r="L266" s="4">
        <f ca="1">_xll.DBRW($B$1,$B$2,$B$7,$B$3,$B$4,$B$5,$F266,$B$6,L$10,$A266,$B266)</f>
        <v>0</v>
      </c>
      <c r="M266" s="4">
        <f ca="1">_xll.DBRW($B$1,$B$2,$B$7,$B$3,$B$4,$B$5,$F266,$B$6,M$10,$A266,$B266)</f>
        <v>34585850</v>
      </c>
      <c r="N266" s="4">
        <f ca="1">_xll.DBRW($B$1,$B$2,$B$7,$B$3,$B$4,$B$5,$F266,$B$6,N$10,$A266,$B266)</f>
        <v>34585850</v>
      </c>
      <c r="O266" s="4">
        <f ca="1">_xll.DBRW($B$1,$B$2,$B$7,$B$3,$B$4,$B$5,$F266,$B$6,O$10,$A266,$B266)</f>
        <v>34585850</v>
      </c>
      <c r="P266" s="4">
        <f ca="1">_xll.DBRW($B$1,$B$2,$B$7,$B$3,$B$4,$B$5,$F266,$B$6,P$10,$A266,$B266)</f>
        <v>34585850</v>
      </c>
      <c r="Q266" s="4">
        <f ca="1">_xll.DBRW($B$1,$B$2,$B$7,$B$3,$B$4,$B$5,$F266,$B$6,Q$10,$A266,$B266)</f>
        <v>29264950</v>
      </c>
      <c r="R266" s="4">
        <f ca="1">_xll.DBRW($B$1,$B$2,$B$7,$B$3,$B$4,$B$5,$F266,$B$6,R$10,$A266,$B266)</f>
        <v>0</v>
      </c>
      <c r="S266" s="4">
        <f ca="1">_xll.DBRW($B$1,$B$2,$B$7,$B$3,$B$4,$B$5,$F266,$B$6,S$10,$A266,$B266)</f>
        <v>0</v>
      </c>
      <c r="T266" s="4">
        <f ca="1">_xll.DBRW($B$1,$B$2,$B$7,$B$3,$B$4,$B$5,$F266,$B$6,T$10,$A266,$B266)</f>
        <v>0</v>
      </c>
      <c r="U266" s="4">
        <f ca="1">_xll.DBRW($B$1,$B$2,$B$7,$B$3,$B$4,$B$5,$F266,$B$6,U$10,$A266,$B266)</f>
        <v>0</v>
      </c>
      <c r="V266" s="4">
        <f ca="1">_xll.DBRW($B$1,$B$2,$B$7,$B$3,$B$4,$B$5,$F266,$B$6,V$10,$A266,$B266)</f>
        <v>2660450</v>
      </c>
      <c r="W266" s="4">
        <f ca="1">_xll.DBRW($B$1,$B$2,$B$7,$B$3,$B$4,$B$5,$F266,$B$6,W$10,$A266,$B266)</f>
        <v>34585850</v>
      </c>
      <c r="X266" s="4">
        <f ca="1">_xll.DBRW($B$1,$B$2,$B$7,$B$3,$B$4,$B$5,$F266,$B$6,X$10,$A266,$B266)</f>
        <v>34585850</v>
      </c>
      <c r="Y266" s="4">
        <f ca="1">_xll.DBRW($B$1,$B$2,$B$7,$B$3,$B$4,$B$5,$F266,$B$6,Y$10,$A266,$B266)</f>
        <v>34585850</v>
      </c>
      <c r="Z266" s="4">
        <f ca="1">_xll.DBRW($B$1,$B$2,$B$7,$B$3,$B$4,$B$5,$F266,$B$6,Z$10,$A266,$B266)</f>
        <v>34585850</v>
      </c>
      <c r="AA266" s="4">
        <f ca="1">_xll.DBRW($B$1,$B$2,$B$7,$B$3,$B$4,$B$5,$F266,$B$6,AA$10,$A266,$B266)</f>
        <v>37246300</v>
      </c>
      <c r="AB266" s="4">
        <f ca="1">_xll.DBRW($B$1,$B$2,$B$7,$B$3,$B$4,$B$5,$F266,$B$6,AB$10,$A266,$B266)</f>
        <v>31925400</v>
      </c>
      <c r="AC266" s="4">
        <f ca="1">_xll.DBRW($B$1,$B$2,$B$7,$B$3,$B$4,$B$5,$F266,$B$6,AC$10,$A266,$B266)</f>
        <v>29264950</v>
      </c>
      <c r="AD266" s="4">
        <f ca="1">_xll.DBRW($B$1,$B$2,$B$7,$B$3,$B$4,$B$5,$F266,$B$6,AD$10,$A266,$B266)</f>
        <v>0</v>
      </c>
      <c r="AE266" s="4">
        <f ca="1">_xll.DBRW($B$1,$B$2,$B$7,$B$3,$B$4,$B$5,$F266,$B$6,AE$10,$A266,$B266)</f>
        <v>0</v>
      </c>
    </row>
    <row r="267" spans="1:31">
      <c r="A267" s="1" t="s">
        <v>152</v>
      </c>
      <c r="B267" s="5" t="s">
        <v>186</v>
      </c>
      <c r="C267" s="5" t="s">
        <v>187</v>
      </c>
      <c r="D267" s="5" t="s">
        <v>21</v>
      </c>
      <c r="E267" s="5" t="s">
        <v>59</v>
      </c>
      <c r="F267" s="5" t="s">
        <v>25</v>
      </c>
      <c r="G267" s="6"/>
      <c r="H267" s="6"/>
      <c r="I267" s="6"/>
      <c r="J267" s="6"/>
      <c r="K267" s="6"/>
      <c r="L267" s="4">
        <f ca="1">_xll.DBRW($B$1,$B$2,$B$7,$B$3,$B$4,$B$5,$F267,$B$6,L$10,$A267,$B267)</f>
        <v>47841045</v>
      </c>
      <c r="M267" s="4">
        <f ca="1">_xll.DBRW($B$1,$B$2,$B$7,$B$3,$B$4,$B$5,$F267,$B$6,M$10,$A267,$B267)</f>
        <v>42641690</v>
      </c>
      <c r="N267" s="4">
        <f ca="1">_xll.DBRW($B$1,$B$2,$B$7,$B$3,$B$4,$B$5,$F267,$B$6,N$10,$A267,$B267)</f>
        <v>45886925</v>
      </c>
      <c r="O267" s="4">
        <f ca="1">_xll.DBRW($B$1,$B$2,$B$7,$B$3,$B$4,$B$5,$F267,$B$6,O$10,$A267,$B267)</f>
        <v>44909865</v>
      </c>
      <c r="P267" s="4">
        <f ca="1">_xll.DBRW($B$1,$B$2,$B$7,$B$3,$B$4,$B$5,$F267,$B$6,P$10,$A267,$B267)</f>
        <v>42641690</v>
      </c>
      <c r="Q267" s="4">
        <f ca="1">_xll.DBRW($B$1,$B$2,$B$7,$B$3,$B$4,$B$5,$F267,$B$6,Q$10,$A267,$B267)</f>
        <v>48839042</v>
      </c>
      <c r="R267" s="4">
        <f ca="1">_xll.DBRW($B$1,$B$2,$B$7,$B$3,$B$4,$B$5,$F267,$B$6,R$10,$A267,$B267)</f>
        <v>43597813</v>
      </c>
      <c r="S267" s="4">
        <f ca="1">_xll.DBRW($B$1,$B$2,$B$7,$B$3,$B$4,$B$5,$F267,$B$6,S$10,$A267,$B267)</f>
        <v>39968733</v>
      </c>
      <c r="T267" s="4">
        <f ca="1">_xll.DBRW($B$1,$B$2,$B$7,$B$3,$B$4,$B$5,$F267,$B$6,T$10,$A267,$B267)</f>
        <v>70313425</v>
      </c>
      <c r="U267" s="4">
        <f ca="1">_xll.DBRW($B$1,$B$2,$B$7,$B$3,$B$4,$B$5,$F267,$B$6,U$10,$A267,$B267)</f>
        <v>63508900</v>
      </c>
      <c r="V267" s="4">
        <f ca="1">_xll.DBRW($B$1,$B$2,$B$7,$B$3,$B$4,$B$5,$F267,$B$6,V$10,$A267,$B267)</f>
        <v>69336365</v>
      </c>
      <c r="W267" s="4">
        <f ca="1">_xll.DBRW($B$1,$B$2,$B$7,$B$3,$B$4,$B$5,$F267,$B$6,W$10,$A267,$B267)</f>
        <v>51400335</v>
      </c>
      <c r="X267" s="4">
        <f ca="1">_xll.DBRW($B$1,$B$2,$B$7,$B$3,$B$4,$B$5,$F267,$B$6,X$10,$A267,$B267)</f>
        <v>52698429</v>
      </c>
      <c r="Y267" s="4">
        <f ca="1">_xll.DBRW($B$1,$B$2,$B$7,$B$3,$B$4,$B$5,$F267,$B$6,Y$10,$A267,$B267)</f>
        <v>51407314</v>
      </c>
      <c r="Z267" s="4">
        <f ca="1">_xll.DBRW($B$1,$B$2,$B$7,$B$3,$B$4,$B$5,$F267,$B$6,Z$10,$A267,$B267)</f>
        <v>53668510</v>
      </c>
      <c r="AA267" s="4">
        <f ca="1">_xll.DBRW($B$1,$B$2,$B$7,$B$3,$B$4,$B$5,$F267,$B$6,AA$10,$A267,$B267)</f>
        <v>52698429</v>
      </c>
      <c r="AB267" s="4">
        <f ca="1">_xll.DBRW($B$1,$B$2,$B$7,$B$3,$B$4,$B$5,$F267,$B$6,AB$10,$A267,$B267)</f>
        <v>50423275</v>
      </c>
      <c r="AC267" s="4">
        <f ca="1">_xll.DBRW($B$1,$B$2,$B$7,$B$3,$B$4,$B$5,$F267,$B$6,AC$10,$A267,$B267)</f>
        <v>56613648</v>
      </c>
      <c r="AD267" s="4">
        <f ca="1">_xll.DBRW($B$1,$B$2,$B$7,$B$3,$B$4,$B$5,$F267,$B$6,AD$10,$A267,$B267)</f>
        <v>68045250</v>
      </c>
      <c r="AE267" s="4">
        <f ca="1">_xll.DBRW($B$1,$B$2,$B$7,$B$3,$B$4,$B$5,$F267,$B$6,AE$10,$A267,$B267)</f>
        <v>70313425</v>
      </c>
    </row>
    <row r="268" spans="1:31">
      <c r="A268" s="1" t="s">
        <v>152</v>
      </c>
      <c r="B268" s="5" t="s">
        <v>61</v>
      </c>
      <c r="C268" s="5" t="s">
        <v>62</v>
      </c>
      <c r="D268" s="5" t="s">
        <v>59</v>
      </c>
      <c r="E268" s="5" t="s">
        <v>21</v>
      </c>
      <c r="F268" s="5" t="s">
        <v>25</v>
      </c>
      <c r="G268" s="6"/>
      <c r="H268" s="6"/>
      <c r="I268" s="6"/>
      <c r="J268" s="6"/>
      <c r="K268" s="6"/>
      <c r="L268" s="4">
        <f ca="1">_xll.DBRW($B$1,$B$2,$B$7,$B$3,$B$4,$B$5,$F268,$B$6,L$10,$A268,$B268)</f>
        <v>46863985</v>
      </c>
      <c r="M268" s="4">
        <f ca="1">_xll.DBRW($B$1,$B$2,$B$7,$B$3,$B$4,$B$5,$F268,$B$6,M$10,$A268,$B268)</f>
        <v>43618750</v>
      </c>
      <c r="N268" s="4">
        <f ca="1">_xll.DBRW($B$1,$B$2,$B$7,$B$3,$B$4,$B$5,$F268,$B$6,N$10,$A268,$B268)</f>
        <v>45886925</v>
      </c>
      <c r="O268" s="4">
        <f ca="1">_xll.DBRW($B$1,$B$2,$B$7,$B$3,$B$4,$B$5,$F268,$B$6,O$10,$A268,$B268)</f>
        <v>44909865</v>
      </c>
      <c r="P268" s="4">
        <f ca="1">_xll.DBRW($B$1,$B$2,$B$7,$B$3,$B$4,$B$5,$F268,$B$6,P$10,$A268,$B268)</f>
        <v>42641690</v>
      </c>
      <c r="Q268" s="4">
        <f ca="1">_xll.DBRW($B$1,$B$2,$B$7,$B$3,$B$4,$B$5,$F268,$B$6,Q$10,$A268,$B268)</f>
        <v>48853000</v>
      </c>
      <c r="R268" s="4">
        <f ca="1">_xll.DBRW($B$1,$B$2,$B$7,$B$3,$B$4,$B$5,$F268,$B$6,R$10,$A268,$B268)</f>
        <v>43583855</v>
      </c>
      <c r="S268" s="4">
        <f ca="1">_xll.DBRW($B$1,$B$2,$B$7,$B$3,$B$4,$B$5,$F268,$B$6,S$10,$A268,$B268)</f>
        <v>39968733</v>
      </c>
      <c r="T268" s="4">
        <f ca="1">_xll.DBRW($B$1,$B$2,$B$7,$B$3,$B$4,$B$5,$F268,$B$6,T$10,$A268,$B268)</f>
        <v>70313425</v>
      </c>
      <c r="U268" s="4">
        <f ca="1">_xll.DBRW($B$1,$B$2,$B$7,$B$3,$B$4,$B$5,$F268,$B$6,U$10,$A268,$B268)</f>
        <v>63508900</v>
      </c>
      <c r="V268" s="4">
        <f ca="1">_xll.DBRW($B$1,$B$2,$B$7,$B$3,$B$4,$B$5,$F268,$B$6,V$10,$A268,$B268)</f>
        <v>69336365</v>
      </c>
      <c r="W268" s="4">
        <f ca="1">_xll.DBRW($B$1,$B$2,$B$7,$B$3,$B$4,$B$5,$F268,$B$6,W$10,$A268,$B268)</f>
        <v>55308575</v>
      </c>
      <c r="X268" s="4">
        <f ca="1">_xll.DBRW($B$1,$B$2,$B$7,$B$3,$B$4,$B$5,$F268,$B$6,X$10,$A268,$B268)</f>
        <v>57583729</v>
      </c>
      <c r="Y268" s="4">
        <f ca="1">_xll.DBRW($B$1,$B$2,$B$7,$B$3,$B$4,$B$5,$F268,$B$6,Y$10,$A268,$B268)</f>
        <v>55315554</v>
      </c>
      <c r="Z268" s="4">
        <f ca="1">_xll.DBRW($B$1,$B$2,$B$7,$B$3,$B$4,$B$5,$F268,$B$6,Z$10,$A268,$B268)</f>
        <v>57576750</v>
      </c>
      <c r="AA268" s="4">
        <f ca="1">_xll.DBRW($B$1,$B$2,$B$7,$B$3,$B$4,$B$5,$F268,$B$6,AA$10,$A268,$B268)</f>
        <v>57583729</v>
      </c>
      <c r="AB268" s="4">
        <f ca="1">_xll.DBRW($B$1,$B$2,$B$7,$B$3,$B$4,$B$5,$F268,$B$6,AB$10,$A268,$B268)</f>
        <v>54331515</v>
      </c>
      <c r="AC268" s="4">
        <f ca="1">_xll.DBRW($B$1,$B$2,$B$7,$B$3,$B$4,$B$5,$F268,$B$6,AC$10,$A268,$B268)</f>
        <v>60521888</v>
      </c>
      <c r="AD268" s="4">
        <f ca="1">_xll.DBRW($B$1,$B$2,$B$7,$B$3,$B$4,$B$5,$F268,$B$6,AD$10,$A268,$B268)</f>
        <v>68045250</v>
      </c>
      <c r="AE268" s="4">
        <f ca="1">_xll.DBRW($B$1,$B$2,$B$7,$B$3,$B$4,$B$5,$F268,$B$6,AE$10,$A268,$B268)</f>
        <v>70313425</v>
      </c>
    </row>
    <row r="269" spans="1:31">
      <c r="A269" s="1" t="s">
        <v>152</v>
      </c>
      <c r="B269" s="5" t="s">
        <v>188</v>
      </c>
      <c r="C269" s="5" t="s">
        <v>189</v>
      </c>
      <c r="D269" s="5" t="s">
        <v>21</v>
      </c>
      <c r="E269" s="5" t="s">
        <v>20</v>
      </c>
      <c r="F269" s="5" t="s">
        <v>25</v>
      </c>
      <c r="G269" s="6"/>
      <c r="H269" s="6"/>
      <c r="I269" s="6"/>
      <c r="J269" s="6"/>
      <c r="K269" s="6"/>
      <c r="L269" s="4">
        <f ca="1">_xll.DBRW($B$1,$B$2,$B$7,$B$3,$B$4,$B$5,$F269,$B$6,L$10,$A269,$B269)</f>
        <v>49363160</v>
      </c>
      <c r="M269" s="4">
        <f ca="1">_xll.DBRW($B$1,$B$2,$B$7,$B$3,$B$4,$B$5,$F269,$B$6,M$10,$A269,$B269)</f>
        <v>47770800</v>
      </c>
      <c r="N269" s="4">
        <f ca="1">_xll.DBRW($B$1,$B$2,$B$7,$B$3,$B$4,$B$5,$F269,$B$6,N$10,$A269,$B269)</f>
        <v>49363160</v>
      </c>
      <c r="O269" s="4">
        <f ca="1">_xll.DBRW($B$1,$B$2,$B$7,$B$3,$B$4,$B$5,$F269,$B$6,O$10,$A269,$B269)</f>
        <v>49363160</v>
      </c>
      <c r="P269" s="4">
        <f ca="1">_xll.DBRW($B$1,$B$2,$B$7,$B$3,$B$4,$B$5,$F269,$B$6,P$10,$A269,$B269)</f>
        <v>47770800</v>
      </c>
      <c r="Q269" s="4">
        <f ca="1">_xll.DBRW($B$1,$B$2,$B$7,$B$3,$B$4,$B$5,$F269,$B$6,Q$10,$A269,$B269)</f>
        <v>49017584</v>
      </c>
      <c r="R269" s="4">
        <f ca="1">_xll.DBRW($B$1,$B$2,$B$7,$B$3,$B$4,$B$5,$F269,$B$6,R$10,$A269,$B269)</f>
        <v>46388496</v>
      </c>
      <c r="S269" s="4">
        <f ca="1">_xll.DBRW($B$1,$B$2,$B$7,$B$3,$B$4,$B$5,$F269,$B$6,S$10,$A269,$B269)</f>
        <v>47635280</v>
      </c>
      <c r="T269" s="4">
        <f ca="1">_xll.DBRW($B$1,$B$2,$B$7,$B$3,$B$4,$B$5,$F269,$B$6,T$10,$A269,$B269)</f>
        <v>38650304</v>
      </c>
      <c r="U269" s="4">
        <f ca="1">_xll.DBRW($B$1,$B$2,$B$7,$B$3,$B$4,$B$5,$F269,$B$6,U$10,$A269,$B269)</f>
        <v>34909952</v>
      </c>
      <c r="V269" s="4">
        <f ca="1">_xll.DBRW($B$1,$B$2,$B$7,$B$3,$B$4,$B$5,$F269,$B$6,V$10,$A269,$B269)</f>
        <v>38650304</v>
      </c>
      <c r="W269" s="4">
        <f ca="1">_xll.DBRW($B$1,$B$2,$B$7,$B$3,$B$4,$B$5,$F269,$B$6,W$10,$A269,$B269)</f>
        <v>37403520</v>
      </c>
      <c r="X269" s="4">
        <f ca="1">_xll.DBRW($B$1,$B$2,$B$7,$B$3,$B$4,$B$5,$F269,$B$6,X$10,$A269,$B269)</f>
        <v>38650304</v>
      </c>
      <c r="Y269" s="4">
        <f ca="1">_xll.DBRW($B$1,$B$2,$B$7,$B$3,$B$4,$B$5,$F269,$B$6,Y$10,$A269,$B269)</f>
        <v>37403520</v>
      </c>
      <c r="Z269" s="4">
        <f ca="1">_xll.DBRW($B$1,$B$2,$B$7,$B$3,$B$4,$B$5,$F269,$B$6,Z$10,$A269,$B269)</f>
        <v>38650304</v>
      </c>
      <c r="AA269" s="4">
        <f ca="1">_xll.DBRW($B$1,$B$2,$B$7,$B$3,$B$4,$B$5,$F269,$B$6,AA$10,$A269,$B269)</f>
        <v>38650304</v>
      </c>
      <c r="AB269" s="4">
        <f ca="1">_xll.DBRW($B$1,$B$2,$B$7,$B$3,$B$4,$B$5,$F269,$B$6,AB$10,$A269,$B269)</f>
        <v>37403520</v>
      </c>
      <c r="AC269" s="4">
        <f ca="1">_xll.DBRW($B$1,$B$2,$B$7,$B$3,$B$4,$B$5,$F269,$B$6,AC$10,$A269,$B269)</f>
        <v>38650304</v>
      </c>
      <c r="AD269" s="4">
        <f ca="1">_xll.DBRW($B$1,$B$2,$B$7,$B$3,$B$4,$B$5,$F269,$B$6,AD$10,$A269,$B269)</f>
        <v>37403520</v>
      </c>
      <c r="AE269" s="4">
        <f ca="1">_xll.DBRW($B$1,$B$2,$B$7,$B$3,$B$4,$B$5,$F269,$B$6,AE$10,$A269,$B269)</f>
        <v>38650304</v>
      </c>
    </row>
    <row r="270" spans="1:31">
      <c r="A270" s="1" t="s">
        <v>152</v>
      </c>
      <c r="B270" s="5" t="s">
        <v>18</v>
      </c>
      <c r="C270" s="5" t="s">
        <v>19</v>
      </c>
      <c r="D270" s="5" t="s">
        <v>20</v>
      </c>
      <c r="E270" s="5" t="s">
        <v>21</v>
      </c>
      <c r="F270" s="5" t="s">
        <v>25</v>
      </c>
      <c r="G270" s="6"/>
      <c r="H270" s="6"/>
      <c r="I270" s="6"/>
      <c r="J270" s="6"/>
      <c r="K270" s="6"/>
      <c r="L270" s="4">
        <f ca="1">_xll.DBRW($B$1,$B$2,$B$7,$B$3,$B$4,$B$5,$F270,$B$6,L$10,$A270,$B270)</f>
        <v>49363160</v>
      </c>
      <c r="M270" s="4">
        <f ca="1">_xll.DBRW($B$1,$B$2,$B$7,$B$3,$B$4,$B$5,$F270,$B$6,M$10,$A270,$B270)</f>
        <v>47770800</v>
      </c>
      <c r="N270" s="4">
        <f ca="1">_xll.DBRW($B$1,$B$2,$B$7,$B$3,$B$4,$B$5,$F270,$B$6,N$10,$A270,$B270)</f>
        <v>49363160</v>
      </c>
      <c r="O270" s="4">
        <f ca="1">_xll.DBRW($B$1,$B$2,$B$7,$B$3,$B$4,$B$5,$F270,$B$6,O$10,$A270,$B270)</f>
        <v>49363160</v>
      </c>
      <c r="P270" s="4">
        <f ca="1">_xll.DBRW($B$1,$B$2,$B$7,$B$3,$B$4,$B$5,$F270,$B$6,P$10,$A270,$B270)</f>
        <v>47770800</v>
      </c>
      <c r="Q270" s="4">
        <f ca="1">_xll.DBRW($B$1,$B$2,$B$7,$B$3,$B$4,$B$5,$F270,$B$6,Q$10,$A270,$B270)</f>
        <v>49017584</v>
      </c>
      <c r="R270" s="4">
        <f ca="1">_xll.DBRW($B$1,$B$2,$B$7,$B$3,$B$4,$B$5,$F270,$B$6,R$10,$A270,$B270)</f>
        <v>46388496</v>
      </c>
      <c r="S270" s="4">
        <f ca="1">_xll.DBRW($B$1,$B$2,$B$7,$B$3,$B$4,$B$5,$F270,$B$6,S$10,$A270,$B270)</f>
        <v>47635280</v>
      </c>
      <c r="T270" s="4">
        <f ca="1">_xll.DBRW($B$1,$B$2,$B$7,$B$3,$B$4,$B$5,$F270,$B$6,T$10,$A270,$B270)</f>
        <v>38650304</v>
      </c>
      <c r="U270" s="4">
        <f ca="1">_xll.DBRW($B$1,$B$2,$B$7,$B$3,$B$4,$B$5,$F270,$B$6,U$10,$A270,$B270)</f>
        <v>34909952</v>
      </c>
      <c r="V270" s="4">
        <f ca="1">_xll.DBRW($B$1,$B$2,$B$7,$B$3,$B$4,$B$5,$F270,$B$6,V$10,$A270,$B270)</f>
        <v>38650304</v>
      </c>
      <c r="W270" s="4">
        <f ca="1">_xll.DBRW($B$1,$B$2,$B$7,$B$3,$B$4,$B$5,$F270,$B$6,W$10,$A270,$B270)</f>
        <v>37403520</v>
      </c>
      <c r="X270" s="4">
        <f ca="1">_xll.DBRW($B$1,$B$2,$B$7,$B$3,$B$4,$B$5,$F270,$B$6,X$10,$A270,$B270)</f>
        <v>38650304</v>
      </c>
      <c r="Y270" s="4">
        <f ca="1">_xll.DBRW($B$1,$B$2,$B$7,$B$3,$B$4,$B$5,$F270,$B$6,Y$10,$A270,$B270)</f>
        <v>37403520</v>
      </c>
      <c r="Z270" s="4">
        <f ca="1">_xll.DBRW($B$1,$B$2,$B$7,$B$3,$B$4,$B$5,$F270,$B$6,Z$10,$A270,$B270)</f>
        <v>38650304</v>
      </c>
      <c r="AA270" s="4">
        <f ca="1">_xll.DBRW($B$1,$B$2,$B$7,$B$3,$B$4,$B$5,$F270,$B$6,AA$10,$A270,$B270)</f>
        <v>38650304</v>
      </c>
      <c r="AB270" s="4">
        <f ca="1">_xll.DBRW($B$1,$B$2,$B$7,$B$3,$B$4,$B$5,$F270,$B$6,AB$10,$A270,$B270)</f>
        <v>37403520</v>
      </c>
      <c r="AC270" s="4">
        <f ca="1">_xll.DBRW($B$1,$B$2,$B$7,$B$3,$B$4,$B$5,$F270,$B$6,AC$10,$A270,$B270)</f>
        <v>38650304</v>
      </c>
      <c r="AD270" s="4">
        <f ca="1">_xll.DBRW($B$1,$B$2,$B$7,$B$3,$B$4,$B$5,$F270,$B$6,AD$10,$A270,$B270)</f>
        <v>37403520</v>
      </c>
      <c r="AE270" s="4">
        <f ca="1">_xll.DBRW($B$1,$B$2,$B$7,$B$3,$B$4,$B$5,$F270,$B$6,AE$10,$A270,$B270)</f>
        <v>38650304</v>
      </c>
    </row>
    <row r="271" spans="1:31">
      <c r="A271" s="1" t="s">
        <v>152</v>
      </c>
      <c r="B271" s="5" t="s">
        <v>190</v>
      </c>
      <c r="C271" s="5" t="s">
        <v>191</v>
      </c>
      <c r="D271" s="5" t="s">
        <v>21</v>
      </c>
      <c r="E271" s="5" t="s">
        <v>73</v>
      </c>
      <c r="F271" s="5" t="s">
        <v>25</v>
      </c>
      <c r="G271" s="6"/>
      <c r="H271" s="6"/>
      <c r="I271" s="6"/>
      <c r="J271" s="6"/>
      <c r="K271" s="6"/>
      <c r="L271" s="4">
        <f ca="1">_xll.DBRW($B$1,$B$2,$B$7,$B$3,$B$4,$B$5,$F271,$B$6,L$10,$A271,$B271)</f>
        <v>45979200</v>
      </c>
      <c r="M271" s="4">
        <f ca="1">_xll.DBRW($B$1,$B$2,$B$7,$B$3,$B$4,$B$5,$F271,$B$6,M$10,$A271,$B271)</f>
        <v>44496000</v>
      </c>
      <c r="N271" s="4">
        <f ca="1">_xll.DBRW($B$1,$B$2,$B$7,$B$3,$B$4,$B$5,$F271,$B$6,N$10,$A271,$B271)</f>
        <v>45979200</v>
      </c>
      <c r="O271" s="4">
        <f ca="1">_xll.DBRW($B$1,$B$2,$B$7,$B$3,$B$4,$B$5,$F271,$B$6,O$10,$A271,$B271)</f>
        <v>45979200</v>
      </c>
      <c r="P271" s="4">
        <f ca="1">_xll.DBRW($B$1,$B$2,$B$7,$B$3,$B$4,$B$5,$F271,$B$6,P$10,$A271,$B271)</f>
        <v>44496000</v>
      </c>
      <c r="Q271" s="4">
        <f ca="1">_xll.DBRW($B$1,$B$2,$B$7,$B$3,$B$4,$B$5,$F271,$B$6,Q$10,$A271,$B271)</f>
        <v>45979200</v>
      </c>
      <c r="R271" s="4">
        <f ca="1">_xll.DBRW($B$1,$B$2,$B$7,$B$3,$B$4,$B$5,$F271,$B$6,R$10,$A271,$B271)</f>
        <v>44496000</v>
      </c>
      <c r="S271" s="4">
        <f ca="1">_xll.DBRW($B$1,$B$2,$B$7,$B$3,$B$4,$B$5,$F271,$B$6,S$10,$A271,$B271)</f>
        <v>45979200</v>
      </c>
      <c r="T271" s="4">
        <f ca="1">_xll.DBRW($B$1,$B$2,$B$7,$B$3,$B$4,$B$5,$F271,$B$6,T$10,$A271,$B271)</f>
        <v>45979200</v>
      </c>
      <c r="U271" s="4">
        <f ca="1">_xll.DBRW($B$1,$B$2,$B$7,$B$3,$B$4,$B$5,$F271,$B$6,U$10,$A271,$B271)</f>
        <v>41529600</v>
      </c>
      <c r="V271" s="4">
        <f ca="1">_xll.DBRW($B$1,$B$2,$B$7,$B$3,$B$4,$B$5,$F271,$B$6,V$10,$A271,$B271)</f>
        <v>45979200</v>
      </c>
      <c r="W271" s="4">
        <f ca="1">_xll.DBRW($B$1,$B$2,$B$7,$B$3,$B$4,$B$5,$F271,$B$6,W$10,$A271,$B271)</f>
        <v>44496000</v>
      </c>
      <c r="X271" s="4">
        <f ca="1">_xll.DBRW($B$1,$B$2,$B$7,$B$3,$B$4,$B$5,$F271,$B$6,X$10,$A271,$B271)</f>
        <v>45979200</v>
      </c>
      <c r="Y271" s="4">
        <f ca="1">_xll.DBRW($B$1,$B$2,$B$7,$B$3,$B$4,$B$5,$F271,$B$6,Y$10,$A271,$B271)</f>
        <v>44496000</v>
      </c>
      <c r="Z271" s="4">
        <f ca="1">_xll.DBRW($B$1,$B$2,$B$7,$B$3,$B$4,$B$5,$F271,$B$6,Z$10,$A271,$B271)</f>
        <v>45979200</v>
      </c>
      <c r="AA271" s="4">
        <f ca="1">_xll.DBRW($B$1,$B$2,$B$7,$B$3,$B$4,$B$5,$F271,$B$6,AA$10,$A271,$B271)</f>
        <v>45979200</v>
      </c>
      <c r="AB271" s="4">
        <f ca="1">_xll.DBRW($B$1,$B$2,$B$7,$B$3,$B$4,$B$5,$F271,$B$6,AB$10,$A271,$B271)</f>
        <v>44496000</v>
      </c>
      <c r="AC271" s="4">
        <f ca="1">_xll.DBRW($B$1,$B$2,$B$7,$B$3,$B$4,$B$5,$F271,$B$6,AC$10,$A271,$B271)</f>
        <v>45979200</v>
      </c>
      <c r="AD271" s="4">
        <f ca="1">_xll.DBRW($B$1,$B$2,$B$7,$B$3,$B$4,$B$5,$F271,$B$6,AD$10,$A271,$B271)</f>
        <v>44496000</v>
      </c>
      <c r="AE271" s="4">
        <f ca="1">_xll.DBRW($B$1,$B$2,$B$7,$B$3,$B$4,$B$5,$F271,$B$6,AE$10,$A271,$B271)</f>
        <v>45979200</v>
      </c>
    </row>
    <row r="272" spans="1:31">
      <c r="A272" s="1" t="s">
        <v>152</v>
      </c>
      <c r="B272" s="5" t="s">
        <v>71</v>
      </c>
      <c r="C272" s="5" t="s">
        <v>72</v>
      </c>
      <c r="D272" s="5" t="s">
        <v>73</v>
      </c>
      <c r="E272" s="5" t="s">
        <v>21</v>
      </c>
      <c r="F272" s="5" t="s">
        <v>25</v>
      </c>
      <c r="G272" s="6"/>
      <c r="H272" s="6"/>
      <c r="I272" s="6"/>
      <c r="J272" s="6"/>
      <c r="K272" s="6"/>
      <c r="L272" s="4">
        <f ca="1">_xll.DBRW($B$1,$B$2,$B$7,$B$3,$B$4,$B$5,$F272,$B$6,L$10,$A272,$B272)</f>
        <v>45979200</v>
      </c>
      <c r="M272" s="4">
        <f ca="1">_xll.DBRW($B$1,$B$2,$B$7,$B$3,$B$4,$B$5,$F272,$B$6,M$10,$A272,$B272)</f>
        <v>44496000</v>
      </c>
      <c r="N272" s="4">
        <f ca="1">_xll.DBRW($B$1,$B$2,$B$7,$B$3,$B$4,$B$5,$F272,$B$6,N$10,$A272,$B272)</f>
        <v>45979200</v>
      </c>
      <c r="O272" s="4">
        <f ca="1">_xll.DBRW($B$1,$B$2,$B$7,$B$3,$B$4,$B$5,$F272,$B$6,O$10,$A272,$B272)</f>
        <v>45979200</v>
      </c>
      <c r="P272" s="4">
        <f ca="1">_xll.DBRW($B$1,$B$2,$B$7,$B$3,$B$4,$B$5,$F272,$B$6,P$10,$A272,$B272)</f>
        <v>44496000</v>
      </c>
      <c r="Q272" s="4">
        <f ca="1">_xll.DBRW($B$1,$B$2,$B$7,$B$3,$B$4,$B$5,$F272,$B$6,Q$10,$A272,$B272)</f>
        <v>45979200</v>
      </c>
      <c r="R272" s="4">
        <f ca="1">_xll.DBRW($B$1,$B$2,$B$7,$B$3,$B$4,$B$5,$F272,$B$6,R$10,$A272,$B272)</f>
        <v>44496000</v>
      </c>
      <c r="S272" s="4">
        <f ca="1">_xll.DBRW($B$1,$B$2,$B$7,$B$3,$B$4,$B$5,$F272,$B$6,S$10,$A272,$B272)</f>
        <v>45979200</v>
      </c>
      <c r="T272" s="4">
        <f ca="1">_xll.DBRW($B$1,$B$2,$B$7,$B$3,$B$4,$B$5,$F272,$B$6,T$10,$A272,$B272)</f>
        <v>45979200</v>
      </c>
      <c r="U272" s="4">
        <f ca="1">_xll.DBRW($B$1,$B$2,$B$7,$B$3,$B$4,$B$5,$F272,$B$6,U$10,$A272,$B272)</f>
        <v>41529600</v>
      </c>
      <c r="V272" s="4">
        <f ca="1">_xll.DBRW($B$1,$B$2,$B$7,$B$3,$B$4,$B$5,$F272,$B$6,V$10,$A272,$B272)</f>
        <v>45979200</v>
      </c>
      <c r="W272" s="4">
        <f ca="1">_xll.DBRW($B$1,$B$2,$B$7,$B$3,$B$4,$B$5,$F272,$B$6,W$10,$A272,$B272)</f>
        <v>44496000</v>
      </c>
      <c r="X272" s="4">
        <f ca="1">_xll.DBRW($B$1,$B$2,$B$7,$B$3,$B$4,$B$5,$F272,$B$6,X$10,$A272,$B272)</f>
        <v>45979200</v>
      </c>
      <c r="Y272" s="4">
        <f ca="1">_xll.DBRW($B$1,$B$2,$B$7,$B$3,$B$4,$B$5,$F272,$B$6,Y$10,$A272,$B272)</f>
        <v>44496000</v>
      </c>
      <c r="Z272" s="4">
        <f ca="1">_xll.DBRW($B$1,$B$2,$B$7,$B$3,$B$4,$B$5,$F272,$B$6,Z$10,$A272,$B272)</f>
        <v>45979200</v>
      </c>
      <c r="AA272" s="4">
        <f ca="1">_xll.DBRW($B$1,$B$2,$B$7,$B$3,$B$4,$B$5,$F272,$B$6,AA$10,$A272,$B272)</f>
        <v>45979200</v>
      </c>
      <c r="AB272" s="4">
        <f ca="1">_xll.DBRW($B$1,$B$2,$B$7,$B$3,$B$4,$B$5,$F272,$B$6,AB$10,$A272,$B272)</f>
        <v>44496000</v>
      </c>
      <c r="AC272" s="4">
        <f ca="1">_xll.DBRW($B$1,$B$2,$B$7,$B$3,$B$4,$B$5,$F272,$B$6,AC$10,$A272,$B272)</f>
        <v>45979200</v>
      </c>
      <c r="AD272" s="4">
        <f ca="1">_xll.DBRW($B$1,$B$2,$B$7,$B$3,$B$4,$B$5,$F272,$B$6,AD$10,$A272,$B272)</f>
        <v>44496000</v>
      </c>
      <c r="AE272" s="4">
        <f ca="1">_xll.DBRW($B$1,$B$2,$B$7,$B$3,$B$4,$B$5,$F272,$B$6,AE$10,$A272,$B272)</f>
        <v>44496000</v>
      </c>
    </row>
    <row r="273" spans="1:31">
      <c r="A273" s="1" t="s">
        <v>152</v>
      </c>
      <c r="B273" s="5" t="s">
        <v>192</v>
      </c>
      <c r="C273" s="5" t="s">
        <v>193</v>
      </c>
      <c r="D273" s="5" t="s">
        <v>21</v>
      </c>
      <c r="E273" s="5" t="s">
        <v>194</v>
      </c>
      <c r="F273" s="5" t="s">
        <v>25</v>
      </c>
      <c r="G273" s="6"/>
      <c r="H273" s="6"/>
      <c r="I273" s="6"/>
      <c r="J273" s="6"/>
      <c r="K273" s="6"/>
      <c r="L273" s="4">
        <f ca="1">_xll.DBRW($B$1,$B$2,$B$7,$B$3,$B$4,$B$5,$F273,$B$6,L$10,$A273,$B273)</f>
        <v>13328064</v>
      </c>
      <c r="M273" s="4">
        <f ca="1">_xll.DBRW($B$1,$B$2,$B$7,$B$3,$B$4,$B$5,$F273,$B$6,M$10,$A273,$B273)</f>
        <v>11847168</v>
      </c>
      <c r="N273" s="4">
        <f ca="1">_xll.DBRW($B$1,$B$2,$B$7,$B$3,$B$4,$B$5,$F273,$B$6,N$10,$A273,$B273)</f>
        <v>13328064</v>
      </c>
      <c r="O273" s="4">
        <f ca="1">_xll.DBRW($B$1,$B$2,$B$7,$B$3,$B$4,$B$5,$F273,$B$6,O$10,$A273,$B273)</f>
        <v>13328064</v>
      </c>
      <c r="P273" s="4">
        <f ca="1">_xll.DBRW($B$1,$B$2,$B$7,$B$3,$B$4,$B$5,$F273,$B$6,P$10,$A273,$B273)</f>
        <v>13328064</v>
      </c>
      <c r="Q273" s="4">
        <f ca="1">_xll.DBRW($B$1,$B$2,$B$7,$B$3,$B$4,$B$5,$F273,$B$6,Q$10,$A273,$B273)</f>
        <v>16289856</v>
      </c>
      <c r="R273" s="4">
        <f ca="1">_xll.DBRW($B$1,$B$2,$B$7,$B$3,$B$4,$B$5,$F273,$B$6,R$10,$A273,$B273)</f>
        <v>17770752</v>
      </c>
      <c r="S273" s="4">
        <f ca="1">_xll.DBRW($B$1,$B$2,$B$7,$B$3,$B$4,$B$5,$F273,$B$6,S$10,$A273,$B273)</f>
        <v>20732544</v>
      </c>
      <c r="T273" s="4">
        <f ca="1">_xll.DBRW($B$1,$B$2,$B$7,$B$3,$B$4,$B$5,$F273,$B$6,T$10,$A273,$B273)</f>
        <v>19251648</v>
      </c>
      <c r="U273" s="4">
        <f ca="1">_xll.DBRW($B$1,$B$2,$B$7,$B$3,$B$4,$B$5,$F273,$B$6,U$10,$A273,$B273)</f>
        <v>17770752</v>
      </c>
      <c r="V273" s="4">
        <f ca="1">_xll.DBRW($B$1,$B$2,$B$7,$B$3,$B$4,$B$5,$F273,$B$6,V$10,$A273,$B273)</f>
        <v>19251648</v>
      </c>
      <c r="W273" s="4">
        <f ca="1">_xll.DBRW($B$1,$B$2,$B$7,$B$3,$B$4,$B$5,$F273,$B$6,W$10,$A273,$B273)</f>
        <v>11847168</v>
      </c>
      <c r="X273" s="4">
        <f ca="1">_xll.DBRW($B$1,$B$2,$B$7,$B$3,$B$4,$B$5,$F273,$B$6,X$10,$A273,$B273)</f>
        <v>13328064</v>
      </c>
      <c r="Y273" s="4">
        <f ca="1">_xll.DBRW($B$1,$B$2,$B$7,$B$3,$B$4,$B$5,$F273,$B$6,Y$10,$A273,$B273)</f>
        <v>13328064</v>
      </c>
      <c r="Z273" s="4">
        <f ca="1">_xll.DBRW($B$1,$B$2,$B$7,$B$3,$B$4,$B$5,$F273,$B$6,Z$10,$A273,$B273)</f>
        <v>11847168</v>
      </c>
      <c r="AA273" s="4">
        <f ca="1">_xll.DBRW($B$1,$B$2,$B$7,$B$3,$B$4,$B$5,$F273,$B$6,AA$10,$A273,$B273)</f>
        <v>13328064</v>
      </c>
      <c r="AB273" s="4">
        <f ca="1">_xll.DBRW($B$1,$B$2,$B$7,$B$3,$B$4,$B$5,$F273,$B$6,AB$10,$A273,$B273)</f>
        <v>13328064</v>
      </c>
      <c r="AC273" s="4">
        <f ca="1">_xll.DBRW($B$1,$B$2,$B$7,$B$3,$B$4,$B$5,$F273,$B$6,AC$10,$A273,$B273)</f>
        <v>14808960</v>
      </c>
      <c r="AD273" s="4">
        <f ca="1">_xll.DBRW($B$1,$B$2,$B$7,$B$3,$B$4,$B$5,$F273,$B$6,AD$10,$A273,$B273)</f>
        <v>19251648</v>
      </c>
      <c r="AE273" s="4">
        <f ca="1">_xll.DBRW($B$1,$B$2,$B$7,$B$3,$B$4,$B$5,$F273,$B$6,AE$10,$A273,$B273)</f>
        <v>19251648</v>
      </c>
    </row>
    <row r="274" spans="1:31">
      <c r="A274" s="1" t="s">
        <v>152</v>
      </c>
      <c r="B274" s="5" t="s">
        <v>195</v>
      </c>
      <c r="C274" s="5" t="s">
        <v>196</v>
      </c>
      <c r="D274" s="5" t="s">
        <v>194</v>
      </c>
      <c r="E274" s="5" t="s">
        <v>21</v>
      </c>
      <c r="F274" s="5" t="s">
        <v>25</v>
      </c>
      <c r="G274" s="6"/>
      <c r="H274" s="6"/>
      <c r="I274" s="6"/>
      <c r="J274" s="6"/>
      <c r="K274" s="6"/>
      <c r="L274" s="4">
        <f ca="1">_xll.DBRW($B$1,$B$2,$B$7,$B$3,$B$4,$B$5,$F274,$B$6,L$10,$A274,$B274)</f>
        <v>13328064</v>
      </c>
      <c r="M274" s="4">
        <f ca="1">_xll.DBRW($B$1,$B$2,$B$7,$B$3,$B$4,$B$5,$F274,$B$6,M$10,$A274,$B274)</f>
        <v>11847168</v>
      </c>
      <c r="N274" s="4">
        <f ca="1">_xll.DBRW($B$1,$B$2,$B$7,$B$3,$B$4,$B$5,$F274,$B$6,N$10,$A274,$B274)</f>
        <v>13328064</v>
      </c>
      <c r="O274" s="4">
        <f ca="1">_xll.DBRW($B$1,$B$2,$B$7,$B$3,$B$4,$B$5,$F274,$B$6,O$10,$A274,$B274)</f>
        <v>13328064</v>
      </c>
      <c r="P274" s="4">
        <f ca="1">_xll.DBRW($B$1,$B$2,$B$7,$B$3,$B$4,$B$5,$F274,$B$6,P$10,$A274,$B274)</f>
        <v>13328064</v>
      </c>
      <c r="Q274" s="4">
        <f ca="1">_xll.DBRW($B$1,$B$2,$B$7,$B$3,$B$4,$B$5,$F274,$B$6,Q$10,$A274,$B274)</f>
        <v>14808960</v>
      </c>
      <c r="R274" s="4">
        <f ca="1">_xll.DBRW($B$1,$B$2,$B$7,$B$3,$B$4,$B$5,$F274,$B$6,R$10,$A274,$B274)</f>
        <v>17770752</v>
      </c>
      <c r="S274" s="4">
        <f ca="1">_xll.DBRW($B$1,$B$2,$B$7,$B$3,$B$4,$B$5,$F274,$B$6,S$10,$A274,$B274)</f>
        <v>20732544</v>
      </c>
      <c r="T274" s="4">
        <f ca="1">_xll.DBRW($B$1,$B$2,$B$7,$B$3,$B$4,$B$5,$F274,$B$6,T$10,$A274,$B274)</f>
        <v>19251648</v>
      </c>
      <c r="U274" s="4">
        <f ca="1">_xll.DBRW($B$1,$B$2,$B$7,$B$3,$B$4,$B$5,$F274,$B$6,U$10,$A274,$B274)</f>
        <v>17770752</v>
      </c>
      <c r="V274" s="4">
        <f ca="1">_xll.DBRW($B$1,$B$2,$B$7,$B$3,$B$4,$B$5,$F274,$B$6,V$10,$A274,$B274)</f>
        <v>19251648</v>
      </c>
      <c r="W274" s="4">
        <f ca="1">_xll.DBRW($B$1,$B$2,$B$7,$B$3,$B$4,$B$5,$F274,$B$6,W$10,$A274,$B274)</f>
        <v>11847168</v>
      </c>
      <c r="X274" s="4">
        <f ca="1">_xll.DBRW($B$1,$B$2,$B$7,$B$3,$B$4,$B$5,$F274,$B$6,X$10,$A274,$B274)</f>
        <v>13328064</v>
      </c>
      <c r="Y274" s="4">
        <f ca="1">_xll.DBRW($B$1,$B$2,$B$7,$B$3,$B$4,$B$5,$F274,$B$6,Y$10,$A274,$B274)</f>
        <v>13328064</v>
      </c>
      <c r="Z274" s="4">
        <f ca="1">_xll.DBRW($B$1,$B$2,$B$7,$B$3,$B$4,$B$5,$F274,$B$6,Z$10,$A274,$B274)</f>
        <v>11847168</v>
      </c>
      <c r="AA274" s="4">
        <f ca="1">_xll.DBRW($B$1,$B$2,$B$7,$B$3,$B$4,$B$5,$F274,$B$6,AA$10,$A274,$B274)</f>
        <v>13328064</v>
      </c>
      <c r="AB274" s="4">
        <f ca="1">_xll.DBRW($B$1,$B$2,$B$7,$B$3,$B$4,$B$5,$F274,$B$6,AB$10,$A274,$B274)</f>
        <v>13328064</v>
      </c>
      <c r="AC274" s="4">
        <f ca="1">_xll.DBRW($B$1,$B$2,$B$7,$B$3,$B$4,$B$5,$F274,$B$6,AC$10,$A274,$B274)</f>
        <v>14808960</v>
      </c>
      <c r="AD274" s="4">
        <f ca="1">_xll.DBRW($B$1,$B$2,$B$7,$B$3,$B$4,$B$5,$F274,$B$6,AD$10,$A274,$B274)</f>
        <v>19251648</v>
      </c>
      <c r="AE274" s="4">
        <f ca="1">_xll.DBRW($B$1,$B$2,$B$7,$B$3,$B$4,$B$5,$F274,$B$6,AE$10,$A274,$B274)</f>
        <v>19251648</v>
      </c>
    </row>
    <row r="275" spans="1:31">
      <c r="A275" s="1" t="s">
        <v>152</v>
      </c>
      <c r="B275" s="5" t="s">
        <v>197</v>
      </c>
      <c r="C275" s="5" t="s">
        <v>198</v>
      </c>
      <c r="D275" s="5" t="s">
        <v>28</v>
      </c>
      <c r="E275" s="5" t="s">
        <v>20</v>
      </c>
      <c r="F275" s="5" t="s">
        <v>25</v>
      </c>
      <c r="G275" s="6"/>
      <c r="H275" s="6"/>
      <c r="I275" s="6"/>
      <c r="J275" s="6"/>
      <c r="K275" s="6"/>
      <c r="L275" s="4">
        <f ca="1">_xll.DBRW($B$1,$B$2,$B$7,$B$3,$B$4,$B$5,$F275,$B$6,L$10,$A275,$B275)</f>
        <v>37828060</v>
      </c>
      <c r="M275" s="4">
        <f ca="1">_xll.DBRW($B$1,$B$2,$B$7,$B$3,$B$4,$B$5,$F275,$B$6,M$10,$A275,$B275)</f>
        <v>36607800</v>
      </c>
      <c r="N275" s="4">
        <f ca="1">_xll.DBRW($B$1,$B$2,$B$7,$B$3,$B$4,$B$5,$F275,$B$6,N$10,$A275,$B275)</f>
        <v>37828060</v>
      </c>
      <c r="O275" s="4">
        <f ca="1">_xll.DBRW($B$1,$B$2,$B$7,$B$3,$B$4,$B$5,$F275,$B$6,O$10,$A275,$B275)</f>
        <v>37828060</v>
      </c>
      <c r="P275" s="4">
        <f ca="1">_xll.DBRW($B$1,$B$2,$B$7,$B$3,$B$4,$B$5,$F275,$B$6,P$10,$A275,$B275)</f>
        <v>36607800</v>
      </c>
      <c r="Q275" s="4">
        <f ca="1">_xll.DBRW($B$1,$B$2,$B$7,$B$3,$B$4,$B$5,$F275,$B$6,Q$10,$A275,$B275)</f>
        <v>34160684</v>
      </c>
      <c r="R275" s="4">
        <f ca="1">_xll.DBRW($B$1,$B$2,$B$7,$B$3,$B$4,$B$5,$F275,$B$6,R$10,$A275,$B275)</f>
        <v>26786356</v>
      </c>
      <c r="S275" s="4">
        <f ca="1">_xll.DBRW($B$1,$B$2,$B$7,$B$3,$B$4,$B$5,$F275,$B$6,S$10,$A275,$B275)</f>
        <v>25572692</v>
      </c>
      <c r="T275" s="4">
        <f ca="1">_xll.DBRW($B$1,$B$2,$B$7,$B$3,$B$4,$B$5,$F275,$B$6,T$10,$A275,$B275)</f>
        <v>28065980</v>
      </c>
      <c r="U275" s="4">
        <f ca="1">_xll.DBRW($B$1,$B$2,$B$7,$B$3,$B$4,$B$5,$F275,$B$6,U$10,$A275,$B275)</f>
        <v>24405200</v>
      </c>
      <c r="V275" s="4">
        <f ca="1">_xll.DBRW($B$1,$B$2,$B$7,$B$3,$B$4,$B$5,$F275,$B$6,V$10,$A275,$B275)</f>
        <v>28065980</v>
      </c>
      <c r="W275" s="4">
        <f ca="1">_xll.DBRW($B$1,$B$2,$B$7,$B$3,$B$4,$B$5,$F275,$B$6,W$10,$A275,$B275)</f>
        <v>36607800</v>
      </c>
      <c r="X275" s="4">
        <f ca="1">_xll.DBRW($B$1,$B$2,$B$7,$B$3,$B$4,$B$5,$F275,$B$6,X$10,$A275,$B275)</f>
        <v>37828060</v>
      </c>
      <c r="Y275" s="4">
        <f ca="1">_xll.DBRW($B$1,$B$2,$B$7,$B$3,$B$4,$B$5,$F275,$B$6,Y$10,$A275,$B275)</f>
        <v>36607800</v>
      </c>
      <c r="Z275" s="4">
        <f ca="1">_xll.DBRW($B$1,$B$2,$B$7,$B$3,$B$4,$B$5,$F275,$B$6,Z$10,$A275,$B275)</f>
        <v>37828060</v>
      </c>
      <c r="AA275" s="4">
        <f ca="1">_xll.DBRW($B$1,$B$2,$B$7,$B$3,$B$4,$B$5,$F275,$B$6,AA$10,$A275,$B275)</f>
        <v>37828060</v>
      </c>
      <c r="AB275" s="4">
        <f ca="1">_xll.DBRW($B$1,$B$2,$B$7,$B$3,$B$4,$B$5,$F275,$B$6,AB$10,$A275,$B275)</f>
        <v>36607800</v>
      </c>
      <c r="AC275" s="4">
        <f ca="1">_xll.DBRW($B$1,$B$2,$B$7,$B$3,$B$4,$B$5,$F275,$B$6,AC$10,$A275,$B275)</f>
        <v>35387540</v>
      </c>
      <c r="AD275" s="4">
        <f ca="1">_xll.DBRW($B$1,$B$2,$B$7,$B$3,$B$4,$B$5,$F275,$B$6,AD$10,$A275,$B275)</f>
        <v>25625460</v>
      </c>
      <c r="AE275" s="4">
        <f ca="1">_xll.DBRW($B$1,$B$2,$B$7,$B$3,$B$4,$B$5,$F275,$B$6,AE$10,$A275,$B275)</f>
        <v>26845720</v>
      </c>
    </row>
    <row r="276" spans="1:31">
      <c r="A276" s="1" t="s">
        <v>152</v>
      </c>
      <c r="B276" s="5" t="s">
        <v>26</v>
      </c>
      <c r="C276" s="5" t="s">
        <v>27</v>
      </c>
      <c r="D276" s="5" t="s">
        <v>20</v>
      </c>
      <c r="E276" s="5" t="s">
        <v>28</v>
      </c>
      <c r="F276" s="5" t="s">
        <v>25</v>
      </c>
      <c r="G276" s="6"/>
      <c r="H276" s="6"/>
      <c r="I276" s="6"/>
      <c r="J276" s="6"/>
      <c r="K276" s="6"/>
      <c r="L276" s="4">
        <f ca="1">_xll.DBRW($B$1,$B$2,$B$7,$B$3,$B$4,$B$5,$F276,$B$6,L$10,$A276,$B276)</f>
        <v>37828060</v>
      </c>
      <c r="M276" s="4">
        <f ca="1">_xll.DBRW($B$1,$B$2,$B$7,$B$3,$B$4,$B$5,$F276,$B$6,M$10,$A276,$B276)</f>
        <v>36607800</v>
      </c>
      <c r="N276" s="4">
        <f ca="1">_xll.DBRW($B$1,$B$2,$B$7,$B$3,$B$4,$B$5,$F276,$B$6,N$10,$A276,$B276)</f>
        <v>37828060</v>
      </c>
      <c r="O276" s="4">
        <f ca="1">_xll.DBRW($B$1,$B$2,$B$7,$B$3,$B$4,$B$5,$F276,$B$6,O$10,$A276,$B276)</f>
        <v>37828060</v>
      </c>
      <c r="P276" s="4">
        <f ca="1">_xll.DBRW($B$1,$B$2,$B$7,$B$3,$B$4,$B$5,$F276,$B$6,P$10,$A276,$B276)</f>
        <v>36607800</v>
      </c>
      <c r="Q276" s="4">
        <f ca="1">_xll.DBRW($B$1,$B$2,$B$7,$B$3,$B$4,$B$5,$F276,$B$6,Q$10,$A276,$B276)</f>
        <v>34160684</v>
      </c>
      <c r="R276" s="4">
        <f ca="1">_xll.DBRW($B$1,$B$2,$B$7,$B$3,$B$4,$B$5,$F276,$B$6,R$10,$A276,$B276)</f>
        <v>26786356</v>
      </c>
      <c r="S276" s="4">
        <f ca="1">_xll.DBRW($B$1,$B$2,$B$7,$B$3,$B$4,$B$5,$F276,$B$6,S$10,$A276,$B276)</f>
        <v>25572692</v>
      </c>
      <c r="T276" s="4">
        <f ca="1">_xll.DBRW($B$1,$B$2,$B$7,$B$3,$B$4,$B$5,$F276,$B$6,T$10,$A276,$B276)</f>
        <v>28065980</v>
      </c>
      <c r="U276" s="4">
        <f ca="1">_xll.DBRW($B$1,$B$2,$B$7,$B$3,$B$4,$B$5,$F276,$B$6,U$10,$A276,$B276)</f>
        <v>24405200</v>
      </c>
      <c r="V276" s="4">
        <f ca="1">_xll.DBRW($B$1,$B$2,$B$7,$B$3,$B$4,$B$5,$F276,$B$6,V$10,$A276,$B276)</f>
        <v>28065980</v>
      </c>
      <c r="W276" s="4">
        <f ca="1">_xll.DBRW($B$1,$B$2,$B$7,$B$3,$B$4,$B$5,$F276,$B$6,W$10,$A276,$B276)</f>
        <v>36607800</v>
      </c>
      <c r="X276" s="4">
        <f ca="1">_xll.DBRW($B$1,$B$2,$B$7,$B$3,$B$4,$B$5,$F276,$B$6,X$10,$A276,$B276)</f>
        <v>37828060</v>
      </c>
      <c r="Y276" s="4">
        <f ca="1">_xll.DBRW($B$1,$B$2,$B$7,$B$3,$B$4,$B$5,$F276,$B$6,Y$10,$A276,$B276)</f>
        <v>36607800</v>
      </c>
      <c r="Z276" s="4">
        <f ca="1">_xll.DBRW($B$1,$B$2,$B$7,$B$3,$B$4,$B$5,$F276,$B$6,Z$10,$A276,$B276)</f>
        <v>37828060</v>
      </c>
      <c r="AA276" s="4">
        <f ca="1">_xll.DBRW($B$1,$B$2,$B$7,$B$3,$B$4,$B$5,$F276,$B$6,AA$10,$A276,$B276)</f>
        <v>37828060</v>
      </c>
      <c r="AB276" s="4">
        <f ca="1">_xll.DBRW($B$1,$B$2,$B$7,$B$3,$B$4,$B$5,$F276,$B$6,AB$10,$A276,$B276)</f>
        <v>36607800</v>
      </c>
      <c r="AC276" s="4">
        <f ca="1">_xll.DBRW($B$1,$B$2,$B$7,$B$3,$B$4,$B$5,$F276,$B$6,AC$10,$A276,$B276)</f>
        <v>35387540</v>
      </c>
      <c r="AD276" s="4">
        <f ca="1">_xll.DBRW($B$1,$B$2,$B$7,$B$3,$B$4,$B$5,$F276,$B$6,AD$10,$A276,$B276)</f>
        <v>25625460</v>
      </c>
      <c r="AE276" s="4">
        <f ca="1">_xll.DBRW($B$1,$B$2,$B$7,$B$3,$B$4,$B$5,$F276,$B$6,AE$10,$A276,$B276)</f>
        <v>25625460</v>
      </c>
    </row>
    <row r="277" spans="1:31">
      <c r="A277" s="1" t="s">
        <v>152</v>
      </c>
      <c r="B277" s="5" t="s">
        <v>199</v>
      </c>
      <c r="C277" s="5" t="s">
        <v>189</v>
      </c>
      <c r="D277" s="5" t="s">
        <v>21</v>
      </c>
      <c r="E277" s="5" t="s">
        <v>20</v>
      </c>
      <c r="F277" s="5" t="s">
        <v>25</v>
      </c>
      <c r="G277" s="6"/>
      <c r="H277" s="6"/>
      <c r="I277" s="6"/>
      <c r="J277" s="6"/>
      <c r="K277" s="6"/>
      <c r="L277" s="4">
        <f ca="1">_xll.DBRW($B$1,$B$2,$B$7,$B$3,$B$4,$B$5,$F277,$B$6,L$10,$A277,$B277)</f>
        <v>0</v>
      </c>
      <c r="M277" s="4">
        <f ca="1">_xll.DBRW($B$1,$B$2,$B$7,$B$3,$B$4,$B$5,$F277,$B$6,M$10,$A277,$B277)</f>
        <v>0</v>
      </c>
      <c r="N277" s="4">
        <f ca="1">_xll.DBRW($B$1,$B$2,$B$7,$B$3,$B$4,$B$5,$F277,$B$6,N$10,$A277,$B277)</f>
        <v>0</v>
      </c>
      <c r="O277" s="4">
        <f ca="1">_xll.DBRW($B$1,$B$2,$B$7,$B$3,$B$4,$B$5,$F277,$B$6,O$10,$A277,$B277)</f>
        <v>1592360</v>
      </c>
      <c r="P277" s="4">
        <f ca="1">_xll.DBRW($B$1,$B$2,$B$7,$B$3,$B$4,$B$5,$F277,$B$6,P$10,$A277,$B277)</f>
        <v>0</v>
      </c>
      <c r="Q277" s="4">
        <f ca="1">_xll.DBRW($B$1,$B$2,$B$7,$B$3,$B$4,$B$5,$F277,$B$6,Q$10,$A277,$B277)</f>
        <v>0</v>
      </c>
      <c r="R277" s="4">
        <f ca="1">_xll.DBRW($B$1,$B$2,$B$7,$B$3,$B$4,$B$5,$F277,$B$6,R$10,$A277,$B277)</f>
        <v>0</v>
      </c>
      <c r="S277" s="4">
        <f ca="1">_xll.DBRW($B$1,$B$2,$B$7,$B$3,$B$4,$B$5,$F277,$B$6,S$10,$A277,$B277)</f>
        <v>0</v>
      </c>
      <c r="T277" s="4">
        <f ca="1">_xll.DBRW($B$1,$B$2,$B$7,$B$3,$B$4,$B$5,$F277,$B$6,T$10,$A277,$B277)</f>
        <v>0</v>
      </c>
      <c r="U277" s="4">
        <f ca="1">_xll.DBRW($B$1,$B$2,$B$7,$B$3,$B$4,$B$5,$F277,$B$6,U$10,$A277,$B277)</f>
        <v>0</v>
      </c>
      <c r="V277" s="4">
        <f ca="1">_xll.DBRW($B$1,$B$2,$B$7,$B$3,$B$4,$B$5,$F277,$B$6,V$10,$A277,$B277)</f>
        <v>2493568</v>
      </c>
      <c r="W277" s="4">
        <f ca="1">_xll.DBRW($B$1,$B$2,$B$7,$B$3,$B$4,$B$5,$F277,$B$6,W$10,$A277,$B277)</f>
        <v>37403520</v>
      </c>
      <c r="X277" s="4">
        <f ca="1">_xll.DBRW($B$1,$B$2,$B$7,$B$3,$B$4,$B$5,$F277,$B$6,X$10,$A277,$B277)</f>
        <v>38650304</v>
      </c>
      <c r="Y277" s="4">
        <f ca="1">_xll.DBRW($B$1,$B$2,$B$7,$B$3,$B$4,$B$5,$F277,$B$6,Y$10,$A277,$B277)</f>
        <v>37403520</v>
      </c>
      <c r="Z277" s="4">
        <f ca="1">_xll.DBRW($B$1,$B$2,$B$7,$B$3,$B$4,$B$5,$F277,$B$6,Z$10,$A277,$B277)</f>
        <v>38650304</v>
      </c>
      <c r="AA277" s="4">
        <f ca="1">_xll.DBRW($B$1,$B$2,$B$7,$B$3,$B$4,$B$5,$F277,$B$6,AA$10,$A277,$B277)</f>
        <v>38650304</v>
      </c>
      <c r="AB277" s="4">
        <f ca="1">_xll.DBRW($B$1,$B$2,$B$7,$B$3,$B$4,$B$5,$F277,$B$6,AB$10,$A277,$B277)</f>
        <v>37403520</v>
      </c>
      <c r="AC277" s="4">
        <f ca="1">_xll.DBRW($B$1,$B$2,$B$7,$B$3,$B$4,$B$5,$F277,$B$6,AC$10,$A277,$B277)</f>
        <v>31169600</v>
      </c>
      <c r="AD277" s="4">
        <f ca="1">_xll.DBRW($B$1,$B$2,$B$7,$B$3,$B$4,$B$5,$F277,$B$6,AD$10,$A277,$B277)</f>
        <v>0</v>
      </c>
      <c r="AE277" s="4">
        <f ca="1">_xll.DBRW($B$1,$B$2,$B$7,$B$3,$B$4,$B$5,$F277,$B$6,AE$10,$A277,$B277)</f>
        <v>0</v>
      </c>
    </row>
    <row r="278" spans="1:31">
      <c r="A278" s="1" t="s">
        <v>152</v>
      </c>
      <c r="B278" s="5" t="s">
        <v>23</v>
      </c>
      <c r="C278" s="5" t="s">
        <v>19</v>
      </c>
      <c r="D278" s="5" t="s">
        <v>20</v>
      </c>
      <c r="E278" s="5" t="s">
        <v>21</v>
      </c>
      <c r="F278" s="5" t="s">
        <v>25</v>
      </c>
      <c r="G278" s="6"/>
      <c r="H278" s="6"/>
      <c r="I278" s="6"/>
      <c r="J278" s="6"/>
      <c r="K278" s="6"/>
      <c r="L278" s="4">
        <f ca="1">_xll.DBRW($B$1,$B$2,$B$7,$B$3,$B$4,$B$5,$F278,$B$6,L$10,$A278,$B278)</f>
        <v>0</v>
      </c>
      <c r="M278" s="4">
        <f ca="1">_xll.DBRW($B$1,$B$2,$B$7,$B$3,$B$4,$B$5,$F278,$B$6,M$10,$A278,$B278)</f>
        <v>0</v>
      </c>
      <c r="N278" s="4">
        <f ca="1">_xll.DBRW($B$1,$B$2,$B$7,$B$3,$B$4,$B$5,$F278,$B$6,N$10,$A278,$B278)</f>
        <v>0</v>
      </c>
      <c r="O278" s="4">
        <f ca="1">_xll.DBRW($B$1,$B$2,$B$7,$B$3,$B$4,$B$5,$F278,$B$6,O$10,$A278,$B278)</f>
        <v>0</v>
      </c>
      <c r="P278" s="4">
        <f ca="1">_xll.DBRW($B$1,$B$2,$B$7,$B$3,$B$4,$B$5,$F278,$B$6,P$10,$A278,$B278)</f>
        <v>0</v>
      </c>
      <c r="Q278" s="4">
        <f ca="1">_xll.DBRW($B$1,$B$2,$B$7,$B$3,$B$4,$B$5,$F278,$B$6,Q$10,$A278,$B278)</f>
        <v>0</v>
      </c>
      <c r="R278" s="4">
        <f ca="1">_xll.DBRW($B$1,$B$2,$B$7,$B$3,$B$4,$B$5,$F278,$B$6,R$10,$A278,$B278)</f>
        <v>0</v>
      </c>
      <c r="S278" s="4">
        <f ca="1">_xll.DBRW($B$1,$B$2,$B$7,$B$3,$B$4,$B$5,$F278,$B$6,S$10,$A278,$B278)</f>
        <v>0</v>
      </c>
      <c r="T278" s="4">
        <f ca="1">_xll.DBRW($B$1,$B$2,$B$7,$B$3,$B$4,$B$5,$F278,$B$6,T$10,$A278,$B278)</f>
        <v>0</v>
      </c>
      <c r="U278" s="4">
        <f ca="1">_xll.DBRW($B$1,$B$2,$B$7,$B$3,$B$4,$B$5,$F278,$B$6,U$10,$A278,$B278)</f>
        <v>0</v>
      </c>
      <c r="V278" s="4">
        <f ca="1">_xll.DBRW($B$1,$B$2,$B$7,$B$3,$B$4,$B$5,$F278,$B$6,V$10,$A278,$B278)</f>
        <v>2493568</v>
      </c>
      <c r="W278" s="4">
        <f ca="1">_xll.DBRW($B$1,$B$2,$B$7,$B$3,$B$4,$B$5,$F278,$B$6,W$10,$A278,$B278)</f>
        <v>37403520</v>
      </c>
      <c r="X278" s="4">
        <f ca="1">_xll.DBRW($B$1,$B$2,$B$7,$B$3,$B$4,$B$5,$F278,$B$6,X$10,$A278,$B278)</f>
        <v>38650304</v>
      </c>
      <c r="Y278" s="4">
        <f ca="1">_xll.DBRW($B$1,$B$2,$B$7,$B$3,$B$4,$B$5,$F278,$B$6,Y$10,$A278,$B278)</f>
        <v>37403520</v>
      </c>
      <c r="Z278" s="4">
        <f ca="1">_xll.DBRW($B$1,$B$2,$B$7,$B$3,$B$4,$B$5,$F278,$B$6,Z$10,$A278,$B278)</f>
        <v>38650304</v>
      </c>
      <c r="AA278" s="4">
        <f ca="1">_xll.DBRW($B$1,$B$2,$B$7,$B$3,$B$4,$B$5,$F278,$B$6,AA$10,$A278,$B278)</f>
        <v>38650304</v>
      </c>
      <c r="AB278" s="4">
        <f ca="1">_xll.DBRW($B$1,$B$2,$B$7,$B$3,$B$4,$B$5,$F278,$B$6,AB$10,$A278,$B278)</f>
        <v>37403520</v>
      </c>
      <c r="AC278" s="4">
        <f ca="1">_xll.DBRW($B$1,$B$2,$B$7,$B$3,$B$4,$B$5,$F278,$B$6,AC$10,$A278,$B278)</f>
        <v>31169600</v>
      </c>
      <c r="AD278" s="4">
        <f ca="1">_xll.DBRW($B$1,$B$2,$B$7,$B$3,$B$4,$B$5,$F278,$B$6,AD$10,$A278,$B278)</f>
        <v>0</v>
      </c>
      <c r="AE278" s="4">
        <f ca="1">_xll.DBRW($B$1,$B$2,$B$7,$B$3,$B$4,$B$5,$F278,$B$6,AE$10,$A278,$B278)</f>
        <v>0</v>
      </c>
    </row>
    <row r="279" spans="1:31">
      <c r="A279" s="1" t="s">
        <v>152</v>
      </c>
      <c r="B279" s="5" t="s">
        <v>200</v>
      </c>
      <c r="C279" s="5" t="s">
        <v>161</v>
      </c>
      <c r="D279" s="5" t="s">
        <v>21</v>
      </c>
      <c r="E279" s="5" t="s">
        <v>69</v>
      </c>
      <c r="F279" s="5" t="s">
        <v>25</v>
      </c>
      <c r="G279" s="6"/>
      <c r="H279" s="6"/>
      <c r="I279" s="6"/>
      <c r="J279" s="6"/>
      <c r="K279" s="6"/>
      <c r="L279" s="4">
        <f ca="1">_xll.DBRW($B$1,$B$2,$B$7,$B$3,$B$4,$B$5,$F279,$B$6,L$10,$A279,$B279)</f>
        <v>41016960</v>
      </c>
      <c r="M279" s="4">
        <f ca="1">_xll.DBRW($B$1,$B$2,$B$7,$B$3,$B$4,$B$5,$F279,$B$6,M$10,$A279,$B279)</f>
        <v>39649728</v>
      </c>
      <c r="N279" s="4">
        <f ca="1">_xll.DBRW($B$1,$B$2,$B$7,$B$3,$B$4,$B$5,$F279,$B$6,N$10,$A279,$B279)</f>
        <v>42384192</v>
      </c>
      <c r="O279" s="4">
        <f ca="1">_xll.DBRW($B$1,$B$2,$B$7,$B$3,$B$4,$B$5,$F279,$B$6,O$10,$A279,$B279)</f>
        <v>42384192</v>
      </c>
      <c r="P279" s="4">
        <f ca="1">_xll.DBRW($B$1,$B$2,$B$7,$B$3,$B$4,$B$5,$F279,$B$6,P$10,$A279,$B279)</f>
        <v>41016960</v>
      </c>
      <c r="Q279" s="4">
        <f ca="1">_xll.DBRW($B$1,$B$2,$B$7,$B$3,$B$4,$B$5,$F279,$B$6,Q$10,$A279,$B279)</f>
        <v>42825694</v>
      </c>
      <c r="R279" s="4">
        <f ca="1">_xll.DBRW($B$1,$B$2,$B$7,$B$3,$B$4,$B$5,$F279,$B$6,R$10,$A279,$B279)</f>
        <v>42213288</v>
      </c>
      <c r="S279" s="4">
        <f ca="1">_xll.DBRW($B$1,$B$2,$B$7,$B$3,$B$4,$B$5,$F279,$B$6,S$10,$A279,$B279)</f>
        <v>43886723</v>
      </c>
      <c r="T279" s="4">
        <f ca="1">_xll.DBRW($B$1,$B$2,$B$7,$B$3,$B$4,$B$5,$F279,$B$6,T$10,$A279,$B279)</f>
        <v>40710757</v>
      </c>
      <c r="U279" s="4">
        <f ca="1">_xll.DBRW($B$1,$B$2,$B$7,$B$3,$B$4,$B$5,$F279,$B$6,U$10,$A279,$B279)</f>
        <v>36772844</v>
      </c>
      <c r="V279" s="4">
        <f ca="1">_xll.DBRW($B$1,$B$2,$B$7,$B$3,$B$4,$B$5,$F279,$B$6,V$10,$A279,$B279)</f>
        <v>40817572</v>
      </c>
      <c r="W279" s="4">
        <f ca="1">_xll.DBRW($B$1,$B$2,$B$7,$B$3,$B$4,$B$5,$F279,$B$6,W$10,$A279,$B279)</f>
        <v>41016960</v>
      </c>
      <c r="X279" s="4">
        <f ca="1">_xll.DBRW($B$1,$B$2,$B$7,$B$3,$B$4,$B$5,$F279,$B$6,X$10,$A279,$B279)</f>
        <v>42384192</v>
      </c>
      <c r="Y279" s="4">
        <f ca="1">_xll.DBRW($B$1,$B$2,$B$7,$B$3,$B$4,$B$5,$F279,$B$6,Y$10,$A279,$B279)</f>
        <v>41016960</v>
      </c>
      <c r="Z279" s="4">
        <f ca="1">_xll.DBRW($B$1,$B$2,$B$7,$B$3,$B$4,$B$5,$F279,$B$6,Z$10,$A279,$B279)</f>
        <v>42384192</v>
      </c>
      <c r="AA279" s="4">
        <f ca="1">_xll.DBRW($B$1,$B$2,$B$7,$B$3,$B$4,$B$5,$F279,$B$6,AA$10,$A279,$B279)</f>
        <v>42384192</v>
      </c>
      <c r="AB279" s="4">
        <f ca="1">_xll.DBRW($B$1,$B$2,$B$7,$B$3,$B$4,$B$5,$F279,$B$6,AB$10,$A279,$B279)</f>
        <v>41016960</v>
      </c>
      <c r="AC279" s="4">
        <f ca="1">_xll.DBRW($B$1,$B$2,$B$7,$B$3,$B$4,$B$5,$F279,$B$6,AC$10,$A279,$B279)</f>
        <v>42063747</v>
      </c>
      <c r="AD279" s="4">
        <f ca="1">_xll.DBRW($B$1,$B$2,$B$7,$B$3,$B$4,$B$5,$F279,$B$6,AD$10,$A279,$B279)</f>
        <v>39393372</v>
      </c>
      <c r="AE279" s="4">
        <f ca="1">_xll.DBRW($B$1,$B$2,$B$7,$B$3,$B$4,$B$5,$F279,$B$6,AE$10,$A279,$B279)</f>
        <v>40724999</v>
      </c>
    </row>
    <row r="280" spans="1:31">
      <c r="A280" s="1" t="s">
        <v>152</v>
      </c>
      <c r="B280" s="5" t="s">
        <v>70</v>
      </c>
      <c r="C280" s="5" t="s">
        <v>68</v>
      </c>
      <c r="D280" s="5" t="s">
        <v>69</v>
      </c>
      <c r="E280" s="5" t="s">
        <v>21</v>
      </c>
      <c r="F280" s="5" t="s">
        <v>25</v>
      </c>
      <c r="G280" s="6"/>
      <c r="H280" s="6"/>
      <c r="I280" s="6"/>
      <c r="J280" s="6"/>
      <c r="K280" s="6"/>
      <c r="L280" s="4">
        <f ca="1">_xll.DBRW($B$1,$B$2,$B$7,$B$3,$B$4,$B$5,$F280,$B$6,L$10,$A280,$B280)</f>
        <v>41016960</v>
      </c>
      <c r="M280" s="4">
        <f ca="1">_xll.DBRW($B$1,$B$2,$B$7,$B$3,$B$4,$B$5,$F280,$B$6,M$10,$A280,$B280)</f>
        <v>39649728</v>
      </c>
      <c r="N280" s="4">
        <f ca="1">_xll.DBRW($B$1,$B$2,$B$7,$B$3,$B$4,$B$5,$F280,$B$6,N$10,$A280,$B280)</f>
        <v>42384192</v>
      </c>
      <c r="O280" s="4">
        <f ca="1">_xll.DBRW($B$1,$B$2,$B$7,$B$3,$B$4,$B$5,$F280,$B$6,O$10,$A280,$B280)</f>
        <v>42384192</v>
      </c>
      <c r="P280" s="4">
        <f ca="1">_xll.DBRW($B$1,$B$2,$B$7,$B$3,$B$4,$B$5,$F280,$B$6,P$10,$A280,$B280)</f>
        <v>41016960</v>
      </c>
      <c r="Q280" s="4">
        <f ca="1">_xll.DBRW($B$1,$B$2,$B$7,$B$3,$B$4,$B$5,$F280,$B$6,Q$10,$A280,$B280)</f>
        <v>42825694</v>
      </c>
      <c r="R280" s="4">
        <f ca="1">_xll.DBRW($B$1,$B$2,$B$7,$B$3,$B$4,$B$5,$F280,$B$6,R$10,$A280,$B280)</f>
        <v>42213288</v>
      </c>
      <c r="S280" s="4">
        <f ca="1">_xll.DBRW($B$1,$B$2,$B$7,$B$3,$B$4,$B$5,$F280,$B$6,S$10,$A280,$B280)</f>
        <v>43886723</v>
      </c>
      <c r="T280" s="4">
        <f ca="1">_xll.DBRW($B$1,$B$2,$B$7,$B$3,$B$4,$B$5,$F280,$B$6,T$10,$A280,$B280)</f>
        <v>40710757</v>
      </c>
      <c r="U280" s="4">
        <f ca="1">_xll.DBRW($B$1,$B$2,$B$7,$B$3,$B$4,$B$5,$F280,$B$6,U$10,$A280,$B280)</f>
        <v>36772844</v>
      </c>
      <c r="V280" s="4">
        <f ca="1">_xll.DBRW($B$1,$B$2,$B$7,$B$3,$B$4,$B$5,$F280,$B$6,V$10,$A280,$B280)</f>
        <v>40817572</v>
      </c>
      <c r="W280" s="4">
        <f ca="1">_xll.DBRW($B$1,$B$2,$B$7,$B$3,$B$4,$B$5,$F280,$B$6,W$10,$A280,$B280)</f>
        <v>41016960</v>
      </c>
      <c r="X280" s="4">
        <f ca="1">_xll.DBRW($B$1,$B$2,$B$7,$B$3,$B$4,$B$5,$F280,$B$6,X$10,$A280,$B280)</f>
        <v>42384192</v>
      </c>
      <c r="Y280" s="4">
        <f ca="1">_xll.DBRW($B$1,$B$2,$B$7,$B$3,$B$4,$B$5,$F280,$B$6,Y$10,$A280,$B280)</f>
        <v>41016960</v>
      </c>
      <c r="Z280" s="4">
        <f ca="1">_xll.DBRW($B$1,$B$2,$B$7,$B$3,$B$4,$B$5,$F280,$B$6,Z$10,$A280,$B280)</f>
        <v>42384192</v>
      </c>
      <c r="AA280" s="4">
        <f ca="1">_xll.DBRW($B$1,$B$2,$B$7,$B$3,$B$4,$B$5,$F280,$B$6,AA$10,$A280,$B280)</f>
        <v>42384192</v>
      </c>
      <c r="AB280" s="4">
        <f ca="1">_xll.DBRW($B$1,$B$2,$B$7,$B$3,$B$4,$B$5,$F280,$B$6,AB$10,$A280,$B280)</f>
        <v>41016960</v>
      </c>
      <c r="AC280" s="4">
        <f ca="1">_xll.DBRW($B$1,$B$2,$B$7,$B$3,$B$4,$B$5,$F280,$B$6,AC$10,$A280,$B280)</f>
        <v>40753483</v>
      </c>
      <c r="AD280" s="4">
        <f ca="1">_xll.DBRW($B$1,$B$2,$B$7,$B$3,$B$4,$B$5,$F280,$B$6,AD$10,$A280,$B280)</f>
        <v>39393372</v>
      </c>
      <c r="AE280" s="4">
        <f ca="1">_xll.DBRW($B$1,$B$2,$B$7,$B$3,$B$4,$B$5,$F280,$B$6,AE$10,$A280,$B280)</f>
        <v>40724999</v>
      </c>
    </row>
    <row r="281" spans="1:31">
      <c r="A281" s="1" t="s">
        <v>152</v>
      </c>
      <c r="B281" s="5" t="s">
        <v>201</v>
      </c>
      <c r="C281" s="5" t="s">
        <v>202</v>
      </c>
      <c r="D281" s="5" t="s">
        <v>28</v>
      </c>
      <c r="E281" s="5" t="s">
        <v>38</v>
      </c>
      <c r="F281" s="5" t="s">
        <v>25</v>
      </c>
      <c r="G281" s="6"/>
      <c r="H281" s="6"/>
      <c r="I281" s="6"/>
      <c r="J281" s="6"/>
      <c r="K281" s="6"/>
      <c r="L281" s="4">
        <f ca="1">_xll.DBRW($B$1,$B$2,$B$7,$B$3,$B$4,$B$5,$F281,$B$6,L$10,$A281,$B281)</f>
        <v>30831360</v>
      </c>
      <c r="M281" s="4">
        <f ca="1">_xll.DBRW($B$1,$B$2,$B$7,$B$3,$B$4,$B$5,$F281,$B$6,M$10,$A281,$B281)</f>
        <v>29836800</v>
      </c>
      <c r="N281" s="4">
        <f ca="1">_xll.DBRW($B$1,$B$2,$B$7,$B$3,$B$4,$B$5,$F281,$B$6,N$10,$A281,$B281)</f>
        <v>30831360</v>
      </c>
      <c r="O281" s="4">
        <f ca="1">_xll.DBRW($B$1,$B$2,$B$7,$B$3,$B$4,$B$5,$F281,$B$6,O$10,$A281,$B281)</f>
        <v>30831360</v>
      </c>
      <c r="P281" s="4">
        <f ca="1">_xll.DBRW($B$1,$B$2,$B$7,$B$3,$B$4,$B$5,$F281,$B$6,P$10,$A281,$B281)</f>
        <v>29836800</v>
      </c>
      <c r="Q281" s="4">
        <f ca="1">_xll.DBRW($B$1,$B$2,$B$7,$B$3,$B$4,$B$5,$F281,$B$6,Q$10,$A281,$B281)</f>
        <v>27847680</v>
      </c>
      <c r="R281" s="4">
        <f ca="1">_xll.DBRW($B$1,$B$2,$B$7,$B$3,$B$4,$B$5,$F281,$B$6,R$10,$A281,$B281)</f>
        <v>20885760</v>
      </c>
      <c r="S281" s="4">
        <f ca="1">_xll.DBRW($B$1,$B$2,$B$7,$B$3,$B$4,$B$5,$F281,$B$6,S$10,$A281,$B281)</f>
        <v>22874880</v>
      </c>
      <c r="T281" s="4">
        <f ca="1">_xll.DBRW($B$1,$B$2,$B$7,$B$3,$B$4,$B$5,$F281,$B$6,T$10,$A281,$B281)</f>
        <v>21880320</v>
      </c>
      <c r="U281" s="4">
        <f ca="1">_xll.DBRW($B$1,$B$2,$B$7,$B$3,$B$4,$B$5,$F281,$B$6,U$10,$A281,$B281)</f>
        <v>19891200</v>
      </c>
      <c r="V281" s="4">
        <f ca="1">_xll.DBRW($B$1,$B$2,$B$7,$B$3,$B$4,$B$5,$F281,$B$6,V$10,$A281,$B281)</f>
        <v>22632960</v>
      </c>
      <c r="W281" s="4">
        <f ca="1">_xll.DBRW($B$1,$B$2,$B$7,$B$3,$B$4,$B$5,$F281,$B$6,W$10,$A281,$B281)</f>
        <v>42631680</v>
      </c>
      <c r="X281" s="4">
        <f ca="1">_xll.DBRW($B$1,$B$2,$B$7,$B$3,$B$4,$B$5,$F281,$B$6,X$10,$A281,$B281)</f>
        <v>44378880</v>
      </c>
      <c r="Y281" s="4">
        <f ca="1">_xll.DBRW($B$1,$B$2,$B$7,$B$3,$B$4,$B$5,$F281,$B$6,Y$10,$A281,$B281)</f>
        <v>42631680</v>
      </c>
      <c r="Z281" s="4">
        <f ca="1">_xll.DBRW($B$1,$B$2,$B$7,$B$3,$B$4,$B$5,$F281,$B$6,Z$10,$A281,$B281)</f>
        <v>44378880</v>
      </c>
      <c r="AA281" s="4">
        <f ca="1">_xll.DBRW($B$1,$B$2,$B$7,$B$3,$B$4,$B$5,$F281,$B$6,AA$10,$A281,$B281)</f>
        <v>43626240</v>
      </c>
      <c r="AB281" s="4">
        <f ca="1">_xll.DBRW($B$1,$B$2,$B$7,$B$3,$B$4,$B$5,$F281,$B$6,AB$10,$A281,$B281)</f>
        <v>43384320</v>
      </c>
      <c r="AC281" s="4">
        <f ca="1">_xll.DBRW($B$1,$B$2,$B$7,$B$3,$B$4,$B$5,$F281,$B$6,AC$10,$A281,$B281)</f>
        <v>40373760</v>
      </c>
      <c r="AD281" s="4">
        <f ca="1">_xll.DBRW($B$1,$B$2,$B$7,$B$3,$B$4,$B$5,$F281,$B$6,AD$10,$A281,$B281)</f>
        <v>20885760</v>
      </c>
      <c r="AE281" s="4">
        <f ca="1">_xll.DBRW($B$1,$B$2,$B$7,$B$3,$B$4,$B$5,$F281,$B$6,AE$10,$A281,$B281)</f>
        <v>22874880</v>
      </c>
    </row>
    <row r="282" spans="1:31">
      <c r="A282" s="1" t="s">
        <v>152</v>
      </c>
      <c r="B282" s="5" t="s">
        <v>45</v>
      </c>
      <c r="C282" s="5" t="s">
        <v>46</v>
      </c>
      <c r="D282" s="5" t="s">
        <v>38</v>
      </c>
      <c r="E282" s="5" t="s">
        <v>28</v>
      </c>
      <c r="F282" s="5" t="s">
        <v>25</v>
      </c>
      <c r="G282" s="6"/>
      <c r="H282" s="6"/>
      <c r="I282" s="6"/>
      <c r="J282" s="6"/>
      <c r="K282" s="6"/>
      <c r="L282" s="4">
        <f ca="1">_xll.DBRW($B$1,$B$2,$B$7,$B$3,$B$4,$B$5,$F282,$B$6,L$10,$A282,$B282)</f>
        <v>30831360</v>
      </c>
      <c r="M282" s="4">
        <f ca="1">_xll.DBRW($B$1,$B$2,$B$7,$B$3,$B$4,$B$5,$F282,$B$6,M$10,$A282,$B282)</f>
        <v>29836800</v>
      </c>
      <c r="N282" s="4">
        <f ca="1">_xll.DBRW($B$1,$B$2,$B$7,$B$3,$B$4,$B$5,$F282,$B$6,N$10,$A282,$B282)</f>
        <v>30831360</v>
      </c>
      <c r="O282" s="4">
        <f ca="1">_xll.DBRW($B$1,$B$2,$B$7,$B$3,$B$4,$B$5,$F282,$B$6,O$10,$A282,$B282)</f>
        <v>30831360</v>
      </c>
      <c r="P282" s="4">
        <f ca="1">_xll.DBRW($B$1,$B$2,$B$7,$B$3,$B$4,$B$5,$F282,$B$6,P$10,$A282,$B282)</f>
        <v>29836800</v>
      </c>
      <c r="Q282" s="4">
        <f ca="1">_xll.DBRW($B$1,$B$2,$B$7,$B$3,$B$4,$B$5,$F282,$B$6,Q$10,$A282,$B282)</f>
        <v>27847680</v>
      </c>
      <c r="R282" s="4">
        <f ca="1">_xll.DBRW($B$1,$B$2,$B$7,$B$3,$B$4,$B$5,$F282,$B$6,R$10,$A282,$B282)</f>
        <v>20885760</v>
      </c>
      <c r="S282" s="4">
        <f ca="1">_xll.DBRW($B$1,$B$2,$B$7,$B$3,$B$4,$B$5,$F282,$B$6,S$10,$A282,$B282)</f>
        <v>22874880</v>
      </c>
      <c r="T282" s="4">
        <f ca="1">_xll.DBRW($B$1,$B$2,$B$7,$B$3,$B$4,$B$5,$F282,$B$6,T$10,$A282,$B282)</f>
        <v>21880320</v>
      </c>
      <c r="U282" s="4">
        <f ca="1">_xll.DBRW($B$1,$B$2,$B$7,$B$3,$B$4,$B$5,$F282,$B$6,U$10,$A282,$B282)</f>
        <v>19891200</v>
      </c>
      <c r="V282" s="4">
        <f ca="1">_xll.DBRW($B$1,$B$2,$B$7,$B$3,$B$4,$B$5,$F282,$B$6,V$10,$A282,$B282)</f>
        <v>22632960</v>
      </c>
      <c r="W282" s="4">
        <f ca="1">_xll.DBRW($B$1,$B$2,$B$7,$B$3,$B$4,$B$5,$F282,$B$6,W$10,$A282,$B282)</f>
        <v>42631680</v>
      </c>
      <c r="X282" s="4">
        <f ca="1">_xll.DBRW($B$1,$B$2,$B$7,$B$3,$B$4,$B$5,$F282,$B$6,X$10,$A282,$B282)</f>
        <v>44378880</v>
      </c>
      <c r="Y282" s="4">
        <f ca="1">_xll.DBRW($B$1,$B$2,$B$7,$B$3,$B$4,$B$5,$F282,$B$6,Y$10,$A282,$B282)</f>
        <v>42631680</v>
      </c>
      <c r="Z282" s="4">
        <f ca="1">_xll.DBRW($B$1,$B$2,$B$7,$B$3,$B$4,$B$5,$F282,$B$6,Z$10,$A282,$B282)</f>
        <v>44378880</v>
      </c>
      <c r="AA282" s="4">
        <f ca="1">_xll.DBRW($B$1,$B$2,$B$7,$B$3,$B$4,$B$5,$F282,$B$6,AA$10,$A282,$B282)</f>
        <v>43626240</v>
      </c>
      <c r="AB282" s="4">
        <f ca="1">_xll.DBRW($B$1,$B$2,$B$7,$B$3,$B$4,$B$5,$F282,$B$6,AB$10,$A282,$B282)</f>
        <v>43384320</v>
      </c>
      <c r="AC282" s="4">
        <f ca="1">_xll.DBRW($B$1,$B$2,$B$7,$B$3,$B$4,$B$5,$F282,$B$6,AC$10,$A282,$B282)</f>
        <v>39379200</v>
      </c>
      <c r="AD282" s="4">
        <f ca="1">_xll.DBRW($B$1,$B$2,$B$7,$B$3,$B$4,$B$5,$F282,$B$6,AD$10,$A282,$B282)</f>
        <v>20885760</v>
      </c>
      <c r="AE282" s="4">
        <f ca="1">_xll.DBRW($B$1,$B$2,$B$7,$B$3,$B$4,$B$5,$F282,$B$6,AE$10,$A282,$B282)</f>
        <v>22874880</v>
      </c>
    </row>
    <row r="283" spans="1:31">
      <c r="A283" s="1" t="s">
        <v>152</v>
      </c>
      <c r="B283" s="5" t="s">
        <v>203</v>
      </c>
      <c r="C283" s="5" t="s">
        <v>204</v>
      </c>
      <c r="D283" s="5" t="s">
        <v>21</v>
      </c>
      <c r="E283" s="5" t="s">
        <v>80</v>
      </c>
      <c r="F283" s="5" t="s">
        <v>25</v>
      </c>
      <c r="G283" s="6"/>
      <c r="H283" s="6"/>
      <c r="I283" s="6"/>
      <c r="J283" s="6"/>
      <c r="K283" s="6"/>
      <c r="L283" s="4">
        <f ca="1">_xll.DBRW($B$1,$B$2,$B$7,$B$3,$B$4,$B$5,$F283,$B$6,L$10,$A283,$B283)</f>
        <v>40692834</v>
      </c>
      <c r="M283" s="4">
        <f ca="1">_xll.DBRW($B$1,$B$2,$B$7,$B$3,$B$4,$B$5,$F283,$B$6,M$10,$A283,$B283)</f>
        <v>39393900</v>
      </c>
      <c r="N283" s="4">
        <f ca="1">_xll.DBRW($B$1,$B$2,$B$7,$B$3,$B$4,$B$5,$F283,$B$6,N$10,$A283,$B283)</f>
        <v>40707030</v>
      </c>
      <c r="O283" s="4">
        <f ca="1">_xll.DBRW($B$1,$B$2,$B$7,$B$3,$B$4,$B$5,$F283,$B$6,O$10,$A283,$B283)</f>
        <v>40707030</v>
      </c>
      <c r="P283" s="4">
        <f ca="1">_xll.DBRW($B$1,$B$2,$B$7,$B$3,$B$4,$B$5,$F283,$B$6,P$10,$A283,$B283)</f>
        <v>39251940</v>
      </c>
      <c r="Q283" s="4">
        <f ca="1">_xll.DBRW($B$1,$B$2,$B$7,$B$3,$B$4,$B$5,$F283,$B$6,Q$10,$A283,$B283)</f>
        <v>40550874</v>
      </c>
      <c r="R283" s="4">
        <f ca="1">_xll.DBRW($B$1,$B$2,$B$7,$B$3,$B$4,$B$5,$F283,$B$6,R$10,$A283,$B283)</f>
        <v>39180960</v>
      </c>
      <c r="S283" s="4">
        <f ca="1">_xll.DBRW($B$1,$B$2,$B$7,$B$3,$B$4,$B$5,$F283,$B$6,S$10,$A283,$B283)</f>
        <v>40486992</v>
      </c>
      <c r="T283" s="4">
        <f ca="1">_xll.DBRW($B$1,$B$2,$B$7,$B$3,$B$4,$B$5,$F283,$B$6,T$10,$A283,$B283)</f>
        <v>40707030</v>
      </c>
      <c r="U283" s="4">
        <f ca="1">_xll.DBRW($B$1,$B$2,$B$7,$B$3,$B$4,$B$5,$F283,$B$6,U$10,$A283,$B283)</f>
        <v>36767640</v>
      </c>
      <c r="V283" s="4">
        <f ca="1">_xll.DBRW($B$1,$B$2,$B$7,$B$3,$B$4,$B$5,$F283,$B$6,V$10,$A283,$B283)</f>
        <v>40707030</v>
      </c>
      <c r="W283" s="4">
        <f ca="1">_xll.DBRW($B$1,$B$2,$B$7,$B$3,$B$4,$B$5,$F283,$B$6,W$10,$A283,$B283)</f>
        <v>39273234</v>
      </c>
      <c r="X283" s="4">
        <f ca="1">_xll.DBRW($B$1,$B$2,$B$7,$B$3,$B$4,$B$5,$F283,$B$6,X$10,$A283,$B283)</f>
        <v>40572168</v>
      </c>
      <c r="Y283" s="4">
        <f ca="1">_xll.DBRW($B$1,$B$2,$B$7,$B$3,$B$4,$B$5,$F283,$B$6,Y$10,$A283,$B283)</f>
        <v>39280332</v>
      </c>
      <c r="Z283" s="4">
        <f ca="1">_xll.DBRW($B$1,$B$2,$B$7,$B$3,$B$4,$B$5,$F283,$B$6,Z$10,$A283,$B283)</f>
        <v>40579266</v>
      </c>
      <c r="AA283" s="4">
        <f ca="1">_xll.DBRW($B$1,$B$2,$B$7,$B$3,$B$4,$B$5,$F283,$B$6,AA$10,$A283,$B283)</f>
        <v>40579266</v>
      </c>
      <c r="AB283" s="4">
        <f ca="1">_xll.DBRW($B$1,$B$2,$B$7,$B$3,$B$4,$B$5,$F283,$B$6,AB$10,$A283,$B283)</f>
        <v>39280332</v>
      </c>
      <c r="AC283" s="4">
        <f ca="1">_xll.DBRW($B$1,$B$2,$B$7,$B$3,$B$4,$B$5,$F283,$B$6,AC$10,$A283,$B283)</f>
        <v>40593462</v>
      </c>
      <c r="AD283" s="4">
        <f ca="1">_xll.DBRW($B$1,$B$2,$B$7,$B$3,$B$4,$B$5,$F283,$B$6,AD$10,$A283,$B283)</f>
        <v>39393900</v>
      </c>
      <c r="AE283" s="4">
        <f ca="1">_xll.DBRW($B$1,$B$2,$B$7,$B$3,$B$4,$B$5,$F283,$B$6,AE$10,$A283,$B283)</f>
        <v>40707030</v>
      </c>
    </row>
    <row r="284" spans="1:31">
      <c r="A284" s="1" t="s">
        <v>152</v>
      </c>
      <c r="B284" s="5" t="s">
        <v>78</v>
      </c>
      <c r="C284" s="5" t="s">
        <v>79</v>
      </c>
      <c r="D284" s="5" t="s">
        <v>80</v>
      </c>
      <c r="E284" s="5" t="s">
        <v>21</v>
      </c>
      <c r="F284" s="5" t="s">
        <v>25</v>
      </c>
      <c r="G284" s="6"/>
      <c r="H284" s="6"/>
      <c r="I284" s="6"/>
      <c r="J284" s="6"/>
      <c r="K284" s="6"/>
      <c r="L284" s="4">
        <f ca="1">_xll.DBRW($B$1,$B$2,$B$7,$B$3,$B$4,$B$5,$F284,$B$6,L$10,$A284,$B284)</f>
        <v>40692834</v>
      </c>
      <c r="M284" s="4">
        <f ca="1">_xll.DBRW($B$1,$B$2,$B$7,$B$3,$B$4,$B$5,$F284,$B$6,M$10,$A284,$B284)</f>
        <v>39393900</v>
      </c>
      <c r="N284" s="4">
        <f ca="1">_xll.DBRW($B$1,$B$2,$B$7,$B$3,$B$4,$B$5,$F284,$B$6,N$10,$A284,$B284)</f>
        <v>40707030</v>
      </c>
      <c r="O284" s="4">
        <f ca="1">_xll.DBRW($B$1,$B$2,$B$7,$B$3,$B$4,$B$5,$F284,$B$6,O$10,$A284,$B284)</f>
        <v>40707030</v>
      </c>
      <c r="P284" s="4">
        <f ca="1">_xll.DBRW($B$1,$B$2,$B$7,$B$3,$B$4,$B$5,$F284,$B$6,P$10,$A284,$B284)</f>
        <v>39251940</v>
      </c>
      <c r="Q284" s="4">
        <f ca="1">_xll.DBRW($B$1,$B$2,$B$7,$B$3,$B$4,$B$5,$F284,$B$6,Q$10,$A284,$B284)</f>
        <v>40550874</v>
      </c>
      <c r="R284" s="4">
        <f ca="1">_xll.DBRW($B$1,$B$2,$B$7,$B$3,$B$4,$B$5,$F284,$B$6,R$10,$A284,$B284)</f>
        <v>39180960</v>
      </c>
      <c r="S284" s="4">
        <f ca="1">_xll.DBRW($B$1,$B$2,$B$7,$B$3,$B$4,$B$5,$F284,$B$6,S$10,$A284,$B284)</f>
        <v>40486992</v>
      </c>
      <c r="T284" s="4">
        <f ca="1">_xll.DBRW($B$1,$B$2,$B$7,$B$3,$B$4,$B$5,$F284,$B$6,T$10,$A284,$B284)</f>
        <v>40707030</v>
      </c>
      <c r="U284" s="4">
        <f ca="1">_xll.DBRW($B$1,$B$2,$B$7,$B$3,$B$4,$B$5,$F284,$B$6,U$10,$A284,$B284)</f>
        <v>36767640</v>
      </c>
      <c r="V284" s="4">
        <f ca="1">_xll.DBRW($B$1,$B$2,$B$7,$B$3,$B$4,$B$5,$F284,$B$6,V$10,$A284,$B284)</f>
        <v>40707030</v>
      </c>
      <c r="W284" s="4">
        <f ca="1">_xll.DBRW($B$1,$B$2,$B$7,$B$3,$B$4,$B$5,$F284,$B$6,W$10,$A284,$B284)</f>
        <v>39273234</v>
      </c>
      <c r="X284" s="4">
        <f ca="1">_xll.DBRW($B$1,$B$2,$B$7,$B$3,$B$4,$B$5,$F284,$B$6,X$10,$A284,$B284)</f>
        <v>40572168</v>
      </c>
      <c r="Y284" s="4">
        <f ca="1">_xll.DBRW($B$1,$B$2,$B$7,$B$3,$B$4,$B$5,$F284,$B$6,Y$10,$A284,$B284)</f>
        <v>39280332</v>
      </c>
      <c r="Z284" s="4">
        <f ca="1">_xll.DBRW($B$1,$B$2,$B$7,$B$3,$B$4,$B$5,$F284,$B$6,Z$10,$A284,$B284)</f>
        <v>40579266</v>
      </c>
      <c r="AA284" s="4">
        <f ca="1">_xll.DBRW($B$1,$B$2,$B$7,$B$3,$B$4,$B$5,$F284,$B$6,AA$10,$A284,$B284)</f>
        <v>40579266</v>
      </c>
      <c r="AB284" s="4">
        <f ca="1">_xll.DBRW($B$1,$B$2,$B$7,$B$3,$B$4,$B$5,$F284,$B$6,AB$10,$A284,$B284)</f>
        <v>39280332</v>
      </c>
      <c r="AC284" s="4">
        <f ca="1">_xll.DBRW($B$1,$B$2,$B$7,$B$3,$B$4,$B$5,$F284,$B$6,AC$10,$A284,$B284)</f>
        <v>39287430</v>
      </c>
      <c r="AD284" s="4">
        <f ca="1">_xll.DBRW($B$1,$B$2,$B$7,$B$3,$B$4,$B$5,$F284,$B$6,AD$10,$A284,$B284)</f>
        <v>39393900</v>
      </c>
      <c r="AE284" s="4">
        <f ca="1">_xll.DBRW($B$1,$B$2,$B$7,$B$3,$B$4,$B$5,$F284,$B$6,AE$10,$A284,$B284)</f>
        <v>39393900</v>
      </c>
    </row>
    <row r="285" spans="1:31">
      <c r="A285" s="1" t="s">
        <v>152</v>
      </c>
      <c r="B285" s="5" t="s">
        <v>205</v>
      </c>
      <c r="C285" s="5" t="s">
        <v>206</v>
      </c>
      <c r="D285" s="5" t="s">
        <v>21</v>
      </c>
      <c r="E285" s="5" t="s">
        <v>181</v>
      </c>
      <c r="F285" s="5" t="s">
        <v>25</v>
      </c>
      <c r="G285" s="6"/>
      <c r="H285" s="6"/>
      <c r="I285" s="6"/>
      <c r="J285" s="6"/>
      <c r="K285" s="6"/>
      <c r="L285" s="4">
        <f ca="1">_xll.DBRW($B$1,$B$2,$B$7,$B$3,$B$4,$B$5,$F285,$B$6,L$10,$A285,$B285)</f>
        <v>9992960</v>
      </c>
      <c r="M285" s="4">
        <f ca="1">_xll.DBRW($B$1,$B$2,$B$7,$B$3,$B$4,$B$5,$F285,$B$6,M$10,$A285,$B285)</f>
        <v>4996480</v>
      </c>
      <c r="N285" s="4">
        <f ca="1">_xll.DBRW($B$1,$B$2,$B$7,$B$3,$B$4,$B$5,$F285,$B$6,N$10,$A285,$B285)</f>
        <v>4996480</v>
      </c>
      <c r="O285" s="4">
        <f ca="1">_xll.DBRW($B$1,$B$2,$B$7,$B$3,$B$4,$B$5,$F285,$B$6,O$10,$A285,$B285)</f>
        <v>6245600</v>
      </c>
      <c r="P285" s="4">
        <f ca="1">_xll.DBRW($B$1,$B$2,$B$7,$B$3,$B$4,$B$5,$F285,$B$6,P$10,$A285,$B285)</f>
        <v>4996480</v>
      </c>
      <c r="Q285" s="4">
        <f ca="1">_xll.DBRW($B$1,$B$2,$B$7,$B$3,$B$4,$B$5,$F285,$B$6,Q$10,$A285,$B285)</f>
        <v>12254880</v>
      </c>
      <c r="R285" s="4">
        <f ca="1">_xll.DBRW($B$1,$B$2,$B$7,$B$3,$B$4,$B$5,$F285,$B$6,R$10,$A285,$B285)</f>
        <v>38783488</v>
      </c>
      <c r="S285" s="4">
        <f ca="1">_xll.DBRW($B$1,$B$2,$B$7,$B$3,$B$4,$B$5,$F285,$B$6,S$10,$A285,$B285)</f>
        <v>47810912</v>
      </c>
      <c r="T285" s="4">
        <f ca="1">_xll.DBRW($B$1,$B$2,$B$7,$B$3,$B$4,$B$5,$F285,$B$6,T$10,$A285,$B285)</f>
        <v>43509888</v>
      </c>
      <c r="U285" s="4">
        <f ca="1">_xll.DBRW($B$1,$B$2,$B$7,$B$3,$B$4,$B$5,$F285,$B$6,U$10,$A285,$B285)</f>
        <v>38540416</v>
      </c>
      <c r="V285" s="4">
        <f ca="1">_xll.DBRW($B$1,$B$2,$B$7,$B$3,$B$4,$B$5,$F285,$B$6,V$10,$A285,$B285)</f>
        <v>27372608</v>
      </c>
      <c r="W285" s="4">
        <f ca="1">_xll.DBRW($B$1,$B$2,$B$7,$B$3,$B$4,$B$5,$F285,$B$6,W$10,$A285,$B285)</f>
        <v>9992960</v>
      </c>
      <c r="X285" s="4">
        <f ca="1">_xll.DBRW($B$1,$B$2,$B$7,$B$3,$B$4,$B$5,$F285,$B$6,X$10,$A285,$B285)</f>
        <v>11242080</v>
      </c>
      <c r="Y285" s="4">
        <f ca="1">_xll.DBRW($B$1,$B$2,$B$7,$B$3,$B$4,$B$5,$F285,$B$6,Y$10,$A285,$B285)</f>
        <v>11242080</v>
      </c>
      <c r="Z285" s="4">
        <f ca="1">_xll.DBRW($B$1,$B$2,$B$7,$B$3,$B$4,$B$5,$F285,$B$6,Z$10,$A285,$B285)</f>
        <v>9992960</v>
      </c>
      <c r="AA285" s="4">
        <f ca="1">_xll.DBRW($B$1,$B$2,$B$7,$B$3,$B$4,$B$5,$F285,$B$6,AA$10,$A285,$B285)</f>
        <v>11242080</v>
      </c>
      <c r="AB285" s="4">
        <f ca="1">_xll.DBRW($B$1,$B$2,$B$7,$B$3,$B$4,$B$5,$F285,$B$6,AB$10,$A285,$B285)</f>
        <v>11242080</v>
      </c>
      <c r="AC285" s="4">
        <f ca="1">_xll.DBRW($B$1,$B$2,$B$7,$B$3,$B$4,$B$5,$F285,$B$6,AC$10,$A285,$B285)</f>
        <v>44934560</v>
      </c>
      <c r="AD285" s="4">
        <f ca="1">_xll.DBRW($B$1,$B$2,$B$7,$B$3,$B$4,$B$5,$F285,$B$6,AD$10,$A285,$B285)</f>
        <v>42443072</v>
      </c>
      <c r="AE285" s="4">
        <f ca="1">_xll.DBRW($B$1,$B$2,$B$7,$B$3,$B$4,$B$5,$F285,$B$6,AE$10,$A285,$B285)</f>
        <v>43692192</v>
      </c>
    </row>
    <row r="286" spans="1:31">
      <c r="A286" s="1" t="s">
        <v>152</v>
      </c>
      <c r="B286" s="5" t="s">
        <v>207</v>
      </c>
      <c r="C286" s="5" t="s">
        <v>208</v>
      </c>
      <c r="D286" s="5" t="s">
        <v>181</v>
      </c>
      <c r="E286" s="5" t="s">
        <v>21</v>
      </c>
      <c r="F286" s="5" t="s">
        <v>25</v>
      </c>
      <c r="G286" s="6"/>
      <c r="H286" s="6"/>
      <c r="I286" s="6"/>
      <c r="J286" s="6"/>
      <c r="K286" s="6"/>
      <c r="L286" s="4">
        <f ca="1">_xll.DBRW($B$1,$B$2,$B$7,$B$3,$B$4,$B$5,$F286,$B$6,L$10,$A286,$B286)</f>
        <v>9992960</v>
      </c>
      <c r="M286" s="4">
        <f ca="1">_xll.DBRW($B$1,$B$2,$B$7,$B$3,$B$4,$B$5,$F286,$B$6,M$10,$A286,$B286)</f>
        <v>4996480</v>
      </c>
      <c r="N286" s="4">
        <f ca="1">_xll.DBRW($B$1,$B$2,$B$7,$B$3,$B$4,$B$5,$F286,$B$6,N$10,$A286,$B286)</f>
        <v>4996480</v>
      </c>
      <c r="O286" s="4">
        <f ca="1">_xll.DBRW($B$1,$B$2,$B$7,$B$3,$B$4,$B$5,$F286,$B$6,O$10,$A286,$B286)</f>
        <v>6245600</v>
      </c>
      <c r="P286" s="4">
        <f ca="1">_xll.DBRW($B$1,$B$2,$B$7,$B$3,$B$4,$B$5,$F286,$B$6,P$10,$A286,$B286)</f>
        <v>4996480</v>
      </c>
      <c r="Q286" s="4">
        <f ca="1">_xll.DBRW($B$1,$B$2,$B$7,$B$3,$B$4,$B$5,$F286,$B$6,Q$10,$A286,$B286)</f>
        <v>12254880</v>
      </c>
      <c r="R286" s="4">
        <f ca="1">_xll.DBRW($B$1,$B$2,$B$7,$B$3,$B$4,$B$5,$F286,$B$6,R$10,$A286,$B286)</f>
        <v>38783488</v>
      </c>
      <c r="S286" s="4">
        <f ca="1">_xll.DBRW($B$1,$B$2,$B$7,$B$3,$B$4,$B$5,$F286,$B$6,S$10,$A286,$B286)</f>
        <v>47810912</v>
      </c>
      <c r="T286" s="4">
        <f ca="1">_xll.DBRW($B$1,$B$2,$B$7,$B$3,$B$4,$B$5,$F286,$B$6,T$10,$A286,$B286)</f>
        <v>43509888</v>
      </c>
      <c r="U286" s="4">
        <f ca="1">_xll.DBRW($B$1,$B$2,$B$7,$B$3,$B$4,$B$5,$F286,$B$6,U$10,$A286,$B286)</f>
        <v>38540416</v>
      </c>
      <c r="V286" s="4">
        <f ca="1">_xll.DBRW($B$1,$B$2,$B$7,$B$3,$B$4,$B$5,$F286,$B$6,V$10,$A286,$B286)</f>
        <v>27372608</v>
      </c>
      <c r="W286" s="4">
        <f ca="1">_xll.DBRW($B$1,$B$2,$B$7,$B$3,$B$4,$B$5,$F286,$B$6,W$10,$A286,$B286)</f>
        <v>9992960</v>
      </c>
      <c r="X286" s="4">
        <f ca="1">_xll.DBRW($B$1,$B$2,$B$7,$B$3,$B$4,$B$5,$F286,$B$6,X$10,$A286,$B286)</f>
        <v>11242080</v>
      </c>
      <c r="Y286" s="4">
        <f ca="1">_xll.DBRW($B$1,$B$2,$B$7,$B$3,$B$4,$B$5,$F286,$B$6,Y$10,$A286,$B286)</f>
        <v>11242080</v>
      </c>
      <c r="Z286" s="4">
        <f ca="1">_xll.DBRW($B$1,$B$2,$B$7,$B$3,$B$4,$B$5,$F286,$B$6,Z$10,$A286,$B286)</f>
        <v>9992960</v>
      </c>
      <c r="AA286" s="4">
        <f ca="1">_xll.DBRW($B$1,$B$2,$B$7,$B$3,$B$4,$B$5,$F286,$B$6,AA$10,$A286,$B286)</f>
        <v>11242080</v>
      </c>
      <c r="AB286" s="4">
        <f ca="1">_xll.DBRW($B$1,$B$2,$B$7,$B$3,$B$4,$B$5,$F286,$B$6,AB$10,$A286,$B286)</f>
        <v>11242080</v>
      </c>
      <c r="AC286" s="4">
        <f ca="1">_xll.DBRW($B$1,$B$2,$B$7,$B$3,$B$4,$B$5,$F286,$B$6,AC$10,$A286,$B286)</f>
        <v>44934560</v>
      </c>
      <c r="AD286" s="4">
        <f ca="1">_xll.DBRW($B$1,$B$2,$B$7,$B$3,$B$4,$B$5,$F286,$B$6,AD$10,$A286,$B286)</f>
        <v>42443072</v>
      </c>
      <c r="AE286" s="4">
        <f ca="1">_xll.DBRW($B$1,$B$2,$B$7,$B$3,$B$4,$B$5,$F286,$B$6,AE$10,$A286,$B286)</f>
        <v>43692192</v>
      </c>
    </row>
    <row r="287" spans="1:31">
      <c r="A287" s="1" t="s">
        <v>152</v>
      </c>
      <c r="B287" s="5" t="s">
        <v>209</v>
      </c>
      <c r="C287" s="5" t="s">
        <v>210</v>
      </c>
      <c r="D287" s="5" t="s">
        <v>21</v>
      </c>
      <c r="E287" s="5" t="s">
        <v>211</v>
      </c>
      <c r="F287" s="5" t="s">
        <v>25</v>
      </c>
      <c r="G287" s="6"/>
      <c r="H287" s="6"/>
      <c r="I287" s="6"/>
      <c r="J287" s="6"/>
      <c r="K287" s="6"/>
      <c r="L287" s="4">
        <f ca="1">_xll.DBRW($B$1,$B$2,$B$7,$B$3,$B$4,$B$5,$F287,$B$6,L$10,$A287,$B287)</f>
        <v>9704360</v>
      </c>
      <c r="M287" s="4">
        <f ca="1">_xll.DBRW($B$1,$B$2,$B$7,$B$3,$B$4,$B$5,$F287,$B$6,M$10,$A287,$B287)</f>
        <v>0</v>
      </c>
      <c r="N287" s="4">
        <f ca="1">_xll.DBRW($B$1,$B$2,$B$7,$B$3,$B$4,$B$5,$F287,$B$6,N$10,$A287,$B287)</f>
        <v>0</v>
      </c>
      <c r="O287" s="4">
        <f ca="1">_xll.DBRW($B$1,$B$2,$B$7,$B$3,$B$4,$B$5,$F287,$B$6,O$10,$A287,$B287)</f>
        <v>0</v>
      </c>
      <c r="P287" s="4">
        <f ca="1">_xll.DBRW($B$1,$B$2,$B$7,$B$3,$B$4,$B$5,$F287,$B$6,P$10,$A287,$B287)</f>
        <v>0</v>
      </c>
      <c r="Q287" s="4">
        <f ca="1">_xll.DBRW($B$1,$B$2,$B$7,$B$3,$B$4,$B$5,$F287,$B$6,Q$10,$A287,$B287)</f>
        <v>3639135</v>
      </c>
      <c r="R287" s="4">
        <f ca="1">_xll.DBRW($B$1,$B$2,$B$7,$B$3,$B$4,$B$5,$F287,$B$6,R$10,$A287,$B287)</f>
        <v>20621765</v>
      </c>
      <c r="S287" s="4">
        <f ca="1">_xll.DBRW($B$1,$B$2,$B$7,$B$3,$B$4,$B$5,$F287,$B$6,S$10,$A287,$B287)</f>
        <v>21834810</v>
      </c>
      <c r="T287" s="4">
        <f ca="1">_xll.DBRW($B$1,$B$2,$B$7,$B$3,$B$4,$B$5,$F287,$B$6,T$10,$A287,$B287)</f>
        <v>21834810</v>
      </c>
      <c r="U287" s="4">
        <f ca="1">_xll.DBRW($B$1,$B$2,$B$7,$B$3,$B$4,$B$5,$F287,$B$6,U$10,$A287,$B287)</f>
        <v>19408720</v>
      </c>
      <c r="V287" s="4">
        <f ca="1">_xll.DBRW($B$1,$B$2,$B$7,$B$3,$B$4,$B$5,$F287,$B$6,V$10,$A287,$B287)</f>
        <v>19408720</v>
      </c>
      <c r="W287" s="4">
        <f ca="1">_xll.DBRW($B$1,$B$2,$B$7,$B$3,$B$4,$B$5,$F287,$B$6,W$10,$A287,$B287)</f>
        <v>0</v>
      </c>
      <c r="X287" s="4">
        <f ca="1">_xll.DBRW($B$1,$B$2,$B$7,$B$3,$B$4,$B$5,$F287,$B$6,X$10,$A287,$B287)</f>
        <v>0</v>
      </c>
      <c r="Y287" s="4">
        <f ca="1">_xll.DBRW($B$1,$B$2,$B$7,$B$3,$B$4,$B$5,$F287,$B$6,Y$10,$A287,$B287)</f>
        <v>0</v>
      </c>
      <c r="Z287" s="4">
        <f ca="1">_xll.DBRW($B$1,$B$2,$B$7,$B$3,$B$4,$B$5,$F287,$B$6,Z$10,$A287,$B287)</f>
        <v>0</v>
      </c>
      <c r="AA287" s="4">
        <f ca="1">_xll.DBRW($B$1,$B$2,$B$7,$B$3,$B$4,$B$5,$F287,$B$6,AA$10,$A287,$B287)</f>
        <v>0</v>
      </c>
      <c r="AB287" s="4">
        <f ca="1">_xll.DBRW($B$1,$B$2,$B$7,$B$3,$B$4,$B$5,$F287,$B$6,AB$10,$A287,$B287)</f>
        <v>0</v>
      </c>
      <c r="AC287" s="4">
        <f ca="1">_xll.DBRW($B$1,$B$2,$B$7,$B$3,$B$4,$B$5,$F287,$B$6,AC$10,$A287,$B287)</f>
        <v>4852180</v>
      </c>
      <c r="AD287" s="4">
        <f ca="1">_xll.DBRW($B$1,$B$2,$B$7,$B$3,$B$4,$B$5,$F287,$B$6,AD$10,$A287,$B287)</f>
        <v>20621765</v>
      </c>
      <c r="AE287" s="4">
        <f ca="1">_xll.DBRW($B$1,$B$2,$B$7,$B$3,$B$4,$B$5,$F287,$B$6,AE$10,$A287,$B287)</f>
        <v>21834810</v>
      </c>
    </row>
    <row r="288" spans="1:31">
      <c r="A288" s="1" t="s">
        <v>152</v>
      </c>
      <c r="B288" s="5" t="s">
        <v>212</v>
      </c>
      <c r="C288" s="5" t="s">
        <v>213</v>
      </c>
      <c r="D288" s="5" t="s">
        <v>211</v>
      </c>
      <c r="E288" s="5" t="s">
        <v>21</v>
      </c>
      <c r="F288" s="5" t="s">
        <v>25</v>
      </c>
      <c r="G288" s="6"/>
      <c r="H288" s="6"/>
      <c r="I288" s="6"/>
      <c r="J288" s="6"/>
      <c r="K288" s="6"/>
      <c r="L288" s="4">
        <f ca="1">_xll.DBRW($B$1,$B$2,$B$7,$B$3,$B$4,$B$5,$F288,$B$6,L$10,$A288,$B288)</f>
        <v>9704360</v>
      </c>
      <c r="M288" s="4">
        <f ca="1">_xll.DBRW($B$1,$B$2,$B$7,$B$3,$B$4,$B$5,$F288,$B$6,M$10,$A288,$B288)</f>
        <v>0</v>
      </c>
      <c r="N288" s="4">
        <f ca="1">_xll.DBRW($B$1,$B$2,$B$7,$B$3,$B$4,$B$5,$F288,$B$6,N$10,$A288,$B288)</f>
        <v>0</v>
      </c>
      <c r="O288" s="4">
        <f ca="1">_xll.DBRW($B$1,$B$2,$B$7,$B$3,$B$4,$B$5,$F288,$B$6,O$10,$A288,$B288)</f>
        <v>0</v>
      </c>
      <c r="P288" s="4">
        <f ca="1">_xll.DBRW($B$1,$B$2,$B$7,$B$3,$B$4,$B$5,$F288,$B$6,P$10,$A288,$B288)</f>
        <v>0</v>
      </c>
      <c r="Q288" s="4">
        <f ca="1">_xll.DBRW($B$1,$B$2,$B$7,$B$3,$B$4,$B$5,$F288,$B$6,Q$10,$A288,$B288)</f>
        <v>3639135</v>
      </c>
      <c r="R288" s="4">
        <f ca="1">_xll.DBRW($B$1,$B$2,$B$7,$B$3,$B$4,$B$5,$F288,$B$6,R$10,$A288,$B288)</f>
        <v>20621765</v>
      </c>
      <c r="S288" s="4">
        <f ca="1">_xll.DBRW($B$1,$B$2,$B$7,$B$3,$B$4,$B$5,$F288,$B$6,S$10,$A288,$B288)</f>
        <v>21834810</v>
      </c>
      <c r="T288" s="4">
        <f ca="1">_xll.DBRW($B$1,$B$2,$B$7,$B$3,$B$4,$B$5,$F288,$B$6,T$10,$A288,$B288)</f>
        <v>21834810</v>
      </c>
      <c r="U288" s="4">
        <f ca="1">_xll.DBRW($B$1,$B$2,$B$7,$B$3,$B$4,$B$5,$F288,$B$6,U$10,$A288,$B288)</f>
        <v>19408720</v>
      </c>
      <c r="V288" s="4">
        <f ca="1">_xll.DBRW($B$1,$B$2,$B$7,$B$3,$B$4,$B$5,$F288,$B$6,V$10,$A288,$B288)</f>
        <v>19408720</v>
      </c>
      <c r="W288" s="4">
        <f ca="1">_xll.DBRW($B$1,$B$2,$B$7,$B$3,$B$4,$B$5,$F288,$B$6,W$10,$A288,$B288)</f>
        <v>0</v>
      </c>
      <c r="X288" s="4">
        <f ca="1">_xll.DBRW($B$1,$B$2,$B$7,$B$3,$B$4,$B$5,$F288,$B$6,X$10,$A288,$B288)</f>
        <v>0</v>
      </c>
      <c r="Y288" s="4">
        <f ca="1">_xll.DBRW($B$1,$B$2,$B$7,$B$3,$B$4,$B$5,$F288,$B$6,Y$10,$A288,$B288)</f>
        <v>0</v>
      </c>
      <c r="Z288" s="4">
        <f ca="1">_xll.DBRW($B$1,$B$2,$B$7,$B$3,$B$4,$B$5,$F288,$B$6,Z$10,$A288,$B288)</f>
        <v>0</v>
      </c>
      <c r="AA288" s="4">
        <f ca="1">_xll.DBRW($B$1,$B$2,$B$7,$B$3,$B$4,$B$5,$F288,$B$6,AA$10,$A288,$B288)</f>
        <v>0</v>
      </c>
      <c r="AB288" s="4">
        <f ca="1">_xll.DBRW($B$1,$B$2,$B$7,$B$3,$B$4,$B$5,$F288,$B$6,AB$10,$A288,$B288)</f>
        <v>0</v>
      </c>
      <c r="AC288" s="4">
        <f ca="1">_xll.DBRW($B$1,$B$2,$B$7,$B$3,$B$4,$B$5,$F288,$B$6,AC$10,$A288,$B288)</f>
        <v>4852180</v>
      </c>
      <c r="AD288" s="4">
        <f ca="1">_xll.DBRW($B$1,$B$2,$B$7,$B$3,$B$4,$B$5,$F288,$B$6,AD$10,$A288,$B288)</f>
        <v>20621765</v>
      </c>
      <c r="AE288" s="4">
        <f ca="1">_xll.DBRW($B$1,$B$2,$B$7,$B$3,$B$4,$B$5,$F288,$B$6,AE$10,$A288,$B288)</f>
        <v>21834810</v>
      </c>
    </row>
    <row r="289" spans="1:31">
      <c r="A289" s="1" t="s">
        <v>152</v>
      </c>
      <c r="B289" s="5" t="s">
        <v>214</v>
      </c>
      <c r="C289" s="5" t="s">
        <v>187</v>
      </c>
      <c r="D289" s="5" t="s">
        <v>21</v>
      </c>
      <c r="E289" s="5" t="s">
        <v>59</v>
      </c>
      <c r="F289" s="5" t="s">
        <v>25</v>
      </c>
      <c r="G289" s="6"/>
      <c r="H289" s="6"/>
      <c r="I289" s="6"/>
      <c r="J289" s="6"/>
      <c r="K289" s="6"/>
      <c r="L289" s="4">
        <f ca="1">_xll.DBRW($B$1,$B$2,$B$7,$B$3,$B$4,$B$5,$F289,$B$6,L$10,$A289,$B289)</f>
        <v>70313425</v>
      </c>
      <c r="M289" s="4">
        <f ca="1">_xll.DBRW($B$1,$B$2,$B$7,$B$3,$B$4,$B$5,$F289,$B$6,M$10,$A289,$B289)</f>
        <v>68045250</v>
      </c>
      <c r="N289" s="4">
        <f ca="1">_xll.DBRW($B$1,$B$2,$B$7,$B$3,$B$4,$B$5,$F289,$B$6,N$10,$A289,$B289)</f>
        <v>70313425</v>
      </c>
      <c r="O289" s="4">
        <f ca="1">_xll.DBRW($B$1,$B$2,$B$7,$B$3,$B$4,$B$5,$F289,$B$6,O$10,$A289,$B289)</f>
        <v>70313425</v>
      </c>
      <c r="P289" s="4">
        <f ca="1">_xll.DBRW($B$1,$B$2,$B$7,$B$3,$B$4,$B$5,$F289,$B$6,P$10,$A289,$B289)</f>
        <v>68045250</v>
      </c>
      <c r="Q289" s="4">
        <f ca="1">_xll.DBRW($B$1,$B$2,$B$7,$B$3,$B$4,$B$5,$F289,$B$6,Q$10,$A289,$B289)</f>
        <v>63508900</v>
      </c>
      <c r="R289" s="4">
        <f ca="1">_xll.DBRW($B$1,$B$2,$B$7,$B$3,$B$4,$B$5,$F289,$B$6,R$10,$A289,$B289)</f>
        <v>28230055</v>
      </c>
      <c r="S289" s="4">
        <f ca="1">_xll.DBRW($B$1,$B$2,$B$7,$B$3,$B$4,$B$5,$F289,$B$6,S$10,$A289,$B289)</f>
        <v>0</v>
      </c>
      <c r="T289" s="4">
        <f ca="1">_xll.DBRW($B$1,$B$2,$B$7,$B$3,$B$4,$B$5,$F289,$B$6,T$10,$A289,$B289)</f>
        <v>0</v>
      </c>
      <c r="U289" s="4">
        <f ca="1">_xll.DBRW($B$1,$B$2,$B$7,$B$3,$B$4,$B$5,$F289,$B$6,U$10,$A289,$B289)</f>
        <v>0</v>
      </c>
      <c r="V289" s="4">
        <f ca="1">_xll.DBRW($B$1,$B$2,$B$7,$B$3,$B$4,$B$5,$F289,$B$6,V$10,$A289,$B289)</f>
        <v>4536350</v>
      </c>
      <c r="W289" s="4">
        <f ca="1">_xll.DBRW($B$1,$B$2,$B$7,$B$3,$B$4,$B$5,$F289,$B$6,W$10,$A289,$B289)</f>
        <v>68045250</v>
      </c>
      <c r="X289" s="4">
        <f ca="1">_xll.DBRW($B$1,$B$2,$B$7,$B$3,$B$4,$B$5,$F289,$B$6,X$10,$A289,$B289)</f>
        <v>70313425</v>
      </c>
      <c r="Y289" s="4">
        <f ca="1">_xll.DBRW($B$1,$B$2,$B$7,$B$3,$B$4,$B$5,$F289,$B$6,Y$10,$A289,$B289)</f>
        <v>68045250</v>
      </c>
      <c r="Z289" s="4">
        <f ca="1">_xll.DBRW($B$1,$B$2,$B$7,$B$3,$B$4,$B$5,$F289,$B$6,Z$10,$A289,$B289)</f>
        <v>70313425</v>
      </c>
      <c r="AA289" s="4">
        <f ca="1">_xll.DBRW($B$1,$B$2,$B$7,$B$3,$B$4,$B$5,$F289,$B$6,AA$10,$A289,$B289)</f>
        <v>70313425</v>
      </c>
      <c r="AB289" s="4">
        <f ca="1">_xll.DBRW($B$1,$B$2,$B$7,$B$3,$B$4,$B$5,$F289,$B$6,AB$10,$A289,$B289)</f>
        <v>68045250</v>
      </c>
      <c r="AC289" s="4">
        <f ca="1">_xll.DBRW($B$1,$B$2,$B$7,$B$3,$B$4,$B$5,$F289,$B$6,AC$10,$A289,$B289)</f>
        <v>56704375</v>
      </c>
      <c r="AD289" s="4">
        <f ca="1">_xll.DBRW($B$1,$B$2,$B$7,$B$3,$B$4,$B$5,$F289,$B$6,AD$10,$A289,$B289)</f>
        <v>0</v>
      </c>
      <c r="AE289" s="4">
        <f ca="1">_xll.DBRW($B$1,$B$2,$B$7,$B$3,$B$4,$B$5,$F289,$B$6,AE$10,$A289,$B289)</f>
        <v>0</v>
      </c>
    </row>
    <row r="290" spans="1:31">
      <c r="A290" s="1" t="s">
        <v>152</v>
      </c>
      <c r="B290" s="5" t="s">
        <v>63</v>
      </c>
      <c r="C290" s="5" t="s">
        <v>62</v>
      </c>
      <c r="D290" s="5" t="s">
        <v>59</v>
      </c>
      <c r="E290" s="5" t="s">
        <v>21</v>
      </c>
      <c r="F290" s="5" t="s">
        <v>25</v>
      </c>
      <c r="G290" s="6"/>
      <c r="H290" s="6"/>
      <c r="I290" s="6"/>
      <c r="J290" s="6"/>
      <c r="K290" s="6"/>
      <c r="L290" s="4">
        <f ca="1">_xll.DBRW($B$1,$B$2,$B$7,$B$3,$B$4,$B$5,$F290,$B$6,L$10,$A290,$B290)</f>
        <v>70313425</v>
      </c>
      <c r="M290" s="4">
        <f ca="1">_xll.DBRW($B$1,$B$2,$B$7,$B$3,$B$4,$B$5,$F290,$B$6,M$10,$A290,$B290)</f>
        <v>68045250</v>
      </c>
      <c r="N290" s="4">
        <f ca="1">_xll.DBRW($B$1,$B$2,$B$7,$B$3,$B$4,$B$5,$F290,$B$6,N$10,$A290,$B290)</f>
        <v>70313425</v>
      </c>
      <c r="O290" s="4">
        <f ca="1">_xll.DBRW($B$1,$B$2,$B$7,$B$3,$B$4,$B$5,$F290,$B$6,O$10,$A290,$B290)</f>
        <v>70313425</v>
      </c>
      <c r="P290" s="4">
        <f ca="1">_xll.DBRW($B$1,$B$2,$B$7,$B$3,$B$4,$B$5,$F290,$B$6,P$10,$A290,$B290)</f>
        <v>68045250</v>
      </c>
      <c r="Q290" s="4">
        <f ca="1">_xll.DBRW($B$1,$B$2,$B$7,$B$3,$B$4,$B$5,$F290,$B$6,Q$10,$A290,$B290)</f>
        <v>63508900</v>
      </c>
      <c r="R290" s="4">
        <f ca="1">_xll.DBRW($B$1,$B$2,$B$7,$B$3,$B$4,$B$5,$F290,$B$6,R$10,$A290,$B290)</f>
        <v>28230055</v>
      </c>
      <c r="S290" s="4">
        <f ca="1">_xll.DBRW($B$1,$B$2,$B$7,$B$3,$B$4,$B$5,$F290,$B$6,S$10,$A290,$B290)</f>
        <v>0</v>
      </c>
      <c r="T290" s="4">
        <f ca="1">_xll.DBRW($B$1,$B$2,$B$7,$B$3,$B$4,$B$5,$F290,$B$6,T$10,$A290,$B290)</f>
        <v>0</v>
      </c>
      <c r="U290" s="4">
        <f ca="1">_xll.DBRW($B$1,$B$2,$B$7,$B$3,$B$4,$B$5,$F290,$B$6,U$10,$A290,$B290)</f>
        <v>0</v>
      </c>
      <c r="V290" s="4">
        <f ca="1">_xll.DBRW($B$1,$B$2,$B$7,$B$3,$B$4,$B$5,$F290,$B$6,V$10,$A290,$B290)</f>
        <v>4536350</v>
      </c>
      <c r="W290" s="4">
        <f ca="1">_xll.DBRW($B$1,$B$2,$B$7,$B$3,$B$4,$B$5,$F290,$B$6,W$10,$A290,$B290)</f>
        <v>64137010</v>
      </c>
      <c r="X290" s="4">
        <f ca="1">_xll.DBRW($B$1,$B$2,$B$7,$B$3,$B$4,$B$5,$F290,$B$6,X$10,$A290,$B290)</f>
        <v>65428125</v>
      </c>
      <c r="Y290" s="4">
        <f ca="1">_xll.DBRW($B$1,$B$2,$B$7,$B$3,$B$4,$B$5,$F290,$B$6,Y$10,$A290,$B290)</f>
        <v>64137010</v>
      </c>
      <c r="Z290" s="4">
        <f ca="1">_xll.DBRW($B$1,$B$2,$B$7,$B$3,$B$4,$B$5,$F290,$B$6,Z$10,$A290,$B290)</f>
        <v>65428125</v>
      </c>
      <c r="AA290" s="4">
        <f ca="1">_xll.DBRW($B$1,$B$2,$B$7,$B$3,$B$4,$B$5,$F290,$B$6,AA$10,$A290,$B290)</f>
        <v>66405185</v>
      </c>
      <c r="AB290" s="4">
        <f ca="1">_xll.DBRW($B$1,$B$2,$B$7,$B$3,$B$4,$B$5,$F290,$B$6,AB$10,$A290,$B290)</f>
        <v>64137010</v>
      </c>
      <c r="AC290" s="4">
        <f ca="1">_xll.DBRW($B$1,$B$2,$B$7,$B$3,$B$4,$B$5,$F290,$B$6,AC$10,$A290,$B290)</f>
        <v>52796135</v>
      </c>
      <c r="AD290" s="4">
        <f ca="1">_xll.DBRW($B$1,$B$2,$B$7,$B$3,$B$4,$B$5,$F290,$B$6,AD$10,$A290,$B290)</f>
        <v>0</v>
      </c>
      <c r="AE290" s="4">
        <f ca="1">_xll.DBRW($B$1,$B$2,$B$7,$B$3,$B$4,$B$5,$F290,$B$6,AE$10,$A290,$B290)</f>
        <v>0</v>
      </c>
    </row>
    <row r="291" spans="1:31">
      <c r="A291" s="1" t="s">
        <v>152</v>
      </c>
      <c r="B291" s="5" t="s">
        <v>215</v>
      </c>
      <c r="C291" s="5" t="s">
        <v>159</v>
      </c>
      <c r="D291" s="5" t="s">
        <v>21</v>
      </c>
      <c r="E291" s="5" t="s">
        <v>38</v>
      </c>
      <c r="F291" s="5" t="s">
        <v>25</v>
      </c>
      <c r="G291" s="6"/>
      <c r="H291" s="6"/>
      <c r="I291" s="6"/>
      <c r="J291" s="6"/>
      <c r="K291" s="6"/>
      <c r="L291" s="4">
        <f ca="1">_xll.DBRW($B$1,$B$2,$B$7,$B$3,$B$4,$B$5,$F291,$B$6,L$10,$A291,$B291)</f>
        <v>40222068</v>
      </c>
      <c r="M291" s="4">
        <f ca="1">_xll.DBRW($B$1,$B$2,$B$7,$B$3,$B$4,$B$5,$F291,$B$6,M$10,$A291,$B291)</f>
        <v>39155700</v>
      </c>
      <c r="N291" s="4">
        <f ca="1">_xll.DBRW($B$1,$B$2,$B$7,$B$3,$B$4,$B$5,$F291,$B$6,N$10,$A291,$B291)</f>
        <v>39894382</v>
      </c>
      <c r="O291" s="4">
        <f ca="1">_xll.DBRW($B$1,$B$2,$B$7,$B$3,$B$4,$B$5,$F291,$B$6,O$10,$A291,$B291)</f>
        <v>37567256</v>
      </c>
      <c r="P291" s="4">
        <f ca="1">_xll.DBRW($B$1,$B$2,$B$7,$B$3,$B$4,$B$5,$F291,$B$6,P$10,$A291,$B291)</f>
        <v>39155700</v>
      </c>
      <c r="Q291" s="4">
        <f ca="1">_xll.DBRW($B$1,$B$2,$B$7,$B$3,$B$4,$B$5,$F291,$B$6,Q$10,$A291,$B291)</f>
        <v>39044620</v>
      </c>
      <c r="R291" s="4">
        <f ca="1">_xll.DBRW($B$1,$B$2,$B$7,$B$3,$B$4,$B$5,$F291,$B$6,R$10,$A291,$B291)</f>
        <v>36606414</v>
      </c>
      <c r="S291" s="4">
        <f ca="1">_xll.DBRW($B$1,$B$2,$B$7,$B$3,$B$4,$B$5,$F291,$B$6,S$10,$A291,$B291)</f>
        <v>36495334</v>
      </c>
      <c r="T291" s="4">
        <f ca="1">_xll.DBRW($B$1,$B$2,$B$7,$B$3,$B$4,$B$5,$F291,$B$6,T$10,$A291,$B291)</f>
        <v>43193458</v>
      </c>
      <c r="U291" s="4">
        <f ca="1">_xll.DBRW($B$1,$B$2,$B$7,$B$3,$B$4,$B$5,$F291,$B$6,U$10,$A291,$B291)</f>
        <v>38278168</v>
      </c>
      <c r="V291" s="4">
        <f ca="1">_xll.DBRW($B$1,$B$2,$B$7,$B$3,$B$4,$B$5,$F291,$B$6,V$10,$A291,$B291)</f>
        <v>41910484</v>
      </c>
      <c r="W291" s="4">
        <f ca="1">_xll.DBRW($B$1,$B$2,$B$7,$B$3,$B$4,$B$5,$F291,$B$6,W$10,$A291,$B291)</f>
        <v>38022684</v>
      </c>
      <c r="X291" s="4">
        <f ca="1">_xll.DBRW($B$1,$B$2,$B$7,$B$3,$B$4,$B$5,$F291,$B$6,X$10,$A291,$B291)</f>
        <v>39327874</v>
      </c>
      <c r="Y291" s="4">
        <f ca="1">_xll.DBRW($B$1,$B$2,$B$7,$B$3,$B$4,$B$5,$F291,$B$6,Y$10,$A291,$B291)</f>
        <v>37739430</v>
      </c>
      <c r="Z291" s="4">
        <f ca="1">_xll.DBRW($B$1,$B$2,$B$7,$B$3,$B$4,$B$5,$F291,$B$6,Z$10,$A291,$B291)</f>
        <v>39327874</v>
      </c>
      <c r="AA291" s="4">
        <f ca="1">_xll.DBRW($B$1,$B$2,$B$7,$B$3,$B$4,$B$5,$F291,$B$6,AA$10,$A291,$B291)</f>
        <v>39044620</v>
      </c>
      <c r="AB291" s="4">
        <f ca="1">_xll.DBRW($B$1,$B$2,$B$7,$B$3,$B$4,$B$5,$F291,$B$6,AB$10,$A291,$B291)</f>
        <v>38022684</v>
      </c>
      <c r="AC291" s="4">
        <f ca="1">_xll.DBRW($B$1,$B$2,$B$7,$B$3,$B$4,$B$5,$F291,$B$6,AC$10,$A291,$B291)</f>
        <v>40044340</v>
      </c>
      <c r="AD291" s="4">
        <f ca="1">_xll.DBRW($B$1,$B$2,$B$7,$B$3,$B$4,$B$5,$F291,$B$6,AD$10,$A291,$B291)</f>
        <v>40605294</v>
      </c>
      <c r="AE291" s="4">
        <f ca="1">_xll.DBRW($B$1,$B$2,$B$7,$B$3,$B$4,$B$5,$F291,$B$6,AE$10,$A291,$B291)</f>
        <v>41910484</v>
      </c>
    </row>
    <row r="292" spans="1:31">
      <c r="A292" s="1" t="s">
        <v>152</v>
      </c>
      <c r="B292" s="5" t="s">
        <v>43</v>
      </c>
      <c r="C292" s="5" t="s">
        <v>37</v>
      </c>
      <c r="D292" s="5" t="s">
        <v>38</v>
      </c>
      <c r="E292" s="5" t="s">
        <v>21</v>
      </c>
      <c r="F292" s="5" t="s">
        <v>25</v>
      </c>
      <c r="G292" s="6"/>
      <c r="H292" s="6"/>
      <c r="I292" s="6"/>
      <c r="J292" s="6"/>
      <c r="K292" s="6"/>
      <c r="L292" s="4">
        <f ca="1">_xll.DBRW($B$1,$B$2,$B$7,$B$3,$B$4,$B$5,$F292,$B$6,L$10,$A292,$B292)</f>
        <v>39133484</v>
      </c>
      <c r="M292" s="4">
        <f ca="1">_xll.DBRW($B$1,$B$2,$B$7,$B$3,$B$4,$B$5,$F292,$B$6,M$10,$A292,$B292)</f>
        <v>37761646</v>
      </c>
      <c r="N292" s="4">
        <f ca="1">_xll.DBRW($B$1,$B$2,$B$7,$B$3,$B$4,$B$5,$F292,$B$6,N$10,$A292,$B292)</f>
        <v>39066836</v>
      </c>
      <c r="O292" s="4">
        <f ca="1">_xll.DBRW($B$1,$B$2,$B$7,$B$3,$B$4,$B$5,$F292,$B$6,O$10,$A292,$B292)</f>
        <v>35306778</v>
      </c>
      <c r="P292" s="4">
        <f ca="1">_xll.DBRW($B$1,$B$2,$B$7,$B$3,$B$4,$B$5,$F292,$B$6,P$10,$A292,$B292)</f>
        <v>4937506</v>
      </c>
      <c r="Q292" s="4">
        <f ca="1">_xll.DBRW($B$1,$B$2,$B$7,$B$3,$B$4,$B$5,$F292,$B$6,Q$10,$A292,$B292)</f>
        <v>8003314</v>
      </c>
      <c r="R292" s="4">
        <f ca="1">_xll.DBRW($B$1,$B$2,$B$7,$B$3,$B$4,$B$5,$F292,$B$6,R$10,$A292,$B292)</f>
        <v>36606414</v>
      </c>
      <c r="S292" s="4">
        <f ca="1">_xll.DBRW($B$1,$B$2,$B$7,$B$3,$B$4,$B$5,$F292,$B$6,S$10,$A292,$B292)</f>
        <v>36495334</v>
      </c>
      <c r="T292" s="4">
        <f ca="1">_xll.DBRW($B$1,$B$2,$B$7,$B$3,$B$4,$B$5,$F292,$B$6,T$10,$A292,$B292)</f>
        <v>39327874</v>
      </c>
      <c r="U292" s="4">
        <f ca="1">_xll.DBRW($B$1,$B$2,$B$7,$B$3,$B$4,$B$5,$F292,$B$6,U$10,$A292,$B292)</f>
        <v>35412304</v>
      </c>
      <c r="V292" s="4">
        <f ca="1">_xll.DBRW($B$1,$B$2,$B$7,$B$3,$B$4,$B$5,$F292,$B$6,V$10,$A292,$B292)</f>
        <v>39044620</v>
      </c>
      <c r="W292" s="4">
        <f ca="1">_xll.DBRW($B$1,$B$2,$B$7,$B$3,$B$4,$B$5,$F292,$B$6,W$10,$A292,$B292)</f>
        <v>38022684</v>
      </c>
      <c r="X292" s="4">
        <f ca="1">_xll.DBRW($B$1,$B$2,$B$7,$B$3,$B$4,$B$5,$F292,$B$6,X$10,$A292,$B292)</f>
        <v>39327874</v>
      </c>
      <c r="Y292" s="4">
        <f ca="1">_xll.DBRW($B$1,$B$2,$B$7,$B$3,$B$4,$B$5,$F292,$B$6,Y$10,$A292,$B292)</f>
        <v>37739430</v>
      </c>
      <c r="Z292" s="4">
        <f ca="1">_xll.DBRW($B$1,$B$2,$B$7,$B$3,$B$4,$B$5,$F292,$B$6,Z$10,$A292,$B292)</f>
        <v>39327874</v>
      </c>
      <c r="AA292" s="4">
        <f ca="1">_xll.DBRW($B$1,$B$2,$B$7,$B$3,$B$4,$B$5,$F292,$B$6,AA$10,$A292,$B292)</f>
        <v>39044620</v>
      </c>
      <c r="AB292" s="4">
        <f ca="1">_xll.DBRW($B$1,$B$2,$B$7,$B$3,$B$4,$B$5,$F292,$B$6,AB$10,$A292,$B292)</f>
        <v>38022684</v>
      </c>
      <c r="AC292" s="4">
        <f ca="1">_xll.DBRW($B$1,$B$2,$B$7,$B$3,$B$4,$B$5,$F292,$B$6,AC$10,$A292,$B292)</f>
        <v>38022684</v>
      </c>
      <c r="AD292" s="4">
        <f ca="1">_xll.DBRW($B$1,$B$2,$B$7,$B$3,$B$4,$B$5,$F292,$B$6,AD$10,$A292,$B292)</f>
        <v>38022684</v>
      </c>
      <c r="AE292" s="4">
        <f ca="1">_xll.DBRW($B$1,$B$2,$B$7,$B$3,$B$4,$B$5,$F292,$B$6,AE$10,$A292,$B292)</f>
        <v>37739430</v>
      </c>
    </row>
    <row r="293" spans="1:31">
      <c r="A293" s="1" t="s">
        <v>152</v>
      </c>
      <c r="B293" s="5" t="s">
        <v>216</v>
      </c>
      <c r="C293" s="5" t="s">
        <v>163</v>
      </c>
      <c r="D293" s="5" t="s">
        <v>21</v>
      </c>
      <c r="E293" s="5" t="s">
        <v>54</v>
      </c>
      <c r="F293" s="5" t="s">
        <v>25</v>
      </c>
      <c r="G293" s="6"/>
      <c r="H293" s="6"/>
      <c r="I293" s="6"/>
      <c r="J293" s="6"/>
      <c r="K293" s="6"/>
      <c r="L293" s="4">
        <f ca="1">_xll.DBRW($B$1,$B$2,$B$7,$B$3,$B$4,$B$5,$F293,$B$6,L$10,$A293,$B293)</f>
        <v>52258560</v>
      </c>
      <c r="M293" s="4">
        <f ca="1">_xll.DBRW($B$1,$B$2,$B$7,$B$3,$B$4,$B$5,$F293,$B$6,M$10,$A293,$B293)</f>
        <v>50572800</v>
      </c>
      <c r="N293" s="4">
        <f ca="1">_xll.DBRW($B$1,$B$2,$B$7,$B$3,$B$4,$B$5,$F293,$B$6,N$10,$A293,$B293)</f>
        <v>52258560</v>
      </c>
      <c r="O293" s="4">
        <f ca="1">_xll.DBRW($B$1,$B$2,$B$7,$B$3,$B$4,$B$5,$F293,$B$6,O$10,$A293,$B293)</f>
        <v>52258560</v>
      </c>
      <c r="P293" s="4">
        <f ca="1">_xll.DBRW($B$1,$B$2,$B$7,$B$3,$B$4,$B$5,$F293,$B$6,P$10,$A293,$B293)</f>
        <v>50572800</v>
      </c>
      <c r="Q293" s="4">
        <f ca="1">_xll.DBRW($B$1,$B$2,$B$7,$B$3,$B$4,$B$5,$F293,$B$6,Q$10,$A293,$B293)</f>
        <v>43829760</v>
      </c>
      <c r="R293" s="4">
        <f ca="1">_xll.DBRW($B$1,$B$2,$B$7,$B$3,$B$4,$B$5,$F293,$B$6,R$10,$A293,$B293)</f>
        <v>0</v>
      </c>
      <c r="S293" s="4">
        <f ca="1">_xll.DBRW($B$1,$B$2,$B$7,$B$3,$B$4,$B$5,$F293,$B$6,S$10,$A293,$B293)</f>
        <v>0</v>
      </c>
      <c r="T293" s="4">
        <f ca="1">_xll.DBRW($B$1,$B$2,$B$7,$B$3,$B$4,$B$5,$F293,$B$6,T$10,$A293,$B293)</f>
        <v>0</v>
      </c>
      <c r="U293" s="4">
        <f ca="1">_xll.DBRW($B$1,$B$2,$B$7,$B$3,$B$4,$B$5,$F293,$B$6,U$10,$A293,$B293)</f>
        <v>0</v>
      </c>
      <c r="V293" s="4">
        <f ca="1">_xll.DBRW($B$1,$B$2,$B$7,$B$3,$B$4,$B$5,$F293,$B$6,V$10,$A293,$B293)</f>
        <v>4126600</v>
      </c>
      <c r="W293" s="4">
        <f ca="1">_xll.DBRW($B$1,$B$2,$B$7,$B$3,$B$4,$B$5,$F293,$B$6,W$10,$A293,$B293)</f>
        <v>61899000</v>
      </c>
      <c r="X293" s="4">
        <f ca="1">_xll.DBRW($B$1,$B$2,$B$7,$B$3,$B$4,$B$5,$F293,$B$6,X$10,$A293,$B293)</f>
        <v>63962300</v>
      </c>
      <c r="Y293" s="4">
        <f ca="1">_xll.DBRW($B$1,$B$2,$B$7,$B$3,$B$4,$B$5,$F293,$B$6,Y$10,$A293,$B293)</f>
        <v>61899000</v>
      </c>
      <c r="Z293" s="4">
        <f ca="1">_xll.DBRW($B$1,$B$2,$B$7,$B$3,$B$4,$B$5,$F293,$B$6,Z$10,$A293,$B293)</f>
        <v>63962300</v>
      </c>
      <c r="AA293" s="4">
        <f ca="1">_xll.DBRW($B$1,$B$2,$B$7,$B$3,$B$4,$B$5,$F293,$B$6,AA$10,$A293,$B293)</f>
        <v>63962300</v>
      </c>
      <c r="AB293" s="4">
        <f ca="1">_xll.DBRW($B$1,$B$2,$B$7,$B$3,$B$4,$B$5,$F293,$B$6,AB$10,$A293,$B293)</f>
        <v>61899000</v>
      </c>
      <c r="AC293" s="4">
        <f ca="1">_xll.DBRW($B$1,$B$2,$B$7,$B$3,$B$4,$B$5,$F293,$B$6,AC$10,$A293,$B293)</f>
        <v>51582500</v>
      </c>
      <c r="AD293" s="4">
        <f ca="1">_xll.DBRW($B$1,$B$2,$B$7,$B$3,$B$4,$B$5,$F293,$B$6,AD$10,$A293,$B293)</f>
        <v>0</v>
      </c>
      <c r="AE293" s="4">
        <f ca="1">_xll.DBRW($B$1,$B$2,$B$7,$B$3,$B$4,$B$5,$F293,$B$6,AE$10,$A293,$B293)</f>
        <v>0</v>
      </c>
    </row>
    <row r="294" spans="1:31">
      <c r="A294" s="1" t="s">
        <v>152</v>
      </c>
      <c r="B294" s="5" t="s">
        <v>56</v>
      </c>
      <c r="C294" s="5" t="s">
        <v>53</v>
      </c>
      <c r="D294" s="5" t="s">
        <v>54</v>
      </c>
      <c r="E294" s="5" t="s">
        <v>21</v>
      </c>
      <c r="F294" s="5" t="s">
        <v>25</v>
      </c>
      <c r="G294" s="6"/>
      <c r="H294" s="6"/>
      <c r="I294" s="6"/>
      <c r="J294" s="6"/>
      <c r="K294" s="6"/>
      <c r="L294" s="4">
        <f ca="1">_xll.DBRW($B$1,$B$2,$B$7,$B$3,$B$4,$B$5,$F294,$B$6,L$10,$A294,$B294)</f>
        <v>52258560</v>
      </c>
      <c r="M294" s="4">
        <f ca="1">_xll.DBRW($B$1,$B$2,$B$7,$B$3,$B$4,$B$5,$F294,$B$6,M$10,$A294,$B294)</f>
        <v>50572800</v>
      </c>
      <c r="N294" s="4">
        <f ca="1">_xll.DBRW($B$1,$B$2,$B$7,$B$3,$B$4,$B$5,$F294,$B$6,N$10,$A294,$B294)</f>
        <v>52258560</v>
      </c>
      <c r="O294" s="4">
        <f ca="1">_xll.DBRW($B$1,$B$2,$B$7,$B$3,$B$4,$B$5,$F294,$B$6,O$10,$A294,$B294)</f>
        <v>52258560</v>
      </c>
      <c r="P294" s="4">
        <f ca="1">_xll.DBRW($B$1,$B$2,$B$7,$B$3,$B$4,$B$5,$F294,$B$6,P$10,$A294,$B294)</f>
        <v>50572800</v>
      </c>
      <c r="Q294" s="4">
        <f ca="1">_xll.DBRW($B$1,$B$2,$B$7,$B$3,$B$4,$B$5,$F294,$B$6,Q$10,$A294,$B294)</f>
        <v>43829760</v>
      </c>
      <c r="R294" s="4">
        <f ca="1">_xll.DBRW($B$1,$B$2,$B$7,$B$3,$B$4,$B$5,$F294,$B$6,R$10,$A294,$B294)</f>
        <v>0</v>
      </c>
      <c r="S294" s="4">
        <f ca="1">_xll.DBRW($B$1,$B$2,$B$7,$B$3,$B$4,$B$5,$F294,$B$6,S$10,$A294,$B294)</f>
        <v>0</v>
      </c>
      <c r="T294" s="4">
        <f ca="1">_xll.DBRW($B$1,$B$2,$B$7,$B$3,$B$4,$B$5,$F294,$B$6,T$10,$A294,$B294)</f>
        <v>0</v>
      </c>
      <c r="U294" s="4">
        <f ca="1">_xll.DBRW($B$1,$B$2,$B$7,$B$3,$B$4,$B$5,$F294,$B$6,U$10,$A294,$B294)</f>
        <v>0</v>
      </c>
      <c r="V294" s="4">
        <f ca="1">_xll.DBRW($B$1,$B$2,$B$7,$B$3,$B$4,$B$5,$F294,$B$6,V$10,$A294,$B294)</f>
        <v>4126600</v>
      </c>
      <c r="W294" s="4">
        <f ca="1">_xll.DBRW($B$1,$B$2,$B$7,$B$3,$B$4,$B$5,$F294,$B$6,W$10,$A294,$B294)</f>
        <v>61899000</v>
      </c>
      <c r="X294" s="4">
        <f ca="1">_xll.DBRW($B$1,$B$2,$B$7,$B$3,$B$4,$B$5,$F294,$B$6,X$10,$A294,$B294)</f>
        <v>63962300</v>
      </c>
      <c r="Y294" s="4">
        <f ca="1">_xll.DBRW($B$1,$B$2,$B$7,$B$3,$B$4,$B$5,$F294,$B$6,Y$10,$A294,$B294)</f>
        <v>61899000</v>
      </c>
      <c r="Z294" s="4">
        <f ca="1">_xll.DBRW($B$1,$B$2,$B$7,$B$3,$B$4,$B$5,$F294,$B$6,Z$10,$A294,$B294)</f>
        <v>63962300</v>
      </c>
      <c r="AA294" s="4">
        <f ca="1">_xll.DBRW($B$1,$B$2,$B$7,$B$3,$B$4,$B$5,$F294,$B$6,AA$10,$A294,$B294)</f>
        <v>63962300</v>
      </c>
      <c r="AB294" s="4">
        <f ca="1">_xll.DBRW($B$1,$B$2,$B$7,$B$3,$B$4,$B$5,$F294,$B$6,AB$10,$A294,$B294)</f>
        <v>61899000</v>
      </c>
      <c r="AC294" s="4">
        <f ca="1">_xll.DBRW($B$1,$B$2,$B$7,$B$3,$B$4,$B$5,$F294,$B$6,AC$10,$A294,$B294)</f>
        <v>49519200</v>
      </c>
      <c r="AD294" s="4">
        <f ca="1">_xll.DBRW($B$1,$B$2,$B$7,$B$3,$B$4,$B$5,$F294,$B$6,AD$10,$A294,$B294)</f>
        <v>0</v>
      </c>
      <c r="AE294" s="4">
        <f ca="1">_xll.DBRW($B$1,$B$2,$B$7,$B$3,$B$4,$B$5,$F294,$B$6,AE$10,$A294,$B294)</f>
        <v>0</v>
      </c>
    </row>
    <row r="295" spans="1:31">
      <c r="A295" s="1" t="s">
        <v>152</v>
      </c>
      <c r="B295" s="5" t="s">
        <v>217</v>
      </c>
      <c r="C295" s="5" t="s">
        <v>159</v>
      </c>
      <c r="D295" s="5" t="s">
        <v>21</v>
      </c>
      <c r="E295" s="5" t="s">
        <v>38</v>
      </c>
      <c r="F295" s="5" t="s">
        <v>25</v>
      </c>
      <c r="G295" s="6"/>
      <c r="H295" s="6"/>
      <c r="I295" s="6"/>
      <c r="J295" s="6"/>
      <c r="K295" s="6"/>
      <c r="L295" s="4">
        <f ca="1">_xll.DBRW($B$1,$B$2,$B$7,$B$3,$B$4,$B$5,$F295,$B$6,L$10,$A295,$B295)</f>
        <v>32446468</v>
      </c>
      <c r="M295" s="4">
        <f ca="1">_xll.DBRW($B$1,$B$2,$B$7,$B$3,$B$4,$B$5,$F295,$B$6,M$10,$A295,$B295)</f>
        <v>31929946</v>
      </c>
      <c r="N295" s="4">
        <f ca="1">_xll.DBRW($B$1,$B$2,$B$7,$B$3,$B$4,$B$5,$F295,$B$6,N$10,$A295,$B295)</f>
        <v>33001868</v>
      </c>
      <c r="O295" s="4">
        <f ca="1">_xll.DBRW($B$1,$B$2,$B$7,$B$3,$B$4,$B$5,$F295,$B$6,O$10,$A295,$B295)</f>
        <v>33107394</v>
      </c>
      <c r="P295" s="4">
        <f ca="1">_xll.DBRW($B$1,$B$2,$B$7,$B$3,$B$4,$B$5,$F295,$B$6,P$10,$A295,$B295)</f>
        <v>4087744</v>
      </c>
      <c r="Q295" s="4">
        <f ca="1">_xll.DBRW($B$1,$B$2,$B$7,$B$3,$B$4,$B$5,$F295,$B$6,Q$10,$A295,$B295)</f>
        <v>0</v>
      </c>
      <c r="R295" s="4">
        <f ca="1">_xll.DBRW($B$1,$B$2,$B$7,$B$3,$B$4,$B$5,$F295,$B$6,R$10,$A295,$B295)</f>
        <v>0</v>
      </c>
      <c r="S295" s="4">
        <f ca="1">_xll.DBRW($B$1,$B$2,$B$7,$B$3,$B$4,$B$5,$F295,$B$6,S$10,$A295,$B295)</f>
        <v>0</v>
      </c>
      <c r="T295" s="4">
        <f ca="1">_xll.DBRW($B$1,$B$2,$B$7,$B$3,$B$4,$B$5,$F295,$B$6,T$10,$A295,$B295)</f>
        <v>40088772</v>
      </c>
      <c r="U295" s="4">
        <f ca="1">_xll.DBRW($B$1,$B$2,$B$7,$B$3,$B$4,$B$5,$F295,$B$6,U$10,$A295,$B295)</f>
        <v>36456456</v>
      </c>
      <c r="V295" s="4">
        <f ca="1">_xll.DBRW($B$1,$B$2,$B$7,$B$3,$B$4,$B$5,$F295,$B$6,V$10,$A295,$B295)</f>
        <v>40094326</v>
      </c>
      <c r="W295" s="4">
        <f ca="1">_xll.DBRW($B$1,$B$2,$B$7,$B$3,$B$4,$B$5,$F295,$B$6,W$10,$A295,$B295)</f>
        <v>34823580</v>
      </c>
      <c r="X295" s="4">
        <f ca="1">_xll.DBRW($B$1,$B$2,$B$7,$B$3,$B$4,$B$5,$F295,$B$6,X$10,$A295,$B295)</f>
        <v>35323440</v>
      </c>
      <c r="Y295" s="4">
        <f ca="1">_xll.DBRW($B$1,$B$2,$B$7,$B$3,$B$4,$B$5,$F295,$B$6,Y$10,$A295,$B295)</f>
        <v>34545880</v>
      </c>
      <c r="Z295" s="4">
        <f ca="1">_xll.DBRW($B$1,$B$2,$B$7,$B$3,$B$4,$B$5,$F295,$B$6,Z$10,$A295,$B295)</f>
        <v>35845516</v>
      </c>
      <c r="AA295" s="4">
        <f ca="1">_xll.DBRW($B$1,$B$2,$B$7,$B$3,$B$4,$B$5,$F295,$B$6,AA$10,$A295,$B295)</f>
        <v>35328994</v>
      </c>
      <c r="AB295" s="4">
        <f ca="1">_xll.DBRW($B$1,$B$2,$B$7,$B$3,$B$4,$B$5,$F295,$B$6,AB$10,$A295,$B295)</f>
        <v>34823580</v>
      </c>
      <c r="AC295" s="4">
        <f ca="1">_xll.DBRW($B$1,$B$2,$B$7,$B$3,$B$4,$B$5,$F295,$B$6,AC$10,$A295,$B295)</f>
        <v>36384254</v>
      </c>
      <c r="AD295" s="4">
        <f ca="1">_xll.DBRW($B$1,$B$2,$B$7,$B$3,$B$4,$B$5,$F295,$B$6,AD$10,$A295,$B295)</f>
        <v>39066836</v>
      </c>
      <c r="AE295" s="4">
        <f ca="1">_xll.DBRW($B$1,$B$2,$B$7,$B$3,$B$4,$B$5,$F295,$B$6,AE$10,$A295,$B295)</f>
        <v>40349810</v>
      </c>
    </row>
    <row r="296" spans="1:31">
      <c r="A296" s="1" t="s">
        <v>152</v>
      </c>
      <c r="B296" s="5" t="s">
        <v>44</v>
      </c>
      <c r="C296" s="5" t="s">
        <v>37</v>
      </c>
      <c r="D296" s="5" t="s">
        <v>38</v>
      </c>
      <c r="E296" s="5" t="s">
        <v>21</v>
      </c>
      <c r="F296" s="5" t="s">
        <v>25</v>
      </c>
      <c r="G296" s="6"/>
      <c r="H296" s="6"/>
      <c r="I296" s="6"/>
      <c r="J296" s="6"/>
      <c r="K296" s="6"/>
      <c r="L296" s="4">
        <f ca="1">_xll.DBRW($B$1,$B$2,$B$7,$B$3,$B$4,$B$5,$F296,$B$6,L$10,$A296,$B296)</f>
        <v>33112948</v>
      </c>
      <c r="M296" s="4">
        <f ca="1">_xll.DBRW($B$1,$B$2,$B$7,$B$3,$B$4,$B$5,$F296,$B$6,M$10,$A296,$B296)</f>
        <v>31813312</v>
      </c>
      <c r="N296" s="4">
        <f ca="1">_xll.DBRW($B$1,$B$2,$B$7,$B$3,$B$4,$B$5,$F296,$B$6,N$10,$A296,$B296)</f>
        <v>32818586</v>
      </c>
      <c r="O296" s="4">
        <f ca="1">_xll.DBRW($B$1,$B$2,$B$7,$B$3,$B$4,$B$5,$F296,$B$6,O$10,$A296,$B296)</f>
        <v>33112948</v>
      </c>
      <c r="P296" s="4">
        <f ca="1">_xll.DBRW($B$1,$B$2,$B$7,$B$3,$B$4,$B$5,$F296,$B$6,P$10,$A296,$B296)</f>
        <v>30946888</v>
      </c>
      <c r="Q296" s="4">
        <f ca="1">_xll.DBRW($B$1,$B$2,$B$7,$B$3,$B$4,$B$5,$F296,$B$6,Q$10,$A296,$B296)</f>
        <v>25387334</v>
      </c>
      <c r="R296" s="4">
        <f ca="1">_xll.DBRW($B$1,$B$2,$B$7,$B$3,$B$4,$B$5,$F296,$B$6,R$10,$A296,$B296)</f>
        <v>0</v>
      </c>
      <c r="S296" s="4">
        <f ca="1">_xll.DBRW($B$1,$B$2,$B$7,$B$3,$B$4,$B$5,$F296,$B$6,S$10,$A296,$B296)</f>
        <v>0</v>
      </c>
      <c r="T296" s="4">
        <f ca="1">_xll.DBRW($B$1,$B$2,$B$7,$B$3,$B$4,$B$5,$F296,$B$6,T$10,$A296,$B296)</f>
        <v>39688884</v>
      </c>
      <c r="U296" s="4">
        <f ca="1">_xll.DBRW($B$1,$B$2,$B$7,$B$3,$B$4,$B$5,$F296,$B$6,U$10,$A296,$B296)</f>
        <v>35056848</v>
      </c>
      <c r="V296" s="4">
        <f ca="1">_xll.DBRW($B$1,$B$2,$B$7,$B$3,$B$4,$B$5,$F296,$B$6,V$10,$A296,$B296)</f>
        <v>38411464</v>
      </c>
      <c r="W296" s="4">
        <f ca="1">_xll.DBRW($B$1,$B$2,$B$7,$B$3,$B$4,$B$5,$F296,$B$6,W$10,$A296,$B296)</f>
        <v>34823580</v>
      </c>
      <c r="X296" s="4">
        <f ca="1">_xll.DBRW($B$1,$B$2,$B$7,$B$3,$B$4,$B$5,$F296,$B$6,X$10,$A296,$B296)</f>
        <v>35323440</v>
      </c>
      <c r="Y296" s="4">
        <f ca="1">_xll.DBRW($B$1,$B$2,$B$7,$B$3,$B$4,$B$5,$F296,$B$6,Y$10,$A296,$B296)</f>
        <v>34545880</v>
      </c>
      <c r="Z296" s="4">
        <f ca="1">_xll.DBRW($B$1,$B$2,$B$7,$B$3,$B$4,$B$5,$F296,$B$6,Z$10,$A296,$B296)</f>
        <v>35845516</v>
      </c>
      <c r="AA296" s="4">
        <f ca="1">_xll.DBRW($B$1,$B$2,$B$7,$B$3,$B$4,$B$5,$F296,$B$6,AA$10,$A296,$B296)</f>
        <v>35328994</v>
      </c>
      <c r="AB296" s="4">
        <f ca="1">_xll.DBRW($B$1,$B$2,$B$7,$B$3,$B$4,$B$5,$F296,$B$6,AB$10,$A296,$B296)</f>
        <v>34823580</v>
      </c>
      <c r="AC296" s="4">
        <f ca="1">_xll.DBRW($B$1,$B$2,$B$7,$B$3,$B$4,$B$5,$F296,$B$6,AC$10,$A296,$B296)</f>
        <v>35251238</v>
      </c>
      <c r="AD296" s="4">
        <f ca="1">_xll.DBRW($B$1,$B$2,$B$7,$B$3,$B$4,$B$5,$F296,$B$6,AD$10,$A296,$B296)</f>
        <v>37100720</v>
      </c>
      <c r="AE296" s="4">
        <f ca="1">_xll.DBRW($B$1,$B$2,$B$7,$B$3,$B$4,$B$5,$F296,$B$6,AE$10,$A296,$B296)</f>
        <v>37145152</v>
      </c>
    </row>
    <row r="297" spans="1:31">
      <c r="A297" s="1" t="s">
        <v>152</v>
      </c>
      <c r="B297" s="5" t="s">
        <v>218</v>
      </c>
      <c r="C297" s="5" t="s">
        <v>219</v>
      </c>
      <c r="D297" s="5" t="s">
        <v>21</v>
      </c>
      <c r="E297" s="5" t="s">
        <v>49</v>
      </c>
      <c r="F297" s="5" t="s">
        <v>25</v>
      </c>
      <c r="G297" s="6"/>
      <c r="H297" s="6"/>
      <c r="I297" s="6"/>
      <c r="J297" s="6"/>
      <c r="K297" s="6"/>
      <c r="L297" s="4">
        <f ca="1">_xll.DBRW($B$1,$B$2,$B$7,$B$3,$B$4,$B$5,$F297,$B$6,L$10,$A297,$B297)</f>
        <v>50092032</v>
      </c>
      <c r="M297" s="4">
        <f ca="1">_xll.DBRW($B$1,$B$2,$B$7,$B$3,$B$4,$B$5,$F297,$B$6,M$10,$A297,$B297)</f>
        <v>48476160</v>
      </c>
      <c r="N297" s="4">
        <f ca="1">_xll.DBRW($B$1,$B$2,$B$7,$B$3,$B$4,$B$5,$F297,$B$6,N$10,$A297,$B297)</f>
        <v>50092032</v>
      </c>
      <c r="O297" s="4">
        <f ca="1">_xll.DBRW($B$1,$B$2,$B$7,$B$3,$B$4,$B$5,$F297,$B$6,O$10,$A297,$B297)</f>
        <v>50092032</v>
      </c>
      <c r="P297" s="4">
        <f ca="1">_xll.DBRW($B$1,$B$2,$B$7,$B$3,$B$4,$B$5,$F297,$B$6,P$10,$A297,$B297)</f>
        <v>48476160</v>
      </c>
      <c r="Q297" s="4">
        <f ca="1">_xll.DBRW($B$1,$B$2,$B$7,$B$3,$B$4,$B$5,$F297,$B$6,Q$10,$A297,$B297)</f>
        <v>50092032</v>
      </c>
      <c r="R297" s="4">
        <f ca="1">_xll.DBRW($B$1,$B$2,$B$7,$B$3,$B$4,$B$5,$F297,$B$6,R$10,$A297,$B297)</f>
        <v>48476160</v>
      </c>
      <c r="S297" s="4">
        <f ca="1">_xll.DBRW($B$1,$B$2,$B$7,$B$3,$B$4,$B$5,$F297,$B$6,S$10,$A297,$B297)</f>
        <v>50092032</v>
      </c>
      <c r="T297" s="4">
        <f ca="1">_xll.DBRW($B$1,$B$2,$B$7,$B$3,$B$4,$B$5,$F297,$B$6,T$10,$A297,$B297)</f>
        <v>50092032</v>
      </c>
      <c r="U297" s="4">
        <f ca="1">_xll.DBRW($B$1,$B$2,$B$7,$B$3,$B$4,$B$5,$F297,$B$6,U$10,$A297,$B297)</f>
        <v>45244416</v>
      </c>
      <c r="V297" s="4">
        <f ca="1">_xll.DBRW($B$1,$B$2,$B$7,$B$3,$B$4,$B$5,$F297,$B$6,V$10,$A297,$B297)</f>
        <v>50092032</v>
      </c>
      <c r="W297" s="4">
        <f ca="1">_xll.DBRW($B$1,$B$2,$B$7,$B$3,$B$4,$B$5,$F297,$B$6,W$10,$A297,$B297)</f>
        <v>48476160</v>
      </c>
      <c r="X297" s="4">
        <f ca="1">_xll.DBRW($B$1,$B$2,$B$7,$B$3,$B$4,$B$5,$F297,$B$6,X$10,$A297,$B297)</f>
        <v>50092032</v>
      </c>
      <c r="Y297" s="4">
        <f ca="1">_xll.DBRW($B$1,$B$2,$B$7,$B$3,$B$4,$B$5,$F297,$B$6,Y$10,$A297,$B297)</f>
        <v>48476160</v>
      </c>
      <c r="Z297" s="4">
        <f ca="1">_xll.DBRW($B$1,$B$2,$B$7,$B$3,$B$4,$B$5,$F297,$B$6,Z$10,$A297,$B297)</f>
        <v>50092032</v>
      </c>
      <c r="AA297" s="4">
        <f ca="1">_xll.DBRW($B$1,$B$2,$B$7,$B$3,$B$4,$B$5,$F297,$B$6,AA$10,$A297,$B297)</f>
        <v>50092032</v>
      </c>
      <c r="AB297" s="4">
        <f ca="1">_xll.DBRW($B$1,$B$2,$B$7,$B$3,$B$4,$B$5,$F297,$B$6,AB$10,$A297,$B297)</f>
        <v>48476160</v>
      </c>
      <c r="AC297" s="4">
        <f ca="1">_xll.DBRW($B$1,$B$2,$B$7,$B$3,$B$4,$B$5,$F297,$B$6,AC$10,$A297,$B297)</f>
        <v>50092032</v>
      </c>
      <c r="AD297" s="4">
        <f ca="1">_xll.DBRW($B$1,$B$2,$B$7,$B$3,$B$4,$B$5,$F297,$B$6,AD$10,$A297,$B297)</f>
        <v>48476160</v>
      </c>
      <c r="AE297" s="4">
        <f ca="1">_xll.DBRW($B$1,$B$2,$B$7,$B$3,$B$4,$B$5,$F297,$B$6,AE$10,$A297,$B297)</f>
        <v>50092032</v>
      </c>
    </row>
    <row r="298" spans="1:31">
      <c r="A298" s="1" t="s">
        <v>152</v>
      </c>
      <c r="B298" s="5" t="s">
        <v>47</v>
      </c>
      <c r="C298" s="5" t="s">
        <v>48</v>
      </c>
      <c r="D298" s="5" t="s">
        <v>49</v>
      </c>
      <c r="E298" s="5" t="s">
        <v>21</v>
      </c>
      <c r="F298" s="5" t="s">
        <v>25</v>
      </c>
      <c r="G298" s="6"/>
      <c r="H298" s="6"/>
      <c r="I298" s="6"/>
      <c r="J298" s="6"/>
      <c r="K298" s="6"/>
      <c r="L298" s="4">
        <f ca="1">_xll.DBRW($B$1,$B$2,$B$7,$B$3,$B$4,$B$5,$F298,$B$6,L$10,$A298,$B298)</f>
        <v>50092032</v>
      </c>
      <c r="M298" s="4">
        <f ca="1">_xll.DBRW($B$1,$B$2,$B$7,$B$3,$B$4,$B$5,$F298,$B$6,M$10,$A298,$B298)</f>
        <v>48476160</v>
      </c>
      <c r="N298" s="4">
        <f ca="1">_xll.DBRW($B$1,$B$2,$B$7,$B$3,$B$4,$B$5,$F298,$B$6,N$10,$A298,$B298)</f>
        <v>50092032</v>
      </c>
      <c r="O298" s="4">
        <f ca="1">_xll.DBRW($B$1,$B$2,$B$7,$B$3,$B$4,$B$5,$F298,$B$6,O$10,$A298,$B298)</f>
        <v>50092032</v>
      </c>
      <c r="P298" s="4">
        <f ca="1">_xll.DBRW($B$1,$B$2,$B$7,$B$3,$B$4,$B$5,$F298,$B$6,P$10,$A298,$B298)</f>
        <v>48476160</v>
      </c>
      <c r="Q298" s="4">
        <f ca="1">_xll.DBRW($B$1,$B$2,$B$7,$B$3,$B$4,$B$5,$F298,$B$6,Q$10,$A298,$B298)</f>
        <v>50092032</v>
      </c>
      <c r="R298" s="4">
        <f ca="1">_xll.DBRW($B$1,$B$2,$B$7,$B$3,$B$4,$B$5,$F298,$B$6,R$10,$A298,$B298)</f>
        <v>48476160</v>
      </c>
      <c r="S298" s="4">
        <f ca="1">_xll.DBRW($B$1,$B$2,$B$7,$B$3,$B$4,$B$5,$F298,$B$6,S$10,$A298,$B298)</f>
        <v>50092032</v>
      </c>
      <c r="T298" s="4">
        <f ca="1">_xll.DBRW($B$1,$B$2,$B$7,$B$3,$B$4,$B$5,$F298,$B$6,T$10,$A298,$B298)</f>
        <v>50092032</v>
      </c>
      <c r="U298" s="4">
        <f ca="1">_xll.DBRW($B$1,$B$2,$B$7,$B$3,$B$4,$B$5,$F298,$B$6,U$10,$A298,$B298)</f>
        <v>45244416</v>
      </c>
      <c r="V298" s="4">
        <f ca="1">_xll.DBRW($B$1,$B$2,$B$7,$B$3,$B$4,$B$5,$F298,$B$6,V$10,$A298,$B298)</f>
        <v>50092032</v>
      </c>
      <c r="W298" s="4">
        <f ca="1">_xll.DBRW($B$1,$B$2,$B$7,$B$3,$B$4,$B$5,$F298,$B$6,W$10,$A298,$B298)</f>
        <v>48476160</v>
      </c>
      <c r="X298" s="4">
        <f ca="1">_xll.DBRW($B$1,$B$2,$B$7,$B$3,$B$4,$B$5,$F298,$B$6,X$10,$A298,$B298)</f>
        <v>50092032</v>
      </c>
      <c r="Y298" s="4">
        <f ca="1">_xll.DBRW($B$1,$B$2,$B$7,$B$3,$B$4,$B$5,$F298,$B$6,Y$10,$A298,$B298)</f>
        <v>48476160</v>
      </c>
      <c r="Z298" s="4">
        <f ca="1">_xll.DBRW($B$1,$B$2,$B$7,$B$3,$B$4,$B$5,$F298,$B$6,Z$10,$A298,$B298)</f>
        <v>50092032</v>
      </c>
      <c r="AA298" s="4">
        <f ca="1">_xll.DBRW($B$1,$B$2,$B$7,$B$3,$B$4,$B$5,$F298,$B$6,AA$10,$A298,$B298)</f>
        <v>50092032</v>
      </c>
      <c r="AB298" s="4">
        <f ca="1">_xll.DBRW($B$1,$B$2,$B$7,$B$3,$B$4,$B$5,$F298,$B$6,AB$10,$A298,$B298)</f>
        <v>48476160</v>
      </c>
      <c r="AC298" s="4">
        <f ca="1">_xll.DBRW($B$1,$B$2,$B$7,$B$3,$B$4,$B$5,$F298,$B$6,AC$10,$A298,$B298)</f>
        <v>48476160</v>
      </c>
      <c r="AD298" s="4">
        <f ca="1">_xll.DBRW($B$1,$B$2,$B$7,$B$3,$B$4,$B$5,$F298,$B$6,AD$10,$A298,$B298)</f>
        <v>48476160</v>
      </c>
      <c r="AE298" s="4">
        <f ca="1">_xll.DBRW($B$1,$B$2,$B$7,$B$3,$B$4,$B$5,$F298,$B$6,AE$10,$A298,$B298)</f>
        <v>50092032</v>
      </c>
    </row>
    <row r="299" spans="1:31">
      <c r="A299" s="1" t="s">
        <v>152</v>
      </c>
      <c r="B299" s="5" t="s">
        <v>220</v>
      </c>
      <c r="C299" s="5" t="s">
        <v>166</v>
      </c>
      <c r="D299" s="5" t="s">
        <v>21</v>
      </c>
      <c r="E299" s="5" t="s">
        <v>31</v>
      </c>
      <c r="F299" s="5" t="s">
        <v>25</v>
      </c>
      <c r="G299" s="6"/>
      <c r="H299" s="6"/>
      <c r="I299" s="6"/>
      <c r="J299" s="6"/>
      <c r="K299" s="6"/>
      <c r="L299" s="4">
        <f ca="1">_xll.DBRW($B$1,$B$2,$B$7,$B$3,$B$4,$B$5,$F299,$B$6,L$10,$A299,$B299)</f>
        <v>30084404</v>
      </c>
      <c r="M299" s="4">
        <f ca="1">_xll.DBRW($B$1,$B$2,$B$7,$B$3,$B$4,$B$5,$F299,$B$6,M$10,$A299,$B299)</f>
        <v>29091398</v>
      </c>
      <c r="N299" s="4">
        <f ca="1">_xll.DBRW($B$1,$B$2,$B$7,$B$3,$B$4,$B$5,$F299,$B$6,N$10,$A299,$B299)</f>
        <v>30100166</v>
      </c>
      <c r="O299" s="4">
        <f ca="1">_xll.DBRW($B$1,$B$2,$B$7,$B$3,$B$4,$B$5,$F299,$B$6,O$10,$A299,$B299)</f>
        <v>30058134</v>
      </c>
      <c r="P299" s="4">
        <f ca="1">_xll.DBRW($B$1,$B$2,$B$7,$B$3,$B$4,$B$5,$F299,$B$6,P$10,$A299,$B299)</f>
        <v>29023096</v>
      </c>
      <c r="Q299" s="4">
        <f ca="1">_xll.DBRW($B$1,$B$2,$B$7,$B$3,$B$4,$B$5,$F299,$B$6,Q$10,$A299,$B299)</f>
        <v>25145644</v>
      </c>
      <c r="R299" s="4">
        <f ca="1">_xll.DBRW($B$1,$B$2,$B$7,$B$3,$B$4,$B$5,$F299,$B$6,R$10,$A299,$B299)</f>
        <v>0</v>
      </c>
      <c r="S299" s="4">
        <f ca="1">_xll.DBRW($B$1,$B$2,$B$7,$B$3,$B$4,$B$5,$F299,$B$6,S$10,$A299,$B299)</f>
        <v>0</v>
      </c>
      <c r="T299" s="4">
        <f ca="1">_xll.DBRW($B$1,$B$2,$B$7,$B$3,$B$4,$B$5,$F299,$B$6,T$10,$A299,$B299)</f>
        <v>0</v>
      </c>
      <c r="U299" s="4">
        <f ca="1">_xll.DBRW($B$1,$B$2,$B$7,$B$3,$B$4,$B$5,$F299,$B$6,U$10,$A299,$B299)</f>
        <v>0</v>
      </c>
      <c r="V299" s="4">
        <f ca="1">_xll.DBRW($B$1,$B$2,$B$7,$B$3,$B$4,$B$5,$F299,$B$6,V$10,$A299,$B299)</f>
        <v>1938726</v>
      </c>
      <c r="W299" s="4">
        <f ca="1">_xll.DBRW($B$1,$B$2,$B$7,$B$3,$B$4,$B$5,$F299,$B$6,W$10,$A299,$B299)</f>
        <v>29049366</v>
      </c>
      <c r="X299" s="4">
        <f ca="1">_xll.DBRW($B$1,$B$2,$B$7,$B$3,$B$4,$B$5,$F299,$B$6,X$10,$A299,$B299)</f>
        <v>30010848</v>
      </c>
      <c r="Y299" s="4">
        <f ca="1">_xll.DBRW($B$1,$B$2,$B$7,$B$3,$B$4,$B$5,$F299,$B$6,Y$10,$A299,$B299)</f>
        <v>29049366</v>
      </c>
      <c r="Z299" s="4">
        <f ca="1">_xll.DBRW($B$1,$B$2,$B$7,$B$3,$B$4,$B$5,$F299,$B$6,Z$10,$A299,$B299)</f>
        <v>30016102</v>
      </c>
      <c r="AA299" s="4">
        <f ca="1">_xll.DBRW($B$1,$B$2,$B$7,$B$3,$B$4,$B$5,$F299,$B$6,AA$10,$A299,$B299)</f>
        <v>30016102</v>
      </c>
      <c r="AB299" s="4">
        <f ca="1">_xll.DBRW($B$1,$B$2,$B$7,$B$3,$B$4,$B$5,$F299,$B$6,AB$10,$A299,$B299)</f>
        <v>29044112</v>
      </c>
      <c r="AC299" s="4">
        <f ca="1">_xll.DBRW($B$1,$B$2,$B$7,$B$3,$B$4,$B$5,$F299,$B$6,AC$10,$A299,$B299)</f>
        <v>24205178</v>
      </c>
      <c r="AD299" s="4">
        <f ca="1">_xll.DBRW($B$1,$B$2,$B$7,$B$3,$B$4,$B$5,$F299,$B$6,AD$10,$A299,$B299)</f>
        <v>0</v>
      </c>
      <c r="AE299" s="4">
        <f ca="1">_xll.DBRW($B$1,$B$2,$B$7,$B$3,$B$4,$B$5,$F299,$B$6,AE$10,$A299,$B299)</f>
        <v>0</v>
      </c>
    </row>
    <row r="300" spans="1:31">
      <c r="A300" s="1" t="s">
        <v>152</v>
      </c>
      <c r="B300" s="5" t="s">
        <v>32</v>
      </c>
      <c r="C300" s="5" t="s">
        <v>30</v>
      </c>
      <c r="D300" s="5" t="s">
        <v>31</v>
      </c>
      <c r="E300" s="5" t="s">
        <v>21</v>
      </c>
      <c r="F300" s="5" t="s">
        <v>25</v>
      </c>
      <c r="G300" s="6"/>
      <c r="H300" s="6"/>
      <c r="I300" s="6"/>
      <c r="J300" s="6"/>
      <c r="K300" s="6"/>
      <c r="L300" s="4">
        <f ca="1">_xll.DBRW($B$1,$B$2,$B$7,$B$3,$B$4,$B$5,$F300,$B$6,L$10,$A300,$B300)</f>
        <v>30084404</v>
      </c>
      <c r="M300" s="4">
        <f ca="1">_xll.DBRW($B$1,$B$2,$B$7,$B$3,$B$4,$B$5,$F300,$B$6,M$10,$A300,$B300)</f>
        <v>29091398</v>
      </c>
      <c r="N300" s="4">
        <f ca="1">_xll.DBRW($B$1,$B$2,$B$7,$B$3,$B$4,$B$5,$F300,$B$6,N$10,$A300,$B300)</f>
        <v>30100166</v>
      </c>
      <c r="O300" s="4">
        <f ca="1">_xll.DBRW($B$1,$B$2,$B$7,$B$3,$B$4,$B$5,$F300,$B$6,O$10,$A300,$B300)</f>
        <v>30058134</v>
      </c>
      <c r="P300" s="4">
        <f ca="1">_xll.DBRW($B$1,$B$2,$B$7,$B$3,$B$4,$B$5,$F300,$B$6,P$10,$A300,$B300)</f>
        <v>29023096</v>
      </c>
      <c r="Q300" s="4">
        <f ca="1">_xll.DBRW($B$1,$B$2,$B$7,$B$3,$B$4,$B$5,$F300,$B$6,Q$10,$A300,$B300)</f>
        <v>25145644</v>
      </c>
      <c r="R300" s="4">
        <f ca="1">_xll.DBRW($B$1,$B$2,$B$7,$B$3,$B$4,$B$5,$F300,$B$6,R$10,$A300,$B300)</f>
        <v>0</v>
      </c>
      <c r="S300" s="4">
        <f ca="1">_xll.DBRW($B$1,$B$2,$B$7,$B$3,$B$4,$B$5,$F300,$B$6,S$10,$A300,$B300)</f>
        <v>0</v>
      </c>
      <c r="T300" s="4">
        <f ca="1">_xll.DBRW($B$1,$B$2,$B$7,$B$3,$B$4,$B$5,$F300,$B$6,T$10,$A300,$B300)</f>
        <v>0</v>
      </c>
      <c r="U300" s="4">
        <f ca="1">_xll.DBRW($B$1,$B$2,$B$7,$B$3,$B$4,$B$5,$F300,$B$6,U$10,$A300,$B300)</f>
        <v>0</v>
      </c>
      <c r="V300" s="4">
        <f ca="1">_xll.DBRW($B$1,$B$2,$B$7,$B$3,$B$4,$B$5,$F300,$B$6,V$10,$A300,$B300)</f>
        <v>1938726</v>
      </c>
      <c r="W300" s="4">
        <f ca="1">_xll.DBRW($B$1,$B$2,$B$7,$B$3,$B$4,$B$5,$F300,$B$6,W$10,$A300,$B300)</f>
        <v>29049366</v>
      </c>
      <c r="X300" s="4">
        <f ca="1">_xll.DBRW($B$1,$B$2,$B$7,$B$3,$B$4,$B$5,$F300,$B$6,X$10,$A300,$B300)</f>
        <v>30010848</v>
      </c>
      <c r="Y300" s="4">
        <f ca="1">_xll.DBRW($B$1,$B$2,$B$7,$B$3,$B$4,$B$5,$F300,$B$6,Y$10,$A300,$B300)</f>
        <v>29049366</v>
      </c>
      <c r="Z300" s="4">
        <f ca="1">_xll.DBRW($B$1,$B$2,$B$7,$B$3,$B$4,$B$5,$F300,$B$6,Z$10,$A300,$B300)</f>
        <v>30016102</v>
      </c>
      <c r="AA300" s="4">
        <f ca="1">_xll.DBRW($B$1,$B$2,$B$7,$B$3,$B$4,$B$5,$F300,$B$6,AA$10,$A300,$B300)</f>
        <v>30016102</v>
      </c>
      <c r="AB300" s="4">
        <f ca="1">_xll.DBRW($B$1,$B$2,$B$7,$B$3,$B$4,$B$5,$F300,$B$6,AB$10,$A300,$B300)</f>
        <v>29044112</v>
      </c>
      <c r="AC300" s="4">
        <f ca="1">_xll.DBRW($B$1,$B$2,$B$7,$B$3,$B$4,$B$5,$F300,$B$6,AC$10,$A300,$B300)</f>
        <v>23238442</v>
      </c>
      <c r="AD300" s="4">
        <f ca="1">_xll.DBRW($B$1,$B$2,$B$7,$B$3,$B$4,$B$5,$F300,$B$6,AD$10,$A300,$B300)</f>
        <v>0</v>
      </c>
      <c r="AE300" s="4">
        <f ca="1">_xll.DBRW($B$1,$B$2,$B$7,$B$3,$B$4,$B$5,$F300,$B$6,AE$10,$A300,$B300)</f>
        <v>0</v>
      </c>
    </row>
    <row r="301" spans="1:31">
      <c r="A301" s="1" t="s">
        <v>152</v>
      </c>
      <c r="B301" s="5" t="s">
        <v>221</v>
      </c>
      <c r="C301" s="5" t="s">
        <v>193</v>
      </c>
      <c r="D301" s="5" t="s">
        <v>21</v>
      </c>
      <c r="E301" s="5" t="s">
        <v>194</v>
      </c>
      <c r="F301" s="5" t="s">
        <v>25</v>
      </c>
      <c r="G301" s="6"/>
      <c r="H301" s="6"/>
      <c r="I301" s="6"/>
      <c r="J301" s="6"/>
      <c r="K301" s="6"/>
      <c r="L301" s="4">
        <f ca="1">_xll.DBRW($B$1,$B$2,$B$7,$B$3,$B$4,$B$5,$F301,$B$6,L$10,$A301,$B301)</f>
        <v>13108608</v>
      </c>
      <c r="M301" s="4">
        <f ca="1">_xll.DBRW($B$1,$B$2,$B$7,$B$3,$B$4,$B$5,$F301,$B$6,M$10,$A301,$B301)</f>
        <v>11652096</v>
      </c>
      <c r="N301" s="4">
        <f ca="1">_xll.DBRW($B$1,$B$2,$B$7,$B$3,$B$4,$B$5,$F301,$B$6,N$10,$A301,$B301)</f>
        <v>13108608</v>
      </c>
      <c r="O301" s="4">
        <f ca="1">_xll.DBRW($B$1,$B$2,$B$7,$B$3,$B$4,$B$5,$F301,$B$6,O$10,$A301,$B301)</f>
        <v>13108608</v>
      </c>
      <c r="P301" s="4">
        <f ca="1">_xll.DBRW($B$1,$B$2,$B$7,$B$3,$B$4,$B$5,$F301,$B$6,P$10,$A301,$B301)</f>
        <v>11652096</v>
      </c>
      <c r="Q301" s="4">
        <f ca="1">_xll.DBRW($B$1,$B$2,$B$7,$B$3,$B$4,$B$5,$F301,$B$6,Q$10,$A301,$B301)</f>
        <v>13108608</v>
      </c>
      <c r="R301" s="4">
        <f ca="1">_xll.DBRW($B$1,$B$2,$B$7,$B$3,$B$4,$B$5,$F301,$B$6,R$10,$A301,$B301)</f>
        <v>13108608</v>
      </c>
      <c r="S301" s="4">
        <f ca="1">_xll.DBRW($B$1,$B$2,$B$7,$B$3,$B$4,$B$5,$F301,$B$6,S$10,$A301,$B301)</f>
        <v>11652096</v>
      </c>
      <c r="T301" s="4">
        <f ca="1">_xll.DBRW($B$1,$B$2,$B$7,$B$3,$B$4,$B$5,$F301,$B$6,T$10,$A301,$B301)</f>
        <v>13108608</v>
      </c>
      <c r="U301" s="4">
        <f ca="1">_xll.DBRW($B$1,$B$2,$B$7,$B$3,$B$4,$B$5,$F301,$B$6,U$10,$A301,$B301)</f>
        <v>11652096</v>
      </c>
      <c r="V301" s="4">
        <f ca="1">_xll.DBRW($B$1,$B$2,$B$7,$B$3,$B$4,$B$5,$F301,$B$6,V$10,$A301,$B301)</f>
        <v>13108608</v>
      </c>
      <c r="W301" s="4">
        <f ca="1">_xll.DBRW($B$1,$B$2,$B$7,$B$3,$B$4,$B$5,$F301,$B$6,W$10,$A301,$B301)</f>
        <v>13108608</v>
      </c>
      <c r="X301" s="4">
        <f ca="1">_xll.DBRW($B$1,$B$2,$B$7,$B$3,$B$4,$B$5,$F301,$B$6,X$10,$A301,$B301)</f>
        <v>13108608</v>
      </c>
      <c r="Y301" s="4">
        <f ca="1">_xll.DBRW($B$1,$B$2,$B$7,$B$3,$B$4,$B$5,$F301,$B$6,Y$10,$A301,$B301)</f>
        <v>11652096</v>
      </c>
      <c r="Z301" s="4">
        <f ca="1">_xll.DBRW($B$1,$B$2,$B$7,$B$3,$B$4,$B$5,$F301,$B$6,Z$10,$A301,$B301)</f>
        <v>14565120</v>
      </c>
      <c r="AA301" s="4">
        <f ca="1">_xll.DBRW($B$1,$B$2,$B$7,$B$3,$B$4,$B$5,$F301,$B$6,AA$10,$A301,$B301)</f>
        <v>11652096</v>
      </c>
      <c r="AB301" s="4">
        <f ca="1">_xll.DBRW($B$1,$B$2,$B$7,$B$3,$B$4,$B$5,$F301,$B$6,AB$10,$A301,$B301)</f>
        <v>13108608</v>
      </c>
      <c r="AC301" s="4">
        <f ca="1">_xll.DBRW($B$1,$B$2,$B$7,$B$3,$B$4,$B$5,$F301,$B$6,AC$10,$A301,$B301)</f>
        <v>11652096</v>
      </c>
      <c r="AD301" s="4">
        <f ca="1">_xll.DBRW($B$1,$B$2,$B$7,$B$3,$B$4,$B$5,$F301,$B$6,AD$10,$A301,$B301)</f>
        <v>13108608</v>
      </c>
      <c r="AE301" s="4">
        <f ca="1">_xll.DBRW($B$1,$B$2,$B$7,$B$3,$B$4,$B$5,$F301,$B$6,AE$10,$A301,$B301)</f>
        <v>13108608</v>
      </c>
    </row>
    <row r="302" spans="1:31">
      <c r="A302" s="1" t="s">
        <v>152</v>
      </c>
      <c r="B302" s="5" t="s">
        <v>222</v>
      </c>
      <c r="C302" s="5" t="s">
        <v>196</v>
      </c>
      <c r="D302" s="5" t="s">
        <v>194</v>
      </c>
      <c r="E302" s="5" t="s">
        <v>21</v>
      </c>
      <c r="F302" s="5" t="s">
        <v>25</v>
      </c>
      <c r="G302" s="6"/>
      <c r="H302" s="6"/>
      <c r="I302" s="6"/>
      <c r="J302" s="6"/>
      <c r="K302" s="6"/>
      <c r="L302" s="4">
        <f ca="1">_xll.DBRW($B$1,$B$2,$B$7,$B$3,$B$4,$B$5,$F302,$B$6,L$10,$A302,$B302)</f>
        <v>13108608</v>
      </c>
      <c r="M302" s="4">
        <f ca="1">_xll.DBRW($B$1,$B$2,$B$7,$B$3,$B$4,$B$5,$F302,$B$6,M$10,$A302,$B302)</f>
        <v>11652096</v>
      </c>
      <c r="N302" s="4">
        <f ca="1">_xll.DBRW($B$1,$B$2,$B$7,$B$3,$B$4,$B$5,$F302,$B$6,N$10,$A302,$B302)</f>
        <v>13108608</v>
      </c>
      <c r="O302" s="4">
        <f ca="1">_xll.DBRW($B$1,$B$2,$B$7,$B$3,$B$4,$B$5,$F302,$B$6,O$10,$A302,$B302)</f>
        <v>13108608</v>
      </c>
      <c r="P302" s="4">
        <f ca="1">_xll.DBRW($B$1,$B$2,$B$7,$B$3,$B$4,$B$5,$F302,$B$6,P$10,$A302,$B302)</f>
        <v>11652096</v>
      </c>
      <c r="Q302" s="4">
        <f ca="1">_xll.DBRW($B$1,$B$2,$B$7,$B$3,$B$4,$B$5,$F302,$B$6,Q$10,$A302,$B302)</f>
        <v>13108608</v>
      </c>
      <c r="R302" s="4">
        <f ca="1">_xll.DBRW($B$1,$B$2,$B$7,$B$3,$B$4,$B$5,$F302,$B$6,R$10,$A302,$B302)</f>
        <v>13108608</v>
      </c>
      <c r="S302" s="4">
        <f ca="1">_xll.DBRW($B$1,$B$2,$B$7,$B$3,$B$4,$B$5,$F302,$B$6,S$10,$A302,$B302)</f>
        <v>11652096</v>
      </c>
      <c r="T302" s="4">
        <f ca="1">_xll.DBRW($B$1,$B$2,$B$7,$B$3,$B$4,$B$5,$F302,$B$6,T$10,$A302,$B302)</f>
        <v>13108608</v>
      </c>
      <c r="U302" s="4">
        <f ca="1">_xll.DBRW($B$1,$B$2,$B$7,$B$3,$B$4,$B$5,$F302,$B$6,U$10,$A302,$B302)</f>
        <v>11652096</v>
      </c>
      <c r="V302" s="4">
        <f ca="1">_xll.DBRW($B$1,$B$2,$B$7,$B$3,$B$4,$B$5,$F302,$B$6,V$10,$A302,$B302)</f>
        <v>13108608</v>
      </c>
      <c r="W302" s="4">
        <f ca="1">_xll.DBRW($B$1,$B$2,$B$7,$B$3,$B$4,$B$5,$F302,$B$6,W$10,$A302,$B302)</f>
        <v>13108608</v>
      </c>
      <c r="X302" s="4">
        <f ca="1">_xll.DBRW($B$1,$B$2,$B$7,$B$3,$B$4,$B$5,$F302,$B$6,X$10,$A302,$B302)</f>
        <v>13108608</v>
      </c>
      <c r="Y302" s="4">
        <f ca="1">_xll.DBRW($B$1,$B$2,$B$7,$B$3,$B$4,$B$5,$F302,$B$6,Y$10,$A302,$B302)</f>
        <v>11652096</v>
      </c>
      <c r="Z302" s="4">
        <f ca="1">_xll.DBRW($B$1,$B$2,$B$7,$B$3,$B$4,$B$5,$F302,$B$6,Z$10,$A302,$B302)</f>
        <v>14565120</v>
      </c>
      <c r="AA302" s="4">
        <f ca="1">_xll.DBRW($B$1,$B$2,$B$7,$B$3,$B$4,$B$5,$F302,$B$6,AA$10,$A302,$B302)</f>
        <v>11652096</v>
      </c>
      <c r="AB302" s="4">
        <f ca="1">_xll.DBRW($B$1,$B$2,$B$7,$B$3,$B$4,$B$5,$F302,$B$6,AB$10,$A302,$B302)</f>
        <v>13108608</v>
      </c>
      <c r="AC302" s="4">
        <f ca="1">_xll.DBRW($B$1,$B$2,$B$7,$B$3,$B$4,$B$5,$F302,$B$6,AC$10,$A302,$B302)</f>
        <v>11652096</v>
      </c>
      <c r="AD302" s="4">
        <f ca="1">_xll.DBRW($B$1,$B$2,$B$7,$B$3,$B$4,$B$5,$F302,$B$6,AD$10,$A302,$B302)</f>
        <v>13108608</v>
      </c>
      <c r="AE302" s="4">
        <f ca="1">_xll.DBRW($B$1,$B$2,$B$7,$B$3,$B$4,$B$5,$F302,$B$6,AE$10,$A302,$B302)</f>
        <v>11652096</v>
      </c>
    </row>
    <row r="303" spans="1:31">
      <c r="A303" s="1" t="s">
        <v>152</v>
      </c>
      <c r="B303" s="5" t="s">
        <v>223</v>
      </c>
      <c r="C303" s="5" t="s">
        <v>193</v>
      </c>
      <c r="D303" s="5" t="s">
        <v>21</v>
      </c>
      <c r="E303" s="5" t="s">
        <v>194</v>
      </c>
      <c r="F303" s="5" t="s">
        <v>25</v>
      </c>
      <c r="G303" s="6"/>
      <c r="H303" s="6"/>
      <c r="I303" s="6"/>
      <c r="J303" s="6"/>
      <c r="K303" s="6"/>
      <c r="L303" s="4">
        <f ca="1">_xll.DBRW($B$1,$B$2,$B$7,$B$3,$B$4,$B$5,$F303,$B$6,L$10,$A303,$B303)</f>
        <v>18859776</v>
      </c>
      <c r="M303" s="4">
        <f ca="1">_xll.DBRW($B$1,$B$2,$B$7,$B$3,$B$4,$B$5,$F303,$B$6,M$10,$A303,$B303)</f>
        <v>15958272</v>
      </c>
      <c r="N303" s="4">
        <f ca="1">_xll.DBRW($B$1,$B$2,$B$7,$B$3,$B$4,$B$5,$F303,$B$6,N$10,$A303,$B303)</f>
        <v>18859776</v>
      </c>
      <c r="O303" s="4">
        <f ca="1">_xll.DBRW($B$1,$B$2,$B$7,$B$3,$B$4,$B$5,$F303,$B$6,O$10,$A303,$B303)</f>
        <v>18859776</v>
      </c>
      <c r="P303" s="4">
        <f ca="1">_xll.DBRW($B$1,$B$2,$B$7,$B$3,$B$4,$B$5,$F303,$B$6,P$10,$A303,$B303)</f>
        <v>18859776</v>
      </c>
      <c r="Q303" s="4">
        <f ca="1">_xll.DBRW($B$1,$B$2,$B$7,$B$3,$B$4,$B$5,$F303,$B$6,Q$10,$A303,$B303)</f>
        <v>14507520</v>
      </c>
      <c r="R303" s="4">
        <f ca="1">_xll.DBRW($B$1,$B$2,$B$7,$B$3,$B$4,$B$5,$F303,$B$6,R$10,$A303,$B303)</f>
        <v>13056768</v>
      </c>
      <c r="S303" s="4">
        <f ca="1">_xll.DBRW($B$1,$B$2,$B$7,$B$3,$B$4,$B$5,$F303,$B$6,S$10,$A303,$B303)</f>
        <v>13056768</v>
      </c>
      <c r="T303" s="4">
        <f ca="1">_xll.DBRW($B$1,$B$2,$B$7,$B$3,$B$4,$B$5,$F303,$B$6,T$10,$A303,$B303)</f>
        <v>13056768</v>
      </c>
      <c r="U303" s="4">
        <f ca="1">_xll.DBRW($B$1,$B$2,$B$7,$B$3,$B$4,$B$5,$F303,$B$6,U$10,$A303,$B303)</f>
        <v>11606016</v>
      </c>
      <c r="V303" s="4">
        <f ca="1">_xll.DBRW($B$1,$B$2,$B$7,$B$3,$B$4,$B$5,$F303,$B$6,V$10,$A303,$B303)</f>
        <v>11606016</v>
      </c>
      <c r="W303" s="4">
        <f ca="1">_xll.DBRW($B$1,$B$2,$B$7,$B$3,$B$4,$B$5,$F303,$B$6,W$10,$A303,$B303)</f>
        <v>7253760</v>
      </c>
      <c r="X303" s="4">
        <f ca="1">_xll.DBRW($B$1,$B$2,$B$7,$B$3,$B$4,$B$5,$F303,$B$6,X$10,$A303,$B303)</f>
        <v>5803008</v>
      </c>
      <c r="Y303" s="4">
        <f ca="1">_xll.DBRW($B$1,$B$2,$B$7,$B$3,$B$4,$B$5,$F303,$B$6,Y$10,$A303,$B303)</f>
        <v>5803008</v>
      </c>
      <c r="Z303" s="4">
        <f ca="1">_xll.DBRW($B$1,$B$2,$B$7,$B$3,$B$4,$B$5,$F303,$B$6,Z$10,$A303,$B303)</f>
        <v>7253760</v>
      </c>
      <c r="AA303" s="4">
        <f ca="1">_xll.DBRW($B$1,$B$2,$B$7,$B$3,$B$4,$B$5,$F303,$B$6,AA$10,$A303,$B303)</f>
        <v>5803008</v>
      </c>
      <c r="AB303" s="4">
        <f ca="1">_xll.DBRW($B$1,$B$2,$B$7,$B$3,$B$4,$B$5,$F303,$B$6,AB$10,$A303,$B303)</f>
        <v>5803008</v>
      </c>
      <c r="AC303" s="4">
        <f ca="1">_xll.DBRW($B$1,$B$2,$B$7,$B$3,$B$4,$B$5,$F303,$B$6,AC$10,$A303,$B303)</f>
        <v>8704512</v>
      </c>
      <c r="AD303" s="4">
        <f ca="1">_xll.DBRW($B$1,$B$2,$B$7,$B$3,$B$4,$B$5,$F303,$B$6,AD$10,$A303,$B303)</f>
        <v>11606016</v>
      </c>
      <c r="AE303" s="4">
        <f ca="1">_xll.DBRW($B$1,$B$2,$B$7,$B$3,$B$4,$B$5,$F303,$B$6,AE$10,$A303,$B303)</f>
        <v>13056768</v>
      </c>
    </row>
    <row r="304" spans="1:31">
      <c r="A304" s="1" t="s">
        <v>152</v>
      </c>
      <c r="B304" s="5" t="s">
        <v>224</v>
      </c>
      <c r="C304" s="5" t="s">
        <v>196</v>
      </c>
      <c r="D304" s="5" t="s">
        <v>194</v>
      </c>
      <c r="E304" s="5" t="s">
        <v>21</v>
      </c>
      <c r="F304" s="5" t="s">
        <v>25</v>
      </c>
      <c r="G304" s="6"/>
      <c r="H304" s="6"/>
      <c r="I304" s="6"/>
      <c r="J304" s="6"/>
      <c r="K304" s="6"/>
      <c r="L304" s="4">
        <f ca="1">_xll.DBRW($B$1,$B$2,$B$7,$B$3,$B$4,$B$5,$F304,$B$6,L$10,$A304,$B304)</f>
        <v>18859776</v>
      </c>
      <c r="M304" s="4">
        <f ca="1">_xll.DBRW($B$1,$B$2,$B$7,$B$3,$B$4,$B$5,$F304,$B$6,M$10,$A304,$B304)</f>
        <v>15958272</v>
      </c>
      <c r="N304" s="4">
        <f ca="1">_xll.DBRW($B$1,$B$2,$B$7,$B$3,$B$4,$B$5,$F304,$B$6,N$10,$A304,$B304)</f>
        <v>18859776</v>
      </c>
      <c r="O304" s="4">
        <f ca="1">_xll.DBRW($B$1,$B$2,$B$7,$B$3,$B$4,$B$5,$F304,$B$6,O$10,$A304,$B304)</f>
        <v>18859776</v>
      </c>
      <c r="P304" s="4">
        <f ca="1">_xll.DBRW($B$1,$B$2,$B$7,$B$3,$B$4,$B$5,$F304,$B$6,P$10,$A304,$B304)</f>
        <v>18859776</v>
      </c>
      <c r="Q304" s="4">
        <f ca="1">_xll.DBRW($B$1,$B$2,$B$7,$B$3,$B$4,$B$5,$F304,$B$6,Q$10,$A304,$B304)</f>
        <v>15958272</v>
      </c>
      <c r="R304" s="4">
        <f ca="1">_xll.DBRW($B$1,$B$2,$B$7,$B$3,$B$4,$B$5,$F304,$B$6,R$10,$A304,$B304)</f>
        <v>13056768</v>
      </c>
      <c r="S304" s="4">
        <f ca="1">_xll.DBRW($B$1,$B$2,$B$7,$B$3,$B$4,$B$5,$F304,$B$6,S$10,$A304,$B304)</f>
        <v>13056768</v>
      </c>
      <c r="T304" s="4">
        <f ca="1">_xll.DBRW($B$1,$B$2,$B$7,$B$3,$B$4,$B$5,$F304,$B$6,T$10,$A304,$B304)</f>
        <v>13056768</v>
      </c>
      <c r="U304" s="4">
        <f ca="1">_xll.DBRW($B$1,$B$2,$B$7,$B$3,$B$4,$B$5,$F304,$B$6,U$10,$A304,$B304)</f>
        <v>11606016</v>
      </c>
      <c r="V304" s="4">
        <f ca="1">_xll.DBRW($B$1,$B$2,$B$7,$B$3,$B$4,$B$5,$F304,$B$6,V$10,$A304,$B304)</f>
        <v>11606016</v>
      </c>
      <c r="W304" s="4">
        <f ca="1">_xll.DBRW($B$1,$B$2,$B$7,$B$3,$B$4,$B$5,$F304,$B$6,W$10,$A304,$B304)</f>
        <v>7253760</v>
      </c>
      <c r="X304" s="4">
        <f ca="1">_xll.DBRW($B$1,$B$2,$B$7,$B$3,$B$4,$B$5,$F304,$B$6,X$10,$A304,$B304)</f>
        <v>5803008</v>
      </c>
      <c r="Y304" s="4">
        <f ca="1">_xll.DBRW($B$1,$B$2,$B$7,$B$3,$B$4,$B$5,$F304,$B$6,Y$10,$A304,$B304)</f>
        <v>5803008</v>
      </c>
      <c r="Z304" s="4">
        <f ca="1">_xll.DBRW($B$1,$B$2,$B$7,$B$3,$B$4,$B$5,$F304,$B$6,Z$10,$A304,$B304)</f>
        <v>7253760</v>
      </c>
      <c r="AA304" s="4">
        <f ca="1">_xll.DBRW($B$1,$B$2,$B$7,$B$3,$B$4,$B$5,$F304,$B$6,AA$10,$A304,$B304)</f>
        <v>5803008</v>
      </c>
      <c r="AB304" s="4">
        <f ca="1">_xll.DBRW($B$1,$B$2,$B$7,$B$3,$B$4,$B$5,$F304,$B$6,AB$10,$A304,$B304)</f>
        <v>5803008</v>
      </c>
      <c r="AC304" s="4">
        <f ca="1">_xll.DBRW($B$1,$B$2,$B$7,$B$3,$B$4,$B$5,$F304,$B$6,AC$10,$A304,$B304)</f>
        <v>8704512</v>
      </c>
      <c r="AD304" s="4">
        <f ca="1">_xll.DBRW($B$1,$B$2,$B$7,$B$3,$B$4,$B$5,$F304,$B$6,AD$10,$A304,$B304)</f>
        <v>11606016</v>
      </c>
      <c r="AE304" s="4">
        <f ca="1">_xll.DBRW($B$1,$B$2,$B$7,$B$3,$B$4,$B$5,$F304,$B$6,AE$10,$A304,$B304)</f>
        <v>13056768</v>
      </c>
    </row>
    <row r="305" spans="1:31">
      <c r="A305" s="1" t="s">
        <v>152</v>
      </c>
      <c r="B305" s="5" t="s">
        <v>225</v>
      </c>
      <c r="C305" s="5" t="s">
        <v>226</v>
      </c>
      <c r="D305" s="5" t="s">
        <v>21</v>
      </c>
      <c r="E305" s="5" t="s">
        <v>227</v>
      </c>
      <c r="F305" s="5" t="s">
        <v>25</v>
      </c>
      <c r="G305" s="6"/>
      <c r="H305" s="6"/>
      <c r="I305" s="6"/>
      <c r="J305" s="6"/>
      <c r="K305" s="6"/>
      <c r="L305" s="4">
        <f ca="1">_xll.DBRW($B$1,$B$2,$B$7,$B$3,$B$4,$B$5,$F305,$B$6,L$10,$A305,$B305)</f>
        <v>0</v>
      </c>
      <c r="M305" s="4">
        <f ca="1">_xll.DBRW($B$1,$B$2,$B$7,$B$3,$B$4,$B$5,$F305,$B$6,M$10,$A305,$B305)</f>
        <v>0</v>
      </c>
      <c r="N305" s="4">
        <f ca="1">_xll.DBRW($B$1,$B$2,$B$7,$B$3,$B$4,$B$5,$F305,$B$6,N$10,$A305,$B305)</f>
        <v>0</v>
      </c>
      <c r="O305" s="4">
        <f ca="1">_xll.DBRW($B$1,$B$2,$B$7,$B$3,$B$4,$B$5,$F305,$B$6,O$10,$A305,$B305)</f>
        <v>0</v>
      </c>
      <c r="P305" s="4">
        <f ca="1">_xll.DBRW($B$1,$B$2,$B$7,$B$3,$B$4,$B$5,$F305,$B$6,P$10,$A305,$B305)</f>
        <v>0</v>
      </c>
      <c r="Q305" s="4">
        <f ca="1">_xll.DBRW($B$1,$B$2,$B$7,$B$3,$B$4,$B$5,$F305,$B$6,Q$10,$A305,$B305)</f>
        <v>2548768</v>
      </c>
      <c r="R305" s="4">
        <f ca="1">_xll.DBRW($B$1,$B$2,$B$7,$B$3,$B$4,$B$5,$F305,$B$6,R$10,$A305,$B305)</f>
        <v>10195072</v>
      </c>
      <c r="S305" s="4">
        <f ca="1">_xll.DBRW($B$1,$B$2,$B$7,$B$3,$B$4,$B$5,$F305,$B$6,S$10,$A305,$B305)</f>
        <v>0</v>
      </c>
      <c r="T305" s="4">
        <f ca="1">_xll.DBRW($B$1,$B$2,$B$7,$B$3,$B$4,$B$5,$F305,$B$6,T$10,$A305,$B305)</f>
        <v>0</v>
      </c>
      <c r="U305" s="4">
        <f ca="1">_xll.DBRW($B$1,$B$2,$B$7,$B$3,$B$4,$B$5,$F305,$B$6,U$10,$A305,$B305)</f>
        <v>0</v>
      </c>
      <c r="V305" s="4">
        <f ca="1">_xll.DBRW($B$1,$B$2,$B$7,$B$3,$B$4,$B$5,$F305,$B$6,V$10,$A305,$B305)</f>
        <v>0</v>
      </c>
      <c r="W305" s="4">
        <f ca="1">_xll.DBRW($B$1,$B$2,$B$7,$B$3,$B$4,$B$5,$F305,$B$6,W$10,$A305,$B305)</f>
        <v>0</v>
      </c>
      <c r="X305" s="4">
        <f ca="1">_xll.DBRW($B$1,$B$2,$B$7,$B$3,$B$4,$B$5,$F305,$B$6,X$10,$A305,$B305)</f>
        <v>0</v>
      </c>
      <c r="Y305" s="4">
        <f ca="1">_xll.DBRW($B$1,$B$2,$B$7,$B$3,$B$4,$B$5,$F305,$B$6,Y$10,$A305,$B305)</f>
        <v>0</v>
      </c>
      <c r="Z305" s="4">
        <f ca="1">_xll.DBRW($B$1,$B$2,$B$7,$B$3,$B$4,$B$5,$F305,$B$6,Z$10,$A305,$B305)</f>
        <v>0</v>
      </c>
      <c r="AA305" s="4">
        <f ca="1">_xll.DBRW($B$1,$B$2,$B$7,$B$3,$B$4,$B$5,$F305,$B$6,AA$10,$A305,$B305)</f>
        <v>0</v>
      </c>
      <c r="AB305" s="4">
        <f ca="1">_xll.DBRW($B$1,$B$2,$B$7,$B$3,$B$4,$B$5,$F305,$B$6,AB$10,$A305,$B305)</f>
        <v>0</v>
      </c>
      <c r="AC305" s="4">
        <f ca="1">_xll.DBRW($B$1,$B$2,$B$7,$B$3,$B$4,$B$5,$F305,$B$6,AC$10,$A305,$B305)</f>
        <v>0</v>
      </c>
      <c r="AD305" s="4">
        <f ca="1">_xll.DBRW($B$1,$B$2,$B$7,$B$3,$B$4,$B$5,$F305,$B$6,AD$10,$A305,$B305)</f>
        <v>0</v>
      </c>
      <c r="AE305" s="4">
        <f ca="1">_xll.DBRW($B$1,$B$2,$B$7,$B$3,$B$4,$B$5,$F305,$B$6,AE$10,$A305,$B305)</f>
        <v>0</v>
      </c>
    </row>
    <row r="306" spans="1:31">
      <c r="A306" s="1" t="s">
        <v>152</v>
      </c>
      <c r="B306" s="5" t="s">
        <v>228</v>
      </c>
      <c r="C306" s="5" t="s">
        <v>229</v>
      </c>
      <c r="D306" s="5" t="s">
        <v>227</v>
      </c>
      <c r="E306" s="5" t="s">
        <v>21</v>
      </c>
      <c r="F306" s="5" t="s">
        <v>25</v>
      </c>
      <c r="G306" s="6"/>
      <c r="H306" s="6"/>
      <c r="I306" s="6"/>
      <c r="J306" s="6"/>
      <c r="K306" s="6"/>
      <c r="L306" s="4">
        <f ca="1">_xll.DBRW($B$1,$B$2,$B$7,$B$3,$B$4,$B$5,$F306,$B$6,L$10,$A306,$B306)</f>
        <v>0</v>
      </c>
      <c r="M306" s="4">
        <f ca="1">_xll.DBRW($B$1,$B$2,$B$7,$B$3,$B$4,$B$5,$F306,$B$6,M$10,$A306,$B306)</f>
        <v>0</v>
      </c>
      <c r="N306" s="4">
        <f ca="1">_xll.DBRW($B$1,$B$2,$B$7,$B$3,$B$4,$B$5,$F306,$B$6,N$10,$A306,$B306)</f>
        <v>0</v>
      </c>
      <c r="O306" s="4">
        <f ca="1">_xll.DBRW($B$1,$B$2,$B$7,$B$3,$B$4,$B$5,$F306,$B$6,O$10,$A306,$B306)</f>
        <v>0</v>
      </c>
      <c r="P306" s="4">
        <f ca="1">_xll.DBRW($B$1,$B$2,$B$7,$B$3,$B$4,$B$5,$F306,$B$6,P$10,$A306,$B306)</f>
        <v>0</v>
      </c>
      <c r="Q306" s="4">
        <f ca="1">_xll.DBRW($B$1,$B$2,$B$7,$B$3,$B$4,$B$5,$F306,$B$6,Q$10,$A306,$B306)</f>
        <v>2548768</v>
      </c>
      <c r="R306" s="4">
        <f ca="1">_xll.DBRW($B$1,$B$2,$B$7,$B$3,$B$4,$B$5,$F306,$B$6,R$10,$A306,$B306)</f>
        <v>10195072</v>
      </c>
      <c r="S306" s="4">
        <f ca="1">_xll.DBRW($B$1,$B$2,$B$7,$B$3,$B$4,$B$5,$F306,$B$6,S$10,$A306,$B306)</f>
        <v>0</v>
      </c>
      <c r="T306" s="4">
        <f ca="1">_xll.DBRW($B$1,$B$2,$B$7,$B$3,$B$4,$B$5,$F306,$B$6,T$10,$A306,$B306)</f>
        <v>0</v>
      </c>
      <c r="U306" s="4">
        <f ca="1">_xll.DBRW($B$1,$B$2,$B$7,$B$3,$B$4,$B$5,$F306,$B$6,U$10,$A306,$B306)</f>
        <v>0</v>
      </c>
      <c r="V306" s="4">
        <f ca="1">_xll.DBRW($B$1,$B$2,$B$7,$B$3,$B$4,$B$5,$F306,$B$6,V$10,$A306,$B306)</f>
        <v>0</v>
      </c>
      <c r="W306" s="4">
        <f ca="1">_xll.DBRW($B$1,$B$2,$B$7,$B$3,$B$4,$B$5,$F306,$B$6,W$10,$A306,$B306)</f>
        <v>0</v>
      </c>
      <c r="X306" s="4">
        <f ca="1">_xll.DBRW($B$1,$B$2,$B$7,$B$3,$B$4,$B$5,$F306,$B$6,X$10,$A306,$B306)</f>
        <v>0</v>
      </c>
      <c r="Y306" s="4">
        <f ca="1">_xll.DBRW($B$1,$B$2,$B$7,$B$3,$B$4,$B$5,$F306,$B$6,Y$10,$A306,$B306)</f>
        <v>0</v>
      </c>
      <c r="Z306" s="4">
        <f ca="1">_xll.DBRW($B$1,$B$2,$B$7,$B$3,$B$4,$B$5,$F306,$B$6,Z$10,$A306,$B306)</f>
        <v>0</v>
      </c>
      <c r="AA306" s="4">
        <f ca="1">_xll.DBRW($B$1,$B$2,$B$7,$B$3,$B$4,$B$5,$F306,$B$6,AA$10,$A306,$B306)</f>
        <v>0</v>
      </c>
      <c r="AB306" s="4">
        <f ca="1">_xll.DBRW($B$1,$B$2,$B$7,$B$3,$B$4,$B$5,$F306,$B$6,AB$10,$A306,$B306)</f>
        <v>0</v>
      </c>
      <c r="AC306" s="4">
        <f ca="1">_xll.DBRW($B$1,$B$2,$B$7,$B$3,$B$4,$B$5,$F306,$B$6,AC$10,$A306,$B306)</f>
        <v>0</v>
      </c>
      <c r="AD306" s="4">
        <f ca="1">_xll.DBRW($B$1,$B$2,$B$7,$B$3,$B$4,$B$5,$F306,$B$6,AD$10,$A306,$B306)</f>
        <v>0</v>
      </c>
      <c r="AE306" s="4">
        <f ca="1">_xll.DBRW($B$1,$B$2,$B$7,$B$3,$B$4,$B$5,$F306,$B$6,AE$10,$A306,$B306)</f>
        <v>0</v>
      </c>
    </row>
    <row r="307" spans="1:31">
      <c r="A307" s="1" t="s">
        <v>152</v>
      </c>
      <c r="B307" s="5" t="s">
        <v>230</v>
      </c>
      <c r="C307" s="5" t="s">
        <v>210</v>
      </c>
      <c r="D307" s="5" t="s">
        <v>21</v>
      </c>
      <c r="E307" s="5" t="s">
        <v>211</v>
      </c>
      <c r="F307" s="5" t="s">
        <v>25</v>
      </c>
      <c r="G307" s="6"/>
      <c r="H307" s="6"/>
      <c r="I307" s="6"/>
      <c r="J307" s="6"/>
      <c r="K307" s="6"/>
      <c r="L307" s="4">
        <f ca="1">_xll.DBRW($B$1,$B$2,$B$7,$B$3,$B$4,$B$5,$F307,$B$6,L$10,$A307,$B307)</f>
        <v>2688050</v>
      </c>
      <c r="M307" s="4">
        <f ca="1">_xll.DBRW($B$1,$B$2,$B$7,$B$3,$B$4,$B$5,$F307,$B$6,M$10,$A307,$B307)</f>
        <v>5376100</v>
      </c>
      <c r="N307" s="4">
        <f ca="1">_xll.DBRW($B$1,$B$2,$B$7,$B$3,$B$4,$B$5,$F307,$B$6,N$10,$A307,$B307)</f>
        <v>5376100</v>
      </c>
      <c r="O307" s="4">
        <f ca="1">_xll.DBRW($B$1,$B$2,$B$7,$B$3,$B$4,$B$5,$F307,$B$6,O$10,$A307,$B307)</f>
        <v>6720125</v>
      </c>
      <c r="P307" s="4">
        <f ca="1">_xll.DBRW($B$1,$B$2,$B$7,$B$3,$B$4,$B$5,$F307,$B$6,P$10,$A307,$B307)</f>
        <v>5376100</v>
      </c>
      <c r="Q307" s="4">
        <f ca="1">_xll.DBRW($B$1,$B$2,$B$7,$B$3,$B$4,$B$5,$F307,$B$6,Q$10,$A307,$B307)</f>
        <v>5376100</v>
      </c>
      <c r="R307" s="4">
        <f ca="1">_xll.DBRW($B$1,$B$2,$B$7,$B$3,$B$4,$B$5,$F307,$B$6,R$10,$A307,$B307)</f>
        <v>0</v>
      </c>
      <c r="S307" s="4">
        <f ca="1">_xll.DBRW($B$1,$B$2,$B$7,$B$3,$B$4,$B$5,$F307,$B$6,S$10,$A307,$B307)</f>
        <v>0</v>
      </c>
      <c r="T307" s="4">
        <f ca="1">_xll.DBRW($B$1,$B$2,$B$7,$B$3,$B$4,$B$5,$F307,$B$6,T$10,$A307,$B307)</f>
        <v>0</v>
      </c>
      <c r="U307" s="4">
        <f ca="1">_xll.DBRW($B$1,$B$2,$B$7,$B$3,$B$4,$B$5,$F307,$B$6,U$10,$A307,$B307)</f>
        <v>0</v>
      </c>
      <c r="V307" s="4">
        <f ca="1">_xll.DBRW($B$1,$B$2,$B$7,$B$3,$B$4,$B$5,$F307,$B$6,V$10,$A307,$B307)</f>
        <v>0</v>
      </c>
      <c r="W307" s="4">
        <f ca="1">_xll.DBRW($B$1,$B$2,$B$7,$B$3,$B$4,$B$5,$F307,$B$6,W$10,$A307,$B307)</f>
        <v>5347040</v>
      </c>
      <c r="X307" s="4">
        <f ca="1">_xll.DBRW($B$1,$B$2,$B$7,$B$3,$B$4,$B$5,$F307,$B$6,X$10,$A307,$B307)</f>
        <v>6683800</v>
      </c>
      <c r="Y307" s="4">
        <f ca="1">_xll.DBRW($B$1,$B$2,$B$7,$B$3,$B$4,$B$5,$F307,$B$6,Y$10,$A307,$B307)</f>
        <v>5347040</v>
      </c>
      <c r="Z307" s="4">
        <f ca="1">_xll.DBRW($B$1,$B$2,$B$7,$B$3,$B$4,$B$5,$F307,$B$6,Z$10,$A307,$B307)</f>
        <v>6683800</v>
      </c>
      <c r="AA307" s="4">
        <f ca="1">_xll.DBRW($B$1,$B$2,$B$7,$B$3,$B$4,$B$5,$F307,$B$6,AA$10,$A307,$B307)</f>
        <v>5347040</v>
      </c>
      <c r="AB307" s="4">
        <f ca="1">_xll.DBRW($B$1,$B$2,$B$7,$B$3,$B$4,$B$5,$F307,$B$6,AB$10,$A307,$B307)</f>
        <v>5347040</v>
      </c>
      <c r="AC307" s="4">
        <f ca="1">_xll.DBRW($B$1,$B$2,$B$7,$B$3,$B$4,$B$5,$F307,$B$6,AC$10,$A307,$B307)</f>
        <v>0</v>
      </c>
      <c r="AD307" s="4">
        <f ca="1">_xll.DBRW($B$1,$B$2,$B$7,$B$3,$B$4,$B$5,$F307,$B$6,AD$10,$A307,$B307)</f>
        <v>0</v>
      </c>
      <c r="AE307" s="4">
        <f ca="1">_xll.DBRW($B$1,$B$2,$B$7,$B$3,$B$4,$B$5,$F307,$B$6,AE$10,$A307,$B307)</f>
        <v>0</v>
      </c>
    </row>
    <row r="308" spans="1:31">
      <c r="A308" s="1" t="s">
        <v>152</v>
      </c>
      <c r="B308" s="5" t="s">
        <v>231</v>
      </c>
      <c r="C308" s="5" t="s">
        <v>213</v>
      </c>
      <c r="D308" s="5" t="s">
        <v>211</v>
      </c>
      <c r="E308" s="5" t="s">
        <v>21</v>
      </c>
      <c r="F308" s="5" t="s">
        <v>25</v>
      </c>
      <c r="G308" s="6"/>
      <c r="H308" s="6"/>
      <c r="I308" s="6"/>
      <c r="J308" s="6"/>
      <c r="K308" s="6"/>
      <c r="L308" s="4">
        <f ca="1">_xll.DBRW($B$1,$B$2,$B$7,$B$3,$B$4,$B$5,$F308,$B$6,L$10,$A308,$B308)</f>
        <v>2688050</v>
      </c>
      <c r="M308" s="4">
        <f ca="1">_xll.DBRW($B$1,$B$2,$B$7,$B$3,$B$4,$B$5,$F308,$B$6,M$10,$A308,$B308)</f>
        <v>5376100</v>
      </c>
      <c r="N308" s="4">
        <f ca="1">_xll.DBRW($B$1,$B$2,$B$7,$B$3,$B$4,$B$5,$F308,$B$6,N$10,$A308,$B308)</f>
        <v>5376100</v>
      </c>
      <c r="O308" s="4">
        <f ca="1">_xll.DBRW($B$1,$B$2,$B$7,$B$3,$B$4,$B$5,$F308,$B$6,O$10,$A308,$B308)</f>
        <v>6720125</v>
      </c>
      <c r="P308" s="4">
        <f ca="1">_xll.DBRW($B$1,$B$2,$B$7,$B$3,$B$4,$B$5,$F308,$B$6,P$10,$A308,$B308)</f>
        <v>5376100</v>
      </c>
      <c r="Q308" s="4">
        <f ca="1">_xll.DBRW($B$1,$B$2,$B$7,$B$3,$B$4,$B$5,$F308,$B$6,Q$10,$A308,$B308)</f>
        <v>5376100</v>
      </c>
      <c r="R308" s="4">
        <f ca="1">_xll.DBRW($B$1,$B$2,$B$7,$B$3,$B$4,$B$5,$F308,$B$6,R$10,$A308,$B308)</f>
        <v>0</v>
      </c>
      <c r="S308" s="4">
        <f ca="1">_xll.DBRW($B$1,$B$2,$B$7,$B$3,$B$4,$B$5,$F308,$B$6,S$10,$A308,$B308)</f>
        <v>0</v>
      </c>
      <c r="T308" s="4">
        <f ca="1">_xll.DBRW($B$1,$B$2,$B$7,$B$3,$B$4,$B$5,$F308,$B$6,T$10,$A308,$B308)</f>
        <v>0</v>
      </c>
      <c r="U308" s="4">
        <f ca="1">_xll.DBRW($B$1,$B$2,$B$7,$B$3,$B$4,$B$5,$F308,$B$6,U$10,$A308,$B308)</f>
        <v>0</v>
      </c>
      <c r="V308" s="4">
        <f ca="1">_xll.DBRW($B$1,$B$2,$B$7,$B$3,$B$4,$B$5,$F308,$B$6,V$10,$A308,$B308)</f>
        <v>0</v>
      </c>
      <c r="W308" s="4">
        <f ca="1">_xll.DBRW($B$1,$B$2,$B$7,$B$3,$B$4,$B$5,$F308,$B$6,W$10,$A308,$B308)</f>
        <v>5347040</v>
      </c>
      <c r="X308" s="4">
        <f ca="1">_xll.DBRW($B$1,$B$2,$B$7,$B$3,$B$4,$B$5,$F308,$B$6,X$10,$A308,$B308)</f>
        <v>6683800</v>
      </c>
      <c r="Y308" s="4">
        <f ca="1">_xll.DBRW($B$1,$B$2,$B$7,$B$3,$B$4,$B$5,$F308,$B$6,Y$10,$A308,$B308)</f>
        <v>5347040</v>
      </c>
      <c r="Z308" s="4">
        <f ca="1">_xll.DBRW($B$1,$B$2,$B$7,$B$3,$B$4,$B$5,$F308,$B$6,Z$10,$A308,$B308)</f>
        <v>6683800</v>
      </c>
      <c r="AA308" s="4">
        <f ca="1">_xll.DBRW($B$1,$B$2,$B$7,$B$3,$B$4,$B$5,$F308,$B$6,AA$10,$A308,$B308)</f>
        <v>5347040</v>
      </c>
      <c r="AB308" s="4">
        <f ca="1">_xll.DBRW($B$1,$B$2,$B$7,$B$3,$B$4,$B$5,$F308,$B$6,AB$10,$A308,$B308)</f>
        <v>5347040</v>
      </c>
      <c r="AC308" s="4">
        <f ca="1">_xll.DBRW($B$1,$B$2,$B$7,$B$3,$B$4,$B$5,$F308,$B$6,AC$10,$A308,$B308)</f>
        <v>0</v>
      </c>
      <c r="AD308" s="4">
        <f ca="1">_xll.DBRW($B$1,$B$2,$B$7,$B$3,$B$4,$B$5,$F308,$B$6,AD$10,$A308,$B308)</f>
        <v>0</v>
      </c>
      <c r="AE308" s="4">
        <f ca="1">_xll.DBRW($B$1,$B$2,$B$7,$B$3,$B$4,$B$5,$F308,$B$6,AE$10,$A308,$B308)</f>
        <v>0</v>
      </c>
    </row>
    <row r="309" spans="1:31">
      <c r="A309" s="1" t="s">
        <v>152</v>
      </c>
      <c r="B309" s="5" t="s">
        <v>232</v>
      </c>
      <c r="C309" s="5" t="s">
        <v>233</v>
      </c>
      <c r="D309" s="5" t="s">
        <v>21</v>
      </c>
      <c r="E309" s="5" t="s">
        <v>234</v>
      </c>
      <c r="F309" s="5" t="s">
        <v>25</v>
      </c>
      <c r="G309" s="6"/>
      <c r="H309" s="6"/>
      <c r="I309" s="6"/>
      <c r="J309" s="6"/>
      <c r="K309" s="6"/>
      <c r="L309" s="4">
        <f ca="1">_xll.DBRW($B$1,$B$2,$B$7,$B$3,$B$4,$B$5,$F309,$B$6,L$10,$A309,$B309)</f>
        <v>10401440</v>
      </c>
      <c r="M309" s="4">
        <f ca="1">_xll.DBRW($B$1,$B$2,$B$7,$B$3,$B$4,$B$5,$F309,$B$6,M$10,$A309,$B309)</f>
        <v>11701620</v>
      </c>
      <c r="N309" s="4">
        <f ca="1">_xll.DBRW($B$1,$B$2,$B$7,$B$3,$B$4,$B$5,$F309,$B$6,N$10,$A309,$B309)</f>
        <v>11701620</v>
      </c>
      <c r="O309" s="4">
        <f ca="1">_xll.DBRW($B$1,$B$2,$B$7,$B$3,$B$4,$B$5,$F309,$B$6,O$10,$A309,$B309)</f>
        <v>11701620</v>
      </c>
      <c r="P309" s="4">
        <f ca="1">_xll.DBRW($B$1,$B$2,$B$7,$B$3,$B$4,$B$5,$F309,$B$6,P$10,$A309,$B309)</f>
        <v>10401440</v>
      </c>
      <c r="Q309" s="4">
        <f ca="1">_xll.DBRW($B$1,$B$2,$B$7,$B$3,$B$4,$B$5,$F309,$B$6,Q$10,$A309,$B309)</f>
        <v>11694592</v>
      </c>
      <c r="R309" s="4">
        <f ca="1">_xll.DBRW($B$1,$B$2,$B$7,$B$3,$B$4,$B$5,$F309,$B$6,R$10,$A309,$B309)</f>
        <v>18104128</v>
      </c>
      <c r="S309" s="4">
        <f ca="1">_xll.DBRW($B$1,$B$2,$B$7,$B$3,$B$4,$B$5,$F309,$B$6,S$10,$A309,$B309)</f>
        <v>16810976</v>
      </c>
      <c r="T309" s="4">
        <f ca="1">_xll.DBRW($B$1,$B$2,$B$7,$B$3,$B$4,$B$5,$F309,$B$6,T$10,$A309,$B309)</f>
        <v>16902340</v>
      </c>
      <c r="U309" s="4">
        <f ca="1">_xll.DBRW($B$1,$B$2,$B$7,$B$3,$B$4,$B$5,$F309,$B$6,U$10,$A309,$B309)</f>
        <v>15602160</v>
      </c>
      <c r="V309" s="4">
        <f ca="1">_xll.DBRW($B$1,$B$2,$B$7,$B$3,$B$4,$B$5,$F309,$B$6,V$10,$A309,$B309)</f>
        <v>16902340</v>
      </c>
      <c r="W309" s="4">
        <f ca="1">_xll.DBRW($B$1,$B$2,$B$7,$B$3,$B$4,$B$5,$F309,$B$6,W$10,$A309,$B309)</f>
        <v>11673508</v>
      </c>
      <c r="X309" s="4">
        <f ca="1">_xll.DBRW($B$1,$B$2,$B$7,$B$3,$B$4,$B$5,$F309,$B$6,X$10,$A309,$B309)</f>
        <v>11666480</v>
      </c>
      <c r="Y309" s="4">
        <f ca="1">_xll.DBRW($B$1,$B$2,$B$7,$B$3,$B$4,$B$5,$F309,$B$6,Y$10,$A309,$B309)</f>
        <v>10373328</v>
      </c>
      <c r="Z309" s="4">
        <f ca="1">_xll.DBRW($B$1,$B$2,$B$7,$B$3,$B$4,$B$5,$F309,$B$6,Z$10,$A309,$B309)</f>
        <v>11673508</v>
      </c>
      <c r="AA309" s="4">
        <f ca="1">_xll.DBRW($B$1,$B$2,$B$7,$B$3,$B$4,$B$5,$F309,$B$6,AA$10,$A309,$B309)</f>
        <v>11666480</v>
      </c>
      <c r="AB309" s="4">
        <f ca="1">_xll.DBRW($B$1,$B$2,$B$7,$B$3,$B$4,$B$5,$F309,$B$6,AB$10,$A309,$B309)</f>
        <v>11673508</v>
      </c>
      <c r="AC309" s="4">
        <f ca="1">_xll.DBRW($B$1,$B$2,$B$7,$B$3,$B$4,$B$5,$F309,$B$6,AC$10,$A309,$B309)</f>
        <v>16902340</v>
      </c>
      <c r="AD309" s="4">
        <f ca="1">_xll.DBRW($B$1,$B$2,$B$7,$B$3,$B$4,$B$5,$F309,$B$6,AD$10,$A309,$B309)</f>
        <v>16902340</v>
      </c>
      <c r="AE309" s="4">
        <f ca="1">_xll.DBRW($B$1,$B$2,$B$7,$B$3,$B$4,$B$5,$F309,$B$6,AE$10,$A309,$B309)</f>
        <v>16902340</v>
      </c>
    </row>
    <row r="310" spans="1:31">
      <c r="A310" s="1" t="s">
        <v>152</v>
      </c>
      <c r="B310" s="5" t="s">
        <v>235</v>
      </c>
      <c r="C310" s="5" t="s">
        <v>236</v>
      </c>
      <c r="D310" s="5" t="s">
        <v>234</v>
      </c>
      <c r="E310" s="5" t="s">
        <v>21</v>
      </c>
      <c r="F310" s="5" t="s">
        <v>25</v>
      </c>
      <c r="G310" s="6"/>
      <c r="H310" s="6"/>
      <c r="I310" s="6"/>
      <c r="J310" s="6"/>
      <c r="K310" s="6"/>
      <c r="L310" s="4">
        <f ca="1">_xll.DBRW($B$1,$B$2,$B$7,$B$3,$B$4,$B$5,$F310,$B$6,L$10,$A310,$B310)</f>
        <v>10401440</v>
      </c>
      <c r="M310" s="4">
        <f ca="1">_xll.DBRW($B$1,$B$2,$B$7,$B$3,$B$4,$B$5,$F310,$B$6,M$10,$A310,$B310)</f>
        <v>11701620</v>
      </c>
      <c r="N310" s="4">
        <f ca="1">_xll.DBRW($B$1,$B$2,$B$7,$B$3,$B$4,$B$5,$F310,$B$6,N$10,$A310,$B310)</f>
        <v>11701620</v>
      </c>
      <c r="O310" s="4">
        <f ca="1">_xll.DBRW($B$1,$B$2,$B$7,$B$3,$B$4,$B$5,$F310,$B$6,O$10,$A310,$B310)</f>
        <v>11701620</v>
      </c>
      <c r="P310" s="4">
        <f ca="1">_xll.DBRW($B$1,$B$2,$B$7,$B$3,$B$4,$B$5,$F310,$B$6,P$10,$A310,$B310)</f>
        <v>10401440</v>
      </c>
      <c r="Q310" s="4">
        <f ca="1">_xll.DBRW($B$1,$B$2,$B$7,$B$3,$B$4,$B$5,$F310,$B$6,Q$10,$A310,$B310)</f>
        <v>11694592</v>
      </c>
      <c r="R310" s="4">
        <f ca="1">_xll.DBRW($B$1,$B$2,$B$7,$B$3,$B$4,$B$5,$F310,$B$6,R$10,$A310,$B310)</f>
        <v>18104128</v>
      </c>
      <c r="S310" s="4">
        <f ca="1">_xll.DBRW($B$1,$B$2,$B$7,$B$3,$B$4,$B$5,$F310,$B$6,S$10,$A310,$B310)</f>
        <v>16810976</v>
      </c>
      <c r="T310" s="4">
        <f ca="1">_xll.DBRW($B$1,$B$2,$B$7,$B$3,$B$4,$B$5,$F310,$B$6,T$10,$A310,$B310)</f>
        <v>16902340</v>
      </c>
      <c r="U310" s="4">
        <f ca="1">_xll.DBRW($B$1,$B$2,$B$7,$B$3,$B$4,$B$5,$F310,$B$6,U$10,$A310,$B310)</f>
        <v>15602160</v>
      </c>
      <c r="V310" s="4">
        <f ca="1">_xll.DBRW($B$1,$B$2,$B$7,$B$3,$B$4,$B$5,$F310,$B$6,V$10,$A310,$B310)</f>
        <v>16902340</v>
      </c>
      <c r="W310" s="4">
        <f ca="1">_xll.DBRW($B$1,$B$2,$B$7,$B$3,$B$4,$B$5,$F310,$B$6,W$10,$A310,$B310)</f>
        <v>11673508</v>
      </c>
      <c r="X310" s="4">
        <f ca="1">_xll.DBRW($B$1,$B$2,$B$7,$B$3,$B$4,$B$5,$F310,$B$6,X$10,$A310,$B310)</f>
        <v>11666480</v>
      </c>
      <c r="Y310" s="4">
        <f ca="1">_xll.DBRW($B$1,$B$2,$B$7,$B$3,$B$4,$B$5,$F310,$B$6,Y$10,$A310,$B310)</f>
        <v>10373328</v>
      </c>
      <c r="Z310" s="4">
        <f ca="1">_xll.DBRW($B$1,$B$2,$B$7,$B$3,$B$4,$B$5,$F310,$B$6,Z$10,$A310,$B310)</f>
        <v>11673508</v>
      </c>
      <c r="AA310" s="4">
        <f ca="1">_xll.DBRW($B$1,$B$2,$B$7,$B$3,$B$4,$B$5,$F310,$B$6,AA$10,$A310,$B310)</f>
        <v>11666480</v>
      </c>
      <c r="AB310" s="4">
        <f ca="1">_xll.DBRW($B$1,$B$2,$B$7,$B$3,$B$4,$B$5,$F310,$B$6,AB$10,$A310,$B310)</f>
        <v>11673508</v>
      </c>
      <c r="AC310" s="4">
        <f ca="1">_xll.DBRW($B$1,$B$2,$B$7,$B$3,$B$4,$B$5,$F310,$B$6,AC$10,$A310,$B310)</f>
        <v>16902340</v>
      </c>
      <c r="AD310" s="4">
        <f ca="1">_xll.DBRW($B$1,$B$2,$B$7,$B$3,$B$4,$B$5,$F310,$B$6,AD$10,$A310,$B310)</f>
        <v>16902340</v>
      </c>
      <c r="AE310" s="4">
        <f ca="1">_xll.DBRW($B$1,$B$2,$B$7,$B$3,$B$4,$B$5,$F310,$B$6,AE$10,$A310,$B310)</f>
        <v>16902340</v>
      </c>
    </row>
    <row r="311" spans="1:31">
      <c r="A311" s="1" t="s">
        <v>152</v>
      </c>
      <c r="B311" s="5" t="s">
        <v>237</v>
      </c>
      <c r="C311" s="5" t="s">
        <v>238</v>
      </c>
      <c r="D311" s="5" t="s">
        <v>21</v>
      </c>
      <c r="E311" s="5" t="s">
        <v>239</v>
      </c>
      <c r="F311" s="5" t="s">
        <v>25</v>
      </c>
      <c r="G311" s="6"/>
      <c r="H311" s="6"/>
      <c r="I311" s="6"/>
      <c r="J311" s="6"/>
      <c r="K311" s="6"/>
      <c r="L311" s="4">
        <f ca="1">_xll.DBRW($B$1,$B$2,$B$7,$B$3,$B$4,$B$5,$F311,$B$6,L$10,$A311,$B311)</f>
        <v>0</v>
      </c>
      <c r="M311" s="4">
        <f ca="1">_xll.DBRW($B$1,$B$2,$B$7,$B$3,$B$4,$B$5,$F311,$B$6,M$10,$A311,$B311)</f>
        <v>0</v>
      </c>
      <c r="N311" s="4">
        <f ca="1">_xll.DBRW($B$1,$B$2,$B$7,$B$3,$B$4,$B$5,$F311,$B$6,N$10,$A311,$B311)</f>
        <v>0</v>
      </c>
      <c r="O311" s="4">
        <f ca="1">_xll.DBRW($B$1,$B$2,$B$7,$B$3,$B$4,$B$5,$F311,$B$6,O$10,$A311,$B311)</f>
        <v>0</v>
      </c>
      <c r="P311" s="4">
        <f ca="1">_xll.DBRW($B$1,$B$2,$B$7,$B$3,$B$4,$B$5,$F311,$B$6,P$10,$A311,$B311)</f>
        <v>0</v>
      </c>
      <c r="Q311" s="4">
        <f ca="1">_xll.DBRW($B$1,$B$2,$B$7,$B$3,$B$4,$B$5,$F311,$B$6,Q$10,$A311,$B311)</f>
        <v>0</v>
      </c>
      <c r="R311" s="4">
        <f ca="1">_xll.DBRW($B$1,$B$2,$B$7,$B$3,$B$4,$B$5,$F311,$B$6,R$10,$A311,$B311)</f>
        <v>0</v>
      </c>
      <c r="S311" s="4">
        <f ca="1">_xll.DBRW($B$1,$B$2,$B$7,$B$3,$B$4,$B$5,$F311,$B$6,S$10,$A311,$B311)</f>
        <v>0</v>
      </c>
      <c r="T311" s="4">
        <f ca="1">_xll.DBRW($B$1,$B$2,$B$7,$B$3,$B$4,$B$5,$F311,$B$6,T$10,$A311,$B311)</f>
        <v>0</v>
      </c>
      <c r="U311" s="4">
        <f ca="1">_xll.DBRW($B$1,$B$2,$B$7,$B$3,$B$4,$B$5,$F311,$B$6,U$10,$A311,$B311)</f>
        <v>0</v>
      </c>
      <c r="V311" s="4">
        <f ca="1">_xll.DBRW($B$1,$B$2,$B$7,$B$3,$B$4,$B$5,$F311,$B$6,V$10,$A311,$B311)</f>
        <v>3623424</v>
      </c>
      <c r="W311" s="4">
        <f ca="1">_xll.DBRW($B$1,$B$2,$B$7,$B$3,$B$4,$B$5,$F311,$B$6,W$10,$A311,$B311)</f>
        <v>54351360</v>
      </c>
      <c r="X311" s="4">
        <f ca="1">_xll.DBRW($B$1,$B$2,$B$7,$B$3,$B$4,$B$5,$F311,$B$6,X$10,$A311,$B311)</f>
        <v>56163072</v>
      </c>
      <c r="Y311" s="4">
        <f ca="1">_xll.DBRW($B$1,$B$2,$B$7,$B$3,$B$4,$B$5,$F311,$B$6,Y$10,$A311,$B311)</f>
        <v>54351360</v>
      </c>
      <c r="Z311" s="4">
        <f ca="1">_xll.DBRW($B$1,$B$2,$B$7,$B$3,$B$4,$B$5,$F311,$B$6,Z$10,$A311,$B311)</f>
        <v>56163072</v>
      </c>
      <c r="AA311" s="4">
        <f ca="1">_xll.DBRW($B$1,$B$2,$B$7,$B$3,$B$4,$B$5,$F311,$B$6,AA$10,$A311,$B311)</f>
        <v>56163072</v>
      </c>
      <c r="AB311" s="4">
        <f ca="1">_xll.DBRW($B$1,$B$2,$B$7,$B$3,$B$4,$B$5,$F311,$B$6,AB$10,$A311,$B311)</f>
        <v>54351360</v>
      </c>
      <c r="AC311" s="4">
        <f ca="1">_xll.DBRW($B$1,$B$2,$B$7,$B$3,$B$4,$B$5,$F311,$B$6,AC$10,$A311,$B311)</f>
        <v>56163072</v>
      </c>
      <c r="AD311" s="4">
        <f ca="1">_xll.DBRW($B$1,$B$2,$B$7,$B$3,$B$4,$B$5,$F311,$B$6,AD$10,$A311,$B311)</f>
        <v>54351360</v>
      </c>
      <c r="AE311" s="4">
        <f ca="1">_xll.DBRW($B$1,$B$2,$B$7,$B$3,$B$4,$B$5,$F311,$B$6,AE$10,$A311,$B311)</f>
        <v>56163072</v>
      </c>
    </row>
    <row r="312" spans="1:31">
      <c r="A312" s="1" t="s">
        <v>152</v>
      </c>
      <c r="B312" s="5" t="s">
        <v>240</v>
      </c>
      <c r="C312" s="5" t="s">
        <v>241</v>
      </c>
      <c r="D312" s="5" t="s">
        <v>239</v>
      </c>
      <c r="E312" s="5" t="s">
        <v>21</v>
      </c>
      <c r="F312" s="5" t="s">
        <v>25</v>
      </c>
      <c r="G312" s="6"/>
      <c r="H312" s="6"/>
      <c r="I312" s="6"/>
      <c r="J312" s="6"/>
      <c r="K312" s="6"/>
      <c r="L312" s="4">
        <f ca="1">_xll.DBRW($B$1,$B$2,$B$7,$B$3,$B$4,$B$5,$F312,$B$6,L$10,$A312,$B312)</f>
        <v>0</v>
      </c>
      <c r="M312" s="4">
        <f ca="1">_xll.DBRW($B$1,$B$2,$B$7,$B$3,$B$4,$B$5,$F312,$B$6,M$10,$A312,$B312)</f>
        <v>0</v>
      </c>
      <c r="N312" s="4">
        <f ca="1">_xll.DBRW($B$1,$B$2,$B$7,$B$3,$B$4,$B$5,$F312,$B$6,N$10,$A312,$B312)</f>
        <v>0</v>
      </c>
      <c r="O312" s="4">
        <f ca="1">_xll.DBRW($B$1,$B$2,$B$7,$B$3,$B$4,$B$5,$F312,$B$6,O$10,$A312,$B312)</f>
        <v>0</v>
      </c>
      <c r="P312" s="4">
        <f ca="1">_xll.DBRW($B$1,$B$2,$B$7,$B$3,$B$4,$B$5,$F312,$B$6,P$10,$A312,$B312)</f>
        <v>0</v>
      </c>
      <c r="Q312" s="4">
        <f ca="1">_xll.DBRW($B$1,$B$2,$B$7,$B$3,$B$4,$B$5,$F312,$B$6,Q$10,$A312,$B312)</f>
        <v>0</v>
      </c>
      <c r="R312" s="4">
        <f ca="1">_xll.DBRW($B$1,$B$2,$B$7,$B$3,$B$4,$B$5,$F312,$B$6,R$10,$A312,$B312)</f>
        <v>0</v>
      </c>
      <c r="S312" s="4">
        <f ca="1">_xll.DBRW($B$1,$B$2,$B$7,$B$3,$B$4,$B$5,$F312,$B$6,S$10,$A312,$B312)</f>
        <v>0</v>
      </c>
      <c r="T312" s="4">
        <f ca="1">_xll.DBRW($B$1,$B$2,$B$7,$B$3,$B$4,$B$5,$F312,$B$6,T$10,$A312,$B312)</f>
        <v>0</v>
      </c>
      <c r="U312" s="4">
        <f ca="1">_xll.DBRW($B$1,$B$2,$B$7,$B$3,$B$4,$B$5,$F312,$B$6,U$10,$A312,$B312)</f>
        <v>0</v>
      </c>
      <c r="V312" s="4">
        <f ca="1">_xll.DBRW($B$1,$B$2,$B$7,$B$3,$B$4,$B$5,$F312,$B$6,V$10,$A312,$B312)</f>
        <v>3623424</v>
      </c>
      <c r="W312" s="4">
        <f ca="1">_xll.DBRW($B$1,$B$2,$B$7,$B$3,$B$4,$B$5,$F312,$B$6,W$10,$A312,$B312)</f>
        <v>54351360</v>
      </c>
      <c r="X312" s="4">
        <f ca="1">_xll.DBRW($B$1,$B$2,$B$7,$B$3,$B$4,$B$5,$F312,$B$6,X$10,$A312,$B312)</f>
        <v>56163072</v>
      </c>
      <c r="Y312" s="4">
        <f ca="1">_xll.DBRW($B$1,$B$2,$B$7,$B$3,$B$4,$B$5,$F312,$B$6,Y$10,$A312,$B312)</f>
        <v>54351360</v>
      </c>
      <c r="Z312" s="4">
        <f ca="1">_xll.DBRW($B$1,$B$2,$B$7,$B$3,$B$4,$B$5,$F312,$B$6,Z$10,$A312,$B312)</f>
        <v>56163072</v>
      </c>
      <c r="AA312" s="4">
        <f ca="1">_xll.DBRW($B$1,$B$2,$B$7,$B$3,$B$4,$B$5,$F312,$B$6,AA$10,$A312,$B312)</f>
        <v>56163072</v>
      </c>
      <c r="AB312" s="4">
        <f ca="1">_xll.DBRW($B$1,$B$2,$B$7,$B$3,$B$4,$B$5,$F312,$B$6,AB$10,$A312,$B312)</f>
        <v>54351360</v>
      </c>
      <c r="AC312" s="4">
        <f ca="1">_xll.DBRW($B$1,$B$2,$B$7,$B$3,$B$4,$B$5,$F312,$B$6,AC$10,$A312,$B312)</f>
        <v>54351360</v>
      </c>
      <c r="AD312" s="4">
        <f ca="1">_xll.DBRW($B$1,$B$2,$B$7,$B$3,$B$4,$B$5,$F312,$B$6,AD$10,$A312,$B312)</f>
        <v>54351360</v>
      </c>
      <c r="AE312" s="4">
        <f ca="1">_xll.DBRW($B$1,$B$2,$B$7,$B$3,$B$4,$B$5,$F312,$B$6,AE$10,$A312,$B312)</f>
        <v>54351360</v>
      </c>
    </row>
    <row r="313" spans="1:31">
      <c r="A313" s="1" t="s">
        <v>152</v>
      </c>
      <c r="B313" s="5" t="s">
        <v>242</v>
      </c>
      <c r="C313" s="5" t="s">
        <v>243</v>
      </c>
      <c r="D313" s="5" t="s">
        <v>21</v>
      </c>
      <c r="E313" s="5" t="s">
        <v>244</v>
      </c>
      <c r="F313" s="5" t="s">
        <v>25</v>
      </c>
      <c r="G313" s="6"/>
      <c r="H313" s="6"/>
      <c r="I313" s="6"/>
      <c r="J313" s="6"/>
      <c r="K313" s="6"/>
      <c r="L313" s="4">
        <f ca="1">_xll.DBRW($B$1,$B$2,$B$7,$B$3,$B$4,$B$5,$F313,$B$6,L$10,$A313,$B313)</f>
        <v>16671460</v>
      </c>
      <c r="M313" s="4">
        <f ca="1">_xll.DBRW($B$1,$B$2,$B$7,$B$3,$B$4,$B$5,$F313,$B$6,M$10,$A313,$B313)</f>
        <v>16671460</v>
      </c>
      <c r="N313" s="4">
        <f ca="1">_xll.DBRW($B$1,$B$2,$B$7,$B$3,$B$4,$B$5,$F313,$B$6,N$10,$A313,$B313)</f>
        <v>16671460</v>
      </c>
      <c r="O313" s="4">
        <f ca="1">_xll.DBRW($B$1,$B$2,$B$7,$B$3,$B$4,$B$5,$F313,$B$6,O$10,$A313,$B313)</f>
        <v>14106620</v>
      </c>
      <c r="P313" s="4">
        <f ca="1">_xll.DBRW($B$1,$B$2,$B$7,$B$3,$B$4,$B$5,$F313,$B$6,P$10,$A313,$B313)</f>
        <v>16671460</v>
      </c>
      <c r="Q313" s="4">
        <f ca="1">_xll.DBRW($B$1,$B$2,$B$7,$B$3,$B$4,$B$5,$F313,$B$6,Q$10,$A313,$B313)</f>
        <v>14099688</v>
      </c>
      <c r="R313" s="4">
        <f ca="1">_xll.DBRW($B$1,$B$2,$B$7,$B$3,$B$4,$B$5,$F313,$B$6,R$10,$A313,$B313)</f>
        <v>8949212</v>
      </c>
      <c r="S313" s="4">
        <f ca="1">_xll.DBRW($B$1,$B$2,$B$7,$B$3,$B$4,$B$5,$F313,$B$6,S$10,$A313,$B313)</f>
        <v>16581344</v>
      </c>
      <c r="T313" s="4">
        <f ca="1">_xll.DBRW($B$1,$B$2,$B$7,$B$3,$B$4,$B$5,$F313,$B$6,T$10,$A313,$B313)</f>
        <v>16671460</v>
      </c>
      <c r="U313" s="4">
        <f ca="1">_xll.DBRW($B$1,$B$2,$B$7,$B$3,$B$4,$B$5,$F313,$B$6,U$10,$A313,$B313)</f>
        <v>15389040</v>
      </c>
      <c r="V313" s="4">
        <f ca="1">_xll.DBRW($B$1,$B$2,$B$7,$B$3,$B$4,$B$5,$F313,$B$6,V$10,$A313,$B313)</f>
        <v>16671460</v>
      </c>
      <c r="W313" s="4">
        <f ca="1">_xll.DBRW($B$1,$B$2,$B$7,$B$3,$B$4,$B$5,$F313,$B$6,W$10,$A313,$B313)</f>
        <v>11541780</v>
      </c>
      <c r="X313" s="4">
        <f ca="1">_xll.DBRW($B$1,$B$2,$B$7,$B$3,$B$4,$B$5,$F313,$B$6,X$10,$A313,$B313)</f>
        <v>10259360</v>
      </c>
      <c r="Y313" s="4">
        <f ca="1">_xll.DBRW($B$1,$B$2,$B$7,$B$3,$B$4,$B$5,$F313,$B$6,Y$10,$A313,$B313)</f>
        <v>11541780</v>
      </c>
      <c r="Z313" s="4">
        <f ca="1">_xll.DBRW($B$1,$B$2,$B$7,$B$3,$B$4,$B$5,$F313,$B$6,Z$10,$A313,$B313)</f>
        <v>11541780</v>
      </c>
      <c r="AA313" s="4">
        <f ca="1">_xll.DBRW($B$1,$B$2,$B$7,$B$3,$B$4,$B$5,$F313,$B$6,AA$10,$A313,$B313)</f>
        <v>11541780</v>
      </c>
      <c r="AB313" s="4">
        <f ca="1">_xll.DBRW($B$1,$B$2,$B$7,$B$3,$B$4,$B$5,$F313,$B$6,AB$10,$A313,$B313)</f>
        <v>10259360</v>
      </c>
      <c r="AC313" s="4">
        <f ca="1">_xll.DBRW($B$1,$B$2,$B$7,$B$3,$B$4,$B$5,$F313,$B$6,AC$10,$A313,$B313)</f>
        <v>16671460</v>
      </c>
      <c r="AD313" s="4">
        <f ca="1">_xll.DBRW($B$1,$B$2,$B$7,$B$3,$B$4,$B$5,$F313,$B$6,AD$10,$A313,$B313)</f>
        <v>16671460</v>
      </c>
      <c r="AE313" s="4">
        <f ca="1">_xll.DBRW($B$1,$B$2,$B$7,$B$3,$B$4,$B$5,$F313,$B$6,AE$10,$A313,$B313)</f>
        <v>17953880</v>
      </c>
    </row>
    <row r="314" spans="1:31">
      <c r="A314" s="1" t="s">
        <v>152</v>
      </c>
      <c r="B314" s="5" t="s">
        <v>245</v>
      </c>
      <c r="C314" s="5" t="s">
        <v>246</v>
      </c>
      <c r="D314" s="5" t="s">
        <v>244</v>
      </c>
      <c r="E314" s="5" t="s">
        <v>21</v>
      </c>
      <c r="F314" s="5" t="s">
        <v>25</v>
      </c>
      <c r="G314" s="6"/>
      <c r="H314" s="6"/>
      <c r="I314" s="6"/>
      <c r="J314" s="6"/>
      <c r="K314" s="6"/>
      <c r="L314" s="4">
        <f ca="1">_xll.DBRW($B$1,$B$2,$B$7,$B$3,$B$4,$B$5,$F314,$B$6,L$10,$A314,$B314)</f>
        <v>16671460</v>
      </c>
      <c r="M314" s="4">
        <f ca="1">_xll.DBRW($B$1,$B$2,$B$7,$B$3,$B$4,$B$5,$F314,$B$6,M$10,$A314,$B314)</f>
        <v>16671460</v>
      </c>
      <c r="N314" s="4">
        <f ca="1">_xll.DBRW($B$1,$B$2,$B$7,$B$3,$B$4,$B$5,$F314,$B$6,N$10,$A314,$B314)</f>
        <v>16671460</v>
      </c>
      <c r="O314" s="4">
        <f ca="1">_xll.DBRW($B$1,$B$2,$B$7,$B$3,$B$4,$B$5,$F314,$B$6,O$10,$A314,$B314)</f>
        <v>14106620</v>
      </c>
      <c r="P314" s="4">
        <f ca="1">_xll.DBRW($B$1,$B$2,$B$7,$B$3,$B$4,$B$5,$F314,$B$6,P$10,$A314,$B314)</f>
        <v>16671460</v>
      </c>
      <c r="Q314" s="4">
        <f ca="1">_xll.DBRW($B$1,$B$2,$B$7,$B$3,$B$4,$B$5,$F314,$B$6,Q$10,$A314,$B314)</f>
        <v>14099688</v>
      </c>
      <c r="R314" s="4">
        <f ca="1">_xll.DBRW($B$1,$B$2,$B$7,$B$3,$B$4,$B$5,$F314,$B$6,R$10,$A314,$B314)</f>
        <v>8949212</v>
      </c>
      <c r="S314" s="4">
        <f ca="1">_xll.DBRW($B$1,$B$2,$B$7,$B$3,$B$4,$B$5,$F314,$B$6,S$10,$A314,$B314)</f>
        <v>16581344</v>
      </c>
      <c r="T314" s="4">
        <f ca="1">_xll.DBRW($B$1,$B$2,$B$7,$B$3,$B$4,$B$5,$F314,$B$6,T$10,$A314,$B314)</f>
        <v>16671460</v>
      </c>
      <c r="U314" s="4">
        <f ca="1">_xll.DBRW($B$1,$B$2,$B$7,$B$3,$B$4,$B$5,$F314,$B$6,U$10,$A314,$B314)</f>
        <v>15389040</v>
      </c>
      <c r="V314" s="4">
        <f ca="1">_xll.DBRW($B$1,$B$2,$B$7,$B$3,$B$4,$B$5,$F314,$B$6,V$10,$A314,$B314)</f>
        <v>16671460</v>
      </c>
      <c r="W314" s="4">
        <f ca="1">_xll.DBRW($B$1,$B$2,$B$7,$B$3,$B$4,$B$5,$F314,$B$6,W$10,$A314,$B314)</f>
        <v>11541780</v>
      </c>
      <c r="X314" s="4">
        <f ca="1">_xll.DBRW($B$1,$B$2,$B$7,$B$3,$B$4,$B$5,$F314,$B$6,X$10,$A314,$B314)</f>
        <v>10259360</v>
      </c>
      <c r="Y314" s="4">
        <f ca="1">_xll.DBRW($B$1,$B$2,$B$7,$B$3,$B$4,$B$5,$F314,$B$6,Y$10,$A314,$B314)</f>
        <v>11541780</v>
      </c>
      <c r="Z314" s="4">
        <f ca="1">_xll.DBRW($B$1,$B$2,$B$7,$B$3,$B$4,$B$5,$F314,$B$6,Z$10,$A314,$B314)</f>
        <v>11541780</v>
      </c>
      <c r="AA314" s="4">
        <f ca="1">_xll.DBRW($B$1,$B$2,$B$7,$B$3,$B$4,$B$5,$F314,$B$6,AA$10,$A314,$B314)</f>
        <v>11541780</v>
      </c>
      <c r="AB314" s="4">
        <f ca="1">_xll.DBRW($B$1,$B$2,$B$7,$B$3,$B$4,$B$5,$F314,$B$6,AB$10,$A314,$B314)</f>
        <v>10259360</v>
      </c>
      <c r="AC314" s="4">
        <f ca="1">_xll.DBRW($B$1,$B$2,$B$7,$B$3,$B$4,$B$5,$F314,$B$6,AC$10,$A314,$B314)</f>
        <v>16671460</v>
      </c>
      <c r="AD314" s="4">
        <f ca="1">_xll.DBRW($B$1,$B$2,$B$7,$B$3,$B$4,$B$5,$F314,$B$6,AD$10,$A314,$B314)</f>
        <v>16671460</v>
      </c>
      <c r="AE314" s="4">
        <f ca="1">_xll.DBRW($B$1,$B$2,$B$7,$B$3,$B$4,$B$5,$F314,$B$6,AE$10,$A314,$B314)</f>
        <v>17953880</v>
      </c>
    </row>
    <row r="315" spans="1:31">
      <c r="A315" s="1" t="s">
        <v>152</v>
      </c>
      <c r="B315" s="5" t="s">
        <v>247</v>
      </c>
      <c r="C315" s="5" t="s">
        <v>248</v>
      </c>
      <c r="D315" s="5" t="s">
        <v>21</v>
      </c>
      <c r="E315" s="5" t="s">
        <v>249</v>
      </c>
      <c r="F315" s="5" t="s">
        <v>25</v>
      </c>
      <c r="G315" s="6"/>
      <c r="H315" s="6"/>
      <c r="I315" s="6"/>
      <c r="J315" s="6"/>
      <c r="K315" s="6"/>
      <c r="L315" s="4">
        <f ca="1">_xll.DBRW($B$1,$B$2,$B$7,$B$3,$B$4,$B$5,$F315,$B$6,L$10,$A315,$B315)</f>
        <v>0</v>
      </c>
      <c r="M315" s="4">
        <f ca="1">_xll.DBRW($B$1,$B$2,$B$7,$B$3,$B$4,$B$5,$F315,$B$6,M$10,$A315,$B315)</f>
        <v>0</v>
      </c>
      <c r="N315" s="4">
        <f ca="1">_xll.DBRW($B$1,$B$2,$B$7,$B$3,$B$4,$B$5,$F315,$B$6,N$10,$A315,$B315)</f>
        <v>0</v>
      </c>
      <c r="O315" s="4">
        <f ca="1">_xll.DBRW($B$1,$B$2,$B$7,$B$3,$B$4,$B$5,$F315,$B$6,O$10,$A315,$B315)</f>
        <v>0</v>
      </c>
      <c r="P315" s="4">
        <f ca="1">_xll.DBRW($B$1,$B$2,$B$7,$B$3,$B$4,$B$5,$F315,$B$6,P$10,$A315,$B315)</f>
        <v>0</v>
      </c>
      <c r="Q315" s="4">
        <f ca="1">_xll.DBRW($B$1,$B$2,$B$7,$B$3,$B$4,$B$5,$F315,$B$6,Q$10,$A315,$B315)</f>
        <v>0</v>
      </c>
      <c r="R315" s="4">
        <f ca="1">_xll.DBRW($B$1,$B$2,$B$7,$B$3,$B$4,$B$5,$F315,$B$6,R$10,$A315,$B315)</f>
        <v>0</v>
      </c>
      <c r="S315" s="4">
        <f ca="1">_xll.DBRW($B$1,$B$2,$B$7,$B$3,$B$4,$B$5,$F315,$B$6,S$10,$A315,$B315)</f>
        <v>0</v>
      </c>
      <c r="T315" s="4">
        <f ca="1">_xll.DBRW($B$1,$B$2,$B$7,$B$3,$B$4,$B$5,$F315,$B$6,T$10,$A315,$B315)</f>
        <v>0</v>
      </c>
      <c r="U315" s="4">
        <f ca="1">_xll.DBRW($B$1,$B$2,$B$7,$B$3,$B$4,$B$5,$F315,$B$6,U$10,$A315,$B315)</f>
        <v>0</v>
      </c>
      <c r="V315" s="4">
        <f ca="1">_xll.DBRW($B$1,$B$2,$B$7,$B$3,$B$4,$B$5,$F315,$B$6,V$10,$A315,$B315)</f>
        <v>0</v>
      </c>
      <c r="W315" s="4">
        <f ca="1">_xll.DBRW($B$1,$B$2,$B$7,$B$3,$B$4,$B$5,$F315,$B$6,W$10,$A315,$B315)</f>
        <v>0</v>
      </c>
      <c r="X315" s="4">
        <f ca="1">_xll.DBRW($B$1,$B$2,$B$7,$B$3,$B$4,$B$5,$F315,$B$6,X$10,$A315,$B315)</f>
        <v>0</v>
      </c>
      <c r="Y315" s="4">
        <f ca="1">_xll.DBRW($B$1,$B$2,$B$7,$B$3,$B$4,$B$5,$F315,$B$6,Y$10,$A315,$B315)</f>
        <v>0</v>
      </c>
      <c r="Z315" s="4">
        <f ca="1">_xll.DBRW($B$1,$B$2,$B$7,$B$3,$B$4,$B$5,$F315,$B$6,Z$10,$A315,$B315)</f>
        <v>0</v>
      </c>
      <c r="AA315" s="4">
        <f ca="1">_xll.DBRW($B$1,$B$2,$B$7,$B$3,$B$4,$B$5,$F315,$B$6,AA$10,$A315,$B315)</f>
        <v>0</v>
      </c>
      <c r="AB315" s="4">
        <f ca="1">_xll.DBRW($B$1,$B$2,$B$7,$B$3,$B$4,$B$5,$F315,$B$6,AB$10,$A315,$B315)</f>
        <v>0</v>
      </c>
      <c r="AC315" s="4">
        <f ca="1">_xll.DBRW($B$1,$B$2,$B$7,$B$3,$B$4,$B$5,$F315,$B$6,AC$10,$A315,$B315)</f>
        <v>0</v>
      </c>
      <c r="AD315" s="4">
        <f ca="1">_xll.DBRW($B$1,$B$2,$B$7,$B$3,$B$4,$B$5,$F315,$B$6,AD$10,$A315,$B315)</f>
        <v>0</v>
      </c>
      <c r="AE315" s="4">
        <f ca="1">_xll.DBRW($B$1,$B$2,$B$7,$B$3,$B$4,$B$5,$F315,$B$6,AE$10,$A315,$B315)</f>
        <v>52925184</v>
      </c>
    </row>
    <row r="316" spans="1:31">
      <c r="A316" s="1" t="s">
        <v>152</v>
      </c>
      <c r="B316" s="5" t="s">
        <v>250</v>
      </c>
      <c r="C316" s="5" t="s">
        <v>251</v>
      </c>
      <c r="D316" s="5" t="s">
        <v>249</v>
      </c>
      <c r="E316" s="5" t="s">
        <v>21</v>
      </c>
      <c r="F316" s="5" t="s">
        <v>25</v>
      </c>
      <c r="G316" s="6"/>
      <c r="H316" s="6"/>
      <c r="I316" s="6"/>
      <c r="J316" s="6"/>
      <c r="K316" s="6"/>
      <c r="L316" s="4">
        <f ca="1">_xll.DBRW($B$1,$B$2,$B$7,$B$3,$B$4,$B$5,$F316,$B$6,L$10,$A316,$B316)</f>
        <v>0</v>
      </c>
      <c r="M316" s="4">
        <f ca="1">_xll.DBRW($B$1,$B$2,$B$7,$B$3,$B$4,$B$5,$F316,$B$6,M$10,$A316,$B316)</f>
        <v>0</v>
      </c>
      <c r="N316" s="4">
        <f ca="1">_xll.DBRW($B$1,$B$2,$B$7,$B$3,$B$4,$B$5,$F316,$B$6,N$10,$A316,$B316)</f>
        <v>0</v>
      </c>
      <c r="O316" s="4">
        <f ca="1">_xll.DBRW($B$1,$B$2,$B$7,$B$3,$B$4,$B$5,$F316,$B$6,O$10,$A316,$B316)</f>
        <v>0</v>
      </c>
      <c r="P316" s="4">
        <f ca="1">_xll.DBRW($B$1,$B$2,$B$7,$B$3,$B$4,$B$5,$F316,$B$6,P$10,$A316,$B316)</f>
        <v>0</v>
      </c>
      <c r="Q316" s="4">
        <f ca="1">_xll.DBRW($B$1,$B$2,$B$7,$B$3,$B$4,$B$5,$F316,$B$6,Q$10,$A316,$B316)</f>
        <v>0</v>
      </c>
      <c r="R316" s="4">
        <f ca="1">_xll.DBRW($B$1,$B$2,$B$7,$B$3,$B$4,$B$5,$F316,$B$6,R$10,$A316,$B316)</f>
        <v>0</v>
      </c>
      <c r="S316" s="4">
        <f ca="1">_xll.DBRW($B$1,$B$2,$B$7,$B$3,$B$4,$B$5,$F316,$B$6,S$10,$A316,$B316)</f>
        <v>0</v>
      </c>
      <c r="T316" s="4">
        <f ca="1">_xll.DBRW($B$1,$B$2,$B$7,$B$3,$B$4,$B$5,$F316,$B$6,T$10,$A316,$B316)</f>
        <v>0</v>
      </c>
      <c r="U316" s="4">
        <f ca="1">_xll.DBRW($B$1,$B$2,$B$7,$B$3,$B$4,$B$5,$F316,$B$6,U$10,$A316,$B316)</f>
        <v>0</v>
      </c>
      <c r="V316" s="4">
        <f ca="1">_xll.DBRW($B$1,$B$2,$B$7,$B$3,$B$4,$B$5,$F316,$B$6,V$10,$A316,$B316)</f>
        <v>0</v>
      </c>
      <c r="W316" s="4">
        <f ca="1">_xll.DBRW($B$1,$B$2,$B$7,$B$3,$B$4,$B$5,$F316,$B$6,W$10,$A316,$B316)</f>
        <v>0</v>
      </c>
      <c r="X316" s="4">
        <f ca="1">_xll.DBRW($B$1,$B$2,$B$7,$B$3,$B$4,$B$5,$F316,$B$6,X$10,$A316,$B316)</f>
        <v>0</v>
      </c>
      <c r="Y316" s="4">
        <f ca="1">_xll.DBRW($B$1,$B$2,$B$7,$B$3,$B$4,$B$5,$F316,$B$6,Y$10,$A316,$B316)</f>
        <v>0</v>
      </c>
      <c r="Z316" s="4">
        <f ca="1">_xll.DBRW($B$1,$B$2,$B$7,$B$3,$B$4,$B$5,$F316,$B$6,Z$10,$A316,$B316)</f>
        <v>0</v>
      </c>
      <c r="AA316" s="4">
        <f ca="1">_xll.DBRW($B$1,$B$2,$B$7,$B$3,$B$4,$B$5,$F316,$B$6,AA$10,$A316,$B316)</f>
        <v>0</v>
      </c>
      <c r="AB316" s="4">
        <f ca="1">_xll.DBRW($B$1,$B$2,$B$7,$B$3,$B$4,$B$5,$F316,$B$6,AB$10,$A316,$B316)</f>
        <v>0</v>
      </c>
      <c r="AC316" s="4">
        <f ca="1">_xll.DBRW($B$1,$B$2,$B$7,$B$3,$B$4,$B$5,$F316,$B$6,AC$10,$A316,$B316)</f>
        <v>0</v>
      </c>
      <c r="AD316" s="4">
        <f ca="1">_xll.DBRW($B$1,$B$2,$B$7,$B$3,$B$4,$B$5,$F316,$B$6,AD$10,$A316,$B316)</f>
        <v>0</v>
      </c>
      <c r="AE316" s="4">
        <f ca="1">_xll.DBRW($B$1,$B$2,$B$7,$B$3,$B$4,$B$5,$F316,$B$6,AE$10,$A316,$B316)</f>
        <v>52925184</v>
      </c>
    </row>
    <row r="317" spans="1:31">
      <c r="A317" s="1" t="s">
        <v>152</v>
      </c>
      <c r="B317" s="5" t="s">
        <v>252</v>
      </c>
      <c r="C317" s="5" t="s">
        <v>226</v>
      </c>
      <c r="D317" s="5" t="s">
        <v>21</v>
      </c>
      <c r="E317" s="5" t="s">
        <v>227</v>
      </c>
      <c r="F317" s="5" t="s">
        <v>25</v>
      </c>
      <c r="G317" s="6"/>
      <c r="H317" s="6"/>
      <c r="I317" s="6"/>
      <c r="J317" s="6"/>
      <c r="K317" s="6"/>
      <c r="L317" s="4">
        <f ca="1">_xll.DBRW($B$1,$B$2,$B$7,$B$3,$B$4,$B$5,$F317,$B$6,L$10,$A317,$B317)</f>
        <v>13823755</v>
      </c>
      <c r="M317" s="4">
        <f ca="1">_xll.DBRW($B$1,$B$2,$B$7,$B$3,$B$4,$B$5,$F317,$B$6,M$10,$A317,$B317)</f>
        <v>0</v>
      </c>
      <c r="N317" s="4">
        <f ca="1">_xll.DBRW($B$1,$B$2,$B$7,$B$3,$B$4,$B$5,$F317,$B$6,N$10,$A317,$B317)</f>
        <v>0</v>
      </c>
      <c r="O317" s="4">
        <f ca="1">_xll.DBRW($B$1,$B$2,$B$7,$B$3,$B$4,$B$5,$F317,$B$6,O$10,$A317,$B317)</f>
        <v>0</v>
      </c>
      <c r="P317" s="4">
        <f ca="1">_xll.DBRW($B$1,$B$2,$B$7,$B$3,$B$4,$B$5,$F317,$B$6,P$10,$A317,$B317)</f>
        <v>0</v>
      </c>
      <c r="Q317" s="4">
        <f ca="1">_xll.DBRW($B$1,$B$2,$B$7,$B$3,$B$4,$B$5,$F317,$B$6,Q$10,$A317,$B317)</f>
        <v>0</v>
      </c>
      <c r="R317" s="4">
        <f ca="1">_xll.DBRW($B$1,$B$2,$B$7,$B$3,$B$4,$B$5,$F317,$B$6,R$10,$A317,$B317)</f>
        <v>0</v>
      </c>
      <c r="S317" s="4">
        <f ca="1">_xll.DBRW($B$1,$B$2,$B$7,$B$3,$B$4,$B$5,$F317,$B$6,S$10,$A317,$B317)</f>
        <v>16337165</v>
      </c>
      <c r="T317" s="4">
        <f ca="1">_xll.DBRW($B$1,$B$2,$B$7,$B$3,$B$4,$B$5,$F317,$B$6,T$10,$A317,$B317)</f>
        <v>16337165</v>
      </c>
      <c r="U317" s="4">
        <f ca="1">_xll.DBRW($B$1,$B$2,$B$7,$B$3,$B$4,$B$5,$F317,$B$6,U$10,$A317,$B317)</f>
        <v>15080460</v>
      </c>
      <c r="V317" s="4">
        <f ca="1">_xll.DBRW($B$1,$B$2,$B$7,$B$3,$B$4,$B$5,$F317,$B$6,V$10,$A317,$B317)</f>
        <v>16337165</v>
      </c>
      <c r="W317" s="4">
        <f ca="1">_xll.DBRW($B$1,$B$2,$B$7,$B$3,$B$4,$B$5,$F317,$B$6,W$10,$A317,$B317)</f>
        <v>0</v>
      </c>
      <c r="X317" s="4">
        <f ca="1">_xll.DBRW($B$1,$B$2,$B$7,$B$3,$B$4,$B$5,$F317,$B$6,X$10,$A317,$B317)</f>
        <v>0</v>
      </c>
      <c r="Y317" s="4">
        <f ca="1">_xll.DBRW($B$1,$B$2,$B$7,$B$3,$B$4,$B$5,$F317,$B$6,Y$10,$A317,$B317)</f>
        <v>0</v>
      </c>
      <c r="Z317" s="4">
        <f ca="1">_xll.DBRW($B$1,$B$2,$B$7,$B$3,$B$4,$B$5,$F317,$B$6,Z$10,$A317,$B317)</f>
        <v>0</v>
      </c>
      <c r="AA317" s="4">
        <f ca="1">_xll.DBRW($B$1,$B$2,$B$7,$B$3,$B$4,$B$5,$F317,$B$6,AA$10,$A317,$B317)</f>
        <v>0</v>
      </c>
      <c r="AB317" s="4">
        <f ca="1">_xll.DBRW($B$1,$B$2,$B$7,$B$3,$B$4,$B$5,$F317,$B$6,AB$10,$A317,$B317)</f>
        <v>0</v>
      </c>
      <c r="AC317" s="4">
        <f ca="1">_xll.DBRW($B$1,$B$2,$B$7,$B$3,$B$4,$B$5,$F317,$B$6,AC$10,$A317,$B317)</f>
        <v>2513410</v>
      </c>
      <c r="AD317" s="4">
        <f ca="1">_xll.DBRW($B$1,$B$2,$B$7,$B$3,$B$4,$B$5,$F317,$B$6,AD$10,$A317,$B317)</f>
        <v>16337165</v>
      </c>
      <c r="AE317" s="4">
        <f ca="1">_xll.DBRW($B$1,$B$2,$B$7,$B$3,$B$4,$B$5,$F317,$B$6,AE$10,$A317,$B317)</f>
        <v>16337165</v>
      </c>
    </row>
    <row r="318" spans="1:31">
      <c r="A318" s="1" t="s">
        <v>152</v>
      </c>
      <c r="B318" s="5" t="s">
        <v>253</v>
      </c>
      <c r="C318" s="5" t="s">
        <v>229</v>
      </c>
      <c r="D318" s="5" t="s">
        <v>227</v>
      </c>
      <c r="E318" s="5" t="s">
        <v>21</v>
      </c>
      <c r="F318" s="5" t="s">
        <v>25</v>
      </c>
      <c r="G318" s="6"/>
      <c r="H318" s="6"/>
      <c r="I318" s="6"/>
      <c r="J318" s="6"/>
      <c r="K318" s="6"/>
      <c r="L318" s="4">
        <f ca="1">_xll.DBRW($B$1,$B$2,$B$7,$B$3,$B$4,$B$5,$F318,$B$6,L$10,$A318,$B318)</f>
        <v>13823755</v>
      </c>
      <c r="M318" s="4">
        <f ca="1">_xll.DBRW($B$1,$B$2,$B$7,$B$3,$B$4,$B$5,$F318,$B$6,M$10,$A318,$B318)</f>
        <v>0</v>
      </c>
      <c r="N318" s="4">
        <f ca="1">_xll.DBRW($B$1,$B$2,$B$7,$B$3,$B$4,$B$5,$F318,$B$6,N$10,$A318,$B318)</f>
        <v>0</v>
      </c>
      <c r="O318" s="4">
        <f ca="1">_xll.DBRW($B$1,$B$2,$B$7,$B$3,$B$4,$B$5,$F318,$B$6,O$10,$A318,$B318)</f>
        <v>0</v>
      </c>
      <c r="P318" s="4">
        <f ca="1">_xll.DBRW($B$1,$B$2,$B$7,$B$3,$B$4,$B$5,$F318,$B$6,P$10,$A318,$B318)</f>
        <v>0</v>
      </c>
      <c r="Q318" s="4">
        <f ca="1">_xll.DBRW($B$1,$B$2,$B$7,$B$3,$B$4,$B$5,$F318,$B$6,Q$10,$A318,$B318)</f>
        <v>0</v>
      </c>
      <c r="R318" s="4">
        <f ca="1">_xll.DBRW($B$1,$B$2,$B$7,$B$3,$B$4,$B$5,$F318,$B$6,R$10,$A318,$B318)</f>
        <v>0</v>
      </c>
      <c r="S318" s="4">
        <f ca="1">_xll.DBRW($B$1,$B$2,$B$7,$B$3,$B$4,$B$5,$F318,$B$6,S$10,$A318,$B318)</f>
        <v>16337165</v>
      </c>
      <c r="T318" s="4">
        <f ca="1">_xll.DBRW($B$1,$B$2,$B$7,$B$3,$B$4,$B$5,$F318,$B$6,T$10,$A318,$B318)</f>
        <v>16337165</v>
      </c>
      <c r="U318" s="4">
        <f ca="1">_xll.DBRW($B$1,$B$2,$B$7,$B$3,$B$4,$B$5,$F318,$B$6,U$10,$A318,$B318)</f>
        <v>15080460</v>
      </c>
      <c r="V318" s="4">
        <f ca="1">_xll.DBRW($B$1,$B$2,$B$7,$B$3,$B$4,$B$5,$F318,$B$6,V$10,$A318,$B318)</f>
        <v>16337165</v>
      </c>
      <c r="W318" s="4">
        <f ca="1">_xll.DBRW($B$1,$B$2,$B$7,$B$3,$B$4,$B$5,$F318,$B$6,W$10,$A318,$B318)</f>
        <v>0</v>
      </c>
      <c r="X318" s="4">
        <f ca="1">_xll.DBRW($B$1,$B$2,$B$7,$B$3,$B$4,$B$5,$F318,$B$6,X$10,$A318,$B318)</f>
        <v>0</v>
      </c>
      <c r="Y318" s="4">
        <f ca="1">_xll.DBRW($B$1,$B$2,$B$7,$B$3,$B$4,$B$5,$F318,$B$6,Y$10,$A318,$B318)</f>
        <v>0</v>
      </c>
      <c r="Z318" s="4">
        <f ca="1">_xll.DBRW($B$1,$B$2,$B$7,$B$3,$B$4,$B$5,$F318,$B$6,Z$10,$A318,$B318)</f>
        <v>0</v>
      </c>
      <c r="AA318" s="4">
        <f ca="1">_xll.DBRW($B$1,$B$2,$B$7,$B$3,$B$4,$B$5,$F318,$B$6,AA$10,$A318,$B318)</f>
        <v>0</v>
      </c>
      <c r="AB318" s="4">
        <f ca="1">_xll.DBRW($B$1,$B$2,$B$7,$B$3,$B$4,$B$5,$F318,$B$6,AB$10,$A318,$B318)</f>
        <v>0</v>
      </c>
      <c r="AC318" s="4">
        <f ca="1">_xll.DBRW($B$1,$B$2,$B$7,$B$3,$B$4,$B$5,$F318,$B$6,AC$10,$A318,$B318)</f>
        <v>2513410</v>
      </c>
      <c r="AD318" s="4">
        <f ca="1">_xll.DBRW($B$1,$B$2,$B$7,$B$3,$B$4,$B$5,$F318,$B$6,AD$10,$A318,$B318)</f>
        <v>16337165</v>
      </c>
      <c r="AE318" s="4">
        <f ca="1">_xll.DBRW($B$1,$B$2,$B$7,$B$3,$B$4,$B$5,$F318,$B$6,AE$10,$A318,$B318)</f>
        <v>16337165</v>
      </c>
    </row>
    <row r="319" spans="1:31">
      <c r="A319" s="1" t="s">
        <v>152</v>
      </c>
      <c r="B319" s="5" t="s">
        <v>254</v>
      </c>
      <c r="C319" s="5" t="s">
        <v>255</v>
      </c>
      <c r="D319" s="5" t="s">
        <v>60</v>
      </c>
      <c r="E319" s="5" t="s">
        <v>59</v>
      </c>
      <c r="F319" s="5" t="s">
        <v>25</v>
      </c>
      <c r="G319" s="6"/>
      <c r="H319" s="6"/>
      <c r="I319" s="6"/>
      <c r="J319" s="6"/>
      <c r="K319" s="6"/>
      <c r="L319" s="4">
        <f ca="1">_xll.DBRW($B$1,$B$2,$B$7,$B$3,$B$4,$B$5,$F319,$B$6,L$10,$A319,$B319)</f>
        <v>19606275</v>
      </c>
      <c r="M319" s="4">
        <f ca="1">_xll.DBRW($B$1,$B$2,$B$7,$B$3,$B$4,$B$5,$F319,$B$6,M$10,$A319,$B319)</f>
        <v>19606275</v>
      </c>
      <c r="N319" s="4">
        <f ca="1">_xll.DBRW($B$1,$B$2,$B$7,$B$3,$B$4,$B$5,$F319,$B$6,N$10,$A319,$B319)</f>
        <v>19606275</v>
      </c>
      <c r="O319" s="4">
        <f ca="1">_xll.DBRW($B$1,$B$2,$B$7,$B$3,$B$4,$B$5,$F319,$B$6,O$10,$A319,$B319)</f>
        <v>19606275</v>
      </c>
      <c r="P319" s="4">
        <f ca="1">_xll.DBRW($B$1,$B$2,$B$7,$B$3,$B$4,$B$5,$F319,$B$6,P$10,$A319,$B319)</f>
        <v>17427800</v>
      </c>
      <c r="Q319" s="4">
        <f ca="1">_xll.DBRW($B$1,$B$2,$B$7,$B$3,$B$4,$B$5,$F319,$B$6,Q$10,$A319,$B319)</f>
        <v>17427800</v>
      </c>
      <c r="R319" s="4">
        <f ca="1">_xll.DBRW($B$1,$B$2,$B$7,$B$3,$B$4,$B$5,$F319,$B$6,R$10,$A319,$B319)</f>
        <v>0</v>
      </c>
      <c r="S319" s="4">
        <f ca="1">_xll.DBRW($B$1,$B$2,$B$7,$B$3,$B$4,$B$5,$F319,$B$6,S$10,$A319,$B319)</f>
        <v>0</v>
      </c>
      <c r="T319" s="4">
        <f ca="1">_xll.DBRW($B$1,$B$2,$B$7,$B$3,$B$4,$B$5,$F319,$B$6,T$10,$A319,$B319)</f>
        <v>0</v>
      </c>
      <c r="U319" s="4">
        <f ca="1">_xll.DBRW($B$1,$B$2,$B$7,$B$3,$B$4,$B$5,$F319,$B$6,U$10,$A319,$B319)</f>
        <v>0</v>
      </c>
      <c r="V319" s="4">
        <f ca="1">_xll.DBRW($B$1,$B$2,$B$7,$B$3,$B$4,$B$5,$F319,$B$6,V$10,$A319,$B319)</f>
        <v>0</v>
      </c>
      <c r="W319" s="4">
        <f ca="1">_xll.DBRW($B$1,$B$2,$B$7,$B$3,$B$4,$B$5,$F319,$B$6,W$10,$A319,$B319)</f>
        <v>19606275</v>
      </c>
      <c r="X319" s="4">
        <f ca="1">_xll.DBRW($B$1,$B$2,$B$7,$B$3,$B$4,$B$5,$F319,$B$6,X$10,$A319,$B319)</f>
        <v>19606275</v>
      </c>
      <c r="Y319" s="4">
        <f ca="1">_xll.DBRW($B$1,$B$2,$B$7,$B$3,$B$4,$B$5,$F319,$B$6,Y$10,$A319,$B319)</f>
        <v>17427800</v>
      </c>
      <c r="Z319" s="4">
        <f ca="1">_xll.DBRW($B$1,$B$2,$B$7,$B$3,$B$4,$B$5,$F319,$B$6,Z$10,$A319,$B319)</f>
        <v>19606275</v>
      </c>
      <c r="AA319" s="4">
        <f ca="1">_xll.DBRW($B$1,$B$2,$B$7,$B$3,$B$4,$B$5,$F319,$B$6,AA$10,$A319,$B319)</f>
        <v>19606275</v>
      </c>
      <c r="AB319" s="4">
        <f ca="1">_xll.DBRW($B$1,$B$2,$B$7,$B$3,$B$4,$B$5,$F319,$B$6,AB$10,$A319,$B319)</f>
        <v>17427800</v>
      </c>
      <c r="AC319" s="4">
        <f ca="1">_xll.DBRW($B$1,$B$2,$B$7,$B$3,$B$4,$B$5,$F319,$B$6,AC$10,$A319,$B319)</f>
        <v>17427800</v>
      </c>
      <c r="AD319" s="4">
        <f ca="1">_xll.DBRW($B$1,$B$2,$B$7,$B$3,$B$4,$B$5,$F319,$B$6,AD$10,$A319,$B319)</f>
        <v>0</v>
      </c>
      <c r="AE319" s="4">
        <f ca="1">_xll.DBRW($B$1,$B$2,$B$7,$B$3,$B$4,$B$5,$F319,$B$6,AE$10,$A319,$B319)</f>
        <v>0</v>
      </c>
    </row>
    <row r="320" spans="1:31">
      <c r="A320" s="1" t="s">
        <v>152</v>
      </c>
      <c r="B320" s="5" t="s">
        <v>57</v>
      </c>
      <c r="C320" s="5" t="s">
        <v>58</v>
      </c>
      <c r="D320" s="5" t="s">
        <v>59</v>
      </c>
      <c r="E320" s="5" t="s">
        <v>60</v>
      </c>
      <c r="F320" s="5" t="s">
        <v>25</v>
      </c>
      <c r="G320" s="6"/>
      <c r="H320" s="6"/>
      <c r="I320" s="6"/>
      <c r="J320" s="6"/>
      <c r="K320" s="6"/>
      <c r="L320" s="4">
        <f ca="1">_xll.DBRW($B$1,$B$2,$B$7,$B$3,$B$4,$B$5,$F320,$B$6,L$10,$A320,$B320)</f>
        <v>19606275</v>
      </c>
      <c r="M320" s="4">
        <f ca="1">_xll.DBRW($B$1,$B$2,$B$7,$B$3,$B$4,$B$5,$F320,$B$6,M$10,$A320,$B320)</f>
        <v>17427800</v>
      </c>
      <c r="N320" s="4">
        <f ca="1">_xll.DBRW($B$1,$B$2,$B$7,$B$3,$B$4,$B$5,$F320,$B$6,N$10,$A320,$B320)</f>
        <v>19606275</v>
      </c>
      <c r="O320" s="4">
        <f ca="1">_xll.DBRW($B$1,$B$2,$B$7,$B$3,$B$4,$B$5,$F320,$B$6,O$10,$A320,$B320)</f>
        <v>19606275</v>
      </c>
      <c r="P320" s="4">
        <f ca="1">_xll.DBRW($B$1,$B$2,$B$7,$B$3,$B$4,$B$5,$F320,$B$6,P$10,$A320,$B320)</f>
        <v>17427800</v>
      </c>
      <c r="Q320" s="4">
        <f ca="1">_xll.DBRW($B$1,$B$2,$B$7,$B$3,$B$4,$B$5,$F320,$B$6,Q$10,$A320,$B320)</f>
        <v>17427800</v>
      </c>
      <c r="R320" s="4">
        <f ca="1">_xll.DBRW($B$1,$B$2,$B$7,$B$3,$B$4,$B$5,$F320,$B$6,R$10,$A320,$B320)</f>
        <v>0</v>
      </c>
      <c r="S320" s="4">
        <f ca="1">_xll.DBRW($B$1,$B$2,$B$7,$B$3,$B$4,$B$5,$F320,$B$6,S$10,$A320,$B320)</f>
        <v>0</v>
      </c>
      <c r="T320" s="4">
        <f ca="1">_xll.DBRW($B$1,$B$2,$B$7,$B$3,$B$4,$B$5,$F320,$B$6,T$10,$A320,$B320)</f>
        <v>0</v>
      </c>
      <c r="U320" s="4">
        <f ca="1">_xll.DBRW($B$1,$B$2,$B$7,$B$3,$B$4,$B$5,$F320,$B$6,U$10,$A320,$B320)</f>
        <v>0</v>
      </c>
      <c r="V320" s="4">
        <f ca="1">_xll.DBRW($B$1,$B$2,$B$7,$B$3,$B$4,$B$5,$F320,$B$6,V$10,$A320,$B320)</f>
        <v>0</v>
      </c>
      <c r="W320" s="4">
        <f ca="1">_xll.DBRW($B$1,$B$2,$B$7,$B$3,$B$4,$B$5,$F320,$B$6,W$10,$A320,$B320)</f>
        <v>19606275</v>
      </c>
      <c r="X320" s="4">
        <f ca="1">_xll.DBRW($B$1,$B$2,$B$7,$B$3,$B$4,$B$5,$F320,$B$6,X$10,$A320,$B320)</f>
        <v>19606275</v>
      </c>
      <c r="Y320" s="4">
        <f ca="1">_xll.DBRW($B$1,$B$2,$B$7,$B$3,$B$4,$B$5,$F320,$B$6,Y$10,$A320,$B320)</f>
        <v>17427800</v>
      </c>
      <c r="Z320" s="4">
        <f ca="1">_xll.DBRW($B$1,$B$2,$B$7,$B$3,$B$4,$B$5,$F320,$B$6,Z$10,$A320,$B320)</f>
        <v>19606275</v>
      </c>
      <c r="AA320" s="4">
        <f ca="1">_xll.DBRW($B$1,$B$2,$B$7,$B$3,$B$4,$B$5,$F320,$B$6,AA$10,$A320,$B320)</f>
        <v>19606275</v>
      </c>
      <c r="AB320" s="4">
        <f ca="1">_xll.DBRW($B$1,$B$2,$B$7,$B$3,$B$4,$B$5,$F320,$B$6,AB$10,$A320,$B320)</f>
        <v>19606275</v>
      </c>
      <c r="AC320" s="4">
        <f ca="1">_xll.DBRW($B$1,$B$2,$B$7,$B$3,$B$4,$B$5,$F320,$B$6,AC$10,$A320,$B320)</f>
        <v>15249325</v>
      </c>
      <c r="AD320" s="4">
        <f ca="1">_xll.DBRW($B$1,$B$2,$B$7,$B$3,$B$4,$B$5,$F320,$B$6,AD$10,$A320,$B320)</f>
        <v>0</v>
      </c>
      <c r="AE320" s="4">
        <f ca="1">_xll.DBRW($B$1,$B$2,$B$7,$B$3,$B$4,$B$5,$F320,$B$6,AE$10,$A320,$B320)</f>
        <v>0</v>
      </c>
    </row>
    <row r="321" spans="1:31">
      <c r="A321" s="1" t="s">
        <v>152</v>
      </c>
      <c r="B321" s="5" t="s">
        <v>256</v>
      </c>
      <c r="C321" s="5" t="s">
        <v>206</v>
      </c>
      <c r="D321" s="5" t="s">
        <v>21</v>
      </c>
      <c r="E321" s="5" t="s">
        <v>181</v>
      </c>
      <c r="F321" s="5" t="s">
        <v>25</v>
      </c>
      <c r="G321" s="6"/>
      <c r="H321" s="6"/>
      <c r="I321" s="6"/>
      <c r="J321" s="6"/>
      <c r="K321" s="6"/>
      <c r="L321" s="4">
        <f ca="1">_xll.DBRW($B$1,$B$2,$B$7,$B$3,$B$4,$B$5,$F321,$B$6,L$10,$A321,$B321)</f>
        <v>0</v>
      </c>
      <c r="M321" s="4">
        <f ca="1">_xll.DBRW($B$1,$B$2,$B$7,$B$3,$B$4,$B$5,$F321,$B$6,M$10,$A321,$B321)</f>
        <v>0</v>
      </c>
      <c r="N321" s="4">
        <f ca="1">_xll.DBRW($B$1,$B$2,$B$7,$B$3,$B$4,$B$5,$F321,$B$6,N$10,$A321,$B321)</f>
        <v>0</v>
      </c>
      <c r="O321" s="4">
        <f ca="1">_xll.DBRW($B$1,$B$2,$B$7,$B$3,$B$4,$B$5,$F321,$B$6,O$10,$A321,$B321)</f>
        <v>0</v>
      </c>
      <c r="P321" s="4">
        <f ca="1">_xll.DBRW($B$1,$B$2,$B$7,$B$3,$B$4,$B$5,$F321,$B$6,P$10,$A321,$B321)</f>
        <v>0</v>
      </c>
      <c r="Q321" s="4">
        <f ca="1">_xll.DBRW($B$1,$B$2,$B$7,$B$3,$B$4,$B$5,$F321,$B$6,Q$10,$A321,$B321)</f>
        <v>0</v>
      </c>
      <c r="R321" s="4">
        <f ca="1">_xll.DBRW($B$1,$B$2,$B$7,$B$3,$B$4,$B$5,$F321,$B$6,R$10,$A321,$B321)</f>
        <v>0</v>
      </c>
      <c r="S321" s="4">
        <f ca="1">_xll.DBRW($B$1,$B$2,$B$7,$B$3,$B$4,$B$5,$F321,$B$6,S$10,$A321,$B321)</f>
        <v>0</v>
      </c>
      <c r="T321" s="4">
        <f ca="1">_xll.DBRW($B$1,$B$2,$B$7,$B$3,$B$4,$B$5,$F321,$B$6,T$10,$A321,$B321)</f>
        <v>0</v>
      </c>
      <c r="U321" s="4">
        <f ca="1">_xll.DBRW($B$1,$B$2,$B$7,$B$3,$B$4,$B$5,$F321,$B$6,U$10,$A321,$B321)</f>
        <v>0</v>
      </c>
      <c r="V321" s="4">
        <f ca="1">_xll.DBRW($B$1,$B$2,$B$7,$B$3,$B$4,$B$5,$F321,$B$6,V$10,$A321,$B321)</f>
        <v>0</v>
      </c>
      <c r="W321" s="4">
        <f ca="1">_xll.DBRW($B$1,$B$2,$B$7,$B$3,$B$4,$B$5,$F321,$B$6,W$10,$A321,$B321)</f>
        <v>0</v>
      </c>
      <c r="X321" s="4">
        <f ca="1">_xll.DBRW($B$1,$B$2,$B$7,$B$3,$B$4,$B$5,$F321,$B$6,X$10,$A321,$B321)</f>
        <v>0</v>
      </c>
      <c r="Y321" s="4">
        <f ca="1">_xll.DBRW($B$1,$B$2,$B$7,$B$3,$B$4,$B$5,$F321,$B$6,Y$10,$A321,$B321)</f>
        <v>0</v>
      </c>
      <c r="Z321" s="4">
        <f ca="1">_xll.DBRW($B$1,$B$2,$B$7,$B$3,$B$4,$B$5,$F321,$B$6,Z$10,$A321,$B321)</f>
        <v>0</v>
      </c>
      <c r="AA321" s="4">
        <f ca="1">_xll.DBRW($B$1,$B$2,$B$7,$B$3,$B$4,$B$5,$F321,$B$6,AA$10,$A321,$B321)</f>
        <v>0</v>
      </c>
      <c r="AB321" s="4">
        <f ca="1">_xll.DBRW($B$1,$B$2,$B$7,$B$3,$B$4,$B$5,$F321,$B$6,AB$10,$A321,$B321)</f>
        <v>0</v>
      </c>
      <c r="AC321" s="4">
        <f ca="1">_xll.DBRW($B$1,$B$2,$B$7,$B$3,$B$4,$B$5,$F321,$B$6,AC$10,$A321,$B321)</f>
        <v>0</v>
      </c>
      <c r="AD321" s="4">
        <f ca="1">_xll.DBRW($B$1,$B$2,$B$7,$B$3,$B$4,$B$5,$F321,$B$6,AD$10,$A321,$B321)</f>
        <v>0</v>
      </c>
      <c r="AE321" s="4">
        <f ca="1">_xll.DBRW($B$1,$B$2,$B$7,$B$3,$B$4,$B$5,$F321,$B$6,AE$10,$A321,$B321)</f>
        <v>0</v>
      </c>
    </row>
    <row r="322" spans="1:31">
      <c r="A322" s="1" t="s">
        <v>152</v>
      </c>
      <c r="B322" s="5" t="s">
        <v>257</v>
      </c>
      <c r="C322" s="5" t="s">
        <v>208</v>
      </c>
      <c r="D322" s="5" t="s">
        <v>181</v>
      </c>
      <c r="E322" s="5" t="s">
        <v>21</v>
      </c>
      <c r="F322" s="5" t="s">
        <v>25</v>
      </c>
      <c r="G322" s="6"/>
      <c r="H322" s="6"/>
      <c r="I322" s="6"/>
      <c r="J322" s="6"/>
      <c r="K322" s="6"/>
      <c r="L322" s="4">
        <f ca="1">_xll.DBRW($B$1,$B$2,$B$7,$B$3,$B$4,$B$5,$F322,$B$6,L$10,$A322,$B322)</f>
        <v>0</v>
      </c>
      <c r="M322" s="4">
        <f ca="1">_xll.DBRW($B$1,$B$2,$B$7,$B$3,$B$4,$B$5,$F322,$B$6,M$10,$A322,$B322)</f>
        <v>0</v>
      </c>
      <c r="N322" s="4">
        <f ca="1">_xll.DBRW($B$1,$B$2,$B$7,$B$3,$B$4,$B$5,$F322,$B$6,N$10,$A322,$B322)</f>
        <v>0</v>
      </c>
      <c r="O322" s="4">
        <f ca="1">_xll.DBRW($B$1,$B$2,$B$7,$B$3,$B$4,$B$5,$F322,$B$6,O$10,$A322,$B322)</f>
        <v>0</v>
      </c>
      <c r="P322" s="4">
        <f ca="1">_xll.DBRW($B$1,$B$2,$B$7,$B$3,$B$4,$B$5,$F322,$B$6,P$10,$A322,$B322)</f>
        <v>0</v>
      </c>
      <c r="Q322" s="4">
        <f ca="1">_xll.DBRW($B$1,$B$2,$B$7,$B$3,$B$4,$B$5,$F322,$B$6,Q$10,$A322,$B322)</f>
        <v>0</v>
      </c>
      <c r="R322" s="4">
        <f ca="1">_xll.DBRW($B$1,$B$2,$B$7,$B$3,$B$4,$B$5,$F322,$B$6,R$10,$A322,$B322)</f>
        <v>0</v>
      </c>
      <c r="S322" s="4">
        <f ca="1">_xll.DBRW($B$1,$B$2,$B$7,$B$3,$B$4,$B$5,$F322,$B$6,S$10,$A322,$B322)</f>
        <v>0</v>
      </c>
      <c r="T322" s="4">
        <f ca="1">_xll.DBRW($B$1,$B$2,$B$7,$B$3,$B$4,$B$5,$F322,$B$6,T$10,$A322,$B322)</f>
        <v>0</v>
      </c>
      <c r="U322" s="4">
        <f ca="1">_xll.DBRW($B$1,$B$2,$B$7,$B$3,$B$4,$B$5,$F322,$B$6,U$10,$A322,$B322)</f>
        <v>0</v>
      </c>
      <c r="V322" s="4">
        <f ca="1">_xll.DBRW($B$1,$B$2,$B$7,$B$3,$B$4,$B$5,$F322,$B$6,V$10,$A322,$B322)</f>
        <v>0</v>
      </c>
      <c r="W322" s="4">
        <f ca="1">_xll.DBRW($B$1,$B$2,$B$7,$B$3,$B$4,$B$5,$F322,$B$6,W$10,$A322,$B322)</f>
        <v>0</v>
      </c>
      <c r="X322" s="4">
        <f ca="1">_xll.DBRW($B$1,$B$2,$B$7,$B$3,$B$4,$B$5,$F322,$B$6,X$10,$A322,$B322)</f>
        <v>0</v>
      </c>
      <c r="Y322" s="4">
        <f ca="1">_xll.DBRW($B$1,$B$2,$B$7,$B$3,$B$4,$B$5,$F322,$B$6,Y$10,$A322,$B322)</f>
        <v>0</v>
      </c>
      <c r="Z322" s="4">
        <f ca="1">_xll.DBRW($B$1,$B$2,$B$7,$B$3,$B$4,$B$5,$F322,$B$6,Z$10,$A322,$B322)</f>
        <v>0</v>
      </c>
      <c r="AA322" s="4">
        <f ca="1">_xll.DBRW($B$1,$B$2,$B$7,$B$3,$B$4,$B$5,$F322,$B$6,AA$10,$A322,$B322)</f>
        <v>0</v>
      </c>
      <c r="AB322" s="4">
        <f ca="1">_xll.DBRW($B$1,$B$2,$B$7,$B$3,$B$4,$B$5,$F322,$B$6,AB$10,$A322,$B322)</f>
        <v>0</v>
      </c>
      <c r="AC322" s="4">
        <f ca="1">_xll.DBRW($B$1,$B$2,$B$7,$B$3,$B$4,$B$5,$F322,$B$6,AC$10,$A322,$B322)</f>
        <v>0</v>
      </c>
      <c r="AD322" s="4">
        <f ca="1">_xll.DBRW($B$1,$B$2,$B$7,$B$3,$B$4,$B$5,$F322,$B$6,AD$10,$A322,$B322)</f>
        <v>0</v>
      </c>
      <c r="AE322" s="4">
        <f ca="1">_xll.DBRW($B$1,$B$2,$B$7,$B$3,$B$4,$B$5,$F322,$B$6,AE$10,$A322,$B322)</f>
        <v>0</v>
      </c>
    </row>
    <row r="323" spans="1:31">
      <c r="A323" s="1" t="s">
        <v>152</v>
      </c>
      <c r="B323" s="5" t="s">
        <v>258</v>
      </c>
      <c r="C323" s="5" t="s">
        <v>259</v>
      </c>
      <c r="D323" s="5" t="s">
        <v>21</v>
      </c>
      <c r="E323" s="5" t="s">
        <v>260</v>
      </c>
      <c r="F323" s="5" t="s">
        <v>25</v>
      </c>
      <c r="G323" s="6"/>
      <c r="H323" s="6"/>
      <c r="I323" s="6"/>
      <c r="J323" s="6"/>
      <c r="K323" s="6"/>
      <c r="L323" s="4">
        <f ca="1">_xll.DBRW($B$1,$B$2,$B$7,$B$3,$B$4,$B$5,$F323,$B$6,L$10,$A323,$B323)</f>
        <v>49787136</v>
      </c>
      <c r="M323" s="4">
        <f ca="1">_xll.DBRW($B$1,$B$2,$B$7,$B$3,$B$4,$B$5,$F323,$B$6,M$10,$A323,$B323)</f>
        <v>44452800</v>
      </c>
      <c r="N323" s="4">
        <f ca="1">_xll.DBRW($B$1,$B$2,$B$7,$B$3,$B$4,$B$5,$F323,$B$6,N$10,$A323,$B323)</f>
        <v>53343360</v>
      </c>
      <c r="O323" s="4">
        <f ca="1">_xll.DBRW($B$1,$B$2,$B$7,$B$3,$B$4,$B$5,$F323,$B$6,O$10,$A323,$B323)</f>
        <v>53343360</v>
      </c>
      <c r="P323" s="4">
        <f ca="1">_xll.DBRW($B$1,$B$2,$B$7,$B$3,$B$4,$B$5,$F323,$B$6,P$10,$A323,$B323)</f>
        <v>51565248</v>
      </c>
      <c r="Q323" s="4">
        <f ca="1">_xll.DBRW($B$1,$B$2,$B$7,$B$3,$B$4,$B$5,$F323,$B$6,Q$10,$A323,$B323)</f>
        <v>53343360</v>
      </c>
      <c r="R323" s="4">
        <f ca="1">_xll.DBRW($B$1,$B$2,$B$7,$B$3,$B$4,$B$5,$F323,$B$6,R$10,$A323,$B323)</f>
        <v>51565248</v>
      </c>
      <c r="S323" s="4">
        <f ca="1">_xll.DBRW($B$1,$B$2,$B$7,$B$3,$B$4,$B$5,$F323,$B$6,S$10,$A323,$B323)</f>
        <v>53343360</v>
      </c>
      <c r="T323" s="4">
        <f ca="1">_xll.DBRW($B$1,$B$2,$B$7,$B$3,$B$4,$B$5,$F323,$B$6,T$10,$A323,$B323)</f>
        <v>55121472</v>
      </c>
      <c r="U323" s="4">
        <f ca="1">_xll.DBRW($B$1,$B$2,$B$7,$B$3,$B$4,$B$5,$F323,$B$6,U$10,$A323,$B323)</f>
        <v>49787136</v>
      </c>
      <c r="V323" s="4">
        <f ca="1">_xll.DBRW($B$1,$B$2,$B$7,$B$3,$B$4,$B$5,$F323,$B$6,V$10,$A323,$B323)</f>
        <v>55121472</v>
      </c>
      <c r="W323" s="4">
        <f ca="1">_xll.DBRW($B$1,$B$2,$B$7,$B$3,$B$4,$B$5,$F323,$B$6,W$10,$A323,$B323)</f>
        <v>53343360</v>
      </c>
      <c r="X323" s="4">
        <f ca="1">_xll.DBRW($B$1,$B$2,$B$7,$B$3,$B$4,$B$5,$F323,$B$6,X$10,$A323,$B323)</f>
        <v>55121472</v>
      </c>
      <c r="Y323" s="4">
        <f ca="1">_xll.DBRW($B$1,$B$2,$B$7,$B$3,$B$4,$B$5,$F323,$B$6,Y$10,$A323,$B323)</f>
        <v>53343360</v>
      </c>
      <c r="Z323" s="4">
        <f ca="1">_xll.DBRW($B$1,$B$2,$B$7,$B$3,$B$4,$B$5,$F323,$B$6,Z$10,$A323,$B323)</f>
        <v>55121472</v>
      </c>
      <c r="AA323" s="4">
        <f ca="1">_xll.DBRW($B$1,$B$2,$B$7,$B$3,$B$4,$B$5,$F323,$B$6,AA$10,$A323,$B323)</f>
        <v>55121472</v>
      </c>
      <c r="AB323" s="4">
        <f ca="1">_xll.DBRW($B$1,$B$2,$B$7,$B$3,$B$4,$B$5,$F323,$B$6,AB$10,$A323,$B323)</f>
        <v>53343360</v>
      </c>
      <c r="AC323" s="4">
        <f ca="1">_xll.DBRW($B$1,$B$2,$B$7,$B$3,$B$4,$B$5,$F323,$B$6,AC$10,$A323,$B323)</f>
        <v>55121472</v>
      </c>
      <c r="AD323" s="4">
        <f ca="1">_xll.DBRW($B$1,$B$2,$B$7,$B$3,$B$4,$B$5,$F323,$B$6,AD$10,$A323,$B323)</f>
        <v>53343360</v>
      </c>
      <c r="AE323" s="4">
        <f ca="1">_xll.DBRW($B$1,$B$2,$B$7,$B$3,$B$4,$B$5,$F323,$B$6,AE$10,$A323,$B323)</f>
        <v>55121472</v>
      </c>
    </row>
    <row r="324" spans="1:31">
      <c r="A324" s="1" t="s">
        <v>152</v>
      </c>
      <c r="B324" s="5" t="s">
        <v>261</v>
      </c>
      <c r="C324" s="5" t="s">
        <v>262</v>
      </c>
      <c r="D324" s="5" t="s">
        <v>260</v>
      </c>
      <c r="E324" s="5" t="s">
        <v>21</v>
      </c>
      <c r="F324" s="5" t="s">
        <v>25</v>
      </c>
      <c r="G324" s="6"/>
      <c r="H324" s="6"/>
      <c r="I324" s="6"/>
      <c r="J324" s="6"/>
      <c r="K324" s="6"/>
      <c r="L324" s="4">
        <f ca="1">_xll.DBRW($B$1,$B$2,$B$7,$B$3,$B$4,$B$5,$F324,$B$6,L$10,$A324,$B324)</f>
        <v>49787136</v>
      </c>
      <c r="M324" s="4">
        <f ca="1">_xll.DBRW($B$1,$B$2,$B$7,$B$3,$B$4,$B$5,$F324,$B$6,M$10,$A324,$B324)</f>
        <v>44452800</v>
      </c>
      <c r="N324" s="4">
        <f ca="1">_xll.DBRW($B$1,$B$2,$B$7,$B$3,$B$4,$B$5,$F324,$B$6,N$10,$A324,$B324)</f>
        <v>53343360</v>
      </c>
      <c r="O324" s="4">
        <f ca="1">_xll.DBRW($B$1,$B$2,$B$7,$B$3,$B$4,$B$5,$F324,$B$6,O$10,$A324,$B324)</f>
        <v>53343360</v>
      </c>
      <c r="P324" s="4">
        <f ca="1">_xll.DBRW($B$1,$B$2,$B$7,$B$3,$B$4,$B$5,$F324,$B$6,P$10,$A324,$B324)</f>
        <v>51565248</v>
      </c>
      <c r="Q324" s="4">
        <f ca="1">_xll.DBRW($B$1,$B$2,$B$7,$B$3,$B$4,$B$5,$F324,$B$6,Q$10,$A324,$B324)</f>
        <v>53343360</v>
      </c>
      <c r="R324" s="4">
        <f ca="1">_xll.DBRW($B$1,$B$2,$B$7,$B$3,$B$4,$B$5,$F324,$B$6,R$10,$A324,$B324)</f>
        <v>51565248</v>
      </c>
      <c r="S324" s="4">
        <f ca="1">_xll.DBRW($B$1,$B$2,$B$7,$B$3,$B$4,$B$5,$F324,$B$6,S$10,$A324,$B324)</f>
        <v>53343360</v>
      </c>
      <c r="T324" s="4">
        <f ca="1">_xll.DBRW($B$1,$B$2,$B$7,$B$3,$B$4,$B$5,$F324,$B$6,T$10,$A324,$B324)</f>
        <v>55121472</v>
      </c>
      <c r="U324" s="4">
        <f ca="1">_xll.DBRW($B$1,$B$2,$B$7,$B$3,$B$4,$B$5,$F324,$B$6,U$10,$A324,$B324)</f>
        <v>49787136</v>
      </c>
      <c r="V324" s="4">
        <f ca="1">_xll.DBRW($B$1,$B$2,$B$7,$B$3,$B$4,$B$5,$F324,$B$6,V$10,$A324,$B324)</f>
        <v>55121472</v>
      </c>
      <c r="W324" s="4">
        <f ca="1">_xll.DBRW($B$1,$B$2,$B$7,$B$3,$B$4,$B$5,$F324,$B$6,W$10,$A324,$B324)</f>
        <v>53343360</v>
      </c>
      <c r="X324" s="4">
        <f ca="1">_xll.DBRW($B$1,$B$2,$B$7,$B$3,$B$4,$B$5,$F324,$B$6,X$10,$A324,$B324)</f>
        <v>55121472</v>
      </c>
      <c r="Y324" s="4">
        <f ca="1">_xll.DBRW($B$1,$B$2,$B$7,$B$3,$B$4,$B$5,$F324,$B$6,Y$10,$A324,$B324)</f>
        <v>53343360</v>
      </c>
      <c r="Z324" s="4">
        <f ca="1">_xll.DBRW($B$1,$B$2,$B$7,$B$3,$B$4,$B$5,$F324,$B$6,Z$10,$A324,$B324)</f>
        <v>55121472</v>
      </c>
      <c r="AA324" s="4">
        <f ca="1">_xll.DBRW($B$1,$B$2,$B$7,$B$3,$B$4,$B$5,$F324,$B$6,AA$10,$A324,$B324)</f>
        <v>55121472</v>
      </c>
      <c r="AB324" s="4">
        <f ca="1">_xll.DBRW($B$1,$B$2,$B$7,$B$3,$B$4,$B$5,$F324,$B$6,AB$10,$A324,$B324)</f>
        <v>53343360</v>
      </c>
      <c r="AC324" s="4">
        <f ca="1">_xll.DBRW($B$1,$B$2,$B$7,$B$3,$B$4,$B$5,$F324,$B$6,AC$10,$A324,$B324)</f>
        <v>55121472</v>
      </c>
      <c r="AD324" s="4">
        <f ca="1">_xll.DBRW($B$1,$B$2,$B$7,$B$3,$B$4,$B$5,$F324,$B$6,AD$10,$A324,$B324)</f>
        <v>53343360</v>
      </c>
      <c r="AE324" s="4">
        <f ca="1">_xll.DBRW($B$1,$B$2,$B$7,$B$3,$B$4,$B$5,$F324,$B$6,AE$10,$A324,$B324)</f>
        <v>55121472</v>
      </c>
    </row>
    <row r="325" spans="1:31">
      <c r="A325" s="1" t="s">
        <v>152</v>
      </c>
      <c r="B325" s="5" t="s">
        <v>263</v>
      </c>
      <c r="C325" s="5" t="s">
        <v>264</v>
      </c>
      <c r="D325" s="5" t="s">
        <v>21</v>
      </c>
      <c r="E325" s="5" t="s">
        <v>265</v>
      </c>
      <c r="F325" s="5" t="s">
        <v>25</v>
      </c>
      <c r="G325" s="6"/>
      <c r="H325" s="6"/>
      <c r="I325" s="6"/>
      <c r="J325" s="6"/>
      <c r="K325" s="6"/>
      <c r="L325" s="4">
        <f ca="1">_xll.DBRW($B$1,$B$2,$B$7,$B$3,$B$4,$B$5,$F325,$B$6,L$10,$A325,$B325)</f>
        <v>40140288</v>
      </c>
      <c r="M325" s="4">
        <f ca="1">_xll.DBRW($B$1,$B$2,$B$7,$B$3,$B$4,$B$5,$F325,$B$6,M$10,$A325,$B325)</f>
        <v>38845440</v>
      </c>
      <c r="N325" s="4">
        <f ca="1">_xll.DBRW($B$1,$B$2,$B$7,$B$3,$B$4,$B$5,$F325,$B$6,N$10,$A325,$B325)</f>
        <v>40140288</v>
      </c>
      <c r="O325" s="4">
        <f ca="1">_xll.DBRW($B$1,$B$2,$B$7,$B$3,$B$4,$B$5,$F325,$B$6,O$10,$A325,$B325)</f>
        <v>40140288</v>
      </c>
      <c r="P325" s="4">
        <f ca="1">_xll.DBRW($B$1,$B$2,$B$7,$B$3,$B$4,$B$5,$F325,$B$6,P$10,$A325,$B325)</f>
        <v>38845440</v>
      </c>
      <c r="Q325" s="4">
        <f ca="1">_xll.DBRW($B$1,$B$2,$B$7,$B$3,$B$4,$B$5,$F325,$B$6,Q$10,$A325,$B325)</f>
        <v>44018088</v>
      </c>
      <c r="R325" s="4">
        <f ca="1">_xll.DBRW($B$1,$B$2,$B$7,$B$3,$B$4,$B$5,$F325,$B$6,R$10,$A325,$B325)</f>
        <v>63326160</v>
      </c>
      <c r="S325" s="4">
        <f ca="1">_xll.DBRW($B$1,$B$2,$B$7,$B$3,$B$4,$B$5,$F325,$B$6,S$10,$A325,$B325)</f>
        <v>64911000</v>
      </c>
      <c r="T325" s="4">
        <f ca="1">_xll.DBRW($B$1,$B$2,$B$7,$B$3,$B$4,$B$5,$F325,$B$6,T$10,$A325,$B325)</f>
        <v>65517960</v>
      </c>
      <c r="U325" s="4">
        <f ca="1">_xll.DBRW($B$1,$B$2,$B$7,$B$3,$B$4,$B$5,$F325,$B$6,U$10,$A325,$B325)</f>
        <v>58942560</v>
      </c>
      <c r="V325" s="4">
        <f ca="1">_xll.DBRW($B$1,$B$2,$B$7,$B$3,$B$4,$B$5,$F325,$B$6,V$10,$A325,$B325)</f>
        <v>63724056</v>
      </c>
      <c r="W325" s="4">
        <f ca="1">_xll.DBRW($B$1,$B$2,$B$7,$B$3,$B$4,$B$5,$F325,$B$6,W$10,$A325,$B325)</f>
        <v>38845440</v>
      </c>
      <c r="X325" s="4">
        <f ca="1">_xll.DBRW($B$1,$B$2,$B$7,$B$3,$B$4,$B$5,$F325,$B$6,X$10,$A325,$B325)</f>
        <v>40140288</v>
      </c>
      <c r="Y325" s="4">
        <f ca="1">_xll.DBRW($B$1,$B$2,$B$7,$B$3,$B$4,$B$5,$F325,$B$6,Y$10,$A325,$B325)</f>
        <v>38845440</v>
      </c>
      <c r="Z325" s="4">
        <f ca="1">_xll.DBRW($B$1,$B$2,$B$7,$B$3,$B$4,$B$5,$F325,$B$6,Z$10,$A325,$B325)</f>
        <v>40140288</v>
      </c>
      <c r="AA325" s="4">
        <f ca="1">_xll.DBRW($B$1,$B$2,$B$7,$B$3,$B$4,$B$5,$F325,$B$6,AA$10,$A325,$B325)</f>
        <v>40140288</v>
      </c>
      <c r="AB325" s="4">
        <f ca="1">_xll.DBRW($B$1,$B$2,$B$7,$B$3,$B$4,$B$5,$F325,$B$6,AB$10,$A325,$B325)</f>
        <v>38845440</v>
      </c>
      <c r="AC325" s="4">
        <f ca="1">_xll.DBRW($B$1,$B$2,$B$7,$B$3,$B$4,$B$5,$F325,$B$6,AC$10,$A325,$B325)</f>
        <v>44915040</v>
      </c>
      <c r="AD325" s="4">
        <f ca="1">_xll.DBRW($B$1,$B$2,$B$7,$B$3,$B$4,$B$5,$F325,$B$6,AD$10,$A325,$B325)</f>
        <v>63326160</v>
      </c>
      <c r="AE325" s="4">
        <f ca="1">_xll.DBRW($B$1,$B$2,$B$7,$B$3,$B$4,$B$5,$F325,$B$6,AE$10,$A325,$B325)</f>
        <v>64911000</v>
      </c>
    </row>
    <row r="326" spans="1:31">
      <c r="A326" s="1" t="s">
        <v>152</v>
      </c>
      <c r="B326" s="5" t="s">
        <v>266</v>
      </c>
      <c r="C326" s="5" t="s">
        <v>267</v>
      </c>
      <c r="D326" s="5" t="s">
        <v>265</v>
      </c>
      <c r="E326" s="5" t="s">
        <v>21</v>
      </c>
      <c r="F326" s="5" t="s">
        <v>25</v>
      </c>
      <c r="G326" s="6"/>
      <c r="H326" s="6"/>
      <c r="I326" s="6"/>
      <c r="J326" s="6"/>
      <c r="K326" s="6"/>
      <c r="L326" s="4">
        <f ca="1">_xll.DBRW($B$1,$B$2,$B$7,$B$3,$B$4,$B$5,$F326,$B$6,L$10,$A326,$B326)</f>
        <v>40140288</v>
      </c>
      <c r="M326" s="4">
        <f ca="1">_xll.DBRW($B$1,$B$2,$B$7,$B$3,$B$4,$B$5,$F326,$B$6,M$10,$A326,$B326)</f>
        <v>38845440</v>
      </c>
      <c r="N326" s="4">
        <f ca="1">_xll.DBRW($B$1,$B$2,$B$7,$B$3,$B$4,$B$5,$F326,$B$6,N$10,$A326,$B326)</f>
        <v>40140288</v>
      </c>
      <c r="O326" s="4">
        <f ca="1">_xll.DBRW($B$1,$B$2,$B$7,$B$3,$B$4,$B$5,$F326,$B$6,O$10,$A326,$B326)</f>
        <v>40140288</v>
      </c>
      <c r="P326" s="4">
        <f ca="1">_xll.DBRW($B$1,$B$2,$B$7,$B$3,$B$4,$B$5,$F326,$B$6,P$10,$A326,$B326)</f>
        <v>38845440</v>
      </c>
      <c r="Q326" s="4">
        <f ca="1">_xll.DBRW($B$1,$B$2,$B$7,$B$3,$B$4,$B$5,$F326,$B$6,Q$10,$A326,$B326)</f>
        <v>44018088</v>
      </c>
      <c r="R326" s="4">
        <f ca="1">_xll.DBRW($B$1,$B$2,$B$7,$B$3,$B$4,$B$5,$F326,$B$6,R$10,$A326,$B326)</f>
        <v>63326160</v>
      </c>
      <c r="S326" s="4">
        <f ca="1">_xll.DBRW($B$1,$B$2,$B$7,$B$3,$B$4,$B$5,$F326,$B$6,S$10,$A326,$B326)</f>
        <v>64911000</v>
      </c>
      <c r="T326" s="4">
        <f ca="1">_xll.DBRW($B$1,$B$2,$B$7,$B$3,$B$4,$B$5,$F326,$B$6,T$10,$A326,$B326)</f>
        <v>65517960</v>
      </c>
      <c r="U326" s="4">
        <f ca="1">_xll.DBRW($B$1,$B$2,$B$7,$B$3,$B$4,$B$5,$F326,$B$6,U$10,$A326,$B326)</f>
        <v>58942560</v>
      </c>
      <c r="V326" s="4">
        <f ca="1">_xll.DBRW($B$1,$B$2,$B$7,$B$3,$B$4,$B$5,$F326,$B$6,V$10,$A326,$B326)</f>
        <v>63724056</v>
      </c>
      <c r="W326" s="4">
        <f ca="1">_xll.DBRW($B$1,$B$2,$B$7,$B$3,$B$4,$B$5,$F326,$B$6,W$10,$A326,$B326)</f>
        <v>38845440</v>
      </c>
      <c r="X326" s="4">
        <f ca="1">_xll.DBRW($B$1,$B$2,$B$7,$B$3,$B$4,$B$5,$F326,$B$6,X$10,$A326,$B326)</f>
        <v>40140288</v>
      </c>
      <c r="Y326" s="4">
        <f ca="1">_xll.DBRW($B$1,$B$2,$B$7,$B$3,$B$4,$B$5,$F326,$B$6,Y$10,$A326,$B326)</f>
        <v>38845440</v>
      </c>
      <c r="Z326" s="4">
        <f ca="1">_xll.DBRW($B$1,$B$2,$B$7,$B$3,$B$4,$B$5,$F326,$B$6,Z$10,$A326,$B326)</f>
        <v>40140288</v>
      </c>
      <c r="AA326" s="4">
        <f ca="1">_xll.DBRW($B$1,$B$2,$B$7,$B$3,$B$4,$B$5,$F326,$B$6,AA$10,$A326,$B326)</f>
        <v>40140288</v>
      </c>
      <c r="AB326" s="4">
        <f ca="1">_xll.DBRW($B$1,$B$2,$B$7,$B$3,$B$4,$B$5,$F326,$B$6,AB$10,$A326,$B326)</f>
        <v>38845440</v>
      </c>
      <c r="AC326" s="4">
        <f ca="1">_xll.DBRW($B$1,$B$2,$B$7,$B$3,$B$4,$B$5,$F326,$B$6,AC$10,$A326,$B326)</f>
        <v>44915040</v>
      </c>
      <c r="AD326" s="4">
        <f ca="1">_xll.DBRW($B$1,$B$2,$B$7,$B$3,$B$4,$B$5,$F326,$B$6,AD$10,$A326,$B326)</f>
        <v>63326160</v>
      </c>
      <c r="AE326" s="4">
        <f ca="1">_xll.DBRW($B$1,$B$2,$B$7,$B$3,$B$4,$B$5,$F326,$B$6,AE$10,$A326,$B326)</f>
        <v>64911000</v>
      </c>
    </row>
    <row r="327" spans="1:31">
      <c r="A327" s="1" t="s">
        <v>152</v>
      </c>
      <c r="B327" s="5" t="s">
        <v>268</v>
      </c>
      <c r="C327" s="5" t="s">
        <v>264</v>
      </c>
      <c r="D327" s="5" t="s">
        <v>21</v>
      </c>
      <c r="E327" s="5" t="s">
        <v>265</v>
      </c>
      <c r="F327" s="5" t="s">
        <v>25</v>
      </c>
      <c r="G327" s="6"/>
      <c r="H327" s="6"/>
      <c r="I327" s="6"/>
      <c r="J327" s="6"/>
      <c r="K327" s="6"/>
      <c r="L327" s="4">
        <f ca="1">_xll.DBRW($B$1,$B$2,$B$7,$B$3,$B$4,$B$5,$F327,$B$6,L$10,$A327,$B327)</f>
        <v>67945800</v>
      </c>
      <c r="M327" s="4">
        <f ca="1">_xll.DBRW($B$1,$B$2,$B$7,$B$3,$B$4,$B$5,$F327,$B$6,M$10,$A327,$B327)</f>
        <v>65754000</v>
      </c>
      <c r="N327" s="4">
        <f ca="1">_xll.DBRW($B$1,$B$2,$B$7,$B$3,$B$4,$B$5,$F327,$B$6,N$10,$A327,$B327)</f>
        <v>67945800</v>
      </c>
      <c r="O327" s="4">
        <f ca="1">_xll.DBRW($B$1,$B$2,$B$7,$B$3,$B$4,$B$5,$F327,$B$6,O$10,$A327,$B327)</f>
        <v>67945800</v>
      </c>
      <c r="P327" s="4">
        <f ca="1">_xll.DBRW($B$1,$B$2,$B$7,$B$3,$B$4,$B$5,$F327,$B$6,P$10,$A327,$B327)</f>
        <v>65754000</v>
      </c>
      <c r="Q327" s="4">
        <f ca="1">_xll.DBRW($B$1,$B$2,$B$7,$B$3,$B$4,$B$5,$F327,$B$6,Q$10,$A327,$B327)</f>
        <v>67338840</v>
      </c>
      <c r="R327" s="4">
        <f ca="1">_xll.DBRW($B$1,$B$2,$B$7,$B$3,$B$4,$B$5,$F327,$B$6,R$10,$A327,$B327)</f>
        <v>65754000</v>
      </c>
      <c r="S327" s="4">
        <f ca="1">_xll.DBRW($B$1,$B$2,$B$7,$B$3,$B$4,$B$5,$F327,$B$6,S$10,$A327,$B327)</f>
        <v>67945800</v>
      </c>
      <c r="T327" s="4">
        <f ca="1">_xll.DBRW($B$1,$B$2,$B$7,$B$3,$B$4,$B$5,$F327,$B$6,T$10,$A327,$B327)</f>
        <v>40140288</v>
      </c>
      <c r="U327" s="4">
        <f ca="1">_xll.DBRW($B$1,$B$2,$B$7,$B$3,$B$4,$B$5,$F327,$B$6,U$10,$A327,$B327)</f>
        <v>36255744</v>
      </c>
      <c r="V327" s="4">
        <f ca="1">_xll.DBRW($B$1,$B$2,$B$7,$B$3,$B$4,$B$5,$F327,$B$6,V$10,$A327,$B327)</f>
        <v>41934192</v>
      </c>
      <c r="W327" s="4">
        <f ca="1">_xll.DBRW($B$1,$B$2,$B$7,$B$3,$B$4,$B$5,$F327,$B$6,W$10,$A327,$B327)</f>
        <v>65754000</v>
      </c>
      <c r="X327" s="4">
        <f ca="1">_xll.DBRW($B$1,$B$2,$B$7,$B$3,$B$4,$B$5,$F327,$B$6,X$10,$A327,$B327)</f>
        <v>67945800</v>
      </c>
      <c r="Y327" s="4">
        <f ca="1">_xll.DBRW($B$1,$B$2,$B$7,$B$3,$B$4,$B$5,$F327,$B$6,Y$10,$A327,$B327)</f>
        <v>65754000</v>
      </c>
      <c r="Z327" s="4">
        <f ca="1">_xll.DBRW($B$1,$B$2,$B$7,$B$3,$B$4,$B$5,$F327,$B$6,Z$10,$A327,$B327)</f>
        <v>67945800</v>
      </c>
      <c r="AA327" s="4">
        <f ca="1">_xll.DBRW($B$1,$B$2,$B$7,$B$3,$B$4,$B$5,$F327,$B$6,AA$10,$A327,$B327)</f>
        <v>67945800</v>
      </c>
      <c r="AB327" s="4">
        <f ca="1">_xll.DBRW($B$1,$B$2,$B$7,$B$3,$B$4,$B$5,$F327,$B$6,AB$10,$A327,$B327)</f>
        <v>65754000</v>
      </c>
      <c r="AC327" s="4">
        <f ca="1">_xll.DBRW($B$1,$B$2,$B$7,$B$3,$B$4,$B$5,$F327,$B$6,AC$10,$A327,$B327)</f>
        <v>62564088</v>
      </c>
      <c r="AD327" s="4">
        <f ca="1">_xll.DBRW($B$1,$B$2,$B$7,$B$3,$B$4,$B$5,$F327,$B$6,AD$10,$A327,$B327)</f>
        <v>38845440</v>
      </c>
      <c r="AE327" s="4">
        <f ca="1">_xll.DBRW($B$1,$B$2,$B$7,$B$3,$B$4,$B$5,$F327,$B$6,AE$10,$A327,$B327)</f>
        <v>40140288</v>
      </c>
    </row>
    <row r="328" spans="1:31">
      <c r="A328" s="1" t="s">
        <v>152</v>
      </c>
      <c r="B328" s="5" t="s">
        <v>269</v>
      </c>
      <c r="C328" s="5" t="s">
        <v>267</v>
      </c>
      <c r="D328" s="5" t="s">
        <v>265</v>
      </c>
      <c r="E328" s="5" t="s">
        <v>21</v>
      </c>
      <c r="F328" s="5" t="s">
        <v>25</v>
      </c>
      <c r="G328" s="6"/>
      <c r="H328" s="6"/>
      <c r="I328" s="6"/>
      <c r="J328" s="6"/>
      <c r="K328" s="6"/>
      <c r="L328" s="4">
        <f ca="1">_xll.DBRW($B$1,$B$2,$B$7,$B$3,$B$4,$B$5,$F328,$B$6,L$10,$A328,$B328)</f>
        <v>67945800</v>
      </c>
      <c r="M328" s="4">
        <f ca="1">_xll.DBRW($B$1,$B$2,$B$7,$B$3,$B$4,$B$5,$F328,$B$6,M$10,$A328,$B328)</f>
        <v>65754000</v>
      </c>
      <c r="N328" s="4">
        <f ca="1">_xll.DBRW($B$1,$B$2,$B$7,$B$3,$B$4,$B$5,$F328,$B$6,N$10,$A328,$B328)</f>
        <v>67945800</v>
      </c>
      <c r="O328" s="4">
        <f ca="1">_xll.DBRW($B$1,$B$2,$B$7,$B$3,$B$4,$B$5,$F328,$B$6,O$10,$A328,$B328)</f>
        <v>67945800</v>
      </c>
      <c r="P328" s="4">
        <f ca="1">_xll.DBRW($B$1,$B$2,$B$7,$B$3,$B$4,$B$5,$F328,$B$6,P$10,$A328,$B328)</f>
        <v>65754000</v>
      </c>
      <c r="Q328" s="4">
        <f ca="1">_xll.DBRW($B$1,$B$2,$B$7,$B$3,$B$4,$B$5,$F328,$B$6,Q$10,$A328,$B328)</f>
        <v>67338840</v>
      </c>
      <c r="R328" s="4">
        <f ca="1">_xll.DBRW($B$1,$B$2,$B$7,$B$3,$B$4,$B$5,$F328,$B$6,R$10,$A328,$B328)</f>
        <v>65754000</v>
      </c>
      <c r="S328" s="4">
        <f ca="1">_xll.DBRW($B$1,$B$2,$B$7,$B$3,$B$4,$B$5,$F328,$B$6,S$10,$A328,$B328)</f>
        <v>67945800</v>
      </c>
      <c r="T328" s="4">
        <f ca="1">_xll.DBRW($B$1,$B$2,$B$7,$B$3,$B$4,$B$5,$F328,$B$6,T$10,$A328,$B328)</f>
        <v>40140288</v>
      </c>
      <c r="U328" s="4">
        <f ca="1">_xll.DBRW($B$1,$B$2,$B$7,$B$3,$B$4,$B$5,$F328,$B$6,U$10,$A328,$B328)</f>
        <v>36255744</v>
      </c>
      <c r="V328" s="4">
        <f ca="1">_xll.DBRW($B$1,$B$2,$B$7,$B$3,$B$4,$B$5,$F328,$B$6,V$10,$A328,$B328)</f>
        <v>41934192</v>
      </c>
      <c r="W328" s="4">
        <f ca="1">_xll.DBRW($B$1,$B$2,$B$7,$B$3,$B$4,$B$5,$F328,$B$6,W$10,$A328,$B328)</f>
        <v>65754000</v>
      </c>
      <c r="X328" s="4">
        <f ca="1">_xll.DBRW($B$1,$B$2,$B$7,$B$3,$B$4,$B$5,$F328,$B$6,X$10,$A328,$B328)</f>
        <v>67945800</v>
      </c>
      <c r="Y328" s="4">
        <f ca="1">_xll.DBRW($B$1,$B$2,$B$7,$B$3,$B$4,$B$5,$F328,$B$6,Y$10,$A328,$B328)</f>
        <v>65754000</v>
      </c>
      <c r="Z328" s="4">
        <f ca="1">_xll.DBRW($B$1,$B$2,$B$7,$B$3,$B$4,$B$5,$F328,$B$6,Z$10,$A328,$B328)</f>
        <v>67945800</v>
      </c>
      <c r="AA328" s="4">
        <f ca="1">_xll.DBRW($B$1,$B$2,$B$7,$B$3,$B$4,$B$5,$F328,$B$6,AA$10,$A328,$B328)</f>
        <v>67945800</v>
      </c>
      <c r="AB328" s="4">
        <f ca="1">_xll.DBRW($B$1,$B$2,$B$7,$B$3,$B$4,$B$5,$F328,$B$6,AB$10,$A328,$B328)</f>
        <v>65754000</v>
      </c>
      <c r="AC328" s="4">
        <f ca="1">_xll.DBRW($B$1,$B$2,$B$7,$B$3,$B$4,$B$5,$F328,$B$6,AC$10,$A328,$B328)</f>
        <v>61269240</v>
      </c>
      <c r="AD328" s="4">
        <f ca="1">_xll.DBRW($B$1,$B$2,$B$7,$B$3,$B$4,$B$5,$F328,$B$6,AD$10,$A328,$B328)</f>
        <v>38845440</v>
      </c>
      <c r="AE328" s="4">
        <f ca="1">_xll.DBRW($B$1,$B$2,$B$7,$B$3,$B$4,$B$5,$F328,$B$6,AE$10,$A328,$B328)</f>
        <v>40140288</v>
      </c>
    </row>
    <row r="329" spans="1:31">
      <c r="A329" s="1" t="s">
        <v>152</v>
      </c>
      <c r="B329" s="5" t="s">
        <v>270</v>
      </c>
      <c r="C329" s="5" t="s">
        <v>271</v>
      </c>
      <c r="D329" s="5" t="s">
        <v>21</v>
      </c>
      <c r="E329" s="5" t="s">
        <v>272</v>
      </c>
      <c r="F329" s="5" t="s">
        <v>25</v>
      </c>
      <c r="G329" s="6"/>
      <c r="H329" s="6"/>
      <c r="I329" s="6"/>
      <c r="J329" s="6"/>
      <c r="K329" s="6"/>
      <c r="L329" s="4">
        <f ca="1">_xll.DBRW($B$1,$B$2,$B$7,$B$3,$B$4,$B$5,$F329,$B$6,L$10,$A329,$B329)</f>
        <v>47925504</v>
      </c>
      <c r="M329" s="4">
        <f ca="1">_xll.DBRW($B$1,$B$2,$B$7,$B$3,$B$4,$B$5,$F329,$B$6,M$10,$A329,$B329)</f>
        <v>46379520</v>
      </c>
      <c r="N329" s="4">
        <f ca="1">_xll.DBRW($B$1,$B$2,$B$7,$B$3,$B$4,$B$5,$F329,$B$6,N$10,$A329,$B329)</f>
        <v>47925504</v>
      </c>
      <c r="O329" s="4">
        <f ca="1">_xll.DBRW($B$1,$B$2,$B$7,$B$3,$B$4,$B$5,$F329,$B$6,O$10,$A329,$B329)</f>
        <v>47925504</v>
      </c>
      <c r="P329" s="4">
        <f ca="1">_xll.DBRW($B$1,$B$2,$B$7,$B$3,$B$4,$B$5,$F329,$B$6,P$10,$A329,$B329)</f>
        <v>46379520</v>
      </c>
      <c r="Q329" s="4">
        <f ca="1">_xll.DBRW($B$1,$B$2,$B$7,$B$3,$B$4,$B$5,$F329,$B$6,Q$10,$A329,$B329)</f>
        <v>47925504</v>
      </c>
      <c r="R329" s="4">
        <f ca="1">_xll.DBRW($B$1,$B$2,$B$7,$B$3,$B$4,$B$5,$F329,$B$6,R$10,$A329,$B329)</f>
        <v>46379520</v>
      </c>
      <c r="S329" s="4">
        <f ca="1">_xll.DBRW($B$1,$B$2,$B$7,$B$3,$B$4,$B$5,$F329,$B$6,S$10,$A329,$B329)</f>
        <v>47925504</v>
      </c>
      <c r="T329" s="4">
        <f ca="1">_xll.DBRW($B$1,$B$2,$B$7,$B$3,$B$4,$B$5,$F329,$B$6,T$10,$A329,$B329)</f>
        <v>47925504</v>
      </c>
      <c r="U329" s="4">
        <f ca="1">_xll.DBRW($B$1,$B$2,$B$7,$B$3,$B$4,$B$5,$F329,$B$6,U$10,$A329,$B329)</f>
        <v>43287552</v>
      </c>
      <c r="V329" s="4">
        <f ca="1">_xll.DBRW($B$1,$B$2,$B$7,$B$3,$B$4,$B$5,$F329,$B$6,V$10,$A329,$B329)</f>
        <v>47925504</v>
      </c>
      <c r="W329" s="4">
        <f ca="1">_xll.DBRW($B$1,$B$2,$B$7,$B$3,$B$4,$B$5,$F329,$B$6,W$10,$A329,$B329)</f>
        <v>46379520</v>
      </c>
      <c r="X329" s="4">
        <f ca="1">_xll.DBRW($B$1,$B$2,$B$7,$B$3,$B$4,$B$5,$F329,$B$6,X$10,$A329,$B329)</f>
        <v>47925504</v>
      </c>
      <c r="Y329" s="4">
        <f ca="1">_xll.DBRW($B$1,$B$2,$B$7,$B$3,$B$4,$B$5,$F329,$B$6,Y$10,$A329,$B329)</f>
        <v>46379520</v>
      </c>
      <c r="Z329" s="4">
        <f ca="1">_xll.DBRW($B$1,$B$2,$B$7,$B$3,$B$4,$B$5,$F329,$B$6,Z$10,$A329,$B329)</f>
        <v>47925504</v>
      </c>
      <c r="AA329" s="4">
        <f ca="1">_xll.DBRW($B$1,$B$2,$B$7,$B$3,$B$4,$B$5,$F329,$B$6,AA$10,$A329,$B329)</f>
        <v>47925504</v>
      </c>
      <c r="AB329" s="4">
        <f ca="1">_xll.DBRW($B$1,$B$2,$B$7,$B$3,$B$4,$B$5,$F329,$B$6,AB$10,$A329,$B329)</f>
        <v>46379520</v>
      </c>
      <c r="AC329" s="4">
        <f ca="1">_xll.DBRW($B$1,$B$2,$B$7,$B$3,$B$4,$B$5,$F329,$B$6,AC$10,$A329,$B329)</f>
        <v>47925504</v>
      </c>
      <c r="AD329" s="4">
        <f ca="1">_xll.DBRW($B$1,$B$2,$B$7,$B$3,$B$4,$B$5,$F329,$B$6,AD$10,$A329,$B329)</f>
        <v>46379520</v>
      </c>
      <c r="AE329" s="4">
        <f ca="1">_xll.DBRW($B$1,$B$2,$B$7,$B$3,$B$4,$B$5,$F329,$B$6,AE$10,$A329,$B329)</f>
        <v>47925504</v>
      </c>
    </row>
    <row r="330" spans="1:31">
      <c r="A330" s="1" t="s">
        <v>152</v>
      </c>
      <c r="B330" s="5" t="s">
        <v>273</v>
      </c>
      <c r="C330" s="5" t="s">
        <v>274</v>
      </c>
      <c r="D330" s="5" t="s">
        <v>272</v>
      </c>
      <c r="E330" s="5" t="s">
        <v>21</v>
      </c>
      <c r="F330" s="5" t="s">
        <v>25</v>
      </c>
      <c r="G330" s="6"/>
      <c r="H330" s="6"/>
      <c r="I330" s="6"/>
      <c r="J330" s="6"/>
      <c r="K330" s="6"/>
      <c r="L330" s="4">
        <f ca="1">_xll.DBRW($B$1,$B$2,$B$7,$B$3,$B$4,$B$5,$F330,$B$6,L$10,$A330,$B330)</f>
        <v>47925504</v>
      </c>
      <c r="M330" s="4">
        <f ca="1">_xll.DBRW($B$1,$B$2,$B$7,$B$3,$B$4,$B$5,$F330,$B$6,M$10,$A330,$B330)</f>
        <v>46379520</v>
      </c>
      <c r="N330" s="4">
        <f ca="1">_xll.DBRW($B$1,$B$2,$B$7,$B$3,$B$4,$B$5,$F330,$B$6,N$10,$A330,$B330)</f>
        <v>47925504</v>
      </c>
      <c r="O330" s="4">
        <f ca="1">_xll.DBRW($B$1,$B$2,$B$7,$B$3,$B$4,$B$5,$F330,$B$6,O$10,$A330,$B330)</f>
        <v>47925504</v>
      </c>
      <c r="P330" s="4">
        <f ca="1">_xll.DBRW($B$1,$B$2,$B$7,$B$3,$B$4,$B$5,$F330,$B$6,P$10,$A330,$B330)</f>
        <v>46379520</v>
      </c>
      <c r="Q330" s="4">
        <f ca="1">_xll.DBRW($B$1,$B$2,$B$7,$B$3,$B$4,$B$5,$F330,$B$6,Q$10,$A330,$B330)</f>
        <v>47925504</v>
      </c>
      <c r="R330" s="4">
        <f ca="1">_xll.DBRW($B$1,$B$2,$B$7,$B$3,$B$4,$B$5,$F330,$B$6,R$10,$A330,$B330)</f>
        <v>46379520</v>
      </c>
      <c r="S330" s="4">
        <f ca="1">_xll.DBRW($B$1,$B$2,$B$7,$B$3,$B$4,$B$5,$F330,$B$6,S$10,$A330,$B330)</f>
        <v>47925504</v>
      </c>
      <c r="T330" s="4">
        <f ca="1">_xll.DBRW($B$1,$B$2,$B$7,$B$3,$B$4,$B$5,$F330,$B$6,T$10,$A330,$B330)</f>
        <v>47925504</v>
      </c>
      <c r="U330" s="4">
        <f ca="1">_xll.DBRW($B$1,$B$2,$B$7,$B$3,$B$4,$B$5,$F330,$B$6,U$10,$A330,$B330)</f>
        <v>43287552</v>
      </c>
      <c r="V330" s="4">
        <f ca="1">_xll.DBRW($B$1,$B$2,$B$7,$B$3,$B$4,$B$5,$F330,$B$6,V$10,$A330,$B330)</f>
        <v>47925504</v>
      </c>
      <c r="W330" s="4">
        <f ca="1">_xll.DBRW($B$1,$B$2,$B$7,$B$3,$B$4,$B$5,$F330,$B$6,W$10,$A330,$B330)</f>
        <v>46379520</v>
      </c>
      <c r="X330" s="4">
        <f ca="1">_xll.DBRW($B$1,$B$2,$B$7,$B$3,$B$4,$B$5,$F330,$B$6,X$10,$A330,$B330)</f>
        <v>47925504</v>
      </c>
      <c r="Y330" s="4">
        <f ca="1">_xll.DBRW($B$1,$B$2,$B$7,$B$3,$B$4,$B$5,$F330,$B$6,Y$10,$A330,$B330)</f>
        <v>46379520</v>
      </c>
      <c r="Z330" s="4">
        <f ca="1">_xll.DBRW($B$1,$B$2,$B$7,$B$3,$B$4,$B$5,$F330,$B$6,Z$10,$A330,$B330)</f>
        <v>47925504</v>
      </c>
      <c r="AA330" s="4">
        <f ca="1">_xll.DBRW($B$1,$B$2,$B$7,$B$3,$B$4,$B$5,$F330,$B$6,AA$10,$A330,$B330)</f>
        <v>47925504</v>
      </c>
      <c r="AB330" s="4">
        <f ca="1">_xll.DBRW($B$1,$B$2,$B$7,$B$3,$B$4,$B$5,$F330,$B$6,AB$10,$A330,$B330)</f>
        <v>46379520</v>
      </c>
      <c r="AC330" s="4">
        <f ca="1">_xll.DBRW($B$1,$B$2,$B$7,$B$3,$B$4,$B$5,$F330,$B$6,AC$10,$A330,$B330)</f>
        <v>46379520</v>
      </c>
      <c r="AD330" s="4">
        <f ca="1">_xll.DBRW($B$1,$B$2,$B$7,$B$3,$B$4,$B$5,$F330,$B$6,AD$10,$A330,$B330)</f>
        <v>46379520</v>
      </c>
      <c r="AE330" s="4">
        <f ca="1">_xll.DBRW($B$1,$B$2,$B$7,$B$3,$B$4,$B$5,$F330,$B$6,AE$10,$A330,$B330)</f>
        <v>47925504</v>
      </c>
    </row>
    <row r="331" spans="1:31">
      <c r="A331" s="1" t="s">
        <v>152</v>
      </c>
      <c r="B331" s="5" t="s">
        <v>275</v>
      </c>
      <c r="C331" s="5" t="s">
        <v>276</v>
      </c>
      <c r="D331" s="5" t="s">
        <v>21</v>
      </c>
      <c r="E331" s="5" t="s">
        <v>277</v>
      </c>
      <c r="F331" s="5" t="s">
        <v>25</v>
      </c>
      <c r="G331" s="6"/>
      <c r="H331" s="6"/>
      <c r="I331" s="6"/>
      <c r="J331" s="6"/>
      <c r="K331" s="6"/>
      <c r="L331" s="4">
        <f ca="1">_xll.DBRW($B$1,$B$2,$B$7,$B$3,$B$4,$B$5,$F331,$B$6,L$10,$A331,$B331)</f>
        <v>42979392</v>
      </c>
      <c r="M331" s="4">
        <f ca="1">_xll.DBRW($B$1,$B$2,$B$7,$B$3,$B$4,$B$5,$F331,$B$6,M$10,$A331,$B331)</f>
        <v>41592960</v>
      </c>
      <c r="N331" s="4">
        <f ca="1">_xll.DBRW($B$1,$B$2,$B$7,$B$3,$B$4,$B$5,$F331,$B$6,N$10,$A331,$B331)</f>
        <v>42979392</v>
      </c>
      <c r="O331" s="4">
        <f ca="1">_xll.DBRW($B$1,$B$2,$B$7,$B$3,$B$4,$B$5,$F331,$B$6,O$10,$A331,$B331)</f>
        <v>42979392</v>
      </c>
      <c r="P331" s="4">
        <f ca="1">_xll.DBRW($B$1,$B$2,$B$7,$B$3,$B$4,$B$5,$F331,$B$6,P$10,$A331,$B331)</f>
        <v>41592960</v>
      </c>
      <c r="Q331" s="4">
        <f ca="1">_xll.DBRW($B$1,$B$2,$B$7,$B$3,$B$4,$B$5,$F331,$B$6,Q$10,$A331,$B331)</f>
        <v>42979392</v>
      </c>
      <c r="R331" s="4">
        <f ca="1">_xll.DBRW($B$1,$B$2,$B$7,$B$3,$B$4,$B$5,$F331,$B$6,R$10,$A331,$B331)</f>
        <v>41592960</v>
      </c>
      <c r="S331" s="4">
        <f ca="1">_xll.DBRW($B$1,$B$2,$B$7,$B$3,$B$4,$B$5,$F331,$B$6,S$10,$A331,$B331)</f>
        <v>42979392</v>
      </c>
      <c r="T331" s="4">
        <f ca="1">_xll.DBRW($B$1,$B$2,$B$7,$B$3,$B$4,$B$5,$F331,$B$6,T$10,$A331,$B331)</f>
        <v>72751575</v>
      </c>
      <c r="U331" s="4">
        <f ca="1">_xll.DBRW($B$1,$B$2,$B$7,$B$3,$B$4,$B$5,$F331,$B$6,U$10,$A331,$B331)</f>
        <v>65711100</v>
      </c>
      <c r="V331" s="4">
        <f ca="1">_xll.DBRW($B$1,$B$2,$B$7,$B$3,$B$4,$B$5,$F331,$B$6,V$10,$A331,$B331)</f>
        <v>70830789</v>
      </c>
      <c r="W331" s="4">
        <f ca="1">_xll.DBRW($B$1,$B$2,$B$7,$B$3,$B$4,$B$5,$F331,$B$6,W$10,$A331,$B331)</f>
        <v>41592960</v>
      </c>
      <c r="X331" s="4">
        <f ca="1">_xll.DBRW($B$1,$B$2,$B$7,$B$3,$B$4,$B$5,$F331,$B$6,X$10,$A331,$B331)</f>
        <v>42979392</v>
      </c>
      <c r="Y331" s="4">
        <f ca="1">_xll.DBRW($B$1,$B$2,$B$7,$B$3,$B$4,$B$5,$F331,$B$6,Y$10,$A331,$B331)</f>
        <v>41592960</v>
      </c>
      <c r="Z331" s="4">
        <f ca="1">_xll.DBRW($B$1,$B$2,$B$7,$B$3,$B$4,$B$5,$F331,$B$6,Z$10,$A331,$B331)</f>
        <v>42979392</v>
      </c>
      <c r="AA331" s="4">
        <f ca="1">_xll.DBRW($B$1,$B$2,$B$7,$B$3,$B$4,$B$5,$F331,$B$6,AA$10,$A331,$B331)</f>
        <v>42979392</v>
      </c>
      <c r="AB331" s="4">
        <f ca="1">_xll.DBRW($B$1,$B$2,$B$7,$B$3,$B$4,$B$5,$F331,$B$6,AB$10,$A331,$B331)</f>
        <v>41592960</v>
      </c>
      <c r="AC331" s="4">
        <f ca="1">_xll.DBRW($B$1,$B$2,$B$7,$B$3,$B$4,$B$5,$F331,$B$6,AC$10,$A331,$B331)</f>
        <v>48741750</v>
      </c>
      <c r="AD331" s="4">
        <f ca="1">_xll.DBRW($B$1,$B$2,$B$7,$B$3,$B$4,$B$5,$F331,$B$6,AD$10,$A331,$B331)</f>
        <v>70404750</v>
      </c>
      <c r="AE331" s="4">
        <f ca="1">_xll.DBRW($B$1,$B$2,$B$7,$B$3,$B$4,$B$5,$F331,$B$6,AE$10,$A331,$B331)</f>
        <v>72751575</v>
      </c>
    </row>
    <row r="332" spans="1:31">
      <c r="A332" s="1" t="s">
        <v>152</v>
      </c>
      <c r="B332" s="5" t="s">
        <v>278</v>
      </c>
      <c r="C332" s="5" t="s">
        <v>279</v>
      </c>
      <c r="D332" s="5" t="s">
        <v>277</v>
      </c>
      <c r="E332" s="5" t="s">
        <v>21</v>
      </c>
      <c r="F332" s="5" t="s">
        <v>25</v>
      </c>
      <c r="G332" s="6"/>
      <c r="H332" s="6"/>
      <c r="I332" s="6"/>
      <c r="J332" s="6"/>
      <c r="K332" s="6"/>
      <c r="L332" s="4">
        <f ca="1">_xll.DBRW($B$1,$B$2,$B$7,$B$3,$B$4,$B$5,$F332,$B$6,L$10,$A332,$B332)</f>
        <v>42979392</v>
      </c>
      <c r="M332" s="4">
        <f ca="1">_xll.DBRW($B$1,$B$2,$B$7,$B$3,$B$4,$B$5,$F332,$B$6,M$10,$A332,$B332)</f>
        <v>41592960</v>
      </c>
      <c r="N332" s="4">
        <f ca="1">_xll.DBRW($B$1,$B$2,$B$7,$B$3,$B$4,$B$5,$F332,$B$6,N$10,$A332,$B332)</f>
        <v>42979392</v>
      </c>
      <c r="O332" s="4">
        <f ca="1">_xll.DBRW($B$1,$B$2,$B$7,$B$3,$B$4,$B$5,$F332,$B$6,O$10,$A332,$B332)</f>
        <v>42979392</v>
      </c>
      <c r="P332" s="4">
        <f ca="1">_xll.DBRW($B$1,$B$2,$B$7,$B$3,$B$4,$B$5,$F332,$B$6,P$10,$A332,$B332)</f>
        <v>41592960</v>
      </c>
      <c r="Q332" s="4">
        <f ca="1">_xll.DBRW($B$1,$B$2,$B$7,$B$3,$B$4,$B$5,$F332,$B$6,Q$10,$A332,$B332)</f>
        <v>42979392</v>
      </c>
      <c r="R332" s="4">
        <f ca="1">_xll.DBRW($B$1,$B$2,$B$7,$B$3,$B$4,$B$5,$F332,$B$6,R$10,$A332,$B332)</f>
        <v>41592960</v>
      </c>
      <c r="S332" s="4">
        <f ca="1">_xll.DBRW($B$1,$B$2,$B$7,$B$3,$B$4,$B$5,$F332,$B$6,S$10,$A332,$B332)</f>
        <v>42979392</v>
      </c>
      <c r="T332" s="4">
        <f ca="1">_xll.DBRW($B$1,$B$2,$B$7,$B$3,$B$4,$B$5,$F332,$B$6,T$10,$A332,$B332)</f>
        <v>72751575</v>
      </c>
      <c r="U332" s="4">
        <f ca="1">_xll.DBRW($B$1,$B$2,$B$7,$B$3,$B$4,$B$5,$F332,$B$6,U$10,$A332,$B332)</f>
        <v>65711100</v>
      </c>
      <c r="V332" s="4">
        <f ca="1">_xll.DBRW($B$1,$B$2,$B$7,$B$3,$B$4,$B$5,$F332,$B$6,V$10,$A332,$B332)</f>
        <v>70830789</v>
      </c>
      <c r="W332" s="4">
        <f ca="1">_xll.DBRW($B$1,$B$2,$B$7,$B$3,$B$4,$B$5,$F332,$B$6,W$10,$A332,$B332)</f>
        <v>41592960</v>
      </c>
      <c r="X332" s="4">
        <f ca="1">_xll.DBRW($B$1,$B$2,$B$7,$B$3,$B$4,$B$5,$F332,$B$6,X$10,$A332,$B332)</f>
        <v>42979392</v>
      </c>
      <c r="Y332" s="4">
        <f ca="1">_xll.DBRW($B$1,$B$2,$B$7,$B$3,$B$4,$B$5,$F332,$B$6,Y$10,$A332,$B332)</f>
        <v>41592960</v>
      </c>
      <c r="Z332" s="4">
        <f ca="1">_xll.DBRW($B$1,$B$2,$B$7,$B$3,$B$4,$B$5,$F332,$B$6,Z$10,$A332,$B332)</f>
        <v>42979392</v>
      </c>
      <c r="AA332" s="4">
        <f ca="1">_xll.DBRW($B$1,$B$2,$B$7,$B$3,$B$4,$B$5,$F332,$B$6,AA$10,$A332,$B332)</f>
        <v>42979392</v>
      </c>
      <c r="AB332" s="4">
        <f ca="1">_xll.DBRW($B$1,$B$2,$B$7,$B$3,$B$4,$B$5,$F332,$B$6,AB$10,$A332,$B332)</f>
        <v>41592960</v>
      </c>
      <c r="AC332" s="4">
        <f ca="1">_xll.DBRW($B$1,$B$2,$B$7,$B$3,$B$4,$B$5,$F332,$B$6,AC$10,$A332,$B332)</f>
        <v>48741750</v>
      </c>
      <c r="AD332" s="4">
        <f ca="1">_xll.DBRW($B$1,$B$2,$B$7,$B$3,$B$4,$B$5,$F332,$B$6,AD$10,$A332,$B332)</f>
        <v>70404750</v>
      </c>
      <c r="AE332" s="4">
        <f ca="1">_xll.DBRW($B$1,$B$2,$B$7,$B$3,$B$4,$B$5,$F332,$B$6,AE$10,$A332,$B332)</f>
        <v>72751575</v>
      </c>
    </row>
    <row r="333" spans="1:31">
      <c r="A333" s="1" t="s">
        <v>152</v>
      </c>
      <c r="B333" s="5" t="s">
        <v>280</v>
      </c>
      <c r="C333" s="5" t="s">
        <v>276</v>
      </c>
      <c r="D333" s="5" t="s">
        <v>21</v>
      </c>
      <c r="E333" s="5" t="s">
        <v>277</v>
      </c>
      <c r="F333" s="5" t="s">
        <v>25</v>
      </c>
      <c r="G333" s="6"/>
      <c r="H333" s="6"/>
      <c r="I333" s="6"/>
      <c r="J333" s="6"/>
      <c r="K333" s="6"/>
      <c r="L333" s="4">
        <f ca="1">_xll.DBRW($B$1,$B$2,$B$7,$B$3,$B$4,$B$5,$F333,$B$6,L$10,$A333,$B333)</f>
        <v>0</v>
      </c>
      <c r="M333" s="4">
        <f ca="1">_xll.DBRW($B$1,$B$2,$B$7,$B$3,$B$4,$B$5,$F333,$B$6,M$10,$A333,$B333)</f>
        <v>0</v>
      </c>
      <c r="N333" s="4">
        <f ca="1">_xll.DBRW($B$1,$B$2,$B$7,$B$3,$B$4,$B$5,$F333,$B$6,N$10,$A333,$B333)</f>
        <v>0</v>
      </c>
      <c r="O333" s="4">
        <f ca="1">_xll.DBRW($B$1,$B$2,$B$7,$B$3,$B$4,$B$5,$F333,$B$6,O$10,$A333,$B333)</f>
        <v>0</v>
      </c>
      <c r="P333" s="4">
        <f ca="1">_xll.DBRW($B$1,$B$2,$B$7,$B$3,$B$4,$B$5,$F333,$B$6,P$10,$A333,$B333)</f>
        <v>0</v>
      </c>
      <c r="Q333" s="4">
        <f ca="1">_xll.DBRW($B$1,$B$2,$B$7,$B$3,$B$4,$B$5,$F333,$B$6,Q$10,$A333,$B333)</f>
        <v>11734125</v>
      </c>
      <c r="R333" s="4">
        <f ca="1">_xll.DBRW($B$1,$B$2,$B$7,$B$3,$B$4,$B$5,$F333,$B$6,R$10,$A333,$B333)</f>
        <v>68455080</v>
      </c>
      <c r="S333" s="4">
        <f ca="1">_xll.DBRW($B$1,$B$2,$B$7,$B$3,$B$4,$B$5,$F333,$B$6,S$10,$A333,$B333)</f>
        <v>72751575</v>
      </c>
      <c r="T333" s="4">
        <f ca="1">_xll.DBRW($B$1,$B$2,$B$7,$B$3,$B$4,$B$5,$F333,$B$6,T$10,$A333,$B333)</f>
        <v>0</v>
      </c>
      <c r="U333" s="4">
        <f ca="1">_xll.DBRW($B$1,$B$2,$B$7,$B$3,$B$4,$B$5,$F333,$B$6,U$10,$A333,$B333)</f>
        <v>0</v>
      </c>
      <c r="V333" s="4">
        <f ca="1">_xll.DBRW($B$1,$B$2,$B$7,$B$3,$B$4,$B$5,$F333,$B$6,V$10,$A333,$B333)</f>
        <v>0</v>
      </c>
      <c r="W333" s="4">
        <f ca="1">_xll.DBRW($B$1,$B$2,$B$7,$B$3,$B$4,$B$5,$F333,$B$6,W$10,$A333,$B333)</f>
        <v>0</v>
      </c>
      <c r="X333" s="4">
        <f ca="1">_xll.DBRW($B$1,$B$2,$B$7,$B$3,$B$4,$B$5,$F333,$B$6,X$10,$A333,$B333)</f>
        <v>0</v>
      </c>
      <c r="Y333" s="4">
        <f ca="1">_xll.DBRW($B$1,$B$2,$B$7,$B$3,$B$4,$B$5,$F333,$B$6,Y$10,$A333,$B333)</f>
        <v>0</v>
      </c>
      <c r="Z333" s="4">
        <f ca="1">_xll.DBRW($B$1,$B$2,$B$7,$B$3,$B$4,$B$5,$F333,$B$6,Z$10,$A333,$B333)</f>
        <v>0</v>
      </c>
      <c r="AA333" s="4">
        <f ca="1">_xll.DBRW($B$1,$B$2,$B$7,$B$3,$B$4,$B$5,$F333,$B$6,AA$10,$A333,$B333)</f>
        <v>0</v>
      </c>
      <c r="AB333" s="4">
        <f ca="1">_xll.DBRW($B$1,$B$2,$B$7,$B$3,$B$4,$B$5,$F333,$B$6,AB$10,$A333,$B333)</f>
        <v>0</v>
      </c>
      <c r="AC333" s="4">
        <f ca="1">_xll.DBRW($B$1,$B$2,$B$7,$B$3,$B$4,$B$5,$F333,$B$6,AC$10,$A333,$B333)</f>
        <v>0</v>
      </c>
      <c r="AD333" s="4">
        <f ca="1">_xll.DBRW($B$1,$B$2,$B$7,$B$3,$B$4,$B$5,$F333,$B$6,AD$10,$A333,$B333)</f>
        <v>0</v>
      </c>
      <c r="AE333" s="4">
        <f ca="1">_xll.DBRW($B$1,$B$2,$B$7,$B$3,$B$4,$B$5,$F333,$B$6,AE$10,$A333,$B333)</f>
        <v>0</v>
      </c>
    </row>
    <row r="334" spans="1:31">
      <c r="A334" s="1" t="s">
        <v>152</v>
      </c>
      <c r="B334" s="5" t="s">
        <v>281</v>
      </c>
      <c r="C334" s="5" t="s">
        <v>279</v>
      </c>
      <c r="D334" s="5" t="s">
        <v>277</v>
      </c>
      <c r="E334" s="5" t="s">
        <v>21</v>
      </c>
      <c r="F334" s="5" t="s">
        <v>25</v>
      </c>
      <c r="G334" s="6"/>
      <c r="H334" s="6"/>
      <c r="I334" s="6"/>
      <c r="J334" s="6"/>
      <c r="K334" s="6"/>
      <c r="L334" s="4">
        <f ca="1">_xll.DBRW($B$1,$B$2,$B$7,$B$3,$B$4,$B$5,$F334,$B$6,L$10,$A334,$B334)</f>
        <v>0</v>
      </c>
      <c r="M334" s="4">
        <f ca="1">_xll.DBRW($B$1,$B$2,$B$7,$B$3,$B$4,$B$5,$F334,$B$6,M$10,$A334,$B334)</f>
        <v>0</v>
      </c>
      <c r="N334" s="4">
        <f ca="1">_xll.DBRW($B$1,$B$2,$B$7,$B$3,$B$4,$B$5,$F334,$B$6,N$10,$A334,$B334)</f>
        <v>0</v>
      </c>
      <c r="O334" s="4">
        <f ca="1">_xll.DBRW($B$1,$B$2,$B$7,$B$3,$B$4,$B$5,$F334,$B$6,O$10,$A334,$B334)</f>
        <v>0</v>
      </c>
      <c r="P334" s="4">
        <f ca="1">_xll.DBRW($B$1,$B$2,$B$7,$B$3,$B$4,$B$5,$F334,$B$6,P$10,$A334,$B334)</f>
        <v>0</v>
      </c>
      <c r="Q334" s="4">
        <f ca="1">_xll.DBRW($B$1,$B$2,$B$7,$B$3,$B$4,$B$5,$F334,$B$6,Q$10,$A334,$B334)</f>
        <v>11734125</v>
      </c>
      <c r="R334" s="4">
        <f ca="1">_xll.DBRW($B$1,$B$2,$B$7,$B$3,$B$4,$B$5,$F334,$B$6,R$10,$A334,$B334)</f>
        <v>68455080</v>
      </c>
      <c r="S334" s="4">
        <f ca="1">_xll.DBRW($B$1,$B$2,$B$7,$B$3,$B$4,$B$5,$F334,$B$6,S$10,$A334,$B334)</f>
        <v>72751575</v>
      </c>
      <c r="T334" s="4">
        <f ca="1">_xll.DBRW($B$1,$B$2,$B$7,$B$3,$B$4,$B$5,$F334,$B$6,T$10,$A334,$B334)</f>
        <v>0</v>
      </c>
      <c r="U334" s="4">
        <f ca="1">_xll.DBRW($B$1,$B$2,$B$7,$B$3,$B$4,$B$5,$F334,$B$6,U$10,$A334,$B334)</f>
        <v>0</v>
      </c>
      <c r="V334" s="4">
        <f ca="1">_xll.DBRW($B$1,$B$2,$B$7,$B$3,$B$4,$B$5,$F334,$B$6,V$10,$A334,$B334)</f>
        <v>0</v>
      </c>
      <c r="W334" s="4">
        <f ca="1">_xll.DBRW($B$1,$B$2,$B$7,$B$3,$B$4,$B$5,$F334,$B$6,W$10,$A334,$B334)</f>
        <v>0</v>
      </c>
      <c r="X334" s="4">
        <f ca="1">_xll.DBRW($B$1,$B$2,$B$7,$B$3,$B$4,$B$5,$F334,$B$6,X$10,$A334,$B334)</f>
        <v>0</v>
      </c>
      <c r="Y334" s="4">
        <f ca="1">_xll.DBRW($B$1,$B$2,$B$7,$B$3,$B$4,$B$5,$F334,$B$6,Y$10,$A334,$B334)</f>
        <v>0</v>
      </c>
      <c r="Z334" s="4">
        <f ca="1">_xll.DBRW($B$1,$B$2,$B$7,$B$3,$B$4,$B$5,$F334,$B$6,Z$10,$A334,$B334)</f>
        <v>0</v>
      </c>
      <c r="AA334" s="4">
        <f ca="1">_xll.DBRW($B$1,$B$2,$B$7,$B$3,$B$4,$B$5,$F334,$B$6,AA$10,$A334,$B334)</f>
        <v>0</v>
      </c>
      <c r="AB334" s="4">
        <f ca="1">_xll.DBRW($B$1,$B$2,$B$7,$B$3,$B$4,$B$5,$F334,$B$6,AB$10,$A334,$B334)</f>
        <v>0</v>
      </c>
      <c r="AC334" s="4">
        <f ca="1">_xll.DBRW($B$1,$B$2,$B$7,$B$3,$B$4,$B$5,$F334,$B$6,AC$10,$A334,$B334)</f>
        <v>0</v>
      </c>
      <c r="AD334" s="4">
        <f ca="1">_xll.DBRW($B$1,$B$2,$B$7,$B$3,$B$4,$B$5,$F334,$B$6,AD$10,$A334,$B334)</f>
        <v>0</v>
      </c>
      <c r="AE334" s="4">
        <f ca="1">_xll.DBRW($B$1,$B$2,$B$7,$B$3,$B$4,$B$5,$F334,$B$6,AE$10,$A334,$B334)</f>
        <v>0</v>
      </c>
    </row>
    <row r="335" spans="1:31">
      <c r="A335" s="1" t="s">
        <v>152</v>
      </c>
      <c r="B335" s="5" t="s">
        <v>282</v>
      </c>
      <c r="C335" s="5" t="s">
        <v>283</v>
      </c>
      <c r="D335" s="5" t="s">
        <v>21</v>
      </c>
      <c r="E335" s="5" t="s">
        <v>284</v>
      </c>
      <c r="F335" s="5" t="s">
        <v>25</v>
      </c>
      <c r="G335" s="6"/>
      <c r="H335" s="6"/>
      <c r="I335" s="6"/>
      <c r="J335" s="6"/>
      <c r="K335" s="6"/>
      <c r="L335" s="4">
        <f ca="1">_xll.DBRW($B$1,$B$2,$B$7,$B$3,$B$4,$B$5,$F335,$B$6,L$10,$A335,$B335)</f>
        <v>0</v>
      </c>
      <c r="M335" s="4">
        <f ca="1">_xll.DBRW($B$1,$B$2,$B$7,$B$3,$B$4,$B$5,$F335,$B$6,M$10,$A335,$B335)</f>
        <v>0</v>
      </c>
      <c r="N335" s="4">
        <f ca="1">_xll.DBRW($B$1,$B$2,$B$7,$B$3,$B$4,$B$5,$F335,$B$6,N$10,$A335,$B335)</f>
        <v>0</v>
      </c>
      <c r="O335" s="4">
        <f ca="1">_xll.DBRW($B$1,$B$2,$B$7,$B$3,$B$4,$B$5,$F335,$B$6,O$10,$A335,$B335)</f>
        <v>0</v>
      </c>
      <c r="P335" s="4">
        <f ca="1">_xll.DBRW($B$1,$B$2,$B$7,$B$3,$B$4,$B$5,$F335,$B$6,P$10,$A335,$B335)</f>
        <v>0</v>
      </c>
      <c r="Q335" s="4">
        <f ca="1">_xll.DBRW($B$1,$B$2,$B$7,$B$3,$B$4,$B$5,$F335,$B$6,Q$10,$A335,$B335)</f>
        <v>8197440</v>
      </c>
      <c r="R335" s="4">
        <f ca="1">_xll.DBRW($B$1,$B$2,$B$7,$B$3,$B$4,$B$5,$F335,$B$6,R$10,$A335,$B335)</f>
        <v>49184640</v>
      </c>
      <c r="S335" s="4">
        <f ca="1">_xll.DBRW($B$1,$B$2,$B$7,$B$3,$B$4,$B$5,$F335,$B$6,S$10,$A335,$B335)</f>
        <v>50824128</v>
      </c>
      <c r="T335" s="4">
        <f ca="1">_xll.DBRW($B$1,$B$2,$B$7,$B$3,$B$4,$B$5,$F335,$B$6,T$10,$A335,$B335)</f>
        <v>50824128</v>
      </c>
      <c r="U335" s="4">
        <f ca="1">_xll.DBRW($B$1,$B$2,$B$7,$B$3,$B$4,$B$5,$F335,$B$6,U$10,$A335,$B335)</f>
        <v>45905664</v>
      </c>
      <c r="V335" s="4">
        <f ca="1">_xll.DBRW($B$1,$B$2,$B$7,$B$3,$B$4,$B$5,$F335,$B$6,V$10,$A335,$B335)</f>
        <v>45905664</v>
      </c>
      <c r="W335" s="4">
        <f ca="1">_xll.DBRW($B$1,$B$2,$B$7,$B$3,$B$4,$B$5,$F335,$B$6,W$10,$A335,$B335)</f>
        <v>0</v>
      </c>
      <c r="X335" s="4">
        <f ca="1">_xll.DBRW($B$1,$B$2,$B$7,$B$3,$B$4,$B$5,$F335,$B$6,X$10,$A335,$B335)</f>
        <v>0</v>
      </c>
      <c r="Y335" s="4">
        <f ca="1">_xll.DBRW($B$1,$B$2,$B$7,$B$3,$B$4,$B$5,$F335,$B$6,Y$10,$A335,$B335)</f>
        <v>0</v>
      </c>
      <c r="Z335" s="4">
        <f ca="1">_xll.DBRW($B$1,$B$2,$B$7,$B$3,$B$4,$B$5,$F335,$B$6,Z$10,$A335,$B335)</f>
        <v>0</v>
      </c>
      <c r="AA335" s="4">
        <f ca="1">_xll.DBRW($B$1,$B$2,$B$7,$B$3,$B$4,$B$5,$F335,$B$6,AA$10,$A335,$B335)</f>
        <v>0</v>
      </c>
      <c r="AB335" s="4">
        <f ca="1">_xll.DBRW($B$1,$B$2,$B$7,$B$3,$B$4,$B$5,$F335,$B$6,AB$10,$A335,$B335)</f>
        <v>0</v>
      </c>
      <c r="AC335" s="4">
        <f ca="1">_xll.DBRW($B$1,$B$2,$B$7,$B$3,$B$4,$B$5,$F335,$B$6,AC$10,$A335,$B335)</f>
        <v>9836928</v>
      </c>
      <c r="AD335" s="4">
        <f ca="1">_xll.DBRW($B$1,$B$2,$B$7,$B$3,$B$4,$B$5,$F335,$B$6,AD$10,$A335,$B335)</f>
        <v>49184640</v>
      </c>
      <c r="AE335" s="4">
        <f ca="1">_xll.DBRW($B$1,$B$2,$B$7,$B$3,$B$4,$B$5,$F335,$B$6,AE$10,$A335,$B335)</f>
        <v>50824128</v>
      </c>
    </row>
    <row r="336" spans="1:31">
      <c r="A336" s="1" t="s">
        <v>152</v>
      </c>
      <c r="B336" s="5" t="s">
        <v>285</v>
      </c>
      <c r="C336" s="5" t="s">
        <v>286</v>
      </c>
      <c r="D336" s="5" t="s">
        <v>284</v>
      </c>
      <c r="E336" s="5" t="s">
        <v>21</v>
      </c>
      <c r="F336" s="5" t="s">
        <v>25</v>
      </c>
      <c r="G336" s="6"/>
      <c r="H336" s="6"/>
      <c r="I336" s="6"/>
      <c r="J336" s="6"/>
      <c r="K336" s="6"/>
      <c r="L336" s="4">
        <f ca="1">_xll.DBRW($B$1,$B$2,$B$7,$B$3,$B$4,$B$5,$F336,$B$6,L$10,$A336,$B336)</f>
        <v>0</v>
      </c>
      <c r="M336" s="4">
        <f ca="1">_xll.DBRW($B$1,$B$2,$B$7,$B$3,$B$4,$B$5,$F336,$B$6,M$10,$A336,$B336)</f>
        <v>0</v>
      </c>
      <c r="N336" s="4">
        <f ca="1">_xll.DBRW($B$1,$B$2,$B$7,$B$3,$B$4,$B$5,$F336,$B$6,N$10,$A336,$B336)</f>
        <v>0</v>
      </c>
      <c r="O336" s="4">
        <f ca="1">_xll.DBRW($B$1,$B$2,$B$7,$B$3,$B$4,$B$5,$F336,$B$6,O$10,$A336,$B336)</f>
        <v>0</v>
      </c>
      <c r="P336" s="4">
        <f ca="1">_xll.DBRW($B$1,$B$2,$B$7,$B$3,$B$4,$B$5,$F336,$B$6,P$10,$A336,$B336)</f>
        <v>0</v>
      </c>
      <c r="Q336" s="4">
        <f ca="1">_xll.DBRW($B$1,$B$2,$B$7,$B$3,$B$4,$B$5,$F336,$B$6,Q$10,$A336,$B336)</f>
        <v>8197440</v>
      </c>
      <c r="R336" s="4">
        <f ca="1">_xll.DBRW($B$1,$B$2,$B$7,$B$3,$B$4,$B$5,$F336,$B$6,R$10,$A336,$B336)</f>
        <v>49184640</v>
      </c>
      <c r="S336" s="4">
        <f ca="1">_xll.DBRW($B$1,$B$2,$B$7,$B$3,$B$4,$B$5,$F336,$B$6,S$10,$A336,$B336)</f>
        <v>50824128</v>
      </c>
      <c r="T336" s="4">
        <f ca="1">_xll.DBRW($B$1,$B$2,$B$7,$B$3,$B$4,$B$5,$F336,$B$6,T$10,$A336,$B336)</f>
        <v>49184640</v>
      </c>
      <c r="U336" s="4">
        <f ca="1">_xll.DBRW($B$1,$B$2,$B$7,$B$3,$B$4,$B$5,$F336,$B$6,U$10,$A336,$B336)</f>
        <v>45905664</v>
      </c>
      <c r="V336" s="4">
        <f ca="1">_xll.DBRW($B$1,$B$2,$B$7,$B$3,$B$4,$B$5,$F336,$B$6,V$10,$A336,$B336)</f>
        <v>47545152</v>
      </c>
      <c r="W336" s="4">
        <f ca="1">_xll.DBRW($B$1,$B$2,$B$7,$B$3,$B$4,$B$5,$F336,$B$6,W$10,$A336,$B336)</f>
        <v>0</v>
      </c>
      <c r="X336" s="4">
        <f ca="1">_xll.DBRW($B$1,$B$2,$B$7,$B$3,$B$4,$B$5,$F336,$B$6,X$10,$A336,$B336)</f>
        <v>0</v>
      </c>
      <c r="Y336" s="4">
        <f ca="1">_xll.DBRW($B$1,$B$2,$B$7,$B$3,$B$4,$B$5,$F336,$B$6,Y$10,$A336,$B336)</f>
        <v>0</v>
      </c>
      <c r="Z336" s="4">
        <f ca="1">_xll.DBRW($B$1,$B$2,$B$7,$B$3,$B$4,$B$5,$F336,$B$6,Z$10,$A336,$B336)</f>
        <v>0</v>
      </c>
      <c r="AA336" s="4">
        <f ca="1">_xll.DBRW($B$1,$B$2,$B$7,$B$3,$B$4,$B$5,$F336,$B$6,AA$10,$A336,$B336)</f>
        <v>0</v>
      </c>
      <c r="AB336" s="4">
        <f ca="1">_xll.DBRW($B$1,$B$2,$B$7,$B$3,$B$4,$B$5,$F336,$B$6,AB$10,$A336,$B336)</f>
        <v>0</v>
      </c>
      <c r="AC336" s="4">
        <f ca="1">_xll.DBRW($B$1,$B$2,$B$7,$B$3,$B$4,$B$5,$F336,$B$6,AC$10,$A336,$B336)</f>
        <v>8197440</v>
      </c>
      <c r="AD336" s="4">
        <f ca="1">_xll.DBRW($B$1,$B$2,$B$7,$B$3,$B$4,$B$5,$F336,$B$6,AD$10,$A336,$B336)</f>
        <v>49184640</v>
      </c>
      <c r="AE336" s="4">
        <f ca="1">_xll.DBRW($B$1,$B$2,$B$7,$B$3,$B$4,$B$5,$F336,$B$6,AE$10,$A336,$B336)</f>
        <v>47545152</v>
      </c>
    </row>
    <row r="337" spans="1:31">
      <c r="A337" s="1" t="s">
        <v>152</v>
      </c>
      <c r="B337" s="5" t="s">
        <v>287</v>
      </c>
      <c r="C337" s="5" t="s">
        <v>288</v>
      </c>
      <c r="D337" s="5" t="s">
        <v>21</v>
      </c>
      <c r="E337" s="5" t="s">
        <v>289</v>
      </c>
      <c r="F337" s="5" t="s">
        <v>25</v>
      </c>
      <c r="G337" s="6"/>
      <c r="H337" s="6"/>
      <c r="I337" s="6"/>
      <c r="J337" s="6"/>
      <c r="K337" s="6"/>
      <c r="L337" s="4">
        <f ca="1">_xll.DBRW($B$1,$B$2,$B$7,$B$3,$B$4,$B$5,$F337,$B$6,L$10,$A337,$B337)</f>
        <v>0</v>
      </c>
      <c r="M337" s="4">
        <f ca="1">_xll.DBRW($B$1,$B$2,$B$7,$B$3,$B$4,$B$5,$F337,$B$6,M$10,$A337,$B337)</f>
        <v>0</v>
      </c>
      <c r="N337" s="4">
        <f ca="1">_xll.DBRW($B$1,$B$2,$B$7,$B$3,$B$4,$B$5,$F337,$B$6,N$10,$A337,$B337)</f>
        <v>0</v>
      </c>
      <c r="O337" s="4">
        <f ca="1">_xll.DBRW($B$1,$B$2,$B$7,$B$3,$B$4,$B$5,$F337,$B$6,O$10,$A337,$B337)</f>
        <v>0</v>
      </c>
      <c r="P337" s="4">
        <f ca="1">_xll.DBRW($B$1,$B$2,$B$7,$B$3,$B$4,$B$5,$F337,$B$6,P$10,$A337,$B337)</f>
        <v>0</v>
      </c>
      <c r="Q337" s="4">
        <f ca="1">_xll.DBRW($B$1,$B$2,$B$7,$B$3,$B$4,$B$5,$F337,$B$6,Q$10,$A337,$B337)</f>
        <v>6132570</v>
      </c>
      <c r="R337" s="4">
        <f ca="1">_xll.DBRW($B$1,$B$2,$B$7,$B$3,$B$4,$B$5,$F337,$B$6,R$10,$A337,$B337)</f>
        <v>30459165</v>
      </c>
      <c r="S337" s="4">
        <f ca="1">_xll.DBRW($B$1,$B$2,$B$7,$B$3,$B$4,$B$5,$F337,$B$6,S$10,$A337,$B337)</f>
        <v>31505115</v>
      </c>
      <c r="T337" s="4">
        <f ca="1">_xll.DBRW($B$1,$B$2,$B$7,$B$3,$B$4,$B$5,$F337,$B$6,T$10,$A337,$B337)</f>
        <v>32765760</v>
      </c>
      <c r="U337" s="4">
        <f ca="1">_xll.DBRW($B$1,$B$2,$B$7,$B$3,$B$4,$B$5,$F337,$B$6,U$10,$A337,$B337)</f>
        <v>29594880</v>
      </c>
      <c r="V337" s="4">
        <f ca="1">_xll.DBRW($B$1,$B$2,$B$7,$B$3,$B$4,$B$5,$F337,$B$6,V$10,$A337,$B337)</f>
        <v>30651840</v>
      </c>
      <c r="W337" s="4">
        <f ca="1">_xll.DBRW($B$1,$B$2,$B$7,$B$3,$B$4,$B$5,$F337,$B$6,W$10,$A337,$B337)</f>
        <v>0</v>
      </c>
      <c r="X337" s="4">
        <f ca="1">_xll.DBRW($B$1,$B$2,$B$7,$B$3,$B$4,$B$5,$F337,$B$6,X$10,$A337,$B337)</f>
        <v>0</v>
      </c>
      <c r="Y337" s="4">
        <f ca="1">_xll.DBRW($B$1,$B$2,$B$7,$B$3,$B$4,$B$5,$F337,$B$6,Y$10,$A337,$B337)</f>
        <v>0</v>
      </c>
      <c r="Z337" s="4">
        <f ca="1">_xll.DBRW($B$1,$B$2,$B$7,$B$3,$B$4,$B$5,$F337,$B$6,Z$10,$A337,$B337)</f>
        <v>0</v>
      </c>
      <c r="AA337" s="4">
        <f ca="1">_xll.DBRW($B$1,$B$2,$B$7,$B$3,$B$4,$B$5,$F337,$B$6,AA$10,$A337,$B337)</f>
        <v>0</v>
      </c>
      <c r="AB337" s="4">
        <f ca="1">_xll.DBRW($B$1,$B$2,$B$7,$B$3,$B$4,$B$5,$F337,$B$6,AB$10,$A337,$B337)</f>
        <v>0</v>
      </c>
      <c r="AC337" s="4">
        <f ca="1">_xll.DBRW($B$1,$B$2,$B$7,$B$3,$B$4,$B$5,$F337,$B$6,AC$10,$A337,$B337)</f>
        <v>6341760</v>
      </c>
      <c r="AD337" s="4">
        <f ca="1">_xll.DBRW($B$1,$B$2,$B$7,$B$3,$B$4,$B$5,$F337,$B$6,AD$10,$A337,$B337)</f>
        <v>31708800</v>
      </c>
      <c r="AE337" s="4">
        <f ca="1">_xll.DBRW($B$1,$B$2,$B$7,$B$3,$B$4,$B$5,$F337,$B$6,AE$10,$A337,$B337)</f>
        <v>32765760</v>
      </c>
    </row>
    <row r="338" spans="1:31">
      <c r="A338" s="1" t="s">
        <v>152</v>
      </c>
      <c r="B338" s="5" t="s">
        <v>290</v>
      </c>
      <c r="C338" s="5" t="s">
        <v>291</v>
      </c>
      <c r="D338" s="5" t="s">
        <v>289</v>
      </c>
      <c r="E338" s="5" t="s">
        <v>21</v>
      </c>
      <c r="F338" s="5" t="s">
        <v>25</v>
      </c>
      <c r="G338" s="6"/>
      <c r="H338" s="6"/>
      <c r="I338" s="6"/>
      <c r="J338" s="6"/>
      <c r="K338" s="6"/>
      <c r="L338" s="4">
        <f ca="1">_xll.DBRW($B$1,$B$2,$B$7,$B$3,$B$4,$B$5,$F338,$B$6,L$10,$A338,$B338)</f>
        <v>0</v>
      </c>
      <c r="M338" s="4">
        <f ca="1">_xll.DBRW($B$1,$B$2,$B$7,$B$3,$B$4,$B$5,$F338,$B$6,M$10,$A338,$B338)</f>
        <v>0</v>
      </c>
      <c r="N338" s="4">
        <f ca="1">_xll.DBRW($B$1,$B$2,$B$7,$B$3,$B$4,$B$5,$F338,$B$6,N$10,$A338,$B338)</f>
        <v>0</v>
      </c>
      <c r="O338" s="4">
        <f ca="1">_xll.DBRW($B$1,$B$2,$B$7,$B$3,$B$4,$B$5,$F338,$B$6,O$10,$A338,$B338)</f>
        <v>0</v>
      </c>
      <c r="P338" s="4">
        <f ca="1">_xll.DBRW($B$1,$B$2,$B$7,$B$3,$B$4,$B$5,$F338,$B$6,P$10,$A338,$B338)</f>
        <v>0</v>
      </c>
      <c r="Q338" s="4">
        <f ca="1">_xll.DBRW($B$1,$B$2,$B$7,$B$3,$B$4,$B$5,$F338,$B$6,Q$10,$A338,$B338)</f>
        <v>4057185</v>
      </c>
      <c r="R338" s="4">
        <f ca="1">_xll.DBRW($B$1,$B$2,$B$7,$B$3,$B$4,$B$5,$F338,$B$6,R$10,$A338,$B338)</f>
        <v>30459165</v>
      </c>
      <c r="S338" s="4">
        <f ca="1">_xll.DBRW($B$1,$B$2,$B$7,$B$3,$B$4,$B$5,$F338,$B$6,S$10,$A338,$B338)</f>
        <v>31505115</v>
      </c>
      <c r="T338" s="4">
        <f ca="1">_xll.DBRW($B$1,$B$2,$B$7,$B$3,$B$4,$B$5,$F338,$B$6,T$10,$A338,$B338)</f>
        <v>32765760</v>
      </c>
      <c r="U338" s="4">
        <f ca="1">_xll.DBRW($B$1,$B$2,$B$7,$B$3,$B$4,$B$5,$F338,$B$6,U$10,$A338,$B338)</f>
        <v>29594880</v>
      </c>
      <c r="V338" s="4">
        <f ca="1">_xll.DBRW($B$1,$B$2,$B$7,$B$3,$B$4,$B$5,$F338,$B$6,V$10,$A338,$B338)</f>
        <v>30651840</v>
      </c>
      <c r="W338" s="4">
        <f ca="1">_xll.DBRW($B$1,$B$2,$B$7,$B$3,$B$4,$B$5,$F338,$B$6,W$10,$A338,$B338)</f>
        <v>0</v>
      </c>
      <c r="X338" s="4">
        <f ca="1">_xll.DBRW($B$1,$B$2,$B$7,$B$3,$B$4,$B$5,$F338,$B$6,X$10,$A338,$B338)</f>
        <v>0</v>
      </c>
      <c r="Y338" s="4">
        <f ca="1">_xll.DBRW($B$1,$B$2,$B$7,$B$3,$B$4,$B$5,$F338,$B$6,Y$10,$A338,$B338)</f>
        <v>0</v>
      </c>
      <c r="Z338" s="4">
        <f ca="1">_xll.DBRW($B$1,$B$2,$B$7,$B$3,$B$4,$B$5,$F338,$B$6,Z$10,$A338,$B338)</f>
        <v>0</v>
      </c>
      <c r="AA338" s="4">
        <f ca="1">_xll.DBRW($B$1,$B$2,$B$7,$B$3,$B$4,$B$5,$F338,$B$6,AA$10,$A338,$B338)</f>
        <v>0</v>
      </c>
      <c r="AB338" s="4">
        <f ca="1">_xll.DBRW($B$1,$B$2,$B$7,$B$3,$B$4,$B$5,$F338,$B$6,AB$10,$A338,$B338)</f>
        <v>0</v>
      </c>
      <c r="AC338" s="4">
        <f ca="1">_xll.DBRW($B$1,$B$2,$B$7,$B$3,$B$4,$B$5,$F338,$B$6,AC$10,$A338,$B338)</f>
        <v>6341760</v>
      </c>
      <c r="AD338" s="4">
        <f ca="1">_xll.DBRW($B$1,$B$2,$B$7,$B$3,$B$4,$B$5,$F338,$B$6,AD$10,$A338,$B338)</f>
        <v>31708800</v>
      </c>
      <c r="AE338" s="4">
        <f ca="1">_xll.DBRW($B$1,$B$2,$B$7,$B$3,$B$4,$B$5,$F338,$B$6,AE$10,$A338,$B338)</f>
        <v>32765760</v>
      </c>
    </row>
    <row r="339" spans="1:31">
      <c r="A339" s="1" t="s">
        <v>152</v>
      </c>
      <c r="B339" s="5" t="s">
        <v>292</v>
      </c>
      <c r="C339" s="5" t="s">
        <v>293</v>
      </c>
      <c r="D339" s="5" t="s">
        <v>21</v>
      </c>
      <c r="E339" s="5" t="s">
        <v>294</v>
      </c>
      <c r="F339" s="5" t="s">
        <v>25</v>
      </c>
      <c r="G339" s="6"/>
      <c r="H339" s="6"/>
      <c r="I339" s="6"/>
      <c r="J339" s="6"/>
      <c r="K339" s="6"/>
      <c r="L339" s="4">
        <f ca="1">_xll.DBRW($B$1,$B$2,$B$7,$B$3,$B$4,$B$5,$F339,$B$6,L$10,$A339,$B339)</f>
        <v>35553750</v>
      </c>
      <c r="M339" s="4">
        <f ca="1">_xll.DBRW($B$1,$B$2,$B$7,$B$3,$B$4,$B$5,$F339,$B$6,M$10,$A339,$B339)</f>
        <v>34181500</v>
      </c>
      <c r="N339" s="4">
        <f ca="1">_xll.DBRW($B$1,$B$2,$B$7,$B$3,$B$4,$B$5,$F339,$B$6,N$10,$A339,$B339)</f>
        <v>35354150</v>
      </c>
      <c r="O339" s="4">
        <f ca="1">_xll.DBRW($B$1,$B$2,$B$7,$B$3,$B$4,$B$5,$F339,$B$6,O$10,$A339,$B339)</f>
        <v>34605650</v>
      </c>
      <c r="P339" s="4">
        <f ca="1">_xll.DBRW($B$1,$B$2,$B$7,$B$3,$B$4,$B$5,$F339,$B$6,P$10,$A339,$B339)</f>
        <v>34181500</v>
      </c>
      <c r="Q339" s="4">
        <f ca="1">_xll.DBRW($B$1,$B$2,$B$7,$B$3,$B$4,$B$5,$F339,$B$6,Q$10,$A339,$B339)</f>
        <v>37599650</v>
      </c>
      <c r="R339" s="4">
        <f ca="1">_xll.DBRW($B$1,$B$2,$B$7,$B$3,$B$4,$B$5,$F339,$B$6,R$10,$A339,$B339)</f>
        <v>48203400</v>
      </c>
      <c r="S339" s="4">
        <f ca="1">_xll.DBRW($B$1,$B$2,$B$7,$B$3,$B$4,$B$5,$F339,$B$6,S$10,$A339,$B339)</f>
        <v>49376050</v>
      </c>
      <c r="T339" s="4">
        <f ca="1">_xll.DBRW($B$1,$B$2,$B$7,$B$3,$B$4,$B$5,$F339,$B$6,T$10,$A339,$B339)</f>
        <v>38148550</v>
      </c>
      <c r="U339" s="4">
        <f ca="1">_xll.DBRW($B$1,$B$2,$B$7,$B$3,$B$4,$B$5,$F339,$B$6,U$10,$A339,$B339)</f>
        <v>34630600</v>
      </c>
      <c r="V339" s="4">
        <f ca="1">_xll.DBRW($B$1,$B$2,$B$7,$B$3,$B$4,$B$5,$F339,$B$6,V$10,$A339,$B339)</f>
        <v>37649550</v>
      </c>
      <c r="W339" s="4">
        <f ca="1">_xll.DBRW($B$1,$B$2,$B$7,$B$3,$B$4,$B$5,$F339,$B$6,W$10,$A339,$B339)</f>
        <v>27694500</v>
      </c>
      <c r="X339" s="4">
        <f ca="1">_xll.DBRW($B$1,$B$2,$B$7,$B$3,$B$4,$B$5,$F339,$B$6,X$10,$A339,$B339)</f>
        <v>28617650</v>
      </c>
      <c r="Y339" s="4">
        <f ca="1">_xll.DBRW($B$1,$B$2,$B$7,$B$3,$B$4,$B$5,$F339,$B$6,Y$10,$A339,$B339)</f>
        <v>27694500</v>
      </c>
      <c r="Z339" s="4">
        <f ca="1">_xll.DBRW($B$1,$B$2,$B$7,$B$3,$B$4,$B$5,$F339,$B$6,Z$10,$A339,$B339)</f>
        <v>28617650</v>
      </c>
      <c r="AA339" s="4">
        <f ca="1">_xll.DBRW($B$1,$B$2,$B$7,$B$3,$B$4,$B$5,$F339,$B$6,AA$10,$A339,$B339)</f>
        <v>28617650</v>
      </c>
      <c r="AB339" s="4">
        <f ca="1">_xll.DBRW($B$1,$B$2,$B$7,$B$3,$B$4,$B$5,$F339,$B$6,AB$10,$A339,$B339)</f>
        <v>27694500</v>
      </c>
      <c r="AC339" s="4">
        <f ca="1">_xll.DBRW($B$1,$B$2,$B$7,$B$3,$B$4,$B$5,$F339,$B$6,AC$10,$A339,$B339)</f>
        <v>30563750</v>
      </c>
      <c r="AD339" s="4">
        <f ca="1">_xll.DBRW($B$1,$B$2,$B$7,$B$3,$B$4,$B$5,$F339,$B$6,AD$10,$A339,$B339)</f>
        <v>36975900</v>
      </c>
      <c r="AE339" s="4">
        <f ca="1">_xll.DBRW($B$1,$B$2,$B$7,$B$3,$B$4,$B$5,$F339,$B$6,AE$10,$A339,$B339)</f>
        <v>38597650</v>
      </c>
    </row>
    <row r="340" spans="1:31">
      <c r="A340" s="1" t="s">
        <v>152</v>
      </c>
      <c r="B340" s="5" t="s">
        <v>295</v>
      </c>
      <c r="C340" s="5" t="s">
        <v>296</v>
      </c>
      <c r="D340" s="5" t="s">
        <v>294</v>
      </c>
      <c r="E340" s="5" t="s">
        <v>21</v>
      </c>
      <c r="F340" s="5" t="s">
        <v>25</v>
      </c>
      <c r="G340" s="6"/>
      <c r="H340" s="6"/>
      <c r="I340" s="6"/>
      <c r="J340" s="6"/>
      <c r="K340" s="6"/>
      <c r="L340" s="4">
        <f ca="1">_xll.DBRW($B$1,$B$2,$B$7,$B$3,$B$4,$B$5,$F340,$B$6,L$10,$A340,$B340)</f>
        <v>35803250</v>
      </c>
      <c r="M340" s="4">
        <f ca="1">_xll.DBRW($B$1,$B$2,$B$7,$B$3,$B$4,$B$5,$F340,$B$6,M$10,$A340,$B340)</f>
        <v>33932000</v>
      </c>
      <c r="N340" s="4">
        <f ca="1">_xll.DBRW($B$1,$B$2,$B$7,$B$3,$B$4,$B$5,$F340,$B$6,N$10,$A340,$B340)</f>
        <v>35354150</v>
      </c>
      <c r="O340" s="4">
        <f ca="1">_xll.DBRW($B$1,$B$2,$B$7,$B$3,$B$4,$B$5,$F340,$B$6,O$10,$A340,$B340)</f>
        <v>34605650</v>
      </c>
      <c r="P340" s="4">
        <f ca="1">_xll.DBRW($B$1,$B$2,$B$7,$B$3,$B$4,$B$5,$F340,$B$6,P$10,$A340,$B340)</f>
        <v>34181500</v>
      </c>
      <c r="Q340" s="4">
        <f ca="1">_xll.DBRW($B$1,$B$2,$B$7,$B$3,$B$4,$B$5,$F340,$B$6,Q$10,$A340,$B340)</f>
        <v>37599650</v>
      </c>
      <c r="R340" s="4">
        <f ca="1">_xll.DBRW($B$1,$B$2,$B$7,$B$3,$B$4,$B$5,$F340,$B$6,R$10,$A340,$B340)</f>
        <v>48203400</v>
      </c>
      <c r="S340" s="4">
        <f ca="1">_xll.DBRW($B$1,$B$2,$B$7,$B$3,$B$4,$B$5,$F340,$B$6,S$10,$A340,$B340)</f>
        <v>49376050</v>
      </c>
      <c r="T340" s="4">
        <f ca="1">_xll.DBRW($B$1,$B$2,$B$7,$B$3,$B$4,$B$5,$F340,$B$6,T$10,$A340,$B340)</f>
        <v>38597650</v>
      </c>
      <c r="U340" s="4">
        <f ca="1">_xll.DBRW($B$1,$B$2,$B$7,$B$3,$B$4,$B$5,$F340,$B$6,U$10,$A340,$B340)</f>
        <v>34630600</v>
      </c>
      <c r="V340" s="4">
        <f ca="1">_xll.DBRW($B$1,$B$2,$B$7,$B$3,$B$4,$B$5,$F340,$B$6,V$10,$A340,$B340)</f>
        <v>37649550</v>
      </c>
      <c r="W340" s="4">
        <f ca="1">_xll.DBRW($B$1,$B$2,$B$7,$B$3,$B$4,$B$5,$F340,$B$6,W$10,$A340,$B340)</f>
        <v>27694500</v>
      </c>
      <c r="X340" s="4">
        <f ca="1">_xll.DBRW($B$1,$B$2,$B$7,$B$3,$B$4,$B$5,$F340,$B$6,X$10,$A340,$B340)</f>
        <v>28617650</v>
      </c>
      <c r="Y340" s="4">
        <f ca="1">_xll.DBRW($B$1,$B$2,$B$7,$B$3,$B$4,$B$5,$F340,$B$6,Y$10,$A340,$B340)</f>
        <v>27694500</v>
      </c>
      <c r="Z340" s="4">
        <f ca="1">_xll.DBRW($B$1,$B$2,$B$7,$B$3,$B$4,$B$5,$F340,$B$6,Z$10,$A340,$B340)</f>
        <v>28617650</v>
      </c>
      <c r="AA340" s="4">
        <f ca="1">_xll.DBRW($B$1,$B$2,$B$7,$B$3,$B$4,$B$5,$F340,$B$6,AA$10,$A340,$B340)</f>
        <v>28617650</v>
      </c>
      <c r="AB340" s="4">
        <f ca="1">_xll.DBRW($B$1,$B$2,$B$7,$B$3,$B$4,$B$5,$F340,$B$6,AB$10,$A340,$B340)</f>
        <v>27694500</v>
      </c>
      <c r="AC340" s="4">
        <f ca="1">_xll.DBRW($B$1,$B$2,$B$7,$B$3,$B$4,$B$5,$F340,$B$6,AC$10,$A340,$B340)</f>
        <v>30563750</v>
      </c>
      <c r="AD340" s="4">
        <f ca="1">_xll.DBRW($B$1,$B$2,$B$7,$B$3,$B$4,$B$5,$F340,$B$6,AD$10,$A340,$B340)</f>
        <v>36975900</v>
      </c>
      <c r="AE340" s="4">
        <f ca="1">_xll.DBRW($B$1,$B$2,$B$7,$B$3,$B$4,$B$5,$F340,$B$6,AE$10,$A340,$B340)</f>
        <v>38597650</v>
      </c>
    </row>
    <row r="341" spans="1:31">
      <c r="A341" s="1" t="s">
        <v>152</v>
      </c>
      <c r="B341" s="5" t="s">
        <v>297</v>
      </c>
      <c r="C341" s="5" t="s">
        <v>298</v>
      </c>
      <c r="D341" s="5" t="s">
        <v>21</v>
      </c>
      <c r="E341" s="5" t="s">
        <v>299</v>
      </c>
      <c r="F341" s="5" t="s">
        <v>25</v>
      </c>
      <c r="G341" s="6"/>
      <c r="H341" s="6"/>
      <c r="I341" s="6"/>
      <c r="J341" s="6"/>
      <c r="K341" s="6"/>
      <c r="L341" s="4">
        <f ca="1">_xll.DBRW($B$1,$B$2,$B$7,$B$3,$B$4,$B$5,$F341,$B$6,L$10,$A341,$B341)</f>
        <v>53835840</v>
      </c>
      <c r="M341" s="4">
        <f ca="1">_xll.DBRW($B$1,$B$2,$B$7,$B$3,$B$4,$B$5,$F341,$B$6,M$10,$A341,$B341)</f>
        <v>52099200</v>
      </c>
      <c r="N341" s="4">
        <f ca="1">_xll.DBRW($B$1,$B$2,$B$7,$B$3,$B$4,$B$5,$F341,$B$6,N$10,$A341,$B341)</f>
        <v>53835840</v>
      </c>
      <c r="O341" s="4">
        <f ca="1">_xll.DBRW($B$1,$B$2,$B$7,$B$3,$B$4,$B$5,$F341,$B$6,O$10,$A341,$B341)</f>
        <v>53835840</v>
      </c>
      <c r="P341" s="4">
        <f ca="1">_xll.DBRW($B$1,$B$2,$B$7,$B$3,$B$4,$B$5,$F341,$B$6,P$10,$A341,$B341)</f>
        <v>52099200</v>
      </c>
      <c r="Q341" s="4">
        <f ca="1">_xll.DBRW($B$1,$B$2,$B$7,$B$3,$B$4,$B$5,$F341,$B$6,Q$10,$A341,$B341)</f>
        <v>53835840</v>
      </c>
      <c r="R341" s="4">
        <f ca="1">_xll.DBRW($B$1,$B$2,$B$7,$B$3,$B$4,$B$5,$F341,$B$6,R$10,$A341,$B341)</f>
        <v>52099200</v>
      </c>
      <c r="S341" s="4">
        <f ca="1">_xll.DBRW($B$1,$B$2,$B$7,$B$3,$B$4,$B$5,$F341,$B$6,S$10,$A341,$B341)</f>
        <v>53835840</v>
      </c>
      <c r="T341" s="4">
        <f ca="1">_xll.DBRW($B$1,$B$2,$B$7,$B$3,$B$4,$B$5,$F341,$B$6,T$10,$A341,$B341)</f>
        <v>53835840</v>
      </c>
      <c r="U341" s="4">
        <f ca="1">_xll.DBRW($B$1,$B$2,$B$7,$B$3,$B$4,$B$5,$F341,$B$6,U$10,$A341,$B341)</f>
        <v>48625920</v>
      </c>
      <c r="V341" s="4">
        <f ca="1">_xll.DBRW($B$1,$B$2,$B$7,$B$3,$B$4,$B$5,$F341,$B$6,V$10,$A341,$B341)</f>
        <v>53835840</v>
      </c>
      <c r="W341" s="4">
        <f ca="1">_xll.DBRW($B$1,$B$2,$B$7,$B$3,$B$4,$B$5,$F341,$B$6,W$10,$A341,$B341)</f>
        <v>52099200</v>
      </c>
      <c r="X341" s="4">
        <f ca="1">_xll.DBRW($B$1,$B$2,$B$7,$B$3,$B$4,$B$5,$F341,$B$6,X$10,$A341,$B341)</f>
        <v>53835840</v>
      </c>
      <c r="Y341" s="4">
        <f ca="1">_xll.DBRW($B$1,$B$2,$B$7,$B$3,$B$4,$B$5,$F341,$B$6,Y$10,$A341,$B341)</f>
        <v>52099200</v>
      </c>
      <c r="Z341" s="4">
        <f ca="1">_xll.DBRW($B$1,$B$2,$B$7,$B$3,$B$4,$B$5,$F341,$B$6,Z$10,$A341,$B341)</f>
        <v>53835840</v>
      </c>
      <c r="AA341" s="4">
        <f ca="1">_xll.DBRW($B$1,$B$2,$B$7,$B$3,$B$4,$B$5,$F341,$B$6,AA$10,$A341,$B341)</f>
        <v>53835840</v>
      </c>
      <c r="AB341" s="4">
        <f ca="1">_xll.DBRW($B$1,$B$2,$B$7,$B$3,$B$4,$B$5,$F341,$B$6,AB$10,$A341,$B341)</f>
        <v>52099200</v>
      </c>
      <c r="AC341" s="4">
        <f ca="1">_xll.DBRW($B$1,$B$2,$B$7,$B$3,$B$4,$B$5,$F341,$B$6,AC$10,$A341,$B341)</f>
        <v>53835840</v>
      </c>
      <c r="AD341" s="4">
        <f ca="1">_xll.DBRW($B$1,$B$2,$B$7,$B$3,$B$4,$B$5,$F341,$B$6,AD$10,$A341,$B341)</f>
        <v>52099200</v>
      </c>
      <c r="AE341" s="4">
        <f ca="1">_xll.DBRW($B$1,$B$2,$B$7,$B$3,$B$4,$B$5,$F341,$B$6,AE$10,$A341,$B341)</f>
        <v>53835840</v>
      </c>
    </row>
    <row r="342" spans="1:31">
      <c r="A342" s="1" t="s">
        <v>152</v>
      </c>
      <c r="B342" s="5" t="s">
        <v>300</v>
      </c>
      <c r="C342" s="5" t="s">
        <v>301</v>
      </c>
      <c r="D342" s="5" t="s">
        <v>299</v>
      </c>
      <c r="E342" s="5" t="s">
        <v>21</v>
      </c>
      <c r="F342" s="5" t="s">
        <v>25</v>
      </c>
      <c r="G342" s="6"/>
      <c r="H342" s="6"/>
      <c r="I342" s="6"/>
      <c r="J342" s="6"/>
      <c r="K342" s="6"/>
      <c r="L342" s="4">
        <f ca="1">_xll.DBRW($B$1,$B$2,$B$7,$B$3,$B$4,$B$5,$F342,$B$6,L$10,$A342,$B342)</f>
        <v>53835840</v>
      </c>
      <c r="M342" s="4">
        <f ca="1">_xll.DBRW($B$1,$B$2,$B$7,$B$3,$B$4,$B$5,$F342,$B$6,M$10,$A342,$B342)</f>
        <v>52099200</v>
      </c>
      <c r="N342" s="4">
        <f ca="1">_xll.DBRW($B$1,$B$2,$B$7,$B$3,$B$4,$B$5,$F342,$B$6,N$10,$A342,$B342)</f>
        <v>53835840</v>
      </c>
      <c r="O342" s="4">
        <f ca="1">_xll.DBRW($B$1,$B$2,$B$7,$B$3,$B$4,$B$5,$F342,$B$6,O$10,$A342,$B342)</f>
        <v>53835840</v>
      </c>
      <c r="P342" s="4">
        <f ca="1">_xll.DBRW($B$1,$B$2,$B$7,$B$3,$B$4,$B$5,$F342,$B$6,P$10,$A342,$B342)</f>
        <v>52099200</v>
      </c>
      <c r="Q342" s="4">
        <f ca="1">_xll.DBRW($B$1,$B$2,$B$7,$B$3,$B$4,$B$5,$F342,$B$6,Q$10,$A342,$B342)</f>
        <v>53835840</v>
      </c>
      <c r="R342" s="4">
        <f ca="1">_xll.DBRW($B$1,$B$2,$B$7,$B$3,$B$4,$B$5,$F342,$B$6,R$10,$A342,$B342)</f>
        <v>52099200</v>
      </c>
      <c r="S342" s="4">
        <f ca="1">_xll.DBRW($B$1,$B$2,$B$7,$B$3,$B$4,$B$5,$F342,$B$6,S$10,$A342,$B342)</f>
        <v>53835840</v>
      </c>
      <c r="T342" s="4">
        <f ca="1">_xll.DBRW($B$1,$B$2,$B$7,$B$3,$B$4,$B$5,$F342,$B$6,T$10,$A342,$B342)</f>
        <v>53835840</v>
      </c>
      <c r="U342" s="4">
        <f ca="1">_xll.DBRW($B$1,$B$2,$B$7,$B$3,$B$4,$B$5,$F342,$B$6,U$10,$A342,$B342)</f>
        <v>48625920</v>
      </c>
      <c r="V342" s="4">
        <f ca="1">_xll.DBRW($B$1,$B$2,$B$7,$B$3,$B$4,$B$5,$F342,$B$6,V$10,$A342,$B342)</f>
        <v>53835840</v>
      </c>
      <c r="W342" s="4">
        <f ca="1">_xll.DBRW($B$1,$B$2,$B$7,$B$3,$B$4,$B$5,$F342,$B$6,W$10,$A342,$B342)</f>
        <v>52099200</v>
      </c>
      <c r="X342" s="4">
        <f ca="1">_xll.DBRW($B$1,$B$2,$B$7,$B$3,$B$4,$B$5,$F342,$B$6,X$10,$A342,$B342)</f>
        <v>53835840</v>
      </c>
      <c r="Y342" s="4">
        <f ca="1">_xll.DBRW($B$1,$B$2,$B$7,$B$3,$B$4,$B$5,$F342,$B$6,Y$10,$A342,$B342)</f>
        <v>52099200</v>
      </c>
      <c r="Z342" s="4">
        <f ca="1">_xll.DBRW($B$1,$B$2,$B$7,$B$3,$B$4,$B$5,$F342,$B$6,Z$10,$A342,$B342)</f>
        <v>53835840</v>
      </c>
      <c r="AA342" s="4">
        <f ca="1">_xll.DBRW($B$1,$B$2,$B$7,$B$3,$B$4,$B$5,$F342,$B$6,AA$10,$A342,$B342)</f>
        <v>53835840</v>
      </c>
      <c r="AB342" s="4">
        <f ca="1">_xll.DBRW($B$1,$B$2,$B$7,$B$3,$B$4,$B$5,$F342,$B$6,AB$10,$A342,$B342)</f>
        <v>52099200</v>
      </c>
      <c r="AC342" s="4">
        <f ca="1">_xll.DBRW($B$1,$B$2,$B$7,$B$3,$B$4,$B$5,$F342,$B$6,AC$10,$A342,$B342)</f>
        <v>53835840</v>
      </c>
      <c r="AD342" s="4">
        <f ca="1">_xll.DBRW($B$1,$B$2,$B$7,$B$3,$B$4,$B$5,$F342,$B$6,AD$10,$A342,$B342)</f>
        <v>52099200</v>
      </c>
      <c r="AE342" s="4">
        <f ca="1">_xll.DBRW($B$1,$B$2,$B$7,$B$3,$B$4,$B$5,$F342,$B$6,AE$10,$A342,$B342)</f>
        <v>53835840</v>
      </c>
    </row>
    <row r="343" spans="1:31">
      <c r="A343" s="1" t="s">
        <v>152</v>
      </c>
      <c r="B343" s="5" t="s">
        <v>302</v>
      </c>
      <c r="C343" s="5" t="s">
        <v>303</v>
      </c>
      <c r="D343" s="5" t="s">
        <v>21</v>
      </c>
      <c r="E343" s="5" t="s">
        <v>304</v>
      </c>
      <c r="F343" s="5" t="s">
        <v>25</v>
      </c>
      <c r="G343" s="6"/>
      <c r="H343" s="6"/>
      <c r="I343" s="6"/>
      <c r="J343" s="6"/>
      <c r="K343" s="6"/>
      <c r="L343" s="4">
        <f ca="1">_xll.DBRW($B$1,$B$2,$B$7,$B$3,$B$4,$B$5,$F343,$B$6,L$10,$A343,$B343)</f>
        <v>0</v>
      </c>
      <c r="M343" s="4">
        <f ca="1">_xll.DBRW($B$1,$B$2,$B$7,$B$3,$B$4,$B$5,$F343,$B$6,M$10,$A343,$B343)</f>
        <v>0</v>
      </c>
      <c r="N343" s="4">
        <f ca="1">_xll.DBRW($B$1,$B$2,$B$7,$B$3,$B$4,$B$5,$F343,$B$6,N$10,$A343,$B343)</f>
        <v>0</v>
      </c>
      <c r="O343" s="4">
        <f ca="1">_xll.DBRW($B$1,$B$2,$B$7,$B$3,$B$4,$B$5,$F343,$B$6,O$10,$A343,$B343)</f>
        <v>0</v>
      </c>
      <c r="P343" s="4">
        <f ca="1">_xll.DBRW($B$1,$B$2,$B$7,$B$3,$B$4,$B$5,$F343,$B$6,P$10,$A343,$B343)</f>
        <v>17267958</v>
      </c>
      <c r="Q343" s="4">
        <f ca="1">_xll.DBRW($B$1,$B$2,$B$7,$B$3,$B$4,$B$5,$F343,$B$6,Q$10,$A343,$B343)</f>
        <v>20702866</v>
      </c>
      <c r="R343" s="4">
        <f ca="1">_xll.DBRW($B$1,$B$2,$B$7,$B$3,$B$4,$B$5,$F343,$B$6,R$10,$A343,$B343)</f>
        <v>20343566</v>
      </c>
      <c r="S343" s="4">
        <f ca="1">_xll.DBRW($B$1,$B$2,$B$7,$B$3,$B$4,$B$5,$F343,$B$6,S$10,$A343,$B343)</f>
        <v>21069352</v>
      </c>
      <c r="T343" s="4">
        <f ca="1">_xll.DBRW($B$1,$B$2,$B$7,$B$3,$B$4,$B$5,$F343,$B$6,T$10,$A343,$B343)</f>
        <v>21159177</v>
      </c>
      <c r="U343" s="4">
        <f ca="1">_xll.DBRW($B$1,$B$2,$B$7,$B$3,$B$4,$B$5,$F343,$B$6,U$10,$A343,$B343)</f>
        <v>19114760</v>
      </c>
      <c r="V343" s="4">
        <f ca="1">_xll.DBRW($B$1,$B$2,$B$7,$B$3,$B$4,$B$5,$F343,$B$6,V$10,$A343,$B343)</f>
        <v>21108875</v>
      </c>
      <c r="W343" s="4">
        <f ca="1">_xll.DBRW($B$1,$B$2,$B$7,$B$3,$B$4,$B$5,$F343,$B$6,W$10,$A343,$B343)</f>
        <v>19941150</v>
      </c>
      <c r="X343" s="4">
        <f ca="1">_xll.DBRW($B$1,$B$2,$B$7,$B$3,$B$4,$B$5,$F343,$B$6,X$10,$A343,$B343)</f>
        <v>20605855</v>
      </c>
      <c r="Y343" s="4">
        <f ca="1">_xll.DBRW($B$1,$B$2,$B$7,$B$3,$B$4,$B$5,$F343,$B$6,Y$10,$A343,$B343)</f>
        <v>19941150</v>
      </c>
      <c r="Z343" s="4">
        <f ca="1">_xll.DBRW($B$1,$B$2,$B$7,$B$3,$B$4,$B$5,$F343,$B$6,Z$10,$A343,$B343)</f>
        <v>20605855</v>
      </c>
      <c r="AA343" s="4">
        <f ca="1">_xll.DBRW($B$1,$B$2,$B$7,$B$3,$B$4,$B$5,$F343,$B$6,AA$10,$A343,$B343)</f>
        <v>20605855</v>
      </c>
      <c r="AB343" s="4">
        <f ca="1">_xll.DBRW($B$1,$B$2,$B$7,$B$3,$B$4,$B$5,$F343,$B$6,AB$10,$A343,$B343)</f>
        <v>19941150</v>
      </c>
      <c r="AC343" s="4">
        <f ca="1">_xll.DBRW($B$1,$B$2,$B$7,$B$3,$B$4,$B$5,$F343,$B$6,AC$10,$A343,$B343)</f>
        <v>20731610</v>
      </c>
      <c r="AD343" s="4">
        <f ca="1">_xll.DBRW($B$1,$B$2,$B$7,$B$3,$B$4,$B$5,$F343,$B$6,AD$10,$A343,$B343)</f>
        <v>20469321</v>
      </c>
      <c r="AE343" s="4">
        <f ca="1">_xll.DBRW($B$1,$B$2,$B$7,$B$3,$B$4,$B$5,$F343,$B$6,AE$10,$A343,$B343)</f>
        <v>21184328</v>
      </c>
    </row>
    <row r="344" spans="1:31">
      <c r="A344" s="1" t="s">
        <v>152</v>
      </c>
      <c r="B344" s="5" t="s">
        <v>305</v>
      </c>
      <c r="C344" s="5" t="s">
        <v>306</v>
      </c>
      <c r="D344" s="5" t="s">
        <v>304</v>
      </c>
      <c r="E344" s="5" t="s">
        <v>21</v>
      </c>
      <c r="F344" s="5" t="s">
        <v>25</v>
      </c>
      <c r="G344" s="6"/>
      <c r="H344" s="6"/>
      <c r="I344" s="6"/>
      <c r="J344" s="6"/>
      <c r="K344" s="6"/>
      <c r="L344" s="4">
        <f ca="1">_xll.DBRW($B$1,$B$2,$B$7,$B$3,$B$4,$B$5,$F344,$B$6,L$10,$A344,$B344)</f>
        <v>0</v>
      </c>
      <c r="M344" s="4">
        <f ca="1">_xll.DBRW($B$1,$B$2,$B$7,$B$3,$B$4,$B$5,$F344,$B$6,M$10,$A344,$B344)</f>
        <v>0</v>
      </c>
      <c r="N344" s="4">
        <f ca="1">_xll.DBRW($B$1,$B$2,$B$7,$B$3,$B$4,$B$5,$F344,$B$6,N$10,$A344,$B344)</f>
        <v>0</v>
      </c>
      <c r="O344" s="4">
        <f ca="1">_xll.DBRW($B$1,$B$2,$B$7,$B$3,$B$4,$B$5,$F344,$B$6,O$10,$A344,$B344)</f>
        <v>0</v>
      </c>
      <c r="P344" s="4">
        <f ca="1">_xll.DBRW($B$1,$B$2,$B$7,$B$3,$B$4,$B$5,$F344,$B$6,P$10,$A344,$B344)</f>
        <v>16603253</v>
      </c>
      <c r="Q344" s="4">
        <f ca="1">_xll.DBRW($B$1,$B$2,$B$7,$B$3,$B$4,$B$5,$F344,$B$6,Q$10,$A344,$B344)</f>
        <v>20699273</v>
      </c>
      <c r="R344" s="4">
        <f ca="1">_xll.DBRW($B$1,$B$2,$B$7,$B$3,$B$4,$B$5,$F344,$B$6,R$10,$A344,$B344)</f>
        <v>20343566</v>
      </c>
      <c r="S344" s="4">
        <f ca="1">_xll.DBRW($B$1,$B$2,$B$7,$B$3,$B$4,$B$5,$F344,$B$6,S$10,$A344,$B344)</f>
        <v>21044201</v>
      </c>
      <c r="T344" s="4">
        <f ca="1">_xll.DBRW($B$1,$B$2,$B$7,$B$3,$B$4,$B$5,$F344,$B$6,T$10,$A344,$B344)</f>
        <v>21184328</v>
      </c>
      <c r="U344" s="4">
        <f ca="1">_xll.DBRW($B$1,$B$2,$B$7,$B$3,$B$4,$B$5,$F344,$B$6,U$10,$A344,$B344)</f>
        <v>19114760</v>
      </c>
      <c r="V344" s="4">
        <f ca="1">_xll.DBRW($B$1,$B$2,$B$7,$B$3,$B$4,$B$5,$F344,$B$6,V$10,$A344,$B344)</f>
        <v>21108875</v>
      </c>
      <c r="W344" s="4">
        <f ca="1">_xll.DBRW($B$1,$B$2,$B$7,$B$3,$B$4,$B$5,$F344,$B$6,W$10,$A344,$B344)</f>
        <v>19941150</v>
      </c>
      <c r="X344" s="4">
        <f ca="1">_xll.DBRW($B$1,$B$2,$B$7,$B$3,$B$4,$B$5,$F344,$B$6,X$10,$A344,$B344)</f>
        <v>20605855</v>
      </c>
      <c r="Y344" s="4">
        <f ca="1">_xll.DBRW($B$1,$B$2,$B$7,$B$3,$B$4,$B$5,$F344,$B$6,Y$10,$A344,$B344)</f>
        <v>19941150</v>
      </c>
      <c r="Z344" s="4">
        <f ca="1">_xll.DBRW($B$1,$B$2,$B$7,$B$3,$B$4,$B$5,$F344,$B$6,Z$10,$A344,$B344)</f>
        <v>20605855</v>
      </c>
      <c r="AA344" s="4">
        <f ca="1">_xll.DBRW($B$1,$B$2,$B$7,$B$3,$B$4,$B$5,$F344,$B$6,AA$10,$A344,$B344)</f>
        <v>20605855</v>
      </c>
      <c r="AB344" s="4">
        <f ca="1">_xll.DBRW($B$1,$B$2,$B$7,$B$3,$B$4,$B$5,$F344,$B$6,AB$10,$A344,$B344)</f>
        <v>19941150</v>
      </c>
      <c r="AC344" s="4">
        <f ca="1">_xll.DBRW($B$1,$B$2,$B$7,$B$3,$B$4,$B$5,$F344,$B$6,AC$10,$A344,$B344)</f>
        <v>20731610</v>
      </c>
      <c r="AD344" s="4">
        <f ca="1">_xll.DBRW($B$1,$B$2,$B$7,$B$3,$B$4,$B$5,$F344,$B$6,AD$10,$A344,$B344)</f>
        <v>20444170</v>
      </c>
      <c r="AE344" s="4">
        <f ca="1">_xll.DBRW($B$1,$B$2,$B$7,$B$3,$B$4,$B$5,$F344,$B$6,AE$10,$A344,$B344)</f>
        <v>21184328</v>
      </c>
    </row>
    <row r="345" spans="1:31">
      <c r="A345" s="1" t="s">
        <v>152</v>
      </c>
      <c r="B345" s="5" t="s">
        <v>307</v>
      </c>
      <c r="C345" s="5" t="s">
        <v>308</v>
      </c>
      <c r="D345" s="5" t="s">
        <v>21</v>
      </c>
      <c r="E345" s="5" t="s">
        <v>309</v>
      </c>
      <c r="F345" s="5" t="s">
        <v>25</v>
      </c>
      <c r="G345" s="6"/>
      <c r="H345" s="6"/>
      <c r="I345" s="6"/>
      <c r="J345" s="6"/>
      <c r="K345" s="6"/>
      <c r="L345" s="4">
        <f ca="1">_xll.DBRW($B$1,$B$2,$B$7,$B$3,$B$4,$B$5,$F345,$B$6,L$10,$A345,$B345)</f>
        <v>0</v>
      </c>
      <c r="M345" s="4">
        <f ca="1">_xll.DBRW($B$1,$B$2,$B$7,$B$3,$B$4,$B$5,$F345,$B$6,M$10,$A345,$B345)</f>
        <v>0</v>
      </c>
      <c r="N345" s="4">
        <f ca="1">_xll.DBRW($B$1,$B$2,$B$7,$B$3,$B$4,$B$5,$F345,$B$6,N$10,$A345,$B345)</f>
        <v>0</v>
      </c>
      <c r="O345" s="4">
        <f ca="1">_xll.DBRW($B$1,$B$2,$B$7,$B$3,$B$4,$B$5,$F345,$B$6,O$10,$A345,$B345)</f>
        <v>0</v>
      </c>
      <c r="P345" s="4">
        <f ca="1">_xll.DBRW($B$1,$B$2,$B$7,$B$3,$B$4,$B$5,$F345,$B$6,P$10,$A345,$B345)</f>
        <v>0</v>
      </c>
      <c r="Q345" s="4">
        <f ca="1">_xll.DBRW($B$1,$B$2,$B$7,$B$3,$B$4,$B$5,$F345,$B$6,Q$10,$A345,$B345)</f>
        <v>11114496</v>
      </c>
      <c r="R345" s="4">
        <f ca="1">_xll.DBRW($B$1,$B$2,$B$7,$B$3,$B$4,$B$5,$F345,$B$6,R$10,$A345,$B345)</f>
        <v>55572480</v>
      </c>
      <c r="S345" s="4">
        <f ca="1">_xll.DBRW($B$1,$B$2,$B$7,$B$3,$B$4,$B$5,$F345,$B$6,S$10,$A345,$B345)</f>
        <v>57424896</v>
      </c>
      <c r="T345" s="4">
        <f ca="1">_xll.DBRW($B$1,$B$2,$B$7,$B$3,$B$4,$B$5,$F345,$B$6,T$10,$A345,$B345)</f>
        <v>57424896</v>
      </c>
      <c r="U345" s="4">
        <f ca="1">_xll.DBRW($B$1,$B$2,$B$7,$B$3,$B$4,$B$5,$F345,$B$6,U$10,$A345,$B345)</f>
        <v>51867648</v>
      </c>
      <c r="V345" s="4">
        <f ca="1">_xll.DBRW($B$1,$B$2,$B$7,$B$3,$B$4,$B$5,$F345,$B$6,V$10,$A345,$B345)</f>
        <v>53720064</v>
      </c>
      <c r="W345" s="4">
        <f ca="1">_xll.DBRW($B$1,$B$2,$B$7,$B$3,$B$4,$B$5,$F345,$B$6,W$10,$A345,$B345)</f>
        <v>0</v>
      </c>
      <c r="X345" s="4">
        <f ca="1">_xll.DBRW($B$1,$B$2,$B$7,$B$3,$B$4,$B$5,$F345,$B$6,X$10,$A345,$B345)</f>
        <v>0</v>
      </c>
      <c r="Y345" s="4">
        <f ca="1">_xll.DBRW($B$1,$B$2,$B$7,$B$3,$B$4,$B$5,$F345,$B$6,Y$10,$A345,$B345)</f>
        <v>0</v>
      </c>
      <c r="Z345" s="4">
        <f ca="1">_xll.DBRW($B$1,$B$2,$B$7,$B$3,$B$4,$B$5,$F345,$B$6,Z$10,$A345,$B345)</f>
        <v>0</v>
      </c>
      <c r="AA345" s="4">
        <f ca="1">_xll.DBRW($B$1,$B$2,$B$7,$B$3,$B$4,$B$5,$F345,$B$6,AA$10,$A345,$B345)</f>
        <v>0</v>
      </c>
      <c r="AB345" s="4">
        <f ca="1">_xll.DBRW($B$1,$B$2,$B$7,$B$3,$B$4,$B$5,$F345,$B$6,AB$10,$A345,$B345)</f>
        <v>0</v>
      </c>
      <c r="AC345" s="4">
        <f ca="1">_xll.DBRW($B$1,$B$2,$B$7,$B$3,$B$4,$B$5,$F345,$B$6,AC$10,$A345,$B345)</f>
        <v>11114496</v>
      </c>
      <c r="AD345" s="4">
        <f ca="1">_xll.DBRW($B$1,$B$2,$B$7,$B$3,$B$4,$B$5,$F345,$B$6,AD$10,$A345,$B345)</f>
        <v>55572480</v>
      </c>
      <c r="AE345" s="4">
        <f ca="1">_xll.DBRW($B$1,$B$2,$B$7,$B$3,$B$4,$B$5,$F345,$B$6,AE$10,$A345,$B345)</f>
        <v>57424896</v>
      </c>
    </row>
    <row r="346" spans="1:31">
      <c r="A346" s="1" t="s">
        <v>152</v>
      </c>
      <c r="B346" s="5" t="s">
        <v>310</v>
      </c>
      <c r="C346" s="5" t="s">
        <v>311</v>
      </c>
      <c r="D346" s="5" t="s">
        <v>309</v>
      </c>
      <c r="E346" s="5" t="s">
        <v>21</v>
      </c>
      <c r="F346" s="5" t="s">
        <v>25</v>
      </c>
      <c r="G346" s="6"/>
      <c r="H346" s="6"/>
      <c r="I346" s="6"/>
      <c r="J346" s="6"/>
      <c r="K346" s="6"/>
      <c r="L346" s="4">
        <f ca="1">_xll.DBRW($B$1,$B$2,$B$7,$B$3,$B$4,$B$5,$F346,$B$6,L$10,$A346,$B346)</f>
        <v>0</v>
      </c>
      <c r="M346" s="4">
        <f ca="1">_xll.DBRW($B$1,$B$2,$B$7,$B$3,$B$4,$B$5,$F346,$B$6,M$10,$A346,$B346)</f>
        <v>0</v>
      </c>
      <c r="N346" s="4">
        <f ca="1">_xll.DBRW($B$1,$B$2,$B$7,$B$3,$B$4,$B$5,$F346,$B$6,N$10,$A346,$B346)</f>
        <v>0</v>
      </c>
      <c r="O346" s="4">
        <f ca="1">_xll.DBRW($B$1,$B$2,$B$7,$B$3,$B$4,$B$5,$F346,$B$6,O$10,$A346,$B346)</f>
        <v>0</v>
      </c>
      <c r="P346" s="4">
        <f ca="1">_xll.DBRW($B$1,$B$2,$B$7,$B$3,$B$4,$B$5,$F346,$B$6,P$10,$A346,$B346)</f>
        <v>0</v>
      </c>
      <c r="Q346" s="4">
        <f ca="1">_xll.DBRW($B$1,$B$2,$B$7,$B$3,$B$4,$B$5,$F346,$B$6,Q$10,$A346,$B346)</f>
        <v>9262080</v>
      </c>
      <c r="R346" s="4">
        <f ca="1">_xll.DBRW($B$1,$B$2,$B$7,$B$3,$B$4,$B$5,$F346,$B$6,R$10,$A346,$B346)</f>
        <v>55572480</v>
      </c>
      <c r="S346" s="4">
        <f ca="1">_xll.DBRW($B$1,$B$2,$B$7,$B$3,$B$4,$B$5,$F346,$B$6,S$10,$A346,$B346)</f>
        <v>57424896</v>
      </c>
      <c r="T346" s="4">
        <f ca="1">_xll.DBRW($B$1,$B$2,$B$7,$B$3,$B$4,$B$5,$F346,$B$6,T$10,$A346,$B346)</f>
        <v>57424896</v>
      </c>
      <c r="U346" s="4">
        <f ca="1">_xll.DBRW($B$1,$B$2,$B$7,$B$3,$B$4,$B$5,$F346,$B$6,U$10,$A346,$B346)</f>
        <v>51867648</v>
      </c>
      <c r="V346" s="4">
        <f ca="1">_xll.DBRW($B$1,$B$2,$B$7,$B$3,$B$4,$B$5,$F346,$B$6,V$10,$A346,$B346)</f>
        <v>53720064</v>
      </c>
      <c r="W346" s="4">
        <f ca="1">_xll.DBRW($B$1,$B$2,$B$7,$B$3,$B$4,$B$5,$F346,$B$6,W$10,$A346,$B346)</f>
        <v>0</v>
      </c>
      <c r="X346" s="4">
        <f ca="1">_xll.DBRW($B$1,$B$2,$B$7,$B$3,$B$4,$B$5,$F346,$B$6,X$10,$A346,$B346)</f>
        <v>0</v>
      </c>
      <c r="Y346" s="4">
        <f ca="1">_xll.DBRW($B$1,$B$2,$B$7,$B$3,$B$4,$B$5,$F346,$B$6,Y$10,$A346,$B346)</f>
        <v>0</v>
      </c>
      <c r="Z346" s="4">
        <f ca="1">_xll.DBRW($B$1,$B$2,$B$7,$B$3,$B$4,$B$5,$F346,$B$6,Z$10,$A346,$B346)</f>
        <v>0</v>
      </c>
      <c r="AA346" s="4">
        <f ca="1">_xll.DBRW($B$1,$B$2,$B$7,$B$3,$B$4,$B$5,$F346,$B$6,AA$10,$A346,$B346)</f>
        <v>0</v>
      </c>
      <c r="AB346" s="4">
        <f ca="1">_xll.DBRW($B$1,$B$2,$B$7,$B$3,$B$4,$B$5,$F346,$B$6,AB$10,$A346,$B346)</f>
        <v>0</v>
      </c>
      <c r="AC346" s="4">
        <f ca="1">_xll.DBRW($B$1,$B$2,$B$7,$B$3,$B$4,$B$5,$F346,$B$6,AC$10,$A346,$B346)</f>
        <v>11114496</v>
      </c>
      <c r="AD346" s="4">
        <f ca="1">_xll.DBRW($B$1,$B$2,$B$7,$B$3,$B$4,$B$5,$F346,$B$6,AD$10,$A346,$B346)</f>
        <v>55572480</v>
      </c>
      <c r="AE346" s="4">
        <f ca="1">_xll.DBRW($B$1,$B$2,$B$7,$B$3,$B$4,$B$5,$F346,$B$6,AE$10,$A346,$B346)</f>
        <v>57424896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5259-9D7E-4D97-80F9-80A1832101AC}">
  <dimension ref="A1:AE346"/>
  <sheetViews>
    <sheetView workbookViewId="0">
      <pane ySplit="10" topLeftCell="A11" activePane="bottomLeft" state="frozen"/>
      <selection pane="bottomLeft" activeCell="G47" sqref="G47"/>
      <selection activeCell="G47" sqref="G47"/>
    </sheetView>
  </sheetViews>
  <sheetFormatPr defaultRowHeight="16.5"/>
  <cols>
    <col min="1" max="1" width="16" style="1" bestFit="1" customWidth="1"/>
    <col min="2" max="2" width="25.85546875" style="1" bestFit="1" customWidth="1"/>
    <col min="3" max="5" width="25.85546875" style="1" customWidth="1"/>
    <col min="6" max="6" width="17.7109375" style="1" customWidth="1"/>
    <col min="7" max="11" width="13.42578125" style="1" customWidth="1"/>
    <col min="12" max="31" width="12.7109375" style="1" bestFit="1" customWidth="1"/>
    <col min="32" max="16384" width="9.140625" style="1"/>
  </cols>
  <sheetData>
    <row r="1" spans="1:31">
      <c r="A1" s="1" t="s">
        <v>122</v>
      </c>
      <c r="B1" s="1" t="str">
        <f ca="1">_xll.VIEW("planning:oraclegl-reporting",$B$2,$B$7,$B$3,$B$4,$B$5,"!",$B$6,"!","!","!")</f>
        <v>planning:oraclegl-reporting</v>
      </c>
    </row>
    <row r="2" spans="1:31">
      <c r="A2" s="1" t="s">
        <v>123</v>
      </c>
      <c r="B2" s="1" t="str">
        <f ca="1">_xll.SUBNM("planning:translation","","translated")</f>
        <v>translated</v>
      </c>
    </row>
    <row r="3" spans="1:31">
      <c r="A3" s="1" t="s">
        <v>125</v>
      </c>
      <c r="B3" s="1" t="str">
        <f ca="1">_xll.SUBNM("planning:sob","","Total SOB")</f>
        <v>Total SOB</v>
      </c>
    </row>
    <row r="4" spans="1:31">
      <c r="A4" s="1" t="s">
        <v>127</v>
      </c>
      <c r="B4" s="1" t="str">
        <f ca="1">_xll.SUBNM("planning:lob","","VA")</f>
        <v>VA</v>
      </c>
    </row>
    <row r="5" spans="1:31">
      <c r="A5" s="1" t="s">
        <v>129</v>
      </c>
      <c r="B5" s="1" t="str">
        <f ca="1">_xll.SUBNM("planning:currency","","Total Currency")</f>
        <v>Total Currency</v>
      </c>
    </row>
    <row r="6" spans="1:31">
      <c r="A6" s="1" t="s">
        <v>132</v>
      </c>
      <c r="B6" s="1" t="str">
        <f ca="1">_xll.SUBNM("planning:rcentre","Default","VALT","desc")</f>
        <v>VALT - Total VAAL</v>
      </c>
    </row>
    <row r="7" spans="1:31">
      <c r="A7" s="1" t="s">
        <v>133</v>
      </c>
      <c r="B7" s="1" t="s">
        <v>134</v>
      </c>
    </row>
    <row r="10" spans="1:31">
      <c r="B10" s="3" t="s">
        <v>1</v>
      </c>
      <c r="C10" s="3" t="s">
        <v>2</v>
      </c>
      <c r="D10" s="3" t="s">
        <v>3</v>
      </c>
      <c r="E10" s="3" t="s">
        <v>4</v>
      </c>
      <c r="F10" s="3" t="s">
        <v>157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3" t="s">
        <v>148</v>
      </c>
      <c r="S10" s="3" t="s">
        <v>149</v>
      </c>
      <c r="T10" s="3" t="s">
        <v>6</v>
      </c>
      <c r="U10" s="3" t="s">
        <v>7</v>
      </c>
      <c r="V10" s="3" t="s">
        <v>8</v>
      </c>
      <c r="W10" s="3" t="s">
        <v>9</v>
      </c>
      <c r="X10" s="3" t="s">
        <v>10</v>
      </c>
      <c r="Y10" s="3" t="s">
        <v>11</v>
      </c>
      <c r="Z10" s="3" t="s">
        <v>12</v>
      </c>
      <c r="AA10" s="3" t="s">
        <v>13</v>
      </c>
      <c r="AB10" s="3" t="s">
        <v>14</v>
      </c>
      <c r="AC10" s="3" t="s">
        <v>15</v>
      </c>
      <c r="AD10" s="3" t="s">
        <v>16</v>
      </c>
      <c r="AE10" s="3" t="s">
        <v>17</v>
      </c>
    </row>
    <row r="11" spans="1:31">
      <c r="A11" s="1" t="s">
        <v>153</v>
      </c>
      <c r="B11" s="5" t="s">
        <v>158</v>
      </c>
      <c r="C11" s="5" t="s">
        <v>159</v>
      </c>
      <c r="D11" s="5" t="s">
        <v>21</v>
      </c>
      <c r="E11" s="5" t="s">
        <v>38</v>
      </c>
      <c r="F11" s="5" t="s">
        <v>22</v>
      </c>
      <c r="G11" s="6"/>
      <c r="H11" s="6"/>
      <c r="I11" s="6"/>
      <c r="J11" s="6"/>
      <c r="K11" s="6"/>
      <c r="L11" s="4">
        <f ca="1">_xll.DBRW($B$1,$B$2,$B$7,$B$3,$B$4,$B$5,$F11,$B$6,L$10,$A11,$B11)</f>
        <v>4133280.0537928604</v>
      </c>
      <c r="M11" s="4">
        <f ca="1">_xll.DBRW($B$1,$B$2,$B$7,$B$3,$B$4,$B$5,$F11,$B$6,M$10,$A11,$B11)</f>
        <v>4274798.0001934459</v>
      </c>
      <c r="N11" s="4">
        <f ca="1">_xll.DBRW($B$1,$B$2,$B$7,$B$3,$B$4,$B$5,$F11,$B$6,N$10,$A11,$B11)</f>
        <v>4627846.1775252456</v>
      </c>
      <c r="O11" s="4">
        <f ca="1">_xll.DBRW($B$1,$B$2,$B$7,$B$3,$B$4,$B$5,$F11,$B$6,O$10,$A11,$B11)</f>
        <v>4417550.2668327149</v>
      </c>
      <c r="P11" s="4">
        <f ca="1">_xll.DBRW($B$1,$B$2,$B$7,$B$3,$B$4,$B$5,$F11,$B$6,P$10,$A11,$B11)</f>
        <v>4496699.930137529</v>
      </c>
      <c r="Q11" s="4">
        <f ca="1">_xll.DBRW($B$1,$B$2,$B$7,$B$3,$B$4,$B$5,$F11,$B$6,Q$10,$A11,$B11)</f>
        <v>4476799.9555273764</v>
      </c>
      <c r="R11" s="4">
        <f ca="1">_xll.DBRW($B$1,$B$2,$B$7,$B$3,$B$4,$B$5,$F11,$B$6,R$10,$A11,$B11)</f>
        <v>5971746.6353008123</v>
      </c>
      <c r="S11" s="4">
        <f ca="1">_xll.DBRW($B$1,$B$2,$B$7,$B$3,$B$4,$B$5,$F11,$B$6,S$10,$A11,$B11)</f>
        <v>6863842.1574225873</v>
      </c>
      <c r="T11" s="4">
        <f ca="1">_xll.DBRW($B$1,$B$2,$B$7,$B$3,$B$4,$B$5,$F11,$B$6,T$10,$A11,$B11)</f>
        <v>4726044.5781377247</v>
      </c>
      <c r="U11" s="4">
        <f ca="1">_xll.DBRW($B$1,$B$2,$B$7,$B$3,$B$4,$B$5,$F11,$B$6,U$10,$A11,$B11)</f>
        <v>4427862.3679593047</v>
      </c>
      <c r="V11" s="4">
        <f ca="1">_xll.DBRW($B$1,$B$2,$B$7,$B$3,$B$4,$B$5,$F11,$B$6,V$10,$A11,$B11)</f>
        <v>5472161.8430519262</v>
      </c>
      <c r="W11" s="4">
        <f ca="1">_xll.DBRW($B$1,$B$2,$B$7,$B$3,$B$4,$B$5,$F11,$B$6,W$10,$A11,$B11)</f>
        <v>6501658.1749445358</v>
      </c>
      <c r="X11" s="4">
        <f ca="1">_xll.DBRW($B$1,$B$2,$B$7,$B$3,$B$4,$B$5,$F11,$B$6,X$10,$A11,$B11)</f>
        <v>6951311.6835140176</v>
      </c>
      <c r="Y11" s="4">
        <f ca="1">_xll.DBRW($B$1,$B$2,$B$7,$B$3,$B$4,$B$5,$F11,$B$6,Y$10,$A11,$B11)</f>
        <v>6897524.9512284268</v>
      </c>
      <c r="Z11" s="4">
        <f ca="1">_xll.DBRW($B$1,$B$2,$B$7,$B$3,$B$4,$B$5,$F11,$B$6,Z$10,$A11,$B11)</f>
        <v>6993611.9152008649</v>
      </c>
      <c r="AA11" s="4">
        <f ca="1">_xll.DBRW($B$1,$B$2,$B$7,$B$3,$B$4,$B$5,$F11,$B$6,AA$10,$A11,$B11)</f>
        <v>6580330.7947753649</v>
      </c>
      <c r="AB11" s="4">
        <f ca="1">_xll.DBRW($B$1,$B$2,$B$7,$B$3,$B$4,$B$5,$F11,$B$6,AB$10,$A11,$B11)</f>
        <v>6283998.6565851327</v>
      </c>
      <c r="AC11" s="4">
        <f ca="1">_xll.DBRW($B$1,$B$2,$B$7,$B$3,$B$4,$B$5,$F11,$B$6,AC$10,$A11,$B11)</f>
        <v>6511717.9687711373</v>
      </c>
      <c r="AD11" s="4">
        <f ca="1">_xll.DBRW($B$1,$B$2,$B$7,$B$3,$B$4,$B$5,$F11,$B$6,AD$10,$A11,$B11)</f>
        <v>5060084.9690017365</v>
      </c>
      <c r="AE11" s="4">
        <f ca="1">_xll.DBRW($B$1,$B$2,$B$7,$B$3,$B$4,$B$5,$F11,$B$6,AE$10,$A11,$B11)</f>
        <v>4848276.4963573972</v>
      </c>
    </row>
    <row r="12" spans="1:31">
      <c r="A12" s="1" t="s">
        <v>153</v>
      </c>
      <c r="B12" s="5" t="s">
        <v>36</v>
      </c>
      <c r="C12" s="5" t="s">
        <v>37</v>
      </c>
      <c r="D12" s="5" t="s">
        <v>38</v>
      </c>
      <c r="E12" s="5" t="s">
        <v>21</v>
      </c>
      <c r="F12" s="5" t="s">
        <v>22</v>
      </c>
      <c r="G12" s="6"/>
      <c r="H12" s="6"/>
      <c r="I12" s="6"/>
      <c r="J12" s="6"/>
      <c r="K12" s="6"/>
      <c r="L12" s="4">
        <f ca="1">_xll.DBRW($B$1,$B$2,$B$7,$B$3,$B$4,$B$5,$F12,$B$6,L$10,$A12,$B12)</f>
        <v>4174797.3757617618</v>
      </c>
      <c r="M12" s="4">
        <f ca="1">_xll.DBRW($B$1,$B$2,$B$7,$B$3,$B$4,$B$5,$F12,$B$6,M$10,$A12,$B12)</f>
        <v>4274798.0001934459</v>
      </c>
      <c r="N12" s="4">
        <f ca="1">_xll.DBRW($B$1,$B$2,$B$7,$B$3,$B$4,$B$5,$F12,$B$6,N$10,$A12,$B12)</f>
        <v>4612869.3290542895</v>
      </c>
      <c r="O12" s="4">
        <f ca="1">_xll.DBRW($B$1,$B$2,$B$7,$B$3,$B$4,$B$5,$F12,$B$6,O$10,$A12,$B12)</f>
        <v>4417550.2668327149</v>
      </c>
      <c r="P12" s="4">
        <f ca="1">_xll.DBRW($B$1,$B$2,$B$7,$B$3,$B$4,$B$5,$F12,$B$6,P$10,$A12,$B12)</f>
        <v>4496699.930137529</v>
      </c>
      <c r="Q12" s="4">
        <f ca="1">_xll.DBRW($B$1,$B$2,$B$7,$B$3,$B$4,$B$5,$F12,$B$6,Q$10,$A12,$B12)</f>
        <v>4476799.9555273764</v>
      </c>
      <c r="R12" s="4">
        <f ca="1">_xll.DBRW($B$1,$B$2,$B$7,$B$3,$B$4,$B$5,$F12,$B$6,R$10,$A12,$B12)</f>
        <v>5971746.6353008123</v>
      </c>
      <c r="S12" s="4">
        <f ca="1">_xll.DBRW($B$1,$B$2,$B$7,$B$3,$B$4,$B$5,$F12,$B$6,S$10,$A12,$B12)</f>
        <v>6863842.1574225873</v>
      </c>
      <c r="T12" s="4">
        <f ca="1">_xll.DBRW($B$1,$B$2,$B$7,$B$3,$B$4,$B$5,$F12,$B$6,T$10,$A12,$B12)</f>
        <v>4988073.2593852794</v>
      </c>
      <c r="U12" s="4">
        <f ca="1">_xll.DBRW($B$1,$B$2,$B$7,$B$3,$B$4,$B$5,$F12,$B$6,U$10,$A12,$B12)</f>
        <v>4645302.0378144486</v>
      </c>
      <c r="V12" s="4">
        <f ca="1">_xll.DBRW($B$1,$B$2,$B$7,$B$3,$B$4,$B$5,$F12,$B$6,V$10,$A12,$B12)</f>
        <v>5641123.0154967569</v>
      </c>
      <c r="W12" s="4">
        <f ca="1">_xll.DBRW($B$1,$B$2,$B$7,$B$3,$B$4,$B$5,$F12,$B$6,W$10,$A12,$B12)</f>
        <v>5970076.0600119643</v>
      </c>
      <c r="X12" s="4">
        <f ca="1">_xll.DBRW($B$1,$B$2,$B$7,$B$3,$B$4,$B$5,$F12,$B$6,X$10,$A12,$B12)</f>
        <v>6333299.9304964337</v>
      </c>
      <c r="Y12" s="4">
        <f ca="1">_xll.DBRW($B$1,$B$2,$B$7,$B$3,$B$4,$B$5,$F12,$B$6,Y$10,$A12,$B12)</f>
        <v>6257040.4914715039</v>
      </c>
      <c r="Z12" s="4">
        <f ca="1">_xll.DBRW($B$1,$B$2,$B$7,$B$3,$B$4,$B$5,$F12,$B$6,Z$10,$A12,$B12)</f>
        <v>6371839.4272992676</v>
      </c>
      <c r="AA12" s="4">
        <f ca="1">_xll.DBRW($B$1,$B$2,$B$7,$B$3,$B$4,$B$5,$F12,$B$6,AA$10,$A12,$B12)</f>
        <v>6055519.1362963468</v>
      </c>
      <c r="AB12" s="4">
        <f ca="1">_xll.DBRW($B$1,$B$2,$B$7,$B$3,$B$4,$B$5,$F12,$B$6,AB$10,$A12,$B12)</f>
        <v>5705989.3461916884</v>
      </c>
      <c r="AC12" s="4">
        <f ca="1">_xll.DBRW($B$1,$B$2,$B$7,$B$3,$B$4,$B$5,$F12,$B$6,AC$10,$A12,$B12)</f>
        <v>6096958.862479982</v>
      </c>
      <c r="AD12" s="4">
        <f ca="1">_xll.DBRW($B$1,$B$2,$B$7,$B$3,$B$4,$B$5,$F12,$B$6,AD$10,$A12,$B12)</f>
        <v>5292005.5300809834</v>
      </c>
      <c r="AE12" s="4">
        <f ca="1">_xll.DBRW($B$1,$B$2,$B$7,$B$3,$B$4,$B$5,$F12,$B$6,AE$10,$A12,$B12)</f>
        <v>5121969.5243775733</v>
      </c>
    </row>
    <row r="13" spans="1:31">
      <c r="A13" s="1" t="s">
        <v>153</v>
      </c>
      <c r="B13" s="5" t="s">
        <v>160</v>
      </c>
      <c r="C13" s="5" t="s">
        <v>161</v>
      </c>
      <c r="D13" s="5" t="s">
        <v>21</v>
      </c>
      <c r="E13" s="5" t="s">
        <v>69</v>
      </c>
      <c r="F13" s="5" t="s">
        <v>22</v>
      </c>
      <c r="G13" s="6"/>
      <c r="H13" s="6"/>
      <c r="I13" s="6"/>
      <c r="J13" s="6"/>
      <c r="K13" s="6"/>
      <c r="L13" s="4">
        <f ca="1">_xll.DBRW($B$1,$B$2,$B$7,$B$3,$B$4,$B$5,$F13,$B$6,L$10,$A13,$B13)</f>
        <v>5685833.6599999992</v>
      </c>
      <c r="M13" s="4">
        <f ca="1">_xll.DBRW($B$1,$B$2,$B$7,$B$3,$B$4,$B$5,$F13,$B$6,M$10,$A13,$B13)</f>
        <v>6060689.0726104751</v>
      </c>
      <c r="N13" s="4">
        <f ca="1">_xll.DBRW($B$1,$B$2,$B$7,$B$3,$B$4,$B$5,$F13,$B$6,N$10,$A13,$B13)</f>
        <v>5635203.3499999996</v>
      </c>
      <c r="O13" s="4">
        <f ca="1">_xll.DBRW($B$1,$B$2,$B$7,$B$3,$B$4,$B$5,$F13,$B$6,O$10,$A13,$B13)</f>
        <v>5430474.6000000006</v>
      </c>
      <c r="P13" s="4">
        <f ca="1">_xll.DBRW($B$1,$B$2,$B$7,$B$3,$B$4,$B$5,$F13,$B$6,P$10,$A13,$B13)</f>
        <v>5121423.2</v>
      </c>
      <c r="Q13" s="4">
        <f ca="1">_xll.DBRW($B$1,$B$2,$B$7,$B$3,$B$4,$B$5,$F13,$B$6,Q$10,$A13,$B13)</f>
        <v>5761601.0999999996</v>
      </c>
      <c r="R13" s="4">
        <f ca="1">_xll.DBRW($B$1,$B$2,$B$7,$B$3,$B$4,$B$5,$F13,$B$6,R$10,$A13,$B13)</f>
        <v>5441512.1499999994</v>
      </c>
      <c r="S13" s="4">
        <f ca="1">_xll.DBRW($B$1,$B$2,$B$7,$B$3,$B$4,$B$5,$F13,$B$6,S$10,$A13,$B13)</f>
        <v>5629150.5</v>
      </c>
      <c r="T13" s="4">
        <f ca="1">_xll.DBRW($B$1,$B$2,$B$7,$B$3,$B$4,$B$5,$F13,$B$6,T$10,$A13,$B13)</f>
        <v>6792707.9969752813</v>
      </c>
      <c r="U13" s="4">
        <f ca="1">_xll.DBRW($B$1,$B$2,$B$7,$B$3,$B$4,$B$5,$F13,$B$6,U$10,$A13,$B13)</f>
        <v>6120997.6515498646</v>
      </c>
      <c r="V13" s="4">
        <f ca="1">_xll.DBRW($B$1,$B$2,$B$7,$B$3,$B$4,$B$5,$F13,$B$6,V$10,$A13,$B13)</f>
        <v>6761145.9767938657</v>
      </c>
      <c r="W13" s="4">
        <f ca="1">_xll.DBRW($B$1,$B$2,$B$7,$B$3,$B$4,$B$5,$F13,$B$6,W$10,$A13,$B13)</f>
        <v>6618174.4295650171</v>
      </c>
      <c r="X13" s="4">
        <f ca="1">_xll.DBRW($B$1,$B$2,$B$7,$B$3,$B$4,$B$5,$F13,$B$6,X$10,$A13,$B13)</f>
        <v>6878482.9628217882</v>
      </c>
      <c r="Y13" s="4">
        <f ca="1">_xll.DBRW($B$1,$B$2,$B$7,$B$3,$B$4,$B$5,$F13,$B$6,Y$10,$A13,$B13)</f>
        <v>6653378.4213790763</v>
      </c>
      <c r="Z13" s="4">
        <f ca="1">_xll.DBRW($B$1,$B$2,$B$7,$B$3,$B$4,$B$5,$F13,$B$6,Z$10,$A13,$B13)</f>
        <v>6708871.7655034</v>
      </c>
      <c r="AA13" s="4">
        <f ca="1">_xll.DBRW($B$1,$B$2,$B$7,$B$3,$B$4,$B$5,$F13,$B$6,AA$10,$A13,$B13)</f>
        <v>6473709.212331973</v>
      </c>
      <c r="AB13" s="4">
        <f ca="1">_xll.DBRW($B$1,$B$2,$B$7,$B$3,$B$4,$B$5,$F13,$B$6,AB$10,$A13,$B13)</f>
        <v>6027104.543520662</v>
      </c>
      <c r="AC13" s="4">
        <f ca="1">_xll.DBRW($B$1,$B$2,$B$7,$B$3,$B$4,$B$5,$F13,$B$6,AC$10,$A13,$B13)</f>
        <v>6064269.6617866475</v>
      </c>
      <c r="AD13" s="4">
        <f ca="1">_xll.DBRW($B$1,$B$2,$B$7,$B$3,$B$4,$B$5,$F13,$B$6,AD$10,$A13,$B13)</f>
        <v>6145405.4357922841</v>
      </c>
      <c r="AE13" s="4">
        <f ca="1">_xll.DBRW($B$1,$B$2,$B$7,$B$3,$B$4,$B$5,$F13,$B$6,AE$10,$A13,$B13)</f>
        <v>5704068.9704119246</v>
      </c>
    </row>
    <row r="14" spans="1:31">
      <c r="A14" s="1" t="s">
        <v>153</v>
      </c>
      <c r="B14" s="5" t="s">
        <v>67</v>
      </c>
      <c r="C14" s="5" t="s">
        <v>68</v>
      </c>
      <c r="D14" s="5" t="s">
        <v>69</v>
      </c>
      <c r="E14" s="5" t="s">
        <v>21</v>
      </c>
      <c r="F14" s="5" t="s">
        <v>22</v>
      </c>
      <c r="G14" s="6"/>
      <c r="H14" s="6"/>
      <c r="I14" s="6"/>
      <c r="J14" s="6"/>
      <c r="K14" s="6"/>
      <c r="L14" s="4">
        <f ca="1">_xll.DBRW($B$1,$B$2,$B$7,$B$3,$B$4,$B$5,$F14,$B$6,L$10,$A14,$B14)</f>
        <v>5685833.6599999992</v>
      </c>
      <c r="M14" s="4">
        <f ca="1">_xll.DBRW($B$1,$B$2,$B$7,$B$3,$B$4,$B$5,$F14,$B$6,M$10,$A14,$B14)</f>
        <v>6060689.0726104751</v>
      </c>
      <c r="N14" s="4">
        <f ca="1">_xll.DBRW($B$1,$B$2,$B$7,$B$3,$B$4,$B$5,$F14,$B$6,N$10,$A14,$B14)</f>
        <v>5635203.3499999996</v>
      </c>
      <c r="O14" s="4">
        <f ca="1">_xll.DBRW($B$1,$B$2,$B$7,$B$3,$B$4,$B$5,$F14,$B$6,O$10,$A14,$B14)</f>
        <v>5430474.6000000006</v>
      </c>
      <c r="P14" s="4">
        <f ca="1">_xll.DBRW($B$1,$B$2,$B$7,$B$3,$B$4,$B$5,$F14,$B$6,P$10,$A14,$B14)</f>
        <v>5121423.2</v>
      </c>
      <c r="Q14" s="4">
        <f ca="1">_xll.DBRW($B$1,$B$2,$B$7,$B$3,$B$4,$B$5,$F14,$B$6,Q$10,$A14,$B14)</f>
        <v>5761601.0999999996</v>
      </c>
      <c r="R14" s="4">
        <f ca="1">_xll.DBRW($B$1,$B$2,$B$7,$B$3,$B$4,$B$5,$F14,$B$6,R$10,$A14,$B14)</f>
        <v>5441512.1499999994</v>
      </c>
      <c r="S14" s="4">
        <f ca="1">_xll.DBRW($B$1,$B$2,$B$7,$B$3,$B$4,$B$5,$F14,$B$6,S$10,$A14,$B14)</f>
        <v>5629150.5</v>
      </c>
      <c r="T14" s="4">
        <f ca="1">_xll.DBRW($B$1,$B$2,$B$7,$B$3,$B$4,$B$5,$F14,$B$6,T$10,$A14,$B14)</f>
        <v>6792707.9969752813</v>
      </c>
      <c r="U14" s="4">
        <f ca="1">_xll.DBRW($B$1,$B$2,$B$7,$B$3,$B$4,$B$5,$F14,$B$6,U$10,$A14,$B14)</f>
        <v>6120997.6515498646</v>
      </c>
      <c r="V14" s="4">
        <f ca="1">_xll.DBRW($B$1,$B$2,$B$7,$B$3,$B$4,$B$5,$F14,$B$6,V$10,$A14,$B14)</f>
        <v>6761145.9767938657</v>
      </c>
      <c r="W14" s="4">
        <f ca="1">_xll.DBRW($B$1,$B$2,$B$7,$B$3,$B$4,$B$5,$F14,$B$6,W$10,$A14,$B14)</f>
        <v>6618174.4295650171</v>
      </c>
      <c r="X14" s="4">
        <f ca="1">_xll.DBRW($B$1,$B$2,$B$7,$B$3,$B$4,$B$5,$F14,$B$6,X$10,$A14,$B14)</f>
        <v>6878482.9628217882</v>
      </c>
      <c r="Y14" s="4">
        <f ca="1">_xll.DBRW($B$1,$B$2,$B$7,$B$3,$B$4,$B$5,$F14,$B$6,Y$10,$A14,$B14)</f>
        <v>6653378.4213790763</v>
      </c>
      <c r="Z14" s="4">
        <f ca="1">_xll.DBRW($B$1,$B$2,$B$7,$B$3,$B$4,$B$5,$F14,$B$6,Z$10,$A14,$B14)</f>
        <v>6708871.7655034</v>
      </c>
      <c r="AA14" s="4">
        <f ca="1">_xll.DBRW($B$1,$B$2,$B$7,$B$3,$B$4,$B$5,$F14,$B$6,AA$10,$A14,$B14)</f>
        <v>6473709.212331973</v>
      </c>
      <c r="AB14" s="4">
        <f ca="1">_xll.DBRW($B$1,$B$2,$B$7,$B$3,$B$4,$B$5,$F14,$B$6,AB$10,$A14,$B14)</f>
        <v>6027104.543520662</v>
      </c>
      <c r="AC14" s="4">
        <f ca="1">_xll.DBRW($B$1,$B$2,$B$7,$B$3,$B$4,$B$5,$F14,$B$6,AC$10,$A14,$B14)</f>
        <v>6064269.6617866475</v>
      </c>
      <c r="AD14" s="4">
        <f ca="1">_xll.DBRW($B$1,$B$2,$B$7,$B$3,$B$4,$B$5,$F14,$B$6,AD$10,$A14,$B14)</f>
        <v>6145405.4357922841</v>
      </c>
      <c r="AE14" s="4">
        <f ca="1">_xll.DBRW($B$1,$B$2,$B$7,$B$3,$B$4,$B$5,$F14,$B$6,AE$10,$A14,$B14)</f>
        <v>5520066.7455599261</v>
      </c>
    </row>
    <row r="15" spans="1:31">
      <c r="A15" s="1" t="s">
        <v>153</v>
      </c>
      <c r="B15" s="5" t="s">
        <v>162</v>
      </c>
      <c r="C15" s="5" t="s">
        <v>163</v>
      </c>
      <c r="D15" s="5" t="s">
        <v>21</v>
      </c>
      <c r="E15" s="5" t="s">
        <v>54</v>
      </c>
      <c r="F15" s="5" t="s">
        <v>22</v>
      </c>
      <c r="G15" s="6"/>
      <c r="H15" s="6"/>
      <c r="I15" s="6"/>
      <c r="J15" s="6"/>
      <c r="K15" s="6"/>
      <c r="L15" s="4">
        <f ca="1">_xll.DBRW($B$1,$B$2,$B$7,$B$3,$B$4,$B$5,$F15,$B$6,L$10,$A15,$B15)</f>
        <v>6466996.7999999998</v>
      </c>
      <c r="M15" s="4">
        <f ca="1">_xll.DBRW($B$1,$B$2,$B$7,$B$3,$B$4,$B$5,$F15,$B$6,M$10,$A15,$B15)</f>
        <v>7854032.6542387018</v>
      </c>
      <c r="N15" s="4">
        <f ca="1">_xll.DBRW($B$1,$B$2,$B$7,$B$3,$B$4,$B$5,$F15,$B$6,N$10,$A15,$B15)</f>
        <v>9221107.1999999993</v>
      </c>
      <c r="O15" s="4">
        <f ca="1">_xll.DBRW($B$1,$B$2,$B$7,$B$3,$B$4,$B$5,$F15,$B$6,O$10,$A15,$B15)</f>
        <v>11377124</v>
      </c>
      <c r="P15" s="4">
        <f ca="1">_xll.DBRW($B$1,$B$2,$B$7,$B$3,$B$4,$B$5,$F15,$B$6,P$10,$A15,$B15)</f>
        <v>10894224</v>
      </c>
      <c r="Q15" s="4">
        <f ca="1">_xll.DBRW($B$1,$B$2,$B$7,$B$3,$B$4,$B$5,$F15,$B$6,Q$10,$A15,$B15)</f>
        <v>10778328</v>
      </c>
      <c r="R15" s="4">
        <f ca="1">_xll.DBRW($B$1,$B$2,$B$7,$B$3,$B$4,$B$5,$F15,$B$6,R$10,$A15,$B15)</f>
        <v>10307017.6</v>
      </c>
      <c r="S15" s="4">
        <f ca="1">_xll.DBRW($B$1,$B$2,$B$7,$B$3,$B$4,$B$5,$F15,$B$6,S$10,$A15,$B15)</f>
        <v>10778328.000000002</v>
      </c>
      <c r="T15" s="4">
        <f ca="1">_xll.DBRW($B$1,$B$2,$B$7,$B$3,$B$4,$B$5,$F15,$B$6,T$10,$A15,$B15)</f>
        <v>9806067.5572703704</v>
      </c>
      <c r="U15" s="4">
        <f ca="1">_xll.DBRW($B$1,$B$2,$B$7,$B$3,$B$4,$B$5,$F15,$B$6,U$10,$A15,$B15)</f>
        <v>9510138.0672035273</v>
      </c>
      <c r="V15" s="4">
        <f ca="1">_xll.DBRW($B$1,$B$2,$B$7,$B$3,$B$4,$B$5,$F15,$B$6,V$10,$A15,$B15)</f>
        <v>11862377.655612875</v>
      </c>
      <c r="W15" s="4">
        <f ca="1">_xll.DBRW($B$1,$B$2,$B$7,$B$3,$B$4,$B$5,$F15,$B$6,W$10,$A15,$B15)</f>
        <v>11434869.68294456</v>
      </c>
      <c r="X15" s="4">
        <f ca="1">_xll.DBRW($B$1,$B$2,$B$7,$B$3,$B$4,$B$5,$F15,$B$6,X$10,$A15,$B15)</f>
        <v>11862377.655612873</v>
      </c>
      <c r="Y15" s="4">
        <f ca="1">_xll.DBRW($B$1,$B$2,$B$7,$B$3,$B$4,$B$5,$F15,$B$6,Y$10,$A15,$B15)</f>
        <v>11479720.311883422</v>
      </c>
      <c r="Z15" s="4">
        <f ca="1">_xll.DBRW($B$1,$B$2,$B$7,$B$3,$B$4,$B$5,$F15,$B$6,Z$10,$A15,$B15)</f>
        <v>11862377.655612873</v>
      </c>
      <c r="AA15" s="4">
        <f ca="1">_xll.DBRW($B$1,$B$2,$B$7,$B$3,$B$4,$B$5,$F15,$B$6,AA$10,$A15,$B15)</f>
        <v>11862377.655612869</v>
      </c>
      <c r="AB15" s="4">
        <f ca="1">_xll.DBRW($B$1,$B$2,$B$7,$B$3,$B$4,$B$5,$F15,$B$6,AB$10,$A15,$B15)</f>
        <v>11041807.42102397</v>
      </c>
      <c r="AC15" s="4">
        <f ca="1">_xll.DBRW($B$1,$B$2,$B$7,$B$3,$B$4,$B$5,$F15,$B$6,AC$10,$A15,$B15)</f>
        <v>11286361.093662055</v>
      </c>
      <c r="AD15" s="4">
        <f ca="1">_xll.DBRW($B$1,$B$2,$B$7,$B$3,$B$4,$B$5,$F15,$B$6,AD$10,$A15,$B15)</f>
        <v>11479720.311883425</v>
      </c>
      <c r="AE15" s="4">
        <f ca="1">_xll.DBRW($B$1,$B$2,$B$7,$B$3,$B$4,$B$5,$F15,$B$6,AE$10,$A15,$B15)</f>
        <v>11066415.551764702</v>
      </c>
    </row>
    <row r="16" spans="1:31">
      <c r="A16" s="1" t="s">
        <v>153</v>
      </c>
      <c r="B16" s="5" t="s">
        <v>52</v>
      </c>
      <c r="C16" s="5" t="s">
        <v>53</v>
      </c>
      <c r="D16" s="5" t="s">
        <v>54</v>
      </c>
      <c r="E16" s="5" t="s">
        <v>21</v>
      </c>
      <c r="F16" s="5" t="s">
        <v>22</v>
      </c>
      <c r="G16" s="6"/>
      <c r="H16" s="6"/>
      <c r="I16" s="6"/>
      <c r="J16" s="6"/>
      <c r="K16" s="6"/>
      <c r="L16" s="4">
        <f ca="1">_xll.DBRW($B$1,$B$2,$B$7,$B$3,$B$4,$B$5,$F16,$B$6,L$10,$A16,$B16)</f>
        <v>6466996.7999999998</v>
      </c>
      <c r="M16" s="4">
        <f ca="1">_xll.DBRW($B$1,$B$2,$B$7,$B$3,$B$4,$B$5,$F16,$B$6,M$10,$A16,$B16)</f>
        <v>7854032.6542387018</v>
      </c>
      <c r="N16" s="4">
        <f ca="1">_xll.DBRW($B$1,$B$2,$B$7,$B$3,$B$4,$B$5,$F16,$B$6,N$10,$A16,$B16)</f>
        <v>9591974.4000000004</v>
      </c>
      <c r="O16" s="4">
        <f ca="1">_xll.DBRW($B$1,$B$2,$B$7,$B$3,$B$4,$B$5,$F16,$B$6,O$10,$A16,$B16)</f>
        <v>11377124</v>
      </c>
      <c r="P16" s="4">
        <f ca="1">_xll.DBRW($B$1,$B$2,$B$7,$B$3,$B$4,$B$5,$F16,$B$6,P$10,$A16,$B16)</f>
        <v>10894224</v>
      </c>
      <c r="Q16" s="4">
        <f ca="1">_xll.DBRW($B$1,$B$2,$B$7,$B$3,$B$4,$B$5,$F16,$B$6,Q$10,$A16,$B16)</f>
        <v>10778328</v>
      </c>
      <c r="R16" s="4">
        <f ca="1">_xll.DBRW($B$1,$B$2,$B$7,$B$3,$B$4,$B$5,$F16,$B$6,R$10,$A16,$B16)</f>
        <v>10307017.6</v>
      </c>
      <c r="S16" s="4">
        <f ca="1">_xll.DBRW($B$1,$B$2,$B$7,$B$3,$B$4,$B$5,$F16,$B$6,S$10,$A16,$B16)</f>
        <v>10778328.000000002</v>
      </c>
      <c r="T16" s="4">
        <f ca="1">_xll.DBRW($B$1,$B$2,$B$7,$B$3,$B$4,$B$5,$F16,$B$6,T$10,$A16,$B16)</f>
        <v>9806067.5572703704</v>
      </c>
      <c r="U16" s="4">
        <f ca="1">_xll.DBRW($B$1,$B$2,$B$7,$B$3,$B$4,$B$5,$F16,$B$6,U$10,$A16,$B16)</f>
        <v>9510138.0672035273</v>
      </c>
      <c r="V16" s="4">
        <f ca="1">_xll.DBRW($B$1,$B$2,$B$7,$B$3,$B$4,$B$5,$F16,$B$6,V$10,$A16,$B16)</f>
        <v>11862377.655612875</v>
      </c>
      <c r="W16" s="4">
        <f ca="1">_xll.DBRW($B$1,$B$2,$B$7,$B$3,$B$4,$B$5,$F16,$B$6,W$10,$A16,$B16)</f>
        <v>11434869.68294456</v>
      </c>
      <c r="X16" s="4">
        <f ca="1">_xll.DBRW($B$1,$B$2,$B$7,$B$3,$B$4,$B$5,$F16,$B$6,X$10,$A16,$B16)</f>
        <v>11862377.655612873</v>
      </c>
      <c r="Y16" s="4">
        <f ca="1">_xll.DBRW($B$1,$B$2,$B$7,$B$3,$B$4,$B$5,$F16,$B$6,Y$10,$A16,$B16)</f>
        <v>11479720.311883422</v>
      </c>
      <c r="Z16" s="4">
        <f ca="1">_xll.DBRW($B$1,$B$2,$B$7,$B$3,$B$4,$B$5,$F16,$B$6,Z$10,$A16,$B16)</f>
        <v>11862377.655612873</v>
      </c>
      <c r="AA16" s="4">
        <f ca="1">_xll.DBRW($B$1,$B$2,$B$7,$B$3,$B$4,$B$5,$F16,$B$6,AA$10,$A16,$B16)</f>
        <v>11862377.655612869</v>
      </c>
      <c r="AB16" s="4">
        <f ca="1">_xll.DBRW($B$1,$B$2,$B$7,$B$3,$B$4,$B$5,$F16,$B$6,AB$10,$A16,$B16)</f>
        <v>11041807.42102397</v>
      </c>
      <c r="AC16" s="4">
        <f ca="1">_xll.DBRW($B$1,$B$2,$B$7,$B$3,$B$4,$B$5,$F16,$B$6,AC$10,$A16,$B16)</f>
        <v>11286361.093662055</v>
      </c>
      <c r="AD16" s="4">
        <f ca="1">_xll.DBRW($B$1,$B$2,$B$7,$B$3,$B$4,$B$5,$F16,$B$6,AD$10,$A16,$B16)</f>
        <v>11479720.311883425</v>
      </c>
      <c r="AE16" s="4">
        <f ca="1">_xll.DBRW($B$1,$B$2,$B$7,$B$3,$B$4,$B$5,$F16,$B$6,AE$10,$A16,$B16)</f>
        <v>10709434.404933581</v>
      </c>
    </row>
    <row r="17" spans="1:31">
      <c r="A17" s="1" t="s">
        <v>153</v>
      </c>
      <c r="B17" s="5" t="s">
        <v>164</v>
      </c>
      <c r="C17" s="5" t="s">
        <v>159</v>
      </c>
      <c r="D17" s="5" t="s">
        <v>21</v>
      </c>
      <c r="E17" s="5" t="s">
        <v>38</v>
      </c>
      <c r="F17" s="5" t="s">
        <v>22</v>
      </c>
      <c r="G17" s="6"/>
      <c r="H17" s="6"/>
      <c r="I17" s="6"/>
      <c r="J17" s="6"/>
      <c r="K17" s="6"/>
      <c r="L17" s="4">
        <f ca="1">_xll.DBRW($B$1,$B$2,$B$7,$B$3,$B$4,$B$5,$F17,$B$6,L$10,$A17,$B17)</f>
        <v>4691457.3824858693</v>
      </c>
      <c r="M17" s="4">
        <f ca="1">_xll.DBRW($B$1,$B$2,$B$7,$B$3,$B$4,$B$5,$F17,$B$6,M$10,$A17,$B17)</f>
        <v>4967473.6020766431</v>
      </c>
      <c r="N17" s="4">
        <f ca="1">_xll.DBRW($B$1,$B$2,$B$7,$B$3,$B$4,$B$5,$F17,$B$6,N$10,$A17,$B17)</f>
        <v>5186981.8537742496</v>
      </c>
      <c r="O17" s="4">
        <f ca="1">_xll.DBRW($B$1,$B$2,$B$7,$B$3,$B$4,$B$5,$F17,$B$6,O$10,$A17,$B17)</f>
        <v>4765051.5270469263</v>
      </c>
      <c r="P17" s="4">
        <f ca="1">_xll.DBRW($B$1,$B$2,$B$7,$B$3,$B$4,$B$5,$F17,$B$6,P$10,$A17,$B17)</f>
        <v>4873097.8037539516</v>
      </c>
      <c r="Q17" s="4">
        <f ca="1">_xll.DBRW($B$1,$B$2,$B$7,$B$3,$B$4,$B$5,$F17,$B$6,Q$10,$A17,$B17)</f>
        <v>4837663.5033444203</v>
      </c>
      <c r="R17" s="4">
        <f ca="1">_xll.DBRW($B$1,$B$2,$B$7,$B$3,$B$4,$B$5,$F17,$B$6,R$10,$A17,$B17)</f>
        <v>3599133.4940028461</v>
      </c>
      <c r="S17" s="4">
        <f ca="1">_xll.DBRW($B$1,$B$2,$B$7,$B$3,$B$4,$B$5,$F17,$B$6,S$10,$A17,$B17)</f>
        <v>3482242.502152808</v>
      </c>
      <c r="T17" s="4">
        <f ca="1">_xll.DBRW($B$1,$B$2,$B$7,$B$3,$B$4,$B$5,$F17,$B$6,T$10,$A17,$B17)</f>
        <v>4821327.7349550175</v>
      </c>
      <c r="U17" s="4">
        <f ca="1">_xll.DBRW($B$1,$B$2,$B$7,$B$3,$B$4,$B$5,$F17,$B$6,U$10,$A17,$B17)</f>
        <v>4487164.0961016165</v>
      </c>
      <c r="V17" s="4">
        <f ca="1">_xll.DBRW($B$1,$B$2,$B$7,$B$3,$B$4,$B$5,$F17,$B$6,V$10,$A17,$B17)</f>
        <v>5450360.4014461422</v>
      </c>
      <c r="W17" s="4">
        <f ca="1">_xll.DBRW($B$1,$B$2,$B$7,$B$3,$B$4,$B$5,$F17,$B$6,W$10,$A17,$B17)</f>
        <v>5571389.4738125345</v>
      </c>
      <c r="X17" s="4">
        <f ca="1">_xll.DBRW($B$1,$B$2,$B$7,$B$3,$B$4,$B$5,$F17,$B$6,X$10,$A17,$B17)</f>
        <v>6058628.0402663974</v>
      </c>
      <c r="Y17" s="4">
        <f ca="1">_xll.DBRW($B$1,$B$2,$B$7,$B$3,$B$4,$B$5,$F17,$B$6,Y$10,$A17,$B17)</f>
        <v>6043545.6715525286</v>
      </c>
      <c r="Z17" s="4">
        <f ca="1">_xll.DBRW($B$1,$B$2,$B$7,$B$3,$B$4,$B$5,$F17,$B$6,Z$10,$A17,$B17)</f>
        <v>6026410.267353937</v>
      </c>
      <c r="AA17" s="4">
        <f ca="1">_xll.DBRW($B$1,$B$2,$B$7,$B$3,$B$4,$B$5,$F17,$B$6,AA$10,$A17,$B17)</f>
        <v>5788067.0411099251</v>
      </c>
      <c r="AB17" s="4">
        <f ca="1">_xll.DBRW($B$1,$B$2,$B$7,$B$3,$B$4,$B$5,$F17,$B$6,AB$10,$A17,$B17)</f>
        <v>5389813.3131559594</v>
      </c>
      <c r="AC17" s="4">
        <f ca="1">_xll.DBRW($B$1,$B$2,$B$7,$B$3,$B$4,$B$5,$F17,$B$6,AC$10,$A17,$B17)</f>
        <v>5868841.3540198468</v>
      </c>
      <c r="AD17" s="4">
        <f ca="1">_xll.DBRW($B$1,$B$2,$B$7,$B$3,$B$4,$B$5,$F17,$B$6,AD$10,$A17,$B17)</f>
        <v>5039001.2816308951</v>
      </c>
      <c r="AE17" s="4">
        <f ca="1">_xll.DBRW($B$1,$B$2,$B$7,$B$3,$B$4,$B$5,$F17,$B$6,AE$10,$A17,$B17)</f>
        <v>4882488.1248599188</v>
      </c>
    </row>
    <row r="18" spans="1:31">
      <c r="A18" s="1" t="s">
        <v>153</v>
      </c>
      <c r="B18" s="5" t="s">
        <v>39</v>
      </c>
      <c r="C18" s="5" t="s">
        <v>37</v>
      </c>
      <c r="D18" s="5" t="s">
        <v>38</v>
      </c>
      <c r="E18" s="5" t="s">
        <v>21</v>
      </c>
      <c r="F18" s="5" t="s">
        <v>22</v>
      </c>
      <c r="G18" s="6"/>
      <c r="H18" s="6"/>
      <c r="I18" s="6"/>
      <c r="J18" s="6"/>
      <c r="K18" s="6"/>
      <c r="L18" s="4">
        <f ca="1">_xll.DBRW($B$1,$B$2,$B$7,$B$3,$B$4,$B$5,$F18,$B$6,L$10,$A18,$B18)</f>
        <v>4719135.5971318036</v>
      </c>
      <c r="M18" s="4">
        <f ca="1">_xll.DBRW($B$1,$B$2,$B$7,$B$3,$B$4,$B$5,$F18,$B$6,M$10,$A18,$B18)</f>
        <v>4987264.3335590195</v>
      </c>
      <c r="N18" s="4">
        <f ca="1">_xll.DBRW($B$1,$B$2,$B$7,$B$3,$B$4,$B$5,$F18,$B$6,N$10,$A18,$B18)</f>
        <v>5251881.5304817241</v>
      </c>
      <c r="O18" s="4">
        <f ca="1">_xll.DBRW($B$1,$B$2,$B$7,$B$3,$B$4,$B$5,$F18,$B$6,O$10,$A18,$B18)</f>
        <v>4950702.8852435602</v>
      </c>
      <c r="P18" s="4">
        <f ca="1">_xll.DBRW($B$1,$B$2,$B$7,$B$3,$B$4,$B$5,$F18,$B$6,P$10,$A18,$B18)</f>
        <v>5058787.4214047194</v>
      </c>
      <c r="Q18" s="4">
        <f ca="1">_xll.DBRW($B$1,$B$2,$B$7,$B$3,$B$4,$B$5,$F18,$B$6,Q$10,$A18,$B18)</f>
        <v>4618007.4307601331</v>
      </c>
      <c r="R18" s="4">
        <f ca="1">_xll.DBRW($B$1,$B$2,$B$7,$B$3,$B$4,$B$5,$F18,$B$6,R$10,$A18,$B18)</f>
        <v>3599133.4940028461</v>
      </c>
      <c r="S18" s="4">
        <f ca="1">_xll.DBRW($B$1,$B$2,$B$7,$B$3,$B$4,$B$5,$F18,$B$6,S$10,$A18,$B18)</f>
        <v>3482242.502152808</v>
      </c>
      <c r="T18" s="4">
        <f ca="1">_xll.DBRW($B$1,$B$2,$B$7,$B$3,$B$4,$B$5,$F18,$B$6,T$10,$A18,$B18)</f>
        <v>4821327.7349550175</v>
      </c>
      <c r="U18" s="4">
        <f ca="1">_xll.DBRW($B$1,$B$2,$B$7,$B$3,$B$4,$B$5,$F18,$B$6,U$10,$A18,$B18)</f>
        <v>4487164.0961016165</v>
      </c>
      <c r="V18" s="4">
        <f ca="1">_xll.DBRW($B$1,$B$2,$B$7,$B$3,$B$4,$B$5,$F18,$B$6,V$10,$A18,$B18)</f>
        <v>5450360.4014461422</v>
      </c>
      <c r="W18" s="4">
        <f ca="1">_xll.DBRW($B$1,$B$2,$B$7,$B$3,$B$4,$B$5,$F18,$B$6,W$10,$A18,$B18)</f>
        <v>5571389.4738125345</v>
      </c>
      <c r="X18" s="4">
        <f ca="1">_xll.DBRW($B$1,$B$2,$B$7,$B$3,$B$4,$B$5,$F18,$B$6,X$10,$A18,$B18)</f>
        <v>6058628.0402663974</v>
      </c>
      <c r="Y18" s="4">
        <f ca="1">_xll.DBRW($B$1,$B$2,$B$7,$B$3,$B$4,$B$5,$F18,$B$6,Y$10,$A18,$B18)</f>
        <v>6043545.6715525286</v>
      </c>
      <c r="Z18" s="4">
        <f ca="1">_xll.DBRW($B$1,$B$2,$B$7,$B$3,$B$4,$B$5,$F18,$B$6,Z$10,$A18,$B18)</f>
        <v>6026410.267353937</v>
      </c>
      <c r="AA18" s="4">
        <f ca="1">_xll.DBRW($B$1,$B$2,$B$7,$B$3,$B$4,$B$5,$F18,$B$6,AA$10,$A18,$B18)</f>
        <v>5788067.0411099251</v>
      </c>
      <c r="AB18" s="4">
        <f ca="1">_xll.DBRW($B$1,$B$2,$B$7,$B$3,$B$4,$B$5,$F18,$B$6,AB$10,$A18,$B18)</f>
        <v>5389813.3131559594</v>
      </c>
      <c r="AC18" s="4">
        <f ca="1">_xll.DBRW($B$1,$B$2,$B$7,$B$3,$B$4,$B$5,$F18,$B$6,AC$10,$A18,$B18)</f>
        <v>5868841.3540198468</v>
      </c>
      <c r="AD18" s="4">
        <f ca="1">_xll.DBRW($B$1,$B$2,$B$7,$B$3,$B$4,$B$5,$F18,$B$6,AD$10,$A18,$B18)</f>
        <v>5039001.2816308951</v>
      </c>
      <c r="AE18" s="4">
        <f ca="1">_xll.DBRW($B$1,$B$2,$B$7,$B$3,$B$4,$B$5,$F18,$B$6,AE$10,$A18,$B18)</f>
        <v>4804290.1168541545</v>
      </c>
    </row>
    <row r="19" spans="1:31">
      <c r="A19" s="1" t="s">
        <v>153</v>
      </c>
      <c r="B19" s="5" t="s">
        <v>165</v>
      </c>
      <c r="C19" s="5" t="s">
        <v>166</v>
      </c>
      <c r="D19" s="5" t="s">
        <v>21</v>
      </c>
      <c r="E19" s="5" t="s">
        <v>31</v>
      </c>
      <c r="F19" s="5" t="s">
        <v>22</v>
      </c>
      <c r="G19" s="6"/>
      <c r="H19" s="6"/>
      <c r="I19" s="6"/>
      <c r="J19" s="6"/>
      <c r="K19" s="6"/>
      <c r="L19" s="4">
        <f ca="1">_xll.DBRW($B$1,$B$2,$B$7,$B$3,$B$4,$B$5,$F19,$B$6,L$10,$A19,$B19)</f>
        <v>4548492.879999999</v>
      </c>
      <c r="M19" s="4">
        <f ca="1">_xll.DBRW($B$1,$B$2,$B$7,$B$3,$B$4,$B$5,$F19,$B$6,M$10,$A19,$B19)</f>
        <v>4826237.3704813579</v>
      </c>
      <c r="N19" s="4">
        <f ca="1">_xll.DBRW($B$1,$B$2,$B$7,$B$3,$B$4,$B$5,$F19,$B$6,N$10,$A19,$B19)</f>
        <v>4699860.62</v>
      </c>
      <c r="O19" s="4">
        <f ca="1">_xll.DBRW($B$1,$B$2,$B$7,$B$3,$B$4,$B$5,$F19,$B$6,O$10,$A19,$B19)</f>
        <v>4364813.0399999991</v>
      </c>
      <c r="P19" s="4">
        <f ca="1">_xll.DBRW($B$1,$B$2,$B$7,$B$3,$B$4,$B$5,$F19,$B$6,P$10,$A19,$B19)</f>
        <v>4489017.6000000006</v>
      </c>
      <c r="Q19" s="4">
        <f ca="1">_xll.DBRW($B$1,$B$2,$B$7,$B$3,$B$4,$B$5,$F19,$B$6,Q$10,$A19,$B19)</f>
        <v>4629299.3999999994</v>
      </c>
      <c r="R19" s="4">
        <f ca="1">_xll.DBRW($B$1,$B$2,$B$7,$B$3,$B$4,$B$5,$F19,$B$6,R$10,$A19,$B19)</f>
        <v>4236825.5999999996</v>
      </c>
      <c r="S19" s="4">
        <f ca="1">_xll.DBRW($B$1,$B$2,$B$7,$B$3,$B$4,$B$5,$F19,$B$6,S$10,$A19,$B19)</f>
        <v>4221694.08</v>
      </c>
      <c r="T19" s="4">
        <f ca="1">_xll.DBRW($B$1,$B$2,$B$7,$B$3,$B$4,$B$5,$F19,$B$6,T$10,$A19,$B19)</f>
        <v>3908856.3981589219</v>
      </c>
      <c r="U19" s="4">
        <f ca="1">_xll.DBRW($B$1,$B$2,$B$7,$B$3,$B$4,$B$5,$F19,$B$6,U$10,$A19,$B19)</f>
        <v>3328959.675402028</v>
      </c>
      <c r="V19" s="4">
        <f ca="1">_xll.DBRW($B$1,$B$2,$B$7,$B$3,$B$4,$B$5,$F19,$B$6,V$10,$A19,$B19)</f>
        <v>4410659.1942100534</v>
      </c>
      <c r="W19" s="4">
        <f ca="1">_xll.DBRW($B$1,$B$2,$B$7,$B$3,$B$4,$B$5,$F19,$B$6,W$10,$A19,$B19)</f>
        <v>4020379.7779870573</v>
      </c>
      <c r="X19" s="4">
        <f ca="1">_xll.DBRW($B$1,$B$2,$B$7,$B$3,$B$4,$B$5,$F19,$B$6,X$10,$A19,$B19)</f>
        <v>4932667.9765407797</v>
      </c>
      <c r="Y19" s="4">
        <f ca="1">_xll.DBRW($B$1,$B$2,$B$7,$B$3,$B$4,$B$5,$F19,$B$6,Y$10,$A19,$B19)</f>
        <v>4915415.0834365645</v>
      </c>
      <c r="Z19" s="4">
        <f ca="1">_xll.DBRW($B$1,$B$2,$B$7,$B$3,$B$4,$B$5,$F19,$B$6,Z$10,$A19,$B19)</f>
        <v>4907127.3824579213</v>
      </c>
      <c r="AA19" s="4">
        <f ca="1">_xll.DBRW($B$1,$B$2,$B$7,$B$3,$B$4,$B$5,$F19,$B$6,AA$10,$A19,$B19)</f>
        <v>4157557.9657014138</v>
      </c>
      <c r="AB19" s="4">
        <f ca="1">_xll.DBRW($B$1,$B$2,$B$7,$B$3,$B$4,$B$5,$F19,$B$6,AB$10,$A19,$B19)</f>
        <v>4646126.3294066312</v>
      </c>
      <c r="AC19" s="4">
        <f ca="1">_xll.DBRW($B$1,$B$2,$B$7,$B$3,$B$4,$B$5,$F19,$B$6,AC$10,$A19,$B19)</f>
        <v>5072577.7179516889</v>
      </c>
      <c r="AD19" s="4">
        <f ca="1">_xll.DBRW($B$1,$B$2,$B$7,$B$3,$B$4,$B$5,$F19,$B$6,AD$10,$A19,$B19)</f>
        <v>4559901.7933223061</v>
      </c>
      <c r="AE19" s="4">
        <f ca="1">_xll.DBRW($B$1,$B$2,$B$7,$B$3,$B$4,$B$5,$F19,$B$6,AE$10,$A19,$B19)</f>
        <v>4367187.5309536057</v>
      </c>
    </row>
    <row r="20" spans="1:31">
      <c r="A20" s="1" t="s">
        <v>153</v>
      </c>
      <c r="B20" s="5" t="s">
        <v>29</v>
      </c>
      <c r="C20" s="5" t="s">
        <v>30</v>
      </c>
      <c r="D20" s="5" t="s">
        <v>31</v>
      </c>
      <c r="E20" s="5" t="s">
        <v>21</v>
      </c>
      <c r="F20" s="5" t="s">
        <v>22</v>
      </c>
      <c r="G20" s="6"/>
      <c r="H20" s="6"/>
      <c r="I20" s="6"/>
      <c r="J20" s="6"/>
      <c r="K20" s="6"/>
      <c r="L20" s="4">
        <f ca="1">_xll.DBRW($B$1,$B$2,$B$7,$B$3,$B$4,$B$5,$F20,$B$6,L$10,$A20,$B20)</f>
        <v>4548492.879999999</v>
      </c>
      <c r="M20" s="4">
        <f ca="1">_xll.DBRW($B$1,$B$2,$B$7,$B$3,$B$4,$B$5,$F20,$B$6,M$10,$A20,$B20)</f>
        <v>4826237.3704813579</v>
      </c>
      <c r="N20" s="4">
        <f ca="1">_xll.DBRW($B$1,$B$2,$B$7,$B$3,$B$4,$B$5,$F20,$B$6,N$10,$A20,$B20)</f>
        <v>4699860.62</v>
      </c>
      <c r="O20" s="4">
        <f ca="1">_xll.DBRW($B$1,$B$2,$B$7,$B$3,$B$4,$B$5,$F20,$B$6,O$10,$A20,$B20)</f>
        <v>4364813.0399999991</v>
      </c>
      <c r="P20" s="4">
        <f ca="1">_xll.DBRW($B$1,$B$2,$B$7,$B$3,$B$4,$B$5,$F20,$B$6,P$10,$A20,$B20)</f>
        <v>4489017.6000000006</v>
      </c>
      <c r="Q20" s="4">
        <f ca="1">_xll.DBRW($B$1,$B$2,$B$7,$B$3,$B$4,$B$5,$F20,$B$6,Q$10,$A20,$B20)</f>
        <v>4629299.3999999994</v>
      </c>
      <c r="R20" s="4">
        <f ca="1">_xll.DBRW($B$1,$B$2,$B$7,$B$3,$B$4,$B$5,$F20,$B$6,R$10,$A20,$B20)</f>
        <v>4236825.5999999996</v>
      </c>
      <c r="S20" s="4">
        <f ca="1">_xll.DBRW($B$1,$B$2,$B$7,$B$3,$B$4,$B$5,$F20,$B$6,S$10,$A20,$B20)</f>
        <v>4221694.08</v>
      </c>
      <c r="T20" s="4">
        <f ca="1">_xll.DBRW($B$1,$B$2,$B$7,$B$3,$B$4,$B$5,$F20,$B$6,T$10,$A20,$B20)</f>
        <v>3908856.3981589219</v>
      </c>
      <c r="U20" s="4">
        <f ca="1">_xll.DBRW($B$1,$B$2,$B$7,$B$3,$B$4,$B$5,$F20,$B$6,U$10,$A20,$B20)</f>
        <v>3328959.675402028</v>
      </c>
      <c r="V20" s="4">
        <f ca="1">_xll.DBRW($B$1,$B$2,$B$7,$B$3,$B$4,$B$5,$F20,$B$6,V$10,$A20,$B20)</f>
        <v>4410659.1942100534</v>
      </c>
      <c r="W20" s="4">
        <f ca="1">_xll.DBRW($B$1,$B$2,$B$7,$B$3,$B$4,$B$5,$F20,$B$6,W$10,$A20,$B20)</f>
        <v>4020379.7779870573</v>
      </c>
      <c r="X20" s="4">
        <f ca="1">_xll.DBRW($B$1,$B$2,$B$7,$B$3,$B$4,$B$5,$F20,$B$6,X$10,$A20,$B20)</f>
        <v>4932667.9765407797</v>
      </c>
      <c r="Y20" s="4">
        <f ca="1">_xll.DBRW($B$1,$B$2,$B$7,$B$3,$B$4,$B$5,$F20,$B$6,Y$10,$A20,$B20)</f>
        <v>4915415.0834365645</v>
      </c>
      <c r="Z20" s="4">
        <f ca="1">_xll.DBRW($B$1,$B$2,$B$7,$B$3,$B$4,$B$5,$F20,$B$6,Z$10,$A20,$B20)</f>
        <v>4907127.3824579213</v>
      </c>
      <c r="AA20" s="4">
        <f ca="1">_xll.DBRW($B$1,$B$2,$B$7,$B$3,$B$4,$B$5,$F20,$B$6,AA$10,$A20,$B20)</f>
        <v>4157557.9657014138</v>
      </c>
      <c r="AB20" s="4">
        <f ca="1">_xll.DBRW($B$1,$B$2,$B$7,$B$3,$B$4,$B$5,$F20,$B$6,AB$10,$A20,$B20)</f>
        <v>4646126.3294066312</v>
      </c>
      <c r="AC20" s="4">
        <f ca="1">_xll.DBRW($B$1,$B$2,$B$7,$B$3,$B$4,$B$5,$F20,$B$6,AC$10,$A20,$B20)</f>
        <v>4907111.3703732444</v>
      </c>
      <c r="AD20" s="4">
        <f ca="1">_xll.DBRW($B$1,$B$2,$B$7,$B$3,$B$4,$B$5,$F20,$B$6,AD$10,$A20,$B20)</f>
        <v>4559901.7933223061</v>
      </c>
      <c r="AE20" s="4">
        <f ca="1">_xll.DBRW($B$1,$B$2,$B$7,$B$3,$B$4,$B$5,$F20,$B$6,AE$10,$A20,$B20)</f>
        <v>4224439.8282053787</v>
      </c>
    </row>
    <row r="21" spans="1:31">
      <c r="A21" s="1" t="s">
        <v>153</v>
      </c>
      <c r="B21" s="5" t="s">
        <v>167</v>
      </c>
      <c r="C21" s="5" t="s">
        <v>168</v>
      </c>
      <c r="D21" s="5" t="s">
        <v>21</v>
      </c>
      <c r="E21" s="5" t="s">
        <v>76</v>
      </c>
      <c r="F21" s="5" t="s">
        <v>22</v>
      </c>
      <c r="G21" s="6"/>
      <c r="H21" s="6"/>
      <c r="I21" s="6"/>
      <c r="J21" s="6"/>
      <c r="K21" s="6"/>
      <c r="L21" s="4">
        <f ca="1">_xll.DBRW($B$1,$B$2,$B$7,$B$3,$B$4,$B$5,$F21,$B$6,L$10,$A21,$B21)</f>
        <v>7471006.1999999993</v>
      </c>
      <c r="M21" s="4">
        <f ca="1">_xll.DBRW($B$1,$B$2,$B$7,$B$3,$B$4,$B$5,$F21,$B$6,M$10,$A21,$B21)</f>
        <v>7548067.1879231865</v>
      </c>
      <c r="N21" s="4">
        <f ca="1">_xll.DBRW($B$1,$B$2,$B$7,$B$3,$B$4,$B$5,$F21,$B$6,N$10,$A21,$B21)</f>
        <v>6908672.3999999994</v>
      </c>
      <c r="O21" s="4">
        <f ca="1">_xll.DBRW($B$1,$B$2,$B$7,$B$3,$B$4,$B$5,$F21,$B$6,O$10,$A21,$B21)</f>
        <v>6908672.4000000004</v>
      </c>
      <c r="P21" s="4">
        <f ca="1">_xll.DBRW($B$1,$B$2,$B$7,$B$3,$B$4,$B$5,$F21,$B$6,P$10,$A21,$B21)</f>
        <v>6523072.0800000001</v>
      </c>
      <c r="Q21" s="4">
        <f ca="1">_xll.DBRW($B$1,$B$2,$B$7,$B$3,$B$4,$B$5,$F21,$B$6,Q$10,$A21,$B21)</f>
        <v>6367760.8399999999</v>
      </c>
      <c r="R21" s="4">
        <f ca="1">_xll.DBRW($B$1,$B$2,$B$7,$B$3,$B$4,$B$5,$F21,$B$6,R$10,$A21,$B21)</f>
        <v>6678383.3199999994</v>
      </c>
      <c r="S21" s="4">
        <f ca="1">_xll.DBRW($B$1,$B$2,$B$7,$B$3,$B$4,$B$5,$F21,$B$6,S$10,$A21,$B21)</f>
        <v>6587338.7999999998</v>
      </c>
      <c r="T21" s="4">
        <f ca="1">_xll.DBRW($B$1,$B$2,$B$7,$B$3,$B$4,$B$5,$F21,$B$6,T$10,$A21,$B21)</f>
        <v>9926105.8584826253</v>
      </c>
      <c r="U21" s="4">
        <f ca="1">_xll.DBRW($B$1,$B$2,$B$7,$B$3,$B$4,$B$5,$F21,$B$6,U$10,$A21,$B21)</f>
        <v>9409722.5976809561</v>
      </c>
      <c r="V21" s="4">
        <f ca="1">_xll.DBRW($B$1,$B$2,$B$7,$B$3,$B$4,$B$5,$F21,$B$6,V$10,$A21,$B21)</f>
        <v>10308811.466456588</v>
      </c>
      <c r="W21" s="4">
        <f ca="1">_xll.DBRW($B$1,$B$2,$B$7,$B$3,$B$4,$B$5,$F21,$B$6,W$10,$A21,$B21)</f>
        <v>7024198.1761431294</v>
      </c>
      <c r="X21" s="4">
        <f ca="1">_xll.DBRW($B$1,$B$2,$B$7,$B$3,$B$4,$B$5,$F21,$B$6,X$10,$A21,$B21)</f>
        <v>8487655.2652047183</v>
      </c>
      <c r="Y21" s="4">
        <f ca="1">_xll.DBRW($B$1,$B$2,$B$7,$B$3,$B$4,$B$5,$F21,$B$6,Y$10,$A21,$B21)</f>
        <v>8213859.9340690812</v>
      </c>
      <c r="Z21" s="4">
        <f ca="1">_xll.DBRW($B$1,$B$2,$B$7,$B$3,$B$4,$B$5,$F21,$B$6,Z$10,$A21,$B21)</f>
        <v>8398515.559158165</v>
      </c>
      <c r="AA21" s="4">
        <f ca="1">_xll.DBRW($B$1,$B$2,$B$7,$B$3,$B$4,$B$5,$F21,$B$6,AA$10,$A21,$B21)</f>
        <v>8366315.815703135</v>
      </c>
      <c r="AB21" s="4">
        <f ca="1">_xll.DBRW($B$1,$B$2,$B$7,$B$3,$B$4,$B$5,$F21,$B$6,AB$10,$A21,$B21)</f>
        <v>7907608.0600417117</v>
      </c>
      <c r="AC21" s="4">
        <f ca="1">_xll.DBRW($B$1,$B$2,$B$7,$B$3,$B$4,$B$5,$F21,$B$6,AC$10,$A21,$B21)</f>
        <v>8757540.7485842779</v>
      </c>
      <c r="AD21" s="4">
        <f ca="1">_xll.DBRW($B$1,$B$2,$B$7,$B$3,$B$4,$B$5,$F21,$B$6,AD$10,$A21,$B21)</f>
        <v>10621633.427653292</v>
      </c>
      <c r="AE21" s="4">
        <f ca="1">_xll.DBRW($B$1,$B$2,$B$7,$B$3,$B$4,$B$5,$F21,$B$6,AE$10,$A21,$B21)</f>
        <v>8574363.2372339126</v>
      </c>
    </row>
    <row r="22" spans="1:31">
      <c r="A22" s="1" t="s">
        <v>153</v>
      </c>
      <c r="B22" s="5" t="s">
        <v>74</v>
      </c>
      <c r="C22" s="5" t="s">
        <v>75</v>
      </c>
      <c r="D22" s="5" t="s">
        <v>76</v>
      </c>
      <c r="E22" s="5" t="s">
        <v>21</v>
      </c>
      <c r="F22" s="5" t="s">
        <v>22</v>
      </c>
      <c r="G22" s="6"/>
      <c r="H22" s="6"/>
      <c r="I22" s="6"/>
      <c r="J22" s="6"/>
      <c r="K22" s="6"/>
      <c r="L22" s="4">
        <f ca="1">_xll.DBRW($B$1,$B$2,$B$7,$B$3,$B$4,$B$5,$F22,$B$6,L$10,$A22,$B22)</f>
        <v>7471006.1999999993</v>
      </c>
      <c r="M22" s="4">
        <f ca="1">_xll.DBRW($B$1,$B$2,$B$7,$B$3,$B$4,$B$5,$F22,$B$6,M$10,$A22,$B22)</f>
        <v>7548067.1879231865</v>
      </c>
      <c r="N22" s="4">
        <f ca="1">_xll.DBRW($B$1,$B$2,$B$7,$B$3,$B$4,$B$5,$F22,$B$6,N$10,$A22,$B22)</f>
        <v>6908672.3999999994</v>
      </c>
      <c r="O22" s="4">
        <f ca="1">_xll.DBRW($B$1,$B$2,$B$7,$B$3,$B$4,$B$5,$F22,$B$6,O$10,$A22,$B22)</f>
        <v>6908672.4000000004</v>
      </c>
      <c r="P22" s="4">
        <f ca="1">_xll.DBRW($B$1,$B$2,$B$7,$B$3,$B$4,$B$5,$F22,$B$6,P$10,$A22,$B22)</f>
        <v>6523072.0800000001</v>
      </c>
      <c r="Q22" s="4">
        <f ca="1">_xll.DBRW($B$1,$B$2,$B$7,$B$3,$B$4,$B$5,$F22,$B$6,Q$10,$A22,$B22)</f>
        <v>6367760.8399999999</v>
      </c>
      <c r="R22" s="4">
        <f ca="1">_xll.DBRW($B$1,$B$2,$B$7,$B$3,$B$4,$B$5,$F22,$B$6,R$10,$A22,$B22)</f>
        <v>6678383.3199999994</v>
      </c>
      <c r="S22" s="4">
        <f ca="1">_xll.DBRW($B$1,$B$2,$B$7,$B$3,$B$4,$B$5,$F22,$B$6,S$10,$A22,$B22)</f>
        <v>6587338.7999999998</v>
      </c>
      <c r="T22" s="4">
        <f ca="1">_xll.DBRW($B$1,$B$2,$B$7,$B$3,$B$4,$B$5,$F22,$B$6,T$10,$A22,$B22)</f>
        <v>9926105.8584826253</v>
      </c>
      <c r="U22" s="4">
        <f ca="1">_xll.DBRW($B$1,$B$2,$B$7,$B$3,$B$4,$B$5,$F22,$B$6,U$10,$A22,$B22)</f>
        <v>9409722.5976809561</v>
      </c>
      <c r="V22" s="4">
        <f ca="1">_xll.DBRW($B$1,$B$2,$B$7,$B$3,$B$4,$B$5,$F22,$B$6,V$10,$A22,$B22)</f>
        <v>10308811.466456588</v>
      </c>
      <c r="W22" s="4">
        <f ca="1">_xll.DBRW($B$1,$B$2,$B$7,$B$3,$B$4,$B$5,$F22,$B$6,W$10,$A22,$B22)</f>
        <v>7024198.1761431294</v>
      </c>
      <c r="X22" s="4">
        <f ca="1">_xll.DBRW($B$1,$B$2,$B$7,$B$3,$B$4,$B$5,$F22,$B$6,X$10,$A22,$B22)</f>
        <v>8487655.2652047183</v>
      </c>
      <c r="Y22" s="4">
        <f ca="1">_xll.DBRW($B$1,$B$2,$B$7,$B$3,$B$4,$B$5,$F22,$B$6,Y$10,$A22,$B22)</f>
        <v>8213859.9340690812</v>
      </c>
      <c r="Z22" s="4">
        <f ca="1">_xll.DBRW($B$1,$B$2,$B$7,$B$3,$B$4,$B$5,$F22,$B$6,Z$10,$A22,$B22)</f>
        <v>8398515.559158165</v>
      </c>
      <c r="AA22" s="4">
        <f ca="1">_xll.DBRW($B$1,$B$2,$B$7,$B$3,$B$4,$B$5,$F22,$B$6,AA$10,$A22,$B22)</f>
        <v>8366315.815703135</v>
      </c>
      <c r="AB22" s="4">
        <f ca="1">_xll.DBRW($B$1,$B$2,$B$7,$B$3,$B$4,$B$5,$F22,$B$6,AB$10,$A22,$B22)</f>
        <v>7907608.0600417117</v>
      </c>
      <c r="AC22" s="4">
        <f ca="1">_xll.DBRW($B$1,$B$2,$B$7,$B$3,$B$4,$B$5,$F22,$B$6,AC$10,$A22,$B22)</f>
        <v>8757540.7485842779</v>
      </c>
      <c r="AD22" s="4">
        <f ca="1">_xll.DBRW($B$1,$B$2,$B$7,$B$3,$B$4,$B$5,$F22,$B$6,AD$10,$A22,$B22)</f>
        <v>10621633.427653292</v>
      </c>
      <c r="AE22" s="4">
        <f ca="1">_xll.DBRW($B$1,$B$2,$B$7,$B$3,$B$4,$B$5,$F22,$B$6,AE$10,$A22,$B22)</f>
        <v>8574363.2372339126</v>
      </c>
    </row>
    <row r="23" spans="1:31">
      <c r="A23" s="1" t="s">
        <v>153</v>
      </c>
      <c r="B23" s="5" t="s">
        <v>169</v>
      </c>
      <c r="C23" s="5" t="s">
        <v>170</v>
      </c>
      <c r="D23" s="5" t="s">
        <v>21</v>
      </c>
      <c r="E23" s="5" t="s">
        <v>35</v>
      </c>
      <c r="F23" s="5" t="s">
        <v>22</v>
      </c>
      <c r="G23" s="6"/>
      <c r="H23" s="6"/>
      <c r="I23" s="6"/>
      <c r="J23" s="6"/>
      <c r="K23" s="6"/>
      <c r="L23" s="4">
        <f ca="1">_xll.DBRW($B$1,$B$2,$B$7,$B$3,$B$4,$B$5,$F23,$B$6,L$10,$A23,$B23)</f>
        <v>6507220.75</v>
      </c>
      <c r="M23" s="4">
        <f ca="1">_xll.DBRW($B$1,$B$2,$B$7,$B$3,$B$4,$B$5,$F23,$B$6,M$10,$A23,$B23)</f>
        <v>6721807.3157696612</v>
      </c>
      <c r="N23" s="4">
        <f ca="1">_xll.DBRW($B$1,$B$2,$B$7,$B$3,$B$4,$B$5,$F23,$B$6,N$10,$A23,$B23)</f>
        <v>6860169.7999999998</v>
      </c>
      <c r="O23" s="4">
        <f ca="1">_xll.DBRW($B$1,$B$2,$B$7,$B$3,$B$4,$B$5,$F23,$B$6,O$10,$A23,$B23)</f>
        <v>6053091</v>
      </c>
      <c r="P23" s="4">
        <f ca="1">_xll.DBRW($B$1,$B$2,$B$7,$B$3,$B$4,$B$5,$F23,$B$6,P$10,$A23,$B23)</f>
        <v>5004302.75</v>
      </c>
      <c r="Q23" s="4">
        <f ca="1">_xll.DBRW($B$1,$B$2,$B$7,$B$3,$B$4,$B$5,$F23,$B$6,Q$10,$A23,$B23)</f>
        <v>4719576.71</v>
      </c>
      <c r="R23" s="4">
        <f ca="1">_xll.DBRW($B$1,$B$2,$B$7,$B$3,$B$4,$B$5,$F23,$B$6,R$10,$A23,$B23)</f>
        <v>4204620.2</v>
      </c>
      <c r="S23" s="4">
        <f ca="1">_xll.DBRW($B$1,$B$2,$B$7,$B$3,$B$4,$B$5,$F23,$B$6,S$10,$A23,$B23)</f>
        <v>3939834.4499999997</v>
      </c>
      <c r="T23" s="4">
        <f ca="1">_xll.DBRW($B$1,$B$2,$B$7,$B$3,$B$4,$B$5,$F23,$B$6,T$10,$A23,$B23)</f>
        <v>2549153.783560032</v>
      </c>
      <c r="U23" s="4">
        <f ca="1">_xll.DBRW($B$1,$B$2,$B$7,$B$3,$B$4,$B$5,$F23,$B$6,U$10,$A23,$B23)</f>
        <v>2395985.5973397135</v>
      </c>
      <c r="V23" s="4">
        <f ca="1">_xll.DBRW($B$1,$B$2,$B$7,$B$3,$B$4,$B$5,$F23,$B$6,V$10,$A23,$B23)</f>
        <v>4058903.4805627754</v>
      </c>
      <c r="W23" s="4">
        <f ca="1">_xll.DBRW($B$1,$B$2,$B$7,$B$3,$B$4,$B$5,$F23,$B$6,W$10,$A23,$B23)</f>
        <v>6410236.5066884551</v>
      </c>
      <c r="X23" s="4">
        <f ca="1">_xll.DBRW($B$1,$B$2,$B$7,$B$3,$B$4,$B$5,$F23,$B$6,X$10,$A23,$B23)</f>
        <v>7714450.8916999139</v>
      </c>
      <c r="Y23" s="4">
        <f ca="1">_xll.DBRW($B$1,$B$2,$B$7,$B$3,$B$4,$B$5,$F23,$B$6,Y$10,$A23,$B23)</f>
        <v>7471061.8652761988</v>
      </c>
      <c r="Z23" s="4">
        <f ca="1">_xll.DBRW($B$1,$B$2,$B$7,$B$3,$B$4,$B$5,$F23,$B$6,Z$10,$A23,$B23)</f>
        <v>7218543.7182250619</v>
      </c>
      <c r="AA23" s="4">
        <f ca="1">_xll.DBRW($B$1,$B$2,$B$7,$B$3,$B$4,$B$5,$F23,$B$6,AA$10,$A23,$B23)</f>
        <v>6428705.568011662</v>
      </c>
      <c r="AB23" s="4">
        <f ca="1">_xll.DBRW($B$1,$B$2,$B$7,$B$3,$B$4,$B$5,$F23,$B$6,AB$10,$A23,$B23)</f>
        <v>6399485.8408328258</v>
      </c>
      <c r="AC23" s="4">
        <f ca="1">_xll.DBRW($B$1,$B$2,$B$7,$B$3,$B$4,$B$5,$F23,$B$6,AC$10,$A23,$B23)</f>
        <v>6330660.4620537879</v>
      </c>
      <c r="AD23" s="4">
        <f ca="1">_xll.DBRW($B$1,$B$2,$B$7,$B$3,$B$4,$B$5,$F23,$B$6,AD$10,$A23,$B23)</f>
        <v>4259686.6352118189</v>
      </c>
      <c r="AE23" s="4">
        <f ca="1">_xll.DBRW($B$1,$B$2,$B$7,$B$3,$B$4,$B$5,$F23,$B$6,AE$10,$A23,$B23)</f>
        <v>4157645.2325727246</v>
      </c>
    </row>
    <row r="24" spans="1:31">
      <c r="A24" s="1" t="s">
        <v>153</v>
      </c>
      <c r="B24" s="5" t="s">
        <v>33</v>
      </c>
      <c r="C24" s="5" t="s">
        <v>34</v>
      </c>
      <c r="D24" s="5" t="s">
        <v>35</v>
      </c>
      <c r="E24" s="5" t="s">
        <v>21</v>
      </c>
      <c r="F24" s="5" t="s">
        <v>22</v>
      </c>
      <c r="G24" s="6"/>
      <c r="H24" s="6"/>
      <c r="I24" s="6"/>
      <c r="J24" s="6"/>
      <c r="K24" s="6"/>
      <c r="L24" s="4">
        <f ca="1">_xll.DBRW($B$1,$B$2,$B$7,$B$3,$B$4,$B$5,$F24,$B$6,L$10,$A24,$B24)</f>
        <v>6507220.75</v>
      </c>
      <c r="M24" s="4">
        <f ca="1">_xll.DBRW($B$1,$B$2,$B$7,$B$3,$B$4,$B$5,$F24,$B$6,M$10,$A24,$B24)</f>
        <v>6721807.3157696612</v>
      </c>
      <c r="N24" s="4">
        <f ca="1">_xll.DBRW($B$1,$B$2,$B$7,$B$3,$B$4,$B$5,$F24,$B$6,N$10,$A24,$B24)</f>
        <v>6860169.7999999998</v>
      </c>
      <c r="O24" s="4">
        <f ca="1">_xll.DBRW($B$1,$B$2,$B$7,$B$3,$B$4,$B$5,$F24,$B$6,O$10,$A24,$B24)</f>
        <v>6053091</v>
      </c>
      <c r="P24" s="4">
        <f ca="1">_xll.DBRW($B$1,$B$2,$B$7,$B$3,$B$4,$B$5,$F24,$B$6,P$10,$A24,$B24)</f>
        <v>5004302.75</v>
      </c>
      <c r="Q24" s="4">
        <f ca="1">_xll.DBRW($B$1,$B$2,$B$7,$B$3,$B$4,$B$5,$F24,$B$6,Q$10,$A24,$B24)</f>
        <v>4719576.71</v>
      </c>
      <c r="R24" s="4">
        <f ca="1">_xll.DBRW($B$1,$B$2,$B$7,$B$3,$B$4,$B$5,$F24,$B$6,R$10,$A24,$B24)</f>
        <v>4204620.2</v>
      </c>
      <c r="S24" s="4">
        <f ca="1">_xll.DBRW($B$1,$B$2,$B$7,$B$3,$B$4,$B$5,$F24,$B$6,S$10,$A24,$B24)</f>
        <v>3939834.4499999997</v>
      </c>
      <c r="T24" s="4">
        <f ca="1">_xll.DBRW($B$1,$B$2,$B$7,$B$3,$B$4,$B$5,$F24,$B$6,T$10,$A24,$B24)</f>
        <v>2549153.783560032</v>
      </c>
      <c r="U24" s="4">
        <f ca="1">_xll.DBRW($B$1,$B$2,$B$7,$B$3,$B$4,$B$5,$F24,$B$6,U$10,$A24,$B24)</f>
        <v>2395985.5973397135</v>
      </c>
      <c r="V24" s="4">
        <f ca="1">_xll.DBRW($B$1,$B$2,$B$7,$B$3,$B$4,$B$5,$F24,$B$6,V$10,$A24,$B24)</f>
        <v>4058903.4805627754</v>
      </c>
      <c r="W24" s="4">
        <f ca="1">_xll.DBRW($B$1,$B$2,$B$7,$B$3,$B$4,$B$5,$F24,$B$6,W$10,$A24,$B24)</f>
        <v>6410236.5066884551</v>
      </c>
      <c r="X24" s="4">
        <f ca="1">_xll.DBRW($B$1,$B$2,$B$7,$B$3,$B$4,$B$5,$F24,$B$6,X$10,$A24,$B24)</f>
        <v>7714450.8916999139</v>
      </c>
      <c r="Y24" s="4">
        <f ca="1">_xll.DBRW($B$1,$B$2,$B$7,$B$3,$B$4,$B$5,$F24,$B$6,Y$10,$A24,$B24)</f>
        <v>7471061.8652761988</v>
      </c>
      <c r="Z24" s="4">
        <f ca="1">_xll.DBRW($B$1,$B$2,$B$7,$B$3,$B$4,$B$5,$F24,$B$6,Z$10,$A24,$B24)</f>
        <v>7218543.7182250619</v>
      </c>
      <c r="AA24" s="4">
        <f ca="1">_xll.DBRW($B$1,$B$2,$B$7,$B$3,$B$4,$B$5,$F24,$B$6,AA$10,$A24,$B24)</f>
        <v>6428705.568011662</v>
      </c>
      <c r="AB24" s="4">
        <f ca="1">_xll.DBRW($B$1,$B$2,$B$7,$B$3,$B$4,$B$5,$F24,$B$6,AB$10,$A24,$B24)</f>
        <v>6399485.8408328258</v>
      </c>
      <c r="AC24" s="4">
        <f ca="1">_xll.DBRW($B$1,$B$2,$B$7,$B$3,$B$4,$B$5,$F24,$B$6,AC$10,$A24,$B24)</f>
        <v>6178528.3114152858</v>
      </c>
      <c r="AD24" s="4">
        <f ca="1">_xll.DBRW($B$1,$B$2,$B$7,$B$3,$B$4,$B$5,$F24,$B$6,AD$10,$A24,$B24)</f>
        <v>4259686.6352118189</v>
      </c>
      <c r="AE24" s="4">
        <f ca="1">_xll.DBRW($B$1,$B$2,$B$7,$B$3,$B$4,$B$5,$F24,$B$6,AE$10,$A24,$B24)</f>
        <v>4157645.2325727246</v>
      </c>
    </row>
    <row r="25" spans="1:31">
      <c r="A25" s="1" t="s">
        <v>153</v>
      </c>
      <c r="B25" s="5" t="s">
        <v>171</v>
      </c>
      <c r="C25" s="5" t="s">
        <v>163</v>
      </c>
      <c r="D25" s="5" t="s">
        <v>21</v>
      </c>
      <c r="E25" s="5" t="s">
        <v>54</v>
      </c>
      <c r="F25" s="5" t="s">
        <v>22</v>
      </c>
      <c r="G25" s="6"/>
      <c r="H25" s="6"/>
      <c r="I25" s="6"/>
      <c r="J25" s="6"/>
      <c r="K25" s="6"/>
      <c r="L25" s="4">
        <f ca="1">_xll.DBRW($B$1,$B$2,$B$7,$B$3,$B$4,$B$5,$F25,$B$6,L$10,$A25,$B25)</f>
        <v>10198848</v>
      </c>
      <c r="M25" s="4">
        <f ca="1">_xll.DBRW($B$1,$B$2,$B$7,$B$3,$B$4,$B$5,$F25,$B$6,M$10,$A25,$B25)</f>
        <v>10776070.609471595</v>
      </c>
      <c r="N25" s="4">
        <f ca="1">_xll.DBRW($B$1,$B$2,$B$7,$B$3,$B$4,$B$5,$F25,$B$6,N$10,$A25,$B25)</f>
        <v>9634118.4000000004</v>
      </c>
      <c r="O25" s="4">
        <f ca="1">_xll.DBRW($B$1,$B$2,$B$7,$B$3,$B$4,$B$5,$F25,$B$6,O$10,$A25,$B25)</f>
        <v>8015701</v>
      </c>
      <c r="P25" s="4">
        <f ca="1">_xll.DBRW($B$1,$B$2,$B$7,$B$3,$B$4,$B$5,$F25,$B$6,P$10,$A25,$B25)</f>
        <v>10357766</v>
      </c>
      <c r="Q25" s="4">
        <f ca="1">_xll.DBRW($B$1,$B$2,$B$7,$B$3,$B$4,$B$5,$F25,$B$6,Q$10,$A25,$B25)</f>
        <v>9917010</v>
      </c>
      <c r="R25" s="4">
        <f ca="1">_xll.DBRW($B$1,$B$2,$B$7,$B$3,$B$4,$B$5,$F25,$B$6,R$10,$A25,$B25)</f>
        <v>7512168</v>
      </c>
      <c r="S25" s="4">
        <f ca="1">_xll.DBRW($B$1,$B$2,$B$7,$B$3,$B$4,$B$5,$F25,$B$6,S$10,$A25,$B25)</f>
        <v>7593822.0000000009</v>
      </c>
      <c r="T25" s="4">
        <f ca="1">_xll.DBRW($B$1,$B$2,$B$7,$B$3,$B$4,$B$5,$F25,$B$6,T$10,$A25,$B25)</f>
        <v>9806067.5572703704</v>
      </c>
      <c r="U25" s="4">
        <f ca="1">_xll.DBRW($B$1,$B$2,$B$7,$B$3,$B$4,$B$5,$F25,$B$6,U$10,$A25,$B25)</f>
        <v>9510138.0672035273</v>
      </c>
      <c r="V25" s="4">
        <f ca="1">_xll.DBRW($B$1,$B$2,$B$7,$B$3,$B$4,$B$5,$F25,$B$6,V$10,$A25,$B25)</f>
        <v>11636261.952500017</v>
      </c>
      <c r="W25" s="4">
        <f ca="1">_xll.DBRW($B$1,$B$2,$B$7,$B$3,$B$4,$B$5,$F25,$B$6,W$10,$A25,$B25)</f>
        <v>8056385.4584382121</v>
      </c>
      <c r="X25" s="4">
        <f ca="1">_xll.DBRW($B$1,$B$2,$B$7,$B$3,$B$4,$B$5,$F25,$B$6,X$10,$A25,$B25)</f>
        <v>8357584.2573636128</v>
      </c>
      <c r="Y25" s="4">
        <f ca="1">_xll.DBRW($B$1,$B$2,$B$7,$B$3,$B$4,$B$5,$F25,$B$6,Y$10,$A25,$B25)</f>
        <v>8087984.765190593</v>
      </c>
      <c r="Z25" s="4">
        <f ca="1">_xll.DBRW($B$1,$B$2,$B$7,$B$3,$B$4,$B$5,$F25,$B$6,Z$10,$A25,$B25)</f>
        <v>8357584.2573636146</v>
      </c>
      <c r="AA25" s="4">
        <f ca="1">_xll.DBRW($B$1,$B$2,$B$7,$B$3,$B$4,$B$5,$F25,$B$6,AA$10,$A25,$B25)</f>
        <v>8357584.2573636118</v>
      </c>
      <c r="AB25" s="4">
        <f ca="1">_xll.DBRW($B$1,$B$2,$B$7,$B$3,$B$4,$B$5,$F25,$B$6,AB$10,$A25,$B25)</f>
        <v>7779455.2284487057</v>
      </c>
      <c r="AC25" s="4">
        <f ca="1">_xll.DBRW($B$1,$B$2,$B$7,$B$3,$B$4,$B$5,$F25,$B$6,AC$10,$A25,$B25)</f>
        <v>8597162.1527235154</v>
      </c>
      <c r="AD25" s="4">
        <f ca="1">_xll.DBRW($B$1,$B$2,$B$7,$B$3,$B$4,$B$5,$F25,$B$6,AD$10,$A25,$B25)</f>
        <v>11479720.311883425</v>
      </c>
      <c r="AE25" s="4">
        <f ca="1">_xll.DBRW($B$1,$B$2,$B$7,$B$3,$B$4,$B$5,$F25,$B$6,AE$10,$A25,$B25)</f>
        <v>11066415.551764702</v>
      </c>
    </row>
    <row r="26" spans="1:31">
      <c r="A26" s="1" t="s">
        <v>153</v>
      </c>
      <c r="B26" s="5" t="s">
        <v>55</v>
      </c>
      <c r="C26" s="5" t="s">
        <v>53</v>
      </c>
      <c r="D26" s="5" t="s">
        <v>54</v>
      </c>
      <c r="E26" s="5" t="s">
        <v>21</v>
      </c>
      <c r="F26" s="5" t="s">
        <v>22</v>
      </c>
      <c r="G26" s="6"/>
      <c r="H26" s="6"/>
      <c r="I26" s="6"/>
      <c r="J26" s="6"/>
      <c r="K26" s="6"/>
      <c r="L26" s="4">
        <f ca="1">_xll.DBRW($B$1,$B$2,$B$7,$B$3,$B$4,$B$5,$F26,$B$6,L$10,$A26,$B26)</f>
        <v>10198848</v>
      </c>
      <c r="M26" s="4">
        <f ca="1">_xll.DBRW($B$1,$B$2,$B$7,$B$3,$B$4,$B$5,$F26,$B$6,M$10,$A26,$B26)</f>
        <v>10776070.609471595</v>
      </c>
      <c r="N26" s="4">
        <f ca="1">_xll.DBRW($B$1,$B$2,$B$7,$B$3,$B$4,$B$5,$F26,$B$6,N$10,$A26,$B26)</f>
        <v>9634118.4000000004</v>
      </c>
      <c r="O26" s="4">
        <f ca="1">_xll.DBRW($B$1,$B$2,$B$7,$B$3,$B$4,$B$5,$F26,$B$6,O$10,$A26,$B26)</f>
        <v>8015701</v>
      </c>
      <c r="P26" s="4">
        <f ca="1">_xll.DBRW($B$1,$B$2,$B$7,$B$3,$B$4,$B$5,$F26,$B$6,P$10,$A26,$B26)</f>
        <v>10357766</v>
      </c>
      <c r="Q26" s="4">
        <f ca="1">_xll.DBRW($B$1,$B$2,$B$7,$B$3,$B$4,$B$5,$F26,$B$6,Q$10,$A26,$B26)</f>
        <v>9917010</v>
      </c>
      <c r="R26" s="4">
        <f ca="1">_xll.DBRW($B$1,$B$2,$B$7,$B$3,$B$4,$B$5,$F26,$B$6,R$10,$A26,$B26)</f>
        <v>7512168</v>
      </c>
      <c r="S26" s="4">
        <f ca="1">_xll.DBRW($B$1,$B$2,$B$7,$B$3,$B$4,$B$5,$F26,$B$6,S$10,$A26,$B26)</f>
        <v>7593822.0000000009</v>
      </c>
      <c r="T26" s="4">
        <f ca="1">_xll.DBRW($B$1,$B$2,$B$7,$B$3,$B$4,$B$5,$F26,$B$6,T$10,$A26,$B26)</f>
        <v>9806067.5572703704</v>
      </c>
      <c r="U26" s="4">
        <f ca="1">_xll.DBRW($B$1,$B$2,$B$7,$B$3,$B$4,$B$5,$F26,$B$6,U$10,$A26,$B26)</f>
        <v>9510138.0672035273</v>
      </c>
      <c r="V26" s="4">
        <f ca="1">_xll.DBRW($B$1,$B$2,$B$7,$B$3,$B$4,$B$5,$F26,$B$6,V$10,$A26,$B26)</f>
        <v>11636261.952500017</v>
      </c>
      <c r="W26" s="4">
        <f ca="1">_xll.DBRW($B$1,$B$2,$B$7,$B$3,$B$4,$B$5,$F26,$B$6,W$10,$A26,$B26)</f>
        <v>8056385.4584382121</v>
      </c>
      <c r="X26" s="4">
        <f ca="1">_xll.DBRW($B$1,$B$2,$B$7,$B$3,$B$4,$B$5,$F26,$B$6,X$10,$A26,$B26)</f>
        <v>8357584.2573636128</v>
      </c>
      <c r="Y26" s="4">
        <f ca="1">_xll.DBRW($B$1,$B$2,$B$7,$B$3,$B$4,$B$5,$F26,$B$6,Y$10,$A26,$B26)</f>
        <v>8087984.765190593</v>
      </c>
      <c r="Z26" s="4">
        <f ca="1">_xll.DBRW($B$1,$B$2,$B$7,$B$3,$B$4,$B$5,$F26,$B$6,Z$10,$A26,$B26)</f>
        <v>8357584.2573636146</v>
      </c>
      <c r="AA26" s="4">
        <f ca="1">_xll.DBRW($B$1,$B$2,$B$7,$B$3,$B$4,$B$5,$F26,$B$6,AA$10,$A26,$B26)</f>
        <v>8357584.2573636118</v>
      </c>
      <c r="AB26" s="4">
        <f ca="1">_xll.DBRW($B$1,$B$2,$B$7,$B$3,$B$4,$B$5,$F26,$B$6,AB$10,$A26,$B26)</f>
        <v>7779455.2284487057</v>
      </c>
      <c r="AC26" s="4">
        <f ca="1">_xll.DBRW($B$1,$B$2,$B$7,$B$3,$B$4,$B$5,$F26,$B$6,AC$10,$A26,$B26)</f>
        <v>8340653.9460493773</v>
      </c>
      <c r="AD26" s="4">
        <f ca="1">_xll.DBRW($B$1,$B$2,$B$7,$B$3,$B$4,$B$5,$F26,$B$6,AD$10,$A26,$B26)</f>
        <v>11479720.311883425</v>
      </c>
      <c r="AE26" s="4">
        <f ca="1">_xll.DBRW($B$1,$B$2,$B$7,$B$3,$B$4,$B$5,$F26,$B$6,AE$10,$A26,$B26)</f>
        <v>10709434.404933581</v>
      </c>
    </row>
    <row r="27" spans="1:31">
      <c r="A27" s="1" t="s">
        <v>153</v>
      </c>
      <c r="B27" s="5" t="s">
        <v>172</v>
      </c>
      <c r="C27" s="5" t="s">
        <v>159</v>
      </c>
      <c r="D27" s="5" t="s">
        <v>21</v>
      </c>
      <c r="E27" s="5" t="s">
        <v>38</v>
      </c>
      <c r="F27" s="5" t="s">
        <v>22</v>
      </c>
      <c r="G27" s="6"/>
      <c r="H27" s="6"/>
      <c r="I27" s="6"/>
      <c r="J27" s="6"/>
      <c r="K27" s="6"/>
      <c r="L27" s="4">
        <f ca="1">_xll.DBRW($B$1,$B$2,$B$7,$B$3,$B$4,$B$5,$F27,$B$6,L$10,$A27,$B27)</f>
        <v>6292180.7961757379</v>
      </c>
      <c r="M27" s="4">
        <f ca="1">_xll.DBRW($B$1,$B$2,$B$7,$B$3,$B$4,$B$5,$F27,$B$6,M$10,$A27,$B27)</f>
        <v>6530941.3891844312</v>
      </c>
      <c r="N27" s="4">
        <f ca="1">_xll.DBRW($B$1,$B$2,$B$7,$B$3,$B$4,$B$5,$F27,$B$6,N$10,$A27,$B27)</f>
        <v>6809473.7714610947</v>
      </c>
      <c r="O27" s="4">
        <f ca="1">_xll.DBRW($B$1,$B$2,$B$7,$B$3,$B$4,$B$5,$F27,$B$6,O$10,$A27,$B27)</f>
        <v>6493037.2456463622</v>
      </c>
      <c r="P27" s="4">
        <f ca="1">_xll.DBRW($B$1,$B$2,$B$7,$B$3,$B$4,$B$5,$F27,$B$6,P$10,$A27,$B27)</f>
        <v>6624602.575649038</v>
      </c>
      <c r="Q27" s="4">
        <f ca="1">_xll.DBRW($B$1,$B$2,$B$7,$B$3,$B$4,$B$5,$F27,$B$6,Q$10,$A27,$B27)</f>
        <v>6814568.1566030048</v>
      </c>
      <c r="R27" s="4">
        <f ca="1">_xll.DBRW($B$1,$B$2,$B$7,$B$3,$B$4,$B$5,$F27,$B$6,R$10,$A27,$B27)</f>
        <v>4458703.0854476597</v>
      </c>
      <c r="S27" s="4">
        <f ca="1">_xll.DBRW($B$1,$B$2,$B$7,$B$3,$B$4,$B$5,$F27,$B$6,S$10,$A27,$B27)</f>
        <v>4629570.95661934</v>
      </c>
      <c r="T27" s="4">
        <f ca="1">_xll.DBRW($B$1,$B$2,$B$7,$B$3,$B$4,$B$5,$F27,$B$6,T$10,$A27,$B27)</f>
        <v>4578355.6850709198</v>
      </c>
      <c r="U27" s="4">
        <f ca="1">_xll.DBRW($B$1,$B$2,$B$7,$B$3,$B$4,$B$5,$F27,$B$6,U$10,$A27,$B27)</f>
        <v>4289491.6689605769</v>
      </c>
      <c r="V27" s="4">
        <f ca="1">_xll.DBRW($B$1,$B$2,$B$7,$B$3,$B$4,$B$5,$F27,$B$6,V$10,$A27,$B27)</f>
        <v>5237796.3457897427</v>
      </c>
      <c r="W27" s="4">
        <f ca="1">_xll.DBRW($B$1,$B$2,$B$7,$B$3,$B$4,$B$5,$F27,$B$6,W$10,$A27,$B27)</f>
        <v>4753570.8354547303</v>
      </c>
      <c r="X27" s="4">
        <f ca="1">_xll.DBRW($B$1,$B$2,$B$7,$B$3,$B$4,$B$5,$F27,$B$6,X$10,$A27,$B27)</f>
        <v>5076147.8175204946</v>
      </c>
      <c r="Y27" s="4">
        <f ca="1">_xll.DBRW($B$1,$B$2,$B$7,$B$3,$B$4,$B$5,$F27,$B$6,Y$10,$A27,$B27)</f>
        <v>5091030.3211447932</v>
      </c>
      <c r="Z27" s="4">
        <f ca="1">_xll.DBRW($B$1,$B$2,$B$7,$B$3,$B$4,$B$5,$F27,$B$6,Z$10,$A27,$B27)</f>
        <v>5107037.2724225158</v>
      </c>
      <c r="AA27" s="4">
        <f ca="1">_xll.DBRW($B$1,$B$2,$B$7,$B$3,$B$4,$B$5,$F27,$B$6,AA$10,$A27,$B27)</f>
        <v>4849461.5749839917</v>
      </c>
      <c r="AB27" s="4">
        <f ca="1">_xll.DBRW($B$1,$B$2,$B$7,$B$3,$B$4,$B$5,$F27,$B$6,AB$10,$A27,$B27)</f>
        <v>4594432.9800504502</v>
      </c>
      <c r="AC27" s="4">
        <f ca="1">_xll.DBRW($B$1,$B$2,$B$7,$B$3,$B$4,$B$5,$F27,$B$6,AC$10,$A27,$B27)</f>
        <v>4982293.7643225025</v>
      </c>
      <c r="AD27" s="4">
        <f ca="1">_xll.DBRW($B$1,$B$2,$B$7,$B$3,$B$4,$B$5,$F27,$B$6,AD$10,$A27,$B27)</f>
        <v>4901957.313720433</v>
      </c>
      <c r="AE27" s="4">
        <f ca="1">_xll.DBRW($B$1,$B$2,$B$7,$B$3,$B$4,$B$5,$F27,$B$6,AE$10,$A27,$B27)</f>
        <v>4696767.855846229</v>
      </c>
    </row>
    <row r="28" spans="1:31">
      <c r="A28" s="1" t="s">
        <v>153</v>
      </c>
      <c r="B28" s="5" t="s">
        <v>40</v>
      </c>
      <c r="C28" s="5" t="s">
        <v>37</v>
      </c>
      <c r="D28" s="5" t="s">
        <v>38</v>
      </c>
      <c r="E28" s="5" t="s">
        <v>21</v>
      </c>
      <c r="F28" s="5" t="s">
        <v>22</v>
      </c>
      <c r="G28" s="6"/>
      <c r="H28" s="6"/>
      <c r="I28" s="6"/>
      <c r="J28" s="6"/>
      <c r="K28" s="6"/>
      <c r="L28" s="4">
        <f ca="1">_xll.DBRW($B$1,$B$2,$B$7,$B$3,$B$4,$B$5,$F28,$B$6,L$10,$A28,$B28)</f>
        <v>6292180.7961757379</v>
      </c>
      <c r="M28" s="4">
        <f ca="1">_xll.DBRW($B$1,$B$2,$B$7,$B$3,$B$4,$B$5,$F28,$B$6,M$10,$A28,$B28)</f>
        <v>6530941.3891844312</v>
      </c>
      <c r="N28" s="4">
        <f ca="1">_xll.DBRW($B$1,$B$2,$B$7,$B$3,$B$4,$B$5,$F28,$B$6,N$10,$A28,$B28)</f>
        <v>6809473.7714610947</v>
      </c>
      <c r="O28" s="4">
        <f ca="1">_xll.DBRW($B$1,$B$2,$B$7,$B$3,$B$4,$B$5,$F28,$B$6,O$10,$A28,$B28)</f>
        <v>6493037.2456463622</v>
      </c>
      <c r="P28" s="4">
        <f ca="1">_xll.DBRW($B$1,$B$2,$B$7,$B$3,$B$4,$B$5,$F28,$B$6,P$10,$A28,$B28)</f>
        <v>6624602.575649038</v>
      </c>
      <c r="Q28" s="4">
        <f ca="1">_xll.DBRW($B$1,$B$2,$B$7,$B$3,$B$4,$B$5,$F28,$B$6,Q$10,$A28,$B28)</f>
        <v>6814568.1566030048</v>
      </c>
      <c r="R28" s="4">
        <f ca="1">_xll.DBRW($B$1,$B$2,$B$7,$B$3,$B$4,$B$5,$F28,$B$6,R$10,$A28,$B28)</f>
        <v>4458703.0854476597</v>
      </c>
      <c r="S28" s="4">
        <f ca="1">_xll.DBRW($B$1,$B$2,$B$7,$B$3,$B$4,$B$5,$F28,$B$6,S$10,$A28,$B28)</f>
        <v>4629570.95661934</v>
      </c>
      <c r="T28" s="4">
        <f ca="1">_xll.DBRW($B$1,$B$2,$B$7,$B$3,$B$4,$B$5,$F28,$B$6,T$10,$A28,$B28)</f>
        <v>4578355.6850709198</v>
      </c>
      <c r="U28" s="4">
        <f ca="1">_xll.DBRW($B$1,$B$2,$B$7,$B$3,$B$4,$B$5,$F28,$B$6,U$10,$A28,$B28)</f>
        <v>4289491.6689605769</v>
      </c>
      <c r="V28" s="4">
        <f ca="1">_xll.DBRW($B$1,$B$2,$B$7,$B$3,$B$4,$B$5,$F28,$B$6,V$10,$A28,$B28)</f>
        <v>5237796.3457897427</v>
      </c>
      <c r="W28" s="4">
        <f ca="1">_xll.DBRW($B$1,$B$2,$B$7,$B$3,$B$4,$B$5,$F28,$B$6,W$10,$A28,$B28)</f>
        <v>4753570.8354547303</v>
      </c>
      <c r="X28" s="4">
        <f ca="1">_xll.DBRW($B$1,$B$2,$B$7,$B$3,$B$4,$B$5,$F28,$B$6,X$10,$A28,$B28)</f>
        <v>5076147.8175204946</v>
      </c>
      <c r="Y28" s="4">
        <f ca="1">_xll.DBRW($B$1,$B$2,$B$7,$B$3,$B$4,$B$5,$F28,$B$6,Y$10,$A28,$B28)</f>
        <v>5091030.3211447932</v>
      </c>
      <c r="Z28" s="4">
        <f ca="1">_xll.DBRW($B$1,$B$2,$B$7,$B$3,$B$4,$B$5,$F28,$B$6,Z$10,$A28,$B28)</f>
        <v>5107037.2724225158</v>
      </c>
      <c r="AA28" s="4">
        <f ca="1">_xll.DBRW($B$1,$B$2,$B$7,$B$3,$B$4,$B$5,$F28,$B$6,AA$10,$A28,$B28)</f>
        <v>4849461.5749839917</v>
      </c>
      <c r="AB28" s="4">
        <f ca="1">_xll.DBRW($B$1,$B$2,$B$7,$B$3,$B$4,$B$5,$F28,$B$6,AB$10,$A28,$B28)</f>
        <v>4594432.9800504502</v>
      </c>
      <c r="AC28" s="4">
        <f ca="1">_xll.DBRW($B$1,$B$2,$B$7,$B$3,$B$4,$B$5,$F28,$B$6,AC$10,$A28,$B28)</f>
        <v>4982293.7643225025</v>
      </c>
      <c r="AD28" s="4">
        <f ca="1">_xll.DBRW($B$1,$B$2,$B$7,$B$3,$B$4,$B$5,$F28,$B$6,AD$10,$A28,$B28)</f>
        <v>4901957.313720433</v>
      </c>
      <c r="AE28" s="4">
        <f ca="1">_xll.DBRW($B$1,$B$2,$B$7,$B$3,$B$4,$B$5,$F28,$B$6,AE$10,$A28,$B28)</f>
        <v>4696767.855846229</v>
      </c>
    </row>
    <row r="29" spans="1:31">
      <c r="A29" s="1" t="s">
        <v>153</v>
      </c>
      <c r="B29" s="5" t="s">
        <v>173</v>
      </c>
      <c r="C29" s="5" t="s">
        <v>168</v>
      </c>
      <c r="D29" s="5" t="s">
        <v>21</v>
      </c>
      <c r="E29" s="5" t="s">
        <v>76</v>
      </c>
      <c r="F29" s="5" t="s">
        <v>22</v>
      </c>
      <c r="G29" s="6"/>
      <c r="H29" s="6"/>
      <c r="I29" s="6"/>
      <c r="J29" s="6"/>
      <c r="K29" s="6"/>
      <c r="L29" s="4">
        <f ca="1">_xll.DBRW($B$1,$B$2,$B$7,$B$3,$B$4,$B$5,$F29,$B$6,L$10,$A29,$B29)</f>
        <v>7720039.7399999993</v>
      </c>
      <c r="M29" s="4">
        <f ca="1">_xll.DBRW($B$1,$B$2,$B$7,$B$3,$B$4,$B$5,$F29,$B$6,M$10,$A29,$B29)</f>
        <v>7808345.3668170897</v>
      </c>
      <c r="N29" s="4">
        <f ca="1">_xll.DBRW($B$1,$B$2,$B$7,$B$3,$B$4,$B$5,$F29,$B$6,N$10,$A29,$B29)</f>
        <v>6908672.3999999994</v>
      </c>
      <c r="O29" s="4">
        <f ca="1">_xll.DBRW($B$1,$B$2,$B$7,$B$3,$B$4,$B$5,$F29,$B$6,O$10,$A29,$B29)</f>
        <v>7138961.4800000004</v>
      </c>
      <c r="P29" s="4">
        <f ca="1">_xll.DBRW($B$1,$B$2,$B$7,$B$3,$B$4,$B$5,$F29,$B$6,P$10,$A29,$B29)</f>
        <v>6748005.5999999996</v>
      </c>
      <c r="Q29" s="4">
        <f ca="1">_xll.DBRW($B$1,$B$2,$B$7,$B$3,$B$4,$B$5,$F29,$B$6,Q$10,$A29,$B29)</f>
        <v>5709026.96</v>
      </c>
      <c r="R29" s="4">
        <f ca="1">_xll.DBRW($B$1,$B$2,$B$7,$B$3,$B$4,$B$5,$F29,$B$6,R$10,$A29,$B29)</f>
        <v>0</v>
      </c>
      <c r="S29" s="4">
        <f ca="1">_xll.DBRW($B$1,$B$2,$B$7,$B$3,$B$4,$B$5,$F29,$B$6,S$10,$A29,$B29)</f>
        <v>0</v>
      </c>
      <c r="T29" s="4">
        <f ca="1">_xll.DBRW($B$1,$B$2,$B$7,$B$3,$B$4,$B$5,$F29,$B$6,T$10,$A29,$B29)</f>
        <v>0</v>
      </c>
      <c r="U29" s="4">
        <f ca="1">_xll.DBRW($B$1,$B$2,$B$7,$B$3,$B$4,$B$5,$F29,$B$6,U$10,$A29,$B29)</f>
        <v>0</v>
      </c>
      <c r="V29" s="4">
        <f ca="1">_xll.DBRW($B$1,$B$2,$B$7,$B$3,$B$4,$B$5,$F29,$B$6,V$10,$A29,$B29)</f>
        <v>676996.57391655212</v>
      </c>
      <c r="W29" s="4">
        <f ca="1">_xll.DBRW($B$1,$B$2,$B$7,$B$3,$B$4,$B$5,$F29,$B$6,W$10,$A29,$B29)</f>
        <v>9658272.492196802</v>
      </c>
      <c r="X29" s="4">
        <f ca="1">_xll.DBRW($B$1,$B$2,$B$7,$B$3,$B$4,$B$5,$F29,$B$6,X$10,$A29,$B29)</f>
        <v>11670525.989656489</v>
      </c>
      <c r="Y29" s="4">
        <f ca="1">_xll.DBRW($B$1,$B$2,$B$7,$B$3,$B$4,$B$5,$F29,$B$6,Y$10,$A29,$B29)</f>
        <v>11294057.40934499</v>
      </c>
      <c r="Z29" s="4">
        <f ca="1">_xll.DBRW($B$1,$B$2,$B$7,$B$3,$B$4,$B$5,$F29,$B$6,Z$10,$A29,$B29)</f>
        <v>11547958.893842474</v>
      </c>
      <c r="AA29" s="4">
        <f ca="1">_xll.DBRW($B$1,$B$2,$B$7,$B$3,$B$4,$B$5,$F29,$B$6,AA$10,$A29,$B29)</f>
        <v>11503684.246591812</v>
      </c>
      <c r="AB29" s="4">
        <f ca="1">_xll.DBRW($B$1,$B$2,$B$7,$B$3,$B$4,$B$5,$F29,$B$6,AB$10,$A29,$B29)</f>
        <v>10872961.082557354</v>
      </c>
      <c r="AC29" s="4">
        <f ca="1">_xll.DBRW($B$1,$B$2,$B$7,$B$3,$B$4,$B$5,$F29,$B$6,AC$10,$A29,$B29)</f>
        <v>9053848.5182732213</v>
      </c>
      <c r="AD29" s="4">
        <f ca="1">_xll.DBRW($B$1,$B$2,$B$7,$B$3,$B$4,$B$5,$F29,$B$6,AD$10,$A29,$B29)</f>
        <v>0</v>
      </c>
      <c r="AE29" s="4">
        <f ca="1">_xll.DBRW($B$1,$B$2,$B$7,$B$3,$B$4,$B$5,$F29,$B$6,AE$10,$A29,$B29)</f>
        <v>0</v>
      </c>
    </row>
    <row r="30" spans="1:31">
      <c r="A30" s="1" t="s">
        <v>153</v>
      </c>
      <c r="B30" s="5" t="s">
        <v>77</v>
      </c>
      <c r="C30" s="5" t="s">
        <v>75</v>
      </c>
      <c r="D30" s="5" t="s">
        <v>76</v>
      </c>
      <c r="E30" s="5" t="s">
        <v>21</v>
      </c>
      <c r="F30" s="5" t="s">
        <v>22</v>
      </c>
      <c r="G30" s="6"/>
      <c r="H30" s="6"/>
      <c r="I30" s="6"/>
      <c r="J30" s="6"/>
      <c r="K30" s="6"/>
      <c r="L30" s="4">
        <f ca="1">_xll.DBRW($B$1,$B$2,$B$7,$B$3,$B$4,$B$5,$F30,$B$6,L$10,$A30,$B30)</f>
        <v>7720039.7399999993</v>
      </c>
      <c r="M30" s="4">
        <f ca="1">_xll.DBRW($B$1,$B$2,$B$7,$B$3,$B$4,$B$5,$F30,$B$6,M$10,$A30,$B30)</f>
        <v>7808345.3668170897</v>
      </c>
      <c r="N30" s="4">
        <f ca="1">_xll.DBRW($B$1,$B$2,$B$7,$B$3,$B$4,$B$5,$F30,$B$6,N$10,$A30,$B30)</f>
        <v>7235534.3199999994</v>
      </c>
      <c r="O30" s="4">
        <f ca="1">_xll.DBRW($B$1,$B$2,$B$7,$B$3,$B$4,$B$5,$F30,$B$6,O$10,$A30,$B30)</f>
        <v>7138961.4800000004</v>
      </c>
      <c r="P30" s="4">
        <f ca="1">_xll.DBRW($B$1,$B$2,$B$7,$B$3,$B$4,$B$5,$F30,$B$6,P$10,$A30,$B30)</f>
        <v>6748005.5999999996</v>
      </c>
      <c r="Q30" s="4">
        <f ca="1">_xll.DBRW($B$1,$B$2,$B$7,$B$3,$B$4,$B$5,$F30,$B$6,Q$10,$A30,$B30)</f>
        <v>5709026.96</v>
      </c>
      <c r="R30" s="4">
        <f ca="1">_xll.DBRW($B$1,$B$2,$B$7,$B$3,$B$4,$B$5,$F30,$B$6,R$10,$A30,$B30)</f>
        <v>0</v>
      </c>
      <c r="S30" s="4">
        <f ca="1">_xll.DBRW($B$1,$B$2,$B$7,$B$3,$B$4,$B$5,$F30,$B$6,S$10,$A30,$B30)</f>
        <v>0</v>
      </c>
      <c r="T30" s="4">
        <f ca="1">_xll.DBRW($B$1,$B$2,$B$7,$B$3,$B$4,$B$5,$F30,$B$6,T$10,$A30,$B30)</f>
        <v>0</v>
      </c>
      <c r="U30" s="4">
        <f ca="1">_xll.DBRW($B$1,$B$2,$B$7,$B$3,$B$4,$B$5,$F30,$B$6,U$10,$A30,$B30)</f>
        <v>0</v>
      </c>
      <c r="V30" s="4">
        <f ca="1">_xll.DBRW($B$1,$B$2,$B$7,$B$3,$B$4,$B$5,$F30,$B$6,V$10,$A30,$B30)</f>
        <v>676996.57391655212</v>
      </c>
      <c r="W30" s="4">
        <f ca="1">_xll.DBRW($B$1,$B$2,$B$7,$B$3,$B$4,$B$5,$F30,$B$6,W$10,$A30,$B30)</f>
        <v>9658272.492196802</v>
      </c>
      <c r="X30" s="4">
        <f ca="1">_xll.DBRW($B$1,$B$2,$B$7,$B$3,$B$4,$B$5,$F30,$B$6,X$10,$A30,$B30)</f>
        <v>11670525.989656489</v>
      </c>
      <c r="Y30" s="4">
        <f ca="1">_xll.DBRW($B$1,$B$2,$B$7,$B$3,$B$4,$B$5,$F30,$B$6,Y$10,$A30,$B30)</f>
        <v>11294057.40934499</v>
      </c>
      <c r="Z30" s="4">
        <f ca="1">_xll.DBRW($B$1,$B$2,$B$7,$B$3,$B$4,$B$5,$F30,$B$6,Z$10,$A30,$B30)</f>
        <v>11547958.893842474</v>
      </c>
      <c r="AA30" s="4">
        <f ca="1">_xll.DBRW($B$1,$B$2,$B$7,$B$3,$B$4,$B$5,$F30,$B$6,AA$10,$A30,$B30)</f>
        <v>11503684.246591812</v>
      </c>
      <c r="AB30" s="4">
        <f ca="1">_xll.DBRW($B$1,$B$2,$B$7,$B$3,$B$4,$B$5,$F30,$B$6,AB$10,$A30,$B30)</f>
        <v>10872961.082557354</v>
      </c>
      <c r="AC30" s="4">
        <f ca="1">_xll.DBRW($B$1,$B$2,$B$7,$B$3,$B$4,$B$5,$F30,$B$6,AC$10,$A30,$B30)</f>
        <v>8691694.577542292</v>
      </c>
      <c r="AD30" s="4">
        <f ca="1">_xll.DBRW($B$1,$B$2,$B$7,$B$3,$B$4,$B$5,$F30,$B$6,AD$10,$A30,$B30)</f>
        <v>0</v>
      </c>
      <c r="AE30" s="4">
        <f ca="1">_xll.DBRW($B$1,$B$2,$B$7,$B$3,$B$4,$B$5,$F30,$B$6,AE$10,$A30,$B30)</f>
        <v>0</v>
      </c>
    </row>
    <row r="31" spans="1:31">
      <c r="A31" s="1" t="s">
        <v>153</v>
      </c>
      <c r="B31" s="5" t="s">
        <v>174</v>
      </c>
      <c r="C31" s="5" t="s">
        <v>159</v>
      </c>
      <c r="D31" s="5" t="s">
        <v>21</v>
      </c>
      <c r="E31" s="5" t="s">
        <v>38</v>
      </c>
      <c r="F31" s="5" t="s">
        <v>22</v>
      </c>
      <c r="G31" s="6"/>
      <c r="H31" s="6"/>
      <c r="I31" s="6"/>
      <c r="J31" s="6"/>
      <c r="K31" s="6"/>
      <c r="L31" s="4">
        <f ca="1">_xll.DBRW($B$1,$B$2,$B$7,$B$3,$B$4,$B$5,$F31,$B$6,L$10,$A31,$B31)</f>
        <v>5175826.1387897199</v>
      </c>
      <c r="M31" s="4">
        <f ca="1">_xll.DBRW($B$1,$B$2,$B$7,$B$3,$B$4,$B$5,$F31,$B$6,M$10,$A31,$B31)</f>
        <v>5284125.3057946758</v>
      </c>
      <c r="N31" s="4">
        <f ca="1">_xll.DBRW($B$1,$B$2,$B$7,$B$3,$B$4,$B$5,$F31,$B$6,N$10,$A31,$B31)</f>
        <v>5486518.8231933601</v>
      </c>
      <c r="O31" s="4">
        <f ca="1">_xll.DBRW($B$1,$B$2,$B$7,$B$3,$B$4,$B$5,$F31,$B$6,O$10,$A31,$B31)</f>
        <v>5402930.5526456162</v>
      </c>
      <c r="P31" s="4">
        <f ca="1">_xll.DBRW($B$1,$B$2,$B$7,$B$3,$B$4,$B$5,$F31,$B$6,P$10,$A31,$B31)</f>
        <v>5299682.0605192306</v>
      </c>
      <c r="Q31" s="4">
        <f ca="1">_xll.DBRW($B$1,$B$2,$B$7,$B$3,$B$4,$B$5,$F31,$B$6,Q$10,$A31,$B31)</f>
        <v>5731977.5131518748</v>
      </c>
      <c r="R31" s="4">
        <f ca="1">_xll.DBRW($B$1,$B$2,$B$7,$B$3,$B$4,$B$5,$F31,$B$6,R$10,$A31,$B31)</f>
        <v>5529395.0326859374</v>
      </c>
      <c r="S31" s="4">
        <f ca="1">_xll.DBRW($B$1,$B$2,$B$7,$B$3,$B$4,$B$5,$F31,$B$6,S$10,$A31,$B31)</f>
        <v>5555485.147943208</v>
      </c>
      <c r="T31" s="4">
        <f ca="1">_xll.DBRW($B$1,$B$2,$B$7,$B$3,$B$4,$B$5,$F31,$B$6,T$10,$A31,$B31)</f>
        <v>4969016.6280218204</v>
      </c>
      <c r="U31" s="4">
        <f ca="1">_xll.DBRW($B$1,$B$2,$B$7,$B$3,$B$4,$B$5,$F31,$B$6,U$10,$A31,$B31)</f>
        <v>4625534.7951003453</v>
      </c>
      <c r="V31" s="4">
        <f ca="1">_xll.DBRW($B$1,$B$2,$B$7,$B$3,$B$4,$B$5,$F31,$B$6,V$10,$A31,$B31)</f>
        <v>5619321.573890972</v>
      </c>
      <c r="W31" s="4">
        <f ca="1">_xll.DBRW($B$1,$B$2,$B$7,$B$3,$B$4,$B$5,$F31,$B$6,W$10,$A31,$B31)</f>
        <v>5060252.8248389084</v>
      </c>
      <c r="X31" s="4">
        <f ca="1">_xll.DBRW($B$1,$B$2,$B$7,$B$3,$B$4,$B$5,$F31,$B$6,X$10,$A31,$B31)</f>
        <v>5467027.0459247781</v>
      </c>
      <c r="Y31" s="4">
        <f ca="1">_xll.DBRW($B$1,$B$2,$B$7,$B$3,$B$4,$B$5,$F31,$B$6,Y$10,$A31,$B31)</f>
        <v>5424958.1164026763</v>
      </c>
      <c r="Z31" s="4">
        <f ca="1">_xll.DBRW($B$1,$B$2,$B$7,$B$3,$B$4,$B$5,$F31,$B$6,Z$10,$A31,$B31)</f>
        <v>5425894.9585258998</v>
      </c>
      <c r="AA31" s="4">
        <f ca="1">_xll.DBRW($B$1,$B$2,$B$7,$B$3,$B$4,$B$5,$F31,$B$6,AA$10,$A31,$B31)</f>
        <v>5227931.5210025134</v>
      </c>
      <c r="AB31" s="4">
        <f ca="1">_xll.DBRW($B$1,$B$2,$B$7,$B$3,$B$4,$B$5,$F31,$B$6,AB$10,$A31,$B31)</f>
        <v>4890848.0110214474</v>
      </c>
      <c r="AC31" s="4">
        <f ca="1">_xll.DBRW($B$1,$B$2,$B$7,$B$3,$B$4,$B$5,$F31,$B$6,AC$10,$A31,$B31)</f>
        <v>5371130.4264704604</v>
      </c>
      <c r="AD31" s="4">
        <f ca="1">_xll.DBRW($B$1,$B$2,$B$7,$B$3,$B$4,$B$5,$F31,$B$6,AD$10,$A31,$B31)</f>
        <v>5270921.842710143</v>
      </c>
      <c r="AE31" s="4">
        <f ca="1">_xll.DBRW($B$1,$B$2,$B$7,$B$3,$B$4,$B$5,$F31,$B$6,AE$10,$A31,$B31)</f>
        <v>5097532.6468757708</v>
      </c>
    </row>
    <row r="32" spans="1:31">
      <c r="A32" s="1" t="s">
        <v>153</v>
      </c>
      <c r="B32" s="5" t="s">
        <v>41</v>
      </c>
      <c r="C32" s="5" t="s">
        <v>37</v>
      </c>
      <c r="D32" s="5" t="s">
        <v>38</v>
      </c>
      <c r="E32" s="5" t="s">
        <v>21</v>
      </c>
      <c r="F32" s="5" t="s">
        <v>22</v>
      </c>
      <c r="G32" s="6"/>
      <c r="H32" s="6"/>
      <c r="I32" s="6"/>
      <c r="J32" s="6"/>
      <c r="K32" s="6"/>
      <c r="L32" s="4">
        <f ca="1">_xll.DBRW($B$1,$B$2,$B$7,$B$3,$B$4,$B$5,$F32,$B$6,L$10,$A32,$B32)</f>
        <v>5129695.7810464967</v>
      </c>
      <c r="M32" s="4">
        <f ca="1">_xll.DBRW($B$1,$B$2,$B$7,$B$3,$B$4,$B$5,$F32,$B$6,M$10,$A32,$B32)</f>
        <v>5284125.3057946758</v>
      </c>
      <c r="N32" s="4">
        <f ca="1">_xll.DBRW($B$1,$B$2,$B$7,$B$3,$B$4,$B$5,$F32,$B$6,N$10,$A32,$B32)</f>
        <v>5271850.6617763313</v>
      </c>
      <c r="O32" s="4">
        <f ca="1">_xll.DBRW($B$1,$B$2,$B$7,$B$3,$B$4,$B$5,$F32,$B$6,O$10,$A32,$B32)</f>
        <v>5174436.5733266827</v>
      </c>
      <c r="P32" s="4">
        <f ca="1">_xll.DBRW($B$1,$B$2,$B$7,$B$3,$B$4,$B$5,$F32,$B$6,P$10,$A32,$B32)</f>
        <v>5299682.0605192306</v>
      </c>
      <c r="Q32" s="4">
        <f ca="1">_xll.DBRW($B$1,$B$2,$B$7,$B$3,$B$4,$B$5,$F32,$B$6,Q$10,$A32,$B32)</f>
        <v>5731977.5131518748</v>
      </c>
      <c r="R32" s="4">
        <f ca="1">_xll.DBRW($B$1,$B$2,$B$7,$B$3,$B$4,$B$5,$F32,$B$6,R$10,$A32,$B32)</f>
        <v>5529395.0326859374</v>
      </c>
      <c r="S32" s="4">
        <f ca="1">_xll.DBRW($B$1,$B$2,$B$7,$B$3,$B$4,$B$5,$F32,$B$6,S$10,$A32,$B32)</f>
        <v>5555485.147943208</v>
      </c>
      <c r="T32" s="4">
        <f ca="1">_xll.DBRW($B$1,$B$2,$B$7,$B$3,$B$4,$B$5,$F32,$B$6,T$10,$A32,$B32)</f>
        <v>4630761.4213204319</v>
      </c>
      <c r="U32" s="4">
        <f ca="1">_xll.DBRW($B$1,$B$2,$B$7,$B$3,$B$4,$B$5,$F32,$B$6,U$10,$A32,$B32)</f>
        <v>4329026.1543887844</v>
      </c>
      <c r="V32" s="4">
        <f ca="1">_xll.DBRW($B$1,$B$2,$B$7,$B$3,$B$4,$B$5,$F32,$B$6,V$10,$A32,$B32)</f>
        <v>5428558.9598403573</v>
      </c>
      <c r="W32" s="4">
        <f ca="1">_xll.DBRW($B$1,$B$2,$B$7,$B$3,$B$4,$B$5,$F32,$B$6,W$10,$A32,$B32)</f>
        <v>5591834.9397714809</v>
      </c>
      <c r="X32" s="4">
        <f ca="1">_xll.DBRW($B$1,$B$2,$B$7,$B$3,$B$4,$B$5,$F32,$B$6,X$10,$A32,$B32)</f>
        <v>6085038.798942362</v>
      </c>
      <c r="Y32" s="4">
        <f ca="1">_xll.DBRW($B$1,$B$2,$B$7,$B$3,$B$4,$B$5,$F32,$B$6,Y$10,$A32,$B32)</f>
        <v>6065442.576159603</v>
      </c>
      <c r="Z32" s="4">
        <f ca="1">_xll.DBRW($B$1,$B$2,$B$7,$B$3,$B$4,$B$5,$F32,$B$6,Z$10,$A32,$B32)</f>
        <v>6047667.4464274952</v>
      </c>
      <c r="AA32" s="4">
        <f ca="1">_xll.DBRW($B$1,$B$2,$B$7,$B$3,$B$4,$B$5,$F32,$B$6,AA$10,$A32,$B32)</f>
        <v>5752743.1794815296</v>
      </c>
      <c r="AB32" s="4">
        <f ca="1">_xll.DBRW($B$1,$B$2,$B$7,$B$3,$B$4,$B$5,$F32,$B$6,AB$10,$A32,$B32)</f>
        <v>5468857.3214148916</v>
      </c>
      <c r="AC32" s="4">
        <f ca="1">_xll.DBRW($B$1,$B$2,$B$7,$B$3,$B$4,$B$5,$F32,$B$6,AC$10,$A32,$B32)</f>
        <v>5702937.7115033846</v>
      </c>
      <c r="AD32" s="4">
        <f ca="1">_xll.DBRW($B$1,$B$2,$B$7,$B$3,$B$4,$B$5,$F32,$B$6,AD$10,$A32,$B32)</f>
        <v>5017917.5942600565</v>
      </c>
      <c r="AE32" s="4">
        <f ca="1">_xll.DBRW($B$1,$B$2,$B$7,$B$3,$B$4,$B$5,$F32,$B$6,AE$10,$A32,$B32)</f>
        <v>4667443.6028440669</v>
      </c>
    </row>
    <row r="33" spans="1:31">
      <c r="A33" s="1" t="s">
        <v>153</v>
      </c>
      <c r="B33" s="5" t="s">
        <v>175</v>
      </c>
      <c r="C33" s="5" t="s">
        <v>159</v>
      </c>
      <c r="D33" s="5" t="s">
        <v>21</v>
      </c>
      <c r="E33" s="5" t="s">
        <v>38</v>
      </c>
      <c r="F33" s="5" t="s">
        <v>22</v>
      </c>
      <c r="G33" s="6"/>
      <c r="H33" s="6"/>
      <c r="I33" s="6"/>
      <c r="J33" s="6"/>
      <c r="K33" s="6"/>
      <c r="L33" s="4">
        <f ca="1">_xll.DBRW($B$1,$B$2,$B$7,$B$3,$B$4,$B$5,$F33,$B$6,L$10,$A33,$B33)</f>
        <v>1877505.5601492121</v>
      </c>
      <c r="M33" s="4">
        <f ca="1">_xll.DBRW($B$1,$B$2,$B$7,$B$3,$B$4,$B$5,$F33,$B$6,M$10,$A33,$B33)</f>
        <v>4987264.3335590195</v>
      </c>
      <c r="N33" s="4">
        <f ca="1">_xll.DBRW($B$1,$B$2,$B$7,$B$3,$B$4,$B$5,$F33,$B$6,N$10,$A33,$B33)</f>
        <v>5241896.96483442</v>
      </c>
      <c r="O33" s="4">
        <f ca="1">_xll.DBRW($B$1,$B$2,$B$7,$B$3,$B$4,$B$5,$F33,$B$6,O$10,$A33,$B33)</f>
        <v>4950702.8852435602</v>
      </c>
      <c r="P33" s="4">
        <f ca="1">_xll.DBRW($B$1,$B$2,$B$7,$B$3,$B$4,$B$5,$F33,$B$6,P$10,$A33,$B33)</f>
        <v>5058787.4214047194</v>
      </c>
      <c r="Q33" s="4">
        <f ca="1">_xll.DBRW($B$1,$B$2,$B$7,$B$3,$B$4,$B$5,$F33,$B$6,Q$10,$A33,$B33)</f>
        <v>4602317.7112898268</v>
      </c>
      <c r="R33" s="4">
        <f ca="1">_xll.DBRW($B$1,$B$2,$B$7,$B$3,$B$4,$B$5,$F33,$B$6,R$10,$A33,$B33)</f>
        <v>0</v>
      </c>
      <c r="S33" s="4">
        <f ca="1">_xll.DBRW($B$1,$B$2,$B$7,$B$3,$B$4,$B$5,$F33,$B$6,S$10,$A33,$B33)</f>
        <v>0</v>
      </c>
      <c r="T33" s="4">
        <f ca="1">_xll.DBRW($B$1,$B$2,$B$7,$B$3,$B$4,$B$5,$F33,$B$6,T$10,$A33,$B33)</f>
        <v>0</v>
      </c>
      <c r="U33" s="4">
        <f ca="1">_xll.DBRW($B$1,$B$2,$B$7,$B$3,$B$4,$B$5,$F33,$B$6,U$10,$A33,$B33)</f>
        <v>0</v>
      </c>
      <c r="V33" s="4">
        <f ca="1">_xll.DBRW($B$1,$B$2,$B$7,$B$3,$B$4,$B$5,$F33,$B$6,V$10,$A33,$B33)</f>
        <v>337922.34488966083</v>
      </c>
      <c r="W33" s="4">
        <f ca="1">_xll.DBRW($B$1,$B$2,$B$7,$B$3,$B$4,$B$5,$F33,$B$6,W$10,$A33,$B33)</f>
        <v>3327499.584818312</v>
      </c>
      <c r="X33" s="4">
        <f ca="1">_xll.DBRW($B$1,$B$2,$B$7,$B$3,$B$4,$B$5,$F33,$B$6,X$10,$A33,$B33)</f>
        <v>3602427.4834016412</v>
      </c>
      <c r="Y33" s="4">
        <f ca="1">_xll.DBRW($B$1,$B$2,$B$7,$B$3,$B$4,$B$5,$F33,$B$6,Y$10,$A33,$B33)</f>
        <v>3733422.2355061821</v>
      </c>
      <c r="Z33" s="4">
        <f ca="1">_xll.DBRW($B$1,$B$2,$B$7,$B$3,$B$4,$B$5,$F33,$B$6,Z$10,$A33,$B33)</f>
        <v>3624349.0320417853</v>
      </c>
      <c r="AA33" s="4">
        <f ca="1">_xll.DBRW($B$1,$B$2,$B$7,$B$3,$B$4,$B$5,$F33,$B$6,AA$10,$A33,$B33)</f>
        <v>3441553.3757950906</v>
      </c>
      <c r="AB33" s="4">
        <f ca="1">_xll.DBRW($B$1,$B$2,$B$7,$B$3,$B$4,$B$5,$F33,$B$6,AB$10,$A33,$B33)</f>
        <v>3369250.8520369972</v>
      </c>
      <c r="AC33" s="4">
        <f ca="1">_xll.DBRW($B$1,$B$2,$B$7,$B$3,$B$4,$B$5,$F33,$B$6,AC$10,$A33,$B33)</f>
        <v>2571506.4590051626</v>
      </c>
      <c r="AD33" s="4">
        <f ca="1">_xll.DBRW($B$1,$B$2,$B$7,$B$3,$B$4,$B$5,$F33,$B$6,AD$10,$A33,$B33)</f>
        <v>0</v>
      </c>
      <c r="AE33" s="4">
        <f ca="1">_xll.DBRW($B$1,$B$2,$B$7,$B$3,$B$4,$B$5,$F33,$B$6,AE$10,$A33,$B33)</f>
        <v>0</v>
      </c>
    </row>
    <row r="34" spans="1:31">
      <c r="A34" s="1" t="s">
        <v>153</v>
      </c>
      <c r="B34" s="5" t="s">
        <v>42</v>
      </c>
      <c r="C34" s="5" t="s">
        <v>37</v>
      </c>
      <c r="D34" s="5" t="s">
        <v>38</v>
      </c>
      <c r="E34" s="5" t="s">
        <v>21</v>
      </c>
      <c r="F34" s="5" t="s">
        <v>22</v>
      </c>
      <c r="G34" s="6"/>
      <c r="H34" s="6"/>
      <c r="I34" s="6"/>
      <c r="J34" s="6"/>
      <c r="K34" s="6"/>
      <c r="L34" s="4">
        <f ca="1">_xll.DBRW($B$1,$B$2,$B$7,$B$3,$B$4,$B$5,$F34,$B$6,L$10,$A34,$B34)</f>
        <v>1960540.2040870152</v>
      </c>
      <c r="M34" s="4">
        <f ca="1">_xll.DBRW($B$1,$B$2,$B$7,$B$3,$B$4,$B$5,$F34,$B$6,M$10,$A34,$B34)</f>
        <v>5180223.9655121965</v>
      </c>
      <c r="N34" s="4">
        <f ca="1">_xll.DBRW($B$1,$B$2,$B$7,$B$3,$B$4,$B$5,$F34,$B$6,N$10,$A34,$B34)</f>
        <v>5256873.8133053752</v>
      </c>
      <c r="O34" s="4">
        <f ca="1">_xll.DBRW($B$1,$B$2,$B$7,$B$3,$B$4,$B$5,$F34,$B$6,O$10,$A34,$B34)</f>
        <v>5250601.2330996608</v>
      </c>
      <c r="P34" s="4">
        <f ca="1">_xll.DBRW($B$1,$B$2,$B$7,$B$3,$B$4,$B$5,$F34,$B$6,P$10,$A34,$B34)</f>
        <v>6443931.5963131543</v>
      </c>
      <c r="Q34" s="4">
        <f ca="1">_xll.DBRW($B$1,$B$2,$B$7,$B$3,$B$4,$B$5,$F34,$B$6,Q$10,$A34,$B34)</f>
        <v>5857495.2689143252</v>
      </c>
      <c r="R34" s="4">
        <f ca="1">_xll.DBRW($B$1,$B$2,$B$7,$B$3,$B$4,$B$5,$F34,$B$6,R$10,$A34,$B34)</f>
        <v>0</v>
      </c>
      <c r="S34" s="4">
        <f ca="1">_xll.DBRW($B$1,$B$2,$B$7,$B$3,$B$4,$B$5,$F34,$B$6,S$10,$A34,$B34)</f>
        <v>0</v>
      </c>
      <c r="T34" s="4">
        <f ca="1">_xll.DBRW($B$1,$B$2,$B$7,$B$3,$B$4,$B$5,$F34,$B$6,T$10,$A34,$B34)</f>
        <v>0</v>
      </c>
      <c r="U34" s="4">
        <f ca="1">_xll.DBRW($B$1,$B$2,$B$7,$B$3,$B$4,$B$5,$F34,$B$6,U$10,$A34,$B34)</f>
        <v>0</v>
      </c>
      <c r="V34" s="4">
        <f ca="1">_xll.DBRW($B$1,$B$2,$B$7,$B$3,$B$4,$B$5,$F34,$B$6,V$10,$A34,$B34)</f>
        <v>337922.34488966083</v>
      </c>
      <c r="W34" s="4">
        <f ca="1">_xll.DBRW($B$1,$B$2,$B$7,$B$3,$B$4,$B$5,$F34,$B$6,W$10,$A34,$B34)</f>
        <v>3327499.584818312</v>
      </c>
      <c r="X34" s="4">
        <f ca="1">_xll.DBRW($B$1,$B$2,$B$7,$B$3,$B$4,$B$5,$F34,$B$6,X$10,$A34,$B34)</f>
        <v>3602427.4834016412</v>
      </c>
      <c r="Y34" s="4">
        <f ca="1">_xll.DBRW($B$1,$B$2,$B$7,$B$3,$B$4,$B$5,$F34,$B$6,Y$10,$A34,$B34)</f>
        <v>3733422.2355061821</v>
      </c>
      <c r="Z34" s="4">
        <f ca="1">_xll.DBRW($B$1,$B$2,$B$7,$B$3,$B$4,$B$5,$F34,$B$6,Z$10,$A34,$B34)</f>
        <v>3624349.0320417853</v>
      </c>
      <c r="AA34" s="4">
        <f ca="1">_xll.DBRW($B$1,$B$2,$B$7,$B$3,$B$4,$B$5,$F34,$B$6,AA$10,$A34,$B34)</f>
        <v>3441553.3757950906</v>
      </c>
      <c r="AB34" s="4">
        <f ca="1">_xll.DBRW($B$1,$B$2,$B$7,$B$3,$B$4,$B$5,$F34,$B$6,AB$10,$A34,$B34)</f>
        <v>3369250.8520369972</v>
      </c>
      <c r="AC34" s="4">
        <f ca="1">_xll.DBRW($B$1,$B$2,$B$7,$B$3,$B$4,$B$5,$F34,$B$6,AC$10,$A34,$B34)</f>
        <v>2571506.4590051626</v>
      </c>
      <c r="AD34" s="4">
        <f ca="1">_xll.DBRW($B$1,$B$2,$B$7,$B$3,$B$4,$B$5,$F34,$B$6,AD$10,$A34,$B34)</f>
        <v>0</v>
      </c>
      <c r="AE34" s="4">
        <f ca="1">_xll.DBRW($B$1,$B$2,$B$7,$B$3,$B$4,$B$5,$F34,$B$6,AE$10,$A34,$B34)</f>
        <v>0</v>
      </c>
    </row>
    <row r="35" spans="1:31">
      <c r="A35" s="1" t="s">
        <v>153</v>
      </c>
      <c r="B35" s="5" t="s">
        <v>176</v>
      </c>
      <c r="C35" s="5" t="s">
        <v>177</v>
      </c>
      <c r="D35" s="5" t="s">
        <v>28</v>
      </c>
      <c r="E35" s="5" t="s">
        <v>59</v>
      </c>
      <c r="F35" s="5" t="s">
        <v>22</v>
      </c>
      <c r="G35" s="6"/>
      <c r="H35" s="6"/>
      <c r="I35" s="6"/>
      <c r="J35" s="6"/>
      <c r="K35" s="6"/>
      <c r="L35" s="4">
        <f ca="1">_xll.DBRW($B$1,$B$2,$B$7,$B$3,$B$4,$B$5,$F35,$B$6,L$10,$A35,$B35)</f>
        <v>2087638.08</v>
      </c>
      <c r="M35" s="4">
        <f ca="1">_xll.DBRW($B$1,$B$2,$B$7,$B$3,$B$4,$B$5,$F35,$B$6,M$10,$A35,$B35)</f>
        <v>1789039.4778149398</v>
      </c>
      <c r="N35" s="4">
        <f ca="1">_xll.DBRW($B$1,$B$2,$B$7,$B$3,$B$4,$B$5,$F35,$B$6,N$10,$A35,$B35)</f>
        <v>1832409.6</v>
      </c>
      <c r="O35" s="4">
        <f ca="1">_xll.DBRW($B$1,$B$2,$B$7,$B$3,$B$4,$B$5,$F35,$B$6,O$10,$A35,$B35)</f>
        <v>2159625.6</v>
      </c>
      <c r="P35" s="4">
        <f ca="1">_xll.DBRW($B$1,$B$2,$B$7,$B$3,$B$4,$B$5,$F35,$B$6,P$10,$A35,$B35)</f>
        <v>1906578.56</v>
      </c>
      <c r="Q35" s="4">
        <f ca="1">_xll.DBRW($B$1,$B$2,$B$7,$B$3,$B$4,$B$5,$F35,$B$6,Q$10,$A35,$B35)</f>
        <v>2386904.38</v>
      </c>
      <c r="R35" s="4">
        <f ca="1">_xll.DBRW($B$1,$B$2,$B$7,$B$3,$B$4,$B$5,$F35,$B$6,R$10,$A35,$B35)</f>
        <v>4647489.75</v>
      </c>
      <c r="S35" s="4">
        <f ca="1">_xll.DBRW($B$1,$B$2,$B$7,$B$3,$B$4,$B$5,$F35,$B$6,S$10,$A35,$B35)</f>
        <v>4795759.5</v>
      </c>
      <c r="T35" s="4">
        <f ca="1">_xll.DBRW($B$1,$B$2,$B$7,$B$3,$B$4,$B$5,$F35,$B$6,T$10,$A35,$B35)</f>
        <v>3349174.9214459704</v>
      </c>
      <c r="U35" s="4">
        <f ca="1">_xll.DBRW($B$1,$B$2,$B$7,$B$3,$B$4,$B$5,$F35,$B$6,U$10,$A35,$B35)</f>
        <v>3025061.2193705533</v>
      </c>
      <c r="V35" s="4">
        <f ca="1">_xll.DBRW($B$1,$B$2,$B$7,$B$3,$B$4,$B$5,$F35,$B$6,V$10,$A35,$B35)</f>
        <v>3454131.021964001</v>
      </c>
      <c r="W35" s="4">
        <f ca="1">_xll.DBRW($B$1,$B$2,$B$7,$B$3,$B$4,$B$5,$F35,$B$6,W$10,$A35,$B35)</f>
        <v>4164423.4167937967</v>
      </c>
      <c r="X35" s="4">
        <f ca="1">_xll.DBRW($B$1,$B$2,$B$7,$B$3,$B$4,$B$5,$F35,$B$6,X$10,$A35,$B35)</f>
        <v>3354683.8413716466</v>
      </c>
      <c r="Y35" s="4">
        <f ca="1">_xll.DBRW($B$1,$B$2,$B$7,$B$3,$B$4,$B$5,$F35,$B$6,Y$10,$A35,$B35)</f>
        <v>3924080.6666817367</v>
      </c>
      <c r="Z35" s="4">
        <f ca="1">_xll.DBRW($B$1,$B$2,$B$7,$B$3,$B$4,$B$5,$F35,$B$6,Z$10,$A35,$B35)</f>
        <v>4140272.4774858495</v>
      </c>
      <c r="AA35" s="4">
        <f ca="1">_xll.DBRW($B$1,$B$2,$B$7,$B$3,$B$4,$B$5,$F35,$B$6,AA$10,$A35,$B35)</f>
        <v>4665886.8361273492</v>
      </c>
      <c r="AB35" s="4">
        <f ca="1">_xll.DBRW($B$1,$B$2,$B$7,$B$3,$B$4,$B$5,$F35,$B$6,AB$10,$A35,$B35)</f>
        <v>4009251.7265139897</v>
      </c>
      <c r="AC35" s="4">
        <f ca="1">_xll.DBRW($B$1,$B$2,$B$7,$B$3,$B$4,$B$5,$F35,$B$6,AC$10,$A35,$B35)</f>
        <v>4218649.2363036824</v>
      </c>
      <c r="AD35" s="4">
        <f ca="1">_xll.DBRW($B$1,$B$2,$B$7,$B$3,$B$4,$B$5,$F35,$B$6,AD$10,$A35,$B35)</f>
        <v>2892288.7208521743</v>
      </c>
      <c r="AE35" s="4">
        <f ca="1">_xll.DBRW($B$1,$B$2,$B$7,$B$3,$B$4,$B$5,$F35,$B$6,AE$10,$A35,$B35)</f>
        <v>2604476.3746060487</v>
      </c>
    </row>
    <row r="36" spans="1:31">
      <c r="A36" s="1" t="s">
        <v>153</v>
      </c>
      <c r="B36" s="5" t="s">
        <v>64</v>
      </c>
      <c r="C36" s="5" t="s">
        <v>65</v>
      </c>
      <c r="D36" s="5" t="s">
        <v>59</v>
      </c>
      <c r="E36" s="5" t="s">
        <v>28</v>
      </c>
      <c r="F36" s="5" t="s">
        <v>22</v>
      </c>
      <c r="G36" s="6"/>
      <c r="H36" s="6"/>
      <c r="I36" s="6"/>
      <c r="J36" s="6"/>
      <c r="K36" s="6"/>
      <c r="L36" s="4">
        <f ca="1">_xll.DBRW($B$1,$B$2,$B$7,$B$3,$B$4,$B$5,$F36,$B$6,L$10,$A36,$B36)</f>
        <v>2087638.08</v>
      </c>
      <c r="M36" s="4">
        <f ca="1">_xll.DBRW($B$1,$B$2,$B$7,$B$3,$B$4,$B$5,$F36,$B$6,M$10,$A36,$B36)</f>
        <v>2186603.80621826</v>
      </c>
      <c r="N36" s="4">
        <f ca="1">_xll.DBRW($B$1,$B$2,$B$7,$B$3,$B$4,$B$5,$F36,$B$6,N$10,$A36,$B36)</f>
        <v>1919667.2000000002</v>
      </c>
      <c r="O36" s="4">
        <f ca="1">_xll.DBRW($B$1,$B$2,$B$7,$B$3,$B$4,$B$5,$F36,$B$6,O$10,$A36,$B36)</f>
        <v>2159625.6</v>
      </c>
      <c r="P36" s="4">
        <f ca="1">_xll.DBRW($B$1,$B$2,$B$7,$B$3,$B$4,$B$5,$F36,$B$6,P$10,$A36,$B36)</f>
        <v>2207617.2800000003</v>
      </c>
      <c r="Q36" s="4">
        <f ca="1">_xll.DBRW($B$1,$B$2,$B$7,$B$3,$B$4,$B$5,$F36,$B$6,Q$10,$A36,$B36)</f>
        <v>2487523.2999999998</v>
      </c>
      <c r="R36" s="4">
        <f ca="1">_xll.DBRW($B$1,$B$2,$B$7,$B$3,$B$4,$B$5,$F36,$B$6,R$10,$A36,$B36)</f>
        <v>4637264.25</v>
      </c>
      <c r="S36" s="4">
        <f ca="1">_xll.DBRW($B$1,$B$2,$B$7,$B$3,$B$4,$B$5,$F36,$B$6,S$10,$A36,$B36)</f>
        <v>4795759.5</v>
      </c>
      <c r="T36" s="4">
        <f ca="1">_xll.DBRW($B$1,$B$2,$B$7,$B$3,$B$4,$B$5,$F36,$B$6,T$10,$A36,$B36)</f>
        <v>3349174.9214459704</v>
      </c>
      <c r="U36" s="4">
        <f ca="1">_xll.DBRW($B$1,$B$2,$B$7,$B$3,$B$4,$B$5,$F36,$B$6,U$10,$A36,$B36)</f>
        <v>3025061.2193705533</v>
      </c>
      <c r="V36" s="4">
        <f ca="1">_xll.DBRW($B$1,$B$2,$B$7,$B$3,$B$4,$B$5,$F36,$B$6,V$10,$A36,$B36)</f>
        <v>3454131.021964001</v>
      </c>
      <c r="W36" s="4">
        <f ca="1">_xll.DBRW($B$1,$B$2,$B$7,$B$3,$B$4,$B$5,$F36,$B$6,W$10,$A36,$B36)</f>
        <v>4637653.3505203649</v>
      </c>
      <c r="X36" s="4">
        <f ca="1">_xll.DBRW($B$1,$B$2,$B$7,$B$3,$B$4,$B$5,$F36,$B$6,X$10,$A36,$B36)</f>
        <v>3645973.3210855378</v>
      </c>
      <c r="Y36" s="4">
        <f ca="1">_xll.DBRW($B$1,$B$2,$B$7,$B$3,$B$4,$B$5,$F36,$B$6,Y$10,$A36,$B36)</f>
        <v>4265305.0724801477</v>
      </c>
      <c r="Z36" s="4">
        <f ca="1">_xll.DBRW($B$1,$B$2,$B$7,$B$3,$B$4,$B$5,$F36,$B$6,Z$10,$A36,$B36)</f>
        <v>4499775.1528102364</v>
      </c>
      <c r="AA36" s="4">
        <f ca="1">_xll.DBRW($B$1,$B$2,$B$7,$B$3,$B$4,$B$5,$F36,$B$6,AA$10,$A36,$B36)</f>
        <v>5172314.4956201874</v>
      </c>
      <c r="AB36" s="4">
        <f ca="1">_xll.DBRW($B$1,$B$2,$B$7,$B$3,$B$4,$B$5,$F36,$B$6,AB$10,$A36,$B36)</f>
        <v>4365629.6577596776</v>
      </c>
      <c r="AC36" s="4">
        <f ca="1">_xll.DBRW($B$1,$B$2,$B$7,$B$3,$B$4,$B$5,$F36,$B$6,AC$10,$A36,$B36)</f>
        <v>4408031.3227631357</v>
      </c>
      <c r="AD36" s="4">
        <f ca="1">_xll.DBRW($B$1,$B$2,$B$7,$B$3,$B$4,$B$5,$F36,$B$6,AD$10,$A36,$B36)</f>
        <v>2892288.7208521743</v>
      </c>
      <c r="AE36" s="4">
        <f ca="1">_xll.DBRW($B$1,$B$2,$B$7,$B$3,$B$4,$B$5,$F36,$B$6,AE$10,$A36,$B36)</f>
        <v>2520461.0076832729</v>
      </c>
    </row>
    <row r="37" spans="1:31">
      <c r="A37" s="1" t="s">
        <v>153</v>
      </c>
      <c r="B37" s="5" t="s">
        <v>178</v>
      </c>
      <c r="C37" s="5" t="s">
        <v>177</v>
      </c>
      <c r="D37" s="5" t="s">
        <v>28</v>
      </c>
      <c r="E37" s="5" t="s">
        <v>59</v>
      </c>
      <c r="F37" s="5" t="s">
        <v>22</v>
      </c>
      <c r="G37" s="6"/>
      <c r="H37" s="6"/>
      <c r="I37" s="6"/>
      <c r="J37" s="6"/>
      <c r="K37" s="6"/>
      <c r="L37" s="4">
        <f ca="1">_xll.DBRW($B$1,$B$2,$B$7,$B$3,$B$4,$B$5,$F37,$B$6,L$10,$A37,$B37)</f>
        <v>4898832.54</v>
      </c>
      <c r="M37" s="4">
        <f ca="1">_xll.DBRW($B$1,$B$2,$B$7,$B$3,$B$4,$B$5,$F37,$B$6,M$10,$A37,$B37)</f>
        <v>3497323.7014229554</v>
      </c>
      <c r="N37" s="4">
        <f ca="1">_xll.DBRW($B$1,$B$2,$B$7,$B$3,$B$4,$B$5,$F37,$B$6,N$10,$A37,$B37)</f>
        <v>3512118.4000000004</v>
      </c>
      <c r="O37" s="4">
        <f ca="1">_xll.DBRW($B$1,$B$2,$B$7,$B$3,$B$4,$B$5,$F37,$B$6,O$10,$A37,$B37)</f>
        <v>4239492.3</v>
      </c>
      <c r="P37" s="4">
        <f ca="1">_xll.DBRW($B$1,$B$2,$B$7,$B$3,$B$4,$B$5,$F37,$B$6,P$10,$A37,$B37)</f>
        <v>3455673.64</v>
      </c>
      <c r="Q37" s="4">
        <f ca="1">_xll.DBRW($B$1,$B$2,$B$7,$B$3,$B$4,$B$5,$F37,$B$6,Q$10,$A37,$B37)</f>
        <v>2901178.86</v>
      </c>
      <c r="R37" s="4">
        <f ca="1">_xll.DBRW($B$1,$B$2,$B$7,$B$3,$B$4,$B$5,$F37,$B$6,R$10,$A37,$B37)</f>
        <v>0</v>
      </c>
      <c r="S37" s="4">
        <f ca="1">_xll.DBRW($B$1,$B$2,$B$7,$B$3,$B$4,$B$5,$F37,$B$6,S$10,$A37,$B37)</f>
        <v>0</v>
      </c>
      <c r="T37" s="4">
        <f ca="1">_xll.DBRW($B$1,$B$2,$B$7,$B$3,$B$4,$B$5,$F37,$B$6,T$10,$A37,$B37)</f>
        <v>0</v>
      </c>
      <c r="U37" s="4">
        <f ca="1">_xll.DBRW($B$1,$B$2,$B$7,$B$3,$B$4,$B$5,$F37,$B$6,U$10,$A37,$B37)</f>
        <v>0</v>
      </c>
      <c r="V37" s="4">
        <f ca="1">_xll.DBRW($B$1,$B$2,$B$7,$B$3,$B$4,$B$5,$F37,$B$6,V$10,$A37,$B37)</f>
        <v>0</v>
      </c>
      <c r="W37" s="4">
        <f ca="1">_xll.DBRW($B$1,$B$2,$B$7,$B$3,$B$4,$B$5,$F37,$B$6,W$10,$A37,$B37)</f>
        <v>908601.47275501024</v>
      </c>
      <c r="X37" s="4">
        <f ca="1">_xll.DBRW($B$1,$B$2,$B$7,$B$3,$B$4,$B$5,$F37,$B$6,X$10,$A37,$B37)</f>
        <v>699094.75131333887</v>
      </c>
      <c r="Y37" s="4">
        <f ca="1">_xll.DBRW($B$1,$B$2,$B$7,$B$3,$B$4,$B$5,$F37,$B$6,Y$10,$A37,$B37)</f>
        <v>727945.39903661201</v>
      </c>
      <c r="Z37" s="4">
        <f ca="1">_xll.DBRW($B$1,$B$2,$B$7,$B$3,$B$4,$B$5,$F37,$B$6,Z$10,$A37,$B37)</f>
        <v>958673.80086503038</v>
      </c>
      <c r="AA37" s="4">
        <f ca="1">_xll.DBRW($B$1,$B$2,$B$7,$B$3,$B$4,$B$5,$F37,$B$6,AA$10,$A37,$B37)</f>
        <v>864303.20553444396</v>
      </c>
      <c r="AB37" s="4">
        <f ca="1">_xll.DBRW($B$1,$B$2,$B$7,$B$3,$B$4,$B$5,$F37,$B$6,AB$10,$A37,$B37)</f>
        <v>855307.03498965106</v>
      </c>
      <c r="AC37" s="4">
        <f ca="1">_xll.DBRW($B$1,$B$2,$B$7,$B$3,$B$4,$B$5,$F37,$B$6,AC$10,$A37,$B37)</f>
        <v>731406.6787399574</v>
      </c>
      <c r="AD37" s="4">
        <f ca="1">_xll.DBRW($B$1,$B$2,$B$7,$B$3,$B$4,$B$5,$F37,$B$6,AD$10,$A37,$B37)</f>
        <v>0</v>
      </c>
      <c r="AE37" s="4">
        <f ca="1">_xll.DBRW($B$1,$B$2,$B$7,$B$3,$B$4,$B$5,$F37,$B$6,AE$10,$A37,$B37)</f>
        <v>0</v>
      </c>
    </row>
    <row r="38" spans="1:31">
      <c r="A38" s="1" t="s">
        <v>153</v>
      </c>
      <c r="B38" s="5" t="s">
        <v>66</v>
      </c>
      <c r="C38" s="5" t="s">
        <v>65</v>
      </c>
      <c r="D38" s="5" t="s">
        <v>59</v>
      </c>
      <c r="E38" s="5" t="s">
        <v>28</v>
      </c>
      <c r="F38" s="5" t="s">
        <v>22</v>
      </c>
      <c r="G38" s="6"/>
      <c r="H38" s="6"/>
      <c r="I38" s="6"/>
      <c r="J38" s="6"/>
      <c r="K38" s="6"/>
      <c r="L38" s="4">
        <f ca="1">_xll.DBRW($B$1,$B$2,$B$7,$B$3,$B$4,$B$5,$F38,$B$6,L$10,$A38,$B38)</f>
        <v>4809870.6900000004</v>
      </c>
      <c r="M38" s="4">
        <f ca="1">_xll.DBRW($B$1,$B$2,$B$7,$B$3,$B$4,$B$5,$F38,$B$6,M$10,$A38,$B38)</f>
        <v>3292329.5945899934</v>
      </c>
      <c r="N38" s="4">
        <f ca="1">_xll.DBRW($B$1,$B$2,$B$7,$B$3,$B$4,$B$5,$F38,$B$6,N$10,$A38,$B38)</f>
        <v>3424860.8000000003</v>
      </c>
      <c r="O38" s="4">
        <f ca="1">_xll.DBRW($B$1,$B$2,$B$7,$B$3,$B$4,$B$5,$F38,$B$6,O$10,$A38,$B38)</f>
        <v>4239492.3</v>
      </c>
      <c r="P38" s="4">
        <f ca="1">_xll.DBRW($B$1,$B$2,$B$7,$B$3,$B$4,$B$5,$F38,$B$6,P$10,$A38,$B38)</f>
        <v>3154634.92</v>
      </c>
      <c r="Q38" s="4">
        <f ca="1">_xll.DBRW($B$1,$B$2,$B$7,$B$3,$B$4,$B$5,$F38,$B$6,Q$10,$A38,$B38)</f>
        <v>2811739.82</v>
      </c>
      <c r="R38" s="4">
        <f ca="1">_xll.DBRW($B$1,$B$2,$B$7,$B$3,$B$4,$B$5,$F38,$B$6,R$10,$A38,$B38)</f>
        <v>0</v>
      </c>
      <c r="S38" s="4">
        <f ca="1">_xll.DBRW($B$1,$B$2,$B$7,$B$3,$B$4,$B$5,$F38,$B$6,S$10,$A38,$B38)</f>
        <v>0</v>
      </c>
      <c r="T38" s="4">
        <f ca="1">_xll.DBRW($B$1,$B$2,$B$7,$B$3,$B$4,$B$5,$F38,$B$6,T$10,$A38,$B38)</f>
        <v>0</v>
      </c>
      <c r="U38" s="4">
        <f ca="1">_xll.DBRW($B$1,$B$2,$B$7,$B$3,$B$4,$B$5,$F38,$B$6,U$10,$A38,$B38)</f>
        <v>0</v>
      </c>
      <c r="V38" s="4">
        <f ca="1">_xll.DBRW($B$1,$B$2,$B$7,$B$3,$B$4,$B$5,$F38,$B$6,V$10,$A38,$B38)</f>
        <v>0</v>
      </c>
      <c r="W38" s="4">
        <f ca="1">_xll.DBRW($B$1,$B$2,$B$7,$B$3,$B$4,$B$5,$F38,$B$6,W$10,$A38,$B38)</f>
        <v>908601.47275501024</v>
      </c>
      <c r="X38" s="4">
        <f ca="1">_xll.DBRW($B$1,$B$2,$B$7,$B$3,$B$4,$B$5,$F38,$B$6,X$10,$A38,$B38)</f>
        <v>699094.75131333887</v>
      </c>
      <c r="Y38" s="4">
        <f ca="1">_xll.DBRW($B$1,$B$2,$B$7,$B$3,$B$4,$B$5,$F38,$B$6,Y$10,$A38,$B38)</f>
        <v>727945.39903661201</v>
      </c>
      <c r="Z38" s="4">
        <f ca="1">_xll.DBRW($B$1,$B$2,$B$7,$B$3,$B$4,$B$5,$F38,$B$6,Z$10,$A38,$B38)</f>
        <v>958673.80086503038</v>
      </c>
      <c r="AA38" s="4">
        <f ca="1">_xll.DBRW($B$1,$B$2,$B$7,$B$3,$B$4,$B$5,$F38,$B$6,AA$10,$A38,$B38)</f>
        <v>864303.20553444396</v>
      </c>
      <c r="AB38" s="4">
        <f ca="1">_xll.DBRW($B$1,$B$2,$B$7,$B$3,$B$4,$B$5,$F38,$B$6,AB$10,$A38,$B38)</f>
        <v>855307.03498965106</v>
      </c>
      <c r="AC38" s="4">
        <f ca="1">_xll.DBRW($B$1,$B$2,$B$7,$B$3,$B$4,$B$5,$F38,$B$6,AC$10,$A38,$B38)</f>
        <v>731406.6787399574</v>
      </c>
      <c r="AD38" s="4">
        <f ca="1">_xll.DBRW($B$1,$B$2,$B$7,$B$3,$B$4,$B$5,$F38,$B$6,AD$10,$A38,$B38)</f>
        <v>0</v>
      </c>
      <c r="AE38" s="4">
        <f ca="1">_xll.DBRW($B$1,$B$2,$B$7,$B$3,$B$4,$B$5,$F38,$B$6,AE$10,$A38,$B38)</f>
        <v>0</v>
      </c>
    </row>
    <row r="39" spans="1:31">
      <c r="A39" s="1" t="s">
        <v>153</v>
      </c>
      <c r="B39" s="5" t="s">
        <v>179</v>
      </c>
      <c r="C39" s="5" t="s">
        <v>180</v>
      </c>
      <c r="D39" s="5" t="s">
        <v>28</v>
      </c>
      <c r="E39" s="5" t="s">
        <v>181</v>
      </c>
      <c r="F39" s="5" t="s">
        <v>22</v>
      </c>
      <c r="G39" s="6"/>
      <c r="H39" s="6"/>
      <c r="I39" s="6"/>
      <c r="J39" s="6"/>
      <c r="K39" s="6"/>
      <c r="L39" s="4">
        <f ca="1">_xll.DBRW($B$1,$B$2,$B$7,$B$3,$B$4,$B$5,$F39,$B$6,L$10,$A39,$B39)</f>
        <v>0</v>
      </c>
      <c r="M39" s="4">
        <f ca="1">_xll.DBRW($B$1,$B$2,$B$7,$B$3,$B$4,$B$5,$F39,$B$6,M$10,$A39,$B39)</f>
        <v>0</v>
      </c>
      <c r="N39" s="4">
        <f ca="1">_xll.DBRW($B$1,$B$2,$B$7,$B$3,$B$4,$B$5,$F39,$B$6,N$10,$A39,$B39)</f>
        <v>0</v>
      </c>
      <c r="O39" s="4">
        <f ca="1">_xll.DBRW($B$1,$B$2,$B$7,$B$3,$B$4,$B$5,$F39,$B$6,O$10,$A39,$B39)</f>
        <v>0</v>
      </c>
      <c r="P39" s="4">
        <f ca="1">_xll.DBRW($B$1,$B$2,$B$7,$B$3,$B$4,$B$5,$F39,$B$6,P$10,$A39,$B39)</f>
        <v>0</v>
      </c>
      <c r="Q39" s="4">
        <f ca="1">_xll.DBRW($B$1,$B$2,$B$7,$B$3,$B$4,$B$5,$F39,$B$6,Q$10,$A39,$B39)</f>
        <v>971890.92000000016</v>
      </c>
      <c r="R39" s="4">
        <f ca="1">_xll.DBRW($B$1,$B$2,$B$7,$B$3,$B$4,$B$5,$F39,$B$6,R$10,$A39,$B39)</f>
        <v>3071424.51</v>
      </c>
      <c r="S39" s="4">
        <f ca="1">_xll.DBRW($B$1,$B$2,$B$7,$B$3,$B$4,$B$5,$F39,$B$6,S$10,$A39,$B39)</f>
        <v>2990433.6</v>
      </c>
      <c r="T39" s="4">
        <f ca="1">_xll.DBRW($B$1,$B$2,$B$7,$B$3,$B$4,$B$5,$F39,$B$6,T$10,$A39,$B39)</f>
        <v>3367133.7055225233</v>
      </c>
      <c r="U39" s="4">
        <f ca="1">_xll.DBRW($B$1,$B$2,$B$7,$B$3,$B$4,$B$5,$F39,$B$6,U$10,$A39,$B39)</f>
        <v>3291201.8188010198</v>
      </c>
      <c r="V39" s="4">
        <f ca="1">_xll.DBRW($B$1,$B$2,$B$7,$B$3,$B$4,$B$5,$F39,$B$6,V$10,$A39,$B39)</f>
        <v>3176707.0340565415</v>
      </c>
      <c r="W39" s="4">
        <f ca="1">_xll.DBRW($B$1,$B$2,$B$7,$B$3,$B$4,$B$5,$F39,$B$6,W$10,$A39,$B39)</f>
        <v>0</v>
      </c>
      <c r="X39" s="4">
        <f ca="1">_xll.DBRW($B$1,$B$2,$B$7,$B$3,$B$4,$B$5,$F39,$B$6,X$10,$A39,$B39)</f>
        <v>0</v>
      </c>
      <c r="Y39" s="4">
        <f ca="1">_xll.DBRW($B$1,$B$2,$B$7,$B$3,$B$4,$B$5,$F39,$B$6,Y$10,$A39,$B39)</f>
        <v>0</v>
      </c>
      <c r="Z39" s="4">
        <f ca="1">_xll.DBRW($B$1,$B$2,$B$7,$B$3,$B$4,$B$5,$F39,$B$6,Z$10,$A39,$B39)</f>
        <v>0</v>
      </c>
      <c r="AA39" s="4">
        <f ca="1">_xll.DBRW($B$1,$B$2,$B$7,$B$3,$B$4,$B$5,$F39,$B$6,AA$10,$A39,$B39)</f>
        <v>0</v>
      </c>
      <c r="AB39" s="4">
        <f ca="1">_xll.DBRW($B$1,$B$2,$B$7,$B$3,$B$4,$B$5,$F39,$B$6,AB$10,$A39,$B39)</f>
        <v>0</v>
      </c>
      <c r="AC39" s="4">
        <f ca="1">_xll.DBRW($B$1,$B$2,$B$7,$B$3,$B$4,$B$5,$F39,$B$6,AC$10,$A39,$B39)</f>
        <v>568126.95232072263</v>
      </c>
      <c r="AD39" s="4">
        <f ca="1">_xll.DBRW($B$1,$B$2,$B$7,$B$3,$B$4,$B$5,$F39,$B$6,AD$10,$A39,$B39)</f>
        <v>3341809.8798770756</v>
      </c>
      <c r="AE39" s="4">
        <f ca="1">_xll.DBRW($B$1,$B$2,$B$7,$B$3,$B$4,$B$5,$F39,$B$6,AE$10,$A39,$B39)</f>
        <v>3234522.8821758237</v>
      </c>
    </row>
    <row r="40" spans="1:31">
      <c r="A40" s="1" t="s">
        <v>153</v>
      </c>
      <c r="B40" s="5" t="s">
        <v>182</v>
      </c>
      <c r="C40" s="5" t="s">
        <v>183</v>
      </c>
      <c r="D40" s="5" t="s">
        <v>181</v>
      </c>
      <c r="E40" s="5" t="s">
        <v>28</v>
      </c>
      <c r="F40" s="5" t="s">
        <v>22</v>
      </c>
      <c r="G40" s="6"/>
      <c r="H40" s="6"/>
      <c r="I40" s="6"/>
      <c r="J40" s="6"/>
      <c r="K40" s="6"/>
      <c r="L40" s="4">
        <f ca="1">_xll.DBRW($B$1,$B$2,$B$7,$B$3,$B$4,$B$5,$F40,$B$6,L$10,$A40,$B40)</f>
        <v>0</v>
      </c>
      <c r="M40" s="4">
        <f ca="1">_xll.DBRW($B$1,$B$2,$B$7,$B$3,$B$4,$B$5,$F40,$B$6,M$10,$A40,$B40)</f>
        <v>0</v>
      </c>
      <c r="N40" s="4">
        <f ca="1">_xll.DBRW($B$1,$B$2,$B$7,$B$3,$B$4,$B$5,$F40,$B$6,N$10,$A40,$B40)</f>
        <v>0</v>
      </c>
      <c r="O40" s="4">
        <f ca="1">_xll.DBRW($B$1,$B$2,$B$7,$B$3,$B$4,$B$5,$F40,$B$6,O$10,$A40,$B40)</f>
        <v>0</v>
      </c>
      <c r="P40" s="4">
        <f ca="1">_xll.DBRW($B$1,$B$2,$B$7,$B$3,$B$4,$B$5,$F40,$B$6,P$10,$A40,$B40)</f>
        <v>0</v>
      </c>
      <c r="Q40" s="4">
        <f ca="1">_xll.DBRW($B$1,$B$2,$B$7,$B$3,$B$4,$B$5,$F40,$B$6,Q$10,$A40,$B40)</f>
        <v>971890.92000000016</v>
      </c>
      <c r="R40" s="4">
        <f ca="1">_xll.DBRW($B$1,$B$2,$B$7,$B$3,$B$4,$B$5,$F40,$B$6,R$10,$A40,$B40)</f>
        <v>3071424.51</v>
      </c>
      <c r="S40" s="4">
        <f ca="1">_xll.DBRW($B$1,$B$2,$B$7,$B$3,$B$4,$B$5,$F40,$B$6,S$10,$A40,$B40)</f>
        <v>2990433.6</v>
      </c>
      <c r="T40" s="4">
        <f ca="1">_xll.DBRW($B$1,$B$2,$B$7,$B$3,$B$4,$B$5,$F40,$B$6,T$10,$A40,$B40)</f>
        <v>3367133.7055225233</v>
      </c>
      <c r="U40" s="4">
        <f ca="1">_xll.DBRW($B$1,$B$2,$B$7,$B$3,$B$4,$B$5,$F40,$B$6,U$10,$A40,$B40)</f>
        <v>3291201.8188010198</v>
      </c>
      <c r="V40" s="4">
        <f ca="1">_xll.DBRW($B$1,$B$2,$B$7,$B$3,$B$4,$B$5,$F40,$B$6,V$10,$A40,$B40)</f>
        <v>3176707.0340565415</v>
      </c>
      <c r="W40" s="4">
        <f ca="1">_xll.DBRW($B$1,$B$2,$B$7,$B$3,$B$4,$B$5,$F40,$B$6,W$10,$A40,$B40)</f>
        <v>0</v>
      </c>
      <c r="X40" s="4">
        <f ca="1">_xll.DBRW($B$1,$B$2,$B$7,$B$3,$B$4,$B$5,$F40,$B$6,X$10,$A40,$B40)</f>
        <v>0</v>
      </c>
      <c r="Y40" s="4">
        <f ca="1">_xll.DBRW($B$1,$B$2,$B$7,$B$3,$B$4,$B$5,$F40,$B$6,Y$10,$A40,$B40)</f>
        <v>0</v>
      </c>
      <c r="Z40" s="4">
        <f ca="1">_xll.DBRW($B$1,$B$2,$B$7,$B$3,$B$4,$B$5,$F40,$B$6,Z$10,$A40,$B40)</f>
        <v>0</v>
      </c>
      <c r="AA40" s="4">
        <f ca="1">_xll.DBRW($B$1,$B$2,$B$7,$B$3,$B$4,$B$5,$F40,$B$6,AA$10,$A40,$B40)</f>
        <v>0</v>
      </c>
      <c r="AB40" s="4">
        <f ca="1">_xll.DBRW($B$1,$B$2,$B$7,$B$3,$B$4,$B$5,$F40,$B$6,AB$10,$A40,$B40)</f>
        <v>0</v>
      </c>
      <c r="AC40" s="4">
        <f ca="1">_xll.DBRW($B$1,$B$2,$B$7,$B$3,$B$4,$B$5,$F40,$B$6,AC$10,$A40,$B40)</f>
        <v>568126.95232072263</v>
      </c>
      <c r="AD40" s="4">
        <f ca="1">_xll.DBRW($B$1,$B$2,$B$7,$B$3,$B$4,$B$5,$F40,$B$6,AD$10,$A40,$B40)</f>
        <v>3341809.8798770756</v>
      </c>
      <c r="AE40" s="4">
        <f ca="1">_xll.DBRW($B$1,$B$2,$B$7,$B$3,$B$4,$B$5,$F40,$B$6,AE$10,$A40,$B40)</f>
        <v>3234522.8821758237</v>
      </c>
    </row>
    <row r="41" spans="1:31">
      <c r="A41" s="1" t="s">
        <v>153</v>
      </c>
      <c r="B41" s="5" t="s">
        <v>184</v>
      </c>
      <c r="C41" s="5" t="s">
        <v>185</v>
      </c>
      <c r="D41" s="5" t="s">
        <v>28</v>
      </c>
      <c r="E41" s="5" t="s">
        <v>49</v>
      </c>
      <c r="F41" s="5" t="s">
        <v>22</v>
      </c>
      <c r="G41" s="6"/>
      <c r="H41" s="6"/>
      <c r="I41" s="6"/>
      <c r="J41" s="6"/>
      <c r="K41" s="6"/>
      <c r="L41" s="4">
        <f ca="1">_xll.DBRW($B$1,$B$2,$B$7,$B$3,$B$4,$B$5,$F41,$B$6,L$10,$A41,$B41)</f>
        <v>0</v>
      </c>
      <c r="M41" s="4">
        <f ca="1">_xll.DBRW($B$1,$B$2,$B$7,$B$3,$B$4,$B$5,$F41,$B$6,M$10,$A41,$B41)</f>
        <v>1241249.8371724954</v>
      </c>
      <c r="N41" s="4">
        <f ca="1">_xll.DBRW($B$1,$B$2,$B$7,$B$3,$B$4,$B$5,$F41,$B$6,N$10,$A41,$B41)</f>
        <v>1157827.8400000001</v>
      </c>
      <c r="O41" s="4">
        <f ca="1">_xll.DBRW($B$1,$B$2,$B$7,$B$3,$B$4,$B$5,$F41,$B$6,O$10,$A41,$B41)</f>
        <v>1089720.3200000001</v>
      </c>
      <c r="P41" s="4">
        <f ca="1">_xll.DBRW($B$1,$B$2,$B$7,$B$3,$B$4,$B$5,$F41,$B$6,P$10,$A41,$B41)</f>
        <v>1294042.8800000001</v>
      </c>
      <c r="Q41" s="4">
        <f ca="1">_xll.DBRW($B$1,$B$2,$B$7,$B$3,$B$4,$B$5,$F41,$B$6,Q$10,$A41,$B41)</f>
        <v>936478.4</v>
      </c>
      <c r="R41" s="4">
        <f ca="1">_xll.DBRW($B$1,$B$2,$B$7,$B$3,$B$4,$B$5,$F41,$B$6,R$10,$A41,$B41)</f>
        <v>0</v>
      </c>
      <c r="S41" s="4">
        <f ca="1">_xll.DBRW($B$1,$B$2,$B$7,$B$3,$B$4,$B$5,$F41,$B$6,S$10,$A41,$B41)</f>
        <v>0</v>
      </c>
      <c r="T41" s="4">
        <f ca="1">_xll.DBRW($B$1,$B$2,$B$7,$B$3,$B$4,$B$5,$F41,$B$6,T$10,$A41,$B41)</f>
        <v>0</v>
      </c>
      <c r="U41" s="4">
        <f ca="1">_xll.DBRW($B$1,$B$2,$B$7,$B$3,$B$4,$B$5,$F41,$B$6,U$10,$A41,$B41)</f>
        <v>0</v>
      </c>
      <c r="V41" s="4">
        <f ca="1">_xll.DBRW($B$1,$B$2,$B$7,$B$3,$B$4,$B$5,$F41,$B$6,V$10,$A41,$B41)</f>
        <v>87318.740797234146</v>
      </c>
      <c r="W41" s="4">
        <f ca="1">_xll.DBRW($B$1,$B$2,$B$7,$B$3,$B$4,$B$5,$F41,$B$6,W$10,$A41,$B41)</f>
        <v>1261270.7004044931</v>
      </c>
      <c r="X41" s="4">
        <f ca="1">_xll.DBRW($B$1,$B$2,$B$7,$B$3,$B$4,$B$5,$F41,$B$6,X$10,$A41,$B41)</f>
        <v>1439912.3971336966</v>
      </c>
      <c r="Y41" s="4">
        <f ca="1">_xll.DBRW($B$1,$B$2,$B$7,$B$3,$B$4,$B$5,$F41,$B$6,Y$10,$A41,$B41)</f>
        <v>1349712.0457229784</v>
      </c>
      <c r="Z41" s="4">
        <f ca="1">_xll.DBRW($B$1,$B$2,$B$7,$B$3,$B$4,$B$5,$F41,$B$6,Z$10,$A41,$B41)</f>
        <v>1426723.6720037074</v>
      </c>
      <c r="AA41" s="4">
        <f ca="1">_xll.DBRW($B$1,$B$2,$B$7,$B$3,$B$4,$B$5,$F41,$B$6,AA$10,$A41,$B41)</f>
        <v>1385721.4112530637</v>
      </c>
      <c r="AB41" s="4">
        <f ca="1">_xll.DBRW($B$1,$B$2,$B$7,$B$3,$B$4,$B$5,$F41,$B$6,AB$10,$A41,$B41)</f>
        <v>1424302.8743210121</v>
      </c>
      <c r="AC41" s="4">
        <f ca="1">_xll.DBRW($B$1,$B$2,$B$7,$B$3,$B$4,$B$5,$F41,$B$6,AC$10,$A41,$B41)</f>
        <v>1111594.5755478323</v>
      </c>
      <c r="AD41" s="4">
        <f ca="1">_xll.DBRW($B$1,$B$2,$B$7,$B$3,$B$4,$B$5,$F41,$B$6,AD$10,$A41,$B41)</f>
        <v>0</v>
      </c>
      <c r="AE41" s="4">
        <f ca="1">_xll.DBRW($B$1,$B$2,$B$7,$B$3,$B$4,$B$5,$F41,$B$6,AE$10,$A41,$B41)</f>
        <v>0</v>
      </c>
    </row>
    <row r="42" spans="1:31">
      <c r="A42" s="1" t="s">
        <v>153</v>
      </c>
      <c r="B42" s="5" t="s">
        <v>50</v>
      </c>
      <c r="C42" s="5" t="s">
        <v>51</v>
      </c>
      <c r="D42" s="5" t="s">
        <v>49</v>
      </c>
      <c r="E42" s="5" t="s">
        <v>28</v>
      </c>
      <c r="F42" s="5" t="s">
        <v>22</v>
      </c>
      <c r="G42" s="6"/>
      <c r="H42" s="6"/>
      <c r="I42" s="6"/>
      <c r="J42" s="6"/>
      <c r="K42" s="6"/>
      <c r="L42" s="4">
        <f ca="1">_xll.DBRW($B$1,$B$2,$B$7,$B$3,$B$4,$B$5,$F42,$B$6,L$10,$A42,$B42)</f>
        <v>0</v>
      </c>
      <c r="M42" s="4">
        <f ca="1">_xll.DBRW($B$1,$B$2,$B$7,$B$3,$B$4,$B$5,$F42,$B$6,M$10,$A42,$B42)</f>
        <v>1241249.8371724954</v>
      </c>
      <c r="N42" s="4">
        <f ca="1">_xll.DBRW($B$1,$B$2,$B$7,$B$3,$B$4,$B$5,$F42,$B$6,N$10,$A42,$B42)</f>
        <v>1157827.8400000001</v>
      </c>
      <c r="O42" s="4">
        <f ca="1">_xll.DBRW($B$1,$B$2,$B$7,$B$3,$B$4,$B$5,$F42,$B$6,O$10,$A42,$B42)</f>
        <v>1089720.3200000001</v>
      </c>
      <c r="P42" s="4">
        <f ca="1">_xll.DBRW($B$1,$B$2,$B$7,$B$3,$B$4,$B$5,$F42,$B$6,P$10,$A42,$B42)</f>
        <v>1294042.8800000001</v>
      </c>
      <c r="Q42" s="4">
        <f ca="1">_xll.DBRW($B$1,$B$2,$B$7,$B$3,$B$4,$B$5,$F42,$B$6,Q$10,$A42,$B42)</f>
        <v>936478.4</v>
      </c>
      <c r="R42" s="4">
        <f ca="1">_xll.DBRW($B$1,$B$2,$B$7,$B$3,$B$4,$B$5,$F42,$B$6,R$10,$A42,$B42)</f>
        <v>0</v>
      </c>
      <c r="S42" s="4">
        <f ca="1">_xll.DBRW($B$1,$B$2,$B$7,$B$3,$B$4,$B$5,$F42,$B$6,S$10,$A42,$B42)</f>
        <v>0</v>
      </c>
      <c r="T42" s="4">
        <f ca="1">_xll.DBRW($B$1,$B$2,$B$7,$B$3,$B$4,$B$5,$F42,$B$6,T$10,$A42,$B42)</f>
        <v>0</v>
      </c>
      <c r="U42" s="4">
        <f ca="1">_xll.DBRW($B$1,$B$2,$B$7,$B$3,$B$4,$B$5,$F42,$B$6,U$10,$A42,$B42)</f>
        <v>0</v>
      </c>
      <c r="V42" s="4">
        <f ca="1">_xll.DBRW($B$1,$B$2,$B$7,$B$3,$B$4,$B$5,$F42,$B$6,V$10,$A42,$B42)</f>
        <v>87318.740797234146</v>
      </c>
      <c r="W42" s="4">
        <f ca="1">_xll.DBRW($B$1,$B$2,$B$7,$B$3,$B$4,$B$5,$F42,$B$6,W$10,$A42,$B42)</f>
        <v>1261270.7004044931</v>
      </c>
      <c r="X42" s="4">
        <f ca="1">_xll.DBRW($B$1,$B$2,$B$7,$B$3,$B$4,$B$5,$F42,$B$6,X$10,$A42,$B42)</f>
        <v>1439912.3971336966</v>
      </c>
      <c r="Y42" s="4">
        <f ca="1">_xll.DBRW($B$1,$B$2,$B$7,$B$3,$B$4,$B$5,$F42,$B$6,Y$10,$A42,$B42)</f>
        <v>1349712.0457229784</v>
      </c>
      <c r="Z42" s="4">
        <f ca="1">_xll.DBRW($B$1,$B$2,$B$7,$B$3,$B$4,$B$5,$F42,$B$6,Z$10,$A42,$B42)</f>
        <v>1426723.6720037074</v>
      </c>
      <c r="AA42" s="4">
        <f ca="1">_xll.DBRW($B$1,$B$2,$B$7,$B$3,$B$4,$B$5,$F42,$B$6,AA$10,$A42,$B42)</f>
        <v>1385721.4112530637</v>
      </c>
      <c r="AB42" s="4">
        <f ca="1">_xll.DBRW($B$1,$B$2,$B$7,$B$3,$B$4,$B$5,$F42,$B$6,AB$10,$A42,$B42)</f>
        <v>1424302.8743210121</v>
      </c>
      <c r="AC42" s="4">
        <f ca="1">_xll.DBRW($B$1,$B$2,$B$7,$B$3,$B$4,$B$5,$F42,$B$6,AC$10,$A42,$B42)</f>
        <v>1111594.5755478323</v>
      </c>
      <c r="AD42" s="4">
        <f ca="1">_xll.DBRW($B$1,$B$2,$B$7,$B$3,$B$4,$B$5,$F42,$B$6,AD$10,$A42,$B42)</f>
        <v>0</v>
      </c>
      <c r="AE42" s="4">
        <f ca="1">_xll.DBRW($B$1,$B$2,$B$7,$B$3,$B$4,$B$5,$F42,$B$6,AE$10,$A42,$B42)</f>
        <v>0</v>
      </c>
    </row>
    <row r="43" spans="1:31">
      <c r="A43" s="1" t="s">
        <v>153</v>
      </c>
      <c r="B43" s="5" t="s">
        <v>186</v>
      </c>
      <c r="C43" s="5" t="s">
        <v>187</v>
      </c>
      <c r="D43" s="5" t="s">
        <v>21</v>
      </c>
      <c r="E43" s="5" t="s">
        <v>59</v>
      </c>
      <c r="F43" s="5" t="s">
        <v>22</v>
      </c>
      <c r="G43" s="6"/>
      <c r="H43" s="6"/>
      <c r="I43" s="6"/>
      <c r="J43" s="6"/>
      <c r="K43" s="6"/>
      <c r="L43" s="4">
        <f ca="1">_xll.DBRW($B$1,$B$2,$B$7,$B$3,$B$4,$B$5,$F43,$B$6,L$10,$A43,$B43)</f>
        <v>5399791.8800000008</v>
      </c>
      <c r="M43" s="4">
        <f ca="1">_xll.DBRW($B$1,$B$2,$B$7,$B$3,$B$4,$B$5,$F43,$B$6,M$10,$A43,$B43)</f>
        <v>5901675.3696550056</v>
      </c>
      <c r="N43" s="4">
        <f ca="1">_xll.DBRW($B$1,$B$2,$B$7,$B$3,$B$4,$B$5,$F43,$B$6,N$10,$A43,$B43)</f>
        <v>5774773.5499999998</v>
      </c>
      <c r="O43" s="4">
        <f ca="1">_xll.DBRW($B$1,$B$2,$B$7,$B$3,$B$4,$B$5,$F43,$B$6,O$10,$A43,$B43)</f>
        <v>5565054.6000000006</v>
      </c>
      <c r="P43" s="4">
        <f ca="1">_xll.DBRW($B$1,$B$2,$B$7,$B$3,$B$4,$B$5,$F43,$B$6,P$10,$A43,$B43)</f>
        <v>5464557</v>
      </c>
      <c r="Q43" s="4">
        <f ca="1">_xll.DBRW($B$1,$B$2,$B$7,$B$3,$B$4,$B$5,$F43,$B$6,Q$10,$A43,$B43)</f>
        <v>6139775.2500000009</v>
      </c>
      <c r="R43" s="4">
        <f ca="1">_xll.DBRW($B$1,$B$2,$B$7,$B$3,$B$4,$B$5,$F43,$B$6,R$10,$A43,$B43)</f>
        <v>6347400.5000000009</v>
      </c>
      <c r="S43" s="4">
        <f ca="1">_xll.DBRW($B$1,$B$2,$B$7,$B$3,$B$4,$B$5,$F43,$B$6,S$10,$A43,$B43)</f>
        <v>5680626.8399999999</v>
      </c>
      <c r="T43" s="4">
        <f ca="1">_xll.DBRW($B$1,$B$2,$B$7,$B$3,$B$4,$B$5,$F43,$B$6,T$10,$A43,$B43)</f>
        <v>3428765.1132127661</v>
      </c>
      <c r="U43" s="4">
        <f ca="1">_xll.DBRW($B$1,$B$2,$B$7,$B$3,$B$4,$B$5,$F43,$B$6,U$10,$A43,$B43)</f>
        <v>3096949.134514756</v>
      </c>
      <c r="V43" s="4">
        <f ca="1">_xll.DBRW($B$1,$B$2,$B$7,$B$3,$B$4,$B$5,$F43,$B$6,V$10,$A43,$B43)</f>
        <v>3532457.6065558936</v>
      </c>
      <c r="W43" s="4">
        <f ca="1">_xll.DBRW($B$1,$B$2,$B$7,$B$3,$B$4,$B$5,$F43,$B$6,W$10,$A43,$B43)</f>
        <v>5109424.6891828692</v>
      </c>
      <c r="X43" s="4">
        <f ca="1">_xll.DBRW($B$1,$B$2,$B$7,$B$3,$B$4,$B$5,$F43,$B$6,X$10,$A43,$B43)</f>
        <v>5319081.2374790478</v>
      </c>
      <c r="Y43" s="4">
        <f ca="1">_xll.DBRW($B$1,$B$2,$B$7,$B$3,$B$4,$B$5,$F43,$B$6,Y$10,$A43,$B43)</f>
        <v>5108583.5053714383</v>
      </c>
      <c r="Z43" s="4">
        <f ca="1">_xll.DBRW($B$1,$B$2,$B$7,$B$3,$B$4,$B$5,$F43,$B$6,Z$10,$A43,$B43)</f>
        <v>5226101.6644936502</v>
      </c>
      <c r="AA43" s="4">
        <f ca="1">_xll.DBRW($B$1,$B$2,$B$7,$B$3,$B$4,$B$5,$F43,$B$6,AA$10,$A43,$B43)</f>
        <v>5322881.324947238</v>
      </c>
      <c r="AB43" s="4">
        <f ca="1">_xll.DBRW($B$1,$B$2,$B$7,$B$3,$B$4,$B$5,$F43,$B$6,AB$10,$A43,$B43)</f>
        <v>5171280.8541328656</v>
      </c>
      <c r="AC43" s="4">
        <f ca="1">_xll.DBRW($B$1,$B$2,$B$7,$B$3,$B$4,$B$5,$F43,$B$6,AC$10,$A43,$B43)</f>
        <v>4783743.2625827463</v>
      </c>
      <c r="AD43" s="4">
        <f ca="1">_xll.DBRW($B$1,$B$2,$B$7,$B$3,$B$4,$B$5,$F43,$B$6,AD$10,$A43,$B43)</f>
        <v>3286946.4285162417</v>
      </c>
      <c r="AE43" s="4">
        <f ca="1">_xll.DBRW($B$1,$B$2,$B$7,$B$3,$B$4,$B$5,$F43,$B$6,AE$10,$A43,$B43)</f>
        <v>3072134.2442685347</v>
      </c>
    </row>
    <row r="44" spans="1:31">
      <c r="A44" s="1" t="s">
        <v>153</v>
      </c>
      <c r="B44" s="5" t="s">
        <v>61</v>
      </c>
      <c r="C44" s="5" t="s">
        <v>62</v>
      </c>
      <c r="D44" s="5" t="s">
        <v>59</v>
      </c>
      <c r="E44" s="5" t="s">
        <v>21</v>
      </c>
      <c r="F44" s="5" t="s">
        <v>22</v>
      </c>
      <c r="G44" s="6"/>
      <c r="H44" s="6"/>
      <c r="I44" s="6"/>
      <c r="J44" s="6"/>
      <c r="K44" s="6"/>
      <c r="L44" s="4">
        <f ca="1">_xll.DBRW($B$1,$B$2,$B$7,$B$3,$B$4,$B$5,$F44,$B$6,L$10,$A44,$B44)</f>
        <v>5496102.080000001</v>
      </c>
      <c r="M44" s="4">
        <f ca="1">_xll.DBRW($B$1,$B$2,$B$7,$B$3,$B$4,$B$5,$F44,$B$6,M$10,$A44,$B44)</f>
        <v>5799922.3460402638</v>
      </c>
      <c r="N44" s="4">
        <f ca="1">_xll.DBRW($B$1,$B$2,$B$7,$B$3,$B$4,$B$5,$F44,$B$6,N$10,$A44,$B44)</f>
        <v>5774773.5499999998</v>
      </c>
      <c r="O44" s="4">
        <f ca="1">_xll.DBRW($B$1,$B$2,$B$7,$B$3,$B$4,$B$5,$F44,$B$6,O$10,$A44,$B44)</f>
        <v>5565054.6000000006</v>
      </c>
      <c r="P44" s="4">
        <f ca="1">_xll.DBRW($B$1,$B$2,$B$7,$B$3,$B$4,$B$5,$F44,$B$6,P$10,$A44,$B44)</f>
        <v>5464557</v>
      </c>
      <c r="Q44" s="4">
        <f ca="1">_xll.DBRW($B$1,$B$2,$B$7,$B$3,$B$4,$B$5,$F44,$B$6,Q$10,$A44,$B44)</f>
        <v>6127910.9500000002</v>
      </c>
      <c r="R44" s="4">
        <f ca="1">_xll.DBRW($B$1,$B$2,$B$7,$B$3,$B$4,$B$5,$F44,$B$6,R$10,$A44,$B44)</f>
        <v>6359264.8000000007</v>
      </c>
      <c r="S44" s="4">
        <f ca="1">_xll.DBRW($B$1,$B$2,$B$7,$B$3,$B$4,$B$5,$F44,$B$6,S$10,$A44,$B44)</f>
        <v>5680626.8399999999</v>
      </c>
      <c r="T44" s="4">
        <f ca="1">_xll.DBRW($B$1,$B$2,$B$7,$B$3,$B$4,$B$5,$F44,$B$6,T$10,$A44,$B44)</f>
        <v>3428765.1132127661</v>
      </c>
      <c r="U44" s="4">
        <f ca="1">_xll.DBRW($B$1,$B$2,$B$7,$B$3,$B$4,$B$5,$F44,$B$6,U$10,$A44,$B44)</f>
        <v>3096949.134514756</v>
      </c>
      <c r="V44" s="4">
        <f ca="1">_xll.DBRW($B$1,$B$2,$B$7,$B$3,$B$4,$B$5,$F44,$B$6,V$10,$A44,$B44)</f>
        <v>3532457.6065558936</v>
      </c>
      <c r="W44" s="4">
        <f ca="1">_xll.DBRW($B$1,$B$2,$B$7,$B$3,$B$4,$B$5,$F44,$B$6,W$10,$A44,$B44)</f>
        <v>4695147.0116815558</v>
      </c>
      <c r="X44" s="4">
        <f ca="1">_xll.DBRW($B$1,$B$2,$B$7,$B$3,$B$4,$B$5,$F44,$B$6,X$10,$A44,$B44)</f>
        <v>4800988.9091531662</v>
      </c>
      <c r="Y44" s="4">
        <f ca="1">_xll.DBRW($B$1,$B$2,$B$7,$B$3,$B$4,$B$5,$F44,$B$6,Y$10,$A44,$B44)</f>
        <v>4693813.5319989268</v>
      </c>
      <c r="Z44" s="4">
        <f ca="1">_xll.DBRW($B$1,$B$2,$B$7,$B$3,$B$4,$B$5,$F44,$B$6,Z$10,$A44,$B44)</f>
        <v>4811331.6911211386</v>
      </c>
      <c r="AA44" s="4">
        <f ca="1">_xll.DBRW($B$1,$B$2,$B$7,$B$3,$B$4,$B$5,$F44,$B$6,AA$10,$A44,$B44)</f>
        <v>4804418.8582315976</v>
      </c>
      <c r="AB44" s="4">
        <f ca="1">_xll.DBRW($B$1,$B$2,$B$7,$B$3,$B$4,$B$5,$F44,$B$6,AB$10,$A44,$B44)</f>
        <v>4760318.1372481352</v>
      </c>
      <c r="AC44" s="4">
        <f ca="1">_xll.DBRW($B$1,$B$2,$B$7,$B$3,$B$4,$B$5,$F44,$B$6,AC$10,$A44,$B44)</f>
        <v>4378913.0852132617</v>
      </c>
      <c r="AD44" s="4">
        <f ca="1">_xll.DBRW($B$1,$B$2,$B$7,$B$3,$B$4,$B$5,$F44,$B$6,AD$10,$A44,$B44)</f>
        <v>3286946.4285162417</v>
      </c>
      <c r="AE44" s="4">
        <f ca="1">_xll.DBRW($B$1,$B$2,$B$7,$B$3,$B$4,$B$5,$F44,$B$6,AE$10,$A44,$B44)</f>
        <v>3072134.2442685347</v>
      </c>
    </row>
    <row r="45" spans="1:31">
      <c r="A45" s="1" t="s">
        <v>153</v>
      </c>
      <c r="B45" s="5" t="s">
        <v>188</v>
      </c>
      <c r="C45" s="5" t="s">
        <v>189</v>
      </c>
      <c r="D45" s="5" t="s">
        <v>21</v>
      </c>
      <c r="E45" s="5" t="s">
        <v>20</v>
      </c>
      <c r="F45" s="5" t="s">
        <v>22</v>
      </c>
      <c r="G45" s="6"/>
      <c r="H45" s="6"/>
      <c r="I45" s="6"/>
      <c r="J45" s="6"/>
      <c r="K45" s="6"/>
      <c r="L45" s="4">
        <f ca="1">_xll.DBRW($B$1,$B$2,$B$7,$B$3,$B$4,$B$5,$F45,$B$6,L$10,$A45,$B45)</f>
        <v>8503066.879999999</v>
      </c>
      <c r="M45" s="4">
        <f ca="1">_xll.DBRW($B$1,$B$2,$B$7,$B$3,$B$4,$B$5,$F45,$B$6,M$10,$A45,$B45)</f>
        <v>8693810.9965879004</v>
      </c>
      <c r="N45" s="4">
        <f ca="1">_xll.DBRW($B$1,$B$2,$B$7,$B$3,$B$4,$B$5,$F45,$B$6,N$10,$A45,$B45)</f>
        <v>8503066.879999999</v>
      </c>
      <c r="O45" s="4">
        <f ca="1">_xll.DBRW($B$1,$B$2,$B$7,$B$3,$B$4,$B$5,$F45,$B$6,O$10,$A45,$B45)</f>
        <v>7948519.04</v>
      </c>
      <c r="P45" s="4">
        <f ca="1">_xll.DBRW($B$1,$B$2,$B$7,$B$3,$B$4,$B$5,$F45,$B$6,P$10,$A45,$B45)</f>
        <v>8005166.4000000004</v>
      </c>
      <c r="Q45" s="4">
        <f ca="1">_xll.DBRW($B$1,$B$2,$B$7,$B$3,$B$4,$B$5,$F45,$B$6,Q$10,$A45,$B45)</f>
        <v>7951879.9359999998</v>
      </c>
      <c r="R45" s="4">
        <f ca="1">_xll.DBRW($B$1,$B$2,$B$7,$B$3,$B$4,$B$5,$F45,$B$6,R$10,$A45,$B45)</f>
        <v>7670974.0800000001</v>
      </c>
      <c r="S45" s="4">
        <f ca="1">_xll.DBRW($B$1,$B$2,$B$7,$B$3,$B$4,$B$5,$F45,$B$6,S$10,$A45,$B45)</f>
        <v>7775595.5200000005</v>
      </c>
      <c r="T45" s="4">
        <f ca="1">_xll.DBRW($B$1,$B$2,$B$7,$B$3,$B$4,$B$5,$F45,$B$6,T$10,$A45,$B45)</f>
        <v>5289761.1248574741</v>
      </c>
      <c r="U45" s="4">
        <f ca="1">_xll.DBRW($B$1,$B$2,$B$7,$B$3,$B$4,$B$5,$F45,$B$6,U$10,$A45,$B45)</f>
        <v>4729174.6163120773</v>
      </c>
      <c r="V45" s="4">
        <f ca="1">_xll.DBRW($B$1,$B$2,$B$7,$B$3,$B$4,$B$5,$F45,$B$6,V$10,$A45,$B45)</f>
        <v>6028942.0978006423</v>
      </c>
      <c r="W45" s="4">
        <f ca="1">_xll.DBRW($B$1,$B$2,$B$7,$B$3,$B$4,$B$5,$F45,$B$6,W$10,$A45,$B45)</f>
        <v>5928252.0257783355</v>
      </c>
      <c r="X45" s="4">
        <f ca="1">_xll.DBRW($B$1,$B$2,$B$7,$B$3,$B$4,$B$5,$F45,$B$6,X$10,$A45,$B45)</f>
        <v>6411322.3109547831</v>
      </c>
      <c r="Y45" s="4">
        <f ca="1">_xll.DBRW($B$1,$B$2,$B$7,$B$3,$B$4,$B$5,$F45,$B$6,Y$10,$A45,$B45)</f>
        <v>6204505.4622143041</v>
      </c>
      <c r="Z45" s="4">
        <f ca="1">_xll.DBRW($B$1,$B$2,$B$7,$B$3,$B$4,$B$5,$F45,$B$6,Z$10,$A45,$B45)</f>
        <v>6421484.3763160082</v>
      </c>
      <c r="AA45" s="4">
        <f ca="1">_xll.DBRW($B$1,$B$2,$B$7,$B$3,$B$4,$B$5,$F45,$B$6,AA$10,$A45,$B45)</f>
        <v>5765193.5136745414</v>
      </c>
      <c r="AB45" s="4">
        <f ca="1">_xll.DBRW($B$1,$B$2,$B$7,$B$3,$B$4,$B$5,$F45,$B$6,AB$10,$A45,$B45)</f>
        <v>5739831.7453683931</v>
      </c>
      <c r="AC45" s="4">
        <f ca="1">_xll.DBRW($B$1,$B$2,$B$7,$B$3,$B$4,$B$5,$F45,$B$6,AC$10,$A45,$B45)</f>
        <v>5827319.9463321296</v>
      </c>
      <c r="AD45" s="4">
        <f ca="1">_xll.DBRW($B$1,$B$2,$B$7,$B$3,$B$4,$B$5,$F45,$B$6,AD$10,$A45,$B45)</f>
        <v>6165310.895655687</v>
      </c>
      <c r="AE45" s="4">
        <f ca="1">_xll.DBRW($B$1,$B$2,$B$7,$B$3,$B$4,$B$5,$F45,$B$6,AE$10,$A45,$B45)</f>
        <v>6162194.5373349208</v>
      </c>
    </row>
    <row r="46" spans="1:31">
      <c r="A46" s="1" t="s">
        <v>153</v>
      </c>
      <c r="B46" s="5" t="s">
        <v>18</v>
      </c>
      <c r="C46" s="5" t="s">
        <v>19</v>
      </c>
      <c r="D46" s="5" t="s">
        <v>20</v>
      </c>
      <c r="E46" s="5" t="s">
        <v>21</v>
      </c>
      <c r="F46" s="5" t="s">
        <v>22</v>
      </c>
      <c r="G46" s="6"/>
      <c r="H46" s="6"/>
      <c r="I46" s="6"/>
      <c r="J46" s="6"/>
      <c r="K46" s="6"/>
      <c r="L46" s="4">
        <f ca="1">_xll.DBRW($B$1,$B$2,$B$7,$B$3,$B$4,$B$5,$F46,$B$6,L$10,$A46,$B46)</f>
        <v>8503066.879999999</v>
      </c>
      <c r="M46" s="4">
        <f ca="1">_xll.DBRW($B$1,$B$2,$B$7,$B$3,$B$4,$B$5,$F46,$B$6,M$10,$A46,$B46)</f>
        <v>8693810.9965879004</v>
      </c>
      <c r="N46" s="4">
        <f ca="1">_xll.DBRW($B$1,$B$2,$B$7,$B$3,$B$4,$B$5,$F46,$B$6,N$10,$A46,$B46)</f>
        <v>8503066.879999999</v>
      </c>
      <c r="O46" s="4">
        <f ca="1">_xll.DBRW($B$1,$B$2,$B$7,$B$3,$B$4,$B$5,$F46,$B$6,O$10,$A46,$B46)</f>
        <v>7948519.04</v>
      </c>
      <c r="P46" s="4">
        <f ca="1">_xll.DBRW($B$1,$B$2,$B$7,$B$3,$B$4,$B$5,$F46,$B$6,P$10,$A46,$B46)</f>
        <v>8005166.4000000004</v>
      </c>
      <c r="Q46" s="4">
        <f ca="1">_xll.DBRW($B$1,$B$2,$B$7,$B$3,$B$4,$B$5,$F46,$B$6,Q$10,$A46,$B46)</f>
        <v>7951879.9359999998</v>
      </c>
      <c r="R46" s="4">
        <f ca="1">_xll.DBRW($B$1,$B$2,$B$7,$B$3,$B$4,$B$5,$F46,$B$6,R$10,$A46,$B46)</f>
        <v>7670974.0800000001</v>
      </c>
      <c r="S46" s="4">
        <f ca="1">_xll.DBRW($B$1,$B$2,$B$7,$B$3,$B$4,$B$5,$F46,$B$6,S$10,$A46,$B46)</f>
        <v>7775595.5200000005</v>
      </c>
      <c r="T46" s="4">
        <f ca="1">_xll.DBRW($B$1,$B$2,$B$7,$B$3,$B$4,$B$5,$F46,$B$6,T$10,$A46,$B46)</f>
        <v>5289761.1248574741</v>
      </c>
      <c r="U46" s="4">
        <f ca="1">_xll.DBRW($B$1,$B$2,$B$7,$B$3,$B$4,$B$5,$F46,$B$6,U$10,$A46,$B46)</f>
        <v>4729174.6163120773</v>
      </c>
      <c r="V46" s="4">
        <f ca="1">_xll.DBRW($B$1,$B$2,$B$7,$B$3,$B$4,$B$5,$F46,$B$6,V$10,$A46,$B46)</f>
        <v>6028942.0978006423</v>
      </c>
      <c r="W46" s="4">
        <f ca="1">_xll.DBRW($B$1,$B$2,$B$7,$B$3,$B$4,$B$5,$F46,$B$6,W$10,$A46,$B46)</f>
        <v>5928252.0257783355</v>
      </c>
      <c r="X46" s="4">
        <f ca="1">_xll.DBRW($B$1,$B$2,$B$7,$B$3,$B$4,$B$5,$F46,$B$6,X$10,$A46,$B46)</f>
        <v>6411322.3109547831</v>
      </c>
      <c r="Y46" s="4">
        <f ca="1">_xll.DBRW($B$1,$B$2,$B$7,$B$3,$B$4,$B$5,$F46,$B$6,Y$10,$A46,$B46)</f>
        <v>6204505.4622143041</v>
      </c>
      <c r="Z46" s="4">
        <f ca="1">_xll.DBRW($B$1,$B$2,$B$7,$B$3,$B$4,$B$5,$F46,$B$6,Z$10,$A46,$B46)</f>
        <v>6421484.3763160082</v>
      </c>
      <c r="AA46" s="4">
        <f ca="1">_xll.DBRW($B$1,$B$2,$B$7,$B$3,$B$4,$B$5,$F46,$B$6,AA$10,$A46,$B46)</f>
        <v>5765193.5136745414</v>
      </c>
      <c r="AB46" s="4">
        <f ca="1">_xll.DBRW($B$1,$B$2,$B$7,$B$3,$B$4,$B$5,$F46,$B$6,AB$10,$A46,$B46)</f>
        <v>5739831.7453683931</v>
      </c>
      <c r="AC46" s="4">
        <f ca="1">_xll.DBRW($B$1,$B$2,$B$7,$B$3,$B$4,$B$5,$F46,$B$6,AC$10,$A46,$B46)</f>
        <v>5827319.9463321296</v>
      </c>
      <c r="AD46" s="4">
        <f ca="1">_xll.DBRW($B$1,$B$2,$B$7,$B$3,$B$4,$B$5,$F46,$B$6,AD$10,$A46,$B46)</f>
        <v>6165310.895655687</v>
      </c>
      <c r="AE46" s="4">
        <f ca="1">_xll.DBRW($B$1,$B$2,$B$7,$B$3,$B$4,$B$5,$F46,$B$6,AE$10,$A46,$B46)</f>
        <v>6162194.5373349208</v>
      </c>
    </row>
    <row r="47" spans="1:31">
      <c r="A47" s="1" t="s">
        <v>153</v>
      </c>
      <c r="B47" s="5" t="s">
        <v>190</v>
      </c>
      <c r="C47" s="5" t="s">
        <v>191</v>
      </c>
      <c r="D47" s="5" t="s">
        <v>21</v>
      </c>
      <c r="E47" s="5" t="s">
        <v>73</v>
      </c>
      <c r="F47" s="5" t="s">
        <v>22</v>
      </c>
      <c r="G47" s="6"/>
      <c r="H47" s="6"/>
      <c r="I47" s="6"/>
      <c r="J47" s="6"/>
      <c r="K47" s="6"/>
      <c r="L47" s="4">
        <f ca="1">_xll.DBRW($B$1,$B$2,$B$7,$B$3,$B$4,$B$5,$F47,$B$6,L$10,$A47,$B47)</f>
        <v>7015420.125</v>
      </c>
      <c r="M47" s="4">
        <f ca="1">_xll.DBRW($B$1,$B$2,$B$7,$B$3,$B$4,$B$5,$F47,$B$6,M$10,$A47,$B47)</f>
        <v>6692076.4984623501</v>
      </c>
      <c r="N47" s="4">
        <f ca="1">_xll.DBRW($B$1,$B$2,$B$7,$B$3,$B$4,$B$5,$F47,$B$6,N$10,$A47,$B47)</f>
        <v>6607115.25</v>
      </c>
      <c r="O47" s="4">
        <f ca="1">_xll.DBRW($B$1,$B$2,$B$7,$B$3,$B$4,$B$5,$F47,$B$6,O$10,$A47,$B47)</f>
        <v>6087454.5</v>
      </c>
      <c r="P47" s="4">
        <f ca="1">_xll.DBRW($B$1,$B$2,$B$7,$B$3,$B$4,$B$5,$F47,$B$6,P$10,$A47,$B47)</f>
        <v>6803484.7499999991</v>
      </c>
      <c r="Q47" s="4">
        <f ca="1">_xll.DBRW($B$1,$B$2,$B$7,$B$3,$B$4,$B$5,$F47,$B$6,Q$10,$A47,$B47)</f>
        <v>6569996.6250000009</v>
      </c>
      <c r="R47" s="4">
        <f ca="1">_xll.DBRW($B$1,$B$2,$B$7,$B$3,$B$4,$B$5,$F47,$B$6,R$10,$A47,$B47)</f>
        <v>5366634.75</v>
      </c>
      <c r="S47" s="4">
        <f ca="1">_xll.DBRW($B$1,$B$2,$B$7,$B$3,$B$4,$B$5,$F47,$B$6,S$10,$A47,$B47)</f>
        <v>5270844.7499999991</v>
      </c>
      <c r="T47" s="4">
        <f ca="1">_xll.DBRW($B$1,$B$2,$B$7,$B$3,$B$4,$B$5,$F47,$B$6,T$10,$A47,$B47)</f>
        <v>4455031.5180193773</v>
      </c>
      <c r="U47" s="4">
        <f ca="1">_xll.DBRW($B$1,$B$2,$B$7,$B$3,$B$4,$B$5,$F47,$B$6,U$10,$A47,$B47)</f>
        <v>4203789.5281056743</v>
      </c>
      <c r="V47" s="4">
        <f ca="1">_xll.DBRW($B$1,$B$2,$B$7,$B$3,$B$4,$B$5,$F47,$B$6,V$10,$A47,$B47)</f>
        <v>5486268.6658843318</v>
      </c>
      <c r="W47" s="4">
        <f ca="1">_xll.DBRW($B$1,$B$2,$B$7,$B$3,$B$4,$B$5,$F47,$B$6,W$10,$A47,$B47)</f>
        <v>5844087.226814298</v>
      </c>
      <c r="X47" s="4">
        <f ca="1">_xll.DBRW($B$1,$B$2,$B$7,$B$3,$B$4,$B$5,$F47,$B$6,X$10,$A47,$B47)</f>
        <v>7353341.5020653643</v>
      </c>
      <c r="Y47" s="4">
        <f ca="1">_xll.DBRW($B$1,$B$2,$B$7,$B$3,$B$4,$B$5,$F47,$B$6,Y$10,$A47,$B47)</f>
        <v>7116136.9374826141</v>
      </c>
      <c r="Z47" s="4">
        <f ca="1">_xll.DBRW($B$1,$B$2,$B$7,$B$3,$B$4,$B$5,$F47,$B$6,Z$10,$A47,$B47)</f>
        <v>7353341.5020653661</v>
      </c>
      <c r="AA47" s="4">
        <f ca="1">_xll.DBRW($B$1,$B$2,$B$7,$B$3,$B$4,$B$5,$F47,$B$6,AA$10,$A47,$B47)</f>
        <v>6961862.1248721126</v>
      </c>
      <c r="AB47" s="4">
        <f ca="1">_xll.DBRW($B$1,$B$2,$B$7,$B$3,$B$4,$B$5,$F47,$B$6,AB$10,$A47,$B47)</f>
        <v>6836480.212769106</v>
      </c>
      <c r="AC47" s="4">
        <f ca="1">_xll.DBRW($B$1,$B$2,$B$7,$B$3,$B$4,$B$5,$F47,$B$6,AC$10,$A47,$B47)</f>
        <v>6529092.2471411787</v>
      </c>
      <c r="AD47" s="4">
        <f ca="1">_xll.DBRW($B$1,$B$2,$B$7,$B$3,$B$4,$B$5,$F47,$B$6,AD$10,$A47,$B47)</f>
        <v>5696755.2196554756</v>
      </c>
      <c r="AE47" s="4">
        <f ca="1">_xll.DBRW($B$1,$B$2,$B$7,$B$3,$B$4,$B$5,$F47,$B$6,AE$10,$A47,$B47)</f>
        <v>4740720.3849274013</v>
      </c>
    </row>
    <row r="48" spans="1:31">
      <c r="A48" s="1" t="s">
        <v>153</v>
      </c>
      <c r="B48" s="5" t="s">
        <v>71</v>
      </c>
      <c r="C48" s="5" t="s">
        <v>72</v>
      </c>
      <c r="D48" s="5" t="s">
        <v>73</v>
      </c>
      <c r="E48" s="5" t="s">
        <v>21</v>
      </c>
      <c r="F48" s="5" t="s">
        <v>22</v>
      </c>
      <c r="G48" s="6"/>
      <c r="H48" s="6"/>
      <c r="I48" s="6"/>
      <c r="J48" s="6"/>
      <c r="K48" s="6"/>
      <c r="L48" s="4">
        <f ca="1">_xll.DBRW($B$1,$B$2,$B$7,$B$3,$B$4,$B$5,$F48,$B$6,L$10,$A48,$B48)</f>
        <v>7015420.125</v>
      </c>
      <c r="M48" s="4">
        <f ca="1">_xll.DBRW($B$1,$B$2,$B$7,$B$3,$B$4,$B$5,$F48,$B$6,M$10,$A48,$B48)</f>
        <v>6692076.4984623501</v>
      </c>
      <c r="N48" s="4">
        <f ca="1">_xll.DBRW($B$1,$B$2,$B$7,$B$3,$B$4,$B$5,$F48,$B$6,N$10,$A48,$B48)</f>
        <v>6607115.25</v>
      </c>
      <c r="O48" s="4">
        <f ca="1">_xll.DBRW($B$1,$B$2,$B$7,$B$3,$B$4,$B$5,$F48,$B$6,O$10,$A48,$B48)</f>
        <v>6087454.5</v>
      </c>
      <c r="P48" s="4">
        <f ca="1">_xll.DBRW($B$1,$B$2,$B$7,$B$3,$B$4,$B$5,$F48,$B$6,P$10,$A48,$B48)</f>
        <v>6803484.7499999991</v>
      </c>
      <c r="Q48" s="4">
        <f ca="1">_xll.DBRW($B$1,$B$2,$B$7,$B$3,$B$4,$B$5,$F48,$B$6,Q$10,$A48,$B48)</f>
        <v>6569996.6250000009</v>
      </c>
      <c r="R48" s="4">
        <f ca="1">_xll.DBRW($B$1,$B$2,$B$7,$B$3,$B$4,$B$5,$F48,$B$6,R$10,$A48,$B48)</f>
        <v>5366634.75</v>
      </c>
      <c r="S48" s="4">
        <f ca="1">_xll.DBRW($B$1,$B$2,$B$7,$B$3,$B$4,$B$5,$F48,$B$6,S$10,$A48,$B48)</f>
        <v>5270844.7499999991</v>
      </c>
      <c r="T48" s="4">
        <f ca="1">_xll.DBRW($B$1,$B$2,$B$7,$B$3,$B$4,$B$5,$F48,$B$6,T$10,$A48,$B48)</f>
        <v>4455031.5180193773</v>
      </c>
      <c r="U48" s="4">
        <f ca="1">_xll.DBRW($B$1,$B$2,$B$7,$B$3,$B$4,$B$5,$F48,$B$6,U$10,$A48,$B48)</f>
        <v>4203789.5281056743</v>
      </c>
      <c r="V48" s="4">
        <f ca="1">_xll.DBRW($B$1,$B$2,$B$7,$B$3,$B$4,$B$5,$F48,$B$6,V$10,$A48,$B48)</f>
        <v>5486268.6658843318</v>
      </c>
      <c r="W48" s="4">
        <f ca="1">_xll.DBRW($B$1,$B$2,$B$7,$B$3,$B$4,$B$5,$F48,$B$6,W$10,$A48,$B48)</f>
        <v>5844087.226814298</v>
      </c>
      <c r="X48" s="4">
        <f ca="1">_xll.DBRW($B$1,$B$2,$B$7,$B$3,$B$4,$B$5,$F48,$B$6,X$10,$A48,$B48)</f>
        <v>7353341.5020653643</v>
      </c>
      <c r="Y48" s="4">
        <f ca="1">_xll.DBRW($B$1,$B$2,$B$7,$B$3,$B$4,$B$5,$F48,$B$6,Y$10,$A48,$B48)</f>
        <v>7116136.9374826141</v>
      </c>
      <c r="Z48" s="4">
        <f ca="1">_xll.DBRW($B$1,$B$2,$B$7,$B$3,$B$4,$B$5,$F48,$B$6,Z$10,$A48,$B48)</f>
        <v>7353341.5020653661</v>
      </c>
      <c r="AA48" s="4">
        <f ca="1">_xll.DBRW($B$1,$B$2,$B$7,$B$3,$B$4,$B$5,$F48,$B$6,AA$10,$A48,$B48)</f>
        <v>6961862.1248721126</v>
      </c>
      <c r="AB48" s="4">
        <f ca="1">_xll.DBRW($B$1,$B$2,$B$7,$B$3,$B$4,$B$5,$F48,$B$6,AB$10,$A48,$B48)</f>
        <v>6836480.212769106</v>
      </c>
      <c r="AC48" s="4">
        <f ca="1">_xll.DBRW($B$1,$B$2,$B$7,$B$3,$B$4,$B$5,$F48,$B$6,AC$10,$A48,$B48)</f>
        <v>6529092.2471411787</v>
      </c>
      <c r="AD48" s="4">
        <f ca="1">_xll.DBRW($B$1,$B$2,$B$7,$B$3,$B$4,$B$5,$F48,$B$6,AD$10,$A48,$B48)</f>
        <v>5696755.2196554756</v>
      </c>
      <c r="AE48" s="4">
        <f ca="1">_xll.DBRW($B$1,$B$2,$B$7,$B$3,$B$4,$B$5,$F48,$B$6,AE$10,$A48,$B48)</f>
        <v>4587793.9208974848</v>
      </c>
    </row>
    <row r="49" spans="1:31">
      <c r="A49" s="1" t="s">
        <v>153</v>
      </c>
      <c r="B49" s="5" t="s">
        <v>192</v>
      </c>
      <c r="C49" s="5" t="s">
        <v>193</v>
      </c>
      <c r="D49" s="5" t="s">
        <v>21</v>
      </c>
      <c r="E49" s="5" t="s">
        <v>194</v>
      </c>
      <c r="F49" s="5" t="s">
        <v>22</v>
      </c>
      <c r="G49" s="6"/>
      <c r="H49" s="6"/>
      <c r="I49" s="6"/>
      <c r="J49" s="6"/>
      <c r="K49" s="6"/>
      <c r="L49" s="4">
        <f ca="1">_xll.DBRW($B$1,$B$2,$B$7,$B$3,$B$4,$B$5,$F49,$B$6,L$10,$A49,$B49)</f>
        <v>1570906.71</v>
      </c>
      <c r="M49" s="4">
        <f ca="1">_xll.DBRW($B$1,$B$2,$B$7,$B$3,$B$4,$B$5,$F49,$B$6,M$10,$A49,$B49)</f>
        <v>1452539.3564834697</v>
      </c>
      <c r="N49" s="4">
        <f ca="1">_xll.DBRW($B$1,$B$2,$B$7,$B$3,$B$4,$B$5,$F49,$B$6,N$10,$A49,$B49)</f>
        <v>1506348.9</v>
      </c>
      <c r="O49" s="4">
        <f ca="1">_xll.DBRW($B$1,$B$2,$B$7,$B$3,$B$4,$B$5,$F49,$B$6,O$10,$A49,$B49)</f>
        <v>1506348.9</v>
      </c>
      <c r="P49" s="4">
        <f ca="1">_xll.DBRW($B$1,$B$2,$B$7,$B$3,$B$4,$B$5,$F49,$B$6,P$10,$A49,$B49)</f>
        <v>1656983.79</v>
      </c>
      <c r="Q49" s="4">
        <f ca="1">_xll.DBRW($B$1,$B$2,$B$7,$B$3,$B$4,$B$5,$F49,$B$6,Q$10,$A49,$B49)</f>
        <v>2288215.7100000004</v>
      </c>
      <c r="R49" s="4">
        <f ca="1">_xll.DBRW($B$1,$B$2,$B$7,$B$3,$B$4,$B$5,$F49,$B$6,R$10,$A49,$B49)</f>
        <v>2496235.3200000003</v>
      </c>
      <c r="S49" s="4">
        <f ca="1">_xll.DBRW($B$1,$B$2,$B$7,$B$3,$B$4,$B$5,$F49,$B$6,S$10,$A49,$B49)</f>
        <v>2493844.29</v>
      </c>
      <c r="T49" s="4">
        <f ca="1">_xll.DBRW($B$1,$B$2,$B$7,$B$3,$B$4,$B$5,$F49,$B$6,T$10,$A49,$B49)</f>
        <v>2996564.6192195709</v>
      </c>
      <c r="U49" s="4">
        <f ca="1">_xll.DBRW($B$1,$B$2,$B$7,$B$3,$B$4,$B$5,$F49,$B$6,U$10,$A49,$B49)</f>
        <v>2729474.7378565311</v>
      </c>
      <c r="V49" s="4">
        <f ca="1">_xll.DBRW($B$1,$B$2,$B$7,$B$3,$B$4,$B$5,$F49,$B$6,V$10,$A49,$B49)</f>
        <v>3032093.5545499367</v>
      </c>
      <c r="W49" s="4">
        <f ca="1">_xll.DBRW($B$1,$B$2,$B$7,$B$3,$B$4,$B$5,$F49,$B$6,W$10,$A49,$B49)</f>
        <v>1835182.1022339759</v>
      </c>
      <c r="X49" s="4">
        <f ca="1">_xll.DBRW($B$1,$B$2,$B$7,$B$3,$B$4,$B$5,$F49,$B$6,X$10,$A49,$B49)</f>
        <v>2007708.2818030608</v>
      </c>
      <c r="Y49" s="4">
        <f ca="1">_xll.DBRW($B$1,$B$2,$B$7,$B$3,$B$4,$B$5,$F49,$B$6,Y$10,$A49,$B49)</f>
        <v>1906962.6698882582</v>
      </c>
      <c r="Z49" s="4">
        <f ca="1">_xll.DBRW($B$1,$B$2,$B$7,$B$3,$B$4,$B$5,$F49,$B$6,Z$10,$A49,$B49)</f>
        <v>1600194.5448461133</v>
      </c>
      <c r="AA49" s="4">
        <f ca="1">_xll.DBRW($B$1,$B$2,$B$7,$B$3,$B$4,$B$5,$F49,$B$6,AA$10,$A49,$B49)</f>
        <v>1904143.89981074</v>
      </c>
      <c r="AB49" s="4">
        <f ca="1">_xll.DBRW($B$1,$B$2,$B$7,$B$3,$B$4,$B$5,$F49,$B$6,AB$10,$A49,$B49)</f>
        <v>1845700.6627658238</v>
      </c>
      <c r="AC49" s="4">
        <f ca="1">_xll.DBRW($B$1,$B$2,$B$7,$B$3,$B$4,$B$5,$F49,$B$6,AC$10,$A49,$B49)</f>
        <v>2358288.0293991952</v>
      </c>
      <c r="AD49" s="4">
        <f ca="1">_xll.DBRW($B$1,$B$2,$B$7,$B$3,$B$4,$B$5,$F49,$B$6,AD$10,$A49,$B49)</f>
        <v>2737286.6986208777</v>
      </c>
      <c r="AE49" s="4">
        <f ca="1">_xll.DBRW($B$1,$B$2,$B$7,$B$3,$B$4,$B$5,$F49,$B$6,AE$10,$A49,$B49)</f>
        <v>2339297.5026114341</v>
      </c>
    </row>
    <row r="50" spans="1:31">
      <c r="A50" s="1" t="s">
        <v>153</v>
      </c>
      <c r="B50" s="5" t="s">
        <v>195</v>
      </c>
      <c r="C50" s="5" t="s">
        <v>196</v>
      </c>
      <c r="D50" s="5" t="s">
        <v>194</v>
      </c>
      <c r="E50" s="5" t="s">
        <v>21</v>
      </c>
      <c r="F50" s="5" t="s">
        <v>22</v>
      </c>
      <c r="G50" s="6"/>
      <c r="H50" s="6"/>
      <c r="I50" s="6"/>
      <c r="J50" s="6"/>
      <c r="K50" s="6"/>
      <c r="L50" s="4">
        <f ca="1">_xll.DBRW($B$1,$B$2,$B$7,$B$3,$B$4,$B$5,$F50,$B$6,L$10,$A50,$B50)</f>
        <v>1570906.71</v>
      </c>
      <c r="M50" s="4">
        <f ca="1">_xll.DBRW($B$1,$B$2,$B$7,$B$3,$B$4,$B$5,$F50,$B$6,M$10,$A50,$B50)</f>
        <v>1452539.3564834697</v>
      </c>
      <c r="N50" s="4">
        <f ca="1">_xll.DBRW($B$1,$B$2,$B$7,$B$3,$B$4,$B$5,$F50,$B$6,N$10,$A50,$B50)</f>
        <v>1506348.9</v>
      </c>
      <c r="O50" s="4">
        <f ca="1">_xll.DBRW($B$1,$B$2,$B$7,$B$3,$B$4,$B$5,$F50,$B$6,O$10,$A50,$B50)</f>
        <v>1506348.9</v>
      </c>
      <c r="P50" s="4">
        <f ca="1">_xll.DBRW($B$1,$B$2,$B$7,$B$3,$B$4,$B$5,$F50,$B$6,P$10,$A50,$B50)</f>
        <v>1656983.79</v>
      </c>
      <c r="Q50" s="4">
        <f ca="1">_xll.DBRW($B$1,$B$2,$B$7,$B$3,$B$4,$B$5,$F50,$B$6,Q$10,$A50,$B50)</f>
        <v>2080196.1000000003</v>
      </c>
      <c r="R50" s="4">
        <f ca="1">_xll.DBRW($B$1,$B$2,$B$7,$B$3,$B$4,$B$5,$F50,$B$6,R$10,$A50,$B50)</f>
        <v>2496235.3200000003</v>
      </c>
      <c r="S50" s="4">
        <f ca="1">_xll.DBRW($B$1,$B$2,$B$7,$B$3,$B$4,$B$5,$F50,$B$6,S$10,$A50,$B50)</f>
        <v>2493844.29</v>
      </c>
      <c r="T50" s="4">
        <f ca="1">_xll.DBRW($B$1,$B$2,$B$7,$B$3,$B$4,$B$5,$F50,$B$6,T$10,$A50,$B50)</f>
        <v>2996564.6192195709</v>
      </c>
      <c r="U50" s="4">
        <f ca="1">_xll.DBRW($B$1,$B$2,$B$7,$B$3,$B$4,$B$5,$F50,$B$6,U$10,$A50,$B50)</f>
        <v>2729474.7378565311</v>
      </c>
      <c r="V50" s="4">
        <f ca="1">_xll.DBRW($B$1,$B$2,$B$7,$B$3,$B$4,$B$5,$F50,$B$6,V$10,$A50,$B50)</f>
        <v>3032093.5545499367</v>
      </c>
      <c r="W50" s="4">
        <f ca="1">_xll.DBRW($B$1,$B$2,$B$7,$B$3,$B$4,$B$5,$F50,$B$6,W$10,$A50,$B50)</f>
        <v>1835182.1022339759</v>
      </c>
      <c r="X50" s="4">
        <f ca="1">_xll.DBRW($B$1,$B$2,$B$7,$B$3,$B$4,$B$5,$F50,$B$6,X$10,$A50,$B50)</f>
        <v>2007708.2818030608</v>
      </c>
      <c r="Y50" s="4">
        <f ca="1">_xll.DBRW($B$1,$B$2,$B$7,$B$3,$B$4,$B$5,$F50,$B$6,Y$10,$A50,$B50)</f>
        <v>1906962.6698882582</v>
      </c>
      <c r="Z50" s="4">
        <f ca="1">_xll.DBRW($B$1,$B$2,$B$7,$B$3,$B$4,$B$5,$F50,$B$6,Z$10,$A50,$B50)</f>
        <v>1600194.5448461133</v>
      </c>
      <c r="AA50" s="4">
        <f ca="1">_xll.DBRW($B$1,$B$2,$B$7,$B$3,$B$4,$B$5,$F50,$B$6,AA$10,$A50,$B50)</f>
        <v>1904143.89981074</v>
      </c>
      <c r="AB50" s="4">
        <f ca="1">_xll.DBRW($B$1,$B$2,$B$7,$B$3,$B$4,$B$5,$F50,$B$6,AB$10,$A50,$B50)</f>
        <v>1845700.6627658238</v>
      </c>
      <c r="AC50" s="4">
        <f ca="1">_xll.DBRW($B$1,$B$2,$B$7,$B$3,$B$4,$B$5,$F50,$B$6,AC$10,$A50,$B50)</f>
        <v>2358288.0293991952</v>
      </c>
      <c r="AD50" s="4">
        <f ca="1">_xll.DBRW($B$1,$B$2,$B$7,$B$3,$B$4,$B$5,$F50,$B$6,AD$10,$A50,$B50)</f>
        <v>2737286.6986208777</v>
      </c>
      <c r="AE50" s="4">
        <f ca="1">_xll.DBRW($B$1,$B$2,$B$7,$B$3,$B$4,$B$5,$F50,$B$6,AE$10,$A50,$B50)</f>
        <v>2339297.5026114341</v>
      </c>
    </row>
    <row r="51" spans="1:31">
      <c r="A51" s="1" t="s">
        <v>153</v>
      </c>
      <c r="B51" s="5" t="s">
        <v>197</v>
      </c>
      <c r="C51" s="5" t="s">
        <v>198</v>
      </c>
      <c r="D51" s="5" t="s">
        <v>28</v>
      </c>
      <c r="E51" s="5" t="s">
        <v>20</v>
      </c>
      <c r="F51" s="5" t="s">
        <v>22</v>
      </c>
      <c r="G51" s="6"/>
      <c r="H51" s="6"/>
      <c r="I51" s="6"/>
      <c r="J51" s="6"/>
      <c r="K51" s="6"/>
      <c r="L51" s="4">
        <f ca="1">_xll.DBRW($B$1,$B$2,$B$7,$B$3,$B$4,$B$5,$F51,$B$6,L$10,$A51,$B51)</f>
        <v>4754067</v>
      </c>
      <c r="M51" s="4">
        <f ca="1">_xll.DBRW($B$1,$B$2,$B$7,$B$3,$B$4,$B$5,$F51,$B$6,M$10,$A51,$B51)</f>
        <v>4968727.9115078272</v>
      </c>
      <c r="N51" s="4">
        <f ca="1">_xll.DBRW($B$1,$B$2,$B$7,$B$3,$B$4,$B$5,$F51,$B$6,N$10,$A51,$B51)</f>
        <v>5134392.3600000003</v>
      </c>
      <c r="O51" s="4">
        <f ca="1">_xll.DBRW($B$1,$B$2,$B$7,$B$3,$B$4,$B$5,$F51,$B$6,O$10,$A51,$B51)</f>
        <v>4627291.88</v>
      </c>
      <c r="P51" s="4">
        <f ca="1">_xll.DBRW($B$1,$B$2,$B$7,$B$3,$B$4,$B$5,$F51,$B$6,P$10,$A51,$B51)</f>
        <v>5091452.3999999994</v>
      </c>
      <c r="Q51" s="4">
        <f ca="1">_xll.DBRW($B$1,$B$2,$B$7,$B$3,$B$4,$B$5,$F51,$B$6,Q$10,$A51,$B51)</f>
        <v>4986773.8800000008</v>
      </c>
      <c r="R51" s="4">
        <f ca="1">_xll.DBRW($B$1,$B$2,$B$7,$B$3,$B$4,$B$5,$F51,$B$6,R$10,$A51,$B51)</f>
        <v>3236063.56</v>
      </c>
      <c r="S51" s="4">
        <f ca="1">_xll.DBRW($B$1,$B$2,$B$7,$B$3,$B$4,$B$5,$F51,$B$6,S$10,$A51,$B51)</f>
        <v>3129670.08</v>
      </c>
      <c r="T51" s="4">
        <f ca="1">_xll.DBRW($B$1,$B$2,$B$7,$B$3,$B$4,$B$5,$F51,$B$6,T$10,$A51,$B51)</f>
        <v>2930048.3452260196</v>
      </c>
      <c r="U51" s="4">
        <f ca="1">_xll.DBRW($B$1,$B$2,$B$7,$B$3,$B$4,$B$5,$F51,$B$6,U$10,$A51,$B51)</f>
        <v>2627892.1463598902</v>
      </c>
      <c r="V51" s="4">
        <f ca="1">_xll.DBRW($B$1,$B$2,$B$7,$B$3,$B$4,$B$5,$F51,$B$6,V$10,$A51,$B51)</f>
        <v>3941903.7758007715</v>
      </c>
      <c r="W51" s="4">
        <f ca="1">_xll.DBRW($B$1,$B$2,$B$7,$B$3,$B$4,$B$5,$F51,$B$6,W$10,$A51,$B51)</f>
        <v>5818170.6787409307</v>
      </c>
      <c r="X51" s="4">
        <f ca="1">_xll.DBRW($B$1,$B$2,$B$7,$B$3,$B$4,$B$5,$F51,$B$6,X$10,$A51,$B51)</f>
        <v>4777648.6967181601</v>
      </c>
      <c r="Y51" s="4">
        <f ca="1">_xll.DBRW($B$1,$B$2,$B$7,$B$3,$B$4,$B$5,$F51,$B$6,Y$10,$A51,$B51)</f>
        <v>5619025.2159516793</v>
      </c>
      <c r="Z51" s="4">
        <f ca="1">_xll.DBRW($B$1,$B$2,$B$7,$B$3,$B$4,$B$5,$F51,$B$6,Z$10,$A51,$B51)</f>
        <v>5862155.3255714197</v>
      </c>
      <c r="AA51" s="4">
        <f ca="1">_xll.DBRW($B$1,$B$2,$B$7,$B$3,$B$4,$B$5,$F51,$B$6,AA$10,$A51,$B51)</f>
        <v>5149838.4873495651</v>
      </c>
      <c r="AB51" s="4">
        <f ca="1">_xll.DBRW($B$1,$B$2,$B$7,$B$3,$B$4,$B$5,$F51,$B$6,AB$10,$A51,$B51)</f>
        <v>5387960.7333683502</v>
      </c>
      <c r="AC51" s="4">
        <f ca="1">_xll.DBRW($B$1,$B$2,$B$7,$B$3,$B$4,$B$5,$F51,$B$6,AC$10,$A51,$B51)</f>
        <v>5512608.2533905357</v>
      </c>
      <c r="AD51" s="4">
        <f ca="1">_xll.DBRW($B$1,$B$2,$B$7,$B$3,$B$4,$B$5,$F51,$B$6,AD$10,$A51,$B51)</f>
        <v>3649802.8872444448</v>
      </c>
      <c r="AE51" s="4">
        <f ca="1">_xll.DBRW($B$1,$B$2,$B$7,$B$3,$B$4,$B$5,$F51,$B$6,AE$10,$A51,$B51)</f>
        <v>3514382.5175769278</v>
      </c>
    </row>
    <row r="52" spans="1:31">
      <c r="A52" s="1" t="s">
        <v>153</v>
      </c>
      <c r="B52" s="5" t="s">
        <v>26</v>
      </c>
      <c r="C52" s="5" t="s">
        <v>27</v>
      </c>
      <c r="D52" s="5" t="s">
        <v>20</v>
      </c>
      <c r="E52" s="5" t="s">
        <v>28</v>
      </c>
      <c r="F52" s="5" t="s">
        <v>22</v>
      </c>
      <c r="G52" s="6"/>
      <c r="H52" s="6"/>
      <c r="I52" s="6"/>
      <c r="J52" s="6"/>
      <c r="K52" s="6"/>
      <c r="L52" s="4">
        <f ca="1">_xll.DBRW($B$1,$B$2,$B$7,$B$3,$B$4,$B$5,$F52,$B$6,L$10,$A52,$B52)</f>
        <v>4754067</v>
      </c>
      <c r="M52" s="4">
        <f ca="1">_xll.DBRW($B$1,$B$2,$B$7,$B$3,$B$4,$B$5,$F52,$B$6,M$10,$A52,$B52)</f>
        <v>4968727.9115078272</v>
      </c>
      <c r="N52" s="4">
        <f ca="1">_xll.DBRW($B$1,$B$2,$B$7,$B$3,$B$4,$B$5,$F52,$B$6,N$10,$A52,$B52)</f>
        <v>5134392.3600000003</v>
      </c>
      <c r="O52" s="4">
        <f ca="1">_xll.DBRW($B$1,$B$2,$B$7,$B$3,$B$4,$B$5,$F52,$B$6,O$10,$A52,$B52)</f>
        <v>4627291.88</v>
      </c>
      <c r="P52" s="4">
        <f ca="1">_xll.DBRW($B$1,$B$2,$B$7,$B$3,$B$4,$B$5,$F52,$B$6,P$10,$A52,$B52)</f>
        <v>5091452.3999999994</v>
      </c>
      <c r="Q52" s="4">
        <f ca="1">_xll.DBRW($B$1,$B$2,$B$7,$B$3,$B$4,$B$5,$F52,$B$6,Q$10,$A52,$B52)</f>
        <v>4986773.8800000008</v>
      </c>
      <c r="R52" s="4">
        <f ca="1">_xll.DBRW($B$1,$B$2,$B$7,$B$3,$B$4,$B$5,$F52,$B$6,R$10,$A52,$B52)</f>
        <v>3236063.56</v>
      </c>
      <c r="S52" s="4">
        <f ca="1">_xll.DBRW($B$1,$B$2,$B$7,$B$3,$B$4,$B$5,$F52,$B$6,S$10,$A52,$B52)</f>
        <v>3129670.08</v>
      </c>
      <c r="T52" s="4">
        <f ca="1">_xll.DBRW($B$1,$B$2,$B$7,$B$3,$B$4,$B$5,$F52,$B$6,T$10,$A52,$B52)</f>
        <v>2930048.3452260196</v>
      </c>
      <c r="U52" s="4">
        <f ca="1">_xll.DBRW($B$1,$B$2,$B$7,$B$3,$B$4,$B$5,$F52,$B$6,U$10,$A52,$B52)</f>
        <v>2627892.1463598902</v>
      </c>
      <c r="V52" s="4">
        <f ca="1">_xll.DBRW($B$1,$B$2,$B$7,$B$3,$B$4,$B$5,$F52,$B$6,V$10,$A52,$B52)</f>
        <v>3941903.7758007715</v>
      </c>
      <c r="W52" s="4">
        <f ca="1">_xll.DBRW($B$1,$B$2,$B$7,$B$3,$B$4,$B$5,$F52,$B$6,W$10,$A52,$B52)</f>
        <v>5818170.6787409307</v>
      </c>
      <c r="X52" s="4">
        <f ca="1">_xll.DBRW($B$1,$B$2,$B$7,$B$3,$B$4,$B$5,$F52,$B$6,X$10,$A52,$B52)</f>
        <v>4777648.6967181601</v>
      </c>
      <c r="Y52" s="4">
        <f ca="1">_xll.DBRW($B$1,$B$2,$B$7,$B$3,$B$4,$B$5,$F52,$B$6,Y$10,$A52,$B52)</f>
        <v>5619025.2159516793</v>
      </c>
      <c r="Z52" s="4">
        <f ca="1">_xll.DBRW($B$1,$B$2,$B$7,$B$3,$B$4,$B$5,$F52,$B$6,Z$10,$A52,$B52)</f>
        <v>5862155.3255714197</v>
      </c>
      <c r="AA52" s="4">
        <f ca="1">_xll.DBRW($B$1,$B$2,$B$7,$B$3,$B$4,$B$5,$F52,$B$6,AA$10,$A52,$B52)</f>
        <v>5149838.4873495651</v>
      </c>
      <c r="AB52" s="4">
        <f ca="1">_xll.DBRW($B$1,$B$2,$B$7,$B$3,$B$4,$B$5,$F52,$B$6,AB$10,$A52,$B52)</f>
        <v>5387960.7333683502</v>
      </c>
      <c r="AC52" s="4">
        <f ca="1">_xll.DBRW($B$1,$B$2,$B$7,$B$3,$B$4,$B$5,$F52,$B$6,AC$10,$A52,$B52)</f>
        <v>5512608.2533905357</v>
      </c>
      <c r="AD52" s="4">
        <f ca="1">_xll.DBRW($B$1,$B$2,$B$7,$B$3,$B$4,$B$5,$F52,$B$6,AD$10,$A52,$B52)</f>
        <v>3649802.8872444448</v>
      </c>
      <c r="AE52" s="4">
        <f ca="1">_xll.DBRW($B$1,$B$2,$B$7,$B$3,$B$4,$B$5,$F52,$B$6,AE$10,$A52,$B52)</f>
        <v>3354637.8576870682</v>
      </c>
    </row>
    <row r="53" spans="1:31">
      <c r="A53" s="1" t="s">
        <v>153</v>
      </c>
      <c r="B53" s="5" t="s">
        <v>199</v>
      </c>
      <c r="C53" s="5" t="s">
        <v>189</v>
      </c>
      <c r="D53" s="5" t="s">
        <v>21</v>
      </c>
      <c r="E53" s="5" t="s">
        <v>20</v>
      </c>
      <c r="F53" s="5" t="s">
        <v>22</v>
      </c>
      <c r="G53" s="6"/>
      <c r="H53" s="6"/>
      <c r="I53" s="6"/>
      <c r="J53" s="6"/>
      <c r="K53" s="6"/>
      <c r="L53" s="4">
        <f ca="1">_xll.DBRW($B$1,$B$2,$B$7,$B$3,$B$4,$B$5,$F53,$B$6,L$10,$A53,$B53)</f>
        <v>0</v>
      </c>
      <c r="M53" s="4">
        <f ca="1">_xll.DBRW($B$1,$B$2,$B$7,$B$3,$B$4,$B$5,$F53,$B$6,M$10,$A53,$B53)</f>
        <v>0</v>
      </c>
      <c r="N53" s="4">
        <f ca="1">_xll.DBRW($B$1,$B$2,$B$7,$B$3,$B$4,$B$5,$F53,$B$6,N$10,$A53,$B53)</f>
        <v>0</v>
      </c>
      <c r="O53" s="4">
        <f ca="1">_xll.DBRW($B$1,$B$2,$B$7,$B$3,$B$4,$B$5,$F53,$B$6,O$10,$A53,$B53)</f>
        <v>256403.84</v>
      </c>
      <c r="P53" s="4">
        <f ca="1">_xll.DBRW($B$1,$B$2,$B$7,$B$3,$B$4,$B$5,$F53,$B$6,P$10,$A53,$B53)</f>
        <v>0</v>
      </c>
      <c r="Q53" s="4">
        <f ca="1">_xll.DBRW($B$1,$B$2,$B$7,$B$3,$B$4,$B$5,$F53,$B$6,Q$10,$A53,$B53)</f>
        <v>0</v>
      </c>
      <c r="R53" s="4">
        <f ca="1">_xll.DBRW($B$1,$B$2,$B$7,$B$3,$B$4,$B$5,$F53,$B$6,R$10,$A53,$B53)</f>
        <v>0</v>
      </c>
      <c r="S53" s="4">
        <f ca="1">_xll.DBRW($B$1,$B$2,$B$7,$B$3,$B$4,$B$5,$F53,$B$6,S$10,$A53,$B53)</f>
        <v>0</v>
      </c>
      <c r="T53" s="4">
        <f ca="1">_xll.DBRW($B$1,$B$2,$B$7,$B$3,$B$4,$B$5,$F53,$B$6,T$10,$A53,$B53)</f>
        <v>0</v>
      </c>
      <c r="U53" s="4">
        <f ca="1">_xll.DBRW($B$1,$B$2,$B$7,$B$3,$B$4,$B$5,$F53,$B$6,U$10,$A53,$B53)</f>
        <v>0</v>
      </c>
      <c r="V53" s="4">
        <f ca="1">_xll.DBRW($B$1,$B$2,$B$7,$B$3,$B$4,$B$5,$F53,$B$6,V$10,$A53,$B53)</f>
        <v>388964.00630971894</v>
      </c>
      <c r="W53" s="4">
        <f ca="1">_xll.DBRW($B$1,$B$2,$B$7,$B$3,$B$4,$B$5,$F53,$B$6,W$10,$A53,$B53)</f>
        <v>5928252.0257783355</v>
      </c>
      <c r="X53" s="4">
        <f ca="1">_xll.DBRW($B$1,$B$2,$B$7,$B$3,$B$4,$B$5,$F53,$B$6,X$10,$A53,$B53)</f>
        <v>6411322.3109547831</v>
      </c>
      <c r="Y53" s="4">
        <f ca="1">_xll.DBRW($B$1,$B$2,$B$7,$B$3,$B$4,$B$5,$F53,$B$6,Y$10,$A53,$B53)</f>
        <v>6204505.4622143041</v>
      </c>
      <c r="Z53" s="4">
        <f ca="1">_xll.DBRW($B$1,$B$2,$B$7,$B$3,$B$4,$B$5,$F53,$B$6,Z$10,$A53,$B53)</f>
        <v>6421484.3763160082</v>
      </c>
      <c r="AA53" s="4">
        <f ca="1">_xll.DBRW($B$1,$B$2,$B$7,$B$3,$B$4,$B$5,$F53,$B$6,AA$10,$A53,$B53)</f>
        <v>5765193.5136745414</v>
      </c>
      <c r="AB53" s="4">
        <f ca="1">_xll.DBRW($B$1,$B$2,$B$7,$B$3,$B$4,$B$5,$F53,$B$6,AB$10,$A53,$B53)</f>
        <v>5739831.7453683931</v>
      </c>
      <c r="AC53" s="4">
        <f ca="1">_xll.DBRW($B$1,$B$2,$B$7,$B$3,$B$4,$B$5,$F53,$B$6,AC$10,$A53,$B53)</f>
        <v>4699451.5696226861</v>
      </c>
      <c r="AD53" s="4">
        <f ca="1">_xll.DBRW($B$1,$B$2,$B$7,$B$3,$B$4,$B$5,$F53,$B$6,AD$10,$A53,$B53)</f>
        <v>0</v>
      </c>
      <c r="AE53" s="4">
        <f ca="1">_xll.DBRW($B$1,$B$2,$B$7,$B$3,$B$4,$B$5,$F53,$B$6,AE$10,$A53,$B53)</f>
        <v>0</v>
      </c>
    </row>
    <row r="54" spans="1:31">
      <c r="A54" s="1" t="s">
        <v>153</v>
      </c>
      <c r="B54" s="5" t="s">
        <v>23</v>
      </c>
      <c r="C54" s="5" t="s">
        <v>19</v>
      </c>
      <c r="D54" s="5" t="s">
        <v>20</v>
      </c>
      <c r="E54" s="5" t="s">
        <v>21</v>
      </c>
      <c r="F54" s="5" t="s">
        <v>22</v>
      </c>
      <c r="G54" s="6"/>
      <c r="H54" s="6"/>
      <c r="I54" s="6"/>
      <c r="J54" s="6"/>
      <c r="K54" s="6"/>
      <c r="L54" s="4">
        <f ca="1">_xll.DBRW($B$1,$B$2,$B$7,$B$3,$B$4,$B$5,$F54,$B$6,L$10,$A54,$B54)</f>
        <v>0</v>
      </c>
      <c r="M54" s="4">
        <f ca="1">_xll.DBRW($B$1,$B$2,$B$7,$B$3,$B$4,$B$5,$F54,$B$6,M$10,$A54,$B54)</f>
        <v>0</v>
      </c>
      <c r="N54" s="4">
        <f ca="1">_xll.DBRW($B$1,$B$2,$B$7,$B$3,$B$4,$B$5,$F54,$B$6,N$10,$A54,$B54)</f>
        <v>0</v>
      </c>
      <c r="O54" s="4">
        <f ca="1">_xll.DBRW($B$1,$B$2,$B$7,$B$3,$B$4,$B$5,$F54,$B$6,O$10,$A54,$B54)</f>
        <v>0</v>
      </c>
      <c r="P54" s="4">
        <f ca="1">_xll.DBRW($B$1,$B$2,$B$7,$B$3,$B$4,$B$5,$F54,$B$6,P$10,$A54,$B54)</f>
        <v>0</v>
      </c>
      <c r="Q54" s="4">
        <f ca="1">_xll.DBRW($B$1,$B$2,$B$7,$B$3,$B$4,$B$5,$F54,$B$6,Q$10,$A54,$B54)</f>
        <v>0</v>
      </c>
      <c r="R54" s="4">
        <f ca="1">_xll.DBRW($B$1,$B$2,$B$7,$B$3,$B$4,$B$5,$F54,$B$6,R$10,$A54,$B54)</f>
        <v>0</v>
      </c>
      <c r="S54" s="4">
        <f ca="1">_xll.DBRW($B$1,$B$2,$B$7,$B$3,$B$4,$B$5,$F54,$B$6,S$10,$A54,$B54)</f>
        <v>0</v>
      </c>
      <c r="T54" s="4">
        <f ca="1">_xll.DBRW($B$1,$B$2,$B$7,$B$3,$B$4,$B$5,$F54,$B$6,T$10,$A54,$B54)</f>
        <v>0</v>
      </c>
      <c r="U54" s="4">
        <f ca="1">_xll.DBRW($B$1,$B$2,$B$7,$B$3,$B$4,$B$5,$F54,$B$6,U$10,$A54,$B54)</f>
        <v>0</v>
      </c>
      <c r="V54" s="4">
        <f ca="1">_xll.DBRW($B$1,$B$2,$B$7,$B$3,$B$4,$B$5,$F54,$B$6,V$10,$A54,$B54)</f>
        <v>388964.00630971894</v>
      </c>
      <c r="W54" s="4">
        <f ca="1">_xll.DBRW($B$1,$B$2,$B$7,$B$3,$B$4,$B$5,$F54,$B$6,W$10,$A54,$B54)</f>
        <v>5928252.0257783355</v>
      </c>
      <c r="X54" s="4">
        <f ca="1">_xll.DBRW($B$1,$B$2,$B$7,$B$3,$B$4,$B$5,$F54,$B$6,X$10,$A54,$B54)</f>
        <v>6411322.3109547831</v>
      </c>
      <c r="Y54" s="4">
        <f ca="1">_xll.DBRW($B$1,$B$2,$B$7,$B$3,$B$4,$B$5,$F54,$B$6,Y$10,$A54,$B54)</f>
        <v>6204505.4622143041</v>
      </c>
      <c r="Z54" s="4">
        <f ca="1">_xll.DBRW($B$1,$B$2,$B$7,$B$3,$B$4,$B$5,$F54,$B$6,Z$10,$A54,$B54)</f>
        <v>6421484.3763160082</v>
      </c>
      <c r="AA54" s="4">
        <f ca="1">_xll.DBRW($B$1,$B$2,$B$7,$B$3,$B$4,$B$5,$F54,$B$6,AA$10,$A54,$B54)</f>
        <v>5765193.5136745414</v>
      </c>
      <c r="AB54" s="4">
        <f ca="1">_xll.DBRW($B$1,$B$2,$B$7,$B$3,$B$4,$B$5,$F54,$B$6,AB$10,$A54,$B54)</f>
        <v>5739831.7453683931</v>
      </c>
      <c r="AC54" s="4">
        <f ca="1">_xll.DBRW($B$1,$B$2,$B$7,$B$3,$B$4,$B$5,$F54,$B$6,AC$10,$A54,$B54)</f>
        <v>4699451.5696226861</v>
      </c>
      <c r="AD54" s="4">
        <f ca="1">_xll.DBRW($B$1,$B$2,$B$7,$B$3,$B$4,$B$5,$F54,$B$6,AD$10,$A54,$B54)</f>
        <v>0</v>
      </c>
      <c r="AE54" s="4">
        <f ca="1">_xll.DBRW($B$1,$B$2,$B$7,$B$3,$B$4,$B$5,$F54,$B$6,AE$10,$A54,$B54)</f>
        <v>0</v>
      </c>
    </row>
    <row r="55" spans="1:31">
      <c r="A55" s="1" t="s">
        <v>153</v>
      </c>
      <c r="B55" s="5" t="s">
        <v>200</v>
      </c>
      <c r="C55" s="5" t="s">
        <v>161</v>
      </c>
      <c r="D55" s="5" t="s">
        <v>21</v>
      </c>
      <c r="E55" s="5" t="s">
        <v>69</v>
      </c>
      <c r="F55" s="5" t="s">
        <v>22</v>
      </c>
      <c r="G55" s="6"/>
      <c r="H55" s="6"/>
      <c r="I55" s="6"/>
      <c r="J55" s="6"/>
      <c r="K55" s="6"/>
      <c r="L55" s="4">
        <f ca="1">_xll.DBRW($B$1,$B$2,$B$7,$B$3,$B$4,$B$5,$F55,$B$6,L$10,$A55,$B55)</f>
        <v>5496699.8999999994</v>
      </c>
      <c r="M55" s="4">
        <f ca="1">_xll.DBRW($B$1,$B$2,$B$7,$B$3,$B$4,$B$5,$F55,$B$6,M$10,$A55,$B55)</f>
        <v>5833575.4563991614</v>
      </c>
      <c r="N55" s="4">
        <f ca="1">_xll.DBRW($B$1,$B$2,$B$7,$B$3,$B$4,$B$5,$F55,$B$6,N$10,$A55,$B55)</f>
        <v>5816788.8499999996</v>
      </c>
      <c r="O55" s="4">
        <f ca="1">_xll.DBRW($B$1,$B$2,$B$7,$B$3,$B$4,$B$5,$F55,$B$6,O$10,$A55,$B55)</f>
        <v>5611490.4200000009</v>
      </c>
      <c r="P55" s="4">
        <f ca="1">_xll.DBRW($B$1,$B$2,$B$7,$B$3,$B$4,$B$5,$F55,$B$6,P$10,$A55,$B55)</f>
        <v>5298024</v>
      </c>
      <c r="Q55" s="4">
        <f ca="1">_xll.DBRW($B$1,$B$2,$B$7,$B$3,$B$4,$B$5,$F55,$B$6,Q$10,$A55,$B55)</f>
        <v>6133317.2999999998</v>
      </c>
      <c r="R55" s="4">
        <f ca="1">_xll.DBRW($B$1,$B$2,$B$7,$B$3,$B$4,$B$5,$F55,$B$6,R$10,$A55,$B55)</f>
        <v>6391809.5999999996</v>
      </c>
      <c r="S55" s="4">
        <f ca="1">_xll.DBRW($B$1,$B$2,$B$7,$B$3,$B$4,$B$5,$F55,$B$6,S$10,$A55,$B55)</f>
        <v>6658135</v>
      </c>
      <c r="T55" s="4">
        <f ca="1">_xll.DBRW($B$1,$B$2,$B$7,$B$3,$B$4,$B$5,$F55,$B$6,T$10,$A55,$B55)</f>
        <v>6703690.6542729847</v>
      </c>
      <c r="U55" s="4">
        <f ca="1">_xll.DBRW($B$1,$B$2,$B$7,$B$3,$B$4,$B$5,$F55,$B$6,U$10,$A55,$B55)</f>
        <v>6039020.0044308938</v>
      </c>
      <c r="V55" s="4">
        <f ca="1">_xll.DBRW($B$1,$B$2,$B$7,$B$3,$B$4,$B$5,$F55,$B$6,V$10,$A55,$B55)</f>
        <v>6665726.5779278222</v>
      </c>
      <c r="W55" s="4">
        <f ca="1">_xll.DBRW($B$1,$B$2,$B$7,$B$3,$B$4,$B$5,$F55,$B$6,W$10,$A55,$B55)</f>
        <v>6438182.2379659694</v>
      </c>
      <c r="X55" s="4">
        <f ca="1">_xll.DBRW($B$1,$B$2,$B$7,$B$3,$B$4,$B$5,$F55,$B$6,X$10,$A55,$B55)</f>
        <v>6697286.8564050039</v>
      </c>
      <c r="Y55" s="4">
        <f ca="1">_xll.DBRW($B$1,$B$2,$B$7,$B$3,$B$4,$B$5,$F55,$B$6,Y$10,$A55,$B55)</f>
        <v>6472428.7990403157</v>
      </c>
      <c r="Z55" s="4">
        <f ca="1">_xll.DBRW($B$1,$B$2,$B$7,$B$3,$B$4,$B$5,$F55,$B$6,Z$10,$A55,$B55)</f>
        <v>6525532.1524785087</v>
      </c>
      <c r="AA55" s="4">
        <f ca="1">_xll.DBRW($B$1,$B$2,$B$7,$B$3,$B$4,$B$5,$F55,$B$6,AA$10,$A55,$B55)</f>
        <v>6303175.8389574727</v>
      </c>
      <c r="AB55" s="4">
        <f ca="1">_xll.DBRW($B$1,$B$2,$B$7,$B$3,$B$4,$B$5,$F55,$B$6,AB$10,$A55,$B55)</f>
        <v>5863187.474345413</v>
      </c>
      <c r="AC55" s="4">
        <f ca="1">_xll.DBRW($B$1,$B$2,$B$7,$B$3,$B$4,$B$5,$F55,$B$6,AC$10,$A55,$B55)</f>
        <v>5916959.4675732069</v>
      </c>
      <c r="AD55" s="4">
        <f ca="1">_xll.DBRW($B$1,$B$2,$B$7,$B$3,$B$4,$B$5,$F55,$B$6,AD$10,$A55,$B55)</f>
        <v>6068587.8678448815</v>
      </c>
      <c r="AE55" s="4">
        <f ca="1">_xll.DBRW($B$1,$B$2,$B$7,$B$3,$B$4,$B$5,$F55,$B$6,AE$10,$A55,$B55)</f>
        <v>5617817.9275125498</v>
      </c>
    </row>
    <row r="56" spans="1:31">
      <c r="A56" s="1" t="s">
        <v>153</v>
      </c>
      <c r="B56" s="5" t="s">
        <v>70</v>
      </c>
      <c r="C56" s="5" t="s">
        <v>68</v>
      </c>
      <c r="D56" s="5" t="s">
        <v>69</v>
      </c>
      <c r="E56" s="5" t="s">
        <v>21</v>
      </c>
      <c r="F56" s="5" t="s">
        <v>22</v>
      </c>
      <c r="G56" s="6"/>
      <c r="H56" s="6"/>
      <c r="I56" s="6"/>
      <c r="J56" s="6"/>
      <c r="K56" s="6"/>
      <c r="L56" s="4">
        <f ca="1">_xll.DBRW($B$1,$B$2,$B$7,$B$3,$B$4,$B$5,$F56,$B$6,L$10,$A56,$B56)</f>
        <v>5496699.8999999994</v>
      </c>
      <c r="M56" s="4">
        <f ca="1">_xll.DBRW($B$1,$B$2,$B$7,$B$3,$B$4,$B$5,$F56,$B$6,M$10,$A56,$B56)</f>
        <v>5833575.4563991614</v>
      </c>
      <c r="N56" s="4">
        <f ca="1">_xll.DBRW($B$1,$B$2,$B$7,$B$3,$B$4,$B$5,$F56,$B$6,N$10,$A56,$B56)</f>
        <v>5816788.8499999996</v>
      </c>
      <c r="O56" s="4">
        <f ca="1">_xll.DBRW($B$1,$B$2,$B$7,$B$3,$B$4,$B$5,$F56,$B$6,O$10,$A56,$B56)</f>
        <v>5611490.4200000009</v>
      </c>
      <c r="P56" s="4">
        <f ca="1">_xll.DBRW($B$1,$B$2,$B$7,$B$3,$B$4,$B$5,$F56,$B$6,P$10,$A56,$B56)</f>
        <v>5298024</v>
      </c>
      <c r="Q56" s="4">
        <f ca="1">_xll.DBRW($B$1,$B$2,$B$7,$B$3,$B$4,$B$5,$F56,$B$6,Q$10,$A56,$B56)</f>
        <v>6133317.2999999998</v>
      </c>
      <c r="R56" s="4">
        <f ca="1">_xll.DBRW($B$1,$B$2,$B$7,$B$3,$B$4,$B$5,$F56,$B$6,R$10,$A56,$B56)</f>
        <v>6391809.5999999996</v>
      </c>
      <c r="S56" s="4">
        <f ca="1">_xll.DBRW($B$1,$B$2,$B$7,$B$3,$B$4,$B$5,$F56,$B$6,S$10,$A56,$B56)</f>
        <v>6658135</v>
      </c>
      <c r="T56" s="4">
        <f ca="1">_xll.DBRW($B$1,$B$2,$B$7,$B$3,$B$4,$B$5,$F56,$B$6,T$10,$A56,$B56)</f>
        <v>6703690.6542729847</v>
      </c>
      <c r="U56" s="4">
        <f ca="1">_xll.DBRW($B$1,$B$2,$B$7,$B$3,$B$4,$B$5,$F56,$B$6,U$10,$A56,$B56)</f>
        <v>6039020.0044308938</v>
      </c>
      <c r="V56" s="4">
        <f ca="1">_xll.DBRW($B$1,$B$2,$B$7,$B$3,$B$4,$B$5,$F56,$B$6,V$10,$A56,$B56)</f>
        <v>6665726.5779278222</v>
      </c>
      <c r="W56" s="4">
        <f ca="1">_xll.DBRW($B$1,$B$2,$B$7,$B$3,$B$4,$B$5,$F56,$B$6,W$10,$A56,$B56)</f>
        <v>6438182.2379659694</v>
      </c>
      <c r="X56" s="4">
        <f ca="1">_xll.DBRW($B$1,$B$2,$B$7,$B$3,$B$4,$B$5,$F56,$B$6,X$10,$A56,$B56)</f>
        <v>6697286.8564050039</v>
      </c>
      <c r="Y56" s="4">
        <f ca="1">_xll.DBRW($B$1,$B$2,$B$7,$B$3,$B$4,$B$5,$F56,$B$6,Y$10,$A56,$B56)</f>
        <v>6472428.7990403157</v>
      </c>
      <c r="Z56" s="4">
        <f ca="1">_xll.DBRW($B$1,$B$2,$B$7,$B$3,$B$4,$B$5,$F56,$B$6,Z$10,$A56,$B56)</f>
        <v>6525532.1524785087</v>
      </c>
      <c r="AA56" s="4">
        <f ca="1">_xll.DBRW($B$1,$B$2,$B$7,$B$3,$B$4,$B$5,$F56,$B$6,AA$10,$A56,$B56)</f>
        <v>6303175.8389574727</v>
      </c>
      <c r="AB56" s="4">
        <f ca="1">_xll.DBRW($B$1,$B$2,$B$7,$B$3,$B$4,$B$5,$F56,$B$6,AB$10,$A56,$B56)</f>
        <v>5863187.474345413</v>
      </c>
      <c r="AC56" s="4">
        <f ca="1">_xll.DBRW($B$1,$B$2,$B$7,$B$3,$B$4,$B$5,$F56,$B$6,AC$10,$A56,$B56)</f>
        <v>5720545.8752886197</v>
      </c>
      <c r="AD56" s="4">
        <f ca="1">_xll.DBRW($B$1,$B$2,$B$7,$B$3,$B$4,$B$5,$F56,$B$6,AD$10,$A56,$B56)</f>
        <v>6068587.8678448815</v>
      </c>
      <c r="AE56" s="4">
        <f ca="1">_xll.DBRW($B$1,$B$2,$B$7,$B$3,$B$4,$B$5,$F56,$B$6,AE$10,$A56,$B56)</f>
        <v>5617817.9275125498</v>
      </c>
    </row>
    <row r="57" spans="1:31">
      <c r="A57" s="1" t="s">
        <v>153</v>
      </c>
      <c r="B57" s="5" t="s">
        <v>201</v>
      </c>
      <c r="C57" s="5" t="s">
        <v>202</v>
      </c>
      <c r="D57" s="5" t="s">
        <v>28</v>
      </c>
      <c r="E57" s="5" t="s">
        <v>38</v>
      </c>
      <c r="F57" s="5" t="s">
        <v>22</v>
      </c>
      <c r="G57" s="6"/>
      <c r="H57" s="6"/>
      <c r="I57" s="6"/>
      <c r="J57" s="6"/>
      <c r="K57" s="6"/>
      <c r="L57" s="4">
        <f ca="1">_xll.DBRW($B$1,$B$2,$B$7,$B$3,$B$4,$B$5,$F57,$B$6,L$10,$A57,$B57)</f>
        <v>4796767.4559434084</v>
      </c>
      <c r="M57" s="4">
        <f ca="1">_xll.DBRW($B$1,$B$2,$B$7,$B$3,$B$4,$B$5,$F57,$B$6,M$10,$A57,$B57)</f>
        <v>4670435.8819837961</v>
      </c>
      <c r="N57" s="4">
        <f ca="1">_xll.DBRW($B$1,$B$2,$B$7,$B$3,$B$4,$B$5,$F57,$B$6,N$10,$A57,$B57)</f>
        <v>4636283.5720169824</v>
      </c>
      <c r="O57" s="4">
        <f ca="1">_xll.DBRW($B$1,$B$2,$B$7,$B$3,$B$4,$B$5,$F57,$B$6,O$10,$A57,$B57)</f>
        <v>5052189.7840951262</v>
      </c>
      <c r="P57" s="4">
        <f ca="1">_xll.DBRW($B$1,$B$2,$B$7,$B$3,$B$4,$B$5,$F57,$B$6,P$10,$A57,$B57)</f>
        <v>4999680</v>
      </c>
      <c r="Q57" s="4">
        <f ca="1">_xll.DBRW($B$1,$B$2,$B$7,$B$3,$B$4,$B$5,$F57,$B$6,Q$10,$A57,$B57)</f>
        <v>4653530.7016548514</v>
      </c>
      <c r="R57" s="4">
        <f ca="1">_xll.DBRW($B$1,$B$2,$B$7,$B$3,$B$4,$B$5,$F57,$B$6,R$10,$A57,$B57)</f>
        <v>3194278.8844063408</v>
      </c>
      <c r="S57" s="4">
        <f ca="1">_xll.DBRW($B$1,$B$2,$B$7,$B$3,$B$4,$B$5,$F57,$B$6,S$10,$A57,$B57)</f>
        <v>3833087.9999999995</v>
      </c>
      <c r="T57" s="4">
        <f ca="1">_xll.DBRW($B$1,$B$2,$B$7,$B$3,$B$4,$B$5,$F57,$B$6,T$10,$A57,$B57)</f>
        <v>2919711.5211585741</v>
      </c>
      <c r="U57" s="4">
        <f ca="1">_xll.DBRW($B$1,$B$2,$B$7,$B$3,$B$4,$B$5,$F57,$B$6,U$10,$A57,$B57)</f>
        <v>2730539.7518595504</v>
      </c>
      <c r="V57" s="4">
        <f ca="1">_xll.DBRW($B$1,$B$2,$B$7,$B$3,$B$4,$B$5,$F57,$B$6,V$10,$A57,$B57)</f>
        <v>3107986.2706671488</v>
      </c>
      <c r="W57" s="4">
        <f ca="1">_xll.DBRW($B$1,$B$2,$B$7,$B$3,$B$4,$B$5,$F57,$B$6,W$10,$A57,$B57)</f>
        <v>3548924.5034230603</v>
      </c>
      <c r="X57" s="4">
        <f ca="1">_xll.DBRW($B$1,$B$2,$B$7,$B$3,$B$4,$B$5,$F57,$B$6,X$10,$A57,$B57)</f>
        <v>3679596.2492328919</v>
      </c>
      <c r="Y57" s="4">
        <f ca="1">_xll.DBRW($B$1,$B$2,$B$7,$B$3,$B$4,$B$5,$F57,$B$6,Y$10,$A57,$B57)</f>
        <v>3437500.0067490055</v>
      </c>
      <c r="Z57" s="4">
        <f ca="1">_xll.DBRW($B$1,$B$2,$B$7,$B$3,$B$4,$B$5,$F57,$B$6,Z$10,$A57,$B57)</f>
        <v>3582378.2874157811</v>
      </c>
      <c r="AA57" s="4">
        <f ca="1">_xll.DBRW($B$1,$B$2,$B$7,$B$3,$B$4,$B$5,$F57,$B$6,AA$10,$A57,$B57)</f>
        <v>3178526.0257439157</v>
      </c>
      <c r="AB57" s="4">
        <f ca="1">_xll.DBRW($B$1,$B$2,$B$7,$B$3,$B$4,$B$5,$F57,$B$6,AB$10,$A57,$B57)</f>
        <v>3042373.7914271108</v>
      </c>
      <c r="AC57" s="4">
        <f ca="1">_xll.DBRW($B$1,$B$2,$B$7,$B$3,$B$4,$B$5,$F57,$B$6,AC$10,$A57,$B57)</f>
        <v>3667670.7902188702</v>
      </c>
      <c r="AD57" s="4">
        <f ca="1">_xll.DBRW($B$1,$B$2,$B$7,$B$3,$B$4,$B$5,$F57,$B$6,AD$10,$A57,$B57)</f>
        <v>3416375.6083337334</v>
      </c>
      <c r="AE57" s="4">
        <f ca="1">_xll.DBRW($B$1,$B$2,$B$7,$B$3,$B$4,$B$5,$F57,$B$6,AE$10,$A57,$B57)</f>
        <v>3707727.5610137675</v>
      </c>
    </row>
    <row r="58" spans="1:31">
      <c r="A58" s="1" t="s">
        <v>153</v>
      </c>
      <c r="B58" s="5" t="s">
        <v>45</v>
      </c>
      <c r="C58" s="5" t="s">
        <v>46</v>
      </c>
      <c r="D58" s="5" t="s">
        <v>38</v>
      </c>
      <c r="E58" s="5" t="s">
        <v>28</v>
      </c>
      <c r="F58" s="5" t="s">
        <v>22</v>
      </c>
      <c r="G58" s="6"/>
      <c r="H58" s="6"/>
      <c r="I58" s="6"/>
      <c r="J58" s="6"/>
      <c r="K58" s="6"/>
      <c r="L58" s="4">
        <f ca="1">_xll.DBRW($B$1,$B$2,$B$7,$B$3,$B$4,$B$5,$F58,$B$6,L$10,$A58,$B58)</f>
        <v>4796767.4559434084</v>
      </c>
      <c r="M58" s="4">
        <f ca="1">_xll.DBRW($B$1,$B$2,$B$7,$B$3,$B$4,$B$5,$F58,$B$6,M$10,$A58,$B58)</f>
        <v>4670435.8819837961</v>
      </c>
      <c r="N58" s="4">
        <f ca="1">_xll.DBRW($B$1,$B$2,$B$7,$B$3,$B$4,$B$5,$F58,$B$6,N$10,$A58,$B58)</f>
        <v>4636283.5720169824</v>
      </c>
      <c r="O58" s="4">
        <f ca="1">_xll.DBRW($B$1,$B$2,$B$7,$B$3,$B$4,$B$5,$F58,$B$6,O$10,$A58,$B58)</f>
        <v>5052189.7840951262</v>
      </c>
      <c r="P58" s="4">
        <f ca="1">_xll.DBRW($B$1,$B$2,$B$7,$B$3,$B$4,$B$5,$F58,$B$6,P$10,$A58,$B58)</f>
        <v>4999680</v>
      </c>
      <c r="Q58" s="4">
        <f ca="1">_xll.DBRW($B$1,$B$2,$B$7,$B$3,$B$4,$B$5,$F58,$B$6,Q$10,$A58,$B58)</f>
        <v>4653530.7016548514</v>
      </c>
      <c r="R58" s="4">
        <f ca="1">_xll.DBRW($B$1,$B$2,$B$7,$B$3,$B$4,$B$5,$F58,$B$6,R$10,$A58,$B58)</f>
        <v>3194278.8844063408</v>
      </c>
      <c r="S58" s="4">
        <f ca="1">_xll.DBRW($B$1,$B$2,$B$7,$B$3,$B$4,$B$5,$F58,$B$6,S$10,$A58,$B58)</f>
        <v>3833087.9999999995</v>
      </c>
      <c r="T58" s="4">
        <f ca="1">_xll.DBRW($B$1,$B$2,$B$7,$B$3,$B$4,$B$5,$F58,$B$6,T$10,$A58,$B58)</f>
        <v>2919711.5211585741</v>
      </c>
      <c r="U58" s="4">
        <f ca="1">_xll.DBRW($B$1,$B$2,$B$7,$B$3,$B$4,$B$5,$F58,$B$6,U$10,$A58,$B58)</f>
        <v>2730539.7518595504</v>
      </c>
      <c r="V58" s="4">
        <f ca="1">_xll.DBRW($B$1,$B$2,$B$7,$B$3,$B$4,$B$5,$F58,$B$6,V$10,$A58,$B58)</f>
        <v>3107986.2706671488</v>
      </c>
      <c r="W58" s="4">
        <f ca="1">_xll.DBRW($B$1,$B$2,$B$7,$B$3,$B$4,$B$5,$F58,$B$6,W$10,$A58,$B58)</f>
        <v>3548924.5034230603</v>
      </c>
      <c r="X58" s="4">
        <f ca="1">_xll.DBRW($B$1,$B$2,$B$7,$B$3,$B$4,$B$5,$F58,$B$6,X$10,$A58,$B58)</f>
        <v>3679596.2492328919</v>
      </c>
      <c r="Y58" s="4">
        <f ca="1">_xll.DBRW($B$1,$B$2,$B$7,$B$3,$B$4,$B$5,$F58,$B$6,Y$10,$A58,$B58)</f>
        <v>3437500.0067490055</v>
      </c>
      <c r="Z58" s="4">
        <f ca="1">_xll.DBRW($B$1,$B$2,$B$7,$B$3,$B$4,$B$5,$F58,$B$6,Z$10,$A58,$B58)</f>
        <v>3582378.2874157811</v>
      </c>
      <c r="AA58" s="4">
        <f ca="1">_xll.DBRW($B$1,$B$2,$B$7,$B$3,$B$4,$B$5,$F58,$B$6,AA$10,$A58,$B58)</f>
        <v>3178526.0257439157</v>
      </c>
      <c r="AB58" s="4">
        <f ca="1">_xll.DBRW($B$1,$B$2,$B$7,$B$3,$B$4,$B$5,$F58,$B$6,AB$10,$A58,$B58)</f>
        <v>3042373.7914271108</v>
      </c>
      <c r="AC58" s="4">
        <f ca="1">_xll.DBRW($B$1,$B$2,$B$7,$B$3,$B$4,$B$5,$F58,$B$6,AC$10,$A58,$B58)</f>
        <v>3509757.1867511133</v>
      </c>
      <c r="AD58" s="4">
        <f ca="1">_xll.DBRW($B$1,$B$2,$B$7,$B$3,$B$4,$B$5,$F58,$B$6,AD$10,$A58,$B58)</f>
        <v>3416375.6083337334</v>
      </c>
      <c r="AE58" s="4">
        <f ca="1">_xll.DBRW($B$1,$B$2,$B$7,$B$3,$B$4,$B$5,$F58,$B$6,AE$10,$A58,$B58)</f>
        <v>3707727.5610137675</v>
      </c>
    </row>
    <row r="59" spans="1:31">
      <c r="A59" s="1" t="s">
        <v>153</v>
      </c>
      <c r="B59" s="5" t="s">
        <v>203</v>
      </c>
      <c r="C59" s="5" t="s">
        <v>204</v>
      </c>
      <c r="D59" s="5" t="s">
        <v>21</v>
      </c>
      <c r="E59" s="5" t="s">
        <v>80</v>
      </c>
      <c r="F59" s="5" t="s">
        <v>22</v>
      </c>
      <c r="G59" s="6"/>
      <c r="H59" s="6"/>
      <c r="I59" s="6"/>
      <c r="J59" s="6"/>
      <c r="K59" s="6"/>
      <c r="L59" s="4">
        <f ca="1">_xll.DBRW($B$1,$B$2,$B$7,$B$3,$B$4,$B$5,$F59,$B$6,L$10,$A59,$B59)</f>
        <v>6356897.8199999994</v>
      </c>
      <c r="M59" s="4">
        <f ca="1">_xll.DBRW($B$1,$B$2,$B$7,$B$3,$B$4,$B$5,$F59,$B$6,M$10,$A59,$B59)</f>
        <v>5747897.6682191854</v>
      </c>
      <c r="N59" s="4">
        <f ca="1">_xll.DBRW($B$1,$B$2,$B$7,$B$3,$B$4,$B$5,$F59,$B$6,N$10,$A59,$B59)</f>
        <v>6070848.4199999999</v>
      </c>
      <c r="O59" s="4">
        <f ca="1">_xll.DBRW($B$1,$B$2,$B$7,$B$3,$B$4,$B$5,$F59,$B$6,O$10,$A59,$B59)</f>
        <v>5252307.0599999996</v>
      </c>
      <c r="P59" s="4">
        <f ca="1">_xll.DBRW($B$1,$B$2,$B$7,$B$3,$B$4,$B$5,$F59,$B$6,P$10,$A59,$B59)</f>
        <v>5259618</v>
      </c>
      <c r="Q59" s="4">
        <f ca="1">_xll.DBRW($B$1,$B$2,$B$7,$B$3,$B$4,$B$5,$F59,$B$6,Q$10,$A59,$B59)</f>
        <v>5163227.16</v>
      </c>
      <c r="R59" s="4">
        <f ca="1">_xll.DBRW($B$1,$B$2,$B$7,$B$3,$B$4,$B$5,$F59,$B$6,R$10,$A59,$B59)</f>
        <v>4565433.6000000006</v>
      </c>
      <c r="S59" s="4">
        <f ca="1">_xll.DBRW($B$1,$B$2,$B$7,$B$3,$B$4,$B$5,$F59,$B$6,S$10,$A59,$B59)</f>
        <v>5069675.5200000005</v>
      </c>
      <c r="T59" s="4">
        <f ca="1">_xll.DBRW($B$1,$B$2,$B$7,$B$3,$B$4,$B$5,$F59,$B$6,T$10,$A59,$B59)</f>
        <v>6655646.1927908827</v>
      </c>
      <c r="U59" s="4">
        <f ca="1">_xll.DBRW($B$1,$B$2,$B$7,$B$3,$B$4,$B$5,$F59,$B$6,U$10,$A59,$B59)</f>
        <v>6009563.284850549</v>
      </c>
      <c r="V59" s="4">
        <f ca="1">_xll.DBRW($B$1,$B$2,$B$7,$B$3,$B$4,$B$5,$F59,$B$6,V$10,$A59,$B59)</f>
        <v>6388934.4776949873</v>
      </c>
      <c r="W59" s="4">
        <f ca="1">_xll.DBRW($B$1,$B$2,$B$7,$B$3,$B$4,$B$5,$F59,$B$6,W$10,$A59,$B59)</f>
        <v>6353510.2058757208</v>
      </c>
      <c r="X59" s="4">
        <f ca="1">_xll.DBRW($B$1,$B$2,$B$7,$B$3,$B$4,$B$5,$F59,$B$6,X$10,$A59,$B59)</f>
        <v>6890090.5707076658</v>
      </c>
      <c r="Y59" s="4">
        <f ca="1">_xll.DBRW($B$1,$B$2,$B$7,$B$3,$B$4,$B$5,$F59,$B$6,Y$10,$A59,$B59)</f>
        <v>6651046.6121320948</v>
      </c>
      <c r="Z59" s="4">
        <f ca="1">_xll.DBRW($B$1,$B$2,$B$7,$B$3,$B$4,$B$5,$F59,$B$6,Z$10,$A59,$B59)</f>
        <v>6883059.8660436766</v>
      </c>
      <c r="AA59" s="4">
        <f ca="1">_xll.DBRW($B$1,$B$2,$B$7,$B$3,$B$4,$B$5,$F59,$B$6,AA$10,$A59,$B59)</f>
        <v>6684938.6610852862</v>
      </c>
      <c r="AB59" s="4">
        <f ca="1">_xll.DBRW($B$1,$B$2,$B$7,$B$3,$B$4,$B$5,$F59,$B$6,AB$10,$A59,$B59)</f>
        <v>6328138.7462434396</v>
      </c>
      <c r="AC59" s="4">
        <f ca="1">_xll.DBRW($B$1,$B$2,$B$7,$B$3,$B$4,$B$5,$F59,$B$6,AC$10,$A59,$B59)</f>
        <v>6868998.4567157049</v>
      </c>
      <c r="AD59" s="4">
        <f ca="1">_xll.DBRW($B$1,$B$2,$B$7,$B$3,$B$4,$B$5,$F59,$B$6,AD$10,$A59,$B59)</f>
        <v>6538555.3375082938</v>
      </c>
      <c r="AE59" s="4">
        <f ca="1">_xll.DBRW($B$1,$B$2,$B$7,$B$3,$B$4,$B$5,$F59,$B$6,AE$10,$A59,$B59)</f>
        <v>6480745.8650721963</v>
      </c>
    </row>
    <row r="60" spans="1:31">
      <c r="A60" s="1" t="s">
        <v>153</v>
      </c>
      <c r="B60" s="5" t="s">
        <v>78</v>
      </c>
      <c r="C60" s="5" t="s">
        <v>79</v>
      </c>
      <c r="D60" s="5" t="s">
        <v>80</v>
      </c>
      <c r="E60" s="5" t="s">
        <v>21</v>
      </c>
      <c r="F60" s="5" t="s">
        <v>22</v>
      </c>
      <c r="G60" s="6"/>
      <c r="H60" s="6"/>
      <c r="I60" s="6"/>
      <c r="J60" s="6"/>
      <c r="K60" s="6"/>
      <c r="L60" s="4">
        <f ca="1">_xll.DBRW($B$1,$B$2,$B$7,$B$3,$B$4,$B$5,$F60,$B$6,L$10,$A60,$B60)</f>
        <v>6356897.8199999994</v>
      </c>
      <c r="M60" s="4">
        <f ca="1">_xll.DBRW($B$1,$B$2,$B$7,$B$3,$B$4,$B$5,$F60,$B$6,M$10,$A60,$B60)</f>
        <v>5747897.6682191854</v>
      </c>
      <c r="N60" s="4">
        <f ca="1">_xll.DBRW($B$1,$B$2,$B$7,$B$3,$B$4,$B$5,$F60,$B$6,N$10,$A60,$B60)</f>
        <v>6070848.4199999999</v>
      </c>
      <c r="O60" s="4">
        <f ca="1">_xll.DBRW($B$1,$B$2,$B$7,$B$3,$B$4,$B$5,$F60,$B$6,O$10,$A60,$B60)</f>
        <v>5252307.0599999996</v>
      </c>
      <c r="P60" s="4">
        <f ca="1">_xll.DBRW($B$1,$B$2,$B$7,$B$3,$B$4,$B$5,$F60,$B$6,P$10,$A60,$B60)</f>
        <v>5259618</v>
      </c>
      <c r="Q60" s="4">
        <f ca="1">_xll.DBRW($B$1,$B$2,$B$7,$B$3,$B$4,$B$5,$F60,$B$6,Q$10,$A60,$B60)</f>
        <v>5163227.16</v>
      </c>
      <c r="R60" s="4">
        <f ca="1">_xll.DBRW($B$1,$B$2,$B$7,$B$3,$B$4,$B$5,$F60,$B$6,R$10,$A60,$B60)</f>
        <v>4565433.6000000006</v>
      </c>
      <c r="S60" s="4">
        <f ca="1">_xll.DBRW($B$1,$B$2,$B$7,$B$3,$B$4,$B$5,$F60,$B$6,S$10,$A60,$B60)</f>
        <v>5069675.5200000005</v>
      </c>
      <c r="T60" s="4">
        <f ca="1">_xll.DBRW($B$1,$B$2,$B$7,$B$3,$B$4,$B$5,$F60,$B$6,T$10,$A60,$B60)</f>
        <v>6655646.1927908827</v>
      </c>
      <c r="U60" s="4">
        <f ca="1">_xll.DBRW($B$1,$B$2,$B$7,$B$3,$B$4,$B$5,$F60,$B$6,U$10,$A60,$B60)</f>
        <v>6009563.284850549</v>
      </c>
      <c r="V60" s="4">
        <f ca="1">_xll.DBRW($B$1,$B$2,$B$7,$B$3,$B$4,$B$5,$F60,$B$6,V$10,$A60,$B60)</f>
        <v>6388934.4776949873</v>
      </c>
      <c r="W60" s="4">
        <f ca="1">_xll.DBRW($B$1,$B$2,$B$7,$B$3,$B$4,$B$5,$F60,$B$6,W$10,$A60,$B60)</f>
        <v>6353510.2058757208</v>
      </c>
      <c r="X60" s="4">
        <f ca="1">_xll.DBRW($B$1,$B$2,$B$7,$B$3,$B$4,$B$5,$F60,$B$6,X$10,$A60,$B60)</f>
        <v>6890090.5707076658</v>
      </c>
      <c r="Y60" s="4">
        <f ca="1">_xll.DBRW($B$1,$B$2,$B$7,$B$3,$B$4,$B$5,$F60,$B$6,Y$10,$A60,$B60)</f>
        <v>6651046.6121320948</v>
      </c>
      <c r="Z60" s="4">
        <f ca="1">_xll.DBRW($B$1,$B$2,$B$7,$B$3,$B$4,$B$5,$F60,$B$6,Z$10,$A60,$B60)</f>
        <v>6883059.8660436766</v>
      </c>
      <c r="AA60" s="4">
        <f ca="1">_xll.DBRW($B$1,$B$2,$B$7,$B$3,$B$4,$B$5,$F60,$B$6,AA$10,$A60,$B60)</f>
        <v>6684938.6610852862</v>
      </c>
      <c r="AB60" s="4">
        <f ca="1">_xll.DBRW($B$1,$B$2,$B$7,$B$3,$B$4,$B$5,$F60,$B$6,AB$10,$A60,$B60)</f>
        <v>6328138.7462434396</v>
      </c>
      <c r="AC60" s="4">
        <f ca="1">_xll.DBRW($B$1,$B$2,$B$7,$B$3,$B$4,$B$5,$F60,$B$6,AC$10,$A60,$B60)</f>
        <v>6644015.9074681075</v>
      </c>
      <c r="AD60" s="4">
        <f ca="1">_xll.DBRW($B$1,$B$2,$B$7,$B$3,$B$4,$B$5,$F60,$B$6,AD$10,$A60,$B60)</f>
        <v>6538555.3375082938</v>
      </c>
      <c r="AE60" s="4">
        <f ca="1">_xll.DBRW($B$1,$B$2,$B$7,$B$3,$B$4,$B$5,$F60,$B$6,AE$10,$A60,$B60)</f>
        <v>6271689.5468440605</v>
      </c>
    </row>
    <row r="61" spans="1:31">
      <c r="A61" s="1" t="s">
        <v>153</v>
      </c>
      <c r="B61" s="5" t="s">
        <v>205</v>
      </c>
      <c r="C61" s="5" t="s">
        <v>206</v>
      </c>
      <c r="D61" s="5" t="s">
        <v>21</v>
      </c>
      <c r="E61" s="5" t="s">
        <v>181</v>
      </c>
      <c r="F61" s="5" t="s">
        <v>22</v>
      </c>
      <c r="G61" s="6"/>
      <c r="H61" s="6"/>
      <c r="I61" s="6"/>
      <c r="J61" s="6"/>
      <c r="K61" s="6"/>
      <c r="L61" s="4">
        <f ca="1">_xll.DBRW($B$1,$B$2,$B$7,$B$3,$B$4,$B$5,$F61,$B$6,L$10,$A61,$B61)</f>
        <v>1557281.2799999998</v>
      </c>
      <c r="M61" s="4">
        <f ca="1">_xll.DBRW($B$1,$B$2,$B$7,$B$3,$B$4,$B$5,$F61,$B$6,M$10,$A61,$B61)</f>
        <v>805321.61702991219</v>
      </c>
      <c r="N61" s="4">
        <f ca="1">_xll.DBRW($B$1,$B$2,$B$7,$B$3,$B$4,$B$5,$F61,$B$6,N$10,$A61,$B61)</f>
        <v>770268.15999999992</v>
      </c>
      <c r="O61" s="4">
        <f ca="1">_xll.DBRW($B$1,$B$2,$B$7,$B$3,$B$4,$B$5,$F61,$B$6,O$10,$A61,$B61)</f>
        <v>920972.80000000005</v>
      </c>
      <c r="P61" s="4">
        <f ca="1">_xll.DBRW($B$1,$B$2,$B$7,$B$3,$B$4,$B$5,$F61,$B$6,P$10,$A61,$B61)</f>
        <v>770268.16000000015</v>
      </c>
      <c r="Q61" s="4">
        <f ca="1">_xll.DBRW($B$1,$B$2,$B$7,$B$3,$B$4,$B$5,$F61,$B$6,Q$10,$A61,$B61)</f>
        <v>1932422.4</v>
      </c>
      <c r="R61" s="4">
        <f ca="1">_xll.DBRW($B$1,$B$2,$B$7,$B$3,$B$4,$B$5,$F61,$B$6,R$10,$A61,$B61)</f>
        <v>6416830.7200000007</v>
      </c>
      <c r="S61" s="4">
        <f ca="1">_xll.DBRW($B$1,$B$2,$B$7,$B$3,$B$4,$B$5,$F61,$B$6,S$10,$A61,$B61)</f>
        <v>7552787.2000000002</v>
      </c>
      <c r="T61" s="4">
        <f ca="1">_xll.DBRW($B$1,$B$2,$B$7,$B$3,$B$4,$B$5,$F61,$B$6,T$10,$A61,$B61)</f>
        <v>7231729.3761367407</v>
      </c>
      <c r="U61" s="4">
        <f ca="1">_xll.DBRW($B$1,$B$2,$B$7,$B$3,$B$4,$B$5,$F61,$B$6,U$10,$A61,$B61)</f>
        <v>6476308.3392613195</v>
      </c>
      <c r="V61" s="4">
        <f ca="1">_xll.DBRW($B$1,$B$2,$B$7,$B$3,$B$4,$B$5,$F61,$B$6,V$10,$A61,$B61)</f>
        <v>4609445.226288694</v>
      </c>
      <c r="W61" s="4">
        <f ca="1">_xll.DBRW($B$1,$B$2,$B$7,$B$3,$B$4,$B$5,$F61,$B$6,W$10,$A61,$B61)</f>
        <v>1658620.2926216219</v>
      </c>
      <c r="X61" s="4">
        <f ca="1">_xll.DBRW($B$1,$B$2,$B$7,$B$3,$B$4,$B$5,$F61,$B$6,X$10,$A61,$B61)</f>
        <v>1865947.8291993237</v>
      </c>
      <c r="Y61" s="4">
        <f ca="1">_xll.DBRW($B$1,$B$2,$B$7,$B$3,$B$4,$B$5,$F61,$B$6,Y$10,$A61,$B61)</f>
        <v>1865947.8291993248</v>
      </c>
      <c r="Z61" s="4">
        <f ca="1">_xll.DBRW($B$1,$B$2,$B$7,$B$3,$B$4,$B$5,$F61,$B$6,Z$10,$A61,$B61)</f>
        <v>1657687.2396008018</v>
      </c>
      <c r="AA61" s="4">
        <f ca="1">_xll.DBRW($B$1,$B$2,$B$7,$B$3,$B$4,$B$5,$F61,$B$6,AA$10,$A61,$B61)</f>
        <v>1810147.5924026435</v>
      </c>
      <c r="AB61" s="4">
        <f ca="1">_xll.DBRW($B$1,$B$2,$B$7,$B$3,$B$4,$B$5,$F61,$B$6,AB$10,$A61,$B61)</f>
        <v>1765785.3666160023</v>
      </c>
      <c r="AC61" s="4">
        <f ca="1">_xll.DBRW($B$1,$B$2,$B$7,$B$3,$B$4,$B$5,$F61,$B$6,AC$10,$A61,$B61)</f>
        <v>6736136.8053913983</v>
      </c>
      <c r="AD61" s="4">
        <f ca="1">_xll.DBRW($B$1,$B$2,$B$7,$B$3,$B$4,$B$5,$F61,$B$6,AD$10,$A61,$B61)</f>
        <v>6058201.1029048543</v>
      </c>
      <c r="AE61" s="4">
        <f ca="1">_xll.DBRW($B$1,$B$2,$B$7,$B$3,$B$4,$B$5,$F61,$B$6,AE$10,$A61,$B61)</f>
        <v>6055395.3827166185</v>
      </c>
    </row>
    <row r="62" spans="1:31">
      <c r="A62" s="1" t="s">
        <v>153</v>
      </c>
      <c r="B62" s="5" t="s">
        <v>207</v>
      </c>
      <c r="C62" s="5" t="s">
        <v>208</v>
      </c>
      <c r="D62" s="5" t="s">
        <v>181</v>
      </c>
      <c r="E62" s="5" t="s">
        <v>21</v>
      </c>
      <c r="F62" s="5" t="s">
        <v>22</v>
      </c>
      <c r="G62" s="6"/>
      <c r="H62" s="6"/>
      <c r="I62" s="6"/>
      <c r="J62" s="6"/>
      <c r="K62" s="6"/>
      <c r="L62" s="4">
        <f ca="1">_xll.DBRW($B$1,$B$2,$B$7,$B$3,$B$4,$B$5,$F62,$B$6,L$10,$A62,$B62)</f>
        <v>1557281.2799999998</v>
      </c>
      <c r="M62" s="4">
        <f ca="1">_xll.DBRW($B$1,$B$2,$B$7,$B$3,$B$4,$B$5,$F62,$B$6,M$10,$A62,$B62)</f>
        <v>805321.61702991219</v>
      </c>
      <c r="N62" s="4">
        <f ca="1">_xll.DBRW($B$1,$B$2,$B$7,$B$3,$B$4,$B$5,$F62,$B$6,N$10,$A62,$B62)</f>
        <v>770268.15999999992</v>
      </c>
      <c r="O62" s="4">
        <f ca="1">_xll.DBRW($B$1,$B$2,$B$7,$B$3,$B$4,$B$5,$F62,$B$6,O$10,$A62,$B62)</f>
        <v>920972.80000000005</v>
      </c>
      <c r="P62" s="4">
        <f ca="1">_xll.DBRW($B$1,$B$2,$B$7,$B$3,$B$4,$B$5,$F62,$B$6,P$10,$A62,$B62)</f>
        <v>770268.16000000015</v>
      </c>
      <c r="Q62" s="4">
        <f ca="1">_xll.DBRW($B$1,$B$2,$B$7,$B$3,$B$4,$B$5,$F62,$B$6,Q$10,$A62,$B62)</f>
        <v>1932422.4</v>
      </c>
      <c r="R62" s="4">
        <f ca="1">_xll.DBRW($B$1,$B$2,$B$7,$B$3,$B$4,$B$5,$F62,$B$6,R$10,$A62,$B62)</f>
        <v>6416830.7200000007</v>
      </c>
      <c r="S62" s="4">
        <f ca="1">_xll.DBRW($B$1,$B$2,$B$7,$B$3,$B$4,$B$5,$F62,$B$6,S$10,$A62,$B62)</f>
        <v>7552787.2000000002</v>
      </c>
      <c r="T62" s="4">
        <f ca="1">_xll.DBRW($B$1,$B$2,$B$7,$B$3,$B$4,$B$5,$F62,$B$6,T$10,$A62,$B62)</f>
        <v>7231729.3761367407</v>
      </c>
      <c r="U62" s="4">
        <f ca="1">_xll.DBRW($B$1,$B$2,$B$7,$B$3,$B$4,$B$5,$F62,$B$6,U$10,$A62,$B62)</f>
        <v>6476308.3392613195</v>
      </c>
      <c r="V62" s="4">
        <f ca="1">_xll.DBRW($B$1,$B$2,$B$7,$B$3,$B$4,$B$5,$F62,$B$6,V$10,$A62,$B62)</f>
        <v>4609445.226288694</v>
      </c>
      <c r="W62" s="4">
        <f ca="1">_xll.DBRW($B$1,$B$2,$B$7,$B$3,$B$4,$B$5,$F62,$B$6,W$10,$A62,$B62)</f>
        <v>1658620.2926216219</v>
      </c>
      <c r="X62" s="4">
        <f ca="1">_xll.DBRW($B$1,$B$2,$B$7,$B$3,$B$4,$B$5,$F62,$B$6,X$10,$A62,$B62)</f>
        <v>1865947.8291993237</v>
      </c>
      <c r="Y62" s="4">
        <f ca="1">_xll.DBRW($B$1,$B$2,$B$7,$B$3,$B$4,$B$5,$F62,$B$6,Y$10,$A62,$B62)</f>
        <v>1865947.8291993248</v>
      </c>
      <c r="Z62" s="4">
        <f ca="1">_xll.DBRW($B$1,$B$2,$B$7,$B$3,$B$4,$B$5,$F62,$B$6,Z$10,$A62,$B62)</f>
        <v>1657687.2396008018</v>
      </c>
      <c r="AA62" s="4">
        <f ca="1">_xll.DBRW($B$1,$B$2,$B$7,$B$3,$B$4,$B$5,$F62,$B$6,AA$10,$A62,$B62)</f>
        <v>1810147.5924026435</v>
      </c>
      <c r="AB62" s="4">
        <f ca="1">_xll.DBRW($B$1,$B$2,$B$7,$B$3,$B$4,$B$5,$F62,$B$6,AB$10,$A62,$B62)</f>
        <v>1765785.3666160023</v>
      </c>
      <c r="AC62" s="4">
        <f ca="1">_xll.DBRW($B$1,$B$2,$B$7,$B$3,$B$4,$B$5,$F62,$B$6,AC$10,$A62,$B62)</f>
        <v>6736136.8053913983</v>
      </c>
      <c r="AD62" s="4">
        <f ca="1">_xll.DBRW($B$1,$B$2,$B$7,$B$3,$B$4,$B$5,$F62,$B$6,AD$10,$A62,$B62)</f>
        <v>6058201.1029048543</v>
      </c>
      <c r="AE62" s="4">
        <f ca="1">_xll.DBRW($B$1,$B$2,$B$7,$B$3,$B$4,$B$5,$F62,$B$6,AE$10,$A62,$B62)</f>
        <v>6055395.3827166185</v>
      </c>
    </row>
    <row r="63" spans="1:31">
      <c r="A63" s="1" t="s">
        <v>153</v>
      </c>
      <c r="B63" s="5" t="s">
        <v>209</v>
      </c>
      <c r="C63" s="5" t="s">
        <v>210</v>
      </c>
      <c r="D63" s="5" t="s">
        <v>21</v>
      </c>
      <c r="E63" s="5" t="s">
        <v>211</v>
      </c>
      <c r="F63" s="5" t="s">
        <v>22</v>
      </c>
      <c r="G63" s="6"/>
      <c r="H63" s="6"/>
      <c r="I63" s="6"/>
      <c r="J63" s="6"/>
      <c r="K63" s="6"/>
      <c r="L63" s="4">
        <f ca="1">_xll.DBRW($B$1,$B$2,$B$7,$B$3,$B$4,$B$5,$F63,$B$6,L$10,$A63,$B63)</f>
        <v>1138295.2</v>
      </c>
      <c r="M63" s="4">
        <f ca="1">_xll.DBRW($B$1,$B$2,$B$7,$B$3,$B$4,$B$5,$F63,$B$6,M$10,$A63,$B63)</f>
        <v>0</v>
      </c>
      <c r="N63" s="4">
        <f ca="1">_xll.DBRW($B$1,$B$2,$B$7,$B$3,$B$4,$B$5,$F63,$B$6,N$10,$A63,$B63)</f>
        <v>0</v>
      </c>
      <c r="O63" s="4">
        <f ca="1">_xll.DBRW($B$1,$B$2,$B$7,$B$3,$B$4,$B$5,$F63,$B$6,O$10,$A63,$B63)</f>
        <v>0</v>
      </c>
      <c r="P63" s="4">
        <f ca="1">_xll.DBRW($B$1,$B$2,$B$7,$B$3,$B$4,$B$5,$F63,$B$6,P$10,$A63,$B63)</f>
        <v>0</v>
      </c>
      <c r="Q63" s="4">
        <f ca="1">_xll.DBRW($B$1,$B$2,$B$7,$B$3,$B$4,$B$5,$F63,$B$6,Q$10,$A63,$B63)</f>
        <v>408566.67</v>
      </c>
      <c r="R63" s="4">
        <f ca="1">_xll.DBRW($B$1,$B$2,$B$7,$B$3,$B$4,$B$5,$F63,$B$6,R$10,$A63,$B63)</f>
        <v>2695320.42</v>
      </c>
      <c r="S63" s="4">
        <f ca="1">_xll.DBRW($B$1,$B$2,$B$7,$B$3,$B$4,$B$5,$F63,$B$6,S$10,$A63,$B63)</f>
        <v>3183161.22</v>
      </c>
      <c r="T63" s="4">
        <f ca="1">_xll.DBRW($B$1,$B$2,$B$7,$B$3,$B$4,$B$5,$F63,$B$6,T$10,$A63,$B63)</f>
        <v>3471124.3621858032</v>
      </c>
      <c r="U63" s="4">
        <f ca="1">_xll.DBRW($B$1,$B$2,$B$7,$B$3,$B$4,$B$5,$F63,$B$6,U$10,$A63,$B63)</f>
        <v>3102438.8192191217</v>
      </c>
      <c r="V63" s="4">
        <f ca="1">_xll.DBRW($B$1,$B$2,$B$7,$B$3,$B$4,$B$5,$F63,$B$6,V$10,$A63,$B63)</f>
        <v>3167224.0850957469</v>
      </c>
      <c r="W63" s="4">
        <f ca="1">_xll.DBRW($B$1,$B$2,$B$7,$B$3,$B$4,$B$5,$F63,$B$6,W$10,$A63,$B63)</f>
        <v>0</v>
      </c>
      <c r="X63" s="4">
        <f ca="1">_xll.DBRW($B$1,$B$2,$B$7,$B$3,$B$4,$B$5,$F63,$B$6,X$10,$A63,$B63)</f>
        <v>0</v>
      </c>
      <c r="Y63" s="4">
        <f ca="1">_xll.DBRW($B$1,$B$2,$B$7,$B$3,$B$4,$B$5,$F63,$B$6,Y$10,$A63,$B63)</f>
        <v>0</v>
      </c>
      <c r="Z63" s="4">
        <f ca="1">_xll.DBRW($B$1,$B$2,$B$7,$B$3,$B$4,$B$5,$F63,$B$6,Z$10,$A63,$B63)</f>
        <v>0</v>
      </c>
      <c r="AA63" s="4">
        <f ca="1">_xll.DBRW($B$1,$B$2,$B$7,$B$3,$B$4,$B$5,$F63,$B$6,AA$10,$A63,$B63)</f>
        <v>0</v>
      </c>
      <c r="AB63" s="4">
        <f ca="1">_xll.DBRW($B$1,$B$2,$B$7,$B$3,$B$4,$B$5,$F63,$B$6,AB$10,$A63,$B63)</f>
        <v>0</v>
      </c>
      <c r="AC63" s="4">
        <f ca="1">_xll.DBRW($B$1,$B$2,$B$7,$B$3,$B$4,$B$5,$F63,$B$6,AC$10,$A63,$B63)</f>
        <v>593611.05682029994</v>
      </c>
      <c r="AD63" s="4">
        <f ca="1">_xll.DBRW($B$1,$B$2,$B$7,$B$3,$B$4,$B$5,$F63,$B$6,AD$10,$A63,$B63)</f>
        <v>2672939.1063870927</v>
      </c>
      <c r="AE63" s="4">
        <f ca="1">_xll.DBRW($B$1,$B$2,$B$7,$B$3,$B$4,$B$5,$F63,$B$6,AE$10,$A63,$B63)</f>
        <v>2853192.3795457147</v>
      </c>
    </row>
    <row r="64" spans="1:31">
      <c r="A64" s="1" t="s">
        <v>153</v>
      </c>
      <c r="B64" s="5" t="s">
        <v>212</v>
      </c>
      <c r="C64" s="5" t="s">
        <v>213</v>
      </c>
      <c r="D64" s="5" t="s">
        <v>211</v>
      </c>
      <c r="E64" s="5" t="s">
        <v>21</v>
      </c>
      <c r="F64" s="5" t="s">
        <v>22</v>
      </c>
      <c r="G64" s="6"/>
      <c r="H64" s="6"/>
      <c r="I64" s="6"/>
      <c r="J64" s="6"/>
      <c r="K64" s="6"/>
      <c r="L64" s="4">
        <f ca="1">_xll.DBRW($B$1,$B$2,$B$7,$B$3,$B$4,$B$5,$F64,$B$6,L$10,$A64,$B64)</f>
        <v>1138295.2</v>
      </c>
      <c r="M64" s="4">
        <f ca="1">_xll.DBRW($B$1,$B$2,$B$7,$B$3,$B$4,$B$5,$F64,$B$6,M$10,$A64,$B64)</f>
        <v>0</v>
      </c>
      <c r="N64" s="4">
        <f ca="1">_xll.DBRW($B$1,$B$2,$B$7,$B$3,$B$4,$B$5,$F64,$B$6,N$10,$A64,$B64)</f>
        <v>0</v>
      </c>
      <c r="O64" s="4">
        <f ca="1">_xll.DBRW($B$1,$B$2,$B$7,$B$3,$B$4,$B$5,$F64,$B$6,O$10,$A64,$B64)</f>
        <v>0</v>
      </c>
      <c r="P64" s="4">
        <f ca="1">_xll.DBRW($B$1,$B$2,$B$7,$B$3,$B$4,$B$5,$F64,$B$6,P$10,$A64,$B64)</f>
        <v>0</v>
      </c>
      <c r="Q64" s="4">
        <f ca="1">_xll.DBRW($B$1,$B$2,$B$7,$B$3,$B$4,$B$5,$F64,$B$6,Q$10,$A64,$B64)</f>
        <v>408566.67</v>
      </c>
      <c r="R64" s="4">
        <f ca="1">_xll.DBRW($B$1,$B$2,$B$7,$B$3,$B$4,$B$5,$F64,$B$6,R$10,$A64,$B64)</f>
        <v>2695320.42</v>
      </c>
      <c r="S64" s="4">
        <f ca="1">_xll.DBRW($B$1,$B$2,$B$7,$B$3,$B$4,$B$5,$F64,$B$6,S$10,$A64,$B64)</f>
        <v>3183161.22</v>
      </c>
      <c r="T64" s="4">
        <f ca="1">_xll.DBRW($B$1,$B$2,$B$7,$B$3,$B$4,$B$5,$F64,$B$6,T$10,$A64,$B64)</f>
        <v>3471124.3621858032</v>
      </c>
      <c r="U64" s="4">
        <f ca="1">_xll.DBRW($B$1,$B$2,$B$7,$B$3,$B$4,$B$5,$F64,$B$6,U$10,$A64,$B64)</f>
        <v>3102438.8192191217</v>
      </c>
      <c r="V64" s="4">
        <f ca="1">_xll.DBRW($B$1,$B$2,$B$7,$B$3,$B$4,$B$5,$F64,$B$6,V$10,$A64,$B64)</f>
        <v>3167224.0850957469</v>
      </c>
      <c r="W64" s="4">
        <f ca="1">_xll.DBRW($B$1,$B$2,$B$7,$B$3,$B$4,$B$5,$F64,$B$6,W$10,$A64,$B64)</f>
        <v>0</v>
      </c>
      <c r="X64" s="4">
        <f ca="1">_xll.DBRW($B$1,$B$2,$B$7,$B$3,$B$4,$B$5,$F64,$B$6,X$10,$A64,$B64)</f>
        <v>0</v>
      </c>
      <c r="Y64" s="4">
        <f ca="1">_xll.DBRW($B$1,$B$2,$B$7,$B$3,$B$4,$B$5,$F64,$B$6,Y$10,$A64,$B64)</f>
        <v>0</v>
      </c>
      <c r="Z64" s="4">
        <f ca="1">_xll.DBRW($B$1,$B$2,$B$7,$B$3,$B$4,$B$5,$F64,$B$6,Z$10,$A64,$B64)</f>
        <v>0</v>
      </c>
      <c r="AA64" s="4">
        <f ca="1">_xll.DBRW($B$1,$B$2,$B$7,$B$3,$B$4,$B$5,$F64,$B$6,AA$10,$A64,$B64)</f>
        <v>0</v>
      </c>
      <c r="AB64" s="4">
        <f ca="1">_xll.DBRW($B$1,$B$2,$B$7,$B$3,$B$4,$B$5,$F64,$B$6,AB$10,$A64,$B64)</f>
        <v>0</v>
      </c>
      <c r="AC64" s="4">
        <f ca="1">_xll.DBRW($B$1,$B$2,$B$7,$B$3,$B$4,$B$5,$F64,$B$6,AC$10,$A64,$B64)</f>
        <v>593611.05682029994</v>
      </c>
      <c r="AD64" s="4">
        <f ca="1">_xll.DBRW($B$1,$B$2,$B$7,$B$3,$B$4,$B$5,$F64,$B$6,AD$10,$A64,$B64)</f>
        <v>2672939.1063870927</v>
      </c>
      <c r="AE64" s="4">
        <f ca="1">_xll.DBRW($B$1,$B$2,$B$7,$B$3,$B$4,$B$5,$F64,$B$6,AE$10,$A64,$B64)</f>
        <v>2853192.3795457147</v>
      </c>
    </row>
    <row r="65" spans="1:31">
      <c r="A65" s="1" t="s">
        <v>153</v>
      </c>
      <c r="B65" s="5" t="s">
        <v>214</v>
      </c>
      <c r="C65" s="5" t="s">
        <v>187</v>
      </c>
      <c r="D65" s="5" t="s">
        <v>21</v>
      </c>
      <c r="E65" s="5" t="s">
        <v>59</v>
      </c>
      <c r="F65" s="5" t="s">
        <v>22</v>
      </c>
      <c r="G65" s="6"/>
      <c r="H65" s="6"/>
      <c r="I65" s="6"/>
      <c r="J65" s="6"/>
      <c r="K65" s="6"/>
      <c r="L65" s="4">
        <f ca="1">_xll.DBRW($B$1,$B$2,$B$7,$B$3,$B$4,$B$5,$F65,$B$6,L$10,$A65,$B65)</f>
        <v>3184657.2800000007</v>
      </c>
      <c r="M65" s="4">
        <f ca="1">_xll.DBRW($B$1,$B$2,$B$7,$B$3,$B$4,$B$5,$F65,$B$6,M$10,$A65,$B65)</f>
        <v>3256096.755671727</v>
      </c>
      <c r="N65" s="4">
        <f ca="1">_xll.DBRW($B$1,$B$2,$B$7,$B$3,$B$4,$B$5,$F65,$B$6,N$10,$A65,$B65)</f>
        <v>3288504.8</v>
      </c>
      <c r="O65" s="4">
        <f ca="1">_xll.DBRW($B$1,$B$2,$B$7,$B$3,$B$4,$B$5,$F65,$B$6,O$10,$A65,$B65)</f>
        <v>3115425.6000000006</v>
      </c>
      <c r="P65" s="4">
        <f ca="1">_xll.DBRW($B$1,$B$2,$B$7,$B$3,$B$4,$B$5,$F65,$B$6,P$10,$A65,$B65)</f>
        <v>3014928</v>
      </c>
      <c r="Q65" s="4">
        <f ca="1">_xll.DBRW($B$1,$B$2,$B$7,$B$3,$B$4,$B$5,$F65,$B$6,Q$10,$A65,$B65)</f>
        <v>2657603.2000000002</v>
      </c>
      <c r="R65" s="4">
        <f ca="1">_xll.DBRW($B$1,$B$2,$B$7,$B$3,$B$4,$B$5,$F65,$B$6,R$10,$A65,$B65)</f>
        <v>1566087.6</v>
      </c>
      <c r="S65" s="4">
        <f ca="1">_xll.DBRW($B$1,$B$2,$B$7,$B$3,$B$4,$B$5,$F65,$B$6,S$10,$A65,$B65)</f>
        <v>0</v>
      </c>
      <c r="T65" s="4">
        <f ca="1">_xll.DBRW($B$1,$B$2,$B$7,$B$3,$B$4,$B$5,$F65,$B$6,T$10,$A65,$B65)</f>
        <v>0</v>
      </c>
      <c r="U65" s="4">
        <f ca="1">_xll.DBRW($B$1,$B$2,$B$7,$B$3,$B$4,$B$5,$F65,$B$6,U$10,$A65,$B65)</f>
        <v>0</v>
      </c>
      <c r="V65" s="4">
        <f ca="1">_xll.DBRW($B$1,$B$2,$B$7,$B$3,$B$4,$B$5,$F65,$B$6,V$10,$A65,$B65)</f>
        <v>221210.65246533969</v>
      </c>
      <c r="W65" s="4">
        <f ca="1">_xll.DBRW($B$1,$B$2,$B$7,$B$3,$B$4,$B$5,$F65,$B$6,W$10,$A65,$B65)</f>
        <v>3314221.4200105099</v>
      </c>
      <c r="X65" s="4">
        <f ca="1">_xll.DBRW($B$1,$B$2,$B$7,$B$3,$B$4,$B$5,$F65,$B$6,X$10,$A65,$B65)</f>
        <v>3426317.2646618281</v>
      </c>
      <c r="Y65" s="4">
        <f ca="1">_xll.DBRW($B$1,$B$2,$B$7,$B$3,$B$4,$B$5,$F65,$B$6,Y$10,$A65,$B65)</f>
        <v>3318159.7869800953</v>
      </c>
      <c r="Z65" s="4">
        <f ca="1">_xll.DBRW($B$1,$B$2,$B$7,$B$3,$B$4,$B$5,$F65,$B$6,Z$10,$A65,$B65)</f>
        <v>3428765.1132127652</v>
      </c>
      <c r="AA65" s="4">
        <f ca="1">_xll.DBRW($B$1,$B$2,$B$7,$B$3,$B$4,$B$5,$F65,$B$6,AA$10,$A65,$B65)</f>
        <v>3428765.1132127657</v>
      </c>
      <c r="AB65" s="4">
        <f ca="1">_xll.DBRW($B$1,$B$2,$B$7,$B$3,$B$4,$B$5,$F65,$B$6,AB$10,$A65,$B65)</f>
        <v>3287701.7350778482</v>
      </c>
      <c r="AC65" s="4">
        <f ca="1">_xll.DBRW($B$1,$B$2,$B$7,$B$3,$B$4,$B$5,$F65,$B$6,AC$10,$A65,$B65)</f>
        <v>2698867.8491298994</v>
      </c>
      <c r="AD65" s="4">
        <f ca="1">_xll.DBRW($B$1,$B$2,$B$7,$B$3,$B$4,$B$5,$F65,$B$6,AD$10,$A65,$B65)</f>
        <v>0</v>
      </c>
      <c r="AE65" s="4">
        <f ca="1">_xll.DBRW($B$1,$B$2,$B$7,$B$3,$B$4,$B$5,$F65,$B$6,AE$10,$A65,$B65)</f>
        <v>0</v>
      </c>
    </row>
    <row r="66" spans="1:31">
      <c r="A66" s="1" t="s">
        <v>153</v>
      </c>
      <c r="B66" s="5" t="s">
        <v>63</v>
      </c>
      <c r="C66" s="5" t="s">
        <v>62</v>
      </c>
      <c r="D66" s="5" t="s">
        <v>59</v>
      </c>
      <c r="E66" s="5" t="s">
        <v>21</v>
      </c>
      <c r="F66" s="5" t="s">
        <v>22</v>
      </c>
      <c r="G66" s="6"/>
      <c r="H66" s="6"/>
      <c r="I66" s="6"/>
      <c r="J66" s="6"/>
      <c r="K66" s="6"/>
      <c r="L66" s="4">
        <f ca="1">_xll.DBRW($B$1,$B$2,$B$7,$B$3,$B$4,$B$5,$F66,$B$6,L$10,$A66,$B66)</f>
        <v>3184657.2800000007</v>
      </c>
      <c r="M66" s="4">
        <f ca="1">_xll.DBRW($B$1,$B$2,$B$7,$B$3,$B$4,$B$5,$F66,$B$6,M$10,$A66,$B66)</f>
        <v>3256096.755671727</v>
      </c>
      <c r="N66" s="4">
        <f ca="1">_xll.DBRW($B$1,$B$2,$B$7,$B$3,$B$4,$B$5,$F66,$B$6,N$10,$A66,$B66)</f>
        <v>3288504.8</v>
      </c>
      <c r="O66" s="4">
        <f ca="1">_xll.DBRW($B$1,$B$2,$B$7,$B$3,$B$4,$B$5,$F66,$B$6,O$10,$A66,$B66)</f>
        <v>3115425.6000000006</v>
      </c>
      <c r="P66" s="4">
        <f ca="1">_xll.DBRW($B$1,$B$2,$B$7,$B$3,$B$4,$B$5,$F66,$B$6,P$10,$A66,$B66)</f>
        <v>3014928</v>
      </c>
      <c r="Q66" s="4">
        <f ca="1">_xll.DBRW($B$1,$B$2,$B$7,$B$3,$B$4,$B$5,$F66,$B$6,Q$10,$A66,$B66)</f>
        <v>2657603.2000000002</v>
      </c>
      <c r="R66" s="4">
        <f ca="1">_xll.DBRW($B$1,$B$2,$B$7,$B$3,$B$4,$B$5,$F66,$B$6,R$10,$A66,$B66)</f>
        <v>1566087.6</v>
      </c>
      <c r="S66" s="4">
        <f ca="1">_xll.DBRW($B$1,$B$2,$B$7,$B$3,$B$4,$B$5,$F66,$B$6,S$10,$A66,$B66)</f>
        <v>0</v>
      </c>
      <c r="T66" s="4">
        <f ca="1">_xll.DBRW($B$1,$B$2,$B$7,$B$3,$B$4,$B$5,$F66,$B$6,T$10,$A66,$B66)</f>
        <v>0</v>
      </c>
      <c r="U66" s="4">
        <f ca="1">_xll.DBRW($B$1,$B$2,$B$7,$B$3,$B$4,$B$5,$F66,$B$6,U$10,$A66,$B66)</f>
        <v>0</v>
      </c>
      <c r="V66" s="4">
        <f ca="1">_xll.DBRW($B$1,$B$2,$B$7,$B$3,$B$4,$B$5,$F66,$B$6,V$10,$A66,$B66)</f>
        <v>221210.65246533969</v>
      </c>
      <c r="W66" s="4">
        <f ca="1">_xll.DBRW($B$1,$B$2,$B$7,$B$3,$B$4,$B$5,$F66,$B$6,W$10,$A66,$B66)</f>
        <v>3728499.0975118238</v>
      </c>
      <c r="X66" s="4">
        <f ca="1">_xll.DBRW($B$1,$B$2,$B$7,$B$3,$B$4,$B$5,$F66,$B$6,X$10,$A66,$B66)</f>
        <v>3944409.5929877092</v>
      </c>
      <c r="Y66" s="4">
        <f ca="1">_xll.DBRW($B$1,$B$2,$B$7,$B$3,$B$4,$B$5,$F66,$B$6,Y$10,$A66,$B66)</f>
        <v>3732929.7603526078</v>
      </c>
      <c r="Z66" s="4">
        <f ca="1">_xll.DBRW($B$1,$B$2,$B$7,$B$3,$B$4,$B$5,$F66,$B$6,Z$10,$A66,$B66)</f>
        <v>3947227.5799284051</v>
      </c>
      <c r="AA66" s="4">
        <f ca="1">_xll.DBRW($B$1,$B$2,$B$7,$B$3,$B$4,$B$5,$F66,$B$6,AA$10,$A66,$B66)</f>
        <v>3843535.0865852777</v>
      </c>
      <c r="AB66" s="4">
        <f ca="1">_xll.DBRW($B$1,$B$2,$B$7,$B$3,$B$4,$B$5,$F66,$B$6,AB$10,$A66,$B66)</f>
        <v>3698664.4519625795</v>
      </c>
      <c r="AC66" s="4">
        <f ca="1">_xll.DBRW($B$1,$B$2,$B$7,$B$3,$B$4,$B$5,$F66,$B$6,AC$10,$A66,$B66)</f>
        <v>3103698.0264993841</v>
      </c>
      <c r="AD66" s="4">
        <f ca="1">_xll.DBRW($B$1,$B$2,$B$7,$B$3,$B$4,$B$5,$F66,$B$6,AD$10,$A66,$B66)</f>
        <v>0</v>
      </c>
      <c r="AE66" s="4">
        <f ca="1">_xll.DBRW($B$1,$B$2,$B$7,$B$3,$B$4,$B$5,$F66,$B$6,AE$10,$A66,$B66)</f>
        <v>0</v>
      </c>
    </row>
    <row r="67" spans="1:31">
      <c r="A67" s="1" t="s">
        <v>153</v>
      </c>
      <c r="B67" s="5" t="s">
        <v>215</v>
      </c>
      <c r="C67" s="5" t="s">
        <v>159</v>
      </c>
      <c r="D67" s="5" t="s">
        <v>21</v>
      </c>
      <c r="E67" s="5" t="s">
        <v>38</v>
      </c>
      <c r="F67" s="5" t="s">
        <v>22</v>
      </c>
      <c r="G67" s="6"/>
      <c r="H67" s="6"/>
      <c r="I67" s="6"/>
      <c r="J67" s="6"/>
      <c r="K67" s="6"/>
      <c r="L67" s="4">
        <f ca="1">_xll.DBRW($B$1,$B$2,$B$7,$B$3,$B$4,$B$5,$F67,$B$6,L$10,$A67,$B67)</f>
        <v>6232211.3311095471</v>
      </c>
      <c r="M67" s="4">
        <f ca="1">_xll.DBRW($B$1,$B$2,$B$7,$B$3,$B$4,$B$5,$F67,$B$6,M$10,$A67,$B67)</f>
        <v>6530941.3891844312</v>
      </c>
      <c r="N67" s="4">
        <f ca="1">_xll.DBRW($B$1,$B$2,$B$7,$B$3,$B$4,$B$5,$F67,$B$6,N$10,$A67,$B67)</f>
        <v>6689658.9836934507</v>
      </c>
      <c r="O67" s="4">
        <f ca="1">_xll.DBRW($B$1,$B$2,$B$7,$B$3,$B$4,$B$5,$F67,$B$6,O$10,$A67,$B67)</f>
        <v>6017008.1220652498</v>
      </c>
      <c r="P67" s="4">
        <f ca="1">_xll.DBRW($B$1,$B$2,$B$7,$B$3,$B$4,$B$5,$F67,$B$6,P$10,$A67,$B67)</f>
        <v>6624602.575649038</v>
      </c>
      <c r="Q67" s="4">
        <f ca="1">_xll.DBRW($B$1,$B$2,$B$7,$B$3,$B$4,$B$5,$F67,$B$6,Q$10,$A67,$B67)</f>
        <v>6819798.0630931063</v>
      </c>
      <c r="R67" s="4">
        <f ca="1">_xll.DBRW($B$1,$B$2,$B$7,$B$3,$B$4,$B$5,$F67,$B$6,R$10,$A67,$B67)</f>
        <v>6092387.9814685052</v>
      </c>
      <c r="S67" s="4">
        <f ca="1">_xll.DBRW($B$1,$B$2,$B$7,$B$3,$B$4,$B$5,$F67,$B$6,S$10,$A67,$B67)</f>
        <v>6018442.2436051425</v>
      </c>
      <c r="T67" s="4">
        <f ca="1">_xll.DBRW($B$1,$B$2,$B$7,$B$3,$B$4,$B$5,$F67,$B$6,T$10,$A67,$B67)</f>
        <v>4706987.9467742667</v>
      </c>
      <c r="U67" s="4">
        <f ca="1">_xll.DBRW($B$1,$B$2,$B$7,$B$3,$B$4,$B$5,$F67,$B$6,U$10,$A67,$B67)</f>
        <v>4506931.3388157217</v>
      </c>
      <c r="V67" s="4">
        <f ca="1">_xll.DBRW($B$1,$B$2,$B$7,$B$3,$B$4,$B$5,$F67,$B$6,V$10,$A67,$B67)</f>
        <v>5624771.9342924189</v>
      </c>
      <c r="W67" s="4">
        <f ca="1">_xll.DBRW($B$1,$B$2,$B$7,$B$3,$B$4,$B$5,$F67,$B$6,W$10,$A67,$B67)</f>
        <v>6501658.1749445358</v>
      </c>
      <c r="X67" s="4">
        <f ca="1">_xll.DBRW($B$1,$B$2,$B$7,$B$3,$B$4,$B$5,$F67,$B$6,X$10,$A67,$B67)</f>
        <v>6951311.6835140176</v>
      </c>
      <c r="Y67" s="4">
        <f ca="1">_xll.DBRW($B$1,$B$2,$B$7,$B$3,$B$4,$B$5,$F67,$B$6,Y$10,$A67,$B67)</f>
        <v>6897524.9512284268</v>
      </c>
      <c r="Z67" s="4">
        <f ca="1">_xll.DBRW($B$1,$B$2,$B$7,$B$3,$B$4,$B$5,$F67,$B$6,Z$10,$A67,$B67)</f>
        <v>6993611.9152008649</v>
      </c>
      <c r="AA67" s="4">
        <f ca="1">_xll.DBRW($B$1,$B$2,$B$7,$B$3,$B$4,$B$5,$F67,$B$6,AA$10,$A67,$B67)</f>
        <v>6580330.7947753649</v>
      </c>
      <c r="AB67" s="4">
        <f ca="1">_xll.DBRW($B$1,$B$2,$B$7,$B$3,$B$4,$B$5,$F67,$B$6,AB$10,$A67,$B67)</f>
        <v>6283998.6565851327</v>
      </c>
      <c r="AC67" s="4">
        <f ca="1">_xll.DBRW($B$1,$B$2,$B$7,$B$3,$B$4,$B$5,$F67,$B$6,AC$10,$A67,$B67)</f>
        <v>6470242.0581420241</v>
      </c>
      <c r="AD67" s="4">
        <f ca="1">_xll.DBRW($B$1,$B$2,$B$7,$B$3,$B$4,$B$5,$F67,$B$6,AD$10,$A67,$B67)</f>
        <v>5207670.7805976197</v>
      </c>
      <c r="AE67" s="4">
        <f ca="1">_xll.DBRW($B$1,$B$2,$B$7,$B$3,$B$4,$B$5,$F67,$B$6,AE$10,$A67,$B67)</f>
        <v>5043771.516371808</v>
      </c>
    </row>
    <row r="68" spans="1:31">
      <c r="A68" s="1" t="s">
        <v>153</v>
      </c>
      <c r="B68" s="5" t="s">
        <v>43</v>
      </c>
      <c r="C68" s="5" t="s">
        <v>37</v>
      </c>
      <c r="D68" s="5" t="s">
        <v>38</v>
      </c>
      <c r="E68" s="5" t="s">
        <v>21</v>
      </c>
      <c r="F68" s="5" t="s">
        <v>22</v>
      </c>
      <c r="G68" s="6"/>
      <c r="H68" s="6"/>
      <c r="I68" s="6"/>
      <c r="J68" s="6"/>
      <c r="K68" s="6"/>
      <c r="L68" s="4">
        <f ca="1">_xll.DBRW($B$1,$B$2,$B$7,$B$3,$B$4,$B$5,$F68,$B$6,L$10,$A68,$B68)</f>
        <v>6006172.5781677505</v>
      </c>
      <c r="M68" s="4">
        <f ca="1">_xll.DBRW($B$1,$B$2,$B$7,$B$3,$B$4,$B$5,$F68,$B$6,M$10,$A68,$B68)</f>
        <v>6214289.6854663976</v>
      </c>
      <c r="N68" s="4">
        <f ca="1">_xll.DBRW($B$1,$B$2,$B$7,$B$3,$B$4,$B$5,$F68,$B$6,N$10,$A68,$B68)</f>
        <v>6489967.670747377</v>
      </c>
      <c r="O68" s="4">
        <f ca="1">_xll.DBRW($B$1,$B$2,$B$7,$B$3,$B$4,$B$5,$F68,$B$6,O$10,$A68,$B68)</f>
        <v>5555259.8721915716</v>
      </c>
      <c r="P68" s="4">
        <f ca="1">_xll.DBRW($B$1,$B$2,$B$7,$B$3,$B$4,$B$5,$F68,$B$6,P$10,$A68,$B68)</f>
        <v>823056.68364124408</v>
      </c>
      <c r="Q68" s="4">
        <f ca="1">_xll.DBRW($B$1,$B$2,$B$7,$B$3,$B$4,$B$5,$F68,$B$6,Q$10,$A68,$B68)</f>
        <v>1359775.6874265396</v>
      </c>
      <c r="R68" s="4">
        <f ca="1">_xll.DBRW($B$1,$B$2,$B$7,$B$3,$B$4,$B$5,$F68,$B$6,R$10,$A68,$B68)</f>
        <v>6092387.9814685052</v>
      </c>
      <c r="S68" s="4">
        <f ca="1">_xll.DBRW($B$1,$B$2,$B$7,$B$3,$B$4,$B$5,$F68,$B$6,S$10,$A68,$B68)</f>
        <v>6018442.2436051425</v>
      </c>
      <c r="T68" s="4">
        <f ca="1">_xll.DBRW($B$1,$B$2,$B$7,$B$3,$B$4,$B$5,$F68,$B$6,T$10,$A68,$B68)</f>
        <v>6269631.7185778683</v>
      </c>
      <c r="U68" s="4">
        <f ca="1">_xll.DBRW($B$1,$B$2,$B$7,$B$3,$B$4,$B$5,$F68,$B$6,U$10,$A68,$B68)</f>
        <v>5851103.8433747943</v>
      </c>
      <c r="V68" s="4">
        <f ca="1">_xll.DBRW($B$1,$B$2,$B$7,$B$3,$B$4,$B$5,$F68,$B$6,V$10,$A68,$B68)</f>
        <v>7107269.963485769</v>
      </c>
      <c r="W68" s="4">
        <f ca="1">_xll.DBRW($B$1,$B$2,$B$7,$B$3,$B$4,$B$5,$F68,$B$6,W$10,$A68,$B68)</f>
        <v>6501658.1749445358</v>
      </c>
      <c r="X68" s="4">
        <f ca="1">_xll.DBRW($B$1,$B$2,$B$7,$B$3,$B$4,$B$5,$F68,$B$6,X$10,$A68,$B68)</f>
        <v>6951311.6835140176</v>
      </c>
      <c r="Y68" s="4">
        <f ca="1">_xll.DBRW($B$1,$B$2,$B$7,$B$3,$B$4,$B$5,$F68,$B$6,Y$10,$A68,$B68)</f>
        <v>6897524.9512284268</v>
      </c>
      <c r="Z68" s="4">
        <f ca="1">_xll.DBRW($B$1,$B$2,$B$7,$B$3,$B$4,$B$5,$F68,$B$6,Z$10,$A68,$B68)</f>
        <v>6993611.9152008649</v>
      </c>
      <c r="AA68" s="4">
        <f ca="1">_xll.DBRW($B$1,$B$2,$B$7,$B$3,$B$4,$B$5,$F68,$B$6,AA$10,$A68,$B68)</f>
        <v>6580330.7947753649</v>
      </c>
      <c r="AB68" s="4">
        <f ca="1">_xll.DBRW($B$1,$B$2,$B$7,$B$3,$B$4,$B$5,$F68,$B$6,AB$10,$A68,$B68)</f>
        <v>6283998.6565851327</v>
      </c>
      <c r="AC68" s="4">
        <f ca="1">_xll.DBRW($B$1,$B$2,$B$7,$B$3,$B$4,$B$5,$F68,$B$6,AC$10,$A68,$B68)</f>
        <v>6594669.7900293693</v>
      </c>
      <c r="AD68" s="4">
        <f ca="1">_xll.DBRW($B$1,$B$2,$B$7,$B$3,$B$4,$B$5,$F68,$B$6,AD$10,$A68,$B68)</f>
        <v>6704612.5839273008</v>
      </c>
      <c r="AE68" s="4">
        <f ca="1">_xll.DBRW($B$1,$B$2,$B$7,$B$3,$B$4,$B$5,$F68,$B$6,AE$10,$A68,$B68)</f>
        <v>6158093.1304539526</v>
      </c>
    </row>
    <row r="69" spans="1:31">
      <c r="A69" s="1" t="s">
        <v>153</v>
      </c>
      <c r="B69" s="5" t="s">
        <v>216</v>
      </c>
      <c r="C69" s="5" t="s">
        <v>163</v>
      </c>
      <c r="D69" s="5" t="s">
        <v>21</v>
      </c>
      <c r="E69" s="5" t="s">
        <v>54</v>
      </c>
      <c r="F69" s="5" t="s">
        <v>22</v>
      </c>
      <c r="G69" s="6"/>
      <c r="H69" s="6"/>
      <c r="I69" s="6"/>
      <c r="J69" s="6"/>
      <c r="K69" s="6"/>
      <c r="L69" s="4">
        <f ca="1">_xll.DBRW($B$1,$B$2,$B$7,$B$3,$B$4,$B$5,$F69,$B$6,L$10,$A69,$B69)</f>
        <v>7425070.4000000004</v>
      </c>
      <c r="M69" s="4">
        <f ca="1">_xll.DBRW($B$1,$B$2,$B$7,$B$3,$B$4,$B$5,$F69,$B$6,M$10,$A69,$B69)</f>
        <v>7854032.6542387018</v>
      </c>
      <c r="N69" s="4">
        <f ca="1">_xll.DBRW($B$1,$B$2,$B$7,$B$3,$B$4,$B$5,$F69,$B$6,N$10,$A69,$B69)</f>
        <v>8100076.7999999998</v>
      </c>
      <c r="O69" s="4">
        <f ca="1">_xll.DBRW($B$1,$B$2,$B$7,$B$3,$B$4,$B$5,$F69,$B$6,O$10,$A69,$B69)</f>
        <v>8015701</v>
      </c>
      <c r="P69" s="4">
        <f ca="1">_xll.DBRW($B$1,$B$2,$B$7,$B$3,$B$4,$B$5,$F69,$B$6,P$10,$A69,$B69)</f>
        <v>7675476</v>
      </c>
      <c r="Q69" s="4">
        <f ca="1">_xll.DBRW($B$1,$B$2,$B$7,$B$3,$B$4,$B$5,$F69,$B$6,Q$10,$A69,$B69)</f>
        <v>6369012</v>
      </c>
      <c r="R69" s="4">
        <f ca="1">_xll.DBRW($B$1,$B$2,$B$7,$B$3,$B$4,$B$5,$F69,$B$6,R$10,$A69,$B69)</f>
        <v>0</v>
      </c>
      <c r="S69" s="4">
        <f ca="1">_xll.DBRW($B$1,$B$2,$B$7,$B$3,$B$4,$B$5,$F69,$B$6,S$10,$A69,$B69)</f>
        <v>0</v>
      </c>
      <c r="T69" s="4">
        <f ca="1">_xll.DBRW($B$1,$B$2,$B$7,$B$3,$B$4,$B$5,$F69,$B$6,T$10,$A69,$B69)</f>
        <v>0</v>
      </c>
      <c r="U69" s="4">
        <f ca="1">_xll.DBRW($B$1,$B$2,$B$7,$B$3,$B$4,$B$5,$F69,$B$6,U$10,$A69,$B69)</f>
        <v>0</v>
      </c>
      <c r="V69" s="4">
        <f ca="1">_xll.DBRW($B$1,$B$2,$B$7,$B$3,$B$4,$B$5,$F69,$B$6,V$10,$A69,$B69)</f>
        <v>765314.68745889515</v>
      </c>
      <c r="W69" s="4">
        <f ca="1">_xll.DBRW($B$1,$B$2,$B$7,$B$3,$B$4,$B$5,$F69,$B$6,W$10,$A69,$B69)</f>
        <v>11434869.68294456</v>
      </c>
      <c r="X69" s="4">
        <f ca="1">_xll.DBRW($B$1,$B$2,$B$7,$B$3,$B$4,$B$5,$F69,$B$6,X$10,$A69,$B69)</f>
        <v>11862377.655612873</v>
      </c>
      <c r="Y69" s="4">
        <f ca="1">_xll.DBRW($B$1,$B$2,$B$7,$B$3,$B$4,$B$5,$F69,$B$6,Y$10,$A69,$B69)</f>
        <v>11479720.311883422</v>
      </c>
      <c r="Z69" s="4">
        <f ca="1">_xll.DBRW($B$1,$B$2,$B$7,$B$3,$B$4,$B$5,$F69,$B$6,Z$10,$A69,$B69)</f>
        <v>11862377.655612873</v>
      </c>
      <c r="AA69" s="4">
        <f ca="1">_xll.DBRW($B$1,$B$2,$B$7,$B$3,$B$4,$B$5,$F69,$B$6,AA$10,$A69,$B69)</f>
        <v>11862377.655612869</v>
      </c>
      <c r="AB69" s="4">
        <f ca="1">_xll.DBRW($B$1,$B$2,$B$7,$B$3,$B$4,$B$5,$F69,$B$6,AB$10,$A69,$B69)</f>
        <v>11041807.42102397</v>
      </c>
      <c r="AC69" s="4">
        <f ca="1">_xll.DBRW($B$1,$B$2,$B$7,$B$3,$B$4,$B$5,$F69,$B$6,AC$10,$A69,$B69)</f>
        <v>9101904.1077919807</v>
      </c>
      <c r="AD69" s="4">
        <f ca="1">_xll.DBRW($B$1,$B$2,$B$7,$B$3,$B$4,$B$5,$F69,$B$6,AD$10,$A69,$B69)</f>
        <v>0</v>
      </c>
      <c r="AE69" s="4">
        <f ca="1">_xll.DBRW($B$1,$B$2,$B$7,$B$3,$B$4,$B$5,$F69,$B$6,AE$10,$A69,$B69)</f>
        <v>0</v>
      </c>
    </row>
    <row r="70" spans="1:31">
      <c r="A70" s="1" t="s">
        <v>153</v>
      </c>
      <c r="B70" s="5" t="s">
        <v>56</v>
      </c>
      <c r="C70" s="5" t="s">
        <v>53</v>
      </c>
      <c r="D70" s="5" t="s">
        <v>54</v>
      </c>
      <c r="E70" s="5" t="s">
        <v>21</v>
      </c>
      <c r="F70" s="5" t="s">
        <v>22</v>
      </c>
      <c r="G70" s="6"/>
      <c r="H70" s="6"/>
      <c r="I70" s="6"/>
      <c r="J70" s="6"/>
      <c r="K70" s="6"/>
      <c r="L70" s="4">
        <f ca="1">_xll.DBRW($B$1,$B$2,$B$7,$B$3,$B$4,$B$5,$F70,$B$6,L$10,$A70,$B70)</f>
        <v>7425070.4000000004</v>
      </c>
      <c r="M70" s="4">
        <f ca="1">_xll.DBRW($B$1,$B$2,$B$7,$B$3,$B$4,$B$5,$F70,$B$6,M$10,$A70,$B70)</f>
        <v>7854032.6542387018</v>
      </c>
      <c r="N70" s="4">
        <f ca="1">_xll.DBRW($B$1,$B$2,$B$7,$B$3,$B$4,$B$5,$F70,$B$6,N$10,$A70,$B70)</f>
        <v>8100076.7999999998</v>
      </c>
      <c r="O70" s="4">
        <f ca="1">_xll.DBRW($B$1,$B$2,$B$7,$B$3,$B$4,$B$5,$F70,$B$6,O$10,$A70,$B70)</f>
        <v>8015701</v>
      </c>
      <c r="P70" s="4">
        <f ca="1">_xll.DBRW($B$1,$B$2,$B$7,$B$3,$B$4,$B$5,$F70,$B$6,P$10,$A70,$B70)</f>
        <v>7675476</v>
      </c>
      <c r="Q70" s="4">
        <f ca="1">_xll.DBRW($B$1,$B$2,$B$7,$B$3,$B$4,$B$5,$F70,$B$6,Q$10,$A70,$B70)</f>
        <v>6369012</v>
      </c>
      <c r="R70" s="4">
        <f ca="1">_xll.DBRW($B$1,$B$2,$B$7,$B$3,$B$4,$B$5,$F70,$B$6,R$10,$A70,$B70)</f>
        <v>0</v>
      </c>
      <c r="S70" s="4">
        <f ca="1">_xll.DBRW($B$1,$B$2,$B$7,$B$3,$B$4,$B$5,$F70,$B$6,S$10,$A70,$B70)</f>
        <v>0</v>
      </c>
      <c r="T70" s="4">
        <f ca="1">_xll.DBRW($B$1,$B$2,$B$7,$B$3,$B$4,$B$5,$F70,$B$6,T$10,$A70,$B70)</f>
        <v>0</v>
      </c>
      <c r="U70" s="4">
        <f ca="1">_xll.DBRW($B$1,$B$2,$B$7,$B$3,$B$4,$B$5,$F70,$B$6,U$10,$A70,$B70)</f>
        <v>0</v>
      </c>
      <c r="V70" s="4">
        <f ca="1">_xll.DBRW($B$1,$B$2,$B$7,$B$3,$B$4,$B$5,$F70,$B$6,V$10,$A70,$B70)</f>
        <v>765314.68745889515</v>
      </c>
      <c r="W70" s="4">
        <f ca="1">_xll.DBRW($B$1,$B$2,$B$7,$B$3,$B$4,$B$5,$F70,$B$6,W$10,$A70,$B70)</f>
        <v>11434869.68294456</v>
      </c>
      <c r="X70" s="4">
        <f ca="1">_xll.DBRW($B$1,$B$2,$B$7,$B$3,$B$4,$B$5,$F70,$B$6,X$10,$A70,$B70)</f>
        <v>11862377.655612873</v>
      </c>
      <c r="Y70" s="4">
        <f ca="1">_xll.DBRW($B$1,$B$2,$B$7,$B$3,$B$4,$B$5,$F70,$B$6,Y$10,$A70,$B70)</f>
        <v>11479720.311883422</v>
      </c>
      <c r="Z70" s="4">
        <f ca="1">_xll.DBRW($B$1,$B$2,$B$7,$B$3,$B$4,$B$5,$F70,$B$6,Z$10,$A70,$B70)</f>
        <v>11862377.655612873</v>
      </c>
      <c r="AA70" s="4">
        <f ca="1">_xll.DBRW($B$1,$B$2,$B$7,$B$3,$B$4,$B$5,$F70,$B$6,AA$10,$A70,$B70)</f>
        <v>11862377.655612869</v>
      </c>
      <c r="AB70" s="4">
        <f ca="1">_xll.DBRW($B$1,$B$2,$B$7,$B$3,$B$4,$B$5,$F70,$B$6,AB$10,$A70,$B70)</f>
        <v>11041807.42102397</v>
      </c>
      <c r="AC70" s="4">
        <f ca="1">_xll.DBRW($B$1,$B$2,$B$7,$B$3,$B$4,$B$5,$F70,$B$6,AC$10,$A70,$B70)</f>
        <v>8737827.9434803016</v>
      </c>
      <c r="AD70" s="4">
        <f ca="1">_xll.DBRW($B$1,$B$2,$B$7,$B$3,$B$4,$B$5,$F70,$B$6,AD$10,$A70,$B70)</f>
        <v>0</v>
      </c>
      <c r="AE70" s="4">
        <f ca="1">_xll.DBRW($B$1,$B$2,$B$7,$B$3,$B$4,$B$5,$F70,$B$6,AE$10,$A70,$B70)</f>
        <v>0</v>
      </c>
    </row>
    <row r="71" spans="1:31">
      <c r="A71" s="1" t="s">
        <v>153</v>
      </c>
      <c r="B71" s="5" t="s">
        <v>217</v>
      </c>
      <c r="C71" s="5" t="s">
        <v>159</v>
      </c>
      <c r="D71" s="5" t="s">
        <v>21</v>
      </c>
      <c r="E71" s="5" t="s">
        <v>38</v>
      </c>
      <c r="F71" s="5" t="s">
        <v>22</v>
      </c>
      <c r="G71" s="6"/>
      <c r="H71" s="6"/>
      <c r="I71" s="6"/>
      <c r="J71" s="6"/>
      <c r="K71" s="6"/>
      <c r="L71" s="4">
        <f ca="1">_xll.DBRW($B$1,$B$2,$B$7,$B$3,$B$4,$B$5,$F71,$B$6,L$10,$A71,$B71)</f>
        <v>4719135.5971318036</v>
      </c>
      <c r="M71" s="4">
        <f ca="1">_xll.DBRW($B$1,$B$2,$B$7,$B$3,$B$4,$B$5,$F71,$B$6,M$10,$A71,$B71)</f>
        <v>4863572.2617941629</v>
      </c>
      <c r="N71" s="4">
        <f ca="1">_xll.DBRW($B$1,$B$2,$B$7,$B$3,$B$4,$B$5,$F71,$B$6,N$10,$A71,$B71)</f>
        <v>5057182.5003593024</v>
      </c>
      <c r="O71" s="4">
        <f ca="1">_xll.DBRW($B$1,$B$2,$B$7,$B$3,$B$4,$B$5,$F71,$B$6,O$10,$A71,$B71)</f>
        <v>4998305.7976016719</v>
      </c>
      <c r="P71" s="4">
        <f ca="1">_xll.DBRW($B$1,$B$2,$B$7,$B$3,$B$4,$B$5,$F71,$B$6,P$10,$A71,$B71)</f>
        <v>642385.70430536126</v>
      </c>
      <c r="Q71" s="4">
        <f ca="1">_xll.DBRW($B$1,$B$2,$B$7,$B$3,$B$4,$B$5,$F71,$B$6,Q$10,$A71,$B71)</f>
        <v>0</v>
      </c>
      <c r="R71" s="4">
        <f ca="1">_xll.DBRW($B$1,$B$2,$B$7,$B$3,$B$4,$B$5,$F71,$B$6,R$10,$A71,$B71)</f>
        <v>0</v>
      </c>
      <c r="S71" s="4">
        <f ca="1">_xll.DBRW($B$1,$B$2,$B$7,$B$3,$B$4,$B$5,$F71,$B$6,S$10,$A71,$B71)</f>
        <v>0</v>
      </c>
      <c r="T71" s="4">
        <f ca="1">_xll.DBRW($B$1,$B$2,$B$7,$B$3,$B$4,$B$5,$F71,$B$6,T$10,$A71,$B71)</f>
        <v>5431139.9385856912</v>
      </c>
      <c r="U71" s="4">
        <f ca="1">_xll.DBRW($B$1,$B$2,$B$7,$B$3,$B$4,$B$5,$F71,$B$6,U$10,$A71,$B71)</f>
        <v>5040646.8920965297</v>
      </c>
      <c r="V71" s="4">
        <f ca="1">_xll.DBRW($B$1,$B$2,$B$7,$B$3,$B$4,$B$5,$F71,$B$6,V$10,$A71,$B71)</f>
        <v>6207960.4972471558</v>
      </c>
      <c r="W71" s="4">
        <f ca="1">_xll.DBRW($B$1,$B$2,$B$7,$B$3,$B$4,$B$5,$F71,$B$6,W$10,$A71,$B71)</f>
        <v>5724730.4685046235</v>
      </c>
      <c r="X71" s="4">
        <f ca="1">_xll.DBRW($B$1,$B$2,$B$7,$B$3,$B$4,$B$5,$F71,$B$6,X$10,$A71,$B71)</f>
        <v>5952985.0055625364</v>
      </c>
      <c r="Y71" s="4">
        <f ca="1">_xll.DBRW($B$1,$B$2,$B$7,$B$3,$B$4,$B$5,$F71,$B$6,Y$10,$A71,$B71)</f>
        <v>6059968.3500078339</v>
      </c>
      <c r="Z71" s="4">
        <f ca="1">_xll.DBRW($B$1,$B$2,$B$7,$B$3,$B$4,$B$5,$F71,$B$6,Z$10,$A71,$B71)</f>
        <v>6122067.5731849512</v>
      </c>
      <c r="AA71" s="4">
        <f ca="1">_xll.DBRW($B$1,$B$2,$B$7,$B$3,$B$4,$B$5,$F71,$B$6,AA$10,$A71,$B71)</f>
        <v>5682095.4562247386</v>
      </c>
      <c r="AB71" s="4">
        <f ca="1">_xll.DBRW($B$1,$B$2,$B$7,$B$3,$B$4,$B$5,$F71,$B$6,AB$10,$A71,$B71)</f>
        <v>5533080.5781252747</v>
      </c>
      <c r="AC71" s="4">
        <f ca="1">_xll.DBRW($B$1,$B$2,$B$7,$B$3,$B$4,$B$5,$F71,$B$6,AC$10,$A71,$B71)</f>
        <v>5827365.4433907317</v>
      </c>
      <c r="AD71" s="4">
        <f ca="1">_xll.DBRW($B$1,$B$2,$B$7,$B$3,$B$4,$B$5,$F71,$B$6,AD$10,$A71,$B71)</f>
        <v>5840181.4017228363</v>
      </c>
      <c r="AE71" s="4">
        <f ca="1">_xll.DBRW($B$1,$B$2,$B$7,$B$3,$B$4,$B$5,$F71,$B$6,AE$10,$A71,$B71)</f>
        <v>5371225.6748959469</v>
      </c>
    </row>
    <row r="72" spans="1:31">
      <c r="A72" s="1" t="s">
        <v>153</v>
      </c>
      <c r="B72" s="5" t="s">
        <v>44</v>
      </c>
      <c r="C72" s="5" t="s">
        <v>37</v>
      </c>
      <c r="D72" s="5" t="s">
        <v>38</v>
      </c>
      <c r="E72" s="5" t="s">
        <v>21</v>
      </c>
      <c r="F72" s="5" t="s">
        <v>22</v>
      </c>
      <c r="G72" s="6"/>
      <c r="H72" s="6"/>
      <c r="I72" s="6"/>
      <c r="J72" s="6"/>
      <c r="K72" s="6"/>
      <c r="L72" s="4">
        <f ca="1">_xll.DBRW($B$1,$B$2,$B$7,$B$3,$B$4,$B$5,$F72,$B$6,L$10,$A72,$B72)</f>
        <v>4839074.5272641862</v>
      </c>
      <c r="M72" s="4">
        <f ca="1">_xll.DBRW($B$1,$B$2,$B$7,$B$3,$B$4,$B$5,$F72,$B$6,M$10,$A72,$B72)</f>
        <v>4967473.6020766431</v>
      </c>
      <c r="N72" s="4">
        <f ca="1">_xll.DBRW($B$1,$B$2,$B$7,$B$3,$B$4,$B$5,$F72,$B$6,N$10,$A72,$B72)</f>
        <v>5186981.8537742496</v>
      </c>
      <c r="O72" s="4">
        <f ca="1">_xll.DBRW($B$1,$B$2,$B$7,$B$3,$B$4,$B$5,$F72,$B$6,O$10,$A72,$B72)</f>
        <v>4993545.5063658599</v>
      </c>
      <c r="P72" s="4">
        <f ca="1">_xll.DBRW($B$1,$B$2,$B$7,$B$3,$B$4,$B$5,$F72,$B$6,P$10,$A72,$B72)</f>
        <v>4873097.8037539516</v>
      </c>
      <c r="Q72" s="4">
        <f ca="1">_xll.DBRW($B$1,$B$2,$B$7,$B$3,$B$4,$B$5,$F72,$B$6,Q$10,$A72,$B72)</f>
        <v>4194385.0050618649</v>
      </c>
      <c r="R72" s="4">
        <f ca="1">_xll.DBRW($B$1,$B$2,$B$7,$B$3,$B$4,$B$5,$F72,$B$6,R$10,$A72,$B72)</f>
        <v>0</v>
      </c>
      <c r="S72" s="4">
        <f ca="1">_xll.DBRW($B$1,$B$2,$B$7,$B$3,$B$4,$B$5,$F72,$B$6,S$10,$A72,$B72)</f>
        <v>0</v>
      </c>
      <c r="T72" s="4">
        <f ca="1">_xll.DBRW($B$1,$B$2,$B$7,$B$3,$B$4,$B$5,$F72,$B$6,T$10,$A72,$B72)</f>
        <v>3944722.6922359238</v>
      </c>
      <c r="U72" s="4">
        <f ca="1">_xll.DBRW($B$1,$B$2,$B$7,$B$3,$B$4,$B$5,$F72,$B$6,U$10,$A72,$B72)</f>
        <v>3775543.3583938717</v>
      </c>
      <c r="V72" s="4">
        <f ca="1">_xll.DBRW($B$1,$B$2,$B$7,$B$3,$B$4,$B$5,$F72,$B$6,V$10,$A72,$B72)</f>
        <v>4747263.9096595896</v>
      </c>
      <c r="W72" s="4">
        <f ca="1">_xll.DBRW($B$1,$B$2,$B$7,$B$3,$B$4,$B$5,$F72,$B$6,W$10,$A72,$B72)</f>
        <v>5724730.4685046235</v>
      </c>
      <c r="X72" s="4">
        <f ca="1">_xll.DBRW($B$1,$B$2,$B$7,$B$3,$B$4,$B$5,$F72,$B$6,X$10,$A72,$B72)</f>
        <v>5952985.0055625364</v>
      </c>
      <c r="Y72" s="4">
        <f ca="1">_xll.DBRW($B$1,$B$2,$B$7,$B$3,$B$4,$B$5,$F72,$B$6,Y$10,$A72,$B72)</f>
        <v>6059968.3500078339</v>
      </c>
      <c r="Z72" s="4">
        <f ca="1">_xll.DBRW($B$1,$B$2,$B$7,$B$3,$B$4,$B$5,$F72,$B$6,Z$10,$A72,$B72)</f>
        <v>6122067.5731849512</v>
      </c>
      <c r="AA72" s="4">
        <f ca="1">_xll.DBRW($B$1,$B$2,$B$7,$B$3,$B$4,$B$5,$F72,$B$6,AA$10,$A72,$B72)</f>
        <v>5682095.4562247386</v>
      </c>
      <c r="AB72" s="4">
        <f ca="1">_xll.DBRW($B$1,$B$2,$B$7,$B$3,$B$4,$B$5,$F72,$B$6,AB$10,$A72,$B72)</f>
        <v>5533080.5781252747</v>
      </c>
      <c r="AC72" s="4">
        <f ca="1">_xll.DBRW($B$1,$B$2,$B$7,$B$3,$B$4,$B$5,$F72,$B$6,AC$10,$A72,$B72)</f>
        <v>5397052.8706136588</v>
      </c>
      <c r="AD72" s="4">
        <f ca="1">_xll.DBRW($B$1,$B$2,$B$7,$B$3,$B$4,$B$5,$F72,$B$6,AD$10,$A72,$B72)</f>
        <v>4364323.2857639985</v>
      </c>
      <c r="AE72" s="4">
        <f ca="1">_xll.DBRW($B$1,$B$2,$B$7,$B$3,$B$4,$B$5,$F72,$B$6,AE$10,$A72,$B72)</f>
        <v>4041859.5387979513</v>
      </c>
    </row>
    <row r="73" spans="1:31">
      <c r="A73" s="1" t="s">
        <v>153</v>
      </c>
      <c r="B73" s="5" t="s">
        <v>218</v>
      </c>
      <c r="C73" s="5" t="s">
        <v>219</v>
      </c>
      <c r="D73" s="5" t="s">
        <v>21</v>
      </c>
      <c r="E73" s="5" t="s">
        <v>49</v>
      </c>
      <c r="F73" s="5" t="s">
        <v>22</v>
      </c>
      <c r="G73" s="6"/>
      <c r="H73" s="6"/>
      <c r="I73" s="6"/>
      <c r="J73" s="6"/>
      <c r="K73" s="6"/>
      <c r="L73" s="4">
        <f ca="1">_xll.DBRW($B$1,$B$2,$B$7,$B$3,$B$4,$B$5,$F73,$B$6,L$10,$A73,$B73)</f>
        <v>7278998.4000000004</v>
      </c>
      <c r="M73" s="4">
        <f ca="1">_xll.DBRW($B$1,$B$2,$B$7,$B$3,$B$4,$B$5,$F73,$B$6,M$10,$A73,$B73)</f>
        <v>6815202.4197989097</v>
      </c>
      <c r="N73" s="4">
        <f ca="1">_xll.DBRW($B$1,$B$2,$B$7,$B$3,$B$4,$B$5,$F73,$B$6,N$10,$A73,$B73)</f>
        <v>7036365.1199999992</v>
      </c>
      <c r="O73" s="4">
        <f ca="1">_xll.DBRW($B$1,$B$2,$B$7,$B$3,$B$4,$B$5,$F73,$B$6,O$10,$A73,$B73)</f>
        <v>6712854.0800000001</v>
      </c>
      <c r="P73" s="4">
        <f ca="1">_xll.DBRW($B$1,$B$2,$B$7,$B$3,$B$4,$B$5,$F73,$B$6,P$10,$A73,$B73)</f>
        <v>6183235.2000000002</v>
      </c>
      <c r="Q73" s="4">
        <f ca="1">_xll.DBRW($B$1,$B$2,$B$7,$B$3,$B$4,$B$5,$F73,$B$6,Q$10,$A73,$B73)</f>
        <v>6227587.5200000005</v>
      </c>
      <c r="R73" s="4">
        <f ca="1">_xll.DBRW($B$1,$B$2,$B$7,$B$3,$B$4,$B$5,$F73,$B$6,R$10,$A73,$B73)</f>
        <v>6183235.2000000002</v>
      </c>
      <c r="S73" s="4">
        <f ca="1">_xll.DBRW($B$1,$B$2,$B$7,$B$3,$B$4,$B$5,$F73,$B$6,S$10,$A73,$B73)</f>
        <v>5742320.96</v>
      </c>
      <c r="T73" s="4">
        <f ca="1">_xll.DBRW($B$1,$B$2,$B$7,$B$3,$B$4,$B$5,$F73,$B$6,T$10,$A73,$B73)</f>
        <v>7289199.2744224276</v>
      </c>
      <c r="U73" s="4">
        <f ca="1">_xll.DBRW($B$1,$B$2,$B$7,$B$3,$B$4,$B$5,$F73,$B$6,U$10,$A73,$B73)</f>
        <v>6567463.7985372338</v>
      </c>
      <c r="V73" s="4">
        <f ca="1">_xll.DBRW($B$1,$B$2,$B$7,$B$3,$B$4,$B$5,$F73,$B$6,V$10,$A73,$B73)</f>
        <v>7975685.4355823817</v>
      </c>
      <c r="W73" s="4">
        <f ca="1">_xll.DBRW($B$1,$B$2,$B$7,$B$3,$B$4,$B$5,$F73,$B$6,W$10,$A73,$B73)</f>
        <v>7752674.2350619622</v>
      </c>
      <c r="X73" s="4">
        <f ca="1">_xll.DBRW($B$1,$B$2,$B$7,$B$3,$B$4,$B$5,$F73,$B$6,X$10,$A73,$B73)</f>
        <v>8011096.7095640292</v>
      </c>
      <c r="Y73" s="4">
        <f ca="1">_xll.DBRW($B$1,$B$2,$B$7,$B$3,$B$4,$B$5,$F73,$B$6,Y$10,$A73,$B73)</f>
        <v>7752674.235061964</v>
      </c>
      <c r="Z73" s="4">
        <f ca="1">_xll.DBRW($B$1,$B$2,$B$7,$B$3,$B$4,$B$5,$F73,$B$6,Z$10,$A73,$B73)</f>
        <v>8011096.7095640292</v>
      </c>
      <c r="AA73" s="4">
        <f ca="1">_xll.DBRW($B$1,$B$2,$B$7,$B$3,$B$4,$B$5,$F73,$B$6,AA$10,$A73,$B73)</f>
        <v>8011096.7095640302</v>
      </c>
      <c r="AB73" s="4">
        <f ca="1">_xll.DBRW($B$1,$B$2,$B$7,$B$3,$B$4,$B$5,$F73,$B$6,AB$10,$A73,$B73)</f>
        <v>7752674.235061964</v>
      </c>
      <c r="AC73" s="4">
        <f ca="1">_xll.DBRW($B$1,$B$2,$B$7,$B$3,$B$4,$B$5,$F73,$B$6,AC$10,$A73,$B73)</f>
        <v>7922672.2658851659</v>
      </c>
      <c r="AD73" s="4">
        <f ca="1">_xll.DBRW($B$1,$B$2,$B$7,$B$3,$B$4,$B$5,$F73,$B$6,AD$10,$A73,$B73)</f>
        <v>7115353.8382581556</v>
      </c>
      <c r="AE73" s="4">
        <f ca="1">_xll.DBRW($B$1,$B$2,$B$7,$B$3,$B$4,$B$5,$F73,$B$6,AE$10,$A73,$B73)</f>
        <v>6134795.6791316252</v>
      </c>
    </row>
    <row r="74" spans="1:31">
      <c r="A74" s="1" t="s">
        <v>153</v>
      </c>
      <c r="B74" s="5" t="s">
        <v>47</v>
      </c>
      <c r="C74" s="5" t="s">
        <v>48</v>
      </c>
      <c r="D74" s="5" t="s">
        <v>49</v>
      </c>
      <c r="E74" s="5" t="s">
        <v>21</v>
      </c>
      <c r="F74" s="5" t="s">
        <v>22</v>
      </c>
      <c r="G74" s="6"/>
      <c r="H74" s="6"/>
      <c r="I74" s="6"/>
      <c r="J74" s="6"/>
      <c r="K74" s="6"/>
      <c r="L74" s="4">
        <f ca="1">_xll.DBRW($B$1,$B$2,$B$7,$B$3,$B$4,$B$5,$F74,$B$6,L$10,$A74,$B74)</f>
        <v>7278998.4000000004</v>
      </c>
      <c r="M74" s="4">
        <f ca="1">_xll.DBRW($B$1,$B$2,$B$7,$B$3,$B$4,$B$5,$F74,$B$6,M$10,$A74,$B74)</f>
        <v>6815202.4197989097</v>
      </c>
      <c r="N74" s="4">
        <f ca="1">_xll.DBRW($B$1,$B$2,$B$7,$B$3,$B$4,$B$5,$F74,$B$6,N$10,$A74,$B74)</f>
        <v>7036365.1199999992</v>
      </c>
      <c r="O74" s="4">
        <f ca="1">_xll.DBRW($B$1,$B$2,$B$7,$B$3,$B$4,$B$5,$F74,$B$6,O$10,$A74,$B74)</f>
        <v>6712854.0800000001</v>
      </c>
      <c r="P74" s="4">
        <f ca="1">_xll.DBRW($B$1,$B$2,$B$7,$B$3,$B$4,$B$5,$F74,$B$6,P$10,$A74,$B74)</f>
        <v>6183235.2000000002</v>
      </c>
      <c r="Q74" s="4">
        <f ca="1">_xll.DBRW($B$1,$B$2,$B$7,$B$3,$B$4,$B$5,$F74,$B$6,Q$10,$A74,$B74)</f>
        <v>6227587.5200000005</v>
      </c>
      <c r="R74" s="4">
        <f ca="1">_xll.DBRW($B$1,$B$2,$B$7,$B$3,$B$4,$B$5,$F74,$B$6,R$10,$A74,$B74)</f>
        <v>6183235.2000000002</v>
      </c>
      <c r="S74" s="4">
        <f ca="1">_xll.DBRW($B$1,$B$2,$B$7,$B$3,$B$4,$B$5,$F74,$B$6,S$10,$A74,$B74)</f>
        <v>5742320.96</v>
      </c>
      <c r="T74" s="4">
        <f ca="1">_xll.DBRW($B$1,$B$2,$B$7,$B$3,$B$4,$B$5,$F74,$B$6,T$10,$A74,$B74)</f>
        <v>7289199.2744224276</v>
      </c>
      <c r="U74" s="4">
        <f ca="1">_xll.DBRW($B$1,$B$2,$B$7,$B$3,$B$4,$B$5,$F74,$B$6,U$10,$A74,$B74)</f>
        <v>6567463.7985372338</v>
      </c>
      <c r="V74" s="4">
        <f ca="1">_xll.DBRW($B$1,$B$2,$B$7,$B$3,$B$4,$B$5,$F74,$B$6,V$10,$A74,$B74)</f>
        <v>7975685.4355823817</v>
      </c>
      <c r="W74" s="4">
        <f ca="1">_xll.DBRW($B$1,$B$2,$B$7,$B$3,$B$4,$B$5,$F74,$B$6,W$10,$A74,$B74)</f>
        <v>7752674.2350619622</v>
      </c>
      <c r="X74" s="4">
        <f ca="1">_xll.DBRW($B$1,$B$2,$B$7,$B$3,$B$4,$B$5,$F74,$B$6,X$10,$A74,$B74)</f>
        <v>8011096.7095640292</v>
      </c>
      <c r="Y74" s="4">
        <f ca="1">_xll.DBRW($B$1,$B$2,$B$7,$B$3,$B$4,$B$5,$F74,$B$6,Y$10,$A74,$B74)</f>
        <v>7752674.235061964</v>
      </c>
      <c r="Z74" s="4">
        <f ca="1">_xll.DBRW($B$1,$B$2,$B$7,$B$3,$B$4,$B$5,$F74,$B$6,Z$10,$A74,$B74)</f>
        <v>8011096.7095640292</v>
      </c>
      <c r="AA74" s="4">
        <f ca="1">_xll.DBRW($B$1,$B$2,$B$7,$B$3,$B$4,$B$5,$F74,$B$6,AA$10,$A74,$B74)</f>
        <v>8011096.7095640302</v>
      </c>
      <c r="AB74" s="4">
        <f ca="1">_xll.DBRW($B$1,$B$2,$B$7,$B$3,$B$4,$B$5,$F74,$B$6,AB$10,$A74,$B74)</f>
        <v>7752674.235061964</v>
      </c>
      <c r="AC74" s="4">
        <f ca="1">_xll.DBRW($B$1,$B$2,$B$7,$B$3,$B$4,$B$5,$F74,$B$6,AC$10,$A74,$B74)</f>
        <v>7667102.1927920962</v>
      </c>
      <c r="AD74" s="4">
        <f ca="1">_xll.DBRW($B$1,$B$2,$B$7,$B$3,$B$4,$B$5,$F74,$B$6,AD$10,$A74,$B74)</f>
        <v>7115353.8382581556</v>
      </c>
      <c r="AE74" s="4">
        <f ca="1">_xll.DBRW($B$1,$B$2,$B$7,$B$3,$B$4,$B$5,$F74,$B$6,AE$10,$A74,$B74)</f>
        <v>6134795.6791316252</v>
      </c>
    </row>
    <row r="75" spans="1:31">
      <c r="A75" s="1" t="s">
        <v>153</v>
      </c>
      <c r="B75" s="5" t="s">
        <v>220</v>
      </c>
      <c r="C75" s="5" t="s">
        <v>166</v>
      </c>
      <c r="D75" s="5" t="s">
        <v>21</v>
      </c>
      <c r="E75" s="5" t="s">
        <v>31</v>
      </c>
      <c r="F75" s="5" t="s">
        <v>22</v>
      </c>
      <c r="G75" s="6"/>
      <c r="H75" s="6"/>
      <c r="I75" s="6"/>
      <c r="J75" s="6"/>
      <c r="K75" s="6"/>
      <c r="L75" s="4">
        <f ca="1">_xll.DBRW($B$1,$B$2,$B$7,$B$3,$B$4,$B$5,$F75,$B$6,L$10,$A75,$B75)</f>
        <v>4688669.5999999987</v>
      </c>
      <c r="M75" s="4">
        <f ca="1">_xll.DBRW($B$1,$B$2,$B$7,$B$3,$B$4,$B$5,$F75,$B$6,M$10,$A75,$B75)</f>
        <v>4765593.5501192883</v>
      </c>
      <c r="N75" s="4">
        <f ca="1">_xll.DBRW($B$1,$B$2,$B$7,$B$3,$B$4,$B$5,$F75,$B$6,N$10,$A75,$B75)</f>
        <v>4623362.38</v>
      </c>
      <c r="O75" s="4">
        <f ca="1">_xll.DBRW($B$1,$B$2,$B$7,$B$3,$B$4,$B$5,$F75,$B$6,O$10,$A75,$B75)</f>
        <v>4303025.9999999991</v>
      </c>
      <c r="P75" s="4">
        <f ca="1">_xll.DBRW($B$1,$B$2,$B$7,$B$3,$B$4,$B$5,$F75,$B$6,P$10,$A75,$B75)</f>
        <v>4470313.3600000003</v>
      </c>
      <c r="Q75" s="4">
        <f ca="1">_xll.DBRW($B$1,$B$2,$B$7,$B$3,$B$4,$B$5,$F75,$B$6,Q$10,$A75,$B75)</f>
        <v>3881129.7999999993</v>
      </c>
      <c r="R75" s="4">
        <f ca="1">_xll.DBRW($B$1,$B$2,$B$7,$B$3,$B$4,$B$5,$F75,$B$6,R$10,$A75,$B75)</f>
        <v>0</v>
      </c>
      <c r="S75" s="4">
        <f ca="1">_xll.DBRW($B$1,$B$2,$B$7,$B$3,$B$4,$B$5,$F75,$B$6,S$10,$A75,$B75)</f>
        <v>0</v>
      </c>
      <c r="T75" s="4">
        <f ca="1">_xll.DBRW($B$1,$B$2,$B$7,$B$3,$B$4,$B$5,$F75,$B$6,T$10,$A75,$B75)</f>
        <v>0</v>
      </c>
      <c r="U75" s="4">
        <f ca="1">_xll.DBRW($B$1,$B$2,$B$7,$B$3,$B$4,$B$5,$F75,$B$6,U$10,$A75,$B75)</f>
        <v>0</v>
      </c>
      <c r="V75" s="4">
        <f ca="1">_xll.DBRW($B$1,$B$2,$B$7,$B$3,$B$4,$B$5,$F75,$B$6,V$10,$A75,$B75)</f>
        <v>283542.37677064619</v>
      </c>
      <c r="W75" s="4">
        <f ca="1">_xll.DBRW($B$1,$B$2,$B$7,$B$3,$B$4,$B$5,$F75,$B$6,W$10,$A75,$B75)</f>
        <v>4016156.6899849698</v>
      </c>
      <c r="X75" s="4">
        <f ca="1">_xll.DBRW($B$1,$B$2,$B$7,$B$3,$B$4,$B$5,$F75,$B$6,X$10,$A75,$B75)</f>
        <v>4942714.1434991108</v>
      </c>
      <c r="Y75" s="4">
        <f ca="1">_xll.DBRW($B$1,$B$2,$B$7,$B$3,$B$4,$B$5,$F75,$B$6,Y$10,$A75,$B75)</f>
        <v>4910251.8322985005</v>
      </c>
      <c r="Z75" s="4">
        <f ca="1">_xll.DBRW($B$1,$B$2,$B$7,$B$3,$B$4,$B$5,$F75,$B$6,Z$10,$A75,$B75)</f>
        <v>4907127.3824579213</v>
      </c>
      <c r="AA75" s="4">
        <f ca="1">_xll.DBRW($B$1,$B$2,$B$7,$B$3,$B$4,$B$5,$F75,$B$6,AA$10,$A75,$B75)</f>
        <v>4157557.9657014138</v>
      </c>
      <c r="AB75" s="4">
        <f ca="1">_xll.DBRW($B$1,$B$2,$B$7,$B$3,$B$4,$B$5,$F75,$B$6,AB$10,$A75,$B75)</f>
        <v>4646126.3294066312</v>
      </c>
      <c r="AC75" s="4">
        <f ca="1">_xll.DBRW($B$1,$B$2,$B$7,$B$3,$B$4,$B$5,$F75,$B$6,AC$10,$A75,$B75)</f>
        <v>4100462.9259283277</v>
      </c>
      <c r="AD75" s="4">
        <f ca="1">_xll.DBRW($B$1,$B$2,$B$7,$B$3,$B$4,$B$5,$F75,$B$6,AD$10,$A75,$B75)</f>
        <v>0</v>
      </c>
      <c r="AE75" s="4">
        <f ca="1">_xll.DBRW($B$1,$B$2,$B$7,$B$3,$B$4,$B$5,$F75,$B$6,AE$10,$A75,$B75)</f>
        <v>0</v>
      </c>
    </row>
    <row r="76" spans="1:31">
      <c r="A76" s="1" t="s">
        <v>153</v>
      </c>
      <c r="B76" s="5" t="s">
        <v>32</v>
      </c>
      <c r="C76" s="5" t="s">
        <v>30</v>
      </c>
      <c r="D76" s="5" t="s">
        <v>31</v>
      </c>
      <c r="E76" s="5" t="s">
        <v>21</v>
      </c>
      <c r="F76" s="5" t="s">
        <v>22</v>
      </c>
      <c r="G76" s="6"/>
      <c r="H76" s="6"/>
      <c r="I76" s="6"/>
      <c r="J76" s="6"/>
      <c r="K76" s="6"/>
      <c r="L76" s="4">
        <f ca="1">_xll.DBRW($B$1,$B$2,$B$7,$B$3,$B$4,$B$5,$F76,$B$6,L$10,$A76,$B76)</f>
        <v>4688669.5999999987</v>
      </c>
      <c r="M76" s="4">
        <f ca="1">_xll.DBRW($B$1,$B$2,$B$7,$B$3,$B$4,$B$5,$F76,$B$6,M$10,$A76,$B76)</f>
        <v>4765593.5501192883</v>
      </c>
      <c r="N76" s="4">
        <f ca="1">_xll.DBRW($B$1,$B$2,$B$7,$B$3,$B$4,$B$5,$F76,$B$6,N$10,$A76,$B76)</f>
        <v>4623362.38</v>
      </c>
      <c r="O76" s="4">
        <f ca="1">_xll.DBRW($B$1,$B$2,$B$7,$B$3,$B$4,$B$5,$F76,$B$6,O$10,$A76,$B76)</f>
        <v>4303025.9999999991</v>
      </c>
      <c r="P76" s="4">
        <f ca="1">_xll.DBRW($B$1,$B$2,$B$7,$B$3,$B$4,$B$5,$F76,$B$6,P$10,$A76,$B76)</f>
        <v>4470313.3600000003</v>
      </c>
      <c r="Q76" s="4">
        <f ca="1">_xll.DBRW($B$1,$B$2,$B$7,$B$3,$B$4,$B$5,$F76,$B$6,Q$10,$A76,$B76)</f>
        <v>3881129.7999999993</v>
      </c>
      <c r="R76" s="4">
        <f ca="1">_xll.DBRW($B$1,$B$2,$B$7,$B$3,$B$4,$B$5,$F76,$B$6,R$10,$A76,$B76)</f>
        <v>0</v>
      </c>
      <c r="S76" s="4">
        <f ca="1">_xll.DBRW($B$1,$B$2,$B$7,$B$3,$B$4,$B$5,$F76,$B$6,S$10,$A76,$B76)</f>
        <v>0</v>
      </c>
      <c r="T76" s="4">
        <f ca="1">_xll.DBRW($B$1,$B$2,$B$7,$B$3,$B$4,$B$5,$F76,$B$6,T$10,$A76,$B76)</f>
        <v>0</v>
      </c>
      <c r="U76" s="4">
        <f ca="1">_xll.DBRW($B$1,$B$2,$B$7,$B$3,$B$4,$B$5,$F76,$B$6,U$10,$A76,$B76)</f>
        <v>0</v>
      </c>
      <c r="V76" s="4">
        <f ca="1">_xll.DBRW($B$1,$B$2,$B$7,$B$3,$B$4,$B$5,$F76,$B$6,V$10,$A76,$B76)</f>
        <v>283542.37677064619</v>
      </c>
      <c r="W76" s="4">
        <f ca="1">_xll.DBRW($B$1,$B$2,$B$7,$B$3,$B$4,$B$5,$F76,$B$6,W$10,$A76,$B76)</f>
        <v>4016156.6899849698</v>
      </c>
      <c r="X76" s="4">
        <f ca="1">_xll.DBRW($B$1,$B$2,$B$7,$B$3,$B$4,$B$5,$F76,$B$6,X$10,$A76,$B76)</f>
        <v>4942714.1434991108</v>
      </c>
      <c r="Y76" s="4">
        <f ca="1">_xll.DBRW($B$1,$B$2,$B$7,$B$3,$B$4,$B$5,$F76,$B$6,Y$10,$A76,$B76)</f>
        <v>4910251.8322985005</v>
      </c>
      <c r="Z76" s="4">
        <f ca="1">_xll.DBRW($B$1,$B$2,$B$7,$B$3,$B$4,$B$5,$F76,$B$6,Z$10,$A76,$B76)</f>
        <v>4907127.3824579213</v>
      </c>
      <c r="AA76" s="4">
        <f ca="1">_xll.DBRW($B$1,$B$2,$B$7,$B$3,$B$4,$B$5,$F76,$B$6,AA$10,$A76,$B76)</f>
        <v>4157557.9657014138</v>
      </c>
      <c r="AB76" s="4">
        <f ca="1">_xll.DBRW($B$1,$B$2,$B$7,$B$3,$B$4,$B$5,$F76,$B$6,AB$10,$A76,$B76)</f>
        <v>4646126.3294066312</v>
      </c>
      <c r="AC76" s="4">
        <f ca="1">_xll.DBRW($B$1,$B$2,$B$7,$B$3,$B$4,$B$5,$F76,$B$6,AC$10,$A76,$B76)</f>
        <v>3934996.5783498832</v>
      </c>
      <c r="AD76" s="4">
        <f ca="1">_xll.DBRW($B$1,$B$2,$B$7,$B$3,$B$4,$B$5,$F76,$B$6,AD$10,$A76,$B76)</f>
        <v>0</v>
      </c>
      <c r="AE76" s="4">
        <f ca="1">_xll.DBRW($B$1,$B$2,$B$7,$B$3,$B$4,$B$5,$F76,$B$6,AE$10,$A76,$B76)</f>
        <v>0</v>
      </c>
    </row>
    <row r="77" spans="1:31">
      <c r="A77" s="1" t="s">
        <v>153</v>
      </c>
      <c r="B77" s="5" t="s">
        <v>221</v>
      </c>
      <c r="C77" s="5" t="s">
        <v>193</v>
      </c>
      <c r="D77" s="5" t="s">
        <v>21</v>
      </c>
      <c r="E77" s="5" t="s">
        <v>194</v>
      </c>
      <c r="F77" s="5" t="s">
        <v>22</v>
      </c>
      <c r="G77" s="6"/>
      <c r="H77" s="6"/>
      <c r="I77" s="6"/>
      <c r="J77" s="6"/>
      <c r="K77" s="6"/>
      <c r="L77" s="4">
        <f ca="1">_xll.DBRW($B$1,$B$2,$B$7,$B$3,$B$4,$B$5,$F77,$B$6,L$10,$A77,$B77)</f>
        <v>1545040.6199999999</v>
      </c>
      <c r="M77" s="4">
        <f ca="1">_xll.DBRW($B$1,$B$2,$B$7,$B$3,$B$4,$B$5,$F77,$B$6,M$10,$A77,$B77)</f>
        <v>1428622.2686741347</v>
      </c>
      <c r="N77" s="4">
        <f ca="1">_xll.DBRW($B$1,$B$2,$B$7,$B$3,$B$4,$B$5,$F77,$B$6,N$10,$A77,$B77)</f>
        <v>1481545.7999999998</v>
      </c>
      <c r="O77" s="4">
        <f ca="1">_xll.DBRW($B$1,$B$2,$B$7,$B$3,$B$4,$B$5,$F77,$B$6,O$10,$A77,$B77)</f>
        <v>1481545.7999999998</v>
      </c>
      <c r="P77" s="4">
        <f ca="1">_xll.DBRW($B$1,$B$2,$B$7,$B$3,$B$4,$B$5,$F77,$B$6,P$10,$A77,$B77)</f>
        <v>1448622.56</v>
      </c>
      <c r="Q77" s="4">
        <f ca="1">_xll.DBRW($B$1,$B$2,$B$7,$B$3,$B$4,$B$5,$F77,$B$6,Q$10,$A77,$B77)</f>
        <v>1841349.7800000003</v>
      </c>
      <c r="R77" s="4">
        <f ca="1">_xll.DBRW($B$1,$B$2,$B$7,$B$3,$B$4,$B$5,$F77,$B$6,R$10,$A77,$B77)</f>
        <v>1841349.7800000003</v>
      </c>
      <c r="S77" s="4">
        <f ca="1">_xll.DBRW($B$1,$B$2,$B$7,$B$3,$B$4,$B$5,$F77,$B$6,S$10,$A77,$B77)</f>
        <v>1401589.36</v>
      </c>
      <c r="T77" s="4">
        <f ca="1">_xll.DBRW($B$1,$B$2,$B$7,$B$3,$B$4,$B$5,$F77,$B$6,T$10,$A77,$B77)</f>
        <v>2040385.8900816506</v>
      </c>
      <c r="U77" s="4">
        <f ca="1">_xll.DBRW($B$1,$B$2,$B$7,$B$3,$B$4,$B$5,$F77,$B$6,U$10,$A77,$B77)</f>
        <v>1789688.0039223512</v>
      </c>
      <c r="V77" s="4">
        <f ca="1">_xll.DBRW($B$1,$B$2,$B$7,$B$3,$B$4,$B$5,$F77,$B$6,V$10,$A77,$B77)</f>
        <v>2064577.8390463891</v>
      </c>
      <c r="W77" s="4">
        <f ca="1">_xll.DBRW($B$1,$B$2,$B$7,$B$3,$B$4,$B$5,$F77,$B$6,W$10,$A77,$B77)</f>
        <v>2030585.0973668231</v>
      </c>
      <c r="X77" s="4">
        <f ca="1">_xll.DBRW($B$1,$B$2,$B$7,$B$3,$B$4,$B$5,$F77,$B$6,X$10,$A77,$B77)</f>
        <v>1974649.9449965018</v>
      </c>
      <c r="Y77" s="4">
        <f ca="1">_xll.DBRW($B$1,$B$2,$B$7,$B$3,$B$4,$B$5,$F77,$B$6,Y$10,$A77,$B77)</f>
        <v>1667167.2718524083</v>
      </c>
      <c r="Z77" s="4">
        <f ca="1">_xll.DBRW($B$1,$B$2,$B$7,$B$3,$B$4,$B$5,$F77,$B$6,Z$10,$A77,$B77)</f>
        <v>1967307.7624145299</v>
      </c>
      <c r="AA77" s="4">
        <f ca="1">_xll.DBRW($B$1,$B$2,$B$7,$B$3,$B$4,$B$5,$F77,$B$6,AA$10,$A77,$B77)</f>
        <v>1664702.9544882982</v>
      </c>
      <c r="AB77" s="4">
        <f ca="1">_xll.DBRW($B$1,$B$2,$B$7,$B$3,$B$4,$B$5,$F77,$B$6,AB$10,$A77,$B77)</f>
        <v>1815309.8959861971</v>
      </c>
      <c r="AC77" s="4">
        <f ca="1">_xll.DBRW($B$1,$B$2,$B$7,$B$3,$B$4,$B$5,$F77,$B$6,AC$10,$A77,$B77)</f>
        <v>1855565.7192814515</v>
      </c>
      <c r="AD77" s="4">
        <f ca="1">_xll.DBRW($B$1,$B$2,$B$7,$B$3,$B$4,$B$5,$F77,$B$6,AD$10,$A77,$B77)</f>
        <v>1863841.3872846223</v>
      </c>
      <c r="AE77" s="4">
        <f ca="1">_xll.DBRW($B$1,$B$2,$B$7,$B$3,$B$4,$B$5,$F77,$B$6,AE$10,$A77,$B77)</f>
        <v>1592847.2179167347</v>
      </c>
    </row>
    <row r="78" spans="1:31">
      <c r="A78" s="1" t="s">
        <v>153</v>
      </c>
      <c r="B78" s="5" t="s">
        <v>222</v>
      </c>
      <c r="C78" s="5" t="s">
        <v>196</v>
      </c>
      <c r="D78" s="5" t="s">
        <v>194</v>
      </c>
      <c r="E78" s="5" t="s">
        <v>21</v>
      </c>
      <c r="F78" s="5" t="s">
        <v>22</v>
      </c>
      <c r="G78" s="6"/>
      <c r="H78" s="6"/>
      <c r="I78" s="6"/>
      <c r="J78" s="6"/>
      <c r="K78" s="6"/>
      <c r="L78" s="4">
        <f ca="1">_xll.DBRW($B$1,$B$2,$B$7,$B$3,$B$4,$B$5,$F78,$B$6,L$10,$A78,$B78)</f>
        <v>1545040.6199999999</v>
      </c>
      <c r="M78" s="4">
        <f ca="1">_xll.DBRW($B$1,$B$2,$B$7,$B$3,$B$4,$B$5,$F78,$B$6,M$10,$A78,$B78)</f>
        <v>1428622.2686741347</v>
      </c>
      <c r="N78" s="4">
        <f ca="1">_xll.DBRW($B$1,$B$2,$B$7,$B$3,$B$4,$B$5,$F78,$B$6,N$10,$A78,$B78)</f>
        <v>1481545.7999999998</v>
      </c>
      <c r="O78" s="4">
        <f ca="1">_xll.DBRW($B$1,$B$2,$B$7,$B$3,$B$4,$B$5,$F78,$B$6,O$10,$A78,$B78)</f>
        <v>1481545.7999999998</v>
      </c>
      <c r="P78" s="4">
        <f ca="1">_xll.DBRW($B$1,$B$2,$B$7,$B$3,$B$4,$B$5,$F78,$B$6,P$10,$A78,$B78)</f>
        <v>1448622.56</v>
      </c>
      <c r="Q78" s="4">
        <f ca="1">_xll.DBRW($B$1,$B$2,$B$7,$B$3,$B$4,$B$5,$F78,$B$6,Q$10,$A78,$B78)</f>
        <v>1841349.7800000003</v>
      </c>
      <c r="R78" s="4">
        <f ca="1">_xll.DBRW($B$1,$B$2,$B$7,$B$3,$B$4,$B$5,$F78,$B$6,R$10,$A78,$B78)</f>
        <v>1841349.7800000003</v>
      </c>
      <c r="S78" s="4">
        <f ca="1">_xll.DBRW($B$1,$B$2,$B$7,$B$3,$B$4,$B$5,$F78,$B$6,S$10,$A78,$B78)</f>
        <v>1401589.36</v>
      </c>
      <c r="T78" s="4">
        <f ca="1">_xll.DBRW($B$1,$B$2,$B$7,$B$3,$B$4,$B$5,$F78,$B$6,T$10,$A78,$B78)</f>
        <v>2040385.8900816506</v>
      </c>
      <c r="U78" s="4">
        <f ca="1">_xll.DBRW($B$1,$B$2,$B$7,$B$3,$B$4,$B$5,$F78,$B$6,U$10,$A78,$B78)</f>
        <v>1789688.0039223512</v>
      </c>
      <c r="V78" s="4">
        <f ca="1">_xll.DBRW($B$1,$B$2,$B$7,$B$3,$B$4,$B$5,$F78,$B$6,V$10,$A78,$B78)</f>
        <v>2064577.8390463891</v>
      </c>
      <c r="W78" s="4">
        <f ca="1">_xll.DBRW($B$1,$B$2,$B$7,$B$3,$B$4,$B$5,$F78,$B$6,W$10,$A78,$B78)</f>
        <v>2030585.0973668231</v>
      </c>
      <c r="X78" s="4">
        <f ca="1">_xll.DBRW($B$1,$B$2,$B$7,$B$3,$B$4,$B$5,$F78,$B$6,X$10,$A78,$B78)</f>
        <v>1974649.9449965018</v>
      </c>
      <c r="Y78" s="4">
        <f ca="1">_xll.DBRW($B$1,$B$2,$B$7,$B$3,$B$4,$B$5,$F78,$B$6,Y$10,$A78,$B78)</f>
        <v>1667167.2718524083</v>
      </c>
      <c r="Z78" s="4">
        <f ca="1">_xll.DBRW($B$1,$B$2,$B$7,$B$3,$B$4,$B$5,$F78,$B$6,Z$10,$A78,$B78)</f>
        <v>1967307.7624145299</v>
      </c>
      <c r="AA78" s="4">
        <f ca="1">_xll.DBRW($B$1,$B$2,$B$7,$B$3,$B$4,$B$5,$F78,$B$6,AA$10,$A78,$B78)</f>
        <v>1664702.9544882982</v>
      </c>
      <c r="AB78" s="4">
        <f ca="1">_xll.DBRW($B$1,$B$2,$B$7,$B$3,$B$4,$B$5,$F78,$B$6,AB$10,$A78,$B78)</f>
        <v>1815309.8959861971</v>
      </c>
      <c r="AC78" s="4">
        <f ca="1">_xll.DBRW($B$1,$B$2,$B$7,$B$3,$B$4,$B$5,$F78,$B$6,AC$10,$A78,$B78)</f>
        <v>1855565.7192814515</v>
      </c>
      <c r="AD78" s="4">
        <f ca="1">_xll.DBRW($B$1,$B$2,$B$7,$B$3,$B$4,$B$5,$F78,$B$6,AD$10,$A78,$B78)</f>
        <v>1863841.3872846223</v>
      </c>
      <c r="AE78" s="4">
        <f ca="1">_xll.DBRW($B$1,$B$2,$B$7,$B$3,$B$4,$B$5,$F78,$B$6,AE$10,$A78,$B78)</f>
        <v>1415864.1937037644</v>
      </c>
    </row>
    <row r="79" spans="1:31">
      <c r="A79" s="1" t="s">
        <v>153</v>
      </c>
      <c r="B79" s="5" t="s">
        <v>223</v>
      </c>
      <c r="C79" s="5" t="s">
        <v>193</v>
      </c>
      <c r="D79" s="5" t="s">
        <v>21</v>
      </c>
      <c r="E79" s="5" t="s">
        <v>194</v>
      </c>
      <c r="F79" s="5" t="s">
        <v>22</v>
      </c>
      <c r="G79" s="6"/>
      <c r="H79" s="6"/>
      <c r="I79" s="6"/>
      <c r="J79" s="6"/>
      <c r="K79" s="6"/>
      <c r="L79" s="4">
        <f ca="1">_xll.DBRW($B$1,$B$2,$B$7,$B$3,$B$4,$B$5,$F79,$B$6,L$10,$A79,$B79)</f>
        <v>2222899.64</v>
      </c>
      <c r="M79" s="4">
        <f ca="1">_xll.DBRW($B$1,$B$2,$B$7,$B$3,$B$4,$B$5,$F79,$B$6,M$10,$A79,$B79)</f>
        <v>1956587.2739770529</v>
      </c>
      <c r="N79" s="4">
        <f ca="1">_xll.DBRW($B$1,$B$2,$B$7,$B$3,$B$4,$B$5,$F79,$B$6,N$10,$A79,$B79)</f>
        <v>2131547.6</v>
      </c>
      <c r="O79" s="4">
        <f ca="1">_xll.DBRW($B$1,$B$2,$B$7,$B$3,$B$4,$B$5,$F79,$B$6,O$10,$A79,$B79)</f>
        <v>2131547.6</v>
      </c>
      <c r="P79" s="4">
        <f ca="1">_xll.DBRW($B$1,$B$2,$B$7,$B$3,$B$4,$B$5,$F79,$B$6,P$10,$A79,$B79)</f>
        <v>2344702.36</v>
      </c>
      <c r="Q79" s="4">
        <f ca="1">_xll.DBRW($B$1,$B$2,$B$7,$B$3,$B$4,$B$5,$F79,$B$6,Q$10,$A79,$B79)</f>
        <v>2037853.2000000002</v>
      </c>
      <c r="R79" s="4">
        <f ca="1">_xll.DBRW($B$1,$B$2,$B$7,$B$3,$B$4,$B$5,$F79,$B$6,R$10,$A79,$B79)</f>
        <v>1834067.8800000001</v>
      </c>
      <c r="S79" s="4">
        <f ca="1">_xll.DBRW($B$1,$B$2,$B$7,$B$3,$B$4,$B$5,$F79,$B$6,S$10,$A79,$B79)</f>
        <v>1570552.38</v>
      </c>
      <c r="T79" s="4">
        <f ca="1">_xll.DBRW($B$1,$B$2,$B$7,$B$3,$B$4,$B$5,$F79,$B$6,T$10,$A79,$B79)</f>
        <v>2032316.87127036</v>
      </c>
      <c r="U79" s="4">
        <f ca="1">_xll.DBRW($B$1,$B$2,$B$7,$B$3,$B$4,$B$5,$F79,$B$6,U$10,$A79,$B79)</f>
        <v>1782610.4083360515</v>
      </c>
      <c r="V79" s="4">
        <f ca="1">_xll.DBRW($B$1,$B$2,$B$7,$B$3,$B$4,$B$5,$F79,$B$6,V$10,$A79,$B79)</f>
        <v>1827922.7995236272</v>
      </c>
      <c r="W79" s="4">
        <f ca="1">_xll.DBRW($B$1,$B$2,$B$7,$B$3,$B$4,$B$5,$F79,$B$6,W$10,$A79,$B79)</f>
        <v>1123641.5762738169</v>
      </c>
      <c r="X79" s="4">
        <f ca="1">_xll.DBRW($B$1,$B$2,$B$7,$B$3,$B$4,$B$5,$F79,$B$6,X$10,$A79,$B79)</f>
        <v>874151.50624797551</v>
      </c>
      <c r="Y79" s="4">
        <f ca="1">_xll.DBRW($B$1,$B$2,$B$7,$B$3,$B$4,$B$5,$F79,$B$6,Y$10,$A79,$B79)</f>
        <v>830287.10164228827</v>
      </c>
      <c r="Z79" s="4">
        <f ca="1">_xll.DBRW($B$1,$B$2,$B$7,$B$3,$B$4,$B$5,$F79,$B$6,Z$10,$A79,$B79)</f>
        <v>979763.87113130675</v>
      </c>
      <c r="AA79" s="4">
        <f ca="1">_xll.DBRW($B$1,$B$2,$B$7,$B$3,$B$4,$B$5,$F79,$B$6,AA$10,$A79,$B79)</f>
        <v>829059.81572064199</v>
      </c>
      <c r="AB79" s="4">
        <f ca="1">_xll.DBRW($B$1,$B$2,$B$7,$B$3,$B$4,$B$5,$F79,$B$6,AB$10,$A79,$B79)</f>
        <v>803613.76653318712</v>
      </c>
      <c r="AC79" s="4">
        <f ca="1">_xll.DBRW($B$1,$B$2,$B$7,$B$3,$B$4,$B$5,$F79,$B$6,AC$10,$A79,$B79)</f>
        <v>1386170.7001276016</v>
      </c>
      <c r="AD79" s="4">
        <f ca="1">_xll.DBRW($B$1,$B$2,$B$7,$B$3,$B$4,$B$5,$F79,$B$6,AD$10,$A79,$B79)</f>
        <v>1650196.0362448494</v>
      </c>
      <c r="AE79" s="4">
        <f ca="1">_xll.DBRW($B$1,$B$2,$B$7,$B$3,$B$4,$B$5,$F79,$B$6,AE$10,$A79,$B79)</f>
        <v>1586548.0593961042</v>
      </c>
    </row>
    <row r="80" spans="1:31">
      <c r="A80" s="1" t="s">
        <v>153</v>
      </c>
      <c r="B80" s="5" t="s">
        <v>224</v>
      </c>
      <c r="C80" s="5" t="s">
        <v>196</v>
      </c>
      <c r="D80" s="5" t="s">
        <v>194</v>
      </c>
      <c r="E80" s="5" t="s">
        <v>21</v>
      </c>
      <c r="F80" s="5" t="s">
        <v>22</v>
      </c>
      <c r="G80" s="6"/>
      <c r="H80" s="6"/>
      <c r="I80" s="6"/>
      <c r="J80" s="6"/>
      <c r="K80" s="6"/>
      <c r="L80" s="4">
        <f ca="1">_xll.DBRW($B$1,$B$2,$B$7,$B$3,$B$4,$B$5,$F80,$B$6,L$10,$A80,$B80)</f>
        <v>2222899.64</v>
      </c>
      <c r="M80" s="4">
        <f ca="1">_xll.DBRW($B$1,$B$2,$B$7,$B$3,$B$4,$B$5,$F80,$B$6,M$10,$A80,$B80)</f>
        <v>1956587.2739770529</v>
      </c>
      <c r="N80" s="4">
        <f ca="1">_xll.DBRW($B$1,$B$2,$B$7,$B$3,$B$4,$B$5,$F80,$B$6,N$10,$A80,$B80)</f>
        <v>2131547.6</v>
      </c>
      <c r="O80" s="4">
        <f ca="1">_xll.DBRW($B$1,$B$2,$B$7,$B$3,$B$4,$B$5,$F80,$B$6,O$10,$A80,$B80)</f>
        <v>2131547.6</v>
      </c>
      <c r="P80" s="4">
        <f ca="1">_xll.DBRW($B$1,$B$2,$B$7,$B$3,$B$4,$B$5,$F80,$B$6,P$10,$A80,$B80)</f>
        <v>2344702.36</v>
      </c>
      <c r="Q80" s="4">
        <f ca="1">_xll.DBRW($B$1,$B$2,$B$7,$B$3,$B$4,$B$5,$F80,$B$6,Q$10,$A80,$B80)</f>
        <v>2241638.5200000005</v>
      </c>
      <c r="R80" s="4">
        <f ca="1">_xll.DBRW($B$1,$B$2,$B$7,$B$3,$B$4,$B$5,$F80,$B$6,R$10,$A80,$B80)</f>
        <v>1834067.8800000001</v>
      </c>
      <c r="S80" s="4">
        <f ca="1">_xll.DBRW($B$1,$B$2,$B$7,$B$3,$B$4,$B$5,$F80,$B$6,S$10,$A80,$B80)</f>
        <v>1570552.38</v>
      </c>
      <c r="T80" s="4">
        <f ca="1">_xll.DBRW($B$1,$B$2,$B$7,$B$3,$B$4,$B$5,$F80,$B$6,T$10,$A80,$B80)</f>
        <v>2032316.87127036</v>
      </c>
      <c r="U80" s="4">
        <f ca="1">_xll.DBRW($B$1,$B$2,$B$7,$B$3,$B$4,$B$5,$F80,$B$6,U$10,$A80,$B80)</f>
        <v>1782610.4083360515</v>
      </c>
      <c r="V80" s="4">
        <f ca="1">_xll.DBRW($B$1,$B$2,$B$7,$B$3,$B$4,$B$5,$F80,$B$6,V$10,$A80,$B80)</f>
        <v>1827922.7995236272</v>
      </c>
      <c r="W80" s="4">
        <f ca="1">_xll.DBRW($B$1,$B$2,$B$7,$B$3,$B$4,$B$5,$F80,$B$6,W$10,$A80,$B80)</f>
        <v>1123641.5762738169</v>
      </c>
      <c r="X80" s="4">
        <f ca="1">_xll.DBRW($B$1,$B$2,$B$7,$B$3,$B$4,$B$5,$F80,$B$6,X$10,$A80,$B80)</f>
        <v>874151.50624797551</v>
      </c>
      <c r="Y80" s="4">
        <f ca="1">_xll.DBRW($B$1,$B$2,$B$7,$B$3,$B$4,$B$5,$F80,$B$6,Y$10,$A80,$B80)</f>
        <v>830287.10164228827</v>
      </c>
      <c r="Z80" s="4">
        <f ca="1">_xll.DBRW($B$1,$B$2,$B$7,$B$3,$B$4,$B$5,$F80,$B$6,Z$10,$A80,$B80)</f>
        <v>979763.87113130675</v>
      </c>
      <c r="AA80" s="4">
        <f ca="1">_xll.DBRW($B$1,$B$2,$B$7,$B$3,$B$4,$B$5,$F80,$B$6,AA$10,$A80,$B80)</f>
        <v>829059.81572064199</v>
      </c>
      <c r="AB80" s="4">
        <f ca="1">_xll.DBRW($B$1,$B$2,$B$7,$B$3,$B$4,$B$5,$F80,$B$6,AB$10,$A80,$B80)</f>
        <v>803613.76653318712</v>
      </c>
      <c r="AC80" s="4">
        <f ca="1">_xll.DBRW($B$1,$B$2,$B$7,$B$3,$B$4,$B$5,$F80,$B$6,AC$10,$A80,$B80)</f>
        <v>1386170.7001276016</v>
      </c>
      <c r="AD80" s="4">
        <f ca="1">_xll.DBRW($B$1,$B$2,$B$7,$B$3,$B$4,$B$5,$F80,$B$6,AD$10,$A80,$B80)</f>
        <v>1650196.0362448494</v>
      </c>
      <c r="AE80" s="4">
        <f ca="1">_xll.DBRW($B$1,$B$2,$B$7,$B$3,$B$4,$B$5,$F80,$B$6,AE$10,$A80,$B80)</f>
        <v>1586548.0593961042</v>
      </c>
    </row>
    <row r="81" spans="1:31">
      <c r="A81" s="1" t="s">
        <v>153</v>
      </c>
      <c r="B81" s="5" t="s">
        <v>225</v>
      </c>
      <c r="C81" s="5" t="s">
        <v>226</v>
      </c>
      <c r="D81" s="5" t="s">
        <v>21</v>
      </c>
      <c r="E81" s="5" t="s">
        <v>227</v>
      </c>
      <c r="F81" s="5" t="s">
        <v>22</v>
      </c>
      <c r="G81" s="6"/>
      <c r="H81" s="6"/>
      <c r="I81" s="6"/>
      <c r="J81" s="6"/>
      <c r="K81" s="6"/>
      <c r="L81" s="4">
        <f ca="1">_xll.DBRW($B$1,$B$2,$B$7,$B$3,$B$4,$B$5,$F81,$B$6,L$10,$A81,$B81)</f>
        <v>0</v>
      </c>
      <c r="M81" s="4">
        <f ca="1">_xll.DBRW($B$1,$B$2,$B$7,$B$3,$B$4,$B$5,$F81,$B$6,M$10,$A81,$B81)</f>
        <v>0</v>
      </c>
      <c r="N81" s="4">
        <f ca="1">_xll.DBRW($B$1,$B$2,$B$7,$B$3,$B$4,$B$5,$F81,$B$6,N$10,$A81,$B81)</f>
        <v>0</v>
      </c>
      <c r="O81" s="4">
        <f ca="1">_xll.DBRW($B$1,$B$2,$B$7,$B$3,$B$4,$B$5,$F81,$B$6,O$10,$A81,$B81)</f>
        <v>0</v>
      </c>
      <c r="P81" s="4">
        <f ca="1">_xll.DBRW($B$1,$B$2,$B$7,$B$3,$B$4,$B$5,$F81,$B$6,P$10,$A81,$B81)</f>
        <v>0</v>
      </c>
      <c r="Q81" s="4">
        <f ca="1">_xll.DBRW($B$1,$B$2,$B$7,$B$3,$B$4,$B$5,$F81,$B$6,Q$10,$A81,$B81)</f>
        <v>398937.59999999998</v>
      </c>
      <c r="R81" s="4">
        <f ca="1">_xll.DBRW($B$1,$B$2,$B$7,$B$3,$B$4,$B$5,$F81,$B$6,R$10,$A81,$B81)</f>
        <v>1631211.52</v>
      </c>
      <c r="S81" s="4">
        <f ca="1">_xll.DBRW($B$1,$B$2,$B$7,$B$3,$B$4,$B$5,$F81,$B$6,S$10,$A81,$B81)</f>
        <v>0</v>
      </c>
      <c r="T81" s="4">
        <f ca="1">_xll.DBRW($B$1,$B$2,$B$7,$B$3,$B$4,$B$5,$F81,$B$6,T$10,$A81,$B81)</f>
        <v>0</v>
      </c>
      <c r="U81" s="4">
        <f ca="1">_xll.DBRW($B$1,$B$2,$B$7,$B$3,$B$4,$B$5,$F81,$B$6,U$10,$A81,$B81)</f>
        <v>0</v>
      </c>
      <c r="V81" s="4">
        <f ca="1">_xll.DBRW($B$1,$B$2,$B$7,$B$3,$B$4,$B$5,$F81,$B$6,V$10,$A81,$B81)</f>
        <v>0</v>
      </c>
      <c r="W81" s="4">
        <f ca="1">_xll.DBRW($B$1,$B$2,$B$7,$B$3,$B$4,$B$5,$F81,$B$6,W$10,$A81,$B81)</f>
        <v>0</v>
      </c>
      <c r="X81" s="4">
        <f ca="1">_xll.DBRW($B$1,$B$2,$B$7,$B$3,$B$4,$B$5,$F81,$B$6,X$10,$A81,$B81)</f>
        <v>0</v>
      </c>
      <c r="Y81" s="4">
        <f ca="1">_xll.DBRW($B$1,$B$2,$B$7,$B$3,$B$4,$B$5,$F81,$B$6,Y$10,$A81,$B81)</f>
        <v>0</v>
      </c>
      <c r="Z81" s="4">
        <f ca="1">_xll.DBRW($B$1,$B$2,$B$7,$B$3,$B$4,$B$5,$F81,$B$6,Z$10,$A81,$B81)</f>
        <v>0</v>
      </c>
      <c r="AA81" s="4">
        <f ca="1">_xll.DBRW($B$1,$B$2,$B$7,$B$3,$B$4,$B$5,$F81,$B$6,AA$10,$A81,$B81)</f>
        <v>0</v>
      </c>
      <c r="AB81" s="4">
        <f ca="1">_xll.DBRW($B$1,$B$2,$B$7,$B$3,$B$4,$B$5,$F81,$B$6,AB$10,$A81,$B81)</f>
        <v>0</v>
      </c>
      <c r="AC81" s="4">
        <f ca="1">_xll.DBRW($B$1,$B$2,$B$7,$B$3,$B$4,$B$5,$F81,$B$6,AC$10,$A81,$B81)</f>
        <v>0</v>
      </c>
      <c r="AD81" s="4">
        <f ca="1">_xll.DBRW($B$1,$B$2,$B$7,$B$3,$B$4,$B$5,$F81,$B$6,AD$10,$A81,$B81)</f>
        <v>0</v>
      </c>
      <c r="AE81" s="4">
        <f ca="1">_xll.DBRW($B$1,$B$2,$B$7,$B$3,$B$4,$B$5,$F81,$B$6,AE$10,$A81,$B81)</f>
        <v>0</v>
      </c>
    </row>
    <row r="82" spans="1:31">
      <c r="A82" s="1" t="s">
        <v>153</v>
      </c>
      <c r="B82" s="5" t="s">
        <v>228</v>
      </c>
      <c r="C82" s="5" t="s">
        <v>229</v>
      </c>
      <c r="D82" s="5" t="s">
        <v>227</v>
      </c>
      <c r="E82" s="5" t="s">
        <v>21</v>
      </c>
      <c r="F82" s="5" t="s">
        <v>22</v>
      </c>
      <c r="G82" s="6"/>
      <c r="H82" s="6"/>
      <c r="I82" s="6"/>
      <c r="J82" s="6"/>
      <c r="K82" s="6"/>
      <c r="L82" s="4">
        <f ca="1">_xll.DBRW($B$1,$B$2,$B$7,$B$3,$B$4,$B$5,$F82,$B$6,L$10,$A82,$B82)</f>
        <v>0</v>
      </c>
      <c r="M82" s="4">
        <f ca="1">_xll.DBRW($B$1,$B$2,$B$7,$B$3,$B$4,$B$5,$F82,$B$6,M$10,$A82,$B82)</f>
        <v>0</v>
      </c>
      <c r="N82" s="4">
        <f ca="1">_xll.DBRW($B$1,$B$2,$B$7,$B$3,$B$4,$B$5,$F82,$B$6,N$10,$A82,$B82)</f>
        <v>0</v>
      </c>
      <c r="O82" s="4">
        <f ca="1">_xll.DBRW($B$1,$B$2,$B$7,$B$3,$B$4,$B$5,$F82,$B$6,O$10,$A82,$B82)</f>
        <v>0</v>
      </c>
      <c r="P82" s="4">
        <f ca="1">_xll.DBRW($B$1,$B$2,$B$7,$B$3,$B$4,$B$5,$F82,$B$6,P$10,$A82,$B82)</f>
        <v>0</v>
      </c>
      <c r="Q82" s="4">
        <f ca="1">_xll.DBRW($B$1,$B$2,$B$7,$B$3,$B$4,$B$5,$F82,$B$6,Q$10,$A82,$B82)</f>
        <v>398937.59999999998</v>
      </c>
      <c r="R82" s="4">
        <f ca="1">_xll.DBRW($B$1,$B$2,$B$7,$B$3,$B$4,$B$5,$F82,$B$6,R$10,$A82,$B82)</f>
        <v>1631211.52</v>
      </c>
      <c r="S82" s="4">
        <f ca="1">_xll.DBRW($B$1,$B$2,$B$7,$B$3,$B$4,$B$5,$F82,$B$6,S$10,$A82,$B82)</f>
        <v>0</v>
      </c>
      <c r="T82" s="4">
        <f ca="1">_xll.DBRW($B$1,$B$2,$B$7,$B$3,$B$4,$B$5,$F82,$B$6,T$10,$A82,$B82)</f>
        <v>0</v>
      </c>
      <c r="U82" s="4">
        <f ca="1">_xll.DBRW($B$1,$B$2,$B$7,$B$3,$B$4,$B$5,$F82,$B$6,U$10,$A82,$B82)</f>
        <v>0</v>
      </c>
      <c r="V82" s="4">
        <f ca="1">_xll.DBRW($B$1,$B$2,$B$7,$B$3,$B$4,$B$5,$F82,$B$6,V$10,$A82,$B82)</f>
        <v>0</v>
      </c>
      <c r="W82" s="4">
        <f ca="1">_xll.DBRW($B$1,$B$2,$B$7,$B$3,$B$4,$B$5,$F82,$B$6,W$10,$A82,$B82)</f>
        <v>0</v>
      </c>
      <c r="X82" s="4">
        <f ca="1">_xll.DBRW($B$1,$B$2,$B$7,$B$3,$B$4,$B$5,$F82,$B$6,X$10,$A82,$B82)</f>
        <v>0</v>
      </c>
      <c r="Y82" s="4">
        <f ca="1">_xll.DBRW($B$1,$B$2,$B$7,$B$3,$B$4,$B$5,$F82,$B$6,Y$10,$A82,$B82)</f>
        <v>0</v>
      </c>
      <c r="Z82" s="4">
        <f ca="1">_xll.DBRW($B$1,$B$2,$B$7,$B$3,$B$4,$B$5,$F82,$B$6,Z$10,$A82,$B82)</f>
        <v>0</v>
      </c>
      <c r="AA82" s="4">
        <f ca="1">_xll.DBRW($B$1,$B$2,$B$7,$B$3,$B$4,$B$5,$F82,$B$6,AA$10,$A82,$B82)</f>
        <v>0</v>
      </c>
      <c r="AB82" s="4">
        <f ca="1">_xll.DBRW($B$1,$B$2,$B$7,$B$3,$B$4,$B$5,$F82,$B$6,AB$10,$A82,$B82)</f>
        <v>0</v>
      </c>
      <c r="AC82" s="4">
        <f ca="1">_xll.DBRW($B$1,$B$2,$B$7,$B$3,$B$4,$B$5,$F82,$B$6,AC$10,$A82,$B82)</f>
        <v>0</v>
      </c>
      <c r="AD82" s="4">
        <f ca="1">_xll.DBRW($B$1,$B$2,$B$7,$B$3,$B$4,$B$5,$F82,$B$6,AD$10,$A82,$B82)</f>
        <v>0</v>
      </c>
      <c r="AE82" s="4">
        <f ca="1">_xll.DBRW($B$1,$B$2,$B$7,$B$3,$B$4,$B$5,$F82,$B$6,AE$10,$A82,$B82)</f>
        <v>0</v>
      </c>
    </row>
    <row r="83" spans="1:31">
      <c r="A83" s="1" t="s">
        <v>153</v>
      </c>
      <c r="B83" s="5" t="s">
        <v>230</v>
      </c>
      <c r="C83" s="5" t="s">
        <v>210</v>
      </c>
      <c r="D83" s="5" t="s">
        <v>21</v>
      </c>
      <c r="E83" s="5" t="s">
        <v>211</v>
      </c>
      <c r="F83" s="5" t="s">
        <v>22</v>
      </c>
      <c r="G83" s="6"/>
      <c r="H83" s="6"/>
      <c r="I83" s="6"/>
      <c r="J83" s="6"/>
      <c r="K83" s="6"/>
      <c r="L83" s="4">
        <f ca="1">_xll.DBRW($B$1,$B$2,$B$7,$B$3,$B$4,$B$5,$F83,$B$6,L$10,$A83,$B83)</f>
        <v>418899.89999999997</v>
      </c>
      <c r="M83" s="4">
        <f ca="1">_xll.DBRW($B$1,$B$2,$B$7,$B$3,$B$4,$B$5,$F83,$B$6,M$10,$A83,$B83)</f>
        <v>866507.93064607703</v>
      </c>
      <c r="N83" s="4">
        <f ca="1">_xll.DBRW($B$1,$B$2,$B$7,$B$3,$B$4,$B$5,$F83,$B$6,N$10,$A83,$B83)</f>
        <v>828791.2</v>
      </c>
      <c r="O83" s="4">
        <f ca="1">_xll.DBRW($B$1,$B$2,$B$7,$B$3,$B$4,$B$5,$F83,$B$6,O$10,$A83,$B83)</f>
        <v>990946</v>
      </c>
      <c r="P83" s="4">
        <f ca="1">_xll.DBRW($B$1,$B$2,$B$7,$B$3,$B$4,$B$5,$F83,$B$6,P$10,$A83,$B83)</f>
        <v>828791.20000000019</v>
      </c>
      <c r="Q83" s="4">
        <f ca="1">_xll.DBRW($B$1,$B$2,$B$7,$B$3,$B$4,$B$5,$F83,$B$6,Q$10,$A83,$B83)</f>
        <v>810773.99999999988</v>
      </c>
      <c r="R83" s="4">
        <f ca="1">_xll.DBRW($B$1,$B$2,$B$7,$B$3,$B$4,$B$5,$F83,$B$6,R$10,$A83,$B83)</f>
        <v>0</v>
      </c>
      <c r="S83" s="4">
        <f ca="1">_xll.DBRW($B$1,$B$2,$B$7,$B$3,$B$4,$B$5,$F83,$B$6,S$10,$A83,$B83)</f>
        <v>0</v>
      </c>
      <c r="T83" s="4">
        <f ca="1">_xll.DBRW($B$1,$B$2,$B$7,$B$3,$B$4,$B$5,$F83,$B$6,T$10,$A83,$B83)</f>
        <v>0</v>
      </c>
      <c r="U83" s="4">
        <f ca="1">_xll.DBRW($B$1,$B$2,$B$7,$B$3,$B$4,$B$5,$F83,$B$6,U$10,$A83,$B83)</f>
        <v>0</v>
      </c>
      <c r="V83" s="4">
        <f ca="1">_xll.DBRW($B$1,$B$2,$B$7,$B$3,$B$4,$B$5,$F83,$B$6,V$10,$A83,$B83)</f>
        <v>0</v>
      </c>
      <c r="W83" s="4">
        <f ca="1">_xll.DBRW($B$1,$B$2,$B$7,$B$3,$B$4,$B$5,$F83,$B$6,W$10,$A83,$B83)</f>
        <v>921103.53354961635</v>
      </c>
      <c r="X83" s="4">
        <f ca="1">_xll.DBRW($B$1,$B$2,$B$7,$B$3,$B$4,$B$5,$F83,$B$6,X$10,$A83,$B83)</f>
        <v>1151379.4169370204</v>
      </c>
      <c r="Y83" s="4">
        <f ca="1">_xll.DBRW($B$1,$B$2,$B$7,$B$3,$B$4,$B$5,$F83,$B$6,Y$10,$A83,$B83)</f>
        <v>921103.53354961658</v>
      </c>
      <c r="Z83" s="4">
        <f ca="1">_xll.DBRW($B$1,$B$2,$B$7,$B$3,$B$4,$B$5,$F83,$B$6,Z$10,$A83,$B83)</f>
        <v>1150731.7111011147</v>
      </c>
      <c r="AA83" s="4">
        <f ca="1">_xll.DBRW($B$1,$B$2,$B$7,$B$3,$B$4,$B$5,$F83,$B$6,AA$10,$A83,$B83)</f>
        <v>893558.39296099509</v>
      </c>
      <c r="AB83" s="4">
        <f ca="1">_xll.DBRW($B$1,$B$2,$B$7,$B$3,$B$4,$B$5,$F83,$B$6,AB$10,$A83,$B83)</f>
        <v>871659.49402675463</v>
      </c>
      <c r="AC83" s="4">
        <f ca="1">_xll.DBRW($B$1,$B$2,$B$7,$B$3,$B$4,$B$5,$F83,$B$6,AC$10,$A83,$B83)</f>
        <v>0</v>
      </c>
      <c r="AD83" s="4">
        <f ca="1">_xll.DBRW($B$1,$B$2,$B$7,$B$3,$B$4,$B$5,$F83,$B$6,AD$10,$A83,$B83)</f>
        <v>0</v>
      </c>
      <c r="AE83" s="4">
        <f ca="1">_xll.DBRW($B$1,$B$2,$B$7,$B$3,$B$4,$B$5,$F83,$B$6,AE$10,$A83,$B83)</f>
        <v>0</v>
      </c>
    </row>
    <row r="84" spans="1:31">
      <c r="A84" s="1" t="s">
        <v>153</v>
      </c>
      <c r="B84" s="5" t="s">
        <v>231</v>
      </c>
      <c r="C84" s="5" t="s">
        <v>213</v>
      </c>
      <c r="D84" s="5" t="s">
        <v>211</v>
      </c>
      <c r="E84" s="5" t="s">
        <v>21</v>
      </c>
      <c r="F84" s="5" t="s">
        <v>22</v>
      </c>
      <c r="G84" s="6"/>
      <c r="H84" s="6"/>
      <c r="I84" s="6"/>
      <c r="J84" s="6"/>
      <c r="K84" s="6"/>
      <c r="L84" s="4">
        <f ca="1">_xll.DBRW($B$1,$B$2,$B$7,$B$3,$B$4,$B$5,$F84,$B$6,L$10,$A84,$B84)</f>
        <v>418899.89999999997</v>
      </c>
      <c r="M84" s="4">
        <f ca="1">_xll.DBRW($B$1,$B$2,$B$7,$B$3,$B$4,$B$5,$F84,$B$6,M$10,$A84,$B84)</f>
        <v>866507.93064607703</v>
      </c>
      <c r="N84" s="4">
        <f ca="1">_xll.DBRW($B$1,$B$2,$B$7,$B$3,$B$4,$B$5,$F84,$B$6,N$10,$A84,$B84)</f>
        <v>828791.2</v>
      </c>
      <c r="O84" s="4">
        <f ca="1">_xll.DBRW($B$1,$B$2,$B$7,$B$3,$B$4,$B$5,$F84,$B$6,O$10,$A84,$B84)</f>
        <v>990946</v>
      </c>
      <c r="P84" s="4">
        <f ca="1">_xll.DBRW($B$1,$B$2,$B$7,$B$3,$B$4,$B$5,$F84,$B$6,P$10,$A84,$B84)</f>
        <v>828791.20000000019</v>
      </c>
      <c r="Q84" s="4">
        <f ca="1">_xll.DBRW($B$1,$B$2,$B$7,$B$3,$B$4,$B$5,$F84,$B$6,Q$10,$A84,$B84)</f>
        <v>810773.99999999988</v>
      </c>
      <c r="R84" s="4">
        <f ca="1">_xll.DBRW($B$1,$B$2,$B$7,$B$3,$B$4,$B$5,$F84,$B$6,R$10,$A84,$B84)</f>
        <v>0</v>
      </c>
      <c r="S84" s="4">
        <f ca="1">_xll.DBRW($B$1,$B$2,$B$7,$B$3,$B$4,$B$5,$F84,$B$6,S$10,$A84,$B84)</f>
        <v>0</v>
      </c>
      <c r="T84" s="4">
        <f ca="1">_xll.DBRW($B$1,$B$2,$B$7,$B$3,$B$4,$B$5,$F84,$B$6,T$10,$A84,$B84)</f>
        <v>0</v>
      </c>
      <c r="U84" s="4">
        <f ca="1">_xll.DBRW($B$1,$B$2,$B$7,$B$3,$B$4,$B$5,$F84,$B$6,U$10,$A84,$B84)</f>
        <v>0</v>
      </c>
      <c r="V84" s="4">
        <f ca="1">_xll.DBRW($B$1,$B$2,$B$7,$B$3,$B$4,$B$5,$F84,$B$6,V$10,$A84,$B84)</f>
        <v>0</v>
      </c>
      <c r="W84" s="4">
        <f ca="1">_xll.DBRW($B$1,$B$2,$B$7,$B$3,$B$4,$B$5,$F84,$B$6,W$10,$A84,$B84)</f>
        <v>921103.53354961635</v>
      </c>
      <c r="X84" s="4">
        <f ca="1">_xll.DBRW($B$1,$B$2,$B$7,$B$3,$B$4,$B$5,$F84,$B$6,X$10,$A84,$B84)</f>
        <v>1151379.4169370204</v>
      </c>
      <c r="Y84" s="4">
        <f ca="1">_xll.DBRW($B$1,$B$2,$B$7,$B$3,$B$4,$B$5,$F84,$B$6,Y$10,$A84,$B84)</f>
        <v>921103.53354961658</v>
      </c>
      <c r="Z84" s="4">
        <f ca="1">_xll.DBRW($B$1,$B$2,$B$7,$B$3,$B$4,$B$5,$F84,$B$6,Z$10,$A84,$B84)</f>
        <v>1150731.7111011147</v>
      </c>
      <c r="AA84" s="4">
        <f ca="1">_xll.DBRW($B$1,$B$2,$B$7,$B$3,$B$4,$B$5,$F84,$B$6,AA$10,$A84,$B84)</f>
        <v>893558.39296099509</v>
      </c>
      <c r="AB84" s="4">
        <f ca="1">_xll.DBRW($B$1,$B$2,$B$7,$B$3,$B$4,$B$5,$F84,$B$6,AB$10,$A84,$B84)</f>
        <v>871659.49402675463</v>
      </c>
      <c r="AC84" s="4">
        <f ca="1">_xll.DBRW($B$1,$B$2,$B$7,$B$3,$B$4,$B$5,$F84,$B$6,AC$10,$A84,$B84)</f>
        <v>0</v>
      </c>
      <c r="AD84" s="4">
        <f ca="1">_xll.DBRW($B$1,$B$2,$B$7,$B$3,$B$4,$B$5,$F84,$B$6,AD$10,$A84,$B84)</f>
        <v>0</v>
      </c>
      <c r="AE84" s="4">
        <f ca="1">_xll.DBRW($B$1,$B$2,$B$7,$B$3,$B$4,$B$5,$F84,$B$6,AE$10,$A84,$B84)</f>
        <v>0</v>
      </c>
    </row>
    <row r="85" spans="1:31">
      <c r="A85" s="1" t="s">
        <v>153</v>
      </c>
      <c r="B85" s="5" t="s">
        <v>232</v>
      </c>
      <c r="C85" s="5" t="s">
        <v>233</v>
      </c>
      <c r="D85" s="5" t="s">
        <v>21</v>
      </c>
      <c r="E85" s="5" t="s">
        <v>234</v>
      </c>
      <c r="F85" s="5" t="s">
        <v>22</v>
      </c>
      <c r="G85" s="6"/>
      <c r="H85" s="6"/>
      <c r="I85" s="6"/>
      <c r="J85" s="6"/>
      <c r="K85" s="6"/>
      <c r="L85" s="4">
        <f ca="1">_xll.DBRW($B$1,$B$2,$B$7,$B$3,$B$4,$B$5,$F85,$B$6,L$10,$A85,$B85)</f>
        <v>1620937.92</v>
      </c>
      <c r="M85" s="4">
        <f ca="1">_xll.DBRW($B$1,$B$2,$B$7,$B$3,$B$4,$B$5,$F85,$B$6,M$10,$A85,$B85)</f>
        <v>1886041.2811158178</v>
      </c>
      <c r="N85" s="4">
        <f ca="1">_xll.DBRW($B$1,$B$2,$B$7,$B$3,$B$4,$B$5,$F85,$B$6,N$10,$A85,$B85)</f>
        <v>1803947.0399999998</v>
      </c>
      <c r="O85" s="4">
        <f ca="1">_xll.DBRW($B$1,$B$2,$B$7,$B$3,$B$4,$B$5,$F85,$B$6,O$10,$A85,$B85)</f>
        <v>1725514.56</v>
      </c>
      <c r="P85" s="4">
        <f ca="1">_xll.DBRW($B$1,$B$2,$B$7,$B$3,$B$4,$B$5,$F85,$B$6,P$10,$A85,$B85)</f>
        <v>1603508.4800000002</v>
      </c>
      <c r="Q85" s="4">
        <f ca="1">_xll.DBRW($B$1,$B$2,$B$7,$B$3,$B$4,$B$5,$F85,$B$6,Q$10,$A85,$B85)</f>
        <v>1771055.9999999998</v>
      </c>
      <c r="R85" s="4">
        <f ca="1">_xll.DBRW($B$1,$B$2,$B$7,$B$3,$B$4,$B$5,$F85,$B$6,R$10,$A85,$B85)</f>
        <v>2896660.48</v>
      </c>
      <c r="S85" s="4">
        <f ca="1">_xll.DBRW($B$1,$B$2,$B$7,$B$3,$B$4,$B$5,$F85,$B$6,S$10,$A85,$B85)</f>
        <v>2485100.7999999998</v>
      </c>
      <c r="T85" s="4">
        <f ca="1">_xll.DBRW($B$1,$B$2,$B$7,$B$3,$B$4,$B$5,$F85,$B$6,T$10,$A85,$B85)</f>
        <v>2718205.8103004755</v>
      </c>
      <c r="U85" s="4">
        <f ca="1">_xll.DBRW($B$1,$B$2,$B$7,$B$3,$B$4,$B$5,$F85,$B$6,U$10,$A85,$B85)</f>
        <v>2538123.9781252737</v>
      </c>
      <c r="V85" s="4">
        <f ca="1">_xll.DBRW($B$1,$B$2,$B$7,$B$3,$B$4,$B$5,$F85,$B$6,V$10,$A85,$B85)</f>
        <v>2770113.7396823196</v>
      </c>
      <c r="W85" s="4">
        <f ca="1">_xll.DBRW($B$1,$B$2,$B$7,$B$3,$B$4,$B$5,$F85,$B$6,W$10,$A85,$B85)</f>
        <v>1970067.23628015</v>
      </c>
      <c r="X85" s="4">
        <f ca="1">_xll.DBRW($B$1,$B$2,$B$7,$B$3,$B$4,$B$5,$F85,$B$6,X$10,$A85,$B85)</f>
        <v>1977028.6046062277</v>
      </c>
      <c r="Y85" s="4">
        <f ca="1">_xll.DBRW($B$1,$B$2,$B$7,$B$3,$B$4,$B$5,$F85,$B$6,Y$10,$A85,$B85)</f>
        <v>1754264.818171724</v>
      </c>
      <c r="Z85" s="4">
        <f ca="1">_xll.DBRW($B$1,$B$2,$B$7,$B$3,$B$4,$B$5,$F85,$B$6,Z$10,$A85,$B85)</f>
        <v>1968958.979499375</v>
      </c>
      <c r="AA85" s="4">
        <f ca="1">_xll.DBRW($B$1,$B$2,$B$7,$B$3,$B$4,$B$5,$F85,$B$6,AA$10,$A85,$B85)</f>
        <v>1917906.5527650595</v>
      </c>
      <c r="AB85" s="4">
        <f ca="1">_xll.DBRW($B$1,$B$2,$B$7,$B$3,$B$4,$B$5,$F85,$B$6,AB$10,$A85,$B85)</f>
        <v>1864315.7341466676</v>
      </c>
      <c r="AC85" s="4">
        <f ca="1">_xll.DBRW($B$1,$B$2,$B$7,$B$3,$B$4,$B$5,$F85,$B$6,AC$10,$A85,$B85)</f>
        <v>2520633.1960347123</v>
      </c>
      <c r="AD85" s="4">
        <f ca="1">_xll.DBRW($B$1,$B$2,$B$7,$B$3,$B$4,$B$5,$F85,$B$6,AD$10,$A85,$B85)</f>
        <v>2401941.2651155624</v>
      </c>
      <c r="AE85" s="4">
        <f ca="1">_xll.DBRW($B$1,$B$2,$B$7,$B$3,$B$4,$B$5,$F85,$B$6,AE$10,$A85,$B85)</f>
        <v>2332485.7058497178</v>
      </c>
    </row>
    <row r="86" spans="1:31">
      <c r="A86" s="1" t="s">
        <v>153</v>
      </c>
      <c r="B86" s="5" t="s">
        <v>235</v>
      </c>
      <c r="C86" s="5" t="s">
        <v>236</v>
      </c>
      <c r="D86" s="5" t="s">
        <v>234</v>
      </c>
      <c r="E86" s="5" t="s">
        <v>21</v>
      </c>
      <c r="F86" s="5" t="s">
        <v>22</v>
      </c>
      <c r="G86" s="6"/>
      <c r="H86" s="6"/>
      <c r="I86" s="6"/>
      <c r="J86" s="6"/>
      <c r="K86" s="6"/>
      <c r="L86" s="4">
        <f ca="1">_xll.DBRW($B$1,$B$2,$B$7,$B$3,$B$4,$B$5,$F86,$B$6,L$10,$A86,$B86)</f>
        <v>1620937.92</v>
      </c>
      <c r="M86" s="4">
        <f ca="1">_xll.DBRW($B$1,$B$2,$B$7,$B$3,$B$4,$B$5,$F86,$B$6,M$10,$A86,$B86)</f>
        <v>1886041.2811158178</v>
      </c>
      <c r="N86" s="4">
        <f ca="1">_xll.DBRW($B$1,$B$2,$B$7,$B$3,$B$4,$B$5,$F86,$B$6,N$10,$A86,$B86)</f>
        <v>1803947.0399999998</v>
      </c>
      <c r="O86" s="4">
        <f ca="1">_xll.DBRW($B$1,$B$2,$B$7,$B$3,$B$4,$B$5,$F86,$B$6,O$10,$A86,$B86)</f>
        <v>1725514.56</v>
      </c>
      <c r="P86" s="4">
        <f ca="1">_xll.DBRW($B$1,$B$2,$B$7,$B$3,$B$4,$B$5,$F86,$B$6,P$10,$A86,$B86)</f>
        <v>1603508.4800000002</v>
      </c>
      <c r="Q86" s="4">
        <f ca="1">_xll.DBRW($B$1,$B$2,$B$7,$B$3,$B$4,$B$5,$F86,$B$6,Q$10,$A86,$B86)</f>
        <v>1771055.9999999998</v>
      </c>
      <c r="R86" s="4">
        <f ca="1">_xll.DBRW($B$1,$B$2,$B$7,$B$3,$B$4,$B$5,$F86,$B$6,R$10,$A86,$B86)</f>
        <v>2896660.48</v>
      </c>
      <c r="S86" s="4">
        <f ca="1">_xll.DBRW($B$1,$B$2,$B$7,$B$3,$B$4,$B$5,$F86,$B$6,S$10,$A86,$B86)</f>
        <v>2485100.7999999998</v>
      </c>
      <c r="T86" s="4">
        <f ca="1">_xll.DBRW($B$1,$B$2,$B$7,$B$3,$B$4,$B$5,$F86,$B$6,T$10,$A86,$B86)</f>
        <v>2718205.8103004755</v>
      </c>
      <c r="U86" s="4">
        <f ca="1">_xll.DBRW($B$1,$B$2,$B$7,$B$3,$B$4,$B$5,$F86,$B$6,U$10,$A86,$B86)</f>
        <v>2538123.9781252737</v>
      </c>
      <c r="V86" s="4">
        <f ca="1">_xll.DBRW($B$1,$B$2,$B$7,$B$3,$B$4,$B$5,$F86,$B$6,V$10,$A86,$B86)</f>
        <v>2770113.7396823196</v>
      </c>
      <c r="W86" s="4">
        <f ca="1">_xll.DBRW($B$1,$B$2,$B$7,$B$3,$B$4,$B$5,$F86,$B$6,W$10,$A86,$B86)</f>
        <v>1970067.23628015</v>
      </c>
      <c r="X86" s="4">
        <f ca="1">_xll.DBRW($B$1,$B$2,$B$7,$B$3,$B$4,$B$5,$F86,$B$6,X$10,$A86,$B86)</f>
        <v>1977028.6046062277</v>
      </c>
      <c r="Y86" s="4">
        <f ca="1">_xll.DBRW($B$1,$B$2,$B$7,$B$3,$B$4,$B$5,$F86,$B$6,Y$10,$A86,$B86)</f>
        <v>1754264.818171724</v>
      </c>
      <c r="Z86" s="4">
        <f ca="1">_xll.DBRW($B$1,$B$2,$B$7,$B$3,$B$4,$B$5,$F86,$B$6,Z$10,$A86,$B86)</f>
        <v>1968958.979499375</v>
      </c>
      <c r="AA86" s="4">
        <f ca="1">_xll.DBRW($B$1,$B$2,$B$7,$B$3,$B$4,$B$5,$F86,$B$6,AA$10,$A86,$B86)</f>
        <v>1917906.5527650595</v>
      </c>
      <c r="AB86" s="4">
        <f ca="1">_xll.DBRW($B$1,$B$2,$B$7,$B$3,$B$4,$B$5,$F86,$B$6,AB$10,$A86,$B86)</f>
        <v>1864315.7341466676</v>
      </c>
      <c r="AC86" s="4">
        <f ca="1">_xll.DBRW($B$1,$B$2,$B$7,$B$3,$B$4,$B$5,$F86,$B$6,AC$10,$A86,$B86)</f>
        <v>2520633.1960347123</v>
      </c>
      <c r="AD86" s="4">
        <f ca="1">_xll.DBRW($B$1,$B$2,$B$7,$B$3,$B$4,$B$5,$F86,$B$6,AD$10,$A86,$B86)</f>
        <v>2401941.2651155624</v>
      </c>
      <c r="AE86" s="4">
        <f ca="1">_xll.DBRW($B$1,$B$2,$B$7,$B$3,$B$4,$B$5,$F86,$B$6,AE$10,$A86,$B86)</f>
        <v>2332485.7058497178</v>
      </c>
    </row>
    <row r="87" spans="1:31">
      <c r="A87" s="1" t="s">
        <v>153</v>
      </c>
      <c r="B87" s="5" t="s">
        <v>237</v>
      </c>
      <c r="C87" s="5" t="s">
        <v>238</v>
      </c>
      <c r="D87" s="5" t="s">
        <v>21</v>
      </c>
      <c r="E87" s="5" t="s">
        <v>239</v>
      </c>
      <c r="F87" s="5" t="s">
        <v>22</v>
      </c>
      <c r="G87" s="6"/>
      <c r="H87" s="6"/>
      <c r="I87" s="6"/>
      <c r="J87" s="6"/>
      <c r="K87" s="6"/>
      <c r="L87" s="4">
        <f ca="1">_xll.DBRW($B$1,$B$2,$B$7,$B$3,$B$4,$B$5,$F87,$B$6,L$10,$A87,$B87)</f>
        <v>0</v>
      </c>
      <c r="M87" s="4">
        <f ca="1">_xll.DBRW($B$1,$B$2,$B$7,$B$3,$B$4,$B$5,$F87,$B$6,M$10,$A87,$B87)</f>
        <v>0</v>
      </c>
      <c r="N87" s="4">
        <f ca="1">_xll.DBRW($B$1,$B$2,$B$7,$B$3,$B$4,$B$5,$F87,$B$6,N$10,$A87,$B87)</f>
        <v>0</v>
      </c>
      <c r="O87" s="4">
        <f ca="1">_xll.DBRW($B$1,$B$2,$B$7,$B$3,$B$4,$B$5,$F87,$B$6,O$10,$A87,$B87)</f>
        <v>0</v>
      </c>
      <c r="P87" s="4">
        <f ca="1">_xll.DBRW($B$1,$B$2,$B$7,$B$3,$B$4,$B$5,$F87,$B$6,P$10,$A87,$B87)</f>
        <v>0</v>
      </c>
      <c r="Q87" s="4">
        <f ca="1">_xll.DBRW($B$1,$B$2,$B$7,$B$3,$B$4,$B$5,$F87,$B$6,Q$10,$A87,$B87)</f>
        <v>0</v>
      </c>
      <c r="R87" s="4">
        <f ca="1">_xll.DBRW($B$1,$B$2,$B$7,$B$3,$B$4,$B$5,$F87,$B$6,R$10,$A87,$B87)</f>
        <v>0</v>
      </c>
      <c r="S87" s="4">
        <f ca="1">_xll.DBRW($B$1,$B$2,$B$7,$B$3,$B$4,$B$5,$F87,$B$6,S$10,$A87,$B87)</f>
        <v>0</v>
      </c>
      <c r="T87" s="4">
        <f ca="1">_xll.DBRW($B$1,$B$2,$B$7,$B$3,$B$4,$B$5,$F87,$B$6,T$10,$A87,$B87)</f>
        <v>0</v>
      </c>
      <c r="U87" s="4">
        <f ca="1">_xll.DBRW($B$1,$B$2,$B$7,$B$3,$B$4,$B$5,$F87,$B$6,U$10,$A87,$B87)</f>
        <v>0</v>
      </c>
      <c r="V87" s="4">
        <f ca="1">_xll.DBRW($B$1,$B$2,$B$7,$B$3,$B$4,$B$5,$F87,$B$6,V$10,$A87,$B87)</f>
        <v>449610.25066043105</v>
      </c>
      <c r="W87" s="4">
        <f ca="1">_xll.DBRW($B$1,$B$2,$B$7,$B$3,$B$4,$B$5,$F87,$B$6,W$10,$A87,$B87)</f>
        <v>7489759.2980248397</v>
      </c>
      <c r="X87" s="4">
        <f ca="1">_xll.DBRW($B$1,$B$2,$B$7,$B$3,$B$4,$B$5,$F87,$B$6,X$10,$A87,$B87)</f>
        <v>8444565.4799919985</v>
      </c>
      <c r="Y87" s="4">
        <f ca="1">_xll.DBRW($B$1,$B$2,$B$7,$B$3,$B$4,$B$5,$F87,$B$6,Y$10,$A87,$B87)</f>
        <v>8269924.7323659137</v>
      </c>
      <c r="Z87" s="4">
        <f ca="1">_xll.DBRW($B$1,$B$2,$B$7,$B$3,$B$4,$B$5,$F87,$B$6,Z$10,$A87,$B87)</f>
        <v>8031992.9043762386</v>
      </c>
      <c r="AA87" s="4">
        <f ca="1">_xll.DBRW($B$1,$B$2,$B$7,$B$3,$B$4,$B$5,$F87,$B$6,AA$10,$A87,$B87)</f>
        <v>6679499.3482223302</v>
      </c>
      <c r="AB87" s="4">
        <f ca="1">_xll.DBRW($B$1,$B$2,$B$7,$B$3,$B$4,$B$5,$F87,$B$6,AB$10,$A87,$B87)</f>
        <v>7804617.3162579164</v>
      </c>
      <c r="AC87" s="4">
        <f ca="1">_xll.DBRW($B$1,$B$2,$B$7,$B$3,$B$4,$B$5,$F87,$B$6,AC$10,$A87,$B87)</f>
        <v>8433238.1009275969</v>
      </c>
      <c r="AD87" s="4">
        <f ca="1">_xll.DBRW($B$1,$B$2,$B$7,$B$3,$B$4,$B$5,$F87,$B$6,AD$10,$A87,$B87)</f>
        <v>7579023.2846973473</v>
      </c>
      <c r="AE87" s="4">
        <f ca="1">_xll.DBRW($B$1,$B$2,$B$7,$B$3,$B$4,$B$5,$F87,$B$6,AE$10,$A87,$B87)</f>
        <v>6620756.948441348</v>
      </c>
    </row>
    <row r="88" spans="1:31">
      <c r="A88" s="1" t="s">
        <v>153</v>
      </c>
      <c r="B88" s="5" t="s">
        <v>240</v>
      </c>
      <c r="C88" s="5" t="s">
        <v>241</v>
      </c>
      <c r="D88" s="5" t="s">
        <v>239</v>
      </c>
      <c r="E88" s="5" t="s">
        <v>21</v>
      </c>
      <c r="F88" s="5" t="s">
        <v>22</v>
      </c>
      <c r="G88" s="6"/>
      <c r="H88" s="6"/>
      <c r="I88" s="6"/>
      <c r="J88" s="6"/>
      <c r="K88" s="6"/>
      <c r="L88" s="4">
        <f ca="1">_xll.DBRW($B$1,$B$2,$B$7,$B$3,$B$4,$B$5,$F88,$B$6,L$10,$A88,$B88)</f>
        <v>0</v>
      </c>
      <c r="M88" s="4">
        <f ca="1">_xll.DBRW($B$1,$B$2,$B$7,$B$3,$B$4,$B$5,$F88,$B$6,M$10,$A88,$B88)</f>
        <v>0</v>
      </c>
      <c r="N88" s="4">
        <f ca="1">_xll.DBRW($B$1,$B$2,$B$7,$B$3,$B$4,$B$5,$F88,$B$6,N$10,$A88,$B88)</f>
        <v>0</v>
      </c>
      <c r="O88" s="4">
        <f ca="1">_xll.DBRW($B$1,$B$2,$B$7,$B$3,$B$4,$B$5,$F88,$B$6,O$10,$A88,$B88)</f>
        <v>0</v>
      </c>
      <c r="P88" s="4">
        <f ca="1">_xll.DBRW($B$1,$B$2,$B$7,$B$3,$B$4,$B$5,$F88,$B$6,P$10,$A88,$B88)</f>
        <v>0</v>
      </c>
      <c r="Q88" s="4">
        <f ca="1">_xll.DBRW($B$1,$B$2,$B$7,$B$3,$B$4,$B$5,$F88,$B$6,Q$10,$A88,$B88)</f>
        <v>0</v>
      </c>
      <c r="R88" s="4">
        <f ca="1">_xll.DBRW($B$1,$B$2,$B$7,$B$3,$B$4,$B$5,$F88,$B$6,R$10,$A88,$B88)</f>
        <v>0</v>
      </c>
      <c r="S88" s="4">
        <f ca="1">_xll.DBRW($B$1,$B$2,$B$7,$B$3,$B$4,$B$5,$F88,$B$6,S$10,$A88,$B88)</f>
        <v>0</v>
      </c>
      <c r="T88" s="4">
        <f ca="1">_xll.DBRW($B$1,$B$2,$B$7,$B$3,$B$4,$B$5,$F88,$B$6,T$10,$A88,$B88)</f>
        <v>0</v>
      </c>
      <c r="U88" s="4">
        <f ca="1">_xll.DBRW($B$1,$B$2,$B$7,$B$3,$B$4,$B$5,$F88,$B$6,U$10,$A88,$B88)</f>
        <v>0</v>
      </c>
      <c r="V88" s="4">
        <f ca="1">_xll.DBRW($B$1,$B$2,$B$7,$B$3,$B$4,$B$5,$F88,$B$6,V$10,$A88,$B88)</f>
        <v>449610.25066043105</v>
      </c>
      <c r="W88" s="4">
        <f ca="1">_xll.DBRW($B$1,$B$2,$B$7,$B$3,$B$4,$B$5,$F88,$B$6,W$10,$A88,$B88)</f>
        <v>7489759.2980248397</v>
      </c>
      <c r="X88" s="4">
        <f ca="1">_xll.DBRW($B$1,$B$2,$B$7,$B$3,$B$4,$B$5,$F88,$B$6,X$10,$A88,$B88)</f>
        <v>8444565.4799919985</v>
      </c>
      <c r="Y88" s="4">
        <f ca="1">_xll.DBRW($B$1,$B$2,$B$7,$B$3,$B$4,$B$5,$F88,$B$6,Y$10,$A88,$B88)</f>
        <v>8269924.7323659137</v>
      </c>
      <c r="Z88" s="4">
        <f ca="1">_xll.DBRW($B$1,$B$2,$B$7,$B$3,$B$4,$B$5,$F88,$B$6,Z$10,$A88,$B88)</f>
        <v>8031992.9043762386</v>
      </c>
      <c r="AA88" s="4">
        <f ca="1">_xll.DBRW($B$1,$B$2,$B$7,$B$3,$B$4,$B$5,$F88,$B$6,AA$10,$A88,$B88)</f>
        <v>6679499.3482223302</v>
      </c>
      <c r="AB88" s="4">
        <f ca="1">_xll.DBRW($B$1,$B$2,$B$7,$B$3,$B$4,$B$5,$F88,$B$6,AB$10,$A88,$B88)</f>
        <v>7804617.3162579164</v>
      </c>
      <c r="AC88" s="4">
        <f ca="1">_xll.DBRW($B$1,$B$2,$B$7,$B$3,$B$4,$B$5,$F88,$B$6,AC$10,$A88,$B88)</f>
        <v>8161198.1621879963</v>
      </c>
      <c r="AD88" s="4">
        <f ca="1">_xll.DBRW($B$1,$B$2,$B$7,$B$3,$B$4,$B$5,$F88,$B$6,AD$10,$A88,$B88)</f>
        <v>7579023.2846973473</v>
      </c>
      <c r="AE88" s="4">
        <f ca="1">_xll.DBRW($B$1,$B$2,$B$7,$B$3,$B$4,$B$5,$F88,$B$6,AE$10,$A88,$B88)</f>
        <v>6407184.1436529178</v>
      </c>
    </row>
    <row r="89" spans="1:31">
      <c r="A89" s="1" t="s">
        <v>153</v>
      </c>
      <c r="B89" s="5" t="s">
        <v>242</v>
      </c>
      <c r="C89" s="5" t="s">
        <v>243</v>
      </c>
      <c r="D89" s="5" t="s">
        <v>21</v>
      </c>
      <c r="E89" s="5" t="s">
        <v>244</v>
      </c>
      <c r="F89" s="5" t="s">
        <v>22</v>
      </c>
      <c r="G89" s="6"/>
      <c r="H89" s="6"/>
      <c r="I89" s="6"/>
      <c r="J89" s="6"/>
      <c r="K89" s="6"/>
      <c r="L89" s="4">
        <f ca="1">_xll.DBRW($B$1,$B$2,$B$7,$B$3,$B$4,$B$5,$F89,$B$6,L$10,$A89,$B89)</f>
        <v>2598044.2799999998</v>
      </c>
      <c r="M89" s="4">
        <f ca="1">_xll.DBRW($B$1,$B$2,$B$7,$B$3,$B$4,$B$5,$F89,$B$6,M$10,$A89,$B89)</f>
        <v>2687069.121751613</v>
      </c>
      <c r="N89" s="4">
        <f ca="1">_xll.DBRW($B$1,$B$2,$B$7,$B$3,$B$4,$B$5,$F89,$B$6,N$10,$A89,$B89)</f>
        <v>2570108.3199999998</v>
      </c>
      <c r="O89" s="4">
        <f ca="1">_xll.DBRW($B$1,$B$2,$B$7,$B$3,$B$4,$B$5,$F89,$B$6,O$10,$A89,$B89)</f>
        <v>2080154.56</v>
      </c>
      <c r="P89" s="4">
        <f ca="1">_xll.DBRW($B$1,$B$2,$B$7,$B$3,$B$4,$B$5,$F89,$B$6,P$10,$A89,$B89)</f>
        <v>2570108.3200000003</v>
      </c>
      <c r="Q89" s="4">
        <f ca="1">_xll.DBRW($B$1,$B$2,$B$7,$B$3,$B$4,$B$5,$F89,$B$6,Q$10,$A89,$B89)</f>
        <v>2133669.5999999996</v>
      </c>
      <c r="R89" s="4">
        <f ca="1">_xll.DBRW($B$1,$B$2,$B$7,$B$3,$B$4,$B$5,$F89,$B$6,R$10,$A89,$B89)</f>
        <v>1409414.24</v>
      </c>
      <c r="S89" s="4">
        <f ca="1">_xll.DBRW($B$1,$B$2,$B$7,$B$3,$B$4,$B$5,$F89,$B$6,S$10,$A89,$B89)</f>
        <v>2451155.1999999997</v>
      </c>
      <c r="T89" s="4">
        <f ca="1">_xll.DBRW($B$1,$B$2,$B$7,$B$3,$B$4,$B$5,$F89,$B$6,T$10,$A89,$B89)</f>
        <v>2681076.0781165194</v>
      </c>
      <c r="U89" s="4">
        <f ca="1">_xll.DBRW($B$1,$B$2,$B$7,$B$3,$B$4,$B$5,$F89,$B$6,U$10,$A89,$B89)</f>
        <v>2503454.100222595</v>
      </c>
      <c r="V89" s="4">
        <f ca="1">_xll.DBRW($B$1,$B$2,$B$7,$B$3,$B$4,$B$5,$F89,$B$6,V$10,$A89,$B89)</f>
        <v>2732274.9634999773</v>
      </c>
      <c r="W89" s="4">
        <f ca="1">_xll.DBRW($B$1,$B$2,$B$7,$B$3,$B$4,$B$5,$F89,$B$6,W$10,$A89,$B89)</f>
        <v>1915691.699053572</v>
      </c>
      <c r="X89" s="4">
        <f ca="1">_xll.DBRW($B$1,$B$2,$B$7,$B$3,$B$4,$B$5,$F89,$B$6,X$10,$A89,$B89)</f>
        <v>1702837.0658253967</v>
      </c>
      <c r="Y89" s="4">
        <f ca="1">_xll.DBRW($B$1,$B$2,$B$7,$B$3,$B$4,$B$5,$F89,$B$6,Y$10,$A89,$B89)</f>
        <v>1915691.699053572</v>
      </c>
      <c r="Z89" s="4">
        <f ca="1">_xll.DBRW($B$1,$B$2,$B$7,$B$3,$B$4,$B$5,$F89,$B$6,Z$10,$A89,$B89)</f>
        <v>1914614.0311058729</v>
      </c>
      <c r="AA89" s="4">
        <f ca="1">_xll.DBRW($B$1,$B$2,$B$7,$B$3,$B$4,$B$5,$F89,$B$6,AA$10,$A89,$B89)</f>
        <v>1858403.8967024772</v>
      </c>
      <c r="AB89" s="4">
        <f ca="1">_xll.DBRW($B$1,$B$2,$B$7,$B$3,$B$4,$B$5,$F89,$B$6,AB$10,$A89,$B89)</f>
        <v>1611430.247680638</v>
      </c>
      <c r="AC89" s="4">
        <f ca="1">_xll.DBRW($B$1,$B$2,$B$7,$B$3,$B$4,$B$5,$F89,$B$6,AC$10,$A89,$B89)</f>
        <v>2486202.2360433447</v>
      </c>
      <c r="AD89" s="4">
        <f ca="1">_xll.DBRW($B$1,$B$2,$B$7,$B$3,$B$4,$B$5,$F89,$B$6,AD$10,$A89,$B89)</f>
        <v>2369131.5950172278</v>
      </c>
      <c r="AE89" s="4">
        <f ca="1">_xll.DBRW($B$1,$B$2,$B$7,$B$3,$B$4,$B$5,$F89,$B$6,AE$10,$A89,$B89)</f>
        <v>2477595.9106574082</v>
      </c>
    </row>
    <row r="90" spans="1:31">
      <c r="A90" s="1" t="s">
        <v>153</v>
      </c>
      <c r="B90" s="5" t="s">
        <v>245</v>
      </c>
      <c r="C90" s="5" t="s">
        <v>246</v>
      </c>
      <c r="D90" s="5" t="s">
        <v>244</v>
      </c>
      <c r="E90" s="5" t="s">
        <v>21</v>
      </c>
      <c r="F90" s="5" t="s">
        <v>22</v>
      </c>
      <c r="G90" s="6"/>
      <c r="H90" s="6"/>
      <c r="I90" s="6"/>
      <c r="J90" s="6"/>
      <c r="K90" s="6"/>
      <c r="L90" s="4">
        <f ca="1">_xll.DBRW($B$1,$B$2,$B$7,$B$3,$B$4,$B$5,$F90,$B$6,L$10,$A90,$B90)</f>
        <v>2598044.2799999998</v>
      </c>
      <c r="M90" s="4">
        <f ca="1">_xll.DBRW($B$1,$B$2,$B$7,$B$3,$B$4,$B$5,$F90,$B$6,M$10,$A90,$B90)</f>
        <v>2687069.121751613</v>
      </c>
      <c r="N90" s="4">
        <f ca="1">_xll.DBRW($B$1,$B$2,$B$7,$B$3,$B$4,$B$5,$F90,$B$6,N$10,$A90,$B90)</f>
        <v>2570108.3199999998</v>
      </c>
      <c r="O90" s="4">
        <f ca="1">_xll.DBRW($B$1,$B$2,$B$7,$B$3,$B$4,$B$5,$F90,$B$6,O$10,$A90,$B90)</f>
        <v>2080154.56</v>
      </c>
      <c r="P90" s="4">
        <f ca="1">_xll.DBRW($B$1,$B$2,$B$7,$B$3,$B$4,$B$5,$F90,$B$6,P$10,$A90,$B90)</f>
        <v>2570108.3200000003</v>
      </c>
      <c r="Q90" s="4">
        <f ca="1">_xll.DBRW($B$1,$B$2,$B$7,$B$3,$B$4,$B$5,$F90,$B$6,Q$10,$A90,$B90)</f>
        <v>2133669.5999999996</v>
      </c>
      <c r="R90" s="4">
        <f ca="1">_xll.DBRW($B$1,$B$2,$B$7,$B$3,$B$4,$B$5,$F90,$B$6,R$10,$A90,$B90)</f>
        <v>1409414.24</v>
      </c>
      <c r="S90" s="4">
        <f ca="1">_xll.DBRW($B$1,$B$2,$B$7,$B$3,$B$4,$B$5,$F90,$B$6,S$10,$A90,$B90)</f>
        <v>2451155.1999999997</v>
      </c>
      <c r="T90" s="4">
        <f ca="1">_xll.DBRW($B$1,$B$2,$B$7,$B$3,$B$4,$B$5,$F90,$B$6,T$10,$A90,$B90)</f>
        <v>2681076.0781165194</v>
      </c>
      <c r="U90" s="4">
        <f ca="1">_xll.DBRW($B$1,$B$2,$B$7,$B$3,$B$4,$B$5,$F90,$B$6,U$10,$A90,$B90)</f>
        <v>2503454.100222595</v>
      </c>
      <c r="V90" s="4">
        <f ca="1">_xll.DBRW($B$1,$B$2,$B$7,$B$3,$B$4,$B$5,$F90,$B$6,V$10,$A90,$B90)</f>
        <v>2732274.9634999773</v>
      </c>
      <c r="W90" s="4">
        <f ca="1">_xll.DBRW($B$1,$B$2,$B$7,$B$3,$B$4,$B$5,$F90,$B$6,W$10,$A90,$B90)</f>
        <v>1915691.699053572</v>
      </c>
      <c r="X90" s="4">
        <f ca="1">_xll.DBRW($B$1,$B$2,$B$7,$B$3,$B$4,$B$5,$F90,$B$6,X$10,$A90,$B90)</f>
        <v>1702837.0658253967</v>
      </c>
      <c r="Y90" s="4">
        <f ca="1">_xll.DBRW($B$1,$B$2,$B$7,$B$3,$B$4,$B$5,$F90,$B$6,Y$10,$A90,$B90)</f>
        <v>1915691.699053572</v>
      </c>
      <c r="Z90" s="4">
        <f ca="1">_xll.DBRW($B$1,$B$2,$B$7,$B$3,$B$4,$B$5,$F90,$B$6,Z$10,$A90,$B90)</f>
        <v>1914614.0311058729</v>
      </c>
      <c r="AA90" s="4">
        <f ca="1">_xll.DBRW($B$1,$B$2,$B$7,$B$3,$B$4,$B$5,$F90,$B$6,AA$10,$A90,$B90)</f>
        <v>1858403.8967024772</v>
      </c>
      <c r="AB90" s="4">
        <f ca="1">_xll.DBRW($B$1,$B$2,$B$7,$B$3,$B$4,$B$5,$F90,$B$6,AB$10,$A90,$B90)</f>
        <v>1611430.247680638</v>
      </c>
      <c r="AC90" s="4">
        <f ca="1">_xll.DBRW($B$1,$B$2,$B$7,$B$3,$B$4,$B$5,$F90,$B$6,AC$10,$A90,$B90)</f>
        <v>2486202.2360433447</v>
      </c>
      <c r="AD90" s="4">
        <f ca="1">_xll.DBRW($B$1,$B$2,$B$7,$B$3,$B$4,$B$5,$F90,$B$6,AD$10,$A90,$B90)</f>
        <v>2369131.5950172278</v>
      </c>
      <c r="AE90" s="4">
        <f ca="1">_xll.DBRW($B$1,$B$2,$B$7,$B$3,$B$4,$B$5,$F90,$B$6,AE$10,$A90,$B90)</f>
        <v>2477595.9106574082</v>
      </c>
    </row>
    <row r="91" spans="1:31">
      <c r="A91" s="1" t="s">
        <v>153</v>
      </c>
      <c r="B91" s="5" t="s">
        <v>247</v>
      </c>
      <c r="C91" s="5" t="s">
        <v>248</v>
      </c>
      <c r="D91" s="5" t="s">
        <v>21</v>
      </c>
      <c r="E91" s="5" t="s">
        <v>249</v>
      </c>
      <c r="F91" s="5" t="s">
        <v>22</v>
      </c>
      <c r="G91" s="6"/>
      <c r="H91" s="6"/>
      <c r="I91" s="6"/>
      <c r="J91" s="6"/>
      <c r="K91" s="6"/>
      <c r="L91" s="4">
        <f ca="1">_xll.DBRW($B$1,$B$2,$B$7,$B$3,$B$4,$B$5,$F91,$B$6,L$10,$A91,$B91)</f>
        <v>0</v>
      </c>
      <c r="M91" s="4">
        <f ca="1">_xll.DBRW($B$1,$B$2,$B$7,$B$3,$B$4,$B$5,$F91,$B$6,M$10,$A91,$B91)</f>
        <v>0</v>
      </c>
      <c r="N91" s="4">
        <f ca="1">_xll.DBRW($B$1,$B$2,$B$7,$B$3,$B$4,$B$5,$F91,$B$6,N$10,$A91,$B91)</f>
        <v>0</v>
      </c>
      <c r="O91" s="4">
        <f ca="1">_xll.DBRW($B$1,$B$2,$B$7,$B$3,$B$4,$B$5,$F91,$B$6,O$10,$A91,$B91)</f>
        <v>0</v>
      </c>
      <c r="P91" s="4">
        <f ca="1">_xll.DBRW($B$1,$B$2,$B$7,$B$3,$B$4,$B$5,$F91,$B$6,P$10,$A91,$B91)</f>
        <v>0</v>
      </c>
      <c r="Q91" s="4">
        <f ca="1">_xll.DBRW($B$1,$B$2,$B$7,$B$3,$B$4,$B$5,$F91,$B$6,Q$10,$A91,$B91)</f>
        <v>0</v>
      </c>
      <c r="R91" s="4">
        <f ca="1">_xll.DBRW($B$1,$B$2,$B$7,$B$3,$B$4,$B$5,$F91,$B$6,R$10,$A91,$B91)</f>
        <v>0</v>
      </c>
      <c r="S91" s="4">
        <f ca="1">_xll.DBRW($B$1,$B$2,$B$7,$B$3,$B$4,$B$5,$F91,$B$6,S$10,$A91,$B91)</f>
        <v>0</v>
      </c>
      <c r="T91" s="4">
        <f ca="1">_xll.DBRW($B$1,$B$2,$B$7,$B$3,$B$4,$B$5,$F91,$B$6,T$10,$A91,$B91)</f>
        <v>0</v>
      </c>
      <c r="U91" s="4">
        <f ca="1">_xll.DBRW($B$1,$B$2,$B$7,$B$3,$B$4,$B$5,$F91,$B$6,U$10,$A91,$B91)</f>
        <v>0</v>
      </c>
      <c r="V91" s="4">
        <f ca="1">_xll.DBRW($B$1,$B$2,$B$7,$B$3,$B$4,$B$5,$F91,$B$6,V$10,$A91,$B91)</f>
        <v>0</v>
      </c>
      <c r="W91" s="4">
        <f ca="1">_xll.DBRW($B$1,$B$2,$B$7,$B$3,$B$4,$B$5,$F91,$B$6,W$10,$A91,$B91)</f>
        <v>0</v>
      </c>
      <c r="X91" s="4">
        <f ca="1">_xll.DBRW($B$1,$B$2,$B$7,$B$3,$B$4,$B$5,$F91,$B$6,X$10,$A91,$B91)</f>
        <v>0</v>
      </c>
      <c r="Y91" s="4">
        <f ca="1">_xll.DBRW($B$1,$B$2,$B$7,$B$3,$B$4,$B$5,$F91,$B$6,Y$10,$A91,$B91)</f>
        <v>0</v>
      </c>
      <c r="Z91" s="4">
        <f ca="1">_xll.DBRW($B$1,$B$2,$B$7,$B$3,$B$4,$B$5,$F91,$B$6,Z$10,$A91,$B91)</f>
        <v>0</v>
      </c>
      <c r="AA91" s="4">
        <f ca="1">_xll.DBRW($B$1,$B$2,$B$7,$B$3,$B$4,$B$5,$F91,$B$6,AA$10,$A91,$B91)</f>
        <v>0</v>
      </c>
      <c r="AB91" s="4">
        <f ca="1">_xll.DBRW($B$1,$B$2,$B$7,$B$3,$B$4,$B$5,$F91,$B$6,AB$10,$A91,$B91)</f>
        <v>0</v>
      </c>
      <c r="AC91" s="4">
        <f ca="1">_xll.DBRW($B$1,$B$2,$B$7,$B$3,$B$4,$B$5,$F91,$B$6,AC$10,$A91,$B91)</f>
        <v>0</v>
      </c>
      <c r="AD91" s="4">
        <f ca="1">_xll.DBRW($B$1,$B$2,$B$7,$B$3,$B$4,$B$5,$F91,$B$6,AD$10,$A91,$B91)</f>
        <v>0</v>
      </c>
      <c r="AE91" s="4">
        <f ca="1">_xll.DBRW($B$1,$B$2,$B$7,$B$3,$B$4,$B$5,$F91,$B$6,AE$10,$A91,$B91)</f>
        <v>2645048.5642120065</v>
      </c>
    </row>
    <row r="92" spans="1:31">
      <c r="A92" s="1" t="s">
        <v>153</v>
      </c>
      <c r="B92" s="5" t="s">
        <v>250</v>
      </c>
      <c r="C92" s="5" t="s">
        <v>251</v>
      </c>
      <c r="D92" s="5" t="s">
        <v>249</v>
      </c>
      <c r="E92" s="5" t="s">
        <v>21</v>
      </c>
      <c r="F92" s="5" t="s">
        <v>22</v>
      </c>
      <c r="G92" s="6"/>
      <c r="H92" s="6"/>
      <c r="I92" s="6"/>
      <c r="J92" s="6"/>
      <c r="K92" s="6"/>
      <c r="L92" s="4">
        <f ca="1">_xll.DBRW($B$1,$B$2,$B$7,$B$3,$B$4,$B$5,$F92,$B$6,L$10,$A92,$B92)</f>
        <v>0</v>
      </c>
      <c r="M92" s="4">
        <f ca="1">_xll.DBRW($B$1,$B$2,$B$7,$B$3,$B$4,$B$5,$F92,$B$6,M$10,$A92,$B92)</f>
        <v>0</v>
      </c>
      <c r="N92" s="4">
        <f ca="1">_xll.DBRW($B$1,$B$2,$B$7,$B$3,$B$4,$B$5,$F92,$B$6,N$10,$A92,$B92)</f>
        <v>0</v>
      </c>
      <c r="O92" s="4">
        <f ca="1">_xll.DBRW($B$1,$B$2,$B$7,$B$3,$B$4,$B$5,$F92,$B$6,O$10,$A92,$B92)</f>
        <v>0</v>
      </c>
      <c r="P92" s="4">
        <f ca="1">_xll.DBRW($B$1,$B$2,$B$7,$B$3,$B$4,$B$5,$F92,$B$6,P$10,$A92,$B92)</f>
        <v>0</v>
      </c>
      <c r="Q92" s="4">
        <f ca="1">_xll.DBRW($B$1,$B$2,$B$7,$B$3,$B$4,$B$5,$F92,$B$6,Q$10,$A92,$B92)</f>
        <v>0</v>
      </c>
      <c r="R92" s="4">
        <f ca="1">_xll.DBRW($B$1,$B$2,$B$7,$B$3,$B$4,$B$5,$F92,$B$6,R$10,$A92,$B92)</f>
        <v>0</v>
      </c>
      <c r="S92" s="4">
        <f ca="1">_xll.DBRW($B$1,$B$2,$B$7,$B$3,$B$4,$B$5,$F92,$B$6,S$10,$A92,$B92)</f>
        <v>0</v>
      </c>
      <c r="T92" s="4">
        <f ca="1">_xll.DBRW($B$1,$B$2,$B$7,$B$3,$B$4,$B$5,$F92,$B$6,T$10,$A92,$B92)</f>
        <v>0</v>
      </c>
      <c r="U92" s="4">
        <f ca="1">_xll.DBRW($B$1,$B$2,$B$7,$B$3,$B$4,$B$5,$F92,$B$6,U$10,$A92,$B92)</f>
        <v>0</v>
      </c>
      <c r="V92" s="4">
        <f ca="1">_xll.DBRW($B$1,$B$2,$B$7,$B$3,$B$4,$B$5,$F92,$B$6,V$10,$A92,$B92)</f>
        <v>0</v>
      </c>
      <c r="W92" s="4">
        <f ca="1">_xll.DBRW($B$1,$B$2,$B$7,$B$3,$B$4,$B$5,$F92,$B$6,W$10,$A92,$B92)</f>
        <v>0</v>
      </c>
      <c r="X92" s="4">
        <f ca="1">_xll.DBRW($B$1,$B$2,$B$7,$B$3,$B$4,$B$5,$F92,$B$6,X$10,$A92,$B92)</f>
        <v>0</v>
      </c>
      <c r="Y92" s="4">
        <f ca="1">_xll.DBRW($B$1,$B$2,$B$7,$B$3,$B$4,$B$5,$F92,$B$6,Y$10,$A92,$B92)</f>
        <v>0</v>
      </c>
      <c r="Z92" s="4">
        <f ca="1">_xll.DBRW($B$1,$B$2,$B$7,$B$3,$B$4,$B$5,$F92,$B$6,Z$10,$A92,$B92)</f>
        <v>0</v>
      </c>
      <c r="AA92" s="4">
        <f ca="1">_xll.DBRW($B$1,$B$2,$B$7,$B$3,$B$4,$B$5,$F92,$B$6,AA$10,$A92,$B92)</f>
        <v>0</v>
      </c>
      <c r="AB92" s="4">
        <f ca="1">_xll.DBRW($B$1,$B$2,$B$7,$B$3,$B$4,$B$5,$F92,$B$6,AB$10,$A92,$B92)</f>
        <v>0</v>
      </c>
      <c r="AC92" s="4">
        <f ca="1">_xll.DBRW($B$1,$B$2,$B$7,$B$3,$B$4,$B$5,$F92,$B$6,AC$10,$A92,$B92)</f>
        <v>0</v>
      </c>
      <c r="AD92" s="4">
        <f ca="1">_xll.DBRW($B$1,$B$2,$B$7,$B$3,$B$4,$B$5,$F92,$B$6,AD$10,$A92,$B92)</f>
        <v>0</v>
      </c>
      <c r="AE92" s="4">
        <f ca="1">_xll.DBRW($B$1,$B$2,$B$7,$B$3,$B$4,$B$5,$F92,$B$6,AE$10,$A92,$B92)</f>
        <v>2645048.5642120065</v>
      </c>
    </row>
    <row r="93" spans="1:31">
      <c r="A93" s="1" t="s">
        <v>153</v>
      </c>
      <c r="B93" s="5" t="s">
        <v>252</v>
      </c>
      <c r="C93" s="5" t="s">
        <v>226</v>
      </c>
      <c r="D93" s="5" t="s">
        <v>21</v>
      </c>
      <c r="E93" s="5" t="s">
        <v>227</v>
      </c>
      <c r="F93" s="5" t="s">
        <v>22</v>
      </c>
      <c r="G93" s="6"/>
      <c r="H93" s="6"/>
      <c r="I93" s="6"/>
      <c r="J93" s="6"/>
      <c r="K93" s="6"/>
      <c r="L93" s="4">
        <f ca="1">_xll.DBRW($B$1,$B$2,$B$7,$B$3,$B$4,$B$5,$F93,$B$6,L$10,$A93,$B93)</f>
        <v>996057.59</v>
      </c>
      <c r="M93" s="4">
        <f ca="1">_xll.DBRW($B$1,$B$2,$B$7,$B$3,$B$4,$B$5,$F93,$B$6,M$10,$A93,$B93)</f>
        <v>0</v>
      </c>
      <c r="N93" s="4">
        <f ca="1">_xll.DBRW($B$1,$B$2,$B$7,$B$3,$B$4,$B$5,$F93,$B$6,N$10,$A93,$B93)</f>
        <v>0</v>
      </c>
      <c r="O93" s="4">
        <f ca="1">_xll.DBRW($B$1,$B$2,$B$7,$B$3,$B$4,$B$5,$F93,$B$6,O$10,$A93,$B93)</f>
        <v>0</v>
      </c>
      <c r="P93" s="4">
        <f ca="1">_xll.DBRW($B$1,$B$2,$B$7,$B$3,$B$4,$B$5,$F93,$B$6,P$10,$A93,$B93)</f>
        <v>0</v>
      </c>
      <c r="Q93" s="4">
        <f ca="1">_xll.DBRW($B$1,$B$2,$B$7,$B$3,$B$4,$B$5,$F93,$B$6,Q$10,$A93,$B93)</f>
        <v>0</v>
      </c>
      <c r="R93" s="4">
        <f ca="1">_xll.DBRW($B$1,$B$2,$B$7,$B$3,$B$4,$B$5,$F93,$B$6,R$10,$A93,$B93)</f>
        <v>0</v>
      </c>
      <c r="S93" s="4">
        <f ca="1">_xll.DBRW($B$1,$B$2,$B$7,$B$3,$B$4,$B$5,$F93,$B$6,S$10,$A93,$B93)</f>
        <v>2107935.83</v>
      </c>
      <c r="T93" s="4">
        <f ca="1">_xll.DBRW($B$1,$B$2,$B$7,$B$3,$B$4,$B$5,$F93,$B$6,T$10,$A93,$B93)</f>
        <v>2708309.4505871865</v>
      </c>
      <c r="U93" s="4">
        <f ca="1">_xll.DBRW($B$1,$B$2,$B$7,$B$3,$B$4,$B$5,$F93,$B$6,U$10,$A93,$B93)</f>
        <v>2503037.8364437227</v>
      </c>
      <c r="V93" s="4">
        <f ca="1">_xll.DBRW($B$1,$B$2,$B$7,$B$3,$B$4,$B$5,$F93,$B$6,V$10,$A93,$B93)</f>
        <v>2287563.6460022023</v>
      </c>
      <c r="W93" s="4">
        <f ca="1">_xll.DBRW($B$1,$B$2,$B$7,$B$3,$B$4,$B$5,$F93,$B$6,W$10,$A93,$B93)</f>
        <v>0</v>
      </c>
      <c r="X93" s="4">
        <f ca="1">_xll.DBRW($B$1,$B$2,$B$7,$B$3,$B$4,$B$5,$F93,$B$6,X$10,$A93,$B93)</f>
        <v>0</v>
      </c>
      <c r="Y93" s="4">
        <f ca="1">_xll.DBRW($B$1,$B$2,$B$7,$B$3,$B$4,$B$5,$F93,$B$6,Y$10,$A93,$B93)</f>
        <v>0</v>
      </c>
      <c r="Z93" s="4">
        <f ca="1">_xll.DBRW($B$1,$B$2,$B$7,$B$3,$B$4,$B$5,$F93,$B$6,Z$10,$A93,$B93)</f>
        <v>0</v>
      </c>
      <c r="AA93" s="4">
        <f ca="1">_xll.DBRW($B$1,$B$2,$B$7,$B$3,$B$4,$B$5,$F93,$B$6,AA$10,$A93,$B93)</f>
        <v>0</v>
      </c>
      <c r="AB93" s="4">
        <f ca="1">_xll.DBRW($B$1,$B$2,$B$7,$B$3,$B$4,$B$5,$F93,$B$6,AB$10,$A93,$B93)</f>
        <v>0</v>
      </c>
      <c r="AC93" s="4">
        <f ca="1">_xll.DBRW($B$1,$B$2,$B$7,$B$3,$B$4,$B$5,$F93,$B$6,AC$10,$A93,$B93)</f>
        <v>275628.49431188253</v>
      </c>
      <c r="AD93" s="4">
        <f ca="1">_xll.DBRW($B$1,$B$2,$B$7,$B$3,$B$4,$B$5,$F93,$B$6,AD$10,$A93,$B93)</f>
        <v>1927164.519287766</v>
      </c>
      <c r="AE93" s="4">
        <f ca="1">_xll.DBRW($B$1,$B$2,$B$7,$B$3,$B$4,$B$5,$F93,$B$6,AE$10,$A93,$B93)</f>
        <v>1972151.2147396887</v>
      </c>
    </row>
    <row r="94" spans="1:31">
      <c r="A94" s="1" t="s">
        <v>153</v>
      </c>
      <c r="B94" s="5" t="s">
        <v>253</v>
      </c>
      <c r="C94" s="5" t="s">
        <v>229</v>
      </c>
      <c r="D94" s="5" t="s">
        <v>227</v>
      </c>
      <c r="E94" s="5" t="s">
        <v>21</v>
      </c>
      <c r="F94" s="5" t="s">
        <v>22</v>
      </c>
      <c r="G94" s="6"/>
      <c r="H94" s="6"/>
      <c r="I94" s="6"/>
      <c r="J94" s="6"/>
      <c r="K94" s="6"/>
      <c r="L94" s="4">
        <f ca="1">_xll.DBRW($B$1,$B$2,$B$7,$B$3,$B$4,$B$5,$F94,$B$6,L$10,$A94,$B94)</f>
        <v>996057.59</v>
      </c>
      <c r="M94" s="4">
        <f ca="1">_xll.DBRW($B$1,$B$2,$B$7,$B$3,$B$4,$B$5,$F94,$B$6,M$10,$A94,$B94)</f>
        <v>0</v>
      </c>
      <c r="N94" s="4">
        <f ca="1">_xll.DBRW($B$1,$B$2,$B$7,$B$3,$B$4,$B$5,$F94,$B$6,N$10,$A94,$B94)</f>
        <v>0</v>
      </c>
      <c r="O94" s="4">
        <f ca="1">_xll.DBRW($B$1,$B$2,$B$7,$B$3,$B$4,$B$5,$F94,$B$6,O$10,$A94,$B94)</f>
        <v>0</v>
      </c>
      <c r="P94" s="4">
        <f ca="1">_xll.DBRW($B$1,$B$2,$B$7,$B$3,$B$4,$B$5,$F94,$B$6,P$10,$A94,$B94)</f>
        <v>0</v>
      </c>
      <c r="Q94" s="4">
        <f ca="1">_xll.DBRW($B$1,$B$2,$B$7,$B$3,$B$4,$B$5,$F94,$B$6,Q$10,$A94,$B94)</f>
        <v>0</v>
      </c>
      <c r="R94" s="4">
        <f ca="1">_xll.DBRW($B$1,$B$2,$B$7,$B$3,$B$4,$B$5,$F94,$B$6,R$10,$A94,$B94)</f>
        <v>0</v>
      </c>
      <c r="S94" s="4">
        <f ca="1">_xll.DBRW($B$1,$B$2,$B$7,$B$3,$B$4,$B$5,$F94,$B$6,S$10,$A94,$B94)</f>
        <v>2107935.83</v>
      </c>
      <c r="T94" s="4">
        <f ca="1">_xll.DBRW($B$1,$B$2,$B$7,$B$3,$B$4,$B$5,$F94,$B$6,T$10,$A94,$B94)</f>
        <v>2708309.4505871865</v>
      </c>
      <c r="U94" s="4">
        <f ca="1">_xll.DBRW($B$1,$B$2,$B$7,$B$3,$B$4,$B$5,$F94,$B$6,U$10,$A94,$B94)</f>
        <v>2503037.8364437227</v>
      </c>
      <c r="V94" s="4">
        <f ca="1">_xll.DBRW($B$1,$B$2,$B$7,$B$3,$B$4,$B$5,$F94,$B$6,V$10,$A94,$B94)</f>
        <v>2287563.6460022023</v>
      </c>
      <c r="W94" s="4">
        <f ca="1">_xll.DBRW($B$1,$B$2,$B$7,$B$3,$B$4,$B$5,$F94,$B$6,W$10,$A94,$B94)</f>
        <v>0</v>
      </c>
      <c r="X94" s="4">
        <f ca="1">_xll.DBRW($B$1,$B$2,$B$7,$B$3,$B$4,$B$5,$F94,$B$6,X$10,$A94,$B94)</f>
        <v>0</v>
      </c>
      <c r="Y94" s="4">
        <f ca="1">_xll.DBRW($B$1,$B$2,$B$7,$B$3,$B$4,$B$5,$F94,$B$6,Y$10,$A94,$B94)</f>
        <v>0</v>
      </c>
      <c r="Z94" s="4">
        <f ca="1">_xll.DBRW($B$1,$B$2,$B$7,$B$3,$B$4,$B$5,$F94,$B$6,Z$10,$A94,$B94)</f>
        <v>0</v>
      </c>
      <c r="AA94" s="4">
        <f ca="1">_xll.DBRW($B$1,$B$2,$B$7,$B$3,$B$4,$B$5,$F94,$B$6,AA$10,$A94,$B94)</f>
        <v>0</v>
      </c>
      <c r="AB94" s="4">
        <f ca="1">_xll.DBRW($B$1,$B$2,$B$7,$B$3,$B$4,$B$5,$F94,$B$6,AB$10,$A94,$B94)</f>
        <v>0</v>
      </c>
      <c r="AC94" s="4">
        <f ca="1">_xll.DBRW($B$1,$B$2,$B$7,$B$3,$B$4,$B$5,$F94,$B$6,AC$10,$A94,$B94)</f>
        <v>275628.49431188253</v>
      </c>
      <c r="AD94" s="4">
        <f ca="1">_xll.DBRW($B$1,$B$2,$B$7,$B$3,$B$4,$B$5,$F94,$B$6,AD$10,$A94,$B94)</f>
        <v>1927164.519287766</v>
      </c>
      <c r="AE94" s="4">
        <f ca="1">_xll.DBRW($B$1,$B$2,$B$7,$B$3,$B$4,$B$5,$F94,$B$6,AE$10,$A94,$B94)</f>
        <v>1972151.2147396887</v>
      </c>
    </row>
    <row r="95" spans="1:31">
      <c r="A95" s="1" t="s">
        <v>153</v>
      </c>
      <c r="B95" s="5" t="s">
        <v>254</v>
      </c>
      <c r="C95" s="5" t="s">
        <v>255</v>
      </c>
      <c r="D95" s="5" t="s">
        <v>60</v>
      </c>
      <c r="E95" s="5" t="s">
        <v>59</v>
      </c>
      <c r="F95" s="5" t="s">
        <v>22</v>
      </c>
      <c r="G95" s="6"/>
      <c r="H95" s="6"/>
      <c r="I95" s="6"/>
      <c r="J95" s="6"/>
      <c r="K95" s="6"/>
      <c r="L95" s="4">
        <f ca="1">_xll.DBRW($B$1,$B$2,$B$7,$B$3,$B$4,$B$5,$F95,$B$6,L$10,$A95,$B95)</f>
        <v>772185.60000000009</v>
      </c>
      <c r="M95" s="4">
        <f ca="1">_xll.DBRW($B$1,$B$2,$B$7,$B$3,$B$4,$B$5,$F95,$B$6,M$10,$A95,$B95)</f>
        <v>664557.03074500104</v>
      </c>
      <c r="N95" s="4">
        <f ca="1">_xll.DBRW($B$1,$B$2,$B$7,$B$3,$B$4,$B$5,$F95,$B$6,N$10,$A95,$B95)</f>
        <v>868708.79999999993</v>
      </c>
      <c r="O95" s="4">
        <f ca="1">_xll.DBRW($B$1,$B$2,$B$7,$B$3,$B$4,$B$5,$F95,$B$6,O$10,$A95,$B95)</f>
        <v>694967.03999999992</v>
      </c>
      <c r="P95" s="4">
        <f ca="1">_xll.DBRW($B$1,$B$2,$B$7,$B$3,$B$4,$B$5,$F95,$B$6,P$10,$A95,$B95)</f>
        <v>755025.92000000004</v>
      </c>
      <c r="Q95" s="4">
        <f ca="1">_xll.DBRW($B$1,$B$2,$B$7,$B$3,$B$4,$B$5,$F95,$B$6,Q$10,$A95,$B95)</f>
        <v>712126.72</v>
      </c>
      <c r="R95" s="4">
        <f ca="1">_xll.DBRW($B$1,$B$2,$B$7,$B$3,$B$4,$B$5,$F95,$B$6,R$10,$A95,$B95)</f>
        <v>0</v>
      </c>
      <c r="S95" s="4">
        <f ca="1">_xll.DBRW($B$1,$B$2,$B$7,$B$3,$B$4,$B$5,$F95,$B$6,S$10,$A95,$B95)</f>
        <v>0</v>
      </c>
      <c r="T95" s="4">
        <f ca="1">_xll.DBRW($B$1,$B$2,$B$7,$B$3,$B$4,$B$5,$F95,$B$6,T$10,$A95,$B95)</f>
        <v>0</v>
      </c>
      <c r="U95" s="4">
        <f ca="1">_xll.DBRW($B$1,$B$2,$B$7,$B$3,$B$4,$B$5,$F95,$B$6,U$10,$A95,$B95)</f>
        <v>0</v>
      </c>
      <c r="V95" s="4">
        <f ca="1">_xll.DBRW($B$1,$B$2,$B$7,$B$3,$B$4,$B$5,$F95,$B$6,V$10,$A95,$B95)</f>
        <v>0</v>
      </c>
      <c r="W95" s="4">
        <f ca="1">_xll.DBRW($B$1,$B$2,$B$7,$B$3,$B$4,$B$5,$F95,$B$6,W$10,$A95,$B95)</f>
        <v>666972.48377131426</v>
      </c>
      <c r="X95" s="4">
        <f ca="1">_xll.DBRW($B$1,$B$2,$B$7,$B$3,$B$4,$B$5,$F95,$B$6,X$10,$A95,$B95)</f>
        <v>727447.209383165</v>
      </c>
      <c r="Y95" s="4">
        <f ca="1">_xll.DBRW($B$1,$B$2,$B$7,$B$3,$B$4,$B$5,$F95,$B$6,Y$10,$A95,$B95)</f>
        <v>760375.06212507759</v>
      </c>
      <c r="Z95" s="4">
        <f ca="1">_xll.DBRW($B$1,$B$2,$B$7,$B$3,$B$4,$B$5,$F95,$B$6,Z$10,$A95,$B95)</f>
        <v>956080.74446744169</v>
      </c>
      <c r="AA95" s="4">
        <f ca="1">_xll.DBRW($B$1,$B$2,$B$7,$B$3,$B$4,$B$5,$F95,$B$6,AA$10,$A95,$B95)</f>
        <v>956080.74446744181</v>
      </c>
      <c r="AB95" s="4">
        <f ca="1">_xll.DBRW($B$1,$B$2,$B$7,$B$3,$B$4,$B$5,$F95,$B$6,AB$10,$A95,$B95)</f>
        <v>849849.55063772574</v>
      </c>
      <c r="AC95" s="4">
        <f ca="1">_xll.DBRW($B$1,$B$2,$B$7,$B$3,$B$4,$B$5,$F95,$B$6,AC$10,$A95,$B95)</f>
        <v>837625.80270831182</v>
      </c>
      <c r="AD95" s="4">
        <f ca="1">_xll.DBRW($B$1,$B$2,$B$7,$B$3,$B$4,$B$5,$F95,$B$6,AD$10,$A95,$B95)</f>
        <v>0</v>
      </c>
      <c r="AE95" s="4">
        <f ca="1">_xll.DBRW($B$1,$B$2,$B$7,$B$3,$B$4,$B$5,$F95,$B$6,AE$10,$A95,$B95)</f>
        <v>0</v>
      </c>
    </row>
    <row r="96" spans="1:31">
      <c r="A96" s="1" t="s">
        <v>153</v>
      </c>
      <c r="B96" s="5" t="s">
        <v>57</v>
      </c>
      <c r="C96" s="5" t="s">
        <v>58</v>
      </c>
      <c r="D96" s="5" t="s">
        <v>59</v>
      </c>
      <c r="E96" s="5" t="s">
        <v>60</v>
      </c>
      <c r="F96" s="5" t="s">
        <v>22</v>
      </c>
      <c r="G96" s="6"/>
      <c r="H96" s="6"/>
      <c r="I96" s="6"/>
      <c r="J96" s="6"/>
      <c r="K96" s="6"/>
      <c r="L96" s="4">
        <f ca="1">_xll.DBRW($B$1,$B$2,$B$7,$B$3,$B$4,$B$5,$F96,$B$6,L$10,$A96,$B96)</f>
        <v>772185.60000000009</v>
      </c>
      <c r="M96" s="4">
        <f ca="1">_xll.DBRW($B$1,$B$2,$B$7,$B$3,$B$4,$B$5,$F96,$B$6,M$10,$A96,$B96)</f>
        <v>590717.36066222319</v>
      </c>
      <c r="N96" s="4">
        <f ca="1">_xll.DBRW($B$1,$B$2,$B$7,$B$3,$B$4,$B$5,$F96,$B$6,N$10,$A96,$B96)</f>
        <v>868708.79999999993</v>
      </c>
      <c r="O96" s="4">
        <f ca="1">_xll.DBRW($B$1,$B$2,$B$7,$B$3,$B$4,$B$5,$F96,$B$6,O$10,$A96,$B96)</f>
        <v>694967.03999999992</v>
      </c>
      <c r="P96" s="4">
        <f ca="1">_xll.DBRW($B$1,$B$2,$B$7,$B$3,$B$4,$B$5,$F96,$B$6,P$10,$A96,$B96)</f>
        <v>755025.92000000004</v>
      </c>
      <c r="Q96" s="4">
        <f ca="1">_xll.DBRW($B$1,$B$2,$B$7,$B$3,$B$4,$B$5,$F96,$B$6,Q$10,$A96,$B96)</f>
        <v>712126.72</v>
      </c>
      <c r="R96" s="4">
        <f ca="1">_xll.DBRW($B$1,$B$2,$B$7,$B$3,$B$4,$B$5,$F96,$B$6,R$10,$A96,$B96)</f>
        <v>0</v>
      </c>
      <c r="S96" s="4">
        <f ca="1">_xll.DBRW($B$1,$B$2,$B$7,$B$3,$B$4,$B$5,$F96,$B$6,S$10,$A96,$B96)</f>
        <v>0</v>
      </c>
      <c r="T96" s="4">
        <f ca="1">_xll.DBRW($B$1,$B$2,$B$7,$B$3,$B$4,$B$5,$F96,$B$6,T$10,$A96,$B96)</f>
        <v>0</v>
      </c>
      <c r="U96" s="4">
        <f ca="1">_xll.DBRW($B$1,$B$2,$B$7,$B$3,$B$4,$B$5,$F96,$B$6,U$10,$A96,$B96)</f>
        <v>0</v>
      </c>
      <c r="V96" s="4">
        <f ca="1">_xll.DBRW($B$1,$B$2,$B$7,$B$3,$B$4,$B$5,$F96,$B$6,V$10,$A96,$B96)</f>
        <v>0</v>
      </c>
      <c r="W96" s="4">
        <f ca="1">_xll.DBRW($B$1,$B$2,$B$7,$B$3,$B$4,$B$5,$F96,$B$6,W$10,$A96,$B96)</f>
        <v>666972.48377131426</v>
      </c>
      <c r="X96" s="4">
        <f ca="1">_xll.DBRW($B$1,$B$2,$B$7,$B$3,$B$4,$B$5,$F96,$B$6,X$10,$A96,$B96)</f>
        <v>727447.209383165</v>
      </c>
      <c r="Y96" s="4">
        <f ca="1">_xll.DBRW($B$1,$B$2,$B$7,$B$3,$B$4,$B$5,$F96,$B$6,Y$10,$A96,$B96)</f>
        <v>760375.06212507759</v>
      </c>
      <c r="Z96" s="4">
        <f ca="1">_xll.DBRW($B$1,$B$2,$B$7,$B$3,$B$4,$B$5,$F96,$B$6,Z$10,$A96,$B96)</f>
        <v>956080.74446744169</v>
      </c>
      <c r="AA96" s="4">
        <f ca="1">_xll.DBRW($B$1,$B$2,$B$7,$B$3,$B$4,$B$5,$F96,$B$6,AA$10,$A96,$B96)</f>
        <v>956080.74446744181</v>
      </c>
      <c r="AB96" s="4">
        <f ca="1">_xll.DBRW($B$1,$B$2,$B$7,$B$3,$B$4,$B$5,$F96,$B$6,AB$10,$A96,$B96)</f>
        <v>956080.74446744134</v>
      </c>
      <c r="AC96" s="4">
        <f ca="1">_xll.DBRW($B$1,$B$2,$B$7,$B$3,$B$4,$B$5,$F96,$B$6,AC$10,$A96,$B96)</f>
        <v>732922.57736977283</v>
      </c>
      <c r="AD96" s="4">
        <f ca="1">_xll.DBRW($B$1,$B$2,$B$7,$B$3,$B$4,$B$5,$F96,$B$6,AD$10,$A96,$B96)</f>
        <v>0</v>
      </c>
      <c r="AE96" s="4">
        <f ca="1">_xll.DBRW($B$1,$B$2,$B$7,$B$3,$B$4,$B$5,$F96,$B$6,AE$10,$A96,$B96)</f>
        <v>0</v>
      </c>
    </row>
    <row r="97" spans="1:31">
      <c r="A97" s="1" t="s">
        <v>153</v>
      </c>
      <c r="B97" s="5" t="s">
        <v>256</v>
      </c>
      <c r="C97" s="5" t="s">
        <v>206</v>
      </c>
      <c r="D97" s="5" t="s">
        <v>21</v>
      </c>
      <c r="E97" s="5" t="s">
        <v>181</v>
      </c>
      <c r="F97" s="5" t="s">
        <v>22</v>
      </c>
      <c r="G97" s="6"/>
      <c r="H97" s="6"/>
      <c r="I97" s="6"/>
      <c r="J97" s="6"/>
      <c r="K97" s="6"/>
      <c r="L97" s="4">
        <f ca="1">_xll.DBRW($B$1,$B$2,$B$7,$B$3,$B$4,$B$5,$F97,$B$6,L$10,$A97,$B97)</f>
        <v>0</v>
      </c>
      <c r="M97" s="4">
        <f ca="1">_xll.DBRW($B$1,$B$2,$B$7,$B$3,$B$4,$B$5,$F97,$B$6,M$10,$A97,$B97)</f>
        <v>0</v>
      </c>
      <c r="N97" s="4">
        <f ca="1">_xll.DBRW($B$1,$B$2,$B$7,$B$3,$B$4,$B$5,$F97,$B$6,N$10,$A97,$B97)</f>
        <v>0</v>
      </c>
      <c r="O97" s="4">
        <f ca="1">_xll.DBRW($B$1,$B$2,$B$7,$B$3,$B$4,$B$5,$F97,$B$6,O$10,$A97,$B97)</f>
        <v>0</v>
      </c>
      <c r="P97" s="4">
        <f ca="1">_xll.DBRW($B$1,$B$2,$B$7,$B$3,$B$4,$B$5,$F97,$B$6,P$10,$A97,$B97)</f>
        <v>0</v>
      </c>
      <c r="Q97" s="4">
        <f ca="1">_xll.DBRW($B$1,$B$2,$B$7,$B$3,$B$4,$B$5,$F97,$B$6,Q$10,$A97,$B97)</f>
        <v>0</v>
      </c>
      <c r="R97" s="4">
        <f ca="1">_xll.DBRW($B$1,$B$2,$B$7,$B$3,$B$4,$B$5,$F97,$B$6,R$10,$A97,$B97)</f>
        <v>0</v>
      </c>
      <c r="S97" s="4">
        <f ca="1">_xll.DBRW($B$1,$B$2,$B$7,$B$3,$B$4,$B$5,$F97,$B$6,S$10,$A97,$B97)</f>
        <v>0</v>
      </c>
      <c r="T97" s="4">
        <f ca="1">_xll.DBRW($B$1,$B$2,$B$7,$B$3,$B$4,$B$5,$F97,$B$6,T$10,$A97,$B97)</f>
        <v>0</v>
      </c>
      <c r="U97" s="4">
        <f ca="1">_xll.DBRW($B$1,$B$2,$B$7,$B$3,$B$4,$B$5,$F97,$B$6,U$10,$A97,$B97)</f>
        <v>0</v>
      </c>
      <c r="V97" s="4">
        <f ca="1">_xll.DBRW($B$1,$B$2,$B$7,$B$3,$B$4,$B$5,$F97,$B$6,V$10,$A97,$B97)</f>
        <v>0</v>
      </c>
      <c r="W97" s="4">
        <f ca="1">_xll.DBRW($B$1,$B$2,$B$7,$B$3,$B$4,$B$5,$F97,$B$6,W$10,$A97,$B97)</f>
        <v>0</v>
      </c>
      <c r="X97" s="4">
        <f ca="1">_xll.DBRW($B$1,$B$2,$B$7,$B$3,$B$4,$B$5,$F97,$B$6,X$10,$A97,$B97)</f>
        <v>0</v>
      </c>
      <c r="Y97" s="4">
        <f ca="1">_xll.DBRW($B$1,$B$2,$B$7,$B$3,$B$4,$B$5,$F97,$B$6,Y$10,$A97,$B97)</f>
        <v>0</v>
      </c>
      <c r="Z97" s="4">
        <f ca="1">_xll.DBRW($B$1,$B$2,$B$7,$B$3,$B$4,$B$5,$F97,$B$6,Z$10,$A97,$B97)</f>
        <v>0</v>
      </c>
      <c r="AA97" s="4">
        <f ca="1">_xll.DBRW($B$1,$B$2,$B$7,$B$3,$B$4,$B$5,$F97,$B$6,AA$10,$A97,$B97)</f>
        <v>0</v>
      </c>
      <c r="AB97" s="4">
        <f ca="1">_xll.DBRW($B$1,$B$2,$B$7,$B$3,$B$4,$B$5,$F97,$B$6,AB$10,$A97,$B97)</f>
        <v>0</v>
      </c>
      <c r="AC97" s="4">
        <f ca="1">_xll.DBRW($B$1,$B$2,$B$7,$B$3,$B$4,$B$5,$F97,$B$6,AC$10,$A97,$B97)</f>
        <v>0</v>
      </c>
      <c r="AD97" s="4">
        <f ca="1">_xll.DBRW($B$1,$B$2,$B$7,$B$3,$B$4,$B$5,$F97,$B$6,AD$10,$A97,$B97)</f>
        <v>0</v>
      </c>
      <c r="AE97" s="4">
        <f ca="1">_xll.DBRW($B$1,$B$2,$B$7,$B$3,$B$4,$B$5,$F97,$B$6,AE$10,$A97,$B97)</f>
        <v>0</v>
      </c>
    </row>
    <row r="98" spans="1:31">
      <c r="A98" s="1" t="s">
        <v>153</v>
      </c>
      <c r="B98" s="5" t="s">
        <v>257</v>
      </c>
      <c r="C98" s="5" t="s">
        <v>208</v>
      </c>
      <c r="D98" s="5" t="s">
        <v>181</v>
      </c>
      <c r="E98" s="5" t="s">
        <v>21</v>
      </c>
      <c r="F98" s="5" t="s">
        <v>22</v>
      </c>
      <c r="G98" s="6"/>
      <c r="H98" s="6"/>
      <c r="I98" s="6"/>
      <c r="J98" s="6"/>
      <c r="K98" s="6"/>
      <c r="L98" s="4">
        <f ca="1">_xll.DBRW($B$1,$B$2,$B$7,$B$3,$B$4,$B$5,$F98,$B$6,L$10,$A98,$B98)</f>
        <v>0</v>
      </c>
      <c r="M98" s="4">
        <f ca="1">_xll.DBRW($B$1,$B$2,$B$7,$B$3,$B$4,$B$5,$F98,$B$6,M$10,$A98,$B98)</f>
        <v>0</v>
      </c>
      <c r="N98" s="4">
        <f ca="1">_xll.DBRW($B$1,$B$2,$B$7,$B$3,$B$4,$B$5,$F98,$B$6,N$10,$A98,$B98)</f>
        <v>0</v>
      </c>
      <c r="O98" s="4">
        <f ca="1">_xll.DBRW($B$1,$B$2,$B$7,$B$3,$B$4,$B$5,$F98,$B$6,O$10,$A98,$B98)</f>
        <v>0</v>
      </c>
      <c r="P98" s="4">
        <f ca="1">_xll.DBRW($B$1,$B$2,$B$7,$B$3,$B$4,$B$5,$F98,$B$6,P$10,$A98,$B98)</f>
        <v>0</v>
      </c>
      <c r="Q98" s="4">
        <f ca="1">_xll.DBRW($B$1,$B$2,$B$7,$B$3,$B$4,$B$5,$F98,$B$6,Q$10,$A98,$B98)</f>
        <v>0</v>
      </c>
      <c r="R98" s="4">
        <f ca="1">_xll.DBRW($B$1,$B$2,$B$7,$B$3,$B$4,$B$5,$F98,$B$6,R$10,$A98,$B98)</f>
        <v>0</v>
      </c>
      <c r="S98" s="4">
        <f ca="1">_xll.DBRW($B$1,$B$2,$B$7,$B$3,$B$4,$B$5,$F98,$B$6,S$10,$A98,$B98)</f>
        <v>0</v>
      </c>
      <c r="T98" s="4">
        <f ca="1">_xll.DBRW($B$1,$B$2,$B$7,$B$3,$B$4,$B$5,$F98,$B$6,T$10,$A98,$B98)</f>
        <v>0</v>
      </c>
      <c r="U98" s="4">
        <f ca="1">_xll.DBRW($B$1,$B$2,$B$7,$B$3,$B$4,$B$5,$F98,$B$6,U$10,$A98,$B98)</f>
        <v>0</v>
      </c>
      <c r="V98" s="4">
        <f ca="1">_xll.DBRW($B$1,$B$2,$B$7,$B$3,$B$4,$B$5,$F98,$B$6,V$10,$A98,$B98)</f>
        <v>0</v>
      </c>
      <c r="W98" s="4">
        <f ca="1">_xll.DBRW($B$1,$B$2,$B$7,$B$3,$B$4,$B$5,$F98,$B$6,W$10,$A98,$B98)</f>
        <v>0</v>
      </c>
      <c r="X98" s="4">
        <f ca="1">_xll.DBRW($B$1,$B$2,$B$7,$B$3,$B$4,$B$5,$F98,$B$6,X$10,$A98,$B98)</f>
        <v>0</v>
      </c>
      <c r="Y98" s="4">
        <f ca="1">_xll.DBRW($B$1,$B$2,$B$7,$B$3,$B$4,$B$5,$F98,$B$6,Y$10,$A98,$B98)</f>
        <v>0</v>
      </c>
      <c r="Z98" s="4">
        <f ca="1">_xll.DBRW($B$1,$B$2,$B$7,$B$3,$B$4,$B$5,$F98,$B$6,Z$10,$A98,$B98)</f>
        <v>0</v>
      </c>
      <c r="AA98" s="4">
        <f ca="1">_xll.DBRW($B$1,$B$2,$B$7,$B$3,$B$4,$B$5,$F98,$B$6,AA$10,$A98,$B98)</f>
        <v>0</v>
      </c>
      <c r="AB98" s="4">
        <f ca="1">_xll.DBRW($B$1,$B$2,$B$7,$B$3,$B$4,$B$5,$F98,$B$6,AB$10,$A98,$B98)</f>
        <v>0</v>
      </c>
      <c r="AC98" s="4">
        <f ca="1">_xll.DBRW($B$1,$B$2,$B$7,$B$3,$B$4,$B$5,$F98,$B$6,AC$10,$A98,$B98)</f>
        <v>0</v>
      </c>
      <c r="AD98" s="4">
        <f ca="1">_xll.DBRW($B$1,$B$2,$B$7,$B$3,$B$4,$B$5,$F98,$B$6,AD$10,$A98,$B98)</f>
        <v>0</v>
      </c>
      <c r="AE98" s="4">
        <f ca="1">_xll.DBRW($B$1,$B$2,$B$7,$B$3,$B$4,$B$5,$F98,$B$6,AE$10,$A98,$B98)</f>
        <v>0</v>
      </c>
    </row>
    <row r="99" spans="1:31">
      <c r="A99" s="1" t="s">
        <v>153</v>
      </c>
      <c r="B99" s="5" t="s">
        <v>258</v>
      </c>
      <c r="C99" s="5" t="s">
        <v>259</v>
      </c>
      <c r="D99" s="5" t="s">
        <v>21</v>
      </c>
      <c r="E99" s="5" t="s">
        <v>260</v>
      </c>
      <c r="F99" s="5" t="s">
        <v>22</v>
      </c>
      <c r="G99" s="6"/>
      <c r="H99" s="6"/>
      <c r="I99" s="6"/>
      <c r="J99" s="6"/>
      <c r="K99" s="6"/>
      <c r="L99" s="4">
        <f ca="1">_xll.DBRW($B$1,$B$2,$B$7,$B$3,$B$4,$B$5,$F99,$B$6,L$10,$A99,$B99)</f>
        <v>7073922.2399999993</v>
      </c>
      <c r="M99" s="4">
        <f ca="1">_xll.DBRW($B$1,$B$2,$B$7,$B$3,$B$4,$B$5,$F99,$B$6,M$10,$A99,$B99)</f>
        <v>6176893.9524906017</v>
      </c>
      <c r="N99" s="4">
        <f ca="1">_xll.DBRW($B$1,$B$2,$B$7,$B$3,$B$4,$B$5,$F99,$B$6,N$10,$A99,$B99)</f>
        <v>7579202.4000000004</v>
      </c>
      <c r="O99" s="4">
        <f ca="1">_xll.DBRW($B$1,$B$2,$B$7,$B$3,$B$4,$B$5,$F99,$B$6,O$10,$A99,$B99)</f>
        <v>7320820.4999999991</v>
      </c>
      <c r="P99" s="4">
        <f ca="1">_xll.DBRW($B$1,$B$2,$B$7,$B$3,$B$4,$B$5,$F99,$B$6,P$10,$A99,$B99)</f>
        <v>7076793.1500000004</v>
      </c>
      <c r="Q99" s="4">
        <f ca="1">_xll.DBRW($B$1,$B$2,$B$7,$B$3,$B$4,$B$5,$F99,$B$6,Q$10,$A99,$B99)</f>
        <v>7837584.2999999998</v>
      </c>
      <c r="R99" s="4">
        <f ca="1">_xll.DBRW($B$1,$B$2,$B$7,$B$3,$B$4,$B$5,$F99,$B$6,R$10,$A99,$B99)</f>
        <v>6577254.8100000005</v>
      </c>
      <c r="S99" s="4">
        <f ca="1">_xll.DBRW($B$1,$B$2,$B$7,$B$3,$B$4,$B$5,$F99,$B$6,S$10,$A99,$B99)</f>
        <v>6287292.8999999994</v>
      </c>
      <c r="T99" s="4">
        <f ca="1">_xll.DBRW($B$1,$B$2,$B$7,$B$3,$B$4,$B$5,$F99,$B$6,T$10,$A99,$B99)</f>
        <v>6897337.6436654637</v>
      </c>
      <c r="U99" s="4">
        <f ca="1">_xll.DBRW($B$1,$B$2,$B$7,$B$3,$B$4,$B$5,$F99,$B$6,U$10,$A99,$B99)</f>
        <v>5240974.4658421678</v>
      </c>
      <c r="V99" s="4">
        <f ca="1">_xll.DBRW($B$1,$B$2,$B$7,$B$3,$B$4,$B$5,$F99,$B$6,V$10,$A99,$B99)</f>
        <v>7490194.0351472795</v>
      </c>
      <c r="W99" s="4">
        <f ca="1">_xll.DBRW($B$1,$B$2,$B$7,$B$3,$B$4,$B$5,$F99,$B$6,W$10,$A99,$B99)</f>
        <v>7050622.5174493538</v>
      </c>
      <c r="X99" s="4">
        <f ca="1">_xll.DBRW($B$1,$B$2,$B$7,$B$3,$B$4,$B$5,$F99,$B$6,X$10,$A99,$B99)</f>
        <v>6847266.8705408145</v>
      </c>
      <c r="Y99" s="4">
        <f ca="1">_xll.DBRW($B$1,$B$2,$B$7,$B$3,$B$4,$B$5,$F99,$B$6,Y$10,$A99,$B99)</f>
        <v>7821809.2288256306</v>
      </c>
      <c r="Z99" s="4">
        <f ca="1">_xll.DBRW($B$1,$B$2,$B$7,$B$3,$B$4,$B$5,$F99,$B$6,Z$10,$A99,$B99)</f>
        <v>8389960.6071394589</v>
      </c>
      <c r="AA99" s="4">
        <f ca="1">_xll.DBRW($B$1,$B$2,$B$7,$B$3,$B$4,$B$5,$F99,$B$6,AA$10,$A99,$B99)</f>
        <v>8148037.6388223665</v>
      </c>
      <c r="AB99" s="4">
        <f ca="1">_xll.DBRW($B$1,$B$2,$B$7,$B$3,$B$4,$B$5,$F99,$B$6,AB$10,$A99,$B99)</f>
        <v>8177055.9860925339</v>
      </c>
      <c r="AC99" s="4">
        <f ca="1">_xll.DBRW($B$1,$B$2,$B$7,$B$3,$B$4,$B$5,$F99,$B$6,AC$10,$A99,$B99)</f>
        <v>7933382.8917384939</v>
      </c>
      <c r="AD99" s="4">
        <f ca="1">_xll.DBRW($B$1,$B$2,$B$7,$B$3,$B$4,$B$5,$F99,$B$6,AD$10,$A99,$B99)</f>
        <v>7719965.0780144949</v>
      </c>
      <c r="AE99" s="4">
        <f ca="1">_xll.DBRW($B$1,$B$2,$B$7,$B$3,$B$4,$B$5,$F99,$B$6,AE$10,$A99,$B99)</f>
        <v>6320523.3368651522</v>
      </c>
    </row>
    <row r="100" spans="1:31">
      <c r="A100" s="1" t="s">
        <v>153</v>
      </c>
      <c r="B100" s="5" t="s">
        <v>261</v>
      </c>
      <c r="C100" s="5" t="s">
        <v>262</v>
      </c>
      <c r="D100" s="5" t="s">
        <v>260</v>
      </c>
      <c r="E100" s="5" t="s">
        <v>21</v>
      </c>
      <c r="F100" s="5" t="s">
        <v>22</v>
      </c>
      <c r="G100" s="6"/>
      <c r="H100" s="6"/>
      <c r="I100" s="6"/>
      <c r="J100" s="6"/>
      <c r="K100" s="6"/>
      <c r="L100" s="4">
        <f ca="1">_xll.DBRW($B$1,$B$2,$B$7,$B$3,$B$4,$B$5,$F100,$B$6,L$10,$A100,$B100)</f>
        <v>7073922.2399999993</v>
      </c>
      <c r="M100" s="4">
        <f ca="1">_xll.DBRW($B$1,$B$2,$B$7,$B$3,$B$4,$B$5,$F100,$B$6,M$10,$A100,$B100)</f>
        <v>6176893.9524906017</v>
      </c>
      <c r="N100" s="4">
        <f ca="1">_xll.DBRW($B$1,$B$2,$B$7,$B$3,$B$4,$B$5,$F100,$B$6,N$10,$A100,$B100)</f>
        <v>7579202.4000000004</v>
      </c>
      <c r="O100" s="4">
        <f ca="1">_xll.DBRW($B$1,$B$2,$B$7,$B$3,$B$4,$B$5,$F100,$B$6,O$10,$A100,$B100)</f>
        <v>7320820.4999999991</v>
      </c>
      <c r="P100" s="4">
        <f ca="1">_xll.DBRW($B$1,$B$2,$B$7,$B$3,$B$4,$B$5,$F100,$B$6,P$10,$A100,$B100)</f>
        <v>7076793.1500000004</v>
      </c>
      <c r="Q100" s="4">
        <f ca="1">_xll.DBRW($B$1,$B$2,$B$7,$B$3,$B$4,$B$5,$F100,$B$6,Q$10,$A100,$B100)</f>
        <v>7837584.2999999998</v>
      </c>
      <c r="R100" s="4">
        <f ca="1">_xll.DBRW($B$1,$B$2,$B$7,$B$3,$B$4,$B$5,$F100,$B$6,R$10,$A100,$B100)</f>
        <v>6577254.8100000005</v>
      </c>
      <c r="S100" s="4">
        <f ca="1">_xll.DBRW($B$1,$B$2,$B$7,$B$3,$B$4,$B$5,$F100,$B$6,S$10,$A100,$B100)</f>
        <v>6287292.8999999994</v>
      </c>
      <c r="T100" s="4">
        <f ca="1">_xll.DBRW($B$1,$B$2,$B$7,$B$3,$B$4,$B$5,$F100,$B$6,T$10,$A100,$B100)</f>
        <v>6897337.6436654637</v>
      </c>
      <c r="U100" s="4">
        <f ca="1">_xll.DBRW($B$1,$B$2,$B$7,$B$3,$B$4,$B$5,$F100,$B$6,U$10,$A100,$B100)</f>
        <v>5240974.4658421678</v>
      </c>
      <c r="V100" s="4">
        <f ca="1">_xll.DBRW($B$1,$B$2,$B$7,$B$3,$B$4,$B$5,$F100,$B$6,V$10,$A100,$B100)</f>
        <v>7490194.0351472795</v>
      </c>
      <c r="W100" s="4">
        <f ca="1">_xll.DBRW($B$1,$B$2,$B$7,$B$3,$B$4,$B$5,$F100,$B$6,W$10,$A100,$B100)</f>
        <v>7050622.5174493538</v>
      </c>
      <c r="X100" s="4">
        <f ca="1">_xll.DBRW($B$1,$B$2,$B$7,$B$3,$B$4,$B$5,$F100,$B$6,X$10,$A100,$B100)</f>
        <v>6847266.8705408145</v>
      </c>
      <c r="Y100" s="4">
        <f ca="1">_xll.DBRW($B$1,$B$2,$B$7,$B$3,$B$4,$B$5,$F100,$B$6,Y$10,$A100,$B100)</f>
        <v>7821809.2288256306</v>
      </c>
      <c r="Z100" s="4">
        <f ca="1">_xll.DBRW($B$1,$B$2,$B$7,$B$3,$B$4,$B$5,$F100,$B$6,Z$10,$A100,$B100)</f>
        <v>8389960.6071394589</v>
      </c>
      <c r="AA100" s="4">
        <f ca="1">_xll.DBRW($B$1,$B$2,$B$7,$B$3,$B$4,$B$5,$F100,$B$6,AA$10,$A100,$B100)</f>
        <v>8148037.6388223665</v>
      </c>
      <c r="AB100" s="4">
        <f ca="1">_xll.DBRW($B$1,$B$2,$B$7,$B$3,$B$4,$B$5,$F100,$B$6,AB$10,$A100,$B100)</f>
        <v>8177055.9860925339</v>
      </c>
      <c r="AC100" s="4">
        <f ca="1">_xll.DBRW($B$1,$B$2,$B$7,$B$3,$B$4,$B$5,$F100,$B$6,AC$10,$A100,$B100)</f>
        <v>7933382.8917384939</v>
      </c>
      <c r="AD100" s="4">
        <f ca="1">_xll.DBRW($B$1,$B$2,$B$7,$B$3,$B$4,$B$5,$F100,$B$6,AD$10,$A100,$B100)</f>
        <v>7719965.0780144949</v>
      </c>
      <c r="AE100" s="4">
        <f ca="1">_xll.DBRW($B$1,$B$2,$B$7,$B$3,$B$4,$B$5,$F100,$B$6,AE$10,$A100,$B100)</f>
        <v>6320523.3368651522</v>
      </c>
    </row>
    <row r="101" spans="1:31">
      <c r="A101" s="1" t="s">
        <v>153</v>
      </c>
      <c r="B101" s="5" t="s">
        <v>263</v>
      </c>
      <c r="C101" s="5" t="s">
        <v>264</v>
      </c>
      <c r="D101" s="5" t="s">
        <v>21</v>
      </c>
      <c r="E101" s="5" t="s">
        <v>265</v>
      </c>
      <c r="F101" s="5" t="s">
        <v>22</v>
      </c>
      <c r="G101" s="6"/>
      <c r="H101" s="6"/>
      <c r="I101" s="6"/>
      <c r="J101" s="6"/>
      <c r="K101" s="6"/>
      <c r="L101" s="4">
        <f ca="1">_xll.DBRW($B$1,$B$2,$B$7,$B$3,$B$4,$B$5,$F101,$B$6,L$10,$A101,$B101)</f>
        <v>5638456.0799999991</v>
      </c>
      <c r="M101" s="4">
        <f ca="1">_xll.DBRW($B$1,$B$2,$B$7,$B$3,$B$4,$B$5,$F101,$B$6,M$10,$A101,$B101)</f>
        <v>5715242.3688007696</v>
      </c>
      <c r="N101" s="4">
        <f ca="1">_xll.DBRW($B$1,$B$2,$B$7,$B$3,$B$4,$B$5,$F101,$B$6,N$10,$A101,$B101)</f>
        <v>5573646.2400000002</v>
      </c>
      <c r="O101" s="4">
        <f ca="1">_xll.DBRW($B$1,$B$2,$B$7,$B$3,$B$4,$B$5,$F101,$B$6,O$10,$A101,$B101)</f>
        <v>5444026.5599999996</v>
      </c>
      <c r="P101" s="4">
        <f ca="1">_xll.DBRW($B$1,$B$2,$B$7,$B$3,$B$4,$B$5,$F101,$B$6,P$10,$A101,$B101)</f>
        <v>6146481.5999999996</v>
      </c>
      <c r="Q101" s="4">
        <f ca="1">_xll.DBRW($B$1,$B$2,$B$7,$B$3,$B$4,$B$5,$F101,$B$6,Q$10,$A101,$B101)</f>
        <v>5855815.1999999993</v>
      </c>
      <c r="R101" s="4">
        <f ca="1">_xll.DBRW($B$1,$B$2,$B$7,$B$3,$B$4,$B$5,$F101,$B$6,R$10,$A101,$B101)</f>
        <v>3912599.0400000005</v>
      </c>
      <c r="S101" s="4">
        <f ca="1">_xll.DBRW($B$1,$B$2,$B$7,$B$3,$B$4,$B$5,$F101,$B$6,S$10,$A101,$B101)</f>
        <v>4203400.32</v>
      </c>
      <c r="T101" s="4">
        <f ca="1">_xll.DBRW($B$1,$B$2,$B$7,$B$3,$B$4,$B$5,$F101,$B$6,T$10,$A101,$B101)</f>
        <v>3912367.3152129608</v>
      </c>
      <c r="U101" s="4">
        <f ca="1">_xll.DBRW($B$1,$B$2,$B$7,$B$3,$B$4,$B$5,$F101,$B$6,U$10,$A101,$B101)</f>
        <v>3740834.1028742502</v>
      </c>
      <c r="V101" s="4">
        <f ca="1">_xll.DBRW($B$1,$B$2,$B$7,$B$3,$B$4,$B$5,$F101,$B$6,V$10,$A101,$B101)</f>
        <v>4163485.8201143756</v>
      </c>
      <c r="W101" s="4">
        <f ca="1">_xll.DBRW($B$1,$B$2,$B$7,$B$3,$B$4,$B$5,$F101,$B$6,W$10,$A101,$B101)</f>
        <v>5012844.021000565</v>
      </c>
      <c r="X101" s="4">
        <f ca="1">_xll.DBRW($B$1,$B$2,$B$7,$B$3,$B$4,$B$5,$F101,$B$6,X$10,$A101,$B101)</f>
        <v>5053735.5980927246</v>
      </c>
      <c r="Y101" s="4">
        <f ca="1">_xll.DBRW($B$1,$B$2,$B$7,$B$3,$B$4,$B$5,$F101,$B$6,Y$10,$A101,$B101)</f>
        <v>5788681.233359213</v>
      </c>
      <c r="Z101" s="4">
        <f ca="1">_xll.DBRW($B$1,$B$2,$B$7,$B$3,$B$4,$B$5,$F101,$B$6,Z$10,$A101,$B101)</f>
        <v>5720972.9346897602</v>
      </c>
      <c r="AA101" s="4">
        <f ca="1">_xll.DBRW($B$1,$B$2,$B$7,$B$3,$B$4,$B$5,$F101,$B$6,AA$10,$A101,$B101)</f>
        <v>5916312.4558393648</v>
      </c>
      <c r="AB101" s="4">
        <f ca="1">_xll.DBRW($B$1,$B$2,$B$7,$B$3,$B$4,$B$5,$F101,$B$6,AB$10,$A101,$B101)</f>
        <v>6212456.6351304529</v>
      </c>
      <c r="AC101" s="4">
        <f ca="1">_xll.DBRW($B$1,$B$2,$B$7,$B$3,$B$4,$B$5,$F101,$B$6,AC$10,$A101,$B101)</f>
        <v>5882204.9734230991</v>
      </c>
      <c r="AD101" s="4">
        <f ca="1">_xll.DBRW($B$1,$B$2,$B$7,$B$3,$B$4,$B$5,$F101,$B$6,AD$10,$A101,$B101)</f>
        <v>3950398.9776483332</v>
      </c>
      <c r="AE101" s="4">
        <f ca="1">_xll.DBRW($B$1,$B$2,$B$7,$B$3,$B$4,$B$5,$F101,$B$6,AE$10,$A101,$B101)</f>
        <v>3993241.3282854664</v>
      </c>
    </row>
    <row r="102" spans="1:31">
      <c r="A102" s="1" t="s">
        <v>153</v>
      </c>
      <c r="B102" s="5" t="s">
        <v>266</v>
      </c>
      <c r="C102" s="5" t="s">
        <v>267</v>
      </c>
      <c r="D102" s="5" t="s">
        <v>265</v>
      </c>
      <c r="E102" s="5" t="s">
        <v>21</v>
      </c>
      <c r="F102" s="5" t="s">
        <v>22</v>
      </c>
      <c r="G102" s="6"/>
      <c r="H102" s="6"/>
      <c r="I102" s="6"/>
      <c r="J102" s="6"/>
      <c r="K102" s="6"/>
      <c r="L102" s="4">
        <f ca="1">_xll.DBRW($B$1,$B$2,$B$7,$B$3,$B$4,$B$5,$F102,$B$6,L$10,$A102,$B102)</f>
        <v>5638456.0799999991</v>
      </c>
      <c r="M102" s="4">
        <f ca="1">_xll.DBRW($B$1,$B$2,$B$7,$B$3,$B$4,$B$5,$F102,$B$6,M$10,$A102,$B102)</f>
        <v>5715242.3688007696</v>
      </c>
      <c r="N102" s="4">
        <f ca="1">_xll.DBRW($B$1,$B$2,$B$7,$B$3,$B$4,$B$5,$F102,$B$6,N$10,$A102,$B102)</f>
        <v>5573646.2400000002</v>
      </c>
      <c r="O102" s="4">
        <f ca="1">_xll.DBRW($B$1,$B$2,$B$7,$B$3,$B$4,$B$5,$F102,$B$6,O$10,$A102,$B102)</f>
        <v>5444026.5599999996</v>
      </c>
      <c r="P102" s="4">
        <f ca="1">_xll.DBRW($B$1,$B$2,$B$7,$B$3,$B$4,$B$5,$F102,$B$6,P$10,$A102,$B102)</f>
        <v>6146481.5999999996</v>
      </c>
      <c r="Q102" s="4">
        <f ca="1">_xll.DBRW($B$1,$B$2,$B$7,$B$3,$B$4,$B$5,$F102,$B$6,Q$10,$A102,$B102)</f>
        <v>5855815.1999999993</v>
      </c>
      <c r="R102" s="4">
        <f ca="1">_xll.DBRW($B$1,$B$2,$B$7,$B$3,$B$4,$B$5,$F102,$B$6,R$10,$A102,$B102)</f>
        <v>3912599.0400000005</v>
      </c>
      <c r="S102" s="4">
        <f ca="1">_xll.DBRW($B$1,$B$2,$B$7,$B$3,$B$4,$B$5,$F102,$B$6,S$10,$A102,$B102)</f>
        <v>4203400.32</v>
      </c>
      <c r="T102" s="4">
        <f ca="1">_xll.DBRW($B$1,$B$2,$B$7,$B$3,$B$4,$B$5,$F102,$B$6,T$10,$A102,$B102)</f>
        <v>3912367.3152129608</v>
      </c>
      <c r="U102" s="4">
        <f ca="1">_xll.DBRW($B$1,$B$2,$B$7,$B$3,$B$4,$B$5,$F102,$B$6,U$10,$A102,$B102)</f>
        <v>3740834.1028742502</v>
      </c>
      <c r="V102" s="4">
        <f ca="1">_xll.DBRW($B$1,$B$2,$B$7,$B$3,$B$4,$B$5,$F102,$B$6,V$10,$A102,$B102)</f>
        <v>4163485.8201143756</v>
      </c>
      <c r="W102" s="4">
        <f ca="1">_xll.DBRW($B$1,$B$2,$B$7,$B$3,$B$4,$B$5,$F102,$B$6,W$10,$A102,$B102)</f>
        <v>5012844.021000565</v>
      </c>
      <c r="X102" s="4">
        <f ca="1">_xll.DBRW($B$1,$B$2,$B$7,$B$3,$B$4,$B$5,$F102,$B$6,X$10,$A102,$B102)</f>
        <v>5053735.5980927246</v>
      </c>
      <c r="Y102" s="4">
        <f ca="1">_xll.DBRW($B$1,$B$2,$B$7,$B$3,$B$4,$B$5,$F102,$B$6,Y$10,$A102,$B102)</f>
        <v>5788681.233359213</v>
      </c>
      <c r="Z102" s="4">
        <f ca="1">_xll.DBRW($B$1,$B$2,$B$7,$B$3,$B$4,$B$5,$F102,$B$6,Z$10,$A102,$B102)</f>
        <v>5720972.9346897602</v>
      </c>
      <c r="AA102" s="4">
        <f ca="1">_xll.DBRW($B$1,$B$2,$B$7,$B$3,$B$4,$B$5,$F102,$B$6,AA$10,$A102,$B102)</f>
        <v>5916312.4558393648</v>
      </c>
      <c r="AB102" s="4">
        <f ca="1">_xll.DBRW($B$1,$B$2,$B$7,$B$3,$B$4,$B$5,$F102,$B$6,AB$10,$A102,$B102)</f>
        <v>6212456.6351304529</v>
      </c>
      <c r="AC102" s="4">
        <f ca="1">_xll.DBRW($B$1,$B$2,$B$7,$B$3,$B$4,$B$5,$F102,$B$6,AC$10,$A102,$B102)</f>
        <v>5882204.9734230991</v>
      </c>
      <c r="AD102" s="4">
        <f ca="1">_xll.DBRW($B$1,$B$2,$B$7,$B$3,$B$4,$B$5,$F102,$B$6,AD$10,$A102,$B102)</f>
        <v>3950398.9776483332</v>
      </c>
      <c r="AE102" s="4">
        <f ca="1">_xll.DBRW($B$1,$B$2,$B$7,$B$3,$B$4,$B$5,$F102,$B$6,AE$10,$A102,$B102)</f>
        <v>3993241.3282854664</v>
      </c>
    </row>
    <row r="103" spans="1:31">
      <c r="A103" s="1" t="s">
        <v>153</v>
      </c>
      <c r="B103" s="5" t="s">
        <v>268</v>
      </c>
      <c r="C103" s="5" t="s">
        <v>264</v>
      </c>
      <c r="D103" s="5" t="s">
        <v>21</v>
      </c>
      <c r="E103" s="5" t="s">
        <v>265</v>
      </c>
      <c r="F103" s="5" t="s">
        <v>22</v>
      </c>
      <c r="G103" s="6"/>
      <c r="H103" s="6"/>
      <c r="I103" s="6"/>
      <c r="J103" s="6"/>
      <c r="K103" s="6"/>
      <c r="L103" s="4">
        <f ca="1">_xll.DBRW($B$1,$B$2,$B$7,$B$3,$B$4,$B$5,$F103,$B$6,L$10,$A103,$B103)</f>
        <v>2910170.8799999994</v>
      </c>
      <c r="M103" s="4">
        <f ca="1">_xll.DBRW($B$1,$B$2,$B$7,$B$3,$B$4,$B$5,$F103,$B$6,M$10,$A103,$B103)</f>
        <v>2949802.5129294293</v>
      </c>
      <c r="N103" s="4">
        <f ca="1">_xll.DBRW($B$1,$B$2,$B$7,$B$3,$B$4,$B$5,$F103,$B$6,N$10,$A103,$B103)</f>
        <v>2876720.64</v>
      </c>
      <c r="O103" s="4">
        <f ca="1">_xll.DBRW($B$1,$B$2,$B$7,$B$3,$B$4,$B$5,$F103,$B$6,O$10,$A103,$B103)</f>
        <v>2809820.1599999997</v>
      </c>
      <c r="P103" s="4">
        <f ca="1">_xll.DBRW($B$1,$B$2,$B$7,$B$3,$B$4,$B$5,$F103,$B$6,P$10,$A103,$B103)</f>
        <v>3172377.5999999996</v>
      </c>
      <c r="Q103" s="4">
        <f ca="1">_xll.DBRW($B$1,$B$2,$B$7,$B$3,$B$4,$B$5,$F103,$B$6,Q$10,$A103,$B103)</f>
        <v>3357163.1999999993</v>
      </c>
      <c r="R103" s="4">
        <f ca="1">_xll.DBRW($B$1,$B$2,$B$7,$B$3,$B$4,$B$5,$F103,$B$6,R$10,$A103,$B103)</f>
        <v>3172377.6</v>
      </c>
      <c r="S103" s="4">
        <f ca="1">_xll.DBRW($B$1,$B$2,$B$7,$B$3,$B$4,$B$5,$F103,$B$6,S$10,$A103,$B103)</f>
        <v>3278123.52</v>
      </c>
      <c r="T103" s="4">
        <f ca="1">_xll.DBRW($B$1,$B$2,$B$7,$B$3,$B$4,$B$5,$F103,$B$6,T$10,$A103,$B103)</f>
        <v>6183856.8913152218</v>
      </c>
      <c r="U103" s="4">
        <f ca="1">_xll.DBRW($B$1,$B$2,$B$7,$B$3,$B$4,$B$5,$F103,$B$6,U$10,$A103,$B103)</f>
        <v>5798292.8594550872</v>
      </c>
      <c r="V103" s="4">
        <f ca="1">_xll.DBRW($B$1,$B$2,$B$7,$B$3,$B$4,$B$5,$F103,$B$6,V$10,$A103,$B103)</f>
        <v>6075556.8942421377</v>
      </c>
      <c r="W103" s="4">
        <f ca="1">_xll.DBRW($B$1,$B$2,$B$7,$B$3,$B$4,$B$5,$F103,$B$6,W$10,$A103,$B103)</f>
        <v>2587274.3334196466</v>
      </c>
      <c r="X103" s="4">
        <f ca="1">_xll.DBRW($B$1,$B$2,$B$7,$B$3,$B$4,$B$5,$F103,$B$6,X$10,$A103,$B103)</f>
        <v>2608379.663531729</v>
      </c>
      <c r="Y103" s="4">
        <f ca="1">_xll.DBRW($B$1,$B$2,$B$7,$B$3,$B$4,$B$5,$F103,$B$6,Y$10,$A103,$B103)</f>
        <v>2987706.4430241105</v>
      </c>
      <c r="Z103" s="4">
        <f ca="1">_xll.DBRW($B$1,$B$2,$B$7,$B$3,$B$4,$B$5,$F103,$B$6,Z$10,$A103,$B103)</f>
        <v>2952760.224356005</v>
      </c>
      <c r="AA103" s="4">
        <f ca="1">_xll.DBRW($B$1,$B$2,$B$7,$B$3,$B$4,$B$5,$F103,$B$6,AA$10,$A103,$B103)</f>
        <v>3053580.6223687041</v>
      </c>
      <c r="AB103" s="4">
        <f ca="1">_xll.DBRW($B$1,$B$2,$B$7,$B$3,$B$4,$B$5,$F103,$B$6,AB$10,$A103,$B103)</f>
        <v>3206429.2310350719</v>
      </c>
      <c r="AC103" s="4">
        <f ca="1">_xll.DBRW($B$1,$B$2,$B$7,$B$3,$B$4,$B$5,$F103,$B$6,AC$10,$A103,$B103)</f>
        <v>3834229.2707741223</v>
      </c>
      <c r="AD103" s="4">
        <f ca="1">_xll.DBRW($B$1,$B$2,$B$7,$B$3,$B$4,$B$5,$F103,$B$6,AD$10,$A103,$B103)</f>
        <v>6205863.2588056596</v>
      </c>
      <c r="AE103" s="4">
        <f ca="1">_xll.DBRW($B$1,$B$2,$B$7,$B$3,$B$4,$B$5,$F103,$B$6,AE$10,$A103,$B103)</f>
        <v>6033812.7617646744</v>
      </c>
    </row>
    <row r="104" spans="1:31">
      <c r="A104" s="1" t="s">
        <v>153</v>
      </c>
      <c r="B104" s="5" t="s">
        <v>269</v>
      </c>
      <c r="C104" s="5" t="s">
        <v>267</v>
      </c>
      <c r="D104" s="5" t="s">
        <v>265</v>
      </c>
      <c r="E104" s="5" t="s">
        <v>21</v>
      </c>
      <c r="F104" s="5" t="s">
        <v>22</v>
      </c>
      <c r="G104" s="6"/>
      <c r="H104" s="6"/>
      <c r="I104" s="6"/>
      <c r="J104" s="6"/>
      <c r="K104" s="6"/>
      <c r="L104" s="4">
        <f ca="1">_xll.DBRW($B$1,$B$2,$B$7,$B$3,$B$4,$B$5,$F104,$B$6,L$10,$A104,$B104)</f>
        <v>2910170.8799999994</v>
      </c>
      <c r="M104" s="4">
        <f ca="1">_xll.DBRW($B$1,$B$2,$B$7,$B$3,$B$4,$B$5,$F104,$B$6,M$10,$A104,$B104)</f>
        <v>2949802.5129294293</v>
      </c>
      <c r="N104" s="4">
        <f ca="1">_xll.DBRW($B$1,$B$2,$B$7,$B$3,$B$4,$B$5,$F104,$B$6,N$10,$A104,$B104)</f>
        <v>2876720.64</v>
      </c>
      <c r="O104" s="4">
        <f ca="1">_xll.DBRW($B$1,$B$2,$B$7,$B$3,$B$4,$B$5,$F104,$B$6,O$10,$A104,$B104)</f>
        <v>2809820.1599999997</v>
      </c>
      <c r="P104" s="4">
        <f ca="1">_xll.DBRW($B$1,$B$2,$B$7,$B$3,$B$4,$B$5,$F104,$B$6,P$10,$A104,$B104)</f>
        <v>3172377.5999999996</v>
      </c>
      <c r="Q104" s="4">
        <f ca="1">_xll.DBRW($B$1,$B$2,$B$7,$B$3,$B$4,$B$5,$F104,$B$6,Q$10,$A104,$B104)</f>
        <v>3357163.1999999993</v>
      </c>
      <c r="R104" s="4">
        <f ca="1">_xll.DBRW($B$1,$B$2,$B$7,$B$3,$B$4,$B$5,$F104,$B$6,R$10,$A104,$B104)</f>
        <v>3172377.6</v>
      </c>
      <c r="S104" s="4">
        <f ca="1">_xll.DBRW($B$1,$B$2,$B$7,$B$3,$B$4,$B$5,$F104,$B$6,S$10,$A104,$B104)</f>
        <v>3278123.52</v>
      </c>
      <c r="T104" s="4">
        <f ca="1">_xll.DBRW($B$1,$B$2,$B$7,$B$3,$B$4,$B$5,$F104,$B$6,T$10,$A104,$B104)</f>
        <v>6183856.8913152218</v>
      </c>
      <c r="U104" s="4">
        <f ca="1">_xll.DBRW($B$1,$B$2,$B$7,$B$3,$B$4,$B$5,$F104,$B$6,U$10,$A104,$B104)</f>
        <v>5798292.8594550872</v>
      </c>
      <c r="V104" s="4">
        <f ca="1">_xll.DBRW($B$1,$B$2,$B$7,$B$3,$B$4,$B$5,$F104,$B$6,V$10,$A104,$B104)</f>
        <v>6075556.8942421377</v>
      </c>
      <c r="W104" s="4">
        <f ca="1">_xll.DBRW($B$1,$B$2,$B$7,$B$3,$B$4,$B$5,$F104,$B$6,W$10,$A104,$B104)</f>
        <v>2587274.3334196466</v>
      </c>
      <c r="X104" s="4">
        <f ca="1">_xll.DBRW($B$1,$B$2,$B$7,$B$3,$B$4,$B$5,$F104,$B$6,X$10,$A104,$B104)</f>
        <v>2608379.663531729</v>
      </c>
      <c r="Y104" s="4">
        <f ca="1">_xll.DBRW($B$1,$B$2,$B$7,$B$3,$B$4,$B$5,$F104,$B$6,Y$10,$A104,$B104)</f>
        <v>2987706.4430241105</v>
      </c>
      <c r="Z104" s="4">
        <f ca="1">_xll.DBRW($B$1,$B$2,$B$7,$B$3,$B$4,$B$5,$F104,$B$6,Z$10,$A104,$B104)</f>
        <v>2952760.224356005</v>
      </c>
      <c r="AA104" s="4">
        <f ca="1">_xll.DBRW($B$1,$B$2,$B$7,$B$3,$B$4,$B$5,$F104,$B$6,AA$10,$A104,$B104)</f>
        <v>3053580.6223687041</v>
      </c>
      <c r="AB104" s="4">
        <f ca="1">_xll.DBRW($B$1,$B$2,$B$7,$B$3,$B$4,$B$5,$F104,$B$6,AB$10,$A104,$B104)</f>
        <v>3206429.2310350719</v>
      </c>
      <c r="AC104" s="4">
        <f ca="1">_xll.DBRW($B$1,$B$2,$B$7,$B$3,$B$4,$B$5,$F104,$B$6,AC$10,$A104,$B104)</f>
        <v>3631394.6165181538</v>
      </c>
      <c r="AD104" s="4">
        <f ca="1">_xll.DBRW($B$1,$B$2,$B$7,$B$3,$B$4,$B$5,$F104,$B$6,AD$10,$A104,$B104)</f>
        <v>6205863.2588056596</v>
      </c>
      <c r="AE104" s="4">
        <f ca="1">_xll.DBRW($B$1,$B$2,$B$7,$B$3,$B$4,$B$5,$F104,$B$6,AE$10,$A104,$B104)</f>
        <v>6033812.7617646744</v>
      </c>
    </row>
    <row r="105" spans="1:31">
      <c r="A105" s="1" t="s">
        <v>153</v>
      </c>
      <c r="B105" s="5" t="s">
        <v>270</v>
      </c>
      <c r="C105" s="5" t="s">
        <v>271</v>
      </c>
      <c r="D105" s="5" t="s">
        <v>21</v>
      </c>
      <c r="E105" s="5" t="s">
        <v>272</v>
      </c>
      <c r="F105" s="5" t="s">
        <v>22</v>
      </c>
      <c r="G105" s="6"/>
      <c r="H105" s="6"/>
      <c r="I105" s="6"/>
      <c r="J105" s="6"/>
      <c r="K105" s="6"/>
      <c r="L105" s="4">
        <f ca="1">_xll.DBRW($B$1,$B$2,$B$7,$B$3,$B$4,$B$5,$F105,$B$6,L$10,$A105,$B105)</f>
        <v>6190377.6000000006</v>
      </c>
      <c r="M105" s="4">
        <f ca="1">_xll.DBRW($B$1,$B$2,$B$7,$B$3,$B$4,$B$5,$F105,$B$6,M$10,$A105,$B105)</f>
        <v>6975352.7463584263</v>
      </c>
      <c r="N105" s="4">
        <f ca="1">_xll.DBRW($B$1,$B$2,$B$7,$B$3,$B$4,$B$5,$F105,$B$6,N$10,$A105,$B105)</f>
        <v>6577276.2000000002</v>
      </c>
      <c r="O105" s="4">
        <f ca="1">_xll.DBRW($B$1,$B$2,$B$7,$B$3,$B$4,$B$5,$F105,$B$6,O$10,$A105,$B105)</f>
        <v>5571339.8399999999</v>
      </c>
      <c r="P105" s="4">
        <f ca="1">_xll.DBRW($B$1,$B$2,$B$7,$B$3,$B$4,$B$5,$F105,$B$6,P$10,$A105,$B105)</f>
        <v>6215338.7999999998</v>
      </c>
      <c r="Q105" s="4">
        <f ca="1">_xll.DBRW($B$1,$B$2,$B$7,$B$3,$B$4,$B$5,$F105,$B$6,Q$10,$A105,$B105)</f>
        <v>6422516.7599999998</v>
      </c>
      <c r="R105" s="4">
        <f ca="1">_xll.DBRW($B$1,$B$2,$B$7,$B$3,$B$4,$B$5,$F105,$B$6,R$10,$A105,$B105)</f>
        <v>5241851.9999999991</v>
      </c>
      <c r="S105" s="4">
        <f ca="1">_xll.DBRW($B$1,$B$2,$B$7,$B$3,$B$4,$B$5,$F105,$B$6,S$10,$A105,$B105)</f>
        <v>5493960.1199999992</v>
      </c>
      <c r="T105" s="4">
        <f ca="1">_xll.DBRW($B$1,$B$2,$B$7,$B$3,$B$4,$B$5,$F105,$B$6,T$10,$A105,$B105)</f>
        <v>5917477.5915728519</v>
      </c>
      <c r="U105" s="4">
        <f ca="1">_xll.DBRW($B$1,$B$2,$B$7,$B$3,$B$4,$B$5,$F105,$B$6,U$10,$A105,$B105)</f>
        <v>5413616.2337640356</v>
      </c>
      <c r="V105" s="4">
        <f ca="1">_xll.DBRW($B$1,$B$2,$B$7,$B$3,$B$4,$B$5,$F105,$B$6,V$10,$A105,$B105)</f>
        <v>6193771.7388404375</v>
      </c>
      <c r="W105" s="4">
        <f ca="1">_xll.DBRW($B$1,$B$2,$B$7,$B$3,$B$4,$B$5,$F105,$B$6,W$10,$A105,$B105)</f>
        <v>6239460.9138939036</v>
      </c>
      <c r="X105" s="4">
        <f ca="1">_xll.DBRW($B$1,$B$2,$B$7,$B$3,$B$4,$B$5,$F105,$B$6,X$10,$A105,$B105)</f>
        <v>7020358.8751383983</v>
      </c>
      <c r="Y105" s="4">
        <f ca="1">_xll.DBRW($B$1,$B$2,$B$7,$B$3,$B$4,$B$5,$F105,$B$6,Y$10,$A105,$B105)</f>
        <v>6873327.1354270643</v>
      </c>
      <c r="Z105" s="4">
        <f ca="1">_xll.DBRW($B$1,$B$2,$B$7,$B$3,$B$4,$B$5,$F105,$B$6,Z$10,$A105,$B105)</f>
        <v>6685153.2788604246</v>
      </c>
      <c r="AA105" s="4">
        <f ca="1">_xll.DBRW($B$1,$B$2,$B$7,$B$3,$B$4,$B$5,$F105,$B$6,AA$10,$A105,$B105)</f>
        <v>5586283.8053476671</v>
      </c>
      <c r="AB105" s="4">
        <f ca="1">_xll.DBRW($B$1,$B$2,$B$7,$B$3,$B$4,$B$5,$F105,$B$6,AB$10,$A105,$B105)</f>
        <v>6495275.7110534115</v>
      </c>
      <c r="AC105" s="4">
        <f ca="1">_xll.DBRW($B$1,$B$2,$B$7,$B$3,$B$4,$B$5,$F105,$B$6,AC$10,$A105,$B105)</f>
        <v>7013767.8791264128</v>
      </c>
      <c r="AD105" s="4">
        <f ca="1">_xll.DBRW($B$1,$B$2,$B$7,$B$3,$B$4,$B$5,$F105,$B$6,AD$10,$A105,$B105)</f>
        <v>6948508.2669095872</v>
      </c>
      <c r="AE105" s="4">
        <f ca="1">_xll.DBRW($B$1,$B$2,$B$7,$B$3,$B$4,$B$5,$F105,$B$6,AE$10,$A105,$B105)</f>
        <v>6047789.967669419</v>
      </c>
    </row>
    <row r="106" spans="1:31">
      <c r="A106" s="1" t="s">
        <v>153</v>
      </c>
      <c r="B106" s="5" t="s">
        <v>273</v>
      </c>
      <c r="C106" s="5" t="s">
        <v>274</v>
      </c>
      <c r="D106" s="5" t="s">
        <v>272</v>
      </c>
      <c r="E106" s="5" t="s">
        <v>21</v>
      </c>
      <c r="F106" s="5" t="s">
        <v>22</v>
      </c>
      <c r="G106" s="6"/>
      <c r="H106" s="6"/>
      <c r="I106" s="6"/>
      <c r="J106" s="6"/>
      <c r="K106" s="6"/>
      <c r="L106" s="4">
        <f ca="1">_xll.DBRW($B$1,$B$2,$B$7,$B$3,$B$4,$B$5,$F106,$B$6,L$10,$A106,$B106)</f>
        <v>6190377.6000000006</v>
      </c>
      <c r="M106" s="4">
        <f ca="1">_xll.DBRW($B$1,$B$2,$B$7,$B$3,$B$4,$B$5,$F106,$B$6,M$10,$A106,$B106)</f>
        <v>6975352.7463584263</v>
      </c>
      <c r="N106" s="4">
        <f ca="1">_xll.DBRW($B$1,$B$2,$B$7,$B$3,$B$4,$B$5,$F106,$B$6,N$10,$A106,$B106)</f>
        <v>6577276.2000000002</v>
      </c>
      <c r="O106" s="4">
        <f ca="1">_xll.DBRW($B$1,$B$2,$B$7,$B$3,$B$4,$B$5,$F106,$B$6,O$10,$A106,$B106)</f>
        <v>5571339.8399999999</v>
      </c>
      <c r="P106" s="4">
        <f ca="1">_xll.DBRW($B$1,$B$2,$B$7,$B$3,$B$4,$B$5,$F106,$B$6,P$10,$A106,$B106)</f>
        <v>6215338.7999999998</v>
      </c>
      <c r="Q106" s="4">
        <f ca="1">_xll.DBRW($B$1,$B$2,$B$7,$B$3,$B$4,$B$5,$F106,$B$6,Q$10,$A106,$B106)</f>
        <v>6422516.7599999998</v>
      </c>
      <c r="R106" s="4">
        <f ca="1">_xll.DBRW($B$1,$B$2,$B$7,$B$3,$B$4,$B$5,$F106,$B$6,R$10,$A106,$B106)</f>
        <v>5241851.9999999991</v>
      </c>
      <c r="S106" s="4">
        <f ca="1">_xll.DBRW($B$1,$B$2,$B$7,$B$3,$B$4,$B$5,$F106,$B$6,S$10,$A106,$B106)</f>
        <v>5493960.1199999992</v>
      </c>
      <c r="T106" s="4">
        <f ca="1">_xll.DBRW($B$1,$B$2,$B$7,$B$3,$B$4,$B$5,$F106,$B$6,T$10,$A106,$B106)</f>
        <v>5917477.5915728519</v>
      </c>
      <c r="U106" s="4">
        <f ca="1">_xll.DBRW($B$1,$B$2,$B$7,$B$3,$B$4,$B$5,$F106,$B$6,U$10,$A106,$B106)</f>
        <v>5413616.2337640356</v>
      </c>
      <c r="V106" s="4">
        <f ca="1">_xll.DBRW($B$1,$B$2,$B$7,$B$3,$B$4,$B$5,$F106,$B$6,V$10,$A106,$B106)</f>
        <v>6193771.7388404375</v>
      </c>
      <c r="W106" s="4">
        <f ca="1">_xll.DBRW($B$1,$B$2,$B$7,$B$3,$B$4,$B$5,$F106,$B$6,W$10,$A106,$B106)</f>
        <v>6239460.9138939036</v>
      </c>
      <c r="X106" s="4">
        <f ca="1">_xll.DBRW($B$1,$B$2,$B$7,$B$3,$B$4,$B$5,$F106,$B$6,X$10,$A106,$B106)</f>
        <v>7020358.8751383983</v>
      </c>
      <c r="Y106" s="4">
        <f ca="1">_xll.DBRW($B$1,$B$2,$B$7,$B$3,$B$4,$B$5,$F106,$B$6,Y$10,$A106,$B106)</f>
        <v>6873327.1354270643</v>
      </c>
      <c r="Z106" s="4">
        <f ca="1">_xll.DBRW($B$1,$B$2,$B$7,$B$3,$B$4,$B$5,$F106,$B$6,Z$10,$A106,$B106)</f>
        <v>6685153.2788604246</v>
      </c>
      <c r="AA106" s="4">
        <f ca="1">_xll.DBRW($B$1,$B$2,$B$7,$B$3,$B$4,$B$5,$F106,$B$6,AA$10,$A106,$B106)</f>
        <v>5586283.8053476671</v>
      </c>
      <c r="AB106" s="4">
        <f ca="1">_xll.DBRW($B$1,$B$2,$B$7,$B$3,$B$4,$B$5,$F106,$B$6,AB$10,$A106,$B106)</f>
        <v>6495275.7110534115</v>
      </c>
      <c r="AC106" s="4">
        <f ca="1">_xll.DBRW($B$1,$B$2,$B$7,$B$3,$B$4,$B$5,$F106,$B$6,AC$10,$A106,$B106)</f>
        <v>6787517.3023804007</v>
      </c>
      <c r="AD106" s="4">
        <f ca="1">_xll.DBRW($B$1,$B$2,$B$7,$B$3,$B$4,$B$5,$F106,$B$6,AD$10,$A106,$B106)</f>
        <v>6948508.2669095872</v>
      </c>
      <c r="AE106" s="4">
        <f ca="1">_xll.DBRW($B$1,$B$2,$B$7,$B$3,$B$4,$B$5,$F106,$B$6,AE$10,$A106,$B106)</f>
        <v>6047789.967669419</v>
      </c>
    </row>
    <row r="107" spans="1:31">
      <c r="A107" s="1" t="s">
        <v>153</v>
      </c>
      <c r="B107" s="5" t="s">
        <v>275</v>
      </c>
      <c r="C107" s="5" t="s">
        <v>276</v>
      </c>
      <c r="D107" s="5" t="s">
        <v>21</v>
      </c>
      <c r="E107" s="5" t="s">
        <v>277</v>
      </c>
      <c r="F107" s="5" t="s">
        <v>22</v>
      </c>
      <c r="G107" s="6"/>
      <c r="H107" s="6"/>
      <c r="I107" s="6"/>
      <c r="J107" s="6"/>
      <c r="K107" s="6"/>
      <c r="L107" s="4">
        <f ca="1">_xll.DBRW($B$1,$B$2,$B$7,$B$3,$B$4,$B$5,$F107,$B$6,L$10,$A107,$B107)</f>
        <v>5759686.2299999995</v>
      </c>
      <c r="M107" s="4">
        <f ca="1">_xll.DBRW($B$1,$B$2,$B$7,$B$3,$B$4,$B$5,$F107,$B$6,M$10,$A107,$B107)</f>
        <v>6119478.8174837427</v>
      </c>
      <c r="N107" s="4">
        <f ca="1">_xll.DBRW($B$1,$B$2,$B$7,$B$3,$B$4,$B$5,$F107,$B$6,N$10,$A107,$B107)</f>
        <v>5551504.8000000007</v>
      </c>
      <c r="O107" s="4">
        <f ca="1">_xll.DBRW($B$1,$B$2,$B$7,$B$3,$B$4,$B$5,$F107,$B$6,O$10,$A107,$B107)</f>
        <v>6245442.9000000004</v>
      </c>
      <c r="P107" s="4">
        <f ca="1">_xll.DBRW($B$1,$B$2,$B$7,$B$3,$B$4,$B$5,$F107,$B$6,P$10,$A107,$B107)</f>
        <v>6245442.9000000004</v>
      </c>
      <c r="Q107" s="4">
        <f ca="1">_xll.DBRW($B$1,$B$2,$B$7,$B$3,$B$4,$B$5,$F107,$B$6,Q$10,$A107,$B107)</f>
        <v>5551504.8000000007</v>
      </c>
      <c r="R107" s="4">
        <f ca="1">_xll.DBRW($B$1,$B$2,$B$7,$B$3,$B$4,$B$5,$F107,$B$6,R$10,$A107,$B107)</f>
        <v>5372424</v>
      </c>
      <c r="S107" s="4">
        <f ca="1">_xll.DBRW($B$1,$B$2,$B$7,$B$3,$B$4,$B$5,$F107,$B$6,S$10,$A107,$B107)</f>
        <v>5551504.8000000007</v>
      </c>
      <c r="T107" s="4">
        <f ca="1">_xll.DBRW($B$1,$B$2,$B$7,$B$3,$B$4,$B$5,$F107,$B$6,T$10,$A107,$B107)</f>
        <v>3547659.1033829181</v>
      </c>
      <c r="U107" s="4">
        <f ca="1">_xll.DBRW($B$1,$B$2,$B$7,$B$3,$B$4,$B$5,$F107,$B$6,U$10,$A107,$B107)</f>
        <v>3100657.721417821</v>
      </c>
      <c r="V107" s="4">
        <f ca="1">_xll.DBRW($B$1,$B$2,$B$7,$B$3,$B$4,$B$5,$F107,$B$6,V$10,$A107,$B107)</f>
        <v>3409575.1165904226</v>
      </c>
      <c r="W107" s="4">
        <f ca="1">_xll.DBRW($B$1,$B$2,$B$7,$B$3,$B$4,$B$5,$F107,$B$6,W$10,$A107,$B107)</f>
        <v>5632915.591032031</v>
      </c>
      <c r="X107" s="4">
        <f ca="1">_xll.DBRW($B$1,$B$2,$B$7,$B$3,$B$4,$B$5,$F107,$B$6,X$10,$A107,$B107)</f>
        <v>6026594.9170532878</v>
      </c>
      <c r="Y107" s="4">
        <f ca="1">_xll.DBRW($B$1,$B$2,$B$7,$B$3,$B$4,$B$5,$F107,$B$6,Y$10,$A107,$B107)</f>
        <v>6555847.5325745083</v>
      </c>
      <c r="Z107" s="4">
        <f ca="1">_xll.DBRW($B$1,$B$2,$B$7,$B$3,$B$4,$B$5,$F107,$B$6,Z$10,$A107,$B107)</f>
        <v>6421401.3109876085</v>
      </c>
      <c r="AA107" s="4">
        <f ca="1">_xll.DBRW($B$1,$B$2,$B$7,$B$3,$B$4,$B$5,$F107,$B$6,AA$10,$A107,$B107)</f>
        <v>5918680.4684486287</v>
      </c>
      <c r="AB107" s="4">
        <f ca="1">_xll.DBRW($B$1,$B$2,$B$7,$B$3,$B$4,$B$5,$F107,$B$6,AB$10,$A107,$B107)</f>
        <v>6595362.4729327653</v>
      </c>
      <c r="AC107" s="4">
        <f ca="1">_xll.DBRW($B$1,$B$2,$B$7,$B$3,$B$4,$B$5,$F107,$B$6,AC$10,$A107,$B107)</f>
        <v>5188365.8419032702</v>
      </c>
      <c r="AD107" s="4">
        <f ca="1">_xll.DBRW($B$1,$B$2,$B$7,$B$3,$B$4,$B$5,$F107,$B$6,AD$10,$A107,$B107)</f>
        <v>3192358.7228687052</v>
      </c>
      <c r="AE107" s="4">
        <f ca="1">_xll.DBRW($B$1,$B$2,$B$7,$B$3,$B$4,$B$5,$F107,$B$6,AE$10,$A107,$B107)</f>
        <v>3121513.7069864739</v>
      </c>
    </row>
    <row r="108" spans="1:31">
      <c r="A108" s="1" t="s">
        <v>153</v>
      </c>
      <c r="B108" s="5" t="s">
        <v>278</v>
      </c>
      <c r="C108" s="5" t="s">
        <v>279</v>
      </c>
      <c r="D108" s="5" t="s">
        <v>277</v>
      </c>
      <c r="E108" s="5" t="s">
        <v>21</v>
      </c>
      <c r="F108" s="5" t="s">
        <v>22</v>
      </c>
      <c r="G108" s="6"/>
      <c r="H108" s="6"/>
      <c r="I108" s="6"/>
      <c r="J108" s="6"/>
      <c r="K108" s="6"/>
      <c r="L108" s="4">
        <f ca="1">_xll.DBRW($B$1,$B$2,$B$7,$B$3,$B$4,$B$5,$F108,$B$6,L$10,$A108,$B108)</f>
        <v>5759686.2299999995</v>
      </c>
      <c r="M108" s="4">
        <f ca="1">_xll.DBRW($B$1,$B$2,$B$7,$B$3,$B$4,$B$5,$F108,$B$6,M$10,$A108,$B108)</f>
        <v>6119478.8174837427</v>
      </c>
      <c r="N108" s="4">
        <f ca="1">_xll.DBRW($B$1,$B$2,$B$7,$B$3,$B$4,$B$5,$F108,$B$6,N$10,$A108,$B108)</f>
        <v>5551504.8000000007</v>
      </c>
      <c r="O108" s="4">
        <f ca="1">_xll.DBRW($B$1,$B$2,$B$7,$B$3,$B$4,$B$5,$F108,$B$6,O$10,$A108,$B108)</f>
        <v>6245442.9000000004</v>
      </c>
      <c r="P108" s="4">
        <f ca="1">_xll.DBRW($B$1,$B$2,$B$7,$B$3,$B$4,$B$5,$F108,$B$6,P$10,$A108,$B108)</f>
        <v>6245442.9000000004</v>
      </c>
      <c r="Q108" s="4">
        <f ca="1">_xll.DBRW($B$1,$B$2,$B$7,$B$3,$B$4,$B$5,$F108,$B$6,Q$10,$A108,$B108)</f>
        <v>5551504.8000000007</v>
      </c>
      <c r="R108" s="4">
        <f ca="1">_xll.DBRW($B$1,$B$2,$B$7,$B$3,$B$4,$B$5,$F108,$B$6,R$10,$A108,$B108)</f>
        <v>5372424</v>
      </c>
      <c r="S108" s="4">
        <f ca="1">_xll.DBRW($B$1,$B$2,$B$7,$B$3,$B$4,$B$5,$F108,$B$6,S$10,$A108,$B108)</f>
        <v>5551504.8000000007</v>
      </c>
      <c r="T108" s="4">
        <f ca="1">_xll.DBRW($B$1,$B$2,$B$7,$B$3,$B$4,$B$5,$F108,$B$6,T$10,$A108,$B108)</f>
        <v>3547659.1033829181</v>
      </c>
      <c r="U108" s="4">
        <f ca="1">_xll.DBRW($B$1,$B$2,$B$7,$B$3,$B$4,$B$5,$F108,$B$6,U$10,$A108,$B108)</f>
        <v>3100657.721417821</v>
      </c>
      <c r="V108" s="4">
        <f ca="1">_xll.DBRW($B$1,$B$2,$B$7,$B$3,$B$4,$B$5,$F108,$B$6,V$10,$A108,$B108)</f>
        <v>3409575.1165904226</v>
      </c>
      <c r="W108" s="4">
        <f ca="1">_xll.DBRW($B$1,$B$2,$B$7,$B$3,$B$4,$B$5,$F108,$B$6,W$10,$A108,$B108)</f>
        <v>5632915.591032031</v>
      </c>
      <c r="X108" s="4">
        <f ca="1">_xll.DBRW($B$1,$B$2,$B$7,$B$3,$B$4,$B$5,$F108,$B$6,X$10,$A108,$B108)</f>
        <v>6026594.9170532878</v>
      </c>
      <c r="Y108" s="4">
        <f ca="1">_xll.DBRW($B$1,$B$2,$B$7,$B$3,$B$4,$B$5,$F108,$B$6,Y$10,$A108,$B108)</f>
        <v>6555847.5325745083</v>
      </c>
      <c r="Z108" s="4">
        <f ca="1">_xll.DBRW($B$1,$B$2,$B$7,$B$3,$B$4,$B$5,$F108,$B$6,Z$10,$A108,$B108)</f>
        <v>6421401.3109876085</v>
      </c>
      <c r="AA108" s="4">
        <f ca="1">_xll.DBRW($B$1,$B$2,$B$7,$B$3,$B$4,$B$5,$F108,$B$6,AA$10,$A108,$B108)</f>
        <v>5918680.4684486287</v>
      </c>
      <c r="AB108" s="4">
        <f ca="1">_xll.DBRW($B$1,$B$2,$B$7,$B$3,$B$4,$B$5,$F108,$B$6,AB$10,$A108,$B108)</f>
        <v>6595362.4729327653</v>
      </c>
      <c r="AC108" s="4">
        <f ca="1">_xll.DBRW($B$1,$B$2,$B$7,$B$3,$B$4,$B$5,$F108,$B$6,AC$10,$A108,$B108)</f>
        <v>5188365.8419032702</v>
      </c>
      <c r="AD108" s="4">
        <f ca="1">_xll.DBRW($B$1,$B$2,$B$7,$B$3,$B$4,$B$5,$F108,$B$6,AD$10,$A108,$B108)</f>
        <v>3192358.7228687052</v>
      </c>
      <c r="AE108" s="4">
        <f ca="1">_xll.DBRW($B$1,$B$2,$B$7,$B$3,$B$4,$B$5,$F108,$B$6,AE$10,$A108,$B108)</f>
        <v>3121513.7069864739</v>
      </c>
    </row>
    <row r="109" spans="1:31">
      <c r="A109" s="1" t="s">
        <v>153</v>
      </c>
      <c r="B109" s="5" t="s">
        <v>280</v>
      </c>
      <c r="C109" s="5" t="s">
        <v>276</v>
      </c>
      <c r="D109" s="5" t="s">
        <v>21</v>
      </c>
      <c r="E109" s="5" t="s">
        <v>277</v>
      </c>
      <c r="F109" s="5" t="s">
        <v>22</v>
      </c>
      <c r="G109" s="6"/>
      <c r="H109" s="6"/>
      <c r="I109" s="6"/>
      <c r="J109" s="6"/>
      <c r="K109" s="6"/>
      <c r="L109" s="4">
        <f ca="1">_xll.DBRW($B$1,$B$2,$B$7,$B$3,$B$4,$B$5,$F109,$B$6,L$10,$A109,$B109)</f>
        <v>0</v>
      </c>
      <c r="M109" s="4">
        <f ca="1">_xll.DBRW($B$1,$B$2,$B$7,$B$3,$B$4,$B$5,$F109,$B$6,M$10,$A109,$B109)</f>
        <v>0</v>
      </c>
      <c r="N109" s="4">
        <f ca="1">_xll.DBRW($B$1,$B$2,$B$7,$B$3,$B$4,$B$5,$F109,$B$6,N$10,$A109,$B109)</f>
        <v>0</v>
      </c>
      <c r="O109" s="4">
        <f ca="1">_xll.DBRW($B$1,$B$2,$B$7,$B$3,$B$4,$B$5,$F109,$B$6,O$10,$A109,$B109)</f>
        <v>0</v>
      </c>
      <c r="P109" s="4">
        <f ca="1">_xll.DBRW($B$1,$B$2,$B$7,$B$3,$B$4,$B$5,$F109,$B$6,P$10,$A109,$B109)</f>
        <v>0</v>
      </c>
      <c r="Q109" s="4">
        <f ca="1">_xll.DBRW($B$1,$B$2,$B$7,$B$3,$B$4,$B$5,$F109,$B$6,Q$10,$A109,$B109)</f>
        <v>462144</v>
      </c>
      <c r="R109" s="4">
        <f ca="1">_xll.DBRW($B$1,$B$2,$B$7,$B$3,$B$4,$B$5,$F109,$B$6,R$10,$A109,$B109)</f>
        <v>3258115.1999999997</v>
      </c>
      <c r="S109" s="4">
        <f ca="1">_xll.DBRW($B$1,$B$2,$B$7,$B$3,$B$4,$B$5,$F109,$B$6,S$10,$A109,$B109)</f>
        <v>2865292.8000000007</v>
      </c>
      <c r="T109" s="4">
        <f ca="1">_xll.DBRW($B$1,$B$2,$B$7,$B$3,$B$4,$B$5,$F109,$B$6,T$10,$A109,$B109)</f>
        <v>0</v>
      </c>
      <c r="U109" s="4">
        <f ca="1">_xll.DBRW($B$1,$B$2,$B$7,$B$3,$B$4,$B$5,$F109,$B$6,U$10,$A109,$B109)</f>
        <v>0</v>
      </c>
      <c r="V109" s="4">
        <f ca="1">_xll.DBRW($B$1,$B$2,$B$7,$B$3,$B$4,$B$5,$F109,$B$6,V$10,$A109,$B109)</f>
        <v>0</v>
      </c>
      <c r="W109" s="4">
        <f ca="1">_xll.DBRW($B$1,$B$2,$B$7,$B$3,$B$4,$B$5,$F109,$B$6,W$10,$A109,$B109)</f>
        <v>0</v>
      </c>
      <c r="X109" s="4">
        <f ca="1">_xll.DBRW($B$1,$B$2,$B$7,$B$3,$B$4,$B$5,$F109,$B$6,X$10,$A109,$B109)</f>
        <v>0</v>
      </c>
      <c r="Y109" s="4">
        <f ca="1">_xll.DBRW($B$1,$B$2,$B$7,$B$3,$B$4,$B$5,$F109,$B$6,Y$10,$A109,$B109)</f>
        <v>0</v>
      </c>
      <c r="Z109" s="4">
        <f ca="1">_xll.DBRW($B$1,$B$2,$B$7,$B$3,$B$4,$B$5,$F109,$B$6,Z$10,$A109,$B109)</f>
        <v>0</v>
      </c>
      <c r="AA109" s="4">
        <f ca="1">_xll.DBRW($B$1,$B$2,$B$7,$B$3,$B$4,$B$5,$F109,$B$6,AA$10,$A109,$B109)</f>
        <v>0</v>
      </c>
      <c r="AB109" s="4">
        <f ca="1">_xll.DBRW($B$1,$B$2,$B$7,$B$3,$B$4,$B$5,$F109,$B$6,AB$10,$A109,$B109)</f>
        <v>0</v>
      </c>
      <c r="AC109" s="4">
        <f ca="1">_xll.DBRW($B$1,$B$2,$B$7,$B$3,$B$4,$B$5,$F109,$B$6,AC$10,$A109,$B109)</f>
        <v>0</v>
      </c>
      <c r="AD109" s="4">
        <f ca="1">_xll.DBRW($B$1,$B$2,$B$7,$B$3,$B$4,$B$5,$F109,$B$6,AD$10,$A109,$B109)</f>
        <v>0</v>
      </c>
      <c r="AE109" s="4">
        <f ca="1">_xll.DBRW($B$1,$B$2,$B$7,$B$3,$B$4,$B$5,$F109,$B$6,AE$10,$A109,$B109)</f>
        <v>0</v>
      </c>
    </row>
    <row r="110" spans="1:31">
      <c r="A110" s="1" t="s">
        <v>153</v>
      </c>
      <c r="B110" s="5" t="s">
        <v>281</v>
      </c>
      <c r="C110" s="5" t="s">
        <v>279</v>
      </c>
      <c r="D110" s="5" t="s">
        <v>277</v>
      </c>
      <c r="E110" s="5" t="s">
        <v>21</v>
      </c>
      <c r="F110" s="5" t="s">
        <v>22</v>
      </c>
      <c r="G110" s="6"/>
      <c r="H110" s="6"/>
      <c r="I110" s="6"/>
      <c r="J110" s="6"/>
      <c r="K110" s="6"/>
      <c r="L110" s="4">
        <f ca="1">_xll.DBRW($B$1,$B$2,$B$7,$B$3,$B$4,$B$5,$F110,$B$6,L$10,$A110,$B110)</f>
        <v>0</v>
      </c>
      <c r="M110" s="4">
        <f ca="1">_xll.DBRW($B$1,$B$2,$B$7,$B$3,$B$4,$B$5,$F110,$B$6,M$10,$A110,$B110)</f>
        <v>0</v>
      </c>
      <c r="N110" s="4">
        <f ca="1">_xll.DBRW($B$1,$B$2,$B$7,$B$3,$B$4,$B$5,$F110,$B$6,N$10,$A110,$B110)</f>
        <v>0</v>
      </c>
      <c r="O110" s="4">
        <f ca="1">_xll.DBRW($B$1,$B$2,$B$7,$B$3,$B$4,$B$5,$F110,$B$6,O$10,$A110,$B110)</f>
        <v>0</v>
      </c>
      <c r="P110" s="4">
        <f ca="1">_xll.DBRW($B$1,$B$2,$B$7,$B$3,$B$4,$B$5,$F110,$B$6,P$10,$A110,$B110)</f>
        <v>0</v>
      </c>
      <c r="Q110" s="4">
        <f ca="1">_xll.DBRW($B$1,$B$2,$B$7,$B$3,$B$4,$B$5,$F110,$B$6,Q$10,$A110,$B110)</f>
        <v>462144</v>
      </c>
      <c r="R110" s="4">
        <f ca="1">_xll.DBRW($B$1,$B$2,$B$7,$B$3,$B$4,$B$5,$F110,$B$6,R$10,$A110,$B110)</f>
        <v>3258115.1999999997</v>
      </c>
      <c r="S110" s="4">
        <f ca="1">_xll.DBRW($B$1,$B$2,$B$7,$B$3,$B$4,$B$5,$F110,$B$6,S$10,$A110,$B110)</f>
        <v>2865292.8000000007</v>
      </c>
      <c r="T110" s="4">
        <f ca="1">_xll.DBRW($B$1,$B$2,$B$7,$B$3,$B$4,$B$5,$F110,$B$6,T$10,$A110,$B110)</f>
        <v>0</v>
      </c>
      <c r="U110" s="4">
        <f ca="1">_xll.DBRW($B$1,$B$2,$B$7,$B$3,$B$4,$B$5,$F110,$B$6,U$10,$A110,$B110)</f>
        <v>0</v>
      </c>
      <c r="V110" s="4">
        <f ca="1">_xll.DBRW($B$1,$B$2,$B$7,$B$3,$B$4,$B$5,$F110,$B$6,V$10,$A110,$B110)</f>
        <v>0</v>
      </c>
      <c r="W110" s="4">
        <f ca="1">_xll.DBRW($B$1,$B$2,$B$7,$B$3,$B$4,$B$5,$F110,$B$6,W$10,$A110,$B110)</f>
        <v>0</v>
      </c>
      <c r="X110" s="4">
        <f ca="1">_xll.DBRW($B$1,$B$2,$B$7,$B$3,$B$4,$B$5,$F110,$B$6,X$10,$A110,$B110)</f>
        <v>0</v>
      </c>
      <c r="Y110" s="4">
        <f ca="1">_xll.DBRW($B$1,$B$2,$B$7,$B$3,$B$4,$B$5,$F110,$B$6,Y$10,$A110,$B110)</f>
        <v>0</v>
      </c>
      <c r="Z110" s="4">
        <f ca="1">_xll.DBRW($B$1,$B$2,$B$7,$B$3,$B$4,$B$5,$F110,$B$6,Z$10,$A110,$B110)</f>
        <v>0</v>
      </c>
      <c r="AA110" s="4">
        <f ca="1">_xll.DBRW($B$1,$B$2,$B$7,$B$3,$B$4,$B$5,$F110,$B$6,AA$10,$A110,$B110)</f>
        <v>0</v>
      </c>
      <c r="AB110" s="4">
        <f ca="1">_xll.DBRW($B$1,$B$2,$B$7,$B$3,$B$4,$B$5,$F110,$B$6,AB$10,$A110,$B110)</f>
        <v>0</v>
      </c>
      <c r="AC110" s="4">
        <f ca="1">_xll.DBRW($B$1,$B$2,$B$7,$B$3,$B$4,$B$5,$F110,$B$6,AC$10,$A110,$B110)</f>
        <v>0</v>
      </c>
      <c r="AD110" s="4">
        <f ca="1">_xll.DBRW($B$1,$B$2,$B$7,$B$3,$B$4,$B$5,$F110,$B$6,AD$10,$A110,$B110)</f>
        <v>0</v>
      </c>
      <c r="AE110" s="4">
        <f ca="1">_xll.DBRW($B$1,$B$2,$B$7,$B$3,$B$4,$B$5,$F110,$B$6,AE$10,$A110,$B110)</f>
        <v>0</v>
      </c>
    </row>
    <row r="111" spans="1:31">
      <c r="A111" s="1" t="s">
        <v>153</v>
      </c>
      <c r="B111" s="5" t="s">
        <v>282</v>
      </c>
      <c r="C111" s="5" t="s">
        <v>283</v>
      </c>
      <c r="D111" s="5" t="s">
        <v>21</v>
      </c>
      <c r="E111" s="5" t="s">
        <v>284</v>
      </c>
      <c r="F111" s="5" t="s">
        <v>22</v>
      </c>
      <c r="G111" s="6"/>
      <c r="H111" s="6"/>
      <c r="I111" s="6"/>
      <c r="J111" s="6"/>
      <c r="K111" s="6"/>
      <c r="L111" s="4">
        <f ca="1">_xll.DBRW($B$1,$B$2,$B$7,$B$3,$B$4,$B$5,$F111,$B$6,L$10,$A111,$B111)</f>
        <v>0</v>
      </c>
      <c r="M111" s="4">
        <f ca="1">_xll.DBRW($B$1,$B$2,$B$7,$B$3,$B$4,$B$5,$F111,$B$6,M$10,$A111,$B111)</f>
        <v>0</v>
      </c>
      <c r="N111" s="4">
        <f ca="1">_xll.DBRW($B$1,$B$2,$B$7,$B$3,$B$4,$B$5,$F111,$B$6,N$10,$A111,$B111)</f>
        <v>0</v>
      </c>
      <c r="O111" s="4">
        <f ca="1">_xll.DBRW($B$1,$B$2,$B$7,$B$3,$B$4,$B$5,$F111,$B$6,O$10,$A111,$B111)</f>
        <v>0</v>
      </c>
      <c r="P111" s="4">
        <f ca="1">_xll.DBRW($B$1,$B$2,$B$7,$B$3,$B$4,$B$5,$F111,$B$6,P$10,$A111,$B111)</f>
        <v>0</v>
      </c>
      <c r="Q111" s="4">
        <f ca="1">_xll.DBRW($B$1,$B$2,$B$7,$B$3,$B$4,$B$5,$F111,$B$6,Q$10,$A111,$B111)</f>
        <v>952952.39999999991</v>
      </c>
      <c r="R111" s="4">
        <f ca="1">_xll.DBRW($B$1,$B$2,$B$7,$B$3,$B$4,$B$5,$F111,$B$6,R$10,$A111,$B111)</f>
        <v>6511841.3999999994</v>
      </c>
      <c r="S111" s="4">
        <f ca="1">_xll.DBRW($B$1,$B$2,$B$7,$B$3,$B$4,$B$5,$F111,$B$6,S$10,$A111,$B111)</f>
        <v>7057141.9399999995</v>
      </c>
      <c r="T111" s="4">
        <f ca="1">_xll.DBRW($B$1,$B$2,$B$7,$B$3,$B$4,$B$5,$F111,$B$6,T$10,$A111,$B111)</f>
        <v>6791067.8858180977</v>
      </c>
      <c r="U111" s="4">
        <f ca="1">_xll.DBRW($B$1,$B$2,$B$7,$B$3,$B$4,$B$5,$F111,$B$6,U$10,$A111,$B111)</f>
        <v>5993580.63301179</v>
      </c>
      <c r="V111" s="4">
        <f ca="1">_xll.DBRW($B$1,$B$2,$B$7,$B$3,$B$4,$B$5,$F111,$B$6,V$10,$A111,$B111)</f>
        <v>5475003.2323042639</v>
      </c>
      <c r="W111" s="4">
        <f ca="1">_xll.DBRW($B$1,$B$2,$B$7,$B$3,$B$4,$B$5,$F111,$B$6,W$10,$A111,$B111)</f>
        <v>0</v>
      </c>
      <c r="X111" s="4">
        <f ca="1">_xll.DBRW($B$1,$B$2,$B$7,$B$3,$B$4,$B$5,$F111,$B$6,X$10,$A111,$B111)</f>
        <v>0</v>
      </c>
      <c r="Y111" s="4">
        <f ca="1">_xll.DBRW($B$1,$B$2,$B$7,$B$3,$B$4,$B$5,$F111,$B$6,Y$10,$A111,$B111)</f>
        <v>0</v>
      </c>
      <c r="Z111" s="4">
        <f ca="1">_xll.DBRW($B$1,$B$2,$B$7,$B$3,$B$4,$B$5,$F111,$B$6,Z$10,$A111,$B111)</f>
        <v>0</v>
      </c>
      <c r="AA111" s="4">
        <f ca="1">_xll.DBRW($B$1,$B$2,$B$7,$B$3,$B$4,$B$5,$F111,$B$6,AA$10,$A111,$B111)</f>
        <v>0</v>
      </c>
      <c r="AB111" s="4">
        <f ca="1">_xll.DBRW($B$1,$B$2,$B$7,$B$3,$B$4,$B$5,$F111,$B$6,AB$10,$A111,$B111)</f>
        <v>0</v>
      </c>
      <c r="AC111" s="4">
        <f ca="1">_xll.DBRW($B$1,$B$2,$B$7,$B$3,$B$4,$B$5,$F111,$B$6,AC$10,$A111,$B111)</f>
        <v>1126796.4154085086</v>
      </c>
      <c r="AD111" s="4">
        <f ca="1">_xll.DBRW($B$1,$B$2,$B$7,$B$3,$B$4,$B$5,$F111,$B$6,AD$10,$A111,$B111)</f>
        <v>6304969.95376381</v>
      </c>
      <c r="AE111" s="4">
        <f ca="1">_xll.DBRW($B$1,$B$2,$B$7,$B$3,$B$4,$B$5,$F111,$B$6,AE$10,$A111,$B111)</f>
        <v>6685192.7602640754</v>
      </c>
    </row>
    <row r="112" spans="1:31">
      <c r="A112" s="1" t="s">
        <v>153</v>
      </c>
      <c r="B112" s="5" t="s">
        <v>285</v>
      </c>
      <c r="C112" s="5" t="s">
        <v>286</v>
      </c>
      <c r="D112" s="5" t="s">
        <v>284</v>
      </c>
      <c r="E112" s="5" t="s">
        <v>21</v>
      </c>
      <c r="F112" s="5" t="s">
        <v>22</v>
      </c>
      <c r="G112" s="6"/>
      <c r="H112" s="6"/>
      <c r="I112" s="6"/>
      <c r="J112" s="6"/>
      <c r="K112" s="6"/>
      <c r="L112" s="4">
        <f ca="1">_xll.DBRW($B$1,$B$2,$B$7,$B$3,$B$4,$B$5,$F112,$B$6,L$10,$A112,$B112)</f>
        <v>0</v>
      </c>
      <c r="M112" s="4">
        <f ca="1">_xll.DBRW($B$1,$B$2,$B$7,$B$3,$B$4,$B$5,$F112,$B$6,M$10,$A112,$B112)</f>
        <v>0</v>
      </c>
      <c r="N112" s="4">
        <f ca="1">_xll.DBRW($B$1,$B$2,$B$7,$B$3,$B$4,$B$5,$F112,$B$6,N$10,$A112,$B112)</f>
        <v>0</v>
      </c>
      <c r="O112" s="4">
        <f ca="1">_xll.DBRW($B$1,$B$2,$B$7,$B$3,$B$4,$B$5,$F112,$B$6,O$10,$A112,$B112)</f>
        <v>0</v>
      </c>
      <c r="P112" s="4">
        <f ca="1">_xll.DBRW($B$1,$B$2,$B$7,$B$3,$B$4,$B$5,$F112,$B$6,P$10,$A112,$B112)</f>
        <v>0</v>
      </c>
      <c r="Q112" s="4">
        <f ca="1">_xll.DBRW($B$1,$B$2,$B$7,$B$3,$B$4,$B$5,$F112,$B$6,Q$10,$A112,$B112)</f>
        <v>952952.39999999991</v>
      </c>
      <c r="R112" s="4">
        <f ca="1">_xll.DBRW($B$1,$B$2,$B$7,$B$3,$B$4,$B$5,$F112,$B$6,R$10,$A112,$B112)</f>
        <v>6511841.3999999994</v>
      </c>
      <c r="S112" s="4">
        <f ca="1">_xll.DBRW($B$1,$B$2,$B$7,$B$3,$B$4,$B$5,$F112,$B$6,S$10,$A112,$B112)</f>
        <v>7057141.9399999995</v>
      </c>
      <c r="T112" s="4">
        <f ca="1">_xll.DBRW($B$1,$B$2,$B$7,$B$3,$B$4,$B$5,$F112,$B$6,T$10,$A112,$B112)</f>
        <v>6572001.1798239658</v>
      </c>
      <c r="U112" s="4">
        <f ca="1">_xll.DBRW($B$1,$B$2,$B$7,$B$3,$B$4,$B$5,$F112,$B$6,U$10,$A112,$B112)</f>
        <v>5993580.63301179</v>
      </c>
      <c r="V112" s="4">
        <f ca="1">_xll.DBRW($B$1,$B$2,$B$7,$B$3,$B$4,$B$5,$F112,$B$6,V$10,$A112,$B112)</f>
        <v>5670539.0620294167</v>
      </c>
      <c r="W112" s="4">
        <f ca="1">_xll.DBRW($B$1,$B$2,$B$7,$B$3,$B$4,$B$5,$F112,$B$6,W$10,$A112,$B112)</f>
        <v>0</v>
      </c>
      <c r="X112" s="4">
        <f ca="1">_xll.DBRW($B$1,$B$2,$B$7,$B$3,$B$4,$B$5,$F112,$B$6,X$10,$A112,$B112)</f>
        <v>0</v>
      </c>
      <c r="Y112" s="4">
        <f ca="1">_xll.DBRW($B$1,$B$2,$B$7,$B$3,$B$4,$B$5,$F112,$B$6,Y$10,$A112,$B112)</f>
        <v>0</v>
      </c>
      <c r="Z112" s="4">
        <f ca="1">_xll.DBRW($B$1,$B$2,$B$7,$B$3,$B$4,$B$5,$F112,$B$6,Z$10,$A112,$B112)</f>
        <v>0</v>
      </c>
      <c r="AA112" s="4">
        <f ca="1">_xll.DBRW($B$1,$B$2,$B$7,$B$3,$B$4,$B$5,$F112,$B$6,AA$10,$A112,$B112)</f>
        <v>0</v>
      </c>
      <c r="AB112" s="4">
        <f ca="1">_xll.DBRW($B$1,$B$2,$B$7,$B$3,$B$4,$B$5,$F112,$B$6,AB$10,$A112,$B112)</f>
        <v>0</v>
      </c>
      <c r="AC112" s="4">
        <f ca="1">_xll.DBRW($B$1,$B$2,$B$7,$B$3,$B$4,$B$5,$F112,$B$6,AC$10,$A112,$B112)</f>
        <v>938997.01284042373</v>
      </c>
      <c r="AD112" s="4">
        <f ca="1">_xll.DBRW($B$1,$B$2,$B$7,$B$3,$B$4,$B$5,$F112,$B$6,AD$10,$A112,$B112)</f>
        <v>6304969.95376381</v>
      </c>
      <c r="AE112" s="4">
        <f ca="1">_xll.DBRW($B$1,$B$2,$B$7,$B$3,$B$4,$B$5,$F112,$B$6,AE$10,$A112,$B112)</f>
        <v>6253890.0015373612</v>
      </c>
    </row>
    <row r="113" spans="1:31">
      <c r="A113" s="1" t="s">
        <v>153</v>
      </c>
      <c r="B113" s="5" t="s">
        <v>287</v>
      </c>
      <c r="C113" s="5" t="s">
        <v>288</v>
      </c>
      <c r="D113" s="5" t="s">
        <v>21</v>
      </c>
      <c r="E113" s="5" t="s">
        <v>289</v>
      </c>
      <c r="F113" s="5" t="s">
        <v>22</v>
      </c>
      <c r="G113" s="6"/>
      <c r="H113" s="6"/>
      <c r="I113" s="6"/>
      <c r="J113" s="6"/>
      <c r="K113" s="6"/>
      <c r="L113" s="4">
        <f ca="1">_xll.DBRW($B$1,$B$2,$B$7,$B$3,$B$4,$B$5,$F113,$B$6,L$10,$A113,$B113)</f>
        <v>0</v>
      </c>
      <c r="M113" s="4">
        <f ca="1">_xll.DBRW($B$1,$B$2,$B$7,$B$3,$B$4,$B$5,$F113,$B$6,M$10,$A113,$B113)</f>
        <v>0</v>
      </c>
      <c r="N113" s="4">
        <f ca="1">_xll.DBRW($B$1,$B$2,$B$7,$B$3,$B$4,$B$5,$F113,$B$6,N$10,$A113,$B113)</f>
        <v>0</v>
      </c>
      <c r="O113" s="4">
        <f ca="1">_xll.DBRW($B$1,$B$2,$B$7,$B$3,$B$4,$B$5,$F113,$B$6,O$10,$A113,$B113)</f>
        <v>0</v>
      </c>
      <c r="P113" s="4">
        <f ca="1">_xll.DBRW($B$1,$B$2,$B$7,$B$3,$B$4,$B$5,$F113,$B$6,P$10,$A113,$B113)</f>
        <v>0</v>
      </c>
      <c r="Q113" s="4">
        <f ca="1">_xll.DBRW($B$1,$B$2,$B$7,$B$3,$B$4,$B$5,$F113,$B$6,Q$10,$A113,$B113)</f>
        <v>988422.74999999988</v>
      </c>
      <c r="R113" s="4">
        <f ca="1">_xll.DBRW($B$1,$B$2,$B$7,$B$3,$B$4,$B$5,$F113,$B$6,R$10,$A113,$B113)</f>
        <v>4274852.7</v>
      </c>
      <c r="S113" s="4">
        <f ca="1">_xll.DBRW($B$1,$B$2,$B$7,$B$3,$B$4,$B$5,$F113,$B$6,S$10,$A113,$B113)</f>
        <v>4338655.6500000004</v>
      </c>
      <c r="T113" s="4">
        <f ca="1">_xll.DBRW($B$1,$B$2,$B$7,$B$3,$B$4,$B$5,$F113,$B$6,T$10,$A113,$B113)</f>
        <v>4120086.8556714635</v>
      </c>
      <c r="U113" s="4">
        <f ca="1">_xll.DBRW($B$1,$B$2,$B$7,$B$3,$B$4,$B$5,$F113,$B$6,U$10,$A113,$B113)</f>
        <v>4037471.1990449154</v>
      </c>
      <c r="V113" s="4">
        <f ca="1">_xll.DBRW($B$1,$B$2,$B$7,$B$3,$B$4,$B$5,$F113,$B$6,V$10,$A113,$B113)</f>
        <v>4235681.5939642237</v>
      </c>
      <c r="W113" s="4">
        <f ca="1">_xll.DBRW($B$1,$B$2,$B$7,$B$3,$B$4,$B$5,$F113,$B$6,W$10,$A113,$B113)</f>
        <v>0</v>
      </c>
      <c r="X113" s="4">
        <f ca="1">_xll.DBRW($B$1,$B$2,$B$7,$B$3,$B$4,$B$5,$F113,$B$6,X$10,$A113,$B113)</f>
        <v>0</v>
      </c>
      <c r="Y113" s="4">
        <f ca="1">_xll.DBRW($B$1,$B$2,$B$7,$B$3,$B$4,$B$5,$F113,$B$6,Y$10,$A113,$B113)</f>
        <v>0</v>
      </c>
      <c r="Z113" s="4">
        <f ca="1">_xll.DBRW($B$1,$B$2,$B$7,$B$3,$B$4,$B$5,$F113,$B$6,Z$10,$A113,$B113)</f>
        <v>0</v>
      </c>
      <c r="AA113" s="4">
        <f ca="1">_xll.DBRW($B$1,$B$2,$B$7,$B$3,$B$4,$B$5,$F113,$B$6,AA$10,$A113,$B113)</f>
        <v>0</v>
      </c>
      <c r="AB113" s="4">
        <f ca="1">_xll.DBRW($B$1,$B$2,$B$7,$B$3,$B$4,$B$5,$F113,$B$6,AB$10,$A113,$B113)</f>
        <v>0</v>
      </c>
      <c r="AC113" s="4">
        <f ca="1">_xll.DBRW($B$1,$B$2,$B$7,$B$3,$B$4,$B$5,$F113,$B$6,AC$10,$A113,$B113)</f>
        <v>456600.73876076826</v>
      </c>
      <c r="AD113" s="4">
        <f ca="1">_xll.DBRW($B$1,$B$2,$B$7,$B$3,$B$4,$B$5,$F113,$B$6,AD$10,$A113,$B113)</f>
        <v>4438740.2825777456</v>
      </c>
      <c r="AE113" s="4">
        <f ca="1">_xll.DBRW($B$1,$B$2,$B$7,$B$3,$B$4,$B$5,$F113,$B$6,AE$10,$A113,$B113)</f>
        <v>4300804.7515928531</v>
      </c>
    </row>
    <row r="114" spans="1:31">
      <c r="A114" s="1" t="s">
        <v>153</v>
      </c>
      <c r="B114" s="5" t="s">
        <v>290</v>
      </c>
      <c r="C114" s="5" t="s">
        <v>291</v>
      </c>
      <c r="D114" s="5" t="s">
        <v>289</v>
      </c>
      <c r="E114" s="5" t="s">
        <v>21</v>
      </c>
      <c r="F114" s="5" t="s">
        <v>22</v>
      </c>
      <c r="G114" s="6"/>
      <c r="H114" s="6"/>
      <c r="I114" s="6"/>
      <c r="J114" s="6"/>
      <c r="K114" s="6"/>
      <c r="L114" s="4">
        <f ca="1">_xll.DBRW($B$1,$B$2,$B$7,$B$3,$B$4,$B$5,$F114,$B$6,L$10,$A114,$B114)</f>
        <v>0</v>
      </c>
      <c r="M114" s="4">
        <f ca="1">_xll.DBRW($B$1,$B$2,$B$7,$B$3,$B$4,$B$5,$F114,$B$6,M$10,$A114,$B114)</f>
        <v>0</v>
      </c>
      <c r="N114" s="4">
        <f ca="1">_xll.DBRW($B$1,$B$2,$B$7,$B$3,$B$4,$B$5,$F114,$B$6,N$10,$A114,$B114)</f>
        <v>0</v>
      </c>
      <c r="O114" s="4">
        <f ca="1">_xll.DBRW($B$1,$B$2,$B$7,$B$3,$B$4,$B$5,$F114,$B$6,O$10,$A114,$B114)</f>
        <v>0</v>
      </c>
      <c r="P114" s="4">
        <f ca="1">_xll.DBRW($B$1,$B$2,$B$7,$B$3,$B$4,$B$5,$F114,$B$6,P$10,$A114,$B114)</f>
        <v>0</v>
      </c>
      <c r="Q114" s="4">
        <f ca="1">_xll.DBRW($B$1,$B$2,$B$7,$B$3,$B$4,$B$5,$F114,$B$6,Q$10,$A114,$B114)</f>
        <v>664178.24999999988</v>
      </c>
      <c r="R114" s="4">
        <f ca="1">_xll.DBRW($B$1,$B$2,$B$7,$B$3,$B$4,$B$5,$F114,$B$6,R$10,$A114,$B114)</f>
        <v>4274852.7</v>
      </c>
      <c r="S114" s="4">
        <f ca="1">_xll.DBRW($B$1,$B$2,$B$7,$B$3,$B$4,$B$5,$F114,$B$6,S$10,$A114,$B114)</f>
        <v>4338655.6500000004</v>
      </c>
      <c r="T114" s="4">
        <f ca="1">_xll.DBRW($B$1,$B$2,$B$7,$B$3,$B$4,$B$5,$F114,$B$6,T$10,$A114,$B114)</f>
        <v>4120086.8556714635</v>
      </c>
      <c r="U114" s="4">
        <f ca="1">_xll.DBRW($B$1,$B$2,$B$7,$B$3,$B$4,$B$5,$F114,$B$6,U$10,$A114,$B114)</f>
        <v>4037471.1990449154</v>
      </c>
      <c r="V114" s="4">
        <f ca="1">_xll.DBRW($B$1,$B$2,$B$7,$B$3,$B$4,$B$5,$F114,$B$6,V$10,$A114,$B114)</f>
        <v>4235681.5939642237</v>
      </c>
      <c r="W114" s="4">
        <f ca="1">_xll.DBRW($B$1,$B$2,$B$7,$B$3,$B$4,$B$5,$F114,$B$6,W$10,$A114,$B114)</f>
        <v>0</v>
      </c>
      <c r="X114" s="4">
        <f ca="1">_xll.DBRW($B$1,$B$2,$B$7,$B$3,$B$4,$B$5,$F114,$B$6,X$10,$A114,$B114)</f>
        <v>0</v>
      </c>
      <c r="Y114" s="4">
        <f ca="1">_xll.DBRW($B$1,$B$2,$B$7,$B$3,$B$4,$B$5,$F114,$B$6,Y$10,$A114,$B114)</f>
        <v>0</v>
      </c>
      <c r="Z114" s="4">
        <f ca="1">_xll.DBRW($B$1,$B$2,$B$7,$B$3,$B$4,$B$5,$F114,$B$6,Z$10,$A114,$B114)</f>
        <v>0</v>
      </c>
      <c r="AA114" s="4">
        <f ca="1">_xll.DBRW($B$1,$B$2,$B$7,$B$3,$B$4,$B$5,$F114,$B$6,AA$10,$A114,$B114)</f>
        <v>0</v>
      </c>
      <c r="AB114" s="4">
        <f ca="1">_xll.DBRW($B$1,$B$2,$B$7,$B$3,$B$4,$B$5,$F114,$B$6,AB$10,$A114,$B114)</f>
        <v>0</v>
      </c>
      <c r="AC114" s="4">
        <f ca="1">_xll.DBRW($B$1,$B$2,$B$7,$B$3,$B$4,$B$5,$F114,$B$6,AC$10,$A114,$B114)</f>
        <v>456600.73876076826</v>
      </c>
      <c r="AD114" s="4">
        <f ca="1">_xll.DBRW($B$1,$B$2,$B$7,$B$3,$B$4,$B$5,$F114,$B$6,AD$10,$A114,$B114)</f>
        <v>4438740.2825777456</v>
      </c>
      <c r="AE114" s="4">
        <f ca="1">_xll.DBRW($B$1,$B$2,$B$7,$B$3,$B$4,$B$5,$F114,$B$6,AE$10,$A114,$B114)</f>
        <v>4300804.7515928531</v>
      </c>
    </row>
    <row r="115" spans="1:31">
      <c r="A115" s="1" t="s">
        <v>153</v>
      </c>
      <c r="B115" s="5" t="s">
        <v>292</v>
      </c>
      <c r="C115" s="5" t="s">
        <v>293</v>
      </c>
      <c r="D115" s="5" t="s">
        <v>21</v>
      </c>
      <c r="E115" s="5" t="s">
        <v>294</v>
      </c>
      <c r="F115" s="5" t="s">
        <v>22</v>
      </c>
      <c r="G115" s="6"/>
      <c r="H115" s="6"/>
      <c r="I115" s="6"/>
      <c r="J115" s="6"/>
      <c r="K115" s="6"/>
      <c r="L115" s="4">
        <f ca="1">_xll.DBRW($B$1,$B$2,$B$7,$B$3,$B$4,$B$5,$F115,$B$6,L$10,$A115,$B115)</f>
        <v>5010409.1000000006</v>
      </c>
      <c r="M115" s="4">
        <f ca="1">_xll.DBRW($B$1,$B$2,$B$7,$B$3,$B$4,$B$5,$F115,$B$6,M$10,$A115,$B115)</f>
        <v>5317279.9285133332</v>
      </c>
      <c r="N115" s="4">
        <f ca="1">_xll.DBRW($B$1,$B$2,$B$7,$B$3,$B$4,$B$5,$F115,$B$6,N$10,$A115,$B115)</f>
        <v>5499379.2000000002</v>
      </c>
      <c r="O115" s="4">
        <f ca="1">_xll.DBRW($B$1,$B$2,$B$7,$B$3,$B$4,$B$5,$F115,$B$6,O$10,$A115,$B115)</f>
        <v>5335906.7999999989</v>
      </c>
      <c r="P115" s="4">
        <f ca="1">_xll.DBRW($B$1,$B$2,$B$7,$B$3,$B$4,$B$5,$F115,$B$6,P$10,$A115,$B115)</f>
        <v>5504768.4000000004</v>
      </c>
      <c r="Q115" s="4">
        <f ca="1">_xll.DBRW($B$1,$B$2,$B$7,$B$3,$B$4,$B$5,$F115,$B$6,Q$10,$A115,$B115)</f>
        <v>4854072.4000000004</v>
      </c>
      <c r="R115" s="4">
        <f ca="1">_xll.DBRW($B$1,$B$2,$B$7,$B$3,$B$4,$B$5,$F115,$B$6,R$10,$A115,$B115)</f>
        <v>2129332.7999999998</v>
      </c>
      <c r="S115" s="4">
        <f ca="1">_xll.DBRW($B$1,$B$2,$B$7,$B$3,$B$4,$B$5,$F115,$B$6,S$10,$A115,$B115)</f>
        <v>2313763.1999999997</v>
      </c>
      <c r="T115" s="4">
        <f ca="1">_xll.DBRW($B$1,$B$2,$B$7,$B$3,$B$4,$B$5,$F115,$B$6,T$10,$A115,$B115)</f>
        <v>4661136.76581831</v>
      </c>
      <c r="U115" s="4">
        <f ca="1">_xll.DBRW($B$1,$B$2,$B$7,$B$3,$B$4,$B$5,$F115,$B$6,U$10,$A115,$B115)</f>
        <v>3468308.5414219322</v>
      </c>
      <c r="V115" s="4">
        <f ca="1">_xll.DBRW($B$1,$B$2,$B$7,$B$3,$B$4,$B$5,$F115,$B$6,V$10,$A115,$B115)</f>
        <v>4240525.658943153</v>
      </c>
      <c r="W115" s="4">
        <f ca="1">_xll.DBRW($B$1,$B$2,$B$7,$B$3,$B$4,$B$5,$F115,$B$6,W$10,$A115,$B115)</f>
        <v>4450582.5587448841</v>
      </c>
      <c r="X115" s="4">
        <f ca="1">_xll.DBRW($B$1,$B$2,$B$7,$B$3,$B$4,$B$5,$F115,$B$6,X$10,$A115,$B115)</f>
        <v>4602186.3972978489</v>
      </c>
      <c r="Y115" s="4">
        <f ca="1">_xll.DBRW($B$1,$B$2,$B$7,$B$3,$B$4,$B$5,$F115,$B$6,Y$10,$A115,$B115)</f>
        <v>3944074.8616485987</v>
      </c>
      <c r="Z115" s="4">
        <f ca="1">_xll.DBRW($B$1,$B$2,$B$7,$B$3,$B$4,$B$5,$F115,$B$6,Z$10,$A115,$B115)</f>
        <v>4402636.8691884717</v>
      </c>
      <c r="AA115" s="4">
        <f ca="1">_xll.DBRW($B$1,$B$2,$B$7,$B$3,$B$4,$B$5,$F115,$B$6,AA$10,$A115,$B115)</f>
        <v>4697455.8449161835</v>
      </c>
      <c r="AB115" s="4">
        <f ca="1">_xll.DBRW($B$1,$B$2,$B$7,$B$3,$B$4,$B$5,$F115,$B$6,AB$10,$A115,$B115)</f>
        <v>4541337.1960484292</v>
      </c>
      <c r="AC115" s="4">
        <f ca="1">_xll.DBRW($B$1,$B$2,$B$7,$B$3,$B$4,$B$5,$F115,$B$6,AC$10,$A115,$B115)</f>
        <v>4022736.119373336</v>
      </c>
      <c r="AD115" s="4">
        <f ca="1">_xll.DBRW($B$1,$B$2,$B$7,$B$3,$B$4,$B$5,$F115,$B$6,AD$10,$A115,$B115)</f>
        <v>5662912.0908154873</v>
      </c>
      <c r="AE115" s="4">
        <f ca="1">_xll.DBRW($B$1,$B$2,$B$7,$B$3,$B$4,$B$5,$F115,$B$6,AE$10,$A115,$B115)</f>
        <v>5048694.4165700832</v>
      </c>
    </row>
    <row r="116" spans="1:31">
      <c r="A116" s="1" t="s">
        <v>153</v>
      </c>
      <c r="B116" s="5" t="s">
        <v>295</v>
      </c>
      <c r="C116" s="5" t="s">
        <v>296</v>
      </c>
      <c r="D116" s="5" t="s">
        <v>294</v>
      </c>
      <c r="E116" s="5" t="s">
        <v>21</v>
      </c>
      <c r="F116" s="5" t="s">
        <v>22</v>
      </c>
      <c r="G116" s="6"/>
      <c r="H116" s="6"/>
      <c r="I116" s="6"/>
      <c r="J116" s="6"/>
      <c r="K116" s="6"/>
      <c r="L116" s="4">
        <f ca="1">_xll.DBRW($B$1,$B$2,$B$7,$B$3,$B$4,$B$5,$F116,$B$6,L$10,$A116,$B116)</f>
        <v>5061656.4000000013</v>
      </c>
      <c r="M116" s="4">
        <f ca="1">_xll.DBRW($B$1,$B$2,$B$7,$B$3,$B$4,$B$5,$F116,$B$6,M$10,$A116,$B116)</f>
        <v>5262765.2289307835</v>
      </c>
      <c r="N116" s="4">
        <f ca="1">_xll.DBRW($B$1,$B$2,$B$7,$B$3,$B$4,$B$5,$F116,$B$6,N$10,$A116,$B116)</f>
        <v>5499379.2000000002</v>
      </c>
      <c r="O116" s="4">
        <f ca="1">_xll.DBRW($B$1,$B$2,$B$7,$B$3,$B$4,$B$5,$F116,$B$6,O$10,$A116,$B116)</f>
        <v>5335906.7999999989</v>
      </c>
      <c r="P116" s="4">
        <f ca="1">_xll.DBRW($B$1,$B$2,$B$7,$B$3,$B$4,$B$5,$F116,$B$6,P$10,$A116,$B116)</f>
        <v>5504768.4000000004</v>
      </c>
      <c r="Q116" s="4">
        <f ca="1">_xll.DBRW($B$1,$B$2,$B$7,$B$3,$B$4,$B$5,$F116,$B$6,Q$10,$A116,$B116)</f>
        <v>4854072.4000000004</v>
      </c>
      <c r="R116" s="4">
        <f ca="1">_xll.DBRW($B$1,$B$2,$B$7,$B$3,$B$4,$B$5,$F116,$B$6,R$10,$A116,$B116)</f>
        <v>2129332.7999999998</v>
      </c>
      <c r="S116" s="4">
        <f ca="1">_xll.DBRW($B$1,$B$2,$B$7,$B$3,$B$4,$B$5,$F116,$B$6,S$10,$A116,$B116)</f>
        <v>2313763.1999999997</v>
      </c>
      <c r="T116" s="4">
        <f ca="1">_xll.DBRW($B$1,$B$2,$B$7,$B$3,$B$4,$B$5,$F116,$B$6,T$10,$A116,$B116)</f>
        <v>4556894.0905444184</v>
      </c>
      <c r="U116" s="4">
        <f ca="1">_xll.DBRW($B$1,$B$2,$B$7,$B$3,$B$4,$B$5,$F116,$B$6,U$10,$A116,$B116)</f>
        <v>3468308.5414219322</v>
      </c>
      <c r="V116" s="4">
        <f ca="1">_xll.DBRW($B$1,$B$2,$B$7,$B$3,$B$4,$B$5,$F116,$B$6,V$10,$A116,$B116)</f>
        <v>4240525.658943153</v>
      </c>
      <c r="W116" s="4">
        <f ca="1">_xll.DBRW($B$1,$B$2,$B$7,$B$3,$B$4,$B$5,$F116,$B$6,W$10,$A116,$B116)</f>
        <v>4450582.5587448841</v>
      </c>
      <c r="X116" s="4">
        <f ca="1">_xll.DBRW($B$1,$B$2,$B$7,$B$3,$B$4,$B$5,$F116,$B$6,X$10,$A116,$B116)</f>
        <v>4602186.3972978489</v>
      </c>
      <c r="Y116" s="4">
        <f ca="1">_xll.DBRW($B$1,$B$2,$B$7,$B$3,$B$4,$B$5,$F116,$B$6,Y$10,$A116,$B116)</f>
        <v>3944074.8616485987</v>
      </c>
      <c r="Z116" s="4">
        <f ca="1">_xll.DBRW($B$1,$B$2,$B$7,$B$3,$B$4,$B$5,$F116,$B$6,Z$10,$A116,$B116)</f>
        <v>4402636.8691884717</v>
      </c>
      <c r="AA116" s="4">
        <f ca="1">_xll.DBRW($B$1,$B$2,$B$7,$B$3,$B$4,$B$5,$F116,$B$6,AA$10,$A116,$B116)</f>
        <v>4697455.8449161835</v>
      </c>
      <c r="AB116" s="4">
        <f ca="1">_xll.DBRW($B$1,$B$2,$B$7,$B$3,$B$4,$B$5,$F116,$B$6,AB$10,$A116,$B116)</f>
        <v>4541337.1960484292</v>
      </c>
      <c r="AC116" s="4">
        <f ca="1">_xll.DBRW($B$1,$B$2,$B$7,$B$3,$B$4,$B$5,$F116,$B$6,AC$10,$A116,$B116)</f>
        <v>4022736.119373336</v>
      </c>
      <c r="AD116" s="4">
        <f ca="1">_xll.DBRW($B$1,$B$2,$B$7,$B$3,$B$4,$B$5,$F116,$B$6,AD$10,$A116,$B116)</f>
        <v>5662912.0908154873</v>
      </c>
      <c r="AE116" s="4">
        <f ca="1">_xll.DBRW($B$1,$B$2,$B$7,$B$3,$B$4,$B$5,$F116,$B$6,AE$10,$A116,$B116)</f>
        <v>5048694.4165700832</v>
      </c>
    </row>
    <row r="117" spans="1:31">
      <c r="A117" s="1" t="s">
        <v>153</v>
      </c>
      <c r="B117" s="5" t="s">
        <v>297</v>
      </c>
      <c r="C117" s="5" t="s">
        <v>298</v>
      </c>
      <c r="D117" s="5" t="s">
        <v>21</v>
      </c>
      <c r="E117" s="5" t="s">
        <v>299</v>
      </c>
      <c r="F117" s="5" t="s">
        <v>22</v>
      </c>
      <c r="G117" s="6"/>
      <c r="H117" s="6"/>
      <c r="I117" s="6"/>
      <c r="J117" s="6"/>
      <c r="K117" s="6"/>
      <c r="L117" s="4">
        <f ca="1">_xll.DBRW($B$1,$B$2,$B$7,$B$3,$B$4,$B$5,$F117,$B$6,L$10,$A117,$B117)</f>
        <v>8257632.7499999991</v>
      </c>
      <c r="M117" s="4">
        <f ca="1">_xll.DBRW($B$1,$B$2,$B$7,$B$3,$B$4,$B$5,$F117,$B$6,M$10,$A117,$B117)</f>
        <v>8261423.521983142</v>
      </c>
      <c r="N117" s="4">
        <f ca="1">_xll.DBRW($B$1,$B$2,$B$7,$B$3,$B$4,$B$5,$F117,$B$6,N$10,$A117,$B117)</f>
        <v>8083787.8500000006</v>
      </c>
      <c r="O117" s="4">
        <f ca="1">_xll.DBRW($B$1,$B$2,$B$7,$B$3,$B$4,$B$5,$F117,$B$6,O$10,$A117,$B117)</f>
        <v>8083787.8500000006</v>
      </c>
      <c r="P117" s="4">
        <f ca="1">_xll.DBRW($B$1,$B$2,$B$7,$B$3,$B$4,$B$5,$F117,$B$6,P$10,$A117,$B117)</f>
        <v>7991257.5</v>
      </c>
      <c r="Q117" s="4">
        <f ca="1">_xll.DBRW($B$1,$B$2,$B$7,$B$3,$B$4,$B$5,$F117,$B$6,Q$10,$A117,$B117)</f>
        <v>7736098.0500000007</v>
      </c>
      <c r="R117" s="4">
        <f ca="1">_xll.DBRW($B$1,$B$2,$B$7,$B$3,$B$4,$B$5,$F117,$B$6,R$10,$A117,$B117)</f>
        <v>7570665</v>
      </c>
      <c r="S117" s="4">
        <f ca="1">_xll.DBRW($B$1,$B$2,$B$7,$B$3,$B$4,$B$5,$F117,$B$6,S$10,$A117,$B117)</f>
        <v>7301485.7999999998</v>
      </c>
      <c r="T117" s="4">
        <f ca="1">_xll.DBRW($B$1,$B$2,$B$7,$B$3,$B$4,$B$5,$F117,$B$6,T$10,$A117,$B117)</f>
        <v>7647326.6944803428</v>
      </c>
      <c r="U117" s="4">
        <f ca="1">_xll.DBRW($B$1,$B$2,$B$7,$B$3,$B$4,$B$5,$F117,$B$6,U$10,$A117,$B117)</f>
        <v>7245434.3278358132</v>
      </c>
      <c r="V117" s="4">
        <f ca="1">_xll.DBRW($B$1,$B$2,$B$7,$B$3,$B$4,$B$5,$F117,$B$6,V$10,$A117,$B117)</f>
        <v>8456318.2829190027</v>
      </c>
      <c r="W117" s="4">
        <f ca="1">_xll.DBRW($B$1,$B$2,$B$7,$B$3,$B$4,$B$5,$F117,$B$6,W$10,$A117,$B117)</f>
        <v>7920504.2839074116</v>
      </c>
      <c r="X117" s="4">
        <f ca="1">_xll.DBRW($B$1,$B$2,$B$7,$B$3,$B$4,$B$5,$F117,$B$6,X$10,$A117,$B117)</f>
        <v>8392694.2072137725</v>
      </c>
      <c r="Y117" s="4">
        <f ca="1">_xll.DBRW($B$1,$B$2,$B$7,$B$3,$B$4,$B$5,$F117,$B$6,Y$10,$A117,$B117)</f>
        <v>8201939.7467888379</v>
      </c>
      <c r="Z117" s="4">
        <f ca="1">_xll.DBRW($B$1,$B$2,$B$7,$B$3,$B$4,$B$5,$F117,$B$6,Z$10,$A117,$B117)</f>
        <v>8609834.8072726522</v>
      </c>
      <c r="AA117" s="4">
        <f ca="1">_xll.DBRW($B$1,$B$2,$B$7,$B$3,$B$4,$B$5,$F117,$B$6,AA$10,$A117,$B117)</f>
        <v>8530699.6945544519</v>
      </c>
      <c r="AB117" s="4">
        <f ca="1">_xll.DBRW($B$1,$B$2,$B$7,$B$3,$B$4,$B$5,$F117,$B$6,AB$10,$A117,$B117)</f>
        <v>8008142.6013352349</v>
      </c>
      <c r="AC117" s="4">
        <f ca="1">_xll.DBRW($B$1,$B$2,$B$7,$B$3,$B$4,$B$5,$F117,$B$6,AC$10,$A117,$B117)</f>
        <v>7288337.0663019493</v>
      </c>
      <c r="AD117" s="4">
        <f ca="1">_xll.DBRW($B$1,$B$2,$B$7,$B$3,$B$4,$B$5,$F117,$B$6,AD$10,$A117,$B117)</f>
        <v>7963697.7411220158</v>
      </c>
      <c r="AE117" s="4">
        <f ca="1">_xll.DBRW($B$1,$B$2,$B$7,$B$3,$B$4,$B$5,$F117,$B$6,AE$10,$A117,$B117)</f>
        <v>7528428.1494040079</v>
      </c>
    </row>
    <row r="118" spans="1:31">
      <c r="A118" s="1" t="s">
        <v>153</v>
      </c>
      <c r="B118" s="5" t="s">
        <v>300</v>
      </c>
      <c r="C118" s="5" t="s">
        <v>301</v>
      </c>
      <c r="D118" s="5" t="s">
        <v>299</v>
      </c>
      <c r="E118" s="5" t="s">
        <v>21</v>
      </c>
      <c r="F118" s="5" t="s">
        <v>22</v>
      </c>
      <c r="G118" s="6"/>
      <c r="H118" s="6"/>
      <c r="I118" s="6"/>
      <c r="J118" s="6"/>
      <c r="K118" s="6"/>
      <c r="L118" s="4">
        <f ca="1">_xll.DBRW($B$1,$B$2,$B$7,$B$3,$B$4,$B$5,$F118,$B$6,L$10,$A118,$B118)</f>
        <v>8257632.7499999991</v>
      </c>
      <c r="M118" s="4">
        <f ca="1">_xll.DBRW($B$1,$B$2,$B$7,$B$3,$B$4,$B$5,$F118,$B$6,M$10,$A118,$B118)</f>
        <v>8261423.521983142</v>
      </c>
      <c r="N118" s="4">
        <f ca="1">_xll.DBRW($B$1,$B$2,$B$7,$B$3,$B$4,$B$5,$F118,$B$6,N$10,$A118,$B118)</f>
        <v>8083787.8500000006</v>
      </c>
      <c r="O118" s="4">
        <f ca="1">_xll.DBRW($B$1,$B$2,$B$7,$B$3,$B$4,$B$5,$F118,$B$6,O$10,$A118,$B118)</f>
        <v>8083787.8500000006</v>
      </c>
      <c r="P118" s="4">
        <f ca="1">_xll.DBRW($B$1,$B$2,$B$7,$B$3,$B$4,$B$5,$F118,$B$6,P$10,$A118,$B118)</f>
        <v>7991257.5</v>
      </c>
      <c r="Q118" s="4">
        <f ca="1">_xll.DBRW($B$1,$B$2,$B$7,$B$3,$B$4,$B$5,$F118,$B$6,Q$10,$A118,$B118)</f>
        <v>7736098.0500000007</v>
      </c>
      <c r="R118" s="4">
        <f ca="1">_xll.DBRW($B$1,$B$2,$B$7,$B$3,$B$4,$B$5,$F118,$B$6,R$10,$A118,$B118)</f>
        <v>7570665</v>
      </c>
      <c r="S118" s="4">
        <f ca="1">_xll.DBRW($B$1,$B$2,$B$7,$B$3,$B$4,$B$5,$F118,$B$6,S$10,$A118,$B118)</f>
        <v>7301485.7999999998</v>
      </c>
      <c r="T118" s="4">
        <f ca="1">_xll.DBRW($B$1,$B$2,$B$7,$B$3,$B$4,$B$5,$F118,$B$6,T$10,$A118,$B118)</f>
        <v>7647326.6944803428</v>
      </c>
      <c r="U118" s="4">
        <f ca="1">_xll.DBRW($B$1,$B$2,$B$7,$B$3,$B$4,$B$5,$F118,$B$6,U$10,$A118,$B118)</f>
        <v>7245434.3278358132</v>
      </c>
      <c r="V118" s="4">
        <f ca="1">_xll.DBRW($B$1,$B$2,$B$7,$B$3,$B$4,$B$5,$F118,$B$6,V$10,$A118,$B118)</f>
        <v>8456318.2829190027</v>
      </c>
      <c r="W118" s="4">
        <f ca="1">_xll.DBRW($B$1,$B$2,$B$7,$B$3,$B$4,$B$5,$F118,$B$6,W$10,$A118,$B118)</f>
        <v>7920504.2839074116</v>
      </c>
      <c r="X118" s="4">
        <f ca="1">_xll.DBRW($B$1,$B$2,$B$7,$B$3,$B$4,$B$5,$F118,$B$6,X$10,$A118,$B118)</f>
        <v>8392694.2072137725</v>
      </c>
      <c r="Y118" s="4">
        <f ca="1">_xll.DBRW($B$1,$B$2,$B$7,$B$3,$B$4,$B$5,$F118,$B$6,Y$10,$A118,$B118)</f>
        <v>8201939.7467888379</v>
      </c>
      <c r="Z118" s="4">
        <f ca="1">_xll.DBRW($B$1,$B$2,$B$7,$B$3,$B$4,$B$5,$F118,$B$6,Z$10,$A118,$B118)</f>
        <v>8609834.8072726522</v>
      </c>
      <c r="AA118" s="4">
        <f ca="1">_xll.DBRW($B$1,$B$2,$B$7,$B$3,$B$4,$B$5,$F118,$B$6,AA$10,$A118,$B118)</f>
        <v>8530699.6945544519</v>
      </c>
      <c r="AB118" s="4">
        <f ca="1">_xll.DBRW($B$1,$B$2,$B$7,$B$3,$B$4,$B$5,$F118,$B$6,AB$10,$A118,$B118)</f>
        <v>8008142.6013352349</v>
      </c>
      <c r="AC118" s="4">
        <f ca="1">_xll.DBRW($B$1,$B$2,$B$7,$B$3,$B$4,$B$5,$F118,$B$6,AC$10,$A118,$B118)</f>
        <v>7288337.0663019493</v>
      </c>
      <c r="AD118" s="4">
        <f ca="1">_xll.DBRW($B$1,$B$2,$B$7,$B$3,$B$4,$B$5,$F118,$B$6,AD$10,$A118,$B118)</f>
        <v>7963697.7411220158</v>
      </c>
      <c r="AE118" s="4">
        <f ca="1">_xll.DBRW($B$1,$B$2,$B$7,$B$3,$B$4,$B$5,$F118,$B$6,AE$10,$A118,$B118)</f>
        <v>7528428.1494040079</v>
      </c>
    </row>
    <row r="119" spans="1:31">
      <c r="A119" s="1" t="s">
        <v>153</v>
      </c>
      <c r="B119" s="5" t="s">
        <v>302</v>
      </c>
      <c r="C119" s="5" t="s">
        <v>303</v>
      </c>
      <c r="D119" s="5" t="s">
        <v>21</v>
      </c>
      <c r="E119" s="5" t="s">
        <v>304</v>
      </c>
      <c r="F119" s="5" t="s">
        <v>22</v>
      </c>
      <c r="G119" s="6"/>
      <c r="H119" s="6"/>
      <c r="I119" s="6"/>
      <c r="J119" s="6"/>
      <c r="K119" s="6"/>
      <c r="L119" s="4">
        <f ca="1">_xll.DBRW($B$1,$B$2,$B$7,$B$3,$B$4,$B$5,$F119,$B$6,L$10,$A119,$B119)</f>
        <v>0</v>
      </c>
      <c r="M119" s="4">
        <f ca="1">_xll.DBRW($B$1,$B$2,$B$7,$B$3,$B$4,$B$5,$F119,$B$6,M$10,$A119,$B119)</f>
        <v>0</v>
      </c>
      <c r="N119" s="4">
        <f ca="1">_xll.DBRW($B$1,$B$2,$B$7,$B$3,$B$4,$B$5,$F119,$B$6,N$10,$A119,$B119)</f>
        <v>0</v>
      </c>
      <c r="O119" s="4">
        <f ca="1">_xll.DBRW($B$1,$B$2,$B$7,$B$3,$B$4,$B$5,$F119,$B$6,O$10,$A119,$B119)</f>
        <v>0</v>
      </c>
      <c r="P119" s="4">
        <f ca="1">_xll.DBRW($B$1,$B$2,$B$7,$B$3,$B$4,$B$5,$F119,$B$6,P$10,$A119,$B119)</f>
        <v>2037230.9999999998</v>
      </c>
      <c r="Q119" s="4">
        <f ca="1">_xll.DBRW($B$1,$B$2,$B$7,$B$3,$B$4,$B$5,$F119,$B$6,Q$10,$A119,$B119)</f>
        <v>2523220.1799999997</v>
      </c>
      <c r="R119" s="4">
        <f ca="1">_xll.DBRW($B$1,$B$2,$B$7,$B$3,$B$4,$B$5,$F119,$B$6,R$10,$A119,$B119)</f>
        <v>2506117.5</v>
      </c>
      <c r="S119" s="4">
        <f ca="1">_xll.DBRW($B$1,$B$2,$B$7,$B$3,$B$4,$B$5,$F119,$B$6,S$10,$A119,$B119)</f>
        <v>2600433.75</v>
      </c>
      <c r="T119" s="4">
        <f ca="1">_xll.DBRW($B$1,$B$2,$B$7,$B$3,$B$4,$B$5,$F119,$B$6,T$10,$A119,$B119)</f>
        <v>2281539.7486087154</v>
      </c>
      <c r="U119" s="4">
        <f ca="1">_xll.DBRW($B$1,$B$2,$B$7,$B$3,$B$4,$B$5,$F119,$B$6,U$10,$A119,$B119)</f>
        <v>2416916.0384241766</v>
      </c>
      <c r="V119" s="4">
        <f ca="1">_xll.DBRW($B$1,$B$2,$B$7,$B$3,$B$4,$B$5,$F119,$B$6,V$10,$A119,$B119)</f>
        <v>3325805.2030814299</v>
      </c>
      <c r="W119" s="4">
        <f ca="1">_xll.DBRW($B$1,$B$2,$B$7,$B$3,$B$4,$B$5,$F119,$B$6,W$10,$A119,$B119)</f>
        <v>2749415.7654348779</v>
      </c>
      <c r="X119" s="4">
        <f ca="1">_xll.DBRW($B$1,$B$2,$B$7,$B$3,$B$4,$B$5,$F119,$B$6,X$10,$A119,$B119)</f>
        <v>2895925.4224686129</v>
      </c>
      <c r="Y119" s="4">
        <f ca="1">_xll.DBRW($B$1,$B$2,$B$7,$B$3,$B$4,$B$5,$F119,$B$6,Y$10,$A119,$B119)</f>
        <v>2886892.592080377</v>
      </c>
      <c r="Z119" s="4">
        <f ca="1">_xll.DBRW($B$1,$B$2,$B$7,$B$3,$B$4,$B$5,$F119,$B$6,Z$10,$A119,$B119)</f>
        <v>2916851.0963215027</v>
      </c>
      <c r="AA119" s="4">
        <f ca="1">_xll.DBRW($B$1,$B$2,$B$7,$B$3,$B$4,$B$5,$F119,$B$6,AA$10,$A119,$B119)</f>
        <v>2766403.3255615188</v>
      </c>
      <c r="AB119" s="4">
        <f ca="1">_xll.DBRW($B$1,$B$2,$B$7,$B$3,$B$4,$B$5,$F119,$B$6,AB$10,$A119,$B119)</f>
        <v>2554197.4198655044</v>
      </c>
      <c r="AC119" s="4">
        <f ca="1">_xll.DBRW($B$1,$B$2,$B$7,$B$3,$B$4,$B$5,$F119,$B$6,AC$10,$A119,$B119)</f>
        <v>2589491.655077151</v>
      </c>
      <c r="AD119" s="4">
        <f ca="1">_xll.DBRW($B$1,$B$2,$B$7,$B$3,$B$4,$B$5,$F119,$B$6,AD$10,$A119,$B119)</f>
        <v>2942289.0926552722</v>
      </c>
      <c r="AE119" s="4">
        <f ca="1">_xll.DBRW($B$1,$B$2,$B$7,$B$3,$B$4,$B$5,$F119,$B$6,AE$10,$A119,$B119)</f>
        <v>2542595.8644606899</v>
      </c>
    </row>
    <row r="120" spans="1:31">
      <c r="A120" s="1" t="s">
        <v>153</v>
      </c>
      <c r="B120" s="5" t="s">
        <v>305</v>
      </c>
      <c r="C120" s="5" t="s">
        <v>306</v>
      </c>
      <c r="D120" s="5" t="s">
        <v>304</v>
      </c>
      <c r="E120" s="5" t="s">
        <v>21</v>
      </c>
      <c r="F120" s="5" t="s">
        <v>22</v>
      </c>
      <c r="G120" s="6"/>
      <c r="H120" s="6"/>
      <c r="I120" s="6"/>
      <c r="J120" s="6"/>
      <c r="K120" s="6"/>
      <c r="L120" s="4">
        <f ca="1">_xll.DBRW($B$1,$B$2,$B$7,$B$3,$B$4,$B$5,$F120,$B$6,L$10,$A120,$B120)</f>
        <v>0</v>
      </c>
      <c r="M120" s="4">
        <f ca="1">_xll.DBRW($B$1,$B$2,$B$7,$B$3,$B$4,$B$5,$F120,$B$6,M$10,$A120,$B120)</f>
        <v>0</v>
      </c>
      <c r="N120" s="4">
        <f ca="1">_xll.DBRW($B$1,$B$2,$B$7,$B$3,$B$4,$B$5,$F120,$B$6,N$10,$A120,$B120)</f>
        <v>0</v>
      </c>
      <c r="O120" s="4">
        <f ca="1">_xll.DBRW($B$1,$B$2,$B$7,$B$3,$B$4,$B$5,$F120,$B$6,O$10,$A120,$B120)</f>
        <v>0</v>
      </c>
      <c r="P120" s="4">
        <f ca="1">_xll.DBRW($B$1,$B$2,$B$7,$B$3,$B$4,$B$5,$F120,$B$6,P$10,$A120,$B120)</f>
        <v>1959262.9</v>
      </c>
      <c r="Q120" s="4">
        <f ca="1">_xll.DBRW($B$1,$B$2,$B$7,$B$3,$B$4,$B$5,$F120,$B$6,Q$10,$A120,$B120)</f>
        <v>2525843.0699999994</v>
      </c>
      <c r="R120" s="4">
        <f ca="1">_xll.DBRW($B$1,$B$2,$B$7,$B$3,$B$4,$B$5,$F120,$B$6,R$10,$A120,$B120)</f>
        <v>2506117.5</v>
      </c>
      <c r="S120" s="4">
        <f ca="1">_xll.DBRW($B$1,$B$2,$B$7,$B$3,$B$4,$B$5,$F120,$B$6,S$10,$A120,$B120)</f>
        <v>2600433.75</v>
      </c>
      <c r="T120" s="4">
        <f ca="1">_xll.DBRW($B$1,$B$2,$B$7,$B$3,$B$4,$B$5,$F120,$B$6,T$10,$A120,$B120)</f>
        <v>2281539.7486087154</v>
      </c>
      <c r="U120" s="4">
        <f ca="1">_xll.DBRW($B$1,$B$2,$B$7,$B$3,$B$4,$B$5,$F120,$B$6,U$10,$A120,$B120)</f>
        <v>2416916.0384241766</v>
      </c>
      <c r="V120" s="4">
        <f ca="1">_xll.DBRW($B$1,$B$2,$B$7,$B$3,$B$4,$B$5,$F120,$B$6,V$10,$A120,$B120)</f>
        <v>3325805.2030814299</v>
      </c>
      <c r="W120" s="4">
        <f ca="1">_xll.DBRW($B$1,$B$2,$B$7,$B$3,$B$4,$B$5,$F120,$B$6,W$10,$A120,$B120)</f>
        <v>2749415.7654348779</v>
      </c>
      <c r="X120" s="4">
        <f ca="1">_xll.DBRW($B$1,$B$2,$B$7,$B$3,$B$4,$B$5,$F120,$B$6,X$10,$A120,$B120)</f>
        <v>2895925.4224686129</v>
      </c>
      <c r="Y120" s="4">
        <f ca="1">_xll.DBRW($B$1,$B$2,$B$7,$B$3,$B$4,$B$5,$F120,$B$6,Y$10,$A120,$B120)</f>
        <v>2886892.592080377</v>
      </c>
      <c r="Z120" s="4">
        <f ca="1">_xll.DBRW($B$1,$B$2,$B$7,$B$3,$B$4,$B$5,$F120,$B$6,Z$10,$A120,$B120)</f>
        <v>2916851.0963215027</v>
      </c>
      <c r="AA120" s="4">
        <f ca="1">_xll.DBRW($B$1,$B$2,$B$7,$B$3,$B$4,$B$5,$F120,$B$6,AA$10,$A120,$B120)</f>
        <v>2766403.3255615188</v>
      </c>
      <c r="AB120" s="4">
        <f ca="1">_xll.DBRW($B$1,$B$2,$B$7,$B$3,$B$4,$B$5,$F120,$B$6,AB$10,$A120,$B120)</f>
        <v>2554197.4198655044</v>
      </c>
      <c r="AC120" s="4">
        <f ca="1">_xll.DBRW($B$1,$B$2,$B$7,$B$3,$B$4,$B$5,$F120,$B$6,AC$10,$A120,$B120)</f>
        <v>2589491.655077151</v>
      </c>
      <c r="AD120" s="4">
        <f ca="1">_xll.DBRW($B$1,$B$2,$B$7,$B$3,$B$4,$B$5,$F120,$B$6,AD$10,$A120,$B120)</f>
        <v>2942289.0926552722</v>
      </c>
      <c r="AE120" s="4">
        <f ca="1">_xll.DBRW($B$1,$B$2,$B$7,$B$3,$B$4,$B$5,$F120,$B$6,AE$10,$A120,$B120)</f>
        <v>2542595.8644606899</v>
      </c>
    </row>
    <row r="121" spans="1:31">
      <c r="A121" s="1" t="s">
        <v>153</v>
      </c>
      <c r="B121" s="5" t="s">
        <v>307</v>
      </c>
      <c r="C121" s="5" t="s">
        <v>308</v>
      </c>
      <c r="D121" s="5" t="s">
        <v>21</v>
      </c>
      <c r="E121" s="5" t="s">
        <v>309</v>
      </c>
      <c r="F121" s="5" t="s">
        <v>22</v>
      </c>
      <c r="G121" s="6"/>
      <c r="H121" s="6"/>
      <c r="I121" s="6"/>
      <c r="J121" s="6"/>
      <c r="K121" s="6"/>
      <c r="L121" s="4">
        <f ca="1">_xll.DBRW($B$1,$B$2,$B$7,$B$3,$B$4,$B$5,$F121,$B$6,L$10,$A121,$B121)</f>
        <v>0</v>
      </c>
      <c r="M121" s="4">
        <f ca="1">_xll.DBRW($B$1,$B$2,$B$7,$B$3,$B$4,$B$5,$F121,$B$6,M$10,$A121,$B121)</f>
        <v>0</v>
      </c>
      <c r="N121" s="4">
        <f ca="1">_xll.DBRW($B$1,$B$2,$B$7,$B$3,$B$4,$B$5,$F121,$B$6,N$10,$A121,$B121)</f>
        <v>0</v>
      </c>
      <c r="O121" s="4">
        <f ca="1">_xll.DBRW($B$1,$B$2,$B$7,$B$3,$B$4,$B$5,$F121,$B$6,O$10,$A121,$B121)</f>
        <v>0</v>
      </c>
      <c r="P121" s="4">
        <f ca="1">_xll.DBRW($B$1,$B$2,$B$7,$B$3,$B$4,$B$5,$F121,$B$6,P$10,$A121,$B121)</f>
        <v>0</v>
      </c>
      <c r="Q121" s="4">
        <f ca="1">_xll.DBRW($B$1,$B$2,$B$7,$B$3,$B$4,$B$5,$F121,$B$6,Q$10,$A121,$B121)</f>
        <v>1313594.4960000003</v>
      </c>
      <c r="R121" s="4">
        <f ca="1">_xll.DBRW($B$1,$B$2,$B$7,$B$3,$B$4,$B$5,$F121,$B$6,R$10,$A121,$B121)</f>
        <v>7267838.4000000004</v>
      </c>
      <c r="S121" s="4">
        <f ca="1">_xll.DBRW($B$1,$B$2,$B$7,$B$3,$B$4,$B$5,$F121,$B$6,S$10,$A121,$B121)</f>
        <v>7788251.5199999996</v>
      </c>
      <c r="T121" s="4">
        <f ca="1">_xll.DBRW($B$1,$B$2,$B$7,$B$3,$B$4,$B$5,$F121,$B$6,T$10,$A121,$B121)</f>
        <v>8961442.1974828094</v>
      </c>
      <c r="U121" s="4">
        <f ca="1">_xll.DBRW($B$1,$B$2,$B$7,$B$3,$B$4,$B$5,$F121,$B$6,U$10,$A121,$B121)</f>
        <v>8295066.6530282767</v>
      </c>
      <c r="V121" s="4">
        <f ca="1">_xll.DBRW($B$1,$B$2,$B$7,$B$3,$B$4,$B$5,$F121,$B$6,V$10,$A121,$B121)</f>
        <v>8485894.18781689</v>
      </c>
      <c r="W121" s="4">
        <f ca="1">_xll.DBRW($B$1,$B$2,$B$7,$B$3,$B$4,$B$5,$F121,$B$6,W$10,$A121,$B121)</f>
        <v>0</v>
      </c>
      <c r="X121" s="4">
        <f ca="1">_xll.DBRW($B$1,$B$2,$B$7,$B$3,$B$4,$B$5,$F121,$B$6,X$10,$A121,$B121)</f>
        <v>0</v>
      </c>
      <c r="Y121" s="4">
        <f ca="1">_xll.DBRW($B$1,$B$2,$B$7,$B$3,$B$4,$B$5,$F121,$B$6,Y$10,$A121,$B121)</f>
        <v>0</v>
      </c>
      <c r="Z121" s="4">
        <f ca="1">_xll.DBRW($B$1,$B$2,$B$7,$B$3,$B$4,$B$5,$F121,$B$6,Z$10,$A121,$B121)</f>
        <v>0</v>
      </c>
      <c r="AA121" s="4">
        <f ca="1">_xll.DBRW($B$1,$B$2,$B$7,$B$3,$B$4,$B$5,$F121,$B$6,AA$10,$A121,$B121)</f>
        <v>0</v>
      </c>
      <c r="AB121" s="4">
        <f ca="1">_xll.DBRW($B$1,$B$2,$B$7,$B$3,$B$4,$B$5,$F121,$B$6,AB$10,$A121,$B121)</f>
        <v>0</v>
      </c>
      <c r="AC121" s="4">
        <f ca="1">_xll.DBRW($B$1,$B$2,$B$7,$B$3,$B$4,$B$5,$F121,$B$6,AC$10,$A121,$B121)</f>
        <v>1759837.8375129555</v>
      </c>
      <c r="AD121" s="4">
        <f ca="1">_xll.DBRW($B$1,$B$2,$B$7,$B$3,$B$4,$B$5,$F121,$B$6,AD$10,$A121,$B121)</f>
        <v>6523184.6679753177</v>
      </c>
      <c r="AE121" s="4">
        <f ca="1">_xll.DBRW($B$1,$B$2,$B$7,$B$3,$B$4,$B$5,$F121,$B$6,AE$10,$A121,$B121)</f>
        <v>6532844.6591973947</v>
      </c>
    </row>
    <row r="122" spans="1:31">
      <c r="A122" s="1" t="s">
        <v>153</v>
      </c>
      <c r="B122" s="5" t="s">
        <v>310</v>
      </c>
      <c r="C122" s="5" t="s">
        <v>311</v>
      </c>
      <c r="D122" s="5" t="s">
        <v>309</v>
      </c>
      <c r="E122" s="5" t="s">
        <v>21</v>
      </c>
      <c r="F122" s="5" t="s">
        <v>22</v>
      </c>
      <c r="G122" s="6"/>
      <c r="H122" s="6"/>
      <c r="I122" s="6"/>
      <c r="J122" s="6"/>
      <c r="K122" s="6"/>
      <c r="L122" s="4">
        <f ca="1">_xll.DBRW($B$1,$B$2,$B$7,$B$3,$B$4,$B$5,$F122,$B$6,L$10,$A122,$B122)</f>
        <v>0</v>
      </c>
      <c r="M122" s="4">
        <f ca="1">_xll.DBRW($B$1,$B$2,$B$7,$B$3,$B$4,$B$5,$F122,$B$6,M$10,$A122,$B122)</f>
        <v>0</v>
      </c>
      <c r="N122" s="4">
        <f ca="1">_xll.DBRW($B$1,$B$2,$B$7,$B$3,$B$4,$B$5,$F122,$B$6,N$10,$A122,$B122)</f>
        <v>0</v>
      </c>
      <c r="O122" s="4">
        <f ca="1">_xll.DBRW($B$1,$B$2,$B$7,$B$3,$B$4,$B$5,$F122,$B$6,O$10,$A122,$B122)</f>
        <v>0</v>
      </c>
      <c r="P122" s="4">
        <f ca="1">_xll.DBRW($B$1,$B$2,$B$7,$B$3,$B$4,$B$5,$F122,$B$6,P$10,$A122,$B122)</f>
        <v>0</v>
      </c>
      <c r="Q122" s="4">
        <f ca="1">_xll.DBRW($B$1,$B$2,$B$7,$B$3,$B$4,$B$5,$F122,$B$6,Q$10,$A122,$B122)</f>
        <v>1094662.08</v>
      </c>
      <c r="R122" s="4">
        <f ca="1">_xll.DBRW($B$1,$B$2,$B$7,$B$3,$B$4,$B$5,$F122,$B$6,R$10,$A122,$B122)</f>
        <v>7267838.4000000004</v>
      </c>
      <c r="S122" s="4">
        <f ca="1">_xll.DBRW($B$1,$B$2,$B$7,$B$3,$B$4,$B$5,$F122,$B$6,S$10,$A122,$B122)</f>
        <v>7788251.5199999996</v>
      </c>
      <c r="T122" s="4">
        <f ca="1">_xll.DBRW($B$1,$B$2,$B$7,$B$3,$B$4,$B$5,$F122,$B$6,T$10,$A122,$B122)</f>
        <v>8961442.1974828094</v>
      </c>
      <c r="U122" s="4">
        <f ca="1">_xll.DBRW($B$1,$B$2,$B$7,$B$3,$B$4,$B$5,$F122,$B$6,U$10,$A122,$B122)</f>
        <v>8295066.6530282767</v>
      </c>
      <c r="V122" s="4">
        <f ca="1">_xll.DBRW($B$1,$B$2,$B$7,$B$3,$B$4,$B$5,$F122,$B$6,V$10,$A122,$B122)</f>
        <v>8485894.18781689</v>
      </c>
      <c r="W122" s="4">
        <f ca="1">_xll.DBRW($B$1,$B$2,$B$7,$B$3,$B$4,$B$5,$F122,$B$6,W$10,$A122,$B122)</f>
        <v>0</v>
      </c>
      <c r="X122" s="4">
        <f ca="1">_xll.DBRW($B$1,$B$2,$B$7,$B$3,$B$4,$B$5,$F122,$B$6,X$10,$A122,$B122)</f>
        <v>0</v>
      </c>
      <c r="Y122" s="4">
        <f ca="1">_xll.DBRW($B$1,$B$2,$B$7,$B$3,$B$4,$B$5,$F122,$B$6,Y$10,$A122,$B122)</f>
        <v>0</v>
      </c>
      <c r="Z122" s="4">
        <f ca="1">_xll.DBRW($B$1,$B$2,$B$7,$B$3,$B$4,$B$5,$F122,$B$6,Z$10,$A122,$B122)</f>
        <v>0</v>
      </c>
      <c r="AA122" s="4">
        <f ca="1">_xll.DBRW($B$1,$B$2,$B$7,$B$3,$B$4,$B$5,$F122,$B$6,AA$10,$A122,$B122)</f>
        <v>0</v>
      </c>
      <c r="AB122" s="4">
        <f ca="1">_xll.DBRW($B$1,$B$2,$B$7,$B$3,$B$4,$B$5,$F122,$B$6,AB$10,$A122,$B122)</f>
        <v>0</v>
      </c>
      <c r="AC122" s="4">
        <f ca="1">_xll.DBRW($B$1,$B$2,$B$7,$B$3,$B$4,$B$5,$F122,$B$6,AC$10,$A122,$B122)</f>
        <v>1759837.8375129555</v>
      </c>
      <c r="AD122" s="4">
        <f ca="1">_xll.DBRW($B$1,$B$2,$B$7,$B$3,$B$4,$B$5,$F122,$B$6,AD$10,$A122,$B122)</f>
        <v>6523184.6679753177</v>
      </c>
      <c r="AE122" s="4">
        <f ca="1">_xll.DBRW($B$1,$B$2,$B$7,$B$3,$B$4,$B$5,$F122,$B$6,AE$10,$A122,$B122)</f>
        <v>6532844.6591973947</v>
      </c>
    </row>
    <row r="123" spans="1:31">
      <c r="A123" s="1" t="s">
        <v>153</v>
      </c>
      <c r="B123" s="5" t="s">
        <v>158</v>
      </c>
      <c r="C123" s="5" t="s">
        <v>159</v>
      </c>
      <c r="D123" s="5" t="s">
        <v>21</v>
      </c>
      <c r="E123" s="5" t="s">
        <v>38</v>
      </c>
      <c r="F123" s="5" t="s">
        <v>24</v>
      </c>
      <c r="G123" s="6"/>
      <c r="H123" s="6"/>
      <c r="I123" s="6"/>
      <c r="J123" s="6"/>
      <c r="K123" s="6"/>
      <c r="L123" s="4">
        <f ca="1">_xll.DBRW($B$1,$B$2,$B$7,$B$3,$B$4,$B$5,$F123,$B$6,L$10,$A123,$B123)</f>
        <v>5628896.8487007972</v>
      </c>
      <c r="M123" s="4">
        <f ca="1">_xll.DBRW($B$1,$B$2,$B$7,$B$3,$B$4,$B$5,$F123,$B$6,M$10,$A123,$B123)</f>
        <v>5704651.1976223858</v>
      </c>
      <c r="N123" s="4">
        <f ca="1">_xll.DBRW($B$1,$B$2,$B$7,$B$3,$B$4,$B$5,$F123,$B$6,N$10,$A123,$B123)</f>
        <v>6001306.8691131668</v>
      </c>
      <c r="O123" s="4">
        <f ca="1">_xll.DBRW($B$1,$B$2,$B$7,$B$3,$B$4,$B$5,$F123,$B$6,O$10,$A123,$B123)</f>
        <v>5776911.521626777</v>
      </c>
      <c r="P123" s="4">
        <f ca="1">_xll.DBRW($B$1,$B$2,$B$7,$B$3,$B$4,$B$5,$F123,$B$6,P$10,$A123,$B123)</f>
        <v>5966611.7033475097</v>
      </c>
      <c r="Q123" s="4">
        <f ca="1">_xll.DBRW($B$1,$B$2,$B$7,$B$3,$B$4,$B$5,$F123,$B$6,Q$10,$A123,$B123)</f>
        <v>6092091.4856892256</v>
      </c>
      <c r="R123" s="4">
        <f ca="1">_xll.DBRW($B$1,$B$2,$B$7,$B$3,$B$4,$B$5,$F123,$B$6,R$10,$A123,$B123)</f>
        <v>7849480.7388197063</v>
      </c>
      <c r="S123" s="4">
        <f ca="1">_xll.DBRW($B$1,$B$2,$B$7,$B$3,$B$4,$B$5,$F123,$B$6,S$10,$A123,$B123)</f>
        <v>9641744</v>
      </c>
      <c r="T123" s="4">
        <f ca="1">_xll.DBRW($B$1,$B$2,$B$7,$B$3,$B$4,$B$5,$F123,$B$6,T$10,$A123,$B123)</f>
        <v>6140954.9737253021</v>
      </c>
      <c r="U123" s="4">
        <f ca="1">_xll.DBRW($B$1,$B$2,$B$7,$B$3,$B$4,$B$5,$F123,$B$6,U$10,$A123,$B123)</f>
        <v>5431951.4225731762</v>
      </c>
      <c r="V123" s="4">
        <f ca="1">_xll.DBRW($B$1,$B$2,$B$7,$B$3,$B$4,$B$5,$F123,$B$6,V$10,$A123,$B123)</f>
        <v>6952501.5544998096</v>
      </c>
      <c r="W123" s="4">
        <f ca="1">_xll.DBRW($B$1,$B$2,$B$7,$B$3,$B$4,$B$5,$F123,$B$6,W$10,$A123,$B123)</f>
        <v>7660106.4005608018</v>
      </c>
      <c r="X123" s="4">
        <f ca="1">_xll.DBRW($B$1,$B$2,$B$7,$B$3,$B$4,$B$5,$F123,$B$6,X$10,$A123,$B123)</f>
        <v>8122037.153535055</v>
      </c>
      <c r="Y123" s="4">
        <f ca="1">_xll.DBRW($B$1,$B$2,$B$7,$B$3,$B$4,$B$5,$F123,$B$6,Y$10,$A123,$B123)</f>
        <v>8050754.7780635124</v>
      </c>
      <c r="Z123" s="4">
        <f ca="1">_xll.DBRW($B$1,$B$2,$B$7,$B$3,$B$4,$B$5,$F123,$B$6,Z$10,$A123,$B123)</f>
        <v>8253396.9604591923</v>
      </c>
      <c r="AA123" s="4">
        <f ca="1">_xll.DBRW($B$1,$B$2,$B$7,$B$3,$B$4,$B$5,$F123,$B$6,AA$10,$A123,$B123)</f>
        <v>7419995.8173978534</v>
      </c>
      <c r="AB123" s="4">
        <f ca="1">_xll.DBRW($B$1,$B$2,$B$7,$B$3,$B$4,$B$5,$F123,$B$6,AB$10,$A123,$B123)</f>
        <v>7304037.461978686</v>
      </c>
      <c r="AC123" s="4">
        <f ca="1">_xll.DBRW($B$1,$B$2,$B$7,$B$3,$B$4,$B$5,$F123,$B$6,AC$10,$A123,$B123)</f>
        <v>7653443.5279513318</v>
      </c>
      <c r="AD123" s="4">
        <f ca="1">_xll.DBRW($B$1,$B$2,$B$7,$B$3,$B$4,$B$5,$F123,$B$6,AD$10,$A123,$B123)</f>
        <v>6692683.9906150084</v>
      </c>
      <c r="AE123" s="4">
        <f ca="1">_xll.DBRW($B$1,$B$2,$B$7,$B$3,$B$4,$B$5,$F123,$B$6,AE$10,$A123,$B123)</f>
        <v>6944760.0715647191</v>
      </c>
    </row>
    <row r="124" spans="1:31">
      <c r="A124" s="1" t="s">
        <v>153</v>
      </c>
      <c r="B124" s="5" t="s">
        <v>36</v>
      </c>
      <c r="C124" s="5" t="s">
        <v>37</v>
      </c>
      <c r="D124" s="5" t="s">
        <v>38</v>
      </c>
      <c r="E124" s="5" t="s">
        <v>21</v>
      </c>
      <c r="F124" s="5" t="s">
        <v>24</v>
      </c>
      <c r="G124" s="6"/>
      <c r="H124" s="6"/>
      <c r="I124" s="6"/>
      <c r="J124" s="6"/>
      <c r="K124" s="6"/>
      <c r="L124" s="4">
        <f ca="1">_xll.DBRW($B$1,$B$2,$B$7,$B$3,$B$4,$B$5,$F124,$B$6,L$10,$A124,$B124)</f>
        <v>5642007.6332862806</v>
      </c>
      <c r="M124" s="4">
        <f ca="1">_xll.DBRW($B$1,$B$2,$B$7,$B$3,$B$4,$B$5,$F124,$B$6,M$10,$A124,$B124)</f>
        <v>5704651.1976223858</v>
      </c>
      <c r="N124" s="4">
        <f ca="1">_xll.DBRW($B$1,$B$2,$B$7,$B$3,$B$4,$B$5,$F124,$B$6,N$10,$A124,$B124)</f>
        <v>6028258.8460702617</v>
      </c>
      <c r="O124" s="4">
        <f ca="1">_xll.DBRW($B$1,$B$2,$B$7,$B$3,$B$4,$B$5,$F124,$B$6,O$10,$A124,$B124)</f>
        <v>5776911.521626777</v>
      </c>
      <c r="P124" s="4">
        <f ca="1">_xll.DBRW($B$1,$B$2,$B$7,$B$3,$B$4,$B$5,$F124,$B$6,P$10,$A124,$B124)</f>
        <v>5966611.7033475097</v>
      </c>
      <c r="Q124" s="4">
        <f ca="1">_xll.DBRW($B$1,$B$2,$B$7,$B$3,$B$4,$B$5,$F124,$B$6,Q$10,$A124,$B124)</f>
        <v>6092091.4856892256</v>
      </c>
      <c r="R124" s="4">
        <f ca="1">_xll.DBRW($B$1,$B$2,$B$7,$B$3,$B$4,$B$5,$F124,$B$6,R$10,$A124,$B124)</f>
        <v>7849480.7388197063</v>
      </c>
      <c r="S124" s="4">
        <f ca="1">_xll.DBRW($B$1,$B$2,$B$7,$B$3,$B$4,$B$5,$F124,$B$6,S$10,$A124,$B124)</f>
        <v>9641744</v>
      </c>
      <c r="T124" s="4">
        <f ca="1">_xll.DBRW($B$1,$B$2,$B$7,$B$3,$B$4,$B$5,$F124,$B$6,T$10,$A124,$B124)</f>
        <v>6119422.8735369239</v>
      </c>
      <c r="U124" s="4">
        <f ca="1">_xll.DBRW($B$1,$B$2,$B$7,$B$3,$B$4,$B$5,$F124,$B$6,U$10,$A124,$B124)</f>
        <v>5415082.0082173599</v>
      </c>
      <c r="V124" s="4">
        <f ca="1">_xll.DBRW($B$1,$B$2,$B$7,$B$3,$B$4,$B$5,$F124,$B$6,V$10,$A124,$B124)</f>
        <v>6894402.6557156891</v>
      </c>
      <c r="W124" s="4">
        <f ca="1">_xll.DBRW($B$1,$B$2,$B$7,$B$3,$B$4,$B$5,$F124,$B$6,W$10,$A124,$B124)</f>
        <v>7361175.4190755012</v>
      </c>
      <c r="X124" s="4">
        <f ca="1">_xll.DBRW($B$1,$B$2,$B$7,$B$3,$B$4,$B$5,$F124,$B$6,X$10,$A124,$B124)</f>
        <v>7777233.6894698869</v>
      </c>
      <c r="Y124" s="4">
        <f ca="1">_xll.DBRW($B$1,$B$2,$B$7,$B$3,$B$4,$B$5,$F124,$B$6,Y$10,$A124,$B124)</f>
        <v>7695138.6160877021</v>
      </c>
      <c r="Z124" s="4">
        <f ca="1">_xll.DBRW($B$1,$B$2,$B$7,$B$3,$B$4,$B$5,$F124,$B$6,Z$10,$A124,$B124)</f>
        <v>7903016.9008170562</v>
      </c>
      <c r="AA124" s="4">
        <f ca="1">_xll.DBRW($B$1,$B$2,$B$7,$B$3,$B$4,$B$5,$F124,$B$6,AA$10,$A124,$B124)</f>
        <v>7138335.2406994766</v>
      </c>
      <c r="AB124" s="4">
        <f ca="1">_xll.DBRW($B$1,$B$2,$B$7,$B$3,$B$4,$B$5,$F124,$B$6,AB$10,$A124,$B124)</f>
        <v>6983372.4026723057</v>
      </c>
      <c r="AC124" s="4">
        <f ca="1">_xll.DBRW($B$1,$B$2,$B$7,$B$3,$B$4,$B$5,$F124,$B$6,AC$10,$A124,$B124)</f>
        <v>7388409.3353066016</v>
      </c>
      <c r="AD124" s="4">
        <f ca="1">_xll.DBRW($B$1,$B$2,$B$7,$B$3,$B$4,$B$5,$F124,$B$6,AD$10,$A124,$B124)</f>
        <v>6673284.9065842405</v>
      </c>
      <c r="AE124" s="4">
        <f ca="1">_xll.DBRW($B$1,$B$2,$B$7,$B$3,$B$4,$B$5,$F124,$B$6,AE$10,$A124,$B124)</f>
        <v>6973980.6609261418</v>
      </c>
    </row>
    <row r="125" spans="1:31">
      <c r="A125" s="1" t="s">
        <v>153</v>
      </c>
      <c r="B125" s="5" t="s">
        <v>160</v>
      </c>
      <c r="C125" s="5" t="s">
        <v>161</v>
      </c>
      <c r="D125" s="5" t="s">
        <v>21</v>
      </c>
      <c r="E125" s="5" t="s">
        <v>69</v>
      </c>
      <c r="F125" s="5" t="s">
        <v>24</v>
      </c>
      <c r="G125" s="6"/>
      <c r="H125" s="6"/>
      <c r="I125" s="6"/>
      <c r="J125" s="6"/>
      <c r="K125" s="6"/>
      <c r="L125" s="4">
        <f ca="1">_xll.DBRW($B$1,$B$2,$B$7,$B$3,$B$4,$B$5,$F125,$B$6,L$10,$A125,$B125)</f>
        <v>8317328.0000000019</v>
      </c>
      <c r="M125" s="4">
        <f ca="1">_xll.DBRW($B$1,$B$2,$B$7,$B$3,$B$4,$B$5,$F125,$B$6,M$10,$A125,$B125)</f>
        <v>8156479.1030963343</v>
      </c>
      <c r="N125" s="4">
        <f ca="1">_xll.DBRW($B$1,$B$2,$B$7,$B$3,$B$4,$B$5,$F125,$B$6,N$10,$A125,$B125)</f>
        <v>7319604.6900000004</v>
      </c>
      <c r="O125" s="4">
        <f ca="1">_xll.DBRW($B$1,$B$2,$B$7,$B$3,$B$4,$B$5,$F125,$B$6,O$10,$A125,$B125)</f>
        <v>7314691.2000000002</v>
      </c>
      <c r="P125" s="4">
        <f ca="1">_xll.DBRW($B$1,$B$2,$B$7,$B$3,$B$4,$B$5,$F125,$B$6,P$10,$A125,$B125)</f>
        <v>5485591.1399999987</v>
      </c>
      <c r="Q125" s="4">
        <f ca="1">_xll.DBRW($B$1,$B$2,$B$7,$B$3,$B$4,$B$5,$F125,$B$6,Q$10,$A125,$B125)</f>
        <v>6355492.5</v>
      </c>
      <c r="R125" s="4">
        <f ca="1">_xll.DBRW($B$1,$B$2,$B$7,$B$3,$B$4,$B$5,$F125,$B$6,R$10,$A125,$B125)</f>
        <v>6143642.75</v>
      </c>
      <c r="S125" s="4">
        <f ca="1">_xll.DBRW($B$1,$B$2,$B$7,$B$3,$B$4,$B$5,$F125,$B$6,S$10,$A125,$B125)</f>
        <v>6205951.5</v>
      </c>
      <c r="T125" s="4">
        <f ca="1">_xll.DBRW($B$1,$B$2,$B$7,$B$3,$B$4,$B$5,$F125,$B$6,T$10,$A125,$B125)</f>
        <v>9413670.2931942772</v>
      </c>
      <c r="U125" s="4">
        <f ca="1">_xll.DBRW($B$1,$B$2,$B$7,$B$3,$B$4,$B$5,$F125,$B$6,U$10,$A125,$B125)</f>
        <v>8132174.2500739302</v>
      </c>
      <c r="V125" s="4">
        <f ca="1">_xll.DBRW($B$1,$B$2,$B$7,$B$3,$B$4,$B$5,$F125,$B$6,V$10,$A125,$B125)</f>
        <v>9685850.2886711825</v>
      </c>
      <c r="W125" s="4">
        <f ca="1">_xll.DBRW($B$1,$B$2,$B$7,$B$3,$B$4,$B$5,$F125,$B$6,W$10,$A125,$B125)</f>
        <v>8892453.5507027563</v>
      </c>
      <c r="X125" s="4">
        <f ca="1">_xll.DBRW($B$1,$B$2,$B$7,$B$3,$B$4,$B$5,$F125,$B$6,X$10,$A125,$B125)</f>
        <v>9101352.5768974554</v>
      </c>
      <c r="Y125" s="4">
        <f ca="1">_xll.DBRW($B$1,$B$2,$B$7,$B$3,$B$4,$B$5,$F125,$B$6,Y$10,$A125,$B125)</f>
        <v>9208027.8649166655</v>
      </c>
      <c r="Z125" s="4">
        <f ca="1">_xll.DBRW($B$1,$B$2,$B$7,$B$3,$B$4,$B$5,$F125,$B$6,Z$10,$A125,$B125)</f>
        <v>9397247.0255082492</v>
      </c>
      <c r="AA125" s="4">
        <f ca="1">_xll.DBRW($B$1,$B$2,$B$7,$B$3,$B$4,$B$5,$F125,$B$6,AA$10,$A125,$B125)</f>
        <v>8631037.7334990688</v>
      </c>
      <c r="AB125" s="4">
        <f ca="1">_xll.DBRW($B$1,$B$2,$B$7,$B$3,$B$4,$B$5,$F125,$B$6,AB$10,$A125,$B125)</f>
        <v>7628375.6242356524</v>
      </c>
      <c r="AC125" s="4">
        <f ca="1">_xll.DBRW($B$1,$B$2,$B$7,$B$3,$B$4,$B$5,$F125,$B$6,AC$10,$A125,$B125)</f>
        <v>8120200.0174815971</v>
      </c>
      <c r="AD125" s="4">
        <f ca="1">_xll.DBRW($B$1,$B$2,$B$7,$B$3,$B$4,$B$5,$F125,$B$6,AD$10,$A125,$B125)</f>
        <v>7107484.3543597925</v>
      </c>
      <c r="AE125" s="4">
        <f ca="1">_xll.DBRW($B$1,$B$2,$B$7,$B$3,$B$4,$B$5,$F125,$B$6,AE$10,$A125,$B125)</f>
        <v>7258179.9864542112</v>
      </c>
    </row>
    <row r="126" spans="1:31">
      <c r="A126" s="1" t="s">
        <v>153</v>
      </c>
      <c r="B126" s="5" t="s">
        <v>67</v>
      </c>
      <c r="C126" s="5" t="s">
        <v>68</v>
      </c>
      <c r="D126" s="5" t="s">
        <v>69</v>
      </c>
      <c r="E126" s="5" t="s">
        <v>21</v>
      </c>
      <c r="F126" s="5" t="s">
        <v>24</v>
      </c>
      <c r="G126" s="6"/>
      <c r="H126" s="6"/>
      <c r="I126" s="6"/>
      <c r="J126" s="6"/>
      <c r="K126" s="6"/>
      <c r="L126" s="4">
        <f ca="1">_xll.DBRW($B$1,$B$2,$B$7,$B$3,$B$4,$B$5,$F126,$B$6,L$10,$A126,$B126)</f>
        <v>8317328.0000000019</v>
      </c>
      <c r="M126" s="4">
        <f ca="1">_xll.DBRW($B$1,$B$2,$B$7,$B$3,$B$4,$B$5,$F126,$B$6,M$10,$A126,$B126)</f>
        <v>8156479.1030963343</v>
      </c>
      <c r="N126" s="4">
        <f ca="1">_xll.DBRW($B$1,$B$2,$B$7,$B$3,$B$4,$B$5,$F126,$B$6,N$10,$A126,$B126)</f>
        <v>7319604.6900000004</v>
      </c>
      <c r="O126" s="4">
        <f ca="1">_xll.DBRW($B$1,$B$2,$B$7,$B$3,$B$4,$B$5,$F126,$B$6,O$10,$A126,$B126)</f>
        <v>7314691.2000000002</v>
      </c>
      <c r="P126" s="4">
        <f ca="1">_xll.DBRW($B$1,$B$2,$B$7,$B$3,$B$4,$B$5,$F126,$B$6,P$10,$A126,$B126)</f>
        <v>5485591.1399999987</v>
      </c>
      <c r="Q126" s="4">
        <f ca="1">_xll.DBRW($B$1,$B$2,$B$7,$B$3,$B$4,$B$5,$F126,$B$6,Q$10,$A126,$B126)</f>
        <v>6355492.5</v>
      </c>
      <c r="R126" s="4">
        <f ca="1">_xll.DBRW($B$1,$B$2,$B$7,$B$3,$B$4,$B$5,$F126,$B$6,R$10,$A126,$B126)</f>
        <v>6143642.75</v>
      </c>
      <c r="S126" s="4">
        <f ca="1">_xll.DBRW($B$1,$B$2,$B$7,$B$3,$B$4,$B$5,$F126,$B$6,S$10,$A126,$B126)</f>
        <v>6205951.5</v>
      </c>
      <c r="T126" s="4">
        <f ca="1">_xll.DBRW($B$1,$B$2,$B$7,$B$3,$B$4,$B$5,$F126,$B$6,T$10,$A126,$B126)</f>
        <v>9413670.2931942772</v>
      </c>
      <c r="U126" s="4">
        <f ca="1">_xll.DBRW($B$1,$B$2,$B$7,$B$3,$B$4,$B$5,$F126,$B$6,U$10,$A126,$B126)</f>
        <v>8132174.2500739302</v>
      </c>
      <c r="V126" s="4">
        <f ca="1">_xll.DBRW($B$1,$B$2,$B$7,$B$3,$B$4,$B$5,$F126,$B$6,V$10,$A126,$B126)</f>
        <v>9685850.2886711825</v>
      </c>
      <c r="W126" s="4">
        <f ca="1">_xll.DBRW($B$1,$B$2,$B$7,$B$3,$B$4,$B$5,$F126,$B$6,W$10,$A126,$B126)</f>
        <v>8892453.5507027563</v>
      </c>
      <c r="X126" s="4">
        <f ca="1">_xll.DBRW($B$1,$B$2,$B$7,$B$3,$B$4,$B$5,$F126,$B$6,X$10,$A126,$B126)</f>
        <v>9101352.5768974554</v>
      </c>
      <c r="Y126" s="4">
        <f ca="1">_xll.DBRW($B$1,$B$2,$B$7,$B$3,$B$4,$B$5,$F126,$B$6,Y$10,$A126,$B126)</f>
        <v>9208027.8649166655</v>
      </c>
      <c r="Z126" s="4">
        <f ca="1">_xll.DBRW($B$1,$B$2,$B$7,$B$3,$B$4,$B$5,$F126,$B$6,Z$10,$A126,$B126)</f>
        <v>9397247.0255082492</v>
      </c>
      <c r="AA126" s="4">
        <f ca="1">_xll.DBRW($B$1,$B$2,$B$7,$B$3,$B$4,$B$5,$F126,$B$6,AA$10,$A126,$B126)</f>
        <v>8631037.7334990688</v>
      </c>
      <c r="AB126" s="4">
        <f ca="1">_xll.DBRW($B$1,$B$2,$B$7,$B$3,$B$4,$B$5,$F126,$B$6,AB$10,$A126,$B126)</f>
        <v>7628375.6242356524</v>
      </c>
      <c r="AC126" s="4">
        <f ca="1">_xll.DBRW($B$1,$B$2,$B$7,$B$3,$B$4,$B$5,$F126,$B$6,AC$10,$A126,$B126)</f>
        <v>8120200.0174815971</v>
      </c>
      <c r="AD126" s="4">
        <f ca="1">_xll.DBRW($B$1,$B$2,$B$7,$B$3,$B$4,$B$5,$F126,$B$6,AD$10,$A126,$B126)</f>
        <v>7107484.3543597925</v>
      </c>
      <c r="AE126" s="4">
        <f ca="1">_xll.DBRW($B$1,$B$2,$B$7,$B$3,$B$4,$B$5,$F126,$B$6,AE$10,$A126,$B126)</f>
        <v>7024045.1481814934</v>
      </c>
    </row>
    <row r="127" spans="1:31">
      <c r="A127" s="1" t="s">
        <v>153</v>
      </c>
      <c r="B127" s="5" t="s">
        <v>162</v>
      </c>
      <c r="C127" s="5" t="s">
        <v>163</v>
      </c>
      <c r="D127" s="5" t="s">
        <v>21</v>
      </c>
      <c r="E127" s="5" t="s">
        <v>54</v>
      </c>
      <c r="F127" s="5" t="s">
        <v>24</v>
      </c>
      <c r="G127" s="6"/>
      <c r="H127" s="6"/>
      <c r="I127" s="6"/>
      <c r="J127" s="6"/>
      <c r="K127" s="6"/>
      <c r="L127" s="4">
        <f ca="1">_xll.DBRW($B$1,$B$2,$B$7,$B$3,$B$4,$B$5,$F127,$B$6,L$10,$A127,$B127)</f>
        <v>7135506</v>
      </c>
      <c r="M127" s="4">
        <f ca="1">_xll.DBRW($B$1,$B$2,$B$7,$B$3,$B$4,$B$5,$F127,$B$6,M$10,$A127,$B127)</f>
        <v>8587431.2891845927</v>
      </c>
      <c r="N127" s="4">
        <f ca="1">_xll.DBRW($B$1,$B$2,$B$7,$B$3,$B$4,$B$5,$F127,$B$6,N$10,$A127,$B127)</f>
        <v>10976755.999999998</v>
      </c>
      <c r="O127" s="4">
        <f ca="1">_xll.DBRW($B$1,$B$2,$B$7,$B$3,$B$4,$B$5,$F127,$B$6,O$10,$A127,$B127)</f>
        <v>13717872.000000002</v>
      </c>
      <c r="P127" s="4">
        <f ca="1">_xll.DBRW($B$1,$B$2,$B$7,$B$3,$B$4,$B$5,$F127,$B$6,P$10,$A127,$B127)</f>
        <v>13717872</v>
      </c>
      <c r="Q127" s="4">
        <f ca="1">_xll.DBRW($B$1,$B$2,$B$7,$B$3,$B$4,$B$5,$F127,$B$6,Q$10,$A127,$B127)</f>
        <v>12650926.399999999</v>
      </c>
      <c r="R127" s="4">
        <f ca="1">_xll.DBRW($B$1,$B$2,$B$7,$B$3,$B$4,$B$5,$F127,$B$6,R$10,$A127,$B127)</f>
        <v>11977324.799999999</v>
      </c>
      <c r="S127" s="4">
        <f ca="1">_xll.DBRW($B$1,$B$2,$B$7,$B$3,$B$4,$B$5,$F127,$B$6,S$10,$A127,$B127)</f>
        <v>12498505.6</v>
      </c>
      <c r="T127" s="4">
        <f ca="1">_xll.DBRW($B$1,$B$2,$B$7,$B$3,$B$4,$B$5,$F127,$B$6,T$10,$A127,$B127)</f>
        <v>11594707.734189775</v>
      </c>
      <c r="U127" s="4">
        <f ca="1">_xll.DBRW($B$1,$B$2,$B$7,$B$3,$B$4,$B$5,$F127,$B$6,U$10,$A127,$B127)</f>
        <v>9992258.542643737</v>
      </c>
      <c r="V127" s="4">
        <f ca="1">_xll.DBRW($B$1,$B$2,$B$7,$B$3,$B$4,$B$5,$F127,$B$6,V$10,$A127,$B127)</f>
        <v>12915925.536160763</v>
      </c>
      <c r="W127" s="4">
        <f ca="1">_xll.DBRW($B$1,$B$2,$B$7,$B$3,$B$4,$B$5,$F127,$B$6,W$10,$A127,$B127)</f>
        <v>13100401.167711977</v>
      </c>
      <c r="X127" s="4">
        <f ca="1">_xll.DBRW($B$1,$B$2,$B$7,$B$3,$B$4,$B$5,$F127,$B$6,X$10,$A127,$B127)</f>
        <v>14353923.213604143</v>
      </c>
      <c r="Y127" s="4">
        <f ca="1">_xll.DBRW($B$1,$B$2,$B$7,$B$3,$B$4,$B$5,$F127,$B$6,Y$10,$A127,$B127)</f>
        <v>14417811.468225252</v>
      </c>
      <c r="Z127" s="4">
        <f ca="1">_xll.DBRW($B$1,$B$2,$B$7,$B$3,$B$4,$B$5,$F127,$B$6,Z$10,$A127,$B127)</f>
        <v>14859090.008990787</v>
      </c>
      <c r="AA127" s="4">
        <f ca="1">_xll.DBRW($B$1,$B$2,$B$7,$B$3,$B$4,$B$5,$F127,$B$6,AA$10,$A127,$B127)</f>
        <v>13833756.069024868</v>
      </c>
      <c r="AB127" s="4">
        <f ca="1">_xll.DBRW($B$1,$B$2,$B$7,$B$3,$B$4,$B$5,$F127,$B$6,AB$10,$A127,$B127)</f>
        <v>13864588.081785142</v>
      </c>
      <c r="AC127" s="4">
        <f ca="1">_xll.DBRW($B$1,$B$2,$B$7,$B$3,$B$4,$B$5,$F127,$B$6,AC$10,$A127,$B127)</f>
        <v>13572950.046949809</v>
      </c>
      <c r="AD127" s="4">
        <f ca="1">_xll.DBRW($B$1,$B$2,$B$7,$B$3,$B$4,$B$5,$F127,$B$6,AD$10,$A127,$B127)</f>
        <v>13183267.844563607</v>
      </c>
      <c r="AE127" s="4">
        <f ca="1">_xll.DBRW($B$1,$B$2,$B$7,$B$3,$B$4,$B$5,$F127,$B$6,AE$10,$A127,$B127)</f>
        <v>13307257.71974064</v>
      </c>
    </row>
    <row r="128" spans="1:31">
      <c r="A128" s="1" t="s">
        <v>153</v>
      </c>
      <c r="B128" s="5" t="s">
        <v>52</v>
      </c>
      <c r="C128" s="5" t="s">
        <v>53</v>
      </c>
      <c r="D128" s="5" t="s">
        <v>54</v>
      </c>
      <c r="E128" s="5" t="s">
        <v>21</v>
      </c>
      <c r="F128" s="5" t="s">
        <v>24</v>
      </c>
      <c r="G128" s="6"/>
      <c r="H128" s="6"/>
      <c r="I128" s="6"/>
      <c r="J128" s="6"/>
      <c r="K128" s="6"/>
      <c r="L128" s="4">
        <f ca="1">_xll.DBRW($B$1,$B$2,$B$7,$B$3,$B$4,$B$5,$F128,$B$6,L$10,$A128,$B128)</f>
        <v>7135506</v>
      </c>
      <c r="M128" s="4">
        <f ca="1">_xll.DBRW($B$1,$B$2,$B$7,$B$3,$B$4,$B$5,$F128,$B$6,M$10,$A128,$B128)</f>
        <v>8587431.2891845927</v>
      </c>
      <c r="N128" s="4">
        <f ca="1">_xll.DBRW($B$1,$B$2,$B$7,$B$3,$B$4,$B$5,$F128,$B$6,N$10,$A128,$B128)</f>
        <v>11438935.199999997</v>
      </c>
      <c r="O128" s="4">
        <f ca="1">_xll.DBRW($B$1,$B$2,$B$7,$B$3,$B$4,$B$5,$F128,$B$6,O$10,$A128,$B128)</f>
        <v>13717872.000000002</v>
      </c>
      <c r="P128" s="4">
        <f ca="1">_xll.DBRW($B$1,$B$2,$B$7,$B$3,$B$4,$B$5,$F128,$B$6,P$10,$A128,$B128)</f>
        <v>13717872</v>
      </c>
      <c r="Q128" s="4">
        <f ca="1">_xll.DBRW($B$1,$B$2,$B$7,$B$3,$B$4,$B$5,$F128,$B$6,Q$10,$A128,$B128)</f>
        <v>12650926.399999999</v>
      </c>
      <c r="R128" s="4">
        <f ca="1">_xll.DBRW($B$1,$B$2,$B$7,$B$3,$B$4,$B$5,$F128,$B$6,R$10,$A128,$B128)</f>
        <v>11977324.799999999</v>
      </c>
      <c r="S128" s="4">
        <f ca="1">_xll.DBRW($B$1,$B$2,$B$7,$B$3,$B$4,$B$5,$F128,$B$6,S$10,$A128,$B128)</f>
        <v>12498505.6</v>
      </c>
      <c r="T128" s="4">
        <f ca="1">_xll.DBRW($B$1,$B$2,$B$7,$B$3,$B$4,$B$5,$F128,$B$6,T$10,$A128,$B128)</f>
        <v>11594707.734189775</v>
      </c>
      <c r="U128" s="4">
        <f ca="1">_xll.DBRW($B$1,$B$2,$B$7,$B$3,$B$4,$B$5,$F128,$B$6,U$10,$A128,$B128)</f>
        <v>9992258.542643737</v>
      </c>
      <c r="V128" s="4">
        <f ca="1">_xll.DBRW($B$1,$B$2,$B$7,$B$3,$B$4,$B$5,$F128,$B$6,V$10,$A128,$B128)</f>
        <v>12915925.536160763</v>
      </c>
      <c r="W128" s="4">
        <f ca="1">_xll.DBRW($B$1,$B$2,$B$7,$B$3,$B$4,$B$5,$F128,$B$6,W$10,$A128,$B128)</f>
        <v>13100401.167711977</v>
      </c>
      <c r="X128" s="4">
        <f ca="1">_xll.DBRW($B$1,$B$2,$B$7,$B$3,$B$4,$B$5,$F128,$B$6,X$10,$A128,$B128)</f>
        <v>14353923.213604143</v>
      </c>
      <c r="Y128" s="4">
        <f ca="1">_xll.DBRW($B$1,$B$2,$B$7,$B$3,$B$4,$B$5,$F128,$B$6,Y$10,$A128,$B128)</f>
        <v>14417811.468225252</v>
      </c>
      <c r="Z128" s="4">
        <f ca="1">_xll.DBRW($B$1,$B$2,$B$7,$B$3,$B$4,$B$5,$F128,$B$6,Z$10,$A128,$B128)</f>
        <v>14859090.008990787</v>
      </c>
      <c r="AA128" s="4">
        <f ca="1">_xll.DBRW($B$1,$B$2,$B$7,$B$3,$B$4,$B$5,$F128,$B$6,AA$10,$A128,$B128)</f>
        <v>13833756.069024868</v>
      </c>
      <c r="AB128" s="4">
        <f ca="1">_xll.DBRW($B$1,$B$2,$B$7,$B$3,$B$4,$B$5,$F128,$B$6,AB$10,$A128,$B128)</f>
        <v>13864588.081785142</v>
      </c>
      <c r="AC128" s="4">
        <f ca="1">_xll.DBRW($B$1,$B$2,$B$7,$B$3,$B$4,$B$5,$F128,$B$6,AC$10,$A128,$B128)</f>
        <v>13572950.046949809</v>
      </c>
      <c r="AD128" s="4">
        <f ca="1">_xll.DBRW($B$1,$B$2,$B$7,$B$3,$B$4,$B$5,$F128,$B$6,AD$10,$A128,$B128)</f>
        <v>13183267.844563607</v>
      </c>
      <c r="AE128" s="4">
        <f ca="1">_xll.DBRW($B$1,$B$2,$B$7,$B$3,$B$4,$B$5,$F128,$B$6,AE$10,$A128,$B128)</f>
        <v>12877991.341684492</v>
      </c>
    </row>
    <row r="129" spans="1:31">
      <c r="A129" s="1" t="s">
        <v>153</v>
      </c>
      <c r="B129" s="5" t="s">
        <v>164</v>
      </c>
      <c r="C129" s="5" t="s">
        <v>159</v>
      </c>
      <c r="D129" s="5" t="s">
        <v>21</v>
      </c>
      <c r="E129" s="5" t="s">
        <v>38</v>
      </c>
      <c r="F129" s="5" t="s">
        <v>24</v>
      </c>
      <c r="G129" s="6"/>
      <c r="H129" s="6"/>
      <c r="I129" s="6"/>
      <c r="J129" s="6"/>
      <c r="K129" s="6"/>
      <c r="L129" s="4">
        <f ca="1">_xll.DBRW($B$1,$B$2,$B$7,$B$3,$B$4,$B$5,$F129,$B$6,L$10,$A129,$B129)</f>
        <v>6275695.5549179688</v>
      </c>
      <c r="M129" s="4">
        <f ca="1">_xll.DBRW($B$1,$B$2,$B$7,$B$3,$B$4,$B$5,$F129,$B$6,M$10,$A129,$B129)</f>
        <v>6558970.9421938546</v>
      </c>
      <c r="N129" s="4">
        <f ca="1">_xll.DBRW($B$1,$B$2,$B$7,$B$3,$B$4,$B$5,$F129,$B$6,N$10,$A129,$B129)</f>
        <v>6594250.3621692583</v>
      </c>
      <c r="O129" s="4">
        <f ca="1">_xll.DBRW($B$1,$B$2,$B$7,$B$3,$B$4,$B$5,$F129,$B$6,O$10,$A129,$B129)</f>
        <v>6244607.506885916</v>
      </c>
      <c r="P129" s="4">
        <f ca="1">_xll.DBRW($B$1,$B$2,$B$7,$B$3,$B$4,$B$5,$F129,$B$6,P$10,$A129,$B129)</f>
        <v>6448387.8036178062</v>
      </c>
      <c r="Q129" s="4">
        <f ca="1">_xll.DBRW($B$1,$B$2,$B$7,$B$3,$B$4,$B$5,$F129,$B$6,Q$10,$A129,$B129)</f>
        <v>7064020.5549521446</v>
      </c>
      <c r="R129" s="4">
        <f ca="1">_xll.DBRW($B$1,$B$2,$B$7,$B$3,$B$4,$B$5,$F129,$B$6,R$10,$A129,$B129)</f>
        <v>8088287.6925139567</v>
      </c>
      <c r="S129" s="4">
        <f ca="1">_xll.DBRW($B$1,$B$2,$B$7,$B$3,$B$4,$B$5,$F129,$B$6,S$10,$A129,$B129)</f>
        <v>9641744</v>
      </c>
      <c r="T129" s="4">
        <f ca="1">_xll.DBRW($B$1,$B$2,$B$7,$B$3,$B$4,$B$5,$F129,$B$6,T$10,$A129,$B129)</f>
        <v>6941949.1007329486</v>
      </c>
      <c r="U129" s="4">
        <f ca="1">_xll.DBRW($B$1,$B$2,$B$7,$B$3,$B$4,$B$5,$F129,$B$6,U$10,$A129,$B129)</f>
        <v>6089858.5824500518</v>
      </c>
      <c r="V129" s="4">
        <f ca="1">_xll.DBRW($B$1,$B$2,$B$7,$B$3,$B$4,$B$5,$F129,$B$6,V$10,$A129,$B129)</f>
        <v>7756202.9876801511</v>
      </c>
      <c r="W129" s="4">
        <f ca="1">_xll.DBRW($B$1,$B$2,$B$7,$B$3,$B$4,$B$5,$F129,$B$6,W$10,$A129,$B129)</f>
        <v>6833375.4048905196</v>
      </c>
      <c r="X129" s="4">
        <f ca="1">_xll.DBRW($B$1,$B$2,$B$7,$B$3,$B$4,$B$5,$F129,$B$6,X$10,$A129,$B129)</f>
        <v>7374962.9813938579</v>
      </c>
      <c r="Y129" s="4">
        <f ca="1">_xll.DBRW($B$1,$B$2,$B$7,$B$3,$B$4,$B$5,$F129,$B$6,Y$10,$A129,$B129)</f>
        <v>7319766.0006687893</v>
      </c>
      <c r="Z129" s="4">
        <f ca="1">_xll.DBRW($B$1,$B$2,$B$7,$B$3,$B$4,$B$5,$F129,$B$6,Z$10,$A129,$B129)</f>
        <v>7392045.980505609</v>
      </c>
      <c r="AA129" s="4">
        <f ca="1">_xll.DBRW($B$1,$B$2,$B$7,$B$3,$B$4,$B$5,$F129,$B$6,AA$10,$A129,$B129)</f>
        <v>6777457.6268046824</v>
      </c>
      <c r="AB129" s="4">
        <f ca="1">_xll.DBRW($B$1,$B$2,$B$7,$B$3,$B$4,$B$5,$F129,$B$6,AB$10,$A129,$B129)</f>
        <v>6506828.4950919887</v>
      </c>
      <c r="AC129" s="4">
        <f ca="1">_xll.DBRW($B$1,$B$2,$B$7,$B$3,$B$4,$B$5,$F129,$B$6,AC$10,$A129,$B129)</f>
        <v>7197770.7055095155</v>
      </c>
      <c r="AD129" s="4">
        <f ca="1">_xll.DBRW($B$1,$B$2,$B$7,$B$3,$B$4,$B$5,$F129,$B$6,AD$10,$A129,$B129)</f>
        <v>7497745.9778918857</v>
      </c>
      <c r="AE129" s="4">
        <f ca="1">_xll.DBRW($B$1,$B$2,$B$7,$B$3,$B$4,$B$5,$F129,$B$6,AE$10,$A129,$B129)</f>
        <v>7748326.2790038344</v>
      </c>
    </row>
    <row r="130" spans="1:31">
      <c r="A130" s="1" t="s">
        <v>153</v>
      </c>
      <c r="B130" s="5" t="s">
        <v>39</v>
      </c>
      <c r="C130" s="5" t="s">
        <v>37</v>
      </c>
      <c r="D130" s="5" t="s">
        <v>38</v>
      </c>
      <c r="E130" s="5" t="s">
        <v>21</v>
      </c>
      <c r="F130" s="5" t="s">
        <v>24</v>
      </c>
      <c r="G130" s="6"/>
      <c r="H130" s="6"/>
      <c r="I130" s="6"/>
      <c r="J130" s="6"/>
      <c r="K130" s="6"/>
      <c r="L130" s="4">
        <f ca="1">_xll.DBRW($B$1,$B$2,$B$7,$B$3,$B$4,$B$5,$F130,$B$6,L$10,$A130,$B130)</f>
        <v>6188290.3243480809</v>
      </c>
      <c r="M130" s="4">
        <f ca="1">_xll.DBRW($B$1,$B$2,$B$7,$B$3,$B$4,$B$5,$F130,$B$6,M$10,$A130,$B130)</f>
        <v>6522226.0069434689</v>
      </c>
      <c r="N130" s="4">
        <f ca="1">_xll.DBRW($B$1,$B$2,$B$7,$B$3,$B$4,$B$5,$F130,$B$6,N$10,$A130,$B130)</f>
        <v>6630186.3314453848</v>
      </c>
      <c r="O130" s="4">
        <f ca="1">_xll.DBRW($B$1,$B$2,$B$7,$B$3,$B$4,$B$5,$F130,$B$6,O$10,$A130,$B130)</f>
        <v>6348539.9480546145</v>
      </c>
      <c r="P130" s="4">
        <f ca="1">_xll.DBRW($B$1,$B$2,$B$7,$B$3,$B$4,$B$5,$F130,$B$6,P$10,$A130,$B130)</f>
        <v>6578096.753690578</v>
      </c>
      <c r="Q130" s="4">
        <f ca="1">_xll.DBRW($B$1,$B$2,$B$7,$B$3,$B$4,$B$5,$F130,$B$6,Q$10,$A130,$B130)</f>
        <v>6763423.9355924781</v>
      </c>
      <c r="R130" s="4">
        <f ca="1">_xll.DBRW($B$1,$B$2,$B$7,$B$3,$B$4,$B$5,$F130,$B$6,R$10,$A130,$B130)</f>
        <v>8088287.6925139567</v>
      </c>
      <c r="S130" s="4">
        <f ca="1">_xll.DBRW($B$1,$B$2,$B$7,$B$3,$B$4,$B$5,$F130,$B$6,S$10,$A130,$B130)</f>
        <v>9641744</v>
      </c>
      <c r="T130" s="4">
        <f ca="1">_xll.DBRW($B$1,$B$2,$B$7,$B$3,$B$4,$B$5,$F130,$B$6,T$10,$A130,$B130)</f>
        <v>6941949.1007329486</v>
      </c>
      <c r="U130" s="4">
        <f ca="1">_xll.DBRW($B$1,$B$2,$B$7,$B$3,$B$4,$B$5,$F130,$B$6,U$10,$A130,$B130)</f>
        <v>6089858.5824500518</v>
      </c>
      <c r="V130" s="4">
        <f ca="1">_xll.DBRW($B$1,$B$2,$B$7,$B$3,$B$4,$B$5,$F130,$B$6,V$10,$A130,$B130)</f>
        <v>7756202.9876801511</v>
      </c>
      <c r="W130" s="4">
        <f ca="1">_xll.DBRW($B$1,$B$2,$B$7,$B$3,$B$4,$B$5,$F130,$B$6,W$10,$A130,$B130)</f>
        <v>6833375.4048905196</v>
      </c>
      <c r="X130" s="4">
        <f ca="1">_xll.DBRW($B$1,$B$2,$B$7,$B$3,$B$4,$B$5,$F130,$B$6,X$10,$A130,$B130)</f>
        <v>7374962.9813938579</v>
      </c>
      <c r="Y130" s="4">
        <f ca="1">_xll.DBRW($B$1,$B$2,$B$7,$B$3,$B$4,$B$5,$F130,$B$6,Y$10,$A130,$B130)</f>
        <v>7319766.0006687893</v>
      </c>
      <c r="Z130" s="4">
        <f ca="1">_xll.DBRW($B$1,$B$2,$B$7,$B$3,$B$4,$B$5,$F130,$B$6,Z$10,$A130,$B130)</f>
        <v>7392045.980505609</v>
      </c>
      <c r="AA130" s="4">
        <f ca="1">_xll.DBRW($B$1,$B$2,$B$7,$B$3,$B$4,$B$5,$F130,$B$6,AA$10,$A130,$B130)</f>
        <v>6777457.6268046824</v>
      </c>
      <c r="AB130" s="4">
        <f ca="1">_xll.DBRW($B$1,$B$2,$B$7,$B$3,$B$4,$B$5,$F130,$B$6,AB$10,$A130,$B130)</f>
        <v>6506828.4950919887</v>
      </c>
      <c r="AC130" s="4">
        <f ca="1">_xll.DBRW($B$1,$B$2,$B$7,$B$3,$B$4,$B$5,$F130,$B$6,AC$10,$A130,$B130)</f>
        <v>7197770.7055095155</v>
      </c>
      <c r="AD130" s="4">
        <f ca="1">_xll.DBRW($B$1,$B$2,$B$7,$B$3,$B$4,$B$5,$F130,$B$6,AD$10,$A130,$B130)</f>
        <v>7497745.9778918857</v>
      </c>
      <c r="AE130" s="4">
        <f ca="1">_xll.DBRW($B$1,$B$2,$B$7,$B$3,$B$4,$B$5,$F130,$B$6,AE$10,$A130,$B130)</f>
        <v>7475600.7782972259</v>
      </c>
    </row>
    <row r="131" spans="1:31">
      <c r="A131" s="1" t="s">
        <v>153</v>
      </c>
      <c r="B131" s="5" t="s">
        <v>165</v>
      </c>
      <c r="C131" s="5" t="s">
        <v>166</v>
      </c>
      <c r="D131" s="5" t="s">
        <v>21</v>
      </c>
      <c r="E131" s="5" t="s">
        <v>31</v>
      </c>
      <c r="F131" s="5" t="s">
        <v>24</v>
      </c>
      <c r="G131" s="6"/>
      <c r="H131" s="6"/>
      <c r="I131" s="6"/>
      <c r="J131" s="6"/>
      <c r="K131" s="6"/>
      <c r="L131" s="4">
        <f ca="1">_xll.DBRW($B$1,$B$2,$B$7,$B$3,$B$4,$B$5,$F131,$B$6,L$10,$A131,$B131)</f>
        <v>5811134.1600000001</v>
      </c>
      <c r="M131" s="4">
        <f ca="1">_xll.DBRW($B$1,$B$2,$B$7,$B$3,$B$4,$B$5,$F131,$B$6,M$10,$A131,$B131)</f>
        <v>6802747.1472819652</v>
      </c>
      <c r="N131" s="4">
        <f ca="1">_xll.DBRW($B$1,$B$2,$B$7,$B$3,$B$4,$B$5,$F131,$B$6,N$10,$A131,$B131)</f>
        <v>5841817.5200000014</v>
      </c>
      <c r="O131" s="4">
        <f ca="1">_xll.DBRW($B$1,$B$2,$B$7,$B$3,$B$4,$B$5,$F131,$B$6,O$10,$A131,$B131)</f>
        <v>6244694.2399999993</v>
      </c>
      <c r="P131" s="4">
        <f ca="1">_xll.DBRW($B$1,$B$2,$B$7,$B$3,$B$4,$B$5,$F131,$B$6,P$10,$A131,$B131)</f>
        <v>6452962.8000000007</v>
      </c>
      <c r="Q131" s="4">
        <f ca="1">_xll.DBRW($B$1,$B$2,$B$7,$B$3,$B$4,$B$5,$F131,$B$6,Q$10,$A131,$B131)</f>
        <v>6536501.4000000004</v>
      </c>
      <c r="R131" s="4">
        <f ca="1">_xll.DBRW($B$1,$B$2,$B$7,$B$3,$B$4,$B$5,$F131,$B$6,R$10,$A131,$B131)</f>
        <v>6090436.7999999989</v>
      </c>
      <c r="S131" s="4">
        <f ca="1">_xll.DBRW($B$1,$B$2,$B$7,$B$3,$B$4,$B$5,$F131,$B$6,S$10,$A131,$B131)</f>
        <v>5768997.0800000001</v>
      </c>
      <c r="T131" s="4">
        <f ca="1">_xll.DBRW($B$1,$B$2,$B$7,$B$3,$B$4,$B$5,$F131,$B$6,T$10,$A131,$B131)</f>
        <v>4598627.1572311707</v>
      </c>
      <c r="U131" s="4">
        <f ca="1">_xll.DBRW($B$1,$B$2,$B$7,$B$3,$B$4,$B$5,$F131,$B$6,U$10,$A131,$B131)</f>
        <v>3439925.8950887211</v>
      </c>
      <c r="V131" s="4">
        <f ca="1">_xll.DBRW($B$1,$B$2,$B$7,$B$3,$B$4,$B$5,$F131,$B$6,V$10,$A131,$B131)</f>
        <v>5431931.9893820416</v>
      </c>
      <c r="W131" s="4">
        <f ca="1">_xll.DBRW($B$1,$B$2,$B$7,$B$3,$B$4,$B$5,$F131,$B$6,W$10,$A131,$B131)</f>
        <v>4813591.7311629448</v>
      </c>
      <c r="X131" s="4">
        <f ca="1">_xll.DBRW($B$1,$B$2,$B$7,$B$3,$B$4,$B$5,$F131,$B$6,X$10,$A131,$B131)</f>
        <v>6061554.879813211</v>
      </c>
      <c r="Y131" s="4">
        <f ca="1">_xll.DBRW($B$1,$B$2,$B$7,$B$3,$B$4,$B$5,$F131,$B$6,Y$10,$A131,$B131)</f>
        <v>5572585.5068277558</v>
      </c>
      <c r="Z131" s="4">
        <f ca="1">_xll.DBRW($B$1,$B$2,$B$7,$B$3,$B$4,$B$5,$F131,$B$6,Z$10,$A131,$B131)</f>
        <v>6117195.6903300062</v>
      </c>
      <c r="AA131" s="4">
        <f ca="1">_xll.DBRW($B$1,$B$2,$B$7,$B$3,$B$4,$B$5,$F131,$B$6,AA$10,$A131,$B131)</f>
        <v>6839532.7492387192</v>
      </c>
      <c r="AB131" s="4">
        <f ca="1">_xll.DBRW($B$1,$B$2,$B$7,$B$3,$B$4,$B$5,$F131,$B$6,AB$10,$A131,$B131)</f>
        <v>6045064.4944743328</v>
      </c>
      <c r="AC131" s="4">
        <f ca="1">_xll.DBRW($B$1,$B$2,$B$7,$B$3,$B$4,$B$5,$F131,$B$6,AC$10,$A131,$B131)</f>
        <v>6981452.2642128775</v>
      </c>
      <c r="AD131" s="4">
        <f ca="1">_xll.DBRW($B$1,$B$2,$B$7,$B$3,$B$4,$B$5,$F131,$B$6,AD$10,$A131,$B131)</f>
        <v>6069571.5146821933</v>
      </c>
      <c r="AE131" s="4">
        <f ca="1">_xll.DBRW($B$1,$B$2,$B$7,$B$3,$B$4,$B$5,$F131,$B$6,AE$10,$A131,$B131)</f>
        <v>6698865.5341386897</v>
      </c>
    </row>
    <row r="132" spans="1:31">
      <c r="A132" s="1" t="s">
        <v>153</v>
      </c>
      <c r="B132" s="5" t="s">
        <v>29</v>
      </c>
      <c r="C132" s="5" t="s">
        <v>30</v>
      </c>
      <c r="D132" s="5" t="s">
        <v>31</v>
      </c>
      <c r="E132" s="5" t="s">
        <v>21</v>
      </c>
      <c r="F132" s="5" t="s">
        <v>24</v>
      </c>
      <c r="G132" s="6"/>
      <c r="H132" s="6"/>
      <c r="I132" s="6"/>
      <c r="J132" s="6"/>
      <c r="K132" s="6"/>
      <c r="L132" s="4">
        <f ca="1">_xll.DBRW($B$1,$B$2,$B$7,$B$3,$B$4,$B$5,$F132,$B$6,L$10,$A132,$B132)</f>
        <v>5811134.1600000001</v>
      </c>
      <c r="M132" s="4">
        <f ca="1">_xll.DBRW($B$1,$B$2,$B$7,$B$3,$B$4,$B$5,$F132,$B$6,M$10,$A132,$B132)</f>
        <v>6802747.1472819652</v>
      </c>
      <c r="N132" s="4">
        <f ca="1">_xll.DBRW($B$1,$B$2,$B$7,$B$3,$B$4,$B$5,$F132,$B$6,N$10,$A132,$B132)</f>
        <v>5841817.5200000014</v>
      </c>
      <c r="O132" s="4">
        <f ca="1">_xll.DBRW($B$1,$B$2,$B$7,$B$3,$B$4,$B$5,$F132,$B$6,O$10,$A132,$B132)</f>
        <v>6244694.2399999993</v>
      </c>
      <c r="P132" s="4">
        <f ca="1">_xll.DBRW($B$1,$B$2,$B$7,$B$3,$B$4,$B$5,$F132,$B$6,P$10,$A132,$B132)</f>
        <v>6452962.8000000007</v>
      </c>
      <c r="Q132" s="4">
        <f ca="1">_xll.DBRW($B$1,$B$2,$B$7,$B$3,$B$4,$B$5,$F132,$B$6,Q$10,$A132,$B132)</f>
        <v>6536501.4000000004</v>
      </c>
      <c r="R132" s="4">
        <f ca="1">_xll.DBRW($B$1,$B$2,$B$7,$B$3,$B$4,$B$5,$F132,$B$6,R$10,$A132,$B132)</f>
        <v>6090436.7999999989</v>
      </c>
      <c r="S132" s="4">
        <f ca="1">_xll.DBRW($B$1,$B$2,$B$7,$B$3,$B$4,$B$5,$F132,$B$6,S$10,$A132,$B132)</f>
        <v>5768997.0800000001</v>
      </c>
      <c r="T132" s="4">
        <f ca="1">_xll.DBRW($B$1,$B$2,$B$7,$B$3,$B$4,$B$5,$F132,$B$6,T$10,$A132,$B132)</f>
        <v>4598627.1572311707</v>
      </c>
      <c r="U132" s="4">
        <f ca="1">_xll.DBRW($B$1,$B$2,$B$7,$B$3,$B$4,$B$5,$F132,$B$6,U$10,$A132,$B132)</f>
        <v>3439925.8950887211</v>
      </c>
      <c r="V132" s="4">
        <f ca="1">_xll.DBRW($B$1,$B$2,$B$7,$B$3,$B$4,$B$5,$F132,$B$6,V$10,$A132,$B132)</f>
        <v>5431931.9893820416</v>
      </c>
      <c r="W132" s="4">
        <f ca="1">_xll.DBRW($B$1,$B$2,$B$7,$B$3,$B$4,$B$5,$F132,$B$6,W$10,$A132,$B132)</f>
        <v>4813591.7311629448</v>
      </c>
      <c r="X132" s="4">
        <f ca="1">_xll.DBRW($B$1,$B$2,$B$7,$B$3,$B$4,$B$5,$F132,$B$6,X$10,$A132,$B132)</f>
        <v>6061554.879813211</v>
      </c>
      <c r="Y132" s="4">
        <f ca="1">_xll.DBRW($B$1,$B$2,$B$7,$B$3,$B$4,$B$5,$F132,$B$6,Y$10,$A132,$B132)</f>
        <v>5572585.5068277558</v>
      </c>
      <c r="Z132" s="4">
        <f ca="1">_xll.DBRW($B$1,$B$2,$B$7,$B$3,$B$4,$B$5,$F132,$B$6,Z$10,$A132,$B132)</f>
        <v>6117195.6903300062</v>
      </c>
      <c r="AA132" s="4">
        <f ca="1">_xll.DBRW($B$1,$B$2,$B$7,$B$3,$B$4,$B$5,$F132,$B$6,AA$10,$A132,$B132)</f>
        <v>6839532.7492387192</v>
      </c>
      <c r="AB132" s="4">
        <f ca="1">_xll.DBRW($B$1,$B$2,$B$7,$B$3,$B$4,$B$5,$F132,$B$6,AB$10,$A132,$B132)</f>
        <v>6045064.4944743328</v>
      </c>
      <c r="AC132" s="4">
        <f ca="1">_xll.DBRW($B$1,$B$2,$B$7,$B$3,$B$4,$B$5,$F132,$B$6,AC$10,$A132,$B132)</f>
        <v>6759665.7972558383</v>
      </c>
      <c r="AD132" s="4">
        <f ca="1">_xll.DBRW($B$1,$B$2,$B$7,$B$3,$B$4,$B$5,$F132,$B$6,AD$10,$A132,$B132)</f>
        <v>6069571.5146821933</v>
      </c>
      <c r="AE132" s="4">
        <f ca="1">_xll.DBRW($B$1,$B$2,$B$7,$B$3,$B$4,$B$5,$F132,$B$6,AE$10,$A132,$B132)</f>
        <v>6486642.5213491702</v>
      </c>
    </row>
    <row r="133" spans="1:31">
      <c r="A133" s="1" t="s">
        <v>153</v>
      </c>
      <c r="B133" s="5" t="s">
        <v>167</v>
      </c>
      <c r="C133" s="5" t="s">
        <v>168</v>
      </c>
      <c r="D133" s="5" t="s">
        <v>21</v>
      </c>
      <c r="E133" s="5" t="s">
        <v>76</v>
      </c>
      <c r="F133" s="5" t="s">
        <v>24</v>
      </c>
      <c r="G133" s="6"/>
      <c r="H133" s="6"/>
      <c r="I133" s="6"/>
      <c r="J133" s="6"/>
      <c r="K133" s="6"/>
      <c r="L133" s="4">
        <f ca="1">_xll.DBRW($B$1,$B$2,$B$7,$B$3,$B$4,$B$5,$F133,$B$6,L$10,$A133,$B133)</f>
        <v>7618716</v>
      </c>
      <c r="M133" s="4">
        <f ca="1">_xll.DBRW($B$1,$B$2,$B$7,$B$3,$B$4,$B$5,$F133,$B$6,M$10,$A133,$B133)</f>
        <v>8078156.5838492466</v>
      </c>
      <c r="N133" s="4">
        <f ca="1">_xll.DBRW($B$1,$B$2,$B$7,$B$3,$B$4,$B$5,$F133,$B$6,N$10,$A133,$B133)</f>
        <v>7528017.0000000009</v>
      </c>
      <c r="O133" s="4">
        <f ca="1">_xll.DBRW($B$1,$B$2,$B$7,$B$3,$B$4,$B$5,$F133,$B$6,O$10,$A133,$B133)</f>
        <v>7709415</v>
      </c>
      <c r="P133" s="4">
        <f ca="1">_xll.DBRW($B$1,$B$2,$B$7,$B$3,$B$4,$B$5,$F133,$B$6,P$10,$A133,$B133)</f>
        <v>8241515.7999999989</v>
      </c>
      <c r="Q133" s="4">
        <f ca="1">_xll.DBRW($B$1,$B$2,$B$7,$B$3,$B$4,$B$5,$F133,$B$6,Q$10,$A133,$B133)</f>
        <v>7452434.5</v>
      </c>
      <c r="R133" s="4">
        <f ca="1">_xll.DBRW($B$1,$B$2,$B$7,$B$3,$B$4,$B$5,$F133,$B$6,R$10,$A133,$B133)</f>
        <v>7540110.2000000002</v>
      </c>
      <c r="S133" s="4">
        <f ca="1">_xll.DBRW($B$1,$B$2,$B$7,$B$3,$B$4,$B$5,$F133,$B$6,S$10,$A133,$B133)</f>
        <v>7709414.9999999991</v>
      </c>
      <c r="T133" s="4">
        <f ca="1">_xll.DBRW($B$1,$B$2,$B$7,$B$3,$B$4,$B$5,$F133,$B$6,T$10,$A133,$B133)</f>
        <v>12711720.302444138</v>
      </c>
      <c r="U133" s="4">
        <f ca="1">_xll.DBRW($B$1,$B$2,$B$7,$B$3,$B$4,$B$5,$F133,$B$6,U$10,$A133,$B133)</f>
        <v>11807623.782174939</v>
      </c>
      <c r="V133" s="4">
        <f ca="1">_xll.DBRW($B$1,$B$2,$B$7,$B$3,$B$4,$B$5,$F133,$B$6,V$10,$A133,$B133)</f>
        <v>12533563.793569962</v>
      </c>
      <c r="W133" s="4">
        <f ca="1">_xll.DBRW($B$1,$B$2,$B$7,$B$3,$B$4,$B$5,$F133,$B$6,W$10,$A133,$B133)</f>
        <v>8935303.7874840088</v>
      </c>
      <c r="X133" s="4">
        <f ca="1">_xll.DBRW($B$1,$B$2,$B$7,$B$3,$B$4,$B$5,$F133,$B$6,X$10,$A133,$B133)</f>
        <v>10507882.306178654</v>
      </c>
      <c r="Y133" s="4">
        <f ca="1">_xll.DBRW($B$1,$B$2,$B$7,$B$3,$B$4,$B$5,$F133,$B$6,Y$10,$A133,$B133)</f>
        <v>11567389.59933928</v>
      </c>
      <c r="Z133" s="4">
        <f ca="1">_xll.DBRW($B$1,$B$2,$B$7,$B$3,$B$4,$B$5,$F133,$B$6,Z$10,$A133,$B133)</f>
        <v>11169530.401331626</v>
      </c>
      <c r="AA133" s="4">
        <f ca="1">_xll.DBRW($B$1,$B$2,$B$7,$B$3,$B$4,$B$5,$F133,$B$6,AA$10,$A133,$B133)</f>
        <v>10481027.120530486</v>
      </c>
      <c r="AB133" s="4">
        <f ca="1">_xll.DBRW($B$1,$B$2,$B$7,$B$3,$B$4,$B$5,$F133,$B$6,AB$10,$A133,$B133)</f>
        <v>11221958.301880838</v>
      </c>
      <c r="AC133" s="4">
        <f ca="1">_xll.DBRW($B$1,$B$2,$B$7,$B$3,$B$4,$B$5,$F133,$B$6,AC$10,$A133,$B133)</f>
        <v>10761346.621692631</v>
      </c>
      <c r="AD133" s="4">
        <f ca="1">_xll.DBRW($B$1,$B$2,$B$7,$B$3,$B$4,$B$5,$F133,$B$6,AD$10,$A133,$B133)</f>
        <v>12043882.042657027</v>
      </c>
      <c r="AE133" s="4">
        <f ca="1">_xll.DBRW($B$1,$B$2,$B$7,$B$3,$B$4,$B$5,$F133,$B$6,AE$10,$A133,$B133)</f>
        <v>11005631.934288384</v>
      </c>
    </row>
    <row r="134" spans="1:31">
      <c r="A134" s="1" t="s">
        <v>153</v>
      </c>
      <c r="B134" s="5" t="s">
        <v>74</v>
      </c>
      <c r="C134" s="5" t="s">
        <v>75</v>
      </c>
      <c r="D134" s="5" t="s">
        <v>76</v>
      </c>
      <c r="E134" s="5" t="s">
        <v>21</v>
      </c>
      <c r="F134" s="5" t="s">
        <v>24</v>
      </c>
      <c r="G134" s="6"/>
      <c r="H134" s="6"/>
      <c r="I134" s="6"/>
      <c r="J134" s="6"/>
      <c r="K134" s="6"/>
      <c r="L134" s="4">
        <f ca="1">_xll.DBRW($B$1,$B$2,$B$7,$B$3,$B$4,$B$5,$F134,$B$6,L$10,$A134,$B134)</f>
        <v>7618716</v>
      </c>
      <c r="M134" s="4">
        <f ca="1">_xll.DBRW($B$1,$B$2,$B$7,$B$3,$B$4,$B$5,$F134,$B$6,M$10,$A134,$B134)</f>
        <v>8078156.5838492466</v>
      </c>
      <c r="N134" s="4">
        <f ca="1">_xll.DBRW($B$1,$B$2,$B$7,$B$3,$B$4,$B$5,$F134,$B$6,N$10,$A134,$B134)</f>
        <v>7528017.0000000009</v>
      </c>
      <c r="O134" s="4">
        <f ca="1">_xll.DBRW($B$1,$B$2,$B$7,$B$3,$B$4,$B$5,$F134,$B$6,O$10,$A134,$B134)</f>
        <v>7709415</v>
      </c>
      <c r="P134" s="4">
        <f ca="1">_xll.DBRW($B$1,$B$2,$B$7,$B$3,$B$4,$B$5,$F134,$B$6,P$10,$A134,$B134)</f>
        <v>8241515.7999999989</v>
      </c>
      <c r="Q134" s="4">
        <f ca="1">_xll.DBRW($B$1,$B$2,$B$7,$B$3,$B$4,$B$5,$F134,$B$6,Q$10,$A134,$B134)</f>
        <v>7452434.5</v>
      </c>
      <c r="R134" s="4">
        <f ca="1">_xll.DBRW($B$1,$B$2,$B$7,$B$3,$B$4,$B$5,$F134,$B$6,R$10,$A134,$B134)</f>
        <v>7540110.2000000002</v>
      </c>
      <c r="S134" s="4">
        <f ca="1">_xll.DBRW($B$1,$B$2,$B$7,$B$3,$B$4,$B$5,$F134,$B$6,S$10,$A134,$B134)</f>
        <v>7709414.9999999991</v>
      </c>
      <c r="T134" s="4">
        <f ca="1">_xll.DBRW($B$1,$B$2,$B$7,$B$3,$B$4,$B$5,$F134,$B$6,T$10,$A134,$B134)</f>
        <v>12711720.302444138</v>
      </c>
      <c r="U134" s="4">
        <f ca="1">_xll.DBRW($B$1,$B$2,$B$7,$B$3,$B$4,$B$5,$F134,$B$6,U$10,$A134,$B134)</f>
        <v>11807623.782174939</v>
      </c>
      <c r="V134" s="4">
        <f ca="1">_xll.DBRW($B$1,$B$2,$B$7,$B$3,$B$4,$B$5,$F134,$B$6,V$10,$A134,$B134)</f>
        <v>12533563.793569962</v>
      </c>
      <c r="W134" s="4">
        <f ca="1">_xll.DBRW($B$1,$B$2,$B$7,$B$3,$B$4,$B$5,$F134,$B$6,W$10,$A134,$B134)</f>
        <v>8935303.7874840088</v>
      </c>
      <c r="X134" s="4">
        <f ca="1">_xll.DBRW($B$1,$B$2,$B$7,$B$3,$B$4,$B$5,$F134,$B$6,X$10,$A134,$B134)</f>
        <v>10507882.306178654</v>
      </c>
      <c r="Y134" s="4">
        <f ca="1">_xll.DBRW($B$1,$B$2,$B$7,$B$3,$B$4,$B$5,$F134,$B$6,Y$10,$A134,$B134)</f>
        <v>11567389.59933928</v>
      </c>
      <c r="Z134" s="4">
        <f ca="1">_xll.DBRW($B$1,$B$2,$B$7,$B$3,$B$4,$B$5,$F134,$B$6,Z$10,$A134,$B134)</f>
        <v>11169530.401331626</v>
      </c>
      <c r="AA134" s="4">
        <f ca="1">_xll.DBRW($B$1,$B$2,$B$7,$B$3,$B$4,$B$5,$F134,$B$6,AA$10,$A134,$B134)</f>
        <v>10481027.120530486</v>
      </c>
      <c r="AB134" s="4">
        <f ca="1">_xll.DBRW($B$1,$B$2,$B$7,$B$3,$B$4,$B$5,$F134,$B$6,AB$10,$A134,$B134)</f>
        <v>11221958.301880838</v>
      </c>
      <c r="AC134" s="4">
        <f ca="1">_xll.DBRW($B$1,$B$2,$B$7,$B$3,$B$4,$B$5,$F134,$B$6,AC$10,$A134,$B134)</f>
        <v>10761346.621692631</v>
      </c>
      <c r="AD134" s="4">
        <f ca="1">_xll.DBRW($B$1,$B$2,$B$7,$B$3,$B$4,$B$5,$F134,$B$6,AD$10,$A134,$B134)</f>
        <v>12043882.042657027</v>
      </c>
      <c r="AE134" s="4">
        <f ca="1">_xll.DBRW($B$1,$B$2,$B$7,$B$3,$B$4,$B$5,$F134,$B$6,AE$10,$A134,$B134)</f>
        <v>11005631.934288384</v>
      </c>
    </row>
    <row r="135" spans="1:31">
      <c r="A135" s="1" t="s">
        <v>153</v>
      </c>
      <c r="B135" s="5" t="s">
        <v>169</v>
      </c>
      <c r="C135" s="5" t="s">
        <v>170</v>
      </c>
      <c r="D135" s="5" t="s">
        <v>21</v>
      </c>
      <c r="E135" s="5" t="s">
        <v>35</v>
      </c>
      <c r="F135" s="5" t="s">
        <v>24</v>
      </c>
      <c r="G135" s="6"/>
      <c r="H135" s="6"/>
      <c r="I135" s="6"/>
      <c r="J135" s="6"/>
      <c r="K135" s="6"/>
      <c r="L135" s="4">
        <f ca="1">_xll.DBRW($B$1,$B$2,$B$7,$B$3,$B$4,$B$5,$F135,$B$6,L$10,$A135,$B135)</f>
        <v>7901325.120000001</v>
      </c>
      <c r="M135" s="4">
        <f ca="1">_xll.DBRW($B$1,$B$2,$B$7,$B$3,$B$4,$B$5,$F135,$B$6,M$10,$A135,$B135)</f>
        <v>8051790.5814567078</v>
      </c>
      <c r="N135" s="4">
        <f ca="1">_xll.DBRW($B$1,$B$2,$B$7,$B$3,$B$4,$B$5,$F135,$B$6,N$10,$A135,$B135)</f>
        <v>8422967.8399999999</v>
      </c>
      <c r="O135" s="4">
        <f ca="1">_xll.DBRW($B$1,$B$2,$B$7,$B$3,$B$4,$B$5,$F135,$B$6,O$10,$A135,$B135)</f>
        <v>7601214.8800000008</v>
      </c>
      <c r="P135" s="4">
        <f ca="1">_xll.DBRW($B$1,$B$2,$B$7,$B$3,$B$4,$B$5,$F135,$B$6,P$10,$A135,$B135)</f>
        <v>5467307.9999999991</v>
      </c>
      <c r="Q135" s="4">
        <f ca="1">_xll.DBRW($B$1,$B$2,$B$7,$B$3,$B$4,$B$5,$F135,$B$6,Q$10,$A135,$B135)</f>
        <v>5135956</v>
      </c>
      <c r="R135" s="4">
        <f ca="1">_xll.DBRW($B$1,$B$2,$B$7,$B$3,$B$4,$B$5,$F135,$B$6,R$10,$A135,$B135)</f>
        <v>5230628.0000000009</v>
      </c>
      <c r="S135" s="4">
        <f ca="1">_xll.DBRW($B$1,$B$2,$B$7,$B$3,$B$4,$B$5,$F135,$B$6,S$10,$A135,$B135)</f>
        <v>4542599.24</v>
      </c>
      <c r="T135" s="4">
        <f ca="1">_xll.DBRW($B$1,$B$2,$B$7,$B$3,$B$4,$B$5,$F135,$B$6,T$10,$A135,$B135)</f>
        <v>5260994.8330803802</v>
      </c>
      <c r="U135" s="4">
        <f ca="1">_xll.DBRW($B$1,$B$2,$B$7,$B$3,$B$4,$B$5,$F135,$B$6,U$10,$A135,$B135)</f>
        <v>4326518.7672619401</v>
      </c>
      <c r="V135" s="4">
        <f ca="1">_xll.DBRW($B$1,$B$2,$B$7,$B$3,$B$4,$B$5,$F135,$B$6,V$10,$A135,$B135)</f>
        <v>7014251.2152297618</v>
      </c>
      <c r="W135" s="4">
        <f ca="1">_xll.DBRW($B$1,$B$2,$B$7,$B$3,$B$4,$B$5,$F135,$B$6,W$10,$A135,$B135)</f>
        <v>9218677.1489738002</v>
      </c>
      <c r="X135" s="4">
        <f ca="1">_xll.DBRW($B$1,$B$2,$B$7,$B$3,$B$4,$B$5,$F135,$B$6,X$10,$A135,$B135)</f>
        <v>9130683.8665122632</v>
      </c>
      <c r="Y135" s="4">
        <f ca="1">_xll.DBRW($B$1,$B$2,$B$7,$B$3,$B$4,$B$5,$F135,$B$6,Y$10,$A135,$B135)</f>
        <v>9172107.9963426236</v>
      </c>
      <c r="Z135" s="4">
        <f ca="1">_xll.DBRW($B$1,$B$2,$B$7,$B$3,$B$4,$B$5,$F135,$B$6,Z$10,$A135,$B135)</f>
        <v>9434461.5330477301</v>
      </c>
      <c r="AA135" s="4">
        <f ca="1">_xll.DBRW($B$1,$B$2,$B$7,$B$3,$B$4,$B$5,$F135,$B$6,AA$10,$A135,$B135)</f>
        <v>8194819.7898476599</v>
      </c>
      <c r="AB135" s="4">
        <f ca="1">_xll.DBRW($B$1,$B$2,$B$7,$B$3,$B$4,$B$5,$F135,$B$6,AB$10,$A135,$B135)</f>
        <v>7868438.9942101846</v>
      </c>
      <c r="AC135" s="4">
        <f ca="1">_xll.DBRW($B$1,$B$2,$B$7,$B$3,$B$4,$B$5,$F135,$B$6,AC$10,$A135,$B135)</f>
        <v>7809051.1264943397</v>
      </c>
      <c r="AD135" s="4">
        <f ca="1">_xll.DBRW($B$1,$B$2,$B$7,$B$3,$B$4,$B$5,$F135,$B$6,AD$10,$A135,$B135)</f>
        <v>6641144.4528502328</v>
      </c>
      <c r="AE135" s="4">
        <f ca="1">_xll.DBRW($B$1,$B$2,$B$7,$B$3,$B$4,$B$5,$F135,$B$6,AE$10,$A135,$B135)</f>
        <v>6763958.8787695644</v>
      </c>
    </row>
    <row r="136" spans="1:31">
      <c r="A136" s="1" t="s">
        <v>153</v>
      </c>
      <c r="B136" s="5" t="s">
        <v>33</v>
      </c>
      <c r="C136" s="5" t="s">
        <v>34</v>
      </c>
      <c r="D136" s="5" t="s">
        <v>35</v>
      </c>
      <c r="E136" s="5" t="s">
        <v>21</v>
      </c>
      <c r="F136" s="5" t="s">
        <v>24</v>
      </c>
      <c r="G136" s="6"/>
      <c r="H136" s="6"/>
      <c r="I136" s="6"/>
      <c r="J136" s="6"/>
      <c r="K136" s="6"/>
      <c r="L136" s="4">
        <f ca="1">_xll.DBRW($B$1,$B$2,$B$7,$B$3,$B$4,$B$5,$F136,$B$6,L$10,$A136,$B136)</f>
        <v>7901325.120000001</v>
      </c>
      <c r="M136" s="4">
        <f ca="1">_xll.DBRW($B$1,$B$2,$B$7,$B$3,$B$4,$B$5,$F136,$B$6,M$10,$A136,$B136)</f>
        <v>8051790.5814567078</v>
      </c>
      <c r="N136" s="4">
        <f ca="1">_xll.DBRW($B$1,$B$2,$B$7,$B$3,$B$4,$B$5,$F136,$B$6,N$10,$A136,$B136)</f>
        <v>8422967.8399999999</v>
      </c>
      <c r="O136" s="4">
        <f ca="1">_xll.DBRW($B$1,$B$2,$B$7,$B$3,$B$4,$B$5,$F136,$B$6,O$10,$A136,$B136)</f>
        <v>7601214.8800000008</v>
      </c>
      <c r="P136" s="4">
        <f ca="1">_xll.DBRW($B$1,$B$2,$B$7,$B$3,$B$4,$B$5,$F136,$B$6,P$10,$A136,$B136)</f>
        <v>5467307.9999999991</v>
      </c>
      <c r="Q136" s="4">
        <f ca="1">_xll.DBRW($B$1,$B$2,$B$7,$B$3,$B$4,$B$5,$F136,$B$6,Q$10,$A136,$B136)</f>
        <v>5135956</v>
      </c>
      <c r="R136" s="4">
        <f ca="1">_xll.DBRW($B$1,$B$2,$B$7,$B$3,$B$4,$B$5,$F136,$B$6,R$10,$A136,$B136)</f>
        <v>5230628.0000000009</v>
      </c>
      <c r="S136" s="4">
        <f ca="1">_xll.DBRW($B$1,$B$2,$B$7,$B$3,$B$4,$B$5,$F136,$B$6,S$10,$A136,$B136)</f>
        <v>4542599.24</v>
      </c>
      <c r="T136" s="4">
        <f ca="1">_xll.DBRW($B$1,$B$2,$B$7,$B$3,$B$4,$B$5,$F136,$B$6,T$10,$A136,$B136)</f>
        <v>5260994.8330803802</v>
      </c>
      <c r="U136" s="4">
        <f ca="1">_xll.DBRW($B$1,$B$2,$B$7,$B$3,$B$4,$B$5,$F136,$B$6,U$10,$A136,$B136)</f>
        <v>4326518.7672619401</v>
      </c>
      <c r="V136" s="4">
        <f ca="1">_xll.DBRW($B$1,$B$2,$B$7,$B$3,$B$4,$B$5,$F136,$B$6,V$10,$A136,$B136)</f>
        <v>7014251.2152297618</v>
      </c>
      <c r="W136" s="4">
        <f ca="1">_xll.DBRW($B$1,$B$2,$B$7,$B$3,$B$4,$B$5,$F136,$B$6,W$10,$A136,$B136)</f>
        <v>9218677.1489738002</v>
      </c>
      <c r="X136" s="4">
        <f ca="1">_xll.DBRW($B$1,$B$2,$B$7,$B$3,$B$4,$B$5,$F136,$B$6,X$10,$A136,$B136)</f>
        <v>9130683.8665122632</v>
      </c>
      <c r="Y136" s="4">
        <f ca="1">_xll.DBRW($B$1,$B$2,$B$7,$B$3,$B$4,$B$5,$F136,$B$6,Y$10,$A136,$B136)</f>
        <v>9172107.9963426236</v>
      </c>
      <c r="Z136" s="4">
        <f ca="1">_xll.DBRW($B$1,$B$2,$B$7,$B$3,$B$4,$B$5,$F136,$B$6,Z$10,$A136,$B136)</f>
        <v>9434461.5330477301</v>
      </c>
      <c r="AA136" s="4">
        <f ca="1">_xll.DBRW($B$1,$B$2,$B$7,$B$3,$B$4,$B$5,$F136,$B$6,AA$10,$A136,$B136)</f>
        <v>8194819.7898476599</v>
      </c>
      <c r="AB136" s="4">
        <f ca="1">_xll.DBRW($B$1,$B$2,$B$7,$B$3,$B$4,$B$5,$F136,$B$6,AB$10,$A136,$B136)</f>
        <v>7868438.9942101846</v>
      </c>
      <c r="AC136" s="4">
        <f ca="1">_xll.DBRW($B$1,$B$2,$B$7,$B$3,$B$4,$B$5,$F136,$B$6,AC$10,$A136,$B136)</f>
        <v>7585935.3800230734</v>
      </c>
      <c r="AD136" s="4">
        <f ca="1">_xll.DBRW($B$1,$B$2,$B$7,$B$3,$B$4,$B$5,$F136,$B$6,AD$10,$A136,$B136)</f>
        <v>6641144.4528502328</v>
      </c>
      <c r="AE136" s="4">
        <f ca="1">_xll.DBRW($B$1,$B$2,$B$7,$B$3,$B$4,$B$5,$F136,$B$6,AE$10,$A136,$B136)</f>
        <v>6763958.8787695644</v>
      </c>
    </row>
    <row r="137" spans="1:31">
      <c r="A137" s="1" t="s">
        <v>153</v>
      </c>
      <c r="B137" s="5" t="s">
        <v>171</v>
      </c>
      <c r="C137" s="5" t="s">
        <v>163</v>
      </c>
      <c r="D137" s="5" t="s">
        <v>21</v>
      </c>
      <c r="E137" s="5" t="s">
        <v>54</v>
      </c>
      <c r="F137" s="5" t="s">
        <v>24</v>
      </c>
      <c r="G137" s="6"/>
      <c r="H137" s="6"/>
      <c r="I137" s="6"/>
      <c r="J137" s="6"/>
      <c r="K137" s="6"/>
      <c r="L137" s="4">
        <f ca="1">_xll.DBRW($B$1,$B$2,$B$7,$B$3,$B$4,$B$5,$F137,$B$6,L$10,$A137,$B137)</f>
        <v>12685344</v>
      </c>
      <c r="M137" s="4">
        <f ca="1">_xll.DBRW($B$1,$B$2,$B$7,$B$3,$B$4,$B$5,$F137,$B$6,M$10,$A137,$B137)</f>
        <v>13281893.72727217</v>
      </c>
      <c r="N137" s="4">
        <f ca="1">_xll.DBRW($B$1,$B$2,$B$7,$B$3,$B$4,$B$5,$F137,$B$6,N$10,$A137,$B137)</f>
        <v>11381162.799999999</v>
      </c>
      <c r="O137" s="4">
        <f ca="1">_xll.DBRW($B$1,$B$2,$B$7,$B$3,$B$4,$B$5,$F137,$B$6,O$10,$A137,$B137)</f>
        <v>8573670.0000000019</v>
      </c>
      <c r="P137" s="4">
        <f ca="1">_xll.DBRW($B$1,$B$2,$B$7,$B$3,$B$4,$B$5,$F137,$B$6,P$10,$A137,$B137)</f>
        <v>12860505</v>
      </c>
      <c r="Q137" s="4">
        <f ca="1">_xll.DBRW($B$1,$B$2,$B$7,$B$3,$B$4,$B$5,$F137,$B$6,Q$10,$A137,$B137)</f>
        <v>11477655</v>
      </c>
      <c r="R137" s="4">
        <f ca="1">_xll.DBRW($B$1,$B$2,$B$7,$B$3,$B$4,$B$5,$F137,$B$6,R$10,$A137,$B137)</f>
        <v>7743959.9999999991</v>
      </c>
      <c r="S137" s="4">
        <f ca="1">_xll.DBRW($B$1,$B$2,$B$7,$B$3,$B$4,$B$5,$F137,$B$6,S$10,$A137,$B137)</f>
        <v>7811566</v>
      </c>
      <c r="T137" s="4">
        <f ca="1">_xll.DBRW($B$1,$B$2,$B$7,$B$3,$B$4,$B$5,$F137,$B$6,T$10,$A137,$B137)</f>
        <v>11594707.734189775</v>
      </c>
      <c r="U137" s="4">
        <f ca="1">_xll.DBRW($B$1,$B$2,$B$7,$B$3,$B$4,$B$5,$F137,$B$6,U$10,$A137,$B137)</f>
        <v>9992258.542643737</v>
      </c>
      <c r="V137" s="4">
        <f ca="1">_xll.DBRW($B$1,$B$2,$B$7,$B$3,$B$4,$B$5,$F137,$B$6,V$10,$A137,$B137)</f>
        <v>12603443.466737522</v>
      </c>
      <c r="W137" s="4">
        <f ca="1">_xll.DBRW($B$1,$B$2,$B$7,$B$3,$B$4,$B$5,$F137,$B$6,W$10,$A137,$B137)</f>
        <v>8187750.7298199851</v>
      </c>
      <c r="X137" s="4">
        <f ca="1">_xll.DBRW($B$1,$B$2,$B$7,$B$3,$B$4,$B$5,$F137,$B$6,X$10,$A137,$B137)</f>
        <v>8971202.0085025914</v>
      </c>
      <c r="Y137" s="4">
        <f ca="1">_xll.DBRW($B$1,$B$2,$B$7,$B$3,$B$4,$B$5,$F137,$B$6,Y$10,$A137,$B137)</f>
        <v>9011132.167640781</v>
      </c>
      <c r="Z137" s="4">
        <f ca="1">_xll.DBRW($B$1,$B$2,$B$7,$B$3,$B$4,$B$5,$F137,$B$6,Z$10,$A137,$B137)</f>
        <v>9286931.2556192409</v>
      </c>
      <c r="AA137" s="4">
        <f ca="1">_xll.DBRW($B$1,$B$2,$B$7,$B$3,$B$4,$B$5,$F137,$B$6,AA$10,$A137,$B137)</f>
        <v>8646097.5431405455</v>
      </c>
      <c r="AB137" s="4">
        <f ca="1">_xll.DBRW($B$1,$B$2,$B$7,$B$3,$B$4,$B$5,$F137,$B$6,AB$10,$A137,$B137)</f>
        <v>8665367.551115714</v>
      </c>
      <c r="AC137" s="4">
        <f ca="1">_xll.DBRW($B$1,$B$2,$B$7,$B$3,$B$4,$B$5,$F137,$B$6,AC$10,$A137,$B137)</f>
        <v>9468227.2504932117</v>
      </c>
      <c r="AD137" s="4">
        <f ca="1">_xll.DBRW($B$1,$B$2,$B$7,$B$3,$B$4,$B$5,$F137,$B$6,AD$10,$A137,$B137)</f>
        <v>13183267.844563607</v>
      </c>
      <c r="AE137" s="4">
        <f ca="1">_xll.DBRW($B$1,$B$2,$B$7,$B$3,$B$4,$B$5,$F137,$B$6,AE$10,$A137,$B137)</f>
        <v>13307257.71974064</v>
      </c>
    </row>
    <row r="138" spans="1:31">
      <c r="A138" s="1" t="s">
        <v>153</v>
      </c>
      <c r="B138" s="5" t="s">
        <v>55</v>
      </c>
      <c r="C138" s="5" t="s">
        <v>53</v>
      </c>
      <c r="D138" s="5" t="s">
        <v>54</v>
      </c>
      <c r="E138" s="5" t="s">
        <v>21</v>
      </c>
      <c r="F138" s="5" t="s">
        <v>24</v>
      </c>
      <c r="G138" s="6"/>
      <c r="H138" s="6"/>
      <c r="I138" s="6"/>
      <c r="J138" s="6"/>
      <c r="K138" s="6"/>
      <c r="L138" s="4">
        <f ca="1">_xll.DBRW($B$1,$B$2,$B$7,$B$3,$B$4,$B$5,$F138,$B$6,L$10,$A138,$B138)</f>
        <v>12685344</v>
      </c>
      <c r="M138" s="4">
        <f ca="1">_xll.DBRW($B$1,$B$2,$B$7,$B$3,$B$4,$B$5,$F138,$B$6,M$10,$A138,$B138)</f>
        <v>13281893.72727217</v>
      </c>
      <c r="N138" s="4">
        <f ca="1">_xll.DBRW($B$1,$B$2,$B$7,$B$3,$B$4,$B$5,$F138,$B$6,N$10,$A138,$B138)</f>
        <v>11381162.799999999</v>
      </c>
      <c r="O138" s="4">
        <f ca="1">_xll.DBRW($B$1,$B$2,$B$7,$B$3,$B$4,$B$5,$F138,$B$6,O$10,$A138,$B138)</f>
        <v>8573670.0000000019</v>
      </c>
      <c r="P138" s="4">
        <f ca="1">_xll.DBRW($B$1,$B$2,$B$7,$B$3,$B$4,$B$5,$F138,$B$6,P$10,$A138,$B138)</f>
        <v>12860505</v>
      </c>
      <c r="Q138" s="4">
        <f ca="1">_xll.DBRW($B$1,$B$2,$B$7,$B$3,$B$4,$B$5,$F138,$B$6,Q$10,$A138,$B138)</f>
        <v>11477655</v>
      </c>
      <c r="R138" s="4">
        <f ca="1">_xll.DBRW($B$1,$B$2,$B$7,$B$3,$B$4,$B$5,$F138,$B$6,R$10,$A138,$B138)</f>
        <v>7743959.9999999991</v>
      </c>
      <c r="S138" s="4">
        <f ca="1">_xll.DBRW($B$1,$B$2,$B$7,$B$3,$B$4,$B$5,$F138,$B$6,S$10,$A138,$B138)</f>
        <v>7811566</v>
      </c>
      <c r="T138" s="4">
        <f ca="1">_xll.DBRW($B$1,$B$2,$B$7,$B$3,$B$4,$B$5,$F138,$B$6,T$10,$A138,$B138)</f>
        <v>11594707.734189775</v>
      </c>
      <c r="U138" s="4">
        <f ca="1">_xll.DBRW($B$1,$B$2,$B$7,$B$3,$B$4,$B$5,$F138,$B$6,U$10,$A138,$B138)</f>
        <v>9992258.542643737</v>
      </c>
      <c r="V138" s="4">
        <f ca="1">_xll.DBRW($B$1,$B$2,$B$7,$B$3,$B$4,$B$5,$F138,$B$6,V$10,$A138,$B138)</f>
        <v>12603443.466737522</v>
      </c>
      <c r="W138" s="4">
        <f ca="1">_xll.DBRW($B$1,$B$2,$B$7,$B$3,$B$4,$B$5,$F138,$B$6,W$10,$A138,$B138)</f>
        <v>8187750.7298199851</v>
      </c>
      <c r="X138" s="4">
        <f ca="1">_xll.DBRW($B$1,$B$2,$B$7,$B$3,$B$4,$B$5,$F138,$B$6,X$10,$A138,$B138)</f>
        <v>8971202.0085025914</v>
      </c>
      <c r="Y138" s="4">
        <f ca="1">_xll.DBRW($B$1,$B$2,$B$7,$B$3,$B$4,$B$5,$F138,$B$6,Y$10,$A138,$B138)</f>
        <v>9011132.167640781</v>
      </c>
      <c r="Z138" s="4">
        <f ca="1">_xll.DBRW($B$1,$B$2,$B$7,$B$3,$B$4,$B$5,$F138,$B$6,Z$10,$A138,$B138)</f>
        <v>9286931.2556192409</v>
      </c>
      <c r="AA138" s="4">
        <f ca="1">_xll.DBRW($B$1,$B$2,$B$7,$B$3,$B$4,$B$5,$F138,$B$6,AA$10,$A138,$B138)</f>
        <v>8646097.5431405455</v>
      </c>
      <c r="AB138" s="4">
        <f ca="1">_xll.DBRW($B$1,$B$2,$B$7,$B$3,$B$4,$B$5,$F138,$B$6,AB$10,$A138,$B138)</f>
        <v>8665367.551115714</v>
      </c>
      <c r="AC138" s="4">
        <f ca="1">_xll.DBRW($B$1,$B$2,$B$7,$B$3,$B$4,$B$5,$F138,$B$6,AC$10,$A138,$B138)</f>
        <v>9194579.0640627705</v>
      </c>
      <c r="AD138" s="4">
        <f ca="1">_xll.DBRW($B$1,$B$2,$B$7,$B$3,$B$4,$B$5,$F138,$B$6,AD$10,$A138,$B138)</f>
        <v>13183267.844563607</v>
      </c>
      <c r="AE138" s="4">
        <f ca="1">_xll.DBRW($B$1,$B$2,$B$7,$B$3,$B$4,$B$5,$F138,$B$6,AE$10,$A138,$B138)</f>
        <v>12877991.341684492</v>
      </c>
    </row>
    <row r="139" spans="1:31">
      <c r="A139" s="1" t="s">
        <v>153</v>
      </c>
      <c r="B139" s="5" t="s">
        <v>172</v>
      </c>
      <c r="C139" s="5" t="s">
        <v>159</v>
      </c>
      <c r="D139" s="5" t="s">
        <v>21</v>
      </c>
      <c r="E139" s="5" t="s">
        <v>38</v>
      </c>
      <c r="F139" s="5" t="s">
        <v>24</v>
      </c>
      <c r="G139" s="6"/>
      <c r="H139" s="6"/>
      <c r="I139" s="6"/>
      <c r="J139" s="6"/>
      <c r="K139" s="6"/>
      <c r="L139" s="4">
        <f ca="1">_xll.DBRW($B$1,$B$2,$B$7,$B$3,$B$4,$B$5,$F139,$B$6,L$10,$A139,$B139)</f>
        <v>7586774.0134662911</v>
      </c>
      <c r="M139" s="4">
        <f ca="1">_xll.DBRW($B$1,$B$2,$B$7,$B$3,$B$4,$B$5,$F139,$B$6,M$10,$A139,$B139)</f>
        <v>7716436.4025810054</v>
      </c>
      <c r="N139" s="4">
        <f ca="1">_xll.DBRW($B$1,$B$2,$B$7,$B$3,$B$4,$B$5,$F139,$B$6,N$10,$A139,$B139)</f>
        <v>7798105.3329195045</v>
      </c>
      <c r="O139" s="4">
        <f ca="1">_xll.DBRW($B$1,$B$2,$B$7,$B$3,$B$4,$B$5,$F139,$B$6,O$10,$A139,$B139)</f>
        <v>7517779.9112024624</v>
      </c>
      <c r="P139" s="4">
        <f ca="1">_xll.DBRW($B$1,$B$2,$B$7,$B$3,$B$4,$B$5,$F139,$B$6,P$10,$A139,$B139)</f>
        <v>7782537.0043663168</v>
      </c>
      <c r="Q139" s="4">
        <f ca="1">_xll.DBRW($B$1,$B$2,$B$7,$B$3,$B$4,$B$5,$F139,$B$6,Q$10,$A139,$B139)</f>
        <v>8456784.891318595</v>
      </c>
      <c r="R139" s="4">
        <f ca="1">_xll.DBRW($B$1,$B$2,$B$7,$B$3,$B$4,$B$5,$F139,$B$6,R$10,$A139,$B139)</f>
        <v>6780040.9027106725</v>
      </c>
      <c r="S139" s="4">
        <f ca="1">_xll.DBRW($B$1,$B$2,$B$7,$B$3,$B$4,$B$5,$F139,$B$6,S$10,$A139,$B139)</f>
        <v>7497900</v>
      </c>
      <c r="T139" s="4">
        <f ca="1">_xll.DBRW($B$1,$B$2,$B$7,$B$3,$B$4,$B$5,$F139,$B$6,T$10,$A139,$B139)</f>
        <v>4672465.7408779468</v>
      </c>
      <c r="U139" s="4">
        <f ca="1">_xll.DBRW($B$1,$B$2,$B$7,$B$3,$B$4,$B$5,$F139,$B$6,U$10,$A139,$B139)</f>
        <v>4133006.5171752437</v>
      </c>
      <c r="V139" s="4">
        <f ca="1">_xll.DBRW($B$1,$B$2,$B$7,$B$3,$B$4,$B$5,$F139,$B$6,V$10,$A139,$B139)</f>
        <v>5253108.7650642712</v>
      </c>
      <c r="W139" s="4">
        <f ca="1">_xll.DBRW($B$1,$B$2,$B$7,$B$3,$B$4,$B$5,$F139,$B$6,W$10,$A139,$B139)</f>
        <v>4904336.4149931949</v>
      </c>
      <c r="X139" s="4">
        <f ca="1">_xll.DBRW($B$1,$B$2,$B$7,$B$3,$B$4,$B$5,$F139,$B$6,X$10,$A139,$B139)</f>
        <v>5195996.6459820364</v>
      </c>
      <c r="Y139" s="4">
        <f ca="1">_xll.DBRW($B$1,$B$2,$B$7,$B$3,$B$4,$B$5,$F139,$B$6,Y$10,$A139,$B139)</f>
        <v>5186069.0288139191</v>
      </c>
      <c r="Z139" s="4">
        <f ca="1">_xll.DBRW($B$1,$B$2,$B$7,$B$3,$B$4,$B$5,$F139,$B$6,Z$10,$A139,$B139)</f>
        <v>5280032.8432182921</v>
      </c>
      <c r="AA139" s="4">
        <f ca="1">_xll.DBRW($B$1,$B$2,$B$7,$B$3,$B$4,$B$5,$F139,$B$6,AA$10,$A139,$B139)</f>
        <v>4775026.9643396633</v>
      </c>
      <c r="AB139" s="4">
        <f ca="1">_xll.DBRW($B$1,$B$2,$B$7,$B$3,$B$4,$B$5,$F139,$B$6,AB$10,$A139,$B139)</f>
        <v>4676365.4482180607</v>
      </c>
      <c r="AC139" s="4">
        <f ca="1">_xll.DBRW($B$1,$B$2,$B$7,$B$3,$B$4,$B$5,$F139,$B$6,AC$10,$A139,$B139)</f>
        <v>5044949.1056058295</v>
      </c>
      <c r="AD139" s="4">
        <f ca="1">_xll.DBRW($B$1,$B$2,$B$7,$B$3,$B$4,$B$5,$F139,$B$6,AD$10,$A139,$B139)</f>
        <v>5092259.5580766378</v>
      </c>
      <c r="AE139" s="4">
        <f ca="1">_xll.DBRW($B$1,$B$2,$B$7,$B$3,$B$4,$B$5,$F139,$B$6,AE$10,$A139,$B139)</f>
        <v>5284056.5761905471</v>
      </c>
    </row>
    <row r="140" spans="1:31">
      <c r="A140" s="1" t="s">
        <v>153</v>
      </c>
      <c r="B140" s="5" t="s">
        <v>40</v>
      </c>
      <c r="C140" s="5" t="s">
        <v>37</v>
      </c>
      <c r="D140" s="5" t="s">
        <v>38</v>
      </c>
      <c r="E140" s="5" t="s">
        <v>21</v>
      </c>
      <c r="F140" s="5" t="s">
        <v>24</v>
      </c>
      <c r="G140" s="6"/>
      <c r="H140" s="6"/>
      <c r="I140" s="6"/>
      <c r="J140" s="6"/>
      <c r="K140" s="6"/>
      <c r="L140" s="4">
        <f ca="1">_xll.DBRW($B$1,$B$2,$B$7,$B$3,$B$4,$B$5,$F140,$B$6,L$10,$A140,$B140)</f>
        <v>7586774.0134662911</v>
      </c>
      <c r="M140" s="4">
        <f ca="1">_xll.DBRW($B$1,$B$2,$B$7,$B$3,$B$4,$B$5,$F140,$B$6,M$10,$A140,$B140)</f>
        <v>7716436.4025810054</v>
      </c>
      <c r="N140" s="4">
        <f ca="1">_xll.DBRW($B$1,$B$2,$B$7,$B$3,$B$4,$B$5,$F140,$B$6,N$10,$A140,$B140)</f>
        <v>7798105.3329195045</v>
      </c>
      <c r="O140" s="4">
        <f ca="1">_xll.DBRW($B$1,$B$2,$B$7,$B$3,$B$4,$B$5,$F140,$B$6,O$10,$A140,$B140)</f>
        <v>7517779.9112024624</v>
      </c>
      <c r="P140" s="4">
        <f ca="1">_xll.DBRW($B$1,$B$2,$B$7,$B$3,$B$4,$B$5,$F140,$B$6,P$10,$A140,$B140)</f>
        <v>7782537.0043663168</v>
      </c>
      <c r="Q140" s="4">
        <f ca="1">_xll.DBRW($B$1,$B$2,$B$7,$B$3,$B$4,$B$5,$F140,$B$6,Q$10,$A140,$B140)</f>
        <v>8456784.891318595</v>
      </c>
      <c r="R140" s="4">
        <f ca="1">_xll.DBRW($B$1,$B$2,$B$7,$B$3,$B$4,$B$5,$F140,$B$6,R$10,$A140,$B140)</f>
        <v>6780040.9027106725</v>
      </c>
      <c r="S140" s="4">
        <f ca="1">_xll.DBRW($B$1,$B$2,$B$7,$B$3,$B$4,$B$5,$F140,$B$6,S$10,$A140,$B140)</f>
        <v>7497900</v>
      </c>
      <c r="T140" s="4">
        <f ca="1">_xll.DBRW($B$1,$B$2,$B$7,$B$3,$B$4,$B$5,$F140,$B$6,T$10,$A140,$B140)</f>
        <v>4672465.7408779468</v>
      </c>
      <c r="U140" s="4">
        <f ca="1">_xll.DBRW($B$1,$B$2,$B$7,$B$3,$B$4,$B$5,$F140,$B$6,U$10,$A140,$B140)</f>
        <v>4133006.5171752437</v>
      </c>
      <c r="V140" s="4">
        <f ca="1">_xll.DBRW($B$1,$B$2,$B$7,$B$3,$B$4,$B$5,$F140,$B$6,V$10,$A140,$B140)</f>
        <v>5253108.7650642712</v>
      </c>
      <c r="W140" s="4">
        <f ca="1">_xll.DBRW($B$1,$B$2,$B$7,$B$3,$B$4,$B$5,$F140,$B$6,W$10,$A140,$B140)</f>
        <v>4904336.4149931949</v>
      </c>
      <c r="X140" s="4">
        <f ca="1">_xll.DBRW($B$1,$B$2,$B$7,$B$3,$B$4,$B$5,$F140,$B$6,X$10,$A140,$B140)</f>
        <v>5195996.6459820364</v>
      </c>
      <c r="Y140" s="4">
        <f ca="1">_xll.DBRW($B$1,$B$2,$B$7,$B$3,$B$4,$B$5,$F140,$B$6,Y$10,$A140,$B140)</f>
        <v>5186069.0288139191</v>
      </c>
      <c r="Z140" s="4">
        <f ca="1">_xll.DBRW($B$1,$B$2,$B$7,$B$3,$B$4,$B$5,$F140,$B$6,Z$10,$A140,$B140)</f>
        <v>5280032.8432182921</v>
      </c>
      <c r="AA140" s="4">
        <f ca="1">_xll.DBRW($B$1,$B$2,$B$7,$B$3,$B$4,$B$5,$F140,$B$6,AA$10,$A140,$B140)</f>
        <v>4775026.9643396633</v>
      </c>
      <c r="AB140" s="4">
        <f ca="1">_xll.DBRW($B$1,$B$2,$B$7,$B$3,$B$4,$B$5,$F140,$B$6,AB$10,$A140,$B140)</f>
        <v>4676365.4482180607</v>
      </c>
      <c r="AC140" s="4">
        <f ca="1">_xll.DBRW($B$1,$B$2,$B$7,$B$3,$B$4,$B$5,$F140,$B$6,AC$10,$A140,$B140)</f>
        <v>5044949.1056058295</v>
      </c>
      <c r="AD140" s="4">
        <f ca="1">_xll.DBRW($B$1,$B$2,$B$7,$B$3,$B$4,$B$5,$F140,$B$6,AD$10,$A140,$B140)</f>
        <v>5092259.5580766378</v>
      </c>
      <c r="AE140" s="4">
        <f ca="1">_xll.DBRW($B$1,$B$2,$B$7,$B$3,$B$4,$B$5,$F140,$B$6,AE$10,$A140,$B140)</f>
        <v>5284056.5761905471</v>
      </c>
    </row>
    <row r="141" spans="1:31">
      <c r="A141" s="1" t="s">
        <v>153</v>
      </c>
      <c r="B141" s="5" t="s">
        <v>173</v>
      </c>
      <c r="C141" s="5" t="s">
        <v>168</v>
      </c>
      <c r="D141" s="5" t="s">
        <v>21</v>
      </c>
      <c r="E141" s="5" t="s">
        <v>76</v>
      </c>
      <c r="F141" s="5" t="s">
        <v>24</v>
      </c>
      <c r="G141" s="6"/>
      <c r="H141" s="6"/>
      <c r="I141" s="6"/>
      <c r="J141" s="6"/>
      <c r="K141" s="6"/>
      <c r="L141" s="4">
        <f ca="1">_xll.DBRW($B$1,$B$2,$B$7,$B$3,$B$4,$B$5,$F141,$B$6,L$10,$A141,$B141)</f>
        <v>7872673.1999999993</v>
      </c>
      <c r="M141" s="4">
        <f ca="1">_xll.DBRW($B$1,$B$2,$B$7,$B$3,$B$4,$B$5,$F141,$B$6,M$10,$A141,$B141)</f>
        <v>8356713.7074302556</v>
      </c>
      <c r="N141" s="4">
        <f ca="1">_xll.DBRW($B$1,$B$2,$B$7,$B$3,$B$4,$B$5,$F141,$B$6,N$10,$A141,$B141)</f>
        <v>7528017.0000000009</v>
      </c>
      <c r="O141" s="4">
        <f ca="1">_xll.DBRW($B$1,$B$2,$B$7,$B$3,$B$4,$B$5,$F141,$B$6,O$10,$A141,$B141)</f>
        <v>7966395.5</v>
      </c>
      <c r="P141" s="4">
        <f ca="1">_xll.DBRW($B$1,$B$2,$B$7,$B$3,$B$4,$B$5,$F141,$B$6,P$10,$A141,$B141)</f>
        <v>8525705.9999999981</v>
      </c>
      <c r="Q141" s="4">
        <f ca="1">_xll.DBRW($B$1,$B$2,$B$7,$B$3,$B$4,$B$5,$F141,$B$6,Q$10,$A141,$B141)</f>
        <v>6681493</v>
      </c>
      <c r="R141" s="4">
        <f ca="1">_xll.DBRW($B$1,$B$2,$B$7,$B$3,$B$4,$B$5,$F141,$B$6,R$10,$A141,$B141)</f>
        <v>0</v>
      </c>
      <c r="S141" s="4">
        <f ca="1">_xll.DBRW($B$1,$B$2,$B$7,$B$3,$B$4,$B$5,$F141,$B$6,S$10,$A141,$B141)</f>
        <v>0</v>
      </c>
      <c r="T141" s="4">
        <f ca="1">_xll.DBRW($B$1,$B$2,$B$7,$B$3,$B$4,$B$5,$F141,$B$6,T$10,$A141,$B141)</f>
        <v>0</v>
      </c>
      <c r="U141" s="4">
        <f ca="1">_xll.DBRW($B$1,$B$2,$B$7,$B$3,$B$4,$B$5,$F141,$B$6,U$10,$A141,$B141)</f>
        <v>0</v>
      </c>
      <c r="V141" s="4">
        <f ca="1">_xll.DBRW($B$1,$B$2,$B$7,$B$3,$B$4,$B$5,$F141,$B$6,V$10,$A141,$B141)</f>
        <v>818041.45972018398</v>
      </c>
      <c r="W141" s="4">
        <f ca="1">_xll.DBRW($B$1,$B$2,$B$7,$B$3,$B$4,$B$5,$F141,$B$6,W$10,$A141,$B141)</f>
        <v>10877761.13258923</v>
      </c>
      <c r="X141" s="4">
        <f ca="1">_xll.DBRW($B$1,$B$2,$B$7,$B$3,$B$4,$B$5,$F141,$B$6,X$10,$A141,$B141)</f>
        <v>12792204.546652274</v>
      </c>
      <c r="Y141" s="4">
        <f ca="1">_xll.DBRW($B$1,$B$2,$B$7,$B$3,$B$4,$B$5,$F141,$B$6,Y$10,$A141,$B141)</f>
        <v>14082039.512239125</v>
      </c>
      <c r="Z141" s="4">
        <f ca="1">_xll.DBRW($B$1,$B$2,$B$7,$B$3,$B$4,$B$5,$F141,$B$6,Z$10,$A141,$B141)</f>
        <v>13597689.184229804</v>
      </c>
      <c r="AA141" s="4">
        <f ca="1">_xll.DBRW($B$1,$B$2,$B$7,$B$3,$B$4,$B$5,$F141,$B$6,AA$10,$A141,$B141)</f>
        <v>12759511.277167547</v>
      </c>
      <c r="AB141" s="4">
        <f ca="1">_xll.DBRW($B$1,$B$2,$B$7,$B$3,$B$4,$B$5,$F141,$B$6,AB$10,$A141,$B141)</f>
        <v>13661514.454463629</v>
      </c>
      <c r="AC141" s="4">
        <f ca="1">_xll.DBRW($B$1,$B$2,$B$7,$B$3,$B$4,$B$5,$F141,$B$6,AC$10,$A141,$B141)</f>
        <v>10138549.98006035</v>
      </c>
      <c r="AD141" s="4">
        <f ca="1">_xll.DBRW($B$1,$B$2,$B$7,$B$3,$B$4,$B$5,$F141,$B$6,AD$10,$A141,$B141)</f>
        <v>0</v>
      </c>
      <c r="AE141" s="4">
        <f ca="1">_xll.DBRW($B$1,$B$2,$B$7,$B$3,$B$4,$B$5,$F141,$B$6,AE$10,$A141,$B141)</f>
        <v>0</v>
      </c>
    </row>
    <row r="142" spans="1:31">
      <c r="A142" s="1" t="s">
        <v>153</v>
      </c>
      <c r="B142" s="5" t="s">
        <v>77</v>
      </c>
      <c r="C142" s="5" t="s">
        <v>75</v>
      </c>
      <c r="D142" s="5" t="s">
        <v>76</v>
      </c>
      <c r="E142" s="5" t="s">
        <v>21</v>
      </c>
      <c r="F142" s="5" t="s">
        <v>24</v>
      </c>
      <c r="G142" s="6"/>
      <c r="H142" s="6"/>
      <c r="I142" s="6"/>
      <c r="J142" s="6"/>
      <c r="K142" s="6"/>
      <c r="L142" s="4">
        <f ca="1">_xll.DBRW($B$1,$B$2,$B$7,$B$3,$B$4,$B$5,$F142,$B$6,L$10,$A142,$B142)</f>
        <v>7872673.1999999993</v>
      </c>
      <c r="M142" s="4">
        <f ca="1">_xll.DBRW($B$1,$B$2,$B$7,$B$3,$B$4,$B$5,$F142,$B$6,M$10,$A142,$B142)</f>
        <v>8356713.7074302556</v>
      </c>
      <c r="N142" s="4">
        <f ca="1">_xll.DBRW($B$1,$B$2,$B$7,$B$3,$B$4,$B$5,$F142,$B$6,N$10,$A142,$B142)</f>
        <v>7929511.2400000002</v>
      </c>
      <c r="O142" s="4">
        <f ca="1">_xll.DBRW($B$1,$B$2,$B$7,$B$3,$B$4,$B$5,$F142,$B$6,O$10,$A142,$B142)</f>
        <v>7966395.5</v>
      </c>
      <c r="P142" s="4">
        <f ca="1">_xll.DBRW($B$1,$B$2,$B$7,$B$3,$B$4,$B$5,$F142,$B$6,P$10,$A142,$B142)</f>
        <v>8525705.9999999981</v>
      </c>
      <c r="Q142" s="4">
        <f ca="1">_xll.DBRW($B$1,$B$2,$B$7,$B$3,$B$4,$B$5,$F142,$B$6,Q$10,$A142,$B142)</f>
        <v>6681493</v>
      </c>
      <c r="R142" s="4">
        <f ca="1">_xll.DBRW($B$1,$B$2,$B$7,$B$3,$B$4,$B$5,$F142,$B$6,R$10,$A142,$B142)</f>
        <v>0</v>
      </c>
      <c r="S142" s="4">
        <f ca="1">_xll.DBRW($B$1,$B$2,$B$7,$B$3,$B$4,$B$5,$F142,$B$6,S$10,$A142,$B142)</f>
        <v>0</v>
      </c>
      <c r="T142" s="4">
        <f ca="1">_xll.DBRW($B$1,$B$2,$B$7,$B$3,$B$4,$B$5,$F142,$B$6,T$10,$A142,$B142)</f>
        <v>0</v>
      </c>
      <c r="U142" s="4">
        <f ca="1">_xll.DBRW($B$1,$B$2,$B$7,$B$3,$B$4,$B$5,$F142,$B$6,U$10,$A142,$B142)</f>
        <v>0</v>
      </c>
      <c r="V142" s="4">
        <f ca="1">_xll.DBRW($B$1,$B$2,$B$7,$B$3,$B$4,$B$5,$F142,$B$6,V$10,$A142,$B142)</f>
        <v>818041.45972018398</v>
      </c>
      <c r="W142" s="4">
        <f ca="1">_xll.DBRW($B$1,$B$2,$B$7,$B$3,$B$4,$B$5,$F142,$B$6,W$10,$A142,$B142)</f>
        <v>10877761.13258923</v>
      </c>
      <c r="X142" s="4">
        <f ca="1">_xll.DBRW($B$1,$B$2,$B$7,$B$3,$B$4,$B$5,$F142,$B$6,X$10,$A142,$B142)</f>
        <v>12792204.546652274</v>
      </c>
      <c r="Y142" s="4">
        <f ca="1">_xll.DBRW($B$1,$B$2,$B$7,$B$3,$B$4,$B$5,$F142,$B$6,Y$10,$A142,$B142)</f>
        <v>14082039.512239125</v>
      </c>
      <c r="Z142" s="4">
        <f ca="1">_xll.DBRW($B$1,$B$2,$B$7,$B$3,$B$4,$B$5,$F142,$B$6,Z$10,$A142,$B142)</f>
        <v>13597689.184229804</v>
      </c>
      <c r="AA142" s="4">
        <f ca="1">_xll.DBRW($B$1,$B$2,$B$7,$B$3,$B$4,$B$5,$F142,$B$6,AA$10,$A142,$B142)</f>
        <v>12759511.277167547</v>
      </c>
      <c r="AB142" s="4">
        <f ca="1">_xll.DBRW($B$1,$B$2,$B$7,$B$3,$B$4,$B$5,$F142,$B$6,AB$10,$A142,$B142)</f>
        <v>13661514.454463629</v>
      </c>
      <c r="AC142" s="4">
        <f ca="1">_xll.DBRW($B$1,$B$2,$B$7,$B$3,$B$4,$B$5,$F142,$B$6,AC$10,$A142,$B142)</f>
        <v>9733007.9808579385</v>
      </c>
      <c r="AD142" s="4">
        <f ca="1">_xll.DBRW($B$1,$B$2,$B$7,$B$3,$B$4,$B$5,$F142,$B$6,AD$10,$A142,$B142)</f>
        <v>0</v>
      </c>
      <c r="AE142" s="4">
        <f ca="1">_xll.DBRW($B$1,$B$2,$B$7,$B$3,$B$4,$B$5,$F142,$B$6,AE$10,$A142,$B142)</f>
        <v>0</v>
      </c>
    </row>
    <row r="143" spans="1:31">
      <c r="A143" s="1" t="s">
        <v>153</v>
      </c>
      <c r="B143" s="5" t="s">
        <v>174</v>
      </c>
      <c r="C143" s="5" t="s">
        <v>159</v>
      </c>
      <c r="D143" s="5" t="s">
        <v>21</v>
      </c>
      <c r="E143" s="5" t="s">
        <v>38</v>
      </c>
      <c r="F143" s="5" t="s">
        <v>24</v>
      </c>
      <c r="G143" s="6"/>
      <c r="H143" s="6"/>
      <c r="I143" s="6"/>
      <c r="J143" s="6"/>
      <c r="K143" s="6"/>
      <c r="L143" s="4">
        <f ca="1">_xll.DBRW($B$1,$B$2,$B$7,$B$3,$B$4,$B$5,$F143,$B$6,L$10,$A143,$B143)</f>
        <v>6673389.3540109601</v>
      </c>
      <c r="M143" s="4">
        <f ca="1">_xll.DBRW($B$1,$B$2,$B$7,$B$3,$B$4,$B$5,$F143,$B$6,M$10,$A143,$B143)</f>
        <v>6751881.8522583796</v>
      </c>
      <c r="N143" s="4">
        <f ca="1">_xll.DBRW($B$1,$B$2,$B$7,$B$3,$B$4,$B$5,$F143,$B$6,N$10,$A143,$B143)</f>
        <v>6818850.1701450506</v>
      </c>
      <c r="O143" s="4">
        <f ca="1">_xll.DBRW($B$1,$B$2,$B$7,$B$3,$B$4,$B$5,$F143,$B$6,O$10,$A143,$B143)</f>
        <v>6703642.4553809976</v>
      </c>
      <c r="P143" s="4">
        <f ca="1">_xll.DBRW($B$1,$B$2,$B$7,$B$3,$B$4,$B$5,$F143,$B$6,P$10,$A143,$B143)</f>
        <v>6763395.2537945379</v>
      </c>
      <c r="Q143" s="4">
        <f ca="1">_xll.DBRW($B$1,$B$2,$B$7,$B$3,$B$4,$B$5,$F143,$B$6,Q$10,$A143,$B143)</f>
        <v>7695273.4556074422</v>
      </c>
      <c r="R143" s="4">
        <f ca="1">_xll.DBRW($B$1,$B$2,$B$7,$B$3,$B$4,$B$5,$F143,$B$6,R$10,$A143,$B143)</f>
        <v>8254414.2689969139</v>
      </c>
      <c r="S143" s="4">
        <f ca="1">_xll.DBRW($B$1,$B$2,$B$7,$B$3,$B$4,$B$5,$F143,$B$6,S$10,$A143,$B143)</f>
        <v>9086344</v>
      </c>
      <c r="T143" s="4">
        <f ca="1">_xll.DBRW($B$1,$B$2,$B$7,$B$3,$B$4,$B$5,$F143,$B$6,T$10,$A143,$B143)</f>
        <v>5929940.3918792</v>
      </c>
      <c r="U143" s="4">
        <f ca="1">_xll.DBRW($B$1,$B$2,$B$7,$B$3,$B$4,$B$5,$F143,$B$6,U$10,$A143,$B143)</f>
        <v>5229518.4503033683</v>
      </c>
      <c r="V143" s="4">
        <f ca="1">_xll.DBRW($B$1,$B$2,$B$7,$B$3,$B$4,$B$5,$F143,$B$6,V$10,$A143,$B143)</f>
        <v>6681373.3601739127</v>
      </c>
      <c r="W143" s="4">
        <f ca="1">_xll.DBRW($B$1,$B$2,$B$7,$B$3,$B$4,$B$5,$F143,$B$6,W$10,$A143,$B143)</f>
        <v>6497078.0507195564</v>
      </c>
      <c r="X143" s="4">
        <f ca="1">_xll.DBRW($B$1,$B$2,$B$7,$B$3,$B$4,$B$5,$F143,$B$6,X$10,$A143,$B143)</f>
        <v>6982270.1473196391</v>
      </c>
      <c r="Y143" s="4">
        <f ca="1">_xll.DBRW($B$1,$B$2,$B$7,$B$3,$B$4,$B$5,$F143,$B$6,Y$10,$A143,$B143)</f>
        <v>6924636.9318067767</v>
      </c>
      <c r="Z143" s="4">
        <f ca="1">_xll.DBRW($B$1,$B$2,$B$7,$B$3,$B$4,$B$5,$F143,$B$6,Z$10,$A143,$B143)</f>
        <v>7002734.8031254588</v>
      </c>
      <c r="AA143" s="4">
        <f ca="1">_xll.DBRW($B$1,$B$2,$B$7,$B$3,$B$4,$B$5,$F143,$B$6,AA$10,$A143,$B143)</f>
        <v>6407778.1198880635</v>
      </c>
      <c r="AB143" s="4">
        <f ca="1">_xll.DBRW($B$1,$B$2,$B$7,$B$3,$B$4,$B$5,$F143,$B$6,AB$10,$A143,$B143)</f>
        <v>6252968.6564744376</v>
      </c>
      <c r="AC143" s="4">
        <f ca="1">_xll.DBRW($B$1,$B$2,$B$7,$B$3,$B$4,$B$5,$F143,$B$6,AC$10,$A143,$B143)</f>
        <v>6649103.4295081431</v>
      </c>
      <c r="AD143" s="4">
        <f ca="1">_xll.DBRW($B$1,$B$2,$B$7,$B$3,$B$4,$B$5,$F143,$B$6,AD$10,$A143,$B143)</f>
        <v>6459894.9822457908</v>
      </c>
      <c r="AE143" s="4">
        <f ca="1">_xll.DBRW($B$1,$B$2,$B$7,$B$3,$B$4,$B$5,$F143,$B$6,AE$10,$A143,$B143)</f>
        <v>6706125.2584464364</v>
      </c>
    </row>
    <row r="144" spans="1:31">
      <c r="A144" s="1" t="s">
        <v>153</v>
      </c>
      <c r="B144" s="5" t="s">
        <v>41</v>
      </c>
      <c r="C144" s="5" t="s">
        <v>37</v>
      </c>
      <c r="D144" s="5" t="s">
        <v>38</v>
      </c>
      <c r="E144" s="5" t="s">
        <v>21</v>
      </c>
      <c r="F144" s="5" t="s">
        <v>24</v>
      </c>
      <c r="G144" s="6"/>
      <c r="H144" s="6"/>
      <c r="I144" s="6"/>
      <c r="J144" s="6"/>
      <c r="K144" s="6"/>
      <c r="L144" s="4">
        <f ca="1">_xll.DBRW($B$1,$B$2,$B$7,$B$3,$B$4,$B$5,$F144,$B$6,L$10,$A144,$B144)</f>
        <v>6669019.0924824663</v>
      </c>
      <c r="M144" s="4">
        <f ca="1">_xll.DBRW($B$1,$B$2,$B$7,$B$3,$B$4,$B$5,$F144,$B$6,M$10,$A144,$B144)</f>
        <v>6751881.8522583796</v>
      </c>
      <c r="N144" s="4">
        <f ca="1">_xll.DBRW($B$1,$B$2,$B$7,$B$3,$B$4,$B$5,$F144,$B$6,N$10,$A144,$B144)</f>
        <v>6558314.3928931318</v>
      </c>
      <c r="O144" s="4">
        <f ca="1">_xll.DBRW($B$1,$B$2,$B$7,$B$3,$B$4,$B$5,$F144,$B$6,O$10,$A144,$B144)</f>
        <v>6530421.7200998347</v>
      </c>
      <c r="P144" s="4">
        <f ca="1">_xll.DBRW($B$1,$B$2,$B$7,$B$3,$B$4,$B$5,$F144,$B$6,P$10,$A144,$B144)</f>
        <v>6763395.2537945379</v>
      </c>
      <c r="Q144" s="4">
        <f ca="1">_xll.DBRW($B$1,$B$2,$B$7,$B$3,$B$4,$B$5,$F144,$B$6,Q$10,$A144,$B144)</f>
        <v>7695273.4556074422</v>
      </c>
      <c r="R144" s="4">
        <f ca="1">_xll.DBRW($B$1,$B$2,$B$7,$B$3,$B$4,$B$5,$F144,$B$6,R$10,$A144,$B144)</f>
        <v>8254414.2689969139</v>
      </c>
      <c r="S144" s="4">
        <f ca="1">_xll.DBRW($B$1,$B$2,$B$7,$B$3,$B$4,$B$5,$F144,$B$6,S$10,$A144,$B144)</f>
        <v>9086344</v>
      </c>
      <c r="T144" s="4">
        <f ca="1">_xll.DBRW($B$1,$B$2,$B$7,$B$3,$B$4,$B$5,$F144,$B$6,T$10,$A144,$B144)</f>
        <v>6295986.0950816208</v>
      </c>
      <c r="U144" s="4">
        <f ca="1">_xll.DBRW($B$1,$B$2,$B$7,$B$3,$B$4,$B$5,$F144,$B$6,U$10,$A144,$B144)</f>
        <v>5583776.1517755333</v>
      </c>
      <c r="V144" s="4">
        <f ca="1">_xll.DBRW($B$1,$B$2,$B$7,$B$3,$B$4,$B$5,$F144,$B$6,V$10,$A144,$B144)</f>
        <v>7175213.9998389408</v>
      </c>
      <c r="W144" s="4">
        <f ca="1">_xll.DBRW($B$1,$B$2,$B$7,$B$3,$B$4,$B$5,$F144,$B$6,W$10,$A144,$B144)</f>
        <v>6796009.0322048562</v>
      </c>
      <c r="X144" s="4">
        <f ca="1">_xll.DBRW($B$1,$B$2,$B$7,$B$3,$B$4,$B$5,$F144,$B$6,X$10,$A144,$B144)</f>
        <v>7327073.6113848081</v>
      </c>
      <c r="Y144" s="4">
        <f ca="1">_xll.DBRW($B$1,$B$2,$B$7,$B$3,$B$4,$B$5,$F144,$B$6,Y$10,$A144,$B144)</f>
        <v>7280253.0937825879</v>
      </c>
      <c r="Z144" s="4">
        <f ca="1">_xll.DBRW($B$1,$B$2,$B$7,$B$3,$B$4,$B$5,$F144,$B$6,Z$10,$A144,$B144)</f>
        <v>7353114.8627675958</v>
      </c>
      <c r="AA144" s="4">
        <f ca="1">_xll.DBRW($B$1,$B$2,$B$7,$B$3,$B$4,$B$5,$F144,$B$6,AA$10,$A144,$B144)</f>
        <v>6689438.6965864403</v>
      </c>
      <c r="AB144" s="4">
        <f ca="1">_xll.DBRW($B$1,$B$2,$B$7,$B$3,$B$4,$B$5,$F144,$B$6,AB$10,$A144,$B144)</f>
        <v>6573633.715780817</v>
      </c>
      <c r="AC144" s="4">
        <f ca="1">_xll.DBRW($B$1,$B$2,$B$7,$B$3,$B$4,$B$5,$F144,$B$6,AC$10,$A144,$B144)</f>
        <v>6960634.8489326518</v>
      </c>
      <c r="AD144" s="4">
        <f ca="1">_xll.DBRW($B$1,$B$2,$B$7,$B$3,$B$4,$B$5,$F144,$B$6,AD$10,$A144,$B144)</f>
        <v>6915773.4569688411</v>
      </c>
      <c r="AE144" s="4">
        <f ca="1">_xll.DBRW($B$1,$B$2,$B$7,$B$3,$B$4,$B$5,$F144,$B$6,AE$10,$A144,$B144)</f>
        <v>7115213.5095063495</v>
      </c>
    </row>
    <row r="145" spans="1:31">
      <c r="A145" s="1" t="s">
        <v>153</v>
      </c>
      <c r="B145" s="5" t="s">
        <v>175</v>
      </c>
      <c r="C145" s="5" t="s">
        <v>159</v>
      </c>
      <c r="D145" s="5" t="s">
        <v>21</v>
      </c>
      <c r="E145" s="5" t="s">
        <v>38</v>
      </c>
      <c r="F145" s="5" t="s">
        <v>24</v>
      </c>
      <c r="G145" s="6"/>
      <c r="H145" s="6"/>
      <c r="I145" s="6"/>
      <c r="J145" s="6"/>
      <c r="K145" s="6"/>
      <c r="L145" s="4">
        <f ca="1">_xll.DBRW($B$1,$B$2,$B$7,$B$3,$B$4,$B$5,$F145,$B$6,L$10,$A145,$B145)</f>
        <v>2508530.11735579</v>
      </c>
      <c r="M145" s="4">
        <f ca="1">_xll.DBRW($B$1,$B$2,$B$7,$B$3,$B$4,$B$5,$F145,$B$6,M$10,$A145,$B145)</f>
        <v>6522226.0069434689</v>
      </c>
      <c r="N145" s="4">
        <f ca="1">_xll.DBRW($B$1,$B$2,$B$7,$B$3,$B$4,$B$5,$F145,$B$6,N$10,$A145,$B145)</f>
        <v>6648154.3160834489</v>
      </c>
      <c r="O145" s="4">
        <f ca="1">_xll.DBRW($B$1,$B$2,$B$7,$B$3,$B$4,$B$5,$F145,$B$6,O$10,$A145,$B145)</f>
        <v>6348539.9480546145</v>
      </c>
      <c r="P145" s="4">
        <f ca="1">_xll.DBRW($B$1,$B$2,$B$7,$B$3,$B$4,$B$5,$F145,$B$6,P$10,$A145,$B145)</f>
        <v>6578096.753690578</v>
      </c>
      <c r="Q145" s="4">
        <f ca="1">_xll.DBRW($B$1,$B$2,$B$7,$B$3,$B$4,$B$5,$F145,$B$6,Q$10,$A145,$B145)</f>
        <v>6192290.3588091135</v>
      </c>
      <c r="R145" s="4">
        <f ca="1">_xll.DBRW($B$1,$B$2,$B$7,$B$3,$B$4,$B$5,$F145,$B$6,R$10,$A145,$B145)</f>
        <v>0</v>
      </c>
      <c r="S145" s="4">
        <f ca="1">_xll.DBRW($B$1,$B$2,$B$7,$B$3,$B$4,$B$5,$F145,$B$6,S$10,$A145,$B145)</f>
        <v>0</v>
      </c>
      <c r="T145" s="4">
        <f ca="1">_xll.DBRW($B$1,$B$2,$B$7,$B$3,$B$4,$B$5,$F145,$B$6,T$10,$A145,$B145)</f>
        <v>0</v>
      </c>
      <c r="U145" s="4">
        <f ca="1">_xll.DBRW($B$1,$B$2,$B$7,$B$3,$B$4,$B$5,$F145,$B$6,U$10,$A145,$B145)</f>
        <v>0</v>
      </c>
      <c r="V145" s="4">
        <f ca="1">_xll.DBRW($B$1,$B$2,$B$7,$B$3,$B$4,$B$5,$F145,$B$6,V$10,$A145,$B145)</f>
        <v>338910.24290737236</v>
      </c>
      <c r="W145" s="4">
        <f ca="1">_xll.DBRW($B$1,$B$2,$B$7,$B$3,$B$4,$B$5,$F145,$B$6,W$10,$A145,$B145)</f>
        <v>3433035.4904952371</v>
      </c>
      <c r="X145" s="4">
        <f ca="1">_xll.DBRW($B$1,$B$2,$B$7,$B$3,$B$4,$B$5,$F145,$B$6,X$10,$A145,$B145)</f>
        <v>3687481.4906969289</v>
      </c>
      <c r="Y145" s="4">
        <f ca="1">_xll.DBRW($B$1,$B$2,$B$7,$B$3,$B$4,$B$5,$F145,$B$6,Y$10,$A145,$B145)</f>
        <v>3803117.287796875</v>
      </c>
      <c r="Z145" s="4">
        <f ca="1">_xll.DBRW($B$1,$B$2,$B$7,$B$3,$B$4,$B$5,$F145,$B$6,Z$10,$A145,$B145)</f>
        <v>3747120.0822839495</v>
      </c>
      <c r="AA145" s="4">
        <f ca="1">_xll.DBRW($B$1,$B$2,$B$7,$B$3,$B$4,$B$5,$F145,$B$6,AA$10,$A145,$B145)</f>
        <v>3388728.8134023412</v>
      </c>
      <c r="AB145" s="4">
        <f ca="1">_xll.DBRW($B$1,$B$2,$B$7,$B$3,$B$4,$B$5,$F145,$B$6,AB$10,$A145,$B145)</f>
        <v>3429334.6620265781</v>
      </c>
      <c r="AC145" s="4">
        <f ca="1">_xll.DBRW($B$1,$B$2,$B$7,$B$3,$B$4,$B$5,$F145,$B$6,AC$10,$A145,$B145)</f>
        <v>2603844.699667525</v>
      </c>
      <c r="AD145" s="4">
        <f ca="1">_xll.DBRW($B$1,$B$2,$B$7,$B$3,$B$4,$B$5,$F145,$B$6,AD$10,$A145,$B145)</f>
        <v>0</v>
      </c>
      <c r="AE145" s="4">
        <f ca="1">_xll.DBRW($B$1,$B$2,$B$7,$B$3,$B$4,$B$5,$F145,$B$6,AE$10,$A145,$B145)</f>
        <v>0</v>
      </c>
    </row>
    <row r="146" spans="1:31">
      <c r="A146" s="1" t="s">
        <v>153</v>
      </c>
      <c r="B146" s="5" t="s">
        <v>42</v>
      </c>
      <c r="C146" s="5" t="s">
        <v>37</v>
      </c>
      <c r="D146" s="5" t="s">
        <v>38</v>
      </c>
      <c r="E146" s="5" t="s">
        <v>21</v>
      </c>
      <c r="F146" s="5" t="s">
        <v>24</v>
      </c>
      <c r="G146" s="6"/>
      <c r="H146" s="6"/>
      <c r="I146" s="6"/>
      <c r="J146" s="6"/>
      <c r="K146" s="6"/>
      <c r="L146" s="4">
        <f ca="1">_xll.DBRW($B$1,$B$2,$B$7,$B$3,$B$4,$B$5,$F146,$B$6,L$10,$A146,$B146)</f>
        <v>2648378.4862676109</v>
      </c>
      <c r="M146" s="4">
        <f ca="1">_xll.DBRW($B$1,$B$2,$B$7,$B$3,$B$4,$B$5,$F146,$B$6,M$10,$A146,$B146)</f>
        <v>6944792.7623229045</v>
      </c>
      <c r="N146" s="4">
        <f ca="1">_xll.DBRW($B$1,$B$2,$B$7,$B$3,$B$4,$B$5,$F146,$B$6,N$10,$A146,$B146)</f>
        <v>6868262.127899725</v>
      </c>
      <c r="O146" s="4">
        <f ca="1">_xll.DBRW($B$1,$B$2,$B$7,$B$3,$B$4,$B$5,$F146,$B$6,O$10,$A146,$B146)</f>
        <v>6504438.6098076608</v>
      </c>
      <c r="P146" s="4">
        <f ca="1">_xll.DBRW($B$1,$B$2,$B$7,$B$3,$B$4,$B$5,$F146,$B$6,P$10,$A146,$B146)</f>
        <v>7643563.1292883474</v>
      </c>
      <c r="Q146" s="4">
        <f ca="1">_xll.DBRW($B$1,$B$2,$B$7,$B$3,$B$4,$B$5,$F146,$B$6,Q$10,$A146,$B146)</f>
        <v>7194279.090007999</v>
      </c>
      <c r="R146" s="4">
        <f ca="1">_xll.DBRW($B$1,$B$2,$B$7,$B$3,$B$4,$B$5,$F146,$B$6,R$10,$A146,$B146)</f>
        <v>0</v>
      </c>
      <c r="S146" s="4">
        <f ca="1">_xll.DBRW($B$1,$B$2,$B$7,$B$3,$B$4,$B$5,$F146,$B$6,S$10,$A146,$B146)</f>
        <v>0</v>
      </c>
      <c r="T146" s="4">
        <f ca="1">_xll.DBRW($B$1,$B$2,$B$7,$B$3,$B$4,$B$5,$F146,$B$6,T$10,$A146,$B146)</f>
        <v>0</v>
      </c>
      <c r="U146" s="4">
        <f ca="1">_xll.DBRW($B$1,$B$2,$B$7,$B$3,$B$4,$B$5,$F146,$B$6,U$10,$A146,$B146)</f>
        <v>0</v>
      </c>
      <c r="V146" s="4">
        <f ca="1">_xll.DBRW($B$1,$B$2,$B$7,$B$3,$B$4,$B$5,$F146,$B$6,V$10,$A146,$B146)</f>
        <v>338910.24290737236</v>
      </c>
      <c r="W146" s="4">
        <f ca="1">_xll.DBRW($B$1,$B$2,$B$7,$B$3,$B$4,$B$5,$F146,$B$6,W$10,$A146,$B146)</f>
        <v>3433035.4904952371</v>
      </c>
      <c r="X146" s="4">
        <f ca="1">_xll.DBRW($B$1,$B$2,$B$7,$B$3,$B$4,$B$5,$F146,$B$6,X$10,$A146,$B146)</f>
        <v>3687481.4906969289</v>
      </c>
      <c r="Y146" s="4">
        <f ca="1">_xll.DBRW($B$1,$B$2,$B$7,$B$3,$B$4,$B$5,$F146,$B$6,Y$10,$A146,$B146)</f>
        <v>3803117.287796875</v>
      </c>
      <c r="Z146" s="4">
        <f ca="1">_xll.DBRW($B$1,$B$2,$B$7,$B$3,$B$4,$B$5,$F146,$B$6,Z$10,$A146,$B146)</f>
        <v>3747120.0822839495</v>
      </c>
      <c r="AA146" s="4">
        <f ca="1">_xll.DBRW($B$1,$B$2,$B$7,$B$3,$B$4,$B$5,$F146,$B$6,AA$10,$A146,$B146)</f>
        <v>3388728.8134023412</v>
      </c>
      <c r="AB146" s="4">
        <f ca="1">_xll.DBRW($B$1,$B$2,$B$7,$B$3,$B$4,$B$5,$F146,$B$6,AB$10,$A146,$B146)</f>
        <v>3429334.6620265781</v>
      </c>
      <c r="AC146" s="4">
        <f ca="1">_xll.DBRW($B$1,$B$2,$B$7,$B$3,$B$4,$B$5,$F146,$B$6,AC$10,$A146,$B146)</f>
        <v>2603844.699667525</v>
      </c>
      <c r="AD146" s="4">
        <f ca="1">_xll.DBRW($B$1,$B$2,$B$7,$B$3,$B$4,$B$5,$F146,$B$6,AD$10,$A146,$B146)</f>
        <v>0</v>
      </c>
      <c r="AE146" s="4">
        <f ca="1">_xll.DBRW($B$1,$B$2,$B$7,$B$3,$B$4,$B$5,$F146,$B$6,AE$10,$A146,$B146)</f>
        <v>0</v>
      </c>
    </row>
    <row r="147" spans="1:31">
      <c r="A147" s="1" t="s">
        <v>153</v>
      </c>
      <c r="B147" s="5" t="s">
        <v>176</v>
      </c>
      <c r="C147" s="5" t="s">
        <v>177</v>
      </c>
      <c r="D147" s="5" t="s">
        <v>28</v>
      </c>
      <c r="E147" s="5" t="s">
        <v>59</v>
      </c>
      <c r="F147" s="5" t="s">
        <v>24</v>
      </c>
      <c r="G147" s="6"/>
      <c r="H147" s="6"/>
      <c r="I147" s="6"/>
      <c r="J147" s="6"/>
      <c r="K147" s="6"/>
      <c r="L147" s="4">
        <f ca="1">_xll.DBRW($B$1,$B$2,$B$7,$B$3,$B$4,$B$5,$F147,$B$6,L$10,$A147,$B147)</f>
        <v>7306733.2799999993</v>
      </c>
      <c r="M147" s="4">
        <f ca="1">_xll.DBRW($B$1,$B$2,$B$7,$B$3,$B$4,$B$5,$F147,$B$6,M$10,$A147,$B147)</f>
        <v>5148458.0528229931</v>
      </c>
      <c r="N147" s="4">
        <f ca="1">_xll.DBRW($B$1,$B$2,$B$7,$B$3,$B$4,$B$5,$F147,$B$6,N$10,$A147,$B147)</f>
        <v>6253097.7599999998</v>
      </c>
      <c r="O147" s="4">
        <f ca="1">_xll.DBRW($B$1,$B$2,$B$7,$B$3,$B$4,$B$5,$F147,$B$6,O$10,$A147,$B147)</f>
        <v>7138762.3999999994</v>
      </c>
      <c r="P147" s="4">
        <f ca="1">_xll.DBRW($B$1,$B$2,$B$7,$B$3,$B$4,$B$5,$F147,$B$6,P$10,$A147,$B147)</f>
        <v>6600492.0800000001</v>
      </c>
      <c r="Q147" s="4">
        <f ca="1">_xll.DBRW($B$1,$B$2,$B$7,$B$3,$B$4,$B$5,$F147,$B$6,Q$10,$A147,$B147)</f>
        <v>6825725.7599999998</v>
      </c>
      <c r="R147" s="4">
        <f ca="1">_xll.DBRW($B$1,$B$2,$B$7,$B$3,$B$4,$B$5,$F147,$B$6,R$10,$A147,$B147)</f>
        <v>8324102.3600000013</v>
      </c>
      <c r="S147" s="4">
        <f ca="1">_xll.DBRW($B$1,$B$2,$B$7,$B$3,$B$4,$B$5,$F147,$B$6,S$10,$A147,$B147)</f>
        <v>7765926.4000000004</v>
      </c>
      <c r="T147" s="4">
        <f ca="1">_xll.DBRW($B$1,$B$2,$B$7,$B$3,$B$4,$B$5,$F147,$B$6,T$10,$A147,$B147)</f>
        <v>11087709.334263586</v>
      </c>
      <c r="U147" s="4">
        <f ca="1">_xll.DBRW($B$1,$B$2,$B$7,$B$3,$B$4,$B$5,$F147,$B$6,U$10,$A147,$B147)</f>
        <v>10474222.30136683</v>
      </c>
      <c r="V147" s="4">
        <f ca="1">_xll.DBRW($B$1,$B$2,$B$7,$B$3,$B$4,$B$5,$F147,$B$6,V$10,$A147,$B147)</f>
        <v>10748672.403940041</v>
      </c>
      <c r="W147" s="4">
        <f ca="1">_xll.DBRW($B$1,$B$2,$B$7,$B$3,$B$4,$B$5,$F147,$B$6,W$10,$A147,$B147)</f>
        <v>10479371.021075951</v>
      </c>
      <c r="X147" s="4">
        <f ca="1">_xll.DBRW($B$1,$B$2,$B$7,$B$3,$B$4,$B$5,$F147,$B$6,X$10,$A147,$B147)</f>
        <v>7445998.2720645666</v>
      </c>
      <c r="Y147" s="4">
        <f ca="1">_xll.DBRW($B$1,$B$2,$B$7,$B$3,$B$4,$B$5,$F147,$B$6,Y$10,$A147,$B147)</f>
        <v>8548319.5673254095</v>
      </c>
      <c r="Z147" s="4">
        <f ca="1">_xll.DBRW($B$1,$B$2,$B$7,$B$3,$B$4,$B$5,$F147,$B$6,Z$10,$A147,$B147)</f>
        <v>10332654.758155603</v>
      </c>
      <c r="AA147" s="4">
        <f ca="1">_xll.DBRW($B$1,$B$2,$B$7,$B$3,$B$4,$B$5,$F147,$B$6,AA$10,$A147,$B147)</f>
        <v>10889127.6195604</v>
      </c>
      <c r="AB147" s="4">
        <f ca="1">_xll.DBRW($B$1,$B$2,$B$7,$B$3,$B$4,$B$5,$F147,$B$6,AB$10,$A147,$B147)</f>
        <v>9669913.6420368273</v>
      </c>
      <c r="AC147" s="4">
        <f ca="1">_xll.DBRW($B$1,$B$2,$B$7,$B$3,$B$4,$B$5,$F147,$B$6,AC$10,$A147,$B147)</f>
        <v>10272645.372393683</v>
      </c>
      <c r="AD147" s="4">
        <f ca="1">_xll.DBRW($B$1,$B$2,$B$7,$B$3,$B$4,$B$5,$F147,$B$6,AD$10,$A147,$B147)</f>
        <v>10087983.477380976</v>
      </c>
      <c r="AE147" s="4">
        <f ca="1">_xll.DBRW($B$1,$B$2,$B$7,$B$3,$B$4,$B$5,$F147,$B$6,AE$10,$A147,$B147)</f>
        <v>9953800.589458406</v>
      </c>
    </row>
    <row r="148" spans="1:31">
      <c r="A148" s="1" t="s">
        <v>153</v>
      </c>
      <c r="B148" s="5" t="s">
        <v>64</v>
      </c>
      <c r="C148" s="5" t="s">
        <v>65</v>
      </c>
      <c r="D148" s="5" t="s">
        <v>59</v>
      </c>
      <c r="E148" s="5" t="s">
        <v>28</v>
      </c>
      <c r="F148" s="5" t="s">
        <v>24</v>
      </c>
      <c r="G148" s="6"/>
      <c r="H148" s="6"/>
      <c r="I148" s="6"/>
      <c r="J148" s="6"/>
      <c r="K148" s="6"/>
      <c r="L148" s="4">
        <f ca="1">_xll.DBRW($B$1,$B$2,$B$7,$B$3,$B$4,$B$5,$F148,$B$6,L$10,$A148,$B148)</f>
        <v>7306733.2799999993</v>
      </c>
      <c r="M148" s="4">
        <f ca="1">_xll.DBRW($B$1,$B$2,$B$7,$B$3,$B$4,$B$5,$F148,$B$6,M$10,$A148,$B148)</f>
        <v>6292559.8423392139</v>
      </c>
      <c r="N148" s="4">
        <f ca="1">_xll.DBRW($B$1,$B$2,$B$7,$B$3,$B$4,$B$5,$F148,$B$6,N$10,$A148,$B148)</f>
        <v>6550864.3200000003</v>
      </c>
      <c r="O148" s="4">
        <f ca="1">_xll.DBRW($B$1,$B$2,$B$7,$B$3,$B$4,$B$5,$F148,$B$6,O$10,$A148,$B148)</f>
        <v>7138762.3999999994</v>
      </c>
      <c r="P148" s="4">
        <f ca="1">_xll.DBRW($B$1,$B$2,$B$7,$B$3,$B$4,$B$5,$F148,$B$6,P$10,$A148,$B148)</f>
        <v>7642675.04</v>
      </c>
      <c r="Q148" s="4">
        <f ca="1">_xll.DBRW($B$1,$B$2,$B$7,$B$3,$B$4,$B$5,$F148,$B$6,Q$10,$A148,$B148)</f>
        <v>7123492.3199999994</v>
      </c>
      <c r="R148" s="4">
        <f ca="1">_xll.DBRW($B$1,$B$2,$B$7,$B$3,$B$4,$B$5,$F148,$B$6,R$10,$A148,$B148)</f>
        <v>8348370.8800000008</v>
      </c>
      <c r="S148" s="4">
        <f ca="1">_xll.DBRW($B$1,$B$2,$B$7,$B$3,$B$4,$B$5,$F148,$B$6,S$10,$A148,$B148)</f>
        <v>7765926.4000000004</v>
      </c>
      <c r="T148" s="4">
        <f ca="1">_xll.DBRW($B$1,$B$2,$B$7,$B$3,$B$4,$B$5,$F148,$B$6,T$10,$A148,$B148)</f>
        <v>11087709.334263586</v>
      </c>
      <c r="U148" s="4">
        <f ca="1">_xll.DBRW($B$1,$B$2,$B$7,$B$3,$B$4,$B$5,$F148,$B$6,U$10,$A148,$B148)</f>
        <v>10474222.30136683</v>
      </c>
      <c r="V148" s="4">
        <f ca="1">_xll.DBRW($B$1,$B$2,$B$7,$B$3,$B$4,$B$5,$F148,$B$6,V$10,$A148,$B148)</f>
        <v>10748672.403940041</v>
      </c>
      <c r="W148" s="4">
        <f ca="1">_xll.DBRW($B$1,$B$2,$B$7,$B$3,$B$4,$B$5,$F148,$B$6,W$10,$A148,$B148)</f>
        <v>10214740.439735647</v>
      </c>
      <c r="X148" s="4">
        <f ca="1">_xll.DBRW($B$1,$B$2,$B$7,$B$3,$B$4,$B$5,$F148,$B$6,X$10,$A148,$B148)</f>
        <v>7299998.3059456535</v>
      </c>
      <c r="Y148" s="4">
        <f ca="1">_xll.DBRW($B$1,$B$2,$B$7,$B$3,$B$4,$B$5,$F148,$B$6,Y$10,$A148,$B148)</f>
        <v>8373864.0659514209</v>
      </c>
      <c r="Z148" s="4">
        <f ca="1">_xll.DBRW($B$1,$B$2,$B$7,$B$3,$B$4,$B$5,$F148,$B$6,Z$10,$A148,$B148)</f>
        <v>10130053.684466276</v>
      </c>
      <c r="AA148" s="4">
        <f ca="1">_xll.DBRW($B$1,$B$2,$B$7,$B$3,$B$4,$B$5,$F148,$B$6,AA$10,$A148,$B148)</f>
        <v>10622237.236728042</v>
      </c>
      <c r="AB148" s="4">
        <f ca="1">_xll.DBRW($B$1,$B$2,$B$7,$B$3,$B$4,$B$5,$F148,$B$6,AB$10,$A148,$B148)</f>
        <v>9473570.2178330366</v>
      </c>
      <c r="AC148" s="4">
        <f ca="1">_xll.DBRW($B$1,$B$2,$B$7,$B$3,$B$4,$B$5,$F148,$B$6,AC$10,$A148,$B148)</f>
        <v>9776382.3109253887</v>
      </c>
      <c r="AD148" s="4">
        <f ca="1">_xll.DBRW($B$1,$B$2,$B$7,$B$3,$B$4,$B$5,$F148,$B$6,AD$10,$A148,$B148)</f>
        <v>10087983.477380976</v>
      </c>
      <c r="AE148" s="4">
        <f ca="1">_xll.DBRW($B$1,$B$2,$B$7,$B$3,$B$4,$B$5,$F148,$B$6,AE$10,$A148,$B148)</f>
        <v>9632710.247862976</v>
      </c>
    </row>
    <row r="149" spans="1:31">
      <c r="A149" s="1" t="s">
        <v>153</v>
      </c>
      <c r="B149" s="5" t="s">
        <v>178</v>
      </c>
      <c r="C149" s="5" t="s">
        <v>177</v>
      </c>
      <c r="D149" s="5" t="s">
        <v>28</v>
      </c>
      <c r="E149" s="5" t="s">
        <v>59</v>
      </c>
      <c r="F149" s="5" t="s">
        <v>24</v>
      </c>
      <c r="G149" s="6"/>
      <c r="H149" s="6"/>
      <c r="I149" s="6"/>
      <c r="J149" s="6"/>
      <c r="K149" s="6"/>
      <c r="L149" s="4">
        <f ca="1">_xll.DBRW($B$1,$B$2,$B$7,$B$3,$B$4,$B$5,$F149,$B$6,L$10,$A149,$B149)</f>
        <v>9252032.3999999985</v>
      </c>
      <c r="M149" s="4">
        <f ca="1">_xll.DBRW($B$1,$B$2,$B$7,$B$3,$B$4,$B$5,$F149,$B$6,M$10,$A149,$B149)</f>
        <v>6047395.1731571667</v>
      </c>
      <c r="N149" s="4">
        <f ca="1">_xll.DBRW($B$1,$B$2,$B$7,$B$3,$B$4,$B$5,$F149,$B$6,N$10,$A149,$B149)</f>
        <v>8124773.2800000003</v>
      </c>
      <c r="O149" s="4">
        <f ca="1">_xll.DBRW($B$1,$B$2,$B$7,$B$3,$B$4,$B$5,$F149,$B$6,O$10,$A149,$B149)</f>
        <v>9456542.4000000004</v>
      </c>
      <c r="P149" s="4">
        <f ca="1">_xll.DBRW($B$1,$B$2,$B$7,$B$3,$B$4,$B$5,$F149,$B$6,P$10,$A149,$B149)</f>
        <v>8585602.4800000004</v>
      </c>
      <c r="Q149" s="4">
        <f ca="1">_xll.DBRW($B$1,$B$2,$B$7,$B$3,$B$4,$B$5,$F149,$B$6,Q$10,$A149,$B149)</f>
        <v>7283828.1600000001</v>
      </c>
      <c r="R149" s="4">
        <f ca="1">_xll.DBRW($B$1,$B$2,$B$7,$B$3,$B$4,$B$5,$F149,$B$6,R$10,$A149,$B149)</f>
        <v>0</v>
      </c>
      <c r="S149" s="4">
        <f ca="1">_xll.DBRW($B$1,$B$2,$B$7,$B$3,$B$4,$B$5,$F149,$B$6,S$10,$A149,$B149)</f>
        <v>0</v>
      </c>
      <c r="T149" s="4">
        <f ca="1">_xll.DBRW($B$1,$B$2,$B$7,$B$3,$B$4,$B$5,$F149,$B$6,T$10,$A149,$B149)</f>
        <v>0</v>
      </c>
      <c r="U149" s="4">
        <f ca="1">_xll.DBRW($B$1,$B$2,$B$7,$B$3,$B$4,$B$5,$F149,$B$6,U$10,$A149,$B149)</f>
        <v>0</v>
      </c>
      <c r="V149" s="4">
        <f ca="1">_xll.DBRW($B$1,$B$2,$B$7,$B$3,$B$4,$B$5,$F149,$B$6,V$10,$A149,$B149)</f>
        <v>0</v>
      </c>
      <c r="W149" s="4">
        <f ca="1">_xll.DBRW($B$1,$B$2,$B$7,$B$3,$B$4,$B$5,$F149,$B$6,W$10,$A149,$B149)</f>
        <v>3334345.3248878024</v>
      </c>
      <c r="X149" s="4">
        <f ca="1">_xll.DBRW($B$1,$B$2,$B$7,$B$3,$B$4,$B$5,$F149,$B$6,X$10,$A149,$B149)</f>
        <v>2299499.4663728806</v>
      </c>
      <c r="Y149" s="4">
        <f ca="1">_xll.DBRW($B$1,$B$2,$B$7,$B$3,$B$4,$B$5,$F149,$B$6,Y$10,$A149,$B149)</f>
        <v>2442377.0192358308</v>
      </c>
      <c r="Z149" s="4">
        <f ca="1">_xll.DBRW($B$1,$B$2,$B$7,$B$3,$B$4,$B$5,$F149,$B$6,Z$10,$A149,$B149)</f>
        <v>3545518.7895631967</v>
      </c>
      <c r="AA149" s="4">
        <f ca="1">_xll.DBRW($B$1,$B$2,$B$7,$B$3,$B$4,$B$5,$F149,$B$6,AA$10,$A149,$B149)</f>
        <v>2989172.2877224637</v>
      </c>
      <c r="AB149" s="4">
        <f ca="1">_xll.DBRW($B$1,$B$2,$B$7,$B$3,$B$4,$B$5,$F149,$B$6,AB$10,$A149,$B149)</f>
        <v>3092408.9312097472</v>
      </c>
      <c r="AC149" s="4">
        <f ca="1">_xll.DBRW($B$1,$B$2,$B$7,$B$3,$B$4,$B$5,$F149,$B$6,AC$10,$A149,$B149)</f>
        <v>2431689.0011946396</v>
      </c>
      <c r="AD149" s="4">
        <f ca="1">_xll.DBRW($B$1,$B$2,$B$7,$B$3,$B$4,$B$5,$F149,$B$6,AD$10,$A149,$B149)</f>
        <v>0</v>
      </c>
      <c r="AE149" s="4">
        <f ca="1">_xll.DBRW($B$1,$B$2,$B$7,$B$3,$B$4,$B$5,$F149,$B$6,AE$10,$A149,$B149)</f>
        <v>0</v>
      </c>
    </row>
    <row r="150" spans="1:31">
      <c r="A150" s="1" t="s">
        <v>153</v>
      </c>
      <c r="B150" s="5" t="s">
        <v>66</v>
      </c>
      <c r="C150" s="5" t="s">
        <v>65</v>
      </c>
      <c r="D150" s="5" t="s">
        <v>59</v>
      </c>
      <c r="E150" s="5" t="s">
        <v>28</v>
      </c>
      <c r="F150" s="5" t="s">
        <v>24</v>
      </c>
      <c r="G150" s="6"/>
      <c r="H150" s="6"/>
      <c r="I150" s="6"/>
      <c r="J150" s="6"/>
      <c r="K150" s="6"/>
      <c r="L150" s="4">
        <f ca="1">_xll.DBRW($B$1,$B$2,$B$7,$B$3,$B$4,$B$5,$F150,$B$6,L$10,$A150,$B150)</f>
        <v>9299478.7199999988</v>
      </c>
      <c r="M150" s="4">
        <f ca="1">_xll.DBRW($B$1,$B$2,$B$7,$B$3,$B$4,$B$5,$F150,$B$6,M$10,$A150,$B150)</f>
        <v>5148458.0528229931</v>
      </c>
      <c r="N150" s="4">
        <f ca="1">_xll.DBRW($B$1,$B$2,$B$7,$B$3,$B$4,$B$5,$F150,$B$6,N$10,$A150,$B150)</f>
        <v>7827006.7200000007</v>
      </c>
      <c r="O150" s="4">
        <f ca="1">_xll.DBRW($B$1,$B$2,$B$7,$B$3,$B$4,$B$5,$F150,$B$6,O$10,$A150,$B150)</f>
        <v>9456542.4000000004</v>
      </c>
      <c r="P150" s="4">
        <f ca="1">_xll.DBRW($B$1,$B$2,$B$7,$B$3,$B$4,$B$5,$F150,$B$6,P$10,$A150,$B150)</f>
        <v>7543419.5200000005</v>
      </c>
      <c r="Q150" s="4">
        <f ca="1">_xll.DBRW($B$1,$B$2,$B$7,$B$3,$B$4,$B$5,$F150,$B$6,Q$10,$A150,$B150)</f>
        <v>6963156.4799999995</v>
      </c>
      <c r="R150" s="4">
        <f ca="1">_xll.DBRW($B$1,$B$2,$B$7,$B$3,$B$4,$B$5,$F150,$B$6,R$10,$A150,$B150)</f>
        <v>0</v>
      </c>
      <c r="S150" s="4">
        <f ca="1">_xll.DBRW($B$1,$B$2,$B$7,$B$3,$B$4,$B$5,$F150,$B$6,S$10,$A150,$B150)</f>
        <v>0</v>
      </c>
      <c r="T150" s="4">
        <f ca="1">_xll.DBRW($B$1,$B$2,$B$7,$B$3,$B$4,$B$5,$F150,$B$6,T$10,$A150,$B150)</f>
        <v>0</v>
      </c>
      <c r="U150" s="4">
        <f ca="1">_xll.DBRW($B$1,$B$2,$B$7,$B$3,$B$4,$B$5,$F150,$B$6,U$10,$A150,$B150)</f>
        <v>0</v>
      </c>
      <c r="V150" s="4">
        <f ca="1">_xll.DBRW($B$1,$B$2,$B$7,$B$3,$B$4,$B$5,$F150,$B$6,V$10,$A150,$B150)</f>
        <v>0</v>
      </c>
      <c r="W150" s="4">
        <f ca="1">_xll.DBRW($B$1,$B$2,$B$7,$B$3,$B$4,$B$5,$F150,$B$6,W$10,$A150,$B150)</f>
        <v>3334345.3248878024</v>
      </c>
      <c r="X150" s="4">
        <f ca="1">_xll.DBRW($B$1,$B$2,$B$7,$B$3,$B$4,$B$5,$F150,$B$6,X$10,$A150,$B150)</f>
        <v>2299499.4663728806</v>
      </c>
      <c r="Y150" s="4">
        <f ca="1">_xll.DBRW($B$1,$B$2,$B$7,$B$3,$B$4,$B$5,$F150,$B$6,Y$10,$A150,$B150)</f>
        <v>2442377.0192358308</v>
      </c>
      <c r="Z150" s="4">
        <f ca="1">_xll.DBRW($B$1,$B$2,$B$7,$B$3,$B$4,$B$5,$F150,$B$6,Z$10,$A150,$B150)</f>
        <v>3545518.7895631967</v>
      </c>
      <c r="AA150" s="4">
        <f ca="1">_xll.DBRW($B$1,$B$2,$B$7,$B$3,$B$4,$B$5,$F150,$B$6,AA$10,$A150,$B150)</f>
        <v>2989172.2877224637</v>
      </c>
      <c r="AB150" s="4">
        <f ca="1">_xll.DBRW($B$1,$B$2,$B$7,$B$3,$B$4,$B$5,$F150,$B$6,AB$10,$A150,$B150)</f>
        <v>3092408.9312097472</v>
      </c>
      <c r="AC150" s="4">
        <f ca="1">_xll.DBRW($B$1,$B$2,$B$7,$B$3,$B$4,$B$5,$F150,$B$6,AC$10,$A150,$B150)</f>
        <v>2431689.0011946396</v>
      </c>
      <c r="AD150" s="4">
        <f ca="1">_xll.DBRW($B$1,$B$2,$B$7,$B$3,$B$4,$B$5,$F150,$B$6,AD$10,$A150,$B150)</f>
        <v>0</v>
      </c>
      <c r="AE150" s="4">
        <f ca="1">_xll.DBRW($B$1,$B$2,$B$7,$B$3,$B$4,$B$5,$F150,$B$6,AE$10,$A150,$B150)</f>
        <v>0</v>
      </c>
    </row>
    <row r="151" spans="1:31">
      <c r="A151" s="1" t="s">
        <v>153</v>
      </c>
      <c r="B151" s="5" t="s">
        <v>179</v>
      </c>
      <c r="C151" s="5" t="s">
        <v>180</v>
      </c>
      <c r="D151" s="5" t="s">
        <v>28</v>
      </c>
      <c r="E151" s="5" t="s">
        <v>181</v>
      </c>
      <c r="F151" s="5" t="s">
        <v>24</v>
      </c>
      <c r="G151" s="6"/>
      <c r="H151" s="6"/>
      <c r="I151" s="6"/>
      <c r="J151" s="6"/>
      <c r="K151" s="6"/>
      <c r="L151" s="4">
        <f ca="1">_xll.DBRW($B$1,$B$2,$B$7,$B$3,$B$4,$B$5,$F151,$B$6,L$10,$A151,$B151)</f>
        <v>0</v>
      </c>
      <c r="M151" s="4">
        <f ca="1">_xll.DBRW($B$1,$B$2,$B$7,$B$3,$B$4,$B$5,$F151,$B$6,M$10,$A151,$B151)</f>
        <v>0</v>
      </c>
      <c r="N151" s="4">
        <f ca="1">_xll.DBRW($B$1,$B$2,$B$7,$B$3,$B$4,$B$5,$F151,$B$6,N$10,$A151,$B151)</f>
        <v>0</v>
      </c>
      <c r="O151" s="4">
        <f ca="1">_xll.DBRW($B$1,$B$2,$B$7,$B$3,$B$4,$B$5,$F151,$B$6,O$10,$A151,$B151)</f>
        <v>0</v>
      </c>
      <c r="P151" s="4">
        <f ca="1">_xll.DBRW($B$1,$B$2,$B$7,$B$3,$B$4,$B$5,$F151,$B$6,P$10,$A151,$B151)</f>
        <v>0</v>
      </c>
      <c r="Q151" s="4">
        <f ca="1">_xll.DBRW($B$1,$B$2,$B$7,$B$3,$B$4,$B$5,$F151,$B$6,Q$10,$A151,$B151)</f>
        <v>1369811.5200000003</v>
      </c>
      <c r="R151" s="4">
        <f ca="1">_xll.DBRW($B$1,$B$2,$B$7,$B$3,$B$4,$B$5,$F151,$B$6,R$10,$A151,$B151)</f>
        <v>4646426.4000000004</v>
      </c>
      <c r="S151" s="4">
        <f ca="1">_xll.DBRW($B$1,$B$2,$B$7,$B$3,$B$4,$B$5,$F151,$B$6,S$10,$A151,$B151)</f>
        <v>4630348.8000000007</v>
      </c>
      <c r="T151" s="4">
        <f ca="1">_xll.DBRW($B$1,$B$2,$B$7,$B$3,$B$4,$B$5,$F151,$B$6,T$10,$A151,$B151)</f>
        <v>5121677.4954881547</v>
      </c>
      <c r="U151" s="4">
        <f ca="1">_xll.DBRW($B$1,$B$2,$B$7,$B$3,$B$4,$B$5,$F151,$B$6,U$10,$A151,$B151)</f>
        <v>5096054.4291112544</v>
      </c>
      <c r="V151" s="4">
        <f ca="1">_xll.DBRW($B$1,$B$2,$B$7,$B$3,$B$4,$B$5,$F151,$B$6,V$10,$A151,$B151)</f>
        <v>4763839.2432967536</v>
      </c>
      <c r="W151" s="4">
        <f ca="1">_xll.DBRW($B$1,$B$2,$B$7,$B$3,$B$4,$B$5,$F151,$B$6,W$10,$A151,$B151)</f>
        <v>0</v>
      </c>
      <c r="X151" s="4">
        <f ca="1">_xll.DBRW($B$1,$B$2,$B$7,$B$3,$B$4,$B$5,$F151,$B$6,X$10,$A151,$B151)</f>
        <v>0</v>
      </c>
      <c r="Y151" s="4">
        <f ca="1">_xll.DBRW($B$1,$B$2,$B$7,$B$3,$B$4,$B$5,$F151,$B$6,Y$10,$A151,$B151)</f>
        <v>0</v>
      </c>
      <c r="Z151" s="4">
        <f ca="1">_xll.DBRW($B$1,$B$2,$B$7,$B$3,$B$4,$B$5,$F151,$B$6,Z$10,$A151,$B151)</f>
        <v>0</v>
      </c>
      <c r="AA151" s="4">
        <f ca="1">_xll.DBRW($B$1,$B$2,$B$7,$B$3,$B$4,$B$5,$F151,$B$6,AA$10,$A151,$B151)</f>
        <v>0</v>
      </c>
      <c r="AB151" s="4">
        <f ca="1">_xll.DBRW($B$1,$B$2,$B$7,$B$3,$B$4,$B$5,$F151,$B$6,AB$10,$A151,$B151)</f>
        <v>0</v>
      </c>
      <c r="AC151" s="4">
        <f ca="1">_xll.DBRW($B$1,$B$2,$B$7,$B$3,$B$4,$B$5,$F151,$B$6,AC$10,$A151,$B151)</f>
        <v>855791.8588439516</v>
      </c>
      <c r="AD151" s="4">
        <f ca="1">_xll.DBRW($B$1,$B$2,$B$7,$B$3,$B$4,$B$5,$F151,$B$6,AD$10,$A151,$B151)</f>
        <v>4841604.0964058563</v>
      </c>
      <c r="AE151" s="4">
        <f ca="1">_xll.DBRW($B$1,$B$2,$B$7,$B$3,$B$4,$B$5,$F151,$B$6,AE$10,$A151,$B151)</f>
        <v>4811281.4602647191</v>
      </c>
    </row>
    <row r="152" spans="1:31">
      <c r="A152" s="1" t="s">
        <v>153</v>
      </c>
      <c r="B152" s="5" t="s">
        <v>182</v>
      </c>
      <c r="C152" s="5" t="s">
        <v>183</v>
      </c>
      <c r="D152" s="5" t="s">
        <v>181</v>
      </c>
      <c r="E152" s="5" t="s">
        <v>28</v>
      </c>
      <c r="F152" s="5" t="s">
        <v>24</v>
      </c>
      <c r="G152" s="6"/>
      <c r="H152" s="6"/>
      <c r="I152" s="6"/>
      <c r="J152" s="6"/>
      <c r="K152" s="6"/>
      <c r="L152" s="4">
        <f ca="1">_xll.DBRW($B$1,$B$2,$B$7,$B$3,$B$4,$B$5,$F152,$B$6,L$10,$A152,$B152)</f>
        <v>0</v>
      </c>
      <c r="M152" s="4">
        <f ca="1">_xll.DBRW($B$1,$B$2,$B$7,$B$3,$B$4,$B$5,$F152,$B$6,M$10,$A152,$B152)</f>
        <v>0</v>
      </c>
      <c r="N152" s="4">
        <f ca="1">_xll.DBRW($B$1,$B$2,$B$7,$B$3,$B$4,$B$5,$F152,$B$6,N$10,$A152,$B152)</f>
        <v>0</v>
      </c>
      <c r="O152" s="4">
        <f ca="1">_xll.DBRW($B$1,$B$2,$B$7,$B$3,$B$4,$B$5,$F152,$B$6,O$10,$A152,$B152)</f>
        <v>0</v>
      </c>
      <c r="P152" s="4">
        <f ca="1">_xll.DBRW($B$1,$B$2,$B$7,$B$3,$B$4,$B$5,$F152,$B$6,P$10,$A152,$B152)</f>
        <v>0</v>
      </c>
      <c r="Q152" s="4">
        <f ca="1">_xll.DBRW($B$1,$B$2,$B$7,$B$3,$B$4,$B$5,$F152,$B$6,Q$10,$A152,$B152)</f>
        <v>1369811.5200000003</v>
      </c>
      <c r="R152" s="4">
        <f ca="1">_xll.DBRW($B$1,$B$2,$B$7,$B$3,$B$4,$B$5,$F152,$B$6,R$10,$A152,$B152)</f>
        <v>4646426.4000000004</v>
      </c>
      <c r="S152" s="4">
        <f ca="1">_xll.DBRW($B$1,$B$2,$B$7,$B$3,$B$4,$B$5,$F152,$B$6,S$10,$A152,$B152)</f>
        <v>4630348.8000000007</v>
      </c>
      <c r="T152" s="4">
        <f ca="1">_xll.DBRW($B$1,$B$2,$B$7,$B$3,$B$4,$B$5,$F152,$B$6,T$10,$A152,$B152)</f>
        <v>5121677.4954881547</v>
      </c>
      <c r="U152" s="4">
        <f ca="1">_xll.DBRW($B$1,$B$2,$B$7,$B$3,$B$4,$B$5,$F152,$B$6,U$10,$A152,$B152)</f>
        <v>5096054.4291112544</v>
      </c>
      <c r="V152" s="4">
        <f ca="1">_xll.DBRW($B$1,$B$2,$B$7,$B$3,$B$4,$B$5,$F152,$B$6,V$10,$A152,$B152)</f>
        <v>4763839.2432967536</v>
      </c>
      <c r="W152" s="4">
        <f ca="1">_xll.DBRW($B$1,$B$2,$B$7,$B$3,$B$4,$B$5,$F152,$B$6,W$10,$A152,$B152)</f>
        <v>0</v>
      </c>
      <c r="X152" s="4">
        <f ca="1">_xll.DBRW($B$1,$B$2,$B$7,$B$3,$B$4,$B$5,$F152,$B$6,X$10,$A152,$B152)</f>
        <v>0</v>
      </c>
      <c r="Y152" s="4">
        <f ca="1">_xll.DBRW($B$1,$B$2,$B$7,$B$3,$B$4,$B$5,$F152,$B$6,Y$10,$A152,$B152)</f>
        <v>0</v>
      </c>
      <c r="Z152" s="4">
        <f ca="1">_xll.DBRW($B$1,$B$2,$B$7,$B$3,$B$4,$B$5,$F152,$B$6,Z$10,$A152,$B152)</f>
        <v>0</v>
      </c>
      <c r="AA152" s="4">
        <f ca="1">_xll.DBRW($B$1,$B$2,$B$7,$B$3,$B$4,$B$5,$F152,$B$6,AA$10,$A152,$B152)</f>
        <v>0</v>
      </c>
      <c r="AB152" s="4">
        <f ca="1">_xll.DBRW($B$1,$B$2,$B$7,$B$3,$B$4,$B$5,$F152,$B$6,AB$10,$A152,$B152)</f>
        <v>0</v>
      </c>
      <c r="AC152" s="4">
        <f ca="1">_xll.DBRW($B$1,$B$2,$B$7,$B$3,$B$4,$B$5,$F152,$B$6,AC$10,$A152,$B152)</f>
        <v>855791.8588439516</v>
      </c>
      <c r="AD152" s="4">
        <f ca="1">_xll.DBRW($B$1,$B$2,$B$7,$B$3,$B$4,$B$5,$F152,$B$6,AD$10,$A152,$B152)</f>
        <v>4841604.0964058563</v>
      </c>
      <c r="AE152" s="4">
        <f ca="1">_xll.DBRW($B$1,$B$2,$B$7,$B$3,$B$4,$B$5,$F152,$B$6,AE$10,$A152,$B152)</f>
        <v>4811281.4602647191</v>
      </c>
    </row>
    <row r="153" spans="1:31">
      <c r="A153" s="1" t="s">
        <v>153</v>
      </c>
      <c r="B153" s="5" t="s">
        <v>184</v>
      </c>
      <c r="C153" s="5" t="s">
        <v>185</v>
      </c>
      <c r="D153" s="5" t="s">
        <v>28</v>
      </c>
      <c r="E153" s="5" t="s">
        <v>49</v>
      </c>
      <c r="F153" s="5" t="s">
        <v>24</v>
      </c>
      <c r="G153" s="6"/>
      <c r="H153" s="6"/>
      <c r="I153" s="6"/>
      <c r="J153" s="6"/>
      <c r="K153" s="6"/>
      <c r="L153" s="4">
        <f ca="1">_xll.DBRW($B$1,$B$2,$B$7,$B$3,$B$4,$B$5,$F153,$B$6,L$10,$A153,$B153)</f>
        <v>0</v>
      </c>
      <c r="M153" s="4">
        <f ca="1">_xll.DBRW($B$1,$B$2,$B$7,$B$3,$B$4,$B$5,$F153,$B$6,M$10,$A153,$B153)</f>
        <v>4766744.1663638195</v>
      </c>
      <c r="N153" s="4">
        <f ca="1">_xll.DBRW($B$1,$B$2,$B$7,$B$3,$B$4,$B$5,$F153,$B$6,N$10,$A153,$B153)</f>
        <v>4886714.5599999996</v>
      </c>
      <c r="O153" s="4">
        <f ca="1">_xll.DBRW($B$1,$B$2,$B$7,$B$3,$B$4,$B$5,$F153,$B$6,O$10,$A153,$B153)</f>
        <v>4707932.32</v>
      </c>
      <c r="P153" s="4">
        <f ca="1">_xll.DBRW($B$1,$B$2,$B$7,$B$3,$B$4,$B$5,$F153,$B$6,P$10,$A153,$B153)</f>
        <v>4946308.6400000006</v>
      </c>
      <c r="Q153" s="4">
        <f ca="1">_xll.DBRW($B$1,$B$2,$B$7,$B$3,$B$4,$B$5,$F153,$B$6,Q$10,$A153,$B153)</f>
        <v>3933209.28</v>
      </c>
      <c r="R153" s="4">
        <f ca="1">_xll.DBRW($B$1,$B$2,$B$7,$B$3,$B$4,$B$5,$F153,$B$6,R$10,$A153,$B153)</f>
        <v>0</v>
      </c>
      <c r="S153" s="4">
        <f ca="1">_xll.DBRW($B$1,$B$2,$B$7,$B$3,$B$4,$B$5,$F153,$B$6,S$10,$A153,$B153)</f>
        <v>0</v>
      </c>
      <c r="T153" s="4">
        <f ca="1">_xll.DBRW($B$1,$B$2,$B$7,$B$3,$B$4,$B$5,$F153,$B$6,T$10,$A153,$B153)</f>
        <v>0</v>
      </c>
      <c r="U153" s="4">
        <f ca="1">_xll.DBRW($B$1,$B$2,$B$7,$B$3,$B$4,$B$5,$F153,$B$6,U$10,$A153,$B153)</f>
        <v>0</v>
      </c>
      <c r="V153" s="4">
        <f ca="1">_xll.DBRW($B$1,$B$2,$B$7,$B$3,$B$4,$B$5,$F153,$B$6,V$10,$A153,$B153)</f>
        <v>246930.07665093153</v>
      </c>
      <c r="W153" s="4">
        <f ca="1">_xll.DBRW($B$1,$B$2,$B$7,$B$3,$B$4,$B$5,$F153,$B$6,W$10,$A153,$B153)</f>
        <v>3566767.7738467883</v>
      </c>
      <c r="X153" s="4">
        <f ca="1">_xll.DBRW($B$1,$B$2,$B$7,$B$3,$B$4,$B$5,$F153,$B$6,X$10,$A153,$B153)</f>
        <v>4784257.9060934028</v>
      </c>
      <c r="Y153" s="4">
        <f ca="1">_xll.DBRW($B$1,$B$2,$B$7,$B$3,$B$4,$B$5,$F153,$B$6,Y$10,$A153,$B153)</f>
        <v>5848348.2226362675</v>
      </c>
      <c r="Z153" s="4">
        <f ca="1">_xll.DBRW($B$1,$B$2,$B$7,$B$3,$B$4,$B$5,$F153,$B$6,Z$10,$A153,$B153)</f>
        <v>4484591.8480901401</v>
      </c>
      <c r="AA153" s="4">
        <f ca="1">_xll.DBRW($B$1,$B$2,$B$7,$B$3,$B$4,$B$5,$F153,$B$6,AA$10,$A153,$B153)</f>
        <v>4196547.1838204898</v>
      </c>
      <c r="AB153" s="4">
        <f ca="1">_xll.DBRW($B$1,$B$2,$B$7,$B$3,$B$4,$B$5,$F153,$B$6,AB$10,$A153,$B153)</f>
        <v>4988238.8059747983</v>
      </c>
      <c r="AC153" s="4">
        <f ca="1">_xll.DBRW($B$1,$B$2,$B$7,$B$3,$B$4,$B$5,$F153,$B$6,AC$10,$A153,$B153)</f>
        <v>2865653.0083961491</v>
      </c>
      <c r="AD153" s="4">
        <f ca="1">_xll.DBRW($B$1,$B$2,$B$7,$B$3,$B$4,$B$5,$F153,$B$6,AD$10,$A153,$B153)</f>
        <v>0</v>
      </c>
      <c r="AE153" s="4">
        <f ca="1">_xll.DBRW($B$1,$B$2,$B$7,$B$3,$B$4,$B$5,$F153,$B$6,AE$10,$A153,$B153)</f>
        <v>0</v>
      </c>
    </row>
    <row r="154" spans="1:31">
      <c r="A154" s="1" t="s">
        <v>153</v>
      </c>
      <c r="B154" s="5" t="s">
        <v>50</v>
      </c>
      <c r="C154" s="5" t="s">
        <v>51</v>
      </c>
      <c r="D154" s="5" t="s">
        <v>49</v>
      </c>
      <c r="E154" s="5" t="s">
        <v>28</v>
      </c>
      <c r="F154" s="5" t="s">
        <v>24</v>
      </c>
      <c r="G154" s="6"/>
      <c r="H154" s="6"/>
      <c r="I154" s="6"/>
      <c r="J154" s="6"/>
      <c r="K154" s="6"/>
      <c r="L154" s="4">
        <f ca="1">_xll.DBRW($B$1,$B$2,$B$7,$B$3,$B$4,$B$5,$F154,$B$6,L$10,$A154,$B154)</f>
        <v>0</v>
      </c>
      <c r="M154" s="4">
        <f ca="1">_xll.DBRW($B$1,$B$2,$B$7,$B$3,$B$4,$B$5,$F154,$B$6,M$10,$A154,$B154)</f>
        <v>4766744.1663638195</v>
      </c>
      <c r="N154" s="4">
        <f ca="1">_xll.DBRW($B$1,$B$2,$B$7,$B$3,$B$4,$B$5,$F154,$B$6,N$10,$A154,$B154)</f>
        <v>4886714.5599999996</v>
      </c>
      <c r="O154" s="4">
        <f ca="1">_xll.DBRW($B$1,$B$2,$B$7,$B$3,$B$4,$B$5,$F154,$B$6,O$10,$A154,$B154)</f>
        <v>4707932.32</v>
      </c>
      <c r="P154" s="4">
        <f ca="1">_xll.DBRW($B$1,$B$2,$B$7,$B$3,$B$4,$B$5,$F154,$B$6,P$10,$A154,$B154)</f>
        <v>4946308.6400000006</v>
      </c>
      <c r="Q154" s="4">
        <f ca="1">_xll.DBRW($B$1,$B$2,$B$7,$B$3,$B$4,$B$5,$F154,$B$6,Q$10,$A154,$B154)</f>
        <v>3933209.28</v>
      </c>
      <c r="R154" s="4">
        <f ca="1">_xll.DBRW($B$1,$B$2,$B$7,$B$3,$B$4,$B$5,$F154,$B$6,R$10,$A154,$B154)</f>
        <v>0</v>
      </c>
      <c r="S154" s="4">
        <f ca="1">_xll.DBRW($B$1,$B$2,$B$7,$B$3,$B$4,$B$5,$F154,$B$6,S$10,$A154,$B154)</f>
        <v>0</v>
      </c>
      <c r="T154" s="4">
        <f ca="1">_xll.DBRW($B$1,$B$2,$B$7,$B$3,$B$4,$B$5,$F154,$B$6,T$10,$A154,$B154)</f>
        <v>0</v>
      </c>
      <c r="U154" s="4">
        <f ca="1">_xll.DBRW($B$1,$B$2,$B$7,$B$3,$B$4,$B$5,$F154,$B$6,U$10,$A154,$B154)</f>
        <v>0</v>
      </c>
      <c r="V154" s="4">
        <f ca="1">_xll.DBRW($B$1,$B$2,$B$7,$B$3,$B$4,$B$5,$F154,$B$6,V$10,$A154,$B154)</f>
        <v>246930.07665093153</v>
      </c>
      <c r="W154" s="4">
        <f ca="1">_xll.DBRW($B$1,$B$2,$B$7,$B$3,$B$4,$B$5,$F154,$B$6,W$10,$A154,$B154)</f>
        <v>3566767.7738467883</v>
      </c>
      <c r="X154" s="4">
        <f ca="1">_xll.DBRW($B$1,$B$2,$B$7,$B$3,$B$4,$B$5,$F154,$B$6,X$10,$A154,$B154)</f>
        <v>4784257.9060934028</v>
      </c>
      <c r="Y154" s="4">
        <f ca="1">_xll.DBRW($B$1,$B$2,$B$7,$B$3,$B$4,$B$5,$F154,$B$6,Y$10,$A154,$B154)</f>
        <v>5848348.2226362675</v>
      </c>
      <c r="Z154" s="4">
        <f ca="1">_xll.DBRW($B$1,$B$2,$B$7,$B$3,$B$4,$B$5,$F154,$B$6,Z$10,$A154,$B154)</f>
        <v>4484591.8480901401</v>
      </c>
      <c r="AA154" s="4">
        <f ca="1">_xll.DBRW($B$1,$B$2,$B$7,$B$3,$B$4,$B$5,$F154,$B$6,AA$10,$A154,$B154)</f>
        <v>4196547.1838204898</v>
      </c>
      <c r="AB154" s="4">
        <f ca="1">_xll.DBRW($B$1,$B$2,$B$7,$B$3,$B$4,$B$5,$F154,$B$6,AB$10,$A154,$B154)</f>
        <v>4988238.8059747983</v>
      </c>
      <c r="AC154" s="4">
        <f ca="1">_xll.DBRW($B$1,$B$2,$B$7,$B$3,$B$4,$B$5,$F154,$B$6,AC$10,$A154,$B154)</f>
        <v>2865653.0083961491</v>
      </c>
      <c r="AD154" s="4">
        <f ca="1">_xll.DBRW($B$1,$B$2,$B$7,$B$3,$B$4,$B$5,$F154,$B$6,AD$10,$A154,$B154)</f>
        <v>0</v>
      </c>
      <c r="AE154" s="4">
        <f ca="1">_xll.DBRW($B$1,$B$2,$B$7,$B$3,$B$4,$B$5,$F154,$B$6,AE$10,$A154,$B154)</f>
        <v>0</v>
      </c>
    </row>
    <row r="155" spans="1:31">
      <c r="A155" s="1" t="s">
        <v>153</v>
      </c>
      <c r="B155" s="5" t="s">
        <v>186</v>
      </c>
      <c r="C155" s="5" t="s">
        <v>187</v>
      </c>
      <c r="D155" s="5" t="s">
        <v>21</v>
      </c>
      <c r="E155" s="5" t="s">
        <v>59</v>
      </c>
      <c r="F155" s="5" t="s">
        <v>24</v>
      </c>
      <c r="G155" s="6"/>
      <c r="H155" s="6"/>
      <c r="I155" s="6"/>
      <c r="J155" s="6"/>
      <c r="K155" s="6"/>
      <c r="L155" s="4">
        <f ca="1">_xll.DBRW($B$1,$B$2,$B$7,$B$3,$B$4,$B$5,$F155,$B$6,L$10,$A155,$B155)</f>
        <v>9856581.2800000012</v>
      </c>
      <c r="M155" s="4">
        <f ca="1">_xll.DBRW($B$1,$B$2,$B$7,$B$3,$B$4,$B$5,$F155,$B$6,M$10,$A155,$B155)</f>
        <v>8945221.3648870494</v>
      </c>
      <c r="N155" s="4">
        <f ca="1">_xll.DBRW($B$1,$B$2,$B$7,$B$3,$B$4,$B$5,$F155,$B$6,N$10,$A155,$B155)</f>
        <v>8790190.0799999982</v>
      </c>
      <c r="O155" s="4">
        <f ca="1">_xll.DBRW($B$1,$B$2,$B$7,$B$3,$B$4,$B$5,$F155,$B$6,O$10,$A155,$B155)</f>
        <v>9064325.2000000011</v>
      </c>
      <c r="P155" s="4">
        <f ca="1">_xll.DBRW($B$1,$B$2,$B$7,$B$3,$B$4,$B$5,$F155,$B$6,P$10,$A155,$B155)</f>
        <v>8732124.8000000007</v>
      </c>
      <c r="Q155" s="4">
        <f ca="1">_xll.DBRW($B$1,$B$2,$B$7,$B$3,$B$4,$B$5,$F155,$B$6,Q$10,$A155,$B155)</f>
        <v>10224793.320000002</v>
      </c>
      <c r="R155" s="4">
        <f ca="1">_xll.DBRW($B$1,$B$2,$B$7,$B$3,$B$4,$B$5,$F155,$B$6,R$10,$A155,$B155)</f>
        <v>9999511.2000000011</v>
      </c>
      <c r="S155" s="4">
        <f ca="1">_xll.DBRW($B$1,$B$2,$B$7,$B$3,$B$4,$B$5,$F155,$B$6,S$10,$A155,$B155)</f>
        <v>8218470.4000000004</v>
      </c>
      <c r="T155" s="4">
        <f ca="1">_xll.DBRW($B$1,$B$2,$B$7,$B$3,$B$4,$B$5,$F155,$B$6,T$10,$A155,$B155)</f>
        <v>11704603.99970204</v>
      </c>
      <c r="U155" s="4">
        <f ca="1">_xll.DBRW($B$1,$B$2,$B$7,$B$3,$B$4,$B$5,$F155,$B$6,U$10,$A155,$B155)</f>
        <v>10765245.914774468</v>
      </c>
      <c r="V155" s="4">
        <f ca="1">_xll.DBRW($B$1,$B$2,$B$7,$B$3,$B$4,$B$5,$F155,$B$6,V$10,$A155,$B155)</f>
        <v>11306654.74892066</v>
      </c>
      <c r="W155" s="4">
        <f ca="1">_xll.DBRW($B$1,$B$2,$B$7,$B$3,$B$4,$B$5,$F155,$B$6,W$10,$A155,$B155)</f>
        <v>10076592.804335574</v>
      </c>
      <c r="X155" s="4">
        <f ca="1">_xll.DBRW($B$1,$B$2,$B$7,$B$3,$B$4,$B$5,$F155,$B$6,X$10,$A155,$B155)</f>
        <v>10949927.297034316</v>
      </c>
      <c r="Y155" s="4">
        <f ca="1">_xll.DBRW($B$1,$B$2,$B$7,$B$3,$B$4,$B$5,$F155,$B$6,Y$10,$A155,$B155)</f>
        <v>10202231.349266673</v>
      </c>
      <c r="Z155" s="4">
        <f ca="1">_xll.DBRW($B$1,$B$2,$B$7,$B$3,$B$4,$B$5,$F155,$B$6,Z$10,$A155,$B155)</f>
        <v>10645856.629356353</v>
      </c>
      <c r="AA155" s="4">
        <f ca="1">_xll.DBRW($B$1,$B$2,$B$7,$B$3,$B$4,$B$5,$F155,$B$6,AA$10,$A155,$B155)</f>
        <v>10274958.812056566</v>
      </c>
      <c r="AB155" s="4">
        <f ca="1">_xll.DBRW($B$1,$B$2,$B$7,$B$3,$B$4,$B$5,$F155,$B$6,AB$10,$A155,$B155)</f>
        <v>10303826.860254096</v>
      </c>
      <c r="AC155" s="4">
        <f ca="1">_xll.DBRW($B$1,$B$2,$B$7,$B$3,$B$4,$B$5,$F155,$B$6,AC$10,$A155,$B155)</f>
        <v>10950298.45714332</v>
      </c>
      <c r="AD155" s="4">
        <f ca="1">_xll.DBRW($B$1,$B$2,$B$7,$B$3,$B$4,$B$5,$F155,$B$6,AD$10,$A155,$B155)</f>
        <v>11427409.937718172</v>
      </c>
      <c r="AE155" s="4">
        <f ca="1">_xll.DBRW($B$1,$B$2,$B$7,$B$3,$B$4,$B$5,$F155,$B$6,AE$10,$A155,$B155)</f>
        <v>10631186.152214333</v>
      </c>
    </row>
    <row r="156" spans="1:31">
      <c r="A156" s="1" t="s">
        <v>153</v>
      </c>
      <c r="B156" s="5" t="s">
        <v>61</v>
      </c>
      <c r="C156" s="5" t="s">
        <v>62</v>
      </c>
      <c r="D156" s="5" t="s">
        <v>59</v>
      </c>
      <c r="E156" s="5" t="s">
        <v>21</v>
      </c>
      <c r="F156" s="5" t="s">
        <v>24</v>
      </c>
      <c r="G156" s="6"/>
      <c r="H156" s="6"/>
      <c r="I156" s="6"/>
      <c r="J156" s="6"/>
      <c r="K156" s="6"/>
      <c r="L156" s="4">
        <f ca="1">_xll.DBRW($B$1,$B$2,$B$7,$B$3,$B$4,$B$5,$F156,$B$6,L$10,$A156,$B156)</f>
        <v>9805774.1600000001</v>
      </c>
      <c r="M156" s="4">
        <f ca="1">_xll.DBRW($B$1,$B$2,$B$7,$B$3,$B$4,$B$5,$F156,$B$6,M$10,$A156,$B156)</f>
        <v>8993836.6983918697</v>
      </c>
      <c r="N156" s="4">
        <f ca="1">_xll.DBRW($B$1,$B$2,$B$7,$B$3,$B$4,$B$5,$F156,$B$6,N$10,$A156,$B156)</f>
        <v>8790190.0799999982</v>
      </c>
      <c r="O156" s="4">
        <f ca="1">_xll.DBRW($B$1,$B$2,$B$7,$B$3,$B$4,$B$5,$F156,$B$6,O$10,$A156,$B156)</f>
        <v>9064325.2000000011</v>
      </c>
      <c r="P156" s="4">
        <f ca="1">_xll.DBRW($B$1,$B$2,$B$7,$B$3,$B$4,$B$5,$F156,$B$6,P$10,$A156,$B156)</f>
        <v>8732124.8000000007</v>
      </c>
      <c r="Q156" s="4">
        <f ca="1">_xll.DBRW($B$1,$B$2,$B$7,$B$3,$B$4,$B$5,$F156,$B$6,Q$10,$A156,$B156)</f>
        <v>10249080.240000002</v>
      </c>
      <c r="R156" s="4">
        <f ca="1">_xll.DBRW($B$1,$B$2,$B$7,$B$3,$B$4,$B$5,$F156,$B$6,R$10,$A156,$B156)</f>
        <v>9974386.8000000007</v>
      </c>
      <c r="S156" s="4">
        <f ca="1">_xll.DBRW($B$1,$B$2,$B$7,$B$3,$B$4,$B$5,$F156,$B$6,S$10,$A156,$B156)</f>
        <v>8218470.4000000004</v>
      </c>
      <c r="T156" s="4">
        <f ca="1">_xll.DBRW($B$1,$B$2,$B$7,$B$3,$B$4,$B$5,$F156,$B$6,T$10,$A156,$B156)</f>
        <v>11704603.99970204</v>
      </c>
      <c r="U156" s="4">
        <f ca="1">_xll.DBRW($B$1,$B$2,$B$7,$B$3,$B$4,$B$5,$F156,$B$6,U$10,$A156,$B156)</f>
        <v>10765245.914774468</v>
      </c>
      <c r="V156" s="4">
        <f ca="1">_xll.DBRW($B$1,$B$2,$B$7,$B$3,$B$4,$B$5,$F156,$B$6,V$10,$A156,$B156)</f>
        <v>11306654.74892066</v>
      </c>
      <c r="W156" s="4">
        <f ca="1">_xll.DBRW($B$1,$B$2,$B$7,$B$3,$B$4,$B$5,$F156,$B$6,W$10,$A156,$B156)</f>
        <v>10286795.522548569</v>
      </c>
      <c r="X156" s="4">
        <f ca="1">_xll.DBRW($B$1,$B$2,$B$7,$B$3,$B$4,$B$5,$F156,$B$6,X$10,$A156,$B156)</f>
        <v>11226440.612615993</v>
      </c>
      <c r="Y156" s="4">
        <f ca="1">_xll.DBRW($B$1,$B$2,$B$7,$B$3,$B$4,$B$5,$F156,$B$6,Y$10,$A156,$B156)</f>
        <v>10414777.835709728</v>
      </c>
      <c r="Z156" s="4">
        <f ca="1">_xll.DBRW($B$1,$B$2,$B$7,$B$3,$B$4,$B$5,$F156,$B$6,Z$10,$A156,$B156)</f>
        <v>10860112.863406293</v>
      </c>
      <c r="AA156" s="4">
        <f ca="1">_xll.DBRW($B$1,$B$2,$B$7,$B$3,$B$4,$B$5,$F156,$B$6,AA$10,$A156,$B156)</f>
        <v>10534427.468926679</v>
      </c>
      <c r="AB156" s="4">
        <f ca="1">_xll.DBRW($B$1,$B$2,$B$7,$B$3,$B$4,$B$5,$F156,$B$6,AB$10,$A156,$B156)</f>
        <v>10519896.624033997</v>
      </c>
      <c r="AC156" s="4">
        <f ca="1">_xll.DBRW($B$1,$B$2,$B$7,$B$3,$B$4,$B$5,$F156,$B$6,AC$10,$A156,$B156)</f>
        <v>11166868.018718464</v>
      </c>
      <c r="AD156" s="4">
        <f ca="1">_xll.DBRW($B$1,$B$2,$B$7,$B$3,$B$4,$B$5,$F156,$B$6,AD$10,$A156,$B156)</f>
        <v>11427409.937718172</v>
      </c>
      <c r="AE156" s="4">
        <f ca="1">_xll.DBRW($B$1,$B$2,$B$7,$B$3,$B$4,$B$5,$F156,$B$6,AE$10,$A156,$B156)</f>
        <v>10631186.152214333</v>
      </c>
    </row>
    <row r="157" spans="1:31">
      <c r="A157" s="1" t="s">
        <v>153</v>
      </c>
      <c r="B157" s="5" t="s">
        <v>188</v>
      </c>
      <c r="C157" s="5" t="s">
        <v>189</v>
      </c>
      <c r="D157" s="5" t="s">
        <v>21</v>
      </c>
      <c r="E157" s="5" t="s">
        <v>20</v>
      </c>
      <c r="F157" s="5" t="s">
        <v>24</v>
      </c>
      <c r="G157" s="6"/>
      <c r="H157" s="6"/>
      <c r="I157" s="6"/>
      <c r="J157" s="6"/>
      <c r="K157" s="6"/>
      <c r="L157" s="4">
        <f ca="1">_xll.DBRW($B$1,$B$2,$B$7,$B$3,$B$4,$B$5,$F157,$B$6,L$10,$A157,$B157)</f>
        <v>10704453.76</v>
      </c>
      <c r="M157" s="4">
        <f ca="1">_xll.DBRW($B$1,$B$2,$B$7,$B$3,$B$4,$B$5,$F157,$B$6,M$10,$A157,$B157)</f>
        <v>10719073.785565764</v>
      </c>
      <c r="N157" s="4">
        <f ca="1">_xll.DBRW($B$1,$B$2,$B$7,$B$3,$B$4,$B$5,$F157,$B$6,N$10,$A157,$B157)</f>
        <v>10469191.040000001</v>
      </c>
      <c r="O157" s="4">
        <f ca="1">_xll.DBRW($B$1,$B$2,$B$7,$B$3,$B$4,$B$5,$F157,$B$6,O$10,$A157,$B157)</f>
        <v>9822218.5599999987</v>
      </c>
      <c r="P157" s="4">
        <f ca="1">_xll.DBRW($B$1,$B$2,$B$7,$B$3,$B$4,$B$5,$F157,$B$6,P$10,$A157,$B157)</f>
        <v>10245312</v>
      </c>
      <c r="Q157" s="4">
        <f ca="1">_xll.DBRW($B$1,$B$2,$B$7,$B$3,$B$4,$B$5,$F157,$B$6,Q$10,$A157,$B157)</f>
        <v>9555122.1919999979</v>
      </c>
      <c r="R157" s="4">
        <f ca="1">_xll.DBRW($B$1,$B$2,$B$7,$B$3,$B$4,$B$5,$F157,$B$6,R$10,$A157,$B157)</f>
        <v>9112364.7999999989</v>
      </c>
      <c r="S157" s="4">
        <f ca="1">_xll.DBRW($B$1,$B$2,$B$7,$B$3,$B$4,$B$5,$F157,$B$6,S$10,$A157,$B157)</f>
        <v>9710685.5999999978</v>
      </c>
      <c r="T157" s="4">
        <f ca="1">_xll.DBRW($B$1,$B$2,$B$7,$B$3,$B$4,$B$5,$F157,$B$6,T$10,$A157,$B157)</f>
        <v>7559704.169604592</v>
      </c>
      <c r="U157" s="4">
        <f ca="1">_xll.DBRW($B$1,$B$2,$B$7,$B$3,$B$4,$B$5,$F157,$B$6,U$10,$A157,$B157)</f>
        <v>6496299.8278474221</v>
      </c>
      <c r="V157" s="4">
        <f ca="1">_xll.DBRW($B$1,$B$2,$B$7,$B$3,$B$4,$B$5,$F157,$B$6,V$10,$A157,$B157)</f>
        <v>8593506.7310938295</v>
      </c>
      <c r="W157" s="4">
        <f ca="1">_xll.DBRW($B$1,$B$2,$B$7,$B$3,$B$4,$B$5,$F157,$B$6,W$10,$A157,$B157)</f>
        <v>8323135.7647914849</v>
      </c>
      <c r="X157" s="4">
        <f ca="1">_xll.DBRW($B$1,$B$2,$B$7,$B$3,$B$4,$B$5,$F157,$B$6,X$10,$A157,$B157)</f>
        <v>8923084.0348883327</v>
      </c>
      <c r="Y157" s="4">
        <f ca="1">_xll.DBRW($B$1,$B$2,$B$7,$B$3,$B$4,$B$5,$F157,$B$6,Y$10,$A157,$B157)</f>
        <v>8852729.4642128106</v>
      </c>
      <c r="Z157" s="4">
        <f ca="1">_xll.DBRW($B$1,$B$2,$B$7,$B$3,$B$4,$B$5,$F157,$B$6,Z$10,$A157,$B157)</f>
        <v>8682617.7368036676</v>
      </c>
      <c r="AA157" s="4">
        <f ca="1">_xll.DBRW($B$1,$B$2,$B$7,$B$3,$B$4,$B$5,$F157,$B$6,AA$10,$A157,$B157)</f>
        <v>7906392.0201473022</v>
      </c>
      <c r="AB157" s="4">
        <f ca="1">_xll.DBRW($B$1,$B$2,$B$7,$B$3,$B$4,$B$5,$F157,$B$6,AB$10,$A157,$B157)</f>
        <v>8276901.3995122919</v>
      </c>
      <c r="AC157" s="4">
        <f ca="1">_xll.DBRW($B$1,$B$2,$B$7,$B$3,$B$4,$B$5,$F157,$B$6,AC$10,$A157,$B157)</f>
        <v>7836746.6613502949</v>
      </c>
      <c r="AD157" s="4">
        <f ca="1">_xll.DBRW($B$1,$B$2,$B$7,$B$3,$B$4,$B$5,$F157,$B$6,AD$10,$A157,$B157)</f>
        <v>8044363.7562487619</v>
      </c>
      <c r="AE157" s="4">
        <f ca="1">_xll.DBRW($B$1,$B$2,$B$7,$B$3,$B$4,$B$5,$F157,$B$6,AE$10,$A157,$B157)</f>
        <v>8648079.7677451018</v>
      </c>
    </row>
    <row r="158" spans="1:31">
      <c r="A158" s="1" t="s">
        <v>153</v>
      </c>
      <c r="B158" s="5" t="s">
        <v>18</v>
      </c>
      <c r="C158" s="5" t="s">
        <v>19</v>
      </c>
      <c r="D158" s="5" t="s">
        <v>20</v>
      </c>
      <c r="E158" s="5" t="s">
        <v>21</v>
      </c>
      <c r="F158" s="5" t="s">
        <v>24</v>
      </c>
      <c r="G158" s="6"/>
      <c r="H158" s="6"/>
      <c r="I158" s="6"/>
      <c r="J158" s="6"/>
      <c r="K158" s="6"/>
      <c r="L158" s="4">
        <f ca="1">_xll.DBRW($B$1,$B$2,$B$7,$B$3,$B$4,$B$5,$F158,$B$6,L$10,$A158,$B158)</f>
        <v>10704453.76</v>
      </c>
      <c r="M158" s="4">
        <f ca="1">_xll.DBRW($B$1,$B$2,$B$7,$B$3,$B$4,$B$5,$F158,$B$6,M$10,$A158,$B158)</f>
        <v>10719073.785565764</v>
      </c>
      <c r="N158" s="4">
        <f ca="1">_xll.DBRW($B$1,$B$2,$B$7,$B$3,$B$4,$B$5,$F158,$B$6,N$10,$A158,$B158)</f>
        <v>10469191.040000001</v>
      </c>
      <c r="O158" s="4">
        <f ca="1">_xll.DBRW($B$1,$B$2,$B$7,$B$3,$B$4,$B$5,$F158,$B$6,O$10,$A158,$B158)</f>
        <v>9822218.5599999987</v>
      </c>
      <c r="P158" s="4">
        <f ca="1">_xll.DBRW($B$1,$B$2,$B$7,$B$3,$B$4,$B$5,$F158,$B$6,P$10,$A158,$B158)</f>
        <v>10245312</v>
      </c>
      <c r="Q158" s="4">
        <f ca="1">_xll.DBRW($B$1,$B$2,$B$7,$B$3,$B$4,$B$5,$F158,$B$6,Q$10,$A158,$B158)</f>
        <v>9555122.1919999979</v>
      </c>
      <c r="R158" s="4">
        <f ca="1">_xll.DBRW($B$1,$B$2,$B$7,$B$3,$B$4,$B$5,$F158,$B$6,R$10,$A158,$B158)</f>
        <v>9112364.7999999989</v>
      </c>
      <c r="S158" s="4">
        <f ca="1">_xll.DBRW($B$1,$B$2,$B$7,$B$3,$B$4,$B$5,$F158,$B$6,S$10,$A158,$B158)</f>
        <v>9710685.5999999978</v>
      </c>
      <c r="T158" s="4">
        <f ca="1">_xll.DBRW($B$1,$B$2,$B$7,$B$3,$B$4,$B$5,$F158,$B$6,T$10,$A158,$B158)</f>
        <v>7559704.169604592</v>
      </c>
      <c r="U158" s="4">
        <f ca="1">_xll.DBRW($B$1,$B$2,$B$7,$B$3,$B$4,$B$5,$F158,$B$6,U$10,$A158,$B158)</f>
        <v>6496299.8278474221</v>
      </c>
      <c r="V158" s="4">
        <f ca="1">_xll.DBRW($B$1,$B$2,$B$7,$B$3,$B$4,$B$5,$F158,$B$6,V$10,$A158,$B158)</f>
        <v>8593506.7310938295</v>
      </c>
      <c r="W158" s="4">
        <f ca="1">_xll.DBRW($B$1,$B$2,$B$7,$B$3,$B$4,$B$5,$F158,$B$6,W$10,$A158,$B158)</f>
        <v>8323135.7647914849</v>
      </c>
      <c r="X158" s="4">
        <f ca="1">_xll.DBRW($B$1,$B$2,$B$7,$B$3,$B$4,$B$5,$F158,$B$6,X$10,$A158,$B158)</f>
        <v>8923084.0348883327</v>
      </c>
      <c r="Y158" s="4">
        <f ca="1">_xll.DBRW($B$1,$B$2,$B$7,$B$3,$B$4,$B$5,$F158,$B$6,Y$10,$A158,$B158)</f>
        <v>8852729.4642128106</v>
      </c>
      <c r="Z158" s="4">
        <f ca="1">_xll.DBRW($B$1,$B$2,$B$7,$B$3,$B$4,$B$5,$F158,$B$6,Z$10,$A158,$B158)</f>
        <v>8682617.7368036676</v>
      </c>
      <c r="AA158" s="4">
        <f ca="1">_xll.DBRW($B$1,$B$2,$B$7,$B$3,$B$4,$B$5,$F158,$B$6,AA$10,$A158,$B158)</f>
        <v>7906392.0201473022</v>
      </c>
      <c r="AB158" s="4">
        <f ca="1">_xll.DBRW($B$1,$B$2,$B$7,$B$3,$B$4,$B$5,$F158,$B$6,AB$10,$A158,$B158)</f>
        <v>8276901.3995122919</v>
      </c>
      <c r="AC158" s="4">
        <f ca="1">_xll.DBRW($B$1,$B$2,$B$7,$B$3,$B$4,$B$5,$F158,$B$6,AC$10,$A158,$B158)</f>
        <v>7836746.6613502949</v>
      </c>
      <c r="AD158" s="4">
        <f ca="1">_xll.DBRW($B$1,$B$2,$B$7,$B$3,$B$4,$B$5,$F158,$B$6,AD$10,$A158,$B158)</f>
        <v>8044363.7562487619</v>
      </c>
      <c r="AE158" s="4">
        <f ca="1">_xll.DBRW($B$1,$B$2,$B$7,$B$3,$B$4,$B$5,$F158,$B$6,AE$10,$A158,$B158)</f>
        <v>8648079.7677451018</v>
      </c>
    </row>
    <row r="159" spans="1:31">
      <c r="A159" s="1" t="s">
        <v>153</v>
      </c>
      <c r="B159" s="5" t="s">
        <v>190</v>
      </c>
      <c r="C159" s="5" t="s">
        <v>191</v>
      </c>
      <c r="D159" s="5" t="s">
        <v>21</v>
      </c>
      <c r="E159" s="5" t="s">
        <v>73</v>
      </c>
      <c r="F159" s="5" t="s">
        <v>24</v>
      </c>
      <c r="G159" s="6"/>
      <c r="H159" s="6"/>
      <c r="I159" s="6"/>
      <c r="J159" s="6"/>
      <c r="K159" s="6"/>
      <c r="L159" s="4">
        <f ca="1">_xll.DBRW($B$1,$B$2,$B$7,$B$3,$B$4,$B$5,$F159,$B$6,L$10,$A159,$B159)</f>
        <v>7543462.5</v>
      </c>
      <c r="M159" s="4">
        <f ca="1">_xll.DBRW($B$1,$B$2,$B$7,$B$3,$B$4,$B$5,$F159,$B$6,M$10,$A159,$B159)</f>
        <v>7144941.4227972841</v>
      </c>
      <c r="N159" s="4">
        <f ca="1">_xll.DBRW($B$1,$B$2,$B$7,$B$3,$B$4,$B$5,$F159,$B$6,N$10,$A159,$B159)</f>
        <v>7543462.5</v>
      </c>
      <c r="O159" s="4">
        <f ca="1">_xll.DBRW($B$1,$B$2,$B$7,$B$3,$B$4,$B$5,$F159,$B$6,O$10,$A159,$B159)</f>
        <v>7459646.2500000009</v>
      </c>
      <c r="P159" s="4">
        <f ca="1">_xll.DBRW($B$1,$B$2,$B$7,$B$3,$B$4,$B$5,$F159,$B$6,P$10,$A159,$B159)</f>
        <v>7786799.9999999991</v>
      </c>
      <c r="Q159" s="4">
        <f ca="1">_xll.DBRW($B$1,$B$2,$B$7,$B$3,$B$4,$B$5,$F159,$B$6,Q$10,$A159,$B159)</f>
        <v>6956748.7499999991</v>
      </c>
      <c r="R159" s="4">
        <f ca="1">_xll.DBRW($B$1,$B$2,$B$7,$B$3,$B$4,$B$5,$F159,$B$6,R$10,$A159,$B159)</f>
        <v>5758987.5</v>
      </c>
      <c r="S159" s="4">
        <f ca="1">_xll.DBRW($B$1,$B$2,$B$7,$B$3,$B$4,$B$5,$F159,$B$6,S$10,$A159,$B159)</f>
        <v>5699505.0000000009</v>
      </c>
      <c r="T159" s="4">
        <f ca="1">_xll.DBRW($B$1,$B$2,$B$7,$B$3,$B$4,$B$5,$F159,$B$6,T$10,$A159,$B159)</f>
        <v>5996621.4847981045</v>
      </c>
      <c r="U159" s="4">
        <f ca="1">_xll.DBRW($B$1,$B$2,$B$7,$B$3,$B$4,$B$5,$F159,$B$6,U$10,$A159,$B159)</f>
        <v>5288976.6859980263</v>
      </c>
      <c r="V159" s="4">
        <f ca="1">_xll.DBRW($B$1,$B$2,$B$7,$B$3,$B$4,$B$5,$F159,$B$6,V$10,$A159,$B159)</f>
        <v>6272934.1789853275</v>
      </c>
      <c r="W159" s="4">
        <f ca="1">_xll.DBRW($B$1,$B$2,$B$7,$B$3,$B$4,$B$5,$F159,$B$6,W$10,$A159,$B159)</f>
        <v>6735548.4044542294</v>
      </c>
      <c r="X159" s="4">
        <f ca="1">_xll.DBRW($B$1,$B$2,$B$7,$B$3,$B$4,$B$5,$F159,$B$6,X$10,$A159,$B159)</f>
        <v>8004860.243095939</v>
      </c>
      <c r="Y159" s="4">
        <f ca="1">_xll.DBRW($B$1,$B$2,$B$7,$B$3,$B$4,$B$5,$F159,$B$6,Y$10,$A159,$B159)</f>
        <v>7875573.0117634581</v>
      </c>
      <c r="Z159" s="4">
        <f ca="1">_xll.DBRW($B$1,$B$2,$B$7,$B$3,$B$4,$B$5,$F159,$B$6,Z$10,$A159,$B159)</f>
        <v>7674307.9530793661</v>
      </c>
      <c r="AA159" s="4">
        <f ca="1">_xll.DBRW($B$1,$B$2,$B$7,$B$3,$B$4,$B$5,$F159,$B$6,AA$10,$A159,$B159)</f>
        <v>7629905.4306856021</v>
      </c>
      <c r="AB159" s="4">
        <f ca="1">_xll.DBRW($B$1,$B$2,$B$7,$B$3,$B$4,$B$5,$F159,$B$6,AB$10,$A159,$B159)</f>
        <v>7989782.1097254921</v>
      </c>
      <c r="AC159" s="4">
        <f ca="1">_xll.DBRW($B$1,$B$2,$B$7,$B$3,$B$4,$B$5,$F159,$B$6,AC$10,$A159,$B159)</f>
        <v>7271526.1893764483</v>
      </c>
      <c r="AD159" s="4">
        <f ca="1">_xll.DBRW($B$1,$B$2,$B$7,$B$3,$B$4,$B$5,$F159,$B$6,AD$10,$A159,$B159)</f>
        <v>6176252.2092492562</v>
      </c>
      <c r="AE159" s="4">
        <f ca="1">_xll.DBRW($B$1,$B$2,$B$7,$B$3,$B$4,$B$5,$F159,$B$6,AE$10,$A159,$B159)</f>
        <v>5718650.5879943883</v>
      </c>
    </row>
    <row r="160" spans="1:31">
      <c r="A160" s="1" t="s">
        <v>153</v>
      </c>
      <c r="B160" s="5" t="s">
        <v>71</v>
      </c>
      <c r="C160" s="5" t="s">
        <v>72</v>
      </c>
      <c r="D160" s="5" t="s">
        <v>73</v>
      </c>
      <c r="E160" s="5" t="s">
        <v>21</v>
      </c>
      <c r="F160" s="5" t="s">
        <v>24</v>
      </c>
      <c r="G160" s="6"/>
      <c r="H160" s="6"/>
      <c r="I160" s="6"/>
      <c r="J160" s="6"/>
      <c r="K160" s="6"/>
      <c r="L160" s="4">
        <f ca="1">_xll.DBRW($B$1,$B$2,$B$7,$B$3,$B$4,$B$5,$F160,$B$6,L$10,$A160,$B160)</f>
        <v>7543462.5</v>
      </c>
      <c r="M160" s="4">
        <f ca="1">_xll.DBRW($B$1,$B$2,$B$7,$B$3,$B$4,$B$5,$F160,$B$6,M$10,$A160,$B160)</f>
        <v>7144941.4227972841</v>
      </c>
      <c r="N160" s="4">
        <f ca="1">_xll.DBRW($B$1,$B$2,$B$7,$B$3,$B$4,$B$5,$F160,$B$6,N$10,$A160,$B160)</f>
        <v>7543462.5</v>
      </c>
      <c r="O160" s="4">
        <f ca="1">_xll.DBRW($B$1,$B$2,$B$7,$B$3,$B$4,$B$5,$F160,$B$6,O$10,$A160,$B160)</f>
        <v>7459646.2500000009</v>
      </c>
      <c r="P160" s="4">
        <f ca="1">_xll.DBRW($B$1,$B$2,$B$7,$B$3,$B$4,$B$5,$F160,$B$6,P$10,$A160,$B160)</f>
        <v>7786799.9999999991</v>
      </c>
      <c r="Q160" s="4">
        <f ca="1">_xll.DBRW($B$1,$B$2,$B$7,$B$3,$B$4,$B$5,$F160,$B$6,Q$10,$A160,$B160)</f>
        <v>6956748.7499999991</v>
      </c>
      <c r="R160" s="4">
        <f ca="1">_xll.DBRW($B$1,$B$2,$B$7,$B$3,$B$4,$B$5,$F160,$B$6,R$10,$A160,$B160)</f>
        <v>5758987.5</v>
      </c>
      <c r="S160" s="4">
        <f ca="1">_xll.DBRW($B$1,$B$2,$B$7,$B$3,$B$4,$B$5,$F160,$B$6,S$10,$A160,$B160)</f>
        <v>5699505.0000000009</v>
      </c>
      <c r="T160" s="4">
        <f ca="1">_xll.DBRW($B$1,$B$2,$B$7,$B$3,$B$4,$B$5,$F160,$B$6,T$10,$A160,$B160)</f>
        <v>5996621.4847981045</v>
      </c>
      <c r="U160" s="4">
        <f ca="1">_xll.DBRW($B$1,$B$2,$B$7,$B$3,$B$4,$B$5,$F160,$B$6,U$10,$A160,$B160)</f>
        <v>5288976.6859980263</v>
      </c>
      <c r="V160" s="4">
        <f ca="1">_xll.DBRW($B$1,$B$2,$B$7,$B$3,$B$4,$B$5,$F160,$B$6,V$10,$A160,$B160)</f>
        <v>6272934.1789853275</v>
      </c>
      <c r="W160" s="4">
        <f ca="1">_xll.DBRW($B$1,$B$2,$B$7,$B$3,$B$4,$B$5,$F160,$B$6,W$10,$A160,$B160)</f>
        <v>6735548.4044542294</v>
      </c>
      <c r="X160" s="4">
        <f ca="1">_xll.DBRW($B$1,$B$2,$B$7,$B$3,$B$4,$B$5,$F160,$B$6,X$10,$A160,$B160)</f>
        <v>8004860.243095939</v>
      </c>
      <c r="Y160" s="4">
        <f ca="1">_xll.DBRW($B$1,$B$2,$B$7,$B$3,$B$4,$B$5,$F160,$B$6,Y$10,$A160,$B160)</f>
        <v>7875573.0117634581</v>
      </c>
      <c r="Z160" s="4">
        <f ca="1">_xll.DBRW($B$1,$B$2,$B$7,$B$3,$B$4,$B$5,$F160,$B$6,Z$10,$A160,$B160)</f>
        <v>7674307.9530793661</v>
      </c>
      <c r="AA160" s="4">
        <f ca="1">_xll.DBRW($B$1,$B$2,$B$7,$B$3,$B$4,$B$5,$F160,$B$6,AA$10,$A160,$B160)</f>
        <v>7629905.4306856021</v>
      </c>
      <c r="AB160" s="4">
        <f ca="1">_xll.DBRW($B$1,$B$2,$B$7,$B$3,$B$4,$B$5,$F160,$B$6,AB$10,$A160,$B160)</f>
        <v>7989782.1097254921</v>
      </c>
      <c r="AC160" s="4">
        <f ca="1">_xll.DBRW($B$1,$B$2,$B$7,$B$3,$B$4,$B$5,$F160,$B$6,AC$10,$A160,$B160)</f>
        <v>7271526.1893764483</v>
      </c>
      <c r="AD160" s="4">
        <f ca="1">_xll.DBRW($B$1,$B$2,$B$7,$B$3,$B$4,$B$5,$F160,$B$6,AD$10,$A160,$B160)</f>
        <v>6176252.2092492562</v>
      </c>
      <c r="AE160" s="4">
        <f ca="1">_xll.DBRW($B$1,$B$2,$B$7,$B$3,$B$4,$B$5,$F160,$B$6,AE$10,$A160,$B160)</f>
        <v>5534177.9883816661</v>
      </c>
    </row>
    <row r="161" spans="1:31">
      <c r="A161" s="1" t="s">
        <v>153</v>
      </c>
      <c r="B161" s="5" t="s">
        <v>192</v>
      </c>
      <c r="C161" s="5" t="s">
        <v>193</v>
      </c>
      <c r="D161" s="5" t="s">
        <v>21</v>
      </c>
      <c r="E161" s="5" t="s">
        <v>194</v>
      </c>
      <c r="F161" s="5" t="s">
        <v>24</v>
      </c>
      <c r="G161" s="6"/>
      <c r="H161" s="6"/>
      <c r="I161" s="6"/>
      <c r="J161" s="6"/>
      <c r="K161" s="6"/>
      <c r="L161" s="4">
        <f ca="1">_xll.DBRW($B$1,$B$2,$B$7,$B$3,$B$4,$B$5,$F161,$B$6,L$10,$A161,$B161)</f>
        <v>1822196.25</v>
      </c>
      <c r="M161" s="4">
        <f ca="1">_xll.DBRW($B$1,$B$2,$B$7,$B$3,$B$4,$B$5,$F161,$B$6,M$10,$A161,$B161)</f>
        <v>1793027.0766054017</v>
      </c>
      <c r="N161" s="4">
        <f ca="1">_xll.DBRW($B$1,$B$2,$B$7,$B$3,$B$4,$B$5,$F161,$B$6,N$10,$A161,$B161)</f>
        <v>1992267.9</v>
      </c>
      <c r="O161" s="4">
        <f ca="1">_xll.DBRW($B$1,$B$2,$B$7,$B$3,$B$4,$B$5,$F161,$B$6,O$10,$A161,$B161)</f>
        <v>1749308.4</v>
      </c>
      <c r="P161" s="4">
        <f ca="1">_xll.DBRW($B$1,$B$2,$B$7,$B$3,$B$4,$B$5,$F161,$B$6,P$10,$A161,$B161)</f>
        <v>2162339.5499999998</v>
      </c>
      <c r="Q161" s="4">
        <f ca="1">_xll.DBRW($B$1,$B$2,$B$7,$B$3,$B$4,$B$5,$F161,$B$6,Q$10,$A161,$B161)</f>
        <v>2642859.4500000002</v>
      </c>
      <c r="R161" s="4">
        <f ca="1">_xll.DBRW($B$1,$B$2,$B$7,$B$3,$B$4,$B$5,$F161,$B$6,R$10,$A161,$B161)</f>
        <v>2591568</v>
      </c>
      <c r="S161" s="4">
        <f ca="1">_xll.DBRW($B$1,$B$2,$B$7,$B$3,$B$4,$B$5,$F161,$B$6,S$10,$A161,$B161)</f>
        <v>2721146.4000000004</v>
      </c>
      <c r="T161" s="4">
        <f ca="1">_xll.DBRW($B$1,$B$2,$B$7,$B$3,$B$4,$B$5,$F161,$B$6,T$10,$A161,$B161)</f>
        <v>3293715.0723626739</v>
      </c>
      <c r="U161" s="4">
        <f ca="1">_xll.DBRW($B$1,$B$2,$B$7,$B$3,$B$4,$B$5,$F161,$B$6,U$10,$A161,$B161)</f>
        <v>2871715.0155428173</v>
      </c>
      <c r="V161" s="4">
        <f ca="1">_xll.DBRW($B$1,$B$2,$B$7,$B$3,$B$4,$B$5,$F161,$B$6,V$10,$A161,$B161)</f>
        <v>3266498.6228635586</v>
      </c>
      <c r="W161" s="4">
        <f ca="1">_xll.DBRW($B$1,$B$2,$B$7,$B$3,$B$4,$B$5,$F161,$B$6,W$10,$A161,$B161)</f>
        <v>1958106.0713717926</v>
      </c>
      <c r="X161" s="4">
        <f ca="1">_xll.DBRW($B$1,$B$2,$B$7,$B$3,$B$4,$B$5,$F161,$B$6,X$10,$A161,$B161)</f>
        <v>2291385.9238049709</v>
      </c>
      <c r="Y161" s="4">
        <f ca="1">_xll.DBRW($B$1,$B$2,$B$7,$B$3,$B$4,$B$5,$F161,$B$6,Y$10,$A161,$B161)</f>
        <v>2351928.241955006</v>
      </c>
      <c r="Z161" s="4">
        <f ca="1">_xll.DBRW($B$1,$B$2,$B$7,$B$3,$B$4,$B$5,$F161,$B$6,Z$10,$A161,$B161)</f>
        <v>2042696.3432608694</v>
      </c>
      <c r="AA161" s="4">
        <f ca="1">_xll.DBRW($B$1,$B$2,$B$7,$B$3,$B$4,$B$5,$F161,$B$6,AA$10,$A161,$B161)</f>
        <v>2189471.029003297</v>
      </c>
      <c r="AB161" s="4">
        <f ca="1">_xll.DBRW($B$1,$B$2,$B$7,$B$3,$B$4,$B$5,$F161,$B$6,AB$10,$A161,$B161)</f>
        <v>2401735.0390277323</v>
      </c>
      <c r="AC161" s="4">
        <f ca="1">_xll.DBRW($B$1,$B$2,$B$7,$B$3,$B$4,$B$5,$F161,$B$6,AC$10,$A161,$B161)</f>
        <v>2673955.8714662194</v>
      </c>
      <c r="AD161" s="4">
        <f ca="1">_xll.DBRW($B$1,$B$2,$B$7,$B$3,$B$4,$B$5,$F161,$B$6,AD$10,$A161,$B161)</f>
        <v>3008414.8032482346</v>
      </c>
      <c r="AE161" s="4">
        <f ca="1">_xll.DBRW($B$1,$B$2,$B$7,$B$3,$B$4,$B$5,$F161,$B$6,AE$10,$A161,$B161)</f>
        <v>3008086.5717873843</v>
      </c>
    </row>
    <row r="162" spans="1:31">
      <c r="A162" s="1" t="s">
        <v>153</v>
      </c>
      <c r="B162" s="5" t="s">
        <v>195</v>
      </c>
      <c r="C162" s="5" t="s">
        <v>196</v>
      </c>
      <c r="D162" s="5" t="s">
        <v>194</v>
      </c>
      <c r="E162" s="5" t="s">
        <v>21</v>
      </c>
      <c r="F162" s="5" t="s">
        <v>24</v>
      </c>
      <c r="G162" s="6"/>
      <c r="H162" s="6"/>
      <c r="I162" s="6"/>
      <c r="J162" s="6"/>
      <c r="K162" s="6"/>
      <c r="L162" s="4">
        <f ca="1">_xll.DBRW($B$1,$B$2,$B$7,$B$3,$B$4,$B$5,$F162,$B$6,L$10,$A162,$B162)</f>
        <v>1822196.25</v>
      </c>
      <c r="M162" s="4">
        <f ca="1">_xll.DBRW($B$1,$B$2,$B$7,$B$3,$B$4,$B$5,$F162,$B$6,M$10,$A162,$B162)</f>
        <v>1793027.0766054017</v>
      </c>
      <c r="N162" s="4">
        <f ca="1">_xll.DBRW($B$1,$B$2,$B$7,$B$3,$B$4,$B$5,$F162,$B$6,N$10,$A162,$B162)</f>
        <v>1992267.9</v>
      </c>
      <c r="O162" s="4">
        <f ca="1">_xll.DBRW($B$1,$B$2,$B$7,$B$3,$B$4,$B$5,$F162,$B$6,O$10,$A162,$B162)</f>
        <v>1749308.4</v>
      </c>
      <c r="P162" s="4">
        <f ca="1">_xll.DBRW($B$1,$B$2,$B$7,$B$3,$B$4,$B$5,$F162,$B$6,P$10,$A162,$B162)</f>
        <v>2162339.5499999998</v>
      </c>
      <c r="Q162" s="4">
        <f ca="1">_xll.DBRW($B$1,$B$2,$B$7,$B$3,$B$4,$B$5,$F162,$B$6,Q$10,$A162,$B162)</f>
        <v>2402599.5</v>
      </c>
      <c r="R162" s="4">
        <f ca="1">_xll.DBRW($B$1,$B$2,$B$7,$B$3,$B$4,$B$5,$F162,$B$6,R$10,$A162,$B162)</f>
        <v>2591568</v>
      </c>
      <c r="S162" s="4">
        <f ca="1">_xll.DBRW($B$1,$B$2,$B$7,$B$3,$B$4,$B$5,$F162,$B$6,S$10,$A162,$B162)</f>
        <v>2721146.4000000004</v>
      </c>
      <c r="T162" s="4">
        <f ca="1">_xll.DBRW($B$1,$B$2,$B$7,$B$3,$B$4,$B$5,$F162,$B$6,T$10,$A162,$B162)</f>
        <v>3293715.0723626739</v>
      </c>
      <c r="U162" s="4">
        <f ca="1">_xll.DBRW($B$1,$B$2,$B$7,$B$3,$B$4,$B$5,$F162,$B$6,U$10,$A162,$B162)</f>
        <v>2871715.0155428173</v>
      </c>
      <c r="V162" s="4">
        <f ca="1">_xll.DBRW($B$1,$B$2,$B$7,$B$3,$B$4,$B$5,$F162,$B$6,V$10,$A162,$B162)</f>
        <v>3266498.6228635586</v>
      </c>
      <c r="W162" s="4">
        <f ca="1">_xll.DBRW($B$1,$B$2,$B$7,$B$3,$B$4,$B$5,$F162,$B$6,W$10,$A162,$B162)</f>
        <v>1958106.0713717926</v>
      </c>
      <c r="X162" s="4">
        <f ca="1">_xll.DBRW($B$1,$B$2,$B$7,$B$3,$B$4,$B$5,$F162,$B$6,X$10,$A162,$B162)</f>
        <v>2291385.9238049709</v>
      </c>
      <c r="Y162" s="4">
        <f ca="1">_xll.DBRW($B$1,$B$2,$B$7,$B$3,$B$4,$B$5,$F162,$B$6,Y$10,$A162,$B162)</f>
        <v>2351928.241955006</v>
      </c>
      <c r="Z162" s="4">
        <f ca="1">_xll.DBRW($B$1,$B$2,$B$7,$B$3,$B$4,$B$5,$F162,$B$6,Z$10,$A162,$B162)</f>
        <v>2042696.3432608694</v>
      </c>
      <c r="AA162" s="4">
        <f ca="1">_xll.DBRW($B$1,$B$2,$B$7,$B$3,$B$4,$B$5,$F162,$B$6,AA$10,$A162,$B162)</f>
        <v>2189471.029003297</v>
      </c>
      <c r="AB162" s="4">
        <f ca="1">_xll.DBRW($B$1,$B$2,$B$7,$B$3,$B$4,$B$5,$F162,$B$6,AB$10,$A162,$B162)</f>
        <v>2401735.0390277323</v>
      </c>
      <c r="AC162" s="4">
        <f ca="1">_xll.DBRW($B$1,$B$2,$B$7,$B$3,$B$4,$B$5,$F162,$B$6,AC$10,$A162,$B162)</f>
        <v>2673955.8714662194</v>
      </c>
      <c r="AD162" s="4">
        <f ca="1">_xll.DBRW($B$1,$B$2,$B$7,$B$3,$B$4,$B$5,$F162,$B$6,AD$10,$A162,$B162)</f>
        <v>3008414.8032482346</v>
      </c>
      <c r="AE162" s="4">
        <f ca="1">_xll.DBRW($B$1,$B$2,$B$7,$B$3,$B$4,$B$5,$F162,$B$6,AE$10,$A162,$B162)</f>
        <v>3008086.5717873843</v>
      </c>
    </row>
    <row r="163" spans="1:31">
      <c r="A163" s="1" t="s">
        <v>153</v>
      </c>
      <c r="B163" s="5" t="s">
        <v>197</v>
      </c>
      <c r="C163" s="5" t="s">
        <v>198</v>
      </c>
      <c r="D163" s="5" t="s">
        <v>28</v>
      </c>
      <c r="E163" s="5" t="s">
        <v>20</v>
      </c>
      <c r="F163" s="5" t="s">
        <v>24</v>
      </c>
      <c r="G163" s="6"/>
      <c r="H163" s="6"/>
      <c r="I163" s="6"/>
      <c r="J163" s="6"/>
      <c r="K163" s="6"/>
      <c r="L163" s="4">
        <f ca="1">_xll.DBRW($B$1,$B$2,$B$7,$B$3,$B$4,$B$5,$F163,$B$6,L$10,$A163,$B163)</f>
        <v>8538917.7599999998</v>
      </c>
      <c r="M163" s="4">
        <f ca="1">_xll.DBRW($B$1,$B$2,$B$7,$B$3,$B$4,$B$5,$F163,$B$6,M$10,$A163,$B163)</f>
        <v>8049339.2166426796</v>
      </c>
      <c r="N163" s="4">
        <f ca="1">_xll.DBRW($B$1,$B$2,$B$7,$B$3,$B$4,$B$5,$F163,$B$6,N$10,$A163,$B163)</f>
        <v>7557432.96</v>
      </c>
      <c r="O163" s="4">
        <f ca="1">_xll.DBRW($B$1,$B$2,$B$7,$B$3,$B$4,$B$5,$F163,$B$6,O$10,$A163,$B163)</f>
        <v>7753729.9199999999</v>
      </c>
      <c r="P163" s="4">
        <f ca="1">_xll.DBRW($B$1,$B$2,$B$7,$B$3,$B$4,$B$5,$F163,$B$6,P$10,$A163,$B163)</f>
        <v>8358451.2000000002</v>
      </c>
      <c r="Q163" s="4">
        <f ca="1">_xll.DBRW($B$1,$B$2,$B$7,$B$3,$B$4,$B$5,$F163,$B$6,Q$10,$A163,$B163)</f>
        <v>7789612.1600000001</v>
      </c>
      <c r="R163" s="4">
        <f ca="1">_xll.DBRW($B$1,$B$2,$B$7,$B$3,$B$4,$B$5,$F163,$B$6,R$10,$A163,$B163)</f>
        <v>5477318.4000000004</v>
      </c>
      <c r="S163" s="4">
        <f ca="1">_xll.DBRW($B$1,$B$2,$B$7,$B$3,$B$4,$B$5,$F163,$B$6,S$10,$A163,$B163)</f>
        <v>4874707.84</v>
      </c>
      <c r="T163" s="4">
        <f ca="1">_xll.DBRW($B$1,$B$2,$B$7,$B$3,$B$4,$B$5,$F163,$B$6,T$10,$A163,$B163)</f>
        <v>5456523.9938454386</v>
      </c>
      <c r="U163" s="4">
        <f ca="1">_xll.DBRW($B$1,$B$2,$B$7,$B$3,$B$4,$B$5,$F163,$B$6,U$10,$A163,$B163)</f>
        <v>4612593.9072470795</v>
      </c>
      <c r="V163" s="4">
        <f ca="1">_xll.DBRW($B$1,$B$2,$B$7,$B$3,$B$4,$B$5,$F163,$B$6,V$10,$A163,$B163)</f>
        <v>6263130.9329036139</v>
      </c>
      <c r="W163" s="4">
        <f ca="1">_xll.DBRW($B$1,$B$2,$B$7,$B$3,$B$4,$B$5,$F163,$B$6,W$10,$A163,$B163)</f>
        <v>8373547.2326273248</v>
      </c>
      <c r="X163" s="4">
        <f ca="1">_xll.DBRW($B$1,$B$2,$B$7,$B$3,$B$4,$B$5,$F163,$B$6,X$10,$A163,$B163)</f>
        <v>8553084.4827567898</v>
      </c>
      <c r="Y163" s="4">
        <f ca="1">_xll.DBRW($B$1,$B$2,$B$7,$B$3,$B$4,$B$5,$F163,$B$6,Y$10,$A163,$B163)</f>
        <v>8575415.8289021272</v>
      </c>
      <c r="Z163" s="4">
        <f ca="1">_xll.DBRW($B$1,$B$2,$B$7,$B$3,$B$4,$B$5,$F163,$B$6,Z$10,$A163,$B163)</f>
        <v>8855131.5228507426</v>
      </c>
      <c r="AA163" s="4">
        <f ca="1">_xll.DBRW($B$1,$B$2,$B$7,$B$3,$B$4,$B$5,$F163,$B$6,AA$10,$A163,$B163)</f>
        <v>8467733.0149135385</v>
      </c>
      <c r="AB163" s="4">
        <f ca="1">_xll.DBRW($B$1,$B$2,$B$7,$B$3,$B$4,$B$5,$F163,$B$6,AB$10,$A163,$B163)</f>
        <v>8378588.8050266262</v>
      </c>
      <c r="AC163" s="4">
        <f ca="1">_xll.DBRW($B$1,$B$2,$B$7,$B$3,$B$4,$B$5,$F163,$B$6,AC$10,$A163,$B163)</f>
        <v>8112739.085770797</v>
      </c>
      <c r="AD163" s="4">
        <f ca="1">_xll.DBRW($B$1,$B$2,$B$7,$B$3,$B$4,$B$5,$F163,$B$6,AD$10,$A163,$B163)</f>
        <v>5590065.5741342977</v>
      </c>
      <c r="AE163" s="4">
        <f ca="1">_xll.DBRW($B$1,$B$2,$B$7,$B$3,$B$4,$B$5,$F163,$B$6,AE$10,$A163,$B163)</f>
        <v>5819462.771912056</v>
      </c>
    </row>
    <row r="164" spans="1:31">
      <c r="A164" s="1" t="s">
        <v>153</v>
      </c>
      <c r="B164" s="5" t="s">
        <v>26</v>
      </c>
      <c r="C164" s="5" t="s">
        <v>27</v>
      </c>
      <c r="D164" s="5" t="s">
        <v>20</v>
      </c>
      <c r="E164" s="5" t="s">
        <v>28</v>
      </c>
      <c r="F164" s="5" t="s">
        <v>24</v>
      </c>
      <c r="G164" s="6"/>
      <c r="H164" s="6"/>
      <c r="I164" s="6"/>
      <c r="J164" s="6"/>
      <c r="K164" s="6"/>
      <c r="L164" s="4">
        <f ca="1">_xll.DBRW($B$1,$B$2,$B$7,$B$3,$B$4,$B$5,$F164,$B$6,L$10,$A164,$B164)</f>
        <v>8538917.7599999998</v>
      </c>
      <c r="M164" s="4">
        <f ca="1">_xll.DBRW($B$1,$B$2,$B$7,$B$3,$B$4,$B$5,$F164,$B$6,M$10,$A164,$B164)</f>
        <v>8049339.2166426796</v>
      </c>
      <c r="N164" s="4">
        <f ca="1">_xll.DBRW($B$1,$B$2,$B$7,$B$3,$B$4,$B$5,$F164,$B$6,N$10,$A164,$B164)</f>
        <v>7557432.96</v>
      </c>
      <c r="O164" s="4">
        <f ca="1">_xll.DBRW($B$1,$B$2,$B$7,$B$3,$B$4,$B$5,$F164,$B$6,O$10,$A164,$B164)</f>
        <v>7753729.9199999999</v>
      </c>
      <c r="P164" s="4">
        <f ca="1">_xll.DBRW($B$1,$B$2,$B$7,$B$3,$B$4,$B$5,$F164,$B$6,P$10,$A164,$B164)</f>
        <v>8358451.2000000002</v>
      </c>
      <c r="Q164" s="4">
        <f ca="1">_xll.DBRW($B$1,$B$2,$B$7,$B$3,$B$4,$B$5,$F164,$B$6,Q$10,$A164,$B164)</f>
        <v>7789612.1600000001</v>
      </c>
      <c r="R164" s="4">
        <f ca="1">_xll.DBRW($B$1,$B$2,$B$7,$B$3,$B$4,$B$5,$F164,$B$6,R$10,$A164,$B164)</f>
        <v>5477318.4000000004</v>
      </c>
      <c r="S164" s="4">
        <f ca="1">_xll.DBRW($B$1,$B$2,$B$7,$B$3,$B$4,$B$5,$F164,$B$6,S$10,$A164,$B164)</f>
        <v>4874707.84</v>
      </c>
      <c r="T164" s="4">
        <f ca="1">_xll.DBRW($B$1,$B$2,$B$7,$B$3,$B$4,$B$5,$F164,$B$6,T$10,$A164,$B164)</f>
        <v>5456523.9938454386</v>
      </c>
      <c r="U164" s="4">
        <f ca="1">_xll.DBRW($B$1,$B$2,$B$7,$B$3,$B$4,$B$5,$F164,$B$6,U$10,$A164,$B164)</f>
        <v>4612593.9072470795</v>
      </c>
      <c r="V164" s="4">
        <f ca="1">_xll.DBRW($B$1,$B$2,$B$7,$B$3,$B$4,$B$5,$F164,$B$6,V$10,$A164,$B164)</f>
        <v>6263130.9329036139</v>
      </c>
      <c r="W164" s="4">
        <f ca="1">_xll.DBRW($B$1,$B$2,$B$7,$B$3,$B$4,$B$5,$F164,$B$6,W$10,$A164,$B164)</f>
        <v>8373547.2326273248</v>
      </c>
      <c r="X164" s="4">
        <f ca="1">_xll.DBRW($B$1,$B$2,$B$7,$B$3,$B$4,$B$5,$F164,$B$6,X$10,$A164,$B164)</f>
        <v>8553084.4827567898</v>
      </c>
      <c r="Y164" s="4">
        <f ca="1">_xll.DBRW($B$1,$B$2,$B$7,$B$3,$B$4,$B$5,$F164,$B$6,Y$10,$A164,$B164)</f>
        <v>8575415.8289021272</v>
      </c>
      <c r="Z164" s="4">
        <f ca="1">_xll.DBRW($B$1,$B$2,$B$7,$B$3,$B$4,$B$5,$F164,$B$6,Z$10,$A164,$B164)</f>
        <v>8855131.5228507426</v>
      </c>
      <c r="AA164" s="4">
        <f ca="1">_xll.DBRW($B$1,$B$2,$B$7,$B$3,$B$4,$B$5,$F164,$B$6,AA$10,$A164,$B164)</f>
        <v>8467733.0149135385</v>
      </c>
      <c r="AB164" s="4">
        <f ca="1">_xll.DBRW($B$1,$B$2,$B$7,$B$3,$B$4,$B$5,$F164,$B$6,AB$10,$A164,$B164)</f>
        <v>8378588.8050266262</v>
      </c>
      <c r="AC164" s="4">
        <f ca="1">_xll.DBRW($B$1,$B$2,$B$7,$B$3,$B$4,$B$5,$F164,$B$6,AC$10,$A164,$B164)</f>
        <v>8112739.085770797</v>
      </c>
      <c r="AD164" s="4">
        <f ca="1">_xll.DBRW($B$1,$B$2,$B$7,$B$3,$B$4,$B$5,$F164,$B$6,AD$10,$A164,$B164)</f>
        <v>5590065.5741342977</v>
      </c>
      <c r="AE164" s="4">
        <f ca="1">_xll.DBRW($B$1,$B$2,$B$7,$B$3,$B$4,$B$5,$F164,$B$6,AE$10,$A164,$B164)</f>
        <v>5554941.7368251439</v>
      </c>
    </row>
    <row r="165" spans="1:31">
      <c r="A165" s="1" t="s">
        <v>153</v>
      </c>
      <c r="B165" s="5" t="s">
        <v>199</v>
      </c>
      <c r="C165" s="5" t="s">
        <v>189</v>
      </c>
      <c r="D165" s="5" t="s">
        <v>21</v>
      </c>
      <c r="E165" s="5" t="s">
        <v>20</v>
      </c>
      <c r="F165" s="5" t="s">
        <v>24</v>
      </c>
      <c r="G165" s="6"/>
      <c r="H165" s="6"/>
      <c r="I165" s="6"/>
      <c r="J165" s="6"/>
      <c r="K165" s="6"/>
      <c r="L165" s="4">
        <f ca="1">_xll.DBRW($B$1,$B$2,$B$7,$B$3,$B$4,$B$5,$F165,$B$6,L$10,$A165,$B165)</f>
        <v>0</v>
      </c>
      <c r="M165" s="4">
        <f ca="1">_xll.DBRW($B$1,$B$2,$B$7,$B$3,$B$4,$B$5,$F165,$B$6,M$10,$A165,$B165)</f>
        <v>0</v>
      </c>
      <c r="N165" s="4">
        <f ca="1">_xll.DBRW($B$1,$B$2,$B$7,$B$3,$B$4,$B$5,$F165,$B$6,N$10,$A165,$B165)</f>
        <v>0</v>
      </c>
      <c r="O165" s="4">
        <f ca="1">_xll.DBRW($B$1,$B$2,$B$7,$B$3,$B$4,$B$5,$F165,$B$6,O$10,$A165,$B165)</f>
        <v>316845.76</v>
      </c>
      <c r="P165" s="4">
        <f ca="1">_xll.DBRW($B$1,$B$2,$B$7,$B$3,$B$4,$B$5,$F165,$B$6,P$10,$A165,$B165)</f>
        <v>0</v>
      </c>
      <c r="Q165" s="4">
        <f ca="1">_xll.DBRW($B$1,$B$2,$B$7,$B$3,$B$4,$B$5,$F165,$B$6,Q$10,$A165,$B165)</f>
        <v>0</v>
      </c>
      <c r="R165" s="4">
        <f ca="1">_xll.DBRW($B$1,$B$2,$B$7,$B$3,$B$4,$B$5,$F165,$B$6,R$10,$A165,$B165)</f>
        <v>0</v>
      </c>
      <c r="S165" s="4">
        <f ca="1">_xll.DBRW($B$1,$B$2,$B$7,$B$3,$B$4,$B$5,$F165,$B$6,S$10,$A165,$B165)</f>
        <v>0</v>
      </c>
      <c r="T165" s="4">
        <f ca="1">_xll.DBRW($B$1,$B$2,$B$7,$B$3,$B$4,$B$5,$F165,$B$6,T$10,$A165,$B165)</f>
        <v>0</v>
      </c>
      <c r="U165" s="4">
        <f ca="1">_xll.DBRW($B$1,$B$2,$B$7,$B$3,$B$4,$B$5,$F165,$B$6,U$10,$A165,$B165)</f>
        <v>0</v>
      </c>
      <c r="V165" s="4">
        <f ca="1">_xll.DBRW($B$1,$B$2,$B$7,$B$3,$B$4,$B$5,$F165,$B$6,V$10,$A165,$B165)</f>
        <v>554419.78910282778</v>
      </c>
      <c r="W165" s="4">
        <f ca="1">_xll.DBRW($B$1,$B$2,$B$7,$B$3,$B$4,$B$5,$F165,$B$6,W$10,$A165,$B165)</f>
        <v>8323135.7647914849</v>
      </c>
      <c r="X165" s="4">
        <f ca="1">_xll.DBRW($B$1,$B$2,$B$7,$B$3,$B$4,$B$5,$F165,$B$6,X$10,$A165,$B165)</f>
        <v>8923084.0348883327</v>
      </c>
      <c r="Y165" s="4">
        <f ca="1">_xll.DBRW($B$1,$B$2,$B$7,$B$3,$B$4,$B$5,$F165,$B$6,Y$10,$A165,$B165)</f>
        <v>8852729.4642128106</v>
      </c>
      <c r="Z165" s="4">
        <f ca="1">_xll.DBRW($B$1,$B$2,$B$7,$B$3,$B$4,$B$5,$F165,$B$6,Z$10,$A165,$B165)</f>
        <v>8682617.7368036676</v>
      </c>
      <c r="AA165" s="4">
        <f ca="1">_xll.DBRW($B$1,$B$2,$B$7,$B$3,$B$4,$B$5,$F165,$B$6,AA$10,$A165,$B165)</f>
        <v>7906392.0201473022</v>
      </c>
      <c r="AB165" s="4">
        <f ca="1">_xll.DBRW($B$1,$B$2,$B$7,$B$3,$B$4,$B$5,$F165,$B$6,AB$10,$A165,$B165)</f>
        <v>8276901.3995122919</v>
      </c>
      <c r="AC165" s="4">
        <f ca="1">_xll.DBRW($B$1,$B$2,$B$7,$B$3,$B$4,$B$5,$F165,$B$6,AC$10,$A165,$B165)</f>
        <v>6319956.9849599162</v>
      </c>
      <c r="AD165" s="4">
        <f ca="1">_xll.DBRW($B$1,$B$2,$B$7,$B$3,$B$4,$B$5,$F165,$B$6,AD$10,$A165,$B165)</f>
        <v>0</v>
      </c>
      <c r="AE165" s="4">
        <f ca="1">_xll.DBRW($B$1,$B$2,$B$7,$B$3,$B$4,$B$5,$F165,$B$6,AE$10,$A165,$B165)</f>
        <v>0</v>
      </c>
    </row>
    <row r="166" spans="1:31">
      <c r="A166" s="1" t="s">
        <v>153</v>
      </c>
      <c r="B166" s="5" t="s">
        <v>23</v>
      </c>
      <c r="C166" s="5" t="s">
        <v>19</v>
      </c>
      <c r="D166" s="5" t="s">
        <v>20</v>
      </c>
      <c r="E166" s="5" t="s">
        <v>21</v>
      </c>
      <c r="F166" s="5" t="s">
        <v>24</v>
      </c>
      <c r="G166" s="6"/>
      <c r="H166" s="6"/>
      <c r="I166" s="6"/>
      <c r="J166" s="6"/>
      <c r="K166" s="6"/>
      <c r="L166" s="4">
        <f ca="1">_xll.DBRW($B$1,$B$2,$B$7,$B$3,$B$4,$B$5,$F166,$B$6,L$10,$A166,$B166)</f>
        <v>0</v>
      </c>
      <c r="M166" s="4">
        <f ca="1">_xll.DBRW($B$1,$B$2,$B$7,$B$3,$B$4,$B$5,$F166,$B$6,M$10,$A166,$B166)</f>
        <v>0</v>
      </c>
      <c r="N166" s="4">
        <f ca="1">_xll.DBRW($B$1,$B$2,$B$7,$B$3,$B$4,$B$5,$F166,$B$6,N$10,$A166,$B166)</f>
        <v>0</v>
      </c>
      <c r="O166" s="4">
        <f ca="1">_xll.DBRW($B$1,$B$2,$B$7,$B$3,$B$4,$B$5,$F166,$B$6,O$10,$A166,$B166)</f>
        <v>0</v>
      </c>
      <c r="P166" s="4">
        <f ca="1">_xll.DBRW($B$1,$B$2,$B$7,$B$3,$B$4,$B$5,$F166,$B$6,P$10,$A166,$B166)</f>
        <v>0</v>
      </c>
      <c r="Q166" s="4">
        <f ca="1">_xll.DBRW($B$1,$B$2,$B$7,$B$3,$B$4,$B$5,$F166,$B$6,Q$10,$A166,$B166)</f>
        <v>0</v>
      </c>
      <c r="R166" s="4">
        <f ca="1">_xll.DBRW($B$1,$B$2,$B$7,$B$3,$B$4,$B$5,$F166,$B$6,R$10,$A166,$B166)</f>
        <v>0</v>
      </c>
      <c r="S166" s="4">
        <f ca="1">_xll.DBRW($B$1,$B$2,$B$7,$B$3,$B$4,$B$5,$F166,$B$6,S$10,$A166,$B166)</f>
        <v>0</v>
      </c>
      <c r="T166" s="4">
        <f ca="1">_xll.DBRW($B$1,$B$2,$B$7,$B$3,$B$4,$B$5,$F166,$B$6,T$10,$A166,$B166)</f>
        <v>0</v>
      </c>
      <c r="U166" s="4">
        <f ca="1">_xll.DBRW($B$1,$B$2,$B$7,$B$3,$B$4,$B$5,$F166,$B$6,U$10,$A166,$B166)</f>
        <v>0</v>
      </c>
      <c r="V166" s="4">
        <f ca="1">_xll.DBRW($B$1,$B$2,$B$7,$B$3,$B$4,$B$5,$F166,$B$6,V$10,$A166,$B166)</f>
        <v>554419.78910282778</v>
      </c>
      <c r="W166" s="4">
        <f ca="1">_xll.DBRW($B$1,$B$2,$B$7,$B$3,$B$4,$B$5,$F166,$B$6,W$10,$A166,$B166)</f>
        <v>8323135.7647914849</v>
      </c>
      <c r="X166" s="4">
        <f ca="1">_xll.DBRW($B$1,$B$2,$B$7,$B$3,$B$4,$B$5,$F166,$B$6,X$10,$A166,$B166)</f>
        <v>8923084.0348883327</v>
      </c>
      <c r="Y166" s="4">
        <f ca="1">_xll.DBRW($B$1,$B$2,$B$7,$B$3,$B$4,$B$5,$F166,$B$6,Y$10,$A166,$B166)</f>
        <v>8852729.4642128106</v>
      </c>
      <c r="Z166" s="4">
        <f ca="1">_xll.DBRW($B$1,$B$2,$B$7,$B$3,$B$4,$B$5,$F166,$B$6,Z$10,$A166,$B166)</f>
        <v>8682617.7368036676</v>
      </c>
      <c r="AA166" s="4">
        <f ca="1">_xll.DBRW($B$1,$B$2,$B$7,$B$3,$B$4,$B$5,$F166,$B$6,AA$10,$A166,$B166)</f>
        <v>7906392.0201473022</v>
      </c>
      <c r="AB166" s="4">
        <f ca="1">_xll.DBRW($B$1,$B$2,$B$7,$B$3,$B$4,$B$5,$F166,$B$6,AB$10,$A166,$B166)</f>
        <v>8276901.3995122919</v>
      </c>
      <c r="AC166" s="4">
        <f ca="1">_xll.DBRW($B$1,$B$2,$B$7,$B$3,$B$4,$B$5,$F166,$B$6,AC$10,$A166,$B166)</f>
        <v>6319956.9849599162</v>
      </c>
      <c r="AD166" s="4">
        <f ca="1">_xll.DBRW($B$1,$B$2,$B$7,$B$3,$B$4,$B$5,$F166,$B$6,AD$10,$A166,$B166)</f>
        <v>0</v>
      </c>
      <c r="AE166" s="4">
        <f ca="1">_xll.DBRW($B$1,$B$2,$B$7,$B$3,$B$4,$B$5,$F166,$B$6,AE$10,$A166,$B166)</f>
        <v>0</v>
      </c>
    </row>
    <row r="167" spans="1:31">
      <c r="A167" s="1" t="s">
        <v>153</v>
      </c>
      <c r="B167" s="5" t="s">
        <v>200</v>
      </c>
      <c r="C167" s="5" t="s">
        <v>161</v>
      </c>
      <c r="D167" s="5" t="s">
        <v>21</v>
      </c>
      <c r="E167" s="5" t="s">
        <v>69</v>
      </c>
      <c r="F167" s="5" t="s">
        <v>24</v>
      </c>
      <c r="G167" s="6"/>
      <c r="H167" s="6"/>
      <c r="I167" s="6"/>
      <c r="J167" s="6"/>
      <c r="K167" s="6"/>
      <c r="L167" s="4">
        <f ca="1">_xll.DBRW($B$1,$B$2,$B$7,$B$3,$B$4,$B$5,$F167,$B$6,L$10,$A167,$B167)</f>
        <v>5981640.0000000009</v>
      </c>
      <c r="M167" s="4">
        <f ca="1">_xll.DBRW($B$1,$B$2,$B$7,$B$3,$B$4,$B$5,$F167,$B$6,M$10,$A167,$B167)</f>
        <v>5781303.2748902095</v>
      </c>
      <c r="N167" s="4">
        <f ca="1">_xll.DBRW($B$1,$B$2,$B$7,$B$3,$B$4,$B$5,$F167,$B$6,N$10,$A167,$B167)</f>
        <v>6258290.8500000006</v>
      </c>
      <c r="O167" s="4">
        <f ca="1">_xll.DBRW($B$1,$B$2,$B$7,$B$3,$B$4,$B$5,$F167,$B$6,O$10,$A167,$B167)</f>
        <v>6181028</v>
      </c>
      <c r="P167" s="4">
        <f ca="1">_xll.DBRW($B$1,$B$2,$B$7,$B$3,$B$4,$B$5,$F167,$B$6,P$10,$A167,$B167)</f>
        <v>5533016.9999999991</v>
      </c>
      <c r="Q167" s="4">
        <f ca="1">_xll.DBRW($B$1,$B$2,$B$7,$B$3,$B$4,$B$5,$F167,$B$6,Q$10,$A167,$B167)</f>
        <v>7021306</v>
      </c>
      <c r="R167" s="4">
        <f ca="1">_xll.DBRW($B$1,$B$2,$B$7,$B$3,$B$4,$B$5,$F167,$B$6,R$10,$A167,$B167)</f>
        <v>8837161</v>
      </c>
      <c r="S167" s="4">
        <f ca="1">_xll.DBRW($B$1,$B$2,$B$7,$B$3,$B$4,$B$5,$F167,$B$6,S$10,$A167,$B167)</f>
        <v>8960211.879999999</v>
      </c>
      <c r="T167" s="4">
        <f ca="1">_xll.DBRW($B$1,$B$2,$B$7,$B$3,$B$4,$B$5,$F167,$B$6,T$10,$A167,$B167)</f>
        <v>9585308.0404755175</v>
      </c>
      <c r="U167" s="4">
        <f ca="1">_xll.DBRW($B$1,$B$2,$B$7,$B$3,$B$4,$B$5,$F167,$B$6,U$10,$A167,$B167)</f>
        <v>8283705.4472802747</v>
      </c>
      <c r="V167" s="4">
        <f ca="1">_xll.DBRW($B$1,$B$2,$B$7,$B$3,$B$4,$B$5,$F167,$B$6,V$10,$A167,$B167)</f>
        <v>9699434.9314322919</v>
      </c>
      <c r="W167" s="4">
        <f ca="1">_xll.DBRW($B$1,$B$2,$B$7,$B$3,$B$4,$B$5,$F167,$B$6,W$10,$A167,$B167)</f>
        <v>6727000.1644365229</v>
      </c>
      <c r="X167" s="4">
        <f ca="1">_xll.DBRW($B$1,$B$2,$B$7,$B$3,$B$4,$B$5,$F167,$B$6,X$10,$A167,$B167)</f>
        <v>6876718.3467505155</v>
      </c>
      <c r="Y167" s="4">
        <f ca="1">_xll.DBRW($B$1,$B$2,$B$7,$B$3,$B$4,$B$5,$F167,$B$6,Y$10,$A167,$B167)</f>
        <v>6965727.1312409956</v>
      </c>
      <c r="Z167" s="4">
        <f ca="1">_xll.DBRW($B$1,$B$2,$B$7,$B$3,$B$4,$B$5,$F167,$B$6,Z$10,$A167,$B167)</f>
        <v>7110190.3923824616</v>
      </c>
      <c r="AA167" s="4">
        <f ca="1">_xll.DBRW($B$1,$B$2,$B$7,$B$3,$B$4,$B$5,$F167,$B$6,AA$10,$A167,$B167)</f>
        <v>6521362.0757983886</v>
      </c>
      <c r="AB167" s="4">
        <f ca="1">_xll.DBRW($B$1,$B$2,$B$7,$B$3,$B$4,$B$5,$F167,$B$6,AB$10,$A167,$B167)</f>
        <v>5770745.248881436</v>
      </c>
      <c r="AC167" s="4">
        <f ca="1">_xll.DBRW($B$1,$B$2,$B$7,$B$3,$B$4,$B$5,$F167,$B$6,AC$10,$A167,$B167)</f>
        <v>6551653.7100601168</v>
      </c>
      <c r="AD167" s="4">
        <f ca="1">_xll.DBRW($B$1,$B$2,$B$7,$B$3,$B$4,$B$5,$F167,$B$6,AD$10,$A167,$B167)</f>
        <v>7231092.7779138759</v>
      </c>
      <c r="AE167" s="4">
        <f ca="1">_xll.DBRW($B$1,$B$2,$B$7,$B$3,$B$4,$B$5,$F167,$B$6,AE$10,$A167,$B167)</f>
        <v>7410876.6201103292</v>
      </c>
    </row>
    <row r="168" spans="1:31">
      <c r="A168" s="1" t="s">
        <v>153</v>
      </c>
      <c r="B168" s="5" t="s">
        <v>70</v>
      </c>
      <c r="C168" s="5" t="s">
        <v>68</v>
      </c>
      <c r="D168" s="5" t="s">
        <v>69</v>
      </c>
      <c r="E168" s="5" t="s">
        <v>21</v>
      </c>
      <c r="F168" s="5" t="s">
        <v>24</v>
      </c>
      <c r="G168" s="6"/>
      <c r="H168" s="6"/>
      <c r="I168" s="6"/>
      <c r="J168" s="6"/>
      <c r="K168" s="6"/>
      <c r="L168" s="4">
        <f ca="1">_xll.DBRW($B$1,$B$2,$B$7,$B$3,$B$4,$B$5,$F168,$B$6,L$10,$A168,$B168)</f>
        <v>5981640.0000000009</v>
      </c>
      <c r="M168" s="4">
        <f ca="1">_xll.DBRW($B$1,$B$2,$B$7,$B$3,$B$4,$B$5,$F168,$B$6,M$10,$A168,$B168)</f>
        <v>5781303.2748902095</v>
      </c>
      <c r="N168" s="4">
        <f ca="1">_xll.DBRW($B$1,$B$2,$B$7,$B$3,$B$4,$B$5,$F168,$B$6,N$10,$A168,$B168)</f>
        <v>6258290.8500000006</v>
      </c>
      <c r="O168" s="4">
        <f ca="1">_xll.DBRW($B$1,$B$2,$B$7,$B$3,$B$4,$B$5,$F168,$B$6,O$10,$A168,$B168)</f>
        <v>6181028</v>
      </c>
      <c r="P168" s="4">
        <f ca="1">_xll.DBRW($B$1,$B$2,$B$7,$B$3,$B$4,$B$5,$F168,$B$6,P$10,$A168,$B168)</f>
        <v>5533016.9999999991</v>
      </c>
      <c r="Q168" s="4">
        <f ca="1">_xll.DBRW($B$1,$B$2,$B$7,$B$3,$B$4,$B$5,$F168,$B$6,Q$10,$A168,$B168)</f>
        <v>7021306</v>
      </c>
      <c r="R168" s="4">
        <f ca="1">_xll.DBRW($B$1,$B$2,$B$7,$B$3,$B$4,$B$5,$F168,$B$6,R$10,$A168,$B168)</f>
        <v>8837161</v>
      </c>
      <c r="S168" s="4">
        <f ca="1">_xll.DBRW($B$1,$B$2,$B$7,$B$3,$B$4,$B$5,$F168,$B$6,S$10,$A168,$B168)</f>
        <v>8960211.879999999</v>
      </c>
      <c r="T168" s="4">
        <f ca="1">_xll.DBRW($B$1,$B$2,$B$7,$B$3,$B$4,$B$5,$F168,$B$6,T$10,$A168,$B168)</f>
        <v>9585308.0404755175</v>
      </c>
      <c r="U168" s="4">
        <f ca="1">_xll.DBRW($B$1,$B$2,$B$7,$B$3,$B$4,$B$5,$F168,$B$6,U$10,$A168,$B168)</f>
        <v>8283705.4472802747</v>
      </c>
      <c r="V168" s="4">
        <f ca="1">_xll.DBRW($B$1,$B$2,$B$7,$B$3,$B$4,$B$5,$F168,$B$6,V$10,$A168,$B168)</f>
        <v>9699434.9314322919</v>
      </c>
      <c r="W168" s="4">
        <f ca="1">_xll.DBRW($B$1,$B$2,$B$7,$B$3,$B$4,$B$5,$F168,$B$6,W$10,$A168,$B168)</f>
        <v>6727000.1644365229</v>
      </c>
      <c r="X168" s="4">
        <f ca="1">_xll.DBRW($B$1,$B$2,$B$7,$B$3,$B$4,$B$5,$F168,$B$6,X$10,$A168,$B168)</f>
        <v>6876718.3467505155</v>
      </c>
      <c r="Y168" s="4">
        <f ca="1">_xll.DBRW($B$1,$B$2,$B$7,$B$3,$B$4,$B$5,$F168,$B$6,Y$10,$A168,$B168)</f>
        <v>6965727.1312409956</v>
      </c>
      <c r="Z168" s="4">
        <f ca="1">_xll.DBRW($B$1,$B$2,$B$7,$B$3,$B$4,$B$5,$F168,$B$6,Z$10,$A168,$B168)</f>
        <v>7110190.3923824616</v>
      </c>
      <c r="AA168" s="4">
        <f ca="1">_xll.DBRW($B$1,$B$2,$B$7,$B$3,$B$4,$B$5,$F168,$B$6,AA$10,$A168,$B168)</f>
        <v>6521362.0757983886</v>
      </c>
      <c r="AB168" s="4">
        <f ca="1">_xll.DBRW($B$1,$B$2,$B$7,$B$3,$B$4,$B$5,$F168,$B$6,AB$10,$A168,$B168)</f>
        <v>5770745.248881436</v>
      </c>
      <c r="AC168" s="4">
        <f ca="1">_xll.DBRW($B$1,$B$2,$B$7,$B$3,$B$4,$B$5,$F168,$B$6,AC$10,$A168,$B168)</f>
        <v>6291173.0958312796</v>
      </c>
      <c r="AD168" s="4">
        <f ca="1">_xll.DBRW($B$1,$B$2,$B$7,$B$3,$B$4,$B$5,$F168,$B$6,AD$10,$A168,$B168)</f>
        <v>7231092.7779138759</v>
      </c>
      <c r="AE168" s="4">
        <f ca="1">_xll.DBRW($B$1,$B$2,$B$7,$B$3,$B$4,$B$5,$F168,$B$6,AE$10,$A168,$B168)</f>
        <v>7410876.6201103292</v>
      </c>
    </row>
    <row r="169" spans="1:31">
      <c r="A169" s="1" t="s">
        <v>153</v>
      </c>
      <c r="B169" s="5" t="s">
        <v>201</v>
      </c>
      <c r="C169" s="5" t="s">
        <v>202</v>
      </c>
      <c r="D169" s="5" t="s">
        <v>28</v>
      </c>
      <c r="E169" s="5" t="s">
        <v>38</v>
      </c>
      <c r="F169" s="5" t="s">
        <v>24</v>
      </c>
      <c r="G169" s="6"/>
      <c r="H169" s="6"/>
      <c r="I169" s="6"/>
      <c r="J169" s="6"/>
      <c r="K169" s="6"/>
      <c r="L169" s="4">
        <f ca="1">_xll.DBRW($B$1,$B$2,$B$7,$B$3,$B$4,$B$5,$F169,$B$6,L$10,$A169,$B169)</f>
        <v>7235747.8104775343</v>
      </c>
      <c r="M169" s="4">
        <f ca="1">_xll.DBRW($B$1,$B$2,$B$7,$B$3,$B$4,$B$5,$F169,$B$6,M$10,$A169,$B169)</f>
        <v>7244600.2787525365</v>
      </c>
      <c r="N169" s="4">
        <f ca="1">_xll.DBRW($B$1,$B$2,$B$7,$B$3,$B$4,$B$5,$F169,$B$6,N$10,$A169,$B169)</f>
        <v>6795639.8494028477</v>
      </c>
      <c r="O169" s="4">
        <f ca="1">_xll.DBRW($B$1,$B$2,$B$7,$B$3,$B$4,$B$5,$F169,$B$6,O$10,$A169,$B169)</f>
        <v>6585203.2304613022</v>
      </c>
      <c r="P169" s="4">
        <f ca="1">_xll.DBRW($B$1,$B$2,$B$7,$B$3,$B$4,$B$5,$F169,$B$6,P$10,$A169,$B169)</f>
        <v>7441853.2024031468</v>
      </c>
      <c r="Q169" s="4">
        <f ca="1">_xll.DBRW($B$1,$B$2,$B$7,$B$3,$B$4,$B$5,$F169,$B$6,Q$10,$A169,$B169)</f>
        <v>6899643.6421384662</v>
      </c>
      <c r="R169" s="4">
        <f ca="1">_xll.DBRW($B$1,$B$2,$B$7,$B$3,$B$4,$B$5,$F169,$B$6,R$10,$A169,$B169)</f>
        <v>5285457.5110530946</v>
      </c>
      <c r="S169" s="4">
        <f ca="1">_xll.DBRW($B$1,$B$2,$B$7,$B$3,$B$4,$B$5,$F169,$B$6,S$10,$A169,$B169)</f>
        <v>5806331.3742938163</v>
      </c>
      <c r="T169" s="4">
        <f ca="1">_xll.DBRW($B$1,$B$2,$B$7,$B$3,$B$4,$B$5,$F169,$B$6,T$10,$A169,$B169)</f>
        <v>5165233.6799424738</v>
      </c>
      <c r="U169" s="4">
        <f ca="1">_xll.DBRW($B$1,$B$2,$B$7,$B$3,$B$4,$B$5,$F169,$B$6,U$10,$A169,$B169)</f>
        <v>4988067.3695776658</v>
      </c>
      <c r="V169" s="4">
        <f ca="1">_xll.DBRW($B$1,$B$2,$B$7,$B$3,$B$4,$B$5,$F169,$B$6,V$10,$A169,$B169)</f>
        <v>5350421.382319862</v>
      </c>
      <c r="W169" s="4">
        <f ca="1">_xll.DBRW($B$1,$B$2,$B$7,$B$3,$B$4,$B$5,$F169,$B$6,W$10,$A169,$B169)</f>
        <v>8106542.6664202884</v>
      </c>
      <c r="X169" s="4">
        <f ca="1">_xll.DBRW($B$1,$B$2,$B$7,$B$3,$B$4,$B$5,$F169,$B$6,X$10,$A169,$B169)</f>
        <v>8669173.0130731072</v>
      </c>
      <c r="Y169" s="4">
        <f ca="1">_xll.DBRW($B$1,$B$2,$B$7,$B$3,$B$4,$B$5,$F169,$B$6,Y$10,$A169,$B169)</f>
        <v>7639254.2885591555</v>
      </c>
      <c r="Z169" s="4">
        <f ca="1">_xll.DBRW($B$1,$B$2,$B$7,$B$3,$B$4,$B$5,$F169,$B$6,Z$10,$A169,$B169)</f>
        <v>8178790.1382446215</v>
      </c>
      <c r="AA169" s="4">
        <f ca="1">_xll.DBRW($B$1,$B$2,$B$7,$B$3,$B$4,$B$5,$F169,$B$6,AA$10,$A169,$B169)</f>
        <v>7892366.4325656798</v>
      </c>
      <c r="AB169" s="4">
        <f ca="1">_xll.DBRW($B$1,$B$2,$B$7,$B$3,$B$4,$B$5,$F169,$B$6,AB$10,$A169,$B169)</f>
        <v>7785773.0859169709</v>
      </c>
      <c r="AC169" s="4">
        <f ca="1">_xll.DBRW($B$1,$B$2,$B$7,$B$3,$B$4,$B$5,$F169,$B$6,AC$10,$A169,$B169)</f>
        <v>7321498.1403849656</v>
      </c>
      <c r="AD169" s="4">
        <f ca="1">_xll.DBRW($B$1,$B$2,$B$7,$B$3,$B$4,$B$5,$F169,$B$6,AD$10,$A169,$B169)</f>
        <v>5281561.0224465895</v>
      </c>
      <c r="AE169" s="4">
        <f ca="1">_xll.DBRW($B$1,$B$2,$B$7,$B$3,$B$4,$B$5,$F169,$B$6,AE$10,$A169,$B169)</f>
        <v>5631453.2255953299</v>
      </c>
    </row>
    <row r="170" spans="1:31">
      <c r="A170" s="1" t="s">
        <v>153</v>
      </c>
      <c r="B170" s="5" t="s">
        <v>45</v>
      </c>
      <c r="C170" s="5" t="s">
        <v>46</v>
      </c>
      <c r="D170" s="5" t="s">
        <v>38</v>
      </c>
      <c r="E170" s="5" t="s">
        <v>28</v>
      </c>
      <c r="F170" s="5" t="s">
        <v>24</v>
      </c>
      <c r="G170" s="6"/>
      <c r="H170" s="6"/>
      <c r="I170" s="6"/>
      <c r="J170" s="6"/>
      <c r="K170" s="6"/>
      <c r="L170" s="4">
        <f ca="1">_xll.DBRW($B$1,$B$2,$B$7,$B$3,$B$4,$B$5,$F170,$B$6,L$10,$A170,$B170)</f>
        <v>7235747.8104775343</v>
      </c>
      <c r="M170" s="4">
        <f ca="1">_xll.DBRW($B$1,$B$2,$B$7,$B$3,$B$4,$B$5,$F170,$B$6,M$10,$A170,$B170)</f>
        <v>7244600.2787525365</v>
      </c>
      <c r="N170" s="4">
        <f ca="1">_xll.DBRW($B$1,$B$2,$B$7,$B$3,$B$4,$B$5,$F170,$B$6,N$10,$A170,$B170)</f>
        <v>6795639.8494028477</v>
      </c>
      <c r="O170" s="4">
        <f ca="1">_xll.DBRW($B$1,$B$2,$B$7,$B$3,$B$4,$B$5,$F170,$B$6,O$10,$A170,$B170)</f>
        <v>6585203.2304613022</v>
      </c>
      <c r="P170" s="4">
        <f ca="1">_xll.DBRW($B$1,$B$2,$B$7,$B$3,$B$4,$B$5,$F170,$B$6,P$10,$A170,$B170)</f>
        <v>7441853.2024031468</v>
      </c>
      <c r="Q170" s="4">
        <f ca="1">_xll.DBRW($B$1,$B$2,$B$7,$B$3,$B$4,$B$5,$F170,$B$6,Q$10,$A170,$B170)</f>
        <v>6899643.6421384662</v>
      </c>
      <c r="R170" s="4">
        <f ca="1">_xll.DBRW($B$1,$B$2,$B$7,$B$3,$B$4,$B$5,$F170,$B$6,R$10,$A170,$B170)</f>
        <v>5285457.5110530946</v>
      </c>
      <c r="S170" s="4">
        <f ca="1">_xll.DBRW($B$1,$B$2,$B$7,$B$3,$B$4,$B$5,$F170,$B$6,S$10,$A170,$B170)</f>
        <v>5806331.3742938163</v>
      </c>
      <c r="T170" s="4">
        <f ca="1">_xll.DBRW($B$1,$B$2,$B$7,$B$3,$B$4,$B$5,$F170,$B$6,T$10,$A170,$B170)</f>
        <v>5165233.6799424738</v>
      </c>
      <c r="U170" s="4">
        <f ca="1">_xll.DBRW($B$1,$B$2,$B$7,$B$3,$B$4,$B$5,$F170,$B$6,U$10,$A170,$B170)</f>
        <v>4988067.3695776658</v>
      </c>
      <c r="V170" s="4">
        <f ca="1">_xll.DBRW($B$1,$B$2,$B$7,$B$3,$B$4,$B$5,$F170,$B$6,V$10,$A170,$B170)</f>
        <v>5350421.382319862</v>
      </c>
      <c r="W170" s="4">
        <f ca="1">_xll.DBRW($B$1,$B$2,$B$7,$B$3,$B$4,$B$5,$F170,$B$6,W$10,$A170,$B170)</f>
        <v>8106542.6664202884</v>
      </c>
      <c r="X170" s="4">
        <f ca="1">_xll.DBRW($B$1,$B$2,$B$7,$B$3,$B$4,$B$5,$F170,$B$6,X$10,$A170,$B170)</f>
        <v>8669173.0130731072</v>
      </c>
      <c r="Y170" s="4">
        <f ca="1">_xll.DBRW($B$1,$B$2,$B$7,$B$3,$B$4,$B$5,$F170,$B$6,Y$10,$A170,$B170)</f>
        <v>7639254.2885591555</v>
      </c>
      <c r="Z170" s="4">
        <f ca="1">_xll.DBRW($B$1,$B$2,$B$7,$B$3,$B$4,$B$5,$F170,$B$6,Z$10,$A170,$B170)</f>
        <v>8178790.1382446215</v>
      </c>
      <c r="AA170" s="4">
        <f ca="1">_xll.DBRW($B$1,$B$2,$B$7,$B$3,$B$4,$B$5,$F170,$B$6,AA$10,$A170,$B170)</f>
        <v>7892366.4325656798</v>
      </c>
      <c r="AB170" s="4">
        <f ca="1">_xll.DBRW($B$1,$B$2,$B$7,$B$3,$B$4,$B$5,$F170,$B$6,AB$10,$A170,$B170)</f>
        <v>7785773.0859169709</v>
      </c>
      <c r="AC170" s="4">
        <f ca="1">_xll.DBRW($B$1,$B$2,$B$7,$B$3,$B$4,$B$5,$F170,$B$6,AC$10,$A170,$B170)</f>
        <v>7095060.0535689369</v>
      </c>
      <c r="AD170" s="4">
        <f ca="1">_xll.DBRW($B$1,$B$2,$B$7,$B$3,$B$4,$B$5,$F170,$B$6,AD$10,$A170,$B170)</f>
        <v>5281561.0224465895</v>
      </c>
      <c r="AE170" s="4">
        <f ca="1">_xll.DBRW($B$1,$B$2,$B$7,$B$3,$B$4,$B$5,$F170,$B$6,AE$10,$A170,$B170)</f>
        <v>5631453.2255953299</v>
      </c>
    </row>
    <row r="171" spans="1:31">
      <c r="A171" s="1" t="s">
        <v>153</v>
      </c>
      <c r="B171" s="5" t="s">
        <v>203</v>
      </c>
      <c r="C171" s="5" t="s">
        <v>204</v>
      </c>
      <c r="D171" s="5" t="s">
        <v>21</v>
      </c>
      <c r="E171" s="5" t="s">
        <v>80</v>
      </c>
      <c r="F171" s="5" t="s">
        <v>24</v>
      </c>
      <c r="G171" s="6"/>
      <c r="H171" s="6"/>
      <c r="I171" s="6"/>
      <c r="J171" s="6"/>
      <c r="K171" s="6"/>
      <c r="L171" s="4">
        <f ca="1">_xll.DBRW($B$1,$B$2,$B$7,$B$3,$B$4,$B$5,$F171,$B$6,L$10,$A171,$B171)</f>
        <v>9269420.1600000001</v>
      </c>
      <c r="M171" s="4">
        <f ca="1">_xll.DBRW($B$1,$B$2,$B$7,$B$3,$B$4,$B$5,$F171,$B$6,M$10,$A171,$B171)</f>
        <v>9417410.7332263328</v>
      </c>
      <c r="N171" s="4">
        <f ca="1">_xll.DBRW($B$1,$B$2,$B$7,$B$3,$B$4,$B$5,$F171,$B$6,N$10,$A171,$B171)</f>
        <v>9611259.8399999999</v>
      </c>
      <c r="O171" s="4">
        <f ca="1">_xll.DBRW($B$1,$B$2,$B$7,$B$3,$B$4,$B$5,$F171,$B$6,O$10,$A171,$B171)</f>
        <v>8977550.4000000004</v>
      </c>
      <c r="P171" s="4">
        <f ca="1">_xll.DBRW($B$1,$B$2,$B$7,$B$3,$B$4,$B$5,$F171,$B$6,P$10,$A171,$B171)</f>
        <v>9142224.0000000019</v>
      </c>
      <c r="Q171" s="4">
        <f ca="1">_xll.DBRW($B$1,$B$2,$B$7,$B$3,$B$4,$B$5,$F171,$B$6,Q$10,$A171,$B171)</f>
        <v>10044521.759999998</v>
      </c>
      <c r="R171" s="4">
        <f ca="1">_xll.DBRW($B$1,$B$2,$B$7,$B$3,$B$4,$B$5,$F171,$B$6,R$10,$A171,$B171)</f>
        <v>9403430.3999999985</v>
      </c>
      <c r="S171" s="4">
        <f ca="1">_xll.DBRW($B$1,$B$2,$B$7,$B$3,$B$4,$B$5,$F171,$B$6,S$10,$A171,$B171)</f>
        <v>8299833.3600000003</v>
      </c>
      <c r="T171" s="4">
        <f ca="1">_xll.DBRW($B$1,$B$2,$B$7,$B$3,$B$4,$B$5,$F171,$B$6,T$10,$A171,$B171)</f>
        <v>9924331.2162692603</v>
      </c>
      <c r="U171" s="4">
        <f ca="1">_xll.DBRW($B$1,$B$2,$B$7,$B$3,$B$4,$B$5,$F171,$B$6,U$10,$A171,$B171)</f>
        <v>8596071.345582163</v>
      </c>
      <c r="V171" s="4">
        <f ca="1">_xll.DBRW($B$1,$B$2,$B$7,$B$3,$B$4,$B$5,$F171,$B$6,V$10,$A171,$B171)</f>
        <v>9690245.563897606</v>
      </c>
      <c r="W171" s="4">
        <f ca="1">_xll.DBRW($B$1,$B$2,$B$7,$B$3,$B$4,$B$5,$F171,$B$6,W$10,$A171,$B171)</f>
        <v>8173510.1284026708</v>
      </c>
      <c r="X171" s="4">
        <f ca="1">_xll.DBRW($B$1,$B$2,$B$7,$B$3,$B$4,$B$5,$F171,$B$6,X$10,$A171,$B171)</f>
        <v>9891411.1116065662</v>
      </c>
      <c r="Y171" s="4">
        <f ca="1">_xll.DBRW($B$1,$B$2,$B$7,$B$3,$B$4,$B$5,$F171,$B$6,Y$10,$A171,$B171)</f>
        <v>9596900.2279770691</v>
      </c>
      <c r="Z171" s="4">
        <f ca="1">_xll.DBRW($B$1,$B$2,$B$7,$B$3,$B$4,$B$5,$F171,$B$6,Z$10,$A171,$B171)</f>
        <v>8292571.7174103046</v>
      </c>
      <c r="AA171" s="4">
        <f ca="1">_xll.DBRW($B$1,$B$2,$B$7,$B$3,$B$4,$B$5,$F171,$B$6,AA$10,$A171,$B171)</f>
        <v>8485121.2456945553</v>
      </c>
      <c r="AB171" s="4">
        <f ca="1">_xll.DBRW($B$1,$B$2,$B$7,$B$3,$B$4,$B$5,$F171,$B$6,AB$10,$A171,$B171)</f>
        <v>8296484.9430070892</v>
      </c>
      <c r="AC171" s="4">
        <f ca="1">_xll.DBRW($B$1,$B$2,$B$7,$B$3,$B$4,$B$5,$F171,$B$6,AC$10,$A171,$B171)</f>
        <v>9189843.4342500083</v>
      </c>
      <c r="AD171" s="4">
        <f ca="1">_xll.DBRW($B$1,$B$2,$B$7,$B$3,$B$4,$B$5,$F171,$B$6,AD$10,$A171,$B171)</f>
        <v>9157402.0157381427</v>
      </c>
      <c r="AE171" s="4">
        <f ca="1">_xll.DBRW($B$1,$B$2,$B$7,$B$3,$B$4,$B$5,$F171,$B$6,AE$10,$A171,$B171)</f>
        <v>8893864.4551717881</v>
      </c>
    </row>
    <row r="172" spans="1:31">
      <c r="A172" s="1" t="s">
        <v>153</v>
      </c>
      <c r="B172" s="5" t="s">
        <v>78</v>
      </c>
      <c r="C172" s="5" t="s">
        <v>79</v>
      </c>
      <c r="D172" s="5" t="s">
        <v>80</v>
      </c>
      <c r="E172" s="5" t="s">
        <v>21</v>
      </c>
      <c r="F172" s="5" t="s">
        <v>24</v>
      </c>
      <c r="G172" s="6"/>
      <c r="H172" s="6"/>
      <c r="I172" s="6"/>
      <c r="J172" s="6"/>
      <c r="K172" s="6"/>
      <c r="L172" s="4">
        <f ca="1">_xll.DBRW($B$1,$B$2,$B$7,$B$3,$B$4,$B$5,$F172,$B$6,L$10,$A172,$B172)</f>
        <v>9269420.1600000001</v>
      </c>
      <c r="M172" s="4">
        <f ca="1">_xll.DBRW($B$1,$B$2,$B$7,$B$3,$B$4,$B$5,$F172,$B$6,M$10,$A172,$B172)</f>
        <v>9417410.7332263328</v>
      </c>
      <c r="N172" s="4">
        <f ca="1">_xll.DBRW($B$1,$B$2,$B$7,$B$3,$B$4,$B$5,$F172,$B$6,N$10,$A172,$B172)</f>
        <v>9611259.8399999999</v>
      </c>
      <c r="O172" s="4">
        <f ca="1">_xll.DBRW($B$1,$B$2,$B$7,$B$3,$B$4,$B$5,$F172,$B$6,O$10,$A172,$B172)</f>
        <v>8977550.4000000004</v>
      </c>
      <c r="P172" s="4">
        <f ca="1">_xll.DBRW($B$1,$B$2,$B$7,$B$3,$B$4,$B$5,$F172,$B$6,P$10,$A172,$B172)</f>
        <v>9142224.0000000019</v>
      </c>
      <c r="Q172" s="4">
        <f ca="1">_xll.DBRW($B$1,$B$2,$B$7,$B$3,$B$4,$B$5,$F172,$B$6,Q$10,$A172,$B172)</f>
        <v>10044521.759999998</v>
      </c>
      <c r="R172" s="4">
        <f ca="1">_xll.DBRW($B$1,$B$2,$B$7,$B$3,$B$4,$B$5,$F172,$B$6,R$10,$A172,$B172)</f>
        <v>9403430.3999999985</v>
      </c>
      <c r="S172" s="4">
        <f ca="1">_xll.DBRW($B$1,$B$2,$B$7,$B$3,$B$4,$B$5,$F172,$B$6,S$10,$A172,$B172)</f>
        <v>8299833.3600000003</v>
      </c>
      <c r="T172" s="4">
        <f ca="1">_xll.DBRW($B$1,$B$2,$B$7,$B$3,$B$4,$B$5,$F172,$B$6,T$10,$A172,$B172)</f>
        <v>9924331.2162692603</v>
      </c>
      <c r="U172" s="4">
        <f ca="1">_xll.DBRW($B$1,$B$2,$B$7,$B$3,$B$4,$B$5,$F172,$B$6,U$10,$A172,$B172)</f>
        <v>8596071.345582163</v>
      </c>
      <c r="V172" s="4">
        <f ca="1">_xll.DBRW($B$1,$B$2,$B$7,$B$3,$B$4,$B$5,$F172,$B$6,V$10,$A172,$B172)</f>
        <v>9690245.563897606</v>
      </c>
      <c r="W172" s="4">
        <f ca="1">_xll.DBRW($B$1,$B$2,$B$7,$B$3,$B$4,$B$5,$F172,$B$6,W$10,$A172,$B172)</f>
        <v>8173510.1284026708</v>
      </c>
      <c r="X172" s="4">
        <f ca="1">_xll.DBRW($B$1,$B$2,$B$7,$B$3,$B$4,$B$5,$F172,$B$6,X$10,$A172,$B172)</f>
        <v>9891411.1116065662</v>
      </c>
      <c r="Y172" s="4">
        <f ca="1">_xll.DBRW($B$1,$B$2,$B$7,$B$3,$B$4,$B$5,$F172,$B$6,Y$10,$A172,$B172)</f>
        <v>9596900.2279770691</v>
      </c>
      <c r="Z172" s="4">
        <f ca="1">_xll.DBRW($B$1,$B$2,$B$7,$B$3,$B$4,$B$5,$F172,$B$6,Z$10,$A172,$B172)</f>
        <v>8292571.7174103046</v>
      </c>
      <c r="AA172" s="4">
        <f ca="1">_xll.DBRW($B$1,$B$2,$B$7,$B$3,$B$4,$B$5,$F172,$B$6,AA$10,$A172,$B172)</f>
        <v>8485121.2456945553</v>
      </c>
      <c r="AB172" s="4">
        <f ca="1">_xll.DBRW($B$1,$B$2,$B$7,$B$3,$B$4,$B$5,$F172,$B$6,AB$10,$A172,$B172)</f>
        <v>8296484.9430070892</v>
      </c>
      <c r="AC172" s="4">
        <f ca="1">_xll.DBRW($B$1,$B$2,$B$7,$B$3,$B$4,$B$5,$F172,$B$6,AC$10,$A172,$B172)</f>
        <v>8899504.974101996</v>
      </c>
      <c r="AD172" s="4">
        <f ca="1">_xll.DBRW($B$1,$B$2,$B$7,$B$3,$B$4,$B$5,$F172,$B$6,AD$10,$A172,$B172)</f>
        <v>9157402.0157381427</v>
      </c>
      <c r="AE172" s="4">
        <f ca="1">_xll.DBRW($B$1,$B$2,$B$7,$B$3,$B$4,$B$5,$F172,$B$6,AE$10,$A172,$B172)</f>
        <v>8606965.6017791498</v>
      </c>
    </row>
    <row r="173" spans="1:31">
      <c r="A173" s="1" t="s">
        <v>153</v>
      </c>
      <c r="B173" s="5" t="s">
        <v>205</v>
      </c>
      <c r="C173" s="5" t="s">
        <v>206</v>
      </c>
      <c r="D173" s="5" t="s">
        <v>21</v>
      </c>
      <c r="E173" s="5" t="s">
        <v>181</v>
      </c>
      <c r="F173" s="5" t="s">
        <v>24</v>
      </c>
      <c r="G173" s="6"/>
      <c r="H173" s="6"/>
      <c r="I173" s="6"/>
      <c r="J173" s="6"/>
      <c r="K173" s="6"/>
      <c r="L173" s="4">
        <f ca="1">_xll.DBRW($B$1,$B$2,$B$7,$B$3,$B$4,$B$5,$F173,$B$6,L$10,$A173,$B173)</f>
        <v>2307563.52</v>
      </c>
      <c r="M173" s="4">
        <f ca="1">_xll.DBRW($B$1,$B$2,$B$7,$B$3,$B$4,$B$5,$F173,$B$6,M$10,$A173,$B173)</f>
        <v>1246949.6005624447</v>
      </c>
      <c r="N173" s="4">
        <f ca="1">_xll.DBRW($B$1,$B$2,$B$7,$B$3,$B$4,$B$5,$F173,$B$6,N$10,$A173,$B173)</f>
        <v>1153781.76</v>
      </c>
      <c r="O173" s="4">
        <f ca="1">_xll.DBRW($B$1,$B$2,$B$7,$B$3,$B$4,$B$5,$F173,$B$6,O$10,$A173,$B173)</f>
        <v>1393612.8000000003</v>
      </c>
      <c r="P173" s="4">
        <f ca="1">_xll.DBRW($B$1,$B$2,$B$7,$B$3,$B$4,$B$5,$F173,$B$6,P$10,$A173,$B173)</f>
        <v>1192673.2800000003</v>
      </c>
      <c r="Q173" s="4">
        <f ca="1">_xll.DBRW($B$1,$B$2,$B$7,$B$3,$B$4,$B$5,$F173,$B$6,Q$10,$A173,$B173)</f>
        <v>2647864.3199999998</v>
      </c>
      <c r="R173" s="4">
        <f ca="1">_xll.DBRW($B$1,$B$2,$B$7,$B$3,$B$4,$B$5,$F173,$B$6,R$10,$A173,$B173)</f>
        <v>8115228.7999999989</v>
      </c>
      <c r="S173" s="4">
        <f ca="1">_xll.DBRW($B$1,$B$2,$B$7,$B$3,$B$4,$B$5,$F173,$B$6,S$10,$A173,$B173)</f>
        <v>9733683.1999999993</v>
      </c>
      <c r="T173" s="4">
        <f ca="1">_xll.DBRW($B$1,$B$2,$B$7,$B$3,$B$4,$B$5,$F173,$B$6,T$10,$A173,$B173)</f>
        <v>10329117.968599875</v>
      </c>
      <c r="U173" s="4">
        <f ca="1">_xll.DBRW($B$1,$B$2,$B$7,$B$3,$B$4,$B$5,$F173,$B$6,U$10,$A173,$B173)</f>
        <v>9341373.2594796661</v>
      </c>
      <c r="V173" s="4">
        <f ca="1">_xll.DBRW($B$1,$B$2,$B$7,$B$3,$B$4,$B$5,$F173,$B$6,V$10,$A173,$B173)</f>
        <v>6660991.6375629231</v>
      </c>
      <c r="W173" s="4">
        <f ca="1">_xll.DBRW($B$1,$B$2,$B$7,$B$3,$B$4,$B$5,$F173,$B$6,W$10,$A173,$B173)</f>
        <v>2517746.2526492928</v>
      </c>
      <c r="X173" s="4">
        <f ca="1">_xll.DBRW($B$1,$B$2,$B$7,$B$3,$B$4,$B$5,$F173,$B$6,X$10,$A173,$B173)</f>
        <v>2889209.541986051</v>
      </c>
      <c r="Y173" s="4">
        <f ca="1">_xll.DBRW($B$1,$B$2,$B$7,$B$3,$B$4,$B$5,$F173,$B$6,Y$10,$A173,$B173)</f>
        <v>2889209.541986051</v>
      </c>
      <c r="Z173" s="4">
        <f ca="1">_xll.DBRW($B$1,$B$2,$B$7,$B$3,$B$4,$B$5,$F173,$B$6,Z$10,$A173,$B173)</f>
        <v>2568186.2595431567</v>
      </c>
      <c r="AA173" s="4">
        <f ca="1">_xll.DBRW($B$1,$B$2,$B$7,$B$3,$B$4,$B$5,$F173,$B$6,AA$10,$A173,$B173)</f>
        <v>2833628.1083947071</v>
      </c>
      <c r="AB173" s="4">
        <f ca="1">_xll.DBRW($B$1,$B$2,$B$7,$B$3,$B$4,$B$5,$F173,$B$6,AB$10,$A173,$B173)</f>
        <v>2773376.8520244528</v>
      </c>
      <c r="AC173" s="4">
        <f ca="1">_xll.DBRW($B$1,$B$2,$B$7,$B$3,$B$4,$B$5,$F173,$B$6,AC$10,$A173,$B173)</f>
        <v>10362672.54361392</v>
      </c>
      <c r="AD173" s="4">
        <f ca="1">_xll.DBRW($B$1,$B$2,$B$7,$B$3,$B$4,$B$5,$F173,$B$6,AD$10,$A173,$B173)</f>
        <v>8525935.6229768321</v>
      </c>
      <c r="AE173" s="4">
        <f ca="1">_xll.DBRW($B$1,$B$2,$B$7,$B$3,$B$4,$B$5,$F173,$B$6,AE$10,$A173,$B173)</f>
        <v>8169559.0950405793</v>
      </c>
    </row>
    <row r="174" spans="1:31">
      <c r="A174" s="1" t="s">
        <v>153</v>
      </c>
      <c r="B174" s="5" t="s">
        <v>207</v>
      </c>
      <c r="C174" s="5" t="s">
        <v>208</v>
      </c>
      <c r="D174" s="5" t="s">
        <v>181</v>
      </c>
      <c r="E174" s="5" t="s">
        <v>21</v>
      </c>
      <c r="F174" s="5" t="s">
        <v>24</v>
      </c>
      <c r="G174" s="6"/>
      <c r="H174" s="6"/>
      <c r="I174" s="6"/>
      <c r="J174" s="6"/>
      <c r="K174" s="6"/>
      <c r="L174" s="4">
        <f ca="1">_xll.DBRW($B$1,$B$2,$B$7,$B$3,$B$4,$B$5,$F174,$B$6,L$10,$A174,$B174)</f>
        <v>2307563.52</v>
      </c>
      <c r="M174" s="4">
        <f ca="1">_xll.DBRW($B$1,$B$2,$B$7,$B$3,$B$4,$B$5,$F174,$B$6,M$10,$A174,$B174)</f>
        <v>1246949.6005624447</v>
      </c>
      <c r="N174" s="4">
        <f ca="1">_xll.DBRW($B$1,$B$2,$B$7,$B$3,$B$4,$B$5,$F174,$B$6,N$10,$A174,$B174)</f>
        <v>1153781.76</v>
      </c>
      <c r="O174" s="4">
        <f ca="1">_xll.DBRW($B$1,$B$2,$B$7,$B$3,$B$4,$B$5,$F174,$B$6,O$10,$A174,$B174)</f>
        <v>1393612.8000000003</v>
      </c>
      <c r="P174" s="4">
        <f ca="1">_xll.DBRW($B$1,$B$2,$B$7,$B$3,$B$4,$B$5,$F174,$B$6,P$10,$A174,$B174)</f>
        <v>1192673.2800000003</v>
      </c>
      <c r="Q174" s="4">
        <f ca="1">_xll.DBRW($B$1,$B$2,$B$7,$B$3,$B$4,$B$5,$F174,$B$6,Q$10,$A174,$B174)</f>
        <v>2647864.3199999998</v>
      </c>
      <c r="R174" s="4">
        <f ca="1">_xll.DBRW($B$1,$B$2,$B$7,$B$3,$B$4,$B$5,$F174,$B$6,R$10,$A174,$B174)</f>
        <v>8115228.7999999989</v>
      </c>
      <c r="S174" s="4">
        <f ca="1">_xll.DBRW($B$1,$B$2,$B$7,$B$3,$B$4,$B$5,$F174,$B$6,S$10,$A174,$B174)</f>
        <v>9733683.1999999993</v>
      </c>
      <c r="T174" s="4">
        <f ca="1">_xll.DBRW($B$1,$B$2,$B$7,$B$3,$B$4,$B$5,$F174,$B$6,T$10,$A174,$B174)</f>
        <v>10329117.968599875</v>
      </c>
      <c r="U174" s="4">
        <f ca="1">_xll.DBRW($B$1,$B$2,$B$7,$B$3,$B$4,$B$5,$F174,$B$6,U$10,$A174,$B174)</f>
        <v>9341373.2594796661</v>
      </c>
      <c r="V174" s="4">
        <f ca="1">_xll.DBRW($B$1,$B$2,$B$7,$B$3,$B$4,$B$5,$F174,$B$6,V$10,$A174,$B174)</f>
        <v>6660991.6375629231</v>
      </c>
      <c r="W174" s="4">
        <f ca="1">_xll.DBRW($B$1,$B$2,$B$7,$B$3,$B$4,$B$5,$F174,$B$6,W$10,$A174,$B174)</f>
        <v>2517746.2526492928</v>
      </c>
      <c r="X174" s="4">
        <f ca="1">_xll.DBRW($B$1,$B$2,$B$7,$B$3,$B$4,$B$5,$F174,$B$6,X$10,$A174,$B174)</f>
        <v>2889209.541986051</v>
      </c>
      <c r="Y174" s="4">
        <f ca="1">_xll.DBRW($B$1,$B$2,$B$7,$B$3,$B$4,$B$5,$F174,$B$6,Y$10,$A174,$B174)</f>
        <v>2889209.541986051</v>
      </c>
      <c r="Z174" s="4">
        <f ca="1">_xll.DBRW($B$1,$B$2,$B$7,$B$3,$B$4,$B$5,$F174,$B$6,Z$10,$A174,$B174)</f>
        <v>2568186.2595431567</v>
      </c>
      <c r="AA174" s="4">
        <f ca="1">_xll.DBRW($B$1,$B$2,$B$7,$B$3,$B$4,$B$5,$F174,$B$6,AA$10,$A174,$B174)</f>
        <v>2833628.1083947071</v>
      </c>
      <c r="AB174" s="4">
        <f ca="1">_xll.DBRW($B$1,$B$2,$B$7,$B$3,$B$4,$B$5,$F174,$B$6,AB$10,$A174,$B174)</f>
        <v>2773376.8520244528</v>
      </c>
      <c r="AC174" s="4">
        <f ca="1">_xll.DBRW($B$1,$B$2,$B$7,$B$3,$B$4,$B$5,$F174,$B$6,AC$10,$A174,$B174)</f>
        <v>10362672.54361392</v>
      </c>
      <c r="AD174" s="4">
        <f ca="1">_xll.DBRW($B$1,$B$2,$B$7,$B$3,$B$4,$B$5,$F174,$B$6,AD$10,$A174,$B174)</f>
        <v>8525935.6229768321</v>
      </c>
      <c r="AE174" s="4">
        <f ca="1">_xll.DBRW($B$1,$B$2,$B$7,$B$3,$B$4,$B$5,$F174,$B$6,AE$10,$A174,$B174)</f>
        <v>8169559.0950405793</v>
      </c>
    </row>
    <row r="175" spans="1:31">
      <c r="A175" s="1" t="s">
        <v>153</v>
      </c>
      <c r="B175" s="5" t="s">
        <v>209</v>
      </c>
      <c r="C175" s="5" t="s">
        <v>210</v>
      </c>
      <c r="D175" s="5" t="s">
        <v>21</v>
      </c>
      <c r="E175" s="5" t="s">
        <v>211</v>
      </c>
      <c r="F175" s="5" t="s">
        <v>24</v>
      </c>
      <c r="G175" s="6"/>
      <c r="H175" s="6"/>
      <c r="I175" s="6"/>
      <c r="J175" s="6"/>
      <c r="K175" s="6"/>
      <c r="L175" s="4">
        <f ca="1">_xll.DBRW($B$1,$B$2,$B$7,$B$3,$B$4,$B$5,$F175,$B$6,L$10,$A175,$B175)</f>
        <v>1712163.8400000001</v>
      </c>
      <c r="M175" s="4">
        <f ca="1">_xll.DBRW($B$1,$B$2,$B$7,$B$3,$B$4,$B$5,$F175,$B$6,M$10,$A175,$B175)</f>
        <v>0</v>
      </c>
      <c r="N175" s="4">
        <f ca="1">_xll.DBRW($B$1,$B$2,$B$7,$B$3,$B$4,$B$5,$F175,$B$6,N$10,$A175,$B175)</f>
        <v>0</v>
      </c>
      <c r="O175" s="4">
        <f ca="1">_xll.DBRW($B$1,$B$2,$B$7,$B$3,$B$4,$B$5,$F175,$B$6,O$10,$A175,$B175)</f>
        <v>0</v>
      </c>
      <c r="P175" s="4">
        <f ca="1">_xll.DBRW($B$1,$B$2,$B$7,$B$3,$B$4,$B$5,$F175,$B$6,P$10,$A175,$B175)</f>
        <v>0</v>
      </c>
      <c r="Q175" s="4">
        <f ca="1">_xll.DBRW($B$1,$B$2,$B$7,$B$3,$B$4,$B$5,$F175,$B$6,Q$10,$A175,$B175)</f>
        <v>500430.24000000005</v>
      </c>
      <c r="R175" s="4">
        <f ca="1">_xll.DBRW($B$1,$B$2,$B$7,$B$3,$B$4,$B$5,$F175,$B$6,R$10,$A175,$B175)</f>
        <v>3745358.4000000004</v>
      </c>
      <c r="S175" s="4">
        <f ca="1">_xll.DBRW($B$1,$B$2,$B$7,$B$3,$B$4,$B$5,$F175,$B$6,S$10,$A175,$B175)</f>
        <v>4532198.4000000004</v>
      </c>
      <c r="T175" s="4">
        <f ca="1">_xll.DBRW($B$1,$B$2,$B$7,$B$3,$B$4,$B$5,$F175,$B$6,T$10,$A175,$B175)</f>
        <v>4989942.6401629187</v>
      </c>
      <c r="U175" s="4">
        <f ca="1">_xll.DBRW($B$1,$B$2,$B$7,$B$3,$B$4,$B$5,$F175,$B$6,U$10,$A175,$B175)</f>
        <v>4843512.7867679391</v>
      </c>
      <c r="V175" s="4">
        <f ca="1">_xll.DBRW($B$1,$B$2,$B$7,$B$3,$B$4,$B$5,$F175,$B$6,V$10,$A175,$B175)</f>
        <v>4660491.0962462621</v>
      </c>
      <c r="W175" s="4">
        <f ca="1">_xll.DBRW($B$1,$B$2,$B$7,$B$3,$B$4,$B$5,$F175,$B$6,W$10,$A175,$B175)</f>
        <v>0</v>
      </c>
      <c r="X175" s="4">
        <f ca="1">_xll.DBRW($B$1,$B$2,$B$7,$B$3,$B$4,$B$5,$F175,$B$6,X$10,$A175,$B175)</f>
        <v>0</v>
      </c>
      <c r="Y175" s="4">
        <f ca="1">_xll.DBRW($B$1,$B$2,$B$7,$B$3,$B$4,$B$5,$F175,$B$6,Y$10,$A175,$B175)</f>
        <v>0</v>
      </c>
      <c r="Z175" s="4">
        <f ca="1">_xll.DBRW($B$1,$B$2,$B$7,$B$3,$B$4,$B$5,$F175,$B$6,Z$10,$A175,$B175)</f>
        <v>0</v>
      </c>
      <c r="AA175" s="4">
        <f ca="1">_xll.DBRW($B$1,$B$2,$B$7,$B$3,$B$4,$B$5,$F175,$B$6,AA$10,$A175,$B175)</f>
        <v>0</v>
      </c>
      <c r="AB175" s="4">
        <f ca="1">_xll.DBRW($B$1,$B$2,$B$7,$B$3,$B$4,$B$5,$F175,$B$6,AB$10,$A175,$B175)</f>
        <v>0</v>
      </c>
      <c r="AC175" s="4">
        <f ca="1">_xll.DBRW($B$1,$B$2,$B$7,$B$3,$B$4,$B$5,$F175,$B$6,AC$10,$A175,$B175)</f>
        <v>854857.18742105737</v>
      </c>
      <c r="AD175" s="4">
        <f ca="1">_xll.DBRW($B$1,$B$2,$B$7,$B$3,$B$4,$B$5,$F175,$B$6,AD$10,$A175,$B175)</f>
        <v>3535322.398875379</v>
      </c>
      <c r="AE175" s="4">
        <f ca="1">_xll.DBRW($B$1,$B$2,$B$7,$B$3,$B$4,$B$5,$F175,$B$6,AE$10,$A175,$B175)</f>
        <v>4892533.4753111405</v>
      </c>
    </row>
    <row r="176" spans="1:31">
      <c r="A176" s="1" t="s">
        <v>153</v>
      </c>
      <c r="B176" s="5" t="s">
        <v>212</v>
      </c>
      <c r="C176" s="5" t="s">
        <v>213</v>
      </c>
      <c r="D176" s="5" t="s">
        <v>211</v>
      </c>
      <c r="E176" s="5" t="s">
        <v>21</v>
      </c>
      <c r="F176" s="5" t="s">
        <v>24</v>
      </c>
      <c r="G176" s="6"/>
      <c r="H176" s="6"/>
      <c r="I176" s="6"/>
      <c r="J176" s="6"/>
      <c r="K176" s="6"/>
      <c r="L176" s="4">
        <f ca="1">_xll.DBRW($B$1,$B$2,$B$7,$B$3,$B$4,$B$5,$F176,$B$6,L$10,$A176,$B176)</f>
        <v>1712163.8400000001</v>
      </c>
      <c r="M176" s="4">
        <f ca="1">_xll.DBRW($B$1,$B$2,$B$7,$B$3,$B$4,$B$5,$F176,$B$6,M$10,$A176,$B176)</f>
        <v>0</v>
      </c>
      <c r="N176" s="4">
        <f ca="1">_xll.DBRW($B$1,$B$2,$B$7,$B$3,$B$4,$B$5,$F176,$B$6,N$10,$A176,$B176)</f>
        <v>0</v>
      </c>
      <c r="O176" s="4">
        <f ca="1">_xll.DBRW($B$1,$B$2,$B$7,$B$3,$B$4,$B$5,$F176,$B$6,O$10,$A176,$B176)</f>
        <v>0</v>
      </c>
      <c r="P176" s="4">
        <f ca="1">_xll.DBRW($B$1,$B$2,$B$7,$B$3,$B$4,$B$5,$F176,$B$6,P$10,$A176,$B176)</f>
        <v>0</v>
      </c>
      <c r="Q176" s="4">
        <f ca="1">_xll.DBRW($B$1,$B$2,$B$7,$B$3,$B$4,$B$5,$F176,$B$6,Q$10,$A176,$B176)</f>
        <v>500430.24000000005</v>
      </c>
      <c r="R176" s="4">
        <f ca="1">_xll.DBRW($B$1,$B$2,$B$7,$B$3,$B$4,$B$5,$F176,$B$6,R$10,$A176,$B176)</f>
        <v>3745358.4000000004</v>
      </c>
      <c r="S176" s="4">
        <f ca="1">_xll.DBRW($B$1,$B$2,$B$7,$B$3,$B$4,$B$5,$F176,$B$6,S$10,$A176,$B176)</f>
        <v>4532198.4000000004</v>
      </c>
      <c r="T176" s="4">
        <f ca="1">_xll.DBRW($B$1,$B$2,$B$7,$B$3,$B$4,$B$5,$F176,$B$6,T$10,$A176,$B176)</f>
        <v>4989942.6401629187</v>
      </c>
      <c r="U176" s="4">
        <f ca="1">_xll.DBRW($B$1,$B$2,$B$7,$B$3,$B$4,$B$5,$F176,$B$6,U$10,$A176,$B176)</f>
        <v>4843512.7867679391</v>
      </c>
      <c r="V176" s="4">
        <f ca="1">_xll.DBRW($B$1,$B$2,$B$7,$B$3,$B$4,$B$5,$F176,$B$6,V$10,$A176,$B176)</f>
        <v>4660491.0962462621</v>
      </c>
      <c r="W176" s="4">
        <f ca="1">_xll.DBRW($B$1,$B$2,$B$7,$B$3,$B$4,$B$5,$F176,$B$6,W$10,$A176,$B176)</f>
        <v>0</v>
      </c>
      <c r="X176" s="4">
        <f ca="1">_xll.DBRW($B$1,$B$2,$B$7,$B$3,$B$4,$B$5,$F176,$B$6,X$10,$A176,$B176)</f>
        <v>0</v>
      </c>
      <c r="Y176" s="4">
        <f ca="1">_xll.DBRW($B$1,$B$2,$B$7,$B$3,$B$4,$B$5,$F176,$B$6,Y$10,$A176,$B176)</f>
        <v>0</v>
      </c>
      <c r="Z176" s="4">
        <f ca="1">_xll.DBRW($B$1,$B$2,$B$7,$B$3,$B$4,$B$5,$F176,$B$6,Z$10,$A176,$B176)</f>
        <v>0</v>
      </c>
      <c r="AA176" s="4">
        <f ca="1">_xll.DBRW($B$1,$B$2,$B$7,$B$3,$B$4,$B$5,$F176,$B$6,AA$10,$A176,$B176)</f>
        <v>0</v>
      </c>
      <c r="AB176" s="4">
        <f ca="1">_xll.DBRW($B$1,$B$2,$B$7,$B$3,$B$4,$B$5,$F176,$B$6,AB$10,$A176,$B176)</f>
        <v>0</v>
      </c>
      <c r="AC176" s="4">
        <f ca="1">_xll.DBRW($B$1,$B$2,$B$7,$B$3,$B$4,$B$5,$F176,$B$6,AC$10,$A176,$B176)</f>
        <v>854857.18742105737</v>
      </c>
      <c r="AD176" s="4">
        <f ca="1">_xll.DBRW($B$1,$B$2,$B$7,$B$3,$B$4,$B$5,$F176,$B$6,AD$10,$A176,$B176)</f>
        <v>3535322.398875379</v>
      </c>
      <c r="AE176" s="4">
        <f ca="1">_xll.DBRW($B$1,$B$2,$B$7,$B$3,$B$4,$B$5,$F176,$B$6,AE$10,$A176,$B176)</f>
        <v>4892533.4753111405</v>
      </c>
    </row>
    <row r="177" spans="1:31">
      <c r="A177" s="1" t="s">
        <v>153</v>
      </c>
      <c r="B177" s="5" t="s">
        <v>214</v>
      </c>
      <c r="C177" s="5" t="s">
        <v>187</v>
      </c>
      <c r="D177" s="5" t="s">
        <v>21</v>
      </c>
      <c r="E177" s="5" t="s">
        <v>59</v>
      </c>
      <c r="F177" s="5" t="s">
        <v>24</v>
      </c>
      <c r="G177" s="6"/>
      <c r="H177" s="6"/>
      <c r="I177" s="6"/>
      <c r="J177" s="6"/>
      <c r="K177" s="6"/>
      <c r="L177" s="4">
        <f ca="1">_xll.DBRW($B$1,$B$2,$B$7,$B$3,$B$4,$B$5,$F177,$B$6,L$10,$A177,$B177)</f>
        <v>11025145.040000001</v>
      </c>
      <c r="M177" s="4">
        <f ca="1">_xll.DBRW($B$1,$B$2,$B$7,$B$3,$B$4,$B$5,$F177,$B$6,M$10,$A177,$B177)</f>
        <v>10209220.036012392</v>
      </c>
      <c r="N177" s="4">
        <f ca="1">_xll.DBRW($B$1,$B$2,$B$7,$B$3,$B$4,$B$5,$F177,$B$6,N$10,$A177,$B177)</f>
        <v>9934746.0799999982</v>
      </c>
      <c r="O177" s="4">
        <f ca="1">_xll.DBRW($B$1,$B$2,$B$7,$B$3,$B$4,$B$5,$F177,$B$6,O$10,$A177,$B177)</f>
        <v>10298212.4</v>
      </c>
      <c r="P177" s="4">
        <f ca="1">_xll.DBRW($B$1,$B$2,$B$7,$B$3,$B$4,$B$5,$F177,$B$6,P$10,$A177,$B177)</f>
        <v>9966012.0000000019</v>
      </c>
      <c r="Q177" s="4">
        <f ca="1">_xll.DBRW($B$1,$B$2,$B$7,$B$3,$B$4,$B$5,$F177,$B$6,Q$10,$A177,$B177)</f>
        <v>9520472.6400000006</v>
      </c>
      <c r="R177" s="4">
        <f ca="1">_xll.DBRW($B$1,$B$2,$B$7,$B$3,$B$4,$B$5,$F177,$B$6,R$10,$A177,$B177)</f>
        <v>4572640.8</v>
      </c>
      <c r="S177" s="4">
        <f ca="1">_xll.DBRW($B$1,$B$2,$B$7,$B$3,$B$4,$B$5,$F177,$B$6,S$10,$A177,$B177)</f>
        <v>0</v>
      </c>
      <c r="T177" s="4">
        <f ca="1">_xll.DBRW($B$1,$B$2,$B$7,$B$3,$B$4,$B$5,$F177,$B$6,T$10,$A177,$B177)</f>
        <v>0</v>
      </c>
      <c r="U177" s="4">
        <f ca="1">_xll.DBRW($B$1,$B$2,$B$7,$B$3,$B$4,$B$5,$F177,$B$6,U$10,$A177,$B177)</f>
        <v>0</v>
      </c>
      <c r="V177" s="4">
        <f ca="1">_xll.DBRW($B$1,$B$2,$B$7,$B$3,$B$4,$B$5,$F177,$B$6,V$10,$A177,$B177)</f>
        <v>732838.73372633907</v>
      </c>
      <c r="W177" s="4">
        <f ca="1">_xll.DBRW($B$1,$B$2,$B$7,$B$3,$B$4,$B$5,$F177,$B$6,W$10,$A177,$B177)</f>
        <v>11035642.706182374</v>
      </c>
      <c r="X177" s="4">
        <f ca="1">_xll.DBRW($B$1,$B$2,$B$7,$B$3,$B$4,$B$5,$F177,$B$6,X$10,$A177,$B177)</f>
        <v>12000677.896244679</v>
      </c>
      <c r="Y177" s="4">
        <f ca="1">_xll.DBRW($B$1,$B$2,$B$7,$B$3,$B$4,$B$5,$F177,$B$6,Y$10,$A177,$B177)</f>
        <v>11158690.538260423</v>
      </c>
      <c r="Z177" s="4">
        <f ca="1">_xll.DBRW($B$1,$B$2,$B$7,$B$3,$B$4,$B$5,$F177,$B$6,Z$10,$A177,$B177)</f>
        <v>11623400.697209204</v>
      </c>
      <c r="AA177" s="4">
        <f ca="1">_xll.DBRW($B$1,$B$2,$B$7,$B$3,$B$4,$B$5,$F177,$B$6,AA$10,$A177,$B177)</f>
        <v>11260939.708163001</v>
      </c>
      <c r="AB177" s="4">
        <f ca="1">_xll.DBRW($B$1,$B$2,$B$7,$B$3,$B$4,$B$5,$F177,$B$6,AB$10,$A177,$B177)</f>
        <v>11343662.598444879</v>
      </c>
      <c r="AC177" s="4">
        <f ca="1">_xll.DBRW($B$1,$B$2,$B$7,$B$3,$B$4,$B$5,$F177,$B$6,AC$10,$A177,$B177)</f>
        <v>9474918.3189126346</v>
      </c>
      <c r="AD177" s="4">
        <f ca="1">_xll.DBRW($B$1,$B$2,$B$7,$B$3,$B$4,$B$5,$F177,$B$6,AD$10,$A177,$B177)</f>
        <v>0</v>
      </c>
      <c r="AE177" s="4">
        <f ca="1">_xll.DBRW($B$1,$B$2,$B$7,$B$3,$B$4,$B$5,$F177,$B$6,AE$10,$A177,$B177)</f>
        <v>0</v>
      </c>
    </row>
    <row r="178" spans="1:31">
      <c r="A178" s="1" t="s">
        <v>153</v>
      </c>
      <c r="B178" s="5" t="s">
        <v>63</v>
      </c>
      <c r="C178" s="5" t="s">
        <v>62</v>
      </c>
      <c r="D178" s="5" t="s">
        <v>59</v>
      </c>
      <c r="E178" s="5" t="s">
        <v>21</v>
      </c>
      <c r="F178" s="5" t="s">
        <v>24</v>
      </c>
      <c r="G178" s="6"/>
      <c r="H178" s="6"/>
      <c r="I178" s="6"/>
      <c r="J178" s="6"/>
      <c r="K178" s="6"/>
      <c r="L178" s="4">
        <f ca="1">_xll.DBRW($B$1,$B$2,$B$7,$B$3,$B$4,$B$5,$F178,$B$6,L$10,$A178,$B178)</f>
        <v>11025145.040000001</v>
      </c>
      <c r="M178" s="4">
        <f ca="1">_xll.DBRW($B$1,$B$2,$B$7,$B$3,$B$4,$B$5,$F178,$B$6,M$10,$A178,$B178)</f>
        <v>10209220.036012392</v>
      </c>
      <c r="N178" s="4">
        <f ca="1">_xll.DBRW($B$1,$B$2,$B$7,$B$3,$B$4,$B$5,$F178,$B$6,N$10,$A178,$B178)</f>
        <v>9934746.0799999982</v>
      </c>
      <c r="O178" s="4">
        <f ca="1">_xll.DBRW($B$1,$B$2,$B$7,$B$3,$B$4,$B$5,$F178,$B$6,O$10,$A178,$B178)</f>
        <v>10298212.4</v>
      </c>
      <c r="P178" s="4">
        <f ca="1">_xll.DBRW($B$1,$B$2,$B$7,$B$3,$B$4,$B$5,$F178,$B$6,P$10,$A178,$B178)</f>
        <v>9966012.0000000019</v>
      </c>
      <c r="Q178" s="4">
        <f ca="1">_xll.DBRW($B$1,$B$2,$B$7,$B$3,$B$4,$B$5,$F178,$B$6,Q$10,$A178,$B178)</f>
        <v>9520472.6400000006</v>
      </c>
      <c r="R178" s="4">
        <f ca="1">_xll.DBRW($B$1,$B$2,$B$7,$B$3,$B$4,$B$5,$F178,$B$6,R$10,$A178,$B178)</f>
        <v>4572640.8</v>
      </c>
      <c r="S178" s="4">
        <f ca="1">_xll.DBRW($B$1,$B$2,$B$7,$B$3,$B$4,$B$5,$F178,$B$6,S$10,$A178,$B178)</f>
        <v>0</v>
      </c>
      <c r="T178" s="4">
        <f ca="1">_xll.DBRW($B$1,$B$2,$B$7,$B$3,$B$4,$B$5,$F178,$B$6,T$10,$A178,$B178)</f>
        <v>0</v>
      </c>
      <c r="U178" s="4">
        <f ca="1">_xll.DBRW($B$1,$B$2,$B$7,$B$3,$B$4,$B$5,$F178,$B$6,U$10,$A178,$B178)</f>
        <v>0</v>
      </c>
      <c r="V178" s="4">
        <f ca="1">_xll.DBRW($B$1,$B$2,$B$7,$B$3,$B$4,$B$5,$F178,$B$6,V$10,$A178,$B178)</f>
        <v>732838.73372633907</v>
      </c>
      <c r="W178" s="4">
        <f ca="1">_xll.DBRW($B$1,$B$2,$B$7,$B$3,$B$4,$B$5,$F178,$B$6,W$10,$A178,$B178)</f>
        <v>10825439.987969374</v>
      </c>
      <c r="X178" s="4">
        <f ca="1">_xll.DBRW($B$1,$B$2,$B$7,$B$3,$B$4,$B$5,$F178,$B$6,X$10,$A178,$B178)</f>
        <v>11724164.580663005</v>
      </c>
      <c r="Y178" s="4">
        <f ca="1">_xll.DBRW($B$1,$B$2,$B$7,$B$3,$B$4,$B$5,$F178,$B$6,Y$10,$A178,$B178)</f>
        <v>10946144.051817369</v>
      </c>
      <c r="Z178" s="4">
        <f ca="1">_xll.DBRW($B$1,$B$2,$B$7,$B$3,$B$4,$B$5,$F178,$B$6,Z$10,$A178,$B178)</f>
        <v>11355580.404646778</v>
      </c>
      <c r="AA178" s="4">
        <f ca="1">_xll.DBRW($B$1,$B$2,$B$7,$B$3,$B$4,$B$5,$F178,$B$6,AA$10,$A178,$B178)</f>
        <v>11053364.782666909</v>
      </c>
      <c r="AB178" s="4">
        <f ca="1">_xll.DBRW($B$1,$B$2,$B$7,$B$3,$B$4,$B$5,$F178,$B$6,AB$10,$A178,$B178)</f>
        <v>11127592.834664972</v>
      </c>
      <c r="AC178" s="4">
        <f ca="1">_xll.DBRW($B$1,$B$2,$B$7,$B$3,$B$4,$B$5,$F178,$B$6,AC$10,$A178,$B178)</f>
        <v>9258348.7573374901</v>
      </c>
      <c r="AD178" s="4">
        <f ca="1">_xll.DBRW($B$1,$B$2,$B$7,$B$3,$B$4,$B$5,$F178,$B$6,AD$10,$A178,$B178)</f>
        <v>0</v>
      </c>
      <c r="AE178" s="4">
        <f ca="1">_xll.DBRW($B$1,$B$2,$B$7,$B$3,$B$4,$B$5,$F178,$B$6,AE$10,$A178,$B178)</f>
        <v>0</v>
      </c>
    </row>
    <row r="179" spans="1:31">
      <c r="A179" s="1" t="s">
        <v>153</v>
      </c>
      <c r="B179" s="5" t="s">
        <v>215</v>
      </c>
      <c r="C179" s="5" t="s">
        <v>159</v>
      </c>
      <c r="D179" s="5" t="s">
        <v>21</v>
      </c>
      <c r="E179" s="5" t="s">
        <v>38</v>
      </c>
      <c r="F179" s="5" t="s">
        <v>24</v>
      </c>
      <c r="G179" s="6"/>
      <c r="H179" s="6"/>
      <c r="I179" s="6"/>
      <c r="J179" s="6"/>
      <c r="K179" s="6"/>
      <c r="L179" s="4">
        <f ca="1">_xll.DBRW($B$1,$B$2,$B$7,$B$3,$B$4,$B$5,$F179,$B$6,L$10,$A179,$B179)</f>
        <v>7494998.5213679094</v>
      </c>
      <c r="M179" s="4">
        <f ca="1">_xll.DBRW($B$1,$B$2,$B$7,$B$3,$B$4,$B$5,$F179,$B$6,M$10,$A179,$B179)</f>
        <v>7716436.4025810054</v>
      </c>
      <c r="N179" s="4">
        <f ca="1">_xll.DBRW($B$1,$B$2,$B$7,$B$3,$B$4,$B$5,$F179,$B$6,N$10,$A179,$B179)</f>
        <v>7708265.4097291874</v>
      </c>
      <c r="O179" s="4">
        <f ca="1">_xll.DBRW($B$1,$B$2,$B$7,$B$3,$B$4,$B$5,$F179,$B$6,O$10,$A179,$B179)</f>
        <v>6989456.6685949164</v>
      </c>
      <c r="P179" s="4">
        <f ca="1">_xll.DBRW($B$1,$B$2,$B$7,$B$3,$B$4,$B$5,$F179,$B$6,P$10,$A179,$B179)</f>
        <v>7782537.0043663168</v>
      </c>
      <c r="Q179" s="4">
        <f ca="1">_xll.DBRW($B$1,$B$2,$B$7,$B$3,$B$4,$B$5,$F179,$B$6,Q$10,$A179,$B179)</f>
        <v>8446765.0040066075</v>
      </c>
      <c r="R179" s="4">
        <f ca="1">_xll.DBRW($B$1,$B$2,$B$7,$B$3,$B$4,$B$5,$F179,$B$6,R$10,$A179,$B179)</f>
        <v>8254414.2689969139</v>
      </c>
      <c r="S179" s="4">
        <f ca="1">_xll.DBRW($B$1,$B$2,$B$7,$B$3,$B$4,$B$5,$F179,$B$6,S$10,$A179,$B179)</f>
        <v>8864184</v>
      </c>
      <c r="T179" s="4">
        <f ca="1">_xll.DBRW($B$1,$B$2,$B$7,$B$3,$B$4,$B$5,$F179,$B$6,T$10,$A179,$B179)</f>
        <v>7131431.5823906744</v>
      </c>
      <c r="U179" s="4">
        <f ca="1">_xll.DBRW($B$1,$B$2,$B$7,$B$3,$B$4,$B$5,$F179,$B$6,U$10,$A179,$B179)</f>
        <v>6275422.1403640425</v>
      </c>
      <c r="V179" s="4">
        <f ca="1">_xll.DBRW($B$1,$B$2,$B$7,$B$3,$B$4,$B$5,$F179,$B$6,V$10,$A179,$B179)</f>
        <v>7969232.2832219284</v>
      </c>
      <c r="W179" s="4">
        <f ca="1">_xll.DBRW($B$1,$B$2,$B$7,$B$3,$B$4,$B$5,$F179,$B$6,W$10,$A179,$B179)</f>
        <v>7660106.4005608018</v>
      </c>
      <c r="X179" s="4">
        <f ca="1">_xll.DBRW($B$1,$B$2,$B$7,$B$3,$B$4,$B$5,$F179,$B$6,X$10,$A179,$B179)</f>
        <v>8122037.153535055</v>
      </c>
      <c r="Y179" s="4">
        <f ca="1">_xll.DBRW($B$1,$B$2,$B$7,$B$3,$B$4,$B$5,$F179,$B$6,Y$10,$A179,$B179)</f>
        <v>8050754.7780635124</v>
      </c>
      <c r="Z179" s="4">
        <f ca="1">_xll.DBRW($B$1,$B$2,$B$7,$B$3,$B$4,$B$5,$F179,$B$6,Z$10,$A179,$B179)</f>
        <v>8253396.9604591923</v>
      </c>
      <c r="AA179" s="4">
        <f ca="1">_xll.DBRW($B$1,$B$2,$B$7,$B$3,$B$4,$B$5,$F179,$B$6,AA$10,$A179,$B179)</f>
        <v>7419995.8173978534</v>
      </c>
      <c r="AB179" s="4">
        <f ca="1">_xll.DBRW($B$1,$B$2,$B$7,$B$3,$B$4,$B$5,$F179,$B$6,AB$10,$A179,$B179)</f>
        <v>7304037.461978686</v>
      </c>
      <c r="AC179" s="4">
        <f ca="1">_xll.DBRW($B$1,$B$2,$B$7,$B$3,$B$4,$B$5,$F179,$B$6,AC$10,$A179,$B179)</f>
        <v>7839432.4350704402</v>
      </c>
      <c r="AD179" s="4">
        <f ca="1">_xll.DBRW($B$1,$B$2,$B$7,$B$3,$B$4,$B$5,$F179,$B$6,AD$10,$A179,$B179)</f>
        <v>7711135.9022303363</v>
      </c>
      <c r="AE179" s="4">
        <f ca="1">_xll.DBRW($B$1,$B$2,$B$7,$B$3,$B$4,$B$5,$F179,$B$6,AE$10,$A179,$B179)</f>
        <v>8016181.6814835388</v>
      </c>
    </row>
    <row r="180" spans="1:31">
      <c r="A180" s="1" t="s">
        <v>153</v>
      </c>
      <c r="B180" s="5" t="s">
        <v>43</v>
      </c>
      <c r="C180" s="5" t="s">
        <v>37</v>
      </c>
      <c r="D180" s="5" t="s">
        <v>38</v>
      </c>
      <c r="E180" s="5" t="s">
        <v>21</v>
      </c>
      <c r="F180" s="5" t="s">
        <v>24</v>
      </c>
      <c r="G180" s="6"/>
      <c r="H180" s="6"/>
      <c r="I180" s="6"/>
      <c r="J180" s="6"/>
      <c r="K180" s="6"/>
      <c r="L180" s="4">
        <f ca="1">_xll.DBRW($B$1,$B$2,$B$7,$B$3,$B$4,$B$5,$F180,$B$6,L$10,$A180,$B180)</f>
        <v>7272115.1834146939</v>
      </c>
      <c r="M180" s="4">
        <f ca="1">_xll.DBRW($B$1,$B$2,$B$7,$B$3,$B$4,$B$5,$F180,$B$6,M$10,$A180,$B180)</f>
        <v>7523525.4925164804</v>
      </c>
      <c r="N180" s="4">
        <f ca="1">_xll.DBRW($B$1,$B$2,$B$7,$B$3,$B$4,$B$5,$F180,$B$6,N$10,$A180,$B180)</f>
        <v>7609441.4942198386</v>
      </c>
      <c r="O180" s="4">
        <f ca="1">_xll.DBRW($B$1,$B$2,$B$7,$B$3,$B$4,$B$5,$F180,$B$6,O$10,$A180,$B180)</f>
        <v>6651676.2347966488</v>
      </c>
      <c r="P180" s="4">
        <f ca="1">_xll.DBRW($B$1,$B$2,$B$7,$B$3,$B$4,$B$5,$F180,$B$6,P$10,$A180,$B180)</f>
        <v>991346.9755561857</v>
      </c>
      <c r="Q180" s="4">
        <f ca="1">_xll.DBRW($B$1,$B$2,$B$7,$B$3,$B$4,$B$5,$F180,$B$6,Q$10,$A180,$B180)</f>
        <v>1763500.1669100388</v>
      </c>
      <c r="R180" s="4">
        <f ca="1">_xll.DBRW($B$1,$B$2,$B$7,$B$3,$B$4,$B$5,$F180,$B$6,R$10,$A180,$B180)</f>
        <v>8254414.2689969139</v>
      </c>
      <c r="S180" s="4">
        <f ca="1">_xll.DBRW($B$1,$B$2,$B$7,$B$3,$B$4,$B$5,$F180,$B$6,S$10,$A180,$B180)</f>
        <v>8864184</v>
      </c>
      <c r="T180" s="4">
        <f ca="1">_xll.DBRW($B$1,$B$2,$B$7,$B$3,$B$4,$B$5,$F180,$B$6,T$10,$A180,$B180)</f>
        <v>7303688.3838976938</v>
      </c>
      <c r="U180" s="4">
        <f ca="1">_xll.DBRW($B$1,$B$2,$B$7,$B$3,$B$4,$B$5,$F180,$B$6,U$10,$A180,$B180)</f>
        <v>6444116.2839222159</v>
      </c>
      <c r="V180" s="4">
        <f ca="1">_xll.DBRW($B$1,$B$2,$B$7,$B$3,$B$4,$B$5,$F180,$B$6,V$10,$A180,$B180)</f>
        <v>8162895.279168996</v>
      </c>
      <c r="W180" s="4">
        <f ca="1">_xll.DBRW($B$1,$B$2,$B$7,$B$3,$B$4,$B$5,$F180,$B$6,W$10,$A180,$B180)</f>
        <v>7660106.4005608018</v>
      </c>
      <c r="X180" s="4">
        <f ca="1">_xll.DBRW($B$1,$B$2,$B$7,$B$3,$B$4,$B$5,$F180,$B$6,X$10,$A180,$B180)</f>
        <v>8122037.153535055</v>
      </c>
      <c r="Y180" s="4">
        <f ca="1">_xll.DBRW($B$1,$B$2,$B$7,$B$3,$B$4,$B$5,$F180,$B$6,Y$10,$A180,$B180)</f>
        <v>8050754.7780635124</v>
      </c>
      <c r="Z180" s="4">
        <f ca="1">_xll.DBRW($B$1,$B$2,$B$7,$B$3,$B$4,$B$5,$F180,$B$6,Z$10,$A180,$B180)</f>
        <v>8253396.9604591923</v>
      </c>
      <c r="AA180" s="4">
        <f ca="1">_xll.DBRW($B$1,$B$2,$B$7,$B$3,$B$4,$B$5,$F180,$B$6,AA$10,$A180,$B180)</f>
        <v>7419995.8173978534</v>
      </c>
      <c r="AB180" s="4">
        <f ca="1">_xll.DBRW($B$1,$B$2,$B$7,$B$3,$B$4,$B$5,$F180,$B$6,AB$10,$A180,$B180)</f>
        <v>7304037.461978686</v>
      </c>
      <c r="AC180" s="4">
        <f ca="1">_xll.DBRW($B$1,$B$2,$B$7,$B$3,$B$4,$B$5,$F180,$B$6,AC$10,$A180,$B180)</f>
        <v>7625545.1918834662</v>
      </c>
      <c r="AD180" s="4">
        <f ca="1">_xll.DBRW($B$1,$B$2,$B$7,$B$3,$B$4,$B$5,$F180,$B$6,AD$10,$A180,$B180)</f>
        <v>7953624.4526149379</v>
      </c>
      <c r="AE180" s="4">
        <f ca="1">_xll.DBRW($B$1,$B$2,$B$7,$B$3,$B$4,$B$5,$F180,$B$6,AE$10,$A180,$B180)</f>
        <v>7938260.1098530805</v>
      </c>
    </row>
    <row r="181" spans="1:31">
      <c r="A181" s="1" t="s">
        <v>153</v>
      </c>
      <c r="B181" s="5" t="s">
        <v>216</v>
      </c>
      <c r="C181" s="5" t="s">
        <v>163</v>
      </c>
      <c r="D181" s="5" t="s">
        <v>21</v>
      </c>
      <c r="E181" s="5" t="s">
        <v>54</v>
      </c>
      <c r="F181" s="5" t="s">
        <v>24</v>
      </c>
      <c r="G181" s="6"/>
      <c r="H181" s="6"/>
      <c r="I181" s="6"/>
      <c r="J181" s="6"/>
      <c r="K181" s="6"/>
      <c r="L181" s="4">
        <f ca="1">_xll.DBRW($B$1,$B$2,$B$7,$B$3,$B$4,$B$5,$F181,$B$6,L$10,$A181,$B181)</f>
        <v>8192618</v>
      </c>
      <c r="M181" s="4">
        <f ca="1">_xll.DBRW($B$1,$B$2,$B$7,$B$3,$B$4,$B$5,$F181,$B$6,M$10,$A181,$B181)</f>
        <v>8587431.2891845927</v>
      </c>
      <c r="N181" s="4">
        <f ca="1">_xll.DBRW($B$1,$B$2,$B$7,$B$3,$B$4,$B$5,$F181,$B$6,N$10,$A181,$B181)</f>
        <v>8954721.9999999981</v>
      </c>
      <c r="O181" s="4">
        <f ca="1">_xll.DBRW($B$1,$B$2,$B$7,$B$3,$B$4,$B$5,$F181,$B$6,O$10,$A181,$B181)</f>
        <v>8573670.0000000019</v>
      </c>
      <c r="P181" s="4">
        <f ca="1">_xll.DBRW($B$1,$B$2,$B$7,$B$3,$B$4,$B$5,$F181,$B$6,P$10,$A181,$B181)</f>
        <v>8573670</v>
      </c>
      <c r="Q181" s="4">
        <f ca="1">_xll.DBRW($B$1,$B$2,$B$7,$B$3,$B$4,$B$5,$F181,$B$6,Q$10,$A181,$B181)</f>
        <v>6631534</v>
      </c>
      <c r="R181" s="4">
        <f ca="1">_xll.DBRW($B$1,$B$2,$B$7,$B$3,$B$4,$B$5,$F181,$B$6,R$10,$A181,$B181)</f>
        <v>0</v>
      </c>
      <c r="S181" s="4">
        <f ca="1">_xll.DBRW($B$1,$B$2,$B$7,$B$3,$B$4,$B$5,$F181,$B$6,S$10,$A181,$B181)</f>
        <v>0</v>
      </c>
      <c r="T181" s="4">
        <f ca="1">_xll.DBRW($B$1,$B$2,$B$7,$B$3,$B$4,$B$5,$F181,$B$6,T$10,$A181,$B181)</f>
        <v>0</v>
      </c>
      <c r="U181" s="4">
        <f ca="1">_xll.DBRW($B$1,$B$2,$B$7,$B$3,$B$4,$B$5,$F181,$B$6,U$10,$A181,$B181)</f>
        <v>0</v>
      </c>
      <c r="V181" s="4">
        <f ca="1">_xll.DBRW($B$1,$B$2,$B$7,$B$3,$B$4,$B$5,$F181,$B$6,V$10,$A181,$B181)</f>
        <v>833285.51846198482</v>
      </c>
      <c r="W181" s="4">
        <f ca="1">_xll.DBRW($B$1,$B$2,$B$7,$B$3,$B$4,$B$5,$F181,$B$6,W$10,$A181,$B181)</f>
        <v>13100401.167711977</v>
      </c>
      <c r="X181" s="4">
        <f ca="1">_xll.DBRW($B$1,$B$2,$B$7,$B$3,$B$4,$B$5,$F181,$B$6,X$10,$A181,$B181)</f>
        <v>14353923.213604143</v>
      </c>
      <c r="Y181" s="4">
        <f ca="1">_xll.DBRW($B$1,$B$2,$B$7,$B$3,$B$4,$B$5,$F181,$B$6,Y$10,$A181,$B181)</f>
        <v>14417811.468225252</v>
      </c>
      <c r="Z181" s="4">
        <f ca="1">_xll.DBRW($B$1,$B$2,$B$7,$B$3,$B$4,$B$5,$F181,$B$6,Z$10,$A181,$B181)</f>
        <v>14859090.008990787</v>
      </c>
      <c r="AA181" s="4">
        <f ca="1">_xll.DBRW($B$1,$B$2,$B$7,$B$3,$B$4,$B$5,$F181,$B$6,AA$10,$A181,$B181)</f>
        <v>13833756.069024868</v>
      </c>
      <c r="AB181" s="4">
        <f ca="1">_xll.DBRW($B$1,$B$2,$B$7,$B$3,$B$4,$B$5,$F181,$B$6,AB$10,$A181,$B181)</f>
        <v>13864588.081785142</v>
      </c>
      <c r="AC181" s="4">
        <f ca="1">_xll.DBRW($B$1,$B$2,$B$7,$B$3,$B$4,$B$5,$F181,$B$6,AC$10,$A181,$B181)</f>
        <v>10945927.457217589</v>
      </c>
      <c r="AD181" s="4">
        <f ca="1">_xll.DBRW($B$1,$B$2,$B$7,$B$3,$B$4,$B$5,$F181,$B$6,AD$10,$A181,$B181)</f>
        <v>0</v>
      </c>
      <c r="AE181" s="4">
        <f ca="1">_xll.DBRW($B$1,$B$2,$B$7,$B$3,$B$4,$B$5,$F181,$B$6,AE$10,$A181,$B181)</f>
        <v>0</v>
      </c>
    </row>
    <row r="182" spans="1:31">
      <c r="A182" s="1" t="s">
        <v>153</v>
      </c>
      <c r="B182" s="5" t="s">
        <v>56</v>
      </c>
      <c r="C182" s="5" t="s">
        <v>53</v>
      </c>
      <c r="D182" s="5" t="s">
        <v>54</v>
      </c>
      <c r="E182" s="5" t="s">
        <v>21</v>
      </c>
      <c r="F182" s="5" t="s">
        <v>24</v>
      </c>
      <c r="G182" s="6"/>
      <c r="H182" s="6"/>
      <c r="I182" s="6"/>
      <c r="J182" s="6"/>
      <c r="K182" s="6"/>
      <c r="L182" s="4">
        <f ca="1">_xll.DBRW($B$1,$B$2,$B$7,$B$3,$B$4,$B$5,$F182,$B$6,L$10,$A182,$B182)</f>
        <v>8192618</v>
      </c>
      <c r="M182" s="4">
        <f ca="1">_xll.DBRW($B$1,$B$2,$B$7,$B$3,$B$4,$B$5,$F182,$B$6,M$10,$A182,$B182)</f>
        <v>8587431.2891845927</v>
      </c>
      <c r="N182" s="4">
        <f ca="1">_xll.DBRW($B$1,$B$2,$B$7,$B$3,$B$4,$B$5,$F182,$B$6,N$10,$A182,$B182)</f>
        <v>8954721.9999999981</v>
      </c>
      <c r="O182" s="4">
        <f ca="1">_xll.DBRW($B$1,$B$2,$B$7,$B$3,$B$4,$B$5,$F182,$B$6,O$10,$A182,$B182)</f>
        <v>8573670.0000000019</v>
      </c>
      <c r="P182" s="4">
        <f ca="1">_xll.DBRW($B$1,$B$2,$B$7,$B$3,$B$4,$B$5,$F182,$B$6,P$10,$A182,$B182)</f>
        <v>8573670</v>
      </c>
      <c r="Q182" s="4">
        <f ca="1">_xll.DBRW($B$1,$B$2,$B$7,$B$3,$B$4,$B$5,$F182,$B$6,Q$10,$A182,$B182)</f>
        <v>6631534</v>
      </c>
      <c r="R182" s="4">
        <f ca="1">_xll.DBRW($B$1,$B$2,$B$7,$B$3,$B$4,$B$5,$F182,$B$6,R$10,$A182,$B182)</f>
        <v>0</v>
      </c>
      <c r="S182" s="4">
        <f ca="1">_xll.DBRW($B$1,$B$2,$B$7,$B$3,$B$4,$B$5,$F182,$B$6,S$10,$A182,$B182)</f>
        <v>0</v>
      </c>
      <c r="T182" s="4">
        <f ca="1">_xll.DBRW($B$1,$B$2,$B$7,$B$3,$B$4,$B$5,$F182,$B$6,T$10,$A182,$B182)</f>
        <v>0</v>
      </c>
      <c r="U182" s="4">
        <f ca="1">_xll.DBRW($B$1,$B$2,$B$7,$B$3,$B$4,$B$5,$F182,$B$6,U$10,$A182,$B182)</f>
        <v>0</v>
      </c>
      <c r="V182" s="4">
        <f ca="1">_xll.DBRW($B$1,$B$2,$B$7,$B$3,$B$4,$B$5,$F182,$B$6,V$10,$A182,$B182)</f>
        <v>833285.51846198482</v>
      </c>
      <c r="W182" s="4">
        <f ca="1">_xll.DBRW($B$1,$B$2,$B$7,$B$3,$B$4,$B$5,$F182,$B$6,W$10,$A182,$B182)</f>
        <v>13100401.167711977</v>
      </c>
      <c r="X182" s="4">
        <f ca="1">_xll.DBRW($B$1,$B$2,$B$7,$B$3,$B$4,$B$5,$F182,$B$6,X$10,$A182,$B182)</f>
        <v>14353923.213604143</v>
      </c>
      <c r="Y182" s="4">
        <f ca="1">_xll.DBRW($B$1,$B$2,$B$7,$B$3,$B$4,$B$5,$F182,$B$6,Y$10,$A182,$B182)</f>
        <v>14417811.468225252</v>
      </c>
      <c r="Z182" s="4">
        <f ca="1">_xll.DBRW($B$1,$B$2,$B$7,$B$3,$B$4,$B$5,$F182,$B$6,Z$10,$A182,$B182)</f>
        <v>14859090.008990787</v>
      </c>
      <c r="AA182" s="4">
        <f ca="1">_xll.DBRW($B$1,$B$2,$B$7,$B$3,$B$4,$B$5,$F182,$B$6,AA$10,$A182,$B182)</f>
        <v>13833756.069024868</v>
      </c>
      <c r="AB182" s="4">
        <f ca="1">_xll.DBRW($B$1,$B$2,$B$7,$B$3,$B$4,$B$5,$F182,$B$6,AB$10,$A182,$B182)</f>
        <v>13864588.081785142</v>
      </c>
      <c r="AC182" s="4">
        <f ca="1">_xll.DBRW($B$1,$B$2,$B$7,$B$3,$B$4,$B$5,$F182,$B$6,AC$10,$A182,$B182)</f>
        <v>10508090.358928883</v>
      </c>
      <c r="AD182" s="4">
        <f ca="1">_xll.DBRW($B$1,$B$2,$B$7,$B$3,$B$4,$B$5,$F182,$B$6,AD$10,$A182,$B182)</f>
        <v>0</v>
      </c>
      <c r="AE182" s="4">
        <f ca="1">_xll.DBRW($B$1,$B$2,$B$7,$B$3,$B$4,$B$5,$F182,$B$6,AE$10,$A182,$B182)</f>
        <v>0</v>
      </c>
    </row>
    <row r="183" spans="1:31">
      <c r="A183" s="1" t="s">
        <v>153</v>
      </c>
      <c r="B183" s="5" t="s">
        <v>217</v>
      </c>
      <c r="C183" s="5" t="s">
        <v>159</v>
      </c>
      <c r="D183" s="5" t="s">
        <v>21</v>
      </c>
      <c r="E183" s="5" t="s">
        <v>38</v>
      </c>
      <c r="F183" s="5" t="s">
        <v>24</v>
      </c>
      <c r="G183" s="6"/>
      <c r="H183" s="6"/>
      <c r="I183" s="6"/>
      <c r="J183" s="6"/>
      <c r="K183" s="6"/>
      <c r="L183" s="4">
        <f ca="1">_xll.DBRW($B$1,$B$2,$B$7,$B$3,$B$4,$B$5,$F183,$B$6,L$10,$A183,$B183)</f>
        <v>6315027.9086744189</v>
      </c>
      <c r="M183" s="4">
        <f ca="1">_xll.DBRW($B$1,$B$2,$B$7,$B$3,$B$4,$B$5,$F183,$B$6,M$10,$A183,$B183)</f>
        <v>6751881.8522583796</v>
      </c>
      <c r="N183" s="4">
        <f ca="1">_xll.DBRW($B$1,$B$2,$B$7,$B$3,$B$4,$B$5,$F183,$B$6,N$10,$A183,$B183)</f>
        <v>6769438.2123903763</v>
      </c>
      <c r="O183" s="4">
        <f ca="1">_xll.DBRW($B$1,$B$2,$B$7,$B$3,$B$4,$B$5,$F183,$B$6,O$10,$A183,$B183)</f>
        <v>6409167.2054030206</v>
      </c>
      <c r="P183" s="4">
        <f ca="1">_xll.DBRW($B$1,$B$2,$B$7,$B$3,$B$4,$B$5,$F183,$B$6,P$10,$A183,$B183)</f>
        <v>852373.10047821573</v>
      </c>
      <c r="Q183" s="4">
        <f ca="1">_xll.DBRW($B$1,$B$2,$B$7,$B$3,$B$4,$B$5,$F183,$B$6,Q$10,$A183,$B183)</f>
        <v>0</v>
      </c>
      <c r="R183" s="4">
        <f ca="1">_xll.DBRW($B$1,$B$2,$B$7,$B$3,$B$4,$B$5,$F183,$B$6,R$10,$A183,$B183)</f>
        <v>0</v>
      </c>
      <c r="S183" s="4">
        <f ca="1">_xll.DBRW($B$1,$B$2,$B$7,$B$3,$B$4,$B$5,$F183,$B$6,S$10,$A183,$B183)</f>
        <v>0</v>
      </c>
      <c r="T183" s="4">
        <f ca="1">_xll.DBRW($B$1,$B$2,$B$7,$B$3,$B$4,$B$5,$F183,$B$6,T$10,$A183,$B183)</f>
        <v>6898884.9003561931</v>
      </c>
      <c r="U183" s="4">
        <f ca="1">_xll.DBRW($B$1,$B$2,$B$7,$B$3,$B$4,$B$5,$F183,$B$6,U$10,$A183,$B183)</f>
        <v>6089858.5824500518</v>
      </c>
      <c r="V183" s="4">
        <f ca="1">_xll.DBRW($B$1,$B$2,$B$7,$B$3,$B$4,$B$5,$F183,$B$6,V$10,$A183,$B183)</f>
        <v>7765886.1374775041</v>
      </c>
      <c r="W183" s="4">
        <f ca="1">_xll.DBRW($B$1,$B$2,$B$7,$B$3,$B$4,$B$5,$F183,$B$6,W$10,$A183,$B183)</f>
        <v>6931462.1331903841</v>
      </c>
      <c r="X183" s="4">
        <f ca="1">_xll.DBRW($B$1,$B$2,$B$7,$B$3,$B$4,$B$5,$F183,$B$6,X$10,$A183,$B183)</f>
        <v>7178616.5643567499</v>
      </c>
      <c r="Y183" s="4">
        <f ca="1">_xll.DBRW($B$1,$B$2,$B$7,$B$3,$B$4,$B$5,$F183,$B$6,Y$10,$A183,$B183)</f>
        <v>7290131.3205041382</v>
      </c>
      <c r="Z183" s="4">
        <f ca="1">_xll.DBRW($B$1,$B$2,$B$7,$B$3,$B$4,$B$5,$F183,$B$6,Z$10,$A183,$B183)</f>
        <v>7445576.26739538</v>
      </c>
      <c r="AA183" s="4">
        <f ca="1">_xll.DBRW($B$1,$B$2,$B$7,$B$3,$B$4,$B$5,$F183,$B$6,AA$10,$A183,$B183)</f>
        <v>6605820.7128791101</v>
      </c>
      <c r="AB183" s="4">
        <f ca="1">_xll.DBRW($B$1,$B$2,$B$7,$B$3,$B$4,$B$5,$F183,$B$6,AB$10,$A183,$B183)</f>
        <v>6609263.1668148618</v>
      </c>
      <c r="AC183" s="4">
        <f ca="1">_xll.DBRW($B$1,$B$2,$B$7,$B$3,$B$4,$B$5,$F183,$B$6,AC$10,$A183,$B183)</f>
        <v>7053629.302492206</v>
      </c>
      <c r="AD183" s="4">
        <f ca="1">_xll.DBRW($B$1,$B$2,$B$7,$B$3,$B$4,$B$5,$F183,$B$6,AD$10,$A183,$B183)</f>
        <v>7546243.6879688073</v>
      </c>
      <c r="AE183" s="4">
        <f ca="1">_xll.DBRW($B$1,$B$2,$B$7,$B$3,$B$4,$B$5,$F183,$B$6,AE$10,$A183,$B183)</f>
        <v>7699625.2967347968</v>
      </c>
    </row>
    <row r="184" spans="1:31">
      <c r="A184" s="1" t="s">
        <v>153</v>
      </c>
      <c r="B184" s="5" t="s">
        <v>44</v>
      </c>
      <c r="C184" s="5" t="s">
        <v>37</v>
      </c>
      <c r="D184" s="5" t="s">
        <v>38</v>
      </c>
      <c r="E184" s="5" t="s">
        <v>21</v>
      </c>
      <c r="F184" s="5" t="s">
        <v>24</v>
      </c>
      <c r="G184" s="6"/>
      <c r="H184" s="6"/>
      <c r="I184" s="6"/>
      <c r="J184" s="6"/>
      <c r="K184" s="6"/>
      <c r="L184" s="4">
        <f ca="1">_xll.DBRW($B$1,$B$2,$B$7,$B$3,$B$4,$B$5,$F184,$B$6,L$10,$A184,$B184)</f>
        <v>6476727.5852287123</v>
      </c>
      <c r="M184" s="4">
        <f ca="1">_xll.DBRW($B$1,$B$2,$B$7,$B$3,$B$4,$B$5,$F184,$B$6,M$10,$A184,$B184)</f>
        <v>6558970.9421938546</v>
      </c>
      <c r="N184" s="4">
        <f ca="1">_xll.DBRW($B$1,$B$2,$B$7,$B$3,$B$4,$B$5,$F184,$B$6,N$10,$A184,$B184)</f>
        <v>6594250.3621692583</v>
      </c>
      <c r="O184" s="4">
        <f ca="1">_xll.DBRW($B$1,$B$2,$B$7,$B$3,$B$4,$B$5,$F184,$B$6,O$10,$A184,$B184)</f>
        <v>6417828.2421670789</v>
      </c>
      <c r="P184" s="4">
        <f ca="1">_xll.DBRW($B$1,$B$2,$B$7,$B$3,$B$4,$B$5,$F184,$B$6,P$10,$A184,$B184)</f>
        <v>6448387.8036178062</v>
      </c>
      <c r="Q184" s="4">
        <f ca="1">_xll.DBRW($B$1,$B$2,$B$7,$B$3,$B$4,$B$5,$F184,$B$6,Q$10,$A184,$B184)</f>
        <v>5701315.8805216597</v>
      </c>
      <c r="R184" s="4">
        <f ca="1">_xll.DBRW($B$1,$B$2,$B$7,$B$3,$B$4,$B$5,$F184,$B$6,R$10,$A184,$B184)</f>
        <v>0</v>
      </c>
      <c r="S184" s="4">
        <f ca="1">_xll.DBRW($B$1,$B$2,$B$7,$B$3,$B$4,$B$5,$F184,$B$6,S$10,$A184,$B184)</f>
        <v>0</v>
      </c>
      <c r="T184" s="4">
        <f ca="1">_xll.DBRW($B$1,$B$2,$B$7,$B$3,$B$4,$B$5,$F184,$B$6,T$10,$A184,$B184)</f>
        <v>6382114.495835131</v>
      </c>
      <c r="U184" s="4">
        <f ca="1">_xll.DBRW($B$1,$B$2,$B$7,$B$3,$B$4,$B$5,$F184,$B$6,U$10,$A184,$B184)</f>
        <v>5583776.1517755333</v>
      </c>
      <c r="V184" s="4">
        <f ca="1">_xll.DBRW($B$1,$B$2,$B$7,$B$3,$B$4,$B$5,$F184,$B$6,V$10,$A184,$B184)</f>
        <v>7136481.4006495271</v>
      </c>
      <c r="W184" s="4">
        <f ca="1">_xll.DBRW($B$1,$B$2,$B$7,$B$3,$B$4,$B$5,$F184,$B$6,W$10,$A184,$B184)</f>
        <v>6931462.1331903841</v>
      </c>
      <c r="X184" s="4">
        <f ca="1">_xll.DBRW($B$1,$B$2,$B$7,$B$3,$B$4,$B$5,$F184,$B$6,X$10,$A184,$B184)</f>
        <v>7178616.5643567499</v>
      </c>
      <c r="Y184" s="4">
        <f ca="1">_xll.DBRW($B$1,$B$2,$B$7,$B$3,$B$4,$B$5,$F184,$B$6,Y$10,$A184,$B184)</f>
        <v>7290131.3205041382</v>
      </c>
      <c r="Z184" s="4">
        <f ca="1">_xll.DBRW($B$1,$B$2,$B$7,$B$3,$B$4,$B$5,$F184,$B$6,Z$10,$A184,$B184)</f>
        <v>7445576.26739538</v>
      </c>
      <c r="AA184" s="4">
        <f ca="1">_xll.DBRW($B$1,$B$2,$B$7,$B$3,$B$4,$B$5,$F184,$B$6,AA$10,$A184,$B184)</f>
        <v>6605820.7128791101</v>
      </c>
      <c r="AB184" s="4">
        <f ca="1">_xll.DBRW($B$1,$B$2,$B$7,$B$3,$B$4,$B$5,$F184,$B$6,AB$10,$A184,$B184)</f>
        <v>6609263.1668148618</v>
      </c>
      <c r="AC184" s="4">
        <f ca="1">_xll.DBRW($B$1,$B$2,$B$7,$B$3,$B$4,$B$5,$F184,$B$6,AC$10,$A184,$B184)</f>
        <v>6797894.5552034313</v>
      </c>
      <c r="AD184" s="4">
        <f ca="1">_xll.DBRW($B$1,$B$2,$B$7,$B$3,$B$4,$B$5,$F184,$B$6,AD$10,$A184,$B184)</f>
        <v>6867275.7468919214</v>
      </c>
      <c r="AE184" s="4">
        <f ca="1">_xll.DBRW($B$1,$B$2,$B$7,$B$3,$B$4,$B$5,$F184,$B$6,AE$10,$A184,$B184)</f>
        <v>6842488.0087997401</v>
      </c>
    </row>
    <row r="185" spans="1:31">
      <c r="A185" s="1" t="s">
        <v>153</v>
      </c>
      <c r="B185" s="5" t="s">
        <v>218</v>
      </c>
      <c r="C185" s="5" t="s">
        <v>219</v>
      </c>
      <c r="D185" s="5" t="s">
        <v>21</v>
      </c>
      <c r="E185" s="5" t="s">
        <v>49</v>
      </c>
      <c r="F185" s="5" t="s">
        <v>24</v>
      </c>
      <c r="G185" s="6"/>
      <c r="H185" s="6"/>
      <c r="I185" s="6"/>
      <c r="J185" s="6"/>
      <c r="K185" s="6"/>
      <c r="L185" s="4">
        <f ca="1">_xll.DBRW($B$1,$B$2,$B$7,$B$3,$B$4,$B$5,$F185,$B$6,L$10,$A185,$B185)</f>
        <v>7944283.1999999993</v>
      </c>
      <c r="M185" s="4">
        <f ca="1">_xll.DBRW($B$1,$B$2,$B$7,$B$3,$B$4,$B$5,$F185,$B$6,M$10,$A185,$B185)</f>
        <v>7962999.0763967019</v>
      </c>
      <c r="N185" s="4">
        <f ca="1">_xll.DBRW($B$1,$B$2,$B$7,$B$3,$B$4,$B$5,$F185,$B$6,N$10,$A185,$B185)</f>
        <v>7852969.5999999987</v>
      </c>
      <c r="O185" s="4">
        <f ca="1">_xll.DBRW($B$1,$B$2,$B$7,$B$3,$B$4,$B$5,$F185,$B$6,O$10,$A185,$B185)</f>
        <v>7852969.5999999987</v>
      </c>
      <c r="P185" s="4">
        <f ca="1">_xll.DBRW($B$1,$B$2,$B$7,$B$3,$B$4,$B$5,$F185,$B$6,P$10,$A185,$B185)</f>
        <v>8041488</v>
      </c>
      <c r="Q185" s="4">
        <f ca="1">_xll.DBRW($B$1,$B$2,$B$7,$B$3,$B$4,$B$5,$F185,$B$6,Q$10,$A185,$B185)</f>
        <v>8126910.3999999994</v>
      </c>
      <c r="R185" s="4">
        <f ca="1">_xll.DBRW($B$1,$B$2,$B$7,$B$3,$B$4,$B$5,$F185,$B$6,R$10,$A185,$B185)</f>
        <v>7511280</v>
      </c>
      <c r="S185" s="4">
        <f ca="1">_xll.DBRW($B$1,$B$2,$B$7,$B$3,$B$4,$B$5,$F185,$B$6,S$10,$A185,$B185)</f>
        <v>6574579.2000000002</v>
      </c>
      <c r="T185" s="4">
        <f ca="1">_xll.DBRW($B$1,$B$2,$B$7,$B$3,$B$4,$B$5,$F185,$B$6,T$10,$A185,$B185)</f>
        <v>7908764.3178738225</v>
      </c>
      <c r="U185" s="4">
        <f ca="1">_xll.DBRW($B$1,$B$2,$B$7,$B$3,$B$4,$B$5,$F185,$B$6,U$10,$A185,$B185)</f>
        <v>7850943.9263841128</v>
      </c>
      <c r="V185" s="4">
        <f ca="1">_xll.DBRW($B$1,$B$2,$B$7,$B$3,$B$4,$B$5,$F185,$B$6,V$10,$A185,$B185)</f>
        <v>8958465.9448318686</v>
      </c>
      <c r="W185" s="4">
        <f ca="1">_xll.DBRW($B$1,$B$2,$B$7,$B$3,$B$4,$B$5,$F185,$B$6,W$10,$A185,$B185)</f>
        <v>8744851.9333212115</v>
      </c>
      <c r="X185" s="4">
        <f ca="1">_xll.DBRW($B$1,$B$2,$B$7,$B$3,$B$4,$B$5,$F185,$B$6,X$10,$A185,$B185)</f>
        <v>9044786.6075722892</v>
      </c>
      <c r="Y185" s="4">
        <f ca="1">_xll.DBRW($B$1,$B$2,$B$7,$B$3,$B$4,$B$5,$F185,$B$6,Y$10,$A185,$B185)</f>
        <v>8753019.2976506036</v>
      </c>
      <c r="Z185" s="4">
        <f ca="1">_xll.DBRW($B$1,$B$2,$B$7,$B$3,$B$4,$B$5,$F185,$B$6,Z$10,$A185,$B185)</f>
        <v>9044786.6075722892</v>
      </c>
      <c r="AA185" s="4">
        <f ca="1">_xll.DBRW($B$1,$B$2,$B$7,$B$3,$B$4,$B$5,$F185,$B$6,AA$10,$A185,$B185)</f>
        <v>9044786.6075722873</v>
      </c>
      <c r="AB185" s="4">
        <f ca="1">_xll.DBRW($B$1,$B$2,$B$7,$B$3,$B$4,$B$5,$F185,$B$6,AB$10,$A185,$B185)</f>
        <v>8699178.0749763492</v>
      </c>
      <c r="AC185" s="4">
        <f ca="1">_xll.DBRW($B$1,$B$2,$B$7,$B$3,$B$4,$B$5,$F185,$B$6,AC$10,$A185,$B185)</f>
        <v>8892305.9350850657</v>
      </c>
      <c r="AD185" s="4">
        <f ca="1">_xll.DBRW($B$1,$B$2,$B$7,$B$3,$B$4,$B$5,$F185,$B$6,AD$10,$A185,$B185)</f>
        <v>7612101.1367660481</v>
      </c>
      <c r="AE185" s="4">
        <f ca="1">_xll.DBRW($B$1,$B$2,$B$7,$B$3,$B$4,$B$5,$F185,$B$6,AE$10,$A185,$B185)</f>
        <v>6959422.3198652966</v>
      </c>
    </row>
    <row r="186" spans="1:31">
      <c r="A186" s="1" t="s">
        <v>153</v>
      </c>
      <c r="B186" s="5" t="s">
        <v>47</v>
      </c>
      <c r="C186" s="5" t="s">
        <v>48</v>
      </c>
      <c r="D186" s="5" t="s">
        <v>49</v>
      </c>
      <c r="E186" s="5" t="s">
        <v>21</v>
      </c>
      <c r="F186" s="5" t="s">
        <v>24</v>
      </c>
      <c r="G186" s="6"/>
      <c r="H186" s="6"/>
      <c r="I186" s="6"/>
      <c r="J186" s="6"/>
      <c r="K186" s="6"/>
      <c r="L186" s="4">
        <f ca="1">_xll.DBRW($B$1,$B$2,$B$7,$B$3,$B$4,$B$5,$F186,$B$6,L$10,$A186,$B186)</f>
        <v>7944283.1999999993</v>
      </c>
      <c r="M186" s="4">
        <f ca="1">_xll.DBRW($B$1,$B$2,$B$7,$B$3,$B$4,$B$5,$F186,$B$6,M$10,$A186,$B186)</f>
        <v>7962999.0763967019</v>
      </c>
      <c r="N186" s="4">
        <f ca="1">_xll.DBRW($B$1,$B$2,$B$7,$B$3,$B$4,$B$5,$F186,$B$6,N$10,$A186,$B186)</f>
        <v>7852969.5999999987</v>
      </c>
      <c r="O186" s="4">
        <f ca="1">_xll.DBRW($B$1,$B$2,$B$7,$B$3,$B$4,$B$5,$F186,$B$6,O$10,$A186,$B186)</f>
        <v>7852969.5999999987</v>
      </c>
      <c r="P186" s="4">
        <f ca="1">_xll.DBRW($B$1,$B$2,$B$7,$B$3,$B$4,$B$5,$F186,$B$6,P$10,$A186,$B186)</f>
        <v>8041488</v>
      </c>
      <c r="Q186" s="4">
        <f ca="1">_xll.DBRW($B$1,$B$2,$B$7,$B$3,$B$4,$B$5,$F186,$B$6,Q$10,$A186,$B186)</f>
        <v>8126910.3999999994</v>
      </c>
      <c r="R186" s="4">
        <f ca="1">_xll.DBRW($B$1,$B$2,$B$7,$B$3,$B$4,$B$5,$F186,$B$6,R$10,$A186,$B186)</f>
        <v>7511280</v>
      </c>
      <c r="S186" s="4">
        <f ca="1">_xll.DBRW($B$1,$B$2,$B$7,$B$3,$B$4,$B$5,$F186,$B$6,S$10,$A186,$B186)</f>
        <v>6574579.2000000002</v>
      </c>
      <c r="T186" s="4">
        <f ca="1">_xll.DBRW($B$1,$B$2,$B$7,$B$3,$B$4,$B$5,$F186,$B$6,T$10,$A186,$B186)</f>
        <v>7908764.3178738225</v>
      </c>
      <c r="U186" s="4">
        <f ca="1">_xll.DBRW($B$1,$B$2,$B$7,$B$3,$B$4,$B$5,$F186,$B$6,U$10,$A186,$B186)</f>
        <v>7850943.9263841128</v>
      </c>
      <c r="V186" s="4">
        <f ca="1">_xll.DBRW($B$1,$B$2,$B$7,$B$3,$B$4,$B$5,$F186,$B$6,V$10,$A186,$B186)</f>
        <v>8958465.9448318686</v>
      </c>
      <c r="W186" s="4">
        <f ca="1">_xll.DBRW($B$1,$B$2,$B$7,$B$3,$B$4,$B$5,$F186,$B$6,W$10,$A186,$B186)</f>
        <v>8744851.9333212115</v>
      </c>
      <c r="X186" s="4">
        <f ca="1">_xll.DBRW($B$1,$B$2,$B$7,$B$3,$B$4,$B$5,$F186,$B$6,X$10,$A186,$B186)</f>
        <v>9044786.6075722892</v>
      </c>
      <c r="Y186" s="4">
        <f ca="1">_xll.DBRW($B$1,$B$2,$B$7,$B$3,$B$4,$B$5,$F186,$B$6,Y$10,$A186,$B186)</f>
        <v>8753019.2976506036</v>
      </c>
      <c r="Z186" s="4">
        <f ca="1">_xll.DBRW($B$1,$B$2,$B$7,$B$3,$B$4,$B$5,$F186,$B$6,Z$10,$A186,$B186)</f>
        <v>9044786.6075722892</v>
      </c>
      <c r="AA186" s="4">
        <f ca="1">_xll.DBRW($B$1,$B$2,$B$7,$B$3,$B$4,$B$5,$F186,$B$6,AA$10,$A186,$B186)</f>
        <v>9044786.6075722873</v>
      </c>
      <c r="AB186" s="4">
        <f ca="1">_xll.DBRW($B$1,$B$2,$B$7,$B$3,$B$4,$B$5,$F186,$B$6,AB$10,$A186,$B186)</f>
        <v>8699178.0749763492</v>
      </c>
      <c r="AC186" s="4">
        <f ca="1">_xll.DBRW($B$1,$B$2,$B$7,$B$3,$B$4,$B$5,$F186,$B$6,AC$10,$A186,$B186)</f>
        <v>8605457.3565339372</v>
      </c>
      <c r="AD186" s="4">
        <f ca="1">_xll.DBRW($B$1,$B$2,$B$7,$B$3,$B$4,$B$5,$F186,$B$6,AD$10,$A186,$B186)</f>
        <v>7612101.1367660481</v>
      </c>
      <c r="AE186" s="4">
        <f ca="1">_xll.DBRW($B$1,$B$2,$B$7,$B$3,$B$4,$B$5,$F186,$B$6,AE$10,$A186,$B186)</f>
        <v>6959422.3198652966</v>
      </c>
    </row>
    <row r="187" spans="1:31">
      <c r="A187" s="1" t="s">
        <v>153</v>
      </c>
      <c r="B187" s="5" t="s">
        <v>220</v>
      </c>
      <c r="C187" s="5" t="s">
        <v>166</v>
      </c>
      <c r="D187" s="5" t="s">
        <v>21</v>
      </c>
      <c r="E187" s="5" t="s">
        <v>31</v>
      </c>
      <c r="F187" s="5" t="s">
        <v>24</v>
      </c>
      <c r="G187" s="6"/>
      <c r="H187" s="6"/>
      <c r="I187" s="6"/>
      <c r="J187" s="6"/>
      <c r="K187" s="6"/>
      <c r="L187" s="4">
        <f ca="1">_xll.DBRW($B$1,$B$2,$B$7,$B$3,$B$4,$B$5,$F187,$B$6,L$10,$A187,$B187)</f>
        <v>6024236.4000000004</v>
      </c>
      <c r="M187" s="4">
        <f ca="1">_xll.DBRW($B$1,$B$2,$B$7,$B$3,$B$4,$B$5,$F187,$B$6,M$10,$A187,$B187)</f>
        <v>6920204.651983236</v>
      </c>
      <c r="N187" s="4">
        <f ca="1">_xll.DBRW($B$1,$B$2,$B$7,$B$3,$B$4,$B$5,$F187,$B$6,N$10,$A187,$B187)</f>
        <v>5971276.080000001</v>
      </c>
      <c r="O187" s="4">
        <f ca="1">_xll.DBRW($B$1,$B$2,$B$7,$B$3,$B$4,$B$5,$F187,$B$6,O$10,$A187,$B187)</f>
        <v>6366797.1999999993</v>
      </c>
      <c r="P187" s="4">
        <f ca="1">_xll.DBRW($B$1,$B$2,$B$7,$B$3,$B$4,$B$5,$F187,$B$6,P$10,$A187,$B187)</f>
        <v>6490371.2800000012</v>
      </c>
      <c r="Q187" s="4">
        <f ca="1">_xll.DBRW($B$1,$B$2,$B$7,$B$3,$B$4,$B$5,$F187,$B$6,Q$10,$A187,$B187)</f>
        <v>5485176</v>
      </c>
      <c r="R187" s="4">
        <f ca="1">_xll.DBRW($B$1,$B$2,$B$7,$B$3,$B$4,$B$5,$F187,$B$6,R$10,$A187,$B187)</f>
        <v>0</v>
      </c>
      <c r="S187" s="4">
        <f ca="1">_xll.DBRW($B$1,$B$2,$B$7,$B$3,$B$4,$B$5,$F187,$B$6,S$10,$A187,$B187)</f>
        <v>0</v>
      </c>
      <c r="T187" s="4">
        <f ca="1">_xll.DBRW($B$1,$B$2,$B$7,$B$3,$B$4,$B$5,$F187,$B$6,T$10,$A187,$B187)</f>
        <v>0</v>
      </c>
      <c r="U187" s="4">
        <f ca="1">_xll.DBRW($B$1,$B$2,$B$7,$B$3,$B$4,$B$5,$F187,$B$6,U$10,$A187,$B187)</f>
        <v>0</v>
      </c>
      <c r="V187" s="4">
        <f ca="1">_xll.DBRW($B$1,$B$2,$B$7,$B$3,$B$4,$B$5,$F187,$B$6,V$10,$A187,$B187)</f>
        <v>352139.03931166342</v>
      </c>
      <c r="W187" s="4">
        <f ca="1">_xll.DBRW($B$1,$B$2,$B$7,$B$3,$B$4,$B$5,$F187,$B$6,W$10,$A187,$B187)</f>
        <v>4820487.9943881072</v>
      </c>
      <c r="X187" s="4">
        <f ca="1">_xll.DBRW($B$1,$B$2,$B$7,$B$3,$B$4,$B$5,$F187,$B$6,X$10,$A187,$B187)</f>
        <v>6044787.0931470618</v>
      </c>
      <c r="Y187" s="4">
        <f ca="1">_xll.DBRW($B$1,$B$2,$B$7,$B$3,$B$4,$B$5,$F187,$B$6,Y$10,$A187,$B187)</f>
        <v>5580569.153685675</v>
      </c>
      <c r="Z187" s="4">
        <f ca="1">_xll.DBRW($B$1,$B$2,$B$7,$B$3,$B$4,$B$5,$F187,$B$6,Z$10,$A187,$B187)</f>
        <v>6117195.6903300062</v>
      </c>
      <c r="AA187" s="4">
        <f ca="1">_xll.DBRW($B$1,$B$2,$B$7,$B$3,$B$4,$B$5,$F187,$B$6,AA$10,$A187,$B187)</f>
        <v>6839532.7492387192</v>
      </c>
      <c r="AB187" s="4">
        <f ca="1">_xll.DBRW($B$1,$B$2,$B$7,$B$3,$B$4,$B$5,$F187,$B$6,AB$10,$A187,$B187)</f>
        <v>6045064.4944743328</v>
      </c>
      <c r="AC187" s="4">
        <f ca="1">_xll.DBRW($B$1,$B$2,$B$7,$B$3,$B$4,$B$5,$F187,$B$6,AC$10,$A187,$B187)</f>
        <v>5612161.9029998546</v>
      </c>
      <c r="AD187" s="4">
        <f ca="1">_xll.DBRW($B$1,$B$2,$B$7,$B$3,$B$4,$B$5,$F187,$B$6,AD$10,$A187,$B187)</f>
        <v>0</v>
      </c>
      <c r="AE187" s="4">
        <f ca="1">_xll.DBRW($B$1,$B$2,$B$7,$B$3,$B$4,$B$5,$F187,$B$6,AE$10,$A187,$B187)</f>
        <v>0</v>
      </c>
    </row>
    <row r="188" spans="1:31">
      <c r="A188" s="1" t="s">
        <v>153</v>
      </c>
      <c r="B188" s="5" t="s">
        <v>32</v>
      </c>
      <c r="C188" s="5" t="s">
        <v>30</v>
      </c>
      <c r="D188" s="5" t="s">
        <v>31</v>
      </c>
      <c r="E188" s="5" t="s">
        <v>21</v>
      </c>
      <c r="F188" s="5" t="s">
        <v>24</v>
      </c>
      <c r="G188" s="6"/>
      <c r="H188" s="6"/>
      <c r="I188" s="6"/>
      <c r="J188" s="6"/>
      <c r="K188" s="6"/>
      <c r="L188" s="4">
        <f ca="1">_xll.DBRW($B$1,$B$2,$B$7,$B$3,$B$4,$B$5,$F188,$B$6,L$10,$A188,$B188)</f>
        <v>6024236.4000000004</v>
      </c>
      <c r="M188" s="4">
        <f ca="1">_xll.DBRW($B$1,$B$2,$B$7,$B$3,$B$4,$B$5,$F188,$B$6,M$10,$A188,$B188)</f>
        <v>6920204.651983236</v>
      </c>
      <c r="N188" s="4">
        <f ca="1">_xll.DBRW($B$1,$B$2,$B$7,$B$3,$B$4,$B$5,$F188,$B$6,N$10,$A188,$B188)</f>
        <v>5971276.080000001</v>
      </c>
      <c r="O188" s="4">
        <f ca="1">_xll.DBRW($B$1,$B$2,$B$7,$B$3,$B$4,$B$5,$F188,$B$6,O$10,$A188,$B188)</f>
        <v>6366797.1999999993</v>
      </c>
      <c r="P188" s="4">
        <f ca="1">_xll.DBRW($B$1,$B$2,$B$7,$B$3,$B$4,$B$5,$F188,$B$6,P$10,$A188,$B188)</f>
        <v>6490371.2800000012</v>
      </c>
      <c r="Q188" s="4">
        <f ca="1">_xll.DBRW($B$1,$B$2,$B$7,$B$3,$B$4,$B$5,$F188,$B$6,Q$10,$A188,$B188)</f>
        <v>5485176</v>
      </c>
      <c r="R188" s="4">
        <f ca="1">_xll.DBRW($B$1,$B$2,$B$7,$B$3,$B$4,$B$5,$F188,$B$6,R$10,$A188,$B188)</f>
        <v>0</v>
      </c>
      <c r="S188" s="4">
        <f ca="1">_xll.DBRW($B$1,$B$2,$B$7,$B$3,$B$4,$B$5,$F188,$B$6,S$10,$A188,$B188)</f>
        <v>0</v>
      </c>
      <c r="T188" s="4">
        <f ca="1">_xll.DBRW($B$1,$B$2,$B$7,$B$3,$B$4,$B$5,$F188,$B$6,T$10,$A188,$B188)</f>
        <v>0</v>
      </c>
      <c r="U188" s="4">
        <f ca="1">_xll.DBRW($B$1,$B$2,$B$7,$B$3,$B$4,$B$5,$F188,$B$6,U$10,$A188,$B188)</f>
        <v>0</v>
      </c>
      <c r="V188" s="4">
        <f ca="1">_xll.DBRW($B$1,$B$2,$B$7,$B$3,$B$4,$B$5,$F188,$B$6,V$10,$A188,$B188)</f>
        <v>352139.03931166342</v>
      </c>
      <c r="W188" s="4">
        <f ca="1">_xll.DBRW($B$1,$B$2,$B$7,$B$3,$B$4,$B$5,$F188,$B$6,W$10,$A188,$B188)</f>
        <v>4820487.9943881072</v>
      </c>
      <c r="X188" s="4">
        <f ca="1">_xll.DBRW($B$1,$B$2,$B$7,$B$3,$B$4,$B$5,$F188,$B$6,X$10,$A188,$B188)</f>
        <v>6044787.0931470618</v>
      </c>
      <c r="Y188" s="4">
        <f ca="1">_xll.DBRW($B$1,$B$2,$B$7,$B$3,$B$4,$B$5,$F188,$B$6,Y$10,$A188,$B188)</f>
        <v>5580569.153685675</v>
      </c>
      <c r="Z188" s="4">
        <f ca="1">_xll.DBRW($B$1,$B$2,$B$7,$B$3,$B$4,$B$5,$F188,$B$6,Z$10,$A188,$B188)</f>
        <v>6117195.6903300062</v>
      </c>
      <c r="AA188" s="4">
        <f ca="1">_xll.DBRW($B$1,$B$2,$B$7,$B$3,$B$4,$B$5,$F188,$B$6,AA$10,$A188,$B188)</f>
        <v>6839532.7492387192</v>
      </c>
      <c r="AB188" s="4">
        <f ca="1">_xll.DBRW($B$1,$B$2,$B$7,$B$3,$B$4,$B$5,$F188,$B$6,AB$10,$A188,$B188)</f>
        <v>6045064.4944743328</v>
      </c>
      <c r="AC188" s="4">
        <f ca="1">_xll.DBRW($B$1,$B$2,$B$7,$B$3,$B$4,$B$5,$F188,$B$6,AC$10,$A188,$B188)</f>
        <v>5390375.4360428154</v>
      </c>
      <c r="AD188" s="4">
        <f ca="1">_xll.DBRW($B$1,$B$2,$B$7,$B$3,$B$4,$B$5,$F188,$B$6,AD$10,$A188,$B188)</f>
        <v>0</v>
      </c>
      <c r="AE188" s="4">
        <f ca="1">_xll.DBRW($B$1,$B$2,$B$7,$B$3,$B$4,$B$5,$F188,$B$6,AE$10,$A188,$B188)</f>
        <v>0</v>
      </c>
    </row>
    <row r="189" spans="1:31">
      <c r="A189" s="1" t="s">
        <v>153</v>
      </c>
      <c r="B189" s="5" t="s">
        <v>221</v>
      </c>
      <c r="C189" s="5" t="s">
        <v>193</v>
      </c>
      <c r="D189" s="5" t="s">
        <v>21</v>
      </c>
      <c r="E189" s="5" t="s">
        <v>194</v>
      </c>
      <c r="F189" s="5" t="s">
        <v>24</v>
      </c>
      <c r="G189" s="6"/>
      <c r="H189" s="6"/>
      <c r="I189" s="6"/>
      <c r="J189" s="6"/>
      <c r="K189" s="6"/>
      <c r="L189" s="4">
        <f ca="1">_xll.DBRW($B$1,$B$2,$B$7,$B$3,$B$4,$B$5,$F189,$B$6,L$10,$A189,$B189)</f>
        <v>1792192.5</v>
      </c>
      <c r="M189" s="4">
        <f ca="1">_xll.DBRW($B$1,$B$2,$B$7,$B$3,$B$4,$B$5,$F189,$B$6,M$10,$A189,$B189)</f>
        <v>1763503.6176751687</v>
      </c>
      <c r="N189" s="4">
        <f ca="1">_xll.DBRW($B$1,$B$2,$B$7,$B$3,$B$4,$B$5,$F189,$B$6,N$10,$A189,$B189)</f>
        <v>1959463.7999999998</v>
      </c>
      <c r="O189" s="4">
        <f ca="1">_xll.DBRW($B$1,$B$2,$B$7,$B$3,$B$4,$B$5,$F189,$B$6,O$10,$A189,$B189)</f>
        <v>1720504.8</v>
      </c>
      <c r="P189" s="4">
        <f ca="1">_xll.DBRW($B$1,$B$2,$B$7,$B$3,$B$4,$B$5,$F189,$B$6,P$10,$A189,$B189)</f>
        <v>1890431.2</v>
      </c>
      <c r="Q189" s="4">
        <f ca="1">_xll.DBRW($B$1,$B$2,$B$7,$B$3,$B$4,$B$5,$F189,$B$6,Q$10,$A189,$B189)</f>
        <v>2126735.1</v>
      </c>
      <c r="R189" s="4">
        <f ca="1">_xll.DBRW($B$1,$B$2,$B$7,$B$3,$B$4,$B$5,$F189,$B$6,R$10,$A189,$B189)</f>
        <v>1911672</v>
      </c>
      <c r="S189" s="4">
        <f ca="1">_xll.DBRW($B$1,$B$2,$B$7,$B$3,$B$4,$B$5,$F189,$B$6,S$10,$A189,$B189)</f>
        <v>1529337.6</v>
      </c>
      <c r="T189" s="4">
        <f ca="1">_xll.DBRW($B$1,$B$2,$B$7,$B$3,$B$4,$B$5,$F189,$B$6,T$10,$A189,$B189)</f>
        <v>2242718.1167707783</v>
      </c>
      <c r="U189" s="4">
        <f ca="1">_xll.DBRW($B$1,$B$2,$B$7,$B$3,$B$4,$B$5,$F189,$B$6,U$10,$A189,$B189)</f>
        <v>1882953.4645324182</v>
      </c>
      <c r="V189" s="4">
        <f ca="1">_xll.DBRW($B$1,$B$2,$B$7,$B$3,$B$4,$B$5,$F189,$B$6,V$10,$A189,$B189)</f>
        <v>2224186.2088720002</v>
      </c>
      <c r="W189" s="4">
        <f ca="1">_xll.DBRW($B$1,$B$2,$B$7,$B$3,$B$4,$B$5,$F189,$B$6,W$10,$A189,$B189)</f>
        <v>2166597.5287961522</v>
      </c>
      <c r="X189" s="4">
        <f ca="1">_xll.DBRW($B$1,$B$2,$B$7,$B$3,$B$4,$B$5,$F189,$B$6,X$10,$A189,$B189)</f>
        <v>2253656.6339925458</v>
      </c>
      <c r="Y189" s="4">
        <f ca="1">_xll.DBRW($B$1,$B$2,$B$7,$B$3,$B$4,$B$5,$F189,$B$6,Y$10,$A189,$B189)</f>
        <v>2056179.6267163001</v>
      </c>
      <c r="Z189" s="4">
        <f ca="1">_xll.DBRW($B$1,$B$2,$B$7,$B$3,$B$4,$B$5,$F189,$B$6,Z$10,$A189,$B189)</f>
        <v>2511327.3790964857</v>
      </c>
      <c r="AA189" s="4">
        <f ca="1">_xll.DBRW($B$1,$B$2,$B$7,$B$3,$B$4,$B$5,$F189,$B$6,AA$10,$A189,$B189)</f>
        <v>1914150.9689002996</v>
      </c>
      <c r="AB189" s="4">
        <f ca="1">_xll.DBRW($B$1,$B$2,$B$7,$B$3,$B$4,$B$5,$F189,$B$6,AB$10,$A189,$B189)</f>
        <v>2362188.7729890291</v>
      </c>
      <c r="AC189" s="4">
        <f ca="1">_xll.DBRW($B$1,$B$2,$B$7,$B$3,$B$4,$B$5,$F189,$B$6,AC$10,$A189,$B189)</f>
        <v>2103941.8375151292</v>
      </c>
      <c r="AD189" s="4">
        <f ca="1">_xll.DBRW($B$1,$B$2,$B$7,$B$3,$B$4,$B$5,$F189,$B$6,AD$10,$A189,$B189)</f>
        <v>2048454.7794130784</v>
      </c>
      <c r="AE189" s="4">
        <f ca="1">_xll.DBRW($B$1,$B$2,$B$7,$B$3,$B$4,$B$5,$F189,$B$6,AE$10,$A189,$B189)</f>
        <v>2048231.2838685124</v>
      </c>
    </row>
    <row r="190" spans="1:31">
      <c r="A190" s="1" t="s">
        <v>153</v>
      </c>
      <c r="B190" s="5" t="s">
        <v>222</v>
      </c>
      <c r="C190" s="5" t="s">
        <v>196</v>
      </c>
      <c r="D190" s="5" t="s">
        <v>194</v>
      </c>
      <c r="E190" s="5" t="s">
        <v>21</v>
      </c>
      <c r="F190" s="5" t="s">
        <v>24</v>
      </c>
      <c r="G190" s="6"/>
      <c r="H190" s="6"/>
      <c r="I190" s="6"/>
      <c r="J190" s="6"/>
      <c r="K190" s="6"/>
      <c r="L190" s="4">
        <f ca="1">_xll.DBRW($B$1,$B$2,$B$7,$B$3,$B$4,$B$5,$F190,$B$6,L$10,$A190,$B190)</f>
        <v>1792192.5</v>
      </c>
      <c r="M190" s="4">
        <f ca="1">_xll.DBRW($B$1,$B$2,$B$7,$B$3,$B$4,$B$5,$F190,$B$6,M$10,$A190,$B190)</f>
        <v>1763503.6176751687</v>
      </c>
      <c r="N190" s="4">
        <f ca="1">_xll.DBRW($B$1,$B$2,$B$7,$B$3,$B$4,$B$5,$F190,$B$6,N$10,$A190,$B190)</f>
        <v>1959463.7999999998</v>
      </c>
      <c r="O190" s="4">
        <f ca="1">_xll.DBRW($B$1,$B$2,$B$7,$B$3,$B$4,$B$5,$F190,$B$6,O$10,$A190,$B190)</f>
        <v>1720504.8</v>
      </c>
      <c r="P190" s="4">
        <f ca="1">_xll.DBRW($B$1,$B$2,$B$7,$B$3,$B$4,$B$5,$F190,$B$6,P$10,$A190,$B190)</f>
        <v>1890431.2</v>
      </c>
      <c r="Q190" s="4">
        <f ca="1">_xll.DBRW($B$1,$B$2,$B$7,$B$3,$B$4,$B$5,$F190,$B$6,Q$10,$A190,$B190)</f>
        <v>2126735.1</v>
      </c>
      <c r="R190" s="4">
        <f ca="1">_xll.DBRW($B$1,$B$2,$B$7,$B$3,$B$4,$B$5,$F190,$B$6,R$10,$A190,$B190)</f>
        <v>1911672</v>
      </c>
      <c r="S190" s="4">
        <f ca="1">_xll.DBRW($B$1,$B$2,$B$7,$B$3,$B$4,$B$5,$F190,$B$6,S$10,$A190,$B190)</f>
        <v>1529337.6</v>
      </c>
      <c r="T190" s="4">
        <f ca="1">_xll.DBRW($B$1,$B$2,$B$7,$B$3,$B$4,$B$5,$F190,$B$6,T$10,$A190,$B190)</f>
        <v>2242718.1167707783</v>
      </c>
      <c r="U190" s="4">
        <f ca="1">_xll.DBRW($B$1,$B$2,$B$7,$B$3,$B$4,$B$5,$F190,$B$6,U$10,$A190,$B190)</f>
        <v>1882953.4645324182</v>
      </c>
      <c r="V190" s="4">
        <f ca="1">_xll.DBRW($B$1,$B$2,$B$7,$B$3,$B$4,$B$5,$F190,$B$6,V$10,$A190,$B190)</f>
        <v>2224186.2088720002</v>
      </c>
      <c r="W190" s="4">
        <f ca="1">_xll.DBRW($B$1,$B$2,$B$7,$B$3,$B$4,$B$5,$F190,$B$6,W$10,$A190,$B190)</f>
        <v>2166597.5287961522</v>
      </c>
      <c r="X190" s="4">
        <f ca="1">_xll.DBRW($B$1,$B$2,$B$7,$B$3,$B$4,$B$5,$F190,$B$6,X$10,$A190,$B190)</f>
        <v>2253656.6339925458</v>
      </c>
      <c r="Y190" s="4">
        <f ca="1">_xll.DBRW($B$1,$B$2,$B$7,$B$3,$B$4,$B$5,$F190,$B$6,Y$10,$A190,$B190)</f>
        <v>2056179.6267163001</v>
      </c>
      <c r="Z190" s="4">
        <f ca="1">_xll.DBRW($B$1,$B$2,$B$7,$B$3,$B$4,$B$5,$F190,$B$6,Z$10,$A190,$B190)</f>
        <v>2511327.3790964857</v>
      </c>
      <c r="AA190" s="4">
        <f ca="1">_xll.DBRW($B$1,$B$2,$B$7,$B$3,$B$4,$B$5,$F190,$B$6,AA$10,$A190,$B190)</f>
        <v>1914150.9689002996</v>
      </c>
      <c r="AB190" s="4">
        <f ca="1">_xll.DBRW($B$1,$B$2,$B$7,$B$3,$B$4,$B$5,$F190,$B$6,AB$10,$A190,$B190)</f>
        <v>2362188.7729890291</v>
      </c>
      <c r="AC190" s="4">
        <f ca="1">_xll.DBRW($B$1,$B$2,$B$7,$B$3,$B$4,$B$5,$F190,$B$6,AC$10,$A190,$B190)</f>
        <v>2103941.8375151292</v>
      </c>
      <c r="AD190" s="4">
        <f ca="1">_xll.DBRW($B$1,$B$2,$B$7,$B$3,$B$4,$B$5,$F190,$B$6,AD$10,$A190,$B190)</f>
        <v>2048454.7794130784</v>
      </c>
      <c r="AE190" s="4">
        <f ca="1">_xll.DBRW($B$1,$B$2,$B$7,$B$3,$B$4,$B$5,$F190,$B$6,AE$10,$A190,$B190)</f>
        <v>1820650.0301053445</v>
      </c>
    </row>
    <row r="191" spans="1:31">
      <c r="A191" s="1" t="s">
        <v>153</v>
      </c>
      <c r="B191" s="5" t="s">
        <v>223</v>
      </c>
      <c r="C191" s="5" t="s">
        <v>193</v>
      </c>
      <c r="D191" s="5" t="s">
        <v>21</v>
      </c>
      <c r="E191" s="5" t="s">
        <v>194</v>
      </c>
      <c r="F191" s="5" t="s">
        <v>24</v>
      </c>
      <c r="G191" s="6"/>
      <c r="H191" s="6"/>
      <c r="I191" s="6"/>
      <c r="J191" s="6"/>
      <c r="K191" s="6"/>
      <c r="L191" s="4">
        <f ca="1">_xll.DBRW($B$1,$B$2,$B$7,$B$3,$B$4,$B$5,$F191,$B$6,L$10,$A191,$B191)</f>
        <v>2578485</v>
      </c>
      <c r="M191" s="4">
        <f ca="1">_xll.DBRW($B$1,$B$2,$B$7,$B$3,$B$4,$B$5,$F191,$B$6,M$10,$A191,$B191)</f>
        <v>2415228.1618555454</v>
      </c>
      <c r="N191" s="4">
        <f ca="1">_xll.DBRW($B$1,$B$2,$B$7,$B$3,$B$4,$B$5,$F191,$B$6,N$10,$A191,$B191)</f>
        <v>2819143.5999999996</v>
      </c>
      <c r="O191" s="4">
        <f ca="1">_xll.DBRW($B$1,$B$2,$B$7,$B$3,$B$4,$B$5,$F191,$B$6,O$10,$A191,$B191)</f>
        <v>2475345.6</v>
      </c>
      <c r="P191" s="4">
        <f ca="1">_xll.DBRW($B$1,$B$2,$B$7,$B$3,$B$4,$B$5,$F191,$B$6,P$10,$A191,$B191)</f>
        <v>3059802.2</v>
      </c>
      <c r="Q191" s="4">
        <f ca="1">_xll.DBRW($B$1,$B$2,$B$7,$B$3,$B$4,$B$5,$F191,$B$6,Q$10,$A191,$B191)</f>
        <v>2353694</v>
      </c>
      <c r="R191" s="4">
        <f ca="1">_xll.DBRW($B$1,$B$2,$B$7,$B$3,$B$4,$B$5,$F191,$B$6,R$10,$A191,$B191)</f>
        <v>1904112</v>
      </c>
      <c r="S191" s="4">
        <f ca="1">_xll.DBRW($B$1,$B$2,$B$7,$B$3,$B$4,$B$5,$F191,$B$6,S$10,$A191,$B191)</f>
        <v>1713700.8000000003</v>
      </c>
      <c r="T191" s="4">
        <f ca="1">_xll.DBRW($B$1,$B$2,$B$7,$B$3,$B$4,$B$5,$F191,$B$6,T$10,$A191,$B191)</f>
        <v>2233848.9441497494</v>
      </c>
      <c r="U191" s="4">
        <f ca="1">_xll.DBRW($B$1,$B$2,$B$7,$B$3,$B$4,$B$5,$F191,$B$6,U$10,$A191,$B191)</f>
        <v>1875507.0363837269</v>
      </c>
      <c r="V191" s="4">
        <f ca="1">_xll.DBRW($B$1,$B$2,$B$7,$B$3,$B$4,$B$5,$F191,$B$6,V$10,$A191,$B191)</f>
        <v>1969235.8431305424</v>
      </c>
      <c r="W191" s="4">
        <f ca="1">_xll.DBRW($B$1,$B$2,$B$7,$B$3,$B$4,$B$5,$F191,$B$6,W$10,$A191,$B191)</f>
        <v>1198905.214839011</v>
      </c>
      <c r="X191" s="4">
        <f ca="1">_xll.DBRW($B$1,$B$2,$B$7,$B$3,$B$4,$B$5,$F191,$B$6,X$10,$A191,$B191)</f>
        <v>997664.09036808601</v>
      </c>
      <c r="Y191" s="4">
        <f ca="1">_xll.DBRW($B$1,$B$2,$B$7,$B$3,$B$4,$B$5,$F191,$B$6,Y$10,$A191,$B191)</f>
        <v>1024024.0745760852</v>
      </c>
      <c r="Z191" s="4">
        <f ca="1">_xll.DBRW($B$1,$B$2,$B$7,$B$3,$B$4,$B$5,$F191,$B$6,Z$10,$A191,$B191)</f>
        <v>1250697.9749837231</v>
      </c>
      <c r="AA191" s="4">
        <f ca="1">_xll.DBRW($B$1,$B$2,$B$7,$B$3,$B$4,$B$5,$F191,$B$6,AA$10,$A191,$B191)</f>
        <v>953290.58271886804</v>
      </c>
      <c r="AB191" s="4">
        <f ca="1">_xll.DBRW($B$1,$B$2,$B$7,$B$3,$B$4,$B$5,$F191,$B$6,AB$10,$A191,$B191)</f>
        <v>1045709.8379298181</v>
      </c>
      <c r="AC191" s="4">
        <f ca="1">_xll.DBRW($B$1,$B$2,$B$7,$B$3,$B$4,$B$5,$F191,$B$6,AC$10,$A191,$B191)</f>
        <v>1571716.1077245236</v>
      </c>
      <c r="AD191" s="4">
        <f ca="1">_xll.DBRW($B$1,$B$2,$B$7,$B$3,$B$4,$B$5,$F191,$B$6,AD$10,$A191,$B191)</f>
        <v>1813647.8675039078</v>
      </c>
      <c r="AE191" s="4">
        <f ca="1">_xll.DBRW($B$1,$B$2,$B$7,$B$3,$B$4,$B$5,$F191,$B$6,AE$10,$A191,$B191)</f>
        <v>2040131.2392447244</v>
      </c>
    </row>
    <row r="192" spans="1:31">
      <c r="A192" s="1" t="s">
        <v>153</v>
      </c>
      <c r="B192" s="5" t="s">
        <v>224</v>
      </c>
      <c r="C192" s="5" t="s">
        <v>196</v>
      </c>
      <c r="D192" s="5" t="s">
        <v>194</v>
      </c>
      <c r="E192" s="5" t="s">
        <v>21</v>
      </c>
      <c r="F192" s="5" t="s">
        <v>24</v>
      </c>
      <c r="G192" s="6"/>
      <c r="H192" s="6"/>
      <c r="I192" s="6"/>
      <c r="J192" s="6"/>
      <c r="K192" s="6"/>
      <c r="L192" s="4">
        <f ca="1">_xll.DBRW($B$1,$B$2,$B$7,$B$3,$B$4,$B$5,$F192,$B$6,L$10,$A192,$B192)</f>
        <v>2578485</v>
      </c>
      <c r="M192" s="4">
        <f ca="1">_xll.DBRW($B$1,$B$2,$B$7,$B$3,$B$4,$B$5,$F192,$B$6,M$10,$A192,$B192)</f>
        <v>2415228.1618555454</v>
      </c>
      <c r="N192" s="4">
        <f ca="1">_xll.DBRW($B$1,$B$2,$B$7,$B$3,$B$4,$B$5,$F192,$B$6,N$10,$A192,$B192)</f>
        <v>2819143.5999999996</v>
      </c>
      <c r="O192" s="4">
        <f ca="1">_xll.DBRW($B$1,$B$2,$B$7,$B$3,$B$4,$B$5,$F192,$B$6,O$10,$A192,$B192)</f>
        <v>2475345.6</v>
      </c>
      <c r="P192" s="4">
        <f ca="1">_xll.DBRW($B$1,$B$2,$B$7,$B$3,$B$4,$B$5,$F192,$B$6,P$10,$A192,$B192)</f>
        <v>3059802.2</v>
      </c>
      <c r="Q192" s="4">
        <f ca="1">_xll.DBRW($B$1,$B$2,$B$7,$B$3,$B$4,$B$5,$F192,$B$6,Q$10,$A192,$B192)</f>
        <v>2589063.4</v>
      </c>
      <c r="R192" s="4">
        <f ca="1">_xll.DBRW($B$1,$B$2,$B$7,$B$3,$B$4,$B$5,$F192,$B$6,R$10,$A192,$B192)</f>
        <v>1904112</v>
      </c>
      <c r="S192" s="4">
        <f ca="1">_xll.DBRW($B$1,$B$2,$B$7,$B$3,$B$4,$B$5,$F192,$B$6,S$10,$A192,$B192)</f>
        <v>1713700.8000000003</v>
      </c>
      <c r="T192" s="4">
        <f ca="1">_xll.DBRW($B$1,$B$2,$B$7,$B$3,$B$4,$B$5,$F192,$B$6,T$10,$A192,$B192)</f>
        <v>2233848.9441497494</v>
      </c>
      <c r="U192" s="4">
        <f ca="1">_xll.DBRW($B$1,$B$2,$B$7,$B$3,$B$4,$B$5,$F192,$B$6,U$10,$A192,$B192)</f>
        <v>1875507.0363837269</v>
      </c>
      <c r="V192" s="4">
        <f ca="1">_xll.DBRW($B$1,$B$2,$B$7,$B$3,$B$4,$B$5,$F192,$B$6,V$10,$A192,$B192)</f>
        <v>1969235.8431305424</v>
      </c>
      <c r="W192" s="4">
        <f ca="1">_xll.DBRW($B$1,$B$2,$B$7,$B$3,$B$4,$B$5,$F192,$B$6,W$10,$A192,$B192)</f>
        <v>1198905.214839011</v>
      </c>
      <c r="X192" s="4">
        <f ca="1">_xll.DBRW($B$1,$B$2,$B$7,$B$3,$B$4,$B$5,$F192,$B$6,X$10,$A192,$B192)</f>
        <v>997664.09036808601</v>
      </c>
      <c r="Y192" s="4">
        <f ca="1">_xll.DBRW($B$1,$B$2,$B$7,$B$3,$B$4,$B$5,$F192,$B$6,Y$10,$A192,$B192)</f>
        <v>1024024.0745760852</v>
      </c>
      <c r="Z192" s="4">
        <f ca="1">_xll.DBRW($B$1,$B$2,$B$7,$B$3,$B$4,$B$5,$F192,$B$6,Z$10,$A192,$B192)</f>
        <v>1250697.9749837231</v>
      </c>
      <c r="AA192" s="4">
        <f ca="1">_xll.DBRW($B$1,$B$2,$B$7,$B$3,$B$4,$B$5,$F192,$B$6,AA$10,$A192,$B192)</f>
        <v>953290.58271886804</v>
      </c>
      <c r="AB192" s="4">
        <f ca="1">_xll.DBRW($B$1,$B$2,$B$7,$B$3,$B$4,$B$5,$F192,$B$6,AB$10,$A192,$B192)</f>
        <v>1045709.8379298181</v>
      </c>
      <c r="AC192" s="4">
        <f ca="1">_xll.DBRW($B$1,$B$2,$B$7,$B$3,$B$4,$B$5,$F192,$B$6,AC$10,$A192,$B192)</f>
        <v>1571716.1077245236</v>
      </c>
      <c r="AD192" s="4">
        <f ca="1">_xll.DBRW($B$1,$B$2,$B$7,$B$3,$B$4,$B$5,$F192,$B$6,AD$10,$A192,$B192)</f>
        <v>1813647.8675039078</v>
      </c>
      <c r="AE192" s="4">
        <f ca="1">_xll.DBRW($B$1,$B$2,$B$7,$B$3,$B$4,$B$5,$F192,$B$6,AE$10,$A192,$B192)</f>
        <v>2040131.2392447244</v>
      </c>
    </row>
    <row r="193" spans="1:31">
      <c r="A193" s="1" t="s">
        <v>153</v>
      </c>
      <c r="B193" s="5" t="s">
        <v>225</v>
      </c>
      <c r="C193" s="5" t="s">
        <v>226</v>
      </c>
      <c r="D193" s="5" t="s">
        <v>21</v>
      </c>
      <c r="E193" s="5" t="s">
        <v>227</v>
      </c>
      <c r="F193" s="5" t="s">
        <v>24</v>
      </c>
      <c r="G193" s="6"/>
      <c r="H193" s="6"/>
      <c r="I193" s="6"/>
      <c r="J193" s="6"/>
      <c r="K193" s="6"/>
      <c r="L193" s="4">
        <f ca="1">_xll.DBRW($B$1,$B$2,$B$7,$B$3,$B$4,$B$5,$F193,$B$6,L$10,$A193,$B193)</f>
        <v>0</v>
      </c>
      <c r="M193" s="4">
        <f ca="1">_xll.DBRW($B$1,$B$2,$B$7,$B$3,$B$4,$B$5,$F193,$B$6,M$10,$A193,$B193)</f>
        <v>0</v>
      </c>
      <c r="N193" s="4">
        <f ca="1">_xll.DBRW($B$1,$B$2,$B$7,$B$3,$B$4,$B$5,$F193,$B$6,N$10,$A193,$B193)</f>
        <v>0</v>
      </c>
      <c r="O193" s="4">
        <f ca="1">_xll.DBRW($B$1,$B$2,$B$7,$B$3,$B$4,$B$5,$F193,$B$6,O$10,$A193,$B193)</f>
        <v>0</v>
      </c>
      <c r="P193" s="4">
        <f ca="1">_xll.DBRW($B$1,$B$2,$B$7,$B$3,$B$4,$B$5,$F193,$B$6,P$10,$A193,$B193)</f>
        <v>0</v>
      </c>
      <c r="Q193" s="4">
        <f ca="1">_xll.DBRW($B$1,$B$2,$B$7,$B$3,$B$4,$B$5,$F193,$B$6,Q$10,$A193,$B193)</f>
        <v>547985.11999999988</v>
      </c>
      <c r="R193" s="4">
        <f ca="1">_xll.DBRW($B$1,$B$2,$B$7,$B$3,$B$4,$B$5,$F193,$B$6,R$10,$A193,$B193)</f>
        <v>2166452.7999999998</v>
      </c>
      <c r="S193" s="4">
        <f ca="1">_xll.DBRW($B$1,$B$2,$B$7,$B$3,$B$4,$B$5,$F193,$B$6,S$10,$A193,$B193)</f>
        <v>0</v>
      </c>
      <c r="T193" s="4">
        <f ca="1">_xll.DBRW($B$1,$B$2,$B$7,$B$3,$B$4,$B$5,$F193,$B$6,T$10,$A193,$B193)</f>
        <v>0</v>
      </c>
      <c r="U193" s="4">
        <f ca="1">_xll.DBRW($B$1,$B$2,$B$7,$B$3,$B$4,$B$5,$F193,$B$6,U$10,$A193,$B193)</f>
        <v>0</v>
      </c>
      <c r="V193" s="4">
        <f ca="1">_xll.DBRW($B$1,$B$2,$B$7,$B$3,$B$4,$B$5,$F193,$B$6,V$10,$A193,$B193)</f>
        <v>0</v>
      </c>
      <c r="W193" s="4">
        <f ca="1">_xll.DBRW($B$1,$B$2,$B$7,$B$3,$B$4,$B$5,$F193,$B$6,W$10,$A193,$B193)</f>
        <v>0</v>
      </c>
      <c r="X193" s="4">
        <f ca="1">_xll.DBRW($B$1,$B$2,$B$7,$B$3,$B$4,$B$5,$F193,$B$6,X$10,$A193,$B193)</f>
        <v>0</v>
      </c>
      <c r="Y193" s="4">
        <f ca="1">_xll.DBRW($B$1,$B$2,$B$7,$B$3,$B$4,$B$5,$F193,$B$6,Y$10,$A193,$B193)</f>
        <v>0</v>
      </c>
      <c r="Z193" s="4">
        <f ca="1">_xll.DBRW($B$1,$B$2,$B$7,$B$3,$B$4,$B$5,$F193,$B$6,Z$10,$A193,$B193)</f>
        <v>0</v>
      </c>
      <c r="AA193" s="4">
        <f ca="1">_xll.DBRW($B$1,$B$2,$B$7,$B$3,$B$4,$B$5,$F193,$B$6,AA$10,$A193,$B193)</f>
        <v>0</v>
      </c>
      <c r="AB193" s="4">
        <f ca="1">_xll.DBRW($B$1,$B$2,$B$7,$B$3,$B$4,$B$5,$F193,$B$6,AB$10,$A193,$B193)</f>
        <v>0</v>
      </c>
      <c r="AC193" s="4">
        <f ca="1">_xll.DBRW($B$1,$B$2,$B$7,$B$3,$B$4,$B$5,$F193,$B$6,AC$10,$A193,$B193)</f>
        <v>0</v>
      </c>
      <c r="AD193" s="4">
        <f ca="1">_xll.DBRW($B$1,$B$2,$B$7,$B$3,$B$4,$B$5,$F193,$B$6,AD$10,$A193,$B193)</f>
        <v>0</v>
      </c>
      <c r="AE193" s="4">
        <f ca="1">_xll.DBRW($B$1,$B$2,$B$7,$B$3,$B$4,$B$5,$F193,$B$6,AE$10,$A193,$B193)</f>
        <v>0</v>
      </c>
    </row>
    <row r="194" spans="1:31">
      <c r="A194" s="1" t="s">
        <v>153</v>
      </c>
      <c r="B194" s="5" t="s">
        <v>228</v>
      </c>
      <c r="C194" s="5" t="s">
        <v>229</v>
      </c>
      <c r="D194" s="5" t="s">
        <v>227</v>
      </c>
      <c r="E194" s="5" t="s">
        <v>21</v>
      </c>
      <c r="F194" s="5" t="s">
        <v>24</v>
      </c>
      <c r="G194" s="6"/>
      <c r="H194" s="6"/>
      <c r="I194" s="6"/>
      <c r="J194" s="6"/>
      <c r="K194" s="6"/>
      <c r="L194" s="4">
        <f ca="1">_xll.DBRW($B$1,$B$2,$B$7,$B$3,$B$4,$B$5,$F194,$B$6,L$10,$A194,$B194)</f>
        <v>0</v>
      </c>
      <c r="M194" s="4">
        <f ca="1">_xll.DBRW($B$1,$B$2,$B$7,$B$3,$B$4,$B$5,$F194,$B$6,M$10,$A194,$B194)</f>
        <v>0</v>
      </c>
      <c r="N194" s="4">
        <f ca="1">_xll.DBRW($B$1,$B$2,$B$7,$B$3,$B$4,$B$5,$F194,$B$6,N$10,$A194,$B194)</f>
        <v>0</v>
      </c>
      <c r="O194" s="4">
        <f ca="1">_xll.DBRW($B$1,$B$2,$B$7,$B$3,$B$4,$B$5,$F194,$B$6,O$10,$A194,$B194)</f>
        <v>0</v>
      </c>
      <c r="P194" s="4">
        <f ca="1">_xll.DBRW($B$1,$B$2,$B$7,$B$3,$B$4,$B$5,$F194,$B$6,P$10,$A194,$B194)</f>
        <v>0</v>
      </c>
      <c r="Q194" s="4">
        <f ca="1">_xll.DBRW($B$1,$B$2,$B$7,$B$3,$B$4,$B$5,$F194,$B$6,Q$10,$A194,$B194)</f>
        <v>547985.11999999988</v>
      </c>
      <c r="R194" s="4">
        <f ca="1">_xll.DBRW($B$1,$B$2,$B$7,$B$3,$B$4,$B$5,$F194,$B$6,R$10,$A194,$B194)</f>
        <v>2166452.7999999998</v>
      </c>
      <c r="S194" s="4">
        <f ca="1">_xll.DBRW($B$1,$B$2,$B$7,$B$3,$B$4,$B$5,$F194,$B$6,S$10,$A194,$B194)</f>
        <v>0</v>
      </c>
      <c r="T194" s="4">
        <f ca="1">_xll.DBRW($B$1,$B$2,$B$7,$B$3,$B$4,$B$5,$F194,$B$6,T$10,$A194,$B194)</f>
        <v>0</v>
      </c>
      <c r="U194" s="4">
        <f ca="1">_xll.DBRW($B$1,$B$2,$B$7,$B$3,$B$4,$B$5,$F194,$B$6,U$10,$A194,$B194)</f>
        <v>0</v>
      </c>
      <c r="V194" s="4">
        <f ca="1">_xll.DBRW($B$1,$B$2,$B$7,$B$3,$B$4,$B$5,$F194,$B$6,V$10,$A194,$B194)</f>
        <v>0</v>
      </c>
      <c r="W194" s="4">
        <f ca="1">_xll.DBRW($B$1,$B$2,$B$7,$B$3,$B$4,$B$5,$F194,$B$6,W$10,$A194,$B194)</f>
        <v>0</v>
      </c>
      <c r="X194" s="4">
        <f ca="1">_xll.DBRW($B$1,$B$2,$B$7,$B$3,$B$4,$B$5,$F194,$B$6,X$10,$A194,$B194)</f>
        <v>0</v>
      </c>
      <c r="Y194" s="4">
        <f ca="1">_xll.DBRW($B$1,$B$2,$B$7,$B$3,$B$4,$B$5,$F194,$B$6,Y$10,$A194,$B194)</f>
        <v>0</v>
      </c>
      <c r="Z194" s="4">
        <f ca="1">_xll.DBRW($B$1,$B$2,$B$7,$B$3,$B$4,$B$5,$F194,$B$6,Z$10,$A194,$B194)</f>
        <v>0</v>
      </c>
      <c r="AA194" s="4">
        <f ca="1">_xll.DBRW($B$1,$B$2,$B$7,$B$3,$B$4,$B$5,$F194,$B$6,AA$10,$A194,$B194)</f>
        <v>0</v>
      </c>
      <c r="AB194" s="4">
        <f ca="1">_xll.DBRW($B$1,$B$2,$B$7,$B$3,$B$4,$B$5,$F194,$B$6,AB$10,$A194,$B194)</f>
        <v>0</v>
      </c>
      <c r="AC194" s="4">
        <f ca="1">_xll.DBRW($B$1,$B$2,$B$7,$B$3,$B$4,$B$5,$F194,$B$6,AC$10,$A194,$B194)</f>
        <v>0</v>
      </c>
      <c r="AD194" s="4">
        <f ca="1">_xll.DBRW($B$1,$B$2,$B$7,$B$3,$B$4,$B$5,$F194,$B$6,AD$10,$A194,$B194)</f>
        <v>0</v>
      </c>
      <c r="AE194" s="4">
        <f ca="1">_xll.DBRW($B$1,$B$2,$B$7,$B$3,$B$4,$B$5,$F194,$B$6,AE$10,$A194,$B194)</f>
        <v>0</v>
      </c>
    </row>
    <row r="195" spans="1:31">
      <c r="A195" s="1" t="s">
        <v>153</v>
      </c>
      <c r="B195" s="5" t="s">
        <v>230</v>
      </c>
      <c r="C195" s="5" t="s">
        <v>210</v>
      </c>
      <c r="D195" s="5" t="s">
        <v>21</v>
      </c>
      <c r="E195" s="5" t="s">
        <v>211</v>
      </c>
      <c r="F195" s="5" t="s">
        <v>24</v>
      </c>
      <c r="G195" s="6"/>
      <c r="H195" s="6"/>
      <c r="I195" s="6"/>
      <c r="J195" s="6"/>
      <c r="K195" s="6"/>
      <c r="L195" s="4">
        <f ca="1">_xll.DBRW($B$1,$B$2,$B$7,$B$3,$B$4,$B$5,$F195,$B$6,L$10,$A195,$B195)</f>
        <v>620721.6</v>
      </c>
      <c r="M195" s="4">
        <f ca="1">_xll.DBRW($B$1,$B$2,$B$7,$B$3,$B$4,$B$5,$F195,$B$6,M$10,$A195,$B195)</f>
        <v>1341689.6990648934</v>
      </c>
      <c r="N195" s="4">
        <f ca="1">_xll.DBRW($B$1,$B$2,$B$7,$B$3,$B$4,$B$5,$F195,$B$6,N$10,$A195,$B195)</f>
        <v>1241443.2</v>
      </c>
      <c r="O195" s="4">
        <f ca="1">_xll.DBRW($B$1,$B$2,$B$7,$B$3,$B$4,$B$5,$F195,$B$6,O$10,$A195,$B195)</f>
        <v>1499496.0000000005</v>
      </c>
      <c r="P195" s="4">
        <f ca="1">_xll.DBRW($B$1,$B$2,$B$7,$B$3,$B$4,$B$5,$F195,$B$6,P$10,$A195,$B195)</f>
        <v>1283289.6000000003</v>
      </c>
      <c r="Q195" s="4">
        <f ca="1">_xll.DBRW($B$1,$B$2,$B$7,$B$3,$B$4,$B$5,$F195,$B$6,Q$10,$A195,$B195)</f>
        <v>1199596.7999999998</v>
      </c>
      <c r="R195" s="4">
        <f ca="1">_xll.DBRW($B$1,$B$2,$B$7,$B$3,$B$4,$B$5,$F195,$B$6,R$10,$A195,$B195)</f>
        <v>0</v>
      </c>
      <c r="S195" s="4">
        <f ca="1">_xll.DBRW($B$1,$B$2,$B$7,$B$3,$B$4,$B$5,$F195,$B$6,S$10,$A195,$B195)</f>
        <v>0</v>
      </c>
      <c r="T195" s="4">
        <f ca="1">_xll.DBRW($B$1,$B$2,$B$7,$B$3,$B$4,$B$5,$F195,$B$6,T$10,$A195,$B195)</f>
        <v>0</v>
      </c>
      <c r="U195" s="4">
        <f ca="1">_xll.DBRW($B$1,$B$2,$B$7,$B$3,$B$4,$B$5,$F195,$B$6,U$10,$A195,$B195)</f>
        <v>0</v>
      </c>
      <c r="V195" s="4">
        <f ca="1">_xll.DBRW($B$1,$B$2,$B$7,$B$3,$B$4,$B$5,$F195,$B$6,V$10,$A195,$B195)</f>
        <v>0</v>
      </c>
      <c r="W195" s="4">
        <f ca="1">_xll.DBRW($B$1,$B$2,$B$7,$B$3,$B$4,$B$5,$F195,$B$6,W$10,$A195,$B195)</f>
        <v>1298080.8466825678</v>
      </c>
      <c r="X195" s="4">
        <f ca="1">_xll.DBRW($B$1,$B$2,$B$7,$B$3,$B$4,$B$5,$F195,$B$6,X$10,$A195,$B195)</f>
        <v>1655107.9118469667</v>
      </c>
      <c r="Y195" s="4">
        <f ca="1">_xll.DBRW($B$1,$B$2,$B$7,$B$3,$B$4,$B$5,$F195,$B$6,Y$10,$A195,$B195)</f>
        <v>1324086.3294775733</v>
      </c>
      <c r="Z195" s="4">
        <f ca="1">_xll.DBRW($B$1,$B$2,$B$7,$B$3,$B$4,$B$5,$F195,$B$6,Z$10,$A195,$B195)</f>
        <v>1655107.9118469669</v>
      </c>
      <c r="AA195" s="4">
        <f ca="1">_xll.DBRW($B$1,$B$2,$B$7,$B$3,$B$4,$B$5,$F195,$B$6,AA$10,$A195,$B195)</f>
        <v>1298614.0972557201</v>
      </c>
      <c r="AB195" s="4">
        <f ca="1">_xll.DBRW($B$1,$B$2,$B$7,$B$3,$B$4,$B$5,$F195,$B$6,AB$10,$A195,$B195)</f>
        <v>1271001.7473259664</v>
      </c>
      <c r="AC195" s="4">
        <f ca="1">_xll.DBRW($B$1,$B$2,$B$7,$B$3,$B$4,$B$5,$F195,$B$6,AC$10,$A195,$B195)</f>
        <v>0</v>
      </c>
      <c r="AD195" s="4">
        <f ca="1">_xll.DBRW($B$1,$B$2,$B$7,$B$3,$B$4,$B$5,$F195,$B$6,AD$10,$A195,$B195)</f>
        <v>0</v>
      </c>
      <c r="AE195" s="4">
        <f ca="1">_xll.DBRW($B$1,$B$2,$B$7,$B$3,$B$4,$B$5,$F195,$B$6,AE$10,$A195,$B195)</f>
        <v>0</v>
      </c>
    </row>
    <row r="196" spans="1:31">
      <c r="A196" s="1" t="s">
        <v>153</v>
      </c>
      <c r="B196" s="5" t="s">
        <v>231</v>
      </c>
      <c r="C196" s="5" t="s">
        <v>213</v>
      </c>
      <c r="D196" s="5" t="s">
        <v>211</v>
      </c>
      <c r="E196" s="5" t="s">
        <v>21</v>
      </c>
      <c r="F196" s="5" t="s">
        <v>24</v>
      </c>
      <c r="G196" s="6"/>
      <c r="H196" s="6"/>
      <c r="I196" s="6"/>
      <c r="J196" s="6"/>
      <c r="K196" s="6"/>
      <c r="L196" s="4">
        <f ca="1">_xll.DBRW($B$1,$B$2,$B$7,$B$3,$B$4,$B$5,$F196,$B$6,L$10,$A196,$B196)</f>
        <v>620721.6</v>
      </c>
      <c r="M196" s="4">
        <f ca="1">_xll.DBRW($B$1,$B$2,$B$7,$B$3,$B$4,$B$5,$F196,$B$6,M$10,$A196,$B196)</f>
        <v>1341689.6990648934</v>
      </c>
      <c r="N196" s="4">
        <f ca="1">_xll.DBRW($B$1,$B$2,$B$7,$B$3,$B$4,$B$5,$F196,$B$6,N$10,$A196,$B196)</f>
        <v>1241443.2</v>
      </c>
      <c r="O196" s="4">
        <f ca="1">_xll.DBRW($B$1,$B$2,$B$7,$B$3,$B$4,$B$5,$F196,$B$6,O$10,$A196,$B196)</f>
        <v>1499496.0000000005</v>
      </c>
      <c r="P196" s="4">
        <f ca="1">_xll.DBRW($B$1,$B$2,$B$7,$B$3,$B$4,$B$5,$F196,$B$6,P$10,$A196,$B196)</f>
        <v>1283289.6000000003</v>
      </c>
      <c r="Q196" s="4">
        <f ca="1">_xll.DBRW($B$1,$B$2,$B$7,$B$3,$B$4,$B$5,$F196,$B$6,Q$10,$A196,$B196)</f>
        <v>1199596.7999999998</v>
      </c>
      <c r="R196" s="4">
        <f ca="1">_xll.DBRW($B$1,$B$2,$B$7,$B$3,$B$4,$B$5,$F196,$B$6,R$10,$A196,$B196)</f>
        <v>0</v>
      </c>
      <c r="S196" s="4">
        <f ca="1">_xll.DBRW($B$1,$B$2,$B$7,$B$3,$B$4,$B$5,$F196,$B$6,S$10,$A196,$B196)</f>
        <v>0</v>
      </c>
      <c r="T196" s="4">
        <f ca="1">_xll.DBRW($B$1,$B$2,$B$7,$B$3,$B$4,$B$5,$F196,$B$6,T$10,$A196,$B196)</f>
        <v>0</v>
      </c>
      <c r="U196" s="4">
        <f ca="1">_xll.DBRW($B$1,$B$2,$B$7,$B$3,$B$4,$B$5,$F196,$B$6,U$10,$A196,$B196)</f>
        <v>0</v>
      </c>
      <c r="V196" s="4">
        <f ca="1">_xll.DBRW($B$1,$B$2,$B$7,$B$3,$B$4,$B$5,$F196,$B$6,V$10,$A196,$B196)</f>
        <v>0</v>
      </c>
      <c r="W196" s="4">
        <f ca="1">_xll.DBRW($B$1,$B$2,$B$7,$B$3,$B$4,$B$5,$F196,$B$6,W$10,$A196,$B196)</f>
        <v>1298080.8466825678</v>
      </c>
      <c r="X196" s="4">
        <f ca="1">_xll.DBRW($B$1,$B$2,$B$7,$B$3,$B$4,$B$5,$F196,$B$6,X$10,$A196,$B196)</f>
        <v>1655107.9118469667</v>
      </c>
      <c r="Y196" s="4">
        <f ca="1">_xll.DBRW($B$1,$B$2,$B$7,$B$3,$B$4,$B$5,$F196,$B$6,Y$10,$A196,$B196)</f>
        <v>1324086.3294775733</v>
      </c>
      <c r="Z196" s="4">
        <f ca="1">_xll.DBRW($B$1,$B$2,$B$7,$B$3,$B$4,$B$5,$F196,$B$6,Z$10,$A196,$B196)</f>
        <v>1655107.9118469669</v>
      </c>
      <c r="AA196" s="4">
        <f ca="1">_xll.DBRW($B$1,$B$2,$B$7,$B$3,$B$4,$B$5,$F196,$B$6,AA$10,$A196,$B196)</f>
        <v>1298614.0972557201</v>
      </c>
      <c r="AB196" s="4">
        <f ca="1">_xll.DBRW($B$1,$B$2,$B$7,$B$3,$B$4,$B$5,$F196,$B$6,AB$10,$A196,$B196)</f>
        <v>1271001.7473259664</v>
      </c>
      <c r="AC196" s="4">
        <f ca="1">_xll.DBRW($B$1,$B$2,$B$7,$B$3,$B$4,$B$5,$F196,$B$6,AC$10,$A196,$B196)</f>
        <v>0</v>
      </c>
      <c r="AD196" s="4">
        <f ca="1">_xll.DBRW($B$1,$B$2,$B$7,$B$3,$B$4,$B$5,$F196,$B$6,AD$10,$A196,$B196)</f>
        <v>0</v>
      </c>
      <c r="AE196" s="4">
        <f ca="1">_xll.DBRW($B$1,$B$2,$B$7,$B$3,$B$4,$B$5,$F196,$B$6,AE$10,$A196,$B196)</f>
        <v>0</v>
      </c>
    </row>
    <row r="197" spans="1:31">
      <c r="A197" s="1" t="s">
        <v>153</v>
      </c>
      <c r="B197" s="5" t="s">
        <v>232</v>
      </c>
      <c r="C197" s="5" t="s">
        <v>233</v>
      </c>
      <c r="D197" s="5" t="s">
        <v>21</v>
      </c>
      <c r="E197" s="5" t="s">
        <v>234</v>
      </c>
      <c r="F197" s="5" t="s">
        <v>24</v>
      </c>
      <c r="G197" s="6"/>
      <c r="H197" s="6"/>
      <c r="I197" s="6"/>
      <c r="J197" s="6"/>
      <c r="K197" s="6"/>
      <c r="L197" s="4">
        <f ca="1">_xll.DBRW($B$1,$B$2,$B$7,$B$3,$B$4,$B$5,$F197,$B$6,L$10,$A197,$B197)</f>
        <v>2401889.2800000003</v>
      </c>
      <c r="M197" s="4">
        <f ca="1">_xll.DBRW($B$1,$B$2,$B$7,$B$3,$B$4,$B$5,$F197,$B$6,M$10,$A197,$B197)</f>
        <v>2920321.9836632018</v>
      </c>
      <c r="N197" s="4">
        <f ca="1">_xll.DBRW($B$1,$B$2,$B$7,$B$3,$B$4,$B$5,$F197,$B$6,N$10,$A197,$B197)</f>
        <v>2702125.44</v>
      </c>
      <c r="O197" s="4">
        <f ca="1">_xll.DBRW($B$1,$B$2,$B$7,$B$3,$B$4,$B$5,$F197,$B$6,O$10,$A197,$B197)</f>
        <v>2611042.5600000005</v>
      </c>
      <c r="P197" s="4">
        <f ca="1">_xll.DBRW($B$1,$B$2,$B$7,$B$3,$B$4,$B$5,$F197,$B$6,P$10,$A197,$B197)</f>
        <v>2482851.8400000003</v>
      </c>
      <c r="Q197" s="4">
        <f ca="1">_xll.DBRW($B$1,$B$2,$B$7,$B$3,$B$4,$B$5,$F197,$B$6,Q$10,$A197,$B197)</f>
        <v>2598954.3999999994</v>
      </c>
      <c r="R197" s="4">
        <f ca="1">_xll.DBRW($B$1,$B$2,$B$7,$B$3,$B$4,$B$5,$F197,$B$6,R$10,$A197,$B197)</f>
        <v>3847127.1999999993</v>
      </c>
      <c r="S197" s="4">
        <f ca="1">_xll.DBRW($B$1,$B$2,$B$7,$B$3,$B$4,$B$5,$F197,$B$6,S$10,$A197,$B197)</f>
        <v>3572332.4</v>
      </c>
      <c r="T197" s="4">
        <f ca="1">_xll.DBRW($B$1,$B$2,$B$7,$B$3,$B$4,$B$5,$F197,$B$6,T$10,$A197,$B197)</f>
        <v>4146375.4946564971</v>
      </c>
      <c r="U197" s="4">
        <f ca="1">_xll.DBRW($B$1,$B$2,$B$7,$B$3,$B$4,$B$5,$F197,$B$6,U$10,$A197,$B197)</f>
        <v>3905560.5663976925</v>
      </c>
      <c r="V197" s="4">
        <f ca="1">_xll.DBRW($B$1,$B$2,$B$7,$B$3,$B$4,$B$5,$F197,$B$6,V$10,$A197,$B197)</f>
        <v>4224962.3257990619</v>
      </c>
      <c r="W197" s="4">
        <f ca="1">_xll.DBRW($B$1,$B$2,$B$7,$B$3,$B$4,$B$5,$F197,$B$6,W$10,$A197,$B197)</f>
        <v>2893649.3976223678</v>
      </c>
      <c r="X197" s="4">
        <f ca="1">_xll.DBRW($B$1,$B$2,$B$7,$B$3,$B$4,$B$5,$F197,$B$6,X$10,$A197,$B197)</f>
        <v>2937697.4336050288</v>
      </c>
      <c r="Y197" s="4">
        <f ca="1">_xll.DBRW($B$1,$B$2,$B$7,$B$3,$B$4,$B$5,$F197,$B$6,Y$10,$A197,$B197)</f>
        <v>2617474.4906054293</v>
      </c>
      <c r="Z197" s="4">
        <f ca="1">_xll.DBRW($B$1,$B$2,$B$7,$B$3,$B$4,$B$5,$F197,$B$6,Z$10,$A197,$B197)</f>
        <v>2951620.1702571861</v>
      </c>
      <c r="AA197" s="4">
        <f ca="1">_xll.DBRW($B$1,$B$2,$B$7,$B$3,$B$4,$B$5,$F197,$B$6,AA$10,$A197,$B197)</f>
        <v>2881183.2097508684</v>
      </c>
      <c r="AB197" s="4">
        <f ca="1">_xll.DBRW($B$1,$B$2,$B$7,$B$3,$B$4,$B$5,$F197,$B$6,AB$10,$A197,$B197)</f>
        <v>2833285.3457671702</v>
      </c>
      <c r="AC197" s="4">
        <f ca="1">_xll.DBRW($B$1,$B$2,$B$7,$B$3,$B$4,$B$5,$F197,$B$6,AC$10,$A197,$B197)</f>
        <v>3917712.1567901438</v>
      </c>
      <c r="AD197" s="4">
        <f ca="1">_xll.DBRW($B$1,$B$2,$B$7,$B$3,$B$4,$B$5,$F197,$B$6,AD$10,$A197,$B197)</f>
        <v>3409886.5751479091</v>
      </c>
      <c r="AE197" s="4">
        <f ca="1">_xll.DBRW($B$1,$B$2,$B$7,$B$3,$B$4,$B$5,$F197,$B$6,AE$10,$A197,$B197)</f>
        <v>3173556.6445353958</v>
      </c>
    </row>
    <row r="198" spans="1:31">
      <c r="A198" s="1" t="s">
        <v>153</v>
      </c>
      <c r="B198" s="5" t="s">
        <v>235</v>
      </c>
      <c r="C198" s="5" t="s">
        <v>236</v>
      </c>
      <c r="D198" s="5" t="s">
        <v>234</v>
      </c>
      <c r="E198" s="5" t="s">
        <v>21</v>
      </c>
      <c r="F198" s="5" t="s">
        <v>24</v>
      </c>
      <c r="G198" s="6"/>
      <c r="H198" s="6"/>
      <c r="I198" s="6"/>
      <c r="J198" s="6"/>
      <c r="K198" s="6"/>
      <c r="L198" s="4">
        <f ca="1">_xll.DBRW($B$1,$B$2,$B$7,$B$3,$B$4,$B$5,$F198,$B$6,L$10,$A198,$B198)</f>
        <v>2401889.2800000003</v>
      </c>
      <c r="M198" s="4">
        <f ca="1">_xll.DBRW($B$1,$B$2,$B$7,$B$3,$B$4,$B$5,$F198,$B$6,M$10,$A198,$B198)</f>
        <v>2920321.9836632018</v>
      </c>
      <c r="N198" s="4">
        <f ca="1">_xll.DBRW($B$1,$B$2,$B$7,$B$3,$B$4,$B$5,$F198,$B$6,N$10,$A198,$B198)</f>
        <v>2702125.44</v>
      </c>
      <c r="O198" s="4">
        <f ca="1">_xll.DBRW($B$1,$B$2,$B$7,$B$3,$B$4,$B$5,$F198,$B$6,O$10,$A198,$B198)</f>
        <v>2611042.5600000005</v>
      </c>
      <c r="P198" s="4">
        <f ca="1">_xll.DBRW($B$1,$B$2,$B$7,$B$3,$B$4,$B$5,$F198,$B$6,P$10,$A198,$B198)</f>
        <v>2482851.8400000003</v>
      </c>
      <c r="Q198" s="4">
        <f ca="1">_xll.DBRW($B$1,$B$2,$B$7,$B$3,$B$4,$B$5,$F198,$B$6,Q$10,$A198,$B198)</f>
        <v>2598954.3999999994</v>
      </c>
      <c r="R198" s="4">
        <f ca="1">_xll.DBRW($B$1,$B$2,$B$7,$B$3,$B$4,$B$5,$F198,$B$6,R$10,$A198,$B198)</f>
        <v>3847127.1999999993</v>
      </c>
      <c r="S198" s="4">
        <f ca="1">_xll.DBRW($B$1,$B$2,$B$7,$B$3,$B$4,$B$5,$F198,$B$6,S$10,$A198,$B198)</f>
        <v>3572332.4</v>
      </c>
      <c r="T198" s="4">
        <f ca="1">_xll.DBRW($B$1,$B$2,$B$7,$B$3,$B$4,$B$5,$F198,$B$6,T$10,$A198,$B198)</f>
        <v>4146375.4946564971</v>
      </c>
      <c r="U198" s="4">
        <f ca="1">_xll.DBRW($B$1,$B$2,$B$7,$B$3,$B$4,$B$5,$F198,$B$6,U$10,$A198,$B198)</f>
        <v>3905560.5663976925</v>
      </c>
      <c r="V198" s="4">
        <f ca="1">_xll.DBRW($B$1,$B$2,$B$7,$B$3,$B$4,$B$5,$F198,$B$6,V$10,$A198,$B198)</f>
        <v>4224962.3257990619</v>
      </c>
      <c r="W198" s="4">
        <f ca="1">_xll.DBRW($B$1,$B$2,$B$7,$B$3,$B$4,$B$5,$F198,$B$6,W$10,$A198,$B198)</f>
        <v>2893649.3976223678</v>
      </c>
      <c r="X198" s="4">
        <f ca="1">_xll.DBRW($B$1,$B$2,$B$7,$B$3,$B$4,$B$5,$F198,$B$6,X$10,$A198,$B198)</f>
        <v>2937697.4336050288</v>
      </c>
      <c r="Y198" s="4">
        <f ca="1">_xll.DBRW($B$1,$B$2,$B$7,$B$3,$B$4,$B$5,$F198,$B$6,Y$10,$A198,$B198)</f>
        <v>2617474.4906054293</v>
      </c>
      <c r="Z198" s="4">
        <f ca="1">_xll.DBRW($B$1,$B$2,$B$7,$B$3,$B$4,$B$5,$F198,$B$6,Z$10,$A198,$B198)</f>
        <v>2951620.1702571861</v>
      </c>
      <c r="AA198" s="4">
        <f ca="1">_xll.DBRW($B$1,$B$2,$B$7,$B$3,$B$4,$B$5,$F198,$B$6,AA$10,$A198,$B198)</f>
        <v>2881183.2097508684</v>
      </c>
      <c r="AB198" s="4">
        <f ca="1">_xll.DBRW($B$1,$B$2,$B$7,$B$3,$B$4,$B$5,$F198,$B$6,AB$10,$A198,$B198)</f>
        <v>2833285.3457671702</v>
      </c>
      <c r="AC198" s="4">
        <f ca="1">_xll.DBRW($B$1,$B$2,$B$7,$B$3,$B$4,$B$5,$F198,$B$6,AC$10,$A198,$B198)</f>
        <v>3917712.1567901438</v>
      </c>
      <c r="AD198" s="4">
        <f ca="1">_xll.DBRW($B$1,$B$2,$B$7,$B$3,$B$4,$B$5,$F198,$B$6,AD$10,$A198,$B198)</f>
        <v>3409886.5751479091</v>
      </c>
      <c r="AE198" s="4">
        <f ca="1">_xll.DBRW($B$1,$B$2,$B$7,$B$3,$B$4,$B$5,$F198,$B$6,AE$10,$A198,$B198)</f>
        <v>3173556.6445353958</v>
      </c>
    </row>
    <row r="199" spans="1:31">
      <c r="A199" s="1" t="s">
        <v>153</v>
      </c>
      <c r="B199" s="5" t="s">
        <v>237</v>
      </c>
      <c r="C199" s="5" t="s">
        <v>238</v>
      </c>
      <c r="D199" s="5" t="s">
        <v>21</v>
      </c>
      <c r="E199" s="5" t="s">
        <v>239</v>
      </c>
      <c r="F199" s="5" t="s">
        <v>24</v>
      </c>
      <c r="G199" s="6"/>
      <c r="H199" s="6"/>
      <c r="I199" s="6"/>
      <c r="J199" s="6"/>
      <c r="K199" s="6"/>
      <c r="L199" s="4">
        <f ca="1">_xll.DBRW($B$1,$B$2,$B$7,$B$3,$B$4,$B$5,$F199,$B$6,L$10,$A199,$B199)</f>
        <v>0</v>
      </c>
      <c r="M199" s="4">
        <f ca="1">_xll.DBRW($B$1,$B$2,$B$7,$B$3,$B$4,$B$5,$F199,$B$6,M$10,$A199,$B199)</f>
        <v>0</v>
      </c>
      <c r="N199" s="4">
        <f ca="1">_xll.DBRW($B$1,$B$2,$B$7,$B$3,$B$4,$B$5,$F199,$B$6,N$10,$A199,$B199)</f>
        <v>0</v>
      </c>
      <c r="O199" s="4">
        <f ca="1">_xll.DBRW($B$1,$B$2,$B$7,$B$3,$B$4,$B$5,$F199,$B$6,O$10,$A199,$B199)</f>
        <v>0</v>
      </c>
      <c r="P199" s="4">
        <f ca="1">_xll.DBRW($B$1,$B$2,$B$7,$B$3,$B$4,$B$5,$F199,$B$6,P$10,$A199,$B199)</f>
        <v>0</v>
      </c>
      <c r="Q199" s="4">
        <f ca="1">_xll.DBRW($B$1,$B$2,$B$7,$B$3,$B$4,$B$5,$F199,$B$6,Q$10,$A199,$B199)</f>
        <v>0</v>
      </c>
      <c r="R199" s="4">
        <f ca="1">_xll.DBRW($B$1,$B$2,$B$7,$B$3,$B$4,$B$5,$F199,$B$6,R$10,$A199,$B199)</f>
        <v>0</v>
      </c>
      <c r="S199" s="4">
        <f ca="1">_xll.DBRW($B$1,$B$2,$B$7,$B$3,$B$4,$B$5,$F199,$B$6,S$10,$A199,$B199)</f>
        <v>0</v>
      </c>
      <c r="T199" s="4">
        <f ca="1">_xll.DBRW($B$1,$B$2,$B$7,$B$3,$B$4,$B$5,$F199,$B$6,T$10,$A199,$B199)</f>
        <v>0</v>
      </c>
      <c r="U199" s="4">
        <f ca="1">_xll.DBRW($B$1,$B$2,$B$7,$B$3,$B$4,$B$5,$F199,$B$6,U$10,$A199,$B199)</f>
        <v>0</v>
      </c>
      <c r="V199" s="4">
        <f ca="1">_xll.DBRW($B$1,$B$2,$B$7,$B$3,$B$4,$B$5,$F199,$B$6,V$10,$A199,$B199)</f>
        <v>487478.63896569784</v>
      </c>
      <c r="W199" s="4">
        <f ca="1">_xll.DBRW($B$1,$B$2,$B$7,$B$3,$B$4,$B$5,$F199,$B$6,W$10,$A199,$B199)</f>
        <v>8120583.6909161713</v>
      </c>
      <c r="X199" s="4">
        <f ca="1">_xll.DBRW($B$1,$B$2,$B$7,$B$3,$B$4,$B$5,$F199,$B$6,X$10,$A199,$B199)</f>
        <v>9193503.6344392914</v>
      </c>
      <c r="Y199" s="4">
        <f ca="1">_xll.DBRW($B$1,$B$2,$B$7,$B$3,$B$4,$B$5,$F199,$B$6,Y$10,$A199,$B199)</f>
        <v>9008164.0378061999</v>
      </c>
      <c r="Z199" s="4">
        <f ca="1">_xll.DBRW($B$1,$B$2,$B$7,$B$3,$B$4,$B$5,$F199,$B$6,Z$10,$A199,$B199)</f>
        <v>8724127.1488075908</v>
      </c>
      <c r="AA199" s="4">
        <f ca="1">_xll.DBRW($B$1,$B$2,$B$7,$B$3,$B$4,$B$5,$F199,$B$6,AA$10,$A199,$B199)</f>
        <v>7185419.2710976526</v>
      </c>
      <c r="AB199" s="4">
        <f ca="1">_xll.DBRW($B$1,$B$2,$B$7,$B$3,$B$4,$B$5,$F199,$B$6,AB$10,$A199,$B199)</f>
        <v>8478792.0615298413</v>
      </c>
      <c r="AC199" s="4">
        <f ca="1">_xll.DBRW($B$1,$B$2,$B$7,$B$3,$B$4,$B$5,$F199,$B$6,AC$10,$A199,$B199)</f>
        <v>9173834.2437324096</v>
      </c>
      <c r="AD199" s="4">
        <f ca="1">_xll.DBRW($B$1,$B$2,$B$7,$B$3,$B$4,$B$5,$F199,$B$6,AD$10,$A199,$B199)</f>
        <v>8149784.6475222446</v>
      </c>
      <c r="AE199" s="4">
        <f ca="1">_xll.DBRW($B$1,$B$2,$B$7,$B$3,$B$4,$B$5,$F199,$B$6,AE$10,$A199,$B199)</f>
        <v>7047471.3155460507</v>
      </c>
    </row>
    <row r="200" spans="1:31">
      <c r="A200" s="1" t="s">
        <v>153</v>
      </c>
      <c r="B200" s="5" t="s">
        <v>240</v>
      </c>
      <c r="C200" s="5" t="s">
        <v>241</v>
      </c>
      <c r="D200" s="5" t="s">
        <v>239</v>
      </c>
      <c r="E200" s="5" t="s">
        <v>21</v>
      </c>
      <c r="F200" s="5" t="s">
        <v>24</v>
      </c>
      <c r="G200" s="6"/>
      <c r="H200" s="6"/>
      <c r="I200" s="6"/>
      <c r="J200" s="6"/>
      <c r="K200" s="6"/>
      <c r="L200" s="4">
        <f ca="1">_xll.DBRW($B$1,$B$2,$B$7,$B$3,$B$4,$B$5,$F200,$B$6,L$10,$A200,$B200)</f>
        <v>0</v>
      </c>
      <c r="M200" s="4">
        <f ca="1">_xll.DBRW($B$1,$B$2,$B$7,$B$3,$B$4,$B$5,$F200,$B$6,M$10,$A200,$B200)</f>
        <v>0</v>
      </c>
      <c r="N200" s="4">
        <f ca="1">_xll.DBRW($B$1,$B$2,$B$7,$B$3,$B$4,$B$5,$F200,$B$6,N$10,$A200,$B200)</f>
        <v>0</v>
      </c>
      <c r="O200" s="4">
        <f ca="1">_xll.DBRW($B$1,$B$2,$B$7,$B$3,$B$4,$B$5,$F200,$B$6,O$10,$A200,$B200)</f>
        <v>0</v>
      </c>
      <c r="P200" s="4">
        <f ca="1">_xll.DBRW($B$1,$B$2,$B$7,$B$3,$B$4,$B$5,$F200,$B$6,P$10,$A200,$B200)</f>
        <v>0</v>
      </c>
      <c r="Q200" s="4">
        <f ca="1">_xll.DBRW($B$1,$B$2,$B$7,$B$3,$B$4,$B$5,$F200,$B$6,Q$10,$A200,$B200)</f>
        <v>0</v>
      </c>
      <c r="R200" s="4">
        <f ca="1">_xll.DBRW($B$1,$B$2,$B$7,$B$3,$B$4,$B$5,$F200,$B$6,R$10,$A200,$B200)</f>
        <v>0</v>
      </c>
      <c r="S200" s="4">
        <f ca="1">_xll.DBRW($B$1,$B$2,$B$7,$B$3,$B$4,$B$5,$F200,$B$6,S$10,$A200,$B200)</f>
        <v>0</v>
      </c>
      <c r="T200" s="4">
        <f ca="1">_xll.DBRW($B$1,$B$2,$B$7,$B$3,$B$4,$B$5,$F200,$B$6,T$10,$A200,$B200)</f>
        <v>0</v>
      </c>
      <c r="U200" s="4">
        <f ca="1">_xll.DBRW($B$1,$B$2,$B$7,$B$3,$B$4,$B$5,$F200,$B$6,U$10,$A200,$B200)</f>
        <v>0</v>
      </c>
      <c r="V200" s="4">
        <f ca="1">_xll.DBRW($B$1,$B$2,$B$7,$B$3,$B$4,$B$5,$F200,$B$6,V$10,$A200,$B200)</f>
        <v>487478.63896569784</v>
      </c>
      <c r="W200" s="4">
        <f ca="1">_xll.DBRW($B$1,$B$2,$B$7,$B$3,$B$4,$B$5,$F200,$B$6,W$10,$A200,$B200)</f>
        <v>8120583.6909161713</v>
      </c>
      <c r="X200" s="4">
        <f ca="1">_xll.DBRW($B$1,$B$2,$B$7,$B$3,$B$4,$B$5,$F200,$B$6,X$10,$A200,$B200)</f>
        <v>9193503.6344392914</v>
      </c>
      <c r="Y200" s="4">
        <f ca="1">_xll.DBRW($B$1,$B$2,$B$7,$B$3,$B$4,$B$5,$F200,$B$6,Y$10,$A200,$B200)</f>
        <v>9008164.0378061999</v>
      </c>
      <c r="Z200" s="4">
        <f ca="1">_xll.DBRW($B$1,$B$2,$B$7,$B$3,$B$4,$B$5,$F200,$B$6,Z$10,$A200,$B200)</f>
        <v>8724127.1488075908</v>
      </c>
      <c r="AA200" s="4">
        <f ca="1">_xll.DBRW($B$1,$B$2,$B$7,$B$3,$B$4,$B$5,$F200,$B$6,AA$10,$A200,$B200)</f>
        <v>7185419.2710976526</v>
      </c>
      <c r="AB200" s="4">
        <f ca="1">_xll.DBRW($B$1,$B$2,$B$7,$B$3,$B$4,$B$5,$F200,$B$6,AB$10,$A200,$B200)</f>
        <v>8478792.0615298413</v>
      </c>
      <c r="AC200" s="4">
        <f ca="1">_xll.DBRW($B$1,$B$2,$B$7,$B$3,$B$4,$B$5,$F200,$B$6,AC$10,$A200,$B200)</f>
        <v>8877904.1068378165</v>
      </c>
      <c r="AD200" s="4">
        <f ca="1">_xll.DBRW($B$1,$B$2,$B$7,$B$3,$B$4,$B$5,$F200,$B$6,AD$10,$A200,$B200)</f>
        <v>8149784.6475222446</v>
      </c>
      <c r="AE200" s="4">
        <f ca="1">_xll.DBRW($B$1,$B$2,$B$7,$B$3,$B$4,$B$5,$F200,$B$6,AE$10,$A200,$B200)</f>
        <v>6820133.5311735971</v>
      </c>
    </row>
    <row r="201" spans="1:31">
      <c r="A201" s="1" t="s">
        <v>153</v>
      </c>
      <c r="B201" s="5" t="s">
        <v>242</v>
      </c>
      <c r="C201" s="5" t="s">
        <v>243</v>
      </c>
      <c r="D201" s="5" t="s">
        <v>21</v>
      </c>
      <c r="E201" s="5" t="s">
        <v>244</v>
      </c>
      <c r="F201" s="5" t="s">
        <v>24</v>
      </c>
      <c r="G201" s="6"/>
      <c r="H201" s="6"/>
      <c r="I201" s="6"/>
      <c r="J201" s="6"/>
      <c r="K201" s="6"/>
      <c r="L201" s="4">
        <f ca="1">_xll.DBRW($B$1,$B$2,$B$7,$B$3,$B$4,$B$5,$F201,$B$6,L$10,$A201,$B201)</f>
        <v>3849755.52</v>
      </c>
      <c r="M201" s="4">
        <f ca="1">_xll.DBRW($B$1,$B$2,$B$7,$B$3,$B$4,$B$5,$F201,$B$6,M$10,$A201,$B201)</f>
        <v>4160623.1562605621</v>
      </c>
      <c r="N201" s="4">
        <f ca="1">_xll.DBRW($B$1,$B$2,$B$7,$B$3,$B$4,$B$5,$F201,$B$6,N$10,$A201,$B201)</f>
        <v>3849755.52</v>
      </c>
      <c r="O201" s="4">
        <f ca="1">_xll.DBRW($B$1,$B$2,$B$7,$B$3,$B$4,$B$5,$F201,$B$6,O$10,$A201,$B201)</f>
        <v>3147682.560000001</v>
      </c>
      <c r="P201" s="4">
        <f ca="1">_xll.DBRW($B$1,$B$2,$B$7,$B$3,$B$4,$B$5,$F201,$B$6,P$10,$A201,$B201)</f>
        <v>3979522.5600000005</v>
      </c>
      <c r="Q201" s="4">
        <f ca="1">_xll.DBRW($B$1,$B$2,$B$7,$B$3,$B$4,$B$5,$F201,$B$6,Q$10,$A201,$B201)</f>
        <v>3135759.5199999996</v>
      </c>
      <c r="R201" s="4">
        <f ca="1">_xll.DBRW($B$1,$B$2,$B$7,$B$3,$B$4,$B$5,$F201,$B$6,R$10,$A201,$B201)</f>
        <v>1932641.5999999996</v>
      </c>
      <c r="S201" s="4">
        <f ca="1">_xll.DBRW($B$1,$B$2,$B$7,$B$3,$B$4,$B$5,$F201,$B$6,S$10,$A201,$B201)</f>
        <v>3523535.6</v>
      </c>
      <c r="T201" s="4">
        <f ca="1">_xll.DBRW($B$1,$B$2,$B$7,$B$3,$B$4,$B$5,$F201,$B$6,T$10,$A201,$B201)</f>
        <v>4089737.4685484967</v>
      </c>
      <c r="U201" s="4">
        <f ca="1">_xll.DBRW($B$1,$B$2,$B$7,$B$3,$B$4,$B$5,$F201,$B$6,U$10,$A201,$B201)</f>
        <v>3852211.9872323289</v>
      </c>
      <c r="V201" s="4">
        <f ca="1">_xll.DBRW($B$1,$B$2,$B$7,$B$3,$B$4,$B$5,$F201,$B$6,V$10,$A201,$B201)</f>
        <v>4167250.8313089209</v>
      </c>
      <c r="W201" s="4">
        <f ca="1">_xll.DBRW($B$1,$B$2,$B$7,$B$3,$B$4,$B$5,$F201,$B$6,W$10,$A201,$B201)</f>
        <v>2907974.5484723798</v>
      </c>
      <c r="X201" s="4">
        <f ca="1">_xll.DBRW($B$1,$B$2,$B$7,$B$3,$B$4,$B$5,$F201,$B$6,X$10,$A201,$B201)</f>
        <v>2636650.9406328727</v>
      </c>
      <c r="Y201" s="4">
        <f ca="1">_xll.DBRW($B$1,$B$2,$B$7,$B$3,$B$4,$B$5,$F201,$B$6,Y$10,$A201,$B201)</f>
        <v>2966232.3082119823</v>
      </c>
      <c r="Z201" s="4">
        <f ca="1">_xll.DBRW($B$1,$B$2,$B$7,$B$3,$B$4,$B$5,$F201,$B$6,Z$10,$A201,$B201)</f>
        <v>2966232.3082119832</v>
      </c>
      <c r="AA201" s="4">
        <f ca="1">_xll.DBRW($B$1,$B$2,$B$7,$B$3,$B$4,$B$5,$F201,$B$6,AA$10,$A201,$B201)</f>
        <v>2909169.142090064</v>
      </c>
      <c r="AB201" s="4">
        <f ca="1">_xll.DBRW($B$1,$B$2,$B$7,$B$3,$B$4,$B$5,$F201,$B$6,AB$10,$A201,$B201)</f>
        <v>2530943.6990828733</v>
      </c>
      <c r="AC201" s="4">
        <f ca="1">_xll.DBRW($B$1,$B$2,$B$7,$B$3,$B$4,$B$5,$F201,$B$6,AC$10,$A201,$B201)</f>
        <v>3864197.5911880024</v>
      </c>
      <c r="AD201" s="4">
        <f ca="1">_xll.DBRW($B$1,$B$2,$B$7,$B$3,$B$4,$B$5,$F201,$B$6,AD$10,$A201,$B201)</f>
        <v>3363308.7277924442</v>
      </c>
      <c r="AE201" s="4">
        <f ca="1">_xll.DBRW($B$1,$B$2,$B$7,$B$3,$B$4,$B$5,$F201,$B$6,AE$10,$A201,$B201)</f>
        <v>3370992.13299408</v>
      </c>
    </row>
    <row r="202" spans="1:31">
      <c r="A202" s="1" t="s">
        <v>153</v>
      </c>
      <c r="B202" s="5" t="s">
        <v>245</v>
      </c>
      <c r="C202" s="5" t="s">
        <v>246</v>
      </c>
      <c r="D202" s="5" t="s">
        <v>244</v>
      </c>
      <c r="E202" s="5" t="s">
        <v>21</v>
      </c>
      <c r="F202" s="5" t="s">
        <v>24</v>
      </c>
      <c r="G202" s="6"/>
      <c r="H202" s="6"/>
      <c r="I202" s="6"/>
      <c r="J202" s="6"/>
      <c r="K202" s="6"/>
      <c r="L202" s="4">
        <f ca="1">_xll.DBRW($B$1,$B$2,$B$7,$B$3,$B$4,$B$5,$F202,$B$6,L$10,$A202,$B202)</f>
        <v>3849755.52</v>
      </c>
      <c r="M202" s="4">
        <f ca="1">_xll.DBRW($B$1,$B$2,$B$7,$B$3,$B$4,$B$5,$F202,$B$6,M$10,$A202,$B202)</f>
        <v>4160623.1562605621</v>
      </c>
      <c r="N202" s="4">
        <f ca="1">_xll.DBRW($B$1,$B$2,$B$7,$B$3,$B$4,$B$5,$F202,$B$6,N$10,$A202,$B202)</f>
        <v>3849755.52</v>
      </c>
      <c r="O202" s="4">
        <f ca="1">_xll.DBRW($B$1,$B$2,$B$7,$B$3,$B$4,$B$5,$F202,$B$6,O$10,$A202,$B202)</f>
        <v>3147682.560000001</v>
      </c>
      <c r="P202" s="4">
        <f ca="1">_xll.DBRW($B$1,$B$2,$B$7,$B$3,$B$4,$B$5,$F202,$B$6,P$10,$A202,$B202)</f>
        <v>3979522.5600000005</v>
      </c>
      <c r="Q202" s="4">
        <f ca="1">_xll.DBRW($B$1,$B$2,$B$7,$B$3,$B$4,$B$5,$F202,$B$6,Q$10,$A202,$B202)</f>
        <v>3135759.5199999996</v>
      </c>
      <c r="R202" s="4">
        <f ca="1">_xll.DBRW($B$1,$B$2,$B$7,$B$3,$B$4,$B$5,$F202,$B$6,R$10,$A202,$B202)</f>
        <v>1932641.5999999996</v>
      </c>
      <c r="S202" s="4">
        <f ca="1">_xll.DBRW($B$1,$B$2,$B$7,$B$3,$B$4,$B$5,$F202,$B$6,S$10,$A202,$B202)</f>
        <v>3523535.6</v>
      </c>
      <c r="T202" s="4">
        <f ca="1">_xll.DBRW($B$1,$B$2,$B$7,$B$3,$B$4,$B$5,$F202,$B$6,T$10,$A202,$B202)</f>
        <v>4089737.4685484967</v>
      </c>
      <c r="U202" s="4">
        <f ca="1">_xll.DBRW($B$1,$B$2,$B$7,$B$3,$B$4,$B$5,$F202,$B$6,U$10,$A202,$B202)</f>
        <v>3852211.9872323289</v>
      </c>
      <c r="V202" s="4">
        <f ca="1">_xll.DBRW($B$1,$B$2,$B$7,$B$3,$B$4,$B$5,$F202,$B$6,V$10,$A202,$B202)</f>
        <v>4167250.8313089209</v>
      </c>
      <c r="W202" s="4">
        <f ca="1">_xll.DBRW($B$1,$B$2,$B$7,$B$3,$B$4,$B$5,$F202,$B$6,W$10,$A202,$B202)</f>
        <v>2907974.5484723798</v>
      </c>
      <c r="X202" s="4">
        <f ca="1">_xll.DBRW($B$1,$B$2,$B$7,$B$3,$B$4,$B$5,$F202,$B$6,X$10,$A202,$B202)</f>
        <v>2636650.9406328727</v>
      </c>
      <c r="Y202" s="4">
        <f ca="1">_xll.DBRW($B$1,$B$2,$B$7,$B$3,$B$4,$B$5,$F202,$B$6,Y$10,$A202,$B202)</f>
        <v>2966232.3082119823</v>
      </c>
      <c r="Z202" s="4">
        <f ca="1">_xll.DBRW($B$1,$B$2,$B$7,$B$3,$B$4,$B$5,$F202,$B$6,Z$10,$A202,$B202)</f>
        <v>2966232.3082119832</v>
      </c>
      <c r="AA202" s="4">
        <f ca="1">_xll.DBRW($B$1,$B$2,$B$7,$B$3,$B$4,$B$5,$F202,$B$6,AA$10,$A202,$B202)</f>
        <v>2909169.142090064</v>
      </c>
      <c r="AB202" s="4">
        <f ca="1">_xll.DBRW($B$1,$B$2,$B$7,$B$3,$B$4,$B$5,$F202,$B$6,AB$10,$A202,$B202)</f>
        <v>2530943.6990828733</v>
      </c>
      <c r="AC202" s="4">
        <f ca="1">_xll.DBRW($B$1,$B$2,$B$7,$B$3,$B$4,$B$5,$F202,$B$6,AC$10,$A202,$B202)</f>
        <v>3864197.5911880024</v>
      </c>
      <c r="AD202" s="4">
        <f ca="1">_xll.DBRW($B$1,$B$2,$B$7,$B$3,$B$4,$B$5,$F202,$B$6,AD$10,$A202,$B202)</f>
        <v>3363308.7277924442</v>
      </c>
      <c r="AE202" s="4">
        <f ca="1">_xll.DBRW($B$1,$B$2,$B$7,$B$3,$B$4,$B$5,$F202,$B$6,AE$10,$A202,$B202)</f>
        <v>3370992.13299408</v>
      </c>
    </row>
    <row r="203" spans="1:31">
      <c r="A203" s="1" t="s">
        <v>153</v>
      </c>
      <c r="B203" s="5" t="s">
        <v>247</v>
      </c>
      <c r="C203" s="5" t="s">
        <v>248</v>
      </c>
      <c r="D203" s="5" t="s">
        <v>21</v>
      </c>
      <c r="E203" s="5" t="s">
        <v>249</v>
      </c>
      <c r="F203" s="5" t="s">
        <v>24</v>
      </c>
      <c r="G203" s="6"/>
      <c r="H203" s="6"/>
      <c r="I203" s="6"/>
      <c r="J203" s="6"/>
      <c r="K203" s="6"/>
      <c r="L203" s="4">
        <f ca="1">_xll.DBRW($B$1,$B$2,$B$7,$B$3,$B$4,$B$5,$F203,$B$6,L$10,$A203,$B203)</f>
        <v>0</v>
      </c>
      <c r="M203" s="4">
        <f ca="1">_xll.DBRW($B$1,$B$2,$B$7,$B$3,$B$4,$B$5,$F203,$B$6,M$10,$A203,$B203)</f>
        <v>0</v>
      </c>
      <c r="N203" s="4">
        <f ca="1">_xll.DBRW($B$1,$B$2,$B$7,$B$3,$B$4,$B$5,$F203,$B$6,N$10,$A203,$B203)</f>
        <v>0</v>
      </c>
      <c r="O203" s="4">
        <f ca="1">_xll.DBRW($B$1,$B$2,$B$7,$B$3,$B$4,$B$5,$F203,$B$6,O$10,$A203,$B203)</f>
        <v>0</v>
      </c>
      <c r="P203" s="4">
        <f ca="1">_xll.DBRW($B$1,$B$2,$B$7,$B$3,$B$4,$B$5,$F203,$B$6,P$10,$A203,$B203)</f>
        <v>0</v>
      </c>
      <c r="Q203" s="4">
        <f ca="1">_xll.DBRW($B$1,$B$2,$B$7,$B$3,$B$4,$B$5,$F203,$B$6,Q$10,$A203,$B203)</f>
        <v>0</v>
      </c>
      <c r="R203" s="4">
        <f ca="1">_xll.DBRW($B$1,$B$2,$B$7,$B$3,$B$4,$B$5,$F203,$B$6,R$10,$A203,$B203)</f>
        <v>0</v>
      </c>
      <c r="S203" s="4">
        <f ca="1">_xll.DBRW($B$1,$B$2,$B$7,$B$3,$B$4,$B$5,$F203,$B$6,S$10,$A203,$B203)</f>
        <v>0</v>
      </c>
      <c r="T203" s="4">
        <f ca="1">_xll.DBRW($B$1,$B$2,$B$7,$B$3,$B$4,$B$5,$F203,$B$6,T$10,$A203,$B203)</f>
        <v>0</v>
      </c>
      <c r="U203" s="4">
        <f ca="1">_xll.DBRW($B$1,$B$2,$B$7,$B$3,$B$4,$B$5,$F203,$B$6,U$10,$A203,$B203)</f>
        <v>0</v>
      </c>
      <c r="V203" s="4">
        <f ca="1">_xll.DBRW($B$1,$B$2,$B$7,$B$3,$B$4,$B$5,$F203,$B$6,V$10,$A203,$B203)</f>
        <v>0</v>
      </c>
      <c r="W203" s="4">
        <f ca="1">_xll.DBRW($B$1,$B$2,$B$7,$B$3,$B$4,$B$5,$F203,$B$6,W$10,$A203,$B203)</f>
        <v>0</v>
      </c>
      <c r="X203" s="4">
        <f ca="1">_xll.DBRW($B$1,$B$2,$B$7,$B$3,$B$4,$B$5,$F203,$B$6,X$10,$A203,$B203)</f>
        <v>0</v>
      </c>
      <c r="Y203" s="4">
        <f ca="1">_xll.DBRW($B$1,$B$2,$B$7,$B$3,$B$4,$B$5,$F203,$B$6,Y$10,$A203,$B203)</f>
        <v>0</v>
      </c>
      <c r="Z203" s="4">
        <f ca="1">_xll.DBRW($B$1,$B$2,$B$7,$B$3,$B$4,$B$5,$F203,$B$6,Z$10,$A203,$B203)</f>
        <v>0</v>
      </c>
      <c r="AA203" s="4">
        <f ca="1">_xll.DBRW($B$1,$B$2,$B$7,$B$3,$B$4,$B$5,$F203,$B$6,AA$10,$A203,$B203)</f>
        <v>0</v>
      </c>
      <c r="AB203" s="4">
        <f ca="1">_xll.DBRW($B$1,$B$2,$B$7,$B$3,$B$4,$B$5,$F203,$B$6,AB$10,$A203,$B203)</f>
        <v>0</v>
      </c>
      <c r="AC203" s="4">
        <f ca="1">_xll.DBRW($B$1,$B$2,$B$7,$B$3,$B$4,$B$5,$F203,$B$6,AC$10,$A203,$B203)</f>
        <v>0</v>
      </c>
      <c r="AD203" s="4">
        <f ca="1">_xll.DBRW($B$1,$B$2,$B$7,$B$3,$B$4,$B$5,$F203,$B$6,AD$10,$A203,$B203)</f>
        <v>0</v>
      </c>
      <c r="AE203" s="4">
        <f ca="1">_xll.DBRW($B$1,$B$2,$B$7,$B$3,$B$4,$B$5,$F203,$B$6,AE$10,$A203,$B203)</f>
        <v>4021732.1961267209</v>
      </c>
    </row>
    <row r="204" spans="1:31">
      <c r="A204" s="1" t="s">
        <v>153</v>
      </c>
      <c r="B204" s="5" t="s">
        <v>250</v>
      </c>
      <c r="C204" s="5" t="s">
        <v>251</v>
      </c>
      <c r="D204" s="5" t="s">
        <v>249</v>
      </c>
      <c r="E204" s="5" t="s">
        <v>21</v>
      </c>
      <c r="F204" s="5" t="s">
        <v>24</v>
      </c>
      <c r="G204" s="6"/>
      <c r="H204" s="6"/>
      <c r="I204" s="6"/>
      <c r="J204" s="6"/>
      <c r="K204" s="6"/>
      <c r="L204" s="4">
        <f ca="1">_xll.DBRW($B$1,$B$2,$B$7,$B$3,$B$4,$B$5,$F204,$B$6,L$10,$A204,$B204)</f>
        <v>0</v>
      </c>
      <c r="M204" s="4">
        <f ca="1">_xll.DBRW($B$1,$B$2,$B$7,$B$3,$B$4,$B$5,$F204,$B$6,M$10,$A204,$B204)</f>
        <v>0</v>
      </c>
      <c r="N204" s="4">
        <f ca="1">_xll.DBRW($B$1,$B$2,$B$7,$B$3,$B$4,$B$5,$F204,$B$6,N$10,$A204,$B204)</f>
        <v>0</v>
      </c>
      <c r="O204" s="4">
        <f ca="1">_xll.DBRW($B$1,$B$2,$B$7,$B$3,$B$4,$B$5,$F204,$B$6,O$10,$A204,$B204)</f>
        <v>0</v>
      </c>
      <c r="P204" s="4">
        <f ca="1">_xll.DBRW($B$1,$B$2,$B$7,$B$3,$B$4,$B$5,$F204,$B$6,P$10,$A204,$B204)</f>
        <v>0</v>
      </c>
      <c r="Q204" s="4">
        <f ca="1">_xll.DBRW($B$1,$B$2,$B$7,$B$3,$B$4,$B$5,$F204,$B$6,Q$10,$A204,$B204)</f>
        <v>0</v>
      </c>
      <c r="R204" s="4">
        <f ca="1">_xll.DBRW($B$1,$B$2,$B$7,$B$3,$B$4,$B$5,$F204,$B$6,R$10,$A204,$B204)</f>
        <v>0</v>
      </c>
      <c r="S204" s="4">
        <f ca="1">_xll.DBRW($B$1,$B$2,$B$7,$B$3,$B$4,$B$5,$F204,$B$6,S$10,$A204,$B204)</f>
        <v>0</v>
      </c>
      <c r="T204" s="4">
        <f ca="1">_xll.DBRW($B$1,$B$2,$B$7,$B$3,$B$4,$B$5,$F204,$B$6,T$10,$A204,$B204)</f>
        <v>0</v>
      </c>
      <c r="U204" s="4">
        <f ca="1">_xll.DBRW($B$1,$B$2,$B$7,$B$3,$B$4,$B$5,$F204,$B$6,U$10,$A204,$B204)</f>
        <v>0</v>
      </c>
      <c r="V204" s="4">
        <f ca="1">_xll.DBRW($B$1,$B$2,$B$7,$B$3,$B$4,$B$5,$F204,$B$6,V$10,$A204,$B204)</f>
        <v>0</v>
      </c>
      <c r="W204" s="4">
        <f ca="1">_xll.DBRW($B$1,$B$2,$B$7,$B$3,$B$4,$B$5,$F204,$B$6,W$10,$A204,$B204)</f>
        <v>0</v>
      </c>
      <c r="X204" s="4">
        <f ca="1">_xll.DBRW($B$1,$B$2,$B$7,$B$3,$B$4,$B$5,$F204,$B$6,X$10,$A204,$B204)</f>
        <v>0</v>
      </c>
      <c r="Y204" s="4">
        <f ca="1">_xll.DBRW($B$1,$B$2,$B$7,$B$3,$B$4,$B$5,$F204,$B$6,Y$10,$A204,$B204)</f>
        <v>0</v>
      </c>
      <c r="Z204" s="4">
        <f ca="1">_xll.DBRW($B$1,$B$2,$B$7,$B$3,$B$4,$B$5,$F204,$B$6,Z$10,$A204,$B204)</f>
        <v>0</v>
      </c>
      <c r="AA204" s="4">
        <f ca="1">_xll.DBRW($B$1,$B$2,$B$7,$B$3,$B$4,$B$5,$F204,$B$6,AA$10,$A204,$B204)</f>
        <v>0</v>
      </c>
      <c r="AB204" s="4">
        <f ca="1">_xll.DBRW($B$1,$B$2,$B$7,$B$3,$B$4,$B$5,$F204,$B$6,AB$10,$A204,$B204)</f>
        <v>0</v>
      </c>
      <c r="AC204" s="4">
        <f ca="1">_xll.DBRW($B$1,$B$2,$B$7,$B$3,$B$4,$B$5,$F204,$B$6,AC$10,$A204,$B204)</f>
        <v>0</v>
      </c>
      <c r="AD204" s="4">
        <f ca="1">_xll.DBRW($B$1,$B$2,$B$7,$B$3,$B$4,$B$5,$F204,$B$6,AD$10,$A204,$B204)</f>
        <v>0</v>
      </c>
      <c r="AE204" s="4">
        <f ca="1">_xll.DBRW($B$1,$B$2,$B$7,$B$3,$B$4,$B$5,$F204,$B$6,AE$10,$A204,$B204)</f>
        <v>4021732.1961267209</v>
      </c>
    </row>
    <row r="205" spans="1:31">
      <c r="A205" s="1" t="s">
        <v>153</v>
      </c>
      <c r="B205" s="5" t="s">
        <v>252</v>
      </c>
      <c r="C205" s="5" t="s">
        <v>226</v>
      </c>
      <c r="D205" s="5" t="s">
        <v>21</v>
      </c>
      <c r="E205" s="5" t="s">
        <v>227</v>
      </c>
      <c r="F205" s="5" t="s">
        <v>24</v>
      </c>
      <c r="G205" s="6"/>
      <c r="H205" s="6"/>
      <c r="I205" s="6"/>
      <c r="J205" s="6"/>
      <c r="K205" s="6"/>
      <c r="L205" s="4">
        <f ca="1">_xll.DBRW($B$1,$B$2,$B$7,$B$3,$B$4,$B$5,$F205,$B$6,L$10,$A205,$B205)</f>
        <v>1291213.44</v>
      </c>
      <c r="M205" s="4">
        <f ca="1">_xll.DBRW($B$1,$B$2,$B$7,$B$3,$B$4,$B$5,$F205,$B$6,M$10,$A205,$B205)</f>
        <v>0</v>
      </c>
      <c r="N205" s="4">
        <f ca="1">_xll.DBRW($B$1,$B$2,$B$7,$B$3,$B$4,$B$5,$F205,$B$6,N$10,$A205,$B205)</f>
        <v>0</v>
      </c>
      <c r="O205" s="4">
        <f ca="1">_xll.DBRW($B$1,$B$2,$B$7,$B$3,$B$4,$B$5,$F205,$B$6,O$10,$A205,$B205)</f>
        <v>0</v>
      </c>
      <c r="P205" s="4">
        <f ca="1">_xll.DBRW($B$1,$B$2,$B$7,$B$3,$B$4,$B$5,$F205,$B$6,P$10,$A205,$B205)</f>
        <v>0</v>
      </c>
      <c r="Q205" s="4">
        <f ca="1">_xll.DBRW($B$1,$B$2,$B$7,$B$3,$B$4,$B$5,$F205,$B$6,Q$10,$A205,$B205)</f>
        <v>0</v>
      </c>
      <c r="R205" s="4">
        <f ca="1">_xll.DBRW($B$1,$B$2,$B$7,$B$3,$B$4,$B$5,$F205,$B$6,R$10,$A205,$B205)</f>
        <v>0</v>
      </c>
      <c r="S205" s="4">
        <f ca="1">_xll.DBRW($B$1,$B$2,$B$7,$B$3,$B$4,$B$5,$F205,$B$6,S$10,$A205,$B205)</f>
        <v>3179124.0000000005</v>
      </c>
      <c r="T205" s="4">
        <f ca="1">_xll.DBRW($B$1,$B$2,$B$7,$B$3,$B$4,$B$5,$F205,$B$6,T$10,$A205,$B205)</f>
        <v>4198644.1127443071</v>
      </c>
      <c r="U205" s="4">
        <f ca="1">_xll.DBRW($B$1,$B$2,$B$7,$B$3,$B$4,$B$5,$F205,$B$6,U$10,$A205,$B205)</f>
        <v>3875671.4886870538</v>
      </c>
      <c r="V205" s="4">
        <f ca="1">_xll.DBRW($B$1,$B$2,$B$7,$B$3,$B$4,$B$5,$F205,$B$6,V$10,$A205,$B205)</f>
        <v>3464643.1633812962</v>
      </c>
      <c r="W205" s="4">
        <f ca="1">_xll.DBRW($B$1,$B$2,$B$7,$B$3,$B$4,$B$5,$F205,$B$6,W$10,$A205,$B205)</f>
        <v>0</v>
      </c>
      <c r="X205" s="4">
        <f ca="1">_xll.DBRW($B$1,$B$2,$B$7,$B$3,$B$4,$B$5,$F205,$B$6,X$10,$A205,$B205)</f>
        <v>0</v>
      </c>
      <c r="Y205" s="4">
        <f ca="1">_xll.DBRW($B$1,$B$2,$B$7,$B$3,$B$4,$B$5,$F205,$B$6,Y$10,$A205,$B205)</f>
        <v>0</v>
      </c>
      <c r="Z205" s="4">
        <f ca="1">_xll.DBRW($B$1,$B$2,$B$7,$B$3,$B$4,$B$5,$F205,$B$6,Z$10,$A205,$B205)</f>
        <v>0</v>
      </c>
      <c r="AA205" s="4">
        <f ca="1">_xll.DBRW($B$1,$B$2,$B$7,$B$3,$B$4,$B$5,$F205,$B$6,AA$10,$A205,$B205)</f>
        <v>0</v>
      </c>
      <c r="AB205" s="4">
        <f ca="1">_xll.DBRW($B$1,$B$2,$B$7,$B$3,$B$4,$B$5,$F205,$B$6,AB$10,$A205,$B205)</f>
        <v>0</v>
      </c>
      <c r="AC205" s="4">
        <f ca="1">_xll.DBRW($B$1,$B$2,$B$7,$B$3,$B$4,$B$5,$F205,$B$6,AC$10,$A205,$B205)</f>
        <v>385065.79248448135</v>
      </c>
      <c r="AD205" s="4">
        <f ca="1">_xll.DBRW($B$1,$B$2,$B$7,$B$3,$B$4,$B$5,$F205,$B$6,AD$10,$A205,$B205)</f>
        <v>2702849.0749565712</v>
      </c>
      <c r="AE205" s="4">
        <f ca="1">_xll.DBRW($B$1,$B$2,$B$7,$B$3,$B$4,$B$5,$F205,$B$6,AE$10,$A205,$B205)</f>
        <v>2730065.9356580162</v>
      </c>
    </row>
    <row r="206" spans="1:31">
      <c r="A206" s="1" t="s">
        <v>153</v>
      </c>
      <c r="B206" s="5" t="s">
        <v>253</v>
      </c>
      <c r="C206" s="5" t="s">
        <v>229</v>
      </c>
      <c r="D206" s="5" t="s">
        <v>227</v>
      </c>
      <c r="E206" s="5" t="s">
        <v>21</v>
      </c>
      <c r="F206" s="5" t="s">
        <v>24</v>
      </c>
      <c r="G206" s="6"/>
      <c r="H206" s="6"/>
      <c r="I206" s="6"/>
      <c r="J206" s="6"/>
      <c r="K206" s="6"/>
      <c r="L206" s="4">
        <f ca="1">_xll.DBRW($B$1,$B$2,$B$7,$B$3,$B$4,$B$5,$F206,$B$6,L$10,$A206,$B206)</f>
        <v>1291213.44</v>
      </c>
      <c r="M206" s="4">
        <f ca="1">_xll.DBRW($B$1,$B$2,$B$7,$B$3,$B$4,$B$5,$F206,$B$6,M$10,$A206,$B206)</f>
        <v>0</v>
      </c>
      <c r="N206" s="4">
        <f ca="1">_xll.DBRW($B$1,$B$2,$B$7,$B$3,$B$4,$B$5,$F206,$B$6,N$10,$A206,$B206)</f>
        <v>0</v>
      </c>
      <c r="O206" s="4">
        <f ca="1">_xll.DBRW($B$1,$B$2,$B$7,$B$3,$B$4,$B$5,$F206,$B$6,O$10,$A206,$B206)</f>
        <v>0</v>
      </c>
      <c r="P206" s="4">
        <f ca="1">_xll.DBRW($B$1,$B$2,$B$7,$B$3,$B$4,$B$5,$F206,$B$6,P$10,$A206,$B206)</f>
        <v>0</v>
      </c>
      <c r="Q206" s="4">
        <f ca="1">_xll.DBRW($B$1,$B$2,$B$7,$B$3,$B$4,$B$5,$F206,$B$6,Q$10,$A206,$B206)</f>
        <v>0</v>
      </c>
      <c r="R206" s="4">
        <f ca="1">_xll.DBRW($B$1,$B$2,$B$7,$B$3,$B$4,$B$5,$F206,$B$6,R$10,$A206,$B206)</f>
        <v>0</v>
      </c>
      <c r="S206" s="4">
        <f ca="1">_xll.DBRW($B$1,$B$2,$B$7,$B$3,$B$4,$B$5,$F206,$B$6,S$10,$A206,$B206)</f>
        <v>3179124.0000000005</v>
      </c>
      <c r="T206" s="4">
        <f ca="1">_xll.DBRW($B$1,$B$2,$B$7,$B$3,$B$4,$B$5,$F206,$B$6,T$10,$A206,$B206)</f>
        <v>4198644.1127443071</v>
      </c>
      <c r="U206" s="4">
        <f ca="1">_xll.DBRW($B$1,$B$2,$B$7,$B$3,$B$4,$B$5,$F206,$B$6,U$10,$A206,$B206)</f>
        <v>3875671.4886870538</v>
      </c>
      <c r="V206" s="4">
        <f ca="1">_xll.DBRW($B$1,$B$2,$B$7,$B$3,$B$4,$B$5,$F206,$B$6,V$10,$A206,$B206)</f>
        <v>3464643.1633812962</v>
      </c>
      <c r="W206" s="4">
        <f ca="1">_xll.DBRW($B$1,$B$2,$B$7,$B$3,$B$4,$B$5,$F206,$B$6,W$10,$A206,$B206)</f>
        <v>0</v>
      </c>
      <c r="X206" s="4">
        <f ca="1">_xll.DBRW($B$1,$B$2,$B$7,$B$3,$B$4,$B$5,$F206,$B$6,X$10,$A206,$B206)</f>
        <v>0</v>
      </c>
      <c r="Y206" s="4">
        <f ca="1">_xll.DBRW($B$1,$B$2,$B$7,$B$3,$B$4,$B$5,$F206,$B$6,Y$10,$A206,$B206)</f>
        <v>0</v>
      </c>
      <c r="Z206" s="4">
        <f ca="1">_xll.DBRW($B$1,$B$2,$B$7,$B$3,$B$4,$B$5,$F206,$B$6,Z$10,$A206,$B206)</f>
        <v>0</v>
      </c>
      <c r="AA206" s="4">
        <f ca="1">_xll.DBRW($B$1,$B$2,$B$7,$B$3,$B$4,$B$5,$F206,$B$6,AA$10,$A206,$B206)</f>
        <v>0</v>
      </c>
      <c r="AB206" s="4">
        <f ca="1">_xll.DBRW($B$1,$B$2,$B$7,$B$3,$B$4,$B$5,$F206,$B$6,AB$10,$A206,$B206)</f>
        <v>0</v>
      </c>
      <c r="AC206" s="4">
        <f ca="1">_xll.DBRW($B$1,$B$2,$B$7,$B$3,$B$4,$B$5,$F206,$B$6,AC$10,$A206,$B206)</f>
        <v>385065.79248448135</v>
      </c>
      <c r="AD206" s="4">
        <f ca="1">_xll.DBRW($B$1,$B$2,$B$7,$B$3,$B$4,$B$5,$F206,$B$6,AD$10,$A206,$B206)</f>
        <v>2702849.0749565712</v>
      </c>
      <c r="AE206" s="4">
        <f ca="1">_xll.DBRW($B$1,$B$2,$B$7,$B$3,$B$4,$B$5,$F206,$B$6,AE$10,$A206,$B206)</f>
        <v>2730065.9356580162</v>
      </c>
    </row>
    <row r="207" spans="1:31">
      <c r="A207" s="1" t="s">
        <v>153</v>
      </c>
      <c r="B207" s="5" t="s">
        <v>254</v>
      </c>
      <c r="C207" s="5" t="s">
        <v>255</v>
      </c>
      <c r="D207" s="5" t="s">
        <v>60</v>
      </c>
      <c r="E207" s="5" t="s">
        <v>59</v>
      </c>
      <c r="F207" s="5" t="s">
        <v>24</v>
      </c>
      <c r="G207" s="6"/>
      <c r="H207" s="6"/>
      <c r="I207" s="6"/>
      <c r="J207" s="6"/>
      <c r="K207" s="6"/>
      <c r="L207" s="4">
        <f ca="1">_xll.DBRW($B$1,$B$2,$B$7,$B$3,$B$4,$B$5,$F207,$B$6,L$10,$A207,$B207)</f>
        <v>2837782.08</v>
      </c>
      <c r="M207" s="4">
        <f ca="1">_xll.DBRW($B$1,$B$2,$B$7,$B$3,$B$4,$B$5,$F207,$B$6,M$10,$A207,$B207)</f>
        <v>2736411.3030676516</v>
      </c>
      <c r="N207" s="4">
        <f ca="1">_xll.DBRW($B$1,$B$2,$B$7,$B$3,$B$4,$B$5,$F207,$B$6,N$10,$A207,$B207)</f>
        <v>3141830.16</v>
      </c>
      <c r="O207" s="4">
        <f ca="1">_xll.DBRW($B$1,$B$2,$B$7,$B$3,$B$4,$B$5,$F207,$B$6,O$10,$A207,$B207)</f>
        <v>2871565.1999999997</v>
      </c>
      <c r="P207" s="4">
        <f ca="1">_xll.DBRW($B$1,$B$2,$B$7,$B$3,$B$4,$B$5,$F207,$B$6,P$10,$A207,$B207)</f>
        <v>2462414.08</v>
      </c>
      <c r="Q207" s="4">
        <f ca="1">_xll.DBRW($B$1,$B$2,$B$7,$B$3,$B$4,$B$5,$F207,$B$6,Q$10,$A207,$B207)</f>
        <v>2642590.7200000002</v>
      </c>
      <c r="R207" s="4">
        <f ca="1">_xll.DBRW($B$1,$B$2,$B$7,$B$3,$B$4,$B$5,$F207,$B$6,R$10,$A207,$B207)</f>
        <v>0</v>
      </c>
      <c r="S207" s="4">
        <f ca="1">_xll.DBRW($B$1,$B$2,$B$7,$B$3,$B$4,$B$5,$F207,$B$6,S$10,$A207,$B207)</f>
        <v>0</v>
      </c>
      <c r="T207" s="4">
        <f ca="1">_xll.DBRW($B$1,$B$2,$B$7,$B$3,$B$4,$B$5,$F207,$B$6,T$10,$A207,$B207)</f>
        <v>0</v>
      </c>
      <c r="U207" s="4">
        <f ca="1">_xll.DBRW($B$1,$B$2,$B$7,$B$3,$B$4,$B$5,$F207,$B$6,U$10,$A207,$B207)</f>
        <v>0</v>
      </c>
      <c r="V207" s="4">
        <f ca="1">_xll.DBRW($B$1,$B$2,$B$7,$B$3,$B$4,$B$5,$F207,$B$6,V$10,$A207,$B207)</f>
        <v>0</v>
      </c>
      <c r="W207" s="4">
        <f ca="1">_xll.DBRW($B$1,$B$2,$B$7,$B$3,$B$4,$B$5,$F207,$B$6,W$10,$A207,$B207)</f>
        <v>2219586.0306733227</v>
      </c>
      <c r="X207" s="4">
        <f ca="1">_xll.DBRW($B$1,$B$2,$B$7,$B$3,$B$4,$B$5,$F207,$B$6,X$10,$A207,$B207)</f>
        <v>2420836.9959573555</v>
      </c>
      <c r="Y207" s="4">
        <f ca="1">_xll.DBRW($B$1,$B$2,$B$7,$B$3,$B$4,$B$5,$F207,$B$6,Y$10,$A207,$B207)</f>
        <v>2527251.6530696223</v>
      </c>
      <c r="Z207" s="4">
        <f ca="1">_xll.DBRW($B$1,$B$2,$B$7,$B$3,$B$4,$B$5,$F207,$B$6,Z$10,$A207,$B207)</f>
        <v>3147641.367131467</v>
      </c>
      <c r="AA207" s="4">
        <f ca="1">_xll.DBRW($B$1,$B$2,$B$7,$B$3,$B$4,$B$5,$F207,$B$6,AA$10,$A207,$B207)</f>
        <v>2880961.2057908601</v>
      </c>
      <c r="AB207" s="4">
        <f ca="1">_xll.DBRW($B$1,$B$2,$B$7,$B$3,$B$4,$B$5,$F207,$B$6,AB$10,$A207,$B207)</f>
        <v>2772253.3543941411</v>
      </c>
      <c r="AC207" s="4">
        <f ca="1">_xll.DBRW($B$1,$B$2,$B$7,$B$3,$B$4,$B$5,$F207,$B$6,AC$10,$A207,$B207)</f>
        <v>2672971.7800892168</v>
      </c>
      <c r="AD207" s="4">
        <f ca="1">_xll.DBRW($B$1,$B$2,$B$7,$B$3,$B$4,$B$5,$F207,$B$6,AD$10,$A207,$B207)</f>
        <v>0</v>
      </c>
      <c r="AE207" s="4">
        <f ca="1">_xll.DBRW($B$1,$B$2,$B$7,$B$3,$B$4,$B$5,$F207,$B$6,AE$10,$A207,$B207)</f>
        <v>0</v>
      </c>
    </row>
    <row r="208" spans="1:31">
      <c r="A208" s="1" t="s">
        <v>153</v>
      </c>
      <c r="B208" s="5" t="s">
        <v>57</v>
      </c>
      <c r="C208" s="5" t="s">
        <v>58</v>
      </c>
      <c r="D208" s="5" t="s">
        <v>59</v>
      </c>
      <c r="E208" s="5" t="s">
        <v>60</v>
      </c>
      <c r="F208" s="5" t="s">
        <v>24</v>
      </c>
      <c r="G208" s="6"/>
      <c r="H208" s="6"/>
      <c r="I208" s="6"/>
      <c r="J208" s="6"/>
      <c r="K208" s="6"/>
      <c r="L208" s="4">
        <f ca="1">_xll.DBRW($B$1,$B$2,$B$7,$B$3,$B$4,$B$5,$F208,$B$6,L$10,$A208,$B208)</f>
        <v>2837782.08</v>
      </c>
      <c r="M208" s="4">
        <f ca="1">_xll.DBRW($B$1,$B$2,$B$7,$B$3,$B$4,$B$5,$F208,$B$6,M$10,$A208,$B208)</f>
        <v>2432365.6027268013</v>
      </c>
      <c r="N208" s="4">
        <f ca="1">_xll.DBRW($B$1,$B$2,$B$7,$B$3,$B$4,$B$5,$F208,$B$6,N$10,$A208,$B208)</f>
        <v>3141830.16</v>
      </c>
      <c r="O208" s="4">
        <f ca="1">_xll.DBRW($B$1,$B$2,$B$7,$B$3,$B$4,$B$5,$F208,$B$6,O$10,$A208,$B208)</f>
        <v>2871565.1999999997</v>
      </c>
      <c r="P208" s="4">
        <f ca="1">_xll.DBRW($B$1,$B$2,$B$7,$B$3,$B$4,$B$5,$F208,$B$6,P$10,$A208,$B208)</f>
        <v>2462414.08</v>
      </c>
      <c r="Q208" s="4">
        <f ca="1">_xll.DBRW($B$1,$B$2,$B$7,$B$3,$B$4,$B$5,$F208,$B$6,Q$10,$A208,$B208)</f>
        <v>2642590.7200000002</v>
      </c>
      <c r="R208" s="4">
        <f ca="1">_xll.DBRW($B$1,$B$2,$B$7,$B$3,$B$4,$B$5,$F208,$B$6,R$10,$A208,$B208)</f>
        <v>0</v>
      </c>
      <c r="S208" s="4">
        <f ca="1">_xll.DBRW($B$1,$B$2,$B$7,$B$3,$B$4,$B$5,$F208,$B$6,S$10,$A208,$B208)</f>
        <v>0</v>
      </c>
      <c r="T208" s="4">
        <f ca="1">_xll.DBRW($B$1,$B$2,$B$7,$B$3,$B$4,$B$5,$F208,$B$6,T$10,$A208,$B208)</f>
        <v>0</v>
      </c>
      <c r="U208" s="4">
        <f ca="1">_xll.DBRW($B$1,$B$2,$B$7,$B$3,$B$4,$B$5,$F208,$B$6,U$10,$A208,$B208)</f>
        <v>0</v>
      </c>
      <c r="V208" s="4">
        <f ca="1">_xll.DBRW($B$1,$B$2,$B$7,$B$3,$B$4,$B$5,$F208,$B$6,V$10,$A208,$B208)</f>
        <v>0</v>
      </c>
      <c r="W208" s="4">
        <f ca="1">_xll.DBRW($B$1,$B$2,$B$7,$B$3,$B$4,$B$5,$F208,$B$6,W$10,$A208,$B208)</f>
        <v>2219586.0306733227</v>
      </c>
      <c r="X208" s="4">
        <f ca="1">_xll.DBRW($B$1,$B$2,$B$7,$B$3,$B$4,$B$5,$F208,$B$6,X$10,$A208,$B208)</f>
        <v>2420836.9959573555</v>
      </c>
      <c r="Y208" s="4">
        <f ca="1">_xll.DBRW($B$1,$B$2,$B$7,$B$3,$B$4,$B$5,$F208,$B$6,Y$10,$A208,$B208)</f>
        <v>2527251.6530696223</v>
      </c>
      <c r="Z208" s="4">
        <f ca="1">_xll.DBRW($B$1,$B$2,$B$7,$B$3,$B$4,$B$5,$F208,$B$6,Z$10,$A208,$B208)</f>
        <v>3147641.367131467</v>
      </c>
      <c r="AA208" s="4">
        <f ca="1">_xll.DBRW($B$1,$B$2,$B$7,$B$3,$B$4,$B$5,$F208,$B$6,AA$10,$A208,$B208)</f>
        <v>2880961.2057908601</v>
      </c>
      <c r="AB208" s="4">
        <f ca="1">_xll.DBRW($B$1,$B$2,$B$7,$B$3,$B$4,$B$5,$F208,$B$6,AB$10,$A208,$B208)</f>
        <v>3118785.0236934084</v>
      </c>
      <c r="AC208" s="4">
        <f ca="1">_xll.DBRW($B$1,$B$2,$B$7,$B$3,$B$4,$B$5,$F208,$B$6,AC$10,$A208,$B208)</f>
        <v>2338850.307578065</v>
      </c>
      <c r="AD208" s="4">
        <f ca="1">_xll.DBRW($B$1,$B$2,$B$7,$B$3,$B$4,$B$5,$F208,$B$6,AD$10,$A208,$B208)</f>
        <v>0</v>
      </c>
      <c r="AE208" s="4">
        <f ca="1">_xll.DBRW($B$1,$B$2,$B$7,$B$3,$B$4,$B$5,$F208,$B$6,AE$10,$A208,$B208)</f>
        <v>0</v>
      </c>
    </row>
    <row r="209" spans="1:31">
      <c r="A209" s="1" t="s">
        <v>153</v>
      </c>
      <c r="B209" s="5" t="s">
        <v>256</v>
      </c>
      <c r="C209" s="5" t="s">
        <v>206</v>
      </c>
      <c r="D209" s="5" t="s">
        <v>21</v>
      </c>
      <c r="E209" s="5" t="s">
        <v>181</v>
      </c>
      <c r="F209" s="5" t="s">
        <v>24</v>
      </c>
      <c r="G209" s="6"/>
      <c r="H209" s="6"/>
      <c r="I209" s="6"/>
      <c r="J209" s="6"/>
      <c r="K209" s="6"/>
      <c r="L209" s="4">
        <f ca="1">_xll.DBRW($B$1,$B$2,$B$7,$B$3,$B$4,$B$5,$F209,$B$6,L$10,$A209,$B209)</f>
        <v>0</v>
      </c>
      <c r="M209" s="4">
        <f ca="1">_xll.DBRW($B$1,$B$2,$B$7,$B$3,$B$4,$B$5,$F209,$B$6,M$10,$A209,$B209)</f>
        <v>0</v>
      </c>
      <c r="N209" s="4">
        <f ca="1">_xll.DBRW($B$1,$B$2,$B$7,$B$3,$B$4,$B$5,$F209,$B$6,N$10,$A209,$B209)</f>
        <v>0</v>
      </c>
      <c r="O209" s="4">
        <f ca="1">_xll.DBRW($B$1,$B$2,$B$7,$B$3,$B$4,$B$5,$F209,$B$6,O$10,$A209,$B209)</f>
        <v>0</v>
      </c>
      <c r="P209" s="4">
        <f ca="1">_xll.DBRW($B$1,$B$2,$B$7,$B$3,$B$4,$B$5,$F209,$B$6,P$10,$A209,$B209)</f>
        <v>0</v>
      </c>
      <c r="Q209" s="4">
        <f ca="1">_xll.DBRW($B$1,$B$2,$B$7,$B$3,$B$4,$B$5,$F209,$B$6,Q$10,$A209,$B209)</f>
        <v>0</v>
      </c>
      <c r="R209" s="4">
        <f ca="1">_xll.DBRW($B$1,$B$2,$B$7,$B$3,$B$4,$B$5,$F209,$B$6,R$10,$A209,$B209)</f>
        <v>0</v>
      </c>
      <c r="S209" s="4">
        <f ca="1">_xll.DBRW($B$1,$B$2,$B$7,$B$3,$B$4,$B$5,$F209,$B$6,S$10,$A209,$B209)</f>
        <v>0</v>
      </c>
      <c r="T209" s="4">
        <f ca="1">_xll.DBRW($B$1,$B$2,$B$7,$B$3,$B$4,$B$5,$F209,$B$6,T$10,$A209,$B209)</f>
        <v>0</v>
      </c>
      <c r="U209" s="4">
        <f ca="1">_xll.DBRW($B$1,$B$2,$B$7,$B$3,$B$4,$B$5,$F209,$B$6,U$10,$A209,$B209)</f>
        <v>0</v>
      </c>
      <c r="V209" s="4">
        <f ca="1">_xll.DBRW($B$1,$B$2,$B$7,$B$3,$B$4,$B$5,$F209,$B$6,V$10,$A209,$B209)</f>
        <v>0</v>
      </c>
      <c r="W209" s="4">
        <f ca="1">_xll.DBRW($B$1,$B$2,$B$7,$B$3,$B$4,$B$5,$F209,$B$6,W$10,$A209,$B209)</f>
        <v>0</v>
      </c>
      <c r="X209" s="4">
        <f ca="1">_xll.DBRW($B$1,$B$2,$B$7,$B$3,$B$4,$B$5,$F209,$B$6,X$10,$A209,$B209)</f>
        <v>0</v>
      </c>
      <c r="Y209" s="4">
        <f ca="1">_xll.DBRW($B$1,$B$2,$B$7,$B$3,$B$4,$B$5,$F209,$B$6,Y$10,$A209,$B209)</f>
        <v>0</v>
      </c>
      <c r="Z209" s="4">
        <f ca="1">_xll.DBRW($B$1,$B$2,$B$7,$B$3,$B$4,$B$5,$F209,$B$6,Z$10,$A209,$B209)</f>
        <v>0</v>
      </c>
      <c r="AA209" s="4">
        <f ca="1">_xll.DBRW($B$1,$B$2,$B$7,$B$3,$B$4,$B$5,$F209,$B$6,AA$10,$A209,$B209)</f>
        <v>0</v>
      </c>
      <c r="AB209" s="4">
        <f ca="1">_xll.DBRW($B$1,$B$2,$B$7,$B$3,$B$4,$B$5,$F209,$B$6,AB$10,$A209,$B209)</f>
        <v>0</v>
      </c>
      <c r="AC209" s="4">
        <f ca="1">_xll.DBRW($B$1,$B$2,$B$7,$B$3,$B$4,$B$5,$F209,$B$6,AC$10,$A209,$B209)</f>
        <v>0</v>
      </c>
      <c r="AD209" s="4">
        <f ca="1">_xll.DBRW($B$1,$B$2,$B$7,$B$3,$B$4,$B$5,$F209,$B$6,AD$10,$A209,$B209)</f>
        <v>0</v>
      </c>
      <c r="AE209" s="4">
        <f ca="1">_xll.DBRW($B$1,$B$2,$B$7,$B$3,$B$4,$B$5,$F209,$B$6,AE$10,$A209,$B209)</f>
        <v>0</v>
      </c>
    </row>
    <row r="210" spans="1:31">
      <c r="A210" s="1" t="s">
        <v>153</v>
      </c>
      <c r="B210" s="5" t="s">
        <v>257</v>
      </c>
      <c r="C210" s="5" t="s">
        <v>208</v>
      </c>
      <c r="D210" s="5" t="s">
        <v>181</v>
      </c>
      <c r="E210" s="5" t="s">
        <v>21</v>
      </c>
      <c r="F210" s="5" t="s">
        <v>24</v>
      </c>
      <c r="G210" s="6"/>
      <c r="H210" s="6"/>
      <c r="I210" s="6"/>
      <c r="J210" s="6"/>
      <c r="K210" s="6"/>
      <c r="L210" s="4">
        <f ca="1">_xll.DBRW($B$1,$B$2,$B$7,$B$3,$B$4,$B$5,$F210,$B$6,L$10,$A210,$B210)</f>
        <v>0</v>
      </c>
      <c r="M210" s="4">
        <f ca="1">_xll.DBRW($B$1,$B$2,$B$7,$B$3,$B$4,$B$5,$F210,$B$6,M$10,$A210,$B210)</f>
        <v>0</v>
      </c>
      <c r="N210" s="4">
        <f ca="1">_xll.DBRW($B$1,$B$2,$B$7,$B$3,$B$4,$B$5,$F210,$B$6,N$10,$A210,$B210)</f>
        <v>0</v>
      </c>
      <c r="O210" s="4">
        <f ca="1">_xll.DBRW($B$1,$B$2,$B$7,$B$3,$B$4,$B$5,$F210,$B$6,O$10,$A210,$B210)</f>
        <v>0</v>
      </c>
      <c r="P210" s="4">
        <f ca="1">_xll.DBRW($B$1,$B$2,$B$7,$B$3,$B$4,$B$5,$F210,$B$6,P$10,$A210,$B210)</f>
        <v>0</v>
      </c>
      <c r="Q210" s="4">
        <f ca="1">_xll.DBRW($B$1,$B$2,$B$7,$B$3,$B$4,$B$5,$F210,$B$6,Q$10,$A210,$B210)</f>
        <v>0</v>
      </c>
      <c r="R210" s="4">
        <f ca="1">_xll.DBRW($B$1,$B$2,$B$7,$B$3,$B$4,$B$5,$F210,$B$6,R$10,$A210,$B210)</f>
        <v>0</v>
      </c>
      <c r="S210" s="4">
        <f ca="1">_xll.DBRW($B$1,$B$2,$B$7,$B$3,$B$4,$B$5,$F210,$B$6,S$10,$A210,$B210)</f>
        <v>0</v>
      </c>
      <c r="T210" s="4">
        <f ca="1">_xll.DBRW($B$1,$B$2,$B$7,$B$3,$B$4,$B$5,$F210,$B$6,T$10,$A210,$B210)</f>
        <v>0</v>
      </c>
      <c r="U210" s="4">
        <f ca="1">_xll.DBRW($B$1,$B$2,$B$7,$B$3,$B$4,$B$5,$F210,$B$6,U$10,$A210,$B210)</f>
        <v>0</v>
      </c>
      <c r="V210" s="4">
        <f ca="1">_xll.DBRW($B$1,$B$2,$B$7,$B$3,$B$4,$B$5,$F210,$B$6,V$10,$A210,$B210)</f>
        <v>0</v>
      </c>
      <c r="W210" s="4">
        <f ca="1">_xll.DBRW($B$1,$B$2,$B$7,$B$3,$B$4,$B$5,$F210,$B$6,W$10,$A210,$B210)</f>
        <v>0</v>
      </c>
      <c r="X210" s="4">
        <f ca="1">_xll.DBRW($B$1,$B$2,$B$7,$B$3,$B$4,$B$5,$F210,$B$6,X$10,$A210,$B210)</f>
        <v>0</v>
      </c>
      <c r="Y210" s="4">
        <f ca="1">_xll.DBRW($B$1,$B$2,$B$7,$B$3,$B$4,$B$5,$F210,$B$6,Y$10,$A210,$B210)</f>
        <v>0</v>
      </c>
      <c r="Z210" s="4">
        <f ca="1">_xll.DBRW($B$1,$B$2,$B$7,$B$3,$B$4,$B$5,$F210,$B$6,Z$10,$A210,$B210)</f>
        <v>0</v>
      </c>
      <c r="AA210" s="4">
        <f ca="1">_xll.DBRW($B$1,$B$2,$B$7,$B$3,$B$4,$B$5,$F210,$B$6,AA$10,$A210,$B210)</f>
        <v>0</v>
      </c>
      <c r="AB210" s="4">
        <f ca="1">_xll.DBRW($B$1,$B$2,$B$7,$B$3,$B$4,$B$5,$F210,$B$6,AB$10,$A210,$B210)</f>
        <v>0</v>
      </c>
      <c r="AC210" s="4">
        <f ca="1">_xll.DBRW($B$1,$B$2,$B$7,$B$3,$B$4,$B$5,$F210,$B$6,AC$10,$A210,$B210)</f>
        <v>0</v>
      </c>
      <c r="AD210" s="4">
        <f ca="1">_xll.DBRW($B$1,$B$2,$B$7,$B$3,$B$4,$B$5,$F210,$B$6,AD$10,$A210,$B210)</f>
        <v>0</v>
      </c>
      <c r="AE210" s="4">
        <f ca="1">_xll.DBRW($B$1,$B$2,$B$7,$B$3,$B$4,$B$5,$F210,$B$6,AE$10,$A210,$B210)</f>
        <v>0</v>
      </c>
    </row>
    <row r="211" spans="1:31">
      <c r="A211" s="1" t="s">
        <v>153</v>
      </c>
      <c r="B211" s="5" t="s">
        <v>258</v>
      </c>
      <c r="C211" s="5" t="s">
        <v>259</v>
      </c>
      <c r="D211" s="5" t="s">
        <v>21</v>
      </c>
      <c r="E211" s="5" t="s">
        <v>260</v>
      </c>
      <c r="F211" s="5" t="s">
        <v>24</v>
      </c>
      <c r="G211" s="6"/>
      <c r="H211" s="6"/>
      <c r="I211" s="6"/>
      <c r="J211" s="6"/>
      <c r="K211" s="6"/>
      <c r="L211" s="4">
        <f ca="1">_xll.DBRW($B$1,$B$2,$B$7,$B$3,$B$4,$B$5,$F211,$B$6,L$10,$A211,$B211)</f>
        <v>7260624</v>
      </c>
      <c r="M211" s="4">
        <f ca="1">_xll.DBRW($B$1,$B$2,$B$7,$B$3,$B$4,$B$5,$F211,$B$6,M$10,$A211,$B211)</f>
        <v>7055958.5567349941</v>
      </c>
      <c r="N211" s="4">
        <f ca="1">_xll.DBRW($B$1,$B$2,$B$7,$B$3,$B$4,$B$5,$F211,$B$6,N$10,$A211,$B211)</f>
        <v>9140606.9999999981</v>
      </c>
      <c r="O211" s="4">
        <f ca="1">_xll.DBRW($B$1,$B$2,$B$7,$B$3,$B$4,$B$5,$F211,$B$6,O$10,$A211,$B211)</f>
        <v>8751645</v>
      </c>
      <c r="P211" s="4">
        <f ca="1">_xll.DBRW($B$1,$B$2,$B$7,$B$3,$B$4,$B$5,$F211,$B$6,P$10,$A211,$B211)</f>
        <v>7989927.75</v>
      </c>
      <c r="Q211" s="4">
        <f ca="1">_xll.DBRW($B$1,$B$2,$B$7,$B$3,$B$4,$B$5,$F211,$B$6,Q$10,$A211,$B211)</f>
        <v>8508543.7500000019</v>
      </c>
      <c r="R211" s="4">
        <f ca="1">_xll.DBRW($B$1,$B$2,$B$7,$B$3,$B$4,$B$5,$F211,$B$6,R$10,$A211,$B211)</f>
        <v>6579940.5</v>
      </c>
      <c r="S211" s="4">
        <f ca="1">_xll.DBRW($B$1,$B$2,$B$7,$B$3,$B$4,$B$5,$F211,$B$6,S$10,$A211,$B211)</f>
        <v>7681999.5000000019</v>
      </c>
      <c r="T211" s="4">
        <f ca="1">_xll.DBRW($B$1,$B$2,$B$7,$B$3,$B$4,$B$5,$F211,$B$6,T$10,$A211,$B211)</f>
        <v>8845226.810314443</v>
      </c>
      <c r="U211" s="4">
        <f ca="1">_xll.DBRW($B$1,$B$2,$B$7,$B$3,$B$4,$B$5,$F211,$B$6,U$10,$A211,$B211)</f>
        <v>7349630.089438742</v>
      </c>
      <c r="V211" s="4">
        <f ca="1">_xll.DBRW($B$1,$B$2,$B$7,$B$3,$B$4,$B$5,$F211,$B$6,V$10,$A211,$B211)</f>
        <v>9336078.485085696</v>
      </c>
      <c r="W211" s="4">
        <f ca="1">_xll.DBRW($B$1,$B$2,$B$7,$B$3,$B$4,$B$5,$F211,$B$6,W$10,$A211,$B211)</f>
        <v>8994590.237017151</v>
      </c>
      <c r="X211" s="4">
        <f ca="1">_xll.DBRW($B$1,$B$2,$B$7,$B$3,$B$4,$B$5,$F211,$B$6,X$10,$A211,$B211)</f>
        <v>8580252.1422961261</v>
      </c>
      <c r="Y211" s="4">
        <f ca="1">_xll.DBRW($B$1,$B$2,$B$7,$B$3,$B$4,$B$5,$F211,$B$6,Y$10,$A211,$B211)</f>
        <v>9366812.2436398175</v>
      </c>
      <c r="Z211" s="4">
        <f ca="1">_xll.DBRW($B$1,$B$2,$B$7,$B$3,$B$4,$B$5,$F211,$B$6,Z$10,$A211,$B211)</f>
        <v>9952919.2933373302</v>
      </c>
      <c r="AA211" s="4">
        <f ca="1">_xll.DBRW($B$1,$B$2,$B$7,$B$3,$B$4,$B$5,$F211,$B$6,AA$10,$A211,$B211)</f>
        <v>9421696.3646241687</v>
      </c>
      <c r="AB211" s="4">
        <f ca="1">_xll.DBRW($B$1,$B$2,$B$7,$B$3,$B$4,$B$5,$F211,$B$6,AB$10,$A211,$B211)</f>
        <v>9631857.3806490283</v>
      </c>
      <c r="AC211" s="4">
        <f ca="1">_xll.DBRW($B$1,$B$2,$B$7,$B$3,$B$4,$B$5,$F211,$B$6,AC$10,$A211,$B211)</f>
        <v>9574023.2458638754</v>
      </c>
      <c r="AD211" s="4">
        <f ca="1">_xll.DBRW($B$1,$B$2,$B$7,$B$3,$B$4,$B$5,$F211,$B$6,AD$10,$A211,$B211)</f>
        <v>8973474.5686717667</v>
      </c>
      <c r="AE211" s="4">
        <f ca="1">_xll.DBRW($B$1,$B$2,$B$7,$B$3,$B$4,$B$5,$F211,$B$6,AE$10,$A211,$B211)</f>
        <v>9194191.838439839</v>
      </c>
    </row>
    <row r="212" spans="1:31">
      <c r="A212" s="1" t="s">
        <v>153</v>
      </c>
      <c r="B212" s="5" t="s">
        <v>261</v>
      </c>
      <c r="C212" s="5" t="s">
        <v>262</v>
      </c>
      <c r="D212" s="5" t="s">
        <v>260</v>
      </c>
      <c r="E212" s="5" t="s">
        <v>21</v>
      </c>
      <c r="F212" s="5" t="s">
        <v>24</v>
      </c>
      <c r="G212" s="6"/>
      <c r="H212" s="6"/>
      <c r="I212" s="6"/>
      <c r="J212" s="6"/>
      <c r="K212" s="6"/>
      <c r="L212" s="4">
        <f ca="1">_xll.DBRW($B$1,$B$2,$B$7,$B$3,$B$4,$B$5,$F212,$B$6,L$10,$A212,$B212)</f>
        <v>7260624</v>
      </c>
      <c r="M212" s="4">
        <f ca="1">_xll.DBRW($B$1,$B$2,$B$7,$B$3,$B$4,$B$5,$F212,$B$6,M$10,$A212,$B212)</f>
        <v>7055958.5567349941</v>
      </c>
      <c r="N212" s="4">
        <f ca="1">_xll.DBRW($B$1,$B$2,$B$7,$B$3,$B$4,$B$5,$F212,$B$6,N$10,$A212,$B212)</f>
        <v>9140606.9999999981</v>
      </c>
      <c r="O212" s="4">
        <f ca="1">_xll.DBRW($B$1,$B$2,$B$7,$B$3,$B$4,$B$5,$F212,$B$6,O$10,$A212,$B212)</f>
        <v>8751645</v>
      </c>
      <c r="P212" s="4">
        <f ca="1">_xll.DBRW($B$1,$B$2,$B$7,$B$3,$B$4,$B$5,$F212,$B$6,P$10,$A212,$B212)</f>
        <v>7989927.75</v>
      </c>
      <c r="Q212" s="4">
        <f ca="1">_xll.DBRW($B$1,$B$2,$B$7,$B$3,$B$4,$B$5,$F212,$B$6,Q$10,$A212,$B212)</f>
        <v>8508543.7500000019</v>
      </c>
      <c r="R212" s="4">
        <f ca="1">_xll.DBRW($B$1,$B$2,$B$7,$B$3,$B$4,$B$5,$F212,$B$6,R$10,$A212,$B212)</f>
        <v>6579940.5</v>
      </c>
      <c r="S212" s="4">
        <f ca="1">_xll.DBRW($B$1,$B$2,$B$7,$B$3,$B$4,$B$5,$F212,$B$6,S$10,$A212,$B212)</f>
        <v>7681999.5000000019</v>
      </c>
      <c r="T212" s="4">
        <f ca="1">_xll.DBRW($B$1,$B$2,$B$7,$B$3,$B$4,$B$5,$F212,$B$6,T$10,$A212,$B212)</f>
        <v>8845226.810314443</v>
      </c>
      <c r="U212" s="4">
        <f ca="1">_xll.DBRW($B$1,$B$2,$B$7,$B$3,$B$4,$B$5,$F212,$B$6,U$10,$A212,$B212)</f>
        <v>7349630.089438742</v>
      </c>
      <c r="V212" s="4">
        <f ca="1">_xll.DBRW($B$1,$B$2,$B$7,$B$3,$B$4,$B$5,$F212,$B$6,V$10,$A212,$B212)</f>
        <v>9336078.485085696</v>
      </c>
      <c r="W212" s="4">
        <f ca="1">_xll.DBRW($B$1,$B$2,$B$7,$B$3,$B$4,$B$5,$F212,$B$6,W$10,$A212,$B212)</f>
        <v>8994590.237017151</v>
      </c>
      <c r="X212" s="4">
        <f ca="1">_xll.DBRW($B$1,$B$2,$B$7,$B$3,$B$4,$B$5,$F212,$B$6,X$10,$A212,$B212)</f>
        <v>8580252.1422961261</v>
      </c>
      <c r="Y212" s="4">
        <f ca="1">_xll.DBRW($B$1,$B$2,$B$7,$B$3,$B$4,$B$5,$F212,$B$6,Y$10,$A212,$B212)</f>
        <v>9366812.2436398175</v>
      </c>
      <c r="Z212" s="4">
        <f ca="1">_xll.DBRW($B$1,$B$2,$B$7,$B$3,$B$4,$B$5,$F212,$B$6,Z$10,$A212,$B212)</f>
        <v>9952919.2933373302</v>
      </c>
      <c r="AA212" s="4">
        <f ca="1">_xll.DBRW($B$1,$B$2,$B$7,$B$3,$B$4,$B$5,$F212,$B$6,AA$10,$A212,$B212)</f>
        <v>9421696.3646241687</v>
      </c>
      <c r="AB212" s="4">
        <f ca="1">_xll.DBRW($B$1,$B$2,$B$7,$B$3,$B$4,$B$5,$F212,$B$6,AB$10,$A212,$B212)</f>
        <v>9631857.3806490283</v>
      </c>
      <c r="AC212" s="4">
        <f ca="1">_xll.DBRW($B$1,$B$2,$B$7,$B$3,$B$4,$B$5,$F212,$B$6,AC$10,$A212,$B212)</f>
        <v>9574023.2458638754</v>
      </c>
      <c r="AD212" s="4">
        <f ca="1">_xll.DBRW($B$1,$B$2,$B$7,$B$3,$B$4,$B$5,$F212,$B$6,AD$10,$A212,$B212)</f>
        <v>8973474.5686717667</v>
      </c>
      <c r="AE212" s="4">
        <f ca="1">_xll.DBRW($B$1,$B$2,$B$7,$B$3,$B$4,$B$5,$F212,$B$6,AE$10,$A212,$B212)</f>
        <v>9194191.838439839</v>
      </c>
    </row>
    <row r="213" spans="1:31">
      <c r="A213" s="1" t="s">
        <v>153</v>
      </c>
      <c r="B213" s="5" t="s">
        <v>263</v>
      </c>
      <c r="C213" s="5" t="s">
        <v>264</v>
      </c>
      <c r="D213" s="5" t="s">
        <v>21</v>
      </c>
      <c r="E213" s="5" t="s">
        <v>265</v>
      </c>
      <c r="F213" s="5" t="s">
        <v>24</v>
      </c>
      <c r="G213" s="6"/>
      <c r="H213" s="6"/>
      <c r="I213" s="6"/>
      <c r="J213" s="6"/>
      <c r="K213" s="6"/>
      <c r="L213" s="4">
        <f ca="1">_xll.DBRW($B$1,$B$2,$B$7,$B$3,$B$4,$B$5,$F213,$B$6,L$10,$A213,$B213)</f>
        <v>5561102.4000000004</v>
      </c>
      <c r="M213" s="4">
        <f ca="1">_xll.DBRW($B$1,$B$2,$B$7,$B$3,$B$4,$B$5,$F213,$B$6,M$10,$A213,$B213)</f>
        <v>6667782.7636008998</v>
      </c>
      <c r="N213" s="4">
        <f ca="1">_xll.DBRW($B$1,$B$2,$B$7,$B$3,$B$4,$B$5,$F213,$B$6,N$10,$A213,$B213)</f>
        <v>7024550.3999999994</v>
      </c>
      <c r="O213" s="4">
        <f ca="1">_xll.DBRW($B$1,$B$2,$B$7,$B$3,$B$4,$B$5,$F213,$B$6,O$10,$A213,$B213)</f>
        <v>6292826.4000000004</v>
      </c>
      <c r="P213" s="4">
        <f ca="1">_xll.DBRW($B$1,$B$2,$B$7,$B$3,$B$4,$B$5,$F213,$B$6,P$10,$A213,$B213)</f>
        <v>6514704.0000000009</v>
      </c>
      <c r="Q213" s="4">
        <f ca="1">_xll.DBRW($B$1,$B$2,$B$7,$B$3,$B$4,$B$5,$F213,$B$6,Q$10,$A213,$B213)</f>
        <v>7222824</v>
      </c>
      <c r="R213" s="4">
        <f ca="1">_xll.DBRW($B$1,$B$2,$B$7,$B$3,$B$4,$B$5,$F213,$B$6,R$10,$A213,$B213)</f>
        <v>10196928</v>
      </c>
      <c r="S213" s="4">
        <f ca="1">_xll.DBRW($B$1,$B$2,$B$7,$B$3,$B$4,$B$5,$F213,$B$6,S$10,$A213,$B213)</f>
        <v>10185598.08</v>
      </c>
      <c r="T213" s="4">
        <f ca="1">_xll.DBRW($B$1,$B$2,$B$7,$B$3,$B$4,$B$5,$F213,$B$6,T$10,$A213,$B213)</f>
        <v>11331706.653744087</v>
      </c>
      <c r="U213" s="4">
        <f ca="1">_xll.DBRW($B$1,$B$2,$B$7,$B$3,$B$4,$B$5,$F213,$B$6,U$10,$A213,$B213)</f>
        <v>10474335.4880479</v>
      </c>
      <c r="V213" s="4">
        <f ca="1">_xll.DBRW($B$1,$B$2,$B$7,$B$3,$B$4,$B$5,$F213,$B$6,V$10,$A213,$B213)</f>
        <v>10980330.733896129</v>
      </c>
      <c r="W213" s="4">
        <f ca="1">_xll.DBRW($B$1,$B$2,$B$7,$B$3,$B$4,$B$5,$F213,$B$6,W$10,$A213,$B213)</f>
        <v>5742183.9345690487</v>
      </c>
      <c r="X213" s="4">
        <f ca="1">_xll.DBRW($B$1,$B$2,$B$7,$B$3,$B$4,$B$5,$F213,$B$6,X$10,$A213,$B213)</f>
        <v>5455880.2717050258</v>
      </c>
      <c r="Y213" s="4">
        <f ca="1">_xll.DBRW($B$1,$B$2,$B$7,$B$3,$B$4,$B$5,$F213,$B$6,Y$10,$A213,$B213)</f>
        <v>6658425.9567246092</v>
      </c>
      <c r="Z213" s="4">
        <f ca="1">_xll.DBRW($B$1,$B$2,$B$7,$B$3,$B$4,$B$5,$F213,$B$6,Z$10,$A213,$B213)</f>
        <v>7182135.2831030339</v>
      </c>
      <c r="AA213" s="4">
        <f ca="1">_xll.DBRW($B$1,$B$2,$B$7,$B$3,$B$4,$B$5,$F213,$B$6,AA$10,$A213,$B213)</f>
        <v>6285001.2104194015</v>
      </c>
      <c r="AB213" s="4">
        <f ca="1">_xll.DBRW($B$1,$B$2,$B$7,$B$3,$B$4,$B$5,$F213,$B$6,AB$10,$A213,$B213)</f>
        <v>6657692.4081136817</v>
      </c>
      <c r="AC213" s="4">
        <f ca="1">_xll.DBRW($B$1,$B$2,$B$7,$B$3,$B$4,$B$5,$F213,$B$6,AC$10,$A213,$B213)</f>
        <v>7562986.3720088219</v>
      </c>
      <c r="AD213" s="4">
        <f ca="1">_xll.DBRW($B$1,$B$2,$B$7,$B$3,$B$4,$B$5,$F213,$B$6,AD$10,$A213,$B213)</f>
        <v>11146186.504103767</v>
      </c>
      <c r="AE213" s="4">
        <f ca="1">_xll.DBRW($B$1,$B$2,$B$7,$B$3,$B$4,$B$5,$F213,$B$6,AE$10,$A213,$B213)</f>
        <v>10797518.889473923</v>
      </c>
    </row>
    <row r="214" spans="1:31">
      <c r="A214" s="1" t="s">
        <v>153</v>
      </c>
      <c r="B214" s="5" t="s">
        <v>266</v>
      </c>
      <c r="C214" s="5" t="s">
        <v>267</v>
      </c>
      <c r="D214" s="5" t="s">
        <v>265</v>
      </c>
      <c r="E214" s="5" t="s">
        <v>21</v>
      </c>
      <c r="F214" s="5" t="s">
        <v>24</v>
      </c>
      <c r="G214" s="6"/>
      <c r="H214" s="6"/>
      <c r="I214" s="6"/>
      <c r="J214" s="6"/>
      <c r="K214" s="6"/>
      <c r="L214" s="4">
        <f ca="1">_xll.DBRW($B$1,$B$2,$B$7,$B$3,$B$4,$B$5,$F214,$B$6,L$10,$A214,$B214)</f>
        <v>5561102.4000000004</v>
      </c>
      <c r="M214" s="4">
        <f ca="1">_xll.DBRW($B$1,$B$2,$B$7,$B$3,$B$4,$B$5,$F214,$B$6,M$10,$A214,$B214)</f>
        <v>6667782.7636008998</v>
      </c>
      <c r="N214" s="4">
        <f ca="1">_xll.DBRW($B$1,$B$2,$B$7,$B$3,$B$4,$B$5,$F214,$B$6,N$10,$A214,$B214)</f>
        <v>7024550.3999999994</v>
      </c>
      <c r="O214" s="4">
        <f ca="1">_xll.DBRW($B$1,$B$2,$B$7,$B$3,$B$4,$B$5,$F214,$B$6,O$10,$A214,$B214)</f>
        <v>6292826.4000000004</v>
      </c>
      <c r="P214" s="4">
        <f ca="1">_xll.DBRW($B$1,$B$2,$B$7,$B$3,$B$4,$B$5,$F214,$B$6,P$10,$A214,$B214)</f>
        <v>6514704.0000000009</v>
      </c>
      <c r="Q214" s="4">
        <f ca="1">_xll.DBRW($B$1,$B$2,$B$7,$B$3,$B$4,$B$5,$F214,$B$6,Q$10,$A214,$B214)</f>
        <v>7222824</v>
      </c>
      <c r="R214" s="4">
        <f ca="1">_xll.DBRW($B$1,$B$2,$B$7,$B$3,$B$4,$B$5,$F214,$B$6,R$10,$A214,$B214)</f>
        <v>10196928</v>
      </c>
      <c r="S214" s="4">
        <f ca="1">_xll.DBRW($B$1,$B$2,$B$7,$B$3,$B$4,$B$5,$F214,$B$6,S$10,$A214,$B214)</f>
        <v>10185598.08</v>
      </c>
      <c r="T214" s="4">
        <f ca="1">_xll.DBRW($B$1,$B$2,$B$7,$B$3,$B$4,$B$5,$F214,$B$6,T$10,$A214,$B214)</f>
        <v>11331706.653744087</v>
      </c>
      <c r="U214" s="4">
        <f ca="1">_xll.DBRW($B$1,$B$2,$B$7,$B$3,$B$4,$B$5,$F214,$B$6,U$10,$A214,$B214)</f>
        <v>10474335.4880479</v>
      </c>
      <c r="V214" s="4">
        <f ca="1">_xll.DBRW($B$1,$B$2,$B$7,$B$3,$B$4,$B$5,$F214,$B$6,V$10,$A214,$B214)</f>
        <v>10980330.733896129</v>
      </c>
      <c r="W214" s="4">
        <f ca="1">_xll.DBRW($B$1,$B$2,$B$7,$B$3,$B$4,$B$5,$F214,$B$6,W$10,$A214,$B214)</f>
        <v>5742183.9345690487</v>
      </c>
      <c r="X214" s="4">
        <f ca="1">_xll.DBRW($B$1,$B$2,$B$7,$B$3,$B$4,$B$5,$F214,$B$6,X$10,$A214,$B214)</f>
        <v>5455880.2717050258</v>
      </c>
      <c r="Y214" s="4">
        <f ca="1">_xll.DBRW($B$1,$B$2,$B$7,$B$3,$B$4,$B$5,$F214,$B$6,Y$10,$A214,$B214)</f>
        <v>6658425.9567246092</v>
      </c>
      <c r="Z214" s="4">
        <f ca="1">_xll.DBRW($B$1,$B$2,$B$7,$B$3,$B$4,$B$5,$F214,$B$6,Z$10,$A214,$B214)</f>
        <v>7182135.2831030339</v>
      </c>
      <c r="AA214" s="4">
        <f ca="1">_xll.DBRW($B$1,$B$2,$B$7,$B$3,$B$4,$B$5,$F214,$B$6,AA$10,$A214,$B214)</f>
        <v>6285001.2104194015</v>
      </c>
      <c r="AB214" s="4">
        <f ca="1">_xll.DBRW($B$1,$B$2,$B$7,$B$3,$B$4,$B$5,$F214,$B$6,AB$10,$A214,$B214)</f>
        <v>6657692.4081136817</v>
      </c>
      <c r="AC214" s="4">
        <f ca="1">_xll.DBRW($B$1,$B$2,$B$7,$B$3,$B$4,$B$5,$F214,$B$6,AC$10,$A214,$B214)</f>
        <v>7562986.3720088219</v>
      </c>
      <c r="AD214" s="4">
        <f ca="1">_xll.DBRW($B$1,$B$2,$B$7,$B$3,$B$4,$B$5,$F214,$B$6,AD$10,$A214,$B214)</f>
        <v>11146186.504103767</v>
      </c>
      <c r="AE214" s="4">
        <f ca="1">_xll.DBRW($B$1,$B$2,$B$7,$B$3,$B$4,$B$5,$F214,$B$6,AE$10,$A214,$B214)</f>
        <v>10797518.889473923</v>
      </c>
    </row>
    <row r="215" spans="1:31">
      <c r="A215" s="1" t="s">
        <v>153</v>
      </c>
      <c r="B215" s="5" t="s">
        <v>268</v>
      </c>
      <c r="C215" s="5" t="s">
        <v>264</v>
      </c>
      <c r="D215" s="5" t="s">
        <v>21</v>
      </c>
      <c r="E215" s="5" t="s">
        <v>265</v>
      </c>
      <c r="F215" s="5" t="s">
        <v>24</v>
      </c>
      <c r="G215" s="6"/>
      <c r="H215" s="6"/>
      <c r="I215" s="6"/>
      <c r="J215" s="6"/>
      <c r="K215" s="6"/>
      <c r="L215" s="4">
        <f ca="1">_xll.DBRW($B$1,$B$2,$B$7,$B$3,$B$4,$B$5,$F215,$B$6,L$10,$A215,$B215)</f>
        <v>8897763.8399999999</v>
      </c>
      <c r="M215" s="4">
        <f ca="1">_xll.DBRW($B$1,$B$2,$B$7,$B$3,$B$4,$B$5,$F215,$B$6,M$10,$A215,$B215)</f>
        <v>10668452.421761438</v>
      </c>
      <c r="N215" s="4">
        <f ca="1">_xll.DBRW($B$1,$B$2,$B$7,$B$3,$B$4,$B$5,$F215,$B$6,N$10,$A215,$B215)</f>
        <v>11239280.639999999</v>
      </c>
      <c r="O215" s="4">
        <f ca="1">_xll.DBRW($B$1,$B$2,$B$7,$B$3,$B$4,$B$5,$F215,$B$6,O$10,$A215,$B215)</f>
        <v>10068522.24</v>
      </c>
      <c r="P215" s="4">
        <f ca="1">_xll.DBRW($B$1,$B$2,$B$7,$B$3,$B$4,$B$5,$F215,$B$6,P$10,$A215,$B215)</f>
        <v>10423526.400000002</v>
      </c>
      <c r="Q215" s="4">
        <f ca="1">_xll.DBRW($B$1,$B$2,$B$7,$B$3,$B$4,$B$5,$F215,$B$6,Q$10,$A215,$B215)</f>
        <v>10536825.6</v>
      </c>
      <c r="R215" s="4">
        <f ca="1">_xll.DBRW($B$1,$B$2,$B$7,$B$3,$B$4,$B$5,$F215,$B$6,R$10,$A215,$B215)</f>
        <v>10196928</v>
      </c>
      <c r="S215" s="4">
        <f ca="1">_xll.DBRW($B$1,$B$2,$B$7,$B$3,$B$4,$B$5,$F215,$B$6,S$10,$A215,$B215)</f>
        <v>10185598.08</v>
      </c>
      <c r="T215" s="4">
        <f ca="1">_xll.DBRW($B$1,$B$2,$B$7,$B$3,$B$4,$B$5,$F215,$B$6,T$10,$A215,$B215)</f>
        <v>7082316.6585900541</v>
      </c>
      <c r="U215" s="4">
        <f ca="1">_xll.DBRW($B$1,$B$2,$B$7,$B$3,$B$4,$B$5,$F215,$B$6,U$10,$A215,$B215)</f>
        <v>6546459.6800299361</v>
      </c>
      <c r="V215" s="4">
        <f ca="1">_xll.DBRW($B$1,$B$2,$B$7,$B$3,$B$4,$B$5,$F215,$B$6,V$10,$A215,$B215)</f>
        <v>7305096.0667656092</v>
      </c>
      <c r="W215" s="4">
        <f ca="1">_xll.DBRW($B$1,$B$2,$B$7,$B$3,$B$4,$B$5,$F215,$B$6,W$10,$A215,$B215)</f>
        <v>9187494.2953104787</v>
      </c>
      <c r="X215" s="4">
        <f ca="1">_xll.DBRW($B$1,$B$2,$B$7,$B$3,$B$4,$B$5,$F215,$B$6,X$10,$A215,$B215)</f>
        <v>8729408.4347280432</v>
      </c>
      <c r="Y215" s="4">
        <f ca="1">_xll.DBRW($B$1,$B$2,$B$7,$B$3,$B$4,$B$5,$F215,$B$6,Y$10,$A215,$B215)</f>
        <v>10653481.530759374</v>
      </c>
      <c r="Z215" s="4">
        <f ca="1">_xll.DBRW($B$1,$B$2,$B$7,$B$3,$B$4,$B$5,$F215,$B$6,Z$10,$A215,$B215)</f>
        <v>11491416.452964852</v>
      </c>
      <c r="AA215" s="4">
        <f ca="1">_xll.DBRW($B$1,$B$2,$B$7,$B$3,$B$4,$B$5,$F215,$B$6,AA$10,$A215,$B215)</f>
        <v>10056001.936671043</v>
      </c>
      <c r="AB215" s="4">
        <f ca="1">_xll.DBRW($B$1,$B$2,$B$7,$B$3,$B$4,$B$5,$F215,$B$6,AB$10,$A215,$B215)</f>
        <v>10652307.85298189</v>
      </c>
      <c r="AC215" s="4">
        <f ca="1">_xll.DBRW($B$1,$B$2,$B$7,$B$3,$B$4,$B$5,$F215,$B$6,AC$10,$A215,$B215)</f>
        <v>10054837.373190923</v>
      </c>
      <c r="AD215" s="4">
        <f ca="1">_xll.DBRW($B$1,$B$2,$B$7,$B$3,$B$4,$B$5,$F215,$B$6,AD$10,$A215,$B215)</f>
        <v>6966366.5650648531</v>
      </c>
      <c r="AE215" s="4">
        <f ca="1">_xll.DBRW($B$1,$B$2,$B$7,$B$3,$B$4,$B$5,$F215,$B$6,AE$10,$A215,$B215)</f>
        <v>6748449.3059212016</v>
      </c>
    </row>
    <row r="216" spans="1:31">
      <c r="A216" s="1" t="s">
        <v>153</v>
      </c>
      <c r="B216" s="5" t="s">
        <v>269</v>
      </c>
      <c r="C216" s="5" t="s">
        <v>267</v>
      </c>
      <c r="D216" s="5" t="s">
        <v>265</v>
      </c>
      <c r="E216" s="5" t="s">
        <v>21</v>
      </c>
      <c r="F216" s="5" t="s">
        <v>24</v>
      </c>
      <c r="G216" s="6"/>
      <c r="H216" s="6"/>
      <c r="I216" s="6"/>
      <c r="J216" s="6"/>
      <c r="K216" s="6"/>
      <c r="L216" s="4">
        <f ca="1">_xll.DBRW($B$1,$B$2,$B$7,$B$3,$B$4,$B$5,$F216,$B$6,L$10,$A216,$B216)</f>
        <v>8897763.8399999999</v>
      </c>
      <c r="M216" s="4">
        <f ca="1">_xll.DBRW($B$1,$B$2,$B$7,$B$3,$B$4,$B$5,$F216,$B$6,M$10,$A216,$B216)</f>
        <v>10668452.421761438</v>
      </c>
      <c r="N216" s="4">
        <f ca="1">_xll.DBRW($B$1,$B$2,$B$7,$B$3,$B$4,$B$5,$F216,$B$6,N$10,$A216,$B216)</f>
        <v>11239280.639999999</v>
      </c>
      <c r="O216" s="4">
        <f ca="1">_xll.DBRW($B$1,$B$2,$B$7,$B$3,$B$4,$B$5,$F216,$B$6,O$10,$A216,$B216)</f>
        <v>10068522.24</v>
      </c>
      <c r="P216" s="4">
        <f ca="1">_xll.DBRW($B$1,$B$2,$B$7,$B$3,$B$4,$B$5,$F216,$B$6,P$10,$A216,$B216)</f>
        <v>10423526.400000002</v>
      </c>
      <c r="Q216" s="4">
        <f ca="1">_xll.DBRW($B$1,$B$2,$B$7,$B$3,$B$4,$B$5,$F216,$B$6,Q$10,$A216,$B216)</f>
        <v>10536825.6</v>
      </c>
      <c r="R216" s="4">
        <f ca="1">_xll.DBRW($B$1,$B$2,$B$7,$B$3,$B$4,$B$5,$F216,$B$6,R$10,$A216,$B216)</f>
        <v>10196928</v>
      </c>
      <c r="S216" s="4">
        <f ca="1">_xll.DBRW($B$1,$B$2,$B$7,$B$3,$B$4,$B$5,$F216,$B$6,S$10,$A216,$B216)</f>
        <v>10185598.08</v>
      </c>
      <c r="T216" s="4">
        <f ca="1">_xll.DBRW($B$1,$B$2,$B$7,$B$3,$B$4,$B$5,$F216,$B$6,T$10,$A216,$B216)</f>
        <v>7082316.6585900541</v>
      </c>
      <c r="U216" s="4">
        <f ca="1">_xll.DBRW($B$1,$B$2,$B$7,$B$3,$B$4,$B$5,$F216,$B$6,U$10,$A216,$B216)</f>
        <v>6546459.6800299361</v>
      </c>
      <c r="V216" s="4">
        <f ca="1">_xll.DBRW($B$1,$B$2,$B$7,$B$3,$B$4,$B$5,$F216,$B$6,V$10,$A216,$B216)</f>
        <v>7305096.0667656092</v>
      </c>
      <c r="W216" s="4">
        <f ca="1">_xll.DBRW($B$1,$B$2,$B$7,$B$3,$B$4,$B$5,$F216,$B$6,W$10,$A216,$B216)</f>
        <v>9187494.2953104787</v>
      </c>
      <c r="X216" s="4">
        <f ca="1">_xll.DBRW($B$1,$B$2,$B$7,$B$3,$B$4,$B$5,$F216,$B$6,X$10,$A216,$B216)</f>
        <v>8729408.4347280432</v>
      </c>
      <c r="Y216" s="4">
        <f ca="1">_xll.DBRW($B$1,$B$2,$B$7,$B$3,$B$4,$B$5,$F216,$B$6,Y$10,$A216,$B216)</f>
        <v>10653481.530759374</v>
      </c>
      <c r="Z216" s="4">
        <f ca="1">_xll.DBRW($B$1,$B$2,$B$7,$B$3,$B$4,$B$5,$F216,$B$6,Z$10,$A216,$B216)</f>
        <v>11491416.452964852</v>
      </c>
      <c r="AA216" s="4">
        <f ca="1">_xll.DBRW($B$1,$B$2,$B$7,$B$3,$B$4,$B$5,$F216,$B$6,AA$10,$A216,$B216)</f>
        <v>10056001.936671043</v>
      </c>
      <c r="AB216" s="4">
        <f ca="1">_xll.DBRW($B$1,$B$2,$B$7,$B$3,$B$4,$B$5,$F216,$B$6,AB$10,$A216,$B216)</f>
        <v>10652307.85298189</v>
      </c>
      <c r="AC216" s="4">
        <f ca="1">_xll.DBRW($B$1,$B$2,$B$7,$B$3,$B$4,$B$5,$F216,$B$6,AC$10,$A216,$B216)</f>
        <v>9836253.9520345945</v>
      </c>
      <c r="AD216" s="4">
        <f ca="1">_xll.DBRW($B$1,$B$2,$B$7,$B$3,$B$4,$B$5,$F216,$B$6,AD$10,$A216,$B216)</f>
        <v>6966366.5650648531</v>
      </c>
      <c r="AE216" s="4">
        <f ca="1">_xll.DBRW($B$1,$B$2,$B$7,$B$3,$B$4,$B$5,$F216,$B$6,AE$10,$A216,$B216)</f>
        <v>6748449.3059212016</v>
      </c>
    </row>
    <row r="217" spans="1:31">
      <c r="A217" s="1" t="s">
        <v>153</v>
      </c>
      <c r="B217" s="5" t="s">
        <v>270</v>
      </c>
      <c r="C217" s="5" t="s">
        <v>271</v>
      </c>
      <c r="D217" s="5" t="s">
        <v>21</v>
      </c>
      <c r="E217" s="5" t="s">
        <v>272</v>
      </c>
      <c r="F217" s="5" t="s">
        <v>24</v>
      </c>
      <c r="G217" s="6"/>
      <c r="H217" s="6"/>
      <c r="I217" s="6"/>
      <c r="J217" s="6"/>
      <c r="K217" s="6"/>
      <c r="L217" s="4">
        <f ca="1">_xll.DBRW($B$1,$B$2,$B$7,$B$3,$B$4,$B$5,$F217,$B$6,L$10,$A217,$B217)</f>
        <v>7163864.3999999994</v>
      </c>
      <c r="M217" s="4">
        <f ca="1">_xll.DBRW($B$1,$B$2,$B$7,$B$3,$B$4,$B$5,$F217,$B$6,M$10,$A217,$B217)</f>
        <v>7276183.1768640662</v>
      </c>
      <c r="N217" s="4">
        <f ca="1">_xll.DBRW($B$1,$B$2,$B$7,$B$3,$B$4,$B$5,$F217,$B$6,N$10,$A217,$B217)</f>
        <v>7513321.2000000002</v>
      </c>
      <c r="O217" s="4">
        <f ca="1">_xll.DBRW($B$1,$B$2,$B$7,$B$3,$B$4,$B$5,$F217,$B$6,O$10,$A217,$B217)</f>
        <v>6814407.6000000006</v>
      </c>
      <c r="P217" s="4">
        <f ca="1">_xll.DBRW($B$1,$B$2,$B$7,$B$3,$B$4,$B$5,$F217,$B$6,P$10,$A217,$B217)</f>
        <v>6932772</v>
      </c>
      <c r="Q217" s="4">
        <f ca="1">_xll.DBRW($B$1,$B$2,$B$7,$B$3,$B$4,$B$5,$F217,$B$6,Q$10,$A217,$B217)</f>
        <v>6115493.9999999991</v>
      </c>
      <c r="R217" s="4">
        <f ca="1">_xll.DBRW($B$1,$B$2,$B$7,$B$3,$B$4,$B$5,$F217,$B$6,R$10,$A217,$B217)</f>
        <v>5664582.0000000009</v>
      </c>
      <c r="S217" s="4">
        <f ca="1">_xll.DBRW($B$1,$B$2,$B$7,$B$3,$B$4,$B$5,$F217,$B$6,S$10,$A217,$B217)</f>
        <v>6727043.3999999994</v>
      </c>
      <c r="T217" s="4">
        <f ca="1">_xll.DBRW($B$1,$B$2,$B$7,$B$3,$B$4,$B$5,$F217,$B$6,T$10,$A217,$B217)</f>
        <v>7177773.2020908259</v>
      </c>
      <c r="U217" s="4">
        <f ca="1">_xll.DBRW($B$1,$B$2,$B$7,$B$3,$B$4,$B$5,$F217,$B$6,U$10,$A217,$B217)</f>
        <v>6560826.5501414267</v>
      </c>
      <c r="V217" s="4">
        <f ca="1">_xll.DBRW($B$1,$B$2,$B$7,$B$3,$B$4,$B$5,$F217,$B$6,V$10,$A217,$B217)</f>
        <v>7465695.5386323659</v>
      </c>
      <c r="W217" s="4">
        <f ca="1">_xll.DBRW($B$1,$B$2,$B$7,$B$3,$B$4,$B$5,$F217,$B$6,W$10,$A217,$B217)</f>
        <v>7003255.1712569026</v>
      </c>
      <c r="X217" s="4">
        <f ca="1">_xll.DBRW($B$1,$B$2,$B$7,$B$3,$B$4,$B$5,$F217,$B$6,X$10,$A217,$B217)</f>
        <v>7883537.5773100154</v>
      </c>
      <c r="Y217" s="4">
        <f ca="1">_xll.DBRW($B$1,$B$2,$B$7,$B$3,$B$4,$B$5,$F217,$B$6,Y$10,$A217,$B217)</f>
        <v>7718910.5826653084</v>
      </c>
      <c r="Z217" s="4">
        <f ca="1">_xll.DBRW($B$1,$B$2,$B$7,$B$3,$B$4,$B$5,$F217,$B$6,Z$10,$A217,$B217)</f>
        <v>7505079.6460284349</v>
      </c>
      <c r="AA217" s="4">
        <f ca="1">_xll.DBRW($B$1,$B$2,$B$7,$B$3,$B$4,$B$5,$F217,$B$6,AA$10,$A217,$B217)</f>
        <v>6264420.56303016</v>
      </c>
      <c r="AB217" s="4">
        <f ca="1">_xll.DBRW($B$1,$B$2,$B$7,$B$3,$B$4,$B$5,$F217,$B$6,AB$10,$A217,$B217)</f>
        <v>7292078.3293402158</v>
      </c>
      <c r="AC217" s="4">
        <f ca="1">_xll.DBRW($B$1,$B$2,$B$7,$B$3,$B$4,$B$5,$F217,$B$6,AC$10,$A217,$B217)</f>
        <v>7875396.5555126509</v>
      </c>
      <c r="AD217" s="4">
        <f ca="1">_xll.DBRW($B$1,$B$2,$B$7,$B$3,$B$4,$B$5,$F217,$B$6,AD$10,$A217,$B217)</f>
        <v>8350860.5822307374</v>
      </c>
      <c r="AE217" s="4">
        <f ca="1">_xll.DBRW($B$1,$B$2,$B$7,$B$3,$B$4,$B$5,$F217,$B$6,AE$10,$A217,$B217)</f>
        <v>7350740.1824451713</v>
      </c>
    </row>
    <row r="218" spans="1:31">
      <c r="A218" s="1" t="s">
        <v>153</v>
      </c>
      <c r="B218" s="5" t="s">
        <v>273</v>
      </c>
      <c r="C218" s="5" t="s">
        <v>274</v>
      </c>
      <c r="D218" s="5" t="s">
        <v>272</v>
      </c>
      <c r="E218" s="5" t="s">
        <v>21</v>
      </c>
      <c r="F218" s="5" t="s">
        <v>24</v>
      </c>
      <c r="G218" s="6"/>
      <c r="H218" s="6"/>
      <c r="I218" s="6"/>
      <c r="J218" s="6"/>
      <c r="K218" s="6"/>
      <c r="L218" s="4">
        <f ca="1">_xll.DBRW($B$1,$B$2,$B$7,$B$3,$B$4,$B$5,$F218,$B$6,L$10,$A218,$B218)</f>
        <v>7163864.3999999994</v>
      </c>
      <c r="M218" s="4">
        <f ca="1">_xll.DBRW($B$1,$B$2,$B$7,$B$3,$B$4,$B$5,$F218,$B$6,M$10,$A218,$B218)</f>
        <v>7276183.1768640662</v>
      </c>
      <c r="N218" s="4">
        <f ca="1">_xll.DBRW($B$1,$B$2,$B$7,$B$3,$B$4,$B$5,$F218,$B$6,N$10,$A218,$B218)</f>
        <v>7513321.2000000002</v>
      </c>
      <c r="O218" s="4">
        <f ca="1">_xll.DBRW($B$1,$B$2,$B$7,$B$3,$B$4,$B$5,$F218,$B$6,O$10,$A218,$B218)</f>
        <v>6814407.6000000006</v>
      </c>
      <c r="P218" s="4">
        <f ca="1">_xll.DBRW($B$1,$B$2,$B$7,$B$3,$B$4,$B$5,$F218,$B$6,P$10,$A218,$B218)</f>
        <v>6932772</v>
      </c>
      <c r="Q218" s="4">
        <f ca="1">_xll.DBRW($B$1,$B$2,$B$7,$B$3,$B$4,$B$5,$F218,$B$6,Q$10,$A218,$B218)</f>
        <v>6115493.9999999991</v>
      </c>
      <c r="R218" s="4">
        <f ca="1">_xll.DBRW($B$1,$B$2,$B$7,$B$3,$B$4,$B$5,$F218,$B$6,R$10,$A218,$B218)</f>
        <v>5664582.0000000009</v>
      </c>
      <c r="S218" s="4">
        <f ca="1">_xll.DBRW($B$1,$B$2,$B$7,$B$3,$B$4,$B$5,$F218,$B$6,S$10,$A218,$B218)</f>
        <v>6727043.3999999994</v>
      </c>
      <c r="T218" s="4">
        <f ca="1">_xll.DBRW($B$1,$B$2,$B$7,$B$3,$B$4,$B$5,$F218,$B$6,T$10,$A218,$B218)</f>
        <v>7177773.2020908259</v>
      </c>
      <c r="U218" s="4">
        <f ca="1">_xll.DBRW($B$1,$B$2,$B$7,$B$3,$B$4,$B$5,$F218,$B$6,U$10,$A218,$B218)</f>
        <v>6560826.5501414267</v>
      </c>
      <c r="V218" s="4">
        <f ca="1">_xll.DBRW($B$1,$B$2,$B$7,$B$3,$B$4,$B$5,$F218,$B$6,V$10,$A218,$B218)</f>
        <v>7465695.5386323659</v>
      </c>
      <c r="W218" s="4">
        <f ca="1">_xll.DBRW($B$1,$B$2,$B$7,$B$3,$B$4,$B$5,$F218,$B$6,W$10,$A218,$B218)</f>
        <v>7003255.1712569026</v>
      </c>
      <c r="X218" s="4">
        <f ca="1">_xll.DBRW($B$1,$B$2,$B$7,$B$3,$B$4,$B$5,$F218,$B$6,X$10,$A218,$B218)</f>
        <v>7883537.5773100154</v>
      </c>
      <c r="Y218" s="4">
        <f ca="1">_xll.DBRW($B$1,$B$2,$B$7,$B$3,$B$4,$B$5,$F218,$B$6,Y$10,$A218,$B218)</f>
        <v>7718910.5826653084</v>
      </c>
      <c r="Z218" s="4">
        <f ca="1">_xll.DBRW($B$1,$B$2,$B$7,$B$3,$B$4,$B$5,$F218,$B$6,Z$10,$A218,$B218)</f>
        <v>7505079.6460284349</v>
      </c>
      <c r="AA218" s="4">
        <f ca="1">_xll.DBRW($B$1,$B$2,$B$7,$B$3,$B$4,$B$5,$F218,$B$6,AA$10,$A218,$B218)</f>
        <v>6264420.56303016</v>
      </c>
      <c r="AB218" s="4">
        <f ca="1">_xll.DBRW($B$1,$B$2,$B$7,$B$3,$B$4,$B$5,$F218,$B$6,AB$10,$A218,$B218)</f>
        <v>7292078.3293402158</v>
      </c>
      <c r="AC218" s="4">
        <f ca="1">_xll.DBRW($B$1,$B$2,$B$7,$B$3,$B$4,$B$5,$F218,$B$6,AC$10,$A218,$B218)</f>
        <v>7621351.5053348234</v>
      </c>
      <c r="AD218" s="4">
        <f ca="1">_xll.DBRW($B$1,$B$2,$B$7,$B$3,$B$4,$B$5,$F218,$B$6,AD$10,$A218,$B218)</f>
        <v>8350860.5822307374</v>
      </c>
      <c r="AE218" s="4">
        <f ca="1">_xll.DBRW($B$1,$B$2,$B$7,$B$3,$B$4,$B$5,$F218,$B$6,AE$10,$A218,$B218)</f>
        <v>7350740.1824451713</v>
      </c>
    </row>
    <row r="219" spans="1:31">
      <c r="A219" s="1" t="s">
        <v>153</v>
      </c>
      <c r="B219" s="5" t="s">
        <v>275</v>
      </c>
      <c r="C219" s="5" t="s">
        <v>276</v>
      </c>
      <c r="D219" s="5" t="s">
        <v>21</v>
      </c>
      <c r="E219" s="5" t="s">
        <v>277</v>
      </c>
      <c r="F219" s="5" t="s">
        <v>24</v>
      </c>
      <c r="G219" s="6"/>
      <c r="H219" s="6"/>
      <c r="I219" s="6"/>
      <c r="J219" s="6"/>
      <c r="K219" s="6"/>
      <c r="L219" s="4">
        <f ca="1">_xll.DBRW($B$1,$B$2,$B$7,$B$3,$B$4,$B$5,$F219,$B$6,L$10,$A219,$B219)</f>
        <v>6659567.25</v>
      </c>
      <c r="M219" s="4">
        <f ca="1">_xll.DBRW($B$1,$B$2,$B$7,$B$3,$B$4,$B$5,$F219,$B$6,M$10,$A219,$B219)</f>
        <v>6678786.0212322576</v>
      </c>
      <c r="N219" s="4">
        <f ca="1">_xll.DBRW($B$1,$B$2,$B$7,$B$3,$B$4,$B$5,$F219,$B$6,N$10,$A219,$B219)</f>
        <v>7208002.2000000002</v>
      </c>
      <c r="O219" s="4">
        <f ca="1">_xll.DBRW($B$1,$B$2,$B$7,$B$3,$B$4,$B$5,$F219,$B$6,O$10,$A219,$B219)</f>
        <v>6424523.6999999993</v>
      </c>
      <c r="P219" s="4">
        <f ca="1">_xll.DBRW($B$1,$B$2,$B$7,$B$3,$B$4,$B$5,$F219,$B$6,P$10,$A219,$B219)</f>
        <v>6293101.5</v>
      </c>
      <c r="Q219" s="4">
        <f ca="1">_xll.DBRW($B$1,$B$2,$B$7,$B$3,$B$4,$B$5,$F219,$B$6,Q$10,$A219,$B219)</f>
        <v>6267828</v>
      </c>
      <c r="R219" s="4">
        <f ca="1">_xll.DBRW($B$1,$B$2,$B$7,$B$3,$B$4,$B$5,$F219,$B$6,R$10,$A219,$B219)</f>
        <v>6065640</v>
      </c>
      <c r="S219" s="4">
        <f ca="1">_xll.DBRW($B$1,$B$2,$B$7,$B$3,$B$4,$B$5,$F219,$B$6,S$10,$A219,$B219)</f>
        <v>6737915.0999999987</v>
      </c>
      <c r="T219" s="4">
        <f ca="1">_xll.DBRW($B$1,$B$2,$B$7,$B$3,$B$4,$B$5,$F219,$B$6,T$10,$A219,$B219)</f>
        <v>11950994.739562709</v>
      </c>
      <c r="U219" s="4">
        <f ca="1">_xll.DBRW($B$1,$B$2,$B$7,$B$3,$B$4,$B$5,$F219,$B$6,U$10,$A219,$B219)</f>
        <v>10009061.268934036</v>
      </c>
      <c r="V219" s="4">
        <f ca="1">_xll.DBRW($B$1,$B$2,$B$7,$B$3,$B$4,$B$5,$F219,$B$6,V$10,$A219,$B219)</f>
        <v>10178016.725778202</v>
      </c>
      <c r="W219" s="4">
        <f ca="1">_xll.DBRW($B$1,$B$2,$B$7,$B$3,$B$4,$B$5,$F219,$B$6,W$10,$A219,$B219)</f>
        <v>5794301.0393070048</v>
      </c>
      <c r="X219" s="4">
        <f ca="1">_xll.DBRW($B$1,$B$2,$B$7,$B$3,$B$4,$B$5,$F219,$B$6,X$10,$A219,$B219)</f>
        <v>5830244.5343240043</v>
      </c>
      <c r="Y219" s="4">
        <f ca="1">_xll.DBRW($B$1,$B$2,$B$7,$B$3,$B$4,$B$5,$F219,$B$6,Y$10,$A219,$B219)</f>
        <v>7014066.3472448336</v>
      </c>
      <c r="Z219" s="4">
        <f ca="1">_xll.DBRW($B$1,$B$2,$B$7,$B$3,$B$4,$B$5,$F219,$B$6,Z$10,$A219,$B219)</f>
        <v>7384714.1118893689</v>
      </c>
      <c r="AA219" s="4">
        <f ca="1">_xll.DBRW($B$1,$B$2,$B$7,$B$3,$B$4,$B$5,$F219,$B$6,AA$10,$A219,$B219)</f>
        <v>6290855.9561214196</v>
      </c>
      <c r="AB219" s="4">
        <f ca="1">_xll.DBRW($B$1,$B$2,$B$7,$B$3,$B$4,$B$5,$F219,$B$6,AB$10,$A219,$B219)</f>
        <v>6648276.0570580103</v>
      </c>
      <c r="AC219" s="4">
        <f ca="1">_xll.DBRW($B$1,$B$2,$B$7,$B$3,$B$4,$B$5,$F219,$B$6,AC$10,$A219,$B219)</f>
        <v>7279013.6942787096</v>
      </c>
      <c r="AD219" s="4">
        <f ca="1">_xll.DBRW($B$1,$B$2,$B$7,$B$3,$B$4,$B$5,$F219,$B$6,AD$10,$A219,$B219)</f>
        <v>10451004.061258301</v>
      </c>
      <c r="AE219" s="4">
        <f ca="1">_xll.DBRW($B$1,$B$2,$B$7,$B$3,$B$4,$B$5,$F219,$B$6,AE$10,$A219,$B219)</f>
        <v>11624578.872956485</v>
      </c>
    </row>
    <row r="220" spans="1:31">
      <c r="A220" s="1" t="s">
        <v>153</v>
      </c>
      <c r="B220" s="5" t="s">
        <v>278</v>
      </c>
      <c r="C220" s="5" t="s">
        <v>279</v>
      </c>
      <c r="D220" s="5" t="s">
        <v>277</v>
      </c>
      <c r="E220" s="5" t="s">
        <v>21</v>
      </c>
      <c r="F220" s="5" t="s">
        <v>24</v>
      </c>
      <c r="G220" s="6"/>
      <c r="H220" s="6"/>
      <c r="I220" s="6"/>
      <c r="J220" s="6"/>
      <c r="K220" s="6"/>
      <c r="L220" s="4">
        <f ca="1">_xll.DBRW($B$1,$B$2,$B$7,$B$3,$B$4,$B$5,$F220,$B$6,L$10,$A220,$B220)</f>
        <v>6659567.25</v>
      </c>
      <c r="M220" s="4">
        <f ca="1">_xll.DBRW($B$1,$B$2,$B$7,$B$3,$B$4,$B$5,$F220,$B$6,M$10,$A220,$B220)</f>
        <v>6678786.0212322576</v>
      </c>
      <c r="N220" s="4">
        <f ca="1">_xll.DBRW($B$1,$B$2,$B$7,$B$3,$B$4,$B$5,$F220,$B$6,N$10,$A220,$B220)</f>
        <v>7208002.2000000002</v>
      </c>
      <c r="O220" s="4">
        <f ca="1">_xll.DBRW($B$1,$B$2,$B$7,$B$3,$B$4,$B$5,$F220,$B$6,O$10,$A220,$B220)</f>
        <v>6424523.6999999993</v>
      </c>
      <c r="P220" s="4">
        <f ca="1">_xll.DBRW($B$1,$B$2,$B$7,$B$3,$B$4,$B$5,$F220,$B$6,P$10,$A220,$B220)</f>
        <v>6293101.5</v>
      </c>
      <c r="Q220" s="4">
        <f ca="1">_xll.DBRW($B$1,$B$2,$B$7,$B$3,$B$4,$B$5,$F220,$B$6,Q$10,$A220,$B220)</f>
        <v>6267828</v>
      </c>
      <c r="R220" s="4">
        <f ca="1">_xll.DBRW($B$1,$B$2,$B$7,$B$3,$B$4,$B$5,$F220,$B$6,R$10,$A220,$B220)</f>
        <v>6065640</v>
      </c>
      <c r="S220" s="4">
        <f ca="1">_xll.DBRW($B$1,$B$2,$B$7,$B$3,$B$4,$B$5,$F220,$B$6,S$10,$A220,$B220)</f>
        <v>6737915.0999999987</v>
      </c>
      <c r="T220" s="4">
        <f ca="1">_xll.DBRW($B$1,$B$2,$B$7,$B$3,$B$4,$B$5,$F220,$B$6,T$10,$A220,$B220)</f>
        <v>11950994.739562709</v>
      </c>
      <c r="U220" s="4">
        <f ca="1">_xll.DBRW($B$1,$B$2,$B$7,$B$3,$B$4,$B$5,$F220,$B$6,U$10,$A220,$B220)</f>
        <v>10009061.268934036</v>
      </c>
      <c r="V220" s="4">
        <f ca="1">_xll.DBRW($B$1,$B$2,$B$7,$B$3,$B$4,$B$5,$F220,$B$6,V$10,$A220,$B220)</f>
        <v>10178016.725778202</v>
      </c>
      <c r="W220" s="4">
        <f ca="1">_xll.DBRW($B$1,$B$2,$B$7,$B$3,$B$4,$B$5,$F220,$B$6,W$10,$A220,$B220)</f>
        <v>5794301.0393070048</v>
      </c>
      <c r="X220" s="4">
        <f ca="1">_xll.DBRW($B$1,$B$2,$B$7,$B$3,$B$4,$B$5,$F220,$B$6,X$10,$A220,$B220)</f>
        <v>5830244.5343240043</v>
      </c>
      <c r="Y220" s="4">
        <f ca="1">_xll.DBRW($B$1,$B$2,$B$7,$B$3,$B$4,$B$5,$F220,$B$6,Y$10,$A220,$B220)</f>
        <v>7014066.3472448336</v>
      </c>
      <c r="Z220" s="4">
        <f ca="1">_xll.DBRW($B$1,$B$2,$B$7,$B$3,$B$4,$B$5,$F220,$B$6,Z$10,$A220,$B220)</f>
        <v>7384714.1118893689</v>
      </c>
      <c r="AA220" s="4">
        <f ca="1">_xll.DBRW($B$1,$B$2,$B$7,$B$3,$B$4,$B$5,$F220,$B$6,AA$10,$A220,$B220)</f>
        <v>6290855.9561214196</v>
      </c>
      <c r="AB220" s="4">
        <f ca="1">_xll.DBRW($B$1,$B$2,$B$7,$B$3,$B$4,$B$5,$F220,$B$6,AB$10,$A220,$B220)</f>
        <v>6648276.0570580103</v>
      </c>
      <c r="AC220" s="4">
        <f ca="1">_xll.DBRW($B$1,$B$2,$B$7,$B$3,$B$4,$B$5,$F220,$B$6,AC$10,$A220,$B220)</f>
        <v>7279013.6942787096</v>
      </c>
      <c r="AD220" s="4">
        <f ca="1">_xll.DBRW($B$1,$B$2,$B$7,$B$3,$B$4,$B$5,$F220,$B$6,AD$10,$A220,$B220)</f>
        <v>10451004.061258301</v>
      </c>
      <c r="AE220" s="4">
        <f ca="1">_xll.DBRW($B$1,$B$2,$B$7,$B$3,$B$4,$B$5,$F220,$B$6,AE$10,$A220,$B220)</f>
        <v>11624578.872956485</v>
      </c>
    </row>
    <row r="221" spans="1:31">
      <c r="A221" s="1" t="s">
        <v>153</v>
      </c>
      <c r="B221" s="5" t="s">
        <v>280</v>
      </c>
      <c r="C221" s="5" t="s">
        <v>276</v>
      </c>
      <c r="D221" s="5" t="s">
        <v>21</v>
      </c>
      <c r="E221" s="5" t="s">
        <v>277</v>
      </c>
      <c r="F221" s="5" t="s">
        <v>24</v>
      </c>
      <c r="G221" s="6"/>
      <c r="H221" s="6"/>
      <c r="I221" s="6"/>
      <c r="J221" s="6"/>
      <c r="K221" s="6"/>
      <c r="L221" s="4">
        <f ca="1">_xll.DBRW($B$1,$B$2,$B$7,$B$3,$B$4,$B$5,$F221,$B$6,L$10,$A221,$B221)</f>
        <v>0</v>
      </c>
      <c r="M221" s="4">
        <f ca="1">_xll.DBRW($B$1,$B$2,$B$7,$B$3,$B$4,$B$5,$F221,$B$6,M$10,$A221,$B221)</f>
        <v>0</v>
      </c>
      <c r="N221" s="4">
        <f ca="1">_xll.DBRW($B$1,$B$2,$B$7,$B$3,$B$4,$B$5,$F221,$B$6,N$10,$A221,$B221)</f>
        <v>0</v>
      </c>
      <c r="O221" s="4">
        <f ca="1">_xll.DBRW($B$1,$B$2,$B$7,$B$3,$B$4,$B$5,$F221,$B$6,O$10,$A221,$B221)</f>
        <v>0</v>
      </c>
      <c r="P221" s="4">
        <f ca="1">_xll.DBRW($B$1,$B$2,$B$7,$B$3,$B$4,$B$5,$F221,$B$6,P$10,$A221,$B221)</f>
        <v>0</v>
      </c>
      <c r="Q221" s="4">
        <f ca="1">_xll.DBRW($B$1,$B$2,$B$7,$B$3,$B$4,$B$5,$F221,$B$6,Q$10,$A221,$B221)</f>
        <v>1617504</v>
      </c>
      <c r="R221" s="4">
        <f ca="1">_xll.DBRW($B$1,$B$2,$B$7,$B$3,$B$4,$B$5,$F221,$B$6,R$10,$A221,$B221)</f>
        <v>9705024</v>
      </c>
      <c r="S221" s="4">
        <f ca="1">_xll.DBRW($B$1,$B$2,$B$7,$B$3,$B$4,$B$5,$F221,$B$6,S$10,$A221,$B221)</f>
        <v>10780664.159999998</v>
      </c>
      <c r="T221" s="4">
        <f ca="1">_xll.DBRW($B$1,$B$2,$B$7,$B$3,$B$4,$B$5,$F221,$B$6,T$10,$A221,$B221)</f>
        <v>0</v>
      </c>
      <c r="U221" s="4">
        <f ca="1">_xll.DBRW($B$1,$B$2,$B$7,$B$3,$B$4,$B$5,$F221,$B$6,U$10,$A221,$B221)</f>
        <v>0</v>
      </c>
      <c r="V221" s="4">
        <f ca="1">_xll.DBRW($B$1,$B$2,$B$7,$B$3,$B$4,$B$5,$F221,$B$6,V$10,$A221,$B221)</f>
        <v>0</v>
      </c>
      <c r="W221" s="4">
        <f ca="1">_xll.DBRW($B$1,$B$2,$B$7,$B$3,$B$4,$B$5,$F221,$B$6,W$10,$A221,$B221)</f>
        <v>0</v>
      </c>
      <c r="X221" s="4">
        <f ca="1">_xll.DBRW($B$1,$B$2,$B$7,$B$3,$B$4,$B$5,$F221,$B$6,X$10,$A221,$B221)</f>
        <v>0</v>
      </c>
      <c r="Y221" s="4">
        <f ca="1">_xll.DBRW($B$1,$B$2,$B$7,$B$3,$B$4,$B$5,$F221,$B$6,Y$10,$A221,$B221)</f>
        <v>0</v>
      </c>
      <c r="Z221" s="4">
        <f ca="1">_xll.DBRW($B$1,$B$2,$B$7,$B$3,$B$4,$B$5,$F221,$B$6,Z$10,$A221,$B221)</f>
        <v>0</v>
      </c>
      <c r="AA221" s="4">
        <f ca="1">_xll.DBRW($B$1,$B$2,$B$7,$B$3,$B$4,$B$5,$F221,$B$6,AA$10,$A221,$B221)</f>
        <v>0</v>
      </c>
      <c r="AB221" s="4">
        <f ca="1">_xll.DBRW($B$1,$B$2,$B$7,$B$3,$B$4,$B$5,$F221,$B$6,AB$10,$A221,$B221)</f>
        <v>0</v>
      </c>
      <c r="AC221" s="4">
        <f ca="1">_xll.DBRW($B$1,$B$2,$B$7,$B$3,$B$4,$B$5,$F221,$B$6,AC$10,$A221,$B221)</f>
        <v>0</v>
      </c>
      <c r="AD221" s="4">
        <f ca="1">_xll.DBRW($B$1,$B$2,$B$7,$B$3,$B$4,$B$5,$F221,$B$6,AD$10,$A221,$B221)</f>
        <v>0</v>
      </c>
      <c r="AE221" s="4">
        <f ca="1">_xll.DBRW($B$1,$B$2,$B$7,$B$3,$B$4,$B$5,$F221,$B$6,AE$10,$A221,$B221)</f>
        <v>0</v>
      </c>
    </row>
    <row r="222" spans="1:31">
      <c r="A222" s="1" t="s">
        <v>153</v>
      </c>
      <c r="B222" s="5" t="s">
        <v>281</v>
      </c>
      <c r="C222" s="5" t="s">
        <v>279</v>
      </c>
      <c r="D222" s="5" t="s">
        <v>277</v>
      </c>
      <c r="E222" s="5" t="s">
        <v>21</v>
      </c>
      <c r="F222" s="5" t="s">
        <v>24</v>
      </c>
      <c r="G222" s="6"/>
      <c r="H222" s="6"/>
      <c r="I222" s="6"/>
      <c r="J222" s="6"/>
      <c r="K222" s="6"/>
      <c r="L222" s="4">
        <f ca="1">_xll.DBRW($B$1,$B$2,$B$7,$B$3,$B$4,$B$5,$F222,$B$6,L$10,$A222,$B222)</f>
        <v>0</v>
      </c>
      <c r="M222" s="4">
        <f ca="1">_xll.DBRW($B$1,$B$2,$B$7,$B$3,$B$4,$B$5,$F222,$B$6,M$10,$A222,$B222)</f>
        <v>0</v>
      </c>
      <c r="N222" s="4">
        <f ca="1">_xll.DBRW($B$1,$B$2,$B$7,$B$3,$B$4,$B$5,$F222,$B$6,N$10,$A222,$B222)</f>
        <v>0</v>
      </c>
      <c r="O222" s="4">
        <f ca="1">_xll.DBRW($B$1,$B$2,$B$7,$B$3,$B$4,$B$5,$F222,$B$6,O$10,$A222,$B222)</f>
        <v>0</v>
      </c>
      <c r="P222" s="4">
        <f ca="1">_xll.DBRW($B$1,$B$2,$B$7,$B$3,$B$4,$B$5,$F222,$B$6,P$10,$A222,$B222)</f>
        <v>0</v>
      </c>
      <c r="Q222" s="4">
        <f ca="1">_xll.DBRW($B$1,$B$2,$B$7,$B$3,$B$4,$B$5,$F222,$B$6,Q$10,$A222,$B222)</f>
        <v>1617504</v>
      </c>
      <c r="R222" s="4">
        <f ca="1">_xll.DBRW($B$1,$B$2,$B$7,$B$3,$B$4,$B$5,$F222,$B$6,R$10,$A222,$B222)</f>
        <v>9705024</v>
      </c>
      <c r="S222" s="4">
        <f ca="1">_xll.DBRW($B$1,$B$2,$B$7,$B$3,$B$4,$B$5,$F222,$B$6,S$10,$A222,$B222)</f>
        <v>10780664.159999998</v>
      </c>
      <c r="T222" s="4">
        <f ca="1">_xll.DBRW($B$1,$B$2,$B$7,$B$3,$B$4,$B$5,$F222,$B$6,T$10,$A222,$B222)</f>
        <v>0</v>
      </c>
      <c r="U222" s="4">
        <f ca="1">_xll.DBRW($B$1,$B$2,$B$7,$B$3,$B$4,$B$5,$F222,$B$6,U$10,$A222,$B222)</f>
        <v>0</v>
      </c>
      <c r="V222" s="4">
        <f ca="1">_xll.DBRW($B$1,$B$2,$B$7,$B$3,$B$4,$B$5,$F222,$B$6,V$10,$A222,$B222)</f>
        <v>0</v>
      </c>
      <c r="W222" s="4">
        <f ca="1">_xll.DBRW($B$1,$B$2,$B$7,$B$3,$B$4,$B$5,$F222,$B$6,W$10,$A222,$B222)</f>
        <v>0</v>
      </c>
      <c r="X222" s="4">
        <f ca="1">_xll.DBRW($B$1,$B$2,$B$7,$B$3,$B$4,$B$5,$F222,$B$6,X$10,$A222,$B222)</f>
        <v>0</v>
      </c>
      <c r="Y222" s="4">
        <f ca="1">_xll.DBRW($B$1,$B$2,$B$7,$B$3,$B$4,$B$5,$F222,$B$6,Y$10,$A222,$B222)</f>
        <v>0</v>
      </c>
      <c r="Z222" s="4">
        <f ca="1">_xll.DBRW($B$1,$B$2,$B$7,$B$3,$B$4,$B$5,$F222,$B$6,Z$10,$A222,$B222)</f>
        <v>0</v>
      </c>
      <c r="AA222" s="4">
        <f ca="1">_xll.DBRW($B$1,$B$2,$B$7,$B$3,$B$4,$B$5,$F222,$B$6,AA$10,$A222,$B222)</f>
        <v>0</v>
      </c>
      <c r="AB222" s="4">
        <f ca="1">_xll.DBRW($B$1,$B$2,$B$7,$B$3,$B$4,$B$5,$F222,$B$6,AB$10,$A222,$B222)</f>
        <v>0</v>
      </c>
      <c r="AC222" s="4">
        <f ca="1">_xll.DBRW($B$1,$B$2,$B$7,$B$3,$B$4,$B$5,$F222,$B$6,AC$10,$A222,$B222)</f>
        <v>0</v>
      </c>
      <c r="AD222" s="4">
        <f ca="1">_xll.DBRW($B$1,$B$2,$B$7,$B$3,$B$4,$B$5,$F222,$B$6,AD$10,$A222,$B222)</f>
        <v>0</v>
      </c>
      <c r="AE222" s="4">
        <f ca="1">_xll.DBRW($B$1,$B$2,$B$7,$B$3,$B$4,$B$5,$F222,$B$6,AE$10,$A222,$B222)</f>
        <v>0</v>
      </c>
    </row>
    <row r="223" spans="1:31">
      <c r="A223" s="1" t="s">
        <v>153</v>
      </c>
      <c r="B223" s="5" t="s">
        <v>282</v>
      </c>
      <c r="C223" s="5" t="s">
        <v>283</v>
      </c>
      <c r="D223" s="5" t="s">
        <v>21</v>
      </c>
      <c r="E223" s="5" t="s">
        <v>284</v>
      </c>
      <c r="F223" s="5" t="s">
        <v>24</v>
      </c>
      <c r="G223" s="6"/>
      <c r="H223" s="6"/>
      <c r="I223" s="6"/>
      <c r="J223" s="6"/>
      <c r="K223" s="6"/>
      <c r="L223" s="4">
        <f ca="1">_xll.DBRW($B$1,$B$2,$B$7,$B$3,$B$4,$B$5,$F223,$B$6,L$10,$A223,$B223)</f>
        <v>0</v>
      </c>
      <c r="M223" s="4">
        <f ca="1">_xll.DBRW($B$1,$B$2,$B$7,$B$3,$B$4,$B$5,$F223,$B$6,M$10,$A223,$B223)</f>
        <v>0</v>
      </c>
      <c r="N223" s="4">
        <f ca="1">_xll.DBRW($B$1,$B$2,$B$7,$B$3,$B$4,$B$5,$F223,$B$6,N$10,$A223,$B223)</f>
        <v>0</v>
      </c>
      <c r="O223" s="4">
        <f ca="1">_xll.DBRW($B$1,$B$2,$B$7,$B$3,$B$4,$B$5,$F223,$B$6,O$10,$A223,$B223)</f>
        <v>0</v>
      </c>
      <c r="P223" s="4">
        <f ca="1">_xll.DBRW($B$1,$B$2,$B$7,$B$3,$B$4,$B$5,$F223,$B$6,P$10,$A223,$B223)</f>
        <v>0</v>
      </c>
      <c r="Q223" s="4">
        <f ca="1">_xll.DBRW($B$1,$B$2,$B$7,$B$3,$B$4,$B$5,$F223,$B$6,Q$10,$A223,$B223)</f>
        <v>923492.85</v>
      </c>
      <c r="R223" s="4">
        <f ca="1">_xll.DBRW($B$1,$B$2,$B$7,$B$3,$B$4,$B$5,$F223,$B$6,R$10,$A223,$B223)</f>
        <v>6751360.3499999996</v>
      </c>
      <c r="S223" s="4">
        <f ca="1">_xll.DBRW($B$1,$B$2,$B$7,$B$3,$B$4,$B$5,$F223,$B$6,S$10,$A223,$B223)</f>
        <v>7597148.2999999998</v>
      </c>
      <c r="T223" s="4">
        <f ca="1">_xll.DBRW($B$1,$B$2,$B$7,$B$3,$B$4,$B$5,$F223,$B$6,T$10,$A223,$B223)</f>
        <v>7646840.6932886019</v>
      </c>
      <c r="U223" s="4">
        <f ca="1">_xll.DBRW($B$1,$B$2,$B$7,$B$3,$B$4,$B$5,$F223,$B$6,U$10,$A223,$B223)</f>
        <v>7171614.39769278</v>
      </c>
      <c r="V223" s="4">
        <f ca="1">_xll.DBRW($B$1,$B$2,$B$7,$B$3,$B$4,$B$5,$F223,$B$6,V$10,$A223,$B223)</f>
        <v>7179893.0531769786</v>
      </c>
      <c r="W223" s="4">
        <f ca="1">_xll.DBRW($B$1,$B$2,$B$7,$B$3,$B$4,$B$5,$F223,$B$6,W$10,$A223,$B223)</f>
        <v>0</v>
      </c>
      <c r="X223" s="4">
        <f ca="1">_xll.DBRW($B$1,$B$2,$B$7,$B$3,$B$4,$B$5,$F223,$B$6,X$10,$A223,$B223)</f>
        <v>0</v>
      </c>
      <c r="Y223" s="4">
        <f ca="1">_xll.DBRW($B$1,$B$2,$B$7,$B$3,$B$4,$B$5,$F223,$B$6,Y$10,$A223,$B223)</f>
        <v>0</v>
      </c>
      <c r="Z223" s="4">
        <f ca="1">_xll.DBRW($B$1,$B$2,$B$7,$B$3,$B$4,$B$5,$F223,$B$6,Z$10,$A223,$B223)</f>
        <v>0</v>
      </c>
      <c r="AA223" s="4">
        <f ca="1">_xll.DBRW($B$1,$B$2,$B$7,$B$3,$B$4,$B$5,$F223,$B$6,AA$10,$A223,$B223)</f>
        <v>0</v>
      </c>
      <c r="AB223" s="4">
        <f ca="1">_xll.DBRW($B$1,$B$2,$B$7,$B$3,$B$4,$B$5,$F223,$B$6,AB$10,$A223,$B223)</f>
        <v>0</v>
      </c>
      <c r="AC223" s="4">
        <f ca="1">_xll.DBRW($B$1,$B$2,$B$7,$B$3,$B$4,$B$5,$F223,$B$6,AC$10,$A223,$B223)</f>
        <v>1182626.0890127174</v>
      </c>
      <c r="AD223" s="4">
        <f ca="1">_xll.DBRW($B$1,$B$2,$B$7,$B$3,$B$4,$B$5,$F223,$B$6,AD$10,$A223,$B223)</f>
        <v>6941346.6090461304</v>
      </c>
      <c r="AE223" s="4">
        <f ca="1">_xll.DBRW($B$1,$B$2,$B$7,$B$3,$B$4,$B$5,$F223,$B$6,AE$10,$A223,$B223)</f>
        <v>6912815.7627295805</v>
      </c>
    </row>
    <row r="224" spans="1:31">
      <c r="A224" s="1" t="s">
        <v>153</v>
      </c>
      <c r="B224" s="5" t="s">
        <v>285</v>
      </c>
      <c r="C224" s="5" t="s">
        <v>286</v>
      </c>
      <c r="D224" s="5" t="s">
        <v>284</v>
      </c>
      <c r="E224" s="5" t="s">
        <v>21</v>
      </c>
      <c r="F224" s="5" t="s">
        <v>24</v>
      </c>
      <c r="G224" s="6"/>
      <c r="H224" s="6"/>
      <c r="I224" s="6"/>
      <c r="J224" s="6"/>
      <c r="K224" s="6"/>
      <c r="L224" s="4">
        <f ca="1">_xll.DBRW($B$1,$B$2,$B$7,$B$3,$B$4,$B$5,$F224,$B$6,L$10,$A224,$B224)</f>
        <v>0</v>
      </c>
      <c r="M224" s="4">
        <f ca="1">_xll.DBRW($B$1,$B$2,$B$7,$B$3,$B$4,$B$5,$F224,$B$6,M$10,$A224,$B224)</f>
        <v>0</v>
      </c>
      <c r="N224" s="4">
        <f ca="1">_xll.DBRW($B$1,$B$2,$B$7,$B$3,$B$4,$B$5,$F224,$B$6,N$10,$A224,$B224)</f>
        <v>0</v>
      </c>
      <c r="O224" s="4">
        <f ca="1">_xll.DBRW($B$1,$B$2,$B$7,$B$3,$B$4,$B$5,$F224,$B$6,O$10,$A224,$B224)</f>
        <v>0</v>
      </c>
      <c r="P224" s="4">
        <f ca="1">_xll.DBRW($B$1,$B$2,$B$7,$B$3,$B$4,$B$5,$F224,$B$6,P$10,$A224,$B224)</f>
        <v>0</v>
      </c>
      <c r="Q224" s="4">
        <f ca="1">_xll.DBRW($B$1,$B$2,$B$7,$B$3,$B$4,$B$5,$F224,$B$6,Q$10,$A224,$B224)</f>
        <v>923492.85</v>
      </c>
      <c r="R224" s="4">
        <f ca="1">_xll.DBRW($B$1,$B$2,$B$7,$B$3,$B$4,$B$5,$F224,$B$6,R$10,$A224,$B224)</f>
        <v>6751360.3499999996</v>
      </c>
      <c r="S224" s="4">
        <f ca="1">_xll.DBRW($B$1,$B$2,$B$7,$B$3,$B$4,$B$5,$F224,$B$6,S$10,$A224,$B224)</f>
        <v>7597148.2999999998</v>
      </c>
      <c r="T224" s="4">
        <f ca="1">_xll.DBRW($B$1,$B$2,$B$7,$B$3,$B$4,$B$5,$F224,$B$6,T$10,$A224,$B224)</f>
        <v>7400168.4128599372</v>
      </c>
      <c r="U224" s="4">
        <f ca="1">_xll.DBRW($B$1,$B$2,$B$7,$B$3,$B$4,$B$5,$F224,$B$6,U$10,$A224,$B224)</f>
        <v>7171614.39769278</v>
      </c>
      <c r="V224" s="4">
        <f ca="1">_xll.DBRW($B$1,$B$2,$B$7,$B$3,$B$4,$B$5,$F224,$B$6,V$10,$A224,$B224)</f>
        <v>7436317.8050761567</v>
      </c>
      <c r="W224" s="4">
        <f ca="1">_xll.DBRW($B$1,$B$2,$B$7,$B$3,$B$4,$B$5,$F224,$B$6,W$10,$A224,$B224)</f>
        <v>0</v>
      </c>
      <c r="X224" s="4">
        <f ca="1">_xll.DBRW($B$1,$B$2,$B$7,$B$3,$B$4,$B$5,$F224,$B$6,X$10,$A224,$B224)</f>
        <v>0</v>
      </c>
      <c r="Y224" s="4">
        <f ca="1">_xll.DBRW($B$1,$B$2,$B$7,$B$3,$B$4,$B$5,$F224,$B$6,Y$10,$A224,$B224)</f>
        <v>0</v>
      </c>
      <c r="Z224" s="4">
        <f ca="1">_xll.DBRW($B$1,$B$2,$B$7,$B$3,$B$4,$B$5,$F224,$B$6,Z$10,$A224,$B224)</f>
        <v>0</v>
      </c>
      <c r="AA224" s="4">
        <f ca="1">_xll.DBRW($B$1,$B$2,$B$7,$B$3,$B$4,$B$5,$F224,$B$6,AA$10,$A224,$B224)</f>
        <v>0</v>
      </c>
      <c r="AB224" s="4">
        <f ca="1">_xll.DBRW($B$1,$B$2,$B$7,$B$3,$B$4,$B$5,$F224,$B$6,AB$10,$A224,$B224)</f>
        <v>0</v>
      </c>
      <c r="AC224" s="4">
        <f ca="1">_xll.DBRW($B$1,$B$2,$B$7,$B$3,$B$4,$B$5,$F224,$B$6,AC$10,$A224,$B224)</f>
        <v>985521.7408439311</v>
      </c>
      <c r="AD224" s="4">
        <f ca="1">_xll.DBRW($B$1,$B$2,$B$7,$B$3,$B$4,$B$5,$F224,$B$6,AD$10,$A224,$B224)</f>
        <v>6941346.6090461304</v>
      </c>
      <c r="AE224" s="4">
        <f ca="1">_xll.DBRW($B$1,$B$2,$B$7,$B$3,$B$4,$B$5,$F224,$B$6,AE$10,$A224,$B224)</f>
        <v>6466827.6490050899</v>
      </c>
    </row>
    <row r="225" spans="1:31">
      <c r="A225" s="1" t="s">
        <v>153</v>
      </c>
      <c r="B225" s="5" t="s">
        <v>287</v>
      </c>
      <c r="C225" s="5" t="s">
        <v>288</v>
      </c>
      <c r="D225" s="5" t="s">
        <v>21</v>
      </c>
      <c r="E225" s="5" t="s">
        <v>289</v>
      </c>
      <c r="F225" s="5" t="s">
        <v>24</v>
      </c>
      <c r="G225" s="6"/>
      <c r="H225" s="6"/>
      <c r="I225" s="6"/>
      <c r="J225" s="6"/>
      <c r="K225" s="6"/>
      <c r="L225" s="4">
        <f ca="1">_xll.DBRW($B$1,$B$2,$B$7,$B$3,$B$4,$B$5,$F225,$B$6,L$10,$A225,$B225)</f>
        <v>0</v>
      </c>
      <c r="M225" s="4">
        <f ca="1">_xll.DBRW($B$1,$B$2,$B$7,$B$3,$B$4,$B$5,$F225,$B$6,M$10,$A225,$B225)</f>
        <v>0</v>
      </c>
      <c r="N225" s="4">
        <f ca="1">_xll.DBRW($B$1,$B$2,$B$7,$B$3,$B$4,$B$5,$F225,$B$6,N$10,$A225,$B225)</f>
        <v>0</v>
      </c>
      <c r="O225" s="4">
        <f ca="1">_xll.DBRW($B$1,$B$2,$B$7,$B$3,$B$4,$B$5,$F225,$B$6,O$10,$A225,$B225)</f>
        <v>0</v>
      </c>
      <c r="P225" s="4">
        <f ca="1">_xll.DBRW($B$1,$B$2,$B$7,$B$3,$B$4,$B$5,$F225,$B$6,P$10,$A225,$B225)</f>
        <v>0</v>
      </c>
      <c r="Q225" s="4">
        <f ca="1">_xll.DBRW($B$1,$B$2,$B$7,$B$3,$B$4,$B$5,$F225,$B$6,Q$10,$A225,$B225)</f>
        <v>845562.49499999988</v>
      </c>
      <c r="R225" s="4">
        <f ca="1">_xll.DBRW($B$1,$B$2,$B$7,$B$3,$B$4,$B$5,$F225,$B$6,R$10,$A225,$B225)</f>
        <v>6192024</v>
      </c>
      <c r="S225" s="4">
        <f ca="1">_xll.DBRW($B$1,$B$2,$B$7,$B$3,$B$4,$B$5,$F225,$B$6,S$10,$A225,$B225)</f>
        <v>6528049.2000000011</v>
      </c>
      <c r="T225" s="4">
        <f ca="1">_xll.DBRW($B$1,$B$2,$B$7,$B$3,$B$4,$B$5,$F225,$B$6,T$10,$A225,$B225)</f>
        <v>4688727.2309921272</v>
      </c>
      <c r="U225" s="4">
        <f ca="1">_xll.DBRW($B$1,$B$2,$B$7,$B$3,$B$4,$B$5,$F225,$B$6,U$10,$A225,$B225)</f>
        <v>4326165.4511239938</v>
      </c>
      <c r="V225" s="4">
        <f ca="1">_xll.DBRW($B$1,$B$2,$B$7,$B$3,$B$4,$B$5,$F225,$B$6,V$10,$A225,$B225)</f>
        <v>4380990.0124620516</v>
      </c>
      <c r="W225" s="4">
        <f ca="1">_xll.DBRW($B$1,$B$2,$B$7,$B$3,$B$4,$B$5,$F225,$B$6,W$10,$A225,$B225)</f>
        <v>0</v>
      </c>
      <c r="X225" s="4">
        <f ca="1">_xll.DBRW($B$1,$B$2,$B$7,$B$3,$B$4,$B$5,$F225,$B$6,X$10,$A225,$B225)</f>
        <v>0</v>
      </c>
      <c r="Y225" s="4">
        <f ca="1">_xll.DBRW($B$1,$B$2,$B$7,$B$3,$B$4,$B$5,$F225,$B$6,Y$10,$A225,$B225)</f>
        <v>0</v>
      </c>
      <c r="Z225" s="4">
        <f ca="1">_xll.DBRW($B$1,$B$2,$B$7,$B$3,$B$4,$B$5,$F225,$B$6,Z$10,$A225,$B225)</f>
        <v>0</v>
      </c>
      <c r="AA225" s="4">
        <f ca="1">_xll.DBRW($B$1,$B$2,$B$7,$B$3,$B$4,$B$5,$F225,$B$6,AA$10,$A225,$B225)</f>
        <v>0</v>
      </c>
      <c r="AB225" s="4">
        <f ca="1">_xll.DBRW($B$1,$B$2,$B$7,$B$3,$B$4,$B$5,$F225,$B$6,AB$10,$A225,$B225)</f>
        <v>0</v>
      </c>
      <c r="AC225" s="4">
        <f ca="1">_xll.DBRW($B$1,$B$2,$B$7,$B$3,$B$4,$B$5,$F225,$B$6,AC$10,$A225,$B225)</f>
        <v>696593.48393060616</v>
      </c>
      <c r="AD225" s="4">
        <f ca="1">_xll.DBRW($B$1,$B$2,$B$7,$B$3,$B$4,$B$5,$F225,$B$6,AD$10,$A225,$B225)</f>
        <v>4907645.3555113925</v>
      </c>
      <c r="AE225" s="4">
        <f ca="1">_xll.DBRW($B$1,$B$2,$B$7,$B$3,$B$4,$B$5,$F225,$B$6,AE$10,$A225,$B225)</f>
        <v>4882505.628207461</v>
      </c>
    </row>
    <row r="226" spans="1:31">
      <c r="A226" s="1" t="s">
        <v>153</v>
      </c>
      <c r="B226" s="5" t="s">
        <v>290</v>
      </c>
      <c r="C226" s="5" t="s">
        <v>291</v>
      </c>
      <c r="D226" s="5" t="s">
        <v>289</v>
      </c>
      <c r="E226" s="5" t="s">
        <v>21</v>
      </c>
      <c r="F226" s="5" t="s">
        <v>24</v>
      </c>
      <c r="G226" s="6"/>
      <c r="H226" s="6"/>
      <c r="I226" s="6"/>
      <c r="J226" s="6"/>
      <c r="K226" s="6"/>
      <c r="L226" s="4">
        <f ca="1">_xll.DBRW($B$1,$B$2,$B$7,$B$3,$B$4,$B$5,$F226,$B$6,L$10,$A226,$B226)</f>
        <v>0</v>
      </c>
      <c r="M226" s="4">
        <f ca="1">_xll.DBRW($B$1,$B$2,$B$7,$B$3,$B$4,$B$5,$F226,$B$6,M$10,$A226,$B226)</f>
        <v>0</v>
      </c>
      <c r="N226" s="4">
        <f ca="1">_xll.DBRW($B$1,$B$2,$B$7,$B$3,$B$4,$B$5,$F226,$B$6,N$10,$A226,$B226)</f>
        <v>0</v>
      </c>
      <c r="O226" s="4">
        <f ca="1">_xll.DBRW($B$1,$B$2,$B$7,$B$3,$B$4,$B$5,$F226,$B$6,O$10,$A226,$B226)</f>
        <v>0</v>
      </c>
      <c r="P226" s="4">
        <f ca="1">_xll.DBRW($B$1,$B$2,$B$7,$B$3,$B$4,$B$5,$F226,$B$6,P$10,$A226,$B226)</f>
        <v>0</v>
      </c>
      <c r="Q226" s="4">
        <f ca="1">_xll.DBRW($B$1,$B$2,$B$7,$B$3,$B$4,$B$5,$F226,$B$6,Q$10,$A226,$B226)</f>
        <v>584664.02999999991</v>
      </c>
      <c r="R226" s="4">
        <f ca="1">_xll.DBRW($B$1,$B$2,$B$7,$B$3,$B$4,$B$5,$F226,$B$6,R$10,$A226,$B226)</f>
        <v>6192024</v>
      </c>
      <c r="S226" s="4">
        <f ca="1">_xll.DBRW($B$1,$B$2,$B$7,$B$3,$B$4,$B$5,$F226,$B$6,S$10,$A226,$B226)</f>
        <v>6528049.2000000011</v>
      </c>
      <c r="T226" s="4">
        <f ca="1">_xll.DBRW($B$1,$B$2,$B$7,$B$3,$B$4,$B$5,$F226,$B$6,T$10,$A226,$B226)</f>
        <v>4688727.2309921272</v>
      </c>
      <c r="U226" s="4">
        <f ca="1">_xll.DBRW($B$1,$B$2,$B$7,$B$3,$B$4,$B$5,$F226,$B$6,U$10,$A226,$B226)</f>
        <v>4326165.4511239938</v>
      </c>
      <c r="V226" s="4">
        <f ca="1">_xll.DBRW($B$1,$B$2,$B$7,$B$3,$B$4,$B$5,$F226,$B$6,V$10,$A226,$B226)</f>
        <v>4380990.0124620516</v>
      </c>
      <c r="W226" s="4">
        <f ca="1">_xll.DBRW($B$1,$B$2,$B$7,$B$3,$B$4,$B$5,$F226,$B$6,W$10,$A226,$B226)</f>
        <v>0</v>
      </c>
      <c r="X226" s="4">
        <f ca="1">_xll.DBRW($B$1,$B$2,$B$7,$B$3,$B$4,$B$5,$F226,$B$6,X$10,$A226,$B226)</f>
        <v>0</v>
      </c>
      <c r="Y226" s="4">
        <f ca="1">_xll.DBRW($B$1,$B$2,$B$7,$B$3,$B$4,$B$5,$F226,$B$6,Y$10,$A226,$B226)</f>
        <v>0</v>
      </c>
      <c r="Z226" s="4">
        <f ca="1">_xll.DBRW($B$1,$B$2,$B$7,$B$3,$B$4,$B$5,$F226,$B$6,Z$10,$A226,$B226)</f>
        <v>0</v>
      </c>
      <c r="AA226" s="4">
        <f ca="1">_xll.DBRW($B$1,$B$2,$B$7,$B$3,$B$4,$B$5,$F226,$B$6,AA$10,$A226,$B226)</f>
        <v>0</v>
      </c>
      <c r="AB226" s="4">
        <f ca="1">_xll.DBRW($B$1,$B$2,$B$7,$B$3,$B$4,$B$5,$F226,$B$6,AB$10,$A226,$B226)</f>
        <v>0</v>
      </c>
      <c r="AC226" s="4">
        <f ca="1">_xll.DBRW($B$1,$B$2,$B$7,$B$3,$B$4,$B$5,$F226,$B$6,AC$10,$A226,$B226)</f>
        <v>696593.48393060616</v>
      </c>
      <c r="AD226" s="4">
        <f ca="1">_xll.DBRW($B$1,$B$2,$B$7,$B$3,$B$4,$B$5,$F226,$B$6,AD$10,$A226,$B226)</f>
        <v>4907645.3555113925</v>
      </c>
      <c r="AE226" s="4">
        <f ca="1">_xll.DBRW($B$1,$B$2,$B$7,$B$3,$B$4,$B$5,$F226,$B$6,AE$10,$A226,$B226)</f>
        <v>4882505.628207461</v>
      </c>
    </row>
    <row r="227" spans="1:31">
      <c r="A227" s="1" t="s">
        <v>153</v>
      </c>
      <c r="B227" s="5" t="s">
        <v>292</v>
      </c>
      <c r="C227" s="5" t="s">
        <v>293</v>
      </c>
      <c r="D227" s="5" t="s">
        <v>21</v>
      </c>
      <c r="E227" s="5" t="s">
        <v>294</v>
      </c>
      <c r="F227" s="5" t="s">
        <v>24</v>
      </c>
      <c r="G227" s="6"/>
      <c r="H227" s="6"/>
      <c r="I227" s="6"/>
      <c r="J227" s="6"/>
      <c r="K227" s="6"/>
      <c r="L227" s="4">
        <f ca="1">_xll.DBRW($B$1,$B$2,$B$7,$B$3,$B$4,$B$5,$F227,$B$6,L$10,$A227,$B227)</f>
        <v>7024323.1999999993</v>
      </c>
      <c r="M227" s="4">
        <f ca="1">_xll.DBRW($B$1,$B$2,$B$7,$B$3,$B$4,$B$5,$F227,$B$6,M$10,$A227,$B227)</f>
        <v>7660148.9266986959</v>
      </c>
      <c r="N227" s="4">
        <f ca="1">_xll.DBRW($B$1,$B$2,$B$7,$B$3,$B$4,$B$5,$F227,$B$6,N$10,$A227,$B227)</f>
        <v>7822723.2000000002</v>
      </c>
      <c r="O227" s="4">
        <f ca="1">_xll.DBRW($B$1,$B$2,$B$7,$B$3,$B$4,$B$5,$F227,$B$6,O$10,$A227,$B227)</f>
        <v>7544880</v>
      </c>
      <c r="P227" s="4">
        <f ca="1">_xll.DBRW($B$1,$B$2,$B$7,$B$3,$B$4,$B$5,$F227,$B$6,P$10,$A227,$B227)</f>
        <v>7401168</v>
      </c>
      <c r="Q227" s="4">
        <f ca="1">_xll.DBRW($B$1,$B$2,$B$7,$B$3,$B$4,$B$5,$F227,$B$6,Q$10,$A227,$B227)</f>
        <v>7397575.2000000002</v>
      </c>
      <c r="R227" s="4">
        <f ca="1">_xll.DBRW($B$1,$B$2,$B$7,$B$3,$B$4,$B$5,$F227,$B$6,R$10,$A227,$B227)</f>
        <v>7293383.9999999991</v>
      </c>
      <c r="S227" s="4">
        <f ca="1">_xll.DBRW($B$1,$B$2,$B$7,$B$3,$B$4,$B$5,$F227,$B$6,S$10,$A227,$B227)</f>
        <v>7363243.9999999991</v>
      </c>
      <c r="T227" s="4">
        <f ca="1">_xll.DBRW($B$1,$B$2,$B$7,$B$3,$B$4,$B$5,$F227,$B$6,T$10,$A227,$B227)</f>
        <v>7447908.0593952946</v>
      </c>
      <c r="U227" s="4">
        <f ca="1">_xll.DBRW($B$1,$B$2,$B$7,$B$3,$B$4,$B$5,$F227,$B$6,U$10,$A227,$B227)</f>
        <v>5665175.212999545</v>
      </c>
      <c r="V227" s="4">
        <f ca="1">_xll.DBRW($B$1,$B$2,$B$7,$B$3,$B$4,$B$5,$F227,$B$6,V$10,$A227,$B227)</f>
        <v>5988337.0150939357</v>
      </c>
      <c r="W227" s="4">
        <f ca="1">_xll.DBRW($B$1,$B$2,$B$7,$B$3,$B$4,$B$5,$F227,$B$6,W$10,$A227,$B227)</f>
        <v>7087854.2913035192</v>
      </c>
      <c r="X227" s="4">
        <f ca="1">_xll.DBRW($B$1,$B$2,$B$7,$B$3,$B$4,$B$5,$F227,$B$6,X$10,$A227,$B227)</f>
        <v>6615896.253821264</v>
      </c>
      <c r="Y227" s="4">
        <f ca="1">_xll.DBRW($B$1,$B$2,$B$7,$B$3,$B$4,$B$5,$F227,$B$6,Y$10,$A227,$B227)</f>
        <v>6705684.317304004</v>
      </c>
      <c r="Z227" s="4">
        <f ca="1">_xll.DBRW($B$1,$B$2,$B$7,$B$3,$B$4,$B$5,$F227,$B$6,Z$10,$A227,$B227)</f>
        <v>7242245.0581630496</v>
      </c>
      <c r="AA227" s="4">
        <f ca="1">_xll.DBRW($B$1,$B$2,$B$7,$B$3,$B$4,$B$5,$F227,$B$6,AA$10,$A227,$B227)</f>
        <v>7231616.4258357361</v>
      </c>
      <c r="AB227" s="4">
        <f ca="1">_xll.DBRW($B$1,$B$2,$B$7,$B$3,$B$4,$B$5,$F227,$B$6,AB$10,$A227,$B227)</f>
        <v>7117474.138285148</v>
      </c>
      <c r="AC227" s="4">
        <f ca="1">_xll.DBRW($B$1,$B$2,$B$7,$B$3,$B$4,$B$5,$F227,$B$6,AC$10,$A227,$B227)</f>
        <v>7591972.4141708221</v>
      </c>
      <c r="AD227" s="4">
        <f ca="1">_xll.DBRW($B$1,$B$2,$B$7,$B$3,$B$4,$B$5,$F227,$B$6,AD$10,$A227,$B227)</f>
        <v>8150136.9953853022</v>
      </c>
      <c r="AE227" s="4">
        <f ca="1">_xll.DBRW($B$1,$B$2,$B$7,$B$3,$B$4,$B$5,$F227,$B$6,AE$10,$A227,$B227)</f>
        <v>8360027.4124150388</v>
      </c>
    </row>
    <row r="228" spans="1:31">
      <c r="A228" s="1" t="s">
        <v>153</v>
      </c>
      <c r="B228" s="5" t="s">
        <v>295</v>
      </c>
      <c r="C228" s="5" t="s">
        <v>296</v>
      </c>
      <c r="D228" s="5" t="s">
        <v>294</v>
      </c>
      <c r="E228" s="5" t="s">
        <v>21</v>
      </c>
      <c r="F228" s="5" t="s">
        <v>24</v>
      </c>
      <c r="G228" s="6"/>
      <c r="H228" s="6"/>
      <c r="I228" s="6"/>
      <c r="J228" s="6"/>
      <c r="K228" s="6"/>
      <c r="L228" s="4">
        <f ca="1">_xll.DBRW($B$1,$B$2,$B$7,$B$3,$B$4,$B$5,$F228,$B$6,L$10,$A228,$B228)</f>
        <v>7057456.7999999998</v>
      </c>
      <c r="M228" s="4">
        <f ca="1">_xll.DBRW($B$1,$B$2,$B$7,$B$3,$B$4,$B$5,$F228,$B$6,M$10,$A228,$B228)</f>
        <v>7622963.737734139</v>
      </c>
      <c r="N228" s="4">
        <f ca="1">_xll.DBRW($B$1,$B$2,$B$7,$B$3,$B$4,$B$5,$F228,$B$6,N$10,$A228,$B228)</f>
        <v>7822723.2000000002</v>
      </c>
      <c r="O228" s="4">
        <f ca="1">_xll.DBRW($B$1,$B$2,$B$7,$B$3,$B$4,$B$5,$F228,$B$6,O$10,$A228,$B228)</f>
        <v>7544880</v>
      </c>
      <c r="P228" s="4">
        <f ca="1">_xll.DBRW($B$1,$B$2,$B$7,$B$3,$B$4,$B$5,$F228,$B$6,P$10,$A228,$B228)</f>
        <v>7401168</v>
      </c>
      <c r="Q228" s="4">
        <f ca="1">_xll.DBRW($B$1,$B$2,$B$7,$B$3,$B$4,$B$5,$F228,$B$6,Q$10,$A228,$B228)</f>
        <v>7397575.2000000002</v>
      </c>
      <c r="R228" s="4">
        <f ca="1">_xll.DBRW($B$1,$B$2,$B$7,$B$3,$B$4,$B$5,$F228,$B$6,R$10,$A228,$B228)</f>
        <v>7293383.9999999991</v>
      </c>
      <c r="S228" s="4">
        <f ca="1">_xll.DBRW($B$1,$B$2,$B$7,$B$3,$B$4,$B$5,$F228,$B$6,S$10,$A228,$B228)</f>
        <v>7363243.9999999991</v>
      </c>
      <c r="T228" s="4">
        <f ca="1">_xll.DBRW($B$1,$B$2,$B$7,$B$3,$B$4,$B$5,$F228,$B$6,T$10,$A228,$B228)</f>
        <v>7447908.0593952946</v>
      </c>
      <c r="U228" s="4">
        <f ca="1">_xll.DBRW($B$1,$B$2,$B$7,$B$3,$B$4,$B$5,$F228,$B$6,U$10,$A228,$B228)</f>
        <v>5665175.212999545</v>
      </c>
      <c r="V228" s="4">
        <f ca="1">_xll.DBRW($B$1,$B$2,$B$7,$B$3,$B$4,$B$5,$F228,$B$6,V$10,$A228,$B228)</f>
        <v>5988337.0150939357</v>
      </c>
      <c r="W228" s="4">
        <f ca="1">_xll.DBRW($B$1,$B$2,$B$7,$B$3,$B$4,$B$5,$F228,$B$6,W$10,$A228,$B228)</f>
        <v>7087854.2913035192</v>
      </c>
      <c r="X228" s="4">
        <f ca="1">_xll.DBRW($B$1,$B$2,$B$7,$B$3,$B$4,$B$5,$F228,$B$6,X$10,$A228,$B228)</f>
        <v>6615896.253821264</v>
      </c>
      <c r="Y228" s="4">
        <f ca="1">_xll.DBRW($B$1,$B$2,$B$7,$B$3,$B$4,$B$5,$F228,$B$6,Y$10,$A228,$B228)</f>
        <v>6705684.317304004</v>
      </c>
      <c r="Z228" s="4">
        <f ca="1">_xll.DBRW($B$1,$B$2,$B$7,$B$3,$B$4,$B$5,$F228,$B$6,Z$10,$A228,$B228)</f>
        <v>7242245.0581630496</v>
      </c>
      <c r="AA228" s="4">
        <f ca="1">_xll.DBRW($B$1,$B$2,$B$7,$B$3,$B$4,$B$5,$F228,$B$6,AA$10,$A228,$B228)</f>
        <v>7231616.4258357361</v>
      </c>
      <c r="AB228" s="4">
        <f ca="1">_xll.DBRW($B$1,$B$2,$B$7,$B$3,$B$4,$B$5,$F228,$B$6,AB$10,$A228,$B228)</f>
        <v>7117474.138285148</v>
      </c>
      <c r="AC228" s="4">
        <f ca="1">_xll.DBRW($B$1,$B$2,$B$7,$B$3,$B$4,$B$5,$F228,$B$6,AC$10,$A228,$B228)</f>
        <v>7591972.4141708221</v>
      </c>
      <c r="AD228" s="4">
        <f ca="1">_xll.DBRW($B$1,$B$2,$B$7,$B$3,$B$4,$B$5,$F228,$B$6,AD$10,$A228,$B228)</f>
        <v>8150136.9953853022</v>
      </c>
      <c r="AE228" s="4">
        <f ca="1">_xll.DBRW($B$1,$B$2,$B$7,$B$3,$B$4,$B$5,$F228,$B$6,AE$10,$A228,$B228)</f>
        <v>8360027.4124150388</v>
      </c>
    </row>
    <row r="229" spans="1:31">
      <c r="A229" s="1" t="s">
        <v>153</v>
      </c>
      <c r="B229" s="5" t="s">
        <v>297</v>
      </c>
      <c r="C229" s="5" t="s">
        <v>298</v>
      </c>
      <c r="D229" s="5" t="s">
        <v>21</v>
      </c>
      <c r="E229" s="5" t="s">
        <v>299</v>
      </c>
      <c r="F229" s="5" t="s">
        <v>24</v>
      </c>
      <c r="G229" s="6"/>
      <c r="H229" s="6"/>
      <c r="I229" s="6"/>
      <c r="J229" s="6"/>
      <c r="K229" s="6"/>
      <c r="L229" s="4">
        <f ca="1">_xll.DBRW($B$1,$B$2,$B$7,$B$3,$B$4,$B$5,$F229,$B$6,L$10,$A229,$B229)</f>
        <v>9028719</v>
      </c>
      <c r="M229" s="4">
        <f ca="1">_xll.DBRW($B$1,$B$2,$B$7,$B$3,$B$4,$B$5,$F229,$B$6,M$10,$A229,$B229)</f>
        <v>8558142.4246682711</v>
      </c>
      <c r="N229" s="4">
        <f ca="1">_xll.DBRW($B$1,$B$2,$B$7,$B$3,$B$4,$B$5,$F229,$B$6,N$10,$A229,$B229)</f>
        <v>8930580.75</v>
      </c>
      <c r="O229" s="4">
        <f ca="1">_xll.DBRW($B$1,$B$2,$B$7,$B$3,$B$4,$B$5,$F229,$B$6,O$10,$A229,$B229)</f>
        <v>9224995.5</v>
      </c>
      <c r="P229" s="4">
        <f ca="1">_xll.DBRW($B$1,$B$2,$B$7,$B$3,$B$4,$B$5,$F229,$B$6,P$10,$A229,$B229)</f>
        <v>9022387.5</v>
      </c>
      <c r="Q229" s="4">
        <f ca="1">_xll.DBRW($B$1,$B$2,$B$7,$B$3,$B$4,$B$5,$F229,$B$6,Q$10,$A229,$B229)</f>
        <v>8439889.5</v>
      </c>
      <c r="R229" s="4">
        <f ca="1">_xll.DBRW($B$1,$B$2,$B$7,$B$3,$B$4,$B$5,$F229,$B$6,R$10,$A229,$B229)</f>
        <v>8072662.5</v>
      </c>
      <c r="S229" s="4">
        <f ca="1">_xll.DBRW($B$1,$B$2,$B$7,$B$3,$B$4,$B$5,$F229,$B$6,S$10,$A229,$B229)</f>
        <v>8341751.25</v>
      </c>
      <c r="T229" s="4">
        <f ca="1">_xll.DBRW($B$1,$B$2,$B$7,$B$3,$B$4,$B$5,$F229,$B$6,T$10,$A229,$B229)</f>
        <v>8634472.968904214</v>
      </c>
      <c r="U229" s="4">
        <f ca="1">_xll.DBRW($B$1,$B$2,$B$7,$B$3,$B$4,$B$5,$F229,$B$6,U$10,$A229,$B229)</f>
        <v>7850183.3177547343</v>
      </c>
      <c r="V229" s="4">
        <f ca="1">_xll.DBRW($B$1,$B$2,$B$7,$B$3,$B$4,$B$5,$F229,$B$6,V$10,$A229,$B229)</f>
        <v>9013316.22225089</v>
      </c>
      <c r="W229" s="4">
        <f ca="1">_xll.DBRW($B$1,$B$2,$B$7,$B$3,$B$4,$B$5,$F229,$B$6,W$10,$A229,$B229)</f>
        <v>8508218.6067313571</v>
      </c>
      <c r="X229" s="4">
        <f ca="1">_xll.DBRW($B$1,$B$2,$B$7,$B$3,$B$4,$B$5,$F229,$B$6,X$10,$A229,$B229)</f>
        <v>8601988.7944711484</v>
      </c>
      <c r="Y229" s="4">
        <f ca="1">_xll.DBRW($B$1,$B$2,$B$7,$B$3,$B$4,$B$5,$F229,$B$6,Y$10,$A229,$B229)</f>
        <v>8509827.0445889048</v>
      </c>
      <c r="Z229" s="4">
        <f ca="1">_xll.DBRW($B$1,$B$2,$B$7,$B$3,$B$4,$B$5,$F229,$B$6,Z$10,$A229,$B229)</f>
        <v>9551511.5937941298</v>
      </c>
      <c r="AA229" s="4">
        <f ca="1">_xll.DBRW($B$1,$B$2,$B$7,$B$3,$B$4,$B$5,$F229,$B$6,AA$10,$A229,$B229)</f>
        <v>9524397.5352808405</v>
      </c>
      <c r="AB229" s="4">
        <f ca="1">_xll.DBRW($B$1,$B$2,$B$7,$B$3,$B$4,$B$5,$F229,$B$6,AB$10,$A229,$B229)</f>
        <v>9373332.0343185943</v>
      </c>
      <c r="AC229" s="4">
        <f ca="1">_xll.DBRW($B$1,$B$2,$B$7,$B$3,$B$4,$B$5,$F229,$B$6,AC$10,$A229,$B229)</f>
        <v>9531608.8726948053</v>
      </c>
      <c r="AD229" s="4">
        <f ca="1">_xll.DBRW($B$1,$B$2,$B$7,$B$3,$B$4,$B$5,$F229,$B$6,AD$10,$A229,$B229)</f>
        <v>8535379.4337128159</v>
      </c>
      <c r="AE229" s="4">
        <f ca="1">_xll.DBRW($B$1,$B$2,$B$7,$B$3,$B$4,$B$5,$F229,$B$6,AE$10,$A229,$B229)</f>
        <v>9651770.6655282453</v>
      </c>
    </row>
    <row r="230" spans="1:31">
      <c r="A230" s="1" t="s">
        <v>153</v>
      </c>
      <c r="B230" s="5" t="s">
        <v>300</v>
      </c>
      <c r="C230" s="5" t="s">
        <v>301</v>
      </c>
      <c r="D230" s="5" t="s">
        <v>299</v>
      </c>
      <c r="E230" s="5" t="s">
        <v>21</v>
      </c>
      <c r="F230" s="5" t="s">
        <v>24</v>
      </c>
      <c r="G230" s="6"/>
      <c r="H230" s="6"/>
      <c r="I230" s="6"/>
      <c r="J230" s="6"/>
      <c r="K230" s="6"/>
      <c r="L230" s="4">
        <f ca="1">_xll.DBRW($B$1,$B$2,$B$7,$B$3,$B$4,$B$5,$F230,$B$6,L$10,$A230,$B230)</f>
        <v>9028719</v>
      </c>
      <c r="M230" s="4">
        <f ca="1">_xll.DBRW($B$1,$B$2,$B$7,$B$3,$B$4,$B$5,$F230,$B$6,M$10,$A230,$B230)</f>
        <v>8558142.4246682711</v>
      </c>
      <c r="N230" s="4">
        <f ca="1">_xll.DBRW($B$1,$B$2,$B$7,$B$3,$B$4,$B$5,$F230,$B$6,N$10,$A230,$B230)</f>
        <v>8930580.75</v>
      </c>
      <c r="O230" s="4">
        <f ca="1">_xll.DBRW($B$1,$B$2,$B$7,$B$3,$B$4,$B$5,$F230,$B$6,O$10,$A230,$B230)</f>
        <v>9224995.5</v>
      </c>
      <c r="P230" s="4">
        <f ca="1">_xll.DBRW($B$1,$B$2,$B$7,$B$3,$B$4,$B$5,$F230,$B$6,P$10,$A230,$B230)</f>
        <v>9022387.5</v>
      </c>
      <c r="Q230" s="4">
        <f ca="1">_xll.DBRW($B$1,$B$2,$B$7,$B$3,$B$4,$B$5,$F230,$B$6,Q$10,$A230,$B230)</f>
        <v>8439889.5</v>
      </c>
      <c r="R230" s="4">
        <f ca="1">_xll.DBRW($B$1,$B$2,$B$7,$B$3,$B$4,$B$5,$F230,$B$6,R$10,$A230,$B230)</f>
        <v>8072662.5</v>
      </c>
      <c r="S230" s="4">
        <f ca="1">_xll.DBRW($B$1,$B$2,$B$7,$B$3,$B$4,$B$5,$F230,$B$6,S$10,$A230,$B230)</f>
        <v>8341751.25</v>
      </c>
      <c r="T230" s="4">
        <f ca="1">_xll.DBRW($B$1,$B$2,$B$7,$B$3,$B$4,$B$5,$F230,$B$6,T$10,$A230,$B230)</f>
        <v>8634472.968904214</v>
      </c>
      <c r="U230" s="4">
        <f ca="1">_xll.DBRW($B$1,$B$2,$B$7,$B$3,$B$4,$B$5,$F230,$B$6,U$10,$A230,$B230)</f>
        <v>7850183.3177547343</v>
      </c>
      <c r="V230" s="4">
        <f ca="1">_xll.DBRW($B$1,$B$2,$B$7,$B$3,$B$4,$B$5,$F230,$B$6,V$10,$A230,$B230)</f>
        <v>9013316.22225089</v>
      </c>
      <c r="W230" s="4">
        <f ca="1">_xll.DBRW($B$1,$B$2,$B$7,$B$3,$B$4,$B$5,$F230,$B$6,W$10,$A230,$B230)</f>
        <v>8508218.6067313571</v>
      </c>
      <c r="X230" s="4">
        <f ca="1">_xll.DBRW($B$1,$B$2,$B$7,$B$3,$B$4,$B$5,$F230,$B$6,X$10,$A230,$B230)</f>
        <v>8601988.7944711484</v>
      </c>
      <c r="Y230" s="4">
        <f ca="1">_xll.DBRW($B$1,$B$2,$B$7,$B$3,$B$4,$B$5,$F230,$B$6,Y$10,$A230,$B230)</f>
        <v>8509827.0445889048</v>
      </c>
      <c r="Z230" s="4">
        <f ca="1">_xll.DBRW($B$1,$B$2,$B$7,$B$3,$B$4,$B$5,$F230,$B$6,Z$10,$A230,$B230)</f>
        <v>9551511.5937941298</v>
      </c>
      <c r="AA230" s="4">
        <f ca="1">_xll.DBRW($B$1,$B$2,$B$7,$B$3,$B$4,$B$5,$F230,$B$6,AA$10,$A230,$B230)</f>
        <v>9524397.5352808405</v>
      </c>
      <c r="AB230" s="4">
        <f ca="1">_xll.DBRW($B$1,$B$2,$B$7,$B$3,$B$4,$B$5,$F230,$B$6,AB$10,$A230,$B230)</f>
        <v>9373332.0343185943</v>
      </c>
      <c r="AC230" s="4">
        <f ca="1">_xll.DBRW($B$1,$B$2,$B$7,$B$3,$B$4,$B$5,$F230,$B$6,AC$10,$A230,$B230)</f>
        <v>9531608.8726948053</v>
      </c>
      <c r="AD230" s="4">
        <f ca="1">_xll.DBRW($B$1,$B$2,$B$7,$B$3,$B$4,$B$5,$F230,$B$6,AD$10,$A230,$B230)</f>
        <v>8535379.4337128159</v>
      </c>
      <c r="AE230" s="4">
        <f ca="1">_xll.DBRW($B$1,$B$2,$B$7,$B$3,$B$4,$B$5,$F230,$B$6,AE$10,$A230,$B230)</f>
        <v>9651770.6655282453</v>
      </c>
    </row>
    <row r="231" spans="1:31">
      <c r="A231" s="1" t="s">
        <v>153</v>
      </c>
      <c r="B231" s="5" t="s">
        <v>302</v>
      </c>
      <c r="C231" s="5" t="s">
        <v>303</v>
      </c>
      <c r="D231" s="5" t="s">
        <v>21</v>
      </c>
      <c r="E231" s="5" t="s">
        <v>304</v>
      </c>
      <c r="F231" s="5" t="s">
        <v>24</v>
      </c>
      <c r="G231" s="6"/>
      <c r="H231" s="6"/>
      <c r="I231" s="6"/>
      <c r="J231" s="6"/>
      <c r="K231" s="6"/>
      <c r="L231" s="4">
        <f ca="1">_xll.DBRW($B$1,$B$2,$B$7,$B$3,$B$4,$B$5,$F231,$B$6,L$10,$A231,$B231)</f>
        <v>0</v>
      </c>
      <c r="M231" s="4">
        <f ca="1">_xll.DBRW($B$1,$B$2,$B$7,$B$3,$B$4,$B$5,$F231,$B$6,M$10,$A231,$B231)</f>
        <v>0</v>
      </c>
      <c r="N231" s="4">
        <f ca="1">_xll.DBRW($B$1,$B$2,$B$7,$B$3,$B$4,$B$5,$F231,$B$6,N$10,$A231,$B231)</f>
        <v>0</v>
      </c>
      <c r="O231" s="4">
        <f ca="1">_xll.DBRW($B$1,$B$2,$B$7,$B$3,$B$4,$B$5,$F231,$B$6,O$10,$A231,$B231)</f>
        <v>0</v>
      </c>
      <c r="P231" s="4">
        <f ca="1">_xll.DBRW($B$1,$B$2,$B$7,$B$3,$B$4,$B$5,$F231,$B$6,P$10,$A231,$B231)</f>
        <v>2895958</v>
      </c>
      <c r="Q231" s="4">
        <f ca="1">_xll.DBRW($B$1,$B$2,$B$7,$B$3,$B$4,$B$5,$F231,$B$6,Q$10,$A231,$B231)</f>
        <v>3658177.02</v>
      </c>
      <c r="R231" s="4">
        <f ca="1">_xll.DBRW($B$1,$B$2,$B$7,$B$3,$B$4,$B$5,$F231,$B$6,R$10,$A231,$B231)</f>
        <v>3408463.52</v>
      </c>
      <c r="S231" s="4">
        <f ca="1">_xll.DBRW($B$1,$B$2,$B$7,$B$3,$B$4,$B$5,$F231,$B$6,S$10,$A231,$B231)</f>
        <v>3322626.75</v>
      </c>
      <c r="T231" s="4">
        <f ca="1">_xll.DBRW($B$1,$B$2,$B$7,$B$3,$B$4,$B$5,$F231,$B$6,T$10,$A231,$B231)</f>
        <v>1828815.8767805404</v>
      </c>
      <c r="U231" s="4">
        <f ca="1">_xll.DBRW($B$1,$B$2,$B$7,$B$3,$B$4,$B$5,$F231,$B$6,U$10,$A231,$B231)</f>
        <v>1843590.0406514159</v>
      </c>
      <c r="V231" s="4">
        <f ca="1">_xll.DBRW($B$1,$B$2,$B$7,$B$3,$B$4,$B$5,$F231,$B$6,V$10,$A231,$B231)</f>
        <v>3412032.1171829179</v>
      </c>
      <c r="W231" s="4">
        <f ca="1">_xll.DBRW($B$1,$B$2,$B$7,$B$3,$B$4,$B$5,$F231,$B$6,W$10,$A231,$B231)</f>
        <v>3809868.3382784827</v>
      </c>
      <c r="X231" s="4">
        <f ca="1">_xll.DBRW($B$1,$B$2,$B$7,$B$3,$B$4,$B$5,$F231,$B$6,X$10,$A231,$B231)</f>
        <v>3780439.1524727973</v>
      </c>
      <c r="Y231" s="4">
        <f ca="1">_xll.DBRW($B$1,$B$2,$B$7,$B$3,$B$4,$B$5,$F231,$B$6,Y$10,$A231,$B231)</f>
        <v>4258565.770630504</v>
      </c>
      <c r="Z231" s="4">
        <f ca="1">_xll.DBRW($B$1,$B$2,$B$7,$B$3,$B$4,$B$5,$F231,$B$6,Z$10,$A231,$B231)</f>
        <v>4549021.3821622431</v>
      </c>
      <c r="AA231" s="4">
        <f ca="1">_xll.DBRW($B$1,$B$2,$B$7,$B$3,$B$4,$B$5,$F231,$B$6,AA$10,$A231,$B231)</f>
        <v>4394031.1615136275</v>
      </c>
      <c r="AB231" s="4">
        <f ca="1">_xll.DBRW($B$1,$B$2,$B$7,$B$3,$B$4,$B$5,$F231,$B$6,AB$10,$A231,$B231)</f>
        <v>3679550.1799672996</v>
      </c>
      <c r="AC231" s="4">
        <f ca="1">_xll.DBRW($B$1,$B$2,$B$7,$B$3,$B$4,$B$5,$F231,$B$6,AC$10,$A231,$B231)</f>
        <v>3920363.7484121625</v>
      </c>
      <c r="AD231" s="4">
        <f ca="1">_xll.DBRW($B$1,$B$2,$B$7,$B$3,$B$4,$B$5,$F231,$B$6,AD$10,$A231,$B231)</f>
        <v>3888351.7755627399</v>
      </c>
      <c r="AE231" s="4">
        <f ca="1">_xll.DBRW($B$1,$B$2,$B$7,$B$3,$B$4,$B$5,$F231,$B$6,AE$10,$A231,$B231)</f>
        <v>3824726.0477876817</v>
      </c>
    </row>
    <row r="232" spans="1:31">
      <c r="A232" s="1" t="s">
        <v>153</v>
      </c>
      <c r="B232" s="5" t="s">
        <v>305</v>
      </c>
      <c r="C232" s="5" t="s">
        <v>306</v>
      </c>
      <c r="D232" s="5" t="s">
        <v>304</v>
      </c>
      <c r="E232" s="5" t="s">
        <v>21</v>
      </c>
      <c r="F232" s="5" t="s">
        <v>24</v>
      </c>
      <c r="G232" s="6"/>
      <c r="H232" s="6"/>
      <c r="I232" s="6"/>
      <c r="J232" s="6"/>
      <c r="K232" s="6"/>
      <c r="L232" s="4">
        <f ca="1">_xll.DBRW($B$1,$B$2,$B$7,$B$3,$B$4,$B$5,$F232,$B$6,L$10,$A232,$B232)</f>
        <v>0</v>
      </c>
      <c r="M232" s="4">
        <f ca="1">_xll.DBRW($B$1,$B$2,$B$7,$B$3,$B$4,$B$5,$F232,$B$6,M$10,$A232,$B232)</f>
        <v>0</v>
      </c>
      <c r="N232" s="4">
        <f ca="1">_xll.DBRW($B$1,$B$2,$B$7,$B$3,$B$4,$B$5,$F232,$B$6,N$10,$A232,$B232)</f>
        <v>0</v>
      </c>
      <c r="O232" s="4">
        <f ca="1">_xll.DBRW($B$1,$B$2,$B$7,$B$3,$B$4,$B$5,$F232,$B$6,O$10,$A232,$B232)</f>
        <v>0</v>
      </c>
      <c r="P232" s="4">
        <f ca="1">_xll.DBRW($B$1,$B$2,$B$7,$B$3,$B$4,$B$5,$F232,$B$6,P$10,$A232,$B232)</f>
        <v>2783856.4</v>
      </c>
      <c r="Q232" s="4">
        <f ca="1">_xll.DBRW($B$1,$B$2,$B$7,$B$3,$B$4,$B$5,$F232,$B$6,Q$10,$A232,$B232)</f>
        <v>3653074.96</v>
      </c>
      <c r="R232" s="4">
        <f ca="1">_xll.DBRW($B$1,$B$2,$B$7,$B$3,$B$4,$B$5,$F232,$B$6,R$10,$A232,$B232)</f>
        <v>3408463.52</v>
      </c>
      <c r="S232" s="4">
        <f ca="1">_xll.DBRW($B$1,$B$2,$B$7,$B$3,$B$4,$B$5,$F232,$B$6,S$10,$A232,$B232)</f>
        <v>3357658.5</v>
      </c>
      <c r="T232" s="4">
        <f ca="1">_xll.DBRW($B$1,$B$2,$B$7,$B$3,$B$4,$B$5,$F232,$B$6,T$10,$A232,$B232)</f>
        <v>1809036.670126508</v>
      </c>
      <c r="U232" s="4">
        <f ca="1">_xll.DBRW($B$1,$B$2,$B$7,$B$3,$B$4,$B$5,$F232,$B$6,U$10,$A232,$B232)</f>
        <v>1843590.0406514159</v>
      </c>
      <c r="V232" s="4">
        <f ca="1">_xll.DBRW($B$1,$B$2,$B$7,$B$3,$B$4,$B$5,$F232,$B$6,V$10,$A232,$B232)</f>
        <v>3412032.1171829179</v>
      </c>
      <c r="W232" s="4">
        <f ca="1">_xll.DBRW($B$1,$B$2,$B$7,$B$3,$B$4,$B$5,$F232,$B$6,W$10,$A232,$B232)</f>
        <v>3809868.3382784827</v>
      </c>
      <c r="X232" s="4">
        <f ca="1">_xll.DBRW($B$1,$B$2,$B$7,$B$3,$B$4,$B$5,$F232,$B$6,X$10,$A232,$B232)</f>
        <v>3780439.1524727973</v>
      </c>
      <c r="Y232" s="4">
        <f ca="1">_xll.DBRW($B$1,$B$2,$B$7,$B$3,$B$4,$B$5,$F232,$B$6,Y$10,$A232,$B232)</f>
        <v>4258565.770630504</v>
      </c>
      <c r="Z232" s="4">
        <f ca="1">_xll.DBRW($B$1,$B$2,$B$7,$B$3,$B$4,$B$5,$F232,$B$6,Z$10,$A232,$B232)</f>
        <v>4549021.3821622431</v>
      </c>
      <c r="AA232" s="4">
        <f ca="1">_xll.DBRW($B$1,$B$2,$B$7,$B$3,$B$4,$B$5,$F232,$B$6,AA$10,$A232,$B232)</f>
        <v>4394031.1615136275</v>
      </c>
      <c r="AB232" s="4">
        <f ca="1">_xll.DBRW($B$1,$B$2,$B$7,$B$3,$B$4,$B$5,$F232,$B$6,AB$10,$A232,$B232)</f>
        <v>3679550.1799672996</v>
      </c>
      <c r="AC232" s="4">
        <f ca="1">_xll.DBRW($B$1,$B$2,$B$7,$B$3,$B$4,$B$5,$F232,$B$6,AC$10,$A232,$B232)</f>
        <v>3920363.7484121625</v>
      </c>
      <c r="AD232" s="4">
        <f ca="1">_xll.DBRW($B$1,$B$2,$B$7,$B$3,$B$4,$B$5,$F232,$B$6,AD$10,$A232,$B232)</f>
        <v>3931666.7482125391</v>
      </c>
      <c r="AE232" s="4">
        <f ca="1">_xll.DBRW($B$1,$B$2,$B$7,$B$3,$B$4,$B$5,$F232,$B$6,AE$10,$A232,$B232)</f>
        <v>3824726.0477876817</v>
      </c>
    </row>
    <row r="233" spans="1:31">
      <c r="A233" s="1" t="s">
        <v>153</v>
      </c>
      <c r="B233" s="5" t="s">
        <v>307</v>
      </c>
      <c r="C233" s="5" t="s">
        <v>308</v>
      </c>
      <c r="D233" s="5" t="s">
        <v>21</v>
      </c>
      <c r="E233" s="5" t="s">
        <v>309</v>
      </c>
      <c r="F233" s="5" t="s">
        <v>24</v>
      </c>
      <c r="G233" s="6"/>
      <c r="H233" s="6"/>
      <c r="I233" s="6"/>
      <c r="J233" s="6"/>
      <c r="K233" s="6"/>
      <c r="L233" s="4">
        <f ca="1">_xll.DBRW($B$1,$B$2,$B$7,$B$3,$B$4,$B$5,$F233,$B$6,L$10,$A233,$B233)</f>
        <v>0</v>
      </c>
      <c r="M233" s="4">
        <f ca="1">_xll.DBRW($B$1,$B$2,$B$7,$B$3,$B$4,$B$5,$F233,$B$6,M$10,$A233,$B233)</f>
        <v>0</v>
      </c>
      <c r="N233" s="4">
        <f ca="1">_xll.DBRW($B$1,$B$2,$B$7,$B$3,$B$4,$B$5,$F233,$B$6,N$10,$A233,$B233)</f>
        <v>0</v>
      </c>
      <c r="O233" s="4">
        <f ca="1">_xll.DBRW($B$1,$B$2,$B$7,$B$3,$B$4,$B$5,$F233,$B$6,O$10,$A233,$B233)</f>
        <v>0</v>
      </c>
      <c r="P233" s="4">
        <f ca="1">_xll.DBRW($B$1,$B$2,$B$7,$B$3,$B$4,$B$5,$F233,$B$6,P$10,$A233,$B233)</f>
        <v>0</v>
      </c>
      <c r="Q233" s="4">
        <f ca="1">_xll.DBRW($B$1,$B$2,$B$7,$B$3,$B$4,$B$5,$F233,$B$6,Q$10,$A233,$B233)</f>
        <v>1560081.6000000003</v>
      </c>
      <c r="R233" s="4">
        <f ca="1">_xll.DBRW($B$1,$B$2,$B$7,$B$3,$B$4,$B$5,$F233,$B$6,R$10,$A233,$B233)</f>
        <v>7496496</v>
      </c>
      <c r="S233" s="4">
        <f ca="1">_xll.DBRW($B$1,$B$2,$B$7,$B$3,$B$4,$B$5,$F233,$B$6,S$10,$A233,$B233)</f>
        <v>8060421.6000000006</v>
      </c>
      <c r="T233" s="4">
        <f ca="1">_xll.DBRW($B$1,$B$2,$B$7,$B$3,$B$4,$B$5,$F233,$B$6,T$10,$A233,$B233)</f>
        <v>10188855.699385546</v>
      </c>
      <c r="U233" s="4">
        <f ca="1">_xll.DBRW($B$1,$B$2,$B$7,$B$3,$B$4,$B$5,$F233,$B$6,U$10,$A233,$B233)</f>
        <v>9365397.8340641819</v>
      </c>
      <c r="V233" s="4">
        <f ca="1">_xll.DBRW($B$1,$B$2,$B$7,$B$3,$B$4,$B$5,$F233,$B$6,V$10,$A233,$B233)</f>
        <v>8476289.5814975798</v>
      </c>
      <c r="W233" s="4">
        <f ca="1">_xll.DBRW($B$1,$B$2,$B$7,$B$3,$B$4,$B$5,$F233,$B$6,W$10,$A233,$B233)</f>
        <v>0</v>
      </c>
      <c r="X233" s="4">
        <f ca="1">_xll.DBRW($B$1,$B$2,$B$7,$B$3,$B$4,$B$5,$F233,$B$6,X$10,$A233,$B233)</f>
        <v>0</v>
      </c>
      <c r="Y233" s="4">
        <f ca="1">_xll.DBRW($B$1,$B$2,$B$7,$B$3,$B$4,$B$5,$F233,$B$6,Y$10,$A233,$B233)</f>
        <v>0</v>
      </c>
      <c r="Z233" s="4">
        <f ca="1">_xll.DBRW($B$1,$B$2,$B$7,$B$3,$B$4,$B$5,$F233,$B$6,Z$10,$A233,$B233)</f>
        <v>0</v>
      </c>
      <c r="AA233" s="4">
        <f ca="1">_xll.DBRW($B$1,$B$2,$B$7,$B$3,$B$4,$B$5,$F233,$B$6,AA$10,$A233,$B233)</f>
        <v>0</v>
      </c>
      <c r="AB233" s="4">
        <f ca="1">_xll.DBRW($B$1,$B$2,$B$7,$B$3,$B$4,$B$5,$F233,$B$6,AB$10,$A233,$B233)</f>
        <v>0</v>
      </c>
      <c r="AC233" s="4">
        <f ca="1">_xll.DBRW($B$1,$B$2,$B$7,$B$3,$B$4,$B$5,$F233,$B$6,AC$10,$A233,$B233)</f>
        <v>1943101.8258331937</v>
      </c>
      <c r="AD233" s="4">
        <f ca="1">_xll.DBRW($B$1,$B$2,$B$7,$B$3,$B$4,$B$5,$F233,$B$6,AD$10,$A233,$B233)</f>
        <v>8418484.7950648107</v>
      </c>
      <c r="AE233" s="4">
        <f ca="1">_xll.DBRW($B$1,$B$2,$B$7,$B$3,$B$4,$B$5,$F233,$B$6,AE$10,$A233,$B233)</f>
        <v>8253402.9123365236</v>
      </c>
    </row>
    <row r="234" spans="1:31">
      <c r="A234" s="1" t="s">
        <v>153</v>
      </c>
      <c r="B234" s="5" t="s">
        <v>310</v>
      </c>
      <c r="C234" s="5" t="s">
        <v>311</v>
      </c>
      <c r="D234" s="5" t="s">
        <v>309</v>
      </c>
      <c r="E234" s="5" t="s">
        <v>21</v>
      </c>
      <c r="F234" s="5" t="s">
        <v>24</v>
      </c>
      <c r="G234" s="6"/>
      <c r="H234" s="6"/>
      <c r="I234" s="6"/>
      <c r="J234" s="6"/>
      <c r="K234" s="6"/>
      <c r="L234" s="4">
        <f ca="1">_xll.DBRW($B$1,$B$2,$B$7,$B$3,$B$4,$B$5,$F234,$B$6,L$10,$A234,$B234)</f>
        <v>0</v>
      </c>
      <c r="M234" s="4">
        <f ca="1">_xll.DBRW($B$1,$B$2,$B$7,$B$3,$B$4,$B$5,$F234,$B$6,M$10,$A234,$B234)</f>
        <v>0</v>
      </c>
      <c r="N234" s="4">
        <f ca="1">_xll.DBRW($B$1,$B$2,$B$7,$B$3,$B$4,$B$5,$F234,$B$6,N$10,$A234,$B234)</f>
        <v>0</v>
      </c>
      <c r="O234" s="4">
        <f ca="1">_xll.DBRW($B$1,$B$2,$B$7,$B$3,$B$4,$B$5,$F234,$B$6,O$10,$A234,$B234)</f>
        <v>0</v>
      </c>
      <c r="P234" s="4">
        <f ca="1">_xll.DBRW($B$1,$B$2,$B$7,$B$3,$B$4,$B$5,$F234,$B$6,P$10,$A234,$B234)</f>
        <v>0</v>
      </c>
      <c r="Q234" s="4">
        <f ca="1">_xll.DBRW($B$1,$B$2,$B$7,$B$3,$B$4,$B$5,$F234,$B$6,Q$10,$A234,$B234)</f>
        <v>1300068.0000000002</v>
      </c>
      <c r="R234" s="4">
        <f ca="1">_xll.DBRW($B$1,$B$2,$B$7,$B$3,$B$4,$B$5,$F234,$B$6,R$10,$A234,$B234)</f>
        <v>7496496</v>
      </c>
      <c r="S234" s="4">
        <f ca="1">_xll.DBRW($B$1,$B$2,$B$7,$B$3,$B$4,$B$5,$F234,$B$6,S$10,$A234,$B234)</f>
        <v>8060421.6000000006</v>
      </c>
      <c r="T234" s="4">
        <f ca="1">_xll.DBRW($B$1,$B$2,$B$7,$B$3,$B$4,$B$5,$F234,$B$6,T$10,$A234,$B234)</f>
        <v>10188855.699385546</v>
      </c>
      <c r="U234" s="4">
        <f ca="1">_xll.DBRW($B$1,$B$2,$B$7,$B$3,$B$4,$B$5,$F234,$B$6,U$10,$A234,$B234)</f>
        <v>9365397.8340641819</v>
      </c>
      <c r="V234" s="4">
        <f ca="1">_xll.DBRW($B$1,$B$2,$B$7,$B$3,$B$4,$B$5,$F234,$B$6,V$10,$A234,$B234)</f>
        <v>8476289.5814975798</v>
      </c>
      <c r="W234" s="4">
        <f ca="1">_xll.DBRW($B$1,$B$2,$B$7,$B$3,$B$4,$B$5,$F234,$B$6,W$10,$A234,$B234)</f>
        <v>0</v>
      </c>
      <c r="X234" s="4">
        <f ca="1">_xll.DBRW($B$1,$B$2,$B$7,$B$3,$B$4,$B$5,$F234,$B$6,X$10,$A234,$B234)</f>
        <v>0</v>
      </c>
      <c r="Y234" s="4">
        <f ca="1">_xll.DBRW($B$1,$B$2,$B$7,$B$3,$B$4,$B$5,$F234,$B$6,Y$10,$A234,$B234)</f>
        <v>0</v>
      </c>
      <c r="Z234" s="4">
        <f ca="1">_xll.DBRW($B$1,$B$2,$B$7,$B$3,$B$4,$B$5,$F234,$B$6,Z$10,$A234,$B234)</f>
        <v>0</v>
      </c>
      <c r="AA234" s="4">
        <f ca="1">_xll.DBRW($B$1,$B$2,$B$7,$B$3,$B$4,$B$5,$F234,$B$6,AA$10,$A234,$B234)</f>
        <v>0</v>
      </c>
      <c r="AB234" s="4">
        <f ca="1">_xll.DBRW($B$1,$B$2,$B$7,$B$3,$B$4,$B$5,$F234,$B$6,AB$10,$A234,$B234)</f>
        <v>0</v>
      </c>
      <c r="AC234" s="4">
        <f ca="1">_xll.DBRW($B$1,$B$2,$B$7,$B$3,$B$4,$B$5,$F234,$B$6,AC$10,$A234,$B234)</f>
        <v>1943101.8258331937</v>
      </c>
      <c r="AD234" s="4">
        <f ca="1">_xll.DBRW($B$1,$B$2,$B$7,$B$3,$B$4,$B$5,$F234,$B$6,AD$10,$A234,$B234)</f>
        <v>8418484.7950648107</v>
      </c>
      <c r="AE234" s="4">
        <f ca="1">_xll.DBRW($B$1,$B$2,$B$7,$B$3,$B$4,$B$5,$F234,$B$6,AE$10,$A234,$B234)</f>
        <v>8253402.9123365236</v>
      </c>
    </row>
    <row r="235" spans="1:31">
      <c r="A235" s="1" t="s">
        <v>153</v>
      </c>
      <c r="B235" s="5" t="s">
        <v>158</v>
      </c>
      <c r="C235" s="5" t="s">
        <v>159</v>
      </c>
      <c r="D235" s="5" t="s">
        <v>21</v>
      </c>
      <c r="E235" s="5" t="s">
        <v>38</v>
      </c>
      <c r="F235" s="5" t="s">
        <v>25</v>
      </c>
      <c r="G235" s="6"/>
      <c r="H235" s="6"/>
      <c r="I235" s="6"/>
      <c r="J235" s="6"/>
      <c r="K235" s="6"/>
      <c r="L235" s="4">
        <f ca="1">_xll.DBRW($B$1,$B$2,$B$7,$B$3,$B$4,$B$5,$F235,$B$6,L$10,$A235,$B235)</f>
        <v>20233752.734428447</v>
      </c>
      <c r="M235" s="4">
        <f ca="1">_xll.DBRW($B$1,$B$2,$B$7,$B$3,$B$4,$B$5,$F235,$B$6,M$10,$A235,$B235)</f>
        <v>23026218.592237387</v>
      </c>
      <c r="N235" s="4">
        <f ca="1">_xll.DBRW($B$1,$B$2,$B$7,$B$3,$B$4,$B$5,$F235,$B$6,N$10,$A235,$B235)</f>
        <v>23922089.866633601</v>
      </c>
      <c r="O235" s="4">
        <f ca="1">_xll.DBRW($B$1,$B$2,$B$7,$B$3,$B$4,$B$5,$F235,$B$6,O$10,$A235,$B235)</f>
        <v>27546088.279015712</v>
      </c>
      <c r="P235" s="4">
        <f ca="1">_xll.DBRW($B$1,$B$2,$B$7,$B$3,$B$4,$B$5,$F235,$B$6,P$10,$A235,$B235)</f>
        <v>18937495.716240127</v>
      </c>
      <c r="Q235" s="4">
        <f ca="1">_xll.DBRW($B$1,$B$2,$B$7,$B$3,$B$4,$B$5,$F235,$B$6,Q$10,$A235,$B235)</f>
        <v>21273307.738921601</v>
      </c>
      <c r="R235" s="4">
        <f ca="1">_xll.DBRW($B$1,$B$2,$B$7,$B$3,$B$4,$B$5,$F235,$B$6,R$10,$A235,$B235)</f>
        <v>26430097.5</v>
      </c>
      <c r="S235" s="4">
        <f ca="1">_xll.DBRW($B$1,$B$2,$B$7,$B$3,$B$4,$B$5,$F235,$B$6,S$10,$A235,$B235)</f>
        <v>35440054.137248777</v>
      </c>
      <c r="T235" s="4">
        <f ca="1">_xll.DBRW($B$1,$B$2,$B$7,$B$3,$B$4,$B$5,$F235,$B$6,T$10,$A235,$B235)</f>
        <v>21151616.404719569</v>
      </c>
      <c r="U235" s="4">
        <f ca="1">_xll.DBRW($B$1,$B$2,$B$7,$B$3,$B$4,$B$5,$F235,$B$6,U$10,$A235,$B235)</f>
        <v>20499349.416498702</v>
      </c>
      <c r="V235" s="4">
        <f ca="1">_xll.DBRW($B$1,$B$2,$B$7,$B$3,$B$4,$B$5,$F235,$B$6,V$10,$A235,$B235)</f>
        <v>23256916.833095945</v>
      </c>
      <c r="W235" s="4">
        <f ca="1">_xll.DBRW($B$1,$B$2,$B$7,$B$3,$B$4,$B$5,$F235,$B$6,W$10,$A235,$B235)</f>
        <v>31076479.783119097</v>
      </c>
      <c r="X235" s="4">
        <f ca="1">_xll.DBRW($B$1,$B$2,$B$7,$B$3,$B$4,$B$5,$F235,$B$6,X$10,$A235,$B235)</f>
        <v>31157515.045250386</v>
      </c>
      <c r="Y235" s="4">
        <f ca="1">_xll.DBRW($B$1,$B$2,$B$7,$B$3,$B$4,$B$5,$F235,$B$6,Y$10,$A235,$B235)</f>
        <v>32959207.931843765</v>
      </c>
      <c r="Z235" s="4">
        <f ca="1">_xll.DBRW($B$1,$B$2,$B$7,$B$3,$B$4,$B$5,$F235,$B$6,Z$10,$A235,$B235)</f>
        <v>35894293.087840497</v>
      </c>
      <c r="AA235" s="4">
        <f ca="1">_xll.DBRW($B$1,$B$2,$B$7,$B$3,$B$4,$B$5,$F235,$B$6,AA$10,$A235,$B235)</f>
        <v>38171733.434757963</v>
      </c>
      <c r="AB235" s="4">
        <f ca="1">_xll.DBRW($B$1,$B$2,$B$7,$B$3,$B$4,$B$5,$F235,$B$6,AB$10,$A235,$B235)</f>
        <v>26231249.1147912</v>
      </c>
      <c r="AC235" s="4">
        <f ca="1">_xll.DBRW($B$1,$B$2,$B$7,$B$3,$B$4,$B$5,$F235,$B$6,AC$10,$A235,$B235)</f>
        <v>29012584.918080926</v>
      </c>
      <c r="AD235" s="4">
        <f ca="1">_xll.DBRW($B$1,$B$2,$B$7,$B$3,$B$4,$B$5,$F235,$B$6,AD$10,$A235,$B235)</f>
        <v>21956503.554843262</v>
      </c>
      <c r="AE235" s="4">
        <f ca="1">_xll.DBRW($B$1,$B$2,$B$7,$B$3,$B$4,$B$5,$F235,$B$6,AE$10,$A235,$B235)</f>
        <v>26576069.231760167</v>
      </c>
    </row>
    <row r="236" spans="1:31">
      <c r="A236" s="1" t="s">
        <v>153</v>
      </c>
      <c r="B236" s="5" t="s">
        <v>36</v>
      </c>
      <c r="C236" s="5" t="s">
        <v>37</v>
      </c>
      <c r="D236" s="5" t="s">
        <v>38</v>
      </c>
      <c r="E236" s="5" t="s">
        <v>21</v>
      </c>
      <c r="F236" s="5" t="s">
        <v>25</v>
      </c>
      <c r="G236" s="6"/>
      <c r="H236" s="6"/>
      <c r="I236" s="6"/>
      <c r="J236" s="6"/>
      <c r="K236" s="6"/>
      <c r="L236" s="4">
        <f ca="1">_xll.DBRW($B$1,$B$2,$B$7,$B$3,$B$4,$B$5,$F236,$B$6,L$10,$A236,$B236)</f>
        <v>20473321.623558909</v>
      </c>
      <c r="M236" s="4">
        <f ca="1">_xll.DBRW($B$1,$B$2,$B$7,$B$3,$B$4,$B$5,$F236,$B$6,M$10,$A236,$B236)</f>
        <v>23026218.592237387</v>
      </c>
      <c r="N236" s="4">
        <f ca="1">_xll.DBRW($B$1,$B$2,$B$7,$B$3,$B$4,$B$5,$F236,$B$6,N$10,$A236,$B236)</f>
        <v>23935536.797418669</v>
      </c>
      <c r="O236" s="4">
        <f ca="1">_xll.DBRW($B$1,$B$2,$B$7,$B$3,$B$4,$B$5,$F236,$B$6,O$10,$A236,$B236)</f>
        <v>27546088.279015712</v>
      </c>
      <c r="P236" s="4">
        <f ca="1">_xll.DBRW($B$1,$B$2,$B$7,$B$3,$B$4,$B$5,$F236,$B$6,P$10,$A236,$B236)</f>
        <v>18937495.716240127</v>
      </c>
      <c r="Q236" s="4">
        <f ca="1">_xll.DBRW($B$1,$B$2,$B$7,$B$3,$B$4,$B$5,$F236,$B$6,Q$10,$A236,$B236)</f>
        <v>21273307.738921601</v>
      </c>
      <c r="R236" s="4">
        <f ca="1">_xll.DBRW($B$1,$B$2,$B$7,$B$3,$B$4,$B$5,$F236,$B$6,R$10,$A236,$B236)</f>
        <v>26430097.5</v>
      </c>
      <c r="S236" s="4">
        <f ca="1">_xll.DBRW($B$1,$B$2,$B$7,$B$3,$B$4,$B$5,$F236,$B$6,S$10,$A236,$B236)</f>
        <v>35440054.137248777</v>
      </c>
      <c r="T236" s="4">
        <f ca="1">_xll.DBRW($B$1,$B$2,$B$7,$B$3,$B$4,$B$5,$F236,$B$6,T$10,$A236,$B236)</f>
        <v>22245537.659872491</v>
      </c>
      <c r="U236" s="4">
        <f ca="1">_xll.DBRW($B$1,$B$2,$B$7,$B$3,$B$4,$B$5,$F236,$B$6,U$10,$A236,$B236)</f>
        <v>21438372.409956332</v>
      </c>
      <c r="V236" s="4">
        <f ca="1">_xll.DBRW($B$1,$B$2,$B$7,$B$3,$B$4,$B$5,$F236,$B$6,V$10,$A236,$B236)</f>
        <v>24008573.919274192</v>
      </c>
      <c r="W236" s="4">
        <f ca="1">_xll.DBRW($B$1,$B$2,$B$7,$B$3,$B$4,$B$5,$F236,$B$6,W$10,$A236,$B236)</f>
        <v>29260734.543088771</v>
      </c>
      <c r="X236" s="4">
        <f ca="1">_xll.DBRW($B$1,$B$2,$B$7,$B$3,$B$4,$B$5,$F236,$B$6,X$10,$A236,$B236)</f>
        <v>29177444.183738925</v>
      </c>
      <c r="Y236" s="4">
        <f ca="1">_xll.DBRW($B$1,$B$2,$B$7,$B$3,$B$4,$B$5,$F236,$B$6,Y$10,$A236,$B236)</f>
        <v>30776478.929734904</v>
      </c>
      <c r="Z236" s="4">
        <f ca="1">_xll.DBRW($B$1,$B$2,$B$7,$B$3,$B$4,$B$5,$F236,$B$6,Z$10,$A236,$B236)</f>
        <v>33613198.342814617</v>
      </c>
      <c r="AA236" s="4">
        <f ca="1">_xll.DBRW($B$1,$B$2,$B$7,$B$3,$B$4,$B$5,$F236,$B$6,AA$10,$A236,$B236)</f>
        <v>35999799.811158642</v>
      </c>
      <c r="AB236" s="4">
        <f ca="1">_xll.DBRW($B$1,$B$2,$B$7,$B$3,$B$4,$B$5,$F236,$B$6,AB$10,$A236,$B236)</f>
        <v>24507021.521794409</v>
      </c>
      <c r="AC236" s="4">
        <f ca="1">_xll.DBRW($B$1,$B$2,$B$7,$B$3,$B$4,$B$5,$F236,$B$6,AC$10,$A236,$B236)</f>
        <v>27775746.035695709</v>
      </c>
      <c r="AD236" s="4">
        <f ca="1">_xll.DBRW($B$1,$B$2,$B$7,$B$3,$B$4,$B$5,$F236,$B$6,AD$10,$A236,$B236)</f>
        <v>22895223.634361923</v>
      </c>
      <c r="AE236" s="4">
        <f ca="1">_xll.DBRW($B$1,$B$2,$B$7,$B$3,$B$4,$B$5,$F236,$B$6,AE$10,$A236,$B236)</f>
        <v>27913259.250959884</v>
      </c>
    </row>
    <row r="237" spans="1:31">
      <c r="A237" s="1" t="s">
        <v>153</v>
      </c>
      <c r="B237" s="5" t="s">
        <v>160</v>
      </c>
      <c r="C237" s="5" t="s">
        <v>161</v>
      </c>
      <c r="D237" s="5" t="s">
        <v>21</v>
      </c>
      <c r="E237" s="5" t="s">
        <v>69</v>
      </c>
      <c r="F237" s="5" t="s">
        <v>25</v>
      </c>
      <c r="G237" s="6"/>
      <c r="H237" s="6"/>
      <c r="I237" s="6"/>
      <c r="J237" s="6"/>
      <c r="K237" s="6"/>
      <c r="L237" s="4">
        <f ca="1">_xll.DBRW($B$1,$B$2,$B$7,$B$3,$B$4,$B$5,$F237,$B$6,L$10,$A237,$B237)</f>
        <v>29470685.759999998</v>
      </c>
      <c r="M237" s="4">
        <f ca="1">_xll.DBRW($B$1,$B$2,$B$7,$B$3,$B$4,$B$5,$F237,$B$6,M$10,$A237,$B237)</f>
        <v>31589268.928611916</v>
      </c>
      <c r="N237" s="4">
        <f ca="1">_xll.DBRW($B$1,$B$2,$B$7,$B$3,$B$4,$B$5,$F237,$B$6,N$10,$A237,$B237)</f>
        <v>32933200.799999997</v>
      </c>
      <c r="O237" s="4">
        <f ca="1">_xll.DBRW($B$1,$B$2,$B$7,$B$3,$B$4,$B$5,$F237,$B$6,O$10,$A237,$B237)</f>
        <v>32496968.340000004</v>
      </c>
      <c r="P237" s="4">
        <f ca="1">_xll.DBRW($B$1,$B$2,$B$7,$B$3,$B$4,$B$5,$F237,$B$6,P$10,$A237,$B237)</f>
        <v>23334520.059999999</v>
      </c>
      <c r="Q237" s="4">
        <f ca="1">_xll.DBRW($B$1,$B$2,$B$7,$B$3,$B$4,$B$5,$F237,$B$6,Q$10,$A237,$B237)</f>
        <v>28301702.399999999</v>
      </c>
      <c r="R237" s="4">
        <f ca="1">_xll.DBRW($B$1,$B$2,$B$7,$B$3,$B$4,$B$5,$F237,$B$6,R$10,$A237,$B237)</f>
        <v>28944301.439999994</v>
      </c>
      <c r="S237" s="4">
        <f ca="1">_xll.DBRW($B$1,$B$2,$B$7,$B$3,$B$4,$B$5,$F237,$B$6,S$10,$A237,$B237)</f>
        <v>32813567.999999996</v>
      </c>
      <c r="T237" s="4">
        <f ca="1">_xll.DBRW($B$1,$B$2,$B$7,$B$3,$B$4,$B$5,$F237,$B$6,T$10,$A237,$B237)</f>
        <v>30304257.588586159</v>
      </c>
      <c r="U237" s="4">
        <f ca="1">_xll.DBRW($B$1,$B$2,$B$7,$B$3,$B$4,$B$5,$F237,$B$6,U$10,$A237,$B237)</f>
        <v>26732956.498344377</v>
      </c>
      <c r="V237" s="4">
        <f ca="1">_xll.DBRW($B$1,$B$2,$B$7,$B$3,$B$4,$B$5,$F237,$B$6,V$10,$A237,$B237)</f>
        <v>32927523.178902835</v>
      </c>
      <c r="W237" s="4">
        <f ca="1">_xll.DBRW($B$1,$B$2,$B$7,$B$3,$B$4,$B$5,$F237,$B$6,W$10,$A237,$B237)</f>
        <v>31705260.047887459</v>
      </c>
      <c r="X237" s="4">
        <f ca="1">_xll.DBRW($B$1,$B$2,$B$7,$B$3,$B$4,$B$5,$F237,$B$6,X$10,$A237,$B237)</f>
        <v>33668075.473611459</v>
      </c>
      <c r="Y237" s="4">
        <f ca="1">_xll.DBRW($B$1,$B$2,$B$7,$B$3,$B$4,$B$5,$F237,$B$6,Y$10,$A237,$B237)</f>
        <v>34176256.272960648</v>
      </c>
      <c r="Z237" s="4">
        <f ca="1">_xll.DBRW($B$1,$B$2,$B$7,$B$3,$B$4,$B$5,$F237,$B$6,Z$10,$A237,$B237)</f>
        <v>35404070.187793091</v>
      </c>
      <c r="AA237" s="4">
        <f ca="1">_xll.DBRW($B$1,$B$2,$B$7,$B$3,$B$4,$B$5,$F237,$B$6,AA$10,$A237,$B237)</f>
        <v>34339326.400626391</v>
      </c>
      <c r="AB237" s="4">
        <f ca="1">_xll.DBRW($B$1,$B$2,$B$7,$B$3,$B$4,$B$5,$F237,$B$6,AB$10,$A237,$B237)</f>
        <v>23432074.794016853</v>
      </c>
      <c r="AC237" s="4">
        <f ca="1">_xll.DBRW($B$1,$B$2,$B$7,$B$3,$B$4,$B$5,$F237,$B$6,AC$10,$A237,$B237)</f>
        <v>29765369.561401386</v>
      </c>
      <c r="AD237" s="4">
        <f ca="1">_xll.DBRW($B$1,$B$2,$B$7,$B$3,$B$4,$B$5,$F237,$B$6,AD$10,$A237,$B237)</f>
        <v>28236029.654858518</v>
      </c>
      <c r="AE237" s="4">
        <f ca="1">_xll.DBRW($B$1,$B$2,$B$7,$B$3,$B$4,$B$5,$F237,$B$6,AE$10,$A237,$B237)</f>
        <v>29969812.883365102</v>
      </c>
    </row>
    <row r="238" spans="1:31">
      <c r="A238" s="1" t="s">
        <v>153</v>
      </c>
      <c r="B238" s="5" t="s">
        <v>67</v>
      </c>
      <c r="C238" s="5" t="s">
        <v>68</v>
      </c>
      <c r="D238" s="5" t="s">
        <v>69</v>
      </c>
      <c r="E238" s="5" t="s">
        <v>21</v>
      </c>
      <c r="F238" s="5" t="s">
        <v>25</v>
      </c>
      <c r="G238" s="6"/>
      <c r="H238" s="6"/>
      <c r="I238" s="6"/>
      <c r="J238" s="6"/>
      <c r="K238" s="6"/>
      <c r="L238" s="4">
        <f ca="1">_xll.DBRW($B$1,$B$2,$B$7,$B$3,$B$4,$B$5,$F238,$B$6,L$10,$A238,$B238)</f>
        <v>29470685.759999998</v>
      </c>
      <c r="M238" s="4">
        <f ca="1">_xll.DBRW($B$1,$B$2,$B$7,$B$3,$B$4,$B$5,$F238,$B$6,M$10,$A238,$B238)</f>
        <v>31589268.928611916</v>
      </c>
      <c r="N238" s="4">
        <f ca="1">_xll.DBRW($B$1,$B$2,$B$7,$B$3,$B$4,$B$5,$F238,$B$6,N$10,$A238,$B238)</f>
        <v>32933200.799999997</v>
      </c>
      <c r="O238" s="4">
        <f ca="1">_xll.DBRW($B$1,$B$2,$B$7,$B$3,$B$4,$B$5,$F238,$B$6,O$10,$A238,$B238)</f>
        <v>32496968.340000004</v>
      </c>
      <c r="P238" s="4">
        <f ca="1">_xll.DBRW($B$1,$B$2,$B$7,$B$3,$B$4,$B$5,$F238,$B$6,P$10,$A238,$B238)</f>
        <v>23334520.059999999</v>
      </c>
      <c r="Q238" s="4">
        <f ca="1">_xll.DBRW($B$1,$B$2,$B$7,$B$3,$B$4,$B$5,$F238,$B$6,Q$10,$A238,$B238)</f>
        <v>28301702.399999999</v>
      </c>
      <c r="R238" s="4">
        <f ca="1">_xll.DBRW($B$1,$B$2,$B$7,$B$3,$B$4,$B$5,$F238,$B$6,R$10,$A238,$B238)</f>
        <v>28944301.439999994</v>
      </c>
      <c r="S238" s="4">
        <f ca="1">_xll.DBRW($B$1,$B$2,$B$7,$B$3,$B$4,$B$5,$F238,$B$6,S$10,$A238,$B238)</f>
        <v>32813567.999999996</v>
      </c>
      <c r="T238" s="4">
        <f ca="1">_xll.DBRW($B$1,$B$2,$B$7,$B$3,$B$4,$B$5,$F238,$B$6,T$10,$A238,$B238)</f>
        <v>30304257.588586159</v>
      </c>
      <c r="U238" s="4">
        <f ca="1">_xll.DBRW($B$1,$B$2,$B$7,$B$3,$B$4,$B$5,$F238,$B$6,U$10,$A238,$B238)</f>
        <v>26732956.498344377</v>
      </c>
      <c r="V238" s="4">
        <f ca="1">_xll.DBRW($B$1,$B$2,$B$7,$B$3,$B$4,$B$5,$F238,$B$6,V$10,$A238,$B238)</f>
        <v>32927523.178902835</v>
      </c>
      <c r="W238" s="4">
        <f ca="1">_xll.DBRW($B$1,$B$2,$B$7,$B$3,$B$4,$B$5,$F238,$B$6,W$10,$A238,$B238)</f>
        <v>31705260.047887459</v>
      </c>
      <c r="X238" s="4">
        <f ca="1">_xll.DBRW($B$1,$B$2,$B$7,$B$3,$B$4,$B$5,$F238,$B$6,X$10,$A238,$B238)</f>
        <v>33668075.473611459</v>
      </c>
      <c r="Y238" s="4">
        <f ca="1">_xll.DBRW($B$1,$B$2,$B$7,$B$3,$B$4,$B$5,$F238,$B$6,Y$10,$A238,$B238)</f>
        <v>34176256.272960648</v>
      </c>
      <c r="Z238" s="4">
        <f ca="1">_xll.DBRW($B$1,$B$2,$B$7,$B$3,$B$4,$B$5,$F238,$B$6,Z$10,$A238,$B238)</f>
        <v>35404070.187793091</v>
      </c>
      <c r="AA238" s="4">
        <f ca="1">_xll.DBRW($B$1,$B$2,$B$7,$B$3,$B$4,$B$5,$F238,$B$6,AA$10,$A238,$B238)</f>
        <v>34339326.400626391</v>
      </c>
      <c r="AB238" s="4">
        <f ca="1">_xll.DBRW($B$1,$B$2,$B$7,$B$3,$B$4,$B$5,$F238,$B$6,AB$10,$A238,$B238)</f>
        <v>23432074.794016853</v>
      </c>
      <c r="AC238" s="4">
        <f ca="1">_xll.DBRW($B$1,$B$2,$B$7,$B$3,$B$4,$B$5,$F238,$B$6,AC$10,$A238,$B238)</f>
        <v>29765369.561401386</v>
      </c>
      <c r="AD238" s="4">
        <f ca="1">_xll.DBRW($B$1,$B$2,$B$7,$B$3,$B$4,$B$5,$F238,$B$6,AD$10,$A238,$B238)</f>
        <v>28236029.654858518</v>
      </c>
      <c r="AE238" s="4">
        <f ca="1">_xll.DBRW($B$1,$B$2,$B$7,$B$3,$B$4,$B$5,$F238,$B$6,AE$10,$A238,$B238)</f>
        <v>29003044.725837186</v>
      </c>
    </row>
    <row r="239" spans="1:31">
      <c r="A239" s="1" t="s">
        <v>153</v>
      </c>
      <c r="B239" s="5" t="s">
        <v>162</v>
      </c>
      <c r="C239" s="5" t="s">
        <v>163</v>
      </c>
      <c r="D239" s="5" t="s">
        <v>21</v>
      </c>
      <c r="E239" s="5" t="s">
        <v>54</v>
      </c>
      <c r="F239" s="5" t="s">
        <v>25</v>
      </c>
      <c r="G239" s="6"/>
      <c r="H239" s="6"/>
      <c r="I239" s="6"/>
      <c r="J239" s="6"/>
      <c r="K239" s="6"/>
      <c r="L239" s="4">
        <f ca="1">_xll.DBRW($B$1,$B$2,$B$7,$B$3,$B$4,$B$5,$F239,$B$6,L$10,$A239,$B239)</f>
        <v>31860863.999999996</v>
      </c>
      <c r="M239" s="4">
        <f ca="1">_xll.DBRW($B$1,$B$2,$B$7,$B$3,$B$4,$B$5,$F239,$B$6,M$10,$A239,$B239)</f>
        <v>44035920.946278252</v>
      </c>
      <c r="N239" s="4">
        <f ca="1">_xll.DBRW($B$1,$B$2,$B$7,$B$3,$B$4,$B$5,$F239,$B$6,N$10,$A239,$B239)</f>
        <v>49095126</v>
      </c>
      <c r="O239" s="4">
        <f ca="1">_xll.DBRW($B$1,$B$2,$B$7,$B$3,$B$4,$B$5,$F239,$B$6,O$10,$A239,$B239)</f>
        <v>53728331.999999993</v>
      </c>
      <c r="P239" s="4">
        <f ca="1">_xll.DBRW($B$1,$B$2,$B$7,$B$3,$B$4,$B$5,$F239,$B$6,P$10,$A239,$B239)</f>
        <v>45186269.999999993</v>
      </c>
      <c r="Q239" s="4">
        <f ca="1">_xll.DBRW($B$1,$B$2,$B$7,$B$3,$B$4,$B$5,$F239,$B$6,Q$10,$A239,$B239)</f>
        <v>44773610</v>
      </c>
      <c r="R239" s="4">
        <f ca="1">_xll.DBRW($B$1,$B$2,$B$7,$B$3,$B$4,$B$5,$F239,$B$6,R$10,$A239,$B239)</f>
        <v>40688276.000000007</v>
      </c>
      <c r="S239" s="4">
        <f ca="1">_xll.DBRW($B$1,$B$2,$B$7,$B$3,$B$4,$B$5,$F239,$B$6,S$10,$A239,$B239)</f>
        <v>49890594</v>
      </c>
      <c r="T239" s="4">
        <f ca="1">_xll.DBRW($B$1,$B$2,$B$7,$B$3,$B$4,$B$5,$F239,$B$6,T$10,$A239,$B239)</f>
        <v>39909457.778898314</v>
      </c>
      <c r="U239" s="4">
        <f ca="1">_xll.DBRW($B$1,$B$2,$B$7,$B$3,$B$4,$B$5,$F239,$B$6,U$10,$A239,$B239)</f>
        <v>32100600.827745527</v>
      </c>
      <c r="V239" s="4">
        <f ca="1">_xll.DBRW($B$1,$B$2,$B$7,$B$3,$B$4,$B$5,$F239,$B$6,V$10,$A239,$B239)</f>
        <v>46134082.238112465</v>
      </c>
      <c r="W239" s="4">
        <f ca="1">_xll.DBRW($B$1,$B$2,$B$7,$B$3,$B$4,$B$5,$F239,$B$6,W$10,$A239,$B239)</f>
        <v>46480301.519572623</v>
      </c>
      <c r="X239" s="4">
        <f ca="1">_xll.DBRW($B$1,$B$2,$B$7,$B$3,$B$4,$B$5,$F239,$B$6,X$10,$A239,$B239)</f>
        <v>47150705.247376576</v>
      </c>
      <c r="Y239" s="4">
        <f ca="1">_xll.DBRW($B$1,$B$2,$B$7,$B$3,$B$4,$B$5,$F239,$B$6,Y$10,$A239,$B239)</f>
        <v>55064467.885998785</v>
      </c>
      <c r="Z239" s="4">
        <f ca="1">_xll.DBRW($B$1,$B$2,$B$7,$B$3,$B$4,$B$5,$F239,$B$6,Z$10,$A239,$B239)</f>
        <v>59830837.648968413</v>
      </c>
      <c r="AA239" s="4">
        <f ca="1">_xll.DBRW($B$1,$B$2,$B$7,$B$3,$B$4,$B$5,$F239,$B$6,AA$10,$A239,$B239)</f>
        <v>55644099.915157631</v>
      </c>
      <c r="AB239" s="4">
        <f ca="1">_xll.DBRW($B$1,$B$2,$B$7,$B$3,$B$4,$B$5,$F239,$B$6,AB$10,$A239,$B239)</f>
        <v>47992841.003096864</v>
      </c>
      <c r="AC239" s="4">
        <f ca="1">_xll.DBRW($B$1,$B$2,$B$7,$B$3,$B$4,$B$5,$F239,$B$6,AC$10,$A239,$B239)</f>
        <v>46397103.596491501</v>
      </c>
      <c r="AD239" s="4">
        <f ca="1">_xll.DBRW($B$1,$B$2,$B$7,$B$3,$B$4,$B$5,$F239,$B$6,AD$10,$A239,$B239)</f>
        <v>45759596.399975196</v>
      </c>
      <c r="AE239" s="4">
        <f ca="1">_xll.DBRW($B$1,$B$2,$B$7,$B$3,$B$4,$B$5,$F239,$B$6,AE$10,$A239,$B239)</f>
        <v>56031220.647427268</v>
      </c>
    </row>
    <row r="240" spans="1:31">
      <c r="A240" s="1" t="s">
        <v>153</v>
      </c>
      <c r="B240" s="5" t="s">
        <v>52</v>
      </c>
      <c r="C240" s="5" t="s">
        <v>53</v>
      </c>
      <c r="D240" s="5" t="s">
        <v>54</v>
      </c>
      <c r="E240" s="5" t="s">
        <v>21</v>
      </c>
      <c r="F240" s="5" t="s">
        <v>25</v>
      </c>
      <c r="G240" s="6"/>
      <c r="H240" s="6"/>
      <c r="I240" s="6"/>
      <c r="J240" s="6"/>
      <c r="K240" s="6"/>
      <c r="L240" s="4">
        <f ca="1">_xll.DBRW($B$1,$B$2,$B$7,$B$3,$B$4,$B$5,$F240,$B$6,L$10,$A240,$B240)</f>
        <v>31860863.999999996</v>
      </c>
      <c r="M240" s="4">
        <f ca="1">_xll.DBRW($B$1,$B$2,$B$7,$B$3,$B$4,$B$5,$F240,$B$6,M$10,$A240,$B240)</f>
        <v>44035920.946278252</v>
      </c>
      <c r="N240" s="4">
        <f ca="1">_xll.DBRW($B$1,$B$2,$B$7,$B$3,$B$4,$B$5,$F240,$B$6,N$10,$A240,$B240)</f>
        <v>50952096</v>
      </c>
      <c r="O240" s="4">
        <f ca="1">_xll.DBRW($B$1,$B$2,$B$7,$B$3,$B$4,$B$5,$F240,$B$6,O$10,$A240,$B240)</f>
        <v>53728331.999999993</v>
      </c>
      <c r="P240" s="4">
        <f ca="1">_xll.DBRW($B$1,$B$2,$B$7,$B$3,$B$4,$B$5,$F240,$B$6,P$10,$A240,$B240)</f>
        <v>45186269.999999993</v>
      </c>
      <c r="Q240" s="4">
        <f ca="1">_xll.DBRW($B$1,$B$2,$B$7,$B$3,$B$4,$B$5,$F240,$B$6,Q$10,$A240,$B240)</f>
        <v>44773610</v>
      </c>
      <c r="R240" s="4">
        <f ca="1">_xll.DBRW($B$1,$B$2,$B$7,$B$3,$B$4,$B$5,$F240,$B$6,R$10,$A240,$B240)</f>
        <v>40688276.000000007</v>
      </c>
      <c r="S240" s="4">
        <f ca="1">_xll.DBRW($B$1,$B$2,$B$7,$B$3,$B$4,$B$5,$F240,$B$6,S$10,$A240,$B240)</f>
        <v>49890594</v>
      </c>
      <c r="T240" s="4">
        <f ca="1">_xll.DBRW($B$1,$B$2,$B$7,$B$3,$B$4,$B$5,$F240,$B$6,T$10,$A240,$B240)</f>
        <v>39909457.778898314</v>
      </c>
      <c r="U240" s="4">
        <f ca="1">_xll.DBRW($B$1,$B$2,$B$7,$B$3,$B$4,$B$5,$F240,$B$6,U$10,$A240,$B240)</f>
        <v>32100600.827745527</v>
      </c>
      <c r="V240" s="4">
        <f ca="1">_xll.DBRW($B$1,$B$2,$B$7,$B$3,$B$4,$B$5,$F240,$B$6,V$10,$A240,$B240)</f>
        <v>46134082.238112465</v>
      </c>
      <c r="W240" s="4">
        <f ca="1">_xll.DBRW($B$1,$B$2,$B$7,$B$3,$B$4,$B$5,$F240,$B$6,W$10,$A240,$B240)</f>
        <v>46480301.519572623</v>
      </c>
      <c r="X240" s="4">
        <f ca="1">_xll.DBRW($B$1,$B$2,$B$7,$B$3,$B$4,$B$5,$F240,$B$6,X$10,$A240,$B240)</f>
        <v>47150705.247376576</v>
      </c>
      <c r="Y240" s="4">
        <f ca="1">_xll.DBRW($B$1,$B$2,$B$7,$B$3,$B$4,$B$5,$F240,$B$6,Y$10,$A240,$B240)</f>
        <v>55064467.885998785</v>
      </c>
      <c r="Z240" s="4">
        <f ca="1">_xll.DBRW($B$1,$B$2,$B$7,$B$3,$B$4,$B$5,$F240,$B$6,Z$10,$A240,$B240)</f>
        <v>59830837.648968413</v>
      </c>
      <c r="AA240" s="4">
        <f ca="1">_xll.DBRW($B$1,$B$2,$B$7,$B$3,$B$4,$B$5,$F240,$B$6,AA$10,$A240,$B240)</f>
        <v>55644099.915157631</v>
      </c>
      <c r="AB240" s="4">
        <f ca="1">_xll.DBRW($B$1,$B$2,$B$7,$B$3,$B$4,$B$5,$F240,$B$6,AB$10,$A240,$B240)</f>
        <v>47992841.003096864</v>
      </c>
      <c r="AC240" s="4">
        <f ca="1">_xll.DBRW($B$1,$B$2,$B$7,$B$3,$B$4,$B$5,$F240,$B$6,AC$10,$A240,$B240)</f>
        <v>46397103.596491501</v>
      </c>
      <c r="AD240" s="4">
        <f ca="1">_xll.DBRW($B$1,$B$2,$B$7,$B$3,$B$4,$B$5,$F240,$B$6,AD$10,$A240,$B240)</f>
        <v>45759596.399975196</v>
      </c>
      <c r="AE240" s="4">
        <f ca="1">_xll.DBRW($B$1,$B$2,$B$7,$B$3,$B$4,$B$5,$F240,$B$6,AE$10,$A240,$B240)</f>
        <v>54223761.916865095</v>
      </c>
    </row>
    <row r="241" spans="1:31">
      <c r="A241" s="1" t="s">
        <v>153</v>
      </c>
      <c r="B241" s="5" t="s">
        <v>164</v>
      </c>
      <c r="C241" s="5" t="s">
        <v>159</v>
      </c>
      <c r="D241" s="5" t="s">
        <v>21</v>
      </c>
      <c r="E241" s="5" t="s">
        <v>38</v>
      </c>
      <c r="F241" s="5" t="s">
        <v>25</v>
      </c>
      <c r="G241" s="6"/>
      <c r="H241" s="6"/>
      <c r="I241" s="6"/>
      <c r="J241" s="6"/>
      <c r="K241" s="6"/>
      <c r="L241" s="4">
        <f ca="1">_xll.DBRW($B$1,$B$2,$B$7,$B$3,$B$4,$B$5,$F241,$B$6,L$10,$A241,$B241)</f>
        <v>22692279.367144324</v>
      </c>
      <c r="M241" s="4">
        <f ca="1">_xll.DBRW($B$1,$B$2,$B$7,$B$3,$B$4,$B$5,$F241,$B$6,M$10,$A241,$B241)</f>
        <v>26548748.006508809</v>
      </c>
      <c r="N241" s="4">
        <f ca="1">_xll.DBRW($B$1,$B$2,$B$7,$B$3,$B$4,$B$5,$F241,$B$6,N$10,$A241,$B241)</f>
        <v>26485971.336319644</v>
      </c>
      <c r="O241" s="4">
        <f ca="1">_xll.DBRW($B$1,$B$2,$B$7,$B$3,$B$4,$B$5,$F241,$B$6,O$10,$A241,$B241)</f>
        <v>29724583.266599037</v>
      </c>
      <c r="P241" s="4">
        <f ca="1">_xll.DBRW($B$1,$B$2,$B$7,$B$3,$B$4,$B$5,$F241,$B$6,P$10,$A241,$B241)</f>
        <v>20481313.301803179</v>
      </c>
      <c r="Q241" s="4">
        <f ca="1">_xll.DBRW($B$1,$B$2,$B$7,$B$3,$B$4,$B$5,$F241,$B$6,Q$10,$A241,$B241)</f>
        <v>25975553.411871936</v>
      </c>
      <c r="R241" s="4">
        <f ca="1">_xll.DBRW($B$1,$B$2,$B$7,$B$3,$B$4,$B$5,$F241,$B$6,R$10,$A241,$B241)</f>
        <v>33944659.5</v>
      </c>
      <c r="S241" s="4">
        <f ca="1">_xll.DBRW($B$1,$B$2,$B$7,$B$3,$B$4,$B$5,$F241,$B$6,S$10,$A241,$B241)</f>
        <v>45948018.026947796</v>
      </c>
      <c r="T241" s="4">
        <f ca="1">_xll.DBRW($B$1,$B$2,$B$7,$B$3,$B$4,$B$5,$F241,$B$6,T$10,$A241,$B241)</f>
        <v>28623654.808560722</v>
      </c>
      <c r="U241" s="4">
        <f ca="1">_xll.DBRW($B$1,$B$2,$B$7,$B$3,$B$4,$B$5,$F241,$B$6,U$10,$A241,$B241)</f>
        <v>27549979.68940936</v>
      </c>
      <c r="V241" s="4">
        <f ca="1">_xll.DBRW($B$1,$B$2,$B$7,$B$3,$B$4,$B$5,$F241,$B$6,V$10,$A241,$B241)</f>
        <v>30987669.55276797</v>
      </c>
      <c r="W241" s="4">
        <f ca="1">_xll.DBRW($B$1,$B$2,$B$7,$B$3,$B$4,$B$5,$F241,$B$6,W$10,$A241,$B241)</f>
        <v>28057803.321568675</v>
      </c>
      <c r="X241" s="4">
        <f ca="1">_xll.DBRW($B$1,$B$2,$B$7,$B$3,$B$4,$B$5,$F241,$B$6,X$10,$A241,$B241)</f>
        <v>28420617.09889454</v>
      </c>
      <c r="Y241" s="4">
        <f ca="1">_xll.DBRW($B$1,$B$2,$B$7,$B$3,$B$4,$B$5,$F241,$B$6,Y$10,$A241,$B241)</f>
        <v>30184716.844718724</v>
      </c>
      <c r="Z241" s="4">
        <f ca="1">_xll.DBRW($B$1,$B$2,$B$7,$B$3,$B$4,$B$5,$F241,$B$6,Z$10,$A241,$B241)</f>
        <v>32523341.964635592</v>
      </c>
      <c r="AA241" s="4">
        <f ca="1">_xll.DBRW($B$1,$B$2,$B$7,$B$3,$B$4,$B$5,$F241,$B$6,AA$10,$A241,$B241)</f>
        <v>35071298.187069938</v>
      </c>
      <c r="AB241" s="4">
        <f ca="1">_xll.DBRW($B$1,$B$2,$B$7,$B$3,$B$4,$B$5,$F241,$B$6,AB$10,$A241,$B241)</f>
        <v>23679392.277155943</v>
      </c>
      <c r="AC241" s="4">
        <f ca="1">_xll.DBRW($B$1,$B$2,$B$7,$B$3,$B$4,$B$5,$F241,$B$6,AC$10,$A241,$B241)</f>
        <v>28047765.583711699</v>
      </c>
      <c r="AD241" s="4">
        <f ca="1">_xll.DBRW($B$1,$B$2,$B$7,$B$3,$B$4,$B$5,$F241,$B$6,AD$10,$A241,$B241)</f>
        <v>29565704.877382237</v>
      </c>
      <c r="AE241" s="4">
        <f ca="1">_xll.DBRW($B$1,$B$2,$B$7,$B$3,$B$4,$B$5,$F241,$B$6,AE$10,$A241,$B241)</f>
        <v>35764009.015250891</v>
      </c>
    </row>
    <row r="242" spans="1:31">
      <c r="A242" s="1" t="s">
        <v>153</v>
      </c>
      <c r="B242" s="5" t="s">
        <v>39</v>
      </c>
      <c r="C242" s="5" t="s">
        <v>37</v>
      </c>
      <c r="D242" s="5" t="s">
        <v>38</v>
      </c>
      <c r="E242" s="5" t="s">
        <v>21</v>
      </c>
      <c r="F242" s="5" t="s">
        <v>25</v>
      </c>
      <c r="G242" s="6"/>
      <c r="H242" s="6"/>
      <c r="I242" s="6"/>
      <c r="J242" s="6"/>
      <c r="K242" s="6"/>
      <c r="L242" s="4">
        <f ca="1">_xll.DBRW($B$1,$B$2,$B$7,$B$3,$B$4,$B$5,$F242,$B$6,L$10,$A242,$B242)</f>
        <v>22562676.525483582</v>
      </c>
      <c r="M242" s="4">
        <f ca="1">_xll.DBRW($B$1,$B$2,$B$7,$B$3,$B$4,$B$5,$F242,$B$6,M$10,$A242,$B242)</f>
        <v>26530208.378012642</v>
      </c>
      <c r="N242" s="4">
        <f ca="1">_xll.DBRW($B$1,$B$2,$B$7,$B$3,$B$4,$B$5,$F242,$B$6,N$10,$A242,$B242)</f>
        <v>26710086.849404089</v>
      </c>
      <c r="O242" s="4">
        <f ca="1">_xll.DBRW($B$1,$B$2,$B$7,$B$3,$B$4,$B$5,$F242,$B$6,O$10,$A242,$B242)</f>
        <v>30498929.82616657</v>
      </c>
      <c r="P242" s="4">
        <f ca="1">_xll.DBRW($B$1,$B$2,$B$7,$B$3,$B$4,$B$5,$F242,$B$6,P$10,$A242,$B242)</f>
        <v>21040028.23753076</v>
      </c>
      <c r="Q242" s="4">
        <f ca="1">_xll.DBRW($B$1,$B$2,$B$7,$B$3,$B$4,$B$5,$F242,$B$6,Q$10,$A242,$B242)</f>
        <v>24943671.72253006</v>
      </c>
      <c r="R242" s="4">
        <f ca="1">_xll.DBRW($B$1,$B$2,$B$7,$B$3,$B$4,$B$5,$F242,$B$6,R$10,$A242,$B242)</f>
        <v>33944659.5</v>
      </c>
      <c r="S242" s="4">
        <f ca="1">_xll.DBRW($B$1,$B$2,$B$7,$B$3,$B$4,$B$5,$F242,$B$6,S$10,$A242,$B242)</f>
        <v>45948018.026947796</v>
      </c>
      <c r="T242" s="4">
        <f ca="1">_xll.DBRW($B$1,$B$2,$B$7,$B$3,$B$4,$B$5,$F242,$B$6,T$10,$A242,$B242)</f>
        <v>28623654.808560722</v>
      </c>
      <c r="U242" s="4">
        <f ca="1">_xll.DBRW($B$1,$B$2,$B$7,$B$3,$B$4,$B$5,$F242,$B$6,U$10,$A242,$B242)</f>
        <v>27549979.68940936</v>
      </c>
      <c r="V242" s="4">
        <f ca="1">_xll.DBRW($B$1,$B$2,$B$7,$B$3,$B$4,$B$5,$F242,$B$6,V$10,$A242,$B242)</f>
        <v>30987669.55276797</v>
      </c>
      <c r="W242" s="4">
        <f ca="1">_xll.DBRW($B$1,$B$2,$B$7,$B$3,$B$4,$B$5,$F242,$B$6,W$10,$A242,$B242)</f>
        <v>28057803.321568675</v>
      </c>
      <c r="X242" s="4">
        <f ca="1">_xll.DBRW($B$1,$B$2,$B$7,$B$3,$B$4,$B$5,$F242,$B$6,X$10,$A242,$B242)</f>
        <v>28420617.09889454</v>
      </c>
      <c r="Y242" s="4">
        <f ca="1">_xll.DBRW($B$1,$B$2,$B$7,$B$3,$B$4,$B$5,$F242,$B$6,Y$10,$A242,$B242)</f>
        <v>30184716.844718724</v>
      </c>
      <c r="Z242" s="4">
        <f ca="1">_xll.DBRW($B$1,$B$2,$B$7,$B$3,$B$4,$B$5,$F242,$B$6,Z$10,$A242,$B242)</f>
        <v>32523341.964635592</v>
      </c>
      <c r="AA242" s="4">
        <f ca="1">_xll.DBRW($B$1,$B$2,$B$7,$B$3,$B$4,$B$5,$F242,$B$6,AA$10,$A242,$B242)</f>
        <v>35071298.187069938</v>
      </c>
      <c r="AB242" s="4">
        <f ca="1">_xll.DBRW($B$1,$B$2,$B$7,$B$3,$B$4,$B$5,$F242,$B$6,AB$10,$A242,$B242)</f>
        <v>23679392.277155943</v>
      </c>
      <c r="AC242" s="4">
        <f ca="1">_xll.DBRW($B$1,$B$2,$B$7,$B$3,$B$4,$B$5,$F242,$B$6,AC$10,$A242,$B242)</f>
        <v>28047765.583711699</v>
      </c>
      <c r="AD242" s="4">
        <f ca="1">_xll.DBRW($B$1,$B$2,$B$7,$B$3,$B$4,$B$5,$F242,$B$6,AD$10,$A242,$B242)</f>
        <v>29565704.877382237</v>
      </c>
      <c r="AE242" s="4">
        <f ca="1">_xll.DBRW($B$1,$B$2,$B$7,$B$3,$B$4,$B$5,$F242,$B$6,AE$10,$A242,$B242)</f>
        <v>34249769.446470723</v>
      </c>
    </row>
    <row r="243" spans="1:31">
      <c r="A243" s="1" t="s">
        <v>153</v>
      </c>
      <c r="B243" s="5" t="s">
        <v>165</v>
      </c>
      <c r="C243" s="5" t="s">
        <v>166</v>
      </c>
      <c r="D243" s="5" t="s">
        <v>21</v>
      </c>
      <c r="E243" s="5" t="s">
        <v>31</v>
      </c>
      <c r="F243" s="5" t="s">
        <v>25</v>
      </c>
      <c r="G243" s="6"/>
      <c r="H243" s="6"/>
      <c r="I243" s="6"/>
      <c r="J243" s="6"/>
      <c r="K243" s="6"/>
      <c r="L243" s="4">
        <f ca="1">_xll.DBRW($B$1,$B$2,$B$7,$B$3,$B$4,$B$5,$F243,$B$6,L$10,$A243,$B243)</f>
        <v>20371334.199999996</v>
      </c>
      <c r="M243" s="4">
        <f ca="1">_xll.DBRW($B$1,$B$2,$B$7,$B$3,$B$4,$B$5,$F243,$B$6,M$10,$A243,$B243)</f>
        <v>26451876.907928966</v>
      </c>
      <c r="N243" s="4">
        <f ca="1">_xll.DBRW($B$1,$B$2,$B$7,$B$3,$B$4,$B$5,$F243,$B$6,N$10,$A243,$B243)</f>
        <v>27614813.84</v>
      </c>
      <c r="O243" s="4">
        <f ca="1">_xll.DBRW($B$1,$B$2,$B$7,$B$3,$B$4,$B$5,$F243,$B$6,O$10,$A243,$B243)</f>
        <v>28485349.099999998</v>
      </c>
      <c r="P243" s="4">
        <f ca="1">_xll.DBRW($B$1,$B$2,$B$7,$B$3,$B$4,$B$5,$F243,$B$6,P$10,$A243,$B243)</f>
        <v>21461539.199999996</v>
      </c>
      <c r="Q243" s="4">
        <f ca="1">_xll.DBRW($B$1,$B$2,$B$7,$B$3,$B$4,$B$5,$F243,$B$6,Q$10,$A243,$B243)</f>
        <v>20685733.559999999</v>
      </c>
      <c r="R243" s="4">
        <f ca="1">_xll.DBRW($B$1,$B$2,$B$7,$B$3,$B$4,$B$5,$F243,$B$6,R$10,$A243,$B243)</f>
        <v>17981289.600000001</v>
      </c>
      <c r="S243" s="4">
        <f ca="1">_xll.DBRW($B$1,$B$2,$B$7,$B$3,$B$4,$B$5,$F243,$B$6,S$10,$A243,$B243)</f>
        <v>23375676.48</v>
      </c>
      <c r="T243" s="4">
        <f ca="1">_xll.DBRW($B$1,$B$2,$B$7,$B$3,$B$4,$B$5,$F243,$B$6,T$10,$A243,$B243)</f>
        <v>16317369.862483183</v>
      </c>
      <c r="U243" s="4">
        <f ca="1">_xll.DBRW($B$1,$B$2,$B$7,$B$3,$B$4,$B$5,$F243,$B$6,U$10,$A243,$B243)</f>
        <v>11579197.271474311</v>
      </c>
      <c r="V243" s="4">
        <f ca="1">_xll.DBRW($B$1,$B$2,$B$7,$B$3,$B$4,$B$5,$F243,$B$6,V$10,$A243,$B243)</f>
        <v>19031916.63288499</v>
      </c>
      <c r="W243" s="4">
        <f ca="1">_xll.DBRW($B$1,$B$2,$B$7,$B$3,$B$4,$B$5,$F243,$B$6,W$10,$A243,$B243)</f>
        <v>22894418.471755795</v>
      </c>
      <c r="X243" s="4">
        <f ca="1">_xll.DBRW($B$1,$B$2,$B$7,$B$3,$B$4,$B$5,$F243,$B$6,X$10,$A243,$B243)</f>
        <v>26210808.7076446</v>
      </c>
      <c r="Y243" s="4">
        <f ca="1">_xll.DBRW($B$1,$B$2,$B$7,$B$3,$B$4,$B$5,$F243,$B$6,Y$10,$A243,$B243)</f>
        <v>26121830.73121196</v>
      </c>
      <c r="Z243" s="4">
        <f ca="1">_xll.DBRW($B$1,$B$2,$B$7,$B$3,$B$4,$B$5,$F243,$B$6,Z$10,$A243,$B243)</f>
        <v>28909921.918463975</v>
      </c>
      <c r="AA243" s="4">
        <f ca="1">_xll.DBRW($B$1,$B$2,$B$7,$B$3,$B$4,$B$5,$F243,$B$6,AA$10,$A243,$B243)</f>
        <v>28793722.243241355</v>
      </c>
      <c r="AB243" s="4">
        <f ca="1">_xll.DBRW($B$1,$B$2,$B$7,$B$3,$B$4,$B$5,$F243,$B$6,AB$10,$A243,$B243)</f>
        <v>22894872.28283764</v>
      </c>
      <c r="AC243" s="4">
        <f ca="1">_xll.DBRW($B$1,$B$2,$B$7,$B$3,$B$4,$B$5,$F243,$B$6,AC$10,$A243,$B243)</f>
        <v>21676417.656774506</v>
      </c>
      <c r="AD243" s="4">
        <f ca="1">_xll.DBRW($B$1,$B$2,$B$7,$B$3,$B$4,$B$5,$F243,$B$6,AD$10,$A243,$B243)</f>
        <v>20079910.029029757</v>
      </c>
      <c r="AE243" s="4">
        <f ca="1">_xll.DBRW($B$1,$B$2,$B$7,$B$3,$B$4,$B$5,$F243,$B$6,AE$10,$A243,$B243)</f>
        <v>25165357.269090477</v>
      </c>
    </row>
    <row r="244" spans="1:31">
      <c r="A244" s="1" t="s">
        <v>153</v>
      </c>
      <c r="B244" s="5" t="s">
        <v>29</v>
      </c>
      <c r="C244" s="5" t="s">
        <v>30</v>
      </c>
      <c r="D244" s="5" t="s">
        <v>31</v>
      </c>
      <c r="E244" s="5" t="s">
        <v>21</v>
      </c>
      <c r="F244" s="5" t="s">
        <v>25</v>
      </c>
      <c r="G244" s="6"/>
      <c r="H244" s="6"/>
      <c r="I244" s="6"/>
      <c r="J244" s="6"/>
      <c r="K244" s="6"/>
      <c r="L244" s="4">
        <f ca="1">_xll.DBRW($B$1,$B$2,$B$7,$B$3,$B$4,$B$5,$F244,$B$6,L$10,$A244,$B244)</f>
        <v>20371334.199999996</v>
      </c>
      <c r="M244" s="4">
        <f ca="1">_xll.DBRW($B$1,$B$2,$B$7,$B$3,$B$4,$B$5,$F244,$B$6,M$10,$A244,$B244)</f>
        <v>26451876.907928966</v>
      </c>
      <c r="N244" s="4">
        <f ca="1">_xll.DBRW($B$1,$B$2,$B$7,$B$3,$B$4,$B$5,$F244,$B$6,N$10,$A244,$B244)</f>
        <v>27614813.84</v>
      </c>
      <c r="O244" s="4">
        <f ca="1">_xll.DBRW($B$1,$B$2,$B$7,$B$3,$B$4,$B$5,$F244,$B$6,O$10,$A244,$B244)</f>
        <v>28485349.099999998</v>
      </c>
      <c r="P244" s="4">
        <f ca="1">_xll.DBRW($B$1,$B$2,$B$7,$B$3,$B$4,$B$5,$F244,$B$6,P$10,$A244,$B244)</f>
        <v>21461539.199999996</v>
      </c>
      <c r="Q244" s="4">
        <f ca="1">_xll.DBRW($B$1,$B$2,$B$7,$B$3,$B$4,$B$5,$F244,$B$6,Q$10,$A244,$B244)</f>
        <v>20685733.559999999</v>
      </c>
      <c r="R244" s="4">
        <f ca="1">_xll.DBRW($B$1,$B$2,$B$7,$B$3,$B$4,$B$5,$F244,$B$6,R$10,$A244,$B244)</f>
        <v>17981289.600000001</v>
      </c>
      <c r="S244" s="4">
        <f ca="1">_xll.DBRW($B$1,$B$2,$B$7,$B$3,$B$4,$B$5,$F244,$B$6,S$10,$A244,$B244)</f>
        <v>23375676.48</v>
      </c>
      <c r="T244" s="4">
        <f ca="1">_xll.DBRW($B$1,$B$2,$B$7,$B$3,$B$4,$B$5,$F244,$B$6,T$10,$A244,$B244)</f>
        <v>16317369.862483183</v>
      </c>
      <c r="U244" s="4">
        <f ca="1">_xll.DBRW($B$1,$B$2,$B$7,$B$3,$B$4,$B$5,$F244,$B$6,U$10,$A244,$B244)</f>
        <v>11579197.271474311</v>
      </c>
      <c r="V244" s="4">
        <f ca="1">_xll.DBRW($B$1,$B$2,$B$7,$B$3,$B$4,$B$5,$F244,$B$6,V$10,$A244,$B244)</f>
        <v>19031916.63288499</v>
      </c>
      <c r="W244" s="4">
        <f ca="1">_xll.DBRW($B$1,$B$2,$B$7,$B$3,$B$4,$B$5,$F244,$B$6,W$10,$A244,$B244)</f>
        <v>22894418.471755795</v>
      </c>
      <c r="X244" s="4">
        <f ca="1">_xll.DBRW($B$1,$B$2,$B$7,$B$3,$B$4,$B$5,$F244,$B$6,X$10,$A244,$B244)</f>
        <v>26210808.7076446</v>
      </c>
      <c r="Y244" s="4">
        <f ca="1">_xll.DBRW($B$1,$B$2,$B$7,$B$3,$B$4,$B$5,$F244,$B$6,Y$10,$A244,$B244)</f>
        <v>26121830.73121196</v>
      </c>
      <c r="Z244" s="4">
        <f ca="1">_xll.DBRW($B$1,$B$2,$B$7,$B$3,$B$4,$B$5,$F244,$B$6,Z$10,$A244,$B244)</f>
        <v>28909921.918463975</v>
      </c>
      <c r="AA244" s="4">
        <f ca="1">_xll.DBRW($B$1,$B$2,$B$7,$B$3,$B$4,$B$5,$F244,$B$6,AA$10,$A244,$B244)</f>
        <v>28793722.243241355</v>
      </c>
      <c r="AB244" s="4">
        <f ca="1">_xll.DBRW($B$1,$B$2,$B$7,$B$3,$B$4,$B$5,$F244,$B$6,AB$10,$A244,$B244)</f>
        <v>22894872.28283764</v>
      </c>
      <c r="AC244" s="4">
        <f ca="1">_xll.DBRW($B$1,$B$2,$B$7,$B$3,$B$4,$B$5,$F244,$B$6,AC$10,$A244,$B244)</f>
        <v>20978524.244902857</v>
      </c>
      <c r="AD244" s="4">
        <f ca="1">_xll.DBRW($B$1,$B$2,$B$7,$B$3,$B$4,$B$5,$F244,$B$6,AD$10,$A244,$B244)</f>
        <v>20079910.029029757</v>
      </c>
      <c r="AE244" s="4">
        <f ca="1">_xll.DBRW($B$1,$B$2,$B$7,$B$3,$B$4,$B$5,$F244,$B$6,AE$10,$A244,$B244)</f>
        <v>24355417.486422531</v>
      </c>
    </row>
    <row r="245" spans="1:31">
      <c r="A245" s="1" t="s">
        <v>153</v>
      </c>
      <c r="B245" s="5" t="s">
        <v>167</v>
      </c>
      <c r="C245" s="5" t="s">
        <v>168</v>
      </c>
      <c r="D245" s="5" t="s">
        <v>21</v>
      </c>
      <c r="E245" s="5" t="s">
        <v>76</v>
      </c>
      <c r="F245" s="5" t="s">
        <v>25</v>
      </c>
      <c r="G245" s="6"/>
      <c r="H245" s="6"/>
      <c r="I245" s="6"/>
      <c r="J245" s="6"/>
      <c r="K245" s="6"/>
      <c r="L245" s="4">
        <f ca="1">_xll.DBRW($B$1,$B$2,$B$7,$B$3,$B$4,$B$5,$F245,$B$6,L$10,$A245,$B245)</f>
        <v>34828415.999999993</v>
      </c>
      <c r="M245" s="4">
        <f ca="1">_xll.DBRW($B$1,$B$2,$B$7,$B$3,$B$4,$B$5,$F245,$B$6,M$10,$A245,$B245)</f>
        <v>41879598.591057688</v>
      </c>
      <c r="N245" s="4">
        <f ca="1">_xll.DBRW($B$1,$B$2,$B$7,$B$3,$B$4,$B$5,$F245,$B$6,N$10,$A245,$B245)</f>
        <v>42291648</v>
      </c>
      <c r="O245" s="4">
        <f ca="1">_xll.DBRW($B$1,$B$2,$B$7,$B$3,$B$4,$B$5,$F245,$B$6,O$10,$A245,$B245)</f>
        <v>40301452.800000004</v>
      </c>
      <c r="P245" s="4">
        <f ca="1">_xll.DBRW($B$1,$B$2,$B$7,$B$3,$B$4,$B$5,$F245,$B$6,P$10,$A245,$B245)</f>
        <v>37515179.520000003</v>
      </c>
      <c r="Q245" s="4">
        <f ca="1">_xll.DBRW($B$1,$B$2,$B$7,$B$3,$B$4,$B$5,$F245,$B$6,Q$10,$A245,$B245)</f>
        <v>31262649.600000005</v>
      </c>
      <c r="R245" s="4">
        <f ca="1">_xll.DBRW($B$1,$B$2,$B$7,$B$3,$B$4,$B$5,$F245,$B$6,R$10,$A245,$B245)</f>
        <v>33667468.799999997</v>
      </c>
      <c r="S245" s="4">
        <f ca="1">_xll.DBRW($B$1,$B$2,$B$7,$B$3,$B$4,$B$5,$F245,$B$6,S$10,$A245,$B245)</f>
        <v>35823513.599999994</v>
      </c>
      <c r="T245" s="4">
        <f ca="1">_xll.DBRW($B$1,$B$2,$B$7,$B$3,$B$4,$B$5,$F245,$B$6,T$10,$A245,$B245)</f>
        <v>44245733.680710778</v>
      </c>
      <c r="U245" s="4">
        <f ca="1">_xll.DBRW($B$1,$B$2,$B$7,$B$3,$B$4,$B$5,$F245,$B$6,U$10,$A245,$B245)</f>
        <v>39538441.570274688</v>
      </c>
      <c r="V245" s="4">
        <f ca="1">_xll.DBRW($B$1,$B$2,$B$7,$B$3,$B$4,$B$5,$F245,$B$6,V$10,$A245,$B245)</f>
        <v>40010001.332553715</v>
      </c>
      <c r="W245" s="4">
        <f ca="1">_xll.DBRW($B$1,$B$2,$B$7,$B$3,$B$4,$B$5,$F245,$B$6,W$10,$A245,$B245)</f>
        <v>29718089.816706769</v>
      </c>
      <c r="X245" s="4">
        <f ca="1">_xll.DBRW($B$1,$B$2,$B$7,$B$3,$B$4,$B$5,$F245,$B$6,X$10,$A245,$B245)</f>
        <v>33209210.677937638</v>
      </c>
      <c r="Y245" s="4">
        <f ca="1">_xll.DBRW($B$1,$B$2,$B$7,$B$3,$B$4,$B$5,$F245,$B$6,Y$10,$A245,$B245)</f>
        <v>44371246.725981511</v>
      </c>
      <c r="Z245" s="4">
        <f ca="1">_xll.DBRW($B$1,$B$2,$B$7,$B$3,$B$4,$B$5,$F245,$B$6,Z$10,$A245,$B245)</f>
        <v>45588044.540411353</v>
      </c>
      <c r="AA245" s="4">
        <f ca="1">_xll.DBRW($B$1,$B$2,$B$7,$B$3,$B$4,$B$5,$F245,$B$6,AA$10,$A245,$B245)</f>
        <v>43273649.050789863</v>
      </c>
      <c r="AB245" s="4">
        <f ca="1">_xll.DBRW($B$1,$B$2,$B$7,$B$3,$B$4,$B$5,$F245,$B$6,AB$10,$A245,$B245)</f>
        <v>40431940.157466397</v>
      </c>
      <c r="AC245" s="4">
        <f ca="1">_xll.DBRW($B$1,$B$2,$B$7,$B$3,$B$4,$B$5,$F245,$B$6,AC$10,$A245,$B245)</f>
        <v>33024855.594368227</v>
      </c>
      <c r="AD245" s="4">
        <f ca="1">_xll.DBRW($B$1,$B$2,$B$7,$B$3,$B$4,$B$5,$F245,$B$6,AD$10,$A245,$B245)</f>
        <v>44068568.553258404</v>
      </c>
      <c r="AE245" s="4">
        <f ca="1">_xll.DBRW($B$1,$B$2,$B$7,$B$3,$B$4,$B$5,$F245,$B$6,AE$10,$A245,$B245)</f>
        <v>48787966.316777438</v>
      </c>
    </row>
    <row r="246" spans="1:31">
      <c r="A246" s="1" t="s">
        <v>153</v>
      </c>
      <c r="B246" s="5" t="s">
        <v>74</v>
      </c>
      <c r="C246" s="5" t="s">
        <v>75</v>
      </c>
      <c r="D246" s="5" t="s">
        <v>76</v>
      </c>
      <c r="E246" s="5" t="s">
        <v>21</v>
      </c>
      <c r="F246" s="5" t="s">
        <v>25</v>
      </c>
      <c r="G246" s="6"/>
      <c r="H246" s="6"/>
      <c r="I246" s="6"/>
      <c r="J246" s="6"/>
      <c r="K246" s="6"/>
      <c r="L246" s="4">
        <f ca="1">_xll.DBRW($B$1,$B$2,$B$7,$B$3,$B$4,$B$5,$F246,$B$6,L$10,$A246,$B246)</f>
        <v>34828415.999999993</v>
      </c>
      <c r="M246" s="4">
        <f ca="1">_xll.DBRW($B$1,$B$2,$B$7,$B$3,$B$4,$B$5,$F246,$B$6,M$10,$A246,$B246)</f>
        <v>41879598.591057688</v>
      </c>
      <c r="N246" s="4">
        <f ca="1">_xll.DBRW($B$1,$B$2,$B$7,$B$3,$B$4,$B$5,$F246,$B$6,N$10,$A246,$B246)</f>
        <v>42291648</v>
      </c>
      <c r="O246" s="4">
        <f ca="1">_xll.DBRW($B$1,$B$2,$B$7,$B$3,$B$4,$B$5,$F246,$B$6,O$10,$A246,$B246)</f>
        <v>40301452.800000004</v>
      </c>
      <c r="P246" s="4">
        <f ca="1">_xll.DBRW($B$1,$B$2,$B$7,$B$3,$B$4,$B$5,$F246,$B$6,P$10,$A246,$B246)</f>
        <v>37515179.520000003</v>
      </c>
      <c r="Q246" s="4">
        <f ca="1">_xll.DBRW($B$1,$B$2,$B$7,$B$3,$B$4,$B$5,$F246,$B$6,Q$10,$A246,$B246)</f>
        <v>31262649.600000005</v>
      </c>
      <c r="R246" s="4">
        <f ca="1">_xll.DBRW($B$1,$B$2,$B$7,$B$3,$B$4,$B$5,$F246,$B$6,R$10,$A246,$B246)</f>
        <v>33667468.799999997</v>
      </c>
      <c r="S246" s="4">
        <f ca="1">_xll.DBRW($B$1,$B$2,$B$7,$B$3,$B$4,$B$5,$F246,$B$6,S$10,$A246,$B246)</f>
        <v>35823513.599999994</v>
      </c>
      <c r="T246" s="4">
        <f ca="1">_xll.DBRW($B$1,$B$2,$B$7,$B$3,$B$4,$B$5,$F246,$B$6,T$10,$A246,$B246)</f>
        <v>44245733.680710778</v>
      </c>
      <c r="U246" s="4">
        <f ca="1">_xll.DBRW($B$1,$B$2,$B$7,$B$3,$B$4,$B$5,$F246,$B$6,U$10,$A246,$B246)</f>
        <v>39538441.570274688</v>
      </c>
      <c r="V246" s="4">
        <f ca="1">_xll.DBRW($B$1,$B$2,$B$7,$B$3,$B$4,$B$5,$F246,$B$6,V$10,$A246,$B246)</f>
        <v>40010001.332553715</v>
      </c>
      <c r="W246" s="4">
        <f ca="1">_xll.DBRW($B$1,$B$2,$B$7,$B$3,$B$4,$B$5,$F246,$B$6,W$10,$A246,$B246)</f>
        <v>29718089.816706769</v>
      </c>
      <c r="X246" s="4">
        <f ca="1">_xll.DBRW($B$1,$B$2,$B$7,$B$3,$B$4,$B$5,$F246,$B$6,X$10,$A246,$B246)</f>
        <v>33209210.677937638</v>
      </c>
      <c r="Y246" s="4">
        <f ca="1">_xll.DBRW($B$1,$B$2,$B$7,$B$3,$B$4,$B$5,$F246,$B$6,Y$10,$A246,$B246)</f>
        <v>44371246.725981511</v>
      </c>
      <c r="Z246" s="4">
        <f ca="1">_xll.DBRW($B$1,$B$2,$B$7,$B$3,$B$4,$B$5,$F246,$B$6,Z$10,$A246,$B246)</f>
        <v>45588044.540411353</v>
      </c>
      <c r="AA246" s="4">
        <f ca="1">_xll.DBRW($B$1,$B$2,$B$7,$B$3,$B$4,$B$5,$F246,$B$6,AA$10,$A246,$B246)</f>
        <v>43273649.050789863</v>
      </c>
      <c r="AB246" s="4">
        <f ca="1">_xll.DBRW($B$1,$B$2,$B$7,$B$3,$B$4,$B$5,$F246,$B$6,AB$10,$A246,$B246)</f>
        <v>40431940.157466397</v>
      </c>
      <c r="AC246" s="4">
        <f ca="1">_xll.DBRW($B$1,$B$2,$B$7,$B$3,$B$4,$B$5,$F246,$B$6,AC$10,$A246,$B246)</f>
        <v>33024855.594368227</v>
      </c>
      <c r="AD246" s="4">
        <f ca="1">_xll.DBRW($B$1,$B$2,$B$7,$B$3,$B$4,$B$5,$F246,$B$6,AD$10,$A246,$B246)</f>
        <v>44068568.553258404</v>
      </c>
      <c r="AE246" s="4">
        <f ca="1">_xll.DBRW($B$1,$B$2,$B$7,$B$3,$B$4,$B$5,$F246,$B$6,AE$10,$A246,$B246)</f>
        <v>48787966.316777438</v>
      </c>
    </row>
    <row r="247" spans="1:31">
      <c r="A247" s="1" t="s">
        <v>153</v>
      </c>
      <c r="B247" s="5" t="s">
        <v>169</v>
      </c>
      <c r="C247" s="5" t="s">
        <v>170</v>
      </c>
      <c r="D247" s="5" t="s">
        <v>21</v>
      </c>
      <c r="E247" s="5" t="s">
        <v>35</v>
      </c>
      <c r="F247" s="5" t="s">
        <v>25</v>
      </c>
      <c r="G247" s="6"/>
      <c r="H247" s="6"/>
      <c r="I247" s="6"/>
      <c r="J247" s="6"/>
      <c r="K247" s="6"/>
      <c r="L247" s="4">
        <f ca="1">_xll.DBRW($B$1,$B$2,$B$7,$B$3,$B$4,$B$5,$F247,$B$6,L$10,$A247,$B247)</f>
        <v>30818990.349999998</v>
      </c>
      <c r="M247" s="4">
        <f ca="1">_xll.DBRW($B$1,$B$2,$B$7,$B$3,$B$4,$B$5,$F247,$B$6,M$10,$A247,$B247)</f>
        <v>33366404.496594585</v>
      </c>
      <c r="N247" s="4">
        <f ca="1">_xll.DBRW($B$1,$B$2,$B$7,$B$3,$B$4,$B$5,$F247,$B$6,N$10,$A247,$B247)</f>
        <v>37070596.699999996</v>
      </c>
      <c r="O247" s="4">
        <f ca="1">_xll.DBRW($B$1,$B$2,$B$7,$B$3,$B$4,$B$5,$F247,$B$6,O$10,$A247,$B247)</f>
        <v>34915329.449999996</v>
      </c>
      <c r="P247" s="4">
        <f ca="1">_xll.DBRW($B$1,$B$2,$B$7,$B$3,$B$4,$B$5,$F247,$B$6,P$10,$A247,$B247)</f>
        <v>22273067.25</v>
      </c>
      <c r="Q247" s="4">
        <f ca="1">_xll.DBRW($B$1,$B$2,$B$7,$B$3,$B$4,$B$5,$F247,$B$6,Q$10,$A247,$B247)</f>
        <v>21482970.239999998</v>
      </c>
      <c r="R247" s="4">
        <f ca="1">_xll.DBRW($B$1,$B$2,$B$7,$B$3,$B$4,$B$5,$F247,$B$6,R$10,$A247,$B247)</f>
        <v>19968691.599999998</v>
      </c>
      <c r="S247" s="4">
        <f ca="1">_xll.DBRW($B$1,$B$2,$B$7,$B$3,$B$4,$B$5,$F247,$B$6,S$10,$A247,$B247)</f>
        <v>23469188.800000001</v>
      </c>
      <c r="T247" s="4">
        <f ca="1">_xll.DBRW($B$1,$B$2,$B$7,$B$3,$B$4,$B$5,$F247,$B$6,T$10,$A247,$B247)</f>
        <v>16562023.750814587</v>
      </c>
      <c r="U247" s="4">
        <f ca="1">_xll.DBRW($B$1,$B$2,$B$7,$B$3,$B$4,$B$5,$F247,$B$6,U$10,$A247,$B247)</f>
        <v>12087947.645084927</v>
      </c>
      <c r="V247" s="4">
        <f ca="1">_xll.DBRW($B$1,$B$2,$B$7,$B$3,$B$4,$B$5,$F247,$B$6,V$10,$A247,$B247)</f>
        <v>22699500.740140609</v>
      </c>
      <c r="W247" s="4">
        <f ca="1">_xll.DBRW($B$1,$B$2,$B$7,$B$3,$B$4,$B$5,$F247,$B$6,W$10,$A247,$B247)</f>
        <v>32588488.096171841</v>
      </c>
      <c r="X247" s="4">
        <f ca="1">_xll.DBRW($B$1,$B$2,$B$7,$B$3,$B$4,$B$5,$F247,$B$6,X$10,$A247,$B247)</f>
        <v>36597922.441434361</v>
      </c>
      <c r="Y247" s="4">
        <f ca="1">_xll.DBRW($B$1,$B$2,$B$7,$B$3,$B$4,$B$5,$F247,$B$6,Y$10,$A247,$B247)</f>
        <v>39771764.289441384</v>
      </c>
      <c r="Z247" s="4">
        <f ca="1">_xll.DBRW($B$1,$B$2,$B$7,$B$3,$B$4,$B$5,$F247,$B$6,Z$10,$A247,$B247)</f>
        <v>41509484.716148533</v>
      </c>
      <c r="AA247" s="4">
        <f ca="1">_xll.DBRW($B$1,$B$2,$B$7,$B$3,$B$4,$B$5,$F247,$B$6,AA$10,$A247,$B247)</f>
        <v>37180321.732511453</v>
      </c>
      <c r="AB247" s="4">
        <f ca="1">_xll.DBRW($B$1,$B$2,$B$7,$B$3,$B$4,$B$5,$F247,$B$6,AB$10,$A247,$B247)</f>
        <v>27741953.559635703</v>
      </c>
      <c r="AC247" s="4">
        <f ca="1">_xll.DBRW($B$1,$B$2,$B$7,$B$3,$B$4,$B$5,$F247,$B$6,AC$10,$A247,$B247)</f>
        <v>29983043.441391863</v>
      </c>
      <c r="AD247" s="4">
        <f ca="1">_xll.DBRW($B$1,$B$2,$B$7,$B$3,$B$4,$B$5,$F247,$B$6,AD$10,$A247,$B247)</f>
        <v>19418237.537915073</v>
      </c>
      <c r="AE247" s="4">
        <f ca="1">_xll.DBRW($B$1,$B$2,$B$7,$B$3,$B$4,$B$5,$F247,$B$6,AE$10,$A247,$B247)</f>
        <v>28485457.222852182</v>
      </c>
    </row>
    <row r="248" spans="1:31">
      <c r="A248" s="1" t="s">
        <v>153</v>
      </c>
      <c r="B248" s="5" t="s">
        <v>33</v>
      </c>
      <c r="C248" s="5" t="s">
        <v>34</v>
      </c>
      <c r="D248" s="5" t="s">
        <v>35</v>
      </c>
      <c r="E248" s="5" t="s">
        <v>21</v>
      </c>
      <c r="F248" s="5" t="s">
        <v>25</v>
      </c>
      <c r="G248" s="6"/>
      <c r="H248" s="6"/>
      <c r="I248" s="6"/>
      <c r="J248" s="6"/>
      <c r="K248" s="6"/>
      <c r="L248" s="4">
        <f ca="1">_xll.DBRW($B$1,$B$2,$B$7,$B$3,$B$4,$B$5,$F248,$B$6,L$10,$A248,$B248)</f>
        <v>30818990.349999998</v>
      </c>
      <c r="M248" s="4">
        <f ca="1">_xll.DBRW($B$1,$B$2,$B$7,$B$3,$B$4,$B$5,$F248,$B$6,M$10,$A248,$B248)</f>
        <v>33366404.496594585</v>
      </c>
      <c r="N248" s="4">
        <f ca="1">_xll.DBRW($B$1,$B$2,$B$7,$B$3,$B$4,$B$5,$F248,$B$6,N$10,$A248,$B248)</f>
        <v>37070596.699999996</v>
      </c>
      <c r="O248" s="4">
        <f ca="1">_xll.DBRW($B$1,$B$2,$B$7,$B$3,$B$4,$B$5,$F248,$B$6,O$10,$A248,$B248)</f>
        <v>34915329.449999996</v>
      </c>
      <c r="P248" s="4">
        <f ca="1">_xll.DBRW($B$1,$B$2,$B$7,$B$3,$B$4,$B$5,$F248,$B$6,P$10,$A248,$B248)</f>
        <v>22273067.25</v>
      </c>
      <c r="Q248" s="4">
        <f ca="1">_xll.DBRW($B$1,$B$2,$B$7,$B$3,$B$4,$B$5,$F248,$B$6,Q$10,$A248,$B248)</f>
        <v>21482970.239999998</v>
      </c>
      <c r="R248" s="4">
        <f ca="1">_xll.DBRW($B$1,$B$2,$B$7,$B$3,$B$4,$B$5,$F248,$B$6,R$10,$A248,$B248)</f>
        <v>19968691.599999998</v>
      </c>
      <c r="S248" s="4">
        <f ca="1">_xll.DBRW($B$1,$B$2,$B$7,$B$3,$B$4,$B$5,$F248,$B$6,S$10,$A248,$B248)</f>
        <v>23469188.800000001</v>
      </c>
      <c r="T248" s="4">
        <f ca="1">_xll.DBRW($B$1,$B$2,$B$7,$B$3,$B$4,$B$5,$F248,$B$6,T$10,$A248,$B248)</f>
        <v>16562023.750814587</v>
      </c>
      <c r="U248" s="4">
        <f ca="1">_xll.DBRW($B$1,$B$2,$B$7,$B$3,$B$4,$B$5,$F248,$B$6,U$10,$A248,$B248)</f>
        <v>12087947.645084927</v>
      </c>
      <c r="V248" s="4">
        <f ca="1">_xll.DBRW($B$1,$B$2,$B$7,$B$3,$B$4,$B$5,$F248,$B$6,V$10,$A248,$B248)</f>
        <v>22699500.740140609</v>
      </c>
      <c r="W248" s="4">
        <f ca="1">_xll.DBRW($B$1,$B$2,$B$7,$B$3,$B$4,$B$5,$F248,$B$6,W$10,$A248,$B248)</f>
        <v>32588488.096171841</v>
      </c>
      <c r="X248" s="4">
        <f ca="1">_xll.DBRW($B$1,$B$2,$B$7,$B$3,$B$4,$B$5,$F248,$B$6,X$10,$A248,$B248)</f>
        <v>36597922.441434361</v>
      </c>
      <c r="Y248" s="4">
        <f ca="1">_xll.DBRW($B$1,$B$2,$B$7,$B$3,$B$4,$B$5,$F248,$B$6,Y$10,$A248,$B248)</f>
        <v>39771764.289441384</v>
      </c>
      <c r="Z248" s="4">
        <f ca="1">_xll.DBRW($B$1,$B$2,$B$7,$B$3,$B$4,$B$5,$F248,$B$6,Z$10,$A248,$B248)</f>
        <v>41509484.716148533</v>
      </c>
      <c r="AA248" s="4">
        <f ca="1">_xll.DBRW($B$1,$B$2,$B$7,$B$3,$B$4,$B$5,$F248,$B$6,AA$10,$A248,$B248)</f>
        <v>37180321.732511453</v>
      </c>
      <c r="AB248" s="4">
        <f ca="1">_xll.DBRW($B$1,$B$2,$B$7,$B$3,$B$4,$B$5,$F248,$B$6,AB$10,$A248,$B248)</f>
        <v>27741953.559635703</v>
      </c>
      <c r="AC248" s="4">
        <f ca="1">_xll.DBRW($B$1,$B$2,$B$7,$B$3,$B$4,$B$5,$F248,$B$6,AC$10,$A248,$B248)</f>
        <v>29188477.757871233</v>
      </c>
      <c r="AD248" s="4">
        <f ca="1">_xll.DBRW($B$1,$B$2,$B$7,$B$3,$B$4,$B$5,$F248,$B$6,AD$10,$A248,$B248)</f>
        <v>19418237.537915073</v>
      </c>
      <c r="AE248" s="4">
        <f ca="1">_xll.DBRW($B$1,$B$2,$B$7,$B$3,$B$4,$B$5,$F248,$B$6,AE$10,$A248,$B248)</f>
        <v>28485457.222852182</v>
      </c>
    </row>
    <row r="249" spans="1:31">
      <c r="A249" s="1" t="s">
        <v>153</v>
      </c>
      <c r="B249" s="5" t="s">
        <v>171</v>
      </c>
      <c r="C249" s="5" t="s">
        <v>163</v>
      </c>
      <c r="D249" s="5" t="s">
        <v>21</v>
      </c>
      <c r="E249" s="5" t="s">
        <v>54</v>
      </c>
      <c r="F249" s="5" t="s">
        <v>25</v>
      </c>
      <c r="G249" s="6"/>
      <c r="H249" s="6"/>
      <c r="I249" s="6"/>
      <c r="J249" s="6"/>
      <c r="K249" s="6"/>
      <c r="L249" s="4">
        <f ca="1">_xll.DBRW($B$1,$B$2,$B$7,$B$3,$B$4,$B$5,$F249,$B$6,L$10,$A249,$B249)</f>
        <v>43329300</v>
      </c>
      <c r="M249" s="4">
        <f ca="1">_xll.DBRW($B$1,$B$2,$B$7,$B$3,$B$4,$B$5,$F249,$B$6,M$10,$A249,$B249)</f>
        <v>52101527.994598314</v>
      </c>
      <c r="N249" s="4">
        <f ca="1">_xll.DBRW($B$1,$B$2,$B$7,$B$3,$B$4,$B$5,$F249,$B$6,N$10,$A249,$B249)</f>
        <v>51789708</v>
      </c>
      <c r="O249" s="4">
        <f ca="1">_xll.DBRW($B$1,$B$2,$B$7,$B$3,$B$4,$B$5,$F249,$B$6,O$10,$A249,$B249)</f>
        <v>43897190.399999991</v>
      </c>
      <c r="P249" s="4">
        <f ca="1">_xll.DBRW($B$1,$B$2,$B$7,$B$3,$B$4,$B$5,$F249,$B$6,P$10,$A249,$B249)</f>
        <v>43808248.999999993</v>
      </c>
      <c r="Q249" s="4">
        <f ca="1">_xll.DBRW($B$1,$B$2,$B$7,$B$3,$B$4,$B$5,$F249,$B$6,Q$10,$A249,$B249)</f>
        <v>42007910</v>
      </c>
      <c r="R249" s="4">
        <f ca="1">_xll.DBRW($B$1,$B$2,$B$7,$B$3,$B$4,$B$5,$F249,$B$6,R$10,$A249,$B249)</f>
        <v>34389504.000000007</v>
      </c>
      <c r="S249" s="4">
        <f ca="1">_xll.DBRW($B$1,$B$2,$B$7,$B$3,$B$4,$B$5,$F249,$B$6,S$10,$A249,$B249)</f>
        <v>40761676.800000004</v>
      </c>
      <c r="T249" s="4">
        <f ca="1">_xll.DBRW($B$1,$B$2,$B$7,$B$3,$B$4,$B$5,$F249,$B$6,T$10,$A249,$B249)</f>
        <v>39909457.778898314</v>
      </c>
      <c r="U249" s="4">
        <f ca="1">_xll.DBRW($B$1,$B$2,$B$7,$B$3,$B$4,$B$5,$F249,$B$6,U$10,$A249,$B249)</f>
        <v>32100600.827745527</v>
      </c>
      <c r="V249" s="4">
        <f ca="1">_xll.DBRW($B$1,$B$2,$B$7,$B$3,$B$4,$B$5,$F249,$B$6,V$10,$A249,$B249)</f>
        <v>45589465.755960412</v>
      </c>
      <c r="W249" s="4">
        <f ca="1">_xll.DBRW($B$1,$B$2,$B$7,$B$3,$B$4,$B$5,$F249,$B$6,W$10,$A249,$B249)</f>
        <v>37975395.284076363</v>
      </c>
      <c r="X249" s="4">
        <f ca="1">_xll.DBRW($B$1,$B$2,$B$7,$B$3,$B$4,$B$5,$F249,$B$6,X$10,$A249,$B249)</f>
        <v>38523129.393601283</v>
      </c>
      <c r="Y249" s="4">
        <f ca="1">_xll.DBRW($B$1,$B$2,$B$7,$B$3,$B$4,$B$5,$F249,$B$6,Y$10,$A249,$B249)</f>
        <v>44988841.847284108</v>
      </c>
      <c r="Z249" s="4">
        <f ca="1">_xll.DBRW($B$1,$B$2,$B$7,$B$3,$B$4,$B$5,$F249,$B$6,Z$10,$A249,$B249)</f>
        <v>48883067.355752915</v>
      </c>
      <c r="AA249" s="4">
        <f ca="1">_xll.DBRW($B$1,$B$2,$B$7,$B$3,$B$4,$B$5,$F249,$B$6,AA$10,$A249,$B249)</f>
        <v>45462413.547703251</v>
      </c>
      <c r="AB249" s="4">
        <f ca="1">_xll.DBRW($B$1,$B$2,$B$7,$B$3,$B$4,$B$5,$F249,$B$6,AB$10,$A249,$B249)</f>
        <v>39211172.223806798</v>
      </c>
      <c r="AC249" s="4">
        <f ca="1">_xll.DBRW($B$1,$B$2,$B$7,$B$3,$B$4,$B$5,$F249,$B$6,AC$10,$A249,$B249)</f>
        <v>39550585.220893927</v>
      </c>
      <c r="AD249" s="4">
        <f ca="1">_xll.DBRW($B$1,$B$2,$B$7,$B$3,$B$4,$B$5,$F249,$B$6,AD$10,$A249,$B249)</f>
        <v>45759596.399975196</v>
      </c>
      <c r="AE249" s="4">
        <f ca="1">_xll.DBRW($B$1,$B$2,$B$7,$B$3,$B$4,$B$5,$F249,$B$6,AE$10,$A249,$B249)</f>
        <v>56031220.647427268</v>
      </c>
    </row>
    <row r="250" spans="1:31">
      <c r="A250" s="1" t="s">
        <v>153</v>
      </c>
      <c r="B250" s="5" t="s">
        <v>55</v>
      </c>
      <c r="C250" s="5" t="s">
        <v>53</v>
      </c>
      <c r="D250" s="5" t="s">
        <v>54</v>
      </c>
      <c r="E250" s="5" t="s">
        <v>21</v>
      </c>
      <c r="F250" s="5" t="s">
        <v>25</v>
      </c>
      <c r="G250" s="6"/>
      <c r="H250" s="6"/>
      <c r="I250" s="6"/>
      <c r="J250" s="6"/>
      <c r="K250" s="6"/>
      <c r="L250" s="4">
        <f ca="1">_xll.DBRW($B$1,$B$2,$B$7,$B$3,$B$4,$B$5,$F250,$B$6,L$10,$A250,$B250)</f>
        <v>43329300</v>
      </c>
      <c r="M250" s="4">
        <f ca="1">_xll.DBRW($B$1,$B$2,$B$7,$B$3,$B$4,$B$5,$F250,$B$6,M$10,$A250,$B250)</f>
        <v>52101527.994598314</v>
      </c>
      <c r="N250" s="4">
        <f ca="1">_xll.DBRW($B$1,$B$2,$B$7,$B$3,$B$4,$B$5,$F250,$B$6,N$10,$A250,$B250)</f>
        <v>51789708</v>
      </c>
      <c r="O250" s="4">
        <f ca="1">_xll.DBRW($B$1,$B$2,$B$7,$B$3,$B$4,$B$5,$F250,$B$6,O$10,$A250,$B250)</f>
        <v>43897190.399999991</v>
      </c>
      <c r="P250" s="4">
        <f ca="1">_xll.DBRW($B$1,$B$2,$B$7,$B$3,$B$4,$B$5,$F250,$B$6,P$10,$A250,$B250)</f>
        <v>43808248.999999993</v>
      </c>
      <c r="Q250" s="4">
        <f ca="1">_xll.DBRW($B$1,$B$2,$B$7,$B$3,$B$4,$B$5,$F250,$B$6,Q$10,$A250,$B250)</f>
        <v>42007910</v>
      </c>
      <c r="R250" s="4">
        <f ca="1">_xll.DBRW($B$1,$B$2,$B$7,$B$3,$B$4,$B$5,$F250,$B$6,R$10,$A250,$B250)</f>
        <v>34389504.000000007</v>
      </c>
      <c r="S250" s="4">
        <f ca="1">_xll.DBRW($B$1,$B$2,$B$7,$B$3,$B$4,$B$5,$F250,$B$6,S$10,$A250,$B250)</f>
        <v>40761676.800000004</v>
      </c>
      <c r="T250" s="4">
        <f ca="1">_xll.DBRW($B$1,$B$2,$B$7,$B$3,$B$4,$B$5,$F250,$B$6,T$10,$A250,$B250)</f>
        <v>39909457.778898314</v>
      </c>
      <c r="U250" s="4">
        <f ca="1">_xll.DBRW($B$1,$B$2,$B$7,$B$3,$B$4,$B$5,$F250,$B$6,U$10,$A250,$B250)</f>
        <v>32100600.827745527</v>
      </c>
      <c r="V250" s="4">
        <f ca="1">_xll.DBRW($B$1,$B$2,$B$7,$B$3,$B$4,$B$5,$F250,$B$6,V$10,$A250,$B250)</f>
        <v>45589465.755960412</v>
      </c>
      <c r="W250" s="4">
        <f ca="1">_xll.DBRW($B$1,$B$2,$B$7,$B$3,$B$4,$B$5,$F250,$B$6,W$10,$A250,$B250)</f>
        <v>37975395.284076363</v>
      </c>
      <c r="X250" s="4">
        <f ca="1">_xll.DBRW($B$1,$B$2,$B$7,$B$3,$B$4,$B$5,$F250,$B$6,X$10,$A250,$B250)</f>
        <v>38523129.393601283</v>
      </c>
      <c r="Y250" s="4">
        <f ca="1">_xll.DBRW($B$1,$B$2,$B$7,$B$3,$B$4,$B$5,$F250,$B$6,Y$10,$A250,$B250)</f>
        <v>44988841.847284108</v>
      </c>
      <c r="Z250" s="4">
        <f ca="1">_xll.DBRW($B$1,$B$2,$B$7,$B$3,$B$4,$B$5,$F250,$B$6,Z$10,$A250,$B250)</f>
        <v>48883067.355752915</v>
      </c>
      <c r="AA250" s="4">
        <f ca="1">_xll.DBRW($B$1,$B$2,$B$7,$B$3,$B$4,$B$5,$F250,$B$6,AA$10,$A250,$B250)</f>
        <v>45462413.547703251</v>
      </c>
      <c r="AB250" s="4">
        <f ca="1">_xll.DBRW($B$1,$B$2,$B$7,$B$3,$B$4,$B$5,$F250,$B$6,AB$10,$A250,$B250)</f>
        <v>39211172.223806798</v>
      </c>
      <c r="AC250" s="4">
        <f ca="1">_xll.DBRW($B$1,$B$2,$B$7,$B$3,$B$4,$B$5,$F250,$B$6,AC$10,$A250,$B250)</f>
        <v>38327765.19474069</v>
      </c>
      <c r="AD250" s="4">
        <f ca="1">_xll.DBRW($B$1,$B$2,$B$7,$B$3,$B$4,$B$5,$F250,$B$6,AD$10,$A250,$B250)</f>
        <v>45759596.399975196</v>
      </c>
      <c r="AE250" s="4">
        <f ca="1">_xll.DBRW($B$1,$B$2,$B$7,$B$3,$B$4,$B$5,$F250,$B$6,AE$10,$A250,$B250)</f>
        <v>54223761.916865095</v>
      </c>
    </row>
    <row r="251" spans="1:31">
      <c r="A251" s="1" t="s">
        <v>153</v>
      </c>
      <c r="B251" s="5" t="s">
        <v>172</v>
      </c>
      <c r="C251" s="5" t="s">
        <v>159</v>
      </c>
      <c r="D251" s="5" t="s">
        <v>21</v>
      </c>
      <c r="E251" s="5" t="s">
        <v>38</v>
      </c>
      <c r="F251" s="5" t="s">
        <v>25</v>
      </c>
      <c r="G251" s="6"/>
      <c r="H251" s="6"/>
      <c r="I251" s="6"/>
      <c r="J251" s="6"/>
      <c r="K251" s="6"/>
      <c r="L251" s="4">
        <f ca="1">_xll.DBRW($B$1,$B$2,$B$7,$B$3,$B$4,$B$5,$F251,$B$6,L$10,$A251,$B251)</f>
        <v>28610809.136318173</v>
      </c>
      <c r="M251" s="4">
        <f ca="1">_xll.DBRW($B$1,$B$2,$B$7,$B$3,$B$4,$B$5,$F251,$B$6,M$10,$A251,$B251)</f>
        <v>32676095.224491462</v>
      </c>
      <c r="N251" s="4">
        <f ca="1">_xll.DBRW($B$1,$B$2,$B$7,$B$3,$B$4,$B$5,$F251,$B$6,N$10,$A251,$B251)</f>
        <v>32653630.256403558</v>
      </c>
      <c r="O251" s="4">
        <f ca="1">_xll.DBRW($B$1,$B$2,$B$7,$B$3,$B$4,$B$5,$F251,$B$6,O$10,$A251,$B251)</f>
        <v>37607431.242996529</v>
      </c>
      <c r="P251" s="4">
        <f ca="1">_xll.DBRW($B$1,$B$2,$B$7,$B$3,$B$4,$B$5,$F251,$B$6,P$10,$A251,$B251)</f>
        <v>25914080.900522687</v>
      </c>
      <c r="Q251" s="4">
        <f ca="1">_xll.DBRW($B$1,$B$2,$B$7,$B$3,$B$4,$B$5,$F251,$B$6,Q$10,$A251,$B251)</f>
        <v>30612490.117142405</v>
      </c>
      <c r="R251" s="4">
        <f ca="1">_xll.DBRW($B$1,$B$2,$B$7,$B$3,$B$4,$B$5,$F251,$B$6,R$10,$A251,$B251)</f>
        <v>21498145.5</v>
      </c>
      <c r="S251" s="4">
        <f ca="1">_xll.DBRW($B$1,$B$2,$B$7,$B$3,$B$4,$B$5,$F251,$B$6,S$10,$A251,$B251)</f>
        <v>25997481.030810907</v>
      </c>
      <c r="T251" s="4">
        <f ca="1">_xll.DBRW($B$1,$B$2,$B$7,$B$3,$B$4,$B$5,$F251,$B$6,T$10,$A251,$B251)</f>
        <v>22071251.900576938</v>
      </c>
      <c r="U251" s="4">
        <f ca="1">_xll.DBRW($B$1,$B$2,$B$7,$B$3,$B$4,$B$5,$F251,$B$6,U$10,$A251,$B251)</f>
        <v>21390625.478085607</v>
      </c>
      <c r="V251" s="4">
        <f ca="1">_xll.DBRW($B$1,$B$2,$B$7,$B$3,$B$4,$B$5,$F251,$B$6,V$10,$A251,$B251)</f>
        <v>24053026.757704094</v>
      </c>
      <c r="W251" s="4">
        <f ca="1">_xll.DBRW($B$1,$B$2,$B$7,$B$3,$B$4,$B$5,$F251,$B$6,W$10,$A251,$B251)</f>
        <v>26146731.456436753</v>
      </c>
      <c r="X251" s="4">
        <f ca="1">_xll.DBRW($B$1,$B$2,$B$7,$B$3,$B$4,$B$5,$F251,$B$6,X$10,$A251,$B251)</f>
        <v>26189737.261591624</v>
      </c>
      <c r="Y251" s="4">
        <f ca="1">_xll.DBRW($B$1,$B$2,$B$7,$B$3,$B$4,$B$5,$F251,$B$6,Y$10,$A251,$B251)</f>
        <v>27938931.226993389</v>
      </c>
      <c r="Z251" s="4">
        <f ca="1">_xll.DBRW($B$1,$B$2,$B$7,$B$3,$B$4,$B$5,$F251,$B$6,Z$10,$A251,$B251)</f>
        <v>30171279.827542238</v>
      </c>
      <c r="AA251" s="4">
        <f ca="1">_xll.DBRW($B$1,$B$2,$B$7,$B$3,$B$4,$B$5,$F251,$B$6,AA$10,$A251,$B251)</f>
        <v>32318372.319157809</v>
      </c>
      <c r="AB251" s="4">
        <f ca="1">_xll.DBRW($B$1,$B$2,$B$7,$B$3,$B$4,$B$5,$F251,$B$6,AB$10,$A251,$B251)</f>
        <v>22070113.190358937</v>
      </c>
      <c r="AC251" s="4">
        <f ca="1">_xll.DBRW($B$1,$B$2,$B$7,$B$3,$B$4,$B$5,$F251,$B$6,AC$10,$A251,$B251)</f>
        <v>25297817.965487503</v>
      </c>
      <c r="AD251" s="4">
        <f ca="1">_xll.DBRW($B$1,$B$2,$B$7,$B$3,$B$4,$B$5,$F251,$B$6,AD$10,$A251,$B251)</f>
        <v>22911134.144184276</v>
      </c>
      <c r="AE251" s="4">
        <f ca="1">_xll.DBRW($B$1,$B$2,$B$7,$B$3,$B$4,$B$5,$F251,$B$6,AE$10,$A251,$B251)</f>
        <v>27731550.502706259</v>
      </c>
    </row>
    <row r="252" spans="1:31">
      <c r="A252" s="1" t="s">
        <v>153</v>
      </c>
      <c r="B252" s="5" t="s">
        <v>40</v>
      </c>
      <c r="C252" s="5" t="s">
        <v>37</v>
      </c>
      <c r="D252" s="5" t="s">
        <v>38</v>
      </c>
      <c r="E252" s="5" t="s">
        <v>21</v>
      </c>
      <c r="F252" s="5" t="s">
        <v>25</v>
      </c>
      <c r="G252" s="6"/>
      <c r="H252" s="6"/>
      <c r="I252" s="6"/>
      <c r="J252" s="6"/>
      <c r="K252" s="6"/>
      <c r="L252" s="4">
        <f ca="1">_xll.DBRW($B$1,$B$2,$B$7,$B$3,$B$4,$B$5,$F252,$B$6,L$10,$A252,$B252)</f>
        <v>28610809.136318173</v>
      </c>
      <c r="M252" s="4">
        <f ca="1">_xll.DBRW($B$1,$B$2,$B$7,$B$3,$B$4,$B$5,$F252,$B$6,M$10,$A252,$B252)</f>
        <v>32676095.224491462</v>
      </c>
      <c r="N252" s="4">
        <f ca="1">_xll.DBRW($B$1,$B$2,$B$7,$B$3,$B$4,$B$5,$F252,$B$6,N$10,$A252,$B252)</f>
        <v>32653630.256403558</v>
      </c>
      <c r="O252" s="4">
        <f ca="1">_xll.DBRW($B$1,$B$2,$B$7,$B$3,$B$4,$B$5,$F252,$B$6,O$10,$A252,$B252)</f>
        <v>37607431.242996529</v>
      </c>
      <c r="P252" s="4">
        <f ca="1">_xll.DBRW($B$1,$B$2,$B$7,$B$3,$B$4,$B$5,$F252,$B$6,P$10,$A252,$B252)</f>
        <v>25914080.900522687</v>
      </c>
      <c r="Q252" s="4">
        <f ca="1">_xll.DBRW($B$1,$B$2,$B$7,$B$3,$B$4,$B$5,$F252,$B$6,Q$10,$A252,$B252)</f>
        <v>30612490.117142405</v>
      </c>
      <c r="R252" s="4">
        <f ca="1">_xll.DBRW($B$1,$B$2,$B$7,$B$3,$B$4,$B$5,$F252,$B$6,R$10,$A252,$B252)</f>
        <v>21498145.5</v>
      </c>
      <c r="S252" s="4">
        <f ca="1">_xll.DBRW($B$1,$B$2,$B$7,$B$3,$B$4,$B$5,$F252,$B$6,S$10,$A252,$B252)</f>
        <v>25997481.030810907</v>
      </c>
      <c r="T252" s="4">
        <f ca="1">_xll.DBRW($B$1,$B$2,$B$7,$B$3,$B$4,$B$5,$F252,$B$6,T$10,$A252,$B252)</f>
        <v>22071251.900576938</v>
      </c>
      <c r="U252" s="4">
        <f ca="1">_xll.DBRW($B$1,$B$2,$B$7,$B$3,$B$4,$B$5,$F252,$B$6,U$10,$A252,$B252)</f>
        <v>21390625.478085607</v>
      </c>
      <c r="V252" s="4">
        <f ca="1">_xll.DBRW($B$1,$B$2,$B$7,$B$3,$B$4,$B$5,$F252,$B$6,V$10,$A252,$B252)</f>
        <v>24053026.757704094</v>
      </c>
      <c r="W252" s="4">
        <f ca="1">_xll.DBRW($B$1,$B$2,$B$7,$B$3,$B$4,$B$5,$F252,$B$6,W$10,$A252,$B252)</f>
        <v>26146731.456436753</v>
      </c>
      <c r="X252" s="4">
        <f ca="1">_xll.DBRW($B$1,$B$2,$B$7,$B$3,$B$4,$B$5,$F252,$B$6,X$10,$A252,$B252)</f>
        <v>26189737.261591624</v>
      </c>
      <c r="Y252" s="4">
        <f ca="1">_xll.DBRW($B$1,$B$2,$B$7,$B$3,$B$4,$B$5,$F252,$B$6,Y$10,$A252,$B252)</f>
        <v>27938931.226993389</v>
      </c>
      <c r="Z252" s="4">
        <f ca="1">_xll.DBRW($B$1,$B$2,$B$7,$B$3,$B$4,$B$5,$F252,$B$6,Z$10,$A252,$B252)</f>
        <v>30171279.827542238</v>
      </c>
      <c r="AA252" s="4">
        <f ca="1">_xll.DBRW($B$1,$B$2,$B$7,$B$3,$B$4,$B$5,$F252,$B$6,AA$10,$A252,$B252)</f>
        <v>32318372.319157809</v>
      </c>
      <c r="AB252" s="4">
        <f ca="1">_xll.DBRW($B$1,$B$2,$B$7,$B$3,$B$4,$B$5,$F252,$B$6,AB$10,$A252,$B252)</f>
        <v>22070113.190358937</v>
      </c>
      <c r="AC252" s="4">
        <f ca="1">_xll.DBRW($B$1,$B$2,$B$7,$B$3,$B$4,$B$5,$F252,$B$6,AC$10,$A252,$B252)</f>
        <v>25297817.965487503</v>
      </c>
      <c r="AD252" s="4">
        <f ca="1">_xll.DBRW($B$1,$B$2,$B$7,$B$3,$B$4,$B$5,$F252,$B$6,AD$10,$A252,$B252)</f>
        <v>22911134.144184276</v>
      </c>
      <c r="AE252" s="4">
        <f ca="1">_xll.DBRW($B$1,$B$2,$B$7,$B$3,$B$4,$B$5,$F252,$B$6,AE$10,$A252,$B252)</f>
        <v>27731550.502706259</v>
      </c>
    </row>
    <row r="253" spans="1:31">
      <c r="A253" s="1" t="s">
        <v>153</v>
      </c>
      <c r="B253" s="5" t="s">
        <v>173</v>
      </c>
      <c r="C253" s="5" t="s">
        <v>168</v>
      </c>
      <c r="D253" s="5" t="s">
        <v>21</v>
      </c>
      <c r="E253" s="5" t="s">
        <v>76</v>
      </c>
      <c r="F253" s="5" t="s">
        <v>25</v>
      </c>
      <c r="G253" s="6"/>
      <c r="H253" s="6"/>
      <c r="I253" s="6"/>
      <c r="J253" s="6"/>
      <c r="K253" s="6"/>
      <c r="L253" s="4">
        <f ca="1">_xll.DBRW($B$1,$B$2,$B$7,$B$3,$B$4,$B$5,$F253,$B$6,L$10,$A253,$B253)</f>
        <v>35989363.199999996</v>
      </c>
      <c r="M253" s="4">
        <f ca="1">_xll.DBRW($B$1,$B$2,$B$7,$B$3,$B$4,$B$5,$F253,$B$6,M$10,$A253,$B253)</f>
        <v>43323722.680404499</v>
      </c>
      <c r="N253" s="4">
        <f ca="1">_xll.DBRW($B$1,$B$2,$B$7,$B$3,$B$4,$B$5,$F253,$B$6,N$10,$A253,$B253)</f>
        <v>42291648</v>
      </c>
      <c r="O253" s="4">
        <f ca="1">_xll.DBRW($B$1,$B$2,$B$7,$B$3,$B$4,$B$5,$F253,$B$6,O$10,$A253,$B253)</f>
        <v>41644834.56000001</v>
      </c>
      <c r="P253" s="4">
        <f ca="1">_xll.DBRW($B$1,$B$2,$B$7,$B$3,$B$4,$B$5,$F253,$B$6,P$10,$A253,$B253)</f>
        <v>38808806.400000006</v>
      </c>
      <c r="Q253" s="4">
        <f ca="1">_xll.DBRW($B$1,$B$2,$B$7,$B$3,$B$4,$B$5,$F253,$B$6,Q$10,$A253,$B253)</f>
        <v>28028582.400000006</v>
      </c>
      <c r="R253" s="4">
        <f ca="1">_xll.DBRW($B$1,$B$2,$B$7,$B$3,$B$4,$B$5,$F253,$B$6,R$10,$A253,$B253)</f>
        <v>0</v>
      </c>
      <c r="S253" s="4">
        <f ca="1">_xll.DBRW($B$1,$B$2,$B$7,$B$3,$B$4,$B$5,$F253,$B$6,S$10,$A253,$B253)</f>
        <v>0</v>
      </c>
      <c r="T253" s="4">
        <f ca="1">_xll.DBRW($B$1,$B$2,$B$7,$B$3,$B$4,$B$5,$F253,$B$6,T$10,$A253,$B253)</f>
        <v>0</v>
      </c>
      <c r="U253" s="4">
        <f ca="1">_xll.DBRW($B$1,$B$2,$B$7,$B$3,$B$4,$B$5,$F253,$B$6,U$10,$A253,$B253)</f>
        <v>0</v>
      </c>
      <c r="V253" s="4">
        <f ca="1">_xll.DBRW($B$1,$B$2,$B$7,$B$3,$B$4,$B$5,$F253,$B$6,V$10,$A253,$B253)</f>
        <v>2617945.2354587568</v>
      </c>
      <c r="W253" s="4">
        <f ca="1">_xll.DBRW($B$1,$B$2,$B$7,$B$3,$B$4,$B$5,$F253,$B$6,W$10,$A253,$B253)</f>
        <v>37955169.059380926</v>
      </c>
      <c r="X253" s="4">
        <f ca="1">_xll.DBRW($B$1,$B$2,$B$7,$B$3,$B$4,$B$5,$F253,$B$6,X$10,$A253,$B253)</f>
        <v>42413937.550626874</v>
      </c>
      <c r="Y253" s="4">
        <f ca="1">_xll.DBRW($B$1,$B$2,$B$7,$B$3,$B$4,$B$5,$F253,$B$6,Y$10,$A253,$B253)</f>
        <v>56669798.807639427</v>
      </c>
      <c r="Z253" s="4">
        <f ca="1">_xll.DBRW($B$1,$B$2,$B$7,$B$3,$B$4,$B$5,$F253,$B$6,Z$10,$A253,$B253)</f>
        <v>58223861.233677536</v>
      </c>
      <c r="AA253" s="4">
        <f ca="1">_xll.DBRW($B$1,$B$2,$B$7,$B$3,$B$4,$B$5,$F253,$B$6,AA$10,$A253,$B253)</f>
        <v>55267975.689867489</v>
      </c>
      <c r="AB253" s="4">
        <f ca="1">_xll.DBRW($B$1,$B$2,$B$7,$B$3,$B$4,$B$5,$F253,$B$6,AB$10,$A253,$B253)</f>
        <v>51638619.222851112</v>
      </c>
      <c r="AC253" s="4">
        <f ca="1">_xll.DBRW($B$1,$B$2,$B$7,$B$3,$B$4,$B$5,$F253,$B$6,AC$10,$A253,$B253)</f>
        <v>32283032.71496062</v>
      </c>
      <c r="AD253" s="4">
        <f ca="1">_xll.DBRW($B$1,$B$2,$B$7,$B$3,$B$4,$B$5,$F253,$B$6,AD$10,$A253,$B253)</f>
        <v>0</v>
      </c>
      <c r="AE253" s="4">
        <f ca="1">_xll.DBRW($B$1,$B$2,$B$7,$B$3,$B$4,$B$5,$F253,$B$6,AE$10,$A253,$B253)</f>
        <v>0</v>
      </c>
    </row>
    <row r="254" spans="1:31">
      <c r="A254" s="1" t="s">
        <v>153</v>
      </c>
      <c r="B254" s="5" t="s">
        <v>77</v>
      </c>
      <c r="C254" s="5" t="s">
        <v>75</v>
      </c>
      <c r="D254" s="5" t="s">
        <v>76</v>
      </c>
      <c r="E254" s="5" t="s">
        <v>21</v>
      </c>
      <c r="F254" s="5" t="s">
        <v>25</v>
      </c>
      <c r="G254" s="6"/>
      <c r="H254" s="6"/>
      <c r="I254" s="6"/>
      <c r="J254" s="6"/>
      <c r="K254" s="6"/>
      <c r="L254" s="4">
        <f ca="1">_xll.DBRW($B$1,$B$2,$B$7,$B$3,$B$4,$B$5,$F254,$B$6,L$10,$A254,$B254)</f>
        <v>35989363.199999996</v>
      </c>
      <c r="M254" s="4">
        <f ca="1">_xll.DBRW($B$1,$B$2,$B$7,$B$3,$B$4,$B$5,$F254,$B$6,M$10,$A254,$B254)</f>
        <v>43323722.680404499</v>
      </c>
      <c r="N254" s="4">
        <f ca="1">_xll.DBRW($B$1,$B$2,$B$7,$B$3,$B$4,$B$5,$F254,$B$6,N$10,$A254,$B254)</f>
        <v>44017088.5</v>
      </c>
      <c r="O254" s="4">
        <f ca="1">_xll.DBRW($B$1,$B$2,$B$7,$B$3,$B$4,$B$5,$F254,$B$6,O$10,$A254,$B254)</f>
        <v>41644834.56000001</v>
      </c>
      <c r="P254" s="4">
        <f ca="1">_xll.DBRW($B$1,$B$2,$B$7,$B$3,$B$4,$B$5,$F254,$B$6,P$10,$A254,$B254)</f>
        <v>38808806.400000006</v>
      </c>
      <c r="Q254" s="4">
        <f ca="1">_xll.DBRW($B$1,$B$2,$B$7,$B$3,$B$4,$B$5,$F254,$B$6,Q$10,$A254,$B254)</f>
        <v>28028582.400000006</v>
      </c>
      <c r="R254" s="4">
        <f ca="1">_xll.DBRW($B$1,$B$2,$B$7,$B$3,$B$4,$B$5,$F254,$B$6,R$10,$A254,$B254)</f>
        <v>0</v>
      </c>
      <c r="S254" s="4">
        <f ca="1">_xll.DBRW($B$1,$B$2,$B$7,$B$3,$B$4,$B$5,$F254,$B$6,S$10,$A254,$B254)</f>
        <v>0</v>
      </c>
      <c r="T254" s="4">
        <f ca="1">_xll.DBRW($B$1,$B$2,$B$7,$B$3,$B$4,$B$5,$F254,$B$6,T$10,$A254,$B254)</f>
        <v>0</v>
      </c>
      <c r="U254" s="4">
        <f ca="1">_xll.DBRW($B$1,$B$2,$B$7,$B$3,$B$4,$B$5,$F254,$B$6,U$10,$A254,$B254)</f>
        <v>0</v>
      </c>
      <c r="V254" s="4">
        <f ca="1">_xll.DBRW($B$1,$B$2,$B$7,$B$3,$B$4,$B$5,$F254,$B$6,V$10,$A254,$B254)</f>
        <v>2617945.2354587568</v>
      </c>
      <c r="W254" s="4">
        <f ca="1">_xll.DBRW($B$1,$B$2,$B$7,$B$3,$B$4,$B$5,$F254,$B$6,W$10,$A254,$B254)</f>
        <v>37955169.059380926</v>
      </c>
      <c r="X254" s="4">
        <f ca="1">_xll.DBRW($B$1,$B$2,$B$7,$B$3,$B$4,$B$5,$F254,$B$6,X$10,$A254,$B254)</f>
        <v>42413937.550626874</v>
      </c>
      <c r="Y254" s="4">
        <f ca="1">_xll.DBRW($B$1,$B$2,$B$7,$B$3,$B$4,$B$5,$F254,$B$6,Y$10,$A254,$B254)</f>
        <v>56669798.807639427</v>
      </c>
      <c r="Z254" s="4">
        <f ca="1">_xll.DBRW($B$1,$B$2,$B$7,$B$3,$B$4,$B$5,$F254,$B$6,Z$10,$A254,$B254)</f>
        <v>58223861.233677536</v>
      </c>
      <c r="AA254" s="4">
        <f ca="1">_xll.DBRW($B$1,$B$2,$B$7,$B$3,$B$4,$B$5,$F254,$B$6,AA$10,$A254,$B254)</f>
        <v>55267975.689867489</v>
      </c>
      <c r="AB254" s="4">
        <f ca="1">_xll.DBRW($B$1,$B$2,$B$7,$B$3,$B$4,$B$5,$F254,$B$6,AB$10,$A254,$B254)</f>
        <v>51638619.222851112</v>
      </c>
      <c r="AC254" s="4">
        <f ca="1">_xll.DBRW($B$1,$B$2,$B$7,$B$3,$B$4,$B$5,$F254,$B$6,AC$10,$A254,$B254)</f>
        <v>30991711.406362195</v>
      </c>
      <c r="AD254" s="4">
        <f ca="1">_xll.DBRW($B$1,$B$2,$B$7,$B$3,$B$4,$B$5,$F254,$B$6,AD$10,$A254,$B254)</f>
        <v>0</v>
      </c>
      <c r="AE254" s="4">
        <f ca="1">_xll.DBRW($B$1,$B$2,$B$7,$B$3,$B$4,$B$5,$F254,$B$6,AE$10,$A254,$B254)</f>
        <v>0</v>
      </c>
    </row>
    <row r="255" spans="1:31">
      <c r="A255" s="1" t="s">
        <v>153</v>
      </c>
      <c r="B255" s="5" t="s">
        <v>174</v>
      </c>
      <c r="C255" s="5" t="s">
        <v>159</v>
      </c>
      <c r="D255" s="5" t="s">
        <v>21</v>
      </c>
      <c r="E255" s="5" t="s">
        <v>38</v>
      </c>
      <c r="F255" s="5" t="s">
        <v>25</v>
      </c>
      <c r="G255" s="6"/>
      <c r="H255" s="6"/>
      <c r="I255" s="6"/>
      <c r="J255" s="6"/>
      <c r="K255" s="6"/>
      <c r="L255" s="4">
        <f ca="1">_xll.DBRW($B$1,$B$2,$B$7,$B$3,$B$4,$B$5,$F255,$B$6,L$10,$A255,$B255)</f>
        <v>24640249.350893646</v>
      </c>
      <c r="M255" s="4">
        <f ca="1">_xll.DBRW($B$1,$B$2,$B$7,$B$3,$B$4,$B$5,$F255,$B$6,M$10,$A255,$B255)</f>
        <v>27712109.694643185</v>
      </c>
      <c r="N255" s="4">
        <f ca="1">_xll.DBRW($B$1,$B$2,$B$7,$B$3,$B$4,$B$5,$F255,$B$6,N$10,$A255,$B255)</f>
        <v>27628960.453050312</v>
      </c>
      <c r="O255" s="4">
        <f ca="1">_xll.DBRW($B$1,$B$2,$B$7,$B$3,$B$4,$B$5,$F255,$B$6,O$10,$A255,$B255)</f>
        <v>32610314.778587379</v>
      </c>
      <c r="P255" s="4">
        <f ca="1">_xll.DBRW($B$1,$B$2,$B$7,$B$3,$B$4,$B$5,$F255,$B$6,P$10,$A255,$B255)</f>
        <v>21789882.49337567</v>
      </c>
      <c r="Q255" s="4">
        <f ca="1">_xll.DBRW($B$1,$B$2,$B$7,$B$3,$B$4,$B$5,$F255,$B$6,Q$10,$A255,$B255)</f>
        <v>27669232.640369788</v>
      </c>
      <c r="R255" s="4">
        <f ca="1">_xll.DBRW($B$1,$B$2,$B$7,$B$3,$B$4,$B$5,$F255,$B$6,R$10,$A255,$B255)</f>
        <v>28954390.5</v>
      </c>
      <c r="S255" s="4">
        <f ca="1">_xll.DBRW($B$1,$B$2,$B$7,$B$3,$B$4,$B$5,$F255,$B$6,S$10,$A255,$B255)</f>
        <v>35148166.251423806</v>
      </c>
      <c r="T255" s="4">
        <f ca="1">_xll.DBRW($B$1,$B$2,$B$7,$B$3,$B$4,$B$5,$F255,$B$6,T$10,$A255,$B255)</f>
        <v>22364200.304499246</v>
      </c>
      <c r="U255" s="4">
        <f ca="1">_xll.DBRW($B$1,$B$2,$B$7,$B$3,$B$4,$B$5,$F255,$B$6,U$10,$A255,$B255)</f>
        <v>21565697.561611604</v>
      </c>
      <c r="V255" s="4">
        <f ca="1">_xll.DBRW($B$1,$B$2,$B$7,$B$3,$B$4,$B$5,$F255,$B$6,V$10,$A255,$B255)</f>
        <v>24137891.267433893</v>
      </c>
      <c r="W255" s="4">
        <f ca="1">_xll.DBRW($B$1,$B$2,$B$7,$B$3,$B$4,$B$5,$F255,$B$6,W$10,$A255,$B255)</f>
        <v>26223900.629138045</v>
      </c>
      <c r="X255" s="4">
        <f ca="1">_xll.DBRW($B$1,$B$2,$B$7,$B$3,$B$4,$B$5,$F255,$B$6,X$10,$A255,$B255)</f>
        <v>26418545.450032953</v>
      </c>
      <c r="Y255" s="4">
        <f ca="1">_xll.DBRW($B$1,$B$2,$B$7,$B$3,$B$4,$B$5,$F255,$B$6,Y$10,$A255,$B255)</f>
        <v>27982585.807035573</v>
      </c>
      <c r="Z255" s="4">
        <f ca="1">_xll.DBRW($B$1,$B$2,$B$7,$B$3,$B$4,$B$5,$F255,$B$6,Z$10,$A255,$B255)</f>
        <v>30221970.82187615</v>
      </c>
      <c r="AA255" s="4">
        <f ca="1">_xll.DBRW($B$1,$B$2,$B$7,$B$3,$B$4,$B$5,$F255,$B$6,AA$10,$A255,$B255)</f>
        <v>32595293.85616672</v>
      </c>
      <c r="AB255" s="4">
        <f ca="1">_xll.DBRW($B$1,$B$2,$B$7,$B$3,$B$4,$B$5,$F255,$B$6,AB$10,$A255,$B255)</f>
        <v>22108429.359092198</v>
      </c>
      <c r="AC255" s="4">
        <f ca="1">_xll.DBRW($B$1,$B$2,$B$7,$B$3,$B$4,$B$5,$F255,$B$6,AC$10,$A255,$B255)</f>
        <v>25574087.81894125</v>
      </c>
      <c r="AD255" s="4">
        <f ca="1">_xll.DBRW($B$1,$B$2,$B$7,$B$3,$B$4,$B$5,$F255,$B$6,AD$10,$A255,$B255)</f>
        <v>23022507.712940723</v>
      </c>
      <c r="AE255" s="4">
        <f ca="1">_xll.DBRW($B$1,$B$2,$B$7,$B$3,$B$4,$B$5,$F255,$B$6,AE$10,$A255,$B255)</f>
        <v>28099627.197886672</v>
      </c>
    </row>
    <row r="256" spans="1:31">
      <c r="A256" s="1" t="s">
        <v>153</v>
      </c>
      <c r="B256" s="5" t="s">
        <v>41</v>
      </c>
      <c r="C256" s="5" t="s">
        <v>37</v>
      </c>
      <c r="D256" s="5" t="s">
        <v>38</v>
      </c>
      <c r="E256" s="5" t="s">
        <v>21</v>
      </c>
      <c r="F256" s="5" t="s">
        <v>25</v>
      </c>
      <c r="G256" s="6"/>
      <c r="H256" s="6"/>
      <c r="I256" s="6"/>
      <c r="J256" s="6"/>
      <c r="K256" s="6"/>
      <c r="L256" s="4">
        <f ca="1">_xll.DBRW($B$1,$B$2,$B$7,$B$3,$B$4,$B$5,$F256,$B$6,L$10,$A256,$B256)</f>
        <v>24404607.820601393</v>
      </c>
      <c r="M256" s="4">
        <f ca="1">_xll.DBRW($B$1,$B$2,$B$7,$B$3,$B$4,$B$5,$F256,$B$6,M$10,$A256,$B256)</f>
        <v>27712109.694643185</v>
      </c>
      <c r="N256" s="4">
        <f ca="1">_xll.DBRW($B$1,$B$2,$B$7,$B$3,$B$4,$B$5,$F256,$B$6,N$10,$A256,$B256)</f>
        <v>26571135.231291734</v>
      </c>
      <c r="O256" s="4">
        <f ca="1">_xll.DBRW($B$1,$B$2,$B$7,$B$3,$B$4,$B$5,$F256,$B$6,O$10,$A256,$B256)</f>
        <v>31557203.457575534</v>
      </c>
      <c r="P256" s="4">
        <f ca="1">_xll.DBRW($B$1,$B$2,$B$7,$B$3,$B$4,$B$5,$F256,$B$6,P$10,$A256,$B256)</f>
        <v>21789882.49337567</v>
      </c>
      <c r="Q256" s="4">
        <f ca="1">_xll.DBRW($B$1,$B$2,$B$7,$B$3,$B$4,$B$5,$F256,$B$6,Q$10,$A256,$B256)</f>
        <v>27669232.640369788</v>
      </c>
      <c r="R256" s="4">
        <f ca="1">_xll.DBRW($B$1,$B$2,$B$7,$B$3,$B$4,$B$5,$F256,$B$6,R$10,$A256,$B256)</f>
        <v>28954390.5</v>
      </c>
      <c r="S256" s="4">
        <f ca="1">_xll.DBRW($B$1,$B$2,$B$7,$B$3,$B$4,$B$5,$F256,$B$6,S$10,$A256,$B256)</f>
        <v>35148166.251423806</v>
      </c>
      <c r="T256" s="4">
        <f ca="1">_xll.DBRW($B$1,$B$2,$B$7,$B$3,$B$4,$B$5,$F256,$B$6,T$10,$A256,$B256)</f>
        <v>24118182.520388506</v>
      </c>
      <c r="U256" s="4">
        <f ca="1">_xll.DBRW($B$1,$B$2,$B$7,$B$3,$B$4,$B$5,$F256,$B$6,U$10,$A256,$B256)</f>
        <v>23682478.20788049</v>
      </c>
      <c r="V256" s="4">
        <f ca="1">_xll.DBRW($B$1,$B$2,$B$7,$B$3,$B$4,$B$5,$F256,$B$6,V$10,$A256,$B256)</f>
        <v>26695950.060717948</v>
      </c>
      <c r="W256" s="4">
        <f ca="1">_xll.DBRW($B$1,$B$2,$B$7,$B$3,$B$4,$B$5,$F256,$B$6,W$10,$A256,$B256)</f>
        <v>28039645.869168378</v>
      </c>
      <c r="X256" s="4">
        <f ca="1">_xll.DBRW($B$1,$B$2,$B$7,$B$3,$B$4,$B$5,$F256,$B$6,X$10,$A256,$B256)</f>
        <v>28398616.311544415</v>
      </c>
      <c r="Y256" s="4">
        <f ca="1">_xll.DBRW($B$1,$B$2,$B$7,$B$3,$B$4,$B$5,$F256,$B$6,Y$10,$A256,$B256)</f>
        <v>30165314.809144419</v>
      </c>
      <c r="Z256" s="4">
        <f ca="1">_xll.DBRW($B$1,$B$2,$B$7,$B$3,$B$4,$B$5,$F256,$B$6,Z$10,$A256,$B256)</f>
        <v>32503065.566902034</v>
      </c>
      <c r="AA256" s="4">
        <f ca="1">_xll.DBRW($B$1,$B$2,$B$7,$B$3,$B$4,$B$5,$F256,$B$6,AA$10,$A256,$B256)</f>
        <v>34767227.479766034</v>
      </c>
      <c r="AB256" s="4">
        <f ca="1">_xll.DBRW($B$1,$B$2,$B$7,$B$3,$B$4,$B$5,$F256,$B$6,AB$10,$A256,$B256)</f>
        <v>23832656.952088989</v>
      </c>
      <c r="AC256" s="4">
        <f ca="1">_xll.DBRW($B$1,$B$2,$B$7,$B$3,$B$4,$B$5,$F256,$B$6,AC$10,$A256,$B256)</f>
        <v>27410219.768049214</v>
      </c>
      <c r="AD256" s="4">
        <f ca="1">_xll.DBRW($B$1,$B$2,$B$7,$B$3,$B$4,$B$5,$F256,$B$6,AD$10,$A256,$B256)</f>
        <v>25341464.519548267</v>
      </c>
      <c r="AE256" s="4">
        <f ca="1">_xll.DBRW($B$1,$B$2,$B$7,$B$3,$B$4,$B$5,$F256,$B$6,AE$10,$A256,$B256)</f>
        <v>30997648.772598244</v>
      </c>
    </row>
    <row r="257" spans="1:31">
      <c r="A257" s="1" t="s">
        <v>153</v>
      </c>
      <c r="B257" s="5" t="s">
        <v>175</v>
      </c>
      <c r="C257" s="5" t="s">
        <v>159</v>
      </c>
      <c r="D257" s="5" t="s">
        <v>21</v>
      </c>
      <c r="E257" s="5" t="s">
        <v>38</v>
      </c>
      <c r="F257" s="5" t="s">
        <v>25</v>
      </c>
      <c r="G257" s="6"/>
      <c r="H257" s="6"/>
      <c r="I257" s="6"/>
      <c r="J257" s="6"/>
      <c r="K257" s="6"/>
      <c r="L257" s="4">
        <f ca="1">_xll.DBRW($B$1,$B$2,$B$7,$B$3,$B$4,$B$5,$F257,$B$6,L$10,$A257,$B257)</f>
        <v>9076126.2750900891</v>
      </c>
      <c r="M257" s="4">
        <f ca="1">_xll.DBRW($B$1,$B$2,$B$7,$B$3,$B$4,$B$5,$F257,$B$6,M$10,$A257,$B257)</f>
        <v>26530208.378012642</v>
      </c>
      <c r="N257" s="4">
        <f ca="1">_xll.DBRW($B$1,$B$2,$B$7,$B$3,$B$4,$B$5,$F257,$B$6,N$10,$A257,$B257)</f>
        <v>26719051.469927467</v>
      </c>
      <c r="O257" s="4">
        <f ca="1">_xll.DBRW($B$1,$B$2,$B$7,$B$3,$B$4,$B$5,$F257,$B$6,O$10,$A257,$B257)</f>
        <v>30498929.82616657</v>
      </c>
      <c r="P257" s="4">
        <f ca="1">_xll.DBRW($B$1,$B$2,$B$7,$B$3,$B$4,$B$5,$F257,$B$6,P$10,$A257,$B257)</f>
        <v>21040028.23753076</v>
      </c>
      <c r="Q257" s="4">
        <f ca="1">_xll.DBRW($B$1,$B$2,$B$7,$B$3,$B$4,$B$5,$F257,$B$6,Q$10,$A257,$B257)</f>
        <v>21717408.719144691</v>
      </c>
      <c r="R257" s="4">
        <f ca="1">_xll.DBRW($B$1,$B$2,$B$7,$B$3,$B$4,$B$5,$F257,$B$6,R$10,$A257,$B257)</f>
        <v>0</v>
      </c>
      <c r="S257" s="4">
        <f ca="1">_xll.DBRW($B$1,$B$2,$B$7,$B$3,$B$4,$B$5,$F257,$B$6,S$10,$A257,$B257)</f>
        <v>0</v>
      </c>
      <c r="T257" s="4">
        <f ca="1">_xll.DBRW($B$1,$B$2,$B$7,$B$3,$B$4,$B$5,$F257,$B$6,T$10,$A257,$B257)</f>
        <v>0</v>
      </c>
      <c r="U257" s="4">
        <f ca="1">_xll.DBRW($B$1,$B$2,$B$7,$B$3,$B$4,$B$5,$F257,$B$6,U$10,$A257,$B257)</f>
        <v>0</v>
      </c>
      <c r="V257" s="4">
        <f ca="1">_xll.DBRW($B$1,$B$2,$B$7,$B$3,$B$4,$B$5,$F257,$B$6,V$10,$A257,$B257)</f>
        <v>1551808.1779163931</v>
      </c>
      <c r="W257" s="4">
        <f ca="1">_xll.DBRW($B$1,$B$2,$B$7,$B$3,$B$4,$B$5,$F257,$B$6,W$10,$A257,$B257)</f>
        <v>18302712.019505724</v>
      </c>
      <c r="X257" s="4">
        <f ca="1">_xll.DBRW($B$1,$B$2,$B$7,$B$3,$B$4,$B$5,$F257,$B$6,X$10,$A257,$B257)</f>
        <v>18586265.153387606</v>
      </c>
      <c r="Y257" s="4">
        <f ca="1">_xll.DBRW($B$1,$B$2,$B$7,$B$3,$B$4,$B$5,$F257,$B$6,Y$10,$A257,$B257)</f>
        <v>20488549.56646182</v>
      </c>
      <c r="Z257" s="4">
        <f ca="1">_xll.DBRW($B$1,$B$2,$B$7,$B$3,$B$4,$B$5,$F257,$B$6,Z$10,$A257,$B257)</f>
        <v>21411876.006642886</v>
      </c>
      <c r="AA257" s="4">
        <f ca="1">_xll.DBRW($B$1,$B$2,$B$7,$B$3,$B$4,$B$5,$F257,$B$6,AA$10,$A257,$B257)</f>
        <v>22935619.06520877</v>
      </c>
      <c r="AB257" s="4">
        <f ca="1">_xll.DBRW($B$1,$B$2,$B$7,$B$3,$B$4,$B$5,$F257,$B$6,AB$10,$A257,$B257)</f>
        <v>16184749.672929889</v>
      </c>
      <c r="AC257" s="4">
        <f ca="1">_xll.DBRW($B$1,$B$2,$B$7,$B$3,$B$4,$B$5,$F257,$B$6,AC$10,$A257,$B257)</f>
        <v>13056938.304767745</v>
      </c>
      <c r="AD257" s="4">
        <f ca="1">_xll.DBRW($B$1,$B$2,$B$7,$B$3,$B$4,$B$5,$F257,$B$6,AD$10,$A257,$B257)</f>
        <v>0</v>
      </c>
      <c r="AE257" s="4">
        <f ca="1">_xll.DBRW($B$1,$B$2,$B$7,$B$3,$B$4,$B$5,$F257,$B$6,AE$10,$A257,$B257)</f>
        <v>0</v>
      </c>
    </row>
    <row r="258" spans="1:31">
      <c r="A258" s="1" t="s">
        <v>153</v>
      </c>
      <c r="B258" s="5" t="s">
        <v>42</v>
      </c>
      <c r="C258" s="5" t="s">
        <v>37</v>
      </c>
      <c r="D258" s="5" t="s">
        <v>38</v>
      </c>
      <c r="E258" s="5" t="s">
        <v>21</v>
      </c>
      <c r="F258" s="5" t="s">
        <v>25</v>
      </c>
      <c r="G258" s="6"/>
      <c r="H258" s="6"/>
      <c r="I258" s="6"/>
      <c r="J258" s="6"/>
      <c r="K258" s="6"/>
      <c r="L258" s="4">
        <f ca="1">_xll.DBRW($B$1,$B$2,$B$7,$B$3,$B$4,$B$5,$F258,$B$6,L$10,$A258,$B258)</f>
        <v>9500281.029616151</v>
      </c>
      <c r="M258" s="4">
        <f ca="1">_xll.DBRW($B$1,$B$2,$B$7,$B$3,$B$4,$B$5,$F258,$B$6,M$10,$A258,$B258)</f>
        <v>27809442.744248051</v>
      </c>
      <c r="N258" s="4">
        <f ca="1">_xll.DBRW($B$1,$B$2,$B$7,$B$3,$B$4,$B$5,$F258,$B$6,N$10,$A258,$B258)</f>
        <v>27301751.803947024</v>
      </c>
      <c r="O258" s="4">
        <f ca="1">_xll.DBRW($B$1,$B$2,$B$7,$B$3,$B$4,$B$5,$F258,$B$6,O$10,$A258,$B258)</f>
        <v>31660449.66551787</v>
      </c>
      <c r="P258" s="4">
        <f ca="1">_xll.DBRW($B$1,$B$2,$B$7,$B$3,$B$4,$B$5,$F258,$B$6,P$10,$A258,$B258)</f>
        <v>25351690.208639003</v>
      </c>
      <c r="Q258" s="4">
        <f ca="1">_xll.DBRW($B$1,$B$2,$B$7,$B$3,$B$4,$B$5,$F258,$B$6,Q$10,$A258,$B258)</f>
        <v>26158418.521375559</v>
      </c>
      <c r="R258" s="4">
        <f ca="1">_xll.DBRW($B$1,$B$2,$B$7,$B$3,$B$4,$B$5,$F258,$B$6,R$10,$A258,$B258)</f>
        <v>0</v>
      </c>
      <c r="S258" s="4">
        <f ca="1">_xll.DBRW($B$1,$B$2,$B$7,$B$3,$B$4,$B$5,$F258,$B$6,S$10,$A258,$B258)</f>
        <v>0</v>
      </c>
      <c r="T258" s="4">
        <f ca="1">_xll.DBRW($B$1,$B$2,$B$7,$B$3,$B$4,$B$5,$F258,$B$6,T$10,$A258,$B258)</f>
        <v>0</v>
      </c>
      <c r="U258" s="4">
        <f ca="1">_xll.DBRW($B$1,$B$2,$B$7,$B$3,$B$4,$B$5,$F258,$B$6,U$10,$A258,$B258)</f>
        <v>0</v>
      </c>
      <c r="V258" s="4">
        <f ca="1">_xll.DBRW($B$1,$B$2,$B$7,$B$3,$B$4,$B$5,$F258,$B$6,V$10,$A258,$B258)</f>
        <v>1551808.1779163931</v>
      </c>
      <c r="W258" s="4">
        <f ca="1">_xll.DBRW($B$1,$B$2,$B$7,$B$3,$B$4,$B$5,$F258,$B$6,W$10,$A258,$B258)</f>
        <v>18302712.019505724</v>
      </c>
      <c r="X258" s="4">
        <f ca="1">_xll.DBRW($B$1,$B$2,$B$7,$B$3,$B$4,$B$5,$F258,$B$6,X$10,$A258,$B258)</f>
        <v>18586265.153387606</v>
      </c>
      <c r="Y258" s="4">
        <f ca="1">_xll.DBRW($B$1,$B$2,$B$7,$B$3,$B$4,$B$5,$F258,$B$6,Y$10,$A258,$B258)</f>
        <v>20488549.56646182</v>
      </c>
      <c r="Z258" s="4">
        <f ca="1">_xll.DBRW($B$1,$B$2,$B$7,$B$3,$B$4,$B$5,$F258,$B$6,Z$10,$A258,$B258)</f>
        <v>21411876.006642886</v>
      </c>
      <c r="AA258" s="4">
        <f ca="1">_xll.DBRW($B$1,$B$2,$B$7,$B$3,$B$4,$B$5,$F258,$B$6,AA$10,$A258,$B258)</f>
        <v>22935619.06520877</v>
      </c>
      <c r="AB258" s="4">
        <f ca="1">_xll.DBRW($B$1,$B$2,$B$7,$B$3,$B$4,$B$5,$F258,$B$6,AB$10,$A258,$B258)</f>
        <v>16184749.672929889</v>
      </c>
      <c r="AC258" s="4">
        <f ca="1">_xll.DBRW($B$1,$B$2,$B$7,$B$3,$B$4,$B$5,$F258,$B$6,AC$10,$A258,$B258)</f>
        <v>13056938.304767745</v>
      </c>
      <c r="AD258" s="4">
        <f ca="1">_xll.DBRW($B$1,$B$2,$B$7,$B$3,$B$4,$B$5,$F258,$B$6,AD$10,$A258,$B258)</f>
        <v>0</v>
      </c>
      <c r="AE258" s="4">
        <f ca="1">_xll.DBRW($B$1,$B$2,$B$7,$B$3,$B$4,$B$5,$F258,$B$6,AE$10,$A258,$B258)</f>
        <v>0</v>
      </c>
    </row>
    <row r="259" spans="1:31">
      <c r="A259" s="1" t="s">
        <v>153</v>
      </c>
      <c r="B259" s="5" t="s">
        <v>176</v>
      </c>
      <c r="C259" s="5" t="s">
        <v>177</v>
      </c>
      <c r="D259" s="5" t="s">
        <v>28</v>
      </c>
      <c r="E259" s="5" t="s">
        <v>59</v>
      </c>
      <c r="F259" s="5" t="s">
        <v>25</v>
      </c>
      <c r="G259" s="6"/>
      <c r="H259" s="6"/>
      <c r="I259" s="6"/>
      <c r="J259" s="6"/>
      <c r="K259" s="6"/>
      <c r="L259" s="4">
        <f ca="1">_xll.DBRW($B$1,$B$2,$B$7,$B$3,$B$4,$B$5,$F259,$B$6,L$10,$A259,$B259)</f>
        <v>38018409</v>
      </c>
      <c r="M259" s="4">
        <f ca="1">_xll.DBRW($B$1,$B$2,$B$7,$B$3,$B$4,$B$5,$F259,$B$6,M$10,$A259,$B259)</f>
        <v>23419023.720008064</v>
      </c>
      <c r="N259" s="4">
        <f ca="1">_xll.DBRW($B$1,$B$2,$B$7,$B$3,$B$4,$B$5,$F259,$B$6,N$10,$A259,$B259)</f>
        <v>32568217.499999996</v>
      </c>
      <c r="O259" s="4">
        <f ca="1">_xll.DBRW($B$1,$B$2,$B$7,$B$3,$B$4,$B$5,$F259,$B$6,O$10,$A259,$B259)</f>
        <v>38018409</v>
      </c>
      <c r="P259" s="4">
        <f ca="1">_xll.DBRW($B$1,$B$2,$B$7,$B$3,$B$4,$B$5,$F259,$B$6,P$10,$A259,$B259)</f>
        <v>29466482.499999996</v>
      </c>
      <c r="Q259" s="4">
        <f ca="1">_xll.DBRW($B$1,$B$2,$B$7,$B$3,$B$4,$B$5,$F259,$B$6,Q$10,$A259,$B259)</f>
        <v>28580272.499999996</v>
      </c>
      <c r="R259" s="4">
        <f ca="1">_xll.DBRW($B$1,$B$2,$B$7,$B$3,$B$4,$B$5,$F259,$B$6,R$10,$A259,$B259)</f>
        <v>31759380.449999999</v>
      </c>
      <c r="S259" s="4">
        <f ca="1">_xll.DBRW($B$1,$B$2,$B$7,$B$3,$B$4,$B$5,$F259,$B$6,S$10,$A259,$B259)</f>
        <v>27579264.220000003</v>
      </c>
      <c r="T259" s="4">
        <f ca="1">_xll.DBRW($B$1,$B$2,$B$7,$B$3,$B$4,$B$5,$F259,$B$6,T$10,$A259,$B259)</f>
        <v>55483855.046184957</v>
      </c>
      <c r="U259" s="4">
        <f ca="1">_xll.DBRW($B$1,$B$2,$B$7,$B$3,$B$4,$B$5,$F259,$B$6,U$10,$A259,$B259)</f>
        <v>52860047.353823341</v>
      </c>
      <c r="V259" s="4">
        <f ca="1">_xll.DBRW($B$1,$B$2,$B$7,$B$3,$B$4,$B$5,$F259,$B$6,V$10,$A259,$B259)</f>
        <v>48541256.369865127</v>
      </c>
      <c r="W259" s="4">
        <f ca="1">_xll.DBRW($B$1,$B$2,$B$7,$B$3,$B$4,$B$5,$F259,$B$6,W$10,$A259,$B259)</f>
        <v>50835315.692709818</v>
      </c>
      <c r="X259" s="4">
        <f ca="1">_xll.DBRW($B$1,$B$2,$B$7,$B$3,$B$4,$B$5,$F259,$B$6,X$10,$A259,$B259)</f>
        <v>35075394.163230792</v>
      </c>
      <c r="Y259" s="4">
        <f ca="1">_xll.DBRW($B$1,$B$2,$B$7,$B$3,$B$4,$B$5,$F259,$B$6,Y$10,$A259,$B259)</f>
        <v>40108956.607421882</v>
      </c>
      <c r="Z259" s="4">
        <f ca="1">_xll.DBRW($B$1,$B$2,$B$7,$B$3,$B$4,$B$5,$F259,$B$6,Z$10,$A259,$B259)</f>
        <v>49114907.649690241</v>
      </c>
      <c r="AA259" s="4">
        <f ca="1">_xll.DBRW($B$1,$B$2,$B$7,$B$3,$B$4,$B$5,$F259,$B$6,AA$10,$A259,$B259)</f>
        <v>54361663.387517855</v>
      </c>
      <c r="AB259" s="4">
        <f ca="1">_xll.DBRW($B$1,$B$2,$B$7,$B$3,$B$4,$B$5,$F259,$B$6,AB$10,$A259,$B259)</f>
        <v>42007211.076759435</v>
      </c>
      <c r="AC259" s="4">
        <f ca="1">_xll.DBRW($B$1,$B$2,$B$7,$B$3,$B$4,$B$5,$F259,$B$6,AC$10,$A259,$B259)</f>
        <v>48740043.741694666</v>
      </c>
      <c r="AD259" s="4">
        <f ca="1">_xll.DBRW($B$1,$B$2,$B$7,$B$3,$B$4,$B$5,$F259,$B$6,AD$10,$A259,$B259)</f>
        <v>60244687.413993351</v>
      </c>
      <c r="AE259" s="4">
        <f ca="1">_xll.DBRW($B$1,$B$2,$B$7,$B$3,$B$4,$B$5,$F259,$B$6,AE$10,$A259,$B259)</f>
        <v>57672907.731552333</v>
      </c>
    </row>
    <row r="260" spans="1:31">
      <c r="A260" s="1" t="s">
        <v>153</v>
      </c>
      <c r="B260" s="5" t="s">
        <v>64</v>
      </c>
      <c r="C260" s="5" t="s">
        <v>65</v>
      </c>
      <c r="D260" s="5" t="s">
        <v>59</v>
      </c>
      <c r="E260" s="5" t="s">
        <v>28</v>
      </c>
      <c r="F260" s="5" t="s">
        <v>25</v>
      </c>
      <c r="G260" s="6"/>
      <c r="H260" s="6"/>
      <c r="I260" s="6"/>
      <c r="J260" s="6"/>
      <c r="K260" s="6"/>
      <c r="L260" s="4">
        <f ca="1">_xll.DBRW($B$1,$B$2,$B$7,$B$3,$B$4,$B$5,$F260,$B$6,L$10,$A260,$B260)</f>
        <v>38018409</v>
      </c>
      <c r="M260" s="4">
        <f ca="1">_xll.DBRW($B$1,$B$2,$B$7,$B$3,$B$4,$B$5,$F260,$B$6,M$10,$A260,$B260)</f>
        <v>28623251.213343192</v>
      </c>
      <c r="N260" s="4">
        <f ca="1">_xll.DBRW($B$1,$B$2,$B$7,$B$3,$B$4,$B$5,$F260,$B$6,N$10,$A260,$B260)</f>
        <v>34119085</v>
      </c>
      <c r="O260" s="4">
        <f ca="1">_xll.DBRW($B$1,$B$2,$B$7,$B$3,$B$4,$B$5,$F260,$B$6,O$10,$A260,$B260)</f>
        <v>38018409</v>
      </c>
      <c r="P260" s="4">
        <f ca="1">_xll.DBRW($B$1,$B$2,$B$7,$B$3,$B$4,$B$5,$F260,$B$6,P$10,$A260,$B260)</f>
        <v>34119085</v>
      </c>
      <c r="Q260" s="4">
        <f ca="1">_xll.DBRW($B$1,$B$2,$B$7,$B$3,$B$4,$B$5,$F260,$B$6,Q$10,$A260,$B260)</f>
        <v>30011501.649999995</v>
      </c>
      <c r="R260" s="4">
        <f ca="1">_xll.DBRW($B$1,$B$2,$B$7,$B$3,$B$4,$B$5,$F260,$B$6,R$10,$A260,$B260)</f>
        <v>31771242.030000001</v>
      </c>
      <c r="S260" s="4">
        <f ca="1">_xll.DBRW($B$1,$B$2,$B$7,$B$3,$B$4,$B$5,$F260,$B$6,S$10,$A260,$B260)</f>
        <v>27579264.220000003</v>
      </c>
      <c r="T260" s="4">
        <f ca="1">_xll.DBRW($B$1,$B$2,$B$7,$B$3,$B$4,$B$5,$F260,$B$6,T$10,$A260,$B260)</f>
        <v>55483855.046184957</v>
      </c>
      <c r="U260" s="4">
        <f ca="1">_xll.DBRW($B$1,$B$2,$B$7,$B$3,$B$4,$B$5,$F260,$B$6,U$10,$A260,$B260)</f>
        <v>52860047.353823341</v>
      </c>
      <c r="V260" s="4">
        <f ca="1">_xll.DBRW($B$1,$B$2,$B$7,$B$3,$B$4,$B$5,$F260,$B$6,V$10,$A260,$B260)</f>
        <v>48541256.369865127</v>
      </c>
      <c r="W260" s="4">
        <f ca="1">_xll.DBRW($B$1,$B$2,$B$7,$B$3,$B$4,$B$5,$F260,$B$6,W$10,$A260,$B260)</f>
        <v>46425808.755300045</v>
      </c>
      <c r="X260" s="4">
        <f ca="1">_xll.DBRW($B$1,$B$2,$B$7,$B$3,$B$4,$B$5,$F260,$B$6,X$10,$A260,$B260)</f>
        <v>32695961.003762681</v>
      </c>
      <c r="Y260" s="4">
        <f ca="1">_xll.DBRW($B$1,$B$2,$B$7,$B$3,$B$4,$B$5,$F260,$B$6,Y$10,$A260,$B260)</f>
        <v>37225642.653614923</v>
      </c>
      <c r="Z260" s="4">
        <f ca="1">_xll.DBRW($B$1,$B$2,$B$7,$B$3,$B$4,$B$5,$F260,$B$6,Z$10,$A260,$B260)</f>
        <v>45783066.54928726</v>
      </c>
      <c r="AA260" s="4">
        <f ca="1">_xll.DBRW($B$1,$B$2,$B$7,$B$3,$B$4,$B$5,$F260,$B$6,AA$10,$A260,$B260)</f>
        <v>49751952.379490897</v>
      </c>
      <c r="AB260" s="4">
        <f ca="1">_xll.DBRW($B$1,$B$2,$B$7,$B$3,$B$4,$B$5,$F260,$B$6,AB$10,$A260,$B260)</f>
        <v>39040749.764907576</v>
      </c>
      <c r="AC260" s="4">
        <f ca="1">_xll.DBRW($B$1,$B$2,$B$7,$B$3,$B$4,$B$5,$F260,$B$6,AC$10,$A260,$B260)</f>
        <v>44554299.351197541</v>
      </c>
      <c r="AD260" s="4">
        <f ca="1">_xll.DBRW($B$1,$B$2,$B$7,$B$3,$B$4,$B$5,$F260,$B$6,AD$10,$A260,$B260)</f>
        <v>60244687.413993351</v>
      </c>
      <c r="AE260" s="4">
        <f ca="1">_xll.DBRW($B$1,$B$2,$B$7,$B$3,$B$4,$B$5,$F260,$B$6,AE$10,$A260,$B260)</f>
        <v>55812491.353115164</v>
      </c>
    </row>
    <row r="261" spans="1:31">
      <c r="A261" s="1" t="s">
        <v>153</v>
      </c>
      <c r="B261" s="5" t="s">
        <v>178</v>
      </c>
      <c r="C261" s="5" t="s">
        <v>177</v>
      </c>
      <c r="D261" s="5" t="s">
        <v>28</v>
      </c>
      <c r="E261" s="5" t="s">
        <v>59</v>
      </c>
      <c r="F261" s="5" t="s">
        <v>25</v>
      </c>
      <c r="G261" s="6"/>
      <c r="H261" s="6"/>
      <c r="I261" s="6"/>
      <c r="J261" s="6"/>
      <c r="K261" s="6"/>
      <c r="L261" s="4">
        <f ca="1">_xll.DBRW($B$1,$B$2,$B$7,$B$3,$B$4,$B$5,$F261,$B$6,L$10,$A261,$B261)</f>
        <v>37194233.700000003</v>
      </c>
      <c r="M261" s="4">
        <f ca="1">_xll.DBRW($B$1,$B$2,$B$7,$B$3,$B$4,$B$5,$F261,$B$6,M$10,$A261,$B261)</f>
        <v>22638389.596007798</v>
      </c>
      <c r="N261" s="4">
        <f ca="1">_xll.DBRW($B$1,$B$2,$B$7,$B$3,$B$4,$B$5,$F261,$B$6,N$10,$A261,$B261)</f>
        <v>36958365.5</v>
      </c>
      <c r="O261" s="4">
        <f ca="1">_xll.DBRW($B$1,$B$2,$B$7,$B$3,$B$4,$B$5,$F261,$B$6,O$10,$A261,$B261)</f>
        <v>43893981.300000004</v>
      </c>
      <c r="P261" s="4">
        <f ca="1">_xll.DBRW($B$1,$B$2,$B$7,$B$3,$B$4,$B$5,$F261,$B$6,P$10,$A261,$B261)</f>
        <v>34309961</v>
      </c>
      <c r="Q261" s="4">
        <f ca="1">_xll.DBRW($B$1,$B$2,$B$7,$B$3,$B$4,$B$5,$F261,$B$6,Q$10,$A261,$B261)</f>
        <v>28979066.999999996</v>
      </c>
      <c r="R261" s="4">
        <f ca="1">_xll.DBRW($B$1,$B$2,$B$7,$B$3,$B$4,$B$5,$F261,$B$6,R$10,$A261,$B261)</f>
        <v>0</v>
      </c>
      <c r="S261" s="4">
        <f ca="1">_xll.DBRW($B$1,$B$2,$B$7,$B$3,$B$4,$B$5,$F261,$B$6,S$10,$A261,$B261)</f>
        <v>0</v>
      </c>
      <c r="T261" s="4">
        <f ca="1">_xll.DBRW($B$1,$B$2,$B$7,$B$3,$B$4,$B$5,$F261,$B$6,T$10,$A261,$B261)</f>
        <v>0</v>
      </c>
      <c r="U261" s="4">
        <f ca="1">_xll.DBRW($B$1,$B$2,$B$7,$B$3,$B$4,$B$5,$F261,$B$6,U$10,$A261,$B261)</f>
        <v>0</v>
      </c>
      <c r="V261" s="4">
        <f ca="1">_xll.DBRW($B$1,$B$2,$B$7,$B$3,$B$4,$B$5,$F261,$B$6,V$10,$A261,$B261)</f>
        <v>0</v>
      </c>
      <c r="W261" s="4">
        <f ca="1">_xll.DBRW($B$1,$B$2,$B$7,$B$3,$B$4,$B$5,$F261,$B$6,W$10,$A261,$B261)</f>
        <v>18425439.702747986</v>
      </c>
      <c r="X261" s="4">
        <f ca="1">_xll.DBRW($B$1,$B$2,$B$7,$B$3,$B$4,$B$5,$F261,$B$6,X$10,$A261,$B261)</f>
        <v>12428289.270436104</v>
      </c>
      <c r="Y261" s="4">
        <f ca="1">_xll.DBRW($B$1,$B$2,$B$7,$B$3,$B$4,$B$5,$F261,$B$6,Y$10,$A261,$B261)</f>
        <v>13386814.785532339</v>
      </c>
      <c r="Z261" s="4">
        <f ca="1">_xll.DBRW($B$1,$B$2,$B$7,$B$3,$B$4,$B$5,$F261,$B$6,Z$10,$A261,$B261)</f>
        <v>19336577.814838674</v>
      </c>
      <c r="AA261" s="4">
        <f ca="1">_xll.DBRW($B$1,$B$2,$B$7,$B$3,$B$4,$B$5,$F261,$B$6,AA$10,$A261,$B261)</f>
        <v>17121783.744100112</v>
      </c>
      <c r="AB261" s="4">
        <f ca="1">_xll.DBRW($B$1,$B$2,$B$7,$B$3,$B$4,$B$5,$F261,$B$6,AB$10,$A261,$B261)</f>
        <v>15494463.102083398</v>
      </c>
      <c r="AC261" s="4">
        <f ca="1">_xll.DBRW($B$1,$B$2,$B$7,$B$3,$B$4,$B$5,$F261,$B$6,AC$10,$A261,$B261)</f>
        <v>12781971.125343556</v>
      </c>
      <c r="AD261" s="4">
        <f ca="1">_xll.DBRW($B$1,$B$2,$B$7,$B$3,$B$4,$B$5,$F261,$B$6,AD$10,$A261,$B261)</f>
        <v>0</v>
      </c>
      <c r="AE261" s="4">
        <f ca="1">_xll.DBRW($B$1,$B$2,$B$7,$B$3,$B$4,$B$5,$F261,$B$6,AE$10,$A261,$B261)</f>
        <v>0</v>
      </c>
    </row>
    <row r="262" spans="1:31">
      <c r="A262" s="1" t="s">
        <v>153</v>
      </c>
      <c r="B262" s="5" t="s">
        <v>66</v>
      </c>
      <c r="C262" s="5" t="s">
        <v>65</v>
      </c>
      <c r="D262" s="5" t="s">
        <v>59</v>
      </c>
      <c r="E262" s="5" t="s">
        <v>28</v>
      </c>
      <c r="F262" s="5" t="s">
        <v>25</v>
      </c>
      <c r="G262" s="6"/>
      <c r="H262" s="6"/>
      <c r="I262" s="6"/>
      <c r="J262" s="6"/>
      <c r="K262" s="6"/>
      <c r="L262" s="4">
        <f ca="1">_xll.DBRW($B$1,$B$2,$B$7,$B$3,$B$4,$B$5,$F262,$B$6,L$10,$A262,$B262)</f>
        <v>37938650.100000001</v>
      </c>
      <c r="M262" s="4">
        <f ca="1">_xll.DBRW($B$1,$B$2,$B$7,$B$3,$B$4,$B$5,$F262,$B$6,M$10,$A262,$B262)</f>
        <v>18174763.707493439</v>
      </c>
      <c r="N262" s="4">
        <f ca="1">_xll.DBRW($B$1,$B$2,$B$7,$B$3,$B$4,$B$5,$F262,$B$6,N$10,$A262,$B262)</f>
        <v>35407498</v>
      </c>
      <c r="O262" s="4">
        <f ca="1">_xll.DBRW($B$1,$B$2,$B$7,$B$3,$B$4,$B$5,$F262,$B$6,O$10,$A262,$B262)</f>
        <v>43893981.300000004</v>
      </c>
      <c r="P262" s="4">
        <f ca="1">_xll.DBRW($B$1,$B$2,$B$7,$B$3,$B$4,$B$5,$F262,$B$6,P$10,$A262,$B262)</f>
        <v>29657358.499999996</v>
      </c>
      <c r="Q262" s="4">
        <f ca="1">_xll.DBRW($B$1,$B$2,$B$7,$B$3,$B$4,$B$5,$F262,$B$6,Q$10,$A262,$B262)</f>
        <v>27538975.749999996</v>
      </c>
      <c r="R262" s="4">
        <f ca="1">_xll.DBRW($B$1,$B$2,$B$7,$B$3,$B$4,$B$5,$F262,$B$6,R$10,$A262,$B262)</f>
        <v>0</v>
      </c>
      <c r="S262" s="4">
        <f ca="1">_xll.DBRW($B$1,$B$2,$B$7,$B$3,$B$4,$B$5,$F262,$B$6,S$10,$A262,$B262)</f>
        <v>0</v>
      </c>
      <c r="T262" s="4">
        <f ca="1">_xll.DBRW($B$1,$B$2,$B$7,$B$3,$B$4,$B$5,$F262,$B$6,T$10,$A262,$B262)</f>
        <v>0</v>
      </c>
      <c r="U262" s="4">
        <f ca="1">_xll.DBRW($B$1,$B$2,$B$7,$B$3,$B$4,$B$5,$F262,$B$6,U$10,$A262,$B262)</f>
        <v>0</v>
      </c>
      <c r="V262" s="4">
        <f ca="1">_xll.DBRW($B$1,$B$2,$B$7,$B$3,$B$4,$B$5,$F262,$B$6,V$10,$A262,$B262)</f>
        <v>0</v>
      </c>
      <c r="W262" s="4">
        <f ca="1">_xll.DBRW($B$1,$B$2,$B$7,$B$3,$B$4,$B$5,$F262,$B$6,W$10,$A262,$B262)</f>
        <v>18425439.702747986</v>
      </c>
      <c r="X262" s="4">
        <f ca="1">_xll.DBRW($B$1,$B$2,$B$7,$B$3,$B$4,$B$5,$F262,$B$6,X$10,$A262,$B262)</f>
        <v>12428289.270436104</v>
      </c>
      <c r="Y262" s="4">
        <f ca="1">_xll.DBRW($B$1,$B$2,$B$7,$B$3,$B$4,$B$5,$F262,$B$6,Y$10,$A262,$B262)</f>
        <v>13386814.785532339</v>
      </c>
      <c r="Z262" s="4">
        <f ca="1">_xll.DBRW($B$1,$B$2,$B$7,$B$3,$B$4,$B$5,$F262,$B$6,Z$10,$A262,$B262)</f>
        <v>19336577.814838674</v>
      </c>
      <c r="AA262" s="4">
        <f ca="1">_xll.DBRW($B$1,$B$2,$B$7,$B$3,$B$4,$B$5,$F262,$B$6,AA$10,$A262,$B262)</f>
        <v>17121783.744100112</v>
      </c>
      <c r="AB262" s="4">
        <f ca="1">_xll.DBRW($B$1,$B$2,$B$7,$B$3,$B$4,$B$5,$F262,$B$6,AB$10,$A262,$B262)</f>
        <v>15494463.102083398</v>
      </c>
      <c r="AC262" s="4">
        <f ca="1">_xll.DBRW($B$1,$B$2,$B$7,$B$3,$B$4,$B$5,$F262,$B$6,AC$10,$A262,$B262)</f>
        <v>12781971.125343556</v>
      </c>
      <c r="AD262" s="4">
        <f ca="1">_xll.DBRW($B$1,$B$2,$B$7,$B$3,$B$4,$B$5,$F262,$B$6,AD$10,$A262,$B262)</f>
        <v>0</v>
      </c>
      <c r="AE262" s="4">
        <f ca="1">_xll.DBRW($B$1,$B$2,$B$7,$B$3,$B$4,$B$5,$F262,$B$6,AE$10,$A262,$B262)</f>
        <v>0</v>
      </c>
    </row>
    <row r="263" spans="1:31">
      <c r="A263" s="1" t="s">
        <v>153</v>
      </c>
      <c r="B263" s="5" t="s">
        <v>179</v>
      </c>
      <c r="C263" s="5" t="s">
        <v>180</v>
      </c>
      <c r="D263" s="5" t="s">
        <v>28</v>
      </c>
      <c r="E263" s="5" t="s">
        <v>181</v>
      </c>
      <c r="F263" s="5" t="s">
        <v>25</v>
      </c>
      <c r="G263" s="6"/>
      <c r="H263" s="6"/>
      <c r="I263" s="6"/>
      <c r="J263" s="6"/>
      <c r="K263" s="6"/>
      <c r="L263" s="4">
        <f ca="1">_xll.DBRW($B$1,$B$2,$B$7,$B$3,$B$4,$B$5,$F263,$B$6,L$10,$A263,$B263)</f>
        <v>0</v>
      </c>
      <c r="M263" s="4">
        <f ca="1">_xll.DBRW($B$1,$B$2,$B$7,$B$3,$B$4,$B$5,$F263,$B$6,M$10,$A263,$B263)</f>
        <v>0</v>
      </c>
      <c r="N263" s="4">
        <f ca="1">_xll.DBRW($B$1,$B$2,$B$7,$B$3,$B$4,$B$5,$F263,$B$6,N$10,$A263,$B263)</f>
        <v>0</v>
      </c>
      <c r="O263" s="4">
        <f ca="1">_xll.DBRW($B$1,$B$2,$B$7,$B$3,$B$4,$B$5,$F263,$B$6,O$10,$A263,$B263)</f>
        <v>0</v>
      </c>
      <c r="P263" s="4">
        <f ca="1">_xll.DBRW($B$1,$B$2,$B$7,$B$3,$B$4,$B$5,$F263,$B$6,P$10,$A263,$B263)</f>
        <v>0</v>
      </c>
      <c r="Q263" s="4">
        <f ca="1">_xll.DBRW($B$1,$B$2,$B$7,$B$3,$B$4,$B$5,$F263,$B$6,Q$10,$A263,$B263)</f>
        <v>5576917.5000000009</v>
      </c>
      <c r="R263" s="4">
        <f ca="1">_xll.DBRW($B$1,$B$2,$B$7,$B$3,$B$4,$B$5,$F263,$B$6,R$10,$A263,$B263)</f>
        <v>17486734.649999999</v>
      </c>
      <c r="S263" s="4">
        <f ca="1">_xll.DBRW($B$1,$B$2,$B$7,$B$3,$B$4,$B$5,$F263,$B$6,S$10,$A263,$B263)</f>
        <v>16061522.399999999</v>
      </c>
      <c r="T263" s="4">
        <f ca="1">_xll.DBRW($B$1,$B$2,$B$7,$B$3,$B$4,$B$5,$F263,$B$6,T$10,$A263,$B263)</f>
        <v>16209550.038627185</v>
      </c>
      <c r="U263" s="4">
        <f ca="1">_xll.DBRW($B$1,$B$2,$B$7,$B$3,$B$4,$B$5,$F263,$B$6,U$10,$A263,$B263)</f>
        <v>17240311.854156971</v>
      </c>
      <c r="V263" s="4">
        <f ca="1">_xll.DBRW($B$1,$B$2,$B$7,$B$3,$B$4,$B$5,$F263,$B$6,V$10,$A263,$B263)</f>
        <v>15085050.829890586</v>
      </c>
      <c r="W263" s="4">
        <f ca="1">_xll.DBRW($B$1,$B$2,$B$7,$B$3,$B$4,$B$5,$F263,$B$6,W$10,$A263,$B263)</f>
        <v>0</v>
      </c>
      <c r="X263" s="4">
        <f ca="1">_xll.DBRW($B$1,$B$2,$B$7,$B$3,$B$4,$B$5,$F263,$B$6,X$10,$A263,$B263)</f>
        <v>0</v>
      </c>
      <c r="Y263" s="4">
        <f ca="1">_xll.DBRW($B$1,$B$2,$B$7,$B$3,$B$4,$B$5,$F263,$B$6,Y$10,$A263,$B263)</f>
        <v>0</v>
      </c>
      <c r="Z263" s="4">
        <f ca="1">_xll.DBRW($B$1,$B$2,$B$7,$B$3,$B$4,$B$5,$F263,$B$6,Z$10,$A263,$B263)</f>
        <v>0</v>
      </c>
      <c r="AA263" s="4">
        <f ca="1">_xll.DBRW($B$1,$B$2,$B$7,$B$3,$B$4,$B$5,$F263,$B$6,AA$10,$A263,$B263)</f>
        <v>0</v>
      </c>
      <c r="AB263" s="4">
        <f ca="1">_xll.DBRW($B$1,$B$2,$B$7,$B$3,$B$4,$B$5,$F263,$B$6,AB$10,$A263,$B263)</f>
        <v>0</v>
      </c>
      <c r="AC263" s="4">
        <f ca="1">_xll.DBRW($B$1,$B$2,$B$7,$B$3,$B$4,$B$5,$F263,$B$6,AC$10,$A263,$B263)</f>
        <v>3387292.4721641797</v>
      </c>
      <c r="AD263" s="4">
        <f ca="1">_xll.DBRW($B$1,$B$2,$B$7,$B$3,$B$4,$B$5,$F263,$B$6,AD$10,$A263,$B263)</f>
        <v>19577275.71613548</v>
      </c>
      <c r="AE263" s="4">
        <f ca="1">_xll.DBRW($B$1,$B$2,$B$7,$B$3,$B$4,$B$5,$F263,$B$6,AE$10,$A263,$B263)</f>
        <v>18350521.68414085</v>
      </c>
    </row>
    <row r="264" spans="1:31">
      <c r="A264" s="1" t="s">
        <v>153</v>
      </c>
      <c r="B264" s="5" t="s">
        <v>182</v>
      </c>
      <c r="C264" s="5" t="s">
        <v>183</v>
      </c>
      <c r="D264" s="5" t="s">
        <v>181</v>
      </c>
      <c r="E264" s="5" t="s">
        <v>28</v>
      </c>
      <c r="F264" s="5" t="s">
        <v>25</v>
      </c>
      <c r="G264" s="6"/>
      <c r="H264" s="6"/>
      <c r="I264" s="6"/>
      <c r="J264" s="6"/>
      <c r="K264" s="6"/>
      <c r="L264" s="4">
        <f ca="1">_xll.DBRW($B$1,$B$2,$B$7,$B$3,$B$4,$B$5,$F264,$B$6,L$10,$A264,$B264)</f>
        <v>0</v>
      </c>
      <c r="M264" s="4">
        <f ca="1">_xll.DBRW($B$1,$B$2,$B$7,$B$3,$B$4,$B$5,$F264,$B$6,M$10,$A264,$B264)</f>
        <v>0</v>
      </c>
      <c r="N264" s="4">
        <f ca="1">_xll.DBRW($B$1,$B$2,$B$7,$B$3,$B$4,$B$5,$F264,$B$6,N$10,$A264,$B264)</f>
        <v>0</v>
      </c>
      <c r="O264" s="4">
        <f ca="1">_xll.DBRW($B$1,$B$2,$B$7,$B$3,$B$4,$B$5,$F264,$B$6,O$10,$A264,$B264)</f>
        <v>0</v>
      </c>
      <c r="P264" s="4">
        <f ca="1">_xll.DBRW($B$1,$B$2,$B$7,$B$3,$B$4,$B$5,$F264,$B$6,P$10,$A264,$B264)</f>
        <v>0</v>
      </c>
      <c r="Q264" s="4">
        <f ca="1">_xll.DBRW($B$1,$B$2,$B$7,$B$3,$B$4,$B$5,$F264,$B$6,Q$10,$A264,$B264)</f>
        <v>5576917.5000000009</v>
      </c>
      <c r="R264" s="4">
        <f ca="1">_xll.DBRW($B$1,$B$2,$B$7,$B$3,$B$4,$B$5,$F264,$B$6,R$10,$A264,$B264)</f>
        <v>17486734.649999999</v>
      </c>
      <c r="S264" s="4">
        <f ca="1">_xll.DBRW($B$1,$B$2,$B$7,$B$3,$B$4,$B$5,$F264,$B$6,S$10,$A264,$B264)</f>
        <v>16061522.399999999</v>
      </c>
      <c r="T264" s="4">
        <f ca="1">_xll.DBRW($B$1,$B$2,$B$7,$B$3,$B$4,$B$5,$F264,$B$6,T$10,$A264,$B264)</f>
        <v>16209550.038627185</v>
      </c>
      <c r="U264" s="4">
        <f ca="1">_xll.DBRW($B$1,$B$2,$B$7,$B$3,$B$4,$B$5,$F264,$B$6,U$10,$A264,$B264)</f>
        <v>17240311.854156971</v>
      </c>
      <c r="V264" s="4">
        <f ca="1">_xll.DBRW($B$1,$B$2,$B$7,$B$3,$B$4,$B$5,$F264,$B$6,V$10,$A264,$B264)</f>
        <v>15085050.829890586</v>
      </c>
      <c r="W264" s="4">
        <f ca="1">_xll.DBRW($B$1,$B$2,$B$7,$B$3,$B$4,$B$5,$F264,$B$6,W$10,$A264,$B264)</f>
        <v>0</v>
      </c>
      <c r="X264" s="4">
        <f ca="1">_xll.DBRW($B$1,$B$2,$B$7,$B$3,$B$4,$B$5,$F264,$B$6,X$10,$A264,$B264)</f>
        <v>0</v>
      </c>
      <c r="Y264" s="4">
        <f ca="1">_xll.DBRW($B$1,$B$2,$B$7,$B$3,$B$4,$B$5,$F264,$B$6,Y$10,$A264,$B264)</f>
        <v>0</v>
      </c>
      <c r="Z264" s="4">
        <f ca="1">_xll.DBRW($B$1,$B$2,$B$7,$B$3,$B$4,$B$5,$F264,$B$6,Z$10,$A264,$B264)</f>
        <v>0</v>
      </c>
      <c r="AA264" s="4">
        <f ca="1">_xll.DBRW($B$1,$B$2,$B$7,$B$3,$B$4,$B$5,$F264,$B$6,AA$10,$A264,$B264)</f>
        <v>0</v>
      </c>
      <c r="AB264" s="4">
        <f ca="1">_xll.DBRW($B$1,$B$2,$B$7,$B$3,$B$4,$B$5,$F264,$B$6,AB$10,$A264,$B264)</f>
        <v>0</v>
      </c>
      <c r="AC264" s="4">
        <f ca="1">_xll.DBRW($B$1,$B$2,$B$7,$B$3,$B$4,$B$5,$F264,$B$6,AC$10,$A264,$B264)</f>
        <v>3387292.4721641797</v>
      </c>
      <c r="AD264" s="4">
        <f ca="1">_xll.DBRW($B$1,$B$2,$B$7,$B$3,$B$4,$B$5,$F264,$B$6,AD$10,$A264,$B264)</f>
        <v>19577275.71613548</v>
      </c>
      <c r="AE264" s="4">
        <f ca="1">_xll.DBRW($B$1,$B$2,$B$7,$B$3,$B$4,$B$5,$F264,$B$6,AE$10,$A264,$B264)</f>
        <v>18350521.68414085</v>
      </c>
    </row>
    <row r="265" spans="1:31">
      <c r="A265" s="1" t="s">
        <v>153</v>
      </c>
      <c r="B265" s="5" t="s">
        <v>184</v>
      </c>
      <c r="C265" s="5" t="s">
        <v>185</v>
      </c>
      <c r="D265" s="5" t="s">
        <v>28</v>
      </c>
      <c r="E265" s="5" t="s">
        <v>49</v>
      </c>
      <c r="F265" s="5" t="s">
        <v>25</v>
      </c>
      <c r="G265" s="6"/>
      <c r="H265" s="6"/>
      <c r="I265" s="6"/>
      <c r="J265" s="6"/>
      <c r="K265" s="6"/>
      <c r="L265" s="4">
        <f ca="1">_xll.DBRW($B$1,$B$2,$B$7,$B$3,$B$4,$B$5,$F265,$B$6,L$10,$A265,$B265)</f>
        <v>0</v>
      </c>
      <c r="M265" s="4">
        <f ca="1">_xll.DBRW($B$1,$B$2,$B$7,$B$3,$B$4,$B$5,$F265,$B$6,M$10,$A265,$B265)</f>
        <v>22411455.39339228</v>
      </c>
      <c r="N265" s="4">
        <f ca="1">_xll.DBRW($B$1,$B$2,$B$7,$B$3,$B$4,$B$5,$F265,$B$6,N$10,$A265,$B265)</f>
        <v>21097368.5</v>
      </c>
      <c r="O265" s="4">
        <f ca="1">_xll.DBRW($B$1,$B$2,$B$7,$B$3,$B$4,$B$5,$F265,$B$6,O$10,$A265,$B265)</f>
        <v>17984642</v>
      </c>
      <c r="P265" s="4">
        <f ca="1">_xll.DBRW($B$1,$B$2,$B$7,$B$3,$B$4,$B$5,$F265,$B$6,P$10,$A265,$B265)</f>
        <v>27668680.000000004</v>
      </c>
      <c r="Q265" s="4">
        <f ca="1">_xll.DBRW($B$1,$B$2,$B$7,$B$3,$B$4,$B$5,$F265,$B$6,Q$10,$A265,$B265)</f>
        <v>18144269</v>
      </c>
      <c r="R265" s="4">
        <f ca="1">_xll.DBRW($B$1,$B$2,$B$7,$B$3,$B$4,$B$5,$F265,$B$6,R$10,$A265,$B265)</f>
        <v>0</v>
      </c>
      <c r="S265" s="4">
        <f ca="1">_xll.DBRW($B$1,$B$2,$B$7,$B$3,$B$4,$B$5,$F265,$B$6,S$10,$A265,$B265)</f>
        <v>0</v>
      </c>
      <c r="T265" s="4">
        <f ca="1">_xll.DBRW($B$1,$B$2,$B$7,$B$3,$B$4,$B$5,$F265,$B$6,T$10,$A265,$B265)</f>
        <v>0</v>
      </c>
      <c r="U265" s="4">
        <f ca="1">_xll.DBRW($B$1,$B$2,$B$7,$B$3,$B$4,$B$5,$F265,$B$6,U$10,$A265,$B265)</f>
        <v>0</v>
      </c>
      <c r="V265" s="4">
        <f ca="1">_xll.DBRW($B$1,$B$2,$B$7,$B$3,$B$4,$B$5,$F265,$B$6,V$10,$A265,$B265)</f>
        <v>1938905.0257469877</v>
      </c>
      <c r="W265" s="4">
        <f ca="1">_xll.DBRW($B$1,$B$2,$B$7,$B$3,$B$4,$B$5,$F265,$B$6,W$10,$A265,$B265)</f>
        <v>28006405.927456498</v>
      </c>
      <c r="X265" s="4">
        <f ca="1">_xll.DBRW($B$1,$B$2,$B$7,$B$3,$B$4,$B$5,$F265,$B$6,X$10,$A265,$B265)</f>
        <v>24661174.249508411</v>
      </c>
      <c r="Y265" s="4">
        <f ca="1">_xll.DBRW($B$1,$B$2,$B$7,$B$3,$B$4,$B$5,$F265,$B$6,Y$10,$A265,$B265)</f>
        <v>31784228.207613513</v>
      </c>
      <c r="Z265" s="4">
        <f ca="1">_xll.DBRW($B$1,$B$2,$B$7,$B$3,$B$4,$B$5,$F265,$B$6,Z$10,$A265,$B265)</f>
        <v>26470976.832295537</v>
      </c>
      <c r="AA265" s="4">
        <f ca="1">_xll.DBRW($B$1,$B$2,$B$7,$B$3,$B$4,$B$5,$F265,$B$6,AA$10,$A265,$B265)</f>
        <v>27633519.791219413</v>
      </c>
      <c r="AB265" s="4">
        <f ca="1">_xll.DBRW($B$1,$B$2,$B$7,$B$3,$B$4,$B$5,$F265,$B$6,AB$10,$A265,$B265)</f>
        <v>22358148.181731127</v>
      </c>
      <c r="AC265" s="4">
        <f ca="1">_xll.DBRW($B$1,$B$2,$B$7,$B$3,$B$4,$B$5,$F265,$B$6,AC$10,$A265,$B265)</f>
        <v>27819163.945144437</v>
      </c>
      <c r="AD265" s="4">
        <f ca="1">_xll.DBRW($B$1,$B$2,$B$7,$B$3,$B$4,$B$5,$F265,$B$6,AD$10,$A265,$B265)</f>
        <v>0</v>
      </c>
      <c r="AE265" s="4">
        <f ca="1">_xll.DBRW($B$1,$B$2,$B$7,$B$3,$B$4,$B$5,$F265,$B$6,AE$10,$A265,$B265)</f>
        <v>0</v>
      </c>
    </row>
    <row r="266" spans="1:31">
      <c r="A266" s="1" t="s">
        <v>153</v>
      </c>
      <c r="B266" s="5" t="s">
        <v>50</v>
      </c>
      <c r="C266" s="5" t="s">
        <v>51</v>
      </c>
      <c r="D266" s="5" t="s">
        <v>49</v>
      </c>
      <c r="E266" s="5" t="s">
        <v>28</v>
      </c>
      <c r="F266" s="5" t="s">
        <v>25</v>
      </c>
      <c r="G266" s="6"/>
      <c r="H266" s="6"/>
      <c r="I266" s="6"/>
      <c r="J266" s="6"/>
      <c r="K266" s="6"/>
      <c r="L266" s="4">
        <f ca="1">_xll.DBRW($B$1,$B$2,$B$7,$B$3,$B$4,$B$5,$F266,$B$6,L$10,$A266,$B266)</f>
        <v>0</v>
      </c>
      <c r="M266" s="4">
        <f ca="1">_xll.DBRW($B$1,$B$2,$B$7,$B$3,$B$4,$B$5,$F266,$B$6,M$10,$A266,$B266)</f>
        <v>22411455.39339228</v>
      </c>
      <c r="N266" s="4">
        <f ca="1">_xll.DBRW($B$1,$B$2,$B$7,$B$3,$B$4,$B$5,$F266,$B$6,N$10,$A266,$B266)</f>
        <v>21097368.5</v>
      </c>
      <c r="O266" s="4">
        <f ca="1">_xll.DBRW($B$1,$B$2,$B$7,$B$3,$B$4,$B$5,$F266,$B$6,O$10,$A266,$B266)</f>
        <v>17984642</v>
      </c>
      <c r="P266" s="4">
        <f ca="1">_xll.DBRW($B$1,$B$2,$B$7,$B$3,$B$4,$B$5,$F266,$B$6,P$10,$A266,$B266)</f>
        <v>27668680.000000004</v>
      </c>
      <c r="Q266" s="4">
        <f ca="1">_xll.DBRW($B$1,$B$2,$B$7,$B$3,$B$4,$B$5,$F266,$B$6,Q$10,$A266,$B266)</f>
        <v>18144269</v>
      </c>
      <c r="R266" s="4">
        <f ca="1">_xll.DBRW($B$1,$B$2,$B$7,$B$3,$B$4,$B$5,$F266,$B$6,R$10,$A266,$B266)</f>
        <v>0</v>
      </c>
      <c r="S266" s="4">
        <f ca="1">_xll.DBRW($B$1,$B$2,$B$7,$B$3,$B$4,$B$5,$F266,$B$6,S$10,$A266,$B266)</f>
        <v>0</v>
      </c>
      <c r="T266" s="4">
        <f ca="1">_xll.DBRW($B$1,$B$2,$B$7,$B$3,$B$4,$B$5,$F266,$B$6,T$10,$A266,$B266)</f>
        <v>0</v>
      </c>
      <c r="U266" s="4">
        <f ca="1">_xll.DBRW($B$1,$B$2,$B$7,$B$3,$B$4,$B$5,$F266,$B$6,U$10,$A266,$B266)</f>
        <v>0</v>
      </c>
      <c r="V266" s="4">
        <f ca="1">_xll.DBRW($B$1,$B$2,$B$7,$B$3,$B$4,$B$5,$F266,$B$6,V$10,$A266,$B266)</f>
        <v>1938905.0257469877</v>
      </c>
      <c r="W266" s="4">
        <f ca="1">_xll.DBRW($B$1,$B$2,$B$7,$B$3,$B$4,$B$5,$F266,$B$6,W$10,$A266,$B266)</f>
        <v>28006405.927456498</v>
      </c>
      <c r="X266" s="4">
        <f ca="1">_xll.DBRW($B$1,$B$2,$B$7,$B$3,$B$4,$B$5,$F266,$B$6,X$10,$A266,$B266)</f>
        <v>24661174.249508411</v>
      </c>
      <c r="Y266" s="4">
        <f ca="1">_xll.DBRW($B$1,$B$2,$B$7,$B$3,$B$4,$B$5,$F266,$B$6,Y$10,$A266,$B266)</f>
        <v>31784228.207613513</v>
      </c>
      <c r="Z266" s="4">
        <f ca="1">_xll.DBRW($B$1,$B$2,$B$7,$B$3,$B$4,$B$5,$F266,$B$6,Z$10,$A266,$B266)</f>
        <v>26470976.832295537</v>
      </c>
      <c r="AA266" s="4">
        <f ca="1">_xll.DBRW($B$1,$B$2,$B$7,$B$3,$B$4,$B$5,$F266,$B$6,AA$10,$A266,$B266)</f>
        <v>27633519.791219413</v>
      </c>
      <c r="AB266" s="4">
        <f ca="1">_xll.DBRW($B$1,$B$2,$B$7,$B$3,$B$4,$B$5,$F266,$B$6,AB$10,$A266,$B266)</f>
        <v>22358148.181731127</v>
      </c>
      <c r="AC266" s="4">
        <f ca="1">_xll.DBRW($B$1,$B$2,$B$7,$B$3,$B$4,$B$5,$F266,$B$6,AC$10,$A266,$B266)</f>
        <v>27819163.945144437</v>
      </c>
      <c r="AD266" s="4">
        <f ca="1">_xll.DBRW($B$1,$B$2,$B$7,$B$3,$B$4,$B$5,$F266,$B$6,AD$10,$A266,$B266)</f>
        <v>0</v>
      </c>
      <c r="AE266" s="4">
        <f ca="1">_xll.DBRW($B$1,$B$2,$B$7,$B$3,$B$4,$B$5,$F266,$B$6,AE$10,$A266,$B266)</f>
        <v>0</v>
      </c>
    </row>
    <row r="267" spans="1:31">
      <c r="A267" s="1" t="s">
        <v>153</v>
      </c>
      <c r="B267" s="5" t="s">
        <v>186</v>
      </c>
      <c r="C267" s="5" t="s">
        <v>187</v>
      </c>
      <c r="D267" s="5" t="s">
        <v>21</v>
      </c>
      <c r="E267" s="5" t="s">
        <v>59</v>
      </c>
      <c r="F267" s="5" t="s">
        <v>25</v>
      </c>
      <c r="G267" s="6"/>
      <c r="H267" s="6"/>
      <c r="I267" s="6"/>
      <c r="J267" s="6"/>
      <c r="K267" s="6"/>
      <c r="L267" s="4">
        <f ca="1">_xll.DBRW($B$1,$B$2,$B$7,$B$3,$B$4,$B$5,$F267,$B$6,L$10,$A267,$B267)</f>
        <v>41143298.700000003</v>
      </c>
      <c r="M267" s="4">
        <f ca="1">_xll.DBRW($B$1,$B$2,$B$7,$B$3,$B$4,$B$5,$F267,$B$6,M$10,$A267,$B267)</f>
        <v>33244267.37501904</v>
      </c>
      <c r="N267" s="4">
        <f ca="1">_xll.DBRW($B$1,$B$2,$B$7,$B$3,$B$4,$B$5,$F267,$B$6,N$10,$A267,$B267)</f>
        <v>36709540.000000007</v>
      </c>
      <c r="O267" s="4">
        <f ca="1">_xll.DBRW($B$1,$B$2,$B$7,$B$3,$B$4,$B$5,$F267,$B$6,O$10,$A267,$B267)</f>
        <v>37724286.600000001</v>
      </c>
      <c r="P267" s="4">
        <f ca="1">_xll.DBRW($B$1,$B$2,$B$7,$B$3,$B$4,$B$5,$F267,$B$6,P$10,$A267,$B267)</f>
        <v>34113352</v>
      </c>
      <c r="Q267" s="4">
        <f ca="1">_xll.DBRW($B$1,$B$2,$B$7,$B$3,$B$4,$B$5,$F267,$B$6,Q$10,$A267,$B267)</f>
        <v>39071233.600000009</v>
      </c>
      <c r="R267" s="4">
        <f ca="1">_xll.DBRW($B$1,$B$2,$B$7,$B$3,$B$4,$B$5,$F267,$B$6,R$10,$A267,$B267)</f>
        <v>41417922.350000001</v>
      </c>
      <c r="S267" s="4">
        <f ca="1">_xll.DBRW($B$1,$B$2,$B$7,$B$3,$B$4,$B$5,$F267,$B$6,S$10,$A267,$B267)</f>
        <v>37570609.020000003</v>
      </c>
      <c r="T267" s="4">
        <f ca="1">_xll.DBRW($B$1,$B$2,$B$7,$B$3,$B$4,$B$5,$F267,$B$6,T$10,$A267,$B267)</f>
        <v>58009179.145043053</v>
      </c>
      <c r="U267" s="4">
        <f ca="1">_xll.DBRW($B$1,$B$2,$B$7,$B$3,$B$4,$B$5,$F267,$B$6,U$10,$A267,$B267)</f>
        <v>55713141.538186498</v>
      </c>
      <c r="V267" s="4">
        <f ca="1">_xll.DBRW($B$1,$B$2,$B$7,$B$3,$B$4,$B$5,$F267,$B$6,V$10,$A267,$B267)</f>
        <v>53633662.593163729</v>
      </c>
      <c r="W267" s="4">
        <f ca="1">_xll.DBRW($B$1,$B$2,$B$7,$B$3,$B$4,$B$5,$F267,$B$6,W$10,$A267,$B267)</f>
        <v>42366187.883412354</v>
      </c>
      <c r="X267" s="4">
        <f ca="1">_xll.DBRW($B$1,$B$2,$B$7,$B$3,$B$4,$B$5,$F267,$B$6,X$10,$A267,$B267)</f>
        <v>50698670.130461156</v>
      </c>
      <c r="Y267" s="4">
        <f ca="1">_xll.DBRW($B$1,$B$2,$B$7,$B$3,$B$4,$B$5,$F267,$B$6,Y$10,$A267,$B267)</f>
        <v>43435075.478249088</v>
      </c>
      <c r="Z267" s="4">
        <f ca="1">_xll.DBRW($B$1,$B$2,$B$7,$B$3,$B$4,$B$5,$F267,$B$6,Z$10,$A267,$B267)</f>
        <v>48892003.996673182</v>
      </c>
      <c r="AA267" s="4">
        <f ca="1">_xll.DBRW($B$1,$B$2,$B$7,$B$3,$B$4,$B$5,$F267,$B$6,AA$10,$A267,$B267)</f>
        <v>49673168.886570074</v>
      </c>
      <c r="AB267" s="4">
        <f ca="1">_xll.DBRW($B$1,$B$2,$B$7,$B$3,$B$4,$B$5,$F267,$B$6,AB$10,$A267,$B267)</f>
        <v>41380024.202904657</v>
      </c>
      <c r="AC267" s="4">
        <f ca="1">_xll.DBRW($B$1,$B$2,$B$7,$B$3,$B$4,$B$5,$F267,$B$6,AC$10,$A267,$B267)</f>
        <v>48883156.955916539</v>
      </c>
      <c r="AD267" s="4">
        <f ca="1">_xll.DBRW($B$1,$B$2,$B$7,$B$3,$B$4,$B$5,$F267,$B$6,AD$10,$A267,$B267)</f>
        <v>67400120.673033178</v>
      </c>
      <c r="AE267" s="4">
        <f ca="1">_xll.DBRW($B$1,$B$2,$B$7,$B$3,$B$4,$B$5,$F267,$B$6,AE$10,$A267,$B267)</f>
        <v>63893028.785025485</v>
      </c>
    </row>
    <row r="268" spans="1:31">
      <c r="A268" s="1" t="s">
        <v>153</v>
      </c>
      <c r="B268" s="5" t="s">
        <v>61</v>
      </c>
      <c r="C268" s="5" t="s">
        <v>62</v>
      </c>
      <c r="D268" s="5" t="s">
        <v>59</v>
      </c>
      <c r="E268" s="5" t="s">
        <v>21</v>
      </c>
      <c r="F268" s="5" t="s">
        <v>25</v>
      </c>
      <c r="G268" s="6"/>
      <c r="H268" s="6"/>
      <c r="I268" s="6"/>
      <c r="J268" s="6"/>
      <c r="K268" s="6"/>
      <c r="L268" s="4">
        <f ca="1">_xll.DBRW($B$1,$B$2,$B$7,$B$3,$B$4,$B$5,$F268,$B$6,L$10,$A268,$B268)</f>
        <v>40303027.100000001</v>
      </c>
      <c r="M268" s="4">
        <f ca="1">_xll.DBRW($B$1,$B$2,$B$7,$B$3,$B$4,$B$5,$F268,$B$6,M$10,$A268,$B268)</f>
        <v>34006001.815690503</v>
      </c>
      <c r="N268" s="4">
        <f ca="1">_xll.DBRW($B$1,$B$2,$B$7,$B$3,$B$4,$B$5,$F268,$B$6,N$10,$A268,$B268)</f>
        <v>36709540.000000007</v>
      </c>
      <c r="O268" s="4">
        <f ca="1">_xll.DBRW($B$1,$B$2,$B$7,$B$3,$B$4,$B$5,$F268,$B$6,O$10,$A268,$B268)</f>
        <v>37724286.600000001</v>
      </c>
      <c r="P268" s="4">
        <f ca="1">_xll.DBRW($B$1,$B$2,$B$7,$B$3,$B$4,$B$5,$F268,$B$6,P$10,$A268,$B268)</f>
        <v>34113352</v>
      </c>
      <c r="Q268" s="4">
        <f ca="1">_xll.DBRW($B$1,$B$2,$B$7,$B$3,$B$4,$B$5,$F268,$B$6,Q$10,$A268,$B268)</f>
        <v>39082400.000000007</v>
      </c>
      <c r="R268" s="4">
        <f ca="1">_xll.DBRW($B$1,$B$2,$B$7,$B$3,$B$4,$B$5,$F268,$B$6,R$10,$A268,$B268)</f>
        <v>41404662.25</v>
      </c>
      <c r="S268" s="4">
        <f ca="1">_xll.DBRW($B$1,$B$2,$B$7,$B$3,$B$4,$B$5,$F268,$B$6,S$10,$A268,$B268)</f>
        <v>37570609.020000003</v>
      </c>
      <c r="T268" s="4">
        <f ca="1">_xll.DBRW($B$1,$B$2,$B$7,$B$3,$B$4,$B$5,$F268,$B$6,T$10,$A268,$B268)</f>
        <v>58009179.145043053</v>
      </c>
      <c r="U268" s="4">
        <f ca="1">_xll.DBRW($B$1,$B$2,$B$7,$B$3,$B$4,$B$5,$F268,$B$6,U$10,$A268,$B268)</f>
        <v>55713141.538186498</v>
      </c>
      <c r="V268" s="4">
        <f ca="1">_xll.DBRW($B$1,$B$2,$B$7,$B$3,$B$4,$B$5,$F268,$B$6,V$10,$A268,$B268)</f>
        <v>53633662.593163729</v>
      </c>
      <c r="W268" s="4">
        <f ca="1">_xll.DBRW($B$1,$B$2,$B$7,$B$3,$B$4,$B$5,$F268,$B$6,W$10,$A268,$B268)</f>
        <v>45587513.778145671</v>
      </c>
      <c r="X268" s="4">
        <f ca="1">_xll.DBRW($B$1,$B$2,$B$7,$B$3,$B$4,$B$5,$F268,$B$6,X$10,$A268,$B268)</f>
        <v>55398586.577464573</v>
      </c>
      <c r="Y268" s="4">
        <f ca="1">_xll.DBRW($B$1,$B$2,$B$7,$B$3,$B$4,$B$5,$F268,$B$6,Y$10,$A268,$B268)</f>
        <v>46737226.206978314</v>
      </c>
      <c r="Z268" s="4">
        <f ca="1">_xll.DBRW($B$1,$B$2,$B$7,$B$3,$B$4,$B$5,$F268,$B$6,Z$10,$A268,$B268)</f>
        <v>52452410.009434827</v>
      </c>
      <c r="AA268" s="4">
        <f ca="1">_xll.DBRW($B$1,$B$2,$B$7,$B$3,$B$4,$B$5,$F268,$B$6,AA$10,$A268,$B268)</f>
        <v>54278018.33970198</v>
      </c>
      <c r="AB268" s="4">
        <f ca="1">_xll.DBRW($B$1,$B$2,$B$7,$B$3,$B$4,$B$5,$F268,$B$6,AB$10,$A268,$B268)</f>
        <v>44587334.037316635</v>
      </c>
      <c r="AC268" s="4">
        <f ca="1">_xll.DBRW($B$1,$B$2,$B$7,$B$3,$B$4,$B$5,$F268,$B$6,AC$10,$A268,$B268)</f>
        <v>52257733.866088286</v>
      </c>
      <c r="AD268" s="4">
        <f ca="1">_xll.DBRW($B$1,$B$2,$B$7,$B$3,$B$4,$B$5,$F268,$B$6,AD$10,$A268,$B268)</f>
        <v>67400120.673033178</v>
      </c>
      <c r="AE268" s="4">
        <f ca="1">_xll.DBRW($B$1,$B$2,$B$7,$B$3,$B$4,$B$5,$F268,$B$6,AE$10,$A268,$B268)</f>
        <v>63893028.785025485</v>
      </c>
    </row>
    <row r="269" spans="1:31">
      <c r="A269" s="1" t="s">
        <v>153</v>
      </c>
      <c r="B269" s="5" t="s">
        <v>188</v>
      </c>
      <c r="C269" s="5" t="s">
        <v>189</v>
      </c>
      <c r="D269" s="5" t="s">
        <v>21</v>
      </c>
      <c r="E269" s="5" t="s">
        <v>20</v>
      </c>
      <c r="F269" s="5" t="s">
        <v>25</v>
      </c>
      <c r="G269" s="6"/>
      <c r="H269" s="6"/>
      <c r="I269" s="6"/>
      <c r="J269" s="6"/>
      <c r="K269" s="6"/>
      <c r="L269" s="4">
        <f ca="1">_xll.DBRW($B$1,$B$2,$B$7,$B$3,$B$4,$B$5,$F269,$B$6,L$10,$A269,$B269)</f>
        <v>41267601.759999998</v>
      </c>
      <c r="M269" s="4">
        <f ca="1">_xll.DBRW($B$1,$B$2,$B$7,$B$3,$B$4,$B$5,$F269,$B$6,M$10,$A269,$B269)</f>
        <v>45949178.621880889</v>
      </c>
      <c r="N269" s="4">
        <f ca="1">_xll.DBRW($B$1,$B$2,$B$7,$B$3,$B$4,$B$5,$F269,$B$6,N$10,$A269,$B269)</f>
        <v>44426844.000000007</v>
      </c>
      <c r="O269" s="4">
        <f ca="1">_xll.DBRW($B$1,$B$2,$B$7,$B$3,$B$4,$B$5,$F269,$B$6,O$10,$A269,$B269)</f>
        <v>39243712.199999996</v>
      </c>
      <c r="P269" s="4">
        <f ca="1">_xll.DBRW($B$1,$B$2,$B$7,$B$3,$B$4,$B$5,$F269,$B$6,P$10,$A269,$B269)</f>
        <v>35350392</v>
      </c>
      <c r="Q269" s="4">
        <f ca="1">_xll.DBRW($B$1,$B$2,$B$7,$B$3,$B$4,$B$5,$F269,$B$6,Q$10,$A269,$B269)</f>
        <v>33331957.120000001</v>
      </c>
      <c r="R269" s="4">
        <f ca="1">_xll.DBRW($B$1,$B$2,$B$7,$B$3,$B$4,$B$5,$F269,$B$6,R$10,$A269,$B269)</f>
        <v>29688637.440000001</v>
      </c>
      <c r="S269" s="4">
        <f ca="1">_xll.DBRW($B$1,$B$2,$B$7,$B$3,$B$4,$B$5,$F269,$B$6,S$10,$A269,$B269)</f>
        <v>38108224</v>
      </c>
      <c r="T269" s="4">
        <f ca="1">_xll.DBRW($B$1,$B$2,$B$7,$B$3,$B$4,$B$5,$F269,$B$6,T$10,$A269,$B269)</f>
        <v>22498650.104921512</v>
      </c>
      <c r="U269" s="4">
        <f ca="1">_xll.DBRW($B$1,$B$2,$B$7,$B$3,$B$4,$B$5,$F269,$B$6,U$10,$A269,$B269)</f>
        <v>15129919.218608771</v>
      </c>
      <c r="V269" s="4">
        <f ca="1">_xll.DBRW($B$1,$B$2,$B$7,$B$3,$B$4,$B$5,$F269,$B$6,V$10,$A269,$B269)</f>
        <v>28253490.959378235</v>
      </c>
      <c r="W269" s="4">
        <f ca="1">_xll.DBRW($B$1,$B$2,$B$7,$B$3,$B$4,$B$5,$F269,$B$6,W$10,$A269,$B269)</f>
        <v>26582721.847976729</v>
      </c>
      <c r="X269" s="4">
        <f ca="1">_xll.DBRW($B$1,$B$2,$B$7,$B$3,$B$4,$B$5,$F269,$B$6,X$10,$A269,$B269)</f>
        <v>32145282.243474387</v>
      </c>
      <c r="Y269" s="4">
        <f ca="1">_xll.DBRW($B$1,$B$2,$B$7,$B$3,$B$4,$B$5,$F269,$B$6,Y$10,$A269,$B269)</f>
        <v>34822246.32602495</v>
      </c>
      <c r="Z269" s="4">
        <f ca="1">_xll.DBRW($B$1,$B$2,$B$7,$B$3,$B$4,$B$5,$F269,$B$6,Z$10,$A269,$B269)</f>
        <v>34058012.435936429</v>
      </c>
      <c r="AA269" s="4">
        <f ca="1">_xll.DBRW($B$1,$B$2,$B$7,$B$3,$B$4,$B$5,$F269,$B$6,AA$10,$A269,$B269)</f>
        <v>28560897.175495848</v>
      </c>
      <c r="AB269" s="4">
        <f ca="1">_xll.DBRW($B$1,$B$2,$B$7,$B$3,$B$4,$B$5,$F269,$B$6,AB$10,$A269,$B269)</f>
        <v>26780815.313405201</v>
      </c>
      <c r="AC269" s="4">
        <f ca="1">_xll.DBRW($B$1,$B$2,$B$7,$B$3,$B$4,$B$5,$F269,$B$6,AC$10,$A269,$B269)</f>
        <v>25021757.0749502</v>
      </c>
      <c r="AD269" s="4">
        <f ca="1">_xll.DBRW($B$1,$B$2,$B$7,$B$3,$B$4,$B$5,$F269,$B$6,AD$10,$A269,$B269)</f>
        <v>25682044.649194859</v>
      </c>
      <c r="AE269" s="4">
        <f ca="1">_xll.DBRW($B$1,$B$2,$B$7,$B$3,$B$4,$B$5,$F269,$B$6,AE$10,$A269,$B269)</f>
        <v>32518016.40174447</v>
      </c>
    </row>
    <row r="270" spans="1:31">
      <c r="A270" s="1" t="s">
        <v>153</v>
      </c>
      <c r="B270" s="5" t="s">
        <v>18</v>
      </c>
      <c r="C270" s="5" t="s">
        <v>19</v>
      </c>
      <c r="D270" s="5" t="s">
        <v>20</v>
      </c>
      <c r="E270" s="5" t="s">
        <v>21</v>
      </c>
      <c r="F270" s="5" t="s">
        <v>25</v>
      </c>
      <c r="G270" s="6"/>
      <c r="H270" s="6"/>
      <c r="I270" s="6"/>
      <c r="J270" s="6"/>
      <c r="K270" s="6"/>
      <c r="L270" s="4">
        <f ca="1">_xll.DBRW($B$1,$B$2,$B$7,$B$3,$B$4,$B$5,$F270,$B$6,L$10,$A270,$B270)</f>
        <v>41267601.759999998</v>
      </c>
      <c r="M270" s="4">
        <f ca="1">_xll.DBRW($B$1,$B$2,$B$7,$B$3,$B$4,$B$5,$F270,$B$6,M$10,$A270,$B270)</f>
        <v>45949178.621880889</v>
      </c>
      <c r="N270" s="4">
        <f ca="1">_xll.DBRW($B$1,$B$2,$B$7,$B$3,$B$4,$B$5,$F270,$B$6,N$10,$A270,$B270)</f>
        <v>44426844.000000007</v>
      </c>
      <c r="O270" s="4">
        <f ca="1">_xll.DBRW($B$1,$B$2,$B$7,$B$3,$B$4,$B$5,$F270,$B$6,O$10,$A270,$B270)</f>
        <v>39243712.199999996</v>
      </c>
      <c r="P270" s="4">
        <f ca="1">_xll.DBRW($B$1,$B$2,$B$7,$B$3,$B$4,$B$5,$F270,$B$6,P$10,$A270,$B270)</f>
        <v>35350392</v>
      </c>
      <c r="Q270" s="4">
        <f ca="1">_xll.DBRW($B$1,$B$2,$B$7,$B$3,$B$4,$B$5,$F270,$B$6,Q$10,$A270,$B270)</f>
        <v>33331957.120000001</v>
      </c>
      <c r="R270" s="4">
        <f ca="1">_xll.DBRW($B$1,$B$2,$B$7,$B$3,$B$4,$B$5,$F270,$B$6,R$10,$A270,$B270)</f>
        <v>29688637.440000001</v>
      </c>
      <c r="S270" s="4">
        <f ca="1">_xll.DBRW($B$1,$B$2,$B$7,$B$3,$B$4,$B$5,$F270,$B$6,S$10,$A270,$B270)</f>
        <v>38108224</v>
      </c>
      <c r="T270" s="4">
        <f ca="1">_xll.DBRW($B$1,$B$2,$B$7,$B$3,$B$4,$B$5,$F270,$B$6,T$10,$A270,$B270)</f>
        <v>22498650.104921512</v>
      </c>
      <c r="U270" s="4">
        <f ca="1">_xll.DBRW($B$1,$B$2,$B$7,$B$3,$B$4,$B$5,$F270,$B$6,U$10,$A270,$B270)</f>
        <v>15129919.218608771</v>
      </c>
      <c r="V270" s="4">
        <f ca="1">_xll.DBRW($B$1,$B$2,$B$7,$B$3,$B$4,$B$5,$F270,$B$6,V$10,$A270,$B270)</f>
        <v>28253490.959378235</v>
      </c>
      <c r="W270" s="4">
        <f ca="1">_xll.DBRW($B$1,$B$2,$B$7,$B$3,$B$4,$B$5,$F270,$B$6,W$10,$A270,$B270)</f>
        <v>26582721.847976729</v>
      </c>
      <c r="X270" s="4">
        <f ca="1">_xll.DBRW($B$1,$B$2,$B$7,$B$3,$B$4,$B$5,$F270,$B$6,X$10,$A270,$B270)</f>
        <v>32145282.243474387</v>
      </c>
      <c r="Y270" s="4">
        <f ca="1">_xll.DBRW($B$1,$B$2,$B$7,$B$3,$B$4,$B$5,$F270,$B$6,Y$10,$A270,$B270)</f>
        <v>34822246.32602495</v>
      </c>
      <c r="Z270" s="4">
        <f ca="1">_xll.DBRW($B$1,$B$2,$B$7,$B$3,$B$4,$B$5,$F270,$B$6,Z$10,$A270,$B270)</f>
        <v>34058012.435936429</v>
      </c>
      <c r="AA270" s="4">
        <f ca="1">_xll.DBRW($B$1,$B$2,$B$7,$B$3,$B$4,$B$5,$F270,$B$6,AA$10,$A270,$B270)</f>
        <v>28560897.175495848</v>
      </c>
      <c r="AB270" s="4">
        <f ca="1">_xll.DBRW($B$1,$B$2,$B$7,$B$3,$B$4,$B$5,$F270,$B$6,AB$10,$A270,$B270)</f>
        <v>26780815.313405201</v>
      </c>
      <c r="AC270" s="4">
        <f ca="1">_xll.DBRW($B$1,$B$2,$B$7,$B$3,$B$4,$B$5,$F270,$B$6,AC$10,$A270,$B270)</f>
        <v>25021757.0749502</v>
      </c>
      <c r="AD270" s="4">
        <f ca="1">_xll.DBRW($B$1,$B$2,$B$7,$B$3,$B$4,$B$5,$F270,$B$6,AD$10,$A270,$B270)</f>
        <v>25682044.649194859</v>
      </c>
      <c r="AE270" s="4">
        <f ca="1">_xll.DBRW($B$1,$B$2,$B$7,$B$3,$B$4,$B$5,$F270,$B$6,AE$10,$A270,$B270)</f>
        <v>32518016.40174447</v>
      </c>
    </row>
    <row r="271" spans="1:31">
      <c r="A271" s="1" t="s">
        <v>153</v>
      </c>
      <c r="B271" s="5" t="s">
        <v>190</v>
      </c>
      <c r="C271" s="5" t="s">
        <v>191</v>
      </c>
      <c r="D271" s="5" t="s">
        <v>21</v>
      </c>
      <c r="E271" s="5" t="s">
        <v>73</v>
      </c>
      <c r="F271" s="5" t="s">
        <v>25</v>
      </c>
      <c r="G271" s="6"/>
      <c r="H271" s="6"/>
      <c r="I271" s="6"/>
      <c r="J271" s="6"/>
      <c r="K271" s="6"/>
      <c r="L271" s="4">
        <f ca="1">_xll.DBRW($B$1,$B$2,$B$7,$B$3,$B$4,$B$5,$F271,$B$6,L$10,$A271,$B271)</f>
        <v>37473047.999999993</v>
      </c>
      <c r="M271" s="4">
        <f ca="1">_xll.DBRW($B$1,$B$2,$B$7,$B$3,$B$4,$B$5,$F271,$B$6,M$10,$A271,$B271)</f>
        <v>41447699.603379719</v>
      </c>
      <c r="N271" s="4">
        <f ca="1">_xll.DBRW($B$1,$B$2,$B$7,$B$3,$B$4,$B$5,$F271,$B$6,N$10,$A271,$B271)</f>
        <v>42760656.000000007</v>
      </c>
      <c r="O271" s="4">
        <f ca="1">_xll.DBRW($B$1,$B$2,$B$7,$B$3,$B$4,$B$5,$F271,$B$6,O$10,$A271,$B271)</f>
        <v>40921488.000000007</v>
      </c>
      <c r="P271" s="4">
        <f ca="1">_xll.DBRW($B$1,$B$2,$B$7,$B$3,$B$4,$B$5,$F271,$B$6,P$10,$A271,$B271)</f>
        <v>38266560</v>
      </c>
      <c r="Q271" s="4">
        <f ca="1">_xll.DBRW($B$1,$B$2,$B$7,$B$3,$B$4,$B$5,$F271,$B$6,Q$10,$A271,$B271)</f>
        <v>38622528</v>
      </c>
      <c r="R271" s="4">
        <f ca="1">_xll.DBRW($B$1,$B$2,$B$7,$B$3,$B$4,$B$5,$F271,$B$6,R$10,$A271,$B271)</f>
        <v>33372000.000000004</v>
      </c>
      <c r="S271" s="4">
        <f ca="1">_xll.DBRW($B$1,$B$2,$B$7,$B$3,$B$4,$B$5,$F271,$B$6,S$10,$A271,$B271)</f>
        <v>36783360</v>
      </c>
      <c r="T271" s="4">
        <f ca="1">_xll.DBRW($B$1,$B$2,$B$7,$B$3,$B$4,$B$5,$F271,$B$6,T$10,$A271,$B271)</f>
        <v>27260937.301176552</v>
      </c>
      <c r="U271" s="4">
        <f ca="1">_xll.DBRW($B$1,$B$2,$B$7,$B$3,$B$4,$B$5,$F271,$B$6,U$10,$A271,$B271)</f>
        <v>21566078.83960741</v>
      </c>
      <c r="V271" s="4">
        <f ca="1">_xll.DBRW($B$1,$B$2,$B$7,$B$3,$B$4,$B$5,$F271,$B$6,V$10,$A271,$B271)</f>
        <v>28982774.76392702</v>
      </c>
      <c r="W271" s="4">
        <f ca="1">_xll.DBRW($B$1,$B$2,$B$7,$B$3,$B$4,$B$5,$F271,$B$6,W$10,$A271,$B271)</f>
        <v>24806186.061737169</v>
      </c>
      <c r="X271" s="4">
        <f ca="1">_xll.DBRW($B$1,$B$2,$B$7,$B$3,$B$4,$B$5,$F271,$B$6,X$10,$A271,$B271)</f>
        <v>33060989.195880517</v>
      </c>
      <c r="Y271" s="4">
        <f ca="1">_xll.DBRW($B$1,$B$2,$B$7,$B$3,$B$4,$B$5,$F271,$B$6,Y$10,$A271,$B271)</f>
        <v>40417820.377085231</v>
      </c>
      <c r="Z271" s="4">
        <f ca="1">_xll.DBRW($B$1,$B$2,$B$7,$B$3,$B$4,$B$5,$F271,$B$6,Z$10,$A271,$B271)</f>
        <v>43874957.24788551</v>
      </c>
      <c r="AA271" s="4">
        <f ca="1">_xll.DBRW($B$1,$B$2,$B$7,$B$3,$B$4,$B$5,$F271,$B$6,AA$10,$A271,$B271)</f>
        <v>40116059.376590542</v>
      </c>
      <c r="AB271" s="4">
        <f ca="1">_xll.DBRW($B$1,$B$2,$B$7,$B$3,$B$4,$B$5,$F271,$B$6,AB$10,$A271,$B271)</f>
        <v>40798010.82099542</v>
      </c>
      <c r="AC271" s="4">
        <f ca="1">_xll.DBRW($B$1,$B$2,$B$7,$B$3,$B$4,$B$5,$F271,$B$6,AC$10,$A271,$B271)</f>
        <v>29239334.406538919</v>
      </c>
      <c r="AD271" s="4">
        <f ca="1">_xll.DBRW($B$1,$B$2,$B$7,$B$3,$B$4,$B$5,$F271,$B$6,AD$10,$A271,$B271)</f>
        <v>23791256.472465049</v>
      </c>
      <c r="AE271" s="4">
        <f ca="1">_xll.DBRW($B$1,$B$2,$B$7,$B$3,$B$4,$B$5,$F271,$B$6,AE$10,$A271,$B271)</f>
        <v>33817512.985010967</v>
      </c>
    </row>
    <row r="272" spans="1:31">
      <c r="A272" s="1" t="s">
        <v>153</v>
      </c>
      <c r="B272" s="5" t="s">
        <v>71</v>
      </c>
      <c r="C272" s="5" t="s">
        <v>72</v>
      </c>
      <c r="D272" s="5" t="s">
        <v>73</v>
      </c>
      <c r="E272" s="5" t="s">
        <v>21</v>
      </c>
      <c r="F272" s="5" t="s">
        <v>25</v>
      </c>
      <c r="G272" s="6"/>
      <c r="H272" s="6"/>
      <c r="I272" s="6"/>
      <c r="J272" s="6"/>
      <c r="K272" s="6"/>
      <c r="L272" s="4">
        <f ca="1">_xll.DBRW($B$1,$B$2,$B$7,$B$3,$B$4,$B$5,$F272,$B$6,L$10,$A272,$B272)</f>
        <v>37473047.999999993</v>
      </c>
      <c r="M272" s="4">
        <f ca="1">_xll.DBRW($B$1,$B$2,$B$7,$B$3,$B$4,$B$5,$F272,$B$6,M$10,$A272,$B272)</f>
        <v>41447699.603379719</v>
      </c>
      <c r="N272" s="4">
        <f ca="1">_xll.DBRW($B$1,$B$2,$B$7,$B$3,$B$4,$B$5,$F272,$B$6,N$10,$A272,$B272)</f>
        <v>42760656.000000007</v>
      </c>
      <c r="O272" s="4">
        <f ca="1">_xll.DBRW($B$1,$B$2,$B$7,$B$3,$B$4,$B$5,$F272,$B$6,O$10,$A272,$B272)</f>
        <v>40921488.000000007</v>
      </c>
      <c r="P272" s="4">
        <f ca="1">_xll.DBRW($B$1,$B$2,$B$7,$B$3,$B$4,$B$5,$F272,$B$6,P$10,$A272,$B272)</f>
        <v>38266560</v>
      </c>
      <c r="Q272" s="4">
        <f ca="1">_xll.DBRW($B$1,$B$2,$B$7,$B$3,$B$4,$B$5,$F272,$B$6,Q$10,$A272,$B272)</f>
        <v>38622528</v>
      </c>
      <c r="R272" s="4">
        <f ca="1">_xll.DBRW($B$1,$B$2,$B$7,$B$3,$B$4,$B$5,$F272,$B$6,R$10,$A272,$B272)</f>
        <v>33372000.000000004</v>
      </c>
      <c r="S272" s="4">
        <f ca="1">_xll.DBRW($B$1,$B$2,$B$7,$B$3,$B$4,$B$5,$F272,$B$6,S$10,$A272,$B272)</f>
        <v>36783360</v>
      </c>
      <c r="T272" s="4">
        <f ca="1">_xll.DBRW($B$1,$B$2,$B$7,$B$3,$B$4,$B$5,$F272,$B$6,T$10,$A272,$B272)</f>
        <v>27260937.301176552</v>
      </c>
      <c r="U272" s="4">
        <f ca="1">_xll.DBRW($B$1,$B$2,$B$7,$B$3,$B$4,$B$5,$F272,$B$6,U$10,$A272,$B272)</f>
        <v>21566078.83960741</v>
      </c>
      <c r="V272" s="4">
        <f ca="1">_xll.DBRW($B$1,$B$2,$B$7,$B$3,$B$4,$B$5,$F272,$B$6,V$10,$A272,$B272)</f>
        <v>28982774.76392702</v>
      </c>
      <c r="W272" s="4">
        <f ca="1">_xll.DBRW($B$1,$B$2,$B$7,$B$3,$B$4,$B$5,$F272,$B$6,W$10,$A272,$B272)</f>
        <v>24806186.061737169</v>
      </c>
      <c r="X272" s="4">
        <f ca="1">_xll.DBRW($B$1,$B$2,$B$7,$B$3,$B$4,$B$5,$F272,$B$6,X$10,$A272,$B272)</f>
        <v>33060989.195880517</v>
      </c>
      <c r="Y272" s="4">
        <f ca="1">_xll.DBRW($B$1,$B$2,$B$7,$B$3,$B$4,$B$5,$F272,$B$6,Y$10,$A272,$B272)</f>
        <v>40417820.377085231</v>
      </c>
      <c r="Z272" s="4">
        <f ca="1">_xll.DBRW($B$1,$B$2,$B$7,$B$3,$B$4,$B$5,$F272,$B$6,Z$10,$A272,$B272)</f>
        <v>43874957.24788551</v>
      </c>
      <c r="AA272" s="4">
        <f ca="1">_xll.DBRW($B$1,$B$2,$B$7,$B$3,$B$4,$B$5,$F272,$B$6,AA$10,$A272,$B272)</f>
        <v>40116059.376590542</v>
      </c>
      <c r="AB272" s="4">
        <f ca="1">_xll.DBRW($B$1,$B$2,$B$7,$B$3,$B$4,$B$5,$F272,$B$6,AB$10,$A272,$B272)</f>
        <v>40798010.82099542</v>
      </c>
      <c r="AC272" s="4">
        <f ca="1">_xll.DBRW($B$1,$B$2,$B$7,$B$3,$B$4,$B$5,$F272,$B$6,AC$10,$A272,$B272)</f>
        <v>29239334.406538919</v>
      </c>
      <c r="AD272" s="4">
        <f ca="1">_xll.DBRW($B$1,$B$2,$B$7,$B$3,$B$4,$B$5,$F272,$B$6,AD$10,$A272,$B272)</f>
        <v>23791256.472465049</v>
      </c>
      <c r="AE272" s="4">
        <f ca="1">_xll.DBRW($B$1,$B$2,$B$7,$B$3,$B$4,$B$5,$F272,$B$6,AE$10,$A272,$B272)</f>
        <v>32726625.469365459</v>
      </c>
    </row>
    <row r="273" spans="1:31">
      <c r="A273" s="1" t="s">
        <v>153</v>
      </c>
      <c r="B273" s="5" t="s">
        <v>192</v>
      </c>
      <c r="C273" s="5" t="s">
        <v>193</v>
      </c>
      <c r="D273" s="5" t="s">
        <v>21</v>
      </c>
      <c r="E273" s="5" t="s">
        <v>194</v>
      </c>
      <c r="F273" s="5" t="s">
        <v>25</v>
      </c>
      <c r="G273" s="6"/>
      <c r="H273" s="6"/>
      <c r="I273" s="6"/>
      <c r="J273" s="6"/>
      <c r="K273" s="6"/>
      <c r="L273" s="4">
        <f ca="1">_xll.DBRW($B$1,$B$2,$B$7,$B$3,$B$4,$B$5,$F273,$B$6,L$10,$A273,$B273)</f>
        <v>11328854.4</v>
      </c>
      <c r="M273" s="4">
        <f ca="1">_xll.DBRW($B$1,$B$2,$B$7,$B$3,$B$4,$B$5,$F273,$B$6,M$10,$A273,$B273)</f>
        <v>11035550.620612478</v>
      </c>
      <c r="N273" s="4">
        <f ca="1">_xll.DBRW($B$1,$B$2,$B$7,$B$3,$B$4,$B$5,$F273,$B$6,N$10,$A273,$B273)</f>
        <v>11995257.6</v>
      </c>
      <c r="O273" s="4">
        <f ca="1">_xll.DBRW($B$1,$B$2,$B$7,$B$3,$B$4,$B$5,$F273,$B$6,O$10,$A273,$B273)</f>
        <v>11995257.6</v>
      </c>
      <c r="P273" s="4">
        <f ca="1">_xll.DBRW($B$1,$B$2,$B$7,$B$3,$B$4,$B$5,$F273,$B$6,P$10,$A273,$B273)</f>
        <v>12128538.239999998</v>
      </c>
      <c r="Q273" s="4">
        <f ca="1">_xll.DBRW($B$1,$B$2,$B$7,$B$3,$B$4,$B$5,$F273,$B$6,Q$10,$A273,$B273)</f>
        <v>14579421.120000001</v>
      </c>
      <c r="R273" s="4">
        <f ca="1">_xll.DBRW($B$1,$B$2,$B$7,$B$3,$B$4,$B$5,$F273,$B$6,R$10,$A273,$B273)</f>
        <v>14927431.679999998</v>
      </c>
      <c r="S273" s="4">
        <f ca="1">_xll.DBRW($B$1,$B$2,$B$7,$B$3,$B$4,$B$5,$F273,$B$6,S$10,$A273,$B273)</f>
        <v>16586035.199999999</v>
      </c>
      <c r="T273" s="4">
        <f ca="1">_xll.DBRW($B$1,$B$2,$B$7,$B$3,$B$4,$B$5,$F273,$B$6,T$10,$A273,$B273)</f>
        <v>18426911.504655451</v>
      </c>
      <c r="U273" s="4">
        <f ca="1">_xll.DBRW($B$1,$B$2,$B$7,$B$3,$B$4,$B$5,$F273,$B$6,U$10,$A273,$B273)</f>
        <v>17602269.508166198</v>
      </c>
      <c r="V273" s="4">
        <f ca="1">_xll.DBRW($B$1,$B$2,$B$7,$B$3,$B$4,$B$5,$F273,$B$6,V$10,$A273,$B273)</f>
        <v>19069125.300513387</v>
      </c>
      <c r="W273" s="4">
        <f ca="1">_xll.DBRW($B$1,$B$2,$B$7,$B$3,$B$4,$B$5,$F273,$B$6,W$10,$A273,$B273)</f>
        <v>11313513.720478348</v>
      </c>
      <c r="X273" s="4">
        <f ca="1">_xll.DBRW($B$1,$B$2,$B$7,$B$3,$B$4,$B$5,$F273,$B$6,X$10,$A273,$B273)</f>
        <v>13201702.131124651</v>
      </c>
      <c r="Y273" s="4">
        <f ca="1">_xll.DBRW($B$1,$B$2,$B$7,$B$3,$B$4,$B$5,$F273,$B$6,Y$10,$A273,$B273)</f>
        <v>13201702.131124653</v>
      </c>
      <c r="Z273" s="4">
        <f ca="1">_xll.DBRW($B$1,$B$2,$B$7,$B$3,$B$4,$B$5,$F273,$B$6,Z$10,$A273,$B273)</f>
        <v>11597526.397872912</v>
      </c>
      <c r="AA273" s="4">
        <f ca="1">_xll.DBRW($B$1,$B$2,$B$7,$B$3,$B$4,$B$5,$F273,$B$6,AA$10,$A273,$B273)</f>
        <v>13038371.41851436</v>
      </c>
      <c r="AB273" s="4">
        <f ca="1">_xll.DBRW($B$1,$B$2,$B$7,$B$3,$B$4,$B$5,$F273,$B$6,AB$10,$A273,$B273)</f>
        <v>13201702.131124651</v>
      </c>
      <c r="AC273" s="4">
        <f ca="1">_xll.DBRW($B$1,$B$2,$B$7,$B$3,$B$4,$B$5,$F273,$B$6,AC$10,$A273,$B273)</f>
        <v>14668557.923471833</v>
      </c>
      <c r="AD273" s="4">
        <f ca="1">_xll.DBRW($B$1,$B$2,$B$7,$B$3,$B$4,$B$5,$F273,$B$6,AD$10,$A273,$B273)</f>
        <v>16062913.448092472</v>
      </c>
      <c r="AE273" s="4">
        <f ca="1">_xll.DBRW($B$1,$B$2,$B$7,$B$3,$B$4,$B$5,$F273,$B$6,AE$10,$A273,$B273)</f>
        <v>15906389.469034918</v>
      </c>
    </row>
    <row r="274" spans="1:31">
      <c r="A274" s="1" t="s">
        <v>153</v>
      </c>
      <c r="B274" s="5" t="s">
        <v>195</v>
      </c>
      <c r="C274" s="5" t="s">
        <v>196</v>
      </c>
      <c r="D274" s="5" t="s">
        <v>194</v>
      </c>
      <c r="E274" s="5" t="s">
        <v>21</v>
      </c>
      <c r="F274" s="5" t="s">
        <v>25</v>
      </c>
      <c r="G274" s="6"/>
      <c r="H274" s="6"/>
      <c r="I274" s="6"/>
      <c r="J274" s="6"/>
      <c r="K274" s="6"/>
      <c r="L274" s="4">
        <f ca="1">_xll.DBRW($B$1,$B$2,$B$7,$B$3,$B$4,$B$5,$F274,$B$6,L$10,$A274,$B274)</f>
        <v>11328854.4</v>
      </c>
      <c r="M274" s="4">
        <f ca="1">_xll.DBRW($B$1,$B$2,$B$7,$B$3,$B$4,$B$5,$F274,$B$6,M$10,$A274,$B274)</f>
        <v>11035550.620612478</v>
      </c>
      <c r="N274" s="4">
        <f ca="1">_xll.DBRW($B$1,$B$2,$B$7,$B$3,$B$4,$B$5,$F274,$B$6,N$10,$A274,$B274)</f>
        <v>11995257.6</v>
      </c>
      <c r="O274" s="4">
        <f ca="1">_xll.DBRW($B$1,$B$2,$B$7,$B$3,$B$4,$B$5,$F274,$B$6,O$10,$A274,$B274)</f>
        <v>11995257.6</v>
      </c>
      <c r="P274" s="4">
        <f ca="1">_xll.DBRW($B$1,$B$2,$B$7,$B$3,$B$4,$B$5,$F274,$B$6,P$10,$A274,$B274)</f>
        <v>12128538.239999998</v>
      </c>
      <c r="Q274" s="4">
        <f ca="1">_xll.DBRW($B$1,$B$2,$B$7,$B$3,$B$4,$B$5,$F274,$B$6,Q$10,$A274,$B274)</f>
        <v>13254019.200000001</v>
      </c>
      <c r="R274" s="4">
        <f ca="1">_xll.DBRW($B$1,$B$2,$B$7,$B$3,$B$4,$B$5,$F274,$B$6,R$10,$A274,$B274)</f>
        <v>14927431.679999998</v>
      </c>
      <c r="S274" s="4">
        <f ca="1">_xll.DBRW($B$1,$B$2,$B$7,$B$3,$B$4,$B$5,$F274,$B$6,S$10,$A274,$B274)</f>
        <v>16586035.199999999</v>
      </c>
      <c r="T274" s="4">
        <f ca="1">_xll.DBRW($B$1,$B$2,$B$7,$B$3,$B$4,$B$5,$F274,$B$6,T$10,$A274,$B274)</f>
        <v>18426911.504655451</v>
      </c>
      <c r="U274" s="4">
        <f ca="1">_xll.DBRW($B$1,$B$2,$B$7,$B$3,$B$4,$B$5,$F274,$B$6,U$10,$A274,$B274)</f>
        <v>17602269.508166198</v>
      </c>
      <c r="V274" s="4">
        <f ca="1">_xll.DBRW($B$1,$B$2,$B$7,$B$3,$B$4,$B$5,$F274,$B$6,V$10,$A274,$B274)</f>
        <v>19069125.300513387</v>
      </c>
      <c r="W274" s="4">
        <f ca="1">_xll.DBRW($B$1,$B$2,$B$7,$B$3,$B$4,$B$5,$F274,$B$6,W$10,$A274,$B274)</f>
        <v>11313513.720478348</v>
      </c>
      <c r="X274" s="4">
        <f ca="1">_xll.DBRW($B$1,$B$2,$B$7,$B$3,$B$4,$B$5,$F274,$B$6,X$10,$A274,$B274)</f>
        <v>13201702.131124651</v>
      </c>
      <c r="Y274" s="4">
        <f ca="1">_xll.DBRW($B$1,$B$2,$B$7,$B$3,$B$4,$B$5,$F274,$B$6,Y$10,$A274,$B274)</f>
        <v>13201702.131124653</v>
      </c>
      <c r="Z274" s="4">
        <f ca="1">_xll.DBRW($B$1,$B$2,$B$7,$B$3,$B$4,$B$5,$F274,$B$6,Z$10,$A274,$B274)</f>
        <v>11597526.397872912</v>
      </c>
      <c r="AA274" s="4">
        <f ca="1">_xll.DBRW($B$1,$B$2,$B$7,$B$3,$B$4,$B$5,$F274,$B$6,AA$10,$A274,$B274)</f>
        <v>13038371.41851436</v>
      </c>
      <c r="AB274" s="4">
        <f ca="1">_xll.DBRW($B$1,$B$2,$B$7,$B$3,$B$4,$B$5,$F274,$B$6,AB$10,$A274,$B274)</f>
        <v>13201702.131124651</v>
      </c>
      <c r="AC274" s="4">
        <f ca="1">_xll.DBRW($B$1,$B$2,$B$7,$B$3,$B$4,$B$5,$F274,$B$6,AC$10,$A274,$B274)</f>
        <v>14668557.923471833</v>
      </c>
      <c r="AD274" s="4">
        <f ca="1">_xll.DBRW($B$1,$B$2,$B$7,$B$3,$B$4,$B$5,$F274,$B$6,AD$10,$A274,$B274)</f>
        <v>16062913.448092472</v>
      </c>
      <c r="AE274" s="4">
        <f ca="1">_xll.DBRW($B$1,$B$2,$B$7,$B$3,$B$4,$B$5,$F274,$B$6,AE$10,$A274,$B274)</f>
        <v>15906389.469034918</v>
      </c>
    </row>
    <row r="275" spans="1:31">
      <c r="A275" s="1" t="s">
        <v>153</v>
      </c>
      <c r="B275" s="5" t="s">
        <v>197</v>
      </c>
      <c r="C275" s="5" t="s">
        <v>198</v>
      </c>
      <c r="D275" s="5" t="s">
        <v>28</v>
      </c>
      <c r="E275" s="5" t="s">
        <v>20</v>
      </c>
      <c r="F275" s="5" t="s">
        <v>25</v>
      </c>
      <c r="G275" s="6"/>
      <c r="H275" s="6"/>
      <c r="I275" s="6"/>
      <c r="J275" s="6"/>
      <c r="K275" s="6"/>
      <c r="L275" s="4">
        <f ca="1">_xll.DBRW($B$1,$B$2,$B$7,$B$3,$B$4,$B$5,$F275,$B$6,L$10,$A275,$B275)</f>
        <v>31775570.399999995</v>
      </c>
      <c r="M275" s="4">
        <f ca="1">_xll.DBRW($B$1,$B$2,$B$7,$B$3,$B$4,$B$5,$F275,$B$6,M$10,$A275,$B275)</f>
        <v>30764039.145646244</v>
      </c>
      <c r="N275" s="4">
        <f ca="1">_xll.DBRW($B$1,$B$2,$B$7,$B$3,$B$4,$B$5,$F275,$B$6,N$10,$A275,$B275)</f>
        <v>30262448</v>
      </c>
      <c r="O275" s="4">
        <f ca="1">_xll.DBRW($B$1,$B$2,$B$7,$B$3,$B$4,$B$5,$F275,$B$6,O$10,$A275,$B275)</f>
        <v>28749325.600000001</v>
      </c>
      <c r="P275" s="4">
        <f ca="1">_xll.DBRW($B$1,$B$2,$B$7,$B$3,$B$4,$B$5,$F275,$B$6,P$10,$A275,$B275)</f>
        <v>27455850</v>
      </c>
      <c r="Q275" s="4">
        <f ca="1">_xll.DBRW($B$1,$B$2,$B$7,$B$3,$B$4,$B$5,$F275,$B$6,Q$10,$A275,$B275)</f>
        <v>24937299.32</v>
      </c>
      <c r="R275" s="4">
        <f ca="1">_xll.DBRW($B$1,$B$2,$B$7,$B$3,$B$4,$B$5,$F275,$B$6,R$10,$A275,$B275)</f>
        <v>20009407.932</v>
      </c>
      <c r="S275" s="4">
        <f ca="1">_xll.DBRW($B$1,$B$2,$B$7,$B$3,$B$4,$B$5,$F275,$B$6,S$10,$A275,$B275)</f>
        <v>18744783.235999998</v>
      </c>
      <c r="T275" s="4">
        <f ca="1">_xll.DBRW($B$1,$B$2,$B$7,$B$3,$B$4,$B$5,$F275,$B$6,T$10,$A275,$B275)</f>
        <v>19017672.278448142</v>
      </c>
      <c r="U275" s="4">
        <f ca="1">_xll.DBRW($B$1,$B$2,$B$7,$B$3,$B$4,$B$5,$F275,$B$6,U$10,$A275,$B275)</f>
        <v>14297203.42565031</v>
      </c>
      <c r="V275" s="4">
        <f ca="1">_xll.DBRW($B$1,$B$2,$B$7,$B$3,$B$4,$B$5,$F275,$B$6,V$10,$A275,$B275)</f>
        <v>21481807.18138643</v>
      </c>
      <c r="W275" s="4">
        <f ca="1">_xll.DBRW($B$1,$B$2,$B$7,$B$3,$B$4,$B$5,$F275,$B$6,W$10,$A275,$B275)</f>
        <v>36260725.58443483</v>
      </c>
      <c r="X275" s="4">
        <f ca="1">_xll.DBRW($B$1,$B$2,$B$7,$B$3,$B$4,$B$5,$F275,$B$6,X$10,$A275,$B275)</f>
        <v>34504122.019725055</v>
      </c>
      <c r="Y275" s="4">
        <f ca="1">_xll.DBRW($B$1,$B$2,$B$7,$B$3,$B$4,$B$5,$F275,$B$6,Y$10,$A275,$B275)</f>
        <v>34998392.313564979</v>
      </c>
      <c r="Z275" s="4">
        <f ca="1">_xll.DBRW($B$1,$B$2,$B$7,$B$3,$B$4,$B$5,$F275,$B$6,Z$10,$A275,$B275)</f>
        <v>36301669.93537084</v>
      </c>
      <c r="AA275" s="4">
        <f ca="1">_xll.DBRW($B$1,$B$2,$B$7,$B$3,$B$4,$B$5,$F275,$B$6,AA$10,$A275,$B275)</f>
        <v>33976551.095108986</v>
      </c>
      <c r="AB275" s="4">
        <f ca="1">_xll.DBRW($B$1,$B$2,$B$7,$B$3,$B$4,$B$5,$F275,$B$6,AB$10,$A275,$B275)</f>
        <v>32532056.15539626</v>
      </c>
      <c r="AC275" s="4">
        <f ca="1">_xll.DBRW($B$1,$B$2,$B$7,$B$3,$B$4,$B$5,$F275,$B$6,AC$10,$A275,$B275)</f>
        <v>31011393.785865907</v>
      </c>
      <c r="AD275" s="4">
        <f ca="1">_xll.DBRW($B$1,$B$2,$B$7,$B$3,$B$4,$B$5,$F275,$B$6,AD$10,$A275,$B275)</f>
        <v>21284488.608739104</v>
      </c>
      <c r="AE275" s="4">
        <f ca="1">_xll.DBRW($B$1,$B$2,$B$7,$B$3,$B$4,$B$5,$F275,$B$6,AE$10,$A275,$B275)</f>
        <v>22577903.088155489</v>
      </c>
    </row>
    <row r="276" spans="1:31">
      <c r="A276" s="1" t="s">
        <v>153</v>
      </c>
      <c r="B276" s="5" t="s">
        <v>26</v>
      </c>
      <c r="C276" s="5" t="s">
        <v>27</v>
      </c>
      <c r="D276" s="5" t="s">
        <v>20</v>
      </c>
      <c r="E276" s="5" t="s">
        <v>28</v>
      </c>
      <c r="F276" s="5" t="s">
        <v>25</v>
      </c>
      <c r="G276" s="6"/>
      <c r="H276" s="6"/>
      <c r="I276" s="6"/>
      <c r="J276" s="6"/>
      <c r="K276" s="6"/>
      <c r="L276" s="4">
        <f ca="1">_xll.DBRW($B$1,$B$2,$B$7,$B$3,$B$4,$B$5,$F276,$B$6,L$10,$A276,$B276)</f>
        <v>31775570.399999995</v>
      </c>
      <c r="M276" s="4">
        <f ca="1">_xll.DBRW($B$1,$B$2,$B$7,$B$3,$B$4,$B$5,$F276,$B$6,M$10,$A276,$B276)</f>
        <v>30764039.145646244</v>
      </c>
      <c r="N276" s="4">
        <f ca="1">_xll.DBRW($B$1,$B$2,$B$7,$B$3,$B$4,$B$5,$F276,$B$6,N$10,$A276,$B276)</f>
        <v>30262448</v>
      </c>
      <c r="O276" s="4">
        <f ca="1">_xll.DBRW($B$1,$B$2,$B$7,$B$3,$B$4,$B$5,$F276,$B$6,O$10,$A276,$B276)</f>
        <v>28749325.600000001</v>
      </c>
      <c r="P276" s="4">
        <f ca="1">_xll.DBRW($B$1,$B$2,$B$7,$B$3,$B$4,$B$5,$F276,$B$6,P$10,$A276,$B276)</f>
        <v>27455850</v>
      </c>
      <c r="Q276" s="4">
        <f ca="1">_xll.DBRW($B$1,$B$2,$B$7,$B$3,$B$4,$B$5,$F276,$B$6,Q$10,$A276,$B276)</f>
        <v>24937299.32</v>
      </c>
      <c r="R276" s="4">
        <f ca="1">_xll.DBRW($B$1,$B$2,$B$7,$B$3,$B$4,$B$5,$F276,$B$6,R$10,$A276,$B276)</f>
        <v>20009407.932</v>
      </c>
      <c r="S276" s="4">
        <f ca="1">_xll.DBRW($B$1,$B$2,$B$7,$B$3,$B$4,$B$5,$F276,$B$6,S$10,$A276,$B276)</f>
        <v>18744783.235999998</v>
      </c>
      <c r="T276" s="4">
        <f ca="1">_xll.DBRW($B$1,$B$2,$B$7,$B$3,$B$4,$B$5,$F276,$B$6,T$10,$A276,$B276)</f>
        <v>19017672.278448142</v>
      </c>
      <c r="U276" s="4">
        <f ca="1">_xll.DBRW($B$1,$B$2,$B$7,$B$3,$B$4,$B$5,$F276,$B$6,U$10,$A276,$B276)</f>
        <v>14297203.42565031</v>
      </c>
      <c r="V276" s="4">
        <f ca="1">_xll.DBRW($B$1,$B$2,$B$7,$B$3,$B$4,$B$5,$F276,$B$6,V$10,$A276,$B276)</f>
        <v>21481807.18138643</v>
      </c>
      <c r="W276" s="4">
        <f ca="1">_xll.DBRW($B$1,$B$2,$B$7,$B$3,$B$4,$B$5,$F276,$B$6,W$10,$A276,$B276)</f>
        <v>36260725.58443483</v>
      </c>
      <c r="X276" s="4">
        <f ca="1">_xll.DBRW($B$1,$B$2,$B$7,$B$3,$B$4,$B$5,$F276,$B$6,X$10,$A276,$B276)</f>
        <v>34504122.019725055</v>
      </c>
      <c r="Y276" s="4">
        <f ca="1">_xll.DBRW($B$1,$B$2,$B$7,$B$3,$B$4,$B$5,$F276,$B$6,Y$10,$A276,$B276)</f>
        <v>34998392.313564979</v>
      </c>
      <c r="Z276" s="4">
        <f ca="1">_xll.DBRW($B$1,$B$2,$B$7,$B$3,$B$4,$B$5,$F276,$B$6,Z$10,$A276,$B276)</f>
        <v>36301669.93537084</v>
      </c>
      <c r="AA276" s="4">
        <f ca="1">_xll.DBRW($B$1,$B$2,$B$7,$B$3,$B$4,$B$5,$F276,$B$6,AA$10,$A276,$B276)</f>
        <v>33976551.095108986</v>
      </c>
      <c r="AB276" s="4">
        <f ca="1">_xll.DBRW($B$1,$B$2,$B$7,$B$3,$B$4,$B$5,$F276,$B$6,AB$10,$A276,$B276)</f>
        <v>32532056.15539626</v>
      </c>
      <c r="AC276" s="4">
        <f ca="1">_xll.DBRW($B$1,$B$2,$B$7,$B$3,$B$4,$B$5,$F276,$B$6,AC$10,$A276,$B276)</f>
        <v>31011393.785865907</v>
      </c>
      <c r="AD276" s="4">
        <f ca="1">_xll.DBRW($B$1,$B$2,$B$7,$B$3,$B$4,$B$5,$F276,$B$6,AD$10,$A276,$B276)</f>
        <v>21284488.608739104</v>
      </c>
      <c r="AE276" s="4">
        <f ca="1">_xll.DBRW($B$1,$B$2,$B$7,$B$3,$B$4,$B$5,$F276,$B$6,AE$10,$A276,$B276)</f>
        <v>21551634.765966605</v>
      </c>
    </row>
    <row r="277" spans="1:31">
      <c r="A277" s="1" t="s">
        <v>153</v>
      </c>
      <c r="B277" s="5" t="s">
        <v>199</v>
      </c>
      <c r="C277" s="5" t="s">
        <v>189</v>
      </c>
      <c r="D277" s="5" t="s">
        <v>21</v>
      </c>
      <c r="E277" s="5" t="s">
        <v>20</v>
      </c>
      <c r="F277" s="5" t="s">
        <v>25</v>
      </c>
      <c r="G277" s="6"/>
      <c r="H277" s="6"/>
      <c r="I277" s="6"/>
      <c r="J277" s="6"/>
      <c r="K277" s="6"/>
      <c r="L277" s="4">
        <f ca="1">_xll.DBRW($B$1,$B$2,$B$7,$B$3,$B$4,$B$5,$F277,$B$6,L$10,$A277,$B277)</f>
        <v>0</v>
      </c>
      <c r="M277" s="4">
        <f ca="1">_xll.DBRW($B$1,$B$2,$B$7,$B$3,$B$4,$B$5,$F277,$B$6,M$10,$A277,$B277)</f>
        <v>0</v>
      </c>
      <c r="N277" s="4">
        <f ca="1">_xll.DBRW($B$1,$B$2,$B$7,$B$3,$B$4,$B$5,$F277,$B$6,N$10,$A277,$B277)</f>
        <v>0</v>
      </c>
      <c r="O277" s="4">
        <f ca="1">_xll.DBRW($B$1,$B$2,$B$7,$B$3,$B$4,$B$5,$F277,$B$6,O$10,$A277,$B277)</f>
        <v>1265926.2</v>
      </c>
      <c r="P277" s="4">
        <f ca="1">_xll.DBRW($B$1,$B$2,$B$7,$B$3,$B$4,$B$5,$F277,$B$6,P$10,$A277,$B277)</f>
        <v>0</v>
      </c>
      <c r="Q277" s="4">
        <f ca="1">_xll.DBRW($B$1,$B$2,$B$7,$B$3,$B$4,$B$5,$F277,$B$6,Q$10,$A277,$B277)</f>
        <v>0</v>
      </c>
      <c r="R277" s="4">
        <f ca="1">_xll.DBRW($B$1,$B$2,$B$7,$B$3,$B$4,$B$5,$F277,$B$6,R$10,$A277,$B277)</f>
        <v>0</v>
      </c>
      <c r="S277" s="4">
        <f ca="1">_xll.DBRW($B$1,$B$2,$B$7,$B$3,$B$4,$B$5,$F277,$B$6,S$10,$A277,$B277)</f>
        <v>0</v>
      </c>
      <c r="T277" s="4">
        <f ca="1">_xll.DBRW($B$1,$B$2,$B$7,$B$3,$B$4,$B$5,$F277,$B$6,T$10,$A277,$B277)</f>
        <v>0</v>
      </c>
      <c r="U277" s="4">
        <f ca="1">_xll.DBRW($B$1,$B$2,$B$7,$B$3,$B$4,$B$5,$F277,$B$6,U$10,$A277,$B277)</f>
        <v>0</v>
      </c>
      <c r="V277" s="4">
        <f ca="1">_xll.DBRW($B$1,$B$2,$B$7,$B$3,$B$4,$B$5,$F277,$B$6,V$10,$A277,$B277)</f>
        <v>1822805.8683469826</v>
      </c>
      <c r="W277" s="4">
        <f ca="1">_xll.DBRW($B$1,$B$2,$B$7,$B$3,$B$4,$B$5,$F277,$B$6,W$10,$A277,$B277)</f>
        <v>26582721.847976729</v>
      </c>
      <c r="X277" s="4">
        <f ca="1">_xll.DBRW($B$1,$B$2,$B$7,$B$3,$B$4,$B$5,$F277,$B$6,X$10,$A277,$B277)</f>
        <v>32145282.243474387</v>
      </c>
      <c r="Y277" s="4">
        <f ca="1">_xll.DBRW($B$1,$B$2,$B$7,$B$3,$B$4,$B$5,$F277,$B$6,Y$10,$A277,$B277)</f>
        <v>34822246.32602495</v>
      </c>
      <c r="Z277" s="4">
        <f ca="1">_xll.DBRW($B$1,$B$2,$B$7,$B$3,$B$4,$B$5,$F277,$B$6,Z$10,$A277,$B277)</f>
        <v>34058012.435936429</v>
      </c>
      <c r="AA277" s="4">
        <f ca="1">_xll.DBRW($B$1,$B$2,$B$7,$B$3,$B$4,$B$5,$F277,$B$6,AA$10,$A277,$B277)</f>
        <v>28560897.175495848</v>
      </c>
      <c r="AB277" s="4">
        <f ca="1">_xll.DBRW($B$1,$B$2,$B$7,$B$3,$B$4,$B$5,$F277,$B$6,AB$10,$A277,$B277)</f>
        <v>26780815.313405201</v>
      </c>
      <c r="AC277" s="4">
        <f ca="1">_xll.DBRW($B$1,$B$2,$B$7,$B$3,$B$4,$B$5,$F277,$B$6,AC$10,$A277,$B277)</f>
        <v>20178836.35076629</v>
      </c>
      <c r="AD277" s="4">
        <f ca="1">_xll.DBRW($B$1,$B$2,$B$7,$B$3,$B$4,$B$5,$F277,$B$6,AD$10,$A277,$B277)</f>
        <v>0</v>
      </c>
      <c r="AE277" s="4">
        <f ca="1">_xll.DBRW($B$1,$B$2,$B$7,$B$3,$B$4,$B$5,$F277,$B$6,AE$10,$A277,$B277)</f>
        <v>0</v>
      </c>
    </row>
    <row r="278" spans="1:31">
      <c r="A278" s="1" t="s">
        <v>153</v>
      </c>
      <c r="B278" s="5" t="s">
        <v>23</v>
      </c>
      <c r="C278" s="5" t="s">
        <v>19</v>
      </c>
      <c r="D278" s="5" t="s">
        <v>20</v>
      </c>
      <c r="E278" s="5" t="s">
        <v>21</v>
      </c>
      <c r="F278" s="5" t="s">
        <v>25</v>
      </c>
      <c r="G278" s="6"/>
      <c r="H278" s="6"/>
      <c r="I278" s="6"/>
      <c r="J278" s="6"/>
      <c r="K278" s="6"/>
      <c r="L278" s="4">
        <f ca="1">_xll.DBRW($B$1,$B$2,$B$7,$B$3,$B$4,$B$5,$F278,$B$6,L$10,$A278,$B278)</f>
        <v>0</v>
      </c>
      <c r="M278" s="4">
        <f ca="1">_xll.DBRW($B$1,$B$2,$B$7,$B$3,$B$4,$B$5,$F278,$B$6,M$10,$A278,$B278)</f>
        <v>0</v>
      </c>
      <c r="N278" s="4">
        <f ca="1">_xll.DBRW($B$1,$B$2,$B$7,$B$3,$B$4,$B$5,$F278,$B$6,N$10,$A278,$B278)</f>
        <v>0</v>
      </c>
      <c r="O278" s="4">
        <f ca="1">_xll.DBRW($B$1,$B$2,$B$7,$B$3,$B$4,$B$5,$F278,$B$6,O$10,$A278,$B278)</f>
        <v>0</v>
      </c>
      <c r="P278" s="4">
        <f ca="1">_xll.DBRW($B$1,$B$2,$B$7,$B$3,$B$4,$B$5,$F278,$B$6,P$10,$A278,$B278)</f>
        <v>0</v>
      </c>
      <c r="Q278" s="4">
        <f ca="1">_xll.DBRW($B$1,$B$2,$B$7,$B$3,$B$4,$B$5,$F278,$B$6,Q$10,$A278,$B278)</f>
        <v>0</v>
      </c>
      <c r="R278" s="4">
        <f ca="1">_xll.DBRW($B$1,$B$2,$B$7,$B$3,$B$4,$B$5,$F278,$B$6,R$10,$A278,$B278)</f>
        <v>0</v>
      </c>
      <c r="S278" s="4">
        <f ca="1">_xll.DBRW($B$1,$B$2,$B$7,$B$3,$B$4,$B$5,$F278,$B$6,S$10,$A278,$B278)</f>
        <v>0</v>
      </c>
      <c r="T278" s="4">
        <f ca="1">_xll.DBRW($B$1,$B$2,$B$7,$B$3,$B$4,$B$5,$F278,$B$6,T$10,$A278,$B278)</f>
        <v>0</v>
      </c>
      <c r="U278" s="4">
        <f ca="1">_xll.DBRW($B$1,$B$2,$B$7,$B$3,$B$4,$B$5,$F278,$B$6,U$10,$A278,$B278)</f>
        <v>0</v>
      </c>
      <c r="V278" s="4">
        <f ca="1">_xll.DBRW($B$1,$B$2,$B$7,$B$3,$B$4,$B$5,$F278,$B$6,V$10,$A278,$B278)</f>
        <v>1822805.8683469826</v>
      </c>
      <c r="W278" s="4">
        <f ca="1">_xll.DBRW($B$1,$B$2,$B$7,$B$3,$B$4,$B$5,$F278,$B$6,W$10,$A278,$B278)</f>
        <v>26582721.847976729</v>
      </c>
      <c r="X278" s="4">
        <f ca="1">_xll.DBRW($B$1,$B$2,$B$7,$B$3,$B$4,$B$5,$F278,$B$6,X$10,$A278,$B278)</f>
        <v>32145282.243474387</v>
      </c>
      <c r="Y278" s="4">
        <f ca="1">_xll.DBRW($B$1,$B$2,$B$7,$B$3,$B$4,$B$5,$F278,$B$6,Y$10,$A278,$B278)</f>
        <v>34822246.32602495</v>
      </c>
      <c r="Z278" s="4">
        <f ca="1">_xll.DBRW($B$1,$B$2,$B$7,$B$3,$B$4,$B$5,$F278,$B$6,Z$10,$A278,$B278)</f>
        <v>34058012.435936429</v>
      </c>
      <c r="AA278" s="4">
        <f ca="1">_xll.DBRW($B$1,$B$2,$B$7,$B$3,$B$4,$B$5,$F278,$B$6,AA$10,$A278,$B278)</f>
        <v>28560897.175495848</v>
      </c>
      <c r="AB278" s="4">
        <f ca="1">_xll.DBRW($B$1,$B$2,$B$7,$B$3,$B$4,$B$5,$F278,$B$6,AB$10,$A278,$B278)</f>
        <v>26780815.313405201</v>
      </c>
      <c r="AC278" s="4">
        <f ca="1">_xll.DBRW($B$1,$B$2,$B$7,$B$3,$B$4,$B$5,$F278,$B$6,AC$10,$A278,$B278)</f>
        <v>20178836.35076629</v>
      </c>
      <c r="AD278" s="4">
        <f ca="1">_xll.DBRW($B$1,$B$2,$B$7,$B$3,$B$4,$B$5,$F278,$B$6,AD$10,$A278,$B278)</f>
        <v>0</v>
      </c>
      <c r="AE278" s="4">
        <f ca="1">_xll.DBRW($B$1,$B$2,$B$7,$B$3,$B$4,$B$5,$F278,$B$6,AE$10,$A278,$B278)</f>
        <v>0</v>
      </c>
    </row>
    <row r="279" spans="1:31">
      <c r="A279" s="1" t="s">
        <v>153</v>
      </c>
      <c r="B279" s="5" t="s">
        <v>200</v>
      </c>
      <c r="C279" s="5" t="s">
        <v>161</v>
      </c>
      <c r="D279" s="5" t="s">
        <v>21</v>
      </c>
      <c r="E279" s="5" t="s">
        <v>69</v>
      </c>
      <c r="F279" s="5" t="s">
        <v>25</v>
      </c>
      <c r="G279" s="6"/>
      <c r="H279" s="6"/>
      <c r="I279" s="6"/>
      <c r="J279" s="6"/>
      <c r="K279" s="6"/>
      <c r="L279" s="4">
        <f ca="1">_xll.DBRW($B$1,$B$2,$B$7,$B$3,$B$4,$B$5,$F279,$B$6,L$10,$A279,$B279)</f>
        <v>29532211.199999999</v>
      </c>
      <c r="M279" s="4">
        <f ca="1">_xll.DBRW($B$1,$B$2,$B$7,$B$3,$B$4,$B$5,$F279,$B$6,M$10,$A279,$B279)</f>
        <v>31714577.965112001</v>
      </c>
      <c r="N279" s="4">
        <f ca="1">_xll.DBRW($B$1,$B$2,$B$7,$B$3,$B$4,$B$5,$F279,$B$6,N$10,$A279,$B279)</f>
        <v>34755037.439999998</v>
      </c>
      <c r="O279" s="4">
        <f ca="1">_xll.DBRW($B$1,$B$2,$B$7,$B$3,$B$4,$B$5,$F279,$B$6,O$10,$A279,$B279)</f>
        <v>34331195.520000003</v>
      </c>
      <c r="P279" s="4">
        <f ca="1">_xll.DBRW($B$1,$B$2,$B$7,$B$3,$B$4,$B$5,$F279,$B$6,P$10,$A279,$B279)</f>
        <v>24200006.399999999</v>
      </c>
      <c r="Q279" s="4">
        <f ca="1">_xll.DBRW($B$1,$B$2,$B$7,$B$3,$B$4,$B$5,$F279,$B$6,Q$10,$A279,$B279)</f>
        <v>29549728.859999999</v>
      </c>
      <c r="R279" s="4">
        <f ca="1">_xll.DBRW($B$1,$B$2,$B$7,$B$3,$B$4,$B$5,$F279,$B$6,R$10,$A279,$B279)</f>
        <v>30815700.239999995</v>
      </c>
      <c r="S279" s="4">
        <f ca="1">_xll.DBRW($B$1,$B$2,$B$7,$B$3,$B$4,$B$5,$F279,$B$6,S$10,$A279,$B279)</f>
        <v>35109378.399999999</v>
      </c>
      <c r="T279" s="4">
        <f ca="1">_xll.DBRW($B$1,$B$2,$B$7,$B$3,$B$4,$B$5,$F279,$B$6,T$10,$A279,$B279)</f>
        <v>30373324.094310492</v>
      </c>
      <c r="U279" s="4">
        <f ca="1">_xll.DBRW($B$1,$B$2,$B$7,$B$3,$B$4,$B$5,$F279,$B$6,U$10,$A279,$B279)</f>
        <v>26795222.70136847</v>
      </c>
      <c r="V279" s="4">
        <f ca="1">_xll.DBRW($B$1,$B$2,$B$7,$B$3,$B$4,$B$5,$F279,$B$6,V$10,$A279,$B279)</f>
        <v>33089158.986933917</v>
      </c>
      <c r="W279" s="4">
        <f ca="1">_xll.DBRW($B$1,$B$2,$B$7,$B$3,$B$4,$B$5,$F279,$B$6,W$10,$A279,$B279)</f>
        <v>33059793.2432715</v>
      </c>
      <c r="X279" s="4">
        <f ca="1">_xll.DBRW($B$1,$B$2,$B$7,$B$3,$B$4,$B$5,$F279,$B$6,X$10,$A279,$B279)</f>
        <v>35101135.964080468</v>
      </c>
      <c r="Y279" s="4">
        <f ca="1">_xll.DBRW($B$1,$B$2,$B$7,$B$3,$B$4,$B$5,$F279,$B$6,Y$10,$A279,$B279)</f>
        <v>35636357.011631668</v>
      </c>
      <c r="Z279" s="4">
        <f ca="1">_xll.DBRW($B$1,$B$2,$B$7,$B$3,$B$4,$B$5,$F279,$B$6,Z$10,$A279,$B279)</f>
        <v>36917488.745225042</v>
      </c>
      <c r="AA279" s="4">
        <f ca="1">_xll.DBRW($B$1,$B$2,$B$7,$B$3,$B$4,$B$5,$F279,$B$6,AA$10,$A279,$B279)</f>
        <v>35800958.265287839</v>
      </c>
      <c r="AB279" s="4">
        <f ca="1">_xll.DBRW($B$1,$B$2,$B$7,$B$3,$B$4,$B$5,$F279,$B$6,AB$10,$A279,$B279)</f>
        <v>24433155.469503455</v>
      </c>
      <c r="AC279" s="4">
        <f ca="1">_xll.DBRW($B$1,$B$2,$B$7,$B$3,$B$4,$B$5,$F279,$B$6,AC$10,$A279,$B279)</f>
        <v>30803090.048913453</v>
      </c>
      <c r="AD279" s="4">
        <f ca="1">_xll.DBRW($B$1,$B$2,$B$7,$B$3,$B$4,$B$5,$F279,$B$6,AD$10,$A279,$B279)</f>
        <v>28297412.328021254</v>
      </c>
      <c r="AE279" s="4">
        <f ca="1">_xll.DBRW($B$1,$B$2,$B$7,$B$3,$B$4,$B$5,$F279,$B$6,AE$10,$A279,$B279)</f>
        <v>30048625.504902698</v>
      </c>
    </row>
    <row r="280" spans="1:31">
      <c r="A280" s="1" t="s">
        <v>153</v>
      </c>
      <c r="B280" s="5" t="s">
        <v>70</v>
      </c>
      <c r="C280" s="5" t="s">
        <v>68</v>
      </c>
      <c r="D280" s="5" t="s">
        <v>69</v>
      </c>
      <c r="E280" s="5" t="s">
        <v>21</v>
      </c>
      <c r="F280" s="5" t="s">
        <v>25</v>
      </c>
      <c r="G280" s="6"/>
      <c r="H280" s="6"/>
      <c r="I280" s="6"/>
      <c r="J280" s="6"/>
      <c r="K280" s="6"/>
      <c r="L280" s="4">
        <f ca="1">_xll.DBRW($B$1,$B$2,$B$7,$B$3,$B$4,$B$5,$F280,$B$6,L$10,$A280,$B280)</f>
        <v>29532211.199999999</v>
      </c>
      <c r="M280" s="4">
        <f ca="1">_xll.DBRW($B$1,$B$2,$B$7,$B$3,$B$4,$B$5,$F280,$B$6,M$10,$A280,$B280)</f>
        <v>31714577.965112001</v>
      </c>
      <c r="N280" s="4">
        <f ca="1">_xll.DBRW($B$1,$B$2,$B$7,$B$3,$B$4,$B$5,$F280,$B$6,N$10,$A280,$B280)</f>
        <v>34755037.439999998</v>
      </c>
      <c r="O280" s="4">
        <f ca="1">_xll.DBRW($B$1,$B$2,$B$7,$B$3,$B$4,$B$5,$F280,$B$6,O$10,$A280,$B280)</f>
        <v>34331195.520000003</v>
      </c>
      <c r="P280" s="4">
        <f ca="1">_xll.DBRW($B$1,$B$2,$B$7,$B$3,$B$4,$B$5,$F280,$B$6,P$10,$A280,$B280)</f>
        <v>24200006.399999999</v>
      </c>
      <c r="Q280" s="4">
        <f ca="1">_xll.DBRW($B$1,$B$2,$B$7,$B$3,$B$4,$B$5,$F280,$B$6,Q$10,$A280,$B280)</f>
        <v>29549728.859999999</v>
      </c>
      <c r="R280" s="4">
        <f ca="1">_xll.DBRW($B$1,$B$2,$B$7,$B$3,$B$4,$B$5,$F280,$B$6,R$10,$A280,$B280)</f>
        <v>30815700.239999995</v>
      </c>
      <c r="S280" s="4">
        <f ca="1">_xll.DBRW($B$1,$B$2,$B$7,$B$3,$B$4,$B$5,$F280,$B$6,S$10,$A280,$B280)</f>
        <v>35109378.399999999</v>
      </c>
      <c r="T280" s="4">
        <f ca="1">_xll.DBRW($B$1,$B$2,$B$7,$B$3,$B$4,$B$5,$F280,$B$6,T$10,$A280,$B280)</f>
        <v>30373324.094310492</v>
      </c>
      <c r="U280" s="4">
        <f ca="1">_xll.DBRW($B$1,$B$2,$B$7,$B$3,$B$4,$B$5,$F280,$B$6,U$10,$A280,$B280)</f>
        <v>26795222.70136847</v>
      </c>
      <c r="V280" s="4">
        <f ca="1">_xll.DBRW($B$1,$B$2,$B$7,$B$3,$B$4,$B$5,$F280,$B$6,V$10,$A280,$B280)</f>
        <v>33089158.986933917</v>
      </c>
      <c r="W280" s="4">
        <f ca="1">_xll.DBRW($B$1,$B$2,$B$7,$B$3,$B$4,$B$5,$F280,$B$6,W$10,$A280,$B280)</f>
        <v>33059793.2432715</v>
      </c>
      <c r="X280" s="4">
        <f ca="1">_xll.DBRW($B$1,$B$2,$B$7,$B$3,$B$4,$B$5,$F280,$B$6,X$10,$A280,$B280)</f>
        <v>35101135.964080468</v>
      </c>
      <c r="Y280" s="4">
        <f ca="1">_xll.DBRW($B$1,$B$2,$B$7,$B$3,$B$4,$B$5,$F280,$B$6,Y$10,$A280,$B280)</f>
        <v>35636357.011631668</v>
      </c>
      <c r="Z280" s="4">
        <f ca="1">_xll.DBRW($B$1,$B$2,$B$7,$B$3,$B$4,$B$5,$F280,$B$6,Z$10,$A280,$B280)</f>
        <v>36917488.745225042</v>
      </c>
      <c r="AA280" s="4">
        <f ca="1">_xll.DBRW($B$1,$B$2,$B$7,$B$3,$B$4,$B$5,$F280,$B$6,AA$10,$A280,$B280)</f>
        <v>35800958.265287839</v>
      </c>
      <c r="AB280" s="4">
        <f ca="1">_xll.DBRW($B$1,$B$2,$B$7,$B$3,$B$4,$B$5,$F280,$B$6,AB$10,$A280,$B280)</f>
        <v>24433155.469503455</v>
      </c>
      <c r="AC280" s="4">
        <f ca="1">_xll.DBRW($B$1,$B$2,$B$7,$B$3,$B$4,$B$5,$F280,$B$6,AC$10,$A280,$B280)</f>
        <v>29843589.698651042</v>
      </c>
      <c r="AD280" s="4">
        <f ca="1">_xll.DBRW($B$1,$B$2,$B$7,$B$3,$B$4,$B$5,$F280,$B$6,AD$10,$A280,$B280)</f>
        <v>28297412.328021254</v>
      </c>
      <c r="AE280" s="4">
        <f ca="1">_xll.DBRW($B$1,$B$2,$B$7,$B$3,$B$4,$B$5,$F280,$B$6,AE$10,$A280,$B280)</f>
        <v>30048625.504902698</v>
      </c>
    </row>
    <row r="281" spans="1:31">
      <c r="A281" s="1" t="s">
        <v>153</v>
      </c>
      <c r="B281" s="5" t="s">
        <v>201</v>
      </c>
      <c r="C281" s="5" t="s">
        <v>202</v>
      </c>
      <c r="D281" s="5" t="s">
        <v>28</v>
      </c>
      <c r="E281" s="5" t="s">
        <v>38</v>
      </c>
      <c r="F281" s="5" t="s">
        <v>25</v>
      </c>
      <c r="G281" s="6"/>
      <c r="H281" s="6"/>
      <c r="I281" s="6"/>
      <c r="J281" s="6"/>
      <c r="K281" s="6"/>
      <c r="L281" s="4">
        <f ca="1">_xll.DBRW($B$1,$B$2,$B$7,$B$3,$B$4,$B$5,$F281,$B$6,L$10,$A281,$B281)</f>
        <v>24897439.458703846</v>
      </c>
      <c r="M281" s="4">
        <f ca="1">_xll.DBRW($B$1,$B$2,$B$7,$B$3,$B$4,$B$5,$F281,$B$6,M$10,$A281,$B281)</f>
        <v>27185209.310490578</v>
      </c>
      <c r="N281" s="4">
        <f ca="1">_xll.DBRW($B$1,$B$2,$B$7,$B$3,$B$4,$B$5,$F281,$B$6,N$10,$A281,$B281)</f>
        <v>24588123.141273953</v>
      </c>
      <c r="O281" s="4">
        <f ca="1">_xll.DBRW($B$1,$B$2,$B$7,$B$3,$B$4,$B$5,$F281,$B$6,O$10,$A281,$B281)</f>
        <v>24126748.385950711</v>
      </c>
      <c r="P281" s="4">
        <f ca="1">_xll.DBRW($B$1,$B$2,$B$7,$B$3,$B$4,$B$5,$F281,$B$6,P$10,$A281,$B281)</f>
        <v>22788760.988271799</v>
      </c>
      <c r="Q281" s="4">
        <f ca="1">_xll.DBRW($B$1,$B$2,$B$7,$B$3,$B$4,$B$5,$F281,$B$6,Q$10,$A281,$B281)</f>
        <v>19515236.343494903</v>
      </c>
      <c r="R281" s="4">
        <f ca="1">_xll.DBRW($B$1,$B$2,$B$7,$B$3,$B$4,$B$5,$F281,$B$6,R$10,$A281,$B281)</f>
        <v>15544931.427043529</v>
      </c>
      <c r="S281" s="4">
        <f ca="1">_xll.DBRW($B$1,$B$2,$B$7,$B$3,$B$4,$B$5,$F281,$B$6,S$10,$A281,$B281)</f>
        <v>19629862.693593744</v>
      </c>
      <c r="T281" s="4">
        <f ca="1">_xll.DBRW($B$1,$B$2,$B$7,$B$3,$B$4,$B$5,$F281,$B$6,T$10,$A281,$B281)</f>
        <v>20718343.224410541</v>
      </c>
      <c r="U281" s="4">
        <f ca="1">_xll.DBRW($B$1,$B$2,$B$7,$B$3,$B$4,$B$5,$F281,$B$6,U$10,$A281,$B281)</f>
        <v>19702613.780262955</v>
      </c>
      <c r="V281" s="4">
        <f ca="1">_xll.DBRW($B$1,$B$2,$B$7,$B$3,$B$4,$B$5,$F281,$B$6,V$10,$A281,$B281)</f>
        <v>21219374.981859181</v>
      </c>
      <c r="W281" s="4">
        <f ca="1">_xll.DBRW($B$1,$B$2,$B$7,$B$3,$B$4,$B$5,$F281,$B$6,W$10,$A281,$B281)</f>
        <v>39727833.519189849</v>
      </c>
      <c r="X281" s="4">
        <f ca="1">_xll.DBRW($B$1,$B$2,$B$7,$B$3,$B$4,$B$5,$F281,$B$6,X$10,$A281,$B281)</f>
        <v>41090112.97562027</v>
      </c>
      <c r="Y281" s="4">
        <f ca="1">_xll.DBRW($B$1,$B$2,$B$7,$B$3,$B$4,$B$5,$F281,$B$6,Y$10,$A281,$B281)</f>
        <v>35892676.27403675</v>
      </c>
      <c r="Z281" s="4">
        <f ca="1">_xll.DBRW($B$1,$B$2,$B$7,$B$3,$B$4,$B$5,$F281,$B$6,Z$10,$A281,$B281)</f>
        <v>39724258.806918979</v>
      </c>
      <c r="AA281" s="4">
        <f ca="1">_xll.DBRW($B$1,$B$2,$B$7,$B$3,$B$4,$B$5,$F281,$B$6,AA$10,$A281,$B281)</f>
        <v>41443761.783368066</v>
      </c>
      <c r="AB281" s="4">
        <f ca="1">_xll.DBRW($B$1,$B$2,$B$7,$B$3,$B$4,$B$5,$F281,$B$6,AB$10,$A281,$B281)</f>
        <v>34370850.22700157</v>
      </c>
      <c r="AC281" s="4">
        <f ca="1">_xll.DBRW($B$1,$B$2,$B$7,$B$3,$B$4,$B$5,$F281,$B$6,AC$10,$A281,$B281)</f>
        <v>31282885.803840555</v>
      </c>
      <c r="AD281" s="4">
        <f ca="1">_xll.DBRW($B$1,$B$2,$B$7,$B$3,$B$4,$B$5,$F281,$B$6,AD$10,$A281,$B281)</f>
        <v>19238882.574245181</v>
      </c>
      <c r="AE281" s="4">
        <f ca="1">_xll.DBRW($B$1,$B$2,$B$7,$B$3,$B$4,$B$5,$F281,$B$6,AE$10,$A281,$B281)</f>
        <v>22658005.847302403</v>
      </c>
    </row>
    <row r="282" spans="1:31">
      <c r="A282" s="1" t="s">
        <v>153</v>
      </c>
      <c r="B282" s="5" t="s">
        <v>45</v>
      </c>
      <c r="C282" s="5" t="s">
        <v>46</v>
      </c>
      <c r="D282" s="5" t="s">
        <v>38</v>
      </c>
      <c r="E282" s="5" t="s">
        <v>28</v>
      </c>
      <c r="F282" s="5" t="s">
        <v>25</v>
      </c>
      <c r="G282" s="6"/>
      <c r="H282" s="6"/>
      <c r="I282" s="6"/>
      <c r="J282" s="6"/>
      <c r="K282" s="6"/>
      <c r="L282" s="4">
        <f ca="1">_xll.DBRW($B$1,$B$2,$B$7,$B$3,$B$4,$B$5,$F282,$B$6,L$10,$A282,$B282)</f>
        <v>24897439.458703846</v>
      </c>
      <c r="M282" s="4">
        <f ca="1">_xll.DBRW($B$1,$B$2,$B$7,$B$3,$B$4,$B$5,$F282,$B$6,M$10,$A282,$B282)</f>
        <v>27185209.310490578</v>
      </c>
      <c r="N282" s="4">
        <f ca="1">_xll.DBRW($B$1,$B$2,$B$7,$B$3,$B$4,$B$5,$F282,$B$6,N$10,$A282,$B282)</f>
        <v>24588123.141273953</v>
      </c>
      <c r="O282" s="4">
        <f ca="1">_xll.DBRW($B$1,$B$2,$B$7,$B$3,$B$4,$B$5,$F282,$B$6,O$10,$A282,$B282)</f>
        <v>24126748.385950711</v>
      </c>
      <c r="P282" s="4">
        <f ca="1">_xll.DBRW($B$1,$B$2,$B$7,$B$3,$B$4,$B$5,$F282,$B$6,P$10,$A282,$B282)</f>
        <v>22788760.988271799</v>
      </c>
      <c r="Q282" s="4">
        <f ca="1">_xll.DBRW($B$1,$B$2,$B$7,$B$3,$B$4,$B$5,$F282,$B$6,Q$10,$A282,$B282)</f>
        <v>19515236.343494903</v>
      </c>
      <c r="R282" s="4">
        <f ca="1">_xll.DBRW($B$1,$B$2,$B$7,$B$3,$B$4,$B$5,$F282,$B$6,R$10,$A282,$B282)</f>
        <v>15544931.427043529</v>
      </c>
      <c r="S282" s="4">
        <f ca="1">_xll.DBRW($B$1,$B$2,$B$7,$B$3,$B$4,$B$5,$F282,$B$6,S$10,$A282,$B282)</f>
        <v>19629862.693593744</v>
      </c>
      <c r="T282" s="4">
        <f ca="1">_xll.DBRW($B$1,$B$2,$B$7,$B$3,$B$4,$B$5,$F282,$B$6,T$10,$A282,$B282)</f>
        <v>20718343.224410541</v>
      </c>
      <c r="U282" s="4">
        <f ca="1">_xll.DBRW($B$1,$B$2,$B$7,$B$3,$B$4,$B$5,$F282,$B$6,U$10,$A282,$B282)</f>
        <v>19702613.780262955</v>
      </c>
      <c r="V282" s="4">
        <f ca="1">_xll.DBRW($B$1,$B$2,$B$7,$B$3,$B$4,$B$5,$F282,$B$6,V$10,$A282,$B282)</f>
        <v>21219374.981859181</v>
      </c>
      <c r="W282" s="4">
        <f ca="1">_xll.DBRW($B$1,$B$2,$B$7,$B$3,$B$4,$B$5,$F282,$B$6,W$10,$A282,$B282)</f>
        <v>39727833.519189849</v>
      </c>
      <c r="X282" s="4">
        <f ca="1">_xll.DBRW($B$1,$B$2,$B$7,$B$3,$B$4,$B$5,$F282,$B$6,X$10,$A282,$B282)</f>
        <v>41090112.97562027</v>
      </c>
      <c r="Y282" s="4">
        <f ca="1">_xll.DBRW($B$1,$B$2,$B$7,$B$3,$B$4,$B$5,$F282,$B$6,Y$10,$A282,$B282)</f>
        <v>35892676.27403675</v>
      </c>
      <c r="Z282" s="4">
        <f ca="1">_xll.DBRW($B$1,$B$2,$B$7,$B$3,$B$4,$B$5,$F282,$B$6,Z$10,$A282,$B282)</f>
        <v>39724258.806918979</v>
      </c>
      <c r="AA282" s="4">
        <f ca="1">_xll.DBRW($B$1,$B$2,$B$7,$B$3,$B$4,$B$5,$F282,$B$6,AA$10,$A282,$B282)</f>
        <v>41443761.783368066</v>
      </c>
      <c r="AB282" s="4">
        <f ca="1">_xll.DBRW($B$1,$B$2,$B$7,$B$3,$B$4,$B$5,$F282,$B$6,AB$10,$A282,$B282)</f>
        <v>34370850.22700157</v>
      </c>
      <c r="AC282" s="4">
        <f ca="1">_xll.DBRW($B$1,$B$2,$B$7,$B$3,$B$4,$B$5,$F282,$B$6,AC$10,$A282,$B282)</f>
        <v>30512268.77671532</v>
      </c>
      <c r="AD282" s="4">
        <f ca="1">_xll.DBRW($B$1,$B$2,$B$7,$B$3,$B$4,$B$5,$F282,$B$6,AD$10,$A282,$B282)</f>
        <v>19238882.574245181</v>
      </c>
      <c r="AE282" s="4">
        <f ca="1">_xll.DBRW($B$1,$B$2,$B$7,$B$3,$B$4,$B$5,$F282,$B$6,AE$10,$A282,$B282)</f>
        <v>22658005.847302403</v>
      </c>
    </row>
    <row r="283" spans="1:31">
      <c r="A283" s="1" t="s">
        <v>153</v>
      </c>
      <c r="B283" s="5" t="s">
        <v>203</v>
      </c>
      <c r="C283" s="5" t="s">
        <v>204</v>
      </c>
      <c r="D283" s="5" t="s">
        <v>21</v>
      </c>
      <c r="E283" s="5" t="s">
        <v>80</v>
      </c>
      <c r="F283" s="5" t="s">
        <v>25</v>
      </c>
      <c r="G283" s="6"/>
      <c r="H283" s="6"/>
      <c r="I283" s="6"/>
      <c r="J283" s="6"/>
      <c r="K283" s="6"/>
      <c r="L283" s="4">
        <f ca="1">_xll.DBRW($B$1,$B$2,$B$7,$B$3,$B$4,$B$5,$F283,$B$6,L$10,$A283,$B283)</f>
        <v>30112697.16</v>
      </c>
      <c r="M283" s="4">
        <f ca="1">_xll.DBRW($B$1,$B$2,$B$7,$B$3,$B$4,$B$5,$F283,$B$6,M$10,$A283,$B283)</f>
        <v>30313368.797885135</v>
      </c>
      <c r="N283" s="4">
        <f ca="1">_xll.DBRW($B$1,$B$2,$B$7,$B$3,$B$4,$B$5,$F283,$B$6,N$10,$A283,$B283)</f>
        <v>28901991.299999993</v>
      </c>
      <c r="O283" s="4">
        <f ca="1">_xll.DBRW($B$1,$B$2,$B$7,$B$3,$B$4,$B$5,$F283,$B$6,O$10,$A283,$B283)</f>
        <v>30937342.799999997</v>
      </c>
      <c r="P283" s="4">
        <f ca="1">_xll.DBRW($B$1,$B$2,$B$7,$B$3,$B$4,$B$5,$F283,$B$6,P$10,$A283,$B283)</f>
        <v>19625970</v>
      </c>
      <c r="Q283" s="4">
        <f ca="1">_xll.DBRW($B$1,$B$2,$B$7,$B$3,$B$4,$B$5,$F283,$B$6,Q$10,$A283,$B283)</f>
        <v>24330524.399999999</v>
      </c>
      <c r="R283" s="4">
        <f ca="1">_xll.DBRW($B$1,$B$2,$B$7,$B$3,$B$4,$B$5,$F283,$B$6,R$10,$A283,$B283)</f>
        <v>24292195.199999999</v>
      </c>
      <c r="S283" s="4">
        <f ca="1">_xll.DBRW($B$1,$B$2,$B$7,$B$3,$B$4,$B$5,$F283,$B$6,S$10,$A283,$B283)</f>
        <v>24292195.199999999</v>
      </c>
      <c r="T283" s="4">
        <f ca="1">_xll.DBRW($B$1,$B$2,$B$7,$B$3,$B$4,$B$5,$F283,$B$6,T$10,$A283,$B283)</f>
        <v>30126166.306462225</v>
      </c>
      <c r="U283" s="4">
        <f ca="1">_xll.DBRW($B$1,$B$2,$B$7,$B$3,$B$4,$B$5,$F283,$B$6,U$10,$A283,$B283)</f>
        <v>26646578.557770237</v>
      </c>
      <c r="V283" s="4">
        <f ca="1">_xll.DBRW($B$1,$B$2,$B$7,$B$3,$B$4,$B$5,$F283,$B$6,V$10,$A283,$B283)</f>
        <v>33196247.173454311</v>
      </c>
      <c r="W283" s="4">
        <f ca="1">_xll.DBRW($B$1,$B$2,$B$7,$B$3,$B$4,$B$5,$F283,$B$6,W$10,$A283,$B283)</f>
        <v>25738179.01555232</v>
      </c>
      <c r="X283" s="4">
        <f ca="1">_xll.DBRW($B$1,$B$2,$B$7,$B$3,$B$4,$B$5,$F283,$B$6,X$10,$A283,$B283)</f>
        <v>33650505.373333916</v>
      </c>
      <c r="Y283" s="4">
        <f ca="1">_xll.DBRW($B$1,$B$2,$B$7,$B$3,$B$4,$B$5,$F283,$B$6,Y$10,$A283,$B283)</f>
        <v>33286125.492185544</v>
      </c>
      <c r="Z283" s="4">
        <f ca="1">_xll.DBRW($B$1,$B$2,$B$7,$B$3,$B$4,$B$5,$F283,$B$6,Z$10,$A283,$B283)</f>
        <v>33510519.046293627</v>
      </c>
      <c r="AA283" s="4">
        <f ca="1">_xll.DBRW($B$1,$B$2,$B$7,$B$3,$B$4,$B$5,$F283,$B$6,AA$10,$A283,$B283)</f>
        <v>36603478.981247075</v>
      </c>
      <c r="AB283" s="4">
        <f ca="1">_xll.DBRW($B$1,$B$2,$B$7,$B$3,$B$4,$B$5,$F283,$B$6,AB$10,$A283,$B283)</f>
        <v>23710996.418993436</v>
      </c>
      <c r="AC283" s="4">
        <f ca="1">_xll.DBRW($B$1,$B$2,$B$7,$B$3,$B$4,$B$5,$F283,$B$6,AC$10,$A283,$B283)</f>
        <v>32873162.953172423</v>
      </c>
      <c r="AD283" s="4">
        <f ca="1">_xll.DBRW($B$1,$B$2,$B$7,$B$3,$B$4,$B$5,$F283,$B$6,AD$10,$A283,$B283)</f>
        <v>31435485.361803569</v>
      </c>
      <c r="AE283" s="4">
        <f ca="1">_xll.DBRW($B$1,$B$2,$B$7,$B$3,$B$4,$B$5,$F283,$B$6,AE$10,$A283,$B283)</f>
        <v>33998184.886943795</v>
      </c>
    </row>
    <row r="284" spans="1:31">
      <c r="A284" s="1" t="s">
        <v>153</v>
      </c>
      <c r="B284" s="5" t="s">
        <v>78</v>
      </c>
      <c r="C284" s="5" t="s">
        <v>79</v>
      </c>
      <c r="D284" s="5" t="s">
        <v>80</v>
      </c>
      <c r="E284" s="5" t="s">
        <v>21</v>
      </c>
      <c r="F284" s="5" t="s">
        <v>25</v>
      </c>
      <c r="G284" s="6"/>
      <c r="H284" s="6"/>
      <c r="I284" s="6"/>
      <c r="J284" s="6"/>
      <c r="K284" s="6"/>
      <c r="L284" s="4">
        <f ca="1">_xll.DBRW($B$1,$B$2,$B$7,$B$3,$B$4,$B$5,$F284,$B$6,L$10,$A284,$B284)</f>
        <v>30112697.16</v>
      </c>
      <c r="M284" s="4">
        <f ca="1">_xll.DBRW($B$1,$B$2,$B$7,$B$3,$B$4,$B$5,$F284,$B$6,M$10,$A284,$B284)</f>
        <v>30313368.797885135</v>
      </c>
      <c r="N284" s="4">
        <f ca="1">_xll.DBRW($B$1,$B$2,$B$7,$B$3,$B$4,$B$5,$F284,$B$6,N$10,$A284,$B284)</f>
        <v>28901991.299999993</v>
      </c>
      <c r="O284" s="4">
        <f ca="1">_xll.DBRW($B$1,$B$2,$B$7,$B$3,$B$4,$B$5,$F284,$B$6,O$10,$A284,$B284)</f>
        <v>30937342.799999997</v>
      </c>
      <c r="P284" s="4">
        <f ca="1">_xll.DBRW($B$1,$B$2,$B$7,$B$3,$B$4,$B$5,$F284,$B$6,P$10,$A284,$B284)</f>
        <v>19625970</v>
      </c>
      <c r="Q284" s="4">
        <f ca="1">_xll.DBRW($B$1,$B$2,$B$7,$B$3,$B$4,$B$5,$F284,$B$6,Q$10,$A284,$B284)</f>
        <v>24330524.399999999</v>
      </c>
      <c r="R284" s="4">
        <f ca="1">_xll.DBRW($B$1,$B$2,$B$7,$B$3,$B$4,$B$5,$F284,$B$6,R$10,$A284,$B284)</f>
        <v>24292195.199999999</v>
      </c>
      <c r="S284" s="4">
        <f ca="1">_xll.DBRW($B$1,$B$2,$B$7,$B$3,$B$4,$B$5,$F284,$B$6,S$10,$A284,$B284)</f>
        <v>24292195.199999999</v>
      </c>
      <c r="T284" s="4">
        <f ca="1">_xll.DBRW($B$1,$B$2,$B$7,$B$3,$B$4,$B$5,$F284,$B$6,T$10,$A284,$B284)</f>
        <v>30126166.306462225</v>
      </c>
      <c r="U284" s="4">
        <f ca="1">_xll.DBRW($B$1,$B$2,$B$7,$B$3,$B$4,$B$5,$F284,$B$6,U$10,$A284,$B284)</f>
        <v>26646578.557770237</v>
      </c>
      <c r="V284" s="4">
        <f ca="1">_xll.DBRW($B$1,$B$2,$B$7,$B$3,$B$4,$B$5,$F284,$B$6,V$10,$A284,$B284)</f>
        <v>33196247.173454311</v>
      </c>
      <c r="W284" s="4">
        <f ca="1">_xll.DBRW($B$1,$B$2,$B$7,$B$3,$B$4,$B$5,$F284,$B$6,W$10,$A284,$B284)</f>
        <v>25738179.01555232</v>
      </c>
      <c r="X284" s="4">
        <f ca="1">_xll.DBRW($B$1,$B$2,$B$7,$B$3,$B$4,$B$5,$F284,$B$6,X$10,$A284,$B284)</f>
        <v>33650505.373333916</v>
      </c>
      <c r="Y284" s="4">
        <f ca="1">_xll.DBRW($B$1,$B$2,$B$7,$B$3,$B$4,$B$5,$F284,$B$6,Y$10,$A284,$B284)</f>
        <v>33286125.492185544</v>
      </c>
      <c r="Z284" s="4">
        <f ca="1">_xll.DBRW($B$1,$B$2,$B$7,$B$3,$B$4,$B$5,$F284,$B$6,Z$10,$A284,$B284)</f>
        <v>33510519.046293627</v>
      </c>
      <c r="AA284" s="4">
        <f ca="1">_xll.DBRW($B$1,$B$2,$B$7,$B$3,$B$4,$B$5,$F284,$B$6,AA$10,$A284,$B284)</f>
        <v>36603478.981247075</v>
      </c>
      <c r="AB284" s="4">
        <f ca="1">_xll.DBRW($B$1,$B$2,$B$7,$B$3,$B$4,$B$5,$F284,$B$6,AB$10,$A284,$B284)</f>
        <v>23710996.418993436</v>
      </c>
      <c r="AC284" s="4">
        <f ca="1">_xll.DBRW($B$1,$B$2,$B$7,$B$3,$B$4,$B$5,$F284,$B$6,AC$10,$A284,$B284)</f>
        <v>31815519.661795657</v>
      </c>
      <c r="AD284" s="4">
        <f ca="1">_xll.DBRW($B$1,$B$2,$B$7,$B$3,$B$4,$B$5,$F284,$B$6,AD$10,$A284,$B284)</f>
        <v>31435485.361803569</v>
      </c>
      <c r="AE284" s="4">
        <f ca="1">_xll.DBRW($B$1,$B$2,$B$7,$B$3,$B$4,$B$5,$F284,$B$6,AE$10,$A284,$B284)</f>
        <v>32901469.245429479</v>
      </c>
    </row>
    <row r="285" spans="1:31">
      <c r="A285" s="1" t="s">
        <v>153</v>
      </c>
      <c r="B285" s="5" t="s">
        <v>205</v>
      </c>
      <c r="C285" s="5" t="s">
        <v>206</v>
      </c>
      <c r="D285" s="5" t="s">
        <v>21</v>
      </c>
      <c r="E285" s="5" t="s">
        <v>181</v>
      </c>
      <c r="F285" s="5" t="s">
        <v>25</v>
      </c>
      <c r="G285" s="6"/>
      <c r="H285" s="6"/>
      <c r="I285" s="6"/>
      <c r="J285" s="6"/>
      <c r="K285" s="6"/>
      <c r="L285" s="4">
        <f ca="1">_xll.DBRW($B$1,$B$2,$B$7,$B$3,$B$4,$B$5,$F285,$B$6,L$10,$A285,$B285)</f>
        <v>9493312</v>
      </c>
      <c r="M285" s="4">
        <f ca="1">_xll.DBRW($B$1,$B$2,$B$7,$B$3,$B$4,$B$5,$F285,$B$6,M$10,$A285,$B285)</f>
        <v>4907129.5136169009</v>
      </c>
      <c r="N285" s="4">
        <f ca="1">_xll.DBRW($B$1,$B$2,$B$7,$B$3,$B$4,$B$5,$F285,$B$6,N$10,$A285,$B285)</f>
        <v>4696691.2</v>
      </c>
      <c r="O285" s="4">
        <f ca="1">_xll.DBRW($B$1,$B$2,$B$7,$B$3,$B$4,$B$5,$F285,$B$6,O$10,$A285,$B285)</f>
        <v>5933320</v>
      </c>
      <c r="P285" s="4">
        <f ca="1">_xll.DBRW($B$1,$B$2,$B$7,$B$3,$B$4,$B$5,$F285,$B$6,P$10,$A285,$B285)</f>
        <v>4746656.0000000009</v>
      </c>
      <c r="Q285" s="4">
        <f ca="1">_xll.DBRW($B$1,$B$2,$B$7,$B$3,$B$4,$B$5,$F285,$B$6,Q$10,$A285,$B285)</f>
        <v>10539196.800000001</v>
      </c>
      <c r="R285" s="4">
        <f ca="1">_xll.DBRW($B$1,$B$2,$B$7,$B$3,$B$4,$B$5,$F285,$B$6,R$10,$A285,$B285)</f>
        <v>32190295.039999995</v>
      </c>
      <c r="S285" s="4">
        <f ca="1">_xll.DBRW($B$1,$B$2,$B$7,$B$3,$B$4,$B$5,$F285,$B$6,S$10,$A285,$B285)</f>
        <v>37292511.359999999</v>
      </c>
      <c r="T285" s="4">
        <f ca="1">_xll.DBRW($B$1,$B$2,$B$7,$B$3,$B$4,$B$5,$F285,$B$6,T$10,$A285,$B285)</f>
        <v>38988878.632016674</v>
      </c>
      <c r="U285" s="4">
        <f ca="1">_xll.DBRW($B$1,$B$2,$B$7,$B$3,$B$4,$B$5,$F285,$B$6,U$10,$A285,$B285)</f>
        <v>36539463.315628074</v>
      </c>
      <c r="V285" s="4">
        <f ca="1">_xll.DBRW($B$1,$B$2,$B$7,$B$3,$B$4,$B$5,$F285,$B$6,V$10,$A285,$B285)</f>
        <v>25859284.034510087</v>
      </c>
      <c r="W285" s="4">
        <f ca="1">_xll.DBRW($B$1,$B$2,$B$7,$B$3,$B$4,$B$5,$F285,$B$6,W$10,$A285,$B285)</f>
        <v>9645218.3104955312</v>
      </c>
      <c r="X285" s="4">
        <f ca="1">_xll.DBRW($B$1,$B$2,$B$7,$B$3,$B$4,$B$5,$F285,$B$6,X$10,$A285,$B285)</f>
        <v>11135495.109737905</v>
      </c>
      <c r="Y285" s="4">
        <f ca="1">_xll.DBRW($B$1,$B$2,$B$7,$B$3,$B$4,$B$5,$F285,$B$6,Y$10,$A285,$B285)</f>
        <v>11135495.109737907</v>
      </c>
      <c r="Z285" s="4">
        <f ca="1">_xll.DBRW($B$1,$B$2,$B$7,$B$3,$B$4,$B$5,$F285,$B$6,Z$10,$A285,$B285)</f>
        <v>9898217.8753225785</v>
      </c>
      <c r="AA285" s="4">
        <f ca="1">_xll.DBRW($B$1,$B$2,$B$7,$B$3,$B$4,$B$5,$F285,$B$6,AA$10,$A285,$B285)</f>
        <v>11135495.109737903</v>
      </c>
      <c r="AB285" s="4">
        <f ca="1">_xll.DBRW($B$1,$B$2,$B$7,$B$3,$B$4,$B$5,$F285,$B$6,AB$10,$A285,$B285)</f>
        <v>11135495.109737905</v>
      </c>
      <c r="AC285" s="4">
        <f ca="1">_xll.DBRW($B$1,$B$2,$B$7,$B$3,$B$4,$B$5,$F285,$B$6,AC$10,$A285,$B285)</f>
        <v>39948976.22050456</v>
      </c>
      <c r="AD285" s="4">
        <f ca="1">_xll.DBRW($B$1,$B$2,$B$7,$B$3,$B$4,$B$5,$F285,$B$6,AD$10,$A285,$B285)</f>
        <v>34526856.349435151</v>
      </c>
      <c r="AE285" s="4">
        <f ca="1">_xll.DBRW($B$1,$B$2,$B$7,$B$3,$B$4,$B$5,$F285,$B$6,AE$10,$A285,$B285)</f>
        <v>34735760.041883707</v>
      </c>
    </row>
    <row r="286" spans="1:31">
      <c r="A286" s="1" t="s">
        <v>153</v>
      </c>
      <c r="B286" s="5" t="s">
        <v>207</v>
      </c>
      <c r="C286" s="5" t="s">
        <v>208</v>
      </c>
      <c r="D286" s="5" t="s">
        <v>181</v>
      </c>
      <c r="E286" s="5" t="s">
        <v>21</v>
      </c>
      <c r="F286" s="5" t="s">
        <v>25</v>
      </c>
      <c r="G286" s="6"/>
      <c r="H286" s="6"/>
      <c r="I286" s="6"/>
      <c r="J286" s="6"/>
      <c r="K286" s="6"/>
      <c r="L286" s="4">
        <f ca="1">_xll.DBRW($B$1,$B$2,$B$7,$B$3,$B$4,$B$5,$F286,$B$6,L$10,$A286,$B286)</f>
        <v>9493312</v>
      </c>
      <c r="M286" s="4">
        <f ca="1">_xll.DBRW($B$1,$B$2,$B$7,$B$3,$B$4,$B$5,$F286,$B$6,M$10,$A286,$B286)</f>
        <v>4907129.5136169009</v>
      </c>
      <c r="N286" s="4">
        <f ca="1">_xll.DBRW($B$1,$B$2,$B$7,$B$3,$B$4,$B$5,$F286,$B$6,N$10,$A286,$B286)</f>
        <v>4696691.2</v>
      </c>
      <c r="O286" s="4">
        <f ca="1">_xll.DBRW($B$1,$B$2,$B$7,$B$3,$B$4,$B$5,$F286,$B$6,O$10,$A286,$B286)</f>
        <v>5933320</v>
      </c>
      <c r="P286" s="4">
        <f ca="1">_xll.DBRW($B$1,$B$2,$B$7,$B$3,$B$4,$B$5,$F286,$B$6,P$10,$A286,$B286)</f>
        <v>4746656.0000000009</v>
      </c>
      <c r="Q286" s="4">
        <f ca="1">_xll.DBRW($B$1,$B$2,$B$7,$B$3,$B$4,$B$5,$F286,$B$6,Q$10,$A286,$B286)</f>
        <v>10539196.800000001</v>
      </c>
      <c r="R286" s="4">
        <f ca="1">_xll.DBRW($B$1,$B$2,$B$7,$B$3,$B$4,$B$5,$F286,$B$6,R$10,$A286,$B286)</f>
        <v>32190295.039999995</v>
      </c>
      <c r="S286" s="4">
        <f ca="1">_xll.DBRW($B$1,$B$2,$B$7,$B$3,$B$4,$B$5,$F286,$B$6,S$10,$A286,$B286)</f>
        <v>37292511.359999999</v>
      </c>
      <c r="T286" s="4">
        <f ca="1">_xll.DBRW($B$1,$B$2,$B$7,$B$3,$B$4,$B$5,$F286,$B$6,T$10,$A286,$B286)</f>
        <v>38988878.632016674</v>
      </c>
      <c r="U286" s="4">
        <f ca="1">_xll.DBRW($B$1,$B$2,$B$7,$B$3,$B$4,$B$5,$F286,$B$6,U$10,$A286,$B286)</f>
        <v>36539463.315628074</v>
      </c>
      <c r="V286" s="4">
        <f ca="1">_xll.DBRW($B$1,$B$2,$B$7,$B$3,$B$4,$B$5,$F286,$B$6,V$10,$A286,$B286)</f>
        <v>25859284.034510087</v>
      </c>
      <c r="W286" s="4">
        <f ca="1">_xll.DBRW($B$1,$B$2,$B$7,$B$3,$B$4,$B$5,$F286,$B$6,W$10,$A286,$B286)</f>
        <v>9645218.3104955312</v>
      </c>
      <c r="X286" s="4">
        <f ca="1">_xll.DBRW($B$1,$B$2,$B$7,$B$3,$B$4,$B$5,$F286,$B$6,X$10,$A286,$B286)</f>
        <v>11135495.109737905</v>
      </c>
      <c r="Y286" s="4">
        <f ca="1">_xll.DBRW($B$1,$B$2,$B$7,$B$3,$B$4,$B$5,$F286,$B$6,Y$10,$A286,$B286)</f>
        <v>11135495.109737907</v>
      </c>
      <c r="Z286" s="4">
        <f ca="1">_xll.DBRW($B$1,$B$2,$B$7,$B$3,$B$4,$B$5,$F286,$B$6,Z$10,$A286,$B286)</f>
        <v>9898217.8753225785</v>
      </c>
      <c r="AA286" s="4">
        <f ca="1">_xll.DBRW($B$1,$B$2,$B$7,$B$3,$B$4,$B$5,$F286,$B$6,AA$10,$A286,$B286)</f>
        <v>11135495.109737903</v>
      </c>
      <c r="AB286" s="4">
        <f ca="1">_xll.DBRW($B$1,$B$2,$B$7,$B$3,$B$4,$B$5,$F286,$B$6,AB$10,$A286,$B286)</f>
        <v>11135495.109737905</v>
      </c>
      <c r="AC286" s="4">
        <f ca="1">_xll.DBRW($B$1,$B$2,$B$7,$B$3,$B$4,$B$5,$F286,$B$6,AC$10,$A286,$B286)</f>
        <v>39948976.22050456</v>
      </c>
      <c r="AD286" s="4">
        <f ca="1">_xll.DBRW($B$1,$B$2,$B$7,$B$3,$B$4,$B$5,$F286,$B$6,AD$10,$A286,$B286)</f>
        <v>34526856.349435151</v>
      </c>
      <c r="AE286" s="4">
        <f ca="1">_xll.DBRW($B$1,$B$2,$B$7,$B$3,$B$4,$B$5,$F286,$B$6,AE$10,$A286,$B286)</f>
        <v>34735760.041883707</v>
      </c>
    </row>
    <row r="287" spans="1:31">
      <c r="A287" s="1" t="s">
        <v>153</v>
      </c>
      <c r="B287" s="5" t="s">
        <v>209</v>
      </c>
      <c r="C287" s="5" t="s">
        <v>210</v>
      </c>
      <c r="D287" s="5" t="s">
        <v>21</v>
      </c>
      <c r="E287" s="5" t="s">
        <v>211</v>
      </c>
      <c r="F287" s="5" t="s">
        <v>25</v>
      </c>
      <c r="G287" s="6"/>
      <c r="H287" s="6"/>
      <c r="I287" s="6"/>
      <c r="J287" s="6"/>
      <c r="K287" s="6"/>
      <c r="L287" s="4">
        <f ca="1">_xll.DBRW($B$1,$B$2,$B$7,$B$3,$B$4,$B$5,$F287,$B$6,L$10,$A287,$B287)</f>
        <v>4561049.2</v>
      </c>
      <c r="M287" s="4">
        <f ca="1">_xll.DBRW($B$1,$B$2,$B$7,$B$3,$B$4,$B$5,$F287,$B$6,M$10,$A287,$B287)</f>
        <v>0</v>
      </c>
      <c r="N287" s="4">
        <f ca="1">_xll.DBRW($B$1,$B$2,$B$7,$B$3,$B$4,$B$5,$F287,$B$6,N$10,$A287,$B287)</f>
        <v>0</v>
      </c>
      <c r="O287" s="4">
        <f ca="1">_xll.DBRW($B$1,$B$2,$B$7,$B$3,$B$4,$B$5,$F287,$B$6,O$10,$A287,$B287)</f>
        <v>0</v>
      </c>
      <c r="P287" s="4">
        <f ca="1">_xll.DBRW($B$1,$B$2,$B$7,$B$3,$B$4,$B$5,$F287,$B$6,P$10,$A287,$B287)</f>
        <v>0</v>
      </c>
      <c r="Q287" s="4">
        <f ca="1">_xll.DBRW($B$1,$B$2,$B$7,$B$3,$B$4,$B$5,$F287,$B$6,Q$10,$A287,$B287)</f>
        <v>1637610.75</v>
      </c>
      <c r="R287" s="4">
        <f ca="1">_xll.DBRW($B$1,$B$2,$B$7,$B$3,$B$4,$B$5,$F287,$B$6,R$10,$A287,$B287)</f>
        <v>9898447.1999999993</v>
      </c>
      <c r="S287" s="4">
        <f ca="1">_xll.DBRW($B$1,$B$2,$B$7,$B$3,$B$4,$B$5,$F287,$B$6,S$10,$A287,$B287)</f>
        <v>14192626.5</v>
      </c>
      <c r="T287" s="4">
        <f ca="1">_xll.DBRW($B$1,$B$2,$B$7,$B$3,$B$4,$B$5,$F287,$B$6,T$10,$A287,$B287)</f>
        <v>13893418.907177795</v>
      </c>
      <c r="U287" s="4">
        <f ca="1">_xll.DBRW($B$1,$B$2,$B$7,$B$3,$B$4,$B$5,$F287,$B$6,U$10,$A287,$B287)</f>
        <v>14670704.0986946</v>
      </c>
      <c r="V287" s="4">
        <f ca="1">_xll.DBRW($B$1,$B$2,$B$7,$B$3,$B$4,$B$5,$F287,$B$6,V$10,$A287,$B287)</f>
        <v>15195861.768250896</v>
      </c>
      <c r="W287" s="4">
        <f ca="1">_xll.DBRW($B$1,$B$2,$B$7,$B$3,$B$4,$B$5,$F287,$B$6,W$10,$A287,$B287)</f>
        <v>0</v>
      </c>
      <c r="X287" s="4">
        <f ca="1">_xll.DBRW($B$1,$B$2,$B$7,$B$3,$B$4,$B$5,$F287,$B$6,X$10,$A287,$B287)</f>
        <v>0</v>
      </c>
      <c r="Y287" s="4">
        <f ca="1">_xll.DBRW($B$1,$B$2,$B$7,$B$3,$B$4,$B$5,$F287,$B$6,Y$10,$A287,$B287)</f>
        <v>0</v>
      </c>
      <c r="Z287" s="4">
        <f ca="1">_xll.DBRW($B$1,$B$2,$B$7,$B$3,$B$4,$B$5,$F287,$B$6,Z$10,$A287,$B287)</f>
        <v>0</v>
      </c>
      <c r="AA287" s="4">
        <f ca="1">_xll.DBRW($B$1,$B$2,$B$7,$B$3,$B$4,$B$5,$F287,$B$6,AA$10,$A287,$B287)</f>
        <v>0</v>
      </c>
      <c r="AB287" s="4">
        <f ca="1">_xll.DBRW($B$1,$B$2,$B$7,$B$3,$B$4,$B$5,$F287,$B$6,AB$10,$A287,$B287)</f>
        <v>0</v>
      </c>
      <c r="AC287" s="4">
        <f ca="1">_xll.DBRW($B$1,$B$2,$B$7,$B$3,$B$4,$B$5,$F287,$B$6,AC$10,$A287,$B287)</f>
        <v>2638268.9414849449</v>
      </c>
      <c r="AD287" s="4">
        <f ca="1">_xll.DBRW($B$1,$B$2,$B$7,$B$3,$B$4,$B$5,$F287,$B$6,AD$10,$A287,$B287)</f>
        <v>13572415.05941109</v>
      </c>
      <c r="AE287" s="4">
        <f ca="1">_xll.DBRW($B$1,$B$2,$B$7,$B$3,$B$4,$B$5,$F287,$B$6,AE$10,$A287,$B287)</f>
        <v>19147122.829909101</v>
      </c>
    </row>
    <row r="288" spans="1:31">
      <c r="A288" s="1" t="s">
        <v>153</v>
      </c>
      <c r="B288" s="5" t="s">
        <v>212</v>
      </c>
      <c r="C288" s="5" t="s">
        <v>213</v>
      </c>
      <c r="D288" s="5" t="s">
        <v>211</v>
      </c>
      <c r="E288" s="5" t="s">
        <v>21</v>
      </c>
      <c r="F288" s="5" t="s">
        <v>25</v>
      </c>
      <c r="G288" s="6"/>
      <c r="H288" s="6"/>
      <c r="I288" s="6"/>
      <c r="J288" s="6"/>
      <c r="K288" s="6"/>
      <c r="L288" s="4">
        <f ca="1">_xll.DBRW($B$1,$B$2,$B$7,$B$3,$B$4,$B$5,$F288,$B$6,L$10,$A288,$B288)</f>
        <v>4561049.2</v>
      </c>
      <c r="M288" s="4">
        <f ca="1">_xll.DBRW($B$1,$B$2,$B$7,$B$3,$B$4,$B$5,$F288,$B$6,M$10,$A288,$B288)</f>
        <v>0</v>
      </c>
      <c r="N288" s="4">
        <f ca="1">_xll.DBRW($B$1,$B$2,$B$7,$B$3,$B$4,$B$5,$F288,$B$6,N$10,$A288,$B288)</f>
        <v>0</v>
      </c>
      <c r="O288" s="4">
        <f ca="1">_xll.DBRW($B$1,$B$2,$B$7,$B$3,$B$4,$B$5,$F288,$B$6,O$10,$A288,$B288)</f>
        <v>0</v>
      </c>
      <c r="P288" s="4">
        <f ca="1">_xll.DBRW($B$1,$B$2,$B$7,$B$3,$B$4,$B$5,$F288,$B$6,P$10,$A288,$B288)</f>
        <v>0</v>
      </c>
      <c r="Q288" s="4">
        <f ca="1">_xll.DBRW($B$1,$B$2,$B$7,$B$3,$B$4,$B$5,$F288,$B$6,Q$10,$A288,$B288)</f>
        <v>1637610.75</v>
      </c>
      <c r="R288" s="4">
        <f ca="1">_xll.DBRW($B$1,$B$2,$B$7,$B$3,$B$4,$B$5,$F288,$B$6,R$10,$A288,$B288)</f>
        <v>9898447.1999999993</v>
      </c>
      <c r="S288" s="4">
        <f ca="1">_xll.DBRW($B$1,$B$2,$B$7,$B$3,$B$4,$B$5,$F288,$B$6,S$10,$A288,$B288)</f>
        <v>14192626.5</v>
      </c>
      <c r="T288" s="4">
        <f ca="1">_xll.DBRW($B$1,$B$2,$B$7,$B$3,$B$4,$B$5,$F288,$B$6,T$10,$A288,$B288)</f>
        <v>13893418.907177795</v>
      </c>
      <c r="U288" s="4">
        <f ca="1">_xll.DBRW($B$1,$B$2,$B$7,$B$3,$B$4,$B$5,$F288,$B$6,U$10,$A288,$B288)</f>
        <v>14670704.0986946</v>
      </c>
      <c r="V288" s="4">
        <f ca="1">_xll.DBRW($B$1,$B$2,$B$7,$B$3,$B$4,$B$5,$F288,$B$6,V$10,$A288,$B288)</f>
        <v>15195861.768250896</v>
      </c>
      <c r="W288" s="4">
        <f ca="1">_xll.DBRW($B$1,$B$2,$B$7,$B$3,$B$4,$B$5,$F288,$B$6,W$10,$A288,$B288)</f>
        <v>0</v>
      </c>
      <c r="X288" s="4">
        <f ca="1">_xll.DBRW($B$1,$B$2,$B$7,$B$3,$B$4,$B$5,$F288,$B$6,X$10,$A288,$B288)</f>
        <v>0</v>
      </c>
      <c r="Y288" s="4">
        <f ca="1">_xll.DBRW($B$1,$B$2,$B$7,$B$3,$B$4,$B$5,$F288,$B$6,Y$10,$A288,$B288)</f>
        <v>0</v>
      </c>
      <c r="Z288" s="4">
        <f ca="1">_xll.DBRW($B$1,$B$2,$B$7,$B$3,$B$4,$B$5,$F288,$B$6,Z$10,$A288,$B288)</f>
        <v>0</v>
      </c>
      <c r="AA288" s="4">
        <f ca="1">_xll.DBRW($B$1,$B$2,$B$7,$B$3,$B$4,$B$5,$F288,$B$6,AA$10,$A288,$B288)</f>
        <v>0</v>
      </c>
      <c r="AB288" s="4">
        <f ca="1">_xll.DBRW($B$1,$B$2,$B$7,$B$3,$B$4,$B$5,$F288,$B$6,AB$10,$A288,$B288)</f>
        <v>0</v>
      </c>
      <c r="AC288" s="4">
        <f ca="1">_xll.DBRW($B$1,$B$2,$B$7,$B$3,$B$4,$B$5,$F288,$B$6,AC$10,$A288,$B288)</f>
        <v>2638268.9414849449</v>
      </c>
      <c r="AD288" s="4">
        <f ca="1">_xll.DBRW($B$1,$B$2,$B$7,$B$3,$B$4,$B$5,$F288,$B$6,AD$10,$A288,$B288)</f>
        <v>13572415.05941109</v>
      </c>
      <c r="AE288" s="4">
        <f ca="1">_xll.DBRW($B$1,$B$2,$B$7,$B$3,$B$4,$B$5,$F288,$B$6,AE$10,$A288,$B288)</f>
        <v>19147122.829909101</v>
      </c>
    </row>
    <row r="289" spans="1:31">
      <c r="A289" s="1" t="s">
        <v>153</v>
      </c>
      <c r="B289" s="5" t="s">
        <v>214</v>
      </c>
      <c r="C289" s="5" t="s">
        <v>187</v>
      </c>
      <c r="D289" s="5" t="s">
        <v>21</v>
      </c>
      <c r="E289" s="5" t="s">
        <v>59</v>
      </c>
      <c r="F289" s="5" t="s">
        <v>25</v>
      </c>
      <c r="G289" s="6"/>
      <c r="H289" s="6"/>
      <c r="I289" s="6"/>
      <c r="J289" s="6"/>
      <c r="K289" s="6"/>
      <c r="L289" s="4">
        <f ca="1">_xll.DBRW($B$1,$B$2,$B$7,$B$3,$B$4,$B$5,$F289,$B$6,L$10,$A289,$B289)</f>
        <v>60469545.500000007</v>
      </c>
      <c r="M289" s="4">
        <f ca="1">_xll.DBRW($B$1,$B$2,$B$7,$B$3,$B$4,$B$5,$F289,$B$6,M$10,$A289,$B289)</f>
        <v>53049362.83247719</v>
      </c>
      <c r="N289" s="4">
        <f ca="1">_xll.DBRW($B$1,$B$2,$B$7,$B$3,$B$4,$B$5,$F289,$B$6,N$10,$A289,$B289)</f>
        <v>56250740.000000007</v>
      </c>
      <c r="O289" s="4">
        <f ca="1">_xll.DBRW($B$1,$B$2,$B$7,$B$3,$B$4,$B$5,$F289,$B$6,O$10,$A289,$B289)</f>
        <v>59063277.000000007</v>
      </c>
      <c r="P289" s="4">
        <f ca="1">_xll.DBRW($B$1,$B$2,$B$7,$B$3,$B$4,$B$5,$F289,$B$6,P$10,$A289,$B289)</f>
        <v>54436200</v>
      </c>
      <c r="Q289" s="4">
        <f ca="1">_xll.DBRW($B$1,$B$2,$B$7,$B$3,$B$4,$B$5,$F289,$B$6,Q$10,$A289,$B289)</f>
        <v>50807120.000000007</v>
      </c>
      <c r="R289" s="4">
        <f ca="1">_xll.DBRW($B$1,$B$2,$B$7,$B$3,$B$4,$B$5,$F289,$B$6,R$10,$A289,$B289)</f>
        <v>26818552.25</v>
      </c>
      <c r="S289" s="4">
        <f ca="1">_xll.DBRW($B$1,$B$2,$B$7,$B$3,$B$4,$B$5,$F289,$B$6,S$10,$A289,$B289)</f>
        <v>0</v>
      </c>
      <c r="T289" s="4">
        <f ca="1">_xll.DBRW($B$1,$B$2,$B$7,$B$3,$B$4,$B$5,$F289,$B$6,T$10,$A289,$B289)</f>
        <v>0</v>
      </c>
      <c r="U289" s="4">
        <f ca="1">_xll.DBRW($B$1,$B$2,$B$7,$B$3,$B$4,$B$5,$F289,$B$6,U$10,$A289,$B289)</f>
        <v>0</v>
      </c>
      <c r="V289" s="4">
        <f ca="1">_xll.DBRW($B$1,$B$2,$B$7,$B$3,$B$4,$B$5,$F289,$B$6,V$10,$A289,$B289)</f>
        <v>3508996.5461053266</v>
      </c>
      <c r="W289" s="4">
        <f ca="1">_xll.DBRW($B$1,$B$2,$B$7,$B$3,$B$4,$B$5,$F289,$B$6,W$10,$A289,$B289)</f>
        <v>56085584.774374805</v>
      </c>
      <c r="X289" s="4">
        <f ca="1">_xll.DBRW($B$1,$B$2,$B$7,$B$3,$B$4,$B$5,$F289,$B$6,X$10,$A289,$B289)</f>
        <v>67645226.005084917</v>
      </c>
      <c r="Y289" s="4">
        <f ca="1">_xll.DBRW($B$1,$B$2,$B$7,$B$3,$B$4,$B$5,$F289,$B$6,Y$10,$A289,$B289)</f>
        <v>57492802.8662678</v>
      </c>
      <c r="Z289" s="4">
        <f ca="1">_xll.DBRW($B$1,$B$2,$B$7,$B$3,$B$4,$B$5,$F289,$B$6,Z$10,$A289,$B289)</f>
        <v>64055518.890309796</v>
      </c>
      <c r="AA289" s="4">
        <f ca="1">_xll.DBRW($B$1,$B$2,$B$7,$B$3,$B$4,$B$5,$F289,$B$6,AA$10,$A289,$B289)</f>
        <v>66276940.343291417</v>
      </c>
      <c r="AB289" s="4">
        <f ca="1">_xll.DBRW($B$1,$B$2,$B$7,$B$3,$B$4,$B$5,$F289,$B$6,AB$10,$A289,$B289)</f>
        <v>55841555.152708702</v>
      </c>
      <c r="AC289" s="4">
        <f ca="1">_xll.DBRW($B$1,$B$2,$B$7,$B$3,$B$4,$B$5,$F289,$B$6,AC$10,$A289,$B289)</f>
        <v>48961495.348474093</v>
      </c>
      <c r="AD289" s="4">
        <f ca="1">_xll.DBRW($B$1,$B$2,$B$7,$B$3,$B$4,$B$5,$F289,$B$6,AD$10,$A289,$B289)</f>
        <v>0</v>
      </c>
      <c r="AE289" s="4">
        <f ca="1">_xll.DBRW($B$1,$B$2,$B$7,$B$3,$B$4,$B$5,$F289,$B$6,AE$10,$A289,$B289)</f>
        <v>0</v>
      </c>
    </row>
    <row r="290" spans="1:31">
      <c r="A290" s="1" t="s">
        <v>153</v>
      </c>
      <c r="B290" s="5" t="s">
        <v>63</v>
      </c>
      <c r="C290" s="5" t="s">
        <v>62</v>
      </c>
      <c r="D290" s="5" t="s">
        <v>59</v>
      </c>
      <c r="E290" s="5" t="s">
        <v>21</v>
      </c>
      <c r="F290" s="5" t="s">
        <v>25</v>
      </c>
      <c r="G290" s="6"/>
      <c r="H290" s="6"/>
      <c r="I290" s="6"/>
      <c r="J290" s="6"/>
      <c r="K290" s="6"/>
      <c r="L290" s="4">
        <f ca="1">_xll.DBRW($B$1,$B$2,$B$7,$B$3,$B$4,$B$5,$F290,$B$6,L$10,$A290,$B290)</f>
        <v>60469545.500000007</v>
      </c>
      <c r="M290" s="4">
        <f ca="1">_xll.DBRW($B$1,$B$2,$B$7,$B$3,$B$4,$B$5,$F290,$B$6,M$10,$A290,$B290)</f>
        <v>53049362.83247719</v>
      </c>
      <c r="N290" s="4">
        <f ca="1">_xll.DBRW($B$1,$B$2,$B$7,$B$3,$B$4,$B$5,$F290,$B$6,N$10,$A290,$B290)</f>
        <v>56250740.000000007</v>
      </c>
      <c r="O290" s="4">
        <f ca="1">_xll.DBRW($B$1,$B$2,$B$7,$B$3,$B$4,$B$5,$F290,$B$6,O$10,$A290,$B290)</f>
        <v>59063277.000000007</v>
      </c>
      <c r="P290" s="4">
        <f ca="1">_xll.DBRW($B$1,$B$2,$B$7,$B$3,$B$4,$B$5,$F290,$B$6,P$10,$A290,$B290)</f>
        <v>54436200</v>
      </c>
      <c r="Q290" s="4">
        <f ca="1">_xll.DBRW($B$1,$B$2,$B$7,$B$3,$B$4,$B$5,$F290,$B$6,Q$10,$A290,$B290)</f>
        <v>50807120.000000007</v>
      </c>
      <c r="R290" s="4">
        <f ca="1">_xll.DBRW($B$1,$B$2,$B$7,$B$3,$B$4,$B$5,$F290,$B$6,R$10,$A290,$B290)</f>
        <v>26818552.25</v>
      </c>
      <c r="S290" s="4">
        <f ca="1">_xll.DBRW($B$1,$B$2,$B$7,$B$3,$B$4,$B$5,$F290,$B$6,S$10,$A290,$B290)</f>
        <v>0</v>
      </c>
      <c r="T290" s="4">
        <f ca="1">_xll.DBRW($B$1,$B$2,$B$7,$B$3,$B$4,$B$5,$F290,$B$6,T$10,$A290,$B290)</f>
        <v>0</v>
      </c>
      <c r="U290" s="4">
        <f ca="1">_xll.DBRW($B$1,$B$2,$B$7,$B$3,$B$4,$B$5,$F290,$B$6,U$10,$A290,$B290)</f>
        <v>0</v>
      </c>
      <c r="V290" s="4">
        <f ca="1">_xll.DBRW($B$1,$B$2,$B$7,$B$3,$B$4,$B$5,$F290,$B$6,V$10,$A290,$B290)</f>
        <v>3508996.5461053266</v>
      </c>
      <c r="W290" s="4">
        <f ca="1">_xll.DBRW($B$1,$B$2,$B$7,$B$3,$B$4,$B$5,$F290,$B$6,W$10,$A290,$B290)</f>
        <v>52864258.879641481</v>
      </c>
      <c r="X290" s="4">
        <f ca="1">_xll.DBRW($B$1,$B$2,$B$7,$B$3,$B$4,$B$5,$F290,$B$6,X$10,$A290,$B290)</f>
        <v>62945309.558081485</v>
      </c>
      <c r="Y290" s="4">
        <f ca="1">_xll.DBRW($B$1,$B$2,$B$7,$B$3,$B$4,$B$5,$F290,$B$6,Y$10,$A290,$B290)</f>
        <v>54190652.13753856</v>
      </c>
      <c r="Z290" s="4">
        <f ca="1">_xll.DBRW($B$1,$B$2,$B$7,$B$3,$B$4,$B$5,$F290,$B$6,Z$10,$A290,$B290)</f>
        <v>59605011.374357745</v>
      </c>
      <c r="AA290" s="4">
        <f ca="1">_xll.DBRW($B$1,$B$2,$B$7,$B$3,$B$4,$B$5,$F290,$B$6,AA$10,$A290,$B290)</f>
        <v>62593060.780785881</v>
      </c>
      <c r="AB290" s="4">
        <f ca="1">_xll.DBRW($B$1,$B$2,$B$7,$B$3,$B$4,$B$5,$F290,$B$6,AB$10,$A290,$B290)</f>
        <v>52634245.318296723</v>
      </c>
      <c r="AC290" s="4">
        <f ca="1">_xll.DBRW($B$1,$B$2,$B$7,$B$3,$B$4,$B$5,$F290,$B$6,AC$10,$A290,$B290)</f>
        <v>45586918.438302338</v>
      </c>
      <c r="AD290" s="4">
        <f ca="1">_xll.DBRW($B$1,$B$2,$B$7,$B$3,$B$4,$B$5,$F290,$B$6,AD$10,$A290,$B290)</f>
        <v>0</v>
      </c>
      <c r="AE290" s="4">
        <f ca="1">_xll.DBRW($B$1,$B$2,$B$7,$B$3,$B$4,$B$5,$F290,$B$6,AE$10,$A290,$B290)</f>
        <v>0</v>
      </c>
    </row>
    <row r="291" spans="1:31">
      <c r="A291" s="1" t="s">
        <v>153</v>
      </c>
      <c r="B291" s="5" t="s">
        <v>215</v>
      </c>
      <c r="C291" s="5" t="s">
        <v>159</v>
      </c>
      <c r="D291" s="5" t="s">
        <v>21</v>
      </c>
      <c r="E291" s="5" t="s">
        <v>38</v>
      </c>
      <c r="F291" s="5" t="s">
        <v>25</v>
      </c>
      <c r="G291" s="6"/>
      <c r="H291" s="6"/>
      <c r="I291" s="6"/>
      <c r="J291" s="6"/>
      <c r="K291" s="6"/>
      <c r="L291" s="4">
        <f ca="1">_xll.DBRW($B$1,$B$2,$B$7,$B$3,$B$4,$B$5,$F291,$B$6,L$10,$A291,$B291)</f>
        <v>28441932.706275389</v>
      </c>
      <c r="M291" s="4">
        <f ca="1">_xll.DBRW($B$1,$B$2,$B$7,$B$3,$B$4,$B$5,$F291,$B$6,M$10,$A291,$B291)</f>
        <v>32676095.224491462</v>
      </c>
      <c r="N291" s="4">
        <f ca="1">_xll.DBRW($B$1,$B$2,$B$7,$B$3,$B$4,$B$5,$F291,$B$6,N$10,$A291,$B291)</f>
        <v>32196434.609711289</v>
      </c>
      <c r="O291" s="4">
        <f ca="1">_xll.DBRW($B$1,$B$2,$B$7,$B$3,$B$4,$B$5,$F291,$B$6,O$10,$A291,$B291)</f>
        <v>34917867.526098624</v>
      </c>
      <c r="P291" s="4">
        <f ca="1">_xll.DBRW($B$1,$B$2,$B$7,$B$3,$B$4,$B$5,$F291,$B$6,P$10,$A291,$B291)</f>
        <v>25914080.900522687</v>
      </c>
      <c r="Q291" s="4">
        <f ca="1">_xll.DBRW($B$1,$B$2,$B$7,$B$3,$B$4,$B$5,$F291,$B$6,Q$10,$A291,$B291)</f>
        <v>30608136.185963746</v>
      </c>
      <c r="R291" s="4">
        <f ca="1">_xll.DBRW($B$1,$B$2,$B$7,$B$3,$B$4,$B$5,$F291,$B$6,R$10,$A291,$B291)</f>
        <v>27454810.5</v>
      </c>
      <c r="S291" s="4">
        <f ca="1">_xll.DBRW($B$1,$B$2,$B$7,$B$3,$B$4,$B$5,$F291,$B$6,S$10,$A291,$B291)</f>
        <v>31966588.2959316</v>
      </c>
      <c r="T291" s="4">
        <f ca="1">_xll.DBRW($B$1,$B$2,$B$7,$B$3,$B$4,$B$5,$F291,$B$6,T$10,$A291,$B291)</f>
        <v>28838730.851946715</v>
      </c>
      <c r="U291" s="4">
        <f ca="1">_xll.DBRW($B$1,$B$2,$B$7,$B$3,$B$4,$B$5,$F291,$B$6,U$10,$A291,$B291)</f>
        <v>27422654.537754089</v>
      </c>
      <c r="V291" s="4">
        <f ca="1">_xll.DBRW($B$1,$B$2,$B$7,$B$3,$B$4,$B$5,$F291,$B$6,V$10,$A291,$B291)</f>
        <v>30494647.162909113</v>
      </c>
      <c r="W291" s="4">
        <f ca="1">_xll.DBRW($B$1,$B$2,$B$7,$B$3,$B$4,$B$5,$F291,$B$6,W$10,$A291,$B291)</f>
        <v>31076479.783119097</v>
      </c>
      <c r="X291" s="4">
        <f ca="1">_xll.DBRW($B$1,$B$2,$B$7,$B$3,$B$4,$B$5,$F291,$B$6,X$10,$A291,$B291)</f>
        <v>31157515.045250386</v>
      </c>
      <c r="Y291" s="4">
        <f ca="1">_xll.DBRW($B$1,$B$2,$B$7,$B$3,$B$4,$B$5,$F291,$B$6,Y$10,$A291,$B291)</f>
        <v>32959207.931843765</v>
      </c>
      <c r="Z291" s="4">
        <f ca="1">_xll.DBRW($B$1,$B$2,$B$7,$B$3,$B$4,$B$5,$F291,$B$6,Z$10,$A291,$B291)</f>
        <v>35894293.087840497</v>
      </c>
      <c r="AA291" s="4">
        <f ca="1">_xll.DBRW($B$1,$B$2,$B$7,$B$3,$B$4,$B$5,$F291,$B$6,AA$10,$A291,$B291)</f>
        <v>38171733.434757963</v>
      </c>
      <c r="AB291" s="4">
        <f ca="1">_xll.DBRW($B$1,$B$2,$B$7,$B$3,$B$4,$B$5,$F291,$B$6,AB$10,$A291,$B291)</f>
        <v>26231249.1147912</v>
      </c>
      <c r="AC291" s="4">
        <f ca="1">_xll.DBRW($B$1,$B$2,$B$7,$B$3,$B$4,$B$5,$F291,$B$6,AC$10,$A291,$B291)</f>
        <v>30644702.206176899</v>
      </c>
      <c r="AD291" s="4">
        <f ca="1">_xll.DBRW($B$1,$B$2,$B$7,$B$3,$B$4,$B$5,$F291,$B$6,AD$10,$A291,$B291)</f>
        <v>29080434.327800557</v>
      </c>
      <c r="AE291" s="4">
        <f ca="1">_xll.DBRW($B$1,$B$2,$B$7,$B$3,$B$4,$B$5,$F291,$B$6,AE$10,$A291,$B291)</f>
        <v>35158313.187738821</v>
      </c>
    </row>
    <row r="292" spans="1:31">
      <c r="A292" s="1" t="s">
        <v>153</v>
      </c>
      <c r="B292" s="5" t="s">
        <v>43</v>
      </c>
      <c r="C292" s="5" t="s">
        <v>37</v>
      </c>
      <c r="D292" s="5" t="s">
        <v>38</v>
      </c>
      <c r="E292" s="5" t="s">
        <v>21</v>
      </c>
      <c r="F292" s="5" t="s">
        <v>25</v>
      </c>
      <c r="G292" s="6"/>
      <c r="H292" s="6"/>
      <c r="I292" s="6"/>
      <c r="J292" s="6"/>
      <c r="K292" s="6"/>
      <c r="L292" s="4">
        <f ca="1">_xll.DBRW($B$1,$B$2,$B$7,$B$3,$B$4,$B$5,$F292,$B$6,L$10,$A292,$B292)</f>
        <v>27672170.373987351</v>
      </c>
      <c r="M292" s="4">
        <f ca="1">_xll.DBRW($B$1,$B$2,$B$7,$B$3,$B$4,$B$5,$F292,$B$6,M$10,$A292,$B292)</f>
        <v>31512733.536357086</v>
      </c>
      <c r="N292" s="4">
        <f ca="1">_xll.DBRW($B$1,$B$2,$B$7,$B$3,$B$4,$B$5,$F292,$B$6,N$10,$A292,$B292)</f>
        <v>31528570.380719647</v>
      </c>
      <c r="O292" s="4">
        <f ca="1">_xll.DBRW($B$1,$B$2,$B$7,$B$3,$B$4,$B$5,$F292,$B$6,O$10,$A292,$B292)</f>
        <v>32816807.194472052</v>
      </c>
      <c r="P292" s="4">
        <f ca="1">_xll.DBRW($B$1,$B$2,$B$7,$B$3,$B$4,$B$5,$F292,$B$6,P$10,$A292,$B292)</f>
        <v>3267747.2227751301</v>
      </c>
      <c r="Q292" s="4">
        <f ca="1">_xll.DBRW($B$1,$B$2,$B$7,$B$3,$B$4,$B$5,$F292,$B$6,Q$10,$A292,$B292)</f>
        <v>6274014.8284457698</v>
      </c>
      <c r="R292" s="4">
        <f ca="1">_xll.DBRW($B$1,$B$2,$B$7,$B$3,$B$4,$B$5,$F292,$B$6,R$10,$A292,$B292)</f>
        <v>27454810.5</v>
      </c>
      <c r="S292" s="4">
        <f ca="1">_xll.DBRW($B$1,$B$2,$B$7,$B$3,$B$4,$B$5,$F292,$B$6,S$10,$A292,$B292)</f>
        <v>31966588.2959316</v>
      </c>
      <c r="T292" s="4">
        <f ca="1">_xll.DBRW($B$1,$B$2,$B$7,$B$3,$B$4,$B$5,$F292,$B$6,T$10,$A292,$B292)</f>
        <v>26257818.331314735</v>
      </c>
      <c r="U292" s="4">
        <f ca="1">_xll.DBRW($B$1,$B$2,$B$7,$B$3,$B$4,$B$5,$F292,$B$6,U$10,$A292,$B292)</f>
        <v>25369536.467312835</v>
      </c>
      <c r="V292" s="4">
        <f ca="1">_xll.DBRW($B$1,$B$2,$B$7,$B$3,$B$4,$B$5,$F292,$B$6,V$10,$A292,$B292)</f>
        <v>28409404.923833966</v>
      </c>
      <c r="W292" s="4">
        <f ca="1">_xll.DBRW($B$1,$B$2,$B$7,$B$3,$B$4,$B$5,$F292,$B$6,W$10,$A292,$B292)</f>
        <v>31076479.783119097</v>
      </c>
      <c r="X292" s="4">
        <f ca="1">_xll.DBRW($B$1,$B$2,$B$7,$B$3,$B$4,$B$5,$F292,$B$6,X$10,$A292,$B292)</f>
        <v>31157515.045250386</v>
      </c>
      <c r="Y292" s="4">
        <f ca="1">_xll.DBRW($B$1,$B$2,$B$7,$B$3,$B$4,$B$5,$F292,$B$6,Y$10,$A292,$B292)</f>
        <v>32959207.931843765</v>
      </c>
      <c r="Z292" s="4">
        <f ca="1">_xll.DBRW($B$1,$B$2,$B$7,$B$3,$B$4,$B$5,$F292,$B$6,Z$10,$A292,$B292)</f>
        <v>35894293.087840497</v>
      </c>
      <c r="AA292" s="4">
        <f ca="1">_xll.DBRW($B$1,$B$2,$B$7,$B$3,$B$4,$B$5,$F292,$B$6,AA$10,$A292,$B292)</f>
        <v>38171733.434757963</v>
      </c>
      <c r="AB292" s="4">
        <f ca="1">_xll.DBRW($B$1,$B$2,$B$7,$B$3,$B$4,$B$5,$F292,$B$6,AB$10,$A292,$B292)</f>
        <v>26231249.1147912</v>
      </c>
      <c r="AC292" s="4">
        <f ca="1">_xll.DBRW($B$1,$B$2,$B$7,$B$3,$B$4,$B$5,$F292,$B$6,AC$10,$A292,$B292)</f>
        <v>29097591.02683593</v>
      </c>
      <c r="AD292" s="4">
        <f ca="1">_xll.DBRW($B$1,$B$2,$B$7,$B$3,$B$4,$B$5,$F292,$B$6,AD$10,$A292,$B292)</f>
        <v>27230837.56095235</v>
      </c>
      <c r="AE292" s="4">
        <f ca="1">_xll.DBRW($B$1,$B$2,$B$7,$B$3,$B$4,$B$5,$F292,$B$6,AE$10,$A292,$B292)</f>
        <v>31659254.984188348</v>
      </c>
    </row>
    <row r="293" spans="1:31">
      <c r="A293" s="1" t="s">
        <v>153</v>
      </c>
      <c r="B293" s="5" t="s">
        <v>216</v>
      </c>
      <c r="C293" s="5" t="s">
        <v>163</v>
      </c>
      <c r="D293" s="5" t="s">
        <v>21</v>
      </c>
      <c r="E293" s="5" t="s">
        <v>54</v>
      </c>
      <c r="F293" s="5" t="s">
        <v>25</v>
      </c>
      <c r="G293" s="6"/>
      <c r="H293" s="6"/>
      <c r="I293" s="6"/>
      <c r="J293" s="6"/>
      <c r="K293" s="6"/>
      <c r="L293" s="4">
        <f ca="1">_xll.DBRW($B$1,$B$2,$B$7,$B$3,$B$4,$B$5,$F293,$B$6,L$10,$A293,$B293)</f>
        <v>36580992</v>
      </c>
      <c r="M293" s="4">
        <f ca="1">_xll.DBRW($B$1,$B$2,$B$7,$B$3,$B$4,$B$5,$F293,$B$6,M$10,$A293,$B293)</f>
        <v>44035920.946278252</v>
      </c>
      <c r="N293" s="4">
        <f ca="1">_xll.DBRW($B$1,$B$2,$B$7,$B$3,$B$4,$B$5,$F293,$B$6,N$10,$A293,$B293)</f>
        <v>47032704</v>
      </c>
      <c r="O293" s="4">
        <f ca="1">_xll.DBRW($B$1,$B$2,$B$7,$B$3,$B$4,$B$5,$F293,$B$6,O$10,$A293,$B293)</f>
        <v>43897190.399999991</v>
      </c>
      <c r="P293" s="4">
        <f ca="1">_xll.DBRW($B$1,$B$2,$B$7,$B$3,$B$4,$B$5,$F293,$B$6,P$10,$A293,$B293)</f>
        <v>36918143.999999993</v>
      </c>
      <c r="Q293" s="4">
        <f ca="1">_xll.DBRW($B$1,$B$2,$B$7,$B$3,$B$4,$B$5,$F293,$B$6,Q$10,$A293,$B293)</f>
        <v>30680831.999999996</v>
      </c>
      <c r="R293" s="4">
        <f ca="1">_xll.DBRW($B$1,$B$2,$B$7,$B$3,$B$4,$B$5,$F293,$B$6,R$10,$A293,$B293)</f>
        <v>0</v>
      </c>
      <c r="S293" s="4">
        <f ca="1">_xll.DBRW($B$1,$B$2,$B$7,$B$3,$B$4,$B$5,$F293,$B$6,S$10,$A293,$B293)</f>
        <v>0</v>
      </c>
      <c r="T293" s="4">
        <f ca="1">_xll.DBRW($B$1,$B$2,$B$7,$B$3,$B$4,$B$5,$F293,$B$6,T$10,$A293,$B293)</f>
        <v>0</v>
      </c>
      <c r="U293" s="4">
        <f ca="1">_xll.DBRW($B$1,$B$2,$B$7,$B$3,$B$4,$B$5,$F293,$B$6,U$10,$A293,$B293)</f>
        <v>0</v>
      </c>
      <c r="V293" s="4">
        <f ca="1">_xll.DBRW($B$1,$B$2,$B$7,$B$3,$B$4,$B$5,$F293,$B$6,V$10,$A293,$B293)</f>
        <v>2976392.4024588685</v>
      </c>
      <c r="W293" s="4">
        <f ca="1">_xll.DBRW($B$1,$B$2,$B$7,$B$3,$B$4,$B$5,$F293,$B$6,W$10,$A293,$B293)</f>
        <v>46480301.519572623</v>
      </c>
      <c r="X293" s="4">
        <f ca="1">_xll.DBRW($B$1,$B$2,$B$7,$B$3,$B$4,$B$5,$F293,$B$6,X$10,$A293,$B293)</f>
        <v>47150705.247376576</v>
      </c>
      <c r="Y293" s="4">
        <f ca="1">_xll.DBRW($B$1,$B$2,$B$7,$B$3,$B$4,$B$5,$F293,$B$6,Y$10,$A293,$B293)</f>
        <v>55064467.885998785</v>
      </c>
      <c r="Z293" s="4">
        <f ca="1">_xll.DBRW($B$1,$B$2,$B$7,$B$3,$B$4,$B$5,$F293,$B$6,Z$10,$A293,$B293)</f>
        <v>59830837.648968413</v>
      </c>
      <c r="AA293" s="4">
        <f ca="1">_xll.DBRW($B$1,$B$2,$B$7,$B$3,$B$4,$B$5,$F293,$B$6,AA$10,$A293,$B293)</f>
        <v>55644099.915157631</v>
      </c>
      <c r="AB293" s="4">
        <f ca="1">_xll.DBRW($B$1,$B$2,$B$7,$B$3,$B$4,$B$5,$F293,$B$6,AB$10,$A293,$B293)</f>
        <v>47992841.003096864</v>
      </c>
      <c r="AC293" s="4">
        <f ca="1">_xll.DBRW($B$1,$B$2,$B$7,$B$3,$B$4,$B$5,$F293,$B$6,AC$10,$A293,$B293)</f>
        <v>37417019.029428631</v>
      </c>
      <c r="AD293" s="4">
        <f ca="1">_xll.DBRW($B$1,$B$2,$B$7,$B$3,$B$4,$B$5,$F293,$B$6,AD$10,$A293,$B293)</f>
        <v>0</v>
      </c>
      <c r="AE293" s="4">
        <f ca="1">_xll.DBRW($B$1,$B$2,$B$7,$B$3,$B$4,$B$5,$F293,$B$6,AE$10,$A293,$B293)</f>
        <v>0</v>
      </c>
    </row>
    <row r="294" spans="1:31">
      <c r="A294" s="1" t="s">
        <v>153</v>
      </c>
      <c r="B294" s="5" t="s">
        <v>56</v>
      </c>
      <c r="C294" s="5" t="s">
        <v>53</v>
      </c>
      <c r="D294" s="5" t="s">
        <v>54</v>
      </c>
      <c r="E294" s="5" t="s">
        <v>21</v>
      </c>
      <c r="F294" s="5" t="s">
        <v>25</v>
      </c>
      <c r="G294" s="6"/>
      <c r="H294" s="6"/>
      <c r="I294" s="6"/>
      <c r="J294" s="6"/>
      <c r="K294" s="6"/>
      <c r="L294" s="4">
        <f ca="1">_xll.DBRW($B$1,$B$2,$B$7,$B$3,$B$4,$B$5,$F294,$B$6,L$10,$A294,$B294)</f>
        <v>36580992</v>
      </c>
      <c r="M294" s="4">
        <f ca="1">_xll.DBRW($B$1,$B$2,$B$7,$B$3,$B$4,$B$5,$F294,$B$6,M$10,$A294,$B294)</f>
        <v>44035920.946278252</v>
      </c>
      <c r="N294" s="4">
        <f ca="1">_xll.DBRW($B$1,$B$2,$B$7,$B$3,$B$4,$B$5,$F294,$B$6,N$10,$A294,$B294)</f>
        <v>47032704</v>
      </c>
      <c r="O294" s="4">
        <f ca="1">_xll.DBRW($B$1,$B$2,$B$7,$B$3,$B$4,$B$5,$F294,$B$6,O$10,$A294,$B294)</f>
        <v>43897190.399999991</v>
      </c>
      <c r="P294" s="4">
        <f ca="1">_xll.DBRW($B$1,$B$2,$B$7,$B$3,$B$4,$B$5,$F294,$B$6,P$10,$A294,$B294)</f>
        <v>36918143.999999993</v>
      </c>
      <c r="Q294" s="4">
        <f ca="1">_xll.DBRW($B$1,$B$2,$B$7,$B$3,$B$4,$B$5,$F294,$B$6,Q$10,$A294,$B294)</f>
        <v>30680831.999999996</v>
      </c>
      <c r="R294" s="4">
        <f ca="1">_xll.DBRW($B$1,$B$2,$B$7,$B$3,$B$4,$B$5,$F294,$B$6,R$10,$A294,$B294)</f>
        <v>0</v>
      </c>
      <c r="S294" s="4">
        <f ca="1">_xll.DBRW($B$1,$B$2,$B$7,$B$3,$B$4,$B$5,$F294,$B$6,S$10,$A294,$B294)</f>
        <v>0</v>
      </c>
      <c r="T294" s="4">
        <f ca="1">_xll.DBRW($B$1,$B$2,$B$7,$B$3,$B$4,$B$5,$F294,$B$6,T$10,$A294,$B294)</f>
        <v>0</v>
      </c>
      <c r="U294" s="4">
        <f ca="1">_xll.DBRW($B$1,$B$2,$B$7,$B$3,$B$4,$B$5,$F294,$B$6,U$10,$A294,$B294)</f>
        <v>0</v>
      </c>
      <c r="V294" s="4">
        <f ca="1">_xll.DBRW($B$1,$B$2,$B$7,$B$3,$B$4,$B$5,$F294,$B$6,V$10,$A294,$B294)</f>
        <v>2976392.4024588685</v>
      </c>
      <c r="W294" s="4">
        <f ca="1">_xll.DBRW($B$1,$B$2,$B$7,$B$3,$B$4,$B$5,$F294,$B$6,W$10,$A294,$B294)</f>
        <v>46480301.519572623</v>
      </c>
      <c r="X294" s="4">
        <f ca="1">_xll.DBRW($B$1,$B$2,$B$7,$B$3,$B$4,$B$5,$F294,$B$6,X$10,$A294,$B294)</f>
        <v>47150705.247376576</v>
      </c>
      <c r="Y294" s="4">
        <f ca="1">_xll.DBRW($B$1,$B$2,$B$7,$B$3,$B$4,$B$5,$F294,$B$6,Y$10,$A294,$B294)</f>
        <v>55064467.885998785</v>
      </c>
      <c r="Z294" s="4">
        <f ca="1">_xll.DBRW($B$1,$B$2,$B$7,$B$3,$B$4,$B$5,$F294,$B$6,Z$10,$A294,$B294)</f>
        <v>59830837.648968413</v>
      </c>
      <c r="AA294" s="4">
        <f ca="1">_xll.DBRW($B$1,$B$2,$B$7,$B$3,$B$4,$B$5,$F294,$B$6,AA$10,$A294,$B294)</f>
        <v>55644099.915157631</v>
      </c>
      <c r="AB294" s="4">
        <f ca="1">_xll.DBRW($B$1,$B$2,$B$7,$B$3,$B$4,$B$5,$F294,$B$6,AB$10,$A294,$B294)</f>
        <v>47992841.003096864</v>
      </c>
      <c r="AC294" s="4">
        <f ca="1">_xll.DBRW($B$1,$B$2,$B$7,$B$3,$B$4,$B$5,$F294,$B$6,AC$10,$A294,$B294)</f>
        <v>35920338.268251494</v>
      </c>
      <c r="AD294" s="4">
        <f ca="1">_xll.DBRW($B$1,$B$2,$B$7,$B$3,$B$4,$B$5,$F294,$B$6,AD$10,$A294,$B294)</f>
        <v>0</v>
      </c>
      <c r="AE294" s="4">
        <f ca="1">_xll.DBRW($B$1,$B$2,$B$7,$B$3,$B$4,$B$5,$F294,$B$6,AE$10,$A294,$B294)</f>
        <v>0</v>
      </c>
    </row>
    <row r="295" spans="1:31">
      <c r="A295" s="1" t="s">
        <v>153</v>
      </c>
      <c r="B295" s="5" t="s">
        <v>217</v>
      </c>
      <c r="C295" s="5" t="s">
        <v>159</v>
      </c>
      <c r="D295" s="5" t="s">
        <v>21</v>
      </c>
      <c r="E295" s="5" t="s">
        <v>38</v>
      </c>
      <c r="F295" s="5" t="s">
        <v>25</v>
      </c>
      <c r="G295" s="6"/>
      <c r="H295" s="6"/>
      <c r="I295" s="6"/>
      <c r="J295" s="6"/>
      <c r="K295" s="6"/>
      <c r="L295" s="4">
        <f ca="1">_xll.DBRW($B$1,$B$2,$B$7,$B$3,$B$4,$B$5,$F295,$B$6,L$10,$A295,$B295)</f>
        <v>22943630.332789399</v>
      </c>
      <c r="M295" s="4">
        <f ca="1">_xll.DBRW($B$1,$B$2,$B$7,$B$3,$B$4,$B$5,$F295,$B$6,M$10,$A295,$B295)</f>
        <v>26646081.056113675</v>
      </c>
      <c r="N295" s="4">
        <f ca="1">_xll.DBRW($B$1,$B$2,$B$7,$B$3,$B$4,$B$5,$F295,$B$6,N$10,$A295,$B295)</f>
        <v>26633887.574955378</v>
      </c>
      <c r="O295" s="4">
        <f ca="1">_xll.DBRW($B$1,$B$2,$B$7,$B$3,$B$4,$B$5,$F295,$B$6,O$10,$A295,$B295)</f>
        <v>30772532.277213767</v>
      </c>
      <c r="P295" s="4">
        <f ca="1">_xll.DBRW($B$1,$B$2,$B$7,$B$3,$B$4,$B$5,$F295,$B$6,P$10,$A295,$B295)</f>
        <v>2705356.5308914464</v>
      </c>
      <c r="Q295" s="4">
        <f ca="1">_xll.DBRW($B$1,$B$2,$B$7,$B$3,$B$4,$B$5,$F295,$B$6,Q$10,$A295,$B295)</f>
        <v>0</v>
      </c>
      <c r="R295" s="4">
        <f ca="1">_xll.DBRW($B$1,$B$2,$B$7,$B$3,$B$4,$B$5,$F295,$B$6,R$10,$A295,$B295)</f>
        <v>0</v>
      </c>
      <c r="S295" s="4">
        <f ca="1">_xll.DBRW($B$1,$B$2,$B$7,$B$3,$B$4,$B$5,$F295,$B$6,S$10,$A295,$B295)</f>
        <v>0</v>
      </c>
      <c r="T295" s="4">
        <f ca="1">_xll.DBRW($B$1,$B$2,$B$7,$B$3,$B$4,$B$5,$F295,$B$6,T$10,$A295,$B295)</f>
        <v>26765842.778623044</v>
      </c>
      <c r="U295" s="4">
        <f ca="1">_xll.DBRW($B$1,$B$2,$B$7,$B$3,$B$4,$B$5,$F295,$B$6,U$10,$A295,$B295)</f>
        <v>26117571.733287558</v>
      </c>
      <c r="V295" s="4">
        <f ca="1">_xll.DBRW($B$1,$B$2,$B$7,$B$3,$B$4,$B$5,$F295,$B$6,V$10,$A295,$B295)</f>
        <v>29173185.51140219</v>
      </c>
      <c r="W295" s="4">
        <f ca="1">_xll.DBRW($B$1,$B$2,$B$7,$B$3,$B$4,$B$5,$F295,$B$6,W$10,$A295,$B295)</f>
        <v>28461806.637475424</v>
      </c>
      <c r="X295" s="4">
        <f ca="1">_xll.DBRW($B$1,$B$2,$B$7,$B$3,$B$4,$B$5,$F295,$B$6,X$10,$A295,$B295)</f>
        <v>27985001.50936202</v>
      </c>
      <c r="Y295" s="4">
        <f ca="1">_xll.DBRW($B$1,$B$2,$B$7,$B$3,$B$4,$B$5,$F295,$B$6,Y$10,$A295,$B295)</f>
        <v>30170165.318037998</v>
      </c>
      <c r="Z295" s="4">
        <f ca="1">_xll.DBRW($B$1,$B$2,$B$7,$B$3,$B$4,$B$5,$F295,$B$6,Z$10,$A295,$B295)</f>
        <v>32715967.74310445</v>
      </c>
      <c r="AA295" s="4">
        <f ca="1">_xll.DBRW($B$1,$B$2,$B$7,$B$3,$B$4,$B$5,$F295,$B$6,AA$10,$A295,$B295)</f>
        <v>34539174.449288107</v>
      </c>
      <c r="AB295" s="4">
        <f ca="1">_xll.DBRW($B$1,$B$2,$B$7,$B$3,$B$4,$B$5,$F295,$B$6,AB$10,$A295,$B295)</f>
        <v>24024237.795755304</v>
      </c>
      <c r="AC295" s="4">
        <f ca="1">_xll.DBRW($B$1,$B$2,$B$7,$B$3,$B$4,$B$5,$F295,$B$6,AC$10,$A295,$B295)</f>
        <v>27843750.922699697</v>
      </c>
      <c r="AD295" s="4">
        <f ca="1">_xll.DBRW($B$1,$B$2,$B$7,$B$3,$B$4,$B$5,$F295,$B$6,AD$10,$A295,$B295)</f>
        <v>27978631.522602804</v>
      </c>
      <c r="AE295" s="4">
        <f ca="1">_xll.DBRW($B$1,$B$2,$B$7,$B$3,$B$4,$B$5,$F295,$B$6,AE$10,$A295,$B295)</f>
        <v>33849078.360578127</v>
      </c>
    </row>
    <row r="296" spans="1:31">
      <c r="A296" s="1" t="s">
        <v>153</v>
      </c>
      <c r="B296" s="5" t="s">
        <v>44</v>
      </c>
      <c r="C296" s="5" t="s">
        <v>37</v>
      </c>
      <c r="D296" s="5" t="s">
        <v>38</v>
      </c>
      <c r="E296" s="5" t="s">
        <v>21</v>
      </c>
      <c r="F296" s="5" t="s">
        <v>25</v>
      </c>
      <c r="G296" s="6"/>
      <c r="H296" s="6"/>
      <c r="I296" s="6"/>
      <c r="J296" s="6"/>
      <c r="K296" s="6"/>
      <c r="L296" s="4">
        <f ca="1">_xll.DBRW($B$1,$B$2,$B$7,$B$3,$B$4,$B$5,$F296,$B$6,L$10,$A296,$B296)</f>
        <v>23414913.393373914</v>
      </c>
      <c r="M296" s="4">
        <f ca="1">_xll.DBRW($B$1,$B$2,$B$7,$B$3,$B$4,$B$5,$F296,$B$6,M$10,$A296,$B296)</f>
        <v>26548748.006508809</v>
      </c>
      <c r="N296" s="4">
        <f ca="1">_xll.DBRW($B$1,$B$2,$B$7,$B$3,$B$4,$B$5,$F296,$B$6,N$10,$A296,$B296)</f>
        <v>26485971.336319644</v>
      </c>
      <c r="O296" s="4">
        <f ca="1">_xll.DBRW($B$1,$B$2,$B$7,$B$3,$B$4,$B$5,$F296,$B$6,O$10,$A296,$B296)</f>
        <v>30777694.587610882</v>
      </c>
      <c r="P296" s="4">
        <f ca="1">_xll.DBRW($B$1,$B$2,$B$7,$B$3,$B$4,$B$5,$F296,$B$6,P$10,$A296,$B296)</f>
        <v>20481313.301803179</v>
      </c>
      <c r="Q296" s="4">
        <f ca="1">_xll.DBRW($B$1,$B$2,$B$7,$B$3,$B$4,$B$5,$F296,$B$6,Q$10,$A296,$B296)</f>
        <v>19901819.417644423</v>
      </c>
      <c r="R296" s="4">
        <f ca="1">_xll.DBRW($B$1,$B$2,$B$7,$B$3,$B$4,$B$5,$F296,$B$6,R$10,$A296,$B296)</f>
        <v>0</v>
      </c>
      <c r="S296" s="4">
        <f ca="1">_xll.DBRW($B$1,$B$2,$B$7,$B$3,$B$4,$B$5,$F296,$B$6,S$10,$A296,$B296)</f>
        <v>0</v>
      </c>
      <c r="T296" s="4">
        <f ca="1">_xll.DBRW($B$1,$B$2,$B$7,$B$3,$B$4,$B$5,$F296,$B$6,T$10,$A296,$B296)</f>
        <v>26498851.828212839</v>
      </c>
      <c r="U296" s="4">
        <f ca="1">_xll.DBRW($B$1,$B$2,$B$7,$B$3,$B$4,$B$5,$F296,$B$6,U$10,$A296,$B296)</f>
        <v>25114886.164002292</v>
      </c>
      <c r="V296" s="4">
        <f ca="1">_xll.DBRW($B$1,$B$2,$B$7,$B$3,$B$4,$B$5,$F296,$B$6,V$10,$A296,$B296)</f>
        <v>27948711.871015035</v>
      </c>
      <c r="W296" s="4">
        <f ca="1">_xll.DBRW($B$1,$B$2,$B$7,$B$3,$B$4,$B$5,$F296,$B$6,W$10,$A296,$B296)</f>
        <v>28461806.637475424</v>
      </c>
      <c r="X296" s="4">
        <f ca="1">_xll.DBRW($B$1,$B$2,$B$7,$B$3,$B$4,$B$5,$F296,$B$6,X$10,$A296,$B296)</f>
        <v>27985001.50936202</v>
      </c>
      <c r="Y296" s="4">
        <f ca="1">_xll.DBRW($B$1,$B$2,$B$7,$B$3,$B$4,$B$5,$F296,$B$6,Y$10,$A296,$B296)</f>
        <v>30170165.318037998</v>
      </c>
      <c r="Z296" s="4">
        <f ca="1">_xll.DBRW($B$1,$B$2,$B$7,$B$3,$B$4,$B$5,$F296,$B$6,Z$10,$A296,$B296)</f>
        <v>32715967.74310445</v>
      </c>
      <c r="AA296" s="4">
        <f ca="1">_xll.DBRW($B$1,$B$2,$B$7,$B$3,$B$4,$B$5,$F296,$B$6,AA$10,$A296,$B296)</f>
        <v>34539174.449288107</v>
      </c>
      <c r="AB296" s="4">
        <f ca="1">_xll.DBRW($B$1,$B$2,$B$7,$B$3,$B$4,$B$5,$F296,$B$6,AB$10,$A296,$B296)</f>
        <v>24024237.795755304</v>
      </c>
      <c r="AC296" s="4">
        <f ca="1">_xll.DBRW($B$1,$B$2,$B$7,$B$3,$B$4,$B$5,$F296,$B$6,AC$10,$A296,$B296)</f>
        <v>26976688.613398723</v>
      </c>
      <c r="AD296" s="4">
        <f ca="1">_xll.DBRW($B$1,$B$2,$B$7,$B$3,$B$4,$B$5,$F296,$B$6,AD$10,$A296,$B296)</f>
        <v>26570551.403324813</v>
      </c>
      <c r="AE296" s="4">
        <f ca="1">_xll.DBRW($B$1,$B$2,$B$7,$B$3,$B$4,$B$5,$F296,$B$6,AE$10,$A296,$B296)</f>
        <v>31160720.726159185</v>
      </c>
    </row>
    <row r="297" spans="1:31">
      <c r="A297" s="1" t="s">
        <v>153</v>
      </c>
      <c r="B297" s="5" t="s">
        <v>218</v>
      </c>
      <c r="C297" s="5" t="s">
        <v>219</v>
      </c>
      <c r="D297" s="5" t="s">
        <v>21</v>
      </c>
      <c r="E297" s="5" t="s">
        <v>49</v>
      </c>
      <c r="F297" s="5" t="s">
        <v>25</v>
      </c>
      <c r="G297" s="6"/>
      <c r="H297" s="6"/>
      <c r="I297" s="6"/>
      <c r="J297" s="6"/>
      <c r="K297" s="6"/>
      <c r="L297" s="4">
        <f ca="1">_xll.DBRW($B$1,$B$2,$B$7,$B$3,$B$4,$B$5,$F297,$B$6,L$10,$A297,$B297)</f>
        <v>46084669.440000005</v>
      </c>
      <c r="M297" s="4">
        <f ca="1">_xll.DBRW($B$1,$B$2,$B$7,$B$3,$B$4,$B$5,$F297,$B$6,M$10,$A297,$B297)</f>
        <v>42210285.954883568</v>
      </c>
      <c r="N297" s="4">
        <f ca="1">_xll.DBRW($B$1,$B$2,$B$7,$B$3,$B$4,$B$5,$F297,$B$6,N$10,$A297,$B297)</f>
        <v>41576386.559999995</v>
      </c>
      <c r="O297" s="4">
        <f ca="1">_xll.DBRW($B$1,$B$2,$B$7,$B$3,$B$4,$B$5,$F297,$B$6,O$10,$A297,$B297)</f>
        <v>40574545.920000002</v>
      </c>
      <c r="P297" s="4">
        <f ca="1">_xll.DBRW($B$1,$B$2,$B$7,$B$3,$B$4,$B$5,$F297,$B$6,P$10,$A297,$B297)</f>
        <v>41689497.600000001</v>
      </c>
      <c r="Q297" s="4">
        <f ca="1">_xll.DBRW($B$1,$B$2,$B$7,$B$3,$B$4,$B$5,$F297,$B$6,Q$10,$A297,$B297)</f>
        <v>40574545.920000002</v>
      </c>
      <c r="R297" s="4">
        <f ca="1">_xll.DBRW($B$1,$B$2,$B$7,$B$3,$B$4,$B$5,$F297,$B$6,R$10,$A297,$B297)</f>
        <v>36357120</v>
      </c>
      <c r="S297" s="4">
        <f ca="1">_xll.DBRW($B$1,$B$2,$B$7,$B$3,$B$4,$B$5,$F297,$B$6,S$10,$A297,$B297)</f>
        <v>30556139.52</v>
      </c>
      <c r="T297" s="4">
        <f ca="1">_xll.DBRW($B$1,$B$2,$B$7,$B$3,$B$4,$B$5,$F297,$B$6,T$10,$A297,$B297)</f>
        <v>34472230.320786886</v>
      </c>
      <c r="U297" s="4">
        <f ca="1">_xll.DBRW($B$1,$B$2,$B$7,$B$3,$B$4,$B$5,$F297,$B$6,U$10,$A297,$B297)</f>
        <v>37993195.698286958</v>
      </c>
      <c r="V297" s="4">
        <f ca="1">_xll.DBRW($B$1,$B$2,$B$7,$B$3,$B$4,$B$5,$F297,$B$6,V$10,$A297,$B297)</f>
        <v>45233476.711756095</v>
      </c>
      <c r="W297" s="4">
        <f ca="1">_xll.DBRW($B$1,$B$2,$B$7,$B$3,$B$4,$B$5,$F297,$B$6,W$10,$A297,$B297)</f>
        <v>44216131.049562417</v>
      </c>
      <c r="X297" s="4">
        <f ca="1">_xll.DBRW($B$1,$B$2,$B$7,$B$3,$B$4,$B$5,$F297,$B$6,X$10,$A297,$B297)</f>
        <v>49617115.104396567</v>
      </c>
      <c r="Y297" s="4">
        <f ca="1">_xll.DBRW($B$1,$B$2,$B$7,$B$3,$B$4,$B$5,$F297,$B$6,Y$10,$A297,$B297)</f>
        <v>48016563.004254743</v>
      </c>
      <c r="Z297" s="4">
        <f ca="1">_xll.DBRW($B$1,$B$2,$B$7,$B$3,$B$4,$B$5,$F297,$B$6,Z$10,$A297,$B297)</f>
        <v>46888323.40977475</v>
      </c>
      <c r="AA297" s="4">
        <f ca="1">_xll.DBRW($B$1,$B$2,$B$7,$B$3,$B$4,$B$5,$F297,$B$6,AA$10,$A297,$B297)</f>
        <v>45234840.144221827</v>
      </c>
      <c r="AB297" s="4">
        <f ca="1">_xll.DBRW($B$1,$B$2,$B$7,$B$3,$B$4,$B$5,$F297,$B$6,AB$10,$A297,$B297)</f>
        <v>48016563.004254743</v>
      </c>
      <c r="AC297" s="4">
        <f ca="1">_xll.DBRW($B$1,$B$2,$B$7,$B$3,$B$4,$B$5,$F297,$B$6,AC$10,$A297,$B297)</f>
        <v>49617115.104396567</v>
      </c>
      <c r="AD297" s="4">
        <f ca="1">_xll.DBRW($B$1,$B$2,$B$7,$B$3,$B$4,$B$5,$F297,$B$6,AD$10,$A297,$B297)</f>
        <v>42397586.126277573</v>
      </c>
      <c r="AE297" s="4">
        <f ca="1">_xll.DBRW($B$1,$B$2,$B$7,$B$3,$B$4,$B$5,$F297,$B$6,AE$10,$A297,$B297)</f>
        <v>34933208.078053705</v>
      </c>
    </row>
    <row r="298" spans="1:31">
      <c r="A298" s="1" t="s">
        <v>153</v>
      </c>
      <c r="B298" s="5" t="s">
        <v>47</v>
      </c>
      <c r="C298" s="5" t="s">
        <v>48</v>
      </c>
      <c r="D298" s="5" t="s">
        <v>49</v>
      </c>
      <c r="E298" s="5" t="s">
        <v>21</v>
      </c>
      <c r="F298" s="5" t="s">
        <v>25</v>
      </c>
      <c r="G298" s="6"/>
      <c r="H298" s="6"/>
      <c r="I298" s="6"/>
      <c r="J298" s="6"/>
      <c r="K298" s="6"/>
      <c r="L298" s="4">
        <f ca="1">_xll.DBRW($B$1,$B$2,$B$7,$B$3,$B$4,$B$5,$F298,$B$6,L$10,$A298,$B298)</f>
        <v>46084669.440000005</v>
      </c>
      <c r="M298" s="4">
        <f ca="1">_xll.DBRW($B$1,$B$2,$B$7,$B$3,$B$4,$B$5,$F298,$B$6,M$10,$A298,$B298)</f>
        <v>42210285.954883568</v>
      </c>
      <c r="N298" s="4">
        <f ca="1">_xll.DBRW($B$1,$B$2,$B$7,$B$3,$B$4,$B$5,$F298,$B$6,N$10,$A298,$B298)</f>
        <v>41576386.559999995</v>
      </c>
      <c r="O298" s="4">
        <f ca="1">_xll.DBRW($B$1,$B$2,$B$7,$B$3,$B$4,$B$5,$F298,$B$6,O$10,$A298,$B298)</f>
        <v>40574545.920000002</v>
      </c>
      <c r="P298" s="4">
        <f ca="1">_xll.DBRW($B$1,$B$2,$B$7,$B$3,$B$4,$B$5,$F298,$B$6,P$10,$A298,$B298)</f>
        <v>41689497.600000001</v>
      </c>
      <c r="Q298" s="4">
        <f ca="1">_xll.DBRW($B$1,$B$2,$B$7,$B$3,$B$4,$B$5,$F298,$B$6,Q$10,$A298,$B298)</f>
        <v>40574545.920000002</v>
      </c>
      <c r="R298" s="4">
        <f ca="1">_xll.DBRW($B$1,$B$2,$B$7,$B$3,$B$4,$B$5,$F298,$B$6,R$10,$A298,$B298)</f>
        <v>36357120</v>
      </c>
      <c r="S298" s="4">
        <f ca="1">_xll.DBRW($B$1,$B$2,$B$7,$B$3,$B$4,$B$5,$F298,$B$6,S$10,$A298,$B298)</f>
        <v>30556139.52</v>
      </c>
      <c r="T298" s="4">
        <f ca="1">_xll.DBRW($B$1,$B$2,$B$7,$B$3,$B$4,$B$5,$F298,$B$6,T$10,$A298,$B298)</f>
        <v>34472230.320786886</v>
      </c>
      <c r="U298" s="4">
        <f ca="1">_xll.DBRW($B$1,$B$2,$B$7,$B$3,$B$4,$B$5,$F298,$B$6,U$10,$A298,$B298)</f>
        <v>37993195.698286958</v>
      </c>
      <c r="V298" s="4">
        <f ca="1">_xll.DBRW($B$1,$B$2,$B$7,$B$3,$B$4,$B$5,$F298,$B$6,V$10,$A298,$B298)</f>
        <v>45233476.711756095</v>
      </c>
      <c r="W298" s="4">
        <f ca="1">_xll.DBRW($B$1,$B$2,$B$7,$B$3,$B$4,$B$5,$F298,$B$6,W$10,$A298,$B298)</f>
        <v>44216131.049562417</v>
      </c>
      <c r="X298" s="4">
        <f ca="1">_xll.DBRW($B$1,$B$2,$B$7,$B$3,$B$4,$B$5,$F298,$B$6,X$10,$A298,$B298)</f>
        <v>49617115.104396567</v>
      </c>
      <c r="Y298" s="4">
        <f ca="1">_xll.DBRW($B$1,$B$2,$B$7,$B$3,$B$4,$B$5,$F298,$B$6,Y$10,$A298,$B298)</f>
        <v>48016563.004254743</v>
      </c>
      <c r="Z298" s="4">
        <f ca="1">_xll.DBRW($B$1,$B$2,$B$7,$B$3,$B$4,$B$5,$F298,$B$6,Z$10,$A298,$B298)</f>
        <v>46888323.40977475</v>
      </c>
      <c r="AA298" s="4">
        <f ca="1">_xll.DBRW($B$1,$B$2,$B$7,$B$3,$B$4,$B$5,$F298,$B$6,AA$10,$A298,$B298)</f>
        <v>45234840.144221827</v>
      </c>
      <c r="AB298" s="4">
        <f ca="1">_xll.DBRW($B$1,$B$2,$B$7,$B$3,$B$4,$B$5,$F298,$B$6,AB$10,$A298,$B298)</f>
        <v>48016563.004254743</v>
      </c>
      <c r="AC298" s="4">
        <f ca="1">_xll.DBRW($B$1,$B$2,$B$7,$B$3,$B$4,$B$5,$F298,$B$6,AC$10,$A298,$B298)</f>
        <v>48016563.004254736</v>
      </c>
      <c r="AD298" s="4">
        <f ca="1">_xll.DBRW($B$1,$B$2,$B$7,$B$3,$B$4,$B$5,$F298,$B$6,AD$10,$A298,$B298)</f>
        <v>42397586.126277573</v>
      </c>
      <c r="AE298" s="4">
        <f ca="1">_xll.DBRW($B$1,$B$2,$B$7,$B$3,$B$4,$B$5,$F298,$B$6,AE$10,$A298,$B298)</f>
        <v>34933208.078053705</v>
      </c>
    </row>
    <row r="299" spans="1:31">
      <c r="A299" s="1" t="s">
        <v>153</v>
      </c>
      <c r="B299" s="5" t="s">
        <v>220</v>
      </c>
      <c r="C299" s="5" t="s">
        <v>166</v>
      </c>
      <c r="D299" s="5" t="s">
        <v>21</v>
      </c>
      <c r="E299" s="5" t="s">
        <v>31</v>
      </c>
      <c r="F299" s="5" t="s">
        <v>25</v>
      </c>
      <c r="G299" s="6"/>
      <c r="H299" s="6"/>
      <c r="I299" s="6"/>
      <c r="J299" s="6"/>
      <c r="K299" s="6"/>
      <c r="L299" s="4">
        <f ca="1">_xll.DBRW($B$1,$B$2,$B$7,$B$3,$B$4,$B$5,$F299,$B$6,L$10,$A299,$B299)</f>
        <v>21059082.799999997</v>
      </c>
      <c r="M299" s="4">
        <f ca="1">_xll.DBRW($B$1,$B$2,$B$7,$B$3,$B$4,$B$5,$F299,$B$6,M$10,$A299,$B299)</f>
        <v>26509328.948271979</v>
      </c>
      <c r="N299" s="4">
        <f ca="1">_xll.DBRW($B$1,$B$2,$B$7,$B$3,$B$4,$B$5,$F299,$B$6,N$10,$A299,$B299)</f>
        <v>27692152.720000003</v>
      </c>
      <c r="O299" s="4">
        <f ca="1">_xll.DBRW($B$1,$B$2,$B$7,$B$3,$B$4,$B$5,$F299,$B$6,O$10,$A299,$B299)</f>
        <v>28555227.299999997</v>
      </c>
      <c r="P299" s="4">
        <f ca="1">_xll.DBRW($B$1,$B$2,$B$7,$B$3,$B$4,$B$5,$F299,$B$6,P$10,$A299,$B299)</f>
        <v>21477091.039999995</v>
      </c>
      <c r="Q299" s="4">
        <f ca="1">_xll.DBRW($B$1,$B$2,$B$7,$B$3,$B$4,$B$5,$F299,$B$6,Q$10,$A299,$B299)</f>
        <v>17350494.359999999</v>
      </c>
      <c r="R299" s="4">
        <f ca="1">_xll.DBRW($B$1,$B$2,$B$7,$B$3,$B$4,$B$5,$F299,$B$6,R$10,$A299,$B299)</f>
        <v>0</v>
      </c>
      <c r="S299" s="4">
        <f ca="1">_xll.DBRW($B$1,$B$2,$B$7,$B$3,$B$4,$B$5,$F299,$B$6,S$10,$A299,$B299)</f>
        <v>0</v>
      </c>
      <c r="T299" s="4">
        <f ca="1">_xll.DBRW($B$1,$B$2,$B$7,$B$3,$B$4,$B$5,$F299,$B$6,T$10,$A299,$B299)</f>
        <v>0</v>
      </c>
      <c r="U299" s="4">
        <f ca="1">_xll.DBRW($B$1,$B$2,$B$7,$B$3,$B$4,$B$5,$F299,$B$6,U$10,$A299,$B299)</f>
        <v>0</v>
      </c>
      <c r="V299" s="4">
        <f ca="1">_xll.DBRW($B$1,$B$2,$B$7,$B$3,$B$4,$B$5,$F299,$B$6,V$10,$A299,$B299)</f>
        <v>1228617.4313391466</v>
      </c>
      <c r="W299" s="4">
        <f ca="1">_xll.DBRW($B$1,$B$2,$B$7,$B$3,$B$4,$B$5,$F299,$B$6,W$10,$A299,$B299)</f>
        <v>22898560.009105973</v>
      </c>
      <c r="X299" s="4">
        <f ca="1">_xll.DBRW($B$1,$B$2,$B$7,$B$3,$B$4,$B$5,$F299,$B$6,X$10,$A299,$B299)</f>
        <v>26201634.465884849</v>
      </c>
      <c r="Y299" s="4">
        <f ca="1">_xll.DBRW($B$1,$B$2,$B$7,$B$3,$B$4,$B$5,$F299,$B$6,Y$10,$A299,$B299)</f>
        <v>26126556.098565653</v>
      </c>
      <c r="Z299" s="4">
        <f ca="1">_xll.DBRW($B$1,$B$2,$B$7,$B$3,$B$4,$B$5,$F299,$B$6,Z$10,$A299,$B299)</f>
        <v>28909921.918463975</v>
      </c>
      <c r="AA299" s="4">
        <f ca="1">_xll.DBRW($B$1,$B$2,$B$7,$B$3,$B$4,$B$5,$F299,$B$6,AA$10,$A299,$B299)</f>
        <v>28793722.243241355</v>
      </c>
      <c r="AB299" s="4">
        <f ca="1">_xll.DBRW($B$1,$B$2,$B$7,$B$3,$B$4,$B$5,$F299,$B$6,AB$10,$A299,$B299)</f>
        <v>22894872.28283764</v>
      </c>
      <c r="AC299" s="4">
        <f ca="1">_xll.DBRW($B$1,$B$2,$B$7,$B$3,$B$4,$B$5,$F299,$B$6,AC$10,$A299,$B299)</f>
        <v>17473885.589634325</v>
      </c>
      <c r="AD299" s="4">
        <f ca="1">_xll.DBRW($B$1,$B$2,$B$7,$B$3,$B$4,$B$5,$F299,$B$6,AD$10,$A299,$B299)</f>
        <v>0</v>
      </c>
      <c r="AE299" s="4">
        <f ca="1">_xll.DBRW($B$1,$B$2,$B$7,$B$3,$B$4,$B$5,$F299,$B$6,AE$10,$A299,$B299)</f>
        <v>0</v>
      </c>
    </row>
    <row r="300" spans="1:31">
      <c r="A300" s="1" t="s">
        <v>153</v>
      </c>
      <c r="B300" s="5" t="s">
        <v>32</v>
      </c>
      <c r="C300" s="5" t="s">
        <v>30</v>
      </c>
      <c r="D300" s="5" t="s">
        <v>31</v>
      </c>
      <c r="E300" s="5" t="s">
        <v>21</v>
      </c>
      <c r="F300" s="5" t="s">
        <v>25</v>
      </c>
      <c r="G300" s="6"/>
      <c r="H300" s="6"/>
      <c r="I300" s="6"/>
      <c r="J300" s="6"/>
      <c r="K300" s="6"/>
      <c r="L300" s="4">
        <f ca="1">_xll.DBRW($B$1,$B$2,$B$7,$B$3,$B$4,$B$5,$F300,$B$6,L$10,$A300,$B300)</f>
        <v>21059082.799999997</v>
      </c>
      <c r="M300" s="4">
        <f ca="1">_xll.DBRW($B$1,$B$2,$B$7,$B$3,$B$4,$B$5,$F300,$B$6,M$10,$A300,$B300)</f>
        <v>26509328.948271979</v>
      </c>
      <c r="N300" s="4">
        <f ca="1">_xll.DBRW($B$1,$B$2,$B$7,$B$3,$B$4,$B$5,$F300,$B$6,N$10,$A300,$B300)</f>
        <v>27692152.720000003</v>
      </c>
      <c r="O300" s="4">
        <f ca="1">_xll.DBRW($B$1,$B$2,$B$7,$B$3,$B$4,$B$5,$F300,$B$6,O$10,$A300,$B300)</f>
        <v>28555227.299999997</v>
      </c>
      <c r="P300" s="4">
        <f ca="1">_xll.DBRW($B$1,$B$2,$B$7,$B$3,$B$4,$B$5,$F300,$B$6,P$10,$A300,$B300)</f>
        <v>21477091.039999995</v>
      </c>
      <c r="Q300" s="4">
        <f ca="1">_xll.DBRW($B$1,$B$2,$B$7,$B$3,$B$4,$B$5,$F300,$B$6,Q$10,$A300,$B300)</f>
        <v>17350494.359999999</v>
      </c>
      <c r="R300" s="4">
        <f ca="1">_xll.DBRW($B$1,$B$2,$B$7,$B$3,$B$4,$B$5,$F300,$B$6,R$10,$A300,$B300)</f>
        <v>0</v>
      </c>
      <c r="S300" s="4">
        <f ca="1">_xll.DBRW($B$1,$B$2,$B$7,$B$3,$B$4,$B$5,$F300,$B$6,S$10,$A300,$B300)</f>
        <v>0</v>
      </c>
      <c r="T300" s="4">
        <f ca="1">_xll.DBRW($B$1,$B$2,$B$7,$B$3,$B$4,$B$5,$F300,$B$6,T$10,$A300,$B300)</f>
        <v>0</v>
      </c>
      <c r="U300" s="4">
        <f ca="1">_xll.DBRW($B$1,$B$2,$B$7,$B$3,$B$4,$B$5,$F300,$B$6,U$10,$A300,$B300)</f>
        <v>0</v>
      </c>
      <c r="V300" s="4">
        <f ca="1">_xll.DBRW($B$1,$B$2,$B$7,$B$3,$B$4,$B$5,$F300,$B$6,V$10,$A300,$B300)</f>
        <v>1228617.4313391466</v>
      </c>
      <c r="W300" s="4">
        <f ca="1">_xll.DBRW($B$1,$B$2,$B$7,$B$3,$B$4,$B$5,$F300,$B$6,W$10,$A300,$B300)</f>
        <v>22898560.009105973</v>
      </c>
      <c r="X300" s="4">
        <f ca="1">_xll.DBRW($B$1,$B$2,$B$7,$B$3,$B$4,$B$5,$F300,$B$6,X$10,$A300,$B300)</f>
        <v>26201634.465884849</v>
      </c>
      <c r="Y300" s="4">
        <f ca="1">_xll.DBRW($B$1,$B$2,$B$7,$B$3,$B$4,$B$5,$F300,$B$6,Y$10,$A300,$B300)</f>
        <v>26126556.098565653</v>
      </c>
      <c r="Z300" s="4">
        <f ca="1">_xll.DBRW($B$1,$B$2,$B$7,$B$3,$B$4,$B$5,$F300,$B$6,Z$10,$A300,$B300)</f>
        <v>28909921.918463975</v>
      </c>
      <c r="AA300" s="4">
        <f ca="1">_xll.DBRW($B$1,$B$2,$B$7,$B$3,$B$4,$B$5,$F300,$B$6,AA$10,$A300,$B300)</f>
        <v>28793722.243241355</v>
      </c>
      <c r="AB300" s="4">
        <f ca="1">_xll.DBRW($B$1,$B$2,$B$7,$B$3,$B$4,$B$5,$F300,$B$6,AB$10,$A300,$B300)</f>
        <v>22894872.28283764</v>
      </c>
      <c r="AC300" s="4">
        <f ca="1">_xll.DBRW($B$1,$B$2,$B$7,$B$3,$B$4,$B$5,$F300,$B$6,AC$10,$A300,$B300)</f>
        <v>16775992.177762672</v>
      </c>
      <c r="AD300" s="4">
        <f ca="1">_xll.DBRW($B$1,$B$2,$B$7,$B$3,$B$4,$B$5,$F300,$B$6,AD$10,$A300,$B300)</f>
        <v>0</v>
      </c>
      <c r="AE300" s="4">
        <f ca="1">_xll.DBRW($B$1,$B$2,$B$7,$B$3,$B$4,$B$5,$F300,$B$6,AE$10,$A300,$B300)</f>
        <v>0</v>
      </c>
    </row>
    <row r="301" spans="1:31">
      <c r="A301" s="1" t="s">
        <v>153</v>
      </c>
      <c r="B301" s="5" t="s">
        <v>221</v>
      </c>
      <c r="C301" s="5" t="s">
        <v>193</v>
      </c>
      <c r="D301" s="5" t="s">
        <v>21</v>
      </c>
      <c r="E301" s="5" t="s">
        <v>194</v>
      </c>
      <c r="F301" s="5" t="s">
        <v>25</v>
      </c>
      <c r="G301" s="6"/>
      <c r="H301" s="6"/>
      <c r="I301" s="6"/>
      <c r="J301" s="6"/>
      <c r="K301" s="6"/>
      <c r="L301" s="4">
        <f ca="1">_xll.DBRW($B$1,$B$2,$B$7,$B$3,$B$4,$B$5,$F301,$B$6,L$10,$A301,$B301)</f>
        <v>11142316.799999999</v>
      </c>
      <c r="M301" s="4">
        <f ca="1">_xll.DBRW($B$1,$B$2,$B$7,$B$3,$B$4,$B$5,$F301,$B$6,M$10,$A301,$B301)</f>
        <v>10853842.474778458</v>
      </c>
      <c r="N301" s="4">
        <f ca="1">_xll.DBRW($B$1,$B$2,$B$7,$B$3,$B$4,$B$5,$F301,$B$6,N$10,$A301,$B301)</f>
        <v>11797747.200000001</v>
      </c>
      <c r="O301" s="4">
        <f ca="1">_xll.DBRW($B$1,$B$2,$B$7,$B$3,$B$4,$B$5,$F301,$B$6,O$10,$A301,$B301)</f>
        <v>11797747.200000001</v>
      </c>
      <c r="P301" s="4">
        <f ca="1">_xll.DBRW($B$1,$B$2,$B$7,$B$3,$B$4,$B$5,$F301,$B$6,P$10,$A301,$B301)</f>
        <v>10603407.359999999</v>
      </c>
      <c r="Q301" s="4">
        <f ca="1">_xll.DBRW($B$1,$B$2,$B$7,$B$3,$B$4,$B$5,$F301,$B$6,Q$10,$A301,$B301)</f>
        <v>11732204.16</v>
      </c>
      <c r="R301" s="4">
        <f ca="1">_xll.DBRW($B$1,$B$2,$B$7,$B$3,$B$4,$B$5,$F301,$B$6,R$10,$A301,$B301)</f>
        <v>11011230.719999999</v>
      </c>
      <c r="S301" s="4">
        <f ca="1">_xll.DBRW($B$1,$B$2,$B$7,$B$3,$B$4,$B$5,$F301,$B$6,S$10,$A301,$B301)</f>
        <v>9321676.7999999989</v>
      </c>
      <c r="T301" s="4">
        <f ca="1">_xll.DBRW($B$1,$B$2,$B$7,$B$3,$B$4,$B$5,$F301,$B$6,T$10,$A301,$B301)</f>
        <v>12547038.028392088</v>
      </c>
      <c r="U301" s="4">
        <f ca="1">_xll.DBRW($B$1,$B$2,$B$7,$B$3,$B$4,$B$5,$F301,$B$6,U$10,$A301,$B301)</f>
        <v>11541623.79436871</v>
      </c>
      <c r="V301" s="4">
        <f ca="1">_xll.DBRW($B$1,$B$2,$B$7,$B$3,$B$4,$B$5,$F301,$B$6,V$10,$A301,$B301)</f>
        <v>12984326.768664803</v>
      </c>
      <c r="W301" s="4">
        <f ca="1">_xll.DBRW($B$1,$B$2,$B$7,$B$3,$B$4,$B$5,$F301,$B$6,W$10,$A301,$B301)</f>
        <v>12518132.305068372</v>
      </c>
      <c r="X301" s="4">
        <f ca="1">_xll.DBRW($B$1,$B$2,$B$7,$B$3,$B$4,$B$5,$F301,$B$6,X$10,$A301,$B301)</f>
        <v>12984326.7686648</v>
      </c>
      <c r="Y301" s="4">
        <f ca="1">_xll.DBRW($B$1,$B$2,$B$7,$B$3,$B$4,$B$5,$F301,$B$6,Y$10,$A301,$B301)</f>
        <v>11541623.79436871</v>
      </c>
      <c r="Z301" s="4">
        <f ca="1">_xll.DBRW($B$1,$B$2,$B$7,$B$3,$B$4,$B$5,$F301,$B$6,Z$10,$A301,$B301)</f>
        <v>14258206.154262919</v>
      </c>
      <c r="AA301" s="4">
        <f ca="1">_xll.DBRW($B$1,$B$2,$B$7,$B$3,$B$4,$B$5,$F301,$B$6,AA$10,$A301,$B301)</f>
        <v>11398831.477113668</v>
      </c>
      <c r="AB301" s="4">
        <f ca="1">_xll.DBRW($B$1,$B$2,$B$7,$B$3,$B$4,$B$5,$F301,$B$6,AB$10,$A301,$B301)</f>
        <v>12984326.768664801</v>
      </c>
      <c r="AC301" s="4">
        <f ca="1">_xll.DBRW($B$1,$B$2,$B$7,$B$3,$B$4,$B$5,$F301,$B$6,AC$10,$A301,$B301)</f>
        <v>11541623.794368709</v>
      </c>
      <c r="AD301" s="4">
        <f ca="1">_xll.DBRW($B$1,$B$2,$B$7,$B$3,$B$4,$B$5,$F301,$B$6,AD$10,$A301,$B301)</f>
        <v>10937371.996879049</v>
      </c>
      <c r="AE301" s="4">
        <f ca="1">_xll.DBRW($B$1,$B$2,$B$7,$B$3,$B$4,$B$5,$F301,$B$6,AE$10,$A301,$B301)</f>
        <v>10830793.511542849</v>
      </c>
    </row>
    <row r="302" spans="1:31">
      <c r="A302" s="1" t="s">
        <v>153</v>
      </c>
      <c r="B302" s="5" t="s">
        <v>222</v>
      </c>
      <c r="C302" s="5" t="s">
        <v>196</v>
      </c>
      <c r="D302" s="5" t="s">
        <v>194</v>
      </c>
      <c r="E302" s="5" t="s">
        <v>21</v>
      </c>
      <c r="F302" s="5" t="s">
        <v>25</v>
      </c>
      <c r="G302" s="6"/>
      <c r="H302" s="6"/>
      <c r="I302" s="6"/>
      <c r="J302" s="6"/>
      <c r="K302" s="6"/>
      <c r="L302" s="4">
        <f ca="1">_xll.DBRW($B$1,$B$2,$B$7,$B$3,$B$4,$B$5,$F302,$B$6,L$10,$A302,$B302)</f>
        <v>11142316.799999999</v>
      </c>
      <c r="M302" s="4">
        <f ca="1">_xll.DBRW($B$1,$B$2,$B$7,$B$3,$B$4,$B$5,$F302,$B$6,M$10,$A302,$B302)</f>
        <v>10853842.474778458</v>
      </c>
      <c r="N302" s="4">
        <f ca="1">_xll.DBRW($B$1,$B$2,$B$7,$B$3,$B$4,$B$5,$F302,$B$6,N$10,$A302,$B302)</f>
        <v>11797747.200000001</v>
      </c>
      <c r="O302" s="4">
        <f ca="1">_xll.DBRW($B$1,$B$2,$B$7,$B$3,$B$4,$B$5,$F302,$B$6,O$10,$A302,$B302)</f>
        <v>11797747.200000001</v>
      </c>
      <c r="P302" s="4">
        <f ca="1">_xll.DBRW($B$1,$B$2,$B$7,$B$3,$B$4,$B$5,$F302,$B$6,P$10,$A302,$B302)</f>
        <v>10603407.359999999</v>
      </c>
      <c r="Q302" s="4">
        <f ca="1">_xll.DBRW($B$1,$B$2,$B$7,$B$3,$B$4,$B$5,$F302,$B$6,Q$10,$A302,$B302)</f>
        <v>11732204.16</v>
      </c>
      <c r="R302" s="4">
        <f ca="1">_xll.DBRW($B$1,$B$2,$B$7,$B$3,$B$4,$B$5,$F302,$B$6,R$10,$A302,$B302)</f>
        <v>11011230.719999999</v>
      </c>
      <c r="S302" s="4">
        <f ca="1">_xll.DBRW($B$1,$B$2,$B$7,$B$3,$B$4,$B$5,$F302,$B$6,S$10,$A302,$B302)</f>
        <v>9321676.7999999989</v>
      </c>
      <c r="T302" s="4">
        <f ca="1">_xll.DBRW($B$1,$B$2,$B$7,$B$3,$B$4,$B$5,$F302,$B$6,T$10,$A302,$B302)</f>
        <v>12547038.028392088</v>
      </c>
      <c r="U302" s="4">
        <f ca="1">_xll.DBRW($B$1,$B$2,$B$7,$B$3,$B$4,$B$5,$F302,$B$6,U$10,$A302,$B302)</f>
        <v>11541623.79436871</v>
      </c>
      <c r="V302" s="4">
        <f ca="1">_xll.DBRW($B$1,$B$2,$B$7,$B$3,$B$4,$B$5,$F302,$B$6,V$10,$A302,$B302)</f>
        <v>12984326.768664803</v>
      </c>
      <c r="W302" s="4">
        <f ca="1">_xll.DBRW($B$1,$B$2,$B$7,$B$3,$B$4,$B$5,$F302,$B$6,W$10,$A302,$B302)</f>
        <v>12518132.305068372</v>
      </c>
      <c r="X302" s="4">
        <f ca="1">_xll.DBRW($B$1,$B$2,$B$7,$B$3,$B$4,$B$5,$F302,$B$6,X$10,$A302,$B302)</f>
        <v>12984326.7686648</v>
      </c>
      <c r="Y302" s="4">
        <f ca="1">_xll.DBRW($B$1,$B$2,$B$7,$B$3,$B$4,$B$5,$F302,$B$6,Y$10,$A302,$B302)</f>
        <v>11541623.79436871</v>
      </c>
      <c r="Z302" s="4">
        <f ca="1">_xll.DBRW($B$1,$B$2,$B$7,$B$3,$B$4,$B$5,$F302,$B$6,Z$10,$A302,$B302)</f>
        <v>14258206.154262919</v>
      </c>
      <c r="AA302" s="4">
        <f ca="1">_xll.DBRW($B$1,$B$2,$B$7,$B$3,$B$4,$B$5,$F302,$B$6,AA$10,$A302,$B302)</f>
        <v>11398831.477113668</v>
      </c>
      <c r="AB302" s="4">
        <f ca="1">_xll.DBRW($B$1,$B$2,$B$7,$B$3,$B$4,$B$5,$F302,$B$6,AB$10,$A302,$B302)</f>
        <v>12984326.768664801</v>
      </c>
      <c r="AC302" s="4">
        <f ca="1">_xll.DBRW($B$1,$B$2,$B$7,$B$3,$B$4,$B$5,$F302,$B$6,AC$10,$A302,$B302)</f>
        <v>11541623.794368709</v>
      </c>
      <c r="AD302" s="4">
        <f ca="1">_xll.DBRW($B$1,$B$2,$B$7,$B$3,$B$4,$B$5,$F302,$B$6,AD$10,$A302,$B302)</f>
        <v>10937371.996879049</v>
      </c>
      <c r="AE302" s="4">
        <f ca="1">_xll.DBRW($B$1,$B$2,$B$7,$B$3,$B$4,$B$5,$F302,$B$6,AE$10,$A302,$B302)</f>
        <v>9627372.01026031</v>
      </c>
    </row>
    <row r="303" spans="1:31">
      <c r="A303" s="1" t="s">
        <v>153</v>
      </c>
      <c r="B303" s="5" t="s">
        <v>223</v>
      </c>
      <c r="C303" s="5" t="s">
        <v>193</v>
      </c>
      <c r="D303" s="5" t="s">
        <v>21</v>
      </c>
      <c r="E303" s="5" t="s">
        <v>194</v>
      </c>
      <c r="F303" s="5" t="s">
        <v>25</v>
      </c>
      <c r="G303" s="6"/>
      <c r="H303" s="6"/>
      <c r="I303" s="6"/>
      <c r="J303" s="6"/>
      <c r="K303" s="6"/>
      <c r="L303" s="4">
        <f ca="1">_xll.DBRW($B$1,$B$2,$B$7,$B$3,$B$4,$B$5,$F303,$B$6,L$10,$A303,$B303)</f>
        <v>16030809.6</v>
      </c>
      <c r="M303" s="4">
        <f ca="1">_xll.DBRW($B$1,$B$2,$B$7,$B$3,$B$4,$B$5,$F303,$B$6,M$10,$A303,$B303)</f>
        <v>14865014.024744371</v>
      </c>
      <c r="N303" s="4">
        <f ca="1">_xll.DBRW($B$1,$B$2,$B$7,$B$3,$B$4,$B$5,$F303,$B$6,N$10,$A303,$B303)</f>
        <v>16973798.400000002</v>
      </c>
      <c r="O303" s="4">
        <f ca="1">_xll.DBRW($B$1,$B$2,$B$7,$B$3,$B$4,$B$5,$F303,$B$6,O$10,$A303,$B303)</f>
        <v>16973798.400000002</v>
      </c>
      <c r="P303" s="4">
        <f ca="1">_xll.DBRW($B$1,$B$2,$B$7,$B$3,$B$4,$B$5,$F303,$B$6,P$10,$A303,$B303)</f>
        <v>17162396.16</v>
      </c>
      <c r="Q303" s="4">
        <f ca="1">_xll.DBRW($B$1,$B$2,$B$7,$B$3,$B$4,$B$5,$F303,$B$6,Q$10,$A303,$B303)</f>
        <v>12984230.4</v>
      </c>
      <c r="R303" s="4">
        <f ca="1">_xll.DBRW($B$1,$B$2,$B$7,$B$3,$B$4,$B$5,$F303,$B$6,R$10,$A303,$B303)</f>
        <v>10967685.119999997</v>
      </c>
      <c r="S303" s="4">
        <f ca="1">_xll.DBRW($B$1,$B$2,$B$7,$B$3,$B$4,$B$5,$F303,$B$6,S$10,$A303,$B303)</f>
        <v>10445414.399999999</v>
      </c>
      <c r="T303" s="4">
        <f ca="1">_xll.DBRW($B$1,$B$2,$B$7,$B$3,$B$4,$B$5,$F303,$B$6,T$10,$A303,$B303)</f>
        <v>12497418.842938388</v>
      </c>
      <c r="U303" s="4">
        <f ca="1">_xll.DBRW($B$1,$B$2,$B$7,$B$3,$B$4,$B$5,$F303,$B$6,U$10,$A303,$B303)</f>
        <v>11495980.673642231</v>
      </c>
      <c r="V303" s="4">
        <f ca="1">_xll.DBRW($B$1,$B$2,$B$7,$B$3,$B$4,$B$5,$F303,$B$6,V$10,$A303,$B303)</f>
        <v>11495980.673642235</v>
      </c>
      <c r="W303" s="4">
        <f ca="1">_xll.DBRW($B$1,$B$2,$B$7,$B$3,$B$4,$B$5,$F303,$B$6,W$10,$A303,$B303)</f>
        <v>6927015.2398494752</v>
      </c>
      <c r="X303" s="4">
        <f ca="1">_xll.DBRW($B$1,$B$2,$B$7,$B$3,$B$4,$B$5,$F303,$B$6,X$10,$A303,$B303)</f>
        <v>5747990.3368211165</v>
      </c>
      <c r="Y303" s="4">
        <f ca="1">_xll.DBRW($B$1,$B$2,$B$7,$B$3,$B$4,$B$5,$F303,$B$6,Y$10,$A303,$B303)</f>
        <v>5747990.3368211156</v>
      </c>
      <c r="Z303" s="4">
        <f ca="1">_xll.DBRW($B$1,$B$2,$B$7,$B$3,$B$4,$B$5,$F303,$B$6,Z$10,$A303,$B303)</f>
        <v>7100909.9460592289</v>
      </c>
      <c r="AA303" s="4">
        <f ca="1">_xll.DBRW($B$1,$B$2,$B$7,$B$3,$B$4,$B$5,$F303,$B$6,AA$10,$A303,$B303)</f>
        <v>5676876.5252485424</v>
      </c>
      <c r="AB303" s="4">
        <f ca="1">_xll.DBRW($B$1,$B$2,$B$7,$B$3,$B$4,$B$5,$F303,$B$6,AB$10,$A303,$B303)</f>
        <v>5747990.3368211165</v>
      </c>
      <c r="AC303" s="4">
        <f ca="1">_xll.DBRW($B$1,$B$2,$B$7,$B$3,$B$4,$B$5,$F303,$B$6,AC$10,$A303,$B303)</f>
        <v>8621985.5052316729</v>
      </c>
      <c r="AD303" s="4">
        <f ca="1">_xll.DBRW($B$1,$B$2,$B$7,$B$3,$B$4,$B$5,$F303,$B$6,AD$10,$A303,$B303)</f>
        <v>9683660.8733536154</v>
      </c>
      <c r="AE303" s="4">
        <f ca="1">_xll.DBRW($B$1,$B$2,$B$7,$B$3,$B$4,$B$5,$F303,$B$6,AE$10,$A303,$B303)</f>
        <v>10787961.478146292</v>
      </c>
    </row>
    <row r="304" spans="1:31">
      <c r="A304" s="1" t="s">
        <v>153</v>
      </c>
      <c r="B304" s="5" t="s">
        <v>224</v>
      </c>
      <c r="C304" s="5" t="s">
        <v>196</v>
      </c>
      <c r="D304" s="5" t="s">
        <v>194</v>
      </c>
      <c r="E304" s="5" t="s">
        <v>21</v>
      </c>
      <c r="F304" s="5" t="s">
        <v>25</v>
      </c>
      <c r="G304" s="6"/>
      <c r="H304" s="6"/>
      <c r="I304" s="6"/>
      <c r="J304" s="6"/>
      <c r="K304" s="6"/>
      <c r="L304" s="4">
        <f ca="1">_xll.DBRW($B$1,$B$2,$B$7,$B$3,$B$4,$B$5,$F304,$B$6,L$10,$A304,$B304)</f>
        <v>16030809.6</v>
      </c>
      <c r="M304" s="4">
        <f ca="1">_xll.DBRW($B$1,$B$2,$B$7,$B$3,$B$4,$B$5,$F304,$B$6,M$10,$A304,$B304)</f>
        <v>14865014.024744371</v>
      </c>
      <c r="N304" s="4">
        <f ca="1">_xll.DBRW($B$1,$B$2,$B$7,$B$3,$B$4,$B$5,$F304,$B$6,N$10,$A304,$B304)</f>
        <v>16973798.400000002</v>
      </c>
      <c r="O304" s="4">
        <f ca="1">_xll.DBRW($B$1,$B$2,$B$7,$B$3,$B$4,$B$5,$F304,$B$6,O$10,$A304,$B304)</f>
        <v>16973798.400000002</v>
      </c>
      <c r="P304" s="4">
        <f ca="1">_xll.DBRW($B$1,$B$2,$B$7,$B$3,$B$4,$B$5,$F304,$B$6,P$10,$A304,$B304)</f>
        <v>17162396.16</v>
      </c>
      <c r="Q304" s="4">
        <f ca="1">_xll.DBRW($B$1,$B$2,$B$7,$B$3,$B$4,$B$5,$F304,$B$6,Q$10,$A304,$B304)</f>
        <v>14282653.439999999</v>
      </c>
      <c r="R304" s="4">
        <f ca="1">_xll.DBRW($B$1,$B$2,$B$7,$B$3,$B$4,$B$5,$F304,$B$6,R$10,$A304,$B304)</f>
        <v>10967685.119999997</v>
      </c>
      <c r="S304" s="4">
        <f ca="1">_xll.DBRW($B$1,$B$2,$B$7,$B$3,$B$4,$B$5,$F304,$B$6,S$10,$A304,$B304)</f>
        <v>10445414.399999999</v>
      </c>
      <c r="T304" s="4">
        <f ca="1">_xll.DBRW($B$1,$B$2,$B$7,$B$3,$B$4,$B$5,$F304,$B$6,T$10,$A304,$B304)</f>
        <v>12497418.842938388</v>
      </c>
      <c r="U304" s="4">
        <f ca="1">_xll.DBRW($B$1,$B$2,$B$7,$B$3,$B$4,$B$5,$F304,$B$6,U$10,$A304,$B304)</f>
        <v>11495980.673642231</v>
      </c>
      <c r="V304" s="4">
        <f ca="1">_xll.DBRW($B$1,$B$2,$B$7,$B$3,$B$4,$B$5,$F304,$B$6,V$10,$A304,$B304)</f>
        <v>11495980.673642235</v>
      </c>
      <c r="W304" s="4">
        <f ca="1">_xll.DBRW($B$1,$B$2,$B$7,$B$3,$B$4,$B$5,$F304,$B$6,W$10,$A304,$B304)</f>
        <v>6927015.2398494752</v>
      </c>
      <c r="X304" s="4">
        <f ca="1">_xll.DBRW($B$1,$B$2,$B$7,$B$3,$B$4,$B$5,$F304,$B$6,X$10,$A304,$B304)</f>
        <v>5747990.3368211165</v>
      </c>
      <c r="Y304" s="4">
        <f ca="1">_xll.DBRW($B$1,$B$2,$B$7,$B$3,$B$4,$B$5,$F304,$B$6,Y$10,$A304,$B304)</f>
        <v>5747990.3368211156</v>
      </c>
      <c r="Z304" s="4">
        <f ca="1">_xll.DBRW($B$1,$B$2,$B$7,$B$3,$B$4,$B$5,$F304,$B$6,Z$10,$A304,$B304)</f>
        <v>7100909.9460592289</v>
      </c>
      <c r="AA304" s="4">
        <f ca="1">_xll.DBRW($B$1,$B$2,$B$7,$B$3,$B$4,$B$5,$F304,$B$6,AA$10,$A304,$B304)</f>
        <v>5676876.5252485424</v>
      </c>
      <c r="AB304" s="4">
        <f ca="1">_xll.DBRW($B$1,$B$2,$B$7,$B$3,$B$4,$B$5,$F304,$B$6,AB$10,$A304,$B304)</f>
        <v>5747990.3368211165</v>
      </c>
      <c r="AC304" s="4">
        <f ca="1">_xll.DBRW($B$1,$B$2,$B$7,$B$3,$B$4,$B$5,$F304,$B$6,AC$10,$A304,$B304)</f>
        <v>8621985.5052316729</v>
      </c>
      <c r="AD304" s="4">
        <f ca="1">_xll.DBRW($B$1,$B$2,$B$7,$B$3,$B$4,$B$5,$F304,$B$6,AD$10,$A304,$B304)</f>
        <v>9683660.8733536154</v>
      </c>
      <c r="AE304" s="4">
        <f ca="1">_xll.DBRW($B$1,$B$2,$B$7,$B$3,$B$4,$B$5,$F304,$B$6,AE$10,$A304,$B304)</f>
        <v>10787961.478146292</v>
      </c>
    </row>
    <row r="305" spans="1:31">
      <c r="A305" s="1" t="s">
        <v>153</v>
      </c>
      <c r="B305" s="5" t="s">
        <v>225</v>
      </c>
      <c r="C305" s="5" t="s">
        <v>226</v>
      </c>
      <c r="D305" s="5" t="s">
        <v>21</v>
      </c>
      <c r="E305" s="5" t="s">
        <v>227</v>
      </c>
      <c r="F305" s="5" t="s">
        <v>25</v>
      </c>
      <c r="G305" s="6"/>
      <c r="H305" s="6"/>
      <c r="I305" s="6"/>
      <c r="J305" s="6"/>
      <c r="K305" s="6"/>
      <c r="L305" s="4">
        <f ca="1">_xll.DBRW($B$1,$B$2,$B$7,$B$3,$B$4,$B$5,$F305,$B$6,L$10,$A305,$B305)</f>
        <v>0</v>
      </c>
      <c r="M305" s="4">
        <f ca="1">_xll.DBRW($B$1,$B$2,$B$7,$B$3,$B$4,$B$5,$F305,$B$6,M$10,$A305,$B305)</f>
        <v>0</v>
      </c>
      <c r="N305" s="4">
        <f ca="1">_xll.DBRW($B$1,$B$2,$B$7,$B$3,$B$4,$B$5,$F305,$B$6,N$10,$A305,$B305)</f>
        <v>0</v>
      </c>
      <c r="O305" s="4">
        <f ca="1">_xll.DBRW($B$1,$B$2,$B$7,$B$3,$B$4,$B$5,$F305,$B$6,O$10,$A305,$B305)</f>
        <v>0</v>
      </c>
      <c r="P305" s="4">
        <f ca="1">_xll.DBRW($B$1,$B$2,$B$7,$B$3,$B$4,$B$5,$F305,$B$6,P$10,$A305,$B305)</f>
        <v>0</v>
      </c>
      <c r="Q305" s="4">
        <f ca="1">_xll.DBRW($B$1,$B$2,$B$7,$B$3,$B$4,$B$5,$F305,$B$6,Q$10,$A305,$B305)</f>
        <v>2191940.48</v>
      </c>
      <c r="R305" s="4">
        <f ca="1">_xll.DBRW($B$1,$B$2,$B$7,$B$3,$B$4,$B$5,$F305,$B$6,R$10,$A305,$B305)</f>
        <v>8461909.7599999979</v>
      </c>
      <c r="S305" s="4">
        <f ca="1">_xll.DBRW($B$1,$B$2,$B$7,$B$3,$B$4,$B$5,$F305,$B$6,S$10,$A305,$B305)</f>
        <v>0</v>
      </c>
      <c r="T305" s="4">
        <f ca="1">_xll.DBRW($B$1,$B$2,$B$7,$B$3,$B$4,$B$5,$F305,$B$6,T$10,$A305,$B305)</f>
        <v>0</v>
      </c>
      <c r="U305" s="4">
        <f ca="1">_xll.DBRW($B$1,$B$2,$B$7,$B$3,$B$4,$B$5,$F305,$B$6,U$10,$A305,$B305)</f>
        <v>0</v>
      </c>
      <c r="V305" s="4">
        <f ca="1">_xll.DBRW($B$1,$B$2,$B$7,$B$3,$B$4,$B$5,$F305,$B$6,V$10,$A305,$B305)</f>
        <v>0</v>
      </c>
      <c r="W305" s="4">
        <f ca="1">_xll.DBRW($B$1,$B$2,$B$7,$B$3,$B$4,$B$5,$F305,$B$6,W$10,$A305,$B305)</f>
        <v>0</v>
      </c>
      <c r="X305" s="4">
        <f ca="1">_xll.DBRW($B$1,$B$2,$B$7,$B$3,$B$4,$B$5,$F305,$B$6,X$10,$A305,$B305)</f>
        <v>0</v>
      </c>
      <c r="Y305" s="4">
        <f ca="1">_xll.DBRW($B$1,$B$2,$B$7,$B$3,$B$4,$B$5,$F305,$B$6,Y$10,$A305,$B305)</f>
        <v>0</v>
      </c>
      <c r="Z305" s="4">
        <f ca="1">_xll.DBRW($B$1,$B$2,$B$7,$B$3,$B$4,$B$5,$F305,$B$6,Z$10,$A305,$B305)</f>
        <v>0</v>
      </c>
      <c r="AA305" s="4">
        <f ca="1">_xll.DBRW($B$1,$B$2,$B$7,$B$3,$B$4,$B$5,$F305,$B$6,AA$10,$A305,$B305)</f>
        <v>0</v>
      </c>
      <c r="AB305" s="4">
        <f ca="1">_xll.DBRW($B$1,$B$2,$B$7,$B$3,$B$4,$B$5,$F305,$B$6,AB$10,$A305,$B305)</f>
        <v>0</v>
      </c>
      <c r="AC305" s="4">
        <f ca="1">_xll.DBRW($B$1,$B$2,$B$7,$B$3,$B$4,$B$5,$F305,$B$6,AC$10,$A305,$B305)</f>
        <v>0</v>
      </c>
      <c r="AD305" s="4">
        <f ca="1">_xll.DBRW($B$1,$B$2,$B$7,$B$3,$B$4,$B$5,$F305,$B$6,AD$10,$A305,$B305)</f>
        <v>0</v>
      </c>
      <c r="AE305" s="4">
        <f ca="1">_xll.DBRW($B$1,$B$2,$B$7,$B$3,$B$4,$B$5,$F305,$B$6,AE$10,$A305,$B305)</f>
        <v>0</v>
      </c>
    </row>
    <row r="306" spans="1:31">
      <c r="A306" s="1" t="s">
        <v>153</v>
      </c>
      <c r="B306" s="5" t="s">
        <v>228</v>
      </c>
      <c r="C306" s="5" t="s">
        <v>229</v>
      </c>
      <c r="D306" s="5" t="s">
        <v>227</v>
      </c>
      <c r="E306" s="5" t="s">
        <v>21</v>
      </c>
      <c r="F306" s="5" t="s">
        <v>25</v>
      </c>
      <c r="G306" s="6"/>
      <c r="H306" s="6"/>
      <c r="I306" s="6"/>
      <c r="J306" s="6"/>
      <c r="K306" s="6"/>
      <c r="L306" s="4">
        <f ca="1">_xll.DBRW($B$1,$B$2,$B$7,$B$3,$B$4,$B$5,$F306,$B$6,L$10,$A306,$B306)</f>
        <v>0</v>
      </c>
      <c r="M306" s="4">
        <f ca="1">_xll.DBRW($B$1,$B$2,$B$7,$B$3,$B$4,$B$5,$F306,$B$6,M$10,$A306,$B306)</f>
        <v>0</v>
      </c>
      <c r="N306" s="4">
        <f ca="1">_xll.DBRW($B$1,$B$2,$B$7,$B$3,$B$4,$B$5,$F306,$B$6,N$10,$A306,$B306)</f>
        <v>0</v>
      </c>
      <c r="O306" s="4">
        <f ca="1">_xll.DBRW($B$1,$B$2,$B$7,$B$3,$B$4,$B$5,$F306,$B$6,O$10,$A306,$B306)</f>
        <v>0</v>
      </c>
      <c r="P306" s="4">
        <f ca="1">_xll.DBRW($B$1,$B$2,$B$7,$B$3,$B$4,$B$5,$F306,$B$6,P$10,$A306,$B306)</f>
        <v>0</v>
      </c>
      <c r="Q306" s="4">
        <f ca="1">_xll.DBRW($B$1,$B$2,$B$7,$B$3,$B$4,$B$5,$F306,$B$6,Q$10,$A306,$B306)</f>
        <v>2191940.48</v>
      </c>
      <c r="R306" s="4">
        <f ca="1">_xll.DBRW($B$1,$B$2,$B$7,$B$3,$B$4,$B$5,$F306,$B$6,R$10,$A306,$B306)</f>
        <v>8461909.7599999979</v>
      </c>
      <c r="S306" s="4">
        <f ca="1">_xll.DBRW($B$1,$B$2,$B$7,$B$3,$B$4,$B$5,$F306,$B$6,S$10,$A306,$B306)</f>
        <v>0</v>
      </c>
      <c r="T306" s="4">
        <f ca="1">_xll.DBRW($B$1,$B$2,$B$7,$B$3,$B$4,$B$5,$F306,$B$6,T$10,$A306,$B306)</f>
        <v>0</v>
      </c>
      <c r="U306" s="4">
        <f ca="1">_xll.DBRW($B$1,$B$2,$B$7,$B$3,$B$4,$B$5,$F306,$B$6,U$10,$A306,$B306)</f>
        <v>0</v>
      </c>
      <c r="V306" s="4">
        <f ca="1">_xll.DBRW($B$1,$B$2,$B$7,$B$3,$B$4,$B$5,$F306,$B$6,V$10,$A306,$B306)</f>
        <v>0</v>
      </c>
      <c r="W306" s="4">
        <f ca="1">_xll.DBRW($B$1,$B$2,$B$7,$B$3,$B$4,$B$5,$F306,$B$6,W$10,$A306,$B306)</f>
        <v>0</v>
      </c>
      <c r="X306" s="4">
        <f ca="1">_xll.DBRW($B$1,$B$2,$B$7,$B$3,$B$4,$B$5,$F306,$B$6,X$10,$A306,$B306)</f>
        <v>0</v>
      </c>
      <c r="Y306" s="4">
        <f ca="1">_xll.DBRW($B$1,$B$2,$B$7,$B$3,$B$4,$B$5,$F306,$B$6,Y$10,$A306,$B306)</f>
        <v>0</v>
      </c>
      <c r="Z306" s="4">
        <f ca="1">_xll.DBRW($B$1,$B$2,$B$7,$B$3,$B$4,$B$5,$F306,$B$6,Z$10,$A306,$B306)</f>
        <v>0</v>
      </c>
      <c r="AA306" s="4">
        <f ca="1">_xll.DBRW($B$1,$B$2,$B$7,$B$3,$B$4,$B$5,$F306,$B$6,AA$10,$A306,$B306)</f>
        <v>0</v>
      </c>
      <c r="AB306" s="4">
        <f ca="1">_xll.DBRW($B$1,$B$2,$B$7,$B$3,$B$4,$B$5,$F306,$B$6,AB$10,$A306,$B306)</f>
        <v>0</v>
      </c>
      <c r="AC306" s="4">
        <f ca="1">_xll.DBRW($B$1,$B$2,$B$7,$B$3,$B$4,$B$5,$F306,$B$6,AC$10,$A306,$B306)</f>
        <v>0</v>
      </c>
      <c r="AD306" s="4">
        <f ca="1">_xll.DBRW($B$1,$B$2,$B$7,$B$3,$B$4,$B$5,$F306,$B$6,AD$10,$A306,$B306)</f>
        <v>0</v>
      </c>
      <c r="AE306" s="4">
        <f ca="1">_xll.DBRW($B$1,$B$2,$B$7,$B$3,$B$4,$B$5,$F306,$B$6,AE$10,$A306,$B306)</f>
        <v>0</v>
      </c>
    </row>
    <row r="307" spans="1:31">
      <c r="A307" s="1" t="s">
        <v>153</v>
      </c>
      <c r="B307" s="5" t="s">
        <v>230</v>
      </c>
      <c r="C307" s="5" t="s">
        <v>210</v>
      </c>
      <c r="D307" s="5" t="s">
        <v>21</v>
      </c>
      <c r="E307" s="5" t="s">
        <v>211</v>
      </c>
      <c r="F307" s="5" t="s">
        <v>25</v>
      </c>
      <c r="G307" s="6"/>
      <c r="H307" s="6"/>
      <c r="I307" s="6"/>
      <c r="J307" s="6"/>
      <c r="K307" s="6"/>
      <c r="L307" s="4">
        <f ca="1">_xll.DBRW($B$1,$B$2,$B$7,$B$3,$B$4,$B$5,$F307,$B$6,L$10,$A307,$B307)</f>
        <v>2553647.5</v>
      </c>
      <c r="M307" s="4">
        <f ca="1">_xll.DBRW($B$1,$B$2,$B$7,$B$3,$B$4,$B$5,$F307,$B$6,M$10,$A307,$B307)</f>
        <v>5279960.8880963847</v>
      </c>
      <c r="N307" s="4">
        <f ca="1">_xll.DBRW($B$1,$B$2,$B$7,$B$3,$B$4,$B$5,$F307,$B$6,N$10,$A307,$B307)</f>
        <v>5053534</v>
      </c>
      <c r="O307" s="4">
        <f ca="1">_xll.DBRW($B$1,$B$2,$B$7,$B$3,$B$4,$B$5,$F307,$B$6,O$10,$A307,$B307)</f>
        <v>6384118.75</v>
      </c>
      <c r="P307" s="4">
        <f ca="1">_xll.DBRW($B$1,$B$2,$B$7,$B$3,$B$4,$B$5,$F307,$B$6,P$10,$A307,$B307)</f>
        <v>5107295.0000000009</v>
      </c>
      <c r="Q307" s="4">
        <f ca="1">_xll.DBRW($B$1,$B$2,$B$7,$B$3,$B$4,$B$5,$F307,$B$6,Q$10,$A307,$B307)</f>
        <v>4623446</v>
      </c>
      <c r="R307" s="4">
        <f ca="1">_xll.DBRW($B$1,$B$2,$B$7,$B$3,$B$4,$B$5,$F307,$B$6,R$10,$A307,$B307)</f>
        <v>0</v>
      </c>
      <c r="S307" s="4">
        <f ca="1">_xll.DBRW($B$1,$B$2,$B$7,$B$3,$B$4,$B$5,$F307,$B$6,S$10,$A307,$B307)</f>
        <v>0</v>
      </c>
      <c r="T307" s="4">
        <f ca="1">_xll.DBRW($B$1,$B$2,$B$7,$B$3,$B$4,$B$5,$F307,$B$6,T$10,$A307,$B307)</f>
        <v>0</v>
      </c>
      <c r="U307" s="4">
        <f ca="1">_xll.DBRW($B$1,$B$2,$B$7,$B$3,$B$4,$B$5,$F307,$B$6,U$10,$A307,$B307)</f>
        <v>0</v>
      </c>
      <c r="V307" s="4">
        <f ca="1">_xll.DBRW($B$1,$B$2,$B$7,$B$3,$B$4,$B$5,$F307,$B$6,V$10,$A307,$B307)</f>
        <v>0</v>
      </c>
      <c r="W307" s="4">
        <f ca="1">_xll.DBRW($B$1,$B$2,$B$7,$B$3,$B$4,$B$5,$F307,$B$6,W$10,$A307,$B307)</f>
        <v>5160970.1344698695</v>
      </c>
      <c r="X307" s="4">
        <f ca="1">_xll.DBRW($B$1,$B$2,$B$7,$B$3,$B$4,$B$5,$F307,$B$6,X$10,$A307,$B307)</f>
        <v>6620431.6473878659</v>
      </c>
      <c r="Y307" s="4">
        <f ca="1">_xll.DBRW($B$1,$B$2,$B$7,$B$3,$B$4,$B$5,$F307,$B$6,Y$10,$A307,$B307)</f>
        <v>5296345.317910295</v>
      </c>
      <c r="Z307" s="4">
        <f ca="1">_xll.DBRW($B$1,$B$2,$B$7,$B$3,$B$4,$B$5,$F307,$B$6,Z$10,$A307,$B307)</f>
        <v>6620431.6473878678</v>
      </c>
      <c r="AA307" s="4">
        <f ca="1">_xll.DBRW($B$1,$B$2,$B$7,$B$3,$B$4,$B$5,$F307,$B$6,AA$10,$A307,$B307)</f>
        <v>5296345.317910294</v>
      </c>
      <c r="AB307" s="4">
        <f ca="1">_xll.DBRW($B$1,$B$2,$B$7,$B$3,$B$4,$B$5,$F307,$B$6,AB$10,$A307,$B307)</f>
        <v>5296345.317910294</v>
      </c>
      <c r="AC307" s="4">
        <f ca="1">_xll.DBRW($B$1,$B$2,$B$7,$B$3,$B$4,$B$5,$F307,$B$6,AC$10,$A307,$B307)</f>
        <v>0</v>
      </c>
      <c r="AD307" s="4">
        <f ca="1">_xll.DBRW($B$1,$B$2,$B$7,$B$3,$B$4,$B$5,$F307,$B$6,AD$10,$A307,$B307)</f>
        <v>0</v>
      </c>
      <c r="AE307" s="4">
        <f ca="1">_xll.DBRW($B$1,$B$2,$B$7,$B$3,$B$4,$B$5,$F307,$B$6,AE$10,$A307,$B307)</f>
        <v>0</v>
      </c>
    </row>
    <row r="308" spans="1:31">
      <c r="A308" s="1" t="s">
        <v>153</v>
      </c>
      <c r="B308" s="5" t="s">
        <v>231</v>
      </c>
      <c r="C308" s="5" t="s">
        <v>213</v>
      </c>
      <c r="D308" s="5" t="s">
        <v>211</v>
      </c>
      <c r="E308" s="5" t="s">
        <v>21</v>
      </c>
      <c r="F308" s="5" t="s">
        <v>25</v>
      </c>
      <c r="G308" s="6"/>
      <c r="H308" s="6"/>
      <c r="I308" s="6"/>
      <c r="J308" s="6"/>
      <c r="K308" s="6"/>
      <c r="L308" s="4">
        <f ca="1">_xll.DBRW($B$1,$B$2,$B$7,$B$3,$B$4,$B$5,$F308,$B$6,L$10,$A308,$B308)</f>
        <v>2553647.5</v>
      </c>
      <c r="M308" s="4">
        <f ca="1">_xll.DBRW($B$1,$B$2,$B$7,$B$3,$B$4,$B$5,$F308,$B$6,M$10,$A308,$B308)</f>
        <v>5279960.8880963847</v>
      </c>
      <c r="N308" s="4">
        <f ca="1">_xll.DBRW($B$1,$B$2,$B$7,$B$3,$B$4,$B$5,$F308,$B$6,N$10,$A308,$B308)</f>
        <v>5053534</v>
      </c>
      <c r="O308" s="4">
        <f ca="1">_xll.DBRW($B$1,$B$2,$B$7,$B$3,$B$4,$B$5,$F308,$B$6,O$10,$A308,$B308)</f>
        <v>6384118.75</v>
      </c>
      <c r="P308" s="4">
        <f ca="1">_xll.DBRW($B$1,$B$2,$B$7,$B$3,$B$4,$B$5,$F308,$B$6,P$10,$A308,$B308)</f>
        <v>5107295.0000000009</v>
      </c>
      <c r="Q308" s="4">
        <f ca="1">_xll.DBRW($B$1,$B$2,$B$7,$B$3,$B$4,$B$5,$F308,$B$6,Q$10,$A308,$B308)</f>
        <v>4623446</v>
      </c>
      <c r="R308" s="4">
        <f ca="1">_xll.DBRW($B$1,$B$2,$B$7,$B$3,$B$4,$B$5,$F308,$B$6,R$10,$A308,$B308)</f>
        <v>0</v>
      </c>
      <c r="S308" s="4">
        <f ca="1">_xll.DBRW($B$1,$B$2,$B$7,$B$3,$B$4,$B$5,$F308,$B$6,S$10,$A308,$B308)</f>
        <v>0</v>
      </c>
      <c r="T308" s="4">
        <f ca="1">_xll.DBRW($B$1,$B$2,$B$7,$B$3,$B$4,$B$5,$F308,$B$6,T$10,$A308,$B308)</f>
        <v>0</v>
      </c>
      <c r="U308" s="4">
        <f ca="1">_xll.DBRW($B$1,$B$2,$B$7,$B$3,$B$4,$B$5,$F308,$B$6,U$10,$A308,$B308)</f>
        <v>0</v>
      </c>
      <c r="V308" s="4">
        <f ca="1">_xll.DBRW($B$1,$B$2,$B$7,$B$3,$B$4,$B$5,$F308,$B$6,V$10,$A308,$B308)</f>
        <v>0</v>
      </c>
      <c r="W308" s="4">
        <f ca="1">_xll.DBRW($B$1,$B$2,$B$7,$B$3,$B$4,$B$5,$F308,$B$6,W$10,$A308,$B308)</f>
        <v>5160970.1344698695</v>
      </c>
      <c r="X308" s="4">
        <f ca="1">_xll.DBRW($B$1,$B$2,$B$7,$B$3,$B$4,$B$5,$F308,$B$6,X$10,$A308,$B308)</f>
        <v>6620431.6473878659</v>
      </c>
      <c r="Y308" s="4">
        <f ca="1">_xll.DBRW($B$1,$B$2,$B$7,$B$3,$B$4,$B$5,$F308,$B$6,Y$10,$A308,$B308)</f>
        <v>5296345.317910295</v>
      </c>
      <c r="Z308" s="4">
        <f ca="1">_xll.DBRW($B$1,$B$2,$B$7,$B$3,$B$4,$B$5,$F308,$B$6,Z$10,$A308,$B308)</f>
        <v>6620431.6473878678</v>
      </c>
      <c r="AA308" s="4">
        <f ca="1">_xll.DBRW($B$1,$B$2,$B$7,$B$3,$B$4,$B$5,$F308,$B$6,AA$10,$A308,$B308)</f>
        <v>5296345.317910294</v>
      </c>
      <c r="AB308" s="4">
        <f ca="1">_xll.DBRW($B$1,$B$2,$B$7,$B$3,$B$4,$B$5,$F308,$B$6,AB$10,$A308,$B308)</f>
        <v>5296345.317910294</v>
      </c>
      <c r="AC308" s="4">
        <f ca="1">_xll.DBRW($B$1,$B$2,$B$7,$B$3,$B$4,$B$5,$F308,$B$6,AC$10,$A308,$B308)</f>
        <v>0</v>
      </c>
      <c r="AD308" s="4">
        <f ca="1">_xll.DBRW($B$1,$B$2,$B$7,$B$3,$B$4,$B$5,$F308,$B$6,AD$10,$A308,$B308)</f>
        <v>0</v>
      </c>
      <c r="AE308" s="4">
        <f ca="1">_xll.DBRW($B$1,$B$2,$B$7,$B$3,$B$4,$B$5,$F308,$B$6,AE$10,$A308,$B308)</f>
        <v>0</v>
      </c>
    </row>
    <row r="309" spans="1:31">
      <c r="A309" s="1" t="s">
        <v>153</v>
      </c>
      <c r="B309" s="5" t="s">
        <v>232</v>
      </c>
      <c r="C309" s="5" t="s">
        <v>233</v>
      </c>
      <c r="D309" s="5" t="s">
        <v>21</v>
      </c>
      <c r="E309" s="5" t="s">
        <v>234</v>
      </c>
      <c r="F309" s="5" t="s">
        <v>25</v>
      </c>
      <c r="G309" s="6"/>
      <c r="H309" s="6"/>
      <c r="I309" s="6"/>
      <c r="J309" s="6"/>
      <c r="K309" s="6"/>
      <c r="L309" s="4">
        <f ca="1">_xll.DBRW($B$1,$B$2,$B$7,$B$3,$B$4,$B$5,$F309,$B$6,L$10,$A309,$B309)</f>
        <v>9881368</v>
      </c>
      <c r="M309" s="4">
        <f ca="1">_xll.DBRW($B$1,$B$2,$B$7,$B$3,$B$4,$B$5,$F309,$B$6,M$10,$A309,$B309)</f>
        <v>11492363.595797403</v>
      </c>
      <c r="N309" s="4">
        <f ca="1">_xll.DBRW($B$1,$B$2,$B$7,$B$3,$B$4,$B$5,$F309,$B$6,N$10,$A309,$B309)</f>
        <v>10999522.799999999</v>
      </c>
      <c r="O309" s="4">
        <f ca="1">_xll.DBRW($B$1,$B$2,$B$7,$B$3,$B$4,$B$5,$F309,$B$6,O$10,$A309,$B309)</f>
        <v>11116539</v>
      </c>
      <c r="P309" s="4">
        <f ca="1">_xll.DBRW($B$1,$B$2,$B$7,$B$3,$B$4,$B$5,$F309,$B$6,P$10,$A309,$B309)</f>
        <v>9881368.0000000019</v>
      </c>
      <c r="Q309" s="4">
        <f ca="1">_xll.DBRW($B$1,$B$2,$B$7,$B$3,$B$4,$B$5,$F309,$B$6,Q$10,$A309,$B309)</f>
        <v>10057349.119999999</v>
      </c>
      <c r="R309" s="4">
        <f ca="1">_xll.DBRW($B$1,$B$2,$B$7,$B$3,$B$4,$B$5,$F309,$B$6,R$10,$A309,$B309)</f>
        <v>15026426.239999996</v>
      </c>
      <c r="S309" s="4">
        <f ca="1">_xll.DBRW($B$1,$B$2,$B$7,$B$3,$B$4,$B$5,$F309,$B$6,S$10,$A309,$B309)</f>
        <v>13112561.280000001</v>
      </c>
      <c r="T309" s="4">
        <f ca="1">_xll.DBRW($B$1,$B$2,$B$7,$B$3,$B$4,$B$5,$F309,$B$6,T$10,$A309,$B309)</f>
        <v>15146057.899691232</v>
      </c>
      <c r="U309" s="4">
        <f ca="1">_xll.DBRW($B$1,$B$2,$B$7,$B$3,$B$4,$B$5,$F309,$B$6,U$10,$A309,$B309)</f>
        <v>14792122.455672497</v>
      </c>
      <c r="V309" s="4">
        <f ca="1">_xll.DBRW($B$1,$B$2,$B$7,$B$3,$B$4,$B$5,$F309,$B$6,V$10,$A309,$B309)</f>
        <v>15967876.020723389</v>
      </c>
      <c r="W309" s="4">
        <f ca="1">_xll.DBRW($B$1,$B$2,$B$7,$B$3,$B$4,$B$5,$F309,$B$6,W$10,$A309,$B309)</f>
        <v>11267285.479909465</v>
      </c>
      <c r="X309" s="4">
        <f ca="1">_xll.DBRW($B$1,$B$2,$B$7,$B$3,$B$4,$B$5,$F309,$B$6,X$10,$A309,$B309)</f>
        <v>11555871.421289926</v>
      </c>
      <c r="Y309" s="4">
        <f ca="1">_xll.DBRW($B$1,$B$2,$B$7,$B$3,$B$4,$B$5,$F309,$B$6,Y$10,$A309,$B309)</f>
        <v>10274979.649291527</v>
      </c>
      <c r="Z309" s="4">
        <f ca="1">_xll.DBRW($B$1,$B$2,$B$7,$B$3,$B$4,$B$5,$F309,$B$6,Z$10,$A309,$B309)</f>
        <v>11562832.789616004</v>
      </c>
      <c r="AA309" s="4">
        <f ca="1">_xll.DBRW($B$1,$B$2,$B$7,$B$3,$B$4,$B$5,$F309,$B$6,AA$10,$A309,$B309)</f>
        <v>11555871.421289928</v>
      </c>
      <c r="AB309" s="4">
        <f ca="1">_xll.DBRW($B$1,$B$2,$B$7,$B$3,$B$4,$B$5,$F309,$B$6,AB$10,$A309,$B309)</f>
        <v>11562832.789616007</v>
      </c>
      <c r="AC309" s="4">
        <f ca="1">_xll.DBRW($B$1,$B$2,$B$7,$B$3,$B$4,$B$5,$F309,$B$6,AC$10,$A309,$B309)</f>
        <v>15026989.887758622</v>
      </c>
      <c r="AD309" s="4">
        <f ca="1">_xll.DBRW($B$1,$B$2,$B$7,$B$3,$B$4,$B$5,$F309,$B$6,AD$10,$A309,$B309)</f>
        <v>13749821.529160559</v>
      </c>
      <c r="AE309" s="4">
        <f ca="1">_xll.DBRW($B$1,$B$2,$B$7,$B$3,$B$4,$B$5,$F309,$B$6,AE$10,$A309,$B309)</f>
        <v>13437541.114584791</v>
      </c>
    </row>
    <row r="310" spans="1:31">
      <c r="A310" s="1" t="s">
        <v>153</v>
      </c>
      <c r="B310" s="5" t="s">
        <v>235</v>
      </c>
      <c r="C310" s="5" t="s">
        <v>236</v>
      </c>
      <c r="D310" s="5" t="s">
        <v>234</v>
      </c>
      <c r="E310" s="5" t="s">
        <v>21</v>
      </c>
      <c r="F310" s="5" t="s">
        <v>25</v>
      </c>
      <c r="G310" s="6"/>
      <c r="H310" s="6"/>
      <c r="I310" s="6"/>
      <c r="J310" s="6"/>
      <c r="K310" s="6"/>
      <c r="L310" s="4">
        <f ca="1">_xll.DBRW($B$1,$B$2,$B$7,$B$3,$B$4,$B$5,$F310,$B$6,L$10,$A310,$B310)</f>
        <v>9881368</v>
      </c>
      <c r="M310" s="4">
        <f ca="1">_xll.DBRW($B$1,$B$2,$B$7,$B$3,$B$4,$B$5,$F310,$B$6,M$10,$A310,$B310)</f>
        <v>11492363.595797403</v>
      </c>
      <c r="N310" s="4">
        <f ca="1">_xll.DBRW($B$1,$B$2,$B$7,$B$3,$B$4,$B$5,$F310,$B$6,N$10,$A310,$B310)</f>
        <v>10999522.799999999</v>
      </c>
      <c r="O310" s="4">
        <f ca="1">_xll.DBRW($B$1,$B$2,$B$7,$B$3,$B$4,$B$5,$F310,$B$6,O$10,$A310,$B310)</f>
        <v>11116539</v>
      </c>
      <c r="P310" s="4">
        <f ca="1">_xll.DBRW($B$1,$B$2,$B$7,$B$3,$B$4,$B$5,$F310,$B$6,P$10,$A310,$B310)</f>
        <v>9881368.0000000019</v>
      </c>
      <c r="Q310" s="4">
        <f ca="1">_xll.DBRW($B$1,$B$2,$B$7,$B$3,$B$4,$B$5,$F310,$B$6,Q$10,$A310,$B310)</f>
        <v>10057349.119999999</v>
      </c>
      <c r="R310" s="4">
        <f ca="1">_xll.DBRW($B$1,$B$2,$B$7,$B$3,$B$4,$B$5,$F310,$B$6,R$10,$A310,$B310)</f>
        <v>15026426.239999996</v>
      </c>
      <c r="S310" s="4">
        <f ca="1">_xll.DBRW($B$1,$B$2,$B$7,$B$3,$B$4,$B$5,$F310,$B$6,S$10,$A310,$B310)</f>
        <v>13112561.280000001</v>
      </c>
      <c r="T310" s="4">
        <f ca="1">_xll.DBRW($B$1,$B$2,$B$7,$B$3,$B$4,$B$5,$F310,$B$6,T$10,$A310,$B310)</f>
        <v>15146057.899691232</v>
      </c>
      <c r="U310" s="4">
        <f ca="1">_xll.DBRW($B$1,$B$2,$B$7,$B$3,$B$4,$B$5,$F310,$B$6,U$10,$A310,$B310)</f>
        <v>14792122.455672497</v>
      </c>
      <c r="V310" s="4">
        <f ca="1">_xll.DBRW($B$1,$B$2,$B$7,$B$3,$B$4,$B$5,$F310,$B$6,V$10,$A310,$B310)</f>
        <v>15967876.020723389</v>
      </c>
      <c r="W310" s="4">
        <f ca="1">_xll.DBRW($B$1,$B$2,$B$7,$B$3,$B$4,$B$5,$F310,$B$6,W$10,$A310,$B310)</f>
        <v>11267285.479909465</v>
      </c>
      <c r="X310" s="4">
        <f ca="1">_xll.DBRW($B$1,$B$2,$B$7,$B$3,$B$4,$B$5,$F310,$B$6,X$10,$A310,$B310)</f>
        <v>11555871.421289926</v>
      </c>
      <c r="Y310" s="4">
        <f ca="1">_xll.DBRW($B$1,$B$2,$B$7,$B$3,$B$4,$B$5,$F310,$B$6,Y$10,$A310,$B310)</f>
        <v>10274979.649291527</v>
      </c>
      <c r="Z310" s="4">
        <f ca="1">_xll.DBRW($B$1,$B$2,$B$7,$B$3,$B$4,$B$5,$F310,$B$6,Z$10,$A310,$B310)</f>
        <v>11562832.789616004</v>
      </c>
      <c r="AA310" s="4">
        <f ca="1">_xll.DBRW($B$1,$B$2,$B$7,$B$3,$B$4,$B$5,$F310,$B$6,AA$10,$A310,$B310)</f>
        <v>11555871.421289928</v>
      </c>
      <c r="AB310" s="4">
        <f ca="1">_xll.DBRW($B$1,$B$2,$B$7,$B$3,$B$4,$B$5,$F310,$B$6,AB$10,$A310,$B310)</f>
        <v>11562832.789616007</v>
      </c>
      <c r="AC310" s="4">
        <f ca="1">_xll.DBRW($B$1,$B$2,$B$7,$B$3,$B$4,$B$5,$F310,$B$6,AC$10,$A310,$B310)</f>
        <v>15026989.887758622</v>
      </c>
      <c r="AD310" s="4">
        <f ca="1">_xll.DBRW($B$1,$B$2,$B$7,$B$3,$B$4,$B$5,$F310,$B$6,AD$10,$A310,$B310)</f>
        <v>13749821.529160559</v>
      </c>
      <c r="AE310" s="4">
        <f ca="1">_xll.DBRW($B$1,$B$2,$B$7,$B$3,$B$4,$B$5,$F310,$B$6,AE$10,$A310,$B310)</f>
        <v>13437541.114584791</v>
      </c>
    </row>
    <row r="311" spans="1:31">
      <c r="A311" s="1" t="s">
        <v>153</v>
      </c>
      <c r="B311" s="5" t="s">
        <v>237</v>
      </c>
      <c r="C311" s="5" t="s">
        <v>238</v>
      </c>
      <c r="D311" s="5" t="s">
        <v>21</v>
      </c>
      <c r="E311" s="5" t="s">
        <v>239</v>
      </c>
      <c r="F311" s="5" t="s">
        <v>25</v>
      </c>
      <c r="G311" s="6"/>
      <c r="H311" s="6"/>
      <c r="I311" s="6"/>
      <c r="J311" s="6"/>
      <c r="K311" s="6"/>
      <c r="L311" s="4">
        <f ca="1">_xll.DBRW($B$1,$B$2,$B$7,$B$3,$B$4,$B$5,$F311,$B$6,L$10,$A311,$B311)</f>
        <v>0</v>
      </c>
      <c r="M311" s="4">
        <f ca="1">_xll.DBRW($B$1,$B$2,$B$7,$B$3,$B$4,$B$5,$F311,$B$6,M$10,$A311,$B311)</f>
        <v>0</v>
      </c>
      <c r="N311" s="4">
        <f ca="1">_xll.DBRW($B$1,$B$2,$B$7,$B$3,$B$4,$B$5,$F311,$B$6,N$10,$A311,$B311)</f>
        <v>0</v>
      </c>
      <c r="O311" s="4">
        <f ca="1">_xll.DBRW($B$1,$B$2,$B$7,$B$3,$B$4,$B$5,$F311,$B$6,O$10,$A311,$B311)</f>
        <v>0</v>
      </c>
      <c r="P311" s="4">
        <f ca="1">_xll.DBRW($B$1,$B$2,$B$7,$B$3,$B$4,$B$5,$F311,$B$6,P$10,$A311,$B311)</f>
        <v>0</v>
      </c>
      <c r="Q311" s="4">
        <f ca="1">_xll.DBRW($B$1,$B$2,$B$7,$B$3,$B$4,$B$5,$F311,$B$6,Q$10,$A311,$B311)</f>
        <v>0</v>
      </c>
      <c r="R311" s="4">
        <f ca="1">_xll.DBRW($B$1,$B$2,$B$7,$B$3,$B$4,$B$5,$F311,$B$6,R$10,$A311,$B311)</f>
        <v>0</v>
      </c>
      <c r="S311" s="4">
        <f ca="1">_xll.DBRW($B$1,$B$2,$B$7,$B$3,$B$4,$B$5,$F311,$B$6,S$10,$A311,$B311)</f>
        <v>0</v>
      </c>
      <c r="T311" s="4">
        <f ca="1">_xll.DBRW($B$1,$B$2,$B$7,$B$3,$B$4,$B$5,$F311,$B$6,T$10,$A311,$B311)</f>
        <v>0</v>
      </c>
      <c r="U311" s="4">
        <f ca="1">_xll.DBRW($B$1,$B$2,$B$7,$B$3,$B$4,$B$5,$F311,$B$6,U$10,$A311,$B311)</f>
        <v>0</v>
      </c>
      <c r="V311" s="4">
        <f ca="1">_xll.DBRW($B$1,$B$2,$B$7,$B$3,$B$4,$B$5,$F311,$B$6,V$10,$A311,$B311)</f>
        <v>2793863.3573469869</v>
      </c>
      <c r="W311" s="4">
        <f ca="1">_xll.DBRW($B$1,$B$2,$B$7,$B$3,$B$4,$B$5,$F311,$B$6,W$10,$A311,$B311)</f>
        <v>46541118.729751572</v>
      </c>
      <c r="X311" s="4">
        <f ca="1">_xll.DBRW($B$1,$B$2,$B$7,$B$3,$B$4,$B$5,$F311,$B$6,X$10,$A311,$B311)</f>
        <v>46748538.137275174</v>
      </c>
      <c r="Y311" s="4">
        <f ca="1">_xll.DBRW($B$1,$B$2,$B$7,$B$3,$B$4,$B$5,$F311,$B$6,Y$10,$A311,$B311)</f>
        <v>47521678.48323039</v>
      </c>
      <c r="Z311" s="4">
        <f ca="1">_xll.DBRW($B$1,$B$2,$B$7,$B$3,$B$4,$B$5,$F311,$B$6,Z$10,$A311,$B311)</f>
        <v>46369028.763138972</v>
      </c>
      <c r="AA311" s="4">
        <f ca="1">_xll.DBRW($B$1,$B$2,$B$7,$B$3,$B$4,$B$5,$F311,$B$6,AA$10,$A311,$B311)</f>
        <v>50085138.320036098</v>
      </c>
      <c r="AB311" s="4">
        <f ca="1">_xll.DBRW($B$1,$B$2,$B$7,$B$3,$B$4,$B$5,$F311,$B$6,AB$10,$A311,$B311)</f>
        <v>46417826.344245389</v>
      </c>
      <c r="AC311" s="4">
        <f ca="1">_xll.DBRW($B$1,$B$2,$B$7,$B$3,$B$4,$B$5,$F311,$B$6,AC$10,$A311,$B311)</f>
        <v>50218939.539067067</v>
      </c>
      <c r="AD311" s="4">
        <f ca="1">_xll.DBRW($B$1,$B$2,$B$7,$B$3,$B$4,$B$5,$F311,$B$6,AD$10,$A311,$B311)</f>
        <v>45008595.160685346</v>
      </c>
      <c r="AE311" s="4">
        <f ca="1">_xll.DBRW($B$1,$B$2,$B$7,$B$3,$B$4,$B$5,$F311,$B$6,AE$10,$A311,$B311)</f>
        <v>46734869.374577135</v>
      </c>
    </row>
    <row r="312" spans="1:31">
      <c r="A312" s="1" t="s">
        <v>153</v>
      </c>
      <c r="B312" s="5" t="s">
        <v>240</v>
      </c>
      <c r="C312" s="5" t="s">
        <v>241</v>
      </c>
      <c r="D312" s="5" t="s">
        <v>239</v>
      </c>
      <c r="E312" s="5" t="s">
        <v>21</v>
      </c>
      <c r="F312" s="5" t="s">
        <v>25</v>
      </c>
      <c r="G312" s="6"/>
      <c r="H312" s="6"/>
      <c r="I312" s="6"/>
      <c r="J312" s="6"/>
      <c r="K312" s="6"/>
      <c r="L312" s="4">
        <f ca="1">_xll.DBRW($B$1,$B$2,$B$7,$B$3,$B$4,$B$5,$F312,$B$6,L$10,$A312,$B312)</f>
        <v>0</v>
      </c>
      <c r="M312" s="4">
        <f ca="1">_xll.DBRW($B$1,$B$2,$B$7,$B$3,$B$4,$B$5,$F312,$B$6,M$10,$A312,$B312)</f>
        <v>0</v>
      </c>
      <c r="N312" s="4">
        <f ca="1">_xll.DBRW($B$1,$B$2,$B$7,$B$3,$B$4,$B$5,$F312,$B$6,N$10,$A312,$B312)</f>
        <v>0</v>
      </c>
      <c r="O312" s="4">
        <f ca="1">_xll.DBRW($B$1,$B$2,$B$7,$B$3,$B$4,$B$5,$F312,$B$6,O$10,$A312,$B312)</f>
        <v>0</v>
      </c>
      <c r="P312" s="4">
        <f ca="1">_xll.DBRW($B$1,$B$2,$B$7,$B$3,$B$4,$B$5,$F312,$B$6,P$10,$A312,$B312)</f>
        <v>0</v>
      </c>
      <c r="Q312" s="4">
        <f ca="1">_xll.DBRW($B$1,$B$2,$B$7,$B$3,$B$4,$B$5,$F312,$B$6,Q$10,$A312,$B312)</f>
        <v>0</v>
      </c>
      <c r="R312" s="4">
        <f ca="1">_xll.DBRW($B$1,$B$2,$B$7,$B$3,$B$4,$B$5,$F312,$B$6,R$10,$A312,$B312)</f>
        <v>0</v>
      </c>
      <c r="S312" s="4">
        <f ca="1">_xll.DBRW($B$1,$B$2,$B$7,$B$3,$B$4,$B$5,$F312,$B$6,S$10,$A312,$B312)</f>
        <v>0</v>
      </c>
      <c r="T312" s="4">
        <f ca="1">_xll.DBRW($B$1,$B$2,$B$7,$B$3,$B$4,$B$5,$F312,$B$6,T$10,$A312,$B312)</f>
        <v>0</v>
      </c>
      <c r="U312" s="4">
        <f ca="1">_xll.DBRW($B$1,$B$2,$B$7,$B$3,$B$4,$B$5,$F312,$B$6,U$10,$A312,$B312)</f>
        <v>0</v>
      </c>
      <c r="V312" s="4">
        <f ca="1">_xll.DBRW($B$1,$B$2,$B$7,$B$3,$B$4,$B$5,$F312,$B$6,V$10,$A312,$B312)</f>
        <v>2793863.3573469869</v>
      </c>
      <c r="W312" s="4">
        <f ca="1">_xll.DBRW($B$1,$B$2,$B$7,$B$3,$B$4,$B$5,$F312,$B$6,W$10,$A312,$B312)</f>
        <v>46541118.729751572</v>
      </c>
      <c r="X312" s="4">
        <f ca="1">_xll.DBRW($B$1,$B$2,$B$7,$B$3,$B$4,$B$5,$F312,$B$6,X$10,$A312,$B312)</f>
        <v>46748538.137275174</v>
      </c>
      <c r="Y312" s="4">
        <f ca="1">_xll.DBRW($B$1,$B$2,$B$7,$B$3,$B$4,$B$5,$F312,$B$6,Y$10,$A312,$B312)</f>
        <v>47521678.48323039</v>
      </c>
      <c r="Z312" s="4">
        <f ca="1">_xll.DBRW($B$1,$B$2,$B$7,$B$3,$B$4,$B$5,$F312,$B$6,Z$10,$A312,$B312)</f>
        <v>46369028.763138972</v>
      </c>
      <c r="AA312" s="4">
        <f ca="1">_xll.DBRW($B$1,$B$2,$B$7,$B$3,$B$4,$B$5,$F312,$B$6,AA$10,$A312,$B312)</f>
        <v>50085138.320036098</v>
      </c>
      <c r="AB312" s="4">
        <f ca="1">_xll.DBRW($B$1,$B$2,$B$7,$B$3,$B$4,$B$5,$F312,$B$6,AB$10,$A312,$B312)</f>
        <v>46417826.344245389</v>
      </c>
      <c r="AC312" s="4">
        <f ca="1">_xll.DBRW($B$1,$B$2,$B$7,$B$3,$B$4,$B$5,$F312,$B$6,AC$10,$A312,$B312)</f>
        <v>48598973.747484259</v>
      </c>
      <c r="AD312" s="4">
        <f ca="1">_xll.DBRW($B$1,$B$2,$B$7,$B$3,$B$4,$B$5,$F312,$B$6,AD$10,$A312,$B312)</f>
        <v>45008595.160685346</v>
      </c>
      <c r="AE312" s="4">
        <f ca="1">_xll.DBRW($B$1,$B$2,$B$7,$B$3,$B$4,$B$5,$F312,$B$6,AE$10,$A312,$B312)</f>
        <v>45227292.943139158</v>
      </c>
    </row>
    <row r="313" spans="1:31">
      <c r="A313" s="1" t="s">
        <v>153</v>
      </c>
      <c r="B313" s="5" t="s">
        <v>242</v>
      </c>
      <c r="C313" s="5" t="s">
        <v>243</v>
      </c>
      <c r="D313" s="5" t="s">
        <v>21</v>
      </c>
      <c r="E313" s="5" t="s">
        <v>244</v>
      </c>
      <c r="F313" s="5" t="s">
        <v>25</v>
      </c>
      <c r="G313" s="6"/>
      <c r="H313" s="6"/>
      <c r="I313" s="6"/>
      <c r="J313" s="6"/>
      <c r="K313" s="6"/>
      <c r="L313" s="4">
        <f ca="1">_xll.DBRW($B$1,$B$2,$B$7,$B$3,$B$4,$B$5,$F313,$B$6,L$10,$A313,$B313)</f>
        <v>15837887</v>
      </c>
      <c r="M313" s="4">
        <f ca="1">_xll.DBRW($B$1,$B$2,$B$7,$B$3,$B$4,$B$5,$F313,$B$6,M$10,$A313,$B313)</f>
        <v>16373329.504187673</v>
      </c>
      <c r="N313" s="4">
        <f ca="1">_xll.DBRW($B$1,$B$2,$B$7,$B$3,$B$4,$B$5,$F313,$B$6,N$10,$A313,$B313)</f>
        <v>15671172.399999999</v>
      </c>
      <c r="O313" s="4">
        <f ca="1">_xll.DBRW($B$1,$B$2,$B$7,$B$3,$B$4,$B$5,$F313,$B$6,O$10,$A313,$B313)</f>
        <v>13401289</v>
      </c>
      <c r="P313" s="4">
        <f ca="1">_xll.DBRW($B$1,$B$2,$B$7,$B$3,$B$4,$B$5,$F313,$B$6,P$10,$A313,$B313)</f>
        <v>15837887.000000004</v>
      </c>
      <c r="Q313" s="4">
        <f ca="1">_xll.DBRW($B$1,$B$2,$B$7,$B$3,$B$4,$B$5,$F313,$B$6,Q$10,$A313,$B313)</f>
        <v>12125731.68</v>
      </c>
      <c r="R313" s="4">
        <f ca="1">_xll.DBRW($B$1,$B$2,$B$7,$B$3,$B$4,$B$5,$F313,$B$6,R$10,$A313,$B313)</f>
        <v>7427845.959999999</v>
      </c>
      <c r="S313" s="4">
        <f ca="1">_xll.DBRW($B$1,$B$2,$B$7,$B$3,$B$4,$B$5,$F313,$B$6,S$10,$A313,$B313)</f>
        <v>12933448.32</v>
      </c>
      <c r="T313" s="4">
        <f ca="1">_xll.DBRW($B$1,$B$2,$B$7,$B$3,$B$4,$B$5,$F313,$B$6,T$10,$A313,$B313)</f>
        <v>14939168.093434777</v>
      </c>
      <c r="U313" s="4">
        <f ca="1">_xll.DBRW($B$1,$B$2,$B$7,$B$3,$B$4,$B$5,$F313,$B$6,U$10,$A313,$B313)</f>
        <v>14590067.282686645</v>
      </c>
      <c r="V313" s="4">
        <f ca="1">_xll.DBRW($B$1,$B$2,$B$7,$B$3,$B$4,$B$5,$F313,$B$6,V$10,$A313,$B313)</f>
        <v>15749760.468932064</v>
      </c>
      <c r="W313" s="4">
        <f ca="1">_xll.DBRW($B$1,$B$2,$B$7,$B$3,$B$4,$B$5,$F313,$B$6,W$10,$A313,$B313)</f>
        <v>11140141.438743988</v>
      </c>
      <c r="X313" s="4">
        <f ca="1">_xll.DBRW($B$1,$B$2,$B$7,$B$3,$B$4,$B$5,$F313,$B$6,X$10,$A313,$B313)</f>
        <v>10162092.16702253</v>
      </c>
      <c r="Y313" s="4">
        <f ca="1">_xll.DBRW($B$1,$B$2,$B$7,$B$3,$B$4,$B$5,$F313,$B$6,Y$10,$A313,$B313)</f>
        <v>11432353.687900349</v>
      </c>
      <c r="Z313" s="4">
        <f ca="1">_xll.DBRW($B$1,$B$2,$B$7,$B$3,$B$4,$B$5,$F313,$B$6,Z$10,$A313,$B313)</f>
        <v>11432353.687900346</v>
      </c>
      <c r="AA313" s="4">
        <f ca="1">_xll.DBRW($B$1,$B$2,$B$7,$B$3,$B$4,$B$5,$F313,$B$6,AA$10,$A313,$B313)</f>
        <v>11432353.687900348</v>
      </c>
      <c r="AB313" s="4">
        <f ca="1">_xll.DBRW($B$1,$B$2,$B$7,$B$3,$B$4,$B$5,$F313,$B$6,AB$10,$A313,$B313)</f>
        <v>10162092.167022532</v>
      </c>
      <c r="AC313" s="4">
        <f ca="1">_xll.DBRW($B$1,$B$2,$B$7,$B$3,$B$4,$B$5,$F313,$B$6,AC$10,$A313,$B313)</f>
        <v>14821726.508529136</v>
      </c>
      <c r="AD313" s="4">
        <f ca="1">_xll.DBRW($B$1,$B$2,$B$7,$B$3,$B$4,$B$5,$F313,$B$6,AD$10,$A313,$B313)</f>
        <v>13562003.819029735</v>
      </c>
      <c r="AE313" s="4">
        <f ca="1">_xll.DBRW($B$1,$B$2,$B$7,$B$3,$B$4,$B$5,$F313,$B$6,AE$10,$A313,$B313)</f>
        <v>14273526.663546085</v>
      </c>
    </row>
    <row r="314" spans="1:31">
      <c r="A314" s="1" t="s">
        <v>153</v>
      </c>
      <c r="B314" s="5" t="s">
        <v>245</v>
      </c>
      <c r="C314" s="5" t="s">
        <v>246</v>
      </c>
      <c r="D314" s="5" t="s">
        <v>244</v>
      </c>
      <c r="E314" s="5" t="s">
        <v>21</v>
      </c>
      <c r="F314" s="5" t="s">
        <v>25</v>
      </c>
      <c r="G314" s="6"/>
      <c r="H314" s="6"/>
      <c r="I314" s="6"/>
      <c r="J314" s="6"/>
      <c r="K314" s="6"/>
      <c r="L314" s="4">
        <f ca="1">_xll.DBRW($B$1,$B$2,$B$7,$B$3,$B$4,$B$5,$F314,$B$6,L$10,$A314,$B314)</f>
        <v>15837887</v>
      </c>
      <c r="M314" s="4">
        <f ca="1">_xll.DBRW($B$1,$B$2,$B$7,$B$3,$B$4,$B$5,$F314,$B$6,M$10,$A314,$B314)</f>
        <v>16373329.504187673</v>
      </c>
      <c r="N314" s="4">
        <f ca="1">_xll.DBRW($B$1,$B$2,$B$7,$B$3,$B$4,$B$5,$F314,$B$6,N$10,$A314,$B314)</f>
        <v>15671172.399999999</v>
      </c>
      <c r="O314" s="4">
        <f ca="1">_xll.DBRW($B$1,$B$2,$B$7,$B$3,$B$4,$B$5,$F314,$B$6,O$10,$A314,$B314)</f>
        <v>13401289</v>
      </c>
      <c r="P314" s="4">
        <f ca="1">_xll.DBRW($B$1,$B$2,$B$7,$B$3,$B$4,$B$5,$F314,$B$6,P$10,$A314,$B314)</f>
        <v>15837887.000000004</v>
      </c>
      <c r="Q314" s="4">
        <f ca="1">_xll.DBRW($B$1,$B$2,$B$7,$B$3,$B$4,$B$5,$F314,$B$6,Q$10,$A314,$B314)</f>
        <v>12125731.68</v>
      </c>
      <c r="R314" s="4">
        <f ca="1">_xll.DBRW($B$1,$B$2,$B$7,$B$3,$B$4,$B$5,$F314,$B$6,R$10,$A314,$B314)</f>
        <v>7427845.959999999</v>
      </c>
      <c r="S314" s="4">
        <f ca="1">_xll.DBRW($B$1,$B$2,$B$7,$B$3,$B$4,$B$5,$F314,$B$6,S$10,$A314,$B314)</f>
        <v>12933448.32</v>
      </c>
      <c r="T314" s="4">
        <f ca="1">_xll.DBRW($B$1,$B$2,$B$7,$B$3,$B$4,$B$5,$F314,$B$6,T$10,$A314,$B314)</f>
        <v>14939168.093434777</v>
      </c>
      <c r="U314" s="4">
        <f ca="1">_xll.DBRW($B$1,$B$2,$B$7,$B$3,$B$4,$B$5,$F314,$B$6,U$10,$A314,$B314)</f>
        <v>14590067.282686645</v>
      </c>
      <c r="V314" s="4">
        <f ca="1">_xll.DBRW($B$1,$B$2,$B$7,$B$3,$B$4,$B$5,$F314,$B$6,V$10,$A314,$B314)</f>
        <v>15749760.468932064</v>
      </c>
      <c r="W314" s="4">
        <f ca="1">_xll.DBRW($B$1,$B$2,$B$7,$B$3,$B$4,$B$5,$F314,$B$6,W$10,$A314,$B314)</f>
        <v>11140141.438743988</v>
      </c>
      <c r="X314" s="4">
        <f ca="1">_xll.DBRW($B$1,$B$2,$B$7,$B$3,$B$4,$B$5,$F314,$B$6,X$10,$A314,$B314)</f>
        <v>10162092.16702253</v>
      </c>
      <c r="Y314" s="4">
        <f ca="1">_xll.DBRW($B$1,$B$2,$B$7,$B$3,$B$4,$B$5,$F314,$B$6,Y$10,$A314,$B314)</f>
        <v>11432353.687900349</v>
      </c>
      <c r="Z314" s="4">
        <f ca="1">_xll.DBRW($B$1,$B$2,$B$7,$B$3,$B$4,$B$5,$F314,$B$6,Z$10,$A314,$B314)</f>
        <v>11432353.687900346</v>
      </c>
      <c r="AA314" s="4">
        <f ca="1">_xll.DBRW($B$1,$B$2,$B$7,$B$3,$B$4,$B$5,$F314,$B$6,AA$10,$A314,$B314)</f>
        <v>11432353.687900348</v>
      </c>
      <c r="AB314" s="4">
        <f ca="1">_xll.DBRW($B$1,$B$2,$B$7,$B$3,$B$4,$B$5,$F314,$B$6,AB$10,$A314,$B314)</f>
        <v>10162092.167022532</v>
      </c>
      <c r="AC314" s="4">
        <f ca="1">_xll.DBRW($B$1,$B$2,$B$7,$B$3,$B$4,$B$5,$F314,$B$6,AC$10,$A314,$B314)</f>
        <v>14821726.508529136</v>
      </c>
      <c r="AD314" s="4">
        <f ca="1">_xll.DBRW($B$1,$B$2,$B$7,$B$3,$B$4,$B$5,$F314,$B$6,AD$10,$A314,$B314)</f>
        <v>13562003.819029735</v>
      </c>
      <c r="AE314" s="4">
        <f ca="1">_xll.DBRW($B$1,$B$2,$B$7,$B$3,$B$4,$B$5,$F314,$B$6,AE$10,$A314,$B314)</f>
        <v>14273526.663546085</v>
      </c>
    </row>
    <row r="315" spans="1:31">
      <c r="A315" s="1" t="s">
        <v>153</v>
      </c>
      <c r="B315" s="5" t="s">
        <v>247</v>
      </c>
      <c r="C315" s="5" t="s">
        <v>248</v>
      </c>
      <c r="D315" s="5" t="s">
        <v>21</v>
      </c>
      <c r="E315" s="5" t="s">
        <v>249</v>
      </c>
      <c r="F315" s="5" t="s">
        <v>25</v>
      </c>
      <c r="G315" s="6"/>
      <c r="H315" s="6"/>
      <c r="I315" s="6"/>
      <c r="J315" s="6"/>
      <c r="K315" s="6"/>
      <c r="L315" s="4">
        <f ca="1">_xll.DBRW($B$1,$B$2,$B$7,$B$3,$B$4,$B$5,$F315,$B$6,L$10,$A315,$B315)</f>
        <v>0</v>
      </c>
      <c r="M315" s="4">
        <f ca="1">_xll.DBRW($B$1,$B$2,$B$7,$B$3,$B$4,$B$5,$F315,$B$6,M$10,$A315,$B315)</f>
        <v>0</v>
      </c>
      <c r="N315" s="4">
        <f ca="1">_xll.DBRW($B$1,$B$2,$B$7,$B$3,$B$4,$B$5,$F315,$B$6,N$10,$A315,$B315)</f>
        <v>0</v>
      </c>
      <c r="O315" s="4">
        <f ca="1">_xll.DBRW($B$1,$B$2,$B$7,$B$3,$B$4,$B$5,$F315,$B$6,O$10,$A315,$B315)</f>
        <v>0</v>
      </c>
      <c r="P315" s="4">
        <f ca="1">_xll.DBRW($B$1,$B$2,$B$7,$B$3,$B$4,$B$5,$F315,$B$6,P$10,$A315,$B315)</f>
        <v>0</v>
      </c>
      <c r="Q315" s="4">
        <f ca="1">_xll.DBRW($B$1,$B$2,$B$7,$B$3,$B$4,$B$5,$F315,$B$6,Q$10,$A315,$B315)</f>
        <v>0</v>
      </c>
      <c r="R315" s="4">
        <f ca="1">_xll.DBRW($B$1,$B$2,$B$7,$B$3,$B$4,$B$5,$F315,$B$6,R$10,$A315,$B315)</f>
        <v>0</v>
      </c>
      <c r="S315" s="4">
        <f ca="1">_xll.DBRW($B$1,$B$2,$B$7,$B$3,$B$4,$B$5,$F315,$B$6,S$10,$A315,$B315)</f>
        <v>0</v>
      </c>
      <c r="T315" s="4">
        <f ca="1">_xll.DBRW($B$1,$B$2,$B$7,$B$3,$B$4,$B$5,$F315,$B$6,T$10,$A315,$B315)</f>
        <v>0</v>
      </c>
      <c r="U315" s="4">
        <f ca="1">_xll.DBRW($B$1,$B$2,$B$7,$B$3,$B$4,$B$5,$F315,$B$6,U$10,$A315,$B315)</f>
        <v>0</v>
      </c>
      <c r="V315" s="4">
        <f ca="1">_xll.DBRW($B$1,$B$2,$B$7,$B$3,$B$4,$B$5,$F315,$B$6,V$10,$A315,$B315)</f>
        <v>0</v>
      </c>
      <c r="W315" s="4">
        <f ca="1">_xll.DBRW($B$1,$B$2,$B$7,$B$3,$B$4,$B$5,$F315,$B$6,W$10,$A315,$B315)</f>
        <v>0</v>
      </c>
      <c r="X315" s="4">
        <f ca="1">_xll.DBRW($B$1,$B$2,$B$7,$B$3,$B$4,$B$5,$F315,$B$6,X$10,$A315,$B315)</f>
        <v>0</v>
      </c>
      <c r="Y315" s="4">
        <f ca="1">_xll.DBRW($B$1,$B$2,$B$7,$B$3,$B$4,$B$5,$F315,$B$6,Y$10,$A315,$B315)</f>
        <v>0</v>
      </c>
      <c r="Z315" s="4">
        <f ca="1">_xll.DBRW($B$1,$B$2,$B$7,$B$3,$B$4,$B$5,$F315,$B$6,Z$10,$A315,$B315)</f>
        <v>0</v>
      </c>
      <c r="AA315" s="4">
        <f ca="1">_xll.DBRW($B$1,$B$2,$B$7,$B$3,$B$4,$B$5,$F315,$B$6,AA$10,$A315,$B315)</f>
        <v>0</v>
      </c>
      <c r="AB315" s="4">
        <f ca="1">_xll.DBRW($B$1,$B$2,$B$7,$B$3,$B$4,$B$5,$F315,$B$6,AB$10,$A315,$B315)</f>
        <v>0</v>
      </c>
      <c r="AC315" s="4">
        <f ca="1">_xll.DBRW($B$1,$B$2,$B$7,$B$3,$B$4,$B$5,$F315,$B$6,AC$10,$A315,$B315)</f>
        <v>0</v>
      </c>
      <c r="AD315" s="4">
        <f ca="1">_xll.DBRW($B$1,$B$2,$B$7,$B$3,$B$4,$B$5,$F315,$B$6,AD$10,$A315,$B315)</f>
        <v>0</v>
      </c>
      <c r="AE315" s="4">
        <f ca="1">_xll.DBRW($B$1,$B$2,$B$7,$B$3,$B$4,$B$5,$F315,$B$6,AE$10,$A315,$B315)</f>
        <v>21836950.559960358</v>
      </c>
    </row>
    <row r="316" spans="1:31">
      <c r="A316" s="1" t="s">
        <v>153</v>
      </c>
      <c r="B316" s="5" t="s">
        <v>250</v>
      </c>
      <c r="C316" s="5" t="s">
        <v>251</v>
      </c>
      <c r="D316" s="5" t="s">
        <v>249</v>
      </c>
      <c r="E316" s="5" t="s">
        <v>21</v>
      </c>
      <c r="F316" s="5" t="s">
        <v>25</v>
      </c>
      <c r="G316" s="6"/>
      <c r="H316" s="6"/>
      <c r="I316" s="6"/>
      <c r="J316" s="6"/>
      <c r="K316" s="6"/>
      <c r="L316" s="4">
        <f ca="1">_xll.DBRW($B$1,$B$2,$B$7,$B$3,$B$4,$B$5,$F316,$B$6,L$10,$A316,$B316)</f>
        <v>0</v>
      </c>
      <c r="M316" s="4">
        <f ca="1">_xll.DBRW($B$1,$B$2,$B$7,$B$3,$B$4,$B$5,$F316,$B$6,M$10,$A316,$B316)</f>
        <v>0</v>
      </c>
      <c r="N316" s="4">
        <f ca="1">_xll.DBRW($B$1,$B$2,$B$7,$B$3,$B$4,$B$5,$F316,$B$6,N$10,$A316,$B316)</f>
        <v>0</v>
      </c>
      <c r="O316" s="4">
        <f ca="1">_xll.DBRW($B$1,$B$2,$B$7,$B$3,$B$4,$B$5,$F316,$B$6,O$10,$A316,$B316)</f>
        <v>0</v>
      </c>
      <c r="P316" s="4">
        <f ca="1">_xll.DBRW($B$1,$B$2,$B$7,$B$3,$B$4,$B$5,$F316,$B$6,P$10,$A316,$B316)</f>
        <v>0</v>
      </c>
      <c r="Q316" s="4">
        <f ca="1">_xll.DBRW($B$1,$B$2,$B$7,$B$3,$B$4,$B$5,$F316,$B$6,Q$10,$A316,$B316)</f>
        <v>0</v>
      </c>
      <c r="R316" s="4">
        <f ca="1">_xll.DBRW($B$1,$B$2,$B$7,$B$3,$B$4,$B$5,$F316,$B$6,R$10,$A316,$B316)</f>
        <v>0</v>
      </c>
      <c r="S316" s="4">
        <f ca="1">_xll.DBRW($B$1,$B$2,$B$7,$B$3,$B$4,$B$5,$F316,$B$6,S$10,$A316,$B316)</f>
        <v>0</v>
      </c>
      <c r="T316" s="4">
        <f ca="1">_xll.DBRW($B$1,$B$2,$B$7,$B$3,$B$4,$B$5,$F316,$B$6,T$10,$A316,$B316)</f>
        <v>0</v>
      </c>
      <c r="U316" s="4">
        <f ca="1">_xll.DBRW($B$1,$B$2,$B$7,$B$3,$B$4,$B$5,$F316,$B$6,U$10,$A316,$B316)</f>
        <v>0</v>
      </c>
      <c r="V316" s="4">
        <f ca="1">_xll.DBRW($B$1,$B$2,$B$7,$B$3,$B$4,$B$5,$F316,$B$6,V$10,$A316,$B316)</f>
        <v>0</v>
      </c>
      <c r="W316" s="4">
        <f ca="1">_xll.DBRW($B$1,$B$2,$B$7,$B$3,$B$4,$B$5,$F316,$B$6,W$10,$A316,$B316)</f>
        <v>0</v>
      </c>
      <c r="X316" s="4">
        <f ca="1">_xll.DBRW($B$1,$B$2,$B$7,$B$3,$B$4,$B$5,$F316,$B$6,X$10,$A316,$B316)</f>
        <v>0</v>
      </c>
      <c r="Y316" s="4">
        <f ca="1">_xll.DBRW($B$1,$B$2,$B$7,$B$3,$B$4,$B$5,$F316,$B$6,Y$10,$A316,$B316)</f>
        <v>0</v>
      </c>
      <c r="Z316" s="4">
        <f ca="1">_xll.DBRW($B$1,$B$2,$B$7,$B$3,$B$4,$B$5,$F316,$B$6,Z$10,$A316,$B316)</f>
        <v>0</v>
      </c>
      <c r="AA316" s="4">
        <f ca="1">_xll.DBRW($B$1,$B$2,$B$7,$B$3,$B$4,$B$5,$F316,$B$6,AA$10,$A316,$B316)</f>
        <v>0</v>
      </c>
      <c r="AB316" s="4">
        <f ca="1">_xll.DBRW($B$1,$B$2,$B$7,$B$3,$B$4,$B$5,$F316,$B$6,AB$10,$A316,$B316)</f>
        <v>0</v>
      </c>
      <c r="AC316" s="4">
        <f ca="1">_xll.DBRW($B$1,$B$2,$B$7,$B$3,$B$4,$B$5,$F316,$B$6,AC$10,$A316,$B316)</f>
        <v>0</v>
      </c>
      <c r="AD316" s="4">
        <f ca="1">_xll.DBRW($B$1,$B$2,$B$7,$B$3,$B$4,$B$5,$F316,$B$6,AD$10,$A316,$B316)</f>
        <v>0</v>
      </c>
      <c r="AE316" s="4">
        <f ca="1">_xll.DBRW($B$1,$B$2,$B$7,$B$3,$B$4,$B$5,$F316,$B$6,AE$10,$A316,$B316)</f>
        <v>21836950.559960358</v>
      </c>
    </row>
    <row r="317" spans="1:31">
      <c r="A317" s="1" t="s">
        <v>153</v>
      </c>
      <c r="B317" s="5" t="s">
        <v>252</v>
      </c>
      <c r="C317" s="5" t="s">
        <v>226</v>
      </c>
      <c r="D317" s="5" t="s">
        <v>21</v>
      </c>
      <c r="E317" s="5" t="s">
        <v>227</v>
      </c>
      <c r="F317" s="5" t="s">
        <v>25</v>
      </c>
      <c r="G317" s="6"/>
      <c r="H317" s="6"/>
      <c r="I317" s="6"/>
      <c r="J317" s="6"/>
      <c r="K317" s="6"/>
      <c r="L317" s="4">
        <f ca="1">_xll.DBRW($B$1,$B$2,$B$7,$B$3,$B$4,$B$5,$F317,$B$6,L$10,$A317,$B317)</f>
        <v>4147126.5</v>
      </c>
      <c r="M317" s="4">
        <f ca="1">_xll.DBRW($B$1,$B$2,$B$7,$B$3,$B$4,$B$5,$F317,$B$6,M$10,$A317,$B317)</f>
        <v>0</v>
      </c>
      <c r="N317" s="4">
        <f ca="1">_xll.DBRW($B$1,$B$2,$B$7,$B$3,$B$4,$B$5,$F317,$B$6,N$10,$A317,$B317)</f>
        <v>0</v>
      </c>
      <c r="O317" s="4">
        <f ca="1">_xll.DBRW($B$1,$B$2,$B$7,$B$3,$B$4,$B$5,$F317,$B$6,O$10,$A317,$B317)</f>
        <v>0</v>
      </c>
      <c r="P317" s="4">
        <f ca="1">_xll.DBRW($B$1,$B$2,$B$7,$B$3,$B$4,$B$5,$F317,$B$6,P$10,$A317,$B317)</f>
        <v>0</v>
      </c>
      <c r="Q317" s="4">
        <f ca="1">_xll.DBRW($B$1,$B$2,$B$7,$B$3,$B$4,$B$5,$F317,$B$6,Q$10,$A317,$B317)</f>
        <v>0</v>
      </c>
      <c r="R317" s="4">
        <f ca="1">_xll.DBRW($B$1,$B$2,$B$7,$B$3,$B$4,$B$5,$F317,$B$6,R$10,$A317,$B317)</f>
        <v>0</v>
      </c>
      <c r="S317" s="4">
        <f ca="1">_xll.DBRW($B$1,$B$2,$B$7,$B$3,$B$4,$B$5,$F317,$B$6,S$10,$A317,$B317)</f>
        <v>9802299</v>
      </c>
      <c r="T317" s="4">
        <f ca="1">_xll.DBRW($B$1,$B$2,$B$7,$B$3,$B$4,$B$5,$F317,$B$6,T$10,$A317,$B317)</f>
        <v>11919700.495744951</v>
      </c>
      <c r="U317" s="4">
        <f ca="1">_xll.DBRW($B$1,$B$2,$B$7,$B$3,$B$4,$B$5,$F317,$B$6,U$10,$A317,$B317)</f>
        <v>13656117.733430859</v>
      </c>
      <c r="V317" s="4">
        <f ca="1">_xll.DBRW($B$1,$B$2,$B$7,$B$3,$B$4,$B$5,$F317,$B$6,V$10,$A317,$B317)</f>
        <v>11902809.650553547</v>
      </c>
      <c r="W317" s="4">
        <f ca="1">_xll.DBRW($B$1,$B$2,$B$7,$B$3,$B$4,$B$5,$F317,$B$6,W$10,$A317,$B317)</f>
        <v>0</v>
      </c>
      <c r="X317" s="4">
        <f ca="1">_xll.DBRW($B$1,$B$2,$B$7,$B$3,$B$4,$B$5,$F317,$B$6,X$10,$A317,$B317)</f>
        <v>0</v>
      </c>
      <c r="Y317" s="4">
        <f ca="1">_xll.DBRW($B$1,$B$2,$B$7,$B$3,$B$4,$B$5,$F317,$B$6,Y$10,$A317,$B317)</f>
        <v>0</v>
      </c>
      <c r="Z317" s="4">
        <f ca="1">_xll.DBRW($B$1,$B$2,$B$7,$B$3,$B$4,$B$5,$F317,$B$6,Z$10,$A317,$B317)</f>
        <v>0</v>
      </c>
      <c r="AA317" s="4">
        <f ca="1">_xll.DBRW($B$1,$B$2,$B$7,$B$3,$B$4,$B$5,$F317,$B$6,AA$10,$A317,$B317)</f>
        <v>0</v>
      </c>
      <c r="AB317" s="4">
        <f ca="1">_xll.DBRW($B$1,$B$2,$B$7,$B$3,$B$4,$B$5,$F317,$B$6,AB$10,$A317,$B317)</f>
        <v>0</v>
      </c>
      <c r="AC317" s="4">
        <f ca="1">_xll.DBRW($B$1,$B$2,$B$7,$B$3,$B$4,$B$5,$F317,$B$6,AC$10,$A317,$B317)</f>
        <v>1187625.7878664327</v>
      </c>
      <c r="AD317" s="4">
        <f ca="1">_xll.DBRW($B$1,$B$2,$B$7,$B$3,$B$4,$B$5,$F317,$B$6,AD$10,$A317,$B317)</f>
        <v>8366135.3473984757</v>
      </c>
      <c r="AE317" s="4">
        <f ca="1">_xll.DBRW($B$1,$B$2,$B$7,$B$3,$B$4,$B$5,$F317,$B$6,AE$10,$A317,$B317)</f>
        <v>9782470.5755766071</v>
      </c>
    </row>
    <row r="318" spans="1:31">
      <c r="A318" s="1" t="s">
        <v>153</v>
      </c>
      <c r="B318" s="5" t="s">
        <v>253</v>
      </c>
      <c r="C318" s="5" t="s">
        <v>229</v>
      </c>
      <c r="D318" s="5" t="s">
        <v>227</v>
      </c>
      <c r="E318" s="5" t="s">
        <v>21</v>
      </c>
      <c r="F318" s="5" t="s">
        <v>25</v>
      </c>
      <c r="G318" s="6"/>
      <c r="H318" s="6"/>
      <c r="I318" s="6"/>
      <c r="J318" s="6"/>
      <c r="K318" s="6"/>
      <c r="L318" s="4">
        <f ca="1">_xll.DBRW($B$1,$B$2,$B$7,$B$3,$B$4,$B$5,$F318,$B$6,L$10,$A318,$B318)</f>
        <v>4147126.5</v>
      </c>
      <c r="M318" s="4">
        <f ca="1">_xll.DBRW($B$1,$B$2,$B$7,$B$3,$B$4,$B$5,$F318,$B$6,M$10,$A318,$B318)</f>
        <v>0</v>
      </c>
      <c r="N318" s="4">
        <f ca="1">_xll.DBRW($B$1,$B$2,$B$7,$B$3,$B$4,$B$5,$F318,$B$6,N$10,$A318,$B318)</f>
        <v>0</v>
      </c>
      <c r="O318" s="4">
        <f ca="1">_xll.DBRW($B$1,$B$2,$B$7,$B$3,$B$4,$B$5,$F318,$B$6,O$10,$A318,$B318)</f>
        <v>0</v>
      </c>
      <c r="P318" s="4">
        <f ca="1">_xll.DBRW($B$1,$B$2,$B$7,$B$3,$B$4,$B$5,$F318,$B$6,P$10,$A318,$B318)</f>
        <v>0</v>
      </c>
      <c r="Q318" s="4">
        <f ca="1">_xll.DBRW($B$1,$B$2,$B$7,$B$3,$B$4,$B$5,$F318,$B$6,Q$10,$A318,$B318)</f>
        <v>0</v>
      </c>
      <c r="R318" s="4">
        <f ca="1">_xll.DBRW($B$1,$B$2,$B$7,$B$3,$B$4,$B$5,$F318,$B$6,R$10,$A318,$B318)</f>
        <v>0</v>
      </c>
      <c r="S318" s="4">
        <f ca="1">_xll.DBRW($B$1,$B$2,$B$7,$B$3,$B$4,$B$5,$F318,$B$6,S$10,$A318,$B318)</f>
        <v>9802299</v>
      </c>
      <c r="T318" s="4">
        <f ca="1">_xll.DBRW($B$1,$B$2,$B$7,$B$3,$B$4,$B$5,$F318,$B$6,T$10,$A318,$B318)</f>
        <v>11919700.495744951</v>
      </c>
      <c r="U318" s="4">
        <f ca="1">_xll.DBRW($B$1,$B$2,$B$7,$B$3,$B$4,$B$5,$F318,$B$6,U$10,$A318,$B318)</f>
        <v>13656117.733430859</v>
      </c>
      <c r="V318" s="4">
        <f ca="1">_xll.DBRW($B$1,$B$2,$B$7,$B$3,$B$4,$B$5,$F318,$B$6,V$10,$A318,$B318)</f>
        <v>11902809.650553547</v>
      </c>
      <c r="W318" s="4">
        <f ca="1">_xll.DBRW($B$1,$B$2,$B$7,$B$3,$B$4,$B$5,$F318,$B$6,W$10,$A318,$B318)</f>
        <v>0</v>
      </c>
      <c r="X318" s="4">
        <f ca="1">_xll.DBRW($B$1,$B$2,$B$7,$B$3,$B$4,$B$5,$F318,$B$6,X$10,$A318,$B318)</f>
        <v>0</v>
      </c>
      <c r="Y318" s="4">
        <f ca="1">_xll.DBRW($B$1,$B$2,$B$7,$B$3,$B$4,$B$5,$F318,$B$6,Y$10,$A318,$B318)</f>
        <v>0</v>
      </c>
      <c r="Z318" s="4">
        <f ca="1">_xll.DBRW($B$1,$B$2,$B$7,$B$3,$B$4,$B$5,$F318,$B$6,Z$10,$A318,$B318)</f>
        <v>0</v>
      </c>
      <c r="AA318" s="4">
        <f ca="1">_xll.DBRW($B$1,$B$2,$B$7,$B$3,$B$4,$B$5,$F318,$B$6,AA$10,$A318,$B318)</f>
        <v>0</v>
      </c>
      <c r="AB318" s="4">
        <f ca="1">_xll.DBRW($B$1,$B$2,$B$7,$B$3,$B$4,$B$5,$F318,$B$6,AB$10,$A318,$B318)</f>
        <v>0</v>
      </c>
      <c r="AC318" s="4">
        <f ca="1">_xll.DBRW($B$1,$B$2,$B$7,$B$3,$B$4,$B$5,$F318,$B$6,AC$10,$A318,$B318)</f>
        <v>1187625.7878664327</v>
      </c>
      <c r="AD318" s="4">
        <f ca="1">_xll.DBRW($B$1,$B$2,$B$7,$B$3,$B$4,$B$5,$F318,$B$6,AD$10,$A318,$B318)</f>
        <v>8366135.3473984757</v>
      </c>
      <c r="AE318" s="4">
        <f ca="1">_xll.DBRW($B$1,$B$2,$B$7,$B$3,$B$4,$B$5,$F318,$B$6,AE$10,$A318,$B318)</f>
        <v>9782470.5755766071</v>
      </c>
    </row>
    <row r="319" spans="1:31">
      <c r="A319" s="1" t="s">
        <v>153</v>
      </c>
      <c r="B319" s="5" t="s">
        <v>254</v>
      </c>
      <c r="C319" s="5" t="s">
        <v>255</v>
      </c>
      <c r="D319" s="5" t="s">
        <v>60</v>
      </c>
      <c r="E319" s="5" t="s">
        <v>59</v>
      </c>
      <c r="F319" s="5" t="s">
        <v>25</v>
      </c>
      <c r="G319" s="6"/>
      <c r="H319" s="6"/>
      <c r="I319" s="6"/>
      <c r="J319" s="6"/>
      <c r="K319" s="6"/>
      <c r="L319" s="4">
        <f ca="1">_xll.DBRW($B$1,$B$2,$B$7,$B$3,$B$4,$B$5,$F319,$B$6,L$10,$A319,$B319)</f>
        <v>15685020</v>
      </c>
      <c r="M319" s="4">
        <f ca="1">_xll.DBRW($B$1,$B$2,$B$7,$B$3,$B$4,$B$5,$F319,$B$6,M$10,$A319,$B319)</f>
        <v>14491374.590464288</v>
      </c>
      <c r="N319" s="4">
        <f ca="1">_xll.DBRW($B$1,$B$2,$B$7,$B$3,$B$4,$B$5,$F319,$B$6,N$10,$A319,$B319)</f>
        <v>18037773</v>
      </c>
      <c r="O319" s="4">
        <f ca="1">_xll.DBRW($B$1,$B$2,$B$7,$B$3,$B$4,$B$5,$F319,$B$6,O$10,$A319,$B319)</f>
        <v>14116518</v>
      </c>
      <c r="P319" s="4">
        <f ca="1">_xll.DBRW($B$1,$B$2,$B$7,$B$3,$B$4,$B$5,$F319,$B$6,P$10,$A319,$B319)</f>
        <v>15336464.000000002</v>
      </c>
      <c r="Q319" s="4">
        <f ca="1">_xll.DBRW($B$1,$B$2,$B$7,$B$3,$B$4,$B$5,$F319,$B$6,Q$10,$A319,$B319)</f>
        <v>15685020</v>
      </c>
      <c r="R319" s="4">
        <f ca="1">_xll.DBRW($B$1,$B$2,$B$7,$B$3,$B$4,$B$5,$F319,$B$6,R$10,$A319,$B319)</f>
        <v>0</v>
      </c>
      <c r="S319" s="4">
        <f ca="1">_xll.DBRW($B$1,$B$2,$B$7,$B$3,$B$4,$B$5,$F319,$B$6,S$10,$A319,$B319)</f>
        <v>0</v>
      </c>
      <c r="T319" s="4">
        <f ca="1">_xll.DBRW($B$1,$B$2,$B$7,$B$3,$B$4,$B$5,$F319,$B$6,T$10,$A319,$B319)</f>
        <v>0</v>
      </c>
      <c r="U319" s="4">
        <f ca="1">_xll.DBRW($B$1,$B$2,$B$7,$B$3,$B$4,$B$5,$F319,$B$6,U$10,$A319,$B319)</f>
        <v>0</v>
      </c>
      <c r="V319" s="4">
        <f ca="1">_xll.DBRW($B$1,$B$2,$B$7,$B$3,$B$4,$B$5,$F319,$B$6,V$10,$A319,$B319)</f>
        <v>0</v>
      </c>
      <c r="W319" s="4">
        <f ca="1">_xll.DBRW($B$1,$B$2,$B$7,$B$3,$B$4,$B$5,$F319,$B$6,W$10,$A319,$B319)</f>
        <v>13747692.859877253</v>
      </c>
      <c r="X319" s="4">
        <f ca="1">_xll.DBRW($B$1,$B$2,$B$7,$B$3,$B$4,$B$5,$F319,$B$6,X$10,$A319,$B319)</f>
        <v>14994202.983947296</v>
      </c>
      <c r="Y319" s="4">
        <f ca="1">_xll.DBRW($B$1,$B$2,$B$7,$B$3,$B$4,$B$5,$F319,$B$6,Y$10,$A319,$B319)</f>
        <v>15642678.265057513</v>
      </c>
      <c r="Z319" s="4">
        <f ca="1">_xll.DBRW($B$1,$B$2,$B$7,$B$3,$B$4,$B$5,$F319,$B$6,Z$10,$A319,$B319)</f>
        <v>19017145.309788011</v>
      </c>
      <c r="AA319" s="4">
        <f ca="1">_xll.DBRW($B$1,$B$2,$B$7,$B$3,$B$4,$B$5,$F319,$B$6,AA$10,$A319,$B319)</f>
        <v>13516758.24081351</v>
      </c>
      <c r="AB319" s="4">
        <f ca="1">_xll.DBRW($B$1,$B$2,$B$7,$B$3,$B$4,$B$5,$F319,$B$6,AB$10,$A319,$B319)</f>
        <v>14812192.899105828</v>
      </c>
      <c r="AC319" s="4">
        <f ca="1">_xll.DBRW($B$1,$B$2,$B$7,$B$3,$B$4,$B$5,$F319,$B$6,AC$10,$A319,$B319)</f>
        <v>14657998.339140676</v>
      </c>
      <c r="AD319" s="4">
        <f ca="1">_xll.DBRW($B$1,$B$2,$B$7,$B$3,$B$4,$B$5,$F319,$B$6,AD$10,$A319,$B319)</f>
        <v>0</v>
      </c>
      <c r="AE319" s="4">
        <f ca="1">_xll.DBRW($B$1,$B$2,$B$7,$B$3,$B$4,$B$5,$F319,$B$6,AE$10,$A319,$B319)</f>
        <v>0</v>
      </c>
    </row>
    <row r="320" spans="1:31">
      <c r="A320" s="1" t="s">
        <v>153</v>
      </c>
      <c r="B320" s="5" t="s">
        <v>57</v>
      </c>
      <c r="C320" s="5" t="s">
        <v>58</v>
      </c>
      <c r="D320" s="5" t="s">
        <v>59</v>
      </c>
      <c r="E320" s="5" t="s">
        <v>60</v>
      </c>
      <c r="F320" s="5" t="s">
        <v>25</v>
      </c>
      <c r="G320" s="6"/>
      <c r="H320" s="6"/>
      <c r="I320" s="6"/>
      <c r="J320" s="6"/>
      <c r="K320" s="6"/>
      <c r="L320" s="4">
        <f ca="1">_xll.DBRW($B$1,$B$2,$B$7,$B$3,$B$4,$B$5,$F320,$B$6,L$10,$A320,$B320)</f>
        <v>15685020</v>
      </c>
      <c r="M320" s="4">
        <f ca="1">_xll.DBRW($B$1,$B$2,$B$7,$B$3,$B$4,$B$5,$F320,$B$6,M$10,$A320,$B320)</f>
        <v>12881221.858190479</v>
      </c>
      <c r="N320" s="4">
        <f ca="1">_xll.DBRW($B$1,$B$2,$B$7,$B$3,$B$4,$B$5,$F320,$B$6,N$10,$A320,$B320)</f>
        <v>18037773</v>
      </c>
      <c r="O320" s="4">
        <f ca="1">_xll.DBRW($B$1,$B$2,$B$7,$B$3,$B$4,$B$5,$F320,$B$6,O$10,$A320,$B320)</f>
        <v>14116518</v>
      </c>
      <c r="P320" s="4">
        <f ca="1">_xll.DBRW($B$1,$B$2,$B$7,$B$3,$B$4,$B$5,$F320,$B$6,P$10,$A320,$B320)</f>
        <v>15336464.000000002</v>
      </c>
      <c r="Q320" s="4">
        <f ca="1">_xll.DBRW($B$1,$B$2,$B$7,$B$3,$B$4,$B$5,$F320,$B$6,Q$10,$A320,$B320)</f>
        <v>15685020</v>
      </c>
      <c r="R320" s="4">
        <f ca="1">_xll.DBRW($B$1,$B$2,$B$7,$B$3,$B$4,$B$5,$F320,$B$6,R$10,$A320,$B320)</f>
        <v>0</v>
      </c>
      <c r="S320" s="4">
        <f ca="1">_xll.DBRW($B$1,$B$2,$B$7,$B$3,$B$4,$B$5,$F320,$B$6,S$10,$A320,$B320)</f>
        <v>0</v>
      </c>
      <c r="T320" s="4">
        <f ca="1">_xll.DBRW($B$1,$B$2,$B$7,$B$3,$B$4,$B$5,$F320,$B$6,T$10,$A320,$B320)</f>
        <v>0</v>
      </c>
      <c r="U320" s="4">
        <f ca="1">_xll.DBRW($B$1,$B$2,$B$7,$B$3,$B$4,$B$5,$F320,$B$6,U$10,$A320,$B320)</f>
        <v>0</v>
      </c>
      <c r="V320" s="4">
        <f ca="1">_xll.DBRW($B$1,$B$2,$B$7,$B$3,$B$4,$B$5,$F320,$B$6,V$10,$A320,$B320)</f>
        <v>0</v>
      </c>
      <c r="W320" s="4">
        <f ca="1">_xll.DBRW($B$1,$B$2,$B$7,$B$3,$B$4,$B$5,$F320,$B$6,W$10,$A320,$B320)</f>
        <v>13747692.859877253</v>
      </c>
      <c r="X320" s="4">
        <f ca="1">_xll.DBRW($B$1,$B$2,$B$7,$B$3,$B$4,$B$5,$F320,$B$6,X$10,$A320,$B320)</f>
        <v>14994202.983947296</v>
      </c>
      <c r="Y320" s="4">
        <f ca="1">_xll.DBRW($B$1,$B$2,$B$7,$B$3,$B$4,$B$5,$F320,$B$6,Y$10,$A320,$B320)</f>
        <v>15642678.265057513</v>
      </c>
      <c r="Z320" s="4">
        <f ca="1">_xll.DBRW($B$1,$B$2,$B$7,$B$3,$B$4,$B$5,$F320,$B$6,Z$10,$A320,$B320)</f>
        <v>19017145.309788011</v>
      </c>
      <c r="AA320" s="4">
        <f ca="1">_xll.DBRW($B$1,$B$2,$B$7,$B$3,$B$4,$B$5,$F320,$B$6,AA$10,$A320,$B320)</f>
        <v>13516758.24081351</v>
      </c>
      <c r="AB320" s="4">
        <f ca="1">_xll.DBRW($B$1,$B$2,$B$7,$B$3,$B$4,$B$5,$F320,$B$6,AB$10,$A320,$B320)</f>
        <v>16663717.011494055</v>
      </c>
      <c r="AC320" s="4">
        <f ca="1">_xll.DBRW($B$1,$B$2,$B$7,$B$3,$B$4,$B$5,$F320,$B$6,AC$10,$A320,$B320)</f>
        <v>12825748.546748091</v>
      </c>
      <c r="AD320" s="4">
        <f ca="1">_xll.DBRW($B$1,$B$2,$B$7,$B$3,$B$4,$B$5,$F320,$B$6,AD$10,$A320,$B320)</f>
        <v>0</v>
      </c>
      <c r="AE320" s="4">
        <f ca="1">_xll.DBRW($B$1,$B$2,$B$7,$B$3,$B$4,$B$5,$F320,$B$6,AE$10,$A320,$B320)</f>
        <v>0</v>
      </c>
    </row>
    <row r="321" spans="1:31">
      <c r="A321" s="1" t="s">
        <v>153</v>
      </c>
      <c r="B321" s="5" t="s">
        <v>256</v>
      </c>
      <c r="C321" s="5" t="s">
        <v>206</v>
      </c>
      <c r="D321" s="5" t="s">
        <v>21</v>
      </c>
      <c r="E321" s="5" t="s">
        <v>181</v>
      </c>
      <c r="F321" s="5" t="s">
        <v>25</v>
      </c>
      <c r="G321" s="6"/>
      <c r="H321" s="6"/>
      <c r="I321" s="6"/>
      <c r="J321" s="6"/>
      <c r="K321" s="6"/>
      <c r="L321" s="4">
        <f ca="1">_xll.DBRW($B$1,$B$2,$B$7,$B$3,$B$4,$B$5,$F321,$B$6,L$10,$A321,$B321)</f>
        <v>0</v>
      </c>
      <c r="M321" s="4">
        <f ca="1">_xll.DBRW($B$1,$B$2,$B$7,$B$3,$B$4,$B$5,$F321,$B$6,M$10,$A321,$B321)</f>
        <v>0</v>
      </c>
      <c r="N321" s="4">
        <f ca="1">_xll.DBRW($B$1,$B$2,$B$7,$B$3,$B$4,$B$5,$F321,$B$6,N$10,$A321,$B321)</f>
        <v>0</v>
      </c>
      <c r="O321" s="4">
        <f ca="1">_xll.DBRW($B$1,$B$2,$B$7,$B$3,$B$4,$B$5,$F321,$B$6,O$10,$A321,$B321)</f>
        <v>0</v>
      </c>
      <c r="P321" s="4">
        <f ca="1">_xll.DBRW($B$1,$B$2,$B$7,$B$3,$B$4,$B$5,$F321,$B$6,P$10,$A321,$B321)</f>
        <v>0</v>
      </c>
      <c r="Q321" s="4">
        <f ca="1">_xll.DBRW($B$1,$B$2,$B$7,$B$3,$B$4,$B$5,$F321,$B$6,Q$10,$A321,$B321)</f>
        <v>0</v>
      </c>
      <c r="R321" s="4">
        <f ca="1">_xll.DBRW($B$1,$B$2,$B$7,$B$3,$B$4,$B$5,$F321,$B$6,R$10,$A321,$B321)</f>
        <v>0</v>
      </c>
      <c r="S321" s="4">
        <f ca="1">_xll.DBRW($B$1,$B$2,$B$7,$B$3,$B$4,$B$5,$F321,$B$6,S$10,$A321,$B321)</f>
        <v>0</v>
      </c>
      <c r="T321" s="4">
        <f ca="1">_xll.DBRW($B$1,$B$2,$B$7,$B$3,$B$4,$B$5,$F321,$B$6,T$10,$A321,$B321)</f>
        <v>0</v>
      </c>
      <c r="U321" s="4">
        <f ca="1">_xll.DBRW($B$1,$B$2,$B$7,$B$3,$B$4,$B$5,$F321,$B$6,U$10,$A321,$B321)</f>
        <v>0</v>
      </c>
      <c r="V321" s="4">
        <f ca="1">_xll.DBRW($B$1,$B$2,$B$7,$B$3,$B$4,$B$5,$F321,$B$6,V$10,$A321,$B321)</f>
        <v>0</v>
      </c>
      <c r="W321" s="4">
        <f ca="1">_xll.DBRW($B$1,$B$2,$B$7,$B$3,$B$4,$B$5,$F321,$B$6,W$10,$A321,$B321)</f>
        <v>0</v>
      </c>
      <c r="X321" s="4">
        <f ca="1">_xll.DBRW($B$1,$B$2,$B$7,$B$3,$B$4,$B$5,$F321,$B$6,X$10,$A321,$B321)</f>
        <v>0</v>
      </c>
      <c r="Y321" s="4">
        <f ca="1">_xll.DBRW($B$1,$B$2,$B$7,$B$3,$B$4,$B$5,$F321,$B$6,Y$10,$A321,$B321)</f>
        <v>0</v>
      </c>
      <c r="Z321" s="4">
        <f ca="1">_xll.DBRW($B$1,$B$2,$B$7,$B$3,$B$4,$B$5,$F321,$B$6,Z$10,$A321,$B321)</f>
        <v>0</v>
      </c>
      <c r="AA321" s="4">
        <f ca="1">_xll.DBRW($B$1,$B$2,$B$7,$B$3,$B$4,$B$5,$F321,$B$6,AA$10,$A321,$B321)</f>
        <v>0</v>
      </c>
      <c r="AB321" s="4">
        <f ca="1">_xll.DBRW($B$1,$B$2,$B$7,$B$3,$B$4,$B$5,$F321,$B$6,AB$10,$A321,$B321)</f>
        <v>0</v>
      </c>
      <c r="AC321" s="4">
        <f ca="1">_xll.DBRW($B$1,$B$2,$B$7,$B$3,$B$4,$B$5,$F321,$B$6,AC$10,$A321,$B321)</f>
        <v>0</v>
      </c>
      <c r="AD321" s="4">
        <f ca="1">_xll.DBRW($B$1,$B$2,$B$7,$B$3,$B$4,$B$5,$F321,$B$6,AD$10,$A321,$B321)</f>
        <v>0</v>
      </c>
      <c r="AE321" s="4">
        <f ca="1">_xll.DBRW($B$1,$B$2,$B$7,$B$3,$B$4,$B$5,$F321,$B$6,AE$10,$A321,$B321)</f>
        <v>0</v>
      </c>
    </row>
    <row r="322" spans="1:31">
      <c r="A322" s="1" t="s">
        <v>153</v>
      </c>
      <c r="B322" s="5" t="s">
        <v>257</v>
      </c>
      <c r="C322" s="5" t="s">
        <v>208</v>
      </c>
      <c r="D322" s="5" t="s">
        <v>181</v>
      </c>
      <c r="E322" s="5" t="s">
        <v>21</v>
      </c>
      <c r="F322" s="5" t="s">
        <v>25</v>
      </c>
      <c r="G322" s="6"/>
      <c r="H322" s="6"/>
      <c r="I322" s="6"/>
      <c r="J322" s="6"/>
      <c r="K322" s="6"/>
      <c r="L322" s="4">
        <f ca="1">_xll.DBRW($B$1,$B$2,$B$7,$B$3,$B$4,$B$5,$F322,$B$6,L$10,$A322,$B322)</f>
        <v>0</v>
      </c>
      <c r="M322" s="4">
        <f ca="1">_xll.DBRW($B$1,$B$2,$B$7,$B$3,$B$4,$B$5,$F322,$B$6,M$10,$A322,$B322)</f>
        <v>0</v>
      </c>
      <c r="N322" s="4">
        <f ca="1">_xll.DBRW($B$1,$B$2,$B$7,$B$3,$B$4,$B$5,$F322,$B$6,N$10,$A322,$B322)</f>
        <v>0</v>
      </c>
      <c r="O322" s="4">
        <f ca="1">_xll.DBRW($B$1,$B$2,$B$7,$B$3,$B$4,$B$5,$F322,$B$6,O$10,$A322,$B322)</f>
        <v>0</v>
      </c>
      <c r="P322" s="4">
        <f ca="1">_xll.DBRW($B$1,$B$2,$B$7,$B$3,$B$4,$B$5,$F322,$B$6,P$10,$A322,$B322)</f>
        <v>0</v>
      </c>
      <c r="Q322" s="4">
        <f ca="1">_xll.DBRW($B$1,$B$2,$B$7,$B$3,$B$4,$B$5,$F322,$B$6,Q$10,$A322,$B322)</f>
        <v>0</v>
      </c>
      <c r="R322" s="4">
        <f ca="1">_xll.DBRW($B$1,$B$2,$B$7,$B$3,$B$4,$B$5,$F322,$B$6,R$10,$A322,$B322)</f>
        <v>0</v>
      </c>
      <c r="S322" s="4">
        <f ca="1">_xll.DBRW($B$1,$B$2,$B$7,$B$3,$B$4,$B$5,$F322,$B$6,S$10,$A322,$B322)</f>
        <v>0</v>
      </c>
      <c r="T322" s="4">
        <f ca="1">_xll.DBRW($B$1,$B$2,$B$7,$B$3,$B$4,$B$5,$F322,$B$6,T$10,$A322,$B322)</f>
        <v>0</v>
      </c>
      <c r="U322" s="4">
        <f ca="1">_xll.DBRW($B$1,$B$2,$B$7,$B$3,$B$4,$B$5,$F322,$B$6,U$10,$A322,$B322)</f>
        <v>0</v>
      </c>
      <c r="V322" s="4">
        <f ca="1">_xll.DBRW($B$1,$B$2,$B$7,$B$3,$B$4,$B$5,$F322,$B$6,V$10,$A322,$B322)</f>
        <v>0</v>
      </c>
      <c r="W322" s="4">
        <f ca="1">_xll.DBRW($B$1,$B$2,$B$7,$B$3,$B$4,$B$5,$F322,$B$6,W$10,$A322,$B322)</f>
        <v>0</v>
      </c>
      <c r="X322" s="4">
        <f ca="1">_xll.DBRW($B$1,$B$2,$B$7,$B$3,$B$4,$B$5,$F322,$B$6,X$10,$A322,$B322)</f>
        <v>0</v>
      </c>
      <c r="Y322" s="4">
        <f ca="1">_xll.DBRW($B$1,$B$2,$B$7,$B$3,$B$4,$B$5,$F322,$B$6,Y$10,$A322,$B322)</f>
        <v>0</v>
      </c>
      <c r="Z322" s="4">
        <f ca="1">_xll.DBRW($B$1,$B$2,$B$7,$B$3,$B$4,$B$5,$F322,$B$6,Z$10,$A322,$B322)</f>
        <v>0</v>
      </c>
      <c r="AA322" s="4">
        <f ca="1">_xll.DBRW($B$1,$B$2,$B$7,$B$3,$B$4,$B$5,$F322,$B$6,AA$10,$A322,$B322)</f>
        <v>0</v>
      </c>
      <c r="AB322" s="4">
        <f ca="1">_xll.DBRW($B$1,$B$2,$B$7,$B$3,$B$4,$B$5,$F322,$B$6,AB$10,$A322,$B322)</f>
        <v>0</v>
      </c>
      <c r="AC322" s="4">
        <f ca="1">_xll.DBRW($B$1,$B$2,$B$7,$B$3,$B$4,$B$5,$F322,$B$6,AC$10,$A322,$B322)</f>
        <v>0</v>
      </c>
      <c r="AD322" s="4">
        <f ca="1">_xll.DBRW($B$1,$B$2,$B$7,$B$3,$B$4,$B$5,$F322,$B$6,AD$10,$A322,$B322)</f>
        <v>0</v>
      </c>
      <c r="AE322" s="4">
        <f ca="1">_xll.DBRW($B$1,$B$2,$B$7,$B$3,$B$4,$B$5,$F322,$B$6,AE$10,$A322,$B322)</f>
        <v>0</v>
      </c>
    </row>
    <row r="323" spans="1:31">
      <c r="A323" s="1" t="s">
        <v>153</v>
      </c>
      <c r="B323" s="5" t="s">
        <v>258</v>
      </c>
      <c r="C323" s="5" t="s">
        <v>259</v>
      </c>
      <c r="D323" s="5" t="s">
        <v>21</v>
      </c>
      <c r="E323" s="5" t="s">
        <v>260</v>
      </c>
      <c r="F323" s="5" t="s">
        <v>25</v>
      </c>
      <c r="G323" s="6"/>
      <c r="H323" s="6"/>
      <c r="I323" s="6"/>
      <c r="J323" s="6"/>
      <c r="K323" s="6"/>
      <c r="L323" s="4">
        <f ca="1">_xll.DBRW($B$1,$B$2,$B$7,$B$3,$B$4,$B$5,$F323,$B$6,L$10,$A323,$B323)</f>
        <v>38336094.719999999</v>
      </c>
      <c r="M323" s="4">
        <f ca="1">_xll.DBRW($B$1,$B$2,$B$7,$B$3,$B$4,$B$5,$F323,$B$6,M$10,$A323,$B323)</f>
        <v>38256891.576715991</v>
      </c>
      <c r="N323" s="4">
        <f ca="1">_xll.DBRW($B$1,$B$2,$B$7,$B$3,$B$4,$B$5,$F323,$B$6,N$10,$A323,$B323)</f>
        <v>48009024</v>
      </c>
      <c r="O323" s="4">
        <f ca="1">_xll.DBRW($B$1,$B$2,$B$7,$B$3,$B$4,$B$5,$F323,$B$6,O$10,$A323,$B323)</f>
        <v>48009024</v>
      </c>
      <c r="P323" s="4">
        <f ca="1">_xll.DBRW($B$1,$B$2,$B$7,$B$3,$B$4,$B$5,$F323,$B$6,P$10,$A323,$B323)</f>
        <v>43830460.799999997</v>
      </c>
      <c r="Q323" s="4">
        <f ca="1">_xll.DBRW($B$1,$B$2,$B$7,$B$3,$B$4,$B$5,$F323,$B$6,Q$10,$A323,$B323)</f>
        <v>45341856</v>
      </c>
      <c r="R323" s="4">
        <f ca="1">_xll.DBRW($B$1,$B$2,$B$7,$B$3,$B$4,$B$5,$F323,$B$6,R$10,$A323,$B323)</f>
        <v>34548716.159999996</v>
      </c>
      <c r="S323" s="4">
        <f ca="1">_xll.DBRW($B$1,$B$2,$B$7,$B$3,$B$4,$B$5,$F323,$B$6,S$10,$A323,$B323)</f>
        <v>37340351.999999993</v>
      </c>
      <c r="T323" s="4">
        <f ca="1">_xll.DBRW($B$1,$B$2,$B$7,$B$3,$B$4,$B$5,$F323,$B$6,T$10,$A323,$B323)</f>
        <v>43179070.020369112</v>
      </c>
      <c r="U323" s="4">
        <f ca="1">_xll.DBRW($B$1,$B$2,$B$7,$B$3,$B$4,$B$5,$F323,$B$6,U$10,$A323,$B323)</f>
        <v>38959247.994779743</v>
      </c>
      <c r="V323" s="4">
        <f ca="1">_xll.DBRW($B$1,$B$2,$B$7,$B$3,$B$4,$B$5,$F323,$B$6,V$10,$A323,$B323)</f>
        <v>36434128.390523493</v>
      </c>
      <c r="W323" s="4">
        <f ca="1">_xll.DBRW($B$1,$B$2,$B$7,$B$3,$B$4,$B$5,$F323,$B$6,W$10,$A323,$B323)</f>
        <v>43768263.155197337</v>
      </c>
      <c r="X323" s="4">
        <f ca="1">_xll.DBRW($B$1,$B$2,$B$7,$B$3,$B$4,$B$5,$F323,$B$6,X$10,$A323,$B323)</f>
        <v>49599048.482818484</v>
      </c>
      <c r="Y323" s="4">
        <f ca="1">_xll.DBRW($B$1,$B$2,$B$7,$B$3,$B$4,$B$5,$F323,$B$6,Y$10,$A323,$B323)</f>
        <v>51493011.321348608</v>
      </c>
      <c r="Z323" s="4">
        <f ca="1">_xll.DBRW($B$1,$B$2,$B$7,$B$3,$B$4,$B$5,$F323,$B$6,Z$10,$A323,$B323)</f>
        <v>54598871.552021943</v>
      </c>
      <c r="AA323" s="4">
        <f ca="1">_xll.DBRW($B$1,$B$2,$B$7,$B$3,$B$4,$B$5,$F323,$B$6,AA$10,$A323,$B323)</f>
        <v>52140803.453855097</v>
      </c>
      <c r="AB323" s="4">
        <f ca="1">_xll.DBRW($B$1,$B$2,$B$7,$B$3,$B$4,$B$5,$F323,$B$6,AB$10,$A323,$B323)</f>
        <v>52361414.067862354</v>
      </c>
      <c r="AC323" s="4">
        <f ca="1">_xll.DBRW($B$1,$B$2,$B$7,$B$3,$B$4,$B$5,$F323,$B$6,AC$10,$A323,$B323)</f>
        <v>49381172.87296094</v>
      </c>
      <c r="AD323" s="4">
        <f ca="1">_xll.DBRW($B$1,$B$2,$B$7,$B$3,$B$4,$B$5,$F323,$B$6,AD$10,$A323,$B323)</f>
        <v>40016647.700108364</v>
      </c>
      <c r="AE323" s="4">
        <f ca="1">_xll.DBRW($B$1,$B$2,$B$7,$B$3,$B$4,$B$5,$F323,$B$6,AE$10,$A323,$B323)</f>
        <v>48332294.589530937</v>
      </c>
    </row>
    <row r="324" spans="1:31">
      <c r="A324" s="1" t="s">
        <v>153</v>
      </c>
      <c r="B324" s="5" t="s">
        <v>261</v>
      </c>
      <c r="C324" s="5" t="s">
        <v>262</v>
      </c>
      <c r="D324" s="5" t="s">
        <v>260</v>
      </c>
      <c r="E324" s="5" t="s">
        <v>21</v>
      </c>
      <c r="F324" s="5" t="s">
        <v>25</v>
      </c>
      <c r="G324" s="6"/>
      <c r="H324" s="6"/>
      <c r="I324" s="6"/>
      <c r="J324" s="6"/>
      <c r="K324" s="6"/>
      <c r="L324" s="4">
        <f ca="1">_xll.DBRW($B$1,$B$2,$B$7,$B$3,$B$4,$B$5,$F324,$B$6,L$10,$A324,$B324)</f>
        <v>38336094.719999999</v>
      </c>
      <c r="M324" s="4">
        <f ca="1">_xll.DBRW($B$1,$B$2,$B$7,$B$3,$B$4,$B$5,$F324,$B$6,M$10,$A324,$B324)</f>
        <v>38256891.576715991</v>
      </c>
      <c r="N324" s="4">
        <f ca="1">_xll.DBRW($B$1,$B$2,$B$7,$B$3,$B$4,$B$5,$F324,$B$6,N$10,$A324,$B324)</f>
        <v>48009024</v>
      </c>
      <c r="O324" s="4">
        <f ca="1">_xll.DBRW($B$1,$B$2,$B$7,$B$3,$B$4,$B$5,$F324,$B$6,O$10,$A324,$B324)</f>
        <v>48009024</v>
      </c>
      <c r="P324" s="4">
        <f ca="1">_xll.DBRW($B$1,$B$2,$B$7,$B$3,$B$4,$B$5,$F324,$B$6,P$10,$A324,$B324)</f>
        <v>43830460.799999997</v>
      </c>
      <c r="Q324" s="4">
        <f ca="1">_xll.DBRW($B$1,$B$2,$B$7,$B$3,$B$4,$B$5,$F324,$B$6,Q$10,$A324,$B324)</f>
        <v>45341856</v>
      </c>
      <c r="R324" s="4">
        <f ca="1">_xll.DBRW($B$1,$B$2,$B$7,$B$3,$B$4,$B$5,$F324,$B$6,R$10,$A324,$B324)</f>
        <v>34548716.159999996</v>
      </c>
      <c r="S324" s="4">
        <f ca="1">_xll.DBRW($B$1,$B$2,$B$7,$B$3,$B$4,$B$5,$F324,$B$6,S$10,$A324,$B324)</f>
        <v>37340351.999999993</v>
      </c>
      <c r="T324" s="4">
        <f ca="1">_xll.DBRW($B$1,$B$2,$B$7,$B$3,$B$4,$B$5,$F324,$B$6,T$10,$A324,$B324)</f>
        <v>43179070.020369112</v>
      </c>
      <c r="U324" s="4">
        <f ca="1">_xll.DBRW($B$1,$B$2,$B$7,$B$3,$B$4,$B$5,$F324,$B$6,U$10,$A324,$B324)</f>
        <v>38959247.994779743</v>
      </c>
      <c r="V324" s="4">
        <f ca="1">_xll.DBRW($B$1,$B$2,$B$7,$B$3,$B$4,$B$5,$F324,$B$6,V$10,$A324,$B324)</f>
        <v>36434128.390523493</v>
      </c>
      <c r="W324" s="4">
        <f ca="1">_xll.DBRW($B$1,$B$2,$B$7,$B$3,$B$4,$B$5,$F324,$B$6,W$10,$A324,$B324)</f>
        <v>43768263.155197337</v>
      </c>
      <c r="X324" s="4">
        <f ca="1">_xll.DBRW($B$1,$B$2,$B$7,$B$3,$B$4,$B$5,$F324,$B$6,X$10,$A324,$B324)</f>
        <v>49599048.482818484</v>
      </c>
      <c r="Y324" s="4">
        <f ca="1">_xll.DBRW($B$1,$B$2,$B$7,$B$3,$B$4,$B$5,$F324,$B$6,Y$10,$A324,$B324)</f>
        <v>51493011.321348608</v>
      </c>
      <c r="Z324" s="4">
        <f ca="1">_xll.DBRW($B$1,$B$2,$B$7,$B$3,$B$4,$B$5,$F324,$B$6,Z$10,$A324,$B324)</f>
        <v>54598871.552021943</v>
      </c>
      <c r="AA324" s="4">
        <f ca="1">_xll.DBRW($B$1,$B$2,$B$7,$B$3,$B$4,$B$5,$F324,$B$6,AA$10,$A324,$B324)</f>
        <v>52140803.453855097</v>
      </c>
      <c r="AB324" s="4">
        <f ca="1">_xll.DBRW($B$1,$B$2,$B$7,$B$3,$B$4,$B$5,$F324,$B$6,AB$10,$A324,$B324)</f>
        <v>52361414.067862354</v>
      </c>
      <c r="AC324" s="4">
        <f ca="1">_xll.DBRW($B$1,$B$2,$B$7,$B$3,$B$4,$B$5,$F324,$B$6,AC$10,$A324,$B324)</f>
        <v>49381172.87296094</v>
      </c>
      <c r="AD324" s="4">
        <f ca="1">_xll.DBRW($B$1,$B$2,$B$7,$B$3,$B$4,$B$5,$F324,$B$6,AD$10,$A324,$B324)</f>
        <v>40016647.700108364</v>
      </c>
      <c r="AE324" s="4">
        <f ca="1">_xll.DBRW($B$1,$B$2,$B$7,$B$3,$B$4,$B$5,$F324,$B$6,AE$10,$A324,$B324)</f>
        <v>48332294.589530937</v>
      </c>
    </row>
    <row r="325" spans="1:31">
      <c r="A325" s="1" t="s">
        <v>153</v>
      </c>
      <c r="B325" s="5" t="s">
        <v>263</v>
      </c>
      <c r="C325" s="5" t="s">
        <v>264</v>
      </c>
      <c r="D325" s="5" t="s">
        <v>21</v>
      </c>
      <c r="E325" s="5" t="s">
        <v>265</v>
      </c>
      <c r="F325" s="5" t="s">
        <v>25</v>
      </c>
      <c r="G325" s="6"/>
      <c r="H325" s="6"/>
      <c r="I325" s="6"/>
      <c r="J325" s="6"/>
      <c r="K325" s="6"/>
      <c r="L325" s="4">
        <f ca="1">_xll.DBRW($B$1,$B$2,$B$7,$B$3,$B$4,$B$5,$F325,$B$6,L$10,$A325,$B325)</f>
        <v>34119244.800000004</v>
      </c>
      <c r="M325" s="4">
        <f ca="1">_xll.DBRW($B$1,$B$2,$B$7,$B$3,$B$4,$B$5,$F325,$B$6,M$10,$A325,$B325)</f>
        <v>37757472.165496707</v>
      </c>
      <c r="N325" s="4">
        <f ca="1">_xll.DBRW($B$1,$B$2,$B$7,$B$3,$B$4,$B$5,$F325,$B$6,N$10,$A325,$B325)</f>
        <v>36126259.200000003</v>
      </c>
      <c r="O325" s="4">
        <f ca="1">_xll.DBRW($B$1,$B$2,$B$7,$B$3,$B$4,$B$5,$F325,$B$6,O$10,$A325,$B325)</f>
        <v>32513633.280000005</v>
      </c>
      <c r="P325" s="4">
        <f ca="1">_xll.DBRW($B$1,$B$2,$B$7,$B$3,$B$4,$B$5,$F325,$B$6,P$10,$A325,$B325)</f>
        <v>31853260.799999997</v>
      </c>
      <c r="Q325" s="4">
        <f ca="1">_xll.DBRW($B$1,$B$2,$B$7,$B$3,$B$4,$B$5,$F325,$B$6,Q$10,$A325,$B325)</f>
        <v>36975193.919999994</v>
      </c>
      <c r="R325" s="4">
        <f ca="1">_xll.DBRW($B$1,$B$2,$B$7,$B$3,$B$4,$B$5,$F325,$B$6,R$10,$A325,$B325)</f>
        <v>55727020.799999997</v>
      </c>
      <c r="S325" s="4">
        <f ca="1">_xll.DBRW($B$1,$B$2,$B$7,$B$3,$B$4,$B$5,$F325,$B$6,S$10,$A325,$B325)</f>
        <v>53227019.999999993</v>
      </c>
      <c r="T325" s="4">
        <f ca="1">_xll.DBRW($B$1,$B$2,$B$7,$B$3,$B$4,$B$5,$F325,$B$6,T$10,$A325,$B325)</f>
        <v>64896791.623970255</v>
      </c>
      <c r="U325" s="4">
        <f ca="1">_xll.DBRW($B$1,$B$2,$B$7,$B$3,$B$4,$B$5,$F325,$B$6,U$10,$A325,$B325)</f>
        <v>58383732.248430267</v>
      </c>
      <c r="V325" s="4">
        <f ca="1">_xll.DBRW($B$1,$B$2,$B$7,$B$3,$B$4,$B$5,$F325,$B$6,V$10,$A325,$B325)</f>
        <v>57485636.717959002</v>
      </c>
      <c r="W325" s="4">
        <f ca="1">_xll.DBRW($B$1,$B$2,$B$7,$B$3,$B$4,$B$5,$F325,$B$6,W$10,$A325,$B325)</f>
        <v>32234342.676855076</v>
      </c>
      <c r="X325" s="4">
        <f ca="1">_xll.DBRW($B$1,$B$2,$B$7,$B$3,$B$4,$B$5,$F325,$B$6,X$10,$A325,$B325)</f>
        <v>35287467.287461273</v>
      </c>
      <c r="Y325" s="4">
        <f ca="1">_xll.DBRW($B$1,$B$2,$B$7,$B$3,$B$4,$B$5,$F325,$B$6,Y$10,$A325,$B325)</f>
        <v>38477150.772420861</v>
      </c>
      <c r="Z325" s="4">
        <f ca="1">_xll.DBRW($B$1,$B$2,$B$7,$B$3,$B$4,$B$5,$F325,$B$6,Z$10,$A325,$B325)</f>
        <v>39555879.372060739</v>
      </c>
      <c r="AA325" s="4">
        <f ca="1">_xll.DBRW($B$1,$B$2,$B$7,$B$3,$B$4,$B$5,$F325,$B$6,AA$10,$A325,$B325)</f>
        <v>35004402.924924791</v>
      </c>
      <c r="AB325" s="4">
        <f ca="1">_xll.DBRW($B$1,$B$2,$B$7,$B$3,$B$4,$B$5,$F325,$B$6,AB$10,$A325,$B325)</f>
        <v>34911286.504136674</v>
      </c>
      <c r="AC325" s="4">
        <f ca="1">_xll.DBRW($B$1,$B$2,$B$7,$B$3,$B$4,$B$5,$F325,$B$6,AC$10,$A325,$B325)</f>
        <v>38797399.490909524</v>
      </c>
      <c r="AD325" s="4">
        <f ca="1">_xll.DBRW($B$1,$B$2,$B$7,$B$3,$B$4,$B$5,$F325,$B$6,AD$10,$A325,$B325)</f>
        <v>58348792.428823687</v>
      </c>
      <c r="AE325" s="4">
        <f ca="1">_xll.DBRW($B$1,$B$2,$B$7,$B$3,$B$4,$B$5,$F325,$B$6,AE$10,$A325,$B325)</f>
        <v>56359379.194107935</v>
      </c>
    </row>
    <row r="326" spans="1:31">
      <c r="A326" s="1" t="s">
        <v>153</v>
      </c>
      <c r="B326" s="5" t="s">
        <v>266</v>
      </c>
      <c r="C326" s="5" t="s">
        <v>267</v>
      </c>
      <c r="D326" s="5" t="s">
        <v>265</v>
      </c>
      <c r="E326" s="5" t="s">
        <v>21</v>
      </c>
      <c r="F326" s="5" t="s">
        <v>25</v>
      </c>
      <c r="G326" s="6"/>
      <c r="H326" s="6"/>
      <c r="I326" s="6"/>
      <c r="J326" s="6"/>
      <c r="K326" s="6"/>
      <c r="L326" s="4">
        <f ca="1">_xll.DBRW($B$1,$B$2,$B$7,$B$3,$B$4,$B$5,$F326,$B$6,L$10,$A326,$B326)</f>
        <v>34119244.800000004</v>
      </c>
      <c r="M326" s="4">
        <f ca="1">_xll.DBRW($B$1,$B$2,$B$7,$B$3,$B$4,$B$5,$F326,$B$6,M$10,$A326,$B326)</f>
        <v>37757472.165496707</v>
      </c>
      <c r="N326" s="4">
        <f ca="1">_xll.DBRW($B$1,$B$2,$B$7,$B$3,$B$4,$B$5,$F326,$B$6,N$10,$A326,$B326)</f>
        <v>36126259.200000003</v>
      </c>
      <c r="O326" s="4">
        <f ca="1">_xll.DBRW($B$1,$B$2,$B$7,$B$3,$B$4,$B$5,$F326,$B$6,O$10,$A326,$B326)</f>
        <v>32513633.280000005</v>
      </c>
      <c r="P326" s="4">
        <f ca="1">_xll.DBRW($B$1,$B$2,$B$7,$B$3,$B$4,$B$5,$F326,$B$6,P$10,$A326,$B326)</f>
        <v>31853260.799999997</v>
      </c>
      <c r="Q326" s="4">
        <f ca="1">_xll.DBRW($B$1,$B$2,$B$7,$B$3,$B$4,$B$5,$F326,$B$6,Q$10,$A326,$B326)</f>
        <v>36975193.919999994</v>
      </c>
      <c r="R326" s="4">
        <f ca="1">_xll.DBRW($B$1,$B$2,$B$7,$B$3,$B$4,$B$5,$F326,$B$6,R$10,$A326,$B326)</f>
        <v>55727020.799999997</v>
      </c>
      <c r="S326" s="4">
        <f ca="1">_xll.DBRW($B$1,$B$2,$B$7,$B$3,$B$4,$B$5,$F326,$B$6,S$10,$A326,$B326)</f>
        <v>53227019.999999993</v>
      </c>
      <c r="T326" s="4">
        <f ca="1">_xll.DBRW($B$1,$B$2,$B$7,$B$3,$B$4,$B$5,$F326,$B$6,T$10,$A326,$B326)</f>
        <v>64896791.623970255</v>
      </c>
      <c r="U326" s="4">
        <f ca="1">_xll.DBRW($B$1,$B$2,$B$7,$B$3,$B$4,$B$5,$F326,$B$6,U$10,$A326,$B326)</f>
        <v>58383732.248430267</v>
      </c>
      <c r="V326" s="4">
        <f ca="1">_xll.DBRW($B$1,$B$2,$B$7,$B$3,$B$4,$B$5,$F326,$B$6,V$10,$A326,$B326)</f>
        <v>57485636.717959002</v>
      </c>
      <c r="W326" s="4">
        <f ca="1">_xll.DBRW($B$1,$B$2,$B$7,$B$3,$B$4,$B$5,$F326,$B$6,W$10,$A326,$B326)</f>
        <v>32234342.676855076</v>
      </c>
      <c r="X326" s="4">
        <f ca="1">_xll.DBRW($B$1,$B$2,$B$7,$B$3,$B$4,$B$5,$F326,$B$6,X$10,$A326,$B326)</f>
        <v>35287467.287461273</v>
      </c>
      <c r="Y326" s="4">
        <f ca="1">_xll.DBRW($B$1,$B$2,$B$7,$B$3,$B$4,$B$5,$F326,$B$6,Y$10,$A326,$B326)</f>
        <v>38477150.772420861</v>
      </c>
      <c r="Z326" s="4">
        <f ca="1">_xll.DBRW($B$1,$B$2,$B$7,$B$3,$B$4,$B$5,$F326,$B$6,Z$10,$A326,$B326)</f>
        <v>39555879.372060739</v>
      </c>
      <c r="AA326" s="4">
        <f ca="1">_xll.DBRW($B$1,$B$2,$B$7,$B$3,$B$4,$B$5,$F326,$B$6,AA$10,$A326,$B326)</f>
        <v>35004402.924924791</v>
      </c>
      <c r="AB326" s="4">
        <f ca="1">_xll.DBRW($B$1,$B$2,$B$7,$B$3,$B$4,$B$5,$F326,$B$6,AB$10,$A326,$B326)</f>
        <v>34911286.504136674</v>
      </c>
      <c r="AC326" s="4">
        <f ca="1">_xll.DBRW($B$1,$B$2,$B$7,$B$3,$B$4,$B$5,$F326,$B$6,AC$10,$A326,$B326)</f>
        <v>38797399.490909524</v>
      </c>
      <c r="AD326" s="4">
        <f ca="1">_xll.DBRW($B$1,$B$2,$B$7,$B$3,$B$4,$B$5,$F326,$B$6,AD$10,$A326,$B326)</f>
        <v>58348792.428823687</v>
      </c>
      <c r="AE326" s="4">
        <f ca="1">_xll.DBRW($B$1,$B$2,$B$7,$B$3,$B$4,$B$5,$F326,$B$6,AE$10,$A326,$B326)</f>
        <v>56359379.194107935</v>
      </c>
    </row>
    <row r="327" spans="1:31">
      <c r="A327" s="1" t="s">
        <v>153</v>
      </c>
      <c r="B327" s="5" t="s">
        <v>268</v>
      </c>
      <c r="C327" s="5" t="s">
        <v>264</v>
      </c>
      <c r="D327" s="5" t="s">
        <v>21</v>
      </c>
      <c r="E327" s="5" t="s">
        <v>265</v>
      </c>
      <c r="F327" s="5" t="s">
        <v>25</v>
      </c>
      <c r="G327" s="6"/>
      <c r="H327" s="6"/>
      <c r="I327" s="6"/>
      <c r="J327" s="6"/>
      <c r="K327" s="6"/>
      <c r="L327" s="4">
        <f ca="1">_xll.DBRW($B$1,$B$2,$B$7,$B$3,$B$4,$B$5,$F327,$B$6,L$10,$A327,$B327)</f>
        <v>57753930.000000007</v>
      </c>
      <c r="M327" s="4">
        <f ca="1">_xll.DBRW($B$1,$B$2,$B$7,$B$3,$B$4,$B$5,$F327,$B$6,M$10,$A327,$B327)</f>
        <v>63912387.780137658</v>
      </c>
      <c r="N327" s="4">
        <f ca="1">_xll.DBRW($B$1,$B$2,$B$7,$B$3,$B$4,$B$5,$F327,$B$6,N$10,$A327,$B327)</f>
        <v>61151220.000000007</v>
      </c>
      <c r="O327" s="4">
        <f ca="1">_xll.DBRW($B$1,$B$2,$B$7,$B$3,$B$4,$B$5,$F327,$B$6,O$10,$A327,$B327)</f>
        <v>55036098.000000007</v>
      </c>
      <c r="P327" s="4">
        <f ca="1">_xll.DBRW($B$1,$B$2,$B$7,$B$3,$B$4,$B$5,$F327,$B$6,P$10,$A327,$B327)</f>
        <v>53918280</v>
      </c>
      <c r="Q327" s="4">
        <f ca="1">_xll.DBRW($B$1,$B$2,$B$7,$B$3,$B$4,$B$5,$F327,$B$6,Q$10,$A327,$B327)</f>
        <v>56564625.599999994</v>
      </c>
      <c r="R327" s="4">
        <f ca="1">_xll.DBRW($B$1,$B$2,$B$7,$B$3,$B$4,$B$5,$F327,$B$6,R$10,$A327,$B327)</f>
        <v>57863520</v>
      </c>
      <c r="S327" s="4">
        <f ca="1">_xll.DBRW($B$1,$B$2,$B$7,$B$3,$B$4,$B$5,$F327,$B$6,S$10,$A327,$B327)</f>
        <v>55715555.999999993</v>
      </c>
      <c r="T327" s="4">
        <f ca="1">_xll.DBRW($B$1,$B$2,$B$7,$B$3,$B$4,$B$5,$F327,$B$6,T$10,$A327,$B327)</f>
        <v>39759722.464834899</v>
      </c>
      <c r="U327" s="4">
        <f ca="1">_xll.DBRW($B$1,$B$2,$B$7,$B$3,$B$4,$B$5,$F327,$B$6,U$10,$A327,$B327)</f>
        <v>35912007.3875928</v>
      </c>
      <c r="V327" s="4">
        <f ca="1">_xll.DBRW($B$1,$B$2,$B$7,$B$3,$B$4,$B$5,$F327,$B$6,V$10,$A327,$B327)</f>
        <v>37828943.709627382</v>
      </c>
      <c r="W327" s="4">
        <f ca="1">_xll.DBRW($B$1,$B$2,$B$7,$B$3,$B$4,$B$5,$F327,$B$6,W$10,$A327,$B327)</f>
        <v>54563340.468634889</v>
      </c>
      <c r="X327" s="4">
        <f ca="1">_xll.DBRW($B$1,$B$2,$B$7,$B$3,$B$4,$B$5,$F327,$B$6,X$10,$A327,$B327)</f>
        <v>59731389.939713106</v>
      </c>
      <c r="Y327" s="4">
        <f ca="1">_xll.DBRW($B$1,$B$2,$B$7,$B$3,$B$4,$B$5,$F327,$B$6,Y$10,$A327,$B327)</f>
        <v>65130593.755399883</v>
      </c>
      <c r="Z327" s="4">
        <f ca="1">_xll.DBRW($B$1,$B$2,$B$7,$B$3,$B$4,$B$5,$F327,$B$6,Z$10,$A327,$B327)</f>
        <v>66956566.645415299</v>
      </c>
      <c r="AA327" s="4">
        <f ca="1">_xll.DBRW($B$1,$B$2,$B$7,$B$3,$B$4,$B$5,$F327,$B$6,AA$10,$A327,$B327)</f>
        <v>59252244.534377918</v>
      </c>
      <c r="AB327" s="4">
        <f ca="1">_xll.DBRW($B$1,$B$2,$B$7,$B$3,$B$4,$B$5,$F327,$B$6,AB$10,$A327,$B327)</f>
        <v>59094625.59293969</v>
      </c>
      <c r="AC327" s="4">
        <f ca="1">_xll.DBRW($B$1,$B$2,$B$7,$B$3,$B$4,$B$5,$F327,$B$6,AC$10,$A327,$B327)</f>
        <v>54042563.825400546</v>
      </c>
      <c r="AD327" s="4">
        <f ca="1">_xll.DBRW($B$1,$B$2,$B$7,$B$3,$B$4,$B$5,$F327,$B$6,AD$10,$A327,$B327)</f>
        <v>35792230.499470115</v>
      </c>
      <c r="AE327" s="4">
        <f ca="1">_xll.DBRW($B$1,$B$2,$B$7,$B$3,$B$4,$B$5,$F327,$B$6,AE$10,$A327,$B327)</f>
        <v>34852054.541644737</v>
      </c>
    </row>
    <row r="328" spans="1:31">
      <c r="A328" s="1" t="s">
        <v>153</v>
      </c>
      <c r="B328" s="5" t="s">
        <v>269</v>
      </c>
      <c r="C328" s="5" t="s">
        <v>267</v>
      </c>
      <c r="D328" s="5" t="s">
        <v>265</v>
      </c>
      <c r="E328" s="5" t="s">
        <v>21</v>
      </c>
      <c r="F328" s="5" t="s">
        <v>25</v>
      </c>
      <c r="G328" s="6"/>
      <c r="H328" s="6"/>
      <c r="I328" s="6"/>
      <c r="J328" s="6"/>
      <c r="K328" s="6"/>
      <c r="L328" s="4">
        <f ca="1">_xll.DBRW($B$1,$B$2,$B$7,$B$3,$B$4,$B$5,$F328,$B$6,L$10,$A328,$B328)</f>
        <v>57753930.000000007</v>
      </c>
      <c r="M328" s="4">
        <f ca="1">_xll.DBRW($B$1,$B$2,$B$7,$B$3,$B$4,$B$5,$F328,$B$6,M$10,$A328,$B328)</f>
        <v>63912387.780137658</v>
      </c>
      <c r="N328" s="4">
        <f ca="1">_xll.DBRW($B$1,$B$2,$B$7,$B$3,$B$4,$B$5,$F328,$B$6,N$10,$A328,$B328)</f>
        <v>61151220.000000007</v>
      </c>
      <c r="O328" s="4">
        <f ca="1">_xll.DBRW($B$1,$B$2,$B$7,$B$3,$B$4,$B$5,$F328,$B$6,O$10,$A328,$B328)</f>
        <v>55036098.000000007</v>
      </c>
      <c r="P328" s="4">
        <f ca="1">_xll.DBRW($B$1,$B$2,$B$7,$B$3,$B$4,$B$5,$F328,$B$6,P$10,$A328,$B328)</f>
        <v>53918280</v>
      </c>
      <c r="Q328" s="4">
        <f ca="1">_xll.DBRW($B$1,$B$2,$B$7,$B$3,$B$4,$B$5,$F328,$B$6,Q$10,$A328,$B328)</f>
        <v>56564625.599999994</v>
      </c>
      <c r="R328" s="4">
        <f ca="1">_xll.DBRW($B$1,$B$2,$B$7,$B$3,$B$4,$B$5,$F328,$B$6,R$10,$A328,$B328)</f>
        <v>57863520</v>
      </c>
      <c r="S328" s="4">
        <f ca="1">_xll.DBRW($B$1,$B$2,$B$7,$B$3,$B$4,$B$5,$F328,$B$6,S$10,$A328,$B328)</f>
        <v>55715555.999999993</v>
      </c>
      <c r="T328" s="4">
        <f ca="1">_xll.DBRW($B$1,$B$2,$B$7,$B$3,$B$4,$B$5,$F328,$B$6,T$10,$A328,$B328)</f>
        <v>39759722.464834899</v>
      </c>
      <c r="U328" s="4">
        <f ca="1">_xll.DBRW($B$1,$B$2,$B$7,$B$3,$B$4,$B$5,$F328,$B$6,U$10,$A328,$B328)</f>
        <v>35912007.3875928</v>
      </c>
      <c r="V328" s="4">
        <f ca="1">_xll.DBRW($B$1,$B$2,$B$7,$B$3,$B$4,$B$5,$F328,$B$6,V$10,$A328,$B328)</f>
        <v>37828943.709627382</v>
      </c>
      <c r="W328" s="4">
        <f ca="1">_xll.DBRW($B$1,$B$2,$B$7,$B$3,$B$4,$B$5,$F328,$B$6,W$10,$A328,$B328)</f>
        <v>54563340.468634889</v>
      </c>
      <c r="X328" s="4">
        <f ca="1">_xll.DBRW($B$1,$B$2,$B$7,$B$3,$B$4,$B$5,$F328,$B$6,X$10,$A328,$B328)</f>
        <v>59731389.939713106</v>
      </c>
      <c r="Y328" s="4">
        <f ca="1">_xll.DBRW($B$1,$B$2,$B$7,$B$3,$B$4,$B$5,$F328,$B$6,Y$10,$A328,$B328)</f>
        <v>65130593.755399883</v>
      </c>
      <c r="Z328" s="4">
        <f ca="1">_xll.DBRW($B$1,$B$2,$B$7,$B$3,$B$4,$B$5,$F328,$B$6,Z$10,$A328,$B328)</f>
        <v>66956566.645415299</v>
      </c>
      <c r="AA328" s="4">
        <f ca="1">_xll.DBRW($B$1,$B$2,$B$7,$B$3,$B$4,$B$5,$F328,$B$6,AA$10,$A328,$B328)</f>
        <v>59252244.534377918</v>
      </c>
      <c r="AB328" s="4">
        <f ca="1">_xll.DBRW($B$1,$B$2,$B$7,$B$3,$B$4,$B$5,$F328,$B$6,AB$10,$A328,$B328)</f>
        <v>59094625.59293969</v>
      </c>
      <c r="AC328" s="4">
        <f ca="1">_xll.DBRW($B$1,$B$2,$B$7,$B$3,$B$4,$B$5,$F328,$B$6,AC$10,$A328,$B328)</f>
        <v>52924080.236473411</v>
      </c>
      <c r="AD328" s="4">
        <f ca="1">_xll.DBRW($B$1,$B$2,$B$7,$B$3,$B$4,$B$5,$F328,$B$6,AD$10,$A328,$B328)</f>
        <v>35792230.499470115</v>
      </c>
      <c r="AE328" s="4">
        <f ca="1">_xll.DBRW($B$1,$B$2,$B$7,$B$3,$B$4,$B$5,$F328,$B$6,AE$10,$A328,$B328)</f>
        <v>34852054.541644737</v>
      </c>
    </row>
    <row r="329" spans="1:31">
      <c r="A329" s="1" t="s">
        <v>153</v>
      </c>
      <c r="B329" s="5" t="s">
        <v>270</v>
      </c>
      <c r="C329" s="5" t="s">
        <v>271</v>
      </c>
      <c r="D329" s="5" t="s">
        <v>21</v>
      </c>
      <c r="E329" s="5" t="s">
        <v>272</v>
      </c>
      <c r="F329" s="5" t="s">
        <v>25</v>
      </c>
      <c r="G329" s="6"/>
      <c r="H329" s="6"/>
      <c r="I329" s="6"/>
      <c r="J329" s="6"/>
      <c r="K329" s="6"/>
      <c r="L329" s="4">
        <f ca="1">_xll.DBRW($B$1,$B$2,$B$7,$B$3,$B$4,$B$5,$F329,$B$6,L$10,$A329,$B329)</f>
        <v>41695188.480000004</v>
      </c>
      <c r="M329" s="4">
        <f ca="1">_xll.DBRW($B$1,$B$2,$B$7,$B$3,$B$4,$B$5,$F329,$B$6,M$10,$A329,$B329)</f>
        <v>44141362.681022741</v>
      </c>
      <c r="N329" s="4">
        <f ca="1">_xll.DBRW($B$1,$B$2,$B$7,$B$3,$B$4,$B$5,$F329,$B$6,N$10,$A329,$B329)</f>
        <v>37381893.120000005</v>
      </c>
      <c r="O329" s="4">
        <f ca="1">_xll.DBRW($B$1,$B$2,$B$7,$B$3,$B$4,$B$5,$F329,$B$6,O$10,$A329,$B329)</f>
        <v>40257423.359999999</v>
      </c>
      <c r="P329" s="4">
        <f ca="1">_xll.DBRW($B$1,$B$2,$B$7,$B$3,$B$4,$B$5,$F329,$B$6,P$10,$A329,$B329)</f>
        <v>37567411.200000003</v>
      </c>
      <c r="Q329" s="4">
        <f ca="1">_xll.DBRW($B$1,$B$2,$B$7,$B$3,$B$4,$B$5,$F329,$B$6,Q$10,$A329,$B329)</f>
        <v>35944128</v>
      </c>
      <c r="R329" s="4">
        <f ca="1">_xll.DBRW($B$1,$B$2,$B$7,$B$3,$B$4,$B$5,$F329,$B$6,R$10,$A329,$B329)</f>
        <v>32465663.999999996</v>
      </c>
      <c r="S329" s="4">
        <f ca="1">_xll.DBRW($B$1,$B$2,$B$7,$B$3,$B$4,$B$5,$F329,$B$6,S$10,$A329,$B329)</f>
        <v>39298913.280000001</v>
      </c>
      <c r="T329" s="4">
        <f ca="1">_xll.DBRW($B$1,$B$2,$B$7,$B$3,$B$4,$B$5,$F329,$B$6,T$10,$A329,$B329)</f>
        <v>38314783.952857934</v>
      </c>
      <c r="U329" s="4">
        <f ca="1">_xll.DBRW($B$1,$B$2,$B$7,$B$3,$B$4,$B$5,$F329,$B$6,U$10,$A329,$B329)</f>
        <v>35178499.710562557</v>
      </c>
      <c r="V329" s="4">
        <f ca="1">_xll.DBRW($B$1,$B$2,$B$7,$B$3,$B$4,$B$5,$F329,$B$6,V$10,$A329,$B329)</f>
        <v>36998395.339778244</v>
      </c>
      <c r="W329" s="4">
        <f ca="1">_xll.DBRW($B$1,$B$2,$B$7,$B$3,$B$4,$B$5,$F329,$B$6,W$10,$A329,$B329)</f>
        <v>39317428.741654649</v>
      </c>
      <c r="X329" s="4">
        <f ca="1">_xll.DBRW($B$1,$B$2,$B$7,$B$3,$B$4,$B$5,$F329,$B$6,X$10,$A329,$B329)</f>
        <v>39541574.410373747</v>
      </c>
      <c r="Y329" s="4">
        <f ca="1">_xll.DBRW($B$1,$B$2,$B$7,$B$3,$B$4,$B$5,$F329,$B$6,Y$10,$A329,$B329)</f>
        <v>40110102.393915221</v>
      </c>
      <c r="Z329" s="4">
        <f ca="1">_xll.DBRW($B$1,$B$2,$B$7,$B$3,$B$4,$B$5,$F329,$B$6,Z$10,$A329,$B329)</f>
        <v>39234783.232583322</v>
      </c>
      <c r="AA329" s="4">
        <f ca="1">_xll.DBRW($B$1,$B$2,$B$7,$B$3,$B$4,$B$5,$F329,$B$6,AA$10,$A329,$B329)</f>
        <v>42238845.069932334</v>
      </c>
      <c r="AB329" s="4">
        <f ca="1">_xll.DBRW($B$1,$B$2,$B$7,$B$3,$B$4,$B$5,$F329,$B$6,AB$10,$A329,$B329)</f>
        <v>39217760.541763328</v>
      </c>
      <c r="AC329" s="4">
        <f ca="1">_xll.DBRW($B$1,$B$2,$B$7,$B$3,$B$4,$B$5,$F329,$B$6,AC$10,$A329,$B329)</f>
        <v>42375706.421991989</v>
      </c>
      <c r="AD329" s="4">
        <f ca="1">_xll.DBRW($B$1,$B$2,$B$7,$B$3,$B$4,$B$5,$F329,$B$6,AD$10,$A329,$B329)</f>
        <v>41740621.309889175</v>
      </c>
      <c r="AE329" s="4">
        <f ca="1">_xll.DBRW($B$1,$B$2,$B$7,$B$3,$B$4,$B$5,$F329,$B$6,AE$10,$A329,$B329)</f>
        <v>42678606.518016472</v>
      </c>
    </row>
    <row r="330" spans="1:31">
      <c r="A330" s="1" t="s">
        <v>153</v>
      </c>
      <c r="B330" s="5" t="s">
        <v>273</v>
      </c>
      <c r="C330" s="5" t="s">
        <v>274</v>
      </c>
      <c r="D330" s="5" t="s">
        <v>272</v>
      </c>
      <c r="E330" s="5" t="s">
        <v>21</v>
      </c>
      <c r="F330" s="5" t="s">
        <v>25</v>
      </c>
      <c r="G330" s="6"/>
      <c r="H330" s="6"/>
      <c r="I330" s="6"/>
      <c r="J330" s="6"/>
      <c r="K330" s="6"/>
      <c r="L330" s="4">
        <f ca="1">_xll.DBRW($B$1,$B$2,$B$7,$B$3,$B$4,$B$5,$F330,$B$6,L$10,$A330,$B330)</f>
        <v>41695188.480000004</v>
      </c>
      <c r="M330" s="4">
        <f ca="1">_xll.DBRW($B$1,$B$2,$B$7,$B$3,$B$4,$B$5,$F330,$B$6,M$10,$A330,$B330)</f>
        <v>44141362.681022741</v>
      </c>
      <c r="N330" s="4">
        <f ca="1">_xll.DBRW($B$1,$B$2,$B$7,$B$3,$B$4,$B$5,$F330,$B$6,N$10,$A330,$B330)</f>
        <v>37381893.120000005</v>
      </c>
      <c r="O330" s="4">
        <f ca="1">_xll.DBRW($B$1,$B$2,$B$7,$B$3,$B$4,$B$5,$F330,$B$6,O$10,$A330,$B330)</f>
        <v>40257423.359999999</v>
      </c>
      <c r="P330" s="4">
        <f ca="1">_xll.DBRW($B$1,$B$2,$B$7,$B$3,$B$4,$B$5,$F330,$B$6,P$10,$A330,$B330)</f>
        <v>37567411.200000003</v>
      </c>
      <c r="Q330" s="4">
        <f ca="1">_xll.DBRW($B$1,$B$2,$B$7,$B$3,$B$4,$B$5,$F330,$B$6,Q$10,$A330,$B330)</f>
        <v>35944128</v>
      </c>
      <c r="R330" s="4">
        <f ca="1">_xll.DBRW($B$1,$B$2,$B$7,$B$3,$B$4,$B$5,$F330,$B$6,R$10,$A330,$B330)</f>
        <v>32465663.999999996</v>
      </c>
      <c r="S330" s="4">
        <f ca="1">_xll.DBRW($B$1,$B$2,$B$7,$B$3,$B$4,$B$5,$F330,$B$6,S$10,$A330,$B330)</f>
        <v>39298913.280000001</v>
      </c>
      <c r="T330" s="4">
        <f ca="1">_xll.DBRW($B$1,$B$2,$B$7,$B$3,$B$4,$B$5,$F330,$B$6,T$10,$A330,$B330)</f>
        <v>38314783.952857934</v>
      </c>
      <c r="U330" s="4">
        <f ca="1">_xll.DBRW($B$1,$B$2,$B$7,$B$3,$B$4,$B$5,$F330,$B$6,U$10,$A330,$B330)</f>
        <v>35178499.710562557</v>
      </c>
      <c r="V330" s="4">
        <f ca="1">_xll.DBRW($B$1,$B$2,$B$7,$B$3,$B$4,$B$5,$F330,$B$6,V$10,$A330,$B330)</f>
        <v>36998395.339778244</v>
      </c>
      <c r="W330" s="4">
        <f ca="1">_xll.DBRW($B$1,$B$2,$B$7,$B$3,$B$4,$B$5,$F330,$B$6,W$10,$A330,$B330)</f>
        <v>39317428.741654649</v>
      </c>
      <c r="X330" s="4">
        <f ca="1">_xll.DBRW($B$1,$B$2,$B$7,$B$3,$B$4,$B$5,$F330,$B$6,X$10,$A330,$B330)</f>
        <v>39541574.410373747</v>
      </c>
      <c r="Y330" s="4">
        <f ca="1">_xll.DBRW($B$1,$B$2,$B$7,$B$3,$B$4,$B$5,$F330,$B$6,Y$10,$A330,$B330)</f>
        <v>40110102.393915221</v>
      </c>
      <c r="Z330" s="4">
        <f ca="1">_xll.DBRW($B$1,$B$2,$B$7,$B$3,$B$4,$B$5,$F330,$B$6,Z$10,$A330,$B330)</f>
        <v>39234783.232583322</v>
      </c>
      <c r="AA330" s="4">
        <f ca="1">_xll.DBRW($B$1,$B$2,$B$7,$B$3,$B$4,$B$5,$F330,$B$6,AA$10,$A330,$B330)</f>
        <v>42238845.069932334</v>
      </c>
      <c r="AB330" s="4">
        <f ca="1">_xll.DBRW($B$1,$B$2,$B$7,$B$3,$B$4,$B$5,$F330,$B$6,AB$10,$A330,$B330)</f>
        <v>39217760.541763328</v>
      </c>
      <c r="AC330" s="4">
        <f ca="1">_xll.DBRW($B$1,$B$2,$B$7,$B$3,$B$4,$B$5,$F330,$B$6,AC$10,$A330,$B330)</f>
        <v>41008748.150314853</v>
      </c>
      <c r="AD330" s="4">
        <f ca="1">_xll.DBRW($B$1,$B$2,$B$7,$B$3,$B$4,$B$5,$F330,$B$6,AD$10,$A330,$B330)</f>
        <v>41740621.309889175</v>
      </c>
      <c r="AE330" s="4">
        <f ca="1">_xll.DBRW($B$1,$B$2,$B$7,$B$3,$B$4,$B$5,$F330,$B$6,AE$10,$A330,$B330)</f>
        <v>42678606.518016472</v>
      </c>
    </row>
    <row r="331" spans="1:31">
      <c r="A331" s="1" t="s">
        <v>153</v>
      </c>
      <c r="B331" s="5" t="s">
        <v>275</v>
      </c>
      <c r="C331" s="5" t="s">
        <v>276</v>
      </c>
      <c r="D331" s="5" t="s">
        <v>21</v>
      </c>
      <c r="E331" s="5" t="s">
        <v>277</v>
      </c>
      <c r="F331" s="5" t="s">
        <v>25</v>
      </c>
      <c r="G331" s="6"/>
      <c r="H331" s="6"/>
      <c r="I331" s="6"/>
      <c r="J331" s="6"/>
      <c r="K331" s="6"/>
      <c r="L331" s="4">
        <f ca="1">_xll.DBRW($B$1,$B$2,$B$7,$B$3,$B$4,$B$5,$F331,$B$6,L$10,$A331,$B331)</f>
        <v>37821864.960000001</v>
      </c>
      <c r="M331" s="4">
        <f ca="1">_xll.DBRW($B$1,$B$2,$B$7,$B$3,$B$4,$B$5,$F331,$B$6,M$10,$A331,$B331)</f>
        <v>40006915.279893719</v>
      </c>
      <c r="N331" s="4">
        <f ca="1">_xll.DBRW($B$1,$B$2,$B$7,$B$3,$B$4,$B$5,$F331,$B$6,N$10,$A331,$B331)</f>
        <v>39111246.719999999</v>
      </c>
      <c r="O331" s="4">
        <f ca="1">_xll.DBRW($B$1,$B$2,$B$7,$B$3,$B$4,$B$5,$F331,$B$6,O$10,$A331,$B331)</f>
        <v>36102689.279999994</v>
      </c>
      <c r="P331" s="4">
        <f ca="1">_xll.DBRW($B$1,$B$2,$B$7,$B$3,$B$4,$B$5,$F331,$B$6,P$10,$A331,$B331)</f>
        <v>34106227.199999996</v>
      </c>
      <c r="Q331" s="4">
        <f ca="1">_xll.DBRW($B$1,$B$2,$B$7,$B$3,$B$4,$B$5,$F331,$B$6,Q$10,$A331,$B331)</f>
        <v>30945162.239999995</v>
      </c>
      <c r="R331" s="4">
        <f ca="1">_xll.DBRW($B$1,$B$2,$B$7,$B$3,$B$4,$B$5,$F331,$B$6,R$10,$A331,$B331)</f>
        <v>29115072</v>
      </c>
      <c r="S331" s="4">
        <f ca="1">_xll.DBRW($B$1,$B$2,$B$7,$B$3,$B$4,$B$5,$F331,$B$6,S$10,$A331,$B331)</f>
        <v>34383513.599999994</v>
      </c>
      <c r="T331" s="4">
        <f ca="1">_xll.DBRW($B$1,$B$2,$B$7,$B$3,$B$4,$B$5,$F331,$B$6,T$10,$A331,$B331)</f>
        <v>72061825.537465513</v>
      </c>
      <c r="U331" s="4">
        <f ca="1">_xll.DBRW($B$1,$B$2,$B$7,$B$3,$B$4,$B$5,$F331,$B$6,U$10,$A331,$B331)</f>
        <v>60270630.221555769</v>
      </c>
      <c r="V331" s="4">
        <f ca="1">_xll.DBRW($B$1,$B$2,$B$7,$B$3,$B$4,$B$5,$F331,$B$6,V$10,$A331,$B331)</f>
        <v>57860488.55945076</v>
      </c>
      <c r="W331" s="4">
        <f ca="1">_xll.DBRW($B$1,$B$2,$B$7,$B$3,$B$4,$B$5,$F331,$B$6,W$10,$A331,$B331)</f>
        <v>35644508.821023539</v>
      </c>
      <c r="X331" s="4">
        <f ca="1">_xll.DBRW($B$1,$B$2,$B$7,$B$3,$B$4,$B$5,$F331,$B$6,X$10,$A331,$B331)</f>
        <v>37488275.853356667</v>
      </c>
      <c r="Y331" s="4">
        <f ca="1">_xll.DBRW($B$1,$B$2,$B$7,$B$3,$B$4,$B$5,$F331,$B$6,Y$10,$A331,$B331)</f>
        <v>40833070.554020725</v>
      </c>
      <c r="Z331" s="4">
        <f ca="1">_xll.DBRW($B$1,$B$2,$B$7,$B$3,$B$4,$B$5,$F331,$B$6,Z$10,$A331,$B331)</f>
        <v>42571909.240595013</v>
      </c>
      <c r="AA331" s="4">
        <f ca="1">_xll.DBRW($B$1,$B$2,$B$7,$B$3,$B$4,$B$5,$F331,$B$6,AA$10,$A331,$B331)</f>
        <v>37532660.094641775</v>
      </c>
      <c r="AB331" s="4">
        <f ca="1">_xll.DBRW($B$1,$B$2,$B$7,$B$3,$B$4,$B$5,$F331,$B$6,AB$10,$A331,$B331)</f>
        <v>35897047.352972656</v>
      </c>
      <c r="AC331" s="4">
        <f ca="1">_xll.DBRW($B$1,$B$2,$B$7,$B$3,$B$4,$B$5,$F331,$B$6,AC$10,$A331,$B331)</f>
        <v>37962202.242422894</v>
      </c>
      <c r="AD331" s="4">
        <f ca="1">_xll.DBRW($B$1,$B$2,$B$7,$B$3,$B$4,$B$5,$F331,$B$6,AD$10,$A331,$B331)</f>
        <v>53516748.631484985</v>
      </c>
      <c r="AE331" s="4">
        <f ca="1">_xll.DBRW($B$1,$B$2,$B$7,$B$3,$B$4,$B$5,$F331,$B$6,AE$10,$A331,$B331)</f>
        <v>60381491.440520629</v>
      </c>
    </row>
    <row r="332" spans="1:31">
      <c r="A332" s="1" t="s">
        <v>153</v>
      </c>
      <c r="B332" s="5" t="s">
        <v>278</v>
      </c>
      <c r="C332" s="5" t="s">
        <v>279</v>
      </c>
      <c r="D332" s="5" t="s">
        <v>277</v>
      </c>
      <c r="E332" s="5" t="s">
        <v>21</v>
      </c>
      <c r="F332" s="5" t="s">
        <v>25</v>
      </c>
      <c r="G332" s="6"/>
      <c r="H332" s="6"/>
      <c r="I332" s="6"/>
      <c r="J332" s="6"/>
      <c r="K332" s="6"/>
      <c r="L332" s="4">
        <f ca="1">_xll.DBRW($B$1,$B$2,$B$7,$B$3,$B$4,$B$5,$F332,$B$6,L$10,$A332,$B332)</f>
        <v>37821864.960000001</v>
      </c>
      <c r="M332" s="4">
        <f ca="1">_xll.DBRW($B$1,$B$2,$B$7,$B$3,$B$4,$B$5,$F332,$B$6,M$10,$A332,$B332)</f>
        <v>40006915.279893719</v>
      </c>
      <c r="N332" s="4">
        <f ca="1">_xll.DBRW($B$1,$B$2,$B$7,$B$3,$B$4,$B$5,$F332,$B$6,N$10,$A332,$B332)</f>
        <v>39111246.719999999</v>
      </c>
      <c r="O332" s="4">
        <f ca="1">_xll.DBRW($B$1,$B$2,$B$7,$B$3,$B$4,$B$5,$F332,$B$6,O$10,$A332,$B332)</f>
        <v>36102689.279999994</v>
      </c>
      <c r="P332" s="4">
        <f ca="1">_xll.DBRW($B$1,$B$2,$B$7,$B$3,$B$4,$B$5,$F332,$B$6,P$10,$A332,$B332)</f>
        <v>34106227.199999996</v>
      </c>
      <c r="Q332" s="4">
        <f ca="1">_xll.DBRW($B$1,$B$2,$B$7,$B$3,$B$4,$B$5,$F332,$B$6,Q$10,$A332,$B332)</f>
        <v>30945162.239999995</v>
      </c>
      <c r="R332" s="4">
        <f ca="1">_xll.DBRW($B$1,$B$2,$B$7,$B$3,$B$4,$B$5,$F332,$B$6,R$10,$A332,$B332)</f>
        <v>29115072</v>
      </c>
      <c r="S332" s="4">
        <f ca="1">_xll.DBRW($B$1,$B$2,$B$7,$B$3,$B$4,$B$5,$F332,$B$6,S$10,$A332,$B332)</f>
        <v>34383513.599999994</v>
      </c>
      <c r="T332" s="4">
        <f ca="1">_xll.DBRW($B$1,$B$2,$B$7,$B$3,$B$4,$B$5,$F332,$B$6,T$10,$A332,$B332)</f>
        <v>72061825.537465513</v>
      </c>
      <c r="U332" s="4">
        <f ca="1">_xll.DBRW($B$1,$B$2,$B$7,$B$3,$B$4,$B$5,$F332,$B$6,U$10,$A332,$B332)</f>
        <v>60270630.221555769</v>
      </c>
      <c r="V332" s="4">
        <f ca="1">_xll.DBRW($B$1,$B$2,$B$7,$B$3,$B$4,$B$5,$F332,$B$6,V$10,$A332,$B332)</f>
        <v>57860488.55945076</v>
      </c>
      <c r="W332" s="4">
        <f ca="1">_xll.DBRW($B$1,$B$2,$B$7,$B$3,$B$4,$B$5,$F332,$B$6,W$10,$A332,$B332)</f>
        <v>35644508.821023539</v>
      </c>
      <c r="X332" s="4">
        <f ca="1">_xll.DBRW($B$1,$B$2,$B$7,$B$3,$B$4,$B$5,$F332,$B$6,X$10,$A332,$B332)</f>
        <v>37488275.853356667</v>
      </c>
      <c r="Y332" s="4">
        <f ca="1">_xll.DBRW($B$1,$B$2,$B$7,$B$3,$B$4,$B$5,$F332,$B$6,Y$10,$A332,$B332)</f>
        <v>40833070.554020725</v>
      </c>
      <c r="Z332" s="4">
        <f ca="1">_xll.DBRW($B$1,$B$2,$B$7,$B$3,$B$4,$B$5,$F332,$B$6,Z$10,$A332,$B332)</f>
        <v>42571909.240595013</v>
      </c>
      <c r="AA332" s="4">
        <f ca="1">_xll.DBRW($B$1,$B$2,$B$7,$B$3,$B$4,$B$5,$F332,$B$6,AA$10,$A332,$B332)</f>
        <v>37532660.094641775</v>
      </c>
      <c r="AB332" s="4">
        <f ca="1">_xll.DBRW($B$1,$B$2,$B$7,$B$3,$B$4,$B$5,$F332,$B$6,AB$10,$A332,$B332)</f>
        <v>35897047.352972656</v>
      </c>
      <c r="AC332" s="4">
        <f ca="1">_xll.DBRW($B$1,$B$2,$B$7,$B$3,$B$4,$B$5,$F332,$B$6,AC$10,$A332,$B332)</f>
        <v>37962202.242422894</v>
      </c>
      <c r="AD332" s="4">
        <f ca="1">_xll.DBRW($B$1,$B$2,$B$7,$B$3,$B$4,$B$5,$F332,$B$6,AD$10,$A332,$B332)</f>
        <v>53516748.631484985</v>
      </c>
      <c r="AE332" s="4">
        <f ca="1">_xll.DBRW($B$1,$B$2,$B$7,$B$3,$B$4,$B$5,$F332,$B$6,AE$10,$A332,$B332)</f>
        <v>60381491.440520629</v>
      </c>
    </row>
    <row r="333" spans="1:31">
      <c r="A333" s="1" t="s">
        <v>153</v>
      </c>
      <c r="B333" s="5" t="s">
        <v>280</v>
      </c>
      <c r="C333" s="5" t="s">
        <v>276</v>
      </c>
      <c r="D333" s="5" t="s">
        <v>21</v>
      </c>
      <c r="E333" s="5" t="s">
        <v>277</v>
      </c>
      <c r="F333" s="5" t="s">
        <v>25</v>
      </c>
      <c r="G333" s="6"/>
      <c r="H333" s="6"/>
      <c r="I333" s="6"/>
      <c r="J333" s="6"/>
      <c r="K333" s="6"/>
      <c r="L333" s="4">
        <f ca="1">_xll.DBRW($B$1,$B$2,$B$7,$B$3,$B$4,$B$5,$F333,$B$6,L$10,$A333,$B333)</f>
        <v>0</v>
      </c>
      <c r="M333" s="4">
        <f ca="1">_xll.DBRW($B$1,$B$2,$B$7,$B$3,$B$4,$B$5,$F333,$B$6,M$10,$A333,$B333)</f>
        <v>0</v>
      </c>
      <c r="N333" s="4">
        <f ca="1">_xll.DBRW($B$1,$B$2,$B$7,$B$3,$B$4,$B$5,$F333,$B$6,N$10,$A333,$B333)</f>
        <v>0</v>
      </c>
      <c r="O333" s="4">
        <f ca="1">_xll.DBRW($B$1,$B$2,$B$7,$B$3,$B$4,$B$5,$F333,$B$6,O$10,$A333,$B333)</f>
        <v>0</v>
      </c>
      <c r="P333" s="4">
        <f ca="1">_xll.DBRW($B$1,$B$2,$B$7,$B$3,$B$4,$B$5,$F333,$B$6,P$10,$A333,$B333)</f>
        <v>0</v>
      </c>
      <c r="Q333" s="4">
        <f ca="1">_xll.DBRW($B$1,$B$2,$B$7,$B$3,$B$4,$B$5,$F333,$B$6,Q$10,$A333,$B333)</f>
        <v>8448569.9999999981</v>
      </c>
      <c r="R333" s="4">
        <f ca="1">_xll.DBRW($B$1,$B$2,$B$7,$B$3,$B$4,$B$5,$F333,$B$6,R$10,$A333,$B333)</f>
        <v>47918556</v>
      </c>
      <c r="S333" s="4">
        <f ca="1">_xll.DBRW($B$1,$B$2,$B$7,$B$3,$B$4,$B$5,$F333,$B$6,S$10,$A333,$B333)</f>
        <v>58201259.999999993</v>
      </c>
      <c r="T333" s="4">
        <f ca="1">_xll.DBRW($B$1,$B$2,$B$7,$B$3,$B$4,$B$5,$F333,$B$6,T$10,$A333,$B333)</f>
        <v>0</v>
      </c>
      <c r="U333" s="4">
        <f ca="1">_xll.DBRW($B$1,$B$2,$B$7,$B$3,$B$4,$B$5,$F333,$B$6,U$10,$A333,$B333)</f>
        <v>0</v>
      </c>
      <c r="V333" s="4">
        <f ca="1">_xll.DBRW($B$1,$B$2,$B$7,$B$3,$B$4,$B$5,$F333,$B$6,V$10,$A333,$B333)</f>
        <v>0</v>
      </c>
      <c r="W333" s="4">
        <f ca="1">_xll.DBRW($B$1,$B$2,$B$7,$B$3,$B$4,$B$5,$F333,$B$6,W$10,$A333,$B333)</f>
        <v>0</v>
      </c>
      <c r="X333" s="4">
        <f ca="1">_xll.DBRW($B$1,$B$2,$B$7,$B$3,$B$4,$B$5,$F333,$B$6,X$10,$A333,$B333)</f>
        <v>0</v>
      </c>
      <c r="Y333" s="4">
        <f ca="1">_xll.DBRW($B$1,$B$2,$B$7,$B$3,$B$4,$B$5,$F333,$B$6,Y$10,$A333,$B333)</f>
        <v>0</v>
      </c>
      <c r="Z333" s="4">
        <f ca="1">_xll.DBRW($B$1,$B$2,$B$7,$B$3,$B$4,$B$5,$F333,$B$6,Z$10,$A333,$B333)</f>
        <v>0</v>
      </c>
      <c r="AA333" s="4">
        <f ca="1">_xll.DBRW($B$1,$B$2,$B$7,$B$3,$B$4,$B$5,$F333,$B$6,AA$10,$A333,$B333)</f>
        <v>0</v>
      </c>
      <c r="AB333" s="4">
        <f ca="1">_xll.DBRW($B$1,$B$2,$B$7,$B$3,$B$4,$B$5,$F333,$B$6,AB$10,$A333,$B333)</f>
        <v>0</v>
      </c>
      <c r="AC333" s="4">
        <f ca="1">_xll.DBRW($B$1,$B$2,$B$7,$B$3,$B$4,$B$5,$F333,$B$6,AC$10,$A333,$B333)</f>
        <v>0</v>
      </c>
      <c r="AD333" s="4">
        <f ca="1">_xll.DBRW($B$1,$B$2,$B$7,$B$3,$B$4,$B$5,$F333,$B$6,AD$10,$A333,$B333)</f>
        <v>0</v>
      </c>
      <c r="AE333" s="4">
        <f ca="1">_xll.DBRW($B$1,$B$2,$B$7,$B$3,$B$4,$B$5,$F333,$B$6,AE$10,$A333,$B333)</f>
        <v>0</v>
      </c>
    </row>
    <row r="334" spans="1:31">
      <c r="A334" s="1" t="s">
        <v>153</v>
      </c>
      <c r="B334" s="5" t="s">
        <v>281</v>
      </c>
      <c r="C334" s="5" t="s">
        <v>279</v>
      </c>
      <c r="D334" s="5" t="s">
        <v>277</v>
      </c>
      <c r="E334" s="5" t="s">
        <v>21</v>
      </c>
      <c r="F334" s="5" t="s">
        <v>25</v>
      </c>
      <c r="G334" s="6"/>
      <c r="H334" s="6"/>
      <c r="I334" s="6"/>
      <c r="J334" s="6"/>
      <c r="K334" s="6"/>
      <c r="L334" s="4">
        <f ca="1">_xll.DBRW($B$1,$B$2,$B$7,$B$3,$B$4,$B$5,$F334,$B$6,L$10,$A334,$B334)</f>
        <v>0</v>
      </c>
      <c r="M334" s="4">
        <f ca="1">_xll.DBRW($B$1,$B$2,$B$7,$B$3,$B$4,$B$5,$F334,$B$6,M$10,$A334,$B334)</f>
        <v>0</v>
      </c>
      <c r="N334" s="4">
        <f ca="1">_xll.DBRW($B$1,$B$2,$B$7,$B$3,$B$4,$B$5,$F334,$B$6,N$10,$A334,$B334)</f>
        <v>0</v>
      </c>
      <c r="O334" s="4">
        <f ca="1">_xll.DBRW($B$1,$B$2,$B$7,$B$3,$B$4,$B$5,$F334,$B$6,O$10,$A334,$B334)</f>
        <v>0</v>
      </c>
      <c r="P334" s="4">
        <f ca="1">_xll.DBRW($B$1,$B$2,$B$7,$B$3,$B$4,$B$5,$F334,$B$6,P$10,$A334,$B334)</f>
        <v>0</v>
      </c>
      <c r="Q334" s="4">
        <f ca="1">_xll.DBRW($B$1,$B$2,$B$7,$B$3,$B$4,$B$5,$F334,$B$6,Q$10,$A334,$B334)</f>
        <v>8448569.9999999981</v>
      </c>
      <c r="R334" s="4">
        <f ca="1">_xll.DBRW($B$1,$B$2,$B$7,$B$3,$B$4,$B$5,$F334,$B$6,R$10,$A334,$B334)</f>
        <v>47918556</v>
      </c>
      <c r="S334" s="4">
        <f ca="1">_xll.DBRW($B$1,$B$2,$B$7,$B$3,$B$4,$B$5,$F334,$B$6,S$10,$A334,$B334)</f>
        <v>58201259.999999993</v>
      </c>
      <c r="T334" s="4">
        <f ca="1">_xll.DBRW($B$1,$B$2,$B$7,$B$3,$B$4,$B$5,$F334,$B$6,T$10,$A334,$B334)</f>
        <v>0</v>
      </c>
      <c r="U334" s="4">
        <f ca="1">_xll.DBRW($B$1,$B$2,$B$7,$B$3,$B$4,$B$5,$F334,$B$6,U$10,$A334,$B334)</f>
        <v>0</v>
      </c>
      <c r="V334" s="4">
        <f ca="1">_xll.DBRW($B$1,$B$2,$B$7,$B$3,$B$4,$B$5,$F334,$B$6,V$10,$A334,$B334)</f>
        <v>0</v>
      </c>
      <c r="W334" s="4">
        <f ca="1">_xll.DBRW($B$1,$B$2,$B$7,$B$3,$B$4,$B$5,$F334,$B$6,W$10,$A334,$B334)</f>
        <v>0</v>
      </c>
      <c r="X334" s="4">
        <f ca="1">_xll.DBRW($B$1,$B$2,$B$7,$B$3,$B$4,$B$5,$F334,$B$6,X$10,$A334,$B334)</f>
        <v>0</v>
      </c>
      <c r="Y334" s="4">
        <f ca="1">_xll.DBRW($B$1,$B$2,$B$7,$B$3,$B$4,$B$5,$F334,$B$6,Y$10,$A334,$B334)</f>
        <v>0</v>
      </c>
      <c r="Z334" s="4">
        <f ca="1">_xll.DBRW($B$1,$B$2,$B$7,$B$3,$B$4,$B$5,$F334,$B$6,Z$10,$A334,$B334)</f>
        <v>0</v>
      </c>
      <c r="AA334" s="4">
        <f ca="1">_xll.DBRW($B$1,$B$2,$B$7,$B$3,$B$4,$B$5,$F334,$B$6,AA$10,$A334,$B334)</f>
        <v>0</v>
      </c>
      <c r="AB334" s="4">
        <f ca="1">_xll.DBRW($B$1,$B$2,$B$7,$B$3,$B$4,$B$5,$F334,$B$6,AB$10,$A334,$B334)</f>
        <v>0</v>
      </c>
      <c r="AC334" s="4">
        <f ca="1">_xll.DBRW($B$1,$B$2,$B$7,$B$3,$B$4,$B$5,$F334,$B$6,AC$10,$A334,$B334)</f>
        <v>0</v>
      </c>
      <c r="AD334" s="4">
        <f ca="1">_xll.DBRW($B$1,$B$2,$B$7,$B$3,$B$4,$B$5,$F334,$B$6,AD$10,$A334,$B334)</f>
        <v>0</v>
      </c>
      <c r="AE334" s="4">
        <f ca="1">_xll.DBRW($B$1,$B$2,$B$7,$B$3,$B$4,$B$5,$F334,$B$6,AE$10,$A334,$B334)</f>
        <v>0</v>
      </c>
    </row>
    <row r="335" spans="1:31">
      <c r="A335" s="1" t="s">
        <v>153</v>
      </c>
      <c r="B335" s="5" t="s">
        <v>282</v>
      </c>
      <c r="C335" s="5" t="s">
        <v>283</v>
      </c>
      <c r="D335" s="5" t="s">
        <v>21</v>
      </c>
      <c r="E335" s="5" t="s">
        <v>284</v>
      </c>
      <c r="F335" s="5" t="s">
        <v>25</v>
      </c>
      <c r="G335" s="6"/>
      <c r="H335" s="6"/>
      <c r="I335" s="6"/>
      <c r="J335" s="6"/>
      <c r="K335" s="6"/>
      <c r="L335" s="4">
        <f ca="1">_xll.DBRW($B$1,$B$2,$B$7,$B$3,$B$4,$B$5,$F335,$B$6,L$10,$A335,$B335)</f>
        <v>0</v>
      </c>
      <c r="M335" s="4">
        <f ca="1">_xll.DBRW($B$1,$B$2,$B$7,$B$3,$B$4,$B$5,$F335,$B$6,M$10,$A335,$B335)</f>
        <v>0</v>
      </c>
      <c r="N335" s="4">
        <f ca="1">_xll.DBRW($B$1,$B$2,$B$7,$B$3,$B$4,$B$5,$F335,$B$6,N$10,$A335,$B335)</f>
        <v>0</v>
      </c>
      <c r="O335" s="4">
        <f ca="1">_xll.DBRW($B$1,$B$2,$B$7,$B$3,$B$4,$B$5,$F335,$B$6,O$10,$A335,$B335)</f>
        <v>0</v>
      </c>
      <c r="P335" s="4">
        <f ca="1">_xll.DBRW($B$1,$B$2,$B$7,$B$3,$B$4,$B$5,$F335,$B$6,P$10,$A335,$B335)</f>
        <v>0</v>
      </c>
      <c r="Q335" s="4">
        <f ca="1">_xll.DBRW($B$1,$B$2,$B$7,$B$3,$B$4,$B$5,$F335,$B$6,Q$10,$A335,$B335)</f>
        <v>4959451.2</v>
      </c>
      <c r="R335" s="4">
        <f ca="1">_xll.DBRW($B$1,$B$2,$B$7,$B$3,$B$4,$B$5,$F335,$B$6,R$10,$A335,$B335)</f>
        <v>34429248</v>
      </c>
      <c r="S335" s="4">
        <f ca="1">_xll.DBRW($B$1,$B$2,$B$7,$B$3,$B$4,$B$5,$F335,$B$6,S$10,$A335,$B335)</f>
        <v>37101613.439999998</v>
      </c>
      <c r="T335" s="4">
        <f ca="1">_xll.DBRW($B$1,$B$2,$B$7,$B$3,$B$4,$B$5,$F335,$B$6,T$10,$A335,$B335)</f>
        <v>40131804.357836679</v>
      </c>
      <c r="U335" s="4">
        <f ca="1">_xll.DBRW($B$1,$B$2,$B$7,$B$3,$B$4,$B$5,$F335,$B$6,U$10,$A335,$B335)</f>
        <v>39927801.108196661</v>
      </c>
      <c r="V335" s="4">
        <f ca="1">_xll.DBRW($B$1,$B$2,$B$7,$B$3,$B$4,$B$5,$F335,$B$6,V$10,$A335,$B335)</f>
        <v>37343841.71121037</v>
      </c>
      <c r="W335" s="4">
        <f ca="1">_xll.DBRW($B$1,$B$2,$B$7,$B$3,$B$4,$B$5,$F335,$B$6,W$10,$A335,$B335)</f>
        <v>0</v>
      </c>
      <c r="X335" s="4">
        <f ca="1">_xll.DBRW($B$1,$B$2,$B$7,$B$3,$B$4,$B$5,$F335,$B$6,X$10,$A335,$B335)</f>
        <v>0</v>
      </c>
      <c r="Y335" s="4">
        <f ca="1">_xll.DBRW($B$1,$B$2,$B$7,$B$3,$B$4,$B$5,$F335,$B$6,Y$10,$A335,$B335)</f>
        <v>0</v>
      </c>
      <c r="Z335" s="4">
        <f ca="1">_xll.DBRW($B$1,$B$2,$B$7,$B$3,$B$4,$B$5,$F335,$B$6,Z$10,$A335,$B335)</f>
        <v>0</v>
      </c>
      <c r="AA335" s="4">
        <f ca="1">_xll.DBRW($B$1,$B$2,$B$7,$B$3,$B$4,$B$5,$F335,$B$6,AA$10,$A335,$B335)</f>
        <v>0</v>
      </c>
      <c r="AB335" s="4">
        <f ca="1">_xll.DBRW($B$1,$B$2,$B$7,$B$3,$B$4,$B$5,$F335,$B$6,AB$10,$A335,$B335)</f>
        <v>0</v>
      </c>
      <c r="AC335" s="4">
        <f ca="1">_xll.DBRW($B$1,$B$2,$B$7,$B$3,$B$4,$B$5,$F335,$B$6,AC$10,$A335,$B335)</f>
        <v>5794235.6760161715</v>
      </c>
      <c r="AD335" s="4">
        <f ca="1">_xll.DBRW($B$1,$B$2,$B$7,$B$3,$B$4,$B$5,$F335,$B$6,AD$10,$A335,$B335)</f>
        <v>35404582.525124259</v>
      </c>
      <c r="AE335" s="4">
        <f ca="1">_xll.DBRW($B$1,$B$2,$B$7,$B$3,$B$4,$B$5,$F335,$B$6,AE$10,$A335,$B335)</f>
        <v>39996315.001943618</v>
      </c>
    </row>
    <row r="336" spans="1:31">
      <c r="A336" s="1" t="s">
        <v>153</v>
      </c>
      <c r="B336" s="5" t="s">
        <v>285</v>
      </c>
      <c r="C336" s="5" t="s">
        <v>286</v>
      </c>
      <c r="D336" s="5" t="s">
        <v>284</v>
      </c>
      <c r="E336" s="5" t="s">
        <v>21</v>
      </c>
      <c r="F336" s="5" t="s">
        <v>25</v>
      </c>
      <c r="G336" s="6"/>
      <c r="H336" s="6"/>
      <c r="I336" s="6"/>
      <c r="J336" s="6"/>
      <c r="K336" s="6"/>
      <c r="L336" s="4">
        <f ca="1">_xll.DBRW($B$1,$B$2,$B$7,$B$3,$B$4,$B$5,$F336,$B$6,L$10,$A336,$B336)</f>
        <v>0</v>
      </c>
      <c r="M336" s="4">
        <f ca="1">_xll.DBRW($B$1,$B$2,$B$7,$B$3,$B$4,$B$5,$F336,$B$6,M$10,$A336,$B336)</f>
        <v>0</v>
      </c>
      <c r="N336" s="4">
        <f ca="1">_xll.DBRW($B$1,$B$2,$B$7,$B$3,$B$4,$B$5,$F336,$B$6,N$10,$A336,$B336)</f>
        <v>0</v>
      </c>
      <c r="O336" s="4">
        <f ca="1">_xll.DBRW($B$1,$B$2,$B$7,$B$3,$B$4,$B$5,$F336,$B$6,O$10,$A336,$B336)</f>
        <v>0</v>
      </c>
      <c r="P336" s="4">
        <f ca="1">_xll.DBRW($B$1,$B$2,$B$7,$B$3,$B$4,$B$5,$F336,$B$6,P$10,$A336,$B336)</f>
        <v>0</v>
      </c>
      <c r="Q336" s="4">
        <f ca="1">_xll.DBRW($B$1,$B$2,$B$7,$B$3,$B$4,$B$5,$F336,$B$6,Q$10,$A336,$B336)</f>
        <v>4959451.2</v>
      </c>
      <c r="R336" s="4">
        <f ca="1">_xll.DBRW($B$1,$B$2,$B$7,$B$3,$B$4,$B$5,$F336,$B$6,R$10,$A336,$B336)</f>
        <v>34429248</v>
      </c>
      <c r="S336" s="4">
        <f ca="1">_xll.DBRW($B$1,$B$2,$B$7,$B$3,$B$4,$B$5,$F336,$B$6,S$10,$A336,$B336)</f>
        <v>37101613.439999998</v>
      </c>
      <c r="T336" s="4">
        <f ca="1">_xll.DBRW($B$1,$B$2,$B$7,$B$3,$B$4,$B$5,$F336,$B$6,T$10,$A336,$B336)</f>
        <v>38837230.023712918</v>
      </c>
      <c r="U336" s="4">
        <f ca="1">_xll.DBRW($B$1,$B$2,$B$7,$B$3,$B$4,$B$5,$F336,$B$6,U$10,$A336,$B336)</f>
        <v>39927801.108196661</v>
      </c>
      <c r="V336" s="4">
        <f ca="1">_xll.DBRW($B$1,$B$2,$B$7,$B$3,$B$4,$B$5,$F336,$B$6,V$10,$A336,$B336)</f>
        <v>38677550.343753606</v>
      </c>
      <c r="W336" s="4">
        <f ca="1">_xll.DBRW($B$1,$B$2,$B$7,$B$3,$B$4,$B$5,$F336,$B$6,W$10,$A336,$B336)</f>
        <v>0</v>
      </c>
      <c r="X336" s="4">
        <f ca="1">_xll.DBRW($B$1,$B$2,$B$7,$B$3,$B$4,$B$5,$F336,$B$6,X$10,$A336,$B336)</f>
        <v>0</v>
      </c>
      <c r="Y336" s="4">
        <f ca="1">_xll.DBRW($B$1,$B$2,$B$7,$B$3,$B$4,$B$5,$F336,$B$6,Y$10,$A336,$B336)</f>
        <v>0</v>
      </c>
      <c r="Z336" s="4">
        <f ca="1">_xll.DBRW($B$1,$B$2,$B$7,$B$3,$B$4,$B$5,$F336,$B$6,Z$10,$A336,$B336)</f>
        <v>0</v>
      </c>
      <c r="AA336" s="4">
        <f ca="1">_xll.DBRW($B$1,$B$2,$B$7,$B$3,$B$4,$B$5,$F336,$B$6,AA$10,$A336,$B336)</f>
        <v>0</v>
      </c>
      <c r="AB336" s="4">
        <f ca="1">_xll.DBRW($B$1,$B$2,$B$7,$B$3,$B$4,$B$5,$F336,$B$6,AB$10,$A336,$B336)</f>
        <v>0</v>
      </c>
      <c r="AC336" s="4">
        <f ca="1">_xll.DBRW($B$1,$B$2,$B$7,$B$3,$B$4,$B$5,$F336,$B$6,AC$10,$A336,$B336)</f>
        <v>4828529.7300134767</v>
      </c>
      <c r="AD336" s="4">
        <f ca="1">_xll.DBRW($B$1,$B$2,$B$7,$B$3,$B$4,$B$5,$F336,$B$6,AD$10,$A336,$B336)</f>
        <v>35404582.525124259</v>
      </c>
      <c r="AE336" s="4">
        <f ca="1">_xll.DBRW($B$1,$B$2,$B$7,$B$3,$B$4,$B$5,$F336,$B$6,AE$10,$A336,$B336)</f>
        <v>37415907.582463384</v>
      </c>
    </row>
    <row r="337" spans="1:31">
      <c r="A337" s="1" t="s">
        <v>153</v>
      </c>
      <c r="B337" s="5" t="s">
        <v>287</v>
      </c>
      <c r="C337" s="5" t="s">
        <v>288</v>
      </c>
      <c r="D337" s="5" t="s">
        <v>21</v>
      </c>
      <c r="E337" s="5" t="s">
        <v>289</v>
      </c>
      <c r="F337" s="5" t="s">
        <v>25</v>
      </c>
      <c r="G337" s="6"/>
      <c r="H337" s="6"/>
      <c r="I337" s="6"/>
      <c r="J337" s="6"/>
      <c r="K337" s="6"/>
      <c r="L337" s="4">
        <f ca="1">_xll.DBRW($B$1,$B$2,$B$7,$B$3,$B$4,$B$5,$F337,$B$6,L$10,$A337,$B337)</f>
        <v>0</v>
      </c>
      <c r="M337" s="4">
        <f ca="1">_xll.DBRW($B$1,$B$2,$B$7,$B$3,$B$4,$B$5,$F337,$B$6,M$10,$A337,$B337)</f>
        <v>0</v>
      </c>
      <c r="N337" s="4">
        <f ca="1">_xll.DBRW($B$1,$B$2,$B$7,$B$3,$B$4,$B$5,$F337,$B$6,N$10,$A337,$B337)</f>
        <v>0</v>
      </c>
      <c r="O337" s="4">
        <f ca="1">_xll.DBRW($B$1,$B$2,$B$7,$B$3,$B$4,$B$5,$F337,$B$6,O$10,$A337,$B337)</f>
        <v>0</v>
      </c>
      <c r="P337" s="4">
        <f ca="1">_xll.DBRW($B$1,$B$2,$B$7,$B$3,$B$4,$B$5,$F337,$B$6,P$10,$A337,$B337)</f>
        <v>0</v>
      </c>
      <c r="Q337" s="4">
        <f ca="1">_xll.DBRW($B$1,$B$2,$B$7,$B$3,$B$4,$B$5,$F337,$B$6,Q$10,$A337,$B337)</f>
        <v>4225340.7300000004</v>
      </c>
      <c r="R337" s="4">
        <f ca="1">_xll.DBRW($B$1,$B$2,$B$7,$B$3,$B$4,$B$5,$F337,$B$6,R$10,$A337,$B337)</f>
        <v>21321415.5</v>
      </c>
      <c r="S337" s="4">
        <f ca="1">_xll.DBRW($B$1,$B$2,$B$7,$B$3,$B$4,$B$5,$F337,$B$6,S$10,$A337,$B337)</f>
        <v>26464296.599999994</v>
      </c>
      <c r="T337" s="4">
        <f ca="1">_xll.DBRW($B$1,$B$2,$B$7,$B$3,$B$4,$B$5,$F337,$B$6,T$10,$A337,$B337)</f>
        <v>29511298.061042335</v>
      </c>
      <c r="U337" s="4">
        <f ca="1">_xll.DBRW($B$1,$B$2,$B$7,$B$3,$B$4,$B$5,$F337,$B$6,U$10,$A337,$B337)</f>
        <v>25357003.611037895</v>
      </c>
      <c r="V337" s="4">
        <f ca="1">_xll.DBRW($B$1,$B$2,$B$7,$B$3,$B$4,$B$5,$F337,$B$6,V$10,$A337,$B337)</f>
        <v>27100900.557488043</v>
      </c>
      <c r="W337" s="4">
        <f ca="1">_xll.DBRW($B$1,$B$2,$B$7,$B$3,$B$4,$B$5,$F337,$B$6,W$10,$A337,$B337)</f>
        <v>0</v>
      </c>
      <c r="X337" s="4">
        <f ca="1">_xll.DBRW($B$1,$B$2,$B$7,$B$3,$B$4,$B$5,$F337,$B$6,X$10,$A337,$B337)</f>
        <v>0</v>
      </c>
      <c r="Y337" s="4">
        <f ca="1">_xll.DBRW($B$1,$B$2,$B$7,$B$3,$B$4,$B$5,$F337,$B$6,Y$10,$A337,$B337)</f>
        <v>0</v>
      </c>
      <c r="Z337" s="4">
        <f ca="1">_xll.DBRW($B$1,$B$2,$B$7,$B$3,$B$4,$B$5,$F337,$B$6,Z$10,$A337,$B337)</f>
        <v>0</v>
      </c>
      <c r="AA337" s="4">
        <f ca="1">_xll.DBRW($B$1,$B$2,$B$7,$B$3,$B$4,$B$5,$F337,$B$6,AA$10,$A337,$B337)</f>
        <v>0</v>
      </c>
      <c r="AB337" s="4">
        <f ca="1">_xll.DBRW($B$1,$B$2,$B$7,$B$3,$B$4,$B$5,$F337,$B$6,AB$10,$A337,$B337)</f>
        <v>0</v>
      </c>
      <c r="AC337" s="4">
        <f ca="1">_xll.DBRW($B$1,$B$2,$B$7,$B$3,$B$4,$B$5,$F337,$B$6,AC$10,$A337,$B337)</f>
        <v>2313257.2050742242</v>
      </c>
      <c r="AD337" s="4">
        <f ca="1">_xll.DBRW($B$1,$B$2,$B$7,$B$3,$B$4,$B$5,$F337,$B$6,AD$10,$A337,$B337)</f>
        <v>26011866.243642114</v>
      </c>
      <c r="AE337" s="4">
        <f ca="1">_xll.DBRW($B$1,$B$2,$B$7,$B$3,$B$4,$B$5,$F337,$B$6,AE$10,$A337,$B337)</f>
        <v>27789400.990853347</v>
      </c>
    </row>
    <row r="338" spans="1:31">
      <c r="A338" s="1" t="s">
        <v>153</v>
      </c>
      <c r="B338" s="5" t="s">
        <v>290</v>
      </c>
      <c r="C338" s="5" t="s">
        <v>291</v>
      </c>
      <c r="D338" s="5" t="s">
        <v>289</v>
      </c>
      <c r="E338" s="5" t="s">
        <v>21</v>
      </c>
      <c r="F338" s="5" t="s">
        <v>25</v>
      </c>
      <c r="G338" s="6"/>
      <c r="H338" s="6"/>
      <c r="I338" s="6"/>
      <c r="J338" s="6"/>
      <c r="K338" s="6"/>
      <c r="L338" s="4">
        <f ca="1">_xll.DBRW($B$1,$B$2,$B$7,$B$3,$B$4,$B$5,$F338,$B$6,L$10,$A338,$B338)</f>
        <v>0</v>
      </c>
      <c r="M338" s="4">
        <f ca="1">_xll.DBRW($B$1,$B$2,$B$7,$B$3,$B$4,$B$5,$F338,$B$6,M$10,$A338,$B338)</f>
        <v>0</v>
      </c>
      <c r="N338" s="4">
        <f ca="1">_xll.DBRW($B$1,$B$2,$B$7,$B$3,$B$4,$B$5,$F338,$B$6,N$10,$A338,$B338)</f>
        <v>0</v>
      </c>
      <c r="O338" s="4">
        <f ca="1">_xll.DBRW($B$1,$B$2,$B$7,$B$3,$B$4,$B$5,$F338,$B$6,O$10,$A338,$B338)</f>
        <v>0</v>
      </c>
      <c r="P338" s="4">
        <f ca="1">_xll.DBRW($B$1,$B$2,$B$7,$B$3,$B$4,$B$5,$F338,$B$6,P$10,$A338,$B338)</f>
        <v>0</v>
      </c>
      <c r="Q338" s="4">
        <f ca="1">_xll.DBRW($B$1,$B$2,$B$7,$B$3,$B$4,$B$5,$F338,$B$6,Q$10,$A338,$B338)</f>
        <v>2795400.4650000003</v>
      </c>
      <c r="R338" s="4">
        <f ca="1">_xll.DBRW($B$1,$B$2,$B$7,$B$3,$B$4,$B$5,$F338,$B$6,R$10,$A338,$B338)</f>
        <v>21321415.5</v>
      </c>
      <c r="S338" s="4">
        <f ca="1">_xll.DBRW($B$1,$B$2,$B$7,$B$3,$B$4,$B$5,$F338,$B$6,S$10,$A338,$B338)</f>
        <v>26464296.599999994</v>
      </c>
      <c r="T338" s="4">
        <f ca="1">_xll.DBRW($B$1,$B$2,$B$7,$B$3,$B$4,$B$5,$F338,$B$6,T$10,$A338,$B338)</f>
        <v>29511298.061042335</v>
      </c>
      <c r="U338" s="4">
        <f ca="1">_xll.DBRW($B$1,$B$2,$B$7,$B$3,$B$4,$B$5,$F338,$B$6,U$10,$A338,$B338)</f>
        <v>25357003.611037895</v>
      </c>
      <c r="V338" s="4">
        <f ca="1">_xll.DBRW($B$1,$B$2,$B$7,$B$3,$B$4,$B$5,$F338,$B$6,V$10,$A338,$B338)</f>
        <v>27100900.557488043</v>
      </c>
      <c r="W338" s="4">
        <f ca="1">_xll.DBRW($B$1,$B$2,$B$7,$B$3,$B$4,$B$5,$F338,$B$6,W$10,$A338,$B338)</f>
        <v>0</v>
      </c>
      <c r="X338" s="4">
        <f ca="1">_xll.DBRW($B$1,$B$2,$B$7,$B$3,$B$4,$B$5,$F338,$B$6,X$10,$A338,$B338)</f>
        <v>0</v>
      </c>
      <c r="Y338" s="4">
        <f ca="1">_xll.DBRW($B$1,$B$2,$B$7,$B$3,$B$4,$B$5,$F338,$B$6,Y$10,$A338,$B338)</f>
        <v>0</v>
      </c>
      <c r="Z338" s="4">
        <f ca="1">_xll.DBRW($B$1,$B$2,$B$7,$B$3,$B$4,$B$5,$F338,$B$6,Z$10,$A338,$B338)</f>
        <v>0</v>
      </c>
      <c r="AA338" s="4">
        <f ca="1">_xll.DBRW($B$1,$B$2,$B$7,$B$3,$B$4,$B$5,$F338,$B$6,AA$10,$A338,$B338)</f>
        <v>0</v>
      </c>
      <c r="AB338" s="4">
        <f ca="1">_xll.DBRW($B$1,$B$2,$B$7,$B$3,$B$4,$B$5,$F338,$B$6,AB$10,$A338,$B338)</f>
        <v>0</v>
      </c>
      <c r="AC338" s="4">
        <f ca="1">_xll.DBRW($B$1,$B$2,$B$7,$B$3,$B$4,$B$5,$F338,$B$6,AC$10,$A338,$B338)</f>
        <v>2313257.2050742242</v>
      </c>
      <c r="AD338" s="4">
        <f ca="1">_xll.DBRW($B$1,$B$2,$B$7,$B$3,$B$4,$B$5,$F338,$B$6,AD$10,$A338,$B338)</f>
        <v>26011866.243642114</v>
      </c>
      <c r="AE338" s="4">
        <f ca="1">_xll.DBRW($B$1,$B$2,$B$7,$B$3,$B$4,$B$5,$F338,$B$6,AE$10,$A338,$B338)</f>
        <v>27789400.990853347</v>
      </c>
    </row>
    <row r="339" spans="1:31">
      <c r="A339" s="1" t="s">
        <v>153</v>
      </c>
      <c r="B339" s="5" t="s">
        <v>292</v>
      </c>
      <c r="C339" s="5" t="s">
        <v>293</v>
      </c>
      <c r="D339" s="5" t="s">
        <v>21</v>
      </c>
      <c r="E339" s="5" t="s">
        <v>294</v>
      </c>
      <c r="F339" s="5" t="s">
        <v>25</v>
      </c>
      <c r="G339" s="6"/>
      <c r="H339" s="6"/>
      <c r="I339" s="6"/>
      <c r="J339" s="6"/>
      <c r="K339" s="6"/>
      <c r="L339" s="4">
        <f ca="1">_xll.DBRW($B$1,$B$2,$B$7,$B$3,$B$4,$B$5,$F339,$B$6,L$10,$A339,$B339)</f>
        <v>33776062.5</v>
      </c>
      <c r="M339" s="4">
        <f ca="1">_xll.DBRW($B$1,$B$2,$B$7,$B$3,$B$4,$B$5,$F339,$B$6,M$10,$A339,$B339)</f>
        <v>32531988.008530032</v>
      </c>
      <c r="N339" s="4">
        <f ca="1">_xll.DBRW($B$1,$B$2,$B$7,$B$3,$B$4,$B$5,$F339,$B$6,N$10,$A339,$B339)</f>
        <v>31465193.5</v>
      </c>
      <c r="O339" s="4">
        <f ca="1">_xll.DBRW($B$1,$B$2,$B$7,$B$3,$B$4,$B$5,$F339,$B$6,O$10,$A339,$B339)</f>
        <v>31837198.000000004</v>
      </c>
      <c r="P339" s="4">
        <f ca="1">_xll.DBRW($B$1,$B$2,$B$7,$B$3,$B$4,$B$5,$F339,$B$6,P$10,$A339,$B339)</f>
        <v>32130610</v>
      </c>
      <c r="Q339" s="4">
        <f ca="1">_xll.DBRW($B$1,$B$2,$B$7,$B$3,$B$4,$B$5,$F339,$B$6,Q$10,$A339,$B339)</f>
        <v>31583706</v>
      </c>
      <c r="R339" s="4">
        <f ca="1">_xll.DBRW($B$1,$B$2,$B$7,$B$3,$B$4,$B$5,$F339,$B$6,R$10,$A339,$B339)</f>
        <v>41936958</v>
      </c>
      <c r="S339" s="4">
        <f ca="1">_xll.DBRW($B$1,$B$2,$B$7,$B$3,$B$4,$B$5,$F339,$B$6,S$10,$A339,$B339)</f>
        <v>44438445</v>
      </c>
      <c r="T339" s="4">
        <f ca="1">_xll.DBRW($B$1,$B$2,$B$7,$B$3,$B$4,$B$5,$F339,$B$6,T$10,$A339,$B339)</f>
        <v>34944812.574974611</v>
      </c>
      <c r="U339" s="4">
        <f ca="1">_xll.DBRW($B$1,$B$2,$B$7,$B$3,$B$4,$B$5,$F339,$B$6,U$10,$A339,$B339)</f>
        <v>25215338.371812079</v>
      </c>
      <c r="V339" s="4">
        <f ca="1">_xll.DBRW($B$1,$B$2,$B$7,$B$3,$B$4,$B$5,$F339,$B$6,V$10,$A339,$B339)</f>
        <v>26554953.060215216</v>
      </c>
      <c r="W339" s="4">
        <f ca="1">_xll.DBRW($B$1,$B$2,$B$7,$B$3,$B$4,$B$5,$F339,$B$6,W$10,$A339,$B339)</f>
        <v>27092615.797756679</v>
      </c>
      <c r="X339" s="4">
        <f ca="1">_xll.DBRW($B$1,$B$2,$B$7,$B$3,$B$4,$B$5,$F339,$B$6,X$10,$A339,$B339)</f>
        <v>26978555.184078988</v>
      </c>
      <c r="Y339" s="4">
        <f ca="1">_xll.DBRW($B$1,$B$2,$B$7,$B$3,$B$4,$B$5,$F339,$B$6,Y$10,$A339,$B339)</f>
        <v>27366606.542777494</v>
      </c>
      <c r="Z339" s="4">
        <f ca="1">_xll.DBRW($B$1,$B$2,$B$7,$B$3,$B$4,$B$5,$F339,$B$6,Z$10,$A339,$B339)</f>
        <v>28346329.293795355</v>
      </c>
      <c r="AA339" s="4">
        <f ca="1">_xll.DBRW($B$1,$B$2,$B$7,$B$3,$B$4,$B$5,$F339,$B$6,AA$10,$A339,$B339)</f>
        <v>28346329.293795355</v>
      </c>
      <c r="AB339" s="4">
        <f ca="1">_xll.DBRW($B$1,$B$2,$B$7,$B$3,$B$4,$B$5,$F339,$B$6,AB$10,$A339,$B339)</f>
        <v>27431931.574640673</v>
      </c>
      <c r="AC339" s="4">
        <f ca="1">_xll.DBRW($B$1,$B$2,$B$7,$B$3,$B$4,$B$5,$F339,$B$6,AC$10,$A339,$B339)</f>
        <v>30273978.539580919</v>
      </c>
      <c r="AD339" s="4">
        <f ca="1">_xll.DBRW($B$1,$B$2,$B$7,$B$3,$B$4,$B$5,$F339,$B$6,AD$10,$A339,$B339)</f>
        <v>36282720.602956951</v>
      </c>
      <c r="AE339" s="4">
        <f ca="1">_xll.DBRW($B$1,$B$2,$B$7,$B$3,$B$4,$B$5,$F339,$B$6,AE$10,$A339,$B339)</f>
        <v>35989142.218081355</v>
      </c>
    </row>
    <row r="340" spans="1:31">
      <c r="A340" s="1" t="s">
        <v>153</v>
      </c>
      <c r="B340" s="5" t="s">
        <v>295</v>
      </c>
      <c r="C340" s="5" t="s">
        <v>296</v>
      </c>
      <c r="D340" s="5" t="s">
        <v>294</v>
      </c>
      <c r="E340" s="5" t="s">
        <v>21</v>
      </c>
      <c r="F340" s="5" t="s">
        <v>25</v>
      </c>
      <c r="G340" s="6"/>
      <c r="H340" s="6"/>
      <c r="I340" s="6"/>
      <c r="J340" s="6"/>
      <c r="K340" s="6"/>
      <c r="L340" s="4">
        <f ca="1">_xll.DBRW($B$1,$B$2,$B$7,$B$3,$B$4,$B$5,$F340,$B$6,L$10,$A340,$B340)</f>
        <v>34013087.5</v>
      </c>
      <c r="M340" s="4">
        <f ca="1">_xll.DBRW($B$1,$B$2,$B$7,$B$3,$B$4,$B$5,$F340,$B$6,M$10,$A340,$B340)</f>
        <v>32294528.242044412</v>
      </c>
      <c r="N340" s="4">
        <f ca="1">_xll.DBRW($B$1,$B$2,$B$7,$B$3,$B$4,$B$5,$F340,$B$6,N$10,$A340,$B340)</f>
        <v>31465193.5</v>
      </c>
      <c r="O340" s="4">
        <f ca="1">_xll.DBRW($B$1,$B$2,$B$7,$B$3,$B$4,$B$5,$F340,$B$6,O$10,$A340,$B340)</f>
        <v>31837198.000000004</v>
      </c>
      <c r="P340" s="4">
        <f ca="1">_xll.DBRW($B$1,$B$2,$B$7,$B$3,$B$4,$B$5,$F340,$B$6,P$10,$A340,$B340)</f>
        <v>32130610</v>
      </c>
      <c r="Q340" s="4">
        <f ca="1">_xll.DBRW($B$1,$B$2,$B$7,$B$3,$B$4,$B$5,$F340,$B$6,Q$10,$A340,$B340)</f>
        <v>31583706</v>
      </c>
      <c r="R340" s="4">
        <f ca="1">_xll.DBRW($B$1,$B$2,$B$7,$B$3,$B$4,$B$5,$F340,$B$6,R$10,$A340,$B340)</f>
        <v>41936958</v>
      </c>
      <c r="S340" s="4">
        <f ca="1">_xll.DBRW($B$1,$B$2,$B$7,$B$3,$B$4,$B$5,$F340,$B$6,S$10,$A340,$B340)</f>
        <v>44438445</v>
      </c>
      <c r="T340" s="4">
        <f ca="1">_xll.DBRW($B$1,$B$2,$B$7,$B$3,$B$4,$B$5,$F340,$B$6,T$10,$A340,$B340)</f>
        <v>35356196.895674117</v>
      </c>
      <c r="U340" s="4">
        <f ca="1">_xll.DBRW($B$1,$B$2,$B$7,$B$3,$B$4,$B$5,$F340,$B$6,U$10,$A340,$B340)</f>
        <v>25215338.371812079</v>
      </c>
      <c r="V340" s="4">
        <f ca="1">_xll.DBRW($B$1,$B$2,$B$7,$B$3,$B$4,$B$5,$F340,$B$6,V$10,$A340,$B340)</f>
        <v>26554953.060215216</v>
      </c>
      <c r="W340" s="4">
        <f ca="1">_xll.DBRW($B$1,$B$2,$B$7,$B$3,$B$4,$B$5,$F340,$B$6,W$10,$A340,$B340)</f>
        <v>27092615.797756679</v>
      </c>
      <c r="X340" s="4">
        <f ca="1">_xll.DBRW($B$1,$B$2,$B$7,$B$3,$B$4,$B$5,$F340,$B$6,X$10,$A340,$B340)</f>
        <v>26978555.184078988</v>
      </c>
      <c r="Y340" s="4">
        <f ca="1">_xll.DBRW($B$1,$B$2,$B$7,$B$3,$B$4,$B$5,$F340,$B$6,Y$10,$A340,$B340)</f>
        <v>27366606.542777494</v>
      </c>
      <c r="Z340" s="4">
        <f ca="1">_xll.DBRW($B$1,$B$2,$B$7,$B$3,$B$4,$B$5,$F340,$B$6,Z$10,$A340,$B340)</f>
        <v>28346329.293795355</v>
      </c>
      <c r="AA340" s="4">
        <f ca="1">_xll.DBRW($B$1,$B$2,$B$7,$B$3,$B$4,$B$5,$F340,$B$6,AA$10,$A340,$B340)</f>
        <v>28346329.293795355</v>
      </c>
      <c r="AB340" s="4">
        <f ca="1">_xll.DBRW($B$1,$B$2,$B$7,$B$3,$B$4,$B$5,$F340,$B$6,AB$10,$A340,$B340)</f>
        <v>27431931.574640673</v>
      </c>
      <c r="AC340" s="4">
        <f ca="1">_xll.DBRW($B$1,$B$2,$B$7,$B$3,$B$4,$B$5,$F340,$B$6,AC$10,$A340,$B340)</f>
        <v>30273978.539580919</v>
      </c>
      <c r="AD340" s="4">
        <f ca="1">_xll.DBRW($B$1,$B$2,$B$7,$B$3,$B$4,$B$5,$F340,$B$6,AD$10,$A340,$B340)</f>
        <v>36282720.602956951</v>
      </c>
      <c r="AE340" s="4">
        <f ca="1">_xll.DBRW($B$1,$B$2,$B$7,$B$3,$B$4,$B$5,$F340,$B$6,AE$10,$A340,$B340)</f>
        <v>35989142.218081355</v>
      </c>
    </row>
    <row r="341" spans="1:31">
      <c r="A341" s="1" t="s">
        <v>153</v>
      </c>
      <c r="B341" s="5" t="s">
        <v>297</v>
      </c>
      <c r="C341" s="5" t="s">
        <v>298</v>
      </c>
      <c r="D341" s="5" t="s">
        <v>21</v>
      </c>
      <c r="E341" s="5" t="s">
        <v>299</v>
      </c>
      <c r="F341" s="5" t="s">
        <v>25</v>
      </c>
      <c r="G341" s="6"/>
      <c r="H341" s="6"/>
      <c r="I341" s="6"/>
      <c r="J341" s="6"/>
      <c r="K341" s="6"/>
      <c r="L341" s="4">
        <f ca="1">_xll.DBRW($B$1,$B$2,$B$7,$B$3,$B$4,$B$5,$F341,$B$6,L$10,$A341,$B341)</f>
        <v>45760464</v>
      </c>
      <c r="M341" s="4">
        <f ca="1">_xll.DBRW($B$1,$B$2,$B$7,$B$3,$B$4,$B$5,$F341,$B$6,M$10,$A341,$B341)</f>
        <v>48530024.972500913</v>
      </c>
      <c r="N341" s="4">
        <f ca="1">_xll.DBRW($B$1,$B$2,$B$7,$B$3,$B$4,$B$5,$F341,$B$6,N$10,$A341,$B341)</f>
        <v>51682406.399999999</v>
      </c>
      <c r="O341" s="4">
        <f ca="1">_xll.DBRW($B$1,$B$2,$B$7,$B$3,$B$4,$B$5,$F341,$B$6,O$10,$A341,$B341)</f>
        <v>51682406.399999999</v>
      </c>
      <c r="P341" s="4">
        <f ca="1">_xll.DBRW($B$1,$B$2,$B$7,$B$3,$B$4,$B$5,$F341,$B$6,P$10,$A341,$B341)</f>
        <v>49494240</v>
      </c>
      <c r="Q341" s="4">
        <f ca="1">_xll.DBRW($B$1,$B$2,$B$7,$B$3,$B$4,$B$5,$F341,$B$6,Q$10,$A341,$B341)</f>
        <v>49528972.799999997</v>
      </c>
      <c r="R341" s="4">
        <f ca="1">_xll.DBRW($B$1,$B$2,$B$7,$B$3,$B$4,$B$5,$F341,$B$6,R$10,$A341,$B341)</f>
        <v>42721344</v>
      </c>
      <c r="S341" s="4">
        <f ca="1">_xll.DBRW($B$1,$B$2,$B$7,$B$3,$B$4,$B$5,$F341,$B$6,S$10,$A341,$B341)</f>
        <v>46837180.799999997</v>
      </c>
      <c r="T341" s="4">
        <f ca="1">_xll.DBRW($B$1,$B$2,$B$7,$B$3,$B$4,$B$5,$F341,$B$6,T$10,$A341,$B341)</f>
        <v>46352012.223952428</v>
      </c>
      <c r="U341" s="4">
        <f ca="1">_xll.DBRW($B$1,$B$2,$B$7,$B$3,$B$4,$B$5,$F341,$B$6,U$10,$A341,$B341)</f>
        <v>37367972.353440672</v>
      </c>
      <c r="V341" s="4">
        <f ca="1">_xll.DBRW($B$1,$B$2,$B$7,$B$3,$B$4,$B$5,$F341,$B$6,V$10,$A341,$B341)</f>
        <v>47801839.171686836</v>
      </c>
      <c r="W341" s="4">
        <f ca="1">_xll.DBRW($B$1,$B$2,$B$7,$B$3,$B$4,$B$5,$F341,$B$6,W$10,$A341,$B341)</f>
        <v>45611335.452514365</v>
      </c>
      <c r="X341" s="4">
        <f ca="1">_xll.DBRW($B$1,$B$2,$B$7,$B$3,$B$4,$B$5,$F341,$B$6,X$10,$A341,$B341)</f>
        <v>43073476.82666719</v>
      </c>
      <c r="Y341" s="4">
        <f ca="1">_xll.DBRW($B$1,$B$2,$B$7,$B$3,$B$4,$B$5,$F341,$B$6,Y$10,$A341,$B341)</f>
        <v>47717436.391739137</v>
      </c>
      <c r="Z341" s="4">
        <f ca="1">_xll.DBRW($B$1,$B$2,$B$7,$B$3,$B$4,$B$5,$F341,$B$6,Z$10,$A341,$B341)</f>
        <v>53325428.483753212</v>
      </c>
      <c r="AA341" s="4">
        <f ca="1">_xll.DBRW($B$1,$B$2,$B$7,$B$3,$B$4,$B$5,$F341,$B$6,AA$10,$A341,$B341)</f>
        <v>53325428.483753212</v>
      </c>
      <c r="AB341" s="4">
        <f ca="1">_xll.DBRW($B$1,$B$2,$B$7,$B$3,$B$4,$B$5,$F341,$B$6,AB$10,$A341,$B341)</f>
        <v>51605253.371374071</v>
      </c>
      <c r="AC341" s="4">
        <f ca="1">_xll.DBRW($B$1,$B$2,$B$7,$B$3,$B$4,$B$5,$F341,$B$6,AC$10,$A341,$B341)</f>
        <v>52833530.525166422</v>
      </c>
      <c r="AD341" s="4">
        <f ca="1">_xll.DBRW($B$1,$B$2,$B$7,$B$3,$B$4,$B$5,$F341,$B$6,AD$10,$A341,$B341)</f>
        <v>48374834.975373477</v>
      </c>
      <c r="AE341" s="4">
        <f ca="1">_xll.DBRW($B$1,$B$2,$B$7,$B$3,$B$4,$B$5,$F341,$B$6,AE$10,$A341,$B341)</f>
        <v>53325428.483753212</v>
      </c>
    </row>
    <row r="342" spans="1:31">
      <c r="A342" s="1" t="s">
        <v>153</v>
      </c>
      <c r="B342" s="5" t="s">
        <v>300</v>
      </c>
      <c r="C342" s="5" t="s">
        <v>301</v>
      </c>
      <c r="D342" s="5" t="s">
        <v>299</v>
      </c>
      <c r="E342" s="5" t="s">
        <v>21</v>
      </c>
      <c r="F342" s="5" t="s">
        <v>25</v>
      </c>
      <c r="G342" s="6"/>
      <c r="H342" s="6"/>
      <c r="I342" s="6"/>
      <c r="J342" s="6"/>
      <c r="K342" s="6"/>
      <c r="L342" s="4">
        <f ca="1">_xll.DBRW($B$1,$B$2,$B$7,$B$3,$B$4,$B$5,$F342,$B$6,L$10,$A342,$B342)</f>
        <v>45760464</v>
      </c>
      <c r="M342" s="4">
        <f ca="1">_xll.DBRW($B$1,$B$2,$B$7,$B$3,$B$4,$B$5,$F342,$B$6,M$10,$A342,$B342)</f>
        <v>48530024.972500913</v>
      </c>
      <c r="N342" s="4">
        <f ca="1">_xll.DBRW($B$1,$B$2,$B$7,$B$3,$B$4,$B$5,$F342,$B$6,N$10,$A342,$B342)</f>
        <v>51682406.399999999</v>
      </c>
      <c r="O342" s="4">
        <f ca="1">_xll.DBRW($B$1,$B$2,$B$7,$B$3,$B$4,$B$5,$F342,$B$6,O$10,$A342,$B342)</f>
        <v>51682406.399999999</v>
      </c>
      <c r="P342" s="4">
        <f ca="1">_xll.DBRW($B$1,$B$2,$B$7,$B$3,$B$4,$B$5,$F342,$B$6,P$10,$A342,$B342)</f>
        <v>49494240</v>
      </c>
      <c r="Q342" s="4">
        <f ca="1">_xll.DBRW($B$1,$B$2,$B$7,$B$3,$B$4,$B$5,$F342,$B$6,Q$10,$A342,$B342)</f>
        <v>49528972.799999997</v>
      </c>
      <c r="R342" s="4">
        <f ca="1">_xll.DBRW($B$1,$B$2,$B$7,$B$3,$B$4,$B$5,$F342,$B$6,R$10,$A342,$B342)</f>
        <v>42721344</v>
      </c>
      <c r="S342" s="4">
        <f ca="1">_xll.DBRW($B$1,$B$2,$B$7,$B$3,$B$4,$B$5,$F342,$B$6,S$10,$A342,$B342)</f>
        <v>46837180.799999997</v>
      </c>
      <c r="T342" s="4">
        <f ca="1">_xll.DBRW($B$1,$B$2,$B$7,$B$3,$B$4,$B$5,$F342,$B$6,T$10,$A342,$B342)</f>
        <v>46352012.223952428</v>
      </c>
      <c r="U342" s="4">
        <f ca="1">_xll.DBRW($B$1,$B$2,$B$7,$B$3,$B$4,$B$5,$F342,$B$6,U$10,$A342,$B342)</f>
        <v>37367972.353440672</v>
      </c>
      <c r="V342" s="4">
        <f ca="1">_xll.DBRW($B$1,$B$2,$B$7,$B$3,$B$4,$B$5,$F342,$B$6,V$10,$A342,$B342)</f>
        <v>47801839.171686836</v>
      </c>
      <c r="W342" s="4">
        <f ca="1">_xll.DBRW($B$1,$B$2,$B$7,$B$3,$B$4,$B$5,$F342,$B$6,W$10,$A342,$B342)</f>
        <v>45611335.452514365</v>
      </c>
      <c r="X342" s="4">
        <f ca="1">_xll.DBRW($B$1,$B$2,$B$7,$B$3,$B$4,$B$5,$F342,$B$6,X$10,$A342,$B342)</f>
        <v>43073476.82666719</v>
      </c>
      <c r="Y342" s="4">
        <f ca="1">_xll.DBRW($B$1,$B$2,$B$7,$B$3,$B$4,$B$5,$F342,$B$6,Y$10,$A342,$B342)</f>
        <v>47717436.391739137</v>
      </c>
      <c r="Z342" s="4">
        <f ca="1">_xll.DBRW($B$1,$B$2,$B$7,$B$3,$B$4,$B$5,$F342,$B$6,Z$10,$A342,$B342)</f>
        <v>53325428.483753212</v>
      </c>
      <c r="AA342" s="4">
        <f ca="1">_xll.DBRW($B$1,$B$2,$B$7,$B$3,$B$4,$B$5,$F342,$B$6,AA$10,$A342,$B342)</f>
        <v>53325428.483753212</v>
      </c>
      <c r="AB342" s="4">
        <f ca="1">_xll.DBRW($B$1,$B$2,$B$7,$B$3,$B$4,$B$5,$F342,$B$6,AB$10,$A342,$B342)</f>
        <v>51605253.371374071</v>
      </c>
      <c r="AC342" s="4">
        <f ca="1">_xll.DBRW($B$1,$B$2,$B$7,$B$3,$B$4,$B$5,$F342,$B$6,AC$10,$A342,$B342)</f>
        <v>52833530.525166422</v>
      </c>
      <c r="AD342" s="4">
        <f ca="1">_xll.DBRW($B$1,$B$2,$B$7,$B$3,$B$4,$B$5,$F342,$B$6,AD$10,$A342,$B342)</f>
        <v>48374834.975373477</v>
      </c>
      <c r="AE342" s="4">
        <f ca="1">_xll.DBRW($B$1,$B$2,$B$7,$B$3,$B$4,$B$5,$F342,$B$6,AE$10,$A342,$B342)</f>
        <v>53325428.483753212</v>
      </c>
    </row>
    <row r="343" spans="1:31">
      <c r="A343" s="1" t="s">
        <v>153</v>
      </c>
      <c r="B343" s="5" t="s">
        <v>302</v>
      </c>
      <c r="C343" s="5" t="s">
        <v>303</v>
      </c>
      <c r="D343" s="5" t="s">
        <v>21</v>
      </c>
      <c r="E343" s="5" t="s">
        <v>304</v>
      </c>
      <c r="F343" s="5" t="s">
        <v>25</v>
      </c>
      <c r="G343" s="6"/>
      <c r="H343" s="6"/>
      <c r="I343" s="6"/>
      <c r="J343" s="6"/>
      <c r="K343" s="6"/>
      <c r="L343" s="4">
        <f ca="1">_xll.DBRW($B$1,$B$2,$B$7,$B$3,$B$4,$B$5,$F343,$B$6,L$10,$A343,$B343)</f>
        <v>0</v>
      </c>
      <c r="M343" s="4">
        <f ca="1">_xll.DBRW($B$1,$B$2,$B$7,$B$3,$B$4,$B$5,$F343,$B$6,M$10,$A343,$B343)</f>
        <v>0</v>
      </c>
      <c r="N343" s="4">
        <f ca="1">_xll.DBRW($B$1,$B$2,$B$7,$B$3,$B$4,$B$5,$F343,$B$6,N$10,$A343,$B343)</f>
        <v>0</v>
      </c>
      <c r="O343" s="4">
        <f ca="1">_xll.DBRW($B$1,$B$2,$B$7,$B$3,$B$4,$B$5,$F343,$B$6,O$10,$A343,$B343)</f>
        <v>0</v>
      </c>
      <c r="P343" s="4">
        <f ca="1">_xll.DBRW($B$1,$B$2,$B$7,$B$3,$B$4,$B$5,$F343,$B$6,P$10,$A343,$B343)</f>
        <v>12691949.129999997</v>
      </c>
      <c r="Q343" s="4">
        <f ca="1">_xll.DBRW($B$1,$B$2,$B$7,$B$3,$B$4,$B$5,$F343,$B$6,Q$10,$A343,$B343)</f>
        <v>17535327.502</v>
      </c>
      <c r="R343" s="4">
        <f ca="1">_xll.DBRW($B$1,$B$2,$B$7,$B$3,$B$4,$B$5,$F343,$B$6,R$10,$A343,$B343)</f>
        <v>16722411.252000002</v>
      </c>
      <c r="S343" s="4">
        <f ca="1">_xll.DBRW($B$1,$B$2,$B$7,$B$3,$B$4,$B$5,$F343,$B$6,S$10,$A343,$B343)</f>
        <v>16876550.952</v>
      </c>
      <c r="T343" s="4">
        <f ca="1">_xll.DBRW($B$1,$B$2,$B$7,$B$3,$B$4,$B$5,$F343,$B$6,T$10,$A343,$B343)</f>
        <v>10743499.696643494</v>
      </c>
      <c r="U343" s="4">
        <f ca="1">_xll.DBRW($B$1,$B$2,$B$7,$B$3,$B$4,$B$5,$F343,$B$6,U$10,$A343,$B343)</f>
        <v>12274409.871015599</v>
      </c>
      <c r="V343" s="4">
        <f ca="1">_xll.DBRW($B$1,$B$2,$B$7,$B$3,$B$4,$B$5,$F343,$B$6,V$10,$A343,$B343)</f>
        <v>18793706.905764811</v>
      </c>
      <c r="W343" s="4">
        <f ca="1">_xll.DBRW($B$1,$B$2,$B$7,$B$3,$B$4,$B$5,$F343,$B$6,W$10,$A343,$B343)</f>
        <v>18510304.654726572</v>
      </c>
      <c r="X343" s="4">
        <f ca="1">_xll.DBRW($B$1,$B$2,$B$7,$B$3,$B$4,$B$5,$F343,$B$6,X$10,$A343,$B343)</f>
        <v>17585737.871327512</v>
      </c>
      <c r="Y343" s="4">
        <f ca="1">_xll.DBRW($B$1,$B$2,$B$7,$B$3,$B$4,$B$5,$F343,$B$6,Y$10,$A343,$B343)</f>
        <v>19452325.969686002</v>
      </c>
      <c r="Z343" s="4">
        <f ca="1">_xll.DBRW($B$1,$B$2,$B$7,$B$3,$B$4,$B$5,$F343,$B$6,Z$10,$A343,$B343)</f>
        <v>15645355.548263393</v>
      </c>
      <c r="AA343" s="4">
        <f ca="1">_xll.DBRW($B$1,$B$2,$B$7,$B$3,$B$4,$B$5,$F343,$B$6,AA$10,$A343,$B343)</f>
        <v>19530133.050797533</v>
      </c>
      <c r="AB343" s="4">
        <f ca="1">_xll.DBRW($B$1,$B$2,$B$7,$B$3,$B$4,$B$5,$F343,$B$6,AB$10,$A343,$B343)</f>
        <v>18407849.800081424</v>
      </c>
      <c r="AC343" s="4">
        <f ca="1">_xll.DBRW($B$1,$B$2,$B$7,$B$3,$B$4,$B$5,$F343,$B$6,AC$10,$A343,$B343)</f>
        <v>16682239.402291737</v>
      </c>
      <c r="AD343" s="4">
        <f ca="1">_xll.DBRW($B$1,$B$2,$B$7,$B$3,$B$4,$B$5,$F343,$B$6,AD$10,$A343,$B343)</f>
        <v>20309018.227213949</v>
      </c>
      <c r="AE343" s="4">
        <f ca="1">_xll.DBRW($B$1,$B$2,$B$7,$B$3,$B$4,$B$5,$F343,$B$6,AE$10,$A343,$B343)</f>
        <v>20400454.46100679</v>
      </c>
    </row>
    <row r="344" spans="1:31">
      <c r="A344" s="1" t="s">
        <v>153</v>
      </c>
      <c r="B344" s="5" t="s">
        <v>305</v>
      </c>
      <c r="C344" s="5" t="s">
        <v>306</v>
      </c>
      <c r="D344" s="5" t="s">
        <v>304</v>
      </c>
      <c r="E344" s="5" t="s">
        <v>21</v>
      </c>
      <c r="F344" s="5" t="s">
        <v>25</v>
      </c>
      <c r="G344" s="6"/>
      <c r="H344" s="6"/>
      <c r="I344" s="6"/>
      <c r="J344" s="6"/>
      <c r="K344" s="6"/>
      <c r="L344" s="4">
        <f ca="1">_xll.DBRW($B$1,$B$2,$B$7,$B$3,$B$4,$B$5,$F344,$B$6,L$10,$A344,$B344)</f>
        <v>0</v>
      </c>
      <c r="M344" s="4">
        <f ca="1">_xll.DBRW($B$1,$B$2,$B$7,$B$3,$B$4,$B$5,$F344,$B$6,M$10,$A344,$B344)</f>
        <v>0</v>
      </c>
      <c r="N344" s="4">
        <f ca="1">_xll.DBRW($B$1,$B$2,$B$7,$B$3,$B$4,$B$5,$F344,$B$6,N$10,$A344,$B344)</f>
        <v>0</v>
      </c>
      <c r="O344" s="4">
        <f ca="1">_xll.DBRW($B$1,$B$2,$B$7,$B$3,$B$4,$B$5,$F344,$B$6,O$10,$A344,$B344)</f>
        <v>0</v>
      </c>
      <c r="P344" s="4">
        <f ca="1">_xll.DBRW($B$1,$B$2,$B$7,$B$3,$B$4,$B$5,$F344,$B$6,P$10,$A344,$B344)</f>
        <v>12203390.954999998</v>
      </c>
      <c r="Q344" s="4">
        <f ca="1">_xll.DBRW($B$1,$B$2,$B$7,$B$3,$B$4,$B$5,$F344,$B$6,Q$10,$A344,$B344)</f>
        <v>17532284.231000002</v>
      </c>
      <c r="R344" s="4">
        <f ca="1">_xll.DBRW($B$1,$B$2,$B$7,$B$3,$B$4,$B$5,$F344,$B$6,R$10,$A344,$B344)</f>
        <v>16722411.252000002</v>
      </c>
      <c r="S344" s="4">
        <f ca="1">_xll.DBRW($B$1,$B$2,$B$7,$B$3,$B$4,$B$5,$F344,$B$6,S$10,$A344,$B344)</f>
        <v>16856405.001000002</v>
      </c>
      <c r="T344" s="4">
        <f ca="1">_xll.DBRW($B$1,$B$2,$B$7,$B$3,$B$4,$B$5,$F344,$B$6,T$10,$A344,$B344)</f>
        <v>10756270.030804899</v>
      </c>
      <c r="U344" s="4">
        <f ca="1">_xll.DBRW($B$1,$B$2,$B$7,$B$3,$B$4,$B$5,$F344,$B$6,U$10,$A344,$B344)</f>
        <v>12274409.871015599</v>
      </c>
      <c r="V344" s="4">
        <f ca="1">_xll.DBRW($B$1,$B$2,$B$7,$B$3,$B$4,$B$5,$F344,$B$6,V$10,$A344,$B344)</f>
        <v>18793706.905764811</v>
      </c>
      <c r="W344" s="4">
        <f ca="1">_xll.DBRW($B$1,$B$2,$B$7,$B$3,$B$4,$B$5,$F344,$B$6,W$10,$A344,$B344)</f>
        <v>18510304.654726572</v>
      </c>
      <c r="X344" s="4">
        <f ca="1">_xll.DBRW($B$1,$B$2,$B$7,$B$3,$B$4,$B$5,$F344,$B$6,X$10,$A344,$B344)</f>
        <v>17585737.871327512</v>
      </c>
      <c r="Y344" s="4">
        <f ca="1">_xll.DBRW($B$1,$B$2,$B$7,$B$3,$B$4,$B$5,$F344,$B$6,Y$10,$A344,$B344)</f>
        <v>19452325.969686002</v>
      </c>
      <c r="Z344" s="4">
        <f ca="1">_xll.DBRW($B$1,$B$2,$B$7,$B$3,$B$4,$B$5,$F344,$B$6,Z$10,$A344,$B344)</f>
        <v>15645355.548263393</v>
      </c>
      <c r="AA344" s="4">
        <f ca="1">_xll.DBRW($B$1,$B$2,$B$7,$B$3,$B$4,$B$5,$F344,$B$6,AA$10,$A344,$B344)</f>
        <v>19530133.050797533</v>
      </c>
      <c r="AB344" s="4">
        <f ca="1">_xll.DBRW($B$1,$B$2,$B$7,$B$3,$B$4,$B$5,$F344,$B$6,AB$10,$A344,$B344)</f>
        <v>18407849.800081424</v>
      </c>
      <c r="AC344" s="4">
        <f ca="1">_xll.DBRW($B$1,$B$2,$B$7,$B$3,$B$4,$B$5,$F344,$B$6,AC$10,$A344,$B344)</f>
        <v>16682239.402291737</v>
      </c>
      <c r="AD344" s="4">
        <f ca="1">_xll.DBRW($B$1,$B$2,$B$7,$B$3,$B$4,$B$5,$F344,$B$6,AD$10,$A344,$B344)</f>
        <v>20284064.19393494</v>
      </c>
      <c r="AE344" s="4">
        <f ca="1">_xll.DBRW($B$1,$B$2,$B$7,$B$3,$B$4,$B$5,$F344,$B$6,AE$10,$A344,$B344)</f>
        <v>20400454.46100679</v>
      </c>
    </row>
    <row r="345" spans="1:31">
      <c r="A345" s="1" t="s">
        <v>153</v>
      </c>
      <c r="B345" s="5" t="s">
        <v>307</v>
      </c>
      <c r="C345" s="5" t="s">
        <v>308</v>
      </c>
      <c r="D345" s="5" t="s">
        <v>21</v>
      </c>
      <c r="E345" s="5" t="s">
        <v>309</v>
      </c>
      <c r="F345" s="5" t="s">
        <v>25</v>
      </c>
      <c r="G345" s="6"/>
      <c r="H345" s="6"/>
      <c r="I345" s="6"/>
      <c r="J345" s="6"/>
      <c r="K345" s="6"/>
      <c r="L345" s="4">
        <f ca="1">_xll.DBRW($B$1,$B$2,$B$7,$B$3,$B$4,$B$5,$F345,$B$6,L$10,$A345,$B345)</f>
        <v>0</v>
      </c>
      <c r="M345" s="4">
        <f ca="1">_xll.DBRW($B$1,$B$2,$B$7,$B$3,$B$4,$B$5,$F345,$B$6,M$10,$A345,$B345)</f>
        <v>0</v>
      </c>
      <c r="N345" s="4">
        <f ca="1">_xll.DBRW($B$1,$B$2,$B$7,$B$3,$B$4,$B$5,$F345,$B$6,N$10,$A345,$B345)</f>
        <v>0</v>
      </c>
      <c r="O345" s="4">
        <f ca="1">_xll.DBRW($B$1,$B$2,$B$7,$B$3,$B$4,$B$5,$F345,$B$6,O$10,$A345,$B345)</f>
        <v>0</v>
      </c>
      <c r="P345" s="4">
        <f ca="1">_xll.DBRW($B$1,$B$2,$B$7,$B$3,$B$4,$B$5,$F345,$B$6,P$10,$A345,$B345)</f>
        <v>0</v>
      </c>
      <c r="Q345" s="4">
        <f ca="1">_xll.DBRW($B$1,$B$2,$B$7,$B$3,$B$4,$B$5,$F345,$B$6,Q$10,$A345,$B345)</f>
        <v>6668697.5999999996</v>
      </c>
      <c r="R345" s="4">
        <f ca="1">_xll.DBRW($B$1,$B$2,$B$7,$B$3,$B$4,$B$5,$F345,$B$6,R$10,$A345,$B345)</f>
        <v>36122112</v>
      </c>
      <c r="S345" s="4">
        <f ca="1">_xll.DBRW($B$1,$B$2,$B$7,$B$3,$B$4,$B$5,$F345,$B$6,S$10,$A345,$B345)</f>
        <v>43642920.960000001</v>
      </c>
      <c r="T345" s="4">
        <f ca="1">_xll.DBRW($B$1,$B$2,$B$7,$B$3,$B$4,$B$5,$F345,$B$6,T$10,$A345,$B345)</f>
        <v>49212853.87881992</v>
      </c>
      <c r="U345" s="4">
        <f ca="1">_xll.DBRW($B$1,$B$2,$B$7,$B$3,$B$4,$B$5,$F345,$B$6,U$10,$A345,$B345)</f>
        <v>42330107.272179067</v>
      </c>
      <c r="V345" s="4">
        <f ca="1">_xll.DBRW($B$1,$B$2,$B$7,$B$3,$B$4,$B$5,$F345,$B$6,V$10,$A345,$B345)</f>
        <v>41059262.295081124</v>
      </c>
      <c r="W345" s="4">
        <f ca="1">_xll.DBRW($B$1,$B$2,$B$7,$B$3,$B$4,$B$5,$F345,$B$6,W$10,$A345,$B345)</f>
        <v>0</v>
      </c>
      <c r="X345" s="4">
        <f ca="1">_xll.DBRW($B$1,$B$2,$B$7,$B$3,$B$4,$B$5,$F345,$B$6,X$10,$A345,$B345)</f>
        <v>0</v>
      </c>
      <c r="Y345" s="4">
        <f ca="1">_xll.DBRW($B$1,$B$2,$B$7,$B$3,$B$4,$B$5,$F345,$B$6,Y$10,$A345,$B345)</f>
        <v>0</v>
      </c>
      <c r="Z345" s="4">
        <f ca="1">_xll.DBRW($B$1,$B$2,$B$7,$B$3,$B$4,$B$5,$F345,$B$6,Z$10,$A345,$B345)</f>
        <v>0</v>
      </c>
      <c r="AA345" s="4">
        <f ca="1">_xll.DBRW($B$1,$B$2,$B$7,$B$3,$B$4,$B$5,$F345,$B$6,AA$10,$A345,$B345)</f>
        <v>0</v>
      </c>
      <c r="AB345" s="4">
        <f ca="1">_xll.DBRW($B$1,$B$2,$B$7,$B$3,$B$4,$B$5,$F345,$B$6,AB$10,$A345,$B345)</f>
        <v>0</v>
      </c>
      <c r="AC345" s="4">
        <f ca="1">_xll.DBRW($B$1,$B$2,$B$7,$B$3,$B$4,$B$5,$F345,$B$6,AC$10,$A345,$B345)</f>
        <v>8237621.0775436386</v>
      </c>
      <c r="AD345" s="4">
        <f ca="1">_xll.DBRW($B$1,$B$2,$B$7,$B$3,$B$4,$B$5,$F345,$B$6,AD$10,$A345,$B345)</f>
        <v>38223327.555466026</v>
      </c>
      <c r="AE345" s="4">
        <f ca="1">_xll.DBRW($B$1,$B$2,$B$7,$B$3,$B$4,$B$5,$F345,$B$6,AE$10,$A345,$B345)</f>
        <v>48787518.224696033</v>
      </c>
    </row>
    <row r="346" spans="1:31">
      <c r="A346" s="1" t="s">
        <v>153</v>
      </c>
      <c r="B346" s="5" t="s">
        <v>310</v>
      </c>
      <c r="C346" s="5" t="s">
        <v>311</v>
      </c>
      <c r="D346" s="5" t="s">
        <v>309</v>
      </c>
      <c r="E346" s="5" t="s">
        <v>21</v>
      </c>
      <c r="F346" s="5" t="s">
        <v>25</v>
      </c>
      <c r="G346" s="6"/>
      <c r="H346" s="6"/>
      <c r="I346" s="6"/>
      <c r="J346" s="6"/>
      <c r="K346" s="6"/>
      <c r="L346" s="4">
        <f ca="1">_xll.DBRW($B$1,$B$2,$B$7,$B$3,$B$4,$B$5,$F346,$B$6,L$10,$A346,$B346)</f>
        <v>0</v>
      </c>
      <c r="M346" s="4">
        <f ca="1">_xll.DBRW($B$1,$B$2,$B$7,$B$3,$B$4,$B$5,$F346,$B$6,M$10,$A346,$B346)</f>
        <v>0</v>
      </c>
      <c r="N346" s="4">
        <f ca="1">_xll.DBRW($B$1,$B$2,$B$7,$B$3,$B$4,$B$5,$F346,$B$6,N$10,$A346,$B346)</f>
        <v>0</v>
      </c>
      <c r="O346" s="4">
        <f ca="1">_xll.DBRW($B$1,$B$2,$B$7,$B$3,$B$4,$B$5,$F346,$B$6,O$10,$A346,$B346)</f>
        <v>0</v>
      </c>
      <c r="P346" s="4">
        <f ca="1">_xll.DBRW($B$1,$B$2,$B$7,$B$3,$B$4,$B$5,$F346,$B$6,P$10,$A346,$B346)</f>
        <v>0</v>
      </c>
      <c r="Q346" s="4">
        <f ca="1">_xll.DBRW($B$1,$B$2,$B$7,$B$3,$B$4,$B$5,$F346,$B$6,Q$10,$A346,$B346)</f>
        <v>5557248</v>
      </c>
      <c r="R346" s="4">
        <f ca="1">_xll.DBRW($B$1,$B$2,$B$7,$B$3,$B$4,$B$5,$F346,$B$6,R$10,$A346,$B346)</f>
        <v>36122112</v>
      </c>
      <c r="S346" s="4">
        <f ca="1">_xll.DBRW($B$1,$B$2,$B$7,$B$3,$B$4,$B$5,$F346,$B$6,S$10,$A346,$B346)</f>
        <v>43642920.960000001</v>
      </c>
      <c r="T346" s="4">
        <f ca="1">_xll.DBRW($B$1,$B$2,$B$7,$B$3,$B$4,$B$5,$F346,$B$6,T$10,$A346,$B346)</f>
        <v>49212853.87881992</v>
      </c>
      <c r="U346" s="4">
        <f ca="1">_xll.DBRW($B$1,$B$2,$B$7,$B$3,$B$4,$B$5,$F346,$B$6,U$10,$A346,$B346)</f>
        <v>42330107.272179067</v>
      </c>
      <c r="V346" s="4">
        <f ca="1">_xll.DBRW($B$1,$B$2,$B$7,$B$3,$B$4,$B$5,$F346,$B$6,V$10,$A346,$B346)</f>
        <v>41059262.295081124</v>
      </c>
      <c r="W346" s="4">
        <f ca="1">_xll.DBRW($B$1,$B$2,$B$7,$B$3,$B$4,$B$5,$F346,$B$6,W$10,$A346,$B346)</f>
        <v>0</v>
      </c>
      <c r="X346" s="4">
        <f ca="1">_xll.DBRW($B$1,$B$2,$B$7,$B$3,$B$4,$B$5,$F346,$B$6,X$10,$A346,$B346)</f>
        <v>0</v>
      </c>
      <c r="Y346" s="4">
        <f ca="1">_xll.DBRW($B$1,$B$2,$B$7,$B$3,$B$4,$B$5,$F346,$B$6,Y$10,$A346,$B346)</f>
        <v>0</v>
      </c>
      <c r="Z346" s="4">
        <f ca="1">_xll.DBRW($B$1,$B$2,$B$7,$B$3,$B$4,$B$5,$F346,$B$6,Z$10,$A346,$B346)</f>
        <v>0</v>
      </c>
      <c r="AA346" s="4">
        <f ca="1">_xll.DBRW($B$1,$B$2,$B$7,$B$3,$B$4,$B$5,$F346,$B$6,AA$10,$A346,$B346)</f>
        <v>0</v>
      </c>
      <c r="AB346" s="4">
        <f ca="1">_xll.DBRW($B$1,$B$2,$B$7,$B$3,$B$4,$B$5,$F346,$B$6,AB$10,$A346,$B346)</f>
        <v>0</v>
      </c>
      <c r="AC346" s="4">
        <f ca="1">_xll.DBRW($B$1,$B$2,$B$7,$B$3,$B$4,$B$5,$F346,$B$6,AC$10,$A346,$B346)</f>
        <v>8237621.0775436386</v>
      </c>
      <c r="AD346" s="4">
        <f ca="1">_xll.DBRW($B$1,$B$2,$B$7,$B$3,$B$4,$B$5,$F346,$B$6,AD$10,$A346,$B346)</f>
        <v>38223327.555466026</v>
      </c>
      <c r="AE346" s="4">
        <f ca="1">_xll.DBRW($B$1,$B$2,$B$7,$B$3,$B$4,$B$5,$F346,$B$6,AE$10,$A346,$B346)</f>
        <v>48787518.224696033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3E15BF-CA2D-4040-AAAE-91D07467DFB4}"/>
</file>

<file path=customXml/itemProps2.xml><?xml version="1.0" encoding="utf-8"?>
<ds:datastoreItem xmlns:ds="http://schemas.openxmlformats.org/officeDocument/2006/customXml" ds:itemID="{0B61F2D6-28B2-4B9B-A500-61EF43AFC6E7}"/>
</file>

<file path=customXml/itemProps3.xml><?xml version="1.0" encoding="utf-8"?>
<ds:datastoreItem xmlns:ds="http://schemas.openxmlformats.org/officeDocument/2006/customXml" ds:itemID="{1187738E-169C-4C88-8BE6-5B01FF2D3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 Copping</dc:creator>
  <cp:keywords/>
  <dc:description/>
  <cp:lastModifiedBy>Sue  Lu</cp:lastModifiedBy>
  <cp:revision/>
  <dcterms:created xsi:type="dcterms:W3CDTF">2023-09-21T13:48:23Z</dcterms:created>
  <dcterms:modified xsi:type="dcterms:W3CDTF">2024-06-21T14:40:59Z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