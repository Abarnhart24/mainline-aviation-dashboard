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Non-Current Customer/VA ATL 20240628/PNL/"/>
    </mc:Choice>
  </mc:AlternateContent>
  <xr:revisionPtr revIDLastSave="1222" documentId="8_{445E3A12-CAE7-4A7A-8A98-7A841200573B}" xr6:coauthVersionLast="47" xr6:coauthVersionMax="47" xr10:uidLastSave="{7870E0BF-6931-414D-9DC7-1FFEDD5B5F32}"/>
  <bookViews>
    <workbookView xWindow="28680" yWindow="-5460" windowWidth="38640" windowHeight="21120" tabRatio="656" firstSheet="14" xr2:uid="{557CA74F-562A-48FA-AA89-16AC4759ED15}"/>
  </bookViews>
  <sheets>
    <sheet name="P&amp;L" sheetId="21" r:id="rId1"/>
    <sheet name="Bid Assumption " sheetId="9" state="hidden" r:id="rId2"/>
    <sheet name="Summary " sheetId="29" r:id="rId3"/>
    <sheet name="Summary Short Haul" sheetId="56" state="hidden" r:id="rId4"/>
    <sheet name="Summary Long Haul" sheetId="57" state="hidden" r:id="rId5"/>
    <sheet name="Summary  735" sheetId="43" state="hidden" r:id="rId6"/>
    <sheet name="Summary 2221" sheetId="44" state="hidden" r:id="rId7"/>
    <sheet name="Summary 2439" sheetId="45" state="hidden" r:id="rId8"/>
    <sheet name="Summary 2682" sheetId="46" state="hidden" r:id="rId9"/>
    <sheet name="Summary 2855" sheetId="47" state="hidden" r:id="rId10"/>
    <sheet name="Summary FLT104" sheetId="49" r:id="rId11"/>
    <sheet name="Summary FLT110" sheetId="50" r:id="rId12"/>
    <sheet name="Summary 2037" sheetId="54" state="hidden" r:id="rId13"/>
    <sheet name="Summary 2817" sheetId="55" state="hidden" r:id="rId14"/>
    <sheet name="FlightConfig " sheetId="3" r:id="rId15"/>
    <sheet name="Food" sheetId="1" r:id="rId16"/>
    <sheet name="Avg Per Flight" sheetId="8" state="hidden" r:id="rId17"/>
    <sheet name="Handling" sheetId="2" r:id="rId18"/>
    <sheet name="FG MASTER" sheetId="28" r:id="rId19"/>
  </sheets>
  <externalReferences>
    <externalReference r:id="rId20"/>
  </externalReferences>
  <definedNames>
    <definedName name="_Fill" hidden="1">#REF!</definedName>
    <definedName name="_Fill1" hidden="1">#REF!</definedName>
    <definedName name="_xlnm._FilterDatabase" localSheetId="15" hidden="1">Food!$A$3:$AH$342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18">#REF!</definedName>
    <definedName name="COMMERCIAL_ITEMS">#REF!</definedName>
    <definedName name="_xlnm.Print_Area" localSheetId="18">'FG MASTER'!$A$1:$AB$9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2" l="1"/>
  <c r="E9" i="21"/>
  <c r="E27" i="21" l="1"/>
  <c r="H2" i="29"/>
  <c r="E24" i="21" l="1"/>
  <c r="E10" i="21"/>
  <c r="C66" i="2"/>
  <c r="K58" i="1"/>
  <c r="K23" i="3"/>
  <c r="Z81" i="2"/>
  <c r="Y81" i="2"/>
  <c r="X81" i="2"/>
  <c r="W81" i="2"/>
  <c r="V81" i="2"/>
  <c r="Z78" i="2"/>
  <c r="Y78" i="2"/>
  <c r="X78" i="2"/>
  <c r="W78" i="2"/>
  <c r="W82" i="2" s="1"/>
  <c r="V78" i="2"/>
  <c r="Z75" i="2"/>
  <c r="Y75" i="2"/>
  <c r="X75" i="2"/>
  <c r="W75" i="2"/>
  <c r="V75" i="2"/>
  <c r="Z72" i="2"/>
  <c r="Y72" i="2"/>
  <c r="X72" i="2"/>
  <c r="W72" i="2"/>
  <c r="V72" i="2"/>
  <c r="Z66" i="2"/>
  <c r="Y66" i="2"/>
  <c r="X66" i="2"/>
  <c r="W66" i="2"/>
  <c r="V66" i="2"/>
  <c r="Z63" i="2"/>
  <c r="Y63" i="2"/>
  <c r="X63" i="2"/>
  <c r="W63" i="2"/>
  <c r="V63" i="2"/>
  <c r="Z60" i="2"/>
  <c r="Z67" i="2" s="1"/>
  <c r="Y60" i="2"/>
  <c r="X60" i="2"/>
  <c r="W60" i="2"/>
  <c r="V60" i="2"/>
  <c r="Z57" i="2"/>
  <c r="Y57" i="2"/>
  <c r="X57" i="2"/>
  <c r="W57" i="2"/>
  <c r="V57" i="2"/>
  <c r="V67" i="2" s="1"/>
  <c r="X82" i="2"/>
  <c r="Y67" i="2"/>
  <c r="Z52" i="2"/>
  <c r="Y52" i="2"/>
  <c r="X52" i="2"/>
  <c r="W52" i="2"/>
  <c r="V52" i="2"/>
  <c r="Z48" i="2"/>
  <c r="Y48" i="2"/>
  <c r="X48" i="2"/>
  <c r="W48" i="2"/>
  <c r="V48" i="2"/>
  <c r="Z42" i="2"/>
  <c r="Y42" i="2"/>
  <c r="X42" i="2"/>
  <c r="W42" i="2"/>
  <c r="V42" i="2"/>
  <c r="L46" i="2"/>
  <c r="L45" i="2"/>
  <c r="L44" i="2"/>
  <c r="L43" i="2"/>
  <c r="L42" i="2"/>
  <c r="L47" i="2" s="1"/>
  <c r="J46" i="2"/>
  <c r="J45" i="2"/>
  <c r="J44" i="2"/>
  <c r="J43" i="2"/>
  <c r="J42" i="2"/>
  <c r="J47" i="2" s="1"/>
  <c r="I46" i="2"/>
  <c r="I45" i="2"/>
  <c r="I44" i="2"/>
  <c r="I43" i="2"/>
  <c r="I42" i="2"/>
  <c r="K42" i="2"/>
  <c r="M42" i="2"/>
  <c r="K43" i="2"/>
  <c r="M43" i="2"/>
  <c r="K44" i="2"/>
  <c r="K45" i="2"/>
  <c r="M45" i="2"/>
  <c r="K46" i="2"/>
  <c r="M46" i="2"/>
  <c r="M77" i="2"/>
  <c r="L77" i="2"/>
  <c r="K77" i="2"/>
  <c r="J77" i="2"/>
  <c r="M76" i="2"/>
  <c r="L76" i="2"/>
  <c r="K76" i="2"/>
  <c r="J76" i="2"/>
  <c r="M75" i="2"/>
  <c r="L75" i="2"/>
  <c r="K75" i="2"/>
  <c r="J75" i="2"/>
  <c r="M74" i="2"/>
  <c r="L74" i="2"/>
  <c r="K74" i="2"/>
  <c r="J74" i="2"/>
  <c r="M73" i="2"/>
  <c r="L73" i="2"/>
  <c r="K73" i="2"/>
  <c r="J73" i="2"/>
  <c r="M72" i="2"/>
  <c r="L72" i="2"/>
  <c r="L78" i="2" s="1"/>
  <c r="F79" i="2" s="1"/>
  <c r="F81" i="2" s="1"/>
  <c r="K72" i="2"/>
  <c r="J72" i="2"/>
  <c r="M71" i="2"/>
  <c r="L71" i="2"/>
  <c r="K71" i="2"/>
  <c r="J71" i="2"/>
  <c r="M70" i="2"/>
  <c r="L70" i="2"/>
  <c r="K70" i="2"/>
  <c r="J70" i="2"/>
  <c r="I77" i="2"/>
  <c r="I76" i="2"/>
  <c r="I75" i="2"/>
  <c r="I74" i="2"/>
  <c r="I73" i="2"/>
  <c r="I72" i="2"/>
  <c r="I71" i="2"/>
  <c r="I70" i="2"/>
  <c r="M65" i="2"/>
  <c r="L65" i="2"/>
  <c r="K65" i="2"/>
  <c r="J65" i="2"/>
  <c r="M64" i="2"/>
  <c r="L64" i="2"/>
  <c r="K64" i="2"/>
  <c r="J64" i="2"/>
  <c r="M63" i="2"/>
  <c r="L63" i="2"/>
  <c r="K63" i="2"/>
  <c r="J63" i="2"/>
  <c r="M62" i="2"/>
  <c r="M66" i="2" s="1"/>
  <c r="G66" i="2" s="1"/>
  <c r="G68" i="2" s="1"/>
  <c r="L62" i="2"/>
  <c r="K62" i="2"/>
  <c r="J62" i="2"/>
  <c r="I65" i="2"/>
  <c r="I64" i="2"/>
  <c r="I63" i="2"/>
  <c r="I62" i="2"/>
  <c r="K56" i="2"/>
  <c r="L56" i="2" s="1"/>
  <c r="M56" i="2" s="1"/>
  <c r="J56" i="2"/>
  <c r="M55" i="2"/>
  <c r="L55" i="2"/>
  <c r="K55" i="2"/>
  <c r="J55" i="2"/>
  <c r="M54" i="2"/>
  <c r="L54" i="2"/>
  <c r="K54" i="2"/>
  <c r="J54" i="2"/>
  <c r="M53" i="2"/>
  <c r="L53" i="2"/>
  <c r="K53" i="2"/>
  <c r="J53" i="2"/>
  <c r="M52" i="2"/>
  <c r="L52" i="2"/>
  <c r="K52" i="2"/>
  <c r="J52" i="2"/>
  <c r="I55" i="2"/>
  <c r="I54" i="2"/>
  <c r="I53" i="2"/>
  <c r="I52" i="2"/>
  <c r="I56" i="2"/>
  <c r="V82" i="2" l="1"/>
  <c r="Y82" i="2"/>
  <c r="Z82" i="2"/>
  <c r="W67" i="2"/>
  <c r="X67" i="2"/>
  <c r="M78" i="2"/>
  <c r="G79" i="2" s="1"/>
  <c r="G81" i="2" s="1"/>
  <c r="J78" i="2"/>
  <c r="D79" i="2" s="1"/>
  <c r="D81" i="2" s="1"/>
  <c r="K78" i="2"/>
  <c r="E79" i="2" s="1"/>
  <c r="E81" i="2" s="1"/>
  <c r="L66" i="2"/>
  <c r="F66" i="2" s="1"/>
  <c r="F68" i="2" s="1"/>
  <c r="J66" i="2"/>
  <c r="D66" i="2" s="1"/>
  <c r="D68" i="2" s="1"/>
  <c r="K66" i="2"/>
  <c r="E66" i="2" s="1"/>
  <c r="E68" i="2" s="1"/>
  <c r="J57" i="2"/>
  <c r="D58" i="2" s="1"/>
  <c r="D60" i="2" s="1"/>
  <c r="K57" i="2"/>
  <c r="E58" i="2" s="1"/>
  <c r="E60" i="2" s="1"/>
  <c r="I57" i="2"/>
  <c r="C58" i="2" s="1"/>
  <c r="C60" i="2" s="1"/>
  <c r="K47" i="2"/>
  <c r="M47" i="2"/>
  <c r="G48" i="2" s="1"/>
  <c r="I47" i="2"/>
  <c r="C48" i="2" s="1"/>
  <c r="C50" i="2" s="1"/>
  <c r="I78" i="2"/>
  <c r="C79" i="2" s="1"/>
  <c r="C81" i="2" s="1"/>
  <c r="I66" i="2"/>
  <c r="C68" i="2" s="1"/>
  <c r="M57" i="2"/>
  <c r="G58" i="2" s="1"/>
  <c r="G60" i="2" s="1"/>
  <c r="L57" i="2"/>
  <c r="F58" i="2" s="1"/>
  <c r="F60" i="2" s="1"/>
  <c r="D48" i="2"/>
  <c r="D50" i="2" s="1"/>
  <c r="D83" i="2" l="1"/>
  <c r="C83" i="2"/>
  <c r="E48" i="2"/>
  <c r="E50" i="2" s="1"/>
  <c r="E83" i="2" s="1"/>
  <c r="F48" i="2" l="1"/>
  <c r="F50" i="2" s="1"/>
  <c r="F83" i="2" s="1"/>
  <c r="G50" i="2"/>
  <c r="G83" i="2" s="1"/>
  <c r="AD38" i="2" l="1"/>
  <c r="S44" i="2"/>
  <c r="S38" i="2"/>
  <c r="AD43" i="2" s="1"/>
  <c r="R27" i="21" s="1"/>
  <c r="B84" i="2"/>
  <c r="U83" i="2"/>
  <c r="U68" i="2"/>
  <c r="U53" i="2"/>
  <c r="D84" i="2" s="1"/>
  <c r="B20" i="50"/>
  <c r="B20" i="49"/>
  <c r="H7" i="29"/>
  <c r="G7" i="29"/>
  <c r="F7" i="29"/>
  <c r="E7" i="29"/>
  <c r="D7" i="29"/>
  <c r="C7" i="29"/>
  <c r="F16" i="29"/>
  <c r="F15" i="29"/>
  <c r="D16" i="29"/>
  <c r="D15" i="29"/>
  <c r="C16" i="29"/>
  <c r="C15" i="29"/>
  <c r="B16" i="29"/>
  <c r="B15" i="29"/>
  <c r="H7" i="50"/>
  <c r="G7" i="50"/>
  <c r="F7" i="50"/>
  <c r="E7" i="50"/>
  <c r="D7" i="50"/>
  <c r="C7" i="50"/>
  <c r="J144" i="1"/>
  <c r="T144" i="1" s="1"/>
  <c r="J143" i="1"/>
  <c r="J142" i="1"/>
  <c r="J141" i="1"/>
  <c r="J140" i="1"/>
  <c r="T140" i="1" s="1"/>
  <c r="J139" i="1"/>
  <c r="T139" i="1" s="1"/>
  <c r="J138" i="1"/>
  <c r="J137" i="1"/>
  <c r="T137" i="1" s="1"/>
  <c r="J136" i="1"/>
  <c r="J135" i="1"/>
  <c r="T135" i="1" s="1"/>
  <c r="J134" i="1"/>
  <c r="T134" i="1" s="1"/>
  <c r="J133" i="1"/>
  <c r="T133" i="1" s="1"/>
  <c r="J132" i="1"/>
  <c r="T132" i="1" s="1"/>
  <c r="J131" i="1"/>
  <c r="J130" i="1"/>
  <c r="J129" i="1"/>
  <c r="J128" i="1"/>
  <c r="J127" i="1"/>
  <c r="T127" i="1" s="1"/>
  <c r="J126" i="1"/>
  <c r="T126" i="1" s="1"/>
  <c r="J125" i="1"/>
  <c r="J124" i="1"/>
  <c r="T124" i="1" s="1"/>
  <c r="J123" i="1"/>
  <c r="T123" i="1" s="1"/>
  <c r="J122" i="1"/>
  <c r="T122" i="1" s="1"/>
  <c r="J121" i="1"/>
  <c r="T121" i="1" s="1"/>
  <c r="J120" i="1"/>
  <c r="T120" i="1" s="1"/>
  <c r="J119" i="1"/>
  <c r="J118" i="1"/>
  <c r="J117" i="1"/>
  <c r="J116" i="1"/>
  <c r="J115" i="1"/>
  <c r="T115" i="1" s="1"/>
  <c r="J114" i="1"/>
  <c r="T114" i="1" s="1"/>
  <c r="J113" i="1"/>
  <c r="T113" i="1" s="1"/>
  <c r="J112" i="1"/>
  <c r="T112" i="1" s="1"/>
  <c r="J111" i="1"/>
  <c r="T111" i="1" s="1"/>
  <c r="J110" i="1"/>
  <c r="J109" i="1"/>
  <c r="T109" i="1" s="1"/>
  <c r="J108" i="1"/>
  <c r="J107" i="1"/>
  <c r="J106" i="1"/>
  <c r="J105" i="1"/>
  <c r="J104" i="1"/>
  <c r="T104" i="1" s="1"/>
  <c r="J103" i="1"/>
  <c r="T103" i="1" s="1"/>
  <c r="J102" i="1"/>
  <c r="J101" i="1"/>
  <c r="J100" i="1"/>
  <c r="J99" i="1"/>
  <c r="J98" i="1"/>
  <c r="J97" i="1"/>
  <c r="T97" i="1" s="1"/>
  <c r="J96" i="1"/>
  <c r="J95" i="1"/>
  <c r="J94" i="1"/>
  <c r="J93" i="1"/>
  <c r="J92" i="1"/>
  <c r="J91" i="1"/>
  <c r="J90" i="1"/>
  <c r="J89" i="1"/>
  <c r="T89" i="1" s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G24" i="3"/>
  <c r="F24" i="3"/>
  <c r="E24" i="3"/>
  <c r="D24" i="3"/>
  <c r="C24" i="3"/>
  <c r="B24" i="3"/>
  <c r="G23" i="3"/>
  <c r="F23" i="3"/>
  <c r="E23" i="3"/>
  <c r="D23" i="3"/>
  <c r="C23" i="3"/>
  <c r="B23" i="3"/>
  <c r="H23" i="3" s="1"/>
  <c r="G18" i="3"/>
  <c r="F18" i="3"/>
  <c r="E18" i="3"/>
  <c r="D18" i="3"/>
  <c r="C18" i="3"/>
  <c r="B18" i="3"/>
  <c r="B19" i="3" s="1"/>
  <c r="G17" i="3"/>
  <c r="F17" i="3"/>
  <c r="F3" i="3" s="1"/>
  <c r="E17" i="3"/>
  <c r="D17" i="3"/>
  <c r="D3" i="3" s="1"/>
  <c r="C17" i="3"/>
  <c r="B17" i="3"/>
  <c r="J6" i="1"/>
  <c r="L144" i="1"/>
  <c r="V144" i="1" s="1"/>
  <c r="AE144" i="1" s="1"/>
  <c r="K144" i="1"/>
  <c r="G144" i="1"/>
  <c r="C144" i="1"/>
  <c r="L143" i="1"/>
  <c r="K143" i="1"/>
  <c r="T143" i="1"/>
  <c r="G143" i="1"/>
  <c r="C143" i="1"/>
  <c r="L142" i="1"/>
  <c r="K142" i="1"/>
  <c r="T142" i="1"/>
  <c r="G142" i="1"/>
  <c r="C142" i="1"/>
  <c r="L141" i="1"/>
  <c r="K141" i="1"/>
  <c r="T141" i="1"/>
  <c r="G141" i="1"/>
  <c r="C141" i="1"/>
  <c r="L140" i="1"/>
  <c r="V140" i="1" s="1"/>
  <c r="AE140" i="1" s="1"/>
  <c r="K140" i="1"/>
  <c r="G140" i="1"/>
  <c r="C140" i="1"/>
  <c r="L139" i="1"/>
  <c r="K139" i="1"/>
  <c r="G139" i="1"/>
  <c r="C139" i="1"/>
  <c r="L138" i="1"/>
  <c r="K138" i="1"/>
  <c r="T138" i="1"/>
  <c r="G138" i="1"/>
  <c r="C138" i="1"/>
  <c r="L137" i="1"/>
  <c r="K137" i="1"/>
  <c r="G137" i="1"/>
  <c r="C137" i="1"/>
  <c r="L136" i="1"/>
  <c r="K136" i="1"/>
  <c r="T136" i="1"/>
  <c r="G136" i="1"/>
  <c r="C136" i="1"/>
  <c r="L135" i="1"/>
  <c r="K135" i="1"/>
  <c r="G135" i="1"/>
  <c r="C135" i="1"/>
  <c r="L134" i="1"/>
  <c r="V134" i="1" s="1"/>
  <c r="AE134" i="1" s="1"/>
  <c r="K134" i="1"/>
  <c r="G134" i="1"/>
  <c r="C134" i="1"/>
  <c r="L133" i="1"/>
  <c r="V133" i="1" s="1"/>
  <c r="AE133" i="1" s="1"/>
  <c r="K133" i="1"/>
  <c r="G133" i="1"/>
  <c r="C133" i="1"/>
  <c r="L132" i="1"/>
  <c r="V132" i="1" s="1"/>
  <c r="AE132" i="1" s="1"/>
  <c r="K132" i="1"/>
  <c r="G132" i="1"/>
  <c r="C132" i="1"/>
  <c r="L131" i="1"/>
  <c r="K131" i="1"/>
  <c r="T131" i="1"/>
  <c r="G131" i="1"/>
  <c r="C131" i="1"/>
  <c r="L130" i="1"/>
  <c r="K130" i="1"/>
  <c r="T130" i="1"/>
  <c r="G130" i="1"/>
  <c r="C130" i="1"/>
  <c r="L129" i="1"/>
  <c r="K129" i="1"/>
  <c r="T129" i="1"/>
  <c r="G129" i="1"/>
  <c r="C129" i="1"/>
  <c r="L128" i="1"/>
  <c r="K128" i="1"/>
  <c r="T128" i="1"/>
  <c r="G128" i="1"/>
  <c r="C128" i="1"/>
  <c r="L127" i="1"/>
  <c r="V127" i="1" s="1"/>
  <c r="AE127" i="1" s="1"/>
  <c r="K127" i="1"/>
  <c r="G127" i="1"/>
  <c r="C127" i="1"/>
  <c r="L126" i="1"/>
  <c r="K126" i="1"/>
  <c r="G126" i="1"/>
  <c r="C126" i="1"/>
  <c r="L125" i="1"/>
  <c r="K125" i="1"/>
  <c r="T125" i="1"/>
  <c r="G125" i="1"/>
  <c r="C125" i="1"/>
  <c r="L124" i="1"/>
  <c r="K124" i="1"/>
  <c r="G124" i="1"/>
  <c r="C124" i="1"/>
  <c r="L123" i="1"/>
  <c r="K123" i="1"/>
  <c r="G123" i="1"/>
  <c r="C123" i="1"/>
  <c r="L122" i="1"/>
  <c r="V122" i="1" s="1"/>
  <c r="AE122" i="1" s="1"/>
  <c r="K122" i="1"/>
  <c r="G122" i="1"/>
  <c r="C122" i="1"/>
  <c r="L121" i="1"/>
  <c r="K121" i="1"/>
  <c r="G121" i="1"/>
  <c r="C121" i="1"/>
  <c r="L120" i="1"/>
  <c r="K120" i="1"/>
  <c r="G120" i="1"/>
  <c r="C120" i="1"/>
  <c r="L119" i="1"/>
  <c r="K119" i="1"/>
  <c r="T119" i="1"/>
  <c r="G119" i="1"/>
  <c r="C119" i="1"/>
  <c r="L118" i="1"/>
  <c r="K118" i="1"/>
  <c r="T118" i="1"/>
  <c r="G118" i="1"/>
  <c r="C118" i="1"/>
  <c r="L117" i="1"/>
  <c r="K117" i="1"/>
  <c r="T117" i="1"/>
  <c r="G117" i="1"/>
  <c r="C117" i="1"/>
  <c r="L116" i="1"/>
  <c r="V116" i="1" s="1"/>
  <c r="AE116" i="1" s="1"/>
  <c r="K116" i="1"/>
  <c r="T116" i="1"/>
  <c r="G116" i="1"/>
  <c r="C116" i="1"/>
  <c r="L115" i="1"/>
  <c r="K115" i="1"/>
  <c r="G115" i="1"/>
  <c r="C115" i="1"/>
  <c r="L114" i="1"/>
  <c r="V114" i="1" s="1"/>
  <c r="AE114" i="1" s="1"/>
  <c r="K114" i="1"/>
  <c r="G114" i="1"/>
  <c r="C114" i="1"/>
  <c r="L113" i="1"/>
  <c r="K113" i="1"/>
  <c r="G113" i="1"/>
  <c r="C113" i="1"/>
  <c r="L112" i="1"/>
  <c r="K112" i="1"/>
  <c r="G112" i="1"/>
  <c r="C112" i="1"/>
  <c r="L111" i="1"/>
  <c r="K111" i="1"/>
  <c r="G111" i="1"/>
  <c r="C111" i="1"/>
  <c r="L110" i="1"/>
  <c r="V110" i="1" s="1"/>
  <c r="AE110" i="1" s="1"/>
  <c r="K110" i="1"/>
  <c r="T110" i="1"/>
  <c r="G110" i="1"/>
  <c r="C110" i="1"/>
  <c r="L109" i="1"/>
  <c r="K109" i="1"/>
  <c r="G109" i="1"/>
  <c r="C109" i="1"/>
  <c r="L108" i="1"/>
  <c r="V108" i="1" s="1"/>
  <c r="AE108" i="1" s="1"/>
  <c r="K108" i="1"/>
  <c r="T108" i="1"/>
  <c r="G108" i="1"/>
  <c r="C108" i="1"/>
  <c r="L107" i="1"/>
  <c r="K107" i="1"/>
  <c r="T107" i="1"/>
  <c r="G107" i="1"/>
  <c r="C107" i="1"/>
  <c r="L106" i="1"/>
  <c r="V106" i="1" s="1"/>
  <c r="AE106" i="1" s="1"/>
  <c r="K106" i="1"/>
  <c r="T106" i="1"/>
  <c r="G106" i="1"/>
  <c r="C106" i="1"/>
  <c r="L105" i="1"/>
  <c r="K105" i="1"/>
  <c r="T105" i="1"/>
  <c r="G105" i="1"/>
  <c r="C105" i="1"/>
  <c r="L104" i="1"/>
  <c r="V104" i="1" s="1"/>
  <c r="AE104" i="1" s="1"/>
  <c r="K104" i="1"/>
  <c r="G104" i="1"/>
  <c r="C104" i="1"/>
  <c r="L103" i="1"/>
  <c r="K103" i="1"/>
  <c r="G103" i="1"/>
  <c r="C103" i="1"/>
  <c r="L102" i="1"/>
  <c r="K102" i="1"/>
  <c r="G102" i="1"/>
  <c r="C102" i="1"/>
  <c r="L101" i="1"/>
  <c r="K101" i="1"/>
  <c r="G101" i="1"/>
  <c r="C101" i="1"/>
  <c r="L100" i="1"/>
  <c r="K100" i="1"/>
  <c r="G100" i="1"/>
  <c r="C100" i="1"/>
  <c r="L99" i="1"/>
  <c r="K99" i="1"/>
  <c r="G99" i="1"/>
  <c r="C99" i="1"/>
  <c r="L98" i="1"/>
  <c r="K98" i="1"/>
  <c r="G98" i="1"/>
  <c r="C98" i="1"/>
  <c r="L97" i="1"/>
  <c r="K97" i="1"/>
  <c r="G97" i="1"/>
  <c r="C97" i="1"/>
  <c r="L96" i="1"/>
  <c r="K96" i="1"/>
  <c r="G96" i="1"/>
  <c r="C96" i="1"/>
  <c r="L95" i="1"/>
  <c r="K95" i="1"/>
  <c r="G95" i="1"/>
  <c r="C95" i="1"/>
  <c r="L94" i="1"/>
  <c r="K94" i="1"/>
  <c r="G94" i="1"/>
  <c r="C94" i="1"/>
  <c r="L93" i="1"/>
  <c r="K93" i="1"/>
  <c r="G93" i="1"/>
  <c r="C93" i="1"/>
  <c r="L92" i="1"/>
  <c r="K92" i="1"/>
  <c r="G92" i="1"/>
  <c r="C92" i="1"/>
  <c r="L91" i="1"/>
  <c r="K91" i="1"/>
  <c r="G91" i="1"/>
  <c r="C91" i="1"/>
  <c r="M90" i="1"/>
  <c r="N90" i="1" s="1"/>
  <c r="X90" i="1" s="1"/>
  <c r="AG90" i="1" s="1"/>
  <c r="G90" i="1"/>
  <c r="C90" i="1"/>
  <c r="L89" i="1"/>
  <c r="K89" i="1"/>
  <c r="G89" i="1"/>
  <c r="C89" i="1"/>
  <c r="L88" i="1"/>
  <c r="V88" i="1" s="1"/>
  <c r="AE88" i="1" s="1"/>
  <c r="K88" i="1"/>
  <c r="G88" i="1"/>
  <c r="C88" i="1"/>
  <c r="L87" i="1"/>
  <c r="V87" i="1" s="1"/>
  <c r="AE87" i="1" s="1"/>
  <c r="K87" i="1"/>
  <c r="G87" i="1"/>
  <c r="C87" i="1"/>
  <c r="L86" i="1"/>
  <c r="V86" i="1" s="1"/>
  <c r="AE86" i="1" s="1"/>
  <c r="K86" i="1"/>
  <c r="G86" i="1"/>
  <c r="C86" i="1"/>
  <c r="L85" i="1"/>
  <c r="V85" i="1" s="1"/>
  <c r="AE85" i="1" s="1"/>
  <c r="K85" i="1"/>
  <c r="G85" i="1"/>
  <c r="C85" i="1"/>
  <c r="L84" i="1"/>
  <c r="V84" i="1" s="1"/>
  <c r="AE84" i="1" s="1"/>
  <c r="K84" i="1"/>
  <c r="G84" i="1"/>
  <c r="C84" i="1"/>
  <c r="T83" i="1"/>
  <c r="L83" i="1"/>
  <c r="V83" i="1" s="1"/>
  <c r="AE83" i="1" s="1"/>
  <c r="K83" i="1"/>
  <c r="G83" i="1"/>
  <c r="C83" i="1"/>
  <c r="L82" i="1"/>
  <c r="V82" i="1" s="1"/>
  <c r="AE82" i="1" s="1"/>
  <c r="K82" i="1"/>
  <c r="G82" i="1"/>
  <c r="C82" i="1"/>
  <c r="T81" i="1"/>
  <c r="L81" i="1"/>
  <c r="V81" i="1" s="1"/>
  <c r="AE81" i="1" s="1"/>
  <c r="K81" i="1"/>
  <c r="G81" i="1"/>
  <c r="C81" i="1"/>
  <c r="L80" i="1"/>
  <c r="V80" i="1" s="1"/>
  <c r="AE80" i="1" s="1"/>
  <c r="K80" i="1"/>
  <c r="T80" i="1"/>
  <c r="G80" i="1"/>
  <c r="C80" i="1"/>
  <c r="L79" i="1"/>
  <c r="K79" i="1"/>
  <c r="G79" i="1"/>
  <c r="C79" i="1"/>
  <c r="L78" i="1"/>
  <c r="K78" i="1"/>
  <c r="G78" i="1"/>
  <c r="C78" i="1"/>
  <c r="L77" i="1"/>
  <c r="K77" i="1"/>
  <c r="G77" i="1"/>
  <c r="C77" i="1"/>
  <c r="L76" i="1"/>
  <c r="V76" i="1" s="1"/>
  <c r="AE76" i="1" s="1"/>
  <c r="K76" i="1"/>
  <c r="G76" i="1"/>
  <c r="C76" i="1"/>
  <c r="L75" i="1"/>
  <c r="V75" i="1" s="1"/>
  <c r="AE75" i="1" s="1"/>
  <c r="K75" i="1"/>
  <c r="G75" i="1"/>
  <c r="C75" i="1"/>
  <c r="J5" i="1"/>
  <c r="E3" i="3"/>
  <c r="B3" i="3"/>
  <c r="P85" i="28"/>
  <c r="P83" i="28"/>
  <c r="P14" i="28"/>
  <c r="P11" i="28"/>
  <c r="P253" i="28"/>
  <c r="P252" i="28"/>
  <c r="P251" i="28"/>
  <c r="P250" i="28"/>
  <c r="P249" i="28"/>
  <c r="P248" i="28"/>
  <c r="P247" i="28"/>
  <c r="P246" i="28"/>
  <c r="P245" i="28"/>
  <c r="P244" i="28"/>
  <c r="P243" i="28"/>
  <c r="P242" i="28"/>
  <c r="P241" i="28"/>
  <c r="P240" i="28"/>
  <c r="P239" i="28"/>
  <c r="P238" i="28"/>
  <c r="P237" i="28"/>
  <c r="P236" i="28"/>
  <c r="P235" i="28"/>
  <c r="P234" i="28"/>
  <c r="P233" i="28"/>
  <c r="P232" i="28"/>
  <c r="P231" i="28"/>
  <c r="P230" i="28"/>
  <c r="P229" i="28"/>
  <c r="P228" i="28"/>
  <c r="P227" i="28"/>
  <c r="P226" i="28"/>
  <c r="P225" i="28"/>
  <c r="P224" i="28"/>
  <c r="P223" i="28"/>
  <c r="P222" i="28"/>
  <c r="P221" i="28"/>
  <c r="P220" i="28"/>
  <c r="P219" i="28"/>
  <c r="P218" i="28"/>
  <c r="P217" i="28"/>
  <c r="P216" i="28"/>
  <c r="P215" i="28"/>
  <c r="P214" i="28"/>
  <c r="P213" i="28"/>
  <c r="P212" i="28"/>
  <c r="P211" i="28"/>
  <c r="P210" i="28"/>
  <c r="P209" i="28"/>
  <c r="P208" i="28"/>
  <c r="P207" i="28"/>
  <c r="P206" i="28"/>
  <c r="P205" i="28"/>
  <c r="P204" i="28"/>
  <c r="P203" i="28"/>
  <c r="P202" i="28"/>
  <c r="P201" i="28"/>
  <c r="P200" i="28"/>
  <c r="P199" i="28"/>
  <c r="P198" i="28"/>
  <c r="P197" i="28"/>
  <c r="P196" i="28"/>
  <c r="P195" i="28"/>
  <c r="P194" i="28"/>
  <c r="P193" i="28"/>
  <c r="P192" i="28"/>
  <c r="P191" i="28"/>
  <c r="P190" i="28"/>
  <c r="P189" i="28"/>
  <c r="P188" i="28"/>
  <c r="P187" i="28"/>
  <c r="P186" i="28"/>
  <c r="P185" i="28"/>
  <c r="P184" i="28"/>
  <c r="P183" i="28"/>
  <c r="P182" i="28"/>
  <c r="P181" i="28"/>
  <c r="P180" i="28"/>
  <c r="P179" i="28"/>
  <c r="P178" i="28"/>
  <c r="P177" i="28"/>
  <c r="P176" i="28"/>
  <c r="P175" i="28"/>
  <c r="P174" i="28"/>
  <c r="P173" i="28"/>
  <c r="P172" i="28"/>
  <c r="P171" i="28"/>
  <c r="P170" i="28"/>
  <c r="P169" i="28"/>
  <c r="P168" i="28"/>
  <c r="P167" i="28"/>
  <c r="P166" i="28"/>
  <c r="P165" i="28"/>
  <c r="P164" i="28"/>
  <c r="P163" i="28"/>
  <c r="P162" i="28"/>
  <c r="P161" i="28"/>
  <c r="P160" i="28"/>
  <c r="P159" i="28"/>
  <c r="P158" i="28"/>
  <c r="P157" i="28"/>
  <c r="P156" i="28"/>
  <c r="P155" i="28"/>
  <c r="P154" i="28"/>
  <c r="P153" i="28"/>
  <c r="P152" i="28"/>
  <c r="P151" i="28"/>
  <c r="P150" i="28"/>
  <c r="P149" i="28"/>
  <c r="P148" i="28"/>
  <c r="P147" i="28"/>
  <c r="P146" i="28"/>
  <c r="P145" i="28"/>
  <c r="P144" i="28"/>
  <c r="P143" i="28"/>
  <c r="P142" i="28"/>
  <c r="P141" i="28"/>
  <c r="P140" i="28"/>
  <c r="P139" i="28"/>
  <c r="P138" i="28"/>
  <c r="P137" i="28"/>
  <c r="P136" i="28"/>
  <c r="P135" i="28"/>
  <c r="P134" i="28"/>
  <c r="P133" i="28"/>
  <c r="P132" i="28"/>
  <c r="P131" i="28"/>
  <c r="P130" i="28"/>
  <c r="P129" i="28"/>
  <c r="P128" i="28"/>
  <c r="P127" i="28"/>
  <c r="P126" i="28"/>
  <c r="P125" i="28"/>
  <c r="P124" i="28"/>
  <c r="P123" i="28"/>
  <c r="P122" i="28"/>
  <c r="P121" i="28"/>
  <c r="P120" i="28"/>
  <c r="P119" i="28"/>
  <c r="P118" i="28"/>
  <c r="P117" i="28"/>
  <c r="P116" i="28"/>
  <c r="P115" i="28"/>
  <c r="P114" i="28"/>
  <c r="P113" i="28"/>
  <c r="P112" i="28"/>
  <c r="P111" i="28"/>
  <c r="P110" i="28"/>
  <c r="P109" i="28"/>
  <c r="P108" i="28"/>
  <c r="P107" i="28"/>
  <c r="P106" i="28"/>
  <c r="P105" i="28"/>
  <c r="P104" i="28"/>
  <c r="P103" i="28"/>
  <c r="P102" i="28"/>
  <c r="P101" i="28"/>
  <c r="P100" i="28"/>
  <c r="P99" i="28"/>
  <c r="P98" i="28"/>
  <c r="P97" i="28"/>
  <c r="P96" i="28"/>
  <c r="P95" i="28"/>
  <c r="P94" i="28"/>
  <c r="P93" i="28"/>
  <c r="P92" i="28"/>
  <c r="P91" i="28"/>
  <c r="P90" i="28"/>
  <c r="P89" i="28"/>
  <c r="P88" i="28"/>
  <c r="P87" i="28"/>
  <c r="P86" i="28"/>
  <c r="P84" i="28"/>
  <c r="P82" i="28"/>
  <c r="P81" i="28"/>
  <c r="P80" i="28"/>
  <c r="P79" i="28"/>
  <c r="P78" i="28"/>
  <c r="P77" i="28"/>
  <c r="P76" i="28"/>
  <c r="P75" i="28"/>
  <c r="P74" i="28"/>
  <c r="P73" i="28"/>
  <c r="P72" i="28"/>
  <c r="P71" i="28"/>
  <c r="P70" i="28"/>
  <c r="P69" i="28"/>
  <c r="P68" i="28"/>
  <c r="P67" i="28"/>
  <c r="P66" i="28"/>
  <c r="P65" i="28"/>
  <c r="P64" i="28"/>
  <c r="P63" i="28"/>
  <c r="P62" i="28"/>
  <c r="P61" i="28"/>
  <c r="P60" i="28"/>
  <c r="P59" i="28"/>
  <c r="P58" i="28"/>
  <c r="P57" i="28"/>
  <c r="P56" i="28"/>
  <c r="P55" i="28"/>
  <c r="P54" i="28"/>
  <c r="P53" i="28"/>
  <c r="P52" i="28"/>
  <c r="P51" i="28"/>
  <c r="P50" i="28"/>
  <c r="P49" i="28"/>
  <c r="P48" i="28"/>
  <c r="P47" i="28"/>
  <c r="P46" i="28"/>
  <c r="P45" i="28"/>
  <c r="P44" i="28"/>
  <c r="P43" i="28"/>
  <c r="P42" i="28"/>
  <c r="P41" i="28"/>
  <c r="P40" i="28"/>
  <c r="P39" i="28"/>
  <c r="P38" i="28"/>
  <c r="P37" i="28"/>
  <c r="P36" i="28"/>
  <c r="P35" i="28"/>
  <c r="P34" i="28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3" i="28"/>
  <c r="P12" i="28"/>
  <c r="P10" i="28"/>
  <c r="V89" i="1" l="1"/>
  <c r="AE89" i="1" s="1"/>
  <c r="V78" i="1"/>
  <c r="AE78" i="1" s="1"/>
  <c r="V138" i="1"/>
  <c r="AE138" i="1" s="1"/>
  <c r="V90" i="1"/>
  <c r="AE90" i="1" s="1"/>
  <c r="U90" i="1"/>
  <c r="AD90" i="1" s="1"/>
  <c r="V125" i="1"/>
  <c r="AE125" i="1" s="1"/>
  <c r="V79" i="1"/>
  <c r="AE79" i="1" s="1"/>
  <c r="V128" i="1"/>
  <c r="AE128" i="1" s="1"/>
  <c r="V77" i="1"/>
  <c r="AE77" i="1" s="1"/>
  <c r="W90" i="1"/>
  <c r="AF90" i="1" s="1"/>
  <c r="V121" i="1"/>
  <c r="AE121" i="1" s="1"/>
  <c r="U84" i="1"/>
  <c r="AD84" i="1" s="1"/>
  <c r="U87" i="1"/>
  <c r="AD87" i="1" s="1"/>
  <c r="U112" i="1"/>
  <c r="AD112" i="1" s="1"/>
  <c r="M119" i="1"/>
  <c r="V119" i="1"/>
  <c r="AE119" i="1" s="1"/>
  <c r="U79" i="1"/>
  <c r="AD79" i="1" s="1"/>
  <c r="U93" i="1"/>
  <c r="AD93" i="1" s="1"/>
  <c r="U96" i="1"/>
  <c r="AD96" i="1" s="1"/>
  <c r="U102" i="1"/>
  <c r="AD102" i="1" s="1"/>
  <c r="M112" i="1"/>
  <c r="N112" i="1" s="1"/>
  <c r="X112" i="1" s="1"/>
  <c r="AG112" i="1" s="1"/>
  <c r="V112" i="1"/>
  <c r="AE112" i="1" s="1"/>
  <c r="U117" i="1"/>
  <c r="AD117" i="1" s="1"/>
  <c r="U130" i="1"/>
  <c r="AD130" i="1" s="1"/>
  <c r="U138" i="1"/>
  <c r="AD138" i="1" s="1"/>
  <c r="M93" i="1"/>
  <c r="N93" i="1" s="1"/>
  <c r="X93" i="1" s="1"/>
  <c r="AG93" i="1" s="1"/>
  <c r="V93" i="1"/>
  <c r="AE93" i="1" s="1"/>
  <c r="M99" i="1"/>
  <c r="V99" i="1"/>
  <c r="AE99" i="1" s="1"/>
  <c r="U107" i="1"/>
  <c r="AD107" i="1" s="1"/>
  <c r="U133" i="1"/>
  <c r="AD133" i="1" s="1"/>
  <c r="U143" i="1"/>
  <c r="AD143" i="1" s="1"/>
  <c r="M91" i="1"/>
  <c r="V91" i="1"/>
  <c r="AE91" i="1" s="1"/>
  <c r="M94" i="1"/>
  <c r="N94" i="1" s="1"/>
  <c r="X94" i="1" s="1"/>
  <c r="AG94" i="1" s="1"/>
  <c r="V94" i="1"/>
  <c r="AE94" i="1" s="1"/>
  <c r="M97" i="1"/>
  <c r="N97" i="1" s="1"/>
  <c r="X97" i="1" s="1"/>
  <c r="AG97" i="1" s="1"/>
  <c r="V97" i="1"/>
  <c r="AE97" i="1" s="1"/>
  <c r="U103" i="1"/>
  <c r="AD103" i="1" s="1"/>
  <c r="M113" i="1"/>
  <c r="N113" i="1" s="1"/>
  <c r="X113" i="1" s="1"/>
  <c r="AG113" i="1" s="1"/>
  <c r="V113" i="1"/>
  <c r="AE113" i="1" s="1"/>
  <c r="U118" i="1"/>
  <c r="AD118" i="1" s="1"/>
  <c r="M126" i="1"/>
  <c r="V126" i="1"/>
  <c r="AE126" i="1" s="1"/>
  <c r="U134" i="1"/>
  <c r="AD134" i="1" s="1"/>
  <c r="U144" i="1"/>
  <c r="AD144" i="1" s="1"/>
  <c r="U83" i="1"/>
  <c r="AD83" i="1" s="1"/>
  <c r="M103" i="1"/>
  <c r="N103" i="1" s="1"/>
  <c r="X103" i="1" s="1"/>
  <c r="AG103" i="1" s="1"/>
  <c r="V103" i="1"/>
  <c r="AE103" i="1" s="1"/>
  <c r="U108" i="1"/>
  <c r="AD108" i="1" s="1"/>
  <c r="M118" i="1"/>
  <c r="V118" i="1"/>
  <c r="AE118" i="1" s="1"/>
  <c r="U121" i="1"/>
  <c r="AD121" i="1" s="1"/>
  <c r="M131" i="1"/>
  <c r="V131" i="1"/>
  <c r="AE131" i="1" s="1"/>
  <c r="U86" i="1"/>
  <c r="AD86" i="1" s="1"/>
  <c r="U81" i="1"/>
  <c r="AD81" i="1" s="1"/>
  <c r="M92" i="1"/>
  <c r="N92" i="1" s="1"/>
  <c r="X92" i="1" s="1"/>
  <c r="AG92" i="1" s="1"/>
  <c r="V92" i="1"/>
  <c r="AE92" i="1" s="1"/>
  <c r="M95" i="1"/>
  <c r="N95" i="1" s="1"/>
  <c r="X95" i="1" s="1"/>
  <c r="AG95" i="1" s="1"/>
  <c r="V95" i="1"/>
  <c r="AE95" i="1" s="1"/>
  <c r="M98" i="1"/>
  <c r="N98" i="1" s="1"/>
  <c r="X98" i="1" s="1"/>
  <c r="AG98" i="1" s="1"/>
  <c r="V98" i="1"/>
  <c r="AE98" i="1" s="1"/>
  <c r="M101" i="1"/>
  <c r="N101" i="1" s="1"/>
  <c r="X101" i="1" s="1"/>
  <c r="AG101" i="1" s="1"/>
  <c r="V101" i="1"/>
  <c r="AE101" i="1" s="1"/>
  <c r="U114" i="1"/>
  <c r="AD114" i="1" s="1"/>
  <c r="U127" i="1"/>
  <c r="AD127" i="1" s="1"/>
  <c r="U132" i="1"/>
  <c r="AD132" i="1" s="1"/>
  <c r="U135" i="1"/>
  <c r="AD135" i="1" s="1"/>
  <c r="M142" i="1"/>
  <c r="N142" i="1" s="1"/>
  <c r="X142" i="1" s="1"/>
  <c r="AG142" i="1" s="1"/>
  <c r="V142" i="1"/>
  <c r="AE142" i="1" s="1"/>
  <c r="U104" i="1"/>
  <c r="AD104" i="1" s="1"/>
  <c r="U109" i="1"/>
  <c r="AD109" i="1" s="1"/>
  <c r="U119" i="1"/>
  <c r="AD119" i="1" s="1"/>
  <c r="U122" i="1"/>
  <c r="AD122" i="1" s="1"/>
  <c r="M135" i="1"/>
  <c r="V135" i="1"/>
  <c r="AE135" i="1" s="1"/>
  <c r="U140" i="1"/>
  <c r="AD140" i="1" s="1"/>
  <c r="U76" i="1"/>
  <c r="AD76" i="1" s="1"/>
  <c r="M96" i="1"/>
  <c r="N96" i="1" s="1"/>
  <c r="X96" i="1" s="1"/>
  <c r="AG96" i="1" s="1"/>
  <c r="V96" i="1"/>
  <c r="AE96" i="1" s="1"/>
  <c r="M130" i="1"/>
  <c r="N130" i="1" s="1"/>
  <c r="X130" i="1" s="1"/>
  <c r="AG130" i="1" s="1"/>
  <c r="V130" i="1"/>
  <c r="AE130" i="1" s="1"/>
  <c r="U82" i="1"/>
  <c r="AD82" i="1" s="1"/>
  <c r="M107" i="1"/>
  <c r="V107" i="1"/>
  <c r="AE107" i="1" s="1"/>
  <c r="U115" i="1"/>
  <c r="AD115" i="1" s="1"/>
  <c r="U120" i="1"/>
  <c r="AD120" i="1" s="1"/>
  <c r="U123" i="1"/>
  <c r="AD123" i="1" s="1"/>
  <c r="U128" i="1"/>
  <c r="AD128" i="1" s="1"/>
  <c r="U136" i="1"/>
  <c r="AD136" i="1" s="1"/>
  <c r="M143" i="1"/>
  <c r="V143" i="1"/>
  <c r="AE143" i="1" s="1"/>
  <c r="U85" i="1"/>
  <c r="AD85" i="1" s="1"/>
  <c r="U88" i="1"/>
  <c r="AD88" i="1" s="1"/>
  <c r="U105" i="1"/>
  <c r="AD105" i="1" s="1"/>
  <c r="U110" i="1"/>
  <c r="AD110" i="1" s="1"/>
  <c r="M115" i="1"/>
  <c r="V115" i="1"/>
  <c r="AE115" i="1" s="1"/>
  <c r="M120" i="1"/>
  <c r="V120" i="1"/>
  <c r="AE120" i="1" s="1"/>
  <c r="M123" i="1"/>
  <c r="N123" i="1" s="1"/>
  <c r="X123" i="1" s="1"/>
  <c r="AG123" i="1" s="1"/>
  <c r="V123" i="1"/>
  <c r="AE123" i="1" s="1"/>
  <c r="M136" i="1"/>
  <c r="N136" i="1" s="1"/>
  <c r="X136" i="1" s="1"/>
  <c r="AG136" i="1" s="1"/>
  <c r="V136" i="1"/>
  <c r="AE136" i="1" s="1"/>
  <c r="U141" i="1"/>
  <c r="AD141" i="1" s="1"/>
  <c r="U77" i="1"/>
  <c r="AD77" i="1" s="1"/>
  <c r="U91" i="1"/>
  <c r="AD91" i="1" s="1"/>
  <c r="U94" i="1"/>
  <c r="AD94" i="1" s="1"/>
  <c r="U97" i="1"/>
  <c r="AD97" i="1" s="1"/>
  <c r="U100" i="1"/>
  <c r="AD100" i="1" s="1"/>
  <c r="M105" i="1"/>
  <c r="N105" i="1" s="1"/>
  <c r="X105" i="1" s="1"/>
  <c r="AG105" i="1" s="1"/>
  <c r="V105" i="1"/>
  <c r="AE105" i="1" s="1"/>
  <c r="U113" i="1"/>
  <c r="AD113" i="1" s="1"/>
  <c r="U126" i="1"/>
  <c r="AD126" i="1" s="1"/>
  <c r="M141" i="1"/>
  <c r="V141" i="1"/>
  <c r="AE141" i="1" s="1"/>
  <c r="M109" i="1"/>
  <c r="N109" i="1" s="1"/>
  <c r="X109" i="1" s="1"/>
  <c r="AG109" i="1" s="1"/>
  <c r="V109" i="1"/>
  <c r="AE109" i="1" s="1"/>
  <c r="U125" i="1"/>
  <c r="AD125" i="1" s="1"/>
  <c r="U99" i="1"/>
  <c r="AD99" i="1" s="1"/>
  <c r="M102" i="1"/>
  <c r="N102" i="1" s="1"/>
  <c r="X102" i="1" s="1"/>
  <c r="AG102" i="1" s="1"/>
  <c r="V102" i="1"/>
  <c r="AE102" i="1" s="1"/>
  <c r="M117" i="1"/>
  <c r="V117" i="1"/>
  <c r="AE117" i="1" s="1"/>
  <c r="U80" i="1"/>
  <c r="AD80" i="1" s="1"/>
  <c r="M100" i="1"/>
  <c r="N100" i="1" s="1"/>
  <c r="X100" i="1" s="1"/>
  <c r="AG100" i="1" s="1"/>
  <c r="V100" i="1"/>
  <c r="AE100" i="1" s="1"/>
  <c r="U131" i="1"/>
  <c r="AD131" i="1" s="1"/>
  <c r="U139" i="1"/>
  <c r="AD139" i="1" s="1"/>
  <c r="U124" i="1"/>
  <c r="AD124" i="1" s="1"/>
  <c r="M139" i="1"/>
  <c r="N139" i="1" s="1"/>
  <c r="X139" i="1" s="1"/>
  <c r="AG139" i="1" s="1"/>
  <c r="V139" i="1"/>
  <c r="AE139" i="1" s="1"/>
  <c r="U89" i="1"/>
  <c r="AD89" i="1" s="1"/>
  <c r="U111" i="1"/>
  <c r="AD111" i="1" s="1"/>
  <c r="U116" i="1"/>
  <c r="AD116" i="1" s="1"/>
  <c r="M124" i="1"/>
  <c r="N124" i="1" s="1"/>
  <c r="X124" i="1" s="1"/>
  <c r="AG124" i="1" s="1"/>
  <c r="V124" i="1"/>
  <c r="AE124" i="1" s="1"/>
  <c r="U129" i="1"/>
  <c r="AD129" i="1" s="1"/>
  <c r="U137" i="1"/>
  <c r="AD137" i="1" s="1"/>
  <c r="U75" i="1"/>
  <c r="AD75" i="1" s="1"/>
  <c r="U78" i="1"/>
  <c r="AD78" i="1" s="1"/>
  <c r="U92" i="1"/>
  <c r="AD92" i="1" s="1"/>
  <c r="U95" i="1"/>
  <c r="AD95" i="1" s="1"/>
  <c r="U98" i="1"/>
  <c r="AD98" i="1" s="1"/>
  <c r="U101" i="1"/>
  <c r="AD101" i="1" s="1"/>
  <c r="U106" i="1"/>
  <c r="AD106" i="1" s="1"/>
  <c r="M111" i="1"/>
  <c r="N111" i="1" s="1"/>
  <c r="X111" i="1" s="1"/>
  <c r="AG111" i="1" s="1"/>
  <c r="V111" i="1"/>
  <c r="AE111" i="1" s="1"/>
  <c r="M129" i="1"/>
  <c r="N129" i="1" s="1"/>
  <c r="X129" i="1" s="1"/>
  <c r="AG129" i="1" s="1"/>
  <c r="V129" i="1"/>
  <c r="AE129" i="1" s="1"/>
  <c r="M137" i="1"/>
  <c r="N137" i="1" s="1"/>
  <c r="X137" i="1" s="1"/>
  <c r="AG137" i="1" s="1"/>
  <c r="V137" i="1"/>
  <c r="AE137" i="1" s="1"/>
  <c r="U142" i="1"/>
  <c r="AD142" i="1" s="1"/>
  <c r="E19" i="3"/>
  <c r="E25" i="3"/>
  <c r="C25" i="3"/>
  <c r="Y83" i="2"/>
  <c r="E84" i="2"/>
  <c r="R31" i="21" s="1"/>
  <c r="F84" i="2"/>
  <c r="S45" i="2"/>
  <c r="V53" i="2"/>
  <c r="R20" i="21" s="1"/>
  <c r="S47" i="2"/>
  <c r="S46" i="2"/>
  <c r="S48" i="2"/>
  <c r="S49" i="2"/>
  <c r="G84" i="2"/>
  <c r="R32" i="21" s="1"/>
  <c r="X68" i="2"/>
  <c r="S50" i="2"/>
  <c r="Z68" i="2"/>
  <c r="S39" i="2"/>
  <c r="AD39" i="2"/>
  <c r="R25" i="21" s="1"/>
  <c r="S40" i="2"/>
  <c r="AD40" i="2"/>
  <c r="V83" i="2"/>
  <c r="S41" i="2"/>
  <c r="AD41" i="2"/>
  <c r="R26" i="21" s="1"/>
  <c r="W83" i="2"/>
  <c r="S42" i="2"/>
  <c r="AD42" i="2"/>
  <c r="Y68" i="2"/>
  <c r="B20" i="29"/>
  <c r="X83" i="2"/>
  <c r="S43" i="2"/>
  <c r="Z83" i="2"/>
  <c r="V68" i="2"/>
  <c r="C84" i="2"/>
  <c r="R30" i="21" s="1"/>
  <c r="W68" i="2"/>
  <c r="W53" i="2"/>
  <c r="X53" i="2"/>
  <c r="R21" i="21" s="1"/>
  <c r="Y53" i="2"/>
  <c r="Z53" i="2"/>
  <c r="R22" i="21" s="1"/>
  <c r="M125" i="1"/>
  <c r="M106" i="1"/>
  <c r="G19" i="3"/>
  <c r="G25" i="3"/>
  <c r="T88" i="1"/>
  <c r="T76" i="1"/>
  <c r="T86" i="1"/>
  <c r="T95" i="1"/>
  <c r="C19" i="3"/>
  <c r="C3" i="3"/>
  <c r="T75" i="1"/>
  <c r="T77" i="1"/>
  <c r="T87" i="1"/>
  <c r="T82" i="1"/>
  <c r="T100" i="1"/>
  <c r="D25" i="3"/>
  <c r="T91" i="1"/>
  <c r="T93" i="1"/>
  <c r="T102" i="1"/>
  <c r="D19" i="3"/>
  <c r="F25" i="3"/>
  <c r="H17" i="3"/>
  <c r="H3" i="3" s="1"/>
  <c r="G3" i="3"/>
  <c r="T79" i="1"/>
  <c r="T85" i="1"/>
  <c r="T98" i="1"/>
  <c r="B25" i="3"/>
  <c r="T96" i="1"/>
  <c r="F19" i="3"/>
  <c r="T78" i="1"/>
  <c r="T84" i="1"/>
  <c r="T94" i="1"/>
  <c r="T92" i="1"/>
  <c r="T90" i="1"/>
  <c r="T99" i="1"/>
  <c r="T101" i="1"/>
  <c r="M108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114" i="1"/>
  <c r="M121" i="1"/>
  <c r="M127" i="1"/>
  <c r="M133" i="1"/>
  <c r="M104" i="1"/>
  <c r="M110" i="1"/>
  <c r="M116" i="1"/>
  <c r="M122" i="1"/>
  <c r="M128" i="1"/>
  <c r="M134" i="1"/>
  <c r="M140" i="1"/>
  <c r="M132" i="1"/>
  <c r="M138" i="1"/>
  <c r="M144" i="1"/>
  <c r="R36" i="21" l="1"/>
  <c r="R15" i="21" s="1"/>
  <c r="R37" i="21"/>
  <c r="R16" i="21" s="1"/>
  <c r="W89" i="1"/>
  <c r="AF89" i="1" s="1"/>
  <c r="W77" i="1"/>
  <c r="AF77" i="1" s="1"/>
  <c r="W140" i="1"/>
  <c r="AF140" i="1" s="1"/>
  <c r="W88" i="1"/>
  <c r="AF88" i="1" s="1"/>
  <c r="W141" i="1"/>
  <c r="AF141" i="1" s="1"/>
  <c r="W120" i="1"/>
  <c r="AF120" i="1" s="1"/>
  <c r="W143" i="1"/>
  <c r="AF143" i="1" s="1"/>
  <c r="W107" i="1"/>
  <c r="AF107" i="1" s="1"/>
  <c r="W135" i="1"/>
  <c r="AF135" i="1" s="1"/>
  <c r="W95" i="1"/>
  <c r="AF95" i="1" s="1"/>
  <c r="W118" i="1"/>
  <c r="AF118" i="1" s="1"/>
  <c r="W126" i="1"/>
  <c r="AF126" i="1" s="1"/>
  <c r="W91" i="1"/>
  <c r="AF91" i="1" s="1"/>
  <c r="W134" i="1"/>
  <c r="AF134" i="1" s="1"/>
  <c r="W87" i="1"/>
  <c r="AF87" i="1" s="1"/>
  <c r="W75" i="1"/>
  <c r="AF75" i="1" s="1"/>
  <c r="N128" i="1"/>
  <c r="X128" i="1" s="1"/>
  <c r="AG128" i="1" s="1"/>
  <c r="W128" i="1"/>
  <c r="AF128" i="1" s="1"/>
  <c r="N143" i="1"/>
  <c r="X143" i="1" s="1"/>
  <c r="AG143" i="1" s="1"/>
  <c r="W139" i="1"/>
  <c r="AF139" i="1" s="1"/>
  <c r="W117" i="1"/>
  <c r="AF117" i="1" s="1"/>
  <c r="W115" i="1"/>
  <c r="AF115" i="1" s="1"/>
  <c r="W92" i="1"/>
  <c r="AF92" i="1" s="1"/>
  <c r="N122" i="1"/>
  <c r="X122" i="1" s="1"/>
  <c r="AG122" i="1" s="1"/>
  <c r="W122" i="1"/>
  <c r="AF122" i="1" s="1"/>
  <c r="W114" i="1"/>
  <c r="AF114" i="1" s="1"/>
  <c r="N116" i="1"/>
  <c r="X116" i="1" s="1"/>
  <c r="AG116" i="1" s="1"/>
  <c r="W116" i="1"/>
  <c r="AF116" i="1" s="1"/>
  <c r="N126" i="1"/>
  <c r="X126" i="1" s="1"/>
  <c r="AG126" i="1" s="1"/>
  <c r="N108" i="1"/>
  <c r="X108" i="1" s="1"/>
  <c r="AG108" i="1" s="1"/>
  <c r="W108" i="1"/>
  <c r="AF108" i="1" s="1"/>
  <c r="W102" i="1"/>
  <c r="AF102" i="1" s="1"/>
  <c r="W130" i="1"/>
  <c r="AF130" i="1" s="1"/>
  <c r="W103" i="1"/>
  <c r="AF103" i="1" s="1"/>
  <c r="W113" i="1"/>
  <c r="AF113" i="1" s="1"/>
  <c r="W83" i="1"/>
  <c r="AF83" i="1" s="1"/>
  <c r="W86" i="1"/>
  <c r="AF86" i="1" s="1"/>
  <c r="W85" i="1"/>
  <c r="AF85" i="1" s="1"/>
  <c r="W84" i="1"/>
  <c r="AF84" i="1" s="1"/>
  <c r="W119" i="1"/>
  <c r="AF119" i="1" s="1"/>
  <c r="N110" i="1"/>
  <c r="X110" i="1" s="1"/>
  <c r="AG110" i="1" s="1"/>
  <c r="W110" i="1"/>
  <c r="AF110" i="1" s="1"/>
  <c r="N135" i="1"/>
  <c r="X135" i="1" s="1"/>
  <c r="AG135" i="1" s="1"/>
  <c r="N91" i="1"/>
  <c r="X91" i="1" s="1"/>
  <c r="AG91" i="1" s="1"/>
  <c r="N104" i="1"/>
  <c r="X104" i="1" s="1"/>
  <c r="AG104" i="1" s="1"/>
  <c r="W104" i="1"/>
  <c r="AF104" i="1" s="1"/>
  <c r="N119" i="1"/>
  <c r="X119" i="1" s="1"/>
  <c r="AG119" i="1" s="1"/>
  <c r="W82" i="1"/>
  <c r="AF82" i="1" s="1"/>
  <c r="W137" i="1"/>
  <c r="AF137" i="1" s="1"/>
  <c r="W124" i="1"/>
  <c r="AF124" i="1" s="1"/>
  <c r="W105" i="1"/>
  <c r="AF105" i="1" s="1"/>
  <c r="W96" i="1"/>
  <c r="AF96" i="1" s="1"/>
  <c r="W112" i="1"/>
  <c r="AF112" i="1" s="1"/>
  <c r="W76" i="1"/>
  <c r="AF76" i="1" s="1"/>
  <c r="W144" i="1"/>
  <c r="AF144" i="1" s="1"/>
  <c r="W81" i="1"/>
  <c r="AF81" i="1" s="1"/>
  <c r="N125" i="1"/>
  <c r="X125" i="1" s="1"/>
  <c r="AG125" i="1" s="1"/>
  <c r="W125" i="1"/>
  <c r="AF125" i="1" s="1"/>
  <c r="W138" i="1"/>
  <c r="AF138" i="1" s="1"/>
  <c r="W133" i="1"/>
  <c r="AF133" i="1" s="1"/>
  <c r="N120" i="1"/>
  <c r="X120" i="1" s="1"/>
  <c r="AG120" i="1" s="1"/>
  <c r="W80" i="1"/>
  <c r="AF80" i="1" s="1"/>
  <c r="N141" i="1"/>
  <c r="X141" i="1" s="1"/>
  <c r="AG141" i="1" s="1"/>
  <c r="W129" i="1"/>
  <c r="AF129" i="1" s="1"/>
  <c r="W136" i="1"/>
  <c r="AF136" i="1" s="1"/>
  <c r="W101" i="1"/>
  <c r="AF101" i="1" s="1"/>
  <c r="W131" i="1"/>
  <c r="AF131" i="1" s="1"/>
  <c r="W97" i="1"/>
  <c r="AF97" i="1" s="1"/>
  <c r="W99" i="1"/>
  <c r="AF99" i="1" s="1"/>
  <c r="N132" i="1"/>
  <c r="X132" i="1" s="1"/>
  <c r="AG132" i="1" s="1"/>
  <c r="W132" i="1"/>
  <c r="AF132" i="1" s="1"/>
  <c r="W127" i="1"/>
  <c r="AF127" i="1" s="1"/>
  <c r="N118" i="1"/>
  <c r="X118" i="1" s="1"/>
  <c r="AG118" i="1" s="1"/>
  <c r="W79" i="1"/>
  <c r="AF79" i="1" s="1"/>
  <c r="N99" i="1"/>
  <c r="X99" i="1" s="1"/>
  <c r="AG99" i="1" s="1"/>
  <c r="N131" i="1"/>
  <c r="X131" i="1" s="1"/>
  <c r="AG131" i="1" s="1"/>
  <c r="N121" i="1"/>
  <c r="X121" i="1" s="1"/>
  <c r="AG121" i="1" s="1"/>
  <c r="W121" i="1"/>
  <c r="AF121" i="1" s="1"/>
  <c r="N107" i="1"/>
  <c r="X107" i="1" s="1"/>
  <c r="AG107" i="1" s="1"/>
  <c r="W78" i="1"/>
  <c r="AF78" i="1" s="1"/>
  <c r="N117" i="1"/>
  <c r="X117" i="1" s="1"/>
  <c r="AG117" i="1" s="1"/>
  <c r="W106" i="1"/>
  <c r="AF106" i="1" s="1"/>
  <c r="N115" i="1"/>
  <c r="X115" i="1" s="1"/>
  <c r="AG115" i="1" s="1"/>
  <c r="W111" i="1"/>
  <c r="AF111" i="1" s="1"/>
  <c r="W100" i="1"/>
  <c r="AF100" i="1" s="1"/>
  <c r="W109" i="1"/>
  <c r="AF109" i="1" s="1"/>
  <c r="W123" i="1"/>
  <c r="AF123" i="1" s="1"/>
  <c r="W142" i="1"/>
  <c r="AF142" i="1" s="1"/>
  <c r="W98" i="1"/>
  <c r="AF98" i="1" s="1"/>
  <c r="W94" i="1"/>
  <c r="AF94" i="1" s="1"/>
  <c r="W93" i="1"/>
  <c r="AF93" i="1" s="1"/>
  <c r="R35" i="21"/>
  <c r="R14" i="21" s="1"/>
  <c r="N106" i="1"/>
  <c r="X106" i="1" s="1"/>
  <c r="AG106" i="1" s="1"/>
  <c r="H25" i="3"/>
  <c r="H19" i="3"/>
  <c r="N83" i="1"/>
  <c r="X83" i="1" s="1"/>
  <c r="AG83" i="1" s="1"/>
  <c r="N82" i="1"/>
  <c r="X82" i="1" s="1"/>
  <c r="AG82" i="1" s="1"/>
  <c r="N81" i="1"/>
  <c r="X81" i="1" s="1"/>
  <c r="AG81" i="1" s="1"/>
  <c r="N86" i="1"/>
  <c r="X86" i="1" s="1"/>
  <c r="AG86" i="1" s="1"/>
  <c r="N80" i="1"/>
  <c r="X80" i="1" s="1"/>
  <c r="AG80" i="1" s="1"/>
  <c r="N77" i="1"/>
  <c r="X77" i="1" s="1"/>
  <c r="AG77" i="1" s="1"/>
  <c r="N75" i="1"/>
  <c r="X75" i="1" s="1"/>
  <c r="AG75" i="1" s="1"/>
  <c r="N127" i="1"/>
  <c r="X127" i="1" s="1"/>
  <c r="AG127" i="1" s="1"/>
  <c r="N88" i="1"/>
  <c r="X88" i="1" s="1"/>
  <c r="AG88" i="1" s="1"/>
  <c r="N133" i="1"/>
  <c r="X133" i="1" s="1"/>
  <c r="AG133" i="1" s="1"/>
  <c r="N85" i="1"/>
  <c r="X85" i="1" s="1"/>
  <c r="AG85" i="1" s="1"/>
  <c r="N79" i="1"/>
  <c r="X79" i="1" s="1"/>
  <c r="AG79" i="1" s="1"/>
  <c r="N140" i="1"/>
  <c r="X140" i="1" s="1"/>
  <c r="AG140" i="1" s="1"/>
  <c r="N76" i="1"/>
  <c r="X76" i="1" s="1"/>
  <c r="AG76" i="1" s="1"/>
  <c r="N114" i="1"/>
  <c r="X114" i="1" s="1"/>
  <c r="AG114" i="1" s="1"/>
  <c r="N144" i="1"/>
  <c r="X144" i="1" s="1"/>
  <c r="AG144" i="1" s="1"/>
  <c r="N89" i="1"/>
  <c r="X89" i="1" s="1"/>
  <c r="AG89" i="1" s="1"/>
  <c r="N134" i="1"/>
  <c r="X134" i="1" s="1"/>
  <c r="AG134" i="1" s="1"/>
  <c r="N87" i="1"/>
  <c r="X87" i="1" s="1"/>
  <c r="AG87" i="1" s="1"/>
  <c r="N138" i="1"/>
  <c r="X138" i="1" s="1"/>
  <c r="AG138" i="1" s="1"/>
  <c r="N84" i="1"/>
  <c r="X84" i="1" s="1"/>
  <c r="AG84" i="1" s="1"/>
  <c r="N78" i="1"/>
  <c r="X78" i="1" s="1"/>
  <c r="AG78" i="1" s="1"/>
  <c r="C74" i="21"/>
  <c r="L147" i="1"/>
  <c r="K147" i="1"/>
  <c r="L146" i="1"/>
  <c r="K146" i="1"/>
  <c r="L145" i="1"/>
  <c r="K145" i="1"/>
  <c r="M147" i="1" l="1"/>
  <c r="N147" i="1" s="1"/>
  <c r="X147" i="1" s="1"/>
  <c r="AG147" i="1" s="1"/>
  <c r="V147" i="1"/>
  <c r="AE147" i="1" s="1"/>
  <c r="S146" i="1"/>
  <c r="U146" i="1"/>
  <c r="AD146" i="1" s="1"/>
  <c r="M146" i="1"/>
  <c r="N146" i="1" s="1"/>
  <c r="X146" i="1" s="1"/>
  <c r="AG146" i="1" s="1"/>
  <c r="V146" i="1"/>
  <c r="AE146" i="1" s="1"/>
  <c r="U145" i="1"/>
  <c r="AD145" i="1" s="1"/>
  <c r="M145" i="1"/>
  <c r="N145" i="1" s="1"/>
  <c r="X145" i="1" s="1"/>
  <c r="AG145" i="1" s="1"/>
  <c r="V145" i="1"/>
  <c r="AE145" i="1" s="1"/>
  <c r="U147" i="1"/>
  <c r="AD147" i="1" s="1"/>
  <c r="C28" i="21"/>
  <c r="S145" i="1"/>
  <c r="S147" i="1"/>
  <c r="N19" i="2"/>
  <c r="P19" i="2" s="1"/>
  <c r="E19" i="2"/>
  <c r="G19" i="2" s="1"/>
  <c r="D19" i="2"/>
  <c r="E26" i="21"/>
  <c r="W145" i="1" l="1"/>
  <c r="AF145" i="1" s="1"/>
  <c r="W146" i="1"/>
  <c r="AF146" i="1" s="1"/>
  <c r="W147" i="1"/>
  <c r="AF147" i="1" s="1"/>
  <c r="J41" i="1"/>
  <c r="T41" i="1" s="1"/>
  <c r="G52" i="1"/>
  <c r="L49" i="1"/>
  <c r="G49" i="1"/>
  <c r="L69" i="1"/>
  <c r="J69" i="1"/>
  <c r="T69" i="1" s="1"/>
  <c r="G69" i="1"/>
  <c r="C69" i="1"/>
  <c r="L68" i="1"/>
  <c r="V68" i="1" s="1"/>
  <c r="AE68" i="1" s="1"/>
  <c r="J68" i="1"/>
  <c r="T68" i="1" s="1"/>
  <c r="G68" i="1"/>
  <c r="C68" i="1"/>
  <c r="L67" i="1"/>
  <c r="J67" i="1"/>
  <c r="T67" i="1" s="1"/>
  <c r="G67" i="1"/>
  <c r="C67" i="1"/>
  <c r="L66" i="1"/>
  <c r="J66" i="1"/>
  <c r="T66" i="1" s="1"/>
  <c r="G66" i="1"/>
  <c r="C66" i="1"/>
  <c r="L65" i="1"/>
  <c r="J65" i="1"/>
  <c r="T65" i="1" s="1"/>
  <c r="G65" i="1"/>
  <c r="C65" i="1"/>
  <c r="L64" i="1"/>
  <c r="J64" i="1"/>
  <c r="T64" i="1" s="1"/>
  <c r="G64" i="1"/>
  <c r="C64" i="1"/>
  <c r="L63" i="1"/>
  <c r="J63" i="1"/>
  <c r="T63" i="1" s="1"/>
  <c r="G63" i="1"/>
  <c r="C63" i="1"/>
  <c r="L62" i="1"/>
  <c r="V62" i="1" s="1"/>
  <c r="AE62" i="1" s="1"/>
  <c r="J62" i="1"/>
  <c r="T62" i="1" s="1"/>
  <c r="G62" i="1"/>
  <c r="C62" i="1"/>
  <c r="J61" i="1"/>
  <c r="G61" i="1"/>
  <c r="C61" i="1"/>
  <c r="L60" i="1"/>
  <c r="J60" i="1"/>
  <c r="T60" i="1" s="1"/>
  <c r="G60" i="1"/>
  <c r="C60" i="1"/>
  <c r="L59" i="1"/>
  <c r="J59" i="1"/>
  <c r="T59" i="1" s="1"/>
  <c r="G59" i="1"/>
  <c r="C59" i="1"/>
  <c r="L58" i="1"/>
  <c r="J58" i="1"/>
  <c r="T58" i="1" s="1"/>
  <c r="G58" i="1"/>
  <c r="C58" i="1"/>
  <c r="L57" i="1"/>
  <c r="J57" i="1"/>
  <c r="T57" i="1" s="1"/>
  <c r="G57" i="1"/>
  <c r="C57" i="1"/>
  <c r="L56" i="1"/>
  <c r="J56" i="1"/>
  <c r="T56" i="1" s="1"/>
  <c r="G56" i="1"/>
  <c r="C56" i="1"/>
  <c r="L55" i="1"/>
  <c r="J55" i="1"/>
  <c r="T55" i="1" s="1"/>
  <c r="G55" i="1"/>
  <c r="C55" i="1"/>
  <c r="L54" i="1"/>
  <c r="J54" i="1"/>
  <c r="T54" i="1" s="1"/>
  <c r="G54" i="1"/>
  <c r="C54" i="1"/>
  <c r="L53" i="1"/>
  <c r="J53" i="1"/>
  <c r="T53" i="1" s="1"/>
  <c r="G53" i="1"/>
  <c r="C53" i="1"/>
  <c r="L52" i="1"/>
  <c r="J52" i="1"/>
  <c r="T52" i="1" s="1"/>
  <c r="C52" i="1"/>
  <c r="L51" i="1"/>
  <c r="J51" i="1"/>
  <c r="T51" i="1" s="1"/>
  <c r="G51" i="1"/>
  <c r="C51" i="1"/>
  <c r="L50" i="1"/>
  <c r="J50" i="1"/>
  <c r="T50" i="1" s="1"/>
  <c r="G50" i="1"/>
  <c r="C50" i="1"/>
  <c r="J49" i="1"/>
  <c r="T49" i="1" s="1"/>
  <c r="C49" i="1"/>
  <c r="L48" i="1"/>
  <c r="J48" i="1"/>
  <c r="T48" i="1" s="1"/>
  <c r="G48" i="1"/>
  <c r="C48" i="1"/>
  <c r="L47" i="1"/>
  <c r="J47" i="1"/>
  <c r="T47" i="1" s="1"/>
  <c r="G47" i="1"/>
  <c r="C47" i="1"/>
  <c r="L46" i="1"/>
  <c r="J46" i="1"/>
  <c r="T46" i="1" s="1"/>
  <c r="G46" i="1"/>
  <c r="C46" i="1"/>
  <c r="L45" i="1"/>
  <c r="J45" i="1"/>
  <c r="T45" i="1" s="1"/>
  <c r="G45" i="1"/>
  <c r="C45" i="1"/>
  <c r="L44" i="1"/>
  <c r="J44" i="1"/>
  <c r="T44" i="1" s="1"/>
  <c r="G44" i="1"/>
  <c r="C44" i="1"/>
  <c r="L43" i="1"/>
  <c r="V43" i="1" s="1"/>
  <c r="AE43" i="1" s="1"/>
  <c r="J43" i="1"/>
  <c r="T43" i="1" s="1"/>
  <c r="G43" i="1"/>
  <c r="C43" i="1"/>
  <c r="L42" i="1"/>
  <c r="J42" i="1"/>
  <c r="T42" i="1" s="1"/>
  <c r="G42" i="1"/>
  <c r="C42" i="1"/>
  <c r="L41" i="1"/>
  <c r="G41" i="1"/>
  <c r="C41" i="1"/>
  <c r="L40" i="1"/>
  <c r="J40" i="1"/>
  <c r="T40" i="1" s="1"/>
  <c r="G40" i="1"/>
  <c r="C40" i="1"/>
  <c r="L39" i="1"/>
  <c r="J39" i="1"/>
  <c r="T39" i="1" s="1"/>
  <c r="G39" i="1"/>
  <c r="C39" i="1"/>
  <c r="L38" i="1"/>
  <c r="J38" i="1"/>
  <c r="T38" i="1" s="1"/>
  <c r="G38" i="1"/>
  <c r="C38" i="1"/>
  <c r="L37" i="1"/>
  <c r="J37" i="1"/>
  <c r="T37" i="1" s="1"/>
  <c r="G37" i="1"/>
  <c r="C37" i="1"/>
  <c r="L36" i="1"/>
  <c r="J36" i="1"/>
  <c r="T36" i="1" s="1"/>
  <c r="G36" i="1"/>
  <c r="C36" i="1"/>
  <c r="L35" i="1"/>
  <c r="J35" i="1"/>
  <c r="T35" i="1" s="1"/>
  <c r="G35" i="1"/>
  <c r="C35" i="1"/>
  <c r="L34" i="1"/>
  <c r="J34" i="1"/>
  <c r="T34" i="1" s="1"/>
  <c r="G34" i="1"/>
  <c r="C34" i="1"/>
  <c r="L33" i="1"/>
  <c r="J33" i="1"/>
  <c r="T33" i="1" s="1"/>
  <c r="G33" i="1"/>
  <c r="C33" i="1"/>
  <c r="J32" i="1"/>
  <c r="G32" i="1"/>
  <c r="C32" i="1"/>
  <c r="L31" i="1"/>
  <c r="J31" i="1"/>
  <c r="T31" i="1" s="1"/>
  <c r="G31" i="1"/>
  <c r="C31" i="1"/>
  <c r="L30" i="1"/>
  <c r="V30" i="1" s="1"/>
  <c r="AE30" i="1" s="1"/>
  <c r="J30" i="1"/>
  <c r="T30" i="1" s="1"/>
  <c r="G30" i="1"/>
  <c r="C30" i="1"/>
  <c r="L29" i="1"/>
  <c r="J29" i="1"/>
  <c r="T29" i="1" s="1"/>
  <c r="G29" i="1"/>
  <c r="C29" i="1"/>
  <c r="L28" i="1"/>
  <c r="J28" i="1"/>
  <c r="T28" i="1" s="1"/>
  <c r="G28" i="1"/>
  <c r="C28" i="1"/>
  <c r="L27" i="1"/>
  <c r="J27" i="1"/>
  <c r="T27" i="1" s="1"/>
  <c r="G27" i="1"/>
  <c r="C27" i="1"/>
  <c r="L26" i="1"/>
  <c r="J26" i="1"/>
  <c r="T26" i="1" s="1"/>
  <c r="G26" i="1"/>
  <c r="C26" i="1"/>
  <c r="L25" i="1"/>
  <c r="J25" i="1"/>
  <c r="T25" i="1" s="1"/>
  <c r="G25" i="1"/>
  <c r="C25" i="1"/>
  <c r="L24" i="1"/>
  <c r="V24" i="1" s="1"/>
  <c r="AE24" i="1" s="1"/>
  <c r="J24" i="1"/>
  <c r="T24" i="1" s="1"/>
  <c r="G24" i="1"/>
  <c r="C24" i="1"/>
  <c r="L23" i="1"/>
  <c r="J23" i="1"/>
  <c r="T23" i="1" s="1"/>
  <c r="G23" i="1"/>
  <c r="C23" i="1"/>
  <c r="L22" i="1"/>
  <c r="J22" i="1"/>
  <c r="T22" i="1" s="1"/>
  <c r="G22" i="1"/>
  <c r="C22" i="1"/>
  <c r="L21" i="1"/>
  <c r="J21" i="1"/>
  <c r="T21" i="1" s="1"/>
  <c r="G21" i="1"/>
  <c r="C21" i="1"/>
  <c r="M20" i="1"/>
  <c r="J20" i="1"/>
  <c r="G20" i="1"/>
  <c r="C20" i="1"/>
  <c r="L19" i="1"/>
  <c r="J19" i="1"/>
  <c r="T19" i="1" s="1"/>
  <c r="G19" i="1"/>
  <c r="C19" i="1"/>
  <c r="L18" i="1"/>
  <c r="J18" i="1"/>
  <c r="T18" i="1" s="1"/>
  <c r="G18" i="1"/>
  <c r="C18" i="1"/>
  <c r="L17" i="1"/>
  <c r="J17" i="1"/>
  <c r="T17" i="1" s="1"/>
  <c r="G17" i="1"/>
  <c r="C17" i="1"/>
  <c r="L16" i="1"/>
  <c r="J16" i="1"/>
  <c r="T16" i="1" s="1"/>
  <c r="G16" i="1"/>
  <c r="C16" i="1"/>
  <c r="L15" i="1"/>
  <c r="J15" i="1"/>
  <c r="T15" i="1" s="1"/>
  <c r="G15" i="1"/>
  <c r="C15" i="1"/>
  <c r="L14" i="1"/>
  <c r="J14" i="1"/>
  <c r="T14" i="1" s="1"/>
  <c r="G14" i="1"/>
  <c r="C14" i="1"/>
  <c r="L13" i="1"/>
  <c r="J13" i="1"/>
  <c r="T13" i="1" s="1"/>
  <c r="G13" i="1"/>
  <c r="C13" i="1"/>
  <c r="L12" i="1"/>
  <c r="J12" i="1"/>
  <c r="T12" i="1" s="1"/>
  <c r="G12" i="1"/>
  <c r="C12" i="1"/>
  <c r="L11" i="1"/>
  <c r="J11" i="1"/>
  <c r="T11" i="1" s="1"/>
  <c r="G11" i="1"/>
  <c r="C11" i="1"/>
  <c r="L10" i="1"/>
  <c r="J10" i="1"/>
  <c r="T10" i="1" s="1"/>
  <c r="G10" i="1"/>
  <c r="C10" i="1"/>
  <c r="L9" i="1"/>
  <c r="J9" i="1"/>
  <c r="T9" i="1" s="1"/>
  <c r="G9" i="1"/>
  <c r="C9" i="1"/>
  <c r="L8" i="1"/>
  <c r="J8" i="1"/>
  <c r="T8" i="1" s="1"/>
  <c r="G8" i="1"/>
  <c r="C8" i="1"/>
  <c r="L7" i="1"/>
  <c r="J7" i="1"/>
  <c r="T7" i="1" s="1"/>
  <c r="G7" i="1"/>
  <c r="C7" i="1"/>
  <c r="L6" i="1"/>
  <c r="V6" i="1" s="1"/>
  <c r="AE6" i="1" s="1"/>
  <c r="T6" i="1"/>
  <c r="G6" i="1"/>
  <c r="C6" i="1"/>
  <c r="G5" i="1"/>
  <c r="C5" i="1"/>
  <c r="V40" i="1" l="1"/>
  <c r="AE40" i="1" s="1"/>
  <c r="V56" i="1"/>
  <c r="AE56" i="1" s="1"/>
  <c r="V59" i="1"/>
  <c r="AE59" i="1" s="1"/>
  <c r="V34" i="1"/>
  <c r="AE34" i="1" s="1"/>
  <c r="V10" i="1"/>
  <c r="AE10" i="1" s="1"/>
  <c r="V28" i="1"/>
  <c r="AE28" i="1" s="1"/>
  <c r="V20" i="1"/>
  <c r="AE20" i="1" s="1"/>
  <c r="U20" i="1"/>
  <c r="AD20" i="1" s="1"/>
  <c r="V38" i="1"/>
  <c r="AE38" i="1" s="1"/>
  <c r="V54" i="1"/>
  <c r="AE54" i="1" s="1"/>
  <c r="V8" i="1"/>
  <c r="AE8" i="1" s="1"/>
  <c r="V11" i="1"/>
  <c r="AE11" i="1" s="1"/>
  <c r="W20" i="1"/>
  <c r="AF20" i="1" s="1"/>
  <c r="V23" i="1"/>
  <c r="AE23" i="1" s="1"/>
  <c r="V26" i="1"/>
  <c r="AE26" i="1" s="1"/>
  <c r="V51" i="1"/>
  <c r="AE51" i="1" s="1"/>
  <c r="V22" i="1"/>
  <c r="AE22" i="1" s="1"/>
  <c r="V44" i="1"/>
  <c r="AE44" i="1" s="1"/>
  <c r="V19" i="1"/>
  <c r="AE19" i="1" s="1"/>
  <c r="V45" i="1"/>
  <c r="AE45" i="1" s="1"/>
  <c r="V64" i="1"/>
  <c r="AE64" i="1" s="1"/>
  <c r="V25" i="1"/>
  <c r="AE25" i="1" s="1"/>
  <c r="V66" i="1"/>
  <c r="AE66" i="1" s="1"/>
  <c r="V36" i="1"/>
  <c r="AE36" i="1" s="1"/>
  <c r="V47" i="1"/>
  <c r="AE47" i="1" s="1"/>
  <c r="V15" i="1"/>
  <c r="AE15" i="1" s="1"/>
  <c r="M37" i="1"/>
  <c r="V37" i="1"/>
  <c r="AE37" i="1" s="1"/>
  <c r="M7" i="1"/>
  <c r="V7" i="1"/>
  <c r="AE7" i="1" s="1"/>
  <c r="M16" i="1"/>
  <c r="V16" i="1"/>
  <c r="AE16" i="1" s="1"/>
  <c r="M31" i="1"/>
  <c r="V31" i="1"/>
  <c r="AE31" i="1" s="1"/>
  <c r="M50" i="1"/>
  <c r="V50" i="1"/>
  <c r="AE50" i="1" s="1"/>
  <c r="M41" i="1"/>
  <c r="V41" i="1"/>
  <c r="AE41" i="1" s="1"/>
  <c r="M46" i="1"/>
  <c r="V46" i="1"/>
  <c r="AE46" i="1" s="1"/>
  <c r="M65" i="1"/>
  <c r="V65" i="1"/>
  <c r="AE65" i="1" s="1"/>
  <c r="M53" i="1"/>
  <c r="V53" i="1"/>
  <c r="AE53" i="1" s="1"/>
  <c r="M13" i="1"/>
  <c r="V13" i="1"/>
  <c r="AE13" i="1" s="1"/>
  <c r="M63" i="1"/>
  <c r="V63" i="1"/>
  <c r="AE63" i="1" s="1"/>
  <c r="M69" i="1"/>
  <c r="V69" i="1"/>
  <c r="AE69" i="1" s="1"/>
  <c r="M35" i="1"/>
  <c r="V35" i="1"/>
  <c r="AE35" i="1" s="1"/>
  <c r="M57" i="1"/>
  <c r="V57" i="1"/>
  <c r="AE57" i="1" s="1"/>
  <c r="M60" i="1"/>
  <c r="V60" i="1"/>
  <c r="AE60" i="1" s="1"/>
  <c r="M14" i="1"/>
  <c r="V14" i="1"/>
  <c r="AE14" i="1" s="1"/>
  <c r="M17" i="1"/>
  <c r="V17" i="1"/>
  <c r="AE17" i="1" s="1"/>
  <c r="M29" i="1"/>
  <c r="V29" i="1"/>
  <c r="AE29" i="1" s="1"/>
  <c r="M49" i="1"/>
  <c r="V49" i="1"/>
  <c r="AE49" i="1" s="1"/>
  <c r="M42" i="1"/>
  <c r="V42" i="1"/>
  <c r="AE42" i="1" s="1"/>
  <c r="M48" i="1"/>
  <c r="V48" i="1"/>
  <c r="AE48" i="1" s="1"/>
  <c r="M67" i="1"/>
  <c r="V67" i="1"/>
  <c r="AE67" i="1" s="1"/>
  <c r="M33" i="1"/>
  <c r="V33" i="1"/>
  <c r="AE33" i="1" s="1"/>
  <c r="M39" i="1"/>
  <c r="V39" i="1"/>
  <c r="AE39" i="1" s="1"/>
  <c r="M52" i="1"/>
  <c r="V52" i="1"/>
  <c r="AE52" i="1" s="1"/>
  <c r="M55" i="1"/>
  <c r="V55" i="1"/>
  <c r="AE55" i="1" s="1"/>
  <c r="M58" i="1"/>
  <c r="V58" i="1"/>
  <c r="AE58" i="1" s="1"/>
  <c r="M9" i="1"/>
  <c r="V9" i="1"/>
  <c r="AE9" i="1" s="1"/>
  <c r="M12" i="1"/>
  <c r="V12" i="1"/>
  <c r="AE12" i="1" s="1"/>
  <c r="M18" i="1"/>
  <c r="V18" i="1"/>
  <c r="AE18" i="1" s="1"/>
  <c r="M21" i="1"/>
  <c r="V21" i="1"/>
  <c r="AE21" i="1" s="1"/>
  <c r="M27" i="1"/>
  <c r="V27" i="1"/>
  <c r="AE27" i="1" s="1"/>
  <c r="T61" i="1"/>
  <c r="T32" i="1"/>
  <c r="T5" i="1"/>
  <c r="T20" i="1"/>
  <c r="L32" i="1"/>
  <c r="V32" i="1" s="1"/>
  <c r="AE32" i="1" s="1"/>
  <c r="N20" i="1"/>
  <c r="X20" i="1" s="1"/>
  <c r="AG20" i="1" s="1"/>
  <c r="M25" i="1"/>
  <c r="M6" i="1"/>
  <c r="M8" i="1"/>
  <c r="M15" i="1"/>
  <c r="M23" i="1"/>
  <c r="M10" i="1"/>
  <c r="M19" i="1"/>
  <c r="M40" i="1"/>
  <c r="M47" i="1"/>
  <c r="M30" i="1"/>
  <c r="M38" i="1"/>
  <c r="M44" i="1"/>
  <c r="M11" i="1"/>
  <c r="M28" i="1"/>
  <c r="M36" i="1"/>
  <c r="M22" i="1"/>
  <c r="M24" i="1"/>
  <c r="M26" i="1"/>
  <c r="M34" i="1"/>
  <c r="M45" i="1"/>
  <c r="M64" i="1"/>
  <c r="M43" i="1"/>
  <c r="M51" i="1"/>
  <c r="M54" i="1"/>
  <c r="M62" i="1"/>
  <c r="M59" i="1"/>
  <c r="M56" i="1"/>
  <c r="M66" i="1"/>
  <c r="M68" i="1"/>
  <c r="W62" i="1" l="1"/>
  <c r="AF62" i="1" s="1"/>
  <c r="W42" i="1"/>
  <c r="AF42" i="1" s="1"/>
  <c r="W30" i="1"/>
  <c r="AF30" i="1" s="1"/>
  <c r="W47" i="1"/>
  <c r="AF47" i="1" s="1"/>
  <c r="W18" i="1"/>
  <c r="AF18" i="1" s="1"/>
  <c r="W69" i="1"/>
  <c r="AF69" i="1" s="1"/>
  <c r="W45" i="1"/>
  <c r="AF45" i="1" s="1"/>
  <c r="W40" i="1"/>
  <c r="AF40" i="1" s="1"/>
  <c r="W19" i="1"/>
  <c r="AF19" i="1" s="1"/>
  <c r="W26" i="1"/>
  <c r="AF26" i="1" s="1"/>
  <c r="W59" i="1"/>
  <c r="AF59" i="1" s="1"/>
  <c r="W28" i="1"/>
  <c r="AF28" i="1" s="1"/>
  <c r="W25" i="1"/>
  <c r="AF25" i="1" s="1"/>
  <c r="W27" i="1"/>
  <c r="AF27" i="1" s="1"/>
  <c r="W65" i="1"/>
  <c r="AF65" i="1" s="1"/>
  <c r="W43" i="1"/>
  <c r="AF43" i="1" s="1"/>
  <c r="W64" i="1"/>
  <c r="AF64" i="1" s="1"/>
  <c r="W39" i="1"/>
  <c r="AF39" i="1" s="1"/>
  <c r="W29" i="1"/>
  <c r="AF29" i="1" s="1"/>
  <c r="W41" i="1"/>
  <c r="AF41" i="1" s="1"/>
  <c r="W34" i="1"/>
  <c r="AF34" i="1" s="1"/>
  <c r="W12" i="1"/>
  <c r="AF12" i="1" s="1"/>
  <c r="W33" i="1"/>
  <c r="AF33" i="1" s="1"/>
  <c r="W17" i="1"/>
  <c r="AF17" i="1" s="1"/>
  <c r="W63" i="1"/>
  <c r="AF63" i="1" s="1"/>
  <c r="W50" i="1"/>
  <c r="AF50" i="1" s="1"/>
  <c r="W10" i="1"/>
  <c r="AF10" i="1" s="1"/>
  <c r="W68" i="1"/>
  <c r="AF68" i="1" s="1"/>
  <c r="W24" i="1"/>
  <c r="AF24" i="1" s="1"/>
  <c r="W23" i="1"/>
  <c r="AF23" i="1" s="1"/>
  <c r="W9" i="1"/>
  <c r="AF9" i="1" s="1"/>
  <c r="W67" i="1"/>
  <c r="AF67" i="1" s="1"/>
  <c r="W14" i="1"/>
  <c r="AF14" i="1" s="1"/>
  <c r="W13" i="1"/>
  <c r="AF13" i="1" s="1"/>
  <c r="W31" i="1"/>
  <c r="AF31" i="1" s="1"/>
  <c r="W66" i="1"/>
  <c r="AF66" i="1" s="1"/>
  <c r="W22" i="1"/>
  <c r="AF22" i="1" s="1"/>
  <c r="W15" i="1"/>
  <c r="AF15" i="1" s="1"/>
  <c r="W56" i="1"/>
  <c r="AF56" i="1" s="1"/>
  <c r="W36" i="1"/>
  <c r="AF36" i="1" s="1"/>
  <c r="W8" i="1"/>
  <c r="AF8" i="1" s="1"/>
  <c r="W58" i="1"/>
  <c r="AF58" i="1" s="1"/>
  <c r="W48" i="1"/>
  <c r="AF48" i="1" s="1"/>
  <c r="W60" i="1"/>
  <c r="AF60" i="1" s="1"/>
  <c r="W53" i="1"/>
  <c r="AF53" i="1" s="1"/>
  <c r="W16" i="1"/>
  <c r="AF16" i="1" s="1"/>
  <c r="W6" i="1"/>
  <c r="AF6" i="1" s="1"/>
  <c r="W11" i="1"/>
  <c r="AF11" i="1" s="1"/>
  <c r="W55" i="1"/>
  <c r="AF55" i="1" s="1"/>
  <c r="W57" i="1"/>
  <c r="AF57" i="1" s="1"/>
  <c r="W7" i="1"/>
  <c r="AF7" i="1" s="1"/>
  <c r="W54" i="1"/>
  <c r="AF54" i="1" s="1"/>
  <c r="W44" i="1"/>
  <c r="AF44" i="1" s="1"/>
  <c r="W51" i="1"/>
  <c r="AF51" i="1" s="1"/>
  <c r="W38" i="1"/>
  <c r="AF38" i="1" s="1"/>
  <c r="W21" i="1"/>
  <c r="AF21" i="1" s="1"/>
  <c r="W52" i="1"/>
  <c r="AF52" i="1" s="1"/>
  <c r="W49" i="1"/>
  <c r="AF49" i="1" s="1"/>
  <c r="W35" i="1"/>
  <c r="AF35" i="1" s="1"/>
  <c r="W46" i="1"/>
  <c r="AF46" i="1" s="1"/>
  <c r="W37" i="1"/>
  <c r="AF37" i="1" s="1"/>
  <c r="M32" i="1"/>
  <c r="L5" i="1"/>
  <c r="V5" i="1" s="1"/>
  <c r="AE5" i="1" s="1"/>
  <c r="L61" i="1"/>
  <c r="V61" i="1" s="1"/>
  <c r="AE61" i="1" s="1"/>
  <c r="W32" i="1" l="1"/>
  <c r="AF32" i="1" s="1"/>
  <c r="M61" i="1"/>
  <c r="M5" i="1"/>
  <c r="W2" i="28"/>
  <c r="W250" i="28" s="1"/>
  <c r="V2" i="28"/>
  <c r="V252" i="28" s="1"/>
  <c r="S10" i="28"/>
  <c r="T10" i="28" s="1"/>
  <c r="U10" i="28" s="1"/>
  <c r="S11" i="28"/>
  <c r="T11" i="28" s="1"/>
  <c r="S12" i="28"/>
  <c r="T12" i="28" s="1"/>
  <c r="S13" i="28"/>
  <c r="S14" i="28"/>
  <c r="T14" i="28" s="1"/>
  <c r="S15" i="28"/>
  <c r="T15" i="28" s="1"/>
  <c r="U15" i="28" s="1"/>
  <c r="S16" i="28"/>
  <c r="T16" i="28" s="1"/>
  <c r="U16" i="28" s="1"/>
  <c r="S17" i="28"/>
  <c r="S18" i="28"/>
  <c r="T18" i="28" s="1"/>
  <c r="S19" i="28"/>
  <c r="T19" i="28" s="1"/>
  <c r="S20" i="28"/>
  <c r="T20" i="28" s="1"/>
  <c r="S21" i="28"/>
  <c r="S22" i="28"/>
  <c r="S23" i="28"/>
  <c r="T23" i="28" s="1"/>
  <c r="S24" i="28"/>
  <c r="T24" i="28" s="1"/>
  <c r="U24" i="28" s="1"/>
  <c r="S25" i="28"/>
  <c r="T25" i="28" s="1"/>
  <c r="U25" i="28" s="1"/>
  <c r="S26" i="28"/>
  <c r="T26" i="28" s="1"/>
  <c r="U26" i="28" s="1"/>
  <c r="S27" i="28"/>
  <c r="T27" i="28" s="1"/>
  <c r="S28" i="28"/>
  <c r="S29" i="28"/>
  <c r="S30" i="28"/>
  <c r="T30" i="28" s="1"/>
  <c r="S31" i="28"/>
  <c r="S32" i="28"/>
  <c r="T32" i="28" s="1"/>
  <c r="S33" i="28"/>
  <c r="T33" i="28" s="1"/>
  <c r="S34" i="28"/>
  <c r="T34" i="28" s="1"/>
  <c r="U34" i="28" s="1"/>
  <c r="S35" i="28"/>
  <c r="T35" i="28" s="1"/>
  <c r="S36" i="28"/>
  <c r="T36" i="28" s="1"/>
  <c r="S37" i="28"/>
  <c r="T37" i="28" s="1"/>
  <c r="U37" i="28" s="1"/>
  <c r="S38" i="28"/>
  <c r="T38" i="28" s="1"/>
  <c r="U38" i="28" s="1"/>
  <c r="S39" i="28"/>
  <c r="T39" i="28" s="1"/>
  <c r="S40" i="28"/>
  <c r="T40" i="28" s="1"/>
  <c r="S41" i="28"/>
  <c r="S42" i="28"/>
  <c r="T42" i="28" s="1"/>
  <c r="U42" i="28" s="1"/>
  <c r="S43" i="28"/>
  <c r="T43" i="28" s="1"/>
  <c r="S44" i="28"/>
  <c r="T44" i="28" s="1"/>
  <c r="S45" i="28"/>
  <c r="S46" i="28"/>
  <c r="T46" i="28" s="1"/>
  <c r="U46" i="28" s="1"/>
  <c r="S47" i="28"/>
  <c r="T47" i="28" s="1"/>
  <c r="S48" i="28"/>
  <c r="T48" i="28" s="1"/>
  <c r="S49" i="28"/>
  <c r="T49" i="28" s="1"/>
  <c r="S50" i="28"/>
  <c r="T50" i="28" s="1"/>
  <c r="U50" i="28" s="1"/>
  <c r="S51" i="28"/>
  <c r="T51" i="28" s="1"/>
  <c r="S52" i="28"/>
  <c r="T52" i="28" s="1"/>
  <c r="S53" i="28"/>
  <c r="S54" i="28"/>
  <c r="T54" i="28" s="1"/>
  <c r="S55" i="28"/>
  <c r="T55" i="28" s="1"/>
  <c r="S56" i="28"/>
  <c r="S57" i="28"/>
  <c r="S58" i="28"/>
  <c r="T58" i="28" s="1"/>
  <c r="U58" i="28" s="1"/>
  <c r="S59" i="28"/>
  <c r="T59" i="28" s="1"/>
  <c r="S60" i="28"/>
  <c r="T60" i="28" s="1"/>
  <c r="S61" i="28"/>
  <c r="T61" i="28" s="1"/>
  <c r="S62" i="28"/>
  <c r="T62" i="28" s="1"/>
  <c r="U62" i="28" s="1"/>
  <c r="S63" i="28"/>
  <c r="T63" i="28" s="1"/>
  <c r="S64" i="28"/>
  <c r="T64" i="28" s="1"/>
  <c r="U64" i="28" s="1"/>
  <c r="S65" i="28"/>
  <c r="S66" i="28"/>
  <c r="T66" i="28" s="1"/>
  <c r="U66" i="28" s="1"/>
  <c r="S67" i="28"/>
  <c r="T67" i="28" s="1"/>
  <c r="U67" i="28" s="1"/>
  <c r="S68" i="28"/>
  <c r="T68" i="28" s="1"/>
  <c r="S69" i="28"/>
  <c r="T69" i="28" s="1"/>
  <c r="U69" i="28" s="1"/>
  <c r="S70" i="28"/>
  <c r="T70" i="28" s="1"/>
  <c r="U70" i="28" s="1"/>
  <c r="S71" i="28"/>
  <c r="T71" i="28" s="1"/>
  <c r="U71" i="28" s="1"/>
  <c r="S72" i="28"/>
  <c r="T72" i="28" s="1"/>
  <c r="S73" i="28"/>
  <c r="T73" i="28" s="1"/>
  <c r="S74" i="28"/>
  <c r="S75" i="28"/>
  <c r="T75" i="28" s="1"/>
  <c r="S76" i="28"/>
  <c r="T76" i="28" s="1"/>
  <c r="S77" i="28"/>
  <c r="S78" i="28"/>
  <c r="S79" i="28"/>
  <c r="T79" i="28" s="1"/>
  <c r="S80" i="28"/>
  <c r="T80" i="28" s="1"/>
  <c r="S81" i="28"/>
  <c r="S82" i="28"/>
  <c r="S83" i="28"/>
  <c r="T83" i="28" s="1"/>
  <c r="S84" i="28"/>
  <c r="T84" i="28" s="1"/>
  <c r="S85" i="28"/>
  <c r="T85" i="28" s="1"/>
  <c r="S86" i="28"/>
  <c r="T86" i="28" s="1"/>
  <c r="U86" i="28" s="1"/>
  <c r="S87" i="28"/>
  <c r="T87" i="28" s="1"/>
  <c r="S88" i="28"/>
  <c r="T88" i="28" s="1"/>
  <c r="S89" i="28"/>
  <c r="S90" i="28"/>
  <c r="T90" i="28" s="1"/>
  <c r="S91" i="28"/>
  <c r="T91" i="28" s="1"/>
  <c r="U91" i="28" s="1"/>
  <c r="S92" i="28"/>
  <c r="T92" i="28" s="1"/>
  <c r="S93" i="28"/>
  <c r="T93" i="28" s="1"/>
  <c r="S94" i="28"/>
  <c r="T94" i="28" s="1"/>
  <c r="U94" i="28" s="1"/>
  <c r="S95" i="28"/>
  <c r="T95" i="28" s="1"/>
  <c r="S96" i="28"/>
  <c r="T96" i="28" s="1"/>
  <c r="S97" i="28"/>
  <c r="T97" i="28" s="1"/>
  <c r="S98" i="28"/>
  <c r="T98" i="28" s="1"/>
  <c r="U98" i="28" s="1"/>
  <c r="S99" i="28"/>
  <c r="S100" i="28"/>
  <c r="T100" i="28" s="1"/>
  <c r="S101" i="28"/>
  <c r="S102" i="28"/>
  <c r="T102" i="28" s="1"/>
  <c r="S103" i="28"/>
  <c r="T103" i="28" s="1"/>
  <c r="S104" i="28"/>
  <c r="T104" i="28" s="1"/>
  <c r="S105" i="28"/>
  <c r="S106" i="28"/>
  <c r="T106" i="28" s="1"/>
  <c r="U106" i="28" s="1"/>
  <c r="S107" i="28"/>
  <c r="T107" i="28" s="1"/>
  <c r="S108" i="28"/>
  <c r="T108" i="28" s="1"/>
  <c r="S109" i="28"/>
  <c r="T109" i="28" s="1"/>
  <c r="U109" i="28" s="1"/>
  <c r="S110" i="28"/>
  <c r="T110" i="28" s="1"/>
  <c r="U110" i="28" s="1"/>
  <c r="S111" i="28"/>
  <c r="T111" i="28" s="1"/>
  <c r="S112" i="28"/>
  <c r="T112" i="28" s="1"/>
  <c r="S113" i="28"/>
  <c r="S114" i="28"/>
  <c r="T114" i="28" s="1"/>
  <c r="S115" i="28"/>
  <c r="T115" i="28" s="1"/>
  <c r="S116" i="28"/>
  <c r="T116" i="28" s="1"/>
  <c r="S117" i="28"/>
  <c r="S118" i="28"/>
  <c r="T118" i="28" s="1"/>
  <c r="S119" i="28"/>
  <c r="T119" i="28" s="1"/>
  <c r="S120" i="28"/>
  <c r="T120" i="28" s="1"/>
  <c r="S121" i="28"/>
  <c r="T121" i="28" s="1"/>
  <c r="S122" i="28"/>
  <c r="T122" i="28" s="1"/>
  <c r="S123" i="28"/>
  <c r="T123" i="28" s="1"/>
  <c r="S124" i="28"/>
  <c r="T124" i="28" s="1"/>
  <c r="S125" i="28"/>
  <c r="S126" i="28"/>
  <c r="T126" i="28" s="1"/>
  <c r="S127" i="28"/>
  <c r="T127" i="28" s="1"/>
  <c r="S128" i="28"/>
  <c r="T128" i="28" s="1"/>
  <c r="S129" i="28"/>
  <c r="T129" i="28" s="1"/>
  <c r="S130" i="28"/>
  <c r="T130" i="28" s="1"/>
  <c r="S131" i="28"/>
  <c r="T131" i="28" s="1"/>
  <c r="S132" i="28"/>
  <c r="T132" i="28" s="1"/>
  <c r="S133" i="28"/>
  <c r="T133" i="28" s="1"/>
  <c r="S134" i="28"/>
  <c r="T134" i="28" s="1"/>
  <c r="S135" i="28"/>
  <c r="T135" i="28" s="1"/>
  <c r="S136" i="28"/>
  <c r="T136" i="28" s="1"/>
  <c r="S137" i="28"/>
  <c r="S138" i="28"/>
  <c r="T138" i="28" s="1"/>
  <c r="U138" i="28" s="1"/>
  <c r="S139" i="28"/>
  <c r="T139" i="28" s="1"/>
  <c r="S140" i="28"/>
  <c r="T140" i="28" s="1"/>
  <c r="S141" i="28"/>
  <c r="S142" i="28"/>
  <c r="T142" i="28" s="1"/>
  <c r="U142" i="28" s="1"/>
  <c r="S143" i="28"/>
  <c r="T143" i="28" s="1"/>
  <c r="S144" i="28"/>
  <c r="T144" i="28" s="1"/>
  <c r="S145" i="28"/>
  <c r="S146" i="28"/>
  <c r="T146" i="28" s="1"/>
  <c r="U146" i="28" s="1"/>
  <c r="S147" i="28"/>
  <c r="T147" i="28" s="1"/>
  <c r="S148" i="28"/>
  <c r="T148" i="28" s="1"/>
  <c r="S149" i="28"/>
  <c r="S150" i="28"/>
  <c r="T150" i="28" s="1"/>
  <c r="U150" i="28" s="1"/>
  <c r="S151" i="28"/>
  <c r="T151" i="28" s="1"/>
  <c r="S152" i="28"/>
  <c r="T152" i="28" s="1"/>
  <c r="S153" i="28"/>
  <c r="S154" i="28"/>
  <c r="T154" i="28" s="1"/>
  <c r="S155" i="28"/>
  <c r="T155" i="28" s="1"/>
  <c r="S156" i="28"/>
  <c r="T156" i="28" s="1"/>
  <c r="S157" i="28"/>
  <c r="T157" i="28" s="1"/>
  <c r="S158" i="28"/>
  <c r="T158" i="28" s="1"/>
  <c r="S159" i="28"/>
  <c r="T159" i="28" s="1"/>
  <c r="S160" i="28"/>
  <c r="T160" i="28" s="1"/>
  <c r="S161" i="28"/>
  <c r="S162" i="28"/>
  <c r="T162" i="28" s="1"/>
  <c r="S163" i="28"/>
  <c r="T163" i="28" s="1"/>
  <c r="S164" i="28"/>
  <c r="T164" i="28" s="1"/>
  <c r="S165" i="28"/>
  <c r="T165" i="28" s="1"/>
  <c r="S166" i="28"/>
  <c r="T166" i="28" s="1"/>
  <c r="U166" i="28" s="1"/>
  <c r="S167" i="28"/>
  <c r="T167" i="28" s="1"/>
  <c r="S168" i="28"/>
  <c r="T168" i="28" s="1"/>
  <c r="S169" i="28"/>
  <c r="T169" i="28" s="1"/>
  <c r="U169" i="28" s="1"/>
  <c r="S170" i="28"/>
  <c r="T170" i="28" s="1"/>
  <c r="S171" i="28"/>
  <c r="T171" i="28" s="1"/>
  <c r="S172" i="28"/>
  <c r="T172" i="28" s="1"/>
  <c r="S173" i="28"/>
  <c r="S174" i="28"/>
  <c r="T174" i="28" s="1"/>
  <c r="S175" i="28"/>
  <c r="T175" i="28" s="1"/>
  <c r="S176" i="28"/>
  <c r="T176" i="28" s="1"/>
  <c r="S177" i="28"/>
  <c r="T177" i="28" s="1"/>
  <c r="S178" i="28"/>
  <c r="T178" i="28" s="1"/>
  <c r="S179" i="28"/>
  <c r="T179" i="28" s="1"/>
  <c r="S180" i="28"/>
  <c r="T180" i="28" s="1"/>
  <c r="S181" i="28"/>
  <c r="T181" i="28" s="1"/>
  <c r="S182" i="28"/>
  <c r="T182" i="28" s="1"/>
  <c r="S183" i="28"/>
  <c r="T183" i="28" s="1"/>
  <c r="S184" i="28"/>
  <c r="T184" i="28" s="1"/>
  <c r="S185" i="28"/>
  <c r="S186" i="28"/>
  <c r="T186" i="28" s="1"/>
  <c r="S187" i="28"/>
  <c r="T187" i="28" s="1"/>
  <c r="S188" i="28"/>
  <c r="T188" i="28" s="1"/>
  <c r="S189" i="28"/>
  <c r="S190" i="28"/>
  <c r="T190" i="28" s="1"/>
  <c r="S191" i="28"/>
  <c r="T191" i="28" s="1"/>
  <c r="S192" i="28"/>
  <c r="T192" i="28" s="1"/>
  <c r="S193" i="28"/>
  <c r="T193" i="28" s="1"/>
  <c r="S194" i="28"/>
  <c r="T194" i="28" s="1"/>
  <c r="S195" i="28"/>
  <c r="T195" i="28" s="1"/>
  <c r="S196" i="28"/>
  <c r="T196" i="28" s="1"/>
  <c r="S197" i="28"/>
  <c r="S198" i="28"/>
  <c r="T198" i="28" s="1"/>
  <c r="S199" i="28"/>
  <c r="T199" i="28" s="1"/>
  <c r="S200" i="28"/>
  <c r="T200" i="28" s="1"/>
  <c r="S201" i="28"/>
  <c r="S202" i="28"/>
  <c r="T202" i="28" s="1"/>
  <c r="S203" i="28"/>
  <c r="T203" i="28" s="1"/>
  <c r="S204" i="28"/>
  <c r="T204" i="28" s="1"/>
  <c r="S205" i="28"/>
  <c r="T205" i="28" s="1"/>
  <c r="S206" i="28"/>
  <c r="T206" i="28" s="1"/>
  <c r="S207" i="28"/>
  <c r="T207" i="28" s="1"/>
  <c r="S208" i="28"/>
  <c r="T208" i="28" s="1"/>
  <c r="S209" i="28"/>
  <c r="S210" i="28"/>
  <c r="T210" i="28" s="1"/>
  <c r="S211" i="28"/>
  <c r="T211" i="28" s="1"/>
  <c r="S212" i="28"/>
  <c r="T212" i="28" s="1"/>
  <c r="S213" i="28"/>
  <c r="T213" i="28" s="1"/>
  <c r="S214" i="28"/>
  <c r="T214" i="28" s="1"/>
  <c r="S215" i="28"/>
  <c r="T215" i="28" s="1"/>
  <c r="S216" i="28"/>
  <c r="T216" i="28" s="1"/>
  <c r="S217" i="28"/>
  <c r="T217" i="28" s="1"/>
  <c r="S218" i="28"/>
  <c r="T218" i="28" s="1"/>
  <c r="S219" i="28"/>
  <c r="T219" i="28" s="1"/>
  <c r="S220" i="28"/>
  <c r="T220" i="28" s="1"/>
  <c r="S221" i="28"/>
  <c r="S222" i="28"/>
  <c r="T222" i="28" s="1"/>
  <c r="S223" i="28"/>
  <c r="T223" i="28" s="1"/>
  <c r="S224" i="28"/>
  <c r="T224" i="28" s="1"/>
  <c r="S225" i="28"/>
  <c r="T225" i="28" s="1"/>
  <c r="S226" i="28"/>
  <c r="T226" i="28" s="1"/>
  <c r="S227" i="28"/>
  <c r="T227" i="28" s="1"/>
  <c r="S228" i="28"/>
  <c r="T228" i="28" s="1"/>
  <c r="S229" i="28"/>
  <c r="T229" i="28" s="1"/>
  <c r="S230" i="28"/>
  <c r="T230" i="28" s="1"/>
  <c r="S231" i="28"/>
  <c r="T231" i="28" s="1"/>
  <c r="S232" i="28"/>
  <c r="T232" i="28" s="1"/>
  <c r="S233" i="28"/>
  <c r="T233" i="28" s="1"/>
  <c r="S234" i="28"/>
  <c r="T234" i="28" s="1"/>
  <c r="S235" i="28"/>
  <c r="T235" i="28" s="1"/>
  <c r="S236" i="28"/>
  <c r="T236" i="28" s="1"/>
  <c r="S237" i="28"/>
  <c r="T237" i="28" s="1"/>
  <c r="S238" i="28"/>
  <c r="S239" i="28"/>
  <c r="T239" i="28" s="1"/>
  <c r="S240" i="28"/>
  <c r="T240" i="28" s="1"/>
  <c r="S241" i="28"/>
  <c r="S242" i="28"/>
  <c r="T242" i="28" s="1"/>
  <c r="S243" i="28"/>
  <c r="T243" i="28" s="1"/>
  <c r="S244" i="28"/>
  <c r="T244" i="28" s="1"/>
  <c r="S245" i="28"/>
  <c r="S246" i="28"/>
  <c r="T246" i="28" s="1"/>
  <c r="S247" i="28"/>
  <c r="T247" i="28" s="1"/>
  <c r="S248" i="28"/>
  <c r="T248" i="28" s="1"/>
  <c r="S249" i="28"/>
  <c r="T249" i="28" s="1"/>
  <c r="S250" i="28"/>
  <c r="T250" i="28" s="1"/>
  <c r="S251" i="28"/>
  <c r="T251" i="28" s="1"/>
  <c r="S252" i="28"/>
  <c r="T252" i="28" s="1"/>
  <c r="S253" i="28"/>
  <c r="T253" i="28" s="1"/>
  <c r="S254" i="28"/>
  <c r="S255" i="28"/>
  <c r="S256" i="28"/>
  <c r="F16" i="57"/>
  <c r="F15" i="57"/>
  <c r="D16" i="57"/>
  <c r="D15" i="57"/>
  <c r="C16" i="57"/>
  <c r="C15" i="57"/>
  <c r="B16" i="57"/>
  <c r="B15" i="57"/>
  <c r="T245" i="28"/>
  <c r="T241" i="28"/>
  <c r="T238" i="28"/>
  <c r="T221" i="28"/>
  <c r="T209" i="28"/>
  <c r="T201" i="28"/>
  <c r="T197" i="28"/>
  <c r="U197" i="28"/>
  <c r="U190" i="28"/>
  <c r="T189" i="28"/>
  <c r="T185" i="28"/>
  <c r="T173" i="28"/>
  <c r="U173" i="28" s="1"/>
  <c r="T161" i="28"/>
  <c r="T153" i="28"/>
  <c r="T149" i="28"/>
  <c r="T145" i="28"/>
  <c r="T141" i="28"/>
  <c r="T137" i="28"/>
  <c r="T125" i="28"/>
  <c r="T117" i="28"/>
  <c r="T113" i="28"/>
  <c r="T105" i="28"/>
  <c r="U105" i="28" s="1"/>
  <c r="T101" i="28"/>
  <c r="U101" i="28" s="1"/>
  <c r="T99" i="28"/>
  <c r="T89" i="28"/>
  <c r="T82" i="28"/>
  <c r="U82" i="28" s="1"/>
  <c r="T81" i="28"/>
  <c r="U81" i="28" s="1"/>
  <c r="T78" i="28"/>
  <c r="U78" i="28" s="1"/>
  <c r="T77" i="28"/>
  <c r="U77" i="28" s="1"/>
  <c r="T74" i="28"/>
  <c r="U74" i="28" s="1"/>
  <c r="T65" i="28"/>
  <c r="T57" i="28"/>
  <c r="T56" i="28"/>
  <c r="T53" i="28"/>
  <c r="U53" i="28" s="1"/>
  <c r="T45" i="28"/>
  <c r="T41" i="28"/>
  <c r="U40" i="28"/>
  <c r="T31" i="28"/>
  <c r="U31" i="28" s="1"/>
  <c r="T29" i="28"/>
  <c r="T28" i="28"/>
  <c r="T22" i="28"/>
  <c r="U22" i="28" s="1"/>
  <c r="T21" i="28"/>
  <c r="U21" i="28" s="1"/>
  <c r="T17" i="28"/>
  <c r="T13" i="28"/>
  <c r="H8" i="8"/>
  <c r="C8" i="8"/>
  <c r="E8" i="8" s="1"/>
  <c r="H7" i="8"/>
  <c r="C7" i="8"/>
  <c r="L74" i="1"/>
  <c r="V74" i="1" s="1"/>
  <c r="AE74" i="1" s="1"/>
  <c r="J74" i="1"/>
  <c r="T74" i="1" s="1"/>
  <c r="G74" i="1"/>
  <c r="C74" i="1"/>
  <c r="L73" i="1"/>
  <c r="V73" i="1" s="1"/>
  <c r="AE73" i="1" s="1"/>
  <c r="J73" i="1"/>
  <c r="T73" i="1" s="1"/>
  <c r="G73" i="1"/>
  <c r="C73" i="1"/>
  <c r="L72" i="1"/>
  <c r="K72" i="1"/>
  <c r="J72" i="1"/>
  <c r="T72" i="1" s="1"/>
  <c r="G72" i="1"/>
  <c r="C72" i="1"/>
  <c r="L71" i="1"/>
  <c r="K71" i="1"/>
  <c r="J71" i="1"/>
  <c r="T71" i="1" s="1"/>
  <c r="G71" i="1"/>
  <c r="C71" i="1"/>
  <c r="L70" i="1"/>
  <c r="K70" i="1"/>
  <c r="J70" i="1"/>
  <c r="T70" i="1" s="1"/>
  <c r="G70" i="1"/>
  <c r="C70" i="1"/>
  <c r="P2" i="1"/>
  <c r="O2" i="1"/>
  <c r="G7" i="56"/>
  <c r="G13" i="3"/>
  <c r="F13" i="3"/>
  <c r="E13" i="3"/>
  <c r="D13" i="3"/>
  <c r="C13" i="3"/>
  <c r="B13" i="3"/>
  <c r="H13" i="3" s="1"/>
  <c r="K11" i="3"/>
  <c r="K13" i="3" s="1"/>
  <c r="H11" i="3"/>
  <c r="G4" i="3"/>
  <c r="F4" i="3"/>
  <c r="E4" i="3"/>
  <c r="D4" i="3"/>
  <c r="C4" i="3"/>
  <c r="B4" i="3"/>
  <c r="F5" i="2"/>
  <c r="B13" i="9"/>
  <c r="B23" i="2"/>
  <c r="Q19" i="2"/>
  <c r="N18" i="2"/>
  <c r="F18" i="2"/>
  <c r="E18" i="2"/>
  <c r="D18" i="2"/>
  <c r="G13" i="2"/>
  <c r="Q12" i="2" s="1"/>
  <c r="G12" i="2"/>
  <c r="O12" i="2" s="1"/>
  <c r="G11" i="2"/>
  <c r="O11" i="2" s="1"/>
  <c r="G10" i="2"/>
  <c r="O10" i="2" s="1"/>
  <c r="G9" i="2"/>
  <c r="O9" i="2" s="1"/>
  <c r="E3" i="2"/>
  <c r="B4" i="2" s="1"/>
  <c r="G37" i="55"/>
  <c r="F37" i="55"/>
  <c r="E37" i="55"/>
  <c r="D37" i="55"/>
  <c r="C37" i="55"/>
  <c r="B37" i="55"/>
  <c r="B29" i="55"/>
  <c r="D22" i="55"/>
  <c r="C22" i="55"/>
  <c r="B22" i="55"/>
  <c r="D21" i="55"/>
  <c r="C21" i="55"/>
  <c r="B21" i="55"/>
  <c r="F7" i="55"/>
  <c r="C7" i="55"/>
  <c r="B7" i="55"/>
  <c r="H4" i="55"/>
  <c r="F4" i="55"/>
  <c r="F8" i="55" s="1"/>
  <c r="H3" i="55"/>
  <c r="G37" i="54"/>
  <c r="F37" i="54"/>
  <c r="E37" i="54"/>
  <c r="D37" i="54"/>
  <c r="C37" i="54"/>
  <c r="B37" i="54"/>
  <c r="B29" i="54"/>
  <c r="D22" i="54"/>
  <c r="C22" i="54"/>
  <c r="B22" i="54"/>
  <c r="D21" i="54"/>
  <c r="C21" i="54"/>
  <c r="B21" i="54"/>
  <c r="G7" i="54"/>
  <c r="F7" i="54"/>
  <c r="E7" i="54"/>
  <c r="D7" i="54"/>
  <c r="C7" i="54"/>
  <c r="B7" i="54"/>
  <c r="H4" i="54"/>
  <c r="F4" i="54"/>
  <c r="H3" i="54"/>
  <c r="G37" i="50"/>
  <c r="F37" i="50"/>
  <c r="E37" i="50"/>
  <c r="D37" i="50"/>
  <c r="C37" i="50"/>
  <c r="B37" i="50"/>
  <c r="B29" i="50"/>
  <c r="D22" i="50"/>
  <c r="C22" i="50"/>
  <c r="B22" i="50"/>
  <c r="D21" i="50"/>
  <c r="C21" i="50"/>
  <c r="B21" i="50"/>
  <c r="B7" i="50"/>
  <c r="H4" i="50"/>
  <c r="F4" i="50"/>
  <c r="H3" i="50"/>
  <c r="G37" i="49"/>
  <c r="F37" i="49"/>
  <c r="E37" i="49"/>
  <c r="D37" i="49"/>
  <c r="C37" i="49"/>
  <c r="B37" i="49"/>
  <c r="B29" i="49"/>
  <c r="D22" i="49"/>
  <c r="C22" i="49"/>
  <c r="B22" i="49"/>
  <c r="D21" i="49"/>
  <c r="C21" i="49"/>
  <c r="B21" i="49"/>
  <c r="G7" i="49"/>
  <c r="F7" i="49"/>
  <c r="E7" i="49"/>
  <c r="D7" i="49"/>
  <c r="C7" i="49"/>
  <c r="B7" i="49"/>
  <c r="H4" i="49"/>
  <c r="F4" i="49"/>
  <c r="F8" i="49" s="1"/>
  <c r="H3" i="49"/>
  <c r="G37" i="47"/>
  <c r="F37" i="47"/>
  <c r="E37" i="47"/>
  <c r="D37" i="47"/>
  <c r="C37" i="47"/>
  <c r="B37" i="47"/>
  <c r="B29" i="47"/>
  <c r="D22" i="47"/>
  <c r="C22" i="47"/>
  <c r="B22" i="47"/>
  <c r="D21" i="47"/>
  <c r="C21" i="47"/>
  <c r="B21" i="47"/>
  <c r="B20" i="47"/>
  <c r="E15" i="47" s="1"/>
  <c r="H15" i="47" s="1"/>
  <c r="J15" i="47" s="1"/>
  <c r="F7" i="47"/>
  <c r="E7" i="47"/>
  <c r="D7" i="47"/>
  <c r="C7" i="47"/>
  <c r="B7" i="47"/>
  <c r="H4" i="47"/>
  <c r="F4" i="47"/>
  <c r="H3" i="47"/>
  <c r="G37" i="46"/>
  <c r="F37" i="46"/>
  <c r="E37" i="46"/>
  <c r="D37" i="46"/>
  <c r="C37" i="46"/>
  <c r="B37" i="46"/>
  <c r="B29" i="46"/>
  <c r="D22" i="46"/>
  <c r="C22" i="46"/>
  <c r="B22" i="46"/>
  <c r="D21" i="46"/>
  <c r="C21" i="46"/>
  <c r="B21" i="46"/>
  <c r="B20" i="46"/>
  <c r="C20" i="46" s="1"/>
  <c r="D20" i="46" s="1"/>
  <c r="F7" i="46"/>
  <c r="C7" i="46"/>
  <c r="B7" i="46"/>
  <c r="H4" i="46"/>
  <c r="F4" i="46"/>
  <c r="H3" i="46"/>
  <c r="G37" i="45"/>
  <c r="F37" i="45"/>
  <c r="E37" i="45"/>
  <c r="D37" i="45"/>
  <c r="C37" i="45"/>
  <c r="B37" i="45"/>
  <c r="B29" i="45"/>
  <c r="D22" i="45"/>
  <c r="C22" i="45"/>
  <c r="B22" i="45"/>
  <c r="D21" i="45"/>
  <c r="C21" i="45"/>
  <c r="B21" i="45"/>
  <c r="B20" i="45"/>
  <c r="C20" i="45" s="1"/>
  <c r="E16" i="45" s="1"/>
  <c r="F7" i="45"/>
  <c r="D7" i="45"/>
  <c r="C7" i="45"/>
  <c r="B7" i="45"/>
  <c r="H4" i="45"/>
  <c r="F4" i="45"/>
  <c r="H3" i="45"/>
  <c r="G37" i="44"/>
  <c r="F37" i="44"/>
  <c r="E37" i="44"/>
  <c r="D37" i="44"/>
  <c r="C37" i="44"/>
  <c r="B37" i="44"/>
  <c r="B29" i="44"/>
  <c r="D22" i="44"/>
  <c r="C22" i="44"/>
  <c r="B22" i="44"/>
  <c r="D21" i="44"/>
  <c r="C21" i="44"/>
  <c r="B21" i="44"/>
  <c r="B20" i="44"/>
  <c r="C20" i="44" s="1"/>
  <c r="E16" i="44" s="1"/>
  <c r="H16" i="44" s="1"/>
  <c r="J16" i="44" s="1"/>
  <c r="G7" i="44"/>
  <c r="F7" i="44"/>
  <c r="C7" i="44"/>
  <c r="B7" i="44"/>
  <c r="H4" i="44"/>
  <c r="F4" i="44"/>
  <c r="H3" i="44"/>
  <c r="G37" i="43"/>
  <c r="F37" i="43"/>
  <c r="E37" i="43"/>
  <c r="D37" i="43"/>
  <c r="C37" i="43"/>
  <c r="B37" i="43"/>
  <c r="B29" i="43"/>
  <c r="D22" i="43"/>
  <c r="C22" i="43"/>
  <c r="B22" i="43"/>
  <c r="D21" i="43"/>
  <c r="C21" i="43"/>
  <c r="B21" i="43"/>
  <c r="B20" i="43"/>
  <c r="C20" i="43" s="1"/>
  <c r="D20" i="43" s="1"/>
  <c r="G7" i="43"/>
  <c r="F7" i="43"/>
  <c r="C7" i="43"/>
  <c r="B7" i="43"/>
  <c r="H4" i="43"/>
  <c r="F4" i="43"/>
  <c r="B8" i="43" s="1"/>
  <c r="H3" i="43"/>
  <c r="G37" i="57"/>
  <c r="F37" i="57"/>
  <c r="E37" i="57"/>
  <c r="D37" i="57"/>
  <c r="C37" i="57"/>
  <c r="B37" i="57"/>
  <c r="B29" i="57"/>
  <c r="D22" i="57"/>
  <c r="C22" i="57"/>
  <c r="B22" i="57"/>
  <c r="D21" i="57"/>
  <c r="C21" i="57"/>
  <c r="B21" i="57"/>
  <c r="F7" i="57"/>
  <c r="E7" i="57"/>
  <c r="C7" i="57"/>
  <c r="B7" i="57"/>
  <c r="F4" i="57"/>
  <c r="H2" i="57"/>
  <c r="H4" i="57" s="1"/>
  <c r="H3" i="57" s="1"/>
  <c r="G37" i="56"/>
  <c r="F37" i="56"/>
  <c r="E37" i="56"/>
  <c r="D37" i="56"/>
  <c r="C37" i="56"/>
  <c r="B37" i="56"/>
  <c r="B29" i="56"/>
  <c r="D22" i="56"/>
  <c r="C22" i="56"/>
  <c r="B22" i="56"/>
  <c r="D21" i="56"/>
  <c r="C21" i="56"/>
  <c r="B21" i="56"/>
  <c r="G16" i="56"/>
  <c r="F16" i="56"/>
  <c r="D16" i="56"/>
  <c r="C16" i="56"/>
  <c r="B16" i="56"/>
  <c r="G15" i="56"/>
  <c r="F15" i="56"/>
  <c r="D15" i="56"/>
  <c r="C15" i="56"/>
  <c r="B15" i="56"/>
  <c r="G14" i="56"/>
  <c r="G13" i="56"/>
  <c r="F7" i="56"/>
  <c r="E7" i="56"/>
  <c r="C7" i="56"/>
  <c r="B7" i="56"/>
  <c r="H4" i="56"/>
  <c r="F4" i="56"/>
  <c r="H3" i="56"/>
  <c r="H2" i="56"/>
  <c r="G37" i="29"/>
  <c r="F37" i="29"/>
  <c r="E37" i="29"/>
  <c r="D37" i="29"/>
  <c r="C37" i="29"/>
  <c r="B37" i="29"/>
  <c r="B29" i="29"/>
  <c r="D22" i="29"/>
  <c r="C22" i="29"/>
  <c r="B22" i="29"/>
  <c r="D21" i="29"/>
  <c r="C21" i="29"/>
  <c r="B21" i="29"/>
  <c r="B7" i="29"/>
  <c r="F4" i="29"/>
  <c r="D40" i="9"/>
  <c r="D39" i="9"/>
  <c r="D38" i="9"/>
  <c r="D37" i="9"/>
  <c r="D36" i="9"/>
  <c r="D34" i="9"/>
  <c r="G29" i="21"/>
  <c r="G26" i="21"/>
  <c r="C25" i="21"/>
  <c r="C24" i="21"/>
  <c r="G21" i="21"/>
  <c r="C20" i="21"/>
  <c r="C19" i="21"/>
  <c r="C17" i="21"/>
  <c r="G15" i="21"/>
  <c r="C14" i="21"/>
  <c r="G12" i="21"/>
  <c r="H28" i="21" s="1"/>
  <c r="V70" i="1" l="1"/>
  <c r="AE70" i="1" s="1"/>
  <c r="P90" i="1"/>
  <c r="Z90" i="1" s="1"/>
  <c r="P20" i="1"/>
  <c r="Z20" i="1" s="1"/>
  <c r="P114" i="1"/>
  <c r="Z114" i="1" s="1"/>
  <c r="P103" i="1"/>
  <c r="Z103" i="1" s="1"/>
  <c r="P82" i="1"/>
  <c r="Z82" i="1" s="1"/>
  <c r="P89" i="1"/>
  <c r="Z89" i="1" s="1"/>
  <c r="P143" i="1"/>
  <c r="Z143" i="1" s="1"/>
  <c r="P91" i="1"/>
  <c r="Z91" i="1" s="1"/>
  <c r="P139" i="1"/>
  <c r="Z139" i="1" s="1"/>
  <c r="P119" i="1"/>
  <c r="Z119" i="1" s="1"/>
  <c r="P97" i="1"/>
  <c r="Z97" i="1" s="1"/>
  <c r="P111" i="1"/>
  <c r="Z111" i="1" s="1"/>
  <c r="P94" i="1"/>
  <c r="Z94" i="1" s="1"/>
  <c r="P77" i="1"/>
  <c r="Z77" i="1" s="1"/>
  <c r="P113" i="1"/>
  <c r="Z113" i="1" s="1"/>
  <c r="P137" i="1"/>
  <c r="Z137" i="1" s="1"/>
  <c r="P144" i="1"/>
  <c r="Z144" i="1" s="1"/>
  <c r="P80" i="1"/>
  <c r="Z80" i="1" s="1"/>
  <c r="P107" i="1"/>
  <c r="Z107" i="1" s="1"/>
  <c r="P134" i="1"/>
  <c r="Z134" i="1" s="1"/>
  <c r="P117" i="1"/>
  <c r="Z117" i="1" s="1"/>
  <c r="P116" i="1"/>
  <c r="Z116" i="1" s="1"/>
  <c r="P99" i="1"/>
  <c r="Z99" i="1" s="1"/>
  <c r="P100" i="1"/>
  <c r="Z100" i="1" s="1"/>
  <c r="P93" i="1"/>
  <c r="Z93" i="1" s="1"/>
  <c r="P110" i="1"/>
  <c r="Z110" i="1" s="1"/>
  <c r="P124" i="1"/>
  <c r="Z124" i="1" s="1"/>
  <c r="P81" i="1"/>
  <c r="Z81" i="1" s="1"/>
  <c r="P121" i="1"/>
  <c r="Z121" i="1" s="1"/>
  <c r="P88" i="1"/>
  <c r="Z88" i="1" s="1"/>
  <c r="P105" i="1"/>
  <c r="Z105" i="1" s="1"/>
  <c r="P132" i="1"/>
  <c r="Z132" i="1" s="1"/>
  <c r="P78" i="1"/>
  <c r="Z78" i="1" s="1"/>
  <c r="P95" i="1"/>
  <c r="Z95" i="1" s="1"/>
  <c r="P75" i="1"/>
  <c r="Z75" i="1" s="1"/>
  <c r="P92" i="1"/>
  <c r="Z92" i="1" s="1"/>
  <c r="P108" i="1"/>
  <c r="Z108" i="1" s="1"/>
  <c r="P86" i="1"/>
  <c r="Z86" i="1" s="1"/>
  <c r="P96" i="1"/>
  <c r="Z96" i="1" s="1"/>
  <c r="P125" i="1"/>
  <c r="Z125" i="1" s="1"/>
  <c r="P136" i="1"/>
  <c r="Z136" i="1" s="1"/>
  <c r="P123" i="1"/>
  <c r="Z123" i="1" s="1"/>
  <c r="P102" i="1"/>
  <c r="Z102" i="1" s="1"/>
  <c r="P85" i="1"/>
  <c r="Z85" i="1" s="1"/>
  <c r="P101" i="1"/>
  <c r="Z101" i="1" s="1"/>
  <c r="P127" i="1"/>
  <c r="Z127" i="1" s="1"/>
  <c r="P118" i="1"/>
  <c r="Z118" i="1" s="1"/>
  <c r="P104" i="1"/>
  <c r="Z104" i="1" s="1"/>
  <c r="P138" i="1"/>
  <c r="Z138" i="1" s="1"/>
  <c r="P142" i="1"/>
  <c r="Z142" i="1" s="1"/>
  <c r="P122" i="1"/>
  <c r="Z122" i="1" s="1"/>
  <c r="P84" i="1"/>
  <c r="Z84" i="1" s="1"/>
  <c r="P112" i="1"/>
  <c r="Z112" i="1" s="1"/>
  <c r="P126" i="1"/>
  <c r="Z126" i="1" s="1"/>
  <c r="P76" i="1"/>
  <c r="Z76" i="1" s="1"/>
  <c r="P131" i="1"/>
  <c r="Z131" i="1" s="1"/>
  <c r="P140" i="1"/>
  <c r="Z140" i="1" s="1"/>
  <c r="P135" i="1"/>
  <c r="Z135" i="1" s="1"/>
  <c r="P87" i="1"/>
  <c r="Z87" i="1" s="1"/>
  <c r="P115" i="1"/>
  <c r="Z115" i="1" s="1"/>
  <c r="P83" i="1"/>
  <c r="Z83" i="1" s="1"/>
  <c r="P129" i="1"/>
  <c r="Z129" i="1" s="1"/>
  <c r="P109" i="1"/>
  <c r="Z109" i="1" s="1"/>
  <c r="P141" i="1"/>
  <c r="Z141" i="1" s="1"/>
  <c r="P128" i="1"/>
  <c r="Z128" i="1" s="1"/>
  <c r="P106" i="1"/>
  <c r="Z106" i="1" s="1"/>
  <c r="P120" i="1"/>
  <c r="Z120" i="1" s="1"/>
  <c r="P130" i="1"/>
  <c r="Z130" i="1" s="1"/>
  <c r="P133" i="1"/>
  <c r="Z133" i="1" s="1"/>
  <c r="P79" i="1"/>
  <c r="Z79" i="1" s="1"/>
  <c r="P98" i="1"/>
  <c r="Z98" i="1" s="1"/>
  <c r="P147" i="1"/>
  <c r="Z147" i="1" s="1"/>
  <c r="P145" i="1"/>
  <c r="Z145" i="1" s="1"/>
  <c r="P146" i="1"/>
  <c r="Z146" i="1" s="1"/>
  <c r="P30" i="1"/>
  <c r="Z30" i="1" s="1"/>
  <c r="P56" i="1"/>
  <c r="Z56" i="1" s="1"/>
  <c r="P7" i="1"/>
  <c r="Z7" i="1" s="1"/>
  <c r="P52" i="1"/>
  <c r="Z52" i="1" s="1"/>
  <c r="P26" i="1"/>
  <c r="Z26" i="1" s="1"/>
  <c r="P12" i="1"/>
  <c r="Z12" i="1" s="1"/>
  <c r="P13" i="1"/>
  <c r="Z13" i="1" s="1"/>
  <c r="P36" i="1"/>
  <c r="Z36" i="1" s="1"/>
  <c r="P16" i="1"/>
  <c r="Z16" i="1" s="1"/>
  <c r="P54" i="1"/>
  <c r="Z54" i="1" s="1"/>
  <c r="P49" i="1"/>
  <c r="Z49" i="1" s="1"/>
  <c r="P47" i="1"/>
  <c r="Z47" i="1" s="1"/>
  <c r="P43" i="1"/>
  <c r="Z43" i="1" s="1"/>
  <c r="P18" i="1"/>
  <c r="Z18" i="1" s="1"/>
  <c r="P24" i="1"/>
  <c r="Z24" i="1" s="1"/>
  <c r="P8" i="1"/>
  <c r="Z8" i="1" s="1"/>
  <c r="P33" i="1"/>
  <c r="Z33" i="1" s="1"/>
  <c r="P31" i="1"/>
  <c r="Z31" i="1" s="1"/>
  <c r="P44" i="1"/>
  <c r="Z44" i="1" s="1"/>
  <c r="P35" i="1"/>
  <c r="Z35" i="1" s="1"/>
  <c r="P39" i="1"/>
  <c r="Z39" i="1" s="1"/>
  <c r="P23" i="1"/>
  <c r="Z23" i="1" s="1"/>
  <c r="P66" i="1"/>
  <c r="Z66" i="1" s="1"/>
  <c r="P11" i="1"/>
  <c r="Z11" i="1" s="1"/>
  <c r="P51" i="1"/>
  <c r="Z51" i="1" s="1"/>
  <c r="P69" i="1"/>
  <c r="Z69" i="1" s="1"/>
  <c r="P17" i="1"/>
  <c r="Z17" i="1" s="1"/>
  <c r="P25" i="1"/>
  <c r="Z25" i="1" s="1"/>
  <c r="P9" i="1"/>
  <c r="Z9" i="1" s="1"/>
  <c r="P62" i="1"/>
  <c r="Z62" i="1" s="1"/>
  <c r="P45" i="1"/>
  <c r="Z45" i="1" s="1"/>
  <c r="P29" i="1"/>
  <c r="Z29" i="1" s="1"/>
  <c r="P63" i="1"/>
  <c r="Z63" i="1" s="1"/>
  <c r="P55" i="1"/>
  <c r="Z55" i="1" s="1"/>
  <c r="P37" i="1"/>
  <c r="Z37" i="1" s="1"/>
  <c r="P27" i="1"/>
  <c r="Z27" i="1" s="1"/>
  <c r="P21" i="1"/>
  <c r="Z21" i="1" s="1"/>
  <c r="P50" i="1"/>
  <c r="Z50" i="1" s="1"/>
  <c r="P15" i="1"/>
  <c r="Z15" i="1" s="1"/>
  <c r="P19" i="1"/>
  <c r="Z19" i="1" s="1"/>
  <c r="P65" i="1"/>
  <c r="Z65" i="1" s="1"/>
  <c r="P34" i="1"/>
  <c r="Z34" i="1" s="1"/>
  <c r="P10" i="1"/>
  <c r="Z10" i="1" s="1"/>
  <c r="P14" i="1"/>
  <c r="Z14" i="1" s="1"/>
  <c r="P53" i="1"/>
  <c r="Z53" i="1" s="1"/>
  <c r="P68" i="1"/>
  <c r="Z68" i="1" s="1"/>
  <c r="P59" i="1"/>
  <c r="Z59" i="1" s="1"/>
  <c r="P6" i="1"/>
  <c r="Z6" i="1" s="1"/>
  <c r="P64" i="1"/>
  <c r="Z64" i="1" s="1"/>
  <c r="P28" i="1"/>
  <c r="Z28" i="1" s="1"/>
  <c r="P58" i="1"/>
  <c r="Z58" i="1" s="1"/>
  <c r="P46" i="1"/>
  <c r="Z46" i="1" s="1"/>
  <c r="P48" i="1"/>
  <c r="Z48" i="1" s="1"/>
  <c r="P22" i="1"/>
  <c r="Z22" i="1" s="1"/>
  <c r="P38" i="1"/>
  <c r="Z38" i="1" s="1"/>
  <c r="P42" i="1"/>
  <c r="Z42" i="1" s="1"/>
  <c r="P60" i="1"/>
  <c r="Z60" i="1" s="1"/>
  <c r="P40" i="1"/>
  <c r="Z40" i="1" s="1"/>
  <c r="P41" i="1"/>
  <c r="Z41" i="1" s="1"/>
  <c r="P67" i="1"/>
  <c r="Z67" i="1" s="1"/>
  <c r="P57" i="1"/>
  <c r="Z57" i="1" s="1"/>
  <c r="P32" i="1"/>
  <c r="Z32" i="1" s="1"/>
  <c r="P61" i="1"/>
  <c r="Z61" i="1" s="1"/>
  <c r="W61" i="1"/>
  <c r="AF61" i="1" s="1"/>
  <c r="U72" i="1"/>
  <c r="AD72" i="1" s="1"/>
  <c r="O72" i="1"/>
  <c r="Y72" i="1" s="1"/>
  <c r="AH72" i="1" s="1"/>
  <c r="M72" i="1"/>
  <c r="N72" i="1" s="1"/>
  <c r="X72" i="1" s="1"/>
  <c r="AG72" i="1" s="1"/>
  <c r="V72" i="1"/>
  <c r="AE72" i="1" s="1"/>
  <c r="U70" i="1"/>
  <c r="AD70" i="1" s="1"/>
  <c r="O70" i="1"/>
  <c r="Y70" i="1" s="1"/>
  <c r="AH70" i="1" s="1"/>
  <c r="M71" i="1"/>
  <c r="V71" i="1"/>
  <c r="AE71" i="1" s="1"/>
  <c r="O90" i="1"/>
  <c r="Y90" i="1" s="1"/>
  <c r="AH90" i="1" s="1"/>
  <c r="O20" i="1"/>
  <c r="Y20" i="1" s="1"/>
  <c r="AH20" i="1" s="1"/>
  <c r="O121" i="1"/>
  <c r="Y121" i="1" s="1"/>
  <c r="AH121" i="1" s="1"/>
  <c r="O140" i="1"/>
  <c r="Y140" i="1" s="1"/>
  <c r="AH140" i="1" s="1"/>
  <c r="O115" i="1"/>
  <c r="Y115" i="1" s="1"/>
  <c r="AH115" i="1" s="1"/>
  <c r="O85" i="1"/>
  <c r="Y85" i="1" s="1"/>
  <c r="AH85" i="1" s="1"/>
  <c r="O97" i="1"/>
  <c r="Y97" i="1" s="1"/>
  <c r="AH97" i="1" s="1"/>
  <c r="O111" i="1"/>
  <c r="Y111" i="1" s="1"/>
  <c r="AH111" i="1" s="1"/>
  <c r="O84" i="1"/>
  <c r="Y84" i="1" s="1"/>
  <c r="AH84" i="1" s="1"/>
  <c r="O96" i="1"/>
  <c r="Y96" i="1" s="1"/>
  <c r="AH96" i="1" s="1"/>
  <c r="O134" i="1"/>
  <c r="Y134" i="1" s="1"/>
  <c r="AH134" i="1" s="1"/>
  <c r="O78" i="1"/>
  <c r="Y78" i="1" s="1"/>
  <c r="AH78" i="1" s="1"/>
  <c r="O102" i="1"/>
  <c r="Y102" i="1" s="1"/>
  <c r="AH102" i="1" s="1"/>
  <c r="O104" i="1"/>
  <c r="Y104" i="1" s="1"/>
  <c r="AH104" i="1" s="1"/>
  <c r="O120" i="1"/>
  <c r="Y120" i="1" s="1"/>
  <c r="AH120" i="1" s="1"/>
  <c r="O92" i="1"/>
  <c r="Y92" i="1" s="1"/>
  <c r="AH92" i="1" s="1"/>
  <c r="O87" i="1"/>
  <c r="Y87" i="1" s="1"/>
  <c r="AH87" i="1" s="1"/>
  <c r="O144" i="1"/>
  <c r="Y144" i="1" s="1"/>
  <c r="AH144" i="1" s="1"/>
  <c r="O76" i="1"/>
  <c r="Y76" i="1" s="1"/>
  <c r="AH76" i="1" s="1"/>
  <c r="O88" i="1"/>
  <c r="Y88" i="1" s="1"/>
  <c r="AH88" i="1" s="1"/>
  <c r="O100" i="1"/>
  <c r="Y100" i="1" s="1"/>
  <c r="AH100" i="1" s="1"/>
  <c r="O125" i="1"/>
  <c r="Y125" i="1" s="1"/>
  <c r="AH125" i="1" s="1"/>
  <c r="O131" i="1"/>
  <c r="Y131" i="1" s="1"/>
  <c r="AH131" i="1" s="1"/>
  <c r="O116" i="1"/>
  <c r="Y116" i="1" s="1"/>
  <c r="AH116" i="1" s="1"/>
  <c r="O138" i="1"/>
  <c r="Y138" i="1" s="1"/>
  <c r="AH138" i="1" s="1"/>
  <c r="O94" i="1"/>
  <c r="Y94" i="1" s="1"/>
  <c r="AH94" i="1" s="1"/>
  <c r="O107" i="1"/>
  <c r="Y107" i="1" s="1"/>
  <c r="AH107" i="1" s="1"/>
  <c r="O109" i="1"/>
  <c r="Y109" i="1" s="1"/>
  <c r="AH109" i="1" s="1"/>
  <c r="O139" i="1"/>
  <c r="Y139" i="1" s="1"/>
  <c r="AH139" i="1" s="1"/>
  <c r="O95" i="1"/>
  <c r="Y95" i="1" s="1"/>
  <c r="AH95" i="1" s="1"/>
  <c r="O112" i="1"/>
  <c r="Y112" i="1" s="1"/>
  <c r="AH112" i="1" s="1"/>
  <c r="O103" i="1"/>
  <c r="Y103" i="1" s="1"/>
  <c r="AH103" i="1" s="1"/>
  <c r="O83" i="1"/>
  <c r="Y83" i="1" s="1"/>
  <c r="AH83" i="1" s="1"/>
  <c r="O86" i="1"/>
  <c r="Y86" i="1" s="1"/>
  <c r="AH86" i="1" s="1"/>
  <c r="O114" i="1"/>
  <c r="Y114" i="1" s="1"/>
  <c r="AH114" i="1" s="1"/>
  <c r="O105" i="1"/>
  <c r="Y105" i="1" s="1"/>
  <c r="AH105" i="1" s="1"/>
  <c r="O141" i="1"/>
  <c r="Y141" i="1" s="1"/>
  <c r="AH141" i="1" s="1"/>
  <c r="O99" i="1"/>
  <c r="Y99" i="1" s="1"/>
  <c r="AH99" i="1" s="1"/>
  <c r="O142" i="1"/>
  <c r="Y142" i="1" s="1"/>
  <c r="AH142" i="1" s="1"/>
  <c r="O117" i="1"/>
  <c r="Y117" i="1" s="1"/>
  <c r="AH117" i="1" s="1"/>
  <c r="O128" i="1"/>
  <c r="Y128" i="1" s="1"/>
  <c r="O118" i="1"/>
  <c r="Y118" i="1" s="1"/>
  <c r="AH118" i="1" s="1"/>
  <c r="O91" i="1"/>
  <c r="Y91" i="1" s="1"/>
  <c r="AH91" i="1" s="1"/>
  <c r="O130" i="1"/>
  <c r="Y130" i="1" s="1"/>
  <c r="AH130" i="1" s="1"/>
  <c r="O122" i="1"/>
  <c r="Y122" i="1" s="1"/>
  <c r="AH122" i="1" s="1"/>
  <c r="O137" i="1"/>
  <c r="Y137" i="1" s="1"/>
  <c r="AH137" i="1" s="1"/>
  <c r="O89" i="1"/>
  <c r="Y89" i="1" s="1"/>
  <c r="AH89" i="1" s="1"/>
  <c r="O123" i="1"/>
  <c r="Y123" i="1" s="1"/>
  <c r="AH123" i="1" s="1"/>
  <c r="O133" i="1"/>
  <c r="Y133" i="1" s="1"/>
  <c r="AH133" i="1" s="1"/>
  <c r="O124" i="1"/>
  <c r="Y124" i="1" s="1"/>
  <c r="AH124" i="1" s="1"/>
  <c r="O81" i="1"/>
  <c r="Y81" i="1" s="1"/>
  <c r="AH81" i="1" s="1"/>
  <c r="O127" i="1"/>
  <c r="Y127" i="1" s="1"/>
  <c r="AH127" i="1" s="1"/>
  <c r="O119" i="1"/>
  <c r="Y119" i="1" s="1"/>
  <c r="AH119" i="1" s="1"/>
  <c r="O110" i="1"/>
  <c r="Y110" i="1" s="1"/>
  <c r="AH110" i="1" s="1"/>
  <c r="O77" i="1"/>
  <c r="Y77" i="1" s="1"/>
  <c r="AH77" i="1" s="1"/>
  <c r="O113" i="1"/>
  <c r="Y113" i="1" s="1"/>
  <c r="AH113" i="1" s="1"/>
  <c r="O129" i="1"/>
  <c r="Y129" i="1" s="1"/>
  <c r="AH129" i="1" s="1"/>
  <c r="O98" i="1"/>
  <c r="Y98" i="1" s="1"/>
  <c r="AH98" i="1" s="1"/>
  <c r="O79" i="1"/>
  <c r="Y79" i="1" s="1"/>
  <c r="AH79" i="1" s="1"/>
  <c r="O132" i="1"/>
  <c r="Y132" i="1" s="1"/>
  <c r="AH132" i="1" s="1"/>
  <c r="O82" i="1"/>
  <c r="Y82" i="1" s="1"/>
  <c r="AH82" i="1" s="1"/>
  <c r="O143" i="1"/>
  <c r="Y143" i="1" s="1"/>
  <c r="AH143" i="1" s="1"/>
  <c r="O108" i="1"/>
  <c r="Y108" i="1" s="1"/>
  <c r="AH108" i="1" s="1"/>
  <c r="O136" i="1"/>
  <c r="Y136" i="1" s="1"/>
  <c r="AH136" i="1" s="1"/>
  <c r="O126" i="1"/>
  <c r="Y126" i="1" s="1"/>
  <c r="AH126" i="1" s="1"/>
  <c r="O101" i="1"/>
  <c r="Y101" i="1" s="1"/>
  <c r="AH101" i="1" s="1"/>
  <c r="O106" i="1"/>
  <c r="Y106" i="1" s="1"/>
  <c r="AH106" i="1" s="1"/>
  <c r="O93" i="1"/>
  <c r="Y93" i="1" s="1"/>
  <c r="AH93" i="1" s="1"/>
  <c r="O135" i="1"/>
  <c r="Y135" i="1" s="1"/>
  <c r="AH135" i="1" s="1"/>
  <c r="O80" i="1"/>
  <c r="Y80" i="1" s="1"/>
  <c r="AH80" i="1" s="1"/>
  <c r="O75" i="1"/>
  <c r="Y75" i="1" s="1"/>
  <c r="AH75" i="1" s="1"/>
  <c r="O145" i="1"/>
  <c r="Y145" i="1" s="1"/>
  <c r="AH145" i="1" s="1"/>
  <c r="O146" i="1"/>
  <c r="Y146" i="1" s="1"/>
  <c r="AH146" i="1" s="1"/>
  <c r="O147" i="1"/>
  <c r="Y147" i="1" s="1"/>
  <c r="AH147" i="1" s="1"/>
  <c r="W5" i="1"/>
  <c r="AF5" i="1" s="1"/>
  <c r="P5" i="1"/>
  <c r="Z5" i="1" s="1"/>
  <c r="U71" i="1"/>
  <c r="AD71" i="1" s="1"/>
  <c r="O71" i="1"/>
  <c r="Y71" i="1" s="1"/>
  <c r="AH71" i="1" s="1"/>
  <c r="E15" i="45"/>
  <c r="H15" i="45" s="1"/>
  <c r="J15" i="45" s="1"/>
  <c r="G18" i="2"/>
  <c r="P18" i="2" s="1"/>
  <c r="Q18" i="2" s="1"/>
  <c r="F8" i="45"/>
  <c r="F30" i="45" s="1"/>
  <c r="G8" i="56"/>
  <c r="G25" i="56" s="1"/>
  <c r="N5" i="2"/>
  <c r="G7" i="47"/>
  <c r="G7" i="55"/>
  <c r="G8" i="55" s="1"/>
  <c r="G25" i="55" s="1"/>
  <c r="G8" i="29"/>
  <c r="G7" i="46"/>
  <c r="G8" i="46" s="1"/>
  <c r="G7" i="57"/>
  <c r="G8" i="57" s="1"/>
  <c r="G7" i="45"/>
  <c r="G8" i="45" s="1"/>
  <c r="G25" i="45" s="1"/>
  <c r="E7" i="45"/>
  <c r="E8" i="45" s="1"/>
  <c r="E7" i="46"/>
  <c r="E8" i="46" s="1"/>
  <c r="E10" i="46" s="1"/>
  <c r="E26" i="46" s="1"/>
  <c r="E7" i="44"/>
  <c r="E7" i="55"/>
  <c r="E7" i="43"/>
  <c r="H7" i="54"/>
  <c r="D7" i="55"/>
  <c r="D8" i="55" s="1"/>
  <c r="B15" i="9"/>
  <c r="D7" i="44"/>
  <c r="D8" i="44" s="1"/>
  <c r="D7" i="46"/>
  <c r="D7" i="57"/>
  <c r="H7" i="56"/>
  <c r="D7" i="56"/>
  <c r="H7" i="49"/>
  <c r="D7" i="43"/>
  <c r="H7" i="43" s="1"/>
  <c r="V244" i="28"/>
  <c r="X244" i="28" s="1"/>
  <c r="U121" i="28"/>
  <c r="U145" i="28"/>
  <c r="U157" i="28"/>
  <c r="U161" i="28"/>
  <c r="U185" i="28"/>
  <c r="U189" i="28"/>
  <c r="U201" i="28"/>
  <c r="U213" i="28"/>
  <c r="U217" i="28"/>
  <c r="U221" i="28"/>
  <c r="U238" i="28"/>
  <c r="U252" i="28"/>
  <c r="U250" i="28"/>
  <c r="U248" i="28"/>
  <c r="U247" i="28"/>
  <c r="U246" i="28"/>
  <c r="U244" i="28"/>
  <c r="U234" i="28"/>
  <c r="U231" i="28"/>
  <c r="U230" i="28"/>
  <c r="U222" i="28"/>
  <c r="U214" i="28"/>
  <c r="U206" i="28"/>
  <c r="U204" i="28"/>
  <c r="U200" i="28"/>
  <c r="U198" i="28"/>
  <c r="U194" i="28"/>
  <c r="U192" i="28"/>
  <c r="U191" i="28"/>
  <c r="U184" i="28"/>
  <c r="U180" i="28"/>
  <c r="U175" i="28"/>
  <c r="U174" i="28"/>
  <c r="U170" i="28"/>
  <c r="U164" i="28"/>
  <c r="U162" i="28"/>
  <c r="U158" i="28"/>
  <c r="U156" i="28"/>
  <c r="U134" i="28"/>
  <c r="U130" i="28"/>
  <c r="U126" i="28"/>
  <c r="U123" i="28"/>
  <c r="U115" i="28"/>
  <c r="U114" i="28"/>
  <c r="X252" i="28"/>
  <c r="V59" i="28"/>
  <c r="X59" i="28" s="1"/>
  <c r="V61" i="28"/>
  <c r="X61" i="28" s="1"/>
  <c r="V37" i="28"/>
  <c r="X37" i="28" s="1"/>
  <c r="V203" i="28"/>
  <c r="X203" i="28" s="1"/>
  <c r="V226" i="28"/>
  <c r="X226" i="28" s="1"/>
  <c r="V38" i="28"/>
  <c r="X38" i="28" s="1"/>
  <c r="V15" i="28"/>
  <c r="X15" i="28" s="1"/>
  <c r="V126" i="28"/>
  <c r="X126" i="28" s="1"/>
  <c r="V162" i="28"/>
  <c r="X162" i="28" s="1"/>
  <c r="V79" i="28"/>
  <c r="X79" i="28" s="1"/>
  <c r="V124" i="28"/>
  <c r="X124" i="28" s="1"/>
  <c r="V186" i="28"/>
  <c r="X186" i="28" s="1"/>
  <c r="V242" i="28"/>
  <c r="X242" i="28" s="1"/>
  <c r="V23" i="28"/>
  <c r="X23" i="28" s="1"/>
  <c r="V110" i="28"/>
  <c r="X110" i="28" s="1"/>
  <c r="V24" i="28"/>
  <c r="X24" i="28" s="1"/>
  <c r="V146" i="28"/>
  <c r="X146" i="28" s="1"/>
  <c r="V164" i="28"/>
  <c r="X164" i="28" s="1"/>
  <c r="V90" i="28"/>
  <c r="X90" i="28" s="1"/>
  <c r="V26" i="28"/>
  <c r="X26" i="28" s="1"/>
  <c r="V27" i="28"/>
  <c r="X27" i="28" s="1"/>
  <c r="V51" i="28"/>
  <c r="X51" i="28" s="1"/>
  <c r="V76" i="28"/>
  <c r="X76" i="28" s="1"/>
  <c r="V97" i="28"/>
  <c r="X97" i="28" s="1"/>
  <c r="V45" i="28"/>
  <c r="X45" i="28" s="1"/>
  <c r="V142" i="28"/>
  <c r="X142" i="28" s="1"/>
  <c r="V201" i="28"/>
  <c r="X201" i="28" s="1"/>
  <c r="V228" i="28"/>
  <c r="X228" i="28" s="1"/>
  <c r="V10" i="28"/>
  <c r="X10" i="28" s="1"/>
  <c r="V48" i="28"/>
  <c r="X48" i="28" s="1"/>
  <c r="V64" i="28"/>
  <c r="X64" i="28" s="1"/>
  <c r="V134" i="28"/>
  <c r="X134" i="28" s="1"/>
  <c r="V211" i="28"/>
  <c r="X211" i="28" s="1"/>
  <c r="V220" i="28"/>
  <c r="X220" i="28" s="1"/>
  <c r="V34" i="28"/>
  <c r="X34" i="28" s="1"/>
  <c r="V52" i="28"/>
  <c r="X52" i="28" s="1"/>
  <c r="V120" i="28"/>
  <c r="X120" i="28" s="1"/>
  <c r="V170" i="28"/>
  <c r="X170" i="28" s="1"/>
  <c r="V35" i="28"/>
  <c r="X35" i="28" s="1"/>
  <c r="V94" i="28"/>
  <c r="X94" i="28" s="1"/>
  <c r="V180" i="28"/>
  <c r="X180" i="28" s="1"/>
  <c r="V188" i="28"/>
  <c r="X188" i="28" s="1"/>
  <c r="V16" i="28"/>
  <c r="X16" i="28" s="1"/>
  <c r="V54" i="28"/>
  <c r="X54" i="28" s="1"/>
  <c r="V158" i="28"/>
  <c r="X158" i="28" s="1"/>
  <c r="V40" i="28"/>
  <c r="X40" i="28" s="1"/>
  <c r="V69" i="28"/>
  <c r="X69" i="28" s="1"/>
  <c r="V100" i="28"/>
  <c r="X100" i="28" s="1"/>
  <c r="V114" i="28"/>
  <c r="X114" i="28" s="1"/>
  <c r="V128" i="28"/>
  <c r="X128" i="28" s="1"/>
  <c r="V189" i="28"/>
  <c r="X189" i="28" s="1"/>
  <c r="V205" i="28"/>
  <c r="X205" i="28" s="1"/>
  <c r="V18" i="28"/>
  <c r="X18" i="28" s="1"/>
  <c r="V29" i="28"/>
  <c r="X29" i="28" s="1"/>
  <c r="V56" i="28"/>
  <c r="X56" i="28" s="1"/>
  <c r="V136" i="28"/>
  <c r="X136" i="28" s="1"/>
  <c r="V144" i="28"/>
  <c r="X144" i="28" s="1"/>
  <c r="V19" i="28"/>
  <c r="X19" i="28" s="1"/>
  <c r="V42" i="28"/>
  <c r="X42" i="28" s="1"/>
  <c r="V73" i="28"/>
  <c r="X73" i="28" s="1"/>
  <c r="V85" i="28"/>
  <c r="X85" i="28" s="1"/>
  <c r="V104" i="28"/>
  <c r="X104" i="28" s="1"/>
  <c r="V122" i="28"/>
  <c r="X122" i="28" s="1"/>
  <c r="V152" i="28"/>
  <c r="X152" i="28" s="1"/>
  <c r="V184" i="28"/>
  <c r="X184" i="28" s="1"/>
  <c r="V199" i="28"/>
  <c r="X199" i="28" s="1"/>
  <c r="V240" i="28"/>
  <c r="X240" i="28" s="1"/>
  <c r="V82" i="28"/>
  <c r="X82" i="28" s="1"/>
  <c r="V182" i="28"/>
  <c r="X182" i="28" s="1"/>
  <c r="V31" i="28"/>
  <c r="X31" i="28" s="1"/>
  <c r="V43" i="28"/>
  <c r="X43" i="28" s="1"/>
  <c r="V87" i="28"/>
  <c r="X87" i="28" s="1"/>
  <c r="V116" i="28"/>
  <c r="X116" i="28" s="1"/>
  <c r="V129" i="28"/>
  <c r="X129" i="28" s="1"/>
  <c r="V207" i="28"/>
  <c r="X207" i="28" s="1"/>
  <c r="V215" i="28"/>
  <c r="X215" i="28" s="1"/>
  <c r="V150" i="28"/>
  <c r="X150" i="28" s="1"/>
  <c r="V21" i="28"/>
  <c r="X21" i="28" s="1"/>
  <c r="V32" i="28"/>
  <c r="X32" i="28" s="1"/>
  <c r="V58" i="28"/>
  <c r="X58" i="28" s="1"/>
  <c r="V75" i="28"/>
  <c r="X75" i="28" s="1"/>
  <c r="V224" i="28"/>
  <c r="X224" i="28" s="1"/>
  <c r="C8" i="55"/>
  <c r="C30" i="55" s="1"/>
  <c r="V222" i="28"/>
  <c r="X222" i="28" s="1"/>
  <c r="V229" i="28"/>
  <c r="X229" i="28" s="1"/>
  <c r="V246" i="28"/>
  <c r="X246" i="28" s="1"/>
  <c r="W207" i="28"/>
  <c r="Y207" i="28" s="1"/>
  <c r="F30" i="55"/>
  <c r="W79" i="28"/>
  <c r="Y79" i="28" s="1"/>
  <c r="W107" i="28"/>
  <c r="Y107" i="28" s="1"/>
  <c r="W235" i="28"/>
  <c r="Y235" i="28" s="1"/>
  <c r="W15" i="28"/>
  <c r="Y15" i="28" s="1"/>
  <c r="W143" i="28"/>
  <c r="Y143" i="28" s="1"/>
  <c r="W43" i="28"/>
  <c r="Y43" i="28" s="1"/>
  <c r="W171" i="28"/>
  <c r="Y171" i="28" s="1"/>
  <c r="V11" i="28"/>
  <c r="X11" i="28" s="1"/>
  <c r="V13" i="28"/>
  <c r="X13" i="28" s="1"/>
  <c r="V20" i="28"/>
  <c r="X20" i="28" s="1"/>
  <c r="V30" i="28"/>
  <c r="X30" i="28" s="1"/>
  <c r="V36" i="28"/>
  <c r="X36" i="28" s="1"/>
  <c r="V44" i="28"/>
  <c r="X44" i="28" s="1"/>
  <c r="V46" i="28"/>
  <c r="X46" i="28" s="1"/>
  <c r="V49" i="28"/>
  <c r="X49" i="28" s="1"/>
  <c r="V55" i="28"/>
  <c r="X55" i="28" s="1"/>
  <c r="V57" i="28"/>
  <c r="X57" i="28" s="1"/>
  <c r="V60" i="28"/>
  <c r="X60" i="28" s="1"/>
  <c r="V66" i="28"/>
  <c r="X66" i="28" s="1"/>
  <c r="V70" i="28"/>
  <c r="X70" i="28" s="1"/>
  <c r="V81" i="28"/>
  <c r="X81" i="28" s="1"/>
  <c r="V84" i="28"/>
  <c r="X84" i="28" s="1"/>
  <c r="V91" i="28"/>
  <c r="X91" i="28" s="1"/>
  <c r="V96" i="28"/>
  <c r="X96" i="28" s="1"/>
  <c r="V101" i="28"/>
  <c r="X101" i="28" s="1"/>
  <c r="V106" i="28"/>
  <c r="X106" i="28" s="1"/>
  <c r="V109" i="28"/>
  <c r="X109" i="28" s="1"/>
  <c r="V113" i="28"/>
  <c r="X113" i="28" s="1"/>
  <c r="V115" i="28"/>
  <c r="X115" i="28" s="1"/>
  <c r="V139" i="28"/>
  <c r="X139" i="28" s="1"/>
  <c r="V141" i="28"/>
  <c r="X141" i="28" s="1"/>
  <c r="V143" i="28"/>
  <c r="X143" i="28" s="1"/>
  <c r="V149" i="28"/>
  <c r="X149" i="28" s="1"/>
  <c r="V151" i="28"/>
  <c r="X151" i="28" s="1"/>
  <c r="V155" i="28"/>
  <c r="X155" i="28" s="1"/>
  <c r="V157" i="28"/>
  <c r="X157" i="28" s="1"/>
  <c r="V161" i="28"/>
  <c r="X161" i="28" s="1"/>
  <c r="V163" i="28"/>
  <c r="X163" i="28" s="1"/>
  <c r="V167" i="28"/>
  <c r="X167" i="28" s="1"/>
  <c r="V176" i="28"/>
  <c r="X176" i="28" s="1"/>
  <c r="V178" i="28"/>
  <c r="X178" i="28" s="1"/>
  <c r="V197" i="28"/>
  <c r="X197" i="28" s="1"/>
  <c r="V216" i="28"/>
  <c r="X216" i="28" s="1"/>
  <c r="V218" i="28"/>
  <c r="X218" i="28" s="1"/>
  <c r="V238" i="28"/>
  <c r="X238" i="28" s="1"/>
  <c r="W47" i="28"/>
  <c r="Y47" i="28" s="1"/>
  <c r="W111" i="28"/>
  <c r="Y111" i="28" s="1"/>
  <c r="W175" i="28"/>
  <c r="Y175" i="28" s="1"/>
  <c r="W239" i="28"/>
  <c r="Y239" i="28" s="1"/>
  <c r="V12" i="28"/>
  <c r="X12" i="28" s="1"/>
  <c r="V14" i="28"/>
  <c r="X14" i="28" s="1"/>
  <c r="V17" i="28"/>
  <c r="X17" i="28" s="1"/>
  <c r="V22" i="28"/>
  <c r="X22" i="28" s="1"/>
  <c r="V25" i="28"/>
  <c r="X25" i="28" s="1"/>
  <c r="V28" i="28"/>
  <c r="X28" i="28" s="1"/>
  <c r="V33" i="28"/>
  <c r="X33" i="28" s="1"/>
  <c r="V39" i="28"/>
  <c r="X39" i="28" s="1"/>
  <c r="V41" i="28"/>
  <c r="X41" i="28" s="1"/>
  <c r="V47" i="28"/>
  <c r="X47" i="28" s="1"/>
  <c r="V50" i="28"/>
  <c r="X50" i="28" s="1"/>
  <c r="V53" i="28"/>
  <c r="X53" i="28" s="1"/>
  <c r="V62" i="28"/>
  <c r="X62" i="28" s="1"/>
  <c r="V68" i="28"/>
  <c r="X68" i="28" s="1"/>
  <c r="V72" i="28"/>
  <c r="X72" i="28" s="1"/>
  <c r="V74" i="28"/>
  <c r="X74" i="28" s="1"/>
  <c r="V89" i="28"/>
  <c r="X89" i="28" s="1"/>
  <c r="V92" i="28"/>
  <c r="X92" i="28" s="1"/>
  <c r="V99" i="28"/>
  <c r="X99" i="28" s="1"/>
  <c r="V103" i="28"/>
  <c r="X103" i="28" s="1"/>
  <c r="V107" i="28"/>
  <c r="X107" i="28" s="1"/>
  <c r="V112" i="28"/>
  <c r="X112" i="28" s="1"/>
  <c r="V117" i="28"/>
  <c r="X117" i="28" s="1"/>
  <c r="V119" i="28"/>
  <c r="X119" i="28" s="1"/>
  <c r="V125" i="28"/>
  <c r="X125" i="28" s="1"/>
  <c r="V127" i="28"/>
  <c r="X127" i="28" s="1"/>
  <c r="V131" i="28"/>
  <c r="X131" i="28" s="1"/>
  <c r="V133" i="28"/>
  <c r="X133" i="28" s="1"/>
  <c r="V137" i="28"/>
  <c r="X137" i="28" s="1"/>
  <c r="V148" i="28"/>
  <c r="X148" i="28" s="1"/>
  <c r="V153" i="28"/>
  <c r="X153" i="28" s="1"/>
  <c r="V160" i="28"/>
  <c r="X160" i="28" s="1"/>
  <c r="V165" i="28"/>
  <c r="X165" i="28" s="1"/>
  <c r="V172" i="28"/>
  <c r="X172" i="28" s="1"/>
  <c r="V174" i="28"/>
  <c r="X174" i="28" s="1"/>
  <c r="V185" i="28"/>
  <c r="X185" i="28" s="1"/>
  <c r="V187" i="28"/>
  <c r="X187" i="28" s="1"/>
  <c r="V191" i="28"/>
  <c r="X191" i="28" s="1"/>
  <c r="V193" i="28"/>
  <c r="X193" i="28" s="1"/>
  <c r="V202" i="28"/>
  <c r="X202" i="28" s="1"/>
  <c r="V204" i="28"/>
  <c r="X204" i="28" s="1"/>
  <c r="V206" i="28"/>
  <c r="X206" i="28" s="1"/>
  <c r="V208" i="28"/>
  <c r="X208" i="28" s="1"/>
  <c r="V210" i="28"/>
  <c r="X210" i="28" s="1"/>
  <c r="V212" i="28"/>
  <c r="X212" i="28" s="1"/>
  <c r="V223" i="28"/>
  <c r="X223" i="28" s="1"/>
  <c r="V225" i="28"/>
  <c r="X225" i="28" s="1"/>
  <c r="V227" i="28"/>
  <c r="X227" i="28" s="1"/>
  <c r="V235" i="28"/>
  <c r="X235" i="28" s="1"/>
  <c r="V237" i="28"/>
  <c r="X237" i="28" s="1"/>
  <c r="V245" i="28"/>
  <c r="X245" i="28" s="1"/>
  <c r="V251" i="28"/>
  <c r="X251" i="28" s="1"/>
  <c r="V253" i="28"/>
  <c r="X253" i="28" s="1"/>
  <c r="W11" i="28"/>
  <c r="Y11" i="28" s="1"/>
  <c r="W75" i="28"/>
  <c r="Y75" i="28" s="1"/>
  <c r="W139" i="28"/>
  <c r="Y139" i="28" s="1"/>
  <c r="W203" i="28"/>
  <c r="Y203" i="28" s="1"/>
  <c r="W27" i="28"/>
  <c r="Y27" i="28" s="1"/>
  <c r="W59" i="28"/>
  <c r="Y59" i="28" s="1"/>
  <c r="W91" i="28"/>
  <c r="Y91" i="28" s="1"/>
  <c r="W123" i="28"/>
  <c r="Y123" i="28" s="1"/>
  <c r="W155" i="28"/>
  <c r="Y155" i="28" s="1"/>
  <c r="W187" i="28"/>
  <c r="Y187" i="28" s="1"/>
  <c r="W219" i="28"/>
  <c r="Y219" i="28" s="1"/>
  <c r="W251" i="28"/>
  <c r="Y251" i="28" s="1"/>
  <c r="W31" i="28"/>
  <c r="Y31" i="28" s="1"/>
  <c r="W63" i="28"/>
  <c r="Y63" i="28" s="1"/>
  <c r="W95" i="28"/>
  <c r="Y95" i="28" s="1"/>
  <c r="W127" i="28"/>
  <c r="Y127" i="28" s="1"/>
  <c r="W159" i="28"/>
  <c r="Y159" i="28" s="1"/>
  <c r="W191" i="28"/>
  <c r="Y191" i="28" s="1"/>
  <c r="W223" i="28"/>
  <c r="Y223" i="28" s="1"/>
  <c r="V63" i="28"/>
  <c r="X63" i="28" s="1"/>
  <c r="V65" i="28"/>
  <c r="X65" i="28" s="1"/>
  <c r="V67" i="28"/>
  <c r="X67" i="28" s="1"/>
  <c r="V71" i="28"/>
  <c r="X71" i="28" s="1"/>
  <c r="V77" i="28"/>
  <c r="X77" i="28" s="1"/>
  <c r="V78" i="28"/>
  <c r="X78" i="28" s="1"/>
  <c r="V80" i="28"/>
  <c r="X80" i="28" s="1"/>
  <c r="V83" i="28"/>
  <c r="X83" i="28" s="1"/>
  <c r="V86" i="28"/>
  <c r="X86" i="28" s="1"/>
  <c r="V88" i="28"/>
  <c r="X88" i="28" s="1"/>
  <c r="V93" i="28"/>
  <c r="X93" i="28" s="1"/>
  <c r="V95" i="28"/>
  <c r="X95" i="28" s="1"/>
  <c r="V98" i="28"/>
  <c r="X98" i="28" s="1"/>
  <c r="V102" i="28"/>
  <c r="X102" i="28" s="1"/>
  <c r="V105" i="28"/>
  <c r="X105" i="28" s="1"/>
  <c r="V108" i="28"/>
  <c r="X108" i="28" s="1"/>
  <c r="V111" i="28"/>
  <c r="X111" i="28" s="1"/>
  <c r="V118" i="28"/>
  <c r="X118" i="28" s="1"/>
  <c r="V121" i="28"/>
  <c r="X121" i="28" s="1"/>
  <c r="V123" i="28"/>
  <c r="X123" i="28" s="1"/>
  <c r="V130" i="28"/>
  <c r="X130" i="28" s="1"/>
  <c r="V132" i="28"/>
  <c r="X132" i="28" s="1"/>
  <c r="V135" i="28"/>
  <c r="X135" i="28" s="1"/>
  <c r="V138" i="28"/>
  <c r="X138" i="28" s="1"/>
  <c r="V140" i="28"/>
  <c r="X140" i="28" s="1"/>
  <c r="V145" i="28"/>
  <c r="X145" i="28" s="1"/>
  <c r="V147" i="28"/>
  <c r="X147" i="28" s="1"/>
  <c r="V154" i="28"/>
  <c r="X154" i="28" s="1"/>
  <c r="V156" i="28"/>
  <c r="X156" i="28" s="1"/>
  <c r="V159" i="28"/>
  <c r="X159" i="28" s="1"/>
  <c r="V166" i="28"/>
  <c r="X166" i="28" s="1"/>
  <c r="V168" i="28"/>
  <c r="X168" i="28" s="1"/>
  <c r="V169" i="28"/>
  <c r="X169" i="28" s="1"/>
  <c r="V171" i="28"/>
  <c r="X171" i="28" s="1"/>
  <c r="V175" i="28"/>
  <c r="X175" i="28" s="1"/>
  <c r="V179" i="28"/>
  <c r="X179" i="28" s="1"/>
  <c r="V183" i="28"/>
  <c r="X183" i="28" s="1"/>
  <c r="V192" i="28"/>
  <c r="X192" i="28" s="1"/>
  <c r="V198" i="28"/>
  <c r="X198" i="28" s="1"/>
  <c r="V200" i="28"/>
  <c r="X200" i="28" s="1"/>
  <c r="V213" i="28"/>
  <c r="X213" i="28" s="1"/>
  <c r="V217" i="28"/>
  <c r="X217" i="28" s="1"/>
  <c r="V219" i="28"/>
  <c r="X219" i="28" s="1"/>
  <c r="V234" i="28"/>
  <c r="X234" i="28" s="1"/>
  <c r="V236" i="28"/>
  <c r="X236" i="28" s="1"/>
  <c r="V239" i="28"/>
  <c r="X239" i="28" s="1"/>
  <c r="V243" i="28"/>
  <c r="X243" i="28" s="1"/>
  <c r="V250" i="28"/>
  <c r="X250" i="28" s="1"/>
  <c r="E15" i="44"/>
  <c r="H15" i="44" s="1"/>
  <c r="J15" i="44" s="1"/>
  <c r="E15" i="43"/>
  <c r="C20" i="47"/>
  <c r="D20" i="47" s="1"/>
  <c r="I18" i="45"/>
  <c r="E15" i="46"/>
  <c r="H15" i="46" s="1"/>
  <c r="J15" i="46" s="1"/>
  <c r="G8" i="44"/>
  <c r="G25" i="44" s="1"/>
  <c r="E8" i="55"/>
  <c r="E10" i="55" s="1"/>
  <c r="E26" i="55" s="1"/>
  <c r="E16" i="43"/>
  <c r="H16" i="43" s="1"/>
  <c r="J16" i="43" s="1"/>
  <c r="D20" i="44"/>
  <c r="W19" i="28"/>
  <c r="Y19" i="28" s="1"/>
  <c r="W35" i="28"/>
  <c r="Y35" i="28" s="1"/>
  <c r="W51" i="28"/>
  <c r="Y51" i="28" s="1"/>
  <c r="W67" i="28"/>
  <c r="Y67" i="28" s="1"/>
  <c r="W83" i="28"/>
  <c r="Y83" i="28" s="1"/>
  <c r="W99" i="28"/>
  <c r="Y99" i="28" s="1"/>
  <c r="W115" i="28"/>
  <c r="Y115" i="28" s="1"/>
  <c r="W131" i="28"/>
  <c r="Y131" i="28" s="1"/>
  <c r="W147" i="28"/>
  <c r="Y147" i="28" s="1"/>
  <c r="W163" i="28"/>
  <c r="Y163" i="28" s="1"/>
  <c r="W179" i="28"/>
  <c r="Y179" i="28" s="1"/>
  <c r="W195" i="28"/>
  <c r="Y195" i="28" s="1"/>
  <c r="W211" i="28"/>
  <c r="Y211" i="28" s="1"/>
  <c r="W227" i="28"/>
  <c r="Y227" i="28" s="1"/>
  <c r="W243" i="28"/>
  <c r="Y243" i="28" s="1"/>
  <c r="W23" i="28"/>
  <c r="Y23" i="28" s="1"/>
  <c r="W39" i="28"/>
  <c r="Y39" i="28" s="1"/>
  <c r="W55" i="28"/>
  <c r="Y55" i="28" s="1"/>
  <c r="W71" i="28"/>
  <c r="Y71" i="28" s="1"/>
  <c r="W87" i="28"/>
  <c r="Y87" i="28" s="1"/>
  <c r="W103" i="28"/>
  <c r="Y103" i="28" s="1"/>
  <c r="W119" i="28"/>
  <c r="Y119" i="28" s="1"/>
  <c r="W135" i="28"/>
  <c r="Y135" i="28" s="1"/>
  <c r="W151" i="28"/>
  <c r="Y151" i="28" s="1"/>
  <c r="W167" i="28"/>
  <c r="Y167" i="28" s="1"/>
  <c r="W183" i="28"/>
  <c r="Y183" i="28" s="1"/>
  <c r="W199" i="28"/>
  <c r="Y199" i="28" s="1"/>
  <c r="W215" i="28"/>
  <c r="Y215" i="28" s="1"/>
  <c r="W231" i="28"/>
  <c r="Y231" i="28" s="1"/>
  <c r="W247" i="28"/>
  <c r="Y247" i="28" s="1"/>
  <c r="K74" i="1"/>
  <c r="K49" i="1"/>
  <c r="K68" i="1"/>
  <c r="K64" i="1"/>
  <c r="K60" i="1"/>
  <c r="K57" i="1"/>
  <c r="K53" i="1"/>
  <c r="K46" i="1"/>
  <c r="K42" i="1"/>
  <c r="K37" i="1"/>
  <c r="K33" i="1"/>
  <c r="K29" i="1"/>
  <c r="K25" i="1"/>
  <c r="K21" i="1"/>
  <c r="K16" i="1"/>
  <c r="K12" i="1"/>
  <c r="K8" i="1"/>
  <c r="K67" i="1"/>
  <c r="K63" i="1"/>
  <c r="K59" i="1"/>
  <c r="K56" i="1"/>
  <c r="K45" i="1"/>
  <c r="K41" i="1"/>
  <c r="K40" i="1"/>
  <c r="K36" i="1"/>
  <c r="K32" i="1"/>
  <c r="K28" i="1"/>
  <c r="K24" i="1"/>
  <c r="K19" i="1"/>
  <c r="K15" i="1"/>
  <c r="K11" i="1"/>
  <c r="K7" i="1"/>
  <c r="K66" i="1"/>
  <c r="K62" i="1"/>
  <c r="K55" i="1"/>
  <c r="K52" i="1"/>
  <c r="K51" i="1"/>
  <c r="K48" i="1"/>
  <c r="K44" i="1"/>
  <c r="K39" i="1"/>
  <c r="K35" i="1"/>
  <c r="K31" i="1"/>
  <c r="K27" i="1"/>
  <c r="K23" i="1"/>
  <c r="K18" i="1"/>
  <c r="K14" i="1"/>
  <c r="K10" i="1"/>
  <c r="K6" i="1"/>
  <c r="K69" i="1"/>
  <c r="K65" i="1"/>
  <c r="K61" i="1"/>
  <c r="K54" i="1"/>
  <c r="K50" i="1"/>
  <c r="K47" i="1"/>
  <c r="K43" i="1"/>
  <c r="K38" i="1"/>
  <c r="K34" i="1"/>
  <c r="K30" i="1"/>
  <c r="K26" i="1"/>
  <c r="K22" i="1"/>
  <c r="K17" i="1"/>
  <c r="K13" i="1"/>
  <c r="K9" i="1"/>
  <c r="K5" i="1"/>
  <c r="H4" i="29"/>
  <c r="C31" i="50"/>
  <c r="C38" i="50" s="1"/>
  <c r="U181" i="28"/>
  <c r="U59" i="28"/>
  <c r="U87" i="28"/>
  <c r="U143" i="28"/>
  <c r="E5" i="3"/>
  <c r="D4" i="8" s="1"/>
  <c r="F5" i="3"/>
  <c r="D7" i="8" s="1"/>
  <c r="E7" i="8" s="1"/>
  <c r="G5" i="3"/>
  <c r="D5" i="8" s="1"/>
  <c r="C5" i="3"/>
  <c r="D3" i="8" s="1"/>
  <c r="B14" i="9"/>
  <c r="H7" i="47"/>
  <c r="B8" i="47"/>
  <c r="B30" i="47" s="1"/>
  <c r="E5" i="2"/>
  <c r="B5" i="3"/>
  <c r="D2" i="8" s="1"/>
  <c r="B8" i="55"/>
  <c r="B30" i="55" s="1"/>
  <c r="U178" i="28"/>
  <c r="U215" i="28"/>
  <c r="U242" i="28"/>
  <c r="U226" i="28"/>
  <c r="U218" i="28"/>
  <c r="U210" i="28"/>
  <c r="U202" i="28"/>
  <c r="U154" i="28"/>
  <c r="U122" i="28"/>
  <c r="U102" i="28"/>
  <c r="U90" i="28"/>
  <c r="U43" i="28"/>
  <c r="U56" i="28"/>
  <c r="U57" i="28"/>
  <c r="U89" i="28"/>
  <c r="U117" i="28"/>
  <c r="U149" i="28"/>
  <c r="U153" i="28"/>
  <c r="U186" i="28"/>
  <c r="U54" i="28"/>
  <c r="U75" i="28"/>
  <c r="U182" i="28"/>
  <c r="U240" i="28"/>
  <c r="U236" i="28"/>
  <c r="U232" i="28"/>
  <c r="U228" i="28"/>
  <c r="U212" i="28"/>
  <c r="K73" i="1"/>
  <c r="U28" i="28"/>
  <c r="U29" i="28"/>
  <c r="U73" i="28"/>
  <c r="U84" i="28"/>
  <c r="U85" i="28"/>
  <c r="U93" i="28"/>
  <c r="U99" i="28"/>
  <c r="U113" i="28"/>
  <c r="U125" i="28"/>
  <c r="U133" i="28"/>
  <c r="U137" i="28"/>
  <c r="U141" i="28"/>
  <c r="U165" i="28"/>
  <c r="U237" i="28"/>
  <c r="U224" i="28"/>
  <c r="U216" i="28"/>
  <c r="U208" i="28"/>
  <c r="U188" i="28"/>
  <c r="U168" i="28"/>
  <c r="U160" i="28"/>
  <c r="U152" i="28"/>
  <c r="U144" i="28"/>
  <c r="U65" i="28"/>
  <c r="U97" i="28"/>
  <c r="U107" i="28"/>
  <c r="U193" i="28"/>
  <c r="U209" i="28"/>
  <c r="U251" i="28"/>
  <c r="U243" i="28"/>
  <c r="U239" i="28"/>
  <c r="U235" i="28"/>
  <c r="U227" i="28"/>
  <c r="U223" i="28"/>
  <c r="U219" i="28"/>
  <c r="U211" i="28"/>
  <c r="U203" i="28"/>
  <c r="U199" i="28"/>
  <c r="U195" i="28"/>
  <c r="U229" i="28"/>
  <c r="U241" i="28"/>
  <c r="U245" i="28"/>
  <c r="U253" i="28"/>
  <c r="U249" i="28"/>
  <c r="U233" i="28"/>
  <c r="U225" i="28"/>
  <c r="U205" i="28"/>
  <c r="W12" i="28"/>
  <c r="Y12" i="28" s="1"/>
  <c r="W16" i="28"/>
  <c r="Y16" i="28" s="1"/>
  <c r="W20" i="28"/>
  <c r="Y20" i="28" s="1"/>
  <c r="W24" i="28"/>
  <c r="Y24" i="28" s="1"/>
  <c r="W28" i="28"/>
  <c r="Y28" i="28" s="1"/>
  <c r="W32" i="28"/>
  <c r="Y32" i="28" s="1"/>
  <c r="W36" i="28"/>
  <c r="Y36" i="28" s="1"/>
  <c r="W40" i="28"/>
  <c r="Y40" i="28" s="1"/>
  <c r="W44" i="28"/>
  <c r="Y44" i="28" s="1"/>
  <c r="W48" i="28"/>
  <c r="Y48" i="28" s="1"/>
  <c r="W52" i="28"/>
  <c r="Y52" i="28" s="1"/>
  <c r="W56" i="28"/>
  <c r="Y56" i="28" s="1"/>
  <c r="W60" i="28"/>
  <c r="Y60" i="28" s="1"/>
  <c r="W64" i="28"/>
  <c r="Y64" i="28" s="1"/>
  <c r="W68" i="28"/>
  <c r="Y68" i="28" s="1"/>
  <c r="W72" i="28"/>
  <c r="Y72" i="28" s="1"/>
  <c r="W76" i="28"/>
  <c r="Y76" i="28" s="1"/>
  <c r="W80" i="28"/>
  <c r="Y80" i="28" s="1"/>
  <c r="W84" i="28"/>
  <c r="Y84" i="28" s="1"/>
  <c r="W88" i="28"/>
  <c r="Y88" i="28" s="1"/>
  <c r="W92" i="28"/>
  <c r="Y92" i="28" s="1"/>
  <c r="W96" i="28"/>
  <c r="Y96" i="28" s="1"/>
  <c r="W100" i="28"/>
  <c r="Y100" i="28" s="1"/>
  <c r="W104" i="28"/>
  <c r="Y104" i="28" s="1"/>
  <c r="W108" i="28"/>
  <c r="Y108" i="28" s="1"/>
  <c r="W112" i="28"/>
  <c r="Y112" i="28" s="1"/>
  <c r="W116" i="28"/>
  <c r="Y116" i="28" s="1"/>
  <c r="W120" i="28"/>
  <c r="Y120" i="28" s="1"/>
  <c r="W124" i="28"/>
  <c r="Y124" i="28" s="1"/>
  <c r="W128" i="28"/>
  <c r="Y128" i="28" s="1"/>
  <c r="W132" i="28"/>
  <c r="Y132" i="28" s="1"/>
  <c r="W136" i="28"/>
  <c r="Y136" i="28" s="1"/>
  <c r="W140" i="28"/>
  <c r="Y140" i="28" s="1"/>
  <c r="W144" i="28"/>
  <c r="Y144" i="28" s="1"/>
  <c r="W148" i="28"/>
  <c r="Y148" i="28" s="1"/>
  <c r="W152" i="28"/>
  <c r="Y152" i="28" s="1"/>
  <c r="W156" i="28"/>
  <c r="Y156" i="28" s="1"/>
  <c r="W160" i="28"/>
  <c r="Y160" i="28" s="1"/>
  <c r="W164" i="28"/>
  <c r="Y164" i="28" s="1"/>
  <c r="W168" i="28"/>
  <c r="Y168" i="28" s="1"/>
  <c r="W172" i="28"/>
  <c r="Y172" i="28" s="1"/>
  <c r="W176" i="28"/>
  <c r="Y176" i="28" s="1"/>
  <c r="W180" i="28"/>
  <c r="Y180" i="28" s="1"/>
  <c r="W184" i="28"/>
  <c r="Y184" i="28" s="1"/>
  <c r="W188" i="28"/>
  <c r="Y188" i="28" s="1"/>
  <c r="W192" i="28"/>
  <c r="Y192" i="28" s="1"/>
  <c r="W196" i="28"/>
  <c r="Y196" i="28" s="1"/>
  <c r="W200" i="28"/>
  <c r="Y200" i="28" s="1"/>
  <c r="W204" i="28"/>
  <c r="Y204" i="28" s="1"/>
  <c r="W208" i="28"/>
  <c r="Y208" i="28" s="1"/>
  <c r="W212" i="28"/>
  <c r="Y212" i="28" s="1"/>
  <c r="W216" i="28"/>
  <c r="Y216" i="28" s="1"/>
  <c r="W220" i="28"/>
  <c r="Y220" i="28" s="1"/>
  <c r="W224" i="28"/>
  <c r="Y224" i="28" s="1"/>
  <c r="W228" i="28"/>
  <c r="Y228" i="28" s="1"/>
  <c r="W232" i="28"/>
  <c r="Y232" i="28" s="1"/>
  <c r="W236" i="28"/>
  <c r="Y236" i="28" s="1"/>
  <c r="W240" i="28"/>
  <c r="Y240" i="28" s="1"/>
  <c r="W244" i="28"/>
  <c r="Y244" i="28" s="1"/>
  <c r="W248" i="28"/>
  <c r="Y248" i="28" s="1"/>
  <c r="W252" i="28"/>
  <c r="Y252" i="28" s="1"/>
  <c r="U140" i="28"/>
  <c r="U136" i="28"/>
  <c r="U132" i="28"/>
  <c r="U128" i="28"/>
  <c r="U124" i="28"/>
  <c r="U120" i="28"/>
  <c r="U116" i="28"/>
  <c r="U112" i="28"/>
  <c r="U108" i="28"/>
  <c r="U104" i="28"/>
  <c r="U100" i="28"/>
  <c r="U96" i="28"/>
  <c r="U92" i="28"/>
  <c r="U88" i="28"/>
  <c r="U80" i="28"/>
  <c r="U76" i="28"/>
  <c r="U72" i="28"/>
  <c r="U68" i="28"/>
  <c r="U52" i="28"/>
  <c r="U44" i="28"/>
  <c r="U36" i="28"/>
  <c r="U32" i="28"/>
  <c r="U20" i="28"/>
  <c r="U12" i="28"/>
  <c r="W13" i="28"/>
  <c r="Y13" i="28" s="1"/>
  <c r="W17" i="28"/>
  <c r="Y17" i="28" s="1"/>
  <c r="W21" i="28"/>
  <c r="Y21" i="28" s="1"/>
  <c r="W25" i="28"/>
  <c r="Y25" i="28" s="1"/>
  <c r="W29" i="28"/>
  <c r="Y29" i="28" s="1"/>
  <c r="W33" i="28"/>
  <c r="Y33" i="28" s="1"/>
  <c r="W37" i="28"/>
  <c r="Y37" i="28" s="1"/>
  <c r="W41" i="28"/>
  <c r="Y41" i="28" s="1"/>
  <c r="W45" i="28"/>
  <c r="Y45" i="28" s="1"/>
  <c r="W49" i="28"/>
  <c r="Y49" i="28" s="1"/>
  <c r="W53" i="28"/>
  <c r="Y53" i="28" s="1"/>
  <c r="W57" i="28"/>
  <c r="Y57" i="28" s="1"/>
  <c r="W61" i="28"/>
  <c r="Y61" i="28" s="1"/>
  <c r="W65" i="28"/>
  <c r="Y65" i="28" s="1"/>
  <c r="W69" i="28"/>
  <c r="Y69" i="28" s="1"/>
  <c r="W73" i="28"/>
  <c r="Y73" i="28" s="1"/>
  <c r="W77" i="28"/>
  <c r="Y77" i="28" s="1"/>
  <c r="W81" i="28"/>
  <c r="Y81" i="28" s="1"/>
  <c r="W85" i="28"/>
  <c r="Y85" i="28" s="1"/>
  <c r="W89" i="28"/>
  <c r="Y89" i="28" s="1"/>
  <c r="W93" i="28"/>
  <c r="Y93" i="28" s="1"/>
  <c r="W97" i="28"/>
  <c r="Y97" i="28" s="1"/>
  <c r="W101" i="28"/>
  <c r="Y101" i="28" s="1"/>
  <c r="W105" i="28"/>
  <c r="Y105" i="28" s="1"/>
  <c r="W109" i="28"/>
  <c r="Y109" i="28" s="1"/>
  <c r="W113" i="28"/>
  <c r="Y113" i="28" s="1"/>
  <c r="W117" i="28"/>
  <c r="Y117" i="28" s="1"/>
  <c r="W121" i="28"/>
  <c r="Y121" i="28" s="1"/>
  <c r="W125" i="28"/>
  <c r="Y125" i="28" s="1"/>
  <c r="W129" i="28"/>
  <c r="Y129" i="28" s="1"/>
  <c r="W133" i="28"/>
  <c r="Y133" i="28" s="1"/>
  <c r="W137" i="28"/>
  <c r="Y137" i="28" s="1"/>
  <c r="W141" i="28"/>
  <c r="Y141" i="28" s="1"/>
  <c r="W145" i="28"/>
  <c r="Y145" i="28" s="1"/>
  <c r="W149" i="28"/>
  <c r="Y149" i="28" s="1"/>
  <c r="W153" i="28"/>
  <c r="Y153" i="28" s="1"/>
  <c r="W157" i="28"/>
  <c r="Y157" i="28" s="1"/>
  <c r="W161" i="28"/>
  <c r="Y161" i="28" s="1"/>
  <c r="W165" i="28"/>
  <c r="Y165" i="28" s="1"/>
  <c r="W169" i="28"/>
  <c r="Y169" i="28" s="1"/>
  <c r="W173" i="28"/>
  <c r="Y173" i="28" s="1"/>
  <c r="W177" i="28"/>
  <c r="Y177" i="28" s="1"/>
  <c r="W181" i="28"/>
  <c r="Y181" i="28" s="1"/>
  <c r="W185" i="28"/>
  <c r="Y185" i="28" s="1"/>
  <c r="W189" i="28"/>
  <c r="Y189" i="28" s="1"/>
  <c r="W193" i="28"/>
  <c r="Y193" i="28" s="1"/>
  <c r="W197" i="28"/>
  <c r="Y197" i="28" s="1"/>
  <c r="W201" i="28"/>
  <c r="Y201" i="28" s="1"/>
  <c r="W205" i="28"/>
  <c r="Y205" i="28" s="1"/>
  <c r="W209" i="28"/>
  <c r="Y209" i="28" s="1"/>
  <c r="W213" i="28"/>
  <c r="Y213" i="28" s="1"/>
  <c r="W217" i="28"/>
  <c r="Y217" i="28" s="1"/>
  <c r="W221" i="28"/>
  <c r="Y221" i="28" s="1"/>
  <c r="W225" i="28"/>
  <c r="Y225" i="28" s="1"/>
  <c r="W229" i="28"/>
  <c r="Y229" i="28" s="1"/>
  <c r="W233" i="28"/>
  <c r="Y233" i="28" s="1"/>
  <c r="W237" i="28"/>
  <c r="Y237" i="28" s="1"/>
  <c r="W241" i="28"/>
  <c r="Y241" i="28" s="1"/>
  <c r="W245" i="28"/>
  <c r="Y245" i="28" s="1"/>
  <c r="W249" i="28"/>
  <c r="Y249" i="28" s="1"/>
  <c r="W253" i="28"/>
  <c r="Y253" i="28" s="1"/>
  <c r="U187" i="28"/>
  <c r="U179" i="28"/>
  <c r="U171" i="28"/>
  <c r="U163" i="28"/>
  <c r="U159" i="28"/>
  <c r="U155" i="28"/>
  <c r="U151" i="28"/>
  <c r="U147" i="28"/>
  <c r="U139" i="28"/>
  <c r="U135" i="28"/>
  <c r="U131" i="28"/>
  <c r="U111" i="28"/>
  <c r="U103" i="28"/>
  <c r="U95" i="28"/>
  <c r="U83" i="28"/>
  <c r="U79" i="28"/>
  <c r="U39" i="28"/>
  <c r="W10" i="28"/>
  <c r="Y10" i="28" s="1"/>
  <c r="W14" i="28"/>
  <c r="Y14" i="28" s="1"/>
  <c r="W18" i="28"/>
  <c r="Y18" i="28" s="1"/>
  <c r="W22" i="28"/>
  <c r="Y22" i="28" s="1"/>
  <c r="W26" i="28"/>
  <c r="Y26" i="28" s="1"/>
  <c r="W30" i="28"/>
  <c r="Y30" i="28" s="1"/>
  <c r="W34" i="28"/>
  <c r="Y34" i="28" s="1"/>
  <c r="W38" i="28"/>
  <c r="Y38" i="28" s="1"/>
  <c r="W42" i="28"/>
  <c r="Y42" i="28" s="1"/>
  <c r="W46" i="28"/>
  <c r="Y46" i="28" s="1"/>
  <c r="W50" i="28"/>
  <c r="Y50" i="28" s="1"/>
  <c r="W54" i="28"/>
  <c r="Y54" i="28" s="1"/>
  <c r="W58" i="28"/>
  <c r="Y58" i="28" s="1"/>
  <c r="W62" i="28"/>
  <c r="Y62" i="28" s="1"/>
  <c r="W66" i="28"/>
  <c r="Y66" i="28" s="1"/>
  <c r="W70" i="28"/>
  <c r="Y70" i="28" s="1"/>
  <c r="W74" i="28"/>
  <c r="Y74" i="28" s="1"/>
  <c r="W78" i="28"/>
  <c r="Y78" i="28" s="1"/>
  <c r="W82" i="28"/>
  <c r="Y82" i="28" s="1"/>
  <c r="W86" i="28"/>
  <c r="Y86" i="28" s="1"/>
  <c r="W90" i="28"/>
  <c r="Y90" i="28" s="1"/>
  <c r="W94" i="28"/>
  <c r="Y94" i="28" s="1"/>
  <c r="W98" i="28"/>
  <c r="Y98" i="28" s="1"/>
  <c r="W102" i="28"/>
  <c r="Y102" i="28" s="1"/>
  <c r="W106" i="28"/>
  <c r="Y106" i="28" s="1"/>
  <c r="W110" i="28"/>
  <c r="Y110" i="28" s="1"/>
  <c r="W114" i="28"/>
  <c r="Y114" i="28" s="1"/>
  <c r="W118" i="28"/>
  <c r="Y118" i="28" s="1"/>
  <c r="W122" i="28"/>
  <c r="Y122" i="28" s="1"/>
  <c r="W126" i="28"/>
  <c r="Y126" i="28" s="1"/>
  <c r="W130" i="28"/>
  <c r="Y130" i="28" s="1"/>
  <c r="W134" i="28"/>
  <c r="Y134" i="28" s="1"/>
  <c r="W138" i="28"/>
  <c r="Y138" i="28" s="1"/>
  <c r="W142" i="28"/>
  <c r="Y142" i="28" s="1"/>
  <c r="W146" i="28"/>
  <c r="Y146" i="28" s="1"/>
  <c r="W150" i="28"/>
  <c r="Y150" i="28" s="1"/>
  <c r="W154" i="28"/>
  <c r="Y154" i="28" s="1"/>
  <c r="W158" i="28"/>
  <c r="Y158" i="28" s="1"/>
  <c r="W162" i="28"/>
  <c r="Y162" i="28" s="1"/>
  <c r="W166" i="28"/>
  <c r="Y166" i="28" s="1"/>
  <c r="W170" i="28"/>
  <c r="Y170" i="28" s="1"/>
  <c r="W174" i="28"/>
  <c r="Y174" i="28" s="1"/>
  <c r="W178" i="28"/>
  <c r="Y178" i="28" s="1"/>
  <c r="W182" i="28"/>
  <c r="Y182" i="28" s="1"/>
  <c r="W186" i="28"/>
  <c r="Y186" i="28" s="1"/>
  <c r="W190" i="28"/>
  <c r="Y190" i="28" s="1"/>
  <c r="W194" i="28"/>
  <c r="Y194" i="28" s="1"/>
  <c r="W198" i="28"/>
  <c r="Y198" i="28" s="1"/>
  <c r="W202" i="28"/>
  <c r="Y202" i="28" s="1"/>
  <c r="W206" i="28"/>
  <c r="Y206" i="28" s="1"/>
  <c r="W210" i="28"/>
  <c r="Y210" i="28" s="1"/>
  <c r="W214" i="28"/>
  <c r="Y214" i="28" s="1"/>
  <c r="W218" i="28"/>
  <c r="Y218" i="28" s="1"/>
  <c r="W222" i="28"/>
  <c r="Y222" i="28" s="1"/>
  <c r="W226" i="28"/>
  <c r="Y226" i="28" s="1"/>
  <c r="W230" i="28"/>
  <c r="Y230" i="28" s="1"/>
  <c r="W234" i="28"/>
  <c r="Y234" i="28" s="1"/>
  <c r="W238" i="28"/>
  <c r="Y238" i="28" s="1"/>
  <c r="W242" i="28"/>
  <c r="Y242" i="28" s="1"/>
  <c r="W246" i="28"/>
  <c r="Y246" i="28" s="1"/>
  <c r="V173" i="28"/>
  <c r="X173" i="28" s="1"/>
  <c r="V177" i="28"/>
  <c r="X177" i="28" s="1"/>
  <c r="V181" i="28"/>
  <c r="X181" i="28" s="1"/>
  <c r="V190" i="28"/>
  <c r="X190" i="28" s="1"/>
  <c r="V194" i="28"/>
  <c r="X194" i="28" s="1"/>
  <c r="V195" i="28"/>
  <c r="X195" i="28" s="1"/>
  <c r="V196" i="28"/>
  <c r="X196" i="28" s="1"/>
  <c r="V209" i="28"/>
  <c r="X209" i="28" s="1"/>
  <c r="V214" i="28"/>
  <c r="X214" i="28" s="1"/>
  <c r="V221" i="28"/>
  <c r="X221" i="28" s="1"/>
  <c r="V230" i="28"/>
  <c r="X230" i="28" s="1"/>
  <c r="V231" i="28"/>
  <c r="X231" i="28" s="1"/>
  <c r="V232" i="28"/>
  <c r="X232" i="28" s="1"/>
  <c r="V233" i="28"/>
  <c r="X233" i="28" s="1"/>
  <c r="V241" i="28"/>
  <c r="X241" i="28" s="1"/>
  <c r="V247" i="28"/>
  <c r="X247" i="28" s="1"/>
  <c r="V248" i="28"/>
  <c r="X248" i="28" s="1"/>
  <c r="V249" i="28"/>
  <c r="X249" i="28" s="1"/>
  <c r="U33" i="28"/>
  <c r="U118" i="28"/>
  <c r="U177" i="28"/>
  <c r="Y250" i="28"/>
  <c r="U48" i="28"/>
  <c r="U183" i="28"/>
  <c r="U55" i="28"/>
  <c r="U11" i="28"/>
  <c r="U60" i="28"/>
  <c r="U176" i="28"/>
  <c r="U13" i="28"/>
  <c r="U14" i="28"/>
  <c r="U19" i="28"/>
  <c r="U23" i="28"/>
  <c r="U35" i="28"/>
  <c r="U51" i="28"/>
  <c r="U63" i="28"/>
  <c r="U119" i="28"/>
  <c r="U207" i="28"/>
  <c r="U167" i="28"/>
  <c r="U127" i="28"/>
  <c r="U47" i="28"/>
  <c r="U27" i="28"/>
  <c r="U220" i="28"/>
  <c r="U196" i="28"/>
  <c r="U172" i="28"/>
  <c r="U17" i="28"/>
  <c r="U18" i="28"/>
  <c r="U45" i="28"/>
  <c r="U49" i="28"/>
  <c r="U61" i="28"/>
  <c r="U148" i="28"/>
  <c r="U30" i="28"/>
  <c r="U41" i="28"/>
  <c r="U129" i="28"/>
  <c r="H7" i="21"/>
  <c r="T12" i="2"/>
  <c r="U12" i="2" s="1"/>
  <c r="O13" i="2"/>
  <c r="O14" i="2" s="1"/>
  <c r="C22" i="2" s="1"/>
  <c r="M73" i="1"/>
  <c r="M70" i="1"/>
  <c r="M74" i="1"/>
  <c r="G8" i="49"/>
  <c r="H10" i="21"/>
  <c r="H20" i="21"/>
  <c r="H11" i="21"/>
  <c r="H21" i="21"/>
  <c r="F8" i="44"/>
  <c r="F10" i="55"/>
  <c r="F26" i="55" s="1"/>
  <c r="H15" i="21"/>
  <c r="H25" i="21"/>
  <c r="D8" i="47"/>
  <c r="E8" i="43"/>
  <c r="E10" i="43" s="1"/>
  <c r="E8" i="47"/>
  <c r="E30" i="47" s="1"/>
  <c r="C26" i="21"/>
  <c r="C8" i="43"/>
  <c r="C30" i="43" s="1"/>
  <c r="H26" i="21"/>
  <c r="E8" i="57"/>
  <c r="F8" i="43"/>
  <c r="F10" i="43" s="1"/>
  <c r="F26" i="43" s="1"/>
  <c r="B8" i="44"/>
  <c r="B30" i="44" s="1"/>
  <c r="F8" i="47"/>
  <c r="F10" i="47" s="1"/>
  <c r="F26" i="47" s="1"/>
  <c r="C8" i="47"/>
  <c r="C30" i="47" s="1"/>
  <c r="H29" i="21"/>
  <c r="F8" i="57"/>
  <c r="C8" i="44"/>
  <c r="C30" i="44" s="1"/>
  <c r="B10" i="43"/>
  <c r="I19" i="44"/>
  <c r="H16" i="45"/>
  <c r="J16" i="45" s="1"/>
  <c r="I19" i="45"/>
  <c r="K17" i="3"/>
  <c r="F8" i="46"/>
  <c r="F30" i="46" s="1"/>
  <c r="C8" i="46"/>
  <c r="C30" i="46" s="1"/>
  <c r="B8" i="46"/>
  <c r="G8" i="54"/>
  <c r="F8" i="54"/>
  <c r="F30" i="54" s="1"/>
  <c r="E8" i="54"/>
  <c r="E30" i="54" s="1"/>
  <c r="D8" i="54"/>
  <c r="C8" i="54"/>
  <c r="C30" i="54" s="1"/>
  <c r="B8" i="54"/>
  <c r="B30" i="43"/>
  <c r="F30" i="49"/>
  <c r="F10" i="49"/>
  <c r="G8" i="50"/>
  <c r="C8" i="50"/>
  <c r="C30" i="50" s="1"/>
  <c r="F8" i="50"/>
  <c r="F30" i="50" s="1"/>
  <c r="E8" i="50"/>
  <c r="E30" i="50" s="1"/>
  <c r="D8" i="50"/>
  <c r="D10" i="50" s="1"/>
  <c r="D26" i="50" s="1"/>
  <c r="B8" i="50"/>
  <c r="H16" i="21"/>
  <c r="E16" i="46"/>
  <c r="B8" i="49"/>
  <c r="B10" i="49" s="1"/>
  <c r="H13" i="21"/>
  <c r="H17" i="21"/>
  <c r="G22" i="21"/>
  <c r="G30" i="21" s="1"/>
  <c r="D8" i="29"/>
  <c r="D30" i="29" s="1"/>
  <c r="D8" i="56"/>
  <c r="D30" i="56" s="1"/>
  <c r="G8" i="43"/>
  <c r="G25" i="43" s="1"/>
  <c r="C8" i="45"/>
  <c r="C30" i="45" s="1"/>
  <c r="D20" i="45"/>
  <c r="G8" i="47"/>
  <c r="G25" i="47" s="1"/>
  <c r="C8" i="49"/>
  <c r="C30" i="49" s="1"/>
  <c r="B8" i="29"/>
  <c r="H12" i="21"/>
  <c r="C8" i="29"/>
  <c r="H8" i="21"/>
  <c r="H18" i="21"/>
  <c r="E8" i="29"/>
  <c r="E30" i="29" s="1"/>
  <c r="E8" i="56"/>
  <c r="E30" i="56" s="1"/>
  <c r="B8" i="57"/>
  <c r="D8" i="45"/>
  <c r="D30" i="45" s="1"/>
  <c r="D8" i="49"/>
  <c r="D30" i="49" s="1"/>
  <c r="B8" i="56"/>
  <c r="H14" i="21"/>
  <c r="H27" i="21"/>
  <c r="F8" i="29"/>
  <c r="F30" i="29" s="1"/>
  <c r="F8" i="56"/>
  <c r="F30" i="56" s="1"/>
  <c r="C8" i="57"/>
  <c r="E8" i="49"/>
  <c r="C8" i="56"/>
  <c r="C30" i="56" s="1"/>
  <c r="B8" i="45"/>
  <c r="B10" i="45" s="1"/>
  <c r="H9" i="21"/>
  <c r="H19" i="21"/>
  <c r="H24" i="21"/>
  <c r="B34" i="43"/>
  <c r="B41" i="43" s="1"/>
  <c r="B14" i="43" s="1"/>
  <c r="F31" i="54"/>
  <c r="F38" i="54" s="1"/>
  <c r="G33" i="55"/>
  <c r="C31" i="46"/>
  <c r="C38" i="46" s="1"/>
  <c r="D34" i="47"/>
  <c r="D41" i="47" s="1"/>
  <c r="B32" i="54"/>
  <c r="B39" i="54" s="1"/>
  <c r="C34" i="55"/>
  <c r="C41" i="55" s="1"/>
  <c r="G32" i="55"/>
  <c r="G39" i="55" s="1"/>
  <c r="D34" i="43"/>
  <c r="C32" i="46"/>
  <c r="C39" i="46" s="1"/>
  <c r="G31" i="50"/>
  <c r="G38" i="50" s="1"/>
  <c r="E31" i="44"/>
  <c r="G31" i="44"/>
  <c r="G38" i="44" s="1"/>
  <c r="F34" i="47"/>
  <c r="F41" i="47" s="1"/>
  <c r="E34" i="45"/>
  <c r="G34" i="45"/>
  <c r="G32" i="44"/>
  <c r="G39" i="44" s="1"/>
  <c r="E32" i="46"/>
  <c r="E39" i="46" s="1"/>
  <c r="B33" i="54"/>
  <c r="C33" i="44"/>
  <c r="C40" i="44" s="1"/>
  <c r="E33" i="46"/>
  <c r="E40" i="46" s="1"/>
  <c r="D33" i="54"/>
  <c r="D40" i="54" s="1"/>
  <c r="D31" i="43"/>
  <c r="D38" i="43" s="1"/>
  <c r="C34" i="44"/>
  <c r="C41" i="44" s="1"/>
  <c r="G31" i="45"/>
  <c r="G33" i="46"/>
  <c r="F31" i="47"/>
  <c r="F38" i="47" s="1"/>
  <c r="D34" i="54"/>
  <c r="D41" i="54" s="1"/>
  <c r="C31" i="55"/>
  <c r="C38" i="55" s="1"/>
  <c r="F31" i="43"/>
  <c r="F38" i="43" s="1"/>
  <c r="G34" i="46"/>
  <c r="G41" i="46" s="1"/>
  <c r="B32" i="47"/>
  <c r="B39" i="47" s="1"/>
  <c r="F34" i="54"/>
  <c r="F41" i="54" s="1"/>
  <c r="E31" i="55"/>
  <c r="E38" i="55" s="1"/>
  <c r="F33" i="55"/>
  <c r="F40" i="55" s="1"/>
  <c r="F13" i="55" s="1"/>
  <c r="C32" i="45"/>
  <c r="C39" i="45" s="1"/>
  <c r="C33" i="45"/>
  <c r="C40" i="45" s="1"/>
  <c r="B33" i="47"/>
  <c r="E32" i="55"/>
  <c r="E34" i="44"/>
  <c r="F32" i="43"/>
  <c r="F39" i="43" s="1"/>
  <c r="B33" i="43"/>
  <c r="B40" i="43" s="1"/>
  <c r="B13" i="43" s="1"/>
  <c r="E33" i="45"/>
  <c r="D33" i="47"/>
  <c r="D40" i="47" s="1"/>
  <c r="E31" i="43"/>
  <c r="G32" i="43"/>
  <c r="C34" i="43"/>
  <c r="F31" i="44"/>
  <c r="F38" i="44" s="1"/>
  <c r="B33" i="44"/>
  <c r="D34" i="44"/>
  <c r="B32" i="45"/>
  <c r="B39" i="45" s="1"/>
  <c r="D33" i="45"/>
  <c r="D40" i="45" s="1"/>
  <c r="F34" i="45"/>
  <c r="F41" i="45" s="1"/>
  <c r="B31" i="46"/>
  <c r="B38" i="46" s="1"/>
  <c r="D32" i="46"/>
  <c r="F33" i="46"/>
  <c r="F40" i="46" s="1"/>
  <c r="G31" i="47"/>
  <c r="G38" i="47" s="1"/>
  <c r="C33" i="47"/>
  <c r="C40" i="47" s="1"/>
  <c r="E34" i="47"/>
  <c r="E41" i="47" s="1"/>
  <c r="F34" i="49"/>
  <c r="F34" i="50"/>
  <c r="F41" i="50" s="1"/>
  <c r="G31" i="54"/>
  <c r="G38" i="54" s="1"/>
  <c r="C33" i="54"/>
  <c r="C40" i="54" s="1"/>
  <c r="E34" i="54"/>
  <c r="E41" i="54" s="1"/>
  <c r="D31" i="55"/>
  <c r="D38" i="55" s="1"/>
  <c r="F32" i="55"/>
  <c r="F39" i="55" s="1"/>
  <c r="F12" i="55" s="1"/>
  <c r="B34" i="55"/>
  <c r="B41" i="55" s="1"/>
  <c r="G31" i="43"/>
  <c r="C33" i="43"/>
  <c r="E34" i="43"/>
  <c r="B32" i="44"/>
  <c r="B39" i="44" s="1"/>
  <c r="D33" i="44"/>
  <c r="F34" i="44"/>
  <c r="F41" i="44" s="1"/>
  <c r="B31" i="45"/>
  <c r="B38" i="45" s="1"/>
  <c r="D32" i="45"/>
  <c r="D39" i="45" s="1"/>
  <c r="F33" i="45"/>
  <c r="F40" i="45" s="1"/>
  <c r="D31" i="46"/>
  <c r="F32" i="46"/>
  <c r="F39" i="46" s="1"/>
  <c r="B34" i="46"/>
  <c r="B41" i="46" s="1"/>
  <c r="C32" i="47"/>
  <c r="C39" i="47" s="1"/>
  <c r="E33" i="47"/>
  <c r="E40" i="47" s="1"/>
  <c r="G34" i="47"/>
  <c r="G41" i="47" s="1"/>
  <c r="D32" i="49"/>
  <c r="F33" i="49"/>
  <c r="D32" i="50"/>
  <c r="D39" i="50" s="1"/>
  <c r="F33" i="50"/>
  <c r="F40" i="50" s="1"/>
  <c r="C32" i="54"/>
  <c r="C39" i="54" s="1"/>
  <c r="E33" i="54"/>
  <c r="E40" i="54" s="1"/>
  <c r="G34" i="54"/>
  <c r="G41" i="54" s="1"/>
  <c r="F31" i="55"/>
  <c r="F38" i="55" s="1"/>
  <c r="F11" i="55" s="1"/>
  <c r="B33" i="55"/>
  <c r="D34" i="55"/>
  <c r="B32" i="43"/>
  <c r="D33" i="43"/>
  <c r="F34" i="43"/>
  <c r="F41" i="43" s="1"/>
  <c r="C32" i="44"/>
  <c r="C39" i="44" s="1"/>
  <c r="E33" i="44"/>
  <c r="G34" i="44"/>
  <c r="G41" i="44" s="1"/>
  <c r="C31" i="45"/>
  <c r="C38" i="45" s="1"/>
  <c r="E32" i="45"/>
  <c r="E39" i="45" s="1"/>
  <c r="G33" i="45"/>
  <c r="G40" i="45" s="1"/>
  <c r="E31" i="46"/>
  <c r="E38" i="46" s="1"/>
  <c r="G32" i="46"/>
  <c r="G39" i="46" s="1"/>
  <c r="C34" i="46"/>
  <c r="C41" i="46" s="1"/>
  <c r="B31" i="47"/>
  <c r="B38" i="47" s="1"/>
  <c r="D32" i="47"/>
  <c r="D39" i="47" s="1"/>
  <c r="F33" i="47"/>
  <c r="F40" i="47" s="1"/>
  <c r="B31" i="54"/>
  <c r="B38" i="54" s="1"/>
  <c r="D32" i="54"/>
  <c r="D39" i="54" s="1"/>
  <c r="F33" i="54"/>
  <c r="F40" i="54" s="1"/>
  <c r="G31" i="55"/>
  <c r="C33" i="55"/>
  <c r="C40" i="55" s="1"/>
  <c r="E34" i="55"/>
  <c r="C32" i="43"/>
  <c r="C39" i="43" s="1"/>
  <c r="E33" i="43"/>
  <c r="G34" i="43"/>
  <c r="G41" i="43" s="1"/>
  <c r="B31" i="44"/>
  <c r="B38" i="44" s="1"/>
  <c r="D32" i="44"/>
  <c r="F33" i="44"/>
  <c r="F40" i="44" s="1"/>
  <c r="D31" i="45"/>
  <c r="D38" i="45" s="1"/>
  <c r="F32" i="45"/>
  <c r="F39" i="45" s="1"/>
  <c r="B34" i="45"/>
  <c r="B41" i="45" s="1"/>
  <c r="F31" i="46"/>
  <c r="F38" i="46" s="1"/>
  <c r="B33" i="46"/>
  <c r="D34" i="46"/>
  <c r="D41" i="46" s="1"/>
  <c r="C31" i="47"/>
  <c r="C38" i="47" s="1"/>
  <c r="E32" i="47"/>
  <c r="E39" i="47" s="1"/>
  <c r="G33" i="47"/>
  <c r="G40" i="47" s="1"/>
  <c r="F32" i="49"/>
  <c r="D31" i="50"/>
  <c r="D38" i="50" s="1"/>
  <c r="F32" i="50"/>
  <c r="F39" i="50" s="1"/>
  <c r="C31" i="54"/>
  <c r="C38" i="54" s="1"/>
  <c r="E32" i="54"/>
  <c r="E39" i="54" s="1"/>
  <c r="G33" i="54"/>
  <c r="G40" i="54" s="1"/>
  <c r="B32" i="55"/>
  <c r="B39" i="55" s="1"/>
  <c r="D33" i="55"/>
  <c r="F34" i="55"/>
  <c r="F41" i="55" s="1"/>
  <c r="F14" i="55" s="1"/>
  <c r="B31" i="43"/>
  <c r="D32" i="43"/>
  <c r="F33" i="43"/>
  <c r="C31" i="44"/>
  <c r="C38" i="44" s="1"/>
  <c r="E32" i="44"/>
  <c r="G33" i="44"/>
  <c r="G40" i="44" s="1"/>
  <c r="E31" i="45"/>
  <c r="G32" i="45"/>
  <c r="C34" i="45"/>
  <c r="C41" i="45" s="1"/>
  <c r="G31" i="46"/>
  <c r="C33" i="46"/>
  <c r="C40" i="46" s="1"/>
  <c r="E34" i="46"/>
  <c r="E41" i="46" s="1"/>
  <c r="D31" i="47"/>
  <c r="D38" i="47" s="1"/>
  <c r="F32" i="47"/>
  <c r="F39" i="47" s="1"/>
  <c r="B34" i="47"/>
  <c r="B41" i="47" s="1"/>
  <c r="G32" i="50"/>
  <c r="G39" i="50" s="1"/>
  <c r="G12" i="50" s="1"/>
  <c r="D31" i="54"/>
  <c r="D38" i="54" s="1"/>
  <c r="F32" i="54"/>
  <c r="F39" i="54" s="1"/>
  <c r="B34" i="54"/>
  <c r="B41" i="54" s="1"/>
  <c r="C32" i="55"/>
  <c r="C39" i="55" s="1"/>
  <c r="E33" i="55"/>
  <c r="E40" i="55" s="1"/>
  <c r="G34" i="55"/>
  <c r="C31" i="43"/>
  <c r="C38" i="43" s="1"/>
  <c r="E32" i="43"/>
  <c r="G33" i="43"/>
  <c r="D31" i="44"/>
  <c r="F32" i="44"/>
  <c r="F39" i="44" s="1"/>
  <c r="B34" i="44"/>
  <c r="B41" i="44" s="1"/>
  <c r="F31" i="45"/>
  <c r="F38" i="45" s="1"/>
  <c r="B33" i="45"/>
  <c r="D34" i="45"/>
  <c r="D41" i="45" s="1"/>
  <c r="B32" i="46"/>
  <c r="B39" i="46" s="1"/>
  <c r="D33" i="46"/>
  <c r="F34" i="46"/>
  <c r="F41" i="46" s="1"/>
  <c r="E31" i="47"/>
  <c r="E38" i="47" s="1"/>
  <c r="G32" i="47"/>
  <c r="G39" i="47" s="1"/>
  <c r="C34" i="47"/>
  <c r="C41" i="47" s="1"/>
  <c r="F31" i="49"/>
  <c r="F31" i="50"/>
  <c r="F38" i="50" s="1"/>
  <c r="E31" i="54"/>
  <c r="E38" i="54" s="1"/>
  <c r="G32" i="54"/>
  <c r="G39" i="54" s="1"/>
  <c r="C34" i="54"/>
  <c r="C41" i="54" s="1"/>
  <c r="B31" i="55"/>
  <c r="B38" i="55" s="1"/>
  <c r="D32" i="55"/>
  <c r="D39" i="55" s="1"/>
  <c r="H3" i="29" l="1"/>
  <c r="R3" i="21"/>
  <c r="G16" i="49"/>
  <c r="G15" i="49"/>
  <c r="G11" i="50"/>
  <c r="G34" i="50"/>
  <c r="G41" i="50" s="1"/>
  <c r="G14" i="50" s="1"/>
  <c r="AH128" i="1"/>
  <c r="G33" i="50"/>
  <c r="G40" i="50" s="1"/>
  <c r="G13" i="50" s="1"/>
  <c r="W73" i="1"/>
  <c r="AF73" i="1" s="1"/>
  <c r="P73" i="1"/>
  <c r="Z73" i="1" s="1"/>
  <c r="O18" i="1"/>
  <c r="Y18" i="1" s="1"/>
  <c r="AH18" i="1" s="1"/>
  <c r="U18" i="1"/>
  <c r="AD18" i="1" s="1"/>
  <c r="U42" i="1"/>
  <c r="AD42" i="1" s="1"/>
  <c r="O42" i="1"/>
  <c r="Y42" i="1" s="1"/>
  <c r="AH42" i="1" s="1"/>
  <c r="U7" i="1"/>
  <c r="AD7" i="1" s="1"/>
  <c r="O7" i="1"/>
  <c r="Y7" i="1" s="1"/>
  <c r="AH7" i="1" s="1"/>
  <c r="U5" i="1"/>
  <c r="AD5" i="1" s="1"/>
  <c r="O5" i="1"/>
  <c r="Y5" i="1" s="1"/>
  <c r="AH5" i="1" s="1"/>
  <c r="U19" i="1"/>
  <c r="AD19" i="1" s="1"/>
  <c r="O19" i="1"/>
  <c r="Y19" i="1" s="1"/>
  <c r="AH19" i="1" s="1"/>
  <c r="U60" i="1"/>
  <c r="AD60" i="1" s="1"/>
  <c r="O60" i="1"/>
  <c r="Y60" i="1" s="1"/>
  <c r="AH60" i="1" s="1"/>
  <c r="U9" i="1"/>
  <c r="AD9" i="1" s="1"/>
  <c r="O9" i="1"/>
  <c r="Y9" i="1" s="1"/>
  <c r="AH9" i="1" s="1"/>
  <c r="U24" i="1"/>
  <c r="AD24" i="1" s="1"/>
  <c r="O24" i="1"/>
  <c r="Y24" i="1" s="1"/>
  <c r="AH24" i="1" s="1"/>
  <c r="U12" i="1"/>
  <c r="AD12" i="1" s="1"/>
  <c r="O12" i="1"/>
  <c r="Y12" i="1" s="1"/>
  <c r="AH12" i="1" s="1"/>
  <c r="O13" i="1"/>
  <c r="Y13" i="1" s="1"/>
  <c r="AH13" i="1" s="1"/>
  <c r="U13" i="1"/>
  <c r="AD13" i="1" s="1"/>
  <c r="O38" i="1"/>
  <c r="Y38" i="1" s="1"/>
  <c r="AH38" i="1" s="1"/>
  <c r="U38" i="1"/>
  <c r="AD38" i="1" s="1"/>
  <c r="U66" i="1"/>
  <c r="AD66" i="1" s="1"/>
  <c r="O66" i="1"/>
  <c r="Y66" i="1" s="1"/>
  <c r="AH66" i="1" s="1"/>
  <c r="U23" i="1"/>
  <c r="AD23" i="1" s="1"/>
  <c r="O23" i="1"/>
  <c r="Y23" i="1" s="1"/>
  <c r="AH23" i="1" s="1"/>
  <c r="U54" i="1"/>
  <c r="AD54" i="1" s="1"/>
  <c r="O54" i="1"/>
  <c r="Y54" i="1" s="1"/>
  <c r="AH54" i="1" s="1"/>
  <c r="O8" i="1"/>
  <c r="Y8" i="1" s="1"/>
  <c r="AH8" i="1" s="1"/>
  <c r="U8" i="1"/>
  <c r="AD8" i="1" s="1"/>
  <c r="O39" i="1"/>
  <c r="Y39" i="1" s="1"/>
  <c r="AH39" i="1" s="1"/>
  <c r="U39" i="1"/>
  <c r="AD39" i="1" s="1"/>
  <c r="O64" i="1"/>
  <c r="Y64" i="1" s="1"/>
  <c r="AH64" i="1" s="1"/>
  <c r="U64" i="1"/>
  <c r="AD64" i="1" s="1"/>
  <c r="U17" i="1"/>
  <c r="AD17" i="1" s="1"/>
  <c r="O17" i="1"/>
  <c r="Y17" i="1" s="1"/>
  <c r="AH17" i="1" s="1"/>
  <c r="U65" i="1"/>
  <c r="AD65" i="1" s="1"/>
  <c r="O65" i="1"/>
  <c r="Y65" i="1" s="1"/>
  <c r="AH65" i="1" s="1"/>
  <c r="U32" i="1"/>
  <c r="AD32" i="1" s="1"/>
  <c r="O32" i="1"/>
  <c r="Y32" i="1" s="1"/>
  <c r="AH32" i="1" s="1"/>
  <c r="U21" i="1"/>
  <c r="AD21" i="1" s="1"/>
  <c r="O21" i="1"/>
  <c r="Y21" i="1" s="1"/>
  <c r="AH21" i="1" s="1"/>
  <c r="O49" i="1"/>
  <c r="Y49" i="1" s="1"/>
  <c r="AH49" i="1" s="1"/>
  <c r="U49" i="1"/>
  <c r="AD49" i="1" s="1"/>
  <c r="W71" i="1"/>
  <c r="AF71" i="1" s="1"/>
  <c r="P71" i="1"/>
  <c r="Z71" i="1" s="1"/>
  <c r="O22" i="1"/>
  <c r="Y22" i="1" s="1"/>
  <c r="AH22" i="1" s="1"/>
  <c r="U22" i="1"/>
  <c r="AD22" i="1" s="1"/>
  <c r="U69" i="1"/>
  <c r="AD69" i="1" s="1"/>
  <c r="O69" i="1"/>
  <c r="Y69" i="1" s="1"/>
  <c r="AH69" i="1" s="1"/>
  <c r="U51" i="1"/>
  <c r="AD51" i="1" s="1"/>
  <c r="O51" i="1"/>
  <c r="Y51" i="1" s="1"/>
  <c r="AH51" i="1" s="1"/>
  <c r="U36" i="1"/>
  <c r="AD36" i="1" s="1"/>
  <c r="O36" i="1"/>
  <c r="Y36" i="1" s="1"/>
  <c r="AH36" i="1" s="1"/>
  <c r="U74" i="1"/>
  <c r="AD74" i="1" s="1"/>
  <c r="O74" i="1"/>
  <c r="Y74" i="1" s="1"/>
  <c r="AH74" i="1" s="1"/>
  <c r="U26" i="1"/>
  <c r="AD26" i="1" s="1"/>
  <c r="O26" i="1"/>
  <c r="Y26" i="1" s="1"/>
  <c r="AH26" i="1" s="1"/>
  <c r="O6" i="1"/>
  <c r="Y6" i="1" s="1"/>
  <c r="AH6" i="1" s="1"/>
  <c r="U6" i="1"/>
  <c r="AD6" i="1" s="1"/>
  <c r="U52" i="1"/>
  <c r="AD52" i="1" s="1"/>
  <c r="O52" i="1"/>
  <c r="Y52" i="1" s="1"/>
  <c r="AH52" i="1" s="1"/>
  <c r="U40" i="1"/>
  <c r="AD40" i="1" s="1"/>
  <c r="O40" i="1"/>
  <c r="Y40" i="1" s="1"/>
  <c r="AH40" i="1" s="1"/>
  <c r="U29" i="1"/>
  <c r="AD29" i="1" s="1"/>
  <c r="O29" i="1"/>
  <c r="Y29" i="1" s="1"/>
  <c r="AH29" i="1" s="1"/>
  <c r="P74" i="1"/>
  <c r="Z74" i="1" s="1"/>
  <c r="W74" i="1"/>
  <c r="AF74" i="1" s="1"/>
  <c r="U30" i="1"/>
  <c r="AD30" i="1" s="1"/>
  <c r="O30" i="1"/>
  <c r="Y30" i="1" s="1"/>
  <c r="AH30" i="1" s="1"/>
  <c r="O10" i="1"/>
  <c r="Y10" i="1" s="1"/>
  <c r="AH10" i="1" s="1"/>
  <c r="U10" i="1"/>
  <c r="AD10" i="1" s="1"/>
  <c r="U55" i="1"/>
  <c r="AD55" i="1" s="1"/>
  <c r="O55" i="1"/>
  <c r="Y55" i="1" s="1"/>
  <c r="AH55" i="1" s="1"/>
  <c r="U41" i="1"/>
  <c r="AD41" i="1" s="1"/>
  <c r="O41" i="1"/>
  <c r="Y41" i="1" s="1"/>
  <c r="AH41" i="1" s="1"/>
  <c r="O33" i="1"/>
  <c r="Y33" i="1" s="1"/>
  <c r="AH33" i="1" s="1"/>
  <c r="U33" i="1"/>
  <c r="AD33" i="1" s="1"/>
  <c r="U59" i="1"/>
  <c r="AD59" i="1" s="1"/>
  <c r="O59" i="1"/>
  <c r="Y59" i="1" s="1"/>
  <c r="AH59" i="1" s="1"/>
  <c r="U35" i="1"/>
  <c r="AD35" i="1" s="1"/>
  <c r="O35" i="1"/>
  <c r="Y35" i="1" s="1"/>
  <c r="AH35" i="1" s="1"/>
  <c r="U58" i="1"/>
  <c r="O58" i="1"/>
  <c r="O61" i="1"/>
  <c r="Y61" i="1" s="1"/>
  <c r="AH61" i="1" s="1"/>
  <c r="U61" i="1"/>
  <c r="AD61" i="1" s="1"/>
  <c r="U44" i="1"/>
  <c r="AD44" i="1" s="1"/>
  <c r="O44" i="1"/>
  <c r="Y44" i="1" s="1"/>
  <c r="AH44" i="1" s="1"/>
  <c r="U28" i="1"/>
  <c r="AD28" i="1" s="1"/>
  <c r="O28" i="1"/>
  <c r="Y28" i="1" s="1"/>
  <c r="AH28" i="1" s="1"/>
  <c r="U16" i="1"/>
  <c r="AD16" i="1" s="1"/>
  <c r="O16" i="1"/>
  <c r="Y16" i="1" s="1"/>
  <c r="AH16" i="1" s="1"/>
  <c r="U68" i="1"/>
  <c r="AD68" i="1" s="1"/>
  <c r="O68" i="1"/>
  <c r="Y68" i="1" s="1"/>
  <c r="AH68" i="1" s="1"/>
  <c r="U48" i="1"/>
  <c r="AD48" i="1" s="1"/>
  <c r="O48" i="1"/>
  <c r="Y48" i="1" s="1"/>
  <c r="AH48" i="1" s="1"/>
  <c r="O25" i="1"/>
  <c r="Y25" i="1" s="1"/>
  <c r="AH25" i="1" s="1"/>
  <c r="U25" i="1"/>
  <c r="AD25" i="1" s="1"/>
  <c r="P70" i="1"/>
  <c r="Z70" i="1" s="1"/>
  <c r="W70" i="1"/>
  <c r="AF70" i="1" s="1"/>
  <c r="U34" i="1"/>
  <c r="AD34" i="1" s="1"/>
  <c r="O34" i="1"/>
  <c r="Y34" i="1" s="1"/>
  <c r="AH34" i="1" s="1"/>
  <c r="U14" i="1"/>
  <c r="AD14" i="1" s="1"/>
  <c r="O14" i="1"/>
  <c r="Y14" i="1" s="1"/>
  <c r="AH14" i="1" s="1"/>
  <c r="U62" i="1"/>
  <c r="AD62" i="1" s="1"/>
  <c r="O62" i="1"/>
  <c r="Y62" i="1" s="1"/>
  <c r="AH62" i="1" s="1"/>
  <c r="U45" i="1"/>
  <c r="AD45" i="1" s="1"/>
  <c r="O45" i="1"/>
  <c r="Y45" i="1" s="1"/>
  <c r="AH45" i="1" s="1"/>
  <c r="O37" i="1"/>
  <c r="Y37" i="1" s="1"/>
  <c r="AH37" i="1" s="1"/>
  <c r="U37" i="1"/>
  <c r="AD37" i="1" s="1"/>
  <c r="P72" i="1"/>
  <c r="Z72" i="1" s="1"/>
  <c r="W72" i="1"/>
  <c r="AF72" i="1" s="1"/>
  <c r="U56" i="1"/>
  <c r="AD56" i="1" s="1"/>
  <c r="O56" i="1"/>
  <c r="Y56" i="1" s="1"/>
  <c r="AH56" i="1" s="1"/>
  <c r="U43" i="1"/>
  <c r="AD43" i="1" s="1"/>
  <c r="O43" i="1"/>
  <c r="Y43" i="1" s="1"/>
  <c r="AH43" i="1" s="1"/>
  <c r="O46" i="1"/>
  <c r="Y46" i="1" s="1"/>
  <c r="AH46" i="1" s="1"/>
  <c r="U46" i="1"/>
  <c r="AD46" i="1" s="1"/>
  <c r="N71" i="1"/>
  <c r="X71" i="1" s="1"/>
  <c r="AG71" i="1" s="1"/>
  <c r="U73" i="1"/>
  <c r="AD73" i="1" s="1"/>
  <c r="O73" i="1"/>
  <c r="Y73" i="1" s="1"/>
  <c r="AH73" i="1" s="1"/>
  <c r="U47" i="1"/>
  <c r="AD47" i="1" s="1"/>
  <c r="O47" i="1"/>
  <c r="Y47" i="1" s="1"/>
  <c r="AH47" i="1" s="1"/>
  <c r="U27" i="1"/>
  <c r="AD27" i="1" s="1"/>
  <c r="O27" i="1"/>
  <c r="Y27" i="1" s="1"/>
  <c r="AH27" i="1" s="1"/>
  <c r="U11" i="1"/>
  <c r="AD11" i="1" s="1"/>
  <c r="O11" i="1"/>
  <c r="Y11" i="1" s="1"/>
  <c r="AH11" i="1" s="1"/>
  <c r="O63" i="1"/>
  <c r="Y63" i="1" s="1"/>
  <c r="AH63" i="1" s="1"/>
  <c r="U63" i="1"/>
  <c r="AD63" i="1" s="1"/>
  <c r="O53" i="1"/>
  <c r="Y53" i="1" s="1"/>
  <c r="AH53" i="1" s="1"/>
  <c r="U53" i="1"/>
  <c r="AD53" i="1" s="1"/>
  <c r="O50" i="1"/>
  <c r="Y50" i="1" s="1"/>
  <c r="AH50" i="1" s="1"/>
  <c r="U50" i="1"/>
  <c r="AD50" i="1" s="1"/>
  <c r="U31" i="1"/>
  <c r="AD31" i="1" s="1"/>
  <c r="O31" i="1"/>
  <c r="Y31" i="1" s="1"/>
  <c r="AH31" i="1" s="1"/>
  <c r="U15" i="1"/>
  <c r="AD15" i="1" s="1"/>
  <c r="O15" i="1"/>
  <c r="Y15" i="1" s="1"/>
  <c r="AH15" i="1" s="1"/>
  <c r="O67" i="1"/>
  <c r="Y67" i="1" s="1"/>
  <c r="AH67" i="1" s="1"/>
  <c r="U67" i="1"/>
  <c r="AD67" i="1" s="1"/>
  <c r="O57" i="1"/>
  <c r="Y57" i="1" s="1"/>
  <c r="AH57" i="1" s="1"/>
  <c r="U57" i="1"/>
  <c r="AD57" i="1" s="1"/>
  <c r="G30" i="56"/>
  <c r="Q145" i="1"/>
  <c r="AA145" i="1" s="1"/>
  <c r="D34" i="50"/>
  <c r="D41" i="50" s="1"/>
  <c r="D14" i="50" s="1"/>
  <c r="F12" i="45"/>
  <c r="Q147" i="1"/>
  <c r="AA147" i="1" s="1"/>
  <c r="Q106" i="1"/>
  <c r="AA106" i="1" s="1"/>
  <c r="Q116" i="1"/>
  <c r="AA116" i="1" s="1"/>
  <c r="Q111" i="1"/>
  <c r="AA111" i="1" s="1"/>
  <c r="Q75" i="1"/>
  <c r="AA75" i="1" s="1"/>
  <c r="Q94" i="1"/>
  <c r="AA94" i="1" s="1"/>
  <c r="Q78" i="1"/>
  <c r="AA78" i="1" s="1"/>
  <c r="F26" i="49"/>
  <c r="Q88" i="1"/>
  <c r="AA88" i="1" s="1"/>
  <c r="Q81" i="1"/>
  <c r="AA81" i="1" s="1"/>
  <c r="Q86" i="1"/>
  <c r="AA86" i="1" s="1"/>
  <c r="Q141" i="1"/>
  <c r="AA141" i="1" s="1"/>
  <c r="Q123" i="1"/>
  <c r="AA123" i="1" s="1"/>
  <c r="Q103" i="1"/>
  <c r="AA103" i="1" s="1"/>
  <c r="Q142" i="1"/>
  <c r="AA142" i="1" s="1"/>
  <c r="Q83" i="1"/>
  <c r="AA83" i="1" s="1"/>
  <c r="Q80" i="1"/>
  <c r="AA80" i="1" s="1"/>
  <c r="F40" i="49"/>
  <c r="F13" i="49" s="1"/>
  <c r="F33" i="29"/>
  <c r="F40" i="29" s="1"/>
  <c r="Q114" i="1"/>
  <c r="AA114" i="1" s="1"/>
  <c r="Q108" i="1"/>
  <c r="AA108" i="1" s="1"/>
  <c r="Q144" i="1"/>
  <c r="AA144" i="1" s="1"/>
  <c r="Q104" i="1"/>
  <c r="AA104" i="1" s="1"/>
  <c r="Q79" i="1"/>
  <c r="AA79" i="1" s="1"/>
  <c r="Q82" i="1"/>
  <c r="AA82" i="1" s="1"/>
  <c r="F39" i="49"/>
  <c r="F12" i="49" s="1"/>
  <c r="F32" i="29"/>
  <c r="F39" i="29" s="1"/>
  <c r="D39" i="49"/>
  <c r="D12" i="49" s="1"/>
  <c r="D32" i="29"/>
  <c r="D39" i="29" s="1"/>
  <c r="F41" i="49"/>
  <c r="F14" i="49" s="1"/>
  <c r="F34" i="29"/>
  <c r="F41" i="29" s="1"/>
  <c r="Q127" i="1"/>
  <c r="AA127" i="1" s="1"/>
  <c r="Q93" i="1"/>
  <c r="AA93" i="1" s="1"/>
  <c r="Q113" i="1"/>
  <c r="AA113" i="1" s="1"/>
  <c r="Q138" i="1"/>
  <c r="AA138" i="1" s="1"/>
  <c r="Q77" i="1"/>
  <c r="AA77" i="1" s="1"/>
  <c r="Q84" i="1"/>
  <c r="AA84" i="1" s="1"/>
  <c r="Q117" i="1"/>
  <c r="AA117" i="1" s="1"/>
  <c r="Q110" i="1"/>
  <c r="AA110" i="1" s="1"/>
  <c r="Q102" i="1"/>
  <c r="AA102" i="1" s="1"/>
  <c r="Q76" i="1"/>
  <c r="AA76" i="1" s="1"/>
  <c r="Q91" i="1"/>
  <c r="AA91" i="1" s="1"/>
  <c r="F10" i="45"/>
  <c r="F26" i="45" s="1"/>
  <c r="Q146" i="1"/>
  <c r="AA146" i="1" s="1"/>
  <c r="Q118" i="1"/>
  <c r="AA118" i="1" s="1"/>
  <c r="Q137" i="1"/>
  <c r="AA137" i="1" s="1"/>
  <c r="Q125" i="1"/>
  <c r="AA125" i="1" s="1"/>
  <c r="Q100" i="1"/>
  <c r="AA100" i="1" s="1"/>
  <c r="Q120" i="1"/>
  <c r="AA120" i="1" s="1"/>
  <c r="Q99" i="1"/>
  <c r="AA99" i="1" s="1"/>
  <c r="Q105" i="1"/>
  <c r="AA105" i="1" s="1"/>
  <c r="Q140" i="1"/>
  <c r="AA140" i="1" s="1"/>
  <c r="Q136" i="1"/>
  <c r="AA136" i="1" s="1"/>
  <c r="Q112" i="1"/>
  <c r="AA112" i="1" s="1"/>
  <c r="Q124" i="1"/>
  <c r="AA124" i="1" s="1"/>
  <c r="Q87" i="1"/>
  <c r="AA87" i="1" s="1"/>
  <c r="Q143" i="1"/>
  <c r="AA143" i="1" s="1"/>
  <c r="Q107" i="1"/>
  <c r="AA107" i="1" s="1"/>
  <c r="Q134" i="1"/>
  <c r="AA134" i="1" s="1"/>
  <c r="Q126" i="1"/>
  <c r="AA126" i="1" s="1"/>
  <c r="Q122" i="1"/>
  <c r="AA122" i="1" s="1"/>
  <c r="Q92" i="1"/>
  <c r="AA92" i="1" s="1"/>
  <c r="Q97" i="1"/>
  <c r="AA97" i="1" s="1"/>
  <c r="Q98" i="1"/>
  <c r="AA98" i="1" s="1"/>
  <c r="Q128" i="1"/>
  <c r="AA128" i="1" s="1"/>
  <c r="Q130" i="1"/>
  <c r="AA130" i="1" s="1"/>
  <c r="Q109" i="1"/>
  <c r="AA109" i="1" s="1"/>
  <c r="Q85" i="1"/>
  <c r="AA85" i="1" s="1"/>
  <c r="F11" i="45"/>
  <c r="Q133" i="1"/>
  <c r="AA133" i="1" s="1"/>
  <c r="Q121" i="1"/>
  <c r="AA121" i="1" s="1"/>
  <c r="Q132" i="1"/>
  <c r="AA132" i="1" s="1"/>
  <c r="Q135" i="1"/>
  <c r="AA135" i="1" s="1"/>
  <c r="Q129" i="1"/>
  <c r="AA129" i="1" s="1"/>
  <c r="Q96" i="1"/>
  <c r="AA96" i="1" s="1"/>
  <c r="Q89" i="1"/>
  <c r="AA89" i="1" s="1"/>
  <c r="Q115" i="1"/>
  <c r="AA115" i="1" s="1"/>
  <c r="F38" i="49"/>
  <c r="F11" i="49" s="1"/>
  <c r="F31" i="29"/>
  <c r="F38" i="29" s="1"/>
  <c r="F13" i="45"/>
  <c r="F14" i="45"/>
  <c r="Q131" i="1"/>
  <c r="AA131" i="1" s="1"/>
  <c r="Q139" i="1"/>
  <c r="AA139" i="1" s="1"/>
  <c r="Q95" i="1"/>
  <c r="AA95" i="1" s="1"/>
  <c r="Q101" i="1"/>
  <c r="AA101" i="1" s="1"/>
  <c r="Q119" i="1"/>
  <c r="AA119" i="1" s="1"/>
  <c r="Q90" i="1"/>
  <c r="AA90" i="1" s="1"/>
  <c r="C30" i="29"/>
  <c r="I18" i="44"/>
  <c r="D40" i="55"/>
  <c r="D13" i="55" s="1"/>
  <c r="E40" i="45"/>
  <c r="E13" i="45" s="1"/>
  <c r="D40" i="46"/>
  <c r="D34" i="49"/>
  <c r="D41" i="55"/>
  <c r="D14" i="55" s="1"/>
  <c r="G38" i="46"/>
  <c r="G11" i="46" s="1"/>
  <c r="H7" i="57"/>
  <c r="H7" i="45"/>
  <c r="D11" i="54"/>
  <c r="D41" i="44"/>
  <c r="D14" i="44" s="1"/>
  <c r="G41" i="45"/>
  <c r="G39" i="45"/>
  <c r="G12" i="45" s="1"/>
  <c r="G40" i="46"/>
  <c r="H7" i="55"/>
  <c r="D38" i="44"/>
  <c r="D11" i="44" s="1"/>
  <c r="G38" i="45"/>
  <c r="G11" i="45" s="1"/>
  <c r="H7" i="44"/>
  <c r="G30" i="29"/>
  <c r="G41" i="55"/>
  <c r="G40" i="55"/>
  <c r="G38" i="55"/>
  <c r="G11" i="55" s="1"/>
  <c r="E8" i="44"/>
  <c r="E30" i="44" s="1"/>
  <c r="E38" i="45"/>
  <c r="E11" i="45" s="1"/>
  <c r="E40" i="43"/>
  <c r="E13" i="43" s="1"/>
  <c r="E41" i="44"/>
  <c r="E41" i="45"/>
  <c r="E14" i="45" s="1"/>
  <c r="E39" i="44"/>
  <c r="E41" i="55"/>
  <c r="E14" i="55" s="1"/>
  <c r="E40" i="44"/>
  <c r="E39" i="55"/>
  <c r="E12" i="55" s="1"/>
  <c r="E38" i="44"/>
  <c r="H7" i="46"/>
  <c r="D30" i="44"/>
  <c r="D10" i="44"/>
  <c r="D26" i="44" s="1"/>
  <c r="D38" i="46"/>
  <c r="D41" i="43"/>
  <c r="D8" i="43"/>
  <c r="D30" i="43" s="1"/>
  <c r="G5" i="2"/>
  <c r="O5" i="2" s="1"/>
  <c r="D8" i="46"/>
  <c r="D10" i="46" s="1"/>
  <c r="D26" i="46" s="1"/>
  <c r="D39" i="44"/>
  <c r="D12" i="44" s="1"/>
  <c r="D40" i="44"/>
  <c r="D13" i="44" s="1"/>
  <c r="D5" i="3"/>
  <c r="D6" i="8" s="1"/>
  <c r="D8" i="57"/>
  <c r="H8" i="57" s="1"/>
  <c r="D39" i="46"/>
  <c r="Z244" i="28"/>
  <c r="AA244" i="28" s="1"/>
  <c r="Z226" i="28"/>
  <c r="AA226" i="28" s="1"/>
  <c r="Z252" i="28"/>
  <c r="AA252" i="28" s="1"/>
  <c r="Z203" i="28"/>
  <c r="AA203" i="28" s="1"/>
  <c r="Z61" i="28"/>
  <c r="AA61" i="28" s="1"/>
  <c r="Z51" i="28"/>
  <c r="AA51" i="28" s="1"/>
  <c r="D13" i="47"/>
  <c r="F12" i="44"/>
  <c r="Z15" i="28"/>
  <c r="AA15" i="28" s="1"/>
  <c r="Z162" i="28"/>
  <c r="AA162" i="28" s="1"/>
  <c r="D11" i="47"/>
  <c r="D12" i="50"/>
  <c r="Z222" i="28"/>
  <c r="AA222" i="28" s="1"/>
  <c r="Z170" i="28"/>
  <c r="AA170" i="28" s="1"/>
  <c r="F13" i="54"/>
  <c r="C10" i="55"/>
  <c r="C26" i="55" s="1"/>
  <c r="B40" i="45"/>
  <c r="B13" i="45" s="1"/>
  <c r="Z35" i="28"/>
  <c r="AA35" i="28" s="1"/>
  <c r="E14" i="54"/>
  <c r="Z188" i="28"/>
  <c r="AA188" i="28" s="1"/>
  <c r="Z10" i="28"/>
  <c r="AA10" i="28" s="1"/>
  <c r="E12" i="47"/>
  <c r="Z21" i="28"/>
  <c r="AA21" i="28" s="1"/>
  <c r="Z120" i="28"/>
  <c r="AA120" i="28" s="1"/>
  <c r="Z24" i="28"/>
  <c r="AA24" i="28" s="1"/>
  <c r="Z48" i="28"/>
  <c r="AA48" i="28" s="1"/>
  <c r="Z180" i="28"/>
  <c r="AA180" i="28" s="1"/>
  <c r="Z29" i="28"/>
  <c r="AA29" i="28" s="1"/>
  <c r="E13" i="47"/>
  <c r="Z164" i="28"/>
  <c r="AA164" i="28" s="1"/>
  <c r="Z116" i="28"/>
  <c r="AA116" i="28" s="1"/>
  <c r="D13" i="54"/>
  <c r="D14" i="47"/>
  <c r="Z224" i="28"/>
  <c r="AA224" i="28" s="1"/>
  <c r="Z142" i="28"/>
  <c r="AA142" i="28" s="1"/>
  <c r="Z220" i="28"/>
  <c r="AA220" i="28" s="1"/>
  <c r="Z186" i="28"/>
  <c r="AA186" i="28" s="1"/>
  <c r="Z182" i="28"/>
  <c r="AA182" i="28" s="1"/>
  <c r="Z134" i="28"/>
  <c r="AA134" i="28" s="1"/>
  <c r="Z82" i="28"/>
  <c r="AA82" i="28" s="1"/>
  <c r="Z64" i="28"/>
  <c r="AA64" i="28" s="1"/>
  <c r="Z16" i="28"/>
  <c r="AA16" i="28" s="1"/>
  <c r="D12" i="54"/>
  <c r="Z26" i="28"/>
  <c r="AA26" i="28" s="1"/>
  <c r="C14" i="55"/>
  <c r="Z19" i="28"/>
  <c r="AA19" i="28" s="1"/>
  <c r="Z74" i="28"/>
  <c r="AA74" i="28" s="1"/>
  <c r="Z106" i="28"/>
  <c r="AA106" i="28" s="1"/>
  <c r="Z178" i="28"/>
  <c r="AA178" i="28" s="1"/>
  <c r="Z211" i="28"/>
  <c r="AA211" i="28" s="1"/>
  <c r="Z52" i="28"/>
  <c r="AA52" i="28" s="1"/>
  <c r="Z158" i="28"/>
  <c r="AA158" i="28" s="1"/>
  <c r="C13" i="55"/>
  <c r="Z40" i="28"/>
  <c r="AA40" i="28" s="1"/>
  <c r="Z31" i="28"/>
  <c r="AA31" i="28" s="1"/>
  <c r="C12" i="55"/>
  <c r="Z43" i="28"/>
  <c r="AA43" i="28" s="1"/>
  <c r="C13" i="47"/>
  <c r="C12" i="47"/>
  <c r="Z69" i="28"/>
  <c r="AA69" i="28" s="1"/>
  <c r="Z199" i="28"/>
  <c r="AA199" i="28" s="1"/>
  <c r="Z104" i="28"/>
  <c r="AA104" i="28" s="1"/>
  <c r="E11" i="47"/>
  <c r="C11" i="47"/>
  <c r="F30" i="47"/>
  <c r="G30" i="44"/>
  <c r="Z114" i="28"/>
  <c r="AA114" i="28" s="1"/>
  <c r="Z18" i="28"/>
  <c r="AA18" i="28" s="1"/>
  <c r="Z189" i="28"/>
  <c r="AA189" i="28" s="1"/>
  <c r="Z205" i="28"/>
  <c r="AA205" i="28" s="1"/>
  <c r="C14" i="47"/>
  <c r="G30" i="49"/>
  <c r="Z184" i="28"/>
  <c r="AA184" i="28" s="1"/>
  <c r="Z163" i="28"/>
  <c r="AA163" i="28" s="1"/>
  <c r="D12" i="47"/>
  <c r="F11" i="44"/>
  <c r="C11" i="55"/>
  <c r="E30" i="43"/>
  <c r="Z246" i="28"/>
  <c r="AA246" i="28" s="1"/>
  <c r="Z225" i="28"/>
  <c r="AA225" i="28" s="1"/>
  <c r="Z87" i="28"/>
  <c r="AA87" i="28" s="1"/>
  <c r="Z59" i="28"/>
  <c r="AA59" i="28" s="1"/>
  <c r="G12" i="46"/>
  <c r="Z60" i="28"/>
  <c r="AA60" i="28" s="1"/>
  <c r="Z245" i="28"/>
  <c r="AA245" i="28" s="1"/>
  <c r="G12" i="44"/>
  <c r="G10" i="44"/>
  <c r="G26" i="44" s="1"/>
  <c r="E12" i="54"/>
  <c r="E12" i="45"/>
  <c r="E13" i="54"/>
  <c r="B10" i="44"/>
  <c r="B26" i="44" s="1"/>
  <c r="Z39" i="28"/>
  <c r="AA39" i="28" s="1"/>
  <c r="E11" i="54"/>
  <c r="E10" i="54"/>
  <c r="E26" i="54" s="1"/>
  <c r="Z133" i="28"/>
  <c r="AA133" i="28" s="1"/>
  <c r="G11" i="44"/>
  <c r="G30" i="45"/>
  <c r="Z33" i="28"/>
  <c r="AA33" i="28" s="1"/>
  <c r="Z46" i="28"/>
  <c r="AA46" i="28" s="1"/>
  <c r="Z119" i="28"/>
  <c r="AA119" i="28" s="1"/>
  <c r="D12" i="45"/>
  <c r="D11" i="45"/>
  <c r="E13" i="46"/>
  <c r="G10" i="45"/>
  <c r="G26" i="45" s="1"/>
  <c r="Z156" i="28"/>
  <c r="AA156" i="28" s="1"/>
  <c r="Z77" i="28"/>
  <c r="AA77" i="28" s="1"/>
  <c r="G12" i="47"/>
  <c r="F13" i="44"/>
  <c r="F14" i="43"/>
  <c r="F14" i="44"/>
  <c r="G11" i="47"/>
  <c r="F12" i="43"/>
  <c r="F11" i="43"/>
  <c r="F11" i="54"/>
  <c r="F30" i="43"/>
  <c r="G10" i="49"/>
  <c r="Z216" i="28"/>
  <c r="AA216" i="28" s="1"/>
  <c r="Z71" i="28"/>
  <c r="AA71" i="28" s="1"/>
  <c r="Z207" i="28"/>
  <c r="AA207" i="28" s="1"/>
  <c r="Z179" i="28"/>
  <c r="AA179" i="28" s="1"/>
  <c r="Z200" i="28"/>
  <c r="AA200" i="28" s="1"/>
  <c r="Z129" i="28"/>
  <c r="AA129" i="28" s="1"/>
  <c r="Z212" i="28"/>
  <c r="AA212" i="28" s="1"/>
  <c r="Z67" i="28"/>
  <c r="AA67" i="28" s="1"/>
  <c r="Z191" i="28"/>
  <c r="AA191" i="28" s="1"/>
  <c r="Z198" i="28"/>
  <c r="AA198" i="28" s="1"/>
  <c r="Z113" i="28"/>
  <c r="AA113" i="28" s="1"/>
  <c r="Z36" i="28"/>
  <c r="AA36" i="28" s="1"/>
  <c r="Z55" i="28"/>
  <c r="AA55" i="28" s="1"/>
  <c r="Z34" i="28"/>
  <c r="AA34" i="28" s="1"/>
  <c r="Z176" i="28"/>
  <c r="AA176" i="28" s="1"/>
  <c r="Z112" i="28"/>
  <c r="AA112" i="28" s="1"/>
  <c r="Z235" i="28"/>
  <c r="AA235" i="28" s="1"/>
  <c r="Z25" i="28"/>
  <c r="AA25" i="28" s="1"/>
  <c r="Z204" i="28"/>
  <c r="AA204" i="28" s="1"/>
  <c r="Z12" i="28"/>
  <c r="AA12" i="28" s="1"/>
  <c r="Z143" i="28"/>
  <c r="AA143" i="28" s="1"/>
  <c r="Z161" i="28"/>
  <c r="AA161" i="28" s="1"/>
  <c r="Z131" i="28"/>
  <c r="AA131" i="28" s="1"/>
  <c r="Z50" i="28"/>
  <c r="AA50" i="28" s="1"/>
  <c r="Z13" i="28"/>
  <c r="AA13" i="28" s="1"/>
  <c r="Z183" i="28"/>
  <c r="AA183" i="28" s="1"/>
  <c r="Z223" i="28"/>
  <c r="AA223" i="28" s="1"/>
  <c r="Z238" i="28"/>
  <c r="AA238" i="28" s="1"/>
  <c r="Z172" i="28"/>
  <c r="AA172" i="28" s="1"/>
  <c r="Z44" i="28"/>
  <c r="AA44" i="28" s="1"/>
  <c r="Z28" i="28"/>
  <c r="AA28" i="28" s="1"/>
  <c r="Z115" i="28"/>
  <c r="AA115" i="28" s="1"/>
  <c r="Z241" i="28"/>
  <c r="AA241" i="28" s="1"/>
  <c r="Z79" i="28"/>
  <c r="AA79" i="28" s="1"/>
  <c r="Z174" i="28"/>
  <c r="AA174" i="28" s="1"/>
  <c r="Z122" i="28"/>
  <c r="AA122" i="28" s="1"/>
  <c r="Z117" i="28"/>
  <c r="AA117" i="28" s="1"/>
  <c r="Z72" i="28"/>
  <c r="AA72" i="28" s="1"/>
  <c r="Z155" i="28"/>
  <c r="AA155" i="28" s="1"/>
  <c r="B31" i="50"/>
  <c r="B38" i="50" s="1"/>
  <c r="B11" i="50" s="1"/>
  <c r="Z96" i="28"/>
  <c r="AA96" i="28" s="1"/>
  <c r="Z92" i="28"/>
  <c r="AA92" i="28" s="1"/>
  <c r="Z85" i="28"/>
  <c r="AA85" i="28" s="1"/>
  <c r="Z98" i="28"/>
  <c r="AA98" i="28" s="1"/>
  <c r="Z22" i="28"/>
  <c r="AA22" i="28" s="1"/>
  <c r="Z17" i="28"/>
  <c r="AA17" i="28" s="1"/>
  <c r="I19" i="43"/>
  <c r="B12" i="55"/>
  <c r="B40" i="55"/>
  <c r="B13" i="55" s="1"/>
  <c r="G12" i="55"/>
  <c r="B10" i="55"/>
  <c r="B26" i="55" s="1"/>
  <c r="Z123" i="28"/>
  <c r="AA123" i="28" s="1"/>
  <c r="Z54" i="28"/>
  <c r="AA54" i="28" s="1"/>
  <c r="Z49" i="28"/>
  <c r="AA49" i="28" s="1"/>
  <c r="Z42" i="28"/>
  <c r="AA42" i="28" s="1"/>
  <c r="Z251" i="28"/>
  <c r="AA251" i="28" s="1"/>
  <c r="Z165" i="28"/>
  <c r="AA165" i="28" s="1"/>
  <c r="B11" i="55"/>
  <c r="C14" i="54"/>
  <c r="C11" i="50"/>
  <c r="E11" i="46"/>
  <c r="E12" i="46"/>
  <c r="E30" i="46"/>
  <c r="Z217" i="28"/>
  <c r="AA217" i="28" s="1"/>
  <c r="Z103" i="28"/>
  <c r="AA103" i="28" s="1"/>
  <c r="Z187" i="28"/>
  <c r="AA187" i="28" s="1"/>
  <c r="Z167" i="28"/>
  <c r="AA167" i="28" s="1"/>
  <c r="Z242" i="28"/>
  <c r="AA242" i="28" s="1"/>
  <c r="Z210" i="28"/>
  <c r="AA210" i="28" s="1"/>
  <c r="Z66" i="28"/>
  <c r="AA66" i="28" s="1"/>
  <c r="Z237" i="28"/>
  <c r="AA237" i="28" s="1"/>
  <c r="Z141" i="28"/>
  <c r="AA141" i="28" s="1"/>
  <c r="Z109" i="28"/>
  <c r="AA109" i="28" s="1"/>
  <c r="Z93" i="28"/>
  <c r="AA93" i="28" s="1"/>
  <c r="Z160" i="28"/>
  <c r="AA160" i="28" s="1"/>
  <c r="Z32" i="28"/>
  <c r="AA32" i="28" s="1"/>
  <c r="Z219" i="28"/>
  <c r="AA219" i="28" s="1"/>
  <c r="G12" i="54"/>
  <c r="E14" i="46"/>
  <c r="B14" i="55"/>
  <c r="D14" i="54"/>
  <c r="Z89" i="28"/>
  <c r="AA89" i="28" s="1"/>
  <c r="Z125" i="28"/>
  <c r="AA125" i="28" s="1"/>
  <c r="Z62" i="28"/>
  <c r="AA62" i="28" s="1"/>
  <c r="Z30" i="28"/>
  <c r="AA30" i="28" s="1"/>
  <c r="Z201" i="28"/>
  <c r="AA201" i="28" s="1"/>
  <c r="Z153" i="28"/>
  <c r="AA153" i="28" s="1"/>
  <c r="Z108" i="28"/>
  <c r="AA108" i="28" s="1"/>
  <c r="Z185" i="28"/>
  <c r="AA185" i="28" s="1"/>
  <c r="Z137" i="28"/>
  <c r="AA137" i="28" s="1"/>
  <c r="Z110" i="28"/>
  <c r="AA110" i="28" s="1"/>
  <c r="Z56" i="28"/>
  <c r="AA56" i="28" s="1"/>
  <c r="Z138" i="28"/>
  <c r="AA138" i="28" s="1"/>
  <c r="Z135" i="28"/>
  <c r="AA135" i="28" s="1"/>
  <c r="Z45" i="28"/>
  <c r="AA45" i="28" s="1"/>
  <c r="Z127" i="28"/>
  <c r="AA127" i="28" s="1"/>
  <c r="Z14" i="28"/>
  <c r="AA14" i="28" s="1"/>
  <c r="Z57" i="28"/>
  <c r="AA57" i="28" s="1"/>
  <c r="Z91" i="28"/>
  <c r="AA91" i="28" s="1"/>
  <c r="Z105" i="28"/>
  <c r="AA105" i="28" s="1"/>
  <c r="Z90" i="28"/>
  <c r="AA90" i="28" s="1"/>
  <c r="Z27" i="28"/>
  <c r="AA27" i="28" s="1"/>
  <c r="Z58" i="28"/>
  <c r="AA58" i="28" s="1"/>
  <c r="Z75" i="28"/>
  <c r="AA75" i="28" s="1"/>
  <c r="Z38" i="28"/>
  <c r="AA38" i="28" s="1"/>
  <c r="Z83" i="28"/>
  <c r="AA83" i="28" s="1"/>
  <c r="I18" i="43"/>
  <c r="Z175" i="28"/>
  <c r="AA175" i="28" s="1"/>
  <c r="Z168" i="28"/>
  <c r="AA168" i="28" s="1"/>
  <c r="Z236" i="28"/>
  <c r="AA236" i="28" s="1"/>
  <c r="Z53" i="28"/>
  <c r="AA53" i="28" s="1"/>
  <c r="Z234" i="28"/>
  <c r="AA234" i="28" s="1"/>
  <c r="Z149" i="28"/>
  <c r="AA149" i="28" s="1"/>
  <c r="Z63" i="28"/>
  <c r="AA63" i="28" s="1"/>
  <c r="Z215" i="28"/>
  <c r="AA215" i="28" s="1"/>
  <c r="Z151" i="28"/>
  <c r="AA151" i="28" s="1"/>
  <c r="Z243" i="28"/>
  <c r="AA243" i="28" s="1"/>
  <c r="Z169" i="28"/>
  <c r="AA169" i="28" s="1"/>
  <c r="Z95" i="28"/>
  <c r="AA95" i="28" s="1"/>
  <c r="Z250" i="28"/>
  <c r="AA250" i="28" s="1"/>
  <c r="Z247" i="28"/>
  <c r="AA247" i="28" s="1"/>
  <c r="Z239" i="28"/>
  <c r="AA239" i="28" s="1"/>
  <c r="Z231" i="28"/>
  <c r="AA231" i="28" s="1"/>
  <c r="Z202" i="28"/>
  <c r="AA202" i="28" s="1"/>
  <c r="Z213" i="28"/>
  <c r="AA213" i="28" s="1"/>
  <c r="Z111" i="28"/>
  <c r="AA111" i="28" s="1"/>
  <c r="Z240" i="28"/>
  <c r="AA240" i="28" s="1"/>
  <c r="Z159" i="28"/>
  <c r="AA159" i="28" s="1"/>
  <c r="Z88" i="28"/>
  <c r="AA88" i="28" s="1"/>
  <c r="Z166" i="28"/>
  <c r="AA166" i="28" s="1"/>
  <c r="Z102" i="28"/>
  <c r="AA102" i="28" s="1"/>
  <c r="Z86" i="28"/>
  <c r="AA86" i="28" s="1"/>
  <c r="Z145" i="28"/>
  <c r="AA145" i="28" s="1"/>
  <c r="Z81" i="28"/>
  <c r="AA81" i="28" s="1"/>
  <c r="Z65" i="28"/>
  <c r="AA65" i="28" s="1"/>
  <c r="Z132" i="28"/>
  <c r="AA132" i="28" s="1"/>
  <c r="Z68" i="28"/>
  <c r="AA68" i="28" s="1"/>
  <c r="Z20" i="28"/>
  <c r="AA20" i="28" s="1"/>
  <c r="Z147" i="28"/>
  <c r="AA147" i="28" s="1"/>
  <c r="Z253" i="28"/>
  <c r="AA253" i="28" s="1"/>
  <c r="Z190" i="28"/>
  <c r="AA190" i="28" s="1"/>
  <c r="Z99" i="28"/>
  <c r="AA99" i="28" s="1"/>
  <c r="Z128" i="28"/>
  <c r="AA128" i="28" s="1"/>
  <c r="Z136" i="28"/>
  <c r="AA136" i="28" s="1"/>
  <c r="Z84" i="28"/>
  <c r="AA84" i="28" s="1"/>
  <c r="Z124" i="28"/>
  <c r="AA124" i="28" s="1"/>
  <c r="Z11" i="28"/>
  <c r="AA11" i="28" s="1"/>
  <c r="Z194" i="28"/>
  <c r="AA194" i="28" s="1"/>
  <c r="Z146" i="28"/>
  <c r="AA146" i="28" s="1"/>
  <c r="Z130" i="28"/>
  <c r="AA130" i="28" s="1"/>
  <c r="Z173" i="28"/>
  <c r="AA173" i="28" s="1"/>
  <c r="Z157" i="28"/>
  <c r="AA157" i="28" s="1"/>
  <c r="Z208" i="28"/>
  <c r="AA208" i="28" s="1"/>
  <c r="Z192" i="28"/>
  <c r="AA192" i="28" s="1"/>
  <c r="Z144" i="28"/>
  <c r="AA144" i="28" s="1"/>
  <c r="Z80" i="28"/>
  <c r="AA80" i="28" s="1"/>
  <c r="E16" i="47"/>
  <c r="H15" i="43"/>
  <c r="J15" i="43" s="1"/>
  <c r="E15" i="56"/>
  <c r="H15" i="56" s="1"/>
  <c r="J15" i="56" s="1"/>
  <c r="F11" i="50"/>
  <c r="F13" i="50"/>
  <c r="F10" i="54"/>
  <c r="F26" i="54" s="1"/>
  <c r="D10" i="49"/>
  <c r="E30" i="55"/>
  <c r="F12" i="54"/>
  <c r="E13" i="55"/>
  <c r="B11" i="47"/>
  <c r="E14" i="47"/>
  <c r="B40" i="47"/>
  <c r="B13" i="47" s="1"/>
  <c r="E11" i="55"/>
  <c r="B12" i="47"/>
  <c r="F14" i="47"/>
  <c r="E10" i="47"/>
  <c r="E26" i="47" s="1"/>
  <c r="B14" i="47"/>
  <c r="C13" i="45"/>
  <c r="F14" i="54"/>
  <c r="F11" i="47"/>
  <c r="G10" i="55"/>
  <c r="G26" i="55" s="1"/>
  <c r="B10" i="47"/>
  <c r="B26" i="47" s="1"/>
  <c r="C10" i="47"/>
  <c r="C26" i="47" s="1"/>
  <c r="Z23" i="28"/>
  <c r="AA23" i="28" s="1"/>
  <c r="B14" i="44"/>
  <c r="C11" i="54"/>
  <c r="F11" i="46"/>
  <c r="F12" i="46"/>
  <c r="G11" i="54"/>
  <c r="G30" i="47"/>
  <c r="F10" i="46"/>
  <c r="F26" i="46" s="1"/>
  <c r="Z227" i="28"/>
  <c r="AA227" i="28" s="1"/>
  <c r="Z154" i="28"/>
  <c r="AA154" i="28" s="1"/>
  <c r="Z218" i="28"/>
  <c r="AA218" i="28" s="1"/>
  <c r="Z121" i="28"/>
  <c r="AA121" i="28" s="1"/>
  <c r="Z41" i="28"/>
  <c r="AA41" i="28" s="1"/>
  <c r="D14" i="45"/>
  <c r="C11" i="43"/>
  <c r="C12" i="43"/>
  <c r="D11" i="55"/>
  <c r="Z233" i="28"/>
  <c r="AA233" i="28" s="1"/>
  <c r="Z94" i="28"/>
  <c r="AA94" i="28" s="1"/>
  <c r="Z197" i="28"/>
  <c r="AA197" i="28" s="1"/>
  <c r="F14" i="46"/>
  <c r="B11" i="44"/>
  <c r="F13" i="46"/>
  <c r="D13" i="45"/>
  <c r="Z73" i="28"/>
  <c r="AA73" i="28" s="1"/>
  <c r="Z107" i="28"/>
  <c r="AA107" i="28" s="1"/>
  <c r="Z78" i="28"/>
  <c r="AA78" i="28" s="1"/>
  <c r="Z76" i="28"/>
  <c r="AA76" i="28" s="1"/>
  <c r="Z47" i="28"/>
  <c r="AA47" i="28" s="1"/>
  <c r="Z140" i="28"/>
  <c r="AA140" i="28" s="1"/>
  <c r="Z232" i="28"/>
  <c r="AA232" i="28" s="1"/>
  <c r="Z214" i="28"/>
  <c r="AA214" i="28" s="1"/>
  <c r="Z150" i="28"/>
  <c r="AA150" i="28" s="1"/>
  <c r="Z70" i="28"/>
  <c r="AA70" i="28" s="1"/>
  <c r="Z209" i="28"/>
  <c r="AA209" i="28" s="1"/>
  <c r="Z193" i="28"/>
  <c r="AA193" i="28" s="1"/>
  <c r="Z97" i="28"/>
  <c r="AA97" i="28" s="1"/>
  <c r="Z228" i="28"/>
  <c r="AA228" i="28" s="1"/>
  <c r="Z148" i="28"/>
  <c r="AA148" i="28" s="1"/>
  <c r="Z100" i="28"/>
  <c r="AA100" i="28" s="1"/>
  <c r="N13" i="1"/>
  <c r="X13" i="1" s="1"/>
  <c r="AG13" i="1" s="1"/>
  <c r="N30" i="1"/>
  <c r="X30" i="1" s="1"/>
  <c r="AG30" i="1" s="1"/>
  <c r="N47" i="1"/>
  <c r="X47" i="1" s="1"/>
  <c r="AG47" i="1" s="1"/>
  <c r="N61" i="1"/>
  <c r="N10" i="1"/>
  <c r="X10" i="1" s="1"/>
  <c r="AG10" i="1" s="1"/>
  <c r="N27" i="1"/>
  <c r="X27" i="1" s="1"/>
  <c r="AG27" i="1" s="1"/>
  <c r="N44" i="1"/>
  <c r="X44" i="1" s="1"/>
  <c r="AG44" i="1" s="1"/>
  <c r="N55" i="1"/>
  <c r="X55" i="1" s="1"/>
  <c r="AG55" i="1" s="1"/>
  <c r="N11" i="1"/>
  <c r="X11" i="1" s="1"/>
  <c r="AG11" i="1" s="1"/>
  <c r="N28" i="1"/>
  <c r="X28" i="1" s="1"/>
  <c r="AG28" i="1" s="1"/>
  <c r="N41" i="1"/>
  <c r="X41" i="1" s="1"/>
  <c r="AG41" i="1" s="1"/>
  <c r="N63" i="1"/>
  <c r="X63" i="1" s="1"/>
  <c r="AG63" i="1" s="1"/>
  <c r="N16" i="1"/>
  <c r="X16" i="1" s="1"/>
  <c r="AG16" i="1" s="1"/>
  <c r="N33" i="1"/>
  <c r="X33" i="1" s="1"/>
  <c r="AG33" i="1" s="1"/>
  <c r="N53" i="1"/>
  <c r="X53" i="1" s="1"/>
  <c r="AG53" i="1" s="1"/>
  <c r="N68" i="1"/>
  <c r="X68" i="1" s="1"/>
  <c r="AG68" i="1" s="1"/>
  <c r="N17" i="1"/>
  <c r="X17" i="1" s="1"/>
  <c r="AG17" i="1" s="1"/>
  <c r="N34" i="1"/>
  <c r="X34" i="1" s="1"/>
  <c r="AG34" i="1" s="1"/>
  <c r="N50" i="1"/>
  <c r="X50" i="1" s="1"/>
  <c r="AG50" i="1" s="1"/>
  <c r="N65" i="1"/>
  <c r="X65" i="1" s="1"/>
  <c r="AG65" i="1" s="1"/>
  <c r="N14" i="1"/>
  <c r="X14" i="1" s="1"/>
  <c r="AG14" i="1" s="1"/>
  <c r="N31" i="1"/>
  <c r="X31" i="1" s="1"/>
  <c r="AG31" i="1" s="1"/>
  <c r="N48" i="1"/>
  <c r="X48" i="1" s="1"/>
  <c r="AG48" i="1" s="1"/>
  <c r="N62" i="1"/>
  <c r="X62" i="1" s="1"/>
  <c r="AG62" i="1" s="1"/>
  <c r="N15" i="1"/>
  <c r="X15" i="1" s="1"/>
  <c r="AG15" i="1" s="1"/>
  <c r="N32" i="1"/>
  <c r="N45" i="1"/>
  <c r="X45" i="1" s="1"/>
  <c r="AG45" i="1" s="1"/>
  <c r="N67" i="1"/>
  <c r="X67" i="1" s="1"/>
  <c r="AG67" i="1" s="1"/>
  <c r="N21" i="1"/>
  <c r="X21" i="1" s="1"/>
  <c r="AG21" i="1" s="1"/>
  <c r="N37" i="1"/>
  <c r="X37" i="1" s="1"/>
  <c r="AG37" i="1" s="1"/>
  <c r="N57" i="1"/>
  <c r="X57" i="1" s="1"/>
  <c r="AG57" i="1" s="1"/>
  <c r="N49" i="1"/>
  <c r="X49" i="1" s="1"/>
  <c r="AG49" i="1" s="1"/>
  <c r="N5" i="1"/>
  <c r="N22" i="1"/>
  <c r="X22" i="1" s="1"/>
  <c r="AG22" i="1" s="1"/>
  <c r="N38" i="1"/>
  <c r="X38" i="1" s="1"/>
  <c r="AG38" i="1" s="1"/>
  <c r="N54" i="1"/>
  <c r="X54" i="1" s="1"/>
  <c r="AG54" i="1" s="1"/>
  <c r="N69" i="1"/>
  <c r="X69" i="1" s="1"/>
  <c r="AG69" i="1" s="1"/>
  <c r="N18" i="1"/>
  <c r="X18" i="1" s="1"/>
  <c r="AG18" i="1" s="1"/>
  <c r="N35" i="1"/>
  <c r="X35" i="1" s="1"/>
  <c r="AG35" i="1" s="1"/>
  <c r="N51" i="1"/>
  <c r="X51" i="1" s="1"/>
  <c r="AG51" i="1" s="1"/>
  <c r="N66" i="1"/>
  <c r="X66" i="1" s="1"/>
  <c r="AG66" i="1" s="1"/>
  <c r="N19" i="1"/>
  <c r="X19" i="1" s="1"/>
  <c r="AG19" i="1" s="1"/>
  <c r="N36" i="1"/>
  <c r="X36" i="1" s="1"/>
  <c r="AG36" i="1" s="1"/>
  <c r="N56" i="1"/>
  <c r="X56" i="1" s="1"/>
  <c r="AG56" i="1" s="1"/>
  <c r="N8" i="1"/>
  <c r="X8" i="1" s="1"/>
  <c r="AG8" i="1" s="1"/>
  <c r="N25" i="1"/>
  <c r="X25" i="1" s="1"/>
  <c r="AG25" i="1" s="1"/>
  <c r="N42" i="1"/>
  <c r="X42" i="1" s="1"/>
  <c r="AG42" i="1" s="1"/>
  <c r="N60" i="1"/>
  <c r="X60" i="1" s="1"/>
  <c r="AG60" i="1" s="1"/>
  <c r="N9" i="1"/>
  <c r="X9" i="1" s="1"/>
  <c r="AG9" i="1" s="1"/>
  <c r="N26" i="1"/>
  <c r="X26" i="1" s="1"/>
  <c r="AG26" i="1" s="1"/>
  <c r="N43" i="1"/>
  <c r="X43" i="1" s="1"/>
  <c r="AG43" i="1" s="1"/>
  <c r="N58" i="1"/>
  <c r="X58" i="1" s="1"/>
  <c r="AG58" i="1" s="1"/>
  <c r="N6" i="1"/>
  <c r="X6" i="1" s="1"/>
  <c r="AG6" i="1" s="1"/>
  <c r="N23" i="1"/>
  <c r="X23" i="1" s="1"/>
  <c r="AG23" i="1" s="1"/>
  <c r="N39" i="1"/>
  <c r="X39" i="1" s="1"/>
  <c r="AG39" i="1" s="1"/>
  <c r="N52" i="1"/>
  <c r="X52" i="1" s="1"/>
  <c r="AG52" i="1" s="1"/>
  <c r="N7" i="1"/>
  <c r="X7" i="1" s="1"/>
  <c r="AG7" i="1" s="1"/>
  <c r="N24" i="1"/>
  <c r="X24" i="1" s="1"/>
  <c r="AG24" i="1" s="1"/>
  <c r="N40" i="1"/>
  <c r="X40" i="1" s="1"/>
  <c r="AG40" i="1" s="1"/>
  <c r="N59" i="1"/>
  <c r="X59" i="1" s="1"/>
  <c r="AG59" i="1" s="1"/>
  <c r="N12" i="1"/>
  <c r="X12" i="1" s="1"/>
  <c r="AG12" i="1" s="1"/>
  <c r="N29" i="1"/>
  <c r="X29" i="1" s="1"/>
  <c r="AG29" i="1" s="1"/>
  <c r="N46" i="1"/>
  <c r="X46" i="1" s="1"/>
  <c r="AG46" i="1" s="1"/>
  <c r="N64" i="1"/>
  <c r="X64" i="1" s="1"/>
  <c r="AG64" i="1" s="1"/>
  <c r="C34" i="49"/>
  <c r="Q20" i="1"/>
  <c r="AA20" i="1" s="1"/>
  <c r="N73" i="1"/>
  <c r="X73" i="1" s="1"/>
  <c r="AG73" i="1" s="1"/>
  <c r="B33" i="50"/>
  <c r="B40" i="50" s="1"/>
  <c r="B13" i="50" s="1"/>
  <c r="B12" i="46"/>
  <c r="B11" i="46"/>
  <c r="C10" i="43"/>
  <c r="C26" i="43" s="1"/>
  <c r="C10" i="50"/>
  <c r="C26" i="50" s="1"/>
  <c r="B40" i="46"/>
  <c r="B13" i="46" s="1"/>
  <c r="B14" i="46"/>
  <c r="B12" i="44"/>
  <c r="B40" i="44"/>
  <c r="B13" i="44" s="1"/>
  <c r="Z118" i="28"/>
  <c r="AA118" i="28" s="1"/>
  <c r="Z177" i="28"/>
  <c r="AA177" i="28" s="1"/>
  <c r="Z139" i="28"/>
  <c r="AA139" i="28" s="1"/>
  <c r="Z101" i="28"/>
  <c r="AA101" i="28" s="1"/>
  <c r="Z126" i="28"/>
  <c r="AA126" i="28" s="1"/>
  <c r="Z248" i="28"/>
  <c r="AA248" i="28" s="1"/>
  <c r="Z229" i="28"/>
  <c r="AA229" i="28" s="1"/>
  <c r="Z152" i="28"/>
  <c r="AA152" i="28" s="1"/>
  <c r="Z171" i="28"/>
  <c r="AA171" i="28" s="1"/>
  <c r="Z37" i="28"/>
  <c r="AA37" i="28" s="1"/>
  <c r="Z206" i="28"/>
  <c r="AA206" i="28" s="1"/>
  <c r="Z249" i="28"/>
  <c r="AA249" i="28" s="1"/>
  <c r="Z181" i="28"/>
  <c r="AA181" i="28" s="1"/>
  <c r="Z196" i="28"/>
  <c r="AA196" i="28" s="1"/>
  <c r="Z221" i="28"/>
  <c r="AA221" i="28" s="1"/>
  <c r="Z195" i="28"/>
  <c r="AA195" i="28" s="1"/>
  <c r="Z230" i="28"/>
  <c r="AA230" i="28" s="1"/>
  <c r="B20" i="55"/>
  <c r="B20" i="54"/>
  <c r="C23" i="2"/>
  <c r="N74" i="1"/>
  <c r="X74" i="1" s="1"/>
  <c r="AG74" i="1" s="1"/>
  <c r="N70" i="1"/>
  <c r="X70" i="1" s="1"/>
  <c r="AG70" i="1" s="1"/>
  <c r="E31" i="50"/>
  <c r="E38" i="50" s="1"/>
  <c r="E11" i="50" s="1"/>
  <c r="F13" i="47"/>
  <c r="C11" i="45"/>
  <c r="C10" i="44"/>
  <c r="C26" i="44" s="1"/>
  <c r="F10" i="50"/>
  <c r="F26" i="50" s="1"/>
  <c r="E10" i="50"/>
  <c r="E26" i="50" s="1"/>
  <c r="D12" i="55"/>
  <c r="C11" i="44"/>
  <c r="F12" i="50"/>
  <c r="B11" i="45"/>
  <c r="B30" i="49"/>
  <c r="B11" i="54"/>
  <c r="C14" i="45"/>
  <c r="C12" i="54"/>
  <c r="C13" i="54"/>
  <c r="B12" i="45"/>
  <c r="C12" i="45"/>
  <c r="B12" i="54"/>
  <c r="B14" i="54"/>
  <c r="B14" i="45"/>
  <c r="F14" i="50"/>
  <c r="C13" i="44"/>
  <c r="C10" i="45"/>
  <c r="C26" i="45" s="1"/>
  <c r="D30" i="47"/>
  <c r="D10" i="47"/>
  <c r="D26" i="47" s="1"/>
  <c r="C12" i="44"/>
  <c r="C14" i="44"/>
  <c r="B40" i="54"/>
  <c r="B13" i="54" s="1"/>
  <c r="F12" i="47"/>
  <c r="F30" i="44"/>
  <c r="F10" i="44"/>
  <c r="F26" i="44" s="1"/>
  <c r="F34" i="57"/>
  <c r="F41" i="57" s="1"/>
  <c r="B26" i="45"/>
  <c r="B26" i="49"/>
  <c r="F32" i="57"/>
  <c r="F39" i="57" s="1"/>
  <c r="E30" i="49"/>
  <c r="E10" i="49"/>
  <c r="H30" i="21"/>
  <c r="H22" i="21"/>
  <c r="D11" i="50"/>
  <c r="C14" i="46"/>
  <c r="D10" i="45"/>
  <c r="D26" i="45" s="1"/>
  <c r="H8" i="54"/>
  <c r="B10" i="54"/>
  <c r="H8" i="47"/>
  <c r="C11" i="46"/>
  <c r="B10" i="56"/>
  <c r="B30" i="56"/>
  <c r="H8" i="56"/>
  <c r="C10" i="49"/>
  <c r="H8" i="45"/>
  <c r="E30" i="45"/>
  <c r="E10" i="45"/>
  <c r="E26" i="45" s="1"/>
  <c r="H8" i="29"/>
  <c r="H8" i="49"/>
  <c r="D30" i="54"/>
  <c r="D10" i="54"/>
  <c r="D26" i="54" s="1"/>
  <c r="B30" i="54"/>
  <c r="C10" i="54"/>
  <c r="C26" i="54" s="1"/>
  <c r="D30" i="55"/>
  <c r="D10" i="55"/>
  <c r="D26" i="55" s="1"/>
  <c r="G30" i="50"/>
  <c r="G10" i="50"/>
  <c r="G26" i="50" s="1"/>
  <c r="G30" i="46"/>
  <c r="G10" i="46"/>
  <c r="G26" i="46" s="1"/>
  <c r="G25" i="46"/>
  <c r="G30" i="43"/>
  <c r="F33" i="57"/>
  <c r="F40" i="57" s="1"/>
  <c r="G10" i="43"/>
  <c r="B30" i="29"/>
  <c r="B18" i="9"/>
  <c r="B5" i="2"/>
  <c r="G10" i="47"/>
  <c r="G26" i="47" s="1"/>
  <c r="B26" i="43"/>
  <c r="D32" i="57"/>
  <c r="D39" i="57" s="1"/>
  <c r="D30" i="50"/>
  <c r="I19" i="46"/>
  <c r="I18" i="46"/>
  <c r="H16" i="46"/>
  <c r="J16" i="46" s="1"/>
  <c r="G30" i="54"/>
  <c r="G10" i="54"/>
  <c r="G26" i="54" s="1"/>
  <c r="G25" i="54"/>
  <c r="C10" i="46"/>
  <c r="C26" i="46" s="1"/>
  <c r="H8" i="55"/>
  <c r="C13" i="46"/>
  <c r="F31" i="57"/>
  <c r="F38" i="57" s="1"/>
  <c r="C12" i="46"/>
  <c r="B30" i="45"/>
  <c r="H8" i="50"/>
  <c r="B30" i="50"/>
  <c r="B10" i="50"/>
  <c r="B10" i="29" s="1"/>
  <c r="B30" i="46"/>
  <c r="B10" i="46"/>
  <c r="G30" i="55"/>
  <c r="E26" i="43"/>
  <c r="B25" i="43"/>
  <c r="B39" i="43"/>
  <c r="B12" i="43" s="1"/>
  <c r="E39" i="43"/>
  <c r="E12" i="43" s="1"/>
  <c r="F25" i="55"/>
  <c r="F24" i="55"/>
  <c r="B32" i="56"/>
  <c r="B39" i="56" s="1"/>
  <c r="F17" i="55"/>
  <c r="F18" i="55" s="1"/>
  <c r="E32" i="56"/>
  <c r="E39" i="56" s="1"/>
  <c r="E33" i="56"/>
  <c r="E40" i="56" s="1"/>
  <c r="D39" i="43"/>
  <c r="D32" i="56"/>
  <c r="D39" i="56" s="1"/>
  <c r="B33" i="56"/>
  <c r="B40" i="56" s="1"/>
  <c r="B38" i="43"/>
  <c r="B11" i="43" s="1"/>
  <c r="B31" i="56"/>
  <c r="B38" i="56" s="1"/>
  <c r="B34" i="56"/>
  <c r="B41" i="56" s="1"/>
  <c r="C41" i="43"/>
  <c r="C14" i="43" s="1"/>
  <c r="F34" i="56"/>
  <c r="F41" i="56" s="1"/>
  <c r="D40" i="43"/>
  <c r="E34" i="56"/>
  <c r="E41" i="56" s="1"/>
  <c r="E41" i="43"/>
  <c r="E14" i="43" s="1"/>
  <c r="G39" i="43"/>
  <c r="G12" i="43" s="1"/>
  <c r="F31" i="56"/>
  <c r="F38" i="56" s="1"/>
  <c r="G40" i="43"/>
  <c r="C40" i="43"/>
  <c r="C13" i="43" s="1"/>
  <c r="E38" i="43"/>
  <c r="E11" i="43" s="1"/>
  <c r="E31" i="56"/>
  <c r="E38" i="56" s="1"/>
  <c r="F32" i="56"/>
  <c r="F39" i="56" s="1"/>
  <c r="F40" i="43"/>
  <c r="F13" i="43" s="1"/>
  <c r="F33" i="56"/>
  <c r="F40" i="56" s="1"/>
  <c r="G38" i="43"/>
  <c r="G11" i="43" s="1"/>
  <c r="G15" i="29" l="1"/>
  <c r="G15" i="57"/>
  <c r="G16" i="29"/>
  <c r="G16" i="57"/>
  <c r="G34" i="49"/>
  <c r="G41" i="49" s="1"/>
  <c r="G14" i="49" s="1"/>
  <c r="G25" i="50"/>
  <c r="G24" i="50"/>
  <c r="AD58" i="1"/>
  <c r="G31" i="49"/>
  <c r="Y58" i="1"/>
  <c r="Q72" i="1"/>
  <c r="AA72" i="1" s="1"/>
  <c r="Q32" i="1"/>
  <c r="AA32" i="1" s="1"/>
  <c r="X32" i="1"/>
  <c r="AG32" i="1" s="1"/>
  <c r="Q5" i="1"/>
  <c r="AA5" i="1" s="1"/>
  <c r="X5" i="1"/>
  <c r="AG5" i="1" s="1"/>
  <c r="Q71" i="1"/>
  <c r="AA71" i="1" s="1"/>
  <c r="Q61" i="1"/>
  <c r="AA61" i="1" s="1"/>
  <c r="X61" i="1"/>
  <c r="AG61" i="1" s="1"/>
  <c r="D12" i="29"/>
  <c r="F17" i="45"/>
  <c r="F18" i="45" s="1"/>
  <c r="F24" i="45"/>
  <c r="F25" i="45"/>
  <c r="D34" i="57"/>
  <c r="D41" i="57" s="1"/>
  <c r="C33" i="50"/>
  <c r="C40" i="50" s="1"/>
  <c r="C13" i="50" s="1"/>
  <c r="F13" i="29"/>
  <c r="D34" i="56"/>
  <c r="D41" i="56" s="1"/>
  <c r="C41" i="49"/>
  <c r="C14" i="49" s="1"/>
  <c r="Q70" i="1"/>
  <c r="AA70" i="1" s="1"/>
  <c r="F14" i="29"/>
  <c r="D33" i="50"/>
  <c r="D40" i="50" s="1"/>
  <c r="D13" i="50" s="1"/>
  <c r="D17" i="50" s="1"/>
  <c r="D18" i="50" s="1"/>
  <c r="H8" i="43"/>
  <c r="G26" i="49"/>
  <c r="G10" i="29"/>
  <c r="G26" i="29" s="1"/>
  <c r="C26" i="49"/>
  <c r="C10" i="29"/>
  <c r="C26" i="29" s="1"/>
  <c r="F17" i="49"/>
  <c r="F18" i="49" s="1"/>
  <c r="E26" i="49"/>
  <c r="E10" i="29"/>
  <c r="E26" i="29" s="1"/>
  <c r="D26" i="49"/>
  <c r="D10" i="29"/>
  <c r="D26" i="29" s="1"/>
  <c r="F12" i="29"/>
  <c r="F10" i="29"/>
  <c r="F26" i="29" s="1"/>
  <c r="Q62" i="1"/>
  <c r="AA62" i="1" s="1"/>
  <c r="Q63" i="1"/>
  <c r="AA63" i="1" s="1"/>
  <c r="D41" i="49"/>
  <c r="D14" i="49" s="1"/>
  <c r="D14" i="29" s="1"/>
  <c r="D34" i="29"/>
  <c r="D41" i="29" s="1"/>
  <c r="F24" i="49"/>
  <c r="F25" i="49"/>
  <c r="F11" i="29"/>
  <c r="D31" i="49"/>
  <c r="D31" i="56" s="1"/>
  <c r="D38" i="56" s="1"/>
  <c r="E10" i="44"/>
  <c r="E26" i="44" s="1"/>
  <c r="C31" i="49"/>
  <c r="E13" i="44"/>
  <c r="E13" i="56" s="1"/>
  <c r="E12" i="44"/>
  <c r="E12" i="56" s="1"/>
  <c r="AC105" i="1"/>
  <c r="AC103" i="1"/>
  <c r="AC138" i="1"/>
  <c r="AC129" i="1"/>
  <c r="AC127" i="1"/>
  <c r="AC123" i="1"/>
  <c r="AC121" i="1"/>
  <c r="AC114" i="1"/>
  <c r="AC132" i="1"/>
  <c r="AC104" i="1"/>
  <c r="AC118" i="1"/>
  <c r="AC117" i="1"/>
  <c r="AC115" i="1"/>
  <c r="AC107" i="1"/>
  <c r="AC122" i="1"/>
  <c r="AC106" i="1"/>
  <c r="AC119" i="1"/>
  <c r="AC131" i="1"/>
  <c r="AC80" i="1"/>
  <c r="AC134" i="1"/>
  <c r="AC116" i="1"/>
  <c r="AC124" i="1"/>
  <c r="AC120" i="1"/>
  <c r="AC125" i="1"/>
  <c r="AC133" i="1"/>
  <c r="AC128" i="1"/>
  <c r="AC126" i="1"/>
  <c r="AC135" i="1"/>
  <c r="AC137" i="1"/>
  <c r="AC76" i="1"/>
  <c r="AC130" i="1"/>
  <c r="AC143" i="1"/>
  <c r="AC139" i="1"/>
  <c r="AC88" i="1"/>
  <c r="AC83" i="1"/>
  <c r="AC140" i="1"/>
  <c r="AC144" i="1"/>
  <c r="AC108" i="1"/>
  <c r="AC89" i="1"/>
  <c r="AC136" i="1"/>
  <c r="AC86" i="1"/>
  <c r="AC141" i="1"/>
  <c r="AC111" i="1"/>
  <c r="AC97" i="1"/>
  <c r="AC142" i="1"/>
  <c r="AC109" i="1"/>
  <c r="AC81" i="1"/>
  <c r="AC113" i="1"/>
  <c r="AC112" i="1"/>
  <c r="AC110" i="1"/>
  <c r="AC78" i="1"/>
  <c r="AC96" i="1"/>
  <c r="AC93" i="1"/>
  <c r="AC102" i="1"/>
  <c r="AC91" i="1"/>
  <c r="AC85" i="1"/>
  <c r="AC79" i="1"/>
  <c r="AC99" i="1"/>
  <c r="AC82" i="1"/>
  <c r="AC94" i="1"/>
  <c r="AC92" i="1"/>
  <c r="AC101" i="1"/>
  <c r="AC98" i="1"/>
  <c r="AC77" i="1"/>
  <c r="AC100" i="1"/>
  <c r="AC95" i="1"/>
  <c r="AC90" i="1"/>
  <c r="AC87" i="1"/>
  <c r="AC75" i="1"/>
  <c r="AC84" i="1"/>
  <c r="E14" i="44"/>
  <c r="H14" i="44" s="1"/>
  <c r="J14" i="44" s="1"/>
  <c r="H5" i="3"/>
  <c r="D14" i="43"/>
  <c r="H14" i="43" s="1"/>
  <c r="J14" i="43" s="1"/>
  <c r="H8" i="44"/>
  <c r="D10" i="43"/>
  <c r="D26" i="43" s="1"/>
  <c r="D30" i="46"/>
  <c r="C33" i="49"/>
  <c r="D33" i="49"/>
  <c r="E11" i="44"/>
  <c r="E31" i="49"/>
  <c r="D13" i="43"/>
  <c r="D12" i="43"/>
  <c r="D11" i="43"/>
  <c r="H11" i="43" s="1"/>
  <c r="G32" i="49"/>
  <c r="G32" i="29" s="1"/>
  <c r="D25" i="44"/>
  <c r="AC62" i="1"/>
  <c r="AC11" i="1"/>
  <c r="AC31" i="1"/>
  <c r="AC58" i="1"/>
  <c r="AC30" i="1"/>
  <c r="AC49" i="1"/>
  <c r="AC41" i="1"/>
  <c r="AC50" i="1"/>
  <c r="AC67" i="1"/>
  <c r="AC68" i="1"/>
  <c r="AC13" i="1"/>
  <c r="AC56" i="1"/>
  <c r="AC14" i="1"/>
  <c r="AC47" i="1"/>
  <c r="AC43" i="1"/>
  <c r="AC25" i="1"/>
  <c r="AC35" i="1"/>
  <c r="AC60" i="1"/>
  <c r="AC17" i="1"/>
  <c r="AC69" i="1"/>
  <c r="AC65" i="1"/>
  <c r="AC59" i="1"/>
  <c r="AC38" i="1"/>
  <c r="AC26" i="1"/>
  <c r="AC15" i="1"/>
  <c r="AC27" i="1"/>
  <c r="AC46" i="1"/>
  <c r="AC23" i="1"/>
  <c r="AC57" i="1"/>
  <c r="AC53" i="1"/>
  <c r="AC16" i="1"/>
  <c r="AC36" i="1"/>
  <c r="AC9" i="1"/>
  <c r="AC39" i="1"/>
  <c r="AC55" i="1"/>
  <c r="AC40" i="1"/>
  <c r="AC29" i="1"/>
  <c r="AC42" i="1"/>
  <c r="AC10" i="1"/>
  <c r="AC28" i="1"/>
  <c r="AC64" i="1"/>
  <c r="AC6" i="1"/>
  <c r="AC7" i="1"/>
  <c r="AC51" i="1"/>
  <c r="AC45" i="1"/>
  <c r="AC22" i="1"/>
  <c r="AC66" i="1"/>
  <c r="AC19" i="1"/>
  <c r="AC34" i="1"/>
  <c r="AC48" i="1"/>
  <c r="AC44" i="1"/>
  <c r="AC33" i="1"/>
  <c r="AC63" i="1"/>
  <c r="AC12" i="1"/>
  <c r="AC24" i="1"/>
  <c r="AC54" i="1"/>
  <c r="AC37" i="1"/>
  <c r="AC52" i="1"/>
  <c r="AC18" i="1"/>
  <c r="AC21" i="1"/>
  <c r="AC8" i="1"/>
  <c r="AC32" i="1"/>
  <c r="AC5" i="1"/>
  <c r="AC61" i="1"/>
  <c r="AC20" i="1"/>
  <c r="AC72" i="1"/>
  <c r="AC71" i="1"/>
  <c r="AC73" i="1"/>
  <c r="AC70" i="1"/>
  <c r="AC74" i="1"/>
  <c r="D17" i="44"/>
  <c r="D18" i="44" s="1"/>
  <c r="D11" i="46"/>
  <c r="H8" i="46"/>
  <c r="D24" i="44"/>
  <c r="D14" i="46"/>
  <c r="D12" i="46"/>
  <c r="H12" i="46" s="1"/>
  <c r="J12" i="46" s="1"/>
  <c r="L15" i="46" s="1"/>
  <c r="L16" i="46" s="1"/>
  <c r="D13" i="46"/>
  <c r="D25" i="47"/>
  <c r="C25" i="47"/>
  <c r="F25" i="44"/>
  <c r="F25" i="54"/>
  <c r="B25" i="45"/>
  <c r="C25" i="55"/>
  <c r="E25" i="54"/>
  <c r="F30" i="57"/>
  <c r="C24" i="47"/>
  <c r="D25" i="54"/>
  <c r="E25" i="47"/>
  <c r="E24" i="54"/>
  <c r="C17" i="47"/>
  <c r="C18" i="47" s="1"/>
  <c r="C24" i="55"/>
  <c r="C17" i="55"/>
  <c r="C18" i="55" s="1"/>
  <c r="H10" i="55"/>
  <c r="J10" i="55" s="1"/>
  <c r="G17" i="46"/>
  <c r="G18" i="46" s="1"/>
  <c r="D30" i="57"/>
  <c r="G24" i="44"/>
  <c r="F10" i="56"/>
  <c r="F26" i="56" s="1"/>
  <c r="F17" i="44"/>
  <c r="F18" i="44" s="1"/>
  <c r="G24" i="45"/>
  <c r="E25" i="46"/>
  <c r="B10" i="57"/>
  <c r="B26" i="57" s="1"/>
  <c r="G17" i="44"/>
  <c r="G18" i="44" s="1"/>
  <c r="G17" i="45"/>
  <c r="G18" i="45" s="1"/>
  <c r="G24" i="47"/>
  <c r="B31" i="49"/>
  <c r="C25" i="54"/>
  <c r="E24" i="45"/>
  <c r="E17" i="46"/>
  <c r="E18" i="46" s="1"/>
  <c r="B24" i="55"/>
  <c r="B25" i="55"/>
  <c r="Q33" i="1"/>
  <c r="AA33" i="1" s="1"/>
  <c r="E17" i="45"/>
  <c r="E18" i="45" s="1"/>
  <c r="E25" i="45"/>
  <c r="B17" i="55"/>
  <c r="B18" i="55" s="1"/>
  <c r="H13" i="55"/>
  <c r="J13" i="55" s="1"/>
  <c r="F11" i="56"/>
  <c r="E24" i="46"/>
  <c r="G24" i="54"/>
  <c r="G24" i="46"/>
  <c r="G17" i="55"/>
  <c r="G18" i="55" s="1"/>
  <c r="G17" i="47"/>
  <c r="G18" i="47" s="1"/>
  <c r="H11" i="54"/>
  <c r="J11" i="54" s="1"/>
  <c r="Q37" i="1"/>
  <c r="AA37" i="1" s="1"/>
  <c r="Q46" i="1"/>
  <c r="AA46" i="1" s="1"/>
  <c r="Q40" i="1"/>
  <c r="AA40" i="1" s="1"/>
  <c r="Q35" i="1"/>
  <c r="AA35" i="1" s="1"/>
  <c r="Q31" i="1"/>
  <c r="AA31" i="1" s="1"/>
  <c r="Q24" i="1"/>
  <c r="AA24" i="1" s="1"/>
  <c r="Q19" i="1"/>
  <c r="AA19" i="1" s="1"/>
  <c r="Q17" i="1"/>
  <c r="AA17" i="1" s="1"/>
  <c r="Q14" i="1"/>
  <c r="AA14" i="1" s="1"/>
  <c r="Q16" i="1"/>
  <c r="AA16" i="1" s="1"/>
  <c r="Q44" i="1"/>
  <c r="AA44" i="1" s="1"/>
  <c r="H11" i="55"/>
  <c r="J11" i="55" s="1"/>
  <c r="H11" i="47"/>
  <c r="J11" i="47" s="1"/>
  <c r="Q30" i="1"/>
  <c r="AA30" i="1" s="1"/>
  <c r="Q10" i="1"/>
  <c r="AA10" i="1" s="1"/>
  <c r="Q27" i="1"/>
  <c r="AA27" i="1" s="1"/>
  <c r="F14" i="56"/>
  <c r="Q53" i="1"/>
  <c r="AA53" i="1" s="1"/>
  <c r="Q23" i="1"/>
  <c r="AA23" i="1" s="1"/>
  <c r="Q26" i="1"/>
  <c r="AA26" i="1" s="1"/>
  <c r="G24" i="55"/>
  <c r="H14" i="54"/>
  <c r="J14" i="54" s="1"/>
  <c r="B25" i="44"/>
  <c r="Q55" i="1"/>
  <c r="AA55" i="1" s="1"/>
  <c r="Q52" i="1"/>
  <c r="AA52" i="1" s="1"/>
  <c r="Q54" i="1"/>
  <c r="AA54" i="1" s="1"/>
  <c r="H16" i="47"/>
  <c r="J16" i="47" s="1"/>
  <c r="I18" i="47"/>
  <c r="I19" i="47"/>
  <c r="E16" i="56"/>
  <c r="I18" i="56" s="1"/>
  <c r="B25" i="47"/>
  <c r="F24" i="54"/>
  <c r="F17" i="54"/>
  <c r="F18" i="54" s="1"/>
  <c r="B17" i="47"/>
  <c r="B18" i="47" s="1"/>
  <c r="F24" i="46"/>
  <c r="H14" i="47"/>
  <c r="J14" i="47" s="1"/>
  <c r="Q34" i="1"/>
  <c r="AA34" i="1" s="1"/>
  <c r="Q58" i="1"/>
  <c r="AA58" i="1" s="1"/>
  <c r="Q25" i="1"/>
  <c r="AA25" i="1" s="1"/>
  <c r="Q68" i="1"/>
  <c r="AA68" i="1" s="1"/>
  <c r="Q29" i="1"/>
  <c r="AA29" i="1" s="1"/>
  <c r="Q60" i="1"/>
  <c r="AA60" i="1" s="1"/>
  <c r="Q9" i="1"/>
  <c r="AA9" i="1" s="1"/>
  <c r="Q22" i="1"/>
  <c r="AA22" i="1" s="1"/>
  <c r="Q65" i="1"/>
  <c r="AA65" i="1" s="1"/>
  <c r="Q28" i="1"/>
  <c r="AA28" i="1" s="1"/>
  <c r="Q67" i="1"/>
  <c r="AA67" i="1" s="1"/>
  <c r="E24" i="55"/>
  <c r="H13" i="45"/>
  <c r="J13" i="45" s="1"/>
  <c r="B24" i="47"/>
  <c r="Q39" i="1"/>
  <c r="AA39" i="1" s="1"/>
  <c r="Q51" i="1"/>
  <c r="AA51" i="1" s="1"/>
  <c r="Q12" i="1"/>
  <c r="AA12" i="1" s="1"/>
  <c r="Q18" i="1"/>
  <c r="AA18" i="1" s="1"/>
  <c r="Q56" i="1"/>
  <c r="AA56" i="1" s="1"/>
  <c r="Q6" i="1"/>
  <c r="AA6" i="1" s="1"/>
  <c r="Q43" i="1"/>
  <c r="AA43" i="1" s="1"/>
  <c r="C10" i="57"/>
  <c r="C26" i="57" s="1"/>
  <c r="D17" i="45"/>
  <c r="D18" i="45" s="1"/>
  <c r="E17" i="47"/>
  <c r="E18" i="47" s="1"/>
  <c r="F17" i="46"/>
  <c r="F18" i="46" s="1"/>
  <c r="G30" i="57"/>
  <c r="C25" i="45"/>
  <c r="E25" i="43"/>
  <c r="F25" i="46"/>
  <c r="E24" i="47"/>
  <c r="H13" i="47"/>
  <c r="J13" i="47" s="1"/>
  <c r="D25" i="45"/>
  <c r="Q66" i="1"/>
  <c r="AA66" i="1" s="1"/>
  <c r="Q57" i="1"/>
  <c r="AA57" i="1" s="1"/>
  <c r="Q38" i="1"/>
  <c r="AA38" i="1" s="1"/>
  <c r="G17" i="50"/>
  <c r="G18" i="50" s="1"/>
  <c r="C32" i="49"/>
  <c r="C39" i="49" s="1"/>
  <c r="C12" i="49" s="1"/>
  <c r="E25" i="55"/>
  <c r="D24" i="45"/>
  <c r="D17" i="54"/>
  <c r="D18" i="54" s="1"/>
  <c r="C30" i="57"/>
  <c r="F10" i="57"/>
  <c r="F26" i="57" s="1"/>
  <c r="F12" i="56"/>
  <c r="Q15" i="1"/>
  <c r="AA15" i="1" s="1"/>
  <c r="Q11" i="1"/>
  <c r="AA11" i="1" s="1"/>
  <c r="Q47" i="1"/>
  <c r="AA47" i="1" s="1"/>
  <c r="Q13" i="1"/>
  <c r="AA13" i="1" s="1"/>
  <c r="Q8" i="1"/>
  <c r="AA8" i="1" s="1"/>
  <c r="Q50" i="1"/>
  <c r="AA50" i="1" s="1"/>
  <c r="Q69" i="1"/>
  <c r="AA69" i="1" s="1"/>
  <c r="Q41" i="1"/>
  <c r="AA41" i="1" s="1"/>
  <c r="Q36" i="1"/>
  <c r="AA36" i="1" s="1"/>
  <c r="D10" i="57"/>
  <c r="D26" i="57" s="1"/>
  <c r="D24" i="54"/>
  <c r="F24" i="44"/>
  <c r="Q21" i="1"/>
  <c r="AA21" i="1" s="1"/>
  <c r="Q45" i="1"/>
  <c r="AA45" i="1" s="1"/>
  <c r="Q42" i="1"/>
  <c r="AA42" i="1" s="1"/>
  <c r="Q59" i="1"/>
  <c r="AA59" i="1" s="1"/>
  <c r="Q48" i="1"/>
  <c r="AA48" i="1" s="1"/>
  <c r="Q7" i="1"/>
  <c r="AA7" i="1" s="1"/>
  <c r="Q49" i="1"/>
  <c r="AA49" i="1" s="1"/>
  <c r="Q64" i="1"/>
  <c r="AA64" i="1" s="1"/>
  <c r="C34" i="50"/>
  <c r="C41" i="50" s="1"/>
  <c r="C14" i="50" s="1"/>
  <c r="C32" i="50"/>
  <c r="C39" i="50" s="1"/>
  <c r="C12" i="50" s="1"/>
  <c r="E33" i="49"/>
  <c r="B33" i="49"/>
  <c r="B25" i="46"/>
  <c r="B24" i="46"/>
  <c r="B17" i="46"/>
  <c r="B18" i="46" s="1"/>
  <c r="E33" i="50"/>
  <c r="E40" i="50" s="1"/>
  <c r="E13" i="50" s="1"/>
  <c r="B24" i="44"/>
  <c r="B17" i="44"/>
  <c r="B18" i="44" s="1"/>
  <c r="B30" i="57"/>
  <c r="H12" i="47"/>
  <c r="J12" i="47" s="1"/>
  <c r="L15" i="47" s="1"/>
  <c r="L16" i="47" s="1"/>
  <c r="E15" i="55"/>
  <c r="C20" i="55"/>
  <c r="E16" i="55" s="1"/>
  <c r="B20" i="56"/>
  <c r="C20" i="56" s="1"/>
  <c r="D20" i="56" s="1"/>
  <c r="B20" i="57"/>
  <c r="C20" i="57" s="1"/>
  <c r="D20" i="57" s="1"/>
  <c r="C20" i="49"/>
  <c r="E15" i="49"/>
  <c r="C24" i="2"/>
  <c r="E15" i="50"/>
  <c r="C20" i="50"/>
  <c r="E15" i="54"/>
  <c r="C20" i="54"/>
  <c r="E16" i="54" s="1"/>
  <c r="Q74" i="1"/>
  <c r="AA74" i="1" s="1"/>
  <c r="H14" i="45"/>
  <c r="J14" i="45" s="1"/>
  <c r="Q73" i="1"/>
  <c r="AA73" i="1" s="1"/>
  <c r="H12" i="45"/>
  <c r="J12" i="45" s="1"/>
  <c r="L15" i="45" s="1"/>
  <c r="L17" i="45" s="1"/>
  <c r="H12" i="54"/>
  <c r="J12" i="54" s="1"/>
  <c r="D25" i="55"/>
  <c r="B34" i="49"/>
  <c r="C25" i="44"/>
  <c r="F17" i="50"/>
  <c r="F18" i="50" s="1"/>
  <c r="F24" i="47"/>
  <c r="B32" i="49"/>
  <c r="F24" i="50"/>
  <c r="F25" i="50"/>
  <c r="H11" i="50"/>
  <c r="E32" i="49"/>
  <c r="C17" i="44"/>
  <c r="C18" i="44" s="1"/>
  <c r="F25" i="47"/>
  <c r="F17" i="47"/>
  <c r="F18" i="47" s="1"/>
  <c r="C24" i="44"/>
  <c r="H14" i="55"/>
  <c r="J14" i="55" s="1"/>
  <c r="H11" i="45"/>
  <c r="J11" i="45" s="1"/>
  <c r="C24" i="46"/>
  <c r="E34" i="49"/>
  <c r="C24" i="45"/>
  <c r="C17" i="45"/>
  <c r="C18" i="45" s="1"/>
  <c r="C17" i="54"/>
  <c r="C18" i="54" s="1"/>
  <c r="E34" i="50"/>
  <c r="E41" i="50" s="1"/>
  <c r="E14" i="50" s="1"/>
  <c r="C24" i="54"/>
  <c r="B17" i="45"/>
  <c r="B18" i="45" s="1"/>
  <c r="D17" i="55"/>
  <c r="D18" i="55" s="1"/>
  <c r="C12" i="56"/>
  <c r="H13" i="54"/>
  <c r="J13" i="54" s="1"/>
  <c r="B24" i="54"/>
  <c r="D24" i="55"/>
  <c r="B17" i="54"/>
  <c r="B18" i="54" s="1"/>
  <c r="H12" i="55"/>
  <c r="J12" i="55" s="1"/>
  <c r="C25" i="46"/>
  <c r="C11" i="56"/>
  <c r="E30" i="57"/>
  <c r="H10" i="49"/>
  <c r="C10" i="56"/>
  <c r="C26" i="56" s="1"/>
  <c r="C17" i="46"/>
  <c r="C18" i="46" s="1"/>
  <c r="B25" i="54"/>
  <c r="D24" i="47"/>
  <c r="B26" i="29"/>
  <c r="D17" i="47"/>
  <c r="D18" i="47" s="1"/>
  <c r="B24" i="45"/>
  <c r="G17" i="54"/>
  <c r="G18" i="54" s="1"/>
  <c r="F7" i="8"/>
  <c r="G7" i="8" s="1"/>
  <c r="F3" i="8"/>
  <c r="G3" i="8" s="1"/>
  <c r="F5" i="8"/>
  <c r="G5" i="8" s="1"/>
  <c r="F8" i="8"/>
  <c r="F2" i="8"/>
  <c r="G2" i="8" s="1"/>
  <c r="F4" i="8"/>
  <c r="G4" i="8" s="1"/>
  <c r="F6" i="8"/>
  <c r="G6" i="8" s="1"/>
  <c r="B19" i="9"/>
  <c r="B34" i="50"/>
  <c r="B41" i="50" s="1"/>
  <c r="B14" i="50" s="1"/>
  <c r="E10" i="57"/>
  <c r="E26" i="57" s="1"/>
  <c r="F11" i="57"/>
  <c r="F12" i="57"/>
  <c r="F14" i="57"/>
  <c r="D12" i="57"/>
  <c r="F13" i="57"/>
  <c r="B32" i="50"/>
  <c r="B39" i="50" s="1"/>
  <c r="B12" i="50" s="1"/>
  <c r="D12" i="2"/>
  <c r="E12" i="2" s="1"/>
  <c r="N12" i="2" s="1"/>
  <c r="D13" i="2"/>
  <c r="E13" i="2" s="1"/>
  <c r="N13" i="2" s="1"/>
  <c r="D9" i="2"/>
  <c r="E9" i="2" s="1"/>
  <c r="N9" i="2" s="1"/>
  <c r="D10" i="2"/>
  <c r="E10" i="2" s="1"/>
  <c r="N10" i="2" s="1"/>
  <c r="D11" i="2"/>
  <c r="E11" i="2" s="1"/>
  <c r="N11" i="2" s="1"/>
  <c r="H10" i="47"/>
  <c r="J10" i="47" s="1"/>
  <c r="E32" i="50"/>
  <c r="E39" i="50" s="1"/>
  <c r="E12" i="50" s="1"/>
  <c r="H10" i="50"/>
  <c r="J10" i="50" s="1"/>
  <c r="B26" i="50"/>
  <c r="G10" i="57"/>
  <c r="G26" i="57" s="1"/>
  <c r="H10" i="45"/>
  <c r="J10" i="45" s="1"/>
  <c r="G10" i="56"/>
  <c r="G26" i="56" s="1"/>
  <c r="G26" i="43"/>
  <c r="B26" i="56"/>
  <c r="H10" i="46"/>
  <c r="J10" i="46" s="1"/>
  <c r="B26" i="46"/>
  <c r="H10" i="54"/>
  <c r="J10" i="54" s="1"/>
  <c r="B26" i="54"/>
  <c r="C24" i="43"/>
  <c r="C17" i="43"/>
  <c r="C18" i="43" s="1"/>
  <c r="C14" i="56"/>
  <c r="E24" i="43"/>
  <c r="E17" i="43"/>
  <c r="E18" i="43" s="1"/>
  <c r="G24" i="43"/>
  <c r="G11" i="56"/>
  <c r="G17" i="43"/>
  <c r="G18" i="43" s="1"/>
  <c r="B11" i="56"/>
  <c r="B24" i="43"/>
  <c r="B17" i="43"/>
  <c r="B18" i="43" s="1"/>
  <c r="F25" i="43"/>
  <c r="F24" i="43"/>
  <c r="F13" i="56"/>
  <c r="F17" i="43"/>
  <c r="F18" i="43" s="1"/>
  <c r="C13" i="56"/>
  <c r="C25" i="43"/>
  <c r="G12" i="56"/>
  <c r="J11" i="50" l="1"/>
  <c r="AH58" i="1"/>
  <c r="H5" i="8" s="1"/>
  <c r="G33" i="49"/>
  <c r="G40" i="49" s="1"/>
  <c r="G13" i="49" s="1"/>
  <c r="G14" i="29"/>
  <c r="G14" i="57"/>
  <c r="D25" i="50"/>
  <c r="G34" i="29"/>
  <c r="G41" i="29" s="1"/>
  <c r="G34" i="56"/>
  <c r="G41" i="56" s="1"/>
  <c r="G34" i="57"/>
  <c r="G41" i="57" s="1"/>
  <c r="E16" i="49"/>
  <c r="I18" i="49" s="1"/>
  <c r="C20" i="29"/>
  <c r="D20" i="29" s="1"/>
  <c r="H15" i="49"/>
  <c r="E15" i="29"/>
  <c r="D24" i="50"/>
  <c r="D33" i="29"/>
  <c r="D40" i="29" s="1"/>
  <c r="H13" i="50"/>
  <c r="D14" i="57"/>
  <c r="C14" i="29"/>
  <c r="D10" i="56"/>
  <c r="D26" i="56" s="1"/>
  <c r="C34" i="29"/>
  <c r="C41" i="29" s="1"/>
  <c r="B38" i="49"/>
  <c r="B11" i="49" s="1"/>
  <c r="B11" i="29" s="1"/>
  <c r="B31" i="29"/>
  <c r="B38" i="29" s="1"/>
  <c r="E38" i="49"/>
  <c r="E11" i="49" s="1"/>
  <c r="E11" i="29" s="1"/>
  <c r="E31" i="29"/>
  <c r="E38" i="29" s="1"/>
  <c r="E41" i="49"/>
  <c r="E14" i="49" s="1"/>
  <c r="E14" i="29" s="1"/>
  <c r="E34" i="29"/>
  <c r="E41" i="29" s="1"/>
  <c r="B40" i="49"/>
  <c r="B13" i="49" s="1"/>
  <c r="B33" i="29"/>
  <c r="B40" i="29" s="1"/>
  <c r="E40" i="49"/>
  <c r="E13" i="49" s="1"/>
  <c r="E33" i="29"/>
  <c r="E40" i="29" s="1"/>
  <c r="C40" i="49"/>
  <c r="C13" i="49" s="1"/>
  <c r="C13" i="57" s="1"/>
  <c r="C33" i="29"/>
  <c r="C40" i="29" s="1"/>
  <c r="E14" i="56"/>
  <c r="E25" i="56" s="1"/>
  <c r="B39" i="49"/>
  <c r="B12" i="49" s="1"/>
  <c r="B12" i="29" s="1"/>
  <c r="B32" i="29"/>
  <c r="B39" i="29" s="1"/>
  <c r="E25" i="44"/>
  <c r="E39" i="49"/>
  <c r="E12" i="49" s="1"/>
  <c r="E12" i="29" s="1"/>
  <c r="E32" i="29"/>
  <c r="E39" i="29" s="1"/>
  <c r="C38" i="49"/>
  <c r="C11" i="49" s="1"/>
  <c r="C11" i="29" s="1"/>
  <c r="C31" i="29"/>
  <c r="C38" i="29" s="1"/>
  <c r="D31" i="29"/>
  <c r="D38" i="29" s="1"/>
  <c r="G38" i="49"/>
  <c r="G11" i="49" s="1"/>
  <c r="G31" i="29"/>
  <c r="G38" i="29" s="1"/>
  <c r="C12" i="29"/>
  <c r="C32" i="29"/>
  <c r="C39" i="29" s="1"/>
  <c r="J10" i="49"/>
  <c r="H10" i="29"/>
  <c r="J10" i="29" s="1"/>
  <c r="B41" i="49"/>
  <c r="B14" i="49" s="1"/>
  <c r="B14" i="29" s="1"/>
  <c r="B34" i="29"/>
  <c r="B41" i="29" s="1"/>
  <c r="H13" i="44"/>
  <c r="J13" i="44" s="1"/>
  <c r="D17" i="43"/>
  <c r="D18" i="43" s="1"/>
  <c r="D11" i="56"/>
  <c r="D24" i="43"/>
  <c r="E24" i="44"/>
  <c r="H12" i="44"/>
  <c r="J12" i="44" s="1"/>
  <c r="L15" i="44" s="1"/>
  <c r="L17" i="44" s="1"/>
  <c r="H10" i="44"/>
  <c r="J10" i="44" s="1"/>
  <c r="D38" i="49"/>
  <c r="D11" i="49" s="1"/>
  <c r="D31" i="57"/>
  <c r="D38" i="57" s="1"/>
  <c r="E17" i="44"/>
  <c r="E18" i="44" s="1"/>
  <c r="H12" i="43"/>
  <c r="J12" i="43" s="1"/>
  <c r="L15" i="43" s="1"/>
  <c r="L17" i="43" s="1"/>
  <c r="E10" i="56"/>
  <c r="E26" i="56" s="1"/>
  <c r="H10" i="43"/>
  <c r="J10" i="43" s="1"/>
  <c r="E11" i="56"/>
  <c r="H11" i="44"/>
  <c r="J11" i="44" s="1"/>
  <c r="D40" i="49"/>
  <c r="D13" i="49" s="1"/>
  <c r="D13" i="29" s="1"/>
  <c r="D33" i="56"/>
  <c r="D40" i="56" s="1"/>
  <c r="D33" i="57"/>
  <c r="D40" i="57" s="1"/>
  <c r="D25" i="43"/>
  <c r="H13" i="43"/>
  <c r="J13" i="43" s="1"/>
  <c r="G31" i="57"/>
  <c r="G38" i="57" s="1"/>
  <c r="G31" i="56"/>
  <c r="G38" i="56" s="1"/>
  <c r="C5" i="8"/>
  <c r="E5" i="8" s="1"/>
  <c r="G39" i="49"/>
  <c r="G12" i="49" s="1"/>
  <c r="G12" i="29" s="1"/>
  <c r="G32" i="56"/>
  <c r="G39" i="56" s="1"/>
  <c r="G39" i="29"/>
  <c r="G32" i="57"/>
  <c r="G39" i="57" s="1"/>
  <c r="D24" i="46"/>
  <c r="D12" i="56"/>
  <c r="H11" i="46"/>
  <c r="I12" i="46" s="1"/>
  <c r="I11" i="46" s="1"/>
  <c r="H13" i="46"/>
  <c r="J13" i="46" s="1"/>
  <c r="D17" i="46"/>
  <c r="D18" i="46" s="1"/>
  <c r="D13" i="56"/>
  <c r="D14" i="56"/>
  <c r="D25" i="46"/>
  <c r="H14" i="46"/>
  <c r="J14" i="46" s="1"/>
  <c r="H6" i="8"/>
  <c r="C6" i="8"/>
  <c r="E6" i="8" s="1"/>
  <c r="C31" i="57"/>
  <c r="C38" i="57" s="1"/>
  <c r="I19" i="56"/>
  <c r="H16" i="56"/>
  <c r="J16" i="56" s="1"/>
  <c r="C31" i="56"/>
  <c r="C38" i="56" s="1"/>
  <c r="B31" i="57"/>
  <c r="B38" i="57" s="1"/>
  <c r="E31" i="57"/>
  <c r="E38" i="57" s="1"/>
  <c r="B32" i="57"/>
  <c r="B39" i="57" s="1"/>
  <c r="D20" i="49"/>
  <c r="C33" i="57"/>
  <c r="C40" i="57" s="1"/>
  <c r="C24" i="50"/>
  <c r="C17" i="50"/>
  <c r="C18" i="50" s="1"/>
  <c r="C25" i="50"/>
  <c r="C33" i="56"/>
  <c r="C40" i="56" s="1"/>
  <c r="B33" i="57"/>
  <c r="B40" i="57" s="1"/>
  <c r="E25" i="50"/>
  <c r="E33" i="57"/>
  <c r="E40" i="57" s="1"/>
  <c r="L17" i="47"/>
  <c r="I12" i="47"/>
  <c r="I11" i="47" s="1"/>
  <c r="H17" i="47"/>
  <c r="J4" i="47" s="1"/>
  <c r="I12" i="54"/>
  <c r="I11" i="54" s="1"/>
  <c r="H15" i="54"/>
  <c r="J15" i="54" s="1"/>
  <c r="L15" i="54" s="1"/>
  <c r="I18" i="54"/>
  <c r="E17" i="54"/>
  <c r="E18" i="54" s="1"/>
  <c r="D20" i="50"/>
  <c r="E16" i="50"/>
  <c r="H15" i="50"/>
  <c r="J15" i="50" s="1"/>
  <c r="I19" i="54"/>
  <c r="H16" i="54"/>
  <c r="J16" i="54" s="1"/>
  <c r="H16" i="55"/>
  <c r="J16" i="55" s="1"/>
  <c r="I19" i="55"/>
  <c r="D20" i="54"/>
  <c r="D20" i="55"/>
  <c r="E15" i="57"/>
  <c r="H15" i="55"/>
  <c r="J15" i="55" s="1"/>
  <c r="L15" i="55" s="1"/>
  <c r="I18" i="55"/>
  <c r="E17" i="55"/>
  <c r="E18" i="55" s="1"/>
  <c r="L16" i="45"/>
  <c r="L17" i="46"/>
  <c r="I12" i="55"/>
  <c r="I11" i="55" s="1"/>
  <c r="H17" i="45"/>
  <c r="J4" i="45" s="1"/>
  <c r="I12" i="45"/>
  <c r="I11" i="45" s="1"/>
  <c r="C34" i="57"/>
  <c r="C41" i="57" s="1"/>
  <c r="C34" i="56"/>
  <c r="C41" i="56" s="1"/>
  <c r="G17" i="57"/>
  <c r="G18" i="57" s="1"/>
  <c r="F25" i="57"/>
  <c r="H4" i="8"/>
  <c r="C32" i="57"/>
  <c r="C39" i="57" s="1"/>
  <c r="E32" i="57"/>
  <c r="E39" i="57" s="1"/>
  <c r="N14" i="2"/>
  <c r="C14" i="57"/>
  <c r="H10" i="57"/>
  <c r="J10" i="57" s="1"/>
  <c r="C4" i="8"/>
  <c r="E4" i="8" s="1"/>
  <c r="E34" i="57"/>
  <c r="E41" i="57" s="1"/>
  <c r="E24" i="50"/>
  <c r="C2" i="8"/>
  <c r="E2" i="8" s="1"/>
  <c r="H12" i="50"/>
  <c r="J19" i="50" s="1"/>
  <c r="B24" i="50"/>
  <c r="B17" i="50"/>
  <c r="B18" i="50" s="1"/>
  <c r="B25" i="50"/>
  <c r="H14" i="50"/>
  <c r="J14" i="50" s="1"/>
  <c r="H10" i="56"/>
  <c r="J10" i="56" s="1"/>
  <c r="B34" i="57"/>
  <c r="B41" i="57" s="1"/>
  <c r="H3" i="8"/>
  <c r="C3" i="8"/>
  <c r="E3" i="8" s="1"/>
  <c r="C24" i="56"/>
  <c r="C32" i="56"/>
  <c r="C39" i="56" s="1"/>
  <c r="H2" i="8"/>
  <c r="C25" i="56"/>
  <c r="J11" i="43"/>
  <c r="D17" i="57"/>
  <c r="D18" i="57" s="1"/>
  <c r="C17" i="56"/>
  <c r="C18" i="56" s="1"/>
  <c r="F17" i="29"/>
  <c r="F18" i="29" s="1"/>
  <c r="F25" i="56"/>
  <c r="F17" i="56"/>
  <c r="F18" i="56" s="1"/>
  <c r="F24" i="56"/>
  <c r="G24" i="56"/>
  <c r="G17" i="56"/>
  <c r="G18" i="56" s="1"/>
  <c r="F17" i="57"/>
  <c r="F18" i="57" s="1"/>
  <c r="F24" i="57"/>
  <c r="F24" i="29"/>
  <c r="O26" i="21" s="1"/>
  <c r="F25" i="29"/>
  <c r="B13" i="29" l="1"/>
  <c r="B25" i="29" s="1"/>
  <c r="H13" i="49"/>
  <c r="J13" i="50"/>
  <c r="G33" i="57"/>
  <c r="G40" i="57" s="1"/>
  <c r="G33" i="56"/>
  <c r="G40" i="56" s="1"/>
  <c r="G33" i="29"/>
  <c r="G40" i="29" s="1"/>
  <c r="E13" i="29"/>
  <c r="E25" i="29" s="1"/>
  <c r="E25" i="49"/>
  <c r="G13" i="29"/>
  <c r="G25" i="29" s="1"/>
  <c r="G13" i="57"/>
  <c r="G25" i="57" s="1"/>
  <c r="G25" i="49"/>
  <c r="B13" i="57"/>
  <c r="B13" i="56"/>
  <c r="H13" i="56" s="1"/>
  <c r="J13" i="56" s="1"/>
  <c r="C9" i="21"/>
  <c r="C10" i="21"/>
  <c r="I19" i="49"/>
  <c r="H16" i="49"/>
  <c r="J16" i="49" s="1"/>
  <c r="E16" i="57"/>
  <c r="I19" i="57" s="1"/>
  <c r="J15" i="49"/>
  <c r="H15" i="29"/>
  <c r="J15" i="29" s="1"/>
  <c r="B11" i="57"/>
  <c r="E11" i="57"/>
  <c r="B24" i="49"/>
  <c r="B17" i="49"/>
  <c r="B18" i="49" s="1"/>
  <c r="B25" i="49"/>
  <c r="H14" i="49"/>
  <c r="J14" i="49" s="1"/>
  <c r="E16" i="29"/>
  <c r="I19" i="29" s="1"/>
  <c r="C25" i="49"/>
  <c r="C13" i="29"/>
  <c r="C24" i="29" s="1"/>
  <c r="L26" i="21" s="1"/>
  <c r="E17" i="49"/>
  <c r="E18" i="49" s="1"/>
  <c r="H12" i="49"/>
  <c r="E13" i="57"/>
  <c r="G11" i="57"/>
  <c r="G11" i="29"/>
  <c r="H11" i="49"/>
  <c r="D11" i="29"/>
  <c r="D17" i="29" s="1"/>
  <c r="D18" i="29" s="1"/>
  <c r="C17" i="49"/>
  <c r="C18" i="49" s="1"/>
  <c r="E24" i="49"/>
  <c r="C24" i="49"/>
  <c r="C11" i="57"/>
  <c r="H17" i="44"/>
  <c r="J4" i="44" s="1"/>
  <c r="L16" i="44"/>
  <c r="H11" i="56"/>
  <c r="J11" i="56" s="1"/>
  <c r="I12" i="44"/>
  <c r="I11" i="44" s="1"/>
  <c r="I12" i="43"/>
  <c r="I11" i="43" s="1"/>
  <c r="H17" i="43"/>
  <c r="J17" i="43" s="1"/>
  <c r="D11" i="57"/>
  <c r="L16" i="43"/>
  <c r="E24" i="56"/>
  <c r="E17" i="56"/>
  <c r="E18" i="56" s="1"/>
  <c r="D25" i="49"/>
  <c r="D24" i="49"/>
  <c r="D13" i="57"/>
  <c r="D17" i="49"/>
  <c r="D18" i="49" s="1"/>
  <c r="G24" i="49"/>
  <c r="G17" i="49"/>
  <c r="G18" i="49" s="1"/>
  <c r="G12" i="57"/>
  <c r="D25" i="56"/>
  <c r="D24" i="56"/>
  <c r="H17" i="46"/>
  <c r="J4" i="46" s="1"/>
  <c r="D17" i="56"/>
  <c r="D18" i="56" s="1"/>
  <c r="J11" i="46"/>
  <c r="C25" i="57"/>
  <c r="H17" i="54"/>
  <c r="J4" i="54" s="1"/>
  <c r="E17" i="50"/>
  <c r="E18" i="50" s="1"/>
  <c r="H17" i="55"/>
  <c r="J4" i="55" s="1"/>
  <c r="J17" i="47"/>
  <c r="L17" i="55"/>
  <c r="L16" i="55"/>
  <c r="I19" i="50"/>
  <c r="H16" i="50"/>
  <c r="H17" i="50" s="1"/>
  <c r="H15" i="57"/>
  <c r="J15" i="57" s="1"/>
  <c r="L16" i="54"/>
  <c r="L17" i="54"/>
  <c r="I18" i="50"/>
  <c r="J17" i="45"/>
  <c r="B12" i="57"/>
  <c r="B12" i="56"/>
  <c r="B14" i="57"/>
  <c r="B14" i="56"/>
  <c r="J12" i="50"/>
  <c r="L15" i="50" s="1"/>
  <c r="E12" i="57"/>
  <c r="E14" i="57"/>
  <c r="C12" i="57"/>
  <c r="J19" i="49" l="1"/>
  <c r="J20" i="49"/>
  <c r="J20" i="50"/>
  <c r="G17" i="29"/>
  <c r="G18" i="29" s="1"/>
  <c r="B25" i="57"/>
  <c r="H11" i="57"/>
  <c r="J11" i="57" s="1"/>
  <c r="H11" i="29"/>
  <c r="H14" i="29"/>
  <c r="J14" i="29" s="1"/>
  <c r="I18" i="57"/>
  <c r="J4" i="43"/>
  <c r="C25" i="29"/>
  <c r="J12" i="49"/>
  <c r="L15" i="49" s="1"/>
  <c r="H12" i="29"/>
  <c r="J13" i="49"/>
  <c r="H13" i="29"/>
  <c r="H16" i="29"/>
  <c r="J16" i="29" s="1"/>
  <c r="E8" i="21" s="1"/>
  <c r="C8" i="21" s="1"/>
  <c r="H13" i="57"/>
  <c r="J13" i="57" s="1"/>
  <c r="I12" i="49"/>
  <c r="I11" i="49" s="1"/>
  <c r="H17" i="49"/>
  <c r="J17" i="49" s="1"/>
  <c r="E25" i="57"/>
  <c r="G24" i="57"/>
  <c r="J11" i="49"/>
  <c r="G24" i="29"/>
  <c r="P26" i="21" s="1"/>
  <c r="J17" i="44"/>
  <c r="D24" i="29"/>
  <c r="M26" i="21" s="1"/>
  <c r="D25" i="29"/>
  <c r="D25" i="57"/>
  <c r="D24" i="57"/>
  <c r="J17" i="46"/>
  <c r="J17" i="54"/>
  <c r="J17" i="55"/>
  <c r="H16" i="57"/>
  <c r="J16" i="57" s="1"/>
  <c r="J16" i="50"/>
  <c r="I18" i="29"/>
  <c r="E24" i="57"/>
  <c r="E17" i="57"/>
  <c r="E18" i="57" s="1"/>
  <c r="H12" i="56"/>
  <c r="B17" i="56"/>
  <c r="B18" i="56" s="1"/>
  <c r="B24" i="56"/>
  <c r="E24" i="29"/>
  <c r="N26" i="21" s="1"/>
  <c r="E17" i="29"/>
  <c r="E18" i="29" s="1"/>
  <c r="J4" i="50"/>
  <c r="J17" i="50"/>
  <c r="H14" i="57"/>
  <c r="J14" i="57" s="1"/>
  <c r="H12" i="57"/>
  <c r="H14" i="56"/>
  <c r="J14" i="56" s="1"/>
  <c r="B25" i="56"/>
  <c r="L17" i="50"/>
  <c r="L16" i="50"/>
  <c r="B24" i="29"/>
  <c r="K26" i="21" s="1"/>
  <c r="B17" i="29"/>
  <c r="B18" i="29" s="1"/>
  <c r="B17" i="57"/>
  <c r="B18" i="57" s="1"/>
  <c r="B24" i="57"/>
  <c r="C17" i="29"/>
  <c r="C18" i="29" s="1"/>
  <c r="C17" i="57"/>
  <c r="C18" i="57" s="1"/>
  <c r="C24" i="57"/>
  <c r="J13" i="29" l="1"/>
  <c r="J26" i="29" s="1"/>
  <c r="J20" i="29"/>
  <c r="J19" i="29"/>
  <c r="J11" i="29"/>
  <c r="J4" i="49"/>
  <c r="L17" i="49"/>
  <c r="L16" i="49"/>
  <c r="H17" i="29"/>
  <c r="O23" i="21" s="1"/>
  <c r="J12" i="56"/>
  <c r="L15" i="56" s="1"/>
  <c r="H17" i="56"/>
  <c r="I12" i="56"/>
  <c r="I11" i="56" s="1"/>
  <c r="J12" i="57"/>
  <c r="L15" i="57" s="1"/>
  <c r="I12" i="57"/>
  <c r="I11" i="57" s="1"/>
  <c r="H17" i="57"/>
  <c r="J12" i="29"/>
  <c r="L15" i="29" s="1"/>
  <c r="I12" i="29"/>
  <c r="I11" i="29" s="1"/>
  <c r="E13" i="21" l="1"/>
  <c r="J25" i="29"/>
  <c r="E7" i="21"/>
  <c r="C7" i="21" s="1"/>
  <c r="J17" i="56"/>
  <c r="J4" i="56"/>
  <c r="L17" i="56"/>
  <c r="L16" i="56"/>
  <c r="J4" i="29"/>
  <c r="J17" i="29"/>
  <c r="J4" i="57"/>
  <c r="J17" i="57"/>
  <c r="L17" i="57"/>
  <c r="L16" i="57"/>
  <c r="E15" i="21" l="1"/>
  <c r="C13" i="21"/>
  <c r="C15" i="21" s="1"/>
  <c r="E11" i="21"/>
  <c r="C11" i="21" s="1"/>
  <c r="L16" i="29"/>
  <c r="E16" i="21" s="1"/>
  <c r="L17" i="29"/>
  <c r="E18" i="21" l="1"/>
  <c r="C18" i="21" s="1"/>
  <c r="C12" i="21"/>
  <c r="E12" i="21"/>
  <c r="C16" i="21"/>
  <c r="E21" i="21" l="1"/>
  <c r="F27" i="21"/>
  <c r="D7" i="21"/>
  <c r="F25" i="21"/>
  <c r="F24" i="21"/>
  <c r="E29" i="21"/>
  <c r="F29" i="21" s="1"/>
  <c r="F26" i="21"/>
  <c r="F28" i="21"/>
  <c r="F15" i="21"/>
  <c r="F17" i="21"/>
  <c r="F13" i="21"/>
  <c r="F16" i="21"/>
  <c r="F20" i="21"/>
  <c r="D28" i="21"/>
  <c r="F14" i="21"/>
  <c r="F8" i="21"/>
  <c r="F10" i="21"/>
  <c r="F7" i="21"/>
  <c r="F19" i="21"/>
  <c r="F12" i="21"/>
  <c r="F18" i="21"/>
  <c r="F9" i="21"/>
  <c r="C21" i="21"/>
  <c r="D21" i="21" s="1"/>
  <c r="D16" i="21"/>
  <c r="F11" i="21"/>
  <c r="D19" i="21"/>
  <c r="D25" i="21"/>
  <c r="D18" i="21"/>
  <c r="D8" i="21"/>
  <c r="D14" i="21"/>
  <c r="D10" i="21"/>
  <c r="D17" i="21"/>
  <c r="D24" i="21"/>
  <c r="D15" i="21"/>
  <c r="D26" i="21"/>
  <c r="D13" i="21"/>
  <c r="D20" i="21"/>
  <c r="D12" i="21"/>
  <c r="D9" i="21"/>
  <c r="D11" i="21"/>
  <c r="F21" i="21" l="1"/>
  <c r="I21" i="21"/>
  <c r="E22" i="21"/>
  <c r="C22" i="21"/>
  <c r="D22" i="21" s="1"/>
  <c r="C27" i="21"/>
  <c r="F22" i="21" l="1"/>
  <c r="E30" i="21"/>
  <c r="I30" i="21" s="1"/>
  <c r="D27" i="21"/>
  <c r="C29" i="21"/>
  <c r="F30" i="21" l="1"/>
  <c r="E31" i="21"/>
  <c r="D29" i="21"/>
  <c r="C30" i="21"/>
  <c r="D30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tc={54B4AB6A-A7F9-4E79-8BD1-4A7778F89C1F}</author>
  </authors>
  <commentList>
    <comment ref="B15" authorId="0" shapeId="0" xr:uid="{54B4AB6A-A7F9-4E79-8BD1-4A7778F89C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Premium Economy</t>
      </text>
    </comment>
  </commentList>
</comments>
</file>

<file path=xl/sharedStrings.xml><?xml version="1.0" encoding="utf-8"?>
<sst xmlns="http://schemas.openxmlformats.org/spreadsheetml/2006/main" count="1540" uniqueCount="477">
  <si>
    <t>Flights Per Week</t>
  </si>
  <si>
    <t>Flights Per Year</t>
  </si>
  <si>
    <t xml:space="preserve">Load </t>
  </si>
  <si>
    <t>Description</t>
  </si>
  <si>
    <t xml:space="preserve">Grand Total </t>
  </si>
  <si>
    <t>Virgin Atlantic</t>
  </si>
  <si>
    <t xml:space="preserve">Unit Central Cost </t>
  </si>
  <si>
    <t xml:space="preserve">Cycle </t>
  </si>
  <si>
    <t>$</t>
  </si>
  <si>
    <t>%</t>
  </si>
  <si>
    <t>Discount</t>
  </si>
  <si>
    <t>Revenue Meals</t>
  </si>
  <si>
    <t>Revenue Handling</t>
  </si>
  <si>
    <t xml:space="preserve">Mark up on Food </t>
  </si>
  <si>
    <t>Revenue Overheads</t>
  </si>
  <si>
    <t xml:space="preserve">160000 employee +150000 overhead facility </t>
  </si>
  <si>
    <t xml:space="preserve">Mark up on Food Labor </t>
  </si>
  <si>
    <t>Revenue Other</t>
  </si>
  <si>
    <t xml:space="preserve">EXTRA REVENUE FROM MANAGEMENT LABOR COST (OP Overhead </t>
  </si>
  <si>
    <t xml:space="preserve">Mark up on Handling </t>
  </si>
  <si>
    <t>Net Revenue</t>
  </si>
  <si>
    <t>Food Cost</t>
  </si>
  <si>
    <t xml:space="preserve">VA ATL TOTAL HANDLING </t>
  </si>
  <si>
    <t>Other product cost</t>
  </si>
  <si>
    <t>A330</t>
  </si>
  <si>
    <t xml:space="preserve"> Total Direct Materials</t>
  </si>
  <si>
    <t>A350</t>
  </si>
  <si>
    <t>Direct Labor - Wages</t>
  </si>
  <si>
    <t>Direct Labor - OT Premium</t>
  </si>
  <si>
    <t>Direct Labor - Benefit Cost</t>
  </si>
  <si>
    <t>Direct Labor - Other</t>
  </si>
  <si>
    <t>VA ATL TRANSPORT</t>
  </si>
  <si>
    <t>Direct Management Labor Cost</t>
  </si>
  <si>
    <t>A330 TURNAROUND</t>
  </si>
  <si>
    <t>Total Direct Labor</t>
  </si>
  <si>
    <t>A350 TURNAROUND</t>
  </si>
  <si>
    <t>Gross Profit Margin (CM1)</t>
  </si>
  <si>
    <t>787 TURNAROUND</t>
  </si>
  <si>
    <t>VA ATL Avg. Revenue Per Flight</t>
  </si>
  <si>
    <t>Indirect Management Labor Cost</t>
  </si>
  <si>
    <t xml:space="preserve"> Avg. Price Per Pax </t>
  </si>
  <si>
    <t>VA ATL INTERNATIONAL GARBAGE</t>
  </si>
  <si>
    <t>Indirect Hourly Labor Cost</t>
  </si>
  <si>
    <t>FC</t>
  </si>
  <si>
    <t>BC</t>
  </si>
  <si>
    <t>PY</t>
  </si>
  <si>
    <t>EY</t>
  </si>
  <si>
    <t>TC</t>
  </si>
  <si>
    <t>CY</t>
  </si>
  <si>
    <t>Total Indirect Labor</t>
  </si>
  <si>
    <t>Operating Expense-Variable</t>
  </si>
  <si>
    <t>Utility</t>
  </si>
  <si>
    <t>Operating Expense-Fixed</t>
  </si>
  <si>
    <t>??? Freezer and Cooler</t>
  </si>
  <si>
    <t>Overhead</t>
  </si>
  <si>
    <t>Other OPEX Cost</t>
  </si>
  <si>
    <t xml:space="preserve">PY </t>
  </si>
  <si>
    <t>YC</t>
  </si>
  <si>
    <t>CC</t>
  </si>
  <si>
    <t>VA ATL WASH UP</t>
  </si>
  <si>
    <t>EBITDA</t>
  </si>
  <si>
    <t>Note - On the P&amp;L we can update the Flights per week, AC type, Load Factor, Cycle &amp; Mark up's</t>
  </si>
  <si>
    <t>Overhead =(2/3)*(property tax+utility)</t>
  </si>
  <si>
    <t xml:space="preserve">VA ATL PACKING </t>
  </si>
  <si>
    <t>customer service account manager</t>
  </si>
  <si>
    <t xml:space="preserve">culinary operation duty manager </t>
  </si>
  <si>
    <t xml:space="preserve">hourly invoice assisant </t>
  </si>
  <si>
    <t xml:space="preserve">ramp duty manager </t>
  </si>
  <si>
    <t>CONTRACTORS</t>
  </si>
  <si>
    <t>EXTERIOR SIGNAGE</t>
  </si>
  <si>
    <t>MULTITEMP FREEZERS</t>
  </si>
  <si>
    <t>DISHWASHER RETAL (YEARLY)</t>
  </si>
  <si>
    <t>PERMITTING</t>
  </si>
  <si>
    <t>RENT/LEASE (YEARLY)</t>
  </si>
  <si>
    <t>TRUCK (2 TRUCKS)</t>
  </si>
  <si>
    <t>EQUIPMENT AND UTILITY (5 YEARS)</t>
  </si>
  <si>
    <t>Bid Fact Sheet</t>
  </si>
  <si>
    <t>Airline Name</t>
  </si>
  <si>
    <t>NEOS</t>
  </si>
  <si>
    <t xml:space="preserve">City Code and Unit Number </t>
  </si>
  <si>
    <t>JFK</t>
  </si>
  <si>
    <t>Date Bid Preparation Begins</t>
  </si>
  <si>
    <t>Period used for Annualization</t>
  </si>
  <si>
    <t>Access Fee %</t>
  </si>
  <si>
    <t>Trade Discount %</t>
  </si>
  <si>
    <t>Cash Discount %</t>
  </si>
  <si>
    <t>Start Up Date</t>
  </si>
  <si>
    <t>Aircraft Type</t>
  </si>
  <si>
    <t xml:space="preserve"> </t>
  </si>
  <si>
    <t>Configuration:       First Class</t>
  </si>
  <si>
    <t>Business Class</t>
  </si>
  <si>
    <t>Tourist Class</t>
  </si>
  <si>
    <t>ETA</t>
  </si>
  <si>
    <t>ETD</t>
  </si>
  <si>
    <t>Frequency (days of operations)</t>
  </si>
  <si>
    <t>Total No. of Flights per Year</t>
  </si>
  <si>
    <t>Load Factor %</t>
  </si>
  <si>
    <t>Source of Load Factor</t>
  </si>
  <si>
    <t>Flight Config</t>
  </si>
  <si>
    <t>Account Rep.</t>
  </si>
  <si>
    <t>Kathy Shi</t>
  </si>
  <si>
    <t>Reason For Bid</t>
  </si>
  <si>
    <t>New Unit</t>
  </si>
  <si>
    <t>Food Markup</t>
  </si>
  <si>
    <t>Incumbent</t>
  </si>
  <si>
    <t>Ancillary Markup</t>
  </si>
  <si>
    <t>New or Old Route</t>
  </si>
  <si>
    <t>New</t>
  </si>
  <si>
    <t>Service Markup</t>
  </si>
  <si>
    <t>Credit Established/Payment Status</t>
  </si>
  <si>
    <t>Was Account Previously Bid</t>
  </si>
  <si>
    <t>Overhead Recovery per Pax  F/C</t>
  </si>
  <si>
    <t>Outcome</t>
  </si>
  <si>
    <t>Overhead Recovery per Pax  B/C</t>
  </si>
  <si>
    <t>Is there a Global Agreement</t>
  </si>
  <si>
    <t>Overhead Recovery per Pax  E/U</t>
  </si>
  <si>
    <t>Date Building Lease expires</t>
  </si>
  <si>
    <t>Overhead Recovery per Pax  Y/C</t>
  </si>
  <si>
    <t>Overhead Recovery per Pax  C/Y</t>
  </si>
  <si>
    <t>Overhead Recovery per Pax  C/C</t>
  </si>
  <si>
    <t>Investment</t>
  </si>
  <si>
    <t>Amount</t>
  </si>
  <si>
    <t>No. Years</t>
  </si>
  <si>
    <t>$ per Year</t>
  </si>
  <si>
    <t>Overhead Recovery per Pax  T/C</t>
  </si>
  <si>
    <t xml:space="preserve">Building  </t>
  </si>
  <si>
    <t>Land</t>
  </si>
  <si>
    <t>N/A</t>
  </si>
  <si>
    <t>Building  - Leasehold Improvements</t>
  </si>
  <si>
    <t>Trucks - Highlifts</t>
  </si>
  <si>
    <t>Trucks - Vans/Utility Vehicles</t>
  </si>
  <si>
    <t>Equipment</t>
  </si>
  <si>
    <t>Rent of Property</t>
  </si>
  <si>
    <t>Other Cities that Dnata serves this Customer and Discounts applied:</t>
  </si>
  <si>
    <t>SFO</t>
  </si>
  <si>
    <t>Pricing Assumptions:</t>
  </si>
  <si>
    <t>Methodology: fc+lc+mu=sp</t>
  </si>
  <si>
    <t>Contract length:</t>
  </si>
  <si>
    <t># of Trucks/price - ea:</t>
  </si>
  <si>
    <t># of Vans/Utility Vehicles/price - ea:</t>
  </si>
  <si>
    <t xml:space="preserve">Equipment descriptions: </t>
  </si>
  <si>
    <t xml:space="preserve">Customer </t>
  </si>
  <si>
    <t>Flights Per week</t>
  </si>
  <si>
    <t xml:space="preserve">AC type </t>
  </si>
  <si>
    <t xml:space="preserve">AC Type </t>
  </si>
  <si>
    <t>Flights Per Month</t>
  </si>
  <si>
    <t xml:space="preserve">Total Revenues </t>
  </si>
  <si>
    <t xml:space="preserve">Annual Flights </t>
  </si>
  <si>
    <t xml:space="preserve">Summary </t>
  </si>
  <si>
    <t>BNA</t>
  </si>
  <si>
    <t xml:space="preserve">Total </t>
  </si>
  <si>
    <t>Hnd</t>
  </si>
  <si>
    <t>FLIGHT CONFIG</t>
  </si>
  <si>
    <t xml:space="preserve">Load Factor </t>
  </si>
  <si>
    <t>FIRST CLASS</t>
  </si>
  <si>
    <t>BUSINESS CLASS</t>
  </si>
  <si>
    <t>PREMIUM ECONOMY CLASS</t>
  </si>
  <si>
    <t>ECONOMY CLASS</t>
  </si>
  <si>
    <t>TECH CREW CLASS</t>
  </si>
  <si>
    <t>cABIN CREW CLASS</t>
  </si>
  <si>
    <t>Per Flight</t>
  </si>
  <si>
    <t xml:space="preserve">Annual </t>
  </si>
  <si>
    <t>OVERHEAD</t>
  </si>
  <si>
    <t>Food Cost (DM)</t>
  </si>
  <si>
    <t>Wage Cost (DL)</t>
  </si>
  <si>
    <t>Food Mark up</t>
  </si>
  <si>
    <t>Labor Mark up</t>
  </si>
  <si>
    <t xml:space="preserve">Direct Labour </t>
  </si>
  <si>
    <t xml:space="preserve">Handling Cost </t>
  </si>
  <si>
    <t xml:space="preserve">Handling Mark up </t>
  </si>
  <si>
    <t>Total Per Flight</t>
  </si>
  <si>
    <t>Handling</t>
  </si>
  <si>
    <t xml:space="preserve">Cost </t>
  </si>
  <si>
    <t xml:space="preserve">Mark Up </t>
  </si>
  <si>
    <t xml:space="preserve">Price </t>
  </si>
  <si>
    <t>737 Handling</t>
  </si>
  <si>
    <t>B777 Handling</t>
  </si>
  <si>
    <t>A380 Handling</t>
  </si>
  <si>
    <t xml:space="preserve">Avg Price Per Pax </t>
  </si>
  <si>
    <t xml:space="preserve">Avg Mark up Per Pax </t>
  </si>
  <si>
    <t xml:space="preserve">Over head Per Pax </t>
  </si>
  <si>
    <t>CYCLE</t>
  </si>
  <si>
    <t>FLT</t>
  </si>
  <si>
    <t xml:space="preserve">Config </t>
  </si>
  <si>
    <t>Markup Food</t>
  </si>
  <si>
    <t>Markup Labor</t>
  </si>
  <si>
    <t xml:space="preserve">Per Pax Avg </t>
  </si>
  <si>
    <t>738 Handling</t>
  </si>
  <si>
    <t>CABIN CREW CLASS</t>
  </si>
  <si>
    <t>NM cost added</t>
  </si>
  <si>
    <t>Aircraft type</t>
  </si>
  <si>
    <t>WEEKS</t>
  </si>
  <si>
    <t>DFW</t>
  </si>
  <si>
    <t>EU</t>
  </si>
  <si>
    <t>FLIGHTS/WEEK</t>
  </si>
  <si>
    <t>FLTS PER YEAR</t>
  </si>
  <si>
    <t>LOAD FACTORS</t>
  </si>
  <si>
    <t># OF CYCLES</t>
  </si>
  <si>
    <t>PAX COUNT</t>
  </si>
  <si>
    <t>FLTS PER CYCLE</t>
  </si>
  <si>
    <t>AC350</t>
  </si>
  <si>
    <t>AC330</t>
  </si>
  <si>
    <t>Annual</t>
  </si>
  <si>
    <t>CLASS</t>
  </si>
  <si>
    <t>SERVICE</t>
  </si>
  <si>
    <t>Item #</t>
  </si>
  <si>
    <t>QTY</t>
  </si>
  <si>
    <t>RATIOS</t>
  </si>
  <si>
    <t>Volume Per Flight</t>
  </si>
  <si>
    <t>DM</t>
  </si>
  <si>
    <t>IE MM</t>
  </si>
  <si>
    <t>DL</t>
  </si>
  <si>
    <t>TOTAL COST</t>
  </si>
  <si>
    <t>Labor Markup</t>
  </si>
  <si>
    <t>Price</t>
  </si>
  <si>
    <t>NM per flt</t>
  </si>
  <si>
    <t>DM per flt</t>
  </si>
  <si>
    <t>MM per flt</t>
  </si>
  <si>
    <t>DL per flt</t>
  </si>
  <si>
    <t>Cost per flt</t>
  </si>
  <si>
    <t>Food Markup per flt</t>
  </si>
  <si>
    <t>Labor Markup Per flt</t>
  </si>
  <si>
    <t>Revenue per flt</t>
  </si>
  <si>
    <t>Annual NM cost</t>
  </si>
  <si>
    <t>Annual DM</t>
  </si>
  <si>
    <t>Annual MM</t>
  </si>
  <si>
    <t>Annual DL</t>
  </si>
  <si>
    <t>Annual Cost</t>
  </si>
  <si>
    <t>Annual Revenue</t>
  </si>
  <si>
    <t>FLT#</t>
  </si>
  <si>
    <t>AVG PER CLASS</t>
  </si>
  <si>
    <t>AVG PAX</t>
  </si>
  <si>
    <t>AVG $/PAX</t>
  </si>
  <si>
    <t>FLIGHTS/YEAR</t>
  </si>
  <si>
    <t>PAX/YEAR</t>
  </si>
  <si>
    <t>SALES/YEAR</t>
  </si>
  <si>
    <t>HANDLING</t>
  </si>
  <si>
    <t>HANDLING CALCULATOR</t>
  </si>
  <si>
    <t>ALL AC TYPE</t>
  </si>
  <si>
    <t>STATION</t>
  </si>
  <si>
    <t>AC TYPE</t>
  </si>
  <si>
    <t xml:space="preserve">Long Hual with Food </t>
  </si>
  <si>
    <t># OF DAYS OPERATING</t>
  </si>
  <si>
    <t>LABOR</t>
  </si>
  <si>
    <t>POSITION</t>
  </si>
  <si>
    <t>No. of SHIFTS</t>
  </si>
  <si>
    <t>HOURS</t>
  </si>
  <si>
    <t>SHIFTS/WK</t>
  </si>
  <si>
    <t>ANNUAL HOURS</t>
  </si>
  <si>
    <t>RATE</t>
  </si>
  <si>
    <t>EMP COST</t>
  </si>
  <si>
    <t>ANNUAL</t>
  </si>
  <si>
    <t>PER FLIGHT</t>
  </si>
  <si>
    <t>PACKER/QC</t>
  </si>
  <si>
    <t>EMD</t>
  </si>
  <si>
    <t>DISHWASHER</t>
  </si>
  <si>
    <t xml:space="preserve">Van Charge </t>
  </si>
  <si>
    <t xml:space="preserve">Ramp Coordinator </t>
  </si>
  <si>
    <t xml:space="preserve">Labor </t>
  </si>
  <si>
    <t xml:space="preserve">Tuck </t>
  </si>
  <si>
    <t xml:space="preserve">total </t>
  </si>
  <si>
    <t>Selling price</t>
  </si>
  <si>
    <t>INVENTORY CLERK</t>
  </si>
  <si>
    <t>DRIVER</t>
  </si>
  <si>
    <t>Total</t>
  </si>
  <si>
    <t>TRUCK COSTS</t>
  </si>
  <si>
    <t>No. of TRUCKS</t>
  </si>
  <si>
    <t>OP HOURS</t>
  </si>
  <si>
    <t>TTL OP HRS</t>
  </si>
  <si>
    <t>DEP./DAY</t>
  </si>
  <si>
    <t>DEP/HR APPLIED</t>
  </si>
  <si>
    <t>DEP $</t>
  </si>
  <si>
    <t>MAIN/FEES/DAY</t>
  </si>
  <si>
    <t>MAIN COST</t>
  </si>
  <si>
    <t>FUEL COST CALCULATOR</t>
  </si>
  <si>
    <t>A380 TRUCKS</t>
  </si>
  <si>
    <t>ROUND TRIP MILES</t>
  </si>
  <si>
    <t>NARROWBODY TRUCKS</t>
  </si>
  <si>
    <t>IDLE MILES</t>
  </si>
  <si>
    <t>TTL MILES</t>
  </si>
  <si>
    <t>MPG</t>
  </si>
  <si>
    <t>TOTAL HANDLING COST</t>
  </si>
  <si>
    <t>$/GAL</t>
  </si>
  <si>
    <t>MARK-UP</t>
  </si>
  <si>
    <t>long hual</t>
  </si>
  <si>
    <t xml:space="preserve">short hual </t>
  </si>
  <si>
    <t>FUEL $</t>
  </si>
  <si>
    <t>TOTAL HANDLING PRICE</t>
  </si>
  <si>
    <t>Turnaround</t>
  </si>
  <si>
    <t>ASSUMPTIONS</t>
  </si>
  <si>
    <t>One coordinator</t>
  </si>
  <si>
    <t>Two trucks</t>
  </si>
  <si>
    <t>Two helpers</t>
  </si>
  <si>
    <t>WASHUP</t>
  </si>
  <si>
    <t xml:space="preserve">EQUIPMENT PACKING </t>
  </si>
  <si>
    <t xml:space="preserve">TRANSPORT &amp; HANDLING </t>
  </si>
  <si>
    <t xml:space="preserve">INTERNATIONAL TRASH </t>
  </si>
  <si>
    <t>Category</t>
  </si>
  <si>
    <t>Aircraft</t>
  </si>
  <si>
    <t>Packing Category</t>
  </si>
  <si>
    <t>Total Man Minutes per Aircraft</t>
  </si>
  <si>
    <t>Price per MM</t>
  </si>
  <si>
    <t xml:space="preserve">ATL Price </t>
  </si>
  <si>
    <t>ATL</t>
  </si>
  <si>
    <t>A330-300</t>
  </si>
  <si>
    <t>A330-900</t>
  </si>
  <si>
    <t>A350-1000</t>
  </si>
  <si>
    <t>A350-1000B</t>
  </si>
  <si>
    <t>B787-900</t>
  </si>
  <si>
    <t>China / Glassware (inc cutlery)</t>
  </si>
  <si>
    <t>Activity</t>
  </si>
  <si>
    <t>Total Cost ($)</t>
  </si>
  <si>
    <t>Turnaround (Strip and Load)</t>
  </si>
  <si>
    <t>Total factors - All flights</t>
  </si>
  <si>
    <t>Driver Man Minutes</t>
  </si>
  <si>
    <t>J-Class Equipment</t>
  </si>
  <si>
    <t>Quantities</t>
  </si>
  <si>
    <t>MM</t>
  </si>
  <si>
    <t>Price per Man Minutes</t>
  </si>
  <si>
    <t>Crockery</t>
  </si>
  <si>
    <t>Driver Cost</t>
  </si>
  <si>
    <t>Glassware</t>
  </si>
  <si>
    <t>Flt Co-ord Man Minutes</t>
  </si>
  <si>
    <t>Cutlery*</t>
  </si>
  <si>
    <t>WY Bar alcohol packing</t>
  </si>
  <si>
    <t>Tray 1/1</t>
  </si>
  <si>
    <t>Flt Co-ord Cost</t>
  </si>
  <si>
    <t>Sundries Items</t>
  </si>
  <si>
    <t>Dispatch Man Minutes</t>
  </si>
  <si>
    <t>Total Volume of Washing per Aircraft</t>
  </si>
  <si>
    <t>Dispatch Cost</t>
  </si>
  <si>
    <t>Price per Man Minute</t>
  </si>
  <si>
    <t>[Add resource as appropriate]</t>
  </si>
  <si>
    <t>Cost per Flight</t>
  </si>
  <si>
    <t>WY Bar packing</t>
  </si>
  <si>
    <t>[Add resource labour rate as appropriate]</t>
  </si>
  <si>
    <t>W-Class Equipment</t>
  </si>
  <si>
    <t>Cost</t>
  </si>
  <si>
    <t>Total Cost Per Flight</t>
  </si>
  <si>
    <t>Strip Only</t>
  </si>
  <si>
    <t>Tray (1/1 &amp; 1/2)</t>
  </si>
  <si>
    <t>Y-Class Equipment</t>
  </si>
  <si>
    <t>Tray 1/2</t>
  </si>
  <si>
    <t>Plastics</t>
  </si>
  <si>
    <t>Carts, Ovens &amp; Boxes</t>
  </si>
  <si>
    <t xml:space="preserve">Load Only </t>
  </si>
  <si>
    <t>Full Cart</t>
  </si>
  <si>
    <t>Half Cart</t>
  </si>
  <si>
    <t>Box</t>
  </si>
  <si>
    <t>Oven</t>
  </si>
  <si>
    <t>Waste Cart</t>
  </si>
  <si>
    <t>Drawer M11</t>
  </si>
  <si>
    <t>Drawer M8</t>
  </si>
  <si>
    <t>Glass Racks</t>
  </si>
  <si>
    <t>Total Cost Per Flight ($)</t>
  </si>
  <si>
    <t>Additional Activity</t>
  </si>
  <si>
    <t>Extra Truck Trip (one off fee if applicable)</t>
  </si>
  <si>
    <t>Aircraft Change Airside</t>
  </si>
  <si>
    <t>Extra Van Trip (one off fee if applicable)</t>
  </si>
  <si>
    <t>Garbage Removal (one off fee if applicable)</t>
  </si>
  <si>
    <t>Assumptions</t>
  </si>
  <si>
    <t>Finished Good Master</t>
  </si>
  <si>
    <t>Delta</t>
  </si>
  <si>
    <t>Item Description</t>
  </si>
  <si>
    <t>Price Code</t>
  </si>
  <si>
    <t>EQ1</t>
  </si>
  <si>
    <t>EQ2</t>
  </si>
  <si>
    <t>EQ3</t>
  </si>
  <si>
    <t>EQ4</t>
  </si>
  <si>
    <t>EQ5</t>
  </si>
  <si>
    <t>Unit Weight/ Count</t>
  </si>
  <si>
    <t>UOM</t>
  </si>
  <si>
    <t>Final Work Center</t>
  </si>
  <si>
    <t>Req / No processing needed</t>
  </si>
  <si>
    <t>Prep Center</t>
  </si>
  <si>
    <t>Item Weight</t>
  </si>
  <si>
    <t>unit cost</t>
  </si>
  <si>
    <t>cost per quantity</t>
  </si>
  <si>
    <t>man minutes</t>
  </si>
  <si>
    <t>labor factor</t>
  </si>
  <si>
    <t>labor rate</t>
  </si>
  <si>
    <t>labor cost</t>
  </si>
  <si>
    <t>total cost</t>
  </si>
  <si>
    <t>food markup</t>
  </si>
  <si>
    <t>labor m/u</t>
  </si>
  <si>
    <t>food sale price</t>
  </si>
  <si>
    <t>labor sale price</t>
  </si>
  <si>
    <t>calculated sale price</t>
  </si>
  <si>
    <t>Item         Price</t>
  </si>
  <si>
    <t>Final Food Cost %</t>
  </si>
  <si>
    <t>Column1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</si>
  <si>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</si>
  <si>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</si>
  <si>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</si>
  <si>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</si>
  <si>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</si>
  <si>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</si>
  <si>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</si>
  <si>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</si>
  <si>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</si>
  <si>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</si>
  <si>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</si>
  <si>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</si>
  <si>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</si>
  <si>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</si>
  <si>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</si>
  <si>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</si>
  <si>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</si>
  <si>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</si>
  <si>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</si>
  <si>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</si>
  <si>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</si>
  <si>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</si>
  <si>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</si>
  <si>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BREAKFAST SIDE 5 MAPLE CINNAMON BIRCHER MUESLI</t>
  </si>
  <si>
    <t>BC C1 BREAKFAST SIDE 6 CORN FLAKES</t>
  </si>
  <si>
    <t>BC C1 BREAKFAST SIDE OPTION 1 FIRED CHICKEN BISCUIT WITH TOMATO JAM</t>
  </si>
  <si>
    <t xml:space="preserve">BC C1 BREAKFAST SIDE OPTION 2 CHOCOLATE CROISSANT </t>
  </si>
  <si>
    <t xml:space="preserve">PY C1 DINNER GEORGIA PEACH CHILI WHIPPED BUTTER </t>
  </si>
  <si>
    <t xml:space="preserve">PY C1 DINNER SWEETWATER BEET AND CHEESE ROLL </t>
  </si>
  <si>
    <t xml:space="preserve">PY C1 DINNER STARTER MESCLUN MIX WITH CUCUMBER, CARROT AND BOCCONCINI MOZAZARELLA BALL 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</si>
  <si>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</si>
  <si>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</si>
  <si>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</si>
  <si>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 xml:space="preserve">PY C1 DINNER DESSERT BLACKBERRY PEACH COBBLER TART, CRÈME GRAICHE </t>
  </si>
  <si>
    <t xml:space="preserve">PY C1 DINNER CHEESE, THOMASVILLE TOMME, ASHER BLUE, ANGRY CUKES, MESCADINE JELLY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</si>
  <si>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</si>
  <si>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</si>
  <si>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</si>
  <si>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PY C1 BREAKFAST SIDE 1 FRUIT PLATE SESONAL FRUIT 100G</t>
  </si>
  <si>
    <t xml:space="preserve">PY C1 BREAKFAST SIDE 2 GREEK YOGURT 100G </t>
  </si>
  <si>
    <t>PY C1 BREAKFAST SIDE 3 PEACH AND PECAN SCONE</t>
  </si>
  <si>
    <t xml:space="preserve">YC C1 DINNER SWEETWATER BEET AND CHEESE ROLL </t>
  </si>
  <si>
    <t>YC C1 DINNER BUTTER CHIP 10G</t>
  </si>
  <si>
    <t>YC C1 DINNER STARTER 1 MESCLUN MIX, CUCUMBER, CARROT, CHERRY TOMATO</t>
  </si>
  <si>
    <t>YC C1 DINNER STARTER 2 RED QUINOA, CORN CAVIAR, SUNFLOWER SEED</t>
  </si>
  <si>
    <t>YC C1 DINNER ENTRÉE 1 BUTTER CHICKEN, CILANTRO LIME RICE, MIXED VEGETABLE</t>
  </si>
  <si>
    <t>YC C1 DINNER ENTRÉE 2 RIGATONI PASTA, POMODORINI SAUCE, WHIPPED RICOTTA, RED PEPPER</t>
  </si>
  <si>
    <t>YC C1 DINNER SIDE 1 TOMATO KACHUMBER SAQLAD</t>
  </si>
  <si>
    <t>YC C1 DINNER DESSERT BANANA PUDDING, BISCOFF CUMBLE, BUTTERSCOTCH</t>
  </si>
  <si>
    <t>YC C1 BREAKFAST SANDWICH 1 FARM EGG BREAKFAST BURROTTO, SALSA ROJA</t>
  </si>
  <si>
    <t>YC C1 BREAKFAST SANDWICH 2 BACON, EGG AND CHEESE HAND PIE WITH HASH BROWNS, SUNDRIED TOMATO AIOLI</t>
  </si>
  <si>
    <t>YC C1 BREAKFAST SIDE 1 COCONUT CHIA OVERNIGHT OATS</t>
  </si>
  <si>
    <t>YC C1 BREAKFAST SIDE 2 HOMEMADE BANANA BREAD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</si>
  <si>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</si>
  <si>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</si>
  <si>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</si>
  <si>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</si>
  <si>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</si>
  <si>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</si>
  <si>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</si>
  <si>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 xml:space="preserve">CREW C1 DINNER ENTRÉE 5 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</si>
  <si>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</si>
  <si>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</si>
  <si>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</si>
  <si>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</si>
  <si>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</si>
  <si>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</si>
  <si>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</si>
  <si>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</si>
  <si>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</si>
  <si>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CREW C3 DINNER CHEESE &amp; CRACKER, CELERY STICK, CARROT, HUMMUS</t>
  </si>
  <si>
    <t>CREW C3 DINNER HARD BOILED EGG WITH TURKEY CUBES AND CHEDDAR</t>
  </si>
  <si>
    <t>CREW C3 DINNER WHOLE FRUIT BANANA, APPLES AND ORANGE</t>
  </si>
  <si>
    <t>CREW C3 DINNER ENTRÉE 1 GULTEN FREE PENNE PASTA WITH MARINARA AND BROCCOLINI</t>
  </si>
  <si>
    <t>CREW C3 DINNER ENTRÉE 2 GRILLED HERB CHICKEN WITH QUINOA AND STEAMED VEGETABLES</t>
  </si>
  <si>
    <t>CREW C3 DINNER ENTRÉE 3 MOZZARELLA RAVIOLI WITH POMEDORI SAUCE, PESTO MARINATED BURATTA AND GARLIC SPINACH</t>
  </si>
  <si>
    <t xml:space="preserve">CREW C3 DINNER ENTRÉE 4 WILD MUSHROOM RAVIOLI WITH SAUTEED SPINACH AND ALFREDO SAUCE </t>
  </si>
  <si>
    <t xml:space="preserve">CREW C3 DINNER SANDWICH 1 VEGGIE WRAP </t>
  </si>
  <si>
    <t>CREW C3 DINNER SANDWICH 2 TURKEY CLUB SANDWICH</t>
  </si>
  <si>
    <t>CREW C3 DINNER SANDWICH 3 ROAST BEEF AND CHEDDAR SANDWICH</t>
  </si>
  <si>
    <t>CREW C3 DINNER SANDWICH 4 TUNA SALAD ON WHEAT BREAD</t>
  </si>
  <si>
    <t xml:space="preserve">CREW C3 DINNER SANDWICH 5 CUBAN SANDWICH </t>
  </si>
  <si>
    <t>CREW C3 MIDNIGHT SNACK BUFFALO CHICKEN TENDERS WITH TATER TOTS</t>
  </si>
  <si>
    <t xml:space="preserve">CREW C3 BREAKFAST HOT SANDWICH 1 EGG AND CHEESE BAGEL </t>
  </si>
  <si>
    <t>CREW C3 BREAKFAST HOT SANDWICH 2 SAUSAGE EGG AND CHEESE ENGLISH MUFFIN</t>
  </si>
  <si>
    <t xml:space="preserve">CREW C3 BREAKFAST HOT SANDWICH 3 BREAKFAST CALZONE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</si>
</sst>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%"/>
    <numFmt numFmtId="166" formatCode="0.0000"/>
    <numFmt numFmtId="167" formatCode="_(&quot;$&quot;* #,##0_);_(&quot;$&quot;* \(#,##0\);_(&quot;$&quot;* &quot;-&quot;??_);_(@_)"/>
    <numFmt numFmtId="168" formatCode="0.0%"/>
    <numFmt numFmtId="169" formatCode="0.000"/>
    <numFmt numFmtId="170" formatCode="&quot;$&quot;#,##0.000"/>
    <numFmt numFmtId="171" formatCode="&quot;$&quot;#,##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rgb="FFFFFFFF"/>
      <name val="Century Gothic"/>
      <family val="2"/>
    </font>
    <font>
      <b/>
      <sz val="18"/>
      <color rgb="FFFFFFFF"/>
      <name val="Century Gothic"/>
      <family val="2"/>
    </font>
    <font>
      <b/>
      <sz val="12"/>
      <color rgb="FFFFFFFF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2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FF0000"/>
      <name val="Century Gothic"/>
      <family val="2"/>
    </font>
    <font>
      <b/>
      <sz val="14"/>
      <color rgb="FFFFFFFF"/>
      <name val="Century Gothic"/>
      <family val="2"/>
    </font>
    <font>
      <b/>
      <sz val="10"/>
      <color rgb="FFFFFFFF"/>
      <name val="Century Gothic"/>
      <family val="2"/>
    </font>
    <font>
      <b/>
      <sz val="10"/>
      <name val="Century Gothic"/>
      <family val="2"/>
    </font>
    <font>
      <sz val="10"/>
      <color rgb="FFFFFFFF"/>
      <name val="Century Gothic"/>
      <family val="2"/>
    </font>
    <font>
      <b/>
      <sz val="22"/>
      <color rgb="FFFFFFFF"/>
      <name val="Century Gothic"/>
      <family val="2"/>
    </font>
    <font>
      <b/>
      <sz val="11"/>
      <name val="Century Gothic"/>
      <family val="2"/>
    </font>
    <font>
      <sz val="10"/>
      <color rgb="FFFF0000"/>
      <name val="Century Gothic"/>
      <family val="2"/>
    </font>
    <font>
      <i/>
      <sz val="10"/>
      <name val="Century Gothic"/>
      <family val="2"/>
    </font>
    <font>
      <sz val="11"/>
      <name val="Century Gothic"/>
      <family val="2"/>
    </font>
    <font>
      <u/>
      <sz val="11"/>
      <name val="Century Gothic"/>
      <family val="2"/>
    </font>
    <font>
      <b/>
      <i/>
      <sz val="10"/>
      <color rgb="FFFFFFFF"/>
      <name val="Century Gothic"/>
      <family val="2"/>
    </font>
    <font>
      <b/>
      <sz val="2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Century Gothic"/>
      <family val="2"/>
    </font>
  </fonts>
  <fills count="3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77">
    <xf numFmtId="0" fontId="0" fillId="0" borderId="0" xfId="0"/>
    <xf numFmtId="2" fontId="2" fillId="2" borderId="2" xfId="1" applyNumberFormat="1" applyFont="1" applyFill="1" applyBorder="1" applyAlignment="1">
      <alignment horizontal="center" vertical="center" wrapText="1"/>
    </xf>
    <xf numFmtId="9" fontId="2" fillId="2" borderId="2" xfId="3" applyFont="1" applyFill="1" applyBorder="1" applyAlignment="1">
      <alignment horizontal="center" vertical="center"/>
    </xf>
    <xf numFmtId="2" fontId="2" fillId="2" borderId="2" xfId="4" applyNumberFormat="1" applyFont="1" applyFill="1" applyBorder="1" applyAlignment="1">
      <alignment horizontal="center" vertical="center" wrapText="1"/>
    </xf>
    <xf numFmtId="2" fontId="2" fillId="2" borderId="0" xfId="4" applyNumberFormat="1" applyFont="1" applyFill="1" applyBorder="1" applyAlignment="1">
      <alignment horizontal="center" vertical="center" wrapText="1"/>
    </xf>
    <xf numFmtId="2" fontId="2" fillId="2" borderId="0" xfId="1" applyNumberFormat="1" applyFont="1" applyFill="1" applyBorder="1" applyAlignment="1">
      <alignment horizontal="center" vertical="center" wrapText="1"/>
    </xf>
    <xf numFmtId="0" fontId="8" fillId="5" borderId="1" xfId="5" applyFont="1" applyFill="1" applyBorder="1" applyAlignment="1">
      <alignment horizontal="left"/>
    </xf>
    <xf numFmtId="0" fontId="9" fillId="0" borderId="6" xfId="5" applyFont="1" applyBorder="1" applyAlignment="1">
      <alignment horizontal="center"/>
    </xf>
    <xf numFmtId="0" fontId="9" fillId="0" borderId="0" xfId="5" applyFont="1" applyAlignment="1">
      <alignment horizontal="center"/>
    </xf>
    <xf numFmtId="0" fontId="6" fillId="6" borderId="7" xfId="5" applyFont="1" applyFill="1" applyBorder="1" applyAlignment="1">
      <alignment horizontal="center"/>
    </xf>
    <xf numFmtId="0" fontId="9" fillId="6" borderId="7" xfId="5" applyFont="1" applyFill="1" applyBorder="1" applyAlignment="1">
      <alignment horizontal="center"/>
    </xf>
    <xf numFmtId="10" fontId="6" fillId="6" borderId="8" xfId="5" applyNumberFormat="1" applyFont="1" applyFill="1" applyBorder="1" applyAlignment="1">
      <alignment horizontal="left"/>
    </xf>
    <xf numFmtId="0" fontId="6" fillId="6" borderId="9" xfId="5" applyFont="1" applyFill="1" applyBorder="1" applyAlignment="1">
      <alignment horizontal="center"/>
    </xf>
    <xf numFmtId="1" fontId="9" fillId="6" borderId="7" xfId="5" applyNumberFormat="1" applyFont="1" applyFill="1" applyBorder="1" applyAlignment="1">
      <alignment horizontal="center"/>
    </xf>
    <xf numFmtId="0" fontId="6" fillId="6" borderId="7" xfId="5" applyFont="1" applyFill="1" applyBorder="1" applyAlignment="1">
      <alignment horizontal="left"/>
    </xf>
    <xf numFmtId="1" fontId="9" fillId="0" borderId="0" xfId="5" applyNumberFormat="1" applyFont="1" applyAlignment="1">
      <alignment horizontal="center"/>
    </xf>
    <xf numFmtId="9" fontId="9" fillId="6" borderId="7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left"/>
    </xf>
    <xf numFmtId="1" fontId="9" fillId="6" borderId="10" xfId="5" applyNumberFormat="1" applyFont="1" applyFill="1" applyBorder="1" applyAlignment="1">
      <alignment horizontal="center"/>
    </xf>
    <xf numFmtId="0" fontId="6" fillId="6" borderId="10" xfId="5" applyFont="1" applyFill="1" applyBorder="1" applyAlignment="1">
      <alignment horizontal="center"/>
    </xf>
    <xf numFmtId="1" fontId="9" fillId="6" borderId="11" xfId="5" applyNumberFormat="1" applyFont="1" applyFill="1" applyBorder="1" applyAlignment="1">
      <alignment horizontal="center"/>
    </xf>
    <xf numFmtId="2" fontId="6" fillId="3" borderId="15" xfId="4" applyNumberFormat="1" applyFont="1" applyFill="1" applyBorder="1" applyAlignment="1">
      <alignment horizontal="center" vertical="center"/>
    </xf>
    <xf numFmtId="2" fontId="6" fillId="3" borderId="16" xfId="4" applyNumberFormat="1" applyFont="1" applyFill="1" applyBorder="1" applyAlignment="1">
      <alignment horizontal="center" vertical="center"/>
    </xf>
    <xf numFmtId="2" fontId="6" fillId="3" borderId="17" xfId="4" applyNumberFormat="1" applyFont="1" applyFill="1" applyBorder="1" applyAlignment="1">
      <alignment horizontal="center" vertical="center"/>
    </xf>
    <xf numFmtId="2" fontId="6" fillId="4" borderId="18" xfId="4" applyNumberFormat="1" applyFont="1" applyFill="1" applyBorder="1" applyAlignment="1">
      <alignment horizontal="center" vertical="center"/>
    </xf>
    <xf numFmtId="2" fontId="6" fillId="4" borderId="6" xfId="4" applyNumberFormat="1" applyFont="1" applyFill="1" applyBorder="1" applyAlignment="1">
      <alignment horizontal="center" vertical="center"/>
    </xf>
    <xf numFmtId="2" fontId="6" fillId="4" borderId="11" xfId="4" applyNumberFormat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6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29" xfId="0" applyFont="1" applyBorder="1" applyAlignment="1">
      <alignment horizontal="left"/>
    </xf>
    <xf numFmtId="0" fontId="0" fillId="0" borderId="30" xfId="0" applyBorder="1" applyAlignment="1">
      <alignment horizontal="left"/>
    </xf>
    <xf numFmtId="0" fontId="9" fillId="0" borderId="6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" fillId="0" borderId="31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6" fillId="6" borderId="9" xfId="5" applyFont="1" applyFill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9" fillId="6" borderId="7" xfId="5" applyFont="1" applyFill="1" applyBorder="1" applyAlignment="1">
      <alignment horizontal="left"/>
    </xf>
    <xf numFmtId="0" fontId="4" fillId="8" borderId="29" xfId="0" applyFont="1" applyFill="1" applyBorder="1" applyAlignment="1">
      <alignment horizontal="left"/>
    </xf>
    <xf numFmtId="0" fontId="4" fillId="8" borderId="35" xfId="0" applyFont="1" applyFill="1" applyBorder="1" applyAlignment="1">
      <alignment horizontal="left"/>
    </xf>
    <xf numFmtId="0" fontId="4" fillId="8" borderId="30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4" fillId="0" borderId="15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10" fillId="8" borderId="35" xfId="0" applyFont="1" applyFill="1" applyBorder="1" applyAlignment="1">
      <alignment horizontal="left"/>
    </xf>
    <xf numFmtId="0" fontId="0" fillId="8" borderId="35" xfId="0" applyFill="1" applyBorder="1" applyAlignment="1">
      <alignment horizontal="left"/>
    </xf>
    <xf numFmtId="164" fontId="4" fillId="0" borderId="32" xfId="0" applyNumberFormat="1" applyFont="1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6" xfId="0" applyBorder="1" applyAlignment="1">
      <alignment horizontal="left"/>
    </xf>
    <xf numFmtId="164" fontId="0" fillId="0" borderId="36" xfId="0" applyNumberFormat="1" applyBorder="1" applyAlignment="1">
      <alignment horizontal="left"/>
    </xf>
    <xf numFmtId="164" fontId="3" fillId="0" borderId="36" xfId="0" applyNumberFormat="1" applyFont="1" applyBorder="1" applyAlignment="1">
      <alignment horizontal="left"/>
    </xf>
    <xf numFmtId="164" fontId="4" fillId="0" borderId="34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4" fillId="0" borderId="35" xfId="0" applyFont="1" applyBorder="1" applyAlignment="1">
      <alignment horizontal="left"/>
    </xf>
    <xf numFmtId="164" fontId="4" fillId="0" borderId="30" xfId="0" applyNumberFormat="1" applyFont="1" applyBorder="1" applyAlignment="1">
      <alignment horizontal="left"/>
    </xf>
    <xf numFmtId="0" fontId="4" fillId="9" borderId="33" xfId="0" applyFont="1" applyFill="1" applyBorder="1" applyAlignment="1">
      <alignment horizontal="left"/>
    </xf>
    <xf numFmtId="0" fontId="0" fillId="9" borderId="36" xfId="0" applyFill="1" applyBorder="1" applyAlignment="1">
      <alignment horizontal="left"/>
    </xf>
    <xf numFmtId="164" fontId="4" fillId="9" borderId="34" xfId="0" applyNumberFormat="1" applyFont="1" applyFill="1" applyBorder="1" applyAlignment="1">
      <alignment horizontal="left"/>
    </xf>
    <xf numFmtId="0" fontId="4" fillId="8" borderId="7" xfId="0" applyFont="1" applyFill="1" applyBorder="1" applyAlignment="1">
      <alignment horizontal="left"/>
    </xf>
    <xf numFmtId="0" fontId="11" fillId="0" borderId="22" xfId="7" applyFont="1" applyBorder="1" applyAlignment="1">
      <alignment horizontal="left"/>
    </xf>
    <xf numFmtId="0" fontId="11" fillId="0" borderId="23" xfId="7" applyFont="1" applyBorder="1" applyAlignment="1" applyProtection="1">
      <alignment horizontal="centerContinuous"/>
      <protection locked="0"/>
    </xf>
    <xf numFmtId="0" fontId="5" fillId="0" borderId="23" xfId="7" applyFont="1" applyBorder="1" applyAlignment="1">
      <alignment horizontal="centerContinuous"/>
    </xf>
    <xf numFmtId="0" fontId="5" fillId="0" borderId="24" xfId="7" applyFont="1" applyBorder="1" applyAlignment="1">
      <alignment horizontal="centerContinuous"/>
    </xf>
    <xf numFmtId="0" fontId="5" fillId="0" borderId="27" xfId="7" applyFont="1" applyBorder="1" applyAlignment="1">
      <alignment horizontal="left"/>
    </xf>
    <xf numFmtId="0" fontId="5" fillId="10" borderId="1" xfId="7" applyFont="1" applyFill="1" applyBorder="1" applyAlignment="1" applyProtection="1">
      <alignment horizontal="left"/>
      <protection locked="0"/>
    </xf>
    <xf numFmtId="0" fontId="5" fillId="0" borderId="0" xfId="7" applyFont="1"/>
    <xf numFmtId="0" fontId="5" fillId="0" borderId="28" xfId="7" applyFont="1" applyBorder="1"/>
    <xf numFmtId="14" fontId="5" fillId="10" borderId="1" xfId="8" applyNumberFormat="1" applyFont="1" applyFill="1" applyBorder="1" applyProtection="1">
      <protection locked="0"/>
    </xf>
    <xf numFmtId="0" fontId="5" fillId="10" borderId="1" xfId="7" applyFont="1" applyFill="1" applyBorder="1" applyProtection="1">
      <protection locked="0"/>
    </xf>
    <xf numFmtId="0" fontId="11" fillId="0" borderId="0" xfId="7" applyFont="1" applyAlignment="1">
      <alignment horizontal="left"/>
    </xf>
    <xf numFmtId="165" fontId="5" fillId="10" borderId="1" xfId="7" applyNumberFormat="1" applyFont="1" applyFill="1" applyBorder="1" applyProtection="1">
      <protection locked="0"/>
    </xf>
    <xf numFmtId="14" fontId="5" fillId="10" borderId="1" xfId="7" applyNumberFormat="1" applyFont="1" applyFill="1" applyBorder="1" applyProtection="1">
      <protection locked="0"/>
    </xf>
    <xf numFmtId="20" fontId="5" fillId="10" borderId="1" xfId="7" applyNumberFormat="1" applyFont="1" applyFill="1" applyBorder="1" applyProtection="1">
      <protection locked="0"/>
    </xf>
    <xf numFmtId="9" fontId="5" fillId="10" borderId="1" xfId="7" applyNumberFormat="1" applyFont="1" applyFill="1" applyBorder="1" applyAlignment="1" applyProtection="1">
      <alignment horizontal="left"/>
      <protection locked="0"/>
    </xf>
    <xf numFmtId="0" fontId="5" fillId="0" borderId="25" xfId="7" applyFont="1" applyBorder="1"/>
    <xf numFmtId="0" fontId="5" fillId="0" borderId="37" xfId="7" applyFont="1" applyBorder="1"/>
    <xf numFmtId="0" fontId="5" fillId="11" borderId="37" xfId="7" applyFont="1" applyFill="1" applyBorder="1"/>
    <xf numFmtId="166" fontId="5" fillId="10" borderId="1" xfId="7" applyNumberFormat="1" applyFont="1" applyFill="1" applyBorder="1" applyProtection="1">
      <protection locked="0"/>
    </xf>
    <xf numFmtId="164" fontId="5" fillId="10" borderId="1" xfId="7" applyNumberFormat="1" applyFont="1" applyFill="1" applyBorder="1" applyProtection="1">
      <protection locked="0"/>
    </xf>
    <xf numFmtId="44" fontId="5" fillId="11" borderId="37" xfId="8" applyFont="1" applyFill="1" applyBorder="1"/>
    <xf numFmtId="0" fontId="5" fillId="0" borderId="22" xfId="7" applyFont="1" applyBorder="1" applyAlignment="1">
      <alignment horizontal="left"/>
    </xf>
    <xf numFmtId="0" fontId="5" fillId="0" borderId="23" xfId="7" applyFont="1" applyBorder="1"/>
    <xf numFmtId="0" fontId="5" fillId="0" borderId="0" xfId="7" applyFont="1" applyProtection="1">
      <protection locked="0"/>
    </xf>
    <xf numFmtId="42" fontId="5" fillId="10" borderId="1" xfId="7" applyNumberFormat="1" applyFont="1" applyFill="1" applyBorder="1" applyProtection="1">
      <protection locked="0"/>
    </xf>
    <xf numFmtId="37" fontId="5" fillId="0" borderId="28" xfId="7" applyNumberFormat="1" applyFont="1" applyBorder="1"/>
    <xf numFmtId="0" fontId="5" fillId="0" borderId="0" xfId="7" applyFont="1" applyAlignment="1">
      <alignment horizontal="right"/>
    </xf>
    <xf numFmtId="37" fontId="5" fillId="0" borderId="28" xfId="7" applyNumberFormat="1" applyFont="1" applyBorder="1" applyAlignment="1">
      <alignment horizontal="right"/>
    </xf>
    <xf numFmtId="0" fontId="5" fillId="0" borderId="15" xfId="7" applyFont="1" applyBorder="1" applyAlignment="1">
      <alignment horizontal="left"/>
    </xf>
    <xf numFmtId="0" fontId="5" fillId="0" borderId="16" xfId="7" applyFont="1" applyBorder="1"/>
    <xf numFmtId="37" fontId="5" fillId="0" borderId="17" xfId="7" applyNumberFormat="1" applyFont="1" applyBorder="1"/>
    <xf numFmtId="42" fontId="5" fillId="0" borderId="0" xfId="7" applyNumberFormat="1" applyFont="1" applyProtection="1">
      <protection locked="0"/>
    </xf>
    <xf numFmtId="37" fontId="5" fillId="0" borderId="0" xfId="7" applyNumberFormat="1" applyFont="1"/>
    <xf numFmtId="0" fontId="5" fillId="0" borderId="23" xfId="7" applyFont="1" applyBorder="1" applyProtection="1">
      <protection locked="0"/>
    </xf>
    <xf numFmtId="14" fontId="5" fillId="0" borderId="24" xfId="7" applyNumberFormat="1" applyFont="1" applyBorder="1" applyProtection="1">
      <protection locked="0"/>
    </xf>
    <xf numFmtId="0" fontId="5" fillId="10" borderId="27" xfId="7" applyFont="1" applyFill="1" applyBorder="1" applyAlignment="1" applyProtection="1">
      <alignment horizontal="left"/>
      <protection locked="0"/>
    </xf>
    <xf numFmtId="0" fontId="5" fillId="10" borderId="0" xfId="7" applyFont="1" applyFill="1" applyProtection="1">
      <protection locked="0"/>
    </xf>
    <xf numFmtId="0" fontId="5" fillId="10" borderId="28" xfId="7" applyFont="1" applyFill="1" applyBorder="1" applyProtection="1">
      <protection locked="0"/>
    </xf>
    <xf numFmtId="0" fontId="5" fillId="10" borderId="15" xfId="7" applyFont="1" applyFill="1" applyBorder="1" applyAlignment="1" applyProtection="1">
      <alignment horizontal="left"/>
      <protection locked="0"/>
    </xf>
    <xf numFmtId="0" fontId="5" fillId="10" borderId="16" xfId="7" applyFont="1" applyFill="1" applyBorder="1" applyProtection="1">
      <protection locked="0"/>
    </xf>
    <xf numFmtId="0" fontId="5" fillId="10" borderId="17" xfId="7" applyFont="1" applyFill="1" applyBorder="1" applyProtection="1">
      <protection locked="0"/>
    </xf>
    <xf numFmtId="0" fontId="5" fillId="0" borderId="27" xfId="7" applyFont="1" applyBorder="1" applyAlignment="1" applyProtection="1">
      <alignment horizontal="left"/>
      <protection locked="0"/>
    </xf>
    <xf numFmtId="0" fontId="11" fillId="0" borderId="0" xfId="7" applyFont="1"/>
    <xf numFmtId="14" fontId="5" fillId="0" borderId="0" xfId="7" applyNumberFormat="1" applyFont="1" applyProtection="1">
      <protection locked="0"/>
    </xf>
    <xf numFmtId="0" fontId="5" fillId="10" borderId="22" xfId="7" applyFont="1" applyFill="1" applyBorder="1" applyAlignment="1" applyProtection="1">
      <alignment horizontal="left"/>
      <protection locked="0"/>
    </xf>
    <xf numFmtId="0" fontId="5" fillId="10" borderId="23" xfId="7" applyFont="1" applyFill="1" applyBorder="1" applyProtection="1">
      <protection locked="0"/>
    </xf>
    <xf numFmtId="0" fontId="5" fillId="10" borderId="24" xfId="7" applyFont="1" applyFill="1" applyBorder="1" applyProtection="1">
      <protection locked="0"/>
    </xf>
    <xf numFmtId="0" fontId="5" fillId="10" borderId="27" xfId="7" quotePrefix="1" applyFont="1" applyFill="1" applyBorder="1" applyAlignment="1" applyProtection="1">
      <alignment horizontal="left"/>
      <protection locked="0"/>
    </xf>
    <xf numFmtId="1" fontId="5" fillId="10" borderId="1" xfId="7" applyNumberFormat="1" applyFont="1" applyFill="1" applyBorder="1" applyProtection="1">
      <protection locked="0"/>
    </xf>
    <xf numFmtId="0" fontId="0" fillId="0" borderId="20" xfId="0" applyBorder="1" applyAlignment="1">
      <alignment wrapText="1"/>
    </xf>
    <xf numFmtId="0" fontId="0" fillId="0" borderId="6" xfId="0" applyBorder="1" applyAlignment="1">
      <alignment wrapText="1"/>
    </xf>
    <xf numFmtId="0" fontId="2" fillId="2" borderId="2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34" xfId="0" applyNumberFormat="1" applyBorder="1" applyAlignment="1">
      <alignment horizontal="left"/>
    </xf>
    <xf numFmtId="0" fontId="0" fillId="7" borderId="0" xfId="0" applyFill="1"/>
    <xf numFmtId="0" fontId="4" fillId="7" borderId="0" xfId="0" applyFont="1" applyFill="1"/>
    <xf numFmtId="0" fontId="0" fillId="7" borderId="0" xfId="0" applyFill="1" applyAlignment="1">
      <alignment wrapText="1"/>
    </xf>
    <xf numFmtId="164" fontId="0" fillId="0" borderId="20" xfId="0" applyNumberFormat="1" applyBorder="1"/>
    <xf numFmtId="164" fontId="0" fillId="0" borderId="6" xfId="0" applyNumberFormat="1" applyBorder="1"/>
    <xf numFmtId="164" fontId="2" fillId="2" borderId="2" xfId="4" applyNumberFormat="1" applyFont="1" applyFill="1" applyBorder="1" applyAlignment="1">
      <alignment horizontal="center" vertical="center"/>
    </xf>
    <xf numFmtId="164" fontId="0" fillId="0" borderId="0" xfId="0" applyNumberFormat="1"/>
    <xf numFmtId="164" fontId="12" fillId="0" borderId="6" xfId="0" applyNumberFormat="1" applyFont="1" applyBorder="1"/>
    <xf numFmtId="0" fontId="12" fillId="0" borderId="6" xfId="9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64" fontId="0" fillId="15" borderId="0" xfId="0" applyNumberFormat="1" applyFill="1"/>
    <xf numFmtId="1" fontId="0" fillId="13" borderId="1" xfId="0" applyNumberFormat="1" applyFill="1" applyBorder="1"/>
    <xf numFmtId="0" fontId="0" fillId="13" borderId="1" xfId="0" applyFill="1" applyBorder="1"/>
    <xf numFmtId="0" fontId="6" fillId="6" borderId="7" xfId="5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5" borderId="25" xfId="5" applyFont="1" applyFill="1" applyBorder="1" applyAlignment="1">
      <alignment vertical="center"/>
    </xf>
    <xf numFmtId="167" fontId="6" fillId="6" borderId="7" xfId="1" applyNumberFormat="1" applyFont="1" applyFill="1" applyBorder="1" applyAlignment="1">
      <alignment horizontal="center" vertical="center"/>
    </xf>
    <xf numFmtId="44" fontId="9" fillId="6" borderId="7" xfId="1" applyFont="1" applyFill="1" applyBorder="1" applyAlignment="1">
      <alignment horizontal="center" vertical="center"/>
    </xf>
    <xf numFmtId="167" fontId="9" fillId="6" borderId="7" xfId="1" applyNumberFormat="1" applyFont="1" applyFill="1" applyBorder="1" applyAlignment="1">
      <alignment horizontal="center" vertical="center"/>
    </xf>
    <xf numFmtId="0" fontId="8" fillId="5" borderId="38" xfId="5" applyFont="1" applyFill="1" applyBorder="1" applyAlignment="1">
      <alignment horizontal="center" vertical="center"/>
    </xf>
    <xf numFmtId="9" fontId="8" fillId="5" borderId="38" xfId="5" applyNumberFormat="1" applyFont="1" applyFill="1" applyBorder="1" applyAlignment="1">
      <alignment horizontal="center" vertical="center"/>
    </xf>
    <xf numFmtId="0" fontId="8" fillId="5" borderId="38" xfId="1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6" borderId="7" xfId="5" applyFont="1" applyFill="1" applyBorder="1" applyAlignment="1">
      <alignment horizontal="center"/>
    </xf>
    <xf numFmtId="167" fontId="15" fillId="0" borderId="0" xfId="0" applyNumberFormat="1" applyFont="1" applyAlignment="1">
      <alignment horizontal="center" vertical="center"/>
    </xf>
    <xf numFmtId="4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  <xf numFmtId="0" fontId="2" fillId="5" borderId="38" xfId="5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167" fontId="0" fillId="0" borderId="28" xfId="1" applyNumberFormat="1" applyFont="1" applyBorder="1" applyAlignment="1">
      <alignment horizontal="center" vertical="center"/>
    </xf>
    <xf numFmtId="9" fontId="0" fillId="0" borderId="40" xfId="9" applyFont="1" applyBorder="1" applyAlignment="1">
      <alignment horizontal="center" vertical="center"/>
    </xf>
    <xf numFmtId="44" fontId="14" fillId="16" borderId="14" xfId="1" applyFont="1" applyFill="1" applyBorder="1" applyAlignment="1">
      <alignment horizontal="center" vertical="center"/>
    </xf>
    <xf numFmtId="0" fontId="8" fillId="0" borderId="0" xfId="5" applyFont="1" applyAlignment="1">
      <alignment horizontal="left"/>
    </xf>
    <xf numFmtId="10" fontId="6" fillId="0" borderId="0" xfId="5" applyNumberFormat="1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9" fillId="0" borderId="39" xfId="9" applyNumberFormat="1" applyFont="1" applyFill="1" applyBorder="1" applyAlignment="1">
      <alignment horizontal="center"/>
    </xf>
    <xf numFmtId="0" fontId="9" fillId="17" borderId="0" xfId="0" applyFont="1" applyFill="1"/>
    <xf numFmtId="9" fontId="9" fillId="3" borderId="0" xfId="9" applyFont="1" applyFill="1" applyAlignment="1">
      <alignment horizontal="center"/>
    </xf>
    <xf numFmtId="0" fontId="0" fillId="0" borderId="39" xfId="0" applyBorder="1"/>
    <xf numFmtId="0" fontId="4" fillId="0" borderId="0" xfId="0" applyFont="1"/>
    <xf numFmtId="1" fontId="9" fillId="0" borderId="0" xfId="9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 vertical="center"/>
    </xf>
    <xf numFmtId="9" fontId="12" fillId="0" borderId="6" xfId="9" applyFont="1" applyBorder="1"/>
    <xf numFmtId="10" fontId="12" fillId="0" borderId="6" xfId="9" applyNumberFormat="1" applyFont="1" applyBorder="1"/>
    <xf numFmtId="168" fontId="12" fillId="0" borderId="6" xfId="9" applyNumberFormat="1" applyFont="1" applyBorder="1"/>
    <xf numFmtId="0" fontId="0" fillId="0" borderId="21" xfId="0" applyBorder="1"/>
    <xf numFmtId="2" fontId="2" fillId="0" borderId="2" xfId="1" applyNumberFormat="1" applyFont="1" applyFill="1" applyBorder="1" applyAlignment="1">
      <alignment horizontal="center" vertical="center"/>
    </xf>
    <xf numFmtId="0" fontId="19" fillId="0" borderId="0" xfId="0" applyFont="1"/>
    <xf numFmtId="2" fontId="19" fillId="0" borderId="0" xfId="0" applyNumberFormat="1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8" fontId="0" fillId="0" borderId="0" xfId="9" applyNumberFormat="1" applyFont="1" applyAlignment="1">
      <alignment horizontal="center"/>
    </xf>
    <xf numFmtId="9" fontId="0" fillId="0" borderId="0" xfId="9" applyFont="1" applyAlignment="1">
      <alignment horizontal="center"/>
    </xf>
    <xf numFmtId="0" fontId="20" fillId="19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right" wrapText="1"/>
    </xf>
    <xf numFmtId="168" fontId="0" fillId="0" borderId="0" xfId="9" applyNumberFormat="1" applyFont="1" applyAlignment="1">
      <alignment horizontal="center" wrapText="1"/>
    </xf>
    <xf numFmtId="9" fontId="0" fillId="0" borderId="0" xfId="9" applyFont="1" applyAlignment="1">
      <alignment horizontal="center" wrapText="1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9" fontId="0" fillId="0" borderId="0" xfId="0" applyNumberFormat="1"/>
    <xf numFmtId="2" fontId="0" fillId="13" borderId="0" xfId="0" applyNumberFormat="1" applyFill="1" applyAlignment="1">
      <alignment horizontal="right"/>
    </xf>
    <xf numFmtId="44" fontId="0" fillId="0" borderId="0" xfId="1" applyFont="1"/>
    <xf numFmtId="9" fontId="0" fillId="0" borderId="0" xfId="9" applyFont="1"/>
    <xf numFmtId="44" fontId="4" fillId="3" borderId="0" xfId="1" applyFont="1" applyFill="1"/>
    <xf numFmtId="0" fontId="0" fillId="13" borderId="0" xfId="0" applyFill="1"/>
    <xf numFmtId="0" fontId="0" fillId="20" borderId="0" xfId="0" applyFill="1"/>
    <xf numFmtId="44" fontId="0" fillId="0" borderId="0" xfId="1" applyFont="1" applyFill="1" applyAlignment="1"/>
    <xf numFmtId="44" fontId="0" fillId="0" borderId="0" xfId="0" applyNumberFormat="1"/>
    <xf numFmtId="168" fontId="0" fillId="0" borderId="0" xfId="0" applyNumberFormat="1" applyAlignment="1">
      <alignment horizontal="center"/>
    </xf>
    <xf numFmtId="9" fontId="0" fillId="0" borderId="0" xfId="0" applyNumberFormat="1"/>
    <xf numFmtId="0" fontId="14" fillId="0" borderId="0" xfId="0" applyFont="1" applyAlignment="1">
      <alignment horizontal="center" vertical="center"/>
    </xf>
    <xf numFmtId="9" fontId="0" fillId="0" borderId="0" xfId="9" applyFont="1" applyFill="1" applyBorder="1" applyAlignment="1">
      <alignment horizontal="center" vertical="center"/>
    </xf>
    <xf numFmtId="9" fontId="6" fillId="0" borderId="0" xfId="9" applyFont="1" applyFill="1" applyBorder="1" applyAlignment="1">
      <alignment horizontal="center" vertical="center"/>
    </xf>
    <xf numFmtId="9" fontId="13" fillId="0" borderId="0" xfId="9" applyFont="1" applyFill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2" fillId="5" borderId="49" xfId="5" applyFont="1" applyFill="1" applyBorder="1" applyAlignment="1">
      <alignment horizontal="center" vertical="center"/>
    </xf>
    <xf numFmtId="44" fontId="9" fillId="6" borderId="10" xfId="1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9" fontId="22" fillId="3" borderId="42" xfId="9" applyFont="1" applyFill="1" applyBorder="1" applyAlignment="1">
      <alignment horizontal="center" vertical="center"/>
    </xf>
    <xf numFmtId="167" fontId="22" fillId="3" borderId="44" xfId="1" applyNumberFormat="1" applyFont="1" applyFill="1" applyBorder="1" applyAlignment="1">
      <alignment horizontal="center" vertical="center"/>
    </xf>
    <xf numFmtId="9" fontId="17" fillId="21" borderId="7" xfId="5" applyNumberFormat="1" applyFont="1" applyFill="1" applyBorder="1" applyAlignment="1">
      <alignment horizontal="center" vertical="center"/>
    </xf>
    <xf numFmtId="0" fontId="17" fillId="21" borderId="7" xfId="10" applyNumberFormat="1" applyFont="1" applyFill="1" applyBorder="1" applyAlignment="1">
      <alignment horizontal="center" vertical="center"/>
    </xf>
    <xf numFmtId="9" fontId="17" fillId="21" borderId="7" xfId="10" applyNumberFormat="1" applyFont="1" applyFill="1" applyBorder="1" applyAlignment="1">
      <alignment horizontal="center" vertical="center"/>
    </xf>
    <xf numFmtId="9" fontId="6" fillId="22" borderId="32" xfId="9" applyFont="1" applyFill="1" applyBorder="1" applyAlignment="1">
      <alignment horizontal="center" vertical="center"/>
    </xf>
    <xf numFmtId="167" fontId="6" fillId="22" borderId="26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/>
    </xf>
    <xf numFmtId="0" fontId="8" fillId="5" borderId="7" xfId="5" applyFont="1" applyFill="1" applyBorder="1" applyAlignment="1">
      <alignment horizontal="center" vertical="center"/>
    </xf>
    <xf numFmtId="167" fontId="8" fillId="5" borderId="7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9" fontId="0" fillId="0" borderId="0" xfId="9" applyFont="1" applyFill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19" fillId="0" borderId="0" xfId="0" applyNumberFormat="1" applyFont="1"/>
    <xf numFmtId="44" fontId="4" fillId="3" borderId="0" xfId="0" applyNumberFormat="1" applyFont="1" applyFill="1"/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0" fontId="9" fillId="0" borderId="0" xfId="0" applyNumberFormat="1" applyFont="1"/>
    <xf numFmtId="2" fontId="9" fillId="0" borderId="0" xfId="0" applyNumberFormat="1" applyFont="1"/>
    <xf numFmtId="1" fontId="8" fillId="5" borderId="38" xfId="5" applyNumberFormat="1" applyFont="1" applyFill="1" applyBorder="1" applyAlignment="1">
      <alignment horizontal="center" vertical="center"/>
    </xf>
    <xf numFmtId="9" fontId="0" fillId="0" borderId="0" xfId="9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/>
    <xf numFmtId="1" fontId="17" fillId="21" borderId="7" xfId="5" applyNumberFormat="1" applyFont="1" applyFill="1" applyBorder="1" applyAlignment="1">
      <alignment horizontal="center" vertical="center"/>
    </xf>
    <xf numFmtId="44" fontId="0" fillId="24" borderId="0" xfId="1" applyFont="1" applyFill="1"/>
    <xf numFmtId="9" fontId="0" fillId="24" borderId="0" xfId="9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6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44" fontId="4" fillId="0" borderId="36" xfId="1" applyFont="1" applyBorder="1" applyAlignment="1">
      <alignment horizontal="center" vertical="center"/>
    </xf>
    <xf numFmtId="167" fontId="18" fillId="0" borderId="7" xfId="1" applyNumberFormat="1" applyFont="1" applyFill="1" applyBorder="1"/>
    <xf numFmtId="0" fontId="4" fillId="8" borderId="47" xfId="0" applyFont="1" applyFill="1" applyBorder="1" applyAlignment="1">
      <alignment horizontal="left"/>
    </xf>
    <xf numFmtId="0" fontId="4" fillId="8" borderId="52" xfId="0" applyFont="1" applyFill="1" applyBorder="1" applyAlignment="1">
      <alignment horizontal="left"/>
    </xf>
    <xf numFmtId="0" fontId="4" fillId="8" borderId="53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5" xfId="0" applyBorder="1" applyAlignment="1">
      <alignment horizontal="left"/>
    </xf>
    <xf numFmtId="164" fontId="0" fillId="13" borderId="20" xfId="0" applyNumberFormat="1" applyFill="1" applyBorder="1"/>
    <xf numFmtId="164" fontId="0" fillId="0" borderId="35" xfId="0" applyNumberFormat="1" applyBorder="1" applyAlignment="1">
      <alignment horizontal="left"/>
    </xf>
    <xf numFmtId="164" fontId="0" fillId="13" borderId="0" xfId="0" applyNumberFormat="1" applyFill="1"/>
    <xf numFmtId="0" fontId="4" fillId="6" borderId="48" xfId="0" applyFont="1" applyFill="1" applyBorder="1" applyAlignment="1">
      <alignment horizontal="left"/>
    </xf>
    <xf numFmtId="0" fontId="4" fillId="6" borderId="54" xfId="0" applyFont="1" applyFill="1" applyBorder="1" applyAlignment="1">
      <alignment horizontal="left"/>
    </xf>
    <xf numFmtId="164" fontId="4" fillId="6" borderId="54" xfId="0" applyNumberFormat="1" applyFont="1" applyFill="1" applyBorder="1" applyAlignment="1">
      <alignment horizontal="left"/>
    </xf>
    <xf numFmtId="164" fontId="4" fillId="6" borderId="55" xfId="0" applyNumberFormat="1" applyFont="1" applyFill="1" applyBorder="1" applyAlignment="1">
      <alignment horizontal="left"/>
    </xf>
    <xf numFmtId="164" fontId="0" fillId="0" borderId="30" xfId="0" applyNumberFormat="1" applyBorder="1"/>
    <xf numFmtId="164" fontId="0" fillId="0" borderId="32" xfId="0" applyNumberFormat="1" applyBorder="1"/>
    <xf numFmtId="164" fontId="0" fillId="13" borderId="6" xfId="0" applyNumberFormat="1" applyFill="1" applyBorder="1"/>
    <xf numFmtId="164" fontId="0" fillId="0" borderId="34" xfId="0" applyNumberFormat="1" applyBorder="1"/>
    <xf numFmtId="0" fontId="24" fillId="5" borderId="7" xfId="5" applyFont="1" applyFill="1" applyBorder="1" applyAlignment="1">
      <alignment horizontal="center" vertical="center"/>
    </xf>
    <xf numFmtId="0" fontId="6" fillId="5" borderId="7" xfId="5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13" borderId="0" xfId="5" applyFont="1" applyFill="1" applyAlignment="1">
      <alignment horizontal="left"/>
    </xf>
    <xf numFmtId="2" fontId="0" fillId="0" borderId="20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2" fontId="2" fillId="2" borderId="2" xfId="2" applyNumberFormat="1" applyFont="1" applyFill="1" applyBorder="1" applyAlignment="1">
      <alignment horizontal="center" vertical="center" wrapText="1"/>
    </xf>
    <xf numFmtId="2" fontId="0" fillId="7" borderId="0" xfId="0" applyNumberFormat="1" applyFill="1" applyAlignment="1">
      <alignment wrapText="1"/>
    </xf>
    <xf numFmtId="2" fontId="9" fillId="3" borderId="0" xfId="0" applyNumberFormat="1" applyFont="1" applyFill="1" applyAlignment="1">
      <alignment horizontal="center"/>
    </xf>
    <xf numFmtId="2" fontId="0" fillId="0" borderId="0" xfId="0" applyNumberFormat="1" applyAlignment="1">
      <alignment wrapText="1"/>
    </xf>
    <xf numFmtId="2" fontId="0" fillId="0" borderId="20" xfId="0" applyNumberFormat="1" applyBorder="1"/>
    <xf numFmtId="2" fontId="0" fillId="0" borderId="6" xfId="0" applyNumberFormat="1" applyBorder="1"/>
    <xf numFmtId="2" fontId="2" fillId="2" borderId="2" xfId="2" applyNumberFormat="1" applyFont="1" applyFill="1" applyBorder="1" applyAlignment="1">
      <alignment horizontal="center" vertical="center"/>
    </xf>
    <xf numFmtId="2" fontId="0" fillId="0" borderId="0" xfId="0" applyNumberFormat="1"/>
    <xf numFmtId="2" fontId="9" fillId="12" borderId="0" xfId="0" quotePrefix="1" applyNumberFormat="1" applyFont="1" applyFill="1" applyAlignment="1">
      <alignment horizontal="center"/>
    </xf>
    <xf numFmtId="9" fontId="0" fillId="0" borderId="40" xfId="9" applyFont="1" applyFill="1" applyBorder="1" applyAlignment="1">
      <alignment horizontal="center" vertical="center"/>
    </xf>
    <xf numFmtId="0" fontId="9" fillId="23" borderId="0" xfId="0" applyFont="1" applyFill="1"/>
    <xf numFmtId="0" fontId="3" fillId="13" borderId="0" xfId="0" applyFont="1" applyFill="1" applyAlignment="1">
      <alignment horizontal="left"/>
    </xf>
    <xf numFmtId="0" fontId="0" fillId="13" borderId="1" xfId="0" applyFill="1" applyBorder="1" applyAlignment="1">
      <alignment horizontal="left"/>
    </xf>
    <xf numFmtId="44" fontId="0" fillId="0" borderId="0" xfId="0" applyNumberFormat="1" applyAlignment="1">
      <alignment horizontal="left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2" xfId="2" applyFont="1" applyFill="1" applyBorder="1" applyAlignment="1">
      <alignment horizontal="left" vertical="center"/>
    </xf>
    <xf numFmtId="0" fontId="0" fillId="7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9" fillId="25" borderId="0" xfId="0" applyFont="1" applyFill="1"/>
    <xf numFmtId="0" fontId="0" fillId="0" borderId="0" xfId="0" applyAlignment="1" applyProtection="1">
      <alignment horizontal="left"/>
      <protection locked="0"/>
    </xf>
    <xf numFmtId="44" fontId="0" fillId="0" borderId="1" xfId="1" applyFont="1" applyBorder="1" applyAlignment="1">
      <alignment horizontal="left"/>
    </xf>
    <xf numFmtId="44" fontId="0" fillId="13" borderId="1" xfId="1" applyFont="1" applyFill="1" applyBorder="1" applyAlignment="1">
      <alignment horizontal="left"/>
    </xf>
    <xf numFmtId="167" fontId="0" fillId="13" borderId="28" xfId="1" applyNumberFormat="1" applyFont="1" applyFill="1" applyBorder="1" applyAlignment="1">
      <alignment horizontal="center" vertical="center"/>
    </xf>
    <xf numFmtId="0" fontId="9" fillId="0" borderId="0" xfId="0" applyFont="1"/>
    <xf numFmtId="0" fontId="23" fillId="0" borderId="0" xfId="0" applyFont="1" applyAlignment="1">
      <alignment horizontal="left" vertical="center"/>
    </xf>
    <xf numFmtId="0" fontId="3" fillId="0" borderId="0" xfId="0" applyFont="1"/>
    <xf numFmtId="9" fontId="3" fillId="0" borderId="20" xfId="0" applyNumberFormat="1" applyFont="1" applyBorder="1"/>
    <xf numFmtId="0" fontId="3" fillId="0" borderId="20" xfId="0" applyFont="1" applyBorder="1"/>
    <xf numFmtId="44" fontId="9" fillId="27" borderId="7" xfId="1" applyFont="1" applyFill="1" applyBorder="1" applyAlignment="1">
      <alignment horizontal="center" vertical="center"/>
    </xf>
    <xf numFmtId="164" fontId="0" fillId="27" borderId="0" xfId="0" applyNumberFormat="1" applyFill="1"/>
    <xf numFmtId="9" fontId="10" fillId="0" borderId="0" xfId="9" applyFont="1"/>
    <xf numFmtId="0" fontId="0" fillId="0" borderId="1" xfId="0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3" fontId="0" fillId="0" borderId="0" xfId="0" applyNumberFormat="1"/>
    <xf numFmtId="44" fontId="14" fillId="16" borderId="33" xfId="1" applyFont="1" applyFill="1" applyBorder="1" applyAlignment="1">
      <alignment horizontal="center" vertical="center"/>
    </xf>
    <xf numFmtId="167" fontId="0" fillId="0" borderId="43" xfId="1" applyNumberFormat="1" applyFont="1" applyBorder="1" applyAlignment="1">
      <alignment horizontal="center" vertical="center"/>
    </xf>
    <xf numFmtId="167" fontId="6" fillId="22" borderId="31" xfId="1" applyNumberFormat="1" applyFont="1" applyFill="1" applyBorder="1" applyAlignment="1">
      <alignment horizontal="center" vertical="center"/>
    </xf>
    <xf numFmtId="167" fontId="22" fillId="3" borderId="41" xfId="1" applyNumberFormat="1" applyFont="1" applyFill="1" applyBorder="1" applyAlignment="1">
      <alignment horizontal="center" vertical="center"/>
    </xf>
    <xf numFmtId="167" fontId="0" fillId="0" borderId="56" xfId="0" applyNumberFormat="1" applyBorder="1"/>
    <xf numFmtId="167" fontId="0" fillId="0" borderId="57" xfId="1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6" fillId="22" borderId="58" xfId="0" applyFont="1" applyFill="1" applyBorder="1" applyAlignment="1">
      <alignment horizontal="right" vertical="center"/>
    </xf>
    <xf numFmtId="0" fontId="22" fillId="3" borderId="3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left"/>
    </xf>
    <xf numFmtId="0" fontId="0" fillId="0" borderId="0" xfId="0" quotePrefix="1"/>
    <xf numFmtId="0" fontId="18" fillId="0" borderId="0" xfId="0" applyFont="1" applyAlignment="1">
      <alignment horizontal="left"/>
    </xf>
    <xf numFmtId="1" fontId="3" fillId="6" borderId="7" xfId="5" applyNumberFormat="1" applyFont="1" applyFill="1" applyBorder="1" applyAlignment="1">
      <alignment horizontal="center"/>
    </xf>
    <xf numFmtId="0" fontId="6" fillId="6" borderId="0" xfId="5" applyFont="1" applyFill="1" applyAlignment="1">
      <alignment horizontal="left"/>
    </xf>
    <xf numFmtId="1" fontId="6" fillId="6" borderId="7" xfId="5" applyNumberFormat="1" applyFont="1" applyFill="1" applyBorder="1" applyAlignment="1">
      <alignment horizontal="center" vertical="center"/>
    </xf>
    <xf numFmtId="0" fontId="28" fillId="29" borderId="0" xfId="0" applyFont="1" applyFill="1"/>
    <xf numFmtId="0" fontId="28" fillId="0" borderId="1" xfId="0" applyFont="1" applyBorder="1" applyAlignment="1">
      <alignment horizontal="center" vertical="center"/>
    </xf>
    <xf numFmtId="3" fontId="31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32" borderId="0" xfId="0" applyFont="1" applyFill="1"/>
    <xf numFmtId="0" fontId="28" fillId="32" borderId="2" xfId="0" applyFont="1" applyFill="1" applyBorder="1" applyAlignment="1">
      <alignment horizontal="center"/>
    </xf>
    <xf numFmtId="0" fontId="28" fillId="32" borderId="1" xfId="0" applyFont="1" applyFill="1" applyBorder="1" applyAlignment="1">
      <alignment horizontal="center"/>
    </xf>
    <xf numFmtId="0" fontId="28" fillId="32" borderId="1" xfId="0" applyFont="1" applyFill="1" applyBorder="1"/>
    <xf numFmtId="0" fontId="27" fillId="28" borderId="1" xfId="0" applyFont="1" applyFill="1" applyBorder="1" applyAlignment="1">
      <alignment horizontal="center" vertical="center"/>
    </xf>
    <xf numFmtId="8" fontId="34" fillId="28" borderId="1" xfId="0" applyNumberFormat="1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 wrapText="1"/>
    </xf>
    <xf numFmtId="0" fontId="35" fillId="30" borderId="25" xfId="0" applyFont="1" applyFill="1" applyBorder="1" applyAlignment="1">
      <alignment vertical="center"/>
    </xf>
    <xf numFmtId="0" fontId="35" fillId="30" borderId="37" xfId="0" applyFont="1" applyFill="1" applyBorder="1" applyAlignment="1">
      <alignment horizontal="center" vertical="center"/>
    </xf>
    <xf numFmtId="0" fontId="28" fillId="29" borderId="1" xfId="0" applyFont="1" applyFill="1" applyBorder="1" applyAlignment="1">
      <alignment horizontal="right" vertical="center"/>
    </xf>
    <xf numFmtId="0" fontId="28" fillId="31" borderId="1" xfId="0" applyFont="1" applyFill="1" applyBorder="1" applyAlignment="1">
      <alignment horizontal="center" vertical="center"/>
    </xf>
    <xf numFmtId="0" fontId="28" fillId="30" borderId="37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3" fillId="28" borderId="1" xfId="0" applyFont="1" applyFill="1" applyBorder="1" applyAlignment="1">
      <alignment horizontal="center" vertical="center"/>
    </xf>
    <xf numFmtId="0" fontId="38" fillId="34" borderId="59" xfId="0" applyFont="1" applyFill="1" applyBorder="1" applyAlignment="1">
      <alignment horizontal="center" vertical="center"/>
    </xf>
    <xf numFmtId="0" fontId="35" fillId="34" borderId="1" xfId="0" applyFont="1" applyFill="1" applyBorder="1" applyAlignment="1">
      <alignment horizontal="center" vertical="center" wrapText="1"/>
    </xf>
    <xf numFmtId="0" fontId="38" fillId="29" borderId="25" xfId="0" applyFont="1" applyFill="1" applyBorder="1" applyAlignment="1">
      <alignment horizontal="left" vertical="center"/>
    </xf>
    <xf numFmtId="0" fontId="38" fillId="29" borderId="37" xfId="0" applyFont="1" applyFill="1" applyBorder="1" applyAlignment="1">
      <alignment horizontal="left" vertical="center"/>
    </xf>
    <xf numFmtId="0" fontId="38" fillId="29" borderId="26" xfId="0" applyFont="1" applyFill="1" applyBorder="1" applyAlignment="1">
      <alignment horizontal="left" vertical="center"/>
    </xf>
    <xf numFmtId="0" fontId="28" fillId="29" borderId="1" xfId="0" applyFont="1" applyFill="1" applyBorder="1"/>
    <xf numFmtId="0" fontId="28" fillId="31" borderId="1" xfId="0" applyFont="1" applyFill="1" applyBorder="1" applyAlignment="1">
      <alignment horizontal="center"/>
    </xf>
    <xf numFmtId="0" fontId="39" fillId="30" borderId="1" xfId="0" applyFont="1" applyFill="1" applyBorder="1"/>
    <xf numFmtId="0" fontId="39" fillId="30" borderId="1" xfId="0" applyFont="1" applyFill="1" applyBorder="1" applyAlignment="1">
      <alignment horizontal="center"/>
    </xf>
    <xf numFmtId="0" fontId="40" fillId="29" borderId="1" xfId="0" applyFont="1" applyFill="1" applyBorder="1"/>
    <xf numFmtId="0" fontId="36" fillId="28" borderId="1" xfId="0" applyFont="1" applyFill="1" applyBorder="1"/>
    <xf numFmtId="0" fontId="34" fillId="28" borderId="1" xfId="0" applyFont="1" applyFill="1" applyBorder="1" applyAlignment="1">
      <alignment horizontal="center"/>
    </xf>
    <xf numFmtId="0" fontId="28" fillId="29" borderId="25" xfId="0" applyFont="1" applyFill="1" applyBorder="1"/>
    <xf numFmtId="8" fontId="28" fillId="31" borderId="1" xfId="0" applyNumberFormat="1" applyFont="1" applyFill="1" applyBorder="1" applyAlignment="1">
      <alignment horizontal="center"/>
    </xf>
    <xf numFmtId="0" fontId="28" fillId="29" borderId="0" xfId="0" applyFont="1" applyFill="1" applyAlignment="1">
      <alignment horizontal="center"/>
    </xf>
    <xf numFmtId="0" fontId="41" fillId="29" borderId="23" xfId="0" applyFont="1" applyFill="1" applyBorder="1"/>
    <xf numFmtId="0" fontId="42" fillId="29" borderId="22" xfId="0" applyFont="1" applyFill="1" applyBorder="1"/>
    <xf numFmtId="0" fontId="41" fillId="29" borderId="27" xfId="0" applyFont="1" applyFill="1" applyBorder="1"/>
    <xf numFmtId="0" fontId="41" fillId="29" borderId="0" xfId="0" applyFont="1" applyFill="1"/>
    <xf numFmtId="0" fontId="27" fillId="28" borderId="1" xfId="0" applyFont="1" applyFill="1" applyBorder="1" applyAlignment="1">
      <alignment horizontal="center" vertical="center" wrapText="1"/>
    </xf>
    <xf numFmtId="8" fontId="9" fillId="6" borderId="10" xfId="1" applyNumberFormat="1" applyFont="1" applyFill="1" applyBorder="1" applyAlignment="1">
      <alignment horizontal="center" vertical="center"/>
    </xf>
    <xf numFmtId="0" fontId="35" fillId="35" borderId="1" xfId="0" applyFont="1" applyFill="1" applyBorder="1" applyAlignment="1">
      <alignment horizontal="center"/>
    </xf>
    <xf numFmtId="9" fontId="28" fillId="35" borderId="1" xfId="0" applyNumberFormat="1" applyFont="1" applyFill="1" applyBorder="1"/>
    <xf numFmtId="0" fontId="33" fillId="28" borderId="59" xfId="0" applyFont="1" applyFill="1" applyBorder="1" applyAlignment="1">
      <alignment vertical="center" textRotation="180" wrapText="1"/>
    </xf>
    <xf numFmtId="44" fontId="35" fillId="35" borderId="1" xfId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0" fontId="33" fillId="28" borderId="0" xfId="0" applyFont="1" applyFill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7" fillId="28" borderId="0" xfId="0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31" fillId="31" borderId="0" xfId="0" applyFont="1" applyFill="1" applyAlignment="1">
      <alignment horizontal="center" vertical="center"/>
    </xf>
    <xf numFmtId="0" fontId="32" fillId="30" borderId="0" xfId="0" applyFont="1" applyFill="1" applyAlignment="1">
      <alignment horizontal="center" vertical="center"/>
    </xf>
    <xf numFmtId="8" fontId="34" fillId="28" borderId="0" xfId="0" applyNumberFormat="1" applyFont="1" applyFill="1" applyAlignment="1">
      <alignment horizontal="center" vertical="center"/>
    </xf>
    <xf numFmtId="44" fontId="35" fillId="35" borderId="0" xfId="1" applyFont="1" applyFill="1" applyBorder="1" applyAlignment="1">
      <alignment horizontal="center"/>
    </xf>
    <xf numFmtId="0" fontId="45" fillId="36" borderId="0" xfId="12" applyFont="1" applyFill="1"/>
    <xf numFmtId="0" fontId="46" fillId="36" borderId="1" xfId="12" applyFont="1" applyFill="1" applyBorder="1" applyAlignment="1">
      <alignment horizontal="center" vertical="center"/>
    </xf>
    <xf numFmtId="0" fontId="28" fillId="36" borderId="0" xfId="12" applyFont="1" applyFill="1"/>
    <xf numFmtId="0" fontId="28" fillId="23" borderId="1" xfId="12" applyFont="1" applyFill="1" applyBorder="1" applyAlignment="1">
      <alignment horizontal="center" vertical="center"/>
    </xf>
    <xf numFmtId="0" fontId="35" fillId="23" borderId="1" xfId="12" applyFont="1" applyFill="1" applyBorder="1" applyAlignment="1">
      <alignment horizontal="center" vertical="center"/>
    </xf>
    <xf numFmtId="0" fontId="28" fillId="36" borderId="0" xfId="12" applyFont="1" applyFill="1" applyProtection="1">
      <protection locked="0"/>
    </xf>
    <xf numFmtId="10" fontId="22" fillId="3" borderId="42" xfId="9" applyNumberFormat="1" applyFont="1" applyFill="1" applyBorder="1" applyAlignment="1">
      <alignment horizontal="center" vertical="center"/>
    </xf>
    <xf numFmtId="168" fontId="0" fillId="0" borderId="40" xfId="9" applyNumberFormat="1" applyFont="1" applyBorder="1" applyAlignment="1">
      <alignment horizontal="center" vertical="center"/>
    </xf>
    <xf numFmtId="167" fontId="0" fillId="0" borderId="0" xfId="0" applyNumberFormat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26" borderId="3" xfId="5" applyFont="1" applyFill="1" applyBorder="1" applyAlignment="1">
      <alignment horizontal="center" vertical="center"/>
    </xf>
    <xf numFmtId="0" fontId="8" fillId="26" borderId="4" xfId="5" applyFont="1" applyFill="1" applyBorder="1" applyAlignment="1">
      <alignment horizontal="center" vertical="center"/>
    </xf>
    <xf numFmtId="0" fontId="8" fillId="26" borderId="5" xfId="5" applyFont="1" applyFill="1" applyBorder="1" applyAlignment="1">
      <alignment horizontal="center" vertical="center"/>
    </xf>
    <xf numFmtId="0" fontId="8" fillId="5" borderId="39" xfId="5" applyFont="1" applyFill="1" applyBorder="1" applyAlignment="1">
      <alignment vertical="center"/>
    </xf>
    <xf numFmtId="0" fontId="8" fillId="5" borderId="0" xfId="5" applyFont="1" applyFill="1" applyAlignment="1">
      <alignment vertical="center"/>
    </xf>
    <xf numFmtId="0" fontId="8" fillId="5" borderId="39" xfId="5" applyFont="1" applyFill="1" applyBorder="1" applyAlignment="1">
      <alignment horizontal="left" vertical="center"/>
    </xf>
    <xf numFmtId="0" fontId="8" fillId="5" borderId="0" xfId="5" applyFont="1" applyFill="1" applyAlignment="1">
      <alignment horizontal="left" vertical="center"/>
    </xf>
    <xf numFmtId="0" fontId="8" fillId="37" borderId="3" xfId="5" applyFont="1" applyFill="1" applyBorder="1" applyAlignment="1">
      <alignment horizontal="center" vertical="center"/>
    </xf>
    <xf numFmtId="0" fontId="8" fillId="37" borderId="4" xfId="5" applyFont="1" applyFill="1" applyBorder="1" applyAlignment="1">
      <alignment horizontal="center" vertical="center"/>
    </xf>
    <xf numFmtId="0" fontId="8" fillId="37" borderId="5" xfId="5" applyFont="1" applyFill="1" applyBorder="1" applyAlignment="1">
      <alignment horizontal="center" vertical="center"/>
    </xf>
    <xf numFmtId="0" fontId="21" fillId="18" borderId="3" xfId="0" applyFont="1" applyFill="1" applyBorder="1" applyAlignment="1">
      <alignment horizontal="left"/>
    </xf>
    <xf numFmtId="0" fontId="21" fillId="18" borderId="4" xfId="0" applyFont="1" applyFill="1" applyBorder="1" applyAlignment="1">
      <alignment horizontal="left"/>
    </xf>
    <xf numFmtId="0" fontId="21" fillId="18" borderId="5" xfId="0" applyFont="1" applyFill="1" applyBorder="1" applyAlignment="1">
      <alignment horizontal="left"/>
    </xf>
    <xf numFmtId="0" fontId="14" fillId="16" borderId="45" xfId="0" applyFont="1" applyFill="1" applyBorder="1" applyAlignment="1">
      <alignment horizontal="center" vertical="center"/>
    </xf>
    <xf numFmtId="0" fontId="14" fillId="16" borderId="46" xfId="0" applyFont="1" applyFill="1" applyBorder="1" applyAlignment="1">
      <alignment horizontal="center" vertical="center"/>
    </xf>
    <xf numFmtId="0" fontId="14" fillId="16" borderId="19" xfId="0" applyFont="1" applyFill="1" applyBorder="1" applyAlignment="1">
      <alignment horizontal="center" vertical="center"/>
    </xf>
    <xf numFmtId="0" fontId="14" fillId="16" borderId="18" xfId="0" applyFont="1" applyFill="1" applyBorder="1" applyAlignment="1">
      <alignment horizontal="center" vertical="center"/>
    </xf>
    <xf numFmtId="0" fontId="8" fillId="5" borderId="51" xfId="5" applyFont="1" applyFill="1" applyBorder="1" applyAlignment="1">
      <alignment horizontal="center" vertical="center"/>
    </xf>
    <xf numFmtId="0" fontId="8" fillId="5" borderId="16" xfId="5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1" fontId="4" fillId="6" borderId="3" xfId="0" applyNumberFormat="1" applyFont="1" applyFill="1" applyBorder="1" applyAlignment="1">
      <alignment horizontal="center" vertical="center"/>
    </xf>
    <xf numFmtId="171" fontId="4" fillId="6" borderId="5" xfId="0" applyNumberFormat="1" applyFont="1" applyFill="1" applyBorder="1" applyAlignment="1">
      <alignment horizontal="center" vertical="center"/>
    </xf>
    <xf numFmtId="0" fontId="6" fillId="6" borderId="19" xfId="5" applyFont="1" applyFill="1" applyBorder="1" applyAlignment="1">
      <alignment horizontal="center" vertical="center"/>
    </xf>
    <xf numFmtId="0" fontId="6" fillId="6" borderId="20" xfId="5" applyFont="1" applyFill="1" applyBorder="1" applyAlignment="1">
      <alignment horizontal="center" vertical="center"/>
    </xf>
    <xf numFmtId="0" fontId="6" fillId="6" borderId="21" xfId="5" applyFont="1" applyFill="1" applyBorder="1" applyAlignment="1">
      <alignment horizontal="center" vertical="center"/>
    </xf>
    <xf numFmtId="0" fontId="8" fillId="5" borderId="9" xfId="5" applyFont="1" applyFill="1" applyBorder="1" applyAlignment="1">
      <alignment horizontal="center" vertical="center"/>
    </xf>
    <xf numFmtId="0" fontId="8" fillId="5" borderId="10" xfId="5" applyFont="1" applyFill="1" applyBorder="1" applyAlignment="1">
      <alignment horizontal="center" vertical="center"/>
    </xf>
    <xf numFmtId="0" fontId="29" fillId="29" borderId="16" xfId="0" applyFont="1" applyFill="1" applyBorder="1" applyAlignment="1">
      <alignment horizontal="center" vertical="center" wrapText="1"/>
    </xf>
    <xf numFmtId="0" fontId="30" fillId="29" borderId="25" xfId="0" applyFont="1" applyFill="1" applyBorder="1" applyAlignment="1">
      <alignment horizontal="center" vertical="center"/>
    </xf>
    <xf numFmtId="0" fontId="30" fillId="29" borderId="26" xfId="0" applyFont="1" applyFill="1" applyBorder="1" applyAlignment="1">
      <alignment horizontal="center" vertical="center"/>
    </xf>
    <xf numFmtId="0" fontId="20" fillId="13" borderId="16" xfId="0" applyFont="1" applyFill="1" applyBorder="1" applyAlignment="1">
      <alignment horizontal="center" wrapText="1"/>
    </xf>
    <xf numFmtId="0" fontId="20" fillId="13" borderId="16" xfId="0" applyFont="1" applyFill="1" applyBorder="1" applyAlignment="1">
      <alignment horizontal="center"/>
    </xf>
    <xf numFmtId="0" fontId="37" fillId="28" borderId="25" xfId="0" applyFont="1" applyFill="1" applyBorder="1" applyAlignment="1">
      <alignment horizontal="center"/>
    </xf>
    <xf numFmtId="0" fontId="37" fillId="28" borderId="37" xfId="0" applyFont="1" applyFill="1" applyBorder="1" applyAlignment="1">
      <alignment horizontal="center"/>
    </xf>
    <xf numFmtId="0" fontId="44" fillId="13" borderId="16" xfId="0" applyFont="1" applyFill="1" applyBorder="1" applyAlignment="1">
      <alignment horizontal="center"/>
    </xf>
    <xf numFmtId="0" fontId="25" fillId="28" borderId="22" xfId="0" applyFont="1" applyFill="1" applyBorder="1" applyAlignment="1">
      <alignment horizontal="center" vertical="center"/>
    </xf>
    <xf numFmtId="0" fontId="25" fillId="28" borderId="24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28" xfId="0" applyFont="1" applyFill="1" applyBorder="1" applyAlignment="1">
      <alignment horizontal="center" vertical="center"/>
    </xf>
    <xf numFmtId="0" fontId="25" fillId="28" borderId="15" xfId="0" applyFont="1" applyFill="1" applyBorder="1" applyAlignment="1">
      <alignment horizontal="center" vertical="center"/>
    </xf>
    <xf numFmtId="0" fontId="25" fillId="28" borderId="17" xfId="0" applyFont="1" applyFill="1" applyBorder="1" applyAlignment="1">
      <alignment horizontal="center" vertical="center"/>
    </xf>
    <xf numFmtId="0" fontId="26" fillId="28" borderId="25" xfId="0" applyFont="1" applyFill="1" applyBorder="1" applyAlignment="1">
      <alignment horizontal="center" vertical="center"/>
    </xf>
    <xf numFmtId="0" fontId="26" fillId="28" borderId="37" xfId="0" applyFont="1" applyFill="1" applyBorder="1" applyAlignment="1">
      <alignment horizontal="center" vertical="center"/>
    </xf>
    <xf numFmtId="0" fontId="27" fillId="28" borderId="59" xfId="0" applyFont="1" applyFill="1" applyBorder="1" applyAlignment="1">
      <alignment horizontal="center" vertical="center" wrapText="1"/>
    </xf>
    <xf numFmtId="0" fontId="27" fillId="28" borderId="60" xfId="0" applyFont="1" applyFill="1" applyBorder="1" applyAlignment="1">
      <alignment horizontal="center" vertical="center" wrapText="1"/>
    </xf>
    <xf numFmtId="0" fontId="27" fillId="28" borderId="2" xfId="0" applyFont="1" applyFill="1" applyBorder="1" applyAlignment="1">
      <alignment horizontal="center" vertical="center" wrapText="1"/>
    </xf>
    <xf numFmtId="0" fontId="30" fillId="29" borderId="37" xfId="0" applyFont="1" applyFill="1" applyBorder="1" applyAlignment="1">
      <alignment horizontal="center" vertical="center"/>
    </xf>
    <xf numFmtId="0" fontId="31" fillId="30" borderId="25" xfId="0" applyFont="1" applyFill="1" applyBorder="1" applyAlignment="1">
      <alignment horizontal="center" vertical="center"/>
    </xf>
    <xf numFmtId="0" fontId="31" fillId="30" borderId="26" xfId="0" applyFont="1" applyFill="1" applyBorder="1" applyAlignment="1">
      <alignment horizontal="center" vertical="center"/>
    </xf>
    <xf numFmtId="0" fontId="32" fillId="30" borderId="25" xfId="0" applyFont="1" applyFill="1" applyBorder="1" applyAlignment="1">
      <alignment horizontal="center" vertical="center"/>
    </xf>
    <xf numFmtId="0" fontId="32" fillId="30" borderId="26" xfId="0" applyFont="1" applyFill="1" applyBorder="1" applyAlignment="1">
      <alignment horizontal="center" vertical="center"/>
    </xf>
    <xf numFmtId="0" fontId="43" fillId="28" borderId="25" xfId="0" applyFont="1" applyFill="1" applyBorder="1" applyAlignment="1">
      <alignment horizontal="right" wrapText="1"/>
    </xf>
    <xf numFmtId="0" fontId="43" fillId="28" borderId="37" xfId="0" applyFont="1" applyFill="1" applyBorder="1" applyAlignment="1">
      <alignment horizontal="right" wrapText="1"/>
    </xf>
    <xf numFmtId="0" fontId="28" fillId="29" borderId="25" xfId="0" applyFont="1" applyFill="1" applyBorder="1" applyAlignment="1">
      <alignment horizontal="center" vertical="center"/>
    </xf>
    <xf numFmtId="0" fontId="28" fillId="29" borderId="26" xfId="0" applyFont="1" applyFill="1" applyBorder="1" applyAlignment="1">
      <alignment horizontal="center" vertical="center"/>
    </xf>
    <xf numFmtId="2" fontId="6" fillId="3" borderId="12" xfId="4" applyNumberFormat="1" applyFont="1" applyFill="1" applyBorder="1" applyAlignment="1">
      <alignment horizontal="center" vertical="center"/>
    </xf>
    <xf numFmtId="2" fontId="6" fillId="3" borderId="13" xfId="4" applyNumberFormat="1" applyFont="1" applyFill="1" applyBorder="1" applyAlignment="1">
      <alignment horizontal="center" vertical="center"/>
    </xf>
    <xf numFmtId="2" fontId="6" fillId="3" borderId="14" xfId="4" applyNumberFormat="1" applyFont="1" applyFill="1" applyBorder="1" applyAlignment="1">
      <alignment horizontal="center" vertical="center"/>
    </xf>
    <xf numFmtId="2" fontId="6" fillId="4" borderId="3" xfId="4" applyNumberFormat="1" applyFont="1" applyFill="1" applyBorder="1" applyAlignment="1">
      <alignment horizontal="center" vertical="center"/>
    </xf>
    <xf numFmtId="2" fontId="6" fillId="4" borderId="4" xfId="4" applyNumberFormat="1" applyFont="1" applyFill="1" applyBorder="1" applyAlignment="1">
      <alignment horizontal="center" vertical="center"/>
    </xf>
    <xf numFmtId="2" fontId="6" fillId="4" borderId="5" xfId="4" applyNumberFormat="1" applyFont="1" applyFill="1" applyBorder="1" applyAlignment="1">
      <alignment horizontal="center" vertical="center"/>
    </xf>
    <xf numFmtId="0" fontId="20" fillId="19" borderId="0" xfId="0" applyFont="1" applyFill="1" applyAlignment="1">
      <alignment horizontal="center"/>
    </xf>
  </cellXfs>
  <cellStyles count="13">
    <cellStyle name="Comma" xfId="10" builtinId="3"/>
    <cellStyle name="Comma 2" xfId="6" xr:uid="{1A79B25A-E7B8-4F76-A0E9-864FF60581A4}"/>
    <cellStyle name="Currency" xfId="1" builtinId="4"/>
    <cellStyle name="Currency 2" xfId="8" xr:uid="{C8418F38-BBAC-45D8-A444-7D04B177C439}"/>
    <cellStyle name="Currency 3 7" xfId="4" xr:uid="{CD9D0780-83FC-4B82-94A8-009362B444E6}"/>
    <cellStyle name="Normal" xfId="0" builtinId="0"/>
    <cellStyle name="Normal 100" xfId="5" xr:uid="{78053EAD-10D0-48DA-AD0F-A7A1EAD89F1F}"/>
    <cellStyle name="Normal 2" xfId="7" xr:uid="{F34B4925-44B2-4165-B676-FB12DEC4C7F2}"/>
    <cellStyle name="Normal 2 10" xfId="2" xr:uid="{5390AABA-A1DA-4C6D-A867-D56CFC0B3AED}"/>
    <cellStyle name="Normal 3" xfId="11" xr:uid="{C5E9E1B5-D776-41C4-9AAC-ADFAEAA2EE14}"/>
    <cellStyle name="Normal_VAA Packing, Transport &amp; wash Pricing" xfId="12" xr:uid="{7DF15C78-DA7E-4AB8-8FD4-394473FF4862}"/>
    <cellStyle name="Percent" xfId="9" builtinId="5"/>
    <cellStyle name="Percent 9 2" xfId="3" xr:uid="{29D22388-58A0-494B-A7EC-99D26A575297}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numFmt numFmtId="34" formatCode="_(&quot;$&quot;* #,##0.00_);_(&quot;$&quot;* \(#,##0.00\);_(&quot;$&quot;* &quot;-&quot;??_);_(@_)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numFmt numFmtId="169" formatCode="0.000"/>
      <fill>
        <patternFill patternType="none">
          <fgColor indexed="64"/>
          <bgColor indexed="65"/>
        </patternFill>
      </fill>
    </dxf>
    <dxf>
      <numFmt numFmtId="169" formatCode="0.000"/>
    </dxf>
    <dxf>
      <numFmt numFmtId="166" formatCode="0.0000"/>
      <fill>
        <patternFill patternType="none">
          <fgColor indexed="64"/>
          <bgColor indexed="65"/>
        </patternFill>
      </fill>
    </dxf>
    <dxf>
      <numFmt numFmtId="166" formatCode="0.000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0.00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B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VA</a:t>
            </a:r>
            <a:r>
              <a:rPr lang="en-US" baseline="0"/>
              <a:t> Total </a:t>
            </a:r>
            <a:r>
              <a:rPr lang="en-US"/>
              <a:t>Revenues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346-41D8-A646-7C121B19977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346-41D8-A646-7C121B19977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346-41D8-A646-7C121B19977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346-41D8-A646-7C121B19977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346-41D8-A646-7C121B1997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'P&amp;L'!$B$7:$B$11</c:f>
              <c:strCache>
                <c:ptCount val="5"/>
                <c:pt idx="0">
                  <c:v>Revenue Meals</c:v>
                </c:pt>
                <c:pt idx="1">
                  <c:v>Revenue Handling</c:v>
                </c:pt>
                <c:pt idx="2">
                  <c:v>Revenue Overheads</c:v>
                </c:pt>
                <c:pt idx="3">
                  <c:v>Revenue Other</c:v>
                </c:pt>
                <c:pt idx="4">
                  <c:v>Discount</c:v>
                </c:pt>
              </c:strCache>
            </c:strRef>
          </c:cat>
          <c:val>
            <c:numRef>
              <c:f>'P&amp;L'!$E$7:$E$11</c:f>
              <c:numCache>
                <c:formatCode>_("$"* #,##0_);_("$"* \(#,##0\);_("$"* "-"??_);_(@_)</c:formatCode>
                <c:ptCount val="5"/>
                <c:pt idx="0">
                  <c:v>3811938.7433399996</c:v>
                </c:pt>
                <c:pt idx="1">
                  <c:v>1915574.8248000003</c:v>
                </c:pt>
                <c:pt idx="2">
                  <c:v>310000</c:v>
                </c:pt>
                <c:pt idx="3">
                  <c:v>40300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CB-A8FD-92034798D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40881368879039"/>
          <c:y val="0.29244936467291094"/>
          <c:w val="0.38175912048863769"/>
          <c:h val="0.631524623740500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 Rev. Per Flight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7564851130790756E-2"/>
          <c:y val="0.24485250954776455"/>
          <c:w val="0.95219018946990253"/>
          <c:h val="0.43629658993374443"/>
        </c:manualLayout>
      </c:layout>
      <c:bar3DChart>
        <c:barDir val="col"/>
        <c:grouping val="clustered"/>
        <c:varyColors val="0"/>
        <c:ser>
          <c:idx val="10"/>
          <c:order val="0"/>
          <c:spPr>
            <a:solidFill>
              <a:schemeClr val="accent3">
                <a:lumMod val="80000"/>
                <a:alpha val="88000"/>
              </a:schemeClr>
            </a:solidFill>
            <a:ln>
              <a:solidFill>
                <a:schemeClr val="accent3">
                  <a:lumMod val="80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80000"/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  <a:round/>
              </a:ln>
              <a:effectLst>
                <a:outerShdw blurRad="63500" dist="88900" dir="2700000" sx="200000" sy="200000" algn="tl" rotWithShape="0">
                  <a:prstClr val="black">
                    <a:alpha val="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'!$B$6:$I$6</c:f>
              <c:strCache>
                <c:ptCount val="8"/>
                <c:pt idx="0">
                  <c:v>FC</c:v>
                </c:pt>
                <c:pt idx="1">
                  <c:v>BC</c:v>
                </c:pt>
                <c:pt idx="2">
                  <c:v>PY</c:v>
                </c:pt>
                <c:pt idx="3">
                  <c:v>EY</c:v>
                </c:pt>
                <c:pt idx="4">
                  <c:v>TC</c:v>
                </c:pt>
                <c:pt idx="5">
                  <c:v>CY</c:v>
                </c:pt>
                <c:pt idx="6">
                  <c:v>Total </c:v>
                </c:pt>
                <c:pt idx="7">
                  <c:v>Hnd</c:v>
                </c:pt>
              </c:strCache>
            </c:strRef>
          </c:cat>
          <c:val>
            <c:numRef>
              <c:f>'Summary '!$B$18:$I$18</c:f>
              <c:numCache>
                <c:formatCode>_("$"* #,##0_);_("$"* \(#,##0\);_("$"* "-"??_);_(@_)</c:formatCode>
                <c:ptCount val="8"/>
                <c:pt idx="0">
                  <c:v>0</c:v>
                </c:pt>
                <c:pt idx="1">
                  <c:v>818.93501249999986</c:v>
                </c:pt>
                <c:pt idx="2">
                  <c:v>860.98683249999988</c:v>
                </c:pt>
                <c:pt idx="3">
                  <c:v>1507.5951500000001</c:v>
                </c:pt>
                <c:pt idx="4">
                  <c:v>0</c:v>
                </c:pt>
                <c:pt idx="5">
                  <c:v>303.26940000000002</c:v>
                </c:pt>
                <c:pt idx="7">
                  <c:v>1754.1894000000002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4C0-4A01-9035-98460D9B5E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1865856"/>
        <c:axId val="1371871680"/>
        <c:axId val="0"/>
      </c:bar3DChart>
      <c:catAx>
        <c:axId val="1371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871680"/>
        <c:crosses val="autoZero"/>
        <c:auto val="1"/>
        <c:lblAlgn val="ctr"/>
        <c:lblOffset val="100"/>
        <c:noMultiLvlLbl val="0"/>
      </c:catAx>
      <c:valAx>
        <c:axId val="137187168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13718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142875</xdr:rowOff>
    </xdr:from>
    <xdr:to>
      <xdr:col>15</xdr:col>
      <xdr:colOff>2197</xdr:colOff>
      <xdr:row>9</xdr:row>
      <xdr:rowOff>77787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B1EF4-9BFD-4D4B-BC1C-520DD3F3C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74706</xdr:rowOff>
    </xdr:from>
    <xdr:to>
      <xdr:col>14</xdr:col>
      <xdr:colOff>582706</xdr:colOff>
      <xdr:row>20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E73E3C-7D00-404B-BE5D-87C461DE6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RONG%20LU\Desktop\PnL%20Model%20BNA%20MAINLINE%20AVIATION%205-6%20flight%20a%20day.xlsx" TargetMode="External"/><Relationship Id="rId1" Type="http://schemas.openxmlformats.org/officeDocument/2006/relationships/externalLinkPath" Target="PnL%20Model%20BNA%20MAINLINE%20AVIATION%205-6%20flight%20a%20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A Assumptions "/>
      <sheetName val="P&amp;L"/>
      <sheetName val="Bid Assumption "/>
      <sheetName val="Summary "/>
      <sheetName val="Summary Short Haul"/>
      <sheetName val="Summary  735"/>
      <sheetName val="Summary 2221"/>
      <sheetName val="Summary 2439"/>
      <sheetName val="Summary 2682"/>
      <sheetName val="Summary 2855"/>
      <sheetName val="Summary 2037"/>
      <sheetName val="Summary 2817"/>
      <sheetName val="Handling"/>
      <sheetName val="FlightConfig"/>
      <sheetName val="Food"/>
      <sheetName val="Avg Per Flight"/>
      <sheetName val="FG MASTER"/>
      <sheetName val="cost breakdown"/>
    </sheetNames>
    <sheetDataSet>
      <sheetData sheetId="0"/>
      <sheetData sheetId="1">
        <row r="2">
          <cell r="P2">
            <v>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gia  Baez" id="{3CEB29FF-8EB2-46EA-A5A6-552ED326FCA0}" userId="Ligia  Baez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7948A-43C1-4388-9A03-875487332756}" name="Table1" displayName="Table1" ref="A9:AC257" totalsRowCount="1" headerRowDxfId="58" dataDxfId="57" dataCellStyle="Currency">
  <autoFilter ref="A9:AC256" xr:uid="{00000000-0009-0000-0100-000001000000}"/>
  <tableColumns count="29">
    <tableColumn id="1" xr3:uid="{C1A95376-BFC5-48B7-A176-529715FEEBA1}" name="Item #" dataDxfId="55" totalsRowDxfId="56"/>
    <tableColumn id="2" xr3:uid="{DF583C00-442A-4A2A-86F8-205CC09498A2}" name="Item Description" dataDxfId="54"/>
    <tableColumn id="4" xr3:uid="{544D79C4-F963-4D7A-8FC4-67068474C720}" name="Price Code" dataDxfId="52" totalsRowDxfId="53"/>
    <tableColumn id="7" xr3:uid="{880CBAF4-DA2C-4CD1-9867-62A9E8338874}" name="EQ1" dataDxfId="50" totalsRowDxfId="51"/>
    <tableColumn id="8" xr3:uid="{7CA8FC1A-443D-4330-9322-4A7BCB6A9BB5}" name="EQ2" dataDxfId="48" totalsRowDxfId="49"/>
    <tableColumn id="9" xr3:uid="{EB7E2000-AFE5-4C14-80EB-D212865FD280}" name="EQ3" dataDxfId="46" totalsRowDxfId="47"/>
    <tableColumn id="10" xr3:uid="{BA3E9D60-D02B-4D62-98EA-C7616AD9E775}" name="EQ4" dataDxfId="44" totalsRowDxfId="45"/>
    <tableColumn id="11" xr3:uid="{8CE11E9B-FE7F-4C4E-8769-7256957A9181}" name="EQ5" dataDxfId="42" totalsRowDxfId="43"/>
    <tableColumn id="12" xr3:uid="{293F2FB6-A648-4C6D-973C-CC21DB24E7CD}" name="Unit Weight/ Count" dataDxfId="40" totalsRowDxfId="41"/>
    <tableColumn id="13" xr3:uid="{E2B307F6-1A47-49E1-A917-D3D4CA08551A}" name="UOM" dataDxfId="38" totalsRowDxfId="39"/>
    <tableColumn id="14" xr3:uid="{62BBD560-83D2-4E14-AD22-FB7762963A1B}" name="Final Work Center" dataDxfId="36" totalsRowDxfId="37"/>
    <tableColumn id="15" xr3:uid="{A56B9C5B-5319-42C3-A8DF-58630B4E6B5D}" name="Req / No processing needed" dataDxfId="34" totalsRowDxfId="35"/>
    <tableColumn id="16" xr3:uid="{FD63D3A8-A757-4EE9-A64B-47DEE12D95E1}" name="Prep Center" dataDxfId="32" totalsRowDxfId="33"/>
    <tableColumn id="17" xr3:uid="{03D61BF8-1875-4530-A5B3-8085E1C35B6C}" name="Item Weight" dataDxfId="30" totalsRowDxfId="31"/>
    <tableColumn id="18" xr3:uid="{DA7619CF-8EC4-4539-BBF0-2DD4A17FC9FD}" name="unit cost" dataDxfId="28" totalsRowDxfId="29"/>
    <tableColumn id="19" xr3:uid="{B5DCEF56-9344-4678-8006-2AED418A46CD}" name="cost per quantity" dataDxfId="26" totalsRowDxfId="27">
      <calculatedColumnFormula>I10*O10</calculatedColumnFormula>
    </tableColumn>
    <tableColumn id="20" xr3:uid="{2A7F2232-49A3-4C55-BEE8-7E16BFDA1741}" name="man minutes" dataDxfId="24" totalsRowDxfId="25"/>
    <tableColumn id="21" xr3:uid="{3A17D7DA-9394-4162-BEB6-3FEA5ED1BBEB}" name="labor factor" dataDxfId="22" totalsRowDxfId="23"/>
    <tableColumn id="22" xr3:uid="{70B8BD2A-73D6-42F1-8DF8-71104B294284}" name="labor rate" dataDxfId="20" totalsRowDxfId="21" dataCellStyle="Currency">
      <calculatedColumnFormula>$S$2</calculatedColumnFormula>
    </tableColumn>
    <tableColumn id="23" xr3:uid="{66A8CCD0-8874-43AD-85BD-E4E826523120}" name="labor cost" dataDxfId="18" totalsRowDxfId="19" dataCellStyle="Currency">
      <calculatedColumnFormula>Table1[[#This Row],[man minutes]]*Table1[[#This Row],[labor rate]]</calculatedColumnFormula>
    </tableColumn>
    <tableColumn id="24" xr3:uid="{A7F19146-6B9A-4ED0-BBEF-398D83FBD8EB}" name="total cost" dataDxfId="16" totalsRowDxfId="17" dataCellStyle="Currency">
      <calculatedColumnFormula>P10+T10</calculatedColumnFormula>
    </tableColumn>
    <tableColumn id="25" xr3:uid="{5599B597-69A2-4707-9E8C-17FDA7036612}" name="food markup" dataDxfId="14" totalsRowDxfId="15" dataCellStyle="Percent"/>
    <tableColumn id="26" xr3:uid="{2DCFA1FF-13F0-4C5A-A6CE-D47AC27ABF10}" name="labor m/u" dataDxfId="12" totalsRowDxfId="13" dataCellStyle="Percent"/>
    <tableColumn id="27" xr3:uid="{1E953153-AB0C-4A62-9875-70ECA8063077}" name="food sale price" dataDxfId="10" totalsRowDxfId="11" dataCellStyle="Currency">
      <calculatedColumnFormula>P10/V10</calculatedColumnFormula>
    </tableColumn>
    <tableColumn id="28" xr3:uid="{8D093CD2-CB12-421D-AA48-A17C799399C3}" name="labor sale price" dataDxfId="8" totalsRowDxfId="9" dataCellStyle="Currency">
      <calculatedColumnFormula>T10+(T10*W10)</calculatedColumnFormula>
    </tableColumn>
    <tableColumn id="29" xr3:uid="{A1028A2C-1329-4778-B8EC-6A0449A0E8E8}" name="calculated sale price" dataDxfId="6" totalsRowDxfId="7" dataCellStyle="Currency">
      <calculatedColumnFormula>IFERROR(ROUNDUP(X10+Y10,2)," ")</calculatedColumnFormula>
    </tableColumn>
    <tableColumn id="30" xr3:uid="{9A56FBFC-AAD1-4047-B2A6-05D98CFA5585}" name="Item         Price" dataDxfId="4" totalsRowDxfId="5" dataCellStyle="Currency"/>
    <tableColumn id="3" xr3:uid="{36153AE1-C663-49E2-BA60-22AA5D28491D}" name="Final Food Cost %" dataDxfId="2" totalsRowDxfId="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0" totalsRowDxfId="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1-04-30T13:49:47.22" personId="{3CEB29FF-8EB2-46EA-A5A6-552ED326FCA0}" id="{54B4AB6A-A7F9-4E79-8BD1-4A7778F89C1F}">
    <text>includes Premium Economy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DE4-A6C6-4F63-A623-F15D8DF15442}">
  <dimension ref="B1:AA74"/>
  <sheetViews>
    <sheetView showGridLines="0" zoomScale="85" zoomScaleNormal="85" workbookViewId="0">
      <selection activeCell="R3" sqref="R3"/>
    </sheetView>
  </sheetViews>
  <sheetFormatPr defaultColWidth="8.7109375" defaultRowHeight="14.45"/>
  <cols>
    <col min="1" max="1" width="6.85546875" style="140" customWidth="1"/>
    <col min="2" max="2" width="30.5703125" style="140" customWidth="1"/>
    <col min="3" max="3" width="22.28515625" style="140" hidden="1" customWidth="1"/>
    <col min="4" max="4" width="10.5703125" style="140" hidden="1" customWidth="1"/>
    <col min="5" max="5" width="22.7109375" style="140" customWidth="1"/>
    <col min="6" max="6" width="9.28515625" style="140" customWidth="1"/>
    <col min="7" max="7" width="16.42578125" style="140" hidden="1" customWidth="1"/>
    <col min="8" max="8" width="2.42578125" style="140" hidden="1" customWidth="1"/>
    <col min="9" max="9" width="11.28515625" customWidth="1"/>
    <col min="10" max="10" width="5.7109375" style="140" customWidth="1"/>
    <col min="11" max="11" width="9.5703125" style="140" customWidth="1"/>
    <col min="12" max="12" width="9.7109375" style="140" customWidth="1"/>
    <col min="13" max="13" width="10.7109375" style="140" customWidth="1"/>
    <col min="14" max="14" width="10.42578125" style="140" customWidth="1"/>
    <col min="15" max="15" width="9.42578125" style="140" customWidth="1"/>
    <col min="16" max="16" width="9.28515625" style="140" customWidth="1"/>
    <col min="17" max="17" width="5.28515625" customWidth="1"/>
    <col min="18" max="18" width="8.28515625" style="140" bestFit="1" customWidth="1"/>
    <col min="19" max="19" width="21.5703125" style="308" customWidth="1"/>
    <col min="20" max="20" width="14.85546875" style="140" bestFit="1" customWidth="1"/>
    <col min="21" max="21" width="10" style="140" bestFit="1" customWidth="1"/>
    <col min="22" max="22" width="4.140625" style="140" customWidth="1"/>
    <col min="23" max="23" width="13.28515625" style="140" bestFit="1" customWidth="1"/>
    <col min="24" max="24" width="14.42578125" style="140" bestFit="1" customWidth="1"/>
    <col min="25" max="25" width="14.85546875" style="140" bestFit="1" customWidth="1"/>
    <col min="26" max="16384" width="8.7109375" style="140"/>
  </cols>
  <sheetData>
    <row r="1" spans="2:27" ht="15" thickBot="1"/>
    <row r="2" spans="2:27" ht="15" thickBot="1">
      <c r="B2" s="148"/>
      <c r="C2" s="148"/>
      <c r="D2" s="150"/>
      <c r="E2" s="148"/>
      <c r="F2" s="150"/>
      <c r="G2" s="149"/>
      <c r="H2" s="150"/>
      <c r="R2" s="255">
        <v>21</v>
      </c>
      <c r="S2" s="417" t="s">
        <v>0</v>
      </c>
      <c r="T2" s="418"/>
      <c r="U2" s="418"/>
      <c r="V2" s="418"/>
      <c r="W2"/>
      <c r="X2"/>
      <c r="Y2"/>
      <c r="Z2"/>
      <c r="AA2"/>
    </row>
    <row r="3" spans="2:27" ht="15" thickBot="1">
      <c r="B3" s="151"/>
      <c r="C3" s="151"/>
      <c r="D3" s="152"/>
      <c r="E3" s="178"/>
      <c r="F3" s="152"/>
      <c r="H3" s="152"/>
      <c r="R3" s="255">
        <f>'Summary '!H4</f>
        <v>1092</v>
      </c>
      <c r="S3" s="417" t="s">
        <v>1</v>
      </c>
      <c r="T3" s="418"/>
      <c r="U3" s="418"/>
      <c r="V3" s="418"/>
      <c r="W3"/>
      <c r="X3"/>
      <c r="Y3"/>
      <c r="Z3"/>
      <c r="AA3"/>
    </row>
    <row r="4" spans="2:27" ht="15" thickBot="1">
      <c r="B4" s="151"/>
      <c r="C4" s="151"/>
      <c r="D4" s="152"/>
      <c r="E4" s="151"/>
      <c r="F4" s="152"/>
      <c r="H4" s="152"/>
      <c r="R4" s="228">
        <v>0.85</v>
      </c>
      <c r="S4" s="417" t="s">
        <v>2</v>
      </c>
      <c r="T4" s="418"/>
      <c r="U4" s="418"/>
      <c r="V4" s="418"/>
      <c r="W4"/>
      <c r="X4"/>
      <c r="Y4"/>
      <c r="Z4"/>
      <c r="AA4"/>
    </row>
    <row r="5" spans="2:27" ht="16.149999999999999" thickBot="1">
      <c r="B5" s="429" t="s">
        <v>3</v>
      </c>
      <c r="C5" s="427" t="s">
        <v>4</v>
      </c>
      <c r="D5" s="428"/>
      <c r="E5" s="427" t="s">
        <v>5</v>
      </c>
      <c r="F5" s="428"/>
      <c r="G5" s="427" t="s">
        <v>6</v>
      </c>
      <c r="H5" s="428"/>
      <c r="J5" s="217"/>
      <c r="R5" s="229">
        <v>1</v>
      </c>
      <c r="S5" s="417" t="s">
        <v>7</v>
      </c>
      <c r="T5" s="418"/>
      <c r="U5" s="418"/>
      <c r="V5" s="418"/>
      <c r="W5"/>
      <c r="X5"/>
      <c r="Y5"/>
      <c r="Z5"/>
      <c r="AA5"/>
    </row>
    <row r="6" spans="2:27" ht="16.149999999999999" thickBot="1">
      <c r="B6" s="430"/>
      <c r="C6" s="332" t="s">
        <v>8</v>
      </c>
      <c r="D6" s="153" t="s">
        <v>9</v>
      </c>
      <c r="E6" s="332" t="s">
        <v>8</v>
      </c>
      <c r="F6" s="153" t="s">
        <v>9</v>
      </c>
      <c r="G6" s="166" t="s">
        <v>8</v>
      </c>
      <c r="H6" s="153" t="s">
        <v>9</v>
      </c>
      <c r="J6" s="217"/>
      <c r="R6" s="228">
        <v>0</v>
      </c>
      <c r="S6" s="417" t="s">
        <v>10</v>
      </c>
      <c r="T6" s="418"/>
      <c r="U6" s="418"/>
      <c r="V6" s="418"/>
      <c r="W6"/>
      <c r="X6"/>
      <c r="Y6"/>
      <c r="Z6"/>
      <c r="AA6"/>
    </row>
    <row r="7" spans="2:27" ht="15" thickBot="1">
      <c r="B7" s="338" t="s">
        <v>11</v>
      </c>
      <c r="C7" s="333">
        <f>SUM(E7,G7)</f>
        <v>3811938.7433499997</v>
      </c>
      <c r="D7" s="165">
        <f>C7/$C$12</f>
        <v>0.62718915290952237</v>
      </c>
      <c r="E7" s="333">
        <f>SUM('Summary '!J11:J14)</f>
        <v>3811938.7433399996</v>
      </c>
      <c r="F7" s="165">
        <f>E7/$E$12</f>
        <v>0.62718915290890886</v>
      </c>
      <c r="G7" s="320">
        <v>1.0000000000000001E-5</v>
      </c>
      <c r="H7" s="165">
        <f>G7/$G$12</f>
        <v>1</v>
      </c>
      <c r="J7" s="218"/>
      <c r="W7"/>
      <c r="X7"/>
      <c r="Y7"/>
      <c r="Z7"/>
      <c r="AA7"/>
    </row>
    <row r="8" spans="2:27" ht="15" thickBot="1">
      <c r="B8" s="338" t="s">
        <v>12</v>
      </c>
      <c r="C8" s="333">
        <f>SUM(E8,G8)</f>
        <v>1915574.8248000003</v>
      </c>
      <c r="D8" s="165">
        <f>C8/$C$12</f>
        <v>0.31517498905170832</v>
      </c>
      <c r="E8" s="333">
        <f>SUM('Summary '!J15:J16)</f>
        <v>1915574.8248000003</v>
      </c>
      <c r="F8" s="165">
        <f t="shared" ref="F8:F21" si="0">E8/$E$12</f>
        <v>0.31517498905222685</v>
      </c>
      <c r="G8" s="164"/>
      <c r="H8" s="165">
        <f t="shared" ref="H8:H22" si="1">G8/$G$12</f>
        <v>0</v>
      </c>
      <c r="J8" s="218"/>
      <c r="R8" s="230">
        <v>0.13</v>
      </c>
      <c r="S8" s="419" t="s">
        <v>13</v>
      </c>
      <c r="T8" s="420"/>
      <c r="U8" s="420"/>
      <c r="V8" s="420"/>
      <c r="W8"/>
      <c r="X8"/>
      <c r="Y8"/>
      <c r="Z8"/>
      <c r="AA8"/>
    </row>
    <row r="9" spans="2:27" ht="15" thickBot="1">
      <c r="B9" s="338" t="s">
        <v>14</v>
      </c>
      <c r="C9" s="333">
        <f>SUM(E9,G9)</f>
        <v>310000</v>
      </c>
      <c r="D9" s="165">
        <f t="shared" ref="D9:D20" si="2">C9/$C$12</f>
        <v>5.1005184105105676E-2</v>
      </c>
      <c r="E9" s="333">
        <f>160000+150000</f>
        <v>310000</v>
      </c>
      <c r="F9" s="165">
        <f t="shared" si="0"/>
        <v>5.1005184105189595E-2</v>
      </c>
      <c r="G9" s="164"/>
      <c r="H9" s="165">
        <f t="shared" si="1"/>
        <v>0</v>
      </c>
      <c r="I9" t="s">
        <v>15</v>
      </c>
      <c r="J9" s="218"/>
      <c r="R9" s="230">
        <v>0.13</v>
      </c>
      <c r="S9" s="419" t="s">
        <v>16</v>
      </c>
      <c r="T9" s="420"/>
      <c r="U9" s="420"/>
      <c r="V9" s="420"/>
      <c r="W9"/>
      <c r="X9"/>
      <c r="Y9"/>
      <c r="Z9"/>
      <c r="AA9"/>
    </row>
    <row r="10" spans="2:27" ht="15" thickBot="1">
      <c r="B10" s="338" t="s">
        <v>17</v>
      </c>
      <c r="C10" s="333">
        <f>SUM(E10,G10)</f>
        <v>40300</v>
      </c>
      <c r="D10" s="165">
        <f t="shared" si="2"/>
        <v>6.6306739336637385E-3</v>
      </c>
      <c r="E10" s="333">
        <f>SUM(E9)*R9</f>
        <v>40300</v>
      </c>
      <c r="F10" s="165">
        <f t="shared" si="0"/>
        <v>6.6306739336746473E-3</v>
      </c>
      <c r="G10" s="164"/>
      <c r="H10" s="165">
        <f t="shared" si="1"/>
        <v>0</v>
      </c>
      <c r="I10" s="321" t="s">
        <v>18</v>
      </c>
      <c r="J10" s="218"/>
      <c r="R10" s="230">
        <v>0.13</v>
      </c>
      <c r="S10" s="419" t="s">
        <v>19</v>
      </c>
      <c r="T10" s="420"/>
      <c r="U10" s="420"/>
      <c r="V10" s="420"/>
      <c r="W10"/>
      <c r="X10"/>
      <c r="Y10"/>
      <c r="Z10"/>
      <c r="AA10"/>
    </row>
    <row r="11" spans="2:27">
      <c r="B11" s="338" t="s">
        <v>10</v>
      </c>
      <c r="C11" s="333">
        <f>SUM(E11,G11)</f>
        <v>0</v>
      </c>
      <c r="D11" s="165">
        <f t="shared" si="2"/>
        <v>0</v>
      </c>
      <c r="E11" s="333">
        <f>SUM(E7:E9)*R6</f>
        <v>0</v>
      </c>
      <c r="F11" s="165">
        <f>E11/$E$12</f>
        <v>0</v>
      </c>
      <c r="G11" s="164"/>
      <c r="H11" s="165">
        <f t="shared" si="1"/>
        <v>0</v>
      </c>
      <c r="J11" s="218"/>
      <c r="R11" s="252"/>
      <c r="W11"/>
      <c r="X11"/>
      <c r="Y11"/>
      <c r="Z11"/>
      <c r="AA11"/>
    </row>
    <row r="12" spans="2:27" ht="15" thickBot="1">
      <c r="B12" s="339" t="s">
        <v>20</v>
      </c>
      <c r="C12" s="334">
        <f>SUM(C7:C11)</f>
        <v>6077813.5681499997</v>
      </c>
      <c r="D12" s="231">
        <f t="shared" si="2"/>
        <v>1</v>
      </c>
      <c r="E12" s="334">
        <f>SUM(E7:E11)</f>
        <v>6077813.5681400001</v>
      </c>
      <c r="F12" s="231">
        <f t="shared" si="0"/>
        <v>1</v>
      </c>
      <c r="G12" s="232">
        <f>SUM(G7:G11)</f>
        <v>1.0000000000000001E-5</v>
      </c>
      <c r="H12" s="231">
        <f t="shared" si="1"/>
        <v>1</v>
      </c>
      <c r="I12" s="328"/>
      <c r="J12" s="219"/>
      <c r="W12"/>
      <c r="X12"/>
      <c r="Y12"/>
      <c r="Z12"/>
      <c r="AA12"/>
    </row>
    <row r="13" spans="2:27" ht="15" thickBot="1">
      <c r="B13" s="338" t="s">
        <v>21</v>
      </c>
      <c r="C13" s="333">
        <f>SUM(E13,G13)</f>
        <v>2152816.8479999998</v>
      </c>
      <c r="D13" s="165">
        <f t="shared" si="2"/>
        <v>0.35420909573165582</v>
      </c>
      <c r="E13" s="333">
        <f>'Summary '!J11</f>
        <v>2152816.8479999998</v>
      </c>
      <c r="F13" s="409">
        <f>E13/$E$12</f>
        <v>0.35420909573223858</v>
      </c>
      <c r="G13" s="320"/>
      <c r="H13" s="165">
        <f t="shared" si="1"/>
        <v>0</v>
      </c>
      <c r="J13" s="218"/>
      <c r="R13" s="414" t="s">
        <v>22</v>
      </c>
      <c r="S13" s="415"/>
      <c r="T13" s="415"/>
      <c r="U13" s="415"/>
      <c r="V13" s="416"/>
      <c r="W13"/>
      <c r="X13"/>
      <c r="Y13"/>
      <c r="Z13"/>
      <c r="AA13"/>
    </row>
    <row r="14" spans="2:27" ht="15" thickBot="1">
      <c r="B14" s="338" t="s">
        <v>23</v>
      </c>
      <c r="C14" s="333">
        <f>SUM(E14,G14)</f>
        <v>0</v>
      </c>
      <c r="D14" s="165">
        <f t="shared" si="2"/>
        <v>0</v>
      </c>
      <c r="E14" s="333">
        <v>0</v>
      </c>
      <c r="F14" s="165">
        <f t="shared" si="0"/>
        <v>0</v>
      </c>
      <c r="G14" s="164"/>
      <c r="H14" s="165">
        <f t="shared" si="1"/>
        <v>0</v>
      </c>
      <c r="J14" s="218"/>
      <c r="R14" s="265">
        <f>R20+R25+R30+R35</f>
        <v>1575.559</v>
      </c>
      <c r="S14" s="411" t="s">
        <v>24</v>
      </c>
      <c r="T14" s="412"/>
      <c r="U14" s="412"/>
      <c r="V14" s="413"/>
      <c r="W14"/>
      <c r="X14"/>
      <c r="Y14"/>
      <c r="Z14"/>
      <c r="AA14"/>
    </row>
    <row r="15" spans="2:27" ht="15" thickBot="1">
      <c r="B15" s="339" t="s">
        <v>25</v>
      </c>
      <c r="C15" s="334">
        <f>SUM(C13:C14)</f>
        <v>2152816.8479999998</v>
      </c>
      <c r="D15" s="231">
        <f t="shared" si="2"/>
        <v>0.35420909573165582</v>
      </c>
      <c r="E15" s="334">
        <f>SUM(E13:E14)</f>
        <v>2152816.8479999998</v>
      </c>
      <c r="F15" s="231">
        <f t="shared" si="0"/>
        <v>0.35420909573223858</v>
      </c>
      <c r="G15" s="232">
        <f>SUM(G13:G14)</f>
        <v>0</v>
      </c>
      <c r="H15" s="231">
        <f t="shared" si="1"/>
        <v>0</v>
      </c>
      <c r="J15" s="219"/>
      <c r="R15" s="265">
        <f>R21+R26+R31+R36</f>
        <v>1932.8198</v>
      </c>
      <c r="S15" s="411" t="s">
        <v>26</v>
      </c>
      <c r="T15" s="412"/>
      <c r="U15" s="412"/>
      <c r="V15" s="413"/>
      <c r="W15"/>
      <c r="X15"/>
      <c r="Y15"/>
      <c r="Z15"/>
      <c r="AA15"/>
    </row>
    <row r="16" spans="2:27" ht="15" thickBot="1">
      <c r="B16" s="338" t="s">
        <v>27</v>
      </c>
      <c r="C16" s="333">
        <f>SUM(E16,G16)</f>
        <v>2332623.3840000005</v>
      </c>
      <c r="D16" s="165">
        <f t="shared" si="2"/>
        <v>0.38379317789933759</v>
      </c>
      <c r="E16" s="333">
        <f>'Summary '!L16</f>
        <v>2332623.3840000005</v>
      </c>
      <c r="F16" s="409">
        <f>E16/$E$12</f>
        <v>0.38379317789996903</v>
      </c>
      <c r="G16" s="320"/>
      <c r="H16" s="165">
        <f t="shared" si="1"/>
        <v>0</v>
      </c>
      <c r="J16" s="218"/>
      <c r="R16" s="265">
        <f>R22+R27+R32+R37</f>
        <v>1529.3419999999999</v>
      </c>
      <c r="S16" s="411">
        <v>787</v>
      </c>
      <c r="T16" s="412"/>
      <c r="U16" s="412"/>
      <c r="V16" s="413"/>
      <c r="W16"/>
      <c r="X16"/>
      <c r="Y16"/>
      <c r="Z16"/>
      <c r="AA16"/>
    </row>
    <row r="17" spans="2:27">
      <c r="B17" s="338" t="s">
        <v>28</v>
      </c>
      <c r="C17" s="333">
        <f>SUM(E17,G17)</f>
        <v>0</v>
      </c>
      <c r="D17" s="165">
        <f t="shared" si="2"/>
        <v>0</v>
      </c>
      <c r="E17" s="333">
        <v>0</v>
      </c>
      <c r="F17" s="165">
        <f t="shared" si="0"/>
        <v>0</v>
      </c>
      <c r="G17" s="164"/>
      <c r="H17" s="165">
        <f t="shared" si="1"/>
        <v>0</v>
      </c>
      <c r="J17" s="218"/>
      <c r="W17"/>
      <c r="X17"/>
      <c r="Y17"/>
      <c r="Z17"/>
      <c r="AA17"/>
    </row>
    <row r="18" spans="2:27" ht="15" thickBot="1">
      <c r="B18" s="338" t="s">
        <v>29</v>
      </c>
      <c r="C18" s="333">
        <f>SUM(E18,G18)</f>
        <v>583155.84600000014</v>
      </c>
      <c r="D18" s="165">
        <f t="shared" si="2"/>
        <v>9.5948294474834397E-2</v>
      </c>
      <c r="E18" s="333">
        <f>'Summary '!L17</f>
        <v>583155.84600000014</v>
      </c>
      <c r="F18" s="409">
        <f t="shared" si="0"/>
        <v>9.5948294474992257E-2</v>
      </c>
      <c r="G18" s="320"/>
      <c r="H18" s="165">
        <f t="shared" si="1"/>
        <v>0</v>
      </c>
      <c r="J18" s="218"/>
      <c r="W18"/>
      <c r="X18"/>
      <c r="Y18"/>
      <c r="Z18"/>
      <c r="AA18"/>
    </row>
    <row r="19" spans="2:27" ht="15" thickBot="1">
      <c r="B19" s="338" t="s">
        <v>30</v>
      </c>
      <c r="C19" s="333">
        <f>SUM(E19,G19)</f>
        <v>0</v>
      </c>
      <c r="D19" s="165">
        <f t="shared" si="2"/>
        <v>0</v>
      </c>
      <c r="E19" s="333">
        <v>0</v>
      </c>
      <c r="F19" s="165">
        <f t="shared" si="0"/>
        <v>0</v>
      </c>
      <c r="G19" s="164"/>
      <c r="H19" s="165">
        <f t="shared" si="1"/>
        <v>0</v>
      </c>
      <c r="J19" s="218"/>
      <c r="R19" s="421" t="s">
        <v>31</v>
      </c>
      <c r="S19" s="422"/>
      <c r="T19" s="422"/>
      <c r="U19" s="422"/>
      <c r="V19" s="423"/>
      <c r="W19"/>
      <c r="X19"/>
      <c r="Y19"/>
      <c r="Z19"/>
      <c r="AA19"/>
    </row>
    <row r="20" spans="2:27" ht="15" thickBot="1">
      <c r="B20" s="338" t="s">
        <v>32</v>
      </c>
      <c r="C20" s="333">
        <f>SUM(E20,G20)</f>
        <v>0</v>
      </c>
      <c r="D20" s="165">
        <f t="shared" si="2"/>
        <v>0</v>
      </c>
      <c r="E20" s="333">
        <v>0</v>
      </c>
      <c r="F20" s="165">
        <f t="shared" si="0"/>
        <v>0</v>
      </c>
      <c r="G20" s="320"/>
      <c r="H20" s="165">
        <f t="shared" si="1"/>
        <v>0</v>
      </c>
      <c r="J20" s="218"/>
      <c r="R20" s="265">
        <f>Handling!V53</f>
        <v>313.23599999999993</v>
      </c>
      <c r="S20" s="411" t="s">
        <v>33</v>
      </c>
      <c r="T20" s="412"/>
      <c r="U20" s="412"/>
      <c r="V20" s="413"/>
      <c r="W20"/>
      <c r="X20"/>
      <c r="Y20"/>
      <c r="Z20"/>
      <c r="AA20"/>
    </row>
    <row r="21" spans="2:27" ht="15" thickBot="1">
      <c r="B21" s="339" t="s">
        <v>34</v>
      </c>
      <c r="C21" s="334">
        <f>SUM(C16:C20)</f>
        <v>2915779.2300000004</v>
      </c>
      <c r="D21" s="231">
        <f>C21/$C$12</f>
        <v>0.47974147237417192</v>
      </c>
      <c r="E21" s="334">
        <f>SUM(E16:E20)</f>
        <v>2915779.2300000004</v>
      </c>
      <c r="F21" s="231">
        <f t="shared" si="0"/>
        <v>0.47974147237496123</v>
      </c>
      <c r="G21" s="232">
        <f>SUM(G16:G20)</f>
        <v>0</v>
      </c>
      <c r="H21" s="231">
        <f t="shared" si="1"/>
        <v>0</v>
      </c>
      <c r="I21" s="410">
        <f>E21-E8</f>
        <v>1000204.4052000002</v>
      </c>
      <c r="J21" s="219"/>
      <c r="P21" s="236"/>
      <c r="R21" s="265">
        <f>Handling!X53</f>
        <v>362.95599999999996</v>
      </c>
      <c r="S21" s="411" t="s">
        <v>35</v>
      </c>
      <c r="T21" s="412"/>
      <c r="U21" s="412"/>
      <c r="V21" s="413"/>
      <c r="W21"/>
      <c r="X21"/>
      <c r="Y21"/>
      <c r="Z21"/>
      <c r="AA21"/>
    </row>
    <row r="22" spans="2:27" ht="18.600000000000001" thickBot="1">
      <c r="B22" s="340" t="s">
        <v>36</v>
      </c>
      <c r="C22" s="335">
        <f>C12-C15-C21</f>
        <v>1009217.4901499995</v>
      </c>
      <c r="D22" s="226">
        <f>C22/$C$12</f>
        <v>0.16604943189417226</v>
      </c>
      <c r="E22" s="335">
        <f>E12-E15-E21</f>
        <v>1009217.4901399999</v>
      </c>
      <c r="F22" s="408">
        <f>E22/$E$12</f>
        <v>0.16604943189280019</v>
      </c>
      <c r="G22" s="227">
        <f>G12-G15-G21</f>
        <v>1.0000000000000001E-5</v>
      </c>
      <c r="H22" s="226">
        <f t="shared" si="1"/>
        <v>1</v>
      </c>
      <c r="J22" s="220"/>
      <c r="P22" s="236"/>
      <c r="R22" s="265">
        <f>Handling!Z53</f>
        <v>313.23599999999993</v>
      </c>
      <c r="S22" s="411" t="s">
        <v>37</v>
      </c>
      <c r="T22" s="412"/>
      <c r="U22" s="412"/>
      <c r="V22" s="413"/>
      <c r="W22"/>
      <c r="X22"/>
      <c r="Y22"/>
      <c r="Z22"/>
      <c r="AA22"/>
    </row>
    <row r="23" spans="2:27" ht="15" thickBot="1">
      <c r="B23" s="151"/>
      <c r="C23" s="333"/>
      <c r="D23" s="165"/>
      <c r="E23" s="333"/>
      <c r="F23" s="165"/>
      <c r="G23" s="164"/>
      <c r="H23" s="165"/>
      <c r="J23" s="218"/>
      <c r="K23" s="433" t="s">
        <v>38</v>
      </c>
      <c r="L23" s="434"/>
      <c r="M23" s="434"/>
      <c r="N23" s="434"/>
      <c r="O23" s="435">
        <f>'Summary '!H17</f>
        <v>5244.9757950000003</v>
      </c>
      <c r="P23" s="436"/>
      <c r="R23" s="181"/>
      <c r="W23"/>
      <c r="X23"/>
      <c r="Y23"/>
      <c r="Z23"/>
      <c r="AA23"/>
    </row>
    <row r="24" spans="2:27" ht="15" thickBot="1">
      <c r="B24" s="338" t="s">
        <v>39</v>
      </c>
      <c r="C24" s="333">
        <f>SUM(E24,G24)</f>
        <v>310000</v>
      </c>
      <c r="D24" s="165">
        <f t="shared" ref="D24:D30" si="3">C24/$C$12</f>
        <v>5.1005184105105676E-2</v>
      </c>
      <c r="E24" s="333">
        <f>E9</f>
        <v>310000</v>
      </c>
      <c r="F24" s="165">
        <f>E24/$C$12</f>
        <v>5.1005184105105676E-2</v>
      </c>
      <c r="G24" s="320"/>
      <c r="H24" s="165">
        <f t="shared" ref="H24:H30" si="4">G24/$G$12</f>
        <v>0</v>
      </c>
      <c r="I24" s="323"/>
      <c r="J24" s="218"/>
      <c r="K24" s="437" t="s">
        <v>40</v>
      </c>
      <c r="L24" s="438"/>
      <c r="M24" s="438"/>
      <c r="N24" s="438"/>
      <c r="O24" s="438"/>
      <c r="P24" s="439"/>
      <c r="R24" s="421" t="s">
        <v>41</v>
      </c>
      <c r="S24" s="422"/>
      <c r="T24" s="422"/>
      <c r="U24" s="422"/>
      <c r="V24" s="423"/>
      <c r="W24"/>
      <c r="X24"/>
      <c r="Y24"/>
      <c r="Z24"/>
      <c r="AA24"/>
    </row>
    <row r="25" spans="2:27" ht="15" thickBot="1">
      <c r="B25" s="338" t="s">
        <v>42</v>
      </c>
      <c r="C25" s="333">
        <f>SUM(E25,G25)</f>
        <v>0</v>
      </c>
      <c r="D25" s="165">
        <f t="shared" si="3"/>
        <v>0</v>
      </c>
      <c r="E25" s="333">
        <v>0</v>
      </c>
      <c r="F25" s="165">
        <f>E25/$C$12</f>
        <v>0</v>
      </c>
      <c r="G25" s="320"/>
      <c r="H25" s="165">
        <f t="shared" si="4"/>
        <v>0</v>
      </c>
      <c r="J25" s="218"/>
      <c r="K25" s="302" t="s">
        <v>43</v>
      </c>
      <c r="L25" s="303" t="s">
        <v>44</v>
      </c>
      <c r="M25" s="303" t="s">
        <v>45</v>
      </c>
      <c r="N25" s="303" t="s">
        <v>46</v>
      </c>
      <c r="O25" s="303" t="s">
        <v>47</v>
      </c>
      <c r="P25" s="304" t="s">
        <v>48</v>
      </c>
      <c r="R25" s="265">
        <f>Handling!AD39</f>
        <v>338.99999999999994</v>
      </c>
      <c r="S25" s="411" t="s">
        <v>24</v>
      </c>
      <c r="T25" s="412"/>
      <c r="U25" s="412"/>
      <c r="V25" s="413"/>
      <c r="W25"/>
      <c r="X25"/>
      <c r="Y25"/>
      <c r="Z25"/>
      <c r="AA25"/>
    </row>
    <row r="26" spans="2:27" ht="15" thickBot="1">
      <c r="B26" s="339" t="s">
        <v>49</v>
      </c>
      <c r="C26" s="334">
        <f>SUM(C24:C25)</f>
        <v>310000</v>
      </c>
      <c r="D26" s="231">
        <f t="shared" si="3"/>
        <v>5.1005184105105676E-2</v>
      </c>
      <c r="E26" s="334">
        <f>SUM(E24:E25)</f>
        <v>310000</v>
      </c>
      <c r="F26" s="231">
        <f>E26/$E$12</f>
        <v>5.1005184105189595E-2</v>
      </c>
      <c r="G26" s="232">
        <f>SUM(G24:G25)</f>
        <v>0</v>
      </c>
      <c r="H26" s="231">
        <f t="shared" si="4"/>
        <v>0</v>
      </c>
      <c r="J26" s="219"/>
      <c r="K26" s="264">
        <f>'Summary '!B24</f>
        <v>0</v>
      </c>
      <c r="L26" s="264">
        <f>'Summary '!C24</f>
        <v>29.247679017857138</v>
      </c>
      <c r="M26" s="264">
        <f>'Summary '!D24</f>
        <v>21.524670812499998</v>
      </c>
      <c r="N26" s="264">
        <f>'Summary '!E24</f>
        <v>9.2490500000000004</v>
      </c>
      <c r="O26" s="264">
        <f>'Summary '!F24</f>
        <v>0</v>
      </c>
      <c r="P26" s="264">
        <f>'Summary '!G24</f>
        <v>50.544900000000005</v>
      </c>
      <c r="R26" s="265">
        <f>Handling!AD41</f>
        <v>395.49999999999994</v>
      </c>
      <c r="S26" s="411" t="s">
        <v>26</v>
      </c>
      <c r="T26" s="412"/>
      <c r="U26" s="412"/>
      <c r="V26" s="413"/>
      <c r="W26"/>
      <c r="X26"/>
      <c r="Y26"/>
      <c r="Z26"/>
      <c r="AA26"/>
    </row>
    <row r="27" spans="2:27" ht="15" thickBot="1">
      <c r="B27" s="338" t="s">
        <v>50</v>
      </c>
      <c r="C27" s="333">
        <f>SUM(E27,G27)</f>
        <v>36000</v>
      </c>
      <c r="D27" s="165">
        <f t="shared" si="3"/>
        <v>5.9231826702703366E-3</v>
      </c>
      <c r="E27" s="336">
        <f>3000*12</f>
        <v>36000</v>
      </c>
      <c r="F27" s="165">
        <f>E27/E12</f>
        <v>5.9231826702800822E-3</v>
      </c>
      <c r="G27" s="320"/>
      <c r="H27" s="165">
        <f t="shared" si="4"/>
        <v>0</v>
      </c>
      <c r="I27" t="s">
        <v>51</v>
      </c>
      <c r="J27" s="218"/>
      <c r="R27" s="265">
        <f>Handling!AD43</f>
        <v>338.99999999999994</v>
      </c>
      <c r="S27" s="411">
        <v>787</v>
      </c>
      <c r="T27" s="412"/>
      <c r="U27" s="412"/>
      <c r="V27" s="413"/>
      <c r="W27"/>
    </row>
    <row r="28" spans="2:27" ht="15" thickBot="1">
      <c r="B28" s="338" t="s">
        <v>52</v>
      </c>
      <c r="C28" s="333">
        <f>SUM(E28,G28)</f>
        <v>0</v>
      </c>
      <c r="D28" s="165">
        <f t="shared" si="3"/>
        <v>0</v>
      </c>
      <c r="E28" s="337"/>
      <c r="F28" s="297">
        <f>E28/E12</f>
        <v>0</v>
      </c>
      <c r="G28" s="320"/>
      <c r="H28" s="165">
        <f t="shared" si="4"/>
        <v>0</v>
      </c>
      <c r="I28" s="323" t="s">
        <v>53</v>
      </c>
      <c r="J28" s="218"/>
      <c r="K28" s="431" t="s">
        <v>54</v>
      </c>
      <c r="L28" s="432"/>
      <c r="M28" s="432"/>
      <c r="N28" s="432"/>
      <c r="O28" s="432"/>
      <c r="P28" s="432"/>
      <c r="W28"/>
    </row>
    <row r="29" spans="2:27" ht="15" thickBot="1">
      <c r="B29" s="339" t="s">
        <v>55</v>
      </c>
      <c r="C29" s="334">
        <f>SUM(C27:C28)</f>
        <v>36000</v>
      </c>
      <c r="D29" s="231">
        <f t="shared" si="3"/>
        <v>5.9231826702703366E-3</v>
      </c>
      <c r="E29" s="334">
        <f>SUM(E27:E28)</f>
        <v>36000</v>
      </c>
      <c r="F29" s="231">
        <f>E29/E12</f>
        <v>5.9231826702800822E-3</v>
      </c>
      <c r="G29" s="232">
        <f>SUM(G27:G28)</f>
        <v>0</v>
      </c>
      <c r="H29" s="231">
        <f t="shared" si="4"/>
        <v>0</v>
      </c>
      <c r="J29" s="219"/>
      <c r="K29" s="259" t="s">
        <v>43</v>
      </c>
      <c r="L29" s="258" t="s">
        <v>44</v>
      </c>
      <c r="M29" s="258" t="s">
        <v>56</v>
      </c>
      <c r="N29" s="258" t="s">
        <v>57</v>
      </c>
      <c r="O29" s="258" t="s">
        <v>47</v>
      </c>
      <c r="P29" s="260" t="s">
        <v>58</v>
      </c>
      <c r="R29" s="421" t="s">
        <v>59</v>
      </c>
      <c r="S29" s="422"/>
      <c r="T29" s="422"/>
      <c r="U29" s="422"/>
      <c r="V29" s="423"/>
      <c r="W29"/>
    </row>
    <row r="30" spans="2:27" ht="18.600000000000001" thickBot="1">
      <c r="B30" s="340" t="s">
        <v>60</v>
      </c>
      <c r="C30" s="335">
        <f>C22-C26-C29</f>
        <v>663217.4901499995</v>
      </c>
      <c r="D30" s="226">
        <f t="shared" si="3"/>
        <v>0.10912106511879625</v>
      </c>
      <c r="E30" s="335">
        <f>E22-E26-E29</f>
        <v>663217.49013999989</v>
      </c>
      <c r="F30" s="408">
        <f>E30/$E$12</f>
        <v>0.10912106511733052</v>
      </c>
      <c r="G30" s="227">
        <f>G22-G26-G29</f>
        <v>1.0000000000000001E-5</v>
      </c>
      <c r="H30" s="226">
        <f t="shared" si="4"/>
        <v>1</v>
      </c>
      <c r="I30" s="331">
        <f>E30/12</f>
        <v>55268.124178333324</v>
      </c>
      <c r="J30" s="218"/>
      <c r="K30" s="261">
        <v>0</v>
      </c>
      <c r="L30" s="262">
        <v>0</v>
      </c>
      <c r="M30" s="262">
        <v>0</v>
      </c>
      <c r="N30" s="262">
        <v>0</v>
      </c>
      <c r="O30" s="262">
        <v>0</v>
      </c>
      <c r="P30" s="263">
        <v>0</v>
      </c>
      <c r="R30" s="265">
        <f>Handling!C84</f>
        <v>704.10300000000007</v>
      </c>
      <c r="S30" s="411" t="s">
        <v>24</v>
      </c>
      <c r="T30" s="412"/>
      <c r="U30" s="412"/>
      <c r="V30" s="413"/>
      <c r="W30"/>
    </row>
    <row r="31" spans="2:27" ht="18.600000000000001" thickBot="1">
      <c r="E31" s="252">
        <f>E30/(E9+'Summary '!J25)</f>
        <v>0.12330680358258349</v>
      </c>
      <c r="F31" s="252"/>
      <c r="J31" s="220"/>
      <c r="K31" s="236"/>
      <c r="L31" s="236"/>
      <c r="M31" s="236"/>
      <c r="N31" s="236"/>
      <c r="O31" s="236"/>
      <c r="P31" s="236"/>
      <c r="R31" s="265">
        <f>Handling!E84</f>
        <v>878.30380000000014</v>
      </c>
      <c r="S31" s="411" t="s">
        <v>26</v>
      </c>
      <c r="T31" s="412"/>
      <c r="U31" s="412"/>
      <c r="V31" s="413"/>
      <c r="W31"/>
    </row>
    <row r="32" spans="2:27" ht="15" thickBot="1">
      <c r="B32" s="424" t="s">
        <v>61</v>
      </c>
      <c r="C32" s="425"/>
      <c r="D32" s="425"/>
      <c r="E32" s="425"/>
      <c r="F32" s="425"/>
      <c r="G32" s="425"/>
      <c r="H32" s="426"/>
      <c r="R32" s="265">
        <f>Handling!G84</f>
        <v>653.36599999999999</v>
      </c>
      <c r="S32" s="411">
        <v>787</v>
      </c>
      <c r="T32" s="412"/>
      <c r="U32" s="412"/>
      <c r="V32" s="413"/>
      <c r="W32"/>
    </row>
    <row r="33" spans="2:23" s="236" customFormat="1" ht="15" thickBot="1">
      <c r="I33"/>
      <c r="K33" s="140"/>
      <c r="L33" s="140"/>
      <c r="M33" s="140"/>
      <c r="N33" s="140"/>
      <c r="O33" s="140"/>
      <c r="P33" s="140"/>
      <c r="Q33"/>
      <c r="R33" s="308"/>
      <c r="S33"/>
      <c r="T33"/>
      <c r="U33"/>
      <c r="V33"/>
      <c r="W33"/>
    </row>
    <row r="34" spans="2:23" s="236" customFormat="1" ht="15" thickBot="1">
      <c r="B34" s="322"/>
      <c r="E34" s="236" t="s">
        <v>62</v>
      </c>
      <c r="I34"/>
      <c r="J34" s="140"/>
      <c r="K34" s="140"/>
      <c r="L34" s="140"/>
      <c r="M34" s="140"/>
      <c r="N34" s="140"/>
      <c r="O34" s="140"/>
      <c r="P34" s="140"/>
      <c r="Q34"/>
      <c r="R34" s="421" t="s">
        <v>63</v>
      </c>
      <c r="S34" s="422"/>
      <c r="T34" s="422"/>
      <c r="U34" s="422"/>
      <c r="V34" s="423"/>
      <c r="W34"/>
    </row>
    <row r="35" spans="2:23" s="236" customFormat="1" ht="15" thickBot="1">
      <c r="I35"/>
      <c r="K35" s="140"/>
      <c r="L35" s="140"/>
      <c r="M35" s="140"/>
      <c r="N35" s="140"/>
      <c r="O35" s="140"/>
      <c r="P35" s="140"/>
      <c r="Q35"/>
      <c r="R35" s="265">
        <f>Handling!S39+Handling!S45</f>
        <v>219.21999999999997</v>
      </c>
      <c r="S35" s="411" t="s">
        <v>24</v>
      </c>
      <c r="T35" s="412"/>
      <c r="U35" s="412"/>
      <c r="V35" s="413"/>
      <c r="W35"/>
    </row>
    <row r="36" spans="2:23" s="236" customFormat="1" ht="15" thickBot="1">
      <c r="B36" s="322" t="s">
        <v>64</v>
      </c>
      <c r="I36"/>
      <c r="K36" s="140"/>
      <c r="L36" s="140"/>
      <c r="M36" s="140"/>
      <c r="N36" s="140"/>
      <c r="O36" s="140"/>
      <c r="P36" s="140"/>
      <c r="Q36"/>
      <c r="R36" s="265">
        <f>Handling!S41+Handling!S47</f>
        <v>296.05999999999995</v>
      </c>
      <c r="S36" s="411" t="s">
        <v>26</v>
      </c>
      <c r="T36" s="412"/>
      <c r="U36" s="412"/>
      <c r="V36" s="413"/>
      <c r="W36"/>
    </row>
    <row r="37" spans="2:23" s="236" customFormat="1" ht="15" thickBot="1">
      <c r="B37" s="322" t="s">
        <v>65</v>
      </c>
      <c r="I37"/>
      <c r="K37" s="140"/>
      <c r="L37" s="140"/>
      <c r="M37"/>
      <c r="N37" s="140"/>
      <c r="O37" s="140"/>
      <c r="P37" s="140"/>
      <c r="Q37"/>
      <c r="R37" s="265">
        <f>Handling!S43+Handling!S50</f>
        <v>223.74</v>
      </c>
      <c r="S37" s="411">
        <v>787</v>
      </c>
      <c r="T37" s="412"/>
      <c r="U37" s="412"/>
      <c r="V37" s="413"/>
      <c r="W37"/>
    </row>
    <row r="38" spans="2:23" s="236" customFormat="1">
      <c r="B38" s="322" t="s">
        <v>66</v>
      </c>
      <c r="I38"/>
      <c r="K38" s="140"/>
      <c r="L38" s="140"/>
      <c r="M38" s="140"/>
      <c r="N38" s="140"/>
      <c r="O38" s="140"/>
      <c r="P38" s="140"/>
      <c r="Q38"/>
      <c r="W38"/>
    </row>
    <row r="39" spans="2:23" s="236" customFormat="1">
      <c r="B39" s="322" t="s">
        <v>67</v>
      </c>
      <c r="I39"/>
      <c r="K39" s="140"/>
      <c r="L39" s="140"/>
      <c r="O39" s="140"/>
      <c r="P39" s="140"/>
      <c r="Q39"/>
      <c r="W39"/>
    </row>
    <row r="40" spans="2:23">
      <c r="W40"/>
    </row>
    <row r="52" spans="22:22">
      <c r="V52" s="253"/>
    </row>
    <row r="66" spans="2:3">
      <c r="B66" s="308"/>
    </row>
    <row r="67" spans="2:3">
      <c r="B67" s="329" t="s">
        <v>68</v>
      </c>
      <c r="C67" s="330">
        <v>271755</v>
      </c>
    </row>
    <row r="68" spans="2:3">
      <c r="B68" s="329" t="s">
        <v>69</v>
      </c>
      <c r="C68" s="330">
        <v>2000</v>
      </c>
    </row>
    <row r="69" spans="2:3">
      <c r="B69" s="329" t="s">
        <v>70</v>
      </c>
      <c r="C69" s="330">
        <v>164340</v>
      </c>
    </row>
    <row r="70" spans="2:3">
      <c r="B70" s="329" t="s">
        <v>71</v>
      </c>
      <c r="C70" s="330">
        <v>3840</v>
      </c>
    </row>
    <row r="71" spans="2:3">
      <c r="B71" s="329" t="s">
        <v>72</v>
      </c>
      <c r="C71" s="330">
        <v>19000</v>
      </c>
    </row>
    <row r="72" spans="2:3">
      <c r="B72" s="329" t="s">
        <v>73</v>
      </c>
      <c r="C72" s="330">
        <v>261360</v>
      </c>
    </row>
    <row r="73" spans="2:3">
      <c r="B73" s="329" t="s">
        <v>74</v>
      </c>
      <c r="C73" s="330">
        <v>675000</v>
      </c>
    </row>
    <row r="74" spans="2:3">
      <c r="B74" s="329" t="s">
        <v>75</v>
      </c>
      <c r="C74" s="330">
        <f>116139*5</f>
        <v>580695</v>
      </c>
    </row>
  </sheetData>
  <mergeCells count="37">
    <mergeCell ref="S36:V36"/>
    <mergeCell ref="S37:V37"/>
    <mergeCell ref="B32:H32"/>
    <mergeCell ref="C5:D5"/>
    <mergeCell ref="B5:B6"/>
    <mergeCell ref="E5:F5"/>
    <mergeCell ref="G5:H5"/>
    <mergeCell ref="R29:V29"/>
    <mergeCell ref="S30:V30"/>
    <mergeCell ref="R34:V34"/>
    <mergeCell ref="S35:V35"/>
    <mergeCell ref="S32:V32"/>
    <mergeCell ref="K28:P28"/>
    <mergeCell ref="K23:N23"/>
    <mergeCell ref="O23:P23"/>
    <mergeCell ref="K24:P24"/>
    <mergeCell ref="S2:V2"/>
    <mergeCell ref="S22:V22"/>
    <mergeCell ref="S26:V26"/>
    <mergeCell ref="S27:V27"/>
    <mergeCell ref="S31:V31"/>
    <mergeCell ref="S3:V3"/>
    <mergeCell ref="S4:V4"/>
    <mergeCell ref="S5:V5"/>
    <mergeCell ref="S8:V8"/>
    <mergeCell ref="S9:V9"/>
    <mergeCell ref="S20:V20"/>
    <mergeCell ref="R19:V19"/>
    <mergeCell ref="R24:V24"/>
    <mergeCell ref="S25:V25"/>
    <mergeCell ref="S6:V6"/>
    <mergeCell ref="S10:V10"/>
    <mergeCell ref="S21:V21"/>
    <mergeCell ref="R13:V13"/>
    <mergeCell ref="S14:V14"/>
    <mergeCell ref="S15:V15"/>
    <mergeCell ref="S16:V16"/>
  </mergeCells>
  <dataValidations count="1">
    <dataValidation type="list" allowBlank="1" showInputMessage="1" showErrorMessage="1" sqref="R5" xr:uid="{65A6F802-614A-4C09-BBD7-0BEE3D5EC057}">
      <formula1>#REF!</formula1>
    </dataValidation>
  </dataValidations>
  <pageMargins left="0.7" right="0.7" top="0.75" bottom="0.75" header="0.3" footer="0.3"/>
  <pageSetup scale="44" orientation="portrait" r:id="rId1"/>
  <ignoredErrors>
    <ignoredError sqref="F21 F12 D21 D29 F15 F3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5979-CC37-4F94-BAE9-E9D905FFE18A}">
  <sheetPr>
    <tabColor theme="7" tint="0.59999389629810485"/>
  </sheetPr>
  <dimension ref="A1:I56"/>
  <sheetViews>
    <sheetView workbookViewId="0"/>
  </sheetViews>
  <sheetFormatPr defaultRowHeight="14.45"/>
  <cols>
    <col min="1" max="1" width="54.28515625" bestFit="1" customWidth="1"/>
    <col min="2" max="2" width="12" bestFit="1" customWidth="1"/>
    <col min="3" max="3" width="8.7109375" bestFit="1" customWidth="1"/>
    <col min="4" max="4" width="9.42578125" bestFit="1" customWidth="1"/>
    <col min="5" max="5" width="28" bestFit="1" customWidth="1"/>
    <col min="6" max="8" width="1.42578125" bestFit="1" customWidth="1"/>
    <col min="9" max="9" width="6.42578125" bestFit="1" customWidth="1"/>
  </cols>
  <sheetData>
    <row r="1" spans="1:9">
      <c r="A1" s="71" t="s">
        <v>76</v>
      </c>
      <c r="B1" s="72"/>
      <c r="C1" s="73"/>
      <c r="D1" s="73"/>
      <c r="E1" s="73"/>
      <c r="F1" s="73"/>
      <c r="G1" s="73"/>
      <c r="H1" s="73"/>
      <c r="I1" s="74"/>
    </row>
    <row r="2" spans="1:9">
      <c r="A2" s="75" t="s">
        <v>77</v>
      </c>
      <c r="B2" s="76" t="s">
        <v>78</v>
      </c>
      <c r="C2" s="77"/>
      <c r="D2" s="77"/>
      <c r="E2" s="77"/>
      <c r="F2" s="77"/>
      <c r="G2" s="77"/>
      <c r="H2" s="77"/>
      <c r="I2" s="78"/>
    </row>
    <row r="3" spans="1:9">
      <c r="A3" s="75" t="s">
        <v>79</v>
      </c>
      <c r="B3" s="76" t="s">
        <v>80</v>
      </c>
      <c r="C3" s="77"/>
      <c r="D3" s="77"/>
      <c r="E3" s="77"/>
      <c r="F3" s="77"/>
      <c r="G3" s="77"/>
      <c r="H3" s="77"/>
      <c r="I3" s="78"/>
    </row>
    <row r="4" spans="1:9">
      <c r="A4" s="75" t="s">
        <v>81</v>
      </c>
      <c r="B4" s="79"/>
      <c r="C4" s="77"/>
      <c r="D4" s="77"/>
      <c r="E4" s="77"/>
      <c r="F4" s="77"/>
      <c r="G4" s="77"/>
      <c r="H4" s="77"/>
      <c r="I4" s="78"/>
    </row>
    <row r="5" spans="1:9">
      <c r="A5" s="75" t="s">
        <v>82</v>
      </c>
      <c r="B5" s="80"/>
      <c r="C5" s="81"/>
      <c r="D5" s="77"/>
      <c r="E5" s="77"/>
      <c r="F5" s="77"/>
      <c r="G5" s="77"/>
      <c r="H5" s="77"/>
      <c r="I5" s="78"/>
    </row>
    <row r="6" spans="1:9">
      <c r="A6" s="75" t="s">
        <v>83</v>
      </c>
      <c r="B6" s="82"/>
      <c r="C6" s="77"/>
      <c r="D6" s="77"/>
      <c r="E6" s="77"/>
      <c r="F6" s="77"/>
      <c r="G6" s="77"/>
      <c r="H6" s="77"/>
      <c r="I6" s="78"/>
    </row>
    <row r="7" spans="1:9">
      <c r="A7" s="75" t="s">
        <v>84</v>
      </c>
      <c r="B7" s="82"/>
      <c r="C7" s="77"/>
      <c r="D7" s="77"/>
      <c r="E7" s="77"/>
      <c r="F7" s="77"/>
      <c r="G7" s="77"/>
      <c r="H7" s="77"/>
      <c r="I7" s="78"/>
    </row>
    <row r="8" spans="1:9">
      <c r="A8" s="75" t="s">
        <v>85</v>
      </c>
      <c r="B8" s="82"/>
      <c r="C8" s="77"/>
      <c r="D8" s="77"/>
      <c r="E8" s="77"/>
      <c r="F8" s="77"/>
      <c r="G8" s="77"/>
      <c r="H8" s="77"/>
      <c r="I8" s="78"/>
    </row>
    <row r="9" spans="1:9">
      <c r="A9" s="75" t="s">
        <v>86</v>
      </c>
      <c r="B9" s="83"/>
      <c r="C9" s="77"/>
      <c r="D9" s="77"/>
      <c r="E9" s="77"/>
      <c r="F9" s="77"/>
      <c r="G9" s="77"/>
      <c r="H9" s="77"/>
      <c r="I9" s="78"/>
    </row>
    <row r="10" spans="1:9">
      <c r="A10" s="75"/>
      <c r="B10" s="77"/>
      <c r="C10" s="77"/>
      <c r="D10" s="77"/>
      <c r="E10" s="77"/>
      <c r="F10" s="77"/>
      <c r="G10" s="77"/>
      <c r="H10" s="77"/>
      <c r="I10" s="78"/>
    </row>
    <row r="11" spans="1:9">
      <c r="A11" s="75"/>
      <c r="B11" s="77"/>
      <c r="C11" s="77"/>
      <c r="D11" s="77"/>
      <c r="E11" s="77"/>
      <c r="F11" s="77"/>
      <c r="G11" s="77"/>
      <c r="H11" s="77"/>
      <c r="I11" s="78"/>
    </row>
    <row r="12" spans="1:9">
      <c r="A12" s="75" t="s">
        <v>87</v>
      </c>
      <c r="B12" s="80">
        <v>787</v>
      </c>
      <c r="C12" s="80"/>
      <c r="D12" s="80"/>
      <c r="E12" s="80"/>
      <c r="F12" s="80" t="s">
        <v>88</v>
      </c>
      <c r="G12" s="80" t="s">
        <v>88</v>
      </c>
      <c r="H12" s="80" t="s">
        <v>88</v>
      </c>
      <c r="I12" s="80" t="s">
        <v>88</v>
      </c>
    </row>
    <row r="13" spans="1:9">
      <c r="A13" s="75" t="s">
        <v>89</v>
      </c>
      <c r="B13" s="80">
        <f>+'FlightConfig '!B3</f>
        <v>0</v>
      </c>
      <c r="C13" s="80"/>
      <c r="D13" s="80"/>
      <c r="E13" s="80"/>
      <c r="F13" s="80" t="s">
        <v>88</v>
      </c>
      <c r="G13" s="80" t="s">
        <v>88</v>
      </c>
      <c r="H13" s="80" t="s">
        <v>88</v>
      </c>
      <c r="I13" s="80" t="s">
        <v>88</v>
      </c>
    </row>
    <row r="14" spans="1:9">
      <c r="A14" s="75" t="s">
        <v>90</v>
      </c>
      <c r="B14" s="80">
        <f>+'FlightConfig '!C3</f>
        <v>34</v>
      </c>
      <c r="C14" s="80"/>
      <c r="D14" s="80"/>
      <c r="E14" s="80"/>
      <c r="F14" s="80" t="s">
        <v>88</v>
      </c>
      <c r="G14" s="80" t="s">
        <v>88</v>
      </c>
      <c r="H14" s="80" t="s">
        <v>88</v>
      </c>
      <c r="I14" s="80" t="s">
        <v>88</v>
      </c>
    </row>
    <row r="15" spans="1:9">
      <c r="A15" s="75" t="s">
        <v>91</v>
      </c>
      <c r="B15" s="80">
        <f>SUM('FlightConfig '!D3:E3)</f>
        <v>246</v>
      </c>
      <c r="C15" s="80"/>
      <c r="D15" s="80"/>
      <c r="E15" s="80"/>
      <c r="F15" s="80" t="s">
        <v>88</v>
      </c>
      <c r="G15" s="80" t="s">
        <v>88</v>
      </c>
      <c r="H15" s="80" t="s">
        <v>88</v>
      </c>
      <c r="I15" s="80" t="s">
        <v>88</v>
      </c>
    </row>
    <row r="16" spans="1:9">
      <c r="A16" s="75" t="s">
        <v>92</v>
      </c>
      <c r="B16" s="84">
        <v>0.2673611111111111</v>
      </c>
      <c r="C16" s="80"/>
      <c r="D16" s="80"/>
      <c r="E16" s="80"/>
      <c r="F16" s="80" t="s">
        <v>88</v>
      </c>
      <c r="G16" s="80" t="s">
        <v>88</v>
      </c>
      <c r="H16" s="80" t="s">
        <v>88</v>
      </c>
      <c r="I16" s="80" t="s">
        <v>88</v>
      </c>
    </row>
    <row r="17" spans="1:9">
      <c r="A17" s="75" t="s">
        <v>93</v>
      </c>
      <c r="B17" s="84">
        <v>0.93402777777777779</v>
      </c>
      <c r="C17" s="80"/>
      <c r="D17" s="80"/>
      <c r="E17" s="80"/>
      <c r="F17" s="80" t="s">
        <v>88</v>
      </c>
      <c r="G17" s="80" t="s">
        <v>88</v>
      </c>
      <c r="H17" s="80" t="s">
        <v>88</v>
      </c>
      <c r="I17" s="80" t="s">
        <v>88</v>
      </c>
    </row>
    <row r="18" spans="1:9">
      <c r="A18" s="75" t="s">
        <v>94</v>
      </c>
      <c r="B18" s="119">
        <f>+'FlightConfig '!K2</f>
        <v>0</v>
      </c>
      <c r="C18" s="80"/>
      <c r="D18" s="80"/>
      <c r="E18" s="80"/>
      <c r="F18" s="80" t="s">
        <v>88</v>
      </c>
      <c r="G18" s="80" t="s">
        <v>88</v>
      </c>
      <c r="H18" s="80" t="s">
        <v>88</v>
      </c>
      <c r="I18" s="80" t="s">
        <v>88</v>
      </c>
    </row>
    <row r="19" spans="1:9">
      <c r="A19" s="75" t="s">
        <v>95</v>
      </c>
      <c r="B19" s="119">
        <f>+'FlightConfig '!K3</f>
        <v>0</v>
      </c>
      <c r="C19" s="80"/>
      <c r="D19" s="80"/>
      <c r="E19" s="80"/>
      <c r="F19" s="80" t="s">
        <v>88</v>
      </c>
      <c r="G19" s="80" t="s">
        <v>88</v>
      </c>
      <c r="H19" s="80" t="s">
        <v>88</v>
      </c>
      <c r="I19" s="80" t="s">
        <v>88</v>
      </c>
    </row>
    <row r="20" spans="1:9">
      <c r="A20" s="75" t="s">
        <v>96</v>
      </c>
      <c r="B20" s="85"/>
      <c r="C20" s="85"/>
      <c r="D20" s="85"/>
      <c r="E20" s="80"/>
      <c r="F20" s="80"/>
      <c r="G20" s="80"/>
      <c r="H20" s="80"/>
      <c r="I20" s="80"/>
    </row>
    <row r="21" spans="1:9">
      <c r="A21" s="75" t="s">
        <v>97</v>
      </c>
      <c r="B21" s="76" t="s">
        <v>98</v>
      </c>
      <c r="C21" s="77"/>
      <c r="D21" s="77"/>
      <c r="E21" s="77"/>
      <c r="F21" s="77"/>
      <c r="G21" s="77"/>
      <c r="H21" s="77"/>
      <c r="I21" s="78"/>
    </row>
    <row r="22" spans="1:9">
      <c r="A22" s="75" t="s">
        <v>99</v>
      </c>
      <c r="B22" s="76" t="s">
        <v>100</v>
      </c>
      <c r="C22" s="77"/>
      <c r="D22" s="77"/>
      <c r="E22" s="77"/>
      <c r="F22" s="77"/>
      <c r="G22" s="77"/>
      <c r="H22" s="77"/>
      <c r="I22" s="78"/>
    </row>
    <row r="23" spans="1:9">
      <c r="A23" s="75" t="s">
        <v>101</v>
      </c>
      <c r="B23" s="76" t="s">
        <v>102</v>
      </c>
      <c r="C23" s="77"/>
      <c r="D23" s="77"/>
      <c r="E23" s="86" t="s">
        <v>103</v>
      </c>
      <c r="F23" s="87"/>
      <c r="G23" s="87"/>
      <c r="H23" s="88"/>
      <c r="I23" s="89"/>
    </row>
    <row r="24" spans="1:9">
      <c r="A24" s="75" t="s">
        <v>104</v>
      </c>
      <c r="B24" s="76"/>
      <c r="C24" s="77"/>
      <c r="D24" s="77"/>
      <c r="E24" s="86" t="s">
        <v>105</v>
      </c>
      <c r="F24" s="87"/>
      <c r="G24" s="87"/>
      <c r="H24" s="88"/>
      <c r="I24" s="89"/>
    </row>
    <row r="25" spans="1:9">
      <c r="A25" s="75" t="s">
        <v>106</v>
      </c>
      <c r="B25" s="76" t="s">
        <v>107</v>
      </c>
      <c r="C25" s="77"/>
      <c r="D25" s="77"/>
      <c r="E25" s="86" t="s">
        <v>108</v>
      </c>
      <c r="F25" s="87"/>
      <c r="G25" s="87"/>
      <c r="H25" s="88"/>
      <c r="I25" s="89"/>
    </row>
    <row r="26" spans="1:9">
      <c r="A26" s="75" t="s">
        <v>109</v>
      </c>
      <c r="B26" s="76"/>
      <c r="C26" s="77"/>
      <c r="D26" s="77"/>
      <c r="E26" s="86"/>
      <c r="F26" s="87"/>
      <c r="G26" s="87"/>
      <c r="H26" s="88"/>
      <c r="I26" s="89"/>
    </row>
    <row r="27" spans="1:9">
      <c r="A27" s="75" t="s">
        <v>110</v>
      </c>
      <c r="B27" s="76"/>
      <c r="C27" s="77"/>
      <c r="D27" s="77"/>
      <c r="E27" s="86" t="s">
        <v>111</v>
      </c>
      <c r="F27" s="87"/>
      <c r="G27" s="87"/>
      <c r="H27" s="88"/>
      <c r="I27" s="90"/>
    </row>
    <row r="28" spans="1:9">
      <c r="A28" s="75" t="s">
        <v>112</v>
      </c>
      <c r="B28" s="76"/>
      <c r="C28" s="77"/>
      <c r="D28" s="77"/>
      <c r="E28" s="86" t="s">
        <v>113</v>
      </c>
      <c r="F28" s="87"/>
      <c r="G28" s="87"/>
      <c r="H28" s="91"/>
      <c r="I28" s="90"/>
    </row>
    <row r="29" spans="1:9">
      <c r="A29" s="75" t="s">
        <v>114</v>
      </c>
      <c r="B29" s="76"/>
      <c r="C29" s="77"/>
      <c r="D29" s="77"/>
      <c r="E29" s="86" t="s">
        <v>115</v>
      </c>
      <c r="F29" s="87"/>
      <c r="G29" s="87"/>
      <c r="H29" s="91"/>
      <c r="I29" s="90"/>
    </row>
    <row r="30" spans="1:9">
      <c r="A30" s="75" t="s">
        <v>116</v>
      </c>
      <c r="B30" s="76"/>
      <c r="C30" s="77"/>
      <c r="D30" s="77"/>
      <c r="E30" s="86" t="s">
        <v>117</v>
      </c>
      <c r="F30" s="87"/>
      <c r="G30" s="87"/>
      <c r="H30" s="91"/>
      <c r="I30" s="90"/>
    </row>
    <row r="31" spans="1:9">
      <c r="A31" s="75"/>
      <c r="B31" s="77"/>
      <c r="C31" s="77"/>
      <c r="D31" s="77"/>
      <c r="E31" s="86" t="s">
        <v>118</v>
      </c>
      <c r="F31" s="87"/>
      <c r="G31" s="87"/>
      <c r="H31" s="88"/>
      <c r="I31" s="90"/>
    </row>
    <row r="32" spans="1:9">
      <c r="A32" s="75"/>
      <c r="B32" s="77"/>
      <c r="C32" s="77"/>
      <c r="D32" s="77"/>
      <c r="E32" s="86" t="s">
        <v>119</v>
      </c>
      <c r="F32" s="87"/>
      <c r="G32" s="87"/>
      <c r="H32" s="88"/>
      <c r="I32" s="90"/>
    </row>
    <row r="33" spans="1:9">
      <c r="A33" s="92" t="s">
        <v>120</v>
      </c>
      <c r="B33" s="93" t="s">
        <v>121</v>
      </c>
      <c r="C33" s="93" t="s">
        <v>122</v>
      </c>
      <c r="D33" s="93" t="s">
        <v>123</v>
      </c>
      <c r="E33" s="86" t="s">
        <v>124</v>
      </c>
      <c r="F33" s="87"/>
      <c r="G33" s="87"/>
      <c r="H33" s="88"/>
      <c r="I33" s="90"/>
    </row>
    <row r="34" spans="1:9">
      <c r="A34" s="75" t="s">
        <v>125</v>
      </c>
      <c r="B34" s="95"/>
      <c r="C34" s="77">
        <v>0</v>
      </c>
      <c r="D34" s="96" t="e">
        <f t="shared" ref="D34:D40" si="0">+B34/C34</f>
        <v>#DIV/0!</v>
      </c>
      <c r="E34" s="94"/>
      <c r="F34" s="94"/>
      <c r="G34" s="94"/>
      <c r="H34" s="94"/>
      <c r="I34" s="94"/>
    </row>
    <row r="35" spans="1:9">
      <c r="A35" s="75" t="s">
        <v>126</v>
      </c>
      <c r="B35" s="95"/>
      <c r="C35" s="97" t="s">
        <v>127</v>
      </c>
      <c r="D35" s="98" t="s">
        <v>127</v>
      </c>
      <c r="E35" s="94"/>
      <c r="F35" s="94"/>
      <c r="G35" s="94"/>
      <c r="H35" s="94"/>
      <c r="I35" s="94"/>
    </row>
    <row r="36" spans="1:9">
      <c r="A36" s="75" t="s">
        <v>128</v>
      </c>
      <c r="B36" s="95"/>
      <c r="C36" s="77">
        <v>0</v>
      </c>
      <c r="D36" s="96" t="e">
        <f t="shared" si="0"/>
        <v>#DIV/0!</v>
      </c>
      <c r="E36" s="94"/>
      <c r="F36" s="94"/>
      <c r="G36" s="94"/>
      <c r="H36" s="94"/>
      <c r="I36" s="94"/>
    </row>
    <row r="37" spans="1:9">
      <c r="A37" s="75" t="s">
        <v>129</v>
      </c>
      <c r="B37" s="95"/>
      <c r="C37" s="77">
        <v>0</v>
      </c>
      <c r="D37" s="96" t="e">
        <f t="shared" si="0"/>
        <v>#DIV/0!</v>
      </c>
      <c r="E37" s="94"/>
      <c r="F37" s="94"/>
      <c r="G37" s="94"/>
      <c r="H37" s="94"/>
      <c r="I37" s="94"/>
    </row>
    <row r="38" spans="1:9">
      <c r="A38" s="75" t="s">
        <v>130</v>
      </c>
      <c r="B38" s="95"/>
      <c r="C38" s="77">
        <v>0</v>
      </c>
      <c r="D38" s="96" t="e">
        <f t="shared" si="0"/>
        <v>#DIV/0!</v>
      </c>
      <c r="E38" s="94"/>
      <c r="F38" s="94"/>
      <c r="G38" s="94"/>
      <c r="H38" s="94"/>
      <c r="I38" s="94"/>
    </row>
    <row r="39" spans="1:9">
      <c r="A39" s="75" t="s">
        <v>131</v>
      </c>
      <c r="B39" s="95"/>
      <c r="C39" s="77">
        <v>0</v>
      </c>
      <c r="D39" s="96" t="e">
        <f t="shared" si="0"/>
        <v>#DIV/0!</v>
      </c>
      <c r="E39" s="94"/>
      <c r="F39" s="94"/>
      <c r="G39" s="94"/>
      <c r="H39" s="94"/>
      <c r="I39" s="94"/>
    </row>
    <row r="40" spans="1:9">
      <c r="A40" s="99" t="s">
        <v>132</v>
      </c>
      <c r="B40" s="95"/>
      <c r="C40" s="100">
        <v>0</v>
      </c>
      <c r="D40" s="101" t="e">
        <f t="shared" si="0"/>
        <v>#DIV/0!</v>
      </c>
      <c r="E40" s="94"/>
      <c r="F40" s="94"/>
      <c r="G40" s="94"/>
      <c r="H40" s="94"/>
      <c r="I40" s="94"/>
    </row>
    <row r="41" spans="1:9">
      <c r="A41" s="75"/>
      <c r="B41" s="102"/>
      <c r="C41" s="77"/>
      <c r="D41" s="103"/>
      <c r="E41" s="94"/>
      <c r="F41" s="94"/>
      <c r="G41" s="94"/>
      <c r="H41" s="94"/>
      <c r="I41" s="94"/>
    </row>
    <row r="42" spans="1:9">
      <c r="A42" s="92" t="s">
        <v>133</v>
      </c>
      <c r="B42" s="93"/>
      <c r="C42" s="93"/>
      <c r="D42" s="93"/>
      <c r="E42" s="93"/>
      <c r="F42" s="104"/>
      <c r="G42" s="104"/>
      <c r="H42" s="104"/>
      <c r="I42" s="105"/>
    </row>
    <row r="43" spans="1:9">
      <c r="A43" s="106" t="s">
        <v>134</v>
      </c>
      <c r="B43" s="107"/>
      <c r="C43" s="107"/>
      <c r="D43" s="107"/>
      <c r="E43" s="107"/>
      <c r="F43" s="107"/>
      <c r="G43" s="107"/>
      <c r="H43" s="107"/>
      <c r="I43" s="108"/>
    </row>
    <row r="44" spans="1:9">
      <c r="A44" s="106"/>
      <c r="B44" s="107"/>
      <c r="C44" s="107"/>
      <c r="D44" s="107"/>
      <c r="E44" s="107"/>
      <c r="F44" s="107"/>
      <c r="G44" s="107"/>
      <c r="H44" s="107"/>
      <c r="I44" s="108"/>
    </row>
    <row r="45" spans="1:9">
      <c r="A45" s="109"/>
      <c r="B45" s="110"/>
      <c r="C45" s="110"/>
      <c r="D45" s="110"/>
      <c r="E45" s="110"/>
      <c r="F45" s="110"/>
      <c r="G45" s="110"/>
      <c r="H45" s="110"/>
      <c r="I45" s="111"/>
    </row>
    <row r="46" spans="1:9">
      <c r="A46" s="112"/>
      <c r="B46" s="94"/>
      <c r="C46" s="94"/>
      <c r="D46" s="94"/>
      <c r="E46" s="94"/>
      <c r="F46" s="94"/>
      <c r="G46" s="94"/>
      <c r="H46" s="94"/>
      <c r="I46" s="94"/>
    </row>
    <row r="47" spans="1:9">
      <c r="A47" s="75" t="s">
        <v>135</v>
      </c>
      <c r="B47" s="77"/>
      <c r="C47" s="77"/>
      <c r="D47" s="77"/>
      <c r="E47" s="113"/>
      <c r="F47" s="94"/>
      <c r="G47" s="94"/>
      <c r="H47" s="94"/>
      <c r="I47" s="114"/>
    </row>
    <row r="48" spans="1:9">
      <c r="A48" s="115" t="s">
        <v>136</v>
      </c>
      <c r="B48" s="116"/>
      <c r="C48" s="116"/>
      <c r="D48" s="116"/>
      <c r="E48" s="116"/>
      <c r="F48" s="116"/>
      <c r="G48" s="116"/>
      <c r="H48" s="116"/>
      <c r="I48" s="117"/>
    </row>
    <row r="49" spans="1:9">
      <c r="A49" s="106" t="s">
        <v>137</v>
      </c>
      <c r="B49" s="107"/>
      <c r="C49" s="107"/>
      <c r="D49" s="107"/>
      <c r="E49" s="107"/>
      <c r="F49" s="107"/>
      <c r="G49" s="107"/>
      <c r="H49" s="107"/>
      <c r="I49" s="108"/>
    </row>
    <row r="50" spans="1:9">
      <c r="A50" s="118" t="s">
        <v>138</v>
      </c>
      <c r="B50" s="107"/>
      <c r="C50" s="107"/>
      <c r="D50" s="107"/>
      <c r="E50" s="107"/>
      <c r="F50" s="107"/>
      <c r="G50" s="107"/>
      <c r="H50" s="107"/>
      <c r="I50" s="108"/>
    </row>
    <row r="51" spans="1:9">
      <c r="A51" s="118" t="s">
        <v>139</v>
      </c>
      <c r="B51" s="107"/>
      <c r="C51" s="107"/>
      <c r="D51" s="107"/>
      <c r="E51" s="107"/>
      <c r="F51" s="107"/>
      <c r="G51" s="107"/>
      <c r="H51" s="107"/>
      <c r="I51" s="108"/>
    </row>
    <row r="52" spans="1:9">
      <c r="A52" s="118" t="s">
        <v>140</v>
      </c>
      <c r="B52" s="107"/>
      <c r="C52" s="107"/>
      <c r="D52" s="107"/>
      <c r="E52" s="107"/>
      <c r="F52" s="107"/>
      <c r="G52" s="107"/>
      <c r="H52" s="107"/>
      <c r="I52" s="108"/>
    </row>
    <row r="53" spans="1:9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>
      <c r="A56" s="109"/>
      <c r="B56" s="110"/>
      <c r="C56" s="110"/>
      <c r="D56" s="110"/>
      <c r="E56" s="110"/>
      <c r="F56" s="110"/>
      <c r="G56" s="110"/>
      <c r="H56" s="110"/>
      <c r="I56" s="1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16B9-127B-4843-8279-0F1C23A5614A}">
  <sheetPr>
    <tabColor theme="7" tint="0.59999389629810485"/>
  </sheetPr>
  <dimension ref="A1:M109"/>
  <sheetViews>
    <sheetView topLeftCell="A16" zoomScale="81" zoomScaleNormal="100" workbookViewId="0">
      <selection activeCell="H3" sqref="H3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10.285156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f>'P&amp;L'!R2</f>
        <v>21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/>
      <c r="G3" s="145" t="s">
        <v>145</v>
      </c>
      <c r="H3" s="251">
        <f>H4/12</f>
        <v>91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1092</v>
      </c>
      <c r="J4" s="235">
        <f>H17*H4</f>
        <v>5727513.5681400001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('Summary FLT104'!C7+'Summary FLT110'!C7)/2</f>
        <v>32</v>
      </c>
      <c r="D7" s="139">
        <f>('Summary FLT104'!D7+'Summary FLT110'!D7)/2</f>
        <v>46</v>
      </c>
      <c r="E7" s="139">
        <f>('Summary FLT104'!E7+'Summary FLT110'!E7)/2</f>
        <v>191</v>
      </c>
      <c r="F7" s="139">
        <f>('Summary FLT104'!F7+'Summary FLT110'!F7)/2</f>
        <v>0</v>
      </c>
      <c r="G7" s="139">
        <f>('Summary FLT104'!G7+'Summary FLT110'!G7)/2</f>
        <v>6</v>
      </c>
      <c r="H7" s="139">
        <f>('Summary FLT104'!H7+'Summary FLT110'!H7)/2</f>
        <v>275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28</v>
      </c>
      <c r="D8" s="139">
        <f t="shared" si="0"/>
        <v>40</v>
      </c>
      <c r="E8" s="139">
        <f t="shared" si="0"/>
        <v>163</v>
      </c>
      <c r="F8" s="139">
        <f t="shared" si="0"/>
        <v>0</v>
      </c>
      <c r="G8" s="139">
        <f t="shared" si="0"/>
        <v>6</v>
      </c>
      <c r="H8" s="139">
        <f>SUM(B8:G8)</f>
        <v>237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>('Summary FLT104'!B10+'Summary FLT110'!B10)/2</f>
        <v>0</v>
      </c>
      <c r="C10" s="143">
        <f>('Summary FLT104'!C10+'Summary FLT110'!C10)/2</f>
        <v>0</v>
      </c>
      <c r="D10" s="143">
        <f>('Summary FLT104'!D10+'Summary FLT110'!D10)/2</f>
        <v>0</v>
      </c>
      <c r="E10" s="143">
        <f>('Summary FLT104'!E10+'Summary FLT110'!E10)/2</f>
        <v>0</v>
      </c>
      <c r="F10" s="143">
        <f>('Summary FLT104'!F10+'Summary FLT110'!F10)/2</f>
        <v>0</v>
      </c>
      <c r="G10" s="143">
        <f>('Summary FLT104'!G10+'Summary FLT110'!G10)/2</f>
        <v>0</v>
      </c>
      <c r="H10" s="143">
        <f>('Summary FLT104'!H10+'Summary FLT110'!H10)/2</f>
        <v>0</v>
      </c>
      <c r="J10" s="142">
        <f>H10*$H$4</f>
        <v>0</v>
      </c>
    </row>
    <row r="11" spans="1:13" ht="15" thickBot="1">
      <c r="A11" s="139" t="s">
        <v>163</v>
      </c>
      <c r="B11" s="143">
        <f>('Summary FLT104'!B11+'Summary FLT110'!B11)/2</f>
        <v>0</v>
      </c>
      <c r="C11" s="143">
        <f>('Summary FLT104'!C11+'Summary FLT110'!C11)/2</f>
        <v>521.52374999999995</v>
      </c>
      <c r="D11" s="143">
        <f>('Summary FLT104'!D11+'Summary FLT110'!D11)/2</f>
        <v>518.61524999999995</v>
      </c>
      <c r="E11" s="143">
        <f>('Summary FLT104'!E11+'Summary FLT110'!E11)/2</f>
        <v>745.72500000000002</v>
      </c>
      <c r="F11" s="143">
        <f>('Summary FLT104'!F11+'Summary FLT110'!F11)/2</f>
        <v>0</v>
      </c>
      <c r="G11" s="143">
        <f>('Summary FLT104'!G11+'Summary FLT110'!G11)/2</f>
        <v>185.58000000000004</v>
      </c>
      <c r="H11" s="143">
        <f>('Summary FLT104'!H11+'Summary FLT110'!H11)/2</f>
        <v>1971.444</v>
      </c>
      <c r="I11" s="181">
        <f>I12*45%</f>
        <v>1390.1361750000001</v>
      </c>
      <c r="J11" s="142">
        <f>H11*$H$4</f>
        <v>2152816.8479999998</v>
      </c>
    </row>
    <row r="12" spans="1:13" ht="15" thickBot="1">
      <c r="A12" s="139" t="s">
        <v>164</v>
      </c>
      <c r="B12" s="143">
        <f>('Summary FLT104'!B12+'Summary FLT110'!B12)/2</f>
        <v>0</v>
      </c>
      <c r="C12" s="143">
        <f>('Summary FLT104'!C12+'Summary FLT110'!C12)/2</f>
        <v>203.19749999999999</v>
      </c>
      <c r="D12" s="143">
        <f>('Summary FLT104'!D12+'Summary FLT110'!D12)/2</f>
        <v>243.32000000000002</v>
      </c>
      <c r="E12" s="143">
        <f>('Summary FLT104'!E12+'Summary FLT110'!E12)/2</f>
        <v>588.43000000000006</v>
      </c>
      <c r="F12" s="143">
        <f>('Summary FLT104'!F12+'Summary FLT110'!F12)/2</f>
        <v>0</v>
      </c>
      <c r="G12" s="143">
        <f>('Summary FLT104'!G12+'Summary FLT110'!G12)/2</f>
        <v>82.8</v>
      </c>
      <c r="H12" s="143">
        <f>('Summary FLT104'!H12+'Summary FLT110'!H12)/2</f>
        <v>1117.7474999999999</v>
      </c>
      <c r="I12" s="253">
        <f>H11+H12</f>
        <v>3089.1914999999999</v>
      </c>
      <c r="J12" s="142">
        <f t="shared" ref="J12:J17" si="1">H12*$H$4</f>
        <v>1220580.27</v>
      </c>
    </row>
    <row r="13" spans="1:13" ht="15" thickBot="1">
      <c r="A13" s="139" t="s">
        <v>165</v>
      </c>
      <c r="B13" s="143">
        <f>('Summary FLT104'!B13+'Summary FLT110'!B13)/2</f>
        <v>0</v>
      </c>
      <c r="C13" s="143">
        <f>('Summary FLT104'!C13+'Summary FLT110'!C13)/2</f>
        <v>67.798087499999951</v>
      </c>
      <c r="D13" s="143">
        <f>('Summary FLT104'!D13+'Summary FLT110'!D13)/2</f>
        <v>67.419982499999946</v>
      </c>
      <c r="E13" s="143">
        <f>('Summary FLT104'!E13+'Summary FLT110'!E13)/2</f>
        <v>96.944249999999926</v>
      </c>
      <c r="F13" s="143">
        <f>('Summary FLT104'!F13+'Summary FLT110'!F13)/2</f>
        <v>0</v>
      </c>
      <c r="G13" s="143">
        <f>('Summary FLT104'!G13+'Summary FLT110'!G13)/2</f>
        <v>24.125399999999978</v>
      </c>
      <c r="H13" s="143">
        <f>('Summary FLT104'!H13+'Summary FLT110'!H13)/2</f>
        <v>256.28771999999981</v>
      </c>
      <c r="J13" s="142">
        <f t="shared" si="1"/>
        <v>279866.19023999979</v>
      </c>
    </row>
    <row r="14" spans="1:13" ht="15" thickBot="1">
      <c r="A14" s="139" t="s">
        <v>166</v>
      </c>
      <c r="B14" s="143">
        <f>('Summary FLT104'!B14+'Summary FLT110'!B14)/2</f>
        <v>0</v>
      </c>
      <c r="C14" s="143">
        <f>('Summary FLT104'!C14+'Summary FLT110'!C14)/2</f>
        <v>26.415674999999979</v>
      </c>
      <c r="D14" s="143">
        <f>('Summary FLT104'!D14+'Summary FLT110'!D14)/2</f>
        <v>31.631599999999963</v>
      </c>
      <c r="E14" s="143">
        <f>('Summary FLT104'!E14+'Summary FLT110'!E14)/2</f>
        <v>76.495899999999907</v>
      </c>
      <c r="F14" s="143">
        <f>('Summary FLT104'!F14+'Summary FLT110'!F14)/2</f>
        <v>0</v>
      </c>
      <c r="G14" s="143">
        <f>('Summary FLT104'!G14+'Summary FLT110'!G14)/2</f>
        <v>10.76399999999999</v>
      </c>
      <c r="H14" s="143">
        <f>('Summary FLT104'!H14+'Summary FLT110'!H14)/2</f>
        <v>145.30717499999983</v>
      </c>
      <c r="J14" s="142">
        <f t="shared" si="1"/>
        <v>158675.43509999983</v>
      </c>
      <c r="L14" s="161" t="s">
        <v>167</v>
      </c>
      <c r="M14" s="161"/>
    </row>
    <row r="15" spans="1:13" ht="15" thickBot="1">
      <c r="A15" s="139" t="s">
        <v>168</v>
      </c>
      <c r="B15" s="143">
        <f>('Summary FLT104'!B15+'Summary FLT110'!B15)/2</f>
        <v>0</v>
      </c>
      <c r="C15" s="143">
        <f>('Summary FLT104'!C15+'Summary FLT110'!C15)/2</f>
        <v>0</v>
      </c>
      <c r="D15" s="143">
        <f>('Summary FLT104'!D15+'Summary FLT110'!D15)/2</f>
        <v>0</v>
      </c>
      <c r="E15" s="143">
        <f>('Summary FLT104'!E15+'Summary FLT110'!E15)/2</f>
        <v>1552.38</v>
      </c>
      <c r="F15" s="143">
        <f>('Summary FLT104'!F15+'Summary FLT110'!F15)/2</f>
        <v>0</v>
      </c>
      <c r="G15" s="143">
        <f>('Summary FLT104'!G15+'Summary FLT110'!G15)/2</f>
        <v>0</v>
      </c>
      <c r="H15" s="143">
        <f>('Summary FLT104'!H15+'Summary FLT110'!H15)/2</f>
        <v>1552.38</v>
      </c>
      <c r="I15" s="181"/>
      <c r="J15" s="142">
        <f t="shared" si="1"/>
        <v>1695198.9600000002</v>
      </c>
      <c r="L15" s="241">
        <f>J12+J15</f>
        <v>2915779.2300000004</v>
      </c>
      <c r="M15" s="243">
        <v>1</v>
      </c>
    </row>
    <row r="16" spans="1:13" ht="15" thickBot="1">
      <c r="A16" s="139" t="s">
        <v>169</v>
      </c>
      <c r="B16" s="143">
        <f>('Summary FLT104'!B16+'Summary FLT110'!B16)/2</f>
        <v>0</v>
      </c>
      <c r="C16" s="143">
        <f>('Summary FLT104'!C16+'Summary FLT110'!C16)/2</f>
        <v>0</v>
      </c>
      <c r="D16" s="143">
        <f>('Summary FLT104'!D16+'Summary FLT110'!D16)/2</f>
        <v>0</v>
      </c>
      <c r="E16" s="143">
        <f>('Summary FLT104'!E16+'Summary FLT110'!E16)/2</f>
        <v>201.80940000000004</v>
      </c>
      <c r="F16" s="143">
        <f>('Summary FLT104'!F16+'Summary FLT110'!F16)/2</f>
        <v>0</v>
      </c>
      <c r="G16" s="143">
        <f>('Summary FLT104'!G16+'Summary FLT110'!G16)/2</f>
        <v>0</v>
      </c>
      <c r="H16" s="143">
        <f>('Summary FLT104'!H16+'Summary FLT110'!H16)/2</f>
        <v>201.80940000000004</v>
      </c>
      <c r="I16" s="159"/>
      <c r="J16" s="142">
        <f t="shared" si="1"/>
        <v>220375.86480000004</v>
      </c>
      <c r="L16" s="241">
        <f>L15*M16</f>
        <v>2332623.3840000005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818.93501249999986</v>
      </c>
      <c r="D17" s="163">
        <f>SUM(D10:D16)</f>
        <v>860.98683249999988</v>
      </c>
      <c r="E17" s="163">
        <f>SUM(E10:E16)</f>
        <v>3261.7845500000003</v>
      </c>
      <c r="F17" s="163">
        <f>SUM(F10:F16)</f>
        <v>0</v>
      </c>
      <c r="G17" s="163">
        <f>SUM(G10:G16)</f>
        <v>303.26940000000002</v>
      </c>
      <c r="H17" s="163">
        <f>SUM(H10:H16)</f>
        <v>5244.9757950000003</v>
      </c>
      <c r="J17" s="233">
        <f t="shared" si="1"/>
        <v>5727513.5681400001</v>
      </c>
      <c r="L17" s="241">
        <f>L15*M17</f>
        <v>583155.84600000014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818.93501249999986</v>
      </c>
      <c r="D18" s="222">
        <f>D17</f>
        <v>860.98683249999988</v>
      </c>
      <c r="E18" s="222">
        <f>E17-E15-E16</f>
        <v>1507.5951500000001</v>
      </c>
      <c r="F18" s="222">
        <f>F17</f>
        <v>0</v>
      </c>
      <c r="G18" s="222">
        <f>G17</f>
        <v>303.26940000000002</v>
      </c>
      <c r="H18" s="222"/>
      <c r="I18" s="222">
        <f>E15+E16</f>
        <v>1754.1894000000002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201.80940000000004</v>
      </c>
      <c r="J19" s="253">
        <f>H11+H12+H15</f>
        <v>4641.5715</v>
      </c>
    </row>
    <row r="20" spans="1:13" ht="15" thickBot="1">
      <c r="A20" s="223" t="s">
        <v>175</v>
      </c>
      <c r="B20" s="143">
        <f>('Summary FLT104'!B20+'Summary FLT110'!B20)/2</f>
        <v>1552.38</v>
      </c>
      <c r="C20" s="143">
        <f>('Summary FLT104'!C20+'Summary FLT110'!C20)/2</f>
        <v>201.80940000000004</v>
      </c>
      <c r="D20" s="224">
        <f>SUM(B20:C20)</f>
        <v>1754.1894000000002</v>
      </c>
      <c r="G20" s="181"/>
      <c r="J20" s="253">
        <f>H13+H14+H16</f>
        <v>603.40429499999959</v>
      </c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29.247679017857138</v>
      </c>
      <c r="D24" s="143">
        <f>IFERROR(((D10+D11+D12+D13+D14)/D8),0)</f>
        <v>21.524670812499998</v>
      </c>
      <c r="E24" s="143">
        <f>IFERROR(((E10+E11+E12+E13+E14)/E8),0)</f>
        <v>9.2490500000000004</v>
      </c>
      <c r="F24" s="143">
        <f>IFERROR(((F10+F11+F12+F13+F14)/F8),0)</f>
        <v>0</v>
      </c>
      <c r="G24" s="143">
        <f>IFERROR(((G10+G11+G12+G13+G14)/G8),0)</f>
        <v>50.544900000000005</v>
      </c>
    </row>
    <row r="25" spans="1:13" ht="15" thickBot="1">
      <c r="A25" s="139" t="s">
        <v>179</v>
      </c>
      <c r="B25" s="143">
        <f t="shared" ref="B25:G25" si="2">IFERROR(((B13+B14)/B8),0)</f>
        <v>0</v>
      </c>
      <c r="C25" s="143">
        <f t="shared" si="2"/>
        <v>3.3647772321428548</v>
      </c>
      <c r="D25" s="143">
        <f t="shared" si="2"/>
        <v>2.4762895624999977</v>
      </c>
      <c r="E25" s="143">
        <f t="shared" si="2"/>
        <v>1.0640499999999991</v>
      </c>
      <c r="F25" s="143">
        <f t="shared" si="2"/>
        <v>0</v>
      </c>
      <c r="G25" s="143">
        <f t="shared" si="2"/>
        <v>5.8148999999999944</v>
      </c>
      <c r="J25" s="253">
        <f>J11+J12+J15</f>
        <v>5068596.0779999997</v>
      </c>
    </row>
    <row r="26" spans="1:13" ht="15" thickBot="1">
      <c r="A26" s="139" t="s">
        <v>180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  <c r="J26" s="253">
        <f>J13+J14+J16</f>
        <v>658917.49013999966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/>
    </row>
    <row r="30" spans="1:13" ht="15" thickBot="1">
      <c r="A30" s="139" t="s">
        <v>162</v>
      </c>
      <c r="B30" s="143">
        <f t="shared" ref="B30:G30" si="4">B37*B8</f>
        <v>0</v>
      </c>
      <c r="C30" s="143">
        <f t="shared" si="4"/>
        <v>0</v>
      </c>
      <c r="D30" s="143">
        <f t="shared" si="4"/>
        <v>0</v>
      </c>
      <c r="E30" s="143">
        <f t="shared" si="4"/>
        <v>0</v>
      </c>
      <c r="F30" s="143">
        <f t="shared" si="4"/>
        <v>0</v>
      </c>
      <c r="G30" s="143">
        <f t="shared" si="4"/>
        <v>0</v>
      </c>
    </row>
    <row r="31" spans="1:13" ht="15" thickBot="1">
      <c r="A31" s="139" t="s">
        <v>163</v>
      </c>
      <c r="B31" s="143">
        <f>('Summary FLT104'!B31+'Summary FLT110'!B31)/2</f>
        <v>0</v>
      </c>
      <c r="C31" s="143">
        <f>('Summary FLT104'!C31+'Summary FLT110'!C31)/2</f>
        <v>606.86400000000003</v>
      </c>
      <c r="D31" s="143">
        <f>('Summary FLT104'!D31+'Summary FLT110'!D31)/2</f>
        <v>603.95699999999988</v>
      </c>
      <c r="E31" s="143">
        <f>('Summary FLT104'!E31+'Summary FLT110'!E31)/2</f>
        <v>873.82500000000005</v>
      </c>
      <c r="F31" s="143">
        <f>('Summary FLT104'!F31+'Summary FLT110'!F31)/2</f>
        <v>0</v>
      </c>
      <c r="G31" s="143">
        <f>('Summary FLT104'!G31+'Summary FLT110'!G31)/2</f>
        <v>185.58000000000004</v>
      </c>
    </row>
    <row r="32" spans="1:13" ht="15" thickBot="1">
      <c r="A32" s="139" t="s">
        <v>164</v>
      </c>
      <c r="B32" s="143">
        <f>('Summary FLT104'!B32+'Summary FLT110'!B32)/2</f>
        <v>0</v>
      </c>
      <c r="C32" s="143">
        <f>('Summary FLT104'!C32+'Summary FLT110'!C32)/2</f>
        <v>236.44799999999998</v>
      </c>
      <c r="D32" s="143">
        <f>('Summary FLT104'!D32+'Summary FLT110'!D32)/2</f>
        <v>283.36</v>
      </c>
      <c r="E32" s="143">
        <f>('Summary FLT104'!E32+'Summary FLT110'!E32)/2</f>
        <v>689.51</v>
      </c>
      <c r="F32" s="143">
        <f>('Summary FLT104'!F32+'Summary FLT110'!F32)/2</f>
        <v>0</v>
      </c>
      <c r="G32" s="143">
        <f>('Summary FLT104'!G32+'Summary FLT110'!G32)/2</f>
        <v>82.8</v>
      </c>
    </row>
    <row r="33" spans="1:7" ht="15" thickBot="1">
      <c r="A33" s="139" t="s">
        <v>184</v>
      </c>
      <c r="B33" s="143">
        <f>('Summary FLT104'!B33+'Summary FLT110'!B33)/2</f>
        <v>0</v>
      </c>
      <c r="C33" s="143">
        <f>('Summary FLT104'!C33+'Summary FLT110'!C33)/2</f>
        <v>78.892319999999955</v>
      </c>
      <c r="D33" s="143">
        <f>('Summary FLT104'!D33+'Summary FLT110'!D33)/2</f>
        <v>78.514409999999927</v>
      </c>
      <c r="E33" s="143">
        <f>('Summary FLT104'!E33+'Summary FLT110'!E33)/2</f>
        <v>113.59724999999992</v>
      </c>
      <c r="F33" s="143">
        <f>('Summary FLT104'!F33+'Summary FLT110'!F33)/2</f>
        <v>0</v>
      </c>
      <c r="G33" s="143">
        <f>('Summary FLT104'!G33+'Summary FLT110'!G33)/2</f>
        <v>24.125399999999981</v>
      </c>
    </row>
    <row r="34" spans="1:7" ht="15" thickBot="1">
      <c r="A34" s="139" t="s">
        <v>185</v>
      </c>
      <c r="B34" s="143">
        <f>('Summary FLT104'!B34+'Summary FLT110'!B34)/2</f>
        <v>0</v>
      </c>
      <c r="C34" s="143">
        <f>('Summary FLT104'!C34+'Summary FLT110'!C34)/2</f>
        <v>30.738239999999976</v>
      </c>
      <c r="D34" s="143">
        <f>('Summary FLT104'!D34+'Summary FLT110'!D34)/2</f>
        <v>36.836799999999954</v>
      </c>
      <c r="E34" s="143">
        <f>('Summary FLT104'!E34+'Summary FLT110'!E34)/2</f>
        <v>89.636299999999892</v>
      </c>
      <c r="F34" s="143">
        <f>('Summary FLT104'!F34+'Summary FLT110'!F34)/2</f>
        <v>0</v>
      </c>
      <c r="G34" s="143">
        <f>('Summary FLT104'!G34+'Summary FLT110'!G34)/2</f>
        <v>10.76399999999999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5">IFERROR(B31/B7," ")</f>
        <v xml:space="preserve"> </v>
      </c>
      <c r="C38" s="143">
        <f t="shared" si="5"/>
        <v>18.964500000000001</v>
      </c>
      <c r="D38" s="143">
        <f t="shared" si="5"/>
        <v>13.129499999999997</v>
      </c>
      <c r="E38" s="143">
        <f t="shared" si="5"/>
        <v>4.5750000000000002</v>
      </c>
      <c r="F38" s="143" t="str">
        <f t="shared" si="5"/>
        <v xml:space="preserve"> </v>
      </c>
      <c r="G38" s="143">
        <f t="shared" si="5"/>
        <v>30.930000000000007</v>
      </c>
    </row>
    <row r="39" spans="1:7" ht="15" thickBot="1">
      <c r="A39" s="139" t="s">
        <v>164</v>
      </c>
      <c r="B39" s="143" t="str">
        <f>IFERROR(B32/B7," ")</f>
        <v xml:space="preserve"> </v>
      </c>
      <c r="C39" s="143">
        <f t="shared" ref="C39:G39" si="6">IFERROR(C32/C7," ")</f>
        <v>7.3889999999999993</v>
      </c>
      <c r="D39" s="143">
        <f t="shared" si="6"/>
        <v>6.16</v>
      </c>
      <c r="E39" s="143">
        <f t="shared" si="6"/>
        <v>3.61</v>
      </c>
      <c r="F39" s="143" t="str">
        <f t="shared" si="6"/>
        <v xml:space="preserve"> </v>
      </c>
      <c r="G39" s="143">
        <f t="shared" si="6"/>
        <v>13.799999999999999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2.4653849999999986</v>
      </c>
      <c r="D40" s="143">
        <f>IFERROR(D33/D7," ")</f>
        <v>1.7068349999999983</v>
      </c>
      <c r="E40" s="143">
        <f>IFERROR(E33/E7," ")</f>
        <v>0.59474999999999956</v>
      </c>
      <c r="F40" s="143" t="str">
        <f>IFERROR(F33/F7," ")</f>
        <v xml:space="preserve"> </v>
      </c>
      <c r="G40" s="143">
        <f>IFERROR(G33/G7," ")</f>
        <v>4.0208999999999966</v>
      </c>
    </row>
    <row r="41" spans="1:7" ht="15" thickBot="1">
      <c r="A41" s="139" t="s">
        <v>185</v>
      </c>
      <c r="B41" s="143" t="str">
        <f t="shared" ref="B41:G41" si="7">IFERROR(B34/B7," ")</f>
        <v xml:space="preserve"> </v>
      </c>
      <c r="C41" s="143">
        <f t="shared" si="7"/>
        <v>0.96056999999999926</v>
      </c>
      <c r="D41" s="143">
        <f t="shared" si="7"/>
        <v>0.80079999999999896</v>
      </c>
      <c r="E41" s="143">
        <f t="shared" si="7"/>
        <v>0.46929999999999944</v>
      </c>
      <c r="F41" s="143" t="str">
        <f t="shared" si="7"/>
        <v xml:space="preserve"> </v>
      </c>
      <c r="G41" s="143">
        <f t="shared" si="7"/>
        <v>1.7939999999999985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EE39-EC64-4CB8-A033-775DD5D0AD50}">
  <sheetPr>
    <tabColor theme="7" tint="0.59999389629810485"/>
  </sheetPr>
  <dimension ref="A1:M109"/>
  <sheetViews>
    <sheetView zoomScaleNormal="100" workbookViewId="0">
      <selection activeCell="H17" sqref="H17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f>'Summary  735'!H2+'Summary 2221'!H2+'Summary 2439'!H2+'Summary 2682'!H2+'Summary 2855'!H2</f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737</v>
      </c>
      <c r="G3" s="145" t="s">
        <v>145</v>
      </c>
      <c r="H3" s="251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 t="e">
        <f>H17*H4</f>
        <v>#REF!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>B37*B8</f>
        <v>0</v>
      </c>
      <c r="C10" s="143" t="e">
        <f>('Summary  735'!C10+'Summary 2221'!C10+'Summary 2439'!C10+'Summary 2682'!C10+'Summary 2855'!C10+#REF!+'Summary FLT104'!C10+'Summary FLT110'!C10+#REF!+#REF!+#REF!+'Summary 2037'!C10+'Summary 2817'!C10)/13</f>
        <v>#REF!</v>
      </c>
      <c r="D10" s="143" t="e">
        <f>('Summary  735'!D10+'Summary 2221'!D10+'Summary 2439'!D10+'Summary 2682'!D10+'Summary 2855'!D10+#REF!+'Summary FLT104'!D10+'Summary FLT110'!D10+#REF!+#REF!+#REF!+'Summary 2037'!D10+'Summary 2817'!D10)/13</f>
        <v>#REF!</v>
      </c>
      <c r="E10" s="143" t="e">
        <f>('Summary  735'!E10+'Summary 2221'!E10+'Summary 2439'!E10+'Summary 2682'!E10+'Summary 2855'!E10+#REF!+'Summary FLT104'!E10+'Summary FLT110'!E10+#REF!+#REF!+#REF!+'Summary 2037'!E10+'Summary 2817'!E10)/13</f>
        <v>#REF!</v>
      </c>
      <c r="F10" s="143" t="e">
        <f>('Summary  735'!F10+'Summary 2221'!F10+'Summary 2439'!F10+'Summary 2682'!F10+'Summary 2855'!F10+#REF!+'Summary FLT104'!F10+'Summary FLT110'!F10+#REF!+#REF!+#REF!+'Summary 2037'!F10+'Summary 2817'!F10)/13</f>
        <v>#REF!</v>
      </c>
      <c r="G10" s="143" t="e">
        <f>('Summary  735'!G10+'Summary 2221'!G10+'Summary 2439'!G10+'Summary 2682'!G10+'Summary 2855'!G10+#REF!+'Summary FLT104'!G10+'Summary FLT110'!G10+#REF!+#REF!+#REF!+'Summary 2037'!G10+'Summary 2817'!G10)/13</f>
        <v>#REF!</v>
      </c>
      <c r="H10" s="142" t="e">
        <f t="shared" ref="H10:H16" si="1">SUM(B10:G10)</f>
        <v>#REF!</v>
      </c>
      <c r="J10" s="142" t="e">
        <f>H10*$H$4</f>
        <v>#REF!</v>
      </c>
    </row>
    <row r="11" spans="1:13" ht="15" thickBot="1">
      <c r="A11" s="139" t="s">
        <v>163</v>
      </c>
      <c r="B11" s="143">
        <f>('Summary  735'!B11+'Summary 2221'!B11+'Summary 2439'!B11+'Summary 2682'!B11+'Summary 2855'!B11)/5</f>
        <v>0</v>
      </c>
      <c r="C11" s="143">
        <f>('Summary  735'!C11+'Summary 2221'!C11+'Summary 2439'!C11+'Summary 2682'!C11+'Summary 2855'!C11)/5</f>
        <v>0</v>
      </c>
      <c r="D11" s="143">
        <f>('Summary  735'!D11+'Summary 2221'!D11+'Summary 2439'!D11+'Summary 2682'!D11+'Summary 2855'!D11)/5</f>
        <v>0</v>
      </c>
      <c r="E11" s="143">
        <f>('Summary  735'!E11+'Summary 2221'!E11+'Summary 2439'!E11+'Summary 2682'!E11+'Summary 2855'!E11)/5</f>
        <v>0</v>
      </c>
      <c r="F11" s="143">
        <f>('Summary  735'!F11+'Summary 2221'!F11+'Summary 2439'!F11+'Summary 2682'!F11+'Summary 2855'!F11)/5</f>
        <v>0</v>
      </c>
      <c r="G11" s="143">
        <f>('Summary  735'!G11+'Summary 2221'!G11+'Summary 2439'!G11+'Summary 2682'!G11+'Summary 2855'!G11)/5</f>
        <v>0</v>
      </c>
      <c r="H11" s="142">
        <f t="shared" si="1"/>
        <v>0</v>
      </c>
      <c r="I11" s="181" t="e">
        <f>I12*45%</f>
        <v>#REF!</v>
      </c>
      <c r="J11" s="142">
        <f>H11*$H$4</f>
        <v>0</v>
      </c>
    </row>
    <row r="12" spans="1:13" ht="15" thickBot="1">
      <c r="A12" s="139" t="s">
        <v>164</v>
      </c>
      <c r="B12" s="143" t="e">
        <f>('Summary  735'!B12+'Summary 2221'!B12+'Summary 2439'!B12+'Summary 2682'!B12+'Summary 2855'!B12+#REF!+'Summary FLT104'!B12+'Summary FLT110'!B12+#REF!+#REF!+#REF!+'Summary 2037'!B12+'Summary 2817'!B12)/13</f>
        <v>#REF!</v>
      </c>
      <c r="C12" s="143">
        <f>('Summary  735'!C12+'Summary 2221'!C12+'Summary 2439'!C12+'Summary 2682'!C12+'Summary 2855'!C12)/5</f>
        <v>0</v>
      </c>
      <c r="D12" s="143">
        <f>('Summary  735'!D12+'Summary 2221'!D12+'Summary 2439'!D12+'Summary 2682'!D12+'Summary 2855'!D12)/5</f>
        <v>0</v>
      </c>
      <c r="E12" s="143">
        <f>('Summary  735'!E12+'Summary 2221'!E12+'Summary 2439'!E12+'Summary 2682'!E12+'Summary 2855'!E12)/5</f>
        <v>0</v>
      </c>
      <c r="F12" s="143">
        <f>('Summary  735'!F12+'Summary 2221'!F12+'Summary 2439'!F12+'Summary 2682'!F12+'Summary 2855'!F12)/5</f>
        <v>0</v>
      </c>
      <c r="G12" s="143">
        <f>('Summary  735'!G12+'Summary 2221'!G12+'Summary 2439'!G12+'Summary 2682'!G12+'Summary 2855'!G12)/5</f>
        <v>0</v>
      </c>
      <c r="H12" s="142" t="e">
        <f t="shared" si="1"/>
        <v>#REF!</v>
      </c>
      <c r="I12" s="253" t="e">
        <f>H11+H12</f>
        <v>#REF!</v>
      </c>
      <c r="J12" s="142" t="e">
        <f t="shared" ref="J12:J17" si="2">H12*$H$4</f>
        <v>#REF!</v>
      </c>
    </row>
    <row r="13" spans="1:13" ht="15" thickBot="1">
      <c r="A13" s="139" t="s">
        <v>165</v>
      </c>
      <c r="B13" s="143" t="e">
        <f>('Summary  735'!B13+'Summary 2221'!B13+'Summary 2439'!B13+'Summary 2682'!B13+'Summary 2855'!B13+#REF!+'Summary FLT104'!B13+'Summary FLT110'!B13+#REF!+#REF!+#REF!+'Summary 2037'!B13+'Summary 2817'!B13)/13</f>
        <v>#VALUE!</v>
      </c>
      <c r="C13" s="143">
        <f>('Summary  735'!C13+'Summary 2221'!C13+'Summary 2439'!C13+'Summary 2682'!C13+'Summary 2855'!C13)/5</f>
        <v>0</v>
      </c>
      <c r="D13" s="143">
        <f>('Summary  735'!D13+'Summary 2221'!D13+'Summary 2439'!D13+'Summary 2682'!D13+'Summary 2855'!D13)/5</f>
        <v>0</v>
      </c>
      <c r="E13" s="143">
        <f>('Summary  735'!E13+'Summary 2221'!E13+'Summary 2439'!E13+'Summary 2682'!E13+'Summary 2855'!E13)/5</f>
        <v>0</v>
      </c>
      <c r="F13" s="143">
        <f>('Summary  735'!F13+'Summary 2221'!F13+'Summary 2439'!F13+'Summary 2682'!F13+'Summary 2855'!F13)/5</f>
        <v>0</v>
      </c>
      <c r="G13" s="143">
        <f>('Summary  735'!G13+'Summary 2221'!G13+'Summary 2439'!G13+'Summary 2682'!G13+'Summary 2855'!G13)/5</f>
        <v>0</v>
      </c>
      <c r="H13" s="142" t="e">
        <f t="shared" si="1"/>
        <v>#VALUE!</v>
      </c>
      <c r="J13" s="142" t="e">
        <f t="shared" si="2"/>
        <v>#VALUE!</v>
      </c>
    </row>
    <row r="14" spans="1:13" ht="15" thickBot="1">
      <c r="A14" s="139" t="s">
        <v>166</v>
      </c>
      <c r="B14" s="143" t="e">
        <f>('Summary  735'!B14+'Summary 2221'!B14+'Summary 2439'!B14+'Summary 2682'!B14+'Summary 2855'!B14+#REF!+'Summary FLT104'!B14+'Summary FLT110'!B14+#REF!+#REF!+#REF!+'Summary 2037'!B14+'Summary 2817'!B14)/13</f>
        <v>#VALUE!</v>
      </c>
      <c r="C14" s="143">
        <f>('Summary  735'!C14+'Summary 2221'!C14+'Summary 2439'!C14+'Summary 2682'!C14+'Summary 2855'!C14)/5</f>
        <v>0</v>
      </c>
      <c r="D14" s="143">
        <f>('Summary  735'!D14+'Summary 2221'!D14+'Summary 2439'!D14+'Summary 2682'!D14+'Summary 2855'!D14)/5</f>
        <v>0</v>
      </c>
      <c r="E14" s="143">
        <f>('Summary  735'!E14+'Summary 2221'!E14+'Summary 2439'!E14+'Summary 2682'!E14+'Summary 2855'!E14)/5</f>
        <v>0</v>
      </c>
      <c r="F14" s="143">
        <f>('Summary  735'!F14+'Summary 2221'!F14+'Summary 2439'!F14+'Summary 2682'!F14+'Summary 2855'!F14)/5</f>
        <v>0</v>
      </c>
      <c r="G14" s="143">
        <f>('Summary  735'!G14+'Summary 2221'!G14+'Summary 2439'!G14+'Summary 2682'!G14+'Summary 2855'!G14)/5</f>
        <v>0</v>
      </c>
      <c r="H14" s="142" t="e">
        <f t="shared" si="1"/>
        <v>#VALUE!</v>
      </c>
      <c r="J14" s="142" t="e">
        <f t="shared" si="2"/>
        <v>#VALUE!</v>
      </c>
      <c r="L14" s="161" t="s">
        <v>167</v>
      </c>
      <c r="M14" s="161"/>
    </row>
    <row r="15" spans="1:13" ht="15" thickBot="1">
      <c r="A15" s="139" t="s">
        <v>168</v>
      </c>
      <c r="B15" s="143" t="e">
        <f>SUM('Summary  735'!B15+'Summary 2221'!B15+'Summary 2221'!B15+'Summary 2439'!B15+'Summary 2682'!B15+'Summary 2855'!B15+#REF!+'Summary FLT104'!B15+'Summary FLT110'!B15+#REF!+#REF!+#REF!+'Summary 2037'!B15+'Summary 2817'!B15)/13</f>
        <v>#REF!</v>
      </c>
      <c r="C15" s="143">
        <f>('Summary  735'!C15+'Summary 2221'!C15+'Summary 2439'!C15+'Summary 2682'!C15+'Summary 2855'!C15)/5</f>
        <v>0</v>
      </c>
      <c r="D15" s="143">
        <f>('Summary  735'!D15+'Summary 2221'!D15+'Summary 2439'!D15+'Summary 2682'!D15+'Summary 2855'!D15)/5</f>
        <v>0</v>
      </c>
      <c r="E15" s="143">
        <f>('Summary  735'!E15+'Summary 2221'!E15+'Summary 2439'!E15+'Summary 2682'!E15+'Summary 2855'!E15)/5</f>
        <v>0</v>
      </c>
      <c r="F15" s="143">
        <f>('Summary  735'!F15+'Summary 2221'!F15+'Summary 2439'!F15+'Summary 2682'!F15+'Summary 2855'!F15)/5</f>
        <v>0</v>
      </c>
      <c r="G15" s="143">
        <f>('Summary  735'!G15+'Summary 2221'!G15+'Summary 2439'!G15+'Summary 2682'!G15+'Summary 2855'!G15)/5</f>
        <v>0</v>
      </c>
      <c r="H15" s="142" t="e">
        <f t="shared" si="1"/>
        <v>#REF!</v>
      </c>
      <c r="I15" s="181"/>
      <c r="J15" s="142" t="e">
        <f t="shared" si="2"/>
        <v>#REF!</v>
      </c>
      <c r="L15" s="241" t="e">
        <f>J12+J15</f>
        <v>#REF!</v>
      </c>
      <c r="M15" s="243">
        <v>1</v>
      </c>
    </row>
    <row r="16" spans="1:13" ht="15" thickBot="1">
      <c r="A16" s="139" t="s">
        <v>169</v>
      </c>
      <c r="B16" s="143" t="e">
        <f>SUM('Summary  735'!B16+'Summary 2221'!B16+'Summary 2221'!B16+'Summary 2439'!B16+'Summary 2682'!B16+'Summary 2855'!B16+#REF!+'Summary FLT104'!B16+'Summary FLT110'!B16+#REF!+#REF!+#REF!+'Summary 2037'!B16+'Summary 2817'!B16)/13</f>
        <v>#REF!</v>
      </c>
      <c r="C16" s="143">
        <f>('Summary  735'!C16+'Summary 2221'!C16+'Summary 2439'!C16+'Summary 2682'!C16+'Summary 2855'!C16)/5</f>
        <v>0</v>
      </c>
      <c r="D16" s="143">
        <f>('Summary  735'!D16+'Summary 2221'!D16+'Summary 2439'!D16+'Summary 2682'!D16+'Summary 2855'!D16)/5</f>
        <v>0</v>
      </c>
      <c r="E16" s="143">
        <f>('Summary  735'!E16+'Summary 2221'!E16+'Summary 2439'!E16+'Summary 2682'!E16+'Summary 2855'!E16)/5</f>
        <v>0</v>
      </c>
      <c r="F16" s="143">
        <f>('Summary  735'!F16+'Summary 2221'!F16+'Summary 2439'!F16+'Summary 2682'!F16+'Summary 2855'!F16)/5</f>
        <v>0</v>
      </c>
      <c r="G16" s="143">
        <f>('Summary  735'!G16+'Summary 2221'!G16+'Summary 2439'!G16+'Summary 2682'!G16+'Summary 2855'!G16)/5</f>
        <v>0</v>
      </c>
      <c r="H16" s="142" t="e">
        <f t="shared" si="1"/>
        <v>#REF!</v>
      </c>
      <c r="I16" s="159"/>
      <c r="J16" s="142" t="e">
        <f t="shared" si="2"/>
        <v>#REF!</v>
      </c>
      <c r="L16" s="242" t="e">
        <f>L15*M16</f>
        <v>#REF!</v>
      </c>
      <c r="M16" s="243">
        <v>0.8</v>
      </c>
    </row>
    <row r="17" spans="1:13" ht="15" thickBot="1">
      <c r="A17" s="162" t="s">
        <v>170</v>
      </c>
      <c r="B17" s="163" t="e">
        <f>SUM(B11:B16)</f>
        <v>#REF!</v>
      </c>
      <c r="C17" s="163">
        <f>SUM(C11:C16)</f>
        <v>0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233" t="e">
        <f t="shared" si="2"/>
        <v>#REF!</v>
      </c>
      <c r="L17" s="242" t="e">
        <f>L15*M17</f>
        <v>#REF!</v>
      </c>
      <c r="M17" s="243">
        <v>0.2</v>
      </c>
    </row>
    <row r="18" spans="1:13" ht="15" thickBot="1">
      <c r="A18" s="221"/>
      <c r="B18" s="222" t="e">
        <f>B17</f>
        <v>#REF!</v>
      </c>
      <c r="C18" s="222">
        <f>C17</f>
        <v>0</v>
      </c>
      <c r="D18" s="222" t="e">
        <f>D17</f>
        <v>#REF!</v>
      </c>
      <c r="E18" s="222" t="e">
        <f>E17-E15-E16</f>
        <v>#REF!</v>
      </c>
      <c r="F18" s="222" t="e">
        <f>F17</f>
        <v>#REF!</v>
      </c>
      <c r="G18" s="222" t="e">
        <f>G17</f>
        <v>#REF!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175</v>
      </c>
      <c r="B20" s="143" t="e">
        <f>SUM('Summary  735'!B20+'Summary 2221'!B20+'Summary 2221'!B20+'Summary 2439'!B20+'Summary 2682'!B20+'Summary 2855'!B20+#REF!+'Summary FLT104'!B20+'Summary FLT110'!B20+#REF!+#REF!+#REF!+'Summary 2037'!B20+'Summary 2817'!B20)/13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3">IFERROR(((B13+B14)/B8),0)</f>
        <v>0</v>
      </c>
      <c r="C25" s="143">
        <f t="shared" si="3"/>
        <v>0</v>
      </c>
      <c r="D25" s="143">
        <f t="shared" si="3"/>
        <v>0</v>
      </c>
      <c r="E25" s="143">
        <f t="shared" si="3"/>
        <v>0</v>
      </c>
      <c r="F25" s="143">
        <f t="shared" si="3"/>
        <v>0</v>
      </c>
      <c r="G25" s="143">
        <f t="shared" si="3"/>
        <v>0</v>
      </c>
    </row>
    <row r="26" spans="1:13" ht="15" thickBot="1">
      <c r="A26" s="139" t="s">
        <v>180</v>
      </c>
      <c r="B26" s="143">
        <f t="shared" ref="B26:G26" si="4">IFERROR((B10/B8),0)</f>
        <v>0</v>
      </c>
      <c r="C26" s="143">
        <f t="shared" si="4"/>
        <v>0</v>
      </c>
      <c r="D26" s="143">
        <f t="shared" si="4"/>
        <v>0</v>
      </c>
      <c r="E26" s="143">
        <f t="shared" si="4"/>
        <v>0</v>
      </c>
      <c r="F26" s="143">
        <f t="shared" si="4"/>
        <v>0</v>
      </c>
      <c r="G26" s="143">
        <f t="shared" si="4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/>
    </row>
    <row r="30" spans="1:13" ht="15" thickBot="1">
      <c r="A30" s="139" t="s">
        <v>162</v>
      </c>
      <c r="B30" s="143">
        <f t="shared" ref="B30:G30" si="5">B37*B8</f>
        <v>0</v>
      </c>
      <c r="C30" s="143">
        <f t="shared" si="5"/>
        <v>0</v>
      </c>
      <c r="D30" s="143">
        <f t="shared" si="5"/>
        <v>0</v>
      </c>
      <c r="E30" s="143">
        <f t="shared" si="5"/>
        <v>0</v>
      </c>
      <c r="F30" s="143">
        <f t="shared" si="5"/>
        <v>0</v>
      </c>
      <c r="G30" s="143">
        <f t="shared" si="5"/>
        <v>0</v>
      </c>
    </row>
    <row r="31" spans="1:13" ht="15" thickBot="1">
      <c r="A31" s="139" t="s">
        <v>163</v>
      </c>
      <c r="B31" s="143">
        <f>('Summary  735'!B31+'Summary 2221'!B31+'Summary 2439'!B31+'Summary 2682'!B31+'Summary 2855'!B31)/5</f>
        <v>0</v>
      </c>
      <c r="C31" s="143" t="e">
        <f>('Summary  735'!C31+'Summary 2221'!C31+'Summary 2439'!C31+'Summary 2682'!C31+'Summary 2855'!C31+#REF!+'Summary FLT104'!C31+'Summary FLT110'!C31+#REF!+#REF!+#REF!+'Summary 2037'!C31+'Summary 2817'!C31)/13</f>
        <v>#REF!</v>
      </c>
      <c r="D31" s="143" t="e">
        <f>('Summary  735'!D31+'Summary 2221'!D31+'Summary 2439'!D31+'Summary 2682'!D31+'Summary 2855'!D31+#REF!+'Summary FLT104'!D31+'Summary FLT110'!D31+#REF!+#REF!+#REF!+'Summary 2037'!D31+'Summary 2817'!D31)/13</f>
        <v>#REF!</v>
      </c>
      <c r="E31" s="143">
        <f>('Summary  735'!E31+'Summary 2221'!E31+'Summary 2439'!E31+'Summary 2682'!E31+'Summary 2855'!E31)/5</f>
        <v>0</v>
      </c>
      <c r="F31" s="143" t="e">
        <f>('Summary  735'!F31+'Summary 2221'!F31+'Summary 2439'!F31+'Summary 2682'!F31+'Summary 2855'!F31+#REF!+'Summary FLT104'!F31+'Summary FLT110'!F31+#REF!+#REF!+#REF!+'Summary 2037'!F31+'Summary 2817'!F31)/13</f>
        <v>#REF!</v>
      </c>
      <c r="G31" s="143" t="e">
        <f>('Summary  735'!G31+'Summary 2221'!G31+'Summary 2439'!G31+'Summary 2682'!G31+'Summary 2855'!G31+#REF!+'Summary FLT104'!G31+'Summary FLT110'!G31+#REF!+#REF!+#REF!+'Summary 2037'!G31+'Summary 2817'!G31)/13</f>
        <v>#REF!</v>
      </c>
    </row>
    <row r="32" spans="1:13" ht="15" thickBot="1">
      <c r="A32" s="139" t="s">
        <v>164</v>
      </c>
      <c r="B32" s="143">
        <f>('Summary  735'!B32+'Summary 2221'!B32+'Summary 2439'!B32+'Summary 2682'!B32+'Summary 2855'!B32)/5</f>
        <v>0</v>
      </c>
      <c r="C32" s="143" t="e">
        <f>('Summary  735'!C32+'Summary 2221'!C32+'Summary 2439'!C32+'Summary 2682'!C32+'Summary 2855'!C32+#REF!+'Summary FLT104'!C32+'Summary FLT110'!C32+#REF!+#REF!+#REF!+'Summary 2037'!C32+'Summary 2817'!C32)/13</f>
        <v>#REF!</v>
      </c>
      <c r="D32" s="143" t="e">
        <f>('Summary  735'!D32+'Summary 2221'!D32+'Summary 2439'!D32+'Summary 2682'!D32+'Summary 2855'!D32+#REF!+'Summary FLT104'!D32+'Summary FLT110'!D32+#REF!+#REF!+#REF!+'Summary 2037'!D32+'Summary 2817'!D32)/13</f>
        <v>#REF!</v>
      </c>
      <c r="E32" s="143">
        <f>('Summary  735'!E32+'Summary 2221'!E32+'Summary 2439'!E32+'Summary 2682'!E32+'Summary 2855'!E32)/5</f>
        <v>0</v>
      </c>
      <c r="F32" s="143" t="e">
        <f>('Summary  735'!F32+'Summary 2221'!F32+'Summary 2439'!F32+'Summary 2682'!F32+'Summary 2855'!F32+#REF!+'Summary FLT104'!F32+'Summary FLT110'!F32+#REF!+#REF!+#REF!+'Summary 2037'!F32+'Summary 2817'!F32)/13</f>
        <v>#REF!</v>
      </c>
      <c r="G32" s="143" t="e">
        <f>('Summary  735'!G32+'Summary 2221'!G32+'Summary 2439'!G32+'Summary 2682'!G32+'Summary 2855'!G32+#REF!+'Summary FLT104'!G32+'Summary FLT110'!G32+#REF!+#REF!+#REF!+'Summary 2037'!G32+'Summary 2817'!G32)/13</f>
        <v>#REF!</v>
      </c>
    </row>
    <row r="33" spans="1:7" ht="15" thickBot="1">
      <c r="A33" s="139" t="s">
        <v>184</v>
      </c>
      <c r="B33" s="143">
        <f>('Summary  735'!B33+'Summary 2221'!B33+'Summary 2439'!B33+'Summary 2682'!B33+'Summary 2855'!B33)/5</f>
        <v>0</v>
      </c>
      <c r="C33" s="143" t="e">
        <f>('Summary  735'!C33+'Summary 2221'!C33+'Summary 2439'!C33+'Summary 2682'!C33+'Summary 2855'!C33+#REF!+'Summary FLT104'!C33+'Summary FLT110'!C33+#REF!+#REF!+#REF!+'Summary 2037'!C33+'Summary 2817'!C33)/13</f>
        <v>#REF!</v>
      </c>
      <c r="D33" s="143" t="e">
        <f>('Summary  735'!D33+'Summary 2221'!D33+'Summary 2439'!D33+'Summary 2682'!D33+'Summary 2855'!D33+#REF!+'Summary FLT104'!D33+'Summary FLT110'!D33+#REF!+#REF!+#REF!+'Summary 2037'!D33+'Summary 2817'!D33)/13</f>
        <v>#REF!</v>
      </c>
      <c r="E33" s="143">
        <f>('Summary  735'!E33+'Summary 2221'!E33+'Summary 2439'!E33+'Summary 2682'!E33+'Summary 2855'!E33)/5</f>
        <v>0</v>
      </c>
      <c r="F33" s="143" t="e">
        <f>('Summary  735'!F33+'Summary 2221'!F33+'Summary 2439'!F33+'Summary 2682'!F33+'Summary 2855'!F33+#REF!+'Summary FLT104'!F33+'Summary FLT110'!F33+#REF!+#REF!+#REF!+'Summary 2037'!F33+'Summary 2817'!F33)/13</f>
        <v>#REF!</v>
      </c>
      <c r="G33" s="143" t="e">
        <f>('Summary  735'!G33+'Summary 2221'!G33+'Summary 2439'!G33+'Summary 2682'!G33+'Summary 2855'!G33+#REF!+'Summary FLT104'!G33+'Summary FLT110'!G33+#REF!+#REF!+#REF!+'Summary 2037'!G33+'Summary 2817'!G33)/13</f>
        <v>#REF!</v>
      </c>
    </row>
    <row r="34" spans="1:7" ht="15" thickBot="1">
      <c r="A34" s="139" t="s">
        <v>185</v>
      </c>
      <c r="B34" s="143">
        <f>('Summary  735'!B34+'Summary 2221'!B34+'Summary 2439'!B34+'Summary 2682'!B34+'Summary 2855'!B34)/5</f>
        <v>0</v>
      </c>
      <c r="C34" s="143" t="e">
        <f>('Summary  735'!C34+'Summary 2221'!C34+'Summary 2439'!C34+'Summary 2682'!C34+'Summary 2855'!C34+#REF!+'Summary FLT104'!C34+'Summary FLT110'!C34+#REF!+#REF!+#REF!+'Summary 2037'!C34+'Summary 2817'!C34)/13</f>
        <v>#REF!</v>
      </c>
      <c r="D34" s="143" t="e">
        <f>('Summary  735'!D34+'Summary 2221'!D34+'Summary 2439'!D34+'Summary 2682'!D34+'Summary 2855'!D34+#REF!+'Summary FLT104'!D34+'Summary FLT110'!D34+#REF!+#REF!+#REF!+'Summary 2037'!D34+'Summary 2817'!D34)/13</f>
        <v>#REF!</v>
      </c>
      <c r="E34" s="143">
        <f>('Summary  735'!E34+'Summary 2221'!E34+'Summary 2439'!E34+'Summary 2682'!E34+'Summary 2855'!E34)/5</f>
        <v>0</v>
      </c>
      <c r="F34" s="143" t="e">
        <f>('Summary  735'!F34+'Summary 2221'!F34+'Summary 2439'!F34+'Summary 2682'!F34+'Summary 2855'!F34+#REF!+'Summary FLT104'!F34+'Summary FLT110'!F34+#REF!+#REF!+#REF!+'Summary 2037'!F34+'Summary 2817'!F34)/13</f>
        <v>#REF!</v>
      </c>
      <c r="G34" s="143" t="e">
        <f>('Summary  735'!G34+'Summary 2221'!G34+'Summary 2439'!G34+'Summary 2682'!G34+'Summary 2855'!G34+#REF!+'Summary FLT104'!G34+'Summary FLT110'!G34+#REF!+#REF!+#REF!+'Summary 2037'!G34+'Summary 2817'!G34)/13</f>
        <v>#REF!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6">IFERROR(B31/B7," ")</f>
        <v xml:space="preserve"> </v>
      </c>
      <c r="C38" s="143" t="str">
        <f t="shared" si="6"/>
        <v xml:space="preserve"> </v>
      </c>
      <c r="D38" s="143" t="str">
        <f t="shared" si="6"/>
        <v xml:space="preserve"> </v>
      </c>
      <c r="E38" s="143">
        <f t="shared" si="6"/>
        <v>0</v>
      </c>
      <c r="F38" s="143" t="str">
        <f t="shared" si="6"/>
        <v xml:space="preserve"> </v>
      </c>
      <c r="G38" s="143" t="str">
        <f t="shared" si="6"/>
        <v xml:space="preserve"> </v>
      </c>
    </row>
    <row r="39" spans="1:7" ht="15" thickBot="1">
      <c r="A39" s="139" t="s">
        <v>164</v>
      </c>
      <c r="B39" s="143" t="str">
        <f t="shared" ref="B39:G39" si="7">IFERROR(B32/B7," ")</f>
        <v xml:space="preserve"> </v>
      </c>
      <c r="C39" s="143" t="str">
        <f t="shared" si="7"/>
        <v xml:space="preserve"> </v>
      </c>
      <c r="D39" s="143" t="str">
        <f t="shared" si="7"/>
        <v xml:space="preserve"> </v>
      </c>
      <c r="E39" s="143">
        <f t="shared" si="7"/>
        <v>0</v>
      </c>
      <c r="F39" s="143" t="str">
        <f t="shared" si="7"/>
        <v xml:space="preserve"> </v>
      </c>
      <c r="G39" s="143" t="str">
        <f t="shared" si="7"/>
        <v xml:space="preserve"> 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>
        <f>IFERROR(E33/E7," ")</f>
        <v>0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" thickBot="1">
      <c r="A41" s="139" t="s">
        <v>185</v>
      </c>
      <c r="B41" s="143" t="str">
        <f t="shared" ref="B41:G41" si="8">IFERROR(B34/B7," ")</f>
        <v xml:space="preserve"> </v>
      </c>
      <c r="C41" s="143" t="str">
        <f t="shared" si="8"/>
        <v xml:space="preserve"> </v>
      </c>
      <c r="D41" s="143" t="str">
        <f t="shared" si="8"/>
        <v xml:space="preserve"> </v>
      </c>
      <c r="E41" s="143">
        <f t="shared" si="8"/>
        <v>0</v>
      </c>
      <c r="F41" s="143" t="str">
        <f t="shared" si="8"/>
        <v xml:space="preserve"> </v>
      </c>
      <c r="G41" s="143" t="str">
        <f t="shared" si="8"/>
        <v xml:space="preserve"> 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91AC8-383E-43B9-B42B-4227F35AB339}">
  <sheetPr>
    <tabColor theme="7" tint="0.59999389629810485"/>
  </sheetPr>
  <dimension ref="A1:M109"/>
  <sheetViews>
    <sheetView zoomScaleNormal="100" workbookViewId="0">
      <selection activeCell="E32" sqref="E3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4" width="12.5703125" style="140" bestFit="1" customWidth="1"/>
    <col min="5" max="5" width="15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 t="e">
        <f>#REF!+'Summary FLT104'!H2+'Summary FLT110'!H2+#REF!+#REF!+#REF!+'Summary 2037'!H2+'Summary 2817'!H2</f>
        <v>#REF!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737</v>
      </c>
      <c r="G3" s="145" t="s">
        <v>145</v>
      </c>
      <c r="H3" s="251" t="e">
        <f>H4/12</f>
        <v>#REF!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 t="e">
        <f>H2*52</f>
        <v>#REF!</v>
      </c>
      <c r="J4" s="235" t="e">
        <f>H17*H4</f>
        <v>#REF!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 t="e">
        <f>(#REF!+'Summary FLT104'!B10+'Summary FLT110'!B10+#REF!+#REF!+#REF!)/6</f>
        <v>#REF!</v>
      </c>
      <c r="C10" s="143" t="e">
        <f>(#REF!+'Summary FLT104'!C10+'Summary FLT110'!C10+#REF!+#REF!+#REF!)/6</f>
        <v>#REF!</v>
      </c>
      <c r="D10" s="143" t="e">
        <f>(#REF!+'Summary FLT104'!D10+'Summary FLT110'!D10+#REF!+#REF!+#REF!)/6</f>
        <v>#REF!</v>
      </c>
      <c r="E10" s="143" t="e">
        <f>(#REF!+'Summary FLT104'!E10+'Summary FLT110'!E10+#REF!+#REF!+#REF!)/6</f>
        <v>#REF!</v>
      </c>
      <c r="F10" s="143" t="e">
        <f>(#REF!+'Summary FLT104'!F10+'Summary FLT110'!F10+#REF!+#REF!+#REF!)/6</f>
        <v>#REF!</v>
      </c>
      <c r="G10" s="143" t="e">
        <f>(#REF!+'Summary FLT104'!G10+'Summary FLT110'!G10+#REF!+#REF!+#REF!)/6</f>
        <v>#REF!</v>
      </c>
      <c r="H10" s="143" t="e">
        <f>(#REF!+'Summary FLT104'!H10+'Summary FLT110'!H10+#REF!+#REF!+#REF!)/6</f>
        <v>#REF!</v>
      </c>
      <c r="J10" s="142" t="e">
        <f>H10*$H$4</f>
        <v>#REF!</v>
      </c>
    </row>
    <row r="11" spans="1:13" ht="15" thickBot="1">
      <c r="A11" s="139" t="s">
        <v>163</v>
      </c>
      <c r="B11" s="143" t="e">
        <f>(#REF!+'Summary FLT104'!B11+'Summary FLT110'!B11+#REF!+#REF!+#REF!)/6</f>
        <v>#REF!</v>
      </c>
      <c r="C11" s="143" t="e">
        <f>(#REF!+'Summary FLT104'!C11+'Summary FLT110'!C11+#REF!+#REF!+#REF!)/6</f>
        <v>#REF!</v>
      </c>
      <c r="D11" s="143" t="e">
        <f>(#REF!+'Summary FLT104'!D11+'Summary FLT110'!D11+#REF!+#REF!+#REF!)/6</f>
        <v>#REF!</v>
      </c>
      <c r="E11" s="143" t="e">
        <f>(#REF!+'Summary FLT104'!E11+'Summary FLT110'!E11+#REF!+#REF!+#REF!)/6</f>
        <v>#REF!</v>
      </c>
      <c r="F11" s="143" t="e">
        <f>(#REF!+'Summary FLT104'!F11+'Summary FLT110'!F11+#REF!+#REF!+#REF!)/6</f>
        <v>#REF!</v>
      </c>
      <c r="G11" s="143" t="e">
        <f>(#REF!+'Summary FLT104'!G11+'Summary FLT110'!G11+#REF!+#REF!+#REF!)/6</f>
        <v>#REF!</v>
      </c>
      <c r="H11" s="143" t="e">
        <f>(#REF!+'Summary FLT104'!H11+'Summary FLT110'!H11+#REF!+#REF!+#REF!)/6</f>
        <v>#REF!</v>
      </c>
      <c r="I11" s="181" t="e">
        <f>I12*45%</f>
        <v>#REF!</v>
      </c>
      <c r="J11" s="142" t="e">
        <f>H11*$H$4</f>
        <v>#REF!</v>
      </c>
    </row>
    <row r="12" spans="1:13" ht="15" thickBot="1">
      <c r="A12" s="139" t="s">
        <v>164</v>
      </c>
      <c r="B12" s="143" t="e">
        <f>(#REF!+'Summary FLT104'!B12+'Summary FLT110'!B12+#REF!+#REF!+#REF!)/6</f>
        <v>#REF!</v>
      </c>
      <c r="C12" s="143" t="e">
        <f>(#REF!+'Summary FLT104'!C12+'Summary FLT110'!C12+#REF!+#REF!+#REF!)/6</f>
        <v>#REF!</v>
      </c>
      <c r="D12" s="143" t="e">
        <f>(#REF!+'Summary FLT104'!D12+'Summary FLT110'!D12+#REF!+#REF!+#REF!)/6</f>
        <v>#REF!</v>
      </c>
      <c r="E12" s="143" t="e">
        <f>(#REF!+'Summary FLT104'!E12+'Summary FLT110'!E12+#REF!+#REF!+#REF!)/6</f>
        <v>#REF!</v>
      </c>
      <c r="F12" s="143" t="e">
        <f>(#REF!+'Summary FLT104'!F12+'Summary FLT110'!F12+#REF!+#REF!+#REF!)/6</f>
        <v>#REF!</v>
      </c>
      <c r="G12" s="143" t="e">
        <f>(#REF!+'Summary FLT104'!G12+'Summary FLT110'!G12+#REF!+#REF!+#REF!)/6</f>
        <v>#REF!</v>
      </c>
      <c r="H12" s="143" t="e">
        <f>(#REF!+'Summary FLT104'!H12+'Summary FLT110'!H12+#REF!+#REF!+#REF!)/6</f>
        <v>#REF!</v>
      </c>
      <c r="I12" s="253" t="e">
        <f>H11+H12</f>
        <v>#REF!</v>
      </c>
      <c r="J12" s="142" t="e">
        <f t="shared" ref="J12:J17" si="1">H12*$H$4</f>
        <v>#REF!</v>
      </c>
    </row>
    <row r="13" spans="1:13" ht="15" thickBot="1">
      <c r="A13" s="139" t="s">
        <v>165</v>
      </c>
      <c r="B13" s="143" t="e">
        <f>(#REF!+'Summary FLT104'!B13+'Summary FLT110'!B13+#REF!+#REF!+#REF!)/6</f>
        <v>#REF!</v>
      </c>
      <c r="C13" s="143" t="e">
        <f>(#REF!+'Summary FLT104'!C13+'Summary FLT110'!C13+#REF!+#REF!+#REF!)/6</f>
        <v>#REF!</v>
      </c>
      <c r="D13" s="143" t="e">
        <f>(#REF!+'Summary FLT104'!D13+'Summary FLT110'!D13+#REF!+#REF!+#REF!)/6</f>
        <v>#REF!</v>
      </c>
      <c r="E13" s="143" t="e">
        <f>(#REF!+'Summary FLT104'!E13+'Summary FLT110'!E13+#REF!+#REF!+#REF!)/6</f>
        <v>#REF!</v>
      </c>
      <c r="F13" s="143" t="e">
        <f>(#REF!+'Summary FLT104'!F13+'Summary FLT110'!F13+#REF!+#REF!+#REF!)/6</f>
        <v>#REF!</v>
      </c>
      <c r="G13" s="143" t="e">
        <f>(#REF!+'Summary FLT104'!G13+'Summary FLT110'!G13+#REF!+#REF!+#REF!)/6</f>
        <v>#REF!</v>
      </c>
      <c r="H13" s="143" t="e">
        <f>(#REF!+'Summary FLT104'!H13+'Summary FLT110'!H13+#REF!+#REF!+#REF!)/6</f>
        <v>#REF!</v>
      </c>
      <c r="J13" s="142" t="e">
        <f t="shared" si="1"/>
        <v>#REF!</v>
      </c>
    </row>
    <row r="14" spans="1:13" ht="15" thickBot="1">
      <c r="A14" s="139" t="s">
        <v>166</v>
      </c>
      <c r="B14" s="143" t="e">
        <f>(#REF!+'Summary FLT104'!B14+'Summary FLT110'!B14+#REF!+#REF!+#REF!)/6</f>
        <v>#REF!</v>
      </c>
      <c r="C14" s="143" t="e">
        <f>(#REF!+'Summary FLT104'!C14+'Summary FLT110'!C14+#REF!+#REF!+#REF!)/6</f>
        <v>#REF!</v>
      </c>
      <c r="D14" s="143" t="e">
        <f>(#REF!+'Summary FLT104'!D14+'Summary FLT110'!D14+#REF!+#REF!+#REF!)/6</f>
        <v>#REF!</v>
      </c>
      <c r="E14" s="143" t="e">
        <f>(#REF!+'Summary FLT104'!E14+'Summary FLT110'!E14+#REF!+#REF!+#REF!)/6</f>
        <v>#REF!</v>
      </c>
      <c r="F14" s="143" t="e">
        <f>(#REF!+'Summary FLT104'!F14+'Summary FLT110'!F14+#REF!+#REF!+#REF!)/6</f>
        <v>#REF!</v>
      </c>
      <c r="G14" s="143" t="e">
        <f>(#REF!+'Summary FLT104'!G14+'Summary FLT110'!G14+#REF!+#REF!+#REF!)/6</f>
        <v>#REF!</v>
      </c>
      <c r="H14" s="143" t="e">
        <f>(#REF!+'Summary FLT104'!H14+'Summary FLT110'!H14+#REF!+#REF!+#REF!)/6</f>
        <v>#REF!</v>
      </c>
      <c r="J14" s="142" t="e">
        <f t="shared" si="1"/>
        <v>#REF!</v>
      </c>
      <c r="L14" s="161" t="s">
        <v>167</v>
      </c>
      <c r="M14" s="161"/>
    </row>
    <row r="15" spans="1:13" ht="15" thickBot="1">
      <c r="A15" s="139" t="s">
        <v>168</v>
      </c>
      <c r="B15" s="143" t="e">
        <f>(#REF!+'Summary FLT104'!B15+'Summary FLT110'!B15+#REF!+#REF!+#REF!)/6</f>
        <v>#REF!</v>
      </c>
      <c r="C15" s="143" t="e">
        <f>(#REF!+'Summary FLT104'!C15+'Summary FLT110'!C15+#REF!+#REF!+#REF!)/6</f>
        <v>#REF!</v>
      </c>
      <c r="D15" s="143" t="e">
        <f>(#REF!+'Summary FLT104'!D15+'Summary FLT110'!D15+#REF!+#REF!+#REF!)/6</f>
        <v>#REF!</v>
      </c>
      <c r="E15" s="143" t="e">
        <f>(#REF!+'Summary FLT104'!E15+'Summary FLT110'!E15+#REF!+#REF!+#REF!)/6</f>
        <v>#REF!</v>
      </c>
      <c r="F15" s="143" t="e">
        <f>(#REF!+'Summary FLT104'!F15+'Summary FLT110'!F15+#REF!+#REF!+#REF!)/6</f>
        <v>#REF!</v>
      </c>
      <c r="G15" s="143" t="e">
        <f>(#REF!+'Summary FLT104'!G15+'Summary FLT110'!G15+#REF!+#REF!+#REF!)/6</f>
        <v>#REF!</v>
      </c>
      <c r="H15" s="143" t="e">
        <f>(#REF!+'Summary FLT104'!H15+'Summary FLT110'!H15+#REF!+#REF!+#REF!)/6</f>
        <v>#REF!</v>
      </c>
      <c r="I15" s="181"/>
      <c r="J15" s="142" t="e">
        <f t="shared" si="1"/>
        <v>#REF!</v>
      </c>
      <c r="L15" s="241" t="e">
        <f>J12+J15</f>
        <v>#REF!</v>
      </c>
      <c r="M15" s="243">
        <v>1</v>
      </c>
    </row>
    <row r="16" spans="1:13" ht="15" thickBot="1">
      <c r="A16" s="139" t="s">
        <v>169</v>
      </c>
      <c r="B16" s="143" t="e">
        <f>(#REF!+'Summary FLT104'!B16+'Summary FLT110'!B16+#REF!+#REF!+#REF!)/6</f>
        <v>#REF!</v>
      </c>
      <c r="C16" s="143" t="e">
        <f>(#REF!+'Summary FLT104'!C16+'Summary FLT110'!C16+#REF!+#REF!+#REF!)/6</f>
        <v>#REF!</v>
      </c>
      <c r="D16" s="143" t="e">
        <f>(#REF!+'Summary FLT104'!D16+'Summary FLT110'!D16+#REF!+#REF!+#REF!)/6</f>
        <v>#REF!</v>
      </c>
      <c r="E16" s="143" t="e">
        <f>(#REF!+'Summary FLT104'!E16+'Summary FLT110'!E16+#REF!+#REF!+#REF!)/6</f>
        <v>#REF!</v>
      </c>
      <c r="F16" s="143" t="e">
        <f>(#REF!+'Summary FLT104'!F16+'Summary FLT110'!F16+#REF!+#REF!+#REF!)/6</f>
        <v>#REF!</v>
      </c>
      <c r="G16" s="143" t="e">
        <f>(#REF!+'Summary FLT104'!G16+'Summary FLT110'!G16+#REF!+#REF!+#REF!)/6</f>
        <v>#REF!</v>
      </c>
      <c r="H16" s="143" t="e">
        <f>(#REF!+'Summary FLT104'!H16+'Summary FLT110'!H16+#REF!+#REF!+#REF!)/6</f>
        <v>#REF!</v>
      </c>
      <c r="I16" s="159"/>
      <c r="J16" s="142" t="e">
        <f t="shared" si="1"/>
        <v>#REF!</v>
      </c>
      <c r="L16" s="242" t="e">
        <f>L15*M16</f>
        <v>#REF!</v>
      </c>
      <c r="M16" s="243">
        <v>0.8</v>
      </c>
    </row>
    <row r="17" spans="1:13" ht="15" thickBot="1">
      <c r="A17" s="162" t="s">
        <v>170</v>
      </c>
      <c r="B17" s="163" t="e">
        <f>SUM(B11:B16)</f>
        <v>#REF!</v>
      </c>
      <c r="C17" s="163" t="e">
        <f>SUM(C11:C16)</f>
        <v>#REF!</v>
      </c>
      <c r="D17" s="163" t="e">
        <f>SUM(D10:D16)</f>
        <v>#REF!</v>
      </c>
      <c r="E17" s="163" t="e">
        <f>SUM(E10:E16)</f>
        <v>#REF!</v>
      </c>
      <c r="F17" s="163" t="e">
        <f>SUM(F10:F16)</f>
        <v>#REF!</v>
      </c>
      <c r="G17" s="163" t="e">
        <f>SUM(G10:G16)</f>
        <v>#REF!</v>
      </c>
      <c r="H17" s="163" t="e">
        <f>SUM(H10:H16)</f>
        <v>#REF!</v>
      </c>
      <c r="J17" s="233" t="e">
        <f t="shared" si="1"/>
        <v>#REF!</v>
      </c>
      <c r="L17" s="242" t="e">
        <f>L15*M17</f>
        <v>#REF!</v>
      </c>
      <c r="M17" s="243">
        <v>0.2</v>
      </c>
    </row>
    <row r="18" spans="1:13" ht="15" thickBot="1">
      <c r="A18" s="221"/>
      <c r="B18" s="222" t="e">
        <f>B17</f>
        <v>#REF!</v>
      </c>
      <c r="C18" s="222" t="e">
        <f>C17</f>
        <v>#REF!</v>
      </c>
      <c r="D18" s="222" t="e">
        <f>D17</f>
        <v>#REF!</v>
      </c>
      <c r="E18" s="222" t="e">
        <f>E17-E15-E16</f>
        <v>#REF!</v>
      </c>
      <c r="F18" s="222" t="e">
        <f>F17</f>
        <v>#REF!</v>
      </c>
      <c r="G18" s="222" t="e">
        <f>G17</f>
        <v>#REF!</v>
      </c>
      <c r="H18" s="222"/>
      <c r="I18" s="222" t="e">
        <f>E15+E16</f>
        <v>#REF!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 t="e">
        <f>E16</f>
        <v>#REF!</v>
      </c>
    </row>
    <row r="20" spans="1:13" ht="15" thickBot="1">
      <c r="A20" s="223" t="s">
        <v>175</v>
      </c>
      <c r="B20" s="143" t="e">
        <f>(#REF!+'Summary FLT104'!B20+'Summary FLT110'!B20+#REF!+#REF!+#REF!+'Summary 2037'!B20+'Summary 2817'!B20)/8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2">IFERROR(((B13+B14)/B8),0)</f>
        <v>0</v>
      </c>
      <c r="C25" s="143">
        <f t="shared" si="2"/>
        <v>0</v>
      </c>
      <c r="D25" s="143">
        <f t="shared" si="2"/>
        <v>0</v>
      </c>
      <c r="E25" s="143">
        <f t="shared" si="2"/>
        <v>0</v>
      </c>
      <c r="F25" s="143">
        <f t="shared" si="2"/>
        <v>0</v>
      </c>
      <c r="G25" s="143">
        <f t="shared" si="2"/>
        <v>0</v>
      </c>
    </row>
    <row r="26" spans="1:13" ht="15" thickBot="1">
      <c r="A26" s="139" t="s">
        <v>180</v>
      </c>
      <c r="B26" s="143">
        <f t="shared" ref="B26:G26" si="3">IFERROR((B10/B8),0)</f>
        <v>0</v>
      </c>
      <c r="C26" s="143">
        <f t="shared" si="3"/>
        <v>0</v>
      </c>
      <c r="D26" s="143">
        <f t="shared" si="3"/>
        <v>0</v>
      </c>
      <c r="E26" s="143">
        <f t="shared" si="3"/>
        <v>0</v>
      </c>
      <c r="F26" s="143">
        <f t="shared" si="3"/>
        <v>0</v>
      </c>
      <c r="G26" s="143">
        <f t="shared" si="3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/>
    </row>
    <row r="30" spans="1:13" ht="15" thickBot="1">
      <c r="A30" s="139" t="s">
        <v>162</v>
      </c>
      <c r="B30" s="143" t="e">
        <f>(#REF!+'Summary FLT104'!B30+'Summary FLT110'!B30+#REF!+#REF!+#REF!)/6</f>
        <v>#REF!</v>
      </c>
      <c r="C30" s="143" t="e">
        <f>(#REF!+'Summary FLT104'!C30+'Summary FLT110'!C30+#REF!+#REF!+#REF!)/6</f>
        <v>#REF!</v>
      </c>
      <c r="D30" s="143" t="e">
        <f>(#REF!+'Summary FLT104'!D30+'Summary FLT110'!D30+#REF!+#REF!+#REF!)/6</f>
        <v>#REF!</v>
      </c>
      <c r="E30" s="143" t="e">
        <f>(#REF!+'Summary FLT104'!E30+'Summary FLT110'!E30+#REF!+#REF!+#REF!)/6</f>
        <v>#REF!</v>
      </c>
      <c r="F30" s="143" t="e">
        <f>(#REF!+'Summary FLT104'!F30+'Summary FLT110'!F30+#REF!+#REF!+#REF!)/6</f>
        <v>#REF!</v>
      </c>
      <c r="G30" s="143" t="e">
        <f>(#REF!+'Summary FLT104'!G30+'Summary FLT110'!G30+#REF!+#REF!+#REF!)/6</f>
        <v>#REF!</v>
      </c>
    </row>
    <row r="31" spans="1:13" ht="15" thickBot="1">
      <c r="A31" s="139" t="s">
        <v>163</v>
      </c>
      <c r="B31" s="143" t="e">
        <f>(#REF!+'Summary FLT104'!B31+'Summary FLT110'!B31+#REF!+#REF!+#REF!)/6</f>
        <v>#REF!</v>
      </c>
      <c r="C31" s="143" t="e">
        <f>(#REF!+'Summary FLT104'!C31+'Summary FLT110'!C31+#REF!+#REF!+#REF!)/6</f>
        <v>#REF!</v>
      </c>
      <c r="D31" s="143" t="e">
        <f>(#REF!+'Summary FLT104'!D31+'Summary FLT110'!D31+#REF!+#REF!+#REF!)/6</f>
        <v>#REF!</v>
      </c>
      <c r="E31" s="143" t="e">
        <f>(#REF!+'Summary FLT104'!E31+'Summary FLT110'!E31+#REF!+#REF!+#REF!)/6</f>
        <v>#REF!</v>
      </c>
      <c r="F31" s="143" t="e">
        <f>(#REF!+'Summary FLT104'!F31+'Summary FLT110'!F31+#REF!+#REF!+#REF!)/6</f>
        <v>#REF!</v>
      </c>
      <c r="G31" s="143" t="e">
        <f>(#REF!+'Summary FLT104'!G31+'Summary FLT110'!G31+#REF!+#REF!+#REF!)/6</f>
        <v>#REF!</v>
      </c>
    </row>
    <row r="32" spans="1:13" ht="15" thickBot="1">
      <c r="A32" s="139" t="s">
        <v>164</v>
      </c>
      <c r="B32" s="143" t="e">
        <f>(#REF!+'Summary FLT104'!B32+'Summary FLT110'!B32+#REF!+#REF!+#REF!)/6</f>
        <v>#REF!</v>
      </c>
      <c r="C32" s="143" t="e">
        <f>(#REF!+'Summary FLT104'!C32+'Summary FLT110'!C32+#REF!+#REF!+#REF!)/6</f>
        <v>#REF!</v>
      </c>
      <c r="D32" s="143" t="e">
        <f>(#REF!+'Summary FLT104'!D32+'Summary FLT110'!D32+#REF!+#REF!+#REF!)/6</f>
        <v>#REF!</v>
      </c>
      <c r="E32" s="143" t="e">
        <f>(#REF!+'Summary FLT104'!E32+'Summary FLT110'!E32+#REF!+#REF!+#REF!)/6</f>
        <v>#REF!</v>
      </c>
      <c r="F32" s="143" t="e">
        <f>(#REF!+'Summary FLT104'!F32+'Summary FLT110'!F32+#REF!+#REF!+#REF!)/6</f>
        <v>#REF!</v>
      </c>
      <c r="G32" s="143" t="e">
        <f>(#REF!+'Summary FLT104'!G32+'Summary FLT110'!G32+#REF!+#REF!+#REF!)/6</f>
        <v>#REF!</v>
      </c>
    </row>
    <row r="33" spans="1:7" ht="15" thickBot="1">
      <c r="A33" s="139" t="s">
        <v>184</v>
      </c>
      <c r="B33" s="143" t="e">
        <f>(#REF!+'Summary FLT104'!B33+'Summary FLT110'!B33+#REF!+#REF!+#REF!)/6</f>
        <v>#REF!</v>
      </c>
      <c r="C33" s="143" t="e">
        <f>(#REF!+'Summary FLT104'!C33+'Summary FLT110'!C33+#REF!+#REF!+#REF!)/6</f>
        <v>#REF!</v>
      </c>
      <c r="D33" s="143" t="e">
        <f>(#REF!+'Summary FLT104'!D33+'Summary FLT110'!D33+#REF!+#REF!+#REF!)/6</f>
        <v>#REF!</v>
      </c>
      <c r="E33" s="143" t="e">
        <f>(#REF!+'Summary FLT104'!E33+'Summary FLT110'!E33+#REF!+#REF!+#REF!)/6</f>
        <v>#REF!</v>
      </c>
      <c r="F33" s="143" t="e">
        <f>(#REF!+'Summary FLT104'!F33+'Summary FLT110'!F33+#REF!+#REF!+#REF!)/6</f>
        <v>#REF!</v>
      </c>
      <c r="G33" s="143" t="e">
        <f>(#REF!+'Summary FLT104'!G33+'Summary FLT110'!G33+#REF!+#REF!+#REF!)/6</f>
        <v>#REF!</v>
      </c>
    </row>
    <row r="34" spans="1:7" ht="15" thickBot="1">
      <c r="A34" s="139" t="s">
        <v>185</v>
      </c>
      <c r="B34" s="143" t="e">
        <f>(#REF!+'Summary FLT104'!B34+'Summary FLT110'!B34+#REF!+#REF!+#REF!)/6</f>
        <v>#REF!</v>
      </c>
      <c r="C34" s="143" t="e">
        <f>(#REF!+'Summary FLT104'!C34+'Summary FLT110'!C34+#REF!+#REF!+#REF!)/6</f>
        <v>#REF!</v>
      </c>
      <c r="D34" s="143" t="e">
        <f>(#REF!+'Summary FLT104'!D34+'Summary FLT110'!D34+#REF!+#REF!+#REF!)/6</f>
        <v>#REF!</v>
      </c>
      <c r="E34" s="143" t="e">
        <f>(#REF!+'Summary FLT104'!E34+'Summary FLT110'!E34+#REF!+#REF!+#REF!)/6</f>
        <v>#REF!</v>
      </c>
      <c r="F34" s="143" t="e">
        <f>(#REF!+'Summary FLT104'!F34+'Summary FLT110'!F34+#REF!+#REF!+#REF!)/6</f>
        <v>#REF!</v>
      </c>
      <c r="G34" s="143" t="e">
        <f>(#REF!+'Summary FLT104'!G34+'Summary FLT110'!G34+#REF!+#REF!+#REF!)/6</f>
        <v>#REF!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4">IFERROR(B31/B7," ")</f>
        <v xml:space="preserve"> </v>
      </c>
      <c r="C38" s="143" t="str">
        <f t="shared" si="4"/>
        <v xml:space="preserve"> </v>
      </c>
      <c r="D38" s="143" t="str">
        <f t="shared" si="4"/>
        <v xml:space="preserve"> </v>
      </c>
      <c r="E38" s="143" t="str">
        <f t="shared" si="4"/>
        <v xml:space="preserve"> </v>
      </c>
      <c r="F38" s="143" t="str">
        <f t="shared" si="4"/>
        <v xml:space="preserve"> </v>
      </c>
      <c r="G38" s="143" t="str">
        <f t="shared" si="4"/>
        <v xml:space="preserve"> </v>
      </c>
    </row>
    <row r="39" spans="1:7" ht="15" thickBot="1">
      <c r="A39" s="139" t="s">
        <v>164</v>
      </c>
      <c r="B39" s="143" t="str">
        <f t="shared" ref="B39:G39" si="5">IFERROR(B32/B7," ")</f>
        <v xml:space="preserve"> </v>
      </c>
      <c r="C39" s="143" t="str">
        <f t="shared" si="5"/>
        <v xml:space="preserve"> </v>
      </c>
      <c r="D39" s="143" t="str">
        <f t="shared" si="5"/>
        <v xml:space="preserve"> </v>
      </c>
      <c r="E39" s="143" t="str">
        <f t="shared" si="5"/>
        <v xml:space="preserve"> </v>
      </c>
      <c r="F39" s="143" t="str">
        <f t="shared" si="5"/>
        <v xml:space="preserve"> </v>
      </c>
      <c r="G39" s="143" t="str">
        <f t="shared" si="5"/>
        <v xml:space="preserve"> 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 t="str">
        <f>IFERROR(C33/C7," ")</f>
        <v xml:space="preserve"> </v>
      </c>
      <c r="D40" s="143" t="str">
        <f>IFERROR(D33/D7," ")</f>
        <v xml:space="preserve"> </v>
      </c>
      <c r="E40" s="143" t="str">
        <f>IFERROR(E33/E7," ")</f>
        <v xml:space="preserve"> </v>
      </c>
      <c r="F40" s="143" t="str">
        <f>IFERROR(F33/F7," ")</f>
        <v xml:space="preserve"> </v>
      </c>
      <c r="G40" s="143" t="str">
        <f>IFERROR(G33/G7," ")</f>
        <v xml:space="preserve"> </v>
      </c>
    </row>
    <row r="41" spans="1:7" ht="15" thickBot="1">
      <c r="A41" s="139" t="s">
        <v>185</v>
      </c>
      <c r="B41" s="143" t="str">
        <f t="shared" ref="B41:G41" si="6">IFERROR(B34/B7," ")</f>
        <v xml:space="preserve"> </v>
      </c>
      <c r="C41" s="143" t="str">
        <f t="shared" si="6"/>
        <v xml:space="preserve"> </v>
      </c>
      <c r="D41" s="143" t="str">
        <f t="shared" si="6"/>
        <v xml:space="preserve"> </v>
      </c>
      <c r="E41" s="143" t="str">
        <f t="shared" si="6"/>
        <v xml:space="preserve"> </v>
      </c>
      <c r="F41" s="143" t="str">
        <f t="shared" si="6"/>
        <v xml:space="preserve"> </v>
      </c>
      <c r="G41" s="143" t="str">
        <f t="shared" si="6"/>
        <v xml:space="preserve"> 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5FD0-ADC6-440D-9EF2-90964C0A2BDC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>
        <f>H17*H4</f>
        <v>0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735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F381-1FC3-44AD-8E87-E8817164C2AE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>
        <f>H17*H4</f>
        <v>0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2221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06E4-2588-4EBA-BD4A-0EDCF7600639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>
        <f>H17*H4</f>
        <v>0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2439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52AF-8104-4968-B21A-2891BF732178}">
  <sheetPr>
    <tabColor theme="4" tint="0.79998168889431442"/>
  </sheetPr>
  <dimension ref="A1:M109"/>
  <sheetViews>
    <sheetView zoomScale="85" zoomScaleNormal="85" workbookViewId="0">
      <selection activeCell="H2" sqref="H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>
        <f>H17*H4</f>
        <v>0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2682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C853-B964-4AEF-B269-762CC6D17930}">
  <sheetPr>
    <tabColor theme="4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>
        <f>H17*H4</f>
        <v>0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0</v>
      </c>
      <c r="F15" s="143">
        <v>0</v>
      </c>
      <c r="G15" s="143">
        <v>0</v>
      </c>
      <c r="H15" s="142">
        <f t="shared" si="2"/>
        <v>0</v>
      </c>
      <c r="I15" s="181"/>
      <c r="J15" s="142">
        <f t="shared" si="3"/>
        <v>0</v>
      </c>
      <c r="L15" s="241">
        <f>J12+J15</f>
        <v>0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0</v>
      </c>
      <c r="F16" s="144">
        <v>0</v>
      </c>
      <c r="G16" s="144">
        <v>0</v>
      </c>
      <c r="H16" s="142">
        <f t="shared" si="2"/>
        <v>0</v>
      </c>
      <c r="I16" s="159"/>
      <c r="J16" s="142">
        <f t="shared" si="3"/>
        <v>0</v>
      </c>
      <c r="L16" s="242">
        <f>L15*M16</f>
        <v>0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>
        <f>SUM(E10:E16)</f>
        <v>0</v>
      </c>
      <c r="F17" s="163">
        <f>SUM(F10:F16)</f>
        <v>0</v>
      </c>
      <c r="G17" s="163">
        <f>SUM(G10:G16)</f>
        <v>0</v>
      </c>
      <c r="H17" s="163">
        <f>SUM(H10:H16)</f>
        <v>0</v>
      </c>
      <c r="J17" s="233">
        <f t="shared" si="3"/>
        <v>0</v>
      </c>
      <c r="L17" s="242">
        <f>L15*M17</f>
        <v>0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>
        <f>E17-E15-E16</f>
        <v>0</v>
      </c>
      <c r="F18" s="222">
        <f>F17</f>
        <v>0</v>
      </c>
      <c r="G18" s="222">
        <f>G17</f>
        <v>0</v>
      </c>
      <c r="H18" s="222"/>
      <c r="I18" s="222">
        <f>E15+E16</f>
        <v>0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0</v>
      </c>
    </row>
    <row r="20" spans="1:13" ht="15" thickBot="1">
      <c r="A20" s="223" t="s">
        <v>187</v>
      </c>
      <c r="B20" s="224">
        <f>Handling!C56</f>
        <v>0</v>
      </c>
      <c r="C20" s="224">
        <f>B20*'P&amp;L'!$R$10</f>
        <v>0</v>
      </c>
      <c r="D20" s="224">
        <f>SUM(B20:C20)</f>
        <v>0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2855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>C37*C8</f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51CF-04A3-46AE-A581-DD8334778DA3}">
  <sheetPr>
    <tabColor theme="5" tint="0.79998168889431442"/>
  </sheetPr>
  <dimension ref="A1:M109"/>
  <sheetViews>
    <sheetView zoomScale="85" zoomScaleNormal="85" workbookViewId="0">
      <selection activeCell="J19" sqref="J19:J20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7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30.333333333333332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364</v>
      </c>
      <c r="J4" s="235">
        <f>H17*H4</f>
        <v>2022553.3983199999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188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549.9704999999999</v>
      </c>
      <c r="D11" s="143">
        <f>IFERROR(D38*$D$8,0)</f>
        <v>538.30949999999984</v>
      </c>
      <c r="E11" s="143">
        <f>IFERROR(E38*$E$8,0)</f>
        <v>773.17500000000007</v>
      </c>
      <c r="F11" s="143">
        <f>IFERROR(F38*$F$8,0)</f>
        <v>0</v>
      </c>
      <c r="G11" s="143">
        <f>IFERROR(G38*G8,0)</f>
        <v>185.58000000000004</v>
      </c>
      <c r="H11" s="142">
        <f t="shared" si="2"/>
        <v>2047.0349999999999</v>
      </c>
      <c r="I11" s="181">
        <f>I12*45%</f>
        <v>1443.0446999999999</v>
      </c>
      <c r="J11" s="142">
        <f>H11*$H$4</f>
        <v>745120.74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214.28100000000001</v>
      </c>
      <c r="D12" s="143">
        <f>IFERROR(D39*$D$8,0)</f>
        <v>252.56000000000003</v>
      </c>
      <c r="E12" s="143">
        <f>IFERROR(E39*$E$8,0)</f>
        <v>610.09</v>
      </c>
      <c r="F12" s="143">
        <f>IFERROR(F39*$F$8,0)</f>
        <v>0</v>
      </c>
      <c r="G12" s="143">
        <f>IFERROR(G39*G8,0)</f>
        <v>82.8</v>
      </c>
      <c r="H12" s="142">
        <f t="shared" si="2"/>
        <v>1159.731</v>
      </c>
      <c r="I12" s="253">
        <f>H11+H12</f>
        <v>3206.7659999999996</v>
      </c>
      <c r="J12" s="142">
        <f t="shared" ref="J12:J17" si="3">H12*$H$4</f>
        <v>422142.08399999997</v>
      </c>
    </row>
    <row r="13" spans="1:13" ht="15" thickBot="1">
      <c r="A13" s="139" t="s">
        <v>165</v>
      </c>
      <c r="B13" s="143">
        <f t="shared" ref="B13:B14" si="4">IFERROR(B40*B9,0)</f>
        <v>0</v>
      </c>
      <c r="C13" s="143">
        <f>IFERROR(C40*$C$8,0)</f>
        <v>71.496164999999962</v>
      </c>
      <c r="D13" s="143">
        <f>IFERROR(D40*$D$8,0)</f>
        <v>69.980234999999936</v>
      </c>
      <c r="E13" s="143">
        <f>IFERROR(E40*$E$8,0)</f>
        <v>100.51274999999993</v>
      </c>
      <c r="F13" s="143">
        <f>IFERROR(F40*$F$8,0)</f>
        <v>0</v>
      </c>
      <c r="G13" s="143">
        <f>IFERROR(G40*$G$8,0)</f>
        <v>24.125399999999978</v>
      </c>
      <c r="H13" s="142">
        <f>SUM(B13:G13)</f>
        <v>266.11454999999978</v>
      </c>
      <c r="J13" s="142">
        <f t="shared" si="3"/>
        <v>96865.696199999918</v>
      </c>
    </row>
    <row r="14" spans="1:13" ht="15" thickBot="1">
      <c r="A14" s="139" t="s">
        <v>166</v>
      </c>
      <c r="B14" s="143">
        <f t="shared" si="4"/>
        <v>0</v>
      </c>
      <c r="C14" s="143">
        <f>IFERROR(C41*$C$8,0)</f>
        <v>27.856529999999982</v>
      </c>
      <c r="D14" s="143">
        <f>IFERROR(D41*$D$8,0)</f>
        <v>32.832799999999963</v>
      </c>
      <c r="E14" s="143">
        <f>IFERROR(E41*$E$8,0)</f>
        <v>79.311699999999902</v>
      </c>
      <c r="F14" s="143">
        <f>IFERROR(F41*$F$8,0)</f>
        <v>0</v>
      </c>
      <c r="G14" s="143">
        <f>IFERROR(G41*$G$8,0)</f>
        <v>10.76399999999999</v>
      </c>
      <c r="H14" s="142">
        <f t="shared" si="2"/>
        <v>150.76502999999983</v>
      </c>
      <c r="J14" s="142">
        <f t="shared" si="3"/>
        <v>54878.470919999934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1710.4600000000003</v>
      </c>
      <c r="F15" s="143">
        <v>0</v>
      </c>
      <c r="G15" s="143">
        <f>IFERROR(G42*$G$8,0)</f>
        <v>0</v>
      </c>
      <c r="H15" s="142">
        <f t="shared" si="2"/>
        <v>1710.4600000000003</v>
      </c>
      <c r="I15" s="181"/>
      <c r="J15" s="142">
        <f t="shared" si="3"/>
        <v>622607.44000000006</v>
      </c>
      <c r="L15" s="241">
        <f>J12+J15</f>
        <v>1044749.524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222.35980000000004</v>
      </c>
      <c r="F16" s="144">
        <v>0</v>
      </c>
      <c r="G16" s="143">
        <f>IFERROR(G43*$G$8,0)</f>
        <v>0</v>
      </c>
      <c r="H16" s="142">
        <f t="shared" si="2"/>
        <v>222.35980000000004</v>
      </c>
      <c r="I16" s="159"/>
      <c r="J16" s="142">
        <f t="shared" si="3"/>
        <v>80938.967200000014</v>
      </c>
      <c r="L16" s="242">
        <f>L15*M16</f>
        <v>835799.61920000007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863.60419499999989</v>
      </c>
      <c r="D17" s="163">
        <f>SUM(D10:D16)</f>
        <v>893.68253499999969</v>
      </c>
      <c r="E17" s="163">
        <f>SUM(E10:E16)</f>
        <v>3495.9092500000006</v>
      </c>
      <c r="F17" s="163">
        <f>SUM(F10:F16)</f>
        <v>0</v>
      </c>
      <c r="G17" s="163">
        <f>SUM(G10:G16)</f>
        <v>303.26940000000002</v>
      </c>
      <c r="H17" s="163">
        <f>SUM(H10:H16)</f>
        <v>5556.4653799999996</v>
      </c>
      <c r="J17" s="233">
        <f t="shared" si="3"/>
        <v>2022553.3983199999</v>
      </c>
      <c r="L17" s="242">
        <f>L15*M17</f>
        <v>208949.90480000002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863.60419499999989</v>
      </c>
      <c r="D18" s="222">
        <f>D17</f>
        <v>893.68253499999969</v>
      </c>
      <c r="E18" s="222">
        <f>E17-E15-E16</f>
        <v>1563.0894500000004</v>
      </c>
      <c r="F18" s="222">
        <f>F17</f>
        <v>0</v>
      </c>
      <c r="G18" s="222">
        <f>G17</f>
        <v>303.26940000000002</v>
      </c>
      <c r="H18" s="222"/>
      <c r="I18" s="222">
        <f>E15+E16</f>
        <v>1932.8198000000002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222.35980000000004</v>
      </c>
      <c r="J19" s="253">
        <f>H11+H12+H15</f>
        <v>4917.2259999999997</v>
      </c>
    </row>
    <row r="20" spans="1:13" ht="15" thickBot="1">
      <c r="A20" s="223" t="s">
        <v>187</v>
      </c>
      <c r="B20" s="388">
        <f>Handling!E83+Handling!R41+Handling!R47+Handling!X52+Handling!AC41</f>
        <v>1710.4600000000003</v>
      </c>
      <c r="C20" s="224">
        <f>B20*'P&amp;L'!$R$10</f>
        <v>222.35980000000004</v>
      </c>
      <c r="D20" s="224">
        <f>SUM(B20:C20)</f>
        <v>1932.8198000000002</v>
      </c>
      <c r="G20" s="181"/>
      <c r="J20" s="253">
        <f>H13+H14+H16</f>
        <v>639.23937999999964</v>
      </c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29.779454999999995</v>
      </c>
      <c r="D24" s="143">
        <f>IFERROR(((D10+D11+D12+D13+D14)/D8),0)</f>
        <v>21.797134999999994</v>
      </c>
      <c r="E24" s="143">
        <f>IFERROR(((E10+E11+E12+E13+E14)/E8),0)</f>
        <v>9.2490500000000004</v>
      </c>
      <c r="F24" s="143">
        <f>IFERROR(((F10+F11+F12+F13+F14)/F8),0)</f>
        <v>0</v>
      </c>
      <c r="G24" s="143">
        <f>IFERROR(((G10+G11+G12+G13+G14)/G8),0)</f>
        <v>50.544900000000005</v>
      </c>
    </row>
    <row r="25" spans="1:13" ht="15" thickBot="1">
      <c r="A25" s="139" t="s">
        <v>179</v>
      </c>
      <c r="B25" s="143">
        <f t="shared" ref="B25:G25" si="5">IFERROR(((B13+B14)/B8),0)</f>
        <v>0</v>
      </c>
      <c r="C25" s="143">
        <f>IFERROR(((C13+C14)/C8),0)</f>
        <v>3.4259549999999979</v>
      </c>
      <c r="D25" s="143">
        <f t="shared" si="5"/>
        <v>2.5076349999999974</v>
      </c>
      <c r="E25" s="143">
        <f>IFERROR(((E13+E14)/E8),0)</f>
        <v>1.0640499999999991</v>
      </c>
      <c r="F25" s="143">
        <f t="shared" si="5"/>
        <v>0</v>
      </c>
      <c r="G25" s="143">
        <f t="shared" si="5"/>
        <v>5.8148999999999944</v>
      </c>
    </row>
    <row r="26" spans="1:13" ht="15" thickBot="1">
      <c r="A26" s="139" t="s">
        <v>180</v>
      </c>
      <c r="B26" s="143">
        <f t="shared" ref="B26:G26" si="6">IFERROR((B10/B8),0)</f>
        <v>0</v>
      </c>
      <c r="C26" s="143">
        <f t="shared" si="6"/>
        <v>0</v>
      </c>
      <c r="D26" s="143">
        <f t="shared" si="6"/>
        <v>0</v>
      </c>
      <c r="E26" s="143">
        <f t="shared" si="6"/>
        <v>0</v>
      </c>
      <c r="F26" s="143">
        <f t="shared" si="6"/>
        <v>0</v>
      </c>
      <c r="G26" s="143">
        <f t="shared" si="6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104</v>
      </c>
    </row>
    <row r="30" spans="1:13" ht="15" thickBot="1">
      <c r="A30" s="139" t="s">
        <v>162</v>
      </c>
      <c r="B30" s="143">
        <f t="shared" ref="B30:G30" si="7">B37*B8</f>
        <v>0</v>
      </c>
      <c r="C30" s="143">
        <f t="shared" si="7"/>
        <v>0</v>
      </c>
      <c r="D30" s="143">
        <f t="shared" si="7"/>
        <v>0</v>
      </c>
      <c r="E30" s="143">
        <f t="shared" si="7"/>
        <v>0</v>
      </c>
      <c r="F30" s="143">
        <f t="shared" si="7"/>
        <v>0</v>
      </c>
      <c r="G30" s="143">
        <f t="shared" si="7"/>
        <v>0</v>
      </c>
    </row>
    <row r="31" spans="1:13" ht="15" thickBot="1">
      <c r="A31" s="139" t="s">
        <v>163</v>
      </c>
      <c r="B31" s="326">
        <f>IFERROR(IF($B$29=$B$29,SUMIF(Food!$C:$C,B$9&amp;$B$29&amp;$C$29,Food!$U:$U),0),"")+IFERROR(IF($B$29=$B$29,SUMIF(Food!$C:$C,B$9&amp;$B$29&amp;$C$29,Food!$T:$T),0),"")</f>
        <v>0</v>
      </c>
      <c r="C31" s="143">
        <f>IFERROR(IF($B$29=$B$29,SUMIF(Food!$C:$C,C$9&amp;$B$29&amp;$C$29,Food!$U:$U),0),"")</f>
        <v>644.79299999999989</v>
      </c>
      <c r="D31" s="143">
        <f>IFERROR(IF($B$29=$B$29,SUMIF(Food!$C:$C,D$9&amp;$B$29&amp;$C$29,Food!$U:$U),0),"")</f>
        <v>630.21599999999978</v>
      </c>
      <c r="E31" s="143">
        <f>IFERROR(IF($B$29=$B$29,SUMIF(Food!$C:$C,E$9&amp;$B$29&amp;$C$29,Food!$U:$U),0),"")</f>
        <v>905.85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185.58000000000004</v>
      </c>
      <c r="H31" s="308"/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251.226</v>
      </c>
      <c r="D32" s="143">
        <f>IFERROR(IF($B$29=$B$29,SUMIF(Food!$C:$C,D$9&amp;$B$29&amp;$C$29,Food!$W:$W),0),"")</f>
        <v>295.68000000000006</v>
      </c>
      <c r="E32" s="143">
        <f>IFERROR(IF($B$29=$B$29,SUMIF(Food!$C:$C,E$9&amp;$B$29&amp;$C$29,Food!$W:$W),0),"")</f>
        <v>714.78000000000009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82.8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83.823089999999951</v>
      </c>
      <c r="D33" s="143">
        <f>IFERROR(IF($B$29=$B$29,SUMIF(Food!$C:$C,D$9&amp;$B$29&amp;$C$29,Food!$Y:$Y),0),"")</f>
        <v>81.928079999999923</v>
      </c>
      <c r="E33" s="143">
        <f>IFERROR(IF($B$29=$B$29,SUMIF(Food!$C:$C,E$9&amp;$B$29&amp;$C$29,Food!$Y:$Y),0),"")</f>
        <v>117.76049999999991</v>
      </c>
      <c r="F33" s="143">
        <f>IFERROR(IF($B$29=$B$29,SUMIF(Food!$C:$C,F$9&amp;$B$29&amp;$C$29,Food!$Y:$Y),0),"")</f>
        <v>0</v>
      </c>
      <c r="G33" s="143">
        <f>IFERROR(IF($B$29=$B$29,SUMIF(Food!$C:$C,G$9&amp;$B$29&amp;$C$29,Food!$Y:$Y),0),"")</f>
        <v>24.125399999999981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32.659379999999977</v>
      </c>
      <c r="D34" s="143">
        <f>IFERROR(IF($B$29=$B$29,SUMIF(Food!$C:$C,D$9&amp;$B$29&amp;$C$29,Food!$Z:$Z),0),"")</f>
        <v>38.438399999999959</v>
      </c>
      <c r="E34" s="143">
        <f>IFERROR(IF($B$29=$B$29,SUMIF(Food!$C:$C,E$9&amp;$B$29&amp;$C$29,Food!$Z:$Z),0),"")</f>
        <v>92.921399999999892</v>
      </c>
      <c r="F34" s="143">
        <f>IFERROR(IF($B$29=$B$29,SUMIF(Food!$C:$C,F$9&amp;$B$29&amp;$C$29,Food!$Z:$Z),0),"")</f>
        <v>0</v>
      </c>
      <c r="G34" s="143">
        <f>IFERROR(IF($B$29=$B$29,SUMIF(Food!$C:$C,G$9&amp;$B$29&amp;$C$29,Food!$Z:$Z),0),"")</f>
        <v>10.76399999999999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8">IFERROR(B31/B7," ")</f>
        <v xml:space="preserve"> </v>
      </c>
      <c r="C38" s="143">
        <f t="shared" si="8"/>
        <v>18.964499999999997</v>
      </c>
      <c r="D38" s="143">
        <f t="shared" si="8"/>
        <v>13.129499999999995</v>
      </c>
      <c r="E38" s="143">
        <f t="shared" si="8"/>
        <v>4.5750000000000002</v>
      </c>
      <c r="F38" s="143" t="str">
        <f t="shared" si="8"/>
        <v xml:space="preserve"> </v>
      </c>
      <c r="G38" s="143">
        <f t="shared" si="8"/>
        <v>30.930000000000007</v>
      </c>
    </row>
    <row r="39" spans="1:7" ht="15" thickBot="1">
      <c r="A39" s="139" t="s">
        <v>164</v>
      </c>
      <c r="B39" s="143" t="str">
        <f t="shared" ref="B39:G39" si="9">IFERROR(B32/B7," ")</f>
        <v xml:space="preserve"> </v>
      </c>
      <c r="C39" s="143">
        <f>IFERROR(C32/C7," ")</f>
        <v>7.3890000000000002</v>
      </c>
      <c r="D39" s="143">
        <f t="shared" si="9"/>
        <v>6.160000000000001</v>
      </c>
      <c r="E39" s="143">
        <f t="shared" si="9"/>
        <v>3.6100000000000003</v>
      </c>
      <c r="F39" s="143" t="str">
        <f t="shared" si="9"/>
        <v xml:space="preserve"> </v>
      </c>
      <c r="G39" s="143">
        <f t="shared" si="9"/>
        <v>13.799999999999999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2.4653849999999986</v>
      </c>
      <c r="D40" s="143">
        <f>IFERROR(D33/D7," ")</f>
        <v>1.7068349999999983</v>
      </c>
      <c r="E40" s="143">
        <f>IFERROR(E33/E7," ")</f>
        <v>0.59474999999999956</v>
      </c>
      <c r="F40" s="143" t="str">
        <f>IFERROR(F33/F7," ")</f>
        <v xml:space="preserve"> </v>
      </c>
      <c r="G40" s="143">
        <f>IFERROR(G33/G7," ")</f>
        <v>4.0208999999999966</v>
      </c>
    </row>
    <row r="41" spans="1:7" ht="15" thickBot="1">
      <c r="A41" s="139" t="s">
        <v>185</v>
      </c>
      <c r="B41" s="143" t="str">
        <f t="shared" ref="B41:G41" si="10">IFERROR(B34/B7," ")</f>
        <v xml:space="preserve"> </v>
      </c>
      <c r="C41" s="143">
        <f t="shared" si="10"/>
        <v>0.96056999999999937</v>
      </c>
      <c r="D41" s="143">
        <f t="shared" si="10"/>
        <v>0.80079999999999918</v>
      </c>
      <c r="E41" s="143">
        <f t="shared" si="10"/>
        <v>0.46929999999999944</v>
      </c>
      <c r="F41" s="143" t="str">
        <f t="shared" si="10"/>
        <v xml:space="preserve"> </v>
      </c>
      <c r="G41" s="143">
        <f t="shared" si="10"/>
        <v>1.7939999999999985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78F3-52BB-44A3-8DC2-E39CD94F9501}">
  <sheetPr>
    <tabColor theme="5" tint="0.79998168889431442"/>
  </sheetPr>
  <dimension ref="A1:M109"/>
  <sheetViews>
    <sheetView zoomScale="85" zoomScaleNormal="85" workbookViewId="0">
      <selection activeCell="J19" sqref="J19:J20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7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30.333333333333332</v>
      </c>
      <c r="J3" s="234" t="s">
        <v>146</v>
      </c>
      <c r="L3" s="248">
        <v>330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364</v>
      </c>
      <c r="J4" s="235">
        <f>H17*H4</f>
        <v>1795788.9804400001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346">
        <f>+'FlightConfig '!C23</f>
        <v>30</v>
      </c>
      <c r="D7" s="346">
        <f>+'FlightConfig '!D23</f>
        <v>44</v>
      </c>
      <c r="E7" s="346">
        <f>+'FlightConfig '!E23</f>
        <v>184</v>
      </c>
      <c r="F7" s="346">
        <f>+'FlightConfig '!F23</f>
        <v>0</v>
      </c>
      <c r="G7" s="346">
        <f>+'FlightConfig '!G23</f>
        <v>6</v>
      </c>
      <c r="H7" s="346">
        <f>+'FlightConfig '!H23</f>
        <v>264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26</v>
      </c>
      <c r="D8" s="139">
        <f t="shared" si="0"/>
        <v>38</v>
      </c>
      <c r="E8" s="139">
        <f t="shared" si="0"/>
        <v>157</v>
      </c>
      <c r="F8" s="139">
        <f t="shared" si="0"/>
        <v>0</v>
      </c>
      <c r="G8" s="139">
        <f t="shared" si="0"/>
        <v>6</v>
      </c>
      <c r="H8" s="139">
        <f>SUM(B8:G8)</f>
        <v>227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493.077</v>
      </c>
      <c r="D11" s="143">
        <f>IFERROR(D38*$D$8,0)</f>
        <v>498.92099999999999</v>
      </c>
      <c r="E11" s="143">
        <f>IFERROR(E38*$E$8,0)</f>
        <v>718.27499999999998</v>
      </c>
      <c r="F11" s="143">
        <f>IFERROR(F38*$F$8,0)</f>
        <v>0</v>
      </c>
      <c r="G11" s="143">
        <f>IFERROR(G38*$G$8,0)</f>
        <v>185.58000000000004</v>
      </c>
      <c r="H11" s="142">
        <f t="shared" si="2"/>
        <v>1895.8530000000001</v>
      </c>
      <c r="I11" s="181"/>
      <c r="J11" s="142">
        <f>H11*$H$4</f>
        <v>690090.49199999997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192.11399999999998</v>
      </c>
      <c r="D12" s="143">
        <f>IFERROR(D39*$D$8,0)</f>
        <v>234.08</v>
      </c>
      <c r="E12" s="143">
        <f>IFERROR(E39*$E$8,0)</f>
        <v>566.77</v>
      </c>
      <c r="F12" s="143">
        <f>IFERROR(F39*$F$8,0)</f>
        <v>0</v>
      </c>
      <c r="G12" s="143">
        <f>IFERROR(G39*$G$8,0)</f>
        <v>82.8</v>
      </c>
      <c r="H12" s="142">
        <f t="shared" si="2"/>
        <v>1075.7639999999999</v>
      </c>
      <c r="I12" s="253"/>
      <c r="J12" s="142">
        <f t="shared" ref="J12:J17" si="3">H12*$H$4</f>
        <v>391578.09599999996</v>
      </c>
    </row>
    <row r="13" spans="1:13" ht="15" thickBot="1">
      <c r="A13" s="139" t="s">
        <v>165</v>
      </c>
      <c r="B13" s="143">
        <f t="shared" ref="B13:B14" si="4">IFERROR(B40*B9,0)</f>
        <v>0</v>
      </c>
      <c r="C13" s="143">
        <f>IFERROR(C40*$C$8,0)</f>
        <v>64.100009999999955</v>
      </c>
      <c r="D13" s="143">
        <f>IFERROR(D40*$D$8,0)</f>
        <v>64.859729999999942</v>
      </c>
      <c r="E13" s="143">
        <f>IFERROR(E40*$E$8,0)</f>
        <v>93.375749999999925</v>
      </c>
      <c r="F13" s="143">
        <f>IFERROR(F40*$F$8,0)</f>
        <v>0</v>
      </c>
      <c r="G13" s="143">
        <f>IFERROR(G40*$G$8,0)</f>
        <v>24.125399999999978</v>
      </c>
      <c r="H13" s="142">
        <f t="shared" si="2"/>
        <v>246.46088999999981</v>
      </c>
      <c r="J13" s="142">
        <f t="shared" si="3"/>
        <v>89711.763959999924</v>
      </c>
    </row>
    <row r="14" spans="1:13" ht="15" thickBot="1">
      <c r="A14" s="139" t="s">
        <v>166</v>
      </c>
      <c r="B14" s="143">
        <f t="shared" si="4"/>
        <v>0</v>
      </c>
      <c r="C14" s="143">
        <f>IFERROR(C41*$C$8,0)</f>
        <v>24.974819999999976</v>
      </c>
      <c r="D14" s="143">
        <f>IFERROR(D41*$D$8,0)</f>
        <v>30.43039999999996</v>
      </c>
      <c r="E14" s="143">
        <f>IFERROR(E41*$E$8,0)</f>
        <v>73.680099999999911</v>
      </c>
      <c r="F14" s="143">
        <f>IFERROR(F41*$F$8,0)</f>
        <v>0</v>
      </c>
      <c r="G14" s="143">
        <f>IFERROR(G41*$G$8,0)</f>
        <v>10.76399999999999</v>
      </c>
      <c r="H14" s="142">
        <f t="shared" si="2"/>
        <v>139.84931999999984</v>
      </c>
      <c r="J14" s="142">
        <f t="shared" si="3"/>
        <v>50905.152479999939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>
        <f>+B20</f>
        <v>1394.3000000000002</v>
      </c>
      <c r="F15" s="143">
        <v>0</v>
      </c>
      <c r="G15" s="143">
        <v>0</v>
      </c>
      <c r="H15" s="142">
        <f t="shared" si="2"/>
        <v>1394.3000000000002</v>
      </c>
      <c r="I15" s="181"/>
      <c r="J15" s="142">
        <f t="shared" si="3"/>
        <v>507525.20000000007</v>
      </c>
      <c r="L15" s="241">
        <f>J12+J15</f>
        <v>899103.29600000009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>
        <f>+C20</f>
        <v>181.25900000000004</v>
      </c>
      <c r="F16" s="144">
        <v>0</v>
      </c>
      <c r="G16" s="143">
        <v>0</v>
      </c>
      <c r="H16" s="142">
        <f t="shared" si="2"/>
        <v>181.25900000000004</v>
      </c>
      <c r="I16" s="159"/>
      <c r="J16" s="142">
        <f t="shared" si="3"/>
        <v>65978.276000000013</v>
      </c>
      <c r="L16" s="242">
        <f>L15*M16</f>
        <v>719282.63680000009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774.26583000000005</v>
      </c>
      <c r="D17" s="163">
        <f>SUM(D10:D16)</f>
        <v>828.29112999999984</v>
      </c>
      <c r="E17" s="163">
        <f>SUM(E10:E16)</f>
        <v>3027.65985</v>
      </c>
      <c r="F17" s="163">
        <f>SUM(F10:F16)</f>
        <v>0</v>
      </c>
      <c r="G17" s="163">
        <f>SUM(G10:G16)</f>
        <v>303.26940000000002</v>
      </c>
      <c r="H17" s="163">
        <f>SUM(H10:H16)</f>
        <v>4933.48621</v>
      </c>
      <c r="J17" s="233">
        <f t="shared" si="3"/>
        <v>1795788.9804400001</v>
      </c>
      <c r="L17" s="242">
        <f>L15*M17</f>
        <v>179820.65920000002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774.26583000000005</v>
      </c>
      <c r="D18" s="222">
        <f>D17</f>
        <v>828.29112999999984</v>
      </c>
      <c r="E18" s="222">
        <f>E17-E15-E16</f>
        <v>1452.1008499999998</v>
      </c>
      <c r="F18" s="222">
        <f>F17</f>
        <v>0</v>
      </c>
      <c r="G18" s="222">
        <f>G17</f>
        <v>303.26940000000002</v>
      </c>
      <c r="H18" s="222"/>
      <c r="I18" s="222">
        <f>E15+E16</f>
        <v>1575.5590000000002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>
        <f>E16</f>
        <v>181.25900000000004</v>
      </c>
      <c r="J19" s="253">
        <f>H11+H12+H15</f>
        <v>4365.9170000000004</v>
      </c>
    </row>
    <row r="20" spans="1:13" ht="15" thickBot="1">
      <c r="A20" s="223" t="s">
        <v>187</v>
      </c>
      <c r="B20" s="388">
        <f>Handling!C83+Handling!R39+Handling!R45+Handling!V52+Handling!AC39</f>
        <v>1394.3000000000002</v>
      </c>
      <c r="C20" s="224">
        <f>B20*'P&amp;L'!$R$10</f>
        <v>181.25900000000004</v>
      </c>
      <c r="D20" s="224">
        <f>SUM(B20:C20)</f>
        <v>1575.5590000000002</v>
      </c>
      <c r="G20" s="181"/>
      <c r="J20" s="253">
        <f>H13+H14+H16</f>
        <v>567.56920999999966</v>
      </c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29.779455000000002</v>
      </c>
      <c r="D24" s="143">
        <f>IFERROR(((D10+D11+D12+D13+D14)/D8),0)</f>
        <v>21.797134999999997</v>
      </c>
      <c r="E24" s="143">
        <f>IFERROR(((E10+E11+E12+E13+E14)/E8),0)</f>
        <v>9.2490499999999987</v>
      </c>
      <c r="F24" s="143">
        <f>IFERROR(((F10+F11+F12+F13+F14)/F8),0)</f>
        <v>0</v>
      </c>
      <c r="G24" s="143">
        <f>IFERROR(((G10+G11+G12+G13+G14)/G8),0)</f>
        <v>50.544900000000005</v>
      </c>
    </row>
    <row r="25" spans="1:13" ht="15" thickBot="1">
      <c r="A25" s="139" t="s">
        <v>179</v>
      </c>
      <c r="B25" s="143">
        <f t="shared" ref="B25:F25" si="5">IFERROR(((B13+B14)/B8),0)</f>
        <v>0</v>
      </c>
      <c r="C25" s="143">
        <f t="shared" si="5"/>
        <v>3.4259549999999974</v>
      </c>
      <c r="D25" s="143">
        <f t="shared" si="5"/>
        <v>2.5076349999999974</v>
      </c>
      <c r="E25" s="143">
        <f t="shared" si="5"/>
        <v>1.0640499999999991</v>
      </c>
      <c r="F25" s="143">
        <f t="shared" si="5"/>
        <v>0</v>
      </c>
      <c r="G25" s="143">
        <f>IFERROR(((G13+G14)/G8),0)</f>
        <v>5.8148999999999944</v>
      </c>
    </row>
    <row r="26" spans="1:13" ht="15" thickBot="1">
      <c r="A26" s="139" t="s">
        <v>180</v>
      </c>
      <c r="B26" s="143">
        <f t="shared" ref="B26:G26" si="6">IFERROR((B10/B8),0)</f>
        <v>0</v>
      </c>
      <c r="C26" s="143">
        <f t="shared" si="6"/>
        <v>0</v>
      </c>
      <c r="D26" s="143">
        <f t="shared" si="6"/>
        <v>0</v>
      </c>
      <c r="E26" s="143">
        <f t="shared" si="6"/>
        <v>0</v>
      </c>
      <c r="F26" s="143">
        <f t="shared" si="6"/>
        <v>0</v>
      </c>
      <c r="G26" s="143">
        <f t="shared" si="6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110</v>
      </c>
    </row>
    <row r="30" spans="1:13" ht="15" thickBot="1">
      <c r="A30" s="139" t="s">
        <v>162</v>
      </c>
      <c r="B30" s="143">
        <f t="shared" ref="B30:G30" si="7">B37*B8</f>
        <v>0</v>
      </c>
      <c r="C30" s="143">
        <f t="shared" si="7"/>
        <v>0</v>
      </c>
      <c r="D30" s="143">
        <f t="shared" si="7"/>
        <v>0</v>
      </c>
      <c r="E30" s="143">
        <f t="shared" si="7"/>
        <v>0</v>
      </c>
      <c r="F30" s="143">
        <f t="shared" si="7"/>
        <v>0</v>
      </c>
      <c r="G30" s="143">
        <f t="shared" si="7"/>
        <v>0</v>
      </c>
    </row>
    <row r="31" spans="1:13" ht="15" thickBot="1">
      <c r="A31" s="139" t="s">
        <v>163</v>
      </c>
      <c r="B31" s="326">
        <f>IFERROR(IF($B$29=$B$29,SUMIF(Food!$C:$C,B$9&amp;$B$29&amp;$C$29,Food!$U:$U),0),"")+IFERROR(IF($B$29=$B$29,SUMIF(Food!$C:$C,B$9&amp;$B$29&amp;$C$29,Food!$T:$T),0),"")</f>
        <v>0</v>
      </c>
      <c r="C31" s="143">
        <f>IFERROR(IF($B$29=$B$29,SUMIF(Food!$C:$C,C$9&amp;$B$29&amp;$C$29,Food!$U:$U),0),"")</f>
        <v>568.93500000000006</v>
      </c>
      <c r="D31" s="143">
        <f>IFERROR(IF($B$29=$B$29,SUMIF(Food!$C:$C,D$9&amp;$B$29&amp;$C$29,Food!$U:$U),0),"")</f>
        <v>577.69799999999998</v>
      </c>
      <c r="E31" s="143">
        <f>IFERROR(IF($B$29=$B$29,SUMIF(Food!$C:$C,E$9&amp;$B$29&amp;$C$29,Food!$U:$U),0),"")</f>
        <v>841.8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185.58000000000004</v>
      </c>
      <c r="H31" s="308" t="s">
        <v>189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221.67</v>
      </c>
      <c r="D32" s="143">
        <f>IFERROR(IF($B$29=$B$29,SUMIF(Food!$C:$C,D$9&amp;$B$29&amp;$C$29,Food!$W:$W),0),"")</f>
        <v>271.04000000000002</v>
      </c>
      <c r="E32" s="143">
        <f>IFERROR(IF($B$29=$B$29,SUMIF(Food!$C:$C,E$9&amp;$B$29&amp;$C$29,Food!$W:$W),0),"")</f>
        <v>664.24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82.8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73.961549999999946</v>
      </c>
      <c r="D33" s="143">
        <f>IFERROR(IF($B$29=$B$29,SUMIF(Food!$C:$C,D$9&amp;$B$29&amp;$C$29,Food!$Y:$Y),0),"")</f>
        <v>75.100739999999931</v>
      </c>
      <c r="E33" s="143">
        <f>IFERROR(IF($B$29=$B$29,SUMIF(Food!$C:$C,E$9&amp;$B$29&amp;$C$29,Food!$Y:$Y),0),"")</f>
        <v>109.43399999999991</v>
      </c>
      <c r="F33" s="143">
        <f>IFERROR(IF($B$29=$B$29,SUMIF(Food!$C:$C,F$9&amp;$B$29&amp;$C$29,Food!$Y:$Y),0),"")</f>
        <v>0</v>
      </c>
      <c r="G33" s="143">
        <f>IFERROR(IF($B$29=$B$29,SUMIF(Food!$C:$C,G$9&amp;$B$29&amp;$C$29,Food!$Y:$Y),0),"")</f>
        <v>24.125399999999981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28.817099999999975</v>
      </c>
      <c r="D34" s="143">
        <f>IFERROR(IF($B$29=$B$29,SUMIF(Food!$C:$C,D$9&amp;$B$29&amp;$C$29,Food!$Z:$Z),0),"")</f>
        <v>35.235199999999956</v>
      </c>
      <c r="E34" s="143">
        <f>IFERROR(IF($B$29=$B$29,SUMIF(Food!$C:$C,E$9&amp;$B$29&amp;$C$29,Food!$Z:$Z),0),"")</f>
        <v>86.351199999999892</v>
      </c>
      <c r="F34" s="143">
        <f>IFERROR(IF($B$29=$B$29,SUMIF(Food!$C:$C,F$9&amp;$B$29&amp;$C$29,Food!$Z:$Z),0),"")</f>
        <v>0</v>
      </c>
      <c r="G34" s="143">
        <f>IFERROR(IF($B$29=$B$29,SUMIF(Food!$C:$C,G$9&amp;$B$29&amp;$C$29,Food!$Z:$Z),0),"")</f>
        <v>10.76399999999999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8">IFERROR(B31/B7," ")</f>
        <v xml:space="preserve"> </v>
      </c>
      <c r="C38" s="143">
        <f t="shared" si="8"/>
        <v>18.964500000000001</v>
      </c>
      <c r="D38" s="143">
        <f t="shared" si="8"/>
        <v>13.1295</v>
      </c>
      <c r="E38" s="143">
        <f t="shared" si="8"/>
        <v>4.5750000000000002</v>
      </c>
      <c r="F38" s="143" t="str">
        <f t="shared" si="8"/>
        <v xml:space="preserve"> </v>
      </c>
      <c r="G38" s="143">
        <f t="shared" si="8"/>
        <v>30.930000000000007</v>
      </c>
    </row>
    <row r="39" spans="1:7" ht="15" thickBot="1">
      <c r="A39" s="139" t="s">
        <v>164</v>
      </c>
      <c r="B39" s="143" t="str">
        <f t="shared" ref="B39:G39" si="9">IFERROR(B32/B7," ")</f>
        <v xml:space="preserve"> </v>
      </c>
      <c r="C39" s="143">
        <f t="shared" si="9"/>
        <v>7.3889999999999993</v>
      </c>
      <c r="D39" s="143">
        <f t="shared" si="9"/>
        <v>6.16</v>
      </c>
      <c r="E39" s="143">
        <f t="shared" si="9"/>
        <v>3.61</v>
      </c>
      <c r="F39" s="143" t="str">
        <f t="shared" si="9"/>
        <v xml:space="preserve"> </v>
      </c>
      <c r="G39" s="143">
        <f t="shared" si="9"/>
        <v>13.799999999999999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2.4653849999999982</v>
      </c>
      <c r="D40" s="143">
        <f>IFERROR(D33/D7," ")</f>
        <v>1.7068349999999983</v>
      </c>
      <c r="E40" s="143">
        <f>IFERROR(E33/E7," ")</f>
        <v>0.59474999999999956</v>
      </c>
      <c r="F40" s="143" t="str">
        <f>IFERROR(F33/F7," ")</f>
        <v xml:space="preserve"> </v>
      </c>
      <c r="G40" s="143">
        <f>IFERROR(G33/G7," ")</f>
        <v>4.0208999999999966</v>
      </c>
    </row>
    <row r="41" spans="1:7" ht="15" thickBot="1">
      <c r="A41" s="139" t="s">
        <v>185</v>
      </c>
      <c r="B41" s="143" t="str">
        <f t="shared" ref="B41:G41" si="10">IFERROR(B34/B7," ")</f>
        <v xml:space="preserve"> </v>
      </c>
      <c r="C41" s="143">
        <f t="shared" si="10"/>
        <v>0.96056999999999915</v>
      </c>
      <c r="D41" s="143">
        <f t="shared" si="10"/>
        <v>0.80079999999999896</v>
      </c>
      <c r="E41" s="143">
        <f t="shared" si="10"/>
        <v>0.46929999999999944</v>
      </c>
      <c r="F41" s="143" t="str">
        <f t="shared" si="10"/>
        <v xml:space="preserve"> </v>
      </c>
      <c r="G41" s="143">
        <f t="shared" si="10"/>
        <v>1.7939999999999985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8372-CA23-4106-9F90-EBFF6BF0D77E}">
  <sheetPr>
    <tabColor theme="5" tint="0.79998168889431442"/>
  </sheetPr>
  <dimension ref="A1:M109"/>
  <sheetViews>
    <sheetView zoomScale="85" zoomScaleNormal="85" workbookViewId="0">
      <selection activeCell="G44" sqref="G44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 t="e">
        <f>H17*H4</f>
        <v>#REF!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 t="shared" si="2"/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 t="e">
        <f>+B20</f>
        <v>#REF!</v>
      </c>
      <c r="F15" s="143">
        <v>0</v>
      </c>
      <c r="G15" s="143">
        <v>0</v>
      </c>
      <c r="H15" s="142" t="e">
        <f t="shared" si="2"/>
        <v>#REF!</v>
      </c>
      <c r="I15" s="181"/>
      <c r="J15" s="142" t="e">
        <f t="shared" si="3"/>
        <v>#REF!</v>
      </c>
      <c r="L15" s="241" t="e">
        <f>J12+J15</f>
        <v>#REF!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 t="e">
        <f>+C20</f>
        <v>#REF!</v>
      </c>
      <c r="F16" s="144">
        <v>0</v>
      </c>
      <c r="G16" s="144">
        <v>0</v>
      </c>
      <c r="H16" s="142" t="e">
        <f t="shared" si="2"/>
        <v>#REF!</v>
      </c>
      <c r="I16" s="159"/>
      <c r="J16" s="142" t="e">
        <f t="shared" si="3"/>
        <v>#REF!</v>
      </c>
      <c r="L16" s="242" t="e">
        <f>L15*M16</f>
        <v>#REF!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 t="e">
        <f>SUM(E10:E16)</f>
        <v>#REF!</v>
      </c>
      <c r="F17" s="163">
        <f>SUM(F10:F16)</f>
        <v>0</v>
      </c>
      <c r="G17" s="163">
        <f>SUM(G10:G16)</f>
        <v>0</v>
      </c>
      <c r="H17" s="163" t="e">
        <f>SUM(H10:H16)</f>
        <v>#REF!</v>
      </c>
      <c r="J17" s="233" t="e">
        <f t="shared" si="3"/>
        <v>#REF!</v>
      </c>
      <c r="L17" s="242" t="e">
        <f>L15*M17</f>
        <v>#REF!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 t="e">
        <f>E17-E15-E16</f>
        <v>#REF!</v>
      </c>
      <c r="F18" s="222">
        <f>F17</f>
        <v>0</v>
      </c>
      <c r="G18" s="222">
        <f>G17</f>
        <v>0</v>
      </c>
      <c r="H18" s="222"/>
      <c r="I18" s="222" t="e">
        <f>E15+E16</f>
        <v>#REF!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 t="e">
        <f>E16</f>
        <v>#REF!</v>
      </c>
    </row>
    <row r="20" spans="1:13" ht="15" thickBot="1">
      <c r="A20" s="223" t="s">
        <v>187</v>
      </c>
      <c r="B20" s="224" t="e">
        <f>Handling!C22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2037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F65A-A115-4189-8B02-6D23F4032951}">
  <sheetPr>
    <tabColor theme="5" tint="0.79998168889431442"/>
  </sheetPr>
  <dimension ref="A1:M109"/>
  <sheetViews>
    <sheetView zoomScale="85" zoomScaleNormal="85" workbookViewId="0">
      <selection activeCell="I2" sqref="I2"/>
    </sheetView>
  </sheetViews>
  <sheetFormatPr defaultColWidth="10.7109375" defaultRowHeight="14.45"/>
  <cols>
    <col min="1" max="1" width="24.28515625" style="140" bestFit="1" customWidth="1"/>
    <col min="2" max="2" width="10.7109375" style="140" bestFit="1" customWidth="1"/>
    <col min="3" max="3" width="15" style="140" bestFit="1" customWidth="1"/>
    <col min="4" max="5" width="12.5703125" style="140" bestFit="1" customWidth="1"/>
    <col min="6" max="6" width="10.7109375" style="140"/>
    <col min="7" max="7" width="15.7109375" style="140" customWidth="1"/>
    <col min="8" max="8" width="12.5703125" style="140" bestFit="1" customWidth="1"/>
    <col min="9" max="9" width="8.5703125" style="140" bestFit="1" customWidth="1"/>
    <col min="10" max="10" width="15.28515625" style="140" bestFit="1" customWidth="1"/>
    <col min="11" max="11" width="10.7109375" style="140"/>
    <col min="12" max="12" width="16.28515625" style="140" bestFit="1" customWidth="1"/>
    <col min="13" max="16384" width="10.7109375" style="140"/>
  </cols>
  <sheetData>
    <row r="1" spans="1:13" ht="15" thickBot="1"/>
    <row r="2" spans="1:13" ht="15" thickBot="1">
      <c r="A2" s="440" t="s">
        <v>141</v>
      </c>
      <c r="B2" s="28"/>
      <c r="C2" s="150"/>
      <c r="G2" s="145" t="s">
        <v>142</v>
      </c>
      <c r="H2" s="251">
        <v>0</v>
      </c>
      <c r="L2" s="248" t="s">
        <v>143</v>
      </c>
      <c r="M2" s="248" t="s">
        <v>7</v>
      </c>
    </row>
    <row r="3" spans="1:13" ht="15" thickBot="1">
      <c r="A3" s="441"/>
      <c r="B3" s="173"/>
      <c r="C3" s="174"/>
      <c r="E3" s="145" t="s">
        <v>144</v>
      </c>
      <c r="F3" s="147">
        <v>738</v>
      </c>
      <c r="G3" s="145" t="s">
        <v>145</v>
      </c>
      <c r="H3" s="145">
        <f>H4/12</f>
        <v>0</v>
      </c>
      <c r="J3" s="234" t="s">
        <v>146</v>
      </c>
      <c r="L3" s="248">
        <v>737</v>
      </c>
      <c r="M3" s="248">
        <v>1</v>
      </c>
    </row>
    <row r="4" spans="1:13" ht="15" thickBot="1">
      <c r="E4" s="145" t="s">
        <v>2</v>
      </c>
      <c r="F4" s="146">
        <f>'P&amp;L'!R4</f>
        <v>0.85</v>
      </c>
      <c r="G4" s="145" t="s">
        <v>147</v>
      </c>
      <c r="H4" s="145">
        <f>H2*52</f>
        <v>0</v>
      </c>
      <c r="J4" s="235" t="e">
        <f>H17*H4</f>
        <v>#REF!</v>
      </c>
      <c r="L4" s="248"/>
      <c r="M4" s="248"/>
    </row>
    <row r="5" spans="1:13" ht="15" thickBot="1">
      <c r="A5" s="141" t="s">
        <v>148</v>
      </c>
      <c r="L5" s="248"/>
      <c r="M5" s="248"/>
    </row>
    <row r="6" spans="1:13" ht="15" thickBot="1">
      <c r="A6" s="161" t="s">
        <v>149</v>
      </c>
      <c r="B6" s="161" t="s">
        <v>43</v>
      </c>
      <c r="C6" s="161" t="s">
        <v>44</v>
      </c>
      <c r="D6" s="161" t="s">
        <v>45</v>
      </c>
      <c r="E6" s="161" t="s">
        <v>46</v>
      </c>
      <c r="F6" s="161" t="s">
        <v>47</v>
      </c>
      <c r="G6" s="161" t="s">
        <v>48</v>
      </c>
      <c r="H6" s="161" t="s">
        <v>150</v>
      </c>
      <c r="I6" s="160" t="s">
        <v>151</v>
      </c>
      <c r="L6" s="247"/>
      <c r="M6" s="247"/>
    </row>
    <row r="7" spans="1:13" ht="15" thickBot="1">
      <c r="A7" s="139" t="s">
        <v>152</v>
      </c>
      <c r="B7" s="139">
        <f>+'FlightConfig '!B17</f>
        <v>0</v>
      </c>
      <c r="C7" s="139">
        <f>+'FlightConfig '!C17</f>
        <v>34</v>
      </c>
      <c r="D7" s="139">
        <f>+'FlightConfig '!D17</f>
        <v>48</v>
      </c>
      <c r="E7" s="139">
        <f>+'FlightConfig '!E17</f>
        <v>198</v>
      </c>
      <c r="F7" s="139">
        <f>+'FlightConfig '!F17</f>
        <v>0</v>
      </c>
      <c r="G7" s="139">
        <f>+'FlightConfig '!G17</f>
        <v>6</v>
      </c>
      <c r="H7" s="139">
        <f>SUM(B7:G7)</f>
        <v>286</v>
      </c>
      <c r="L7" s="247"/>
      <c r="M7" s="247"/>
    </row>
    <row r="8" spans="1:13" ht="15" thickBot="1">
      <c r="A8" s="139" t="s">
        <v>153</v>
      </c>
      <c r="B8" s="139">
        <f t="shared" ref="B8:G8" si="0">ROUNDUP(B7*$F$4,0)</f>
        <v>0</v>
      </c>
      <c r="C8" s="139">
        <f t="shared" si="0"/>
        <v>29</v>
      </c>
      <c r="D8" s="139">
        <f t="shared" si="0"/>
        <v>41</v>
      </c>
      <c r="E8" s="139">
        <f t="shared" si="0"/>
        <v>169</v>
      </c>
      <c r="F8" s="139">
        <f t="shared" si="0"/>
        <v>0</v>
      </c>
      <c r="G8" s="139">
        <f t="shared" si="0"/>
        <v>6</v>
      </c>
      <c r="H8" s="139">
        <f>SUM(B8:G8)</f>
        <v>245</v>
      </c>
      <c r="L8" s="247"/>
      <c r="M8" s="247"/>
    </row>
    <row r="9" spans="1:13" ht="15" thickBot="1">
      <c r="A9" s="282"/>
      <c r="B9" s="283" t="s">
        <v>154</v>
      </c>
      <c r="C9" s="283" t="s">
        <v>155</v>
      </c>
      <c r="D9" s="283" t="s">
        <v>156</v>
      </c>
      <c r="E9" s="283" t="s">
        <v>157</v>
      </c>
      <c r="F9" s="283" t="s">
        <v>158</v>
      </c>
      <c r="G9" s="283" t="s">
        <v>159</v>
      </c>
      <c r="H9" s="161" t="s">
        <v>160</v>
      </c>
      <c r="J9" s="161" t="s">
        <v>161</v>
      </c>
    </row>
    <row r="10" spans="1:13" ht="15" thickBot="1">
      <c r="A10" s="139" t="s">
        <v>162</v>
      </c>
      <c r="B10" s="143">
        <f t="shared" ref="B10:G10" si="1">B37*B8</f>
        <v>0</v>
      </c>
      <c r="C10" s="143">
        <f t="shared" si="1"/>
        <v>0</v>
      </c>
      <c r="D10" s="143">
        <f t="shared" si="1"/>
        <v>0</v>
      </c>
      <c r="E10" s="143">
        <f t="shared" si="1"/>
        <v>0</v>
      </c>
      <c r="F10" s="143">
        <f t="shared" si="1"/>
        <v>0</v>
      </c>
      <c r="G10" s="143">
        <f t="shared" si="1"/>
        <v>0</v>
      </c>
      <c r="H10" s="142">
        <f t="shared" ref="H10:H16" si="2">SUM(B10:G10)</f>
        <v>0</v>
      </c>
      <c r="J10" s="142">
        <f>H10*$H$4</f>
        <v>0</v>
      </c>
    </row>
    <row r="11" spans="1:13" ht="15" thickBot="1">
      <c r="A11" s="139" t="s">
        <v>163</v>
      </c>
      <c r="B11" s="143">
        <f>IFERROR(B38*B8,0)</f>
        <v>0</v>
      </c>
      <c r="C11" s="143">
        <f>IFERROR(C38*$C$8,0)</f>
        <v>0</v>
      </c>
      <c r="D11" s="143">
        <f>IFERROR(D38*$D$8,0)</f>
        <v>0</v>
      </c>
      <c r="E11" s="143">
        <f>IFERROR(E38*$E$8,0)</f>
        <v>0</v>
      </c>
      <c r="F11" s="143">
        <f>IFERROR(F38*$F$8,0)</f>
        <v>0</v>
      </c>
      <c r="G11" s="143">
        <f>IFERROR(G38*G8,0)</f>
        <v>0</v>
      </c>
      <c r="H11" s="142">
        <f t="shared" si="2"/>
        <v>0</v>
      </c>
      <c r="I11" s="181">
        <f>I12*45%</f>
        <v>0</v>
      </c>
      <c r="J11" s="142">
        <f>H11*$H$4</f>
        <v>0</v>
      </c>
    </row>
    <row r="12" spans="1:13" ht="15" thickBot="1">
      <c r="A12" s="139" t="s">
        <v>164</v>
      </c>
      <c r="B12" s="143">
        <f>IFERROR(B39*B8,0)</f>
        <v>0</v>
      </c>
      <c r="C12" s="143">
        <f>IFERROR(C39*$C$8,0)</f>
        <v>0</v>
      </c>
      <c r="D12" s="143">
        <f>IFERROR(D39*$D$8,0)</f>
        <v>0</v>
      </c>
      <c r="E12" s="143">
        <f>IFERROR(E39*$E$8,0)</f>
        <v>0</v>
      </c>
      <c r="F12" s="143">
        <f>IFERROR(F39*$F$8,0)</f>
        <v>0</v>
      </c>
      <c r="G12" s="143">
        <f>IFERROR(G39*G8,0)</f>
        <v>0</v>
      </c>
      <c r="H12" s="142">
        <f t="shared" si="2"/>
        <v>0</v>
      </c>
      <c r="I12" s="253">
        <f>H11+H12</f>
        <v>0</v>
      </c>
      <c r="J12" s="142">
        <f t="shared" ref="J12:J17" si="3">H12*$H$4</f>
        <v>0</v>
      </c>
    </row>
    <row r="13" spans="1:13" ht="15" thickBot="1">
      <c r="A13" s="139" t="s">
        <v>165</v>
      </c>
      <c r="B13" s="143" t="str">
        <f>IFERROR(B40*B8," ")</f>
        <v xml:space="preserve"> </v>
      </c>
      <c r="C13" s="143">
        <f>IFERROR(C40*$C$8,0)</f>
        <v>0</v>
      </c>
      <c r="D13" s="143">
        <f>IFERROR(D40*$D$8,0)</f>
        <v>0</v>
      </c>
      <c r="E13" s="143">
        <f>IFERROR(E40*$E$8,0)</f>
        <v>0</v>
      </c>
      <c r="F13" s="143">
        <f>IFERROR(F40*$F$8,0)</f>
        <v>0</v>
      </c>
      <c r="G13" s="143">
        <v>0</v>
      </c>
      <c r="H13" s="142">
        <f t="shared" si="2"/>
        <v>0</v>
      </c>
      <c r="J13" s="142">
        <f t="shared" si="3"/>
        <v>0</v>
      </c>
    </row>
    <row r="14" spans="1:13" ht="15" thickBot="1">
      <c r="A14" s="139" t="s">
        <v>166</v>
      </c>
      <c r="B14" s="143" t="str">
        <f>IFERROR(B41*B8," ")</f>
        <v xml:space="preserve"> </v>
      </c>
      <c r="C14" s="143">
        <f>IFERROR(C41*$C$8,0)</f>
        <v>0</v>
      </c>
      <c r="D14" s="143">
        <f>IFERROR(D41*$D$8,0)</f>
        <v>0</v>
      </c>
      <c r="E14" s="143">
        <f>IFERROR(E41*$E$8,0)</f>
        <v>0</v>
      </c>
      <c r="F14" s="143">
        <f>IFERROR(F41*$F$8,0)</f>
        <v>0</v>
      </c>
      <c r="G14" s="143">
        <v>0</v>
      </c>
      <c r="H14" s="142">
        <f>SUM(B14:G14)</f>
        <v>0</v>
      </c>
      <c r="J14" s="142">
        <f t="shared" si="3"/>
        <v>0</v>
      </c>
      <c r="L14" s="161" t="s">
        <v>167</v>
      </c>
      <c r="M14" s="161"/>
    </row>
    <row r="15" spans="1:13" ht="15" thickBot="1">
      <c r="A15" s="139" t="s">
        <v>168</v>
      </c>
      <c r="B15" s="143">
        <v>0</v>
      </c>
      <c r="C15" s="143">
        <v>0</v>
      </c>
      <c r="D15" s="143">
        <v>0</v>
      </c>
      <c r="E15" s="143" t="e">
        <f>+B20</f>
        <v>#REF!</v>
      </c>
      <c r="F15" s="143">
        <v>0</v>
      </c>
      <c r="G15" s="143">
        <v>0</v>
      </c>
      <c r="H15" s="142" t="e">
        <f t="shared" si="2"/>
        <v>#REF!</v>
      </c>
      <c r="I15" s="181"/>
      <c r="J15" s="142" t="e">
        <f t="shared" si="3"/>
        <v>#REF!</v>
      </c>
      <c r="L15" s="241" t="e">
        <f>J12+J15</f>
        <v>#REF!</v>
      </c>
      <c r="M15" s="243">
        <v>1</v>
      </c>
    </row>
    <row r="16" spans="1:13" ht="15" thickBot="1">
      <c r="A16" s="139" t="s">
        <v>169</v>
      </c>
      <c r="B16" s="144">
        <v>0</v>
      </c>
      <c r="C16" s="144">
        <v>0</v>
      </c>
      <c r="D16" s="144">
        <v>0</v>
      </c>
      <c r="E16" s="143" t="e">
        <f>+C20</f>
        <v>#REF!</v>
      </c>
      <c r="F16" s="144">
        <v>0</v>
      </c>
      <c r="G16" s="144">
        <v>0</v>
      </c>
      <c r="H16" s="142" t="e">
        <f t="shared" si="2"/>
        <v>#REF!</v>
      </c>
      <c r="I16" s="159"/>
      <c r="J16" s="142" t="e">
        <f t="shared" si="3"/>
        <v>#REF!</v>
      </c>
      <c r="L16" s="242" t="e">
        <f>L15*M16</f>
        <v>#REF!</v>
      </c>
      <c r="M16" s="243">
        <v>0.8</v>
      </c>
    </row>
    <row r="17" spans="1:13" ht="15" thickBot="1">
      <c r="A17" s="162" t="s">
        <v>170</v>
      </c>
      <c r="B17" s="163">
        <f>SUM(B11:B16)</f>
        <v>0</v>
      </c>
      <c r="C17" s="163">
        <f>SUM(C11:C16)</f>
        <v>0</v>
      </c>
      <c r="D17" s="163">
        <f>SUM(D10:D16)</f>
        <v>0</v>
      </c>
      <c r="E17" s="163" t="e">
        <f>SUM(E10:E16)</f>
        <v>#REF!</v>
      </c>
      <c r="F17" s="163">
        <f>SUM(F10:F16)</f>
        <v>0</v>
      </c>
      <c r="G17" s="163">
        <f>SUM(G10:G16)</f>
        <v>0</v>
      </c>
      <c r="H17" s="163" t="e">
        <f>SUM(H10:H16)</f>
        <v>#REF!</v>
      </c>
      <c r="J17" s="233" t="e">
        <f t="shared" si="3"/>
        <v>#REF!</v>
      </c>
      <c r="L17" s="242" t="e">
        <f>L15*M17</f>
        <v>#REF!</v>
      </c>
      <c r="M17" s="243">
        <v>0.2</v>
      </c>
    </row>
    <row r="18" spans="1:13" ht="15" thickBot="1">
      <c r="A18" s="221"/>
      <c r="B18" s="222">
        <f>B17</f>
        <v>0</v>
      </c>
      <c r="C18" s="222">
        <f>C17</f>
        <v>0</v>
      </c>
      <c r="D18" s="222">
        <f>D17</f>
        <v>0</v>
      </c>
      <c r="E18" s="222" t="e">
        <f>E17-E15-E16</f>
        <v>#REF!</v>
      </c>
      <c r="F18" s="222">
        <f>F17</f>
        <v>0</v>
      </c>
      <c r="G18" s="222">
        <f>G17</f>
        <v>0</v>
      </c>
      <c r="H18" s="222"/>
      <c r="I18" s="222" t="e">
        <f>E15+E16</f>
        <v>#REF!</v>
      </c>
      <c r="J18" s="222"/>
      <c r="L18" s="240"/>
    </row>
    <row r="19" spans="1:13" ht="15" thickBot="1">
      <c r="A19" s="161" t="s">
        <v>171</v>
      </c>
      <c r="B19" s="225" t="s">
        <v>172</v>
      </c>
      <c r="C19" s="225" t="s">
        <v>173</v>
      </c>
      <c r="D19" s="225" t="s">
        <v>174</v>
      </c>
      <c r="E19" s="158"/>
      <c r="F19" s="158"/>
      <c r="G19" s="158"/>
      <c r="H19" s="160"/>
      <c r="I19" s="158" t="e">
        <f>E16</f>
        <v>#REF!</v>
      </c>
    </row>
    <row r="20" spans="1:13" ht="15" thickBot="1">
      <c r="A20" s="223" t="s">
        <v>187</v>
      </c>
      <c r="B20" s="224" t="e">
        <f>Handling!C22</f>
        <v>#REF!</v>
      </c>
      <c r="C20" s="224" t="e">
        <f>B20*'P&amp;L'!$R$10</f>
        <v>#REF!</v>
      </c>
      <c r="D20" s="224" t="e">
        <f>SUM(B20:C20)</f>
        <v>#REF!</v>
      </c>
      <c r="G20" s="181"/>
    </row>
    <row r="21" spans="1:13" ht="15" hidden="1" thickBot="1">
      <c r="A21" s="162" t="s">
        <v>176</v>
      </c>
      <c r="B21" s="143" t="e">
        <f>Handling!#REF!</f>
        <v>#REF!</v>
      </c>
      <c r="C21" s="143" t="e">
        <f>Handling!#REF!</f>
        <v>#REF!</v>
      </c>
      <c r="D21" s="143" t="e">
        <f>Handling!#REF!</f>
        <v>#REF!</v>
      </c>
      <c r="G21" s="181"/>
    </row>
    <row r="22" spans="1:13" ht="15" hidden="1" thickBot="1">
      <c r="A22" s="162" t="s">
        <v>177</v>
      </c>
      <c r="B22" s="143" t="e">
        <f>Handling!#REF!</f>
        <v>#REF!</v>
      </c>
      <c r="C22" s="143" t="e">
        <f>Handling!#REF!</f>
        <v>#REF!</v>
      </c>
      <c r="D22" s="143" t="e">
        <f>Handling!#REF!</f>
        <v>#REF!</v>
      </c>
    </row>
    <row r="23" spans="1:13" ht="15" thickBot="1"/>
    <row r="24" spans="1:13" ht="15" thickBot="1">
      <c r="A24" s="139" t="s">
        <v>178</v>
      </c>
      <c r="B24" s="143">
        <f>IFERROR(((B11+B12+B13+B14)/B8),0)</f>
        <v>0</v>
      </c>
      <c r="C24" s="143">
        <f>IFERROR(((C11+C12+C13+C14)/C8),0)</f>
        <v>0</v>
      </c>
      <c r="D24" s="143">
        <f>IFERROR(((D10+D11+D12+D13+D14)/D8),0)</f>
        <v>0</v>
      </c>
      <c r="E24" s="143">
        <f>IFERROR(((E10+E11+E12+E13+E14)/E8),0)</f>
        <v>0</v>
      </c>
      <c r="F24" s="143">
        <f>IFERROR(((F10+F11+F12+F13+F14)/F8),0)</f>
        <v>0</v>
      </c>
      <c r="G24" s="143">
        <f>IFERROR(((G10+G11+G12+G13+G14)/G8),0)</f>
        <v>0</v>
      </c>
    </row>
    <row r="25" spans="1:13" ht="15" thickBot="1">
      <c r="A25" s="139" t="s">
        <v>179</v>
      </c>
      <c r="B25" s="143">
        <f t="shared" ref="B25:G25" si="4">IFERROR(((B13+B14)/B8),0)</f>
        <v>0</v>
      </c>
      <c r="C25" s="143">
        <f t="shared" si="4"/>
        <v>0</v>
      </c>
      <c r="D25" s="143">
        <f t="shared" si="4"/>
        <v>0</v>
      </c>
      <c r="E25" s="143">
        <f t="shared" si="4"/>
        <v>0</v>
      </c>
      <c r="F25" s="143">
        <f t="shared" si="4"/>
        <v>0</v>
      </c>
      <c r="G25" s="143">
        <f t="shared" si="4"/>
        <v>0</v>
      </c>
    </row>
    <row r="26" spans="1:13" ht="15" thickBot="1">
      <c r="A26" s="139" t="s">
        <v>180</v>
      </c>
      <c r="B26" s="143">
        <f t="shared" ref="B26:G26" si="5">IFERROR((B10/B8),0)</f>
        <v>0</v>
      </c>
      <c r="C26" s="143">
        <f t="shared" si="5"/>
        <v>0</v>
      </c>
      <c r="D26" s="143">
        <f t="shared" si="5"/>
        <v>0</v>
      </c>
      <c r="E26" s="143">
        <f t="shared" si="5"/>
        <v>0</v>
      </c>
      <c r="F26" s="143">
        <f t="shared" si="5"/>
        <v>0</v>
      </c>
      <c r="G26" s="143">
        <f t="shared" si="5"/>
        <v>0</v>
      </c>
    </row>
    <row r="27" spans="1:13" s="237" customFormat="1">
      <c r="A27" s="238"/>
      <c r="B27" s="239"/>
      <c r="C27" s="239"/>
      <c r="D27" s="239"/>
      <c r="E27" s="239"/>
      <c r="F27" s="239"/>
      <c r="G27" s="239"/>
    </row>
    <row r="28" spans="1:13">
      <c r="B28" s="162" t="s">
        <v>181</v>
      </c>
      <c r="C28" s="162" t="s">
        <v>182</v>
      </c>
    </row>
    <row r="29" spans="1:13" ht="15" thickBot="1">
      <c r="A29" s="162" t="s">
        <v>183</v>
      </c>
      <c r="B29" s="162">
        <f>'P&amp;L'!R5</f>
        <v>1</v>
      </c>
      <c r="C29" s="162">
        <v>2817</v>
      </c>
    </row>
    <row r="30" spans="1:13" ht="15" thickBot="1">
      <c r="A30" s="139" t="s">
        <v>162</v>
      </c>
      <c r="B30" s="143">
        <f t="shared" ref="B30:G30" si="6">B37*B8</f>
        <v>0</v>
      </c>
      <c r="C30" s="143">
        <f t="shared" si="6"/>
        <v>0</v>
      </c>
      <c r="D30" s="143">
        <f t="shared" si="6"/>
        <v>0</v>
      </c>
      <c r="E30" s="143">
        <f t="shared" si="6"/>
        <v>0</v>
      </c>
      <c r="F30" s="143">
        <f t="shared" si="6"/>
        <v>0</v>
      </c>
      <c r="G30" s="143">
        <f t="shared" si="6"/>
        <v>0</v>
      </c>
    </row>
    <row r="31" spans="1:13" ht="15" thickBot="1">
      <c r="A31" s="139" t="s">
        <v>163</v>
      </c>
      <c r="B31" s="143">
        <f>IFERROR(IF($B$29=$B$29,SUMIF(Food!$C:$C,B$9&amp;$B$29&amp;$C$29,Food!$U:$U),0),"")</f>
        <v>0</v>
      </c>
      <c r="C31" s="143">
        <f>IFERROR(IF($B$29=$B$29,SUMIF(Food!$C:$C,C$9&amp;$B$29&amp;$C$29,Food!$U:$U),0),"")</f>
        <v>0</v>
      </c>
      <c r="D31" s="143">
        <f>IFERROR(IF($B$29=$B$29,SUMIF(Food!$C:$C,D$9&amp;$B$29&amp;$C$29,Food!$U:$U),0),"")</f>
        <v>0</v>
      </c>
      <c r="E31" s="143">
        <f>IFERROR(IF($B$29=$B$29,SUMIF(Food!$C:$C,E$9&amp;$B$29&amp;$C$29,Food!$U:$U),0),"")</f>
        <v>0</v>
      </c>
      <c r="F31" s="143">
        <f>IFERROR(IF($B$29=$B$29,SUMIF(Food!$C:$C,F$9&amp;$B$29&amp;$C$29,Food!$U:$U),0),"")</f>
        <v>0</v>
      </c>
      <c r="G31" s="143">
        <f>IFERROR(IF($B$29=$B$29,SUMIF(Food!$C:$C,G$9&amp;$B$29&amp;$C$29,Food!$U:$U),0),"")</f>
        <v>0</v>
      </c>
    </row>
    <row r="32" spans="1:13" ht="15" thickBot="1">
      <c r="A32" s="139" t="s">
        <v>164</v>
      </c>
      <c r="B32" s="143">
        <f>IFERROR(IF($B$29=$B$29,SUMIF(Food!$C:$C,B$9&amp;$B$29&amp;$C$29,Food!$W:$W),0),"")</f>
        <v>0</v>
      </c>
      <c r="C32" s="143">
        <f>IFERROR(IF($B$29=$B$29,SUMIF(Food!$C:$C,C$9&amp;$B$29&amp;$C$29,Food!$W:$W),0),"")</f>
        <v>0</v>
      </c>
      <c r="D32" s="143">
        <f>IFERROR(IF($B$29=$B$29,SUMIF(Food!$C:$C,D$9&amp;$B$29&amp;$C$29,Food!$W:$W),0),"")</f>
        <v>0</v>
      </c>
      <c r="E32" s="143">
        <f>IFERROR(IF($B$29=$B$29,SUMIF(Food!$C:$C,E$9&amp;$B$29&amp;$C$29,Food!$W:$W),0),"")</f>
        <v>0</v>
      </c>
      <c r="F32" s="143">
        <f>IFERROR(IF($B$29=$B$29,SUMIF(Food!$C:$C,F$9&amp;$B$29&amp;$C$29,Food!$W:$W),0),"")</f>
        <v>0</v>
      </c>
      <c r="G32" s="143">
        <f>IFERROR(IF($B$29=$B$29,SUMIF(Food!$C:$C,G$9&amp;$B$29&amp;$C$29,Food!$W:$W),0),"")</f>
        <v>0</v>
      </c>
    </row>
    <row r="33" spans="1:7" ht="15" thickBot="1">
      <c r="A33" s="139" t="s">
        <v>184</v>
      </c>
      <c r="B33" s="143">
        <f>IFERROR(IF($B$29=$B$29,SUMIF(Food!$C:$C,B$9&amp;$B$29&amp;$C$29,Food!$Y:$Y),0),"")</f>
        <v>0</v>
      </c>
      <c r="C33" s="143">
        <f>IFERROR(IF($B$29=$B$29,SUMIF(Food!$C:$C,C$9&amp;$B$29&amp;$C$29,Food!$Y:$Y),0),"")</f>
        <v>0</v>
      </c>
      <c r="D33" s="143">
        <f>IFERROR(IF($B$29=$B$29,SUMIF(Food!$C:$C,D$9&amp;$B$29&amp;$C$29,Food!$Y:$Y),0),"")</f>
        <v>0</v>
      </c>
      <c r="E33" s="143">
        <f>IFERROR(IF($B$29=$B$29,SUMIF(Food!$C:$C,E$9&amp;$B$29&amp;$C$29,Food!$Y:$Y),0),"")</f>
        <v>0</v>
      </c>
      <c r="F33" s="143">
        <f>IFERROR(IF($B$29=$B$29,SUMIF(Food!$C:$C,F$9&amp;$B$29&amp;$C$29,Food!$Y:$Y),0),"")</f>
        <v>0</v>
      </c>
      <c r="G33" s="143">
        <f>IFERROR(IF($B$29=$B$29,SUMIF(Food!$C:$C,G$9&amp;$B$29&amp;$C$29,Food!$O:$O),0),"")</f>
        <v>0</v>
      </c>
    </row>
    <row r="34" spans="1:7" ht="15" thickBot="1">
      <c r="A34" s="139" t="s">
        <v>185</v>
      </c>
      <c r="B34" s="143">
        <f>IFERROR(IF($B$29=$B$29,SUMIF(Food!$C:$C,B$9&amp;$B$29&amp;$C$29,Food!$Z:$Z),0),"")</f>
        <v>0</v>
      </c>
      <c r="C34" s="143">
        <f>IFERROR(IF($B$29=$B$29,SUMIF(Food!$C:$C,C$9&amp;$B$29&amp;$C$29,Food!$Z:$Z),0),"")</f>
        <v>0</v>
      </c>
      <c r="D34" s="143">
        <f>IFERROR(IF($B$29=$B$29,SUMIF(Food!$C:$C,D$9&amp;$B$29&amp;$C$29,Food!$Z:$Z),0),"")</f>
        <v>0</v>
      </c>
      <c r="E34" s="143">
        <f>IFERROR(IF($B$29=$B$29,SUMIF(Food!$C:$C,E$9&amp;$B$29&amp;$C$29,Food!$Z:$Z),0),"")</f>
        <v>0</v>
      </c>
      <c r="F34" s="143">
        <f>IFERROR(IF($B$29=$B$29,SUMIF(Food!$C:$C,F$9&amp;$B$29&amp;$C$29,Food!$Z:$Z),0),"")</f>
        <v>0</v>
      </c>
      <c r="G34" s="143">
        <f>IFERROR(IF($B$29=$B$29,SUMIF(Food!$C:$C,G$9&amp;$B$29&amp;$C$29,Food!$P:$P),0),"")</f>
        <v>0</v>
      </c>
    </row>
    <row r="35" spans="1:7">
      <c r="A35" s="154"/>
      <c r="B35" s="155"/>
      <c r="C35" s="155"/>
      <c r="D35" s="155"/>
      <c r="E35" s="155"/>
      <c r="F35" s="155"/>
      <c r="G35" s="155"/>
    </row>
    <row r="36" spans="1:7" ht="15" thickBot="1">
      <c r="A36" s="162" t="s">
        <v>186</v>
      </c>
    </row>
    <row r="37" spans="1:7" ht="15" thickBot="1">
      <c r="A37" s="139" t="s">
        <v>162</v>
      </c>
      <c r="B37" s="143">
        <f>'P&amp;L'!$K$30</f>
        <v>0</v>
      </c>
      <c r="C37" s="143">
        <f>'P&amp;L'!$L$30</f>
        <v>0</v>
      </c>
      <c r="D37" s="143">
        <f>'P&amp;L'!$M$30</f>
        <v>0</v>
      </c>
      <c r="E37" s="143">
        <f>'P&amp;L'!$N$30</f>
        <v>0</v>
      </c>
      <c r="F37" s="143">
        <f>'P&amp;L'!$O$30</f>
        <v>0</v>
      </c>
      <c r="G37" s="143">
        <f>'P&amp;L'!$P$30</f>
        <v>0</v>
      </c>
    </row>
    <row r="38" spans="1:7" ht="15" thickBot="1">
      <c r="A38" s="139" t="s">
        <v>163</v>
      </c>
      <c r="B38" s="143" t="str">
        <f t="shared" ref="B38:G38" si="7">IFERROR(B31/B7," ")</f>
        <v xml:space="preserve"> </v>
      </c>
      <c r="C38" s="143">
        <f t="shared" si="7"/>
        <v>0</v>
      </c>
      <c r="D38" s="143">
        <f t="shared" si="7"/>
        <v>0</v>
      </c>
      <c r="E38" s="143">
        <f t="shared" si="7"/>
        <v>0</v>
      </c>
      <c r="F38" s="143" t="str">
        <f t="shared" si="7"/>
        <v xml:space="preserve"> </v>
      </c>
      <c r="G38" s="143">
        <f t="shared" si="7"/>
        <v>0</v>
      </c>
    </row>
    <row r="39" spans="1:7" ht="15" thickBot="1">
      <c r="A39" s="139" t="s">
        <v>164</v>
      </c>
      <c r="B39" s="143" t="str">
        <f t="shared" ref="B39:G39" si="8">IFERROR(B32/B7," ")</f>
        <v xml:space="preserve"> </v>
      </c>
      <c r="C39" s="143">
        <f t="shared" si="8"/>
        <v>0</v>
      </c>
      <c r="D39" s="143">
        <f t="shared" si="8"/>
        <v>0</v>
      </c>
      <c r="E39" s="143">
        <f t="shared" si="8"/>
        <v>0</v>
      </c>
      <c r="F39" s="143" t="str">
        <f t="shared" si="8"/>
        <v xml:space="preserve"> </v>
      </c>
      <c r="G39" s="143">
        <f t="shared" si="8"/>
        <v>0</v>
      </c>
    </row>
    <row r="40" spans="1:7" ht="15" thickBot="1">
      <c r="A40" s="139" t="s">
        <v>184</v>
      </c>
      <c r="B40" s="143" t="str">
        <f>IFERROR(B33/B8," ")</f>
        <v xml:space="preserve"> </v>
      </c>
      <c r="C40" s="143">
        <f>IFERROR(C33/C7," ")</f>
        <v>0</v>
      </c>
      <c r="D40" s="143">
        <f>IFERROR(D33/D7," ")</f>
        <v>0</v>
      </c>
      <c r="E40" s="143">
        <f>IFERROR(E33/E7," ")</f>
        <v>0</v>
      </c>
      <c r="F40" s="143" t="str">
        <f>IFERROR(F33/F7," ")</f>
        <v xml:space="preserve"> </v>
      </c>
      <c r="G40" s="143">
        <f>IFERROR(G33/G7," ")</f>
        <v>0</v>
      </c>
    </row>
    <row r="41" spans="1:7" ht="15" thickBot="1">
      <c r="A41" s="139" t="s">
        <v>185</v>
      </c>
      <c r="B41" s="143" t="str">
        <f t="shared" ref="B41:G41" si="9">IFERROR(B34/B7," ")</f>
        <v xml:space="preserve"> </v>
      </c>
      <c r="C41" s="143">
        <f t="shared" si="9"/>
        <v>0</v>
      </c>
      <c r="D41" s="143">
        <f t="shared" si="9"/>
        <v>0</v>
      </c>
      <c r="E41" s="143">
        <f t="shared" si="9"/>
        <v>0</v>
      </c>
      <c r="F41" s="143" t="str">
        <f t="shared" si="9"/>
        <v xml:space="preserve"> </v>
      </c>
      <c r="G41" s="143">
        <f t="shared" si="9"/>
        <v>0</v>
      </c>
    </row>
    <row r="42" spans="1:7">
      <c r="B42" s="156"/>
      <c r="C42" s="156"/>
    </row>
    <row r="43" spans="1:7">
      <c r="B43" s="156"/>
      <c r="C43" s="156"/>
    </row>
    <row r="108" spans="1:1">
      <c r="A108" s="140">
        <v>388</v>
      </c>
    </row>
    <row r="109" spans="1:1">
      <c r="A109" s="140">
        <v>787</v>
      </c>
    </row>
  </sheetData>
  <mergeCells count="1">
    <mergeCell ref="A2:A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CE4A-0462-4EC6-BCEA-3BEFE947E0D8}">
  <sheetPr>
    <tabColor theme="7" tint="0.59999389629810485"/>
  </sheetPr>
  <dimension ref="A1:W35"/>
  <sheetViews>
    <sheetView zoomScale="85" zoomScaleNormal="85" workbookViewId="0">
      <selection activeCell="H39" sqref="H39"/>
    </sheetView>
  </sheetViews>
  <sheetFormatPr defaultColWidth="9.5703125" defaultRowHeight="14.45"/>
  <cols>
    <col min="1" max="1" width="18.5703125" bestFit="1" customWidth="1"/>
    <col min="2" max="2" width="12.28515625" bestFit="1" customWidth="1"/>
    <col min="10" max="10" width="13.5703125" bestFit="1" customWidth="1"/>
  </cols>
  <sheetData>
    <row r="1" spans="1:23" ht="15" thickBot="1">
      <c r="A1" s="6" t="s">
        <v>190</v>
      </c>
      <c r="B1" s="6">
        <v>350</v>
      </c>
      <c r="C1" s="7"/>
      <c r="D1" s="7"/>
      <c r="E1" s="7"/>
      <c r="F1" s="7"/>
      <c r="G1" s="7"/>
      <c r="H1" s="8"/>
      <c r="I1" s="8"/>
      <c r="J1" s="9" t="s">
        <v>191</v>
      </c>
      <c r="K1" s="10"/>
      <c r="N1" s="167"/>
      <c r="O1" s="167"/>
      <c r="P1" s="8"/>
      <c r="Q1" s="8"/>
      <c r="R1" s="8"/>
      <c r="S1" s="8"/>
      <c r="T1" s="8"/>
      <c r="U1" s="8"/>
    </row>
    <row r="2" spans="1:23" ht="15" thickBot="1">
      <c r="A2" s="11" t="s">
        <v>192</v>
      </c>
      <c r="B2" s="12" t="s">
        <v>43</v>
      </c>
      <c r="C2" s="12" t="s">
        <v>44</v>
      </c>
      <c r="D2" s="12" t="s">
        <v>193</v>
      </c>
      <c r="E2" s="12" t="s">
        <v>46</v>
      </c>
      <c r="F2" s="12" t="s">
        <v>47</v>
      </c>
      <c r="G2" s="12" t="s">
        <v>48</v>
      </c>
      <c r="H2" s="12" t="s">
        <v>150</v>
      </c>
      <c r="I2" s="8"/>
      <c r="J2" s="9" t="s">
        <v>194</v>
      </c>
      <c r="K2" s="10"/>
      <c r="N2" s="168"/>
      <c r="O2" s="169"/>
      <c r="P2" s="169"/>
      <c r="Q2" s="169"/>
      <c r="R2" s="169"/>
      <c r="S2" s="169"/>
      <c r="T2" s="169"/>
      <c r="U2" s="169"/>
      <c r="V2" s="169"/>
    </row>
    <row r="3" spans="1:23" ht="15" thickBot="1">
      <c r="A3" s="14" t="s">
        <v>152</v>
      </c>
      <c r="B3" s="10">
        <f t="shared" ref="B3:H3" si="0">IF($B$1=350,B17,IF($B$1=737,B23,IF($B$1=380,B23)))</f>
        <v>0</v>
      </c>
      <c r="C3" s="10">
        <f t="shared" si="0"/>
        <v>34</v>
      </c>
      <c r="D3" s="10">
        <f t="shared" si="0"/>
        <v>48</v>
      </c>
      <c r="E3" s="10">
        <f t="shared" si="0"/>
        <v>198</v>
      </c>
      <c r="F3" s="10">
        <f t="shared" si="0"/>
        <v>0</v>
      </c>
      <c r="G3" s="10">
        <f t="shared" si="0"/>
        <v>6</v>
      </c>
      <c r="H3" s="10">
        <f t="shared" si="0"/>
        <v>286</v>
      </c>
      <c r="I3" s="15"/>
      <c r="J3" s="9" t="s">
        <v>195</v>
      </c>
      <c r="K3" s="10"/>
      <c r="N3" s="170"/>
      <c r="O3" s="8"/>
      <c r="P3" s="8"/>
      <c r="Q3" s="8"/>
      <c r="R3" s="8"/>
      <c r="S3" s="8"/>
      <c r="T3" s="8"/>
      <c r="U3" s="8"/>
      <c r="V3" s="8"/>
      <c r="W3" s="8"/>
    </row>
    <row r="4" spans="1:23" ht="15" thickBot="1">
      <c r="A4" s="14" t="s">
        <v>196</v>
      </c>
      <c r="B4" s="16">
        <f>+'P&amp;L'!$R$4</f>
        <v>0.85</v>
      </c>
      <c r="C4" s="16">
        <f>+'P&amp;L'!$R$4</f>
        <v>0.85</v>
      </c>
      <c r="D4" s="16">
        <f>+'P&amp;L'!$R$4</f>
        <v>0.85</v>
      </c>
      <c r="E4" s="16">
        <f>+'P&amp;L'!$R$4</f>
        <v>0.85</v>
      </c>
      <c r="F4" s="16">
        <f>+'P&amp;L'!$R$4</f>
        <v>0.85</v>
      </c>
      <c r="G4" s="16">
        <f>+'P&amp;L'!$R$4</f>
        <v>0.85</v>
      </c>
      <c r="H4" s="16"/>
      <c r="I4" s="8"/>
      <c r="J4" s="9" t="s">
        <v>197</v>
      </c>
      <c r="K4" s="10"/>
      <c r="N4" s="170"/>
      <c r="O4" s="172"/>
      <c r="P4" s="172"/>
      <c r="Q4" s="172"/>
      <c r="R4" s="172"/>
      <c r="S4" s="172"/>
      <c r="T4" s="172"/>
      <c r="U4" s="172"/>
    </row>
    <row r="5" spans="1:23" ht="15" thickBot="1">
      <c r="A5" s="17" t="s">
        <v>198</v>
      </c>
      <c r="B5" s="18">
        <f t="shared" ref="B5:G5" si="1">ROUNDUP(B3*B4,0)</f>
        <v>0</v>
      </c>
      <c r="C5" s="18">
        <f t="shared" si="1"/>
        <v>29</v>
      </c>
      <c r="D5" s="18">
        <f t="shared" si="1"/>
        <v>41</v>
      </c>
      <c r="E5" s="18">
        <f t="shared" si="1"/>
        <v>169</v>
      </c>
      <c r="F5" s="18">
        <f t="shared" si="1"/>
        <v>0</v>
      </c>
      <c r="G5" s="18">
        <f t="shared" si="1"/>
        <v>6</v>
      </c>
      <c r="H5" s="18">
        <f>SUM(B5:G5)</f>
        <v>245</v>
      </c>
      <c r="I5" s="15"/>
      <c r="J5" s="19" t="s">
        <v>199</v>
      </c>
      <c r="K5" s="13"/>
      <c r="N5" s="170"/>
      <c r="O5" s="15"/>
      <c r="P5" s="15"/>
      <c r="Q5" s="15"/>
      <c r="R5" s="15"/>
      <c r="S5" s="15"/>
      <c r="T5" s="15"/>
      <c r="U5" s="15"/>
    </row>
    <row r="8" spans="1:23" ht="4.1500000000000004" customHeight="1"/>
    <row r="9" spans="1:23" ht="13.9" hidden="1" customHeight="1" thickBot="1">
      <c r="A9" s="6" t="s">
        <v>190</v>
      </c>
      <c r="B9" s="6">
        <v>787</v>
      </c>
      <c r="C9" s="7"/>
      <c r="D9" s="7"/>
      <c r="E9" s="7"/>
      <c r="F9" s="7"/>
      <c r="G9" s="7"/>
      <c r="H9" s="8"/>
      <c r="I9" s="8"/>
      <c r="J9" s="9" t="s">
        <v>191</v>
      </c>
      <c r="K9" s="10">
        <v>52</v>
      </c>
      <c r="N9" s="167"/>
      <c r="O9" s="167"/>
      <c r="P9" s="8"/>
      <c r="Q9" s="8"/>
      <c r="R9" s="8"/>
      <c r="S9" s="8"/>
      <c r="T9" s="8"/>
      <c r="U9" s="8"/>
    </row>
    <row r="10" spans="1:23" ht="13.9" hidden="1" customHeight="1" thickBot="1">
      <c r="A10" s="11" t="s">
        <v>192</v>
      </c>
      <c r="B10" s="12" t="s">
        <v>43</v>
      </c>
      <c r="C10" s="12" t="s">
        <v>44</v>
      </c>
      <c r="D10" s="12" t="s">
        <v>193</v>
      </c>
      <c r="E10" s="12" t="s">
        <v>46</v>
      </c>
      <c r="F10" s="12" t="s">
        <v>47</v>
      </c>
      <c r="G10" s="12" t="s">
        <v>48</v>
      </c>
      <c r="H10" s="12" t="s">
        <v>150</v>
      </c>
      <c r="I10" s="8"/>
      <c r="J10" s="9" t="s">
        <v>194</v>
      </c>
      <c r="K10" s="13">
        <v>5</v>
      </c>
      <c r="N10" s="168"/>
      <c r="O10" s="169"/>
      <c r="P10" s="169"/>
      <c r="Q10" s="169"/>
      <c r="R10" s="169"/>
      <c r="S10" s="169"/>
      <c r="T10" s="169"/>
      <c r="U10" s="169"/>
    </row>
    <row r="11" spans="1:23" ht="13.9" hidden="1" customHeight="1" thickBot="1">
      <c r="A11" s="14" t="s">
        <v>152</v>
      </c>
      <c r="B11" s="10">
        <v>0</v>
      </c>
      <c r="C11" s="10">
        <v>0</v>
      </c>
      <c r="D11" s="10">
        <v>36</v>
      </c>
      <c r="E11" s="10">
        <v>323</v>
      </c>
      <c r="F11" s="10">
        <v>1</v>
      </c>
      <c r="G11" s="157">
        <v>10</v>
      </c>
      <c r="H11" s="10">
        <f>SUM(B11:G11)</f>
        <v>370</v>
      </c>
      <c r="I11" s="15"/>
      <c r="J11" s="9" t="s">
        <v>195</v>
      </c>
      <c r="K11" s="13">
        <f>K9*K10</f>
        <v>260</v>
      </c>
      <c r="N11" s="170"/>
      <c r="O11" s="8"/>
      <c r="P11" s="8"/>
      <c r="Q11" s="8"/>
      <c r="R11" s="8"/>
      <c r="S11" s="8"/>
      <c r="T11" s="171"/>
      <c r="U11" s="8"/>
    </row>
    <row r="12" spans="1:23" ht="13.9" hidden="1" customHeight="1" thickBot="1">
      <c r="A12" s="14" t="s">
        <v>196</v>
      </c>
      <c r="B12" s="16">
        <v>1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/>
      <c r="I12" s="8"/>
      <c r="J12" s="9" t="s">
        <v>197</v>
      </c>
      <c r="K12" s="10">
        <v>1</v>
      </c>
      <c r="N12" s="170"/>
      <c r="O12" s="172"/>
      <c r="P12" s="172"/>
      <c r="Q12" s="172"/>
      <c r="R12" s="172"/>
      <c r="S12" s="172"/>
      <c r="T12" s="172"/>
      <c r="U12" s="172"/>
    </row>
    <row r="13" spans="1:23" ht="13.9" hidden="1" customHeight="1" thickBot="1">
      <c r="A13" s="17" t="s">
        <v>198</v>
      </c>
      <c r="B13" s="18">
        <f t="shared" ref="B13:G13" si="2">ROUNDUP(B11*B12,0)</f>
        <v>0</v>
      </c>
      <c r="C13" s="18">
        <f t="shared" si="2"/>
        <v>0</v>
      </c>
      <c r="D13" s="18">
        <f t="shared" si="2"/>
        <v>36</v>
      </c>
      <c r="E13" s="18">
        <f t="shared" si="2"/>
        <v>323</v>
      </c>
      <c r="F13" s="18">
        <f t="shared" si="2"/>
        <v>1</v>
      </c>
      <c r="G13" s="18">
        <f t="shared" si="2"/>
        <v>10</v>
      </c>
      <c r="H13" s="18">
        <f>SUM(B13:G13)</f>
        <v>370</v>
      </c>
      <c r="I13" s="15"/>
      <c r="J13" s="19" t="s">
        <v>199</v>
      </c>
      <c r="K13" s="20">
        <f>K11/K12</f>
        <v>260</v>
      </c>
      <c r="N13" s="170"/>
      <c r="O13" s="15"/>
      <c r="P13" s="15"/>
      <c r="Q13" s="15"/>
      <c r="R13" s="15"/>
      <c r="S13" s="15"/>
      <c r="T13" s="15"/>
      <c r="U13" s="15"/>
    </row>
    <row r="14" spans="1:23" ht="13.9" customHeight="1" thickBot="1">
      <c r="A14" s="285">
        <v>0</v>
      </c>
    </row>
    <row r="15" spans="1:23" ht="15" thickBot="1">
      <c r="A15" s="6" t="s">
        <v>190</v>
      </c>
      <c r="B15" s="6">
        <v>350</v>
      </c>
      <c r="C15" s="7"/>
      <c r="D15" s="7"/>
      <c r="E15" s="7"/>
      <c r="F15" s="7"/>
      <c r="G15" s="7"/>
      <c r="H15" s="8"/>
      <c r="I15" s="8"/>
      <c r="J15" s="9" t="s">
        <v>191</v>
      </c>
      <c r="K15" s="10">
        <v>52</v>
      </c>
    </row>
    <row r="16" spans="1:23" ht="15" thickBot="1">
      <c r="A16" s="11" t="s">
        <v>192</v>
      </c>
      <c r="B16" s="12" t="s">
        <v>43</v>
      </c>
      <c r="C16" s="12" t="s">
        <v>44</v>
      </c>
      <c r="D16" s="12" t="s">
        <v>193</v>
      </c>
      <c r="E16" s="12" t="s">
        <v>46</v>
      </c>
      <c r="F16" s="12" t="s">
        <v>47</v>
      </c>
      <c r="G16" s="12" t="s">
        <v>48</v>
      </c>
      <c r="H16" s="12" t="s">
        <v>150</v>
      </c>
      <c r="I16" s="8"/>
      <c r="J16" s="9" t="s">
        <v>194</v>
      </c>
      <c r="K16" s="13">
        <v>7</v>
      </c>
    </row>
    <row r="17" spans="1:11" ht="15" thickBot="1">
      <c r="A17" s="14" t="s">
        <v>152</v>
      </c>
      <c r="B17" s="13">
        <f t="shared" ref="B17:G17" si="3">B29</f>
        <v>0</v>
      </c>
      <c r="C17" s="13">
        <f t="shared" si="3"/>
        <v>34</v>
      </c>
      <c r="D17" s="13">
        <f t="shared" si="3"/>
        <v>48</v>
      </c>
      <c r="E17" s="13">
        <f t="shared" si="3"/>
        <v>198</v>
      </c>
      <c r="F17" s="13">
        <f t="shared" si="3"/>
        <v>0</v>
      </c>
      <c r="G17" s="344">
        <f t="shared" si="3"/>
        <v>6</v>
      </c>
      <c r="H17" s="10">
        <f>SUM(B17:G17)</f>
        <v>286</v>
      </c>
      <c r="I17" s="15"/>
      <c r="J17" s="9" t="s">
        <v>195</v>
      </c>
      <c r="K17" s="13">
        <f>K15*K16</f>
        <v>364</v>
      </c>
    </row>
    <row r="18" spans="1:11" ht="15" thickBot="1">
      <c r="A18" s="14" t="s">
        <v>196</v>
      </c>
      <c r="B18" s="16">
        <f>+'P&amp;L'!$R$4</f>
        <v>0.85</v>
      </c>
      <c r="C18" s="16">
        <f>+'P&amp;L'!$R$4</f>
        <v>0.85</v>
      </c>
      <c r="D18" s="16">
        <f>+'P&amp;L'!$R$4</f>
        <v>0.85</v>
      </c>
      <c r="E18" s="16">
        <f>+'P&amp;L'!$R$4</f>
        <v>0.85</v>
      </c>
      <c r="F18" s="16">
        <f>+'P&amp;L'!$R$4</f>
        <v>0.85</v>
      </c>
      <c r="G18" s="16">
        <f>+'P&amp;L'!$R$4</f>
        <v>0.85</v>
      </c>
      <c r="H18" s="16"/>
      <c r="I18" s="8"/>
      <c r="J18" s="9" t="s">
        <v>197</v>
      </c>
      <c r="K18" s="10">
        <v>1</v>
      </c>
    </row>
    <row r="19" spans="1:11" ht="15" thickBot="1">
      <c r="A19" s="17" t="s">
        <v>198</v>
      </c>
      <c r="B19" s="18">
        <f t="shared" ref="B19:G19" si="4">ROUNDUP(B17*B18,0)</f>
        <v>0</v>
      </c>
      <c r="C19" s="18">
        <f t="shared" si="4"/>
        <v>29</v>
      </c>
      <c r="D19" s="18">
        <f t="shared" si="4"/>
        <v>41</v>
      </c>
      <c r="E19" s="18">
        <f t="shared" si="4"/>
        <v>169</v>
      </c>
      <c r="F19" s="18">
        <f t="shared" si="4"/>
        <v>0</v>
      </c>
      <c r="G19" s="18">
        <f t="shared" si="4"/>
        <v>6</v>
      </c>
      <c r="H19" s="18">
        <f>SUM(B19:G19)</f>
        <v>245</v>
      </c>
      <c r="I19" s="15"/>
      <c r="J19" s="19" t="s">
        <v>199</v>
      </c>
      <c r="K19" s="20">
        <v>365</v>
      </c>
    </row>
    <row r="20" spans="1:11" ht="15" thickBot="1"/>
    <row r="21" spans="1:11" ht="15" thickBot="1">
      <c r="A21" s="6"/>
      <c r="B21" s="6">
        <v>330</v>
      </c>
      <c r="C21" s="7"/>
      <c r="D21" s="7"/>
      <c r="E21" s="7"/>
      <c r="F21" s="7"/>
      <c r="G21" s="7"/>
      <c r="H21" s="8"/>
      <c r="I21" s="8"/>
      <c r="J21" s="9" t="s">
        <v>191</v>
      </c>
      <c r="K21" s="10">
        <v>52</v>
      </c>
    </row>
    <row r="22" spans="1:11" ht="15" thickBot="1">
      <c r="A22" s="11" t="s">
        <v>192</v>
      </c>
      <c r="B22" s="12" t="s">
        <v>43</v>
      </c>
      <c r="C22" s="12" t="s">
        <v>44</v>
      </c>
      <c r="D22" s="12" t="s">
        <v>193</v>
      </c>
      <c r="E22" s="12" t="s">
        <v>46</v>
      </c>
      <c r="F22" s="12" t="s">
        <v>47</v>
      </c>
      <c r="G22" s="12" t="s">
        <v>48</v>
      </c>
      <c r="H22" s="12" t="s">
        <v>150</v>
      </c>
      <c r="I22" s="8"/>
      <c r="J22" s="9" t="s">
        <v>194</v>
      </c>
      <c r="K22" s="13">
        <v>7</v>
      </c>
    </row>
    <row r="23" spans="1:11" ht="15" thickBot="1">
      <c r="A23" s="14" t="s">
        <v>152</v>
      </c>
      <c r="B23" s="13">
        <f>B35</f>
        <v>0</v>
      </c>
      <c r="C23" s="13">
        <f t="shared" ref="C23:G23" si="5">C35</f>
        <v>30</v>
      </c>
      <c r="D23" s="13">
        <f t="shared" si="5"/>
        <v>44</v>
      </c>
      <c r="E23" s="13">
        <f t="shared" si="5"/>
        <v>184</v>
      </c>
      <c r="F23" s="13">
        <f t="shared" si="5"/>
        <v>0</v>
      </c>
      <c r="G23" s="13">
        <f t="shared" si="5"/>
        <v>6</v>
      </c>
      <c r="H23" s="10">
        <f>SUM(B23:G23)</f>
        <v>264</v>
      </c>
      <c r="I23" s="15"/>
      <c r="J23" s="9" t="s">
        <v>195</v>
      </c>
      <c r="K23" s="13">
        <f>K21*K22</f>
        <v>364</v>
      </c>
    </row>
    <row r="24" spans="1:11" ht="15" thickBot="1">
      <c r="A24" s="14" t="s">
        <v>196</v>
      </c>
      <c r="B24" s="16">
        <f>+'P&amp;L'!$R$4</f>
        <v>0.85</v>
      </c>
      <c r="C24" s="16">
        <f>+'P&amp;L'!$R$4</f>
        <v>0.85</v>
      </c>
      <c r="D24" s="16">
        <f>+'P&amp;L'!$R$4</f>
        <v>0.85</v>
      </c>
      <c r="E24" s="16">
        <f>+'P&amp;L'!$R$4</f>
        <v>0.85</v>
      </c>
      <c r="F24" s="16">
        <f>+'P&amp;L'!$R$4</f>
        <v>0.85</v>
      </c>
      <c r="G24" s="16">
        <f>+'P&amp;L'!$R$4</f>
        <v>0.85</v>
      </c>
      <c r="H24" s="16"/>
      <c r="I24" s="8"/>
      <c r="J24" s="9" t="s">
        <v>197</v>
      </c>
      <c r="K24" s="10">
        <v>1</v>
      </c>
    </row>
    <row r="25" spans="1:11" ht="15" thickBot="1">
      <c r="A25" s="17" t="s">
        <v>198</v>
      </c>
      <c r="B25" s="18">
        <f t="shared" ref="B25:G25" si="6">ROUNDUP(B23*B24,0)</f>
        <v>0</v>
      </c>
      <c r="C25" s="18">
        <f t="shared" si="6"/>
        <v>26</v>
      </c>
      <c r="D25" s="18">
        <f t="shared" si="6"/>
        <v>38</v>
      </c>
      <c r="E25" s="18">
        <f t="shared" si="6"/>
        <v>157</v>
      </c>
      <c r="F25" s="18">
        <f t="shared" si="6"/>
        <v>0</v>
      </c>
      <c r="G25" s="18">
        <f t="shared" si="6"/>
        <v>6</v>
      </c>
      <c r="H25" s="18">
        <f>SUM(B25:G25)</f>
        <v>227</v>
      </c>
      <c r="I25" s="15"/>
      <c r="J25" s="19" t="s">
        <v>199</v>
      </c>
      <c r="K25" s="20">
        <v>365</v>
      </c>
    </row>
    <row r="28" spans="1:11" ht="43.15">
      <c r="A28" s="345" t="s">
        <v>200</v>
      </c>
      <c r="B28" s="123" t="s">
        <v>154</v>
      </c>
      <c r="C28" s="123" t="s">
        <v>155</v>
      </c>
      <c r="D28" s="123" t="s">
        <v>156</v>
      </c>
      <c r="E28" s="123" t="s">
        <v>157</v>
      </c>
      <c r="F28" s="123" t="s">
        <v>158</v>
      </c>
      <c r="G28" s="123" t="s">
        <v>188</v>
      </c>
    </row>
    <row r="29" spans="1:11">
      <c r="B29" s="254">
        <v>0</v>
      </c>
      <c r="C29" s="254">
        <v>34</v>
      </c>
      <c r="D29" s="254">
        <v>48</v>
      </c>
      <c r="E29" s="254">
        <v>198</v>
      </c>
      <c r="F29" s="254"/>
      <c r="G29" s="254">
        <v>6</v>
      </c>
    </row>
    <row r="34" spans="1:7" ht="43.15">
      <c r="A34" s="345" t="s">
        <v>201</v>
      </c>
      <c r="B34" s="123" t="s">
        <v>154</v>
      </c>
      <c r="C34" s="123" t="s">
        <v>155</v>
      </c>
      <c r="D34" s="123" t="s">
        <v>156</v>
      </c>
      <c r="E34" s="123" t="s">
        <v>157</v>
      </c>
      <c r="F34" s="123" t="s">
        <v>158</v>
      </c>
      <c r="G34" s="123" t="s">
        <v>188</v>
      </c>
    </row>
    <row r="35" spans="1:7">
      <c r="B35" s="254">
        <v>0</v>
      </c>
      <c r="C35" s="254">
        <v>30</v>
      </c>
      <c r="D35" s="254">
        <v>44</v>
      </c>
      <c r="E35" s="254">
        <v>184</v>
      </c>
      <c r="F35" s="254"/>
      <c r="G35" s="254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053F-E28F-4FE2-A8A7-22CF0134E920}">
  <sheetPr filterMode="1">
    <tabColor theme="7" tint="0.59999389629810485"/>
  </sheetPr>
  <dimension ref="A1:AH346"/>
  <sheetViews>
    <sheetView zoomScaleNormal="100" workbookViewId="0">
      <selection activeCell="N60" sqref="N60"/>
    </sheetView>
  </sheetViews>
  <sheetFormatPr defaultRowHeight="14.45"/>
  <cols>
    <col min="1" max="1" width="18" customWidth="1"/>
    <col min="2" max="2" width="5.7109375" bestFit="1" customWidth="1"/>
    <col min="3" max="3" width="23.42578125" customWidth="1"/>
    <col min="4" max="4" width="8.7109375" customWidth="1"/>
    <col min="5" max="5" width="10.7109375" style="308" bestFit="1" customWidth="1"/>
    <col min="6" max="6" width="11.28515625" style="35" bestFit="1" customWidth="1"/>
    <col min="7" max="7" width="46.28515625" style="123" customWidth="1"/>
    <col min="8" max="8" width="8" style="291" customWidth="1"/>
    <col min="9" max="9" width="9.5703125" bestFit="1" customWidth="1"/>
    <col min="10" max="10" width="8.42578125" style="295" customWidth="1"/>
    <col min="11" max="11" width="9.5703125" style="131" bestFit="1" customWidth="1"/>
    <col min="12" max="12" width="6.28515625" style="192" customWidth="1"/>
    <col min="13" max="13" width="8.42578125" style="131" bestFit="1" customWidth="1"/>
    <col min="14" max="14" width="8.42578125" bestFit="1" customWidth="1"/>
    <col min="15" max="15" width="8.28515625" bestFit="1" customWidth="1"/>
    <col min="16" max="16" width="10.28515625" customWidth="1"/>
    <col min="17" max="17" width="8.5703125" customWidth="1"/>
    <col min="18" max="18" width="9.28515625" bestFit="1" customWidth="1"/>
    <col min="21" max="21" width="11" bestFit="1" customWidth="1"/>
    <col min="22" max="22" width="11" customWidth="1"/>
    <col min="23" max="23" width="8.42578125" bestFit="1" customWidth="1"/>
    <col min="24" max="24" width="7.7109375" bestFit="1" customWidth="1"/>
    <col min="25" max="26" width="7.7109375" customWidth="1"/>
    <col min="27" max="27" width="12.5703125" bestFit="1" customWidth="1"/>
    <col min="29" max="29" width="13.42578125" bestFit="1" customWidth="1"/>
    <col min="30" max="33" width="11.7109375" bestFit="1" customWidth="1"/>
    <col min="34" max="34" width="13.42578125" bestFit="1" customWidth="1"/>
  </cols>
  <sheetData>
    <row r="1" spans="1:34" ht="15" thickBot="1">
      <c r="A1" s="28"/>
      <c r="B1" s="29"/>
      <c r="C1" s="29"/>
      <c r="D1" s="29"/>
      <c r="E1" s="305"/>
      <c r="F1" s="311"/>
      <c r="G1" s="120"/>
      <c r="H1" s="286"/>
      <c r="I1" s="29"/>
      <c r="J1" s="292"/>
      <c r="K1" s="249"/>
      <c r="L1" s="249"/>
      <c r="M1" s="128"/>
      <c r="N1" s="29"/>
      <c r="O1" s="29"/>
      <c r="P1" s="324"/>
      <c r="Q1" s="325"/>
      <c r="R1" s="185"/>
      <c r="U1" s="470" t="s">
        <v>160</v>
      </c>
      <c r="V1" s="471"/>
      <c r="W1" s="471"/>
      <c r="X1" s="471"/>
      <c r="Y1" s="471"/>
      <c r="Z1" s="471"/>
      <c r="AA1" s="472"/>
      <c r="AD1" s="473" t="s">
        <v>202</v>
      </c>
      <c r="AE1" s="474"/>
      <c r="AF1" s="474"/>
      <c r="AG1" s="474"/>
      <c r="AH1" s="475"/>
    </row>
    <row r="2" spans="1:34" ht="15" thickBot="1">
      <c r="A2" s="30"/>
      <c r="B2" s="31"/>
      <c r="C2" s="31"/>
      <c r="D2" s="31"/>
      <c r="E2" s="306"/>
      <c r="F2" s="312"/>
      <c r="G2" s="121"/>
      <c r="H2" s="287"/>
      <c r="I2" s="31"/>
      <c r="J2" s="293"/>
      <c r="K2" s="129"/>
      <c r="L2" s="246"/>
      <c r="M2" s="132">
        <v>0.4</v>
      </c>
      <c r="N2" s="133"/>
      <c r="O2" s="182">
        <f>'P&amp;L'!R8</f>
        <v>0.13</v>
      </c>
      <c r="P2" s="184">
        <f>'P&amp;L'!R9</f>
        <v>0.13</v>
      </c>
      <c r="Q2" s="183"/>
      <c r="R2" s="32"/>
      <c r="U2" s="21"/>
      <c r="V2" s="22"/>
      <c r="W2" s="22"/>
      <c r="X2" s="22"/>
      <c r="Y2" s="22"/>
      <c r="Z2" s="22"/>
      <c r="AA2" s="23"/>
      <c r="AD2" s="24"/>
      <c r="AE2" s="25"/>
      <c r="AF2" s="25"/>
      <c r="AG2" s="25"/>
      <c r="AH2" s="26"/>
    </row>
    <row r="3" spans="1:34" ht="43.15">
      <c r="A3" s="27" t="s">
        <v>203</v>
      </c>
      <c r="B3" s="27" t="s">
        <v>181</v>
      </c>
      <c r="C3" s="27"/>
      <c r="D3" s="27" t="s">
        <v>204</v>
      </c>
      <c r="E3" s="307" t="s">
        <v>205</v>
      </c>
      <c r="F3" s="313"/>
      <c r="G3" s="122" t="s">
        <v>3</v>
      </c>
      <c r="H3" s="288" t="s">
        <v>206</v>
      </c>
      <c r="I3" s="2" t="s">
        <v>207</v>
      </c>
      <c r="J3" s="294" t="s">
        <v>208</v>
      </c>
      <c r="K3" s="130" t="s">
        <v>209</v>
      </c>
      <c r="L3" s="27" t="s">
        <v>210</v>
      </c>
      <c r="M3" s="130" t="s">
        <v>211</v>
      </c>
      <c r="N3" s="3" t="s">
        <v>212</v>
      </c>
      <c r="O3" s="3" t="s">
        <v>103</v>
      </c>
      <c r="P3" s="3" t="s">
        <v>213</v>
      </c>
      <c r="Q3" s="3" t="s">
        <v>214</v>
      </c>
      <c r="R3" s="186"/>
      <c r="T3" s="1" t="s">
        <v>215</v>
      </c>
      <c r="U3" s="1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1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4" t="s">
        <v>227</v>
      </c>
      <c r="AH3" s="5" t="s">
        <v>228</v>
      </c>
    </row>
    <row r="4" spans="1:34" hidden="1">
      <c r="A4" s="125"/>
      <c r="B4" s="126"/>
      <c r="C4" s="126"/>
      <c r="D4" s="125"/>
      <c r="F4" s="314"/>
      <c r="G4" s="127"/>
      <c r="H4" s="289"/>
      <c r="I4" s="125"/>
    </row>
    <row r="5" spans="1:34" ht="28.9" hidden="1">
      <c r="A5" t="s">
        <v>155</v>
      </c>
      <c r="B5" s="175">
        <v>1</v>
      </c>
      <c r="C5" s="180" t="str">
        <f>CONCATENATE(A5&amp;B5&amp;F5)</f>
        <v>BUSINESS CLASS1104</v>
      </c>
      <c r="D5" s="176"/>
      <c r="E5" s="309">
        <v>1001</v>
      </c>
      <c r="F5" s="315">
        <v>104</v>
      </c>
      <c r="G5" s="123" t="str">
        <f>VLOOKUP(E5,'FG MASTER'!$A$10:$AB$218,2,0)</f>
        <v xml:space="preserve">BC C1 DINNER GEORGIA PEACH CHILI WHIPPED BUTTER </v>
      </c>
      <c r="H5" s="290">
        <v>1</v>
      </c>
      <c r="I5" s="177">
        <v>1</v>
      </c>
      <c r="J5" s="296">
        <f>IFERROR(IF(I5="std",H5,HLOOKUP(A5,'FlightConfig '!$B$28:$G$29,2,0)*I5),"")</f>
        <v>34</v>
      </c>
      <c r="K5" s="249">
        <f>VLOOKUP(Food!E5,'FG MASTER'!$A$1:$AC$536,16,0)</f>
        <v>0.47</v>
      </c>
      <c r="L5" s="250">
        <f>VLOOKUP(Food!E5,'FG MASTER'!$A$10:$AC$536,17,0)</f>
        <v>0.5</v>
      </c>
      <c r="M5" s="136">
        <f t="shared" ref="M5:M27" si="0">IFERROR(L5*$M$2,"")</f>
        <v>0.2</v>
      </c>
      <c r="N5" s="136">
        <f t="shared" ref="N5:N27" si="1">IFERROR((K5)+M5,"")</f>
        <v>0.66999999999999993</v>
      </c>
      <c r="O5" s="136">
        <f>IFERROR($K5*(1+$O$2)-$K5,0)</f>
        <v>6.1099999999999932E-2</v>
      </c>
      <c r="P5" s="136">
        <f>IFERROR($M5*(1+$P$2)-$M5,0)</f>
        <v>2.5999999999999968E-2</v>
      </c>
      <c r="Q5" s="136">
        <f>SUM(N5:P5)</f>
        <v>0.75709999999999988</v>
      </c>
      <c r="R5" s="131"/>
      <c r="S5" s="131"/>
      <c r="T5" t="str">
        <f>IFERROR(#REF!*J5,"")</f>
        <v/>
      </c>
      <c r="U5">
        <f>IFERROR(K5*J5,"")</f>
        <v>15.979999999999999</v>
      </c>
      <c r="V5">
        <f>IFERROR(+L5*J5,"")</f>
        <v>17</v>
      </c>
      <c r="W5" s="131">
        <f>IFERROR(+M5*J5,"")</f>
        <v>6.8000000000000007</v>
      </c>
      <c r="X5" s="131">
        <f>IFERROR(+N5*J5,"")</f>
        <v>22.779999999999998</v>
      </c>
      <c r="Y5" s="131">
        <f>IFERROR(O5*$J5,"")</f>
        <v>2.0773999999999977</v>
      </c>
      <c r="Z5" s="131">
        <f t="shared" ref="Z5" si="2">IFERROR(P5*$J5,"")</f>
        <v>0.8839999999999989</v>
      </c>
      <c r="AA5" s="131">
        <f t="shared" ref="AA5" si="3">IFERROR(+Q5*J5,"")</f>
        <v>25.741399999999995</v>
      </c>
      <c r="AC5" s="131" t="str">
        <f>IFERROR(T5*'FlightConfig '!$K$3,"")</f>
        <v/>
      </c>
      <c r="AD5" s="131">
        <f>IFERROR(U5*'FlightConfig '!$K$17,"")</f>
        <v>5816.7199999999993</v>
      </c>
      <c r="AE5" s="131">
        <f>IFERROR(V5*'FlightConfig '!$K$17,"")</f>
        <v>6188</v>
      </c>
      <c r="AF5" s="131">
        <f>IFERROR(W5*'FlightConfig '!$K$17,"")</f>
        <v>2475.2000000000003</v>
      </c>
      <c r="AG5" s="131">
        <f>IFERROR(X5*'FlightConfig '!$K$17,"")</f>
        <v>8291.9199999999983</v>
      </c>
      <c r="AH5" s="131">
        <f>IFERROR(Y5*'FlightConfig '!$K$17,"")</f>
        <v>756.17359999999917</v>
      </c>
    </row>
    <row r="6" spans="1:34" hidden="1">
      <c r="A6" t="s">
        <v>155</v>
      </c>
      <c r="B6" s="175">
        <v>1</v>
      </c>
      <c r="C6" s="180" t="str">
        <f t="shared" ref="C6:C24" si="4">CONCATENATE(A6&amp;B6&amp;F6)</f>
        <v>BUSINESS CLASS1104</v>
      </c>
      <c r="D6" s="176"/>
      <c r="E6" s="309">
        <v>1002</v>
      </c>
      <c r="F6" s="315">
        <v>104</v>
      </c>
      <c r="G6" s="123" t="str">
        <f>VLOOKUP(E6,'FG MASTER'!$A$10:$AB$218,2,0)</f>
        <v xml:space="preserve">BC C1 DINNER SWEETWATER BEET AND CHEESE ROLL </v>
      </c>
      <c r="H6" s="290">
        <v>1</v>
      </c>
      <c r="I6" s="177">
        <v>0.5</v>
      </c>
      <c r="J6" s="296">
        <f>IFERROR(IF(I6="std",H6,HLOOKUP(A6,'FlightConfig '!$B$28:$G$29,2,0)*I6),"")</f>
        <v>17</v>
      </c>
      <c r="K6" s="249">
        <f>VLOOKUP(Food!E6,'FG MASTER'!$A$1:$AC$536,16,0)</f>
        <v>0.3</v>
      </c>
      <c r="L6" s="250">
        <f>VLOOKUP(Food!E6,'FG MASTER'!$A$10:$AC$536,17,0)</f>
        <v>0.25</v>
      </c>
      <c r="M6" s="136">
        <f t="shared" si="0"/>
        <v>0.1</v>
      </c>
      <c r="N6" s="136">
        <f t="shared" si="1"/>
        <v>0.4</v>
      </c>
      <c r="O6" s="136">
        <f t="shared" ref="O6:O69" si="5">IFERROR($K6*(1+$O$2)-$K6,0)</f>
        <v>3.8999999999999979E-2</v>
      </c>
      <c r="P6" s="136">
        <f t="shared" ref="P6:P69" si="6">IFERROR($M6*(1+$P$2)-$M6,0)</f>
        <v>1.2999999999999984E-2</v>
      </c>
      <c r="Q6" s="136">
        <f t="shared" ref="Q6:Q13" si="7">SUM(N6:P6)</f>
        <v>0.45199999999999996</v>
      </c>
      <c r="R6" s="131"/>
      <c r="S6" s="131"/>
      <c r="T6" t="str">
        <f>IFERROR(#REF!*J6,"")</f>
        <v/>
      </c>
      <c r="U6">
        <f t="shared" ref="U6:U69" si="8">IFERROR(K6*J6,"")</f>
        <v>5.0999999999999996</v>
      </c>
      <c r="V6">
        <f t="shared" ref="V6:V69" si="9">IFERROR(+L6*J6,"")</f>
        <v>4.25</v>
      </c>
      <c r="W6" s="131">
        <f t="shared" ref="W6:W69" si="10">IFERROR(+M6*J6,"")</f>
        <v>1.7000000000000002</v>
      </c>
      <c r="X6" s="131">
        <f t="shared" ref="X6:X69" si="11">IFERROR(+N6*J6,"")</f>
        <v>6.8000000000000007</v>
      </c>
      <c r="Y6" s="131">
        <f t="shared" ref="Y6:Y69" si="12">IFERROR(O6*$J6,"")</f>
        <v>0.66299999999999959</v>
      </c>
      <c r="Z6" s="131">
        <f t="shared" ref="Z6:Z69" si="13">IFERROR(P6*$J6,"")</f>
        <v>0.22099999999999972</v>
      </c>
      <c r="AA6" s="131">
        <f t="shared" ref="AA6:AA69" si="14">IFERROR(+Q6*J6,"")</f>
        <v>7.6839999999999993</v>
      </c>
      <c r="AC6" s="131" t="str">
        <f>IFERROR(T6*'FlightConfig '!$K$3,"")</f>
        <v/>
      </c>
      <c r="AD6" s="131">
        <f>IFERROR(U6*'FlightConfig '!$K$17,"")</f>
        <v>1856.3999999999999</v>
      </c>
      <c r="AE6" s="131">
        <f>IFERROR(V6*'FlightConfig '!$K$17,"")</f>
        <v>1547</v>
      </c>
      <c r="AF6" s="131">
        <f>IFERROR(W6*'FlightConfig '!$K$17,"")</f>
        <v>618.80000000000007</v>
      </c>
      <c r="AG6" s="131">
        <f>IFERROR(X6*'FlightConfig '!$K$17,"")</f>
        <v>2475.2000000000003</v>
      </c>
      <c r="AH6" s="131">
        <f>IFERROR(Y6*'FlightConfig '!$K$17,"")</f>
        <v>241.33199999999985</v>
      </c>
    </row>
    <row r="7" spans="1:34" hidden="1">
      <c r="A7" t="s">
        <v>155</v>
      </c>
      <c r="B7" s="175">
        <v>1</v>
      </c>
      <c r="C7" s="180" t="str">
        <f t="shared" si="4"/>
        <v>BUSINESS CLASS1104</v>
      </c>
      <c r="D7" s="176"/>
      <c r="E7" s="309">
        <v>1003</v>
      </c>
      <c r="F7" s="315">
        <v>104</v>
      </c>
      <c r="G7" s="123" t="str">
        <f>VLOOKUP(E7,'FG MASTER'!$A$10:$AB$218,2,0)</f>
        <v xml:space="preserve">BC C1 DINNER HERB FOCACCIA ROLL </v>
      </c>
      <c r="H7" s="290">
        <v>1</v>
      </c>
      <c r="I7" s="177">
        <v>0.5</v>
      </c>
      <c r="J7" s="296">
        <f>IFERROR(IF(I7="std",H7,HLOOKUP(A7,'FlightConfig '!$B$28:$G$29,2,0)*I7),"")</f>
        <v>17</v>
      </c>
      <c r="K7" s="249">
        <f>VLOOKUP(Food!E7,'FG MASTER'!$A$1:$AC$536,16,0)</f>
        <v>0.14000000000000001</v>
      </c>
      <c r="L7" s="250">
        <f>VLOOKUP(Food!E7,'FG MASTER'!$A$10:$AC$536,17,0)</f>
        <v>0.25</v>
      </c>
      <c r="M7" s="136">
        <f t="shared" si="0"/>
        <v>0.1</v>
      </c>
      <c r="N7" s="136">
        <f t="shared" si="1"/>
        <v>0.24000000000000002</v>
      </c>
      <c r="O7" s="136">
        <f t="shared" si="5"/>
        <v>1.8199999999999994E-2</v>
      </c>
      <c r="P7" s="136">
        <f t="shared" si="6"/>
        <v>1.2999999999999984E-2</v>
      </c>
      <c r="Q7" s="136">
        <f t="shared" si="7"/>
        <v>0.2712</v>
      </c>
      <c r="R7" s="131"/>
      <c r="S7" s="131"/>
      <c r="T7" t="str">
        <f>IFERROR(#REF!*J7,"")</f>
        <v/>
      </c>
      <c r="U7">
        <f t="shared" si="8"/>
        <v>2.3800000000000003</v>
      </c>
      <c r="V7">
        <f t="shared" si="9"/>
        <v>4.25</v>
      </c>
      <c r="W7" s="131">
        <f t="shared" si="10"/>
        <v>1.7000000000000002</v>
      </c>
      <c r="X7" s="131">
        <f t="shared" si="11"/>
        <v>4.08</v>
      </c>
      <c r="Y7" s="131">
        <f t="shared" si="12"/>
        <v>0.3093999999999999</v>
      </c>
      <c r="Z7" s="131">
        <f t="shared" si="13"/>
        <v>0.22099999999999972</v>
      </c>
      <c r="AA7" s="131">
        <f t="shared" si="14"/>
        <v>4.6104000000000003</v>
      </c>
      <c r="AC7" s="131" t="str">
        <f>IFERROR(T7*'FlightConfig '!$K$3,"")</f>
        <v/>
      </c>
      <c r="AD7" s="131">
        <f>IFERROR(U7*'FlightConfig '!$K$17,"")</f>
        <v>866.32000000000016</v>
      </c>
      <c r="AE7" s="131">
        <f>IFERROR(V7*'FlightConfig '!$K$17,"")</f>
        <v>1547</v>
      </c>
      <c r="AF7" s="131">
        <f>IFERROR(W7*'FlightConfig '!$K$17,"")</f>
        <v>618.80000000000007</v>
      </c>
      <c r="AG7" s="131">
        <f>IFERROR(X7*'FlightConfig '!$K$17,"")</f>
        <v>1485.1200000000001</v>
      </c>
      <c r="AH7" s="131">
        <f>IFERROR(Y7*'FlightConfig '!$K$17,"")</f>
        <v>112.62159999999996</v>
      </c>
    </row>
    <row r="8" spans="1:34" hidden="1">
      <c r="A8" t="s">
        <v>155</v>
      </c>
      <c r="B8" s="175">
        <v>1</v>
      </c>
      <c r="C8" s="180" t="str">
        <f t="shared" si="4"/>
        <v>BUSINESS CLASS1104</v>
      </c>
      <c r="D8" s="176"/>
      <c r="E8" s="309">
        <v>1004</v>
      </c>
      <c r="F8" s="315">
        <v>104</v>
      </c>
      <c r="G8" s="123" t="str">
        <f>VLOOKUP(E8,'FG MASTER'!$A$10:$AB$218,2,0)</f>
        <v xml:space="preserve">BC C1 DINNER HHAWAIIAN ROLL </v>
      </c>
      <c r="H8" s="290">
        <v>1</v>
      </c>
      <c r="I8" s="177">
        <v>0.5</v>
      </c>
      <c r="J8" s="296">
        <f>IFERROR(IF(I8="std",H8,HLOOKUP(A8,'FlightConfig '!$B$28:$G$29,2,0)*I8),"")</f>
        <v>17</v>
      </c>
      <c r="K8" s="249">
        <f>VLOOKUP(Food!E8,'FG MASTER'!$A$1:$AC$536,16,0)</f>
        <v>0.25</v>
      </c>
      <c r="L8" s="250">
        <f>VLOOKUP(Food!E8,'FG MASTER'!$A$10:$AC$536,17,0)</f>
        <v>0.25</v>
      </c>
      <c r="M8" s="136">
        <f t="shared" si="0"/>
        <v>0.1</v>
      </c>
      <c r="N8" s="136">
        <f t="shared" si="1"/>
        <v>0.35</v>
      </c>
      <c r="O8" s="136">
        <f t="shared" si="5"/>
        <v>3.2499999999999973E-2</v>
      </c>
      <c r="P8" s="136">
        <f t="shared" si="6"/>
        <v>1.2999999999999984E-2</v>
      </c>
      <c r="Q8" s="136">
        <f t="shared" si="7"/>
        <v>0.39549999999999996</v>
      </c>
      <c r="R8" s="131"/>
      <c r="S8" s="131"/>
      <c r="T8" t="str">
        <f>IFERROR(#REF!*J8,"")</f>
        <v/>
      </c>
      <c r="U8">
        <f t="shared" si="8"/>
        <v>4.25</v>
      </c>
      <c r="V8">
        <f t="shared" si="9"/>
        <v>4.25</v>
      </c>
      <c r="W8" s="131">
        <f t="shared" si="10"/>
        <v>1.7000000000000002</v>
      </c>
      <c r="X8" s="131">
        <f t="shared" si="11"/>
        <v>5.9499999999999993</v>
      </c>
      <c r="Y8" s="131">
        <f t="shared" si="12"/>
        <v>0.55249999999999955</v>
      </c>
      <c r="Z8" s="131">
        <f t="shared" si="13"/>
        <v>0.22099999999999972</v>
      </c>
      <c r="AA8" s="131">
        <f t="shared" si="14"/>
        <v>6.7234999999999996</v>
      </c>
      <c r="AC8" s="131" t="str">
        <f>IFERROR(T8*'FlightConfig '!$K$3,"")</f>
        <v/>
      </c>
      <c r="AD8" s="131">
        <f>IFERROR(U8*'FlightConfig '!$K$17,"")</f>
        <v>1547</v>
      </c>
      <c r="AE8" s="131">
        <f>IFERROR(V8*'FlightConfig '!$K$17,"")</f>
        <v>1547</v>
      </c>
      <c r="AF8" s="131">
        <f>IFERROR(W8*'FlightConfig '!$K$17,"")</f>
        <v>618.80000000000007</v>
      </c>
      <c r="AG8" s="131">
        <f>IFERROR(X8*'FlightConfig '!$K$17,"")</f>
        <v>2165.7999999999997</v>
      </c>
      <c r="AH8" s="131">
        <f>IFERROR(Y8*'FlightConfig '!$K$17,"")</f>
        <v>201.10999999999984</v>
      </c>
    </row>
    <row r="9" spans="1:34" ht="43.15" hidden="1">
      <c r="A9" t="s">
        <v>155</v>
      </c>
      <c r="B9" s="175">
        <v>1</v>
      </c>
      <c r="C9" s="180" t="str">
        <f t="shared" si="4"/>
        <v>BUSINESS CLASS1104</v>
      </c>
      <c r="D9" s="176"/>
      <c r="E9" s="309">
        <v>1005</v>
      </c>
      <c r="F9" s="315">
        <v>104</v>
      </c>
      <c r="G9" s="123" t="str">
        <f>VLOOKUP(E9,'FG MASTER'!$A$10:$AB$218,2,0)</f>
        <v xml:space="preserve">BC C1 DINNER STARTER 1 NON VEG ROTATION 1 GRILLED PRAWN U10, MANGO CURRY AIOLI, LEMON HERB SLAW, MICRO CILANTRO, MANGO RELISH </v>
      </c>
      <c r="H9" s="290">
        <v>1</v>
      </c>
      <c r="I9" s="177">
        <v>0.55000000000000004</v>
      </c>
      <c r="J9" s="296">
        <f>IFERROR(IF(I9="std",H9,HLOOKUP(A9,'FlightConfig '!$B$28:$G$29,2,0)*I9),"")</f>
        <v>18.700000000000003</v>
      </c>
      <c r="K9" s="249">
        <f>VLOOKUP(Food!E9,'FG MASTER'!$A$1:$AC$536,16,0)</f>
        <v>2.87</v>
      </c>
      <c r="L9" s="250">
        <f>VLOOKUP(Food!E9,'FG MASTER'!$A$10:$AC$536,17,0)</f>
        <v>4.25</v>
      </c>
      <c r="M9" s="136">
        <f t="shared" si="0"/>
        <v>1.7000000000000002</v>
      </c>
      <c r="N9" s="136">
        <f t="shared" si="1"/>
        <v>4.57</v>
      </c>
      <c r="O9" s="136">
        <f t="shared" si="5"/>
        <v>0.37309999999999954</v>
      </c>
      <c r="P9" s="136">
        <f t="shared" si="6"/>
        <v>0.22099999999999986</v>
      </c>
      <c r="Q9" s="136">
        <f t="shared" si="7"/>
        <v>5.1640999999999995</v>
      </c>
      <c r="R9" s="131"/>
      <c r="S9" s="131"/>
      <c r="T9" t="str">
        <f>IFERROR(#REF!*J9,"")</f>
        <v/>
      </c>
      <c r="U9">
        <f t="shared" si="8"/>
        <v>53.669000000000011</v>
      </c>
      <c r="V9">
        <f t="shared" si="9"/>
        <v>79.475000000000009</v>
      </c>
      <c r="W9" s="131">
        <f t="shared" si="10"/>
        <v>31.79000000000001</v>
      </c>
      <c r="X9" s="131">
        <f t="shared" si="11"/>
        <v>85.459000000000017</v>
      </c>
      <c r="Y9" s="131">
        <f t="shared" si="12"/>
        <v>6.9769699999999926</v>
      </c>
      <c r="Z9" s="131">
        <f t="shared" si="13"/>
        <v>4.132699999999998</v>
      </c>
      <c r="AA9" s="131">
        <f t="shared" si="14"/>
        <v>96.568670000000012</v>
      </c>
      <c r="AC9" s="131" t="str">
        <f>IFERROR(T9*'FlightConfig '!$K$3,"")</f>
        <v/>
      </c>
      <c r="AD9" s="131">
        <f>IFERROR(U9*'FlightConfig '!$K$17,"")</f>
        <v>19535.516000000003</v>
      </c>
      <c r="AE9" s="131">
        <f>IFERROR(V9*'FlightConfig '!$K$17,"")</f>
        <v>28928.9</v>
      </c>
      <c r="AF9" s="131">
        <f>IFERROR(W9*'FlightConfig '!$K$17,"")</f>
        <v>11571.560000000003</v>
      </c>
      <c r="AG9" s="131">
        <f>IFERROR(X9*'FlightConfig '!$K$17,"")</f>
        <v>31107.076000000005</v>
      </c>
      <c r="AH9" s="131">
        <f>IFERROR(Y9*'FlightConfig '!$K$17,"")</f>
        <v>2539.6170799999973</v>
      </c>
    </row>
    <row r="10" spans="1:34" ht="43.15" hidden="1">
      <c r="A10" t="s">
        <v>155</v>
      </c>
      <c r="B10" s="175">
        <v>1</v>
      </c>
      <c r="C10" s="180" t="str">
        <f t="shared" si="4"/>
        <v>BUSINESS CLASS1104</v>
      </c>
      <c r="D10" s="176"/>
      <c r="E10" s="309">
        <v>1006</v>
      </c>
      <c r="F10" s="315">
        <v>104</v>
      </c>
      <c r="G10" s="123" t="str">
        <f>VLOOKUP(E10,'FG MASTER'!$A$10:$AB$218,2,0)</f>
        <v>BC C1 DINNER STARTER 2 VEG ROTATION 1 BURRATA CHEESE, MARINATED TOMATO, BASIL OIL, MICRO BASIL. BALSAMIC REDUCTION</v>
      </c>
      <c r="H10" s="290">
        <v>1</v>
      </c>
      <c r="I10" s="177">
        <v>0.55000000000000004</v>
      </c>
      <c r="J10" s="296">
        <f>IFERROR(IF(I10="std",H10,HLOOKUP(A10,'FlightConfig '!$B$28:$G$29,2,0)*I10),"")</f>
        <v>18.700000000000003</v>
      </c>
      <c r="K10" s="249">
        <f>VLOOKUP(Food!E10,'FG MASTER'!$A$1:$AC$536,16,0)</f>
        <v>5.0599999999999996</v>
      </c>
      <c r="L10" s="250">
        <f>VLOOKUP(Food!E10,'FG MASTER'!$A$10:$AC$536,17,0)</f>
        <v>2.7</v>
      </c>
      <c r="M10" s="136">
        <f t="shared" si="0"/>
        <v>1.08</v>
      </c>
      <c r="N10" s="136">
        <f t="shared" si="1"/>
        <v>6.14</v>
      </c>
      <c r="O10" s="136">
        <f t="shared" si="5"/>
        <v>0.65779999999999905</v>
      </c>
      <c r="P10" s="136">
        <f t="shared" si="6"/>
        <v>0.14039999999999986</v>
      </c>
      <c r="Q10" s="136">
        <f t="shared" si="7"/>
        <v>6.9381999999999984</v>
      </c>
      <c r="R10" s="131"/>
      <c r="S10" s="131"/>
      <c r="T10" t="str">
        <f>IFERROR(#REF!*J10,"")</f>
        <v/>
      </c>
      <c r="U10">
        <f t="shared" si="8"/>
        <v>94.622000000000014</v>
      </c>
      <c r="V10">
        <f t="shared" si="9"/>
        <v>50.490000000000009</v>
      </c>
      <c r="W10" s="131">
        <f t="shared" si="10"/>
        <v>20.196000000000005</v>
      </c>
      <c r="X10" s="131">
        <f t="shared" si="11"/>
        <v>114.81800000000001</v>
      </c>
      <c r="Y10" s="131">
        <f t="shared" si="12"/>
        <v>12.300859999999984</v>
      </c>
      <c r="Z10" s="131">
        <f t="shared" si="13"/>
        <v>2.6254799999999978</v>
      </c>
      <c r="AA10" s="131">
        <f t="shared" si="14"/>
        <v>129.74433999999999</v>
      </c>
      <c r="AC10" s="131" t="str">
        <f>IFERROR(T10*'FlightConfig '!$K$3,"")</f>
        <v/>
      </c>
      <c r="AD10" s="131">
        <f>IFERROR(U10*'FlightConfig '!$K$17,"")</f>
        <v>34442.408000000003</v>
      </c>
      <c r="AE10" s="131">
        <f>IFERROR(V10*'FlightConfig '!$K$17,"")</f>
        <v>18378.360000000004</v>
      </c>
      <c r="AF10" s="131">
        <f>IFERROR(W10*'FlightConfig '!$K$17,"")</f>
        <v>7351.3440000000019</v>
      </c>
      <c r="AG10" s="131">
        <f>IFERROR(X10*'FlightConfig '!$K$17,"")</f>
        <v>41793.752000000008</v>
      </c>
      <c r="AH10" s="131">
        <f>IFERROR(Y10*'FlightConfig '!$K$17,"")</f>
        <v>4477.5130399999944</v>
      </c>
    </row>
    <row r="11" spans="1:34" ht="57.6" hidden="1">
      <c r="A11" t="s">
        <v>155</v>
      </c>
      <c r="B11" s="175">
        <v>1</v>
      </c>
      <c r="C11" s="180" t="str">
        <f t="shared" si="4"/>
        <v>BUSINESS CLASS1104</v>
      </c>
      <c r="D11" s="176"/>
      <c r="E11" s="309">
        <v>1007</v>
      </c>
      <c r="F11" s="315">
        <v>104</v>
      </c>
      <c r="G11" s="123" t="str">
        <f>VLOOKUP(E11,'FG MASTER'!$A$10:$AB$218,2,0)</f>
        <v>BC C1 DINNER STARTER 1 NON VEG ROTATION 2 PROSCUTTIO WRAPPED PEACHES, FRISEE LETTUCE, WATERMELON, FETA CHEESE MINT LIME VINAIGRETTE</v>
      </c>
      <c r="H11" s="290">
        <v>1</v>
      </c>
      <c r="I11" s="177">
        <v>0</v>
      </c>
      <c r="J11" s="296">
        <f>IFERROR(IF(I11="std",H11,HLOOKUP(A11,'FlightConfig '!$B$28:$G$29,2,0)*I11),"")</f>
        <v>0</v>
      </c>
      <c r="K11" s="249">
        <f>VLOOKUP(Food!E11,'FG MASTER'!$A$1:$AC$536,16,0)</f>
        <v>2.95</v>
      </c>
      <c r="L11" s="250">
        <f>VLOOKUP(Food!E11,'FG MASTER'!$A$10:$AC$536,17,0)</f>
        <v>3.75</v>
      </c>
      <c r="M11" s="136">
        <f t="shared" si="0"/>
        <v>1.5</v>
      </c>
      <c r="N11" s="136">
        <f t="shared" si="1"/>
        <v>4.45</v>
      </c>
      <c r="O11" s="136">
        <f t="shared" si="5"/>
        <v>0.38349999999999973</v>
      </c>
      <c r="P11" s="136">
        <f t="shared" si="6"/>
        <v>0.19499999999999984</v>
      </c>
      <c r="Q11" s="136">
        <f t="shared" si="7"/>
        <v>5.0284999999999993</v>
      </c>
      <c r="R11" s="131"/>
      <c r="S11" s="131"/>
      <c r="T11" t="str">
        <f>IFERROR(#REF!*J11,"")</f>
        <v/>
      </c>
      <c r="U11">
        <f t="shared" si="8"/>
        <v>0</v>
      </c>
      <c r="V11">
        <f t="shared" si="9"/>
        <v>0</v>
      </c>
      <c r="W11" s="131">
        <f t="shared" si="10"/>
        <v>0</v>
      </c>
      <c r="X11" s="131">
        <f t="shared" si="11"/>
        <v>0</v>
      </c>
      <c r="Y11" s="131">
        <f t="shared" si="12"/>
        <v>0</v>
      </c>
      <c r="Z11" s="131">
        <f t="shared" si="13"/>
        <v>0</v>
      </c>
      <c r="AA11" s="131">
        <f t="shared" si="14"/>
        <v>0</v>
      </c>
      <c r="AC11" s="131" t="str">
        <f>IFERROR(T11*'FlightConfig '!$K$3,"")</f>
        <v/>
      </c>
      <c r="AD11" s="131">
        <f>IFERROR(U11*'FlightConfig '!$K$17,"")</f>
        <v>0</v>
      </c>
      <c r="AE11" s="131">
        <f>IFERROR(V11*'FlightConfig '!$K$17,"")</f>
        <v>0</v>
      </c>
      <c r="AF11" s="131">
        <f>IFERROR(W11*'FlightConfig '!$K$17,"")</f>
        <v>0</v>
      </c>
      <c r="AG11" s="131">
        <f>IFERROR(X11*'FlightConfig '!$K$17,"")</f>
        <v>0</v>
      </c>
      <c r="AH11" s="131">
        <f>IFERROR(Y11*'FlightConfig '!$K$17,"")</f>
        <v>0</v>
      </c>
    </row>
    <row r="12" spans="1:34" ht="43.15" hidden="1">
      <c r="A12" t="s">
        <v>155</v>
      </c>
      <c r="B12" s="175">
        <v>1</v>
      </c>
      <c r="C12" s="180" t="str">
        <f t="shared" si="4"/>
        <v>BUSINESS CLASS1104</v>
      </c>
      <c r="D12" s="176"/>
      <c r="E12" s="309">
        <v>1008</v>
      </c>
      <c r="F12" s="315">
        <v>104</v>
      </c>
      <c r="G12" s="123" t="str">
        <f>VLOOKUP(E12,'FG MASTER'!$A$10:$AB$218,2,0)</f>
        <v>BC C1 DINNER STARTER 2 VEG ROTATION 2 POMENTO CHEESE STUFFED PEPPADEW PEPPER, ARUGULA, OLIVE OIL</v>
      </c>
      <c r="H12" s="290">
        <v>1</v>
      </c>
      <c r="I12" s="177">
        <v>0</v>
      </c>
      <c r="J12" s="296">
        <f>IFERROR(IF(I12="std",H12,HLOOKUP(A12,'FlightConfig '!$B$28:$G$29,2,0)*I12),"")</f>
        <v>0</v>
      </c>
      <c r="K12" s="249">
        <f>VLOOKUP(Food!E12,'FG MASTER'!$A$1:$AC$536,16,0)</f>
        <v>1.59</v>
      </c>
      <c r="L12" s="250">
        <f>VLOOKUP(Food!E12,'FG MASTER'!$A$10:$AC$536,17,0)</f>
        <v>4</v>
      </c>
      <c r="M12" s="136">
        <f t="shared" si="0"/>
        <v>1.6</v>
      </c>
      <c r="N12" s="136">
        <f t="shared" si="1"/>
        <v>3.1900000000000004</v>
      </c>
      <c r="O12" s="136">
        <f t="shared" si="5"/>
        <v>0.20669999999999988</v>
      </c>
      <c r="P12" s="136">
        <f t="shared" si="6"/>
        <v>0.20799999999999974</v>
      </c>
      <c r="Q12" s="136">
        <f t="shared" si="7"/>
        <v>3.6046999999999998</v>
      </c>
      <c r="R12" s="131"/>
      <c r="S12" s="131"/>
      <c r="T12" t="str">
        <f>IFERROR(#REF!*J12,"")</f>
        <v/>
      </c>
      <c r="U12">
        <f t="shared" si="8"/>
        <v>0</v>
      </c>
      <c r="V12">
        <f t="shared" si="9"/>
        <v>0</v>
      </c>
      <c r="W12" s="131">
        <f t="shared" si="10"/>
        <v>0</v>
      </c>
      <c r="X12" s="131">
        <f t="shared" si="11"/>
        <v>0</v>
      </c>
      <c r="Y12" s="131">
        <f t="shared" si="12"/>
        <v>0</v>
      </c>
      <c r="Z12" s="131">
        <f t="shared" si="13"/>
        <v>0</v>
      </c>
      <c r="AA12" s="131">
        <f t="shared" si="14"/>
        <v>0</v>
      </c>
      <c r="AC12" s="131" t="str">
        <f>IFERROR(T12*'FlightConfig '!$K$3,"")</f>
        <v/>
      </c>
      <c r="AD12" s="131">
        <f>IFERROR(U12*'FlightConfig '!$K$17,"")</f>
        <v>0</v>
      </c>
      <c r="AE12" s="131">
        <f>IFERROR(V12*'FlightConfig '!$K$17,"")</f>
        <v>0</v>
      </c>
      <c r="AF12" s="131">
        <f>IFERROR(W12*'FlightConfig '!$K$17,"")</f>
        <v>0</v>
      </c>
      <c r="AG12" s="131">
        <f>IFERROR(X12*'FlightConfig '!$K$17,"")</f>
        <v>0</v>
      </c>
      <c r="AH12" s="131">
        <f>IFERROR(Y12*'FlightConfig '!$K$17,"")</f>
        <v>0</v>
      </c>
    </row>
    <row r="13" spans="1:34" ht="43.15" hidden="1">
      <c r="A13" t="s">
        <v>155</v>
      </c>
      <c r="B13" s="175">
        <v>1</v>
      </c>
      <c r="C13" s="180" t="str">
        <f t="shared" si="4"/>
        <v>BUSINESS CLASS1104</v>
      </c>
      <c r="D13" s="176"/>
      <c r="E13" s="309">
        <v>1009</v>
      </c>
      <c r="F13" s="315">
        <v>104</v>
      </c>
      <c r="G13" s="123" t="str">
        <f>VLOOKUP(E13,'FG MASTER'!$A$10:$AB$218,2,0)</f>
        <v xml:space="preserve">BC C1 DINNER ENTRÉE 1 LEMON CONFIT CHICKEN LEG, LEMON CHICKIEN JUS, MASHED POTATOES, HARICOT VERT, LEMON AGRUMATO </v>
      </c>
      <c r="H13" s="290">
        <v>1</v>
      </c>
      <c r="I13" s="177">
        <v>0.6</v>
      </c>
      <c r="J13" s="296">
        <f>IFERROR(IF(I13="std",H13,HLOOKUP(A13,'FlightConfig '!$B$28:$G$29,2,0)*I13),"")</f>
        <v>20.399999999999999</v>
      </c>
      <c r="K13" s="249">
        <f>VLOOKUP(Food!E13,'FG MASTER'!$A$1:$AC$536,16,0)</f>
        <v>4.28</v>
      </c>
      <c r="L13" s="250">
        <f>VLOOKUP(Food!E13,'FG MASTER'!$A$10:$AC$536,17,0)</f>
        <v>4.25</v>
      </c>
      <c r="M13" s="136">
        <f t="shared" si="0"/>
        <v>1.7000000000000002</v>
      </c>
      <c r="N13" s="136">
        <f t="shared" si="1"/>
        <v>5.98</v>
      </c>
      <c r="O13" s="136">
        <f t="shared" si="5"/>
        <v>0.55640000000000001</v>
      </c>
      <c r="P13" s="136">
        <f t="shared" si="6"/>
        <v>0.22099999999999986</v>
      </c>
      <c r="Q13" s="136">
        <f t="shared" si="7"/>
        <v>6.7574000000000005</v>
      </c>
      <c r="R13" s="131"/>
      <c r="S13" s="131"/>
      <c r="T13" t="str">
        <f>IFERROR(#REF!*J13,"")</f>
        <v/>
      </c>
      <c r="U13">
        <f t="shared" si="8"/>
        <v>87.311999999999998</v>
      </c>
      <c r="V13">
        <f t="shared" si="9"/>
        <v>86.699999999999989</v>
      </c>
      <c r="W13" s="131">
        <f t="shared" si="10"/>
        <v>34.68</v>
      </c>
      <c r="X13" s="131">
        <f t="shared" si="11"/>
        <v>121.992</v>
      </c>
      <c r="Y13" s="131">
        <f t="shared" si="12"/>
        <v>11.35056</v>
      </c>
      <c r="Z13" s="131">
        <f t="shared" si="13"/>
        <v>4.5083999999999973</v>
      </c>
      <c r="AA13" s="131">
        <f t="shared" si="14"/>
        <v>137.85096000000001</v>
      </c>
      <c r="AC13" s="131" t="str">
        <f>IFERROR(T13*'FlightConfig '!$K$3,"")</f>
        <v/>
      </c>
      <c r="AD13" s="131">
        <f>IFERROR(U13*'FlightConfig '!$K$17,"")</f>
        <v>31781.567999999999</v>
      </c>
      <c r="AE13" s="131">
        <f>IFERROR(V13*'FlightConfig '!$K$17,"")</f>
        <v>31558.799999999996</v>
      </c>
      <c r="AF13" s="131">
        <f>IFERROR(W13*'FlightConfig '!$K$17,"")</f>
        <v>12623.52</v>
      </c>
      <c r="AG13" s="131">
        <f>IFERROR(X13*'FlightConfig '!$K$17,"")</f>
        <v>44405.088000000003</v>
      </c>
      <c r="AH13" s="131">
        <f>IFERROR(Y13*'FlightConfig '!$K$17,"")</f>
        <v>4131.6038399999998</v>
      </c>
    </row>
    <row r="14" spans="1:34" ht="57.6" hidden="1">
      <c r="A14" t="s">
        <v>155</v>
      </c>
      <c r="B14" s="175">
        <v>1</v>
      </c>
      <c r="C14" s="180" t="str">
        <f t="shared" si="4"/>
        <v>BUSINESS CLASS1104</v>
      </c>
      <c r="D14" s="176"/>
      <c r="E14" s="309">
        <v>1010</v>
      </c>
      <c r="F14" s="315">
        <v>104</v>
      </c>
      <c r="G14" s="123" t="str">
        <f>VLOOKUP(E14,'FG MASTER'!$A$10:$AB$218,2,0)</f>
        <v>BC C1 DINNER ENTRÉE 2 FOX BROCHTERS SMOKED PRESSED LAMB SHOULDER, BABY CARROT , PEARL ONION, PEA PUREE, MASHED POTATOES, THYME DEMI GLACE</v>
      </c>
      <c r="H14" s="290">
        <v>1</v>
      </c>
      <c r="I14" s="177">
        <v>0.4</v>
      </c>
      <c r="J14" s="296">
        <f>IFERROR(IF(I14="std",H14,HLOOKUP(A14,'FlightConfig '!$B$28:$G$29,2,0)*I14),"")</f>
        <v>13.600000000000001</v>
      </c>
      <c r="K14" s="249">
        <f>VLOOKUP(Food!E14,'FG MASTER'!$A$1:$AC$536,16,0)</f>
        <v>9.3000000000000007</v>
      </c>
      <c r="L14" s="250">
        <f>VLOOKUP(Food!E14,'FG MASTER'!$A$10:$AC$536,17,0)</f>
        <v>7.5</v>
      </c>
      <c r="M14" s="136">
        <f t="shared" si="0"/>
        <v>3</v>
      </c>
      <c r="N14" s="136">
        <f t="shared" si="1"/>
        <v>12.3</v>
      </c>
      <c r="O14" s="136">
        <f t="shared" si="5"/>
        <v>1.2089999999999996</v>
      </c>
      <c r="P14" s="136">
        <f t="shared" si="6"/>
        <v>0.38999999999999968</v>
      </c>
      <c r="Q14" s="136">
        <f>SUM(N14:P14)</f>
        <v>13.899000000000001</v>
      </c>
      <c r="R14" s="131"/>
      <c r="S14" s="131"/>
      <c r="T14" t="str">
        <f>IFERROR(#REF!*J14,"")</f>
        <v/>
      </c>
      <c r="U14">
        <f t="shared" si="8"/>
        <v>126.48000000000002</v>
      </c>
      <c r="V14">
        <f t="shared" si="9"/>
        <v>102.00000000000001</v>
      </c>
      <c r="W14" s="131">
        <f t="shared" si="10"/>
        <v>40.800000000000004</v>
      </c>
      <c r="X14" s="131">
        <f t="shared" si="11"/>
        <v>167.28000000000003</v>
      </c>
      <c r="Y14" s="131">
        <f t="shared" si="12"/>
        <v>16.442399999999996</v>
      </c>
      <c r="Z14" s="131">
        <f t="shared" si="13"/>
        <v>5.3039999999999958</v>
      </c>
      <c r="AA14" s="131">
        <f t="shared" si="14"/>
        <v>189.02640000000002</v>
      </c>
      <c r="AC14" s="131" t="str">
        <f>IFERROR(T14*'FlightConfig '!$K$3,"")</f>
        <v/>
      </c>
      <c r="AD14" s="131">
        <f>IFERROR(U14*'FlightConfig '!$K$17,"")</f>
        <v>46038.720000000008</v>
      </c>
      <c r="AE14" s="131">
        <f>IFERROR(V14*'FlightConfig '!$K$17,"")</f>
        <v>37128.000000000007</v>
      </c>
      <c r="AF14" s="131">
        <f>IFERROR(W14*'FlightConfig '!$K$17,"")</f>
        <v>14851.2</v>
      </c>
      <c r="AG14" s="131">
        <f>IFERROR(X14*'FlightConfig '!$K$17,"")</f>
        <v>60889.920000000013</v>
      </c>
      <c r="AH14" s="131">
        <f>IFERROR(Y14*'FlightConfig '!$K$17,"")</f>
        <v>5985.0335999999988</v>
      </c>
    </row>
    <row r="15" spans="1:34" ht="43.15" hidden="1">
      <c r="A15" t="s">
        <v>155</v>
      </c>
      <c r="B15" s="175">
        <v>1</v>
      </c>
      <c r="C15" s="180" t="str">
        <f t="shared" si="4"/>
        <v>BUSINESS CLASS1104</v>
      </c>
      <c r="D15" s="176"/>
      <c r="E15" s="309">
        <v>1011</v>
      </c>
      <c r="F15" s="315">
        <v>104</v>
      </c>
      <c r="G15" s="123" t="str">
        <f>VLOOKUP(E15,'FG MASTER'!$A$10:$AB$218,2,0)</f>
        <v xml:space="preserve">BC C1 DINNER ENTRÉE 3 TRUFFLE PARMESAN RISOTTO, BABY ZUCCHINI, WILD MUSHROOM CONSERVA, ASPARAGUS, RAITA SAUCE </v>
      </c>
      <c r="H15" s="290">
        <v>1</v>
      </c>
      <c r="I15" s="177">
        <v>0.2</v>
      </c>
      <c r="J15" s="296">
        <f>IFERROR(IF(I15="std",H15,HLOOKUP(A15,'FlightConfig '!$B$28:$G$29,2,0)*I15),"")</f>
        <v>6.8000000000000007</v>
      </c>
      <c r="K15" s="249">
        <f>VLOOKUP(Food!E15,'FG MASTER'!$A$1:$AC$536,16,0)</f>
        <v>3.41</v>
      </c>
      <c r="L15" s="250">
        <f>VLOOKUP(Food!E15,'FG MASTER'!$A$10:$AC$536,17,0)</f>
        <v>4.25</v>
      </c>
      <c r="M15" s="136">
        <f t="shared" si="0"/>
        <v>1.7000000000000002</v>
      </c>
      <c r="N15" s="136">
        <f t="shared" si="1"/>
        <v>5.1100000000000003</v>
      </c>
      <c r="O15" s="136">
        <f t="shared" si="5"/>
        <v>0.44329999999999981</v>
      </c>
      <c r="P15" s="136">
        <f t="shared" si="6"/>
        <v>0.22099999999999986</v>
      </c>
      <c r="Q15" s="136">
        <f t="shared" ref="Q15:Q17" si="15">SUM(N15:P15)</f>
        <v>5.7743000000000002</v>
      </c>
      <c r="R15" s="131"/>
      <c r="S15" s="131"/>
      <c r="T15" t="str">
        <f>IFERROR(#REF!*J15,"")</f>
        <v/>
      </c>
      <c r="U15">
        <f t="shared" si="8"/>
        <v>23.188000000000002</v>
      </c>
      <c r="V15">
        <f t="shared" si="9"/>
        <v>28.900000000000002</v>
      </c>
      <c r="W15" s="131">
        <f t="shared" si="10"/>
        <v>11.560000000000002</v>
      </c>
      <c r="X15" s="131">
        <f t="shared" si="11"/>
        <v>34.748000000000005</v>
      </c>
      <c r="Y15" s="131">
        <f t="shared" si="12"/>
        <v>3.0144399999999991</v>
      </c>
      <c r="Z15" s="131">
        <f t="shared" si="13"/>
        <v>1.5027999999999992</v>
      </c>
      <c r="AA15" s="131">
        <f t="shared" si="14"/>
        <v>39.265240000000006</v>
      </c>
      <c r="AC15" s="131" t="str">
        <f>IFERROR(T15*'FlightConfig '!$K$3,"")</f>
        <v/>
      </c>
      <c r="AD15" s="131">
        <f>IFERROR(U15*'FlightConfig '!$K$17,"")</f>
        <v>8440.4320000000007</v>
      </c>
      <c r="AE15" s="131">
        <f>IFERROR(V15*'FlightConfig '!$K$17,"")</f>
        <v>10519.6</v>
      </c>
      <c r="AF15" s="131">
        <f>IFERROR(W15*'FlightConfig '!$K$17,"")</f>
        <v>4207.8400000000011</v>
      </c>
      <c r="AG15" s="131">
        <f>IFERROR(X15*'FlightConfig '!$K$17,"")</f>
        <v>12648.272000000001</v>
      </c>
      <c r="AH15" s="131">
        <f>IFERROR(Y15*'FlightConfig '!$K$17,"")</f>
        <v>1097.2561599999997</v>
      </c>
    </row>
    <row r="16" spans="1:34" ht="43.15" hidden="1">
      <c r="A16" t="s">
        <v>155</v>
      </c>
      <c r="B16" s="175">
        <v>1</v>
      </c>
      <c r="C16" s="180" t="str">
        <f t="shared" si="4"/>
        <v>BUSINESS CLASS1104</v>
      </c>
      <c r="D16" s="176"/>
      <c r="E16" s="310">
        <v>1012</v>
      </c>
      <c r="F16" s="315">
        <v>104</v>
      </c>
      <c r="G16" s="123" t="str">
        <f>VLOOKUP(E16,'FG MASTER'!$A$10:$AB$218,2,0)</f>
        <v xml:space="preserve">BC C1 DINNER DESSERT COLD ROTATION 1 BANANA PUDDING CHEESECAKE, STREUSEL CRUMBLES, BLUEBERRIES </v>
      </c>
      <c r="H16" s="290">
        <v>1</v>
      </c>
      <c r="I16" s="177">
        <v>0.5</v>
      </c>
      <c r="J16" s="296">
        <f>IFERROR(IF(I16="std",H16,HLOOKUP(A16,'FlightConfig '!$B$28:$G$29,2,0)*I16),"")</f>
        <v>17</v>
      </c>
      <c r="K16" s="249">
        <f>VLOOKUP(Food!E16,'FG MASTER'!$A$1:$AC$536,16,0)</f>
        <v>0.98</v>
      </c>
      <c r="L16" s="250">
        <f>VLOOKUP(Food!E16,'FG MASTER'!$A$10:$AC$536,17,0)</f>
        <v>2</v>
      </c>
      <c r="M16" s="136">
        <f t="shared" si="0"/>
        <v>0.8</v>
      </c>
      <c r="N16" s="136">
        <f t="shared" si="1"/>
        <v>1.78</v>
      </c>
      <c r="O16" s="136">
        <f t="shared" si="5"/>
        <v>0.12739999999999996</v>
      </c>
      <c r="P16" s="136">
        <f t="shared" si="6"/>
        <v>0.10399999999999987</v>
      </c>
      <c r="Q16" s="136">
        <f t="shared" si="15"/>
        <v>2.0114000000000001</v>
      </c>
      <c r="R16" s="131"/>
      <c r="S16" s="131"/>
      <c r="T16" t="str">
        <f>IFERROR(#REF!*J16,"")</f>
        <v/>
      </c>
      <c r="U16">
        <f t="shared" si="8"/>
        <v>16.66</v>
      </c>
      <c r="V16">
        <f t="shared" si="9"/>
        <v>34</v>
      </c>
      <c r="W16" s="131">
        <f t="shared" si="10"/>
        <v>13.600000000000001</v>
      </c>
      <c r="X16" s="131">
        <f t="shared" si="11"/>
        <v>30.26</v>
      </c>
      <c r="Y16" s="131">
        <f t="shared" si="12"/>
        <v>2.1657999999999991</v>
      </c>
      <c r="Z16" s="131">
        <f t="shared" si="13"/>
        <v>1.7679999999999978</v>
      </c>
      <c r="AA16" s="131">
        <f t="shared" si="14"/>
        <v>34.193800000000003</v>
      </c>
      <c r="AC16" s="131" t="str">
        <f>IFERROR(T16*'FlightConfig '!$K$3,"")</f>
        <v/>
      </c>
      <c r="AD16" s="131">
        <f>IFERROR(U16*'FlightConfig '!$K$17,"")</f>
        <v>6064.24</v>
      </c>
      <c r="AE16" s="131">
        <f>IFERROR(V16*'FlightConfig '!$K$17,"")</f>
        <v>12376</v>
      </c>
      <c r="AF16" s="131">
        <f>IFERROR(W16*'FlightConfig '!$K$17,"")</f>
        <v>4950.4000000000005</v>
      </c>
      <c r="AG16" s="131">
        <f>IFERROR(X16*'FlightConfig '!$K$17,"")</f>
        <v>11014.640000000001</v>
      </c>
      <c r="AH16" s="131">
        <f>IFERROR(Y16*'FlightConfig '!$K$17,"")</f>
        <v>788.35119999999961</v>
      </c>
    </row>
    <row r="17" spans="1:34" ht="43.15" hidden="1">
      <c r="A17" t="s">
        <v>155</v>
      </c>
      <c r="B17" s="175">
        <v>1</v>
      </c>
      <c r="C17" s="180" t="str">
        <f t="shared" si="4"/>
        <v>BUSINESS CLASS1104</v>
      </c>
      <c r="D17" s="176"/>
      <c r="E17" s="310">
        <v>1013</v>
      </c>
      <c r="F17" s="315">
        <v>104</v>
      </c>
      <c r="G17" s="123" t="str">
        <f>VLOOKUP(E17,'FG MASTER'!$A$10:$AB$218,2,0)</f>
        <v>BC C1 DINNER DESSERT COLD ROTATION 2 FLOURLESS CHOCOLOOATE MOUSSE CAKE STRAWBERRY COULIS, WHITE CHOCOLATE PEARLS</v>
      </c>
      <c r="H17" s="290">
        <v>1</v>
      </c>
      <c r="I17" s="177">
        <v>0</v>
      </c>
      <c r="J17" s="296">
        <f>IFERROR(IF(I17="std",H17,HLOOKUP(A17,'FlightConfig '!$B$28:$G$29,2,0)*I17),"")</f>
        <v>0</v>
      </c>
      <c r="K17" s="249">
        <f>VLOOKUP(Food!E17,'FG MASTER'!$A$1:$AC$536,16,0)</f>
        <v>1.1599999999999999</v>
      </c>
      <c r="L17" s="250">
        <f>VLOOKUP(Food!E17,'FG MASTER'!$A$10:$AC$536,17,0)</f>
        <v>1.5</v>
      </c>
      <c r="M17" s="136">
        <f t="shared" si="0"/>
        <v>0.60000000000000009</v>
      </c>
      <c r="N17" s="136">
        <f t="shared" si="1"/>
        <v>1.76</v>
      </c>
      <c r="O17" s="136">
        <f t="shared" si="5"/>
        <v>0.15079999999999982</v>
      </c>
      <c r="P17" s="136">
        <f t="shared" si="6"/>
        <v>7.7999999999999958E-2</v>
      </c>
      <c r="Q17" s="136">
        <f t="shared" si="15"/>
        <v>1.9887999999999999</v>
      </c>
      <c r="R17" s="131"/>
      <c r="S17" s="131"/>
      <c r="T17" t="str">
        <f>IFERROR(#REF!*J17,"")</f>
        <v/>
      </c>
      <c r="U17">
        <f t="shared" si="8"/>
        <v>0</v>
      </c>
      <c r="V17">
        <f t="shared" si="9"/>
        <v>0</v>
      </c>
      <c r="W17" s="131">
        <f t="shared" si="10"/>
        <v>0</v>
      </c>
      <c r="X17" s="131">
        <f t="shared" si="11"/>
        <v>0</v>
      </c>
      <c r="Y17" s="131">
        <f t="shared" si="12"/>
        <v>0</v>
      </c>
      <c r="Z17" s="131">
        <f t="shared" si="13"/>
        <v>0</v>
      </c>
      <c r="AA17" s="131">
        <f t="shared" si="14"/>
        <v>0</v>
      </c>
      <c r="AC17" s="131" t="str">
        <f>IFERROR(T17*'FlightConfig '!$K$3,"")</f>
        <v/>
      </c>
      <c r="AD17" s="131">
        <f>IFERROR(U17*'FlightConfig '!$K$17,"")</f>
        <v>0</v>
      </c>
      <c r="AE17" s="131">
        <f>IFERROR(V17*'FlightConfig '!$K$17,"")</f>
        <v>0</v>
      </c>
      <c r="AF17" s="131">
        <f>IFERROR(W17*'FlightConfig '!$K$17,"")</f>
        <v>0</v>
      </c>
      <c r="AG17" s="131">
        <f>IFERROR(X17*'FlightConfig '!$K$17,"")</f>
        <v>0</v>
      </c>
      <c r="AH17" s="131">
        <f>IFERROR(Y17*'FlightConfig '!$K$17,"")</f>
        <v>0</v>
      </c>
    </row>
    <row r="18" spans="1:34" ht="28.9" hidden="1">
      <c r="A18" t="s">
        <v>155</v>
      </c>
      <c r="B18" s="175">
        <v>1</v>
      </c>
      <c r="C18" s="180" t="str">
        <f t="shared" si="4"/>
        <v>BUSINESS CLASS1104</v>
      </c>
      <c r="D18" s="176"/>
      <c r="E18" s="308">
        <v>1014</v>
      </c>
      <c r="F18" s="315">
        <v>104</v>
      </c>
      <c r="G18" s="123" t="str">
        <f>VLOOKUP(E18,'FG MASTER'!$A$10:$AB$218,2,0)</f>
        <v xml:space="preserve">BC C1 DINNER DESSERT HOT ROTATION 1 GEORGIA PEACH COBBLER, WARM PECAN PRALINE SAUCE </v>
      </c>
      <c r="H18" s="290">
        <v>1</v>
      </c>
      <c r="I18" s="177">
        <v>0</v>
      </c>
      <c r="J18" s="296">
        <f>IFERROR(IF(I18="std",H18,HLOOKUP(A18,'FlightConfig '!$B$28:$G$29,2,0)*I18),"")</f>
        <v>0</v>
      </c>
      <c r="K18" s="249">
        <f>VLOOKUP(Food!E18,'FG MASTER'!$A$1:$AC$536,16,0)</f>
        <v>0.88</v>
      </c>
      <c r="L18" s="250">
        <f>VLOOKUP(Food!E18,'FG MASTER'!$A$10:$AC$536,17,0)</f>
        <v>1.5</v>
      </c>
      <c r="M18" s="136">
        <f t="shared" si="0"/>
        <v>0.60000000000000009</v>
      </c>
      <c r="N18" s="136">
        <f t="shared" si="1"/>
        <v>1.48</v>
      </c>
      <c r="O18" s="136">
        <f t="shared" si="5"/>
        <v>0.11439999999999995</v>
      </c>
      <c r="P18" s="136">
        <f t="shared" si="6"/>
        <v>7.7999999999999958E-2</v>
      </c>
      <c r="Q18" s="136">
        <f>SUM(N18:P18)</f>
        <v>1.6723999999999997</v>
      </c>
      <c r="R18" s="131"/>
      <c r="T18" t="str">
        <f>IFERROR(#REF!*J18,"")</f>
        <v/>
      </c>
      <c r="U18">
        <f t="shared" si="8"/>
        <v>0</v>
      </c>
      <c r="V18">
        <f t="shared" si="9"/>
        <v>0</v>
      </c>
      <c r="W18" s="131">
        <f t="shared" si="10"/>
        <v>0</v>
      </c>
      <c r="X18" s="131">
        <f t="shared" si="11"/>
        <v>0</v>
      </c>
      <c r="Y18" s="131">
        <f t="shared" si="12"/>
        <v>0</v>
      </c>
      <c r="Z18" s="131">
        <f t="shared" si="13"/>
        <v>0</v>
      </c>
      <c r="AA18" s="131">
        <f t="shared" si="14"/>
        <v>0</v>
      </c>
      <c r="AC18" s="131" t="str">
        <f>IFERROR(T18*'FlightConfig '!$K$3,"")</f>
        <v/>
      </c>
      <c r="AD18" s="131">
        <f>IFERROR(U18*'FlightConfig '!$K$17,"")</f>
        <v>0</v>
      </c>
      <c r="AE18" s="131">
        <f>IFERROR(V18*'FlightConfig '!$K$17,"")</f>
        <v>0</v>
      </c>
      <c r="AF18" s="131">
        <f>IFERROR(W18*'FlightConfig '!$K$17,"")</f>
        <v>0</v>
      </c>
      <c r="AG18" s="131">
        <f>IFERROR(X18*'FlightConfig '!$K$17,"")</f>
        <v>0</v>
      </c>
      <c r="AH18" s="131">
        <f>IFERROR(Y18*'FlightConfig '!$K$17,"")</f>
        <v>0</v>
      </c>
    </row>
    <row r="19" spans="1:34" ht="43.15" hidden="1">
      <c r="A19" t="s">
        <v>155</v>
      </c>
      <c r="B19" s="175">
        <v>1</v>
      </c>
      <c r="C19" s="180" t="str">
        <f t="shared" si="4"/>
        <v>BUSINESS CLASS1104</v>
      </c>
      <c r="D19" s="176"/>
      <c r="E19" s="308">
        <v>1015</v>
      </c>
      <c r="F19" s="315">
        <v>104</v>
      </c>
      <c r="G19" s="123" t="str">
        <f>VLOOKUP(E19,'FG MASTER'!$A$10:$AB$218,2,0)</f>
        <v xml:space="preserve">BC C1 DINNER DESSERT HOT ROTATION 2 STICKY TOFFEE PUDDING, CHANTILLY CREAM, CROQUANT, TOFEE SAUCE </v>
      </c>
      <c r="H19" s="290">
        <v>1</v>
      </c>
      <c r="I19" s="177">
        <v>0.5</v>
      </c>
      <c r="J19" s="296">
        <f>IFERROR(IF(I19="std",H19,HLOOKUP(A19,'FlightConfig '!$B$28:$G$29,2,0)*I19),"")</f>
        <v>17</v>
      </c>
      <c r="K19" s="249">
        <f>VLOOKUP(Food!E19,'FG MASTER'!$A$1:$AC$536,16,0)</f>
        <v>2.56</v>
      </c>
      <c r="L19" s="250">
        <f>VLOOKUP(Food!E19,'FG MASTER'!$A$10:$AC$536,17,0)</f>
        <v>1.25</v>
      </c>
      <c r="M19" s="136">
        <f t="shared" si="0"/>
        <v>0.5</v>
      </c>
      <c r="N19" s="136">
        <f t="shared" si="1"/>
        <v>3.06</v>
      </c>
      <c r="O19" s="136">
        <f t="shared" si="5"/>
        <v>0.33279999999999976</v>
      </c>
      <c r="P19" s="136">
        <f t="shared" si="6"/>
        <v>6.4999999999999947E-2</v>
      </c>
      <c r="Q19" s="136">
        <f t="shared" ref="Q19:Q23" si="16">SUM(N19:P19)</f>
        <v>3.4577999999999998</v>
      </c>
      <c r="R19" s="131"/>
      <c r="S19" s="131"/>
      <c r="T19" t="str">
        <f>IFERROR(#REF!*J19,"")</f>
        <v/>
      </c>
      <c r="U19">
        <f t="shared" si="8"/>
        <v>43.52</v>
      </c>
      <c r="V19">
        <f t="shared" si="9"/>
        <v>21.25</v>
      </c>
      <c r="W19" s="131">
        <f t="shared" si="10"/>
        <v>8.5</v>
      </c>
      <c r="X19" s="131">
        <f t="shared" si="11"/>
        <v>52.02</v>
      </c>
      <c r="Y19" s="131">
        <f t="shared" si="12"/>
        <v>5.657599999999996</v>
      </c>
      <c r="Z19" s="131">
        <f t="shared" si="13"/>
        <v>1.1049999999999991</v>
      </c>
      <c r="AA19" s="131">
        <f t="shared" si="14"/>
        <v>58.782599999999995</v>
      </c>
      <c r="AC19" s="131" t="str">
        <f>IFERROR(T19*'FlightConfig '!$K$3,"")</f>
        <v/>
      </c>
      <c r="AD19" s="131">
        <f>IFERROR(U19*'FlightConfig '!$K$17,"")</f>
        <v>15841.28</v>
      </c>
      <c r="AE19" s="131">
        <f>IFERROR(V19*'FlightConfig '!$K$17,"")</f>
        <v>7735</v>
      </c>
      <c r="AF19" s="131">
        <f>IFERROR(W19*'FlightConfig '!$K$17,"")</f>
        <v>3094</v>
      </c>
      <c r="AG19" s="131">
        <f>IFERROR(X19*'FlightConfig '!$K$17,"")</f>
        <v>18935.280000000002</v>
      </c>
      <c r="AH19" s="131">
        <f>IFERROR(Y19*'FlightConfig '!$K$17,"")</f>
        <v>2059.3663999999985</v>
      </c>
    </row>
    <row r="20" spans="1:34" ht="43.15" hidden="1">
      <c r="A20" t="s">
        <v>155</v>
      </c>
      <c r="B20" s="175">
        <v>1</v>
      </c>
      <c r="C20" s="180" t="str">
        <f t="shared" si="4"/>
        <v>BUSINESS CLASS1104</v>
      </c>
      <c r="D20" s="176"/>
      <c r="E20" s="308">
        <v>1016</v>
      </c>
      <c r="F20" s="315">
        <v>104</v>
      </c>
      <c r="G20" s="123" t="str">
        <f>VLOOKUP(E20,'FG MASTER'!$A$10:$AB$218,2,0)</f>
        <v>BC C1 DINNER CHEESE PLATE DAIRY GRIFFIN, ASHER BLUE, GREEN HILL BRIE, ANGRY CUKES, MUSCADINE JELLY</v>
      </c>
      <c r="H20" s="290">
        <v>1</v>
      </c>
      <c r="I20" s="177">
        <v>0.6</v>
      </c>
      <c r="J20" s="296">
        <f>IFERROR(IF(I20="std",H20,HLOOKUP(A20,'FlightConfig '!$B$28:$G$29,2,0)*I20),"")</f>
        <v>20.399999999999999</v>
      </c>
      <c r="K20" s="249">
        <v>0</v>
      </c>
      <c r="L20" s="250">
        <v>0</v>
      </c>
      <c r="M20" s="136">
        <f t="shared" si="0"/>
        <v>0</v>
      </c>
      <c r="N20" s="136">
        <f t="shared" si="1"/>
        <v>0</v>
      </c>
      <c r="O20" s="136">
        <f t="shared" si="5"/>
        <v>0</v>
      </c>
      <c r="P20" s="136">
        <f t="shared" si="6"/>
        <v>0</v>
      </c>
      <c r="Q20" s="136">
        <f t="shared" si="16"/>
        <v>0</v>
      </c>
      <c r="R20" s="131"/>
      <c r="S20" s="131"/>
      <c r="T20" t="str">
        <f>IFERROR(#REF!*J20,"")</f>
        <v/>
      </c>
      <c r="U20">
        <f t="shared" si="8"/>
        <v>0</v>
      </c>
      <c r="V20">
        <f t="shared" si="9"/>
        <v>0</v>
      </c>
      <c r="W20" s="131">
        <f t="shared" si="10"/>
        <v>0</v>
      </c>
      <c r="X20" s="131">
        <f t="shared" si="11"/>
        <v>0</v>
      </c>
      <c r="Y20" s="131">
        <f t="shared" si="12"/>
        <v>0</v>
      </c>
      <c r="Z20" s="131">
        <f t="shared" si="13"/>
        <v>0</v>
      </c>
      <c r="AA20" s="131">
        <f t="shared" si="14"/>
        <v>0</v>
      </c>
      <c r="AC20" s="131" t="str">
        <f>IFERROR(T20*'FlightConfig '!$K$3,"")</f>
        <v/>
      </c>
      <c r="AD20" s="131">
        <f>IFERROR(U20*'FlightConfig '!$K$17,"")</f>
        <v>0</v>
      </c>
      <c r="AE20" s="131">
        <f>IFERROR(V20*'FlightConfig '!$K$17,"")</f>
        <v>0</v>
      </c>
      <c r="AF20" s="131">
        <f>IFERROR(W20*'FlightConfig '!$K$17,"")</f>
        <v>0</v>
      </c>
      <c r="AG20" s="131">
        <f>IFERROR(X20*'FlightConfig '!$K$17,"")</f>
        <v>0</v>
      </c>
      <c r="AH20" s="131">
        <f>IFERROR(Y20*'FlightConfig '!$K$17,"")</f>
        <v>0</v>
      </c>
    </row>
    <row r="21" spans="1:34" ht="43.15" hidden="1">
      <c r="A21" t="s">
        <v>155</v>
      </c>
      <c r="B21" s="175">
        <v>1</v>
      </c>
      <c r="C21" s="180" t="str">
        <f t="shared" si="4"/>
        <v>BUSINESS CLASS1104</v>
      </c>
      <c r="D21" s="176"/>
      <c r="E21" s="308">
        <v>1017</v>
      </c>
      <c r="F21" s="315">
        <v>104</v>
      </c>
      <c r="G21" s="123" t="str">
        <f>VLOOKUP(E21,'FG MASTER'!$A$10:$AB$218,2,0)</f>
        <v>BC C1 BREAKFAST ENTRÉE 1 SAVORY PECAN BELGIAN WAFFLE, FRIED CHICKEN, MAPLE SAUSAGE GRAVY, SCRAMBLE EGG</v>
      </c>
      <c r="H21" s="290">
        <v>1</v>
      </c>
      <c r="I21" s="177">
        <v>0.5</v>
      </c>
      <c r="J21" s="296">
        <f>IFERROR(IF(I21="std",H21,HLOOKUP(A21,'FlightConfig '!$B$28:$G$29,2,0)*I21),"")</f>
        <v>17</v>
      </c>
      <c r="K21" s="249">
        <f>VLOOKUP(Food!E21,'FG MASTER'!$A$1:$AC$536,16,0)</f>
        <v>4.71</v>
      </c>
      <c r="L21" s="250">
        <f>VLOOKUP(Food!E21,'FG MASTER'!$A$10:$AC$536,17,0)</f>
        <v>4.25</v>
      </c>
      <c r="M21" s="136">
        <f t="shared" si="0"/>
        <v>1.7000000000000002</v>
      </c>
      <c r="N21" s="136">
        <f t="shared" si="1"/>
        <v>6.41</v>
      </c>
      <c r="O21" s="136">
        <f t="shared" si="5"/>
        <v>0.6122999999999994</v>
      </c>
      <c r="P21" s="136">
        <f t="shared" si="6"/>
        <v>0.22099999999999986</v>
      </c>
      <c r="Q21" s="136">
        <f t="shared" si="16"/>
        <v>7.2432999999999996</v>
      </c>
      <c r="R21" s="131"/>
      <c r="S21" s="131"/>
      <c r="T21" t="str">
        <f>IFERROR(#REF!*J21,"")</f>
        <v/>
      </c>
      <c r="U21">
        <f t="shared" si="8"/>
        <v>80.069999999999993</v>
      </c>
      <c r="V21">
        <f t="shared" si="9"/>
        <v>72.25</v>
      </c>
      <c r="W21" s="131">
        <f t="shared" si="10"/>
        <v>28.900000000000002</v>
      </c>
      <c r="X21" s="131">
        <f t="shared" si="11"/>
        <v>108.97</v>
      </c>
      <c r="Y21" s="131">
        <f t="shared" si="12"/>
        <v>10.40909999999999</v>
      </c>
      <c r="Z21" s="131">
        <f t="shared" si="13"/>
        <v>3.7569999999999979</v>
      </c>
      <c r="AA21" s="131">
        <f t="shared" si="14"/>
        <v>123.1361</v>
      </c>
      <c r="AC21" s="131" t="str">
        <f>IFERROR(T21*'FlightConfig '!$K$3,"")</f>
        <v/>
      </c>
      <c r="AD21" s="131">
        <f>IFERROR(U21*'FlightConfig '!$K$17,"")</f>
        <v>29145.479999999996</v>
      </c>
      <c r="AE21" s="131">
        <f>IFERROR(V21*'FlightConfig '!$K$17,"")</f>
        <v>26299</v>
      </c>
      <c r="AF21" s="131">
        <f>IFERROR(W21*'FlightConfig '!$K$17,"")</f>
        <v>10519.6</v>
      </c>
      <c r="AG21" s="131">
        <f>IFERROR(X21*'FlightConfig '!$K$17,"")</f>
        <v>39665.08</v>
      </c>
      <c r="AH21" s="131">
        <f>IFERROR(Y21*'FlightConfig '!$K$17,"")</f>
        <v>3788.9123999999961</v>
      </c>
    </row>
    <row r="22" spans="1:34" ht="43.15" hidden="1">
      <c r="A22" t="s">
        <v>155</v>
      </c>
      <c r="B22" s="175">
        <v>1</v>
      </c>
      <c r="C22" s="180" t="str">
        <f t="shared" si="4"/>
        <v>BUSINESS CLASS1104</v>
      </c>
      <c r="D22" s="176"/>
      <c r="E22" s="308">
        <v>1018</v>
      </c>
      <c r="F22" s="315">
        <v>104</v>
      </c>
      <c r="G22" s="123" t="str">
        <f>VLOOKUP(E22,'FG MASTER'!$A$10:$AB$218,2,0)</f>
        <v>BC C1 BREAKFAST ENTRÉE 2 SAVORY FRITTATA, MARINATED TOMATO, HASHBROWN, GREEN ONION MORNAY</v>
      </c>
      <c r="H22" s="290">
        <v>1</v>
      </c>
      <c r="I22" s="177">
        <v>0.2</v>
      </c>
      <c r="J22" s="296">
        <f>IFERROR(IF(I22="std",H22,HLOOKUP(A22,'FlightConfig '!$B$28:$G$29,2,0)*I22),"")</f>
        <v>6.8000000000000007</v>
      </c>
      <c r="K22" s="249">
        <f>VLOOKUP(Food!E22,'FG MASTER'!$A$1:$AC$536,16,0)</f>
        <v>2.29</v>
      </c>
      <c r="L22" s="250">
        <f>VLOOKUP(Food!E22,'FG MASTER'!$A$10:$AC$536,17,0)</f>
        <v>4.5</v>
      </c>
      <c r="M22" s="136">
        <f t="shared" si="0"/>
        <v>1.8</v>
      </c>
      <c r="N22" s="136">
        <f t="shared" si="1"/>
        <v>4.09</v>
      </c>
      <c r="O22" s="136">
        <f t="shared" si="5"/>
        <v>0.29769999999999985</v>
      </c>
      <c r="P22" s="136">
        <f t="shared" si="6"/>
        <v>0.23399999999999976</v>
      </c>
      <c r="Q22" s="136">
        <f t="shared" si="16"/>
        <v>4.6216999999999997</v>
      </c>
      <c r="R22" s="131"/>
      <c r="S22" s="131"/>
      <c r="T22" t="str">
        <f>IFERROR(#REF!*J22,"")</f>
        <v/>
      </c>
      <c r="U22">
        <f t="shared" si="8"/>
        <v>15.572000000000003</v>
      </c>
      <c r="V22">
        <f t="shared" si="9"/>
        <v>30.6</v>
      </c>
      <c r="W22" s="131">
        <f t="shared" si="10"/>
        <v>12.240000000000002</v>
      </c>
      <c r="X22" s="131">
        <f t="shared" si="11"/>
        <v>27.812000000000001</v>
      </c>
      <c r="Y22" s="131">
        <f t="shared" si="12"/>
        <v>2.0243599999999993</v>
      </c>
      <c r="Z22" s="131">
        <f t="shared" si="13"/>
        <v>1.5911999999999986</v>
      </c>
      <c r="AA22" s="131">
        <f t="shared" si="14"/>
        <v>31.42756</v>
      </c>
      <c r="AC22" s="131" t="str">
        <f>IFERROR(T22*'FlightConfig '!$K$3,"")</f>
        <v/>
      </c>
      <c r="AD22" s="131">
        <f>IFERROR(U22*'FlightConfig '!$K$17,"")</f>
        <v>5668.2080000000005</v>
      </c>
      <c r="AE22" s="131">
        <f>IFERROR(V22*'FlightConfig '!$K$17,"")</f>
        <v>11138.4</v>
      </c>
      <c r="AF22" s="131">
        <f>IFERROR(W22*'FlightConfig '!$K$17,"")</f>
        <v>4455.3600000000006</v>
      </c>
      <c r="AG22" s="131">
        <f>IFERROR(X22*'FlightConfig '!$K$17,"")</f>
        <v>10123.568000000001</v>
      </c>
      <c r="AH22" s="131">
        <f>IFERROR(Y22*'FlightConfig '!$K$17,"")</f>
        <v>736.86703999999975</v>
      </c>
    </row>
    <row r="23" spans="1:34" ht="43.15" hidden="1">
      <c r="A23" t="s">
        <v>155</v>
      </c>
      <c r="B23" s="175">
        <v>1</v>
      </c>
      <c r="C23" s="180" t="str">
        <f t="shared" si="4"/>
        <v>BUSINESS CLASS1104</v>
      </c>
      <c r="D23" s="176"/>
      <c r="E23" s="308">
        <v>1019</v>
      </c>
      <c r="F23" s="315">
        <v>104</v>
      </c>
      <c r="G23" s="123" t="str">
        <f>VLOOKUP(E23,'FG MASTER'!$A$10:$AB$218,2,0)</f>
        <v>BC C1 BREAKFAST ENTRÉE 3 SWEET GREEK YOGURT PARFAIT, MANGO PINEAPPLE CHUTNEY, BLUSBERRY, COCONUT AND OAT GRANOLA</v>
      </c>
      <c r="H23" s="290">
        <v>1</v>
      </c>
      <c r="I23" s="177">
        <v>0.3</v>
      </c>
      <c r="J23" s="296">
        <f>IFERROR(IF(I23="std",H23,HLOOKUP(A23,'FlightConfig '!$B$28:$G$29,2,0)*I23),"")</f>
        <v>10.199999999999999</v>
      </c>
      <c r="K23" s="249">
        <f>VLOOKUP(Food!E23,'FG MASTER'!$A$1:$AC$536,16,0)</f>
        <v>2.15</v>
      </c>
      <c r="L23" s="250">
        <f>VLOOKUP(Food!E23,'FG MASTER'!$A$10:$AC$536,17,0)</f>
        <v>3.25</v>
      </c>
      <c r="M23" s="136">
        <f t="shared" si="0"/>
        <v>1.3</v>
      </c>
      <c r="N23" s="136">
        <f t="shared" si="1"/>
        <v>3.45</v>
      </c>
      <c r="O23" s="136">
        <f t="shared" si="5"/>
        <v>0.27949999999999964</v>
      </c>
      <c r="P23" s="136">
        <f t="shared" si="6"/>
        <v>0.16899999999999982</v>
      </c>
      <c r="Q23" s="136">
        <f t="shared" si="16"/>
        <v>3.8984999999999994</v>
      </c>
      <c r="R23" s="131"/>
      <c r="S23" s="131"/>
      <c r="T23" t="str">
        <f>IFERROR(#REF!*J23,"")</f>
        <v/>
      </c>
      <c r="U23">
        <f t="shared" si="8"/>
        <v>21.929999999999996</v>
      </c>
      <c r="V23">
        <f t="shared" si="9"/>
        <v>33.15</v>
      </c>
      <c r="W23" s="131">
        <f t="shared" si="10"/>
        <v>13.26</v>
      </c>
      <c r="X23" s="131">
        <f t="shared" si="11"/>
        <v>35.19</v>
      </c>
      <c r="Y23" s="131">
        <f t="shared" si="12"/>
        <v>2.8508999999999962</v>
      </c>
      <c r="Z23" s="131">
        <f t="shared" si="13"/>
        <v>1.723799999999998</v>
      </c>
      <c r="AA23" s="131">
        <f t="shared" si="14"/>
        <v>39.764699999999991</v>
      </c>
      <c r="AC23" s="131" t="str">
        <f>IFERROR(T23*'FlightConfig '!$K$3,"")</f>
        <v/>
      </c>
      <c r="AD23" s="131">
        <f>IFERROR(U23*'FlightConfig '!$K$17,"")</f>
        <v>7982.5199999999986</v>
      </c>
      <c r="AE23" s="131">
        <f>IFERROR(V23*'FlightConfig '!$K$17,"")</f>
        <v>12066.6</v>
      </c>
      <c r="AF23" s="131">
        <f>IFERROR(W23*'FlightConfig '!$K$17,"")</f>
        <v>4826.6400000000003</v>
      </c>
      <c r="AG23" s="131">
        <f>IFERROR(X23*'FlightConfig '!$K$17,"")</f>
        <v>12809.16</v>
      </c>
      <c r="AH23" s="131">
        <f>IFERROR(Y23*'FlightConfig '!$K$17,"")</f>
        <v>1037.7275999999986</v>
      </c>
    </row>
    <row r="24" spans="1:34" ht="28.9" hidden="1">
      <c r="A24" t="s">
        <v>155</v>
      </c>
      <c r="B24" s="175">
        <v>1</v>
      </c>
      <c r="C24" s="180" t="str">
        <f t="shared" si="4"/>
        <v>BUSINESS CLASS1104</v>
      </c>
      <c r="D24" s="176"/>
      <c r="E24" s="308">
        <v>1020</v>
      </c>
      <c r="F24" s="315">
        <v>104</v>
      </c>
      <c r="G24" s="123" t="str">
        <f>VLOOKUP(E24,'FG MASTER'!$A$10:$AB$218,2,0)</f>
        <v>BC C1 BREAKFAST SIDE 1 FRUIT SEASONAL 4 TYPES 130G</v>
      </c>
      <c r="H24" s="290">
        <v>1</v>
      </c>
      <c r="I24" s="177">
        <v>0.5</v>
      </c>
      <c r="J24" s="296">
        <f>IFERROR(IF(I24="std",H24,HLOOKUP(A24,'FlightConfig '!$B$28:$G$29,2,0)*I24),"")</f>
        <v>17</v>
      </c>
      <c r="K24" s="249">
        <f>VLOOKUP(Food!E24,'FG MASTER'!$A$1:$AC$536,16,0)</f>
        <v>2</v>
      </c>
      <c r="L24" s="250">
        <f>VLOOKUP(Food!E24,'FG MASTER'!$A$10:$AC$536,17,0)</f>
        <v>1.5</v>
      </c>
      <c r="M24" s="136">
        <f t="shared" si="0"/>
        <v>0.60000000000000009</v>
      </c>
      <c r="N24" s="136">
        <f t="shared" si="1"/>
        <v>2.6</v>
      </c>
      <c r="O24" s="136">
        <f t="shared" si="5"/>
        <v>0.25999999999999979</v>
      </c>
      <c r="P24" s="136">
        <f t="shared" si="6"/>
        <v>7.7999999999999958E-2</v>
      </c>
      <c r="Q24" s="136">
        <f>SUM(N24:P24)</f>
        <v>2.9379999999999997</v>
      </c>
      <c r="R24" s="131"/>
      <c r="S24" s="131"/>
      <c r="T24" t="str">
        <f>IFERROR(#REF!*J24,"")</f>
        <v/>
      </c>
      <c r="U24">
        <f t="shared" si="8"/>
        <v>34</v>
      </c>
      <c r="V24">
        <f t="shared" si="9"/>
        <v>25.5</v>
      </c>
      <c r="W24" s="131">
        <f t="shared" si="10"/>
        <v>10.200000000000001</v>
      </c>
      <c r="X24" s="131">
        <f t="shared" si="11"/>
        <v>44.2</v>
      </c>
      <c r="Y24" s="131">
        <f t="shared" si="12"/>
        <v>4.4199999999999964</v>
      </c>
      <c r="Z24" s="131">
        <f t="shared" si="13"/>
        <v>1.3259999999999992</v>
      </c>
      <c r="AA24" s="131">
        <f t="shared" si="14"/>
        <v>49.945999999999998</v>
      </c>
      <c r="AC24" s="131" t="str">
        <f>IFERROR(T24*'FlightConfig '!$K$3,"")</f>
        <v/>
      </c>
      <c r="AD24" s="131">
        <f>IFERROR(U24*'FlightConfig '!$K$17,"")</f>
        <v>12376</v>
      </c>
      <c r="AE24" s="131">
        <f>IFERROR(V24*'FlightConfig '!$K$17,"")</f>
        <v>9282</v>
      </c>
      <c r="AF24" s="131">
        <f>IFERROR(W24*'FlightConfig '!$K$17,"")</f>
        <v>3712.8</v>
      </c>
      <c r="AG24" s="131">
        <f>IFERROR(X24*'FlightConfig '!$K$17,"")</f>
        <v>16088.800000000001</v>
      </c>
      <c r="AH24" s="131">
        <f>IFERROR(Y24*'FlightConfig '!$K$17,"")</f>
        <v>1608.8799999999987</v>
      </c>
    </row>
    <row r="25" spans="1:34" hidden="1">
      <c r="A25" t="s">
        <v>155</v>
      </c>
      <c r="B25" s="175">
        <v>1</v>
      </c>
      <c r="C25" s="180" t="str">
        <f>CONCATENATE(A25&amp;B25&amp;F25)</f>
        <v>BUSINESS CLASS1104</v>
      </c>
      <c r="D25" s="176"/>
      <c r="E25" s="308">
        <v>1021</v>
      </c>
      <c r="F25" s="315">
        <v>104</v>
      </c>
      <c r="G25" s="123" t="str">
        <f>VLOOKUP(E25,'FG MASTER'!$A$10:$AB$218,2,0)</f>
        <v>BC C1 BREAKFAST SIDE 2 PEACH AND PECAN SCONE</v>
      </c>
      <c r="H25" s="290">
        <v>1</v>
      </c>
      <c r="I25" s="177">
        <v>0.5</v>
      </c>
      <c r="J25" s="296">
        <f>IFERROR(IF(I25="std",H25,HLOOKUP(A25,'FlightConfig '!$B$28:$G$29,2,0)*I25),"")</f>
        <v>17</v>
      </c>
      <c r="K25" s="249">
        <f>VLOOKUP(Food!E25,'FG MASTER'!$A$1:$AC$536,16,0)</f>
        <v>1.18</v>
      </c>
      <c r="L25" s="250">
        <f>VLOOKUP(Food!E25,'FG MASTER'!$A$10:$AC$536,17,0)</f>
        <v>2</v>
      </c>
      <c r="M25" s="136">
        <f t="shared" si="0"/>
        <v>0.8</v>
      </c>
      <c r="N25" s="136">
        <f t="shared" si="1"/>
        <v>1.98</v>
      </c>
      <c r="O25" s="136">
        <f t="shared" si="5"/>
        <v>0.15339999999999976</v>
      </c>
      <c r="P25" s="136">
        <f t="shared" si="6"/>
        <v>0.10399999999999987</v>
      </c>
      <c r="Q25" s="136">
        <f>SUM(N25:P25)</f>
        <v>2.2374000000000001</v>
      </c>
      <c r="R25" s="131"/>
      <c r="S25" s="131"/>
      <c r="T25" t="str">
        <f>IFERROR(#REF!*J25,"")</f>
        <v/>
      </c>
      <c r="U25">
        <f t="shared" si="8"/>
        <v>20.059999999999999</v>
      </c>
      <c r="V25">
        <f t="shared" si="9"/>
        <v>34</v>
      </c>
      <c r="W25" s="131">
        <f t="shared" si="10"/>
        <v>13.600000000000001</v>
      </c>
      <c r="X25" s="131">
        <f t="shared" si="11"/>
        <v>33.659999999999997</v>
      </c>
      <c r="Y25" s="131">
        <f t="shared" si="12"/>
        <v>2.6077999999999957</v>
      </c>
      <c r="Z25" s="131">
        <f t="shared" si="13"/>
        <v>1.7679999999999978</v>
      </c>
      <c r="AA25" s="131">
        <f t="shared" si="14"/>
        <v>38.035800000000002</v>
      </c>
      <c r="AC25" s="131" t="str">
        <f>IFERROR(T25*'FlightConfig '!$K$3,"")</f>
        <v/>
      </c>
      <c r="AD25" s="131">
        <f>IFERROR(U25*'FlightConfig '!$K$17,"")</f>
        <v>7301.8399999999992</v>
      </c>
      <c r="AE25" s="131">
        <f>IFERROR(V25*'FlightConfig '!$K$17,"")</f>
        <v>12376</v>
      </c>
      <c r="AF25" s="131">
        <f>IFERROR(W25*'FlightConfig '!$K$17,"")</f>
        <v>4950.4000000000005</v>
      </c>
      <c r="AG25" s="131">
        <f>IFERROR(X25*'FlightConfig '!$K$17,"")</f>
        <v>12252.239999999998</v>
      </c>
      <c r="AH25" s="131">
        <f>IFERROR(Y25*'FlightConfig '!$K$17,"")</f>
        <v>949.23919999999839</v>
      </c>
    </row>
    <row r="26" spans="1:34" hidden="1">
      <c r="A26" t="s">
        <v>155</v>
      </c>
      <c r="B26" s="175">
        <v>1</v>
      </c>
      <c r="C26" s="180" t="str">
        <f t="shared" ref="C26:C27" si="17">CONCATENATE(A26&amp;B26&amp;F26)</f>
        <v>BUSINESS CLASS1104</v>
      </c>
      <c r="D26" s="176"/>
      <c r="E26" s="308">
        <v>1022</v>
      </c>
      <c r="F26" s="315">
        <v>104</v>
      </c>
      <c r="G26" s="123" t="str">
        <f>VLOOKUP(E26,'FG MASTER'!$A$10:$AB$218,2,0)</f>
        <v xml:space="preserve">BC C1 BREAKFAST SIDE 3 YOGURT </v>
      </c>
      <c r="H26" s="290">
        <v>1</v>
      </c>
      <c r="I26" s="177">
        <v>0</v>
      </c>
      <c r="J26" s="296">
        <f>IFERROR(IF(I26="std",H26,HLOOKUP(A26,'FlightConfig '!$B$28:$G$29,2,0)*I26),"")</f>
        <v>0</v>
      </c>
      <c r="K26" s="249">
        <f>VLOOKUP(Food!E26,'FG MASTER'!$A$1:$AC$536,16,0)</f>
        <v>0.44</v>
      </c>
      <c r="L26" s="250">
        <f>VLOOKUP(Food!E26,'FG MASTER'!$A$10:$AC$536,17,0)</f>
        <v>0.5</v>
      </c>
      <c r="M26" s="136">
        <f t="shared" si="0"/>
        <v>0.2</v>
      </c>
      <c r="N26" s="136">
        <f t="shared" si="1"/>
        <v>0.64</v>
      </c>
      <c r="O26" s="136">
        <f t="shared" si="5"/>
        <v>5.7199999999999973E-2</v>
      </c>
      <c r="P26" s="136">
        <f t="shared" si="6"/>
        <v>2.5999999999999968E-2</v>
      </c>
      <c r="Q26" s="136">
        <f t="shared" ref="Q26:Q27" si="18">SUM(N26:P26)</f>
        <v>0.72320000000000007</v>
      </c>
      <c r="R26" s="131"/>
      <c r="S26" s="131"/>
      <c r="T26" t="str">
        <f>IFERROR(#REF!*J26,"")</f>
        <v/>
      </c>
      <c r="U26">
        <f t="shared" si="8"/>
        <v>0</v>
      </c>
      <c r="V26">
        <f t="shared" si="9"/>
        <v>0</v>
      </c>
      <c r="W26" s="131">
        <f t="shared" si="10"/>
        <v>0</v>
      </c>
      <c r="X26" s="131">
        <f t="shared" si="11"/>
        <v>0</v>
      </c>
      <c r="Y26" s="131">
        <f t="shared" si="12"/>
        <v>0</v>
      </c>
      <c r="Z26" s="131">
        <f t="shared" si="13"/>
        <v>0</v>
      </c>
      <c r="AA26" s="131">
        <f t="shared" si="14"/>
        <v>0</v>
      </c>
      <c r="AC26" s="131" t="str">
        <f>IFERROR(T26*'FlightConfig '!$K$3,"")</f>
        <v/>
      </c>
      <c r="AD26" s="131">
        <f>IFERROR(U26*'FlightConfig '!$K$17,"")</f>
        <v>0</v>
      </c>
      <c r="AE26" s="131">
        <f>IFERROR(V26*'FlightConfig '!$K$17,"")</f>
        <v>0</v>
      </c>
      <c r="AF26" s="131">
        <f>IFERROR(W26*'FlightConfig '!$K$17,"")</f>
        <v>0</v>
      </c>
      <c r="AG26" s="131">
        <f>IFERROR(X26*'FlightConfig '!$K$17,"")</f>
        <v>0</v>
      </c>
      <c r="AH26" s="131">
        <f>IFERROR(Y26*'FlightConfig '!$K$17,"")</f>
        <v>0</v>
      </c>
    </row>
    <row r="27" spans="1:34" hidden="1">
      <c r="A27" t="s">
        <v>155</v>
      </c>
      <c r="B27" s="175">
        <v>1</v>
      </c>
      <c r="C27" s="180" t="str">
        <f t="shared" si="17"/>
        <v>BUSINESS CLASS1104</v>
      </c>
      <c r="D27" s="176"/>
      <c r="E27" s="308">
        <v>1023</v>
      </c>
      <c r="F27" s="315">
        <v>104</v>
      </c>
      <c r="G27" s="123" t="str">
        <f>VLOOKUP(E27,'FG MASTER'!$A$10:$AB$218,2,0)</f>
        <v xml:space="preserve">BC C1 BREAKFAST SIDE 4 HOMEMADE GRANOLA </v>
      </c>
      <c r="H27" s="290">
        <v>1</v>
      </c>
      <c r="I27" s="177">
        <v>0</v>
      </c>
      <c r="J27" s="296">
        <f>IFERROR(IF(I27="std",H27,HLOOKUP(A27,'FlightConfig '!$B$28:$G$29,2,0)*I27),"")</f>
        <v>0</v>
      </c>
      <c r="K27" s="249">
        <f>VLOOKUP(Food!E27,'FG MASTER'!$A$1:$AC$536,16,0)</f>
        <v>0.78</v>
      </c>
      <c r="L27" s="250">
        <f>VLOOKUP(Food!E27,'FG MASTER'!$A$10:$AC$536,17,0)</f>
        <v>0.75</v>
      </c>
      <c r="M27" s="136">
        <f t="shared" si="0"/>
        <v>0.30000000000000004</v>
      </c>
      <c r="N27" s="136">
        <f t="shared" si="1"/>
        <v>1.08</v>
      </c>
      <c r="O27" s="136">
        <f t="shared" si="5"/>
        <v>0.10139999999999993</v>
      </c>
      <c r="P27" s="136">
        <f t="shared" si="6"/>
        <v>3.8999999999999979E-2</v>
      </c>
      <c r="Q27" s="136">
        <f t="shared" si="18"/>
        <v>1.2203999999999999</v>
      </c>
      <c r="R27" s="131"/>
      <c r="S27" s="131"/>
      <c r="T27" t="str">
        <f>IFERROR(#REF!*J27,"")</f>
        <v/>
      </c>
      <c r="U27">
        <f t="shared" si="8"/>
        <v>0</v>
      </c>
      <c r="V27">
        <f t="shared" si="9"/>
        <v>0</v>
      </c>
      <c r="W27" s="131">
        <f t="shared" si="10"/>
        <v>0</v>
      </c>
      <c r="X27" s="131">
        <f t="shared" si="11"/>
        <v>0</v>
      </c>
      <c r="Y27" s="131">
        <f t="shared" si="12"/>
        <v>0</v>
      </c>
      <c r="Z27" s="131">
        <f t="shared" si="13"/>
        <v>0</v>
      </c>
      <c r="AA27" s="131">
        <f t="shared" si="14"/>
        <v>0</v>
      </c>
      <c r="AC27" s="131" t="str">
        <f>IFERROR(T27*'FlightConfig '!$K$3,"")</f>
        <v/>
      </c>
      <c r="AD27" s="131">
        <f>IFERROR(U27*'FlightConfig '!$K$17,"")</f>
        <v>0</v>
      </c>
      <c r="AE27" s="131">
        <f>IFERROR(V27*'FlightConfig '!$K$17,"")</f>
        <v>0</v>
      </c>
      <c r="AF27" s="131">
        <f>IFERROR(W27*'FlightConfig '!$K$17,"")</f>
        <v>0</v>
      </c>
      <c r="AG27" s="131">
        <f>IFERROR(X27*'FlightConfig '!$K$17,"")</f>
        <v>0</v>
      </c>
      <c r="AH27" s="131">
        <f>IFERROR(Y27*'FlightConfig '!$K$17,"")</f>
        <v>0</v>
      </c>
    </row>
    <row r="28" spans="1:34" ht="28.9" hidden="1">
      <c r="A28" t="s">
        <v>155</v>
      </c>
      <c r="B28" s="175">
        <v>1</v>
      </c>
      <c r="C28" s="180" t="str">
        <f>CONCATENATE(A28&amp;B28&amp;F28)</f>
        <v>BUSINESS CLASS1104</v>
      </c>
      <c r="D28" s="176"/>
      <c r="E28" s="308">
        <v>1024</v>
      </c>
      <c r="F28" s="315">
        <v>104</v>
      </c>
      <c r="G28" s="123" t="str">
        <f>VLOOKUP(E28,'FG MASTER'!$A$10:$AB$218,2,0)</f>
        <v>BC C1 BREAKFAST SIDE 5 MAPLE CINNAMON BIRCHER MUESLI</v>
      </c>
      <c r="H28" s="290">
        <v>1</v>
      </c>
      <c r="I28" s="177">
        <v>0</v>
      </c>
      <c r="J28" s="296">
        <f>IFERROR(IF(I28="std",H28,HLOOKUP(A28,'FlightConfig '!$B$28:$G$29,2,0)*I28),"")</f>
        <v>0</v>
      </c>
      <c r="K28" s="249">
        <f>VLOOKUP(Food!E28,'FG MASTER'!$A$1:$AC$536,16,0)</f>
        <v>0.85</v>
      </c>
      <c r="L28" s="250">
        <f>VLOOKUP(Food!E28,'FG MASTER'!$A$10:$AC$536,17,0)</f>
        <v>1</v>
      </c>
      <c r="M28" s="136">
        <f>IFERROR(L28*$M$2,"")</f>
        <v>0.4</v>
      </c>
      <c r="N28" s="136">
        <f>IFERROR((K28)+M28,"")</f>
        <v>1.25</v>
      </c>
      <c r="O28" s="136">
        <f t="shared" si="5"/>
        <v>0.11049999999999993</v>
      </c>
      <c r="P28" s="136">
        <f t="shared" si="6"/>
        <v>5.1999999999999935E-2</v>
      </c>
      <c r="Q28" s="136">
        <f>SUM(N28:P28)</f>
        <v>1.4125000000000001</v>
      </c>
      <c r="R28" s="131"/>
      <c r="S28" s="131"/>
      <c r="T28" t="str">
        <f>IFERROR(#REF!*J28,"")</f>
        <v/>
      </c>
      <c r="U28">
        <f t="shared" si="8"/>
        <v>0</v>
      </c>
      <c r="V28">
        <f t="shared" si="9"/>
        <v>0</v>
      </c>
      <c r="W28" s="131">
        <f t="shared" si="10"/>
        <v>0</v>
      </c>
      <c r="X28" s="131">
        <f t="shared" si="11"/>
        <v>0</v>
      </c>
      <c r="Y28" s="131">
        <f t="shared" si="12"/>
        <v>0</v>
      </c>
      <c r="Z28" s="131">
        <f t="shared" si="13"/>
        <v>0</v>
      </c>
      <c r="AA28" s="131">
        <f t="shared" si="14"/>
        <v>0</v>
      </c>
      <c r="AC28" s="131" t="str">
        <f>IFERROR(T28*'FlightConfig '!$K$3,"")</f>
        <v/>
      </c>
      <c r="AD28" s="131">
        <f>IFERROR(U28*'FlightConfig '!$K$17,"")</f>
        <v>0</v>
      </c>
      <c r="AE28" s="131">
        <f>IFERROR(V28*'FlightConfig '!$K$17,"")</f>
        <v>0</v>
      </c>
      <c r="AF28" s="131">
        <f>IFERROR(W28*'FlightConfig '!$K$17,"")</f>
        <v>0</v>
      </c>
      <c r="AG28" s="131">
        <f>IFERROR(X28*'FlightConfig '!$K$17,"")</f>
        <v>0</v>
      </c>
      <c r="AH28" s="131">
        <f>IFERROR(Y28*'FlightConfig '!$K$17,"")</f>
        <v>0</v>
      </c>
    </row>
    <row r="29" spans="1:34" hidden="1">
      <c r="A29" t="s">
        <v>155</v>
      </c>
      <c r="B29" s="175">
        <v>1</v>
      </c>
      <c r="C29" s="180" t="str">
        <f t="shared" ref="C29:C47" si="19">CONCATENATE(A29&amp;B29&amp;F29)</f>
        <v>BUSINESS CLASS1104</v>
      </c>
      <c r="D29" s="176"/>
      <c r="E29" s="308">
        <v>1025</v>
      </c>
      <c r="F29" s="315">
        <v>104</v>
      </c>
      <c r="G29" s="123" t="str">
        <f>VLOOKUP(E29,'FG MASTER'!$A$10:$AB$218,2,0)</f>
        <v>BC C1 BREAKFAST SIDE 6 CORN FLAKES</v>
      </c>
      <c r="H29" s="290">
        <v>1</v>
      </c>
      <c r="I29" s="177">
        <v>0</v>
      </c>
      <c r="J29" s="296">
        <f>IFERROR(IF(I29="std",H29,HLOOKUP(A29,'FlightConfig '!$B$28:$G$29,2,0)*I29),"")</f>
        <v>0</v>
      </c>
      <c r="K29" s="249">
        <f>VLOOKUP(Food!E29,'FG MASTER'!$A$1:$AC$536,16,0)</f>
        <v>0.69</v>
      </c>
      <c r="L29" s="250">
        <f>VLOOKUP(Food!E29,'FG MASTER'!$A$10:$AC$536,17,0)</f>
        <v>0.25</v>
      </c>
      <c r="M29" s="136">
        <f t="shared" ref="M29:M45" si="20">IFERROR(L29*$M$2,"")</f>
        <v>0.1</v>
      </c>
      <c r="N29" s="136">
        <f t="shared" ref="N29:N47" si="21">IFERROR((K29)+M29,"")</f>
        <v>0.78999999999999992</v>
      </c>
      <c r="O29" s="136">
        <f t="shared" si="5"/>
        <v>8.9699999999999891E-2</v>
      </c>
      <c r="P29" s="136">
        <f t="shared" si="6"/>
        <v>1.2999999999999984E-2</v>
      </c>
      <c r="Q29" s="136">
        <f t="shared" ref="Q29:Q32" si="22">SUM(N29:P29)</f>
        <v>0.89269999999999983</v>
      </c>
      <c r="R29" s="131"/>
      <c r="S29" s="131"/>
      <c r="T29" t="str">
        <f>IFERROR(#REF!*J29,"")</f>
        <v/>
      </c>
      <c r="U29">
        <f t="shared" si="8"/>
        <v>0</v>
      </c>
      <c r="V29">
        <f t="shared" si="9"/>
        <v>0</v>
      </c>
      <c r="W29" s="131">
        <f t="shared" si="10"/>
        <v>0</v>
      </c>
      <c r="X29" s="131">
        <f t="shared" si="11"/>
        <v>0</v>
      </c>
      <c r="Y29" s="131">
        <f t="shared" si="12"/>
        <v>0</v>
      </c>
      <c r="Z29" s="131">
        <f t="shared" si="13"/>
        <v>0</v>
      </c>
      <c r="AA29" s="131">
        <f t="shared" si="14"/>
        <v>0</v>
      </c>
      <c r="AC29" s="131" t="str">
        <f>IFERROR(T29*'FlightConfig '!$K$3,"")</f>
        <v/>
      </c>
      <c r="AD29" s="131">
        <f>IFERROR(U29*'FlightConfig '!$K$17,"")</f>
        <v>0</v>
      </c>
      <c r="AE29" s="131">
        <f>IFERROR(V29*'FlightConfig '!$K$17,"")</f>
        <v>0</v>
      </c>
      <c r="AF29" s="131">
        <f>IFERROR(W29*'FlightConfig '!$K$17,"")</f>
        <v>0</v>
      </c>
      <c r="AG29" s="131">
        <f>IFERROR(X29*'FlightConfig '!$K$17,"")</f>
        <v>0</v>
      </c>
      <c r="AH29" s="131">
        <f>IFERROR(Y29*'FlightConfig '!$K$17,"")</f>
        <v>0</v>
      </c>
    </row>
    <row r="30" spans="1:34" ht="28.9" hidden="1">
      <c r="A30" t="s">
        <v>155</v>
      </c>
      <c r="B30" s="175">
        <v>1</v>
      </c>
      <c r="C30" s="180" t="str">
        <f t="shared" si="19"/>
        <v>BUSINESS CLASS1104</v>
      </c>
      <c r="D30" s="176"/>
      <c r="E30" s="308">
        <v>1026</v>
      </c>
      <c r="F30" s="315">
        <v>104</v>
      </c>
      <c r="G30" s="123" t="str">
        <f>VLOOKUP(E30,'FG MASTER'!$A$10:$AB$218,2,0)</f>
        <v>BC C1 BREAKFAST SIDE OPTION 1 FIRED CHICKEN BISCUIT WITH TOMATO JAM</v>
      </c>
      <c r="H30" s="290">
        <v>1</v>
      </c>
      <c r="I30" s="177">
        <v>0</v>
      </c>
      <c r="J30" s="296">
        <f>IFERROR(IF(I30="std",H30,HLOOKUP(A30,'FlightConfig '!$B$28:$G$29,2,0)*I30),"")</f>
        <v>0</v>
      </c>
      <c r="K30" s="249">
        <f>VLOOKUP(Food!E30,'FG MASTER'!$A$1:$AC$536,16,0)</f>
        <v>1.1399999999999999</v>
      </c>
      <c r="L30" s="250">
        <f>VLOOKUP(Food!E30,'FG MASTER'!$A$10:$AC$536,17,0)</f>
        <v>2</v>
      </c>
      <c r="M30" s="136">
        <f t="shared" si="20"/>
        <v>0.8</v>
      </c>
      <c r="N30" s="136">
        <f t="shared" si="21"/>
        <v>1.94</v>
      </c>
      <c r="O30" s="136">
        <f t="shared" si="5"/>
        <v>0.14819999999999989</v>
      </c>
      <c r="P30" s="136">
        <f t="shared" si="6"/>
        <v>0.10399999999999987</v>
      </c>
      <c r="Q30" s="136">
        <f t="shared" si="22"/>
        <v>2.1921999999999997</v>
      </c>
      <c r="R30" s="131"/>
      <c r="S30" s="131"/>
      <c r="T30" t="str">
        <f>IFERROR(#REF!*J30,"")</f>
        <v/>
      </c>
      <c r="U30">
        <f t="shared" si="8"/>
        <v>0</v>
      </c>
      <c r="V30">
        <f t="shared" si="9"/>
        <v>0</v>
      </c>
      <c r="W30" s="131">
        <f t="shared" si="10"/>
        <v>0</v>
      </c>
      <c r="X30" s="131">
        <f t="shared" si="11"/>
        <v>0</v>
      </c>
      <c r="Y30" s="131">
        <f t="shared" si="12"/>
        <v>0</v>
      </c>
      <c r="Z30" s="131">
        <f t="shared" si="13"/>
        <v>0</v>
      </c>
      <c r="AA30" s="131">
        <f t="shared" si="14"/>
        <v>0</v>
      </c>
      <c r="AC30" s="131" t="str">
        <f>IFERROR(T30*'FlightConfig '!$K$3,"")</f>
        <v/>
      </c>
      <c r="AD30" s="131">
        <f>IFERROR(U30*'FlightConfig '!$K$17,"")</f>
        <v>0</v>
      </c>
      <c r="AE30" s="131">
        <f>IFERROR(V30*'FlightConfig '!$K$17,"")</f>
        <v>0</v>
      </c>
      <c r="AF30" s="131">
        <f>IFERROR(W30*'FlightConfig '!$K$17,"")</f>
        <v>0</v>
      </c>
      <c r="AG30" s="131">
        <f>IFERROR(X30*'FlightConfig '!$K$17,"")</f>
        <v>0</v>
      </c>
      <c r="AH30" s="131">
        <f>IFERROR(Y30*'FlightConfig '!$K$17,"")</f>
        <v>0</v>
      </c>
    </row>
    <row r="31" spans="1:34" ht="28.9" hidden="1">
      <c r="A31" t="s">
        <v>155</v>
      </c>
      <c r="B31" s="175">
        <v>1</v>
      </c>
      <c r="C31" s="180" t="str">
        <f t="shared" si="19"/>
        <v>BUSINESS CLASS1104</v>
      </c>
      <c r="D31" s="176"/>
      <c r="E31" s="309">
        <v>1027</v>
      </c>
      <c r="F31" s="315">
        <v>104</v>
      </c>
      <c r="G31" s="123" t="str">
        <f>VLOOKUP(E31,'FG MASTER'!$A$10:$AB$218,2,0)</f>
        <v xml:space="preserve">BC C1 BREAKFAST SIDE OPTION 2 CHOCOLATE CROISSANT </v>
      </c>
      <c r="H31" s="290">
        <v>1</v>
      </c>
      <c r="I31" s="177">
        <v>0</v>
      </c>
      <c r="J31" s="296">
        <f>IFERROR(IF(I31="std",H31,HLOOKUP(A31,'FlightConfig '!$B$28:$G$29,2,0)*I31),"")</f>
        <v>0</v>
      </c>
      <c r="K31" s="249">
        <f>VLOOKUP(Food!E31,'FG MASTER'!$A$1:$AC$536,16,0)</f>
        <v>1.1599999999999999</v>
      </c>
      <c r="L31" s="250">
        <f>VLOOKUP(Food!E31,'FG MASTER'!$A$10:$AC$536,17,0)</f>
        <v>0.5</v>
      </c>
      <c r="M31" s="136">
        <f t="shared" si="20"/>
        <v>0.2</v>
      </c>
      <c r="N31" s="136">
        <f t="shared" si="21"/>
        <v>1.3599999999999999</v>
      </c>
      <c r="O31" s="136">
        <f t="shared" si="5"/>
        <v>0.15079999999999982</v>
      </c>
      <c r="P31" s="136">
        <f t="shared" si="6"/>
        <v>2.5999999999999968E-2</v>
      </c>
      <c r="Q31" s="136">
        <f t="shared" si="22"/>
        <v>1.5367999999999997</v>
      </c>
      <c r="R31" s="131"/>
      <c r="S31" s="131"/>
      <c r="T31" t="str">
        <f>IFERROR(#REF!*J31,"")</f>
        <v/>
      </c>
      <c r="U31">
        <f t="shared" si="8"/>
        <v>0</v>
      </c>
      <c r="V31">
        <f t="shared" si="9"/>
        <v>0</v>
      </c>
      <c r="W31" s="131">
        <f t="shared" si="10"/>
        <v>0</v>
      </c>
      <c r="X31" s="131">
        <f t="shared" si="11"/>
        <v>0</v>
      </c>
      <c r="Y31" s="131">
        <f t="shared" si="12"/>
        <v>0</v>
      </c>
      <c r="Z31" s="131">
        <f t="shared" si="13"/>
        <v>0</v>
      </c>
      <c r="AA31" s="131">
        <f t="shared" si="14"/>
        <v>0</v>
      </c>
      <c r="AC31" s="131" t="str">
        <f>IFERROR(T31*'FlightConfig '!$K$3,"")</f>
        <v/>
      </c>
      <c r="AD31" s="131">
        <f>IFERROR(U31*'FlightConfig '!$K$17,"")</f>
        <v>0</v>
      </c>
      <c r="AE31" s="131">
        <f>IFERROR(V31*'FlightConfig '!$K$17,"")</f>
        <v>0</v>
      </c>
      <c r="AF31" s="131">
        <f>IFERROR(W31*'FlightConfig '!$K$17,"")</f>
        <v>0</v>
      </c>
      <c r="AG31" s="131">
        <f>IFERROR(X31*'FlightConfig '!$K$17,"")</f>
        <v>0</v>
      </c>
      <c r="AH31" s="131">
        <f>IFERROR(Y31*'FlightConfig '!$K$17,"")</f>
        <v>0</v>
      </c>
    </row>
    <row r="32" spans="1:34" ht="28.9" hidden="1">
      <c r="A32" t="s">
        <v>156</v>
      </c>
      <c r="B32" s="175">
        <v>1</v>
      </c>
      <c r="C32" s="180" t="str">
        <f t="shared" si="19"/>
        <v>PREMIUM ECONOMY CLASS1104</v>
      </c>
      <c r="D32" s="316"/>
      <c r="E32" s="309">
        <v>1028</v>
      </c>
      <c r="F32" s="315">
        <v>104</v>
      </c>
      <c r="G32" s="123" t="str">
        <f>VLOOKUP(E32,'FG MASTER'!$A$10:$AB$218,2,0)</f>
        <v xml:space="preserve">PY C1 DINNER GEORGIA PEACH CHILI WHIPPED BUTTER </v>
      </c>
      <c r="H32" s="290">
        <v>1</v>
      </c>
      <c r="I32" s="177">
        <v>1</v>
      </c>
      <c r="J32" s="296">
        <f>IFERROR(IF(I32="std",H32,HLOOKUP(A32,'FlightConfig '!$B$28:$G$29,2,0)*I32),"")</f>
        <v>48</v>
      </c>
      <c r="K32" s="249">
        <f>VLOOKUP(Food!E32,'FG MASTER'!$A$1:$AC$536,16,0)</f>
        <v>0.47</v>
      </c>
      <c r="L32" s="250">
        <f>VLOOKUP(Food!E32,'FG MASTER'!$A$10:$AC$536,17,0)</f>
        <v>0.5</v>
      </c>
      <c r="M32" s="136">
        <f t="shared" si="20"/>
        <v>0.2</v>
      </c>
      <c r="N32" s="136">
        <f t="shared" si="21"/>
        <v>0.66999999999999993</v>
      </c>
      <c r="O32" s="136">
        <f t="shared" si="5"/>
        <v>6.1099999999999932E-2</v>
      </c>
      <c r="P32" s="136">
        <f t="shared" si="6"/>
        <v>2.5999999999999968E-2</v>
      </c>
      <c r="Q32" s="136">
        <f t="shared" si="22"/>
        <v>0.75709999999999988</v>
      </c>
      <c r="R32" s="131"/>
      <c r="S32" s="131"/>
      <c r="T32" t="str">
        <f>IFERROR(#REF!*J32,"")</f>
        <v/>
      </c>
      <c r="U32">
        <f t="shared" si="8"/>
        <v>22.56</v>
      </c>
      <c r="V32">
        <f t="shared" si="9"/>
        <v>24</v>
      </c>
      <c r="W32" s="131">
        <f t="shared" si="10"/>
        <v>9.6000000000000014</v>
      </c>
      <c r="X32" s="131">
        <f t="shared" si="11"/>
        <v>32.159999999999997</v>
      </c>
      <c r="Y32" s="131">
        <f t="shared" si="12"/>
        <v>2.9327999999999967</v>
      </c>
      <c r="Z32" s="131">
        <f t="shared" si="13"/>
        <v>1.2479999999999984</v>
      </c>
      <c r="AA32" s="131">
        <f t="shared" si="14"/>
        <v>36.340799999999994</v>
      </c>
      <c r="AC32" s="131" t="str">
        <f>IFERROR(T32*'FlightConfig '!$K$3,"")</f>
        <v/>
      </c>
      <c r="AD32" s="131">
        <f>IFERROR(U32*'FlightConfig '!$K$17,"")</f>
        <v>8211.84</v>
      </c>
      <c r="AE32" s="131">
        <f>IFERROR(V32*'FlightConfig '!$K$17,"")</f>
        <v>8736</v>
      </c>
      <c r="AF32" s="131">
        <f>IFERROR(W32*'FlightConfig '!$K$17,"")</f>
        <v>3494.4000000000005</v>
      </c>
      <c r="AG32" s="131">
        <f>IFERROR(X32*'FlightConfig '!$K$17,"")</f>
        <v>11706.239999999998</v>
      </c>
      <c r="AH32" s="131">
        <f>IFERROR(Y32*'FlightConfig '!$K$17,"")</f>
        <v>1067.5391999999988</v>
      </c>
    </row>
    <row r="33" spans="1:34" hidden="1">
      <c r="A33" t="s">
        <v>156</v>
      </c>
      <c r="B33" s="175">
        <v>1</v>
      </c>
      <c r="C33" s="180" t="str">
        <f t="shared" si="19"/>
        <v>PREMIUM ECONOMY CLASS1104</v>
      </c>
      <c r="D33" s="316"/>
      <c r="E33" s="309">
        <v>1029</v>
      </c>
      <c r="F33" s="315">
        <v>104</v>
      </c>
      <c r="G33" s="123" t="str">
        <f>VLOOKUP(E33,'FG MASTER'!$A$10:$AB$218,2,0)</f>
        <v xml:space="preserve">PY C1 DINNER SWEETWATER BEET AND CHEESE ROLL </v>
      </c>
      <c r="H33" s="290">
        <v>1</v>
      </c>
      <c r="I33" s="177">
        <v>1</v>
      </c>
      <c r="J33" s="296">
        <f>IFERROR(IF(I33="std",H33,HLOOKUP(A33,'FlightConfig '!$B$28:$G$29,2,0)*I33),"")</f>
        <v>48</v>
      </c>
      <c r="K33" s="249">
        <f>VLOOKUP(Food!E33,'FG MASTER'!$A$1:$AC$536,16,0)</f>
        <v>0.3</v>
      </c>
      <c r="L33" s="250">
        <f>VLOOKUP(Food!E33,'FG MASTER'!$A$10:$AC$536,17,0)</f>
        <v>0.25</v>
      </c>
      <c r="M33" s="136">
        <f t="shared" si="20"/>
        <v>0.1</v>
      </c>
      <c r="N33" s="136">
        <f t="shared" si="21"/>
        <v>0.4</v>
      </c>
      <c r="O33" s="136">
        <f t="shared" si="5"/>
        <v>3.8999999999999979E-2</v>
      </c>
      <c r="P33" s="136">
        <f t="shared" si="6"/>
        <v>1.2999999999999984E-2</v>
      </c>
      <c r="Q33" s="136">
        <f t="shared" ref="Q33:Q69" si="23">SUM(N33:P33)</f>
        <v>0.45199999999999996</v>
      </c>
      <c r="R33" s="131"/>
      <c r="S33" s="131"/>
      <c r="T33" t="str">
        <f>IFERROR(#REF!*J33,"")</f>
        <v/>
      </c>
      <c r="U33">
        <f t="shared" si="8"/>
        <v>14.399999999999999</v>
      </c>
      <c r="V33">
        <f t="shared" si="9"/>
        <v>12</v>
      </c>
      <c r="W33" s="131">
        <f t="shared" si="10"/>
        <v>4.8000000000000007</v>
      </c>
      <c r="X33" s="131">
        <f t="shared" si="11"/>
        <v>19.200000000000003</v>
      </c>
      <c r="Y33" s="131">
        <f t="shared" si="12"/>
        <v>1.871999999999999</v>
      </c>
      <c r="Z33" s="131">
        <f t="shared" si="13"/>
        <v>0.62399999999999922</v>
      </c>
      <c r="AA33" s="131">
        <f t="shared" si="14"/>
        <v>21.695999999999998</v>
      </c>
      <c r="AC33" s="131" t="str">
        <f>IFERROR(T33*'FlightConfig '!$K$3,"")</f>
        <v/>
      </c>
      <c r="AD33" s="131">
        <f>IFERROR(U33*'FlightConfig '!$K$17,"")</f>
        <v>5241.5999999999995</v>
      </c>
      <c r="AE33" s="131">
        <f>IFERROR(V33*'FlightConfig '!$K$17,"")</f>
        <v>4368</v>
      </c>
      <c r="AF33" s="131">
        <f>IFERROR(W33*'FlightConfig '!$K$17,"")</f>
        <v>1747.2000000000003</v>
      </c>
      <c r="AG33" s="131">
        <f>IFERROR(X33*'FlightConfig '!$K$17,"")</f>
        <v>6988.8000000000011</v>
      </c>
      <c r="AH33" s="131">
        <f>IFERROR(Y33*'FlightConfig '!$K$17,"")</f>
        <v>681.40799999999967</v>
      </c>
    </row>
    <row r="34" spans="1:34" ht="43.15" hidden="1">
      <c r="A34" t="s">
        <v>156</v>
      </c>
      <c r="B34" s="175">
        <v>1</v>
      </c>
      <c r="C34" s="180" t="str">
        <f t="shared" si="19"/>
        <v>PREMIUM ECONOMY CLASS1104</v>
      </c>
      <c r="D34" s="316"/>
      <c r="E34" s="309">
        <v>1030</v>
      </c>
      <c r="F34" s="315">
        <v>104</v>
      </c>
      <c r="G34" s="123" t="str">
        <f>VLOOKUP(E34,'FG MASTER'!$A$10:$AB$218,2,0)</f>
        <v xml:space="preserve">PY C1 DINNER STARTER MESCLUN MIX WITH CUCUMBER, CARROT AND BOCCONCINI MOZAZARELLA BALL </v>
      </c>
      <c r="H34" s="290">
        <v>1</v>
      </c>
      <c r="I34" s="177">
        <v>1</v>
      </c>
      <c r="J34" s="296">
        <f>IFERROR(IF(I34="std",H34,HLOOKUP(A34,'FlightConfig '!$B$28:$G$29,2,0)*I34),"")</f>
        <v>48</v>
      </c>
      <c r="K34" s="249">
        <f>VLOOKUP(Food!E34,'FG MASTER'!$A$1:$AC$536,16,0)</f>
        <v>0.56000000000000005</v>
      </c>
      <c r="L34" s="250">
        <f>VLOOKUP(Food!E34,'FG MASTER'!$A$10:$AC$536,17,0)</f>
        <v>1.25</v>
      </c>
      <c r="M34" s="136">
        <f t="shared" si="20"/>
        <v>0.5</v>
      </c>
      <c r="N34" s="136">
        <f t="shared" si="21"/>
        <v>1.06</v>
      </c>
      <c r="O34" s="136">
        <f t="shared" si="5"/>
        <v>7.2799999999999976E-2</v>
      </c>
      <c r="P34" s="136">
        <f t="shared" si="6"/>
        <v>6.4999999999999947E-2</v>
      </c>
      <c r="Q34" s="136">
        <f t="shared" si="23"/>
        <v>1.1978</v>
      </c>
      <c r="R34" s="131"/>
      <c r="S34" s="131"/>
      <c r="T34" t="str">
        <f>IFERROR(#REF!*J34,"")</f>
        <v/>
      </c>
      <c r="U34">
        <f t="shared" si="8"/>
        <v>26.880000000000003</v>
      </c>
      <c r="V34">
        <f t="shared" si="9"/>
        <v>60</v>
      </c>
      <c r="W34" s="131">
        <f t="shared" si="10"/>
        <v>24</v>
      </c>
      <c r="X34" s="131">
        <f t="shared" si="11"/>
        <v>50.88</v>
      </c>
      <c r="Y34" s="131">
        <f t="shared" si="12"/>
        <v>3.4943999999999988</v>
      </c>
      <c r="Z34" s="131">
        <f t="shared" si="13"/>
        <v>3.1199999999999974</v>
      </c>
      <c r="AA34" s="131">
        <f t="shared" si="14"/>
        <v>57.494399999999999</v>
      </c>
      <c r="AC34" s="131" t="str">
        <f>IFERROR(T34*'FlightConfig '!$K$3,"")</f>
        <v/>
      </c>
      <c r="AD34" s="131">
        <f>IFERROR(U34*'FlightConfig '!$K$17,"")</f>
        <v>9784.3200000000015</v>
      </c>
      <c r="AE34" s="131">
        <f>IFERROR(V34*'FlightConfig '!$K$17,"")</f>
        <v>21840</v>
      </c>
      <c r="AF34" s="131">
        <f>IFERROR(W34*'FlightConfig '!$K$17,"")</f>
        <v>8736</v>
      </c>
      <c r="AG34" s="131">
        <f>IFERROR(X34*'FlightConfig '!$K$17,"")</f>
        <v>18520.32</v>
      </c>
      <c r="AH34" s="131">
        <f>IFERROR(Y34*'FlightConfig '!$K$17,"")</f>
        <v>1271.9615999999996</v>
      </c>
    </row>
    <row r="35" spans="1:34" ht="43.15" hidden="1">
      <c r="A35" t="s">
        <v>156</v>
      </c>
      <c r="B35" s="175">
        <v>1</v>
      </c>
      <c r="C35" s="180" t="str">
        <f t="shared" si="19"/>
        <v>PREMIUM ECONOMY CLASS1104</v>
      </c>
      <c r="D35" s="316"/>
      <c r="E35" s="309">
        <v>1031</v>
      </c>
      <c r="F35" s="315">
        <v>104</v>
      </c>
      <c r="G35" s="123" t="str">
        <f>VLOOKUP(E35,'FG MASTER'!$A$10:$AB$218,2,0)</f>
        <v>PY C1 DINNER ENTRÉE 1 MARYLAND STULE CRAB CAKE, ARTOCHOKE RISOTTA, ASPARAGUS, LEMON DILL BEURRE BLANC</v>
      </c>
      <c r="H35" s="290">
        <v>1</v>
      </c>
      <c r="I35" s="177">
        <v>0.5</v>
      </c>
      <c r="J35" s="296">
        <f>IFERROR(IF(I35="std",H35,HLOOKUP(A35,'FlightConfig '!$B$28:$G$29,2,0)*I35),"")</f>
        <v>24</v>
      </c>
      <c r="K35" s="249">
        <f>VLOOKUP(Food!E35,'FG MASTER'!$A$1:$AC$536,16,0)</f>
        <v>10.43</v>
      </c>
      <c r="L35" s="250">
        <f>VLOOKUP(Food!E35,'FG MASTER'!$A$10:$AC$536,17,0)</f>
        <v>5.5</v>
      </c>
      <c r="M35" s="136">
        <f t="shared" si="20"/>
        <v>2.2000000000000002</v>
      </c>
      <c r="N35" s="136">
        <f t="shared" si="21"/>
        <v>12.629999999999999</v>
      </c>
      <c r="O35" s="136">
        <f t="shared" si="5"/>
        <v>1.3558999999999983</v>
      </c>
      <c r="P35" s="136">
        <f t="shared" si="6"/>
        <v>0.28599999999999959</v>
      </c>
      <c r="Q35" s="136">
        <f t="shared" si="23"/>
        <v>14.271899999999997</v>
      </c>
      <c r="R35" s="131"/>
      <c r="S35" s="131"/>
      <c r="T35" t="str">
        <f>IFERROR(#REF!*J35,"")</f>
        <v/>
      </c>
      <c r="U35">
        <f t="shared" si="8"/>
        <v>250.32</v>
      </c>
      <c r="V35">
        <f t="shared" si="9"/>
        <v>132</v>
      </c>
      <c r="W35" s="131">
        <f t="shared" si="10"/>
        <v>52.800000000000004</v>
      </c>
      <c r="X35" s="131">
        <f t="shared" si="11"/>
        <v>303.12</v>
      </c>
      <c r="Y35" s="131">
        <f t="shared" si="12"/>
        <v>32.54159999999996</v>
      </c>
      <c r="Z35" s="131">
        <f t="shared" si="13"/>
        <v>6.8639999999999901</v>
      </c>
      <c r="AA35" s="131">
        <f t="shared" si="14"/>
        <v>342.52559999999994</v>
      </c>
      <c r="AC35" s="131" t="str">
        <f>IFERROR(T35*'FlightConfig '!$K$3,"")</f>
        <v/>
      </c>
      <c r="AD35" s="131">
        <f>IFERROR(U35*'FlightConfig '!$K$17,"")</f>
        <v>91116.479999999996</v>
      </c>
      <c r="AE35" s="131">
        <f>IFERROR(V35*'FlightConfig '!$K$17,"")</f>
        <v>48048</v>
      </c>
      <c r="AF35" s="131">
        <f>IFERROR(W35*'FlightConfig '!$K$17,"")</f>
        <v>19219.2</v>
      </c>
      <c r="AG35" s="131">
        <f>IFERROR(X35*'FlightConfig '!$K$17,"")</f>
        <v>110335.68000000001</v>
      </c>
      <c r="AH35" s="131">
        <f>IFERROR(Y35*'FlightConfig '!$K$17,"")</f>
        <v>11845.142399999986</v>
      </c>
    </row>
    <row r="36" spans="1:34" ht="43.15" hidden="1">
      <c r="A36" t="s">
        <v>156</v>
      </c>
      <c r="B36" s="175">
        <v>1</v>
      </c>
      <c r="C36" s="180" t="str">
        <f t="shared" si="19"/>
        <v>PREMIUM ECONOMY CLASS1104</v>
      </c>
      <c r="D36" s="316"/>
      <c r="E36" s="309">
        <v>1032</v>
      </c>
      <c r="F36" s="315">
        <v>104</v>
      </c>
      <c r="G36" s="123" t="str">
        <f>VLOOKUP(E36,'FG MASTER'!$A$10:$AB$218,2,0)</f>
        <v>PY C1 DINNER ENTRÉE 2 GRILLED CHICKEN KEBAB, HONEY HARISSA GLAZE, ROASTED RED PEPPER, LEMON HERB RICE, FETA CHEESE</v>
      </c>
      <c r="H36" s="290">
        <v>1</v>
      </c>
      <c r="I36" s="177">
        <v>0.35</v>
      </c>
      <c r="J36" s="296">
        <f>IFERROR(IF(I36="std",H36,HLOOKUP(A36,'FlightConfig '!$B$28:$G$29,2,0)*I36),"")</f>
        <v>16.799999999999997</v>
      </c>
      <c r="K36" s="249">
        <f>VLOOKUP(Food!E36,'FG MASTER'!$A$1:$AC$536,16,0)</f>
        <v>2.19</v>
      </c>
      <c r="L36" s="250">
        <f>VLOOKUP(Food!E36,'FG MASTER'!$A$10:$AC$536,17,0)</f>
        <v>5.5</v>
      </c>
      <c r="M36" s="136">
        <f t="shared" si="20"/>
        <v>2.2000000000000002</v>
      </c>
      <c r="N36" s="136">
        <f t="shared" si="21"/>
        <v>4.3900000000000006</v>
      </c>
      <c r="O36" s="136">
        <f t="shared" si="5"/>
        <v>0.28469999999999995</v>
      </c>
      <c r="P36" s="136">
        <f t="shared" si="6"/>
        <v>0.28599999999999959</v>
      </c>
      <c r="Q36" s="136">
        <f t="shared" si="23"/>
        <v>4.9607000000000001</v>
      </c>
      <c r="R36" s="131"/>
      <c r="S36" s="131"/>
      <c r="T36" t="str">
        <f>IFERROR(#REF!*J36,"")</f>
        <v/>
      </c>
      <c r="U36">
        <f t="shared" si="8"/>
        <v>36.791999999999994</v>
      </c>
      <c r="V36">
        <f t="shared" si="9"/>
        <v>92.399999999999977</v>
      </c>
      <c r="W36" s="131">
        <f t="shared" si="10"/>
        <v>36.959999999999994</v>
      </c>
      <c r="X36" s="131">
        <f t="shared" si="11"/>
        <v>73.751999999999995</v>
      </c>
      <c r="Y36" s="131">
        <f t="shared" si="12"/>
        <v>4.7829599999999983</v>
      </c>
      <c r="Z36" s="131">
        <f t="shared" si="13"/>
        <v>4.8047999999999922</v>
      </c>
      <c r="AA36" s="131">
        <f t="shared" si="14"/>
        <v>83.339759999999984</v>
      </c>
      <c r="AC36" s="131" t="str">
        <f>IFERROR(T36*'FlightConfig '!$K$3,"")</f>
        <v/>
      </c>
      <c r="AD36" s="131">
        <f>IFERROR(U36*'FlightConfig '!$K$17,"")</f>
        <v>13392.287999999999</v>
      </c>
      <c r="AE36" s="131">
        <f>IFERROR(V36*'FlightConfig '!$K$17,"")</f>
        <v>33633.599999999991</v>
      </c>
      <c r="AF36" s="131">
        <f>IFERROR(W36*'FlightConfig '!$K$17,"")</f>
        <v>13453.439999999997</v>
      </c>
      <c r="AG36" s="131">
        <f>IFERROR(X36*'FlightConfig '!$K$17,"")</f>
        <v>26845.727999999999</v>
      </c>
      <c r="AH36" s="131">
        <f>IFERROR(Y36*'FlightConfig '!$K$17,"")</f>
        <v>1740.9974399999994</v>
      </c>
    </row>
    <row r="37" spans="1:34" ht="57.6" hidden="1">
      <c r="A37" t="s">
        <v>156</v>
      </c>
      <c r="B37" s="175">
        <v>1</v>
      </c>
      <c r="C37" s="180" t="str">
        <f t="shared" si="19"/>
        <v>PREMIUM ECONOMY CLASS1104</v>
      </c>
      <c r="D37" s="316"/>
      <c r="E37" s="309">
        <v>1033</v>
      </c>
      <c r="F37" s="315">
        <v>104</v>
      </c>
      <c r="G37" s="123" t="str">
        <f>VLOOKUP(E37,'FG MASTER'!$A$10:$AB$218,2,0)</f>
        <v xml:space="preserve">PY C1 DINNER ENTRÉE 3 SMOKED MOZZARELLA RAVIOLI, MARINARA SAUCE, PESTO MARINATED BOCCONCINI MOZZARELLA, SHREDDED, PARMESAN, SPINACH </v>
      </c>
      <c r="H37" s="290">
        <v>1</v>
      </c>
      <c r="I37" s="177">
        <v>0.2</v>
      </c>
      <c r="J37" s="296">
        <f>IFERROR(IF(I37="std",H37,HLOOKUP(A37,'FlightConfig '!$B$28:$G$29,2,0)*I37),"")</f>
        <v>9.6000000000000014</v>
      </c>
      <c r="K37" s="249">
        <f>VLOOKUP(Food!E37,'FG MASTER'!$A$1:$AC$536,16,0)</f>
        <v>4.2</v>
      </c>
      <c r="L37" s="250">
        <f>VLOOKUP(Food!E37,'FG MASTER'!$A$10:$AC$536,17,0)</f>
        <v>3.25</v>
      </c>
      <c r="M37" s="136">
        <f t="shared" si="20"/>
        <v>1.3</v>
      </c>
      <c r="N37" s="136">
        <f t="shared" si="21"/>
        <v>5.5</v>
      </c>
      <c r="O37" s="136">
        <f t="shared" si="5"/>
        <v>0.54599999999999937</v>
      </c>
      <c r="P37" s="136">
        <f t="shared" si="6"/>
        <v>0.16899999999999982</v>
      </c>
      <c r="Q37" s="136">
        <f t="shared" si="23"/>
        <v>6.214999999999999</v>
      </c>
      <c r="R37" s="131"/>
      <c r="S37" s="131"/>
      <c r="T37" t="str">
        <f>IFERROR(#REF!*J37,"")</f>
        <v/>
      </c>
      <c r="U37">
        <f t="shared" si="8"/>
        <v>40.320000000000007</v>
      </c>
      <c r="V37">
        <f t="shared" si="9"/>
        <v>31.200000000000003</v>
      </c>
      <c r="W37" s="131">
        <f t="shared" si="10"/>
        <v>12.480000000000002</v>
      </c>
      <c r="X37" s="131">
        <f t="shared" si="11"/>
        <v>52.800000000000011</v>
      </c>
      <c r="Y37" s="131">
        <f t="shared" si="12"/>
        <v>5.2415999999999947</v>
      </c>
      <c r="Z37" s="131">
        <f t="shared" si="13"/>
        <v>1.6223999999999985</v>
      </c>
      <c r="AA37" s="131">
        <f t="shared" si="14"/>
        <v>59.664000000000001</v>
      </c>
      <c r="AC37" s="131" t="str">
        <f>IFERROR(T37*'FlightConfig '!$K$3,"")</f>
        <v/>
      </c>
      <c r="AD37" s="131">
        <f>IFERROR(U37*'FlightConfig '!$K$17,"")</f>
        <v>14676.480000000003</v>
      </c>
      <c r="AE37" s="131">
        <f>IFERROR(V37*'FlightConfig '!$K$17,"")</f>
        <v>11356.800000000001</v>
      </c>
      <c r="AF37" s="131">
        <f>IFERROR(W37*'FlightConfig '!$K$17,"")</f>
        <v>4542.7200000000012</v>
      </c>
      <c r="AG37" s="131">
        <f>IFERROR(X37*'FlightConfig '!$K$17,"")</f>
        <v>19219.200000000004</v>
      </c>
      <c r="AH37" s="131">
        <f>IFERROR(Y37*'FlightConfig '!$K$17,"")</f>
        <v>1907.9423999999981</v>
      </c>
    </row>
    <row r="38" spans="1:34" ht="28.9" hidden="1">
      <c r="A38" t="s">
        <v>156</v>
      </c>
      <c r="B38" s="175">
        <v>1</v>
      </c>
      <c r="C38" s="180" t="str">
        <f t="shared" si="19"/>
        <v>PREMIUM ECONOMY CLASS1104</v>
      </c>
      <c r="D38" s="316"/>
      <c r="E38" s="309">
        <v>1034</v>
      </c>
      <c r="F38" s="315">
        <v>104</v>
      </c>
      <c r="G38" s="123" t="str">
        <f>VLOOKUP(E38,'FG MASTER'!$A$10:$AB$218,2,0)</f>
        <v xml:space="preserve">PY C1 DINNER DESSERT BLACKBERRY PEACH COBBLER TART, CRÈME GRAICHE </v>
      </c>
      <c r="H38" s="290">
        <v>1</v>
      </c>
      <c r="I38" s="177">
        <v>1</v>
      </c>
      <c r="J38" s="296">
        <f>IFERROR(IF(I38="std",H38,HLOOKUP(A38,'FlightConfig '!$B$28:$G$29,2,0)*I38),"")</f>
        <v>48</v>
      </c>
      <c r="K38" s="249">
        <f>VLOOKUP(Food!E38,'FG MASTER'!$A$1:$AC$536,16,0)</f>
        <v>0.83</v>
      </c>
      <c r="L38" s="250">
        <f>VLOOKUP(Food!E38,'FG MASTER'!$A$10:$AC$536,17,0)</f>
        <v>1.25</v>
      </c>
      <c r="M38" s="136">
        <f t="shared" si="20"/>
        <v>0.5</v>
      </c>
      <c r="N38" s="136">
        <f t="shared" si="21"/>
        <v>1.33</v>
      </c>
      <c r="O38" s="136">
        <f t="shared" si="5"/>
        <v>0.10789999999999988</v>
      </c>
      <c r="P38" s="136">
        <f t="shared" si="6"/>
        <v>6.4999999999999947E-2</v>
      </c>
      <c r="Q38" s="136">
        <f t="shared" si="23"/>
        <v>1.5028999999999999</v>
      </c>
      <c r="R38" s="131"/>
      <c r="S38" s="131"/>
      <c r="T38" t="str">
        <f>IFERROR(#REF!*J38,"")</f>
        <v/>
      </c>
      <c r="U38">
        <f t="shared" si="8"/>
        <v>39.839999999999996</v>
      </c>
      <c r="V38">
        <f t="shared" si="9"/>
        <v>60</v>
      </c>
      <c r="W38" s="131">
        <f t="shared" si="10"/>
        <v>24</v>
      </c>
      <c r="X38" s="131">
        <f t="shared" si="11"/>
        <v>63.84</v>
      </c>
      <c r="Y38" s="131">
        <f t="shared" si="12"/>
        <v>5.1791999999999945</v>
      </c>
      <c r="Z38" s="131">
        <f t="shared" si="13"/>
        <v>3.1199999999999974</v>
      </c>
      <c r="AA38" s="131">
        <f t="shared" si="14"/>
        <v>72.139199999999988</v>
      </c>
      <c r="AC38" s="131" t="str">
        <f>IFERROR(T38*'FlightConfig '!$K$3,"")</f>
        <v/>
      </c>
      <c r="AD38" s="131">
        <f>IFERROR(U38*'FlightConfig '!$K$17,"")</f>
        <v>14501.759999999998</v>
      </c>
      <c r="AE38" s="131">
        <f>IFERROR(V38*'FlightConfig '!$K$17,"")</f>
        <v>21840</v>
      </c>
      <c r="AF38" s="131">
        <f>IFERROR(W38*'FlightConfig '!$K$17,"")</f>
        <v>8736</v>
      </c>
      <c r="AG38" s="131">
        <f>IFERROR(X38*'FlightConfig '!$K$17,"")</f>
        <v>23237.760000000002</v>
      </c>
      <c r="AH38" s="131">
        <f>IFERROR(Y38*'FlightConfig '!$K$17,"")</f>
        <v>1885.228799999998</v>
      </c>
    </row>
    <row r="39" spans="1:34" ht="28.9" hidden="1">
      <c r="A39" t="s">
        <v>156</v>
      </c>
      <c r="B39" s="175">
        <v>1</v>
      </c>
      <c r="C39" s="180" t="str">
        <f t="shared" si="19"/>
        <v>PREMIUM ECONOMY CLASS1104</v>
      </c>
      <c r="D39" s="316"/>
      <c r="E39" s="309">
        <v>1035</v>
      </c>
      <c r="F39" s="315">
        <v>104</v>
      </c>
      <c r="G39" s="123" t="str">
        <f>VLOOKUP(E39,'FG MASTER'!$A$10:$AB$218,2,0)</f>
        <v xml:space="preserve">PY C1 DINNER CHEESE, THOMASVILLE TOMME, ASHER BLUE, ANGRY CUKES, MESCADINE JELLY </v>
      </c>
      <c r="H39" s="290">
        <v>1</v>
      </c>
      <c r="I39" s="177">
        <v>1</v>
      </c>
      <c r="J39" s="296">
        <f>IFERROR(IF(I39="std",H39,HLOOKUP(A39,'FlightConfig '!$B$28:$G$29,2,0)*I39),"")</f>
        <v>48</v>
      </c>
      <c r="K39" s="249">
        <f>VLOOKUP(Food!E39,'FG MASTER'!$A$1:$AC$536,16,0)</f>
        <v>1.9</v>
      </c>
      <c r="L39" s="250">
        <f>VLOOKUP(Food!E39,'FG MASTER'!$A$10:$AC$536,17,0)</f>
        <v>2</v>
      </c>
      <c r="M39" s="136">
        <f t="shared" si="20"/>
        <v>0.8</v>
      </c>
      <c r="N39" s="136">
        <f t="shared" si="21"/>
        <v>2.7</v>
      </c>
      <c r="O39" s="136">
        <f t="shared" si="5"/>
        <v>0.24699999999999989</v>
      </c>
      <c r="P39" s="136">
        <f t="shared" si="6"/>
        <v>0.10399999999999987</v>
      </c>
      <c r="Q39" s="136">
        <f t="shared" si="23"/>
        <v>3.0510000000000002</v>
      </c>
      <c r="R39" s="131"/>
      <c r="S39" s="131"/>
      <c r="T39" t="str">
        <f>IFERROR(#REF!*J39,"")</f>
        <v/>
      </c>
      <c r="U39">
        <f t="shared" si="8"/>
        <v>91.199999999999989</v>
      </c>
      <c r="V39">
        <f t="shared" si="9"/>
        <v>96</v>
      </c>
      <c r="W39" s="131">
        <f t="shared" si="10"/>
        <v>38.400000000000006</v>
      </c>
      <c r="X39" s="131">
        <f t="shared" si="11"/>
        <v>129.60000000000002</v>
      </c>
      <c r="Y39" s="131">
        <f t="shared" si="12"/>
        <v>11.855999999999995</v>
      </c>
      <c r="Z39" s="131">
        <f t="shared" si="13"/>
        <v>4.9919999999999938</v>
      </c>
      <c r="AA39" s="131">
        <f t="shared" si="14"/>
        <v>146.44800000000001</v>
      </c>
      <c r="AC39" s="131" t="str">
        <f>IFERROR(T39*'FlightConfig '!$K$3,"")</f>
        <v/>
      </c>
      <c r="AD39" s="131">
        <f>IFERROR(U39*'FlightConfig '!$K$17,"")</f>
        <v>33196.799999999996</v>
      </c>
      <c r="AE39" s="131">
        <f>IFERROR(V39*'FlightConfig '!$K$17,"")</f>
        <v>34944</v>
      </c>
      <c r="AF39" s="131">
        <f>IFERROR(W39*'FlightConfig '!$K$17,"")</f>
        <v>13977.600000000002</v>
      </c>
      <c r="AG39" s="131">
        <f>IFERROR(X39*'FlightConfig '!$K$17,"")</f>
        <v>47174.400000000009</v>
      </c>
      <c r="AH39" s="131">
        <f>IFERROR(Y39*'FlightConfig '!$K$17,"")</f>
        <v>4315.583999999998</v>
      </c>
    </row>
    <row r="40" spans="1:34" ht="43.15" hidden="1">
      <c r="A40" t="s">
        <v>156</v>
      </c>
      <c r="B40" s="175">
        <v>1</v>
      </c>
      <c r="C40" s="180" t="str">
        <f t="shared" si="19"/>
        <v>PREMIUM ECONOMY CLASS1104</v>
      </c>
      <c r="D40" s="316"/>
      <c r="E40" s="309">
        <v>1036</v>
      </c>
      <c r="F40" s="315">
        <v>104</v>
      </c>
      <c r="G40" s="123" t="str">
        <f>VLOOKUP(E40,'FG MASTER'!$A$10:$AB$218,2,0)</f>
        <v>PY C1 BREAKFAST BUTTERMILK BISCUIT, SCRAMBLE EGG, MAPLE SAUISAGE GRAVY, CHICKEN SAUSAGE PATTY, ,SCALLIOM</v>
      </c>
      <c r="H40" s="290">
        <v>1</v>
      </c>
      <c r="I40" s="177">
        <v>0.5</v>
      </c>
      <c r="J40" s="296">
        <f>IFERROR(IF(I40="std",H40,HLOOKUP(A40,'FlightConfig '!$B$28:$G$29,2,0)*I40),"")</f>
        <v>24</v>
      </c>
      <c r="K40" s="249">
        <f>VLOOKUP(Food!E40,'FG MASTER'!$A$1:$AC$536,16,0)</f>
        <v>1.77</v>
      </c>
      <c r="L40" s="250">
        <f>VLOOKUP(Food!E40,'FG MASTER'!$A$10:$AC$536,17,0)</f>
        <v>3.25</v>
      </c>
      <c r="M40" s="136">
        <f t="shared" si="20"/>
        <v>1.3</v>
      </c>
      <c r="N40" s="136">
        <f t="shared" si="21"/>
        <v>3.0700000000000003</v>
      </c>
      <c r="O40" s="136">
        <f t="shared" si="5"/>
        <v>0.23009999999999975</v>
      </c>
      <c r="P40" s="136">
        <f t="shared" si="6"/>
        <v>0.16899999999999982</v>
      </c>
      <c r="Q40" s="136">
        <f t="shared" si="23"/>
        <v>3.4691000000000001</v>
      </c>
      <c r="R40" s="131"/>
      <c r="S40" s="131"/>
      <c r="T40" t="str">
        <f>IFERROR(#REF!*J40,"")</f>
        <v/>
      </c>
      <c r="U40">
        <f t="shared" si="8"/>
        <v>42.480000000000004</v>
      </c>
      <c r="V40">
        <f t="shared" si="9"/>
        <v>78</v>
      </c>
      <c r="W40" s="131">
        <f t="shared" si="10"/>
        <v>31.200000000000003</v>
      </c>
      <c r="X40" s="131">
        <f t="shared" si="11"/>
        <v>73.680000000000007</v>
      </c>
      <c r="Y40" s="131">
        <f t="shared" si="12"/>
        <v>5.522399999999994</v>
      </c>
      <c r="Z40" s="131">
        <f t="shared" si="13"/>
        <v>4.0559999999999956</v>
      </c>
      <c r="AA40" s="131">
        <f t="shared" si="14"/>
        <v>83.258399999999995</v>
      </c>
      <c r="AC40" s="131" t="str">
        <f>IFERROR(T40*'FlightConfig '!$K$3,"")</f>
        <v/>
      </c>
      <c r="AD40" s="131">
        <f>IFERROR(U40*'FlightConfig '!$K$17,"")</f>
        <v>15462.720000000001</v>
      </c>
      <c r="AE40" s="131">
        <f>IFERROR(V40*'FlightConfig '!$K$17,"")</f>
        <v>28392</v>
      </c>
      <c r="AF40" s="131">
        <f>IFERROR(W40*'FlightConfig '!$K$17,"")</f>
        <v>11356.800000000001</v>
      </c>
      <c r="AG40" s="131">
        <f>IFERROR(X40*'FlightConfig '!$K$17,"")</f>
        <v>26819.520000000004</v>
      </c>
      <c r="AH40" s="131">
        <f>IFERROR(Y40*'FlightConfig '!$K$17,"")</f>
        <v>2010.1535999999978</v>
      </c>
    </row>
    <row r="41" spans="1:34" ht="28.9" hidden="1">
      <c r="A41" t="s">
        <v>156</v>
      </c>
      <c r="B41" s="175">
        <v>1</v>
      </c>
      <c r="C41" s="180" t="str">
        <f t="shared" si="19"/>
        <v>PREMIUM ECONOMY CLASS1104</v>
      </c>
      <c r="D41" s="316"/>
      <c r="E41" s="309">
        <v>1037</v>
      </c>
      <c r="F41" s="315">
        <v>104</v>
      </c>
      <c r="G41" s="123" t="str">
        <f>VLOOKUP(E41,'FG MASTER'!$A$10:$AB$218,2,0)</f>
        <v>PY C1 BREAKFAST SCRAMBLE EGG, GINGERLING POTATOES, ASPARAGUS, CHERRY TOMATOES</v>
      </c>
      <c r="H41" s="290">
        <v>1</v>
      </c>
      <c r="I41" s="177">
        <v>0.3</v>
      </c>
      <c r="J41" s="296">
        <f>IFERROR(IF(I41="std",H41,HLOOKUP(A41,'FlightConfig '!$B$28:$G$29,2,0)*I41),"")</f>
        <v>14.399999999999999</v>
      </c>
      <c r="K41" s="249">
        <f>VLOOKUP(Food!E41,'FG MASTER'!$A$1:$AC$536,16,0)</f>
        <v>1.77</v>
      </c>
      <c r="L41" s="250">
        <f>VLOOKUP(Food!E41,'FG MASTER'!$A$10:$AC$536,17,0)</f>
        <v>4</v>
      </c>
      <c r="M41" s="136">
        <f t="shared" si="20"/>
        <v>1.6</v>
      </c>
      <c r="N41" s="136">
        <f t="shared" si="21"/>
        <v>3.37</v>
      </c>
      <c r="O41" s="136">
        <f t="shared" si="5"/>
        <v>0.23009999999999975</v>
      </c>
      <c r="P41" s="136">
        <f t="shared" si="6"/>
        <v>0.20799999999999974</v>
      </c>
      <c r="Q41" s="136">
        <f t="shared" si="23"/>
        <v>3.8080999999999996</v>
      </c>
      <c r="R41" s="131"/>
      <c r="S41" s="131"/>
      <c r="T41" t="str">
        <f>IFERROR(#REF!*J41,"")</f>
        <v/>
      </c>
      <c r="U41">
        <f t="shared" si="8"/>
        <v>25.487999999999996</v>
      </c>
      <c r="V41">
        <f t="shared" si="9"/>
        <v>57.599999999999994</v>
      </c>
      <c r="W41" s="131">
        <f t="shared" si="10"/>
        <v>23.04</v>
      </c>
      <c r="X41" s="131">
        <f t="shared" si="11"/>
        <v>48.527999999999999</v>
      </c>
      <c r="Y41" s="131">
        <f t="shared" si="12"/>
        <v>3.3134399999999959</v>
      </c>
      <c r="Z41" s="131">
        <f t="shared" si="13"/>
        <v>2.9951999999999961</v>
      </c>
      <c r="AA41" s="131">
        <f t="shared" si="14"/>
        <v>54.836639999999989</v>
      </c>
      <c r="AC41" s="131" t="str">
        <f>IFERROR(T41*'FlightConfig '!$K$3,"")</f>
        <v/>
      </c>
      <c r="AD41" s="131">
        <f>IFERROR(U41*'FlightConfig '!$K$17,"")</f>
        <v>9277.6319999999978</v>
      </c>
      <c r="AE41" s="131">
        <f>IFERROR(V41*'FlightConfig '!$K$17,"")</f>
        <v>20966.399999999998</v>
      </c>
      <c r="AF41" s="131">
        <f>IFERROR(W41*'FlightConfig '!$K$17,"")</f>
        <v>8386.56</v>
      </c>
      <c r="AG41" s="131">
        <f>IFERROR(X41*'FlightConfig '!$K$17,"")</f>
        <v>17664.191999999999</v>
      </c>
      <c r="AH41" s="131">
        <f>IFERROR(Y41*'FlightConfig '!$K$17,"")</f>
        <v>1206.0921599999986</v>
      </c>
    </row>
    <row r="42" spans="1:34" ht="43.15" hidden="1">
      <c r="A42" t="s">
        <v>156</v>
      </c>
      <c r="B42" s="175">
        <v>1</v>
      </c>
      <c r="C42" s="180" t="str">
        <f t="shared" si="19"/>
        <v>PREMIUM ECONOMY CLASS1104</v>
      </c>
      <c r="D42" s="316"/>
      <c r="E42" s="309">
        <v>1038</v>
      </c>
      <c r="F42" s="315">
        <v>104</v>
      </c>
      <c r="G42" s="123" t="str">
        <f>VLOOKUP(E42,'FG MASTER'!$A$10:$AB$218,2,0)</f>
        <v>PY C1 BREAKFAST CHALLAH FRENCH TOAST CASSEROLE, ORANGE WHIPPED RICOTTA, CHERRY COMPOTE</v>
      </c>
      <c r="H42" s="290">
        <v>1</v>
      </c>
      <c r="I42" s="177">
        <v>0.2</v>
      </c>
      <c r="J42" s="296">
        <f>IFERROR(IF(I42="std",H42,HLOOKUP(A42,'FlightConfig '!$B$28:$G$29,2,0)*I42),"")</f>
        <v>9.6000000000000014</v>
      </c>
      <c r="K42" s="249">
        <f>VLOOKUP(Food!E42,'FG MASTER'!$A$1:$AC$536,16,0)</f>
        <v>1.1100000000000001</v>
      </c>
      <c r="L42" s="250">
        <f>VLOOKUP(Food!E42,'FG MASTER'!$A$10:$AC$536,17,0)</f>
        <v>2.5</v>
      </c>
      <c r="M42" s="136">
        <f t="shared" si="20"/>
        <v>1</v>
      </c>
      <c r="N42" s="136">
        <f t="shared" si="21"/>
        <v>2.1100000000000003</v>
      </c>
      <c r="O42" s="136">
        <f t="shared" si="5"/>
        <v>0.14429999999999987</v>
      </c>
      <c r="P42" s="136">
        <f t="shared" si="6"/>
        <v>0.12999999999999989</v>
      </c>
      <c r="Q42" s="136">
        <f t="shared" si="23"/>
        <v>2.3843000000000001</v>
      </c>
      <c r="R42" s="131"/>
      <c r="S42" s="131"/>
      <c r="T42" t="str">
        <f>IFERROR(#REF!*J42,"")</f>
        <v/>
      </c>
      <c r="U42">
        <f t="shared" si="8"/>
        <v>10.656000000000002</v>
      </c>
      <c r="V42">
        <f t="shared" si="9"/>
        <v>24.000000000000004</v>
      </c>
      <c r="W42" s="131">
        <f t="shared" si="10"/>
        <v>9.6000000000000014</v>
      </c>
      <c r="X42" s="131">
        <f t="shared" si="11"/>
        <v>20.256000000000007</v>
      </c>
      <c r="Y42" s="131">
        <f t="shared" si="12"/>
        <v>1.385279999999999</v>
      </c>
      <c r="Z42" s="131">
        <f t="shared" si="13"/>
        <v>1.2479999999999991</v>
      </c>
      <c r="AA42" s="131">
        <f t="shared" si="14"/>
        <v>22.889280000000003</v>
      </c>
      <c r="AC42" s="131" t="str">
        <f>IFERROR(T42*'FlightConfig '!$K$3,"")</f>
        <v/>
      </c>
      <c r="AD42" s="131">
        <f>IFERROR(U42*'FlightConfig '!$K$17,"")</f>
        <v>3878.784000000001</v>
      </c>
      <c r="AE42" s="131">
        <f>IFERROR(V42*'FlightConfig '!$K$17,"")</f>
        <v>8736.0000000000018</v>
      </c>
      <c r="AF42" s="131">
        <f>IFERROR(W42*'FlightConfig '!$K$17,"")</f>
        <v>3494.4000000000005</v>
      </c>
      <c r="AG42" s="131">
        <f>IFERROR(X42*'FlightConfig '!$K$17,"")</f>
        <v>7373.1840000000029</v>
      </c>
      <c r="AH42" s="131">
        <f>IFERROR(Y42*'FlightConfig '!$K$17,"")</f>
        <v>504.2419199999996</v>
      </c>
    </row>
    <row r="43" spans="1:34" ht="28.9" hidden="1">
      <c r="A43" t="s">
        <v>156</v>
      </c>
      <c r="B43" s="175">
        <v>1</v>
      </c>
      <c r="C43" s="180" t="str">
        <f t="shared" si="19"/>
        <v>PREMIUM ECONOMY CLASS1104</v>
      </c>
      <c r="D43" s="316"/>
      <c r="E43" s="309">
        <v>1039</v>
      </c>
      <c r="F43" s="315">
        <v>104</v>
      </c>
      <c r="G43" s="123" t="str">
        <f>VLOOKUP(E43,'FG MASTER'!$A$10:$AB$218,2,0)</f>
        <v>PY C1 BREAKFAST SIDE 1 FRUIT PLATE SESONAL FRUIT 100G</v>
      </c>
      <c r="H43" s="290">
        <v>1</v>
      </c>
      <c r="I43" s="177">
        <v>1</v>
      </c>
      <c r="J43" s="296">
        <f>IFERROR(IF(I43="std",H43,HLOOKUP(A43,'FlightConfig '!$B$28:$G$29,2,0)*I43),"")</f>
        <v>48</v>
      </c>
      <c r="K43" s="249">
        <f>VLOOKUP(Food!E43,'FG MASTER'!$A$1:$AC$536,16,0)</f>
        <v>0.61</v>
      </c>
      <c r="L43" s="250">
        <f>VLOOKUP(Food!E43,'FG MASTER'!$A$10:$AC$536,17,0)</f>
        <v>1.5</v>
      </c>
      <c r="M43" s="136">
        <f t="shared" si="20"/>
        <v>0.60000000000000009</v>
      </c>
      <c r="N43" s="136">
        <f t="shared" si="21"/>
        <v>1.21</v>
      </c>
      <c r="O43" s="136">
        <f t="shared" si="5"/>
        <v>7.9299999999999926E-2</v>
      </c>
      <c r="P43" s="136">
        <f t="shared" si="6"/>
        <v>7.7999999999999958E-2</v>
      </c>
      <c r="Q43" s="136">
        <f t="shared" si="23"/>
        <v>1.3672999999999997</v>
      </c>
      <c r="R43" s="131"/>
      <c r="S43" s="131"/>
      <c r="T43" t="str">
        <f>IFERROR(#REF!*J43,"")</f>
        <v/>
      </c>
      <c r="U43">
        <f t="shared" si="8"/>
        <v>29.28</v>
      </c>
      <c r="V43">
        <f t="shared" si="9"/>
        <v>72</v>
      </c>
      <c r="W43" s="131">
        <f t="shared" si="10"/>
        <v>28.800000000000004</v>
      </c>
      <c r="X43" s="131">
        <f t="shared" si="11"/>
        <v>58.08</v>
      </c>
      <c r="Y43" s="131">
        <f t="shared" si="12"/>
        <v>3.8063999999999965</v>
      </c>
      <c r="Z43" s="131">
        <f t="shared" si="13"/>
        <v>3.743999999999998</v>
      </c>
      <c r="AA43" s="131">
        <f t="shared" si="14"/>
        <v>65.63039999999998</v>
      </c>
      <c r="AC43" s="131" t="str">
        <f>IFERROR(T43*'FlightConfig '!$K$3,"")</f>
        <v/>
      </c>
      <c r="AD43" s="131">
        <f>IFERROR(U43*'FlightConfig '!$K$17,"")</f>
        <v>10657.92</v>
      </c>
      <c r="AE43" s="131">
        <f>IFERROR(V43*'FlightConfig '!$K$17,"")</f>
        <v>26208</v>
      </c>
      <c r="AF43" s="131">
        <f>IFERROR(W43*'FlightConfig '!$K$17,"")</f>
        <v>10483.200000000001</v>
      </c>
      <c r="AG43" s="131">
        <f>IFERROR(X43*'FlightConfig '!$K$17,"")</f>
        <v>21141.119999999999</v>
      </c>
      <c r="AH43" s="131">
        <f>IFERROR(Y43*'FlightConfig '!$K$17,"")</f>
        <v>1385.5295999999987</v>
      </c>
    </row>
    <row r="44" spans="1:34" hidden="1">
      <c r="A44" t="s">
        <v>156</v>
      </c>
      <c r="B44" s="175">
        <v>1</v>
      </c>
      <c r="C44" s="180" t="str">
        <f t="shared" si="19"/>
        <v>PREMIUM ECONOMY CLASS1104</v>
      </c>
      <c r="D44" s="316"/>
      <c r="E44" s="309">
        <v>1040</v>
      </c>
      <c r="F44" s="315">
        <v>104</v>
      </c>
      <c r="G44" s="123" t="str">
        <f>VLOOKUP(E44,'FG MASTER'!$A$10:$AB$218,2,0)</f>
        <v xml:space="preserve">PY C1 BREAKFAST SIDE 2 GREEK YOGURT 100G </v>
      </c>
      <c r="H44" s="290">
        <v>1</v>
      </c>
      <c r="I44" s="177">
        <v>0</v>
      </c>
      <c r="J44" s="296">
        <f>IFERROR(IF(I44="std",H44,HLOOKUP(A44,'FlightConfig '!$B$28:$G$29,2,0)*I44),"")</f>
        <v>0</v>
      </c>
      <c r="K44" s="249">
        <f>VLOOKUP(Food!E44,'FG MASTER'!$A$1:$AC$536,16,0)</f>
        <v>0.48</v>
      </c>
      <c r="L44" s="250">
        <f>VLOOKUP(Food!E44,'FG MASTER'!$A$10:$AC$536,17,0)</f>
        <v>0.5</v>
      </c>
      <c r="M44" s="136">
        <f t="shared" si="20"/>
        <v>0.2</v>
      </c>
      <c r="N44" s="136">
        <f t="shared" si="21"/>
        <v>0.67999999999999994</v>
      </c>
      <c r="O44" s="136">
        <f t="shared" si="5"/>
        <v>6.23999999999999E-2</v>
      </c>
      <c r="P44" s="136">
        <f t="shared" si="6"/>
        <v>2.5999999999999968E-2</v>
      </c>
      <c r="Q44" s="136">
        <f t="shared" si="23"/>
        <v>0.76839999999999975</v>
      </c>
      <c r="R44" s="131"/>
      <c r="S44" s="131"/>
      <c r="T44" t="str">
        <f>IFERROR(#REF!*J44,"")</f>
        <v/>
      </c>
      <c r="U44">
        <f t="shared" si="8"/>
        <v>0</v>
      </c>
      <c r="V44">
        <f t="shared" si="9"/>
        <v>0</v>
      </c>
      <c r="W44" s="131">
        <f t="shared" si="10"/>
        <v>0</v>
      </c>
      <c r="X44" s="131">
        <f t="shared" si="11"/>
        <v>0</v>
      </c>
      <c r="Y44" s="131">
        <f t="shared" si="12"/>
        <v>0</v>
      </c>
      <c r="Z44" s="131">
        <f t="shared" si="13"/>
        <v>0</v>
      </c>
      <c r="AA44" s="131">
        <f t="shared" si="14"/>
        <v>0</v>
      </c>
      <c r="AC44" s="131" t="str">
        <f>IFERROR(T44*'FlightConfig '!$K$3,"")</f>
        <v/>
      </c>
      <c r="AD44" s="131">
        <f>IFERROR(U44*'FlightConfig '!$K$17,"")</f>
        <v>0</v>
      </c>
      <c r="AE44" s="131">
        <f>IFERROR(V44*'FlightConfig '!$K$17,"")</f>
        <v>0</v>
      </c>
      <c r="AF44" s="131">
        <f>IFERROR(W44*'FlightConfig '!$K$17,"")</f>
        <v>0</v>
      </c>
      <c r="AG44" s="131">
        <f>IFERROR(X44*'FlightConfig '!$K$17,"")</f>
        <v>0</v>
      </c>
      <c r="AH44" s="131">
        <f>IFERROR(Y44*'FlightConfig '!$K$17,"")</f>
        <v>0</v>
      </c>
    </row>
    <row r="45" spans="1:34" hidden="1">
      <c r="A45" t="s">
        <v>157</v>
      </c>
      <c r="B45" s="175">
        <v>1</v>
      </c>
      <c r="C45" s="180" t="str">
        <f t="shared" si="19"/>
        <v>ECONOMY CLASS1104</v>
      </c>
      <c r="D45" s="316"/>
      <c r="E45" s="309">
        <v>1041</v>
      </c>
      <c r="F45" s="315">
        <v>104</v>
      </c>
      <c r="G45" s="123" t="str">
        <f>VLOOKUP(E45,'FG MASTER'!$A$10:$AB$218,2,0)</f>
        <v>PY C1 BREAKFAST SIDE 3 PEACH AND PECAN SCONE</v>
      </c>
      <c r="H45" s="290">
        <v>1</v>
      </c>
      <c r="I45" s="177">
        <v>0</v>
      </c>
      <c r="J45" s="296">
        <f>IFERROR(IF(I45="std",H45,HLOOKUP(A45,'FlightConfig '!$B$28:$G$29,2,0)*I45),"")</f>
        <v>0</v>
      </c>
      <c r="K45" s="249">
        <f>VLOOKUP(Food!E45,'FG MASTER'!$A$1:$AC$536,16,0)</f>
        <v>0.55000000000000004</v>
      </c>
      <c r="L45" s="250">
        <f>VLOOKUP(Food!E45,'FG MASTER'!$A$10:$AC$536,17,0)</f>
        <v>2.5</v>
      </c>
      <c r="M45" s="136">
        <f t="shared" si="20"/>
        <v>1</v>
      </c>
      <c r="N45" s="136">
        <f t="shared" si="21"/>
        <v>1.55</v>
      </c>
      <c r="O45" s="136">
        <f t="shared" si="5"/>
        <v>7.1499999999999897E-2</v>
      </c>
      <c r="P45" s="136">
        <f t="shared" si="6"/>
        <v>0.12999999999999989</v>
      </c>
      <c r="Q45" s="136">
        <f t="shared" si="23"/>
        <v>1.7514999999999998</v>
      </c>
      <c r="R45" s="131"/>
      <c r="S45" s="131"/>
      <c r="T45" t="str">
        <f>IFERROR(#REF!*J45,"")</f>
        <v/>
      </c>
      <c r="U45">
        <f t="shared" si="8"/>
        <v>0</v>
      </c>
      <c r="V45">
        <f t="shared" si="9"/>
        <v>0</v>
      </c>
      <c r="W45" s="131">
        <f t="shared" si="10"/>
        <v>0</v>
      </c>
      <c r="X45" s="131">
        <f t="shared" si="11"/>
        <v>0</v>
      </c>
      <c r="Y45" s="131">
        <f t="shared" si="12"/>
        <v>0</v>
      </c>
      <c r="Z45" s="131">
        <f t="shared" si="13"/>
        <v>0</v>
      </c>
      <c r="AA45" s="131">
        <f t="shared" si="14"/>
        <v>0</v>
      </c>
      <c r="AC45" s="131" t="str">
        <f>IFERROR(T45*'FlightConfig '!$K$3,"")</f>
        <v/>
      </c>
      <c r="AD45" s="131">
        <f>IFERROR(U45*'FlightConfig '!$K$17,"")</f>
        <v>0</v>
      </c>
      <c r="AE45" s="131">
        <f>IFERROR(V45*'FlightConfig '!$K$17,"")</f>
        <v>0</v>
      </c>
      <c r="AF45" s="131">
        <f>IFERROR(W45*'FlightConfig '!$K$17,"")</f>
        <v>0</v>
      </c>
      <c r="AG45" s="131">
        <f>IFERROR(X45*'FlightConfig '!$K$17,"")</f>
        <v>0</v>
      </c>
      <c r="AH45" s="131">
        <f>IFERROR(Y45*'FlightConfig '!$K$17,"")</f>
        <v>0</v>
      </c>
    </row>
    <row r="46" spans="1:34" hidden="1">
      <c r="A46" t="s">
        <v>157</v>
      </c>
      <c r="B46" s="175">
        <v>1</v>
      </c>
      <c r="C46" s="180" t="str">
        <f t="shared" si="19"/>
        <v>ECONOMY CLASS1104</v>
      </c>
      <c r="D46" s="316"/>
      <c r="E46" s="309">
        <v>1042</v>
      </c>
      <c r="F46" s="315">
        <v>104</v>
      </c>
      <c r="G46" s="123" t="str">
        <f>VLOOKUP(E46,'FG MASTER'!$A$10:$AB$218,2,0)</f>
        <v xml:space="preserve">YC C1 DINNER SWEETWATER BEET AND CHEESE ROLL </v>
      </c>
      <c r="H46" s="290">
        <v>1</v>
      </c>
      <c r="I46" s="177">
        <v>1</v>
      </c>
      <c r="J46" s="296">
        <f>IFERROR(IF(I46="std",H46,HLOOKUP(A46,'FlightConfig '!$B$28:$G$29,2,0)*I46),"")</f>
        <v>198</v>
      </c>
      <c r="K46" s="249">
        <f>VLOOKUP(Food!E46,'FG MASTER'!$A$1:$AC$536,16,0)</f>
        <v>0.3</v>
      </c>
      <c r="L46" s="250">
        <f>VLOOKUP(Food!E46,'FG MASTER'!$A$10:$AC$536,17,0)</f>
        <v>0.25</v>
      </c>
      <c r="M46" s="136">
        <f>IFERROR(L46*$M$2,"")</f>
        <v>0.1</v>
      </c>
      <c r="N46" s="136">
        <f t="shared" si="21"/>
        <v>0.4</v>
      </c>
      <c r="O46" s="136">
        <f t="shared" si="5"/>
        <v>3.8999999999999979E-2</v>
      </c>
      <c r="P46" s="136">
        <f t="shared" si="6"/>
        <v>1.2999999999999984E-2</v>
      </c>
      <c r="Q46" s="136">
        <f t="shared" si="23"/>
        <v>0.45199999999999996</v>
      </c>
      <c r="R46" s="131"/>
      <c r="S46" s="131"/>
      <c r="T46" t="str">
        <f>IFERROR(#REF!*J46,"")</f>
        <v/>
      </c>
      <c r="U46">
        <f t="shared" si="8"/>
        <v>59.4</v>
      </c>
      <c r="V46">
        <f t="shared" si="9"/>
        <v>49.5</v>
      </c>
      <c r="W46" s="131">
        <f t="shared" si="10"/>
        <v>19.8</v>
      </c>
      <c r="X46" s="131">
        <f t="shared" si="11"/>
        <v>79.2</v>
      </c>
      <c r="Y46" s="131">
        <f t="shared" si="12"/>
        <v>7.721999999999996</v>
      </c>
      <c r="Z46" s="131">
        <f t="shared" si="13"/>
        <v>2.5739999999999967</v>
      </c>
      <c r="AA46" s="131">
        <f t="shared" si="14"/>
        <v>89.495999999999995</v>
      </c>
      <c r="AC46" s="131" t="str">
        <f>IFERROR(T46*'FlightConfig '!$K$3,"")</f>
        <v/>
      </c>
      <c r="AD46" s="131">
        <f>IFERROR(U46*'FlightConfig '!$K$17,"")</f>
        <v>21621.599999999999</v>
      </c>
      <c r="AE46" s="131">
        <f>IFERROR(V46*'FlightConfig '!$K$17,"")</f>
        <v>18018</v>
      </c>
      <c r="AF46" s="131">
        <f>IFERROR(W46*'FlightConfig '!$K$17,"")</f>
        <v>7207.2</v>
      </c>
      <c r="AG46" s="131">
        <f>IFERROR(X46*'FlightConfig '!$K$17,"")</f>
        <v>28828.799999999999</v>
      </c>
      <c r="AH46" s="131">
        <f>IFERROR(Y46*'FlightConfig '!$K$17,"")</f>
        <v>2810.8079999999986</v>
      </c>
    </row>
    <row r="47" spans="1:34" hidden="1">
      <c r="A47" t="s">
        <v>157</v>
      </c>
      <c r="B47" s="175">
        <v>1</v>
      </c>
      <c r="C47" s="180" t="str">
        <f t="shared" si="19"/>
        <v>ECONOMY CLASS1104</v>
      </c>
      <c r="D47" s="316"/>
      <c r="E47" s="309">
        <v>1043</v>
      </c>
      <c r="F47" s="315">
        <v>104</v>
      </c>
      <c r="G47" s="123" t="str">
        <f>VLOOKUP(E47,'FG MASTER'!$A$10:$AB$218,2,0)</f>
        <v>YC C1 DINNER BUTTER CHIP 10G</v>
      </c>
      <c r="H47" s="290">
        <v>1</v>
      </c>
      <c r="I47" s="177">
        <v>1</v>
      </c>
      <c r="J47" s="296">
        <f>IFERROR(IF(I47="std",H47,HLOOKUP(A47,'FlightConfig '!$B$28:$G$29,2,0)*I47),"")</f>
        <v>198</v>
      </c>
      <c r="K47" s="249">
        <f>VLOOKUP(Food!E47,'FG MASTER'!$A$1:$AC$536,16,0)</f>
        <v>0.14000000000000001</v>
      </c>
      <c r="L47" s="250">
        <f>VLOOKUP(Food!E47,'FG MASTER'!$A$10:$AC$536,17,0)</f>
        <v>0.25</v>
      </c>
      <c r="M47" s="136">
        <f t="shared" ref="M47:M59" si="24">IFERROR(L47*$M$2,"")</f>
        <v>0.1</v>
      </c>
      <c r="N47" s="136">
        <f t="shared" si="21"/>
        <v>0.24000000000000002</v>
      </c>
      <c r="O47" s="136">
        <f t="shared" si="5"/>
        <v>1.8199999999999994E-2</v>
      </c>
      <c r="P47" s="136">
        <f t="shared" si="6"/>
        <v>1.2999999999999984E-2</v>
      </c>
      <c r="Q47" s="136">
        <f t="shared" si="23"/>
        <v>0.2712</v>
      </c>
      <c r="R47" s="131"/>
      <c r="S47" s="131"/>
      <c r="T47" t="str">
        <f>IFERROR(#REF!*J47,"")</f>
        <v/>
      </c>
      <c r="U47">
        <f t="shared" si="8"/>
        <v>27.720000000000002</v>
      </c>
      <c r="V47">
        <f t="shared" si="9"/>
        <v>49.5</v>
      </c>
      <c r="W47" s="131">
        <f t="shared" si="10"/>
        <v>19.8</v>
      </c>
      <c r="X47" s="131">
        <f t="shared" si="11"/>
        <v>47.52</v>
      </c>
      <c r="Y47" s="131">
        <f t="shared" si="12"/>
        <v>3.6035999999999988</v>
      </c>
      <c r="Z47" s="131">
        <f t="shared" si="13"/>
        <v>2.5739999999999967</v>
      </c>
      <c r="AA47" s="131">
        <f t="shared" si="14"/>
        <v>53.697600000000001</v>
      </c>
      <c r="AC47" s="131" t="str">
        <f>IFERROR(T47*'FlightConfig '!$K$3,"")</f>
        <v/>
      </c>
      <c r="AD47" s="131">
        <f>IFERROR(U47*'FlightConfig '!$K$17,"")</f>
        <v>10090.080000000002</v>
      </c>
      <c r="AE47" s="131">
        <f>IFERROR(V47*'FlightConfig '!$K$17,"")</f>
        <v>18018</v>
      </c>
      <c r="AF47" s="131">
        <f>IFERROR(W47*'FlightConfig '!$K$17,"")</f>
        <v>7207.2</v>
      </c>
      <c r="AG47" s="131">
        <f>IFERROR(X47*'FlightConfig '!$K$17,"")</f>
        <v>17297.280000000002</v>
      </c>
      <c r="AH47" s="131">
        <f>IFERROR(Y47*'FlightConfig '!$K$17,"")</f>
        <v>1311.7103999999995</v>
      </c>
    </row>
    <row r="48" spans="1:34" ht="28.9" hidden="1">
      <c r="A48" t="s">
        <v>157</v>
      </c>
      <c r="B48" s="175">
        <v>1</v>
      </c>
      <c r="C48" s="180" t="str">
        <f>CONCATENATE(A48&amp;B48&amp;F48)</f>
        <v>ECONOMY CLASS1104</v>
      </c>
      <c r="D48" s="316"/>
      <c r="E48" s="309">
        <v>1044</v>
      </c>
      <c r="F48" s="315">
        <v>104</v>
      </c>
      <c r="G48" s="123" t="str">
        <f>VLOOKUP(E48,'FG MASTER'!$A$10:$AB$218,2,0)</f>
        <v>YC C1 DINNER STARTER 1 MESCLUN MIX, CUCUMBER, CARROT, CHERRY TOMATO</v>
      </c>
      <c r="H48" s="290">
        <v>1</v>
      </c>
      <c r="I48" s="177">
        <v>1</v>
      </c>
      <c r="J48" s="296">
        <f>IFERROR(IF(I48="std",H48,HLOOKUP(A48,'FlightConfig '!$B$28:$G$29,2,0)*I48),"")</f>
        <v>198</v>
      </c>
      <c r="K48" s="249">
        <f>VLOOKUP(Food!E48,'FG MASTER'!$A$1:$AC$536,16,0)</f>
        <v>0.28999999999999998</v>
      </c>
      <c r="L48" s="250">
        <f>VLOOKUP(Food!E48,'FG MASTER'!$A$10:$AC$536,17,0)</f>
        <v>1.25</v>
      </c>
      <c r="M48" s="136">
        <f t="shared" si="24"/>
        <v>0.5</v>
      </c>
      <c r="N48" s="136">
        <f>IFERROR((K48)+M48,"")</f>
        <v>0.79</v>
      </c>
      <c r="O48" s="136">
        <f t="shared" si="5"/>
        <v>3.7699999999999956E-2</v>
      </c>
      <c r="P48" s="136">
        <f t="shared" si="6"/>
        <v>6.4999999999999947E-2</v>
      </c>
      <c r="Q48" s="136">
        <f t="shared" si="23"/>
        <v>0.89269999999999994</v>
      </c>
      <c r="R48" s="131"/>
      <c r="S48" s="131"/>
      <c r="T48" t="str">
        <f>IFERROR(#REF!*J48,"")</f>
        <v/>
      </c>
      <c r="U48">
        <f t="shared" si="8"/>
        <v>57.419999999999995</v>
      </c>
      <c r="V48">
        <f t="shared" si="9"/>
        <v>247.5</v>
      </c>
      <c r="W48" s="131">
        <f t="shared" si="10"/>
        <v>99</v>
      </c>
      <c r="X48" s="131">
        <f t="shared" si="11"/>
        <v>156.42000000000002</v>
      </c>
      <c r="Y48" s="131">
        <f t="shared" si="12"/>
        <v>7.464599999999991</v>
      </c>
      <c r="Z48" s="131">
        <f t="shared" si="13"/>
        <v>12.86999999999999</v>
      </c>
      <c r="AA48" s="131">
        <f t="shared" si="14"/>
        <v>176.75459999999998</v>
      </c>
      <c r="AC48" s="131" t="str">
        <f>IFERROR(T48*'FlightConfig '!$K$3,"")</f>
        <v/>
      </c>
      <c r="AD48" s="131">
        <f>IFERROR(U48*'FlightConfig '!$K$17,"")</f>
        <v>20900.879999999997</v>
      </c>
      <c r="AE48" s="131">
        <f>IFERROR(V48*'FlightConfig '!$K$17,"")</f>
        <v>90090</v>
      </c>
      <c r="AF48" s="131">
        <f>IFERROR(W48*'FlightConfig '!$K$17,"")</f>
        <v>36036</v>
      </c>
      <c r="AG48" s="131">
        <f>IFERROR(X48*'FlightConfig '!$K$17,"")</f>
        <v>56936.880000000005</v>
      </c>
      <c r="AH48" s="131">
        <f>IFERROR(Y48*'FlightConfig '!$K$17,"")</f>
        <v>2717.1143999999967</v>
      </c>
    </row>
    <row r="49" spans="1:34" ht="28.9" hidden="1">
      <c r="A49" t="s">
        <v>157</v>
      </c>
      <c r="B49" s="175">
        <v>1</v>
      </c>
      <c r="C49" s="180" t="str">
        <f>CONCATENATE(A49&amp;B49&amp;F49)</f>
        <v>ECONOMY CLASS1104</v>
      </c>
      <c r="D49" s="316"/>
      <c r="E49" s="309">
        <v>1045</v>
      </c>
      <c r="F49" s="315">
        <v>104</v>
      </c>
      <c r="G49" s="123" t="str">
        <f>VLOOKUP(E49,'FG MASTER'!$A$10:$AB$218,2,0)</f>
        <v>YC C1 DINNER STARTER 2 RED QUINOA, CORN CAVIAR, SUNFLOWER SEED</v>
      </c>
      <c r="H49" s="290">
        <v>1</v>
      </c>
      <c r="I49" s="177">
        <v>0</v>
      </c>
      <c r="J49" s="296">
        <f>IFERROR(IF(I49="std",H49,HLOOKUP(A49,'FlightConfig '!$B$28:$G$29,2,0)*I49),"")</f>
        <v>0</v>
      </c>
      <c r="K49" s="249">
        <f>VLOOKUP(Food!E49,'FG MASTER'!$A$1:$AC$536,16,0)</f>
        <v>0.43</v>
      </c>
      <c r="L49" s="250">
        <f>VLOOKUP(Food!E49,'FG MASTER'!$A$10:$AC$536,17,0)</f>
        <v>1.25</v>
      </c>
      <c r="M49" s="136">
        <f t="shared" ref="M49" si="25">IFERROR(L49*$M$2,"")</f>
        <v>0.5</v>
      </c>
      <c r="N49" s="136">
        <f>IFERROR((K49)+M49,"")</f>
        <v>0.92999999999999994</v>
      </c>
      <c r="O49" s="136">
        <f t="shared" si="5"/>
        <v>5.589999999999995E-2</v>
      </c>
      <c r="P49" s="136">
        <f t="shared" si="6"/>
        <v>6.4999999999999947E-2</v>
      </c>
      <c r="Q49" s="136">
        <f t="shared" ref="Q49" si="26">SUM(N49:P49)</f>
        <v>1.0508999999999999</v>
      </c>
      <c r="R49" s="131"/>
      <c r="S49" s="131"/>
      <c r="T49" t="str">
        <f>IFERROR(#REF!*J49,"")</f>
        <v/>
      </c>
      <c r="U49">
        <f t="shared" si="8"/>
        <v>0</v>
      </c>
      <c r="V49">
        <f t="shared" si="9"/>
        <v>0</v>
      </c>
      <c r="W49" s="131">
        <f t="shared" si="10"/>
        <v>0</v>
      </c>
      <c r="X49" s="131">
        <f t="shared" si="11"/>
        <v>0</v>
      </c>
      <c r="Y49" s="131">
        <f t="shared" si="12"/>
        <v>0</v>
      </c>
      <c r="Z49" s="131">
        <f t="shared" si="13"/>
        <v>0</v>
      </c>
      <c r="AA49" s="131">
        <f t="shared" si="14"/>
        <v>0</v>
      </c>
      <c r="AC49" s="131" t="str">
        <f>IFERROR(T49*'FlightConfig '!$K$3,"")</f>
        <v/>
      </c>
      <c r="AD49" s="131">
        <f>IFERROR(U49*'FlightConfig '!$K$17,"")</f>
        <v>0</v>
      </c>
      <c r="AE49" s="131">
        <f>IFERROR(V49*'FlightConfig '!$K$17,"")</f>
        <v>0</v>
      </c>
      <c r="AF49" s="131">
        <f>IFERROR(W49*'FlightConfig '!$K$17,"")</f>
        <v>0</v>
      </c>
      <c r="AG49" s="131">
        <f>IFERROR(X49*'FlightConfig '!$K$17,"")</f>
        <v>0</v>
      </c>
      <c r="AH49" s="131">
        <f>IFERROR(Y49*'FlightConfig '!$K$17,"")</f>
        <v>0</v>
      </c>
    </row>
    <row r="50" spans="1:34" ht="28.9" hidden="1">
      <c r="A50" t="s">
        <v>157</v>
      </c>
      <c r="B50" s="175">
        <v>1</v>
      </c>
      <c r="C50" s="180" t="str">
        <f>CONCATENATE(A50&amp;B50&amp;F50)</f>
        <v>ECONOMY CLASS1104</v>
      </c>
      <c r="D50" s="316"/>
      <c r="E50" s="309">
        <v>1046</v>
      </c>
      <c r="F50" s="315">
        <v>104</v>
      </c>
      <c r="G50" s="123" t="str">
        <f>VLOOKUP(E50,'FG MASTER'!$A$10:$AB$218,2,0)</f>
        <v>YC C1 DINNER ENTRÉE 1 BUTTER CHICKEN, CILANTRO LIME RICE, MIXED VEGETABLE</v>
      </c>
      <c r="H50" s="290">
        <v>1</v>
      </c>
      <c r="I50" s="177">
        <v>0.7</v>
      </c>
      <c r="J50" s="296">
        <f>IFERROR(IF(I50="std",H50,HLOOKUP(A50,'FlightConfig '!$B$28:$G$29,2,0)*I50),"")</f>
        <v>138.6</v>
      </c>
      <c r="K50" s="249">
        <f>VLOOKUP(Food!E50,'FG MASTER'!$A$1:$AC$536,16,0)</f>
        <v>1.54</v>
      </c>
      <c r="L50" s="250">
        <f>VLOOKUP(Food!E50,'FG MASTER'!$A$10:$AC$536,17,0)</f>
        <v>4.75</v>
      </c>
      <c r="M50" s="136">
        <f t="shared" si="24"/>
        <v>1.9000000000000001</v>
      </c>
      <c r="N50" s="136">
        <f>IFERROR((K50)+M50,"")</f>
        <v>3.4400000000000004</v>
      </c>
      <c r="O50" s="136">
        <f t="shared" si="5"/>
        <v>0.20019999999999993</v>
      </c>
      <c r="P50" s="136">
        <f t="shared" si="6"/>
        <v>0.24699999999999966</v>
      </c>
      <c r="Q50" s="136">
        <f t="shared" si="23"/>
        <v>3.8872</v>
      </c>
      <c r="R50" s="131"/>
      <c r="S50" s="131"/>
      <c r="T50" t="str">
        <f>IFERROR(#REF!*J50,"")</f>
        <v/>
      </c>
      <c r="U50">
        <f t="shared" si="8"/>
        <v>213.44399999999999</v>
      </c>
      <c r="V50">
        <f t="shared" si="9"/>
        <v>658.35</v>
      </c>
      <c r="W50" s="131">
        <f t="shared" si="10"/>
        <v>263.34000000000003</v>
      </c>
      <c r="X50" s="131">
        <f t="shared" si="11"/>
        <v>476.78400000000005</v>
      </c>
      <c r="Y50" s="131">
        <f t="shared" si="12"/>
        <v>27.74771999999999</v>
      </c>
      <c r="Z50" s="131">
        <f t="shared" si="13"/>
        <v>34.234199999999952</v>
      </c>
      <c r="AA50" s="131">
        <f t="shared" si="14"/>
        <v>538.76591999999994</v>
      </c>
      <c r="AC50" s="131" t="str">
        <f>IFERROR(T50*'FlightConfig '!$K$3,"")</f>
        <v/>
      </c>
      <c r="AD50" s="131">
        <f>IFERROR(U50*'FlightConfig '!$K$17,"")</f>
        <v>77693.615999999995</v>
      </c>
      <c r="AE50" s="131">
        <f>IFERROR(V50*'FlightConfig '!$K$17,"")</f>
        <v>239639.4</v>
      </c>
      <c r="AF50" s="131">
        <f>IFERROR(W50*'FlightConfig '!$K$17,"")</f>
        <v>95855.760000000009</v>
      </c>
      <c r="AG50" s="131">
        <f>IFERROR(X50*'FlightConfig '!$K$17,"")</f>
        <v>173549.37600000002</v>
      </c>
      <c r="AH50" s="131">
        <f>IFERROR(Y50*'FlightConfig '!$K$17,"")</f>
        <v>10100.170079999996</v>
      </c>
    </row>
    <row r="51" spans="1:34" ht="43.15" hidden="1">
      <c r="A51" t="s">
        <v>157</v>
      </c>
      <c r="B51" s="175">
        <v>1</v>
      </c>
      <c r="C51" s="180" t="str">
        <f>CONCATENATE(A51&amp;B51&amp;F51)</f>
        <v>ECONOMY CLASS1104</v>
      </c>
      <c r="D51" s="316"/>
      <c r="E51" s="309">
        <v>1047</v>
      </c>
      <c r="F51" s="315">
        <v>104</v>
      </c>
      <c r="G51" s="123" t="str">
        <f>VLOOKUP(E51,'FG MASTER'!$A$10:$AB$218,2,0)</f>
        <v>YC C1 DINNER ENTRÉE 2 RIGATONI PASTA, POMODORINI SAUCE, WHIPPED RICOTTA, RED PEPPER</v>
      </c>
      <c r="H51" s="290">
        <v>1</v>
      </c>
      <c r="I51" s="177">
        <v>0.3</v>
      </c>
      <c r="J51" s="296">
        <f>IFERROR(IF(I51="std",H51,HLOOKUP(A51,'FlightConfig '!$B$28:$G$29,2,0)*I51),"")</f>
        <v>59.4</v>
      </c>
      <c r="K51" s="249">
        <f>VLOOKUP(Food!E51,'FG MASTER'!$A$1:$AC$536,16,0)</f>
        <v>1.51</v>
      </c>
      <c r="L51" s="250">
        <f>VLOOKUP(Food!E51,'FG MASTER'!$A$10:$AC$536,17,0)</f>
        <v>4</v>
      </c>
      <c r="M51" s="136">
        <f t="shared" si="24"/>
        <v>1.6</v>
      </c>
      <c r="N51" s="136">
        <f>IFERROR((K51)+M51,"")</f>
        <v>3.1100000000000003</v>
      </c>
      <c r="O51" s="136">
        <f t="shared" si="5"/>
        <v>0.19629999999999992</v>
      </c>
      <c r="P51" s="136">
        <f t="shared" si="6"/>
        <v>0.20799999999999974</v>
      </c>
      <c r="Q51" s="136">
        <f t="shared" si="23"/>
        <v>3.5143</v>
      </c>
      <c r="R51" s="131"/>
      <c r="S51" s="131"/>
      <c r="T51" t="str">
        <f>IFERROR(#REF!*J51,"")</f>
        <v/>
      </c>
      <c r="U51">
        <f t="shared" si="8"/>
        <v>89.694000000000003</v>
      </c>
      <c r="V51">
        <f t="shared" si="9"/>
        <v>237.6</v>
      </c>
      <c r="W51" s="131">
        <f t="shared" si="10"/>
        <v>95.04</v>
      </c>
      <c r="X51" s="131">
        <f t="shared" si="11"/>
        <v>184.73400000000001</v>
      </c>
      <c r="Y51" s="131">
        <f t="shared" si="12"/>
        <v>11.660219999999995</v>
      </c>
      <c r="Z51" s="131">
        <f t="shared" si="13"/>
        <v>12.355199999999984</v>
      </c>
      <c r="AA51" s="131">
        <f t="shared" si="14"/>
        <v>208.74941999999999</v>
      </c>
      <c r="AC51" s="131" t="str">
        <f>IFERROR(T51*'FlightConfig '!$K$3,"")</f>
        <v/>
      </c>
      <c r="AD51" s="131">
        <f>IFERROR(U51*'FlightConfig '!$K$17,"")</f>
        <v>32648.616000000002</v>
      </c>
      <c r="AE51" s="131">
        <f>IFERROR(V51*'FlightConfig '!$K$17,"")</f>
        <v>86486.399999999994</v>
      </c>
      <c r="AF51" s="131">
        <f>IFERROR(W51*'FlightConfig '!$K$17,"")</f>
        <v>34594.560000000005</v>
      </c>
      <c r="AG51" s="131">
        <f>IFERROR(X51*'FlightConfig '!$K$17,"")</f>
        <v>67243.176000000007</v>
      </c>
      <c r="AH51" s="131">
        <f>IFERROR(Y51*'FlightConfig '!$K$17,"")</f>
        <v>4244.3200799999986</v>
      </c>
    </row>
    <row r="52" spans="1:34" hidden="1">
      <c r="A52" t="s">
        <v>157</v>
      </c>
      <c r="B52" s="175">
        <v>1</v>
      </c>
      <c r="C52" s="180" t="str">
        <f>CONCATENATE(A52&amp;B52&amp;F52)</f>
        <v>ECONOMY CLASS1104</v>
      </c>
      <c r="D52" s="316"/>
      <c r="E52" s="309">
        <v>1048</v>
      </c>
      <c r="F52" s="315">
        <v>104</v>
      </c>
      <c r="G52" s="123" t="str">
        <f>VLOOKUP(E52,'FG MASTER'!$A$10:$AB$218,2,0)</f>
        <v>YC C1 DINNER SIDE 1 TOMATO KACHUMBER SAQLAD</v>
      </c>
      <c r="H52" s="290">
        <v>1</v>
      </c>
      <c r="I52" s="177">
        <v>0</v>
      </c>
      <c r="J52" s="296">
        <f>IFERROR(IF(I52="std",H52,HLOOKUP(A52,'FlightConfig '!$B$28:$G$29,2,0)*I52),"")</f>
        <v>0</v>
      </c>
      <c r="K52" s="249">
        <f>VLOOKUP(Food!E52,'FG MASTER'!$A$1:$AC$536,16,0)</f>
        <v>0.05</v>
      </c>
      <c r="L52" s="250">
        <f>VLOOKUP(Food!E52,'FG MASTER'!$A$10:$AC$536,17,0)</f>
        <v>1</v>
      </c>
      <c r="M52" s="136">
        <f t="shared" si="24"/>
        <v>0.4</v>
      </c>
      <c r="N52" s="136">
        <f>IFERROR((K52)+M52,"")</f>
        <v>0.45</v>
      </c>
      <c r="O52" s="136">
        <f t="shared" si="5"/>
        <v>6.4999999999999919E-3</v>
      </c>
      <c r="P52" s="136">
        <f t="shared" si="6"/>
        <v>5.1999999999999935E-2</v>
      </c>
      <c r="Q52" s="136">
        <f t="shared" si="23"/>
        <v>0.50849999999999995</v>
      </c>
      <c r="R52" s="131"/>
      <c r="S52" s="131"/>
      <c r="T52" t="str">
        <f>IFERROR(#REF!*J52,"")</f>
        <v/>
      </c>
      <c r="U52">
        <f t="shared" si="8"/>
        <v>0</v>
      </c>
      <c r="V52">
        <f t="shared" si="9"/>
        <v>0</v>
      </c>
      <c r="W52" s="131">
        <f t="shared" si="10"/>
        <v>0</v>
      </c>
      <c r="X52" s="131">
        <f t="shared" si="11"/>
        <v>0</v>
      </c>
      <c r="Y52" s="131">
        <f t="shared" si="12"/>
        <v>0</v>
      </c>
      <c r="Z52" s="131">
        <f t="shared" si="13"/>
        <v>0</v>
      </c>
      <c r="AA52" s="131">
        <f t="shared" si="14"/>
        <v>0</v>
      </c>
      <c r="AC52" s="131" t="str">
        <f>IFERROR(T52*'FlightConfig '!$K$3,"")</f>
        <v/>
      </c>
      <c r="AD52" s="131">
        <f>IFERROR(U52*'FlightConfig '!$K$17,"")</f>
        <v>0</v>
      </c>
      <c r="AE52" s="131">
        <f>IFERROR(V52*'FlightConfig '!$K$17,"")</f>
        <v>0</v>
      </c>
      <c r="AF52" s="131">
        <f>IFERROR(W52*'FlightConfig '!$K$17,"")</f>
        <v>0</v>
      </c>
      <c r="AG52" s="131">
        <f>IFERROR(X52*'FlightConfig '!$K$17,"")</f>
        <v>0</v>
      </c>
      <c r="AH52" s="131">
        <f>IFERROR(Y52*'FlightConfig '!$K$17,"")</f>
        <v>0</v>
      </c>
    </row>
    <row r="53" spans="1:34" ht="28.9" hidden="1">
      <c r="A53" t="s">
        <v>157</v>
      </c>
      <c r="B53" s="175">
        <v>1</v>
      </c>
      <c r="C53" s="180" t="str">
        <f t="shared" ref="C53:C69" si="27">CONCATENATE(A53&amp;B53&amp;F53)</f>
        <v>ECONOMY CLASS1104</v>
      </c>
      <c r="D53" s="316"/>
      <c r="E53" s="309">
        <v>1049</v>
      </c>
      <c r="F53" s="315">
        <v>104</v>
      </c>
      <c r="G53" s="123" t="str">
        <f>VLOOKUP(E53,'FG MASTER'!$A$10:$AB$218,2,0)</f>
        <v>YC C1 DINNER DESSERT BANANA PUDDING, BISCOFF CUMBLE, BUTTERSCOTCH</v>
      </c>
      <c r="H53" s="290">
        <v>1</v>
      </c>
      <c r="I53" s="177">
        <v>1</v>
      </c>
      <c r="J53" s="296">
        <f>IFERROR(IF(I53="std",H53,HLOOKUP(A53,'FlightConfig '!$B$28:$G$29,2,0)*I53),"")</f>
        <v>198</v>
      </c>
      <c r="K53" s="249">
        <f>VLOOKUP(Food!E53,'FG MASTER'!$A$1:$AC$536,16,0)</f>
        <v>0.63</v>
      </c>
      <c r="L53" s="250">
        <f>VLOOKUP(Food!E53,'FG MASTER'!$A$10:$AC$536,17,0)</f>
        <v>1.5</v>
      </c>
      <c r="M53" s="136">
        <f t="shared" si="24"/>
        <v>0.60000000000000009</v>
      </c>
      <c r="N53" s="136">
        <f t="shared" ref="N53:N65" si="28">IFERROR((K53)+M53,"")</f>
        <v>1.23</v>
      </c>
      <c r="O53" s="136">
        <f t="shared" si="5"/>
        <v>8.1899999999999973E-2</v>
      </c>
      <c r="P53" s="136">
        <f t="shared" si="6"/>
        <v>7.7999999999999958E-2</v>
      </c>
      <c r="Q53" s="136">
        <f t="shared" si="23"/>
        <v>1.3898999999999999</v>
      </c>
      <c r="R53" s="131"/>
      <c r="S53" s="131"/>
      <c r="T53" t="str">
        <f>IFERROR(#REF!*J53,"")</f>
        <v/>
      </c>
      <c r="U53">
        <f t="shared" si="8"/>
        <v>124.74</v>
      </c>
      <c r="V53">
        <f t="shared" si="9"/>
        <v>297</v>
      </c>
      <c r="W53" s="131">
        <f t="shared" si="10"/>
        <v>118.80000000000001</v>
      </c>
      <c r="X53" s="131">
        <f t="shared" si="11"/>
        <v>243.54</v>
      </c>
      <c r="Y53" s="131">
        <f t="shared" si="12"/>
        <v>16.216199999999994</v>
      </c>
      <c r="Z53" s="131">
        <f t="shared" si="13"/>
        <v>15.443999999999992</v>
      </c>
      <c r="AA53" s="131">
        <f t="shared" si="14"/>
        <v>275.2002</v>
      </c>
      <c r="AC53" s="131" t="str">
        <f>IFERROR(T53*'FlightConfig '!$K$3,"")</f>
        <v/>
      </c>
      <c r="AD53" s="131">
        <f>IFERROR(U53*'FlightConfig '!$K$17,"")</f>
        <v>45405.36</v>
      </c>
      <c r="AE53" s="131">
        <f>IFERROR(V53*'FlightConfig '!$K$17,"")</f>
        <v>108108</v>
      </c>
      <c r="AF53" s="131">
        <f>IFERROR(W53*'FlightConfig '!$K$17,"")</f>
        <v>43243.200000000004</v>
      </c>
      <c r="AG53" s="131">
        <f>IFERROR(X53*'FlightConfig '!$K$17,"")</f>
        <v>88648.56</v>
      </c>
      <c r="AH53" s="131">
        <f>IFERROR(Y53*'FlightConfig '!$K$17,"")</f>
        <v>5902.6967999999979</v>
      </c>
    </row>
    <row r="54" spans="1:34" ht="28.9" hidden="1">
      <c r="A54" t="s">
        <v>157</v>
      </c>
      <c r="B54" s="175">
        <v>1</v>
      </c>
      <c r="C54" s="180" t="str">
        <f t="shared" si="27"/>
        <v>ECONOMY CLASS1104</v>
      </c>
      <c r="D54" s="316"/>
      <c r="E54" s="309">
        <v>1050</v>
      </c>
      <c r="F54" s="315">
        <v>104</v>
      </c>
      <c r="G54" s="123" t="str">
        <f>VLOOKUP(E54,'FG MASTER'!$A$10:$AB$218,2,0)</f>
        <v>YC C1 BREAKFAST SANDWICH 1 FARM EGG BREAKFAST BURROTTO, SALSA ROJA</v>
      </c>
      <c r="H54" s="290">
        <v>1</v>
      </c>
      <c r="I54" s="177">
        <v>0.4</v>
      </c>
      <c r="J54" s="296">
        <f>IFERROR(IF(I54="std",H54,HLOOKUP(A54,'FlightConfig '!$B$28:$G$29,2,0)*I54),"")</f>
        <v>79.2</v>
      </c>
      <c r="K54" s="249">
        <f>VLOOKUP(Food!E54,'FG MASTER'!$A$1:$AC$536,16,0)</f>
        <v>1.3</v>
      </c>
      <c r="L54" s="250">
        <f>VLOOKUP(Food!E54,'FG MASTER'!$A$10:$AC$536,17,0)</f>
        <v>1.25</v>
      </c>
      <c r="M54" s="136">
        <f t="shared" si="24"/>
        <v>0.5</v>
      </c>
      <c r="N54" s="136">
        <f t="shared" si="28"/>
        <v>1.8</v>
      </c>
      <c r="O54" s="136">
        <f t="shared" si="5"/>
        <v>0.16899999999999982</v>
      </c>
      <c r="P54" s="136">
        <f t="shared" si="6"/>
        <v>6.4999999999999947E-2</v>
      </c>
      <c r="Q54" s="136">
        <f t="shared" si="23"/>
        <v>2.0339999999999998</v>
      </c>
      <c r="R54" s="131"/>
      <c r="S54" s="131"/>
      <c r="T54" t="str">
        <f>IFERROR(#REF!*J54,"")</f>
        <v/>
      </c>
      <c r="U54">
        <f t="shared" si="8"/>
        <v>102.96000000000001</v>
      </c>
      <c r="V54">
        <f t="shared" si="9"/>
        <v>99</v>
      </c>
      <c r="W54" s="131">
        <f t="shared" si="10"/>
        <v>39.6</v>
      </c>
      <c r="X54" s="131">
        <f t="shared" si="11"/>
        <v>142.56</v>
      </c>
      <c r="Y54" s="131">
        <f t="shared" si="12"/>
        <v>13.384799999999986</v>
      </c>
      <c r="Z54" s="131">
        <f t="shared" si="13"/>
        <v>5.1479999999999961</v>
      </c>
      <c r="AA54" s="131">
        <f t="shared" si="14"/>
        <v>161.09279999999998</v>
      </c>
      <c r="AC54" s="131" t="str">
        <f>IFERROR(T54*'FlightConfig '!$K$3,"")</f>
        <v/>
      </c>
      <c r="AD54" s="131">
        <f>IFERROR(U54*'FlightConfig '!$K$17,"")</f>
        <v>37477.440000000002</v>
      </c>
      <c r="AE54" s="131">
        <f>IFERROR(V54*'FlightConfig '!$K$17,"")</f>
        <v>36036</v>
      </c>
      <c r="AF54" s="131">
        <f>IFERROR(W54*'FlightConfig '!$K$17,"")</f>
        <v>14414.4</v>
      </c>
      <c r="AG54" s="131">
        <f>IFERROR(X54*'FlightConfig '!$K$17,"")</f>
        <v>51891.840000000004</v>
      </c>
      <c r="AH54" s="131">
        <f>IFERROR(Y54*'FlightConfig '!$K$17,"")</f>
        <v>4872.067199999995</v>
      </c>
    </row>
    <row r="55" spans="1:34" ht="43.15" hidden="1">
      <c r="A55" t="s">
        <v>157</v>
      </c>
      <c r="B55" s="175">
        <v>1</v>
      </c>
      <c r="C55" s="180" t="str">
        <f t="shared" si="27"/>
        <v>ECONOMY CLASS1104</v>
      </c>
      <c r="D55" s="316"/>
      <c r="E55" s="309">
        <v>1051</v>
      </c>
      <c r="F55" s="315">
        <v>104</v>
      </c>
      <c r="G55" s="123" t="str">
        <f>VLOOKUP(E55,'FG MASTER'!$A$10:$AB$218,2,0)</f>
        <v>YC C1 BREAKFAST SANDWICH 2 BACON, EGG AND CHEESE HAND PIE WITH HASH BROWNS, SUNDRIED TOMATO AIOLI</v>
      </c>
      <c r="H55" s="290">
        <v>1</v>
      </c>
      <c r="I55" s="177">
        <v>0.6</v>
      </c>
      <c r="J55" s="296">
        <f>IFERROR(IF(I55="std",H55,HLOOKUP(A55,'FlightConfig '!$B$28:$G$29,2,0)*I55),"")</f>
        <v>118.8</v>
      </c>
      <c r="K55" s="249">
        <f>VLOOKUP(Food!E55,'FG MASTER'!$A$1:$AC$536,16,0)</f>
        <v>1.94</v>
      </c>
      <c r="L55" s="250">
        <f>VLOOKUP(Food!E55,'FG MASTER'!$A$10:$AC$536,17,0)</f>
        <v>1.25</v>
      </c>
      <c r="M55" s="136">
        <f t="shared" si="24"/>
        <v>0.5</v>
      </c>
      <c r="N55" s="136">
        <f t="shared" si="28"/>
        <v>2.44</v>
      </c>
      <c r="O55" s="136">
        <f t="shared" si="5"/>
        <v>0.25219999999999976</v>
      </c>
      <c r="P55" s="136">
        <f t="shared" si="6"/>
        <v>6.4999999999999947E-2</v>
      </c>
      <c r="Q55" s="136">
        <f t="shared" si="23"/>
        <v>2.7571999999999997</v>
      </c>
      <c r="R55" s="131"/>
      <c r="S55" s="131"/>
      <c r="T55" t="str">
        <f>IFERROR(#REF!*J55,"")</f>
        <v/>
      </c>
      <c r="U55">
        <f t="shared" si="8"/>
        <v>230.47199999999998</v>
      </c>
      <c r="V55">
        <f t="shared" si="9"/>
        <v>148.5</v>
      </c>
      <c r="W55" s="131">
        <f t="shared" si="10"/>
        <v>59.4</v>
      </c>
      <c r="X55" s="131">
        <f t="shared" si="11"/>
        <v>289.87200000000001</v>
      </c>
      <c r="Y55" s="131">
        <f t="shared" si="12"/>
        <v>29.961359999999971</v>
      </c>
      <c r="Z55" s="131">
        <f t="shared" si="13"/>
        <v>7.7219999999999933</v>
      </c>
      <c r="AA55" s="131">
        <f t="shared" si="14"/>
        <v>327.55535999999995</v>
      </c>
      <c r="AC55" s="131" t="str">
        <f>IFERROR(T55*'FlightConfig '!$K$3,"")</f>
        <v/>
      </c>
      <c r="AD55" s="131">
        <f>IFERROR(U55*'FlightConfig '!$K$17,"")</f>
        <v>83891.80799999999</v>
      </c>
      <c r="AE55" s="131">
        <f>IFERROR(V55*'FlightConfig '!$K$17,"")</f>
        <v>54054</v>
      </c>
      <c r="AF55" s="131">
        <f>IFERROR(W55*'FlightConfig '!$K$17,"")</f>
        <v>21621.599999999999</v>
      </c>
      <c r="AG55" s="131">
        <f>IFERROR(X55*'FlightConfig '!$K$17,"")</f>
        <v>105513.40800000001</v>
      </c>
      <c r="AH55" s="131">
        <f>IFERROR(Y55*'FlightConfig '!$K$17,"")</f>
        <v>10905.935039999989</v>
      </c>
    </row>
    <row r="56" spans="1:34" ht="28.9" hidden="1">
      <c r="A56" t="s">
        <v>157</v>
      </c>
      <c r="B56" s="175">
        <v>1</v>
      </c>
      <c r="C56" s="180" t="str">
        <f t="shared" si="27"/>
        <v>ECONOMY CLASS1104</v>
      </c>
      <c r="D56" s="316"/>
      <c r="E56" s="309">
        <v>1052</v>
      </c>
      <c r="F56" s="315">
        <v>104</v>
      </c>
      <c r="G56" s="123" t="str">
        <f>VLOOKUP(E56,'FG MASTER'!$A$10:$AB$218,2,0)</f>
        <v>YC C1 BREAKFAST SIDE 1 COCONUT CHIA OVERNIGHT OATS</v>
      </c>
      <c r="H56" s="290">
        <v>1</v>
      </c>
      <c r="I56" s="177">
        <v>0</v>
      </c>
      <c r="J56" s="296">
        <f>IFERROR(IF(I56="std",H56,HLOOKUP(A56,'FlightConfig '!$B$28:$G$29,2,0)*I56),"")</f>
        <v>0</v>
      </c>
      <c r="K56" s="249">
        <f>VLOOKUP(Food!E56,'FG MASTER'!$A$1:$AC$536,16,0)</f>
        <v>0.59</v>
      </c>
      <c r="L56" s="250">
        <f>VLOOKUP(Food!E56,'FG MASTER'!$A$10:$AC$536,17,0)</f>
        <v>1.5</v>
      </c>
      <c r="M56" s="136">
        <f t="shared" si="24"/>
        <v>0.60000000000000009</v>
      </c>
      <c r="N56" s="136">
        <f t="shared" si="28"/>
        <v>1.19</v>
      </c>
      <c r="O56" s="136">
        <f t="shared" si="5"/>
        <v>7.6699999999999879E-2</v>
      </c>
      <c r="P56" s="136">
        <f t="shared" si="6"/>
        <v>7.7999999999999958E-2</v>
      </c>
      <c r="Q56" s="136">
        <f t="shared" si="23"/>
        <v>1.3446999999999996</v>
      </c>
      <c r="R56" s="131"/>
      <c r="S56" s="131"/>
      <c r="T56" t="str">
        <f>IFERROR(#REF!*J56,"")</f>
        <v/>
      </c>
      <c r="U56">
        <f t="shared" si="8"/>
        <v>0</v>
      </c>
      <c r="V56">
        <f t="shared" si="9"/>
        <v>0</v>
      </c>
      <c r="W56" s="131">
        <f t="shared" si="10"/>
        <v>0</v>
      </c>
      <c r="X56" s="131">
        <f t="shared" si="11"/>
        <v>0</v>
      </c>
      <c r="Y56" s="131">
        <f t="shared" si="12"/>
        <v>0</v>
      </c>
      <c r="Z56" s="131">
        <f t="shared" si="13"/>
        <v>0</v>
      </c>
      <c r="AA56" s="131">
        <f t="shared" si="14"/>
        <v>0</v>
      </c>
      <c r="AC56" s="131" t="str">
        <f>IFERROR(T56*'FlightConfig '!$K$3,"")</f>
        <v/>
      </c>
      <c r="AD56" s="131">
        <f>IFERROR(U56*'FlightConfig '!$K$17,"")</f>
        <v>0</v>
      </c>
      <c r="AE56" s="131">
        <f>IFERROR(V56*'FlightConfig '!$K$17,"")</f>
        <v>0</v>
      </c>
      <c r="AF56" s="131">
        <f>IFERROR(W56*'FlightConfig '!$K$17,"")</f>
        <v>0</v>
      </c>
      <c r="AG56" s="131">
        <f>IFERROR(X56*'FlightConfig '!$K$17,"")</f>
        <v>0</v>
      </c>
      <c r="AH56" s="131">
        <f>IFERROR(Y56*'FlightConfig '!$K$17,"")</f>
        <v>0</v>
      </c>
    </row>
    <row r="57" spans="1:34" hidden="1">
      <c r="A57" t="s">
        <v>157</v>
      </c>
      <c r="B57" s="175">
        <v>1</v>
      </c>
      <c r="C57" s="180" t="str">
        <f t="shared" si="27"/>
        <v>ECONOMY CLASS1104</v>
      </c>
      <c r="D57" s="316"/>
      <c r="E57" s="309">
        <v>1053</v>
      </c>
      <c r="F57" s="315">
        <v>104</v>
      </c>
      <c r="G57" s="123" t="str">
        <f>VLOOKUP(E57,'FG MASTER'!$A$10:$AB$218,2,0)</f>
        <v>YC C1 BREAKFAST SIDE 2 HOMEMADE BANANA BREAD</v>
      </c>
      <c r="H57" s="290">
        <v>1</v>
      </c>
      <c r="I57" s="177">
        <v>0</v>
      </c>
      <c r="J57" s="296">
        <f>IFERROR(IF(I57="std",H57,HLOOKUP(A57,'FlightConfig '!$B$28:$G$29,2,0)*I57),"")</f>
        <v>0</v>
      </c>
      <c r="K57" s="249">
        <f>VLOOKUP(Food!E57,'FG MASTER'!$A$1:$AC$536,16,0)</f>
        <v>0.28000000000000003</v>
      </c>
      <c r="L57" s="250">
        <f>VLOOKUP(Food!E57,'FG MASTER'!$A$10:$AC$536,17,0)</f>
        <v>1</v>
      </c>
      <c r="M57" s="136">
        <f t="shared" si="24"/>
        <v>0.4</v>
      </c>
      <c r="N57" s="136">
        <f t="shared" si="28"/>
        <v>0.68</v>
      </c>
      <c r="O57" s="136">
        <f t="shared" si="5"/>
        <v>3.6399999999999988E-2</v>
      </c>
      <c r="P57" s="136">
        <f t="shared" si="6"/>
        <v>5.1999999999999935E-2</v>
      </c>
      <c r="Q57" s="136">
        <f t="shared" si="23"/>
        <v>0.76839999999999997</v>
      </c>
      <c r="R57" s="131"/>
      <c r="S57" s="131"/>
      <c r="T57" t="str">
        <f>IFERROR(#REF!*J57,"")</f>
        <v/>
      </c>
      <c r="U57">
        <f t="shared" si="8"/>
        <v>0</v>
      </c>
      <c r="V57">
        <f t="shared" si="9"/>
        <v>0</v>
      </c>
      <c r="W57" s="131">
        <f t="shared" si="10"/>
        <v>0</v>
      </c>
      <c r="X57" s="131">
        <f t="shared" si="11"/>
        <v>0</v>
      </c>
      <c r="Y57" s="131">
        <f t="shared" si="12"/>
        <v>0</v>
      </c>
      <c r="Z57" s="131">
        <f t="shared" si="13"/>
        <v>0</v>
      </c>
      <c r="AA57" s="131">
        <f t="shared" si="14"/>
        <v>0</v>
      </c>
      <c r="AC57" s="131" t="str">
        <f>IFERROR(T57*'FlightConfig '!$K$3,"")</f>
        <v/>
      </c>
      <c r="AD57" s="131">
        <f>IFERROR(U57*'FlightConfig '!$K$17,"")</f>
        <v>0</v>
      </c>
      <c r="AE57" s="131">
        <f>IFERROR(V57*'FlightConfig '!$K$17,"")</f>
        <v>0</v>
      </c>
      <c r="AF57" s="131">
        <f>IFERROR(W57*'FlightConfig '!$K$17,"")</f>
        <v>0</v>
      </c>
      <c r="AG57" s="131">
        <f>IFERROR(X57*'FlightConfig '!$K$17,"")</f>
        <v>0</v>
      </c>
      <c r="AH57" s="131">
        <f>IFERROR(Y57*'FlightConfig '!$K$17,"")</f>
        <v>0</v>
      </c>
    </row>
    <row r="58" spans="1:34" ht="28.9">
      <c r="A58" t="s">
        <v>188</v>
      </c>
      <c r="B58" s="175">
        <v>1</v>
      </c>
      <c r="C58" s="180" t="str">
        <f t="shared" si="27"/>
        <v>CABIN CREW CLASS1104</v>
      </c>
      <c r="D58" s="316"/>
      <c r="E58" s="309">
        <v>1054</v>
      </c>
      <c r="F58" s="315">
        <v>104</v>
      </c>
      <c r="G58" s="123" t="str">
        <f>VLOOKUP(E58,'FG MASTER'!$A$10:$AB$218,2,0)</f>
        <v>CREW C1 DINNER CHEESE &amp; CRACKER, CELERY STICK, CARROT, HUMMUS</v>
      </c>
      <c r="H58" s="290">
        <v>1</v>
      </c>
      <c r="I58" s="177">
        <v>1</v>
      </c>
      <c r="J58" s="296">
        <f>IFERROR(IF(I58="std",H58,HLOOKUP(A58,'FlightConfig '!$B$28:$G$29,2,0)*I58),"")</f>
        <v>6</v>
      </c>
      <c r="K58" s="249">
        <f>VLOOKUP(Food!E58,'FG MASTER'!$A$1:$AC$536,16,0)</f>
        <v>1.23</v>
      </c>
      <c r="L58" s="250">
        <f>VLOOKUP(Food!E58,'FG MASTER'!$A$10:$AC$536,17,0)</f>
        <v>1.5</v>
      </c>
      <c r="M58" s="136">
        <f t="shared" si="24"/>
        <v>0.60000000000000009</v>
      </c>
      <c r="N58" s="136">
        <f t="shared" si="28"/>
        <v>1.83</v>
      </c>
      <c r="O58" s="136">
        <f t="shared" si="5"/>
        <v>0.15989999999999993</v>
      </c>
      <c r="P58" s="136">
        <f t="shared" si="6"/>
        <v>7.7999999999999958E-2</v>
      </c>
      <c r="Q58" s="136">
        <f t="shared" si="23"/>
        <v>2.0678999999999998</v>
      </c>
      <c r="R58" s="131"/>
      <c r="S58" s="131"/>
      <c r="T58" t="str">
        <f>IFERROR(#REF!*J58,"")</f>
        <v/>
      </c>
      <c r="U58">
        <f t="shared" si="8"/>
        <v>7.38</v>
      </c>
      <c r="V58">
        <f t="shared" si="9"/>
        <v>9</v>
      </c>
      <c r="W58" s="131">
        <f t="shared" si="10"/>
        <v>3.6000000000000005</v>
      </c>
      <c r="X58" s="131">
        <f t="shared" si="11"/>
        <v>10.98</v>
      </c>
      <c r="Y58" s="131">
        <f t="shared" si="12"/>
        <v>0.95939999999999959</v>
      </c>
      <c r="Z58" s="131">
        <f t="shared" si="13"/>
        <v>0.46799999999999975</v>
      </c>
      <c r="AA58" s="131">
        <f t="shared" si="14"/>
        <v>12.407399999999999</v>
      </c>
      <c r="AC58" s="131" t="str">
        <f>IFERROR(T58*'FlightConfig '!$K$3,"")</f>
        <v/>
      </c>
      <c r="AD58" s="131">
        <f>IFERROR(U58*'FlightConfig '!$K$17,"")</f>
        <v>2686.32</v>
      </c>
      <c r="AE58" s="131">
        <f>IFERROR(V58*'FlightConfig '!$K$17,"")</f>
        <v>3276</v>
      </c>
      <c r="AF58" s="131">
        <f>IFERROR(W58*'FlightConfig '!$K$17,"")</f>
        <v>1310.4000000000001</v>
      </c>
      <c r="AG58" s="131">
        <f>IFERROR(X58*'FlightConfig '!$K$17,"")</f>
        <v>3996.7200000000003</v>
      </c>
      <c r="AH58" s="131">
        <f>IFERROR(Y58*'FlightConfig '!$K$17,"")</f>
        <v>349.22159999999985</v>
      </c>
    </row>
    <row r="59" spans="1:34" ht="28.9">
      <c r="A59" t="s">
        <v>188</v>
      </c>
      <c r="B59" s="175">
        <v>1</v>
      </c>
      <c r="C59" s="180" t="str">
        <f t="shared" si="27"/>
        <v>CABIN CREW CLASS1104</v>
      </c>
      <c r="D59" s="316"/>
      <c r="E59" s="309">
        <v>1055</v>
      </c>
      <c r="F59" s="315">
        <v>104</v>
      </c>
      <c r="G59" s="123" t="str">
        <f>VLOOKUP(E59,'FG MASTER'!$A$10:$AB$218,2,0)</f>
        <v>CREW C1 DINNER HARD BOILED EGG WITH TURKEY CUBES AND CHEDDAR</v>
      </c>
      <c r="H59" s="290">
        <v>1</v>
      </c>
      <c r="I59" s="177">
        <v>1</v>
      </c>
      <c r="J59" s="296">
        <f>IFERROR(IF(I59="std",H59,HLOOKUP(A59,'FlightConfig '!$B$28:$G$29,2,0)*I59),"")</f>
        <v>6</v>
      </c>
      <c r="K59" s="249">
        <f>VLOOKUP(Food!E59,'FG MASTER'!$A$1:$AC$536,16,0)</f>
        <v>2.08</v>
      </c>
      <c r="L59" s="250">
        <f>VLOOKUP(Food!E59,'FG MASTER'!$A$10:$AC$536,17,0)</f>
        <v>1</v>
      </c>
      <c r="M59" s="136">
        <f t="shared" si="24"/>
        <v>0.4</v>
      </c>
      <c r="N59" s="136">
        <f t="shared" si="28"/>
        <v>2.48</v>
      </c>
      <c r="O59" s="136">
        <f t="shared" si="5"/>
        <v>0.27039999999999997</v>
      </c>
      <c r="P59" s="136">
        <f t="shared" si="6"/>
        <v>5.1999999999999935E-2</v>
      </c>
      <c r="Q59" s="136">
        <f t="shared" si="23"/>
        <v>2.8024</v>
      </c>
      <c r="R59" s="131"/>
      <c r="S59" s="131"/>
      <c r="T59" t="str">
        <f>IFERROR(#REF!*J59,"")</f>
        <v/>
      </c>
      <c r="U59">
        <f t="shared" si="8"/>
        <v>12.48</v>
      </c>
      <c r="V59">
        <f t="shared" si="9"/>
        <v>6</v>
      </c>
      <c r="W59" s="131">
        <f t="shared" si="10"/>
        <v>2.4000000000000004</v>
      </c>
      <c r="X59" s="131">
        <f t="shared" si="11"/>
        <v>14.879999999999999</v>
      </c>
      <c r="Y59" s="131">
        <f t="shared" si="12"/>
        <v>1.6223999999999998</v>
      </c>
      <c r="Z59" s="131">
        <f t="shared" si="13"/>
        <v>0.31199999999999961</v>
      </c>
      <c r="AA59" s="131">
        <f t="shared" si="14"/>
        <v>16.814399999999999</v>
      </c>
      <c r="AC59" s="131" t="str">
        <f>IFERROR(T59*'FlightConfig '!$K$3,"")</f>
        <v/>
      </c>
      <c r="AD59" s="131">
        <f>IFERROR(U59*'FlightConfig '!$K$17,"")</f>
        <v>4542.72</v>
      </c>
      <c r="AE59" s="131">
        <f>IFERROR(V59*'FlightConfig '!$K$17,"")</f>
        <v>2184</v>
      </c>
      <c r="AF59" s="131">
        <f>IFERROR(W59*'FlightConfig '!$K$17,"")</f>
        <v>873.60000000000014</v>
      </c>
      <c r="AG59" s="131">
        <f>IFERROR(X59*'FlightConfig '!$K$17,"")</f>
        <v>5416.32</v>
      </c>
      <c r="AH59" s="131">
        <f>IFERROR(Y59*'FlightConfig '!$K$17,"")</f>
        <v>590.55359999999996</v>
      </c>
    </row>
    <row r="60" spans="1:34" ht="28.9">
      <c r="A60" t="s">
        <v>188</v>
      </c>
      <c r="B60" s="175">
        <v>1</v>
      </c>
      <c r="C60" s="180" t="str">
        <f t="shared" si="27"/>
        <v>CABIN CREW CLASS1104</v>
      </c>
      <c r="D60" s="316"/>
      <c r="E60" s="309">
        <v>1056</v>
      </c>
      <c r="F60" s="315">
        <v>104</v>
      </c>
      <c r="G60" s="123" t="str">
        <f>VLOOKUP(E60,'FG MASTER'!$A$10:$AB$218,2,0)</f>
        <v>CREW C1 DINNER WHOLE FRUIT BANANA, APPLES AND ORANGE</v>
      </c>
      <c r="H60" s="290">
        <v>1</v>
      </c>
      <c r="I60" s="177">
        <v>1</v>
      </c>
      <c r="J60" s="296">
        <f>IFERROR(IF(I60="std",H60,HLOOKUP(A60,'FlightConfig '!$B$28:$G$29,2,0)*I60),"")</f>
        <v>6</v>
      </c>
      <c r="K60" s="249">
        <f>VLOOKUP(Food!E60,'FG MASTER'!$A$1:$AC$536,16,0)</f>
        <v>1.32</v>
      </c>
      <c r="L60" s="250">
        <f>VLOOKUP(Food!E60,'FG MASTER'!$A$10:$AC$536,17,0)</f>
        <v>1</v>
      </c>
      <c r="M60" s="136">
        <f>IFERROR(L60*$M$2,"")</f>
        <v>0.4</v>
      </c>
      <c r="N60" s="136">
        <f t="shared" si="28"/>
        <v>1.7200000000000002</v>
      </c>
      <c r="O60" s="136">
        <f t="shared" si="5"/>
        <v>0.17159999999999997</v>
      </c>
      <c r="P60" s="136">
        <f t="shared" si="6"/>
        <v>5.1999999999999935E-2</v>
      </c>
      <c r="Q60" s="136">
        <f t="shared" si="23"/>
        <v>1.9436</v>
      </c>
      <c r="R60" s="131"/>
      <c r="S60" s="131"/>
      <c r="T60" t="str">
        <f>IFERROR(#REF!*J60,"")</f>
        <v/>
      </c>
      <c r="U60">
        <f t="shared" si="8"/>
        <v>7.92</v>
      </c>
      <c r="V60">
        <f t="shared" si="9"/>
        <v>6</v>
      </c>
      <c r="W60" s="131">
        <f t="shared" si="10"/>
        <v>2.4000000000000004</v>
      </c>
      <c r="X60" s="131">
        <f t="shared" si="11"/>
        <v>10.32</v>
      </c>
      <c r="Y60" s="131">
        <f t="shared" si="12"/>
        <v>1.0295999999999998</v>
      </c>
      <c r="Z60" s="131">
        <f t="shared" si="13"/>
        <v>0.31199999999999961</v>
      </c>
      <c r="AA60" s="131">
        <f t="shared" si="14"/>
        <v>11.6616</v>
      </c>
      <c r="AC60" s="131" t="str">
        <f>IFERROR(T60*'FlightConfig '!$K$3,"")</f>
        <v/>
      </c>
      <c r="AD60" s="131">
        <f>IFERROR(U60*'FlightConfig '!$K$17,"")</f>
        <v>2882.88</v>
      </c>
      <c r="AE60" s="131">
        <f>IFERROR(V60*'FlightConfig '!$K$17,"")</f>
        <v>2184</v>
      </c>
      <c r="AF60" s="131">
        <f>IFERROR(W60*'FlightConfig '!$K$17,"")</f>
        <v>873.60000000000014</v>
      </c>
      <c r="AG60" s="131">
        <f>IFERROR(X60*'FlightConfig '!$K$17,"")</f>
        <v>3756.48</v>
      </c>
      <c r="AH60" s="131">
        <f>IFERROR(Y60*'FlightConfig '!$K$17,"")</f>
        <v>374.77439999999996</v>
      </c>
    </row>
    <row r="61" spans="1:34" ht="28.9">
      <c r="A61" t="s">
        <v>188</v>
      </c>
      <c r="B61" s="175">
        <v>1</v>
      </c>
      <c r="C61" s="180" t="str">
        <f t="shared" si="27"/>
        <v>CABIN CREW CLASS1104</v>
      </c>
      <c r="D61" s="298"/>
      <c r="E61" s="310">
        <v>1057</v>
      </c>
      <c r="F61" s="315">
        <v>104</v>
      </c>
      <c r="G61" s="123" t="str">
        <f>VLOOKUP(E61,'FG MASTER'!$A$10:$AB$218,2,0)</f>
        <v xml:space="preserve">CREW C1 DINNER ENTRÉE 1 VEGAN COCONUT CURRY WITH BASMATI RICE </v>
      </c>
      <c r="H61" s="290">
        <v>1</v>
      </c>
      <c r="I61" s="177">
        <v>1</v>
      </c>
      <c r="J61" s="296">
        <f>IFERROR(IF(I61="std",H61,HLOOKUP(A61,'FlightConfig '!$B$28:$G$29,2,0)*I61),"")</f>
        <v>6</v>
      </c>
      <c r="K61" s="249">
        <f>VLOOKUP(Food!E61,'FG MASTER'!$A$1:$AC$536,16,0)</f>
        <v>2.16</v>
      </c>
      <c r="L61" s="250">
        <f>VLOOKUP(Food!E61,'FG MASTER'!$A$10:$AC$536,17,0)</f>
        <v>3.5</v>
      </c>
      <c r="M61" s="136">
        <f t="shared" ref="M61:M69" si="29">IFERROR(L61*$M$2,"")</f>
        <v>1.4000000000000001</v>
      </c>
      <c r="N61" s="136">
        <f t="shared" si="28"/>
        <v>3.5600000000000005</v>
      </c>
      <c r="O61" s="136">
        <f t="shared" si="5"/>
        <v>0.28079999999999972</v>
      </c>
      <c r="P61" s="136">
        <f t="shared" si="6"/>
        <v>0.18199999999999994</v>
      </c>
      <c r="Q61" s="136">
        <f t="shared" si="23"/>
        <v>4.0228000000000002</v>
      </c>
      <c r="R61" s="131"/>
      <c r="S61" s="131"/>
      <c r="T61" t="str">
        <f>IFERROR(#REF!*J61,"")</f>
        <v/>
      </c>
      <c r="U61">
        <f t="shared" si="8"/>
        <v>12.96</v>
      </c>
      <c r="V61">
        <f t="shared" si="9"/>
        <v>21</v>
      </c>
      <c r="W61" s="131">
        <f t="shared" si="10"/>
        <v>8.4</v>
      </c>
      <c r="X61" s="131">
        <f t="shared" si="11"/>
        <v>21.360000000000003</v>
      </c>
      <c r="Y61" s="131">
        <f t="shared" si="12"/>
        <v>1.6847999999999983</v>
      </c>
      <c r="Z61" s="131">
        <f t="shared" si="13"/>
        <v>1.0919999999999996</v>
      </c>
      <c r="AA61" s="131">
        <f t="shared" si="14"/>
        <v>24.136800000000001</v>
      </c>
      <c r="AC61" s="131" t="str">
        <f>IFERROR(T61*'FlightConfig '!$K$3,"")</f>
        <v/>
      </c>
      <c r="AD61" s="131">
        <f>IFERROR(U61*'FlightConfig '!$K$17,"")</f>
        <v>4717.4400000000005</v>
      </c>
      <c r="AE61" s="131">
        <f>IFERROR(V61*'FlightConfig '!$K$17,"")</f>
        <v>7644</v>
      </c>
      <c r="AF61" s="131">
        <f>IFERROR(W61*'FlightConfig '!$K$17,"")</f>
        <v>3057.6</v>
      </c>
      <c r="AG61" s="131">
        <f>IFERROR(X61*'FlightConfig '!$K$17,"")</f>
        <v>7775.0400000000009</v>
      </c>
      <c r="AH61" s="131">
        <f>IFERROR(Y61*'FlightConfig '!$K$17,"")</f>
        <v>613.26719999999943</v>
      </c>
    </row>
    <row r="62" spans="1:34" ht="43.15">
      <c r="A62" t="s">
        <v>188</v>
      </c>
      <c r="B62" s="175">
        <v>1</v>
      </c>
      <c r="C62" s="180" t="str">
        <f t="shared" si="27"/>
        <v>CABIN CREW CLASS1104</v>
      </c>
      <c r="D62" s="298"/>
      <c r="E62" s="310">
        <v>1058</v>
      </c>
      <c r="F62" s="315">
        <v>104</v>
      </c>
      <c r="G62" s="123" t="str">
        <f>VLOOKUP(E62,'FG MASTER'!$A$10:$AB$218,2,0)</f>
        <v>CREW C1 DINNER ENTRÉE 2 LEMON CONFIT CHICKEN LEG WITH FINGERING POTATOES, HARICOT VERT, CHICKEN JUS AND LEMON AGRUMATO</v>
      </c>
      <c r="H62" s="290">
        <v>1</v>
      </c>
      <c r="I62" s="177">
        <v>1</v>
      </c>
      <c r="J62" s="296">
        <f>IFERROR(IF(I62="std",H62,HLOOKUP(A62,'FlightConfig '!$B$28:$G$29,2,0)*I62),"")</f>
        <v>6</v>
      </c>
      <c r="K62" s="249">
        <f>VLOOKUP(Food!E62,'FG MASTER'!$A$1:$AC$536,16,0)</f>
        <v>4.28</v>
      </c>
      <c r="L62" s="250">
        <f>VLOOKUP(Food!E62,'FG MASTER'!$A$10:$AC$536,17,0)</f>
        <v>4.25</v>
      </c>
      <c r="M62" s="136">
        <f t="shared" si="29"/>
        <v>1.7000000000000002</v>
      </c>
      <c r="N62" s="136">
        <f t="shared" si="28"/>
        <v>5.98</v>
      </c>
      <c r="O62" s="136">
        <f t="shared" si="5"/>
        <v>0.55640000000000001</v>
      </c>
      <c r="P62" s="136">
        <f t="shared" si="6"/>
        <v>0.22099999999999986</v>
      </c>
      <c r="Q62" s="136">
        <f t="shared" si="23"/>
        <v>6.7574000000000005</v>
      </c>
      <c r="R62" s="131"/>
      <c r="S62" s="131"/>
      <c r="T62" t="str">
        <f>IFERROR(#REF!*J62,"")</f>
        <v/>
      </c>
      <c r="U62">
        <f t="shared" si="8"/>
        <v>25.68</v>
      </c>
      <c r="V62">
        <f t="shared" si="9"/>
        <v>25.5</v>
      </c>
      <c r="W62" s="131">
        <f t="shared" si="10"/>
        <v>10.200000000000001</v>
      </c>
      <c r="X62" s="131">
        <f t="shared" si="11"/>
        <v>35.880000000000003</v>
      </c>
      <c r="Y62" s="131">
        <f t="shared" si="12"/>
        <v>3.3384</v>
      </c>
      <c r="Z62" s="131">
        <f t="shared" si="13"/>
        <v>1.3259999999999992</v>
      </c>
      <c r="AA62" s="131">
        <f t="shared" si="14"/>
        <v>40.544400000000003</v>
      </c>
      <c r="AC62" s="131" t="str">
        <f>IFERROR(T62*'FlightConfig '!$K$3,"")</f>
        <v/>
      </c>
      <c r="AD62" s="131">
        <f>IFERROR(U62*'FlightConfig '!$K$17,"")</f>
        <v>9347.52</v>
      </c>
      <c r="AE62" s="131">
        <f>IFERROR(V62*'FlightConfig '!$K$17,"")</f>
        <v>9282</v>
      </c>
      <c r="AF62" s="131">
        <f>IFERROR(W62*'FlightConfig '!$K$17,"")</f>
        <v>3712.8</v>
      </c>
      <c r="AG62" s="131">
        <f>IFERROR(X62*'FlightConfig '!$K$17,"")</f>
        <v>13060.320000000002</v>
      </c>
      <c r="AH62" s="131">
        <f>IFERROR(Y62*'FlightConfig '!$K$17,"")</f>
        <v>1215.1776</v>
      </c>
    </row>
    <row r="63" spans="1:34" ht="43.15">
      <c r="A63" t="s">
        <v>188</v>
      </c>
      <c r="B63" s="175">
        <v>1</v>
      </c>
      <c r="C63" s="180" t="str">
        <f t="shared" si="27"/>
        <v>CABIN CREW CLASS1104</v>
      </c>
      <c r="D63" s="298"/>
      <c r="E63" s="308">
        <v>1059</v>
      </c>
      <c r="F63" s="315">
        <v>104</v>
      </c>
      <c r="G63" s="123" t="str">
        <f>VLOOKUP(E63,'FG MASTER'!$A$10:$AB$218,2,0)</f>
        <v>CREW C1 DINNER ENTRÉE 3 TRUFFLE PARMESAN RISOTTO WITH ZUCCHINI, WILD MUSHROOM CONSERVA, ASPARAGUS, BABAY ARTICHOKE</v>
      </c>
      <c r="H63" s="290">
        <v>1</v>
      </c>
      <c r="I63" s="177">
        <v>1</v>
      </c>
      <c r="J63" s="296">
        <f>IFERROR(IF(I63="std",H63,HLOOKUP(A63,'FlightConfig '!$B$28:$G$29,2,0)*I63),"")</f>
        <v>6</v>
      </c>
      <c r="K63" s="249">
        <f>VLOOKUP(Food!E63,'FG MASTER'!$A$1:$AC$536,16,0)</f>
        <v>3.41</v>
      </c>
      <c r="L63" s="250">
        <f>VLOOKUP(Food!E63,'FG MASTER'!$A$10:$AC$536,17,0)</f>
        <v>4.25</v>
      </c>
      <c r="M63" s="136">
        <f t="shared" si="29"/>
        <v>1.7000000000000002</v>
      </c>
      <c r="N63" s="136">
        <f t="shared" si="28"/>
        <v>5.1100000000000003</v>
      </c>
      <c r="O63" s="136">
        <f t="shared" si="5"/>
        <v>0.44329999999999981</v>
      </c>
      <c r="P63" s="136">
        <f t="shared" si="6"/>
        <v>0.22099999999999986</v>
      </c>
      <c r="Q63" s="136">
        <f t="shared" si="23"/>
        <v>5.7743000000000002</v>
      </c>
      <c r="R63" s="131"/>
      <c r="S63" s="131"/>
      <c r="T63" t="str">
        <f>IFERROR(#REF!*J63,"")</f>
        <v/>
      </c>
      <c r="U63">
        <f t="shared" si="8"/>
        <v>20.46</v>
      </c>
      <c r="V63">
        <f t="shared" si="9"/>
        <v>25.5</v>
      </c>
      <c r="W63" s="131">
        <f t="shared" si="10"/>
        <v>10.200000000000001</v>
      </c>
      <c r="X63" s="131">
        <f t="shared" si="11"/>
        <v>30.660000000000004</v>
      </c>
      <c r="Y63" s="131">
        <f t="shared" si="12"/>
        <v>2.6597999999999988</v>
      </c>
      <c r="Z63" s="131">
        <f t="shared" si="13"/>
        <v>1.3259999999999992</v>
      </c>
      <c r="AA63" s="131">
        <f t="shared" si="14"/>
        <v>34.645800000000001</v>
      </c>
      <c r="AC63" s="131" t="str">
        <f>IFERROR(T63*'FlightConfig '!$K$3,"")</f>
        <v/>
      </c>
      <c r="AD63" s="131">
        <f>IFERROR(U63*'FlightConfig '!$K$17,"")</f>
        <v>7447.4400000000005</v>
      </c>
      <c r="AE63" s="131">
        <f>IFERROR(V63*'FlightConfig '!$K$17,"")</f>
        <v>9282</v>
      </c>
      <c r="AF63" s="131">
        <f>IFERROR(W63*'FlightConfig '!$K$17,"")</f>
        <v>3712.8</v>
      </c>
      <c r="AG63" s="131">
        <f>IFERROR(X63*'FlightConfig '!$K$17,"")</f>
        <v>11160.240000000002</v>
      </c>
      <c r="AH63" s="131">
        <f>IFERROR(Y63*'FlightConfig '!$K$17,"")</f>
        <v>968.16719999999953</v>
      </c>
    </row>
    <row r="64" spans="1:34" ht="28.9">
      <c r="A64" t="s">
        <v>188</v>
      </c>
      <c r="B64" s="175">
        <v>1</v>
      </c>
      <c r="C64" s="180" t="str">
        <f t="shared" si="27"/>
        <v>CABIN CREW CLASS1104</v>
      </c>
      <c r="D64" s="298"/>
      <c r="E64" s="309">
        <v>1060</v>
      </c>
      <c r="F64" s="315">
        <v>104</v>
      </c>
      <c r="G64" s="123" t="str">
        <f>VLOOKUP(E64,'FG MASTER'!$A$10:$AB$218,2,0)</f>
        <v>CREW C1 DINNER ENTRÉE 4 BAKED RIGATONI WITH HERB WHIPPED RICCOTA</v>
      </c>
      <c r="H64" s="290">
        <v>1</v>
      </c>
      <c r="I64" s="177">
        <v>1</v>
      </c>
      <c r="J64" s="296">
        <f>IFERROR(IF(I64="std",H64,HLOOKUP(A64,'FlightConfig '!$B$28:$G$29,2,0)*I64),"")</f>
        <v>6</v>
      </c>
      <c r="K64" s="249">
        <f>VLOOKUP(Food!E64,'FG MASTER'!$A$1:$AC$536,16,0)</f>
        <v>1.51</v>
      </c>
      <c r="L64" s="250">
        <f>VLOOKUP(Food!E64,'FG MASTER'!$A$10:$AC$536,17,0)</f>
        <v>4</v>
      </c>
      <c r="M64" s="136">
        <f t="shared" si="29"/>
        <v>1.6</v>
      </c>
      <c r="N64" s="136">
        <f t="shared" si="28"/>
        <v>3.1100000000000003</v>
      </c>
      <c r="O64" s="136">
        <f t="shared" si="5"/>
        <v>0.19629999999999992</v>
      </c>
      <c r="P64" s="136">
        <f t="shared" si="6"/>
        <v>0.20799999999999974</v>
      </c>
      <c r="Q64" s="136">
        <f t="shared" si="23"/>
        <v>3.5143</v>
      </c>
      <c r="R64" s="131"/>
      <c r="S64" s="131"/>
      <c r="T64" t="str">
        <f>IFERROR(#REF!*J64,"")</f>
        <v/>
      </c>
      <c r="U64">
        <f t="shared" si="8"/>
        <v>9.06</v>
      </c>
      <c r="V64">
        <f t="shared" si="9"/>
        <v>24</v>
      </c>
      <c r="W64" s="131">
        <f t="shared" si="10"/>
        <v>9.6000000000000014</v>
      </c>
      <c r="X64" s="131">
        <f t="shared" si="11"/>
        <v>18.660000000000004</v>
      </c>
      <c r="Y64" s="131">
        <f t="shared" si="12"/>
        <v>1.1777999999999995</v>
      </c>
      <c r="Z64" s="131">
        <f t="shared" si="13"/>
        <v>1.2479999999999984</v>
      </c>
      <c r="AA64" s="131">
        <f t="shared" si="14"/>
        <v>21.085799999999999</v>
      </c>
      <c r="AC64" s="131" t="str">
        <f>IFERROR(T64*'FlightConfig '!$K$3,"")</f>
        <v/>
      </c>
      <c r="AD64" s="131">
        <f>IFERROR(U64*'FlightConfig '!$K$17,"")</f>
        <v>3297.84</v>
      </c>
      <c r="AE64" s="131">
        <f>IFERROR(V64*'FlightConfig '!$K$17,"")</f>
        <v>8736</v>
      </c>
      <c r="AF64" s="131">
        <f>IFERROR(W64*'FlightConfig '!$K$17,"")</f>
        <v>3494.4000000000005</v>
      </c>
      <c r="AG64" s="131">
        <f>IFERROR(X64*'FlightConfig '!$K$17,"")</f>
        <v>6792.2400000000016</v>
      </c>
      <c r="AH64" s="131">
        <f>IFERROR(Y64*'FlightConfig '!$K$17,"")</f>
        <v>428.71919999999983</v>
      </c>
    </row>
    <row r="65" spans="1:34">
      <c r="A65" t="s">
        <v>188</v>
      </c>
      <c r="B65" s="175">
        <v>1</v>
      </c>
      <c r="C65" s="180" t="str">
        <f t="shared" si="27"/>
        <v>CABIN CREW CLASS1104</v>
      </c>
      <c r="D65" s="298"/>
      <c r="E65" s="309">
        <v>1061</v>
      </c>
      <c r="F65" s="315">
        <v>104</v>
      </c>
      <c r="G65" s="123" t="str">
        <f>VLOOKUP(E65,'FG MASTER'!$A$10:$AB$218,2,0)</f>
        <v xml:space="preserve">CREW C1 DINNER ENTRÉE 5 </v>
      </c>
      <c r="H65" s="290">
        <v>1</v>
      </c>
      <c r="I65" s="177">
        <v>1</v>
      </c>
      <c r="J65" s="296">
        <f>IFERROR(IF(I65="std",H65,HLOOKUP(A65,'FlightConfig '!$B$28:$G$29,2,0)*I65),"")</f>
        <v>6</v>
      </c>
      <c r="K65" s="249">
        <f>VLOOKUP(Food!E65,'FG MASTER'!$A$1:$AC$536,16,0)</f>
        <v>0</v>
      </c>
      <c r="L65" s="250">
        <f>VLOOKUP(Food!E65,'FG MASTER'!$A$10:$AC$536,17,0)</f>
        <v>0</v>
      </c>
      <c r="M65" s="136">
        <f t="shared" si="29"/>
        <v>0</v>
      </c>
      <c r="N65" s="136">
        <f t="shared" si="28"/>
        <v>0</v>
      </c>
      <c r="O65" s="136">
        <f t="shared" si="5"/>
        <v>0</v>
      </c>
      <c r="P65" s="136">
        <f t="shared" si="6"/>
        <v>0</v>
      </c>
      <c r="Q65" s="136">
        <f t="shared" si="23"/>
        <v>0</v>
      </c>
      <c r="R65" s="131"/>
      <c r="S65" s="131"/>
      <c r="T65" t="str">
        <f>IFERROR(#REF!*J65,"")</f>
        <v/>
      </c>
      <c r="U65">
        <f t="shared" si="8"/>
        <v>0</v>
      </c>
      <c r="V65">
        <f t="shared" si="9"/>
        <v>0</v>
      </c>
      <c r="W65" s="131">
        <f t="shared" si="10"/>
        <v>0</v>
      </c>
      <c r="X65" s="131">
        <f t="shared" si="11"/>
        <v>0</v>
      </c>
      <c r="Y65" s="131">
        <f t="shared" si="12"/>
        <v>0</v>
      </c>
      <c r="Z65" s="131">
        <f t="shared" si="13"/>
        <v>0</v>
      </c>
      <c r="AA65" s="131">
        <f t="shared" si="14"/>
        <v>0</v>
      </c>
      <c r="AC65" s="131" t="str">
        <f>IFERROR(T65*'FlightConfig '!$K$3,"")</f>
        <v/>
      </c>
      <c r="AD65" s="131">
        <f>IFERROR(U65*'FlightConfig '!$K$17,"")</f>
        <v>0</v>
      </c>
      <c r="AE65" s="131">
        <f>IFERROR(V65*'FlightConfig '!$K$17,"")</f>
        <v>0</v>
      </c>
      <c r="AF65" s="131">
        <f>IFERROR(W65*'FlightConfig '!$K$17,"")</f>
        <v>0</v>
      </c>
      <c r="AG65" s="131">
        <f>IFERROR(X65*'FlightConfig '!$K$17,"")</f>
        <v>0</v>
      </c>
      <c r="AH65" s="131">
        <f>IFERROR(Y65*'FlightConfig '!$K$17,"")</f>
        <v>0</v>
      </c>
    </row>
    <row r="66" spans="1:34">
      <c r="A66" t="s">
        <v>188</v>
      </c>
      <c r="B66" s="175">
        <v>1</v>
      </c>
      <c r="C66" s="180" t="str">
        <f t="shared" si="27"/>
        <v>CABIN CREW CLASS1104</v>
      </c>
      <c r="D66" s="298"/>
      <c r="E66" s="309">
        <v>1062</v>
      </c>
      <c r="F66" s="315">
        <v>104</v>
      </c>
      <c r="G66" s="123" t="str">
        <f>VLOOKUP(E66,'FG MASTER'!$A$10:$AB$218,2,0)</f>
        <v>CREW C1 SANDWICH 1 CAPRESE SANDWICH</v>
      </c>
      <c r="H66" s="290">
        <v>1</v>
      </c>
      <c r="I66" s="177">
        <v>1</v>
      </c>
      <c r="J66" s="296">
        <f>IFERROR(IF(I66="std",H66,HLOOKUP(A66,'FlightConfig '!$B$28:$G$29,2,0)*I66),"")</f>
        <v>6</v>
      </c>
      <c r="K66" s="249">
        <f>VLOOKUP(Food!E66,'FG MASTER'!$A$1:$AC$536,16,0)</f>
        <v>1.63</v>
      </c>
      <c r="L66" s="250">
        <f>VLOOKUP(Food!E66,'FG MASTER'!$A$10:$AC$536,17,0)</f>
        <v>1.5</v>
      </c>
      <c r="M66" s="136">
        <f t="shared" si="29"/>
        <v>0.60000000000000009</v>
      </c>
      <c r="N66" s="136">
        <f>IFERROR((K66)+M66,"")</f>
        <v>2.23</v>
      </c>
      <c r="O66" s="136">
        <f t="shared" si="5"/>
        <v>0.21189999999999976</v>
      </c>
      <c r="P66" s="136">
        <f t="shared" si="6"/>
        <v>7.7999999999999958E-2</v>
      </c>
      <c r="Q66" s="136">
        <f t="shared" si="23"/>
        <v>2.5198999999999994</v>
      </c>
      <c r="R66" s="131"/>
      <c r="S66" s="131"/>
      <c r="T66" t="str">
        <f>IFERROR(#REF!*J66,"")</f>
        <v/>
      </c>
      <c r="U66">
        <f t="shared" si="8"/>
        <v>9.7799999999999994</v>
      </c>
      <c r="V66">
        <f t="shared" si="9"/>
        <v>9</v>
      </c>
      <c r="W66" s="131">
        <f t="shared" si="10"/>
        <v>3.6000000000000005</v>
      </c>
      <c r="X66" s="131">
        <f t="shared" si="11"/>
        <v>13.379999999999999</v>
      </c>
      <c r="Y66" s="131">
        <f t="shared" si="12"/>
        <v>1.2713999999999985</v>
      </c>
      <c r="Z66" s="131">
        <f t="shared" si="13"/>
        <v>0.46799999999999975</v>
      </c>
      <c r="AA66" s="131">
        <f t="shared" si="14"/>
        <v>15.119399999999995</v>
      </c>
      <c r="AC66" s="131" t="str">
        <f>IFERROR(T66*'FlightConfig '!$K$3,"")</f>
        <v/>
      </c>
      <c r="AD66" s="131">
        <f>IFERROR(U66*'FlightConfig '!$K$17,"")</f>
        <v>3559.9199999999996</v>
      </c>
      <c r="AE66" s="131">
        <f>IFERROR(V66*'FlightConfig '!$K$17,"")</f>
        <v>3276</v>
      </c>
      <c r="AF66" s="131">
        <f>IFERROR(W66*'FlightConfig '!$K$17,"")</f>
        <v>1310.4000000000001</v>
      </c>
      <c r="AG66" s="131">
        <f>IFERROR(X66*'FlightConfig '!$K$17,"")</f>
        <v>4870.32</v>
      </c>
      <c r="AH66" s="131">
        <f>IFERROR(Y66*'FlightConfig '!$K$17,"")</f>
        <v>462.78959999999944</v>
      </c>
    </row>
    <row r="67" spans="1:34">
      <c r="A67" t="s">
        <v>188</v>
      </c>
      <c r="B67" s="175">
        <v>1</v>
      </c>
      <c r="C67" s="180" t="str">
        <f t="shared" si="27"/>
        <v>CABIN CREW CLASS1104</v>
      </c>
      <c r="D67" s="298"/>
      <c r="E67" s="309">
        <v>1063</v>
      </c>
      <c r="F67" s="315">
        <v>104</v>
      </c>
      <c r="G67" s="123" t="str">
        <f>VLOOKUP(E67,'FG MASTER'!$A$10:$AB$218,2,0)</f>
        <v>CREW C1 SANDWICH 2 TURKEY AND CHEESE</v>
      </c>
      <c r="H67" s="290">
        <v>1</v>
      </c>
      <c r="I67" s="177">
        <v>1</v>
      </c>
      <c r="J67" s="296">
        <f>IFERROR(IF(I67="std",H67,HLOOKUP(A67,'FlightConfig '!$B$28:$G$29,2,0)*I67),"")</f>
        <v>6</v>
      </c>
      <c r="K67" s="249">
        <f>VLOOKUP(Food!E67,'FG MASTER'!$A$1:$AC$536,16,0)</f>
        <v>1.63</v>
      </c>
      <c r="L67" s="250">
        <f>VLOOKUP(Food!E67,'FG MASTER'!$A$10:$AC$536,17,0)</f>
        <v>1.5</v>
      </c>
      <c r="M67" s="136">
        <f t="shared" si="29"/>
        <v>0.60000000000000009</v>
      </c>
      <c r="N67" s="136">
        <f t="shared" ref="N67:N69" si="30">IFERROR((K67)+M67,"")</f>
        <v>2.23</v>
      </c>
      <c r="O67" s="136">
        <f t="shared" si="5"/>
        <v>0.21189999999999976</v>
      </c>
      <c r="P67" s="136">
        <f t="shared" si="6"/>
        <v>7.7999999999999958E-2</v>
      </c>
      <c r="Q67" s="136">
        <f t="shared" si="23"/>
        <v>2.5198999999999994</v>
      </c>
      <c r="R67" s="131"/>
      <c r="S67" s="131"/>
      <c r="T67" t="str">
        <f>IFERROR(#REF!*J67,"")</f>
        <v/>
      </c>
      <c r="U67">
        <f t="shared" si="8"/>
        <v>9.7799999999999994</v>
      </c>
      <c r="V67">
        <f t="shared" si="9"/>
        <v>9</v>
      </c>
      <c r="W67" s="131">
        <f t="shared" si="10"/>
        <v>3.6000000000000005</v>
      </c>
      <c r="X67" s="131">
        <f t="shared" si="11"/>
        <v>13.379999999999999</v>
      </c>
      <c r="Y67" s="131">
        <f t="shared" si="12"/>
        <v>1.2713999999999985</v>
      </c>
      <c r="Z67" s="131">
        <f t="shared" si="13"/>
        <v>0.46799999999999975</v>
      </c>
      <c r="AA67" s="131">
        <f t="shared" si="14"/>
        <v>15.119399999999995</v>
      </c>
      <c r="AC67" s="131" t="str">
        <f>IFERROR(T67*'FlightConfig '!$K$3,"")</f>
        <v/>
      </c>
      <c r="AD67" s="131">
        <f>IFERROR(U67*'FlightConfig '!$K$17,"")</f>
        <v>3559.9199999999996</v>
      </c>
      <c r="AE67" s="131">
        <f>IFERROR(V67*'FlightConfig '!$K$17,"")</f>
        <v>3276</v>
      </c>
      <c r="AF67" s="131">
        <f>IFERROR(W67*'FlightConfig '!$K$17,"")</f>
        <v>1310.4000000000001</v>
      </c>
      <c r="AG67" s="131">
        <f>IFERROR(X67*'FlightConfig '!$K$17,"")</f>
        <v>4870.32</v>
      </c>
      <c r="AH67" s="131">
        <f>IFERROR(Y67*'FlightConfig '!$K$17,"")</f>
        <v>462.78959999999944</v>
      </c>
    </row>
    <row r="68" spans="1:34" ht="28.9">
      <c r="A68" t="s">
        <v>188</v>
      </c>
      <c r="B68" s="175">
        <v>1</v>
      </c>
      <c r="C68" s="180" t="str">
        <f t="shared" si="27"/>
        <v>CABIN CREW CLASS1104</v>
      </c>
      <c r="D68" s="298"/>
      <c r="E68" s="309">
        <v>1064</v>
      </c>
      <c r="F68" s="315">
        <v>104</v>
      </c>
      <c r="G68" s="123" t="str">
        <f>VLOOKUP(E68,'FG MASTER'!$A$10:$AB$218,2,0)</f>
        <v xml:space="preserve">CREW C1 SANDWICH 3 PHILLY CHEESE STEAK SANDWICH </v>
      </c>
      <c r="H68" s="290">
        <v>1</v>
      </c>
      <c r="I68" s="177">
        <v>1</v>
      </c>
      <c r="J68" s="296">
        <f>IFERROR(IF(I68="std",H68,HLOOKUP(A68,'FlightConfig '!$B$28:$G$29,2,0)*I68),"")</f>
        <v>6</v>
      </c>
      <c r="K68" s="249">
        <f>VLOOKUP(Food!E68,'FG MASTER'!$A$1:$AC$536,16,0)</f>
        <v>2.2999999999999998</v>
      </c>
      <c r="L68" s="250">
        <f>VLOOKUP(Food!E68,'FG MASTER'!$A$10:$AC$536,17,0)</f>
        <v>1.5</v>
      </c>
      <c r="M68" s="136">
        <f t="shared" si="29"/>
        <v>0.60000000000000009</v>
      </c>
      <c r="N68" s="136">
        <f t="shared" si="30"/>
        <v>2.9</v>
      </c>
      <c r="O68" s="136">
        <f t="shared" si="5"/>
        <v>0.29899999999999993</v>
      </c>
      <c r="P68" s="136">
        <f t="shared" si="6"/>
        <v>7.7999999999999958E-2</v>
      </c>
      <c r="Q68" s="136">
        <f t="shared" si="23"/>
        <v>3.2769999999999997</v>
      </c>
      <c r="R68" s="131"/>
      <c r="S68" s="131"/>
      <c r="T68" t="str">
        <f>IFERROR(#REF!*J68,"")</f>
        <v/>
      </c>
      <c r="U68">
        <f t="shared" si="8"/>
        <v>13.799999999999999</v>
      </c>
      <c r="V68">
        <f t="shared" si="9"/>
        <v>9</v>
      </c>
      <c r="W68" s="131">
        <f t="shared" si="10"/>
        <v>3.6000000000000005</v>
      </c>
      <c r="X68" s="131">
        <f t="shared" si="11"/>
        <v>17.399999999999999</v>
      </c>
      <c r="Y68" s="131">
        <f t="shared" si="12"/>
        <v>1.7939999999999996</v>
      </c>
      <c r="Z68" s="131">
        <f t="shared" si="13"/>
        <v>0.46799999999999975</v>
      </c>
      <c r="AA68" s="131">
        <f t="shared" si="14"/>
        <v>19.661999999999999</v>
      </c>
      <c r="AC68" s="131" t="str">
        <f>IFERROR(T68*'FlightConfig '!$K$3,"")</f>
        <v/>
      </c>
      <c r="AD68" s="131">
        <f>IFERROR(U68*'FlightConfig '!$K$17,"")</f>
        <v>5023.2</v>
      </c>
      <c r="AE68" s="131">
        <f>IFERROR(V68*'FlightConfig '!$K$17,"")</f>
        <v>3276</v>
      </c>
      <c r="AF68" s="131">
        <f>IFERROR(W68*'FlightConfig '!$K$17,"")</f>
        <v>1310.4000000000001</v>
      </c>
      <c r="AG68" s="131">
        <f>IFERROR(X68*'FlightConfig '!$K$17,"")</f>
        <v>6333.5999999999995</v>
      </c>
      <c r="AH68" s="131">
        <f>IFERROR(Y68*'FlightConfig '!$K$17,"")</f>
        <v>653.01599999999985</v>
      </c>
    </row>
    <row r="69" spans="1:34" ht="28.9">
      <c r="A69" t="s">
        <v>188</v>
      </c>
      <c r="B69" s="175">
        <v>1</v>
      </c>
      <c r="C69" s="180" t="str">
        <f t="shared" si="27"/>
        <v>CABIN CREW CLASS1104</v>
      </c>
      <c r="D69" s="298"/>
      <c r="E69" s="309">
        <v>1065</v>
      </c>
      <c r="F69" s="315">
        <v>104</v>
      </c>
      <c r="G69" s="123" t="str">
        <f>VLOOKUP(E69,'FG MASTER'!$A$10:$AB$218,2,0)</f>
        <v xml:space="preserve">CREW C1 SANDWICH 4 CHICKEN SALAD CROISSANT SANDWICH </v>
      </c>
      <c r="H69" s="290">
        <v>1</v>
      </c>
      <c r="I69" s="177">
        <v>1</v>
      </c>
      <c r="J69" s="296">
        <f>IFERROR(IF(I69="std",H69,HLOOKUP(A69,'FlightConfig '!$B$28:$G$29,2,0)*I69),"")</f>
        <v>6</v>
      </c>
      <c r="K69" s="249">
        <f>VLOOKUP(Food!E69,'FG MASTER'!$A$1:$AC$536,16,0)</f>
        <v>2.0499999999999998</v>
      </c>
      <c r="L69" s="250">
        <f>VLOOKUP(Food!E69,'FG MASTER'!$A$10:$AC$536,17,0)</f>
        <v>1.5</v>
      </c>
      <c r="M69" s="136">
        <f t="shared" si="29"/>
        <v>0.60000000000000009</v>
      </c>
      <c r="N69" s="136">
        <f t="shared" si="30"/>
        <v>2.65</v>
      </c>
      <c r="O69" s="136">
        <f t="shared" si="5"/>
        <v>0.26649999999999974</v>
      </c>
      <c r="P69" s="136">
        <f t="shared" si="6"/>
        <v>7.7999999999999958E-2</v>
      </c>
      <c r="Q69" s="136">
        <f t="shared" si="23"/>
        <v>2.9944999999999995</v>
      </c>
      <c r="R69" s="131"/>
      <c r="S69" s="131"/>
      <c r="T69" t="str">
        <f>IFERROR(#REF!*J69,"")</f>
        <v/>
      </c>
      <c r="U69">
        <f t="shared" si="8"/>
        <v>12.299999999999999</v>
      </c>
      <c r="V69">
        <f t="shared" si="9"/>
        <v>9</v>
      </c>
      <c r="W69" s="131">
        <f t="shared" si="10"/>
        <v>3.6000000000000005</v>
      </c>
      <c r="X69" s="131">
        <f t="shared" si="11"/>
        <v>15.899999999999999</v>
      </c>
      <c r="Y69" s="131">
        <f t="shared" si="12"/>
        <v>1.5989999999999984</v>
      </c>
      <c r="Z69" s="131">
        <f t="shared" si="13"/>
        <v>0.46799999999999975</v>
      </c>
      <c r="AA69" s="131">
        <f t="shared" si="14"/>
        <v>17.966999999999999</v>
      </c>
      <c r="AC69" s="131" t="str">
        <f>IFERROR(T69*'FlightConfig '!$K$3,"")</f>
        <v/>
      </c>
      <c r="AD69" s="131">
        <f>IFERROR(U69*'FlightConfig '!$K$17,"")</f>
        <v>4477.2</v>
      </c>
      <c r="AE69" s="131">
        <f>IFERROR(V69*'FlightConfig '!$K$17,"")</f>
        <v>3276</v>
      </c>
      <c r="AF69" s="131">
        <f>IFERROR(W69*'FlightConfig '!$K$17,"")</f>
        <v>1310.4000000000001</v>
      </c>
      <c r="AG69" s="131">
        <f>IFERROR(X69*'FlightConfig '!$K$17,"")</f>
        <v>5787.5999999999995</v>
      </c>
      <c r="AH69" s="131">
        <f>IFERROR(Y69*'FlightConfig '!$K$17,"")</f>
        <v>582.03599999999938</v>
      </c>
    </row>
    <row r="70" spans="1:34">
      <c r="A70" t="s">
        <v>188</v>
      </c>
      <c r="B70" s="175">
        <v>1</v>
      </c>
      <c r="C70" s="180" t="str">
        <f>CONCATENATE(A70&amp;B70&amp;F70)</f>
        <v>CABIN CREW CLASS1104</v>
      </c>
      <c r="D70" s="298"/>
      <c r="E70" s="309">
        <v>1066</v>
      </c>
      <c r="F70" s="315">
        <v>104</v>
      </c>
      <c r="G70" s="123" t="str">
        <f>VLOOKUP(E70,'FG MASTER'!$A$10:$AB$218,2,0)</f>
        <v xml:space="preserve">CREW C1 SANDWICH 5 HAM AND CHEESE SANDWICH </v>
      </c>
      <c r="H70" s="290">
        <v>1</v>
      </c>
      <c r="I70" s="177">
        <v>1</v>
      </c>
      <c r="J70" s="296">
        <f>IFERROR(IF(I70="std",H70,HLOOKUP(A70,'FlightConfig '!$B$28:$G$29,2,0)*I70),"")</f>
        <v>6</v>
      </c>
      <c r="K70" s="249">
        <f>VLOOKUP(Food!E70,'FG MASTER'!$A$1:$AC$536,16,0)</f>
        <v>1.68</v>
      </c>
      <c r="L70" s="250">
        <f>VLOOKUP(Food!E70,'FG MASTER'!$A$10:$AC$536,17,0)</f>
        <v>1.5</v>
      </c>
      <c r="M70" s="136">
        <f t="shared" ref="M70:M97" si="31">IFERROR(L70*$M$2,"")</f>
        <v>0.60000000000000009</v>
      </c>
      <c r="N70" s="136">
        <f t="shared" ref="N70:N97" si="32">IFERROR((K70)+M70,"")</f>
        <v>2.2800000000000002</v>
      </c>
      <c r="O70" s="136">
        <f t="shared" ref="O70:O133" si="33">IFERROR($K70*(1+$O$2)-$K70,0)</f>
        <v>0.21839999999999971</v>
      </c>
      <c r="P70" s="136">
        <f t="shared" ref="P70:P133" si="34">IFERROR($M70*(1+$P$2)-$M70,0)</f>
        <v>7.7999999999999958E-2</v>
      </c>
      <c r="Q70" s="136">
        <f t="shared" ref="Q70:Q74" si="35">SUM(N70:P70)</f>
        <v>2.5764</v>
      </c>
      <c r="R70" s="131"/>
      <c r="S70" s="131"/>
      <c r="T70" t="str">
        <f>IFERROR(#REF!*J70,"")</f>
        <v/>
      </c>
      <c r="U70">
        <f t="shared" ref="U70:U133" si="36">IFERROR(K70*J70,"")</f>
        <v>10.08</v>
      </c>
      <c r="V70">
        <f t="shared" ref="V70:V133" si="37">IFERROR(+L70*J70,"")</f>
        <v>9</v>
      </c>
      <c r="W70" s="131">
        <f t="shared" ref="W70:W133" si="38">IFERROR(+M70*J70,"")</f>
        <v>3.6000000000000005</v>
      </c>
      <c r="X70" s="131">
        <f t="shared" ref="X70:X133" si="39">IFERROR(+N70*J70,"")</f>
        <v>13.680000000000001</v>
      </c>
      <c r="Y70" s="131">
        <f t="shared" ref="Y70:Y133" si="40">IFERROR(O70*$J70,"")</f>
        <v>1.3103999999999982</v>
      </c>
      <c r="Z70" s="131">
        <f t="shared" ref="Z70:Z133" si="41">IFERROR(P70*$J70,"")</f>
        <v>0.46799999999999975</v>
      </c>
      <c r="AA70" s="131">
        <f t="shared" ref="AA70:AA133" si="42">IFERROR(+Q70*J70,"")</f>
        <v>15.458400000000001</v>
      </c>
      <c r="AC70" s="131" t="str">
        <f>IFERROR(T70*'FlightConfig '!$K$3,"")</f>
        <v/>
      </c>
      <c r="AD70" s="131">
        <f>IFERROR(U70*'FlightConfig '!$K$17,"")</f>
        <v>3669.12</v>
      </c>
      <c r="AE70" s="131">
        <f>IFERROR(V70*'FlightConfig '!$K$17,"")</f>
        <v>3276</v>
      </c>
      <c r="AF70" s="131">
        <f>IFERROR(W70*'FlightConfig '!$K$17,"")</f>
        <v>1310.4000000000001</v>
      </c>
      <c r="AG70" s="131">
        <f>IFERROR(X70*'FlightConfig '!$K$17,"")</f>
        <v>4979.5200000000004</v>
      </c>
      <c r="AH70" s="131">
        <f>IFERROR(Y70*'FlightConfig '!$K$17,"")</f>
        <v>476.98559999999935</v>
      </c>
    </row>
    <row r="71" spans="1:34" ht="28.9">
      <c r="A71" t="s">
        <v>188</v>
      </c>
      <c r="B71" s="175">
        <v>1</v>
      </c>
      <c r="C71" s="180" t="str">
        <f t="shared" ref="C71:C74" si="43">CONCATENATE(A71&amp;B71&amp;F71)</f>
        <v>CABIN CREW CLASS1104</v>
      </c>
      <c r="D71" s="298"/>
      <c r="E71" s="309">
        <v>1067</v>
      </c>
      <c r="F71" s="315">
        <v>104</v>
      </c>
      <c r="G71" s="123" t="str">
        <f>VLOOKUP(E71,'FG MASTER'!$A$10:$AB$218,2,0)</f>
        <v>CREW C1 MIDNIGHT SNACK CHICKIEN TENDERS WITH FRIES</v>
      </c>
      <c r="H71" s="290">
        <v>1</v>
      </c>
      <c r="I71" s="177">
        <v>1</v>
      </c>
      <c r="J71" s="296">
        <f>IFERROR(IF(I71="std",H71,HLOOKUP(A71,'FlightConfig '!$B$28:$G$29,2,0)*I71),"")</f>
        <v>6</v>
      </c>
      <c r="K71" s="249">
        <f>VLOOKUP(Food!E71,'FG MASTER'!$A$1:$AC$536,16,0)</f>
        <v>1.8</v>
      </c>
      <c r="L71" s="250">
        <f>VLOOKUP(Food!E71,'FG MASTER'!$A$10:$AC$536,17,0)</f>
        <v>2</v>
      </c>
      <c r="M71" s="136">
        <f t="shared" si="31"/>
        <v>0.8</v>
      </c>
      <c r="N71" s="136">
        <f t="shared" si="32"/>
        <v>2.6</v>
      </c>
      <c r="O71" s="136">
        <f t="shared" si="33"/>
        <v>0.23399999999999976</v>
      </c>
      <c r="P71" s="136">
        <f t="shared" si="34"/>
        <v>0.10399999999999987</v>
      </c>
      <c r="Q71" s="136">
        <f t="shared" si="35"/>
        <v>2.9379999999999997</v>
      </c>
      <c r="R71" s="131"/>
      <c r="S71" s="131"/>
      <c r="T71" t="str">
        <f>IFERROR(#REF!*J71,"")</f>
        <v/>
      </c>
      <c r="U71">
        <f t="shared" si="36"/>
        <v>10.8</v>
      </c>
      <c r="V71">
        <f t="shared" si="37"/>
        <v>12</v>
      </c>
      <c r="W71" s="131">
        <f t="shared" si="38"/>
        <v>4.8000000000000007</v>
      </c>
      <c r="X71" s="131">
        <f t="shared" si="39"/>
        <v>15.600000000000001</v>
      </c>
      <c r="Y71" s="131">
        <f t="shared" si="40"/>
        <v>1.4039999999999986</v>
      </c>
      <c r="Z71" s="131">
        <f t="shared" si="41"/>
        <v>0.62399999999999922</v>
      </c>
      <c r="AA71" s="131">
        <f t="shared" si="42"/>
        <v>17.628</v>
      </c>
      <c r="AC71" s="131" t="str">
        <f>IFERROR(T71*'FlightConfig '!$K$3,"")</f>
        <v/>
      </c>
      <c r="AD71" s="131">
        <f>IFERROR(U71*'FlightConfig '!$K$17,"")</f>
        <v>3931.2000000000003</v>
      </c>
      <c r="AE71" s="131">
        <f>IFERROR(V71*'FlightConfig '!$K$17,"")</f>
        <v>4368</v>
      </c>
      <c r="AF71" s="131">
        <f>IFERROR(W71*'FlightConfig '!$K$17,"")</f>
        <v>1747.2000000000003</v>
      </c>
      <c r="AG71" s="131">
        <f>IFERROR(X71*'FlightConfig '!$K$17,"")</f>
        <v>5678.4000000000005</v>
      </c>
      <c r="AH71" s="131">
        <f>IFERROR(Y71*'FlightConfig '!$K$17,"")</f>
        <v>511.05599999999947</v>
      </c>
    </row>
    <row r="72" spans="1:34" ht="28.9">
      <c r="A72" t="s">
        <v>188</v>
      </c>
      <c r="B72" s="175">
        <v>1</v>
      </c>
      <c r="C72" s="180" t="str">
        <f t="shared" si="43"/>
        <v>CABIN CREW CLASS1104</v>
      </c>
      <c r="D72" s="298"/>
      <c r="E72" s="309">
        <v>1068</v>
      </c>
      <c r="F72" s="315">
        <v>104</v>
      </c>
      <c r="G72" s="123" t="str">
        <f>VLOOKUP(E72,'FG MASTER'!$A$10:$AB$218,2,0)</f>
        <v>CREW C1 BREAKFAST HOT SANDWICH 1 EGG AND CHEESE ENGLISH MUFFIN</v>
      </c>
      <c r="H72" s="290">
        <v>1</v>
      </c>
      <c r="I72" s="177">
        <v>1</v>
      </c>
      <c r="J72" s="296">
        <f>IFERROR(IF(I72="std",H72,HLOOKUP(A72,'FlightConfig '!$B$28:$G$29,2,0)*I72),"")</f>
        <v>6</v>
      </c>
      <c r="K72" s="249">
        <f>VLOOKUP(Food!E72,'FG MASTER'!$A$1:$AC$536,16,0)</f>
        <v>0.94</v>
      </c>
      <c r="L72" s="250">
        <f>VLOOKUP(Food!E72,'FG MASTER'!$A$10:$AC$536,17,0)</f>
        <v>1.5</v>
      </c>
      <c r="M72" s="136">
        <f t="shared" si="31"/>
        <v>0.60000000000000009</v>
      </c>
      <c r="N72" s="136">
        <f t="shared" si="32"/>
        <v>1.54</v>
      </c>
      <c r="O72" s="136">
        <f t="shared" si="33"/>
        <v>0.12219999999999986</v>
      </c>
      <c r="P72" s="136">
        <f t="shared" si="34"/>
        <v>7.7999999999999958E-2</v>
      </c>
      <c r="Q72" s="136">
        <f t="shared" si="35"/>
        <v>1.7401999999999997</v>
      </c>
      <c r="R72" s="131"/>
      <c r="S72" s="131"/>
      <c r="T72" t="str">
        <f>IFERROR(#REF!*J72,"")</f>
        <v/>
      </c>
      <c r="U72">
        <f t="shared" si="36"/>
        <v>5.64</v>
      </c>
      <c r="V72">
        <f t="shared" si="37"/>
        <v>9</v>
      </c>
      <c r="W72" s="131">
        <f t="shared" si="38"/>
        <v>3.6000000000000005</v>
      </c>
      <c r="X72" s="131">
        <f t="shared" si="39"/>
        <v>9.24</v>
      </c>
      <c r="Y72" s="131">
        <f t="shared" si="40"/>
        <v>0.73319999999999919</v>
      </c>
      <c r="Z72" s="131">
        <f t="shared" si="41"/>
        <v>0.46799999999999975</v>
      </c>
      <c r="AA72" s="131">
        <f t="shared" si="42"/>
        <v>10.441199999999998</v>
      </c>
      <c r="AC72" s="131" t="str">
        <f>IFERROR(T72*'FlightConfig '!$K$3,"")</f>
        <v/>
      </c>
      <c r="AD72" s="131">
        <f>IFERROR(U72*'FlightConfig '!$K$17,"")</f>
        <v>2052.96</v>
      </c>
      <c r="AE72" s="131">
        <f>IFERROR(V72*'FlightConfig '!$K$17,"")</f>
        <v>3276</v>
      </c>
      <c r="AF72" s="131">
        <f>IFERROR(W72*'FlightConfig '!$K$17,"")</f>
        <v>1310.4000000000001</v>
      </c>
      <c r="AG72" s="131">
        <f>IFERROR(X72*'FlightConfig '!$K$17,"")</f>
        <v>3363.36</v>
      </c>
      <c r="AH72" s="131">
        <f>IFERROR(Y72*'FlightConfig '!$K$17,"")</f>
        <v>266.8847999999997</v>
      </c>
    </row>
    <row r="73" spans="1:34" ht="28.9">
      <c r="A73" t="s">
        <v>188</v>
      </c>
      <c r="B73" s="175">
        <v>1</v>
      </c>
      <c r="C73" s="180" t="str">
        <f t="shared" si="43"/>
        <v>CABIN CREW CLASS1104</v>
      </c>
      <c r="D73" s="298"/>
      <c r="E73" s="309">
        <v>1069</v>
      </c>
      <c r="F73" s="315">
        <v>104</v>
      </c>
      <c r="G73" s="123" t="str">
        <f>VLOOKUP(E73,'FG MASTER'!$A$10:$AB$218,2,0)</f>
        <v>CREW C1 BREAKFAST HOT SANDWICH 2 BACON EGG AND CHEESE ENGLISH MUFFIN</v>
      </c>
      <c r="H73" s="290">
        <v>1</v>
      </c>
      <c r="I73" s="177">
        <v>1</v>
      </c>
      <c r="J73" s="296">
        <f>IFERROR(IF(I73="std",H73,HLOOKUP(A73,'FlightConfig '!$B$28:$G$29,2,0)*I73),"")</f>
        <v>6</v>
      </c>
      <c r="K73" s="249">
        <f>VLOOKUP(Food!E73,'FG MASTER'!$A$1:$AC$536,16,0)</f>
        <v>1.77</v>
      </c>
      <c r="L73" s="250">
        <f>VLOOKUP(Food!E73,'FG MASTER'!$A$10:$AC$536,17,0)</f>
        <v>2</v>
      </c>
      <c r="M73" s="136">
        <f t="shared" si="31"/>
        <v>0.8</v>
      </c>
      <c r="N73" s="136">
        <f t="shared" si="32"/>
        <v>2.5700000000000003</v>
      </c>
      <c r="O73" s="136">
        <f t="shared" si="33"/>
        <v>0.23009999999999975</v>
      </c>
      <c r="P73" s="136">
        <f t="shared" si="34"/>
        <v>0.10399999999999987</v>
      </c>
      <c r="Q73" s="136">
        <f t="shared" si="35"/>
        <v>2.9040999999999997</v>
      </c>
      <c r="R73" s="131"/>
      <c r="S73" s="131"/>
      <c r="T73" t="str">
        <f>IFERROR(#REF!*J73,"")</f>
        <v/>
      </c>
      <c r="U73">
        <f t="shared" si="36"/>
        <v>10.620000000000001</v>
      </c>
      <c r="V73">
        <f t="shared" si="37"/>
        <v>12</v>
      </c>
      <c r="W73" s="131">
        <f t="shared" si="38"/>
        <v>4.8000000000000007</v>
      </c>
      <c r="X73" s="131">
        <f t="shared" si="39"/>
        <v>15.420000000000002</v>
      </c>
      <c r="Y73" s="131">
        <f t="shared" si="40"/>
        <v>1.3805999999999985</v>
      </c>
      <c r="Z73" s="131">
        <f t="shared" si="41"/>
        <v>0.62399999999999922</v>
      </c>
      <c r="AA73" s="131">
        <f t="shared" si="42"/>
        <v>17.424599999999998</v>
      </c>
      <c r="AC73" s="131" t="str">
        <f>IFERROR(T73*'FlightConfig '!$K$3,"")</f>
        <v/>
      </c>
      <c r="AD73" s="131">
        <f>IFERROR(U73*'FlightConfig '!$K$17,"")</f>
        <v>3865.6800000000003</v>
      </c>
      <c r="AE73" s="131">
        <f>IFERROR(V73*'FlightConfig '!$K$17,"")</f>
        <v>4368</v>
      </c>
      <c r="AF73" s="131">
        <f>IFERROR(W73*'FlightConfig '!$K$17,"")</f>
        <v>1747.2000000000003</v>
      </c>
      <c r="AG73" s="131">
        <f>IFERROR(X73*'FlightConfig '!$K$17,"")</f>
        <v>5612.880000000001</v>
      </c>
      <c r="AH73" s="131">
        <f>IFERROR(Y73*'FlightConfig '!$K$17,"")</f>
        <v>502.53839999999946</v>
      </c>
    </row>
    <row r="74" spans="1:34" ht="28.9">
      <c r="A74" t="s">
        <v>188</v>
      </c>
      <c r="B74" s="175">
        <v>1</v>
      </c>
      <c r="C74" s="180" t="str">
        <f t="shared" si="43"/>
        <v>CABIN CREW CLASS1104</v>
      </c>
      <c r="D74" s="298"/>
      <c r="E74" s="309">
        <v>1070</v>
      </c>
      <c r="F74" s="315">
        <v>104</v>
      </c>
      <c r="G74" s="123" t="str">
        <f>VLOOKUP(E74,'FG MASTER'!$A$10:$AB$218,2,0)</f>
        <v>CREW C1 BREAKFAST HOT SANDWICH 3 FRIED CHICKEN BISCUIT</v>
      </c>
      <c r="H74" s="290">
        <v>1</v>
      </c>
      <c r="I74" s="177">
        <v>1</v>
      </c>
      <c r="J74" s="296">
        <f>IFERROR(IF(I74="std",H74,HLOOKUP(A74,'FlightConfig '!$B$28:$G$29,2,0)*I74),"")</f>
        <v>6</v>
      </c>
      <c r="K74" s="249">
        <f>VLOOKUP(Food!E74,'FG MASTER'!$A$1:$AC$536,16,0)</f>
        <v>1.1399999999999999</v>
      </c>
      <c r="L74" s="250">
        <f>VLOOKUP(Food!E74,'FG MASTER'!$A$10:$AC$536,17,0)</f>
        <v>2</v>
      </c>
      <c r="M74" s="136">
        <f t="shared" si="31"/>
        <v>0.8</v>
      </c>
      <c r="N74" s="136">
        <f t="shared" si="32"/>
        <v>1.94</v>
      </c>
      <c r="O74" s="136">
        <f t="shared" si="33"/>
        <v>0.14819999999999989</v>
      </c>
      <c r="P74" s="136">
        <f t="shared" si="34"/>
        <v>0.10399999999999987</v>
      </c>
      <c r="Q74" s="136">
        <f t="shared" si="35"/>
        <v>2.1921999999999997</v>
      </c>
      <c r="R74" s="131"/>
      <c r="S74" s="131"/>
      <c r="T74" t="str">
        <f>IFERROR(#REF!*J74,"")</f>
        <v/>
      </c>
      <c r="U74">
        <f t="shared" si="36"/>
        <v>6.84</v>
      </c>
      <c r="V74">
        <f t="shared" si="37"/>
        <v>12</v>
      </c>
      <c r="W74" s="131">
        <f t="shared" si="38"/>
        <v>4.8000000000000007</v>
      </c>
      <c r="X74" s="131">
        <f t="shared" si="39"/>
        <v>11.64</v>
      </c>
      <c r="Y74" s="131">
        <f t="shared" si="40"/>
        <v>0.88919999999999932</v>
      </c>
      <c r="Z74" s="131">
        <f t="shared" si="41"/>
        <v>0.62399999999999922</v>
      </c>
      <c r="AA74" s="131">
        <f t="shared" si="42"/>
        <v>13.153199999999998</v>
      </c>
      <c r="AC74" s="131" t="str">
        <f>IFERROR(T74*'FlightConfig '!$K$3,"")</f>
        <v/>
      </c>
      <c r="AD74" s="131">
        <f>IFERROR(U74*'FlightConfig '!$K$17,"")</f>
        <v>2489.7599999999998</v>
      </c>
      <c r="AE74" s="131">
        <f>IFERROR(V74*'FlightConfig '!$K$17,"")</f>
        <v>4368</v>
      </c>
      <c r="AF74" s="131">
        <f>IFERROR(W74*'FlightConfig '!$K$17,"")</f>
        <v>1747.2000000000003</v>
      </c>
      <c r="AG74" s="131">
        <f>IFERROR(X74*'FlightConfig '!$K$17,"")</f>
        <v>4236.96</v>
      </c>
      <c r="AH74" s="131">
        <f>IFERROR(Y74*'FlightConfig '!$K$17,"")</f>
        <v>323.66879999999975</v>
      </c>
    </row>
    <row r="75" spans="1:34" ht="28.9" hidden="1">
      <c r="A75" t="s">
        <v>155</v>
      </c>
      <c r="B75" s="175">
        <v>1</v>
      </c>
      <c r="C75" s="180" t="str">
        <f>CONCATENATE(A75&amp;B75&amp;F75)</f>
        <v>BUSINESS CLASS1110</v>
      </c>
      <c r="D75" s="176"/>
      <c r="E75" s="309">
        <v>1001</v>
      </c>
      <c r="F75" s="315">
        <v>110</v>
      </c>
      <c r="G75" s="123" t="str">
        <f>VLOOKUP(E75,'FG MASTER'!$A$10:$AB$218,2,0)</f>
        <v xml:space="preserve">BC C1 DINNER GEORGIA PEACH CHILI WHIPPED BUTTER </v>
      </c>
      <c r="H75" s="290">
        <v>1</v>
      </c>
      <c r="I75" s="177">
        <v>1</v>
      </c>
      <c r="J75" s="296">
        <f>IFERROR(IF(I75="std",H75,HLOOKUP(A75,'FlightConfig '!$B$34:$G$35,2,0)*I75),"")</f>
        <v>30</v>
      </c>
      <c r="K75" s="249">
        <f>VLOOKUP(Food!E75,'FG MASTER'!$A$1:$AC$536,16,0)</f>
        <v>0.47</v>
      </c>
      <c r="L75" s="250">
        <f>VLOOKUP(Food!E75,'FG MASTER'!$A$10:$AC$536,17,0)</f>
        <v>0.5</v>
      </c>
      <c r="M75" s="136">
        <f t="shared" si="31"/>
        <v>0.2</v>
      </c>
      <c r="N75" s="136">
        <f t="shared" si="32"/>
        <v>0.66999999999999993</v>
      </c>
      <c r="O75" s="136">
        <f t="shared" si="33"/>
        <v>6.1099999999999932E-2</v>
      </c>
      <c r="P75" s="136">
        <f t="shared" si="34"/>
        <v>2.5999999999999968E-2</v>
      </c>
      <c r="Q75" s="136">
        <f>SUM(N75:P75)</f>
        <v>0.75709999999999988</v>
      </c>
      <c r="R75" s="131"/>
      <c r="S75" s="131"/>
      <c r="T75" t="str">
        <f>IFERROR(#REF!*J75,"")</f>
        <v/>
      </c>
      <c r="U75">
        <f t="shared" si="36"/>
        <v>14.1</v>
      </c>
      <c r="V75">
        <f t="shared" si="37"/>
        <v>15</v>
      </c>
      <c r="W75" s="131">
        <f t="shared" si="38"/>
        <v>6</v>
      </c>
      <c r="X75" s="131">
        <f t="shared" si="39"/>
        <v>20.099999999999998</v>
      </c>
      <c r="Y75" s="131">
        <f t="shared" si="40"/>
        <v>1.832999999999998</v>
      </c>
      <c r="Z75" s="131">
        <f t="shared" si="41"/>
        <v>0.77999999999999903</v>
      </c>
      <c r="AA75" s="131">
        <f t="shared" si="42"/>
        <v>22.712999999999997</v>
      </c>
      <c r="AC75" s="131" t="str">
        <f>IFERROR(T75*'FlightConfig '!$K$3,"")</f>
        <v/>
      </c>
      <c r="AD75" s="131">
        <f>IFERROR(U75*'FlightConfig '!$K$23,"")</f>
        <v>5132.3999999999996</v>
      </c>
      <c r="AE75" s="131">
        <f>IFERROR(V75*'FlightConfig '!$K$23,"")</f>
        <v>5460</v>
      </c>
      <c r="AF75" s="131">
        <f>IFERROR(W75*'FlightConfig '!$K$23,"")</f>
        <v>2184</v>
      </c>
      <c r="AG75" s="131">
        <f>IFERROR(X75*'FlightConfig '!$K$23,"")</f>
        <v>7316.4</v>
      </c>
      <c r="AH75" s="131">
        <f>IFERROR(Y75*'FlightConfig '!$K$23,"")</f>
        <v>667.21199999999931</v>
      </c>
    </row>
    <row r="76" spans="1:34" hidden="1">
      <c r="A76" t="s">
        <v>155</v>
      </c>
      <c r="B76" s="175">
        <v>1</v>
      </c>
      <c r="C76" s="180" t="str">
        <f t="shared" ref="C76:C94" si="44">CONCATENATE(A76&amp;B76&amp;F76)</f>
        <v>BUSINESS CLASS1110</v>
      </c>
      <c r="D76" s="176"/>
      <c r="E76" s="309">
        <v>1002</v>
      </c>
      <c r="F76" s="315">
        <v>110</v>
      </c>
      <c r="G76" s="123" t="str">
        <f>VLOOKUP(E76,'FG MASTER'!$A$10:$AB$218,2,0)</f>
        <v xml:space="preserve">BC C1 DINNER SWEETWATER BEET AND CHEESE ROLL </v>
      </c>
      <c r="H76" s="290">
        <v>1</v>
      </c>
      <c r="I76" s="177">
        <v>0.5</v>
      </c>
      <c r="J76" s="296">
        <f>IFERROR(IF(I76="std",H76,HLOOKUP(A76,'FlightConfig '!$B$34:$G$35,2,0)*I76),"")</f>
        <v>15</v>
      </c>
      <c r="K76" s="249">
        <f>VLOOKUP(Food!E76,'FG MASTER'!$A$1:$AC$536,16,0)</f>
        <v>0.3</v>
      </c>
      <c r="L76" s="250">
        <f>VLOOKUP(Food!E76,'FG MASTER'!$A$10:$AC$536,17,0)</f>
        <v>0.25</v>
      </c>
      <c r="M76" s="136">
        <f t="shared" si="31"/>
        <v>0.1</v>
      </c>
      <c r="N76" s="136">
        <f t="shared" si="32"/>
        <v>0.4</v>
      </c>
      <c r="O76" s="136">
        <f t="shared" si="33"/>
        <v>3.8999999999999979E-2</v>
      </c>
      <c r="P76" s="136">
        <f t="shared" si="34"/>
        <v>1.2999999999999984E-2</v>
      </c>
      <c r="Q76" s="136">
        <f t="shared" ref="Q76:Q83" si="45">SUM(N76:P76)</f>
        <v>0.45199999999999996</v>
      </c>
      <c r="R76" s="131"/>
      <c r="S76" s="131"/>
      <c r="T76" t="str">
        <f>IFERROR(#REF!*J76,"")</f>
        <v/>
      </c>
      <c r="U76">
        <f t="shared" si="36"/>
        <v>4.5</v>
      </c>
      <c r="V76">
        <f t="shared" si="37"/>
        <v>3.75</v>
      </c>
      <c r="W76" s="131">
        <f t="shared" si="38"/>
        <v>1.5</v>
      </c>
      <c r="X76" s="131">
        <f t="shared" si="39"/>
        <v>6</v>
      </c>
      <c r="Y76" s="131">
        <f t="shared" si="40"/>
        <v>0.58499999999999974</v>
      </c>
      <c r="Z76" s="131">
        <f t="shared" si="41"/>
        <v>0.19499999999999976</v>
      </c>
      <c r="AA76" s="131">
        <f t="shared" si="42"/>
        <v>6.7799999999999994</v>
      </c>
      <c r="AC76" s="131" t="str">
        <f>IFERROR(T76*'FlightConfig '!$K$3,"")</f>
        <v/>
      </c>
      <c r="AD76" s="131">
        <f>IFERROR(U76*'FlightConfig '!$K$23,"")</f>
        <v>1638</v>
      </c>
      <c r="AE76" s="131">
        <f>IFERROR(V76*'FlightConfig '!$K$23,"")</f>
        <v>1365</v>
      </c>
      <c r="AF76" s="131">
        <f>IFERROR(W76*'FlightConfig '!$K$23,"")</f>
        <v>546</v>
      </c>
      <c r="AG76" s="131">
        <f>IFERROR(X76*'FlightConfig '!$K$23,"")</f>
        <v>2184</v>
      </c>
      <c r="AH76" s="131">
        <f>IFERROR(Y76*'FlightConfig '!$K$23,"")</f>
        <v>212.93999999999991</v>
      </c>
    </row>
    <row r="77" spans="1:34" hidden="1">
      <c r="A77" t="s">
        <v>155</v>
      </c>
      <c r="B77" s="175">
        <v>1</v>
      </c>
      <c r="C77" s="180" t="str">
        <f t="shared" si="44"/>
        <v>BUSINESS CLASS1110</v>
      </c>
      <c r="D77" s="176"/>
      <c r="E77" s="309">
        <v>1003</v>
      </c>
      <c r="F77" s="315">
        <v>110</v>
      </c>
      <c r="G77" s="123" t="str">
        <f>VLOOKUP(E77,'FG MASTER'!$A$10:$AB$218,2,0)</f>
        <v xml:space="preserve">BC C1 DINNER HERB FOCACCIA ROLL </v>
      </c>
      <c r="H77" s="290">
        <v>1</v>
      </c>
      <c r="I77" s="177">
        <v>0.5</v>
      </c>
      <c r="J77" s="296">
        <f>IFERROR(IF(I77="std",H77,HLOOKUP(A77,'FlightConfig '!$B$34:$G$35,2,0)*I77),"")</f>
        <v>15</v>
      </c>
      <c r="K77" s="249">
        <f>VLOOKUP(Food!E77,'FG MASTER'!$A$1:$AC$536,16,0)</f>
        <v>0.14000000000000001</v>
      </c>
      <c r="L77" s="250">
        <f>VLOOKUP(Food!E77,'FG MASTER'!$A$10:$AC$536,17,0)</f>
        <v>0.25</v>
      </c>
      <c r="M77" s="136">
        <f t="shared" si="31"/>
        <v>0.1</v>
      </c>
      <c r="N77" s="136">
        <f t="shared" si="32"/>
        <v>0.24000000000000002</v>
      </c>
      <c r="O77" s="136">
        <f t="shared" si="33"/>
        <v>1.8199999999999994E-2</v>
      </c>
      <c r="P77" s="136">
        <f t="shared" si="34"/>
        <v>1.2999999999999984E-2</v>
      </c>
      <c r="Q77" s="136">
        <f t="shared" si="45"/>
        <v>0.2712</v>
      </c>
      <c r="R77" s="131"/>
      <c r="S77" s="131"/>
      <c r="T77" t="str">
        <f>IFERROR(#REF!*J77,"")</f>
        <v/>
      </c>
      <c r="U77">
        <f t="shared" si="36"/>
        <v>2.1</v>
      </c>
      <c r="V77">
        <f t="shared" si="37"/>
        <v>3.75</v>
      </c>
      <c r="W77" s="131">
        <f t="shared" si="38"/>
        <v>1.5</v>
      </c>
      <c r="X77" s="131">
        <f t="shared" si="39"/>
        <v>3.6</v>
      </c>
      <c r="Y77" s="131">
        <f t="shared" si="40"/>
        <v>0.27299999999999991</v>
      </c>
      <c r="Z77" s="131">
        <f t="shared" si="41"/>
        <v>0.19499999999999976</v>
      </c>
      <c r="AA77" s="131">
        <f t="shared" si="42"/>
        <v>4.0679999999999996</v>
      </c>
      <c r="AC77" s="131" t="str">
        <f>IFERROR(T77*'FlightConfig '!$K$3,"")</f>
        <v/>
      </c>
      <c r="AD77" s="131">
        <f>IFERROR(U77*'FlightConfig '!$K$23,"")</f>
        <v>764.4</v>
      </c>
      <c r="AE77" s="131">
        <f>IFERROR(V77*'FlightConfig '!$K$23,"")</f>
        <v>1365</v>
      </c>
      <c r="AF77" s="131">
        <f>IFERROR(W77*'FlightConfig '!$K$23,"")</f>
        <v>546</v>
      </c>
      <c r="AG77" s="131">
        <f>IFERROR(X77*'FlightConfig '!$K$23,"")</f>
        <v>1310.4000000000001</v>
      </c>
      <c r="AH77" s="131">
        <f>IFERROR(Y77*'FlightConfig '!$K$23,"")</f>
        <v>99.371999999999971</v>
      </c>
    </row>
    <row r="78" spans="1:34" hidden="1">
      <c r="A78" t="s">
        <v>155</v>
      </c>
      <c r="B78" s="175">
        <v>1</v>
      </c>
      <c r="C78" s="180" t="str">
        <f t="shared" si="44"/>
        <v>BUSINESS CLASS1110</v>
      </c>
      <c r="D78" s="176"/>
      <c r="E78" s="309">
        <v>1004</v>
      </c>
      <c r="F78" s="315">
        <v>110</v>
      </c>
      <c r="G78" s="123" t="str">
        <f>VLOOKUP(E78,'FG MASTER'!$A$10:$AB$218,2,0)</f>
        <v xml:space="preserve">BC C1 DINNER HHAWAIIAN ROLL </v>
      </c>
      <c r="H78" s="290">
        <v>1</v>
      </c>
      <c r="I78" s="177">
        <v>0.5</v>
      </c>
      <c r="J78" s="296">
        <f>IFERROR(IF(I78="std",H78,HLOOKUP(A78,'FlightConfig '!$B$34:$G$35,2,0)*I78),"")</f>
        <v>15</v>
      </c>
      <c r="K78" s="249">
        <f>VLOOKUP(Food!E78,'FG MASTER'!$A$1:$AC$536,16,0)</f>
        <v>0.25</v>
      </c>
      <c r="L78" s="250">
        <f>VLOOKUP(Food!E78,'FG MASTER'!$A$10:$AC$536,17,0)</f>
        <v>0.25</v>
      </c>
      <c r="M78" s="136">
        <f t="shared" si="31"/>
        <v>0.1</v>
      </c>
      <c r="N78" s="136">
        <f t="shared" si="32"/>
        <v>0.35</v>
      </c>
      <c r="O78" s="136">
        <f t="shared" si="33"/>
        <v>3.2499999999999973E-2</v>
      </c>
      <c r="P78" s="136">
        <f t="shared" si="34"/>
        <v>1.2999999999999984E-2</v>
      </c>
      <c r="Q78" s="136">
        <f t="shared" si="45"/>
        <v>0.39549999999999996</v>
      </c>
      <c r="R78" s="131"/>
      <c r="S78" s="131"/>
      <c r="T78" t="str">
        <f>IFERROR(#REF!*J78,"")</f>
        <v/>
      </c>
      <c r="U78">
        <f t="shared" si="36"/>
        <v>3.75</v>
      </c>
      <c r="V78">
        <f t="shared" si="37"/>
        <v>3.75</v>
      </c>
      <c r="W78" s="131">
        <f t="shared" si="38"/>
        <v>1.5</v>
      </c>
      <c r="X78" s="131">
        <f t="shared" si="39"/>
        <v>5.25</v>
      </c>
      <c r="Y78" s="131">
        <f t="shared" si="40"/>
        <v>0.4874999999999996</v>
      </c>
      <c r="Z78" s="131">
        <f t="shared" si="41"/>
        <v>0.19499999999999976</v>
      </c>
      <c r="AA78" s="131">
        <f t="shared" si="42"/>
        <v>5.9324999999999992</v>
      </c>
      <c r="AC78" s="131" t="str">
        <f>IFERROR(T78*'FlightConfig '!$K$3,"")</f>
        <v/>
      </c>
      <c r="AD78" s="131">
        <f>IFERROR(U78*'FlightConfig '!$K$23,"")</f>
        <v>1365</v>
      </c>
      <c r="AE78" s="131">
        <f>IFERROR(V78*'FlightConfig '!$K$23,"")</f>
        <v>1365</v>
      </c>
      <c r="AF78" s="131">
        <f>IFERROR(W78*'FlightConfig '!$K$23,"")</f>
        <v>546</v>
      </c>
      <c r="AG78" s="131">
        <f>IFERROR(X78*'FlightConfig '!$K$23,"")</f>
        <v>1911</v>
      </c>
      <c r="AH78" s="131">
        <f>IFERROR(Y78*'FlightConfig '!$K$23,"")</f>
        <v>177.44999999999985</v>
      </c>
    </row>
    <row r="79" spans="1:34" ht="43.15" hidden="1">
      <c r="A79" t="s">
        <v>155</v>
      </c>
      <c r="B79" s="175">
        <v>1</v>
      </c>
      <c r="C79" s="180" t="str">
        <f t="shared" si="44"/>
        <v>BUSINESS CLASS1110</v>
      </c>
      <c r="D79" s="176"/>
      <c r="E79" s="309">
        <v>1005</v>
      </c>
      <c r="F79" s="315">
        <v>110</v>
      </c>
      <c r="G79" s="123" t="str">
        <f>VLOOKUP(E79,'FG MASTER'!$A$10:$AB$218,2,0)</f>
        <v xml:space="preserve">BC C1 DINNER STARTER 1 NON VEG ROTATION 1 GRILLED PRAWN U10, MANGO CURRY AIOLI, LEMON HERB SLAW, MICRO CILANTRO, MANGO RELISH </v>
      </c>
      <c r="H79" s="290">
        <v>1</v>
      </c>
      <c r="I79" s="177">
        <v>0.55000000000000004</v>
      </c>
      <c r="J79" s="296">
        <f>IFERROR(IF(I79="std",H79,HLOOKUP(A79,'FlightConfig '!$B$34:$G$35,2,0)*I79),"")</f>
        <v>16.5</v>
      </c>
      <c r="K79" s="249">
        <f>VLOOKUP(Food!E79,'FG MASTER'!$A$1:$AC$536,16,0)</f>
        <v>2.87</v>
      </c>
      <c r="L79" s="250">
        <f>VLOOKUP(Food!E79,'FG MASTER'!$A$10:$AC$536,17,0)</f>
        <v>4.25</v>
      </c>
      <c r="M79" s="136">
        <f t="shared" si="31"/>
        <v>1.7000000000000002</v>
      </c>
      <c r="N79" s="136">
        <f t="shared" si="32"/>
        <v>4.57</v>
      </c>
      <c r="O79" s="136">
        <f t="shared" si="33"/>
        <v>0.37309999999999954</v>
      </c>
      <c r="P79" s="136">
        <f t="shared" si="34"/>
        <v>0.22099999999999986</v>
      </c>
      <c r="Q79" s="136">
        <f t="shared" si="45"/>
        <v>5.1640999999999995</v>
      </c>
      <c r="R79" s="131"/>
      <c r="S79" s="131"/>
      <c r="T79" t="str">
        <f>IFERROR(#REF!*J79,"")</f>
        <v/>
      </c>
      <c r="U79">
        <f t="shared" si="36"/>
        <v>47.355000000000004</v>
      </c>
      <c r="V79">
        <f t="shared" si="37"/>
        <v>70.125</v>
      </c>
      <c r="W79" s="131">
        <f t="shared" si="38"/>
        <v>28.050000000000004</v>
      </c>
      <c r="X79" s="131">
        <f t="shared" si="39"/>
        <v>75.405000000000001</v>
      </c>
      <c r="Y79" s="131">
        <f t="shared" si="40"/>
        <v>6.1561499999999922</v>
      </c>
      <c r="Z79" s="131">
        <f t="shared" si="41"/>
        <v>3.6464999999999979</v>
      </c>
      <c r="AA79" s="131">
        <f t="shared" si="42"/>
        <v>85.207649999999987</v>
      </c>
      <c r="AC79" s="131" t="str">
        <f>IFERROR(T79*'FlightConfig '!$K$3,"")</f>
        <v/>
      </c>
      <c r="AD79" s="131">
        <f>IFERROR(U79*'FlightConfig '!$K$23,"")</f>
        <v>17237.22</v>
      </c>
      <c r="AE79" s="131">
        <f>IFERROR(V79*'FlightConfig '!$K$23,"")</f>
        <v>25525.5</v>
      </c>
      <c r="AF79" s="131">
        <f>IFERROR(W79*'FlightConfig '!$K$23,"")</f>
        <v>10210.200000000001</v>
      </c>
      <c r="AG79" s="131">
        <f>IFERROR(X79*'FlightConfig '!$K$23,"")</f>
        <v>27447.420000000002</v>
      </c>
      <c r="AH79" s="131">
        <f>IFERROR(Y79*'FlightConfig '!$K$23,"")</f>
        <v>2240.8385999999973</v>
      </c>
    </row>
    <row r="80" spans="1:34" ht="43.15" hidden="1">
      <c r="A80" t="s">
        <v>155</v>
      </c>
      <c r="B80" s="175">
        <v>1</v>
      </c>
      <c r="C80" s="180" t="str">
        <f t="shared" si="44"/>
        <v>BUSINESS CLASS1110</v>
      </c>
      <c r="D80" s="176"/>
      <c r="E80" s="309">
        <v>1006</v>
      </c>
      <c r="F80" s="315">
        <v>110</v>
      </c>
      <c r="G80" s="123" t="str">
        <f>VLOOKUP(E80,'FG MASTER'!$A$10:$AB$218,2,0)</f>
        <v>BC C1 DINNER STARTER 2 VEG ROTATION 1 BURRATA CHEESE, MARINATED TOMATO, BASIL OIL, MICRO BASIL. BALSAMIC REDUCTION</v>
      </c>
      <c r="H80" s="290">
        <v>1</v>
      </c>
      <c r="I80" s="177">
        <v>0.55000000000000004</v>
      </c>
      <c r="J80" s="296">
        <f>IFERROR(IF(I80="std",H80,HLOOKUP(A80,'FlightConfig '!$B$34:$G$35,2,0)*I80),"")</f>
        <v>16.5</v>
      </c>
      <c r="K80" s="249">
        <f>VLOOKUP(Food!E80,'FG MASTER'!$A$1:$AC$536,16,0)</f>
        <v>5.0599999999999996</v>
      </c>
      <c r="L80" s="250">
        <f>VLOOKUP(Food!E80,'FG MASTER'!$A$10:$AC$536,17,0)</f>
        <v>2.7</v>
      </c>
      <c r="M80" s="136">
        <f t="shared" si="31"/>
        <v>1.08</v>
      </c>
      <c r="N80" s="136">
        <f t="shared" si="32"/>
        <v>6.14</v>
      </c>
      <c r="O80" s="136">
        <f t="shared" si="33"/>
        <v>0.65779999999999905</v>
      </c>
      <c r="P80" s="136">
        <f t="shared" si="34"/>
        <v>0.14039999999999986</v>
      </c>
      <c r="Q80" s="136">
        <f t="shared" si="45"/>
        <v>6.9381999999999984</v>
      </c>
      <c r="R80" s="131"/>
      <c r="S80" s="131"/>
      <c r="T80" t="str">
        <f>IFERROR(#REF!*J80,"")</f>
        <v/>
      </c>
      <c r="U80">
        <f t="shared" si="36"/>
        <v>83.49</v>
      </c>
      <c r="V80">
        <f t="shared" si="37"/>
        <v>44.550000000000004</v>
      </c>
      <c r="W80" s="131">
        <f t="shared" si="38"/>
        <v>17.82</v>
      </c>
      <c r="X80" s="131">
        <f t="shared" si="39"/>
        <v>101.30999999999999</v>
      </c>
      <c r="Y80" s="131">
        <f t="shared" si="40"/>
        <v>10.853699999999984</v>
      </c>
      <c r="Z80" s="131">
        <f t="shared" si="41"/>
        <v>2.3165999999999976</v>
      </c>
      <c r="AA80" s="131">
        <f t="shared" si="42"/>
        <v>114.48029999999997</v>
      </c>
      <c r="AC80" s="131" t="str">
        <f>IFERROR(T80*'FlightConfig '!$K$3,"")</f>
        <v/>
      </c>
      <c r="AD80" s="131">
        <f>IFERROR(U80*'FlightConfig '!$K$23,"")</f>
        <v>30390.359999999997</v>
      </c>
      <c r="AE80" s="131">
        <f>IFERROR(V80*'FlightConfig '!$K$23,"")</f>
        <v>16216.2</v>
      </c>
      <c r="AF80" s="131">
        <f>IFERROR(W80*'FlightConfig '!$K$23,"")</f>
        <v>6486.4800000000005</v>
      </c>
      <c r="AG80" s="131">
        <f>IFERROR(X80*'FlightConfig '!$K$23,"")</f>
        <v>36876.839999999997</v>
      </c>
      <c r="AH80" s="131">
        <f>IFERROR(Y80*'FlightConfig '!$K$23,"")</f>
        <v>3950.746799999994</v>
      </c>
    </row>
    <row r="81" spans="1:34" ht="57.6" hidden="1">
      <c r="A81" t="s">
        <v>155</v>
      </c>
      <c r="B81" s="175">
        <v>1</v>
      </c>
      <c r="C81" s="180" t="str">
        <f t="shared" si="44"/>
        <v>BUSINESS CLASS1110</v>
      </c>
      <c r="D81" s="176"/>
      <c r="E81" s="309">
        <v>1007</v>
      </c>
      <c r="F81" s="315">
        <v>110</v>
      </c>
      <c r="G81" s="123" t="str">
        <f>VLOOKUP(E81,'FG MASTER'!$A$10:$AB$218,2,0)</f>
        <v>BC C1 DINNER STARTER 1 NON VEG ROTATION 2 PROSCUTTIO WRAPPED PEACHES, FRISEE LETTUCE, WATERMELON, FETA CHEESE MINT LIME VINAIGRETTE</v>
      </c>
      <c r="H81" s="290">
        <v>1</v>
      </c>
      <c r="I81" s="177">
        <v>0</v>
      </c>
      <c r="J81" s="296">
        <f>IFERROR(IF(I81="std",H81,HLOOKUP(A81,'FlightConfig '!$B$34:$G$35,2,0)*I81),"")</f>
        <v>0</v>
      </c>
      <c r="K81" s="249">
        <f>VLOOKUP(Food!E81,'FG MASTER'!$A$1:$AC$536,16,0)</f>
        <v>2.95</v>
      </c>
      <c r="L81" s="250">
        <f>VLOOKUP(Food!E81,'FG MASTER'!$A$10:$AC$536,17,0)</f>
        <v>3.75</v>
      </c>
      <c r="M81" s="136">
        <f t="shared" si="31"/>
        <v>1.5</v>
      </c>
      <c r="N81" s="136">
        <f t="shared" si="32"/>
        <v>4.45</v>
      </c>
      <c r="O81" s="136">
        <f t="shared" si="33"/>
        <v>0.38349999999999973</v>
      </c>
      <c r="P81" s="136">
        <f t="shared" si="34"/>
        <v>0.19499999999999984</v>
      </c>
      <c r="Q81" s="136">
        <f t="shared" si="45"/>
        <v>5.0284999999999993</v>
      </c>
      <c r="R81" s="131"/>
      <c r="S81" s="131"/>
      <c r="T81" t="str">
        <f>IFERROR(#REF!*J81,"")</f>
        <v/>
      </c>
      <c r="U81">
        <f t="shared" si="36"/>
        <v>0</v>
      </c>
      <c r="V81">
        <f t="shared" si="37"/>
        <v>0</v>
      </c>
      <c r="W81" s="131">
        <f t="shared" si="38"/>
        <v>0</v>
      </c>
      <c r="X81" s="131">
        <f t="shared" si="39"/>
        <v>0</v>
      </c>
      <c r="Y81" s="131">
        <f t="shared" si="40"/>
        <v>0</v>
      </c>
      <c r="Z81" s="131">
        <f t="shared" si="41"/>
        <v>0</v>
      </c>
      <c r="AA81" s="131">
        <f t="shared" si="42"/>
        <v>0</v>
      </c>
      <c r="AC81" s="131" t="str">
        <f>IFERROR(T81*'FlightConfig '!$K$3,"")</f>
        <v/>
      </c>
      <c r="AD81" s="131">
        <f>IFERROR(U81*'FlightConfig '!$K$23,"")</f>
        <v>0</v>
      </c>
      <c r="AE81" s="131">
        <f>IFERROR(V81*'FlightConfig '!$K$23,"")</f>
        <v>0</v>
      </c>
      <c r="AF81" s="131">
        <f>IFERROR(W81*'FlightConfig '!$K$23,"")</f>
        <v>0</v>
      </c>
      <c r="AG81" s="131">
        <f>IFERROR(X81*'FlightConfig '!$K$23,"")</f>
        <v>0</v>
      </c>
      <c r="AH81" s="131">
        <f>IFERROR(Y81*'FlightConfig '!$K$23,"")</f>
        <v>0</v>
      </c>
    </row>
    <row r="82" spans="1:34" ht="43.15" hidden="1">
      <c r="A82" t="s">
        <v>155</v>
      </c>
      <c r="B82" s="175">
        <v>1</v>
      </c>
      <c r="C82" s="180" t="str">
        <f t="shared" si="44"/>
        <v>BUSINESS CLASS1110</v>
      </c>
      <c r="D82" s="176"/>
      <c r="E82" s="309">
        <v>1008</v>
      </c>
      <c r="F82" s="315">
        <v>110</v>
      </c>
      <c r="G82" s="123" t="str">
        <f>VLOOKUP(E82,'FG MASTER'!$A$10:$AB$218,2,0)</f>
        <v>BC C1 DINNER STARTER 2 VEG ROTATION 2 POMENTO CHEESE STUFFED PEPPADEW PEPPER, ARUGULA, OLIVE OIL</v>
      </c>
      <c r="H82" s="290">
        <v>1</v>
      </c>
      <c r="I82" s="177">
        <v>0</v>
      </c>
      <c r="J82" s="296">
        <f>IFERROR(IF(I82="std",H82,HLOOKUP(A82,'FlightConfig '!$B$34:$G$35,2,0)*I82),"")</f>
        <v>0</v>
      </c>
      <c r="K82" s="249">
        <f>VLOOKUP(Food!E82,'FG MASTER'!$A$1:$AC$536,16,0)</f>
        <v>1.59</v>
      </c>
      <c r="L82" s="250">
        <f>VLOOKUP(Food!E82,'FG MASTER'!$A$10:$AC$536,17,0)</f>
        <v>4</v>
      </c>
      <c r="M82" s="136">
        <f t="shared" si="31"/>
        <v>1.6</v>
      </c>
      <c r="N82" s="136">
        <f t="shared" si="32"/>
        <v>3.1900000000000004</v>
      </c>
      <c r="O82" s="136">
        <f t="shared" si="33"/>
        <v>0.20669999999999988</v>
      </c>
      <c r="P82" s="136">
        <f t="shared" si="34"/>
        <v>0.20799999999999974</v>
      </c>
      <c r="Q82" s="136">
        <f t="shared" si="45"/>
        <v>3.6046999999999998</v>
      </c>
      <c r="R82" s="131"/>
      <c r="S82" s="131"/>
      <c r="T82" t="str">
        <f>IFERROR(#REF!*J82,"")</f>
        <v/>
      </c>
      <c r="U82">
        <f t="shared" si="36"/>
        <v>0</v>
      </c>
      <c r="V82">
        <f t="shared" si="37"/>
        <v>0</v>
      </c>
      <c r="W82" s="131">
        <f t="shared" si="38"/>
        <v>0</v>
      </c>
      <c r="X82" s="131">
        <f t="shared" si="39"/>
        <v>0</v>
      </c>
      <c r="Y82" s="131">
        <f t="shared" si="40"/>
        <v>0</v>
      </c>
      <c r="Z82" s="131">
        <f t="shared" si="41"/>
        <v>0</v>
      </c>
      <c r="AA82" s="131">
        <f t="shared" si="42"/>
        <v>0</v>
      </c>
      <c r="AC82" s="131" t="str">
        <f>IFERROR(T82*'FlightConfig '!$K$3,"")</f>
        <v/>
      </c>
      <c r="AD82" s="131">
        <f>IFERROR(U82*'FlightConfig '!$K$23,"")</f>
        <v>0</v>
      </c>
      <c r="AE82" s="131">
        <f>IFERROR(V82*'FlightConfig '!$K$23,"")</f>
        <v>0</v>
      </c>
      <c r="AF82" s="131">
        <f>IFERROR(W82*'FlightConfig '!$K$23,"")</f>
        <v>0</v>
      </c>
      <c r="AG82" s="131">
        <f>IFERROR(X82*'FlightConfig '!$K$23,"")</f>
        <v>0</v>
      </c>
      <c r="AH82" s="131">
        <f>IFERROR(Y82*'FlightConfig '!$K$23,"")</f>
        <v>0</v>
      </c>
    </row>
    <row r="83" spans="1:34" ht="43.15" hidden="1">
      <c r="A83" t="s">
        <v>155</v>
      </c>
      <c r="B83" s="175">
        <v>1</v>
      </c>
      <c r="C83" s="180" t="str">
        <f t="shared" si="44"/>
        <v>BUSINESS CLASS1110</v>
      </c>
      <c r="D83" s="176"/>
      <c r="E83" s="309">
        <v>1009</v>
      </c>
      <c r="F83" s="315">
        <v>110</v>
      </c>
      <c r="G83" s="123" t="str">
        <f>VLOOKUP(E83,'FG MASTER'!$A$10:$AB$218,2,0)</f>
        <v xml:space="preserve">BC C1 DINNER ENTRÉE 1 LEMON CONFIT CHICKEN LEG, LEMON CHICKIEN JUS, MASHED POTATOES, HARICOT VERT, LEMON AGRUMATO </v>
      </c>
      <c r="H83" s="290">
        <v>1</v>
      </c>
      <c r="I83" s="177">
        <v>0.6</v>
      </c>
      <c r="J83" s="296">
        <f>IFERROR(IF(I83="std",H83,HLOOKUP(A83,'FlightConfig '!$B$34:$G$35,2,0)*I83),"")</f>
        <v>18</v>
      </c>
      <c r="K83" s="249">
        <f>VLOOKUP(Food!E83,'FG MASTER'!$A$1:$AC$536,16,0)</f>
        <v>4.28</v>
      </c>
      <c r="L83" s="250">
        <f>VLOOKUP(Food!E83,'FG MASTER'!$A$10:$AC$536,17,0)</f>
        <v>4.25</v>
      </c>
      <c r="M83" s="136">
        <f t="shared" si="31"/>
        <v>1.7000000000000002</v>
      </c>
      <c r="N83" s="136">
        <f t="shared" si="32"/>
        <v>5.98</v>
      </c>
      <c r="O83" s="136">
        <f t="shared" si="33"/>
        <v>0.55640000000000001</v>
      </c>
      <c r="P83" s="136">
        <f t="shared" si="34"/>
        <v>0.22099999999999986</v>
      </c>
      <c r="Q83" s="136">
        <f t="shared" si="45"/>
        <v>6.7574000000000005</v>
      </c>
      <c r="R83" s="131"/>
      <c r="S83" s="131"/>
      <c r="T83" t="str">
        <f>IFERROR(#REF!*J83,"")</f>
        <v/>
      </c>
      <c r="U83">
        <f t="shared" si="36"/>
        <v>77.040000000000006</v>
      </c>
      <c r="V83">
        <f t="shared" si="37"/>
        <v>76.5</v>
      </c>
      <c r="W83" s="131">
        <f t="shared" si="38"/>
        <v>30.6</v>
      </c>
      <c r="X83" s="131">
        <f t="shared" si="39"/>
        <v>107.64000000000001</v>
      </c>
      <c r="Y83" s="131">
        <f t="shared" si="40"/>
        <v>10.0152</v>
      </c>
      <c r="Z83" s="131">
        <f t="shared" si="41"/>
        <v>3.9779999999999975</v>
      </c>
      <c r="AA83" s="131">
        <f t="shared" si="42"/>
        <v>121.63320000000002</v>
      </c>
      <c r="AC83" s="131" t="str">
        <f>IFERROR(T83*'FlightConfig '!$K$3,"")</f>
        <v/>
      </c>
      <c r="AD83" s="131">
        <f>IFERROR(U83*'FlightConfig '!$K$23,"")</f>
        <v>28042.560000000001</v>
      </c>
      <c r="AE83" s="131">
        <f>IFERROR(V83*'FlightConfig '!$K$23,"")</f>
        <v>27846</v>
      </c>
      <c r="AF83" s="131">
        <f>IFERROR(W83*'FlightConfig '!$K$23,"")</f>
        <v>11138.4</v>
      </c>
      <c r="AG83" s="131">
        <f>IFERROR(X83*'FlightConfig '!$K$23,"")</f>
        <v>39180.960000000006</v>
      </c>
      <c r="AH83" s="131">
        <f>IFERROR(Y83*'FlightConfig '!$K$23,"")</f>
        <v>3645.5328</v>
      </c>
    </row>
    <row r="84" spans="1:34" ht="57.6" hidden="1">
      <c r="A84" t="s">
        <v>155</v>
      </c>
      <c r="B84" s="175">
        <v>1</v>
      </c>
      <c r="C84" s="180" t="str">
        <f t="shared" si="44"/>
        <v>BUSINESS CLASS1110</v>
      </c>
      <c r="D84" s="176"/>
      <c r="E84" s="309">
        <v>1010</v>
      </c>
      <c r="F84" s="315">
        <v>110</v>
      </c>
      <c r="G84" s="123" t="str">
        <f>VLOOKUP(E84,'FG MASTER'!$A$10:$AB$218,2,0)</f>
        <v>BC C1 DINNER ENTRÉE 2 FOX BROCHTERS SMOKED PRESSED LAMB SHOULDER, BABY CARROT , PEARL ONION, PEA PUREE, MASHED POTATOES, THYME DEMI GLACE</v>
      </c>
      <c r="H84" s="290">
        <v>1</v>
      </c>
      <c r="I84" s="177">
        <v>0.4</v>
      </c>
      <c r="J84" s="296">
        <f>IFERROR(IF(I84="std",H84,HLOOKUP(A84,'FlightConfig '!$B$34:$G$35,2,0)*I84),"")</f>
        <v>12</v>
      </c>
      <c r="K84" s="249">
        <f>VLOOKUP(Food!E84,'FG MASTER'!$A$1:$AC$536,16,0)</f>
        <v>9.3000000000000007</v>
      </c>
      <c r="L84" s="250">
        <f>VLOOKUP(Food!E84,'FG MASTER'!$A$10:$AC$536,17,0)</f>
        <v>7.5</v>
      </c>
      <c r="M84" s="136">
        <f t="shared" si="31"/>
        <v>3</v>
      </c>
      <c r="N84" s="136">
        <f t="shared" si="32"/>
        <v>12.3</v>
      </c>
      <c r="O84" s="136">
        <f t="shared" si="33"/>
        <v>1.2089999999999996</v>
      </c>
      <c r="P84" s="136">
        <f t="shared" si="34"/>
        <v>0.38999999999999968</v>
      </c>
      <c r="Q84" s="136">
        <f>SUM(N84:P84)</f>
        <v>13.899000000000001</v>
      </c>
      <c r="R84" s="131"/>
      <c r="S84" s="131"/>
      <c r="T84" t="str">
        <f>IFERROR(#REF!*J84,"")</f>
        <v/>
      </c>
      <c r="U84">
        <f t="shared" si="36"/>
        <v>111.60000000000001</v>
      </c>
      <c r="V84">
        <f t="shared" si="37"/>
        <v>90</v>
      </c>
      <c r="W84" s="131">
        <f t="shared" si="38"/>
        <v>36</v>
      </c>
      <c r="X84" s="131">
        <f t="shared" si="39"/>
        <v>147.60000000000002</v>
      </c>
      <c r="Y84" s="131">
        <f t="shared" si="40"/>
        <v>14.507999999999996</v>
      </c>
      <c r="Z84" s="131">
        <f t="shared" si="41"/>
        <v>4.6799999999999962</v>
      </c>
      <c r="AA84" s="131">
        <f t="shared" si="42"/>
        <v>166.78800000000001</v>
      </c>
      <c r="AC84" s="131" t="str">
        <f>IFERROR(T84*'FlightConfig '!$K$3,"")</f>
        <v/>
      </c>
      <c r="AD84" s="131">
        <f>IFERROR(U84*'FlightConfig '!$K$23,"")</f>
        <v>40622.400000000001</v>
      </c>
      <c r="AE84" s="131">
        <f>IFERROR(V84*'FlightConfig '!$K$23,"")</f>
        <v>32760</v>
      </c>
      <c r="AF84" s="131">
        <f>IFERROR(W84*'FlightConfig '!$K$23,"")</f>
        <v>13104</v>
      </c>
      <c r="AG84" s="131">
        <f>IFERROR(X84*'FlightConfig '!$K$23,"")</f>
        <v>53726.400000000009</v>
      </c>
      <c r="AH84" s="131">
        <f>IFERROR(Y84*'FlightConfig '!$K$23,"")</f>
        <v>5280.9119999999984</v>
      </c>
    </row>
    <row r="85" spans="1:34" ht="43.15" hidden="1">
      <c r="A85" t="s">
        <v>155</v>
      </c>
      <c r="B85" s="175">
        <v>1</v>
      </c>
      <c r="C85" s="180" t="str">
        <f t="shared" si="44"/>
        <v>BUSINESS CLASS1110</v>
      </c>
      <c r="D85" s="176"/>
      <c r="E85" s="309">
        <v>1011</v>
      </c>
      <c r="F85" s="315">
        <v>110</v>
      </c>
      <c r="G85" s="123" t="str">
        <f>VLOOKUP(E85,'FG MASTER'!$A$10:$AB$218,2,0)</f>
        <v xml:space="preserve">BC C1 DINNER ENTRÉE 3 TRUFFLE PARMESAN RISOTTO, BABY ZUCCHINI, WILD MUSHROOM CONSERVA, ASPARAGUS, RAITA SAUCE </v>
      </c>
      <c r="H85" s="290">
        <v>1</v>
      </c>
      <c r="I85" s="177">
        <v>0.2</v>
      </c>
      <c r="J85" s="296">
        <f>IFERROR(IF(I85="std",H85,HLOOKUP(A85,'FlightConfig '!$B$34:$G$35,2,0)*I85),"")</f>
        <v>6</v>
      </c>
      <c r="K85" s="249">
        <f>VLOOKUP(Food!E85,'FG MASTER'!$A$1:$AC$536,16,0)</f>
        <v>3.41</v>
      </c>
      <c r="L85" s="250">
        <f>VLOOKUP(Food!E85,'FG MASTER'!$A$10:$AC$536,17,0)</f>
        <v>4.25</v>
      </c>
      <c r="M85" s="136">
        <f t="shared" si="31"/>
        <v>1.7000000000000002</v>
      </c>
      <c r="N85" s="136">
        <f t="shared" si="32"/>
        <v>5.1100000000000003</v>
      </c>
      <c r="O85" s="136">
        <f t="shared" si="33"/>
        <v>0.44329999999999981</v>
      </c>
      <c r="P85" s="136">
        <f t="shared" si="34"/>
        <v>0.22099999999999986</v>
      </c>
      <c r="Q85" s="136">
        <f t="shared" ref="Q85:Q87" si="46">SUM(N85:P85)</f>
        <v>5.7743000000000002</v>
      </c>
      <c r="R85" s="131"/>
      <c r="S85" s="131"/>
      <c r="T85" t="str">
        <f>IFERROR(#REF!*J85,"")</f>
        <v/>
      </c>
      <c r="U85">
        <f t="shared" si="36"/>
        <v>20.46</v>
      </c>
      <c r="V85">
        <f t="shared" si="37"/>
        <v>25.5</v>
      </c>
      <c r="W85" s="131">
        <f t="shared" si="38"/>
        <v>10.200000000000001</v>
      </c>
      <c r="X85" s="131">
        <f t="shared" si="39"/>
        <v>30.660000000000004</v>
      </c>
      <c r="Y85" s="131">
        <f t="shared" si="40"/>
        <v>2.6597999999999988</v>
      </c>
      <c r="Z85" s="131">
        <f t="shared" si="41"/>
        <v>1.3259999999999992</v>
      </c>
      <c r="AA85" s="131">
        <f t="shared" si="42"/>
        <v>34.645800000000001</v>
      </c>
      <c r="AC85" s="131" t="str">
        <f>IFERROR(T85*'FlightConfig '!$K$3,"")</f>
        <v/>
      </c>
      <c r="AD85" s="131">
        <f>IFERROR(U85*'FlightConfig '!$K$23,"")</f>
        <v>7447.4400000000005</v>
      </c>
      <c r="AE85" s="131">
        <f>IFERROR(V85*'FlightConfig '!$K$23,"")</f>
        <v>9282</v>
      </c>
      <c r="AF85" s="131">
        <f>IFERROR(W85*'FlightConfig '!$K$23,"")</f>
        <v>3712.8</v>
      </c>
      <c r="AG85" s="131">
        <f>IFERROR(X85*'FlightConfig '!$K$23,"")</f>
        <v>11160.240000000002</v>
      </c>
      <c r="AH85" s="131">
        <f>IFERROR(Y85*'FlightConfig '!$K$23,"")</f>
        <v>968.16719999999953</v>
      </c>
    </row>
    <row r="86" spans="1:34" ht="43.15" hidden="1">
      <c r="A86" t="s">
        <v>155</v>
      </c>
      <c r="B86" s="175">
        <v>1</v>
      </c>
      <c r="C86" s="180" t="str">
        <f t="shared" si="44"/>
        <v>BUSINESS CLASS1110</v>
      </c>
      <c r="D86" s="176"/>
      <c r="E86" s="310">
        <v>1012</v>
      </c>
      <c r="F86" s="315">
        <v>110</v>
      </c>
      <c r="G86" s="123" t="str">
        <f>VLOOKUP(E86,'FG MASTER'!$A$10:$AB$218,2,0)</f>
        <v xml:space="preserve">BC C1 DINNER DESSERT COLD ROTATION 1 BANANA PUDDING CHEESECAKE, STREUSEL CRUMBLES, BLUEBERRIES </v>
      </c>
      <c r="H86" s="290">
        <v>1</v>
      </c>
      <c r="I86" s="177">
        <v>0.5</v>
      </c>
      <c r="J86" s="296">
        <f>IFERROR(IF(I86="std",H86,HLOOKUP(A86,'FlightConfig '!$B$34:$G$35,2,0)*I86),"")</f>
        <v>15</v>
      </c>
      <c r="K86" s="249">
        <f>VLOOKUP(Food!E86,'FG MASTER'!$A$1:$AC$536,16,0)</f>
        <v>0.98</v>
      </c>
      <c r="L86" s="250">
        <f>VLOOKUP(Food!E86,'FG MASTER'!$A$10:$AC$536,17,0)</f>
        <v>2</v>
      </c>
      <c r="M86" s="136">
        <f t="shared" si="31"/>
        <v>0.8</v>
      </c>
      <c r="N86" s="136">
        <f t="shared" si="32"/>
        <v>1.78</v>
      </c>
      <c r="O86" s="136">
        <f t="shared" si="33"/>
        <v>0.12739999999999996</v>
      </c>
      <c r="P86" s="136">
        <f t="shared" si="34"/>
        <v>0.10399999999999987</v>
      </c>
      <c r="Q86" s="136">
        <f t="shared" si="46"/>
        <v>2.0114000000000001</v>
      </c>
      <c r="R86" s="131"/>
      <c r="S86" s="131"/>
      <c r="T86" t="str">
        <f>IFERROR(#REF!*J86,"")</f>
        <v/>
      </c>
      <c r="U86">
        <f t="shared" si="36"/>
        <v>14.7</v>
      </c>
      <c r="V86">
        <f t="shared" si="37"/>
        <v>30</v>
      </c>
      <c r="W86" s="131">
        <f t="shared" si="38"/>
        <v>12</v>
      </c>
      <c r="X86" s="131">
        <f t="shared" si="39"/>
        <v>26.7</v>
      </c>
      <c r="Y86" s="131">
        <f t="shared" si="40"/>
        <v>1.9109999999999994</v>
      </c>
      <c r="Z86" s="131">
        <f t="shared" si="41"/>
        <v>1.5599999999999981</v>
      </c>
      <c r="AA86" s="131">
        <f t="shared" si="42"/>
        <v>30.170999999999999</v>
      </c>
      <c r="AC86" s="131" t="str">
        <f>IFERROR(T86*'FlightConfig '!$K$3,"")</f>
        <v/>
      </c>
      <c r="AD86" s="131">
        <f>IFERROR(U86*'FlightConfig '!$K$23,"")</f>
        <v>5350.8</v>
      </c>
      <c r="AE86" s="131">
        <f>IFERROR(V86*'FlightConfig '!$K$23,"")</f>
        <v>10920</v>
      </c>
      <c r="AF86" s="131">
        <f>IFERROR(W86*'FlightConfig '!$K$23,"")</f>
        <v>4368</v>
      </c>
      <c r="AG86" s="131">
        <f>IFERROR(X86*'FlightConfig '!$K$23,"")</f>
        <v>9718.7999999999993</v>
      </c>
      <c r="AH86" s="131">
        <f>IFERROR(Y86*'FlightConfig '!$K$23,"")</f>
        <v>695.60399999999981</v>
      </c>
    </row>
    <row r="87" spans="1:34" ht="43.15" hidden="1">
      <c r="A87" t="s">
        <v>155</v>
      </c>
      <c r="B87" s="175">
        <v>1</v>
      </c>
      <c r="C87" s="180" t="str">
        <f t="shared" si="44"/>
        <v>BUSINESS CLASS1110</v>
      </c>
      <c r="D87" s="176"/>
      <c r="E87" s="310">
        <v>1013</v>
      </c>
      <c r="F87" s="315">
        <v>110</v>
      </c>
      <c r="G87" s="123" t="str">
        <f>VLOOKUP(E87,'FG MASTER'!$A$10:$AB$218,2,0)</f>
        <v>BC C1 DINNER DESSERT COLD ROTATION 2 FLOURLESS CHOCOLOOATE MOUSSE CAKE STRAWBERRY COULIS, WHITE CHOCOLATE PEARLS</v>
      </c>
      <c r="H87" s="290">
        <v>1</v>
      </c>
      <c r="I87" s="177">
        <v>0</v>
      </c>
      <c r="J87" s="296">
        <f>IFERROR(IF(I87="std",H87,HLOOKUP(A87,'FlightConfig '!$B$34:$G$35,2,0)*I87),"")</f>
        <v>0</v>
      </c>
      <c r="K87" s="249">
        <f>VLOOKUP(Food!E87,'FG MASTER'!$A$1:$AC$536,16,0)</f>
        <v>1.1599999999999999</v>
      </c>
      <c r="L87" s="250">
        <f>VLOOKUP(Food!E87,'FG MASTER'!$A$10:$AC$536,17,0)</f>
        <v>1.5</v>
      </c>
      <c r="M87" s="136">
        <f t="shared" si="31"/>
        <v>0.60000000000000009</v>
      </c>
      <c r="N87" s="136">
        <f t="shared" si="32"/>
        <v>1.76</v>
      </c>
      <c r="O87" s="136">
        <f t="shared" si="33"/>
        <v>0.15079999999999982</v>
      </c>
      <c r="P87" s="136">
        <f t="shared" si="34"/>
        <v>7.7999999999999958E-2</v>
      </c>
      <c r="Q87" s="136">
        <f t="shared" si="46"/>
        <v>1.9887999999999999</v>
      </c>
      <c r="R87" s="131"/>
      <c r="S87" s="131"/>
      <c r="T87" t="str">
        <f>IFERROR(#REF!*J87,"")</f>
        <v/>
      </c>
      <c r="U87">
        <f t="shared" si="36"/>
        <v>0</v>
      </c>
      <c r="V87">
        <f t="shared" si="37"/>
        <v>0</v>
      </c>
      <c r="W87" s="131">
        <f t="shared" si="38"/>
        <v>0</v>
      </c>
      <c r="X87" s="131">
        <f t="shared" si="39"/>
        <v>0</v>
      </c>
      <c r="Y87" s="131">
        <f t="shared" si="40"/>
        <v>0</v>
      </c>
      <c r="Z87" s="131">
        <f t="shared" si="41"/>
        <v>0</v>
      </c>
      <c r="AA87" s="131">
        <f t="shared" si="42"/>
        <v>0</v>
      </c>
      <c r="AC87" s="131" t="str">
        <f>IFERROR(T87*'FlightConfig '!$K$3,"")</f>
        <v/>
      </c>
      <c r="AD87" s="131">
        <f>IFERROR(U87*'FlightConfig '!$K$23,"")</f>
        <v>0</v>
      </c>
      <c r="AE87" s="131">
        <f>IFERROR(V87*'FlightConfig '!$K$23,"")</f>
        <v>0</v>
      </c>
      <c r="AF87" s="131">
        <f>IFERROR(W87*'FlightConfig '!$K$23,"")</f>
        <v>0</v>
      </c>
      <c r="AG87" s="131">
        <f>IFERROR(X87*'FlightConfig '!$K$23,"")</f>
        <v>0</v>
      </c>
      <c r="AH87" s="131">
        <f>IFERROR(Y87*'FlightConfig '!$K$23,"")</f>
        <v>0</v>
      </c>
    </row>
    <row r="88" spans="1:34" ht="28.9" hidden="1">
      <c r="A88" t="s">
        <v>155</v>
      </c>
      <c r="B88" s="175">
        <v>1</v>
      </c>
      <c r="C88" s="180" t="str">
        <f t="shared" si="44"/>
        <v>BUSINESS CLASS1110</v>
      </c>
      <c r="D88" s="176"/>
      <c r="E88" s="308">
        <v>1014</v>
      </c>
      <c r="F88" s="315">
        <v>110</v>
      </c>
      <c r="G88" s="123" t="str">
        <f>VLOOKUP(E88,'FG MASTER'!$A$10:$AB$218,2,0)</f>
        <v xml:space="preserve">BC C1 DINNER DESSERT HOT ROTATION 1 GEORGIA PEACH COBBLER, WARM PECAN PRALINE SAUCE </v>
      </c>
      <c r="H88" s="290">
        <v>1</v>
      </c>
      <c r="I88" s="177">
        <v>0</v>
      </c>
      <c r="J88" s="296">
        <f>IFERROR(IF(I88="std",H88,HLOOKUP(A88,'FlightConfig '!$B$34:$G$35,2,0)*I88),"")</f>
        <v>0</v>
      </c>
      <c r="K88" s="249">
        <f>VLOOKUP(Food!E88,'FG MASTER'!$A$1:$AC$536,16,0)</f>
        <v>0.88</v>
      </c>
      <c r="L88" s="250">
        <f>VLOOKUP(Food!E88,'FG MASTER'!$A$10:$AC$536,17,0)</f>
        <v>1.5</v>
      </c>
      <c r="M88" s="136">
        <f t="shared" si="31"/>
        <v>0.60000000000000009</v>
      </c>
      <c r="N88" s="136">
        <f t="shared" si="32"/>
        <v>1.48</v>
      </c>
      <c r="O88" s="136">
        <f t="shared" si="33"/>
        <v>0.11439999999999995</v>
      </c>
      <c r="P88" s="136">
        <f t="shared" si="34"/>
        <v>7.7999999999999958E-2</v>
      </c>
      <c r="Q88" s="136">
        <f>SUM(N88:P88)</f>
        <v>1.6723999999999997</v>
      </c>
      <c r="R88" s="131"/>
      <c r="T88" t="str">
        <f>IFERROR(#REF!*J88,"")</f>
        <v/>
      </c>
      <c r="U88">
        <f t="shared" si="36"/>
        <v>0</v>
      </c>
      <c r="V88">
        <f t="shared" si="37"/>
        <v>0</v>
      </c>
      <c r="W88" s="131">
        <f t="shared" si="38"/>
        <v>0</v>
      </c>
      <c r="X88" s="131">
        <f t="shared" si="39"/>
        <v>0</v>
      </c>
      <c r="Y88" s="131">
        <f t="shared" si="40"/>
        <v>0</v>
      </c>
      <c r="Z88" s="131">
        <f t="shared" si="41"/>
        <v>0</v>
      </c>
      <c r="AA88" s="131">
        <f t="shared" si="42"/>
        <v>0</v>
      </c>
      <c r="AC88" s="131" t="str">
        <f>IFERROR(T88*'FlightConfig '!$K$3,"")</f>
        <v/>
      </c>
      <c r="AD88" s="131">
        <f>IFERROR(U88*'FlightConfig '!$K$23,"")</f>
        <v>0</v>
      </c>
      <c r="AE88" s="131">
        <f>IFERROR(V88*'FlightConfig '!$K$23,"")</f>
        <v>0</v>
      </c>
      <c r="AF88" s="131">
        <f>IFERROR(W88*'FlightConfig '!$K$23,"")</f>
        <v>0</v>
      </c>
      <c r="AG88" s="131">
        <f>IFERROR(X88*'FlightConfig '!$K$23,"")</f>
        <v>0</v>
      </c>
      <c r="AH88" s="131">
        <f>IFERROR(Y88*'FlightConfig '!$K$23,"")</f>
        <v>0</v>
      </c>
    </row>
    <row r="89" spans="1:34" ht="43.15" hidden="1">
      <c r="A89" t="s">
        <v>155</v>
      </c>
      <c r="B89" s="175">
        <v>1</v>
      </c>
      <c r="C89" s="180" t="str">
        <f t="shared" si="44"/>
        <v>BUSINESS CLASS1110</v>
      </c>
      <c r="D89" s="176"/>
      <c r="E89" s="308">
        <v>1015</v>
      </c>
      <c r="F89" s="315">
        <v>110</v>
      </c>
      <c r="G89" s="123" t="str">
        <f>VLOOKUP(E89,'FG MASTER'!$A$10:$AB$218,2,0)</f>
        <v xml:space="preserve">BC C1 DINNER DESSERT HOT ROTATION 2 STICKY TOFFEE PUDDING, CHANTILLY CREAM, CROQUANT, TOFEE SAUCE </v>
      </c>
      <c r="H89" s="290">
        <v>1</v>
      </c>
      <c r="I89" s="177">
        <v>0.5</v>
      </c>
      <c r="J89" s="296">
        <f>IFERROR(IF(I89="std",H89,HLOOKUP(A89,'FlightConfig '!$B$34:$G$35,2,0)*I89),"")</f>
        <v>15</v>
      </c>
      <c r="K89" s="249">
        <f>VLOOKUP(Food!E89,'FG MASTER'!$A$1:$AC$536,16,0)</f>
        <v>2.56</v>
      </c>
      <c r="L89" s="250">
        <f>VLOOKUP(Food!E89,'FG MASTER'!$A$10:$AC$536,17,0)</f>
        <v>1.25</v>
      </c>
      <c r="M89" s="136">
        <f t="shared" si="31"/>
        <v>0.5</v>
      </c>
      <c r="N89" s="136">
        <f t="shared" si="32"/>
        <v>3.06</v>
      </c>
      <c r="O89" s="136">
        <f t="shared" si="33"/>
        <v>0.33279999999999976</v>
      </c>
      <c r="P89" s="136">
        <f t="shared" si="34"/>
        <v>6.4999999999999947E-2</v>
      </c>
      <c r="Q89" s="136">
        <f t="shared" ref="Q89:Q93" si="47">SUM(N89:P89)</f>
        <v>3.4577999999999998</v>
      </c>
      <c r="R89" s="131"/>
      <c r="S89" s="131"/>
      <c r="T89" t="str">
        <f>IFERROR(#REF!*J89,"")</f>
        <v/>
      </c>
      <c r="U89">
        <f t="shared" si="36"/>
        <v>38.4</v>
      </c>
      <c r="V89">
        <f t="shared" si="37"/>
        <v>18.75</v>
      </c>
      <c r="W89" s="131">
        <f t="shared" si="38"/>
        <v>7.5</v>
      </c>
      <c r="X89" s="131">
        <f t="shared" si="39"/>
        <v>45.9</v>
      </c>
      <c r="Y89" s="131">
        <f t="shared" si="40"/>
        <v>4.9919999999999964</v>
      </c>
      <c r="Z89" s="131">
        <f t="shared" si="41"/>
        <v>0.9749999999999992</v>
      </c>
      <c r="AA89" s="131">
        <f t="shared" si="42"/>
        <v>51.866999999999997</v>
      </c>
      <c r="AC89" s="131" t="str">
        <f>IFERROR(T89*'FlightConfig '!$K$3,"")</f>
        <v/>
      </c>
      <c r="AD89" s="131">
        <f>IFERROR(U89*'FlightConfig '!$K$23,"")</f>
        <v>13977.6</v>
      </c>
      <c r="AE89" s="131">
        <f>IFERROR(V89*'FlightConfig '!$K$23,"")</f>
        <v>6825</v>
      </c>
      <c r="AF89" s="131">
        <f>IFERROR(W89*'FlightConfig '!$K$23,"")</f>
        <v>2730</v>
      </c>
      <c r="AG89" s="131">
        <f>IFERROR(X89*'FlightConfig '!$K$23,"")</f>
        <v>16707.599999999999</v>
      </c>
      <c r="AH89" s="131">
        <f>IFERROR(Y89*'FlightConfig '!$K$23,"")</f>
        <v>1817.0879999999986</v>
      </c>
    </row>
    <row r="90" spans="1:34" ht="43.15" hidden="1">
      <c r="A90" t="s">
        <v>155</v>
      </c>
      <c r="B90" s="175">
        <v>1</v>
      </c>
      <c r="C90" s="180" t="str">
        <f t="shared" si="44"/>
        <v>BUSINESS CLASS1110</v>
      </c>
      <c r="D90" s="176"/>
      <c r="E90" s="308">
        <v>1016</v>
      </c>
      <c r="F90" s="315">
        <v>110</v>
      </c>
      <c r="G90" s="123" t="str">
        <f>VLOOKUP(E90,'FG MASTER'!$A$10:$AB$218,2,0)</f>
        <v>BC C1 DINNER CHEESE PLATE DAIRY GRIFFIN, ASHER BLUE, GREEN HILL BRIE, ANGRY CUKES, MUSCADINE JELLY</v>
      </c>
      <c r="H90" s="290">
        <v>1</v>
      </c>
      <c r="I90" s="177">
        <v>0.6</v>
      </c>
      <c r="J90" s="296">
        <f>IFERROR(IF(I90="std",H90,HLOOKUP(A90,'FlightConfig '!$B$34:$G$35,2,0)*I90),"")</f>
        <v>18</v>
      </c>
      <c r="K90" s="249">
        <v>0</v>
      </c>
      <c r="L90" s="250">
        <v>0</v>
      </c>
      <c r="M90" s="136">
        <f t="shared" si="31"/>
        <v>0</v>
      </c>
      <c r="N90" s="136">
        <f t="shared" si="32"/>
        <v>0</v>
      </c>
      <c r="O90" s="136">
        <f t="shared" si="33"/>
        <v>0</v>
      </c>
      <c r="P90" s="136">
        <f t="shared" si="34"/>
        <v>0</v>
      </c>
      <c r="Q90" s="136">
        <f t="shared" si="47"/>
        <v>0</v>
      </c>
      <c r="R90" s="131"/>
      <c r="S90" s="131"/>
      <c r="T90" t="str">
        <f>IFERROR(#REF!*J90,"")</f>
        <v/>
      </c>
      <c r="U90">
        <f t="shared" si="36"/>
        <v>0</v>
      </c>
      <c r="V90">
        <f t="shared" si="37"/>
        <v>0</v>
      </c>
      <c r="W90" s="131">
        <f t="shared" si="38"/>
        <v>0</v>
      </c>
      <c r="X90" s="131">
        <f t="shared" si="39"/>
        <v>0</v>
      </c>
      <c r="Y90" s="131">
        <f t="shared" si="40"/>
        <v>0</v>
      </c>
      <c r="Z90" s="131">
        <f t="shared" si="41"/>
        <v>0</v>
      </c>
      <c r="AA90" s="131">
        <f t="shared" si="42"/>
        <v>0</v>
      </c>
      <c r="AC90" s="131" t="str">
        <f>IFERROR(T90*'FlightConfig '!$K$3,"")</f>
        <v/>
      </c>
      <c r="AD90" s="131">
        <f>IFERROR(U90*'FlightConfig '!$K$23,"")</f>
        <v>0</v>
      </c>
      <c r="AE90" s="131">
        <f>IFERROR(V90*'FlightConfig '!$K$23,"")</f>
        <v>0</v>
      </c>
      <c r="AF90" s="131">
        <f>IFERROR(W90*'FlightConfig '!$K$23,"")</f>
        <v>0</v>
      </c>
      <c r="AG90" s="131">
        <f>IFERROR(X90*'FlightConfig '!$K$23,"")</f>
        <v>0</v>
      </c>
      <c r="AH90" s="131">
        <f>IFERROR(Y90*'FlightConfig '!$K$23,"")</f>
        <v>0</v>
      </c>
    </row>
    <row r="91" spans="1:34" ht="43.15" hidden="1">
      <c r="A91" t="s">
        <v>155</v>
      </c>
      <c r="B91" s="175">
        <v>1</v>
      </c>
      <c r="C91" s="180" t="str">
        <f t="shared" si="44"/>
        <v>BUSINESS CLASS1110</v>
      </c>
      <c r="D91" s="176"/>
      <c r="E91" s="308">
        <v>1017</v>
      </c>
      <c r="F91" s="315">
        <v>110</v>
      </c>
      <c r="G91" s="123" t="str">
        <f>VLOOKUP(E91,'FG MASTER'!$A$10:$AB$218,2,0)</f>
        <v>BC C1 BREAKFAST ENTRÉE 1 SAVORY PECAN BELGIAN WAFFLE, FRIED CHICKEN, MAPLE SAUSAGE GRAVY, SCRAMBLE EGG</v>
      </c>
      <c r="H91" s="290">
        <v>1</v>
      </c>
      <c r="I91" s="177">
        <v>0.5</v>
      </c>
      <c r="J91" s="296">
        <f>IFERROR(IF(I91="std",H91,HLOOKUP(A91,'FlightConfig '!$B$34:$G$35,2,0)*I91),"")</f>
        <v>15</v>
      </c>
      <c r="K91" s="249">
        <f>VLOOKUP(Food!E91,'FG MASTER'!$A$1:$AC$536,16,0)</f>
        <v>4.71</v>
      </c>
      <c r="L91" s="250">
        <f>VLOOKUP(Food!E91,'FG MASTER'!$A$10:$AC$536,17,0)</f>
        <v>4.25</v>
      </c>
      <c r="M91" s="136">
        <f t="shared" si="31"/>
        <v>1.7000000000000002</v>
      </c>
      <c r="N91" s="136">
        <f t="shared" si="32"/>
        <v>6.41</v>
      </c>
      <c r="O91" s="136">
        <f t="shared" si="33"/>
        <v>0.6122999999999994</v>
      </c>
      <c r="P91" s="136">
        <f t="shared" si="34"/>
        <v>0.22099999999999986</v>
      </c>
      <c r="Q91" s="136">
        <f t="shared" si="47"/>
        <v>7.2432999999999996</v>
      </c>
      <c r="R91" s="131"/>
      <c r="S91" s="131"/>
      <c r="T91" t="str">
        <f>IFERROR(#REF!*J91,"")</f>
        <v/>
      </c>
      <c r="U91">
        <f t="shared" si="36"/>
        <v>70.650000000000006</v>
      </c>
      <c r="V91">
        <f t="shared" si="37"/>
        <v>63.75</v>
      </c>
      <c r="W91" s="131">
        <f t="shared" si="38"/>
        <v>25.500000000000004</v>
      </c>
      <c r="X91" s="131">
        <f t="shared" si="39"/>
        <v>96.15</v>
      </c>
      <c r="Y91" s="131">
        <f t="shared" si="40"/>
        <v>9.184499999999991</v>
      </c>
      <c r="Z91" s="131">
        <f t="shared" si="41"/>
        <v>3.3149999999999977</v>
      </c>
      <c r="AA91" s="131">
        <f t="shared" si="42"/>
        <v>108.64949999999999</v>
      </c>
      <c r="AC91" s="131" t="str">
        <f>IFERROR(T91*'FlightConfig '!$K$3,"")</f>
        <v/>
      </c>
      <c r="AD91" s="131">
        <f>IFERROR(U91*'FlightConfig '!$K$23,"")</f>
        <v>25716.600000000002</v>
      </c>
      <c r="AE91" s="131">
        <f>IFERROR(V91*'FlightConfig '!$K$23,"")</f>
        <v>23205</v>
      </c>
      <c r="AF91" s="131">
        <f>IFERROR(W91*'FlightConfig '!$K$23,"")</f>
        <v>9282.0000000000018</v>
      </c>
      <c r="AG91" s="131">
        <f>IFERROR(X91*'FlightConfig '!$K$23,"")</f>
        <v>34998.6</v>
      </c>
      <c r="AH91" s="131">
        <f>IFERROR(Y91*'FlightConfig '!$K$23,"")</f>
        <v>3343.1579999999967</v>
      </c>
    </row>
    <row r="92" spans="1:34" ht="43.15" hidden="1">
      <c r="A92" t="s">
        <v>155</v>
      </c>
      <c r="B92" s="175">
        <v>1</v>
      </c>
      <c r="C92" s="180" t="str">
        <f t="shared" si="44"/>
        <v>BUSINESS CLASS1110</v>
      </c>
      <c r="D92" s="176"/>
      <c r="E92" s="308">
        <v>1018</v>
      </c>
      <c r="F92" s="315">
        <v>110</v>
      </c>
      <c r="G92" s="123" t="str">
        <f>VLOOKUP(E92,'FG MASTER'!$A$10:$AB$218,2,0)</f>
        <v>BC C1 BREAKFAST ENTRÉE 2 SAVORY FRITTATA, MARINATED TOMATO, HASHBROWN, GREEN ONION MORNAY</v>
      </c>
      <c r="H92" s="290">
        <v>1</v>
      </c>
      <c r="I92" s="177">
        <v>0.2</v>
      </c>
      <c r="J92" s="296">
        <f>IFERROR(IF(I92="std",H92,HLOOKUP(A92,'FlightConfig '!$B$34:$G$35,2,0)*I92),"")</f>
        <v>6</v>
      </c>
      <c r="K92" s="249">
        <f>VLOOKUP(Food!E92,'FG MASTER'!$A$1:$AC$536,16,0)</f>
        <v>2.29</v>
      </c>
      <c r="L92" s="250">
        <f>VLOOKUP(Food!E92,'FG MASTER'!$A$10:$AC$536,17,0)</f>
        <v>4.5</v>
      </c>
      <c r="M92" s="136">
        <f t="shared" si="31"/>
        <v>1.8</v>
      </c>
      <c r="N92" s="136">
        <f t="shared" si="32"/>
        <v>4.09</v>
      </c>
      <c r="O92" s="136">
        <f t="shared" si="33"/>
        <v>0.29769999999999985</v>
      </c>
      <c r="P92" s="136">
        <f t="shared" si="34"/>
        <v>0.23399999999999976</v>
      </c>
      <c r="Q92" s="136">
        <f t="shared" si="47"/>
        <v>4.6216999999999997</v>
      </c>
      <c r="R92" s="131"/>
      <c r="S92" s="131"/>
      <c r="T92" t="str">
        <f>IFERROR(#REF!*J92,"")</f>
        <v/>
      </c>
      <c r="U92">
        <f t="shared" si="36"/>
        <v>13.74</v>
      </c>
      <c r="V92">
        <f t="shared" si="37"/>
        <v>27</v>
      </c>
      <c r="W92" s="131">
        <f t="shared" si="38"/>
        <v>10.8</v>
      </c>
      <c r="X92" s="131">
        <f t="shared" si="39"/>
        <v>24.54</v>
      </c>
      <c r="Y92" s="131">
        <f t="shared" si="40"/>
        <v>1.7861999999999991</v>
      </c>
      <c r="Z92" s="131">
        <f t="shared" si="41"/>
        <v>1.4039999999999986</v>
      </c>
      <c r="AA92" s="131">
        <f t="shared" si="42"/>
        <v>27.730199999999996</v>
      </c>
      <c r="AC92" s="131" t="str">
        <f>IFERROR(T92*'FlightConfig '!$K$3,"")</f>
        <v/>
      </c>
      <c r="AD92" s="131">
        <f>IFERROR(U92*'FlightConfig '!$K$23,"")</f>
        <v>5001.3599999999997</v>
      </c>
      <c r="AE92" s="131">
        <f>IFERROR(V92*'FlightConfig '!$K$23,"")</f>
        <v>9828</v>
      </c>
      <c r="AF92" s="131">
        <f>IFERROR(W92*'FlightConfig '!$K$23,"")</f>
        <v>3931.2000000000003</v>
      </c>
      <c r="AG92" s="131">
        <f>IFERROR(X92*'FlightConfig '!$K$23,"")</f>
        <v>8932.56</v>
      </c>
      <c r="AH92" s="131">
        <f>IFERROR(Y92*'FlightConfig '!$K$23,"")</f>
        <v>650.17679999999973</v>
      </c>
    </row>
    <row r="93" spans="1:34" ht="43.15" hidden="1">
      <c r="A93" t="s">
        <v>155</v>
      </c>
      <c r="B93" s="175">
        <v>1</v>
      </c>
      <c r="C93" s="180" t="str">
        <f t="shared" si="44"/>
        <v>BUSINESS CLASS1110</v>
      </c>
      <c r="D93" s="176"/>
      <c r="E93" s="308">
        <v>1019</v>
      </c>
      <c r="F93" s="315">
        <v>110</v>
      </c>
      <c r="G93" s="123" t="str">
        <f>VLOOKUP(E93,'FG MASTER'!$A$10:$AB$218,2,0)</f>
        <v>BC C1 BREAKFAST ENTRÉE 3 SWEET GREEK YOGURT PARFAIT, MANGO PINEAPPLE CHUTNEY, BLUSBERRY, COCONUT AND OAT GRANOLA</v>
      </c>
      <c r="H93" s="290">
        <v>1</v>
      </c>
      <c r="I93" s="177">
        <v>0.3</v>
      </c>
      <c r="J93" s="296">
        <f>IFERROR(IF(I93="std",H93,HLOOKUP(A93,'FlightConfig '!$B$34:$G$35,2,0)*I93),"")</f>
        <v>9</v>
      </c>
      <c r="K93" s="249">
        <f>VLOOKUP(Food!E93,'FG MASTER'!$A$1:$AC$536,16,0)</f>
        <v>2.15</v>
      </c>
      <c r="L93" s="250">
        <f>VLOOKUP(Food!E93,'FG MASTER'!$A$10:$AC$536,17,0)</f>
        <v>3.25</v>
      </c>
      <c r="M93" s="136">
        <f t="shared" si="31"/>
        <v>1.3</v>
      </c>
      <c r="N93" s="136">
        <f t="shared" si="32"/>
        <v>3.45</v>
      </c>
      <c r="O93" s="136">
        <f t="shared" si="33"/>
        <v>0.27949999999999964</v>
      </c>
      <c r="P93" s="136">
        <f t="shared" si="34"/>
        <v>0.16899999999999982</v>
      </c>
      <c r="Q93" s="136">
        <f t="shared" si="47"/>
        <v>3.8984999999999994</v>
      </c>
      <c r="R93" s="131"/>
      <c r="S93" s="131"/>
      <c r="T93" t="str">
        <f>IFERROR(#REF!*J93,"")</f>
        <v/>
      </c>
      <c r="U93">
        <f t="shared" si="36"/>
        <v>19.349999999999998</v>
      </c>
      <c r="V93">
        <f t="shared" si="37"/>
        <v>29.25</v>
      </c>
      <c r="W93" s="131">
        <f t="shared" si="38"/>
        <v>11.700000000000001</v>
      </c>
      <c r="X93" s="131">
        <f t="shared" si="39"/>
        <v>31.05</v>
      </c>
      <c r="Y93" s="131">
        <f t="shared" si="40"/>
        <v>2.5154999999999967</v>
      </c>
      <c r="Z93" s="131">
        <f t="shared" si="41"/>
        <v>1.5209999999999984</v>
      </c>
      <c r="AA93" s="131">
        <f t="shared" si="42"/>
        <v>35.086499999999994</v>
      </c>
      <c r="AC93" s="131" t="str">
        <f>IFERROR(T93*'FlightConfig '!$K$3,"")</f>
        <v/>
      </c>
      <c r="AD93" s="131">
        <f>IFERROR(U93*'FlightConfig '!$K$23,"")</f>
        <v>7043.4</v>
      </c>
      <c r="AE93" s="131">
        <f>IFERROR(V93*'FlightConfig '!$K$23,"")</f>
        <v>10647</v>
      </c>
      <c r="AF93" s="131">
        <f>IFERROR(W93*'FlightConfig '!$K$23,"")</f>
        <v>4258.8</v>
      </c>
      <c r="AG93" s="131">
        <f>IFERROR(X93*'FlightConfig '!$K$23,"")</f>
        <v>11302.2</v>
      </c>
      <c r="AH93" s="131">
        <f>IFERROR(Y93*'FlightConfig '!$K$23,"")</f>
        <v>915.6419999999988</v>
      </c>
    </row>
    <row r="94" spans="1:34" ht="28.9" hidden="1">
      <c r="A94" t="s">
        <v>155</v>
      </c>
      <c r="B94" s="175">
        <v>1</v>
      </c>
      <c r="C94" s="180" t="str">
        <f t="shared" si="44"/>
        <v>BUSINESS CLASS1110</v>
      </c>
      <c r="D94" s="176"/>
      <c r="E94" s="308">
        <v>1020</v>
      </c>
      <c r="F94" s="315">
        <v>110</v>
      </c>
      <c r="G94" s="123" t="str">
        <f>VLOOKUP(E94,'FG MASTER'!$A$10:$AB$218,2,0)</f>
        <v>BC C1 BREAKFAST SIDE 1 FRUIT SEASONAL 4 TYPES 130G</v>
      </c>
      <c r="H94" s="290">
        <v>1</v>
      </c>
      <c r="I94" s="177">
        <v>0.5</v>
      </c>
      <c r="J94" s="296">
        <f>IFERROR(IF(I94="std",H94,HLOOKUP(A94,'FlightConfig '!$B$34:$G$35,2,0)*I94),"")</f>
        <v>15</v>
      </c>
      <c r="K94" s="249">
        <f>VLOOKUP(Food!E94,'FG MASTER'!$A$1:$AC$536,16,0)</f>
        <v>2</v>
      </c>
      <c r="L94" s="250">
        <f>VLOOKUP(Food!E94,'FG MASTER'!$A$10:$AC$536,17,0)</f>
        <v>1.5</v>
      </c>
      <c r="M94" s="136">
        <f t="shared" si="31"/>
        <v>0.60000000000000009</v>
      </c>
      <c r="N94" s="136">
        <f t="shared" si="32"/>
        <v>2.6</v>
      </c>
      <c r="O94" s="136">
        <f t="shared" si="33"/>
        <v>0.25999999999999979</v>
      </c>
      <c r="P94" s="136">
        <f t="shared" si="34"/>
        <v>7.7999999999999958E-2</v>
      </c>
      <c r="Q94" s="136">
        <f>SUM(N94:P94)</f>
        <v>2.9379999999999997</v>
      </c>
      <c r="R94" s="131"/>
      <c r="S94" s="131"/>
      <c r="T94" t="str">
        <f>IFERROR(#REF!*J94,"")</f>
        <v/>
      </c>
      <c r="U94">
        <f t="shared" si="36"/>
        <v>30</v>
      </c>
      <c r="V94">
        <f t="shared" si="37"/>
        <v>22.5</v>
      </c>
      <c r="W94" s="131">
        <f t="shared" si="38"/>
        <v>9.0000000000000018</v>
      </c>
      <c r="X94" s="131">
        <f t="shared" si="39"/>
        <v>39</v>
      </c>
      <c r="Y94" s="131">
        <f t="shared" si="40"/>
        <v>3.8999999999999968</v>
      </c>
      <c r="Z94" s="131">
        <f t="shared" si="41"/>
        <v>1.1699999999999995</v>
      </c>
      <c r="AA94" s="131">
        <f t="shared" si="42"/>
        <v>44.069999999999993</v>
      </c>
      <c r="AC94" s="131" t="str">
        <f>IFERROR(T94*'FlightConfig '!$K$3,"")</f>
        <v/>
      </c>
      <c r="AD94" s="131">
        <f>IFERROR(U94*'FlightConfig '!$K$23,"")</f>
        <v>10920</v>
      </c>
      <c r="AE94" s="131">
        <f>IFERROR(V94*'FlightConfig '!$K$23,"")</f>
        <v>8190</v>
      </c>
      <c r="AF94" s="131">
        <f>IFERROR(W94*'FlightConfig '!$K$23,"")</f>
        <v>3276.0000000000005</v>
      </c>
      <c r="AG94" s="131">
        <f>IFERROR(X94*'FlightConfig '!$K$23,"")</f>
        <v>14196</v>
      </c>
      <c r="AH94" s="131">
        <f>IFERROR(Y94*'FlightConfig '!$K$23,"")</f>
        <v>1419.5999999999988</v>
      </c>
    </row>
    <row r="95" spans="1:34" hidden="1">
      <c r="A95" t="s">
        <v>155</v>
      </c>
      <c r="B95" s="175">
        <v>1</v>
      </c>
      <c r="C95" s="180" t="str">
        <f>CONCATENATE(A95&amp;B95&amp;F95)</f>
        <v>BUSINESS CLASS1110</v>
      </c>
      <c r="D95" s="176"/>
      <c r="E95" s="308">
        <v>1021</v>
      </c>
      <c r="F95" s="315">
        <v>110</v>
      </c>
      <c r="G95" s="123" t="str">
        <f>VLOOKUP(E95,'FG MASTER'!$A$10:$AB$218,2,0)</f>
        <v>BC C1 BREAKFAST SIDE 2 PEACH AND PECAN SCONE</v>
      </c>
      <c r="H95" s="290">
        <v>1</v>
      </c>
      <c r="I95" s="177">
        <v>0.5</v>
      </c>
      <c r="J95" s="296">
        <f>IFERROR(IF(I95="std",H95,HLOOKUP(A95,'FlightConfig '!$B$34:$G$35,2,0)*I95),"")</f>
        <v>15</v>
      </c>
      <c r="K95" s="249">
        <f>VLOOKUP(Food!E95,'FG MASTER'!$A$1:$AC$536,16,0)</f>
        <v>1.18</v>
      </c>
      <c r="L95" s="250">
        <f>VLOOKUP(Food!E95,'FG MASTER'!$A$10:$AC$536,17,0)</f>
        <v>2</v>
      </c>
      <c r="M95" s="136">
        <f t="shared" si="31"/>
        <v>0.8</v>
      </c>
      <c r="N95" s="136">
        <f t="shared" si="32"/>
        <v>1.98</v>
      </c>
      <c r="O95" s="136">
        <f t="shared" si="33"/>
        <v>0.15339999999999976</v>
      </c>
      <c r="P95" s="136">
        <f t="shared" si="34"/>
        <v>0.10399999999999987</v>
      </c>
      <c r="Q95" s="136">
        <f>SUM(N95:P95)</f>
        <v>2.2374000000000001</v>
      </c>
      <c r="R95" s="131"/>
      <c r="S95" s="131"/>
      <c r="T95" t="str">
        <f>IFERROR(#REF!*J95,"")</f>
        <v/>
      </c>
      <c r="U95">
        <f t="shared" si="36"/>
        <v>17.7</v>
      </c>
      <c r="V95">
        <f t="shared" si="37"/>
        <v>30</v>
      </c>
      <c r="W95" s="131">
        <f t="shared" si="38"/>
        <v>12</v>
      </c>
      <c r="X95" s="131">
        <f t="shared" si="39"/>
        <v>29.7</v>
      </c>
      <c r="Y95" s="131">
        <f t="shared" si="40"/>
        <v>2.3009999999999966</v>
      </c>
      <c r="Z95" s="131">
        <f t="shared" si="41"/>
        <v>1.5599999999999981</v>
      </c>
      <c r="AA95" s="131">
        <f t="shared" si="42"/>
        <v>33.561</v>
      </c>
      <c r="AC95" s="131" t="str">
        <f>IFERROR(T95*'FlightConfig '!$K$3,"")</f>
        <v/>
      </c>
      <c r="AD95" s="131">
        <f>IFERROR(U95*'FlightConfig '!$K$23,"")</f>
        <v>6442.8</v>
      </c>
      <c r="AE95" s="131">
        <f>IFERROR(V95*'FlightConfig '!$K$23,"")</f>
        <v>10920</v>
      </c>
      <c r="AF95" s="131">
        <f>IFERROR(W95*'FlightConfig '!$K$23,"")</f>
        <v>4368</v>
      </c>
      <c r="AG95" s="131">
        <f>IFERROR(X95*'FlightConfig '!$K$23,"")</f>
        <v>10810.8</v>
      </c>
      <c r="AH95" s="131">
        <f>IFERROR(Y95*'FlightConfig '!$K$23,"")</f>
        <v>837.56399999999871</v>
      </c>
    </row>
    <row r="96" spans="1:34" hidden="1">
      <c r="A96" t="s">
        <v>155</v>
      </c>
      <c r="B96" s="175">
        <v>1</v>
      </c>
      <c r="C96" s="180" t="str">
        <f t="shared" ref="C96:C97" si="48">CONCATENATE(A96&amp;B96&amp;F96)</f>
        <v>BUSINESS CLASS1110</v>
      </c>
      <c r="D96" s="176"/>
      <c r="E96" s="308">
        <v>1022</v>
      </c>
      <c r="F96" s="315">
        <v>110</v>
      </c>
      <c r="G96" s="123" t="str">
        <f>VLOOKUP(E96,'FG MASTER'!$A$10:$AB$218,2,0)</f>
        <v xml:space="preserve">BC C1 BREAKFAST SIDE 3 YOGURT </v>
      </c>
      <c r="H96" s="290">
        <v>1</v>
      </c>
      <c r="I96" s="177">
        <v>0</v>
      </c>
      <c r="J96" s="296">
        <f>IFERROR(IF(I96="std",H96,HLOOKUP(A96,'FlightConfig '!$B$34:$G$35,2,0)*I96),"")</f>
        <v>0</v>
      </c>
      <c r="K96" s="249">
        <f>VLOOKUP(Food!E96,'FG MASTER'!$A$1:$AC$536,16,0)</f>
        <v>0.44</v>
      </c>
      <c r="L96" s="250">
        <f>VLOOKUP(Food!E96,'FG MASTER'!$A$10:$AC$536,17,0)</f>
        <v>0.5</v>
      </c>
      <c r="M96" s="136">
        <f t="shared" si="31"/>
        <v>0.2</v>
      </c>
      <c r="N96" s="136">
        <f t="shared" si="32"/>
        <v>0.64</v>
      </c>
      <c r="O96" s="136">
        <f t="shared" si="33"/>
        <v>5.7199999999999973E-2</v>
      </c>
      <c r="P96" s="136">
        <f t="shared" si="34"/>
        <v>2.5999999999999968E-2</v>
      </c>
      <c r="Q96" s="136">
        <f t="shared" ref="Q96:Q97" si="49">SUM(N96:P96)</f>
        <v>0.72320000000000007</v>
      </c>
      <c r="R96" s="131"/>
      <c r="S96" s="131"/>
      <c r="T96" t="str">
        <f>IFERROR(#REF!*J96,"")</f>
        <v/>
      </c>
      <c r="U96">
        <f t="shared" si="36"/>
        <v>0</v>
      </c>
      <c r="V96">
        <f t="shared" si="37"/>
        <v>0</v>
      </c>
      <c r="W96" s="131">
        <f t="shared" si="38"/>
        <v>0</v>
      </c>
      <c r="X96" s="131">
        <f t="shared" si="39"/>
        <v>0</v>
      </c>
      <c r="Y96" s="131">
        <f t="shared" si="40"/>
        <v>0</v>
      </c>
      <c r="Z96" s="131">
        <f t="shared" si="41"/>
        <v>0</v>
      </c>
      <c r="AA96" s="131">
        <f t="shared" si="42"/>
        <v>0</v>
      </c>
      <c r="AC96" s="131" t="str">
        <f>IFERROR(T96*'FlightConfig '!$K$3,"")</f>
        <v/>
      </c>
      <c r="AD96" s="131">
        <f>IFERROR(U96*'FlightConfig '!$K$23,"")</f>
        <v>0</v>
      </c>
      <c r="AE96" s="131">
        <f>IFERROR(V96*'FlightConfig '!$K$23,"")</f>
        <v>0</v>
      </c>
      <c r="AF96" s="131">
        <f>IFERROR(W96*'FlightConfig '!$K$23,"")</f>
        <v>0</v>
      </c>
      <c r="AG96" s="131">
        <f>IFERROR(X96*'FlightConfig '!$K$23,"")</f>
        <v>0</v>
      </c>
      <c r="AH96" s="131">
        <f>IFERROR(Y96*'FlightConfig '!$K$23,"")</f>
        <v>0</v>
      </c>
    </row>
    <row r="97" spans="1:34" hidden="1">
      <c r="A97" t="s">
        <v>155</v>
      </c>
      <c r="B97" s="175">
        <v>1</v>
      </c>
      <c r="C97" s="180" t="str">
        <f t="shared" si="48"/>
        <v>BUSINESS CLASS1110</v>
      </c>
      <c r="D97" s="176"/>
      <c r="E97" s="308">
        <v>1023</v>
      </c>
      <c r="F97" s="315">
        <v>110</v>
      </c>
      <c r="G97" s="123" t="str">
        <f>VLOOKUP(E97,'FG MASTER'!$A$10:$AB$218,2,0)</f>
        <v xml:space="preserve">BC C1 BREAKFAST SIDE 4 HOMEMADE GRANOLA </v>
      </c>
      <c r="H97" s="290">
        <v>1</v>
      </c>
      <c r="I97" s="177">
        <v>0</v>
      </c>
      <c r="J97" s="296">
        <f>IFERROR(IF(I97="std",H97,HLOOKUP(A97,'FlightConfig '!$B$34:$G$35,2,0)*I97),"")</f>
        <v>0</v>
      </c>
      <c r="K97" s="249">
        <f>VLOOKUP(Food!E97,'FG MASTER'!$A$1:$AC$536,16,0)</f>
        <v>0.78</v>
      </c>
      <c r="L97" s="250">
        <f>VLOOKUP(Food!E97,'FG MASTER'!$A$10:$AC$536,17,0)</f>
        <v>0.75</v>
      </c>
      <c r="M97" s="136">
        <f t="shared" si="31"/>
        <v>0.30000000000000004</v>
      </c>
      <c r="N97" s="136">
        <f t="shared" si="32"/>
        <v>1.08</v>
      </c>
      <c r="O97" s="136">
        <f t="shared" si="33"/>
        <v>0.10139999999999993</v>
      </c>
      <c r="P97" s="136">
        <f t="shared" si="34"/>
        <v>3.8999999999999979E-2</v>
      </c>
      <c r="Q97" s="136">
        <f t="shared" si="49"/>
        <v>1.2203999999999999</v>
      </c>
      <c r="R97" s="131"/>
      <c r="S97" s="131"/>
      <c r="T97" t="str">
        <f>IFERROR(#REF!*J97,"")</f>
        <v/>
      </c>
      <c r="U97">
        <f t="shared" si="36"/>
        <v>0</v>
      </c>
      <c r="V97">
        <f t="shared" si="37"/>
        <v>0</v>
      </c>
      <c r="W97" s="131">
        <f t="shared" si="38"/>
        <v>0</v>
      </c>
      <c r="X97" s="131">
        <f t="shared" si="39"/>
        <v>0</v>
      </c>
      <c r="Y97" s="131">
        <f t="shared" si="40"/>
        <v>0</v>
      </c>
      <c r="Z97" s="131">
        <f t="shared" si="41"/>
        <v>0</v>
      </c>
      <c r="AA97" s="131">
        <f t="shared" si="42"/>
        <v>0</v>
      </c>
      <c r="AC97" s="131" t="str">
        <f>IFERROR(T97*'FlightConfig '!$K$3,"")</f>
        <v/>
      </c>
      <c r="AD97" s="131">
        <f>IFERROR(U97*'FlightConfig '!$K$23,"")</f>
        <v>0</v>
      </c>
      <c r="AE97" s="131">
        <f>IFERROR(V97*'FlightConfig '!$K$23,"")</f>
        <v>0</v>
      </c>
      <c r="AF97" s="131">
        <f>IFERROR(W97*'FlightConfig '!$K$23,"")</f>
        <v>0</v>
      </c>
      <c r="AG97" s="131">
        <f>IFERROR(X97*'FlightConfig '!$K$23,"")</f>
        <v>0</v>
      </c>
      <c r="AH97" s="131">
        <f>IFERROR(Y97*'FlightConfig '!$K$23,"")</f>
        <v>0</v>
      </c>
    </row>
    <row r="98" spans="1:34" ht="28.9" hidden="1">
      <c r="A98" t="s">
        <v>155</v>
      </c>
      <c r="B98" s="175">
        <v>1</v>
      </c>
      <c r="C98" s="180" t="str">
        <f>CONCATENATE(A98&amp;B98&amp;F98)</f>
        <v>BUSINESS CLASS1110</v>
      </c>
      <c r="D98" s="176"/>
      <c r="E98" s="308">
        <v>1024</v>
      </c>
      <c r="F98" s="315">
        <v>110</v>
      </c>
      <c r="G98" s="123" t="str">
        <f>VLOOKUP(E98,'FG MASTER'!$A$10:$AB$218,2,0)</f>
        <v>BC C1 BREAKFAST SIDE 5 MAPLE CINNAMON BIRCHER MUESLI</v>
      </c>
      <c r="H98" s="290">
        <v>1</v>
      </c>
      <c r="I98" s="177">
        <v>0</v>
      </c>
      <c r="J98" s="296">
        <f>IFERROR(IF(I98="std",H98,HLOOKUP(A98,'FlightConfig '!$B$34:$G$35,2,0)*I98),"")</f>
        <v>0</v>
      </c>
      <c r="K98" s="249">
        <f>VLOOKUP(Food!E98,'FG MASTER'!$A$1:$AC$536,16,0)</f>
        <v>0.85</v>
      </c>
      <c r="L98" s="250">
        <f>VLOOKUP(Food!E98,'FG MASTER'!$A$10:$AC$536,17,0)</f>
        <v>1</v>
      </c>
      <c r="M98" s="136">
        <f>IFERROR(L98*$M$2,"")</f>
        <v>0.4</v>
      </c>
      <c r="N98" s="136">
        <f>IFERROR((K98)+M98,"")</f>
        <v>1.25</v>
      </c>
      <c r="O98" s="136">
        <f t="shared" si="33"/>
        <v>0.11049999999999993</v>
      </c>
      <c r="P98" s="136">
        <f t="shared" si="34"/>
        <v>5.1999999999999935E-2</v>
      </c>
      <c r="Q98" s="136">
        <f>SUM(N98:P98)</f>
        <v>1.4125000000000001</v>
      </c>
      <c r="R98" s="131"/>
      <c r="S98" s="131"/>
      <c r="T98" t="str">
        <f>IFERROR(#REF!*J98,"")</f>
        <v/>
      </c>
      <c r="U98">
        <f t="shared" si="36"/>
        <v>0</v>
      </c>
      <c r="V98">
        <f t="shared" si="37"/>
        <v>0</v>
      </c>
      <c r="W98" s="131">
        <f t="shared" si="38"/>
        <v>0</v>
      </c>
      <c r="X98" s="131">
        <f t="shared" si="39"/>
        <v>0</v>
      </c>
      <c r="Y98" s="131">
        <f t="shared" si="40"/>
        <v>0</v>
      </c>
      <c r="Z98" s="131">
        <f t="shared" si="41"/>
        <v>0</v>
      </c>
      <c r="AA98" s="131">
        <f t="shared" si="42"/>
        <v>0</v>
      </c>
      <c r="AC98" s="131" t="str">
        <f>IFERROR(T98*'FlightConfig '!$K$3,"")</f>
        <v/>
      </c>
      <c r="AD98" s="131">
        <f>IFERROR(U98*'FlightConfig '!$K$23,"")</f>
        <v>0</v>
      </c>
      <c r="AE98" s="131">
        <f>IFERROR(V98*'FlightConfig '!$K$23,"")</f>
        <v>0</v>
      </c>
      <c r="AF98" s="131">
        <f>IFERROR(W98*'FlightConfig '!$K$23,"")</f>
        <v>0</v>
      </c>
      <c r="AG98" s="131">
        <f>IFERROR(X98*'FlightConfig '!$K$23,"")</f>
        <v>0</v>
      </c>
      <c r="AH98" s="131">
        <f>IFERROR(Y98*'FlightConfig '!$K$23,"")</f>
        <v>0</v>
      </c>
    </row>
    <row r="99" spans="1:34" hidden="1">
      <c r="A99" t="s">
        <v>155</v>
      </c>
      <c r="B99" s="175">
        <v>1</v>
      </c>
      <c r="C99" s="180" t="str">
        <f t="shared" ref="C99:C117" si="50">CONCATENATE(A99&amp;B99&amp;F99)</f>
        <v>BUSINESS CLASS1110</v>
      </c>
      <c r="D99" s="176"/>
      <c r="E99" s="308">
        <v>1025</v>
      </c>
      <c r="F99" s="315">
        <v>110</v>
      </c>
      <c r="G99" s="123" t="str">
        <f>VLOOKUP(E99,'FG MASTER'!$A$10:$AB$218,2,0)</f>
        <v>BC C1 BREAKFAST SIDE 6 CORN FLAKES</v>
      </c>
      <c r="H99" s="290">
        <v>1</v>
      </c>
      <c r="I99" s="177">
        <v>0</v>
      </c>
      <c r="J99" s="296">
        <f>IFERROR(IF(I99="std",H99,HLOOKUP(A99,'FlightConfig '!$B$34:$G$35,2,0)*I99),"")</f>
        <v>0</v>
      </c>
      <c r="K99" s="249">
        <f>VLOOKUP(Food!E99,'FG MASTER'!$A$1:$AC$536,16,0)</f>
        <v>0.69</v>
      </c>
      <c r="L99" s="250">
        <f>VLOOKUP(Food!E99,'FG MASTER'!$A$10:$AC$536,17,0)</f>
        <v>0.25</v>
      </c>
      <c r="M99" s="136">
        <f t="shared" ref="M99:M115" si="51">IFERROR(L99*$M$2,"")</f>
        <v>0.1</v>
      </c>
      <c r="N99" s="136">
        <f t="shared" ref="N99:N117" si="52">IFERROR((K99)+M99,"")</f>
        <v>0.78999999999999992</v>
      </c>
      <c r="O99" s="136">
        <f t="shared" si="33"/>
        <v>8.9699999999999891E-2</v>
      </c>
      <c r="P99" s="136">
        <f t="shared" si="34"/>
        <v>1.2999999999999984E-2</v>
      </c>
      <c r="Q99" s="136">
        <f t="shared" ref="Q99:Q102" si="53">SUM(N99:P99)</f>
        <v>0.89269999999999983</v>
      </c>
      <c r="R99" s="131"/>
      <c r="S99" s="131"/>
      <c r="T99" t="str">
        <f>IFERROR(#REF!*J99,"")</f>
        <v/>
      </c>
      <c r="U99">
        <f t="shared" si="36"/>
        <v>0</v>
      </c>
      <c r="V99">
        <f t="shared" si="37"/>
        <v>0</v>
      </c>
      <c r="W99" s="131">
        <f t="shared" si="38"/>
        <v>0</v>
      </c>
      <c r="X99" s="131">
        <f t="shared" si="39"/>
        <v>0</v>
      </c>
      <c r="Y99" s="131">
        <f t="shared" si="40"/>
        <v>0</v>
      </c>
      <c r="Z99" s="131">
        <f t="shared" si="41"/>
        <v>0</v>
      </c>
      <c r="AA99" s="131">
        <f t="shared" si="42"/>
        <v>0</v>
      </c>
      <c r="AC99" s="131" t="str">
        <f>IFERROR(T99*'FlightConfig '!$K$3,"")</f>
        <v/>
      </c>
      <c r="AD99" s="131">
        <f>IFERROR(U99*'FlightConfig '!$K$23,"")</f>
        <v>0</v>
      </c>
      <c r="AE99" s="131">
        <f>IFERROR(V99*'FlightConfig '!$K$23,"")</f>
        <v>0</v>
      </c>
      <c r="AF99" s="131">
        <f>IFERROR(W99*'FlightConfig '!$K$23,"")</f>
        <v>0</v>
      </c>
      <c r="AG99" s="131">
        <f>IFERROR(X99*'FlightConfig '!$K$23,"")</f>
        <v>0</v>
      </c>
      <c r="AH99" s="131">
        <f>IFERROR(Y99*'FlightConfig '!$K$23,"")</f>
        <v>0</v>
      </c>
    </row>
    <row r="100" spans="1:34" ht="28.9" hidden="1">
      <c r="A100" t="s">
        <v>155</v>
      </c>
      <c r="B100" s="175">
        <v>1</v>
      </c>
      <c r="C100" s="180" t="str">
        <f t="shared" si="50"/>
        <v>BUSINESS CLASS1110</v>
      </c>
      <c r="D100" s="176"/>
      <c r="E100" s="308">
        <v>1026</v>
      </c>
      <c r="F100" s="315">
        <v>110</v>
      </c>
      <c r="G100" s="123" t="str">
        <f>VLOOKUP(E100,'FG MASTER'!$A$10:$AB$218,2,0)</f>
        <v>BC C1 BREAKFAST SIDE OPTION 1 FIRED CHICKEN BISCUIT WITH TOMATO JAM</v>
      </c>
      <c r="H100" s="290">
        <v>1</v>
      </c>
      <c r="I100" s="177">
        <v>0</v>
      </c>
      <c r="J100" s="296">
        <f>IFERROR(IF(I100="std",H100,HLOOKUP(A100,'FlightConfig '!$B$34:$G$35,2,0)*I100),"")</f>
        <v>0</v>
      </c>
      <c r="K100" s="249">
        <f>VLOOKUP(Food!E100,'FG MASTER'!$A$1:$AC$536,16,0)</f>
        <v>1.1399999999999999</v>
      </c>
      <c r="L100" s="250">
        <f>VLOOKUP(Food!E100,'FG MASTER'!$A$10:$AC$536,17,0)</f>
        <v>2</v>
      </c>
      <c r="M100" s="136">
        <f t="shared" si="51"/>
        <v>0.8</v>
      </c>
      <c r="N100" s="136">
        <f t="shared" si="52"/>
        <v>1.94</v>
      </c>
      <c r="O100" s="136">
        <f t="shared" si="33"/>
        <v>0.14819999999999989</v>
      </c>
      <c r="P100" s="136">
        <f t="shared" si="34"/>
        <v>0.10399999999999987</v>
      </c>
      <c r="Q100" s="136">
        <f t="shared" si="53"/>
        <v>2.1921999999999997</v>
      </c>
      <c r="R100" s="131"/>
      <c r="S100" s="131"/>
      <c r="T100" t="str">
        <f>IFERROR(#REF!*J100,"")</f>
        <v/>
      </c>
      <c r="U100">
        <f t="shared" si="36"/>
        <v>0</v>
      </c>
      <c r="V100">
        <f t="shared" si="37"/>
        <v>0</v>
      </c>
      <c r="W100" s="131">
        <f t="shared" si="38"/>
        <v>0</v>
      </c>
      <c r="X100" s="131">
        <f t="shared" si="39"/>
        <v>0</v>
      </c>
      <c r="Y100" s="131">
        <f t="shared" si="40"/>
        <v>0</v>
      </c>
      <c r="Z100" s="131">
        <f t="shared" si="41"/>
        <v>0</v>
      </c>
      <c r="AA100" s="131">
        <f t="shared" si="42"/>
        <v>0</v>
      </c>
      <c r="AC100" s="131" t="str">
        <f>IFERROR(T100*'FlightConfig '!$K$3,"")</f>
        <v/>
      </c>
      <c r="AD100" s="131">
        <f>IFERROR(U100*'FlightConfig '!$K$23,"")</f>
        <v>0</v>
      </c>
      <c r="AE100" s="131">
        <f>IFERROR(V100*'FlightConfig '!$K$23,"")</f>
        <v>0</v>
      </c>
      <c r="AF100" s="131">
        <f>IFERROR(W100*'FlightConfig '!$K$23,"")</f>
        <v>0</v>
      </c>
      <c r="AG100" s="131">
        <f>IFERROR(X100*'FlightConfig '!$K$23,"")</f>
        <v>0</v>
      </c>
      <c r="AH100" s="131">
        <f>IFERROR(Y100*'FlightConfig '!$K$23,"")</f>
        <v>0</v>
      </c>
    </row>
    <row r="101" spans="1:34" ht="28.9" hidden="1">
      <c r="A101" t="s">
        <v>155</v>
      </c>
      <c r="B101" s="175">
        <v>1</v>
      </c>
      <c r="C101" s="180" t="str">
        <f t="shared" si="50"/>
        <v>BUSINESS CLASS1110</v>
      </c>
      <c r="D101" s="176"/>
      <c r="E101" s="309">
        <v>1027</v>
      </c>
      <c r="F101" s="315">
        <v>110</v>
      </c>
      <c r="G101" s="123" t="str">
        <f>VLOOKUP(E101,'FG MASTER'!$A$10:$AB$218,2,0)</f>
        <v xml:space="preserve">BC C1 BREAKFAST SIDE OPTION 2 CHOCOLATE CROISSANT </v>
      </c>
      <c r="H101" s="290">
        <v>1</v>
      </c>
      <c r="I101" s="177">
        <v>0</v>
      </c>
      <c r="J101" s="296">
        <f>IFERROR(IF(I101="std",H101,HLOOKUP(A101,'FlightConfig '!$B$34:$G$35,2,0)*I101),"")</f>
        <v>0</v>
      </c>
      <c r="K101" s="249">
        <f>VLOOKUP(Food!E101,'FG MASTER'!$A$1:$AC$536,16,0)</f>
        <v>1.1599999999999999</v>
      </c>
      <c r="L101" s="250">
        <f>VLOOKUP(Food!E101,'FG MASTER'!$A$10:$AC$536,17,0)</f>
        <v>0.5</v>
      </c>
      <c r="M101" s="136">
        <f t="shared" si="51"/>
        <v>0.2</v>
      </c>
      <c r="N101" s="136">
        <f t="shared" si="52"/>
        <v>1.3599999999999999</v>
      </c>
      <c r="O101" s="136">
        <f t="shared" si="33"/>
        <v>0.15079999999999982</v>
      </c>
      <c r="P101" s="136">
        <f t="shared" si="34"/>
        <v>2.5999999999999968E-2</v>
      </c>
      <c r="Q101" s="136">
        <f t="shared" si="53"/>
        <v>1.5367999999999997</v>
      </c>
      <c r="R101" s="131"/>
      <c r="S101" s="131"/>
      <c r="T101" t="str">
        <f>IFERROR(#REF!*J101,"")</f>
        <v/>
      </c>
      <c r="U101">
        <f t="shared" si="36"/>
        <v>0</v>
      </c>
      <c r="V101">
        <f t="shared" si="37"/>
        <v>0</v>
      </c>
      <c r="W101" s="131">
        <f t="shared" si="38"/>
        <v>0</v>
      </c>
      <c r="X101" s="131">
        <f t="shared" si="39"/>
        <v>0</v>
      </c>
      <c r="Y101" s="131">
        <f t="shared" si="40"/>
        <v>0</v>
      </c>
      <c r="Z101" s="131">
        <f t="shared" si="41"/>
        <v>0</v>
      </c>
      <c r="AA101" s="131">
        <f t="shared" si="42"/>
        <v>0</v>
      </c>
      <c r="AC101" s="131" t="str">
        <f>IFERROR(T101*'FlightConfig '!$K$3,"")</f>
        <v/>
      </c>
      <c r="AD101" s="131">
        <f>IFERROR(U101*'FlightConfig '!$K$23,"")</f>
        <v>0</v>
      </c>
      <c r="AE101" s="131">
        <f>IFERROR(V101*'FlightConfig '!$K$23,"")</f>
        <v>0</v>
      </c>
      <c r="AF101" s="131">
        <f>IFERROR(W101*'FlightConfig '!$K$23,"")</f>
        <v>0</v>
      </c>
      <c r="AG101" s="131">
        <f>IFERROR(X101*'FlightConfig '!$K$23,"")</f>
        <v>0</v>
      </c>
      <c r="AH101" s="131">
        <f>IFERROR(Y101*'FlightConfig '!$K$23,"")</f>
        <v>0</v>
      </c>
    </row>
    <row r="102" spans="1:34" ht="28.9" hidden="1">
      <c r="A102" t="s">
        <v>156</v>
      </c>
      <c r="B102" s="175">
        <v>1</v>
      </c>
      <c r="C102" s="180" t="str">
        <f t="shared" si="50"/>
        <v>PREMIUM ECONOMY CLASS1110</v>
      </c>
      <c r="D102" s="316"/>
      <c r="E102" s="309">
        <v>1028</v>
      </c>
      <c r="F102" s="315">
        <v>110</v>
      </c>
      <c r="G102" s="123" t="str">
        <f>VLOOKUP(E102,'FG MASTER'!$A$10:$AB$218,2,0)</f>
        <v xml:space="preserve">PY C1 DINNER GEORGIA PEACH CHILI WHIPPED BUTTER </v>
      </c>
      <c r="H102" s="290">
        <v>1</v>
      </c>
      <c r="I102" s="177">
        <v>1</v>
      </c>
      <c r="J102" s="296">
        <f>IFERROR(IF(I102="std",H102,HLOOKUP(A102,'FlightConfig '!$B$34:$G$35,2,0)*I102),"")</f>
        <v>44</v>
      </c>
      <c r="K102" s="249">
        <f>VLOOKUP(Food!E102,'FG MASTER'!$A$1:$AC$536,16,0)</f>
        <v>0.47</v>
      </c>
      <c r="L102" s="250">
        <f>VLOOKUP(Food!E102,'FG MASTER'!$A$10:$AC$536,17,0)</f>
        <v>0.5</v>
      </c>
      <c r="M102" s="136">
        <f t="shared" si="51"/>
        <v>0.2</v>
      </c>
      <c r="N102" s="136">
        <f t="shared" si="52"/>
        <v>0.66999999999999993</v>
      </c>
      <c r="O102" s="136">
        <f t="shared" si="33"/>
        <v>6.1099999999999932E-2</v>
      </c>
      <c r="P102" s="136">
        <f t="shared" si="34"/>
        <v>2.5999999999999968E-2</v>
      </c>
      <c r="Q102" s="136">
        <f t="shared" si="53"/>
        <v>0.75709999999999988</v>
      </c>
      <c r="R102" s="131"/>
      <c r="S102" s="131"/>
      <c r="T102" t="str">
        <f>IFERROR(#REF!*J102,"")</f>
        <v/>
      </c>
      <c r="U102">
        <f t="shared" si="36"/>
        <v>20.68</v>
      </c>
      <c r="V102">
        <f t="shared" si="37"/>
        <v>22</v>
      </c>
      <c r="W102" s="131">
        <f t="shared" si="38"/>
        <v>8.8000000000000007</v>
      </c>
      <c r="X102" s="131">
        <f t="shared" si="39"/>
        <v>29.479999999999997</v>
      </c>
      <c r="Y102" s="131">
        <f t="shared" si="40"/>
        <v>2.688399999999997</v>
      </c>
      <c r="Z102" s="131">
        <f t="shared" si="41"/>
        <v>1.1439999999999986</v>
      </c>
      <c r="AA102" s="131">
        <f t="shared" si="42"/>
        <v>33.312399999999997</v>
      </c>
      <c r="AC102" s="131" t="str">
        <f>IFERROR(T102*'FlightConfig '!$K$3,"")</f>
        <v/>
      </c>
      <c r="AD102" s="131">
        <f>IFERROR(U102*'FlightConfig '!$K$23,"")</f>
        <v>7527.5199999999995</v>
      </c>
      <c r="AE102" s="131">
        <f>IFERROR(V102*'FlightConfig '!$K$23,"")</f>
        <v>8008</v>
      </c>
      <c r="AF102" s="131">
        <f>IFERROR(W102*'FlightConfig '!$K$23,"")</f>
        <v>3203.2000000000003</v>
      </c>
      <c r="AG102" s="131">
        <f>IFERROR(X102*'FlightConfig '!$K$23,"")</f>
        <v>10730.72</v>
      </c>
      <c r="AH102" s="131">
        <f>IFERROR(Y102*'FlightConfig '!$K$23,"")</f>
        <v>978.57759999999894</v>
      </c>
    </row>
    <row r="103" spans="1:34" hidden="1">
      <c r="A103" t="s">
        <v>156</v>
      </c>
      <c r="B103" s="175">
        <v>1</v>
      </c>
      <c r="C103" s="180" t="str">
        <f t="shared" si="50"/>
        <v>PREMIUM ECONOMY CLASS1110</v>
      </c>
      <c r="D103" s="316"/>
      <c r="E103" s="309">
        <v>1029</v>
      </c>
      <c r="F103" s="315">
        <v>110</v>
      </c>
      <c r="G103" s="123" t="str">
        <f>VLOOKUP(E103,'FG MASTER'!$A$10:$AB$218,2,0)</f>
        <v xml:space="preserve">PY C1 DINNER SWEETWATER BEET AND CHEESE ROLL </v>
      </c>
      <c r="H103" s="290">
        <v>1</v>
      </c>
      <c r="I103" s="177">
        <v>1</v>
      </c>
      <c r="J103" s="296">
        <f>IFERROR(IF(I103="std",H103,HLOOKUP(A103,'FlightConfig '!$B$34:$G$35,2,0)*I103),"")</f>
        <v>44</v>
      </c>
      <c r="K103" s="249">
        <f>VLOOKUP(Food!E103,'FG MASTER'!$A$1:$AC$536,16,0)</f>
        <v>0.3</v>
      </c>
      <c r="L103" s="250">
        <f>VLOOKUP(Food!E103,'FG MASTER'!$A$10:$AC$536,17,0)</f>
        <v>0.25</v>
      </c>
      <c r="M103" s="136">
        <f t="shared" si="51"/>
        <v>0.1</v>
      </c>
      <c r="N103" s="136">
        <f t="shared" si="52"/>
        <v>0.4</v>
      </c>
      <c r="O103" s="136">
        <f t="shared" si="33"/>
        <v>3.8999999999999979E-2</v>
      </c>
      <c r="P103" s="136">
        <f t="shared" si="34"/>
        <v>1.2999999999999984E-2</v>
      </c>
      <c r="Q103" s="136">
        <f t="shared" ref="Q103:Q118" si="54">SUM(N103:P103)</f>
        <v>0.45199999999999996</v>
      </c>
      <c r="R103" s="131"/>
      <c r="S103" s="131"/>
      <c r="T103" t="str">
        <f>IFERROR(#REF!*J103,"")</f>
        <v/>
      </c>
      <c r="U103">
        <f t="shared" si="36"/>
        <v>13.2</v>
      </c>
      <c r="V103">
        <f t="shared" si="37"/>
        <v>11</v>
      </c>
      <c r="W103" s="131">
        <f t="shared" si="38"/>
        <v>4.4000000000000004</v>
      </c>
      <c r="X103" s="131">
        <f t="shared" si="39"/>
        <v>17.600000000000001</v>
      </c>
      <c r="Y103" s="131">
        <f t="shared" si="40"/>
        <v>1.7159999999999991</v>
      </c>
      <c r="Z103" s="131">
        <f t="shared" si="41"/>
        <v>0.57199999999999929</v>
      </c>
      <c r="AA103" s="131">
        <f t="shared" si="42"/>
        <v>19.887999999999998</v>
      </c>
      <c r="AC103" s="131" t="str">
        <f>IFERROR(T103*'FlightConfig '!$K$3,"")</f>
        <v/>
      </c>
      <c r="AD103" s="131">
        <f>IFERROR(U103*'FlightConfig '!$K$23,"")</f>
        <v>4804.8</v>
      </c>
      <c r="AE103" s="131">
        <f>IFERROR(V103*'FlightConfig '!$K$23,"")</f>
        <v>4004</v>
      </c>
      <c r="AF103" s="131">
        <f>IFERROR(W103*'FlightConfig '!$K$23,"")</f>
        <v>1601.6000000000001</v>
      </c>
      <c r="AG103" s="131">
        <f>IFERROR(X103*'FlightConfig '!$K$23,"")</f>
        <v>6406.4000000000005</v>
      </c>
      <c r="AH103" s="131">
        <f>IFERROR(Y103*'FlightConfig '!$K$23,"")</f>
        <v>624.62399999999968</v>
      </c>
    </row>
    <row r="104" spans="1:34" ht="43.15" hidden="1">
      <c r="A104" t="s">
        <v>156</v>
      </c>
      <c r="B104" s="175">
        <v>1</v>
      </c>
      <c r="C104" s="180" t="str">
        <f t="shared" si="50"/>
        <v>PREMIUM ECONOMY CLASS1110</v>
      </c>
      <c r="D104" s="316"/>
      <c r="E104" s="309">
        <v>1030</v>
      </c>
      <c r="F104" s="315">
        <v>110</v>
      </c>
      <c r="G104" s="123" t="str">
        <f>VLOOKUP(E104,'FG MASTER'!$A$10:$AB$218,2,0)</f>
        <v xml:space="preserve">PY C1 DINNER STARTER MESCLUN MIX WITH CUCUMBER, CARROT AND BOCCONCINI MOZAZARELLA BALL </v>
      </c>
      <c r="H104" s="290">
        <v>1</v>
      </c>
      <c r="I104" s="177">
        <v>1</v>
      </c>
      <c r="J104" s="296">
        <f>IFERROR(IF(I104="std",H104,HLOOKUP(A104,'FlightConfig '!$B$34:$G$35,2,0)*I104),"")</f>
        <v>44</v>
      </c>
      <c r="K104" s="249">
        <f>VLOOKUP(Food!E104,'FG MASTER'!$A$1:$AC$536,16,0)</f>
        <v>0.56000000000000005</v>
      </c>
      <c r="L104" s="250">
        <f>VLOOKUP(Food!E104,'FG MASTER'!$A$10:$AC$536,17,0)</f>
        <v>1.25</v>
      </c>
      <c r="M104" s="136">
        <f t="shared" si="51"/>
        <v>0.5</v>
      </c>
      <c r="N104" s="136">
        <f t="shared" si="52"/>
        <v>1.06</v>
      </c>
      <c r="O104" s="136">
        <f t="shared" si="33"/>
        <v>7.2799999999999976E-2</v>
      </c>
      <c r="P104" s="136">
        <f t="shared" si="34"/>
        <v>6.4999999999999947E-2</v>
      </c>
      <c r="Q104" s="136">
        <f t="shared" si="54"/>
        <v>1.1978</v>
      </c>
      <c r="R104" s="131"/>
      <c r="S104" s="131"/>
      <c r="T104" t="str">
        <f>IFERROR(#REF!*J104,"")</f>
        <v/>
      </c>
      <c r="U104">
        <f t="shared" si="36"/>
        <v>24.64</v>
      </c>
      <c r="V104">
        <f t="shared" si="37"/>
        <v>55</v>
      </c>
      <c r="W104" s="131">
        <f t="shared" si="38"/>
        <v>22</v>
      </c>
      <c r="X104" s="131">
        <f t="shared" si="39"/>
        <v>46.64</v>
      </c>
      <c r="Y104" s="131">
        <f t="shared" si="40"/>
        <v>3.2031999999999989</v>
      </c>
      <c r="Z104" s="131">
        <f t="shared" si="41"/>
        <v>2.8599999999999977</v>
      </c>
      <c r="AA104" s="131">
        <f t="shared" si="42"/>
        <v>52.703199999999995</v>
      </c>
      <c r="AC104" s="131" t="str">
        <f>IFERROR(T104*'FlightConfig '!$K$3,"")</f>
        <v/>
      </c>
      <c r="AD104" s="131">
        <f>IFERROR(U104*'FlightConfig '!$K$23,"")</f>
        <v>8968.9600000000009</v>
      </c>
      <c r="AE104" s="131">
        <f>IFERROR(V104*'FlightConfig '!$K$23,"")</f>
        <v>20020</v>
      </c>
      <c r="AF104" s="131">
        <f>IFERROR(W104*'FlightConfig '!$K$23,"")</f>
        <v>8008</v>
      </c>
      <c r="AG104" s="131">
        <f>IFERROR(X104*'FlightConfig '!$K$23,"")</f>
        <v>16976.96</v>
      </c>
      <c r="AH104" s="131">
        <f>IFERROR(Y104*'FlightConfig '!$K$23,"")</f>
        <v>1165.9647999999995</v>
      </c>
    </row>
    <row r="105" spans="1:34" ht="43.15" hidden="1">
      <c r="A105" t="s">
        <v>156</v>
      </c>
      <c r="B105" s="175">
        <v>1</v>
      </c>
      <c r="C105" s="180" t="str">
        <f t="shared" si="50"/>
        <v>PREMIUM ECONOMY CLASS1110</v>
      </c>
      <c r="D105" s="316"/>
      <c r="E105" s="309">
        <v>1031</v>
      </c>
      <c r="F105" s="315">
        <v>110</v>
      </c>
      <c r="G105" s="123" t="str">
        <f>VLOOKUP(E105,'FG MASTER'!$A$10:$AB$218,2,0)</f>
        <v>PY C1 DINNER ENTRÉE 1 MARYLAND STULE CRAB CAKE, ARTOCHOKE RISOTTA, ASPARAGUS, LEMON DILL BEURRE BLANC</v>
      </c>
      <c r="H105" s="290">
        <v>1</v>
      </c>
      <c r="I105" s="177">
        <v>0.5</v>
      </c>
      <c r="J105" s="296">
        <f>IFERROR(IF(I105="std",H105,HLOOKUP(A105,'FlightConfig '!$B$34:$G$35,2,0)*I105),"")</f>
        <v>22</v>
      </c>
      <c r="K105" s="249">
        <f>VLOOKUP(Food!E105,'FG MASTER'!$A$1:$AC$536,16,0)</f>
        <v>10.43</v>
      </c>
      <c r="L105" s="250">
        <f>VLOOKUP(Food!E105,'FG MASTER'!$A$10:$AC$536,17,0)</f>
        <v>5.5</v>
      </c>
      <c r="M105" s="136">
        <f t="shared" si="51"/>
        <v>2.2000000000000002</v>
      </c>
      <c r="N105" s="136">
        <f t="shared" si="52"/>
        <v>12.629999999999999</v>
      </c>
      <c r="O105" s="136">
        <f t="shared" si="33"/>
        <v>1.3558999999999983</v>
      </c>
      <c r="P105" s="136">
        <f t="shared" si="34"/>
        <v>0.28599999999999959</v>
      </c>
      <c r="Q105" s="136">
        <f t="shared" si="54"/>
        <v>14.271899999999997</v>
      </c>
      <c r="R105" s="131"/>
      <c r="S105" s="131"/>
      <c r="T105" t="str">
        <f>IFERROR(#REF!*J105,"")</f>
        <v/>
      </c>
      <c r="U105">
        <f t="shared" si="36"/>
        <v>229.45999999999998</v>
      </c>
      <c r="V105">
        <f t="shared" si="37"/>
        <v>121</v>
      </c>
      <c r="W105" s="131">
        <f t="shared" si="38"/>
        <v>48.400000000000006</v>
      </c>
      <c r="X105" s="131">
        <f t="shared" si="39"/>
        <v>277.85999999999996</v>
      </c>
      <c r="Y105" s="131">
        <f t="shared" si="40"/>
        <v>29.829799999999963</v>
      </c>
      <c r="Z105" s="131">
        <f t="shared" si="41"/>
        <v>6.2919999999999909</v>
      </c>
      <c r="AA105" s="131">
        <f t="shared" si="42"/>
        <v>313.98179999999991</v>
      </c>
      <c r="AC105" s="131" t="str">
        <f>IFERROR(T105*'FlightConfig '!$K$3,"")</f>
        <v/>
      </c>
      <c r="AD105" s="131">
        <f>IFERROR(U105*'FlightConfig '!$K$23,"")</f>
        <v>83523.439999999988</v>
      </c>
      <c r="AE105" s="131">
        <f>IFERROR(V105*'FlightConfig '!$K$23,"")</f>
        <v>44044</v>
      </c>
      <c r="AF105" s="131">
        <f>IFERROR(W105*'FlightConfig '!$K$23,"")</f>
        <v>17617.600000000002</v>
      </c>
      <c r="AG105" s="131">
        <f>IFERROR(X105*'FlightConfig '!$K$23,"")</f>
        <v>101141.03999999998</v>
      </c>
      <c r="AH105" s="131">
        <f>IFERROR(Y105*'FlightConfig '!$K$23,"")</f>
        <v>10858.047199999986</v>
      </c>
    </row>
    <row r="106" spans="1:34" ht="43.15" hidden="1">
      <c r="A106" t="s">
        <v>156</v>
      </c>
      <c r="B106" s="175">
        <v>1</v>
      </c>
      <c r="C106" s="180" t="str">
        <f t="shared" si="50"/>
        <v>PREMIUM ECONOMY CLASS1110</v>
      </c>
      <c r="D106" s="316"/>
      <c r="E106" s="309">
        <v>1032</v>
      </c>
      <c r="F106" s="315">
        <v>110</v>
      </c>
      <c r="G106" s="123" t="str">
        <f>VLOOKUP(E106,'FG MASTER'!$A$10:$AB$218,2,0)</f>
        <v>PY C1 DINNER ENTRÉE 2 GRILLED CHICKEN KEBAB, HONEY HARISSA GLAZE, ROASTED RED PEPPER, LEMON HERB RICE, FETA CHEESE</v>
      </c>
      <c r="H106" s="290">
        <v>1</v>
      </c>
      <c r="I106" s="177">
        <v>0.35</v>
      </c>
      <c r="J106" s="296">
        <f>IFERROR(IF(I106="std",H106,HLOOKUP(A106,'FlightConfig '!$B$34:$G$35,2,0)*I106),"")</f>
        <v>15.399999999999999</v>
      </c>
      <c r="K106" s="249">
        <f>VLOOKUP(Food!E106,'FG MASTER'!$A$1:$AC$536,16,0)</f>
        <v>2.19</v>
      </c>
      <c r="L106" s="250">
        <f>VLOOKUP(Food!E106,'FG MASTER'!$A$10:$AC$536,17,0)</f>
        <v>5.5</v>
      </c>
      <c r="M106" s="136">
        <f t="shared" si="51"/>
        <v>2.2000000000000002</v>
      </c>
      <c r="N106" s="136">
        <f t="shared" si="52"/>
        <v>4.3900000000000006</v>
      </c>
      <c r="O106" s="136">
        <f t="shared" si="33"/>
        <v>0.28469999999999995</v>
      </c>
      <c r="P106" s="136">
        <f t="shared" si="34"/>
        <v>0.28599999999999959</v>
      </c>
      <c r="Q106" s="136">
        <f t="shared" si="54"/>
        <v>4.9607000000000001</v>
      </c>
      <c r="R106" s="131"/>
      <c r="S106" s="131"/>
      <c r="T106" t="str">
        <f>IFERROR(#REF!*J106,"")</f>
        <v/>
      </c>
      <c r="U106">
        <f t="shared" si="36"/>
        <v>33.725999999999999</v>
      </c>
      <c r="V106">
        <f t="shared" si="37"/>
        <v>84.699999999999989</v>
      </c>
      <c r="W106" s="131">
        <f t="shared" si="38"/>
        <v>33.880000000000003</v>
      </c>
      <c r="X106" s="131">
        <f t="shared" si="39"/>
        <v>67.606000000000009</v>
      </c>
      <c r="Y106" s="131">
        <f t="shared" si="40"/>
        <v>4.3843799999999993</v>
      </c>
      <c r="Z106" s="131">
        <f t="shared" si="41"/>
        <v>4.4043999999999937</v>
      </c>
      <c r="AA106" s="131">
        <f t="shared" si="42"/>
        <v>76.394779999999997</v>
      </c>
      <c r="AC106" s="131" t="str">
        <f>IFERROR(T106*'FlightConfig '!$K$3,"")</f>
        <v/>
      </c>
      <c r="AD106" s="131">
        <f>IFERROR(U106*'FlightConfig '!$K$23,"")</f>
        <v>12276.263999999999</v>
      </c>
      <c r="AE106" s="131">
        <f>IFERROR(V106*'FlightConfig '!$K$23,"")</f>
        <v>30830.799999999996</v>
      </c>
      <c r="AF106" s="131">
        <f>IFERROR(W106*'FlightConfig '!$K$23,"")</f>
        <v>12332.320000000002</v>
      </c>
      <c r="AG106" s="131">
        <f>IFERROR(X106*'FlightConfig '!$K$23,"")</f>
        <v>24608.584000000003</v>
      </c>
      <c r="AH106" s="131">
        <f>IFERROR(Y106*'FlightConfig '!$K$23,"")</f>
        <v>1595.9143199999996</v>
      </c>
    </row>
    <row r="107" spans="1:34" ht="57.6" hidden="1">
      <c r="A107" t="s">
        <v>156</v>
      </c>
      <c r="B107" s="175">
        <v>1</v>
      </c>
      <c r="C107" s="180" t="str">
        <f t="shared" si="50"/>
        <v>PREMIUM ECONOMY CLASS1110</v>
      </c>
      <c r="D107" s="316"/>
      <c r="E107" s="309">
        <v>1033</v>
      </c>
      <c r="F107" s="315">
        <v>110</v>
      </c>
      <c r="G107" s="123" t="str">
        <f>VLOOKUP(E107,'FG MASTER'!$A$10:$AB$218,2,0)</f>
        <v xml:space="preserve">PY C1 DINNER ENTRÉE 3 SMOKED MOZZARELLA RAVIOLI, MARINARA SAUCE, PESTO MARINATED BOCCONCINI MOZZARELLA, SHREDDED, PARMESAN, SPINACH </v>
      </c>
      <c r="H107" s="290">
        <v>1</v>
      </c>
      <c r="I107" s="177">
        <v>0.2</v>
      </c>
      <c r="J107" s="296">
        <f>IFERROR(IF(I107="std",H107,HLOOKUP(A107,'FlightConfig '!$B$34:$G$35,2,0)*I107),"")</f>
        <v>8.8000000000000007</v>
      </c>
      <c r="K107" s="249">
        <f>VLOOKUP(Food!E107,'FG MASTER'!$A$1:$AC$536,16,0)</f>
        <v>4.2</v>
      </c>
      <c r="L107" s="250">
        <f>VLOOKUP(Food!E107,'FG MASTER'!$A$10:$AC$536,17,0)</f>
        <v>3.25</v>
      </c>
      <c r="M107" s="136">
        <f t="shared" si="51"/>
        <v>1.3</v>
      </c>
      <c r="N107" s="136">
        <f t="shared" si="52"/>
        <v>5.5</v>
      </c>
      <c r="O107" s="136">
        <f t="shared" si="33"/>
        <v>0.54599999999999937</v>
      </c>
      <c r="P107" s="136">
        <f t="shared" si="34"/>
        <v>0.16899999999999982</v>
      </c>
      <c r="Q107" s="136">
        <f t="shared" si="54"/>
        <v>6.214999999999999</v>
      </c>
      <c r="R107" s="131"/>
      <c r="S107" s="131"/>
      <c r="T107" t="str">
        <f>IFERROR(#REF!*J107,"")</f>
        <v/>
      </c>
      <c r="U107">
        <f t="shared" si="36"/>
        <v>36.960000000000008</v>
      </c>
      <c r="V107">
        <f t="shared" si="37"/>
        <v>28.6</v>
      </c>
      <c r="W107" s="131">
        <f t="shared" si="38"/>
        <v>11.440000000000001</v>
      </c>
      <c r="X107" s="131">
        <f t="shared" si="39"/>
        <v>48.400000000000006</v>
      </c>
      <c r="Y107" s="131">
        <f t="shared" si="40"/>
        <v>4.8047999999999949</v>
      </c>
      <c r="Z107" s="131">
        <f t="shared" si="41"/>
        <v>1.4871999999999985</v>
      </c>
      <c r="AA107" s="131">
        <f t="shared" si="42"/>
        <v>54.691999999999993</v>
      </c>
      <c r="AC107" s="131" t="str">
        <f>IFERROR(T107*'FlightConfig '!$K$3,"")</f>
        <v/>
      </c>
      <c r="AD107" s="131">
        <f>IFERROR(U107*'FlightConfig '!$K$23,"")</f>
        <v>13453.440000000002</v>
      </c>
      <c r="AE107" s="131">
        <f>IFERROR(V107*'FlightConfig '!$K$23,"")</f>
        <v>10410.4</v>
      </c>
      <c r="AF107" s="131">
        <f>IFERROR(W107*'FlightConfig '!$K$23,"")</f>
        <v>4164.1600000000008</v>
      </c>
      <c r="AG107" s="131">
        <f>IFERROR(X107*'FlightConfig '!$K$23,"")</f>
        <v>17617.600000000002</v>
      </c>
      <c r="AH107" s="131">
        <f>IFERROR(Y107*'FlightConfig '!$K$23,"")</f>
        <v>1748.947199999998</v>
      </c>
    </row>
    <row r="108" spans="1:34" ht="28.9" hidden="1">
      <c r="A108" t="s">
        <v>156</v>
      </c>
      <c r="B108" s="175">
        <v>1</v>
      </c>
      <c r="C108" s="180" t="str">
        <f t="shared" si="50"/>
        <v>PREMIUM ECONOMY CLASS1110</v>
      </c>
      <c r="D108" s="316"/>
      <c r="E108" s="309">
        <v>1034</v>
      </c>
      <c r="F108" s="315">
        <v>110</v>
      </c>
      <c r="G108" s="123" t="str">
        <f>VLOOKUP(E108,'FG MASTER'!$A$10:$AB$218,2,0)</f>
        <v xml:space="preserve">PY C1 DINNER DESSERT BLACKBERRY PEACH COBBLER TART, CRÈME GRAICHE </v>
      </c>
      <c r="H108" s="290">
        <v>1</v>
      </c>
      <c r="I108" s="177">
        <v>1</v>
      </c>
      <c r="J108" s="296">
        <f>IFERROR(IF(I108="std",H108,HLOOKUP(A108,'FlightConfig '!$B$34:$G$35,2,0)*I108),"")</f>
        <v>44</v>
      </c>
      <c r="K108" s="249">
        <f>VLOOKUP(Food!E108,'FG MASTER'!$A$1:$AC$536,16,0)</f>
        <v>0.83</v>
      </c>
      <c r="L108" s="250">
        <f>VLOOKUP(Food!E108,'FG MASTER'!$A$10:$AC$536,17,0)</f>
        <v>1.25</v>
      </c>
      <c r="M108" s="136">
        <f t="shared" si="51"/>
        <v>0.5</v>
      </c>
      <c r="N108" s="136">
        <f t="shared" si="52"/>
        <v>1.33</v>
      </c>
      <c r="O108" s="136">
        <f t="shared" si="33"/>
        <v>0.10789999999999988</v>
      </c>
      <c r="P108" s="136">
        <f t="shared" si="34"/>
        <v>6.4999999999999947E-2</v>
      </c>
      <c r="Q108" s="136">
        <f t="shared" si="54"/>
        <v>1.5028999999999999</v>
      </c>
      <c r="R108" s="131"/>
      <c r="S108" s="131"/>
      <c r="T108" t="str">
        <f>IFERROR(#REF!*J108,"")</f>
        <v/>
      </c>
      <c r="U108">
        <f t="shared" si="36"/>
        <v>36.519999999999996</v>
      </c>
      <c r="V108">
        <f t="shared" si="37"/>
        <v>55</v>
      </c>
      <c r="W108" s="131">
        <f t="shared" si="38"/>
        <v>22</v>
      </c>
      <c r="X108" s="131">
        <f t="shared" si="39"/>
        <v>58.52</v>
      </c>
      <c r="Y108" s="131">
        <f t="shared" si="40"/>
        <v>4.7475999999999949</v>
      </c>
      <c r="Z108" s="131">
        <f t="shared" si="41"/>
        <v>2.8599999999999977</v>
      </c>
      <c r="AA108" s="131">
        <f t="shared" si="42"/>
        <v>66.127600000000001</v>
      </c>
      <c r="AC108" s="131" t="str">
        <f>IFERROR(T108*'FlightConfig '!$K$3,"")</f>
        <v/>
      </c>
      <c r="AD108" s="131">
        <f>IFERROR(U108*'FlightConfig '!$K$23,"")</f>
        <v>13293.279999999999</v>
      </c>
      <c r="AE108" s="131">
        <f>IFERROR(V108*'FlightConfig '!$K$23,"")</f>
        <v>20020</v>
      </c>
      <c r="AF108" s="131">
        <f>IFERROR(W108*'FlightConfig '!$K$23,"")</f>
        <v>8008</v>
      </c>
      <c r="AG108" s="131">
        <f>IFERROR(X108*'FlightConfig '!$K$23,"")</f>
        <v>21301.280000000002</v>
      </c>
      <c r="AH108" s="131">
        <f>IFERROR(Y108*'FlightConfig '!$K$23,"")</f>
        <v>1728.1263999999981</v>
      </c>
    </row>
    <row r="109" spans="1:34" ht="28.9" hidden="1">
      <c r="A109" t="s">
        <v>156</v>
      </c>
      <c r="B109" s="175">
        <v>1</v>
      </c>
      <c r="C109" s="180" t="str">
        <f t="shared" si="50"/>
        <v>PREMIUM ECONOMY CLASS1110</v>
      </c>
      <c r="D109" s="316"/>
      <c r="E109" s="309">
        <v>1035</v>
      </c>
      <c r="F109" s="315">
        <v>110</v>
      </c>
      <c r="G109" s="123" t="str">
        <f>VLOOKUP(E109,'FG MASTER'!$A$10:$AB$218,2,0)</f>
        <v xml:space="preserve">PY C1 DINNER CHEESE, THOMASVILLE TOMME, ASHER BLUE, ANGRY CUKES, MESCADINE JELLY </v>
      </c>
      <c r="H109" s="290">
        <v>1</v>
      </c>
      <c r="I109" s="177">
        <v>1</v>
      </c>
      <c r="J109" s="296">
        <f>IFERROR(IF(I109="std",H109,HLOOKUP(A109,'FlightConfig '!$B$34:$G$35,2,0)*I109),"")</f>
        <v>44</v>
      </c>
      <c r="K109" s="249">
        <f>VLOOKUP(Food!E109,'FG MASTER'!$A$1:$AC$536,16,0)</f>
        <v>1.9</v>
      </c>
      <c r="L109" s="250">
        <f>VLOOKUP(Food!E109,'FG MASTER'!$A$10:$AC$536,17,0)</f>
        <v>2</v>
      </c>
      <c r="M109" s="136">
        <f t="shared" si="51"/>
        <v>0.8</v>
      </c>
      <c r="N109" s="136">
        <f t="shared" si="52"/>
        <v>2.7</v>
      </c>
      <c r="O109" s="136">
        <f t="shared" si="33"/>
        <v>0.24699999999999989</v>
      </c>
      <c r="P109" s="136">
        <f t="shared" si="34"/>
        <v>0.10399999999999987</v>
      </c>
      <c r="Q109" s="136">
        <f t="shared" si="54"/>
        <v>3.0510000000000002</v>
      </c>
      <c r="R109" s="131"/>
      <c r="S109" s="131"/>
      <c r="T109" t="str">
        <f>IFERROR(#REF!*J109,"")</f>
        <v/>
      </c>
      <c r="U109">
        <f t="shared" si="36"/>
        <v>83.6</v>
      </c>
      <c r="V109">
        <f t="shared" si="37"/>
        <v>88</v>
      </c>
      <c r="W109" s="131">
        <f t="shared" si="38"/>
        <v>35.200000000000003</v>
      </c>
      <c r="X109" s="131">
        <f t="shared" si="39"/>
        <v>118.80000000000001</v>
      </c>
      <c r="Y109" s="131">
        <f t="shared" si="40"/>
        <v>10.867999999999995</v>
      </c>
      <c r="Z109" s="131">
        <f t="shared" si="41"/>
        <v>4.5759999999999943</v>
      </c>
      <c r="AA109" s="131">
        <f t="shared" si="42"/>
        <v>134.244</v>
      </c>
      <c r="AC109" s="131" t="str">
        <f>IFERROR(T109*'FlightConfig '!$K$3,"")</f>
        <v/>
      </c>
      <c r="AD109" s="131">
        <f>IFERROR(U109*'FlightConfig '!$K$23,"")</f>
        <v>30430.399999999998</v>
      </c>
      <c r="AE109" s="131">
        <f>IFERROR(V109*'FlightConfig '!$K$23,"")</f>
        <v>32032</v>
      </c>
      <c r="AF109" s="131">
        <f>IFERROR(W109*'FlightConfig '!$K$23,"")</f>
        <v>12812.800000000001</v>
      </c>
      <c r="AG109" s="131">
        <f>IFERROR(X109*'FlightConfig '!$K$23,"")</f>
        <v>43243.200000000004</v>
      </c>
      <c r="AH109" s="131">
        <f>IFERROR(Y109*'FlightConfig '!$K$23,"")</f>
        <v>3955.9519999999984</v>
      </c>
    </row>
    <row r="110" spans="1:34" ht="43.15" hidden="1">
      <c r="A110" t="s">
        <v>156</v>
      </c>
      <c r="B110" s="175">
        <v>1</v>
      </c>
      <c r="C110" s="180" t="str">
        <f t="shared" si="50"/>
        <v>PREMIUM ECONOMY CLASS1110</v>
      </c>
      <c r="D110" s="316"/>
      <c r="E110" s="309">
        <v>1036</v>
      </c>
      <c r="F110" s="315">
        <v>110</v>
      </c>
      <c r="G110" s="123" t="str">
        <f>VLOOKUP(E110,'FG MASTER'!$A$10:$AB$218,2,0)</f>
        <v>PY C1 BREAKFAST BUTTERMILK BISCUIT, SCRAMBLE EGG, MAPLE SAUISAGE GRAVY, CHICKEN SAUSAGE PATTY, ,SCALLIOM</v>
      </c>
      <c r="H110" s="290">
        <v>1</v>
      </c>
      <c r="I110" s="177">
        <v>0.5</v>
      </c>
      <c r="J110" s="296">
        <f>IFERROR(IF(I110="std",H110,HLOOKUP(A110,'FlightConfig '!$B$34:$G$35,2,0)*I110),"")</f>
        <v>22</v>
      </c>
      <c r="K110" s="249">
        <f>VLOOKUP(Food!E110,'FG MASTER'!$A$1:$AC$536,16,0)</f>
        <v>1.77</v>
      </c>
      <c r="L110" s="250">
        <f>VLOOKUP(Food!E110,'FG MASTER'!$A$10:$AC$536,17,0)</f>
        <v>3.25</v>
      </c>
      <c r="M110" s="136">
        <f t="shared" si="51"/>
        <v>1.3</v>
      </c>
      <c r="N110" s="136">
        <f t="shared" si="52"/>
        <v>3.0700000000000003</v>
      </c>
      <c r="O110" s="136">
        <f t="shared" si="33"/>
        <v>0.23009999999999975</v>
      </c>
      <c r="P110" s="136">
        <f t="shared" si="34"/>
        <v>0.16899999999999982</v>
      </c>
      <c r="Q110" s="136">
        <f t="shared" si="54"/>
        <v>3.4691000000000001</v>
      </c>
      <c r="R110" s="131"/>
      <c r="S110" s="131"/>
      <c r="T110" t="str">
        <f>IFERROR(#REF!*J110,"")</f>
        <v/>
      </c>
      <c r="U110">
        <f t="shared" si="36"/>
        <v>38.94</v>
      </c>
      <c r="V110">
        <f t="shared" si="37"/>
        <v>71.5</v>
      </c>
      <c r="W110" s="131">
        <f t="shared" si="38"/>
        <v>28.6</v>
      </c>
      <c r="X110" s="131">
        <f t="shared" si="39"/>
        <v>67.540000000000006</v>
      </c>
      <c r="Y110" s="131">
        <f t="shared" si="40"/>
        <v>5.0621999999999945</v>
      </c>
      <c r="Z110" s="131">
        <f t="shared" si="41"/>
        <v>3.717999999999996</v>
      </c>
      <c r="AA110" s="131">
        <f t="shared" si="42"/>
        <v>76.3202</v>
      </c>
      <c r="AC110" s="131" t="str">
        <f>IFERROR(T110*'FlightConfig '!$K$3,"")</f>
        <v/>
      </c>
      <c r="AD110" s="131">
        <f>IFERROR(U110*'FlightConfig '!$K$23,"")</f>
        <v>14174.16</v>
      </c>
      <c r="AE110" s="131">
        <f>IFERROR(V110*'FlightConfig '!$K$23,"")</f>
        <v>26026</v>
      </c>
      <c r="AF110" s="131">
        <f>IFERROR(W110*'FlightConfig '!$K$23,"")</f>
        <v>10410.4</v>
      </c>
      <c r="AG110" s="131">
        <f>IFERROR(X110*'FlightConfig '!$K$23,"")</f>
        <v>24584.560000000001</v>
      </c>
      <c r="AH110" s="131">
        <f>IFERROR(Y110*'FlightConfig '!$K$23,"")</f>
        <v>1842.6407999999981</v>
      </c>
    </row>
    <row r="111" spans="1:34" ht="28.9" hidden="1">
      <c r="A111" t="s">
        <v>156</v>
      </c>
      <c r="B111" s="175">
        <v>1</v>
      </c>
      <c r="C111" s="180" t="str">
        <f t="shared" si="50"/>
        <v>PREMIUM ECONOMY CLASS1110</v>
      </c>
      <c r="D111" s="316"/>
      <c r="E111" s="309">
        <v>1037</v>
      </c>
      <c r="F111" s="315">
        <v>110</v>
      </c>
      <c r="G111" s="123" t="str">
        <f>VLOOKUP(E111,'FG MASTER'!$A$10:$AB$218,2,0)</f>
        <v>PY C1 BREAKFAST SCRAMBLE EGG, GINGERLING POTATOES, ASPARAGUS, CHERRY TOMATOES</v>
      </c>
      <c r="H111" s="290">
        <v>1</v>
      </c>
      <c r="I111" s="177">
        <v>0.3</v>
      </c>
      <c r="J111" s="296">
        <f>IFERROR(IF(I111="std",H111,HLOOKUP(A111,'FlightConfig '!$B$34:$G$35,2,0)*I111),"")</f>
        <v>13.2</v>
      </c>
      <c r="K111" s="249">
        <f>VLOOKUP(Food!E111,'FG MASTER'!$A$1:$AC$536,16,0)</f>
        <v>1.77</v>
      </c>
      <c r="L111" s="250">
        <f>VLOOKUP(Food!E111,'FG MASTER'!$A$10:$AC$536,17,0)</f>
        <v>4</v>
      </c>
      <c r="M111" s="136">
        <f t="shared" si="51"/>
        <v>1.6</v>
      </c>
      <c r="N111" s="136">
        <f t="shared" si="52"/>
        <v>3.37</v>
      </c>
      <c r="O111" s="136">
        <f t="shared" si="33"/>
        <v>0.23009999999999975</v>
      </c>
      <c r="P111" s="136">
        <f t="shared" si="34"/>
        <v>0.20799999999999974</v>
      </c>
      <c r="Q111" s="136">
        <f t="shared" si="54"/>
        <v>3.8080999999999996</v>
      </c>
      <c r="R111" s="131"/>
      <c r="S111" s="131"/>
      <c r="T111" t="str">
        <f>IFERROR(#REF!*J111,"")</f>
        <v/>
      </c>
      <c r="U111">
        <f t="shared" si="36"/>
        <v>23.363999999999997</v>
      </c>
      <c r="V111">
        <f t="shared" si="37"/>
        <v>52.8</v>
      </c>
      <c r="W111" s="131">
        <f t="shared" si="38"/>
        <v>21.12</v>
      </c>
      <c r="X111" s="131">
        <f t="shared" si="39"/>
        <v>44.484000000000002</v>
      </c>
      <c r="Y111" s="131">
        <f t="shared" si="40"/>
        <v>3.0373199999999967</v>
      </c>
      <c r="Z111" s="131">
        <f t="shared" si="41"/>
        <v>2.7455999999999965</v>
      </c>
      <c r="AA111" s="131">
        <f t="shared" si="42"/>
        <v>50.266919999999992</v>
      </c>
      <c r="AC111" s="131" t="str">
        <f>IFERROR(T111*'FlightConfig '!$K$3,"")</f>
        <v/>
      </c>
      <c r="AD111" s="131">
        <f>IFERROR(U111*'FlightConfig '!$K$23,"")</f>
        <v>8504.4959999999992</v>
      </c>
      <c r="AE111" s="131">
        <f>IFERROR(V111*'FlightConfig '!$K$23,"")</f>
        <v>19219.2</v>
      </c>
      <c r="AF111" s="131">
        <f>IFERROR(W111*'FlightConfig '!$K$23,"")</f>
        <v>7687.68</v>
      </c>
      <c r="AG111" s="131">
        <f>IFERROR(X111*'FlightConfig '!$K$23,"")</f>
        <v>16192.176000000001</v>
      </c>
      <c r="AH111" s="131">
        <f>IFERROR(Y111*'FlightConfig '!$K$23,"")</f>
        <v>1105.5844799999988</v>
      </c>
    </row>
    <row r="112" spans="1:34" ht="43.15" hidden="1">
      <c r="A112" t="s">
        <v>156</v>
      </c>
      <c r="B112" s="175">
        <v>1</v>
      </c>
      <c r="C112" s="180" t="str">
        <f t="shared" si="50"/>
        <v>PREMIUM ECONOMY CLASS1110</v>
      </c>
      <c r="D112" s="316"/>
      <c r="E112" s="309">
        <v>1038</v>
      </c>
      <c r="F112" s="315">
        <v>110</v>
      </c>
      <c r="G112" s="123" t="str">
        <f>VLOOKUP(E112,'FG MASTER'!$A$10:$AB$218,2,0)</f>
        <v>PY C1 BREAKFAST CHALLAH FRENCH TOAST CASSEROLE, ORANGE WHIPPED RICOTTA, CHERRY COMPOTE</v>
      </c>
      <c r="H112" s="290">
        <v>1</v>
      </c>
      <c r="I112" s="177">
        <v>0.2</v>
      </c>
      <c r="J112" s="296">
        <f>IFERROR(IF(I112="std",H112,HLOOKUP(A112,'FlightConfig '!$B$34:$G$35,2,0)*I112),"")</f>
        <v>8.8000000000000007</v>
      </c>
      <c r="K112" s="249">
        <f>VLOOKUP(Food!E112,'FG MASTER'!$A$1:$AC$536,16,0)</f>
        <v>1.1100000000000001</v>
      </c>
      <c r="L112" s="250">
        <f>VLOOKUP(Food!E112,'FG MASTER'!$A$10:$AC$536,17,0)</f>
        <v>2.5</v>
      </c>
      <c r="M112" s="136">
        <f t="shared" si="51"/>
        <v>1</v>
      </c>
      <c r="N112" s="136">
        <f t="shared" si="52"/>
        <v>2.1100000000000003</v>
      </c>
      <c r="O112" s="136">
        <f t="shared" si="33"/>
        <v>0.14429999999999987</v>
      </c>
      <c r="P112" s="136">
        <f t="shared" si="34"/>
        <v>0.12999999999999989</v>
      </c>
      <c r="Q112" s="136">
        <f t="shared" si="54"/>
        <v>2.3843000000000001</v>
      </c>
      <c r="R112" s="131"/>
      <c r="S112" s="131"/>
      <c r="T112" t="str">
        <f>IFERROR(#REF!*J112,"")</f>
        <v/>
      </c>
      <c r="U112">
        <f t="shared" si="36"/>
        <v>9.7680000000000025</v>
      </c>
      <c r="V112">
        <f t="shared" si="37"/>
        <v>22</v>
      </c>
      <c r="W112" s="131">
        <f t="shared" si="38"/>
        <v>8.8000000000000007</v>
      </c>
      <c r="X112" s="131">
        <f t="shared" si="39"/>
        <v>18.568000000000005</v>
      </c>
      <c r="Y112" s="131">
        <f t="shared" si="40"/>
        <v>1.269839999999999</v>
      </c>
      <c r="Z112" s="131">
        <f t="shared" si="41"/>
        <v>1.1439999999999992</v>
      </c>
      <c r="AA112" s="131">
        <f t="shared" si="42"/>
        <v>20.981840000000002</v>
      </c>
      <c r="AC112" s="131" t="str">
        <f>IFERROR(T112*'FlightConfig '!$K$3,"")</f>
        <v/>
      </c>
      <c r="AD112" s="131">
        <f>IFERROR(U112*'FlightConfig '!$K$23,"")</f>
        <v>3555.552000000001</v>
      </c>
      <c r="AE112" s="131">
        <f>IFERROR(V112*'FlightConfig '!$K$23,"")</f>
        <v>8008</v>
      </c>
      <c r="AF112" s="131">
        <f>IFERROR(W112*'FlightConfig '!$K$23,"")</f>
        <v>3203.2000000000003</v>
      </c>
      <c r="AG112" s="131">
        <f>IFERROR(X112*'FlightConfig '!$K$23,"")</f>
        <v>6758.7520000000022</v>
      </c>
      <c r="AH112" s="131">
        <f>IFERROR(Y112*'FlightConfig '!$K$23,"")</f>
        <v>462.22175999999962</v>
      </c>
    </row>
    <row r="113" spans="1:34" ht="28.9" hidden="1">
      <c r="A113" t="s">
        <v>156</v>
      </c>
      <c r="B113" s="175">
        <v>1</v>
      </c>
      <c r="C113" s="180" t="str">
        <f t="shared" si="50"/>
        <v>PREMIUM ECONOMY CLASS1110</v>
      </c>
      <c r="D113" s="316"/>
      <c r="E113" s="309">
        <v>1039</v>
      </c>
      <c r="F113" s="315">
        <v>110</v>
      </c>
      <c r="G113" s="123" t="str">
        <f>VLOOKUP(E113,'FG MASTER'!$A$10:$AB$218,2,0)</f>
        <v>PY C1 BREAKFAST SIDE 1 FRUIT PLATE SESONAL FRUIT 100G</v>
      </c>
      <c r="H113" s="290">
        <v>1</v>
      </c>
      <c r="I113" s="177">
        <v>1</v>
      </c>
      <c r="J113" s="296">
        <f>IFERROR(IF(I113="std",H113,HLOOKUP(A113,'FlightConfig '!$B$34:$G$35,2,0)*I113),"")</f>
        <v>44</v>
      </c>
      <c r="K113" s="249">
        <f>VLOOKUP(Food!E113,'FG MASTER'!$A$1:$AC$536,16,0)</f>
        <v>0.61</v>
      </c>
      <c r="L113" s="250">
        <f>VLOOKUP(Food!E113,'FG MASTER'!$A$10:$AC$536,17,0)</f>
        <v>1.5</v>
      </c>
      <c r="M113" s="136">
        <f t="shared" si="51"/>
        <v>0.60000000000000009</v>
      </c>
      <c r="N113" s="136">
        <f t="shared" si="52"/>
        <v>1.21</v>
      </c>
      <c r="O113" s="136">
        <f t="shared" si="33"/>
        <v>7.9299999999999926E-2</v>
      </c>
      <c r="P113" s="136">
        <f t="shared" si="34"/>
        <v>7.7999999999999958E-2</v>
      </c>
      <c r="Q113" s="136">
        <f t="shared" si="54"/>
        <v>1.3672999999999997</v>
      </c>
      <c r="R113" s="131"/>
      <c r="S113" s="131"/>
      <c r="T113" t="str">
        <f>IFERROR(#REF!*J113,"")</f>
        <v/>
      </c>
      <c r="U113">
        <f t="shared" si="36"/>
        <v>26.84</v>
      </c>
      <c r="V113">
        <f t="shared" si="37"/>
        <v>66</v>
      </c>
      <c r="W113" s="131">
        <f t="shared" si="38"/>
        <v>26.400000000000006</v>
      </c>
      <c r="X113" s="131">
        <f t="shared" si="39"/>
        <v>53.239999999999995</v>
      </c>
      <c r="Y113" s="131">
        <f t="shared" si="40"/>
        <v>3.4891999999999967</v>
      </c>
      <c r="Z113" s="131">
        <f t="shared" si="41"/>
        <v>3.4319999999999982</v>
      </c>
      <c r="AA113" s="131">
        <f t="shared" si="42"/>
        <v>60.161199999999987</v>
      </c>
      <c r="AC113" s="131" t="str">
        <f>IFERROR(T113*'FlightConfig '!$K$3,"")</f>
        <v/>
      </c>
      <c r="AD113" s="131">
        <f>IFERROR(U113*'FlightConfig '!$K$23,"")</f>
        <v>9769.76</v>
      </c>
      <c r="AE113" s="131">
        <f>IFERROR(V113*'FlightConfig '!$K$23,"")</f>
        <v>24024</v>
      </c>
      <c r="AF113" s="131">
        <f>IFERROR(W113*'FlightConfig '!$K$23,"")</f>
        <v>9609.6000000000022</v>
      </c>
      <c r="AG113" s="131">
        <f>IFERROR(X113*'FlightConfig '!$K$23,"")</f>
        <v>19379.359999999997</v>
      </c>
      <c r="AH113" s="131">
        <f>IFERROR(Y113*'FlightConfig '!$K$23,"")</f>
        <v>1270.0687999999989</v>
      </c>
    </row>
    <row r="114" spans="1:34" hidden="1">
      <c r="A114" t="s">
        <v>156</v>
      </c>
      <c r="B114" s="175">
        <v>1</v>
      </c>
      <c r="C114" s="180" t="str">
        <f t="shared" si="50"/>
        <v>PREMIUM ECONOMY CLASS1110</v>
      </c>
      <c r="D114" s="316"/>
      <c r="E114" s="309">
        <v>1040</v>
      </c>
      <c r="F114" s="315">
        <v>110</v>
      </c>
      <c r="G114" s="123" t="str">
        <f>VLOOKUP(E114,'FG MASTER'!$A$10:$AB$218,2,0)</f>
        <v xml:space="preserve">PY C1 BREAKFAST SIDE 2 GREEK YOGURT 100G </v>
      </c>
      <c r="H114" s="290">
        <v>1</v>
      </c>
      <c r="I114" s="177">
        <v>0</v>
      </c>
      <c r="J114" s="296">
        <f>IFERROR(IF(I114="std",H114,HLOOKUP(A114,'FlightConfig '!$B$34:$G$35,2,0)*I114),"")</f>
        <v>0</v>
      </c>
      <c r="K114" s="249">
        <f>VLOOKUP(Food!E114,'FG MASTER'!$A$1:$AC$536,16,0)</f>
        <v>0.48</v>
      </c>
      <c r="L114" s="250">
        <f>VLOOKUP(Food!E114,'FG MASTER'!$A$10:$AC$536,17,0)</f>
        <v>0.5</v>
      </c>
      <c r="M114" s="136">
        <f t="shared" si="51"/>
        <v>0.2</v>
      </c>
      <c r="N114" s="136">
        <f t="shared" si="52"/>
        <v>0.67999999999999994</v>
      </c>
      <c r="O114" s="136">
        <f t="shared" si="33"/>
        <v>6.23999999999999E-2</v>
      </c>
      <c r="P114" s="136">
        <f t="shared" si="34"/>
        <v>2.5999999999999968E-2</v>
      </c>
      <c r="Q114" s="136">
        <f t="shared" si="54"/>
        <v>0.76839999999999975</v>
      </c>
      <c r="R114" s="131"/>
      <c r="S114" s="131"/>
      <c r="T114" t="str">
        <f>IFERROR(#REF!*J114,"")</f>
        <v/>
      </c>
      <c r="U114">
        <f t="shared" si="36"/>
        <v>0</v>
      </c>
      <c r="V114">
        <f t="shared" si="37"/>
        <v>0</v>
      </c>
      <c r="W114" s="131">
        <f t="shared" si="38"/>
        <v>0</v>
      </c>
      <c r="X114" s="131">
        <f t="shared" si="39"/>
        <v>0</v>
      </c>
      <c r="Y114" s="131">
        <f t="shared" si="40"/>
        <v>0</v>
      </c>
      <c r="Z114" s="131">
        <f t="shared" si="41"/>
        <v>0</v>
      </c>
      <c r="AA114" s="131">
        <f t="shared" si="42"/>
        <v>0</v>
      </c>
      <c r="AC114" s="131" t="str">
        <f>IFERROR(T114*'FlightConfig '!$K$3,"")</f>
        <v/>
      </c>
      <c r="AD114" s="131">
        <f>IFERROR(U114*'FlightConfig '!$K$23,"")</f>
        <v>0</v>
      </c>
      <c r="AE114" s="131">
        <f>IFERROR(V114*'FlightConfig '!$K$23,"")</f>
        <v>0</v>
      </c>
      <c r="AF114" s="131">
        <f>IFERROR(W114*'FlightConfig '!$K$23,"")</f>
        <v>0</v>
      </c>
      <c r="AG114" s="131">
        <f>IFERROR(X114*'FlightConfig '!$K$23,"")</f>
        <v>0</v>
      </c>
      <c r="AH114" s="131">
        <f>IFERROR(Y114*'FlightConfig '!$K$23,"")</f>
        <v>0</v>
      </c>
    </row>
    <row r="115" spans="1:34" hidden="1">
      <c r="A115" t="s">
        <v>157</v>
      </c>
      <c r="B115" s="175">
        <v>1</v>
      </c>
      <c r="C115" s="180" t="str">
        <f t="shared" si="50"/>
        <v>ECONOMY CLASS1110</v>
      </c>
      <c r="D115" s="316"/>
      <c r="E115" s="309">
        <v>1041</v>
      </c>
      <c r="F115" s="315">
        <v>110</v>
      </c>
      <c r="G115" s="123" t="str">
        <f>VLOOKUP(E115,'FG MASTER'!$A$10:$AB$218,2,0)</f>
        <v>PY C1 BREAKFAST SIDE 3 PEACH AND PECAN SCONE</v>
      </c>
      <c r="H115" s="290">
        <v>1</v>
      </c>
      <c r="I115" s="177">
        <v>0</v>
      </c>
      <c r="J115" s="296">
        <f>IFERROR(IF(I115="std",H115,HLOOKUP(A115,'FlightConfig '!$B$34:$G$35,2,0)*I115),"")</f>
        <v>0</v>
      </c>
      <c r="K115" s="249">
        <f>VLOOKUP(Food!E115,'FG MASTER'!$A$1:$AC$536,16,0)</f>
        <v>0.55000000000000004</v>
      </c>
      <c r="L115" s="250">
        <f>VLOOKUP(Food!E115,'FG MASTER'!$A$10:$AC$536,17,0)</f>
        <v>2.5</v>
      </c>
      <c r="M115" s="136">
        <f t="shared" si="51"/>
        <v>1</v>
      </c>
      <c r="N115" s="136">
        <f t="shared" si="52"/>
        <v>1.55</v>
      </c>
      <c r="O115" s="136">
        <f t="shared" si="33"/>
        <v>7.1499999999999897E-2</v>
      </c>
      <c r="P115" s="136">
        <f t="shared" si="34"/>
        <v>0.12999999999999989</v>
      </c>
      <c r="Q115" s="136">
        <f t="shared" si="54"/>
        <v>1.7514999999999998</v>
      </c>
      <c r="R115" s="131"/>
      <c r="S115" s="131"/>
      <c r="T115" t="str">
        <f>IFERROR(#REF!*J115,"")</f>
        <v/>
      </c>
      <c r="U115">
        <f t="shared" si="36"/>
        <v>0</v>
      </c>
      <c r="V115">
        <f t="shared" si="37"/>
        <v>0</v>
      </c>
      <c r="W115" s="131">
        <f t="shared" si="38"/>
        <v>0</v>
      </c>
      <c r="X115" s="131">
        <f t="shared" si="39"/>
        <v>0</v>
      </c>
      <c r="Y115" s="131">
        <f t="shared" si="40"/>
        <v>0</v>
      </c>
      <c r="Z115" s="131">
        <f t="shared" si="41"/>
        <v>0</v>
      </c>
      <c r="AA115" s="131">
        <f t="shared" si="42"/>
        <v>0</v>
      </c>
      <c r="AC115" s="131" t="str">
        <f>IFERROR(T115*'FlightConfig '!$K$3,"")</f>
        <v/>
      </c>
      <c r="AD115" s="131">
        <f>IFERROR(U115*'FlightConfig '!$K$23,"")</f>
        <v>0</v>
      </c>
      <c r="AE115" s="131">
        <f>IFERROR(V115*'FlightConfig '!$K$23,"")</f>
        <v>0</v>
      </c>
      <c r="AF115" s="131">
        <f>IFERROR(W115*'FlightConfig '!$K$23,"")</f>
        <v>0</v>
      </c>
      <c r="AG115" s="131">
        <f>IFERROR(X115*'FlightConfig '!$K$23,"")</f>
        <v>0</v>
      </c>
      <c r="AH115" s="131">
        <f>IFERROR(Y115*'FlightConfig '!$K$23,"")</f>
        <v>0</v>
      </c>
    </row>
    <row r="116" spans="1:34" hidden="1">
      <c r="A116" t="s">
        <v>157</v>
      </c>
      <c r="B116" s="175">
        <v>1</v>
      </c>
      <c r="C116" s="180" t="str">
        <f t="shared" si="50"/>
        <v>ECONOMY CLASS1110</v>
      </c>
      <c r="D116" s="316"/>
      <c r="E116" s="309">
        <v>1042</v>
      </c>
      <c r="F116" s="315">
        <v>110</v>
      </c>
      <c r="G116" s="123" t="str">
        <f>VLOOKUP(E116,'FG MASTER'!$A$10:$AB$218,2,0)</f>
        <v xml:space="preserve">YC C1 DINNER SWEETWATER BEET AND CHEESE ROLL </v>
      </c>
      <c r="H116" s="290">
        <v>1</v>
      </c>
      <c r="I116" s="177">
        <v>1</v>
      </c>
      <c r="J116" s="296">
        <f>IFERROR(IF(I116="std",H116,HLOOKUP(A116,'FlightConfig '!$B$34:$G$35,2,0)*I116),"")</f>
        <v>184</v>
      </c>
      <c r="K116" s="249">
        <f>VLOOKUP(Food!E116,'FG MASTER'!$A$1:$AC$536,16,0)</f>
        <v>0.3</v>
      </c>
      <c r="L116" s="250">
        <f>VLOOKUP(Food!E116,'FG MASTER'!$A$10:$AC$536,17,0)</f>
        <v>0.25</v>
      </c>
      <c r="M116" s="136">
        <f>IFERROR(L116*$M$2,"")</f>
        <v>0.1</v>
      </c>
      <c r="N116" s="136">
        <f t="shared" si="52"/>
        <v>0.4</v>
      </c>
      <c r="O116" s="136">
        <f t="shared" si="33"/>
        <v>3.8999999999999979E-2</v>
      </c>
      <c r="P116" s="136">
        <f t="shared" si="34"/>
        <v>1.2999999999999984E-2</v>
      </c>
      <c r="Q116" s="136">
        <f t="shared" si="54"/>
        <v>0.45199999999999996</v>
      </c>
      <c r="R116" s="131"/>
      <c r="S116" s="131"/>
      <c r="T116" t="str">
        <f>IFERROR(#REF!*J116,"")</f>
        <v/>
      </c>
      <c r="U116">
        <f t="shared" si="36"/>
        <v>55.199999999999996</v>
      </c>
      <c r="V116">
        <f t="shared" si="37"/>
        <v>46</v>
      </c>
      <c r="W116" s="131">
        <f t="shared" si="38"/>
        <v>18.400000000000002</v>
      </c>
      <c r="X116" s="131">
        <f t="shared" si="39"/>
        <v>73.600000000000009</v>
      </c>
      <c r="Y116" s="131">
        <f t="shared" si="40"/>
        <v>7.1759999999999966</v>
      </c>
      <c r="Z116" s="131">
        <f t="shared" si="41"/>
        <v>2.3919999999999968</v>
      </c>
      <c r="AA116" s="131">
        <f t="shared" si="42"/>
        <v>83.167999999999992</v>
      </c>
      <c r="AC116" s="131" t="str">
        <f>IFERROR(T116*'FlightConfig '!$K$3,"")</f>
        <v/>
      </c>
      <c r="AD116" s="131">
        <f>IFERROR(U116*'FlightConfig '!$K$23,"")</f>
        <v>20092.8</v>
      </c>
      <c r="AE116" s="131">
        <f>IFERROR(V116*'FlightConfig '!$K$23,"")</f>
        <v>16744</v>
      </c>
      <c r="AF116" s="131">
        <f>IFERROR(W116*'FlightConfig '!$K$23,"")</f>
        <v>6697.6</v>
      </c>
      <c r="AG116" s="131">
        <f>IFERROR(X116*'FlightConfig '!$K$23,"")</f>
        <v>26790.400000000001</v>
      </c>
      <c r="AH116" s="131">
        <f>IFERROR(Y116*'FlightConfig '!$K$23,"")</f>
        <v>2612.0639999999989</v>
      </c>
    </row>
    <row r="117" spans="1:34" hidden="1">
      <c r="A117" t="s">
        <v>157</v>
      </c>
      <c r="B117" s="175">
        <v>1</v>
      </c>
      <c r="C117" s="180" t="str">
        <f t="shared" si="50"/>
        <v>ECONOMY CLASS1110</v>
      </c>
      <c r="D117" s="316"/>
      <c r="E117" s="309">
        <v>1043</v>
      </c>
      <c r="F117" s="315">
        <v>110</v>
      </c>
      <c r="G117" s="123" t="str">
        <f>VLOOKUP(E117,'FG MASTER'!$A$10:$AB$218,2,0)</f>
        <v>YC C1 DINNER BUTTER CHIP 10G</v>
      </c>
      <c r="H117" s="290">
        <v>1</v>
      </c>
      <c r="I117" s="177">
        <v>1</v>
      </c>
      <c r="J117" s="296">
        <f>IFERROR(IF(I117="std",H117,HLOOKUP(A117,'FlightConfig '!$B$34:$G$35,2,0)*I117),"")</f>
        <v>184</v>
      </c>
      <c r="K117" s="249">
        <f>VLOOKUP(Food!E117,'FG MASTER'!$A$1:$AC$536,16,0)</f>
        <v>0.14000000000000001</v>
      </c>
      <c r="L117" s="250">
        <f>VLOOKUP(Food!E117,'FG MASTER'!$A$10:$AC$536,17,0)</f>
        <v>0.25</v>
      </c>
      <c r="M117" s="136">
        <f t="shared" ref="M117:M129" si="55">IFERROR(L117*$M$2,"")</f>
        <v>0.1</v>
      </c>
      <c r="N117" s="136">
        <f t="shared" si="52"/>
        <v>0.24000000000000002</v>
      </c>
      <c r="O117" s="136">
        <f t="shared" si="33"/>
        <v>1.8199999999999994E-2</v>
      </c>
      <c r="P117" s="136">
        <f t="shared" si="34"/>
        <v>1.2999999999999984E-2</v>
      </c>
      <c r="Q117" s="136">
        <f t="shared" si="54"/>
        <v>0.2712</v>
      </c>
      <c r="R117" s="131"/>
      <c r="S117" s="131"/>
      <c r="T117" t="str">
        <f>IFERROR(#REF!*J117,"")</f>
        <v/>
      </c>
      <c r="U117">
        <f t="shared" si="36"/>
        <v>25.76</v>
      </c>
      <c r="V117">
        <f t="shared" si="37"/>
        <v>46</v>
      </c>
      <c r="W117" s="131">
        <f t="shared" si="38"/>
        <v>18.400000000000002</v>
      </c>
      <c r="X117" s="131">
        <f t="shared" si="39"/>
        <v>44.160000000000004</v>
      </c>
      <c r="Y117" s="131">
        <f t="shared" si="40"/>
        <v>3.3487999999999989</v>
      </c>
      <c r="Z117" s="131">
        <f t="shared" si="41"/>
        <v>2.3919999999999968</v>
      </c>
      <c r="AA117" s="131">
        <f t="shared" si="42"/>
        <v>49.900799999999997</v>
      </c>
      <c r="AC117" s="131" t="str">
        <f>IFERROR(T117*'FlightConfig '!$K$3,"")</f>
        <v/>
      </c>
      <c r="AD117" s="131">
        <f>IFERROR(U117*'FlightConfig '!$K$23,"")</f>
        <v>9376.6400000000012</v>
      </c>
      <c r="AE117" s="131">
        <f>IFERROR(V117*'FlightConfig '!$K$23,"")</f>
        <v>16744</v>
      </c>
      <c r="AF117" s="131">
        <f>IFERROR(W117*'FlightConfig '!$K$23,"")</f>
        <v>6697.6</v>
      </c>
      <c r="AG117" s="131">
        <f>IFERROR(X117*'FlightConfig '!$K$23,"")</f>
        <v>16074.240000000002</v>
      </c>
      <c r="AH117" s="131">
        <f>IFERROR(Y117*'FlightConfig '!$K$23,"")</f>
        <v>1218.9631999999997</v>
      </c>
    </row>
    <row r="118" spans="1:34" ht="28.9" hidden="1">
      <c r="A118" t="s">
        <v>157</v>
      </c>
      <c r="B118" s="175">
        <v>1</v>
      </c>
      <c r="C118" s="180" t="str">
        <f>CONCATENATE(A118&amp;B118&amp;F118)</f>
        <v>ECONOMY CLASS1110</v>
      </c>
      <c r="D118" s="316"/>
      <c r="E118" s="309">
        <v>1044</v>
      </c>
      <c r="F118" s="315">
        <v>110</v>
      </c>
      <c r="G118" s="123" t="str">
        <f>VLOOKUP(E118,'FG MASTER'!$A$10:$AB$218,2,0)</f>
        <v>YC C1 DINNER STARTER 1 MESCLUN MIX, CUCUMBER, CARROT, CHERRY TOMATO</v>
      </c>
      <c r="H118" s="290">
        <v>1</v>
      </c>
      <c r="I118" s="177">
        <v>1</v>
      </c>
      <c r="J118" s="296">
        <f>IFERROR(IF(I118="std",H118,HLOOKUP(A118,'FlightConfig '!$B$34:$G$35,2,0)*I118),"")</f>
        <v>184</v>
      </c>
      <c r="K118" s="249">
        <f>VLOOKUP(Food!E118,'FG MASTER'!$A$1:$AC$536,16,0)</f>
        <v>0.28999999999999998</v>
      </c>
      <c r="L118" s="250">
        <f>VLOOKUP(Food!E118,'FG MASTER'!$A$10:$AC$536,17,0)</f>
        <v>1.25</v>
      </c>
      <c r="M118" s="136">
        <f t="shared" si="55"/>
        <v>0.5</v>
      </c>
      <c r="N118" s="136">
        <f>IFERROR((K118)+M118,"")</f>
        <v>0.79</v>
      </c>
      <c r="O118" s="136">
        <f t="shared" si="33"/>
        <v>3.7699999999999956E-2</v>
      </c>
      <c r="P118" s="136">
        <f t="shared" si="34"/>
        <v>6.4999999999999947E-2</v>
      </c>
      <c r="Q118" s="136">
        <f t="shared" si="54"/>
        <v>0.89269999999999994</v>
      </c>
      <c r="R118" s="131"/>
      <c r="S118" s="131"/>
      <c r="T118" t="str">
        <f>IFERROR(#REF!*J118,"")</f>
        <v/>
      </c>
      <c r="U118">
        <f t="shared" si="36"/>
        <v>53.36</v>
      </c>
      <c r="V118">
        <f t="shared" si="37"/>
        <v>230</v>
      </c>
      <c r="W118" s="131">
        <f t="shared" si="38"/>
        <v>92</v>
      </c>
      <c r="X118" s="131">
        <f t="shared" si="39"/>
        <v>145.36000000000001</v>
      </c>
      <c r="Y118" s="131">
        <f t="shared" si="40"/>
        <v>6.9367999999999919</v>
      </c>
      <c r="Z118" s="131">
        <f t="shared" si="41"/>
        <v>11.95999999999999</v>
      </c>
      <c r="AA118" s="131">
        <f t="shared" si="42"/>
        <v>164.2568</v>
      </c>
      <c r="AC118" s="131" t="str">
        <f>IFERROR(T118*'FlightConfig '!$K$3,"")</f>
        <v/>
      </c>
      <c r="AD118" s="131">
        <f>IFERROR(U118*'FlightConfig '!$K$23,"")</f>
        <v>19423.04</v>
      </c>
      <c r="AE118" s="131">
        <f>IFERROR(V118*'FlightConfig '!$K$23,"")</f>
        <v>83720</v>
      </c>
      <c r="AF118" s="131">
        <f>IFERROR(W118*'FlightConfig '!$K$23,"")</f>
        <v>33488</v>
      </c>
      <c r="AG118" s="131">
        <f>IFERROR(X118*'FlightConfig '!$K$23,"")</f>
        <v>52911.040000000008</v>
      </c>
      <c r="AH118" s="131">
        <f>IFERROR(Y118*'FlightConfig '!$K$23,"")</f>
        <v>2524.9951999999971</v>
      </c>
    </row>
    <row r="119" spans="1:34" ht="28.9" hidden="1">
      <c r="A119" t="s">
        <v>157</v>
      </c>
      <c r="B119" s="175">
        <v>1</v>
      </c>
      <c r="C119" s="180" t="str">
        <f>CONCATENATE(A119&amp;B119&amp;F119)</f>
        <v>ECONOMY CLASS1110</v>
      </c>
      <c r="D119" s="316"/>
      <c r="E119" s="309">
        <v>1045</v>
      </c>
      <c r="F119" s="315">
        <v>110</v>
      </c>
      <c r="G119" s="123" t="str">
        <f>VLOOKUP(E119,'FG MASTER'!$A$10:$AB$218,2,0)</f>
        <v>YC C1 DINNER STARTER 2 RED QUINOA, CORN CAVIAR, SUNFLOWER SEED</v>
      </c>
      <c r="H119" s="290">
        <v>1</v>
      </c>
      <c r="I119" s="177">
        <v>0</v>
      </c>
      <c r="J119" s="296">
        <f>IFERROR(IF(I119="std",H119,HLOOKUP(A119,'FlightConfig '!$B$34:$G$35,2,0)*I119),"")</f>
        <v>0</v>
      </c>
      <c r="K119" s="249">
        <f>VLOOKUP(Food!E119,'FG MASTER'!$A$1:$AC$536,16,0)</f>
        <v>0.43</v>
      </c>
      <c r="L119" s="250">
        <f>VLOOKUP(Food!E119,'FG MASTER'!$A$10:$AC$536,17,0)</f>
        <v>1.25</v>
      </c>
      <c r="M119" s="136">
        <f t="shared" si="55"/>
        <v>0.5</v>
      </c>
      <c r="N119" s="136">
        <f>IFERROR((K119)+M119,"")</f>
        <v>0.92999999999999994</v>
      </c>
      <c r="O119" s="136">
        <f t="shared" si="33"/>
        <v>5.589999999999995E-2</v>
      </c>
      <c r="P119" s="136">
        <f t="shared" si="34"/>
        <v>6.4999999999999947E-2</v>
      </c>
      <c r="Q119" s="136">
        <f t="shared" ref="Q119" si="56">SUM(N119:P119)</f>
        <v>1.0508999999999999</v>
      </c>
      <c r="R119" s="131"/>
      <c r="S119" s="131"/>
      <c r="T119" t="str">
        <f>IFERROR(#REF!*J119,"")</f>
        <v/>
      </c>
      <c r="U119">
        <f t="shared" si="36"/>
        <v>0</v>
      </c>
      <c r="V119">
        <f t="shared" si="37"/>
        <v>0</v>
      </c>
      <c r="W119" s="131">
        <f t="shared" si="38"/>
        <v>0</v>
      </c>
      <c r="X119" s="131">
        <f t="shared" si="39"/>
        <v>0</v>
      </c>
      <c r="Y119" s="131">
        <f t="shared" si="40"/>
        <v>0</v>
      </c>
      <c r="Z119" s="131">
        <f t="shared" si="41"/>
        <v>0</v>
      </c>
      <c r="AA119" s="131">
        <f t="shared" si="42"/>
        <v>0</v>
      </c>
      <c r="AC119" s="131" t="str">
        <f>IFERROR(T119*'FlightConfig '!$K$3,"")</f>
        <v/>
      </c>
      <c r="AD119" s="131">
        <f>IFERROR(U119*'FlightConfig '!$K$23,"")</f>
        <v>0</v>
      </c>
      <c r="AE119" s="131">
        <f>IFERROR(V119*'FlightConfig '!$K$23,"")</f>
        <v>0</v>
      </c>
      <c r="AF119" s="131">
        <f>IFERROR(W119*'FlightConfig '!$K$23,"")</f>
        <v>0</v>
      </c>
      <c r="AG119" s="131">
        <f>IFERROR(X119*'FlightConfig '!$K$23,"")</f>
        <v>0</v>
      </c>
      <c r="AH119" s="131">
        <f>IFERROR(Y119*'FlightConfig '!$K$23,"")</f>
        <v>0</v>
      </c>
    </row>
    <row r="120" spans="1:34" ht="28.9" hidden="1">
      <c r="A120" t="s">
        <v>157</v>
      </c>
      <c r="B120" s="175">
        <v>1</v>
      </c>
      <c r="C120" s="180" t="str">
        <f>CONCATENATE(A120&amp;B120&amp;F120)</f>
        <v>ECONOMY CLASS1110</v>
      </c>
      <c r="D120" s="316"/>
      <c r="E120" s="309">
        <v>1046</v>
      </c>
      <c r="F120" s="315">
        <v>110</v>
      </c>
      <c r="G120" s="123" t="str">
        <f>VLOOKUP(E120,'FG MASTER'!$A$10:$AB$218,2,0)</f>
        <v>YC C1 DINNER ENTRÉE 1 BUTTER CHICKEN, CILANTRO LIME RICE, MIXED VEGETABLE</v>
      </c>
      <c r="H120" s="290">
        <v>1</v>
      </c>
      <c r="I120" s="177">
        <v>0.7</v>
      </c>
      <c r="J120" s="296">
        <f>IFERROR(IF(I120="std",H120,HLOOKUP(A120,'FlightConfig '!$B$34:$G$35,2,0)*I120),"")</f>
        <v>128.79999999999998</v>
      </c>
      <c r="K120" s="249">
        <f>VLOOKUP(Food!E120,'FG MASTER'!$A$1:$AC$536,16,0)</f>
        <v>1.54</v>
      </c>
      <c r="L120" s="250">
        <f>VLOOKUP(Food!E120,'FG MASTER'!$A$10:$AC$536,17,0)</f>
        <v>4.75</v>
      </c>
      <c r="M120" s="136">
        <f t="shared" si="55"/>
        <v>1.9000000000000001</v>
      </c>
      <c r="N120" s="136">
        <f>IFERROR((K120)+M120,"")</f>
        <v>3.4400000000000004</v>
      </c>
      <c r="O120" s="136">
        <f t="shared" si="33"/>
        <v>0.20019999999999993</v>
      </c>
      <c r="P120" s="136">
        <f t="shared" si="34"/>
        <v>0.24699999999999966</v>
      </c>
      <c r="Q120" s="136">
        <f t="shared" ref="Q120:Q144" si="57">SUM(N120:P120)</f>
        <v>3.8872</v>
      </c>
      <c r="R120" s="131"/>
      <c r="S120" s="131"/>
      <c r="T120" t="str">
        <f>IFERROR(#REF!*J120,"")</f>
        <v/>
      </c>
      <c r="U120">
        <f t="shared" si="36"/>
        <v>198.35199999999998</v>
      </c>
      <c r="V120">
        <f t="shared" si="37"/>
        <v>611.79999999999995</v>
      </c>
      <c r="W120" s="131">
        <f t="shared" si="38"/>
        <v>244.72</v>
      </c>
      <c r="X120" s="131">
        <f t="shared" si="39"/>
        <v>443.072</v>
      </c>
      <c r="Y120" s="131">
        <f t="shared" si="40"/>
        <v>25.785759999999989</v>
      </c>
      <c r="Z120" s="131">
        <f t="shared" si="41"/>
        <v>31.813599999999951</v>
      </c>
      <c r="AA120" s="131">
        <f t="shared" si="42"/>
        <v>500.67135999999994</v>
      </c>
      <c r="AC120" s="131" t="str">
        <f>IFERROR(T120*'FlightConfig '!$K$3,"")</f>
        <v/>
      </c>
      <c r="AD120" s="131">
        <f>IFERROR(U120*'FlightConfig '!$K$23,"")</f>
        <v>72200.127999999997</v>
      </c>
      <c r="AE120" s="131">
        <f>IFERROR(V120*'FlightConfig '!$K$23,"")</f>
        <v>222695.19999999998</v>
      </c>
      <c r="AF120" s="131">
        <f>IFERROR(W120*'FlightConfig '!$K$23,"")</f>
        <v>89078.080000000002</v>
      </c>
      <c r="AG120" s="131">
        <f>IFERROR(X120*'FlightConfig '!$K$23,"")</f>
        <v>161278.20800000001</v>
      </c>
      <c r="AH120" s="131">
        <f>IFERROR(Y120*'FlightConfig '!$K$23,"")</f>
        <v>9386.0166399999962</v>
      </c>
    </row>
    <row r="121" spans="1:34" ht="43.15" hidden="1">
      <c r="A121" t="s">
        <v>157</v>
      </c>
      <c r="B121" s="175">
        <v>1</v>
      </c>
      <c r="C121" s="180" t="str">
        <f>CONCATENATE(A121&amp;B121&amp;F121)</f>
        <v>ECONOMY CLASS1110</v>
      </c>
      <c r="D121" s="316"/>
      <c r="E121" s="309">
        <v>1047</v>
      </c>
      <c r="F121" s="315">
        <v>110</v>
      </c>
      <c r="G121" s="123" t="str">
        <f>VLOOKUP(E121,'FG MASTER'!$A$10:$AB$218,2,0)</f>
        <v>YC C1 DINNER ENTRÉE 2 RIGATONI PASTA, POMODORINI SAUCE, WHIPPED RICOTTA, RED PEPPER</v>
      </c>
      <c r="H121" s="290">
        <v>1</v>
      </c>
      <c r="I121" s="177">
        <v>0.3</v>
      </c>
      <c r="J121" s="296">
        <f>IFERROR(IF(I121="std",H121,HLOOKUP(A121,'FlightConfig '!$B$34:$G$35,2,0)*I121),"")</f>
        <v>55.199999999999996</v>
      </c>
      <c r="K121" s="249">
        <f>VLOOKUP(Food!E121,'FG MASTER'!$A$1:$AC$536,16,0)</f>
        <v>1.51</v>
      </c>
      <c r="L121" s="250">
        <f>VLOOKUP(Food!E121,'FG MASTER'!$A$10:$AC$536,17,0)</f>
        <v>4</v>
      </c>
      <c r="M121" s="136">
        <f t="shared" si="55"/>
        <v>1.6</v>
      </c>
      <c r="N121" s="136">
        <f>IFERROR((K121)+M121,"")</f>
        <v>3.1100000000000003</v>
      </c>
      <c r="O121" s="136">
        <f t="shared" si="33"/>
        <v>0.19629999999999992</v>
      </c>
      <c r="P121" s="136">
        <f t="shared" si="34"/>
        <v>0.20799999999999974</v>
      </c>
      <c r="Q121" s="136">
        <f t="shared" si="57"/>
        <v>3.5143</v>
      </c>
      <c r="R121" s="131"/>
      <c r="S121" s="131"/>
      <c r="T121" t="str">
        <f>IFERROR(#REF!*J121,"")</f>
        <v/>
      </c>
      <c r="U121">
        <f t="shared" si="36"/>
        <v>83.35199999999999</v>
      </c>
      <c r="V121">
        <f t="shared" si="37"/>
        <v>220.79999999999998</v>
      </c>
      <c r="W121" s="131">
        <f t="shared" si="38"/>
        <v>88.32</v>
      </c>
      <c r="X121" s="131">
        <f t="shared" si="39"/>
        <v>171.672</v>
      </c>
      <c r="Y121" s="131">
        <f t="shared" si="40"/>
        <v>10.835759999999995</v>
      </c>
      <c r="Z121" s="131">
        <f t="shared" si="41"/>
        <v>11.481599999999984</v>
      </c>
      <c r="AA121" s="131">
        <f t="shared" si="42"/>
        <v>193.98935999999998</v>
      </c>
      <c r="AC121" s="131" t="str">
        <f>IFERROR(T121*'FlightConfig '!$K$3,"")</f>
        <v/>
      </c>
      <c r="AD121" s="131">
        <f>IFERROR(U121*'FlightConfig '!$K$23,"")</f>
        <v>30340.127999999997</v>
      </c>
      <c r="AE121" s="131">
        <f>IFERROR(V121*'FlightConfig '!$K$23,"")</f>
        <v>80371.199999999997</v>
      </c>
      <c r="AF121" s="131">
        <f>IFERROR(W121*'FlightConfig '!$K$23,"")</f>
        <v>32148.479999999996</v>
      </c>
      <c r="AG121" s="131">
        <f>IFERROR(X121*'FlightConfig '!$K$23,"")</f>
        <v>62488.608</v>
      </c>
      <c r="AH121" s="131">
        <f>IFERROR(Y121*'FlightConfig '!$K$23,"")</f>
        <v>3944.2166399999983</v>
      </c>
    </row>
    <row r="122" spans="1:34" hidden="1">
      <c r="A122" t="s">
        <v>157</v>
      </c>
      <c r="B122" s="175">
        <v>1</v>
      </c>
      <c r="C122" s="180" t="str">
        <f>CONCATENATE(A122&amp;B122&amp;F122)</f>
        <v>ECONOMY CLASS1110</v>
      </c>
      <c r="D122" s="316"/>
      <c r="E122" s="309">
        <v>1048</v>
      </c>
      <c r="F122" s="315">
        <v>110</v>
      </c>
      <c r="G122" s="123" t="str">
        <f>VLOOKUP(E122,'FG MASTER'!$A$10:$AB$218,2,0)</f>
        <v>YC C1 DINNER SIDE 1 TOMATO KACHUMBER SAQLAD</v>
      </c>
      <c r="H122" s="290">
        <v>1</v>
      </c>
      <c r="I122" s="177">
        <v>0</v>
      </c>
      <c r="J122" s="296">
        <f>IFERROR(IF(I122="std",H122,HLOOKUP(A122,'FlightConfig '!$B$34:$G$35,2,0)*I122),"")</f>
        <v>0</v>
      </c>
      <c r="K122" s="249">
        <f>VLOOKUP(Food!E122,'FG MASTER'!$A$1:$AC$536,16,0)</f>
        <v>0.05</v>
      </c>
      <c r="L122" s="250">
        <f>VLOOKUP(Food!E122,'FG MASTER'!$A$10:$AC$536,17,0)</f>
        <v>1</v>
      </c>
      <c r="M122" s="136">
        <f t="shared" si="55"/>
        <v>0.4</v>
      </c>
      <c r="N122" s="136">
        <f>IFERROR((K122)+M122,"")</f>
        <v>0.45</v>
      </c>
      <c r="O122" s="136">
        <f t="shared" si="33"/>
        <v>6.4999999999999919E-3</v>
      </c>
      <c r="P122" s="136">
        <f t="shared" si="34"/>
        <v>5.1999999999999935E-2</v>
      </c>
      <c r="Q122" s="136">
        <f t="shared" si="57"/>
        <v>0.50849999999999995</v>
      </c>
      <c r="R122" s="131"/>
      <c r="S122" s="131"/>
      <c r="T122" t="str">
        <f>IFERROR(#REF!*J122,"")</f>
        <v/>
      </c>
      <c r="U122">
        <f t="shared" si="36"/>
        <v>0</v>
      </c>
      <c r="V122">
        <f t="shared" si="37"/>
        <v>0</v>
      </c>
      <c r="W122" s="131">
        <f t="shared" si="38"/>
        <v>0</v>
      </c>
      <c r="X122" s="131">
        <f t="shared" si="39"/>
        <v>0</v>
      </c>
      <c r="Y122" s="131">
        <f t="shared" si="40"/>
        <v>0</v>
      </c>
      <c r="Z122" s="131">
        <f t="shared" si="41"/>
        <v>0</v>
      </c>
      <c r="AA122" s="131">
        <f t="shared" si="42"/>
        <v>0</v>
      </c>
      <c r="AC122" s="131" t="str">
        <f>IFERROR(T122*'FlightConfig '!$K$3,"")</f>
        <v/>
      </c>
      <c r="AD122" s="131">
        <f>IFERROR(U122*'FlightConfig '!$K$23,"")</f>
        <v>0</v>
      </c>
      <c r="AE122" s="131">
        <f>IFERROR(V122*'FlightConfig '!$K$23,"")</f>
        <v>0</v>
      </c>
      <c r="AF122" s="131">
        <f>IFERROR(W122*'FlightConfig '!$K$23,"")</f>
        <v>0</v>
      </c>
      <c r="AG122" s="131">
        <f>IFERROR(X122*'FlightConfig '!$K$23,"")</f>
        <v>0</v>
      </c>
      <c r="AH122" s="131">
        <f>IFERROR(Y122*'FlightConfig '!$K$23,"")</f>
        <v>0</v>
      </c>
    </row>
    <row r="123" spans="1:34" ht="28.9" hidden="1">
      <c r="A123" t="s">
        <v>157</v>
      </c>
      <c r="B123" s="175">
        <v>1</v>
      </c>
      <c r="C123" s="180" t="str">
        <f t="shared" ref="C123:C139" si="58">CONCATENATE(A123&amp;B123&amp;F123)</f>
        <v>ECONOMY CLASS1110</v>
      </c>
      <c r="D123" s="316"/>
      <c r="E123" s="309">
        <v>1049</v>
      </c>
      <c r="F123" s="315">
        <v>110</v>
      </c>
      <c r="G123" s="123" t="str">
        <f>VLOOKUP(E123,'FG MASTER'!$A$10:$AB$218,2,0)</f>
        <v>YC C1 DINNER DESSERT BANANA PUDDING, BISCOFF CUMBLE, BUTTERSCOTCH</v>
      </c>
      <c r="H123" s="290">
        <v>1</v>
      </c>
      <c r="I123" s="177">
        <v>1</v>
      </c>
      <c r="J123" s="296">
        <f>IFERROR(IF(I123="std",H123,HLOOKUP(A123,'FlightConfig '!$B$34:$G$35,2,0)*I123),"")</f>
        <v>184</v>
      </c>
      <c r="K123" s="249">
        <f>VLOOKUP(Food!E123,'FG MASTER'!$A$1:$AC$536,16,0)</f>
        <v>0.63</v>
      </c>
      <c r="L123" s="250">
        <f>VLOOKUP(Food!E123,'FG MASTER'!$A$10:$AC$536,17,0)</f>
        <v>1.5</v>
      </c>
      <c r="M123" s="136">
        <f t="shared" si="55"/>
        <v>0.60000000000000009</v>
      </c>
      <c r="N123" s="136">
        <f t="shared" ref="N123:N135" si="59">IFERROR((K123)+M123,"")</f>
        <v>1.23</v>
      </c>
      <c r="O123" s="136">
        <f t="shared" si="33"/>
        <v>8.1899999999999973E-2</v>
      </c>
      <c r="P123" s="136">
        <f t="shared" si="34"/>
        <v>7.7999999999999958E-2</v>
      </c>
      <c r="Q123" s="136">
        <f t="shared" si="57"/>
        <v>1.3898999999999999</v>
      </c>
      <c r="R123" s="131"/>
      <c r="S123" s="131"/>
      <c r="T123" t="str">
        <f>IFERROR(#REF!*J123,"")</f>
        <v/>
      </c>
      <c r="U123">
        <f t="shared" si="36"/>
        <v>115.92</v>
      </c>
      <c r="V123">
        <f t="shared" si="37"/>
        <v>276</v>
      </c>
      <c r="W123" s="131">
        <f t="shared" si="38"/>
        <v>110.40000000000002</v>
      </c>
      <c r="X123" s="131">
        <f t="shared" si="39"/>
        <v>226.32</v>
      </c>
      <c r="Y123" s="131">
        <f t="shared" si="40"/>
        <v>15.069599999999994</v>
      </c>
      <c r="Z123" s="131">
        <f t="shared" si="41"/>
        <v>14.351999999999993</v>
      </c>
      <c r="AA123" s="131">
        <f t="shared" si="42"/>
        <v>255.74159999999998</v>
      </c>
      <c r="AC123" s="131" t="str">
        <f>IFERROR(T123*'FlightConfig '!$K$3,"")</f>
        <v/>
      </c>
      <c r="AD123" s="131">
        <f>IFERROR(U123*'FlightConfig '!$K$23,"")</f>
        <v>42194.879999999997</v>
      </c>
      <c r="AE123" s="131">
        <f>IFERROR(V123*'FlightConfig '!$K$23,"")</f>
        <v>100464</v>
      </c>
      <c r="AF123" s="131">
        <f>IFERROR(W123*'FlightConfig '!$K$23,"")</f>
        <v>40185.600000000006</v>
      </c>
      <c r="AG123" s="131">
        <f>IFERROR(X123*'FlightConfig '!$K$23,"")</f>
        <v>82380.479999999996</v>
      </c>
      <c r="AH123" s="131">
        <f>IFERROR(Y123*'FlightConfig '!$K$23,"")</f>
        <v>5485.3343999999979</v>
      </c>
    </row>
    <row r="124" spans="1:34" ht="28.9" hidden="1">
      <c r="A124" t="s">
        <v>157</v>
      </c>
      <c r="B124" s="175">
        <v>1</v>
      </c>
      <c r="C124" s="180" t="str">
        <f t="shared" si="58"/>
        <v>ECONOMY CLASS1110</v>
      </c>
      <c r="D124" s="316"/>
      <c r="E124" s="309">
        <v>1050</v>
      </c>
      <c r="F124" s="315">
        <v>110</v>
      </c>
      <c r="G124" s="123" t="str">
        <f>VLOOKUP(E124,'FG MASTER'!$A$10:$AB$218,2,0)</f>
        <v>YC C1 BREAKFAST SANDWICH 1 FARM EGG BREAKFAST BURROTTO, SALSA ROJA</v>
      </c>
      <c r="H124" s="290">
        <v>1</v>
      </c>
      <c r="I124" s="177">
        <v>0.4</v>
      </c>
      <c r="J124" s="296">
        <f>IFERROR(IF(I124="std",H124,HLOOKUP(A124,'FlightConfig '!$B$34:$G$35,2,0)*I124),"")</f>
        <v>73.600000000000009</v>
      </c>
      <c r="K124" s="249">
        <f>VLOOKUP(Food!E124,'FG MASTER'!$A$1:$AC$536,16,0)</f>
        <v>1.3</v>
      </c>
      <c r="L124" s="250">
        <f>VLOOKUP(Food!E124,'FG MASTER'!$A$10:$AC$536,17,0)</f>
        <v>1.25</v>
      </c>
      <c r="M124" s="136">
        <f t="shared" si="55"/>
        <v>0.5</v>
      </c>
      <c r="N124" s="136">
        <f t="shared" si="59"/>
        <v>1.8</v>
      </c>
      <c r="O124" s="136">
        <f t="shared" si="33"/>
        <v>0.16899999999999982</v>
      </c>
      <c r="P124" s="136">
        <f t="shared" si="34"/>
        <v>6.4999999999999947E-2</v>
      </c>
      <c r="Q124" s="136">
        <f t="shared" si="57"/>
        <v>2.0339999999999998</v>
      </c>
      <c r="R124" s="131"/>
      <c r="S124" s="131"/>
      <c r="T124" t="str">
        <f>IFERROR(#REF!*J124,"")</f>
        <v/>
      </c>
      <c r="U124">
        <f t="shared" si="36"/>
        <v>95.680000000000021</v>
      </c>
      <c r="V124">
        <f t="shared" si="37"/>
        <v>92.000000000000014</v>
      </c>
      <c r="W124" s="131">
        <f t="shared" si="38"/>
        <v>36.800000000000004</v>
      </c>
      <c r="X124" s="131">
        <f t="shared" si="39"/>
        <v>132.48000000000002</v>
      </c>
      <c r="Y124" s="131">
        <f t="shared" si="40"/>
        <v>12.438399999999987</v>
      </c>
      <c r="Z124" s="131">
        <f t="shared" si="41"/>
        <v>4.7839999999999963</v>
      </c>
      <c r="AA124" s="131">
        <f t="shared" si="42"/>
        <v>149.70240000000001</v>
      </c>
      <c r="AC124" s="131" t="str">
        <f>IFERROR(T124*'FlightConfig '!$K$3,"")</f>
        <v/>
      </c>
      <c r="AD124" s="131">
        <f>IFERROR(U124*'FlightConfig '!$K$23,"")</f>
        <v>34827.520000000004</v>
      </c>
      <c r="AE124" s="131">
        <f>IFERROR(V124*'FlightConfig '!$K$23,"")</f>
        <v>33488.000000000007</v>
      </c>
      <c r="AF124" s="131">
        <f>IFERROR(W124*'FlightConfig '!$K$23,"")</f>
        <v>13395.2</v>
      </c>
      <c r="AG124" s="131">
        <f>IFERROR(X124*'FlightConfig '!$K$23,"")</f>
        <v>48222.720000000008</v>
      </c>
      <c r="AH124" s="131">
        <f>IFERROR(Y124*'FlightConfig '!$K$23,"")</f>
        <v>4527.5775999999951</v>
      </c>
    </row>
    <row r="125" spans="1:34" ht="43.15" hidden="1">
      <c r="A125" t="s">
        <v>157</v>
      </c>
      <c r="B125" s="175">
        <v>1</v>
      </c>
      <c r="C125" s="180" t="str">
        <f t="shared" si="58"/>
        <v>ECONOMY CLASS1110</v>
      </c>
      <c r="D125" s="316"/>
      <c r="E125" s="309">
        <v>1051</v>
      </c>
      <c r="F125" s="315">
        <v>110</v>
      </c>
      <c r="G125" s="123" t="str">
        <f>VLOOKUP(E125,'FG MASTER'!$A$10:$AB$218,2,0)</f>
        <v>YC C1 BREAKFAST SANDWICH 2 BACON, EGG AND CHEESE HAND PIE WITH HASH BROWNS, SUNDRIED TOMATO AIOLI</v>
      </c>
      <c r="H125" s="290">
        <v>1</v>
      </c>
      <c r="I125" s="177">
        <v>0.6</v>
      </c>
      <c r="J125" s="296">
        <f>IFERROR(IF(I125="std",H125,HLOOKUP(A125,'FlightConfig '!$B$34:$G$35,2,0)*I125),"")</f>
        <v>110.39999999999999</v>
      </c>
      <c r="K125" s="249">
        <f>VLOOKUP(Food!E125,'FG MASTER'!$A$1:$AC$536,16,0)</f>
        <v>1.94</v>
      </c>
      <c r="L125" s="250">
        <f>VLOOKUP(Food!E125,'FG MASTER'!$A$10:$AC$536,17,0)</f>
        <v>1.25</v>
      </c>
      <c r="M125" s="136">
        <f t="shared" si="55"/>
        <v>0.5</v>
      </c>
      <c r="N125" s="136">
        <f t="shared" si="59"/>
        <v>2.44</v>
      </c>
      <c r="O125" s="136">
        <f t="shared" si="33"/>
        <v>0.25219999999999976</v>
      </c>
      <c r="P125" s="136">
        <f t="shared" si="34"/>
        <v>6.4999999999999947E-2</v>
      </c>
      <c r="Q125" s="136">
        <f t="shared" si="57"/>
        <v>2.7571999999999997</v>
      </c>
      <c r="R125" s="131"/>
      <c r="S125" s="131"/>
      <c r="T125" t="str">
        <f>IFERROR(#REF!*J125,"")</f>
        <v/>
      </c>
      <c r="U125">
        <f t="shared" si="36"/>
        <v>214.17599999999999</v>
      </c>
      <c r="V125">
        <f t="shared" si="37"/>
        <v>138</v>
      </c>
      <c r="W125" s="131">
        <f t="shared" si="38"/>
        <v>55.199999999999996</v>
      </c>
      <c r="X125" s="131">
        <f t="shared" si="39"/>
        <v>269.37599999999998</v>
      </c>
      <c r="Y125" s="131">
        <f t="shared" si="40"/>
        <v>27.842879999999973</v>
      </c>
      <c r="Z125" s="131">
        <f t="shared" si="41"/>
        <v>7.1759999999999939</v>
      </c>
      <c r="AA125" s="131">
        <f t="shared" si="42"/>
        <v>304.39487999999994</v>
      </c>
      <c r="AC125" s="131" t="str">
        <f>IFERROR(T125*'FlightConfig '!$K$3,"")</f>
        <v/>
      </c>
      <c r="AD125" s="131">
        <f>IFERROR(U125*'FlightConfig '!$K$23,"")</f>
        <v>77960.063999999998</v>
      </c>
      <c r="AE125" s="131">
        <f>IFERROR(V125*'FlightConfig '!$K$23,"")</f>
        <v>50232</v>
      </c>
      <c r="AF125" s="131">
        <f>IFERROR(W125*'FlightConfig '!$K$23,"")</f>
        <v>20092.8</v>
      </c>
      <c r="AG125" s="131">
        <f>IFERROR(X125*'FlightConfig '!$K$23,"")</f>
        <v>98052.863999999987</v>
      </c>
      <c r="AH125" s="131">
        <f>IFERROR(Y125*'FlightConfig '!$K$23,"")</f>
        <v>10134.808319999989</v>
      </c>
    </row>
    <row r="126" spans="1:34" ht="28.9" hidden="1">
      <c r="A126" t="s">
        <v>157</v>
      </c>
      <c r="B126" s="175">
        <v>1</v>
      </c>
      <c r="C126" s="180" t="str">
        <f t="shared" si="58"/>
        <v>ECONOMY CLASS1110</v>
      </c>
      <c r="D126" s="316"/>
      <c r="E126" s="309">
        <v>1052</v>
      </c>
      <c r="F126" s="315">
        <v>110</v>
      </c>
      <c r="G126" s="123" t="str">
        <f>VLOOKUP(E126,'FG MASTER'!$A$10:$AB$218,2,0)</f>
        <v>YC C1 BREAKFAST SIDE 1 COCONUT CHIA OVERNIGHT OATS</v>
      </c>
      <c r="H126" s="290">
        <v>1</v>
      </c>
      <c r="I126" s="177">
        <v>0</v>
      </c>
      <c r="J126" s="296">
        <f>IFERROR(IF(I126="std",H126,HLOOKUP(A126,'FlightConfig '!$B$34:$G$35,2,0)*I126),"")</f>
        <v>0</v>
      </c>
      <c r="K126" s="249">
        <f>VLOOKUP(Food!E126,'FG MASTER'!$A$1:$AC$536,16,0)</f>
        <v>0.59</v>
      </c>
      <c r="L126" s="250">
        <f>VLOOKUP(Food!E126,'FG MASTER'!$A$10:$AC$536,17,0)</f>
        <v>1.5</v>
      </c>
      <c r="M126" s="136">
        <f t="shared" si="55"/>
        <v>0.60000000000000009</v>
      </c>
      <c r="N126" s="136">
        <f t="shared" si="59"/>
        <v>1.19</v>
      </c>
      <c r="O126" s="136">
        <f t="shared" si="33"/>
        <v>7.6699999999999879E-2</v>
      </c>
      <c r="P126" s="136">
        <f t="shared" si="34"/>
        <v>7.7999999999999958E-2</v>
      </c>
      <c r="Q126" s="136">
        <f t="shared" si="57"/>
        <v>1.3446999999999996</v>
      </c>
      <c r="R126" s="131"/>
      <c r="S126" s="131"/>
      <c r="T126" t="str">
        <f>IFERROR(#REF!*J126,"")</f>
        <v/>
      </c>
      <c r="U126">
        <f t="shared" si="36"/>
        <v>0</v>
      </c>
      <c r="V126">
        <f t="shared" si="37"/>
        <v>0</v>
      </c>
      <c r="W126" s="131">
        <f t="shared" si="38"/>
        <v>0</v>
      </c>
      <c r="X126" s="131">
        <f t="shared" si="39"/>
        <v>0</v>
      </c>
      <c r="Y126" s="131">
        <f t="shared" si="40"/>
        <v>0</v>
      </c>
      <c r="Z126" s="131">
        <f t="shared" si="41"/>
        <v>0</v>
      </c>
      <c r="AA126" s="131">
        <f t="shared" si="42"/>
        <v>0</v>
      </c>
      <c r="AC126" s="131" t="str">
        <f>IFERROR(T126*'FlightConfig '!$K$3,"")</f>
        <v/>
      </c>
      <c r="AD126" s="131">
        <f>IFERROR(U126*'FlightConfig '!$K$23,"")</f>
        <v>0</v>
      </c>
      <c r="AE126" s="131">
        <f>IFERROR(V126*'FlightConfig '!$K$23,"")</f>
        <v>0</v>
      </c>
      <c r="AF126" s="131">
        <f>IFERROR(W126*'FlightConfig '!$K$23,"")</f>
        <v>0</v>
      </c>
      <c r="AG126" s="131">
        <f>IFERROR(X126*'FlightConfig '!$K$23,"")</f>
        <v>0</v>
      </c>
      <c r="AH126" s="131">
        <f>IFERROR(Y126*'FlightConfig '!$K$23,"")</f>
        <v>0</v>
      </c>
    </row>
    <row r="127" spans="1:34" hidden="1">
      <c r="A127" t="s">
        <v>157</v>
      </c>
      <c r="B127" s="175">
        <v>1</v>
      </c>
      <c r="C127" s="180" t="str">
        <f t="shared" si="58"/>
        <v>ECONOMY CLASS1110</v>
      </c>
      <c r="D127" s="316"/>
      <c r="E127" s="309">
        <v>1053</v>
      </c>
      <c r="F127" s="315">
        <v>110</v>
      </c>
      <c r="G127" s="123" t="str">
        <f>VLOOKUP(E127,'FG MASTER'!$A$10:$AB$218,2,0)</f>
        <v>YC C1 BREAKFAST SIDE 2 HOMEMADE BANANA BREAD</v>
      </c>
      <c r="H127" s="290">
        <v>1</v>
      </c>
      <c r="I127" s="177">
        <v>0</v>
      </c>
      <c r="J127" s="296">
        <f>IFERROR(IF(I127="std",H127,HLOOKUP(A127,'FlightConfig '!$B$34:$G$35,2,0)*I127),"")</f>
        <v>0</v>
      </c>
      <c r="K127" s="249">
        <f>VLOOKUP(Food!E127,'FG MASTER'!$A$1:$AC$536,16,0)</f>
        <v>0.28000000000000003</v>
      </c>
      <c r="L127" s="250">
        <f>VLOOKUP(Food!E127,'FG MASTER'!$A$10:$AC$536,17,0)</f>
        <v>1</v>
      </c>
      <c r="M127" s="136">
        <f t="shared" si="55"/>
        <v>0.4</v>
      </c>
      <c r="N127" s="136">
        <f t="shared" si="59"/>
        <v>0.68</v>
      </c>
      <c r="O127" s="136">
        <f t="shared" si="33"/>
        <v>3.6399999999999988E-2</v>
      </c>
      <c r="P127" s="136">
        <f t="shared" si="34"/>
        <v>5.1999999999999935E-2</v>
      </c>
      <c r="Q127" s="136">
        <f t="shared" si="57"/>
        <v>0.76839999999999997</v>
      </c>
      <c r="R127" s="131"/>
      <c r="S127" s="131"/>
      <c r="T127" t="str">
        <f>IFERROR(#REF!*J127,"")</f>
        <v/>
      </c>
      <c r="U127">
        <f t="shared" si="36"/>
        <v>0</v>
      </c>
      <c r="V127">
        <f t="shared" si="37"/>
        <v>0</v>
      </c>
      <c r="W127" s="131">
        <f t="shared" si="38"/>
        <v>0</v>
      </c>
      <c r="X127" s="131">
        <f t="shared" si="39"/>
        <v>0</v>
      </c>
      <c r="Y127" s="131">
        <f t="shared" si="40"/>
        <v>0</v>
      </c>
      <c r="Z127" s="131">
        <f t="shared" si="41"/>
        <v>0</v>
      </c>
      <c r="AA127" s="131">
        <f t="shared" si="42"/>
        <v>0</v>
      </c>
      <c r="AC127" s="131" t="str">
        <f>IFERROR(T127*'FlightConfig '!$K$3,"")</f>
        <v/>
      </c>
      <c r="AD127" s="131">
        <f>IFERROR(U127*'FlightConfig '!$K$23,"")</f>
        <v>0</v>
      </c>
      <c r="AE127" s="131">
        <f>IFERROR(V127*'FlightConfig '!$K$23,"")</f>
        <v>0</v>
      </c>
      <c r="AF127" s="131">
        <f>IFERROR(W127*'FlightConfig '!$K$23,"")</f>
        <v>0</v>
      </c>
      <c r="AG127" s="131">
        <f>IFERROR(X127*'FlightConfig '!$K$23,"")</f>
        <v>0</v>
      </c>
      <c r="AH127" s="131">
        <f>IFERROR(Y127*'FlightConfig '!$K$23,"")</f>
        <v>0</v>
      </c>
    </row>
    <row r="128" spans="1:34" ht="28.9">
      <c r="A128" t="s">
        <v>188</v>
      </c>
      <c r="B128" s="175">
        <v>1</v>
      </c>
      <c r="C128" s="180" t="str">
        <f t="shared" si="58"/>
        <v>CABIN CREW CLASS1110</v>
      </c>
      <c r="D128" s="316"/>
      <c r="E128" s="309">
        <v>1054</v>
      </c>
      <c r="F128" s="315">
        <v>110</v>
      </c>
      <c r="G128" s="123" t="str">
        <f>VLOOKUP(E128,'FG MASTER'!$A$10:$AB$218,2,0)</f>
        <v>CREW C1 DINNER CHEESE &amp; CRACKER, CELERY STICK, CARROT, HUMMUS</v>
      </c>
      <c r="H128" s="290">
        <v>1</v>
      </c>
      <c r="I128" s="177">
        <v>1</v>
      </c>
      <c r="J128" s="296">
        <f>IFERROR(IF(I128="std",H128,HLOOKUP(A128,'FlightConfig '!$B$34:$G$35,2,0)*I128),"")</f>
        <v>6</v>
      </c>
      <c r="K128" s="249">
        <f>VLOOKUP(Food!E128,'FG MASTER'!$A$1:$AC$536,16,0)</f>
        <v>1.23</v>
      </c>
      <c r="L128" s="250">
        <f>VLOOKUP(Food!E128,'FG MASTER'!$A$10:$AC$536,17,0)</f>
        <v>1.5</v>
      </c>
      <c r="M128" s="136">
        <f t="shared" si="55"/>
        <v>0.60000000000000009</v>
      </c>
      <c r="N128" s="136">
        <f t="shared" si="59"/>
        <v>1.83</v>
      </c>
      <c r="O128" s="136">
        <f t="shared" si="33"/>
        <v>0.15989999999999993</v>
      </c>
      <c r="P128" s="136">
        <f t="shared" si="34"/>
        <v>7.7999999999999958E-2</v>
      </c>
      <c r="Q128" s="136">
        <f t="shared" si="57"/>
        <v>2.0678999999999998</v>
      </c>
      <c r="R128" s="131"/>
      <c r="S128" s="131"/>
      <c r="T128" t="str">
        <f>IFERROR(#REF!*J128,"")</f>
        <v/>
      </c>
      <c r="U128">
        <f t="shared" si="36"/>
        <v>7.38</v>
      </c>
      <c r="V128">
        <f t="shared" si="37"/>
        <v>9</v>
      </c>
      <c r="W128" s="131">
        <f t="shared" si="38"/>
        <v>3.6000000000000005</v>
      </c>
      <c r="X128" s="131">
        <f t="shared" si="39"/>
        <v>10.98</v>
      </c>
      <c r="Y128" s="131">
        <f t="shared" si="40"/>
        <v>0.95939999999999959</v>
      </c>
      <c r="Z128" s="131">
        <f t="shared" si="41"/>
        <v>0.46799999999999975</v>
      </c>
      <c r="AA128" s="131">
        <f t="shared" si="42"/>
        <v>12.407399999999999</v>
      </c>
      <c r="AC128" s="131" t="str">
        <f>IFERROR(T128*'FlightConfig '!$K$3,"")</f>
        <v/>
      </c>
      <c r="AD128" s="131">
        <f>IFERROR(U128*'FlightConfig '!$K$23,"")</f>
        <v>2686.32</v>
      </c>
      <c r="AE128" s="131">
        <f>IFERROR(V128*'FlightConfig '!$K$23,"")</f>
        <v>3276</v>
      </c>
      <c r="AF128" s="131">
        <f>IFERROR(W128*'FlightConfig '!$K$23,"")</f>
        <v>1310.4000000000001</v>
      </c>
      <c r="AG128" s="131">
        <f>IFERROR(X128*'FlightConfig '!$K$23,"")</f>
        <v>3996.7200000000003</v>
      </c>
      <c r="AH128" s="131">
        <f>IFERROR(Y128*'FlightConfig '!$K$23,"")</f>
        <v>349.22159999999985</v>
      </c>
    </row>
    <row r="129" spans="1:34" ht="28.9">
      <c r="A129" t="s">
        <v>188</v>
      </c>
      <c r="B129" s="175">
        <v>1</v>
      </c>
      <c r="C129" s="180" t="str">
        <f t="shared" si="58"/>
        <v>CABIN CREW CLASS1110</v>
      </c>
      <c r="D129" s="316"/>
      <c r="E129" s="309">
        <v>1055</v>
      </c>
      <c r="F129" s="315">
        <v>110</v>
      </c>
      <c r="G129" s="123" t="str">
        <f>VLOOKUP(E129,'FG MASTER'!$A$10:$AB$218,2,0)</f>
        <v>CREW C1 DINNER HARD BOILED EGG WITH TURKEY CUBES AND CHEDDAR</v>
      </c>
      <c r="H129" s="290">
        <v>1</v>
      </c>
      <c r="I129" s="177">
        <v>1</v>
      </c>
      <c r="J129" s="296">
        <f>IFERROR(IF(I129="std",H129,HLOOKUP(A129,'FlightConfig '!$B$34:$G$35,2,0)*I129),"")</f>
        <v>6</v>
      </c>
      <c r="K129" s="249">
        <f>VLOOKUP(Food!E129,'FG MASTER'!$A$1:$AC$536,16,0)</f>
        <v>2.08</v>
      </c>
      <c r="L129" s="250">
        <f>VLOOKUP(Food!E129,'FG MASTER'!$A$10:$AC$536,17,0)</f>
        <v>1</v>
      </c>
      <c r="M129" s="136">
        <f t="shared" si="55"/>
        <v>0.4</v>
      </c>
      <c r="N129" s="136">
        <f t="shared" si="59"/>
        <v>2.48</v>
      </c>
      <c r="O129" s="136">
        <f t="shared" si="33"/>
        <v>0.27039999999999997</v>
      </c>
      <c r="P129" s="136">
        <f t="shared" si="34"/>
        <v>5.1999999999999935E-2</v>
      </c>
      <c r="Q129" s="136">
        <f t="shared" si="57"/>
        <v>2.8024</v>
      </c>
      <c r="R129" s="131"/>
      <c r="S129" s="131"/>
      <c r="T129" t="str">
        <f>IFERROR(#REF!*J129,"")</f>
        <v/>
      </c>
      <c r="U129">
        <f t="shared" si="36"/>
        <v>12.48</v>
      </c>
      <c r="V129">
        <f t="shared" si="37"/>
        <v>6</v>
      </c>
      <c r="W129" s="131">
        <f t="shared" si="38"/>
        <v>2.4000000000000004</v>
      </c>
      <c r="X129" s="131">
        <f t="shared" si="39"/>
        <v>14.879999999999999</v>
      </c>
      <c r="Y129" s="131">
        <f t="shared" si="40"/>
        <v>1.6223999999999998</v>
      </c>
      <c r="Z129" s="131">
        <f t="shared" si="41"/>
        <v>0.31199999999999961</v>
      </c>
      <c r="AA129" s="131">
        <f t="shared" si="42"/>
        <v>16.814399999999999</v>
      </c>
      <c r="AC129" s="131" t="str">
        <f>IFERROR(T129*'FlightConfig '!$K$3,"")</f>
        <v/>
      </c>
      <c r="AD129" s="131">
        <f>IFERROR(U129*'FlightConfig '!$K$23,"")</f>
        <v>4542.72</v>
      </c>
      <c r="AE129" s="131">
        <f>IFERROR(V129*'FlightConfig '!$K$23,"")</f>
        <v>2184</v>
      </c>
      <c r="AF129" s="131">
        <f>IFERROR(W129*'FlightConfig '!$K$23,"")</f>
        <v>873.60000000000014</v>
      </c>
      <c r="AG129" s="131">
        <f>IFERROR(X129*'FlightConfig '!$K$23,"")</f>
        <v>5416.32</v>
      </c>
      <c r="AH129" s="131">
        <f>IFERROR(Y129*'FlightConfig '!$K$23,"")</f>
        <v>590.55359999999996</v>
      </c>
    </row>
    <row r="130" spans="1:34" ht="28.9">
      <c r="A130" t="s">
        <v>188</v>
      </c>
      <c r="B130" s="175">
        <v>1</v>
      </c>
      <c r="C130" s="180" t="str">
        <f t="shared" si="58"/>
        <v>CABIN CREW CLASS1110</v>
      </c>
      <c r="D130" s="316"/>
      <c r="E130" s="309">
        <v>1056</v>
      </c>
      <c r="F130" s="315">
        <v>110</v>
      </c>
      <c r="G130" s="123" t="str">
        <f>VLOOKUP(E130,'FG MASTER'!$A$10:$AB$218,2,0)</f>
        <v>CREW C1 DINNER WHOLE FRUIT BANANA, APPLES AND ORANGE</v>
      </c>
      <c r="H130" s="290">
        <v>1</v>
      </c>
      <c r="I130" s="177">
        <v>1</v>
      </c>
      <c r="J130" s="296">
        <f>IFERROR(IF(I130="std",H130,HLOOKUP(A130,'FlightConfig '!$B$34:$G$35,2,0)*I130),"")</f>
        <v>6</v>
      </c>
      <c r="K130" s="249">
        <f>VLOOKUP(Food!E130,'FG MASTER'!$A$1:$AC$536,16,0)</f>
        <v>1.32</v>
      </c>
      <c r="L130" s="250">
        <f>VLOOKUP(Food!E130,'FG MASTER'!$A$10:$AC$536,17,0)</f>
        <v>1</v>
      </c>
      <c r="M130" s="136">
        <f>IFERROR(L130*$M$2,"")</f>
        <v>0.4</v>
      </c>
      <c r="N130" s="136">
        <f t="shared" si="59"/>
        <v>1.7200000000000002</v>
      </c>
      <c r="O130" s="136">
        <f t="shared" si="33"/>
        <v>0.17159999999999997</v>
      </c>
      <c r="P130" s="136">
        <f t="shared" si="34"/>
        <v>5.1999999999999935E-2</v>
      </c>
      <c r="Q130" s="136">
        <f t="shared" si="57"/>
        <v>1.9436</v>
      </c>
      <c r="R130" s="131"/>
      <c r="S130" s="131"/>
      <c r="T130" t="str">
        <f>IFERROR(#REF!*J130,"")</f>
        <v/>
      </c>
      <c r="U130">
        <f t="shared" si="36"/>
        <v>7.92</v>
      </c>
      <c r="V130">
        <f t="shared" si="37"/>
        <v>6</v>
      </c>
      <c r="W130" s="131">
        <f t="shared" si="38"/>
        <v>2.4000000000000004</v>
      </c>
      <c r="X130" s="131">
        <f t="shared" si="39"/>
        <v>10.32</v>
      </c>
      <c r="Y130" s="131">
        <f t="shared" si="40"/>
        <v>1.0295999999999998</v>
      </c>
      <c r="Z130" s="131">
        <f t="shared" si="41"/>
        <v>0.31199999999999961</v>
      </c>
      <c r="AA130" s="131">
        <f t="shared" si="42"/>
        <v>11.6616</v>
      </c>
      <c r="AC130" s="131" t="str">
        <f>IFERROR(T130*'FlightConfig '!$K$3,"")</f>
        <v/>
      </c>
      <c r="AD130" s="131">
        <f>IFERROR(U130*'FlightConfig '!$K$23,"")</f>
        <v>2882.88</v>
      </c>
      <c r="AE130" s="131">
        <f>IFERROR(V130*'FlightConfig '!$K$23,"")</f>
        <v>2184</v>
      </c>
      <c r="AF130" s="131">
        <f>IFERROR(W130*'FlightConfig '!$K$23,"")</f>
        <v>873.60000000000014</v>
      </c>
      <c r="AG130" s="131">
        <f>IFERROR(X130*'FlightConfig '!$K$23,"")</f>
        <v>3756.48</v>
      </c>
      <c r="AH130" s="131">
        <f>IFERROR(Y130*'FlightConfig '!$K$23,"")</f>
        <v>374.77439999999996</v>
      </c>
    </row>
    <row r="131" spans="1:34" ht="28.9">
      <c r="A131" t="s">
        <v>188</v>
      </c>
      <c r="B131" s="175">
        <v>1</v>
      </c>
      <c r="C131" s="180" t="str">
        <f t="shared" si="58"/>
        <v>CABIN CREW CLASS1110</v>
      </c>
      <c r="D131" s="298"/>
      <c r="E131" s="310">
        <v>1057</v>
      </c>
      <c r="F131" s="315">
        <v>110</v>
      </c>
      <c r="G131" s="123" t="str">
        <f>VLOOKUP(E131,'FG MASTER'!$A$10:$AB$218,2,0)</f>
        <v xml:space="preserve">CREW C1 DINNER ENTRÉE 1 VEGAN COCONUT CURRY WITH BASMATI RICE </v>
      </c>
      <c r="H131" s="290">
        <v>1</v>
      </c>
      <c r="I131" s="177">
        <v>1</v>
      </c>
      <c r="J131" s="296">
        <f>IFERROR(IF(I131="std",H131,HLOOKUP(A131,'FlightConfig '!$B$34:$G$35,2,0)*I131),"")</f>
        <v>6</v>
      </c>
      <c r="K131" s="249">
        <f>VLOOKUP(Food!E131,'FG MASTER'!$A$1:$AC$536,16,0)</f>
        <v>2.16</v>
      </c>
      <c r="L131" s="250">
        <f>VLOOKUP(Food!E131,'FG MASTER'!$A$10:$AC$536,17,0)</f>
        <v>3.5</v>
      </c>
      <c r="M131" s="136">
        <f t="shared" ref="M131:M144" si="60">IFERROR(L131*$M$2,"")</f>
        <v>1.4000000000000001</v>
      </c>
      <c r="N131" s="136">
        <f t="shared" si="59"/>
        <v>3.5600000000000005</v>
      </c>
      <c r="O131" s="136">
        <f t="shared" si="33"/>
        <v>0.28079999999999972</v>
      </c>
      <c r="P131" s="136">
        <f t="shared" si="34"/>
        <v>0.18199999999999994</v>
      </c>
      <c r="Q131" s="136">
        <f t="shared" si="57"/>
        <v>4.0228000000000002</v>
      </c>
      <c r="R131" s="131"/>
      <c r="S131" s="131"/>
      <c r="T131" t="str">
        <f>IFERROR(#REF!*J131,"")</f>
        <v/>
      </c>
      <c r="U131">
        <f t="shared" si="36"/>
        <v>12.96</v>
      </c>
      <c r="V131">
        <f t="shared" si="37"/>
        <v>21</v>
      </c>
      <c r="W131" s="131">
        <f t="shared" si="38"/>
        <v>8.4</v>
      </c>
      <c r="X131" s="131">
        <f t="shared" si="39"/>
        <v>21.360000000000003</v>
      </c>
      <c r="Y131" s="131">
        <f t="shared" si="40"/>
        <v>1.6847999999999983</v>
      </c>
      <c r="Z131" s="131">
        <f t="shared" si="41"/>
        <v>1.0919999999999996</v>
      </c>
      <c r="AA131" s="131">
        <f t="shared" si="42"/>
        <v>24.136800000000001</v>
      </c>
      <c r="AC131" s="131" t="str">
        <f>IFERROR(T131*'FlightConfig '!$K$3,"")</f>
        <v/>
      </c>
      <c r="AD131" s="131">
        <f>IFERROR(U131*'FlightConfig '!$K$23,"")</f>
        <v>4717.4400000000005</v>
      </c>
      <c r="AE131" s="131">
        <f>IFERROR(V131*'FlightConfig '!$K$23,"")</f>
        <v>7644</v>
      </c>
      <c r="AF131" s="131">
        <f>IFERROR(W131*'FlightConfig '!$K$23,"")</f>
        <v>3057.6</v>
      </c>
      <c r="AG131" s="131">
        <f>IFERROR(X131*'FlightConfig '!$K$23,"")</f>
        <v>7775.0400000000009</v>
      </c>
      <c r="AH131" s="131">
        <f>IFERROR(Y131*'FlightConfig '!$K$23,"")</f>
        <v>613.26719999999943</v>
      </c>
    </row>
    <row r="132" spans="1:34" ht="43.15">
      <c r="A132" t="s">
        <v>188</v>
      </c>
      <c r="B132" s="175">
        <v>1</v>
      </c>
      <c r="C132" s="180" t="str">
        <f t="shared" si="58"/>
        <v>CABIN CREW CLASS1110</v>
      </c>
      <c r="D132" s="298"/>
      <c r="E132" s="310">
        <v>1058</v>
      </c>
      <c r="F132" s="315">
        <v>110</v>
      </c>
      <c r="G132" s="123" t="str">
        <f>VLOOKUP(E132,'FG MASTER'!$A$10:$AB$218,2,0)</f>
        <v>CREW C1 DINNER ENTRÉE 2 LEMON CONFIT CHICKEN LEG WITH FINGERING POTATOES, HARICOT VERT, CHICKEN JUS AND LEMON AGRUMATO</v>
      </c>
      <c r="H132" s="290">
        <v>1</v>
      </c>
      <c r="I132" s="177">
        <v>1</v>
      </c>
      <c r="J132" s="296">
        <f>IFERROR(IF(I132="std",H132,HLOOKUP(A132,'FlightConfig '!$B$34:$G$35,2,0)*I132),"")</f>
        <v>6</v>
      </c>
      <c r="K132" s="249">
        <f>VLOOKUP(Food!E132,'FG MASTER'!$A$1:$AC$536,16,0)</f>
        <v>4.28</v>
      </c>
      <c r="L132" s="250">
        <f>VLOOKUP(Food!E132,'FG MASTER'!$A$10:$AC$536,17,0)</f>
        <v>4.25</v>
      </c>
      <c r="M132" s="136">
        <f t="shared" si="60"/>
        <v>1.7000000000000002</v>
      </c>
      <c r="N132" s="136">
        <f t="shared" si="59"/>
        <v>5.98</v>
      </c>
      <c r="O132" s="136">
        <f t="shared" si="33"/>
        <v>0.55640000000000001</v>
      </c>
      <c r="P132" s="136">
        <f t="shared" si="34"/>
        <v>0.22099999999999986</v>
      </c>
      <c r="Q132" s="136">
        <f t="shared" si="57"/>
        <v>6.7574000000000005</v>
      </c>
      <c r="R132" s="131"/>
      <c r="S132" s="131"/>
      <c r="T132" t="str">
        <f>IFERROR(#REF!*J132,"")</f>
        <v/>
      </c>
      <c r="U132">
        <f t="shared" si="36"/>
        <v>25.68</v>
      </c>
      <c r="V132">
        <f t="shared" si="37"/>
        <v>25.5</v>
      </c>
      <c r="W132" s="131">
        <f t="shared" si="38"/>
        <v>10.200000000000001</v>
      </c>
      <c r="X132" s="131">
        <f t="shared" si="39"/>
        <v>35.880000000000003</v>
      </c>
      <c r="Y132" s="131">
        <f t="shared" si="40"/>
        <v>3.3384</v>
      </c>
      <c r="Z132" s="131">
        <f t="shared" si="41"/>
        <v>1.3259999999999992</v>
      </c>
      <c r="AA132" s="131">
        <f t="shared" si="42"/>
        <v>40.544400000000003</v>
      </c>
      <c r="AC132" s="131" t="str">
        <f>IFERROR(T132*'FlightConfig '!$K$3,"")</f>
        <v/>
      </c>
      <c r="AD132" s="131">
        <f>IFERROR(U132*'FlightConfig '!$K$23,"")</f>
        <v>9347.52</v>
      </c>
      <c r="AE132" s="131">
        <f>IFERROR(V132*'FlightConfig '!$K$23,"")</f>
        <v>9282</v>
      </c>
      <c r="AF132" s="131">
        <f>IFERROR(W132*'FlightConfig '!$K$23,"")</f>
        <v>3712.8</v>
      </c>
      <c r="AG132" s="131">
        <f>IFERROR(X132*'FlightConfig '!$K$23,"")</f>
        <v>13060.320000000002</v>
      </c>
      <c r="AH132" s="131">
        <f>IFERROR(Y132*'FlightConfig '!$K$23,"")</f>
        <v>1215.1776</v>
      </c>
    </row>
    <row r="133" spans="1:34" ht="43.15">
      <c r="A133" t="s">
        <v>188</v>
      </c>
      <c r="B133" s="175">
        <v>1</v>
      </c>
      <c r="C133" s="180" t="str">
        <f t="shared" si="58"/>
        <v>CABIN CREW CLASS1110</v>
      </c>
      <c r="D133" s="298"/>
      <c r="E133" s="308">
        <v>1059</v>
      </c>
      <c r="F133" s="315">
        <v>110</v>
      </c>
      <c r="G133" s="123" t="str">
        <f>VLOOKUP(E133,'FG MASTER'!$A$10:$AB$218,2,0)</f>
        <v>CREW C1 DINNER ENTRÉE 3 TRUFFLE PARMESAN RISOTTO WITH ZUCCHINI, WILD MUSHROOM CONSERVA, ASPARAGUS, BABAY ARTICHOKE</v>
      </c>
      <c r="H133" s="290">
        <v>1</v>
      </c>
      <c r="I133" s="177">
        <v>1</v>
      </c>
      <c r="J133" s="296">
        <f>IFERROR(IF(I133="std",H133,HLOOKUP(A133,'FlightConfig '!$B$34:$G$35,2,0)*I133),"")</f>
        <v>6</v>
      </c>
      <c r="K133" s="249">
        <f>VLOOKUP(Food!E133,'FG MASTER'!$A$1:$AC$536,16,0)</f>
        <v>3.41</v>
      </c>
      <c r="L133" s="250">
        <f>VLOOKUP(Food!E133,'FG MASTER'!$A$10:$AC$536,17,0)</f>
        <v>4.25</v>
      </c>
      <c r="M133" s="136">
        <f t="shared" si="60"/>
        <v>1.7000000000000002</v>
      </c>
      <c r="N133" s="136">
        <f t="shared" si="59"/>
        <v>5.1100000000000003</v>
      </c>
      <c r="O133" s="136">
        <f t="shared" si="33"/>
        <v>0.44329999999999981</v>
      </c>
      <c r="P133" s="136">
        <f t="shared" si="34"/>
        <v>0.22099999999999986</v>
      </c>
      <c r="Q133" s="136">
        <f t="shared" si="57"/>
        <v>5.7743000000000002</v>
      </c>
      <c r="R133" s="131"/>
      <c r="S133" s="131"/>
      <c r="T133" t="str">
        <f>IFERROR(#REF!*J133,"")</f>
        <v/>
      </c>
      <c r="U133">
        <f t="shared" si="36"/>
        <v>20.46</v>
      </c>
      <c r="V133">
        <f t="shared" si="37"/>
        <v>25.5</v>
      </c>
      <c r="W133" s="131">
        <f t="shared" si="38"/>
        <v>10.200000000000001</v>
      </c>
      <c r="X133" s="131">
        <f t="shared" si="39"/>
        <v>30.660000000000004</v>
      </c>
      <c r="Y133" s="131">
        <f t="shared" si="40"/>
        <v>2.6597999999999988</v>
      </c>
      <c r="Z133" s="131">
        <f t="shared" si="41"/>
        <v>1.3259999999999992</v>
      </c>
      <c r="AA133" s="131">
        <f t="shared" si="42"/>
        <v>34.645800000000001</v>
      </c>
      <c r="AC133" s="131" t="str">
        <f>IFERROR(T133*'FlightConfig '!$K$3,"")</f>
        <v/>
      </c>
      <c r="AD133" s="131">
        <f>IFERROR(U133*'FlightConfig '!$K$23,"")</f>
        <v>7447.4400000000005</v>
      </c>
      <c r="AE133" s="131">
        <f>IFERROR(V133*'FlightConfig '!$K$23,"")</f>
        <v>9282</v>
      </c>
      <c r="AF133" s="131">
        <f>IFERROR(W133*'FlightConfig '!$K$23,"")</f>
        <v>3712.8</v>
      </c>
      <c r="AG133" s="131">
        <f>IFERROR(X133*'FlightConfig '!$K$23,"")</f>
        <v>11160.240000000002</v>
      </c>
      <c r="AH133" s="131">
        <f>IFERROR(Y133*'FlightConfig '!$K$23,"")</f>
        <v>968.16719999999953</v>
      </c>
    </row>
    <row r="134" spans="1:34" ht="28.9">
      <c r="A134" t="s">
        <v>188</v>
      </c>
      <c r="B134" s="175">
        <v>1</v>
      </c>
      <c r="C134" s="180" t="str">
        <f t="shared" si="58"/>
        <v>CABIN CREW CLASS1110</v>
      </c>
      <c r="D134" s="298"/>
      <c r="E134" s="309">
        <v>1060</v>
      </c>
      <c r="F134" s="315">
        <v>110</v>
      </c>
      <c r="G134" s="123" t="str">
        <f>VLOOKUP(E134,'FG MASTER'!$A$10:$AB$218,2,0)</f>
        <v>CREW C1 DINNER ENTRÉE 4 BAKED RIGATONI WITH HERB WHIPPED RICCOTA</v>
      </c>
      <c r="H134" s="290">
        <v>1</v>
      </c>
      <c r="I134" s="177">
        <v>1</v>
      </c>
      <c r="J134" s="296">
        <f>IFERROR(IF(I134="std",H134,HLOOKUP(A134,'FlightConfig '!$B$34:$G$35,2,0)*I134),"")</f>
        <v>6</v>
      </c>
      <c r="K134" s="249">
        <f>VLOOKUP(Food!E134,'FG MASTER'!$A$1:$AC$536,16,0)</f>
        <v>1.51</v>
      </c>
      <c r="L134" s="250">
        <f>VLOOKUP(Food!E134,'FG MASTER'!$A$10:$AC$536,17,0)</f>
        <v>4</v>
      </c>
      <c r="M134" s="136">
        <f t="shared" si="60"/>
        <v>1.6</v>
      </c>
      <c r="N134" s="136">
        <f t="shared" si="59"/>
        <v>3.1100000000000003</v>
      </c>
      <c r="O134" s="136">
        <f t="shared" ref="O134:O147" si="61">IFERROR($K134*(1+$O$2)-$K134,0)</f>
        <v>0.19629999999999992</v>
      </c>
      <c r="P134" s="136">
        <f t="shared" ref="P134:P147" si="62">IFERROR($M134*(1+$P$2)-$M134,0)</f>
        <v>0.20799999999999974</v>
      </c>
      <c r="Q134" s="136">
        <f t="shared" si="57"/>
        <v>3.5143</v>
      </c>
      <c r="R134" s="131"/>
      <c r="S134" s="131"/>
      <c r="T134" t="str">
        <f>IFERROR(#REF!*J134,"")</f>
        <v/>
      </c>
      <c r="U134">
        <f t="shared" ref="U134:U147" si="63">IFERROR(K134*J134,"")</f>
        <v>9.06</v>
      </c>
      <c r="V134">
        <f t="shared" ref="V134:V147" si="64">IFERROR(+L134*J134,"")</f>
        <v>24</v>
      </c>
      <c r="W134" s="131">
        <f t="shared" ref="W134:W147" si="65">IFERROR(+M134*J134,"")</f>
        <v>9.6000000000000014</v>
      </c>
      <c r="X134" s="131">
        <f t="shared" ref="X134:X147" si="66">IFERROR(+N134*J134,"")</f>
        <v>18.660000000000004</v>
      </c>
      <c r="Y134" s="131">
        <f t="shared" ref="Y134:Y147" si="67">IFERROR(O134*$J134,"")</f>
        <v>1.1777999999999995</v>
      </c>
      <c r="Z134" s="131">
        <f t="shared" ref="Z134:Z147" si="68">IFERROR(P134*$J134,"")</f>
        <v>1.2479999999999984</v>
      </c>
      <c r="AA134" s="131">
        <f t="shared" ref="AA134:AA147" si="69">IFERROR(+Q134*J134,"")</f>
        <v>21.085799999999999</v>
      </c>
      <c r="AC134" s="131" t="str">
        <f>IFERROR(T134*'FlightConfig '!$K$3,"")</f>
        <v/>
      </c>
      <c r="AD134" s="131">
        <f>IFERROR(U134*'FlightConfig '!$K$23,"")</f>
        <v>3297.84</v>
      </c>
      <c r="AE134" s="131">
        <f>IFERROR(V134*'FlightConfig '!$K$23,"")</f>
        <v>8736</v>
      </c>
      <c r="AF134" s="131">
        <f>IFERROR(W134*'FlightConfig '!$K$23,"")</f>
        <v>3494.4000000000005</v>
      </c>
      <c r="AG134" s="131">
        <f>IFERROR(X134*'FlightConfig '!$K$23,"")</f>
        <v>6792.2400000000016</v>
      </c>
      <c r="AH134" s="131">
        <f>IFERROR(Y134*'FlightConfig '!$K$23,"")</f>
        <v>428.71919999999983</v>
      </c>
    </row>
    <row r="135" spans="1:34">
      <c r="A135" t="s">
        <v>188</v>
      </c>
      <c r="B135" s="175">
        <v>1</v>
      </c>
      <c r="C135" s="180" t="str">
        <f t="shared" si="58"/>
        <v>CABIN CREW CLASS1110</v>
      </c>
      <c r="D135" s="298"/>
      <c r="E135" s="309">
        <v>1061</v>
      </c>
      <c r="F135" s="315">
        <v>110</v>
      </c>
      <c r="G135" s="123" t="str">
        <f>VLOOKUP(E135,'FG MASTER'!$A$10:$AB$218,2,0)</f>
        <v xml:space="preserve">CREW C1 DINNER ENTRÉE 5 </v>
      </c>
      <c r="H135" s="290">
        <v>1</v>
      </c>
      <c r="I135" s="177">
        <v>1</v>
      </c>
      <c r="J135" s="296">
        <f>IFERROR(IF(I135="std",H135,HLOOKUP(A135,'FlightConfig '!$B$34:$G$35,2,0)*I135),"")</f>
        <v>6</v>
      </c>
      <c r="K135" s="249">
        <f>VLOOKUP(Food!E135,'FG MASTER'!$A$1:$AC$536,16,0)</f>
        <v>0</v>
      </c>
      <c r="L135" s="250">
        <f>VLOOKUP(Food!E135,'FG MASTER'!$A$10:$AC$536,17,0)</f>
        <v>0</v>
      </c>
      <c r="M135" s="136">
        <f t="shared" si="60"/>
        <v>0</v>
      </c>
      <c r="N135" s="136">
        <f t="shared" si="59"/>
        <v>0</v>
      </c>
      <c r="O135" s="136">
        <f t="shared" si="61"/>
        <v>0</v>
      </c>
      <c r="P135" s="136">
        <f t="shared" si="62"/>
        <v>0</v>
      </c>
      <c r="Q135" s="136">
        <f t="shared" si="57"/>
        <v>0</v>
      </c>
      <c r="R135" s="131"/>
      <c r="S135" s="131"/>
      <c r="T135" t="str">
        <f>IFERROR(#REF!*J135,"")</f>
        <v/>
      </c>
      <c r="U135">
        <f t="shared" si="63"/>
        <v>0</v>
      </c>
      <c r="V135">
        <f t="shared" si="64"/>
        <v>0</v>
      </c>
      <c r="W135" s="131">
        <f t="shared" si="65"/>
        <v>0</v>
      </c>
      <c r="X135" s="131">
        <f t="shared" si="66"/>
        <v>0</v>
      </c>
      <c r="Y135" s="131">
        <f t="shared" si="67"/>
        <v>0</v>
      </c>
      <c r="Z135" s="131">
        <f t="shared" si="68"/>
        <v>0</v>
      </c>
      <c r="AA135" s="131">
        <f t="shared" si="69"/>
        <v>0</v>
      </c>
      <c r="AC135" s="131" t="str">
        <f>IFERROR(T135*'FlightConfig '!$K$3,"")</f>
        <v/>
      </c>
      <c r="AD135" s="131">
        <f>IFERROR(U135*'FlightConfig '!$K$23,"")</f>
        <v>0</v>
      </c>
      <c r="AE135" s="131">
        <f>IFERROR(V135*'FlightConfig '!$K$23,"")</f>
        <v>0</v>
      </c>
      <c r="AF135" s="131">
        <f>IFERROR(W135*'FlightConfig '!$K$23,"")</f>
        <v>0</v>
      </c>
      <c r="AG135" s="131">
        <f>IFERROR(X135*'FlightConfig '!$K$23,"")</f>
        <v>0</v>
      </c>
      <c r="AH135" s="131">
        <f>IFERROR(Y135*'FlightConfig '!$K$23,"")</f>
        <v>0</v>
      </c>
    </row>
    <row r="136" spans="1:34">
      <c r="A136" t="s">
        <v>188</v>
      </c>
      <c r="B136" s="175">
        <v>1</v>
      </c>
      <c r="C136" s="180" t="str">
        <f t="shared" si="58"/>
        <v>CABIN CREW CLASS1110</v>
      </c>
      <c r="D136" s="298"/>
      <c r="E136" s="309">
        <v>1062</v>
      </c>
      <c r="F136" s="315">
        <v>110</v>
      </c>
      <c r="G136" s="123" t="str">
        <f>VLOOKUP(E136,'FG MASTER'!$A$10:$AB$218,2,0)</f>
        <v>CREW C1 SANDWICH 1 CAPRESE SANDWICH</v>
      </c>
      <c r="H136" s="290">
        <v>1</v>
      </c>
      <c r="I136" s="177">
        <v>1</v>
      </c>
      <c r="J136" s="296">
        <f>IFERROR(IF(I136="std",H136,HLOOKUP(A136,'FlightConfig '!$B$34:$G$35,2,0)*I136),"")</f>
        <v>6</v>
      </c>
      <c r="K136" s="249">
        <f>VLOOKUP(Food!E136,'FG MASTER'!$A$1:$AC$536,16,0)</f>
        <v>1.63</v>
      </c>
      <c r="L136" s="250">
        <f>VLOOKUP(Food!E136,'FG MASTER'!$A$10:$AC$536,17,0)</f>
        <v>1.5</v>
      </c>
      <c r="M136" s="136">
        <f t="shared" si="60"/>
        <v>0.60000000000000009</v>
      </c>
      <c r="N136" s="136">
        <f>IFERROR((K136)+M136,"")</f>
        <v>2.23</v>
      </c>
      <c r="O136" s="136">
        <f t="shared" si="61"/>
        <v>0.21189999999999976</v>
      </c>
      <c r="P136" s="136">
        <f t="shared" si="62"/>
        <v>7.7999999999999958E-2</v>
      </c>
      <c r="Q136" s="136">
        <f t="shared" si="57"/>
        <v>2.5198999999999994</v>
      </c>
      <c r="R136" s="131"/>
      <c r="S136" s="131"/>
      <c r="T136" t="str">
        <f>IFERROR(#REF!*J136,"")</f>
        <v/>
      </c>
      <c r="U136">
        <f t="shared" si="63"/>
        <v>9.7799999999999994</v>
      </c>
      <c r="V136">
        <f t="shared" si="64"/>
        <v>9</v>
      </c>
      <c r="W136" s="131">
        <f t="shared" si="65"/>
        <v>3.6000000000000005</v>
      </c>
      <c r="X136" s="131">
        <f t="shared" si="66"/>
        <v>13.379999999999999</v>
      </c>
      <c r="Y136" s="131">
        <f t="shared" si="67"/>
        <v>1.2713999999999985</v>
      </c>
      <c r="Z136" s="131">
        <f t="shared" si="68"/>
        <v>0.46799999999999975</v>
      </c>
      <c r="AA136" s="131">
        <f t="shared" si="69"/>
        <v>15.119399999999995</v>
      </c>
      <c r="AC136" s="131" t="str">
        <f>IFERROR(T136*'FlightConfig '!$K$3,"")</f>
        <v/>
      </c>
      <c r="AD136" s="131">
        <f>IFERROR(U136*'FlightConfig '!$K$23,"")</f>
        <v>3559.9199999999996</v>
      </c>
      <c r="AE136" s="131">
        <f>IFERROR(V136*'FlightConfig '!$K$23,"")</f>
        <v>3276</v>
      </c>
      <c r="AF136" s="131">
        <f>IFERROR(W136*'FlightConfig '!$K$23,"")</f>
        <v>1310.4000000000001</v>
      </c>
      <c r="AG136" s="131">
        <f>IFERROR(X136*'FlightConfig '!$K$23,"")</f>
        <v>4870.32</v>
      </c>
      <c r="AH136" s="131">
        <f>IFERROR(Y136*'FlightConfig '!$K$23,"")</f>
        <v>462.78959999999944</v>
      </c>
    </row>
    <row r="137" spans="1:34">
      <c r="A137" t="s">
        <v>188</v>
      </c>
      <c r="B137" s="175">
        <v>1</v>
      </c>
      <c r="C137" s="180" t="str">
        <f t="shared" si="58"/>
        <v>CABIN CREW CLASS1110</v>
      </c>
      <c r="D137" s="298"/>
      <c r="E137" s="309">
        <v>1063</v>
      </c>
      <c r="F137" s="315">
        <v>110</v>
      </c>
      <c r="G137" s="123" t="str">
        <f>VLOOKUP(E137,'FG MASTER'!$A$10:$AB$218,2,0)</f>
        <v>CREW C1 SANDWICH 2 TURKEY AND CHEESE</v>
      </c>
      <c r="H137" s="290">
        <v>1</v>
      </c>
      <c r="I137" s="177">
        <v>1</v>
      </c>
      <c r="J137" s="296">
        <f>IFERROR(IF(I137="std",H137,HLOOKUP(A137,'FlightConfig '!$B$34:$G$35,2,0)*I137),"")</f>
        <v>6</v>
      </c>
      <c r="K137" s="249">
        <f>VLOOKUP(Food!E137,'FG MASTER'!$A$1:$AC$536,16,0)</f>
        <v>1.63</v>
      </c>
      <c r="L137" s="250">
        <f>VLOOKUP(Food!E137,'FG MASTER'!$A$10:$AC$536,17,0)</f>
        <v>1.5</v>
      </c>
      <c r="M137" s="136">
        <f t="shared" si="60"/>
        <v>0.60000000000000009</v>
      </c>
      <c r="N137" s="136">
        <f t="shared" ref="N137:N144" si="70">IFERROR((K137)+M137,"")</f>
        <v>2.23</v>
      </c>
      <c r="O137" s="136">
        <f t="shared" si="61"/>
        <v>0.21189999999999976</v>
      </c>
      <c r="P137" s="136">
        <f t="shared" si="62"/>
        <v>7.7999999999999958E-2</v>
      </c>
      <c r="Q137" s="136">
        <f t="shared" si="57"/>
        <v>2.5198999999999994</v>
      </c>
      <c r="R137" s="131"/>
      <c r="S137" s="131"/>
      <c r="T137" t="str">
        <f>IFERROR(#REF!*J137,"")</f>
        <v/>
      </c>
      <c r="U137">
        <f t="shared" si="63"/>
        <v>9.7799999999999994</v>
      </c>
      <c r="V137">
        <f t="shared" si="64"/>
        <v>9</v>
      </c>
      <c r="W137" s="131">
        <f t="shared" si="65"/>
        <v>3.6000000000000005</v>
      </c>
      <c r="X137" s="131">
        <f t="shared" si="66"/>
        <v>13.379999999999999</v>
      </c>
      <c r="Y137" s="131">
        <f t="shared" si="67"/>
        <v>1.2713999999999985</v>
      </c>
      <c r="Z137" s="131">
        <f t="shared" si="68"/>
        <v>0.46799999999999975</v>
      </c>
      <c r="AA137" s="131">
        <f t="shared" si="69"/>
        <v>15.119399999999995</v>
      </c>
      <c r="AC137" s="131" t="str">
        <f>IFERROR(T137*'FlightConfig '!$K$3,"")</f>
        <v/>
      </c>
      <c r="AD137" s="131">
        <f>IFERROR(U137*'FlightConfig '!$K$23,"")</f>
        <v>3559.9199999999996</v>
      </c>
      <c r="AE137" s="131">
        <f>IFERROR(V137*'FlightConfig '!$K$23,"")</f>
        <v>3276</v>
      </c>
      <c r="AF137" s="131">
        <f>IFERROR(W137*'FlightConfig '!$K$23,"")</f>
        <v>1310.4000000000001</v>
      </c>
      <c r="AG137" s="131">
        <f>IFERROR(X137*'FlightConfig '!$K$23,"")</f>
        <v>4870.32</v>
      </c>
      <c r="AH137" s="131">
        <f>IFERROR(Y137*'FlightConfig '!$K$23,"")</f>
        <v>462.78959999999944</v>
      </c>
    </row>
    <row r="138" spans="1:34" ht="28.9">
      <c r="A138" t="s">
        <v>188</v>
      </c>
      <c r="B138" s="175">
        <v>1</v>
      </c>
      <c r="C138" s="180" t="str">
        <f t="shared" si="58"/>
        <v>CABIN CREW CLASS1110</v>
      </c>
      <c r="D138" s="298"/>
      <c r="E138" s="309">
        <v>1064</v>
      </c>
      <c r="F138" s="315">
        <v>110</v>
      </c>
      <c r="G138" s="123" t="str">
        <f>VLOOKUP(E138,'FG MASTER'!$A$10:$AB$218,2,0)</f>
        <v xml:space="preserve">CREW C1 SANDWICH 3 PHILLY CHEESE STEAK SANDWICH </v>
      </c>
      <c r="H138" s="290">
        <v>1</v>
      </c>
      <c r="I138" s="177">
        <v>1</v>
      </c>
      <c r="J138" s="296">
        <f>IFERROR(IF(I138="std",H138,HLOOKUP(A138,'FlightConfig '!$B$34:$G$35,2,0)*I138),"")</f>
        <v>6</v>
      </c>
      <c r="K138" s="249">
        <f>VLOOKUP(Food!E138,'FG MASTER'!$A$1:$AC$536,16,0)</f>
        <v>2.2999999999999998</v>
      </c>
      <c r="L138" s="250">
        <f>VLOOKUP(Food!E138,'FG MASTER'!$A$10:$AC$536,17,0)</f>
        <v>1.5</v>
      </c>
      <c r="M138" s="136">
        <f t="shared" si="60"/>
        <v>0.60000000000000009</v>
      </c>
      <c r="N138" s="136">
        <f t="shared" si="70"/>
        <v>2.9</v>
      </c>
      <c r="O138" s="136">
        <f t="shared" si="61"/>
        <v>0.29899999999999993</v>
      </c>
      <c r="P138" s="136">
        <f t="shared" si="62"/>
        <v>7.7999999999999958E-2</v>
      </c>
      <c r="Q138" s="136">
        <f t="shared" si="57"/>
        <v>3.2769999999999997</v>
      </c>
      <c r="R138" s="131"/>
      <c r="S138" s="131"/>
      <c r="T138" t="str">
        <f>IFERROR(#REF!*J138,"")</f>
        <v/>
      </c>
      <c r="U138">
        <f t="shared" si="63"/>
        <v>13.799999999999999</v>
      </c>
      <c r="V138">
        <f t="shared" si="64"/>
        <v>9</v>
      </c>
      <c r="W138" s="131">
        <f t="shared" si="65"/>
        <v>3.6000000000000005</v>
      </c>
      <c r="X138" s="131">
        <f t="shared" si="66"/>
        <v>17.399999999999999</v>
      </c>
      <c r="Y138" s="131">
        <f t="shared" si="67"/>
        <v>1.7939999999999996</v>
      </c>
      <c r="Z138" s="131">
        <f t="shared" si="68"/>
        <v>0.46799999999999975</v>
      </c>
      <c r="AA138" s="131">
        <f t="shared" si="69"/>
        <v>19.661999999999999</v>
      </c>
      <c r="AC138" s="131" t="str">
        <f>IFERROR(T138*'FlightConfig '!$K$3,"")</f>
        <v/>
      </c>
      <c r="AD138" s="131">
        <f>IFERROR(U138*'FlightConfig '!$K$23,"")</f>
        <v>5023.2</v>
      </c>
      <c r="AE138" s="131">
        <f>IFERROR(V138*'FlightConfig '!$K$23,"")</f>
        <v>3276</v>
      </c>
      <c r="AF138" s="131">
        <f>IFERROR(W138*'FlightConfig '!$K$23,"")</f>
        <v>1310.4000000000001</v>
      </c>
      <c r="AG138" s="131">
        <f>IFERROR(X138*'FlightConfig '!$K$23,"")</f>
        <v>6333.5999999999995</v>
      </c>
      <c r="AH138" s="131">
        <f>IFERROR(Y138*'FlightConfig '!$K$23,"")</f>
        <v>653.01599999999985</v>
      </c>
    </row>
    <row r="139" spans="1:34" ht="28.9">
      <c r="A139" t="s">
        <v>188</v>
      </c>
      <c r="B139" s="175">
        <v>1</v>
      </c>
      <c r="C139" s="180" t="str">
        <f t="shared" si="58"/>
        <v>CABIN CREW CLASS1110</v>
      </c>
      <c r="D139" s="298"/>
      <c r="E139" s="309">
        <v>1065</v>
      </c>
      <c r="F139" s="315">
        <v>110</v>
      </c>
      <c r="G139" s="123" t="str">
        <f>VLOOKUP(E139,'FG MASTER'!$A$10:$AB$218,2,0)</f>
        <v xml:space="preserve">CREW C1 SANDWICH 4 CHICKEN SALAD CROISSANT SANDWICH </v>
      </c>
      <c r="H139" s="290">
        <v>1</v>
      </c>
      <c r="I139" s="177">
        <v>1</v>
      </c>
      <c r="J139" s="296">
        <f>IFERROR(IF(I139="std",H139,HLOOKUP(A139,'FlightConfig '!$B$34:$G$35,2,0)*I139),"")</f>
        <v>6</v>
      </c>
      <c r="K139" s="249">
        <f>VLOOKUP(Food!E139,'FG MASTER'!$A$1:$AC$536,16,0)</f>
        <v>2.0499999999999998</v>
      </c>
      <c r="L139" s="250">
        <f>VLOOKUP(Food!E139,'FG MASTER'!$A$10:$AC$536,17,0)</f>
        <v>1.5</v>
      </c>
      <c r="M139" s="136">
        <f t="shared" si="60"/>
        <v>0.60000000000000009</v>
      </c>
      <c r="N139" s="136">
        <f t="shared" si="70"/>
        <v>2.65</v>
      </c>
      <c r="O139" s="136">
        <f t="shared" si="61"/>
        <v>0.26649999999999974</v>
      </c>
      <c r="P139" s="136">
        <f t="shared" si="62"/>
        <v>7.7999999999999958E-2</v>
      </c>
      <c r="Q139" s="136">
        <f t="shared" si="57"/>
        <v>2.9944999999999995</v>
      </c>
      <c r="R139" s="131"/>
      <c r="S139" s="131"/>
      <c r="T139" t="str">
        <f>IFERROR(#REF!*J139,"")</f>
        <v/>
      </c>
      <c r="U139">
        <f t="shared" si="63"/>
        <v>12.299999999999999</v>
      </c>
      <c r="V139">
        <f t="shared" si="64"/>
        <v>9</v>
      </c>
      <c r="W139" s="131">
        <f t="shared" si="65"/>
        <v>3.6000000000000005</v>
      </c>
      <c r="X139" s="131">
        <f t="shared" si="66"/>
        <v>15.899999999999999</v>
      </c>
      <c r="Y139" s="131">
        <f t="shared" si="67"/>
        <v>1.5989999999999984</v>
      </c>
      <c r="Z139" s="131">
        <f t="shared" si="68"/>
        <v>0.46799999999999975</v>
      </c>
      <c r="AA139" s="131">
        <f t="shared" si="69"/>
        <v>17.966999999999999</v>
      </c>
      <c r="AC139" s="131" t="str">
        <f>IFERROR(T139*'FlightConfig '!$K$3,"")</f>
        <v/>
      </c>
      <c r="AD139" s="131">
        <f>IFERROR(U139*'FlightConfig '!$K$23,"")</f>
        <v>4477.2</v>
      </c>
      <c r="AE139" s="131">
        <f>IFERROR(V139*'FlightConfig '!$K$23,"")</f>
        <v>3276</v>
      </c>
      <c r="AF139" s="131">
        <f>IFERROR(W139*'FlightConfig '!$K$23,"")</f>
        <v>1310.4000000000001</v>
      </c>
      <c r="AG139" s="131">
        <f>IFERROR(X139*'FlightConfig '!$K$23,"")</f>
        <v>5787.5999999999995</v>
      </c>
      <c r="AH139" s="131">
        <f>IFERROR(Y139*'FlightConfig '!$K$23,"")</f>
        <v>582.03599999999938</v>
      </c>
    </row>
    <row r="140" spans="1:34">
      <c r="A140" t="s">
        <v>188</v>
      </c>
      <c r="B140" s="175">
        <v>1</v>
      </c>
      <c r="C140" s="180" t="str">
        <f>CONCATENATE(A140&amp;B140&amp;F140)</f>
        <v>CABIN CREW CLASS1110</v>
      </c>
      <c r="D140" s="298"/>
      <c r="E140" s="309">
        <v>1066</v>
      </c>
      <c r="F140" s="315">
        <v>110</v>
      </c>
      <c r="G140" s="123" t="str">
        <f>VLOOKUP(E140,'FG MASTER'!$A$10:$AB$218,2,0)</f>
        <v xml:space="preserve">CREW C1 SANDWICH 5 HAM AND CHEESE SANDWICH </v>
      </c>
      <c r="H140" s="290">
        <v>1</v>
      </c>
      <c r="I140" s="177">
        <v>1</v>
      </c>
      <c r="J140" s="296">
        <f>IFERROR(IF(I140="std",H140,HLOOKUP(A140,'FlightConfig '!$B$34:$G$35,2,0)*I140),"")</f>
        <v>6</v>
      </c>
      <c r="K140" s="249">
        <f>VLOOKUP(Food!E140,'FG MASTER'!$A$1:$AC$536,16,0)</f>
        <v>1.68</v>
      </c>
      <c r="L140" s="250">
        <f>VLOOKUP(Food!E140,'FG MASTER'!$A$10:$AC$536,17,0)</f>
        <v>1.5</v>
      </c>
      <c r="M140" s="136">
        <f t="shared" si="60"/>
        <v>0.60000000000000009</v>
      </c>
      <c r="N140" s="136">
        <f t="shared" si="70"/>
        <v>2.2800000000000002</v>
      </c>
      <c r="O140" s="136">
        <f t="shared" si="61"/>
        <v>0.21839999999999971</v>
      </c>
      <c r="P140" s="136">
        <f t="shared" si="62"/>
        <v>7.7999999999999958E-2</v>
      </c>
      <c r="Q140" s="136">
        <f t="shared" si="57"/>
        <v>2.5764</v>
      </c>
      <c r="R140" s="131"/>
      <c r="S140" s="131"/>
      <c r="T140" t="str">
        <f>IFERROR(#REF!*J140,"")</f>
        <v/>
      </c>
      <c r="U140">
        <f t="shared" si="63"/>
        <v>10.08</v>
      </c>
      <c r="V140">
        <f t="shared" si="64"/>
        <v>9</v>
      </c>
      <c r="W140" s="131">
        <f t="shared" si="65"/>
        <v>3.6000000000000005</v>
      </c>
      <c r="X140" s="131">
        <f t="shared" si="66"/>
        <v>13.680000000000001</v>
      </c>
      <c r="Y140" s="131">
        <f t="shared" si="67"/>
        <v>1.3103999999999982</v>
      </c>
      <c r="Z140" s="131">
        <f t="shared" si="68"/>
        <v>0.46799999999999975</v>
      </c>
      <c r="AA140" s="131">
        <f t="shared" si="69"/>
        <v>15.458400000000001</v>
      </c>
      <c r="AC140" s="131" t="str">
        <f>IFERROR(T140*'FlightConfig '!$K$3,"")</f>
        <v/>
      </c>
      <c r="AD140" s="131">
        <f>IFERROR(U140*'FlightConfig '!$K$23,"")</f>
        <v>3669.12</v>
      </c>
      <c r="AE140" s="131">
        <f>IFERROR(V140*'FlightConfig '!$K$23,"")</f>
        <v>3276</v>
      </c>
      <c r="AF140" s="131">
        <f>IFERROR(W140*'FlightConfig '!$K$23,"")</f>
        <v>1310.4000000000001</v>
      </c>
      <c r="AG140" s="131">
        <f>IFERROR(X140*'FlightConfig '!$K$23,"")</f>
        <v>4979.5200000000004</v>
      </c>
      <c r="AH140" s="131">
        <f>IFERROR(Y140*'FlightConfig '!$K$23,"")</f>
        <v>476.98559999999935</v>
      </c>
    </row>
    <row r="141" spans="1:34" ht="28.9">
      <c r="A141" t="s">
        <v>188</v>
      </c>
      <c r="B141" s="175">
        <v>1</v>
      </c>
      <c r="C141" s="180" t="str">
        <f t="shared" ref="C141:C144" si="71">CONCATENATE(A141&amp;B141&amp;F141)</f>
        <v>CABIN CREW CLASS1110</v>
      </c>
      <c r="D141" s="298"/>
      <c r="E141" s="309">
        <v>1067</v>
      </c>
      <c r="F141" s="315">
        <v>110</v>
      </c>
      <c r="G141" s="123" t="str">
        <f>VLOOKUP(E141,'FG MASTER'!$A$10:$AB$218,2,0)</f>
        <v>CREW C1 MIDNIGHT SNACK CHICKIEN TENDERS WITH FRIES</v>
      </c>
      <c r="H141" s="290">
        <v>1</v>
      </c>
      <c r="I141" s="177">
        <v>1</v>
      </c>
      <c r="J141" s="296">
        <f>IFERROR(IF(I141="std",H141,HLOOKUP(A141,'FlightConfig '!$B$34:$G$35,2,0)*I141),"")</f>
        <v>6</v>
      </c>
      <c r="K141" s="249">
        <f>VLOOKUP(Food!E141,'FG MASTER'!$A$1:$AC$536,16,0)</f>
        <v>1.8</v>
      </c>
      <c r="L141" s="250">
        <f>VLOOKUP(Food!E141,'FG MASTER'!$A$10:$AC$536,17,0)</f>
        <v>2</v>
      </c>
      <c r="M141" s="136">
        <f t="shared" si="60"/>
        <v>0.8</v>
      </c>
      <c r="N141" s="136">
        <f t="shared" si="70"/>
        <v>2.6</v>
      </c>
      <c r="O141" s="136">
        <f t="shared" si="61"/>
        <v>0.23399999999999976</v>
      </c>
      <c r="P141" s="136">
        <f t="shared" si="62"/>
        <v>0.10399999999999987</v>
      </c>
      <c r="Q141" s="136">
        <f t="shared" si="57"/>
        <v>2.9379999999999997</v>
      </c>
      <c r="R141" s="131"/>
      <c r="S141" s="131"/>
      <c r="T141" t="str">
        <f>IFERROR(#REF!*J141,"")</f>
        <v/>
      </c>
      <c r="U141">
        <f t="shared" si="63"/>
        <v>10.8</v>
      </c>
      <c r="V141">
        <f t="shared" si="64"/>
        <v>12</v>
      </c>
      <c r="W141" s="131">
        <f t="shared" si="65"/>
        <v>4.8000000000000007</v>
      </c>
      <c r="X141" s="131">
        <f t="shared" si="66"/>
        <v>15.600000000000001</v>
      </c>
      <c r="Y141" s="131">
        <f t="shared" si="67"/>
        <v>1.4039999999999986</v>
      </c>
      <c r="Z141" s="131">
        <f t="shared" si="68"/>
        <v>0.62399999999999922</v>
      </c>
      <c r="AA141" s="131">
        <f t="shared" si="69"/>
        <v>17.628</v>
      </c>
      <c r="AC141" s="131" t="str">
        <f>IFERROR(T141*'FlightConfig '!$K$3,"")</f>
        <v/>
      </c>
      <c r="AD141" s="131">
        <f>IFERROR(U141*'FlightConfig '!$K$23,"")</f>
        <v>3931.2000000000003</v>
      </c>
      <c r="AE141" s="131">
        <f>IFERROR(V141*'FlightConfig '!$K$23,"")</f>
        <v>4368</v>
      </c>
      <c r="AF141" s="131">
        <f>IFERROR(W141*'FlightConfig '!$K$23,"")</f>
        <v>1747.2000000000003</v>
      </c>
      <c r="AG141" s="131">
        <f>IFERROR(X141*'FlightConfig '!$K$23,"")</f>
        <v>5678.4000000000005</v>
      </c>
      <c r="AH141" s="131">
        <f>IFERROR(Y141*'FlightConfig '!$K$23,"")</f>
        <v>511.05599999999947</v>
      </c>
    </row>
    <row r="142" spans="1:34" ht="28.9">
      <c r="A142" t="s">
        <v>188</v>
      </c>
      <c r="B142" s="175">
        <v>1</v>
      </c>
      <c r="C142" s="180" t="str">
        <f t="shared" si="71"/>
        <v>CABIN CREW CLASS1110</v>
      </c>
      <c r="D142" s="298"/>
      <c r="E142" s="309">
        <v>1068</v>
      </c>
      <c r="F142" s="315">
        <v>110</v>
      </c>
      <c r="G142" s="123" t="str">
        <f>VLOOKUP(E142,'FG MASTER'!$A$10:$AB$218,2,0)</f>
        <v>CREW C1 BREAKFAST HOT SANDWICH 1 EGG AND CHEESE ENGLISH MUFFIN</v>
      </c>
      <c r="H142" s="290">
        <v>1</v>
      </c>
      <c r="I142" s="177">
        <v>1</v>
      </c>
      <c r="J142" s="296">
        <f>IFERROR(IF(I142="std",H142,HLOOKUP(A142,'FlightConfig '!$B$34:$G$35,2,0)*I142),"")</f>
        <v>6</v>
      </c>
      <c r="K142" s="249">
        <f>VLOOKUP(Food!E142,'FG MASTER'!$A$1:$AC$536,16,0)</f>
        <v>0.94</v>
      </c>
      <c r="L142" s="250">
        <f>VLOOKUP(Food!E142,'FG MASTER'!$A$10:$AC$536,17,0)</f>
        <v>1.5</v>
      </c>
      <c r="M142" s="136">
        <f t="shared" si="60"/>
        <v>0.60000000000000009</v>
      </c>
      <c r="N142" s="136">
        <f t="shared" si="70"/>
        <v>1.54</v>
      </c>
      <c r="O142" s="136">
        <f t="shared" si="61"/>
        <v>0.12219999999999986</v>
      </c>
      <c r="P142" s="136">
        <f t="shared" si="62"/>
        <v>7.7999999999999958E-2</v>
      </c>
      <c r="Q142" s="136">
        <f t="shared" si="57"/>
        <v>1.7401999999999997</v>
      </c>
      <c r="R142" s="131"/>
      <c r="S142" s="131"/>
      <c r="T142" t="str">
        <f>IFERROR(#REF!*J142,"")</f>
        <v/>
      </c>
      <c r="U142">
        <f t="shared" si="63"/>
        <v>5.64</v>
      </c>
      <c r="V142">
        <f t="shared" si="64"/>
        <v>9</v>
      </c>
      <c r="W142" s="131">
        <f t="shared" si="65"/>
        <v>3.6000000000000005</v>
      </c>
      <c r="X142" s="131">
        <f t="shared" si="66"/>
        <v>9.24</v>
      </c>
      <c r="Y142" s="131">
        <f t="shared" si="67"/>
        <v>0.73319999999999919</v>
      </c>
      <c r="Z142" s="131">
        <f t="shared" si="68"/>
        <v>0.46799999999999975</v>
      </c>
      <c r="AA142" s="131">
        <f t="shared" si="69"/>
        <v>10.441199999999998</v>
      </c>
      <c r="AC142" s="131" t="str">
        <f>IFERROR(T142*'FlightConfig '!$K$3,"")</f>
        <v/>
      </c>
      <c r="AD142" s="131">
        <f>IFERROR(U142*'FlightConfig '!$K$23,"")</f>
        <v>2052.96</v>
      </c>
      <c r="AE142" s="131">
        <f>IFERROR(V142*'FlightConfig '!$K$23,"")</f>
        <v>3276</v>
      </c>
      <c r="AF142" s="131">
        <f>IFERROR(W142*'FlightConfig '!$K$23,"")</f>
        <v>1310.4000000000001</v>
      </c>
      <c r="AG142" s="131">
        <f>IFERROR(X142*'FlightConfig '!$K$23,"")</f>
        <v>3363.36</v>
      </c>
      <c r="AH142" s="131">
        <f>IFERROR(Y142*'FlightConfig '!$K$23,"")</f>
        <v>266.8847999999997</v>
      </c>
    </row>
    <row r="143" spans="1:34" ht="28.9">
      <c r="A143" t="s">
        <v>188</v>
      </c>
      <c r="B143" s="175">
        <v>1</v>
      </c>
      <c r="C143" s="180" t="str">
        <f t="shared" si="71"/>
        <v>CABIN CREW CLASS1110</v>
      </c>
      <c r="D143" s="298"/>
      <c r="E143" s="309">
        <v>1069</v>
      </c>
      <c r="F143" s="315">
        <v>110</v>
      </c>
      <c r="G143" s="123" t="str">
        <f>VLOOKUP(E143,'FG MASTER'!$A$10:$AB$218,2,0)</f>
        <v>CREW C1 BREAKFAST HOT SANDWICH 2 BACON EGG AND CHEESE ENGLISH MUFFIN</v>
      </c>
      <c r="H143" s="290">
        <v>1</v>
      </c>
      <c r="I143" s="177">
        <v>1</v>
      </c>
      <c r="J143" s="296">
        <f>IFERROR(IF(I143="std",H143,HLOOKUP(A143,'FlightConfig '!$B$34:$G$35,2,0)*I143),"")</f>
        <v>6</v>
      </c>
      <c r="K143" s="249">
        <f>VLOOKUP(Food!E143,'FG MASTER'!$A$1:$AC$536,16,0)</f>
        <v>1.77</v>
      </c>
      <c r="L143" s="250">
        <f>VLOOKUP(Food!E143,'FG MASTER'!$A$10:$AC$536,17,0)</f>
        <v>2</v>
      </c>
      <c r="M143" s="136">
        <f t="shared" si="60"/>
        <v>0.8</v>
      </c>
      <c r="N143" s="136">
        <f t="shared" si="70"/>
        <v>2.5700000000000003</v>
      </c>
      <c r="O143" s="136">
        <f t="shared" si="61"/>
        <v>0.23009999999999975</v>
      </c>
      <c r="P143" s="136">
        <f t="shared" si="62"/>
        <v>0.10399999999999987</v>
      </c>
      <c r="Q143" s="136">
        <f t="shared" si="57"/>
        <v>2.9040999999999997</v>
      </c>
      <c r="R143" s="131"/>
      <c r="S143" s="131"/>
      <c r="T143" t="str">
        <f>IFERROR(#REF!*J143,"")</f>
        <v/>
      </c>
      <c r="U143">
        <f t="shared" si="63"/>
        <v>10.620000000000001</v>
      </c>
      <c r="V143">
        <f t="shared" si="64"/>
        <v>12</v>
      </c>
      <c r="W143" s="131">
        <f t="shared" si="65"/>
        <v>4.8000000000000007</v>
      </c>
      <c r="X143" s="131">
        <f t="shared" si="66"/>
        <v>15.420000000000002</v>
      </c>
      <c r="Y143" s="131">
        <f t="shared" si="67"/>
        <v>1.3805999999999985</v>
      </c>
      <c r="Z143" s="131">
        <f t="shared" si="68"/>
        <v>0.62399999999999922</v>
      </c>
      <c r="AA143" s="131">
        <f t="shared" si="69"/>
        <v>17.424599999999998</v>
      </c>
      <c r="AC143" s="131" t="str">
        <f>IFERROR(T143*'FlightConfig '!$K$3,"")</f>
        <v/>
      </c>
      <c r="AD143" s="131">
        <f>IFERROR(U143*'FlightConfig '!$K$23,"")</f>
        <v>3865.6800000000003</v>
      </c>
      <c r="AE143" s="131">
        <f>IFERROR(V143*'FlightConfig '!$K$23,"")</f>
        <v>4368</v>
      </c>
      <c r="AF143" s="131">
        <f>IFERROR(W143*'FlightConfig '!$K$23,"")</f>
        <v>1747.2000000000003</v>
      </c>
      <c r="AG143" s="131">
        <f>IFERROR(X143*'FlightConfig '!$K$23,"")</f>
        <v>5612.880000000001</v>
      </c>
      <c r="AH143" s="131">
        <f>IFERROR(Y143*'FlightConfig '!$K$23,"")</f>
        <v>502.53839999999946</v>
      </c>
    </row>
    <row r="144" spans="1:34" ht="28.9">
      <c r="A144" t="s">
        <v>188</v>
      </c>
      <c r="B144" s="175">
        <v>1</v>
      </c>
      <c r="C144" s="180" t="str">
        <f t="shared" si="71"/>
        <v>CABIN CREW CLASS1110</v>
      </c>
      <c r="D144" s="298"/>
      <c r="E144" s="309">
        <v>1070</v>
      </c>
      <c r="F144" s="315">
        <v>110</v>
      </c>
      <c r="G144" s="123" t="str">
        <f>VLOOKUP(E144,'FG MASTER'!$A$10:$AB$218,2,0)</f>
        <v>CREW C1 BREAKFAST HOT SANDWICH 3 FRIED CHICKEN BISCUIT</v>
      </c>
      <c r="H144" s="290">
        <v>1</v>
      </c>
      <c r="I144" s="177">
        <v>1</v>
      </c>
      <c r="J144" s="296">
        <f>IFERROR(IF(I144="std",H144,HLOOKUP(A144,'FlightConfig '!$B$34:$G$35,2,0)*I144),"")</f>
        <v>6</v>
      </c>
      <c r="K144" s="249">
        <f>VLOOKUP(Food!E144,'FG MASTER'!$A$1:$AC$536,16,0)</f>
        <v>1.1399999999999999</v>
      </c>
      <c r="L144" s="250">
        <f>VLOOKUP(Food!E144,'FG MASTER'!$A$10:$AC$536,17,0)</f>
        <v>2</v>
      </c>
      <c r="M144" s="136">
        <f t="shared" si="60"/>
        <v>0.8</v>
      </c>
      <c r="N144" s="136">
        <f t="shared" si="70"/>
        <v>1.94</v>
      </c>
      <c r="O144" s="136">
        <f t="shared" si="61"/>
        <v>0.14819999999999989</v>
      </c>
      <c r="P144" s="136">
        <f t="shared" si="62"/>
        <v>0.10399999999999987</v>
      </c>
      <c r="Q144" s="136">
        <f t="shared" si="57"/>
        <v>2.1921999999999997</v>
      </c>
      <c r="R144" s="131"/>
      <c r="S144" s="131"/>
      <c r="T144" t="str">
        <f>IFERROR(#REF!*J144,"")</f>
        <v/>
      </c>
      <c r="U144">
        <f t="shared" si="63"/>
        <v>6.84</v>
      </c>
      <c r="V144">
        <f t="shared" si="64"/>
        <v>12</v>
      </c>
      <c r="W144" s="131">
        <f t="shared" si="65"/>
        <v>4.8000000000000007</v>
      </c>
      <c r="X144" s="131">
        <f t="shared" si="66"/>
        <v>11.64</v>
      </c>
      <c r="Y144" s="131">
        <f t="shared" si="67"/>
        <v>0.88919999999999932</v>
      </c>
      <c r="Z144" s="131">
        <f t="shared" si="68"/>
        <v>0.62399999999999922</v>
      </c>
      <c r="AA144" s="131">
        <f t="shared" si="69"/>
        <v>13.153199999999998</v>
      </c>
      <c r="AC144" s="131" t="str">
        <f>IFERROR(T144*'FlightConfig '!$K$3,"")</f>
        <v/>
      </c>
      <c r="AD144" s="131">
        <f>IFERROR(U144*'FlightConfig '!$K$23,"")</f>
        <v>2489.7599999999998</v>
      </c>
      <c r="AE144" s="131">
        <f>IFERROR(V144*'FlightConfig '!$K$23,"")</f>
        <v>4368</v>
      </c>
      <c r="AF144" s="131">
        <f>IFERROR(W144*'FlightConfig '!$K$23,"")</f>
        <v>1747.2000000000003</v>
      </c>
      <c r="AG144" s="131">
        <f>IFERROR(X144*'FlightConfig '!$K$23,"")</f>
        <v>4236.96</v>
      </c>
      <c r="AH144" s="131">
        <f>IFERROR(Y144*'FlightConfig '!$K$23,"")</f>
        <v>323.66879999999975</v>
      </c>
    </row>
    <row r="145" spans="2:34" hidden="1">
      <c r="B145" s="175"/>
      <c r="C145" s="180"/>
      <c r="D145" s="321"/>
      <c r="E145" s="309"/>
      <c r="F145" s="315"/>
      <c r="H145" s="290"/>
      <c r="I145" s="177"/>
      <c r="J145" s="296"/>
      <c r="K145" s="249" t="e">
        <f>VLOOKUP(Food!E145,'FG MASTER'!$A$1:$AC$536,16,0)</f>
        <v>#N/A</v>
      </c>
      <c r="L145" s="250" t="e">
        <f>VLOOKUP(Food!E145,'FG MASTER'!$A$10:$AC$536,17,0)</f>
        <v>#N/A</v>
      </c>
      <c r="M145" s="136" t="str">
        <f t="shared" ref="M145:M147" si="72">IFERROR(L145*$M$2,"")</f>
        <v/>
      </c>
      <c r="N145" s="136" t="str">
        <f t="shared" ref="N145:N147" si="73">IFERROR((K145)+M145,"")</f>
        <v/>
      </c>
      <c r="O145" s="136">
        <f t="shared" si="61"/>
        <v>0</v>
      </c>
      <c r="P145" s="136">
        <f t="shared" si="62"/>
        <v>0</v>
      </c>
      <c r="Q145" s="136">
        <f t="shared" ref="Q145:Q147" si="74">SUM(N145:P145)</f>
        <v>0</v>
      </c>
      <c r="R145" s="131"/>
      <c r="S145" s="131" t="e">
        <f t="shared" ref="S145:S147" si="75">K145</f>
        <v>#N/A</v>
      </c>
      <c r="T145" s="131"/>
      <c r="U145" t="str">
        <f t="shared" si="63"/>
        <v/>
      </c>
      <c r="V145" t="str">
        <f t="shared" si="64"/>
        <v/>
      </c>
      <c r="W145" s="131" t="str">
        <f t="shared" si="65"/>
        <v/>
      </c>
      <c r="X145" s="131" t="str">
        <f t="shared" si="66"/>
        <v/>
      </c>
      <c r="Y145" s="131">
        <f t="shared" si="67"/>
        <v>0</v>
      </c>
      <c r="Z145" s="131">
        <f t="shared" si="68"/>
        <v>0</v>
      </c>
      <c r="AA145" s="131">
        <f t="shared" si="69"/>
        <v>0</v>
      </c>
      <c r="AD145" s="131" t="str">
        <f>IFERROR(U145*'FlightConfig '!$K$23,"")</f>
        <v/>
      </c>
      <c r="AE145" s="131" t="str">
        <f>IFERROR(V145*'FlightConfig '!$K$23,"")</f>
        <v/>
      </c>
      <c r="AF145" s="131" t="str">
        <f>IFERROR(W145*'FlightConfig '!$K$23,"")</f>
        <v/>
      </c>
      <c r="AG145" s="131" t="str">
        <f>IFERROR(X145*'FlightConfig '!$K$23,"")</f>
        <v/>
      </c>
      <c r="AH145" s="131">
        <f>IFERROR(Y145*'FlightConfig '!$K$23,"")</f>
        <v>0</v>
      </c>
    </row>
    <row r="146" spans="2:34" hidden="1">
      <c r="B146" s="175"/>
      <c r="C146" s="180"/>
      <c r="D146" s="321"/>
      <c r="E146" s="309"/>
      <c r="F146" s="315"/>
      <c r="H146" s="290"/>
      <c r="I146" s="177"/>
      <c r="J146" s="296"/>
      <c r="K146" s="249" t="e">
        <f>VLOOKUP(Food!E146,'FG MASTER'!$A$1:$AC$536,16,0)</f>
        <v>#N/A</v>
      </c>
      <c r="L146" s="250" t="e">
        <f>VLOOKUP(Food!E146,'FG MASTER'!$A$10:$AC$536,17,0)</f>
        <v>#N/A</v>
      </c>
      <c r="M146" s="136" t="str">
        <f t="shared" si="72"/>
        <v/>
      </c>
      <c r="N146" s="136" t="str">
        <f t="shared" si="73"/>
        <v/>
      </c>
      <c r="O146" s="136">
        <f t="shared" si="61"/>
        <v>0</v>
      </c>
      <c r="P146" s="136">
        <f t="shared" si="62"/>
        <v>0</v>
      </c>
      <c r="Q146" s="136">
        <f t="shared" si="74"/>
        <v>0</v>
      </c>
      <c r="R146" s="131"/>
      <c r="S146" s="131" t="e">
        <f t="shared" si="75"/>
        <v>#N/A</v>
      </c>
      <c r="T146" s="131"/>
      <c r="U146" t="str">
        <f t="shared" si="63"/>
        <v/>
      </c>
      <c r="V146" t="str">
        <f t="shared" si="64"/>
        <v/>
      </c>
      <c r="W146" s="131" t="str">
        <f t="shared" si="65"/>
        <v/>
      </c>
      <c r="X146" s="131" t="str">
        <f t="shared" si="66"/>
        <v/>
      </c>
      <c r="Y146" s="131">
        <f t="shared" si="67"/>
        <v>0</v>
      </c>
      <c r="Z146" s="131">
        <f t="shared" si="68"/>
        <v>0</v>
      </c>
      <c r="AA146" s="131">
        <f t="shared" si="69"/>
        <v>0</v>
      </c>
      <c r="AD146" s="131" t="str">
        <f>IFERROR(U146*'FlightConfig '!$K$23,"")</f>
        <v/>
      </c>
      <c r="AE146" s="131" t="str">
        <f>IFERROR(V146*'FlightConfig '!$K$23,"")</f>
        <v/>
      </c>
      <c r="AF146" s="131" t="str">
        <f>IFERROR(W146*'FlightConfig '!$K$23,"")</f>
        <v/>
      </c>
      <c r="AG146" s="131" t="str">
        <f>IFERROR(X146*'FlightConfig '!$K$23,"")</f>
        <v/>
      </c>
      <c r="AH146" s="131">
        <f>IFERROR(Y146*'FlightConfig '!$K$23,"")</f>
        <v>0</v>
      </c>
    </row>
    <row r="147" spans="2:34" hidden="1">
      <c r="B147" s="175"/>
      <c r="C147" s="180"/>
      <c r="D147" s="321"/>
      <c r="E147" s="309"/>
      <c r="F147" s="315"/>
      <c r="H147" s="290"/>
      <c r="I147" s="177"/>
      <c r="J147" s="296"/>
      <c r="K147" s="249" t="e">
        <f>VLOOKUP(Food!E147,'FG MASTER'!$A$1:$AC$536,16,0)</f>
        <v>#N/A</v>
      </c>
      <c r="L147" s="250" t="e">
        <f>VLOOKUP(Food!E147,'FG MASTER'!$A$10:$AC$536,17,0)</f>
        <v>#N/A</v>
      </c>
      <c r="M147" s="136" t="str">
        <f t="shared" si="72"/>
        <v/>
      </c>
      <c r="N147" s="136" t="str">
        <f t="shared" si="73"/>
        <v/>
      </c>
      <c r="O147" s="136">
        <f t="shared" si="61"/>
        <v>0</v>
      </c>
      <c r="P147" s="136">
        <f t="shared" si="62"/>
        <v>0</v>
      </c>
      <c r="Q147" s="136">
        <f t="shared" si="74"/>
        <v>0</v>
      </c>
      <c r="R147" s="131"/>
      <c r="S147" s="131" t="e">
        <f t="shared" si="75"/>
        <v>#N/A</v>
      </c>
      <c r="T147" s="131"/>
      <c r="U147" t="str">
        <f t="shared" si="63"/>
        <v/>
      </c>
      <c r="V147" t="str">
        <f t="shared" si="64"/>
        <v/>
      </c>
      <c r="W147" s="131" t="str">
        <f t="shared" si="65"/>
        <v/>
      </c>
      <c r="X147" s="131" t="str">
        <f t="shared" si="66"/>
        <v/>
      </c>
      <c r="Y147" s="131">
        <f t="shared" si="67"/>
        <v>0</v>
      </c>
      <c r="Z147" s="131">
        <f t="shared" si="68"/>
        <v>0</v>
      </c>
      <c r="AA147" s="131">
        <f t="shared" si="69"/>
        <v>0</v>
      </c>
      <c r="AD147" s="131" t="str">
        <f>IFERROR(U147*'FlightConfig '!$K$23,"")</f>
        <v/>
      </c>
      <c r="AE147" s="131" t="str">
        <f>IFERROR(V147*'FlightConfig '!$K$23,"")</f>
        <v/>
      </c>
      <c r="AF147" s="131" t="str">
        <f>IFERROR(W147*'FlightConfig '!$K$23,"")</f>
        <v/>
      </c>
      <c r="AG147" s="131" t="str">
        <f>IFERROR(X147*'FlightConfig '!$K$23,"")</f>
        <v/>
      </c>
      <c r="AH147" s="131">
        <f>IFERROR(Y147*'FlightConfig '!$K$23,"")</f>
        <v>0</v>
      </c>
    </row>
    <row r="148" spans="2:34" hidden="1">
      <c r="B148" s="175"/>
      <c r="C148" s="180"/>
      <c r="D148" s="321"/>
      <c r="E148" s="309"/>
      <c r="F148" s="315"/>
      <c r="H148" s="290"/>
      <c r="I148" s="177"/>
      <c r="J148" s="296"/>
      <c r="K148" s="249"/>
      <c r="L148" s="250"/>
      <c r="M148" s="136"/>
      <c r="N148" s="136"/>
      <c r="O148" s="136"/>
      <c r="P148" s="136"/>
      <c r="Q148" s="136"/>
      <c r="R148" s="131"/>
      <c r="S148" s="131"/>
      <c r="T148" s="131"/>
      <c r="W148" s="131"/>
      <c r="X148" s="131"/>
      <c r="Y148" s="131"/>
      <c r="Z148" s="131"/>
      <c r="AA148" s="131"/>
      <c r="AD148" s="131"/>
      <c r="AE148" s="131"/>
      <c r="AF148" s="131"/>
      <c r="AG148" s="131"/>
      <c r="AH148" s="131"/>
    </row>
    <row r="149" spans="2:34" hidden="1">
      <c r="B149" s="175"/>
      <c r="C149" s="180"/>
      <c r="D149" s="321"/>
      <c r="E149" s="309"/>
      <c r="F149" s="315"/>
      <c r="H149" s="290"/>
      <c r="I149" s="177"/>
      <c r="J149" s="296"/>
      <c r="K149" s="249"/>
      <c r="L149" s="250"/>
      <c r="M149" s="136"/>
      <c r="N149" s="136"/>
      <c r="O149" s="136"/>
      <c r="P149" s="136"/>
      <c r="Q149" s="136"/>
      <c r="R149" s="131"/>
      <c r="S149" s="131"/>
      <c r="T149" s="131"/>
      <c r="W149" s="131"/>
      <c r="X149" s="131"/>
      <c r="Y149" s="131"/>
      <c r="Z149" s="131"/>
      <c r="AA149" s="131"/>
      <c r="AD149" s="131"/>
      <c r="AE149" s="131"/>
      <c r="AF149" s="131"/>
      <c r="AG149" s="131"/>
      <c r="AH149" s="131"/>
    </row>
    <row r="150" spans="2:34" hidden="1">
      <c r="B150" s="175"/>
      <c r="C150" s="180"/>
      <c r="D150" s="321"/>
      <c r="E150" s="309"/>
      <c r="F150" s="315"/>
      <c r="H150" s="290"/>
      <c r="I150" s="177"/>
      <c r="J150" s="296"/>
      <c r="K150" s="249"/>
      <c r="L150" s="250"/>
      <c r="M150" s="136"/>
      <c r="N150" s="136"/>
      <c r="O150" s="136"/>
      <c r="P150" s="136"/>
      <c r="Q150" s="136"/>
      <c r="R150" s="131"/>
      <c r="S150" s="131"/>
      <c r="T150" s="131"/>
      <c r="W150" s="131"/>
      <c r="X150" s="131"/>
      <c r="Y150" s="131"/>
      <c r="Z150" s="131"/>
      <c r="AA150" s="131"/>
      <c r="AD150" s="131"/>
      <c r="AE150" s="131"/>
      <c r="AF150" s="131"/>
      <c r="AG150" s="131"/>
      <c r="AH150" s="131"/>
    </row>
    <row r="151" spans="2:34" hidden="1">
      <c r="B151" s="175"/>
      <c r="C151" s="180"/>
      <c r="D151" s="321"/>
      <c r="E151" s="309"/>
      <c r="F151" s="315"/>
      <c r="H151" s="290"/>
      <c r="I151" s="177"/>
      <c r="J151" s="296"/>
      <c r="K151" s="249"/>
      <c r="L151" s="250"/>
      <c r="M151" s="136"/>
      <c r="N151" s="136"/>
      <c r="O151" s="136"/>
      <c r="P151" s="136"/>
      <c r="Q151" s="136"/>
      <c r="R151" s="131"/>
      <c r="S151" s="131"/>
      <c r="T151" s="131"/>
      <c r="W151" s="131"/>
      <c r="X151" s="131"/>
      <c r="Y151" s="131"/>
      <c r="Z151" s="131"/>
      <c r="AA151" s="131"/>
      <c r="AD151" s="131"/>
      <c r="AE151" s="131"/>
      <c r="AF151" s="131"/>
      <c r="AG151" s="131"/>
      <c r="AH151" s="131"/>
    </row>
    <row r="152" spans="2:34" hidden="1">
      <c r="B152" s="175"/>
      <c r="C152" s="180"/>
      <c r="D152" s="321"/>
      <c r="E152" s="309"/>
      <c r="F152" s="315"/>
      <c r="H152" s="290"/>
      <c r="I152" s="177"/>
      <c r="J152" s="296"/>
      <c r="K152" s="249"/>
      <c r="L152" s="250"/>
      <c r="M152" s="136"/>
      <c r="N152" s="136"/>
      <c r="O152" s="136"/>
      <c r="P152" s="136"/>
      <c r="Q152" s="136"/>
      <c r="R152" s="131"/>
      <c r="S152" s="131"/>
      <c r="T152" s="131"/>
      <c r="W152" s="131"/>
      <c r="X152" s="131"/>
      <c r="Y152" s="131"/>
      <c r="Z152" s="131"/>
      <c r="AA152" s="131"/>
      <c r="AD152" s="131"/>
      <c r="AE152" s="131"/>
      <c r="AF152" s="131"/>
      <c r="AG152" s="131"/>
      <c r="AH152" s="131"/>
    </row>
    <row r="153" spans="2:34" hidden="1">
      <c r="B153" s="175"/>
      <c r="C153" s="180"/>
      <c r="D153" s="321"/>
      <c r="E153" s="309"/>
      <c r="F153" s="315"/>
      <c r="H153" s="290"/>
      <c r="I153" s="177"/>
      <c r="J153" s="296"/>
      <c r="K153" s="249"/>
      <c r="L153" s="250"/>
      <c r="M153" s="136"/>
      <c r="N153" s="136"/>
      <c r="O153" s="136"/>
      <c r="P153" s="136"/>
      <c r="Q153" s="136"/>
      <c r="R153" s="131"/>
      <c r="S153" s="131"/>
      <c r="T153" s="131"/>
      <c r="W153" s="131"/>
      <c r="X153" s="131"/>
      <c r="Y153" s="131"/>
      <c r="Z153" s="131"/>
      <c r="AA153" s="131"/>
      <c r="AD153" s="131"/>
      <c r="AE153" s="131"/>
      <c r="AF153" s="131"/>
      <c r="AG153" s="131"/>
      <c r="AH153" s="131"/>
    </row>
    <row r="154" spans="2:34" hidden="1">
      <c r="B154" s="175"/>
      <c r="C154" s="180"/>
      <c r="D154" s="321"/>
      <c r="E154" s="309"/>
      <c r="F154" s="315"/>
      <c r="H154" s="290"/>
      <c r="I154" s="177"/>
      <c r="J154" s="296"/>
      <c r="K154" s="249"/>
      <c r="L154" s="250"/>
      <c r="M154" s="136"/>
      <c r="N154" s="136"/>
      <c r="O154" s="136"/>
      <c r="P154" s="136"/>
      <c r="Q154" s="136"/>
      <c r="R154" s="131"/>
      <c r="S154" s="131"/>
      <c r="T154" s="131"/>
      <c r="W154" s="131"/>
      <c r="X154" s="131"/>
      <c r="Y154" s="131"/>
      <c r="Z154" s="131"/>
      <c r="AA154" s="131"/>
      <c r="AD154" s="131"/>
      <c r="AE154" s="131"/>
      <c r="AF154" s="131"/>
      <c r="AG154" s="131"/>
      <c r="AH154" s="131"/>
    </row>
    <row r="155" spans="2:34" hidden="1">
      <c r="B155" s="175"/>
      <c r="C155" s="180"/>
      <c r="D155" s="321"/>
      <c r="E155" s="309"/>
      <c r="F155" s="315"/>
      <c r="H155" s="290"/>
      <c r="I155" s="177"/>
      <c r="J155" s="296"/>
      <c r="K155" s="249"/>
      <c r="L155" s="250"/>
      <c r="M155" s="136"/>
      <c r="N155" s="136"/>
      <c r="O155" s="136"/>
      <c r="P155" s="136"/>
      <c r="Q155" s="136"/>
      <c r="R155" s="131"/>
      <c r="S155" s="131"/>
      <c r="T155" s="131"/>
      <c r="W155" s="131"/>
      <c r="X155" s="131"/>
      <c r="Y155" s="131"/>
      <c r="Z155" s="131"/>
      <c r="AA155" s="131"/>
      <c r="AD155" s="131"/>
      <c r="AE155" s="131"/>
      <c r="AF155" s="131"/>
      <c r="AG155" s="131"/>
      <c r="AH155" s="131"/>
    </row>
    <row r="156" spans="2:34" hidden="1">
      <c r="B156" s="175"/>
      <c r="C156" s="180"/>
      <c r="D156" s="321"/>
      <c r="E156" s="309"/>
      <c r="F156" s="315"/>
      <c r="H156" s="290"/>
      <c r="I156" s="177"/>
      <c r="J156" s="296"/>
      <c r="K156" s="249"/>
      <c r="L156" s="250"/>
      <c r="M156" s="136"/>
      <c r="N156" s="136"/>
      <c r="O156" s="136"/>
      <c r="P156" s="136"/>
      <c r="Q156" s="136"/>
      <c r="R156" s="131"/>
      <c r="S156" s="131"/>
      <c r="T156" s="131"/>
      <c r="W156" s="131"/>
      <c r="X156" s="131"/>
      <c r="Y156" s="131"/>
      <c r="Z156" s="131"/>
      <c r="AA156" s="131"/>
      <c r="AD156" s="131"/>
      <c r="AE156" s="131"/>
      <c r="AF156" s="131"/>
      <c r="AG156" s="131"/>
      <c r="AH156" s="131"/>
    </row>
    <row r="157" spans="2:34" hidden="1">
      <c r="B157" s="175"/>
      <c r="C157" s="180"/>
      <c r="D157" s="321"/>
      <c r="E157" s="309"/>
      <c r="F157" s="315"/>
      <c r="H157" s="290"/>
      <c r="I157" s="177"/>
      <c r="J157" s="296"/>
      <c r="K157" s="249"/>
      <c r="L157" s="250"/>
      <c r="M157" s="136"/>
      <c r="N157" s="136"/>
      <c r="O157" s="136"/>
      <c r="P157" s="136"/>
      <c r="Q157" s="136"/>
      <c r="R157" s="131"/>
      <c r="S157" s="131"/>
      <c r="T157" s="131"/>
      <c r="U157" s="131"/>
      <c r="V157" s="214"/>
      <c r="W157" s="131"/>
      <c r="X157" s="131"/>
      <c r="Y157" s="131"/>
      <c r="Z157" s="131"/>
      <c r="AA157" s="131"/>
      <c r="AD157" s="131"/>
      <c r="AE157" s="131"/>
      <c r="AF157" s="131"/>
      <c r="AG157" s="131"/>
      <c r="AH157" s="131"/>
    </row>
    <row r="158" spans="2:34" hidden="1">
      <c r="B158" s="175"/>
      <c r="C158" s="180"/>
      <c r="D158" s="321"/>
      <c r="E158" s="309"/>
      <c r="F158" s="315"/>
      <c r="H158" s="290"/>
      <c r="I158" s="177"/>
      <c r="J158" s="296"/>
      <c r="K158" s="249"/>
      <c r="L158" s="250"/>
      <c r="M158" s="136"/>
      <c r="N158" s="136"/>
      <c r="O158" s="136"/>
      <c r="P158" s="136"/>
      <c r="Q158" s="136"/>
      <c r="R158" s="131"/>
      <c r="S158" s="131"/>
      <c r="T158" s="131"/>
      <c r="U158" s="131"/>
      <c r="V158" s="214"/>
      <c r="W158" s="131"/>
      <c r="X158" s="131"/>
      <c r="Y158" s="131"/>
      <c r="Z158" s="131"/>
      <c r="AA158" s="131"/>
      <c r="AD158" s="131"/>
      <c r="AE158" s="131"/>
      <c r="AF158" s="131"/>
      <c r="AG158" s="131"/>
      <c r="AH158" s="131"/>
    </row>
    <row r="159" spans="2:34" hidden="1">
      <c r="B159" s="175"/>
      <c r="C159" s="180"/>
      <c r="D159" s="321"/>
      <c r="E159" s="309"/>
      <c r="F159" s="315"/>
      <c r="H159" s="290"/>
      <c r="I159" s="177"/>
      <c r="J159" s="296"/>
      <c r="K159" s="249"/>
      <c r="L159" s="250"/>
      <c r="M159" s="136"/>
      <c r="N159" s="136"/>
      <c r="O159" s="136"/>
      <c r="P159" s="136"/>
      <c r="Q159" s="136"/>
      <c r="R159" s="131"/>
      <c r="S159" s="131"/>
      <c r="T159" s="131"/>
      <c r="U159" s="131"/>
      <c r="V159" s="214"/>
      <c r="W159" s="131"/>
      <c r="X159" s="131"/>
      <c r="Y159" s="131"/>
      <c r="Z159" s="131"/>
      <c r="AA159" s="131"/>
      <c r="AD159" s="131"/>
      <c r="AE159" s="131"/>
      <c r="AF159" s="131"/>
      <c r="AG159" s="131"/>
      <c r="AH159" s="131"/>
    </row>
    <row r="160" spans="2:34" hidden="1">
      <c r="B160" s="175"/>
      <c r="C160" s="180"/>
      <c r="D160" s="321"/>
      <c r="E160" s="309"/>
      <c r="F160" s="315"/>
      <c r="H160" s="290"/>
      <c r="I160" s="177"/>
      <c r="J160" s="296"/>
      <c r="K160" s="249"/>
      <c r="L160" s="250"/>
      <c r="M160" s="136"/>
      <c r="N160" s="136"/>
      <c r="O160" s="136"/>
      <c r="P160" s="136"/>
      <c r="Q160" s="136"/>
      <c r="R160" s="131"/>
      <c r="S160" s="131"/>
      <c r="T160" s="131"/>
      <c r="U160" s="131"/>
      <c r="V160" s="214"/>
      <c r="W160" s="131"/>
      <c r="X160" s="131"/>
      <c r="Y160" s="131"/>
      <c r="Z160" s="131"/>
      <c r="AA160" s="131"/>
      <c r="AD160" s="131"/>
      <c r="AE160" s="131"/>
      <c r="AF160" s="131"/>
      <c r="AG160" s="131"/>
      <c r="AH160" s="131"/>
    </row>
    <row r="161" spans="2:34" hidden="1">
      <c r="B161" s="175"/>
      <c r="C161" s="180"/>
      <c r="D161" s="321"/>
      <c r="E161" s="309"/>
      <c r="F161" s="315"/>
      <c r="H161" s="290"/>
      <c r="I161" s="177"/>
      <c r="J161" s="296"/>
      <c r="K161" s="249"/>
      <c r="L161" s="250"/>
      <c r="M161" s="136"/>
      <c r="N161" s="136"/>
      <c r="O161" s="136"/>
      <c r="P161" s="136"/>
      <c r="Q161" s="136"/>
      <c r="R161" s="131"/>
      <c r="S161" s="131"/>
      <c r="T161" s="131"/>
      <c r="U161" s="131"/>
      <c r="V161" s="214"/>
      <c r="W161" s="131"/>
      <c r="X161" s="131"/>
      <c r="Y161" s="131"/>
      <c r="Z161" s="131"/>
      <c r="AA161" s="131"/>
      <c r="AD161" s="131"/>
      <c r="AE161" s="131"/>
      <c r="AF161" s="131"/>
      <c r="AG161" s="131"/>
      <c r="AH161" s="131"/>
    </row>
    <row r="162" spans="2:34" hidden="1">
      <c r="B162" s="175"/>
      <c r="C162" s="180"/>
      <c r="D162" s="321"/>
      <c r="E162" s="309"/>
      <c r="F162" s="315"/>
      <c r="H162" s="290"/>
      <c r="I162" s="177"/>
      <c r="J162" s="296"/>
      <c r="K162" s="249"/>
      <c r="L162" s="250"/>
      <c r="M162" s="136"/>
      <c r="N162" s="136"/>
      <c r="O162" s="136"/>
      <c r="P162" s="136"/>
      <c r="Q162" s="136"/>
      <c r="R162" s="131"/>
      <c r="S162" s="131"/>
      <c r="T162" s="131"/>
      <c r="U162" s="131"/>
      <c r="V162" s="214"/>
      <c r="W162" s="131"/>
      <c r="X162" s="131"/>
      <c r="Y162" s="131"/>
      <c r="Z162" s="131"/>
      <c r="AA162" s="131"/>
      <c r="AD162" s="131"/>
      <c r="AE162" s="131"/>
      <c r="AF162" s="131"/>
      <c r="AG162" s="131"/>
      <c r="AH162" s="131"/>
    </row>
    <row r="163" spans="2:34" hidden="1">
      <c r="B163" s="175"/>
      <c r="C163" s="180"/>
      <c r="D163" s="321"/>
      <c r="E163" s="309"/>
      <c r="F163" s="315"/>
      <c r="H163" s="290"/>
      <c r="I163" s="177"/>
      <c r="J163" s="296"/>
      <c r="K163" s="249"/>
      <c r="L163" s="250"/>
      <c r="M163" s="136"/>
      <c r="N163" s="136"/>
      <c r="O163" s="136"/>
      <c r="P163" s="136"/>
      <c r="Q163" s="136"/>
      <c r="R163" s="131"/>
      <c r="S163" s="131"/>
      <c r="T163" s="131"/>
      <c r="U163" s="131"/>
      <c r="V163" s="214"/>
      <c r="W163" s="131"/>
      <c r="X163" s="131"/>
      <c r="Y163" s="131"/>
      <c r="Z163" s="131"/>
      <c r="AA163" s="131"/>
      <c r="AD163" s="131"/>
      <c r="AE163" s="131"/>
      <c r="AF163" s="131"/>
      <c r="AG163" s="131"/>
      <c r="AH163" s="131"/>
    </row>
    <row r="164" spans="2:34" hidden="1">
      <c r="B164" s="175"/>
      <c r="C164" s="180"/>
      <c r="D164" s="321"/>
      <c r="E164" s="309"/>
      <c r="F164" s="315"/>
      <c r="H164" s="290"/>
      <c r="I164" s="177"/>
      <c r="J164" s="296"/>
      <c r="K164" s="249"/>
      <c r="L164" s="250"/>
      <c r="M164" s="136"/>
      <c r="N164" s="136"/>
      <c r="O164" s="136"/>
      <c r="P164" s="136"/>
      <c r="Q164" s="136"/>
      <c r="R164" s="131"/>
      <c r="S164" s="131"/>
      <c r="T164" s="131"/>
      <c r="U164" s="131"/>
      <c r="V164" s="214"/>
      <c r="W164" s="131"/>
      <c r="X164" s="131"/>
      <c r="Y164" s="131"/>
      <c r="Z164" s="131"/>
      <c r="AA164" s="131"/>
      <c r="AD164" s="131"/>
      <c r="AE164" s="131"/>
      <c r="AF164" s="131"/>
      <c r="AG164" s="131"/>
      <c r="AH164" s="131"/>
    </row>
    <row r="165" spans="2:34" hidden="1">
      <c r="B165" s="175"/>
      <c r="C165" s="180"/>
      <c r="D165" s="321"/>
      <c r="E165" s="309"/>
      <c r="F165" s="315"/>
      <c r="H165" s="290"/>
      <c r="I165" s="177"/>
      <c r="J165" s="296"/>
      <c r="K165" s="249"/>
      <c r="L165" s="250"/>
      <c r="M165" s="136"/>
      <c r="N165" s="136"/>
      <c r="O165" s="136"/>
      <c r="P165" s="136"/>
      <c r="Q165" s="327"/>
      <c r="R165" s="131"/>
      <c r="S165" s="327"/>
      <c r="T165" s="131"/>
      <c r="U165" s="131"/>
      <c r="V165" s="214"/>
      <c r="W165" s="131"/>
      <c r="X165" s="131"/>
      <c r="Y165" s="131"/>
      <c r="Z165" s="131"/>
      <c r="AA165" s="131"/>
      <c r="AD165" s="131"/>
      <c r="AE165" s="131"/>
      <c r="AF165" s="131"/>
      <c r="AG165" s="131"/>
      <c r="AH165" s="131"/>
    </row>
    <row r="166" spans="2:34" hidden="1">
      <c r="B166" s="175"/>
      <c r="C166" s="180"/>
      <c r="D166" s="321"/>
      <c r="E166" s="309"/>
      <c r="F166" s="315"/>
      <c r="H166" s="290"/>
      <c r="I166" s="177"/>
      <c r="J166" s="296"/>
      <c r="K166" s="249"/>
      <c r="L166" s="250"/>
      <c r="M166" s="136"/>
      <c r="N166" s="136"/>
      <c r="O166" s="136"/>
      <c r="P166" s="136"/>
      <c r="Q166" s="327"/>
      <c r="R166" s="131"/>
      <c r="S166" s="327"/>
      <c r="T166" s="131"/>
      <c r="U166" s="131"/>
      <c r="V166" s="214"/>
      <c r="W166" s="131"/>
      <c r="X166" s="131"/>
      <c r="Y166" s="131"/>
      <c r="Z166" s="131"/>
      <c r="AA166" s="131"/>
      <c r="AD166" s="131"/>
      <c r="AE166" s="131"/>
      <c r="AF166" s="131"/>
      <c r="AG166" s="131"/>
      <c r="AH166" s="131"/>
    </row>
    <row r="167" spans="2:34" hidden="1">
      <c r="B167" s="175"/>
      <c r="C167" s="180"/>
      <c r="D167" s="321"/>
      <c r="E167" s="309"/>
      <c r="F167" s="315"/>
      <c r="H167" s="290"/>
      <c r="I167" s="177"/>
      <c r="J167" s="296"/>
      <c r="K167" s="249"/>
      <c r="L167" s="250"/>
      <c r="M167" s="136"/>
      <c r="N167" s="136"/>
      <c r="O167" s="136"/>
      <c r="P167" s="136"/>
      <c r="Q167" s="327"/>
      <c r="R167" s="131"/>
      <c r="S167" s="327"/>
      <c r="T167" s="131"/>
      <c r="U167" s="131"/>
      <c r="V167" s="214"/>
      <c r="W167" s="131"/>
      <c r="X167" s="131"/>
      <c r="Y167" s="131"/>
      <c r="Z167" s="131"/>
      <c r="AA167" s="131"/>
      <c r="AD167" s="131"/>
      <c r="AE167" s="131"/>
      <c r="AF167" s="131"/>
      <c r="AG167" s="131"/>
      <c r="AH167" s="131"/>
    </row>
    <row r="168" spans="2:34" hidden="1">
      <c r="B168" s="175"/>
      <c r="C168" s="180"/>
      <c r="D168" s="321"/>
      <c r="E168" s="309"/>
      <c r="F168" s="315"/>
      <c r="H168" s="290"/>
      <c r="I168" s="177"/>
      <c r="J168" s="296"/>
      <c r="K168" s="249"/>
      <c r="L168" s="250"/>
      <c r="M168" s="136"/>
      <c r="N168" s="136"/>
      <c r="O168" s="136"/>
      <c r="P168" s="136"/>
      <c r="Q168" s="136"/>
      <c r="R168" s="131"/>
      <c r="S168" s="131"/>
      <c r="T168" s="131"/>
      <c r="U168" s="131"/>
      <c r="V168" s="214"/>
      <c r="W168" s="131"/>
      <c r="X168" s="131"/>
      <c r="Y168" s="131"/>
      <c r="Z168" s="131"/>
      <c r="AA168" s="131"/>
      <c r="AD168" s="131"/>
      <c r="AE168" s="131"/>
      <c r="AF168" s="131"/>
      <c r="AG168" s="131"/>
      <c r="AH168" s="131"/>
    </row>
    <row r="169" spans="2:34" hidden="1">
      <c r="B169" s="175"/>
      <c r="C169" s="180"/>
      <c r="D169" s="321"/>
      <c r="E169" s="309"/>
      <c r="F169" s="315"/>
      <c r="H169" s="290"/>
      <c r="I169" s="177"/>
      <c r="J169" s="296"/>
      <c r="K169" s="249"/>
      <c r="L169" s="250"/>
      <c r="M169" s="136"/>
      <c r="N169" s="136"/>
      <c r="O169" s="136"/>
      <c r="P169" s="136"/>
      <c r="Q169" s="136"/>
      <c r="R169" s="131"/>
      <c r="S169" s="131"/>
      <c r="T169" s="131"/>
      <c r="U169" s="131"/>
      <c r="V169" s="214"/>
      <c r="W169" s="131"/>
      <c r="X169" s="131"/>
      <c r="Y169" s="131"/>
      <c r="Z169" s="131"/>
      <c r="AA169" s="131"/>
      <c r="AD169" s="131"/>
      <c r="AE169" s="131"/>
      <c r="AF169" s="131"/>
      <c r="AG169" s="131"/>
      <c r="AH169" s="131"/>
    </row>
    <row r="170" spans="2:34" hidden="1">
      <c r="B170" s="175"/>
      <c r="C170" s="180"/>
      <c r="D170" s="321"/>
      <c r="E170" s="309"/>
      <c r="F170" s="315"/>
      <c r="H170" s="290"/>
      <c r="I170" s="177"/>
      <c r="J170" s="296"/>
      <c r="K170" s="249"/>
      <c r="L170" s="250"/>
      <c r="M170" s="136"/>
      <c r="N170" s="136"/>
      <c r="O170" s="136"/>
      <c r="P170" s="136"/>
      <c r="Q170" s="136"/>
      <c r="R170" s="131"/>
      <c r="S170" s="131"/>
      <c r="T170" s="131"/>
      <c r="U170" s="131"/>
      <c r="V170" s="214"/>
      <c r="W170" s="131"/>
      <c r="X170" s="131"/>
      <c r="Y170" s="131"/>
      <c r="Z170" s="131"/>
      <c r="AA170" s="131"/>
      <c r="AD170" s="131"/>
      <c r="AE170" s="131"/>
      <c r="AF170" s="131"/>
      <c r="AG170" s="131"/>
      <c r="AH170" s="131"/>
    </row>
    <row r="171" spans="2:34" hidden="1">
      <c r="B171" s="175"/>
      <c r="C171" s="180"/>
      <c r="D171" s="321"/>
      <c r="E171" s="309"/>
      <c r="F171" s="315"/>
      <c r="H171" s="290"/>
      <c r="I171" s="177"/>
      <c r="J171" s="296"/>
      <c r="K171" s="249"/>
      <c r="L171" s="250"/>
      <c r="M171" s="136"/>
      <c r="N171" s="136"/>
      <c r="O171" s="136"/>
      <c r="P171" s="136"/>
      <c r="Q171" s="136"/>
      <c r="R171" s="131"/>
      <c r="S171" s="131"/>
      <c r="T171" s="131"/>
      <c r="U171" s="131"/>
      <c r="V171" s="214"/>
      <c r="W171" s="131"/>
      <c r="X171" s="131"/>
      <c r="Y171" s="131"/>
      <c r="Z171" s="131"/>
      <c r="AA171" s="131"/>
      <c r="AD171" s="131"/>
      <c r="AE171" s="131"/>
      <c r="AF171" s="131"/>
      <c r="AG171" s="131"/>
      <c r="AH171" s="131"/>
    </row>
    <row r="172" spans="2:34" hidden="1">
      <c r="B172" s="175"/>
      <c r="C172" s="180"/>
      <c r="D172" s="321"/>
      <c r="E172" s="309"/>
      <c r="F172" s="315"/>
      <c r="H172" s="290"/>
      <c r="I172" s="177"/>
      <c r="J172" s="296"/>
      <c r="K172" s="249"/>
      <c r="L172" s="250"/>
      <c r="M172" s="136"/>
      <c r="N172" s="136"/>
      <c r="O172" s="136"/>
      <c r="P172" s="136"/>
      <c r="Q172" s="136"/>
      <c r="R172" s="131"/>
      <c r="S172" s="131"/>
      <c r="T172" s="131"/>
      <c r="U172" s="131"/>
      <c r="V172" s="214"/>
      <c r="W172" s="131"/>
      <c r="X172" s="131"/>
      <c r="Y172" s="131"/>
      <c r="Z172" s="131"/>
      <c r="AA172" s="131"/>
      <c r="AD172" s="131"/>
      <c r="AE172" s="131"/>
      <c r="AF172" s="131"/>
      <c r="AG172" s="131"/>
      <c r="AH172" s="131"/>
    </row>
    <row r="173" spans="2:34" hidden="1">
      <c r="B173" s="175"/>
      <c r="C173" s="180"/>
      <c r="D173" s="321"/>
      <c r="E173" s="309"/>
      <c r="F173" s="315"/>
      <c r="H173" s="290"/>
      <c r="I173" s="177"/>
      <c r="J173" s="296"/>
      <c r="K173" s="249"/>
      <c r="L173" s="250"/>
      <c r="M173" s="136"/>
      <c r="N173" s="136"/>
      <c r="O173" s="136"/>
      <c r="P173" s="136"/>
      <c r="Q173" s="136"/>
      <c r="R173" s="131"/>
      <c r="S173" s="131"/>
      <c r="T173" s="131"/>
      <c r="U173" s="131"/>
      <c r="V173" s="214"/>
      <c r="W173" s="131"/>
      <c r="X173" s="131"/>
      <c r="Y173" s="131"/>
      <c r="Z173" s="131"/>
      <c r="AA173" s="131"/>
      <c r="AD173" s="131"/>
      <c r="AE173" s="131"/>
      <c r="AF173" s="131"/>
      <c r="AG173" s="131"/>
      <c r="AH173" s="131"/>
    </row>
    <row r="174" spans="2:34" hidden="1">
      <c r="B174" s="175"/>
      <c r="C174" s="180"/>
      <c r="D174" s="321"/>
      <c r="E174" s="309"/>
      <c r="F174" s="315"/>
      <c r="H174" s="290"/>
      <c r="I174" s="177"/>
      <c r="J174" s="296"/>
      <c r="K174" s="249"/>
      <c r="L174" s="250"/>
      <c r="M174" s="136"/>
      <c r="N174" s="136"/>
      <c r="O174" s="136"/>
      <c r="P174" s="136"/>
      <c r="Q174" s="136"/>
      <c r="R174" s="131"/>
      <c r="S174" s="131"/>
      <c r="T174" s="131"/>
      <c r="U174" s="131"/>
      <c r="V174" s="214"/>
      <c r="W174" s="131"/>
      <c r="X174" s="131"/>
      <c r="Y174" s="131"/>
      <c r="Z174" s="131"/>
      <c r="AA174" s="131"/>
      <c r="AD174" s="131"/>
      <c r="AE174" s="131"/>
      <c r="AF174" s="131"/>
      <c r="AG174" s="131"/>
      <c r="AH174" s="131"/>
    </row>
    <row r="175" spans="2:34" hidden="1">
      <c r="B175" s="175"/>
      <c r="C175" s="180"/>
      <c r="D175" s="321"/>
      <c r="E175" s="309"/>
      <c r="F175" s="315"/>
      <c r="H175" s="290"/>
      <c r="I175" s="177"/>
      <c r="J175" s="296"/>
      <c r="K175" s="249"/>
      <c r="L175" s="250"/>
      <c r="M175" s="136"/>
      <c r="N175" s="136"/>
      <c r="O175" s="136"/>
      <c r="P175" s="136"/>
      <c r="Q175" s="136"/>
      <c r="R175" s="131"/>
      <c r="S175" s="131"/>
      <c r="T175" s="131"/>
      <c r="U175" s="131"/>
      <c r="V175" s="214"/>
      <c r="W175" s="131"/>
      <c r="X175" s="131"/>
      <c r="Y175" s="131"/>
      <c r="Z175" s="131"/>
      <c r="AA175" s="131"/>
      <c r="AD175" s="131"/>
      <c r="AE175" s="131"/>
      <c r="AF175" s="131"/>
      <c r="AG175" s="131"/>
      <c r="AH175" s="131"/>
    </row>
    <row r="176" spans="2:34" hidden="1">
      <c r="B176" s="175"/>
      <c r="C176" s="180"/>
      <c r="D176" s="321"/>
      <c r="E176" s="309"/>
      <c r="F176" s="315"/>
      <c r="H176" s="290"/>
      <c r="I176" s="177"/>
      <c r="J176" s="296"/>
      <c r="K176" s="249"/>
      <c r="L176" s="250"/>
      <c r="M176" s="136"/>
      <c r="N176" s="136"/>
      <c r="O176" s="136"/>
      <c r="P176" s="136"/>
      <c r="Q176" s="136"/>
      <c r="R176" s="131"/>
      <c r="S176" s="131"/>
      <c r="T176" s="131"/>
      <c r="U176" s="131"/>
      <c r="V176" s="214"/>
      <c r="W176" s="131"/>
      <c r="X176" s="131"/>
      <c r="Y176" s="131"/>
      <c r="Z176" s="131"/>
      <c r="AA176" s="131"/>
      <c r="AD176" s="131"/>
      <c r="AE176" s="131"/>
      <c r="AF176" s="131"/>
      <c r="AG176" s="131"/>
      <c r="AH176" s="131"/>
    </row>
    <row r="177" spans="2:34" hidden="1">
      <c r="B177" s="175"/>
      <c r="C177" s="180"/>
      <c r="D177" s="321"/>
      <c r="E177" s="309"/>
      <c r="F177" s="315"/>
      <c r="H177" s="290"/>
      <c r="I177" s="177"/>
      <c r="J177" s="296"/>
      <c r="K177" s="249"/>
      <c r="L177" s="250"/>
      <c r="M177" s="136"/>
      <c r="N177" s="136"/>
      <c r="O177" s="136"/>
      <c r="P177" s="136"/>
      <c r="Q177" s="136"/>
      <c r="R177" s="131"/>
      <c r="S177" s="131"/>
      <c r="T177" s="131"/>
      <c r="U177" s="131"/>
      <c r="V177" s="214"/>
      <c r="W177" s="131"/>
      <c r="X177" s="131"/>
      <c r="Y177" s="131"/>
      <c r="Z177" s="131"/>
      <c r="AA177" s="131"/>
      <c r="AD177" s="131"/>
      <c r="AE177" s="131"/>
      <c r="AF177" s="131"/>
      <c r="AG177" s="131"/>
      <c r="AH177" s="131"/>
    </row>
    <row r="178" spans="2:34" hidden="1">
      <c r="B178" s="175"/>
      <c r="C178" s="180"/>
      <c r="D178" s="321"/>
      <c r="E178" s="309"/>
      <c r="F178" s="315"/>
      <c r="H178" s="290"/>
      <c r="I178" s="177"/>
      <c r="J178" s="296"/>
      <c r="K178" s="249"/>
      <c r="L178" s="250"/>
      <c r="M178" s="136"/>
      <c r="N178" s="136"/>
      <c r="O178" s="136"/>
      <c r="P178" s="136"/>
      <c r="Q178" s="136"/>
      <c r="R178" s="131"/>
      <c r="S178" s="131"/>
      <c r="T178" s="131"/>
      <c r="U178" s="131"/>
      <c r="V178" s="214"/>
      <c r="W178" s="131"/>
      <c r="X178" s="131"/>
      <c r="Y178" s="131"/>
      <c r="Z178" s="131"/>
      <c r="AA178" s="131"/>
      <c r="AD178" s="131"/>
      <c r="AE178" s="131"/>
      <c r="AF178" s="131"/>
      <c r="AG178" s="131"/>
      <c r="AH178" s="131"/>
    </row>
    <row r="179" spans="2:34" hidden="1">
      <c r="B179" s="175"/>
      <c r="C179" s="180"/>
      <c r="D179" s="321"/>
      <c r="E179" s="309"/>
      <c r="F179" s="315"/>
      <c r="H179" s="290"/>
      <c r="I179" s="177"/>
      <c r="J179" s="296"/>
      <c r="K179" s="249"/>
      <c r="L179" s="250"/>
      <c r="M179" s="136"/>
      <c r="N179" s="136"/>
      <c r="O179" s="136"/>
      <c r="P179" s="136"/>
      <c r="Q179" s="136"/>
      <c r="R179" s="131"/>
      <c r="S179" s="131"/>
      <c r="T179" s="131"/>
      <c r="U179" s="131"/>
      <c r="V179" s="214"/>
      <c r="W179" s="131"/>
      <c r="X179" s="131"/>
      <c r="Y179" s="131"/>
      <c r="Z179" s="131"/>
      <c r="AA179" s="131"/>
      <c r="AD179" s="131"/>
      <c r="AE179" s="131"/>
      <c r="AF179" s="131"/>
      <c r="AG179" s="131"/>
      <c r="AH179" s="131"/>
    </row>
    <row r="180" spans="2:34" hidden="1">
      <c r="B180" s="175"/>
      <c r="C180" s="180"/>
      <c r="D180" s="321"/>
      <c r="E180" s="309"/>
      <c r="F180" s="315"/>
      <c r="H180" s="290"/>
      <c r="I180" s="177"/>
      <c r="J180" s="296"/>
      <c r="K180" s="249"/>
      <c r="L180" s="250"/>
      <c r="M180" s="136"/>
      <c r="N180" s="136"/>
      <c r="O180" s="136"/>
      <c r="P180" s="136"/>
      <c r="Q180" s="136"/>
      <c r="R180" s="131"/>
      <c r="S180" s="131"/>
      <c r="T180" s="131"/>
      <c r="U180" s="131"/>
      <c r="V180" s="214"/>
      <c r="W180" s="131"/>
      <c r="X180" s="131"/>
      <c r="Y180" s="131"/>
      <c r="Z180" s="131"/>
      <c r="AA180" s="131"/>
      <c r="AD180" s="131"/>
      <c r="AE180" s="131"/>
      <c r="AF180" s="131"/>
      <c r="AG180" s="131"/>
      <c r="AH180" s="131"/>
    </row>
    <row r="181" spans="2:34" hidden="1">
      <c r="B181" s="175"/>
      <c r="C181" s="180"/>
      <c r="D181" s="321"/>
      <c r="E181" s="309"/>
      <c r="F181" s="315"/>
      <c r="H181" s="290"/>
      <c r="I181" s="177"/>
      <c r="J181" s="296"/>
      <c r="K181" s="249"/>
      <c r="L181" s="250"/>
      <c r="M181" s="136"/>
      <c r="N181" s="136"/>
      <c r="O181" s="136"/>
      <c r="P181" s="136"/>
      <c r="Q181" s="136"/>
      <c r="R181" s="131"/>
      <c r="S181" s="131"/>
      <c r="T181" s="131"/>
      <c r="U181" s="131"/>
      <c r="V181" s="214"/>
      <c r="W181" s="131"/>
      <c r="X181" s="131"/>
      <c r="Y181" s="131"/>
      <c r="Z181" s="131"/>
      <c r="AA181" s="131"/>
      <c r="AD181" s="131"/>
      <c r="AE181" s="131"/>
      <c r="AF181" s="131"/>
      <c r="AG181" s="131"/>
      <c r="AH181" s="131"/>
    </row>
    <row r="182" spans="2:34" hidden="1">
      <c r="B182" s="175"/>
      <c r="C182" s="180"/>
      <c r="D182" s="321"/>
      <c r="E182" s="309"/>
      <c r="F182" s="315"/>
      <c r="H182" s="290"/>
      <c r="I182" s="177"/>
      <c r="J182" s="296"/>
      <c r="K182" s="249"/>
      <c r="L182" s="250"/>
      <c r="M182" s="136"/>
      <c r="N182" s="136"/>
      <c r="O182" s="136"/>
      <c r="P182" s="136"/>
      <c r="Q182" s="136"/>
      <c r="R182" s="131"/>
      <c r="S182" s="131"/>
      <c r="T182" s="131"/>
      <c r="U182" s="131"/>
      <c r="V182" s="214"/>
      <c r="W182" s="131"/>
      <c r="X182" s="131"/>
      <c r="Y182" s="131"/>
      <c r="Z182" s="131"/>
      <c r="AA182" s="131"/>
      <c r="AD182" s="131"/>
      <c r="AE182" s="131"/>
      <c r="AF182" s="131"/>
      <c r="AG182" s="131"/>
      <c r="AH182" s="131"/>
    </row>
    <row r="183" spans="2:34" hidden="1">
      <c r="B183" s="175"/>
      <c r="C183" s="180"/>
      <c r="D183" s="321"/>
      <c r="E183" s="309"/>
      <c r="F183" s="315"/>
      <c r="H183" s="290"/>
      <c r="I183" s="177"/>
      <c r="J183" s="296"/>
      <c r="K183" s="249"/>
      <c r="L183" s="250"/>
      <c r="M183" s="136"/>
      <c r="N183" s="136"/>
      <c r="O183" s="136"/>
      <c r="P183" s="136"/>
      <c r="Q183" s="136"/>
      <c r="R183" s="131"/>
      <c r="S183" s="131"/>
      <c r="T183" s="131"/>
      <c r="U183" s="131"/>
      <c r="V183" s="214"/>
      <c r="W183" s="131"/>
      <c r="X183" s="131"/>
      <c r="Y183" s="131"/>
      <c r="Z183" s="131"/>
      <c r="AA183" s="131"/>
      <c r="AD183" s="131"/>
      <c r="AE183" s="131"/>
      <c r="AF183" s="131"/>
      <c r="AG183" s="131"/>
      <c r="AH183" s="131"/>
    </row>
    <row r="184" spans="2:34" hidden="1">
      <c r="B184" s="175"/>
      <c r="C184" s="180"/>
      <c r="D184" s="321"/>
      <c r="E184" s="309"/>
      <c r="F184" s="315"/>
      <c r="H184" s="290"/>
      <c r="I184" s="177"/>
      <c r="J184" s="296"/>
      <c r="K184" s="249"/>
      <c r="L184" s="250"/>
      <c r="M184" s="136"/>
      <c r="N184" s="136"/>
      <c r="O184" s="136"/>
      <c r="P184" s="136"/>
      <c r="Q184" s="136"/>
      <c r="R184" s="131"/>
      <c r="S184" s="131"/>
      <c r="T184" s="131"/>
      <c r="U184" s="131"/>
      <c r="V184" s="214"/>
      <c r="W184" s="131"/>
      <c r="X184" s="131"/>
      <c r="Y184" s="131"/>
      <c r="Z184" s="131"/>
      <c r="AA184" s="131"/>
      <c r="AD184" s="131"/>
      <c r="AE184" s="131"/>
      <c r="AF184" s="131"/>
      <c r="AG184" s="131"/>
      <c r="AH184" s="131"/>
    </row>
    <row r="185" spans="2:34" hidden="1">
      <c r="B185" s="175"/>
      <c r="C185" s="180"/>
      <c r="D185" s="321"/>
      <c r="E185" s="309"/>
      <c r="F185" s="315"/>
      <c r="H185" s="290"/>
      <c r="I185" s="177"/>
      <c r="J185" s="296"/>
      <c r="K185" s="249"/>
      <c r="L185" s="250"/>
      <c r="M185" s="136"/>
      <c r="N185" s="136"/>
      <c r="O185" s="136"/>
      <c r="P185" s="136"/>
      <c r="Q185" s="136"/>
      <c r="R185" s="131"/>
      <c r="S185" s="131"/>
      <c r="T185" s="131"/>
      <c r="U185" s="131"/>
      <c r="V185" s="214"/>
      <c r="W185" s="131"/>
      <c r="X185" s="131"/>
      <c r="Y185" s="131"/>
      <c r="Z185" s="131"/>
      <c r="AA185" s="131"/>
      <c r="AD185" s="131"/>
      <c r="AE185" s="131"/>
      <c r="AF185" s="131"/>
      <c r="AG185" s="131"/>
      <c r="AH185" s="131"/>
    </row>
    <row r="186" spans="2:34" hidden="1">
      <c r="B186" s="175"/>
      <c r="C186" s="180"/>
      <c r="D186" s="321"/>
      <c r="E186" s="309"/>
      <c r="F186" s="315"/>
      <c r="H186" s="290"/>
      <c r="I186" s="177"/>
      <c r="J186" s="296"/>
      <c r="K186" s="249"/>
      <c r="L186" s="250"/>
      <c r="M186" s="136"/>
      <c r="N186" s="136"/>
      <c r="O186" s="136"/>
      <c r="P186" s="136"/>
      <c r="Q186" s="136"/>
      <c r="R186" s="131"/>
      <c r="S186" s="131"/>
      <c r="T186" s="131"/>
      <c r="U186" s="131"/>
      <c r="V186" s="214"/>
      <c r="W186" s="131"/>
      <c r="X186" s="131"/>
      <c r="Y186" s="131"/>
      <c r="Z186" s="131"/>
      <c r="AA186" s="131"/>
      <c r="AD186" s="131"/>
      <c r="AE186" s="131"/>
      <c r="AF186" s="131"/>
      <c r="AG186" s="131"/>
      <c r="AH186" s="131"/>
    </row>
    <row r="187" spans="2:34" hidden="1">
      <c r="B187" s="175"/>
      <c r="C187" s="180"/>
      <c r="D187" s="321"/>
      <c r="E187" s="309"/>
      <c r="F187" s="315"/>
      <c r="H187" s="290"/>
      <c r="I187" s="177"/>
      <c r="J187" s="296"/>
      <c r="K187" s="249"/>
      <c r="L187" s="250"/>
      <c r="M187" s="136"/>
      <c r="N187" s="136"/>
      <c r="O187" s="136"/>
      <c r="P187" s="136"/>
      <c r="Q187" s="136"/>
      <c r="R187" s="131"/>
      <c r="S187" s="131"/>
      <c r="T187" s="131"/>
      <c r="U187" s="131"/>
      <c r="V187" s="214"/>
      <c r="W187" s="131"/>
      <c r="X187" s="131"/>
      <c r="Y187" s="131"/>
      <c r="Z187" s="131"/>
      <c r="AA187" s="131"/>
      <c r="AD187" s="131"/>
      <c r="AE187" s="131"/>
      <c r="AF187" s="131"/>
      <c r="AG187" s="131"/>
      <c r="AH187" s="131"/>
    </row>
    <row r="188" spans="2:34" hidden="1">
      <c r="B188" s="175"/>
      <c r="C188" s="180"/>
      <c r="D188" s="321"/>
      <c r="E188" s="309"/>
      <c r="F188" s="315"/>
      <c r="H188" s="290"/>
      <c r="I188" s="177"/>
      <c r="J188" s="296"/>
      <c r="K188" s="249"/>
      <c r="L188" s="250"/>
      <c r="M188" s="136"/>
      <c r="N188" s="136"/>
      <c r="O188" s="136"/>
      <c r="P188" s="136"/>
      <c r="Q188" s="136"/>
      <c r="R188" s="131"/>
      <c r="S188" s="131"/>
      <c r="T188" s="131"/>
      <c r="U188" s="131"/>
      <c r="V188" s="214"/>
      <c r="W188" s="131"/>
      <c r="X188" s="131"/>
      <c r="Y188" s="131"/>
      <c r="Z188" s="131"/>
      <c r="AA188" s="131"/>
      <c r="AD188" s="131"/>
      <c r="AE188" s="131"/>
      <c r="AF188" s="131"/>
      <c r="AG188" s="131"/>
      <c r="AH188" s="131"/>
    </row>
    <row r="189" spans="2:34" hidden="1">
      <c r="B189" s="175"/>
      <c r="C189" s="180"/>
      <c r="D189" s="321"/>
      <c r="E189" s="309"/>
      <c r="F189" s="315"/>
      <c r="H189" s="290"/>
      <c r="I189" s="177"/>
      <c r="J189" s="296"/>
      <c r="K189" s="249"/>
      <c r="L189" s="250"/>
      <c r="M189" s="136"/>
      <c r="N189" s="136"/>
      <c r="O189" s="136"/>
      <c r="P189" s="136"/>
      <c r="Q189" s="136"/>
      <c r="R189" s="131"/>
      <c r="S189" s="131"/>
      <c r="T189" s="131"/>
      <c r="U189" s="131"/>
      <c r="V189" s="214"/>
      <c r="W189" s="131"/>
      <c r="X189" s="131"/>
      <c r="Y189" s="131"/>
      <c r="Z189" s="131"/>
      <c r="AA189" s="131"/>
      <c r="AD189" s="131"/>
      <c r="AE189" s="131"/>
      <c r="AF189" s="131"/>
      <c r="AG189" s="131"/>
      <c r="AH189" s="131"/>
    </row>
    <row r="190" spans="2:34" hidden="1">
      <c r="B190" s="175"/>
      <c r="C190" s="180"/>
      <c r="D190" s="321"/>
      <c r="E190" s="309"/>
      <c r="F190" s="315"/>
      <c r="H190" s="290"/>
      <c r="I190" s="177"/>
      <c r="J190" s="296"/>
      <c r="K190" s="249"/>
      <c r="L190" s="250"/>
      <c r="M190" s="136"/>
      <c r="N190" s="136"/>
      <c r="O190" s="136"/>
      <c r="P190" s="136"/>
      <c r="Q190" s="136"/>
      <c r="R190" s="131"/>
      <c r="S190" s="131"/>
      <c r="T190" s="131"/>
      <c r="U190" s="131"/>
      <c r="V190" s="214"/>
      <c r="W190" s="131"/>
      <c r="X190" s="131"/>
      <c r="Y190" s="131"/>
      <c r="Z190" s="131"/>
      <c r="AA190" s="131"/>
      <c r="AD190" s="131"/>
      <c r="AE190" s="131"/>
      <c r="AF190" s="131"/>
      <c r="AG190" s="131"/>
      <c r="AH190" s="131"/>
    </row>
    <row r="191" spans="2:34" hidden="1">
      <c r="B191" s="175"/>
      <c r="C191" s="180"/>
      <c r="D191" s="321"/>
      <c r="E191" s="309"/>
      <c r="F191" s="315"/>
      <c r="H191" s="290"/>
      <c r="I191" s="177"/>
      <c r="J191" s="296"/>
      <c r="K191" s="249"/>
      <c r="L191" s="250"/>
      <c r="M191" s="136"/>
      <c r="N191" s="136"/>
      <c r="O191" s="136"/>
      <c r="P191" s="136"/>
      <c r="Q191" s="136"/>
      <c r="R191" s="131"/>
      <c r="S191" s="131"/>
      <c r="T191" s="131"/>
      <c r="U191" s="131"/>
      <c r="V191" s="214"/>
      <c r="W191" s="131"/>
      <c r="X191" s="131"/>
      <c r="Y191" s="131"/>
      <c r="Z191" s="131"/>
      <c r="AA191" s="131"/>
      <c r="AD191" s="131"/>
      <c r="AE191" s="131"/>
      <c r="AF191" s="131"/>
      <c r="AG191" s="131"/>
      <c r="AH191" s="131"/>
    </row>
    <row r="192" spans="2:34" hidden="1">
      <c r="B192" s="175"/>
      <c r="C192" s="180"/>
      <c r="D192" s="321"/>
      <c r="E192" s="309"/>
      <c r="F192" s="315"/>
      <c r="H192" s="290"/>
      <c r="I192" s="177"/>
      <c r="J192" s="296"/>
      <c r="K192" s="249"/>
      <c r="L192" s="250"/>
      <c r="M192" s="136"/>
      <c r="N192" s="136"/>
      <c r="O192" s="136"/>
      <c r="P192" s="136"/>
      <c r="Q192" s="136"/>
      <c r="R192" s="131"/>
      <c r="S192" s="131"/>
      <c r="T192" s="131"/>
      <c r="U192" s="131"/>
      <c r="V192" s="214"/>
      <c r="W192" s="131"/>
      <c r="X192" s="131"/>
      <c r="Y192" s="131"/>
      <c r="Z192" s="131"/>
      <c r="AA192" s="131"/>
      <c r="AD192" s="131"/>
      <c r="AE192" s="131"/>
      <c r="AF192" s="131"/>
      <c r="AG192" s="131"/>
      <c r="AH192" s="131"/>
    </row>
    <row r="193" spans="2:34" hidden="1">
      <c r="B193" s="175"/>
      <c r="C193" s="180"/>
      <c r="D193" s="321"/>
      <c r="E193" s="309"/>
      <c r="F193" s="315"/>
      <c r="H193" s="290"/>
      <c r="I193" s="177"/>
      <c r="J193" s="296"/>
      <c r="K193" s="249"/>
      <c r="L193" s="250"/>
      <c r="M193" s="136"/>
      <c r="N193" s="136"/>
      <c r="O193" s="136"/>
      <c r="P193" s="136"/>
      <c r="Q193" s="136"/>
      <c r="R193" s="131"/>
      <c r="S193" s="131"/>
      <c r="T193" s="131"/>
      <c r="U193" s="131"/>
      <c r="V193" s="214"/>
      <c r="W193" s="131"/>
      <c r="X193" s="131"/>
      <c r="Y193" s="131"/>
      <c r="Z193" s="131"/>
      <c r="AA193" s="131"/>
      <c r="AD193" s="131"/>
      <c r="AE193" s="131"/>
      <c r="AF193" s="131"/>
      <c r="AG193" s="131"/>
      <c r="AH193" s="131"/>
    </row>
    <row r="194" spans="2:34" hidden="1">
      <c r="B194" s="175"/>
      <c r="C194" s="180"/>
      <c r="D194" s="321"/>
      <c r="E194" s="309"/>
      <c r="F194" s="315"/>
      <c r="H194" s="290"/>
      <c r="I194" s="177"/>
      <c r="J194" s="296"/>
      <c r="K194" s="249"/>
      <c r="L194" s="250"/>
      <c r="M194" s="136"/>
      <c r="N194" s="136"/>
      <c r="O194" s="136"/>
      <c r="P194" s="136"/>
      <c r="Q194" s="136"/>
      <c r="R194" s="131"/>
      <c r="S194" s="131"/>
      <c r="T194" s="131"/>
      <c r="U194" s="131"/>
      <c r="V194" s="214"/>
      <c r="W194" s="131"/>
      <c r="X194" s="131"/>
      <c r="Y194" s="131"/>
      <c r="Z194" s="131"/>
      <c r="AA194" s="131"/>
      <c r="AD194" s="131"/>
      <c r="AE194" s="131"/>
      <c r="AF194" s="131"/>
      <c r="AG194" s="131"/>
      <c r="AH194" s="131"/>
    </row>
    <row r="195" spans="2:34" hidden="1">
      <c r="B195" s="175"/>
      <c r="C195" s="180"/>
      <c r="D195" s="321"/>
      <c r="E195" s="309"/>
      <c r="F195" s="315"/>
      <c r="H195" s="290"/>
      <c r="I195" s="177"/>
      <c r="J195" s="296"/>
      <c r="K195" s="249"/>
      <c r="L195" s="250"/>
      <c r="M195" s="136"/>
      <c r="N195" s="136"/>
      <c r="O195" s="136"/>
      <c r="P195" s="136"/>
      <c r="Q195" s="327"/>
      <c r="R195" s="131"/>
      <c r="S195" s="327"/>
      <c r="T195" s="131"/>
      <c r="U195" s="131"/>
      <c r="V195" s="214"/>
      <c r="W195" s="131"/>
      <c r="X195" s="131"/>
      <c r="Y195" s="131"/>
      <c r="Z195" s="131"/>
      <c r="AA195" s="131"/>
      <c r="AD195" s="131"/>
      <c r="AE195" s="131"/>
      <c r="AF195" s="131"/>
      <c r="AG195" s="131"/>
      <c r="AH195" s="131"/>
    </row>
    <row r="196" spans="2:34" hidden="1">
      <c r="B196" s="175"/>
      <c r="C196" s="180"/>
      <c r="D196" s="321"/>
      <c r="E196" s="309"/>
      <c r="F196" s="315"/>
      <c r="H196" s="290"/>
      <c r="I196" s="177"/>
      <c r="J196" s="296"/>
      <c r="K196" s="249"/>
      <c r="L196" s="250"/>
      <c r="M196" s="136"/>
      <c r="N196" s="136"/>
      <c r="O196" s="136"/>
      <c r="P196" s="136"/>
      <c r="Q196" s="327"/>
      <c r="R196" s="131"/>
      <c r="S196" s="327"/>
      <c r="T196" s="131"/>
      <c r="U196" s="131"/>
      <c r="V196" s="214"/>
      <c r="W196" s="131"/>
      <c r="X196" s="131"/>
      <c r="Y196" s="131"/>
      <c r="Z196" s="131"/>
      <c r="AA196" s="131"/>
      <c r="AD196" s="131"/>
      <c r="AE196" s="131"/>
      <c r="AF196" s="131"/>
      <c r="AG196" s="131"/>
      <c r="AH196" s="131"/>
    </row>
    <row r="197" spans="2:34" hidden="1">
      <c r="B197" s="175"/>
      <c r="C197" s="180"/>
      <c r="D197" s="321"/>
      <c r="E197" s="309"/>
      <c r="F197" s="315"/>
      <c r="H197" s="290"/>
      <c r="I197" s="177"/>
      <c r="J197" s="296"/>
      <c r="K197" s="249"/>
      <c r="L197" s="250"/>
      <c r="M197" s="136"/>
      <c r="N197" s="136"/>
      <c r="O197" s="136"/>
      <c r="P197" s="136"/>
      <c r="Q197" s="327"/>
      <c r="R197" s="131"/>
      <c r="S197" s="327"/>
      <c r="T197" s="131"/>
      <c r="U197" s="131"/>
      <c r="V197" s="214"/>
      <c r="W197" s="131"/>
      <c r="X197" s="131"/>
      <c r="Y197" s="131"/>
      <c r="Z197" s="131"/>
      <c r="AA197" s="131"/>
      <c r="AD197" s="131"/>
      <c r="AE197" s="131"/>
      <c r="AF197" s="131"/>
      <c r="AG197" s="131"/>
      <c r="AH197" s="131"/>
    </row>
    <row r="198" spans="2:34" hidden="1">
      <c r="B198" s="175"/>
      <c r="C198" s="180"/>
      <c r="D198" s="321"/>
      <c r="E198" s="309"/>
      <c r="F198" s="315"/>
      <c r="H198" s="290"/>
      <c r="I198" s="177"/>
      <c r="J198" s="296"/>
      <c r="K198" s="249"/>
      <c r="L198" s="250"/>
      <c r="M198" s="136"/>
      <c r="N198" s="136"/>
      <c r="O198" s="136"/>
      <c r="P198" s="136"/>
      <c r="Q198" s="136"/>
      <c r="R198" s="131"/>
      <c r="S198" s="131"/>
      <c r="T198" s="131"/>
      <c r="U198" s="131"/>
      <c r="V198" s="214"/>
      <c r="W198" s="131"/>
      <c r="X198" s="131"/>
      <c r="Y198" s="131"/>
      <c r="Z198" s="131"/>
      <c r="AA198" s="131"/>
      <c r="AD198" s="131"/>
      <c r="AE198" s="131"/>
      <c r="AF198" s="131"/>
      <c r="AG198" s="131"/>
      <c r="AH198" s="131"/>
    </row>
    <row r="199" spans="2:34" hidden="1">
      <c r="B199" s="175"/>
      <c r="C199" s="180"/>
      <c r="D199" s="321"/>
      <c r="E199" s="309"/>
      <c r="F199" s="315"/>
      <c r="H199" s="290"/>
      <c r="I199" s="177"/>
      <c r="J199" s="296"/>
      <c r="K199" s="249"/>
      <c r="L199" s="250"/>
      <c r="M199" s="136"/>
      <c r="N199" s="136"/>
      <c r="O199" s="136"/>
      <c r="P199" s="136"/>
      <c r="Q199" s="136"/>
      <c r="R199" s="131"/>
      <c r="S199" s="131"/>
      <c r="T199" s="131"/>
      <c r="U199" s="131"/>
      <c r="V199" s="214"/>
      <c r="W199" s="131"/>
      <c r="X199" s="131"/>
      <c r="Y199" s="131"/>
      <c r="Z199" s="131"/>
      <c r="AA199" s="131"/>
      <c r="AD199" s="131"/>
      <c r="AE199" s="131"/>
      <c r="AF199" s="131"/>
      <c r="AG199" s="131"/>
      <c r="AH199" s="131"/>
    </row>
    <row r="200" spans="2:34" hidden="1">
      <c r="B200" s="175"/>
      <c r="C200" s="180"/>
      <c r="D200" s="321"/>
      <c r="E200" s="309"/>
      <c r="F200" s="315"/>
      <c r="H200" s="290"/>
      <c r="I200" s="177"/>
      <c r="J200" s="296"/>
      <c r="K200" s="249"/>
      <c r="L200" s="250"/>
      <c r="M200" s="136"/>
      <c r="N200" s="136"/>
      <c r="O200" s="136"/>
      <c r="P200" s="136"/>
      <c r="Q200" s="136"/>
      <c r="R200" s="131"/>
      <c r="S200" s="131"/>
      <c r="T200" s="131"/>
      <c r="U200" s="131"/>
      <c r="V200" s="214"/>
      <c r="W200" s="131"/>
      <c r="X200" s="131"/>
      <c r="Y200" s="131"/>
      <c r="Z200" s="131"/>
      <c r="AA200" s="131"/>
      <c r="AD200" s="131"/>
      <c r="AE200" s="131"/>
      <c r="AF200" s="131"/>
      <c r="AG200" s="131"/>
      <c r="AH200" s="131"/>
    </row>
    <row r="201" spans="2:34" hidden="1">
      <c r="B201" s="175"/>
      <c r="C201" s="180"/>
      <c r="D201" s="321"/>
      <c r="E201" s="309"/>
      <c r="F201" s="315"/>
      <c r="H201" s="290"/>
      <c r="I201" s="177"/>
      <c r="J201" s="296"/>
      <c r="K201" s="249"/>
      <c r="L201" s="250"/>
      <c r="M201" s="136"/>
      <c r="N201" s="136"/>
      <c r="O201" s="136"/>
      <c r="P201" s="136"/>
      <c r="Q201" s="136"/>
      <c r="R201" s="131"/>
      <c r="S201" s="131"/>
      <c r="T201" s="131"/>
      <c r="U201" s="131"/>
      <c r="V201" s="214"/>
      <c r="W201" s="131"/>
      <c r="X201" s="131"/>
      <c r="Y201" s="131"/>
      <c r="Z201" s="131"/>
      <c r="AA201" s="131"/>
      <c r="AD201" s="131"/>
      <c r="AE201" s="131"/>
      <c r="AF201" s="131"/>
      <c r="AG201" s="131"/>
      <c r="AH201" s="131"/>
    </row>
    <row r="202" spans="2:34" hidden="1">
      <c r="B202" s="175"/>
      <c r="C202" s="180"/>
      <c r="D202" s="321"/>
      <c r="E202" s="309"/>
      <c r="F202" s="315"/>
      <c r="H202" s="290"/>
      <c r="I202" s="177"/>
      <c r="J202" s="296"/>
      <c r="K202" s="249"/>
      <c r="L202" s="250"/>
      <c r="M202" s="136"/>
      <c r="N202" s="136"/>
      <c r="O202" s="136"/>
      <c r="P202" s="136"/>
      <c r="Q202" s="136"/>
      <c r="R202" s="131"/>
      <c r="S202" s="131"/>
      <c r="T202" s="131"/>
      <c r="U202" s="131"/>
      <c r="V202" s="214"/>
      <c r="W202" s="131"/>
      <c r="X202" s="131"/>
      <c r="Y202" s="131"/>
      <c r="Z202" s="131"/>
      <c r="AA202" s="131"/>
      <c r="AD202" s="131"/>
      <c r="AE202" s="131"/>
      <c r="AF202" s="131"/>
      <c r="AG202" s="131"/>
      <c r="AH202" s="131"/>
    </row>
    <row r="203" spans="2:34" hidden="1">
      <c r="B203" s="175"/>
      <c r="C203" s="180"/>
      <c r="D203" s="321"/>
      <c r="E203" s="309"/>
      <c r="F203" s="315"/>
      <c r="H203" s="290"/>
      <c r="I203" s="177"/>
      <c r="J203" s="296"/>
      <c r="K203" s="249"/>
      <c r="L203" s="250"/>
      <c r="M203" s="136"/>
      <c r="N203" s="136"/>
      <c r="O203" s="136"/>
      <c r="P203" s="136"/>
      <c r="Q203" s="136"/>
      <c r="R203" s="131"/>
      <c r="S203" s="131"/>
      <c r="T203" s="131"/>
      <c r="U203" s="131"/>
      <c r="V203" s="214"/>
      <c r="W203" s="131"/>
      <c r="X203" s="131"/>
      <c r="Y203" s="131"/>
      <c r="Z203" s="131"/>
      <c r="AA203" s="131"/>
      <c r="AD203" s="131"/>
      <c r="AE203" s="131"/>
      <c r="AF203" s="131"/>
      <c r="AG203" s="131"/>
      <c r="AH203" s="131"/>
    </row>
    <row r="204" spans="2:34" hidden="1">
      <c r="B204" s="175"/>
      <c r="C204" s="180"/>
      <c r="D204" s="321"/>
      <c r="E204" s="309"/>
      <c r="F204" s="315"/>
      <c r="H204" s="290"/>
      <c r="I204" s="177"/>
      <c r="J204" s="296"/>
      <c r="K204" s="249"/>
      <c r="L204" s="250"/>
      <c r="M204" s="136"/>
      <c r="N204" s="136"/>
      <c r="O204" s="136"/>
      <c r="P204" s="136"/>
      <c r="Q204" s="136"/>
      <c r="R204" s="131"/>
      <c r="S204" s="131"/>
      <c r="T204" s="131"/>
      <c r="U204" s="131"/>
      <c r="V204" s="214"/>
      <c r="W204" s="131"/>
      <c r="X204" s="131"/>
      <c r="Y204" s="131"/>
      <c r="Z204" s="131"/>
      <c r="AA204" s="131"/>
      <c r="AD204" s="131"/>
      <c r="AE204" s="131"/>
      <c r="AF204" s="131"/>
      <c r="AG204" s="131"/>
      <c r="AH204" s="131"/>
    </row>
    <row r="205" spans="2:34" hidden="1">
      <c r="B205" s="175"/>
      <c r="C205" s="180"/>
      <c r="D205" s="321"/>
      <c r="E205" s="309"/>
      <c r="F205" s="315"/>
      <c r="H205" s="290"/>
      <c r="I205" s="177"/>
      <c r="J205" s="296"/>
      <c r="K205" s="249"/>
      <c r="L205" s="250"/>
      <c r="M205" s="136"/>
      <c r="N205" s="136"/>
      <c r="O205" s="136"/>
      <c r="P205" s="136"/>
      <c r="Q205" s="136"/>
      <c r="R205" s="131"/>
      <c r="S205" s="131"/>
      <c r="T205" s="131"/>
      <c r="U205" s="131"/>
      <c r="V205" s="214"/>
      <c r="W205" s="131"/>
      <c r="X205" s="131"/>
      <c r="Y205" s="131"/>
      <c r="Z205" s="131"/>
      <c r="AA205" s="131"/>
      <c r="AD205" s="131"/>
      <c r="AE205" s="131"/>
      <c r="AF205" s="131"/>
      <c r="AG205" s="131"/>
      <c r="AH205" s="131"/>
    </row>
    <row r="206" spans="2:34" hidden="1">
      <c r="B206" s="175"/>
      <c r="C206" s="180"/>
      <c r="D206" s="321"/>
      <c r="E206" s="309"/>
      <c r="F206" s="315"/>
      <c r="H206" s="290"/>
      <c r="I206" s="177"/>
      <c r="J206" s="296"/>
      <c r="K206" s="249"/>
      <c r="L206" s="250"/>
      <c r="M206" s="136"/>
      <c r="N206" s="136"/>
      <c r="O206" s="136"/>
      <c r="P206" s="136"/>
      <c r="Q206" s="136"/>
      <c r="R206" s="131"/>
      <c r="S206" s="131"/>
      <c r="T206" s="131"/>
      <c r="U206" s="131"/>
      <c r="V206" s="214"/>
      <c r="W206" s="131"/>
      <c r="X206" s="131"/>
      <c r="Y206" s="131"/>
      <c r="Z206" s="131"/>
      <c r="AA206" s="131"/>
      <c r="AD206" s="131"/>
      <c r="AE206" s="131"/>
      <c r="AF206" s="131"/>
      <c r="AG206" s="131"/>
      <c r="AH206" s="131"/>
    </row>
    <row r="207" spans="2:34" hidden="1">
      <c r="B207" s="175"/>
      <c r="C207" s="180"/>
      <c r="D207" s="321"/>
      <c r="E207" s="309"/>
      <c r="F207" s="315"/>
      <c r="H207" s="290"/>
      <c r="I207" s="177"/>
      <c r="J207" s="296"/>
      <c r="K207" s="249"/>
      <c r="L207" s="250"/>
      <c r="M207" s="136"/>
      <c r="N207" s="136"/>
      <c r="O207" s="136"/>
      <c r="P207" s="136"/>
      <c r="Q207" s="136"/>
      <c r="R207" s="131"/>
      <c r="S207" s="131"/>
      <c r="T207" s="131"/>
      <c r="U207" s="131"/>
      <c r="V207" s="214"/>
      <c r="W207" s="131"/>
      <c r="X207" s="131"/>
      <c r="Y207" s="131"/>
      <c r="Z207" s="131"/>
      <c r="AA207" s="131"/>
      <c r="AD207" s="131"/>
      <c r="AE207" s="131"/>
      <c r="AF207" s="131"/>
      <c r="AG207" s="131"/>
      <c r="AH207" s="131"/>
    </row>
    <row r="208" spans="2:34" hidden="1">
      <c r="B208" s="175"/>
      <c r="C208" s="180"/>
      <c r="D208" s="321"/>
      <c r="E208" s="309"/>
      <c r="F208" s="315"/>
      <c r="H208" s="290"/>
      <c r="I208" s="177"/>
      <c r="J208" s="296"/>
      <c r="K208" s="249"/>
      <c r="L208" s="250"/>
      <c r="M208" s="136"/>
      <c r="N208" s="136"/>
      <c r="O208" s="136"/>
      <c r="P208" s="136"/>
      <c r="Q208" s="136"/>
      <c r="R208" s="131"/>
      <c r="S208" s="131"/>
      <c r="T208" s="131"/>
      <c r="U208" s="131"/>
      <c r="V208" s="214"/>
      <c r="W208" s="131"/>
      <c r="X208" s="131"/>
      <c r="Y208" s="131"/>
      <c r="Z208" s="131"/>
      <c r="AA208" s="131"/>
      <c r="AD208" s="131"/>
      <c r="AE208" s="131"/>
      <c r="AF208" s="131"/>
      <c r="AG208" s="131"/>
      <c r="AH208" s="131"/>
    </row>
    <row r="209" spans="2:34" hidden="1">
      <c r="B209" s="175"/>
      <c r="C209" s="180"/>
      <c r="D209" s="321"/>
      <c r="E209" s="309"/>
      <c r="F209" s="315"/>
      <c r="H209" s="290"/>
      <c r="I209" s="177"/>
      <c r="J209" s="296"/>
      <c r="K209" s="249"/>
      <c r="L209" s="250"/>
      <c r="M209" s="136"/>
      <c r="N209" s="136"/>
      <c r="O209" s="136"/>
      <c r="P209" s="136"/>
      <c r="Q209" s="136"/>
      <c r="R209" s="131"/>
      <c r="S209" s="131"/>
      <c r="T209" s="131"/>
      <c r="U209" s="131"/>
      <c r="V209" s="214"/>
      <c r="W209" s="131"/>
      <c r="X209" s="131"/>
      <c r="Y209" s="131"/>
      <c r="Z209" s="131"/>
      <c r="AA209" s="131"/>
      <c r="AD209" s="131"/>
      <c r="AE209" s="131"/>
      <c r="AF209" s="131"/>
      <c r="AG209" s="131"/>
      <c r="AH209" s="131"/>
    </row>
    <row r="210" spans="2:34" hidden="1">
      <c r="B210" s="175"/>
      <c r="C210" s="180"/>
      <c r="D210" s="321"/>
      <c r="E210" s="317"/>
      <c r="F210" s="315"/>
      <c r="H210" s="290"/>
      <c r="I210" s="177"/>
      <c r="J210" s="296"/>
      <c r="K210" s="249"/>
      <c r="L210" s="250"/>
      <c r="M210" s="136"/>
      <c r="N210" s="136"/>
      <c r="O210" s="136"/>
      <c r="P210" s="136"/>
      <c r="Q210" s="136"/>
      <c r="R210" s="131"/>
      <c r="S210" s="131"/>
      <c r="T210" s="131"/>
      <c r="U210" s="131"/>
      <c r="V210" s="214"/>
      <c r="W210" s="131"/>
      <c r="X210" s="131"/>
      <c r="Y210" s="131"/>
      <c r="Z210" s="131"/>
      <c r="AA210" s="131"/>
      <c r="AD210" s="131"/>
      <c r="AE210" s="131"/>
      <c r="AF210" s="131"/>
      <c r="AG210" s="131"/>
      <c r="AH210" s="131"/>
    </row>
    <row r="211" spans="2:34" hidden="1">
      <c r="B211" s="175"/>
      <c r="C211" s="180"/>
      <c r="D211" s="321"/>
      <c r="E211" s="317"/>
      <c r="F211" s="315"/>
      <c r="H211" s="290"/>
      <c r="I211" s="177"/>
      <c r="J211" s="296"/>
      <c r="K211" s="249"/>
      <c r="L211" s="250"/>
      <c r="M211" s="136"/>
      <c r="N211" s="136"/>
      <c r="O211" s="136"/>
      <c r="P211" s="136"/>
      <c r="Q211" s="136"/>
      <c r="R211" s="131"/>
      <c r="S211" s="131"/>
      <c r="T211" s="131"/>
      <c r="U211" s="131"/>
      <c r="V211" s="214"/>
      <c r="W211" s="131"/>
      <c r="X211" s="131"/>
      <c r="Y211" s="131"/>
      <c r="Z211" s="131"/>
      <c r="AA211" s="131"/>
      <c r="AD211" s="131"/>
      <c r="AE211" s="131"/>
      <c r="AF211" s="131"/>
      <c r="AG211" s="131"/>
      <c r="AH211" s="131"/>
    </row>
    <row r="212" spans="2:34" hidden="1">
      <c r="B212" s="175"/>
      <c r="C212" s="180"/>
      <c r="D212" s="321"/>
      <c r="E212" s="35"/>
      <c r="F212" s="315"/>
      <c r="H212" s="290"/>
      <c r="I212" s="177"/>
      <c r="J212" s="296"/>
      <c r="K212" s="249"/>
      <c r="L212" s="250"/>
      <c r="M212" s="136"/>
      <c r="N212" s="136"/>
      <c r="O212" s="136"/>
      <c r="P212" s="136"/>
      <c r="Q212" s="327"/>
      <c r="R212" s="131"/>
      <c r="S212" s="327"/>
      <c r="T212" s="131"/>
      <c r="U212" s="131"/>
      <c r="V212" s="214"/>
      <c r="W212" s="131"/>
      <c r="X212" s="131"/>
      <c r="Y212" s="131"/>
      <c r="Z212" s="131"/>
      <c r="AA212" s="131"/>
      <c r="AD212" s="131"/>
      <c r="AE212" s="131"/>
      <c r="AF212" s="131"/>
      <c r="AG212" s="131"/>
      <c r="AH212" s="131"/>
    </row>
    <row r="213" spans="2:34" hidden="1">
      <c r="B213" s="175"/>
      <c r="C213" s="180"/>
      <c r="D213" s="321"/>
      <c r="E213" s="309"/>
      <c r="F213" s="315"/>
      <c r="H213" s="290"/>
      <c r="I213" s="177"/>
      <c r="J213" s="296"/>
      <c r="K213" s="249"/>
      <c r="L213" s="250"/>
      <c r="M213" s="136"/>
      <c r="N213" s="136"/>
      <c r="O213" s="136"/>
      <c r="P213" s="136"/>
      <c r="Q213" s="327"/>
      <c r="R213" s="131"/>
      <c r="S213" s="327"/>
      <c r="T213" s="131"/>
      <c r="U213" s="131"/>
      <c r="V213" s="214"/>
      <c r="W213" s="131"/>
      <c r="X213" s="131"/>
      <c r="Y213" s="131"/>
      <c r="Z213" s="131"/>
      <c r="AA213" s="131"/>
      <c r="AD213" s="131"/>
      <c r="AE213" s="131"/>
      <c r="AF213" s="131"/>
      <c r="AG213" s="131"/>
      <c r="AH213" s="131"/>
    </row>
    <row r="214" spans="2:34" hidden="1">
      <c r="B214" s="175"/>
      <c r="C214" s="180"/>
      <c r="D214" s="321"/>
      <c r="E214" s="309"/>
      <c r="F214" s="315"/>
      <c r="H214" s="290"/>
      <c r="I214" s="177"/>
      <c r="J214" s="296"/>
      <c r="K214" s="249"/>
      <c r="L214" s="250"/>
      <c r="M214" s="136"/>
      <c r="N214" s="136"/>
      <c r="O214" s="136"/>
      <c r="P214" s="136"/>
      <c r="Q214" s="327"/>
      <c r="R214" s="131"/>
      <c r="S214" s="131"/>
      <c r="T214" s="131"/>
      <c r="U214" s="131"/>
      <c r="V214" s="214"/>
      <c r="W214" s="131"/>
      <c r="X214" s="131"/>
      <c r="Y214" s="131"/>
      <c r="Z214" s="131"/>
      <c r="AA214" s="131"/>
      <c r="AD214" s="131"/>
      <c r="AE214" s="131"/>
      <c r="AF214" s="131"/>
      <c r="AG214" s="131"/>
      <c r="AH214" s="131"/>
    </row>
    <row r="215" spans="2:34" hidden="1">
      <c r="B215" s="175"/>
      <c r="C215" s="180"/>
      <c r="D215" s="321"/>
      <c r="E215" s="309"/>
      <c r="F215" s="315"/>
      <c r="H215" s="290"/>
      <c r="I215" s="177"/>
      <c r="J215" s="296"/>
      <c r="K215" s="249"/>
      <c r="L215" s="250"/>
      <c r="M215" s="136"/>
      <c r="N215" s="136"/>
      <c r="O215" s="136"/>
      <c r="P215" s="136"/>
      <c r="Q215" s="327"/>
      <c r="R215" s="131"/>
      <c r="S215" s="131"/>
      <c r="T215" s="131"/>
      <c r="U215" s="131"/>
      <c r="V215" s="214"/>
      <c r="W215" s="131"/>
      <c r="X215" s="131"/>
      <c r="Y215" s="131"/>
      <c r="Z215" s="131"/>
      <c r="AA215" s="131"/>
      <c r="AD215" s="131"/>
      <c r="AE215" s="131"/>
      <c r="AF215" s="131"/>
      <c r="AG215" s="131"/>
      <c r="AH215" s="131"/>
    </row>
    <row r="216" spans="2:34" hidden="1">
      <c r="B216" s="175"/>
      <c r="C216" s="180"/>
      <c r="D216" s="321"/>
      <c r="E216" s="309"/>
      <c r="F216" s="315"/>
      <c r="H216" s="290"/>
      <c r="I216" s="177"/>
      <c r="J216" s="296"/>
      <c r="K216" s="249"/>
      <c r="L216" s="250"/>
      <c r="M216" s="136"/>
      <c r="N216" s="136"/>
      <c r="O216" s="136"/>
      <c r="P216" s="136"/>
      <c r="Q216" s="327"/>
      <c r="R216" s="131"/>
      <c r="S216" s="131"/>
      <c r="T216" s="131"/>
      <c r="U216" s="131"/>
      <c r="V216" s="214"/>
      <c r="W216" s="131"/>
      <c r="X216" s="131"/>
      <c r="Y216" s="131"/>
      <c r="Z216" s="131"/>
      <c r="AA216" s="131"/>
      <c r="AD216" s="131"/>
      <c r="AE216" s="131"/>
      <c r="AF216" s="131"/>
      <c r="AG216" s="131"/>
      <c r="AH216" s="131"/>
    </row>
    <row r="217" spans="2:34" hidden="1">
      <c r="B217" s="175"/>
      <c r="C217" s="180"/>
      <c r="D217" s="321"/>
      <c r="E217" s="309"/>
      <c r="F217" s="315"/>
      <c r="H217" s="290"/>
      <c r="I217" s="177"/>
      <c r="J217" s="296"/>
      <c r="K217" s="249"/>
      <c r="L217" s="250"/>
      <c r="M217" s="136"/>
      <c r="N217" s="136"/>
      <c r="O217" s="136"/>
      <c r="P217" s="136"/>
      <c r="Q217" s="327"/>
      <c r="R217" s="131"/>
      <c r="S217" s="131"/>
      <c r="T217" s="131"/>
      <c r="U217" s="131"/>
      <c r="V217" s="214"/>
      <c r="W217" s="131"/>
      <c r="X217" s="131"/>
      <c r="Y217" s="131"/>
      <c r="Z217" s="131"/>
      <c r="AA217" s="131"/>
      <c r="AD217" s="131"/>
      <c r="AE217" s="131"/>
      <c r="AF217" s="131"/>
      <c r="AG217" s="131"/>
      <c r="AH217" s="131"/>
    </row>
    <row r="218" spans="2:34" hidden="1">
      <c r="B218" s="175"/>
      <c r="C218" s="180"/>
      <c r="D218" s="321"/>
      <c r="E218" s="309"/>
      <c r="F218" s="315"/>
      <c r="H218" s="290"/>
      <c r="I218" s="177"/>
      <c r="J218" s="296"/>
      <c r="K218" s="249"/>
      <c r="L218" s="250"/>
      <c r="M218" s="136"/>
      <c r="N218" s="136"/>
      <c r="O218" s="136"/>
      <c r="P218" s="136"/>
      <c r="Q218" s="327"/>
      <c r="R218" s="131"/>
      <c r="S218" s="131"/>
      <c r="T218" s="131"/>
      <c r="U218" s="131"/>
      <c r="V218" s="214"/>
      <c r="W218" s="131"/>
      <c r="X218" s="131"/>
      <c r="Y218" s="131"/>
      <c r="Z218" s="131"/>
      <c r="AA218" s="131"/>
      <c r="AD218" s="131"/>
      <c r="AE218" s="131"/>
      <c r="AF218" s="131"/>
      <c r="AG218" s="131"/>
      <c r="AH218" s="131"/>
    </row>
    <row r="219" spans="2:34" hidden="1">
      <c r="B219" s="175"/>
      <c r="C219" s="180"/>
      <c r="D219" s="321"/>
      <c r="E219" s="309"/>
      <c r="F219" s="315"/>
      <c r="H219" s="290"/>
      <c r="I219" s="177"/>
      <c r="J219" s="296"/>
      <c r="K219" s="249"/>
      <c r="L219" s="250"/>
      <c r="M219" s="136"/>
      <c r="N219" s="136"/>
      <c r="O219" s="136"/>
      <c r="P219" s="136"/>
      <c r="Q219" s="327"/>
      <c r="R219" s="131"/>
      <c r="S219" s="131"/>
      <c r="T219" s="131"/>
      <c r="U219" s="131"/>
      <c r="V219" s="214"/>
      <c r="W219" s="131"/>
      <c r="X219" s="131"/>
      <c r="Y219" s="131"/>
      <c r="Z219" s="131"/>
      <c r="AA219" s="131"/>
      <c r="AD219" s="131"/>
      <c r="AE219" s="131"/>
      <c r="AF219" s="131"/>
      <c r="AG219" s="131"/>
      <c r="AH219" s="131"/>
    </row>
    <row r="220" spans="2:34" hidden="1">
      <c r="B220" s="175"/>
      <c r="C220" s="180"/>
      <c r="D220" s="321"/>
      <c r="E220" s="309"/>
      <c r="F220" s="315"/>
      <c r="H220" s="290"/>
      <c r="I220" s="177"/>
      <c r="J220" s="296"/>
      <c r="K220" s="249"/>
      <c r="L220" s="250"/>
      <c r="M220" s="136"/>
      <c r="N220" s="136"/>
      <c r="O220" s="136"/>
      <c r="P220" s="136"/>
      <c r="Q220" s="136"/>
      <c r="R220" s="131"/>
      <c r="S220" s="131"/>
      <c r="T220" s="131"/>
      <c r="U220" s="131"/>
      <c r="V220" s="214"/>
      <c r="W220" s="131"/>
      <c r="X220" s="131"/>
      <c r="Y220" s="131"/>
      <c r="Z220" s="131"/>
      <c r="AA220" s="131"/>
      <c r="AD220" s="131"/>
      <c r="AE220" s="131"/>
      <c r="AF220" s="131"/>
      <c r="AG220" s="131"/>
      <c r="AH220" s="131"/>
    </row>
    <row r="221" spans="2:34" hidden="1">
      <c r="B221" s="175"/>
      <c r="C221" s="180"/>
      <c r="D221" s="321"/>
      <c r="E221" s="309"/>
      <c r="F221" s="315"/>
      <c r="H221" s="290"/>
      <c r="I221" s="177"/>
      <c r="J221" s="296"/>
      <c r="K221" s="249"/>
      <c r="L221" s="250"/>
      <c r="M221" s="136"/>
      <c r="N221" s="136"/>
      <c r="O221" s="136"/>
      <c r="P221" s="136"/>
      <c r="Q221" s="136"/>
      <c r="R221" s="131"/>
      <c r="S221" s="131"/>
      <c r="T221" s="131"/>
      <c r="U221" s="131"/>
      <c r="V221" s="214"/>
      <c r="W221" s="131"/>
      <c r="X221" s="131"/>
      <c r="Y221" s="131"/>
      <c r="Z221" s="131"/>
      <c r="AA221" s="131"/>
      <c r="AD221" s="131"/>
      <c r="AE221" s="131"/>
      <c r="AF221" s="131"/>
      <c r="AG221" s="131"/>
      <c r="AH221" s="131"/>
    </row>
    <row r="222" spans="2:34" hidden="1">
      <c r="B222" s="175"/>
      <c r="C222" s="180"/>
      <c r="D222" s="321"/>
      <c r="E222" s="309"/>
      <c r="F222" s="315"/>
      <c r="H222" s="290"/>
      <c r="I222" s="177"/>
      <c r="J222" s="296"/>
      <c r="K222" s="249"/>
      <c r="L222" s="250"/>
      <c r="M222" s="136"/>
      <c r="N222" s="136"/>
      <c r="O222" s="136"/>
      <c r="P222" s="136"/>
      <c r="Q222" s="136"/>
      <c r="R222" s="131"/>
      <c r="S222" s="131"/>
      <c r="T222" s="131"/>
      <c r="U222" s="131"/>
      <c r="V222" s="214"/>
      <c r="W222" s="131"/>
      <c r="X222" s="131"/>
      <c r="Y222" s="131"/>
      <c r="Z222" s="131"/>
      <c r="AA222" s="131"/>
      <c r="AD222" s="131"/>
      <c r="AE222" s="131"/>
      <c r="AF222" s="131"/>
      <c r="AG222" s="131"/>
      <c r="AH222" s="131"/>
    </row>
    <row r="223" spans="2:34" hidden="1">
      <c r="B223" s="175"/>
      <c r="C223" s="180"/>
      <c r="D223" s="321"/>
      <c r="E223" s="309"/>
      <c r="F223" s="315"/>
      <c r="H223" s="290"/>
      <c r="I223" s="177"/>
      <c r="J223" s="296"/>
      <c r="K223" s="249"/>
      <c r="L223" s="250"/>
      <c r="M223" s="136"/>
      <c r="N223" s="136"/>
      <c r="O223" s="136"/>
      <c r="P223" s="136"/>
      <c r="Q223" s="136"/>
      <c r="R223" s="131"/>
      <c r="S223" s="131"/>
      <c r="T223" s="131"/>
      <c r="U223" s="131"/>
      <c r="V223" s="214"/>
      <c r="W223" s="131"/>
      <c r="X223" s="131"/>
      <c r="Y223" s="131"/>
      <c r="Z223" s="131"/>
      <c r="AA223" s="131"/>
      <c r="AD223" s="131"/>
      <c r="AE223" s="131"/>
      <c r="AF223" s="131"/>
      <c r="AG223" s="131"/>
      <c r="AH223" s="131"/>
    </row>
    <row r="224" spans="2:34" hidden="1">
      <c r="B224" s="175"/>
      <c r="C224" s="180"/>
      <c r="D224" s="321"/>
      <c r="E224" s="309"/>
      <c r="F224" s="315"/>
      <c r="H224" s="290"/>
      <c r="I224" s="177"/>
      <c r="J224" s="296"/>
      <c r="K224" s="249"/>
      <c r="L224" s="250"/>
      <c r="M224" s="136"/>
      <c r="N224" s="136"/>
      <c r="O224" s="136"/>
      <c r="P224" s="136"/>
      <c r="Q224" s="136"/>
      <c r="R224" s="131"/>
      <c r="S224" s="131"/>
      <c r="T224" s="131"/>
      <c r="U224" s="131"/>
      <c r="V224" s="214"/>
      <c r="W224" s="131"/>
      <c r="X224" s="131"/>
      <c r="Y224" s="131"/>
      <c r="Z224" s="131"/>
      <c r="AA224" s="131"/>
      <c r="AD224" s="131"/>
      <c r="AE224" s="131"/>
      <c r="AF224" s="131"/>
      <c r="AG224" s="131"/>
      <c r="AH224" s="131"/>
    </row>
    <row r="225" spans="2:34" hidden="1">
      <c r="B225" s="175"/>
      <c r="C225" s="180"/>
      <c r="D225" s="321"/>
      <c r="E225" s="309"/>
      <c r="F225" s="315"/>
      <c r="H225" s="290"/>
      <c r="I225" s="177"/>
      <c r="J225" s="296"/>
      <c r="K225" s="249"/>
      <c r="L225" s="250"/>
      <c r="M225" s="136"/>
      <c r="N225" s="136"/>
      <c r="O225" s="136"/>
      <c r="P225" s="136"/>
      <c r="Q225" s="136"/>
      <c r="R225" s="131"/>
      <c r="S225" s="131"/>
      <c r="T225" s="131"/>
      <c r="U225" s="131"/>
      <c r="V225" s="214"/>
      <c r="W225" s="131"/>
      <c r="X225" s="131"/>
      <c r="Y225" s="131"/>
      <c r="Z225" s="131"/>
      <c r="AA225" s="131"/>
      <c r="AD225" s="131"/>
      <c r="AE225" s="131"/>
      <c r="AF225" s="131"/>
      <c r="AG225" s="131"/>
      <c r="AH225" s="131"/>
    </row>
    <row r="226" spans="2:34" hidden="1">
      <c r="B226" s="175"/>
      <c r="C226" s="180"/>
      <c r="D226" s="321"/>
      <c r="E226" s="309"/>
      <c r="F226" s="315"/>
      <c r="H226" s="290"/>
      <c r="I226" s="177"/>
      <c r="J226" s="296"/>
      <c r="K226" s="249"/>
      <c r="L226" s="250"/>
      <c r="M226" s="136"/>
      <c r="N226" s="136"/>
      <c r="O226" s="136"/>
      <c r="P226" s="136"/>
      <c r="Q226" s="136"/>
      <c r="R226" s="131"/>
      <c r="S226" s="131"/>
      <c r="T226" s="131"/>
      <c r="U226" s="131"/>
      <c r="V226" s="214"/>
      <c r="W226" s="131"/>
      <c r="X226" s="131"/>
      <c r="Y226" s="131"/>
      <c r="Z226" s="131"/>
      <c r="AA226" s="131"/>
      <c r="AD226" s="131"/>
      <c r="AE226" s="131"/>
      <c r="AF226" s="131"/>
      <c r="AG226" s="131"/>
      <c r="AH226" s="131"/>
    </row>
    <row r="227" spans="2:34" hidden="1">
      <c r="B227" s="175"/>
      <c r="C227" s="180"/>
      <c r="D227" s="321"/>
      <c r="E227" s="309"/>
      <c r="F227" s="315"/>
      <c r="H227" s="290"/>
      <c r="I227" s="177"/>
      <c r="J227" s="296"/>
      <c r="K227" s="249"/>
      <c r="L227" s="250"/>
      <c r="M227" s="136"/>
      <c r="N227" s="136"/>
      <c r="O227" s="136"/>
      <c r="P227" s="136"/>
      <c r="Q227" s="136"/>
      <c r="R227" s="131"/>
      <c r="S227" s="131"/>
      <c r="T227" s="131"/>
      <c r="U227" s="131"/>
      <c r="V227" s="214"/>
      <c r="W227" s="131"/>
      <c r="X227" s="131"/>
      <c r="Y227" s="131"/>
      <c r="Z227" s="131"/>
      <c r="AA227" s="131"/>
      <c r="AD227" s="131"/>
      <c r="AE227" s="131"/>
      <c r="AF227" s="131"/>
      <c r="AG227" s="131"/>
      <c r="AH227" s="131"/>
    </row>
    <row r="228" spans="2:34" hidden="1">
      <c r="B228" s="175"/>
      <c r="C228" s="180"/>
      <c r="D228" s="321"/>
      <c r="E228" s="309"/>
      <c r="F228" s="315"/>
      <c r="H228" s="290"/>
      <c r="I228" s="177"/>
      <c r="J228" s="296"/>
      <c r="K228" s="249"/>
      <c r="L228" s="250"/>
      <c r="M228" s="136"/>
      <c r="N228" s="136"/>
      <c r="O228" s="136"/>
      <c r="P228" s="136"/>
      <c r="Q228" s="136"/>
      <c r="R228" s="131"/>
      <c r="S228" s="131"/>
      <c r="T228" s="131"/>
      <c r="U228" s="131"/>
      <c r="V228" s="214"/>
      <c r="W228" s="131"/>
      <c r="X228" s="131"/>
      <c r="Y228" s="131"/>
      <c r="Z228" s="131"/>
      <c r="AA228" s="131"/>
      <c r="AD228" s="131"/>
      <c r="AE228" s="131"/>
      <c r="AF228" s="131"/>
      <c r="AG228" s="131"/>
      <c r="AH228" s="131"/>
    </row>
    <row r="229" spans="2:34" hidden="1">
      <c r="B229" s="175"/>
      <c r="C229" s="180"/>
      <c r="D229" s="321"/>
      <c r="E229" s="309"/>
      <c r="F229" s="315"/>
      <c r="H229" s="290"/>
      <c r="I229" s="177"/>
      <c r="J229" s="296"/>
      <c r="K229" s="249"/>
      <c r="L229" s="250"/>
      <c r="M229" s="136"/>
      <c r="N229" s="136"/>
      <c r="O229" s="136"/>
      <c r="P229" s="136"/>
      <c r="Q229" s="136"/>
      <c r="R229" s="131"/>
      <c r="S229" s="131"/>
      <c r="T229" s="131"/>
      <c r="U229" s="131"/>
      <c r="V229" s="214"/>
      <c r="W229" s="131"/>
      <c r="X229" s="131"/>
      <c r="Y229" s="131"/>
      <c r="Z229" s="131"/>
      <c r="AA229" s="131"/>
      <c r="AD229" s="131"/>
      <c r="AE229" s="131"/>
      <c r="AF229" s="131"/>
      <c r="AG229" s="131"/>
      <c r="AH229" s="131"/>
    </row>
    <row r="230" spans="2:34" hidden="1">
      <c r="B230" s="175"/>
      <c r="C230" s="180"/>
      <c r="D230" s="321"/>
      <c r="E230" s="309"/>
      <c r="F230" s="315"/>
      <c r="H230" s="290"/>
      <c r="I230" s="177"/>
      <c r="J230" s="296"/>
      <c r="K230" s="249"/>
      <c r="L230" s="250"/>
      <c r="M230" s="136"/>
      <c r="N230" s="136"/>
      <c r="O230" s="136"/>
      <c r="P230" s="136"/>
      <c r="Q230" s="136"/>
      <c r="R230" s="131"/>
      <c r="S230" s="131"/>
      <c r="T230" s="131"/>
      <c r="U230" s="131"/>
      <c r="V230" s="214"/>
      <c r="W230" s="131"/>
      <c r="X230" s="131"/>
      <c r="Y230" s="131"/>
      <c r="Z230" s="131"/>
      <c r="AA230" s="131"/>
      <c r="AD230" s="131"/>
      <c r="AE230" s="131"/>
      <c r="AF230" s="131"/>
      <c r="AG230" s="131"/>
      <c r="AH230" s="131"/>
    </row>
    <row r="231" spans="2:34" hidden="1">
      <c r="B231" s="175"/>
      <c r="C231" s="180"/>
      <c r="D231" s="321"/>
      <c r="E231" s="309"/>
      <c r="F231" s="315"/>
      <c r="H231" s="290"/>
      <c r="I231" s="177"/>
      <c r="J231" s="296"/>
      <c r="K231" s="249"/>
      <c r="L231" s="250"/>
      <c r="M231" s="136"/>
      <c r="N231" s="136"/>
      <c r="O231" s="136"/>
      <c r="P231" s="136"/>
      <c r="Q231" s="136"/>
      <c r="R231" s="131"/>
      <c r="S231" s="131"/>
      <c r="T231" s="131"/>
      <c r="U231" s="131"/>
      <c r="V231" s="214"/>
      <c r="W231" s="131"/>
      <c r="X231" s="131"/>
      <c r="Y231" s="131"/>
      <c r="Z231" s="131"/>
      <c r="AA231" s="131"/>
      <c r="AD231" s="131"/>
      <c r="AE231" s="131"/>
      <c r="AF231" s="131"/>
      <c r="AG231" s="131"/>
      <c r="AH231" s="131"/>
    </row>
    <row r="232" spans="2:34" hidden="1">
      <c r="B232" s="175"/>
      <c r="C232" s="180"/>
      <c r="D232" s="321"/>
      <c r="E232" s="309"/>
      <c r="F232" s="315"/>
      <c r="H232" s="290"/>
      <c r="I232" s="177"/>
      <c r="J232" s="296"/>
      <c r="K232" s="249"/>
      <c r="L232" s="250"/>
      <c r="M232" s="136"/>
      <c r="N232" s="136"/>
      <c r="O232" s="136"/>
      <c r="P232" s="136"/>
      <c r="Q232" s="136"/>
      <c r="R232" s="131"/>
      <c r="S232" s="131"/>
      <c r="T232" s="131"/>
      <c r="U232" s="131"/>
      <c r="V232" s="214"/>
      <c r="W232" s="131"/>
      <c r="X232" s="131"/>
      <c r="Y232" s="131"/>
      <c r="Z232" s="131"/>
      <c r="AA232" s="131"/>
      <c r="AD232" s="131"/>
      <c r="AE232" s="131"/>
      <c r="AF232" s="131"/>
      <c r="AG232" s="131"/>
      <c r="AH232" s="131"/>
    </row>
    <row r="233" spans="2:34" hidden="1">
      <c r="B233" s="175"/>
      <c r="C233" s="180"/>
      <c r="D233" s="321"/>
      <c r="E233" s="309"/>
      <c r="F233" s="315"/>
      <c r="H233" s="290"/>
      <c r="I233" s="177"/>
      <c r="J233" s="296"/>
      <c r="K233" s="249"/>
      <c r="L233" s="250"/>
      <c r="M233" s="136"/>
      <c r="N233" s="136"/>
      <c r="O233" s="136"/>
      <c r="P233" s="136"/>
      <c r="Q233" s="136"/>
      <c r="R233" s="131"/>
      <c r="S233" s="131"/>
      <c r="T233" s="131"/>
      <c r="U233" s="131"/>
      <c r="V233" s="214"/>
      <c r="W233" s="131"/>
      <c r="X233" s="131"/>
      <c r="Y233" s="131"/>
      <c r="Z233" s="131"/>
      <c r="AA233" s="131"/>
      <c r="AD233" s="131"/>
      <c r="AE233" s="131"/>
      <c r="AF233" s="131"/>
      <c r="AG233" s="131"/>
      <c r="AH233" s="131"/>
    </row>
    <row r="234" spans="2:34" hidden="1">
      <c r="B234" s="175"/>
      <c r="C234" s="180"/>
      <c r="D234" s="321"/>
      <c r="E234" s="309"/>
      <c r="F234" s="315"/>
      <c r="H234" s="290"/>
      <c r="I234" s="177"/>
      <c r="J234" s="296"/>
      <c r="K234" s="249"/>
      <c r="L234" s="250"/>
      <c r="M234" s="136"/>
      <c r="N234" s="136"/>
      <c r="O234" s="136"/>
      <c r="P234" s="136"/>
      <c r="Q234" s="136"/>
      <c r="R234" s="131"/>
      <c r="S234" s="131"/>
      <c r="T234" s="131"/>
      <c r="U234" s="131"/>
      <c r="V234" s="214"/>
      <c r="W234" s="131"/>
      <c r="X234" s="131"/>
      <c r="Y234" s="131"/>
      <c r="Z234" s="131"/>
      <c r="AA234" s="131"/>
      <c r="AD234" s="131"/>
      <c r="AE234" s="131"/>
      <c r="AF234" s="131"/>
      <c r="AG234" s="131"/>
      <c r="AH234" s="131"/>
    </row>
    <row r="235" spans="2:34" hidden="1">
      <c r="B235" s="175"/>
      <c r="C235" s="180"/>
      <c r="D235" s="321"/>
      <c r="E235" s="309"/>
      <c r="F235" s="315"/>
      <c r="H235" s="290"/>
      <c r="I235" s="177"/>
      <c r="J235" s="296"/>
      <c r="K235" s="249"/>
      <c r="L235" s="250"/>
      <c r="M235" s="136"/>
      <c r="N235" s="136"/>
      <c r="O235" s="136"/>
      <c r="P235" s="136"/>
      <c r="Q235" s="136"/>
      <c r="R235" s="131"/>
      <c r="S235" s="131"/>
      <c r="T235" s="131"/>
      <c r="U235" s="131"/>
      <c r="V235" s="214"/>
      <c r="W235" s="131"/>
      <c r="X235" s="131"/>
      <c r="Y235" s="131"/>
      <c r="Z235" s="131"/>
      <c r="AA235" s="131"/>
      <c r="AD235" s="131"/>
      <c r="AE235" s="131"/>
      <c r="AF235" s="131"/>
      <c r="AG235" s="131"/>
      <c r="AH235" s="131"/>
    </row>
    <row r="236" spans="2:34" hidden="1">
      <c r="B236" s="175"/>
      <c r="C236" s="180"/>
      <c r="D236" s="321"/>
      <c r="E236" s="309"/>
      <c r="F236" s="315"/>
      <c r="H236" s="290"/>
      <c r="I236" s="177"/>
      <c r="J236" s="296"/>
      <c r="K236" s="249"/>
      <c r="L236" s="250"/>
      <c r="M236" s="136"/>
      <c r="N236" s="136"/>
      <c r="O236" s="136"/>
      <c r="P236" s="136"/>
      <c r="Q236" s="136"/>
      <c r="R236" s="131"/>
      <c r="S236" s="131"/>
      <c r="T236" s="131"/>
      <c r="U236" s="131"/>
      <c r="V236" s="214"/>
      <c r="W236" s="131"/>
      <c r="X236" s="131"/>
      <c r="Y236" s="131"/>
      <c r="Z236" s="131"/>
      <c r="AA236" s="131"/>
      <c r="AD236" s="131"/>
      <c r="AE236" s="131"/>
      <c r="AF236" s="131"/>
      <c r="AG236" s="131"/>
      <c r="AH236" s="131"/>
    </row>
    <row r="237" spans="2:34" hidden="1">
      <c r="B237" s="175"/>
      <c r="C237" s="180"/>
      <c r="D237" s="321"/>
      <c r="E237" s="309"/>
      <c r="F237" s="315"/>
      <c r="H237" s="290"/>
      <c r="I237" s="177"/>
      <c r="J237" s="296"/>
      <c r="K237" s="249"/>
      <c r="L237" s="250"/>
      <c r="M237" s="136"/>
      <c r="N237" s="136"/>
      <c r="O237" s="136"/>
      <c r="P237" s="136"/>
      <c r="Q237" s="136"/>
      <c r="R237" s="131"/>
      <c r="S237" s="131"/>
      <c r="T237" s="131"/>
      <c r="U237" s="131"/>
      <c r="V237" s="214"/>
      <c r="W237" s="131"/>
      <c r="X237" s="131"/>
      <c r="Y237" s="131"/>
      <c r="Z237" s="131"/>
      <c r="AA237" s="131"/>
      <c r="AD237" s="131"/>
      <c r="AE237" s="131"/>
      <c r="AF237" s="131"/>
      <c r="AG237" s="131"/>
      <c r="AH237" s="131"/>
    </row>
    <row r="238" spans="2:34" hidden="1">
      <c r="B238" s="175"/>
      <c r="C238" s="180"/>
      <c r="D238" s="321"/>
      <c r="E238" s="309"/>
      <c r="F238" s="315"/>
      <c r="H238" s="290"/>
      <c r="I238" s="177"/>
      <c r="J238" s="296"/>
      <c r="K238" s="249"/>
      <c r="L238" s="250"/>
      <c r="M238" s="136"/>
      <c r="N238" s="136"/>
      <c r="O238" s="136"/>
      <c r="P238" s="136"/>
      <c r="Q238" s="136"/>
      <c r="R238" s="131"/>
      <c r="S238" s="131"/>
      <c r="T238" s="131"/>
      <c r="U238" s="131"/>
      <c r="V238" s="214"/>
      <c r="W238" s="131"/>
      <c r="X238" s="131"/>
      <c r="Y238" s="131"/>
      <c r="Z238" s="131"/>
      <c r="AA238" s="131"/>
      <c r="AD238" s="131"/>
      <c r="AE238" s="131"/>
      <c r="AF238" s="131"/>
      <c r="AG238" s="131"/>
      <c r="AH238" s="131"/>
    </row>
    <row r="239" spans="2:34" hidden="1">
      <c r="B239" s="175"/>
      <c r="C239" s="180"/>
      <c r="D239" s="321"/>
      <c r="E239" s="309"/>
      <c r="F239" s="315"/>
      <c r="H239" s="290"/>
      <c r="I239" s="177"/>
      <c r="J239" s="296"/>
      <c r="K239" s="249"/>
      <c r="L239" s="250"/>
      <c r="M239" s="136"/>
      <c r="N239" s="136"/>
      <c r="O239" s="136"/>
      <c r="P239" s="136"/>
      <c r="Q239" s="136"/>
      <c r="R239" s="131"/>
      <c r="S239" s="131"/>
      <c r="T239" s="131"/>
      <c r="U239" s="131"/>
      <c r="V239" s="214"/>
      <c r="W239" s="131"/>
      <c r="X239" s="131"/>
      <c r="Y239" s="131"/>
      <c r="Z239" s="131"/>
      <c r="AA239" s="131"/>
      <c r="AD239" s="131"/>
      <c r="AE239" s="131"/>
      <c r="AF239" s="131"/>
      <c r="AG239" s="131"/>
      <c r="AH239" s="131"/>
    </row>
    <row r="240" spans="2:34" hidden="1">
      <c r="B240" s="175"/>
      <c r="C240" s="180"/>
      <c r="D240" s="321"/>
      <c r="E240" s="309"/>
      <c r="F240" s="315"/>
      <c r="H240" s="290"/>
      <c r="I240" s="177"/>
      <c r="J240" s="296"/>
      <c r="K240" s="249"/>
      <c r="L240" s="250"/>
      <c r="M240" s="136"/>
      <c r="N240" s="136"/>
      <c r="O240" s="136"/>
      <c r="P240" s="136"/>
      <c r="Q240" s="136"/>
      <c r="R240" s="131"/>
      <c r="S240" s="131"/>
      <c r="T240" s="131"/>
      <c r="U240" s="131"/>
      <c r="W240" s="131"/>
      <c r="X240" s="131"/>
      <c r="Y240" s="131"/>
      <c r="Z240" s="131"/>
      <c r="AA240" s="131"/>
      <c r="AD240" s="131"/>
      <c r="AE240" s="131"/>
      <c r="AF240" s="131"/>
      <c r="AG240" s="131"/>
      <c r="AH240" s="131"/>
    </row>
    <row r="241" spans="2:34" hidden="1">
      <c r="B241" s="175"/>
      <c r="C241" s="180"/>
      <c r="D241" s="321"/>
      <c r="E241" s="309"/>
      <c r="F241" s="315"/>
      <c r="H241" s="290"/>
      <c r="I241" s="177"/>
      <c r="J241" s="296"/>
      <c r="K241" s="249"/>
      <c r="L241" s="250"/>
      <c r="M241" s="136"/>
      <c r="N241" s="136"/>
      <c r="O241" s="136"/>
      <c r="P241" s="136"/>
      <c r="Q241" s="136"/>
      <c r="R241" s="131"/>
      <c r="S241" s="131"/>
      <c r="T241" s="131"/>
      <c r="U241" s="131"/>
      <c r="W241" s="131"/>
      <c r="X241" s="131"/>
      <c r="Y241" s="131"/>
      <c r="Z241" s="131"/>
      <c r="AA241" s="131"/>
      <c r="AD241" s="131"/>
      <c r="AE241" s="131"/>
      <c r="AF241" s="131"/>
      <c r="AG241" s="131"/>
      <c r="AH241" s="131"/>
    </row>
    <row r="242" spans="2:34" hidden="1">
      <c r="B242" s="175"/>
      <c r="C242" s="180"/>
      <c r="D242" s="321"/>
      <c r="E242" s="309"/>
      <c r="F242" s="315"/>
      <c r="H242" s="290"/>
      <c r="I242" s="177"/>
      <c r="J242" s="296"/>
      <c r="K242" s="249"/>
      <c r="L242" s="250"/>
      <c r="M242" s="136"/>
      <c r="N242" s="136"/>
      <c r="O242" s="136"/>
      <c r="P242" s="136"/>
      <c r="Q242" s="136"/>
      <c r="R242" s="131"/>
      <c r="S242" s="131"/>
      <c r="T242" s="131"/>
      <c r="U242" s="131"/>
      <c r="W242" s="131"/>
      <c r="X242" s="131"/>
      <c r="Y242" s="131"/>
      <c r="Z242" s="131"/>
      <c r="AA242" s="131"/>
      <c r="AD242" s="131"/>
      <c r="AE242" s="131"/>
      <c r="AF242" s="131"/>
      <c r="AG242" s="131"/>
      <c r="AH242" s="131"/>
    </row>
    <row r="243" spans="2:34" hidden="1">
      <c r="B243" s="175"/>
      <c r="C243" s="180"/>
      <c r="D243" s="321"/>
      <c r="E243" s="309"/>
      <c r="F243" s="315"/>
      <c r="H243" s="290"/>
      <c r="I243" s="177"/>
      <c r="J243" s="296"/>
      <c r="K243" s="249"/>
      <c r="L243" s="250"/>
      <c r="M243" s="136"/>
      <c r="N243" s="136"/>
      <c r="O243" s="136"/>
      <c r="P243" s="136"/>
      <c r="Q243" s="136"/>
      <c r="R243" s="131"/>
      <c r="S243" s="131"/>
      <c r="T243" s="131"/>
      <c r="U243" s="131"/>
      <c r="W243" s="131"/>
      <c r="X243" s="131"/>
      <c r="Y243" s="131"/>
      <c r="Z243" s="131"/>
      <c r="AA243" s="131"/>
      <c r="AD243" s="131"/>
      <c r="AE243" s="131"/>
      <c r="AF243" s="131"/>
      <c r="AG243" s="131"/>
      <c r="AH243" s="131"/>
    </row>
    <row r="244" spans="2:34" hidden="1">
      <c r="B244" s="175"/>
      <c r="C244" s="180"/>
      <c r="D244" s="321"/>
      <c r="E244" s="309"/>
      <c r="F244" s="315"/>
      <c r="H244" s="290"/>
      <c r="I244" s="177"/>
      <c r="J244" s="296"/>
      <c r="K244" s="249"/>
      <c r="L244" s="250"/>
      <c r="M244" s="136"/>
      <c r="N244" s="136"/>
      <c r="O244" s="136"/>
      <c r="P244" s="136"/>
      <c r="Q244" s="136"/>
      <c r="R244" s="131"/>
      <c r="S244" s="131"/>
      <c r="T244" s="131"/>
      <c r="U244" s="131"/>
      <c r="W244" s="131"/>
      <c r="X244" s="131"/>
      <c r="Y244" s="131"/>
      <c r="Z244" s="131"/>
      <c r="AA244" s="131"/>
      <c r="AD244" s="131"/>
      <c r="AE244" s="131"/>
      <c r="AF244" s="131"/>
      <c r="AG244" s="131"/>
      <c r="AH244" s="131"/>
    </row>
    <row r="245" spans="2:34" hidden="1">
      <c r="B245" s="175"/>
      <c r="C245" s="180"/>
      <c r="D245" s="321"/>
      <c r="E245" s="309"/>
      <c r="F245" s="315"/>
      <c r="H245" s="290"/>
      <c r="I245" s="177"/>
      <c r="J245" s="296"/>
      <c r="K245" s="249"/>
      <c r="L245" s="250"/>
      <c r="M245" s="136"/>
      <c r="N245" s="136"/>
      <c r="O245" s="136"/>
      <c r="P245" s="136"/>
      <c r="Q245" s="136"/>
      <c r="R245" s="131"/>
      <c r="S245" s="131"/>
      <c r="T245" s="131"/>
      <c r="U245" s="131"/>
      <c r="W245" s="131"/>
      <c r="X245" s="131"/>
      <c r="Y245" s="131"/>
      <c r="Z245" s="131"/>
      <c r="AA245" s="131"/>
      <c r="AD245" s="131"/>
      <c r="AE245" s="131"/>
      <c r="AF245" s="131"/>
      <c r="AG245" s="131"/>
      <c r="AH245" s="131"/>
    </row>
    <row r="246" spans="2:34" hidden="1">
      <c r="B246" s="175"/>
      <c r="C246" s="180"/>
      <c r="D246" s="321"/>
      <c r="E246" s="309"/>
      <c r="F246" s="315"/>
      <c r="H246" s="290"/>
      <c r="I246" s="177"/>
      <c r="J246" s="296"/>
      <c r="K246" s="249"/>
      <c r="L246" s="250"/>
      <c r="M246" s="136"/>
      <c r="N246" s="136"/>
      <c r="O246" s="136"/>
      <c r="P246" s="136"/>
      <c r="Q246" s="136"/>
      <c r="R246" s="131"/>
      <c r="S246" s="131"/>
      <c r="T246" s="131"/>
      <c r="U246" s="131"/>
      <c r="W246" s="131"/>
      <c r="X246" s="131"/>
      <c r="Y246" s="131"/>
      <c r="Z246" s="131"/>
      <c r="AA246" s="131"/>
      <c r="AD246" s="131"/>
      <c r="AE246" s="131"/>
      <c r="AF246" s="131"/>
      <c r="AG246" s="131"/>
      <c r="AH246" s="131"/>
    </row>
    <row r="247" spans="2:34" hidden="1">
      <c r="B247" s="175"/>
      <c r="C247" s="180"/>
      <c r="D247" s="321"/>
      <c r="E247" s="309"/>
      <c r="F247" s="315"/>
      <c r="H247" s="290"/>
      <c r="I247" s="177"/>
      <c r="J247" s="296"/>
      <c r="K247" s="249"/>
      <c r="L247" s="250"/>
      <c r="M247" s="136"/>
      <c r="N247" s="136"/>
      <c r="O247" s="136"/>
      <c r="P247" s="136"/>
      <c r="Q247" s="136"/>
      <c r="R247" s="131"/>
      <c r="S247" s="131"/>
      <c r="T247" s="131"/>
      <c r="U247" s="131"/>
      <c r="W247" s="131"/>
      <c r="X247" s="131"/>
      <c r="Y247" s="131"/>
      <c r="Z247" s="131"/>
      <c r="AA247" s="131"/>
      <c r="AD247" s="131"/>
      <c r="AE247" s="131"/>
      <c r="AF247" s="131"/>
      <c r="AG247" s="131"/>
      <c r="AH247" s="131"/>
    </row>
    <row r="248" spans="2:34" hidden="1">
      <c r="B248" s="175"/>
      <c r="C248" s="180"/>
      <c r="D248" s="321"/>
      <c r="E248" s="309"/>
      <c r="F248" s="315"/>
      <c r="H248" s="290"/>
      <c r="I248" s="177"/>
      <c r="J248" s="296"/>
      <c r="K248" s="249"/>
      <c r="L248" s="250"/>
      <c r="M248" s="136"/>
      <c r="N248" s="136"/>
      <c r="O248" s="136"/>
      <c r="P248" s="136"/>
      <c r="Q248" s="136"/>
      <c r="R248" s="131"/>
      <c r="S248" s="131"/>
      <c r="T248" s="131"/>
      <c r="U248" s="131"/>
      <c r="W248" s="131"/>
      <c r="X248" s="131"/>
      <c r="Y248" s="131"/>
      <c r="Z248" s="131"/>
      <c r="AA248" s="131"/>
      <c r="AD248" s="131"/>
      <c r="AE248" s="131"/>
      <c r="AF248" s="131"/>
      <c r="AG248" s="131"/>
      <c r="AH248" s="131"/>
    </row>
    <row r="249" spans="2:34" hidden="1">
      <c r="B249" s="175"/>
      <c r="C249" s="180"/>
      <c r="D249" s="321"/>
      <c r="E249" s="309"/>
      <c r="F249" s="315"/>
      <c r="H249" s="290"/>
      <c r="I249" s="177"/>
      <c r="J249" s="296"/>
      <c r="K249" s="249"/>
      <c r="L249" s="250"/>
      <c r="M249" s="136"/>
      <c r="N249" s="136"/>
      <c r="O249" s="136"/>
      <c r="P249" s="136"/>
      <c r="Q249" s="136"/>
      <c r="R249" s="131"/>
      <c r="S249" s="131"/>
      <c r="T249" s="131"/>
      <c r="U249" s="131"/>
      <c r="W249" s="131"/>
      <c r="X249" s="131"/>
      <c r="Y249" s="131"/>
      <c r="Z249" s="131"/>
      <c r="AA249" s="131"/>
      <c r="AD249" s="131"/>
      <c r="AE249" s="131"/>
      <c r="AF249" s="131"/>
      <c r="AG249" s="131"/>
      <c r="AH249" s="131"/>
    </row>
    <row r="250" spans="2:34" hidden="1">
      <c r="B250" s="175"/>
      <c r="C250" s="180"/>
      <c r="D250" s="321"/>
      <c r="E250" s="309"/>
      <c r="F250" s="315"/>
      <c r="H250" s="290"/>
      <c r="I250" s="177"/>
      <c r="J250" s="296"/>
      <c r="K250" s="249"/>
      <c r="L250" s="250"/>
      <c r="M250" s="136"/>
      <c r="N250" s="136"/>
      <c r="O250" s="136"/>
      <c r="P250" s="136"/>
      <c r="Q250" s="136"/>
      <c r="R250" s="131"/>
      <c r="S250" s="131"/>
      <c r="T250" s="131"/>
      <c r="U250" s="131"/>
      <c r="W250" s="131"/>
      <c r="X250" s="131"/>
      <c r="Y250" s="131"/>
      <c r="Z250" s="131"/>
      <c r="AA250" s="131"/>
      <c r="AD250" s="131"/>
      <c r="AE250" s="131"/>
      <c r="AF250" s="131"/>
      <c r="AG250" s="131"/>
      <c r="AH250" s="131"/>
    </row>
    <row r="251" spans="2:34" hidden="1">
      <c r="B251" s="175"/>
      <c r="C251" s="180"/>
      <c r="D251" s="321"/>
      <c r="E251" s="309"/>
      <c r="F251" s="315"/>
      <c r="H251" s="290"/>
      <c r="I251" s="177"/>
      <c r="J251" s="296"/>
      <c r="K251" s="249"/>
      <c r="L251" s="250"/>
      <c r="M251" s="136"/>
      <c r="N251" s="136"/>
      <c r="O251" s="136"/>
      <c r="P251" s="136"/>
      <c r="Q251" s="136"/>
      <c r="R251" s="131"/>
      <c r="S251" s="131"/>
      <c r="T251" s="131"/>
      <c r="U251" s="131"/>
      <c r="W251" s="131"/>
      <c r="X251" s="131"/>
      <c r="Y251" s="131"/>
      <c r="Z251" s="131"/>
      <c r="AA251" s="131"/>
      <c r="AD251" s="131"/>
      <c r="AE251" s="131"/>
      <c r="AF251" s="131"/>
      <c r="AG251" s="131"/>
      <c r="AH251" s="131"/>
    </row>
    <row r="252" spans="2:34" hidden="1">
      <c r="B252" s="175"/>
      <c r="C252" s="180"/>
      <c r="D252" s="321"/>
      <c r="E252" s="309"/>
      <c r="F252" s="315"/>
      <c r="H252" s="290"/>
      <c r="I252" s="177"/>
      <c r="J252" s="296"/>
      <c r="K252" s="249"/>
      <c r="L252" s="250"/>
      <c r="M252" s="136"/>
      <c r="N252" s="136"/>
      <c r="O252" s="136"/>
      <c r="P252" s="136"/>
      <c r="Q252" s="136"/>
      <c r="R252" s="131"/>
      <c r="S252" s="131"/>
      <c r="T252" s="131"/>
      <c r="U252" s="131"/>
      <c r="W252" s="131"/>
      <c r="X252" s="131"/>
      <c r="Y252" s="131"/>
      <c r="Z252" s="131"/>
      <c r="AA252" s="131"/>
      <c r="AD252" s="131"/>
      <c r="AE252" s="131"/>
      <c r="AF252" s="131"/>
      <c r="AG252" s="131"/>
      <c r="AH252" s="131"/>
    </row>
    <row r="253" spans="2:34" hidden="1">
      <c r="B253" s="175"/>
      <c r="C253" s="180"/>
      <c r="D253" s="321"/>
      <c r="E253" s="309"/>
      <c r="F253" s="315"/>
      <c r="H253" s="290"/>
      <c r="I253" s="177"/>
      <c r="J253" s="296"/>
      <c r="K253" s="249"/>
      <c r="L253" s="250"/>
      <c r="M253" s="136"/>
      <c r="N253" s="136"/>
      <c r="O253" s="136"/>
      <c r="P253" s="136"/>
      <c r="Q253" s="136"/>
      <c r="R253" s="131"/>
      <c r="S253" s="131"/>
      <c r="T253" s="131"/>
      <c r="U253" s="131"/>
      <c r="W253" s="131"/>
      <c r="X253" s="131"/>
      <c r="Y253" s="131"/>
      <c r="Z253" s="131"/>
      <c r="AA253" s="131"/>
      <c r="AD253" s="131"/>
      <c r="AE253" s="131"/>
      <c r="AF253" s="131"/>
      <c r="AG253" s="131"/>
      <c r="AH253" s="131"/>
    </row>
    <row r="254" spans="2:34" hidden="1">
      <c r="B254" s="175"/>
      <c r="C254" s="180"/>
      <c r="D254" s="321"/>
      <c r="E254" s="309"/>
      <c r="F254" s="315"/>
      <c r="H254" s="290"/>
      <c r="I254" s="177"/>
      <c r="J254" s="296"/>
      <c r="K254" s="249"/>
      <c r="L254" s="250"/>
      <c r="M254" s="136"/>
      <c r="N254" s="136"/>
      <c r="O254" s="136"/>
      <c r="P254" s="136"/>
      <c r="Q254" s="136"/>
      <c r="R254" s="131"/>
      <c r="S254" s="131"/>
      <c r="T254" s="131"/>
      <c r="U254" s="131"/>
      <c r="W254" s="131"/>
      <c r="X254" s="131"/>
      <c r="Y254" s="131"/>
      <c r="Z254" s="131"/>
      <c r="AA254" s="131"/>
      <c r="AD254" s="131"/>
      <c r="AE254" s="131"/>
      <c r="AF254" s="131"/>
      <c r="AG254" s="131"/>
      <c r="AH254" s="131"/>
    </row>
    <row r="255" spans="2:34" hidden="1">
      <c r="B255" s="175"/>
      <c r="C255" s="180"/>
      <c r="D255" s="321"/>
      <c r="E255" s="309"/>
      <c r="F255" s="315"/>
      <c r="H255" s="290"/>
      <c r="I255" s="177"/>
      <c r="J255" s="296"/>
      <c r="K255" s="249"/>
      <c r="L255" s="250"/>
      <c r="M255" s="136"/>
      <c r="N255" s="136"/>
      <c r="O255" s="136"/>
      <c r="P255" s="136"/>
      <c r="Q255" s="136"/>
      <c r="R255" s="131"/>
      <c r="S255" s="131"/>
      <c r="T255" s="131"/>
      <c r="U255" s="131"/>
      <c r="W255" s="131"/>
      <c r="X255" s="131"/>
      <c r="Y255" s="131"/>
      <c r="Z255" s="131"/>
      <c r="AA255" s="131"/>
      <c r="AD255" s="131"/>
      <c r="AE255" s="131"/>
      <c r="AF255" s="131"/>
      <c r="AG255" s="131"/>
      <c r="AH255" s="131"/>
    </row>
    <row r="256" spans="2:34" hidden="1">
      <c r="B256" s="175"/>
      <c r="C256" s="180"/>
      <c r="D256" s="321"/>
      <c r="E256" s="309"/>
      <c r="F256" s="315"/>
      <c r="H256" s="290"/>
      <c r="I256" s="177"/>
      <c r="J256" s="296"/>
      <c r="K256" s="249"/>
      <c r="L256" s="250"/>
      <c r="M256" s="136"/>
      <c r="N256" s="136"/>
      <c r="O256" s="136"/>
      <c r="P256" s="136"/>
      <c r="Q256" s="136"/>
      <c r="R256" s="131"/>
      <c r="S256" s="131"/>
      <c r="T256" s="131"/>
      <c r="U256" s="131"/>
      <c r="W256" s="131"/>
      <c r="X256" s="131"/>
      <c r="Y256" s="131"/>
      <c r="Z256" s="131"/>
      <c r="AA256" s="131"/>
      <c r="AD256" s="131"/>
      <c r="AE256" s="131"/>
      <c r="AF256" s="131"/>
      <c r="AG256" s="131"/>
      <c r="AH256" s="131"/>
    </row>
    <row r="257" spans="2:34" hidden="1">
      <c r="B257" s="175"/>
      <c r="C257" s="180"/>
      <c r="D257" s="321"/>
      <c r="E257" s="309"/>
      <c r="F257" s="315"/>
      <c r="H257" s="290"/>
      <c r="I257" s="177"/>
      <c r="J257" s="296"/>
      <c r="K257" s="249"/>
      <c r="L257" s="250"/>
      <c r="M257" s="136"/>
      <c r="N257" s="136"/>
      <c r="O257" s="136"/>
      <c r="P257" s="136"/>
      <c r="Q257" s="136"/>
      <c r="R257" s="131"/>
      <c r="S257" s="131"/>
      <c r="T257" s="131"/>
      <c r="U257" s="131"/>
      <c r="W257" s="131"/>
      <c r="X257" s="131"/>
      <c r="Y257" s="131"/>
      <c r="Z257" s="131"/>
      <c r="AA257" s="131"/>
      <c r="AD257" s="131"/>
      <c r="AE257" s="131"/>
      <c r="AF257" s="131"/>
      <c r="AG257" s="131"/>
      <c r="AH257" s="131"/>
    </row>
    <row r="258" spans="2:34" hidden="1">
      <c r="B258" s="175"/>
      <c r="C258" s="180"/>
      <c r="D258" s="321"/>
      <c r="E258" s="309"/>
      <c r="F258" s="315"/>
      <c r="H258" s="290"/>
      <c r="I258" s="177"/>
      <c r="J258" s="296"/>
      <c r="K258" s="249"/>
      <c r="L258" s="250"/>
      <c r="M258" s="136"/>
      <c r="N258" s="136"/>
      <c r="O258" s="136"/>
      <c r="P258" s="136"/>
      <c r="Q258" s="136"/>
      <c r="R258" s="131"/>
      <c r="S258" s="131"/>
      <c r="T258" s="131"/>
      <c r="U258" s="131"/>
      <c r="W258" s="131"/>
      <c r="X258" s="131"/>
      <c r="Y258" s="131"/>
      <c r="Z258" s="131"/>
      <c r="AA258" s="131"/>
      <c r="AD258" s="131"/>
      <c r="AE258" s="131"/>
      <c r="AF258" s="131"/>
      <c r="AG258" s="131"/>
      <c r="AH258" s="131"/>
    </row>
    <row r="259" spans="2:34" hidden="1">
      <c r="B259" s="175"/>
      <c r="C259" s="180"/>
      <c r="D259" s="321"/>
      <c r="E259" s="309"/>
      <c r="F259" s="315"/>
      <c r="H259" s="290"/>
      <c r="I259" s="177"/>
      <c r="J259" s="296"/>
      <c r="K259" s="249"/>
      <c r="L259" s="250"/>
      <c r="M259" s="136"/>
      <c r="N259" s="136"/>
      <c r="O259" s="136"/>
      <c r="P259" s="136"/>
      <c r="Q259" s="136"/>
      <c r="R259" s="131"/>
      <c r="S259" s="131"/>
      <c r="T259" s="131"/>
      <c r="U259" s="131"/>
      <c r="W259" s="131"/>
      <c r="X259" s="131"/>
      <c r="Y259" s="131"/>
      <c r="Z259" s="131"/>
      <c r="AA259" s="131"/>
      <c r="AD259" s="131"/>
      <c r="AE259" s="131"/>
      <c r="AF259" s="131"/>
      <c r="AG259" s="131"/>
      <c r="AH259" s="131"/>
    </row>
    <row r="260" spans="2:34" hidden="1">
      <c r="B260" s="175"/>
      <c r="C260" s="180"/>
      <c r="D260" s="321"/>
      <c r="E260" s="309"/>
      <c r="F260" s="315"/>
      <c r="H260" s="290"/>
      <c r="I260" s="177"/>
      <c r="J260" s="296"/>
      <c r="K260" s="249"/>
      <c r="L260" s="250"/>
      <c r="M260" s="136"/>
      <c r="N260" s="136"/>
      <c r="O260" s="136"/>
      <c r="P260" s="136"/>
      <c r="Q260" s="136"/>
      <c r="R260" s="131"/>
      <c r="S260" s="131"/>
      <c r="T260" s="131"/>
      <c r="U260" s="131"/>
      <c r="W260" s="131"/>
      <c r="X260" s="131"/>
      <c r="Y260" s="131"/>
      <c r="Z260" s="131"/>
      <c r="AA260" s="131"/>
      <c r="AD260" s="131"/>
      <c r="AE260" s="131"/>
      <c r="AF260" s="131"/>
      <c r="AG260" s="131"/>
      <c r="AH260" s="131"/>
    </row>
    <row r="261" spans="2:34" hidden="1">
      <c r="B261" s="175"/>
      <c r="C261" s="180"/>
      <c r="D261" s="321"/>
      <c r="E261" s="309"/>
      <c r="F261" s="315"/>
      <c r="H261" s="290"/>
      <c r="I261" s="177"/>
      <c r="J261" s="296"/>
      <c r="K261" s="249"/>
      <c r="L261" s="250"/>
      <c r="M261" s="136"/>
      <c r="N261" s="136"/>
      <c r="O261" s="136"/>
      <c r="P261" s="136"/>
      <c r="Q261" s="136"/>
      <c r="R261" s="131"/>
      <c r="S261" s="131"/>
      <c r="T261" s="131"/>
      <c r="U261" s="131"/>
      <c r="W261" s="131"/>
      <c r="X261" s="131"/>
      <c r="Y261" s="131"/>
      <c r="Z261" s="131"/>
      <c r="AA261" s="131"/>
      <c r="AD261" s="131"/>
      <c r="AE261" s="131"/>
      <c r="AF261" s="131"/>
      <c r="AG261" s="131"/>
      <c r="AH261" s="131"/>
    </row>
    <row r="262" spans="2:34" hidden="1">
      <c r="B262" s="175"/>
      <c r="C262" s="180"/>
      <c r="D262" s="321"/>
      <c r="E262" s="309"/>
      <c r="F262" s="315"/>
      <c r="H262" s="290"/>
      <c r="I262" s="177"/>
      <c r="J262" s="296"/>
      <c r="K262" s="249"/>
      <c r="L262" s="250"/>
      <c r="M262" s="136"/>
      <c r="N262" s="136"/>
      <c r="O262" s="136"/>
      <c r="P262" s="136"/>
      <c r="Q262" s="136"/>
      <c r="R262" s="131"/>
      <c r="S262" s="131"/>
      <c r="T262" s="131"/>
      <c r="U262" s="131"/>
      <c r="W262" s="131"/>
      <c r="X262" s="131"/>
      <c r="Y262" s="131"/>
      <c r="Z262" s="131"/>
      <c r="AA262" s="131"/>
      <c r="AD262" s="131"/>
      <c r="AE262" s="131"/>
      <c r="AF262" s="131"/>
      <c r="AG262" s="131"/>
      <c r="AH262" s="131"/>
    </row>
    <row r="263" spans="2:34" hidden="1">
      <c r="B263" s="175"/>
      <c r="C263" s="180"/>
      <c r="D263" s="321"/>
      <c r="E263" s="309"/>
      <c r="F263" s="315"/>
      <c r="H263" s="290"/>
      <c r="I263" s="177"/>
      <c r="J263" s="296"/>
      <c r="K263" s="249"/>
      <c r="L263" s="250"/>
      <c r="M263" s="136"/>
      <c r="N263" s="136"/>
      <c r="O263" s="136"/>
      <c r="P263" s="136"/>
      <c r="Q263" s="136"/>
      <c r="R263" s="131"/>
      <c r="S263" s="131"/>
      <c r="T263" s="131"/>
      <c r="U263" s="131"/>
      <c r="W263" s="131"/>
      <c r="X263" s="131"/>
      <c r="Y263" s="131"/>
      <c r="Z263" s="131"/>
      <c r="AA263" s="131"/>
      <c r="AD263" s="131"/>
      <c r="AE263" s="131"/>
      <c r="AF263" s="131"/>
      <c r="AG263" s="131"/>
      <c r="AH263" s="131"/>
    </row>
    <row r="264" spans="2:34" hidden="1">
      <c r="B264" s="175"/>
      <c r="C264" s="180"/>
      <c r="D264" s="321"/>
      <c r="E264" s="309"/>
      <c r="F264" s="315"/>
      <c r="H264" s="290"/>
      <c r="I264" s="177"/>
      <c r="J264" s="296"/>
      <c r="K264" s="249"/>
      <c r="L264" s="250"/>
      <c r="M264" s="136"/>
      <c r="N264" s="136"/>
      <c r="O264" s="136"/>
      <c r="P264" s="136"/>
      <c r="Q264" s="136"/>
      <c r="R264" s="131"/>
      <c r="S264" s="131"/>
      <c r="T264" s="131"/>
      <c r="U264" s="131"/>
      <c r="W264" s="131"/>
      <c r="X264" s="131"/>
      <c r="Y264" s="131"/>
      <c r="Z264" s="131"/>
      <c r="AA264" s="131"/>
      <c r="AD264" s="131"/>
      <c r="AE264" s="131"/>
      <c r="AF264" s="131"/>
      <c r="AG264" s="131"/>
      <c r="AH264" s="131"/>
    </row>
    <row r="265" spans="2:34" hidden="1">
      <c r="B265" s="175"/>
      <c r="C265" s="180"/>
      <c r="D265" s="321"/>
      <c r="E265" s="309"/>
      <c r="F265" s="315"/>
      <c r="H265" s="290"/>
      <c r="I265" s="177"/>
      <c r="J265" s="296"/>
      <c r="K265" s="249"/>
      <c r="L265" s="250"/>
      <c r="M265" s="136"/>
      <c r="N265" s="136"/>
      <c r="O265" s="136"/>
      <c r="P265" s="136"/>
      <c r="Q265" s="136"/>
      <c r="R265" s="131"/>
      <c r="S265" s="131"/>
      <c r="T265" s="131"/>
      <c r="U265" s="131"/>
      <c r="W265" s="131"/>
      <c r="X265" s="131"/>
      <c r="Y265" s="131"/>
      <c r="Z265" s="131"/>
      <c r="AA265" s="131"/>
      <c r="AD265" s="131"/>
      <c r="AE265" s="131"/>
      <c r="AF265" s="131"/>
      <c r="AG265" s="131"/>
      <c r="AH265" s="131"/>
    </row>
    <row r="266" spans="2:34" hidden="1">
      <c r="B266" s="175"/>
      <c r="C266" s="180"/>
      <c r="D266" s="321"/>
      <c r="E266" s="309"/>
      <c r="F266" s="315"/>
      <c r="H266" s="290"/>
      <c r="I266" s="177"/>
      <c r="J266" s="296"/>
      <c r="K266" s="249"/>
      <c r="L266" s="250"/>
      <c r="M266" s="136"/>
      <c r="N266" s="136"/>
      <c r="O266" s="136"/>
      <c r="P266" s="136"/>
      <c r="Q266" s="136"/>
      <c r="R266" s="131"/>
      <c r="S266" s="131"/>
      <c r="T266" s="131"/>
      <c r="U266" s="131"/>
      <c r="W266" s="131"/>
      <c r="X266" s="131"/>
      <c r="Y266" s="131"/>
      <c r="Z266" s="131"/>
      <c r="AA266" s="131"/>
      <c r="AD266" s="131"/>
      <c r="AE266" s="131"/>
      <c r="AF266" s="131"/>
      <c r="AG266" s="131"/>
      <c r="AH266" s="131"/>
    </row>
    <row r="267" spans="2:34" hidden="1">
      <c r="B267" s="175"/>
      <c r="C267" s="180"/>
      <c r="D267" s="321"/>
      <c r="E267" s="309"/>
      <c r="F267" s="315"/>
      <c r="H267" s="290"/>
      <c r="I267" s="177"/>
      <c r="J267" s="296"/>
      <c r="K267" s="249"/>
      <c r="L267" s="250"/>
      <c r="M267" s="136"/>
      <c r="N267" s="136"/>
      <c r="O267" s="136"/>
      <c r="P267" s="136"/>
      <c r="Q267" s="136"/>
      <c r="R267" s="131"/>
      <c r="S267" s="131"/>
      <c r="T267" s="131"/>
      <c r="U267" s="131"/>
      <c r="W267" s="131"/>
      <c r="X267" s="131"/>
      <c r="Y267" s="131"/>
      <c r="Z267" s="131"/>
      <c r="AA267" s="131"/>
      <c r="AD267" s="131"/>
      <c r="AE267" s="131"/>
      <c r="AF267" s="131"/>
      <c r="AG267" s="131"/>
      <c r="AH267" s="131"/>
    </row>
    <row r="268" spans="2:34" hidden="1">
      <c r="B268" s="175"/>
      <c r="C268" s="180"/>
      <c r="D268" s="321"/>
      <c r="E268" s="309"/>
      <c r="F268" s="315"/>
      <c r="H268" s="290"/>
      <c r="I268" s="177"/>
      <c r="J268" s="296"/>
      <c r="K268" s="249"/>
      <c r="L268" s="250"/>
      <c r="M268" s="136"/>
      <c r="N268" s="136"/>
      <c r="O268" s="136"/>
      <c r="P268" s="136"/>
      <c r="Q268" s="136"/>
      <c r="R268" s="131"/>
      <c r="S268" s="131"/>
      <c r="T268" s="131"/>
      <c r="U268" s="131"/>
      <c r="W268" s="131"/>
      <c r="X268" s="131"/>
      <c r="Y268" s="131"/>
      <c r="Z268" s="131"/>
      <c r="AA268" s="131"/>
      <c r="AD268" s="131"/>
      <c r="AE268" s="131"/>
      <c r="AF268" s="131"/>
      <c r="AG268" s="131"/>
      <c r="AH268" s="131"/>
    </row>
    <row r="269" spans="2:34" hidden="1">
      <c r="B269" s="175"/>
      <c r="C269" s="180"/>
      <c r="D269" s="321"/>
      <c r="E269" s="309"/>
      <c r="F269" s="315"/>
      <c r="H269" s="290"/>
      <c r="I269" s="177"/>
      <c r="J269" s="296"/>
      <c r="K269" s="249"/>
      <c r="L269" s="250"/>
      <c r="M269" s="136"/>
      <c r="N269" s="136"/>
      <c r="O269" s="136"/>
      <c r="P269" s="136"/>
      <c r="Q269" s="136"/>
      <c r="R269" s="131"/>
      <c r="S269" s="131"/>
      <c r="T269" s="131"/>
      <c r="U269" s="131"/>
      <c r="W269" s="131"/>
      <c r="X269" s="131"/>
      <c r="Y269" s="131"/>
      <c r="Z269" s="131"/>
      <c r="AA269" s="131"/>
      <c r="AD269" s="131"/>
      <c r="AE269" s="131"/>
      <c r="AF269" s="131"/>
      <c r="AG269" s="131"/>
      <c r="AH269" s="131"/>
    </row>
    <row r="270" spans="2:34" hidden="1">
      <c r="B270" s="175"/>
      <c r="C270" s="180"/>
      <c r="D270" s="321"/>
      <c r="E270" s="309"/>
      <c r="F270" s="315"/>
      <c r="H270" s="290"/>
      <c r="I270" s="177"/>
      <c r="J270" s="296"/>
      <c r="K270" s="249"/>
      <c r="L270" s="250"/>
      <c r="M270" s="136"/>
      <c r="N270" s="136"/>
      <c r="O270" s="136"/>
      <c r="P270" s="136"/>
      <c r="Q270" s="136"/>
      <c r="R270" s="131"/>
      <c r="S270" s="131"/>
      <c r="T270" s="131"/>
      <c r="U270" s="131"/>
      <c r="W270" s="131"/>
      <c r="X270" s="131"/>
      <c r="Y270" s="131"/>
      <c r="Z270" s="131"/>
      <c r="AA270" s="131"/>
      <c r="AD270" s="131"/>
      <c r="AE270" s="131"/>
      <c r="AF270" s="131"/>
      <c r="AG270" s="131"/>
      <c r="AH270" s="131"/>
    </row>
    <row r="271" spans="2:34" hidden="1">
      <c r="B271" s="175"/>
      <c r="C271" s="180"/>
      <c r="D271" s="321"/>
      <c r="E271" s="309"/>
      <c r="F271" s="315"/>
      <c r="H271" s="290"/>
      <c r="I271" s="177"/>
      <c r="J271" s="296"/>
      <c r="K271" s="249"/>
      <c r="L271" s="250"/>
      <c r="M271" s="136"/>
      <c r="N271" s="136"/>
      <c r="O271" s="136"/>
      <c r="P271" s="136"/>
      <c r="Q271" s="136"/>
      <c r="R271" s="131"/>
      <c r="S271" s="131"/>
      <c r="T271" s="131"/>
      <c r="U271" s="131"/>
      <c r="W271" s="131"/>
      <c r="X271" s="131"/>
      <c r="Y271" s="131"/>
      <c r="Z271" s="131"/>
      <c r="AA271" s="131"/>
      <c r="AD271" s="131"/>
      <c r="AE271" s="131"/>
      <c r="AF271" s="131"/>
      <c r="AG271" s="131"/>
      <c r="AH271" s="131"/>
    </row>
    <row r="272" spans="2:34" hidden="1">
      <c r="B272" s="175"/>
      <c r="C272" s="180"/>
      <c r="D272" s="321"/>
      <c r="E272" s="309"/>
      <c r="F272" s="315"/>
      <c r="H272" s="290"/>
      <c r="I272" s="177"/>
      <c r="J272" s="296"/>
      <c r="K272" s="249"/>
      <c r="L272" s="250"/>
      <c r="M272" s="136"/>
      <c r="N272" s="136"/>
      <c r="O272" s="136"/>
      <c r="P272" s="136"/>
      <c r="Q272" s="136"/>
      <c r="R272" s="131"/>
      <c r="S272" s="131"/>
      <c r="T272" s="131"/>
      <c r="U272" s="131"/>
      <c r="W272" s="131"/>
      <c r="X272" s="131"/>
      <c r="Y272" s="131"/>
      <c r="Z272" s="131"/>
      <c r="AA272" s="131"/>
      <c r="AD272" s="131"/>
      <c r="AE272" s="131"/>
      <c r="AF272" s="131"/>
      <c r="AG272" s="131"/>
      <c r="AH272" s="131"/>
    </row>
    <row r="273" spans="2:34" hidden="1">
      <c r="B273" s="175"/>
      <c r="C273" s="180"/>
      <c r="D273" s="321"/>
      <c r="E273" s="309"/>
      <c r="F273" s="315"/>
      <c r="H273" s="290"/>
      <c r="I273" s="177"/>
      <c r="J273" s="296"/>
      <c r="K273" s="249"/>
      <c r="L273" s="250"/>
      <c r="M273" s="136"/>
      <c r="N273" s="136"/>
      <c r="O273" s="136"/>
      <c r="P273" s="136"/>
      <c r="Q273" s="136"/>
      <c r="R273" s="131"/>
      <c r="S273" s="131"/>
      <c r="T273" s="131"/>
      <c r="U273" s="131"/>
      <c r="W273" s="131"/>
      <c r="X273" s="131"/>
      <c r="Y273" s="131"/>
      <c r="Z273" s="131"/>
      <c r="AA273" s="131"/>
      <c r="AD273" s="131"/>
      <c r="AE273" s="131"/>
      <c r="AF273" s="131"/>
      <c r="AG273" s="131"/>
      <c r="AH273" s="131"/>
    </row>
    <row r="274" spans="2:34" hidden="1">
      <c r="B274" s="175"/>
      <c r="C274" s="180"/>
      <c r="D274" s="321"/>
      <c r="E274" s="309"/>
      <c r="F274" s="315"/>
      <c r="H274" s="290"/>
      <c r="I274" s="177"/>
      <c r="J274" s="296"/>
      <c r="K274" s="249"/>
      <c r="L274" s="250"/>
      <c r="M274" s="136"/>
      <c r="N274" s="136"/>
      <c r="O274" s="136"/>
      <c r="P274" s="136"/>
      <c r="Q274" s="136"/>
      <c r="R274" s="131"/>
      <c r="S274" s="131"/>
      <c r="T274" s="131"/>
      <c r="U274" s="131"/>
      <c r="W274" s="131"/>
      <c r="X274" s="131"/>
      <c r="Y274" s="131"/>
      <c r="Z274" s="131"/>
      <c r="AA274" s="131"/>
      <c r="AD274" s="131"/>
      <c r="AE274" s="131"/>
      <c r="AF274" s="131"/>
      <c r="AG274" s="131"/>
      <c r="AH274" s="131"/>
    </row>
    <row r="275" spans="2:34" hidden="1">
      <c r="B275" s="175"/>
      <c r="C275" s="180"/>
      <c r="D275" s="321"/>
      <c r="E275" s="309"/>
      <c r="F275" s="315"/>
      <c r="H275" s="290"/>
      <c r="I275" s="177"/>
      <c r="J275" s="296"/>
      <c r="K275" s="249"/>
      <c r="L275" s="250"/>
      <c r="M275" s="136"/>
      <c r="N275" s="136"/>
      <c r="O275" s="136"/>
      <c r="P275" s="136"/>
      <c r="Q275" s="136"/>
      <c r="R275" s="131"/>
      <c r="S275" s="131"/>
      <c r="T275" s="131"/>
      <c r="U275" s="131"/>
      <c r="W275" s="131"/>
      <c r="X275" s="131"/>
      <c r="Y275" s="131"/>
      <c r="Z275" s="131"/>
      <c r="AA275" s="131"/>
      <c r="AD275" s="131"/>
      <c r="AE275" s="131"/>
      <c r="AF275" s="131"/>
      <c r="AG275" s="131"/>
      <c r="AH275" s="131"/>
    </row>
    <row r="276" spans="2:34" hidden="1">
      <c r="B276" s="175"/>
      <c r="C276" s="180"/>
      <c r="D276" s="321"/>
      <c r="E276" s="309"/>
      <c r="F276" s="315"/>
      <c r="H276" s="290"/>
      <c r="I276" s="177"/>
      <c r="J276" s="296"/>
      <c r="K276" s="249"/>
      <c r="L276" s="250"/>
      <c r="M276" s="136"/>
      <c r="N276" s="136"/>
      <c r="O276" s="136"/>
      <c r="P276" s="136"/>
      <c r="Q276" s="136"/>
      <c r="R276" s="131"/>
      <c r="S276" s="131"/>
      <c r="T276" s="131"/>
      <c r="U276" s="131"/>
      <c r="W276" s="131"/>
      <c r="X276" s="131"/>
      <c r="Y276" s="131"/>
      <c r="Z276" s="131"/>
      <c r="AA276" s="131"/>
      <c r="AD276" s="131"/>
      <c r="AE276" s="131"/>
      <c r="AF276" s="131"/>
      <c r="AG276" s="131"/>
      <c r="AH276" s="131"/>
    </row>
    <row r="277" spans="2:34" hidden="1">
      <c r="B277" s="175"/>
      <c r="C277" s="180"/>
      <c r="D277" s="321"/>
      <c r="E277" s="309"/>
      <c r="F277" s="315"/>
      <c r="H277" s="290"/>
      <c r="I277" s="177"/>
      <c r="J277" s="296"/>
      <c r="K277" s="249"/>
      <c r="L277" s="250"/>
      <c r="M277" s="136"/>
      <c r="N277" s="136"/>
      <c r="O277" s="136"/>
      <c r="P277" s="136"/>
      <c r="Q277" s="136"/>
      <c r="R277" s="131"/>
      <c r="S277" s="131"/>
      <c r="T277" s="131"/>
      <c r="U277" s="131"/>
      <c r="W277" s="131"/>
      <c r="X277" s="131"/>
      <c r="Y277" s="131"/>
      <c r="Z277" s="131"/>
      <c r="AA277" s="131"/>
      <c r="AD277" s="131"/>
      <c r="AE277" s="131"/>
      <c r="AF277" s="131"/>
      <c r="AG277" s="131"/>
      <c r="AH277" s="131"/>
    </row>
    <row r="278" spans="2:34" hidden="1">
      <c r="B278" s="175"/>
      <c r="C278" s="180"/>
      <c r="D278" s="321"/>
      <c r="E278" s="309"/>
      <c r="F278" s="315"/>
      <c r="H278" s="290"/>
      <c r="I278" s="177"/>
      <c r="J278" s="296"/>
      <c r="K278" s="249"/>
      <c r="L278" s="250"/>
      <c r="M278" s="136"/>
      <c r="N278" s="136"/>
      <c r="O278" s="136"/>
      <c r="P278" s="136"/>
      <c r="Q278" s="136"/>
      <c r="R278" s="131"/>
      <c r="S278" s="131"/>
      <c r="T278" s="131"/>
      <c r="U278" s="131"/>
      <c r="W278" s="131"/>
      <c r="X278" s="131"/>
      <c r="Y278" s="131"/>
      <c r="Z278" s="131"/>
      <c r="AA278" s="131"/>
      <c r="AD278" s="131"/>
      <c r="AE278" s="131"/>
      <c r="AF278" s="131"/>
      <c r="AG278" s="131"/>
      <c r="AH278" s="131"/>
    </row>
    <row r="279" spans="2:34" hidden="1">
      <c r="B279" s="175"/>
      <c r="C279" s="180"/>
      <c r="D279" s="321"/>
      <c r="E279" s="309"/>
      <c r="F279" s="315"/>
      <c r="H279" s="290"/>
      <c r="I279" s="177"/>
      <c r="J279" s="296"/>
      <c r="K279" s="249"/>
      <c r="L279" s="250"/>
      <c r="M279" s="136"/>
      <c r="N279" s="136"/>
      <c r="O279" s="136"/>
      <c r="P279" s="136"/>
      <c r="Q279" s="136"/>
      <c r="R279" s="131"/>
      <c r="S279" s="131"/>
      <c r="T279" s="131"/>
      <c r="U279" s="131"/>
      <c r="W279" s="131"/>
      <c r="X279" s="131"/>
      <c r="Y279" s="131"/>
      <c r="Z279" s="131"/>
      <c r="AA279" s="131"/>
      <c r="AD279" s="131"/>
      <c r="AE279" s="131"/>
      <c r="AF279" s="131"/>
      <c r="AG279" s="131"/>
      <c r="AH279" s="131"/>
    </row>
    <row r="280" spans="2:34" hidden="1">
      <c r="B280" s="175"/>
      <c r="C280" s="180"/>
      <c r="D280" s="321"/>
      <c r="E280" s="309"/>
      <c r="F280" s="315"/>
      <c r="H280" s="290"/>
      <c r="I280" s="177"/>
      <c r="J280" s="296"/>
      <c r="K280" s="249"/>
      <c r="L280" s="250"/>
      <c r="M280" s="136"/>
      <c r="N280" s="136"/>
      <c r="O280" s="136"/>
      <c r="P280" s="136"/>
      <c r="Q280" s="136"/>
      <c r="R280" s="131"/>
      <c r="S280" s="131"/>
      <c r="T280" s="131"/>
      <c r="U280" s="131"/>
      <c r="W280" s="131"/>
      <c r="X280" s="131"/>
      <c r="Y280" s="131"/>
      <c r="Z280" s="131"/>
      <c r="AA280" s="131"/>
      <c r="AD280" s="131"/>
      <c r="AE280" s="131"/>
      <c r="AF280" s="131"/>
      <c r="AG280" s="131"/>
      <c r="AH280" s="131"/>
    </row>
    <row r="281" spans="2:34" hidden="1">
      <c r="B281" s="175"/>
      <c r="C281" s="180"/>
      <c r="D281" s="321"/>
      <c r="E281" s="309"/>
      <c r="F281" s="315"/>
      <c r="H281" s="290"/>
      <c r="I281" s="177"/>
      <c r="J281" s="296"/>
      <c r="K281" s="249"/>
      <c r="L281" s="250"/>
      <c r="M281" s="136"/>
      <c r="N281" s="136"/>
      <c r="O281" s="136"/>
      <c r="P281" s="136"/>
      <c r="Q281" s="136"/>
      <c r="R281" s="131"/>
      <c r="S281" s="131"/>
      <c r="T281" s="131"/>
      <c r="U281" s="131"/>
      <c r="W281" s="131"/>
      <c r="X281" s="131"/>
      <c r="Y281" s="131"/>
      <c r="Z281" s="131"/>
      <c r="AA281" s="131"/>
      <c r="AD281" s="131"/>
      <c r="AE281" s="131"/>
      <c r="AF281" s="131"/>
      <c r="AG281" s="131"/>
      <c r="AH281" s="131"/>
    </row>
    <row r="282" spans="2:34" hidden="1">
      <c r="B282" s="175"/>
      <c r="C282" s="180"/>
      <c r="D282" s="321"/>
      <c r="E282" s="309"/>
      <c r="F282" s="315"/>
      <c r="H282" s="290"/>
      <c r="I282" s="177"/>
      <c r="J282" s="296"/>
      <c r="K282" s="249"/>
      <c r="L282" s="250"/>
      <c r="M282" s="136"/>
      <c r="N282" s="136"/>
      <c r="O282" s="136"/>
      <c r="P282" s="136"/>
      <c r="Q282" s="136"/>
      <c r="R282" s="131"/>
      <c r="S282" s="131"/>
      <c r="T282" s="131"/>
      <c r="U282" s="131"/>
      <c r="W282" s="131"/>
      <c r="X282" s="131"/>
      <c r="Y282" s="131"/>
      <c r="Z282" s="131"/>
      <c r="AA282" s="131"/>
      <c r="AD282" s="131"/>
      <c r="AE282" s="131"/>
      <c r="AF282" s="131"/>
      <c r="AG282" s="131"/>
      <c r="AH282" s="131"/>
    </row>
    <row r="283" spans="2:34" hidden="1">
      <c r="B283" s="175"/>
      <c r="C283" s="180"/>
      <c r="D283" s="321"/>
      <c r="E283" s="309"/>
      <c r="F283" s="315"/>
      <c r="H283" s="290"/>
      <c r="I283" s="177"/>
      <c r="J283" s="296"/>
      <c r="K283" s="249"/>
      <c r="L283" s="250"/>
      <c r="M283" s="136"/>
      <c r="N283" s="136"/>
      <c r="O283" s="136"/>
      <c r="P283" s="136"/>
      <c r="Q283" s="136"/>
      <c r="R283" s="131"/>
      <c r="S283" s="131"/>
      <c r="T283" s="131"/>
      <c r="U283" s="131"/>
      <c r="W283" s="131"/>
      <c r="X283" s="131"/>
      <c r="Y283" s="131"/>
      <c r="Z283" s="131"/>
      <c r="AA283" s="131"/>
      <c r="AD283" s="131"/>
      <c r="AE283" s="131"/>
      <c r="AF283" s="131"/>
      <c r="AG283" s="131"/>
      <c r="AH283" s="131"/>
    </row>
    <row r="284" spans="2:34" hidden="1">
      <c r="B284" s="175"/>
      <c r="C284" s="180"/>
      <c r="D284" s="321"/>
      <c r="E284" s="309"/>
      <c r="F284" s="315"/>
      <c r="H284" s="290"/>
      <c r="I284" s="177"/>
      <c r="J284" s="296"/>
      <c r="K284" s="249"/>
      <c r="L284" s="250"/>
      <c r="M284" s="136"/>
      <c r="N284" s="136"/>
      <c r="O284" s="136"/>
      <c r="P284" s="136"/>
      <c r="Q284" s="136"/>
      <c r="R284" s="131"/>
      <c r="S284" s="131"/>
      <c r="T284" s="131"/>
      <c r="U284" s="131"/>
      <c r="W284" s="131"/>
      <c r="X284" s="131"/>
      <c r="Y284" s="131"/>
      <c r="Z284" s="131"/>
      <c r="AA284" s="131"/>
      <c r="AD284" s="131"/>
      <c r="AE284" s="131"/>
      <c r="AF284" s="131"/>
      <c r="AG284" s="131"/>
      <c r="AH284" s="131"/>
    </row>
    <row r="285" spans="2:34" hidden="1">
      <c r="B285" s="175"/>
      <c r="C285" s="180"/>
      <c r="D285" s="321"/>
      <c r="E285" s="309"/>
      <c r="F285" s="315"/>
      <c r="H285" s="290"/>
      <c r="I285" s="177"/>
      <c r="J285" s="296"/>
      <c r="K285" s="249"/>
      <c r="L285" s="250"/>
      <c r="M285" s="136"/>
      <c r="N285" s="136"/>
      <c r="O285" s="136"/>
      <c r="P285" s="136"/>
      <c r="Q285" s="136"/>
      <c r="R285" s="131"/>
      <c r="U285" s="131"/>
      <c r="W285" s="131"/>
      <c r="X285" s="131"/>
      <c r="Y285" s="131"/>
      <c r="Z285" s="131"/>
      <c r="AA285" s="131"/>
      <c r="AD285" s="131"/>
      <c r="AE285" s="131"/>
      <c r="AF285" s="131"/>
      <c r="AG285" s="131"/>
      <c r="AH285" s="131"/>
    </row>
    <row r="286" spans="2:34" hidden="1">
      <c r="B286" s="175"/>
      <c r="C286" s="180"/>
      <c r="D286" s="321"/>
      <c r="E286" s="309"/>
      <c r="F286" s="315"/>
      <c r="H286" s="290"/>
      <c r="I286" s="177"/>
      <c r="J286" s="296"/>
      <c r="K286" s="249"/>
      <c r="L286" s="250"/>
      <c r="M286" s="136"/>
      <c r="N286" s="136"/>
      <c r="O286" s="136"/>
      <c r="P286" s="136"/>
      <c r="Q286" s="136"/>
      <c r="R286" s="131"/>
      <c r="S286" s="131"/>
      <c r="T286" s="131"/>
      <c r="U286" s="131"/>
      <c r="W286" s="131"/>
      <c r="X286" s="131"/>
      <c r="Y286" s="131"/>
      <c r="Z286" s="131"/>
      <c r="AA286" s="131"/>
      <c r="AD286" s="131"/>
      <c r="AE286" s="131"/>
      <c r="AF286" s="131"/>
      <c r="AG286" s="131"/>
      <c r="AH286" s="131"/>
    </row>
    <row r="287" spans="2:34" hidden="1">
      <c r="B287" s="175"/>
      <c r="C287" s="180"/>
      <c r="D287" s="321"/>
      <c r="E287" s="309"/>
      <c r="F287" s="315"/>
      <c r="H287" s="290"/>
      <c r="I287" s="177"/>
      <c r="J287" s="296"/>
      <c r="K287" s="249"/>
      <c r="L287" s="250"/>
      <c r="M287" s="136"/>
      <c r="N287" s="136"/>
      <c r="O287" s="136"/>
      <c r="P287" s="136"/>
      <c r="Q287" s="136"/>
      <c r="R287" s="131"/>
      <c r="S287" s="131"/>
      <c r="T287" s="131"/>
      <c r="U287" s="131"/>
      <c r="W287" s="131"/>
      <c r="X287" s="131"/>
      <c r="Y287" s="131"/>
      <c r="Z287" s="131"/>
      <c r="AA287" s="131"/>
      <c r="AD287" s="131"/>
      <c r="AE287" s="131"/>
      <c r="AF287" s="131"/>
      <c r="AG287" s="131"/>
      <c r="AH287" s="131"/>
    </row>
    <row r="288" spans="2:34" hidden="1">
      <c r="B288" s="175"/>
      <c r="C288" s="180"/>
      <c r="D288" s="321"/>
      <c r="E288" s="309"/>
      <c r="F288" s="315"/>
      <c r="H288" s="290"/>
      <c r="I288" s="177"/>
      <c r="J288" s="296"/>
      <c r="K288" s="249"/>
      <c r="L288" s="250"/>
      <c r="M288" s="136"/>
      <c r="N288" s="136"/>
      <c r="O288" s="136"/>
      <c r="P288" s="136"/>
      <c r="Q288" s="136"/>
      <c r="R288" s="131"/>
      <c r="S288" s="131"/>
      <c r="T288" s="131"/>
      <c r="U288" s="131"/>
      <c r="W288" s="131"/>
      <c r="X288" s="131"/>
      <c r="Y288" s="131"/>
      <c r="Z288" s="131"/>
      <c r="AA288" s="131"/>
      <c r="AD288" s="131"/>
      <c r="AE288" s="131"/>
      <c r="AF288" s="131"/>
      <c r="AG288" s="131"/>
      <c r="AH288" s="131"/>
    </row>
    <row r="289" spans="2:34" hidden="1">
      <c r="B289" s="175"/>
      <c r="C289" s="180"/>
      <c r="D289" s="321"/>
      <c r="E289" s="309"/>
      <c r="F289" s="315"/>
      <c r="H289" s="290"/>
      <c r="I289" s="177"/>
      <c r="J289" s="296"/>
      <c r="K289" s="249"/>
      <c r="L289" s="250"/>
      <c r="M289" s="136"/>
      <c r="N289" s="136"/>
      <c r="O289" s="136"/>
      <c r="P289" s="136"/>
      <c r="Q289" s="136"/>
      <c r="R289" s="131"/>
      <c r="S289" s="131"/>
      <c r="T289" s="131"/>
      <c r="U289" s="131"/>
      <c r="W289" s="131"/>
      <c r="X289" s="131"/>
      <c r="Y289" s="131"/>
      <c r="Z289" s="131"/>
      <c r="AA289" s="131"/>
      <c r="AD289" s="131"/>
      <c r="AE289" s="131"/>
      <c r="AF289" s="131"/>
      <c r="AG289" s="131"/>
      <c r="AH289" s="131"/>
    </row>
    <row r="290" spans="2:34" hidden="1">
      <c r="B290" s="175"/>
      <c r="C290" s="180"/>
      <c r="D290" s="321"/>
      <c r="E290" s="309"/>
      <c r="F290" s="315"/>
      <c r="H290" s="290"/>
      <c r="I290" s="177"/>
      <c r="J290" s="296"/>
      <c r="K290" s="249"/>
      <c r="L290" s="250"/>
      <c r="M290" s="136"/>
      <c r="N290" s="136"/>
      <c r="O290" s="136"/>
      <c r="P290" s="136"/>
      <c r="Q290" s="136"/>
      <c r="R290" s="131"/>
      <c r="S290" s="131"/>
      <c r="T290" s="131"/>
      <c r="U290" s="131"/>
      <c r="W290" s="131"/>
      <c r="X290" s="131"/>
      <c r="Y290" s="131"/>
      <c r="Z290" s="131"/>
      <c r="AA290" s="131"/>
      <c r="AD290" s="131"/>
      <c r="AE290" s="131"/>
      <c r="AF290" s="131"/>
      <c r="AG290" s="131"/>
      <c r="AH290" s="131"/>
    </row>
    <row r="291" spans="2:34" hidden="1">
      <c r="B291" s="175"/>
      <c r="C291" s="180"/>
      <c r="D291" s="321"/>
      <c r="E291" s="309"/>
      <c r="F291" s="315"/>
      <c r="H291" s="290"/>
      <c r="I291" s="177"/>
      <c r="J291" s="296"/>
      <c r="K291" s="249"/>
      <c r="L291" s="250"/>
      <c r="M291" s="136"/>
      <c r="N291" s="136"/>
      <c r="O291" s="136"/>
      <c r="P291" s="136"/>
      <c r="Q291" s="136"/>
      <c r="R291" s="131"/>
      <c r="S291" s="131"/>
      <c r="T291" s="131"/>
      <c r="U291" s="131"/>
      <c r="W291" s="131"/>
      <c r="X291" s="131"/>
      <c r="Y291" s="131"/>
      <c r="Z291" s="131"/>
      <c r="AA291" s="131"/>
      <c r="AD291" s="131"/>
      <c r="AE291" s="131"/>
      <c r="AF291" s="131"/>
      <c r="AG291" s="131"/>
      <c r="AH291" s="131"/>
    </row>
    <row r="292" spans="2:34" hidden="1">
      <c r="B292" s="175"/>
      <c r="C292" s="180"/>
      <c r="D292" s="321"/>
      <c r="E292" s="309"/>
      <c r="F292" s="315"/>
      <c r="H292" s="290"/>
      <c r="I292" s="177"/>
      <c r="J292" s="296"/>
      <c r="K292" s="249"/>
      <c r="L292" s="250"/>
      <c r="M292" s="136"/>
      <c r="N292" s="136"/>
      <c r="O292" s="136"/>
      <c r="P292" s="136"/>
      <c r="Q292" s="136"/>
      <c r="R292" s="131"/>
      <c r="S292" s="131"/>
      <c r="T292" s="131"/>
      <c r="U292" s="131"/>
      <c r="W292" s="131"/>
      <c r="X292" s="131"/>
      <c r="Y292" s="131"/>
      <c r="Z292" s="131"/>
      <c r="AA292" s="131"/>
      <c r="AD292" s="131"/>
      <c r="AE292" s="131"/>
      <c r="AF292" s="131"/>
      <c r="AG292" s="131"/>
      <c r="AH292" s="131"/>
    </row>
    <row r="293" spans="2:34" hidden="1">
      <c r="B293" s="175"/>
      <c r="C293" s="180"/>
      <c r="D293" s="321"/>
      <c r="E293" s="309"/>
      <c r="F293" s="315"/>
      <c r="H293" s="290"/>
      <c r="I293" s="177"/>
      <c r="J293" s="296"/>
      <c r="K293" s="249"/>
      <c r="L293" s="250"/>
      <c r="M293" s="136"/>
      <c r="N293" s="136"/>
      <c r="O293" s="136"/>
      <c r="P293" s="136"/>
      <c r="Q293" s="136"/>
      <c r="R293" s="131"/>
      <c r="S293" s="131"/>
      <c r="T293" s="131"/>
      <c r="U293" s="131"/>
      <c r="W293" s="131"/>
      <c r="X293" s="131"/>
      <c r="Y293" s="131"/>
      <c r="Z293" s="131"/>
      <c r="AA293" s="131"/>
      <c r="AD293" s="131"/>
      <c r="AE293" s="131"/>
      <c r="AF293" s="131"/>
      <c r="AG293" s="131"/>
      <c r="AH293" s="131"/>
    </row>
    <row r="294" spans="2:34" hidden="1">
      <c r="B294" s="175"/>
      <c r="C294" s="180"/>
      <c r="D294" s="321"/>
      <c r="E294" s="309"/>
      <c r="F294" s="315"/>
      <c r="H294" s="290"/>
      <c r="I294" s="177"/>
      <c r="J294" s="296"/>
      <c r="K294" s="249"/>
      <c r="L294" s="250"/>
      <c r="M294" s="136"/>
      <c r="N294" s="136"/>
      <c r="O294" s="136"/>
      <c r="P294" s="136"/>
      <c r="Q294" s="136"/>
      <c r="R294" s="131"/>
      <c r="S294" s="131"/>
      <c r="T294" s="131"/>
      <c r="U294" s="131"/>
      <c r="W294" s="131"/>
      <c r="X294" s="131"/>
      <c r="Y294" s="131"/>
      <c r="Z294" s="131"/>
      <c r="AA294" s="131"/>
      <c r="AD294" s="131"/>
      <c r="AE294" s="131"/>
      <c r="AF294" s="131"/>
      <c r="AG294" s="131"/>
      <c r="AH294" s="131"/>
    </row>
    <row r="295" spans="2:34" hidden="1">
      <c r="B295" s="175"/>
      <c r="C295" s="180"/>
      <c r="D295" s="321"/>
      <c r="E295" s="309"/>
      <c r="F295" s="315"/>
      <c r="H295" s="290"/>
      <c r="I295" s="177"/>
      <c r="J295" s="296"/>
      <c r="K295" s="249"/>
      <c r="L295" s="250"/>
      <c r="M295" s="136"/>
      <c r="N295" s="136"/>
      <c r="O295" s="136"/>
      <c r="P295" s="136"/>
      <c r="Q295" s="136"/>
      <c r="R295" s="131"/>
      <c r="S295" s="131"/>
      <c r="T295" s="131"/>
      <c r="U295" s="131"/>
      <c r="W295" s="131"/>
      <c r="X295" s="131"/>
      <c r="Y295" s="131"/>
      <c r="Z295" s="131"/>
      <c r="AA295" s="131"/>
      <c r="AD295" s="131"/>
      <c r="AE295" s="131"/>
      <c r="AF295" s="131"/>
      <c r="AG295" s="131"/>
      <c r="AH295" s="131"/>
    </row>
    <row r="296" spans="2:34" hidden="1">
      <c r="B296" s="175"/>
      <c r="C296" s="180"/>
      <c r="D296" s="321"/>
      <c r="E296" s="309"/>
      <c r="F296" s="315"/>
      <c r="H296" s="290"/>
      <c r="I296" s="177"/>
      <c r="J296" s="296"/>
      <c r="K296" s="249"/>
      <c r="L296" s="250"/>
      <c r="M296" s="136"/>
      <c r="N296" s="136"/>
      <c r="O296" s="136"/>
      <c r="P296" s="136"/>
      <c r="Q296" s="136"/>
      <c r="R296" s="131"/>
      <c r="S296" s="131"/>
      <c r="T296" s="131"/>
      <c r="U296" s="131"/>
      <c r="W296" s="131"/>
      <c r="X296" s="131"/>
      <c r="Y296" s="131"/>
      <c r="Z296" s="131"/>
      <c r="AA296" s="131"/>
      <c r="AD296" s="131"/>
      <c r="AE296" s="131"/>
      <c r="AF296" s="131"/>
      <c r="AG296" s="131"/>
      <c r="AH296" s="131"/>
    </row>
    <row r="297" spans="2:34" hidden="1">
      <c r="B297" s="175"/>
      <c r="C297" s="180"/>
      <c r="D297" s="321"/>
      <c r="E297" s="309"/>
      <c r="F297" s="315"/>
      <c r="H297" s="290"/>
      <c r="I297" s="177"/>
      <c r="J297" s="296"/>
      <c r="K297" s="249"/>
      <c r="L297" s="250"/>
      <c r="M297" s="136"/>
      <c r="N297" s="136"/>
      <c r="O297" s="136"/>
      <c r="P297" s="136"/>
      <c r="Q297" s="136"/>
      <c r="R297" s="131"/>
      <c r="S297" s="131"/>
      <c r="T297" s="131"/>
      <c r="U297" s="131"/>
      <c r="W297" s="131"/>
      <c r="X297" s="131"/>
      <c r="Y297" s="131"/>
      <c r="Z297" s="131"/>
      <c r="AA297" s="131"/>
      <c r="AD297" s="131"/>
      <c r="AE297" s="131"/>
      <c r="AF297" s="131"/>
      <c r="AG297" s="131"/>
      <c r="AH297" s="131"/>
    </row>
    <row r="298" spans="2:34" hidden="1">
      <c r="B298" s="175"/>
      <c r="C298" s="180"/>
      <c r="D298" s="321"/>
      <c r="E298" s="309"/>
      <c r="F298" s="315"/>
      <c r="H298" s="290"/>
      <c r="I298" s="177"/>
      <c r="J298" s="296"/>
      <c r="K298" s="249"/>
      <c r="L298" s="250"/>
      <c r="M298" s="136"/>
      <c r="N298" s="136"/>
      <c r="O298" s="136"/>
      <c r="P298" s="136"/>
      <c r="Q298" s="136"/>
      <c r="R298" s="131"/>
      <c r="S298" s="131"/>
      <c r="T298" s="131"/>
      <c r="U298" s="131"/>
      <c r="W298" s="131"/>
      <c r="X298" s="131"/>
      <c r="Y298" s="131"/>
      <c r="Z298" s="131"/>
      <c r="AA298" s="131"/>
      <c r="AD298" s="131"/>
      <c r="AE298" s="131"/>
      <c r="AF298" s="131"/>
      <c r="AG298" s="131"/>
      <c r="AH298" s="131"/>
    </row>
    <row r="299" spans="2:34" hidden="1">
      <c r="B299" s="175"/>
      <c r="C299" s="180"/>
      <c r="D299" s="321"/>
      <c r="E299" s="309"/>
      <c r="F299" s="315"/>
      <c r="H299" s="290"/>
      <c r="I299" s="177"/>
      <c r="J299" s="296"/>
      <c r="K299" s="249"/>
      <c r="L299" s="250"/>
      <c r="M299" s="136"/>
      <c r="N299" s="136"/>
      <c r="O299" s="136"/>
      <c r="P299" s="136"/>
      <c r="Q299" s="136"/>
      <c r="R299" s="131"/>
      <c r="S299" s="131"/>
      <c r="T299" s="131"/>
      <c r="U299" s="131"/>
      <c r="W299" s="131"/>
      <c r="X299" s="131"/>
      <c r="Y299" s="131"/>
      <c r="Z299" s="131"/>
      <c r="AA299" s="131"/>
      <c r="AD299" s="131"/>
      <c r="AE299" s="131"/>
      <c r="AF299" s="131"/>
      <c r="AG299" s="131"/>
      <c r="AH299" s="131"/>
    </row>
    <row r="300" spans="2:34" hidden="1">
      <c r="B300" s="175"/>
      <c r="C300" s="180"/>
      <c r="D300" s="321"/>
      <c r="E300" s="309"/>
      <c r="F300" s="315"/>
      <c r="H300" s="290"/>
      <c r="I300" s="177"/>
      <c r="J300" s="296"/>
      <c r="K300" s="249"/>
      <c r="L300" s="250"/>
      <c r="M300" s="136"/>
      <c r="N300" s="136"/>
      <c r="O300" s="136"/>
      <c r="P300" s="136"/>
      <c r="Q300" s="136"/>
      <c r="R300" s="131"/>
      <c r="S300" s="131"/>
      <c r="T300" s="131"/>
      <c r="U300" s="131"/>
      <c r="W300" s="131"/>
      <c r="X300" s="131"/>
      <c r="Y300" s="131"/>
      <c r="Z300" s="131"/>
      <c r="AA300" s="131"/>
      <c r="AD300" s="131"/>
      <c r="AE300" s="131"/>
      <c r="AF300" s="131"/>
      <c r="AG300" s="131"/>
      <c r="AH300" s="131"/>
    </row>
    <row r="301" spans="2:34" hidden="1">
      <c r="B301" s="175"/>
      <c r="C301" s="180"/>
      <c r="D301" s="321"/>
      <c r="E301" s="309"/>
      <c r="F301" s="315"/>
      <c r="H301" s="290"/>
      <c r="I301" s="177"/>
      <c r="J301" s="296"/>
      <c r="K301" s="249"/>
      <c r="L301" s="250"/>
      <c r="M301" s="136"/>
      <c r="N301" s="136"/>
      <c r="O301" s="136"/>
      <c r="P301" s="136"/>
      <c r="Q301" s="136"/>
      <c r="R301" s="131"/>
      <c r="S301" s="131"/>
      <c r="T301" s="131"/>
      <c r="U301" s="131"/>
      <c r="W301" s="131"/>
      <c r="X301" s="131"/>
      <c r="Y301" s="131"/>
      <c r="Z301" s="131"/>
      <c r="AA301" s="131"/>
      <c r="AD301" s="131"/>
      <c r="AE301" s="131"/>
      <c r="AF301" s="131"/>
      <c r="AG301" s="131"/>
      <c r="AH301" s="131"/>
    </row>
    <row r="302" spans="2:34" hidden="1">
      <c r="B302" s="175"/>
      <c r="C302" s="180"/>
      <c r="D302" s="321"/>
      <c r="E302" s="309"/>
      <c r="F302" s="315"/>
      <c r="H302" s="290"/>
      <c r="I302" s="177"/>
      <c r="J302" s="296"/>
      <c r="K302" s="249"/>
      <c r="L302" s="250"/>
      <c r="M302" s="136"/>
      <c r="N302" s="136"/>
      <c r="O302" s="136"/>
      <c r="P302" s="136"/>
      <c r="Q302" s="136"/>
      <c r="R302" s="131"/>
      <c r="S302" s="131"/>
      <c r="T302" s="131"/>
      <c r="U302" s="131"/>
      <c r="W302" s="131"/>
      <c r="X302" s="131"/>
      <c r="Y302" s="131"/>
      <c r="Z302" s="131"/>
      <c r="AA302" s="131"/>
      <c r="AD302" s="131"/>
      <c r="AE302" s="131"/>
      <c r="AF302" s="131"/>
      <c r="AG302" s="131"/>
      <c r="AH302" s="131"/>
    </row>
    <row r="303" spans="2:34" hidden="1">
      <c r="B303" s="175"/>
      <c r="C303" s="180"/>
      <c r="D303" s="321"/>
      <c r="E303" s="309"/>
      <c r="F303" s="315"/>
      <c r="H303" s="290"/>
      <c r="I303" s="177"/>
      <c r="J303" s="296"/>
      <c r="K303" s="249"/>
      <c r="L303" s="250"/>
      <c r="M303" s="136"/>
      <c r="N303" s="136"/>
      <c r="O303" s="136"/>
      <c r="P303" s="136"/>
      <c r="Q303" s="136"/>
      <c r="R303" s="131"/>
      <c r="S303" s="131"/>
      <c r="T303" s="131"/>
      <c r="U303" s="131"/>
      <c r="W303" s="131"/>
      <c r="X303" s="131"/>
      <c r="Y303" s="131"/>
      <c r="Z303" s="131"/>
      <c r="AA303" s="131"/>
      <c r="AD303" s="131"/>
      <c r="AE303" s="131"/>
      <c r="AF303" s="131"/>
      <c r="AG303" s="131"/>
      <c r="AH303" s="131"/>
    </row>
    <row r="304" spans="2:34" hidden="1">
      <c r="B304" s="175"/>
      <c r="C304" s="180"/>
      <c r="D304" s="321"/>
      <c r="E304" s="309"/>
      <c r="F304" s="315"/>
      <c r="H304" s="290"/>
      <c r="I304" s="177"/>
      <c r="J304" s="296"/>
      <c r="K304" s="249"/>
      <c r="L304" s="250"/>
      <c r="M304" s="136"/>
      <c r="N304" s="136"/>
      <c r="O304" s="136"/>
      <c r="P304" s="136"/>
      <c r="Q304" s="136"/>
      <c r="R304" s="131"/>
      <c r="S304" s="131"/>
      <c r="T304" s="131"/>
      <c r="U304" s="131"/>
      <c r="W304" s="131"/>
      <c r="X304" s="131"/>
      <c r="Y304" s="131"/>
      <c r="Z304" s="131"/>
      <c r="AA304" s="131"/>
      <c r="AD304" s="131"/>
      <c r="AE304" s="131"/>
      <c r="AF304" s="131"/>
      <c r="AG304" s="131"/>
      <c r="AH304" s="131"/>
    </row>
    <row r="305" spans="2:34" hidden="1">
      <c r="B305" s="175"/>
      <c r="C305" s="180"/>
      <c r="D305" s="321"/>
      <c r="E305" s="309"/>
      <c r="F305" s="315"/>
      <c r="H305" s="290"/>
      <c r="I305" s="177"/>
      <c r="J305" s="296"/>
      <c r="K305" s="249"/>
      <c r="L305" s="250"/>
      <c r="M305" s="136"/>
      <c r="N305" s="136"/>
      <c r="O305" s="136"/>
      <c r="P305" s="136"/>
      <c r="Q305" s="136"/>
      <c r="R305" s="131"/>
      <c r="S305" s="131"/>
      <c r="T305" s="131"/>
      <c r="U305" s="131"/>
      <c r="W305" s="131"/>
      <c r="X305" s="131"/>
      <c r="Y305" s="131"/>
      <c r="Z305" s="131"/>
      <c r="AA305" s="131"/>
      <c r="AD305" s="131"/>
      <c r="AE305" s="131"/>
      <c r="AF305" s="131"/>
      <c r="AG305" s="131"/>
      <c r="AH305" s="131"/>
    </row>
    <row r="306" spans="2:34" hidden="1">
      <c r="B306" s="175"/>
      <c r="C306" s="180"/>
      <c r="D306" s="321"/>
      <c r="E306" s="309"/>
      <c r="F306" s="315"/>
      <c r="H306" s="290"/>
      <c r="I306" s="177"/>
      <c r="J306" s="296"/>
      <c r="K306" s="249"/>
      <c r="L306" s="250"/>
      <c r="M306" s="136"/>
      <c r="N306" s="136"/>
      <c r="O306" s="136"/>
      <c r="P306" s="136"/>
      <c r="Q306" s="136"/>
      <c r="R306" s="131"/>
      <c r="S306" s="131"/>
      <c r="T306" s="131"/>
      <c r="U306" s="131"/>
      <c r="W306" s="131"/>
      <c r="X306" s="131"/>
      <c r="Y306" s="131"/>
      <c r="Z306" s="131"/>
      <c r="AA306" s="131"/>
      <c r="AD306" s="131"/>
      <c r="AE306" s="131"/>
      <c r="AF306" s="131"/>
      <c r="AG306" s="131"/>
      <c r="AH306" s="131"/>
    </row>
    <row r="307" spans="2:34" hidden="1">
      <c r="B307" s="175"/>
      <c r="C307" s="180"/>
      <c r="D307" s="321"/>
      <c r="E307" s="309"/>
      <c r="F307" s="315"/>
      <c r="H307" s="290"/>
      <c r="I307" s="177"/>
      <c r="J307" s="296"/>
      <c r="K307" s="249"/>
      <c r="L307" s="250"/>
      <c r="M307" s="136"/>
      <c r="N307" s="136"/>
      <c r="O307" s="136"/>
      <c r="P307" s="136"/>
      <c r="Q307" s="136"/>
      <c r="R307" s="131"/>
      <c r="S307" s="131"/>
      <c r="T307" s="131"/>
      <c r="U307" s="131"/>
      <c r="W307" s="131"/>
      <c r="X307" s="131"/>
      <c r="Y307" s="131"/>
      <c r="Z307" s="131"/>
      <c r="AA307" s="131"/>
      <c r="AD307" s="131"/>
      <c r="AE307" s="131"/>
      <c r="AF307" s="131"/>
      <c r="AG307" s="131"/>
      <c r="AH307" s="131"/>
    </row>
    <row r="308" spans="2:34" hidden="1">
      <c r="B308" s="175"/>
      <c r="C308" s="180"/>
      <c r="D308" s="321"/>
      <c r="E308" s="309"/>
      <c r="F308" s="315"/>
      <c r="H308" s="290"/>
      <c r="I308" s="177"/>
      <c r="J308" s="296"/>
      <c r="K308" s="249"/>
      <c r="L308" s="250"/>
      <c r="M308" s="136"/>
      <c r="N308" s="136"/>
      <c r="O308" s="136"/>
      <c r="P308" s="136"/>
      <c r="Q308" s="136"/>
      <c r="R308" s="131"/>
      <c r="S308" s="131"/>
      <c r="T308" s="131"/>
      <c r="U308" s="131"/>
      <c r="W308" s="131"/>
      <c r="X308" s="131"/>
      <c r="Y308" s="131"/>
      <c r="Z308" s="131"/>
      <c r="AA308" s="131"/>
      <c r="AD308" s="131"/>
      <c r="AE308" s="131"/>
      <c r="AF308" s="131"/>
      <c r="AG308" s="131"/>
      <c r="AH308" s="131"/>
    </row>
    <row r="309" spans="2:34" hidden="1">
      <c r="B309" s="175"/>
      <c r="C309" s="180"/>
      <c r="D309" s="321"/>
      <c r="E309" s="309"/>
      <c r="F309" s="315"/>
      <c r="H309" s="290"/>
      <c r="I309" s="177"/>
      <c r="J309" s="296"/>
      <c r="K309" s="249"/>
      <c r="L309" s="250"/>
      <c r="M309" s="136"/>
      <c r="N309" s="136"/>
      <c r="O309" s="136"/>
      <c r="P309" s="136"/>
      <c r="Q309" s="136"/>
      <c r="R309" s="131"/>
      <c r="S309" s="131"/>
      <c r="T309" s="131"/>
      <c r="U309" s="131"/>
      <c r="W309" s="131"/>
      <c r="X309" s="131"/>
      <c r="Y309" s="131"/>
      <c r="Z309" s="131"/>
      <c r="AA309" s="131"/>
      <c r="AD309" s="131"/>
      <c r="AE309" s="131"/>
      <c r="AF309" s="131"/>
      <c r="AG309" s="131"/>
      <c r="AH309" s="131"/>
    </row>
    <row r="310" spans="2:34" hidden="1">
      <c r="B310" s="175"/>
      <c r="C310" s="180"/>
      <c r="D310" s="321"/>
      <c r="E310" s="309"/>
      <c r="F310" s="315"/>
      <c r="H310" s="290"/>
      <c r="I310" s="177"/>
      <c r="J310" s="296"/>
      <c r="K310" s="249"/>
      <c r="L310" s="250"/>
      <c r="M310" s="136"/>
      <c r="N310" s="136"/>
      <c r="O310" s="136"/>
      <c r="P310" s="136"/>
      <c r="Q310" s="136"/>
      <c r="R310" s="131"/>
      <c r="S310" s="131"/>
      <c r="T310" s="131"/>
      <c r="U310" s="131"/>
      <c r="W310" s="131"/>
      <c r="X310" s="131"/>
      <c r="Y310" s="131"/>
      <c r="Z310" s="131"/>
      <c r="AA310" s="131"/>
      <c r="AD310" s="131"/>
      <c r="AE310" s="131"/>
      <c r="AF310" s="131"/>
      <c r="AG310" s="131"/>
      <c r="AH310" s="131"/>
    </row>
    <row r="311" spans="2:34" hidden="1">
      <c r="B311" s="175"/>
      <c r="C311" s="180"/>
      <c r="D311" s="321"/>
      <c r="E311" s="309"/>
      <c r="F311" s="315"/>
      <c r="H311" s="290"/>
      <c r="I311" s="177"/>
      <c r="J311" s="296"/>
      <c r="K311" s="249"/>
      <c r="L311" s="250"/>
      <c r="M311" s="136"/>
      <c r="N311" s="136"/>
      <c r="O311" s="136"/>
      <c r="P311" s="136"/>
      <c r="Q311" s="136"/>
      <c r="R311" s="131"/>
      <c r="S311" s="131"/>
      <c r="T311" s="131"/>
      <c r="U311" s="131"/>
      <c r="W311" s="131"/>
      <c r="X311" s="131"/>
      <c r="Y311" s="131"/>
      <c r="Z311" s="131"/>
      <c r="AA311" s="131"/>
      <c r="AD311" s="131"/>
      <c r="AE311" s="131"/>
      <c r="AF311" s="131"/>
      <c r="AG311" s="131"/>
      <c r="AH311" s="131"/>
    </row>
    <row r="312" spans="2:34" hidden="1">
      <c r="B312" s="175"/>
      <c r="C312" s="180"/>
      <c r="D312" s="321"/>
      <c r="E312" s="309"/>
      <c r="F312" s="315"/>
      <c r="H312" s="290"/>
      <c r="I312" s="177"/>
      <c r="J312" s="296"/>
      <c r="K312" s="249"/>
      <c r="L312" s="250"/>
      <c r="M312" s="136"/>
      <c r="N312" s="136"/>
      <c r="O312" s="136"/>
      <c r="P312" s="136"/>
      <c r="Q312" s="136"/>
      <c r="R312" s="131"/>
      <c r="S312" s="131"/>
      <c r="T312" s="131"/>
      <c r="U312" s="131"/>
      <c r="W312" s="131"/>
      <c r="X312" s="131"/>
      <c r="Y312" s="131"/>
      <c r="Z312" s="131"/>
      <c r="AA312" s="131"/>
      <c r="AD312" s="131"/>
      <c r="AE312" s="131"/>
      <c r="AF312" s="131"/>
      <c r="AG312" s="131"/>
      <c r="AH312" s="131"/>
    </row>
    <row r="313" spans="2:34" hidden="1">
      <c r="B313" s="175"/>
      <c r="C313" s="180"/>
      <c r="D313" s="321"/>
      <c r="E313" s="309"/>
      <c r="F313" s="315"/>
      <c r="H313" s="290"/>
      <c r="I313" s="177"/>
      <c r="J313" s="296"/>
      <c r="K313" s="249"/>
      <c r="L313" s="250"/>
      <c r="M313" s="136"/>
      <c r="N313" s="136"/>
      <c r="O313" s="136"/>
      <c r="P313" s="136"/>
      <c r="Q313" s="136"/>
      <c r="R313" s="131"/>
      <c r="S313" s="131"/>
      <c r="T313" s="131"/>
      <c r="U313" s="131"/>
      <c r="W313" s="131"/>
      <c r="X313" s="131"/>
      <c r="Y313" s="131"/>
      <c r="Z313" s="131"/>
      <c r="AA313" s="131"/>
      <c r="AD313" s="131"/>
      <c r="AE313" s="131"/>
      <c r="AF313" s="131"/>
      <c r="AG313" s="131"/>
      <c r="AH313" s="131"/>
    </row>
    <row r="314" spans="2:34" hidden="1">
      <c r="B314" s="175"/>
      <c r="C314" s="180"/>
      <c r="D314" s="321"/>
      <c r="E314" s="309"/>
      <c r="F314" s="315"/>
      <c r="H314" s="290"/>
      <c r="I314" s="177"/>
      <c r="J314" s="296"/>
      <c r="K314" s="249"/>
      <c r="L314" s="250"/>
      <c r="M314" s="136"/>
      <c r="N314" s="136"/>
      <c r="O314" s="136"/>
      <c r="P314" s="136"/>
      <c r="Q314" s="136"/>
      <c r="R314" s="131"/>
      <c r="S314" s="131"/>
      <c r="T314" s="131"/>
      <c r="U314" s="131"/>
      <c r="W314" s="131"/>
      <c r="X314" s="131"/>
      <c r="Y314" s="131"/>
      <c r="Z314" s="131"/>
      <c r="AA314" s="131"/>
      <c r="AD314" s="131"/>
      <c r="AE314" s="131"/>
      <c r="AF314" s="131"/>
      <c r="AG314" s="131"/>
      <c r="AH314" s="131"/>
    </row>
    <row r="315" spans="2:34" hidden="1">
      <c r="B315" s="175"/>
      <c r="C315" s="180"/>
      <c r="D315" s="321"/>
      <c r="E315" s="309"/>
      <c r="F315" s="315"/>
      <c r="H315" s="290"/>
      <c r="I315" s="177"/>
      <c r="J315" s="296"/>
      <c r="K315" s="249"/>
      <c r="L315" s="250"/>
      <c r="M315" s="136"/>
      <c r="N315" s="136"/>
      <c r="O315" s="136"/>
      <c r="P315" s="136"/>
      <c r="Q315" s="136"/>
      <c r="R315" s="131"/>
      <c r="S315" s="131"/>
      <c r="T315" s="131"/>
      <c r="U315" s="131"/>
      <c r="W315" s="131"/>
      <c r="X315" s="131"/>
      <c r="Y315" s="131"/>
      <c r="Z315" s="131"/>
      <c r="AA315" s="131"/>
      <c r="AD315" s="131"/>
      <c r="AE315" s="131"/>
      <c r="AF315" s="131"/>
      <c r="AG315" s="131"/>
      <c r="AH315" s="131"/>
    </row>
    <row r="316" spans="2:34" hidden="1">
      <c r="B316" s="175"/>
      <c r="C316" s="180"/>
      <c r="D316" s="321"/>
      <c r="E316" s="309"/>
      <c r="F316" s="315"/>
      <c r="H316" s="290"/>
      <c r="I316" s="177"/>
      <c r="J316" s="296"/>
      <c r="K316" s="249"/>
      <c r="L316" s="250"/>
      <c r="M316" s="136"/>
      <c r="N316" s="136"/>
      <c r="O316" s="136"/>
      <c r="P316" s="136"/>
      <c r="Q316" s="136"/>
      <c r="R316" s="131"/>
      <c r="S316" s="131"/>
      <c r="T316" s="131"/>
      <c r="U316" s="131"/>
      <c r="W316" s="131"/>
      <c r="X316" s="131"/>
      <c r="Y316" s="131"/>
      <c r="Z316" s="131"/>
      <c r="AA316" s="131"/>
      <c r="AD316" s="131"/>
      <c r="AE316" s="131"/>
      <c r="AF316" s="131"/>
      <c r="AG316" s="131"/>
      <c r="AH316" s="131"/>
    </row>
    <row r="317" spans="2:34" hidden="1">
      <c r="B317" s="175"/>
      <c r="C317" s="180"/>
      <c r="D317" s="321"/>
      <c r="E317" s="309"/>
      <c r="F317" s="315"/>
      <c r="H317" s="290"/>
      <c r="I317" s="177"/>
      <c r="J317" s="296"/>
      <c r="K317" s="249"/>
      <c r="L317" s="250"/>
      <c r="M317" s="136"/>
      <c r="N317" s="136"/>
      <c r="O317" s="136"/>
      <c r="P317" s="136"/>
      <c r="Q317" s="136"/>
      <c r="R317" s="131"/>
      <c r="S317" s="131"/>
      <c r="T317" s="131"/>
      <c r="U317" s="131"/>
      <c r="W317" s="131"/>
      <c r="X317" s="131"/>
      <c r="Y317" s="131"/>
      <c r="Z317" s="131"/>
      <c r="AA317" s="131"/>
      <c r="AD317" s="131"/>
      <c r="AE317" s="131"/>
      <c r="AF317" s="131"/>
      <c r="AG317" s="131"/>
      <c r="AH317" s="131"/>
    </row>
    <row r="318" spans="2:34" hidden="1">
      <c r="B318" s="175"/>
      <c r="C318" s="180"/>
      <c r="D318" s="321"/>
      <c r="E318" s="309"/>
      <c r="F318" s="315"/>
      <c r="H318" s="290"/>
      <c r="I318" s="177"/>
      <c r="J318" s="296"/>
      <c r="K318" s="249"/>
      <c r="L318" s="250"/>
      <c r="M318" s="136"/>
      <c r="N318" s="136"/>
      <c r="O318" s="136"/>
      <c r="P318" s="136"/>
      <c r="Q318" s="136"/>
      <c r="R318" s="131"/>
      <c r="S318" s="131"/>
      <c r="T318" s="131"/>
      <c r="U318" s="131"/>
      <c r="W318" s="131"/>
      <c r="X318" s="131"/>
      <c r="Y318" s="131"/>
      <c r="Z318" s="131"/>
      <c r="AA318" s="131"/>
      <c r="AD318" s="131"/>
      <c r="AE318" s="131"/>
      <c r="AF318" s="131"/>
      <c r="AG318" s="131"/>
      <c r="AH318" s="131"/>
    </row>
    <row r="319" spans="2:34" hidden="1">
      <c r="B319" s="175"/>
      <c r="C319" s="180"/>
      <c r="D319" s="321"/>
      <c r="E319" s="309"/>
      <c r="F319" s="315"/>
      <c r="H319" s="290"/>
      <c r="I319" s="177"/>
      <c r="J319" s="296"/>
      <c r="K319" s="249"/>
      <c r="L319" s="250"/>
      <c r="M319" s="136"/>
      <c r="N319" s="136"/>
      <c r="O319" s="136"/>
      <c r="P319" s="136"/>
      <c r="Q319" s="136"/>
      <c r="R319" s="131"/>
      <c r="S319" s="131"/>
      <c r="T319" s="131"/>
      <c r="U319" s="131"/>
      <c r="W319" s="131"/>
      <c r="X319" s="131"/>
      <c r="Y319" s="131"/>
      <c r="Z319" s="131"/>
      <c r="AA319" s="131"/>
      <c r="AD319" s="131"/>
      <c r="AE319" s="131"/>
      <c r="AF319" s="131"/>
      <c r="AG319" s="131"/>
      <c r="AH319" s="131"/>
    </row>
    <row r="320" spans="2:34" hidden="1">
      <c r="B320" s="175"/>
      <c r="C320" s="180"/>
      <c r="D320" s="321"/>
      <c r="E320" s="309"/>
      <c r="F320" s="315"/>
      <c r="H320" s="290"/>
      <c r="I320" s="177"/>
      <c r="J320" s="296"/>
      <c r="K320" s="249"/>
      <c r="L320" s="250"/>
      <c r="M320" s="136"/>
      <c r="N320" s="136"/>
      <c r="O320" s="136"/>
      <c r="P320" s="136"/>
      <c r="Q320" s="136"/>
      <c r="R320" s="131"/>
      <c r="S320" s="131"/>
      <c r="T320" s="131"/>
      <c r="U320" s="131"/>
      <c r="W320" s="131"/>
      <c r="X320" s="131"/>
      <c r="Y320" s="131"/>
      <c r="Z320" s="131"/>
      <c r="AA320" s="131"/>
      <c r="AD320" s="131"/>
      <c r="AE320" s="131"/>
      <c r="AF320" s="131"/>
      <c r="AG320" s="131"/>
      <c r="AH320" s="131"/>
    </row>
    <row r="321" spans="2:34" hidden="1">
      <c r="B321" s="175"/>
      <c r="C321" s="180"/>
      <c r="D321" s="321"/>
      <c r="E321" s="309"/>
      <c r="F321" s="315"/>
      <c r="H321" s="290"/>
      <c r="I321" s="177"/>
      <c r="J321" s="296"/>
      <c r="K321" s="249"/>
      <c r="L321" s="250"/>
      <c r="M321" s="136"/>
      <c r="N321" s="136"/>
      <c r="O321" s="136"/>
      <c r="P321" s="136"/>
      <c r="Q321" s="136"/>
      <c r="R321" s="131"/>
      <c r="S321" s="131"/>
      <c r="T321" s="131"/>
      <c r="U321" s="131"/>
      <c r="W321" s="131"/>
      <c r="X321" s="131"/>
      <c r="Y321" s="131"/>
      <c r="Z321" s="131"/>
      <c r="AA321" s="131"/>
      <c r="AD321" s="131"/>
      <c r="AE321" s="131"/>
      <c r="AF321" s="131"/>
      <c r="AG321" s="131"/>
      <c r="AH321" s="131"/>
    </row>
    <row r="322" spans="2:34" hidden="1">
      <c r="B322" s="175"/>
      <c r="C322" s="180"/>
      <c r="D322" s="321"/>
      <c r="E322" s="309"/>
      <c r="F322" s="315"/>
      <c r="H322" s="290"/>
      <c r="I322" s="177"/>
      <c r="J322" s="296"/>
      <c r="K322" s="249"/>
      <c r="L322" s="250"/>
      <c r="M322" s="136"/>
      <c r="N322" s="136"/>
      <c r="O322" s="136"/>
      <c r="P322" s="136"/>
      <c r="Q322" s="136"/>
      <c r="R322" s="131"/>
      <c r="S322" s="131"/>
      <c r="T322" s="131"/>
      <c r="U322" s="131"/>
      <c r="W322" s="131"/>
      <c r="X322" s="131"/>
      <c r="Y322" s="131"/>
      <c r="Z322" s="131"/>
      <c r="AA322" s="131"/>
      <c r="AD322" s="131"/>
      <c r="AE322" s="131"/>
      <c r="AF322" s="131"/>
      <c r="AG322" s="131"/>
      <c r="AH322" s="131"/>
    </row>
    <row r="323" spans="2:34" hidden="1">
      <c r="B323" s="175"/>
      <c r="C323" s="180"/>
      <c r="D323" s="321"/>
      <c r="E323" s="309"/>
      <c r="F323" s="315"/>
      <c r="H323" s="290"/>
      <c r="I323" s="177"/>
      <c r="J323" s="296"/>
      <c r="K323" s="249"/>
      <c r="L323" s="250"/>
      <c r="M323" s="136"/>
      <c r="N323" s="136"/>
      <c r="O323" s="136"/>
      <c r="P323" s="136"/>
      <c r="Q323" s="136"/>
      <c r="R323" s="131"/>
      <c r="S323" s="131"/>
      <c r="T323" s="131"/>
      <c r="U323" s="131"/>
      <c r="W323" s="131"/>
      <c r="X323" s="131"/>
      <c r="Y323" s="131"/>
      <c r="Z323" s="131"/>
      <c r="AA323" s="131"/>
      <c r="AD323" s="131"/>
      <c r="AE323" s="131"/>
      <c r="AF323" s="131"/>
      <c r="AG323" s="131"/>
      <c r="AH323" s="131"/>
    </row>
    <row r="324" spans="2:34" hidden="1">
      <c r="B324" s="175"/>
      <c r="C324" s="180"/>
      <c r="D324" s="321"/>
      <c r="E324" s="309"/>
      <c r="F324" s="315"/>
      <c r="H324" s="290"/>
      <c r="I324" s="177"/>
      <c r="J324" s="296"/>
      <c r="K324" s="249"/>
      <c r="L324" s="250"/>
      <c r="M324" s="136"/>
      <c r="N324" s="136"/>
      <c r="O324" s="136"/>
      <c r="P324" s="136"/>
      <c r="Q324" s="136"/>
      <c r="R324" s="131"/>
      <c r="S324" s="131"/>
      <c r="T324" s="131"/>
      <c r="U324" s="131"/>
      <c r="W324" s="131"/>
      <c r="X324" s="131"/>
      <c r="Y324" s="131"/>
      <c r="Z324" s="131"/>
      <c r="AA324" s="131"/>
      <c r="AD324" s="131"/>
      <c r="AE324" s="131"/>
      <c r="AF324" s="131"/>
      <c r="AG324" s="131"/>
      <c r="AH324" s="131"/>
    </row>
    <row r="325" spans="2:34" hidden="1">
      <c r="B325" s="175"/>
      <c r="C325" s="180"/>
      <c r="D325" s="321"/>
      <c r="E325" s="309"/>
      <c r="F325" s="315"/>
      <c r="H325" s="290"/>
      <c r="I325" s="177"/>
      <c r="J325" s="296"/>
      <c r="K325" s="249"/>
      <c r="L325" s="250"/>
      <c r="M325" s="136"/>
      <c r="N325" s="136"/>
      <c r="O325" s="136"/>
      <c r="P325" s="136"/>
      <c r="Q325" s="136"/>
      <c r="R325" s="131"/>
      <c r="S325" s="131"/>
      <c r="T325" s="131"/>
      <c r="U325" s="131"/>
      <c r="W325" s="131"/>
      <c r="X325" s="131"/>
      <c r="Y325" s="131"/>
      <c r="Z325" s="131"/>
      <c r="AA325" s="131"/>
      <c r="AD325" s="131"/>
      <c r="AE325" s="131"/>
      <c r="AF325" s="131"/>
      <c r="AG325" s="131"/>
      <c r="AH325" s="131"/>
    </row>
    <row r="326" spans="2:34" hidden="1">
      <c r="B326" s="175"/>
      <c r="C326" s="180"/>
      <c r="D326" s="321"/>
      <c r="E326" s="309"/>
      <c r="F326" s="315"/>
      <c r="H326" s="290"/>
      <c r="I326" s="177"/>
      <c r="J326" s="296"/>
      <c r="K326" s="249"/>
      <c r="L326" s="250"/>
      <c r="M326" s="136"/>
      <c r="N326" s="136"/>
      <c r="O326" s="136"/>
      <c r="P326" s="136"/>
      <c r="Q326" s="136"/>
      <c r="R326" s="131"/>
      <c r="S326" s="131"/>
      <c r="T326" s="131"/>
      <c r="U326" s="131"/>
      <c r="W326" s="131"/>
      <c r="X326" s="131"/>
      <c r="Y326" s="131"/>
      <c r="Z326" s="131"/>
      <c r="AA326" s="131"/>
      <c r="AD326" s="131"/>
      <c r="AE326" s="131"/>
      <c r="AF326" s="131"/>
      <c r="AG326" s="131"/>
      <c r="AH326" s="131"/>
    </row>
    <row r="327" spans="2:34" hidden="1">
      <c r="B327" s="175"/>
      <c r="C327" s="180"/>
      <c r="D327" s="321"/>
      <c r="E327" s="309"/>
      <c r="F327" s="315"/>
      <c r="H327" s="290"/>
      <c r="I327" s="177"/>
      <c r="J327" s="296"/>
      <c r="K327" s="249"/>
      <c r="L327" s="250"/>
      <c r="M327" s="136"/>
      <c r="N327" s="136"/>
      <c r="O327" s="136"/>
      <c r="P327" s="136"/>
      <c r="Q327" s="136"/>
      <c r="R327" s="131"/>
      <c r="S327" s="131"/>
      <c r="T327" s="131"/>
      <c r="U327" s="131"/>
      <c r="W327" s="131"/>
      <c r="X327" s="131"/>
      <c r="Y327" s="131"/>
      <c r="Z327" s="131"/>
      <c r="AA327" s="131"/>
      <c r="AD327" s="131"/>
      <c r="AE327" s="131"/>
      <c r="AF327" s="131"/>
      <c r="AG327" s="131"/>
      <c r="AH327" s="131"/>
    </row>
    <row r="328" spans="2:34" hidden="1">
      <c r="B328" s="175"/>
      <c r="C328" s="180"/>
      <c r="D328" s="321"/>
      <c r="E328" s="309"/>
      <c r="F328" s="315"/>
      <c r="H328" s="290"/>
      <c r="I328" s="177"/>
      <c r="J328" s="296"/>
      <c r="K328" s="249"/>
      <c r="L328" s="250"/>
      <c r="M328" s="136"/>
      <c r="N328" s="136"/>
      <c r="O328" s="136"/>
      <c r="P328" s="136"/>
      <c r="Q328" s="136"/>
      <c r="R328" s="131"/>
      <c r="S328" s="131"/>
      <c r="T328" s="131"/>
      <c r="U328" s="131"/>
      <c r="W328" s="131"/>
      <c r="X328" s="131"/>
      <c r="Y328" s="131"/>
      <c r="Z328" s="131"/>
      <c r="AA328" s="131"/>
      <c r="AD328" s="131"/>
      <c r="AE328" s="131"/>
      <c r="AF328" s="131"/>
      <c r="AG328" s="131"/>
      <c r="AH328" s="131"/>
    </row>
    <row r="329" spans="2:34" hidden="1">
      <c r="B329" s="175"/>
      <c r="C329" s="180"/>
      <c r="D329" s="321"/>
      <c r="E329" s="309"/>
      <c r="F329" s="315"/>
      <c r="H329" s="290"/>
      <c r="I329" s="177"/>
      <c r="J329" s="296"/>
      <c r="K329" s="249"/>
      <c r="L329" s="250"/>
      <c r="M329" s="136"/>
      <c r="N329" s="136"/>
      <c r="O329" s="136"/>
      <c r="P329" s="136"/>
      <c r="Q329" s="136"/>
      <c r="R329" s="131"/>
      <c r="S329" s="131"/>
      <c r="T329" s="131"/>
      <c r="U329" s="131"/>
      <c r="W329" s="131"/>
      <c r="X329" s="131"/>
      <c r="Y329" s="131"/>
      <c r="Z329" s="131"/>
      <c r="AA329" s="131"/>
      <c r="AD329" s="131"/>
      <c r="AE329" s="131"/>
      <c r="AF329" s="131"/>
      <c r="AG329" s="131"/>
      <c r="AH329" s="131"/>
    </row>
    <row r="330" spans="2:34" hidden="1">
      <c r="B330" s="175"/>
      <c r="C330" s="180"/>
      <c r="D330" s="321"/>
      <c r="E330" s="309"/>
      <c r="F330" s="315"/>
      <c r="H330" s="290"/>
      <c r="I330" s="177"/>
      <c r="J330" s="296"/>
      <c r="K330" s="249"/>
      <c r="L330" s="250"/>
      <c r="M330" s="136"/>
      <c r="N330" s="136"/>
      <c r="O330" s="136"/>
      <c r="P330" s="136"/>
      <c r="Q330" s="136"/>
      <c r="R330" s="131"/>
      <c r="S330" s="131"/>
      <c r="T330" s="131"/>
      <c r="U330" s="131"/>
      <c r="W330" s="131"/>
      <c r="X330" s="131"/>
      <c r="Y330" s="131"/>
      <c r="Z330" s="131"/>
      <c r="AA330" s="131"/>
      <c r="AD330" s="131"/>
      <c r="AE330" s="131"/>
      <c r="AF330" s="131"/>
      <c r="AG330" s="131"/>
      <c r="AH330" s="131"/>
    </row>
    <row r="331" spans="2:34" hidden="1">
      <c r="B331" s="175"/>
      <c r="C331" s="180"/>
      <c r="D331" s="321"/>
      <c r="E331" s="309"/>
      <c r="F331" s="315"/>
      <c r="H331" s="290"/>
      <c r="I331" s="177"/>
      <c r="J331" s="296"/>
      <c r="K331" s="249"/>
      <c r="L331" s="250"/>
      <c r="M331" s="136"/>
      <c r="N331" s="136"/>
      <c r="O331" s="136"/>
      <c r="P331" s="136"/>
      <c r="Q331" s="136"/>
      <c r="U331" s="131"/>
      <c r="W331" s="131"/>
      <c r="X331" s="131"/>
      <c r="Y331" s="131"/>
      <c r="Z331" s="131"/>
      <c r="AA331" s="131"/>
      <c r="AD331" s="131"/>
      <c r="AE331" s="131"/>
      <c r="AF331" s="131"/>
      <c r="AG331" s="131"/>
      <c r="AH331" s="131"/>
    </row>
    <row r="332" spans="2:34" hidden="1">
      <c r="B332" s="175"/>
      <c r="C332" s="180"/>
      <c r="D332" s="321"/>
      <c r="E332" s="309"/>
      <c r="F332" s="315"/>
      <c r="H332" s="290"/>
      <c r="I332" s="177"/>
      <c r="J332" s="296"/>
      <c r="K332" s="249"/>
      <c r="L332" s="250"/>
      <c r="M332" s="136"/>
      <c r="N332" s="136"/>
      <c r="O332" s="136"/>
      <c r="P332" s="136"/>
      <c r="Q332" s="136"/>
      <c r="R332" s="131"/>
      <c r="S332" s="131"/>
      <c r="T332" s="131"/>
      <c r="U332" s="131"/>
      <c r="W332" s="131"/>
      <c r="X332" s="131"/>
      <c r="Y332" s="131"/>
      <c r="Z332" s="131"/>
      <c r="AA332" s="131"/>
      <c r="AD332" s="131"/>
      <c r="AE332" s="131"/>
      <c r="AF332" s="131"/>
      <c r="AG332" s="131"/>
      <c r="AH332" s="131"/>
    </row>
    <row r="333" spans="2:34" hidden="1">
      <c r="B333" s="175"/>
      <c r="C333" s="180"/>
      <c r="D333" s="321"/>
      <c r="E333" s="309"/>
      <c r="F333" s="315"/>
      <c r="H333" s="290"/>
      <c r="I333" s="177"/>
      <c r="J333" s="296"/>
      <c r="K333" s="249"/>
      <c r="L333" s="250"/>
      <c r="M333" s="136"/>
      <c r="N333" s="136"/>
      <c r="O333" s="136"/>
      <c r="P333" s="136"/>
      <c r="Q333" s="136"/>
      <c r="R333" s="131"/>
      <c r="S333" s="131"/>
      <c r="T333" s="131"/>
      <c r="U333" s="131"/>
      <c r="W333" s="131"/>
      <c r="X333" s="131"/>
      <c r="Y333" s="131"/>
      <c r="Z333" s="131"/>
      <c r="AA333" s="131"/>
      <c r="AD333" s="131"/>
      <c r="AE333" s="131"/>
      <c r="AF333" s="131"/>
      <c r="AG333" s="131"/>
      <c r="AH333" s="131"/>
    </row>
    <row r="334" spans="2:34" hidden="1">
      <c r="B334" s="175"/>
      <c r="C334" s="180"/>
      <c r="D334" s="321"/>
      <c r="E334" s="309"/>
      <c r="F334" s="315"/>
      <c r="H334" s="290"/>
      <c r="I334" s="177"/>
      <c r="J334" s="296"/>
      <c r="K334" s="249"/>
      <c r="L334" s="250"/>
      <c r="M334" s="136"/>
      <c r="N334" s="136"/>
      <c r="O334" s="136"/>
      <c r="P334" s="136"/>
      <c r="Q334" s="136"/>
      <c r="R334" s="131"/>
      <c r="S334" s="131"/>
      <c r="T334" s="131"/>
      <c r="U334" s="131"/>
      <c r="W334" s="131"/>
      <c r="X334" s="131"/>
      <c r="Y334" s="131"/>
      <c r="Z334" s="131"/>
      <c r="AA334" s="131"/>
      <c r="AD334" s="131"/>
      <c r="AE334" s="131"/>
      <c r="AF334" s="131"/>
      <c r="AG334" s="131"/>
      <c r="AH334" s="131"/>
    </row>
    <row r="335" spans="2:34" hidden="1">
      <c r="B335" s="175"/>
      <c r="C335" s="180"/>
      <c r="D335" s="321"/>
      <c r="E335" s="309"/>
      <c r="F335" s="315"/>
      <c r="H335" s="290"/>
      <c r="I335" s="177"/>
      <c r="J335" s="296"/>
      <c r="K335" s="249"/>
      <c r="L335" s="250"/>
      <c r="M335" s="136"/>
      <c r="N335" s="136"/>
      <c r="O335" s="136"/>
      <c r="P335" s="136"/>
      <c r="Q335" s="136"/>
      <c r="R335" s="131"/>
      <c r="S335" s="131"/>
      <c r="T335" s="131"/>
      <c r="U335" s="131"/>
      <c r="W335" s="131"/>
      <c r="X335" s="131"/>
      <c r="Y335" s="131"/>
      <c r="Z335" s="131"/>
      <c r="AA335" s="131"/>
      <c r="AD335" s="131"/>
      <c r="AE335" s="131"/>
      <c r="AF335" s="131"/>
      <c r="AG335" s="131"/>
      <c r="AH335" s="131"/>
    </row>
    <row r="336" spans="2:34" hidden="1">
      <c r="B336" s="175"/>
      <c r="C336" s="180"/>
      <c r="D336" s="321"/>
      <c r="E336" s="309"/>
      <c r="F336" s="315"/>
      <c r="H336" s="290"/>
      <c r="I336" s="177"/>
      <c r="J336" s="296"/>
      <c r="K336" s="249"/>
      <c r="L336" s="250"/>
      <c r="M336" s="136"/>
      <c r="N336" s="136"/>
      <c r="O336" s="136"/>
      <c r="P336" s="136"/>
      <c r="Q336" s="136"/>
      <c r="R336" s="131"/>
      <c r="S336" s="131"/>
      <c r="T336" s="131"/>
      <c r="U336" s="131"/>
      <c r="W336" s="131"/>
      <c r="X336" s="131"/>
      <c r="Y336" s="131"/>
      <c r="Z336" s="131"/>
      <c r="AA336" s="131"/>
      <c r="AD336" s="131"/>
      <c r="AE336" s="131"/>
      <c r="AF336" s="131"/>
      <c r="AG336" s="131"/>
      <c r="AH336" s="131"/>
    </row>
    <row r="337" spans="2:34" hidden="1">
      <c r="B337" s="175"/>
      <c r="C337" s="180"/>
      <c r="D337" s="321"/>
      <c r="E337" s="309"/>
      <c r="F337" s="315"/>
      <c r="H337" s="290"/>
      <c r="I337" s="177"/>
      <c r="J337" s="296"/>
      <c r="K337" s="249"/>
      <c r="L337" s="250"/>
      <c r="M337" s="136"/>
      <c r="N337" s="136"/>
      <c r="O337" s="136"/>
      <c r="P337" s="136"/>
      <c r="Q337" s="136"/>
      <c r="R337" s="131"/>
      <c r="S337" s="131"/>
      <c r="T337" s="131"/>
      <c r="U337" s="131"/>
      <c r="W337" s="131"/>
      <c r="X337" s="131"/>
      <c r="Y337" s="131"/>
      <c r="Z337" s="131"/>
      <c r="AA337" s="131"/>
      <c r="AD337" s="131"/>
      <c r="AE337" s="131"/>
      <c r="AF337" s="131"/>
      <c r="AG337" s="131"/>
      <c r="AH337" s="131"/>
    </row>
    <row r="338" spans="2:34" hidden="1">
      <c r="B338" s="175"/>
      <c r="C338" s="180"/>
      <c r="D338" s="321"/>
      <c r="E338" s="309"/>
      <c r="F338" s="315"/>
      <c r="H338" s="290"/>
      <c r="I338" s="177"/>
      <c r="J338" s="296"/>
      <c r="K338" s="249"/>
      <c r="L338" s="250"/>
      <c r="M338" s="136"/>
      <c r="N338" s="136"/>
      <c r="O338" s="136"/>
      <c r="P338" s="136"/>
      <c r="Q338" s="136"/>
      <c r="R338" s="131"/>
      <c r="S338" s="131"/>
      <c r="T338" s="131"/>
      <c r="U338" s="131"/>
      <c r="W338" s="131"/>
      <c r="X338" s="131"/>
      <c r="Y338" s="131"/>
      <c r="Z338" s="131"/>
      <c r="AA338" s="131"/>
      <c r="AD338" s="131"/>
      <c r="AE338" s="131"/>
      <c r="AF338" s="131"/>
      <c r="AG338" s="131"/>
      <c r="AH338" s="131"/>
    </row>
    <row r="339" spans="2:34" hidden="1">
      <c r="B339" s="175"/>
      <c r="C339" s="180"/>
      <c r="D339" s="321"/>
      <c r="E339" s="309"/>
      <c r="F339" s="315"/>
      <c r="H339" s="290"/>
      <c r="I339" s="177"/>
      <c r="J339" s="296"/>
      <c r="K339" s="249"/>
      <c r="L339" s="250"/>
      <c r="M339" s="136"/>
      <c r="N339" s="136"/>
      <c r="O339" s="136"/>
      <c r="P339" s="136"/>
      <c r="Q339" s="136"/>
      <c r="R339" s="131"/>
      <c r="S339" s="131"/>
      <c r="T339" s="131"/>
      <c r="U339" s="131"/>
      <c r="W339" s="131"/>
      <c r="X339" s="131"/>
      <c r="Y339" s="131"/>
      <c r="Z339" s="131"/>
      <c r="AA339" s="131"/>
      <c r="AD339" s="131"/>
      <c r="AE339" s="131"/>
      <c r="AF339" s="131"/>
      <c r="AG339" s="131"/>
      <c r="AH339" s="131"/>
    </row>
    <row r="340" spans="2:34" hidden="1">
      <c r="B340" s="175"/>
      <c r="C340" s="180"/>
      <c r="D340" s="321"/>
      <c r="E340" s="309"/>
      <c r="F340" s="315"/>
      <c r="H340" s="290"/>
      <c r="I340" s="177"/>
      <c r="J340" s="296"/>
      <c r="K340" s="249"/>
      <c r="L340" s="250"/>
      <c r="M340" s="136"/>
      <c r="N340" s="136"/>
      <c r="O340" s="136"/>
      <c r="P340" s="136"/>
      <c r="Q340" s="136"/>
      <c r="R340" s="131"/>
      <c r="S340" s="131"/>
      <c r="T340" s="131"/>
      <c r="U340" s="131"/>
      <c r="W340" s="131"/>
      <c r="X340" s="131"/>
      <c r="Y340" s="131"/>
      <c r="Z340" s="131"/>
      <c r="AA340" s="131"/>
      <c r="AD340" s="131"/>
      <c r="AE340" s="131"/>
      <c r="AF340" s="131"/>
      <c r="AG340" s="131"/>
      <c r="AH340" s="131"/>
    </row>
    <row r="341" spans="2:34" hidden="1">
      <c r="B341" s="175"/>
      <c r="C341" s="180"/>
      <c r="D341" s="321"/>
      <c r="E341" s="309"/>
      <c r="F341" s="315"/>
      <c r="H341" s="290"/>
      <c r="I341" s="177"/>
      <c r="J341" s="296"/>
      <c r="K341" s="249"/>
      <c r="L341" s="250"/>
      <c r="M341" s="136"/>
      <c r="N341" s="136"/>
      <c r="O341" s="136"/>
      <c r="P341" s="136"/>
      <c r="Q341" s="136"/>
      <c r="R341" s="131"/>
      <c r="S341" s="131"/>
      <c r="T341" s="131"/>
      <c r="U341" s="131"/>
      <c r="W341" s="131"/>
      <c r="X341" s="131"/>
      <c r="Y341" s="131"/>
      <c r="Z341" s="131"/>
      <c r="AA341" s="131"/>
      <c r="AD341" s="131"/>
      <c r="AE341" s="131"/>
      <c r="AF341" s="131"/>
      <c r="AG341" s="131"/>
      <c r="AH341" s="131"/>
    </row>
    <row r="342" spans="2:34" hidden="1">
      <c r="B342" s="175"/>
      <c r="C342" s="180"/>
      <c r="D342" s="321"/>
      <c r="F342" s="315"/>
      <c r="H342" s="290"/>
      <c r="I342" s="177"/>
      <c r="J342" s="296"/>
      <c r="K342" s="249"/>
      <c r="L342" s="250"/>
      <c r="M342" s="136"/>
      <c r="N342" s="136"/>
      <c r="O342" s="136"/>
      <c r="P342" s="136"/>
      <c r="Q342" s="136"/>
      <c r="R342" s="131"/>
      <c r="S342" s="131"/>
      <c r="T342" s="131"/>
      <c r="U342" s="131"/>
      <c r="W342" s="131"/>
      <c r="X342" s="131"/>
      <c r="Y342" s="131"/>
      <c r="Z342" s="131"/>
      <c r="AA342" s="131"/>
      <c r="AD342" s="131"/>
      <c r="AE342" s="131"/>
      <c r="AF342" s="131"/>
      <c r="AG342" s="131"/>
      <c r="AH342" s="131"/>
    </row>
    <row r="343" spans="2:34">
      <c r="B343" s="175"/>
      <c r="C343" s="180"/>
      <c r="D343" s="321"/>
      <c r="E343" s="309"/>
      <c r="F343" s="315"/>
      <c r="H343" s="290"/>
      <c r="I343" s="177"/>
      <c r="J343" s="296"/>
      <c r="K343" s="249"/>
      <c r="L343" s="250"/>
      <c r="M343" s="136"/>
      <c r="N343" s="136"/>
      <c r="O343" s="136"/>
      <c r="P343" s="136"/>
      <c r="Q343" s="136"/>
      <c r="U343" s="131"/>
      <c r="W343" s="131"/>
      <c r="X343" s="131"/>
      <c r="Y343" s="131"/>
      <c r="Z343" s="131"/>
      <c r="AA343" s="131"/>
      <c r="AD343" s="131"/>
      <c r="AE343" s="131"/>
      <c r="AF343" s="131"/>
      <c r="AG343" s="131"/>
      <c r="AH343" s="131"/>
    </row>
    <row r="344" spans="2:34">
      <c r="B344" s="175"/>
      <c r="C344" s="180"/>
      <c r="D344" s="321"/>
      <c r="E344" s="309"/>
      <c r="F344" s="315"/>
      <c r="H344" s="290"/>
      <c r="I344" s="177"/>
      <c r="J344" s="296"/>
      <c r="K344" s="249"/>
      <c r="L344" s="250"/>
      <c r="M344" s="136"/>
      <c r="N344" s="136"/>
      <c r="O344" s="136"/>
      <c r="P344" s="136"/>
      <c r="Q344" s="136"/>
      <c r="U344" s="131"/>
      <c r="W344" s="131"/>
      <c r="X344" s="131"/>
      <c r="Y344" s="131"/>
      <c r="Z344" s="131"/>
      <c r="AA344" s="131"/>
      <c r="AD344" s="131"/>
      <c r="AE344" s="131"/>
      <c r="AF344" s="131"/>
      <c r="AG344" s="131"/>
      <c r="AH344" s="131"/>
    </row>
    <row r="345" spans="2:34">
      <c r="B345" s="175"/>
      <c r="C345" s="180"/>
      <c r="D345" s="321"/>
      <c r="E345" s="309"/>
      <c r="F345" s="315"/>
      <c r="H345" s="290"/>
      <c r="I345" s="177"/>
      <c r="J345" s="296"/>
      <c r="K345" s="249"/>
      <c r="L345" s="250"/>
      <c r="M345" s="136"/>
      <c r="N345" s="136"/>
      <c r="O345" s="136"/>
      <c r="P345" s="136"/>
      <c r="Q345" s="136"/>
      <c r="U345" s="131"/>
      <c r="W345" s="131"/>
      <c r="X345" s="131"/>
      <c r="Y345" s="131"/>
      <c r="Z345" s="131"/>
      <c r="AA345" s="131"/>
      <c r="AD345" s="131"/>
      <c r="AE345" s="131"/>
      <c r="AF345" s="131"/>
      <c r="AG345" s="131"/>
      <c r="AH345" s="131"/>
    </row>
    <row r="346" spans="2:34">
      <c r="B346" s="175"/>
      <c r="C346" s="180"/>
      <c r="D346" s="321"/>
      <c r="E346" s="309"/>
      <c r="F346" s="315"/>
      <c r="H346" s="290"/>
      <c r="I346" s="177"/>
      <c r="J346" s="296"/>
      <c r="K346" s="249"/>
      <c r="L346" s="250"/>
      <c r="M346" s="136"/>
      <c r="N346" s="136"/>
      <c r="O346" s="136"/>
      <c r="P346" s="136"/>
      <c r="Q346" s="136"/>
      <c r="U346" s="131"/>
      <c r="W346" s="131"/>
      <c r="X346" s="131"/>
      <c r="Y346" s="131"/>
      <c r="Z346" s="131"/>
      <c r="AA346" s="131"/>
      <c r="AD346" s="131"/>
      <c r="AE346" s="131"/>
      <c r="AF346" s="131"/>
      <c r="AG346" s="131"/>
      <c r="AH346" s="131"/>
    </row>
  </sheetData>
  <autoFilter ref="A3:AH342" xr:uid="{D3C12567-11D1-4E03-BF3A-C3241947D3F1}">
    <filterColumn colId="0">
      <filters>
        <filter val="CABIN CREW CLASS"/>
      </filters>
    </filterColumn>
  </autoFilter>
  <mergeCells count="2">
    <mergeCell ref="U1:AA1"/>
    <mergeCell ref="AD1:AH1"/>
  </mergeCells>
  <phoneticPr fontId="16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FA5D-DCE5-44EC-A168-6C93ACA026AD}">
  <sheetPr>
    <tabColor theme="7" tint="0.59999389629810485"/>
  </sheetPr>
  <dimension ref="A1:H8"/>
  <sheetViews>
    <sheetView workbookViewId="0">
      <selection activeCell="H15" sqref="H15"/>
    </sheetView>
  </sheetViews>
  <sheetFormatPr defaultRowHeight="14.45"/>
  <cols>
    <col min="1" max="1" width="24.28515625" bestFit="1" customWidth="1"/>
    <col min="2" max="2" width="5.42578125" bestFit="1" customWidth="1"/>
    <col min="3" max="3" width="13.42578125" bestFit="1" customWidth="1"/>
    <col min="4" max="4" width="8" bestFit="1" customWidth="1"/>
    <col min="5" max="5" width="9.7109375" bestFit="1" customWidth="1"/>
    <col min="6" max="6" width="12.5703125" bestFit="1" customWidth="1"/>
    <col min="7" max="7" width="9.28515625" bestFit="1" customWidth="1"/>
    <col min="8" max="8" width="12.7109375" bestFit="1" customWidth="1"/>
  </cols>
  <sheetData>
    <row r="1" spans="1:8">
      <c r="A1" s="33" t="s">
        <v>203</v>
      </c>
      <c r="B1" s="33" t="s">
        <v>229</v>
      </c>
      <c r="C1" s="33" t="s">
        <v>230</v>
      </c>
      <c r="D1" s="33" t="s">
        <v>231</v>
      </c>
      <c r="E1" s="33" t="s">
        <v>232</v>
      </c>
      <c r="F1" s="33" t="s">
        <v>233</v>
      </c>
      <c r="G1" s="33" t="s">
        <v>234</v>
      </c>
      <c r="H1" s="33" t="s">
        <v>235</v>
      </c>
    </row>
    <row r="2" spans="1:8">
      <c r="A2" s="33" t="s">
        <v>154</v>
      </c>
      <c r="B2" s="33">
        <v>8</v>
      </c>
      <c r="C2" s="135">
        <f>IFERROR(SUMIF(Food!A:A,A2,Food!AA:AA),"")</f>
        <v>0</v>
      </c>
      <c r="D2" s="137">
        <f>+'FlightConfig '!B5</f>
        <v>0</v>
      </c>
      <c r="E2" s="135" t="str">
        <f t="shared" ref="E2:E7" si="0">IFERROR(C2/D2,"")</f>
        <v/>
      </c>
      <c r="F2" s="134">
        <f>'FlightConfig '!$K$3</f>
        <v>0</v>
      </c>
      <c r="G2" s="33">
        <f>F2*'FlightConfig '!B3</f>
        <v>0</v>
      </c>
      <c r="H2" s="135">
        <f>SUMIF(Food!A:A,A2,Food!AH:AH)</f>
        <v>0</v>
      </c>
    </row>
    <row r="3" spans="1:8">
      <c r="A3" s="33" t="s">
        <v>155</v>
      </c>
      <c r="B3" s="33">
        <v>8</v>
      </c>
      <c r="C3" s="135">
        <f>IFERROR(SUMIF(Food!A:A,A3,Food!AA:AA),"")</f>
        <v>1905.8851199999995</v>
      </c>
      <c r="D3" s="137">
        <f>+'FlightConfig '!C5</f>
        <v>29</v>
      </c>
      <c r="E3" s="135">
        <f t="shared" si="0"/>
        <v>65.720176551724123</v>
      </c>
      <c r="F3" s="134">
        <f>'FlightConfig '!$K$3</f>
        <v>0</v>
      </c>
      <c r="G3" s="33">
        <f>'FlightConfig '!C3*'Avg Per Flight'!F3</f>
        <v>0</v>
      </c>
      <c r="H3" s="135">
        <f>SUMIF(Food!A:A,A3,Food!AH:AH)</f>
        <v>57433.608959999954</v>
      </c>
    </row>
    <row r="4" spans="1:8">
      <c r="A4" s="33" t="s">
        <v>157</v>
      </c>
      <c r="B4" s="33">
        <v>8</v>
      </c>
      <c r="C4" s="135">
        <f>IFERROR(SUMIF(Food!A:A,A4,Food!AA:AA),"")</f>
        <v>3533.137099999999</v>
      </c>
      <c r="D4" s="137">
        <f>+'FlightConfig '!E5</f>
        <v>169</v>
      </c>
      <c r="E4" s="135">
        <f t="shared" si="0"/>
        <v>20.906136686390525</v>
      </c>
      <c r="F4" s="134">
        <f>'FlightConfig '!$K$3</f>
        <v>0</v>
      </c>
      <c r="G4" s="33">
        <f>F4*'FlightConfig '!E3</f>
        <v>0</v>
      </c>
      <c r="H4" s="135">
        <f>SUMIF(Food!A:A,A4,Food!AH:AH)</f>
        <v>82698.797999999922</v>
      </c>
    </row>
    <row r="5" spans="1:8">
      <c r="A5" s="33" t="s">
        <v>188</v>
      </c>
      <c r="B5" s="33">
        <v>8</v>
      </c>
      <c r="C5" s="135">
        <f>IFERROR(SUMIF(Food!A:A,A5,Food!AA:AA),"")</f>
        <v>606.53880000000004</v>
      </c>
      <c r="D5" s="137">
        <f>+'FlightConfig '!G5</f>
        <v>6</v>
      </c>
      <c r="E5" s="135">
        <f t="shared" si="0"/>
        <v>101.08980000000001</v>
      </c>
      <c r="F5" s="134">
        <f>'FlightConfig '!$K$3</f>
        <v>0</v>
      </c>
      <c r="G5" s="33">
        <f>F5*'FlightConfig '!G3</f>
        <v>0</v>
      </c>
      <c r="H5" s="135">
        <f>SUMIF(Food!A:A,A5,Food!AH:AH)</f>
        <v>17563.291199999992</v>
      </c>
    </row>
    <row r="6" spans="1:8">
      <c r="A6" s="33" t="s">
        <v>156</v>
      </c>
      <c r="B6" s="33">
        <v>8</v>
      </c>
      <c r="C6" s="135">
        <f>IFERROR(SUMIF(Food!A:A,A6,Food!AA:AA),"")</f>
        <v>2005.3364199999996</v>
      </c>
      <c r="D6" s="137">
        <f>+'FlightConfig '!D5</f>
        <v>41</v>
      </c>
      <c r="E6" s="135">
        <f t="shared" si="0"/>
        <v>48.910644390243895</v>
      </c>
      <c r="F6" s="134">
        <f>'FlightConfig '!$K$3</f>
        <v>0</v>
      </c>
      <c r="G6" s="33">
        <f>F6*'FlightConfig '!D3</f>
        <v>0</v>
      </c>
      <c r="H6" s="135">
        <f>SUMIF(Food!A:A,A6,Food!AH:AH)</f>
        <v>57158.490479999942</v>
      </c>
    </row>
    <row r="7" spans="1:8">
      <c r="A7" s="33" t="s">
        <v>158</v>
      </c>
      <c r="B7" s="33">
        <v>8</v>
      </c>
      <c r="C7" s="135">
        <f>IFERROR(SUMIF(Food!A:A,A7,Food!AA:AA),"")</f>
        <v>0</v>
      </c>
      <c r="D7" s="137">
        <f>+'FlightConfig '!F5</f>
        <v>0</v>
      </c>
      <c r="E7" s="135" t="str">
        <f t="shared" si="0"/>
        <v/>
      </c>
      <c r="F7" s="134">
        <f>'FlightConfig '!$K$3</f>
        <v>0</v>
      </c>
      <c r="G7" s="33">
        <f>F7*2</f>
        <v>0</v>
      </c>
      <c r="H7" s="135">
        <f>SUMIF(Food!A:A,A7,Food!AH:AH)</f>
        <v>0</v>
      </c>
    </row>
    <row r="8" spans="1:8">
      <c r="A8" s="33" t="s">
        <v>236</v>
      </c>
      <c r="B8" s="33">
        <v>8</v>
      </c>
      <c r="C8" s="33">
        <f>IFERROR(SUMIF(Food!A:A,A8,Food!AA:AA),"")</f>
        <v>0</v>
      </c>
      <c r="D8" s="138">
        <v>1</v>
      </c>
      <c r="E8" s="33">
        <f>IFERROR(C8*D8,"")</f>
        <v>0</v>
      </c>
      <c r="F8" s="134">
        <f>'FlightConfig '!$K$3</f>
        <v>0</v>
      </c>
      <c r="G8" s="33">
        <v>312</v>
      </c>
      <c r="H8" s="135">
        <f>SUMIF(Food!A:A,A8,Food!AH:AH)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7BAF-6FA8-460C-A616-6ED76DBB8C43}">
  <sheetPr>
    <tabColor theme="7" tint="0.59999389629810485"/>
  </sheetPr>
  <dimension ref="A1:AD104"/>
  <sheetViews>
    <sheetView topLeftCell="A74" zoomScale="85" zoomScaleNormal="85" workbookViewId="0">
      <selection activeCell="C49" sqref="C49"/>
    </sheetView>
  </sheetViews>
  <sheetFormatPr defaultColWidth="8.7109375" defaultRowHeight="14.45"/>
  <cols>
    <col min="1" max="1" width="21.42578125" style="35" bestFit="1" customWidth="1"/>
    <col min="2" max="2" width="13.42578125" style="35" customWidth="1"/>
    <col min="3" max="3" width="22.85546875" style="35" customWidth="1"/>
    <col min="4" max="4" width="13.5703125" style="35" bestFit="1" customWidth="1"/>
    <col min="5" max="5" width="14.28515625" style="35" bestFit="1" customWidth="1"/>
    <col min="6" max="6" width="14.7109375" style="35" bestFit="1" customWidth="1"/>
    <col min="7" max="7" width="9.42578125" style="35" bestFit="1" customWidth="1"/>
    <col min="8" max="13" width="9.42578125" style="35" customWidth="1"/>
    <col min="14" max="14" width="10.7109375" style="35" customWidth="1"/>
    <col min="15" max="15" width="29.7109375" style="35" bestFit="1" customWidth="1"/>
    <col min="16" max="16" width="14.7109375" style="35" customWidth="1"/>
    <col min="17" max="18" width="11" style="35" bestFit="1" customWidth="1"/>
    <col min="19" max="19" width="11" style="35" customWidth="1"/>
    <col min="20" max="20" width="11.28515625" style="35" customWidth="1"/>
    <col min="21" max="21" width="43.28515625" style="35" bestFit="1" customWidth="1"/>
    <col min="22" max="22" width="9.85546875" style="35" bestFit="1" customWidth="1"/>
    <col min="23" max="27" width="8.7109375" style="35"/>
    <col min="28" max="28" width="14.5703125" style="35" bestFit="1" customWidth="1"/>
    <col min="29" max="29" width="15.7109375" style="35" bestFit="1" customWidth="1"/>
    <col min="30" max="16384" width="8.7109375" style="35"/>
  </cols>
  <sheetData>
    <row r="1" spans="1:21" hidden="1">
      <c r="A1" s="34" t="s">
        <v>237</v>
      </c>
    </row>
    <row r="2" spans="1:21" hidden="1">
      <c r="A2" s="34"/>
      <c r="B2" s="284" t="s">
        <v>238</v>
      </c>
    </row>
    <row r="3" spans="1:21" ht="15" hidden="1" thickBot="1">
      <c r="A3" s="36" t="s">
        <v>239</v>
      </c>
      <c r="B3" s="37" t="s">
        <v>149</v>
      </c>
      <c r="D3" s="6" t="s">
        <v>190</v>
      </c>
      <c r="E3" s="6">
        <f>'FlightConfig '!B1</f>
        <v>350</v>
      </c>
      <c r="F3" s="38"/>
      <c r="G3" s="38"/>
      <c r="H3" s="38"/>
      <c r="I3" s="38"/>
      <c r="J3" s="38"/>
      <c r="K3" s="38"/>
      <c r="L3" s="38"/>
      <c r="M3" s="38"/>
      <c r="N3" s="38"/>
      <c r="O3" s="39"/>
    </row>
    <row r="4" spans="1:21" hidden="1">
      <c r="A4" s="40" t="s">
        <v>240</v>
      </c>
      <c r="B4" s="41">
        <f>+E3</f>
        <v>350</v>
      </c>
      <c r="C4" s="299" t="s">
        <v>241</v>
      </c>
      <c r="D4" s="11" t="s">
        <v>149</v>
      </c>
      <c r="E4" s="42" t="s">
        <v>43</v>
      </c>
      <c r="F4" s="42" t="s">
        <v>44</v>
      </c>
      <c r="G4" s="42" t="s">
        <v>193</v>
      </c>
      <c r="H4" s="42"/>
      <c r="I4" s="42"/>
      <c r="J4" s="42"/>
      <c r="K4" s="42"/>
      <c r="L4" s="42"/>
      <c r="M4" s="42"/>
      <c r="N4" s="42" t="s">
        <v>48</v>
      </c>
      <c r="O4" s="42" t="s">
        <v>150</v>
      </c>
    </row>
    <row r="5" spans="1:21" ht="15" hidden="1" thickBot="1">
      <c r="A5" s="43" t="s">
        <v>242</v>
      </c>
      <c r="B5" s="124">
        <f>+'FlightConfig '!K2</f>
        <v>0</v>
      </c>
      <c r="D5" s="14" t="s">
        <v>152</v>
      </c>
      <c r="E5" s="44">
        <f>'FlightConfig '!B3</f>
        <v>0</v>
      </c>
      <c r="F5" s="44">
        <f>'FlightConfig '!C3</f>
        <v>34</v>
      </c>
      <c r="G5" s="44">
        <f>'FlightConfig '!D3</f>
        <v>48</v>
      </c>
      <c r="H5" s="44"/>
      <c r="I5" s="44"/>
      <c r="J5" s="44"/>
      <c r="K5" s="44"/>
      <c r="L5" s="44"/>
      <c r="M5" s="44"/>
      <c r="N5" s="44">
        <f>'FlightConfig '!G3+'FlightConfig '!F11</f>
        <v>7</v>
      </c>
      <c r="O5" s="44">
        <f>SUM(E5:N5)</f>
        <v>89</v>
      </c>
    </row>
    <row r="6" spans="1:21" hidden="1"/>
    <row r="7" spans="1:21" hidden="1">
      <c r="A7" s="34" t="s">
        <v>243</v>
      </c>
    </row>
    <row r="8" spans="1:21" hidden="1">
      <c r="A8" s="266" t="s">
        <v>244</v>
      </c>
      <c r="B8" s="267" t="s">
        <v>245</v>
      </c>
      <c r="C8" s="267" t="s">
        <v>246</v>
      </c>
      <c r="D8" s="267" t="s">
        <v>247</v>
      </c>
      <c r="E8" s="267" t="s">
        <v>248</v>
      </c>
      <c r="F8" s="267" t="s">
        <v>249</v>
      </c>
      <c r="G8" s="267" t="s">
        <v>250</v>
      </c>
      <c r="H8" s="267"/>
      <c r="I8" s="267"/>
      <c r="J8" s="267"/>
      <c r="K8" s="267"/>
      <c r="L8" s="267"/>
      <c r="M8" s="267"/>
      <c r="N8" s="267" t="s">
        <v>251</v>
      </c>
      <c r="O8" s="268" t="s">
        <v>252</v>
      </c>
      <c r="Q8" s="34"/>
    </row>
    <row r="9" spans="1:21" hidden="1">
      <c r="A9" s="269" t="s">
        <v>253</v>
      </c>
      <c r="B9" s="270">
        <v>1</v>
      </c>
      <c r="C9" s="270">
        <v>1</v>
      </c>
      <c r="D9" s="270">
        <f>$B$5*B9</f>
        <v>0</v>
      </c>
      <c r="E9" s="270">
        <f>C9*D9*52</f>
        <v>0</v>
      </c>
      <c r="F9" s="271">
        <v>18</v>
      </c>
      <c r="G9" s="272" t="e">
        <f>F9*#REF!</f>
        <v>#REF!</v>
      </c>
      <c r="H9" s="272"/>
      <c r="I9" s="272"/>
      <c r="J9" s="272"/>
      <c r="K9" s="272"/>
      <c r="L9" s="272"/>
      <c r="M9" s="272"/>
      <c r="N9" s="272" t="e">
        <f>E9*#REF!</f>
        <v>#REF!</v>
      </c>
      <c r="O9" s="278" t="e">
        <f>(B9*#REF!)*C9</f>
        <v>#REF!</v>
      </c>
      <c r="P9" s="284"/>
      <c r="Q9" s="50" t="s">
        <v>254</v>
      </c>
      <c r="R9" s="49"/>
      <c r="S9" s="49"/>
      <c r="T9" s="49"/>
      <c r="U9" s="50"/>
    </row>
    <row r="10" spans="1:21" hidden="1">
      <c r="A10" s="48" t="s">
        <v>255</v>
      </c>
      <c r="B10" s="49">
        <v>2</v>
      </c>
      <c r="C10" s="49">
        <v>2</v>
      </c>
      <c r="D10" s="49">
        <f>$B$5*B10</f>
        <v>0</v>
      </c>
      <c r="E10" s="49">
        <f>C10*D10*52</f>
        <v>0</v>
      </c>
      <c r="F10" s="273">
        <v>17</v>
      </c>
      <c r="G10" s="50" t="e">
        <f>F10*#REF!</f>
        <v>#REF!</v>
      </c>
      <c r="H10" s="50"/>
      <c r="I10" s="50"/>
      <c r="J10" s="50"/>
      <c r="K10" s="50"/>
      <c r="L10" s="50"/>
      <c r="M10" s="50"/>
      <c r="N10" s="50" t="e">
        <f>E10*#REF!</f>
        <v>#REF!</v>
      </c>
      <c r="O10" s="279" t="e">
        <f>(B10*#REF!)*C10</f>
        <v>#REF!</v>
      </c>
      <c r="P10" s="284"/>
      <c r="Q10" s="50" t="s">
        <v>256</v>
      </c>
      <c r="R10" s="49"/>
      <c r="S10" s="49"/>
      <c r="T10" s="49"/>
      <c r="U10" s="50"/>
    </row>
    <row r="11" spans="1:21" hidden="1">
      <c r="A11" s="48" t="s">
        <v>257</v>
      </c>
      <c r="B11" s="49">
        <v>1</v>
      </c>
      <c r="C11" s="300">
        <v>2</v>
      </c>
      <c r="D11" s="49">
        <f>$B$5*B11</f>
        <v>0</v>
      </c>
      <c r="E11" s="49">
        <f>C11*D11*52</f>
        <v>0</v>
      </c>
      <c r="F11" s="273">
        <v>18</v>
      </c>
      <c r="G11" s="50" t="e">
        <f>F11*#REF!</f>
        <v>#REF!</v>
      </c>
      <c r="H11" s="50"/>
      <c r="I11" s="50"/>
      <c r="J11" s="50"/>
      <c r="K11" s="50"/>
      <c r="L11" s="50"/>
      <c r="M11" s="50"/>
      <c r="N11" s="50" t="e">
        <f>E11*#REF!</f>
        <v>#REF!</v>
      </c>
      <c r="O11" s="279" t="e">
        <f>(B11*#REF!)*C11</f>
        <v>#REF!</v>
      </c>
      <c r="P11" s="51"/>
      <c r="Q11" s="318" t="s">
        <v>258</v>
      </c>
      <c r="R11" s="318" t="s">
        <v>259</v>
      </c>
      <c r="S11" s="318"/>
      <c r="T11" s="318" t="s">
        <v>260</v>
      </c>
      <c r="U11" s="318" t="s">
        <v>261</v>
      </c>
    </row>
    <row r="12" spans="1:21" hidden="1">
      <c r="A12" s="48" t="s">
        <v>262</v>
      </c>
      <c r="B12" s="49">
        <v>1</v>
      </c>
      <c r="C12" s="49">
        <v>0.5</v>
      </c>
      <c r="D12" s="49">
        <f>$B$5*B12</f>
        <v>0</v>
      </c>
      <c r="E12" s="49">
        <f>C12*D12*52</f>
        <v>0</v>
      </c>
      <c r="F12" s="273">
        <v>19</v>
      </c>
      <c r="G12" s="50" t="e">
        <f>F12*#REF!</f>
        <v>#REF!</v>
      </c>
      <c r="H12" s="50"/>
      <c r="I12" s="50"/>
      <c r="J12" s="50"/>
      <c r="K12" s="50"/>
      <c r="L12" s="50"/>
      <c r="M12" s="50"/>
      <c r="N12" s="50" t="e">
        <f>E12*#REF!</f>
        <v>#REF!</v>
      </c>
      <c r="O12" s="279" t="e">
        <f>(B12*#REF!)*C12</f>
        <v>#REF!</v>
      </c>
      <c r="P12" s="284"/>
      <c r="Q12" s="318" t="e">
        <f>#REF!/2</f>
        <v>#REF!</v>
      </c>
      <c r="R12" s="318">
        <v>12</v>
      </c>
      <c r="S12" s="318"/>
      <c r="T12" s="318" t="e">
        <f>Q12+R12</f>
        <v>#REF!</v>
      </c>
      <c r="U12" s="319" t="e">
        <f>T12+#REF!</f>
        <v>#REF!</v>
      </c>
    </row>
    <row r="13" spans="1:21" ht="15" hidden="1" thickBot="1">
      <c r="A13" s="59" t="s">
        <v>263</v>
      </c>
      <c r="B13" s="60">
        <v>1</v>
      </c>
      <c r="C13" s="60">
        <v>2</v>
      </c>
      <c r="D13" s="60">
        <f>$B$5*B13</f>
        <v>0</v>
      </c>
      <c r="E13" s="60">
        <f>C13*D13*52</f>
        <v>0</v>
      </c>
      <c r="F13" s="280">
        <v>22</v>
      </c>
      <c r="G13" s="61" t="e">
        <f>F13*#REF!</f>
        <v>#REF!</v>
      </c>
      <c r="H13" s="61"/>
      <c r="I13" s="61"/>
      <c r="J13" s="61"/>
      <c r="K13" s="61"/>
      <c r="L13" s="61"/>
      <c r="M13" s="61"/>
      <c r="N13" s="61" t="e">
        <f>E13*#REF!</f>
        <v>#REF!</v>
      </c>
      <c r="O13" s="281" t="e">
        <f>(B13*#REF!)*C13</f>
        <v>#REF!</v>
      </c>
      <c r="Q13" s="51"/>
      <c r="R13" s="51"/>
      <c r="S13" s="51"/>
    </row>
    <row r="14" spans="1:21" ht="15" hidden="1" thickBot="1">
      <c r="A14" s="274" t="s">
        <v>264</v>
      </c>
      <c r="B14" s="275"/>
      <c r="C14" s="275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6" t="e">
        <f>SUM(N9:N13)</f>
        <v>#REF!</v>
      </c>
      <c r="O14" s="277" t="e">
        <f>SUM(O9:O13)</f>
        <v>#REF!</v>
      </c>
    </row>
    <row r="15" spans="1:21" hidden="1"/>
    <row r="16" spans="1:21" hidden="1"/>
    <row r="17" spans="1:20" hidden="1">
      <c r="A17" s="45" t="s">
        <v>265</v>
      </c>
      <c r="B17" s="46" t="s">
        <v>266</v>
      </c>
      <c r="C17" s="46" t="s">
        <v>267</v>
      </c>
      <c r="D17" s="46" t="s">
        <v>268</v>
      </c>
      <c r="E17" s="46" t="s">
        <v>269</v>
      </c>
      <c r="F17" s="46" t="s">
        <v>270</v>
      </c>
      <c r="G17" s="56" t="s">
        <v>271</v>
      </c>
      <c r="H17" s="56"/>
      <c r="I17" s="56"/>
      <c r="J17" s="56"/>
      <c r="K17" s="56"/>
      <c r="L17" s="56"/>
      <c r="M17" s="56"/>
      <c r="N17" s="46" t="s">
        <v>272</v>
      </c>
      <c r="O17" s="57"/>
      <c r="P17" s="56" t="s">
        <v>273</v>
      </c>
      <c r="Q17" s="47" t="s">
        <v>212</v>
      </c>
      <c r="T17" s="341" t="s">
        <v>274</v>
      </c>
    </row>
    <row r="18" spans="1:20" hidden="1">
      <c r="A18" s="48" t="s">
        <v>275</v>
      </c>
      <c r="B18" s="49">
        <v>0</v>
      </c>
      <c r="C18" s="49">
        <v>0</v>
      </c>
      <c r="D18" s="49">
        <f>B18*C18</f>
        <v>0</v>
      </c>
      <c r="E18" s="50">
        <f>500000/10/365</f>
        <v>136.98630136986301</v>
      </c>
      <c r="F18" s="49">
        <f>24/3</f>
        <v>8</v>
      </c>
      <c r="G18" s="55">
        <f>(E18/24)*F18*$B18</f>
        <v>0</v>
      </c>
      <c r="H18" s="55"/>
      <c r="I18" s="55"/>
      <c r="J18" s="55"/>
      <c r="K18" s="55"/>
      <c r="L18" s="55"/>
      <c r="M18" s="55"/>
      <c r="N18" s="50">
        <f>8000/365</f>
        <v>21.917808219178081</v>
      </c>
      <c r="O18" s="49"/>
      <c r="P18" s="55">
        <f>(N18/24)*$G18*$C18</f>
        <v>0</v>
      </c>
      <c r="Q18" s="58" t="e">
        <f>G18+#REF!+P18</f>
        <v>#REF!</v>
      </c>
      <c r="T18" s="52" t="s">
        <v>276</v>
      </c>
    </row>
    <row r="19" spans="1:20" ht="15" hidden="1" thickBot="1">
      <c r="A19" s="59" t="s">
        <v>277</v>
      </c>
      <c r="B19" s="60">
        <v>1</v>
      </c>
      <c r="C19" s="60">
        <v>2</v>
      </c>
      <c r="D19" s="60">
        <f>B19*C19</f>
        <v>2</v>
      </c>
      <c r="E19" s="61">
        <f>100000/365</f>
        <v>273.97260273972603</v>
      </c>
      <c r="F19" s="60">
        <v>1</v>
      </c>
      <c r="G19" s="62">
        <f>E19*F19/'[1]P&amp;L'!$P$2</f>
        <v>7.2098053352559477</v>
      </c>
      <c r="H19" s="62"/>
      <c r="I19" s="62"/>
      <c r="J19" s="62"/>
      <c r="K19" s="62"/>
      <c r="L19" s="62"/>
      <c r="M19" s="62"/>
      <c r="N19" s="61">
        <f>5000/365</f>
        <v>13.698630136986301</v>
      </c>
      <c r="O19" s="60"/>
      <c r="P19" s="62">
        <f>(N19/24)*$F19*$B19</f>
        <v>0.57077625570776258</v>
      </c>
      <c r="Q19" s="63" t="e">
        <f>G19+#REF!+P19</f>
        <v>#REF!</v>
      </c>
      <c r="T19" s="53" t="s">
        <v>278</v>
      </c>
    </row>
    <row r="20" spans="1:20" hidden="1">
      <c r="T20" s="53" t="s">
        <v>279</v>
      </c>
    </row>
    <row r="21" spans="1:20" hidden="1">
      <c r="T21" s="53" t="s">
        <v>280</v>
      </c>
    </row>
    <row r="22" spans="1:20" hidden="1">
      <c r="A22" s="36" t="s">
        <v>281</v>
      </c>
      <c r="B22" s="65"/>
      <c r="C22" s="66" t="e">
        <f>SUM(O14,Q18,Q19)</f>
        <v>#REF!</v>
      </c>
      <c r="Q22" s="51"/>
      <c r="T22" s="53" t="s">
        <v>282</v>
      </c>
    </row>
    <row r="23" spans="1:20" hidden="1">
      <c r="A23" s="40" t="s">
        <v>283</v>
      </c>
      <c r="B23" s="64">
        <f>+'P&amp;L'!$R$10</f>
        <v>0.13</v>
      </c>
      <c r="C23" s="58" t="e">
        <f>C22*B23</f>
        <v>#REF!</v>
      </c>
      <c r="E23" s="35" t="s">
        <v>284</v>
      </c>
      <c r="F23" s="35" t="s">
        <v>285</v>
      </c>
      <c r="T23" s="54" t="s">
        <v>286</v>
      </c>
    </row>
    <row r="24" spans="1:20" ht="15" hidden="1" thickBot="1">
      <c r="A24" s="67" t="s">
        <v>287</v>
      </c>
      <c r="B24" s="68"/>
      <c r="C24" s="69" t="e">
        <f>C22+C23</f>
        <v>#REF!</v>
      </c>
      <c r="D24" s="35" t="s">
        <v>288</v>
      </c>
      <c r="E24" s="301">
        <v>544.68493150684924</v>
      </c>
      <c r="F24" s="301">
        <v>399.93493150684935</v>
      </c>
    </row>
    <row r="25" spans="1:20" hidden="1"/>
    <row r="26" spans="1:20" hidden="1"/>
    <row r="27" spans="1:20" hidden="1"/>
    <row r="28" spans="1:20" ht="15" hidden="1" thickBot="1">
      <c r="A28" s="70" t="s">
        <v>289</v>
      </c>
    </row>
    <row r="29" spans="1:20" hidden="1">
      <c r="A29" s="35" t="s">
        <v>290</v>
      </c>
    </row>
    <row r="30" spans="1:20" hidden="1">
      <c r="A30" s="35" t="s">
        <v>291</v>
      </c>
    </row>
    <row r="31" spans="1:20" hidden="1">
      <c r="A31" s="35" t="s">
        <v>292</v>
      </c>
    </row>
    <row r="32" spans="1:20" ht="33" hidden="1" customHeight="1"/>
    <row r="33" spans="1:30" customFormat="1" hidden="1"/>
    <row r="34" spans="1:30" customFormat="1" hidden="1"/>
    <row r="35" spans="1:30" customFormat="1" hidden="1"/>
    <row r="36" spans="1:30" customFormat="1" ht="60" customHeight="1">
      <c r="A36" s="446" t="s">
        <v>293</v>
      </c>
      <c r="B36" s="446"/>
      <c r="C36" s="446"/>
      <c r="D36" s="446"/>
      <c r="E36" s="446"/>
      <c r="F36" s="446"/>
      <c r="G36" s="446"/>
      <c r="H36" s="393"/>
      <c r="I36" s="393"/>
      <c r="J36" s="393"/>
      <c r="K36" s="393"/>
      <c r="L36" s="393"/>
      <c r="M36" s="393"/>
      <c r="O36" s="446" t="s">
        <v>294</v>
      </c>
      <c r="P36" s="446"/>
      <c r="Q36" s="446"/>
      <c r="R36" s="446"/>
      <c r="S36" s="393"/>
      <c r="U36" s="449" t="s">
        <v>295</v>
      </c>
      <c r="V36" s="449"/>
      <c r="W36" s="449"/>
      <c r="X36" s="449"/>
      <c r="Y36" s="449"/>
      <c r="Z36" s="449"/>
      <c r="AB36" s="445" t="s">
        <v>296</v>
      </c>
      <c r="AC36" s="445"/>
    </row>
    <row r="37" spans="1:30" customFormat="1" ht="87" customHeight="1">
      <c r="A37" s="450" t="s">
        <v>297</v>
      </c>
      <c r="B37" s="451"/>
      <c r="C37" s="456" t="s">
        <v>298</v>
      </c>
      <c r="D37" s="457"/>
      <c r="E37" s="457"/>
      <c r="F37" s="457"/>
      <c r="G37" s="457"/>
      <c r="H37" s="395"/>
      <c r="I37" s="395"/>
      <c r="J37" s="395"/>
      <c r="K37" s="395"/>
      <c r="L37" s="395"/>
      <c r="M37" s="395"/>
      <c r="O37" s="360" t="s">
        <v>299</v>
      </c>
      <c r="P37" s="360" t="s">
        <v>300</v>
      </c>
      <c r="Q37" s="360" t="s">
        <v>301</v>
      </c>
      <c r="R37" s="367" t="s">
        <v>302</v>
      </c>
      <c r="S37" s="394"/>
      <c r="U37" s="447" t="s">
        <v>303</v>
      </c>
      <c r="V37" s="448"/>
      <c r="W37" s="448"/>
      <c r="X37" s="448"/>
      <c r="Y37" s="448"/>
      <c r="Z37" s="448"/>
      <c r="AB37" s="447" t="s">
        <v>303</v>
      </c>
      <c r="AC37" s="448"/>
    </row>
    <row r="38" spans="1:30" customFormat="1" ht="15.6" customHeight="1">
      <c r="A38" s="452"/>
      <c r="B38" s="453"/>
      <c r="C38" s="458" t="s">
        <v>304</v>
      </c>
      <c r="D38" s="458" t="s">
        <v>305</v>
      </c>
      <c r="E38" s="458" t="s">
        <v>306</v>
      </c>
      <c r="F38" s="458" t="s">
        <v>307</v>
      </c>
      <c r="G38" s="458" t="s">
        <v>308</v>
      </c>
      <c r="H38" s="396"/>
      <c r="I38" s="396"/>
      <c r="J38" s="396"/>
      <c r="K38" s="396"/>
      <c r="L38" s="396"/>
      <c r="M38" s="396"/>
      <c r="O38" s="361" t="s">
        <v>309</v>
      </c>
      <c r="P38" s="362"/>
      <c r="Q38" s="362"/>
      <c r="R38" s="362"/>
      <c r="S38" s="390">
        <f>'P&amp;L'!$R$10</f>
        <v>0.13</v>
      </c>
      <c r="U38" s="368" t="s">
        <v>310</v>
      </c>
      <c r="V38" s="369" t="s">
        <v>304</v>
      </c>
      <c r="W38" s="369" t="s">
        <v>305</v>
      </c>
      <c r="X38" s="369" t="s">
        <v>306</v>
      </c>
      <c r="Y38" s="369" t="s">
        <v>307</v>
      </c>
      <c r="Z38" s="369" t="s">
        <v>308</v>
      </c>
      <c r="AB38" s="387" t="s">
        <v>190</v>
      </c>
      <c r="AC38" s="387" t="s">
        <v>311</v>
      </c>
      <c r="AD38" s="390">
        <f>'P&amp;L'!$R$10</f>
        <v>0.13</v>
      </c>
    </row>
    <row r="39" spans="1:30" customFormat="1" ht="15">
      <c r="A39" s="454"/>
      <c r="B39" s="455"/>
      <c r="C39" s="459"/>
      <c r="D39" s="459"/>
      <c r="E39" s="459"/>
      <c r="F39" s="459"/>
      <c r="G39" s="460"/>
      <c r="H39" s="396"/>
      <c r="I39" s="396"/>
      <c r="J39" s="396"/>
      <c r="K39" s="396"/>
      <c r="L39" s="396"/>
      <c r="M39" s="396"/>
      <c r="O39" s="363" t="s">
        <v>304</v>
      </c>
      <c r="P39" s="364">
        <v>335</v>
      </c>
      <c r="Q39" s="364">
        <v>0.4</v>
      </c>
      <c r="R39" s="366">
        <v>134</v>
      </c>
      <c r="S39" s="389">
        <f>R39*(1+$S$38)</f>
        <v>151.41999999999999</v>
      </c>
      <c r="U39" s="370" t="s">
        <v>312</v>
      </c>
      <c r="V39" s="371"/>
      <c r="W39" s="371"/>
      <c r="X39" s="371"/>
      <c r="Y39" s="371"/>
      <c r="Z39" s="372"/>
      <c r="AB39" s="369" t="s">
        <v>304</v>
      </c>
      <c r="AC39" s="364">
        <v>300</v>
      </c>
      <c r="AD39" s="389">
        <f>AC39*(1+$S$38)</f>
        <v>338.99999999999994</v>
      </c>
    </row>
    <row r="40" spans="1:30" customFormat="1" ht="17.45" customHeight="1">
      <c r="A40" s="442" t="s">
        <v>313</v>
      </c>
      <c r="B40" s="442"/>
      <c r="C40" s="442"/>
      <c r="D40" s="442"/>
      <c r="E40" s="442"/>
      <c r="F40" s="442"/>
      <c r="G40" s="442"/>
      <c r="H40" s="397"/>
      <c r="I40" s="397"/>
      <c r="J40" s="397"/>
      <c r="K40" s="397"/>
      <c r="L40" s="397"/>
      <c r="M40" s="397"/>
      <c r="O40" s="363" t="s">
        <v>305</v>
      </c>
      <c r="P40" s="364">
        <v>335</v>
      </c>
      <c r="Q40" s="364">
        <v>0.4</v>
      </c>
      <c r="R40" s="366">
        <v>134</v>
      </c>
      <c r="S40" s="389">
        <f t="shared" ref="S40:S43" si="0">R40*(1+$S$38)</f>
        <v>151.41999999999999</v>
      </c>
      <c r="U40" s="373" t="s">
        <v>314</v>
      </c>
      <c r="V40" s="374">
        <v>480</v>
      </c>
      <c r="W40" s="374">
        <v>480</v>
      </c>
      <c r="X40" s="374">
        <v>560</v>
      </c>
      <c r="Y40" s="374">
        <v>560</v>
      </c>
      <c r="Z40" s="374">
        <v>480</v>
      </c>
      <c r="AB40" s="369" t="s">
        <v>305</v>
      </c>
      <c r="AC40" s="364">
        <v>300</v>
      </c>
      <c r="AD40" s="389">
        <f t="shared" ref="AD40:AD43" si="1">AC40*(1+$S$38)</f>
        <v>338.99999999999994</v>
      </c>
    </row>
    <row r="41" spans="1:30" customFormat="1" ht="15.6">
      <c r="A41" s="443" t="s">
        <v>315</v>
      </c>
      <c r="B41" s="444"/>
      <c r="C41" s="443" t="s">
        <v>316</v>
      </c>
      <c r="D41" s="461"/>
      <c r="E41" s="461"/>
      <c r="F41" s="461"/>
      <c r="G41" s="461"/>
      <c r="H41" s="402"/>
      <c r="I41" s="403" t="s">
        <v>317</v>
      </c>
      <c r="J41" s="403" t="s">
        <v>317</v>
      </c>
      <c r="K41" s="403" t="s">
        <v>317</v>
      </c>
      <c r="L41" s="403" t="s">
        <v>317</v>
      </c>
      <c r="M41" s="403" t="s">
        <v>317</v>
      </c>
      <c r="O41" s="363" t="s">
        <v>306</v>
      </c>
      <c r="P41" s="364">
        <v>455</v>
      </c>
      <c r="Q41" s="364">
        <v>0.4</v>
      </c>
      <c r="R41" s="366">
        <v>182</v>
      </c>
      <c r="S41" s="389">
        <f t="shared" si="0"/>
        <v>205.65999999999997</v>
      </c>
      <c r="U41" s="373" t="s">
        <v>318</v>
      </c>
      <c r="V41" s="374">
        <v>0.55000000000000004</v>
      </c>
      <c r="W41" s="374">
        <v>0.55000000000000004</v>
      </c>
      <c r="X41" s="374">
        <v>0.55000000000000004</v>
      </c>
      <c r="Y41" s="374">
        <v>0.55000000000000004</v>
      </c>
      <c r="Z41" s="374">
        <v>0.55000000000000004</v>
      </c>
      <c r="AB41" s="369" t="s">
        <v>306</v>
      </c>
      <c r="AC41" s="364">
        <v>350</v>
      </c>
      <c r="AD41" s="389">
        <f t="shared" si="1"/>
        <v>395.49999999999994</v>
      </c>
    </row>
    <row r="42" spans="1:30" customFormat="1">
      <c r="A42" s="468" t="s">
        <v>319</v>
      </c>
      <c r="B42" s="469"/>
      <c r="C42" s="348">
        <v>496</v>
      </c>
      <c r="D42" s="348">
        <v>480</v>
      </c>
      <c r="E42" s="348">
        <v>648</v>
      </c>
      <c r="F42" s="348">
        <v>340</v>
      </c>
      <c r="G42" s="348">
        <v>485</v>
      </c>
      <c r="H42" s="404">
        <v>0.3</v>
      </c>
      <c r="I42" s="405">
        <f>C42*$H$42</f>
        <v>148.79999999999998</v>
      </c>
      <c r="J42" s="405">
        <f>D42*$H$42</f>
        <v>144</v>
      </c>
      <c r="K42" s="405">
        <f>E42*$H$42</f>
        <v>194.4</v>
      </c>
      <c r="L42" s="405">
        <f>F42*$H$42</f>
        <v>102</v>
      </c>
      <c r="M42" s="405">
        <f>G42*$H$42</f>
        <v>145.5</v>
      </c>
      <c r="O42" s="363" t="s">
        <v>307</v>
      </c>
      <c r="P42" s="364">
        <v>395</v>
      </c>
      <c r="Q42" s="364">
        <v>0.4</v>
      </c>
      <c r="R42" s="366">
        <v>158</v>
      </c>
      <c r="S42" s="389">
        <f t="shared" si="0"/>
        <v>178.54</v>
      </c>
      <c r="U42" s="375" t="s">
        <v>320</v>
      </c>
      <c r="V42" s="376">
        <f>V40*V41</f>
        <v>264</v>
      </c>
      <c r="W42" s="376">
        <f t="shared" ref="W42:Z42" si="2">W40*W41</f>
        <v>264</v>
      </c>
      <c r="X42" s="376">
        <f t="shared" si="2"/>
        <v>308</v>
      </c>
      <c r="Y42" s="376">
        <f t="shared" si="2"/>
        <v>308</v>
      </c>
      <c r="Z42" s="376">
        <f t="shared" si="2"/>
        <v>264</v>
      </c>
      <c r="AB42" s="369" t="s">
        <v>307</v>
      </c>
      <c r="AC42" s="364">
        <v>350</v>
      </c>
      <c r="AD42" s="389">
        <f t="shared" si="1"/>
        <v>395.49999999999994</v>
      </c>
    </row>
    <row r="43" spans="1:30" customFormat="1">
      <c r="A43" s="468" t="s">
        <v>321</v>
      </c>
      <c r="B43" s="469"/>
      <c r="C43" s="348">
        <v>276</v>
      </c>
      <c r="D43" s="348">
        <v>284</v>
      </c>
      <c r="E43" s="348">
        <v>380</v>
      </c>
      <c r="F43" s="348">
        <v>326</v>
      </c>
      <c r="G43" s="348">
        <v>302</v>
      </c>
      <c r="H43" s="404">
        <v>1</v>
      </c>
      <c r="I43" s="405">
        <f>C43*$H$43</f>
        <v>276</v>
      </c>
      <c r="J43" s="405">
        <f>D43*$H$43</f>
        <v>284</v>
      </c>
      <c r="K43" s="405">
        <f>E43*$H$43</f>
        <v>380</v>
      </c>
      <c r="L43" s="405">
        <f>F43*$H$43</f>
        <v>326</v>
      </c>
      <c r="M43" s="405">
        <f>G43*$H$43</f>
        <v>302</v>
      </c>
      <c r="O43" s="363" t="s">
        <v>308</v>
      </c>
      <c r="P43" s="364">
        <v>345</v>
      </c>
      <c r="Q43" s="364">
        <v>0.4</v>
      </c>
      <c r="R43" s="366">
        <v>138</v>
      </c>
      <c r="S43" s="389">
        <f t="shared" si="0"/>
        <v>155.94</v>
      </c>
      <c r="U43" s="373" t="s">
        <v>322</v>
      </c>
      <c r="V43" s="374">
        <v>0</v>
      </c>
      <c r="W43" s="374">
        <v>0</v>
      </c>
      <c r="X43" s="374">
        <v>0</v>
      </c>
      <c r="Y43" s="374">
        <v>0</v>
      </c>
      <c r="Z43" s="374">
        <v>0</v>
      </c>
      <c r="AB43" s="369" t="s">
        <v>308</v>
      </c>
      <c r="AC43" s="364">
        <v>300</v>
      </c>
      <c r="AD43" s="389">
        <f t="shared" si="1"/>
        <v>338.99999999999994</v>
      </c>
    </row>
    <row r="44" spans="1:30" customFormat="1">
      <c r="A44" s="468" t="s">
        <v>323</v>
      </c>
      <c r="B44" s="469"/>
      <c r="C44" s="348">
        <v>414</v>
      </c>
      <c r="D44" s="348">
        <v>420</v>
      </c>
      <c r="E44" s="348">
        <v>492</v>
      </c>
      <c r="F44" s="348">
        <v>258</v>
      </c>
      <c r="G44" s="348">
        <v>414</v>
      </c>
      <c r="H44" s="404">
        <v>0.75</v>
      </c>
      <c r="I44" s="405">
        <f>C44*$H$44</f>
        <v>310.5</v>
      </c>
      <c r="J44" s="405">
        <f>D44*$H$44</f>
        <v>315</v>
      </c>
      <c r="K44" s="405">
        <f>E44*$H$44</f>
        <v>369</v>
      </c>
      <c r="L44" s="405">
        <f>F44*$H$44</f>
        <v>193.5</v>
      </c>
      <c r="M44" s="405">
        <f>G44*$H$44</f>
        <v>310.5</v>
      </c>
      <c r="O44" s="361" t="s">
        <v>324</v>
      </c>
      <c r="P44" s="365"/>
      <c r="Q44" s="365"/>
      <c r="R44" s="365"/>
      <c r="S44" s="390">
        <f>'P&amp;L'!$R$10</f>
        <v>0.13</v>
      </c>
      <c r="U44" s="373" t="s">
        <v>318</v>
      </c>
      <c r="V44" s="374">
        <v>0</v>
      </c>
      <c r="W44" s="374">
        <v>0</v>
      </c>
      <c r="X44" s="374">
        <v>0</v>
      </c>
      <c r="Y44" s="374">
        <v>0</v>
      </c>
      <c r="Z44" s="374">
        <v>0</v>
      </c>
      <c r="AB44" s="466"/>
      <c r="AC44" s="467"/>
    </row>
    <row r="45" spans="1:30" customFormat="1">
      <c r="A45" s="468" t="s">
        <v>325</v>
      </c>
      <c r="B45" s="469"/>
      <c r="C45" s="348">
        <v>60</v>
      </c>
      <c r="D45" s="348">
        <v>60</v>
      </c>
      <c r="E45" s="348">
        <v>82</v>
      </c>
      <c r="F45" s="348">
        <v>34</v>
      </c>
      <c r="G45" s="348">
        <v>59</v>
      </c>
      <c r="H45" s="404">
        <v>0.3</v>
      </c>
      <c r="I45" s="405">
        <f>C45*$H$45</f>
        <v>18</v>
      </c>
      <c r="J45" s="405">
        <f>D45*$H$45</f>
        <v>18</v>
      </c>
      <c r="K45" s="405">
        <f>E45*$H$45</f>
        <v>24.599999999999998</v>
      </c>
      <c r="L45" s="405">
        <f>F45*$H$45</f>
        <v>10.199999999999999</v>
      </c>
      <c r="M45" s="405">
        <f>G45*$H$45</f>
        <v>17.7</v>
      </c>
      <c r="O45" s="363" t="s">
        <v>304</v>
      </c>
      <c r="P45" s="364">
        <v>150</v>
      </c>
      <c r="Q45" s="364">
        <v>0.4</v>
      </c>
      <c r="R45" s="366">
        <v>60</v>
      </c>
      <c r="S45" s="389">
        <f t="shared" ref="S45:S50" si="3">R45*(1+$S$38)</f>
        <v>67.8</v>
      </c>
      <c r="U45" s="375" t="s">
        <v>326</v>
      </c>
      <c r="V45" s="376">
        <v>0</v>
      </c>
      <c r="W45" s="376">
        <v>0</v>
      </c>
      <c r="X45" s="376">
        <v>0</v>
      </c>
      <c r="Y45" s="376">
        <v>0</v>
      </c>
      <c r="Z45" s="376">
        <v>0</v>
      </c>
    </row>
    <row r="46" spans="1:30" customFormat="1">
      <c r="A46" s="468" t="s">
        <v>327</v>
      </c>
      <c r="B46" s="469"/>
      <c r="C46" s="348">
        <v>0</v>
      </c>
      <c r="D46" s="348">
        <v>0</v>
      </c>
      <c r="E46" s="348">
        <v>0</v>
      </c>
      <c r="F46" s="348">
        <v>0</v>
      </c>
      <c r="G46" s="348">
        <v>0</v>
      </c>
      <c r="H46" s="404"/>
      <c r="I46" s="405">
        <f>C46*$H$46</f>
        <v>0</v>
      </c>
      <c r="J46" s="405">
        <f>D46*$H$46</f>
        <v>0</v>
      </c>
      <c r="K46" s="405">
        <f>E46*$H$46</f>
        <v>0</v>
      </c>
      <c r="L46" s="405">
        <f>F46*$H$46</f>
        <v>0</v>
      </c>
      <c r="M46" s="405">
        <f>G46*$H$46</f>
        <v>0</v>
      </c>
      <c r="O46" s="363" t="s">
        <v>305</v>
      </c>
      <c r="P46" s="364">
        <v>150</v>
      </c>
      <c r="Q46" s="364">
        <v>0.4</v>
      </c>
      <c r="R46" s="366">
        <v>60</v>
      </c>
      <c r="S46" s="389">
        <f t="shared" si="3"/>
        <v>67.8</v>
      </c>
      <c r="U46" s="373" t="s">
        <v>328</v>
      </c>
      <c r="V46" s="374">
        <v>30</v>
      </c>
      <c r="W46" s="374">
        <v>30</v>
      </c>
      <c r="X46" s="374">
        <v>30</v>
      </c>
      <c r="Y46" s="374">
        <v>30</v>
      </c>
      <c r="Z46" s="374">
        <v>30</v>
      </c>
    </row>
    <row r="47" spans="1:30" customFormat="1">
      <c r="A47" s="462" t="s">
        <v>329</v>
      </c>
      <c r="B47" s="463"/>
      <c r="C47" s="349">
        <v>1246</v>
      </c>
      <c r="D47" s="349">
        <v>1244</v>
      </c>
      <c r="E47" s="349">
        <v>1602</v>
      </c>
      <c r="F47" s="350">
        <v>958</v>
      </c>
      <c r="G47" s="349">
        <v>1260</v>
      </c>
      <c r="H47" s="404"/>
      <c r="I47" s="406">
        <f t="shared" ref="I47:J47" si="4">SUM(I42:I46)</f>
        <v>753.3</v>
      </c>
      <c r="J47" s="406">
        <f t="shared" si="4"/>
        <v>761</v>
      </c>
      <c r="K47" s="406">
        <f t="shared" ref="K47:M47" si="5">SUM(K42:K46)</f>
        <v>968</v>
      </c>
      <c r="L47" s="406">
        <f t="shared" ref="L47" si="6">SUM(L42:L46)</f>
        <v>631.70000000000005</v>
      </c>
      <c r="M47" s="406">
        <f t="shared" si="5"/>
        <v>775.7</v>
      </c>
      <c r="O47" s="363" t="s">
        <v>306</v>
      </c>
      <c r="P47" s="364">
        <v>200</v>
      </c>
      <c r="Q47" s="364">
        <v>0.4</v>
      </c>
      <c r="R47" s="366">
        <v>80</v>
      </c>
      <c r="S47" s="389">
        <f t="shared" si="3"/>
        <v>90.399999999999991</v>
      </c>
      <c r="U47" s="373" t="s">
        <v>318</v>
      </c>
      <c r="V47" s="374">
        <v>0.44</v>
      </c>
      <c r="W47" s="374">
        <v>0.44</v>
      </c>
      <c r="X47" s="374">
        <v>0.44</v>
      </c>
      <c r="Y47" s="374">
        <v>0.44</v>
      </c>
      <c r="Z47" s="374">
        <v>0.44</v>
      </c>
    </row>
    <row r="48" spans="1:30" customFormat="1">
      <c r="A48" s="462" t="s">
        <v>300</v>
      </c>
      <c r="B48" s="463"/>
      <c r="C48" s="351">
        <f>I47</f>
        <v>753.3</v>
      </c>
      <c r="D48" s="351">
        <f t="shared" ref="D48:G48" si="7">J47</f>
        <v>761</v>
      </c>
      <c r="E48" s="351">
        <f t="shared" si="7"/>
        <v>968</v>
      </c>
      <c r="F48" s="351">
        <f t="shared" si="7"/>
        <v>631.70000000000005</v>
      </c>
      <c r="G48" s="351">
        <f t="shared" si="7"/>
        <v>775.7</v>
      </c>
      <c r="H48" s="398"/>
      <c r="I48" s="398"/>
      <c r="J48" s="398"/>
      <c r="K48" s="398"/>
      <c r="L48" s="398"/>
      <c r="M48" s="398"/>
      <c r="O48" s="363" t="s">
        <v>307</v>
      </c>
      <c r="P48" s="364">
        <v>250</v>
      </c>
      <c r="Q48" s="364">
        <v>0.4</v>
      </c>
      <c r="R48" s="366">
        <v>100</v>
      </c>
      <c r="S48" s="389">
        <f t="shared" si="3"/>
        <v>112.99999999999999</v>
      </c>
      <c r="U48" s="375" t="s">
        <v>330</v>
      </c>
      <c r="V48" s="376">
        <f t="shared" ref="V48:Z48" si="8">V46*V47</f>
        <v>13.2</v>
      </c>
      <c r="W48" s="376">
        <f t="shared" si="8"/>
        <v>13.2</v>
      </c>
      <c r="X48" s="376">
        <f t="shared" si="8"/>
        <v>13.2</v>
      </c>
      <c r="Y48" s="376">
        <f t="shared" si="8"/>
        <v>13.2</v>
      </c>
      <c r="Z48" s="376">
        <f t="shared" si="8"/>
        <v>13.2</v>
      </c>
    </row>
    <row r="49" spans="1:26" customFormat="1">
      <c r="A49" s="462" t="s">
        <v>331</v>
      </c>
      <c r="B49" s="463"/>
      <c r="C49" s="351">
        <v>0.4</v>
      </c>
      <c r="D49" s="351">
        <v>0.4</v>
      </c>
      <c r="E49" s="351">
        <v>0.4</v>
      </c>
      <c r="F49" s="351">
        <v>0.4</v>
      </c>
      <c r="G49" s="351">
        <v>0.4</v>
      </c>
      <c r="H49" s="398"/>
      <c r="I49" s="398"/>
      <c r="J49" s="398"/>
      <c r="K49" s="398"/>
      <c r="L49" s="398"/>
      <c r="M49" s="398"/>
      <c r="O49" s="363" t="s">
        <v>308</v>
      </c>
      <c r="P49" s="364">
        <v>150</v>
      </c>
      <c r="Q49" s="364">
        <v>0.4</v>
      </c>
      <c r="R49" s="366">
        <v>60</v>
      </c>
      <c r="S49" s="389">
        <f t="shared" si="3"/>
        <v>67.8</v>
      </c>
      <c r="U49" s="377" t="s">
        <v>332</v>
      </c>
      <c r="V49" s="374">
        <v>0</v>
      </c>
      <c r="W49" s="374">
        <v>0</v>
      </c>
      <c r="X49" s="374">
        <v>0</v>
      </c>
      <c r="Y49" s="374">
        <v>0</v>
      </c>
      <c r="Z49" s="374">
        <v>0</v>
      </c>
    </row>
    <row r="50" spans="1:26" customFormat="1">
      <c r="A50" s="464" t="s">
        <v>333</v>
      </c>
      <c r="B50" s="465"/>
      <c r="C50" s="352">
        <f>C48*C49</f>
        <v>301.32</v>
      </c>
      <c r="D50" s="352">
        <f t="shared" ref="D50:G50" si="9">D48*D49</f>
        <v>304.40000000000003</v>
      </c>
      <c r="E50" s="352">
        <f t="shared" si="9"/>
        <v>387.20000000000005</v>
      </c>
      <c r="F50" s="352">
        <f t="shared" si="9"/>
        <v>252.68000000000004</v>
      </c>
      <c r="G50" s="352">
        <f t="shared" si="9"/>
        <v>310.28000000000003</v>
      </c>
      <c r="H50" s="399"/>
      <c r="I50" s="399"/>
      <c r="J50" s="399"/>
      <c r="K50" s="399"/>
      <c r="L50" s="399"/>
      <c r="M50" s="399"/>
      <c r="O50" s="363" t="s">
        <v>334</v>
      </c>
      <c r="P50" s="364">
        <v>150</v>
      </c>
      <c r="Q50" s="364">
        <v>0.4</v>
      </c>
      <c r="R50" s="366">
        <v>60</v>
      </c>
      <c r="S50" s="389">
        <f t="shared" si="3"/>
        <v>67.8</v>
      </c>
      <c r="U50" s="377" t="s">
        <v>335</v>
      </c>
      <c r="V50" s="374">
        <v>0</v>
      </c>
      <c r="W50" s="374">
        <v>0</v>
      </c>
      <c r="X50" s="374">
        <v>0</v>
      </c>
      <c r="Y50" s="374">
        <v>0</v>
      </c>
      <c r="Z50" s="374">
        <v>0</v>
      </c>
    </row>
    <row r="51" spans="1:26" customFormat="1" ht="15.6">
      <c r="A51" s="443" t="s">
        <v>336</v>
      </c>
      <c r="B51" s="444"/>
      <c r="C51" s="443" t="s">
        <v>316</v>
      </c>
      <c r="D51" s="461"/>
      <c r="E51" s="461"/>
      <c r="F51" s="461"/>
      <c r="G51" s="461"/>
      <c r="H51" s="402"/>
      <c r="I51" s="403" t="s">
        <v>317</v>
      </c>
      <c r="J51" s="403" t="s">
        <v>317</v>
      </c>
      <c r="K51" s="403" t="s">
        <v>317</v>
      </c>
      <c r="L51" s="403" t="s">
        <v>317</v>
      </c>
      <c r="M51" s="403" t="s">
        <v>317</v>
      </c>
      <c r="U51" s="375" t="s">
        <v>337</v>
      </c>
      <c r="V51" s="376">
        <v>0</v>
      </c>
      <c r="W51" s="376">
        <v>0</v>
      </c>
      <c r="X51" s="376">
        <v>0</v>
      </c>
      <c r="Y51" s="376">
        <v>0</v>
      </c>
      <c r="Z51" s="376">
        <v>0</v>
      </c>
    </row>
    <row r="52" spans="1:26" customFormat="1">
      <c r="A52" s="468" t="s">
        <v>319</v>
      </c>
      <c r="B52" s="469"/>
      <c r="C52" s="348">
        <v>374</v>
      </c>
      <c r="D52" s="348">
        <v>363</v>
      </c>
      <c r="E52" s="348">
        <v>444</v>
      </c>
      <c r="F52" s="348">
        <v>416</v>
      </c>
      <c r="G52" s="348">
        <v>283</v>
      </c>
      <c r="H52" s="404">
        <v>0.3</v>
      </c>
      <c r="I52" s="405">
        <f>$H$52*C52</f>
        <v>112.2</v>
      </c>
      <c r="J52" s="405">
        <f t="shared" ref="J52:M52" si="10">$H$52*D52</f>
        <v>108.89999999999999</v>
      </c>
      <c r="K52" s="405">
        <f t="shared" si="10"/>
        <v>133.19999999999999</v>
      </c>
      <c r="L52" s="405">
        <f t="shared" si="10"/>
        <v>124.8</v>
      </c>
      <c r="M52" s="405">
        <f t="shared" si="10"/>
        <v>84.899999999999991</v>
      </c>
      <c r="U52" s="378" t="s">
        <v>338</v>
      </c>
      <c r="V52" s="379">
        <f>V42+V45+V48+V51</f>
        <v>277.2</v>
      </c>
      <c r="W52" s="379">
        <f t="shared" ref="W52:Z52" si="11">W42+W45+W48+W51</f>
        <v>277.2</v>
      </c>
      <c r="X52" s="379">
        <f t="shared" si="11"/>
        <v>321.2</v>
      </c>
      <c r="Y52" s="379">
        <f t="shared" si="11"/>
        <v>321.2</v>
      </c>
      <c r="Z52" s="379">
        <f t="shared" si="11"/>
        <v>277.2</v>
      </c>
    </row>
    <row r="53" spans="1:26" customFormat="1">
      <c r="A53" s="468" t="s">
        <v>321</v>
      </c>
      <c r="B53" s="469"/>
      <c r="C53" s="348">
        <v>192</v>
      </c>
      <c r="D53" s="348">
        <v>184</v>
      </c>
      <c r="E53" s="348">
        <v>224</v>
      </c>
      <c r="F53" s="348">
        <v>224</v>
      </c>
      <c r="G53" s="348">
        <v>140</v>
      </c>
      <c r="H53" s="404">
        <v>1</v>
      </c>
      <c r="I53" s="405">
        <f>$H$53*C53</f>
        <v>192</v>
      </c>
      <c r="J53" s="405">
        <f t="shared" ref="J53:M53" si="12">$H$53*D53</f>
        <v>184</v>
      </c>
      <c r="K53" s="405">
        <f t="shared" si="12"/>
        <v>224</v>
      </c>
      <c r="L53" s="405">
        <f t="shared" si="12"/>
        <v>224</v>
      </c>
      <c r="M53" s="405">
        <f t="shared" si="12"/>
        <v>140</v>
      </c>
      <c r="U53" s="390">
        <f>'P&amp;L'!$R$10</f>
        <v>0.13</v>
      </c>
      <c r="V53" s="389">
        <f>V52*(1+$U$53)</f>
        <v>313.23599999999993</v>
      </c>
      <c r="W53" s="389">
        <f t="shared" ref="W53:Z53" si="13">W52*(1+$U$53)</f>
        <v>313.23599999999993</v>
      </c>
      <c r="X53" s="389">
        <f t="shared" si="13"/>
        <v>362.95599999999996</v>
      </c>
      <c r="Y53" s="389">
        <f t="shared" si="13"/>
        <v>362.95599999999996</v>
      </c>
      <c r="Z53" s="389">
        <f t="shared" si="13"/>
        <v>313.23599999999993</v>
      </c>
    </row>
    <row r="54" spans="1:26" customFormat="1">
      <c r="A54" s="468" t="s">
        <v>323</v>
      </c>
      <c r="B54" s="469"/>
      <c r="C54" s="348">
        <v>288</v>
      </c>
      <c r="D54" s="348">
        <v>276</v>
      </c>
      <c r="E54" s="348">
        <v>336</v>
      </c>
      <c r="F54" s="348">
        <v>336</v>
      </c>
      <c r="G54" s="348">
        <v>210</v>
      </c>
      <c r="H54" s="404">
        <v>0.75</v>
      </c>
      <c r="I54" s="405">
        <f>$H$54*C54</f>
        <v>216</v>
      </c>
      <c r="J54" s="405">
        <f t="shared" ref="J54:M54" si="14">$H$54*D54</f>
        <v>207</v>
      </c>
      <c r="K54" s="405">
        <f t="shared" si="14"/>
        <v>252</v>
      </c>
      <c r="L54" s="405">
        <f t="shared" si="14"/>
        <v>252</v>
      </c>
      <c r="M54" s="405">
        <f t="shared" si="14"/>
        <v>157.5</v>
      </c>
      <c r="U54" s="370" t="s">
        <v>339</v>
      </c>
      <c r="V54" s="371"/>
      <c r="W54" s="371"/>
      <c r="X54" s="371"/>
      <c r="Y54" s="371"/>
      <c r="Z54" s="372"/>
    </row>
    <row r="55" spans="1:26" customFormat="1">
      <c r="A55" s="468" t="s">
        <v>340</v>
      </c>
      <c r="B55" s="469"/>
      <c r="C55" s="348">
        <v>96</v>
      </c>
      <c r="D55" s="348">
        <v>92</v>
      </c>
      <c r="E55" s="348">
        <v>112</v>
      </c>
      <c r="F55" s="348">
        <v>112</v>
      </c>
      <c r="G55" s="348">
        <v>70</v>
      </c>
      <c r="H55" s="404">
        <v>0.3</v>
      </c>
      <c r="I55" s="405">
        <f>$H$55*C55</f>
        <v>28.799999999999997</v>
      </c>
      <c r="J55" s="405">
        <f t="shared" ref="J55:M55" si="15">$H$55*D55</f>
        <v>27.599999999999998</v>
      </c>
      <c r="K55" s="405">
        <f t="shared" si="15"/>
        <v>33.6</v>
      </c>
      <c r="L55" s="405">
        <f t="shared" si="15"/>
        <v>33.6</v>
      </c>
      <c r="M55" s="405">
        <f t="shared" si="15"/>
        <v>21</v>
      </c>
      <c r="U55" s="373" t="s">
        <v>314</v>
      </c>
      <c r="V55" s="374">
        <v>360</v>
      </c>
      <c r="W55" s="374">
        <v>360</v>
      </c>
      <c r="X55" s="374">
        <v>420</v>
      </c>
      <c r="Y55" s="374">
        <v>420</v>
      </c>
      <c r="Z55" s="374">
        <v>360</v>
      </c>
    </row>
    <row r="56" spans="1:26" customFormat="1">
      <c r="A56" s="468" t="s">
        <v>327</v>
      </c>
      <c r="B56" s="469"/>
      <c r="C56" s="348">
        <v>0</v>
      </c>
      <c r="D56" s="348">
        <v>0</v>
      </c>
      <c r="E56" s="348">
        <v>0</v>
      </c>
      <c r="F56" s="348">
        <v>0</v>
      </c>
      <c r="G56" s="348">
        <v>0</v>
      </c>
      <c r="H56" s="404"/>
      <c r="I56" s="405">
        <f t="shared" ref="I56" si="16">H56*C56</f>
        <v>0</v>
      </c>
      <c r="J56" s="405">
        <f t="shared" ref="J56" si="17">I56*D56</f>
        <v>0</v>
      </c>
      <c r="K56" s="405">
        <f t="shared" ref="K56" si="18">J56*E56</f>
        <v>0</v>
      </c>
      <c r="L56" s="405">
        <f t="shared" ref="L56" si="19">K56*F56</f>
        <v>0</v>
      </c>
      <c r="M56" s="405">
        <f t="shared" ref="M56" si="20">L56*G56</f>
        <v>0</v>
      </c>
      <c r="U56" s="373" t="s">
        <v>318</v>
      </c>
      <c r="V56" s="374">
        <v>0.55000000000000004</v>
      </c>
      <c r="W56" s="374">
        <v>0.55000000000000004</v>
      </c>
      <c r="X56" s="374">
        <v>0.55000000000000004</v>
      </c>
      <c r="Y56" s="374">
        <v>0.55000000000000004</v>
      </c>
      <c r="Z56" s="374">
        <v>0.55000000000000004</v>
      </c>
    </row>
    <row r="57" spans="1:26" customFormat="1">
      <c r="A57" s="462" t="s">
        <v>329</v>
      </c>
      <c r="B57" s="463"/>
      <c r="C57" s="350">
        <v>950</v>
      </c>
      <c r="D57" s="350">
        <v>915</v>
      </c>
      <c r="E57" s="349">
        <v>1116</v>
      </c>
      <c r="F57" s="349">
        <v>1088</v>
      </c>
      <c r="G57" s="350">
        <v>703</v>
      </c>
      <c r="H57" s="404"/>
      <c r="I57" s="406">
        <f t="shared" ref="I57:M57" si="21">SUM(I52:I56)</f>
        <v>549</v>
      </c>
      <c r="J57" s="406">
        <f t="shared" si="21"/>
        <v>527.5</v>
      </c>
      <c r="K57" s="406">
        <f t="shared" si="21"/>
        <v>642.80000000000007</v>
      </c>
      <c r="L57" s="406">
        <f t="shared" si="21"/>
        <v>634.4</v>
      </c>
      <c r="M57" s="406">
        <f t="shared" si="21"/>
        <v>403.4</v>
      </c>
      <c r="U57" s="375" t="s">
        <v>320</v>
      </c>
      <c r="V57" s="376">
        <f t="shared" ref="V57:Z57" si="22">V55*V56</f>
        <v>198.00000000000003</v>
      </c>
      <c r="W57" s="376">
        <f t="shared" si="22"/>
        <v>198.00000000000003</v>
      </c>
      <c r="X57" s="376">
        <f t="shared" si="22"/>
        <v>231.00000000000003</v>
      </c>
      <c r="Y57" s="376">
        <f t="shared" si="22"/>
        <v>231.00000000000003</v>
      </c>
      <c r="Z57" s="376">
        <f t="shared" si="22"/>
        <v>198.00000000000003</v>
      </c>
    </row>
    <row r="58" spans="1:26" customFormat="1">
      <c r="A58" s="462" t="s">
        <v>300</v>
      </c>
      <c r="B58" s="463"/>
      <c r="C58" s="351">
        <f>I57</f>
        <v>549</v>
      </c>
      <c r="D58" s="351">
        <f t="shared" ref="D58:G58" si="23">J57</f>
        <v>527.5</v>
      </c>
      <c r="E58" s="351">
        <f t="shared" si="23"/>
        <v>642.80000000000007</v>
      </c>
      <c r="F58" s="351">
        <f t="shared" si="23"/>
        <v>634.4</v>
      </c>
      <c r="G58" s="351">
        <f t="shared" si="23"/>
        <v>403.4</v>
      </c>
      <c r="H58" s="398"/>
      <c r="I58" s="398"/>
      <c r="J58" s="398"/>
      <c r="K58" s="398"/>
      <c r="L58" s="398"/>
      <c r="M58" s="398"/>
      <c r="U58" s="373" t="s">
        <v>322</v>
      </c>
      <c r="V58" s="374">
        <v>0</v>
      </c>
      <c r="W58" s="374">
        <v>0</v>
      </c>
      <c r="X58" s="374">
        <v>0</v>
      </c>
      <c r="Y58" s="374">
        <v>0</v>
      </c>
      <c r="Z58" s="374">
        <v>0</v>
      </c>
    </row>
    <row r="59" spans="1:26" customFormat="1">
      <c r="A59" s="462" t="s">
        <v>331</v>
      </c>
      <c r="B59" s="463"/>
      <c r="C59" s="351">
        <v>0.4</v>
      </c>
      <c r="D59" s="351">
        <v>0.4</v>
      </c>
      <c r="E59" s="351">
        <v>0.4</v>
      </c>
      <c r="F59" s="351">
        <v>0.4</v>
      </c>
      <c r="G59" s="351">
        <v>0.4</v>
      </c>
      <c r="H59" s="398"/>
      <c r="I59" s="398"/>
      <c r="J59" s="398"/>
      <c r="K59" s="398"/>
      <c r="L59" s="398"/>
      <c r="M59" s="398"/>
      <c r="U59" s="373" t="s">
        <v>318</v>
      </c>
      <c r="V59" s="374">
        <v>0</v>
      </c>
      <c r="W59" s="374">
        <v>0</v>
      </c>
      <c r="X59" s="374">
        <v>0</v>
      </c>
      <c r="Y59" s="374">
        <v>0</v>
      </c>
      <c r="Z59" s="374">
        <v>0</v>
      </c>
    </row>
    <row r="60" spans="1:26" customFormat="1">
      <c r="A60" s="464" t="s">
        <v>333</v>
      </c>
      <c r="B60" s="465"/>
      <c r="C60" s="352">
        <f t="shared" ref="C60:G60" si="24">C58*C59</f>
        <v>219.60000000000002</v>
      </c>
      <c r="D60" s="352">
        <f t="shared" si="24"/>
        <v>211</v>
      </c>
      <c r="E60" s="352">
        <f t="shared" si="24"/>
        <v>257.12000000000006</v>
      </c>
      <c r="F60" s="352">
        <f t="shared" si="24"/>
        <v>253.76</v>
      </c>
      <c r="G60" s="352">
        <f t="shared" si="24"/>
        <v>161.36000000000001</v>
      </c>
      <c r="H60" s="399"/>
      <c r="I60" s="399"/>
      <c r="J60" s="399"/>
      <c r="K60" s="399"/>
      <c r="L60" s="399"/>
      <c r="M60" s="399"/>
      <c r="U60" s="375" t="s">
        <v>326</v>
      </c>
      <c r="V60" s="376">
        <f t="shared" ref="V60:Z60" si="25">V58*V59</f>
        <v>0</v>
      </c>
      <c r="W60" s="376">
        <f t="shared" si="25"/>
        <v>0</v>
      </c>
      <c r="X60" s="376">
        <f t="shared" si="25"/>
        <v>0</v>
      </c>
      <c r="Y60" s="376">
        <f t="shared" si="25"/>
        <v>0</v>
      </c>
      <c r="Z60" s="376">
        <f t="shared" si="25"/>
        <v>0</v>
      </c>
    </row>
    <row r="61" spans="1:26" customFormat="1" ht="15.6">
      <c r="A61" s="443" t="s">
        <v>341</v>
      </c>
      <c r="B61" s="444"/>
      <c r="C61" s="443" t="s">
        <v>316</v>
      </c>
      <c r="D61" s="461"/>
      <c r="E61" s="461"/>
      <c r="F61" s="461"/>
      <c r="G61" s="461"/>
      <c r="H61" s="402"/>
      <c r="I61" s="403" t="s">
        <v>317</v>
      </c>
      <c r="J61" s="403" t="s">
        <v>317</v>
      </c>
      <c r="K61" s="403" t="s">
        <v>317</v>
      </c>
      <c r="L61" s="403" t="s">
        <v>317</v>
      </c>
      <c r="M61" s="403" t="s">
        <v>317</v>
      </c>
      <c r="U61" s="373" t="s">
        <v>328</v>
      </c>
      <c r="V61" s="374">
        <v>30</v>
      </c>
      <c r="W61" s="374">
        <v>30</v>
      </c>
      <c r="X61" s="374">
        <v>30</v>
      </c>
      <c r="Y61" s="374">
        <v>30</v>
      </c>
      <c r="Z61" s="374">
        <v>30</v>
      </c>
    </row>
    <row r="62" spans="1:26" customFormat="1">
      <c r="A62" s="468" t="s">
        <v>342</v>
      </c>
      <c r="B62" s="469"/>
      <c r="C62" s="348">
        <v>185</v>
      </c>
      <c r="D62" s="348">
        <v>184</v>
      </c>
      <c r="E62" s="348">
        <v>235</v>
      </c>
      <c r="F62" s="348">
        <v>325</v>
      </c>
      <c r="G62" s="348">
        <v>192</v>
      </c>
      <c r="H62" s="404">
        <v>0.25</v>
      </c>
      <c r="I62" s="405">
        <f>$H$62*C62</f>
        <v>46.25</v>
      </c>
      <c r="J62" s="405">
        <f t="shared" ref="J62:M62" si="26">$H$62*D62</f>
        <v>46</v>
      </c>
      <c r="K62" s="405">
        <f t="shared" si="26"/>
        <v>58.75</v>
      </c>
      <c r="L62" s="405">
        <f t="shared" si="26"/>
        <v>81.25</v>
      </c>
      <c r="M62" s="405">
        <f t="shared" si="26"/>
        <v>48</v>
      </c>
      <c r="U62" s="373" t="s">
        <v>318</v>
      </c>
      <c r="V62" s="374">
        <v>0.44</v>
      </c>
      <c r="W62" s="374">
        <v>0.44</v>
      </c>
      <c r="X62" s="374">
        <v>0.44</v>
      </c>
      <c r="Y62" s="374">
        <v>0.44</v>
      </c>
      <c r="Z62" s="374">
        <v>0.44</v>
      </c>
    </row>
    <row r="63" spans="1:26" customFormat="1">
      <c r="A63" s="468" t="s">
        <v>343</v>
      </c>
      <c r="B63" s="469"/>
      <c r="C63" s="348">
        <v>185</v>
      </c>
      <c r="D63" s="348">
        <v>184</v>
      </c>
      <c r="E63" s="348">
        <v>235</v>
      </c>
      <c r="F63" s="348">
        <v>325</v>
      </c>
      <c r="G63" s="348">
        <v>192</v>
      </c>
      <c r="H63" s="404">
        <v>0.4</v>
      </c>
      <c r="I63" s="405">
        <f>$H$63*C63</f>
        <v>74</v>
      </c>
      <c r="J63" s="405">
        <f t="shared" ref="J63:M63" si="27">$H$63*D63</f>
        <v>73.600000000000009</v>
      </c>
      <c r="K63" s="405">
        <f t="shared" si="27"/>
        <v>94</v>
      </c>
      <c r="L63" s="405">
        <f t="shared" si="27"/>
        <v>130</v>
      </c>
      <c r="M63" s="405">
        <f t="shared" si="27"/>
        <v>76.800000000000011</v>
      </c>
      <c r="U63" s="375" t="s">
        <v>330</v>
      </c>
      <c r="V63" s="376">
        <f t="shared" ref="V63:Z63" si="28">V61*V62</f>
        <v>13.2</v>
      </c>
      <c r="W63" s="376">
        <f t="shared" si="28"/>
        <v>13.2</v>
      </c>
      <c r="X63" s="376">
        <f t="shared" si="28"/>
        <v>13.2</v>
      </c>
      <c r="Y63" s="376">
        <f t="shared" si="28"/>
        <v>13.2</v>
      </c>
      <c r="Z63" s="376">
        <f t="shared" si="28"/>
        <v>13.2</v>
      </c>
    </row>
    <row r="64" spans="1:26" customFormat="1">
      <c r="A64" s="468" t="s">
        <v>327</v>
      </c>
      <c r="B64" s="469"/>
      <c r="C64" s="348">
        <v>0</v>
      </c>
      <c r="D64" s="348">
        <v>0</v>
      </c>
      <c r="E64" s="348">
        <v>0</v>
      </c>
      <c r="F64" s="348">
        <v>0</v>
      </c>
      <c r="G64" s="348">
        <v>0</v>
      </c>
      <c r="H64" s="404">
        <v>0.25</v>
      </c>
      <c r="I64" s="405">
        <f>$H$64*C64</f>
        <v>0</v>
      </c>
      <c r="J64" s="405">
        <f t="shared" ref="J64:M64" si="29">$H$64*D64</f>
        <v>0</v>
      </c>
      <c r="K64" s="405">
        <f t="shared" si="29"/>
        <v>0</v>
      </c>
      <c r="L64" s="405">
        <f t="shared" si="29"/>
        <v>0</v>
      </c>
      <c r="M64" s="405">
        <f t="shared" si="29"/>
        <v>0</v>
      </c>
      <c r="U64" s="377" t="s">
        <v>332</v>
      </c>
      <c r="V64" s="374">
        <v>0</v>
      </c>
      <c r="W64" s="374">
        <v>0</v>
      </c>
      <c r="X64" s="374">
        <v>0</v>
      </c>
      <c r="Y64" s="374">
        <v>0</v>
      </c>
      <c r="Z64" s="374">
        <v>0</v>
      </c>
    </row>
    <row r="65" spans="1:26" customFormat="1">
      <c r="A65" s="462" t="s">
        <v>329</v>
      </c>
      <c r="B65" s="463"/>
      <c r="C65" s="350">
        <v>370</v>
      </c>
      <c r="D65" s="350">
        <v>368</v>
      </c>
      <c r="E65" s="350">
        <v>470</v>
      </c>
      <c r="F65" s="350">
        <v>650</v>
      </c>
      <c r="G65" s="350">
        <v>384</v>
      </c>
      <c r="H65" s="404"/>
      <c r="I65" s="405">
        <f>$H$65*C65</f>
        <v>0</v>
      </c>
      <c r="J65" s="405">
        <f t="shared" ref="J65:M65" si="30">$H$65*D65</f>
        <v>0</v>
      </c>
      <c r="K65" s="405">
        <f t="shared" si="30"/>
        <v>0</v>
      </c>
      <c r="L65" s="405">
        <f t="shared" si="30"/>
        <v>0</v>
      </c>
      <c r="M65" s="405">
        <f t="shared" si="30"/>
        <v>0</v>
      </c>
      <c r="U65" s="377" t="s">
        <v>335</v>
      </c>
      <c r="V65" s="374">
        <v>0</v>
      </c>
      <c r="W65" s="374">
        <v>0</v>
      </c>
      <c r="X65" s="374">
        <v>0</v>
      </c>
      <c r="Y65" s="374">
        <v>0</v>
      </c>
      <c r="Z65" s="374">
        <v>0</v>
      </c>
    </row>
    <row r="66" spans="1:26" customFormat="1">
      <c r="A66" s="462" t="s">
        <v>300</v>
      </c>
      <c r="B66" s="463"/>
      <c r="C66" s="351">
        <f>I66</f>
        <v>120.25</v>
      </c>
      <c r="D66" s="351">
        <f t="shared" ref="D66:G66" si="31">J66</f>
        <v>119.60000000000001</v>
      </c>
      <c r="E66" s="351">
        <f t="shared" si="31"/>
        <v>152.75</v>
      </c>
      <c r="F66" s="351">
        <f t="shared" si="31"/>
        <v>211.25</v>
      </c>
      <c r="G66" s="351">
        <f t="shared" si="31"/>
        <v>124.80000000000001</v>
      </c>
      <c r="H66" s="407"/>
      <c r="I66" s="406">
        <f t="shared" ref="I66:M66" si="32">SUM(I62:I65)</f>
        <v>120.25</v>
      </c>
      <c r="J66" s="406">
        <f t="shared" si="32"/>
        <v>119.60000000000001</v>
      </c>
      <c r="K66" s="406">
        <f t="shared" si="32"/>
        <v>152.75</v>
      </c>
      <c r="L66" s="406">
        <f t="shared" si="32"/>
        <v>211.25</v>
      </c>
      <c r="M66" s="406">
        <f t="shared" si="32"/>
        <v>124.80000000000001</v>
      </c>
      <c r="U66" s="375" t="s">
        <v>337</v>
      </c>
      <c r="V66" s="376">
        <f t="shared" ref="V66:Z66" si="33">V64*V65</f>
        <v>0</v>
      </c>
      <c r="W66" s="376">
        <f t="shared" si="33"/>
        <v>0</v>
      </c>
      <c r="X66" s="376">
        <f t="shared" si="33"/>
        <v>0</v>
      </c>
      <c r="Y66" s="376">
        <f t="shared" si="33"/>
        <v>0</v>
      </c>
      <c r="Z66" s="376">
        <f t="shared" si="33"/>
        <v>0</v>
      </c>
    </row>
    <row r="67" spans="1:26" customFormat="1">
      <c r="A67" s="462" t="s">
        <v>331</v>
      </c>
      <c r="B67" s="463"/>
      <c r="C67" s="351">
        <v>0.4</v>
      </c>
      <c r="D67" s="351">
        <v>0.4</v>
      </c>
      <c r="E67" s="351">
        <v>0.4</v>
      </c>
      <c r="F67" s="351">
        <v>0.4</v>
      </c>
      <c r="G67" s="351">
        <v>0.4</v>
      </c>
      <c r="H67" s="398"/>
      <c r="I67" s="398"/>
      <c r="J67" s="398"/>
      <c r="K67" s="398"/>
      <c r="L67" s="398"/>
      <c r="M67" s="398"/>
      <c r="U67" s="378" t="s">
        <v>338</v>
      </c>
      <c r="V67" s="379">
        <f>V57+V60+V63+V66</f>
        <v>211.20000000000002</v>
      </c>
      <c r="W67" s="379">
        <f t="shared" ref="W67:Z67" si="34">W57+W60+W63+W66</f>
        <v>211.20000000000002</v>
      </c>
      <c r="X67" s="379">
        <f t="shared" si="34"/>
        <v>244.20000000000002</v>
      </c>
      <c r="Y67" s="379">
        <f t="shared" si="34"/>
        <v>244.20000000000002</v>
      </c>
      <c r="Z67" s="379">
        <f t="shared" si="34"/>
        <v>211.20000000000002</v>
      </c>
    </row>
    <row r="68" spans="1:26" customFormat="1">
      <c r="A68" s="464" t="s">
        <v>333</v>
      </c>
      <c r="B68" s="465"/>
      <c r="C68" s="352">
        <f t="shared" ref="C68:G68" si="35">C66*C67</f>
        <v>48.1</v>
      </c>
      <c r="D68" s="352">
        <f t="shared" si="35"/>
        <v>47.84</v>
      </c>
      <c r="E68" s="352">
        <f t="shared" si="35"/>
        <v>61.1</v>
      </c>
      <c r="F68" s="352">
        <f t="shared" si="35"/>
        <v>84.5</v>
      </c>
      <c r="G68" s="352">
        <f t="shared" si="35"/>
        <v>49.920000000000009</v>
      </c>
      <c r="H68" s="399"/>
      <c r="I68" s="399"/>
      <c r="J68" s="399"/>
      <c r="K68" s="399"/>
      <c r="L68" s="399"/>
      <c r="M68" s="399"/>
      <c r="U68" s="390">
        <f>'P&amp;L'!$R$10</f>
        <v>0.13</v>
      </c>
      <c r="V68" s="389">
        <f>V67*(1+$U$53)</f>
        <v>238.65600000000001</v>
      </c>
      <c r="W68" s="389">
        <f t="shared" ref="W68:Z68" si="36">W67*(1+$U$53)</f>
        <v>238.65600000000001</v>
      </c>
      <c r="X68" s="389">
        <f t="shared" si="36"/>
        <v>275.94599999999997</v>
      </c>
      <c r="Y68" s="389">
        <f t="shared" si="36"/>
        <v>275.94599999999997</v>
      </c>
      <c r="Z68" s="389">
        <f t="shared" si="36"/>
        <v>238.65600000000001</v>
      </c>
    </row>
    <row r="69" spans="1:26" customFormat="1" ht="15.6">
      <c r="A69" s="443" t="s">
        <v>344</v>
      </c>
      <c r="B69" s="444"/>
      <c r="C69" s="443"/>
      <c r="D69" s="461"/>
      <c r="E69" s="461"/>
      <c r="F69" s="461"/>
      <c r="G69" s="461"/>
      <c r="H69" s="402"/>
      <c r="I69" s="403" t="s">
        <v>317</v>
      </c>
      <c r="J69" s="403" t="s">
        <v>317</v>
      </c>
      <c r="K69" s="403" t="s">
        <v>317</v>
      </c>
      <c r="L69" s="403" t="s">
        <v>317</v>
      </c>
      <c r="M69" s="403" t="s">
        <v>317</v>
      </c>
      <c r="U69" s="370" t="s">
        <v>345</v>
      </c>
      <c r="V69" s="371"/>
      <c r="W69" s="371"/>
      <c r="X69" s="371"/>
      <c r="Y69" s="371"/>
      <c r="Z69" s="372"/>
    </row>
    <row r="70" spans="1:26" customFormat="1">
      <c r="A70" s="468" t="s">
        <v>346</v>
      </c>
      <c r="B70" s="469"/>
      <c r="C70" s="348">
        <v>23</v>
      </c>
      <c r="D70" s="348">
        <v>21</v>
      </c>
      <c r="E70" s="348">
        <v>29</v>
      </c>
      <c r="F70" s="348">
        <v>31</v>
      </c>
      <c r="G70" s="353">
        <v>27</v>
      </c>
      <c r="H70" s="404">
        <v>2.5</v>
      </c>
      <c r="I70" s="405">
        <f>C70*$H$70</f>
        <v>57.5</v>
      </c>
      <c r="J70" s="405">
        <f t="shared" ref="J70:M70" si="37">D70*$H$70</f>
        <v>52.5</v>
      </c>
      <c r="K70" s="405">
        <f t="shared" si="37"/>
        <v>72.5</v>
      </c>
      <c r="L70" s="405">
        <f t="shared" si="37"/>
        <v>77.5</v>
      </c>
      <c r="M70" s="405">
        <f t="shared" si="37"/>
        <v>67.5</v>
      </c>
      <c r="U70" s="373" t="s">
        <v>314</v>
      </c>
      <c r="V70" s="374">
        <v>300</v>
      </c>
      <c r="W70" s="374">
        <v>300</v>
      </c>
      <c r="X70" s="374">
        <v>360</v>
      </c>
      <c r="Y70" s="374">
        <v>360</v>
      </c>
      <c r="Z70" s="374">
        <v>300</v>
      </c>
    </row>
    <row r="71" spans="1:26" customFormat="1">
      <c r="A71" s="468" t="s">
        <v>347</v>
      </c>
      <c r="B71" s="469"/>
      <c r="C71" s="348">
        <v>5</v>
      </c>
      <c r="D71" s="348">
        <v>9</v>
      </c>
      <c r="E71" s="348">
        <v>15</v>
      </c>
      <c r="F71" s="348">
        <v>19</v>
      </c>
      <c r="G71" s="353">
        <v>6</v>
      </c>
      <c r="H71" s="404">
        <v>1.5</v>
      </c>
      <c r="I71" s="405">
        <f>C71*$H$71</f>
        <v>7.5</v>
      </c>
      <c r="J71" s="405">
        <f t="shared" ref="J71:M71" si="38">D71*$H$71</f>
        <v>13.5</v>
      </c>
      <c r="K71" s="405">
        <f t="shared" si="38"/>
        <v>22.5</v>
      </c>
      <c r="L71" s="405">
        <f t="shared" si="38"/>
        <v>28.5</v>
      </c>
      <c r="M71" s="405">
        <f t="shared" si="38"/>
        <v>9</v>
      </c>
      <c r="U71" s="373" t="s">
        <v>318</v>
      </c>
      <c r="V71" s="374">
        <v>0.55000000000000004</v>
      </c>
      <c r="W71" s="374">
        <v>0.55000000000000004</v>
      </c>
      <c r="X71" s="374">
        <v>0.55000000000000004</v>
      </c>
      <c r="Y71" s="374">
        <v>0.55000000000000004</v>
      </c>
      <c r="Z71" s="374">
        <v>0.55000000000000004</v>
      </c>
    </row>
    <row r="72" spans="1:26" customFormat="1">
      <c r="A72" s="468" t="s">
        <v>348</v>
      </c>
      <c r="B72" s="469"/>
      <c r="C72" s="348">
        <v>20</v>
      </c>
      <c r="D72" s="348">
        <v>23</v>
      </c>
      <c r="E72" s="348">
        <v>15</v>
      </c>
      <c r="F72" s="348">
        <v>10</v>
      </c>
      <c r="G72" s="353">
        <v>7</v>
      </c>
      <c r="H72" s="404">
        <v>0.3</v>
      </c>
      <c r="I72" s="405">
        <f>C72*$H$72</f>
        <v>6</v>
      </c>
      <c r="J72" s="405">
        <f t="shared" ref="J72:M72" si="39">D72*$H$72</f>
        <v>6.8999999999999995</v>
      </c>
      <c r="K72" s="405">
        <f t="shared" si="39"/>
        <v>4.5</v>
      </c>
      <c r="L72" s="405">
        <f t="shared" si="39"/>
        <v>3</v>
      </c>
      <c r="M72" s="405">
        <f t="shared" si="39"/>
        <v>2.1</v>
      </c>
      <c r="U72" s="375" t="s">
        <v>320</v>
      </c>
      <c r="V72" s="376">
        <f t="shared" ref="V72:Z72" si="40">V70*V71</f>
        <v>165</v>
      </c>
      <c r="W72" s="376">
        <f t="shared" si="40"/>
        <v>165</v>
      </c>
      <c r="X72" s="376">
        <f t="shared" si="40"/>
        <v>198.00000000000003</v>
      </c>
      <c r="Y72" s="376">
        <f t="shared" si="40"/>
        <v>198.00000000000003</v>
      </c>
      <c r="Z72" s="376">
        <f t="shared" si="40"/>
        <v>165</v>
      </c>
    </row>
    <row r="73" spans="1:26" customFormat="1">
      <c r="A73" s="468" t="s">
        <v>349</v>
      </c>
      <c r="B73" s="469"/>
      <c r="C73" s="348">
        <v>12</v>
      </c>
      <c r="D73" s="348">
        <v>12</v>
      </c>
      <c r="E73" s="348">
        <v>15</v>
      </c>
      <c r="F73" s="348">
        <v>18</v>
      </c>
      <c r="G73" s="348">
        <v>12</v>
      </c>
      <c r="H73" s="404">
        <v>0.3</v>
      </c>
      <c r="I73" s="405">
        <f>C73*$H$73</f>
        <v>3.5999999999999996</v>
      </c>
      <c r="J73" s="405">
        <f t="shared" ref="J73:M73" si="41">D73*$H$73</f>
        <v>3.5999999999999996</v>
      </c>
      <c r="K73" s="405">
        <f t="shared" si="41"/>
        <v>4.5</v>
      </c>
      <c r="L73" s="405">
        <f t="shared" si="41"/>
        <v>5.3999999999999995</v>
      </c>
      <c r="M73" s="405">
        <f t="shared" si="41"/>
        <v>3.5999999999999996</v>
      </c>
      <c r="U73" s="373" t="s">
        <v>322</v>
      </c>
      <c r="V73" s="374">
        <v>0</v>
      </c>
      <c r="W73" s="374">
        <v>0</v>
      </c>
      <c r="X73" s="374">
        <v>0</v>
      </c>
      <c r="Y73" s="374">
        <v>0</v>
      </c>
      <c r="Z73" s="374">
        <v>0</v>
      </c>
    </row>
    <row r="74" spans="1:26" customFormat="1">
      <c r="A74" s="468" t="s">
        <v>350</v>
      </c>
      <c r="B74" s="469"/>
      <c r="C74" s="348">
        <v>0</v>
      </c>
      <c r="D74" s="348">
        <v>0</v>
      </c>
      <c r="E74" s="348">
        <v>0</v>
      </c>
      <c r="F74" s="348">
        <v>0</v>
      </c>
      <c r="G74" s="348">
        <v>0</v>
      </c>
      <c r="H74" s="404">
        <v>1.5</v>
      </c>
      <c r="I74" s="405">
        <f>C74*$H$74</f>
        <v>0</v>
      </c>
      <c r="J74" s="405">
        <f t="shared" ref="J74:M74" si="42">D74*$H$74</f>
        <v>0</v>
      </c>
      <c r="K74" s="405">
        <f t="shared" si="42"/>
        <v>0</v>
      </c>
      <c r="L74" s="405">
        <f t="shared" si="42"/>
        <v>0</v>
      </c>
      <c r="M74" s="405">
        <f t="shared" si="42"/>
        <v>0</v>
      </c>
      <c r="U74" s="373" t="s">
        <v>318</v>
      </c>
      <c r="V74" s="374">
        <v>0</v>
      </c>
      <c r="W74" s="374">
        <v>0</v>
      </c>
      <c r="X74" s="374">
        <v>0</v>
      </c>
      <c r="Y74" s="374">
        <v>0</v>
      </c>
      <c r="Z74" s="374">
        <v>0</v>
      </c>
    </row>
    <row r="75" spans="1:26" customFormat="1">
      <c r="A75" s="468" t="s">
        <v>351</v>
      </c>
      <c r="B75" s="469"/>
      <c r="C75" s="348">
        <v>136</v>
      </c>
      <c r="D75" s="348">
        <v>150</v>
      </c>
      <c r="E75" s="348">
        <v>176</v>
      </c>
      <c r="F75" s="348">
        <v>184</v>
      </c>
      <c r="G75" s="353">
        <v>138</v>
      </c>
      <c r="H75" s="404">
        <v>0.3</v>
      </c>
      <c r="I75" s="405">
        <f>C75*$H$75</f>
        <v>40.799999999999997</v>
      </c>
      <c r="J75" s="405">
        <f t="shared" ref="J75:M75" si="43">D75*$H$75</f>
        <v>45</v>
      </c>
      <c r="K75" s="405">
        <f t="shared" si="43"/>
        <v>52.8</v>
      </c>
      <c r="L75" s="405">
        <f t="shared" si="43"/>
        <v>55.199999999999996</v>
      </c>
      <c r="M75" s="405">
        <f t="shared" si="43"/>
        <v>41.4</v>
      </c>
      <c r="U75" s="375" t="s">
        <v>326</v>
      </c>
      <c r="V75" s="376">
        <f>V73*V74</f>
        <v>0</v>
      </c>
      <c r="W75" s="376">
        <f t="shared" ref="W75:Z75" si="44">W73*W74</f>
        <v>0</v>
      </c>
      <c r="X75" s="376">
        <f t="shared" si="44"/>
        <v>0</v>
      </c>
      <c r="Y75" s="376">
        <f t="shared" si="44"/>
        <v>0</v>
      </c>
      <c r="Z75" s="376">
        <f t="shared" si="44"/>
        <v>0</v>
      </c>
    </row>
    <row r="76" spans="1:26" customFormat="1">
      <c r="A76" s="468" t="s">
        <v>352</v>
      </c>
      <c r="B76" s="469"/>
      <c r="C76" s="348">
        <v>44</v>
      </c>
      <c r="D76" s="348">
        <v>42</v>
      </c>
      <c r="E76" s="348">
        <v>45</v>
      </c>
      <c r="F76" s="348">
        <v>68</v>
      </c>
      <c r="G76" s="353">
        <v>38</v>
      </c>
      <c r="H76" s="404">
        <v>0.3</v>
      </c>
      <c r="I76" s="405">
        <f>C76*$H$76</f>
        <v>13.2</v>
      </c>
      <c r="J76" s="405">
        <f t="shared" ref="J76:M76" si="45">D76*$H$76</f>
        <v>12.6</v>
      </c>
      <c r="K76" s="405">
        <f t="shared" si="45"/>
        <v>13.5</v>
      </c>
      <c r="L76" s="405">
        <f t="shared" si="45"/>
        <v>20.399999999999999</v>
      </c>
      <c r="M76" s="405">
        <f t="shared" si="45"/>
        <v>11.4</v>
      </c>
      <c r="U76" s="373" t="s">
        <v>328</v>
      </c>
      <c r="V76" s="374">
        <v>30</v>
      </c>
      <c r="W76" s="374">
        <v>30</v>
      </c>
      <c r="X76" s="374">
        <v>30</v>
      </c>
      <c r="Y76" s="374">
        <v>30</v>
      </c>
      <c r="Z76" s="374">
        <v>30</v>
      </c>
    </row>
    <row r="77" spans="1:26" customFormat="1">
      <c r="A77" s="468" t="s">
        <v>353</v>
      </c>
      <c r="B77" s="469"/>
      <c r="C77" s="348">
        <v>22</v>
      </c>
      <c r="D77" s="348">
        <v>22</v>
      </c>
      <c r="E77" s="348">
        <v>31</v>
      </c>
      <c r="F77" s="348">
        <v>22</v>
      </c>
      <c r="G77" s="353">
        <v>22</v>
      </c>
      <c r="H77" s="404">
        <v>0.3</v>
      </c>
      <c r="I77" s="405">
        <f>C77*$H$77</f>
        <v>6.6</v>
      </c>
      <c r="J77" s="405">
        <f t="shared" ref="J77:M77" si="46">D77*$H$77</f>
        <v>6.6</v>
      </c>
      <c r="K77" s="405">
        <f t="shared" si="46"/>
        <v>9.2999999999999989</v>
      </c>
      <c r="L77" s="405">
        <f t="shared" si="46"/>
        <v>6.6</v>
      </c>
      <c r="M77" s="405">
        <f t="shared" si="46"/>
        <v>6.6</v>
      </c>
      <c r="U77" s="373" t="s">
        <v>318</v>
      </c>
      <c r="V77" s="374">
        <v>0.44</v>
      </c>
      <c r="W77" s="374">
        <v>0.44</v>
      </c>
      <c r="X77" s="374">
        <v>0.44</v>
      </c>
      <c r="Y77" s="374">
        <v>0.44</v>
      </c>
      <c r="Z77" s="374">
        <v>0.44</v>
      </c>
    </row>
    <row r="78" spans="1:26" customFormat="1">
      <c r="A78" s="462" t="s">
        <v>329</v>
      </c>
      <c r="B78" s="463"/>
      <c r="C78" s="350">
        <v>262</v>
      </c>
      <c r="D78" s="350">
        <v>279</v>
      </c>
      <c r="E78" s="350">
        <v>326</v>
      </c>
      <c r="F78" s="350">
        <v>352</v>
      </c>
      <c r="G78" s="350">
        <v>250</v>
      </c>
      <c r="H78" s="404"/>
      <c r="I78" s="406">
        <f t="shared" ref="I78:M78" si="47">SUM(I70:I77)</f>
        <v>135.19999999999999</v>
      </c>
      <c r="J78" s="406">
        <f t="shared" si="47"/>
        <v>140.69999999999999</v>
      </c>
      <c r="K78" s="406">
        <f t="shared" si="47"/>
        <v>179.60000000000002</v>
      </c>
      <c r="L78" s="406">
        <f t="shared" si="47"/>
        <v>196.6</v>
      </c>
      <c r="M78" s="406">
        <f t="shared" si="47"/>
        <v>141.6</v>
      </c>
      <c r="U78" s="375" t="s">
        <v>330</v>
      </c>
      <c r="V78" s="376">
        <f t="shared" ref="V78:Z78" si="48">V76*V77</f>
        <v>13.2</v>
      </c>
      <c r="W78" s="376">
        <f t="shared" si="48"/>
        <v>13.2</v>
      </c>
      <c r="X78" s="376">
        <f t="shared" si="48"/>
        <v>13.2</v>
      </c>
      <c r="Y78" s="376">
        <f t="shared" si="48"/>
        <v>13.2</v>
      </c>
      <c r="Z78" s="376">
        <f t="shared" si="48"/>
        <v>13.2</v>
      </c>
    </row>
    <row r="79" spans="1:26" customFormat="1">
      <c r="A79" s="462" t="s">
        <v>300</v>
      </c>
      <c r="B79" s="463"/>
      <c r="C79" s="351">
        <f>I78</f>
        <v>135.19999999999999</v>
      </c>
      <c r="D79" s="351">
        <f t="shared" ref="D79:G79" si="49">J78</f>
        <v>140.69999999999999</v>
      </c>
      <c r="E79" s="351">
        <f t="shared" si="49"/>
        <v>179.60000000000002</v>
      </c>
      <c r="F79" s="351">
        <f t="shared" si="49"/>
        <v>196.6</v>
      </c>
      <c r="G79" s="351">
        <f t="shared" si="49"/>
        <v>141.6</v>
      </c>
      <c r="H79" s="398"/>
      <c r="I79" s="398"/>
      <c r="J79" s="398"/>
      <c r="K79" s="398"/>
      <c r="L79" s="398"/>
      <c r="M79" s="398"/>
      <c r="U79" s="377" t="s">
        <v>332</v>
      </c>
      <c r="V79" s="374">
        <v>0</v>
      </c>
      <c r="W79" s="374">
        <v>0</v>
      </c>
      <c r="X79" s="374">
        <v>0</v>
      </c>
      <c r="Y79" s="374">
        <v>0</v>
      </c>
      <c r="Z79" s="374">
        <v>0</v>
      </c>
    </row>
    <row r="80" spans="1:26" customFormat="1">
      <c r="A80" s="462" t="s">
        <v>331</v>
      </c>
      <c r="B80" s="463"/>
      <c r="C80" s="351">
        <v>0.4</v>
      </c>
      <c r="D80" s="351">
        <v>0.4</v>
      </c>
      <c r="E80" s="351">
        <v>0.4</v>
      </c>
      <c r="F80" s="351">
        <v>0.4</v>
      </c>
      <c r="G80" s="351">
        <v>0.4</v>
      </c>
      <c r="H80" s="398"/>
      <c r="I80" s="398"/>
      <c r="J80" s="398"/>
      <c r="K80" s="398"/>
      <c r="L80" s="398"/>
      <c r="M80" s="398"/>
      <c r="U80" s="377" t="s">
        <v>335</v>
      </c>
      <c r="V80" s="374">
        <v>0</v>
      </c>
      <c r="W80" s="374">
        <v>0</v>
      </c>
      <c r="X80" s="374">
        <v>0</v>
      </c>
      <c r="Y80" s="374">
        <v>0</v>
      </c>
      <c r="Z80" s="374">
        <v>0</v>
      </c>
    </row>
    <row r="81" spans="1:26" customFormat="1">
      <c r="A81" s="464" t="s">
        <v>333</v>
      </c>
      <c r="B81" s="465"/>
      <c r="C81" s="352">
        <f t="shared" ref="C81:G81" si="50">C79*C80</f>
        <v>54.08</v>
      </c>
      <c r="D81" s="352">
        <f t="shared" si="50"/>
        <v>56.28</v>
      </c>
      <c r="E81" s="352">
        <f t="shared" si="50"/>
        <v>71.840000000000018</v>
      </c>
      <c r="F81" s="352">
        <f t="shared" si="50"/>
        <v>78.64</v>
      </c>
      <c r="G81" s="352">
        <f t="shared" si="50"/>
        <v>56.64</v>
      </c>
      <c r="H81" s="399"/>
      <c r="I81" s="399"/>
      <c r="J81" s="399"/>
      <c r="K81" s="399"/>
      <c r="L81" s="399"/>
      <c r="M81" s="399"/>
      <c r="U81" s="375" t="s">
        <v>337</v>
      </c>
      <c r="V81" s="376">
        <f t="shared" ref="V81:Z81" si="51">V79*V80</f>
        <v>0</v>
      </c>
      <c r="W81" s="376">
        <f t="shared" si="51"/>
        <v>0</v>
      </c>
      <c r="X81" s="376">
        <f t="shared" si="51"/>
        <v>0</v>
      </c>
      <c r="Y81" s="376">
        <f t="shared" si="51"/>
        <v>0</v>
      </c>
      <c r="Z81" s="376">
        <f t="shared" si="51"/>
        <v>0</v>
      </c>
    </row>
    <row r="82" spans="1:26" customFormat="1">
      <c r="A82" s="354"/>
      <c r="B82" s="355"/>
      <c r="C82" s="356"/>
      <c r="D82" s="356"/>
      <c r="E82" s="356"/>
      <c r="F82" s="356"/>
      <c r="G82" s="357"/>
      <c r="H82" s="354"/>
      <c r="I82" s="354"/>
      <c r="J82" s="354"/>
      <c r="K82" s="354"/>
      <c r="L82" s="354"/>
      <c r="M82" s="354"/>
      <c r="U82" s="378" t="s">
        <v>338</v>
      </c>
      <c r="V82" s="379">
        <f t="shared" ref="V82:Z82" si="52">V72+V75+V78+V81</f>
        <v>178.2</v>
      </c>
      <c r="W82" s="379">
        <f t="shared" si="52"/>
        <v>178.2</v>
      </c>
      <c r="X82" s="379">
        <f t="shared" si="52"/>
        <v>211.20000000000002</v>
      </c>
      <c r="Y82" s="379">
        <f t="shared" si="52"/>
        <v>211.20000000000002</v>
      </c>
      <c r="Z82" s="379">
        <f t="shared" si="52"/>
        <v>178.2</v>
      </c>
    </row>
    <row r="83" spans="1:26" customFormat="1" ht="15" customHeight="1">
      <c r="A83" s="391" t="s">
        <v>354</v>
      </c>
      <c r="B83" s="358" t="s">
        <v>303</v>
      </c>
      <c r="C83" s="359">
        <f>C50+C60+C68+C81</f>
        <v>623.10000000000014</v>
      </c>
      <c r="D83" s="359">
        <f t="shared" ref="D83:G83" si="53">D50+D60+D68+D81</f>
        <v>619.5200000000001</v>
      </c>
      <c r="E83" s="359">
        <f t="shared" si="53"/>
        <v>777.26000000000022</v>
      </c>
      <c r="F83" s="359">
        <f t="shared" si="53"/>
        <v>669.58</v>
      </c>
      <c r="G83" s="359">
        <f t="shared" si="53"/>
        <v>578.20000000000005</v>
      </c>
      <c r="H83" s="400"/>
      <c r="I83" s="400"/>
      <c r="J83" s="400"/>
      <c r="K83" s="400"/>
      <c r="L83" s="400"/>
      <c r="M83" s="400"/>
      <c r="U83" s="390">
        <f>'P&amp;L'!$R$10</f>
        <v>0.13</v>
      </c>
      <c r="V83" s="389">
        <f>V82*(1+$U$53)</f>
        <v>201.36599999999996</v>
      </c>
      <c r="W83" s="389">
        <f t="shared" ref="W83:Z83" si="54">W82*(1+$U$53)</f>
        <v>201.36599999999996</v>
      </c>
      <c r="X83" s="389">
        <f t="shared" si="54"/>
        <v>238.65600000000001</v>
      </c>
      <c r="Y83" s="389">
        <f t="shared" si="54"/>
        <v>238.65600000000001</v>
      </c>
      <c r="Z83" s="389">
        <f t="shared" si="54"/>
        <v>201.36599999999996</v>
      </c>
    </row>
    <row r="84" spans="1:26" customFormat="1">
      <c r="B84" s="390">
        <f>'P&amp;L'!$R$10</f>
        <v>0.13</v>
      </c>
      <c r="C84" s="392">
        <f>C83*(1+$U$53)</f>
        <v>704.10300000000007</v>
      </c>
      <c r="D84" s="392">
        <f>D83*(1+$U$53)</f>
        <v>700.05760000000009</v>
      </c>
      <c r="E84" s="392">
        <f>E83*(1+$U$53)</f>
        <v>878.30380000000014</v>
      </c>
      <c r="F84" s="392">
        <f>F83*(1+$U$53)</f>
        <v>756.62540000000001</v>
      </c>
      <c r="G84" s="392">
        <f>G83*(1+$U$53)</f>
        <v>653.36599999999999</v>
      </c>
      <c r="H84" s="401"/>
      <c r="I84" s="401"/>
      <c r="J84" s="401"/>
      <c r="K84" s="401"/>
      <c r="L84" s="401"/>
      <c r="M84" s="401"/>
      <c r="U84" s="370" t="s">
        <v>355</v>
      </c>
      <c r="V84" s="371"/>
      <c r="W84" s="371"/>
      <c r="X84" s="371"/>
      <c r="Y84" s="371"/>
      <c r="Z84" s="372"/>
    </row>
    <row r="85" spans="1:26" customFormat="1">
      <c r="U85" s="380" t="s">
        <v>356</v>
      </c>
      <c r="V85" s="381">
        <v>215</v>
      </c>
      <c r="W85" s="381">
        <v>215</v>
      </c>
      <c r="X85" s="381">
        <v>215</v>
      </c>
      <c r="Y85" s="381">
        <v>215</v>
      </c>
      <c r="Z85" s="381">
        <v>215</v>
      </c>
    </row>
    <row r="86" spans="1:26" customFormat="1">
      <c r="U86" s="380" t="s">
        <v>357</v>
      </c>
      <c r="V86" s="381">
        <v>215</v>
      </c>
      <c r="W86" s="381">
        <v>215</v>
      </c>
      <c r="X86" s="381">
        <v>215</v>
      </c>
      <c r="Y86" s="381">
        <v>215</v>
      </c>
      <c r="Z86" s="381">
        <v>215</v>
      </c>
    </row>
    <row r="87" spans="1:26" customFormat="1">
      <c r="U87" s="380" t="s">
        <v>358</v>
      </c>
      <c r="V87" s="381">
        <v>50</v>
      </c>
      <c r="W87" s="381">
        <v>50</v>
      </c>
      <c r="X87" s="381">
        <v>50</v>
      </c>
      <c r="Y87" s="381">
        <v>50</v>
      </c>
      <c r="Z87" s="381">
        <v>50</v>
      </c>
    </row>
    <row r="88" spans="1:26" customFormat="1">
      <c r="U88" s="380" t="s">
        <v>359</v>
      </c>
      <c r="V88" s="381">
        <v>350</v>
      </c>
      <c r="W88" s="381">
        <v>350</v>
      </c>
      <c r="X88" s="381">
        <v>350</v>
      </c>
      <c r="Y88" s="381">
        <v>350</v>
      </c>
      <c r="Z88" s="381">
        <v>350</v>
      </c>
    </row>
    <row r="89" spans="1:26" customFormat="1">
      <c r="U89" s="347"/>
      <c r="V89" s="347"/>
      <c r="W89" s="382"/>
      <c r="X89" s="382"/>
      <c r="Y89" s="383"/>
      <c r="Z89" s="382"/>
    </row>
    <row r="90" spans="1:26" customFormat="1">
      <c r="U90" s="384" t="s">
        <v>360</v>
      </c>
      <c r="V90" s="383"/>
      <c r="W90" s="383"/>
      <c r="X90" s="383"/>
      <c r="Y90" s="383"/>
      <c r="Z90" s="383"/>
    </row>
    <row r="91" spans="1:26" customFormat="1">
      <c r="U91" s="385"/>
      <c r="V91" s="386"/>
      <c r="W91" s="386"/>
      <c r="X91" s="386"/>
      <c r="Y91" s="386"/>
      <c r="Z91" s="386"/>
    </row>
    <row r="92" spans="1:26" customFormat="1">
      <c r="U92" s="385"/>
      <c r="V92" s="386"/>
      <c r="W92" s="386"/>
      <c r="X92" s="386"/>
      <c r="Y92" s="386"/>
      <c r="Z92" s="386"/>
    </row>
    <row r="93" spans="1:26" customFormat="1">
      <c r="U93" s="385"/>
      <c r="V93" s="386"/>
      <c r="W93" s="386"/>
      <c r="X93" s="386"/>
      <c r="Y93" s="386"/>
      <c r="Z93" s="386"/>
    </row>
    <row r="94" spans="1:26" customFormat="1">
      <c r="U94" s="385"/>
      <c r="V94" s="386"/>
      <c r="W94" s="386"/>
      <c r="X94" s="386"/>
      <c r="Y94" s="386"/>
      <c r="Z94" s="386"/>
    </row>
    <row r="95" spans="1:26" customFormat="1">
      <c r="U95" s="385"/>
      <c r="V95" s="386"/>
      <c r="W95" s="386"/>
      <c r="X95" s="386"/>
      <c r="Y95" s="386"/>
      <c r="Z95" s="386"/>
    </row>
    <row r="96" spans="1:26" customFormat="1">
      <c r="U96" s="385"/>
      <c r="V96" s="386"/>
      <c r="W96" s="386"/>
      <c r="X96" s="386"/>
      <c r="Y96" s="386"/>
      <c r="Z96" s="386"/>
    </row>
    <row r="97" spans="21:27" customFormat="1"/>
    <row r="98" spans="21:27" customFormat="1"/>
    <row r="99" spans="21:27" customFormat="1"/>
    <row r="100" spans="21:27" customFormat="1"/>
    <row r="101" spans="21:27" customFormat="1"/>
    <row r="102" spans="21:27" customFormat="1">
      <c r="AA102" s="35"/>
    </row>
    <row r="103" spans="21:27" customFormat="1">
      <c r="U103" s="35"/>
      <c r="V103" s="35"/>
      <c r="W103" s="35"/>
      <c r="X103" s="35"/>
      <c r="Y103" s="35"/>
      <c r="Z103" s="35"/>
      <c r="AA103" s="35"/>
    </row>
    <row r="104" spans="21:27" customFormat="1">
      <c r="U104" s="35"/>
      <c r="V104" s="35"/>
      <c r="W104" s="35"/>
      <c r="X104" s="35"/>
      <c r="Y104" s="35"/>
      <c r="Z104" s="35"/>
      <c r="AA104" s="35"/>
    </row>
  </sheetData>
  <mergeCells count="60"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C51:G51"/>
    <mergeCell ref="A52:B52"/>
    <mergeCell ref="A53:B53"/>
    <mergeCell ref="A54:B54"/>
    <mergeCell ref="C61:G61"/>
    <mergeCell ref="A55:B55"/>
    <mergeCell ref="A56:B56"/>
    <mergeCell ref="A57:B57"/>
    <mergeCell ref="A58:B58"/>
    <mergeCell ref="A59:B59"/>
    <mergeCell ref="A65:B65"/>
    <mergeCell ref="A66:B66"/>
    <mergeCell ref="A67:B67"/>
    <mergeCell ref="A68:B68"/>
    <mergeCell ref="A60:B60"/>
    <mergeCell ref="A61:B61"/>
    <mergeCell ref="A62:B62"/>
    <mergeCell ref="A63:B63"/>
    <mergeCell ref="A78:B78"/>
    <mergeCell ref="A79:B79"/>
    <mergeCell ref="A80:B80"/>
    <mergeCell ref="A81:B81"/>
    <mergeCell ref="AB44:AC44"/>
    <mergeCell ref="A73:B73"/>
    <mergeCell ref="A74:B74"/>
    <mergeCell ref="A75:B75"/>
    <mergeCell ref="A76:B76"/>
    <mergeCell ref="A77:B77"/>
    <mergeCell ref="A69:B69"/>
    <mergeCell ref="C69:G69"/>
    <mergeCell ref="A70:B70"/>
    <mergeCell ref="A71:B71"/>
    <mergeCell ref="A72:B72"/>
    <mergeCell ref="A64:B64"/>
    <mergeCell ref="A40:G40"/>
    <mergeCell ref="A41:B41"/>
    <mergeCell ref="AB36:AC36"/>
    <mergeCell ref="A36:G36"/>
    <mergeCell ref="O36:R36"/>
    <mergeCell ref="U37:Z37"/>
    <mergeCell ref="U36:Z36"/>
    <mergeCell ref="AB37:AC37"/>
    <mergeCell ref="A37:B39"/>
    <mergeCell ref="C37:G37"/>
    <mergeCell ref="C38:C39"/>
    <mergeCell ref="D38:D39"/>
    <mergeCell ref="E38:E39"/>
    <mergeCell ref="F38:F39"/>
    <mergeCell ref="G38:G39"/>
    <mergeCell ref="C41:G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8656-EC99-438A-BD5C-5611D00A964E}">
  <sheetPr>
    <tabColor rgb="FFFFFF00"/>
  </sheetPr>
  <dimension ref="A1:AD457"/>
  <sheetViews>
    <sheetView topLeftCell="A17" zoomScale="115" zoomScaleNormal="115" workbookViewId="0">
      <selection activeCell="B75" sqref="B75"/>
    </sheetView>
  </sheetViews>
  <sheetFormatPr defaultColWidth="9.28515625" defaultRowHeight="14.45" outlineLevelCol="1"/>
  <cols>
    <col min="1" max="1" width="12.28515625" customWidth="1"/>
    <col min="2" max="2" width="77.5703125" customWidth="1"/>
    <col min="3" max="3" width="14.7109375" hidden="1" customWidth="1"/>
    <col min="4" max="4" width="20.28515625" style="192" hidden="1" customWidth="1" outlineLevel="1"/>
    <col min="5" max="8" width="20.7109375" style="192" hidden="1" customWidth="1" outlineLevel="1"/>
    <col min="9" max="9" width="13.28515625" hidden="1" customWidth="1" outlineLevel="1"/>
    <col min="10" max="10" width="7.7109375" hidden="1" customWidth="1" outlineLevel="1"/>
    <col min="11" max="11" width="19.28515625" hidden="1" customWidth="1" outlineLevel="1"/>
    <col min="12" max="12" width="28" style="192" hidden="1" customWidth="1" outlineLevel="1"/>
    <col min="13" max="13" width="8.28515625" hidden="1" customWidth="1" outlineLevel="1"/>
    <col min="14" max="14" width="3.28515625" hidden="1" customWidth="1" outlineLevel="1"/>
    <col min="15" max="15" width="12" customWidth="1" collapsed="1"/>
    <col min="16" max="16" width="16" customWidth="1" outlineLevel="1"/>
    <col min="17" max="17" width="14" style="191" customWidth="1" outlineLevel="1"/>
    <col min="18" max="18" width="13.28515625" style="192" hidden="1" customWidth="1" outlineLevel="1"/>
    <col min="19" max="20" width="11.7109375" hidden="1" customWidth="1" outlineLevel="1"/>
    <col min="21" max="21" width="11.28515625" hidden="1" customWidth="1" outlineLevel="1"/>
    <col min="22" max="22" width="13.28515625" style="193" hidden="1" customWidth="1" outlineLevel="1"/>
    <col min="23" max="23" width="11.7109375" style="194" hidden="1" customWidth="1" outlineLevel="1"/>
    <col min="24" max="24" width="16.28515625" hidden="1" customWidth="1" outlineLevel="1"/>
    <col min="25" max="25" width="16.5703125" hidden="1" customWidth="1" outlineLevel="1"/>
    <col min="26" max="26" width="13.5703125" hidden="1" customWidth="1"/>
    <col min="27" max="27" width="11.7109375" style="179" hidden="1" customWidth="1"/>
    <col min="28" max="28" width="11.42578125" hidden="1" customWidth="1"/>
    <col min="29" max="29" width="2.7109375" hidden="1" customWidth="1"/>
  </cols>
  <sheetData>
    <row r="1" spans="1:29" ht="29.45" customHeight="1">
      <c r="A1">
        <v>1</v>
      </c>
      <c r="B1">
        <v>2</v>
      </c>
      <c r="C1" s="187">
        <v>3</v>
      </c>
      <c r="D1" s="190">
        <v>4</v>
      </c>
      <c r="E1" s="190">
        <v>5</v>
      </c>
      <c r="F1" s="190">
        <v>6</v>
      </c>
      <c r="G1" s="190">
        <v>7</v>
      </c>
      <c r="H1" s="190">
        <v>8</v>
      </c>
      <c r="I1" s="187">
        <v>9</v>
      </c>
      <c r="J1" s="187">
        <v>10</v>
      </c>
      <c r="K1" s="187">
        <v>11</v>
      </c>
      <c r="L1" s="187">
        <v>12</v>
      </c>
      <c r="M1" s="187">
        <v>13</v>
      </c>
      <c r="N1" s="187">
        <v>14</v>
      </c>
      <c r="O1" s="187">
        <v>15</v>
      </c>
      <c r="P1" s="187">
        <v>16</v>
      </c>
      <c r="Q1" s="191">
        <v>17</v>
      </c>
      <c r="R1" s="192">
        <v>18</v>
      </c>
      <c r="S1" s="187">
        <v>19</v>
      </c>
      <c r="T1" s="187">
        <v>20</v>
      </c>
    </row>
    <row r="2" spans="1:29" ht="21" customHeight="1">
      <c r="A2" s="187" t="s">
        <v>361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8"/>
      <c r="R2" s="187"/>
      <c r="S2" s="187">
        <v>0.42</v>
      </c>
      <c r="T2" s="187"/>
      <c r="U2" s="187"/>
      <c r="V2" s="244">
        <f>'P&amp;L'!R8</f>
        <v>0.13</v>
      </c>
      <c r="W2" s="244">
        <f>'P&amp;L'!R9</f>
        <v>0.13</v>
      </c>
      <c r="X2" s="187"/>
      <c r="Y2" s="187"/>
      <c r="Z2" s="187"/>
      <c r="AA2" s="187"/>
      <c r="AB2" s="187"/>
      <c r="AC2" s="187"/>
    </row>
    <row r="3" spans="1:29" ht="1.1499999999999999" customHeight="1">
      <c r="A3" s="189"/>
      <c r="B3" s="189"/>
      <c r="C3" s="187"/>
      <c r="D3" s="190"/>
      <c r="E3" s="190"/>
      <c r="F3" s="190"/>
      <c r="G3" s="190"/>
      <c r="H3" s="190"/>
      <c r="I3" s="187"/>
      <c r="J3" s="187"/>
      <c r="K3" s="187"/>
      <c r="L3" s="187"/>
      <c r="M3" s="187"/>
      <c r="N3" s="187"/>
    </row>
    <row r="4" spans="1:29" ht="1.1499999999999999" customHeight="1">
      <c r="A4" s="189"/>
      <c r="B4" s="189"/>
      <c r="C4" s="187"/>
      <c r="D4" s="190"/>
      <c r="E4" s="190"/>
      <c r="F4" s="190"/>
      <c r="G4" s="190"/>
      <c r="H4" s="190"/>
      <c r="I4" s="187"/>
      <c r="J4" s="187"/>
      <c r="K4" s="187"/>
      <c r="L4" s="187"/>
      <c r="M4" s="187"/>
      <c r="N4" s="187"/>
    </row>
    <row r="5" spans="1:29" ht="1.1499999999999999" customHeight="1">
      <c r="A5" s="189"/>
      <c r="B5" s="189"/>
      <c r="C5" s="187"/>
      <c r="D5" s="190"/>
      <c r="E5" s="190"/>
      <c r="F5" s="190"/>
      <c r="G5" s="190"/>
      <c r="H5" s="190"/>
      <c r="I5" s="187"/>
      <c r="J5" s="187"/>
      <c r="K5" s="187"/>
      <c r="L5" s="187"/>
      <c r="M5" s="187"/>
      <c r="N5" s="187"/>
    </row>
    <row r="6" spans="1:29" ht="1.1499999999999999" customHeight="1">
      <c r="A6" s="189"/>
      <c r="B6" s="189"/>
      <c r="C6" s="187"/>
      <c r="D6" s="190"/>
      <c r="E6" s="190"/>
      <c r="F6" s="190"/>
      <c r="G6" s="190"/>
      <c r="H6" s="190"/>
      <c r="I6" s="187"/>
      <c r="J6" s="187"/>
      <c r="K6" s="187"/>
      <c r="L6" s="187"/>
      <c r="M6" s="187"/>
      <c r="N6" s="187"/>
    </row>
    <row r="7" spans="1:29" ht="1.1499999999999999" customHeight="1">
      <c r="A7" s="189"/>
      <c r="B7" s="189"/>
      <c r="C7" s="187"/>
      <c r="D7" s="190"/>
      <c r="E7" s="190"/>
      <c r="F7" s="190"/>
      <c r="G7" s="190"/>
      <c r="H7" s="190"/>
      <c r="I7" s="187"/>
      <c r="J7" s="187"/>
      <c r="K7" s="187"/>
      <c r="L7" s="187"/>
      <c r="M7" s="187"/>
      <c r="N7" s="187"/>
    </row>
    <row r="8" spans="1:29" ht="28.9">
      <c r="A8" s="476" t="s">
        <v>362</v>
      </c>
      <c r="B8" s="476"/>
      <c r="C8" s="476"/>
      <c r="D8" s="476"/>
      <c r="E8" s="476"/>
      <c r="F8" s="476"/>
      <c r="G8" s="476"/>
      <c r="H8" s="476"/>
      <c r="I8" s="476"/>
      <c r="J8" s="476"/>
      <c r="K8" s="476"/>
      <c r="L8" s="476"/>
      <c r="M8" s="476"/>
      <c r="N8" s="476"/>
      <c r="O8" s="476"/>
      <c r="P8" s="476"/>
      <c r="Q8" s="476"/>
      <c r="R8" s="476"/>
      <c r="S8" s="476"/>
      <c r="T8" s="476"/>
      <c r="U8" s="476"/>
      <c r="V8" s="476"/>
      <c r="W8" s="476"/>
      <c r="X8" s="476"/>
      <c r="Y8" s="476"/>
      <c r="Z8" s="476"/>
      <c r="AA8" s="476"/>
      <c r="AB8" s="476"/>
      <c r="AC8" s="195"/>
    </row>
    <row r="9" spans="1:29" s="192" customFormat="1" ht="28.9">
      <c r="A9" s="34" t="s">
        <v>205</v>
      </c>
      <c r="B9" s="34" t="s">
        <v>363</v>
      </c>
      <c r="C9" s="196" t="s">
        <v>364</v>
      </c>
      <c r="D9" s="196" t="s">
        <v>365</v>
      </c>
      <c r="E9" s="196" t="s">
        <v>366</v>
      </c>
      <c r="F9" s="196" t="s">
        <v>367</v>
      </c>
      <c r="G9" s="196" t="s">
        <v>368</v>
      </c>
      <c r="H9" s="196" t="s">
        <v>369</v>
      </c>
      <c r="I9" s="197" t="s">
        <v>370</v>
      </c>
      <c r="J9" s="198" t="s">
        <v>371</v>
      </c>
      <c r="K9" s="196" t="s">
        <v>372</v>
      </c>
      <c r="L9" s="196" t="s">
        <v>373</v>
      </c>
      <c r="M9" s="196" t="s">
        <v>374</v>
      </c>
      <c r="N9" s="192" t="s">
        <v>375</v>
      </c>
      <c r="O9" s="192" t="s">
        <v>376</v>
      </c>
      <c r="P9" s="199" t="s">
        <v>377</v>
      </c>
      <c r="Q9" s="200" t="s">
        <v>378</v>
      </c>
      <c r="R9" s="199" t="s">
        <v>379</v>
      </c>
      <c r="S9" s="199" t="s">
        <v>380</v>
      </c>
      <c r="T9" s="199" t="s">
        <v>381</v>
      </c>
      <c r="U9" s="199" t="s">
        <v>382</v>
      </c>
      <c r="V9" s="201" t="s">
        <v>383</v>
      </c>
      <c r="W9" s="202" t="s">
        <v>384</v>
      </c>
      <c r="X9" s="199" t="s">
        <v>385</v>
      </c>
      <c r="Y9" s="199" t="s">
        <v>386</v>
      </c>
      <c r="Z9" s="199" t="s">
        <v>387</v>
      </c>
      <c r="AA9" s="196" t="s">
        <v>388</v>
      </c>
      <c r="AB9" s="199" t="s">
        <v>389</v>
      </c>
      <c r="AC9" s="192" t="s">
        <v>390</v>
      </c>
    </row>
    <row r="10" spans="1:29">
      <c r="A10" s="192">
        <v>1001</v>
      </c>
      <c r="B10" t="s">
        <v>391</v>
      </c>
      <c r="C10" s="192">
        <v>1</v>
      </c>
      <c r="I10" s="192"/>
      <c r="J10" s="192"/>
      <c r="K10" s="192"/>
      <c r="L10" s="203"/>
      <c r="M10" s="192"/>
      <c r="N10" s="204"/>
      <c r="O10" s="205">
        <v>0.47</v>
      </c>
      <c r="P10" s="205">
        <f>Table1[[#This Row],[unit cost]]</f>
        <v>0.47</v>
      </c>
      <c r="Q10" s="207">
        <v>0.5</v>
      </c>
      <c r="R10" s="192">
        <v>1</v>
      </c>
      <c r="S10" s="256">
        <f t="shared" ref="S10:S60" si="0">$S$2</f>
        <v>0.42</v>
      </c>
      <c r="T10" s="208">
        <f>Table1[[#This Row],[man minutes]]*Table1[[#This Row],[labor rate]]</f>
        <v>0.21</v>
      </c>
      <c r="U10" s="208">
        <f t="shared" ref="U10:U15" si="1">P10+T10</f>
        <v>0.67999999999999994</v>
      </c>
      <c r="V10" s="193">
        <f t="shared" ref="V10:V15" si="2">$V$2</f>
        <v>0.13</v>
      </c>
      <c r="W10" s="257">
        <f t="shared" ref="W10:W61" si="3">$W$2</f>
        <v>0.13</v>
      </c>
      <c r="X10" s="208">
        <f t="shared" ref="X10:X23" si="4">P10*(1+V10)</f>
        <v>0.53109999999999991</v>
      </c>
      <c r="Y10" s="208">
        <f>T10+(T10*W10)</f>
        <v>0.23729999999999998</v>
      </c>
      <c r="Z10" s="208">
        <f t="shared" ref="Z10:Z15" si="5">IFERROR(ROUNDUP(X10+Y10,2)," ")</f>
        <v>0.77</v>
      </c>
      <c r="AA10" s="210">
        <f>+Table1[[#This Row],[calculated sale price]]</f>
        <v>0.77</v>
      </c>
      <c r="AB10" s="209"/>
      <c r="AC10" s="213"/>
    </row>
    <row r="11" spans="1:29">
      <c r="A11" s="192">
        <v>1002</v>
      </c>
      <c r="B11" t="s">
        <v>392</v>
      </c>
      <c r="C11" s="192">
        <v>1</v>
      </c>
      <c r="I11" s="192"/>
      <c r="J11" s="192"/>
      <c r="K11" s="192"/>
      <c r="L11" s="203"/>
      <c r="M11" s="192"/>
      <c r="N11" s="204"/>
      <c r="O11" s="205">
        <v>0.3</v>
      </c>
      <c r="P11" s="205">
        <f>Table1[[#This Row],[unit cost]]</f>
        <v>0.3</v>
      </c>
      <c r="Q11" s="207">
        <v>0.25</v>
      </c>
      <c r="R11" s="192">
        <v>1</v>
      </c>
      <c r="S11" s="256">
        <f t="shared" si="0"/>
        <v>0.42</v>
      </c>
      <c r="T11" s="208">
        <f>Table1[[#This Row],[man minutes]]*Table1[[#This Row],[labor rate]]</f>
        <v>0.105</v>
      </c>
      <c r="U11" s="208">
        <f t="shared" si="1"/>
        <v>0.40499999999999997</v>
      </c>
      <c r="V11" s="193">
        <f t="shared" si="2"/>
        <v>0.13</v>
      </c>
      <c r="W11" s="257">
        <f t="shared" si="3"/>
        <v>0.13</v>
      </c>
      <c r="X11" s="208">
        <f t="shared" si="4"/>
        <v>0.33899999999999997</v>
      </c>
      <c r="Y11" s="208">
        <f t="shared" ref="Y11:Y15" si="6">T11+(T11*W11)</f>
        <v>0.11864999999999999</v>
      </c>
      <c r="Z11" s="208">
        <f t="shared" si="5"/>
        <v>0.46</v>
      </c>
      <c r="AA11" s="210">
        <f>+Table1[[#This Row],[calculated sale price]]</f>
        <v>0.46</v>
      </c>
      <c r="AB11" s="209"/>
      <c r="AC11" s="213"/>
    </row>
    <row r="12" spans="1:29">
      <c r="A12" s="192">
        <v>1003</v>
      </c>
      <c r="B12" t="s">
        <v>393</v>
      </c>
      <c r="C12" s="192">
        <v>1</v>
      </c>
      <c r="I12" s="192"/>
      <c r="J12" s="192"/>
      <c r="K12" s="192"/>
      <c r="L12" s="203"/>
      <c r="M12" s="192"/>
      <c r="N12" s="204"/>
      <c r="O12" s="205">
        <v>0.14000000000000001</v>
      </c>
      <c r="P12" s="205">
        <f>Table1[[#This Row],[unit cost]]</f>
        <v>0.14000000000000001</v>
      </c>
      <c r="Q12" s="207">
        <v>0.25</v>
      </c>
      <c r="R12" s="192">
        <v>1</v>
      </c>
      <c r="S12" s="256">
        <f t="shared" si="0"/>
        <v>0.42</v>
      </c>
      <c r="T12" s="208">
        <f>Table1[[#This Row],[man minutes]]*Table1[[#This Row],[labor rate]]</f>
        <v>0.105</v>
      </c>
      <c r="U12" s="208">
        <f t="shared" si="1"/>
        <v>0.245</v>
      </c>
      <c r="V12" s="193">
        <f t="shared" si="2"/>
        <v>0.13</v>
      </c>
      <c r="W12" s="257">
        <f t="shared" si="3"/>
        <v>0.13</v>
      </c>
      <c r="X12" s="208">
        <f t="shared" si="4"/>
        <v>0.15820000000000001</v>
      </c>
      <c r="Y12" s="208">
        <f t="shared" si="6"/>
        <v>0.11864999999999999</v>
      </c>
      <c r="Z12" s="208">
        <f t="shared" si="5"/>
        <v>0.28000000000000003</v>
      </c>
      <c r="AA12" s="210">
        <f>+Table1[[#This Row],[calculated sale price]]</f>
        <v>0.28000000000000003</v>
      </c>
      <c r="AB12" s="209"/>
      <c r="AC12" s="213"/>
    </row>
    <row r="13" spans="1:29">
      <c r="A13" s="192">
        <v>1004</v>
      </c>
      <c r="B13" t="s">
        <v>394</v>
      </c>
      <c r="C13" s="192">
        <v>1</v>
      </c>
      <c r="I13" s="192"/>
      <c r="J13" s="192"/>
      <c r="K13" s="192"/>
      <c r="L13" s="203"/>
      <c r="M13" s="192"/>
      <c r="N13" s="204"/>
      <c r="O13" s="205">
        <v>0.25</v>
      </c>
      <c r="P13" s="205">
        <f>Table1[[#This Row],[unit cost]]</f>
        <v>0.25</v>
      </c>
      <c r="Q13" s="207">
        <v>0.25</v>
      </c>
      <c r="R13" s="192">
        <v>1</v>
      </c>
      <c r="S13" s="256">
        <f t="shared" si="0"/>
        <v>0.42</v>
      </c>
      <c r="T13" s="208">
        <f>Table1[[#This Row],[man minutes]]*Table1[[#This Row],[labor rate]]</f>
        <v>0.105</v>
      </c>
      <c r="U13" s="208">
        <f t="shared" si="1"/>
        <v>0.35499999999999998</v>
      </c>
      <c r="V13" s="193">
        <f t="shared" si="2"/>
        <v>0.13</v>
      </c>
      <c r="W13" s="257">
        <f t="shared" si="3"/>
        <v>0.13</v>
      </c>
      <c r="X13" s="208">
        <f t="shared" si="4"/>
        <v>0.28249999999999997</v>
      </c>
      <c r="Y13" s="208">
        <f t="shared" si="6"/>
        <v>0.11864999999999999</v>
      </c>
      <c r="Z13" s="208">
        <f t="shared" si="5"/>
        <v>0.41000000000000003</v>
      </c>
      <c r="AA13" s="210">
        <f>+Table1[[#This Row],[calculated sale price]]</f>
        <v>0.41000000000000003</v>
      </c>
      <c r="AB13" s="209"/>
      <c r="AC13" s="213"/>
    </row>
    <row r="14" spans="1:29">
      <c r="A14" s="192">
        <v>1005</v>
      </c>
      <c r="B14" t="s">
        <v>395</v>
      </c>
      <c r="C14" s="192">
        <v>1</v>
      </c>
      <c r="I14" s="192"/>
      <c r="J14" s="192"/>
      <c r="K14" s="192"/>
      <c r="L14" s="203"/>
      <c r="M14" s="192"/>
      <c r="N14" s="204"/>
      <c r="O14" s="205">
        <v>2.87</v>
      </c>
      <c r="P14" s="205">
        <f>Table1[[#This Row],[unit cost]]</f>
        <v>2.87</v>
      </c>
      <c r="Q14" s="207">
        <v>4.25</v>
      </c>
      <c r="R14" s="192">
        <v>1</v>
      </c>
      <c r="S14" s="256">
        <f t="shared" si="0"/>
        <v>0.42</v>
      </c>
      <c r="T14" s="208">
        <f>Table1[[#This Row],[man minutes]]*Table1[[#This Row],[labor rate]]</f>
        <v>1.7849999999999999</v>
      </c>
      <c r="U14" s="208">
        <f t="shared" si="1"/>
        <v>4.6550000000000002</v>
      </c>
      <c r="V14" s="193">
        <f t="shared" si="2"/>
        <v>0.13</v>
      </c>
      <c r="W14" s="257">
        <f t="shared" si="3"/>
        <v>0.13</v>
      </c>
      <c r="X14" s="208">
        <f t="shared" si="4"/>
        <v>3.2430999999999996</v>
      </c>
      <c r="Y14" s="208">
        <f t="shared" si="6"/>
        <v>2.0170499999999998</v>
      </c>
      <c r="Z14" s="208">
        <f t="shared" si="5"/>
        <v>5.27</v>
      </c>
      <c r="AA14" s="210">
        <f>+Table1[[#This Row],[calculated sale price]]</f>
        <v>5.27</v>
      </c>
      <c r="AB14" s="209"/>
      <c r="AC14" s="213"/>
    </row>
    <row r="15" spans="1:29">
      <c r="A15" s="192">
        <v>1006</v>
      </c>
      <c r="B15" t="s">
        <v>396</v>
      </c>
      <c r="C15" s="192">
        <v>1</v>
      </c>
      <c r="I15" s="192"/>
      <c r="J15" s="192"/>
      <c r="K15" s="192"/>
      <c r="L15" s="203"/>
      <c r="M15" s="192"/>
      <c r="N15" s="204"/>
      <c r="O15" s="205">
        <v>5.0599999999999996</v>
      </c>
      <c r="P15" s="205">
        <f>Table1[[#This Row],[unit cost]]</f>
        <v>5.0599999999999996</v>
      </c>
      <c r="Q15" s="207">
        <v>2.7</v>
      </c>
      <c r="R15" s="192">
        <v>1</v>
      </c>
      <c r="S15" s="256">
        <f t="shared" si="0"/>
        <v>0.42</v>
      </c>
      <c r="T15" s="208">
        <f>Table1[[#This Row],[man minutes]]*Table1[[#This Row],[labor rate]]</f>
        <v>1.1340000000000001</v>
      </c>
      <c r="U15" s="208">
        <f t="shared" si="1"/>
        <v>6.194</v>
      </c>
      <c r="V15" s="193">
        <f t="shared" si="2"/>
        <v>0.13</v>
      </c>
      <c r="W15" s="257">
        <f t="shared" si="3"/>
        <v>0.13</v>
      </c>
      <c r="X15" s="208">
        <f t="shared" si="4"/>
        <v>5.7177999999999987</v>
      </c>
      <c r="Y15" s="208">
        <f t="shared" si="6"/>
        <v>1.2814200000000002</v>
      </c>
      <c r="Z15" s="208">
        <f t="shared" si="5"/>
        <v>7</v>
      </c>
      <c r="AA15" s="210">
        <f>+Table1[[#This Row],[calculated sale price]]</f>
        <v>7</v>
      </c>
      <c r="AB15" s="209"/>
      <c r="AC15" s="213"/>
    </row>
    <row r="16" spans="1:29">
      <c r="A16" s="192">
        <v>1007</v>
      </c>
      <c r="B16" t="s">
        <v>397</v>
      </c>
      <c r="C16" s="192">
        <v>1</v>
      </c>
      <c r="I16" s="192"/>
      <c r="J16" s="192"/>
      <c r="K16" s="192"/>
      <c r="L16" s="203"/>
      <c r="M16" s="192"/>
      <c r="N16" s="204"/>
      <c r="O16" s="205">
        <v>2.95</v>
      </c>
      <c r="P16" s="205">
        <f>Table1[[#This Row],[unit cost]]</f>
        <v>2.95</v>
      </c>
      <c r="Q16" s="207">
        <v>3.75</v>
      </c>
      <c r="R16" s="192">
        <v>1</v>
      </c>
      <c r="S16" s="256">
        <f t="shared" si="0"/>
        <v>0.42</v>
      </c>
      <c r="T16" s="208">
        <f>Table1[[#This Row],[man minutes]]*Table1[[#This Row],[labor rate]]</f>
        <v>1.575</v>
      </c>
      <c r="U16" s="208">
        <f t="shared" ref="U16:U23" si="7">P16+T16</f>
        <v>4.5250000000000004</v>
      </c>
      <c r="V16" s="193">
        <f t="shared" ref="V16:V79" si="8">$V$2</f>
        <v>0.13</v>
      </c>
      <c r="W16" s="257">
        <f t="shared" si="3"/>
        <v>0.13</v>
      </c>
      <c r="X16" s="208">
        <f t="shared" si="4"/>
        <v>3.3334999999999999</v>
      </c>
      <c r="Y16" s="208">
        <f t="shared" ref="Y16:Y23" si="9">T16+(T16*W16)</f>
        <v>1.7797499999999999</v>
      </c>
      <c r="Z16" s="208">
        <f t="shared" ref="Z16:Z23" si="10">IFERROR(ROUNDUP(X16+Y16,2)," ")</f>
        <v>5.12</v>
      </c>
      <c r="AA16" s="210">
        <f>+Table1[[#This Row],[calculated sale price]]</f>
        <v>5.12</v>
      </c>
      <c r="AB16" s="209"/>
      <c r="AC16" s="213"/>
    </row>
    <row r="17" spans="1:29">
      <c r="A17" s="192">
        <v>1008</v>
      </c>
      <c r="B17" t="s">
        <v>398</v>
      </c>
      <c r="C17" s="192">
        <v>1</v>
      </c>
      <c r="I17" s="192"/>
      <c r="J17" s="192"/>
      <c r="K17" s="192"/>
      <c r="L17" s="203"/>
      <c r="M17" s="192"/>
      <c r="N17" s="204"/>
      <c r="O17" s="205">
        <v>1.59</v>
      </c>
      <c r="P17" s="205">
        <f>Table1[[#This Row],[unit cost]]</f>
        <v>1.59</v>
      </c>
      <c r="Q17" s="207">
        <v>4</v>
      </c>
      <c r="R17" s="192">
        <v>1</v>
      </c>
      <c r="S17" s="256">
        <f t="shared" si="0"/>
        <v>0.42</v>
      </c>
      <c r="T17" s="208">
        <f>Table1[[#This Row],[man minutes]]*Table1[[#This Row],[labor rate]]</f>
        <v>1.68</v>
      </c>
      <c r="U17" s="208">
        <f t="shared" si="7"/>
        <v>3.27</v>
      </c>
      <c r="V17" s="193">
        <f t="shared" si="8"/>
        <v>0.13</v>
      </c>
      <c r="W17" s="257">
        <f t="shared" si="3"/>
        <v>0.13</v>
      </c>
      <c r="X17" s="208">
        <f t="shared" si="4"/>
        <v>1.7967</v>
      </c>
      <c r="Y17" s="208">
        <f t="shared" si="9"/>
        <v>1.8983999999999999</v>
      </c>
      <c r="Z17" s="208">
        <f t="shared" si="10"/>
        <v>3.6999999999999997</v>
      </c>
      <c r="AA17" s="210">
        <f>+Table1[[#This Row],[calculated sale price]]</f>
        <v>3.6999999999999997</v>
      </c>
      <c r="AB17" s="209"/>
      <c r="AC17" s="213"/>
    </row>
    <row r="18" spans="1:29">
      <c r="A18" s="192">
        <v>1009</v>
      </c>
      <c r="B18" t="s">
        <v>399</v>
      </c>
      <c r="C18" s="192">
        <v>1</v>
      </c>
      <c r="I18" s="192"/>
      <c r="J18" s="192"/>
      <c r="K18" s="192"/>
      <c r="L18" s="203"/>
      <c r="M18" s="192"/>
      <c r="N18" s="204"/>
      <c r="O18" s="205">
        <v>4.28</v>
      </c>
      <c r="P18" s="205">
        <f>Table1[[#This Row],[unit cost]]</f>
        <v>4.28</v>
      </c>
      <c r="Q18" s="207">
        <v>4.25</v>
      </c>
      <c r="R18" s="192">
        <v>1</v>
      </c>
      <c r="S18" s="256">
        <f t="shared" si="0"/>
        <v>0.42</v>
      </c>
      <c r="T18" s="208">
        <f>Table1[[#This Row],[man minutes]]*Table1[[#This Row],[labor rate]]</f>
        <v>1.7849999999999999</v>
      </c>
      <c r="U18" s="208">
        <f t="shared" si="7"/>
        <v>6.0650000000000004</v>
      </c>
      <c r="V18" s="193">
        <f t="shared" si="8"/>
        <v>0.13</v>
      </c>
      <c r="W18" s="257">
        <f t="shared" si="3"/>
        <v>0.13</v>
      </c>
      <c r="X18" s="208">
        <f t="shared" si="4"/>
        <v>4.8364000000000003</v>
      </c>
      <c r="Y18" s="208">
        <f t="shared" si="9"/>
        <v>2.0170499999999998</v>
      </c>
      <c r="Z18" s="208">
        <f t="shared" si="10"/>
        <v>6.8599999999999994</v>
      </c>
      <c r="AA18" s="210">
        <f>+Table1[[#This Row],[calculated sale price]]</f>
        <v>6.8599999999999994</v>
      </c>
      <c r="AB18" s="209"/>
      <c r="AC18" s="213"/>
    </row>
    <row r="19" spans="1:29">
      <c r="A19" s="192">
        <v>1010</v>
      </c>
      <c r="B19" t="s">
        <v>400</v>
      </c>
      <c r="C19" s="192">
        <v>1</v>
      </c>
      <c r="I19" s="192"/>
      <c r="J19" s="192"/>
      <c r="K19" s="192"/>
      <c r="L19" s="203"/>
      <c r="M19" s="192"/>
      <c r="N19" s="204"/>
      <c r="O19" s="205">
        <v>9.3000000000000007</v>
      </c>
      <c r="P19" s="205">
        <f>Table1[[#This Row],[unit cost]]</f>
        <v>9.3000000000000007</v>
      </c>
      <c r="Q19" s="207">
        <v>7.5</v>
      </c>
      <c r="R19" s="192">
        <v>1</v>
      </c>
      <c r="S19" s="256">
        <f t="shared" si="0"/>
        <v>0.42</v>
      </c>
      <c r="T19" s="208">
        <f>Table1[[#This Row],[man minutes]]*Table1[[#This Row],[labor rate]]</f>
        <v>3.15</v>
      </c>
      <c r="U19" s="208">
        <f t="shared" si="7"/>
        <v>12.450000000000001</v>
      </c>
      <c r="V19" s="193">
        <f t="shared" si="8"/>
        <v>0.13</v>
      </c>
      <c r="W19" s="257">
        <f t="shared" si="3"/>
        <v>0.13</v>
      </c>
      <c r="X19" s="208">
        <f t="shared" si="4"/>
        <v>10.509</v>
      </c>
      <c r="Y19" s="208">
        <f t="shared" si="9"/>
        <v>3.5594999999999999</v>
      </c>
      <c r="Z19" s="208">
        <f t="shared" si="10"/>
        <v>14.07</v>
      </c>
      <c r="AA19" s="210">
        <f>+Table1[[#This Row],[calculated sale price]]</f>
        <v>14.07</v>
      </c>
      <c r="AB19" s="209"/>
      <c r="AC19" s="213"/>
    </row>
    <row r="20" spans="1:29">
      <c r="A20" s="192">
        <v>1011</v>
      </c>
      <c r="B20" t="s">
        <v>401</v>
      </c>
      <c r="C20" s="192">
        <v>1</v>
      </c>
      <c r="I20" s="192"/>
      <c r="J20" s="192"/>
      <c r="K20" s="192"/>
      <c r="L20" s="203"/>
      <c r="M20" s="192"/>
      <c r="N20" s="204"/>
      <c r="O20" s="205">
        <v>3.41</v>
      </c>
      <c r="P20" s="205">
        <f>Table1[[#This Row],[unit cost]]</f>
        <v>3.41</v>
      </c>
      <c r="Q20" s="207">
        <v>4.25</v>
      </c>
      <c r="R20" s="192">
        <v>1</v>
      </c>
      <c r="S20" s="256">
        <f t="shared" si="0"/>
        <v>0.42</v>
      </c>
      <c r="T20" s="208">
        <f>Table1[[#This Row],[man minutes]]*Table1[[#This Row],[labor rate]]</f>
        <v>1.7849999999999999</v>
      </c>
      <c r="U20" s="208">
        <f t="shared" si="7"/>
        <v>5.1950000000000003</v>
      </c>
      <c r="V20" s="193">
        <f t="shared" si="8"/>
        <v>0.13</v>
      </c>
      <c r="W20" s="257">
        <f t="shared" si="3"/>
        <v>0.13</v>
      </c>
      <c r="X20" s="208">
        <f t="shared" si="4"/>
        <v>3.8532999999999999</v>
      </c>
      <c r="Y20" s="208">
        <f t="shared" si="9"/>
        <v>2.0170499999999998</v>
      </c>
      <c r="Z20" s="208">
        <f t="shared" si="10"/>
        <v>5.88</v>
      </c>
      <c r="AA20" s="210">
        <f>+Table1[[#This Row],[calculated sale price]]</f>
        <v>5.88</v>
      </c>
      <c r="AB20" s="209"/>
      <c r="AC20" s="213"/>
    </row>
    <row r="21" spans="1:29">
      <c r="A21" s="192">
        <v>1012</v>
      </c>
      <c r="B21" t="s">
        <v>402</v>
      </c>
      <c r="C21" s="192">
        <v>1</v>
      </c>
      <c r="I21" s="192"/>
      <c r="J21" s="192"/>
      <c r="K21" s="192"/>
      <c r="L21" s="203"/>
      <c r="M21" s="192"/>
      <c r="N21" s="204"/>
      <c r="O21" s="205">
        <v>0.98</v>
      </c>
      <c r="P21" s="205">
        <f>Table1[[#This Row],[unit cost]]</f>
        <v>0.98</v>
      </c>
      <c r="Q21" s="207">
        <v>2</v>
      </c>
      <c r="R21" s="192">
        <v>1</v>
      </c>
      <c r="S21" s="256">
        <f t="shared" si="0"/>
        <v>0.42</v>
      </c>
      <c r="T21" s="208">
        <f>Table1[[#This Row],[man minutes]]*Table1[[#This Row],[labor rate]]</f>
        <v>0.84</v>
      </c>
      <c r="U21" s="208">
        <f t="shared" si="7"/>
        <v>1.8199999999999998</v>
      </c>
      <c r="V21" s="193">
        <f t="shared" si="8"/>
        <v>0.13</v>
      </c>
      <c r="W21" s="257">
        <f t="shared" si="3"/>
        <v>0.13</v>
      </c>
      <c r="X21" s="208">
        <f t="shared" si="4"/>
        <v>1.1073999999999999</v>
      </c>
      <c r="Y21" s="208">
        <f t="shared" si="9"/>
        <v>0.94919999999999993</v>
      </c>
      <c r="Z21" s="208">
        <f t="shared" si="10"/>
        <v>2.0599999999999996</v>
      </c>
      <c r="AA21" s="210">
        <f>+Table1[[#This Row],[calculated sale price]]</f>
        <v>2.0599999999999996</v>
      </c>
      <c r="AB21" s="209"/>
      <c r="AC21" s="213"/>
    </row>
    <row r="22" spans="1:29">
      <c r="A22" s="192">
        <v>1013</v>
      </c>
      <c r="B22" t="s">
        <v>403</v>
      </c>
      <c r="C22" s="192">
        <v>1</v>
      </c>
      <c r="I22" s="192"/>
      <c r="J22" s="192"/>
      <c r="K22" s="192"/>
      <c r="L22" s="203"/>
      <c r="M22" s="192"/>
      <c r="N22" s="204"/>
      <c r="O22" s="205">
        <v>1.1599999999999999</v>
      </c>
      <c r="P22" s="205">
        <f>Table1[[#This Row],[unit cost]]</f>
        <v>1.1599999999999999</v>
      </c>
      <c r="Q22" s="207">
        <v>1.5</v>
      </c>
      <c r="R22" s="192">
        <v>1</v>
      </c>
      <c r="S22" s="256">
        <f t="shared" si="0"/>
        <v>0.42</v>
      </c>
      <c r="T22" s="208">
        <f>Table1[[#This Row],[man minutes]]*Table1[[#This Row],[labor rate]]</f>
        <v>0.63</v>
      </c>
      <c r="U22" s="208">
        <f t="shared" si="7"/>
        <v>1.79</v>
      </c>
      <c r="V22" s="193">
        <f t="shared" si="8"/>
        <v>0.13</v>
      </c>
      <c r="W22" s="257">
        <f t="shared" si="3"/>
        <v>0.13</v>
      </c>
      <c r="X22" s="208">
        <f t="shared" si="4"/>
        <v>1.3107999999999997</v>
      </c>
      <c r="Y22" s="208">
        <f t="shared" si="9"/>
        <v>0.71189999999999998</v>
      </c>
      <c r="Z22" s="208">
        <f t="shared" si="10"/>
        <v>2.0299999999999998</v>
      </c>
      <c r="AA22" s="210">
        <f>+Table1[[#This Row],[calculated sale price]]</f>
        <v>2.0299999999999998</v>
      </c>
      <c r="AB22" s="209"/>
      <c r="AC22" s="213"/>
    </row>
    <row r="23" spans="1:29">
      <c r="A23" s="192">
        <v>1014</v>
      </c>
      <c r="B23" t="s">
        <v>404</v>
      </c>
      <c r="C23" s="192">
        <v>1</v>
      </c>
      <c r="I23" s="192"/>
      <c r="J23" s="192"/>
      <c r="K23" s="192"/>
      <c r="L23" s="203"/>
      <c r="M23" s="192"/>
      <c r="N23" s="204"/>
      <c r="O23" s="205">
        <v>0.88</v>
      </c>
      <c r="P23" s="205">
        <f>Table1[[#This Row],[unit cost]]</f>
        <v>0.88</v>
      </c>
      <c r="Q23" s="207">
        <v>1.5</v>
      </c>
      <c r="R23" s="192">
        <v>1</v>
      </c>
      <c r="S23" s="256">
        <f t="shared" si="0"/>
        <v>0.42</v>
      </c>
      <c r="T23" s="208">
        <f>Table1[[#This Row],[man minutes]]*Table1[[#This Row],[labor rate]]</f>
        <v>0.63</v>
      </c>
      <c r="U23" s="208">
        <f t="shared" si="7"/>
        <v>1.51</v>
      </c>
      <c r="V23" s="193">
        <f t="shared" si="8"/>
        <v>0.13</v>
      </c>
      <c r="W23" s="257">
        <f t="shared" si="3"/>
        <v>0.13</v>
      </c>
      <c r="X23" s="208">
        <f t="shared" si="4"/>
        <v>0.99439999999999995</v>
      </c>
      <c r="Y23" s="208">
        <f t="shared" si="9"/>
        <v>0.71189999999999998</v>
      </c>
      <c r="Z23" s="208">
        <f t="shared" si="10"/>
        <v>1.71</v>
      </c>
      <c r="AA23" s="210">
        <f>+Table1[[#This Row],[calculated sale price]]</f>
        <v>1.71</v>
      </c>
      <c r="AB23" s="209"/>
      <c r="AC23" s="213"/>
    </row>
    <row r="24" spans="1:29">
      <c r="A24" s="192">
        <v>1015</v>
      </c>
      <c r="B24" t="s">
        <v>405</v>
      </c>
      <c r="C24" s="192">
        <v>1</v>
      </c>
      <c r="I24" s="192"/>
      <c r="J24" s="192"/>
      <c r="K24" s="192"/>
      <c r="L24" s="203"/>
      <c r="M24" s="192"/>
      <c r="N24" s="204"/>
      <c r="O24" s="205">
        <v>2.56</v>
      </c>
      <c r="P24" s="205">
        <f>Table1[[#This Row],[unit cost]]</f>
        <v>2.56</v>
      </c>
      <c r="Q24" s="207">
        <v>1.25</v>
      </c>
      <c r="R24" s="192">
        <v>1</v>
      </c>
      <c r="S24" s="256">
        <f t="shared" si="0"/>
        <v>0.42</v>
      </c>
      <c r="T24" s="208">
        <f>Table1[[#This Row],[man minutes]]*Table1[[#This Row],[labor rate]]</f>
        <v>0.52500000000000002</v>
      </c>
      <c r="U24" s="208">
        <f t="shared" ref="U24:U87" si="11">P24+T24</f>
        <v>3.085</v>
      </c>
      <c r="V24" s="193">
        <f t="shared" si="8"/>
        <v>0.13</v>
      </c>
      <c r="W24" s="257">
        <f t="shared" si="3"/>
        <v>0.13</v>
      </c>
      <c r="X24" s="208">
        <f t="shared" ref="X24:X87" si="12">P24*(1+V24)</f>
        <v>2.8927999999999998</v>
      </c>
      <c r="Y24" s="208">
        <f t="shared" ref="Y24:Y87" si="13">T24+(T24*W24)</f>
        <v>0.59325000000000006</v>
      </c>
      <c r="Z24" s="208">
        <f t="shared" ref="Z24:Z87" si="14">IFERROR(ROUNDUP(X24+Y24,2)," ")</f>
        <v>3.4899999999999998</v>
      </c>
      <c r="AA24" s="210">
        <f>+Table1[[#This Row],[calculated sale price]]</f>
        <v>3.4899999999999998</v>
      </c>
      <c r="AB24" s="209"/>
      <c r="AC24" s="213"/>
    </row>
    <row r="25" spans="1:29">
      <c r="A25" s="192">
        <v>1016</v>
      </c>
      <c r="B25" t="s">
        <v>406</v>
      </c>
      <c r="C25" s="192">
        <v>1</v>
      </c>
      <c r="I25" s="192"/>
      <c r="J25" s="192"/>
      <c r="K25" s="192"/>
      <c r="L25" s="203"/>
      <c r="M25" s="192"/>
      <c r="N25" s="204"/>
      <c r="O25" s="205">
        <v>2.81</v>
      </c>
      <c r="P25" s="205">
        <f>Table1[[#This Row],[unit cost]]</f>
        <v>2.81</v>
      </c>
      <c r="Q25" s="207">
        <v>2.5</v>
      </c>
      <c r="R25" s="192">
        <v>1</v>
      </c>
      <c r="S25" s="256">
        <f t="shared" si="0"/>
        <v>0.42</v>
      </c>
      <c r="T25" s="208">
        <f>Table1[[#This Row],[man minutes]]*Table1[[#This Row],[labor rate]]</f>
        <v>1.05</v>
      </c>
      <c r="U25" s="208">
        <f t="shared" si="11"/>
        <v>3.8600000000000003</v>
      </c>
      <c r="V25" s="193">
        <f t="shared" si="8"/>
        <v>0.13</v>
      </c>
      <c r="W25" s="257">
        <f t="shared" si="3"/>
        <v>0.13</v>
      </c>
      <c r="X25" s="208">
        <f t="shared" si="12"/>
        <v>3.1752999999999996</v>
      </c>
      <c r="Y25" s="208">
        <f t="shared" si="13"/>
        <v>1.1865000000000001</v>
      </c>
      <c r="Z25" s="208">
        <f t="shared" si="14"/>
        <v>4.37</v>
      </c>
      <c r="AA25" s="210">
        <f>+Table1[[#This Row],[calculated sale price]]</f>
        <v>4.37</v>
      </c>
      <c r="AB25" s="209"/>
      <c r="AC25" s="213"/>
    </row>
    <row r="26" spans="1:29">
      <c r="A26" s="192">
        <v>1017</v>
      </c>
      <c r="B26" t="s">
        <v>407</v>
      </c>
      <c r="C26" s="192">
        <v>1</v>
      </c>
      <c r="I26" s="192"/>
      <c r="J26" s="192"/>
      <c r="K26" s="192"/>
      <c r="L26" s="203"/>
      <c r="M26" s="192"/>
      <c r="N26" s="204"/>
      <c r="O26" s="205">
        <v>4.71</v>
      </c>
      <c r="P26" s="205">
        <f>Table1[[#This Row],[unit cost]]</f>
        <v>4.71</v>
      </c>
      <c r="Q26" s="207">
        <v>4.25</v>
      </c>
      <c r="R26" s="192">
        <v>1</v>
      </c>
      <c r="S26" s="256">
        <f t="shared" si="0"/>
        <v>0.42</v>
      </c>
      <c r="T26" s="208">
        <f>Table1[[#This Row],[man minutes]]*Table1[[#This Row],[labor rate]]</f>
        <v>1.7849999999999999</v>
      </c>
      <c r="U26" s="208">
        <f t="shared" si="11"/>
        <v>6.4950000000000001</v>
      </c>
      <c r="V26" s="193">
        <f t="shared" si="8"/>
        <v>0.13</v>
      </c>
      <c r="W26" s="257">
        <f t="shared" si="3"/>
        <v>0.13</v>
      </c>
      <c r="X26" s="208">
        <f t="shared" si="12"/>
        <v>5.3222999999999994</v>
      </c>
      <c r="Y26" s="208">
        <f t="shared" si="13"/>
        <v>2.0170499999999998</v>
      </c>
      <c r="Z26" s="208">
        <f t="shared" si="14"/>
        <v>7.34</v>
      </c>
      <c r="AA26" s="210">
        <f>+Table1[[#This Row],[calculated sale price]]</f>
        <v>7.34</v>
      </c>
      <c r="AB26" s="209"/>
      <c r="AC26" s="213"/>
    </row>
    <row r="27" spans="1:29">
      <c r="A27" s="192">
        <v>1018</v>
      </c>
      <c r="B27" t="s">
        <v>408</v>
      </c>
      <c r="C27" s="192">
        <v>1</v>
      </c>
      <c r="I27" s="192"/>
      <c r="J27" s="192"/>
      <c r="K27" s="192"/>
      <c r="L27" s="203"/>
      <c r="M27" s="192"/>
      <c r="N27" s="204"/>
      <c r="O27" s="205">
        <v>2.29</v>
      </c>
      <c r="P27" s="205">
        <f>Table1[[#This Row],[unit cost]]</f>
        <v>2.29</v>
      </c>
      <c r="Q27" s="207">
        <v>4.5</v>
      </c>
      <c r="R27" s="192">
        <v>1</v>
      </c>
      <c r="S27" s="256">
        <f t="shared" si="0"/>
        <v>0.42</v>
      </c>
      <c r="T27" s="208">
        <f>Table1[[#This Row],[man minutes]]*Table1[[#This Row],[labor rate]]</f>
        <v>1.89</v>
      </c>
      <c r="U27" s="208">
        <f t="shared" si="11"/>
        <v>4.18</v>
      </c>
      <c r="V27" s="193">
        <f t="shared" si="8"/>
        <v>0.13</v>
      </c>
      <c r="W27" s="257">
        <f t="shared" si="3"/>
        <v>0.13</v>
      </c>
      <c r="X27" s="208">
        <f t="shared" si="12"/>
        <v>2.5876999999999999</v>
      </c>
      <c r="Y27" s="208">
        <f t="shared" si="13"/>
        <v>2.1356999999999999</v>
      </c>
      <c r="Z27" s="208">
        <f t="shared" si="14"/>
        <v>4.7299999999999995</v>
      </c>
      <c r="AA27" s="210">
        <f>+Table1[[#This Row],[calculated sale price]]</f>
        <v>4.7299999999999995</v>
      </c>
      <c r="AB27" s="209"/>
      <c r="AC27" s="213"/>
    </row>
    <row r="28" spans="1:29">
      <c r="A28" s="192">
        <v>1019</v>
      </c>
      <c r="B28" t="s">
        <v>409</v>
      </c>
      <c r="C28" s="192">
        <v>1</v>
      </c>
      <c r="I28" s="192"/>
      <c r="J28" s="192"/>
      <c r="K28" s="192"/>
      <c r="L28" s="203"/>
      <c r="M28" s="192"/>
      <c r="N28" s="204"/>
      <c r="O28" s="205">
        <v>2.15</v>
      </c>
      <c r="P28" s="205">
        <f>Table1[[#This Row],[unit cost]]</f>
        <v>2.15</v>
      </c>
      <c r="Q28" s="207">
        <v>3.25</v>
      </c>
      <c r="R28" s="192">
        <v>1</v>
      </c>
      <c r="S28" s="256">
        <f t="shared" si="0"/>
        <v>0.42</v>
      </c>
      <c r="T28" s="208">
        <f>Table1[[#This Row],[man minutes]]*Table1[[#This Row],[labor rate]]</f>
        <v>1.365</v>
      </c>
      <c r="U28" s="208">
        <f t="shared" si="11"/>
        <v>3.5149999999999997</v>
      </c>
      <c r="V28" s="193">
        <f t="shared" si="8"/>
        <v>0.13</v>
      </c>
      <c r="W28" s="257">
        <f t="shared" si="3"/>
        <v>0.13</v>
      </c>
      <c r="X28" s="208">
        <f t="shared" si="12"/>
        <v>2.4294999999999995</v>
      </c>
      <c r="Y28" s="208">
        <f t="shared" si="13"/>
        <v>1.5424500000000001</v>
      </c>
      <c r="Z28" s="208">
        <f t="shared" si="14"/>
        <v>3.98</v>
      </c>
      <c r="AA28" s="210">
        <f>+Table1[[#This Row],[calculated sale price]]</f>
        <v>3.98</v>
      </c>
      <c r="AB28" s="209"/>
      <c r="AC28" s="213"/>
    </row>
    <row r="29" spans="1:29">
      <c r="A29" s="192">
        <v>1020</v>
      </c>
      <c r="B29" t="s">
        <v>410</v>
      </c>
      <c r="C29" s="192">
        <v>1</v>
      </c>
      <c r="I29" s="192"/>
      <c r="J29" s="192"/>
      <c r="K29" s="192"/>
      <c r="L29" s="203"/>
      <c r="M29" s="192"/>
      <c r="N29" s="204"/>
      <c r="O29" s="205">
        <v>2</v>
      </c>
      <c r="P29" s="205">
        <f>Table1[[#This Row],[unit cost]]</f>
        <v>2</v>
      </c>
      <c r="Q29" s="207">
        <v>1.5</v>
      </c>
      <c r="R29" s="192">
        <v>1</v>
      </c>
      <c r="S29" s="256">
        <f t="shared" si="0"/>
        <v>0.42</v>
      </c>
      <c r="T29" s="208">
        <f>Table1[[#This Row],[man minutes]]*Table1[[#This Row],[labor rate]]</f>
        <v>0.63</v>
      </c>
      <c r="U29" s="208">
        <f t="shared" si="11"/>
        <v>2.63</v>
      </c>
      <c r="V29" s="193">
        <f t="shared" si="8"/>
        <v>0.13</v>
      </c>
      <c r="W29" s="257">
        <f t="shared" si="3"/>
        <v>0.13</v>
      </c>
      <c r="X29" s="208">
        <f t="shared" si="12"/>
        <v>2.2599999999999998</v>
      </c>
      <c r="Y29" s="208">
        <f t="shared" si="13"/>
        <v>0.71189999999999998</v>
      </c>
      <c r="Z29" s="208">
        <f t="shared" si="14"/>
        <v>2.98</v>
      </c>
      <c r="AA29" s="210">
        <f>+Table1[[#This Row],[calculated sale price]]</f>
        <v>2.98</v>
      </c>
      <c r="AB29" s="209"/>
      <c r="AC29" s="213"/>
    </row>
    <row r="30" spans="1:29">
      <c r="A30" s="192">
        <v>1021</v>
      </c>
      <c r="B30" t="s">
        <v>411</v>
      </c>
      <c r="C30" s="192">
        <v>1</v>
      </c>
      <c r="I30" s="192"/>
      <c r="J30" s="192"/>
      <c r="K30" s="192"/>
      <c r="L30" s="203"/>
      <c r="M30" s="192"/>
      <c r="N30" s="204"/>
      <c r="O30" s="205">
        <v>1.18</v>
      </c>
      <c r="P30" s="205">
        <f>Table1[[#This Row],[unit cost]]</f>
        <v>1.18</v>
      </c>
      <c r="Q30" s="207">
        <v>2</v>
      </c>
      <c r="R30" s="192">
        <v>1</v>
      </c>
      <c r="S30" s="256">
        <f t="shared" si="0"/>
        <v>0.42</v>
      </c>
      <c r="T30" s="208">
        <f>Table1[[#This Row],[man minutes]]*Table1[[#This Row],[labor rate]]</f>
        <v>0.84</v>
      </c>
      <c r="U30" s="208">
        <f t="shared" si="11"/>
        <v>2.02</v>
      </c>
      <c r="V30" s="193">
        <f t="shared" si="8"/>
        <v>0.13</v>
      </c>
      <c r="W30" s="257">
        <f t="shared" si="3"/>
        <v>0.13</v>
      </c>
      <c r="X30" s="208">
        <f t="shared" si="12"/>
        <v>1.3333999999999997</v>
      </c>
      <c r="Y30" s="208">
        <f t="shared" si="13"/>
        <v>0.94919999999999993</v>
      </c>
      <c r="Z30" s="208">
        <f t="shared" si="14"/>
        <v>2.2899999999999996</v>
      </c>
      <c r="AA30" s="210">
        <f>+Table1[[#This Row],[calculated sale price]]</f>
        <v>2.2899999999999996</v>
      </c>
      <c r="AB30" s="209"/>
      <c r="AC30" s="213"/>
    </row>
    <row r="31" spans="1:29">
      <c r="A31" s="192">
        <v>1022</v>
      </c>
      <c r="B31" t="s">
        <v>412</v>
      </c>
      <c r="C31" s="192">
        <v>1</v>
      </c>
      <c r="I31" s="192"/>
      <c r="J31" s="192"/>
      <c r="K31" s="192"/>
      <c r="L31" s="203"/>
      <c r="M31" s="192"/>
      <c r="N31" s="204"/>
      <c r="O31" s="205">
        <v>0.44</v>
      </c>
      <c r="P31" s="205">
        <f>Table1[[#This Row],[unit cost]]</f>
        <v>0.44</v>
      </c>
      <c r="Q31" s="207">
        <v>0.5</v>
      </c>
      <c r="R31" s="192">
        <v>1</v>
      </c>
      <c r="S31" s="256">
        <f t="shared" si="0"/>
        <v>0.42</v>
      </c>
      <c r="T31" s="208">
        <f>Table1[[#This Row],[man minutes]]*Table1[[#This Row],[labor rate]]</f>
        <v>0.21</v>
      </c>
      <c r="U31" s="208">
        <f t="shared" si="11"/>
        <v>0.65</v>
      </c>
      <c r="V31" s="193">
        <f t="shared" si="8"/>
        <v>0.13</v>
      </c>
      <c r="W31" s="257">
        <f t="shared" si="3"/>
        <v>0.13</v>
      </c>
      <c r="X31" s="208">
        <f t="shared" si="12"/>
        <v>0.49719999999999998</v>
      </c>
      <c r="Y31" s="208">
        <f t="shared" si="13"/>
        <v>0.23729999999999998</v>
      </c>
      <c r="Z31" s="208">
        <f t="shared" si="14"/>
        <v>0.74</v>
      </c>
      <c r="AA31" s="210">
        <f>+Table1[[#This Row],[calculated sale price]]</f>
        <v>0.74</v>
      </c>
      <c r="AB31" s="209"/>
      <c r="AC31" s="213"/>
    </row>
    <row r="32" spans="1:29">
      <c r="A32" s="192">
        <v>1023</v>
      </c>
      <c r="B32" t="s">
        <v>413</v>
      </c>
      <c r="C32" s="192">
        <v>1</v>
      </c>
      <c r="I32" s="192"/>
      <c r="J32" s="192"/>
      <c r="K32" s="192"/>
      <c r="L32" s="203"/>
      <c r="M32" s="192"/>
      <c r="N32" s="204"/>
      <c r="O32" s="205">
        <v>0.78</v>
      </c>
      <c r="P32" s="205">
        <f>Table1[[#This Row],[unit cost]]</f>
        <v>0.78</v>
      </c>
      <c r="Q32" s="207">
        <v>0.75</v>
      </c>
      <c r="R32" s="192">
        <v>1</v>
      </c>
      <c r="S32" s="256">
        <f t="shared" si="0"/>
        <v>0.42</v>
      </c>
      <c r="T32" s="208">
        <f>Table1[[#This Row],[man minutes]]*Table1[[#This Row],[labor rate]]</f>
        <v>0.315</v>
      </c>
      <c r="U32" s="208">
        <f t="shared" si="11"/>
        <v>1.095</v>
      </c>
      <c r="V32" s="193">
        <f t="shared" si="8"/>
        <v>0.13</v>
      </c>
      <c r="W32" s="257">
        <f t="shared" si="3"/>
        <v>0.13</v>
      </c>
      <c r="X32" s="208">
        <f t="shared" si="12"/>
        <v>0.88139999999999996</v>
      </c>
      <c r="Y32" s="208">
        <f t="shared" si="13"/>
        <v>0.35594999999999999</v>
      </c>
      <c r="Z32" s="208">
        <f t="shared" si="14"/>
        <v>1.24</v>
      </c>
      <c r="AA32" s="210">
        <f>+Table1[[#This Row],[calculated sale price]]</f>
        <v>1.24</v>
      </c>
      <c r="AB32" s="209"/>
      <c r="AC32" s="213"/>
    </row>
    <row r="33" spans="1:29">
      <c r="A33" s="192">
        <v>1024</v>
      </c>
      <c r="B33" t="s">
        <v>414</v>
      </c>
      <c r="C33" s="192">
        <v>1</v>
      </c>
      <c r="I33" s="192"/>
      <c r="J33" s="192"/>
      <c r="K33" s="192"/>
      <c r="L33" s="203"/>
      <c r="M33" s="192"/>
      <c r="N33" s="204"/>
      <c r="O33" s="205">
        <v>0.85</v>
      </c>
      <c r="P33" s="205">
        <f>Table1[[#This Row],[unit cost]]</f>
        <v>0.85</v>
      </c>
      <c r="Q33" s="207">
        <v>1</v>
      </c>
      <c r="R33" s="192">
        <v>1</v>
      </c>
      <c r="S33" s="256">
        <f t="shared" si="0"/>
        <v>0.42</v>
      </c>
      <c r="T33" s="208">
        <f>Table1[[#This Row],[man minutes]]*Table1[[#This Row],[labor rate]]</f>
        <v>0.42</v>
      </c>
      <c r="U33" s="208">
        <f t="shared" si="11"/>
        <v>1.27</v>
      </c>
      <c r="V33" s="193">
        <f t="shared" si="8"/>
        <v>0.13</v>
      </c>
      <c r="W33" s="257">
        <f t="shared" si="3"/>
        <v>0.13</v>
      </c>
      <c r="X33" s="208">
        <f t="shared" si="12"/>
        <v>0.96049999999999991</v>
      </c>
      <c r="Y33" s="208">
        <f t="shared" si="13"/>
        <v>0.47459999999999997</v>
      </c>
      <c r="Z33" s="208">
        <f t="shared" si="14"/>
        <v>1.44</v>
      </c>
      <c r="AA33" s="210">
        <f>+Table1[[#This Row],[calculated sale price]]</f>
        <v>1.44</v>
      </c>
      <c r="AB33" s="209"/>
      <c r="AC33" s="213"/>
    </row>
    <row r="34" spans="1:29">
      <c r="A34" s="192">
        <v>1025</v>
      </c>
      <c r="B34" s="342" t="s">
        <v>415</v>
      </c>
      <c r="C34" s="192">
        <v>1</v>
      </c>
      <c r="I34" s="192"/>
      <c r="J34" s="192"/>
      <c r="K34" s="192"/>
      <c r="L34" s="203"/>
      <c r="M34" s="192"/>
      <c r="N34" s="204"/>
      <c r="O34" s="205">
        <v>0.69</v>
      </c>
      <c r="P34" s="205">
        <f>Table1[[#This Row],[unit cost]]</f>
        <v>0.69</v>
      </c>
      <c r="Q34" s="207">
        <v>0.25</v>
      </c>
      <c r="R34" s="192">
        <v>1</v>
      </c>
      <c r="S34" s="256">
        <f t="shared" si="0"/>
        <v>0.42</v>
      </c>
      <c r="T34" s="208">
        <f>Table1[[#This Row],[man minutes]]*Table1[[#This Row],[labor rate]]</f>
        <v>0.105</v>
      </c>
      <c r="U34" s="208">
        <f t="shared" si="11"/>
        <v>0.79499999999999993</v>
      </c>
      <c r="V34" s="193">
        <f t="shared" si="8"/>
        <v>0.13</v>
      </c>
      <c r="W34" s="257">
        <f t="shared" si="3"/>
        <v>0.13</v>
      </c>
      <c r="X34" s="208">
        <f t="shared" si="12"/>
        <v>0.77969999999999984</v>
      </c>
      <c r="Y34" s="208">
        <f t="shared" si="13"/>
        <v>0.11864999999999999</v>
      </c>
      <c r="Z34" s="208">
        <f t="shared" si="14"/>
        <v>0.9</v>
      </c>
      <c r="AA34" s="210">
        <f>+Table1[[#This Row],[calculated sale price]]</f>
        <v>0.9</v>
      </c>
      <c r="AB34" s="209"/>
      <c r="AC34" s="213"/>
    </row>
    <row r="35" spans="1:29">
      <c r="A35" s="192">
        <v>1026</v>
      </c>
      <c r="B35" t="s">
        <v>416</v>
      </c>
      <c r="C35" s="192">
        <v>1</v>
      </c>
      <c r="I35" s="192"/>
      <c r="J35" s="192"/>
      <c r="K35" s="192"/>
      <c r="L35" s="203"/>
      <c r="M35" s="192"/>
      <c r="N35" s="204"/>
      <c r="O35" s="205">
        <v>1.1399999999999999</v>
      </c>
      <c r="P35" s="205">
        <f>Table1[[#This Row],[unit cost]]</f>
        <v>1.1399999999999999</v>
      </c>
      <c r="Q35" s="207">
        <v>2</v>
      </c>
      <c r="R35" s="192">
        <v>1</v>
      </c>
      <c r="S35" s="256">
        <f t="shared" si="0"/>
        <v>0.42</v>
      </c>
      <c r="T35" s="208">
        <f>Table1[[#This Row],[man minutes]]*Table1[[#This Row],[labor rate]]</f>
        <v>0.84</v>
      </c>
      <c r="U35" s="208">
        <f t="shared" si="11"/>
        <v>1.98</v>
      </c>
      <c r="V35" s="193">
        <f t="shared" si="8"/>
        <v>0.13</v>
      </c>
      <c r="W35" s="257">
        <f t="shared" si="3"/>
        <v>0.13</v>
      </c>
      <c r="X35" s="208">
        <f t="shared" si="12"/>
        <v>1.2881999999999998</v>
      </c>
      <c r="Y35" s="208">
        <f t="shared" si="13"/>
        <v>0.94919999999999993</v>
      </c>
      <c r="Z35" s="208">
        <f t="shared" si="14"/>
        <v>2.2399999999999998</v>
      </c>
      <c r="AA35" s="210">
        <f>+Table1[[#This Row],[calculated sale price]]</f>
        <v>2.2399999999999998</v>
      </c>
      <c r="AB35" s="209"/>
      <c r="AC35" s="213"/>
    </row>
    <row r="36" spans="1:29">
      <c r="A36" s="192">
        <v>1027</v>
      </c>
      <c r="B36" t="s">
        <v>417</v>
      </c>
      <c r="C36" s="192">
        <v>1</v>
      </c>
      <c r="I36" s="192"/>
      <c r="J36" s="192"/>
      <c r="K36" s="192"/>
      <c r="L36" s="203"/>
      <c r="M36" s="192"/>
      <c r="N36" s="204"/>
      <c r="O36" s="205">
        <v>1.1599999999999999</v>
      </c>
      <c r="P36" s="205">
        <f>Table1[[#This Row],[unit cost]]</f>
        <v>1.1599999999999999</v>
      </c>
      <c r="Q36" s="207">
        <v>0.5</v>
      </c>
      <c r="R36" s="192">
        <v>1</v>
      </c>
      <c r="S36" s="256">
        <f t="shared" si="0"/>
        <v>0.42</v>
      </c>
      <c r="T36" s="208">
        <f>Table1[[#This Row],[man minutes]]*Table1[[#This Row],[labor rate]]</f>
        <v>0.21</v>
      </c>
      <c r="U36" s="208">
        <f t="shared" si="11"/>
        <v>1.3699999999999999</v>
      </c>
      <c r="V36" s="193">
        <f t="shared" si="8"/>
        <v>0.13</v>
      </c>
      <c r="W36" s="257">
        <f t="shared" si="3"/>
        <v>0.13</v>
      </c>
      <c r="X36" s="208">
        <f t="shared" si="12"/>
        <v>1.3107999999999997</v>
      </c>
      <c r="Y36" s="208">
        <f t="shared" si="13"/>
        <v>0.23729999999999998</v>
      </c>
      <c r="Z36" s="208">
        <f t="shared" si="14"/>
        <v>1.55</v>
      </c>
      <c r="AA36" s="210">
        <f>+Table1[[#This Row],[calculated sale price]]</f>
        <v>1.55</v>
      </c>
      <c r="AB36" s="209"/>
      <c r="AC36" s="213"/>
    </row>
    <row r="37" spans="1:29">
      <c r="A37" s="192">
        <v>1028</v>
      </c>
      <c r="B37" t="s">
        <v>418</v>
      </c>
      <c r="C37" s="192">
        <v>1</v>
      </c>
      <c r="I37" s="192"/>
      <c r="J37" s="192"/>
      <c r="K37" s="192"/>
      <c r="L37" s="203"/>
      <c r="M37" s="192"/>
      <c r="N37" s="204"/>
      <c r="O37" s="205">
        <v>0.47</v>
      </c>
      <c r="P37" s="205">
        <f>Table1[[#This Row],[unit cost]]</f>
        <v>0.47</v>
      </c>
      <c r="Q37" s="207">
        <v>0.5</v>
      </c>
      <c r="R37" s="192">
        <v>1</v>
      </c>
      <c r="S37" s="256">
        <f t="shared" si="0"/>
        <v>0.42</v>
      </c>
      <c r="T37" s="208">
        <f>Table1[[#This Row],[man minutes]]*Table1[[#This Row],[labor rate]]</f>
        <v>0.21</v>
      </c>
      <c r="U37" s="208">
        <f t="shared" si="11"/>
        <v>0.67999999999999994</v>
      </c>
      <c r="V37" s="193">
        <f t="shared" si="8"/>
        <v>0.13</v>
      </c>
      <c r="W37" s="257">
        <f t="shared" si="3"/>
        <v>0.13</v>
      </c>
      <c r="X37" s="208">
        <f t="shared" si="12"/>
        <v>0.53109999999999991</v>
      </c>
      <c r="Y37" s="208">
        <f t="shared" si="13"/>
        <v>0.23729999999999998</v>
      </c>
      <c r="Z37" s="208">
        <f t="shared" si="14"/>
        <v>0.77</v>
      </c>
      <c r="AA37" s="210">
        <f>+Table1[[#This Row],[calculated sale price]]</f>
        <v>0.77</v>
      </c>
      <c r="AB37" s="209"/>
      <c r="AC37" s="213"/>
    </row>
    <row r="38" spans="1:29">
      <c r="A38" s="192">
        <v>1029</v>
      </c>
      <c r="B38" t="s">
        <v>419</v>
      </c>
      <c r="C38" s="192">
        <v>1</v>
      </c>
      <c r="I38" s="192"/>
      <c r="J38" s="192"/>
      <c r="K38" s="192"/>
      <c r="L38" s="203"/>
      <c r="M38" s="192"/>
      <c r="N38" s="204"/>
      <c r="O38" s="205">
        <v>0.3</v>
      </c>
      <c r="P38" s="205">
        <f>Table1[[#This Row],[unit cost]]</f>
        <v>0.3</v>
      </c>
      <c r="Q38" s="207">
        <v>0.25</v>
      </c>
      <c r="R38" s="192">
        <v>1</v>
      </c>
      <c r="S38" s="256">
        <f t="shared" si="0"/>
        <v>0.42</v>
      </c>
      <c r="T38" s="208">
        <f>Table1[[#This Row],[man minutes]]*Table1[[#This Row],[labor rate]]</f>
        <v>0.105</v>
      </c>
      <c r="U38" s="208">
        <f t="shared" si="11"/>
        <v>0.40499999999999997</v>
      </c>
      <c r="V38" s="193">
        <f t="shared" si="8"/>
        <v>0.13</v>
      </c>
      <c r="W38" s="257">
        <f t="shared" si="3"/>
        <v>0.13</v>
      </c>
      <c r="X38" s="208">
        <f t="shared" si="12"/>
        <v>0.33899999999999997</v>
      </c>
      <c r="Y38" s="208">
        <f t="shared" si="13"/>
        <v>0.11864999999999999</v>
      </c>
      <c r="Z38" s="208">
        <f t="shared" si="14"/>
        <v>0.46</v>
      </c>
      <c r="AA38" s="210">
        <f>+Table1[[#This Row],[calculated sale price]]</f>
        <v>0.46</v>
      </c>
      <c r="AB38" s="209"/>
      <c r="AC38" s="213"/>
    </row>
    <row r="39" spans="1:29">
      <c r="A39" s="192">
        <v>1030</v>
      </c>
      <c r="B39" t="s">
        <v>420</v>
      </c>
      <c r="C39" s="192">
        <v>1</v>
      </c>
      <c r="I39" s="192"/>
      <c r="J39" s="192"/>
      <c r="K39" s="192"/>
      <c r="L39" s="203"/>
      <c r="M39" s="192"/>
      <c r="N39" s="204"/>
      <c r="O39" s="205">
        <v>0.56000000000000005</v>
      </c>
      <c r="P39" s="205">
        <f>Table1[[#This Row],[unit cost]]</f>
        <v>0.56000000000000005</v>
      </c>
      <c r="Q39" s="207">
        <v>1.25</v>
      </c>
      <c r="R39" s="192">
        <v>1</v>
      </c>
      <c r="S39" s="256">
        <f t="shared" si="0"/>
        <v>0.42</v>
      </c>
      <c r="T39" s="208">
        <f>Table1[[#This Row],[man minutes]]*Table1[[#This Row],[labor rate]]</f>
        <v>0.52500000000000002</v>
      </c>
      <c r="U39" s="208">
        <f t="shared" si="11"/>
        <v>1.085</v>
      </c>
      <c r="V39" s="193">
        <f t="shared" si="8"/>
        <v>0.13</v>
      </c>
      <c r="W39" s="257">
        <f t="shared" si="3"/>
        <v>0.13</v>
      </c>
      <c r="X39" s="208">
        <f t="shared" si="12"/>
        <v>0.63280000000000003</v>
      </c>
      <c r="Y39" s="208">
        <f t="shared" si="13"/>
        <v>0.59325000000000006</v>
      </c>
      <c r="Z39" s="208">
        <f t="shared" si="14"/>
        <v>1.23</v>
      </c>
      <c r="AA39" s="210">
        <f>+Table1[[#This Row],[calculated sale price]]</f>
        <v>1.23</v>
      </c>
      <c r="AB39" s="209"/>
      <c r="AC39" s="213"/>
    </row>
    <row r="40" spans="1:29">
      <c r="A40" s="192">
        <v>1031</v>
      </c>
      <c r="B40" t="s">
        <v>421</v>
      </c>
      <c r="C40" s="192">
        <v>1</v>
      </c>
      <c r="I40" s="192"/>
      <c r="J40" s="192"/>
      <c r="K40" s="192"/>
      <c r="L40" s="203"/>
      <c r="M40" s="192"/>
      <c r="N40" s="204"/>
      <c r="O40" s="205">
        <v>10.43</v>
      </c>
      <c r="P40" s="205">
        <f>Table1[[#This Row],[unit cost]]</f>
        <v>10.43</v>
      </c>
      <c r="Q40" s="207">
        <v>5.5</v>
      </c>
      <c r="R40" s="192">
        <v>1</v>
      </c>
      <c r="S40" s="256">
        <f t="shared" si="0"/>
        <v>0.42</v>
      </c>
      <c r="T40" s="208">
        <f>Table1[[#This Row],[man minutes]]*Table1[[#This Row],[labor rate]]</f>
        <v>2.31</v>
      </c>
      <c r="U40" s="208">
        <f t="shared" si="11"/>
        <v>12.74</v>
      </c>
      <c r="V40" s="193">
        <f t="shared" si="8"/>
        <v>0.13</v>
      </c>
      <c r="W40" s="257">
        <f t="shared" si="3"/>
        <v>0.13</v>
      </c>
      <c r="X40" s="208">
        <f t="shared" si="12"/>
        <v>11.785899999999998</v>
      </c>
      <c r="Y40" s="208">
        <f t="shared" si="13"/>
        <v>2.6103000000000001</v>
      </c>
      <c r="Z40" s="208">
        <f t="shared" si="14"/>
        <v>14.4</v>
      </c>
      <c r="AA40" s="210">
        <f>+Table1[[#This Row],[calculated sale price]]</f>
        <v>14.4</v>
      </c>
      <c r="AB40" s="209"/>
      <c r="AC40" s="213"/>
    </row>
    <row r="41" spans="1:29">
      <c r="A41" s="192">
        <v>1032</v>
      </c>
      <c r="B41" t="s">
        <v>422</v>
      </c>
      <c r="C41" s="192">
        <v>1</v>
      </c>
      <c r="I41" s="192"/>
      <c r="J41" s="192"/>
      <c r="K41" s="192"/>
      <c r="L41" s="203"/>
      <c r="M41" s="192"/>
      <c r="N41" s="204"/>
      <c r="O41" s="205">
        <v>2.19</v>
      </c>
      <c r="P41" s="205">
        <f>Table1[[#This Row],[unit cost]]</f>
        <v>2.19</v>
      </c>
      <c r="Q41" s="207">
        <v>5.5</v>
      </c>
      <c r="R41" s="192">
        <v>1</v>
      </c>
      <c r="S41" s="256">
        <f t="shared" si="0"/>
        <v>0.42</v>
      </c>
      <c r="T41" s="208">
        <f>Table1[[#This Row],[man minutes]]*Table1[[#This Row],[labor rate]]</f>
        <v>2.31</v>
      </c>
      <c r="U41" s="208">
        <f t="shared" si="11"/>
        <v>4.5</v>
      </c>
      <c r="V41" s="193">
        <f t="shared" si="8"/>
        <v>0.13</v>
      </c>
      <c r="W41" s="257">
        <f t="shared" si="3"/>
        <v>0.13</v>
      </c>
      <c r="X41" s="208">
        <f t="shared" si="12"/>
        <v>2.4746999999999999</v>
      </c>
      <c r="Y41" s="208">
        <f t="shared" si="13"/>
        <v>2.6103000000000001</v>
      </c>
      <c r="Z41" s="208">
        <f t="shared" si="14"/>
        <v>5.09</v>
      </c>
      <c r="AA41" s="210">
        <f>+Table1[[#This Row],[calculated sale price]]</f>
        <v>5.09</v>
      </c>
      <c r="AB41" s="209"/>
      <c r="AC41" s="213"/>
    </row>
    <row r="42" spans="1:29">
      <c r="A42" s="192">
        <v>1033</v>
      </c>
      <c r="B42" t="s">
        <v>423</v>
      </c>
      <c r="C42" s="192">
        <v>1</v>
      </c>
      <c r="I42" s="192"/>
      <c r="J42" s="192"/>
      <c r="K42" s="192"/>
      <c r="L42" s="203"/>
      <c r="M42" s="192"/>
      <c r="N42" s="204"/>
      <c r="O42" s="205">
        <v>4.2</v>
      </c>
      <c r="P42" s="205">
        <f>Table1[[#This Row],[unit cost]]</f>
        <v>4.2</v>
      </c>
      <c r="Q42" s="207">
        <v>3.25</v>
      </c>
      <c r="R42" s="192">
        <v>1</v>
      </c>
      <c r="S42" s="256">
        <f t="shared" si="0"/>
        <v>0.42</v>
      </c>
      <c r="T42" s="208">
        <f>Table1[[#This Row],[man minutes]]*Table1[[#This Row],[labor rate]]</f>
        <v>1.365</v>
      </c>
      <c r="U42" s="208">
        <f t="shared" si="11"/>
        <v>5.5650000000000004</v>
      </c>
      <c r="V42" s="193">
        <f t="shared" si="8"/>
        <v>0.13</v>
      </c>
      <c r="W42" s="257">
        <f t="shared" si="3"/>
        <v>0.13</v>
      </c>
      <c r="X42" s="208">
        <f t="shared" si="12"/>
        <v>4.7459999999999996</v>
      </c>
      <c r="Y42" s="208">
        <f t="shared" si="13"/>
        <v>1.5424500000000001</v>
      </c>
      <c r="Z42" s="208">
        <f t="shared" si="14"/>
        <v>6.29</v>
      </c>
      <c r="AA42" s="210">
        <f>+Table1[[#This Row],[calculated sale price]]</f>
        <v>6.29</v>
      </c>
      <c r="AB42" s="209"/>
      <c r="AC42" s="213"/>
    </row>
    <row r="43" spans="1:29">
      <c r="A43" s="192">
        <v>1034</v>
      </c>
      <c r="B43" t="s">
        <v>424</v>
      </c>
      <c r="C43" s="192">
        <v>1</v>
      </c>
      <c r="I43" s="192"/>
      <c r="J43" s="192"/>
      <c r="K43" s="192"/>
      <c r="L43" s="203"/>
      <c r="M43" s="192"/>
      <c r="N43" s="204"/>
      <c r="O43" s="205">
        <v>0.83</v>
      </c>
      <c r="P43" s="205">
        <f>Table1[[#This Row],[unit cost]]</f>
        <v>0.83</v>
      </c>
      <c r="Q43" s="207">
        <v>1.25</v>
      </c>
      <c r="R43" s="192">
        <v>1</v>
      </c>
      <c r="S43" s="256">
        <f t="shared" si="0"/>
        <v>0.42</v>
      </c>
      <c r="T43" s="208">
        <f>Table1[[#This Row],[man minutes]]*Table1[[#This Row],[labor rate]]</f>
        <v>0.52500000000000002</v>
      </c>
      <c r="U43" s="208">
        <f t="shared" si="11"/>
        <v>1.355</v>
      </c>
      <c r="V43" s="193">
        <f t="shared" si="8"/>
        <v>0.13</v>
      </c>
      <c r="W43" s="257">
        <f t="shared" si="3"/>
        <v>0.13</v>
      </c>
      <c r="X43" s="208">
        <f t="shared" si="12"/>
        <v>0.93789999999999984</v>
      </c>
      <c r="Y43" s="208">
        <f t="shared" si="13"/>
        <v>0.59325000000000006</v>
      </c>
      <c r="Z43" s="208">
        <f t="shared" si="14"/>
        <v>1.54</v>
      </c>
      <c r="AA43" s="210">
        <f>+Table1[[#This Row],[calculated sale price]]</f>
        <v>1.54</v>
      </c>
      <c r="AB43" s="209"/>
      <c r="AC43" s="213"/>
    </row>
    <row r="44" spans="1:29">
      <c r="A44" s="192">
        <v>1035</v>
      </c>
      <c r="B44" t="s">
        <v>425</v>
      </c>
      <c r="C44" s="192">
        <v>1</v>
      </c>
      <c r="I44" s="192"/>
      <c r="J44" s="192"/>
      <c r="K44" s="192"/>
      <c r="L44" s="203"/>
      <c r="M44" s="192"/>
      <c r="N44" s="204"/>
      <c r="O44" s="205">
        <v>1.9</v>
      </c>
      <c r="P44" s="205">
        <f>Table1[[#This Row],[unit cost]]</f>
        <v>1.9</v>
      </c>
      <c r="Q44" s="207">
        <v>2</v>
      </c>
      <c r="R44" s="192">
        <v>1</v>
      </c>
      <c r="S44" s="256">
        <f t="shared" si="0"/>
        <v>0.42</v>
      </c>
      <c r="T44" s="208">
        <f>Table1[[#This Row],[man minutes]]*Table1[[#This Row],[labor rate]]</f>
        <v>0.84</v>
      </c>
      <c r="U44" s="208">
        <f t="shared" si="11"/>
        <v>2.7399999999999998</v>
      </c>
      <c r="V44" s="193">
        <f t="shared" si="8"/>
        <v>0.13</v>
      </c>
      <c r="W44" s="257">
        <f t="shared" si="3"/>
        <v>0.13</v>
      </c>
      <c r="X44" s="208">
        <f t="shared" si="12"/>
        <v>2.1469999999999998</v>
      </c>
      <c r="Y44" s="208">
        <f t="shared" si="13"/>
        <v>0.94919999999999993</v>
      </c>
      <c r="Z44" s="208">
        <f t="shared" si="14"/>
        <v>3.0999999999999996</v>
      </c>
      <c r="AA44" s="210">
        <f>+Table1[[#This Row],[calculated sale price]]</f>
        <v>3.0999999999999996</v>
      </c>
      <c r="AB44" s="209"/>
      <c r="AC44" s="213"/>
    </row>
    <row r="45" spans="1:29">
      <c r="A45" s="192">
        <v>1036</v>
      </c>
      <c r="B45" t="s">
        <v>426</v>
      </c>
      <c r="C45" s="192">
        <v>1</v>
      </c>
      <c r="I45" s="192"/>
      <c r="J45" s="192"/>
      <c r="K45" s="192"/>
      <c r="L45" s="203"/>
      <c r="M45" s="192"/>
      <c r="N45" s="204"/>
      <c r="O45" s="205">
        <v>1.77</v>
      </c>
      <c r="P45" s="205">
        <f>Table1[[#This Row],[unit cost]]</f>
        <v>1.77</v>
      </c>
      <c r="Q45" s="207">
        <v>3.25</v>
      </c>
      <c r="R45" s="192">
        <v>1</v>
      </c>
      <c r="S45" s="256">
        <f t="shared" si="0"/>
        <v>0.42</v>
      </c>
      <c r="T45" s="208">
        <f>Table1[[#This Row],[man minutes]]*Table1[[#This Row],[labor rate]]</f>
        <v>1.365</v>
      </c>
      <c r="U45" s="208">
        <f t="shared" si="11"/>
        <v>3.1349999999999998</v>
      </c>
      <c r="V45" s="193">
        <f t="shared" si="8"/>
        <v>0.13</v>
      </c>
      <c r="W45" s="257">
        <f t="shared" si="3"/>
        <v>0.13</v>
      </c>
      <c r="X45" s="208">
        <f t="shared" si="12"/>
        <v>2.0000999999999998</v>
      </c>
      <c r="Y45" s="208">
        <f t="shared" si="13"/>
        <v>1.5424500000000001</v>
      </c>
      <c r="Z45" s="208">
        <f t="shared" si="14"/>
        <v>3.55</v>
      </c>
      <c r="AA45" s="210">
        <f>+Table1[[#This Row],[calculated sale price]]</f>
        <v>3.55</v>
      </c>
      <c r="AB45" s="209"/>
      <c r="AC45" s="213"/>
    </row>
    <row r="46" spans="1:29">
      <c r="A46" s="192">
        <v>1037</v>
      </c>
      <c r="B46" t="s">
        <v>427</v>
      </c>
      <c r="C46" s="192">
        <v>1</v>
      </c>
      <c r="I46" s="192"/>
      <c r="J46" s="192"/>
      <c r="K46" s="192"/>
      <c r="L46" s="203"/>
      <c r="M46" s="192"/>
      <c r="N46" s="204"/>
      <c r="O46" s="205">
        <v>1.77</v>
      </c>
      <c r="P46" s="205">
        <f>Table1[[#This Row],[unit cost]]</f>
        <v>1.77</v>
      </c>
      <c r="Q46" s="207">
        <v>4</v>
      </c>
      <c r="R46" s="192">
        <v>1</v>
      </c>
      <c r="S46" s="256">
        <f t="shared" si="0"/>
        <v>0.42</v>
      </c>
      <c r="T46" s="208">
        <f>Table1[[#This Row],[man minutes]]*Table1[[#This Row],[labor rate]]</f>
        <v>1.68</v>
      </c>
      <c r="U46" s="208">
        <f t="shared" si="11"/>
        <v>3.45</v>
      </c>
      <c r="V46" s="193">
        <f t="shared" si="8"/>
        <v>0.13</v>
      </c>
      <c r="W46" s="257">
        <f t="shared" si="3"/>
        <v>0.13</v>
      </c>
      <c r="X46" s="208">
        <f t="shared" si="12"/>
        <v>2.0000999999999998</v>
      </c>
      <c r="Y46" s="208">
        <f t="shared" si="13"/>
        <v>1.8983999999999999</v>
      </c>
      <c r="Z46" s="208">
        <f t="shared" si="14"/>
        <v>3.9</v>
      </c>
      <c r="AA46" s="210">
        <f>+Table1[[#This Row],[calculated sale price]]</f>
        <v>3.9</v>
      </c>
      <c r="AB46" s="209"/>
      <c r="AC46" s="213"/>
    </row>
    <row r="47" spans="1:29">
      <c r="A47" s="192">
        <v>1038</v>
      </c>
      <c r="B47" s="342" t="s">
        <v>428</v>
      </c>
      <c r="C47" s="192">
        <v>1</v>
      </c>
      <c r="I47" s="192"/>
      <c r="J47" s="192"/>
      <c r="K47" s="192"/>
      <c r="L47" s="203"/>
      <c r="M47" s="192"/>
      <c r="N47" s="204"/>
      <c r="O47" s="205">
        <v>1.1100000000000001</v>
      </c>
      <c r="P47" s="205">
        <f>Table1[[#This Row],[unit cost]]</f>
        <v>1.1100000000000001</v>
      </c>
      <c r="Q47" s="207">
        <v>2.5</v>
      </c>
      <c r="R47" s="192">
        <v>1</v>
      </c>
      <c r="S47" s="256">
        <f t="shared" si="0"/>
        <v>0.42</v>
      </c>
      <c r="T47" s="208">
        <f>Table1[[#This Row],[man minutes]]*Table1[[#This Row],[labor rate]]</f>
        <v>1.05</v>
      </c>
      <c r="U47" s="208">
        <f t="shared" si="11"/>
        <v>2.16</v>
      </c>
      <c r="V47" s="193">
        <f t="shared" si="8"/>
        <v>0.13</v>
      </c>
      <c r="W47" s="257">
        <f t="shared" si="3"/>
        <v>0.13</v>
      </c>
      <c r="X47" s="208">
        <f t="shared" si="12"/>
        <v>1.2543</v>
      </c>
      <c r="Y47" s="208">
        <f t="shared" si="13"/>
        <v>1.1865000000000001</v>
      </c>
      <c r="Z47" s="208">
        <f t="shared" si="14"/>
        <v>2.4499999999999997</v>
      </c>
      <c r="AA47" s="210">
        <f>+Table1[[#This Row],[calculated sale price]]</f>
        <v>2.4499999999999997</v>
      </c>
      <c r="AB47" s="209"/>
      <c r="AC47" s="213"/>
    </row>
    <row r="48" spans="1:29">
      <c r="A48" s="192">
        <v>1039</v>
      </c>
      <c r="B48" t="s">
        <v>429</v>
      </c>
      <c r="C48" s="192">
        <v>1</v>
      </c>
      <c r="I48" s="192"/>
      <c r="J48" s="192"/>
      <c r="K48" s="192"/>
      <c r="L48" s="203"/>
      <c r="M48" s="192"/>
      <c r="N48" s="204"/>
      <c r="O48" s="205">
        <v>0.61</v>
      </c>
      <c r="P48" s="205">
        <f>Table1[[#This Row],[unit cost]]</f>
        <v>0.61</v>
      </c>
      <c r="Q48" s="207">
        <v>1.5</v>
      </c>
      <c r="R48" s="192">
        <v>1</v>
      </c>
      <c r="S48" s="256">
        <f t="shared" si="0"/>
        <v>0.42</v>
      </c>
      <c r="T48" s="208">
        <f>Table1[[#This Row],[man minutes]]*Table1[[#This Row],[labor rate]]</f>
        <v>0.63</v>
      </c>
      <c r="U48" s="208">
        <f t="shared" si="11"/>
        <v>1.24</v>
      </c>
      <c r="V48" s="193">
        <f t="shared" si="8"/>
        <v>0.13</v>
      </c>
      <c r="W48" s="257">
        <f t="shared" si="3"/>
        <v>0.13</v>
      </c>
      <c r="X48" s="208">
        <f t="shared" si="12"/>
        <v>0.68929999999999991</v>
      </c>
      <c r="Y48" s="208">
        <f t="shared" si="13"/>
        <v>0.71189999999999998</v>
      </c>
      <c r="Z48" s="208">
        <f t="shared" si="14"/>
        <v>1.41</v>
      </c>
      <c r="AA48" s="210">
        <f>+Table1[[#This Row],[calculated sale price]]</f>
        <v>1.41</v>
      </c>
      <c r="AB48" s="209"/>
      <c r="AC48" s="213"/>
    </row>
    <row r="49" spans="1:29">
      <c r="A49" s="192">
        <v>1040</v>
      </c>
      <c r="B49" t="s">
        <v>430</v>
      </c>
      <c r="C49" s="192">
        <v>1</v>
      </c>
      <c r="I49" s="192"/>
      <c r="J49" s="192"/>
      <c r="K49" s="192"/>
      <c r="L49" s="203"/>
      <c r="M49" s="192"/>
      <c r="N49" s="204"/>
      <c r="O49" s="205">
        <v>0.48</v>
      </c>
      <c r="P49" s="205">
        <f>Table1[[#This Row],[unit cost]]</f>
        <v>0.48</v>
      </c>
      <c r="Q49" s="207">
        <v>0.5</v>
      </c>
      <c r="R49" s="192">
        <v>1</v>
      </c>
      <c r="S49" s="256">
        <f t="shared" si="0"/>
        <v>0.42</v>
      </c>
      <c r="T49" s="208">
        <f>Table1[[#This Row],[man minutes]]*Table1[[#This Row],[labor rate]]</f>
        <v>0.21</v>
      </c>
      <c r="U49" s="208">
        <f t="shared" si="11"/>
        <v>0.69</v>
      </c>
      <c r="V49" s="193">
        <f t="shared" si="8"/>
        <v>0.13</v>
      </c>
      <c r="W49" s="257">
        <f t="shared" si="3"/>
        <v>0.13</v>
      </c>
      <c r="X49" s="208">
        <f t="shared" si="12"/>
        <v>0.54239999999999988</v>
      </c>
      <c r="Y49" s="208">
        <f t="shared" si="13"/>
        <v>0.23729999999999998</v>
      </c>
      <c r="Z49" s="208">
        <f t="shared" si="14"/>
        <v>0.78</v>
      </c>
      <c r="AA49" s="210">
        <f>+Table1[[#This Row],[calculated sale price]]</f>
        <v>0.78</v>
      </c>
      <c r="AB49" s="209"/>
      <c r="AC49" s="213"/>
    </row>
    <row r="50" spans="1:29">
      <c r="A50" s="192">
        <v>1041</v>
      </c>
      <c r="B50" t="s">
        <v>431</v>
      </c>
      <c r="C50" s="192">
        <v>1</v>
      </c>
      <c r="I50" s="192"/>
      <c r="J50" s="192"/>
      <c r="K50" s="192"/>
      <c r="L50" s="203"/>
      <c r="M50" s="192"/>
      <c r="N50" s="204"/>
      <c r="O50" s="205">
        <v>0.55000000000000004</v>
      </c>
      <c r="P50" s="205">
        <f>Table1[[#This Row],[unit cost]]</f>
        <v>0.55000000000000004</v>
      </c>
      <c r="Q50" s="207">
        <v>2.5</v>
      </c>
      <c r="R50" s="192">
        <v>1</v>
      </c>
      <c r="S50" s="256">
        <f t="shared" si="0"/>
        <v>0.42</v>
      </c>
      <c r="T50" s="208">
        <f>Table1[[#This Row],[man minutes]]*Table1[[#This Row],[labor rate]]</f>
        <v>1.05</v>
      </c>
      <c r="U50" s="208">
        <f t="shared" si="11"/>
        <v>1.6</v>
      </c>
      <c r="V50" s="193">
        <f t="shared" si="8"/>
        <v>0.13</v>
      </c>
      <c r="W50" s="257">
        <f t="shared" si="3"/>
        <v>0.13</v>
      </c>
      <c r="X50" s="208">
        <f t="shared" si="12"/>
        <v>0.62149999999999994</v>
      </c>
      <c r="Y50" s="208">
        <f t="shared" si="13"/>
        <v>1.1865000000000001</v>
      </c>
      <c r="Z50" s="208">
        <f t="shared" si="14"/>
        <v>1.81</v>
      </c>
      <c r="AA50" s="210">
        <f>+Table1[[#This Row],[calculated sale price]]</f>
        <v>1.81</v>
      </c>
      <c r="AB50" s="209"/>
      <c r="AC50" s="213"/>
    </row>
    <row r="51" spans="1:29">
      <c r="A51" s="192">
        <v>1042</v>
      </c>
      <c r="B51" t="s">
        <v>432</v>
      </c>
      <c r="C51" s="192">
        <v>1</v>
      </c>
      <c r="I51" s="192"/>
      <c r="J51" s="192"/>
      <c r="K51" s="192"/>
      <c r="L51" s="203"/>
      <c r="M51" s="192"/>
      <c r="N51" s="204"/>
      <c r="O51" s="205">
        <v>0.3</v>
      </c>
      <c r="P51" s="205">
        <f>Table1[[#This Row],[unit cost]]</f>
        <v>0.3</v>
      </c>
      <c r="Q51" s="207">
        <v>0.25</v>
      </c>
      <c r="R51" s="192">
        <v>1</v>
      </c>
      <c r="S51" s="256">
        <f t="shared" si="0"/>
        <v>0.42</v>
      </c>
      <c r="T51" s="208">
        <f>Table1[[#This Row],[man minutes]]*Table1[[#This Row],[labor rate]]</f>
        <v>0.105</v>
      </c>
      <c r="U51" s="208">
        <f t="shared" si="11"/>
        <v>0.40499999999999997</v>
      </c>
      <c r="V51" s="193">
        <f t="shared" si="8"/>
        <v>0.13</v>
      </c>
      <c r="W51" s="257">
        <f t="shared" si="3"/>
        <v>0.13</v>
      </c>
      <c r="X51" s="208">
        <f t="shared" si="12"/>
        <v>0.33899999999999997</v>
      </c>
      <c r="Y51" s="208">
        <f t="shared" si="13"/>
        <v>0.11864999999999999</v>
      </c>
      <c r="Z51" s="208">
        <f t="shared" si="14"/>
        <v>0.46</v>
      </c>
      <c r="AA51" s="210">
        <f>+Table1[[#This Row],[calculated sale price]]</f>
        <v>0.46</v>
      </c>
      <c r="AB51" s="209"/>
      <c r="AC51" s="213"/>
    </row>
    <row r="52" spans="1:29">
      <c r="A52" s="192">
        <v>1043</v>
      </c>
      <c r="B52" t="s">
        <v>433</v>
      </c>
      <c r="C52" s="192">
        <v>1</v>
      </c>
      <c r="I52" s="192"/>
      <c r="J52" s="192"/>
      <c r="K52" s="192"/>
      <c r="L52" s="203"/>
      <c r="M52" s="192"/>
      <c r="N52" s="204"/>
      <c r="O52" s="205">
        <v>0.14000000000000001</v>
      </c>
      <c r="P52" s="205">
        <f>Table1[[#This Row],[unit cost]]</f>
        <v>0.14000000000000001</v>
      </c>
      <c r="Q52" s="207">
        <v>0.25</v>
      </c>
      <c r="R52" s="192">
        <v>1</v>
      </c>
      <c r="S52" s="256">
        <f t="shared" si="0"/>
        <v>0.42</v>
      </c>
      <c r="T52" s="208">
        <f>Table1[[#This Row],[man minutes]]*Table1[[#This Row],[labor rate]]</f>
        <v>0.105</v>
      </c>
      <c r="U52" s="208">
        <f t="shared" si="11"/>
        <v>0.245</v>
      </c>
      <c r="V52" s="193">
        <f t="shared" si="8"/>
        <v>0.13</v>
      </c>
      <c r="W52" s="257">
        <f t="shared" si="3"/>
        <v>0.13</v>
      </c>
      <c r="X52" s="208">
        <f t="shared" si="12"/>
        <v>0.15820000000000001</v>
      </c>
      <c r="Y52" s="208">
        <f t="shared" si="13"/>
        <v>0.11864999999999999</v>
      </c>
      <c r="Z52" s="208">
        <f t="shared" si="14"/>
        <v>0.28000000000000003</v>
      </c>
      <c r="AA52" s="210">
        <f>+Table1[[#This Row],[calculated sale price]]</f>
        <v>0.28000000000000003</v>
      </c>
      <c r="AB52" s="209"/>
      <c r="AC52" s="213"/>
    </row>
    <row r="53" spans="1:29">
      <c r="A53" s="192">
        <v>1044</v>
      </c>
      <c r="B53" t="s">
        <v>434</v>
      </c>
      <c r="C53" s="192">
        <v>1</v>
      </c>
      <c r="I53" s="192"/>
      <c r="J53" s="192"/>
      <c r="K53" s="192"/>
      <c r="L53" s="203"/>
      <c r="M53" s="192"/>
      <c r="N53" s="204"/>
      <c r="O53" s="205">
        <v>0.28999999999999998</v>
      </c>
      <c r="P53" s="205">
        <f>Table1[[#This Row],[unit cost]]</f>
        <v>0.28999999999999998</v>
      </c>
      <c r="Q53" s="207">
        <v>1.25</v>
      </c>
      <c r="R53" s="192">
        <v>1</v>
      </c>
      <c r="S53" s="256">
        <f t="shared" si="0"/>
        <v>0.42</v>
      </c>
      <c r="T53" s="208">
        <f>Table1[[#This Row],[man minutes]]*Table1[[#This Row],[labor rate]]</f>
        <v>0.52500000000000002</v>
      </c>
      <c r="U53" s="208">
        <f t="shared" si="11"/>
        <v>0.81499999999999995</v>
      </c>
      <c r="V53" s="193">
        <f t="shared" si="8"/>
        <v>0.13</v>
      </c>
      <c r="W53" s="257">
        <f t="shared" si="3"/>
        <v>0.13</v>
      </c>
      <c r="X53" s="208">
        <f t="shared" si="12"/>
        <v>0.32769999999999994</v>
      </c>
      <c r="Y53" s="208">
        <f t="shared" si="13"/>
        <v>0.59325000000000006</v>
      </c>
      <c r="Z53" s="208">
        <f t="shared" si="14"/>
        <v>0.93</v>
      </c>
      <c r="AA53" s="210">
        <f>+Table1[[#This Row],[calculated sale price]]</f>
        <v>0.93</v>
      </c>
      <c r="AB53" s="209"/>
      <c r="AC53" s="213"/>
    </row>
    <row r="54" spans="1:29">
      <c r="A54" s="192">
        <v>1045</v>
      </c>
      <c r="B54" t="s">
        <v>435</v>
      </c>
      <c r="C54" s="192">
        <v>1</v>
      </c>
      <c r="I54" s="192"/>
      <c r="J54" s="192"/>
      <c r="K54" s="192"/>
      <c r="L54" s="203"/>
      <c r="M54" s="192"/>
      <c r="N54" s="204"/>
      <c r="O54" s="205">
        <v>0.43</v>
      </c>
      <c r="P54" s="205">
        <f>Table1[[#This Row],[unit cost]]</f>
        <v>0.43</v>
      </c>
      <c r="Q54" s="207">
        <v>1.25</v>
      </c>
      <c r="R54" s="192">
        <v>1</v>
      </c>
      <c r="S54" s="256">
        <f t="shared" si="0"/>
        <v>0.42</v>
      </c>
      <c r="T54" s="208">
        <f>Table1[[#This Row],[man minutes]]*Table1[[#This Row],[labor rate]]</f>
        <v>0.52500000000000002</v>
      </c>
      <c r="U54" s="208">
        <f t="shared" si="11"/>
        <v>0.95500000000000007</v>
      </c>
      <c r="V54" s="193">
        <f t="shared" si="8"/>
        <v>0.13</v>
      </c>
      <c r="W54" s="257">
        <f t="shared" si="3"/>
        <v>0.13</v>
      </c>
      <c r="X54" s="208">
        <f t="shared" si="12"/>
        <v>0.48589999999999994</v>
      </c>
      <c r="Y54" s="208">
        <f t="shared" si="13"/>
        <v>0.59325000000000006</v>
      </c>
      <c r="Z54" s="208">
        <f t="shared" si="14"/>
        <v>1.08</v>
      </c>
      <c r="AA54" s="210">
        <f>+Table1[[#This Row],[calculated sale price]]</f>
        <v>1.08</v>
      </c>
      <c r="AB54" s="209"/>
      <c r="AC54" s="213"/>
    </row>
    <row r="55" spans="1:29">
      <c r="A55" s="192">
        <v>1046</v>
      </c>
      <c r="B55" t="s">
        <v>436</v>
      </c>
      <c r="C55" s="192">
        <v>1</v>
      </c>
      <c r="I55" s="192"/>
      <c r="J55" s="192"/>
      <c r="K55" s="192"/>
      <c r="L55" s="203"/>
      <c r="M55" s="192"/>
      <c r="N55" s="204"/>
      <c r="O55" s="205">
        <v>1.54</v>
      </c>
      <c r="P55" s="205">
        <f>Table1[[#This Row],[unit cost]]</f>
        <v>1.54</v>
      </c>
      <c r="Q55" s="207">
        <v>4.75</v>
      </c>
      <c r="R55" s="192">
        <v>1</v>
      </c>
      <c r="S55" s="256">
        <f t="shared" si="0"/>
        <v>0.42</v>
      </c>
      <c r="T55" s="208">
        <f>Table1[[#This Row],[man minutes]]*Table1[[#This Row],[labor rate]]</f>
        <v>1.9949999999999999</v>
      </c>
      <c r="U55" s="208">
        <f t="shared" si="11"/>
        <v>3.5350000000000001</v>
      </c>
      <c r="V55" s="193">
        <f t="shared" si="8"/>
        <v>0.13</v>
      </c>
      <c r="W55" s="257">
        <f t="shared" si="3"/>
        <v>0.13</v>
      </c>
      <c r="X55" s="208">
        <f t="shared" si="12"/>
        <v>1.7402</v>
      </c>
      <c r="Y55" s="208">
        <f t="shared" si="13"/>
        <v>2.2543499999999996</v>
      </c>
      <c r="Z55" s="208">
        <f t="shared" si="14"/>
        <v>4</v>
      </c>
      <c r="AA55" s="210">
        <f>+Table1[[#This Row],[calculated sale price]]</f>
        <v>4</v>
      </c>
      <c r="AB55" s="209"/>
      <c r="AC55" s="213"/>
    </row>
    <row r="56" spans="1:29">
      <c r="A56" s="192">
        <v>1047</v>
      </c>
      <c r="B56" t="s">
        <v>437</v>
      </c>
      <c r="C56" s="192">
        <v>1</v>
      </c>
      <c r="I56" s="192"/>
      <c r="J56" s="192"/>
      <c r="K56" s="192"/>
      <c r="L56" s="203"/>
      <c r="M56" s="192"/>
      <c r="N56" s="204"/>
      <c r="O56" s="205">
        <v>1.51</v>
      </c>
      <c r="P56" s="205">
        <f>Table1[[#This Row],[unit cost]]</f>
        <v>1.51</v>
      </c>
      <c r="Q56" s="207">
        <v>4</v>
      </c>
      <c r="R56" s="192">
        <v>1</v>
      </c>
      <c r="S56" s="256">
        <f t="shared" si="0"/>
        <v>0.42</v>
      </c>
      <c r="T56" s="208">
        <f>Table1[[#This Row],[man minutes]]*Table1[[#This Row],[labor rate]]</f>
        <v>1.68</v>
      </c>
      <c r="U56" s="208">
        <f t="shared" si="11"/>
        <v>3.19</v>
      </c>
      <c r="V56" s="193">
        <f t="shared" si="8"/>
        <v>0.13</v>
      </c>
      <c r="W56" s="257">
        <f t="shared" si="3"/>
        <v>0.13</v>
      </c>
      <c r="X56" s="208">
        <f t="shared" si="12"/>
        <v>1.7062999999999999</v>
      </c>
      <c r="Y56" s="208">
        <f t="shared" si="13"/>
        <v>1.8983999999999999</v>
      </c>
      <c r="Z56" s="208">
        <f t="shared" si="14"/>
        <v>3.61</v>
      </c>
      <c r="AA56" s="210">
        <f>+Table1[[#This Row],[calculated sale price]]</f>
        <v>3.61</v>
      </c>
      <c r="AB56" s="209"/>
      <c r="AC56" s="213"/>
    </row>
    <row r="57" spans="1:29">
      <c r="A57" s="192">
        <v>1048</v>
      </c>
      <c r="B57" t="s">
        <v>438</v>
      </c>
      <c r="C57" s="192">
        <v>1</v>
      </c>
      <c r="I57" s="192"/>
      <c r="J57" s="192"/>
      <c r="K57" s="192"/>
      <c r="L57" s="203"/>
      <c r="M57" s="192"/>
      <c r="N57" s="204"/>
      <c r="O57" s="205">
        <v>0.05</v>
      </c>
      <c r="P57" s="205">
        <f>Table1[[#This Row],[unit cost]]</f>
        <v>0.05</v>
      </c>
      <c r="Q57" s="207">
        <v>1</v>
      </c>
      <c r="R57" s="192">
        <v>1</v>
      </c>
      <c r="S57" s="256">
        <f t="shared" si="0"/>
        <v>0.42</v>
      </c>
      <c r="T57" s="208">
        <f>Table1[[#This Row],[man minutes]]*Table1[[#This Row],[labor rate]]</f>
        <v>0.42</v>
      </c>
      <c r="U57" s="208">
        <f t="shared" si="11"/>
        <v>0.47</v>
      </c>
      <c r="V57" s="193">
        <f t="shared" si="8"/>
        <v>0.13</v>
      </c>
      <c r="W57" s="257">
        <f t="shared" si="3"/>
        <v>0.13</v>
      </c>
      <c r="X57" s="208">
        <f t="shared" si="12"/>
        <v>5.6499999999999995E-2</v>
      </c>
      <c r="Y57" s="208">
        <f t="shared" si="13"/>
        <v>0.47459999999999997</v>
      </c>
      <c r="Z57" s="208">
        <f t="shared" si="14"/>
        <v>0.54</v>
      </c>
      <c r="AA57" s="210">
        <f>+Table1[[#This Row],[calculated sale price]]</f>
        <v>0.54</v>
      </c>
      <c r="AB57" s="209"/>
      <c r="AC57" s="213"/>
    </row>
    <row r="58" spans="1:29">
      <c r="A58" s="192">
        <v>1049</v>
      </c>
      <c r="B58" t="s">
        <v>439</v>
      </c>
      <c r="C58" s="192">
        <v>1</v>
      </c>
      <c r="I58" s="192"/>
      <c r="J58" s="192"/>
      <c r="K58" s="192"/>
      <c r="L58" s="203"/>
      <c r="M58" s="192"/>
      <c r="N58" s="204"/>
      <c r="O58" s="205">
        <v>0.63</v>
      </c>
      <c r="P58" s="205">
        <f>Table1[[#This Row],[unit cost]]</f>
        <v>0.63</v>
      </c>
      <c r="Q58" s="207">
        <v>1.5</v>
      </c>
      <c r="R58" s="192">
        <v>1</v>
      </c>
      <c r="S58" s="256">
        <f t="shared" si="0"/>
        <v>0.42</v>
      </c>
      <c r="T58" s="208">
        <f>Table1[[#This Row],[man minutes]]*Table1[[#This Row],[labor rate]]</f>
        <v>0.63</v>
      </c>
      <c r="U58" s="208">
        <f t="shared" si="11"/>
        <v>1.26</v>
      </c>
      <c r="V58" s="193">
        <f t="shared" si="8"/>
        <v>0.13</v>
      </c>
      <c r="W58" s="257">
        <f t="shared" si="3"/>
        <v>0.13</v>
      </c>
      <c r="X58" s="208">
        <f t="shared" si="12"/>
        <v>0.71189999999999998</v>
      </c>
      <c r="Y58" s="208">
        <f t="shared" si="13"/>
        <v>0.71189999999999998</v>
      </c>
      <c r="Z58" s="208">
        <f t="shared" si="14"/>
        <v>1.43</v>
      </c>
      <c r="AA58" s="210">
        <f>+Table1[[#This Row],[calculated sale price]]</f>
        <v>1.43</v>
      </c>
      <c r="AB58" s="209"/>
      <c r="AC58" s="213"/>
    </row>
    <row r="59" spans="1:29">
      <c r="A59" s="192">
        <v>1050</v>
      </c>
      <c r="B59" t="s">
        <v>440</v>
      </c>
      <c r="C59" s="192">
        <v>1</v>
      </c>
      <c r="I59" s="192"/>
      <c r="J59" s="192"/>
      <c r="K59" s="192"/>
      <c r="L59" s="203"/>
      <c r="M59" s="192"/>
      <c r="N59" s="204"/>
      <c r="O59" s="205">
        <v>1.3</v>
      </c>
      <c r="P59" s="205">
        <f>Table1[[#This Row],[unit cost]]</f>
        <v>1.3</v>
      </c>
      <c r="Q59" s="207">
        <v>1.25</v>
      </c>
      <c r="R59" s="192">
        <v>1</v>
      </c>
      <c r="S59" s="256">
        <f t="shared" si="0"/>
        <v>0.42</v>
      </c>
      <c r="T59" s="208">
        <f>Table1[[#This Row],[man minutes]]*Table1[[#This Row],[labor rate]]</f>
        <v>0.52500000000000002</v>
      </c>
      <c r="U59" s="208">
        <f t="shared" si="11"/>
        <v>1.8250000000000002</v>
      </c>
      <c r="V59" s="193">
        <f t="shared" si="8"/>
        <v>0.13</v>
      </c>
      <c r="W59" s="257">
        <f t="shared" si="3"/>
        <v>0.13</v>
      </c>
      <c r="X59" s="208">
        <f t="shared" si="12"/>
        <v>1.4689999999999999</v>
      </c>
      <c r="Y59" s="208">
        <f t="shared" si="13"/>
        <v>0.59325000000000006</v>
      </c>
      <c r="Z59" s="208">
        <f t="shared" si="14"/>
        <v>2.0699999999999998</v>
      </c>
      <c r="AA59" s="210">
        <f>+Table1[[#This Row],[calculated sale price]]</f>
        <v>2.0699999999999998</v>
      </c>
      <c r="AB59" s="209"/>
      <c r="AC59" s="213"/>
    </row>
    <row r="60" spans="1:29">
      <c r="A60" s="192">
        <v>1051</v>
      </c>
      <c r="B60" t="s">
        <v>441</v>
      </c>
      <c r="C60" s="192">
        <v>1</v>
      </c>
      <c r="I60" s="192"/>
      <c r="J60" s="192"/>
      <c r="K60" s="192"/>
      <c r="L60" s="203"/>
      <c r="M60" s="192"/>
      <c r="N60" s="204"/>
      <c r="O60" s="205">
        <v>1.94</v>
      </c>
      <c r="P60" s="205">
        <f>Table1[[#This Row],[unit cost]]</f>
        <v>1.94</v>
      </c>
      <c r="Q60" s="207">
        <v>1.25</v>
      </c>
      <c r="R60" s="192">
        <v>1</v>
      </c>
      <c r="S60" s="256">
        <f t="shared" si="0"/>
        <v>0.42</v>
      </c>
      <c r="T60" s="208">
        <f>Table1[[#This Row],[man minutes]]*Table1[[#This Row],[labor rate]]</f>
        <v>0.52500000000000002</v>
      </c>
      <c r="U60" s="208">
        <f t="shared" si="11"/>
        <v>2.4649999999999999</v>
      </c>
      <c r="V60" s="193">
        <f t="shared" si="8"/>
        <v>0.13</v>
      </c>
      <c r="W60" s="257">
        <f t="shared" si="3"/>
        <v>0.13</v>
      </c>
      <c r="X60" s="208">
        <f t="shared" si="12"/>
        <v>2.1921999999999997</v>
      </c>
      <c r="Y60" s="208">
        <f t="shared" si="13"/>
        <v>0.59325000000000006</v>
      </c>
      <c r="Z60" s="208">
        <f t="shared" si="14"/>
        <v>2.7899999999999996</v>
      </c>
      <c r="AA60" s="210">
        <f>+Table1[[#This Row],[calculated sale price]]</f>
        <v>2.7899999999999996</v>
      </c>
      <c r="AB60" s="209"/>
      <c r="AC60" s="213"/>
    </row>
    <row r="61" spans="1:29">
      <c r="A61" s="192">
        <v>1052</v>
      </c>
      <c r="B61" t="s">
        <v>442</v>
      </c>
      <c r="C61" s="192">
        <v>1</v>
      </c>
      <c r="I61" s="192"/>
      <c r="J61" s="192"/>
      <c r="K61" s="192"/>
      <c r="L61" s="203"/>
      <c r="M61" s="192"/>
      <c r="N61" s="204"/>
      <c r="O61" s="205">
        <v>0.59</v>
      </c>
      <c r="P61" s="205">
        <f>Table1[[#This Row],[unit cost]]</f>
        <v>0.59</v>
      </c>
      <c r="Q61" s="207">
        <v>1.5</v>
      </c>
      <c r="R61" s="192">
        <v>1</v>
      </c>
      <c r="S61" s="256">
        <f t="shared" ref="S61:S124" si="15">$S$2</f>
        <v>0.42</v>
      </c>
      <c r="T61" s="208">
        <f>Table1[[#This Row],[man minutes]]*Table1[[#This Row],[labor rate]]</f>
        <v>0.63</v>
      </c>
      <c r="U61" s="208">
        <f t="shared" si="11"/>
        <v>1.22</v>
      </c>
      <c r="V61" s="193">
        <f t="shared" si="8"/>
        <v>0.13</v>
      </c>
      <c r="W61" s="257">
        <f t="shared" si="3"/>
        <v>0.13</v>
      </c>
      <c r="X61" s="208">
        <f t="shared" si="12"/>
        <v>0.66669999999999985</v>
      </c>
      <c r="Y61" s="208">
        <f t="shared" si="13"/>
        <v>0.71189999999999998</v>
      </c>
      <c r="Z61" s="208">
        <f t="shared" si="14"/>
        <v>1.3800000000000001</v>
      </c>
      <c r="AA61" s="210">
        <f>+Table1[[#This Row],[calculated sale price]]</f>
        <v>1.3800000000000001</v>
      </c>
      <c r="AB61" s="209"/>
      <c r="AC61" s="213"/>
    </row>
    <row r="62" spans="1:29">
      <c r="A62" s="192">
        <v>1053</v>
      </c>
      <c r="B62" t="s">
        <v>443</v>
      </c>
      <c r="C62" s="192">
        <v>1</v>
      </c>
      <c r="I62" s="192"/>
      <c r="J62" s="192"/>
      <c r="K62" s="192"/>
      <c r="L62" s="203"/>
      <c r="M62" s="192"/>
      <c r="N62" s="204"/>
      <c r="O62" s="205">
        <v>0.28000000000000003</v>
      </c>
      <c r="P62" s="205">
        <f>Table1[[#This Row],[unit cost]]</f>
        <v>0.28000000000000003</v>
      </c>
      <c r="Q62" s="207">
        <v>1</v>
      </c>
      <c r="R62" s="192">
        <v>1</v>
      </c>
      <c r="S62" s="256">
        <f t="shared" si="15"/>
        <v>0.42</v>
      </c>
      <c r="T62" s="208">
        <f>Table1[[#This Row],[man minutes]]*Table1[[#This Row],[labor rate]]</f>
        <v>0.42</v>
      </c>
      <c r="U62" s="208">
        <f t="shared" si="11"/>
        <v>0.7</v>
      </c>
      <c r="V62" s="193">
        <f t="shared" si="8"/>
        <v>0.13</v>
      </c>
      <c r="W62" s="257">
        <f t="shared" ref="W62:W125" si="16">$W$2</f>
        <v>0.13</v>
      </c>
      <c r="X62" s="208">
        <f t="shared" si="12"/>
        <v>0.31640000000000001</v>
      </c>
      <c r="Y62" s="208">
        <f t="shared" si="13"/>
        <v>0.47459999999999997</v>
      </c>
      <c r="Z62" s="208">
        <f t="shared" si="14"/>
        <v>0.8</v>
      </c>
      <c r="AA62" s="210">
        <f>+Table1[[#This Row],[calculated sale price]]</f>
        <v>0.8</v>
      </c>
      <c r="AB62" s="209"/>
      <c r="AC62" s="213"/>
    </row>
    <row r="63" spans="1:29">
      <c r="A63" s="192">
        <v>1054</v>
      </c>
      <c r="B63" t="s">
        <v>444</v>
      </c>
      <c r="C63" s="192">
        <v>1</v>
      </c>
      <c r="I63" s="192"/>
      <c r="J63" s="192"/>
      <c r="K63" s="192"/>
      <c r="L63" s="203"/>
      <c r="M63" s="192"/>
      <c r="N63" s="204"/>
      <c r="O63" s="205">
        <v>1.23</v>
      </c>
      <c r="P63" s="205">
        <f>Table1[[#This Row],[unit cost]]</f>
        <v>1.23</v>
      </c>
      <c r="Q63" s="207">
        <v>1.5</v>
      </c>
      <c r="R63" s="192">
        <v>1</v>
      </c>
      <c r="S63" s="256">
        <f t="shared" si="15"/>
        <v>0.42</v>
      </c>
      <c r="T63" s="208">
        <f>Table1[[#This Row],[man minutes]]*Table1[[#This Row],[labor rate]]</f>
        <v>0.63</v>
      </c>
      <c r="U63" s="208">
        <f t="shared" si="11"/>
        <v>1.8599999999999999</v>
      </c>
      <c r="V63" s="193">
        <f t="shared" si="8"/>
        <v>0.13</v>
      </c>
      <c r="W63" s="257">
        <f t="shared" si="16"/>
        <v>0.13</v>
      </c>
      <c r="X63" s="208">
        <f t="shared" si="12"/>
        <v>1.3898999999999999</v>
      </c>
      <c r="Y63" s="208">
        <f t="shared" si="13"/>
        <v>0.71189999999999998</v>
      </c>
      <c r="Z63" s="208">
        <f t="shared" si="14"/>
        <v>2.11</v>
      </c>
      <c r="AA63" s="210">
        <f>+Table1[[#This Row],[calculated sale price]]</f>
        <v>2.11</v>
      </c>
      <c r="AB63" s="209"/>
      <c r="AC63" s="213"/>
    </row>
    <row r="64" spans="1:29">
      <c r="A64" s="192">
        <v>1055</v>
      </c>
      <c r="B64" t="s">
        <v>445</v>
      </c>
      <c r="C64" s="192">
        <v>1</v>
      </c>
      <c r="I64" s="192"/>
      <c r="J64" s="192"/>
      <c r="K64" s="192"/>
      <c r="L64" s="203"/>
      <c r="M64" s="192"/>
      <c r="N64" s="204"/>
      <c r="O64" s="205">
        <v>2.08</v>
      </c>
      <c r="P64" s="205">
        <f>Table1[[#This Row],[unit cost]]</f>
        <v>2.08</v>
      </c>
      <c r="Q64" s="207">
        <v>1</v>
      </c>
      <c r="R64" s="192">
        <v>1</v>
      </c>
      <c r="S64" s="256">
        <f t="shared" si="15"/>
        <v>0.42</v>
      </c>
      <c r="T64" s="208">
        <f>Table1[[#This Row],[man minutes]]*Table1[[#This Row],[labor rate]]</f>
        <v>0.42</v>
      </c>
      <c r="U64" s="208">
        <f t="shared" si="11"/>
        <v>2.5</v>
      </c>
      <c r="V64" s="193">
        <f t="shared" si="8"/>
        <v>0.13</v>
      </c>
      <c r="W64" s="257">
        <f t="shared" si="16"/>
        <v>0.13</v>
      </c>
      <c r="X64" s="208">
        <f t="shared" si="12"/>
        <v>2.3504</v>
      </c>
      <c r="Y64" s="208">
        <f t="shared" si="13"/>
        <v>0.47459999999999997</v>
      </c>
      <c r="Z64" s="208">
        <f t="shared" si="14"/>
        <v>2.8299999999999996</v>
      </c>
      <c r="AA64" s="210">
        <f>+Table1[[#This Row],[calculated sale price]]</f>
        <v>2.8299999999999996</v>
      </c>
      <c r="AB64" s="209"/>
      <c r="AC64" s="213"/>
    </row>
    <row r="65" spans="1:29">
      <c r="A65" s="192">
        <v>1056</v>
      </c>
      <c r="B65" t="s">
        <v>446</v>
      </c>
      <c r="C65" s="192">
        <v>1</v>
      </c>
      <c r="I65" s="192"/>
      <c r="J65" s="192"/>
      <c r="K65" s="192"/>
      <c r="L65" s="203"/>
      <c r="M65" s="192"/>
      <c r="N65" s="204"/>
      <c r="O65" s="205">
        <v>1.32</v>
      </c>
      <c r="P65" s="205">
        <f>Table1[[#This Row],[unit cost]]</f>
        <v>1.32</v>
      </c>
      <c r="Q65" s="207">
        <v>1</v>
      </c>
      <c r="R65" s="192">
        <v>1</v>
      </c>
      <c r="S65" s="256">
        <f t="shared" si="15"/>
        <v>0.42</v>
      </c>
      <c r="T65" s="208">
        <f>Table1[[#This Row],[man minutes]]*Table1[[#This Row],[labor rate]]</f>
        <v>0.42</v>
      </c>
      <c r="U65" s="208">
        <f t="shared" si="11"/>
        <v>1.74</v>
      </c>
      <c r="V65" s="193">
        <f t="shared" si="8"/>
        <v>0.13</v>
      </c>
      <c r="W65" s="257">
        <f t="shared" si="16"/>
        <v>0.13</v>
      </c>
      <c r="X65" s="208">
        <f t="shared" si="12"/>
        <v>1.4916</v>
      </c>
      <c r="Y65" s="208">
        <f t="shared" si="13"/>
        <v>0.47459999999999997</v>
      </c>
      <c r="Z65" s="208">
        <f t="shared" si="14"/>
        <v>1.97</v>
      </c>
      <c r="AA65" s="210">
        <f>+Table1[[#This Row],[calculated sale price]]</f>
        <v>1.97</v>
      </c>
      <c r="AB65" s="209"/>
      <c r="AC65" s="213"/>
    </row>
    <row r="66" spans="1:29">
      <c r="A66" s="192">
        <v>1057</v>
      </c>
      <c r="B66" t="s">
        <v>447</v>
      </c>
      <c r="C66" s="192">
        <v>1</v>
      </c>
      <c r="I66" s="192"/>
      <c r="J66" s="192"/>
      <c r="K66" s="192"/>
      <c r="L66" s="203"/>
      <c r="M66" s="192"/>
      <c r="N66" s="204"/>
      <c r="O66" s="205">
        <v>2.16</v>
      </c>
      <c r="P66" s="205">
        <f>Table1[[#This Row],[unit cost]]</f>
        <v>2.16</v>
      </c>
      <c r="Q66" s="207">
        <v>3.5</v>
      </c>
      <c r="R66" s="192">
        <v>1</v>
      </c>
      <c r="S66" s="256">
        <f t="shared" si="15"/>
        <v>0.42</v>
      </c>
      <c r="T66" s="208">
        <f>Table1[[#This Row],[man minutes]]*Table1[[#This Row],[labor rate]]</f>
        <v>1.47</v>
      </c>
      <c r="U66" s="208">
        <f t="shared" si="11"/>
        <v>3.63</v>
      </c>
      <c r="V66" s="193">
        <f t="shared" si="8"/>
        <v>0.13</v>
      </c>
      <c r="W66" s="257">
        <f t="shared" si="16"/>
        <v>0.13</v>
      </c>
      <c r="X66" s="208">
        <f t="shared" si="12"/>
        <v>2.4407999999999999</v>
      </c>
      <c r="Y66" s="208">
        <f t="shared" si="13"/>
        <v>1.6611</v>
      </c>
      <c r="Z66" s="208">
        <f t="shared" si="14"/>
        <v>4.1099999999999994</v>
      </c>
      <c r="AA66" s="210">
        <f>+Table1[[#This Row],[calculated sale price]]</f>
        <v>4.1099999999999994</v>
      </c>
      <c r="AB66" s="209"/>
      <c r="AC66" s="213"/>
    </row>
    <row r="67" spans="1:29">
      <c r="A67" s="192">
        <v>1058</v>
      </c>
      <c r="B67" t="s">
        <v>448</v>
      </c>
      <c r="C67" s="192">
        <v>1</v>
      </c>
      <c r="I67" s="192"/>
      <c r="J67" s="192"/>
      <c r="K67" s="192"/>
      <c r="L67" s="203"/>
      <c r="M67" s="192"/>
      <c r="N67" s="204"/>
      <c r="O67" s="205">
        <v>4.28</v>
      </c>
      <c r="P67" s="205">
        <f>Table1[[#This Row],[unit cost]]</f>
        <v>4.28</v>
      </c>
      <c r="Q67" s="207">
        <v>4.25</v>
      </c>
      <c r="R67" s="192">
        <v>1</v>
      </c>
      <c r="S67" s="256">
        <f t="shared" si="15"/>
        <v>0.42</v>
      </c>
      <c r="T67" s="208">
        <f>Table1[[#This Row],[man minutes]]*Table1[[#This Row],[labor rate]]</f>
        <v>1.7849999999999999</v>
      </c>
      <c r="U67" s="208">
        <f t="shared" si="11"/>
        <v>6.0650000000000004</v>
      </c>
      <c r="V67" s="193">
        <f t="shared" si="8"/>
        <v>0.13</v>
      </c>
      <c r="W67" s="257">
        <f t="shared" si="16"/>
        <v>0.13</v>
      </c>
      <c r="X67" s="208">
        <f t="shared" si="12"/>
        <v>4.8364000000000003</v>
      </c>
      <c r="Y67" s="208">
        <f t="shared" si="13"/>
        <v>2.0170499999999998</v>
      </c>
      <c r="Z67" s="208">
        <f t="shared" si="14"/>
        <v>6.8599999999999994</v>
      </c>
      <c r="AA67" s="210">
        <f>+Table1[[#This Row],[calculated sale price]]</f>
        <v>6.8599999999999994</v>
      </c>
      <c r="AB67" s="209"/>
      <c r="AC67" s="213"/>
    </row>
    <row r="68" spans="1:29">
      <c r="A68" s="192">
        <v>1059</v>
      </c>
      <c r="B68" t="s">
        <v>449</v>
      </c>
      <c r="C68" s="192">
        <v>1</v>
      </c>
      <c r="I68" s="192"/>
      <c r="J68" s="192"/>
      <c r="K68" s="192"/>
      <c r="L68" s="203"/>
      <c r="M68" s="192"/>
      <c r="N68" s="204"/>
      <c r="O68" s="205">
        <v>3.41</v>
      </c>
      <c r="P68" s="205">
        <f>Table1[[#This Row],[unit cost]]</f>
        <v>3.41</v>
      </c>
      <c r="Q68" s="207">
        <v>4.25</v>
      </c>
      <c r="R68" s="192">
        <v>1</v>
      </c>
      <c r="S68" s="256">
        <f t="shared" si="15"/>
        <v>0.42</v>
      </c>
      <c r="T68" s="208">
        <f>Table1[[#This Row],[man minutes]]*Table1[[#This Row],[labor rate]]</f>
        <v>1.7849999999999999</v>
      </c>
      <c r="U68" s="208">
        <f t="shared" si="11"/>
        <v>5.1950000000000003</v>
      </c>
      <c r="V68" s="193">
        <f t="shared" si="8"/>
        <v>0.13</v>
      </c>
      <c r="W68" s="257">
        <f t="shared" si="16"/>
        <v>0.13</v>
      </c>
      <c r="X68" s="208">
        <f t="shared" si="12"/>
        <v>3.8532999999999999</v>
      </c>
      <c r="Y68" s="208">
        <f t="shared" si="13"/>
        <v>2.0170499999999998</v>
      </c>
      <c r="Z68" s="208">
        <f t="shared" si="14"/>
        <v>5.88</v>
      </c>
      <c r="AA68" s="210">
        <f>+Table1[[#This Row],[calculated sale price]]</f>
        <v>5.88</v>
      </c>
      <c r="AB68" s="209"/>
      <c r="AC68" s="213"/>
    </row>
    <row r="69" spans="1:29">
      <c r="A69" s="192">
        <v>1060</v>
      </c>
      <c r="B69" t="s">
        <v>450</v>
      </c>
      <c r="C69" s="192">
        <v>1</v>
      </c>
      <c r="I69" s="192"/>
      <c r="J69" s="192"/>
      <c r="K69" s="192"/>
      <c r="L69" s="203"/>
      <c r="M69" s="192"/>
      <c r="N69" s="204"/>
      <c r="O69" s="205">
        <v>1.51</v>
      </c>
      <c r="P69" s="205">
        <f>Table1[[#This Row],[unit cost]]</f>
        <v>1.51</v>
      </c>
      <c r="Q69" s="207">
        <v>4</v>
      </c>
      <c r="R69" s="192">
        <v>1</v>
      </c>
      <c r="S69" s="256">
        <f t="shared" si="15"/>
        <v>0.42</v>
      </c>
      <c r="T69" s="208">
        <f>Table1[[#This Row],[man minutes]]*Table1[[#This Row],[labor rate]]</f>
        <v>1.68</v>
      </c>
      <c r="U69" s="208">
        <f t="shared" si="11"/>
        <v>3.19</v>
      </c>
      <c r="V69" s="193">
        <f t="shared" si="8"/>
        <v>0.13</v>
      </c>
      <c r="W69" s="257">
        <f t="shared" si="16"/>
        <v>0.13</v>
      </c>
      <c r="X69" s="208">
        <f t="shared" si="12"/>
        <v>1.7062999999999999</v>
      </c>
      <c r="Y69" s="208">
        <f t="shared" si="13"/>
        <v>1.8983999999999999</v>
      </c>
      <c r="Z69" s="208">
        <f t="shared" si="14"/>
        <v>3.61</v>
      </c>
      <c r="AA69" s="210">
        <f>+Table1[[#This Row],[calculated sale price]]</f>
        <v>3.61</v>
      </c>
      <c r="AB69" s="209"/>
      <c r="AC69" s="213"/>
    </row>
    <row r="70" spans="1:29">
      <c r="A70" s="192">
        <v>1061</v>
      </c>
      <c r="B70" t="s">
        <v>451</v>
      </c>
      <c r="C70" s="192">
        <v>1</v>
      </c>
      <c r="I70" s="192"/>
      <c r="J70" s="192"/>
      <c r="K70" s="192"/>
      <c r="L70" s="203"/>
      <c r="M70" s="192"/>
      <c r="N70" s="204"/>
      <c r="O70" s="205">
        <v>0</v>
      </c>
      <c r="P70" s="205">
        <f>Table1[[#This Row],[unit cost]]</f>
        <v>0</v>
      </c>
      <c r="Q70" s="207"/>
      <c r="R70" s="192">
        <v>1</v>
      </c>
      <c r="S70" s="256">
        <f t="shared" si="15"/>
        <v>0.42</v>
      </c>
      <c r="T70" s="208">
        <f>Table1[[#This Row],[man minutes]]*Table1[[#This Row],[labor rate]]</f>
        <v>0</v>
      </c>
      <c r="U70" s="208">
        <f t="shared" si="11"/>
        <v>0</v>
      </c>
      <c r="V70" s="193">
        <f t="shared" si="8"/>
        <v>0.13</v>
      </c>
      <c r="W70" s="257">
        <f t="shared" si="16"/>
        <v>0.13</v>
      </c>
      <c r="X70" s="208">
        <f t="shared" si="12"/>
        <v>0</v>
      </c>
      <c r="Y70" s="208">
        <f t="shared" si="13"/>
        <v>0</v>
      </c>
      <c r="Z70" s="208">
        <f t="shared" si="14"/>
        <v>0</v>
      </c>
      <c r="AA70" s="210">
        <f>+Table1[[#This Row],[calculated sale price]]</f>
        <v>0</v>
      </c>
      <c r="AB70" s="209"/>
      <c r="AC70" s="213"/>
    </row>
    <row r="71" spans="1:29">
      <c r="A71" s="192">
        <v>1062</v>
      </c>
      <c r="B71" t="s">
        <v>452</v>
      </c>
      <c r="C71" s="192">
        <v>1</v>
      </c>
      <c r="I71" s="192"/>
      <c r="J71" s="192"/>
      <c r="K71" s="192"/>
      <c r="L71" s="203"/>
      <c r="M71" s="192"/>
      <c r="N71" s="204"/>
      <c r="O71" s="205">
        <v>1.63</v>
      </c>
      <c r="P71" s="205">
        <f>Table1[[#This Row],[unit cost]]</f>
        <v>1.63</v>
      </c>
      <c r="Q71" s="207">
        <v>1.5</v>
      </c>
      <c r="R71" s="192">
        <v>1</v>
      </c>
      <c r="S71" s="256">
        <f t="shared" si="15"/>
        <v>0.42</v>
      </c>
      <c r="T71" s="208">
        <f>Table1[[#This Row],[man minutes]]*Table1[[#This Row],[labor rate]]</f>
        <v>0.63</v>
      </c>
      <c r="U71" s="208">
        <f t="shared" si="11"/>
        <v>2.2599999999999998</v>
      </c>
      <c r="V71" s="193">
        <f t="shared" si="8"/>
        <v>0.13</v>
      </c>
      <c r="W71" s="257">
        <f t="shared" si="16"/>
        <v>0.13</v>
      </c>
      <c r="X71" s="208">
        <f t="shared" si="12"/>
        <v>1.8418999999999996</v>
      </c>
      <c r="Y71" s="208">
        <f t="shared" si="13"/>
        <v>0.71189999999999998</v>
      </c>
      <c r="Z71" s="208">
        <f t="shared" si="14"/>
        <v>2.5599999999999996</v>
      </c>
      <c r="AA71" s="210">
        <f>+Table1[[#This Row],[calculated sale price]]</f>
        <v>2.5599999999999996</v>
      </c>
      <c r="AB71" s="209"/>
      <c r="AC71" s="213"/>
    </row>
    <row r="72" spans="1:29">
      <c r="A72" s="192">
        <v>1063</v>
      </c>
      <c r="B72" s="343" t="s">
        <v>453</v>
      </c>
      <c r="C72" s="192">
        <v>1</v>
      </c>
      <c r="I72" s="192"/>
      <c r="J72" s="192"/>
      <c r="K72" s="192"/>
      <c r="L72" s="203"/>
      <c r="M72" s="192"/>
      <c r="N72" s="204"/>
      <c r="O72" s="205">
        <v>1.63</v>
      </c>
      <c r="P72" s="205">
        <f>Table1[[#This Row],[unit cost]]</f>
        <v>1.63</v>
      </c>
      <c r="Q72" s="207">
        <v>1.5</v>
      </c>
      <c r="R72" s="192">
        <v>1</v>
      </c>
      <c r="S72" s="256">
        <f t="shared" si="15"/>
        <v>0.42</v>
      </c>
      <c r="T72" s="208">
        <f>Table1[[#This Row],[man minutes]]*Table1[[#This Row],[labor rate]]</f>
        <v>0.63</v>
      </c>
      <c r="U72" s="208">
        <f t="shared" si="11"/>
        <v>2.2599999999999998</v>
      </c>
      <c r="V72" s="193">
        <f t="shared" si="8"/>
        <v>0.13</v>
      </c>
      <c r="W72" s="257">
        <f t="shared" si="16"/>
        <v>0.13</v>
      </c>
      <c r="X72" s="208">
        <f t="shared" si="12"/>
        <v>1.8418999999999996</v>
      </c>
      <c r="Y72" s="208">
        <f t="shared" si="13"/>
        <v>0.71189999999999998</v>
      </c>
      <c r="Z72" s="208">
        <f t="shared" si="14"/>
        <v>2.5599999999999996</v>
      </c>
      <c r="AA72" s="210">
        <f>+Table1[[#This Row],[calculated sale price]]</f>
        <v>2.5599999999999996</v>
      </c>
      <c r="AB72" s="209"/>
      <c r="AC72" s="213"/>
    </row>
    <row r="73" spans="1:29">
      <c r="A73" s="192">
        <v>1064</v>
      </c>
      <c r="B73" s="343" t="s">
        <v>454</v>
      </c>
      <c r="C73" s="192">
        <v>1</v>
      </c>
      <c r="I73" s="192"/>
      <c r="J73" s="192"/>
      <c r="K73" s="192"/>
      <c r="L73" s="203"/>
      <c r="M73" s="192"/>
      <c r="N73" s="204"/>
      <c r="O73" s="205">
        <v>2.2999999999999998</v>
      </c>
      <c r="P73" s="205">
        <f>Table1[[#This Row],[unit cost]]</f>
        <v>2.2999999999999998</v>
      </c>
      <c r="Q73" s="207">
        <v>1.5</v>
      </c>
      <c r="R73" s="192">
        <v>1</v>
      </c>
      <c r="S73" s="256">
        <f t="shared" si="15"/>
        <v>0.42</v>
      </c>
      <c r="T73" s="208">
        <f>Table1[[#This Row],[man minutes]]*Table1[[#This Row],[labor rate]]</f>
        <v>0.63</v>
      </c>
      <c r="U73" s="208">
        <f t="shared" si="11"/>
        <v>2.9299999999999997</v>
      </c>
      <c r="V73" s="193">
        <f t="shared" si="8"/>
        <v>0.13</v>
      </c>
      <c r="W73" s="257">
        <f t="shared" si="16"/>
        <v>0.13</v>
      </c>
      <c r="X73" s="208">
        <f t="shared" si="12"/>
        <v>2.5989999999999998</v>
      </c>
      <c r="Y73" s="208">
        <f t="shared" si="13"/>
        <v>0.71189999999999998</v>
      </c>
      <c r="Z73" s="208">
        <f t="shared" si="14"/>
        <v>3.32</v>
      </c>
      <c r="AA73" s="210">
        <f>+Table1[[#This Row],[calculated sale price]]</f>
        <v>3.32</v>
      </c>
      <c r="AB73" s="209"/>
      <c r="AC73" s="213"/>
    </row>
    <row r="74" spans="1:29">
      <c r="A74" s="192">
        <v>1065</v>
      </c>
      <c r="B74" s="343" t="s">
        <v>455</v>
      </c>
      <c r="C74" s="192">
        <v>1</v>
      </c>
      <c r="I74" s="192"/>
      <c r="J74" s="192"/>
      <c r="K74" s="192"/>
      <c r="L74" s="203"/>
      <c r="M74" s="192"/>
      <c r="N74" s="204"/>
      <c r="O74" s="205">
        <v>2.0499999999999998</v>
      </c>
      <c r="P74" s="205">
        <f>Table1[[#This Row],[unit cost]]</f>
        <v>2.0499999999999998</v>
      </c>
      <c r="Q74" s="207">
        <v>1.5</v>
      </c>
      <c r="R74" s="192">
        <v>1</v>
      </c>
      <c r="S74" s="256">
        <f t="shared" si="15"/>
        <v>0.42</v>
      </c>
      <c r="T74" s="208">
        <f>Table1[[#This Row],[man minutes]]*Table1[[#This Row],[labor rate]]</f>
        <v>0.63</v>
      </c>
      <c r="U74" s="208">
        <f t="shared" si="11"/>
        <v>2.6799999999999997</v>
      </c>
      <c r="V74" s="193">
        <f t="shared" si="8"/>
        <v>0.13</v>
      </c>
      <c r="W74" s="257">
        <f t="shared" si="16"/>
        <v>0.13</v>
      </c>
      <c r="X74" s="208">
        <f t="shared" si="12"/>
        <v>2.3164999999999996</v>
      </c>
      <c r="Y74" s="208">
        <f t="shared" si="13"/>
        <v>0.71189999999999998</v>
      </c>
      <c r="Z74" s="208">
        <f t="shared" si="14"/>
        <v>3.03</v>
      </c>
      <c r="AA74" s="210">
        <f>+Table1[[#This Row],[calculated sale price]]</f>
        <v>3.03</v>
      </c>
      <c r="AB74" s="209"/>
      <c r="AC74" s="213"/>
    </row>
    <row r="75" spans="1:29">
      <c r="A75" s="192">
        <v>1066</v>
      </c>
      <c r="B75" t="s">
        <v>456</v>
      </c>
      <c r="C75" s="192">
        <v>1</v>
      </c>
      <c r="I75" s="192"/>
      <c r="J75" s="192"/>
      <c r="K75" s="192"/>
      <c r="L75" s="203"/>
      <c r="M75" s="192"/>
      <c r="N75" s="204"/>
      <c r="O75" s="205">
        <v>1.68</v>
      </c>
      <c r="P75" s="205">
        <f>Table1[[#This Row],[unit cost]]</f>
        <v>1.68</v>
      </c>
      <c r="Q75" s="207">
        <v>1.5</v>
      </c>
      <c r="R75" s="192">
        <v>1</v>
      </c>
      <c r="S75" s="256">
        <f t="shared" si="15"/>
        <v>0.42</v>
      </c>
      <c r="T75" s="208">
        <f>Table1[[#This Row],[man minutes]]*Table1[[#This Row],[labor rate]]</f>
        <v>0.63</v>
      </c>
      <c r="U75" s="208">
        <f t="shared" si="11"/>
        <v>2.31</v>
      </c>
      <c r="V75" s="193">
        <f t="shared" si="8"/>
        <v>0.13</v>
      </c>
      <c r="W75" s="257">
        <f t="shared" si="16"/>
        <v>0.13</v>
      </c>
      <c r="X75" s="208">
        <f t="shared" si="12"/>
        <v>1.8983999999999996</v>
      </c>
      <c r="Y75" s="208">
        <f t="shared" si="13"/>
        <v>0.71189999999999998</v>
      </c>
      <c r="Z75" s="208">
        <f t="shared" si="14"/>
        <v>2.6199999999999997</v>
      </c>
      <c r="AA75" s="210">
        <f>+Table1[[#This Row],[calculated sale price]]</f>
        <v>2.6199999999999997</v>
      </c>
      <c r="AB75" s="209"/>
      <c r="AC75" s="213"/>
    </row>
    <row r="76" spans="1:29">
      <c r="A76" s="192">
        <v>1067</v>
      </c>
      <c r="B76" t="s">
        <v>457</v>
      </c>
      <c r="C76" s="192">
        <v>1</v>
      </c>
      <c r="I76" s="192"/>
      <c r="J76" s="192"/>
      <c r="K76" s="192"/>
      <c r="L76" s="203"/>
      <c r="M76" s="192"/>
      <c r="N76" s="204"/>
      <c r="O76" s="205">
        <v>1.8</v>
      </c>
      <c r="P76" s="205">
        <f>Table1[[#This Row],[unit cost]]</f>
        <v>1.8</v>
      </c>
      <c r="Q76" s="207">
        <v>2</v>
      </c>
      <c r="R76" s="192">
        <v>1</v>
      </c>
      <c r="S76" s="256">
        <f t="shared" si="15"/>
        <v>0.42</v>
      </c>
      <c r="T76" s="208">
        <f>Table1[[#This Row],[man minutes]]*Table1[[#This Row],[labor rate]]</f>
        <v>0.84</v>
      </c>
      <c r="U76" s="208">
        <f t="shared" si="11"/>
        <v>2.64</v>
      </c>
      <c r="V76" s="193">
        <f t="shared" si="8"/>
        <v>0.13</v>
      </c>
      <c r="W76" s="257">
        <f t="shared" si="16"/>
        <v>0.13</v>
      </c>
      <c r="X76" s="208">
        <f t="shared" si="12"/>
        <v>2.0339999999999998</v>
      </c>
      <c r="Y76" s="208">
        <f t="shared" si="13"/>
        <v>0.94919999999999993</v>
      </c>
      <c r="Z76" s="208">
        <f t="shared" si="14"/>
        <v>2.9899999999999998</v>
      </c>
      <c r="AA76" s="210">
        <f>+Table1[[#This Row],[calculated sale price]]</f>
        <v>2.9899999999999998</v>
      </c>
      <c r="AB76" s="209"/>
      <c r="AC76" s="213"/>
    </row>
    <row r="77" spans="1:29">
      <c r="A77" s="192">
        <v>1068</v>
      </c>
      <c r="B77" t="s">
        <v>458</v>
      </c>
      <c r="C77" s="192">
        <v>1</v>
      </c>
      <c r="I77" s="192"/>
      <c r="J77" s="192"/>
      <c r="K77" s="192"/>
      <c r="L77" s="203"/>
      <c r="M77" s="192"/>
      <c r="N77" s="204"/>
      <c r="O77" s="205">
        <v>0.94</v>
      </c>
      <c r="P77" s="205">
        <f>Table1[[#This Row],[unit cost]]</f>
        <v>0.94</v>
      </c>
      <c r="Q77" s="207">
        <v>1.5</v>
      </c>
      <c r="R77" s="192">
        <v>1</v>
      </c>
      <c r="S77" s="256">
        <f t="shared" si="15"/>
        <v>0.42</v>
      </c>
      <c r="T77" s="208">
        <f>Table1[[#This Row],[man minutes]]*Table1[[#This Row],[labor rate]]</f>
        <v>0.63</v>
      </c>
      <c r="U77" s="208">
        <f t="shared" si="11"/>
        <v>1.5699999999999998</v>
      </c>
      <c r="V77" s="193">
        <f t="shared" si="8"/>
        <v>0.13</v>
      </c>
      <c r="W77" s="257">
        <f t="shared" si="16"/>
        <v>0.13</v>
      </c>
      <c r="X77" s="208">
        <f t="shared" si="12"/>
        <v>1.0621999999999998</v>
      </c>
      <c r="Y77" s="208">
        <f t="shared" si="13"/>
        <v>0.71189999999999998</v>
      </c>
      <c r="Z77" s="208">
        <f t="shared" si="14"/>
        <v>1.78</v>
      </c>
      <c r="AA77" s="210">
        <f>+Table1[[#This Row],[calculated sale price]]</f>
        <v>1.78</v>
      </c>
      <c r="AB77" s="209"/>
      <c r="AC77" s="213"/>
    </row>
    <row r="78" spans="1:29">
      <c r="A78" s="192">
        <v>1069</v>
      </c>
      <c r="B78" t="s">
        <v>459</v>
      </c>
      <c r="C78" s="192">
        <v>1</v>
      </c>
      <c r="I78" s="192"/>
      <c r="J78" s="192"/>
      <c r="K78" s="192"/>
      <c r="L78" s="203"/>
      <c r="M78" s="192"/>
      <c r="N78" s="204"/>
      <c r="O78" s="205">
        <v>1.77</v>
      </c>
      <c r="P78" s="205">
        <f>Table1[[#This Row],[unit cost]]</f>
        <v>1.77</v>
      </c>
      <c r="Q78" s="207">
        <v>2</v>
      </c>
      <c r="R78" s="192">
        <v>1</v>
      </c>
      <c r="S78" s="256">
        <f t="shared" si="15"/>
        <v>0.42</v>
      </c>
      <c r="T78" s="208">
        <f>Table1[[#This Row],[man minutes]]*Table1[[#This Row],[labor rate]]</f>
        <v>0.84</v>
      </c>
      <c r="U78" s="208">
        <f t="shared" si="11"/>
        <v>2.61</v>
      </c>
      <c r="V78" s="193">
        <f t="shared" si="8"/>
        <v>0.13</v>
      </c>
      <c r="W78" s="257">
        <f t="shared" si="16"/>
        <v>0.13</v>
      </c>
      <c r="X78" s="208">
        <f t="shared" si="12"/>
        <v>2.0000999999999998</v>
      </c>
      <c r="Y78" s="208">
        <f t="shared" si="13"/>
        <v>0.94919999999999993</v>
      </c>
      <c r="Z78" s="208">
        <f t="shared" si="14"/>
        <v>2.9499999999999997</v>
      </c>
      <c r="AA78" s="210">
        <f>+Table1[[#This Row],[calculated sale price]]</f>
        <v>2.9499999999999997</v>
      </c>
      <c r="AB78" s="209"/>
      <c r="AC78" s="213"/>
    </row>
    <row r="79" spans="1:29">
      <c r="A79" s="192">
        <v>1070</v>
      </c>
      <c r="B79" t="s">
        <v>460</v>
      </c>
      <c r="C79" s="192">
        <v>1</v>
      </c>
      <c r="I79" s="192"/>
      <c r="J79" s="192"/>
      <c r="K79" s="192"/>
      <c r="L79" s="203"/>
      <c r="M79" s="192"/>
      <c r="N79" s="204"/>
      <c r="O79" s="205">
        <v>1.1399999999999999</v>
      </c>
      <c r="P79" s="205">
        <f>Table1[[#This Row],[unit cost]]</f>
        <v>1.1399999999999999</v>
      </c>
      <c r="Q79" s="207">
        <v>2</v>
      </c>
      <c r="R79" s="192">
        <v>1</v>
      </c>
      <c r="S79" s="256">
        <f t="shared" si="15"/>
        <v>0.42</v>
      </c>
      <c r="T79" s="208">
        <f>Table1[[#This Row],[man minutes]]*Table1[[#This Row],[labor rate]]</f>
        <v>0.84</v>
      </c>
      <c r="U79" s="208">
        <f t="shared" si="11"/>
        <v>1.98</v>
      </c>
      <c r="V79" s="193">
        <f t="shared" si="8"/>
        <v>0.13</v>
      </c>
      <c r="W79" s="257">
        <f t="shared" si="16"/>
        <v>0.13</v>
      </c>
      <c r="X79" s="208">
        <f t="shared" si="12"/>
        <v>1.2881999999999998</v>
      </c>
      <c r="Y79" s="208">
        <f t="shared" si="13"/>
        <v>0.94919999999999993</v>
      </c>
      <c r="Z79" s="208">
        <f t="shared" si="14"/>
        <v>2.2399999999999998</v>
      </c>
      <c r="AA79" s="210">
        <f>+Table1[[#This Row],[calculated sale price]]</f>
        <v>2.2399999999999998</v>
      </c>
      <c r="AB79" s="209"/>
      <c r="AC79" s="213"/>
    </row>
    <row r="80" spans="1:29">
      <c r="A80" s="192">
        <v>1071</v>
      </c>
      <c r="B80" t="s">
        <v>461</v>
      </c>
      <c r="C80" s="192">
        <v>1</v>
      </c>
      <c r="I80" s="192"/>
      <c r="J80" s="192"/>
      <c r="K80" s="192"/>
      <c r="L80" s="203"/>
      <c r="M80" s="192"/>
      <c r="N80" s="204"/>
      <c r="O80" s="205">
        <v>1.23</v>
      </c>
      <c r="P80" s="205">
        <f>Table1[[#This Row],[unit cost]]</f>
        <v>1.23</v>
      </c>
      <c r="Q80" s="207">
        <v>1.5</v>
      </c>
      <c r="R80" s="192">
        <v>1</v>
      </c>
      <c r="S80" s="256">
        <f t="shared" si="15"/>
        <v>0.42</v>
      </c>
      <c r="T80" s="208">
        <f>Table1[[#This Row],[man minutes]]*Table1[[#This Row],[labor rate]]</f>
        <v>0.63</v>
      </c>
      <c r="U80" s="208">
        <f t="shared" si="11"/>
        <v>1.8599999999999999</v>
      </c>
      <c r="V80" s="193">
        <f t="shared" ref="V80:V143" si="17">$V$2</f>
        <v>0.13</v>
      </c>
      <c r="W80" s="257">
        <f t="shared" si="16"/>
        <v>0.13</v>
      </c>
      <c r="X80" s="208">
        <f t="shared" si="12"/>
        <v>1.3898999999999999</v>
      </c>
      <c r="Y80" s="208">
        <f t="shared" si="13"/>
        <v>0.71189999999999998</v>
      </c>
      <c r="Z80" s="208">
        <f t="shared" si="14"/>
        <v>2.11</v>
      </c>
      <c r="AA80" s="210">
        <f>+Table1[[#This Row],[calculated sale price]]</f>
        <v>2.11</v>
      </c>
      <c r="AB80" s="209"/>
      <c r="AC80" s="213"/>
    </row>
    <row r="81" spans="1:29">
      <c r="A81" s="192">
        <v>1072</v>
      </c>
      <c r="B81" t="s">
        <v>462</v>
      </c>
      <c r="C81" s="192">
        <v>1</v>
      </c>
      <c r="I81" s="192"/>
      <c r="J81" s="192"/>
      <c r="K81" s="192"/>
      <c r="L81" s="203"/>
      <c r="M81" s="192"/>
      <c r="N81" s="204"/>
      <c r="O81" s="205">
        <v>2.08</v>
      </c>
      <c r="P81" s="205">
        <f>Table1[[#This Row],[unit cost]]</f>
        <v>2.08</v>
      </c>
      <c r="Q81" s="207">
        <v>1</v>
      </c>
      <c r="R81" s="192">
        <v>1</v>
      </c>
      <c r="S81" s="256">
        <f t="shared" si="15"/>
        <v>0.42</v>
      </c>
      <c r="T81" s="208">
        <f>Table1[[#This Row],[man minutes]]*Table1[[#This Row],[labor rate]]</f>
        <v>0.42</v>
      </c>
      <c r="U81" s="208">
        <f t="shared" si="11"/>
        <v>2.5</v>
      </c>
      <c r="V81" s="193">
        <f t="shared" si="17"/>
        <v>0.13</v>
      </c>
      <c r="W81" s="257">
        <f t="shared" si="16"/>
        <v>0.13</v>
      </c>
      <c r="X81" s="208">
        <f t="shared" si="12"/>
        <v>2.3504</v>
      </c>
      <c r="Y81" s="208">
        <f t="shared" si="13"/>
        <v>0.47459999999999997</v>
      </c>
      <c r="Z81" s="208">
        <f t="shared" si="14"/>
        <v>2.8299999999999996</v>
      </c>
      <c r="AA81" s="210">
        <f>+Table1[[#This Row],[calculated sale price]]</f>
        <v>2.8299999999999996</v>
      </c>
      <c r="AB81" s="209"/>
      <c r="AC81" s="213"/>
    </row>
    <row r="82" spans="1:29">
      <c r="A82" s="192">
        <v>1073</v>
      </c>
      <c r="B82" t="s">
        <v>463</v>
      </c>
      <c r="C82" s="192">
        <v>1</v>
      </c>
      <c r="I82" s="192"/>
      <c r="J82" s="192"/>
      <c r="K82" s="192"/>
      <c r="L82" s="203"/>
      <c r="M82" s="192"/>
      <c r="N82" s="204"/>
      <c r="O82" s="205">
        <v>1.32</v>
      </c>
      <c r="P82" s="205">
        <f>Table1[[#This Row],[unit cost]]</f>
        <v>1.32</v>
      </c>
      <c r="Q82" s="207">
        <v>1</v>
      </c>
      <c r="R82" s="192">
        <v>1</v>
      </c>
      <c r="S82" s="256">
        <f t="shared" si="15"/>
        <v>0.42</v>
      </c>
      <c r="T82" s="208">
        <f>Table1[[#This Row],[man minutes]]*Table1[[#This Row],[labor rate]]</f>
        <v>0.42</v>
      </c>
      <c r="U82" s="208">
        <f t="shared" si="11"/>
        <v>1.74</v>
      </c>
      <c r="V82" s="193">
        <f t="shared" si="17"/>
        <v>0.13</v>
      </c>
      <c r="W82" s="257">
        <f t="shared" si="16"/>
        <v>0.13</v>
      </c>
      <c r="X82" s="208">
        <f t="shared" si="12"/>
        <v>1.4916</v>
      </c>
      <c r="Y82" s="208">
        <f t="shared" si="13"/>
        <v>0.47459999999999997</v>
      </c>
      <c r="Z82" s="208">
        <f t="shared" si="14"/>
        <v>1.97</v>
      </c>
      <c r="AA82" s="210">
        <f>+Table1[[#This Row],[calculated sale price]]</f>
        <v>1.97</v>
      </c>
      <c r="AB82" s="209"/>
      <c r="AC82" s="213"/>
    </row>
    <row r="83" spans="1:29">
      <c r="A83" s="192">
        <v>1074</v>
      </c>
      <c r="B83" t="s">
        <v>464</v>
      </c>
      <c r="C83" s="192">
        <v>1</v>
      </c>
      <c r="I83" s="192"/>
      <c r="J83" s="192"/>
      <c r="K83" s="192"/>
      <c r="L83" s="203"/>
      <c r="M83" s="192"/>
      <c r="N83" s="204"/>
      <c r="O83" s="205">
        <v>1.98</v>
      </c>
      <c r="P83" s="205">
        <f>Table1[[#This Row],[unit cost]]</f>
        <v>1.98</v>
      </c>
      <c r="Q83" s="207">
        <v>3.5</v>
      </c>
      <c r="R83" s="192">
        <v>1</v>
      </c>
      <c r="S83" s="256">
        <f t="shared" si="15"/>
        <v>0.42</v>
      </c>
      <c r="T83" s="208">
        <f>Table1[[#This Row],[man minutes]]*Table1[[#This Row],[labor rate]]</f>
        <v>1.47</v>
      </c>
      <c r="U83" s="208">
        <f t="shared" si="11"/>
        <v>3.45</v>
      </c>
      <c r="V83" s="193">
        <f t="shared" si="17"/>
        <v>0.13</v>
      </c>
      <c r="W83" s="257">
        <f t="shared" si="16"/>
        <v>0.13</v>
      </c>
      <c r="X83" s="208">
        <f t="shared" si="12"/>
        <v>2.2373999999999996</v>
      </c>
      <c r="Y83" s="208">
        <f t="shared" si="13"/>
        <v>1.6611</v>
      </c>
      <c r="Z83" s="208">
        <f t="shared" si="14"/>
        <v>3.9</v>
      </c>
      <c r="AA83" s="210">
        <f>+Table1[[#This Row],[calculated sale price]]</f>
        <v>3.9</v>
      </c>
      <c r="AB83" s="209"/>
      <c r="AC83" s="213"/>
    </row>
    <row r="84" spans="1:29">
      <c r="A84" s="192">
        <v>1075</v>
      </c>
      <c r="B84" t="s">
        <v>465</v>
      </c>
      <c r="C84" s="192">
        <v>1</v>
      </c>
      <c r="I84" s="192"/>
      <c r="J84" s="192"/>
      <c r="K84" s="192"/>
      <c r="L84" s="203"/>
      <c r="M84" s="192"/>
      <c r="N84" s="204"/>
      <c r="O84" s="205">
        <v>4.28</v>
      </c>
      <c r="P84" s="205">
        <f>Table1[[#This Row],[unit cost]]</f>
        <v>4.28</v>
      </c>
      <c r="Q84" s="207">
        <v>4.25</v>
      </c>
      <c r="R84" s="192">
        <v>1</v>
      </c>
      <c r="S84" s="256">
        <f t="shared" si="15"/>
        <v>0.42</v>
      </c>
      <c r="T84" s="208">
        <f>Table1[[#This Row],[man minutes]]*Table1[[#This Row],[labor rate]]</f>
        <v>1.7849999999999999</v>
      </c>
      <c r="U84" s="208">
        <f t="shared" si="11"/>
        <v>6.0650000000000004</v>
      </c>
      <c r="V84" s="193">
        <f t="shared" si="17"/>
        <v>0.13</v>
      </c>
      <c r="W84" s="257">
        <f t="shared" si="16"/>
        <v>0.13</v>
      </c>
      <c r="X84" s="208">
        <f t="shared" si="12"/>
        <v>4.8364000000000003</v>
      </c>
      <c r="Y84" s="208">
        <f t="shared" si="13"/>
        <v>2.0170499999999998</v>
      </c>
      <c r="Z84" s="208">
        <f t="shared" si="14"/>
        <v>6.8599999999999994</v>
      </c>
      <c r="AA84" s="210">
        <f>+Table1[[#This Row],[calculated sale price]]</f>
        <v>6.8599999999999994</v>
      </c>
      <c r="AB84" s="209"/>
      <c r="AC84" s="213"/>
    </row>
    <row r="85" spans="1:29">
      <c r="A85" s="192">
        <v>1076</v>
      </c>
      <c r="B85" t="s">
        <v>466</v>
      </c>
      <c r="C85" s="192">
        <v>1</v>
      </c>
      <c r="I85" s="192"/>
      <c r="J85" s="192"/>
      <c r="K85" s="192"/>
      <c r="L85" s="203"/>
      <c r="M85" s="192"/>
      <c r="N85" s="204"/>
      <c r="O85" s="205">
        <v>4.2</v>
      </c>
      <c r="P85" s="205">
        <f>Table1[[#This Row],[unit cost]]</f>
        <v>4.2</v>
      </c>
      <c r="Q85" s="207">
        <v>3.25</v>
      </c>
      <c r="R85" s="192">
        <v>1</v>
      </c>
      <c r="S85" s="256">
        <f t="shared" si="15"/>
        <v>0.42</v>
      </c>
      <c r="T85" s="208">
        <f>Table1[[#This Row],[man minutes]]*Table1[[#This Row],[labor rate]]</f>
        <v>1.365</v>
      </c>
      <c r="U85" s="208">
        <f t="shared" si="11"/>
        <v>5.5650000000000004</v>
      </c>
      <c r="V85" s="193">
        <f t="shared" si="17"/>
        <v>0.13</v>
      </c>
      <c r="W85" s="257">
        <f t="shared" si="16"/>
        <v>0.13</v>
      </c>
      <c r="X85" s="208">
        <f t="shared" si="12"/>
        <v>4.7459999999999996</v>
      </c>
      <c r="Y85" s="208">
        <f t="shared" si="13"/>
        <v>1.5424500000000001</v>
      </c>
      <c r="Z85" s="208">
        <f t="shared" si="14"/>
        <v>6.29</v>
      </c>
      <c r="AA85" s="210">
        <f>+Table1[[#This Row],[calculated sale price]]</f>
        <v>6.29</v>
      </c>
      <c r="AB85" s="209"/>
      <c r="AC85" s="213"/>
    </row>
    <row r="86" spans="1:29">
      <c r="A86" s="192">
        <v>1077</v>
      </c>
      <c r="B86" t="s">
        <v>467</v>
      </c>
      <c r="C86" s="192">
        <v>1</v>
      </c>
      <c r="I86" s="192"/>
      <c r="J86" s="192"/>
      <c r="K86" s="192"/>
      <c r="L86" s="203"/>
      <c r="M86" s="192"/>
      <c r="N86" s="204"/>
      <c r="O86" s="205">
        <v>3.43</v>
      </c>
      <c r="P86" s="205">
        <f>Table1[[#This Row],[unit cost]]</f>
        <v>3.43</v>
      </c>
      <c r="Q86" s="207">
        <v>3.25</v>
      </c>
      <c r="R86" s="192">
        <v>1</v>
      </c>
      <c r="S86" s="256">
        <f t="shared" si="15"/>
        <v>0.42</v>
      </c>
      <c r="T86" s="208">
        <f>Table1[[#This Row],[man minutes]]*Table1[[#This Row],[labor rate]]</f>
        <v>1.365</v>
      </c>
      <c r="U86" s="208">
        <f t="shared" si="11"/>
        <v>4.7949999999999999</v>
      </c>
      <c r="V86" s="193">
        <f t="shared" si="17"/>
        <v>0.13</v>
      </c>
      <c r="W86" s="257">
        <f t="shared" si="16"/>
        <v>0.13</v>
      </c>
      <c r="X86" s="208">
        <f t="shared" si="12"/>
        <v>3.8758999999999997</v>
      </c>
      <c r="Y86" s="208">
        <f t="shared" si="13"/>
        <v>1.5424500000000001</v>
      </c>
      <c r="Z86" s="208">
        <f t="shared" si="14"/>
        <v>5.42</v>
      </c>
      <c r="AA86" s="210">
        <f>+Table1[[#This Row],[calculated sale price]]</f>
        <v>5.42</v>
      </c>
      <c r="AB86" s="209"/>
      <c r="AC86" s="213"/>
    </row>
    <row r="87" spans="1:29">
      <c r="A87" s="192">
        <v>1078</v>
      </c>
      <c r="B87" t="s">
        <v>468</v>
      </c>
      <c r="C87" s="192">
        <v>1</v>
      </c>
      <c r="I87" s="192"/>
      <c r="J87" s="192"/>
      <c r="K87" s="192"/>
      <c r="L87" s="203"/>
      <c r="M87" s="192"/>
      <c r="N87" s="204"/>
      <c r="O87" s="205">
        <v>1.54</v>
      </c>
      <c r="P87" s="205">
        <f>Table1[[#This Row],[unit cost]]</f>
        <v>1.54</v>
      </c>
      <c r="Q87" s="207">
        <v>1.5</v>
      </c>
      <c r="R87" s="192">
        <v>1</v>
      </c>
      <c r="S87" s="256">
        <f t="shared" si="15"/>
        <v>0.42</v>
      </c>
      <c r="T87" s="208">
        <f>Table1[[#This Row],[man minutes]]*Table1[[#This Row],[labor rate]]</f>
        <v>0.63</v>
      </c>
      <c r="U87" s="208">
        <f t="shared" si="11"/>
        <v>2.17</v>
      </c>
      <c r="V87" s="193">
        <f t="shared" si="17"/>
        <v>0.13</v>
      </c>
      <c r="W87" s="257">
        <f t="shared" si="16"/>
        <v>0.13</v>
      </c>
      <c r="X87" s="208">
        <f t="shared" si="12"/>
        <v>1.7402</v>
      </c>
      <c r="Y87" s="208">
        <f t="shared" si="13"/>
        <v>0.71189999999999998</v>
      </c>
      <c r="Z87" s="208">
        <f t="shared" si="14"/>
        <v>2.46</v>
      </c>
      <c r="AA87" s="210">
        <f>+Table1[[#This Row],[calculated sale price]]</f>
        <v>2.46</v>
      </c>
      <c r="AB87" s="209"/>
      <c r="AC87" s="213"/>
    </row>
    <row r="88" spans="1:29">
      <c r="A88" s="192">
        <v>1079</v>
      </c>
      <c r="B88" t="s">
        <v>469</v>
      </c>
      <c r="C88" s="192">
        <v>1</v>
      </c>
      <c r="I88" s="192"/>
      <c r="J88" s="192"/>
      <c r="K88" s="192"/>
      <c r="L88" s="203"/>
      <c r="M88" s="192"/>
      <c r="N88" s="204"/>
      <c r="O88" s="205">
        <v>1.6</v>
      </c>
      <c r="P88" s="205">
        <f>Table1[[#This Row],[unit cost]]</f>
        <v>1.6</v>
      </c>
      <c r="Q88" s="207">
        <v>1.5</v>
      </c>
      <c r="R88" s="192">
        <v>1</v>
      </c>
      <c r="S88" s="256">
        <f t="shared" si="15"/>
        <v>0.42</v>
      </c>
      <c r="T88" s="208">
        <f>Table1[[#This Row],[man minutes]]*Table1[[#This Row],[labor rate]]</f>
        <v>0.63</v>
      </c>
      <c r="U88" s="208">
        <f t="shared" ref="U88:U151" si="18">P88+T88</f>
        <v>2.23</v>
      </c>
      <c r="V88" s="193">
        <f t="shared" si="17"/>
        <v>0.13</v>
      </c>
      <c r="W88" s="257">
        <f t="shared" si="16"/>
        <v>0.13</v>
      </c>
      <c r="X88" s="208">
        <f t="shared" ref="X88:X151" si="19">P88*(1+V88)</f>
        <v>1.8079999999999998</v>
      </c>
      <c r="Y88" s="208">
        <f t="shared" ref="Y88:Y151" si="20">T88+(T88*W88)</f>
        <v>0.71189999999999998</v>
      </c>
      <c r="Z88" s="208">
        <f t="shared" ref="Z88:Z151" si="21">IFERROR(ROUNDUP(X88+Y88,2)," ")</f>
        <v>2.5199999999999996</v>
      </c>
      <c r="AA88" s="210">
        <f>+Table1[[#This Row],[calculated sale price]]</f>
        <v>2.5199999999999996</v>
      </c>
      <c r="AB88" s="209"/>
      <c r="AC88" s="213"/>
    </row>
    <row r="89" spans="1:29">
      <c r="A89" s="192">
        <v>1080</v>
      </c>
      <c r="B89" t="s">
        <v>470</v>
      </c>
      <c r="C89" s="192">
        <v>1</v>
      </c>
      <c r="I89" s="192"/>
      <c r="J89" s="192"/>
      <c r="K89" s="192"/>
      <c r="L89" s="203"/>
      <c r="M89" s="192"/>
      <c r="N89" s="204"/>
      <c r="O89" s="205">
        <v>2.35</v>
      </c>
      <c r="P89" s="205">
        <f>Table1[[#This Row],[unit cost]]</f>
        <v>2.35</v>
      </c>
      <c r="Q89" s="207">
        <v>1.5</v>
      </c>
      <c r="R89" s="192">
        <v>1</v>
      </c>
      <c r="S89" s="256">
        <f t="shared" si="15"/>
        <v>0.42</v>
      </c>
      <c r="T89" s="208">
        <f>Table1[[#This Row],[man minutes]]*Table1[[#This Row],[labor rate]]</f>
        <v>0.63</v>
      </c>
      <c r="U89" s="208">
        <f t="shared" si="18"/>
        <v>2.98</v>
      </c>
      <c r="V89" s="193">
        <f t="shared" si="17"/>
        <v>0.13</v>
      </c>
      <c r="W89" s="257">
        <f t="shared" si="16"/>
        <v>0.13</v>
      </c>
      <c r="X89" s="208">
        <f t="shared" si="19"/>
        <v>2.6555</v>
      </c>
      <c r="Y89" s="208">
        <f t="shared" si="20"/>
        <v>0.71189999999999998</v>
      </c>
      <c r="Z89" s="208">
        <f t="shared" si="21"/>
        <v>3.3699999999999997</v>
      </c>
      <c r="AA89" s="210">
        <f>+Table1[[#This Row],[calculated sale price]]</f>
        <v>3.3699999999999997</v>
      </c>
      <c r="AB89" s="209"/>
      <c r="AC89" s="213"/>
    </row>
    <row r="90" spans="1:29">
      <c r="A90" s="192">
        <v>1081</v>
      </c>
      <c r="B90" t="s">
        <v>471</v>
      </c>
      <c r="C90" s="192">
        <v>1</v>
      </c>
      <c r="I90" s="192"/>
      <c r="J90" s="192"/>
      <c r="K90" s="192"/>
      <c r="L90" s="203"/>
      <c r="M90" s="192"/>
      <c r="N90" s="204"/>
      <c r="O90" s="205">
        <v>2.0499999999999998</v>
      </c>
      <c r="P90" s="205">
        <f>Table1[[#This Row],[unit cost]]</f>
        <v>2.0499999999999998</v>
      </c>
      <c r="Q90" s="207">
        <v>1.5</v>
      </c>
      <c r="R90" s="192">
        <v>1</v>
      </c>
      <c r="S90" s="256">
        <f t="shared" si="15"/>
        <v>0.42</v>
      </c>
      <c r="T90" s="208">
        <f>Table1[[#This Row],[man minutes]]*Table1[[#This Row],[labor rate]]</f>
        <v>0.63</v>
      </c>
      <c r="U90" s="208">
        <f t="shared" si="18"/>
        <v>2.6799999999999997</v>
      </c>
      <c r="V90" s="193">
        <f t="shared" si="17"/>
        <v>0.13</v>
      </c>
      <c r="W90" s="257">
        <f t="shared" si="16"/>
        <v>0.13</v>
      </c>
      <c r="X90" s="208">
        <f t="shared" si="19"/>
        <v>2.3164999999999996</v>
      </c>
      <c r="Y90" s="208">
        <f t="shared" si="20"/>
        <v>0.71189999999999998</v>
      </c>
      <c r="Z90" s="208">
        <f t="shared" si="21"/>
        <v>3.03</v>
      </c>
      <c r="AA90" s="210">
        <f>+Table1[[#This Row],[calculated sale price]]</f>
        <v>3.03</v>
      </c>
      <c r="AB90" s="209"/>
      <c r="AC90" s="213"/>
    </row>
    <row r="91" spans="1:29">
      <c r="A91" s="192">
        <v>1082</v>
      </c>
      <c r="B91" t="s">
        <v>472</v>
      </c>
      <c r="C91" s="192">
        <v>1</v>
      </c>
      <c r="I91" s="192"/>
      <c r="J91" s="192"/>
      <c r="K91" s="192"/>
      <c r="L91" s="203"/>
      <c r="M91" s="192"/>
      <c r="N91" s="204"/>
      <c r="O91" s="205">
        <v>2.25</v>
      </c>
      <c r="P91" s="205">
        <f>Table1[[#This Row],[unit cost]]</f>
        <v>2.25</v>
      </c>
      <c r="Q91" s="207">
        <v>1.5</v>
      </c>
      <c r="R91" s="192">
        <v>1</v>
      </c>
      <c r="S91" s="256">
        <f t="shared" si="15"/>
        <v>0.42</v>
      </c>
      <c r="T91" s="208">
        <f>Table1[[#This Row],[man minutes]]*Table1[[#This Row],[labor rate]]</f>
        <v>0.63</v>
      </c>
      <c r="U91" s="208">
        <f t="shared" si="18"/>
        <v>2.88</v>
      </c>
      <c r="V91" s="193">
        <f t="shared" si="17"/>
        <v>0.13</v>
      </c>
      <c r="W91" s="257">
        <f t="shared" si="16"/>
        <v>0.13</v>
      </c>
      <c r="X91" s="208">
        <f t="shared" si="19"/>
        <v>2.5424999999999995</v>
      </c>
      <c r="Y91" s="208">
        <f t="shared" si="20"/>
        <v>0.71189999999999998</v>
      </c>
      <c r="Z91" s="208">
        <f t="shared" si="21"/>
        <v>3.26</v>
      </c>
      <c r="AA91" s="210">
        <f>+Table1[[#This Row],[calculated sale price]]</f>
        <v>3.26</v>
      </c>
      <c r="AB91" s="209"/>
      <c r="AC91" s="213"/>
    </row>
    <row r="92" spans="1:29">
      <c r="A92" s="192">
        <v>1083</v>
      </c>
      <c r="B92" t="s">
        <v>473</v>
      </c>
      <c r="C92" s="192">
        <v>1</v>
      </c>
      <c r="I92" s="192"/>
      <c r="J92" s="192"/>
      <c r="K92" s="192"/>
      <c r="L92" s="203"/>
      <c r="M92" s="192"/>
      <c r="N92" s="204"/>
      <c r="O92" s="205">
        <v>2.0499999999999998</v>
      </c>
      <c r="P92" s="205">
        <f>Table1[[#This Row],[unit cost]]</f>
        <v>2.0499999999999998</v>
      </c>
      <c r="Q92" s="207">
        <v>2</v>
      </c>
      <c r="R92" s="192">
        <v>1</v>
      </c>
      <c r="S92" s="256">
        <f t="shared" si="15"/>
        <v>0.42</v>
      </c>
      <c r="T92" s="208">
        <f>Table1[[#This Row],[man minutes]]*Table1[[#This Row],[labor rate]]</f>
        <v>0.84</v>
      </c>
      <c r="U92" s="208">
        <f t="shared" si="18"/>
        <v>2.8899999999999997</v>
      </c>
      <c r="V92" s="193">
        <f t="shared" si="17"/>
        <v>0.13</v>
      </c>
      <c r="W92" s="257">
        <f t="shared" si="16"/>
        <v>0.13</v>
      </c>
      <c r="X92" s="208">
        <f t="shared" si="19"/>
        <v>2.3164999999999996</v>
      </c>
      <c r="Y92" s="208">
        <f t="shared" si="20"/>
        <v>0.94919999999999993</v>
      </c>
      <c r="Z92" s="208">
        <f t="shared" si="21"/>
        <v>3.2699999999999996</v>
      </c>
      <c r="AA92" s="210">
        <f>+Table1[[#This Row],[calculated sale price]]</f>
        <v>3.2699999999999996</v>
      </c>
      <c r="AB92" s="209"/>
      <c r="AC92" s="213"/>
    </row>
    <row r="93" spans="1:29">
      <c r="A93" s="192">
        <v>1084</v>
      </c>
      <c r="B93" t="s">
        <v>474</v>
      </c>
      <c r="C93" s="192">
        <v>1</v>
      </c>
      <c r="I93" s="192"/>
      <c r="J93" s="192"/>
      <c r="K93" s="192"/>
      <c r="L93" s="203"/>
      <c r="M93" s="192"/>
      <c r="N93" s="204"/>
      <c r="O93" s="205">
        <v>1.05</v>
      </c>
      <c r="P93" s="205">
        <f>Table1[[#This Row],[unit cost]]</f>
        <v>1.05</v>
      </c>
      <c r="Q93" s="207">
        <v>2</v>
      </c>
      <c r="R93" s="192">
        <v>1</v>
      </c>
      <c r="S93" s="256">
        <f t="shared" si="15"/>
        <v>0.42</v>
      </c>
      <c r="T93" s="208">
        <f>Table1[[#This Row],[man minutes]]*Table1[[#This Row],[labor rate]]</f>
        <v>0.84</v>
      </c>
      <c r="U93" s="208">
        <f t="shared" si="18"/>
        <v>1.8900000000000001</v>
      </c>
      <c r="V93" s="193">
        <f t="shared" si="17"/>
        <v>0.13</v>
      </c>
      <c r="W93" s="257">
        <f t="shared" si="16"/>
        <v>0.13</v>
      </c>
      <c r="X93" s="208">
        <f t="shared" si="19"/>
        <v>1.1864999999999999</v>
      </c>
      <c r="Y93" s="208">
        <f t="shared" si="20"/>
        <v>0.94919999999999993</v>
      </c>
      <c r="Z93" s="208">
        <f t="shared" si="21"/>
        <v>2.1399999999999997</v>
      </c>
      <c r="AA93" s="210">
        <f>+Table1[[#This Row],[calculated sale price]]</f>
        <v>2.1399999999999997</v>
      </c>
      <c r="AB93" s="209"/>
      <c r="AC93" s="213"/>
    </row>
    <row r="94" spans="1:29">
      <c r="A94" s="192">
        <v>1085</v>
      </c>
      <c r="B94" t="s">
        <v>475</v>
      </c>
      <c r="C94" s="192">
        <v>1</v>
      </c>
      <c r="I94" s="192"/>
      <c r="J94" s="192"/>
      <c r="K94" s="192"/>
      <c r="L94" s="203"/>
      <c r="M94" s="192"/>
      <c r="N94" s="204"/>
      <c r="O94" s="205">
        <v>2.02</v>
      </c>
      <c r="P94" s="205">
        <f>Table1[[#This Row],[unit cost]]</f>
        <v>2.02</v>
      </c>
      <c r="Q94" s="207">
        <v>2</v>
      </c>
      <c r="R94" s="192">
        <v>1</v>
      </c>
      <c r="S94" s="256">
        <f t="shared" si="15"/>
        <v>0.42</v>
      </c>
      <c r="T94" s="208">
        <f>Table1[[#This Row],[man minutes]]*Table1[[#This Row],[labor rate]]</f>
        <v>0.84</v>
      </c>
      <c r="U94" s="208">
        <f t="shared" si="18"/>
        <v>2.86</v>
      </c>
      <c r="V94" s="193">
        <f t="shared" si="17"/>
        <v>0.13</v>
      </c>
      <c r="W94" s="257">
        <f t="shared" si="16"/>
        <v>0.13</v>
      </c>
      <c r="X94" s="208">
        <f t="shared" si="19"/>
        <v>2.2826</v>
      </c>
      <c r="Y94" s="208">
        <f t="shared" si="20"/>
        <v>0.94919999999999993</v>
      </c>
      <c r="Z94" s="208">
        <f t="shared" si="21"/>
        <v>3.2399999999999998</v>
      </c>
      <c r="AA94" s="210">
        <f>+Table1[[#This Row],[calculated sale price]]</f>
        <v>3.2399999999999998</v>
      </c>
      <c r="AB94" s="209"/>
      <c r="AC94" s="213"/>
    </row>
    <row r="95" spans="1:29">
      <c r="A95" s="192">
        <v>1086</v>
      </c>
      <c r="B95" t="s">
        <v>476</v>
      </c>
      <c r="C95" s="192">
        <v>1</v>
      </c>
      <c r="I95" s="192"/>
      <c r="J95" s="192"/>
      <c r="K95" s="192"/>
      <c r="L95" s="203"/>
      <c r="M95" s="192"/>
      <c r="N95" s="204"/>
      <c r="O95" s="205">
        <v>1.1399999999999999</v>
      </c>
      <c r="P95" s="205">
        <f>Table1[[#This Row],[unit cost]]</f>
        <v>1.1399999999999999</v>
      </c>
      <c r="Q95" s="207">
        <v>1.5</v>
      </c>
      <c r="R95" s="192">
        <v>1</v>
      </c>
      <c r="S95" s="256">
        <f t="shared" si="15"/>
        <v>0.42</v>
      </c>
      <c r="T95" s="208">
        <f>Table1[[#This Row],[man minutes]]*Table1[[#This Row],[labor rate]]</f>
        <v>0.63</v>
      </c>
      <c r="U95" s="208">
        <f t="shared" si="18"/>
        <v>1.77</v>
      </c>
      <c r="V95" s="193">
        <f t="shared" si="17"/>
        <v>0.13</v>
      </c>
      <c r="W95" s="257">
        <f t="shared" si="16"/>
        <v>0.13</v>
      </c>
      <c r="X95" s="208">
        <f t="shared" si="19"/>
        <v>1.2881999999999998</v>
      </c>
      <c r="Y95" s="208">
        <f t="shared" si="20"/>
        <v>0.71189999999999998</v>
      </c>
      <c r="Z95" s="208">
        <f t="shared" si="21"/>
        <v>2.0099999999999998</v>
      </c>
      <c r="AA95" s="210">
        <f>+Table1[[#This Row],[calculated sale price]]</f>
        <v>2.0099999999999998</v>
      </c>
      <c r="AB95" s="209"/>
      <c r="AC95" s="213"/>
    </row>
    <row r="96" spans="1:29">
      <c r="A96" s="192">
        <v>1087</v>
      </c>
      <c r="C96" s="192">
        <v>1</v>
      </c>
      <c r="I96" s="192"/>
      <c r="J96" s="192"/>
      <c r="K96" s="192"/>
      <c r="L96" s="203"/>
      <c r="M96" s="192"/>
      <c r="N96" s="204"/>
      <c r="O96" s="205">
        <v>0</v>
      </c>
      <c r="P96" s="205">
        <f>Table1[[#This Row],[unit cost]]</f>
        <v>0</v>
      </c>
      <c r="Q96" s="207"/>
      <c r="R96" s="192">
        <v>1</v>
      </c>
      <c r="S96" s="256">
        <f t="shared" si="15"/>
        <v>0.42</v>
      </c>
      <c r="T96" s="208">
        <f>Table1[[#This Row],[man minutes]]*Table1[[#This Row],[labor rate]]</f>
        <v>0</v>
      </c>
      <c r="U96" s="208">
        <f t="shared" si="18"/>
        <v>0</v>
      </c>
      <c r="V96" s="193">
        <f t="shared" si="17"/>
        <v>0.13</v>
      </c>
      <c r="W96" s="257">
        <f t="shared" si="16"/>
        <v>0.13</v>
      </c>
      <c r="X96" s="208">
        <f t="shared" si="19"/>
        <v>0</v>
      </c>
      <c r="Y96" s="208">
        <f t="shared" si="20"/>
        <v>0</v>
      </c>
      <c r="Z96" s="208">
        <f t="shared" si="21"/>
        <v>0</v>
      </c>
      <c r="AA96" s="210">
        <f>+Table1[[#This Row],[calculated sale price]]</f>
        <v>0</v>
      </c>
      <c r="AB96" s="209"/>
      <c r="AC96" s="213"/>
    </row>
    <row r="97" spans="1:29">
      <c r="A97" s="192">
        <v>1088</v>
      </c>
      <c r="C97" s="192">
        <v>1</v>
      </c>
      <c r="I97" s="192"/>
      <c r="J97" s="192"/>
      <c r="K97" s="192"/>
      <c r="L97" s="203"/>
      <c r="M97" s="192"/>
      <c r="N97" s="204"/>
      <c r="O97" s="205">
        <v>0</v>
      </c>
      <c r="P97" s="205">
        <f>Table1[[#This Row],[unit cost]]</f>
        <v>0</v>
      </c>
      <c r="Q97" s="207"/>
      <c r="R97" s="192">
        <v>1</v>
      </c>
      <c r="S97" s="256">
        <f t="shared" si="15"/>
        <v>0.42</v>
      </c>
      <c r="T97" s="208">
        <f>Table1[[#This Row],[man minutes]]*Table1[[#This Row],[labor rate]]</f>
        <v>0</v>
      </c>
      <c r="U97" s="208">
        <f t="shared" si="18"/>
        <v>0</v>
      </c>
      <c r="V97" s="193">
        <f t="shared" si="17"/>
        <v>0.13</v>
      </c>
      <c r="W97" s="257">
        <f t="shared" si="16"/>
        <v>0.13</v>
      </c>
      <c r="X97" s="208">
        <f t="shared" si="19"/>
        <v>0</v>
      </c>
      <c r="Y97" s="208">
        <f t="shared" si="20"/>
        <v>0</v>
      </c>
      <c r="Z97" s="208">
        <f t="shared" si="21"/>
        <v>0</v>
      </c>
      <c r="AA97" s="210">
        <f>+Table1[[#This Row],[calculated sale price]]</f>
        <v>0</v>
      </c>
      <c r="AB97" s="209"/>
      <c r="AC97" s="213"/>
    </row>
    <row r="98" spans="1:29">
      <c r="A98" s="192">
        <v>1089</v>
      </c>
      <c r="C98" s="192">
        <v>1</v>
      </c>
      <c r="I98" s="192"/>
      <c r="J98" s="192"/>
      <c r="K98" s="192"/>
      <c r="L98" s="203"/>
      <c r="M98" s="192"/>
      <c r="N98" s="204"/>
      <c r="O98" s="205">
        <v>0</v>
      </c>
      <c r="P98" s="205">
        <f>Table1[[#This Row],[unit cost]]</f>
        <v>0</v>
      </c>
      <c r="Q98" s="207"/>
      <c r="R98" s="192">
        <v>1</v>
      </c>
      <c r="S98" s="256">
        <f t="shared" si="15"/>
        <v>0.42</v>
      </c>
      <c r="T98" s="208">
        <f>Table1[[#This Row],[man minutes]]*Table1[[#This Row],[labor rate]]</f>
        <v>0</v>
      </c>
      <c r="U98" s="208">
        <f t="shared" si="18"/>
        <v>0</v>
      </c>
      <c r="V98" s="193">
        <f t="shared" si="17"/>
        <v>0.13</v>
      </c>
      <c r="W98" s="257">
        <f t="shared" si="16"/>
        <v>0.13</v>
      </c>
      <c r="X98" s="208">
        <f t="shared" si="19"/>
        <v>0</v>
      </c>
      <c r="Y98" s="208">
        <f t="shared" si="20"/>
        <v>0</v>
      </c>
      <c r="Z98" s="208">
        <f t="shared" si="21"/>
        <v>0</v>
      </c>
      <c r="AA98" s="210">
        <f>+Table1[[#This Row],[calculated sale price]]</f>
        <v>0</v>
      </c>
      <c r="AB98" s="209"/>
      <c r="AC98" s="213"/>
    </row>
    <row r="99" spans="1:29">
      <c r="A99" s="192">
        <v>1090</v>
      </c>
      <c r="C99" s="192">
        <v>1</v>
      </c>
      <c r="I99" s="192"/>
      <c r="J99" s="192"/>
      <c r="K99" s="192"/>
      <c r="L99" s="203"/>
      <c r="M99" s="192"/>
      <c r="N99" s="204"/>
      <c r="O99" s="205">
        <v>0</v>
      </c>
      <c r="P99" s="205">
        <f>Table1[[#This Row],[unit cost]]</f>
        <v>0</v>
      </c>
      <c r="Q99" s="207"/>
      <c r="R99" s="192">
        <v>1</v>
      </c>
      <c r="S99" s="256">
        <f t="shared" si="15"/>
        <v>0.42</v>
      </c>
      <c r="T99" s="208">
        <f>Table1[[#This Row],[man minutes]]*Table1[[#This Row],[labor rate]]</f>
        <v>0</v>
      </c>
      <c r="U99" s="208">
        <f t="shared" si="18"/>
        <v>0</v>
      </c>
      <c r="V99" s="193">
        <f t="shared" si="17"/>
        <v>0.13</v>
      </c>
      <c r="W99" s="257">
        <f t="shared" si="16"/>
        <v>0.13</v>
      </c>
      <c r="X99" s="208">
        <f t="shared" si="19"/>
        <v>0</v>
      </c>
      <c r="Y99" s="208">
        <f t="shared" si="20"/>
        <v>0</v>
      </c>
      <c r="Z99" s="208">
        <f t="shared" si="21"/>
        <v>0</v>
      </c>
      <c r="AA99" s="210">
        <f>+Table1[[#This Row],[calculated sale price]]</f>
        <v>0</v>
      </c>
      <c r="AB99" s="209"/>
      <c r="AC99" s="213"/>
    </row>
    <row r="100" spans="1:29">
      <c r="A100" s="192">
        <v>1091</v>
      </c>
      <c r="C100" s="192">
        <v>1</v>
      </c>
      <c r="I100" s="192"/>
      <c r="J100" s="192"/>
      <c r="K100" s="192"/>
      <c r="L100" s="203"/>
      <c r="M100" s="192"/>
      <c r="N100" s="204"/>
      <c r="O100" s="205">
        <v>0</v>
      </c>
      <c r="P100" s="205">
        <f>Table1[[#This Row],[unit cost]]</f>
        <v>0</v>
      </c>
      <c r="Q100" s="207"/>
      <c r="R100" s="192">
        <v>1</v>
      </c>
      <c r="S100" s="256">
        <f t="shared" si="15"/>
        <v>0.42</v>
      </c>
      <c r="T100" s="208">
        <f>Table1[[#This Row],[man minutes]]*Table1[[#This Row],[labor rate]]</f>
        <v>0</v>
      </c>
      <c r="U100" s="208">
        <f t="shared" si="18"/>
        <v>0</v>
      </c>
      <c r="V100" s="193">
        <f t="shared" si="17"/>
        <v>0.13</v>
      </c>
      <c r="W100" s="257">
        <f t="shared" si="16"/>
        <v>0.13</v>
      </c>
      <c r="X100" s="208">
        <f t="shared" si="19"/>
        <v>0</v>
      </c>
      <c r="Y100" s="208">
        <f t="shared" si="20"/>
        <v>0</v>
      </c>
      <c r="Z100" s="208">
        <f t="shared" si="21"/>
        <v>0</v>
      </c>
      <c r="AA100" s="210">
        <f>+Table1[[#This Row],[calculated sale price]]</f>
        <v>0</v>
      </c>
      <c r="AB100" s="209"/>
      <c r="AC100" s="213"/>
    </row>
    <row r="101" spans="1:29">
      <c r="A101" s="192">
        <v>1092</v>
      </c>
      <c r="C101" s="192">
        <v>1</v>
      </c>
      <c r="I101" s="192"/>
      <c r="J101" s="192"/>
      <c r="K101" s="192"/>
      <c r="L101" s="203"/>
      <c r="M101" s="192"/>
      <c r="N101" s="204"/>
      <c r="O101" s="205">
        <v>0</v>
      </c>
      <c r="P101" s="205">
        <f>Table1[[#This Row],[unit cost]]</f>
        <v>0</v>
      </c>
      <c r="Q101" s="207"/>
      <c r="R101" s="192">
        <v>1</v>
      </c>
      <c r="S101" s="256">
        <f t="shared" si="15"/>
        <v>0.42</v>
      </c>
      <c r="T101" s="208">
        <f>Table1[[#This Row],[man minutes]]*Table1[[#This Row],[labor rate]]</f>
        <v>0</v>
      </c>
      <c r="U101" s="208">
        <f t="shared" si="18"/>
        <v>0</v>
      </c>
      <c r="V101" s="193">
        <f t="shared" si="17"/>
        <v>0.13</v>
      </c>
      <c r="W101" s="257">
        <f t="shared" si="16"/>
        <v>0.13</v>
      </c>
      <c r="X101" s="208">
        <f t="shared" si="19"/>
        <v>0</v>
      </c>
      <c r="Y101" s="208">
        <f t="shared" si="20"/>
        <v>0</v>
      </c>
      <c r="Z101" s="208">
        <f t="shared" si="21"/>
        <v>0</v>
      </c>
      <c r="AA101" s="210">
        <f>+Table1[[#This Row],[calculated sale price]]</f>
        <v>0</v>
      </c>
      <c r="AB101" s="209"/>
      <c r="AC101" s="213"/>
    </row>
    <row r="102" spans="1:29">
      <c r="A102" s="192">
        <v>1093</v>
      </c>
      <c r="C102" s="192">
        <v>1</v>
      </c>
      <c r="I102" s="192"/>
      <c r="J102" s="192"/>
      <c r="K102" s="192"/>
      <c r="L102" s="203"/>
      <c r="M102" s="192"/>
      <c r="N102" s="204"/>
      <c r="O102" s="205">
        <v>0</v>
      </c>
      <c r="P102" s="205">
        <f>Table1[[#This Row],[unit cost]]</f>
        <v>0</v>
      </c>
      <c r="Q102" s="207"/>
      <c r="R102" s="192">
        <v>1</v>
      </c>
      <c r="S102" s="256">
        <f t="shared" si="15"/>
        <v>0.42</v>
      </c>
      <c r="T102" s="208">
        <f>Table1[[#This Row],[man minutes]]*Table1[[#This Row],[labor rate]]</f>
        <v>0</v>
      </c>
      <c r="U102" s="208">
        <f t="shared" si="18"/>
        <v>0</v>
      </c>
      <c r="V102" s="193">
        <f t="shared" si="17"/>
        <v>0.13</v>
      </c>
      <c r="W102" s="257">
        <f t="shared" si="16"/>
        <v>0.13</v>
      </c>
      <c r="X102" s="208">
        <f t="shared" si="19"/>
        <v>0</v>
      </c>
      <c r="Y102" s="208">
        <f t="shared" si="20"/>
        <v>0</v>
      </c>
      <c r="Z102" s="208">
        <f t="shared" si="21"/>
        <v>0</v>
      </c>
      <c r="AA102" s="210">
        <f>+Table1[[#This Row],[calculated sale price]]</f>
        <v>0</v>
      </c>
      <c r="AB102" s="209"/>
      <c r="AC102" s="213"/>
    </row>
    <row r="103" spans="1:29">
      <c r="A103" s="192">
        <v>1094</v>
      </c>
      <c r="C103" s="192">
        <v>1</v>
      </c>
      <c r="I103" s="192"/>
      <c r="J103" s="192"/>
      <c r="K103" s="192"/>
      <c r="L103" s="203"/>
      <c r="M103" s="192"/>
      <c r="N103" s="204"/>
      <c r="O103" s="205">
        <v>0</v>
      </c>
      <c r="P103" s="205">
        <f>Table1[[#This Row],[unit cost]]</f>
        <v>0</v>
      </c>
      <c r="Q103" s="207"/>
      <c r="R103" s="192">
        <v>1</v>
      </c>
      <c r="S103" s="256">
        <f t="shared" si="15"/>
        <v>0.42</v>
      </c>
      <c r="T103" s="208">
        <f>Table1[[#This Row],[man minutes]]*Table1[[#This Row],[labor rate]]</f>
        <v>0</v>
      </c>
      <c r="U103" s="208">
        <f t="shared" si="18"/>
        <v>0</v>
      </c>
      <c r="V103" s="193">
        <f t="shared" si="17"/>
        <v>0.13</v>
      </c>
      <c r="W103" s="257">
        <f t="shared" si="16"/>
        <v>0.13</v>
      </c>
      <c r="X103" s="208">
        <f t="shared" si="19"/>
        <v>0</v>
      </c>
      <c r="Y103" s="208">
        <f t="shared" si="20"/>
        <v>0</v>
      </c>
      <c r="Z103" s="208">
        <f t="shared" si="21"/>
        <v>0</v>
      </c>
      <c r="AA103" s="210">
        <f>+Table1[[#This Row],[calculated sale price]]</f>
        <v>0</v>
      </c>
      <c r="AB103" s="209"/>
      <c r="AC103" s="213"/>
    </row>
    <row r="104" spans="1:29">
      <c r="A104" s="192">
        <v>1095</v>
      </c>
      <c r="C104" s="192">
        <v>1</v>
      </c>
      <c r="I104" s="192"/>
      <c r="J104" s="192"/>
      <c r="K104" s="192"/>
      <c r="L104" s="203"/>
      <c r="M104" s="192"/>
      <c r="N104" s="204"/>
      <c r="O104" s="205">
        <v>0</v>
      </c>
      <c r="P104" s="205">
        <f>Table1[[#This Row],[unit cost]]</f>
        <v>0</v>
      </c>
      <c r="Q104" s="207"/>
      <c r="R104" s="192">
        <v>1</v>
      </c>
      <c r="S104" s="256">
        <f t="shared" si="15"/>
        <v>0.42</v>
      </c>
      <c r="T104" s="208">
        <f>Table1[[#This Row],[man minutes]]*Table1[[#This Row],[labor rate]]</f>
        <v>0</v>
      </c>
      <c r="U104" s="208">
        <f t="shared" si="18"/>
        <v>0</v>
      </c>
      <c r="V104" s="193">
        <f t="shared" si="17"/>
        <v>0.13</v>
      </c>
      <c r="W104" s="257">
        <f t="shared" si="16"/>
        <v>0.13</v>
      </c>
      <c r="X104" s="208">
        <f t="shared" si="19"/>
        <v>0</v>
      </c>
      <c r="Y104" s="208">
        <f t="shared" si="20"/>
        <v>0</v>
      </c>
      <c r="Z104" s="208">
        <f t="shared" si="21"/>
        <v>0</v>
      </c>
      <c r="AA104" s="210">
        <f>+Table1[[#This Row],[calculated sale price]]</f>
        <v>0</v>
      </c>
      <c r="AB104" s="209"/>
      <c r="AC104" s="213"/>
    </row>
    <row r="105" spans="1:29">
      <c r="A105" s="192">
        <v>1096</v>
      </c>
      <c r="C105" s="192">
        <v>1</v>
      </c>
      <c r="I105" s="192"/>
      <c r="J105" s="192"/>
      <c r="K105" s="192"/>
      <c r="L105" s="203"/>
      <c r="M105" s="192"/>
      <c r="N105" s="204"/>
      <c r="O105" s="205">
        <v>0</v>
      </c>
      <c r="P105" s="205">
        <f>Table1[[#This Row],[unit cost]]</f>
        <v>0</v>
      </c>
      <c r="Q105" s="207"/>
      <c r="R105" s="192">
        <v>1</v>
      </c>
      <c r="S105" s="256">
        <f t="shared" si="15"/>
        <v>0.42</v>
      </c>
      <c r="T105" s="208">
        <f>Table1[[#This Row],[man minutes]]*Table1[[#This Row],[labor rate]]</f>
        <v>0</v>
      </c>
      <c r="U105" s="208">
        <f t="shared" si="18"/>
        <v>0</v>
      </c>
      <c r="V105" s="193">
        <f t="shared" si="17"/>
        <v>0.13</v>
      </c>
      <c r="W105" s="257">
        <f t="shared" si="16"/>
        <v>0.13</v>
      </c>
      <c r="X105" s="208">
        <f t="shared" si="19"/>
        <v>0</v>
      </c>
      <c r="Y105" s="208">
        <f t="shared" si="20"/>
        <v>0</v>
      </c>
      <c r="Z105" s="208">
        <f t="shared" si="21"/>
        <v>0</v>
      </c>
      <c r="AA105" s="210">
        <f>+Table1[[#This Row],[calculated sale price]]</f>
        <v>0</v>
      </c>
      <c r="AB105" s="209"/>
      <c r="AC105" s="213"/>
    </row>
    <row r="106" spans="1:29">
      <c r="A106" s="192">
        <v>1097</v>
      </c>
      <c r="C106" s="192">
        <v>1</v>
      </c>
      <c r="I106" s="192"/>
      <c r="J106" s="192"/>
      <c r="K106" s="192"/>
      <c r="L106" s="203"/>
      <c r="M106" s="192"/>
      <c r="N106" s="204"/>
      <c r="O106" s="205">
        <v>0</v>
      </c>
      <c r="P106" s="205">
        <f>Table1[[#This Row],[unit cost]]</f>
        <v>0</v>
      </c>
      <c r="Q106" s="207"/>
      <c r="R106" s="192">
        <v>1</v>
      </c>
      <c r="S106" s="256">
        <f t="shared" si="15"/>
        <v>0.42</v>
      </c>
      <c r="T106" s="208">
        <f>Table1[[#This Row],[man minutes]]*Table1[[#This Row],[labor rate]]</f>
        <v>0</v>
      </c>
      <c r="U106" s="208">
        <f t="shared" si="18"/>
        <v>0</v>
      </c>
      <c r="V106" s="193">
        <f t="shared" si="17"/>
        <v>0.13</v>
      </c>
      <c r="W106" s="257">
        <f t="shared" si="16"/>
        <v>0.13</v>
      </c>
      <c r="X106" s="208">
        <f t="shared" si="19"/>
        <v>0</v>
      </c>
      <c r="Y106" s="208">
        <f t="shared" si="20"/>
        <v>0</v>
      </c>
      <c r="Z106" s="208">
        <f t="shared" si="21"/>
        <v>0</v>
      </c>
      <c r="AA106" s="210">
        <f>+Table1[[#This Row],[calculated sale price]]</f>
        <v>0</v>
      </c>
      <c r="AB106" s="209"/>
      <c r="AC106" s="213"/>
    </row>
    <row r="107" spans="1:29">
      <c r="A107" s="192">
        <v>1098</v>
      </c>
      <c r="C107" s="192">
        <v>1</v>
      </c>
      <c r="I107" s="192"/>
      <c r="J107" s="192"/>
      <c r="K107" s="192"/>
      <c r="L107" s="203"/>
      <c r="M107" s="192"/>
      <c r="N107" s="204"/>
      <c r="O107" s="205">
        <v>0</v>
      </c>
      <c r="P107" s="205">
        <f>Table1[[#This Row],[unit cost]]</f>
        <v>0</v>
      </c>
      <c r="Q107" s="207"/>
      <c r="R107" s="192">
        <v>1</v>
      </c>
      <c r="S107" s="256">
        <f t="shared" si="15"/>
        <v>0.42</v>
      </c>
      <c r="T107" s="208">
        <f>Table1[[#This Row],[man minutes]]*Table1[[#This Row],[labor rate]]</f>
        <v>0</v>
      </c>
      <c r="U107" s="208">
        <f t="shared" si="18"/>
        <v>0</v>
      </c>
      <c r="V107" s="193">
        <f t="shared" si="17"/>
        <v>0.13</v>
      </c>
      <c r="W107" s="257">
        <f t="shared" si="16"/>
        <v>0.13</v>
      </c>
      <c r="X107" s="208">
        <f t="shared" si="19"/>
        <v>0</v>
      </c>
      <c r="Y107" s="208">
        <f t="shared" si="20"/>
        <v>0</v>
      </c>
      <c r="Z107" s="208">
        <f t="shared" si="21"/>
        <v>0</v>
      </c>
      <c r="AA107" s="210">
        <f>+Table1[[#This Row],[calculated sale price]]</f>
        <v>0</v>
      </c>
      <c r="AB107" s="209"/>
      <c r="AC107" s="213"/>
    </row>
    <row r="108" spans="1:29">
      <c r="A108" s="192">
        <v>1099</v>
      </c>
      <c r="C108" s="192">
        <v>1</v>
      </c>
      <c r="I108" s="192"/>
      <c r="J108" s="192"/>
      <c r="K108" s="192"/>
      <c r="L108" s="203"/>
      <c r="M108" s="192"/>
      <c r="N108" s="204"/>
      <c r="O108" s="205">
        <v>0</v>
      </c>
      <c r="P108" s="205">
        <f>Table1[[#This Row],[unit cost]]</f>
        <v>0</v>
      </c>
      <c r="Q108" s="207"/>
      <c r="R108" s="192">
        <v>1</v>
      </c>
      <c r="S108" s="256">
        <f t="shared" si="15"/>
        <v>0.42</v>
      </c>
      <c r="T108" s="208">
        <f>Table1[[#This Row],[man minutes]]*Table1[[#This Row],[labor rate]]</f>
        <v>0</v>
      </c>
      <c r="U108" s="208">
        <f t="shared" si="18"/>
        <v>0</v>
      </c>
      <c r="V108" s="193">
        <f t="shared" si="17"/>
        <v>0.13</v>
      </c>
      <c r="W108" s="257">
        <f t="shared" si="16"/>
        <v>0.13</v>
      </c>
      <c r="X108" s="208">
        <f t="shared" si="19"/>
        <v>0</v>
      </c>
      <c r="Y108" s="208">
        <f t="shared" si="20"/>
        <v>0</v>
      </c>
      <c r="Z108" s="208">
        <f t="shared" si="21"/>
        <v>0</v>
      </c>
      <c r="AA108" s="210">
        <f>+Table1[[#This Row],[calculated sale price]]</f>
        <v>0</v>
      </c>
      <c r="AB108" s="209"/>
      <c r="AC108" s="213"/>
    </row>
    <row r="109" spans="1:29">
      <c r="A109" s="192">
        <v>1100</v>
      </c>
      <c r="C109" s="192">
        <v>1</v>
      </c>
      <c r="I109" s="192"/>
      <c r="J109" s="192"/>
      <c r="K109" s="192"/>
      <c r="L109" s="203"/>
      <c r="M109" s="192"/>
      <c r="N109" s="204"/>
      <c r="O109" s="205">
        <v>0</v>
      </c>
      <c r="P109" s="205">
        <f>Table1[[#This Row],[unit cost]]</f>
        <v>0</v>
      </c>
      <c r="Q109" s="207"/>
      <c r="R109" s="192">
        <v>1</v>
      </c>
      <c r="S109" s="256">
        <f t="shared" si="15"/>
        <v>0.42</v>
      </c>
      <c r="T109" s="208">
        <f>Table1[[#This Row],[man minutes]]*Table1[[#This Row],[labor rate]]</f>
        <v>0</v>
      </c>
      <c r="U109" s="208">
        <f t="shared" si="18"/>
        <v>0</v>
      </c>
      <c r="V109" s="193">
        <f t="shared" si="17"/>
        <v>0.13</v>
      </c>
      <c r="W109" s="257">
        <f t="shared" si="16"/>
        <v>0.13</v>
      </c>
      <c r="X109" s="208">
        <f t="shared" si="19"/>
        <v>0</v>
      </c>
      <c r="Y109" s="208">
        <f t="shared" si="20"/>
        <v>0</v>
      </c>
      <c r="Z109" s="208">
        <f t="shared" si="21"/>
        <v>0</v>
      </c>
      <c r="AA109" s="210">
        <f>+Table1[[#This Row],[calculated sale price]]</f>
        <v>0</v>
      </c>
      <c r="AB109" s="209"/>
      <c r="AC109" s="213"/>
    </row>
    <row r="110" spans="1:29">
      <c r="A110" s="192">
        <v>1101</v>
      </c>
      <c r="C110" s="192">
        <v>1</v>
      </c>
      <c r="I110" s="192"/>
      <c r="J110" s="192"/>
      <c r="K110" s="192"/>
      <c r="L110" s="203"/>
      <c r="M110" s="192"/>
      <c r="N110" s="204"/>
      <c r="O110" s="205">
        <v>0</v>
      </c>
      <c r="P110" s="205">
        <f>Table1[[#This Row],[unit cost]]</f>
        <v>0</v>
      </c>
      <c r="Q110" s="207"/>
      <c r="R110" s="192">
        <v>1</v>
      </c>
      <c r="S110" s="256">
        <f t="shared" si="15"/>
        <v>0.42</v>
      </c>
      <c r="T110" s="208">
        <f>Table1[[#This Row],[man minutes]]*Table1[[#This Row],[labor rate]]</f>
        <v>0</v>
      </c>
      <c r="U110" s="208">
        <f t="shared" si="18"/>
        <v>0</v>
      </c>
      <c r="V110" s="193">
        <f t="shared" si="17"/>
        <v>0.13</v>
      </c>
      <c r="W110" s="257">
        <f t="shared" si="16"/>
        <v>0.13</v>
      </c>
      <c r="X110" s="208">
        <f t="shared" si="19"/>
        <v>0</v>
      </c>
      <c r="Y110" s="208">
        <f t="shared" si="20"/>
        <v>0</v>
      </c>
      <c r="Z110" s="208">
        <f t="shared" si="21"/>
        <v>0</v>
      </c>
      <c r="AA110" s="210">
        <f>+Table1[[#This Row],[calculated sale price]]</f>
        <v>0</v>
      </c>
      <c r="AB110" s="209"/>
      <c r="AC110" s="213"/>
    </row>
    <row r="111" spans="1:29">
      <c r="A111" s="192">
        <v>1102</v>
      </c>
      <c r="C111" s="192">
        <v>1</v>
      </c>
      <c r="I111" s="192"/>
      <c r="J111" s="192"/>
      <c r="K111" s="192"/>
      <c r="L111" s="203"/>
      <c r="M111" s="192"/>
      <c r="N111" s="204"/>
      <c r="O111" s="205">
        <v>0</v>
      </c>
      <c r="P111" s="205">
        <f>Table1[[#This Row],[unit cost]]</f>
        <v>0</v>
      </c>
      <c r="Q111" s="207"/>
      <c r="R111" s="192">
        <v>1</v>
      </c>
      <c r="S111" s="256">
        <f t="shared" si="15"/>
        <v>0.42</v>
      </c>
      <c r="T111" s="208">
        <f>Table1[[#This Row],[man minutes]]*Table1[[#This Row],[labor rate]]</f>
        <v>0</v>
      </c>
      <c r="U111" s="208">
        <f t="shared" si="18"/>
        <v>0</v>
      </c>
      <c r="V111" s="193">
        <f t="shared" si="17"/>
        <v>0.13</v>
      </c>
      <c r="W111" s="257">
        <f t="shared" si="16"/>
        <v>0.13</v>
      </c>
      <c r="X111" s="208">
        <f t="shared" si="19"/>
        <v>0</v>
      </c>
      <c r="Y111" s="208">
        <f t="shared" si="20"/>
        <v>0</v>
      </c>
      <c r="Z111" s="208">
        <f t="shared" si="21"/>
        <v>0</v>
      </c>
      <c r="AA111" s="210">
        <f>+Table1[[#This Row],[calculated sale price]]</f>
        <v>0</v>
      </c>
      <c r="AB111" s="209"/>
      <c r="AC111" s="213"/>
    </row>
    <row r="112" spans="1:29">
      <c r="A112" s="192">
        <v>1103</v>
      </c>
      <c r="C112" s="192">
        <v>1</v>
      </c>
      <c r="I112" s="192"/>
      <c r="J112" s="192"/>
      <c r="K112" s="192"/>
      <c r="L112" s="203"/>
      <c r="M112" s="192"/>
      <c r="N112" s="204"/>
      <c r="O112" s="205">
        <v>0</v>
      </c>
      <c r="P112" s="205">
        <f>Table1[[#This Row],[unit cost]]</f>
        <v>0</v>
      </c>
      <c r="Q112" s="207"/>
      <c r="R112" s="192">
        <v>1</v>
      </c>
      <c r="S112" s="256">
        <f t="shared" si="15"/>
        <v>0.42</v>
      </c>
      <c r="T112" s="208">
        <f>Table1[[#This Row],[man minutes]]*Table1[[#This Row],[labor rate]]</f>
        <v>0</v>
      </c>
      <c r="U112" s="208">
        <f t="shared" si="18"/>
        <v>0</v>
      </c>
      <c r="V112" s="193">
        <f t="shared" si="17"/>
        <v>0.13</v>
      </c>
      <c r="W112" s="257">
        <f t="shared" si="16"/>
        <v>0.13</v>
      </c>
      <c r="X112" s="208">
        <f t="shared" si="19"/>
        <v>0</v>
      </c>
      <c r="Y112" s="208">
        <f t="shared" si="20"/>
        <v>0</v>
      </c>
      <c r="Z112" s="208">
        <f t="shared" si="21"/>
        <v>0</v>
      </c>
      <c r="AA112" s="210">
        <f>+Table1[[#This Row],[calculated sale price]]</f>
        <v>0</v>
      </c>
      <c r="AB112" s="209"/>
      <c r="AC112" s="213"/>
    </row>
    <row r="113" spans="1:29">
      <c r="A113" s="192">
        <v>1104</v>
      </c>
      <c r="C113" s="192">
        <v>1</v>
      </c>
      <c r="I113" s="192"/>
      <c r="J113" s="192"/>
      <c r="K113" s="192"/>
      <c r="L113" s="203"/>
      <c r="M113" s="192"/>
      <c r="N113" s="204"/>
      <c r="O113" s="205">
        <v>0</v>
      </c>
      <c r="P113" s="205">
        <f>Table1[[#This Row],[unit cost]]</f>
        <v>0</v>
      </c>
      <c r="Q113" s="207"/>
      <c r="R113" s="192">
        <v>1</v>
      </c>
      <c r="S113" s="256">
        <f t="shared" si="15"/>
        <v>0.42</v>
      </c>
      <c r="T113" s="208">
        <f>Table1[[#This Row],[man minutes]]*Table1[[#This Row],[labor rate]]</f>
        <v>0</v>
      </c>
      <c r="U113" s="208">
        <f t="shared" si="18"/>
        <v>0</v>
      </c>
      <c r="V113" s="193">
        <f t="shared" si="17"/>
        <v>0.13</v>
      </c>
      <c r="W113" s="257">
        <f t="shared" si="16"/>
        <v>0.13</v>
      </c>
      <c r="X113" s="208">
        <f t="shared" si="19"/>
        <v>0</v>
      </c>
      <c r="Y113" s="208">
        <f t="shared" si="20"/>
        <v>0</v>
      </c>
      <c r="Z113" s="208">
        <f t="shared" si="21"/>
        <v>0</v>
      </c>
      <c r="AA113" s="210">
        <f>+Table1[[#This Row],[calculated sale price]]</f>
        <v>0</v>
      </c>
      <c r="AB113" s="209"/>
      <c r="AC113" s="213"/>
    </row>
    <row r="114" spans="1:29">
      <c r="A114" s="192">
        <v>1105</v>
      </c>
      <c r="C114" s="192">
        <v>1</v>
      </c>
      <c r="I114" s="192"/>
      <c r="J114" s="192"/>
      <c r="K114" s="192"/>
      <c r="L114" s="203"/>
      <c r="M114" s="192"/>
      <c r="N114" s="204"/>
      <c r="O114" s="205">
        <v>0</v>
      </c>
      <c r="P114" s="205">
        <f>Table1[[#This Row],[unit cost]]</f>
        <v>0</v>
      </c>
      <c r="Q114" s="207"/>
      <c r="R114" s="192">
        <v>1</v>
      </c>
      <c r="S114" s="256">
        <f t="shared" si="15"/>
        <v>0.42</v>
      </c>
      <c r="T114" s="208">
        <f>Table1[[#This Row],[man minutes]]*Table1[[#This Row],[labor rate]]</f>
        <v>0</v>
      </c>
      <c r="U114" s="208">
        <f t="shared" si="18"/>
        <v>0</v>
      </c>
      <c r="V114" s="193">
        <f t="shared" si="17"/>
        <v>0.13</v>
      </c>
      <c r="W114" s="257">
        <f t="shared" si="16"/>
        <v>0.13</v>
      </c>
      <c r="X114" s="208">
        <f t="shared" si="19"/>
        <v>0</v>
      </c>
      <c r="Y114" s="208">
        <f t="shared" si="20"/>
        <v>0</v>
      </c>
      <c r="Z114" s="208">
        <f t="shared" si="21"/>
        <v>0</v>
      </c>
      <c r="AA114" s="210">
        <f>+Table1[[#This Row],[calculated sale price]]</f>
        <v>0</v>
      </c>
      <c r="AB114" s="209"/>
      <c r="AC114" s="213"/>
    </row>
    <row r="115" spans="1:29">
      <c r="A115" s="192">
        <v>1106</v>
      </c>
      <c r="C115" s="192">
        <v>1</v>
      </c>
      <c r="I115" s="192"/>
      <c r="J115" s="192"/>
      <c r="K115" s="192"/>
      <c r="L115" s="203"/>
      <c r="M115" s="192"/>
      <c r="N115" s="204"/>
      <c r="O115" s="205">
        <v>0</v>
      </c>
      <c r="P115" s="205">
        <f>Table1[[#This Row],[unit cost]]</f>
        <v>0</v>
      </c>
      <c r="Q115" s="207"/>
      <c r="R115" s="192">
        <v>1</v>
      </c>
      <c r="S115" s="256">
        <f t="shared" si="15"/>
        <v>0.42</v>
      </c>
      <c r="T115" s="208">
        <f>Table1[[#This Row],[man minutes]]*Table1[[#This Row],[labor rate]]</f>
        <v>0</v>
      </c>
      <c r="U115" s="208">
        <f t="shared" si="18"/>
        <v>0</v>
      </c>
      <c r="V115" s="193">
        <f t="shared" si="17"/>
        <v>0.13</v>
      </c>
      <c r="W115" s="257">
        <f t="shared" si="16"/>
        <v>0.13</v>
      </c>
      <c r="X115" s="208">
        <f t="shared" si="19"/>
        <v>0</v>
      </c>
      <c r="Y115" s="208">
        <f t="shared" si="20"/>
        <v>0</v>
      </c>
      <c r="Z115" s="208">
        <f t="shared" si="21"/>
        <v>0</v>
      </c>
      <c r="AA115" s="210">
        <f>+Table1[[#This Row],[calculated sale price]]</f>
        <v>0</v>
      </c>
      <c r="AB115" s="209"/>
      <c r="AC115" s="213"/>
    </row>
    <row r="116" spans="1:29">
      <c r="A116" s="192">
        <v>1107</v>
      </c>
      <c r="C116" s="192">
        <v>1</v>
      </c>
      <c r="I116" s="192"/>
      <c r="J116" s="192"/>
      <c r="K116" s="192"/>
      <c r="L116" s="203"/>
      <c r="M116" s="192"/>
      <c r="N116" s="204"/>
      <c r="O116" s="205">
        <v>0</v>
      </c>
      <c r="P116" s="205">
        <f>Table1[[#This Row],[unit cost]]</f>
        <v>0</v>
      </c>
      <c r="Q116" s="207"/>
      <c r="R116" s="192">
        <v>1</v>
      </c>
      <c r="S116" s="256">
        <f t="shared" si="15"/>
        <v>0.42</v>
      </c>
      <c r="T116" s="208">
        <f>Table1[[#This Row],[man minutes]]*Table1[[#This Row],[labor rate]]</f>
        <v>0</v>
      </c>
      <c r="U116" s="208">
        <f t="shared" si="18"/>
        <v>0</v>
      </c>
      <c r="V116" s="193">
        <f t="shared" si="17"/>
        <v>0.13</v>
      </c>
      <c r="W116" s="257">
        <f t="shared" si="16"/>
        <v>0.13</v>
      </c>
      <c r="X116" s="208">
        <f t="shared" si="19"/>
        <v>0</v>
      </c>
      <c r="Y116" s="208">
        <f t="shared" si="20"/>
        <v>0</v>
      </c>
      <c r="Z116" s="208">
        <f t="shared" si="21"/>
        <v>0</v>
      </c>
      <c r="AA116" s="210">
        <f>+Table1[[#This Row],[calculated sale price]]</f>
        <v>0</v>
      </c>
      <c r="AB116" s="209"/>
      <c r="AC116" s="213"/>
    </row>
    <row r="117" spans="1:29">
      <c r="A117" s="192">
        <v>1108</v>
      </c>
      <c r="C117" s="192">
        <v>1</v>
      </c>
      <c r="I117" s="192"/>
      <c r="J117" s="192"/>
      <c r="K117" s="192"/>
      <c r="L117" s="203"/>
      <c r="M117" s="192"/>
      <c r="N117" s="204"/>
      <c r="O117" s="205">
        <v>0</v>
      </c>
      <c r="P117" s="205">
        <f>Table1[[#This Row],[unit cost]]</f>
        <v>0</v>
      </c>
      <c r="Q117" s="207"/>
      <c r="R117" s="192">
        <v>1</v>
      </c>
      <c r="S117" s="256">
        <f t="shared" si="15"/>
        <v>0.42</v>
      </c>
      <c r="T117" s="208">
        <f>Table1[[#This Row],[man minutes]]*Table1[[#This Row],[labor rate]]</f>
        <v>0</v>
      </c>
      <c r="U117" s="208">
        <f t="shared" si="18"/>
        <v>0</v>
      </c>
      <c r="V117" s="193">
        <f t="shared" si="17"/>
        <v>0.13</v>
      </c>
      <c r="W117" s="257">
        <f t="shared" si="16"/>
        <v>0.13</v>
      </c>
      <c r="X117" s="208">
        <f t="shared" si="19"/>
        <v>0</v>
      </c>
      <c r="Y117" s="208">
        <f t="shared" si="20"/>
        <v>0</v>
      </c>
      <c r="Z117" s="208">
        <f t="shared" si="21"/>
        <v>0</v>
      </c>
      <c r="AA117" s="210">
        <f>+Table1[[#This Row],[calculated sale price]]</f>
        <v>0</v>
      </c>
      <c r="AB117" s="209"/>
      <c r="AC117" s="213"/>
    </row>
    <row r="118" spans="1:29">
      <c r="A118" s="192">
        <v>1109</v>
      </c>
      <c r="C118" s="192">
        <v>1</v>
      </c>
      <c r="I118" s="192"/>
      <c r="J118" s="192"/>
      <c r="K118" s="192"/>
      <c r="L118" s="203"/>
      <c r="M118" s="192"/>
      <c r="N118" s="204"/>
      <c r="O118" s="205">
        <v>0</v>
      </c>
      <c r="P118" s="205">
        <f>Table1[[#This Row],[unit cost]]</f>
        <v>0</v>
      </c>
      <c r="Q118" s="207"/>
      <c r="R118" s="192">
        <v>1</v>
      </c>
      <c r="S118" s="256">
        <f t="shared" si="15"/>
        <v>0.42</v>
      </c>
      <c r="T118" s="208">
        <f>Table1[[#This Row],[man minutes]]*Table1[[#This Row],[labor rate]]</f>
        <v>0</v>
      </c>
      <c r="U118" s="208">
        <f t="shared" si="18"/>
        <v>0</v>
      </c>
      <c r="V118" s="193">
        <f t="shared" si="17"/>
        <v>0.13</v>
      </c>
      <c r="W118" s="257">
        <f t="shared" si="16"/>
        <v>0.13</v>
      </c>
      <c r="X118" s="208">
        <f t="shared" si="19"/>
        <v>0</v>
      </c>
      <c r="Y118" s="208">
        <f t="shared" si="20"/>
        <v>0</v>
      </c>
      <c r="Z118" s="208">
        <f t="shared" si="21"/>
        <v>0</v>
      </c>
      <c r="AA118" s="210">
        <f>+Table1[[#This Row],[calculated sale price]]</f>
        <v>0</v>
      </c>
      <c r="AB118" s="209"/>
      <c r="AC118" s="213"/>
    </row>
    <row r="119" spans="1:29">
      <c r="A119" s="192">
        <v>1110</v>
      </c>
      <c r="C119" s="192">
        <v>1</v>
      </c>
      <c r="I119" s="192"/>
      <c r="J119" s="192"/>
      <c r="K119" s="192"/>
      <c r="L119" s="203"/>
      <c r="M119" s="192"/>
      <c r="N119" s="204"/>
      <c r="O119" s="205">
        <v>0</v>
      </c>
      <c r="P119" s="205">
        <f>Table1[[#This Row],[unit cost]]</f>
        <v>0</v>
      </c>
      <c r="Q119" s="207"/>
      <c r="R119" s="192">
        <v>1</v>
      </c>
      <c r="S119" s="256">
        <f t="shared" si="15"/>
        <v>0.42</v>
      </c>
      <c r="T119" s="208">
        <f>Table1[[#This Row],[man minutes]]*Table1[[#This Row],[labor rate]]</f>
        <v>0</v>
      </c>
      <c r="U119" s="208">
        <f t="shared" si="18"/>
        <v>0</v>
      </c>
      <c r="V119" s="193">
        <f t="shared" si="17"/>
        <v>0.13</v>
      </c>
      <c r="W119" s="257">
        <f t="shared" si="16"/>
        <v>0.13</v>
      </c>
      <c r="X119" s="208">
        <f t="shared" si="19"/>
        <v>0</v>
      </c>
      <c r="Y119" s="208">
        <f t="shared" si="20"/>
        <v>0</v>
      </c>
      <c r="Z119" s="208">
        <f t="shared" si="21"/>
        <v>0</v>
      </c>
      <c r="AA119" s="210">
        <f>+Table1[[#This Row],[calculated sale price]]</f>
        <v>0</v>
      </c>
      <c r="AB119" s="209"/>
      <c r="AC119" s="213"/>
    </row>
    <row r="120" spans="1:29">
      <c r="A120" s="192">
        <v>1111</v>
      </c>
      <c r="C120" s="192">
        <v>1</v>
      </c>
      <c r="I120" s="192"/>
      <c r="J120" s="192"/>
      <c r="K120" s="192"/>
      <c r="L120" s="203"/>
      <c r="M120" s="192"/>
      <c r="N120" s="204"/>
      <c r="O120" s="205">
        <v>0</v>
      </c>
      <c r="P120" s="205">
        <f>Table1[[#This Row],[unit cost]]</f>
        <v>0</v>
      </c>
      <c r="Q120" s="207"/>
      <c r="R120" s="192">
        <v>1</v>
      </c>
      <c r="S120" s="256">
        <f t="shared" si="15"/>
        <v>0.42</v>
      </c>
      <c r="T120" s="208">
        <f>Table1[[#This Row],[man minutes]]*Table1[[#This Row],[labor rate]]</f>
        <v>0</v>
      </c>
      <c r="U120" s="208">
        <f t="shared" si="18"/>
        <v>0</v>
      </c>
      <c r="V120" s="193">
        <f t="shared" si="17"/>
        <v>0.13</v>
      </c>
      <c r="W120" s="257">
        <f t="shared" si="16"/>
        <v>0.13</v>
      </c>
      <c r="X120" s="208">
        <f t="shared" si="19"/>
        <v>0</v>
      </c>
      <c r="Y120" s="208">
        <f t="shared" si="20"/>
        <v>0</v>
      </c>
      <c r="Z120" s="208">
        <f t="shared" si="21"/>
        <v>0</v>
      </c>
      <c r="AA120" s="210">
        <f>+Table1[[#This Row],[calculated sale price]]</f>
        <v>0</v>
      </c>
      <c r="AB120" s="209"/>
      <c r="AC120" s="213"/>
    </row>
    <row r="121" spans="1:29">
      <c r="A121" s="192">
        <v>1112</v>
      </c>
      <c r="C121" s="192">
        <v>1</v>
      </c>
      <c r="I121" s="192"/>
      <c r="J121" s="192"/>
      <c r="K121" s="192"/>
      <c r="L121" s="203"/>
      <c r="M121" s="192"/>
      <c r="N121" s="204"/>
      <c r="O121" s="205">
        <v>0</v>
      </c>
      <c r="P121" s="205">
        <f>Table1[[#This Row],[unit cost]]</f>
        <v>0</v>
      </c>
      <c r="Q121" s="207"/>
      <c r="R121" s="192">
        <v>1</v>
      </c>
      <c r="S121" s="256">
        <f t="shared" si="15"/>
        <v>0.42</v>
      </c>
      <c r="T121" s="208">
        <f>Table1[[#This Row],[man minutes]]*Table1[[#This Row],[labor rate]]</f>
        <v>0</v>
      </c>
      <c r="U121" s="208">
        <f t="shared" si="18"/>
        <v>0</v>
      </c>
      <c r="V121" s="193">
        <f t="shared" si="17"/>
        <v>0.13</v>
      </c>
      <c r="W121" s="257">
        <f t="shared" si="16"/>
        <v>0.13</v>
      </c>
      <c r="X121" s="208">
        <f t="shared" si="19"/>
        <v>0</v>
      </c>
      <c r="Y121" s="208">
        <f t="shared" si="20"/>
        <v>0</v>
      </c>
      <c r="Z121" s="208">
        <f t="shared" si="21"/>
        <v>0</v>
      </c>
      <c r="AA121" s="210">
        <f>+Table1[[#This Row],[calculated sale price]]</f>
        <v>0</v>
      </c>
      <c r="AB121" s="209"/>
      <c r="AC121" s="213"/>
    </row>
    <row r="122" spans="1:29">
      <c r="A122" s="192">
        <v>1113</v>
      </c>
      <c r="C122" s="192">
        <v>1</v>
      </c>
      <c r="I122" s="192"/>
      <c r="J122" s="192"/>
      <c r="K122" s="192"/>
      <c r="L122" s="203"/>
      <c r="M122" s="192"/>
      <c r="N122" s="204"/>
      <c r="O122" s="205">
        <v>0</v>
      </c>
      <c r="P122" s="205">
        <f>Table1[[#This Row],[unit cost]]</f>
        <v>0</v>
      </c>
      <c r="Q122" s="207"/>
      <c r="R122" s="192">
        <v>1</v>
      </c>
      <c r="S122" s="256">
        <f t="shared" si="15"/>
        <v>0.42</v>
      </c>
      <c r="T122" s="208">
        <f>Table1[[#This Row],[man minutes]]*Table1[[#This Row],[labor rate]]</f>
        <v>0</v>
      </c>
      <c r="U122" s="208">
        <f t="shared" si="18"/>
        <v>0</v>
      </c>
      <c r="V122" s="193">
        <f t="shared" si="17"/>
        <v>0.13</v>
      </c>
      <c r="W122" s="257">
        <f t="shared" si="16"/>
        <v>0.13</v>
      </c>
      <c r="X122" s="208">
        <f t="shared" si="19"/>
        <v>0</v>
      </c>
      <c r="Y122" s="208">
        <f t="shared" si="20"/>
        <v>0</v>
      </c>
      <c r="Z122" s="208">
        <f t="shared" si="21"/>
        <v>0</v>
      </c>
      <c r="AA122" s="210">
        <f>+Table1[[#This Row],[calculated sale price]]</f>
        <v>0</v>
      </c>
      <c r="AB122" s="209"/>
      <c r="AC122" s="213"/>
    </row>
    <row r="123" spans="1:29">
      <c r="A123" s="192">
        <v>1114</v>
      </c>
      <c r="C123" s="192">
        <v>1</v>
      </c>
      <c r="I123" s="192"/>
      <c r="J123" s="192"/>
      <c r="K123" s="192"/>
      <c r="L123" s="203"/>
      <c r="M123" s="192"/>
      <c r="N123" s="204"/>
      <c r="O123" s="205">
        <v>0</v>
      </c>
      <c r="P123" s="205">
        <f>Table1[[#This Row],[unit cost]]</f>
        <v>0</v>
      </c>
      <c r="Q123" s="207"/>
      <c r="R123" s="192">
        <v>1</v>
      </c>
      <c r="S123" s="256">
        <f t="shared" si="15"/>
        <v>0.42</v>
      </c>
      <c r="T123" s="208">
        <f>Table1[[#This Row],[man minutes]]*Table1[[#This Row],[labor rate]]</f>
        <v>0</v>
      </c>
      <c r="U123" s="208">
        <f t="shared" si="18"/>
        <v>0</v>
      </c>
      <c r="V123" s="193">
        <f t="shared" si="17"/>
        <v>0.13</v>
      </c>
      <c r="W123" s="257">
        <f t="shared" si="16"/>
        <v>0.13</v>
      </c>
      <c r="X123" s="208">
        <f t="shared" si="19"/>
        <v>0</v>
      </c>
      <c r="Y123" s="208">
        <f t="shared" si="20"/>
        <v>0</v>
      </c>
      <c r="Z123" s="208">
        <f t="shared" si="21"/>
        <v>0</v>
      </c>
      <c r="AA123" s="210">
        <f>+Table1[[#This Row],[calculated sale price]]</f>
        <v>0</v>
      </c>
      <c r="AB123" s="209"/>
      <c r="AC123" s="213"/>
    </row>
    <row r="124" spans="1:29">
      <c r="A124" s="192">
        <v>1115</v>
      </c>
      <c r="C124" s="192">
        <v>1</v>
      </c>
      <c r="I124" s="192"/>
      <c r="J124" s="192"/>
      <c r="K124" s="192"/>
      <c r="L124" s="203"/>
      <c r="M124" s="192"/>
      <c r="N124" s="204"/>
      <c r="O124" s="205">
        <v>0</v>
      </c>
      <c r="P124" s="205">
        <f>Table1[[#This Row],[unit cost]]</f>
        <v>0</v>
      </c>
      <c r="Q124" s="207"/>
      <c r="R124" s="192">
        <v>1</v>
      </c>
      <c r="S124" s="256">
        <f t="shared" si="15"/>
        <v>0.42</v>
      </c>
      <c r="T124" s="208">
        <f>Table1[[#This Row],[man minutes]]*Table1[[#This Row],[labor rate]]</f>
        <v>0</v>
      </c>
      <c r="U124" s="208">
        <f t="shared" si="18"/>
        <v>0</v>
      </c>
      <c r="V124" s="193">
        <f t="shared" si="17"/>
        <v>0.13</v>
      </c>
      <c r="W124" s="257">
        <f t="shared" si="16"/>
        <v>0.13</v>
      </c>
      <c r="X124" s="208">
        <f t="shared" si="19"/>
        <v>0</v>
      </c>
      <c r="Y124" s="208">
        <f t="shared" si="20"/>
        <v>0</v>
      </c>
      <c r="Z124" s="208">
        <f t="shared" si="21"/>
        <v>0</v>
      </c>
      <c r="AA124" s="210">
        <f>+Table1[[#This Row],[calculated sale price]]</f>
        <v>0</v>
      </c>
      <c r="AB124" s="209"/>
      <c r="AC124" s="213"/>
    </row>
    <row r="125" spans="1:29">
      <c r="A125" s="192">
        <v>1116</v>
      </c>
      <c r="C125" s="192">
        <v>1</v>
      </c>
      <c r="I125" s="192"/>
      <c r="J125" s="192"/>
      <c r="K125" s="192"/>
      <c r="L125" s="203"/>
      <c r="M125" s="192"/>
      <c r="N125" s="204"/>
      <c r="O125" s="205">
        <v>0</v>
      </c>
      <c r="P125" s="205">
        <f>Table1[[#This Row],[unit cost]]</f>
        <v>0</v>
      </c>
      <c r="Q125" s="207"/>
      <c r="R125" s="192">
        <v>1</v>
      </c>
      <c r="S125" s="256">
        <f t="shared" ref="S125:S188" si="22">$S$2</f>
        <v>0.42</v>
      </c>
      <c r="T125" s="208">
        <f>Table1[[#This Row],[man minutes]]*Table1[[#This Row],[labor rate]]</f>
        <v>0</v>
      </c>
      <c r="U125" s="208">
        <f t="shared" si="18"/>
        <v>0</v>
      </c>
      <c r="V125" s="193">
        <f t="shared" si="17"/>
        <v>0.13</v>
      </c>
      <c r="W125" s="257">
        <f t="shared" si="16"/>
        <v>0.13</v>
      </c>
      <c r="X125" s="208">
        <f t="shared" si="19"/>
        <v>0</v>
      </c>
      <c r="Y125" s="208">
        <f t="shared" si="20"/>
        <v>0</v>
      </c>
      <c r="Z125" s="208">
        <f t="shared" si="21"/>
        <v>0</v>
      </c>
      <c r="AA125" s="210">
        <f>+Table1[[#This Row],[calculated sale price]]</f>
        <v>0</v>
      </c>
      <c r="AB125" s="209"/>
      <c r="AC125" s="213"/>
    </row>
    <row r="126" spans="1:29">
      <c r="A126" s="192">
        <v>1117</v>
      </c>
      <c r="C126" s="192">
        <v>1</v>
      </c>
      <c r="I126" s="192"/>
      <c r="J126" s="192"/>
      <c r="K126" s="192"/>
      <c r="L126" s="203"/>
      <c r="M126" s="192"/>
      <c r="N126" s="204"/>
      <c r="O126" s="205">
        <v>0</v>
      </c>
      <c r="P126" s="205">
        <f>Table1[[#This Row],[unit cost]]</f>
        <v>0</v>
      </c>
      <c r="Q126" s="207"/>
      <c r="R126" s="192">
        <v>1</v>
      </c>
      <c r="S126" s="256">
        <f t="shared" si="22"/>
        <v>0.42</v>
      </c>
      <c r="T126" s="208">
        <f>Table1[[#This Row],[man minutes]]*Table1[[#This Row],[labor rate]]</f>
        <v>0</v>
      </c>
      <c r="U126" s="208">
        <f t="shared" si="18"/>
        <v>0</v>
      </c>
      <c r="V126" s="193">
        <f t="shared" si="17"/>
        <v>0.13</v>
      </c>
      <c r="W126" s="257">
        <f t="shared" ref="W126:W189" si="23">$W$2</f>
        <v>0.13</v>
      </c>
      <c r="X126" s="208">
        <f t="shared" si="19"/>
        <v>0</v>
      </c>
      <c r="Y126" s="208">
        <f t="shared" si="20"/>
        <v>0</v>
      </c>
      <c r="Z126" s="208">
        <f t="shared" si="21"/>
        <v>0</v>
      </c>
      <c r="AA126" s="210">
        <f>+Table1[[#This Row],[calculated sale price]]</f>
        <v>0</v>
      </c>
      <c r="AB126" s="209"/>
      <c r="AC126" s="213"/>
    </row>
    <row r="127" spans="1:29">
      <c r="A127" s="192">
        <v>1118</v>
      </c>
      <c r="C127" s="192">
        <v>1</v>
      </c>
      <c r="I127" s="192"/>
      <c r="J127" s="192"/>
      <c r="K127" s="192"/>
      <c r="L127" s="203"/>
      <c r="M127" s="192"/>
      <c r="N127" s="204"/>
      <c r="O127" s="205">
        <v>0</v>
      </c>
      <c r="P127" s="205">
        <f>Table1[[#This Row],[unit cost]]</f>
        <v>0</v>
      </c>
      <c r="Q127" s="207"/>
      <c r="R127" s="192">
        <v>1</v>
      </c>
      <c r="S127" s="256">
        <f t="shared" si="22"/>
        <v>0.42</v>
      </c>
      <c r="T127" s="208">
        <f>Table1[[#This Row],[man minutes]]*Table1[[#This Row],[labor rate]]</f>
        <v>0</v>
      </c>
      <c r="U127" s="208">
        <f t="shared" si="18"/>
        <v>0</v>
      </c>
      <c r="V127" s="193">
        <f t="shared" si="17"/>
        <v>0.13</v>
      </c>
      <c r="W127" s="257">
        <f t="shared" si="23"/>
        <v>0.13</v>
      </c>
      <c r="X127" s="208">
        <f t="shared" si="19"/>
        <v>0</v>
      </c>
      <c r="Y127" s="208">
        <f t="shared" si="20"/>
        <v>0</v>
      </c>
      <c r="Z127" s="208">
        <f t="shared" si="21"/>
        <v>0</v>
      </c>
      <c r="AA127" s="210">
        <f>+Table1[[#This Row],[calculated sale price]]</f>
        <v>0</v>
      </c>
      <c r="AB127" s="209"/>
      <c r="AC127" s="213"/>
    </row>
    <row r="128" spans="1:29">
      <c r="A128" s="192">
        <v>1119</v>
      </c>
      <c r="C128" s="192">
        <v>1</v>
      </c>
      <c r="I128" s="192"/>
      <c r="J128" s="192"/>
      <c r="K128" s="192"/>
      <c r="L128" s="203"/>
      <c r="M128" s="192"/>
      <c r="N128" s="204"/>
      <c r="O128" s="205">
        <v>0</v>
      </c>
      <c r="P128" s="205">
        <f>Table1[[#This Row],[unit cost]]</f>
        <v>0</v>
      </c>
      <c r="Q128" s="207"/>
      <c r="R128" s="192">
        <v>1</v>
      </c>
      <c r="S128" s="256">
        <f t="shared" si="22"/>
        <v>0.42</v>
      </c>
      <c r="T128" s="208">
        <f>Table1[[#This Row],[man minutes]]*Table1[[#This Row],[labor rate]]</f>
        <v>0</v>
      </c>
      <c r="U128" s="208">
        <f t="shared" si="18"/>
        <v>0</v>
      </c>
      <c r="V128" s="193">
        <f t="shared" si="17"/>
        <v>0.13</v>
      </c>
      <c r="W128" s="257">
        <f t="shared" si="23"/>
        <v>0.13</v>
      </c>
      <c r="X128" s="208">
        <f t="shared" si="19"/>
        <v>0</v>
      </c>
      <c r="Y128" s="208">
        <f t="shared" si="20"/>
        <v>0</v>
      </c>
      <c r="Z128" s="208">
        <f t="shared" si="21"/>
        <v>0</v>
      </c>
      <c r="AA128" s="210">
        <f>+Table1[[#This Row],[calculated sale price]]</f>
        <v>0</v>
      </c>
      <c r="AB128" s="209"/>
      <c r="AC128" s="213"/>
    </row>
    <row r="129" spans="1:29">
      <c r="A129" s="192">
        <v>1120</v>
      </c>
      <c r="C129" s="192">
        <v>1</v>
      </c>
      <c r="I129" s="192"/>
      <c r="J129" s="192"/>
      <c r="K129" s="192"/>
      <c r="L129" s="203"/>
      <c r="M129" s="192"/>
      <c r="N129" s="204"/>
      <c r="O129" s="205">
        <v>0</v>
      </c>
      <c r="P129" s="205">
        <f>Table1[[#This Row],[unit cost]]</f>
        <v>0</v>
      </c>
      <c r="Q129" s="207"/>
      <c r="R129" s="192">
        <v>1</v>
      </c>
      <c r="S129" s="256">
        <f t="shared" si="22"/>
        <v>0.42</v>
      </c>
      <c r="T129" s="208">
        <f>Table1[[#This Row],[man minutes]]*Table1[[#This Row],[labor rate]]</f>
        <v>0</v>
      </c>
      <c r="U129" s="208">
        <f t="shared" si="18"/>
        <v>0</v>
      </c>
      <c r="V129" s="193">
        <f t="shared" si="17"/>
        <v>0.13</v>
      </c>
      <c r="W129" s="257">
        <f t="shared" si="23"/>
        <v>0.13</v>
      </c>
      <c r="X129" s="208">
        <f t="shared" si="19"/>
        <v>0</v>
      </c>
      <c r="Y129" s="208">
        <f t="shared" si="20"/>
        <v>0</v>
      </c>
      <c r="Z129" s="208">
        <f t="shared" si="21"/>
        <v>0</v>
      </c>
      <c r="AA129" s="210">
        <f>+Table1[[#This Row],[calculated sale price]]</f>
        <v>0</v>
      </c>
      <c r="AB129" s="209"/>
      <c r="AC129" s="213"/>
    </row>
    <row r="130" spans="1:29">
      <c r="A130" s="192">
        <v>1121</v>
      </c>
      <c r="C130" s="192">
        <v>1</v>
      </c>
      <c r="I130" s="192"/>
      <c r="J130" s="192"/>
      <c r="K130" s="192"/>
      <c r="L130" s="203"/>
      <c r="M130" s="192"/>
      <c r="N130" s="204"/>
      <c r="O130" s="205">
        <v>0</v>
      </c>
      <c r="P130" s="205">
        <f>Table1[[#This Row],[unit cost]]</f>
        <v>0</v>
      </c>
      <c r="Q130" s="207"/>
      <c r="R130" s="192">
        <v>1</v>
      </c>
      <c r="S130" s="256">
        <f t="shared" si="22"/>
        <v>0.42</v>
      </c>
      <c r="T130" s="208">
        <f>Table1[[#This Row],[man minutes]]*Table1[[#This Row],[labor rate]]</f>
        <v>0</v>
      </c>
      <c r="U130" s="208">
        <f t="shared" si="18"/>
        <v>0</v>
      </c>
      <c r="V130" s="193">
        <f t="shared" si="17"/>
        <v>0.13</v>
      </c>
      <c r="W130" s="257">
        <f t="shared" si="23"/>
        <v>0.13</v>
      </c>
      <c r="X130" s="208">
        <f t="shared" si="19"/>
        <v>0</v>
      </c>
      <c r="Y130" s="208">
        <f t="shared" si="20"/>
        <v>0</v>
      </c>
      <c r="Z130" s="208">
        <f t="shared" si="21"/>
        <v>0</v>
      </c>
      <c r="AA130" s="210">
        <f>+Table1[[#This Row],[calculated sale price]]</f>
        <v>0</v>
      </c>
      <c r="AB130" s="209"/>
      <c r="AC130" s="213"/>
    </row>
    <row r="131" spans="1:29">
      <c r="A131" s="192">
        <v>1122</v>
      </c>
      <c r="C131" s="192">
        <v>1</v>
      </c>
      <c r="I131" s="192"/>
      <c r="J131" s="192"/>
      <c r="K131" s="192"/>
      <c r="L131" s="203"/>
      <c r="M131" s="192"/>
      <c r="N131" s="204"/>
      <c r="O131" s="205">
        <v>0</v>
      </c>
      <c r="P131" s="205">
        <f>Table1[[#This Row],[unit cost]]</f>
        <v>0</v>
      </c>
      <c r="Q131" s="207"/>
      <c r="R131" s="192">
        <v>1</v>
      </c>
      <c r="S131" s="256">
        <f t="shared" si="22"/>
        <v>0.42</v>
      </c>
      <c r="T131" s="208">
        <f>Table1[[#This Row],[man minutes]]*Table1[[#This Row],[labor rate]]</f>
        <v>0</v>
      </c>
      <c r="U131" s="208">
        <f t="shared" si="18"/>
        <v>0</v>
      </c>
      <c r="V131" s="193">
        <f t="shared" si="17"/>
        <v>0.13</v>
      </c>
      <c r="W131" s="257">
        <f t="shared" si="23"/>
        <v>0.13</v>
      </c>
      <c r="X131" s="208">
        <f t="shared" si="19"/>
        <v>0</v>
      </c>
      <c r="Y131" s="208">
        <f t="shared" si="20"/>
        <v>0</v>
      </c>
      <c r="Z131" s="208">
        <f t="shared" si="21"/>
        <v>0</v>
      </c>
      <c r="AA131" s="210">
        <f>+Table1[[#This Row],[calculated sale price]]</f>
        <v>0</v>
      </c>
      <c r="AB131" s="209"/>
      <c r="AC131" s="213"/>
    </row>
    <row r="132" spans="1:29">
      <c r="A132" s="192">
        <v>1123</v>
      </c>
      <c r="C132" s="192">
        <v>1</v>
      </c>
      <c r="I132" s="192"/>
      <c r="J132" s="192"/>
      <c r="K132" s="192"/>
      <c r="L132" s="203"/>
      <c r="M132" s="192"/>
      <c r="N132" s="204"/>
      <c r="O132" s="205">
        <v>0</v>
      </c>
      <c r="P132" s="205">
        <f>Table1[[#This Row],[unit cost]]</f>
        <v>0</v>
      </c>
      <c r="Q132" s="207"/>
      <c r="R132" s="192">
        <v>1</v>
      </c>
      <c r="S132" s="256">
        <f t="shared" si="22"/>
        <v>0.42</v>
      </c>
      <c r="T132" s="208">
        <f>Table1[[#This Row],[man minutes]]*Table1[[#This Row],[labor rate]]</f>
        <v>0</v>
      </c>
      <c r="U132" s="208">
        <f t="shared" si="18"/>
        <v>0</v>
      </c>
      <c r="V132" s="193">
        <f t="shared" si="17"/>
        <v>0.13</v>
      </c>
      <c r="W132" s="257">
        <f t="shared" si="23"/>
        <v>0.13</v>
      </c>
      <c r="X132" s="208">
        <f t="shared" si="19"/>
        <v>0</v>
      </c>
      <c r="Y132" s="208">
        <f t="shared" si="20"/>
        <v>0</v>
      </c>
      <c r="Z132" s="208">
        <f t="shared" si="21"/>
        <v>0</v>
      </c>
      <c r="AA132" s="210">
        <f>+Table1[[#This Row],[calculated sale price]]</f>
        <v>0</v>
      </c>
      <c r="AB132" s="209"/>
      <c r="AC132" s="213"/>
    </row>
    <row r="133" spans="1:29">
      <c r="A133" s="192">
        <v>1124</v>
      </c>
      <c r="C133" s="192">
        <v>1</v>
      </c>
      <c r="I133" s="192"/>
      <c r="J133" s="192"/>
      <c r="K133" s="192"/>
      <c r="L133" s="203"/>
      <c r="M133" s="192"/>
      <c r="N133" s="204"/>
      <c r="O133" s="205">
        <v>0</v>
      </c>
      <c r="P133" s="205">
        <f>Table1[[#This Row],[unit cost]]</f>
        <v>0</v>
      </c>
      <c r="Q133" s="207"/>
      <c r="R133" s="192">
        <v>1</v>
      </c>
      <c r="S133" s="256">
        <f t="shared" si="22"/>
        <v>0.42</v>
      </c>
      <c r="T133" s="208">
        <f>Table1[[#This Row],[man minutes]]*Table1[[#This Row],[labor rate]]</f>
        <v>0</v>
      </c>
      <c r="U133" s="208">
        <f t="shared" si="18"/>
        <v>0</v>
      </c>
      <c r="V133" s="193">
        <f t="shared" si="17"/>
        <v>0.13</v>
      </c>
      <c r="W133" s="257">
        <f t="shared" si="23"/>
        <v>0.13</v>
      </c>
      <c r="X133" s="208">
        <f t="shared" si="19"/>
        <v>0</v>
      </c>
      <c r="Y133" s="208">
        <f t="shared" si="20"/>
        <v>0</v>
      </c>
      <c r="Z133" s="208">
        <f t="shared" si="21"/>
        <v>0</v>
      </c>
      <c r="AA133" s="210">
        <f>+Table1[[#This Row],[calculated sale price]]</f>
        <v>0</v>
      </c>
      <c r="AB133" s="209"/>
      <c r="AC133" s="213"/>
    </row>
    <row r="134" spans="1:29">
      <c r="A134" s="192">
        <v>1125</v>
      </c>
      <c r="C134" s="192">
        <v>1</v>
      </c>
      <c r="I134" s="192"/>
      <c r="J134" s="192"/>
      <c r="K134" s="192"/>
      <c r="L134" s="203"/>
      <c r="M134" s="192"/>
      <c r="N134" s="204"/>
      <c r="O134" s="205">
        <v>0</v>
      </c>
      <c r="P134" s="205">
        <f>Table1[[#This Row],[unit cost]]</f>
        <v>0</v>
      </c>
      <c r="Q134" s="207"/>
      <c r="R134" s="192">
        <v>1</v>
      </c>
      <c r="S134" s="256">
        <f t="shared" si="22"/>
        <v>0.42</v>
      </c>
      <c r="T134" s="208">
        <f>Table1[[#This Row],[man minutes]]*Table1[[#This Row],[labor rate]]</f>
        <v>0</v>
      </c>
      <c r="U134" s="208">
        <f t="shared" si="18"/>
        <v>0</v>
      </c>
      <c r="V134" s="193">
        <f t="shared" si="17"/>
        <v>0.13</v>
      </c>
      <c r="W134" s="257">
        <f t="shared" si="23"/>
        <v>0.13</v>
      </c>
      <c r="X134" s="208">
        <f t="shared" si="19"/>
        <v>0</v>
      </c>
      <c r="Y134" s="208">
        <f t="shared" si="20"/>
        <v>0</v>
      </c>
      <c r="Z134" s="208">
        <f t="shared" si="21"/>
        <v>0</v>
      </c>
      <c r="AA134" s="210">
        <f>+Table1[[#This Row],[calculated sale price]]</f>
        <v>0</v>
      </c>
      <c r="AB134" s="209"/>
      <c r="AC134" s="213"/>
    </row>
    <row r="135" spans="1:29">
      <c r="A135" s="192">
        <v>1126</v>
      </c>
      <c r="C135" s="192">
        <v>1</v>
      </c>
      <c r="I135" s="192"/>
      <c r="J135" s="192"/>
      <c r="K135" s="192"/>
      <c r="L135" s="203"/>
      <c r="M135" s="192"/>
      <c r="N135" s="204"/>
      <c r="O135" s="205">
        <v>0</v>
      </c>
      <c r="P135" s="205">
        <f>Table1[[#This Row],[unit cost]]</f>
        <v>0</v>
      </c>
      <c r="Q135" s="207"/>
      <c r="R135" s="192">
        <v>1</v>
      </c>
      <c r="S135" s="256">
        <f t="shared" si="22"/>
        <v>0.42</v>
      </c>
      <c r="T135" s="208">
        <f>Table1[[#This Row],[man minutes]]*Table1[[#This Row],[labor rate]]</f>
        <v>0</v>
      </c>
      <c r="U135" s="208">
        <f t="shared" si="18"/>
        <v>0</v>
      </c>
      <c r="V135" s="193">
        <f t="shared" si="17"/>
        <v>0.13</v>
      </c>
      <c r="W135" s="257">
        <f t="shared" si="23"/>
        <v>0.13</v>
      </c>
      <c r="X135" s="208">
        <f t="shared" si="19"/>
        <v>0</v>
      </c>
      <c r="Y135" s="208">
        <f t="shared" si="20"/>
        <v>0</v>
      </c>
      <c r="Z135" s="208">
        <f t="shared" si="21"/>
        <v>0</v>
      </c>
      <c r="AA135" s="210">
        <f>+Table1[[#This Row],[calculated sale price]]</f>
        <v>0</v>
      </c>
      <c r="AB135" s="209"/>
      <c r="AC135" s="213"/>
    </row>
    <row r="136" spans="1:29">
      <c r="A136" s="192">
        <v>1127</v>
      </c>
      <c r="C136" s="192">
        <v>1</v>
      </c>
      <c r="I136" s="192"/>
      <c r="J136" s="192"/>
      <c r="K136" s="192"/>
      <c r="L136" s="203"/>
      <c r="M136" s="192"/>
      <c r="N136" s="204"/>
      <c r="O136" s="205">
        <v>0</v>
      </c>
      <c r="P136" s="205">
        <f>Table1[[#This Row],[unit cost]]</f>
        <v>0</v>
      </c>
      <c r="Q136" s="207"/>
      <c r="R136" s="192">
        <v>1</v>
      </c>
      <c r="S136" s="256">
        <f t="shared" si="22"/>
        <v>0.42</v>
      </c>
      <c r="T136" s="208">
        <f>Table1[[#This Row],[man minutes]]*Table1[[#This Row],[labor rate]]</f>
        <v>0</v>
      </c>
      <c r="U136" s="208">
        <f t="shared" si="18"/>
        <v>0</v>
      </c>
      <c r="V136" s="193">
        <f t="shared" si="17"/>
        <v>0.13</v>
      </c>
      <c r="W136" s="257">
        <f t="shared" si="23"/>
        <v>0.13</v>
      </c>
      <c r="X136" s="208">
        <f t="shared" si="19"/>
        <v>0</v>
      </c>
      <c r="Y136" s="208">
        <f t="shared" si="20"/>
        <v>0</v>
      </c>
      <c r="Z136" s="208">
        <f t="shared" si="21"/>
        <v>0</v>
      </c>
      <c r="AA136" s="210">
        <f>+Table1[[#This Row],[calculated sale price]]</f>
        <v>0</v>
      </c>
      <c r="AB136" s="209"/>
      <c r="AC136" s="213"/>
    </row>
    <row r="137" spans="1:29">
      <c r="A137" s="192">
        <v>1128</v>
      </c>
      <c r="C137" s="192">
        <v>1</v>
      </c>
      <c r="I137" s="192"/>
      <c r="J137" s="192"/>
      <c r="K137" s="192"/>
      <c r="L137" s="203"/>
      <c r="M137" s="192"/>
      <c r="N137" s="204"/>
      <c r="O137" s="205">
        <v>0</v>
      </c>
      <c r="P137" s="205">
        <f>Table1[[#This Row],[unit cost]]</f>
        <v>0</v>
      </c>
      <c r="Q137" s="207"/>
      <c r="R137" s="192">
        <v>1</v>
      </c>
      <c r="S137" s="256">
        <f t="shared" si="22"/>
        <v>0.42</v>
      </c>
      <c r="T137" s="208">
        <f>Table1[[#This Row],[man minutes]]*Table1[[#This Row],[labor rate]]</f>
        <v>0</v>
      </c>
      <c r="U137" s="208">
        <f t="shared" si="18"/>
        <v>0</v>
      </c>
      <c r="V137" s="193">
        <f t="shared" si="17"/>
        <v>0.13</v>
      </c>
      <c r="W137" s="257">
        <f t="shared" si="23"/>
        <v>0.13</v>
      </c>
      <c r="X137" s="208">
        <f t="shared" si="19"/>
        <v>0</v>
      </c>
      <c r="Y137" s="208">
        <f t="shared" si="20"/>
        <v>0</v>
      </c>
      <c r="Z137" s="208">
        <f t="shared" si="21"/>
        <v>0</v>
      </c>
      <c r="AA137" s="210">
        <f>+Table1[[#This Row],[calculated sale price]]</f>
        <v>0</v>
      </c>
      <c r="AB137" s="209"/>
      <c r="AC137" s="213"/>
    </row>
    <row r="138" spans="1:29">
      <c r="A138" s="192">
        <v>1129</v>
      </c>
      <c r="C138" s="192">
        <v>1</v>
      </c>
      <c r="I138" s="192"/>
      <c r="J138" s="192"/>
      <c r="K138" s="192"/>
      <c r="L138" s="203"/>
      <c r="M138" s="192"/>
      <c r="N138" s="204"/>
      <c r="O138" s="205">
        <v>0</v>
      </c>
      <c r="P138" s="205">
        <f>Table1[[#This Row],[unit cost]]</f>
        <v>0</v>
      </c>
      <c r="Q138" s="207"/>
      <c r="R138" s="192">
        <v>1</v>
      </c>
      <c r="S138" s="256">
        <f t="shared" si="22"/>
        <v>0.42</v>
      </c>
      <c r="T138" s="208">
        <f>Table1[[#This Row],[man minutes]]*Table1[[#This Row],[labor rate]]</f>
        <v>0</v>
      </c>
      <c r="U138" s="208">
        <f t="shared" si="18"/>
        <v>0</v>
      </c>
      <c r="V138" s="193">
        <f t="shared" si="17"/>
        <v>0.13</v>
      </c>
      <c r="W138" s="257">
        <f t="shared" si="23"/>
        <v>0.13</v>
      </c>
      <c r="X138" s="208">
        <f t="shared" si="19"/>
        <v>0</v>
      </c>
      <c r="Y138" s="208">
        <f t="shared" si="20"/>
        <v>0</v>
      </c>
      <c r="Z138" s="208">
        <f t="shared" si="21"/>
        <v>0</v>
      </c>
      <c r="AA138" s="210">
        <f>+Table1[[#This Row],[calculated sale price]]</f>
        <v>0</v>
      </c>
      <c r="AB138" s="209"/>
      <c r="AC138" s="213"/>
    </row>
    <row r="139" spans="1:29">
      <c r="A139" s="192">
        <v>1130</v>
      </c>
      <c r="C139" s="192">
        <v>1</v>
      </c>
      <c r="I139" s="192"/>
      <c r="J139" s="192"/>
      <c r="K139" s="192"/>
      <c r="L139" s="203"/>
      <c r="M139" s="192"/>
      <c r="N139" s="204"/>
      <c r="O139" s="205">
        <v>0</v>
      </c>
      <c r="P139" s="205">
        <f>Table1[[#This Row],[unit cost]]</f>
        <v>0</v>
      </c>
      <c r="Q139" s="207"/>
      <c r="R139" s="192">
        <v>1</v>
      </c>
      <c r="S139" s="256">
        <f t="shared" si="22"/>
        <v>0.42</v>
      </c>
      <c r="T139" s="208">
        <f>Table1[[#This Row],[man minutes]]*Table1[[#This Row],[labor rate]]</f>
        <v>0</v>
      </c>
      <c r="U139" s="208">
        <f t="shared" si="18"/>
        <v>0</v>
      </c>
      <c r="V139" s="193">
        <f t="shared" si="17"/>
        <v>0.13</v>
      </c>
      <c r="W139" s="257">
        <f t="shared" si="23"/>
        <v>0.13</v>
      </c>
      <c r="X139" s="208">
        <f t="shared" si="19"/>
        <v>0</v>
      </c>
      <c r="Y139" s="208">
        <f t="shared" si="20"/>
        <v>0</v>
      </c>
      <c r="Z139" s="208">
        <f t="shared" si="21"/>
        <v>0</v>
      </c>
      <c r="AA139" s="210">
        <f>+Table1[[#This Row],[calculated sale price]]</f>
        <v>0</v>
      </c>
      <c r="AB139" s="209"/>
      <c r="AC139" s="213"/>
    </row>
    <row r="140" spans="1:29">
      <c r="A140" s="192">
        <v>1131</v>
      </c>
      <c r="C140" s="192">
        <v>1</v>
      </c>
      <c r="I140" s="192"/>
      <c r="J140" s="192"/>
      <c r="K140" s="192"/>
      <c r="L140" s="203"/>
      <c r="M140" s="192"/>
      <c r="N140" s="204"/>
      <c r="O140" s="205">
        <v>0</v>
      </c>
      <c r="P140" s="205">
        <f>Table1[[#This Row],[unit cost]]</f>
        <v>0</v>
      </c>
      <c r="Q140" s="207"/>
      <c r="R140" s="192">
        <v>1</v>
      </c>
      <c r="S140" s="256">
        <f t="shared" si="22"/>
        <v>0.42</v>
      </c>
      <c r="T140" s="208">
        <f>Table1[[#This Row],[man minutes]]*Table1[[#This Row],[labor rate]]</f>
        <v>0</v>
      </c>
      <c r="U140" s="208">
        <f t="shared" si="18"/>
        <v>0</v>
      </c>
      <c r="V140" s="193">
        <f t="shared" si="17"/>
        <v>0.13</v>
      </c>
      <c r="W140" s="257">
        <f t="shared" si="23"/>
        <v>0.13</v>
      </c>
      <c r="X140" s="208">
        <f t="shared" si="19"/>
        <v>0</v>
      </c>
      <c r="Y140" s="208">
        <f t="shared" si="20"/>
        <v>0</v>
      </c>
      <c r="Z140" s="208">
        <f t="shared" si="21"/>
        <v>0</v>
      </c>
      <c r="AA140" s="210">
        <f>+Table1[[#This Row],[calculated sale price]]</f>
        <v>0</v>
      </c>
      <c r="AB140" s="209"/>
      <c r="AC140" s="213"/>
    </row>
    <row r="141" spans="1:29">
      <c r="A141" s="192">
        <v>1132</v>
      </c>
      <c r="C141" s="192">
        <v>1</v>
      </c>
      <c r="I141" s="192"/>
      <c r="J141" s="192"/>
      <c r="K141" s="192"/>
      <c r="L141" s="203"/>
      <c r="M141" s="192"/>
      <c r="N141" s="204"/>
      <c r="O141" s="205">
        <v>0</v>
      </c>
      <c r="P141" s="205">
        <f>Table1[[#This Row],[unit cost]]</f>
        <v>0</v>
      </c>
      <c r="Q141" s="207"/>
      <c r="R141" s="192">
        <v>1</v>
      </c>
      <c r="S141" s="256">
        <f t="shared" si="22"/>
        <v>0.42</v>
      </c>
      <c r="T141" s="208">
        <f>Table1[[#This Row],[man minutes]]*Table1[[#This Row],[labor rate]]</f>
        <v>0</v>
      </c>
      <c r="U141" s="208">
        <f t="shared" si="18"/>
        <v>0</v>
      </c>
      <c r="V141" s="193">
        <f t="shared" si="17"/>
        <v>0.13</v>
      </c>
      <c r="W141" s="257">
        <f t="shared" si="23"/>
        <v>0.13</v>
      </c>
      <c r="X141" s="208">
        <f t="shared" si="19"/>
        <v>0</v>
      </c>
      <c r="Y141" s="208">
        <f t="shared" si="20"/>
        <v>0</v>
      </c>
      <c r="Z141" s="208">
        <f t="shared" si="21"/>
        <v>0</v>
      </c>
      <c r="AA141" s="210">
        <f>+Table1[[#This Row],[calculated sale price]]</f>
        <v>0</v>
      </c>
      <c r="AB141" s="209"/>
      <c r="AC141" s="213"/>
    </row>
    <row r="142" spans="1:29">
      <c r="A142" s="192">
        <v>1133</v>
      </c>
      <c r="C142" s="192">
        <v>1</v>
      </c>
      <c r="I142" s="192"/>
      <c r="J142" s="192"/>
      <c r="K142" s="192"/>
      <c r="L142" s="203"/>
      <c r="M142" s="192"/>
      <c r="N142" s="204"/>
      <c r="O142" s="205">
        <v>0</v>
      </c>
      <c r="P142" s="205">
        <f>Table1[[#This Row],[unit cost]]</f>
        <v>0</v>
      </c>
      <c r="Q142" s="207"/>
      <c r="R142" s="192">
        <v>1</v>
      </c>
      <c r="S142" s="256">
        <f t="shared" si="22"/>
        <v>0.42</v>
      </c>
      <c r="T142" s="208">
        <f>Table1[[#This Row],[man minutes]]*Table1[[#This Row],[labor rate]]</f>
        <v>0</v>
      </c>
      <c r="U142" s="208">
        <f t="shared" si="18"/>
        <v>0</v>
      </c>
      <c r="V142" s="193">
        <f t="shared" si="17"/>
        <v>0.13</v>
      </c>
      <c r="W142" s="257">
        <f t="shared" si="23"/>
        <v>0.13</v>
      </c>
      <c r="X142" s="208">
        <f t="shared" si="19"/>
        <v>0</v>
      </c>
      <c r="Y142" s="208">
        <f t="shared" si="20"/>
        <v>0</v>
      </c>
      <c r="Z142" s="208">
        <f t="shared" si="21"/>
        <v>0</v>
      </c>
      <c r="AA142" s="210">
        <f>+Table1[[#This Row],[calculated sale price]]</f>
        <v>0</v>
      </c>
      <c r="AB142" s="209"/>
      <c r="AC142" s="213"/>
    </row>
    <row r="143" spans="1:29">
      <c r="A143" s="192">
        <v>1134</v>
      </c>
      <c r="C143" s="192">
        <v>1</v>
      </c>
      <c r="I143" s="192"/>
      <c r="J143" s="192"/>
      <c r="K143" s="192"/>
      <c r="L143" s="203"/>
      <c r="M143" s="192"/>
      <c r="N143" s="204"/>
      <c r="O143" s="205">
        <v>0</v>
      </c>
      <c r="P143" s="205">
        <f>Table1[[#This Row],[unit cost]]</f>
        <v>0</v>
      </c>
      <c r="Q143" s="207"/>
      <c r="R143" s="192">
        <v>1</v>
      </c>
      <c r="S143" s="256">
        <f t="shared" si="22"/>
        <v>0.42</v>
      </c>
      <c r="T143" s="208">
        <f>Table1[[#This Row],[man minutes]]*Table1[[#This Row],[labor rate]]</f>
        <v>0</v>
      </c>
      <c r="U143" s="208">
        <f t="shared" si="18"/>
        <v>0</v>
      </c>
      <c r="V143" s="193">
        <f t="shared" si="17"/>
        <v>0.13</v>
      </c>
      <c r="W143" s="257">
        <f t="shared" si="23"/>
        <v>0.13</v>
      </c>
      <c r="X143" s="208">
        <f t="shared" si="19"/>
        <v>0</v>
      </c>
      <c r="Y143" s="208">
        <f t="shared" si="20"/>
        <v>0</v>
      </c>
      <c r="Z143" s="208">
        <f t="shared" si="21"/>
        <v>0</v>
      </c>
      <c r="AA143" s="210">
        <f>+Table1[[#This Row],[calculated sale price]]</f>
        <v>0</v>
      </c>
      <c r="AB143" s="209"/>
      <c r="AC143" s="213"/>
    </row>
    <row r="144" spans="1:29">
      <c r="A144" s="192">
        <v>1135</v>
      </c>
      <c r="C144" s="192">
        <v>1</v>
      </c>
      <c r="I144" s="192"/>
      <c r="J144" s="192"/>
      <c r="K144" s="192"/>
      <c r="L144" s="203"/>
      <c r="M144" s="192"/>
      <c r="N144" s="204"/>
      <c r="O144" s="205">
        <v>0</v>
      </c>
      <c r="P144" s="205">
        <f>Table1[[#This Row],[unit cost]]</f>
        <v>0</v>
      </c>
      <c r="Q144" s="207"/>
      <c r="R144" s="192">
        <v>1</v>
      </c>
      <c r="S144" s="256">
        <f t="shared" si="22"/>
        <v>0.42</v>
      </c>
      <c r="T144" s="208">
        <f>Table1[[#This Row],[man minutes]]*Table1[[#This Row],[labor rate]]</f>
        <v>0</v>
      </c>
      <c r="U144" s="208">
        <f t="shared" si="18"/>
        <v>0</v>
      </c>
      <c r="V144" s="193">
        <f t="shared" ref="V144:V207" si="24">$V$2</f>
        <v>0.13</v>
      </c>
      <c r="W144" s="257">
        <f t="shared" si="23"/>
        <v>0.13</v>
      </c>
      <c r="X144" s="208">
        <f t="shared" si="19"/>
        <v>0</v>
      </c>
      <c r="Y144" s="208">
        <f t="shared" si="20"/>
        <v>0</v>
      </c>
      <c r="Z144" s="208">
        <f t="shared" si="21"/>
        <v>0</v>
      </c>
      <c r="AA144" s="210">
        <f>+Table1[[#This Row],[calculated sale price]]</f>
        <v>0</v>
      </c>
      <c r="AB144" s="209"/>
      <c r="AC144" s="213"/>
    </row>
    <row r="145" spans="1:29">
      <c r="A145" s="192">
        <v>1136</v>
      </c>
      <c r="C145" s="192">
        <v>1</v>
      </c>
      <c r="I145" s="192"/>
      <c r="J145" s="192"/>
      <c r="K145" s="192"/>
      <c r="L145" s="203"/>
      <c r="M145" s="192"/>
      <c r="N145" s="204"/>
      <c r="O145" s="205">
        <v>0</v>
      </c>
      <c r="P145" s="205">
        <f>Table1[[#This Row],[unit cost]]</f>
        <v>0</v>
      </c>
      <c r="Q145" s="207"/>
      <c r="R145" s="192">
        <v>1</v>
      </c>
      <c r="S145" s="256">
        <f t="shared" si="22"/>
        <v>0.42</v>
      </c>
      <c r="T145" s="208">
        <f>Table1[[#This Row],[man minutes]]*Table1[[#This Row],[labor rate]]</f>
        <v>0</v>
      </c>
      <c r="U145" s="208">
        <f t="shared" si="18"/>
        <v>0</v>
      </c>
      <c r="V145" s="193">
        <f t="shared" si="24"/>
        <v>0.13</v>
      </c>
      <c r="W145" s="257">
        <f t="shared" si="23"/>
        <v>0.13</v>
      </c>
      <c r="X145" s="208">
        <f t="shared" si="19"/>
        <v>0</v>
      </c>
      <c r="Y145" s="208">
        <f t="shared" si="20"/>
        <v>0</v>
      </c>
      <c r="Z145" s="208">
        <f t="shared" si="21"/>
        <v>0</v>
      </c>
      <c r="AA145" s="210">
        <f>+Table1[[#This Row],[calculated sale price]]</f>
        <v>0</v>
      </c>
      <c r="AB145" s="209"/>
      <c r="AC145" s="213"/>
    </row>
    <row r="146" spans="1:29">
      <c r="A146" s="192">
        <v>1137</v>
      </c>
      <c r="C146" s="192">
        <v>1</v>
      </c>
      <c r="I146" s="192"/>
      <c r="J146" s="192"/>
      <c r="K146" s="192"/>
      <c r="L146" s="203"/>
      <c r="M146" s="192"/>
      <c r="N146" s="204"/>
      <c r="O146" s="205">
        <v>0</v>
      </c>
      <c r="P146" s="205">
        <f>Table1[[#This Row],[unit cost]]</f>
        <v>0</v>
      </c>
      <c r="Q146" s="207"/>
      <c r="R146" s="192">
        <v>1</v>
      </c>
      <c r="S146" s="256">
        <f t="shared" si="22"/>
        <v>0.42</v>
      </c>
      <c r="T146" s="208">
        <f>Table1[[#This Row],[man minutes]]*Table1[[#This Row],[labor rate]]</f>
        <v>0</v>
      </c>
      <c r="U146" s="208">
        <f t="shared" si="18"/>
        <v>0</v>
      </c>
      <c r="V146" s="193">
        <f t="shared" si="24"/>
        <v>0.13</v>
      </c>
      <c r="W146" s="257">
        <f t="shared" si="23"/>
        <v>0.13</v>
      </c>
      <c r="X146" s="208">
        <f t="shared" si="19"/>
        <v>0</v>
      </c>
      <c r="Y146" s="208">
        <f t="shared" si="20"/>
        <v>0</v>
      </c>
      <c r="Z146" s="208">
        <f t="shared" si="21"/>
        <v>0</v>
      </c>
      <c r="AA146" s="210">
        <f>+Table1[[#This Row],[calculated sale price]]</f>
        <v>0</v>
      </c>
      <c r="AB146" s="209"/>
      <c r="AC146" s="213"/>
    </row>
    <row r="147" spans="1:29">
      <c r="A147" s="192">
        <v>1138</v>
      </c>
      <c r="C147" s="192">
        <v>1</v>
      </c>
      <c r="I147" s="192"/>
      <c r="J147" s="192"/>
      <c r="K147" s="192"/>
      <c r="L147" s="203"/>
      <c r="M147" s="192"/>
      <c r="N147" s="204"/>
      <c r="O147" s="205">
        <v>0</v>
      </c>
      <c r="P147" s="205">
        <f>Table1[[#This Row],[unit cost]]</f>
        <v>0</v>
      </c>
      <c r="Q147" s="207"/>
      <c r="R147" s="192">
        <v>1</v>
      </c>
      <c r="S147" s="256">
        <f t="shared" si="22"/>
        <v>0.42</v>
      </c>
      <c r="T147" s="208">
        <f>Table1[[#This Row],[man minutes]]*Table1[[#This Row],[labor rate]]</f>
        <v>0</v>
      </c>
      <c r="U147" s="208">
        <f t="shared" si="18"/>
        <v>0</v>
      </c>
      <c r="V147" s="193">
        <f t="shared" si="24"/>
        <v>0.13</v>
      </c>
      <c r="W147" s="257">
        <f t="shared" si="23"/>
        <v>0.13</v>
      </c>
      <c r="X147" s="208">
        <f t="shared" si="19"/>
        <v>0</v>
      </c>
      <c r="Y147" s="208">
        <f t="shared" si="20"/>
        <v>0</v>
      </c>
      <c r="Z147" s="208">
        <f t="shared" si="21"/>
        <v>0</v>
      </c>
      <c r="AA147" s="210">
        <f>+Table1[[#This Row],[calculated sale price]]</f>
        <v>0</v>
      </c>
      <c r="AB147" s="209"/>
      <c r="AC147" s="213"/>
    </row>
    <row r="148" spans="1:29">
      <c r="A148" s="192">
        <v>1139</v>
      </c>
      <c r="C148" s="192">
        <v>1</v>
      </c>
      <c r="I148" s="192"/>
      <c r="J148" s="192"/>
      <c r="K148" s="192"/>
      <c r="L148" s="203"/>
      <c r="M148" s="192"/>
      <c r="N148" s="204"/>
      <c r="O148" s="205">
        <v>0</v>
      </c>
      <c r="P148" s="205">
        <f>Table1[[#This Row],[unit cost]]</f>
        <v>0</v>
      </c>
      <c r="Q148" s="207"/>
      <c r="R148" s="192">
        <v>1</v>
      </c>
      <c r="S148" s="256">
        <f t="shared" si="22"/>
        <v>0.42</v>
      </c>
      <c r="T148" s="208">
        <f>Table1[[#This Row],[man minutes]]*Table1[[#This Row],[labor rate]]</f>
        <v>0</v>
      </c>
      <c r="U148" s="208">
        <f t="shared" si="18"/>
        <v>0</v>
      </c>
      <c r="V148" s="193">
        <f t="shared" si="24"/>
        <v>0.13</v>
      </c>
      <c r="W148" s="257">
        <f t="shared" si="23"/>
        <v>0.13</v>
      </c>
      <c r="X148" s="208">
        <f t="shared" si="19"/>
        <v>0</v>
      </c>
      <c r="Y148" s="208">
        <f t="shared" si="20"/>
        <v>0</v>
      </c>
      <c r="Z148" s="208">
        <f t="shared" si="21"/>
        <v>0</v>
      </c>
      <c r="AA148" s="210">
        <f>+Table1[[#This Row],[calculated sale price]]</f>
        <v>0</v>
      </c>
      <c r="AB148" s="209"/>
      <c r="AC148" s="213"/>
    </row>
    <row r="149" spans="1:29">
      <c r="A149" s="192">
        <v>1140</v>
      </c>
      <c r="C149" s="192">
        <v>1</v>
      </c>
      <c r="I149" s="192"/>
      <c r="J149" s="192"/>
      <c r="K149" s="192"/>
      <c r="L149" s="203"/>
      <c r="M149" s="192"/>
      <c r="N149" s="204"/>
      <c r="O149" s="205">
        <v>0</v>
      </c>
      <c r="P149" s="205">
        <f>Table1[[#This Row],[unit cost]]</f>
        <v>0</v>
      </c>
      <c r="Q149" s="207"/>
      <c r="R149" s="192">
        <v>1</v>
      </c>
      <c r="S149" s="256">
        <f t="shared" si="22"/>
        <v>0.42</v>
      </c>
      <c r="T149" s="208">
        <f>Table1[[#This Row],[man minutes]]*Table1[[#This Row],[labor rate]]</f>
        <v>0</v>
      </c>
      <c r="U149" s="208">
        <f t="shared" si="18"/>
        <v>0</v>
      </c>
      <c r="V149" s="193">
        <f t="shared" si="24"/>
        <v>0.13</v>
      </c>
      <c r="W149" s="257">
        <f t="shared" si="23"/>
        <v>0.13</v>
      </c>
      <c r="X149" s="208">
        <f t="shared" si="19"/>
        <v>0</v>
      </c>
      <c r="Y149" s="208">
        <f t="shared" si="20"/>
        <v>0</v>
      </c>
      <c r="Z149" s="208">
        <f t="shared" si="21"/>
        <v>0</v>
      </c>
      <c r="AA149" s="210">
        <f>+Table1[[#This Row],[calculated sale price]]</f>
        <v>0</v>
      </c>
      <c r="AB149" s="209"/>
      <c r="AC149" s="213"/>
    </row>
    <row r="150" spans="1:29">
      <c r="A150" s="192">
        <v>1141</v>
      </c>
      <c r="C150" s="192">
        <v>1</v>
      </c>
      <c r="I150" s="192"/>
      <c r="J150" s="192"/>
      <c r="K150" s="192"/>
      <c r="L150" s="203"/>
      <c r="M150" s="192"/>
      <c r="N150" s="204"/>
      <c r="O150" s="205">
        <v>0</v>
      </c>
      <c r="P150" s="205">
        <f>Table1[[#This Row],[unit cost]]</f>
        <v>0</v>
      </c>
      <c r="Q150" s="207"/>
      <c r="R150" s="192">
        <v>1</v>
      </c>
      <c r="S150" s="256">
        <f t="shared" si="22"/>
        <v>0.42</v>
      </c>
      <c r="T150" s="208">
        <f>Table1[[#This Row],[man minutes]]*Table1[[#This Row],[labor rate]]</f>
        <v>0</v>
      </c>
      <c r="U150" s="208">
        <f t="shared" si="18"/>
        <v>0</v>
      </c>
      <c r="V150" s="193">
        <f t="shared" si="24"/>
        <v>0.13</v>
      </c>
      <c r="W150" s="257">
        <f t="shared" si="23"/>
        <v>0.13</v>
      </c>
      <c r="X150" s="208">
        <f t="shared" si="19"/>
        <v>0</v>
      </c>
      <c r="Y150" s="208">
        <f t="shared" si="20"/>
        <v>0</v>
      </c>
      <c r="Z150" s="208">
        <f t="shared" si="21"/>
        <v>0</v>
      </c>
      <c r="AA150" s="210">
        <f>+Table1[[#This Row],[calculated sale price]]</f>
        <v>0</v>
      </c>
      <c r="AB150" s="209"/>
      <c r="AC150" s="213"/>
    </row>
    <row r="151" spans="1:29">
      <c r="A151" s="192">
        <v>1142</v>
      </c>
      <c r="C151" s="192">
        <v>1</v>
      </c>
      <c r="I151" s="192"/>
      <c r="J151" s="192"/>
      <c r="K151" s="192"/>
      <c r="L151" s="203"/>
      <c r="M151" s="192"/>
      <c r="N151" s="204"/>
      <c r="O151" s="205">
        <v>0</v>
      </c>
      <c r="P151" s="205">
        <f>Table1[[#This Row],[unit cost]]</f>
        <v>0</v>
      </c>
      <c r="Q151" s="207"/>
      <c r="R151" s="192">
        <v>1</v>
      </c>
      <c r="S151" s="256">
        <f t="shared" si="22"/>
        <v>0.42</v>
      </c>
      <c r="T151" s="208">
        <f>Table1[[#This Row],[man minutes]]*Table1[[#This Row],[labor rate]]</f>
        <v>0</v>
      </c>
      <c r="U151" s="208">
        <f t="shared" si="18"/>
        <v>0</v>
      </c>
      <c r="V151" s="193">
        <f t="shared" si="24"/>
        <v>0.13</v>
      </c>
      <c r="W151" s="257">
        <f t="shared" si="23"/>
        <v>0.13</v>
      </c>
      <c r="X151" s="208">
        <f t="shared" si="19"/>
        <v>0</v>
      </c>
      <c r="Y151" s="208">
        <f t="shared" si="20"/>
        <v>0</v>
      </c>
      <c r="Z151" s="208">
        <f t="shared" si="21"/>
        <v>0</v>
      </c>
      <c r="AA151" s="210">
        <f>+Table1[[#This Row],[calculated sale price]]</f>
        <v>0</v>
      </c>
      <c r="AB151" s="209"/>
      <c r="AC151" s="213"/>
    </row>
    <row r="152" spans="1:29">
      <c r="A152" s="192">
        <v>1143</v>
      </c>
      <c r="C152" s="192">
        <v>1</v>
      </c>
      <c r="I152" s="192"/>
      <c r="J152" s="192"/>
      <c r="K152" s="192"/>
      <c r="L152" s="203"/>
      <c r="M152" s="192"/>
      <c r="N152" s="204"/>
      <c r="O152" s="205">
        <v>0</v>
      </c>
      <c r="P152" s="205">
        <f>Table1[[#This Row],[unit cost]]</f>
        <v>0</v>
      </c>
      <c r="Q152" s="207"/>
      <c r="R152" s="192">
        <v>1</v>
      </c>
      <c r="S152" s="256">
        <f t="shared" si="22"/>
        <v>0.42</v>
      </c>
      <c r="T152" s="208">
        <f>Table1[[#This Row],[man minutes]]*Table1[[#This Row],[labor rate]]</f>
        <v>0</v>
      </c>
      <c r="U152" s="208">
        <f t="shared" ref="U152:U215" si="25">P152+T152</f>
        <v>0</v>
      </c>
      <c r="V152" s="193">
        <f t="shared" si="24"/>
        <v>0.13</v>
      </c>
      <c r="W152" s="257">
        <f t="shared" si="23"/>
        <v>0.13</v>
      </c>
      <c r="X152" s="208">
        <f t="shared" ref="X152:X215" si="26">P152*(1+V152)</f>
        <v>0</v>
      </c>
      <c r="Y152" s="208">
        <f t="shared" ref="Y152:Y215" si="27">T152+(T152*W152)</f>
        <v>0</v>
      </c>
      <c r="Z152" s="208">
        <f t="shared" ref="Z152:Z215" si="28">IFERROR(ROUNDUP(X152+Y152,2)," ")</f>
        <v>0</v>
      </c>
      <c r="AA152" s="210">
        <f>+Table1[[#This Row],[calculated sale price]]</f>
        <v>0</v>
      </c>
      <c r="AB152" s="209"/>
      <c r="AC152" s="213"/>
    </row>
    <row r="153" spans="1:29">
      <c r="A153" s="192">
        <v>1144</v>
      </c>
      <c r="C153" s="192">
        <v>1</v>
      </c>
      <c r="I153" s="192"/>
      <c r="J153" s="192"/>
      <c r="K153" s="192"/>
      <c r="L153" s="203"/>
      <c r="M153" s="192"/>
      <c r="N153" s="204"/>
      <c r="O153" s="205">
        <v>0</v>
      </c>
      <c r="P153" s="205">
        <f>Table1[[#This Row],[unit cost]]</f>
        <v>0</v>
      </c>
      <c r="Q153" s="207"/>
      <c r="R153" s="192">
        <v>1</v>
      </c>
      <c r="S153" s="256">
        <f t="shared" si="22"/>
        <v>0.42</v>
      </c>
      <c r="T153" s="208">
        <f>Table1[[#This Row],[man minutes]]*Table1[[#This Row],[labor rate]]</f>
        <v>0</v>
      </c>
      <c r="U153" s="208">
        <f t="shared" si="25"/>
        <v>0</v>
      </c>
      <c r="V153" s="193">
        <f t="shared" si="24"/>
        <v>0.13</v>
      </c>
      <c r="W153" s="257">
        <f t="shared" si="23"/>
        <v>0.13</v>
      </c>
      <c r="X153" s="208">
        <f t="shared" si="26"/>
        <v>0</v>
      </c>
      <c r="Y153" s="208">
        <f t="shared" si="27"/>
        <v>0</v>
      </c>
      <c r="Z153" s="208">
        <f t="shared" si="28"/>
        <v>0</v>
      </c>
      <c r="AA153" s="210">
        <f>+Table1[[#This Row],[calculated sale price]]</f>
        <v>0</v>
      </c>
      <c r="AB153" s="209"/>
      <c r="AC153" s="213"/>
    </row>
    <row r="154" spans="1:29">
      <c r="A154" s="192">
        <v>1145</v>
      </c>
      <c r="C154" s="192">
        <v>1</v>
      </c>
      <c r="I154" s="192"/>
      <c r="J154" s="192"/>
      <c r="K154" s="192"/>
      <c r="L154" s="203"/>
      <c r="M154" s="192"/>
      <c r="N154" s="204"/>
      <c r="O154" s="205">
        <v>0</v>
      </c>
      <c r="P154" s="205">
        <f>Table1[[#This Row],[unit cost]]</f>
        <v>0</v>
      </c>
      <c r="Q154" s="207"/>
      <c r="R154" s="192">
        <v>1</v>
      </c>
      <c r="S154" s="256">
        <f t="shared" si="22"/>
        <v>0.42</v>
      </c>
      <c r="T154" s="208">
        <f>Table1[[#This Row],[man minutes]]*Table1[[#This Row],[labor rate]]</f>
        <v>0</v>
      </c>
      <c r="U154" s="208">
        <f t="shared" si="25"/>
        <v>0</v>
      </c>
      <c r="V154" s="193">
        <f t="shared" si="24"/>
        <v>0.13</v>
      </c>
      <c r="W154" s="257">
        <f t="shared" si="23"/>
        <v>0.13</v>
      </c>
      <c r="X154" s="208">
        <f t="shared" si="26"/>
        <v>0</v>
      </c>
      <c r="Y154" s="208">
        <f t="shared" si="27"/>
        <v>0</v>
      </c>
      <c r="Z154" s="208">
        <f t="shared" si="28"/>
        <v>0</v>
      </c>
      <c r="AA154" s="210">
        <f>+Table1[[#This Row],[calculated sale price]]</f>
        <v>0</v>
      </c>
      <c r="AB154" s="209"/>
      <c r="AC154" s="213"/>
    </row>
    <row r="155" spans="1:29">
      <c r="A155" s="192">
        <v>1146</v>
      </c>
      <c r="C155" s="192">
        <v>1</v>
      </c>
      <c r="I155" s="192"/>
      <c r="J155" s="192"/>
      <c r="K155" s="192"/>
      <c r="L155" s="203"/>
      <c r="M155" s="192"/>
      <c r="N155" s="204"/>
      <c r="O155" s="205">
        <v>0</v>
      </c>
      <c r="P155" s="205">
        <f>Table1[[#This Row],[unit cost]]</f>
        <v>0</v>
      </c>
      <c r="Q155" s="207"/>
      <c r="R155" s="192">
        <v>1</v>
      </c>
      <c r="S155" s="256">
        <f t="shared" si="22"/>
        <v>0.42</v>
      </c>
      <c r="T155" s="208">
        <f>Table1[[#This Row],[man minutes]]*Table1[[#This Row],[labor rate]]</f>
        <v>0</v>
      </c>
      <c r="U155" s="208">
        <f t="shared" si="25"/>
        <v>0</v>
      </c>
      <c r="V155" s="193">
        <f t="shared" si="24"/>
        <v>0.13</v>
      </c>
      <c r="W155" s="257">
        <f t="shared" si="23"/>
        <v>0.13</v>
      </c>
      <c r="X155" s="208">
        <f t="shared" si="26"/>
        <v>0</v>
      </c>
      <c r="Y155" s="208">
        <f t="shared" si="27"/>
        <v>0</v>
      </c>
      <c r="Z155" s="208">
        <f t="shared" si="28"/>
        <v>0</v>
      </c>
      <c r="AA155" s="210">
        <f>+Table1[[#This Row],[calculated sale price]]</f>
        <v>0</v>
      </c>
      <c r="AB155" s="209"/>
      <c r="AC155" s="213"/>
    </row>
    <row r="156" spans="1:29">
      <c r="A156" s="192">
        <v>1147</v>
      </c>
      <c r="C156" s="192">
        <v>1</v>
      </c>
      <c r="I156" s="192"/>
      <c r="J156" s="192"/>
      <c r="K156" s="192"/>
      <c r="L156" s="203"/>
      <c r="M156" s="192"/>
      <c r="N156" s="204"/>
      <c r="O156" s="205">
        <v>0</v>
      </c>
      <c r="P156" s="205">
        <f>Table1[[#This Row],[unit cost]]</f>
        <v>0</v>
      </c>
      <c r="Q156" s="207"/>
      <c r="R156" s="192">
        <v>1</v>
      </c>
      <c r="S156" s="256">
        <f t="shared" si="22"/>
        <v>0.42</v>
      </c>
      <c r="T156" s="208">
        <f>Table1[[#This Row],[man minutes]]*Table1[[#This Row],[labor rate]]</f>
        <v>0</v>
      </c>
      <c r="U156" s="208">
        <f t="shared" si="25"/>
        <v>0</v>
      </c>
      <c r="V156" s="193">
        <f t="shared" si="24"/>
        <v>0.13</v>
      </c>
      <c r="W156" s="257">
        <f t="shared" si="23"/>
        <v>0.13</v>
      </c>
      <c r="X156" s="208">
        <f t="shared" si="26"/>
        <v>0</v>
      </c>
      <c r="Y156" s="208">
        <f t="shared" si="27"/>
        <v>0</v>
      </c>
      <c r="Z156" s="208">
        <f t="shared" si="28"/>
        <v>0</v>
      </c>
      <c r="AA156" s="210">
        <f>+Table1[[#This Row],[calculated sale price]]</f>
        <v>0</v>
      </c>
      <c r="AB156" s="209"/>
      <c r="AC156" s="213"/>
    </row>
    <row r="157" spans="1:29">
      <c r="A157" s="192">
        <v>1148</v>
      </c>
      <c r="C157" s="192">
        <v>1</v>
      </c>
      <c r="I157" s="192"/>
      <c r="J157" s="192"/>
      <c r="K157" s="192"/>
      <c r="L157" s="203"/>
      <c r="M157" s="192"/>
      <c r="N157" s="204"/>
      <c r="O157" s="205">
        <v>0</v>
      </c>
      <c r="P157" s="205">
        <f>Table1[[#This Row],[unit cost]]</f>
        <v>0</v>
      </c>
      <c r="Q157" s="207"/>
      <c r="R157" s="192">
        <v>1</v>
      </c>
      <c r="S157" s="256">
        <f t="shared" si="22"/>
        <v>0.42</v>
      </c>
      <c r="T157" s="208">
        <f>Table1[[#This Row],[man minutes]]*Table1[[#This Row],[labor rate]]</f>
        <v>0</v>
      </c>
      <c r="U157" s="208">
        <f t="shared" si="25"/>
        <v>0</v>
      </c>
      <c r="V157" s="193">
        <f t="shared" si="24"/>
        <v>0.13</v>
      </c>
      <c r="W157" s="257">
        <f t="shared" si="23"/>
        <v>0.13</v>
      </c>
      <c r="X157" s="208">
        <f t="shared" si="26"/>
        <v>0</v>
      </c>
      <c r="Y157" s="208">
        <f t="shared" si="27"/>
        <v>0</v>
      </c>
      <c r="Z157" s="208">
        <f t="shared" si="28"/>
        <v>0</v>
      </c>
      <c r="AA157" s="210">
        <f>+Table1[[#This Row],[calculated sale price]]</f>
        <v>0</v>
      </c>
      <c r="AB157" s="209"/>
      <c r="AC157" s="213"/>
    </row>
    <row r="158" spans="1:29">
      <c r="A158" s="192">
        <v>1149</v>
      </c>
      <c r="C158" s="192">
        <v>1</v>
      </c>
      <c r="I158" s="192"/>
      <c r="J158" s="192"/>
      <c r="K158" s="192"/>
      <c r="L158" s="203"/>
      <c r="M158" s="192"/>
      <c r="N158" s="204"/>
      <c r="O158" s="205">
        <v>0</v>
      </c>
      <c r="P158" s="205">
        <f>Table1[[#This Row],[unit cost]]</f>
        <v>0</v>
      </c>
      <c r="Q158" s="207"/>
      <c r="R158" s="192">
        <v>1</v>
      </c>
      <c r="S158" s="256">
        <f t="shared" si="22"/>
        <v>0.42</v>
      </c>
      <c r="T158" s="208">
        <f>Table1[[#This Row],[man minutes]]*Table1[[#This Row],[labor rate]]</f>
        <v>0</v>
      </c>
      <c r="U158" s="208">
        <f t="shared" si="25"/>
        <v>0</v>
      </c>
      <c r="V158" s="193">
        <f t="shared" si="24"/>
        <v>0.13</v>
      </c>
      <c r="W158" s="257">
        <f t="shared" si="23"/>
        <v>0.13</v>
      </c>
      <c r="X158" s="208">
        <f t="shared" si="26"/>
        <v>0</v>
      </c>
      <c r="Y158" s="208">
        <f t="shared" si="27"/>
        <v>0</v>
      </c>
      <c r="Z158" s="208">
        <f t="shared" si="28"/>
        <v>0</v>
      </c>
      <c r="AA158" s="210">
        <f>+Table1[[#This Row],[calculated sale price]]</f>
        <v>0</v>
      </c>
      <c r="AB158" s="209"/>
      <c r="AC158" s="213"/>
    </row>
    <row r="159" spans="1:29">
      <c r="A159" s="192">
        <v>1150</v>
      </c>
      <c r="C159" s="192">
        <v>1</v>
      </c>
      <c r="I159" s="192"/>
      <c r="J159" s="192"/>
      <c r="K159" s="192"/>
      <c r="L159" s="203"/>
      <c r="M159" s="192"/>
      <c r="N159" s="204"/>
      <c r="O159" s="205">
        <v>0</v>
      </c>
      <c r="P159" s="205">
        <f>Table1[[#This Row],[unit cost]]</f>
        <v>0</v>
      </c>
      <c r="Q159" s="207"/>
      <c r="R159" s="192">
        <v>1</v>
      </c>
      <c r="S159" s="256">
        <f t="shared" si="22"/>
        <v>0.42</v>
      </c>
      <c r="T159" s="208">
        <f>Table1[[#This Row],[man minutes]]*Table1[[#This Row],[labor rate]]</f>
        <v>0</v>
      </c>
      <c r="U159" s="208">
        <f t="shared" si="25"/>
        <v>0</v>
      </c>
      <c r="V159" s="193">
        <f t="shared" si="24"/>
        <v>0.13</v>
      </c>
      <c r="W159" s="257">
        <f t="shared" si="23"/>
        <v>0.13</v>
      </c>
      <c r="X159" s="208">
        <f t="shared" si="26"/>
        <v>0</v>
      </c>
      <c r="Y159" s="208">
        <f t="shared" si="27"/>
        <v>0</v>
      </c>
      <c r="Z159" s="208">
        <f t="shared" si="28"/>
        <v>0</v>
      </c>
      <c r="AA159" s="210">
        <f>+Table1[[#This Row],[calculated sale price]]</f>
        <v>0</v>
      </c>
      <c r="AB159" s="209"/>
      <c r="AC159" s="213"/>
    </row>
    <row r="160" spans="1:29">
      <c r="A160" s="192">
        <v>1151</v>
      </c>
      <c r="C160" s="192">
        <v>1</v>
      </c>
      <c r="I160" s="192"/>
      <c r="J160" s="192"/>
      <c r="K160" s="192"/>
      <c r="L160" s="203"/>
      <c r="M160" s="192"/>
      <c r="N160" s="204"/>
      <c r="O160" s="205">
        <v>0</v>
      </c>
      <c r="P160" s="205">
        <f>Table1[[#This Row],[unit cost]]</f>
        <v>0</v>
      </c>
      <c r="Q160" s="207"/>
      <c r="R160" s="192">
        <v>1</v>
      </c>
      <c r="S160" s="256">
        <f t="shared" si="22"/>
        <v>0.42</v>
      </c>
      <c r="T160" s="208">
        <f>Table1[[#This Row],[man minutes]]*Table1[[#This Row],[labor rate]]</f>
        <v>0</v>
      </c>
      <c r="U160" s="208">
        <f t="shared" si="25"/>
        <v>0</v>
      </c>
      <c r="V160" s="193">
        <f t="shared" si="24"/>
        <v>0.13</v>
      </c>
      <c r="W160" s="257">
        <f t="shared" si="23"/>
        <v>0.13</v>
      </c>
      <c r="X160" s="208">
        <f t="shared" si="26"/>
        <v>0</v>
      </c>
      <c r="Y160" s="208">
        <f t="shared" si="27"/>
        <v>0</v>
      </c>
      <c r="Z160" s="208">
        <f t="shared" si="28"/>
        <v>0</v>
      </c>
      <c r="AA160" s="210">
        <f>+Table1[[#This Row],[calculated sale price]]</f>
        <v>0</v>
      </c>
      <c r="AB160" s="209"/>
      <c r="AC160" s="213"/>
    </row>
    <row r="161" spans="1:29">
      <c r="A161" s="192">
        <v>1152</v>
      </c>
      <c r="C161" s="192">
        <v>1</v>
      </c>
      <c r="I161" s="192"/>
      <c r="J161" s="192"/>
      <c r="K161" s="192"/>
      <c r="L161" s="203"/>
      <c r="M161" s="192"/>
      <c r="N161" s="204"/>
      <c r="O161" s="205">
        <v>0</v>
      </c>
      <c r="P161" s="205">
        <f>Table1[[#This Row],[unit cost]]</f>
        <v>0</v>
      </c>
      <c r="Q161" s="207"/>
      <c r="R161" s="192">
        <v>1</v>
      </c>
      <c r="S161" s="256">
        <f t="shared" si="22"/>
        <v>0.42</v>
      </c>
      <c r="T161" s="208">
        <f>Table1[[#This Row],[man minutes]]*Table1[[#This Row],[labor rate]]</f>
        <v>0</v>
      </c>
      <c r="U161" s="208">
        <f t="shared" si="25"/>
        <v>0</v>
      </c>
      <c r="V161" s="193">
        <f t="shared" si="24"/>
        <v>0.13</v>
      </c>
      <c r="W161" s="257">
        <f t="shared" si="23"/>
        <v>0.13</v>
      </c>
      <c r="X161" s="208">
        <f t="shared" si="26"/>
        <v>0</v>
      </c>
      <c r="Y161" s="208">
        <f t="shared" si="27"/>
        <v>0</v>
      </c>
      <c r="Z161" s="208">
        <f t="shared" si="28"/>
        <v>0</v>
      </c>
      <c r="AA161" s="210">
        <f>+Table1[[#This Row],[calculated sale price]]</f>
        <v>0</v>
      </c>
      <c r="AB161" s="209"/>
      <c r="AC161" s="213"/>
    </row>
    <row r="162" spans="1:29">
      <c r="A162" s="192">
        <v>1153</v>
      </c>
      <c r="C162" s="192">
        <v>1</v>
      </c>
      <c r="I162" s="192"/>
      <c r="J162" s="192"/>
      <c r="K162" s="192"/>
      <c r="L162" s="203"/>
      <c r="M162" s="192"/>
      <c r="N162" s="204"/>
      <c r="O162" s="205">
        <v>0</v>
      </c>
      <c r="P162" s="205">
        <f>Table1[[#This Row],[unit cost]]</f>
        <v>0</v>
      </c>
      <c r="Q162" s="207"/>
      <c r="R162" s="192">
        <v>1</v>
      </c>
      <c r="S162" s="256">
        <f t="shared" si="22"/>
        <v>0.42</v>
      </c>
      <c r="T162" s="208">
        <f>Table1[[#This Row],[man minutes]]*Table1[[#This Row],[labor rate]]</f>
        <v>0</v>
      </c>
      <c r="U162" s="208">
        <f t="shared" si="25"/>
        <v>0</v>
      </c>
      <c r="V162" s="193">
        <f t="shared" si="24"/>
        <v>0.13</v>
      </c>
      <c r="W162" s="257">
        <f t="shared" si="23"/>
        <v>0.13</v>
      </c>
      <c r="X162" s="208">
        <f t="shared" si="26"/>
        <v>0</v>
      </c>
      <c r="Y162" s="208">
        <f t="shared" si="27"/>
        <v>0</v>
      </c>
      <c r="Z162" s="208">
        <f t="shared" si="28"/>
        <v>0</v>
      </c>
      <c r="AA162" s="210">
        <f>+Table1[[#This Row],[calculated sale price]]</f>
        <v>0</v>
      </c>
      <c r="AB162" s="209"/>
      <c r="AC162" s="213"/>
    </row>
    <row r="163" spans="1:29">
      <c r="A163" s="192">
        <v>1154</v>
      </c>
      <c r="C163" s="192">
        <v>1</v>
      </c>
      <c r="I163" s="192"/>
      <c r="J163" s="192"/>
      <c r="K163" s="192"/>
      <c r="L163" s="203"/>
      <c r="M163" s="192"/>
      <c r="N163" s="204"/>
      <c r="O163" s="205">
        <v>0</v>
      </c>
      <c r="P163" s="205">
        <f>Table1[[#This Row],[unit cost]]</f>
        <v>0</v>
      </c>
      <c r="Q163" s="207"/>
      <c r="R163" s="192">
        <v>1</v>
      </c>
      <c r="S163" s="256">
        <f t="shared" si="22"/>
        <v>0.42</v>
      </c>
      <c r="T163" s="208">
        <f>Table1[[#This Row],[man minutes]]*Table1[[#This Row],[labor rate]]</f>
        <v>0</v>
      </c>
      <c r="U163" s="208">
        <f t="shared" si="25"/>
        <v>0</v>
      </c>
      <c r="V163" s="193">
        <f t="shared" si="24"/>
        <v>0.13</v>
      </c>
      <c r="W163" s="257">
        <f t="shared" si="23"/>
        <v>0.13</v>
      </c>
      <c r="X163" s="208">
        <f t="shared" si="26"/>
        <v>0</v>
      </c>
      <c r="Y163" s="208">
        <f t="shared" si="27"/>
        <v>0</v>
      </c>
      <c r="Z163" s="208">
        <f t="shared" si="28"/>
        <v>0</v>
      </c>
      <c r="AA163" s="210">
        <f>+Table1[[#This Row],[calculated sale price]]</f>
        <v>0</v>
      </c>
      <c r="AB163" s="209"/>
      <c r="AC163" s="213"/>
    </row>
    <row r="164" spans="1:29">
      <c r="A164" s="192">
        <v>1155</v>
      </c>
      <c r="C164" s="192">
        <v>1</v>
      </c>
      <c r="I164" s="192"/>
      <c r="J164" s="192"/>
      <c r="K164" s="192"/>
      <c r="L164" s="203"/>
      <c r="M164" s="192"/>
      <c r="N164" s="204"/>
      <c r="O164" s="205">
        <v>0</v>
      </c>
      <c r="P164" s="205">
        <f>Table1[[#This Row],[unit cost]]</f>
        <v>0</v>
      </c>
      <c r="Q164" s="207"/>
      <c r="R164" s="192">
        <v>1</v>
      </c>
      <c r="S164" s="256">
        <f t="shared" si="22"/>
        <v>0.42</v>
      </c>
      <c r="T164" s="208">
        <f>Table1[[#This Row],[man minutes]]*Table1[[#This Row],[labor rate]]</f>
        <v>0</v>
      </c>
      <c r="U164" s="208">
        <f t="shared" si="25"/>
        <v>0</v>
      </c>
      <c r="V164" s="193">
        <f t="shared" si="24"/>
        <v>0.13</v>
      </c>
      <c r="W164" s="257">
        <f t="shared" si="23"/>
        <v>0.13</v>
      </c>
      <c r="X164" s="208">
        <f t="shared" si="26"/>
        <v>0</v>
      </c>
      <c r="Y164" s="208">
        <f t="shared" si="27"/>
        <v>0</v>
      </c>
      <c r="Z164" s="208">
        <f t="shared" si="28"/>
        <v>0</v>
      </c>
      <c r="AA164" s="210">
        <f>+Table1[[#This Row],[calculated sale price]]</f>
        <v>0</v>
      </c>
      <c r="AB164" s="209"/>
      <c r="AC164" s="213"/>
    </row>
    <row r="165" spans="1:29">
      <c r="A165" s="192">
        <v>1156</v>
      </c>
      <c r="C165" s="192">
        <v>1</v>
      </c>
      <c r="I165" s="192"/>
      <c r="J165" s="192"/>
      <c r="K165" s="192"/>
      <c r="L165" s="203"/>
      <c r="M165" s="192"/>
      <c r="N165" s="204"/>
      <c r="O165" s="205">
        <v>0</v>
      </c>
      <c r="P165" s="205">
        <f>Table1[[#This Row],[unit cost]]</f>
        <v>0</v>
      </c>
      <c r="Q165" s="207"/>
      <c r="R165" s="192">
        <v>1</v>
      </c>
      <c r="S165" s="256">
        <f t="shared" si="22"/>
        <v>0.42</v>
      </c>
      <c r="T165" s="208">
        <f>Table1[[#This Row],[man minutes]]*Table1[[#This Row],[labor rate]]</f>
        <v>0</v>
      </c>
      <c r="U165" s="208">
        <f t="shared" si="25"/>
        <v>0</v>
      </c>
      <c r="V165" s="193">
        <f t="shared" si="24"/>
        <v>0.13</v>
      </c>
      <c r="W165" s="257">
        <f t="shared" si="23"/>
        <v>0.13</v>
      </c>
      <c r="X165" s="208">
        <f t="shared" si="26"/>
        <v>0</v>
      </c>
      <c r="Y165" s="208">
        <f t="shared" si="27"/>
        <v>0</v>
      </c>
      <c r="Z165" s="208">
        <f t="shared" si="28"/>
        <v>0</v>
      </c>
      <c r="AA165" s="210">
        <f>+Table1[[#This Row],[calculated sale price]]</f>
        <v>0</v>
      </c>
      <c r="AB165" s="209"/>
      <c r="AC165" s="213"/>
    </row>
    <row r="166" spans="1:29">
      <c r="A166" s="192">
        <v>1157</v>
      </c>
      <c r="C166" s="192">
        <v>1</v>
      </c>
      <c r="I166" s="192"/>
      <c r="J166" s="192"/>
      <c r="K166" s="192"/>
      <c r="L166" s="203"/>
      <c r="M166" s="192"/>
      <c r="N166" s="204"/>
      <c r="O166" s="205">
        <v>0</v>
      </c>
      <c r="P166" s="205">
        <f>Table1[[#This Row],[unit cost]]</f>
        <v>0</v>
      </c>
      <c r="Q166" s="207"/>
      <c r="R166" s="192">
        <v>1</v>
      </c>
      <c r="S166" s="256">
        <f t="shared" si="22"/>
        <v>0.42</v>
      </c>
      <c r="T166" s="208">
        <f>Table1[[#This Row],[man minutes]]*Table1[[#This Row],[labor rate]]</f>
        <v>0</v>
      </c>
      <c r="U166" s="208">
        <f t="shared" si="25"/>
        <v>0</v>
      </c>
      <c r="V166" s="193">
        <f t="shared" si="24"/>
        <v>0.13</v>
      </c>
      <c r="W166" s="257">
        <f t="shared" si="23"/>
        <v>0.13</v>
      </c>
      <c r="X166" s="208">
        <f t="shared" si="26"/>
        <v>0</v>
      </c>
      <c r="Y166" s="208">
        <f t="shared" si="27"/>
        <v>0</v>
      </c>
      <c r="Z166" s="208">
        <f t="shared" si="28"/>
        <v>0</v>
      </c>
      <c r="AA166" s="210">
        <f>+Table1[[#This Row],[calculated sale price]]</f>
        <v>0</v>
      </c>
      <c r="AB166" s="209"/>
      <c r="AC166" s="213"/>
    </row>
    <row r="167" spans="1:29">
      <c r="A167" s="192">
        <v>1158</v>
      </c>
      <c r="C167" s="192">
        <v>1</v>
      </c>
      <c r="I167" s="192"/>
      <c r="J167" s="192"/>
      <c r="K167" s="192"/>
      <c r="L167" s="203"/>
      <c r="M167" s="192"/>
      <c r="N167" s="204"/>
      <c r="O167" s="205">
        <v>0</v>
      </c>
      <c r="P167" s="205">
        <f>Table1[[#This Row],[unit cost]]</f>
        <v>0</v>
      </c>
      <c r="Q167" s="207"/>
      <c r="R167" s="192">
        <v>1</v>
      </c>
      <c r="S167" s="256">
        <f t="shared" si="22"/>
        <v>0.42</v>
      </c>
      <c r="T167" s="208">
        <f>Table1[[#This Row],[man minutes]]*Table1[[#This Row],[labor rate]]</f>
        <v>0</v>
      </c>
      <c r="U167" s="208">
        <f t="shared" si="25"/>
        <v>0</v>
      </c>
      <c r="V167" s="193">
        <f t="shared" si="24"/>
        <v>0.13</v>
      </c>
      <c r="W167" s="257">
        <f t="shared" si="23"/>
        <v>0.13</v>
      </c>
      <c r="X167" s="208">
        <f t="shared" si="26"/>
        <v>0</v>
      </c>
      <c r="Y167" s="208">
        <f t="shared" si="27"/>
        <v>0</v>
      </c>
      <c r="Z167" s="208">
        <f t="shared" si="28"/>
        <v>0</v>
      </c>
      <c r="AA167" s="210">
        <f>+Table1[[#This Row],[calculated sale price]]</f>
        <v>0</v>
      </c>
      <c r="AB167" s="209"/>
      <c r="AC167" s="213"/>
    </row>
    <row r="168" spans="1:29">
      <c r="A168" s="192">
        <v>1159</v>
      </c>
      <c r="C168" s="192">
        <v>1</v>
      </c>
      <c r="I168" s="192"/>
      <c r="J168" s="192"/>
      <c r="K168" s="192"/>
      <c r="L168" s="203"/>
      <c r="M168" s="192"/>
      <c r="N168" s="204"/>
      <c r="O168" s="205">
        <v>0</v>
      </c>
      <c r="P168" s="205">
        <f>Table1[[#This Row],[unit cost]]</f>
        <v>0</v>
      </c>
      <c r="Q168" s="207"/>
      <c r="R168" s="192">
        <v>1</v>
      </c>
      <c r="S168" s="256">
        <f t="shared" si="22"/>
        <v>0.42</v>
      </c>
      <c r="T168" s="208">
        <f>Table1[[#This Row],[man minutes]]*Table1[[#This Row],[labor rate]]</f>
        <v>0</v>
      </c>
      <c r="U168" s="208">
        <f t="shared" si="25"/>
        <v>0</v>
      </c>
      <c r="V168" s="193">
        <f t="shared" si="24"/>
        <v>0.13</v>
      </c>
      <c r="W168" s="257">
        <f t="shared" si="23"/>
        <v>0.13</v>
      </c>
      <c r="X168" s="208">
        <f t="shared" si="26"/>
        <v>0</v>
      </c>
      <c r="Y168" s="208">
        <f t="shared" si="27"/>
        <v>0</v>
      </c>
      <c r="Z168" s="208">
        <f t="shared" si="28"/>
        <v>0</v>
      </c>
      <c r="AA168" s="210">
        <f>+Table1[[#This Row],[calculated sale price]]</f>
        <v>0</v>
      </c>
      <c r="AB168" s="209"/>
      <c r="AC168" s="213"/>
    </row>
    <row r="169" spans="1:29">
      <c r="A169" s="192">
        <v>1160</v>
      </c>
      <c r="C169" s="192">
        <v>1</v>
      </c>
      <c r="I169" s="192"/>
      <c r="J169" s="192"/>
      <c r="K169" s="192"/>
      <c r="L169" s="203"/>
      <c r="M169" s="192"/>
      <c r="N169" s="204"/>
      <c r="O169" s="205">
        <v>0</v>
      </c>
      <c r="P169" s="205">
        <f>Table1[[#This Row],[unit cost]]</f>
        <v>0</v>
      </c>
      <c r="Q169" s="207"/>
      <c r="R169" s="192">
        <v>1</v>
      </c>
      <c r="S169" s="256">
        <f t="shared" si="22"/>
        <v>0.42</v>
      </c>
      <c r="T169" s="208">
        <f>Table1[[#This Row],[man minutes]]*Table1[[#This Row],[labor rate]]</f>
        <v>0</v>
      </c>
      <c r="U169" s="208">
        <f t="shared" si="25"/>
        <v>0</v>
      </c>
      <c r="V169" s="193">
        <f t="shared" si="24"/>
        <v>0.13</v>
      </c>
      <c r="W169" s="257">
        <f t="shared" si="23"/>
        <v>0.13</v>
      </c>
      <c r="X169" s="208">
        <f t="shared" si="26"/>
        <v>0</v>
      </c>
      <c r="Y169" s="208">
        <f t="shared" si="27"/>
        <v>0</v>
      </c>
      <c r="Z169" s="208">
        <f t="shared" si="28"/>
        <v>0</v>
      </c>
      <c r="AA169" s="210">
        <f>+Table1[[#This Row],[calculated sale price]]</f>
        <v>0</v>
      </c>
      <c r="AB169" s="209"/>
      <c r="AC169" s="213"/>
    </row>
    <row r="170" spans="1:29">
      <c r="A170" s="192">
        <v>1161</v>
      </c>
      <c r="C170" s="192">
        <v>1</v>
      </c>
      <c r="I170" s="192"/>
      <c r="J170" s="192"/>
      <c r="K170" s="192"/>
      <c r="L170" s="203"/>
      <c r="M170" s="192"/>
      <c r="N170" s="204"/>
      <c r="O170" s="205">
        <v>0</v>
      </c>
      <c r="P170" s="205">
        <f>Table1[[#This Row],[unit cost]]</f>
        <v>0</v>
      </c>
      <c r="Q170" s="207"/>
      <c r="R170" s="192">
        <v>1</v>
      </c>
      <c r="S170" s="256">
        <f t="shared" si="22"/>
        <v>0.42</v>
      </c>
      <c r="T170" s="208">
        <f>Table1[[#This Row],[man minutes]]*Table1[[#This Row],[labor rate]]</f>
        <v>0</v>
      </c>
      <c r="U170" s="208">
        <f t="shared" si="25"/>
        <v>0</v>
      </c>
      <c r="V170" s="193">
        <f t="shared" si="24"/>
        <v>0.13</v>
      </c>
      <c r="W170" s="257">
        <f t="shared" si="23"/>
        <v>0.13</v>
      </c>
      <c r="X170" s="208">
        <f t="shared" si="26"/>
        <v>0</v>
      </c>
      <c r="Y170" s="208">
        <f t="shared" si="27"/>
        <v>0</v>
      </c>
      <c r="Z170" s="208">
        <f t="shared" si="28"/>
        <v>0</v>
      </c>
      <c r="AA170" s="210">
        <f>+Table1[[#This Row],[calculated sale price]]</f>
        <v>0</v>
      </c>
      <c r="AB170" s="209"/>
      <c r="AC170" s="213"/>
    </row>
    <row r="171" spans="1:29">
      <c r="A171" s="192">
        <v>1162</v>
      </c>
      <c r="C171" s="192">
        <v>1</v>
      </c>
      <c r="I171" s="192"/>
      <c r="J171" s="192"/>
      <c r="K171" s="192"/>
      <c r="L171" s="203"/>
      <c r="M171" s="192"/>
      <c r="N171" s="204"/>
      <c r="O171" s="205">
        <v>0</v>
      </c>
      <c r="P171" s="205">
        <f>Table1[[#This Row],[unit cost]]</f>
        <v>0</v>
      </c>
      <c r="Q171" s="207"/>
      <c r="R171" s="192">
        <v>1</v>
      </c>
      <c r="S171" s="256">
        <f t="shared" si="22"/>
        <v>0.42</v>
      </c>
      <c r="T171" s="208">
        <f>Table1[[#This Row],[man minutes]]*Table1[[#This Row],[labor rate]]</f>
        <v>0</v>
      </c>
      <c r="U171" s="208">
        <f t="shared" si="25"/>
        <v>0</v>
      </c>
      <c r="V171" s="193">
        <f t="shared" si="24"/>
        <v>0.13</v>
      </c>
      <c r="W171" s="257">
        <f t="shared" si="23"/>
        <v>0.13</v>
      </c>
      <c r="X171" s="208">
        <f t="shared" si="26"/>
        <v>0</v>
      </c>
      <c r="Y171" s="208">
        <f t="shared" si="27"/>
        <v>0</v>
      </c>
      <c r="Z171" s="208">
        <f t="shared" si="28"/>
        <v>0</v>
      </c>
      <c r="AA171" s="210">
        <f>+Table1[[#This Row],[calculated sale price]]</f>
        <v>0</v>
      </c>
      <c r="AB171" s="209"/>
      <c r="AC171" s="213"/>
    </row>
    <row r="172" spans="1:29">
      <c r="A172" s="192">
        <v>1163</v>
      </c>
      <c r="C172" s="192">
        <v>1</v>
      </c>
      <c r="I172" s="192"/>
      <c r="J172" s="192"/>
      <c r="K172" s="192"/>
      <c r="L172" s="203"/>
      <c r="M172" s="192"/>
      <c r="N172" s="204"/>
      <c r="O172" s="205">
        <v>0</v>
      </c>
      <c r="P172" s="205">
        <f>Table1[[#This Row],[unit cost]]</f>
        <v>0</v>
      </c>
      <c r="Q172" s="207"/>
      <c r="R172" s="192">
        <v>1</v>
      </c>
      <c r="S172" s="256">
        <f t="shared" si="22"/>
        <v>0.42</v>
      </c>
      <c r="T172" s="208">
        <f>Table1[[#This Row],[man minutes]]*Table1[[#This Row],[labor rate]]</f>
        <v>0</v>
      </c>
      <c r="U172" s="208">
        <f t="shared" si="25"/>
        <v>0</v>
      </c>
      <c r="V172" s="193">
        <f t="shared" si="24"/>
        <v>0.13</v>
      </c>
      <c r="W172" s="257">
        <f t="shared" si="23"/>
        <v>0.13</v>
      </c>
      <c r="X172" s="208">
        <f t="shared" si="26"/>
        <v>0</v>
      </c>
      <c r="Y172" s="208">
        <f t="shared" si="27"/>
        <v>0</v>
      </c>
      <c r="Z172" s="208">
        <f t="shared" si="28"/>
        <v>0</v>
      </c>
      <c r="AA172" s="210">
        <f>+Table1[[#This Row],[calculated sale price]]</f>
        <v>0</v>
      </c>
      <c r="AB172" s="209"/>
      <c r="AC172" s="213"/>
    </row>
    <row r="173" spans="1:29">
      <c r="A173" s="192">
        <v>1164</v>
      </c>
      <c r="C173" s="192">
        <v>1</v>
      </c>
      <c r="I173" s="192"/>
      <c r="J173" s="192"/>
      <c r="K173" s="192"/>
      <c r="L173" s="203"/>
      <c r="M173" s="192"/>
      <c r="N173" s="204"/>
      <c r="O173" s="205">
        <v>0</v>
      </c>
      <c r="P173" s="205">
        <f>Table1[[#This Row],[unit cost]]</f>
        <v>0</v>
      </c>
      <c r="Q173" s="207"/>
      <c r="R173" s="192">
        <v>1</v>
      </c>
      <c r="S173" s="256">
        <f t="shared" si="22"/>
        <v>0.42</v>
      </c>
      <c r="T173" s="208">
        <f>Table1[[#This Row],[man minutes]]*Table1[[#This Row],[labor rate]]</f>
        <v>0</v>
      </c>
      <c r="U173" s="208">
        <f t="shared" si="25"/>
        <v>0</v>
      </c>
      <c r="V173" s="193">
        <f t="shared" si="24"/>
        <v>0.13</v>
      </c>
      <c r="W173" s="257">
        <f t="shared" si="23"/>
        <v>0.13</v>
      </c>
      <c r="X173" s="208">
        <f t="shared" si="26"/>
        <v>0</v>
      </c>
      <c r="Y173" s="208">
        <f t="shared" si="27"/>
        <v>0</v>
      </c>
      <c r="Z173" s="208">
        <f t="shared" si="28"/>
        <v>0</v>
      </c>
      <c r="AA173" s="210">
        <f>+Table1[[#This Row],[calculated sale price]]</f>
        <v>0</v>
      </c>
      <c r="AB173" s="209"/>
      <c r="AC173" s="213"/>
    </row>
    <row r="174" spans="1:29">
      <c r="A174" s="192">
        <v>1165</v>
      </c>
      <c r="C174" s="192">
        <v>1</v>
      </c>
      <c r="I174" s="192"/>
      <c r="J174" s="192"/>
      <c r="K174" s="192"/>
      <c r="L174" s="203"/>
      <c r="M174" s="192"/>
      <c r="N174" s="204"/>
      <c r="O174" s="205">
        <v>0</v>
      </c>
      <c r="P174" s="205">
        <f>Table1[[#This Row],[unit cost]]</f>
        <v>0</v>
      </c>
      <c r="Q174" s="207"/>
      <c r="R174" s="192">
        <v>1</v>
      </c>
      <c r="S174" s="256">
        <f t="shared" si="22"/>
        <v>0.42</v>
      </c>
      <c r="T174" s="208">
        <f>Table1[[#This Row],[man minutes]]*Table1[[#This Row],[labor rate]]</f>
        <v>0</v>
      </c>
      <c r="U174" s="208">
        <f t="shared" si="25"/>
        <v>0</v>
      </c>
      <c r="V174" s="193">
        <f t="shared" si="24"/>
        <v>0.13</v>
      </c>
      <c r="W174" s="257">
        <f t="shared" si="23"/>
        <v>0.13</v>
      </c>
      <c r="X174" s="208">
        <f t="shared" si="26"/>
        <v>0</v>
      </c>
      <c r="Y174" s="208">
        <f t="shared" si="27"/>
        <v>0</v>
      </c>
      <c r="Z174" s="208">
        <f t="shared" si="28"/>
        <v>0</v>
      </c>
      <c r="AA174" s="210">
        <f>+Table1[[#This Row],[calculated sale price]]</f>
        <v>0</v>
      </c>
      <c r="AB174" s="209"/>
      <c r="AC174" s="213"/>
    </row>
    <row r="175" spans="1:29">
      <c r="A175" s="192">
        <v>1166</v>
      </c>
      <c r="C175" s="192">
        <v>1</v>
      </c>
      <c r="I175" s="192"/>
      <c r="J175" s="192"/>
      <c r="K175" s="192"/>
      <c r="L175" s="203"/>
      <c r="M175" s="192"/>
      <c r="N175" s="204"/>
      <c r="O175" s="205">
        <v>0</v>
      </c>
      <c r="P175" s="205">
        <f>Table1[[#This Row],[unit cost]]</f>
        <v>0</v>
      </c>
      <c r="Q175" s="207"/>
      <c r="R175" s="192">
        <v>1</v>
      </c>
      <c r="S175" s="256">
        <f t="shared" si="22"/>
        <v>0.42</v>
      </c>
      <c r="T175" s="208">
        <f>Table1[[#This Row],[man minutes]]*Table1[[#This Row],[labor rate]]</f>
        <v>0</v>
      </c>
      <c r="U175" s="208">
        <f t="shared" si="25"/>
        <v>0</v>
      </c>
      <c r="V175" s="193">
        <f t="shared" si="24"/>
        <v>0.13</v>
      </c>
      <c r="W175" s="257">
        <f t="shared" si="23"/>
        <v>0.13</v>
      </c>
      <c r="X175" s="208">
        <f t="shared" si="26"/>
        <v>0</v>
      </c>
      <c r="Y175" s="208">
        <f t="shared" si="27"/>
        <v>0</v>
      </c>
      <c r="Z175" s="208">
        <f t="shared" si="28"/>
        <v>0</v>
      </c>
      <c r="AA175" s="210">
        <f>+Table1[[#This Row],[calculated sale price]]</f>
        <v>0</v>
      </c>
      <c r="AB175" s="209"/>
      <c r="AC175" s="213"/>
    </row>
    <row r="176" spans="1:29">
      <c r="A176" s="192">
        <v>1167</v>
      </c>
      <c r="C176" s="192">
        <v>1</v>
      </c>
      <c r="I176" s="192"/>
      <c r="J176" s="192"/>
      <c r="K176" s="192"/>
      <c r="L176" s="203"/>
      <c r="M176" s="192"/>
      <c r="N176" s="204"/>
      <c r="O176" s="205">
        <v>0</v>
      </c>
      <c r="P176" s="205">
        <f>Table1[[#This Row],[unit cost]]</f>
        <v>0</v>
      </c>
      <c r="Q176" s="207"/>
      <c r="R176" s="192">
        <v>1</v>
      </c>
      <c r="S176" s="256">
        <f t="shared" si="22"/>
        <v>0.42</v>
      </c>
      <c r="T176" s="208">
        <f>Table1[[#This Row],[man minutes]]*Table1[[#This Row],[labor rate]]</f>
        <v>0</v>
      </c>
      <c r="U176" s="208">
        <f t="shared" si="25"/>
        <v>0</v>
      </c>
      <c r="V176" s="193">
        <f t="shared" si="24"/>
        <v>0.13</v>
      </c>
      <c r="W176" s="257">
        <f t="shared" si="23"/>
        <v>0.13</v>
      </c>
      <c r="X176" s="208">
        <f t="shared" si="26"/>
        <v>0</v>
      </c>
      <c r="Y176" s="208">
        <f t="shared" si="27"/>
        <v>0</v>
      </c>
      <c r="Z176" s="208">
        <f t="shared" si="28"/>
        <v>0</v>
      </c>
      <c r="AA176" s="210">
        <f>+Table1[[#This Row],[calculated sale price]]</f>
        <v>0</v>
      </c>
      <c r="AB176" s="209"/>
      <c r="AC176" s="213"/>
    </row>
    <row r="177" spans="1:29">
      <c r="A177" s="192">
        <v>1168</v>
      </c>
      <c r="C177" s="192">
        <v>1</v>
      </c>
      <c r="I177" s="192"/>
      <c r="J177" s="192"/>
      <c r="K177" s="192"/>
      <c r="L177" s="203"/>
      <c r="M177" s="192"/>
      <c r="N177" s="204"/>
      <c r="O177" s="205">
        <v>0</v>
      </c>
      <c r="P177" s="205">
        <f>Table1[[#This Row],[unit cost]]</f>
        <v>0</v>
      </c>
      <c r="Q177" s="207"/>
      <c r="R177" s="192">
        <v>1</v>
      </c>
      <c r="S177" s="256">
        <f t="shared" si="22"/>
        <v>0.42</v>
      </c>
      <c r="T177" s="208">
        <f>Table1[[#This Row],[man minutes]]*Table1[[#This Row],[labor rate]]</f>
        <v>0</v>
      </c>
      <c r="U177" s="208">
        <f t="shared" si="25"/>
        <v>0</v>
      </c>
      <c r="V177" s="193">
        <f t="shared" si="24"/>
        <v>0.13</v>
      </c>
      <c r="W177" s="257">
        <f t="shared" si="23"/>
        <v>0.13</v>
      </c>
      <c r="X177" s="208">
        <f t="shared" si="26"/>
        <v>0</v>
      </c>
      <c r="Y177" s="208">
        <f t="shared" si="27"/>
        <v>0</v>
      </c>
      <c r="Z177" s="208">
        <f t="shared" si="28"/>
        <v>0</v>
      </c>
      <c r="AA177" s="210">
        <f>+Table1[[#This Row],[calculated sale price]]</f>
        <v>0</v>
      </c>
      <c r="AB177" s="209"/>
      <c r="AC177" s="213"/>
    </row>
    <row r="178" spans="1:29">
      <c r="A178" s="192">
        <v>1169</v>
      </c>
      <c r="C178" s="192">
        <v>1</v>
      </c>
      <c r="I178" s="192"/>
      <c r="J178" s="192"/>
      <c r="K178" s="192"/>
      <c r="L178" s="203"/>
      <c r="M178" s="192"/>
      <c r="N178" s="204"/>
      <c r="O178" s="205">
        <v>0</v>
      </c>
      <c r="P178" s="205">
        <f>Table1[[#This Row],[unit cost]]</f>
        <v>0</v>
      </c>
      <c r="Q178" s="207"/>
      <c r="R178" s="192">
        <v>1</v>
      </c>
      <c r="S178" s="256">
        <f t="shared" si="22"/>
        <v>0.42</v>
      </c>
      <c r="T178" s="208">
        <f>Table1[[#This Row],[man minutes]]*Table1[[#This Row],[labor rate]]</f>
        <v>0</v>
      </c>
      <c r="U178" s="208">
        <f t="shared" si="25"/>
        <v>0</v>
      </c>
      <c r="V178" s="193">
        <f t="shared" si="24"/>
        <v>0.13</v>
      </c>
      <c r="W178" s="257">
        <f t="shared" si="23"/>
        <v>0.13</v>
      </c>
      <c r="X178" s="208">
        <f t="shared" si="26"/>
        <v>0</v>
      </c>
      <c r="Y178" s="208">
        <f t="shared" si="27"/>
        <v>0</v>
      </c>
      <c r="Z178" s="208">
        <f t="shared" si="28"/>
        <v>0</v>
      </c>
      <c r="AA178" s="210">
        <f>+Table1[[#This Row],[calculated sale price]]</f>
        <v>0</v>
      </c>
      <c r="AB178" s="209"/>
      <c r="AC178" s="213"/>
    </row>
    <row r="179" spans="1:29">
      <c r="A179" s="192">
        <v>1170</v>
      </c>
      <c r="C179" s="192">
        <v>1</v>
      </c>
      <c r="I179" s="192"/>
      <c r="J179" s="192"/>
      <c r="K179" s="192"/>
      <c r="L179" s="203"/>
      <c r="M179" s="192"/>
      <c r="N179" s="204"/>
      <c r="O179" s="205">
        <v>0</v>
      </c>
      <c r="P179" s="205">
        <f>Table1[[#This Row],[unit cost]]</f>
        <v>0</v>
      </c>
      <c r="Q179" s="207"/>
      <c r="R179" s="192">
        <v>1</v>
      </c>
      <c r="S179" s="256">
        <f t="shared" si="22"/>
        <v>0.42</v>
      </c>
      <c r="T179" s="208">
        <f>Table1[[#This Row],[man minutes]]*Table1[[#This Row],[labor rate]]</f>
        <v>0</v>
      </c>
      <c r="U179" s="208">
        <f t="shared" si="25"/>
        <v>0</v>
      </c>
      <c r="V179" s="193">
        <f t="shared" si="24"/>
        <v>0.13</v>
      </c>
      <c r="W179" s="257">
        <f t="shared" si="23"/>
        <v>0.13</v>
      </c>
      <c r="X179" s="208">
        <f t="shared" si="26"/>
        <v>0</v>
      </c>
      <c r="Y179" s="208">
        <f t="shared" si="27"/>
        <v>0</v>
      </c>
      <c r="Z179" s="208">
        <f t="shared" si="28"/>
        <v>0</v>
      </c>
      <c r="AA179" s="210">
        <f>+Table1[[#This Row],[calculated sale price]]</f>
        <v>0</v>
      </c>
      <c r="AB179" s="209"/>
      <c r="AC179" s="213"/>
    </row>
    <row r="180" spans="1:29">
      <c r="A180" s="192">
        <v>1171</v>
      </c>
      <c r="C180" s="192">
        <v>1</v>
      </c>
      <c r="I180" s="192"/>
      <c r="J180" s="192"/>
      <c r="K180" s="192"/>
      <c r="L180" s="203"/>
      <c r="M180" s="192"/>
      <c r="N180" s="204"/>
      <c r="O180" s="205">
        <v>0</v>
      </c>
      <c r="P180" s="205">
        <f>Table1[[#This Row],[unit cost]]</f>
        <v>0</v>
      </c>
      <c r="Q180" s="207"/>
      <c r="R180" s="192">
        <v>1</v>
      </c>
      <c r="S180" s="256">
        <f t="shared" si="22"/>
        <v>0.42</v>
      </c>
      <c r="T180" s="208">
        <f>Table1[[#This Row],[man minutes]]*Table1[[#This Row],[labor rate]]</f>
        <v>0</v>
      </c>
      <c r="U180" s="208">
        <f t="shared" si="25"/>
        <v>0</v>
      </c>
      <c r="V180" s="193">
        <f t="shared" si="24"/>
        <v>0.13</v>
      </c>
      <c r="W180" s="257">
        <f t="shared" si="23"/>
        <v>0.13</v>
      </c>
      <c r="X180" s="208">
        <f t="shared" si="26"/>
        <v>0</v>
      </c>
      <c r="Y180" s="208">
        <f t="shared" si="27"/>
        <v>0</v>
      </c>
      <c r="Z180" s="208">
        <f t="shared" si="28"/>
        <v>0</v>
      </c>
      <c r="AA180" s="210">
        <f>+Table1[[#This Row],[calculated sale price]]</f>
        <v>0</v>
      </c>
      <c r="AB180" s="209"/>
      <c r="AC180" s="213"/>
    </row>
    <row r="181" spans="1:29">
      <c r="A181" s="192">
        <v>1172</v>
      </c>
      <c r="C181" s="192">
        <v>1</v>
      </c>
      <c r="I181" s="192"/>
      <c r="J181" s="192"/>
      <c r="K181" s="192"/>
      <c r="L181" s="203"/>
      <c r="M181" s="192"/>
      <c r="N181" s="204"/>
      <c r="O181" s="205">
        <v>0</v>
      </c>
      <c r="P181" s="205">
        <f>Table1[[#This Row],[unit cost]]</f>
        <v>0</v>
      </c>
      <c r="Q181" s="207"/>
      <c r="R181" s="192">
        <v>1</v>
      </c>
      <c r="S181" s="256">
        <f t="shared" si="22"/>
        <v>0.42</v>
      </c>
      <c r="T181" s="208">
        <f>Table1[[#This Row],[man minutes]]*Table1[[#This Row],[labor rate]]</f>
        <v>0</v>
      </c>
      <c r="U181" s="208">
        <f t="shared" si="25"/>
        <v>0</v>
      </c>
      <c r="V181" s="193">
        <f t="shared" si="24"/>
        <v>0.13</v>
      </c>
      <c r="W181" s="257">
        <f t="shared" si="23"/>
        <v>0.13</v>
      </c>
      <c r="X181" s="208">
        <f t="shared" si="26"/>
        <v>0</v>
      </c>
      <c r="Y181" s="208">
        <f t="shared" si="27"/>
        <v>0</v>
      </c>
      <c r="Z181" s="208">
        <f t="shared" si="28"/>
        <v>0</v>
      </c>
      <c r="AA181" s="210">
        <f>+Table1[[#This Row],[calculated sale price]]</f>
        <v>0</v>
      </c>
      <c r="AB181" s="209"/>
      <c r="AC181" s="213"/>
    </row>
    <row r="182" spans="1:29">
      <c r="A182" s="192">
        <v>1173</v>
      </c>
      <c r="C182" s="192">
        <v>1</v>
      </c>
      <c r="I182" s="192"/>
      <c r="J182" s="192"/>
      <c r="K182" s="192"/>
      <c r="L182" s="203"/>
      <c r="M182" s="192"/>
      <c r="N182" s="204"/>
      <c r="O182" s="205">
        <v>0</v>
      </c>
      <c r="P182" s="205">
        <f>Table1[[#This Row],[unit cost]]</f>
        <v>0</v>
      </c>
      <c r="Q182" s="207"/>
      <c r="R182" s="192">
        <v>1</v>
      </c>
      <c r="S182" s="256">
        <f t="shared" si="22"/>
        <v>0.42</v>
      </c>
      <c r="T182" s="208">
        <f>Table1[[#This Row],[man minutes]]*Table1[[#This Row],[labor rate]]</f>
        <v>0</v>
      </c>
      <c r="U182" s="208">
        <f t="shared" si="25"/>
        <v>0</v>
      </c>
      <c r="V182" s="193">
        <f t="shared" si="24"/>
        <v>0.13</v>
      </c>
      <c r="W182" s="257">
        <f t="shared" si="23"/>
        <v>0.13</v>
      </c>
      <c r="X182" s="208">
        <f t="shared" si="26"/>
        <v>0</v>
      </c>
      <c r="Y182" s="208">
        <f t="shared" si="27"/>
        <v>0</v>
      </c>
      <c r="Z182" s="208">
        <f t="shared" si="28"/>
        <v>0</v>
      </c>
      <c r="AA182" s="210">
        <f>+Table1[[#This Row],[calculated sale price]]</f>
        <v>0</v>
      </c>
      <c r="AB182" s="209"/>
      <c r="AC182" s="213"/>
    </row>
    <row r="183" spans="1:29">
      <c r="A183" s="192">
        <v>1174</v>
      </c>
      <c r="C183" s="192">
        <v>1</v>
      </c>
      <c r="I183" s="192"/>
      <c r="J183" s="192"/>
      <c r="K183" s="192"/>
      <c r="L183" s="203"/>
      <c r="M183" s="192"/>
      <c r="N183" s="204"/>
      <c r="O183" s="205">
        <v>0</v>
      </c>
      <c r="P183" s="205">
        <f>Table1[[#This Row],[unit cost]]</f>
        <v>0</v>
      </c>
      <c r="Q183" s="207"/>
      <c r="R183" s="192">
        <v>1</v>
      </c>
      <c r="S183" s="256">
        <f t="shared" si="22"/>
        <v>0.42</v>
      </c>
      <c r="T183" s="208">
        <f>Table1[[#This Row],[man minutes]]*Table1[[#This Row],[labor rate]]</f>
        <v>0</v>
      </c>
      <c r="U183" s="208">
        <f t="shared" si="25"/>
        <v>0</v>
      </c>
      <c r="V183" s="193">
        <f t="shared" si="24"/>
        <v>0.13</v>
      </c>
      <c r="W183" s="257">
        <f t="shared" si="23"/>
        <v>0.13</v>
      </c>
      <c r="X183" s="208">
        <f t="shared" si="26"/>
        <v>0</v>
      </c>
      <c r="Y183" s="208">
        <f t="shared" si="27"/>
        <v>0</v>
      </c>
      <c r="Z183" s="208">
        <f t="shared" si="28"/>
        <v>0</v>
      </c>
      <c r="AA183" s="210">
        <f>+Table1[[#This Row],[calculated sale price]]</f>
        <v>0</v>
      </c>
      <c r="AB183" s="209"/>
      <c r="AC183" s="213"/>
    </row>
    <row r="184" spans="1:29">
      <c r="A184" s="192">
        <v>1175</v>
      </c>
      <c r="C184" s="192">
        <v>1</v>
      </c>
      <c r="I184" s="192"/>
      <c r="J184" s="192"/>
      <c r="K184" s="192"/>
      <c r="L184" s="203"/>
      <c r="M184" s="192"/>
      <c r="N184" s="204"/>
      <c r="O184" s="205">
        <v>0</v>
      </c>
      <c r="P184" s="205">
        <f>Table1[[#This Row],[unit cost]]</f>
        <v>0</v>
      </c>
      <c r="Q184" s="207"/>
      <c r="R184" s="192">
        <v>1</v>
      </c>
      <c r="S184" s="256">
        <f t="shared" si="22"/>
        <v>0.42</v>
      </c>
      <c r="T184" s="208">
        <f>Table1[[#This Row],[man minutes]]*Table1[[#This Row],[labor rate]]</f>
        <v>0</v>
      </c>
      <c r="U184" s="208">
        <f t="shared" si="25"/>
        <v>0</v>
      </c>
      <c r="V184" s="193">
        <f t="shared" si="24"/>
        <v>0.13</v>
      </c>
      <c r="W184" s="257">
        <f t="shared" si="23"/>
        <v>0.13</v>
      </c>
      <c r="X184" s="208">
        <f t="shared" si="26"/>
        <v>0</v>
      </c>
      <c r="Y184" s="208">
        <f t="shared" si="27"/>
        <v>0</v>
      </c>
      <c r="Z184" s="208">
        <f t="shared" si="28"/>
        <v>0</v>
      </c>
      <c r="AA184" s="210">
        <f>+Table1[[#This Row],[calculated sale price]]</f>
        <v>0</v>
      </c>
      <c r="AB184" s="209"/>
      <c r="AC184" s="213"/>
    </row>
    <row r="185" spans="1:29">
      <c r="A185" s="192">
        <v>1176</v>
      </c>
      <c r="C185" s="192">
        <v>1</v>
      </c>
      <c r="I185" s="192"/>
      <c r="J185" s="192"/>
      <c r="K185" s="192"/>
      <c r="L185" s="203"/>
      <c r="M185" s="192"/>
      <c r="N185" s="204"/>
      <c r="O185" s="205">
        <v>0</v>
      </c>
      <c r="P185" s="205">
        <f>Table1[[#This Row],[unit cost]]</f>
        <v>0</v>
      </c>
      <c r="Q185" s="207"/>
      <c r="R185" s="192">
        <v>1</v>
      </c>
      <c r="S185" s="256">
        <f t="shared" si="22"/>
        <v>0.42</v>
      </c>
      <c r="T185" s="208">
        <f>Table1[[#This Row],[man minutes]]*Table1[[#This Row],[labor rate]]</f>
        <v>0</v>
      </c>
      <c r="U185" s="208">
        <f t="shared" si="25"/>
        <v>0</v>
      </c>
      <c r="V185" s="193">
        <f t="shared" si="24"/>
        <v>0.13</v>
      </c>
      <c r="W185" s="257">
        <f t="shared" si="23"/>
        <v>0.13</v>
      </c>
      <c r="X185" s="208">
        <f t="shared" si="26"/>
        <v>0</v>
      </c>
      <c r="Y185" s="208">
        <f t="shared" si="27"/>
        <v>0</v>
      </c>
      <c r="Z185" s="208">
        <f t="shared" si="28"/>
        <v>0</v>
      </c>
      <c r="AA185" s="210">
        <f>+Table1[[#This Row],[calculated sale price]]</f>
        <v>0</v>
      </c>
      <c r="AB185" s="209"/>
      <c r="AC185" s="213"/>
    </row>
    <row r="186" spans="1:29">
      <c r="A186" s="192">
        <v>1177</v>
      </c>
      <c r="C186" s="192">
        <v>1</v>
      </c>
      <c r="I186" s="192"/>
      <c r="J186" s="192"/>
      <c r="K186" s="192"/>
      <c r="L186" s="203"/>
      <c r="M186" s="192"/>
      <c r="N186" s="204"/>
      <c r="O186" s="205">
        <v>0</v>
      </c>
      <c r="P186" s="205">
        <f>Table1[[#This Row],[unit cost]]</f>
        <v>0</v>
      </c>
      <c r="Q186" s="207"/>
      <c r="R186" s="192">
        <v>1</v>
      </c>
      <c r="S186" s="256">
        <f t="shared" si="22"/>
        <v>0.42</v>
      </c>
      <c r="T186" s="208">
        <f>Table1[[#This Row],[man minutes]]*Table1[[#This Row],[labor rate]]</f>
        <v>0</v>
      </c>
      <c r="U186" s="208">
        <f t="shared" si="25"/>
        <v>0</v>
      </c>
      <c r="V186" s="193">
        <f t="shared" si="24"/>
        <v>0.13</v>
      </c>
      <c r="W186" s="257">
        <f t="shared" si="23"/>
        <v>0.13</v>
      </c>
      <c r="X186" s="208">
        <f t="shared" si="26"/>
        <v>0</v>
      </c>
      <c r="Y186" s="208">
        <f t="shared" si="27"/>
        <v>0</v>
      </c>
      <c r="Z186" s="208">
        <f t="shared" si="28"/>
        <v>0</v>
      </c>
      <c r="AA186" s="210">
        <f>+Table1[[#This Row],[calculated sale price]]</f>
        <v>0</v>
      </c>
      <c r="AB186" s="209"/>
      <c r="AC186" s="213"/>
    </row>
    <row r="187" spans="1:29">
      <c r="A187" s="192">
        <v>1178</v>
      </c>
      <c r="C187" s="192">
        <v>1</v>
      </c>
      <c r="I187" s="192"/>
      <c r="J187" s="192"/>
      <c r="K187" s="192"/>
      <c r="L187" s="203"/>
      <c r="M187" s="192"/>
      <c r="N187" s="204"/>
      <c r="O187" s="205">
        <v>0</v>
      </c>
      <c r="P187" s="205">
        <f>Table1[[#This Row],[unit cost]]</f>
        <v>0</v>
      </c>
      <c r="Q187" s="207"/>
      <c r="R187" s="192">
        <v>1</v>
      </c>
      <c r="S187" s="256">
        <f t="shared" si="22"/>
        <v>0.42</v>
      </c>
      <c r="T187" s="208">
        <f>Table1[[#This Row],[man minutes]]*Table1[[#This Row],[labor rate]]</f>
        <v>0</v>
      </c>
      <c r="U187" s="208">
        <f t="shared" si="25"/>
        <v>0</v>
      </c>
      <c r="V187" s="193">
        <f t="shared" si="24"/>
        <v>0.13</v>
      </c>
      <c r="W187" s="257">
        <f t="shared" si="23"/>
        <v>0.13</v>
      </c>
      <c r="X187" s="208">
        <f t="shared" si="26"/>
        <v>0</v>
      </c>
      <c r="Y187" s="208">
        <f t="shared" si="27"/>
        <v>0</v>
      </c>
      <c r="Z187" s="208">
        <f t="shared" si="28"/>
        <v>0</v>
      </c>
      <c r="AA187" s="210">
        <f>+Table1[[#This Row],[calculated sale price]]</f>
        <v>0</v>
      </c>
      <c r="AB187" s="209"/>
      <c r="AC187" s="213"/>
    </row>
    <row r="188" spans="1:29">
      <c r="A188" s="192">
        <v>1179</v>
      </c>
      <c r="C188" s="192">
        <v>1</v>
      </c>
      <c r="I188" s="192"/>
      <c r="J188" s="192"/>
      <c r="K188" s="192"/>
      <c r="L188" s="203"/>
      <c r="M188" s="192"/>
      <c r="N188" s="204"/>
      <c r="O188" s="205">
        <v>0</v>
      </c>
      <c r="P188" s="205">
        <f>Table1[[#This Row],[unit cost]]</f>
        <v>0</v>
      </c>
      <c r="Q188" s="207"/>
      <c r="R188" s="192">
        <v>1</v>
      </c>
      <c r="S188" s="256">
        <f t="shared" si="22"/>
        <v>0.42</v>
      </c>
      <c r="T188" s="208">
        <f>Table1[[#This Row],[man minutes]]*Table1[[#This Row],[labor rate]]</f>
        <v>0</v>
      </c>
      <c r="U188" s="208">
        <f t="shared" si="25"/>
        <v>0</v>
      </c>
      <c r="V188" s="193">
        <f t="shared" si="24"/>
        <v>0.13</v>
      </c>
      <c r="W188" s="257">
        <f t="shared" si="23"/>
        <v>0.13</v>
      </c>
      <c r="X188" s="208">
        <f t="shared" si="26"/>
        <v>0</v>
      </c>
      <c r="Y188" s="208">
        <f t="shared" si="27"/>
        <v>0</v>
      </c>
      <c r="Z188" s="208">
        <f t="shared" si="28"/>
        <v>0</v>
      </c>
      <c r="AA188" s="210">
        <f>+Table1[[#This Row],[calculated sale price]]</f>
        <v>0</v>
      </c>
      <c r="AB188" s="209"/>
      <c r="AC188" s="213"/>
    </row>
    <row r="189" spans="1:29">
      <c r="A189" s="192">
        <v>1180</v>
      </c>
      <c r="C189" s="192">
        <v>1</v>
      </c>
      <c r="I189" s="192"/>
      <c r="J189" s="192"/>
      <c r="K189" s="192"/>
      <c r="L189" s="203"/>
      <c r="M189" s="192"/>
      <c r="N189" s="204"/>
      <c r="O189" s="205">
        <v>0</v>
      </c>
      <c r="P189" s="205">
        <f>Table1[[#This Row],[unit cost]]</f>
        <v>0</v>
      </c>
      <c r="Q189" s="207"/>
      <c r="R189" s="192">
        <v>1</v>
      </c>
      <c r="S189" s="256">
        <f t="shared" ref="S189:S256" si="29">$S$2</f>
        <v>0.42</v>
      </c>
      <c r="T189" s="208">
        <f>Table1[[#This Row],[man minutes]]*Table1[[#This Row],[labor rate]]</f>
        <v>0</v>
      </c>
      <c r="U189" s="208">
        <f t="shared" si="25"/>
        <v>0</v>
      </c>
      <c r="V189" s="193">
        <f t="shared" si="24"/>
        <v>0.13</v>
      </c>
      <c r="W189" s="257">
        <f t="shared" si="23"/>
        <v>0.13</v>
      </c>
      <c r="X189" s="208">
        <f t="shared" si="26"/>
        <v>0</v>
      </c>
      <c r="Y189" s="208">
        <f t="shared" si="27"/>
        <v>0</v>
      </c>
      <c r="Z189" s="208">
        <f t="shared" si="28"/>
        <v>0</v>
      </c>
      <c r="AA189" s="210">
        <f>+Table1[[#This Row],[calculated sale price]]</f>
        <v>0</v>
      </c>
      <c r="AB189" s="209"/>
      <c r="AC189" s="213"/>
    </row>
    <row r="190" spans="1:29">
      <c r="A190" s="192">
        <v>1181</v>
      </c>
      <c r="C190" s="192">
        <v>1</v>
      </c>
      <c r="I190" s="192"/>
      <c r="J190" s="192"/>
      <c r="K190" s="192"/>
      <c r="L190" s="203"/>
      <c r="M190" s="192"/>
      <c r="N190" s="204"/>
      <c r="O190" s="205">
        <v>0</v>
      </c>
      <c r="P190" s="205">
        <f>Table1[[#This Row],[unit cost]]</f>
        <v>0</v>
      </c>
      <c r="Q190" s="207"/>
      <c r="R190" s="192">
        <v>1</v>
      </c>
      <c r="S190" s="256">
        <f t="shared" si="29"/>
        <v>0.42</v>
      </c>
      <c r="T190" s="208">
        <f>Table1[[#This Row],[man minutes]]*Table1[[#This Row],[labor rate]]</f>
        <v>0</v>
      </c>
      <c r="U190" s="208">
        <f t="shared" si="25"/>
        <v>0</v>
      </c>
      <c r="V190" s="193">
        <f t="shared" si="24"/>
        <v>0.13</v>
      </c>
      <c r="W190" s="257">
        <f t="shared" ref="W190:W253" si="30">$W$2</f>
        <v>0.13</v>
      </c>
      <c r="X190" s="208">
        <f t="shared" si="26"/>
        <v>0</v>
      </c>
      <c r="Y190" s="208">
        <f t="shared" si="27"/>
        <v>0</v>
      </c>
      <c r="Z190" s="208">
        <f t="shared" si="28"/>
        <v>0</v>
      </c>
      <c r="AA190" s="210">
        <f>+Table1[[#This Row],[calculated sale price]]</f>
        <v>0</v>
      </c>
      <c r="AB190" s="209"/>
      <c r="AC190" s="213"/>
    </row>
    <row r="191" spans="1:29">
      <c r="A191" s="192">
        <v>1182</v>
      </c>
      <c r="C191" s="192">
        <v>1</v>
      </c>
      <c r="I191" s="192"/>
      <c r="J191" s="192"/>
      <c r="K191" s="192"/>
      <c r="L191" s="203"/>
      <c r="M191" s="192"/>
      <c r="N191" s="204"/>
      <c r="O191" s="205">
        <v>0</v>
      </c>
      <c r="P191" s="205">
        <f>Table1[[#This Row],[unit cost]]</f>
        <v>0</v>
      </c>
      <c r="Q191" s="207"/>
      <c r="R191" s="192">
        <v>1</v>
      </c>
      <c r="S191" s="256">
        <f t="shared" si="29"/>
        <v>0.42</v>
      </c>
      <c r="T191" s="208">
        <f>Table1[[#This Row],[man minutes]]*Table1[[#This Row],[labor rate]]</f>
        <v>0</v>
      </c>
      <c r="U191" s="208">
        <f t="shared" si="25"/>
        <v>0</v>
      </c>
      <c r="V191" s="193">
        <f t="shared" si="24"/>
        <v>0.13</v>
      </c>
      <c r="W191" s="257">
        <f t="shared" si="30"/>
        <v>0.13</v>
      </c>
      <c r="X191" s="208">
        <f t="shared" si="26"/>
        <v>0</v>
      </c>
      <c r="Y191" s="208">
        <f t="shared" si="27"/>
        <v>0</v>
      </c>
      <c r="Z191" s="208">
        <f t="shared" si="28"/>
        <v>0</v>
      </c>
      <c r="AA191" s="210">
        <f>+Table1[[#This Row],[calculated sale price]]</f>
        <v>0</v>
      </c>
      <c r="AB191" s="209"/>
      <c r="AC191" s="213"/>
    </row>
    <row r="192" spans="1:29">
      <c r="A192" s="192">
        <v>1183</v>
      </c>
      <c r="C192" s="192">
        <v>1</v>
      </c>
      <c r="I192" s="192"/>
      <c r="J192" s="192"/>
      <c r="K192" s="192"/>
      <c r="L192" s="203"/>
      <c r="M192" s="192"/>
      <c r="N192" s="204"/>
      <c r="O192" s="205">
        <v>0</v>
      </c>
      <c r="P192" s="205">
        <f>Table1[[#This Row],[unit cost]]</f>
        <v>0</v>
      </c>
      <c r="Q192" s="207"/>
      <c r="R192" s="192">
        <v>1</v>
      </c>
      <c r="S192" s="256">
        <f t="shared" si="29"/>
        <v>0.42</v>
      </c>
      <c r="T192" s="208">
        <f>Table1[[#This Row],[man minutes]]*Table1[[#This Row],[labor rate]]</f>
        <v>0</v>
      </c>
      <c r="U192" s="208">
        <f t="shared" si="25"/>
        <v>0</v>
      </c>
      <c r="V192" s="193">
        <f t="shared" si="24"/>
        <v>0.13</v>
      </c>
      <c r="W192" s="257">
        <f t="shared" si="30"/>
        <v>0.13</v>
      </c>
      <c r="X192" s="208">
        <f t="shared" si="26"/>
        <v>0</v>
      </c>
      <c r="Y192" s="208">
        <f t="shared" si="27"/>
        <v>0</v>
      </c>
      <c r="Z192" s="208">
        <f t="shared" si="28"/>
        <v>0</v>
      </c>
      <c r="AA192" s="210">
        <f>+Table1[[#This Row],[calculated sale price]]</f>
        <v>0</v>
      </c>
      <c r="AB192" s="209"/>
      <c r="AC192" s="213"/>
    </row>
    <row r="193" spans="1:29">
      <c r="A193" s="192">
        <v>1184</v>
      </c>
      <c r="C193" s="192">
        <v>1</v>
      </c>
      <c r="I193" s="192"/>
      <c r="J193" s="192"/>
      <c r="K193" s="192"/>
      <c r="L193" s="203"/>
      <c r="M193" s="192"/>
      <c r="N193" s="204"/>
      <c r="O193" s="205">
        <v>0</v>
      </c>
      <c r="P193" s="205">
        <f>Table1[[#This Row],[unit cost]]</f>
        <v>0</v>
      </c>
      <c r="Q193" s="207"/>
      <c r="R193" s="192">
        <v>1</v>
      </c>
      <c r="S193" s="256">
        <f t="shared" si="29"/>
        <v>0.42</v>
      </c>
      <c r="T193" s="208">
        <f>Table1[[#This Row],[man minutes]]*Table1[[#This Row],[labor rate]]</f>
        <v>0</v>
      </c>
      <c r="U193" s="208">
        <f t="shared" si="25"/>
        <v>0</v>
      </c>
      <c r="V193" s="193">
        <f t="shared" si="24"/>
        <v>0.13</v>
      </c>
      <c r="W193" s="257">
        <f t="shared" si="30"/>
        <v>0.13</v>
      </c>
      <c r="X193" s="208">
        <f t="shared" si="26"/>
        <v>0</v>
      </c>
      <c r="Y193" s="208">
        <f t="shared" si="27"/>
        <v>0</v>
      </c>
      <c r="Z193" s="208">
        <f t="shared" si="28"/>
        <v>0</v>
      </c>
      <c r="AA193" s="210">
        <f>+Table1[[#This Row],[calculated sale price]]</f>
        <v>0</v>
      </c>
      <c r="AB193" s="209"/>
      <c r="AC193" s="213"/>
    </row>
    <row r="194" spans="1:29">
      <c r="A194" s="192">
        <v>1185</v>
      </c>
      <c r="C194" s="192">
        <v>1</v>
      </c>
      <c r="I194" s="192"/>
      <c r="J194" s="192"/>
      <c r="K194" s="192"/>
      <c r="L194" s="203"/>
      <c r="M194" s="192"/>
      <c r="N194" s="204"/>
      <c r="O194" s="205">
        <v>0</v>
      </c>
      <c r="P194" s="205">
        <f>Table1[[#This Row],[unit cost]]</f>
        <v>0</v>
      </c>
      <c r="Q194" s="207"/>
      <c r="R194" s="192">
        <v>1</v>
      </c>
      <c r="S194" s="256">
        <f t="shared" si="29"/>
        <v>0.42</v>
      </c>
      <c r="T194" s="208">
        <f>Table1[[#This Row],[man minutes]]*Table1[[#This Row],[labor rate]]</f>
        <v>0</v>
      </c>
      <c r="U194" s="208">
        <f t="shared" si="25"/>
        <v>0</v>
      </c>
      <c r="V194" s="193">
        <f t="shared" si="24"/>
        <v>0.13</v>
      </c>
      <c r="W194" s="257">
        <f t="shared" si="30"/>
        <v>0.13</v>
      </c>
      <c r="X194" s="208">
        <f t="shared" si="26"/>
        <v>0</v>
      </c>
      <c r="Y194" s="208">
        <f t="shared" si="27"/>
        <v>0</v>
      </c>
      <c r="Z194" s="208">
        <f t="shared" si="28"/>
        <v>0</v>
      </c>
      <c r="AA194" s="210">
        <f>+Table1[[#This Row],[calculated sale price]]</f>
        <v>0</v>
      </c>
      <c r="AB194" s="209"/>
      <c r="AC194" s="213"/>
    </row>
    <row r="195" spans="1:29">
      <c r="A195" s="192">
        <v>1186</v>
      </c>
      <c r="C195" s="192">
        <v>1</v>
      </c>
      <c r="I195" s="192"/>
      <c r="J195" s="192"/>
      <c r="K195" s="192"/>
      <c r="L195" s="203"/>
      <c r="M195" s="192"/>
      <c r="N195" s="204"/>
      <c r="O195" s="205">
        <v>0</v>
      </c>
      <c r="P195" s="205">
        <f>Table1[[#This Row],[unit cost]]</f>
        <v>0</v>
      </c>
      <c r="Q195" s="207"/>
      <c r="R195" s="192">
        <v>1</v>
      </c>
      <c r="S195" s="256">
        <f t="shared" si="29"/>
        <v>0.42</v>
      </c>
      <c r="T195" s="208">
        <f>Table1[[#This Row],[man minutes]]*Table1[[#This Row],[labor rate]]</f>
        <v>0</v>
      </c>
      <c r="U195" s="208">
        <f t="shared" si="25"/>
        <v>0</v>
      </c>
      <c r="V195" s="193">
        <f t="shared" si="24"/>
        <v>0.13</v>
      </c>
      <c r="W195" s="257">
        <f t="shared" si="30"/>
        <v>0.13</v>
      </c>
      <c r="X195" s="208">
        <f t="shared" si="26"/>
        <v>0</v>
      </c>
      <c r="Y195" s="208">
        <f t="shared" si="27"/>
        <v>0</v>
      </c>
      <c r="Z195" s="208">
        <f t="shared" si="28"/>
        <v>0</v>
      </c>
      <c r="AA195" s="210">
        <f>+Table1[[#This Row],[calculated sale price]]</f>
        <v>0</v>
      </c>
      <c r="AB195" s="209"/>
      <c r="AC195" s="213"/>
    </row>
    <row r="196" spans="1:29">
      <c r="A196" s="192">
        <v>1187</v>
      </c>
      <c r="C196" s="192">
        <v>1</v>
      </c>
      <c r="I196" s="192"/>
      <c r="J196" s="192"/>
      <c r="K196" s="192"/>
      <c r="L196" s="203"/>
      <c r="M196" s="192"/>
      <c r="N196" s="204"/>
      <c r="O196" s="205">
        <v>0</v>
      </c>
      <c r="P196" s="205">
        <f>Table1[[#This Row],[unit cost]]</f>
        <v>0</v>
      </c>
      <c r="Q196" s="207"/>
      <c r="R196" s="192">
        <v>1</v>
      </c>
      <c r="S196" s="256">
        <f t="shared" si="29"/>
        <v>0.42</v>
      </c>
      <c r="T196" s="208">
        <f>Table1[[#This Row],[man minutes]]*Table1[[#This Row],[labor rate]]</f>
        <v>0</v>
      </c>
      <c r="U196" s="208">
        <f t="shared" si="25"/>
        <v>0</v>
      </c>
      <c r="V196" s="193">
        <f t="shared" si="24"/>
        <v>0.13</v>
      </c>
      <c r="W196" s="257">
        <f t="shared" si="30"/>
        <v>0.13</v>
      </c>
      <c r="X196" s="208">
        <f t="shared" si="26"/>
        <v>0</v>
      </c>
      <c r="Y196" s="208">
        <f t="shared" si="27"/>
        <v>0</v>
      </c>
      <c r="Z196" s="208">
        <f t="shared" si="28"/>
        <v>0</v>
      </c>
      <c r="AA196" s="210">
        <f>+Table1[[#This Row],[calculated sale price]]</f>
        <v>0</v>
      </c>
      <c r="AB196" s="209"/>
      <c r="AC196" s="213"/>
    </row>
    <row r="197" spans="1:29">
      <c r="A197" s="192">
        <v>1188</v>
      </c>
      <c r="C197" s="192">
        <v>1</v>
      </c>
      <c r="I197" s="192"/>
      <c r="J197" s="192"/>
      <c r="K197" s="192"/>
      <c r="L197" s="203"/>
      <c r="M197" s="192"/>
      <c r="N197" s="204"/>
      <c r="O197" s="205">
        <v>0</v>
      </c>
      <c r="P197" s="205">
        <f>Table1[[#This Row],[unit cost]]</f>
        <v>0</v>
      </c>
      <c r="Q197" s="207"/>
      <c r="R197" s="192">
        <v>1</v>
      </c>
      <c r="S197" s="256">
        <f t="shared" si="29"/>
        <v>0.42</v>
      </c>
      <c r="T197" s="208">
        <f>Table1[[#This Row],[man minutes]]*Table1[[#This Row],[labor rate]]</f>
        <v>0</v>
      </c>
      <c r="U197" s="208">
        <f t="shared" si="25"/>
        <v>0</v>
      </c>
      <c r="V197" s="193">
        <f t="shared" si="24"/>
        <v>0.13</v>
      </c>
      <c r="W197" s="257">
        <f t="shared" si="30"/>
        <v>0.13</v>
      </c>
      <c r="X197" s="208">
        <f t="shared" si="26"/>
        <v>0</v>
      </c>
      <c r="Y197" s="208">
        <f t="shared" si="27"/>
        <v>0</v>
      </c>
      <c r="Z197" s="208">
        <f t="shared" si="28"/>
        <v>0</v>
      </c>
      <c r="AA197" s="210">
        <f>+Table1[[#This Row],[calculated sale price]]</f>
        <v>0</v>
      </c>
      <c r="AB197" s="209"/>
      <c r="AC197" s="213"/>
    </row>
    <row r="198" spans="1:29">
      <c r="A198" s="192">
        <v>1189</v>
      </c>
      <c r="C198" s="192">
        <v>1</v>
      </c>
      <c r="I198" s="192"/>
      <c r="J198" s="192"/>
      <c r="K198" s="192"/>
      <c r="L198" s="203"/>
      <c r="M198" s="192"/>
      <c r="N198" s="204"/>
      <c r="O198" s="205">
        <v>0</v>
      </c>
      <c r="P198" s="205">
        <f>Table1[[#This Row],[unit cost]]</f>
        <v>0</v>
      </c>
      <c r="Q198" s="207"/>
      <c r="R198" s="192">
        <v>1</v>
      </c>
      <c r="S198" s="256">
        <f t="shared" si="29"/>
        <v>0.42</v>
      </c>
      <c r="T198" s="208">
        <f>Table1[[#This Row],[man minutes]]*Table1[[#This Row],[labor rate]]</f>
        <v>0</v>
      </c>
      <c r="U198" s="208">
        <f t="shared" si="25"/>
        <v>0</v>
      </c>
      <c r="V198" s="193">
        <f t="shared" si="24"/>
        <v>0.13</v>
      </c>
      <c r="W198" s="257">
        <f t="shared" si="30"/>
        <v>0.13</v>
      </c>
      <c r="X198" s="208">
        <f t="shared" si="26"/>
        <v>0</v>
      </c>
      <c r="Y198" s="208">
        <f t="shared" si="27"/>
        <v>0</v>
      </c>
      <c r="Z198" s="208">
        <f t="shared" si="28"/>
        <v>0</v>
      </c>
      <c r="AA198" s="210">
        <f>+Table1[[#This Row],[calculated sale price]]</f>
        <v>0</v>
      </c>
      <c r="AB198" s="209"/>
      <c r="AC198" s="213"/>
    </row>
    <row r="199" spans="1:29">
      <c r="A199" s="192">
        <v>1190</v>
      </c>
      <c r="C199" s="192">
        <v>1</v>
      </c>
      <c r="I199" s="192"/>
      <c r="J199" s="192"/>
      <c r="K199" s="192"/>
      <c r="L199" s="203"/>
      <c r="M199" s="192"/>
      <c r="N199" s="204"/>
      <c r="O199" s="205">
        <v>0</v>
      </c>
      <c r="P199" s="205">
        <f>Table1[[#This Row],[unit cost]]</f>
        <v>0</v>
      </c>
      <c r="Q199" s="207"/>
      <c r="R199" s="192">
        <v>1</v>
      </c>
      <c r="S199" s="256">
        <f t="shared" si="29"/>
        <v>0.42</v>
      </c>
      <c r="T199" s="208">
        <f>Table1[[#This Row],[man minutes]]*Table1[[#This Row],[labor rate]]</f>
        <v>0</v>
      </c>
      <c r="U199" s="208">
        <f t="shared" si="25"/>
        <v>0</v>
      </c>
      <c r="V199" s="193">
        <f t="shared" si="24"/>
        <v>0.13</v>
      </c>
      <c r="W199" s="257">
        <f t="shared" si="30"/>
        <v>0.13</v>
      </c>
      <c r="X199" s="208">
        <f t="shared" si="26"/>
        <v>0</v>
      </c>
      <c r="Y199" s="208">
        <f t="shared" si="27"/>
        <v>0</v>
      </c>
      <c r="Z199" s="208">
        <f t="shared" si="28"/>
        <v>0</v>
      </c>
      <c r="AA199" s="210">
        <f>+Table1[[#This Row],[calculated sale price]]</f>
        <v>0</v>
      </c>
      <c r="AB199" s="209"/>
      <c r="AC199" s="213"/>
    </row>
    <row r="200" spans="1:29">
      <c r="A200" s="192">
        <v>1191</v>
      </c>
      <c r="C200" s="192">
        <v>1</v>
      </c>
      <c r="I200" s="192"/>
      <c r="J200" s="192"/>
      <c r="K200" s="192"/>
      <c r="L200" s="203"/>
      <c r="M200" s="192"/>
      <c r="N200" s="204"/>
      <c r="O200" s="205">
        <v>0</v>
      </c>
      <c r="P200" s="205">
        <f>Table1[[#This Row],[unit cost]]</f>
        <v>0</v>
      </c>
      <c r="Q200" s="207"/>
      <c r="R200" s="192">
        <v>1</v>
      </c>
      <c r="S200" s="256">
        <f t="shared" si="29"/>
        <v>0.42</v>
      </c>
      <c r="T200" s="208">
        <f>Table1[[#This Row],[man minutes]]*Table1[[#This Row],[labor rate]]</f>
        <v>0</v>
      </c>
      <c r="U200" s="208">
        <f t="shared" si="25"/>
        <v>0</v>
      </c>
      <c r="V200" s="193">
        <f t="shared" si="24"/>
        <v>0.13</v>
      </c>
      <c r="W200" s="257">
        <f t="shared" si="30"/>
        <v>0.13</v>
      </c>
      <c r="X200" s="208">
        <f t="shared" si="26"/>
        <v>0</v>
      </c>
      <c r="Y200" s="208">
        <f t="shared" si="27"/>
        <v>0</v>
      </c>
      <c r="Z200" s="208">
        <f t="shared" si="28"/>
        <v>0</v>
      </c>
      <c r="AA200" s="210">
        <f>+Table1[[#This Row],[calculated sale price]]</f>
        <v>0</v>
      </c>
      <c r="AB200" s="209"/>
      <c r="AC200" s="213"/>
    </row>
    <row r="201" spans="1:29">
      <c r="A201" s="192">
        <v>1192</v>
      </c>
      <c r="C201" s="192">
        <v>1</v>
      </c>
      <c r="I201" s="192"/>
      <c r="J201" s="192"/>
      <c r="K201" s="192"/>
      <c r="L201" s="203"/>
      <c r="M201" s="192"/>
      <c r="N201" s="204"/>
      <c r="O201" s="205">
        <v>0</v>
      </c>
      <c r="P201" s="205">
        <f>Table1[[#This Row],[unit cost]]</f>
        <v>0</v>
      </c>
      <c r="Q201" s="207"/>
      <c r="R201" s="192">
        <v>1</v>
      </c>
      <c r="S201" s="256">
        <f t="shared" si="29"/>
        <v>0.42</v>
      </c>
      <c r="T201" s="208">
        <f>Table1[[#This Row],[man minutes]]*Table1[[#This Row],[labor rate]]</f>
        <v>0</v>
      </c>
      <c r="U201" s="208">
        <f t="shared" si="25"/>
        <v>0</v>
      </c>
      <c r="V201" s="193">
        <f t="shared" si="24"/>
        <v>0.13</v>
      </c>
      <c r="W201" s="257">
        <f t="shared" si="30"/>
        <v>0.13</v>
      </c>
      <c r="X201" s="208">
        <f t="shared" si="26"/>
        <v>0</v>
      </c>
      <c r="Y201" s="208">
        <f t="shared" si="27"/>
        <v>0</v>
      </c>
      <c r="Z201" s="208">
        <f t="shared" si="28"/>
        <v>0</v>
      </c>
      <c r="AA201" s="210">
        <f>+Table1[[#This Row],[calculated sale price]]</f>
        <v>0</v>
      </c>
      <c r="AB201" s="209"/>
      <c r="AC201" s="213"/>
    </row>
    <row r="202" spans="1:29">
      <c r="A202" s="192">
        <v>1193</v>
      </c>
      <c r="C202" s="192">
        <v>1</v>
      </c>
      <c r="I202" s="192"/>
      <c r="J202" s="192"/>
      <c r="K202" s="192"/>
      <c r="L202" s="203"/>
      <c r="M202" s="192"/>
      <c r="N202" s="204"/>
      <c r="O202" s="205">
        <v>0</v>
      </c>
      <c r="P202" s="205">
        <f>Table1[[#This Row],[unit cost]]</f>
        <v>0</v>
      </c>
      <c r="Q202" s="207"/>
      <c r="R202" s="192">
        <v>1</v>
      </c>
      <c r="S202" s="256">
        <f t="shared" si="29"/>
        <v>0.42</v>
      </c>
      <c r="T202" s="208">
        <f>Table1[[#This Row],[man minutes]]*Table1[[#This Row],[labor rate]]</f>
        <v>0</v>
      </c>
      <c r="U202" s="208">
        <f t="shared" si="25"/>
        <v>0</v>
      </c>
      <c r="V202" s="193">
        <f t="shared" si="24"/>
        <v>0.13</v>
      </c>
      <c r="W202" s="257">
        <f t="shared" si="30"/>
        <v>0.13</v>
      </c>
      <c r="X202" s="208">
        <f t="shared" si="26"/>
        <v>0</v>
      </c>
      <c r="Y202" s="208">
        <f t="shared" si="27"/>
        <v>0</v>
      </c>
      <c r="Z202" s="208">
        <f t="shared" si="28"/>
        <v>0</v>
      </c>
      <c r="AA202" s="210">
        <f>+Table1[[#This Row],[calculated sale price]]</f>
        <v>0</v>
      </c>
      <c r="AB202" s="209"/>
      <c r="AC202" s="213"/>
    </row>
    <row r="203" spans="1:29">
      <c r="A203" s="192">
        <v>1194</v>
      </c>
      <c r="C203" s="192">
        <v>1</v>
      </c>
      <c r="I203" s="192"/>
      <c r="J203" s="192"/>
      <c r="K203" s="192"/>
      <c r="L203" s="203"/>
      <c r="M203" s="192"/>
      <c r="N203" s="204"/>
      <c r="O203" s="205">
        <v>0</v>
      </c>
      <c r="P203" s="205">
        <f>Table1[[#This Row],[unit cost]]</f>
        <v>0</v>
      </c>
      <c r="Q203" s="207"/>
      <c r="R203" s="192">
        <v>1</v>
      </c>
      <c r="S203" s="256">
        <f t="shared" si="29"/>
        <v>0.42</v>
      </c>
      <c r="T203" s="208">
        <f>Table1[[#This Row],[man minutes]]*Table1[[#This Row],[labor rate]]</f>
        <v>0</v>
      </c>
      <c r="U203" s="208">
        <f t="shared" si="25"/>
        <v>0</v>
      </c>
      <c r="V203" s="193">
        <f t="shared" si="24"/>
        <v>0.13</v>
      </c>
      <c r="W203" s="257">
        <f t="shared" si="30"/>
        <v>0.13</v>
      </c>
      <c r="X203" s="208">
        <f t="shared" si="26"/>
        <v>0</v>
      </c>
      <c r="Y203" s="208">
        <f t="shared" si="27"/>
        <v>0</v>
      </c>
      <c r="Z203" s="208">
        <f t="shared" si="28"/>
        <v>0</v>
      </c>
      <c r="AA203" s="210">
        <f>+Table1[[#This Row],[calculated sale price]]</f>
        <v>0</v>
      </c>
      <c r="AB203" s="209"/>
      <c r="AC203" s="213"/>
    </row>
    <row r="204" spans="1:29">
      <c r="A204" s="192">
        <v>1195</v>
      </c>
      <c r="C204" s="192">
        <v>1</v>
      </c>
      <c r="I204" s="192"/>
      <c r="J204" s="192"/>
      <c r="K204" s="192"/>
      <c r="L204" s="203"/>
      <c r="M204" s="192"/>
      <c r="N204" s="204"/>
      <c r="O204" s="205">
        <v>0</v>
      </c>
      <c r="P204" s="205">
        <f>Table1[[#This Row],[unit cost]]</f>
        <v>0</v>
      </c>
      <c r="Q204" s="207"/>
      <c r="R204" s="192">
        <v>1</v>
      </c>
      <c r="S204" s="256">
        <f t="shared" si="29"/>
        <v>0.42</v>
      </c>
      <c r="T204" s="208">
        <f>Table1[[#This Row],[man minutes]]*Table1[[#This Row],[labor rate]]</f>
        <v>0</v>
      </c>
      <c r="U204" s="208">
        <f t="shared" si="25"/>
        <v>0</v>
      </c>
      <c r="V204" s="193">
        <f t="shared" si="24"/>
        <v>0.13</v>
      </c>
      <c r="W204" s="257">
        <f t="shared" si="30"/>
        <v>0.13</v>
      </c>
      <c r="X204" s="208">
        <f t="shared" si="26"/>
        <v>0</v>
      </c>
      <c r="Y204" s="208">
        <f t="shared" si="27"/>
        <v>0</v>
      </c>
      <c r="Z204" s="208">
        <f t="shared" si="28"/>
        <v>0</v>
      </c>
      <c r="AA204" s="210">
        <f>+Table1[[#This Row],[calculated sale price]]</f>
        <v>0</v>
      </c>
      <c r="AB204" s="209"/>
      <c r="AC204" s="213"/>
    </row>
    <row r="205" spans="1:29">
      <c r="A205" s="192">
        <v>1196</v>
      </c>
      <c r="C205" s="192">
        <v>1</v>
      </c>
      <c r="I205" s="192"/>
      <c r="J205" s="192"/>
      <c r="K205" s="192"/>
      <c r="L205" s="203"/>
      <c r="M205" s="192"/>
      <c r="N205" s="204"/>
      <c r="O205" s="205">
        <v>0</v>
      </c>
      <c r="P205" s="205">
        <f>Table1[[#This Row],[unit cost]]</f>
        <v>0</v>
      </c>
      <c r="Q205" s="207"/>
      <c r="R205" s="192">
        <v>1</v>
      </c>
      <c r="S205" s="256">
        <f t="shared" si="29"/>
        <v>0.42</v>
      </c>
      <c r="T205" s="208">
        <f>Table1[[#This Row],[man minutes]]*Table1[[#This Row],[labor rate]]</f>
        <v>0</v>
      </c>
      <c r="U205" s="208">
        <f t="shared" si="25"/>
        <v>0</v>
      </c>
      <c r="V205" s="193">
        <f t="shared" si="24"/>
        <v>0.13</v>
      </c>
      <c r="W205" s="257">
        <f t="shared" si="30"/>
        <v>0.13</v>
      </c>
      <c r="X205" s="208">
        <f t="shared" si="26"/>
        <v>0</v>
      </c>
      <c r="Y205" s="208">
        <f t="shared" si="27"/>
        <v>0</v>
      </c>
      <c r="Z205" s="208">
        <f t="shared" si="28"/>
        <v>0</v>
      </c>
      <c r="AA205" s="210">
        <f>+Table1[[#This Row],[calculated sale price]]</f>
        <v>0</v>
      </c>
      <c r="AB205" s="209"/>
      <c r="AC205" s="213"/>
    </row>
    <row r="206" spans="1:29">
      <c r="A206" s="192">
        <v>1197</v>
      </c>
      <c r="C206" s="192">
        <v>1</v>
      </c>
      <c r="I206" s="192"/>
      <c r="J206" s="192"/>
      <c r="K206" s="192"/>
      <c r="L206" s="203"/>
      <c r="M206" s="192"/>
      <c r="N206" s="204"/>
      <c r="O206" s="205">
        <v>0</v>
      </c>
      <c r="P206" s="205">
        <f>Table1[[#This Row],[unit cost]]</f>
        <v>0</v>
      </c>
      <c r="Q206" s="207"/>
      <c r="R206" s="192">
        <v>1</v>
      </c>
      <c r="S206" s="256">
        <f t="shared" si="29"/>
        <v>0.42</v>
      </c>
      <c r="T206" s="208">
        <f>Table1[[#This Row],[man minutes]]*Table1[[#This Row],[labor rate]]</f>
        <v>0</v>
      </c>
      <c r="U206" s="208">
        <f t="shared" si="25"/>
        <v>0</v>
      </c>
      <c r="V206" s="193">
        <f t="shared" si="24"/>
        <v>0.13</v>
      </c>
      <c r="W206" s="257">
        <f t="shared" si="30"/>
        <v>0.13</v>
      </c>
      <c r="X206" s="208">
        <f t="shared" si="26"/>
        <v>0</v>
      </c>
      <c r="Y206" s="208">
        <f t="shared" si="27"/>
        <v>0</v>
      </c>
      <c r="Z206" s="208">
        <f t="shared" si="28"/>
        <v>0</v>
      </c>
      <c r="AA206" s="210">
        <f>+Table1[[#This Row],[calculated sale price]]</f>
        <v>0</v>
      </c>
      <c r="AB206" s="209"/>
      <c r="AC206" s="213"/>
    </row>
    <row r="207" spans="1:29">
      <c r="A207" s="192">
        <v>1198</v>
      </c>
      <c r="C207" s="192">
        <v>1</v>
      </c>
      <c r="I207" s="192"/>
      <c r="J207" s="192"/>
      <c r="K207" s="192"/>
      <c r="L207" s="203"/>
      <c r="M207" s="192"/>
      <c r="N207" s="204"/>
      <c r="O207" s="205">
        <v>0</v>
      </c>
      <c r="P207" s="205">
        <f>Table1[[#This Row],[unit cost]]</f>
        <v>0</v>
      </c>
      <c r="Q207" s="207"/>
      <c r="R207" s="192">
        <v>1</v>
      </c>
      <c r="S207" s="256">
        <f t="shared" si="29"/>
        <v>0.42</v>
      </c>
      <c r="T207" s="208">
        <f>Table1[[#This Row],[man minutes]]*Table1[[#This Row],[labor rate]]</f>
        <v>0</v>
      </c>
      <c r="U207" s="208">
        <f t="shared" si="25"/>
        <v>0</v>
      </c>
      <c r="V207" s="193">
        <f t="shared" si="24"/>
        <v>0.13</v>
      </c>
      <c r="W207" s="257">
        <f t="shared" si="30"/>
        <v>0.13</v>
      </c>
      <c r="X207" s="208">
        <f t="shared" si="26"/>
        <v>0</v>
      </c>
      <c r="Y207" s="208">
        <f t="shared" si="27"/>
        <v>0</v>
      </c>
      <c r="Z207" s="208">
        <f t="shared" si="28"/>
        <v>0</v>
      </c>
      <c r="AA207" s="210">
        <f>+Table1[[#This Row],[calculated sale price]]</f>
        <v>0</v>
      </c>
      <c r="AB207" s="209"/>
      <c r="AC207" s="213"/>
    </row>
    <row r="208" spans="1:29">
      <c r="A208" s="192">
        <v>1199</v>
      </c>
      <c r="C208" s="192">
        <v>1</v>
      </c>
      <c r="I208" s="192"/>
      <c r="J208" s="192"/>
      <c r="K208" s="192"/>
      <c r="L208" s="203"/>
      <c r="M208" s="192"/>
      <c r="N208" s="204"/>
      <c r="O208" s="205">
        <v>0</v>
      </c>
      <c r="P208" s="205">
        <f>Table1[[#This Row],[unit cost]]</f>
        <v>0</v>
      </c>
      <c r="Q208" s="207"/>
      <c r="R208" s="192">
        <v>1</v>
      </c>
      <c r="S208" s="256">
        <f t="shared" si="29"/>
        <v>0.42</v>
      </c>
      <c r="T208" s="208">
        <f>Table1[[#This Row],[man minutes]]*Table1[[#This Row],[labor rate]]</f>
        <v>0</v>
      </c>
      <c r="U208" s="208">
        <f t="shared" si="25"/>
        <v>0</v>
      </c>
      <c r="V208" s="193">
        <f t="shared" ref="V208:V253" si="31">$V$2</f>
        <v>0.13</v>
      </c>
      <c r="W208" s="257">
        <f t="shared" si="30"/>
        <v>0.13</v>
      </c>
      <c r="X208" s="208">
        <f t="shared" si="26"/>
        <v>0</v>
      </c>
      <c r="Y208" s="208">
        <f t="shared" si="27"/>
        <v>0</v>
      </c>
      <c r="Z208" s="208">
        <f t="shared" si="28"/>
        <v>0</v>
      </c>
      <c r="AA208" s="210">
        <f>+Table1[[#This Row],[calculated sale price]]</f>
        <v>0</v>
      </c>
      <c r="AB208" s="209"/>
      <c r="AC208" s="213"/>
    </row>
    <row r="209" spans="1:29">
      <c r="A209" s="192">
        <v>1200</v>
      </c>
      <c r="C209" s="192">
        <v>1</v>
      </c>
      <c r="I209" s="192"/>
      <c r="J209" s="192"/>
      <c r="K209" s="192"/>
      <c r="L209" s="203"/>
      <c r="M209" s="192"/>
      <c r="N209" s="204"/>
      <c r="O209" s="205">
        <v>0</v>
      </c>
      <c r="P209" s="205">
        <f>Table1[[#This Row],[unit cost]]</f>
        <v>0</v>
      </c>
      <c r="Q209" s="207"/>
      <c r="R209" s="192">
        <v>1</v>
      </c>
      <c r="S209" s="256">
        <f t="shared" si="29"/>
        <v>0.42</v>
      </c>
      <c r="T209" s="208">
        <f>Table1[[#This Row],[man minutes]]*Table1[[#This Row],[labor rate]]</f>
        <v>0</v>
      </c>
      <c r="U209" s="208">
        <f t="shared" si="25"/>
        <v>0</v>
      </c>
      <c r="V209" s="193">
        <f t="shared" si="31"/>
        <v>0.13</v>
      </c>
      <c r="W209" s="257">
        <f t="shared" si="30"/>
        <v>0.13</v>
      </c>
      <c r="X209" s="208">
        <f t="shared" si="26"/>
        <v>0</v>
      </c>
      <c r="Y209" s="208">
        <f t="shared" si="27"/>
        <v>0</v>
      </c>
      <c r="Z209" s="208">
        <f t="shared" si="28"/>
        <v>0</v>
      </c>
      <c r="AA209" s="210">
        <f>+Table1[[#This Row],[calculated sale price]]</f>
        <v>0</v>
      </c>
      <c r="AB209" s="209"/>
      <c r="AC209" s="213"/>
    </row>
    <row r="210" spans="1:29">
      <c r="A210" s="192">
        <v>1201</v>
      </c>
      <c r="C210" s="192">
        <v>1</v>
      </c>
      <c r="I210" s="192"/>
      <c r="J210" s="192"/>
      <c r="K210" s="192"/>
      <c r="L210" s="203"/>
      <c r="M210" s="192"/>
      <c r="N210" s="204"/>
      <c r="O210" s="205">
        <v>0</v>
      </c>
      <c r="P210" s="205">
        <f>Table1[[#This Row],[unit cost]]</f>
        <v>0</v>
      </c>
      <c r="Q210" s="207"/>
      <c r="R210" s="192">
        <v>1</v>
      </c>
      <c r="S210" s="256">
        <f t="shared" si="29"/>
        <v>0.42</v>
      </c>
      <c r="T210" s="208">
        <f>Table1[[#This Row],[man minutes]]*Table1[[#This Row],[labor rate]]</f>
        <v>0</v>
      </c>
      <c r="U210" s="208">
        <f t="shared" si="25"/>
        <v>0</v>
      </c>
      <c r="V210" s="193">
        <f t="shared" si="31"/>
        <v>0.13</v>
      </c>
      <c r="W210" s="257">
        <f t="shared" si="30"/>
        <v>0.13</v>
      </c>
      <c r="X210" s="208">
        <f t="shared" si="26"/>
        <v>0</v>
      </c>
      <c r="Y210" s="208">
        <f t="shared" si="27"/>
        <v>0</v>
      </c>
      <c r="Z210" s="208">
        <f t="shared" si="28"/>
        <v>0</v>
      </c>
      <c r="AA210" s="210">
        <f>+Table1[[#This Row],[calculated sale price]]</f>
        <v>0</v>
      </c>
      <c r="AB210" s="209"/>
      <c r="AC210" s="213"/>
    </row>
    <row r="211" spans="1:29">
      <c r="A211" s="192">
        <v>1202</v>
      </c>
      <c r="C211" s="192">
        <v>1</v>
      </c>
      <c r="I211" s="192"/>
      <c r="J211" s="192"/>
      <c r="K211" s="192"/>
      <c r="L211" s="203"/>
      <c r="M211" s="192"/>
      <c r="N211" s="204"/>
      <c r="O211" s="205">
        <v>0</v>
      </c>
      <c r="P211" s="205">
        <f>Table1[[#This Row],[unit cost]]</f>
        <v>0</v>
      </c>
      <c r="Q211" s="207"/>
      <c r="R211" s="192">
        <v>1</v>
      </c>
      <c r="S211" s="256">
        <f t="shared" si="29"/>
        <v>0.42</v>
      </c>
      <c r="T211" s="208">
        <f>Table1[[#This Row],[man minutes]]*Table1[[#This Row],[labor rate]]</f>
        <v>0</v>
      </c>
      <c r="U211" s="208">
        <f t="shared" si="25"/>
        <v>0</v>
      </c>
      <c r="V211" s="193">
        <f t="shared" si="31"/>
        <v>0.13</v>
      </c>
      <c r="W211" s="257">
        <f t="shared" si="30"/>
        <v>0.13</v>
      </c>
      <c r="X211" s="208">
        <f t="shared" si="26"/>
        <v>0</v>
      </c>
      <c r="Y211" s="208">
        <f t="shared" si="27"/>
        <v>0</v>
      </c>
      <c r="Z211" s="208">
        <f t="shared" si="28"/>
        <v>0</v>
      </c>
      <c r="AA211" s="210">
        <f>+Table1[[#This Row],[calculated sale price]]</f>
        <v>0</v>
      </c>
      <c r="AB211" s="209"/>
      <c r="AC211" s="213"/>
    </row>
    <row r="212" spans="1:29">
      <c r="A212" s="192">
        <v>1203</v>
      </c>
      <c r="C212" s="192">
        <v>1</v>
      </c>
      <c r="I212" s="192"/>
      <c r="J212" s="192"/>
      <c r="K212" s="192"/>
      <c r="L212" s="203"/>
      <c r="M212" s="192"/>
      <c r="N212" s="204"/>
      <c r="O212" s="205">
        <v>0</v>
      </c>
      <c r="P212" s="205">
        <f>Table1[[#This Row],[unit cost]]</f>
        <v>0</v>
      </c>
      <c r="Q212" s="207"/>
      <c r="R212" s="192">
        <v>1</v>
      </c>
      <c r="S212" s="256">
        <f t="shared" si="29"/>
        <v>0.42</v>
      </c>
      <c r="T212" s="208">
        <f>Table1[[#This Row],[man minutes]]*Table1[[#This Row],[labor rate]]</f>
        <v>0</v>
      </c>
      <c r="U212" s="208">
        <f t="shared" si="25"/>
        <v>0</v>
      </c>
      <c r="V212" s="193">
        <f t="shared" si="31"/>
        <v>0.13</v>
      </c>
      <c r="W212" s="257">
        <f t="shared" si="30"/>
        <v>0.13</v>
      </c>
      <c r="X212" s="208">
        <f t="shared" si="26"/>
        <v>0</v>
      </c>
      <c r="Y212" s="208">
        <f t="shared" si="27"/>
        <v>0</v>
      </c>
      <c r="Z212" s="208">
        <f t="shared" si="28"/>
        <v>0</v>
      </c>
      <c r="AA212" s="210">
        <f>+Table1[[#This Row],[calculated sale price]]</f>
        <v>0</v>
      </c>
      <c r="AB212" s="209"/>
      <c r="AC212" s="213"/>
    </row>
    <row r="213" spans="1:29">
      <c r="A213" s="192">
        <v>1204</v>
      </c>
      <c r="C213" s="192">
        <v>1</v>
      </c>
      <c r="I213" s="192"/>
      <c r="J213" s="192"/>
      <c r="K213" s="192"/>
      <c r="L213" s="203"/>
      <c r="M213" s="192"/>
      <c r="N213" s="204"/>
      <c r="O213" s="205">
        <v>0</v>
      </c>
      <c r="P213" s="205">
        <f>Table1[[#This Row],[unit cost]]</f>
        <v>0</v>
      </c>
      <c r="Q213" s="207"/>
      <c r="R213" s="192">
        <v>1</v>
      </c>
      <c r="S213" s="256">
        <f t="shared" si="29"/>
        <v>0.42</v>
      </c>
      <c r="T213" s="208">
        <f>Table1[[#This Row],[man minutes]]*Table1[[#This Row],[labor rate]]</f>
        <v>0</v>
      </c>
      <c r="U213" s="208">
        <f t="shared" si="25"/>
        <v>0</v>
      </c>
      <c r="V213" s="193">
        <f t="shared" si="31"/>
        <v>0.13</v>
      </c>
      <c r="W213" s="257">
        <f t="shared" si="30"/>
        <v>0.13</v>
      </c>
      <c r="X213" s="208">
        <f t="shared" si="26"/>
        <v>0</v>
      </c>
      <c r="Y213" s="208">
        <f t="shared" si="27"/>
        <v>0</v>
      </c>
      <c r="Z213" s="208">
        <f t="shared" si="28"/>
        <v>0</v>
      </c>
      <c r="AA213" s="210">
        <f>+Table1[[#This Row],[calculated sale price]]</f>
        <v>0</v>
      </c>
      <c r="AB213" s="209"/>
      <c r="AC213" s="213"/>
    </row>
    <row r="214" spans="1:29">
      <c r="A214" s="192">
        <v>1205</v>
      </c>
      <c r="C214" s="192">
        <v>1</v>
      </c>
      <c r="I214" s="192"/>
      <c r="J214" s="192"/>
      <c r="K214" s="192"/>
      <c r="L214" s="203"/>
      <c r="M214" s="192"/>
      <c r="N214" s="204"/>
      <c r="O214" s="205">
        <v>0</v>
      </c>
      <c r="P214" s="205">
        <f>Table1[[#This Row],[unit cost]]</f>
        <v>0</v>
      </c>
      <c r="Q214" s="207"/>
      <c r="R214" s="192">
        <v>1</v>
      </c>
      <c r="S214" s="256">
        <f t="shared" si="29"/>
        <v>0.42</v>
      </c>
      <c r="T214" s="208">
        <f>Table1[[#This Row],[man minutes]]*Table1[[#This Row],[labor rate]]</f>
        <v>0</v>
      </c>
      <c r="U214" s="208">
        <f t="shared" si="25"/>
        <v>0</v>
      </c>
      <c r="V214" s="193">
        <f t="shared" si="31"/>
        <v>0.13</v>
      </c>
      <c r="W214" s="257">
        <f t="shared" si="30"/>
        <v>0.13</v>
      </c>
      <c r="X214" s="208">
        <f t="shared" si="26"/>
        <v>0</v>
      </c>
      <c r="Y214" s="208">
        <f t="shared" si="27"/>
        <v>0</v>
      </c>
      <c r="Z214" s="208">
        <f t="shared" si="28"/>
        <v>0</v>
      </c>
      <c r="AA214" s="210">
        <f>+Table1[[#This Row],[calculated sale price]]</f>
        <v>0</v>
      </c>
      <c r="AB214" s="209"/>
      <c r="AC214" s="213"/>
    </row>
    <row r="215" spans="1:29">
      <c r="A215" s="192">
        <v>1206</v>
      </c>
      <c r="C215" s="192">
        <v>1</v>
      </c>
      <c r="I215" s="192"/>
      <c r="J215" s="192"/>
      <c r="K215" s="192"/>
      <c r="L215" s="203"/>
      <c r="M215" s="192"/>
      <c r="N215" s="204"/>
      <c r="O215" s="205">
        <v>0</v>
      </c>
      <c r="P215" s="205">
        <f>Table1[[#This Row],[unit cost]]</f>
        <v>0</v>
      </c>
      <c r="Q215" s="207"/>
      <c r="R215" s="192">
        <v>1</v>
      </c>
      <c r="S215" s="256">
        <f t="shared" si="29"/>
        <v>0.42</v>
      </c>
      <c r="T215" s="208">
        <f>Table1[[#This Row],[man minutes]]*Table1[[#This Row],[labor rate]]</f>
        <v>0</v>
      </c>
      <c r="U215" s="208">
        <f t="shared" si="25"/>
        <v>0</v>
      </c>
      <c r="V215" s="193">
        <f t="shared" si="31"/>
        <v>0.13</v>
      </c>
      <c r="W215" s="257">
        <f t="shared" si="30"/>
        <v>0.13</v>
      </c>
      <c r="X215" s="208">
        <f t="shared" si="26"/>
        <v>0</v>
      </c>
      <c r="Y215" s="208">
        <f t="shared" si="27"/>
        <v>0</v>
      </c>
      <c r="Z215" s="208">
        <f t="shared" si="28"/>
        <v>0</v>
      </c>
      <c r="AA215" s="210">
        <f>+Table1[[#This Row],[calculated sale price]]</f>
        <v>0</v>
      </c>
      <c r="AB215" s="209"/>
      <c r="AC215" s="213"/>
    </row>
    <row r="216" spans="1:29">
      <c r="A216" s="192">
        <v>1207</v>
      </c>
      <c r="C216" s="192">
        <v>1</v>
      </c>
      <c r="I216" s="192"/>
      <c r="J216" s="192"/>
      <c r="K216" s="192"/>
      <c r="L216" s="203"/>
      <c r="M216" s="192"/>
      <c r="N216" s="204"/>
      <c r="O216" s="205">
        <v>0</v>
      </c>
      <c r="P216" s="205">
        <f>Table1[[#This Row],[unit cost]]</f>
        <v>0</v>
      </c>
      <c r="Q216" s="207"/>
      <c r="R216" s="192">
        <v>1</v>
      </c>
      <c r="S216" s="256">
        <f t="shared" si="29"/>
        <v>0.42</v>
      </c>
      <c r="T216" s="208">
        <f>Table1[[#This Row],[man minutes]]*Table1[[#This Row],[labor rate]]</f>
        <v>0</v>
      </c>
      <c r="U216" s="208">
        <f t="shared" ref="U216:U253" si="32">P216+T216</f>
        <v>0</v>
      </c>
      <c r="V216" s="193">
        <f t="shared" si="31"/>
        <v>0.13</v>
      </c>
      <c r="W216" s="257">
        <f t="shared" si="30"/>
        <v>0.13</v>
      </c>
      <c r="X216" s="208">
        <f t="shared" ref="X216:X253" si="33">P216*(1+V216)</f>
        <v>0</v>
      </c>
      <c r="Y216" s="208">
        <f t="shared" ref="Y216:Y253" si="34">T216+(T216*W216)</f>
        <v>0</v>
      </c>
      <c r="Z216" s="208">
        <f t="shared" ref="Z216:Z253" si="35">IFERROR(ROUNDUP(X216+Y216,2)," ")</f>
        <v>0</v>
      </c>
      <c r="AA216" s="210">
        <f>+Table1[[#This Row],[calculated sale price]]</f>
        <v>0</v>
      </c>
      <c r="AB216" s="209"/>
      <c r="AC216" s="213"/>
    </row>
    <row r="217" spans="1:29">
      <c r="A217" s="192">
        <v>1208</v>
      </c>
      <c r="C217" s="192">
        <v>1</v>
      </c>
      <c r="I217" s="192"/>
      <c r="J217" s="192"/>
      <c r="K217" s="192"/>
      <c r="L217" s="203"/>
      <c r="M217" s="192"/>
      <c r="N217" s="204"/>
      <c r="O217" s="205">
        <v>0</v>
      </c>
      <c r="P217" s="205">
        <f>Table1[[#This Row],[unit cost]]</f>
        <v>0</v>
      </c>
      <c r="Q217" s="207"/>
      <c r="R217" s="192">
        <v>1</v>
      </c>
      <c r="S217" s="256">
        <f t="shared" si="29"/>
        <v>0.42</v>
      </c>
      <c r="T217" s="208">
        <f>Table1[[#This Row],[man minutes]]*Table1[[#This Row],[labor rate]]</f>
        <v>0</v>
      </c>
      <c r="U217" s="208">
        <f t="shared" si="32"/>
        <v>0</v>
      </c>
      <c r="V217" s="193">
        <f t="shared" si="31"/>
        <v>0.13</v>
      </c>
      <c r="W217" s="257">
        <f t="shared" si="30"/>
        <v>0.13</v>
      </c>
      <c r="X217" s="208">
        <f t="shared" si="33"/>
        <v>0</v>
      </c>
      <c r="Y217" s="208">
        <f t="shared" si="34"/>
        <v>0</v>
      </c>
      <c r="Z217" s="208">
        <f t="shared" si="35"/>
        <v>0</v>
      </c>
      <c r="AA217" s="210">
        <f>+Table1[[#This Row],[calculated sale price]]</f>
        <v>0</v>
      </c>
      <c r="AB217" s="209"/>
      <c r="AC217" s="213"/>
    </row>
    <row r="218" spans="1:29">
      <c r="A218" s="192">
        <v>1209</v>
      </c>
      <c r="C218" s="192">
        <v>1</v>
      </c>
      <c r="I218" s="192"/>
      <c r="J218" s="192"/>
      <c r="K218" s="192"/>
      <c r="L218" s="203"/>
      <c r="M218" s="192"/>
      <c r="N218" s="204"/>
      <c r="O218" s="205">
        <v>0</v>
      </c>
      <c r="P218" s="205">
        <f>Table1[[#This Row],[unit cost]]</f>
        <v>0</v>
      </c>
      <c r="Q218" s="207"/>
      <c r="R218" s="192">
        <v>1</v>
      </c>
      <c r="S218" s="256">
        <f t="shared" si="29"/>
        <v>0.42</v>
      </c>
      <c r="T218" s="208">
        <f>Table1[[#This Row],[man minutes]]*Table1[[#This Row],[labor rate]]</f>
        <v>0</v>
      </c>
      <c r="U218" s="208">
        <f t="shared" si="32"/>
        <v>0</v>
      </c>
      <c r="V218" s="193">
        <f t="shared" si="31"/>
        <v>0.13</v>
      </c>
      <c r="W218" s="257">
        <f t="shared" si="30"/>
        <v>0.13</v>
      </c>
      <c r="X218" s="208">
        <f t="shared" si="33"/>
        <v>0</v>
      </c>
      <c r="Y218" s="208">
        <f t="shared" si="34"/>
        <v>0</v>
      </c>
      <c r="Z218" s="208">
        <f t="shared" si="35"/>
        <v>0</v>
      </c>
      <c r="AA218" s="210">
        <f>+Table1[[#This Row],[calculated sale price]]</f>
        <v>0</v>
      </c>
      <c r="AB218" s="209"/>
      <c r="AC218" s="213"/>
    </row>
    <row r="219" spans="1:29">
      <c r="A219" s="192">
        <v>1210</v>
      </c>
      <c r="C219" s="192">
        <v>1</v>
      </c>
      <c r="I219" s="192"/>
      <c r="J219" s="192"/>
      <c r="K219" s="192"/>
      <c r="L219" s="203"/>
      <c r="M219" s="192"/>
      <c r="N219" s="204"/>
      <c r="O219" s="205">
        <v>0</v>
      </c>
      <c r="P219" s="205">
        <f>Table1[[#This Row],[unit cost]]</f>
        <v>0</v>
      </c>
      <c r="Q219" s="207"/>
      <c r="R219" s="192">
        <v>1</v>
      </c>
      <c r="S219" s="256">
        <f t="shared" si="29"/>
        <v>0.42</v>
      </c>
      <c r="T219" s="208">
        <f>Table1[[#This Row],[man minutes]]*Table1[[#This Row],[labor rate]]</f>
        <v>0</v>
      </c>
      <c r="U219" s="208">
        <f t="shared" si="32"/>
        <v>0</v>
      </c>
      <c r="V219" s="193">
        <f t="shared" si="31"/>
        <v>0.13</v>
      </c>
      <c r="W219" s="257">
        <f t="shared" si="30"/>
        <v>0.13</v>
      </c>
      <c r="X219" s="208">
        <f t="shared" si="33"/>
        <v>0</v>
      </c>
      <c r="Y219" s="208">
        <f t="shared" si="34"/>
        <v>0</v>
      </c>
      <c r="Z219" s="208">
        <f t="shared" si="35"/>
        <v>0</v>
      </c>
      <c r="AA219" s="210">
        <f>+Table1[[#This Row],[calculated sale price]]</f>
        <v>0</v>
      </c>
      <c r="AB219" s="209"/>
      <c r="AC219" s="213"/>
    </row>
    <row r="220" spans="1:29">
      <c r="A220" s="192">
        <v>1211</v>
      </c>
      <c r="C220" s="192">
        <v>1</v>
      </c>
      <c r="I220" s="192"/>
      <c r="J220" s="192"/>
      <c r="K220" s="192"/>
      <c r="L220" s="203"/>
      <c r="M220" s="192"/>
      <c r="N220" s="204"/>
      <c r="O220" s="205">
        <v>0</v>
      </c>
      <c r="P220" s="205">
        <f>Table1[[#This Row],[unit cost]]</f>
        <v>0</v>
      </c>
      <c r="Q220" s="207"/>
      <c r="R220" s="192">
        <v>1</v>
      </c>
      <c r="S220" s="256">
        <f t="shared" si="29"/>
        <v>0.42</v>
      </c>
      <c r="T220" s="208">
        <f>Table1[[#This Row],[man minutes]]*Table1[[#This Row],[labor rate]]</f>
        <v>0</v>
      </c>
      <c r="U220" s="208">
        <f t="shared" si="32"/>
        <v>0</v>
      </c>
      <c r="V220" s="193">
        <f t="shared" si="31"/>
        <v>0.13</v>
      </c>
      <c r="W220" s="257">
        <f t="shared" si="30"/>
        <v>0.13</v>
      </c>
      <c r="X220" s="208">
        <f t="shared" si="33"/>
        <v>0</v>
      </c>
      <c r="Y220" s="208">
        <f t="shared" si="34"/>
        <v>0</v>
      </c>
      <c r="Z220" s="208">
        <f t="shared" si="35"/>
        <v>0</v>
      </c>
      <c r="AA220" s="210">
        <f>+Table1[[#This Row],[calculated sale price]]</f>
        <v>0</v>
      </c>
      <c r="AB220" s="209"/>
      <c r="AC220" s="213"/>
    </row>
    <row r="221" spans="1:29">
      <c r="A221" s="192">
        <v>1212</v>
      </c>
      <c r="C221" s="192">
        <v>1</v>
      </c>
      <c r="I221" s="192"/>
      <c r="J221" s="192"/>
      <c r="K221" s="192"/>
      <c r="L221" s="203"/>
      <c r="M221" s="192"/>
      <c r="N221" s="204"/>
      <c r="O221" s="205">
        <v>0</v>
      </c>
      <c r="P221" s="205">
        <f>Table1[[#This Row],[unit cost]]</f>
        <v>0</v>
      </c>
      <c r="Q221" s="207"/>
      <c r="R221" s="192">
        <v>1</v>
      </c>
      <c r="S221" s="256">
        <f t="shared" si="29"/>
        <v>0.42</v>
      </c>
      <c r="T221" s="208">
        <f>Table1[[#This Row],[man minutes]]*Table1[[#This Row],[labor rate]]</f>
        <v>0</v>
      </c>
      <c r="U221" s="208">
        <f t="shared" si="32"/>
        <v>0</v>
      </c>
      <c r="V221" s="193">
        <f t="shared" si="31"/>
        <v>0.13</v>
      </c>
      <c r="W221" s="257">
        <f t="shared" si="30"/>
        <v>0.13</v>
      </c>
      <c r="X221" s="208">
        <f t="shared" si="33"/>
        <v>0</v>
      </c>
      <c r="Y221" s="208">
        <f t="shared" si="34"/>
        <v>0</v>
      </c>
      <c r="Z221" s="208">
        <f t="shared" si="35"/>
        <v>0</v>
      </c>
      <c r="AA221" s="210">
        <f>+Table1[[#This Row],[calculated sale price]]</f>
        <v>0</v>
      </c>
      <c r="AB221" s="209"/>
      <c r="AC221" s="213"/>
    </row>
    <row r="222" spans="1:29">
      <c r="A222" s="192">
        <v>1213</v>
      </c>
      <c r="C222" s="192">
        <v>1</v>
      </c>
      <c r="I222" s="192"/>
      <c r="J222" s="192"/>
      <c r="K222" s="192"/>
      <c r="L222" s="203"/>
      <c r="M222" s="192"/>
      <c r="N222" s="204"/>
      <c r="O222" s="205">
        <v>0</v>
      </c>
      <c r="P222" s="205">
        <f>Table1[[#This Row],[unit cost]]</f>
        <v>0</v>
      </c>
      <c r="Q222" s="207"/>
      <c r="R222" s="192">
        <v>1</v>
      </c>
      <c r="S222" s="256">
        <f t="shared" si="29"/>
        <v>0.42</v>
      </c>
      <c r="T222" s="208">
        <f>Table1[[#This Row],[man minutes]]*Table1[[#This Row],[labor rate]]</f>
        <v>0</v>
      </c>
      <c r="U222" s="208">
        <f t="shared" si="32"/>
        <v>0</v>
      </c>
      <c r="V222" s="193">
        <f t="shared" si="31"/>
        <v>0.13</v>
      </c>
      <c r="W222" s="257">
        <f t="shared" si="30"/>
        <v>0.13</v>
      </c>
      <c r="X222" s="208">
        <f t="shared" si="33"/>
        <v>0</v>
      </c>
      <c r="Y222" s="208">
        <f t="shared" si="34"/>
        <v>0</v>
      </c>
      <c r="Z222" s="208">
        <f t="shared" si="35"/>
        <v>0</v>
      </c>
      <c r="AA222" s="210">
        <f>+Table1[[#This Row],[calculated sale price]]</f>
        <v>0</v>
      </c>
      <c r="AB222" s="209"/>
      <c r="AC222" s="213"/>
    </row>
    <row r="223" spans="1:29">
      <c r="A223" s="192">
        <v>1214</v>
      </c>
      <c r="C223" s="192">
        <v>1</v>
      </c>
      <c r="I223" s="192"/>
      <c r="J223" s="192"/>
      <c r="K223" s="192"/>
      <c r="L223" s="203"/>
      <c r="M223" s="192"/>
      <c r="N223" s="204"/>
      <c r="O223" s="205">
        <v>0</v>
      </c>
      <c r="P223" s="205">
        <f>Table1[[#This Row],[unit cost]]</f>
        <v>0</v>
      </c>
      <c r="Q223" s="207"/>
      <c r="R223" s="192">
        <v>1</v>
      </c>
      <c r="S223" s="256">
        <f t="shared" si="29"/>
        <v>0.42</v>
      </c>
      <c r="T223" s="208">
        <f>Table1[[#This Row],[man minutes]]*Table1[[#This Row],[labor rate]]</f>
        <v>0</v>
      </c>
      <c r="U223" s="208">
        <f t="shared" si="32"/>
        <v>0</v>
      </c>
      <c r="V223" s="193">
        <f t="shared" si="31"/>
        <v>0.13</v>
      </c>
      <c r="W223" s="257">
        <f t="shared" si="30"/>
        <v>0.13</v>
      </c>
      <c r="X223" s="208">
        <f t="shared" si="33"/>
        <v>0</v>
      </c>
      <c r="Y223" s="208">
        <f t="shared" si="34"/>
        <v>0</v>
      </c>
      <c r="Z223" s="208">
        <f t="shared" si="35"/>
        <v>0</v>
      </c>
      <c r="AA223" s="210">
        <f>+Table1[[#This Row],[calculated sale price]]</f>
        <v>0</v>
      </c>
      <c r="AB223" s="209"/>
      <c r="AC223" s="213"/>
    </row>
    <row r="224" spans="1:29">
      <c r="A224" s="192">
        <v>1215</v>
      </c>
      <c r="C224" s="192">
        <v>1</v>
      </c>
      <c r="I224" s="192"/>
      <c r="J224" s="192"/>
      <c r="K224" s="192"/>
      <c r="L224" s="203"/>
      <c r="M224" s="192"/>
      <c r="N224" s="204"/>
      <c r="O224" s="205">
        <v>0</v>
      </c>
      <c r="P224" s="205">
        <f>Table1[[#This Row],[unit cost]]</f>
        <v>0</v>
      </c>
      <c r="Q224" s="207"/>
      <c r="R224" s="192">
        <v>1</v>
      </c>
      <c r="S224" s="256">
        <f t="shared" si="29"/>
        <v>0.42</v>
      </c>
      <c r="T224" s="208">
        <f>Table1[[#This Row],[man minutes]]*Table1[[#This Row],[labor rate]]</f>
        <v>0</v>
      </c>
      <c r="U224" s="208">
        <f t="shared" si="32"/>
        <v>0</v>
      </c>
      <c r="V224" s="193">
        <f t="shared" si="31"/>
        <v>0.13</v>
      </c>
      <c r="W224" s="257">
        <f t="shared" si="30"/>
        <v>0.13</v>
      </c>
      <c r="X224" s="208">
        <f t="shared" si="33"/>
        <v>0</v>
      </c>
      <c r="Y224" s="208">
        <f t="shared" si="34"/>
        <v>0</v>
      </c>
      <c r="Z224" s="208">
        <f t="shared" si="35"/>
        <v>0</v>
      </c>
      <c r="AA224" s="210">
        <f>+Table1[[#This Row],[calculated sale price]]</f>
        <v>0</v>
      </c>
      <c r="AB224" s="209"/>
      <c r="AC224" s="213"/>
    </row>
    <row r="225" spans="1:29">
      <c r="A225" s="192">
        <v>1216</v>
      </c>
      <c r="C225" s="192">
        <v>1</v>
      </c>
      <c r="I225" s="192"/>
      <c r="J225" s="192"/>
      <c r="K225" s="192"/>
      <c r="L225" s="203"/>
      <c r="M225" s="192"/>
      <c r="N225" s="204"/>
      <c r="O225" s="205">
        <v>0</v>
      </c>
      <c r="P225" s="205">
        <f>Table1[[#This Row],[unit cost]]</f>
        <v>0</v>
      </c>
      <c r="Q225" s="207"/>
      <c r="R225" s="192">
        <v>1</v>
      </c>
      <c r="S225" s="256">
        <f t="shared" si="29"/>
        <v>0.42</v>
      </c>
      <c r="T225" s="208">
        <f>Table1[[#This Row],[man minutes]]*Table1[[#This Row],[labor rate]]</f>
        <v>0</v>
      </c>
      <c r="U225" s="208">
        <f t="shared" si="32"/>
        <v>0</v>
      </c>
      <c r="V225" s="193">
        <f t="shared" si="31"/>
        <v>0.13</v>
      </c>
      <c r="W225" s="257">
        <f t="shared" si="30"/>
        <v>0.13</v>
      </c>
      <c r="X225" s="208">
        <f t="shared" si="33"/>
        <v>0</v>
      </c>
      <c r="Y225" s="208">
        <f t="shared" si="34"/>
        <v>0</v>
      </c>
      <c r="Z225" s="208">
        <f t="shared" si="35"/>
        <v>0</v>
      </c>
      <c r="AA225" s="210">
        <f>+Table1[[#This Row],[calculated sale price]]</f>
        <v>0</v>
      </c>
      <c r="AB225" s="209"/>
      <c r="AC225" s="213"/>
    </row>
    <row r="226" spans="1:29">
      <c r="A226" s="192">
        <v>1217</v>
      </c>
      <c r="C226" s="192">
        <v>1</v>
      </c>
      <c r="I226" s="192"/>
      <c r="J226" s="192"/>
      <c r="K226" s="192"/>
      <c r="L226" s="203"/>
      <c r="M226" s="192"/>
      <c r="N226" s="204"/>
      <c r="O226" s="205">
        <v>0</v>
      </c>
      <c r="P226" s="205">
        <f>Table1[[#This Row],[unit cost]]</f>
        <v>0</v>
      </c>
      <c r="Q226" s="207"/>
      <c r="R226" s="192">
        <v>1</v>
      </c>
      <c r="S226" s="256">
        <f t="shared" si="29"/>
        <v>0.42</v>
      </c>
      <c r="T226" s="208">
        <f>Table1[[#This Row],[man minutes]]*Table1[[#This Row],[labor rate]]</f>
        <v>0</v>
      </c>
      <c r="U226" s="208">
        <f t="shared" si="32"/>
        <v>0</v>
      </c>
      <c r="V226" s="193">
        <f t="shared" si="31"/>
        <v>0.13</v>
      </c>
      <c r="W226" s="257">
        <f t="shared" si="30"/>
        <v>0.13</v>
      </c>
      <c r="X226" s="208">
        <f t="shared" si="33"/>
        <v>0</v>
      </c>
      <c r="Y226" s="208">
        <f t="shared" si="34"/>
        <v>0</v>
      </c>
      <c r="Z226" s="208">
        <f t="shared" si="35"/>
        <v>0</v>
      </c>
      <c r="AA226" s="210">
        <f>+Table1[[#This Row],[calculated sale price]]</f>
        <v>0</v>
      </c>
      <c r="AB226" s="209"/>
      <c r="AC226" s="213"/>
    </row>
    <row r="227" spans="1:29">
      <c r="A227" s="192">
        <v>1218</v>
      </c>
      <c r="C227" s="192">
        <v>1</v>
      </c>
      <c r="I227" s="192"/>
      <c r="J227" s="192"/>
      <c r="K227" s="192"/>
      <c r="L227" s="203"/>
      <c r="M227" s="192"/>
      <c r="N227" s="204"/>
      <c r="O227" s="205">
        <v>0</v>
      </c>
      <c r="P227" s="205">
        <f>Table1[[#This Row],[unit cost]]</f>
        <v>0</v>
      </c>
      <c r="Q227" s="207"/>
      <c r="R227" s="192">
        <v>1</v>
      </c>
      <c r="S227" s="256">
        <f t="shared" si="29"/>
        <v>0.42</v>
      </c>
      <c r="T227" s="208">
        <f>Table1[[#This Row],[man minutes]]*Table1[[#This Row],[labor rate]]</f>
        <v>0</v>
      </c>
      <c r="U227" s="208">
        <f t="shared" si="32"/>
        <v>0</v>
      </c>
      <c r="V227" s="193">
        <f t="shared" si="31"/>
        <v>0.13</v>
      </c>
      <c r="W227" s="257">
        <f t="shared" si="30"/>
        <v>0.13</v>
      </c>
      <c r="X227" s="208">
        <f t="shared" si="33"/>
        <v>0</v>
      </c>
      <c r="Y227" s="208">
        <f t="shared" si="34"/>
        <v>0</v>
      </c>
      <c r="Z227" s="208">
        <f t="shared" si="35"/>
        <v>0</v>
      </c>
      <c r="AA227" s="210">
        <f>+Table1[[#This Row],[calculated sale price]]</f>
        <v>0</v>
      </c>
      <c r="AB227" s="209"/>
      <c r="AC227" s="213"/>
    </row>
    <row r="228" spans="1:29">
      <c r="A228" s="192">
        <v>1219</v>
      </c>
      <c r="C228" s="192">
        <v>1</v>
      </c>
      <c r="I228" s="192"/>
      <c r="J228" s="192"/>
      <c r="K228" s="192"/>
      <c r="L228" s="203"/>
      <c r="M228" s="192"/>
      <c r="N228" s="204"/>
      <c r="O228" s="205">
        <v>0</v>
      </c>
      <c r="P228" s="205">
        <f>Table1[[#This Row],[unit cost]]</f>
        <v>0</v>
      </c>
      <c r="Q228" s="207"/>
      <c r="R228" s="192">
        <v>1</v>
      </c>
      <c r="S228" s="256">
        <f t="shared" si="29"/>
        <v>0.42</v>
      </c>
      <c r="T228" s="208">
        <f>Table1[[#This Row],[man minutes]]*Table1[[#This Row],[labor rate]]</f>
        <v>0</v>
      </c>
      <c r="U228" s="208">
        <f t="shared" si="32"/>
        <v>0</v>
      </c>
      <c r="V228" s="193">
        <f t="shared" si="31"/>
        <v>0.13</v>
      </c>
      <c r="W228" s="257">
        <f t="shared" si="30"/>
        <v>0.13</v>
      </c>
      <c r="X228" s="208">
        <f t="shared" si="33"/>
        <v>0</v>
      </c>
      <c r="Y228" s="208">
        <f t="shared" si="34"/>
        <v>0</v>
      </c>
      <c r="Z228" s="208">
        <f t="shared" si="35"/>
        <v>0</v>
      </c>
      <c r="AA228" s="210">
        <f>+Table1[[#This Row],[calculated sale price]]</f>
        <v>0</v>
      </c>
      <c r="AB228" s="209"/>
      <c r="AC228" s="213"/>
    </row>
    <row r="229" spans="1:29">
      <c r="A229" s="192">
        <v>1220</v>
      </c>
      <c r="C229" s="192">
        <v>1</v>
      </c>
      <c r="I229" s="192"/>
      <c r="J229" s="192"/>
      <c r="K229" s="192"/>
      <c r="L229" s="203"/>
      <c r="M229" s="192"/>
      <c r="N229" s="204"/>
      <c r="O229" s="205">
        <v>0</v>
      </c>
      <c r="P229" s="205">
        <f>Table1[[#This Row],[unit cost]]</f>
        <v>0</v>
      </c>
      <c r="Q229" s="207"/>
      <c r="R229" s="192">
        <v>1</v>
      </c>
      <c r="S229" s="256">
        <f t="shared" si="29"/>
        <v>0.42</v>
      </c>
      <c r="T229" s="208">
        <f>Table1[[#This Row],[man minutes]]*Table1[[#This Row],[labor rate]]</f>
        <v>0</v>
      </c>
      <c r="U229" s="208">
        <f t="shared" si="32"/>
        <v>0</v>
      </c>
      <c r="V229" s="193">
        <f t="shared" si="31"/>
        <v>0.13</v>
      </c>
      <c r="W229" s="257">
        <f t="shared" si="30"/>
        <v>0.13</v>
      </c>
      <c r="X229" s="208">
        <f t="shared" si="33"/>
        <v>0</v>
      </c>
      <c r="Y229" s="208">
        <f t="shared" si="34"/>
        <v>0</v>
      </c>
      <c r="Z229" s="208">
        <f t="shared" si="35"/>
        <v>0</v>
      </c>
      <c r="AA229" s="210">
        <f>+Table1[[#This Row],[calculated sale price]]</f>
        <v>0</v>
      </c>
      <c r="AB229" s="209"/>
      <c r="AC229" s="213"/>
    </row>
    <row r="230" spans="1:29">
      <c r="A230" s="192">
        <v>1221</v>
      </c>
      <c r="C230" s="192">
        <v>1</v>
      </c>
      <c r="I230" s="192"/>
      <c r="J230" s="192"/>
      <c r="K230" s="192"/>
      <c r="L230" s="203"/>
      <c r="M230" s="192"/>
      <c r="N230" s="204"/>
      <c r="O230" s="205">
        <v>0</v>
      </c>
      <c r="P230" s="205">
        <f>Table1[[#This Row],[unit cost]]</f>
        <v>0</v>
      </c>
      <c r="Q230" s="207"/>
      <c r="R230" s="192">
        <v>1</v>
      </c>
      <c r="S230" s="256">
        <f t="shared" si="29"/>
        <v>0.42</v>
      </c>
      <c r="T230" s="208">
        <f>Table1[[#This Row],[man minutes]]*Table1[[#This Row],[labor rate]]</f>
        <v>0</v>
      </c>
      <c r="U230" s="208">
        <f t="shared" si="32"/>
        <v>0</v>
      </c>
      <c r="V230" s="193">
        <f t="shared" si="31"/>
        <v>0.13</v>
      </c>
      <c r="W230" s="257">
        <f t="shared" si="30"/>
        <v>0.13</v>
      </c>
      <c r="X230" s="208">
        <f t="shared" si="33"/>
        <v>0</v>
      </c>
      <c r="Y230" s="208">
        <f t="shared" si="34"/>
        <v>0</v>
      </c>
      <c r="Z230" s="208">
        <f t="shared" si="35"/>
        <v>0</v>
      </c>
      <c r="AA230" s="210">
        <f>+Table1[[#This Row],[calculated sale price]]</f>
        <v>0</v>
      </c>
      <c r="AB230" s="209"/>
      <c r="AC230" s="213"/>
    </row>
    <row r="231" spans="1:29">
      <c r="A231" s="192">
        <v>1222</v>
      </c>
      <c r="C231" s="192">
        <v>1</v>
      </c>
      <c r="I231" s="192"/>
      <c r="J231" s="192"/>
      <c r="K231" s="192"/>
      <c r="L231" s="203"/>
      <c r="M231" s="192"/>
      <c r="N231" s="204"/>
      <c r="O231" s="205">
        <v>0</v>
      </c>
      <c r="P231" s="205">
        <f>Table1[[#This Row],[unit cost]]</f>
        <v>0</v>
      </c>
      <c r="Q231" s="207"/>
      <c r="R231" s="192">
        <v>1</v>
      </c>
      <c r="S231" s="256">
        <f t="shared" si="29"/>
        <v>0.42</v>
      </c>
      <c r="T231" s="208">
        <f>Table1[[#This Row],[man minutes]]*Table1[[#This Row],[labor rate]]</f>
        <v>0</v>
      </c>
      <c r="U231" s="208">
        <f t="shared" si="32"/>
        <v>0</v>
      </c>
      <c r="V231" s="193">
        <f t="shared" si="31"/>
        <v>0.13</v>
      </c>
      <c r="W231" s="257">
        <f t="shared" si="30"/>
        <v>0.13</v>
      </c>
      <c r="X231" s="208">
        <f t="shared" si="33"/>
        <v>0</v>
      </c>
      <c r="Y231" s="208">
        <f t="shared" si="34"/>
        <v>0</v>
      </c>
      <c r="Z231" s="208">
        <f t="shared" si="35"/>
        <v>0</v>
      </c>
      <c r="AA231" s="210">
        <f>+Table1[[#This Row],[calculated sale price]]</f>
        <v>0</v>
      </c>
      <c r="AB231" s="209"/>
      <c r="AC231" s="213"/>
    </row>
    <row r="232" spans="1:29">
      <c r="A232" s="192">
        <v>1223</v>
      </c>
      <c r="C232" s="192">
        <v>1</v>
      </c>
      <c r="I232" s="192"/>
      <c r="J232" s="192"/>
      <c r="K232" s="192"/>
      <c r="L232" s="203"/>
      <c r="M232" s="192"/>
      <c r="N232" s="204"/>
      <c r="O232" s="205">
        <v>0</v>
      </c>
      <c r="P232" s="205">
        <f>Table1[[#This Row],[unit cost]]</f>
        <v>0</v>
      </c>
      <c r="Q232" s="207"/>
      <c r="R232" s="192">
        <v>1</v>
      </c>
      <c r="S232" s="256">
        <f t="shared" si="29"/>
        <v>0.42</v>
      </c>
      <c r="T232" s="208">
        <f>Table1[[#This Row],[man minutes]]*Table1[[#This Row],[labor rate]]</f>
        <v>0</v>
      </c>
      <c r="U232" s="208">
        <f t="shared" si="32"/>
        <v>0</v>
      </c>
      <c r="V232" s="193">
        <f t="shared" si="31"/>
        <v>0.13</v>
      </c>
      <c r="W232" s="257">
        <f t="shared" si="30"/>
        <v>0.13</v>
      </c>
      <c r="X232" s="208">
        <f t="shared" si="33"/>
        <v>0</v>
      </c>
      <c r="Y232" s="208">
        <f t="shared" si="34"/>
        <v>0</v>
      </c>
      <c r="Z232" s="208">
        <f t="shared" si="35"/>
        <v>0</v>
      </c>
      <c r="AA232" s="210">
        <f>+Table1[[#This Row],[calculated sale price]]</f>
        <v>0</v>
      </c>
      <c r="AB232" s="209"/>
      <c r="AC232" s="213"/>
    </row>
    <row r="233" spans="1:29">
      <c r="A233" s="192">
        <v>1224</v>
      </c>
      <c r="C233" s="192">
        <v>1</v>
      </c>
      <c r="I233" s="192"/>
      <c r="J233" s="192"/>
      <c r="K233" s="192"/>
      <c r="L233" s="203"/>
      <c r="M233" s="192"/>
      <c r="N233" s="204"/>
      <c r="O233" s="205">
        <v>0</v>
      </c>
      <c r="P233" s="205">
        <f>Table1[[#This Row],[unit cost]]</f>
        <v>0</v>
      </c>
      <c r="Q233" s="207"/>
      <c r="R233" s="192">
        <v>1</v>
      </c>
      <c r="S233" s="256">
        <f t="shared" si="29"/>
        <v>0.42</v>
      </c>
      <c r="T233" s="208">
        <f>Table1[[#This Row],[man minutes]]*Table1[[#This Row],[labor rate]]</f>
        <v>0</v>
      </c>
      <c r="U233" s="208">
        <f t="shared" si="32"/>
        <v>0</v>
      </c>
      <c r="V233" s="193">
        <f t="shared" si="31"/>
        <v>0.13</v>
      </c>
      <c r="W233" s="257">
        <f t="shared" si="30"/>
        <v>0.13</v>
      </c>
      <c r="X233" s="208">
        <f t="shared" si="33"/>
        <v>0</v>
      </c>
      <c r="Y233" s="208">
        <f t="shared" si="34"/>
        <v>0</v>
      </c>
      <c r="Z233" s="208">
        <f t="shared" si="35"/>
        <v>0</v>
      </c>
      <c r="AA233" s="210">
        <f>+Table1[[#This Row],[calculated sale price]]</f>
        <v>0</v>
      </c>
      <c r="AB233" s="209"/>
      <c r="AC233" s="213"/>
    </row>
    <row r="234" spans="1:29">
      <c r="A234" s="192">
        <v>1225</v>
      </c>
      <c r="C234" s="192">
        <v>1</v>
      </c>
      <c r="I234" s="192"/>
      <c r="J234" s="192"/>
      <c r="K234" s="192"/>
      <c r="L234" s="203"/>
      <c r="M234" s="192"/>
      <c r="N234" s="204"/>
      <c r="O234" s="205">
        <v>0</v>
      </c>
      <c r="P234" s="205">
        <f>Table1[[#This Row],[unit cost]]</f>
        <v>0</v>
      </c>
      <c r="Q234" s="207"/>
      <c r="R234" s="192">
        <v>1</v>
      </c>
      <c r="S234" s="256">
        <f t="shared" si="29"/>
        <v>0.42</v>
      </c>
      <c r="T234" s="208">
        <f>Table1[[#This Row],[man minutes]]*Table1[[#This Row],[labor rate]]</f>
        <v>0</v>
      </c>
      <c r="U234" s="208">
        <f t="shared" si="32"/>
        <v>0</v>
      </c>
      <c r="V234" s="193">
        <f t="shared" si="31"/>
        <v>0.13</v>
      </c>
      <c r="W234" s="257">
        <f t="shared" si="30"/>
        <v>0.13</v>
      </c>
      <c r="X234" s="208">
        <f t="shared" si="33"/>
        <v>0</v>
      </c>
      <c r="Y234" s="208">
        <f t="shared" si="34"/>
        <v>0</v>
      </c>
      <c r="Z234" s="208">
        <f t="shared" si="35"/>
        <v>0</v>
      </c>
      <c r="AA234" s="210">
        <f>+Table1[[#This Row],[calculated sale price]]</f>
        <v>0</v>
      </c>
      <c r="AB234" s="209"/>
      <c r="AC234" s="213"/>
    </row>
    <row r="235" spans="1:29">
      <c r="A235" s="192">
        <v>1226</v>
      </c>
      <c r="C235" s="192">
        <v>1</v>
      </c>
      <c r="I235" s="192"/>
      <c r="J235" s="192"/>
      <c r="K235" s="192"/>
      <c r="L235" s="203"/>
      <c r="M235" s="192"/>
      <c r="N235" s="204"/>
      <c r="O235" s="205">
        <v>0</v>
      </c>
      <c r="P235" s="205">
        <f>Table1[[#This Row],[unit cost]]</f>
        <v>0</v>
      </c>
      <c r="Q235" s="207"/>
      <c r="R235" s="192">
        <v>1</v>
      </c>
      <c r="S235" s="256">
        <f t="shared" si="29"/>
        <v>0.42</v>
      </c>
      <c r="T235" s="208">
        <f>Table1[[#This Row],[man minutes]]*Table1[[#This Row],[labor rate]]</f>
        <v>0</v>
      </c>
      <c r="U235" s="208">
        <f t="shared" si="32"/>
        <v>0</v>
      </c>
      <c r="V235" s="193">
        <f t="shared" si="31"/>
        <v>0.13</v>
      </c>
      <c r="W235" s="257">
        <f t="shared" si="30"/>
        <v>0.13</v>
      </c>
      <c r="X235" s="208">
        <f t="shared" si="33"/>
        <v>0</v>
      </c>
      <c r="Y235" s="208">
        <f t="shared" si="34"/>
        <v>0</v>
      </c>
      <c r="Z235" s="208">
        <f t="shared" si="35"/>
        <v>0</v>
      </c>
      <c r="AA235" s="210">
        <f>+Table1[[#This Row],[calculated sale price]]</f>
        <v>0</v>
      </c>
      <c r="AB235" s="209"/>
      <c r="AC235" s="213"/>
    </row>
    <row r="236" spans="1:29">
      <c r="A236" s="192">
        <v>1227</v>
      </c>
      <c r="C236" s="192">
        <v>1</v>
      </c>
      <c r="I236" s="192"/>
      <c r="J236" s="192"/>
      <c r="K236" s="192"/>
      <c r="L236" s="203"/>
      <c r="M236" s="192"/>
      <c r="N236" s="204"/>
      <c r="O236" s="205">
        <v>0</v>
      </c>
      <c r="P236" s="205">
        <f>Table1[[#This Row],[unit cost]]</f>
        <v>0</v>
      </c>
      <c r="Q236" s="207"/>
      <c r="R236" s="192">
        <v>1</v>
      </c>
      <c r="S236" s="256">
        <f t="shared" si="29"/>
        <v>0.42</v>
      </c>
      <c r="T236" s="208">
        <f>Table1[[#This Row],[man minutes]]*Table1[[#This Row],[labor rate]]</f>
        <v>0</v>
      </c>
      <c r="U236" s="208">
        <f t="shared" si="32"/>
        <v>0</v>
      </c>
      <c r="V236" s="193">
        <f t="shared" si="31"/>
        <v>0.13</v>
      </c>
      <c r="W236" s="257">
        <f t="shared" si="30"/>
        <v>0.13</v>
      </c>
      <c r="X236" s="208">
        <f t="shared" si="33"/>
        <v>0</v>
      </c>
      <c r="Y236" s="208">
        <f t="shared" si="34"/>
        <v>0</v>
      </c>
      <c r="Z236" s="208">
        <f t="shared" si="35"/>
        <v>0</v>
      </c>
      <c r="AA236" s="210">
        <f>+Table1[[#This Row],[calculated sale price]]</f>
        <v>0</v>
      </c>
      <c r="AB236" s="209"/>
      <c r="AC236" s="213"/>
    </row>
    <row r="237" spans="1:29">
      <c r="A237" s="192">
        <v>1228</v>
      </c>
      <c r="C237" s="192">
        <v>1</v>
      </c>
      <c r="I237" s="192"/>
      <c r="J237" s="192"/>
      <c r="K237" s="192"/>
      <c r="L237" s="203"/>
      <c r="M237" s="192"/>
      <c r="N237" s="204"/>
      <c r="O237" s="205">
        <v>0</v>
      </c>
      <c r="P237" s="205">
        <f>Table1[[#This Row],[unit cost]]</f>
        <v>0</v>
      </c>
      <c r="Q237" s="207"/>
      <c r="R237" s="192">
        <v>1</v>
      </c>
      <c r="S237" s="256">
        <f t="shared" si="29"/>
        <v>0.42</v>
      </c>
      <c r="T237" s="208">
        <f>Table1[[#This Row],[man minutes]]*Table1[[#This Row],[labor rate]]</f>
        <v>0</v>
      </c>
      <c r="U237" s="208">
        <f t="shared" si="32"/>
        <v>0</v>
      </c>
      <c r="V237" s="193">
        <f t="shared" si="31"/>
        <v>0.13</v>
      </c>
      <c r="W237" s="257">
        <f t="shared" si="30"/>
        <v>0.13</v>
      </c>
      <c r="X237" s="208">
        <f t="shared" si="33"/>
        <v>0</v>
      </c>
      <c r="Y237" s="208">
        <f t="shared" si="34"/>
        <v>0</v>
      </c>
      <c r="Z237" s="208">
        <f t="shared" si="35"/>
        <v>0</v>
      </c>
      <c r="AA237" s="210">
        <f>+Table1[[#This Row],[calculated sale price]]</f>
        <v>0</v>
      </c>
      <c r="AB237" s="209"/>
      <c r="AC237" s="213"/>
    </row>
    <row r="238" spans="1:29">
      <c r="A238" s="192">
        <v>1229</v>
      </c>
      <c r="C238" s="192">
        <v>1</v>
      </c>
      <c r="I238" s="192"/>
      <c r="J238" s="192"/>
      <c r="K238" s="192"/>
      <c r="L238" s="203"/>
      <c r="M238" s="192"/>
      <c r="N238" s="204"/>
      <c r="O238" s="205">
        <v>0</v>
      </c>
      <c r="P238" s="205">
        <f>Table1[[#This Row],[unit cost]]</f>
        <v>0</v>
      </c>
      <c r="Q238" s="207"/>
      <c r="R238" s="192">
        <v>1</v>
      </c>
      <c r="S238" s="256">
        <f t="shared" si="29"/>
        <v>0.42</v>
      </c>
      <c r="T238" s="208">
        <f>Table1[[#This Row],[man minutes]]*Table1[[#This Row],[labor rate]]</f>
        <v>0</v>
      </c>
      <c r="U238" s="208">
        <f t="shared" si="32"/>
        <v>0</v>
      </c>
      <c r="V238" s="193">
        <f t="shared" si="31"/>
        <v>0.13</v>
      </c>
      <c r="W238" s="257">
        <f t="shared" si="30"/>
        <v>0.13</v>
      </c>
      <c r="X238" s="208">
        <f t="shared" si="33"/>
        <v>0</v>
      </c>
      <c r="Y238" s="208">
        <f t="shared" si="34"/>
        <v>0</v>
      </c>
      <c r="Z238" s="208">
        <f t="shared" si="35"/>
        <v>0</v>
      </c>
      <c r="AA238" s="210">
        <f>+Table1[[#This Row],[calculated sale price]]</f>
        <v>0</v>
      </c>
      <c r="AB238" s="209"/>
      <c r="AC238" s="213"/>
    </row>
    <row r="239" spans="1:29">
      <c r="A239" s="192">
        <v>1230</v>
      </c>
      <c r="C239" s="192">
        <v>1</v>
      </c>
      <c r="I239" s="192"/>
      <c r="J239" s="192"/>
      <c r="K239" s="192"/>
      <c r="L239" s="203"/>
      <c r="M239" s="192"/>
      <c r="N239" s="204"/>
      <c r="O239" s="205">
        <v>0</v>
      </c>
      <c r="P239" s="205">
        <f>Table1[[#This Row],[unit cost]]</f>
        <v>0</v>
      </c>
      <c r="Q239" s="207"/>
      <c r="R239" s="192">
        <v>1</v>
      </c>
      <c r="S239" s="256">
        <f t="shared" si="29"/>
        <v>0.42</v>
      </c>
      <c r="T239" s="208">
        <f>Table1[[#This Row],[man minutes]]*Table1[[#This Row],[labor rate]]</f>
        <v>0</v>
      </c>
      <c r="U239" s="208">
        <f t="shared" si="32"/>
        <v>0</v>
      </c>
      <c r="V239" s="193">
        <f t="shared" si="31"/>
        <v>0.13</v>
      </c>
      <c r="W239" s="257">
        <f t="shared" si="30"/>
        <v>0.13</v>
      </c>
      <c r="X239" s="208">
        <f t="shared" si="33"/>
        <v>0</v>
      </c>
      <c r="Y239" s="208">
        <f t="shared" si="34"/>
        <v>0</v>
      </c>
      <c r="Z239" s="208">
        <f t="shared" si="35"/>
        <v>0</v>
      </c>
      <c r="AA239" s="210">
        <f>+Table1[[#This Row],[calculated sale price]]</f>
        <v>0</v>
      </c>
      <c r="AB239" s="209"/>
      <c r="AC239" s="213"/>
    </row>
    <row r="240" spans="1:29">
      <c r="A240" s="192">
        <v>1231</v>
      </c>
      <c r="C240" s="192">
        <v>1</v>
      </c>
      <c r="I240" s="192"/>
      <c r="J240" s="192"/>
      <c r="K240" s="192"/>
      <c r="L240" s="203"/>
      <c r="M240" s="192"/>
      <c r="N240" s="204"/>
      <c r="O240" s="205">
        <v>0</v>
      </c>
      <c r="P240" s="205">
        <f>Table1[[#This Row],[unit cost]]</f>
        <v>0</v>
      </c>
      <c r="Q240" s="207"/>
      <c r="R240" s="192">
        <v>1</v>
      </c>
      <c r="S240" s="256">
        <f t="shared" si="29"/>
        <v>0.42</v>
      </c>
      <c r="T240" s="208">
        <f>Table1[[#This Row],[man minutes]]*Table1[[#This Row],[labor rate]]</f>
        <v>0</v>
      </c>
      <c r="U240" s="208">
        <f t="shared" si="32"/>
        <v>0</v>
      </c>
      <c r="V240" s="193">
        <f t="shared" si="31"/>
        <v>0.13</v>
      </c>
      <c r="W240" s="257">
        <f t="shared" si="30"/>
        <v>0.13</v>
      </c>
      <c r="X240" s="208">
        <f t="shared" si="33"/>
        <v>0</v>
      </c>
      <c r="Y240" s="208">
        <f t="shared" si="34"/>
        <v>0</v>
      </c>
      <c r="Z240" s="208">
        <f t="shared" si="35"/>
        <v>0</v>
      </c>
      <c r="AA240" s="210">
        <f>+Table1[[#This Row],[calculated sale price]]</f>
        <v>0</v>
      </c>
      <c r="AB240" s="209"/>
      <c r="AC240" s="213"/>
    </row>
    <row r="241" spans="1:29">
      <c r="A241" s="192">
        <v>1232</v>
      </c>
      <c r="C241" s="192">
        <v>1</v>
      </c>
      <c r="I241" s="192"/>
      <c r="J241" s="192"/>
      <c r="K241" s="192"/>
      <c r="L241" s="203"/>
      <c r="M241" s="192"/>
      <c r="N241" s="204"/>
      <c r="O241" s="205">
        <v>0</v>
      </c>
      <c r="P241" s="205">
        <f>Table1[[#This Row],[unit cost]]</f>
        <v>0</v>
      </c>
      <c r="Q241" s="207"/>
      <c r="R241" s="192">
        <v>1</v>
      </c>
      <c r="S241" s="256">
        <f t="shared" si="29"/>
        <v>0.42</v>
      </c>
      <c r="T241" s="208">
        <f>Table1[[#This Row],[man minutes]]*Table1[[#This Row],[labor rate]]</f>
        <v>0</v>
      </c>
      <c r="U241" s="208">
        <f t="shared" si="32"/>
        <v>0</v>
      </c>
      <c r="V241" s="193">
        <f t="shared" si="31"/>
        <v>0.13</v>
      </c>
      <c r="W241" s="257">
        <f t="shared" si="30"/>
        <v>0.13</v>
      </c>
      <c r="X241" s="208">
        <f t="shared" si="33"/>
        <v>0</v>
      </c>
      <c r="Y241" s="208">
        <f t="shared" si="34"/>
        <v>0</v>
      </c>
      <c r="Z241" s="208">
        <f t="shared" si="35"/>
        <v>0</v>
      </c>
      <c r="AA241" s="210">
        <f>+Table1[[#This Row],[calculated sale price]]</f>
        <v>0</v>
      </c>
      <c r="AB241" s="209"/>
      <c r="AC241" s="213"/>
    </row>
    <row r="242" spans="1:29">
      <c r="A242" s="192">
        <v>1233</v>
      </c>
      <c r="C242" s="192">
        <v>1</v>
      </c>
      <c r="I242" s="192"/>
      <c r="J242" s="192"/>
      <c r="K242" s="192"/>
      <c r="L242" s="203"/>
      <c r="M242" s="192"/>
      <c r="N242" s="204"/>
      <c r="O242" s="205">
        <v>0</v>
      </c>
      <c r="P242" s="205">
        <f>Table1[[#This Row],[unit cost]]</f>
        <v>0</v>
      </c>
      <c r="Q242" s="207"/>
      <c r="R242" s="192">
        <v>1</v>
      </c>
      <c r="S242" s="256">
        <f t="shared" si="29"/>
        <v>0.42</v>
      </c>
      <c r="T242" s="208">
        <f>Table1[[#This Row],[man minutes]]*Table1[[#This Row],[labor rate]]</f>
        <v>0</v>
      </c>
      <c r="U242" s="208">
        <f t="shared" si="32"/>
        <v>0</v>
      </c>
      <c r="V242" s="193">
        <f t="shared" si="31"/>
        <v>0.13</v>
      </c>
      <c r="W242" s="257">
        <f t="shared" si="30"/>
        <v>0.13</v>
      </c>
      <c r="X242" s="208">
        <f t="shared" si="33"/>
        <v>0</v>
      </c>
      <c r="Y242" s="208">
        <f t="shared" si="34"/>
        <v>0</v>
      </c>
      <c r="Z242" s="208">
        <f t="shared" si="35"/>
        <v>0</v>
      </c>
      <c r="AA242" s="210">
        <f>+Table1[[#This Row],[calculated sale price]]</f>
        <v>0</v>
      </c>
      <c r="AB242" s="209"/>
      <c r="AC242" s="213"/>
    </row>
    <row r="243" spans="1:29">
      <c r="A243" s="192">
        <v>1234</v>
      </c>
      <c r="C243" s="192">
        <v>1</v>
      </c>
      <c r="I243" s="192"/>
      <c r="J243" s="192"/>
      <c r="K243" s="192"/>
      <c r="L243" s="203"/>
      <c r="M243" s="192"/>
      <c r="N243" s="204"/>
      <c r="O243" s="205">
        <v>0</v>
      </c>
      <c r="P243" s="205">
        <f>Table1[[#This Row],[unit cost]]</f>
        <v>0</v>
      </c>
      <c r="Q243" s="207"/>
      <c r="R243" s="192">
        <v>1</v>
      </c>
      <c r="S243" s="256">
        <f t="shared" si="29"/>
        <v>0.42</v>
      </c>
      <c r="T243" s="208">
        <f>Table1[[#This Row],[man minutes]]*Table1[[#This Row],[labor rate]]</f>
        <v>0</v>
      </c>
      <c r="U243" s="208">
        <f t="shared" si="32"/>
        <v>0</v>
      </c>
      <c r="V243" s="193">
        <f t="shared" si="31"/>
        <v>0.13</v>
      </c>
      <c r="W243" s="257">
        <f t="shared" si="30"/>
        <v>0.13</v>
      </c>
      <c r="X243" s="208">
        <f t="shared" si="33"/>
        <v>0</v>
      </c>
      <c r="Y243" s="208">
        <f t="shared" si="34"/>
        <v>0</v>
      </c>
      <c r="Z243" s="208">
        <f t="shared" si="35"/>
        <v>0</v>
      </c>
      <c r="AA243" s="210">
        <f>+Table1[[#This Row],[calculated sale price]]</f>
        <v>0</v>
      </c>
      <c r="AB243" s="209"/>
      <c r="AC243" s="213"/>
    </row>
    <row r="244" spans="1:29">
      <c r="A244" s="192">
        <v>1235</v>
      </c>
      <c r="C244" s="192">
        <v>1</v>
      </c>
      <c r="I244" s="192"/>
      <c r="J244" s="192"/>
      <c r="K244" s="192"/>
      <c r="L244" s="203"/>
      <c r="M244" s="192"/>
      <c r="N244" s="204"/>
      <c r="O244" s="205">
        <v>0</v>
      </c>
      <c r="P244" s="205">
        <f>Table1[[#This Row],[unit cost]]</f>
        <v>0</v>
      </c>
      <c r="Q244" s="207"/>
      <c r="R244" s="192">
        <v>1</v>
      </c>
      <c r="S244" s="256">
        <f t="shared" si="29"/>
        <v>0.42</v>
      </c>
      <c r="T244" s="208">
        <f>Table1[[#This Row],[man minutes]]*Table1[[#This Row],[labor rate]]</f>
        <v>0</v>
      </c>
      <c r="U244" s="208">
        <f t="shared" si="32"/>
        <v>0</v>
      </c>
      <c r="V244" s="193">
        <f t="shared" si="31"/>
        <v>0.13</v>
      </c>
      <c r="W244" s="257">
        <f t="shared" si="30"/>
        <v>0.13</v>
      </c>
      <c r="X244" s="208">
        <f t="shared" si="33"/>
        <v>0</v>
      </c>
      <c r="Y244" s="208">
        <f t="shared" si="34"/>
        <v>0</v>
      </c>
      <c r="Z244" s="208">
        <f t="shared" si="35"/>
        <v>0</v>
      </c>
      <c r="AA244" s="210">
        <f>+Table1[[#This Row],[calculated sale price]]</f>
        <v>0</v>
      </c>
      <c r="AB244" s="209"/>
      <c r="AC244" s="213"/>
    </row>
    <row r="245" spans="1:29">
      <c r="A245" s="192">
        <v>1236</v>
      </c>
      <c r="C245" s="192">
        <v>1</v>
      </c>
      <c r="I245" s="192"/>
      <c r="J245" s="192"/>
      <c r="K245" s="192"/>
      <c r="L245" s="203"/>
      <c r="M245" s="192"/>
      <c r="N245" s="204"/>
      <c r="O245" s="205">
        <v>0</v>
      </c>
      <c r="P245" s="205">
        <f>Table1[[#This Row],[unit cost]]</f>
        <v>0</v>
      </c>
      <c r="Q245" s="207"/>
      <c r="R245" s="192">
        <v>1</v>
      </c>
      <c r="S245" s="256">
        <f t="shared" si="29"/>
        <v>0.42</v>
      </c>
      <c r="T245" s="208">
        <f>Table1[[#This Row],[man minutes]]*Table1[[#This Row],[labor rate]]</f>
        <v>0</v>
      </c>
      <c r="U245" s="208">
        <f t="shared" si="32"/>
        <v>0</v>
      </c>
      <c r="V245" s="193">
        <f t="shared" si="31"/>
        <v>0.13</v>
      </c>
      <c r="W245" s="257">
        <f t="shared" si="30"/>
        <v>0.13</v>
      </c>
      <c r="X245" s="208">
        <f t="shared" si="33"/>
        <v>0</v>
      </c>
      <c r="Y245" s="208">
        <f t="shared" si="34"/>
        <v>0</v>
      </c>
      <c r="Z245" s="208">
        <f t="shared" si="35"/>
        <v>0</v>
      </c>
      <c r="AA245" s="210">
        <f>+Table1[[#This Row],[calculated sale price]]</f>
        <v>0</v>
      </c>
      <c r="AB245" s="209"/>
      <c r="AC245" s="213"/>
    </row>
    <row r="246" spans="1:29">
      <c r="A246" s="192">
        <v>1237</v>
      </c>
      <c r="C246" s="192">
        <v>1</v>
      </c>
      <c r="I246" s="192"/>
      <c r="J246" s="192"/>
      <c r="K246" s="192"/>
      <c r="L246" s="203"/>
      <c r="M246" s="192"/>
      <c r="N246" s="204"/>
      <c r="O246" s="205">
        <v>0</v>
      </c>
      <c r="P246" s="205">
        <f>Table1[[#This Row],[unit cost]]</f>
        <v>0</v>
      </c>
      <c r="Q246" s="207"/>
      <c r="R246" s="192">
        <v>1</v>
      </c>
      <c r="S246" s="256">
        <f t="shared" si="29"/>
        <v>0.42</v>
      </c>
      <c r="T246" s="208">
        <f>Table1[[#This Row],[man minutes]]*Table1[[#This Row],[labor rate]]</f>
        <v>0</v>
      </c>
      <c r="U246" s="208">
        <f t="shared" si="32"/>
        <v>0</v>
      </c>
      <c r="V246" s="193">
        <f t="shared" si="31"/>
        <v>0.13</v>
      </c>
      <c r="W246" s="257">
        <f t="shared" si="30"/>
        <v>0.13</v>
      </c>
      <c r="X246" s="208">
        <f t="shared" si="33"/>
        <v>0</v>
      </c>
      <c r="Y246" s="208">
        <f t="shared" si="34"/>
        <v>0</v>
      </c>
      <c r="Z246" s="208">
        <f t="shared" si="35"/>
        <v>0</v>
      </c>
      <c r="AA246" s="210">
        <f>+Table1[[#This Row],[calculated sale price]]</f>
        <v>0</v>
      </c>
      <c r="AB246" s="209"/>
      <c r="AC246" s="213"/>
    </row>
    <row r="247" spans="1:29">
      <c r="A247" s="192">
        <v>1238</v>
      </c>
      <c r="C247" s="192">
        <v>1</v>
      </c>
      <c r="I247" s="192"/>
      <c r="J247" s="192"/>
      <c r="K247" s="192"/>
      <c r="L247" s="203"/>
      <c r="M247" s="192"/>
      <c r="N247" s="204"/>
      <c r="O247" s="205">
        <v>0</v>
      </c>
      <c r="P247" s="205">
        <f>Table1[[#This Row],[unit cost]]</f>
        <v>0</v>
      </c>
      <c r="Q247" s="207"/>
      <c r="R247" s="192">
        <v>1</v>
      </c>
      <c r="S247" s="256">
        <f t="shared" si="29"/>
        <v>0.42</v>
      </c>
      <c r="T247" s="208">
        <f>Table1[[#This Row],[man minutes]]*Table1[[#This Row],[labor rate]]</f>
        <v>0</v>
      </c>
      <c r="U247" s="208">
        <f t="shared" si="32"/>
        <v>0</v>
      </c>
      <c r="V247" s="193">
        <f t="shared" si="31"/>
        <v>0.13</v>
      </c>
      <c r="W247" s="257">
        <f t="shared" si="30"/>
        <v>0.13</v>
      </c>
      <c r="X247" s="208">
        <f t="shared" si="33"/>
        <v>0</v>
      </c>
      <c r="Y247" s="208">
        <f t="shared" si="34"/>
        <v>0</v>
      </c>
      <c r="Z247" s="208">
        <f t="shared" si="35"/>
        <v>0</v>
      </c>
      <c r="AA247" s="210">
        <f>+Table1[[#This Row],[calculated sale price]]</f>
        <v>0</v>
      </c>
      <c r="AB247" s="209"/>
      <c r="AC247" s="213"/>
    </row>
    <row r="248" spans="1:29">
      <c r="A248" s="192">
        <v>1239</v>
      </c>
      <c r="C248" s="192">
        <v>1</v>
      </c>
      <c r="I248" s="192"/>
      <c r="J248" s="192"/>
      <c r="K248" s="192"/>
      <c r="L248" s="203"/>
      <c r="M248" s="192"/>
      <c r="N248" s="204"/>
      <c r="O248" s="205">
        <v>0</v>
      </c>
      <c r="P248" s="205">
        <f>Table1[[#This Row],[unit cost]]</f>
        <v>0</v>
      </c>
      <c r="Q248" s="207"/>
      <c r="R248" s="192">
        <v>1</v>
      </c>
      <c r="S248" s="256">
        <f t="shared" si="29"/>
        <v>0.42</v>
      </c>
      <c r="T248" s="208">
        <f>Table1[[#This Row],[man minutes]]*Table1[[#This Row],[labor rate]]</f>
        <v>0</v>
      </c>
      <c r="U248" s="208">
        <f t="shared" si="32"/>
        <v>0</v>
      </c>
      <c r="V248" s="193">
        <f t="shared" si="31"/>
        <v>0.13</v>
      </c>
      <c r="W248" s="257">
        <f t="shared" si="30"/>
        <v>0.13</v>
      </c>
      <c r="X248" s="208">
        <f t="shared" si="33"/>
        <v>0</v>
      </c>
      <c r="Y248" s="208">
        <f t="shared" si="34"/>
        <v>0</v>
      </c>
      <c r="Z248" s="208">
        <f t="shared" si="35"/>
        <v>0</v>
      </c>
      <c r="AA248" s="210">
        <f>+Table1[[#This Row],[calculated sale price]]</f>
        <v>0</v>
      </c>
      <c r="AB248" s="209"/>
      <c r="AC248" s="213"/>
    </row>
    <row r="249" spans="1:29">
      <c r="A249" s="192">
        <v>1240</v>
      </c>
      <c r="C249" s="192">
        <v>1</v>
      </c>
      <c r="I249" s="192"/>
      <c r="J249" s="192"/>
      <c r="K249" s="192"/>
      <c r="L249" s="203"/>
      <c r="M249" s="192"/>
      <c r="N249" s="204"/>
      <c r="O249" s="205">
        <v>0</v>
      </c>
      <c r="P249" s="205">
        <f>Table1[[#This Row],[unit cost]]</f>
        <v>0</v>
      </c>
      <c r="Q249" s="207"/>
      <c r="R249" s="192">
        <v>1</v>
      </c>
      <c r="S249" s="256">
        <f t="shared" si="29"/>
        <v>0.42</v>
      </c>
      <c r="T249" s="208">
        <f>Table1[[#This Row],[man minutes]]*Table1[[#This Row],[labor rate]]</f>
        <v>0</v>
      </c>
      <c r="U249" s="208">
        <f t="shared" si="32"/>
        <v>0</v>
      </c>
      <c r="V249" s="193">
        <f t="shared" si="31"/>
        <v>0.13</v>
      </c>
      <c r="W249" s="257">
        <f t="shared" si="30"/>
        <v>0.13</v>
      </c>
      <c r="X249" s="208">
        <f t="shared" si="33"/>
        <v>0</v>
      </c>
      <c r="Y249" s="208">
        <f t="shared" si="34"/>
        <v>0</v>
      </c>
      <c r="Z249" s="208">
        <f t="shared" si="35"/>
        <v>0</v>
      </c>
      <c r="AA249" s="210">
        <f>+Table1[[#This Row],[calculated sale price]]</f>
        <v>0</v>
      </c>
      <c r="AB249" s="209"/>
      <c r="AC249" s="213"/>
    </row>
    <row r="250" spans="1:29">
      <c r="A250" s="192"/>
      <c r="C250" s="192">
        <v>1</v>
      </c>
      <c r="I250" s="192"/>
      <c r="J250" s="192"/>
      <c r="K250" s="192"/>
      <c r="L250" s="203"/>
      <c r="M250" s="192"/>
      <c r="N250" s="204"/>
      <c r="O250" s="205">
        <v>0</v>
      </c>
      <c r="P250" s="205">
        <f>Table1[[#This Row],[unit cost]]</f>
        <v>0</v>
      </c>
      <c r="Q250" s="207"/>
      <c r="R250" s="192">
        <v>1</v>
      </c>
      <c r="S250" s="256">
        <f t="shared" si="29"/>
        <v>0.42</v>
      </c>
      <c r="T250" s="208">
        <f>Table1[[#This Row],[man minutes]]*Table1[[#This Row],[labor rate]]</f>
        <v>0</v>
      </c>
      <c r="U250" s="208">
        <f t="shared" si="32"/>
        <v>0</v>
      </c>
      <c r="V250" s="193">
        <f t="shared" si="31"/>
        <v>0.13</v>
      </c>
      <c r="W250" s="257">
        <f t="shared" si="30"/>
        <v>0.13</v>
      </c>
      <c r="X250" s="208">
        <f t="shared" si="33"/>
        <v>0</v>
      </c>
      <c r="Y250" s="208">
        <f t="shared" si="34"/>
        <v>0</v>
      </c>
      <c r="Z250" s="208">
        <f t="shared" si="35"/>
        <v>0</v>
      </c>
      <c r="AA250" s="210">
        <f>+Table1[[#This Row],[calculated sale price]]</f>
        <v>0</v>
      </c>
      <c r="AB250" s="209"/>
      <c r="AC250" s="213"/>
    </row>
    <row r="251" spans="1:29">
      <c r="A251" s="192"/>
      <c r="C251" s="192">
        <v>1</v>
      </c>
      <c r="I251" s="192"/>
      <c r="J251" s="192"/>
      <c r="K251" s="192"/>
      <c r="L251" s="203"/>
      <c r="M251" s="192"/>
      <c r="N251" s="204"/>
      <c r="O251" s="205">
        <v>0</v>
      </c>
      <c r="P251" s="205">
        <f>Table1[[#This Row],[unit cost]]</f>
        <v>0</v>
      </c>
      <c r="Q251" s="207"/>
      <c r="R251" s="192">
        <v>1</v>
      </c>
      <c r="S251" s="256">
        <f t="shared" si="29"/>
        <v>0.42</v>
      </c>
      <c r="T251" s="208">
        <f>Table1[[#This Row],[man minutes]]*Table1[[#This Row],[labor rate]]</f>
        <v>0</v>
      </c>
      <c r="U251" s="208">
        <f t="shared" si="32"/>
        <v>0</v>
      </c>
      <c r="V251" s="193">
        <f t="shared" si="31"/>
        <v>0.13</v>
      </c>
      <c r="W251" s="257">
        <f t="shared" si="30"/>
        <v>0.13</v>
      </c>
      <c r="X251" s="208">
        <f t="shared" si="33"/>
        <v>0</v>
      </c>
      <c r="Y251" s="208">
        <f t="shared" si="34"/>
        <v>0</v>
      </c>
      <c r="Z251" s="208">
        <f t="shared" si="35"/>
        <v>0</v>
      </c>
      <c r="AA251" s="210">
        <f>+Table1[[#This Row],[calculated sale price]]</f>
        <v>0</v>
      </c>
      <c r="AB251" s="209"/>
      <c r="AC251" s="213"/>
    </row>
    <row r="252" spans="1:29">
      <c r="A252" s="192"/>
      <c r="C252" s="192">
        <v>1</v>
      </c>
      <c r="I252" s="192"/>
      <c r="J252" s="192"/>
      <c r="K252" s="192"/>
      <c r="L252" s="203"/>
      <c r="M252" s="192"/>
      <c r="N252" s="204"/>
      <c r="O252" s="205">
        <v>0</v>
      </c>
      <c r="P252" s="205">
        <f>Table1[[#This Row],[unit cost]]</f>
        <v>0</v>
      </c>
      <c r="Q252" s="207"/>
      <c r="R252" s="192">
        <v>1</v>
      </c>
      <c r="S252" s="256">
        <f t="shared" si="29"/>
        <v>0.42</v>
      </c>
      <c r="T252" s="208">
        <f>Table1[[#This Row],[man minutes]]*Table1[[#This Row],[labor rate]]</f>
        <v>0</v>
      </c>
      <c r="U252" s="208">
        <f t="shared" si="32"/>
        <v>0</v>
      </c>
      <c r="V252" s="193">
        <f t="shared" si="31"/>
        <v>0.13</v>
      </c>
      <c r="W252" s="257">
        <f t="shared" si="30"/>
        <v>0.13</v>
      </c>
      <c r="X252" s="208">
        <f t="shared" si="33"/>
        <v>0</v>
      </c>
      <c r="Y252" s="208">
        <f t="shared" si="34"/>
        <v>0</v>
      </c>
      <c r="Z252" s="208">
        <f t="shared" si="35"/>
        <v>0</v>
      </c>
      <c r="AA252" s="210">
        <f>+Table1[[#This Row],[calculated sale price]]</f>
        <v>0</v>
      </c>
      <c r="AB252" s="209"/>
      <c r="AC252" s="213"/>
    </row>
    <row r="253" spans="1:29">
      <c r="A253" s="192"/>
      <c r="C253" s="192">
        <v>1</v>
      </c>
      <c r="I253" s="192"/>
      <c r="J253" s="192"/>
      <c r="K253" s="192"/>
      <c r="L253" s="203"/>
      <c r="M253" s="192"/>
      <c r="N253" s="204"/>
      <c r="O253" s="205">
        <v>0</v>
      </c>
      <c r="P253" s="205">
        <f>Table1[[#This Row],[unit cost]]</f>
        <v>0</v>
      </c>
      <c r="Q253" s="207"/>
      <c r="R253" s="192">
        <v>1</v>
      </c>
      <c r="S253" s="256">
        <f t="shared" si="29"/>
        <v>0.42</v>
      </c>
      <c r="T253" s="208">
        <f>Table1[[#This Row],[man minutes]]*Table1[[#This Row],[labor rate]]</f>
        <v>0</v>
      </c>
      <c r="U253" s="208">
        <f t="shared" si="32"/>
        <v>0</v>
      </c>
      <c r="V253" s="193">
        <f t="shared" si="31"/>
        <v>0.13</v>
      </c>
      <c r="W253" s="257">
        <f t="shared" si="30"/>
        <v>0.13</v>
      </c>
      <c r="X253" s="208">
        <f t="shared" si="33"/>
        <v>0</v>
      </c>
      <c r="Y253" s="208">
        <f t="shared" si="34"/>
        <v>0</v>
      </c>
      <c r="Z253" s="208">
        <f t="shared" si="35"/>
        <v>0</v>
      </c>
      <c r="AA253" s="210">
        <f>+Table1[[#This Row],[calculated sale price]]</f>
        <v>0</v>
      </c>
      <c r="AB253" s="209"/>
      <c r="AC253" s="213"/>
    </row>
    <row r="254" spans="1:29">
      <c r="A254" s="192"/>
      <c r="C254" s="192"/>
      <c r="I254" s="192"/>
      <c r="J254" s="192"/>
      <c r="K254" s="192"/>
      <c r="L254" s="203"/>
      <c r="M254" s="192"/>
      <c r="N254" s="204"/>
      <c r="O254" s="205"/>
      <c r="P254" s="206"/>
      <c r="Q254" s="207"/>
      <c r="S254" s="208">
        <f t="shared" si="29"/>
        <v>0.42</v>
      </c>
      <c r="T254" s="208"/>
      <c r="U254" s="208"/>
      <c r="X254" s="208"/>
      <c r="Y254" s="208"/>
      <c r="Z254" s="208"/>
      <c r="AA254" s="210"/>
      <c r="AB254" s="209"/>
      <c r="AC254" s="213"/>
    </row>
    <row r="255" spans="1:29">
      <c r="A255" s="192"/>
      <c r="C255" s="192"/>
      <c r="I255" s="192"/>
      <c r="J255" s="192"/>
      <c r="K255" s="192"/>
      <c r="L255" s="203"/>
      <c r="M255" s="192"/>
      <c r="N255" s="204"/>
      <c r="O255" s="205"/>
      <c r="P255" s="206"/>
      <c r="Q255" s="207"/>
      <c r="S255" s="208">
        <f t="shared" si="29"/>
        <v>0.42</v>
      </c>
      <c r="T255" s="208"/>
      <c r="U255" s="208"/>
      <c r="X255" s="208"/>
      <c r="Y255" s="208"/>
      <c r="Z255" s="208"/>
      <c r="AA255" s="210"/>
      <c r="AB255" s="209"/>
      <c r="AC255" s="213"/>
    </row>
    <row r="256" spans="1:29">
      <c r="A256" s="192"/>
      <c r="C256" s="192"/>
      <c r="I256" s="192"/>
      <c r="J256" s="192"/>
      <c r="K256" s="192"/>
      <c r="L256" s="203"/>
      <c r="M256" s="192"/>
      <c r="N256" s="204"/>
      <c r="O256" s="205"/>
      <c r="P256" s="206"/>
      <c r="Q256" s="207"/>
      <c r="S256" s="208">
        <f t="shared" si="29"/>
        <v>0.42</v>
      </c>
      <c r="T256" s="208"/>
      <c r="U256" s="208"/>
      <c r="X256" s="208"/>
      <c r="Y256" s="208"/>
      <c r="Z256" s="208"/>
      <c r="AA256" s="210"/>
      <c r="AB256" s="209"/>
      <c r="AC256" s="213"/>
    </row>
    <row r="257" spans="1:29">
      <c r="A257" s="192"/>
      <c r="C257" s="192"/>
      <c r="I257" s="192"/>
      <c r="J257" s="192"/>
      <c r="K257" s="192"/>
      <c r="L257" s="203"/>
      <c r="M257" s="192"/>
      <c r="N257" s="204"/>
      <c r="O257" s="205"/>
      <c r="P257" s="206"/>
      <c r="Q257" s="207"/>
      <c r="S257" s="214"/>
      <c r="T257" s="214"/>
      <c r="U257" s="214"/>
      <c r="V257" s="215"/>
      <c r="W257" s="203"/>
      <c r="X257" s="214"/>
      <c r="Y257" s="214"/>
      <c r="Z257" s="214"/>
      <c r="AA257" s="245"/>
      <c r="AB257" s="216"/>
      <c r="AC257" s="214"/>
    </row>
    <row r="258" spans="1:29" s="212" customFormat="1">
      <c r="A258"/>
      <c r="B258"/>
      <c r="C258"/>
      <c r="D258" s="192"/>
      <c r="E258" s="192"/>
      <c r="F258" s="192"/>
      <c r="G258" s="192"/>
      <c r="H258" s="192"/>
      <c r="I258"/>
      <c r="J258"/>
      <c r="K258"/>
      <c r="L258" s="192"/>
      <c r="M258"/>
      <c r="N258"/>
      <c r="O258"/>
      <c r="P258"/>
      <c r="Q258" s="191"/>
      <c r="R258" s="192"/>
      <c r="S258"/>
      <c r="T258"/>
      <c r="U258"/>
      <c r="V258" s="193"/>
      <c r="W258" s="194"/>
      <c r="X258"/>
      <c r="Y258"/>
      <c r="Z258"/>
      <c r="AA258" s="179"/>
      <c r="AB258"/>
      <c r="AC258"/>
    </row>
    <row r="266" spans="1:29" s="212" customFormat="1">
      <c r="A266"/>
      <c r="B266"/>
      <c r="C266"/>
      <c r="D266" s="192"/>
      <c r="E266" s="192"/>
      <c r="F266" s="192"/>
      <c r="G266" s="192"/>
      <c r="H266" s="192"/>
      <c r="I266"/>
      <c r="J266"/>
      <c r="K266"/>
      <c r="L266" s="192"/>
      <c r="M266"/>
      <c r="N266"/>
      <c r="O266"/>
      <c r="P266"/>
      <c r="Q266" s="191"/>
      <c r="R266" s="192"/>
      <c r="S266"/>
      <c r="T266"/>
      <c r="U266"/>
      <c r="V266" s="193"/>
      <c r="W266" s="194"/>
      <c r="X266"/>
      <c r="Y266"/>
      <c r="Z266"/>
      <c r="AA266" s="179"/>
      <c r="AB266"/>
      <c r="AC266"/>
    </row>
    <row r="269" spans="1:29" s="212" customFormat="1">
      <c r="A269"/>
      <c r="B269"/>
      <c r="C269"/>
      <c r="D269" s="192"/>
      <c r="E269" s="192"/>
      <c r="F269" s="192"/>
      <c r="G269" s="192"/>
      <c r="H269" s="192"/>
      <c r="I269"/>
      <c r="J269"/>
      <c r="K269"/>
      <c r="L269" s="192"/>
      <c r="M269"/>
      <c r="N269"/>
      <c r="O269"/>
      <c r="P269"/>
      <c r="Q269" s="191"/>
      <c r="R269" s="192"/>
      <c r="S269"/>
      <c r="T269"/>
      <c r="U269"/>
      <c r="V269" s="193"/>
      <c r="W269" s="194"/>
      <c r="X269"/>
      <c r="Y269"/>
      <c r="Z269"/>
      <c r="AA269" s="179"/>
      <c r="AB269"/>
      <c r="AC269"/>
    </row>
    <row r="285" spans="30:30">
      <c r="AD285" s="211"/>
    </row>
    <row r="299" spans="1:29" s="212" customFormat="1">
      <c r="A299"/>
      <c r="B299"/>
      <c r="C299"/>
      <c r="D299" s="192"/>
      <c r="E299" s="192"/>
      <c r="F299" s="192"/>
      <c r="G299" s="192"/>
      <c r="H299" s="192"/>
      <c r="I299"/>
      <c r="J299"/>
      <c r="K299"/>
      <c r="L299" s="192"/>
      <c r="M299"/>
      <c r="N299"/>
      <c r="O299"/>
      <c r="P299"/>
      <c r="Q299" s="191"/>
      <c r="R299" s="192"/>
      <c r="S299"/>
      <c r="T299"/>
      <c r="U299"/>
      <c r="V299" s="193"/>
      <c r="W299" s="194"/>
      <c r="X299"/>
      <c r="Y299"/>
      <c r="Z299"/>
      <c r="AA299" s="179"/>
      <c r="AB299"/>
      <c r="AC299"/>
    </row>
    <row r="316" spans="1:29" s="212" customFormat="1">
      <c r="A316"/>
      <c r="B316"/>
      <c r="C316"/>
      <c r="D316" s="192"/>
      <c r="E316" s="192"/>
      <c r="F316" s="192"/>
      <c r="G316" s="192"/>
      <c r="H316" s="192"/>
      <c r="I316"/>
      <c r="J316"/>
      <c r="K316"/>
      <c r="L316" s="192"/>
      <c r="M316"/>
      <c r="N316"/>
      <c r="O316"/>
      <c r="P316"/>
      <c r="Q316" s="191"/>
      <c r="R316" s="192"/>
      <c r="S316"/>
      <c r="T316"/>
      <c r="U316"/>
      <c r="V316" s="193"/>
      <c r="W316" s="194"/>
      <c r="X316"/>
      <c r="Y316"/>
      <c r="Z316"/>
      <c r="AA316" s="179"/>
      <c r="AB316"/>
      <c r="AC316"/>
    </row>
    <row r="328" spans="1:29" s="212" customFormat="1">
      <c r="A328"/>
      <c r="B328"/>
      <c r="C328"/>
      <c r="D328" s="192"/>
      <c r="E328" s="192"/>
      <c r="F328" s="192"/>
      <c r="G328" s="192"/>
      <c r="H328" s="192"/>
      <c r="I328"/>
      <c r="J328"/>
      <c r="K328"/>
      <c r="L328" s="192"/>
      <c r="M328"/>
      <c r="N328"/>
      <c r="O328"/>
      <c r="P328"/>
      <c r="Q328" s="191"/>
      <c r="R328" s="192"/>
      <c r="S328"/>
      <c r="T328"/>
      <c r="U328"/>
      <c r="V328" s="193"/>
      <c r="W328" s="194"/>
      <c r="X328"/>
      <c r="Y328"/>
      <c r="Z328"/>
      <c r="AA328" s="179"/>
      <c r="AB328"/>
      <c r="AC328"/>
    </row>
    <row r="332" spans="1:29" s="212" customFormat="1">
      <c r="A332"/>
      <c r="B332"/>
      <c r="C332"/>
      <c r="D332" s="192"/>
      <c r="E332" s="192"/>
      <c r="F332" s="192"/>
      <c r="G332" s="192"/>
      <c r="H332" s="192"/>
      <c r="I332"/>
      <c r="J332"/>
      <c r="K332"/>
      <c r="L332" s="192"/>
      <c r="M332"/>
      <c r="N332"/>
      <c r="O332"/>
      <c r="P332"/>
      <c r="Q332" s="191"/>
      <c r="R332" s="192"/>
      <c r="S332"/>
      <c r="T332"/>
      <c r="U332"/>
      <c r="V332" s="193"/>
      <c r="W332" s="194"/>
      <c r="X332"/>
      <c r="Y332"/>
      <c r="Z332"/>
      <c r="AA332" s="179"/>
      <c r="AB332"/>
      <c r="AC332"/>
    </row>
    <row r="457" ht="15" customHeight="1"/>
  </sheetData>
  <mergeCells count="1">
    <mergeCell ref="A8:AB8"/>
  </mergeCells>
  <conditionalFormatting sqref="A1:A1048576">
    <cfRule type="duplicateValues" dxfId="75" priority="1"/>
  </conditionalFormatting>
  <conditionalFormatting sqref="A9">
    <cfRule type="duplicateValues" dxfId="74" priority="68"/>
  </conditionalFormatting>
  <conditionalFormatting sqref="A10:A249">
    <cfRule type="duplicateValues" dxfId="73" priority="949"/>
  </conditionalFormatting>
  <conditionalFormatting sqref="A10:A257">
    <cfRule type="duplicateValues" dxfId="72" priority="828"/>
  </conditionalFormatting>
  <conditionalFormatting sqref="A33:A68 A70 A72:A73 A75:A85">
    <cfRule type="duplicateValues" dxfId="71" priority="67"/>
  </conditionalFormatting>
  <conditionalFormatting sqref="A69">
    <cfRule type="duplicateValues" dxfId="70" priority="6"/>
    <cfRule type="duplicateValues" dxfId="69" priority="7"/>
  </conditionalFormatting>
  <conditionalFormatting sqref="A71">
    <cfRule type="duplicateValues" dxfId="68" priority="5"/>
  </conditionalFormatting>
  <conditionalFormatting sqref="A87:A90">
    <cfRule type="duplicateValues" dxfId="67" priority="8"/>
    <cfRule type="duplicateValues" dxfId="66" priority="9"/>
    <cfRule type="duplicateValues" dxfId="65" priority="10"/>
    <cfRule type="duplicateValues" dxfId="64" priority="11"/>
    <cfRule type="duplicateValues" dxfId="63" priority="12"/>
  </conditionalFormatting>
  <conditionalFormatting sqref="A101:A102 A106:A109">
    <cfRule type="duplicateValues" dxfId="62" priority="4"/>
  </conditionalFormatting>
  <conditionalFormatting sqref="A103:A105">
    <cfRule type="duplicateValues" dxfId="61" priority="2"/>
  </conditionalFormatting>
  <conditionalFormatting sqref="N10:N257">
    <cfRule type="cellIs" dxfId="60" priority="3" operator="equal">
      <formula>0</formula>
    </cfRule>
  </conditionalFormatting>
  <conditionalFormatting sqref="AA10:AA257">
    <cfRule type="expression" dxfId="59" priority="64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812349-904E-4FEB-B97A-79910B993EA7}"/>
</file>

<file path=customXml/itemProps2.xml><?xml version="1.0" encoding="utf-8"?>
<ds:datastoreItem xmlns:ds="http://schemas.openxmlformats.org/officeDocument/2006/customXml" ds:itemID="{565363B5-A169-4309-904C-291406346471}"/>
</file>

<file path=customXml/itemProps3.xml><?xml version="1.0" encoding="utf-8"?>
<ds:datastoreItem xmlns:ds="http://schemas.openxmlformats.org/officeDocument/2006/customXml" ds:itemID="{C5A87D38-E78F-4188-A038-7D8602BDAE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Preetham Rajupeta</dc:creator>
  <cp:keywords/>
  <dc:description/>
  <cp:lastModifiedBy>Steve Lenderman</cp:lastModifiedBy>
  <cp:revision/>
  <dcterms:created xsi:type="dcterms:W3CDTF">2021-04-30T01:45:45Z</dcterms:created>
  <dcterms:modified xsi:type="dcterms:W3CDTF">2024-10-08T09:43:20Z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