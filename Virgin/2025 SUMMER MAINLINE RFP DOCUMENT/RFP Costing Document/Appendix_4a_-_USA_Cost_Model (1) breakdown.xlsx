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RFP Costing Document/"/>
    </mc:Choice>
  </mc:AlternateContent>
  <xr:revisionPtr revIDLastSave="151" documentId="8_{D94A2ED7-B8FD-4920-B2C6-1C09AE01FEB6}" xr6:coauthVersionLast="47" xr6:coauthVersionMax="47" xr10:uidLastSave="{66BD0F2E-3103-4BCF-B534-25F6BF7F3A37}"/>
  <bookViews>
    <workbookView xWindow="37260" yWindow="-3240" windowWidth="27915" windowHeight="16320" firstSheet="1" activeTab="6"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Tax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4" l="1"/>
  <c r="F50" i="4"/>
  <c r="F52" i="4" s="1"/>
  <c r="E50" i="4"/>
  <c r="E52" i="4" s="1"/>
  <c r="D50" i="4"/>
  <c r="D52" i="4" s="1"/>
  <c r="C50" i="4"/>
  <c r="Q48" i="4"/>
  <c r="Q47" i="4"/>
  <c r="R47" i="4" s="1"/>
  <c r="Q46" i="4"/>
  <c r="Q45" i="4"/>
  <c r="Q44" i="4"/>
  <c r="Q43" i="4"/>
  <c r="Q42" i="4"/>
  <c r="O48" i="4"/>
  <c r="O47" i="4"/>
  <c r="O46" i="4"/>
  <c r="O45" i="4"/>
  <c r="O44" i="4"/>
  <c r="O43" i="4"/>
  <c r="P43" i="4" s="1"/>
  <c r="O42" i="4"/>
  <c r="M48" i="4"/>
  <c r="M47" i="4"/>
  <c r="M46" i="4"/>
  <c r="M45" i="4"/>
  <c r="N45" i="4" s="1"/>
  <c r="M44" i="4"/>
  <c r="M43" i="4"/>
  <c r="M42" i="4"/>
  <c r="Q41" i="4"/>
  <c r="O41" i="4"/>
  <c r="M41" i="4"/>
  <c r="K48" i="4"/>
  <c r="L48" i="4" s="1"/>
  <c r="K47" i="4"/>
  <c r="L47" i="4" s="1"/>
  <c r="K46" i="4"/>
  <c r="K45" i="4"/>
  <c r="K44" i="4"/>
  <c r="K43" i="4"/>
  <c r="K42" i="4"/>
  <c r="L42" i="4" s="1"/>
  <c r="K41" i="4"/>
  <c r="J47" i="4"/>
  <c r="J46" i="4"/>
  <c r="J45" i="4"/>
  <c r="J44" i="4"/>
  <c r="J43" i="4"/>
  <c r="J41" i="4"/>
  <c r="I48" i="4"/>
  <c r="J48" i="4" s="1"/>
  <c r="I47" i="4"/>
  <c r="I46" i="4"/>
  <c r="I45" i="4"/>
  <c r="I44" i="4"/>
  <c r="I43" i="4"/>
  <c r="I42" i="4"/>
  <c r="J42" i="4" s="1"/>
  <c r="P47" i="4"/>
  <c r="I41" i="4"/>
  <c r="P44" i="4"/>
  <c r="N43" i="4"/>
  <c r="N48" i="4"/>
  <c r="I36" i="4"/>
  <c r="Q35" i="4"/>
  <c r="O35" i="4"/>
  <c r="M35" i="4"/>
  <c r="K35" i="4"/>
  <c r="I35" i="4"/>
  <c r="Q34" i="4"/>
  <c r="O34" i="4"/>
  <c r="M34" i="4"/>
  <c r="K34" i="4"/>
  <c r="I34" i="4"/>
  <c r="Q33" i="4"/>
  <c r="O33" i="4"/>
  <c r="M33" i="4"/>
  <c r="K33" i="4"/>
  <c r="I33" i="4"/>
  <c r="M23" i="4"/>
  <c r="Q27" i="4"/>
  <c r="O27" i="4"/>
  <c r="M27" i="4"/>
  <c r="K27" i="4"/>
  <c r="I27" i="4"/>
  <c r="Q26" i="4"/>
  <c r="O26" i="4"/>
  <c r="M26" i="4"/>
  <c r="K26" i="4"/>
  <c r="I26" i="4"/>
  <c r="Q25" i="4"/>
  <c r="O25" i="4"/>
  <c r="M25" i="4"/>
  <c r="K25" i="4"/>
  <c r="I25" i="4"/>
  <c r="Q24" i="4"/>
  <c r="O24" i="4"/>
  <c r="M24" i="4"/>
  <c r="K24" i="4"/>
  <c r="I24" i="4"/>
  <c r="Q23" i="4"/>
  <c r="O23" i="4"/>
  <c r="K23" i="4"/>
  <c r="I23" i="4"/>
  <c r="Q17" i="4"/>
  <c r="Q16" i="4"/>
  <c r="Q15" i="4"/>
  <c r="Q14" i="4"/>
  <c r="Q13" i="4"/>
  <c r="O17" i="4"/>
  <c r="P17" i="4" s="1"/>
  <c r="O16" i="4"/>
  <c r="O15" i="4"/>
  <c r="O14" i="4"/>
  <c r="J11" i="4"/>
  <c r="J16" i="4" s="1"/>
  <c r="M17" i="4"/>
  <c r="N17" i="4" s="1"/>
  <c r="M16" i="4"/>
  <c r="M15" i="4"/>
  <c r="M14" i="4"/>
  <c r="K17" i="4"/>
  <c r="K16" i="4"/>
  <c r="K15" i="4"/>
  <c r="K14" i="4"/>
  <c r="I17" i="4"/>
  <c r="I16" i="4"/>
  <c r="I15" i="4"/>
  <c r="I14" i="4"/>
  <c r="J17" i="4"/>
  <c r="N13" i="5"/>
  <c r="CI31" i="2"/>
  <c r="CA31" i="2"/>
  <c r="BS31" i="2"/>
  <c r="BK31" i="2"/>
  <c r="BC31" i="2"/>
  <c r="AU31" i="2"/>
  <c r="AM31" i="2"/>
  <c r="AE31" i="2"/>
  <c r="W31" i="2"/>
  <c r="O31" i="2"/>
  <c r="G31" i="2"/>
  <c r="N19" i="5"/>
  <c r="O19" i="5"/>
  <c r="P19" i="5"/>
  <c r="Q19" i="5"/>
  <c r="R19" i="5"/>
  <c r="S19" i="5"/>
  <c r="T19" i="5"/>
  <c r="U19" i="5"/>
  <c r="V19" i="5"/>
  <c r="W19" i="5"/>
  <c r="X19" i="5"/>
  <c r="N20"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F50" i="6"/>
  <c r="E50" i="6"/>
  <c r="D50" i="6"/>
  <c r="C50" i="6"/>
  <c r="B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F47" i="6"/>
  <c r="E47" i="6"/>
  <c r="D47" i="6"/>
  <c r="C47" i="6"/>
  <c r="B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F44" i="6"/>
  <c r="E44" i="6"/>
  <c r="D44" i="6"/>
  <c r="C44" i="6"/>
  <c r="B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F41" i="6"/>
  <c r="E41" i="6"/>
  <c r="D41" i="6"/>
  <c r="C41" i="6"/>
  <c r="B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F36" i="6"/>
  <c r="E36" i="6"/>
  <c r="D36" i="6"/>
  <c r="C36" i="6"/>
  <c r="B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F33" i="6"/>
  <c r="E33" i="6"/>
  <c r="D33" i="6"/>
  <c r="C33" i="6"/>
  <c r="B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F30" i="6"/>
  <c r="E30" i="6"/>
  <c r="D30" i="6"/>
  <c r="C30" i="6"/>
  <c r="B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F27" i="6"/>
  <c r="E27" i="6"/>
  <c r="D27" i="6"/>
  <c r="C27" i="6"/>
  <c r="B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F22" i="6"/>
  <c r="E22" i="6"/>
  <c r="D22" i="6"/>
  <c r="C22" i="6"/>
  <c r="B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F19" i="6"/>
  <c r="E19" i="6"/>
  <c r="D19" i="6"/>
  <c r="C19" i="6"/>
  <c r="B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F16" i="6"/>
  <c r="E16" i="6"/>
  <c r="D16" i="6"/>
  <c r="C16" i="6"/>
  <c r="B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F13" i="6"/>
  <c r="E13" i="6"/>
  <c r="D13" i="6"/>
  <c r="C13" i="6"/>
  <c r="B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G52" i="4"/>
  <c r="C52" i="4"/>
  <c r="G49" i="4"/>
  <c r="F49" i="4"/>
  <c r="E49" i="4"/>
  <c r="D49" i="4"/>
  <c r="C49" i="4"/>
  <c r="G36" i="4"/>
  <c r="Q36" i="4" s="1"/>
  <c r="F36" i="4"/>
  <c r="O36" i="4" s="1"/>
  <c r="E36" i="4"/>
  <c r="M36" i="4" s="1"/>
  <c r="D36" i="4"/>
  <c r="K36" i="4" s="1"/>
  <c r="C36" i="4"/>
  <c r="G28" i="4"/>
  <c r="F28" i="4"/>
  <c r="E28" i="4"/>
  <c r="D28" i="4"/>
  <c r="C28" i="4"/>
  <c r="G18" i="4"/>
  <c r="F13" i="4"/>
  <c r="F18" i="4" s="1"/>
  <c r="E13" i="4"/>
  <c r="E18" i="4" s="1"/>
  <c r="D13" i="4"/>
  <c r="D18" i="4" s="1"/>
  <c r="C13" i="4"/>
  <c r="C18" i="4" s="1"/>
  <c r="CI29" i="2"/>
  <c r="CA29" i="2"/>
  <c r="BS29" i="2"/>
  <c r="BK29" i="2"/>
  <c r="BC29" i="2"/>
  <c r="AU29" i="2"/>
  <c r="AM29" i="2"/>
  <c r="AE29" i="2"/>
  <c r="W29" i="2"/>
  <c r="O29" i="2"/>
  <c r="G29" i="2"/>
  <c r="CI28" i="2"/>
  <c r="CI30" i="2" s="1"/>
  <c r="CA28" i="2"/>
  <c r="CA30" i="2" s="1"/>
  <c r="BS28" i="2"/>
  <c r="BK28" i="2"/>
  <c r="BC28" i="2"/>
  <c r="AU28" i="2"/>
  <c r="AM28" i="2"/>
  <c r="AM30" i="2" s="1"/>
  <c r="AE28" i="2"/>
  <c r="W28" i="2"/>
  <c r="W30" i="2" s="1"/>
  <c r="O28" i="2"/>
  <c r="O30" i="2" s="1"/>
  <c r="G28" i="2"/>
  <c r="G30" i="2" s="1"/>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G10" i="2"/>
  <c r="I49" i="4" l="1"/>
  <c r="K49" i="4"/>
  <c r="J49" i="4"/>
  <c r="L41" i="4"/>
  <c r="R43" i="4"/>
  <c r="L44" i="4"/>
  <c r="P16" i="4"/>
  <c r="N42" i="4"/>
  <c r="J24" i="4"/>
  <c r="N24" i="4"/>
  <c r="R26" i="4"/>
  <c r="N46" i="4"/>
  <c r="P42" i="4"/>
  <c r="R44" i="4"/>
  <c r="R45" i="4"/>
  <c r="J27" i="4"/>
  <c r="P46" i="4"/>
  <c r="R42" i="4"/>
  <c r="N47" i="4"/>
  <c r="P45" i="4"/>
  <c r="R46" i="4"/>
  <c r="P48" i="4"/>
  <c r="R15" i="4"/>
  <c r="J25" i="4"/>
  <c r="L43" i="4"/>
  <c r="R16" i="4"/>
  <c r="N44" i="4"/>
  <c r="L45" i="4"/>
  <c r="K13" i="4"/>
  <c r="L13" i="4" s="1"/>
  <c r="P35" i="4"/>
  <c r="Q49" i="4"/>
  <c r="R17" i="4"/>
  <c r="J23" i="4"/>
  <c r="N23" i="4"/>
  <c r="N41" i="4"/>
  <c r="R48" i="4"/>
  <c r="I13" i="4"/>
  <c r="O13" i="4"/>
  <c r="P13" i="4" s="1"/>
  <c r="J33" i="4"/>
  <c r="N35" i="4"/>
  <c r="O49" i="4"/>
  <c r="L46" i="4"/>
  <c r="P15" i="4"/>
  <c r="R41" i="4"/>
  <c r="O28" i="4"/>
  <c r="F29" i="4" s="1"/>
  <c r="F31" i="4" s="1"/>
  <c r="P41" i="4"/>
  <c r="M49" i="4"/>
  <c r="N36" i="4"/>
  <c r="R36" i="4"/>
  <c r="P36" i="4"/>
  <c r="L36" i="4"/>
  <c r="D39" i="4"/>
  <c r="P14" i="4"/>
  <c r="R24" i="4"/>
  <c r="L27" i="4"/>
  <c r="R13" i="4"/>
  <c r="R18" i="4" s="1"/>
  <c r="N27" i="4"/>
  <c r="J36" i="4"/>
  <c r="M13" i="4"/>
  <c r="N13" i="4" s="1"/>
  <c r="L25" i="4"/>
  <c r="P27" i="4"/>
  <c r="R33" i="4"/>
  <c r="J13" i="4"/>
  <c r="N14" i="4"/>
  <c r="N25" i="4"/>
  <c r="R27" i="4"/>
  <c r="J34" i="4"/>
  <c r="N15" i="4"/>
  <c r="P25" i="4"/>
  <c r="L34" i="4"/>
  <c r="R25" i="4"/>
  <c r="N34" i="4"/>
  <c r="P23" i="4"/>
  <c r="P34" i="4"/>
  <c r="Q28" i="4"/>
  <c r="G29" i="4" s="1"/>
  <c r="G31" i="4" s="1"/>
  <c r="L26" i="4"/>
  <c r="J26" i="4"/>
  <c r="R34" i="4"/>
  <c r="N26" i="4"/>
  <c r="J35" i="4"/>
  <c r="N16" i="4"/>
  <c r="R14" i="4"/>
  <c r="L24" i="4"/>
  <c r="P26" i="4"/>
  <c r="L23" i="4"/>
  <c r="L35" i="4"/>
  <c r="K37" i="4"/>
  <c r="D37" i="4" s="1"/>
  <c r="M37" i="4"/>
  <c r="E37" i="4" s="1"/>
  <c r="E39" i="4" s="1"/>
  <c r="O37" i="4"/>
  <c r="F37" i="4" s="1"/>
  <c r="F39" i="4" s="1"/>
  <c r="Q37" i="4"/>
  <c r="G37" i="4" s="1"/>
  <c r="G39" i="4" s="1"/>
  <c r="L33" i="4"/>
  <c r="N33" i="4"/>
  <c r="R35" i="4"/>
  <c r="P33" i="4"/>
  <c r="I28" i="4"/>
  <c r="C29" i="4" s="1"/>
  <c r="C31" i="4" s="1"/>
  <c r="K28" i="4"/>
  <c r="D29" i="4" s="1"/>
  <c r="D31" i="4" s="1"/>
  <c r="M28" i="4"/>
  <c r="E29" i="4" s="1"/>
  <c r="E31" i="4" s="1"/>
  <c r="P24" i="4"/>
  <c r="P28" i="4" s="1"/>
  <c r="R23" i="4"/>
  <c r="K18" i="4"/>
  <c r="D19" i="4" s="1"/>
  <c r="D21" i="4" s="1"/>
  <c r="I18" i="4"/>
  <c r="C19" i="4" s="1"/>
  <c r="C21" i="4" s="1"/>
  <c r="Q18" i="4"/>
  <c r="G19" i="4" s="1"/>
  <c r="G21" i="4" s="1"/>
  <c r="L17" i="4"/>
  <c r="L14" i="4"/>
  <c r="L15" i="4"/>
  <c r="L16" i="4"/>
  <c r="J14" i="4"/>
  <c r="J15" i="4"/>
  <c r="AU20" i="2"/>
  <c r="AE30" i="2"/>
  <c r="O20" i="2"/>
  <c r="BC20" i="2"/>
  <c r="BC30" i="2"/>
  <c r="BK30" i="2"/>
  <c r="W27" i="2"/>
  <c r="O27" i="2"/>
  <c r="CI20" i="2"/>
  <c r="CI27" i="2"/>
  <c r="AE20" i="2"/>
  <c r="W20" i="2"/>
  <c r="AU27" i="2"/>
  <c r="AM27" i="2"/>
  <c r="AM20" i="2"/>
  <c r="AU30" i="2"/>
  <c r="BC27" i="2"/>
  <c r="BK20" i="2"/>
  <c r="BK27" i="2"/>
  <c r="AE27" i="2"/>
  <c r="G20" i="2"/>
  <c r="BS20" i="2"/>
  <c r="BS27" i="2"/>
  <c r="BS30" i="2"/>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N49" i="4" l="1"/>
  <c r="L49" i="4"/>
  <c r="J28" i="4"/>
  <c r="N28" i="4"/>
  <c r="P18" i="4"/>
  <c r="P49" i="4"/>
  <c r="O18" i="4"/>
  <c r="F19" i="4" s="1"/>
  <c r="F21" i="4" s="1"/>
  <c r="F54" i="4" s="1"/>
  <c r="N37" i="4"/>
  <c r="L37" i="4"/>
  <c r="L28" i="4"/>
  <c r="R49" i="4"/>
  <c r="D54" i="4"/>
  <c r="N18" i="4"/>
  <c r="M18" i="4"/>
  <c r="E19" i="4" s="1"/>
  <c r="E21" i="4" s="1"/>
  <c r="R28" i="4"/>
  <c r="G54" i="4"/>
  <c r="P37" i="4"/>
  <c r="R37" i="4"/>
  <c r="J18" i="4"/>
  <c r="L18" i="4"/>
  <c r="E54" i="4" l="1"/>
  <c r="J37" i="4" l="1"/>
  <c r="I37" i="4"/>
  <c r="C37" i="4"/>
  <c r="C39" i="4" s="1"/>
  <c r="C54" i="4" l="1"/>
</calcChain>
</file>

<file path=xl/sharedStrings.xml><?xml version="1.0" encoding="utf-8"?>
<sst xmlns="http://schemas.openxmlformats.org/spreadsheetml/2006/main" count="1397" uniqueCount="196">
  <si>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</si>
  <si>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</si>
  <si>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</si>
  <si>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</si>
  <si>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</si>
  <si>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</si>
  <si>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</si>
  <si>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</si>
  <si>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</si>
  <si>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</si>
  <si>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</si>
  <si>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</si>
  <si>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</si>
  <si>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</si>
  <si>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</si>
  <si>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</si>
  <si>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</si>
  <si>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</si>
  <si>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</si>
  <si>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</si>
  <si>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</si>
  <si>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</si>
  <si>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</si>
  <si>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</si>
  <si>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</si>
  <si>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</si>
  <si>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</si>
  <si>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</si>
  <si>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</si>
  <si>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</si>
  <si>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</si>
  <si>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</si>
  <si>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</si>
  <si>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</si>
  <si>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</si>
  <si>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</si>
  <si>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</si>
  <si>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</si>
  <si>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</si>
  <si>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</si>
  <si>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</si>
  <si>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</si>
  <si>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</si>
  <si>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</si>
  <si>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</si>
  <si>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</si>
  <si>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</si>
  <si>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</si>
  <si>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</si>
  <si>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EXAMPLE - Account Manager</t>
  </si>
  <si>
    <t>EXAMPLE - Unit Manager</t>
  </si>
  <si>
    <t>EXAMPLE - Buyer</t>
  </si>
  <si>
    <t>[Please add as appropriate]</t>
  </si>
  <si>
    <t>Sub Total</t>
  </si>
  <si>
    <t>Fixed Costs</t>
  </si>
  <si>
    <t>EXAMPLE - Utilities</t>
  </si>
  <si>
    <t>EXAMPLE - Rent / Rates</t>
  </si>
  <si>
    <t>EXAMPLE - Warehousing</t>
  </si>
  <si>
    <t>EXAMPLE - Security</t>
  </si>
  <si>
    <t xml:space="preserve">Profit </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</si>
  <si>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</si>
  <si>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</si>
  <si>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</si>
  <si>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</si>
  <si>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</si>
  <si>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</si>
  <si>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</si>
  <si>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</si>
  <si>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</si>
  <si>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</si>
  <si>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</si>
  <si>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</si>
  <si>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</si>
  <si>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</si>
  <si>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</si>
  <si>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</si>
  <si>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</si>
  <si>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Crockery</t>
  </si>
  <si>
    <t>Glassware</t>
  </si>
  <si>
    <t>Cutlery*</t>
  </si>
  <si>
    <t>Tray 1/1</t>
  </si>
  <si>
    <t>Sundries Items</t>
  </si>
  <si>
    <t>Total Volume of Washing per Aircraft</t>
  </si>
  <si>
    <t>Total Man Minutes per Aircraft</t>
  </si>
  <si>
    <t>Price per Man Minute</t>
  </si>
  <si>
    <t>Cost per Flight</t>
  </si>
  <si>
    <t>W-Class Equipment</t>
  </si>
  <si>
    <t>Tray (1/1 &amp; 1/3)</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</si>
  <si>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</si>
  <si>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</si>
  <si>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</si>
  <si>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</si>
  <si>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</si>
  <si>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</si>
  <si>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</si>
  <si>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</si>
  <si>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</si>
  <si>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</si>
  <si>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</si>
  <si>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</si>
  <si>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</si>
  <si>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</si>
  <si>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</si>
  <si>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</si>
  <si>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</si>
  <si>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</si>
  <si>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</si>
  <si>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</si>
  <si>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</si>
  <si>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</si>
  <si>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</si>
  <si>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</si>
  <si>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</si>
  <si>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</si>
  <si>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</si>
  <si>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</si>
  <si>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</si>
  <si>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</si>
  <si>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</si>
  <si>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</si>
  <si>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</si>
  <si>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</si>
  <si>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</si>
  <si>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</si>
  <si>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</si>
  <si>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</si>
  <si>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</si>
  <si>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Cost</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</si>
  <si>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</si>
  <si>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</si>
  <si>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</si>
  <si>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</si>
  <si>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</si>
  <si>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</si>
  <si>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</si>
  <si>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</si>
  <si>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</si>
  <si>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</si>
  <si>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</si>
  <si>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</si>
  <si>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</si>
  <si>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</si>
  <si>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</si>
  <si>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</si>
  <si>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</si>
  <si>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</si>
  <si>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</si>
  <si>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</si>
  <si>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</si>
  <si>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</si>
  <si>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</si>
  <si>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</si>
  <si>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</si>
  <si>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</si>
  <si>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</si>
  <si>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</si>
  <si>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</si>
  <si>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</si>
  <si>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</si>
  <si>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</si>
  <si>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</si>
  <si>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</si>
  <si>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</si>
  <si>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</si>
  <si>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</si>
  <si>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</si>
  <si>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</si>
  <si>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</si>
  <si>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Tomato Juice</t>
  </si>
  <si>
    <t>Apple Juice</t>
  </si>
  <si>
    <t>Cranberry Juice</t>
  </si>
  <si>
    <t xml:space="preserve">Bottle spark mineral water </t>
  </si>
  <si>
    <t>1.5 LT</t>
  </si>
  <si>
    <t xml:space="preserve">Bottle Still Mineral Water </t>
  </si>
  <si>
    <t>Dry Ice</t>
  </si>
  <si>
    <t>1 KG</t>
  </si>
  <si>
    <t>Wet Ice</t>
  </si>
  <si>
    <t>Full Fat Milk</t>
  </si>
  <si>
    <t>Semi Skimmed Milk</t>
  </si>
  <si>
    <t>Total Cost</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</si>
  <si>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</si>
  <si>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</si>
  <si>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</si>
  <si>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</si>
  <si>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</si>
  <si>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</si>
  <si>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</si>
  <si>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</si>
  <si>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</si>
  <si>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</si>
  <si>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</si>
  <si>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</si>
  <si>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</si>
  <si>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</si>
  <si>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</si>
  <si>
    <t>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</si>
</sst>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0.000"/>
    <numFmt numFmtId="166" formatCode="0.000"/>
    <numFmt numFmtId="167" formatCode="&quot;£&quot;#,##0.00"/>
    <numFmt numFmtId="168" formatCode="[$$-409]#,##0.00"/>
  </numFmts>
  <fonts count="45" x14ac:knownFonts="1">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
      <b/>
      <sz val="12"/>
      <name val="Century Gothic"/>
      <family val="2"/>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5">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7" fontId="4" fillId="4" borderId="6" xfId="3" applyNumberFormat="1" applyFont="1" applyFill="1" applyBorder="1" applyAlignment="1">
      <alignment horizontal="center" vertical="center"/>
    </xf>
    <xf numFmtId="167"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4" fillId="0" borderId="1" xfId="0" applyNumberFormat="1" applyFont="1" applyBorder="1" applyAlignment="1">
      <alignment horizontal="center" vertical="center"/>
    </xf>
    <xf numFmtId="3" fontId="4" fillId="2" borderId="1" xfId="0" applyNumberFormat="1" applyFont="1" applyFill="1" applyBorder="1" applyAlignment="1">
      <alignment horizontal="center" vertical="center"/>
    </xf>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2" borderId="1" xfId="3" applyFont="1" applyFill="1" applyBorder="1" applyAlignment="1">
      <alignment horizont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6" fontId="32" fillId="6" borderId="1" xfId="3" applyNumberFormat="1" applyFont="1" applyFill="1" applyBorder="1" applyAlignment="1">
      <alignment horizontal="center" vertical="center"/>
    </xf>
    <xf numFmtId="168" fontId="27" fillId="6" borderId="1" xfId="3" applyNumberFormat="1" applyFont="1" applyFill="1" applyBorder="1" applyAlignment="1">
      <alignment horizontal="center" vertical="center"/>
    </xf>
    <xf numFmtId="168"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8" fontId="4" fillId="3" borderId="1" xfId="3" applyNumberFormat="1" applyFont="1" applyFill="1" applyBorder="1" applyAlignment="1" applyProtection="1">
      <alignment horizontal="center"/>
      <protection locked="0"/>
    </xf>
    <xf numFmtId="168" fontId="4" fillId="2" borderId="0" xfId="3" applyNumberFormat="1" applyFont="1" applyFill="1" applyProtection="1">
      <protection locked="0"/>
    </xf>
    <xf numFmtId="168"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0" fontId="44" fillId="2" borderId="1" xfId="3" applyFont="1" applyFill="1" applyBorder="1" applyAlignment="1">
      <alignment horizontal="center" vertical="center"/>
    </xf>
    <xf numFmtId="0" fontId="4" fillId="10" borderId="1" xfId="3" applyFont="1" applyFill="1" applyBorder="1" applyAlignment="1">
      <alignment horizontal="center" vertical="center"/>
    </xf>
    <xf numFmtId="0" fontId="4" fillId="11" borderId="1" xfId="3" applyFont="1" applyFill="1" applyBorder="1" applyAlignment="1">
      <alignment horizontal="center" vertical="center"/>
    </xf>
    <xf numFmtId="0" fontId="8" fillId="10" borderId="1" xfId="3" applyFont="1" applyFill="1" applyBorder="1" applyAlignment="1">
      <alignment horizontal="center" vertical="center"/>
    </xf>
    <xf numFmtId="0" fontId="8" fillId="11" borderId="1" xfId="3" applyFont="1" applyFill="1" applyBorder="1" applyAlignment="1">
      <alignment horizontal="center" vertical="center"/>
    </xf>
    <xf numFmtId="9" fontId="4" fillId="3" borderId="1" xfId="0" applyNumberFormat="1" applyFont="1" applyFill="1" applyBorder="1" applyAlignment="1" applyProtection="1">
      <alignment horizontal="center" vertical="center"/>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43" fillId="9" borderId="0" xfId="0" applyFont="1" applyFill="1"/>
    <xf numFmtId="0" fontId="42" fillId="9" borderId="5" xfId="0" applyFont="1" applyFill="1" applyBorder="1"/>
    <xf numFmtId="0" fontId="42" fillId="9" borderId="6" xfId="0" applyFont="1" applyFill="1" applyBorder="1"/>
    <xf numFmtId="0" fontId="42" fillId="9" borderId="16" xfId="0" applyFont="1" applyFill="1" applyBorder="1"/>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6" fillId="6" borderId="2" xfId="0" applyFont="1" applyFill="1" applyBorder="1" applyAlignment="1">
      <alignment horizontal="center" vertical="center"/>
    </xf>
    <xf numFmtId="0" fontId="16" fillId="6" borderId="2" xfId="0" applyFont="1" applyFill="1" applyBorder="1" applyAlignment="1" applyProtection="1">
      <alignment horizontal="center" vertical="center"/>
      <protection locked="0"/>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3" fontId="4" fillId="2" borderId="1" xfId="0" applyNumberFormat="1" applyFont="1" applyFill="1" applyBorder="1" applyAlignment="1">
      <alignment horizontal="center" vertical="center"/>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topLeftCell="A5" workbookViewId="0">
      <selection activeCell="E12" sqref="E12:M12"/>
    </sheetView>
  </sheetViews>
  <sheetFormatPr defaultColWidth="9.109375" defaultRowHeight="13.8" x14ac:dyDescent="0.25"/>
  <cols>
    <col min="1" max="12" width="9.109375" style="166"/>
    <col min="13" max="13" width="13.44140625" style="166" customWidth="1"/>
    <col min="14" max="16384" width="9.109375" style="166"/>
  </cols>
  <sheetData>
    <row r="1" spans="1:87" ht="29.4" x14ac:dyDescent="0.2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x14ac:dyDescent="0.25">
      <c r="A3" s="185" t="s">
        <v>1</v>
      </c>
      <c r="B3" s="185"/>
      <c r="C3" s="185"/>
      <c r="D3" s="185"/>
      <c r="E3" s="185"/>
      <c r="F3" s="185"/>
      <c r="G3" s="185"/>
      <c r="H3" s="185"/>
      <c r="I3" s="185"/>
      <c r="J3" s="185"/>
      <c r="K3" s="185"/>
      <c r="L3" s="185"/>
      <c r="M3" s="185"/>
    </row>
    <row r="4" spans="1:87" x14ac:dyDescent="0.25">
      <c r="A4" s="167" t="s">
        <v>2</v>
      </c>
      <c r="B4" s="167" t="s">
        <v>2</v>
      </c>
      <c r="C4" s="167" t="s">
        <v>2</v>
      </c>
      <c r="D4" s="167" t="s">
        <v>2</v>
      </c>
      <c r="E4" s="167" t="s">
        <v>2</v>
      </c>
      <c r="F4" s="167" t="s">
        <v>2</v>
      </c>
      <c r="G4" s="167" t="s">
        <v>2</v>
      </c>
      <c r="H4" s="167" t="s">
        <v>2</v>
      </c>
      <c r="I4" s="167" t="s">
        <v>2</v>
      </c>
      <c r="J4" s="167" t="s">
        <v>2</v>
      </c>
      <c r="K4" s="167" t="s">
        <v>2</v>
      </c>
      <c r="L4" s="167" t="s">
        <v>2</v>
      </c>
      <c r="M4" s="167" t="s">
        <v>2</v>
      </c>
    </row>
    <row r="5" spans="1:87" x14ac:dyDescent="0.25">
      <c r="A5" s="189" t="s">
        <v>3</v>
      </c>
      <c r="B5" s="189"/>
      <c r="C5" s="189"/>
      <c r="D5" s="189"/>
      <c r="E5" s="189"/>
      <c r="F5" s="189"/>
      <c r="G5" s="189"/>
      <c r="H5" s="189"/>
      <c r="I5" s="167" t="s">
        <v>2</v>
      </c>
      <c r="J5" s="167" t="s">
        <v>2</v>
      </c>
      <c r="K5" s="167" t="s">
        <v>2</v>
      </c>
      <c r="L5" s="167" t="s">
        <v>2</v>
      </c>
      <c r="M5" s="167" t="s">
        <v>2</v>
      </c>
    </row>
    <row r="6" spans="1:87" x14ac:dyDescent="0.25">
      <c r="A6" s="167" t="s">
        <v>2</v>
      </c>
      <c r="B6" s="167" t="s">
        <v>2</v>
      </c>
      <c r="C6" s="167" t="s">
        <v>2</v>
      </c>
      <c r="D6" s="167" t="s">
        <v>2</v>
      </c>
      <c r="E6" s="167" t="s">
        <v>2</v>
      </c>
      <c r="F6" s="167" t="s">
        <v>2</v>
      </c>
      <c r="G6" s="167" t="s">
        <v>2</v>
      </c>
      <c r="H6" s="167" t="s">
        <v>2</v>
      </c>
      <c r="I6" s="167" t="s">
        <v>2</v>
      </c>
      <c r="J6" s="167" t="s">
        <v>2</v>
      </c>
      <c r="K6" s="167" t="s">
        <v>2</v>
      </c>
      <c r="L6" s="167" t="s">
        <v>2</v>
      </c>
      <c r="M6" s="167" t="s">
        <v>2</v>
      </c>
    </row>
    <row r="7" spans="1:87" x14ac:dyDescent="0.25">
      <c r="A7" s="167" t="s">
        <v>2</v>
      </c>
      <c r="B7" s="190" t="s">
        <v>4</v>
      </c>
      <c r="C7" s="191"/>
      <c r="D7" s="192"/>
      <c r="E7" s="191" t="s">
        <v>5</v>
      </c>
      <c r="F7" s="191"/>
      <c r="G7" s="191"/>
      <c r="H7" s="191"/>
      <c r="I7" s="191"/>
      <c r="J7" s="191"/>
      <c r="K7" s="191"/>
      <c r="L7" s="191"/>
      <c r="M7" s="192"/>
    </row>
    <row r="8" spans="1:87" ht="27.75" customHeight="1" x14ac:dyDescent="0.25">
      <c r="A8" s="167" t="s">
        <v>2</v>
      </c>
      <c r="B8" s="172" t="s">
        <v>6</v>
      </c>
      <c r="C8" s="173"/>
      <c r="D8" s="174"/>
      <c r="E8" s="186" t="s">
        <v>7</v>
      </c>
      <c r="F8" s="187"/>
      <c r="G8" s="187"/>
      <c r="H8" s="187"/>
      <c r="I8" s="187"/>
      <c r="J8" s="187"/>
      <c r="K8" s="187"/>
      <c r="L8" s="187"/>
      <c r="M8" s="188"/>
    </row>
    <row r="9" spans="1:87" ht="33.75" customHeight="1" x14ac:dyDescent="0.25">
      <c r="A9" s="167" t="s">
        <v>2</v>
      </c>
      <c r="B9" s="172" t="s">
        <v>8</v>
      </c>
      <c r="C9" s="173"/>
      <c r="D9" s="174"/>
      <c r="E9" s="186" t="s">
        <v>9</v>
      </c>
      <c r="F9" s="187"/>
      <c r="G9" s="187"/>
      <c r="H9" s="187"/>
      <c r="I9" s="187"/>
      <c r="J9" s="187"/>
      <c r="K9" s="187"/>
      <c r="L9" s="187"/>
      <c r="M9" s="188"/>
    </row>
    <row r="10" spans="1:87" x14ac:dyDescent="0.25">
      <c r="A10" s="167" t="s">
        <v>2</v>
      </c>
      <c r="B10" s="175" t="s">
        <v>10</v>
      </c>
      <c r="C10" s="173" t="s">
        <v>2</v>
      </c>
      <c r="D10" s="174" t="s">
        <v>2</v>
      </c>
      <c r="E10" s="175" t="s">
        <v>11</v>
      </c>
      <c r="F10" s="173"/>
      <c r="G10" s="173"/>
      <c r="H10" s="173"/>
      <c r="I10" s="173"/>
      <c r="J10" s="173" t="s">
        <v>2</v>
      </c>
      <c r="K10" s="173" t="s">
        <v>2</v>
      </c>
      <c r="L10" s="173" t="s">
        <v>2</v>
      </c>
      <c r="M10" s="174" t="s">
        <v>2</v>
      </c>
    </row>
    <row r="11" spans="1:87" ht="55.5" customHeight="1" x14ac:dyDescent="0.25">
      <c r="A11" s="167" t="s">
        <v>2</v>
      </c>
      <c r="B11" s="175" t="s">
        <v>12</v>
      </c>
      <c r="C11" s="173"/>
      <c r="D11" s="174" t="s">
        <v>2</v>
      </c>
      <c r="E11" s="186" t="s">
        <v>13</v>
      </c>
      <c r="F11" s="187"/>
      <c r="G11" s="187"/>
      <c r="H11" s="187"/>
      <c r="I11" s="187"/>
      <c r="J11" s="187"/>
      <c r="K11" s="187"/>
      <c r="L11" s="187"/>
      <c r="M11" s="188"/>
    </row>
    <row r="12" spans="1:87" ht="30" customHeight="1" x14ac:dyDescent="0.25">
      <c r="A12" s="167" t="s">
        <v>2</v>
      </c>
      <c r="B12" s="175" t="s">
        <v>14</v>
      </c>
      <c r="C12" s="173"/>
      <c r="D12" s="174" t="s">
        <v>2</v>
      </c>
      <c r="E12" s="186" t="s">
        <v>15</v>
      </c>
      <c r="F12" s="187"/>
      <c r="G12" s="187"/>
      <c r="H12" s="187"/>
      <c r="I12" s="187"/>
      <c r="J12" s="187"/>
      <c r="K12" s="187"/>
      <c r="L12" s="187"/>
      <c r="M12" s="188"/>
    </row>
    <row r="13" spans="1:87" x14ac:dyDescent="0.25">
      <c r="A13" s="167" t="s">
        <v>2</v>
      </c>
      <c r="B13" s="175" t="s">
        <v>16</v>
      </c>
      <c r="C13" s="173" t="s">
        <v>2</v>
      </c>
      <c r="D13" s="174" t="s">
        <v>2</v>
      </c>
      <c r="E13" s="182" t="s">
        <v>17</v>
      </c>
      <c r="F13" s="183"/>
      <c r="G13" s="183"/>
      <c r="H13" s="183"/>
      <c r="I13" s="183"/>
      <c r="J13" s="183"/>
      <c r="K13" s="183"/>
      <c r="L13" s="183"/>
      <c r="M13" s="184"/>
    </row>
    <row r="14" spans="1:87" x14ac:dyDescent="0.25">
      <c r="A14" s="167" t="s">
        <v>2</v>
      </c>
      <c r="B14" s="175" t="s">
        <v>18</v>
      </c>
      <c r="C14" s="173" t="s">
        <v>2</v>
      </c>
      <c r="D14" s="174" t="s">
        <v>2</v>
      </c>
      <c r="E14" s="175" t="s">
        <v>19</v>
      </c>
      <c r="F14" s="173"/>
      <c r="G14" s="173"/>
      <c r="H14" s="173"/>
      <c r="I14" s="173" t="s">
        <v>2</v>
      </c>
      <c r="J14" s="173" t="s">
        <v>2</v>
      </c>
      <c r="K14" s="173" t="s">
        <v>2</v>
      </c>
      <c r="L14" s="173" t="s">
        <v>2</v>
      </c>
      <c r="M14" s="174" t="s">
        <v>2</v>
      </c>
    </row>
    <row r="15" spans="1:87" x14ac:dyDescent="0.25">
      <c r="A15" s="167" t="s">
        <v>2</v>
      </c>
      <c r="B15" s="175" t="s">
        <v>20</v>
      </c>
      <c r="C15" s="173" t="s">
        <v>2</v>
      </c>
      <c r="D15" s="174" t="s">
        <v>2</v>
      </c>
      <c r="E15" s="175" t="s">
        <v>21</v>
      </c>
      <c r="F15" s="173"/>
      <c r="G15" s="173"/>
      <c r="H15" s="173"/>
      <c r="I15" s="173"/>
      <c r="J15" s="173"/>
      <c r="K15" s="173"/>
      <c r="L15" s="173"/>
      <c r="M15" s="174"/>
    </row>
    <row r="16" spans="1:87" x14ac:dyDescent="0.25">
      <c r="A16" s="167" t="s">
        <v>2</v>
      </c>
      <c r="B16" s="175" t="s">
        <v>22</v>
      </c>
      <c r="C16" s="173"/>
      <c r="D16" s="174" t="s">
        <v>2</v>
      </c>
      <c r="E16" s="175" t="s">
        <v>23</v>
      </c>
      <c r="F16" s="173"/>
      <c r="G16" s="173"/>
      <c r="H16" s="173"/>
      <c r="I16" s="173"/>
      <c r="J16" s="173" t="s">
        <v>2</v>
      </c>
      <c r="K16" s="173" t="s">
        <v>2</v>
      </c>
      <c r="L16" s="173" t="s">
        <v>2</v>
      </c>
      <c r="M16" s="174" t="s">
        <v>2</v>
      </c>
    </row>
    <row r="17" spans="1:13" x14ac:dyDescent="0.25">
      <c r="A17" s="167" t="s">
        <v>2</v>
      </c>
      <c r="B17" s="168" t="s">
        <v>24</v>
      </c>
      <c r="C17" s="169"/>
      <c r="D17" s="170"/>
      <c r="E17" s="171" t="s">
        <v>25</v>
      </c>
      <c r="F17" s="169"/>
      <c r="G17" s="169"/>
      <c r="H17" s="169" t="s">
        <v>2</v>
      </c>
      <c r="I17" s="169" t="s">
        <v>2</v>
      </c>
      <c r="J17" s="169" t="s">
        <v>2</v>
      </c>
      <c r="K17" s="169" t="s">
        <v>2</v>
      </c>
      <c r="L17" s="169" t="s">
        <v>2</v>
      </c>
      <c r="M17" s="170" t="s">
        <v>2</v>
      </c>
    </row>
    <row r="18" spans="1:13" x14ac:dyDescent="0.25">
      <c r="A18" s="167" t="s">
        <v>2</v>
      </c>
      <c r="B18" s="167" t="s">
        <v>2</v>
      </c>
      <c r="C18" s="167" t="s">
        <v>2</v>
      </c>
      <c r="D18" s="167" t="s">
        <v>2</v>
      </c>
      <c r="E18" s="167" t="s">
        <v>2</v>
      </c>
      <c r="F18" s="167" t="s">
        <v>2</v>
      </c>
      <c r="G18" s="167" t="s">
        <v>2</v>
      </c>
      <c r="H18" s="167" t="s">
        <v>2</v>
      </c>
      <c r="I18" s="167" t="s">
        <v>2</v>
      </c>
      <c r="J18" s="167" t="s">
        <v>2</v>
      </c>
      <c r="K18" s="167" t="s">
        <v>2</v>
      </c>
      <c r="L18" s="167" t="s">
        <v>2</v>
      </c>
      <c r="M18" s="167" t="s">
        <v>2</v>
      </c>
    </row>
    <row r="19" spans="1:13" x14ac:dyDescent="0.25">
      <c r="A19" s="167" t="s">
        <v>2</v>
      </c>
      <c r="B19" s="167" t="s">
        <v>2</v>
      </c>
      <c r="C19" s="167" t="s">
        <v>2</v>
      </c>
      <c r="D19" s="167" t="s">
        <v>2</v>
      </c>
      <c r="E19" s="167" t="s">
        <v>2</v>
      </c>
      <c r="F19" s="167" t="s">
        <v>2</v>
      </c>
      <c r="G19" s="167" t="s">
        <v>2</v>
      </c>
      <c r="H19" s="167" t="s">
        <v>2</v>
      </c>
      <c r="I19" s="167" t="s">
        <v>2</v>
      </c>
      <c r="J19" s="167" t="s">
        <v>2</v>
      </c>
      <c r="K19" s="167" t="s">
        <v>2</v>
      </c>
      <c r="L19" s="167" t="s">
        <v>2</v>
      </c>
      <c r="M19" s="167"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workbookViewId="0">
      <selection activeCell="C11" sqref="C11"/>
    </sheetView>
  </sheetViews>
  <sheetFormatPr defaultColWidth="9.109375" defaultRowHeight="13.2" x14ac:dyDescent="0.25"/>
  <cols>
    <col min="1" max="1" width="18.109375" style="7" customWidth="1"/>
    <col min="2" max="2" width="50" style="7" bestFit="1" customWidth="1"/>
    <col min="3" max="3" width="22" style="7" customWidth="1"/>
    <col min="4" max="4" width="10" style="71" customWidth="1"/>
    <col min="5" max="5" width="8.44140625" style="71" customWidth="1"/>
    <col min="6" max="6" width="7.5546875" style="71" customWidth="1"/>
    <col min="7" max="7" width="9.5546875" style="7" customWidth="1"/>
    <col min="8" max="8" width="1.5546875" style="7" customWidth="1"/>
    <col min="9" max="9" width="17.5546875" style="7" customWidth="1"/>
    <col min="10" max="10" width="40.109375" style="7" bestFit="1" customWidth="1"/>
    <col min="11" max="11" width="20.5546875" style="7" customWidth="1"/>
    <col min="12" max="13" width="9.109375" style="7"/>
    <col min="14" max="14" width="7.33203125" style="7" customWidth="1"/>
    <col min="15" max="15" width="9.109375" style="7"/>
    <col min="16" max="16" width="1.5546875" style="7" customWidth="1"/>
    <col min="17" max="17" width="16.5546875" style="7" customWidth="1"/>
    <col min="18" max="18" width="40.109375" style="7" bestFit="1" customWidth="1"/>
    <col min="19" max="19" width="20.5546875" style="7" customWidth="1"/>
    <col min="20" max="21" width="9.109375" style="7"/>
    <col min="22" max="22" width="7.33203125" style="7" customWidth="1"/>
    <col min="23" max="23" width="9.109375" style="7"/>
    <col min="24" max="24" width="1.109375" style="7" customWidth="1"/>
    <col min="25" max="25" width="16.109375" style="7" customWidth="1"/>
    <col min="26" max="26" width="40.109375" style="7" bestFit="1" customWidth="1"/>
    <col min="27" max="27" width="20.5546875" style="7" customWidth="1"/>
    <col min="28" max="29" width="9.109375" style="7"/>
    <col min="30" max="30" width="7.33203125" style="7" customWidth="1"/>
    <col min="31" max="31" width="9.109375" style="7"/>
    <col min="32" max="32" width="1.88671875" style="7" customWidth="1"/>
    <col min="33" max="33" width="21.6640625" style="7" customWidth="1"/>
    <col min="34" max="34" width="40.109375" style="7" bestFit="1" customWidth="1"/>
    <col min="35" max="35" width="20.5546875" style="7" customWidth="1"/>
    <col min="36" max="37" width="9.109375" style="7"/>
    <col min="38" max="38" width="7.33203125" style="7" customWidth="1"/>
    <col min="39" max="39" width="9.109375" style="7"/>
    <col min="40" max="40" width="1.5546875" style="7" customWidth="1"/>
    <col min="41" max="41" width="17.88671875" style="7" customWidth="1"/>
    <col min="42" max="42" width="40.109375" style="7" bestFit="1" customWidth="1"/>
    <col min="43" max="43" width="20.5546875" style="7" customWidth="1"/>
    <col min="44" max="45" width="9.109375" style="7"/>
    <col min="46" max="46" width="7.33203125" style="7" customWidth="1"/>
    <col min="47" max="47" width="9.109375" style="7"/>
    <col min="48" max="48" width="1.88671875" style="7" customWidth="1"/>
    <col min="49" max="49" width="19.44140625" style="7" customWidth="1"/>
    <col min="50" max="50" width="40.109375" style="7" bestFit="1" customWidth="1"/>
    <col min="51" max="51" width="20.5546875" style="7" customWidth="1"/>
    <col min="52" max="53" width="9.109375" style="7"/>
    <col min="54" max="54" width="7.33203125" style="7" customWidth="1"/>
    <col min="55" max="55" width="9.109375" style="7"/>
    <col min="56" max="56" width="1.88671875" style="7" customWidth="1"/>
    <col min="57" max="57" width="17.5546875" style="7" customWidth="1"/>
    <col min="58" max="58" width="40.109375" style="7" bestFit="1" customWidth="1"/>
    <col min="59" max="59" width="20.5546875" style="7" customWidth="1"/>
    <col min="60" max="61" width="9.109375" style="7"/>
    <col min="62" max="62" width="7.33203125" style="7" customWidth="1"/>
    <col min="63" max="63" width="9.109375" style="7"/>
    <col min="64" max="64" width="1.6640625" style="7" customWidth="1"/>
    <col min="65" max="65" width="16.88671875" style="7" customWidth="1"/>
    <col min="66" max="66" width="40.109375" style="7" bestFit="1" customWidth="1"/>
    <col min="67" max="67" width="20.5546875" style="7" customWidth="1"/>
    <col min="68" max="69" width="9.109375" style="7"/>
    <col min="70" max="70" width="7.33203125" style="7" customWidth="1"/>
    <col min="71" max="71" width="9.109375" style="7"/>
    <col min="72" max="72" width="2" style="7" customWidth="1"/>
    <col min="73" max="73" width="17.88671875" style="7" customWidth="1"/>
    <col min="74" max="74" width="40.109375" style="7" bestFit="1" customWidth="1"/>
    <col min="75" max="75" width="20.5546875" style="7" customWidth="1"/>
    <col min="76" max="77" width="9.109375" style="7"/>
    <col min="78" max="78" width="7.33203125" style="7" customWidth="1"/>
    <col min="79" max="79" width="9.109375" style="7"/>
    <col min="80" max="80" width="1.44140625" style="7" customWidth="1"/>
    <col min="81" max="81" width="17" style="7" customWidth="1"/>
    <col min="82" max="82" width="40.109375" style="7" bestFit="1" customWidth="1"/>
    <col min="83" max="83" width="20.5546875" style="7" customWidth="1"/>
    <col min="84" max="85" width="9.109375" style="7"/>
    <col min="86" max="86" width="7.33203125" style="7" customWidth="1"/>
    <col min="87" max="16384" width="9.109375" style="7"/>
  </cols>
  <sheetData>
    <row r="1" spans="1:87" s="46" customFormat="1" ht="30.6" x14ac:dyDescent="0.5">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x14ac:dyDescent="0.45">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x14ac:dyDescent="0.45">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x14ac:dyDescent="0.45">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x14ac:dyDescent="0.45">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x14ac:dyDescent="0.45">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x14ac:dyDescent="0.45">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x14ac:dyDescent="0.45">
      <c r="A8" s="201" t="s">
        <v>33</v>
      </c>
      <c r="B8" s="201"/>
      <c r="C8" s="201"/>
      <c r="D8" s="201"/>
      <c r="E8" s="201"/>
      <c r="F8" s="201"/>
      <c r="G8" s="201"/>
      <c r="H8" s="50"/>
      <c r="I8" s="201" t="s">
        <v>34</v>
      </c>
      <c r="J8" s="201"/>
      <c r="K8" s="201"/>
      <c r="L8" s="201"/>
      <c r="M8" s="201"/>
      <c r="N8" s="201"/>
      <c r="O8" s="201"/>
      <c r="Q8" s="201" t="s">
        <v>35</v>
      </c>
      <c r="R8" s="201"/>
      <c r="S8" s="201"/>
      <c r="T8" s="201"/>
      <c r="U8" s="201"/>
      <c r="V8" s="201"/>
      <c r="W8" s="201"/>
      <c r="Y8" s="201" t="s">
        <v>36</v>
      </c>
      <c r="Z8" s="201"/>
      <c r="AA8" s="201"/>
      <c r="AB8" s="201"/>
      <c r="AC8" s="201"/>
      <c r="AD8" s="201"/>
      <c r="AE8" s="201"/>
      <c r="AG8" s="201" t="s">
        <v>37</v>
      </c>
      <c r="AH8" s="201"/>
      <c r="AI8" s="201"/>
      <c r="AJ8" s="201"/>
      <c r="AK8" s="201"/>
      <c r="AL8" s="201"/>
      <c r="AM8" s="201"/>
      <c r="AO8" s="201" t="s">
        <v>38</v>
      </c>
      <c r="AP8" s="201"/>
      <c r="AQ8" s="201"/>
      <c r="AR8" s="201"/>
      <c r="AS8" s="201"/>
      <c r="AT8" s="201"/>
      <c r="AU8" s="201"/>
      <c r="AW8" s="201" t="s">
        <v>39</v>
      </c>
      <c r="AX8" s="201"/>
      <c r="AY8" s="201"/>
      <c r="AZ8" s="201"/>
      <c r="BA8" s="201"/>
      <c r="BB8" s="201"/>
      <c r="BC8" s="201"/>
      <c r="BE8" s="201" t="s">
        <v>40</v>
      </c>
      <c r="BF8" s="201"/>
      <c r="BG8" s="201"/>
      <c r="BH8" s="201"/>
      <c r="BI8" s="201"/>
      <c r="BJ8" s="201"/>
      <c r="BK8" s="201"/>
      <c r="BM8" s="201" t="s">
        <v>41</v>
      </c>
      <c r="BN8" s="201"/>
      <c r="BO8" s="201"/>
      <c r="BP8" s="201"/>
      <c r="BQ8" s="201"/>
      <c r="BR8" s="201"/>
      <c r="BS8" s="201"/>
      <c r="BU8" s="201" t="s">
        <v>42</v>
      </c>
      <c r="BV8" s="201"/>
      <c r="BW8" s="201"/>
      <c r="BX8" s="201"/>
      <c r="BY8" s="201"/>
      <c r="BZ8" s="201"/>
      <c r="CA8" s="201"/>
      <c r="CC8" s="202" t="s">
        <v>43</v>
      </c>
      <c r="CD8" s="202"/>
      <c r="CE8" s="202"/>
      <c r="CF8" s="202"/>
      <c r="CG8" s="202"/>
      <c r="CH8" s="202"/>
      <c r="CI8" s="202"/>
    </row>
    <row r="9" spans="1:87" s="53" customFormat="1" ht="37.799999999999997" x14ac:dyDescent="0.25">
      <c r="A9" s="199" t="s">
        <v>44</v>
      </c>
      <c r="B9" s="199"/>
      <c r="C9" s="51" t="s">
        <v>45</v>
      </c>
      <c r="D9" s="51" t="s">
        <v>46</v>
      </c>
      <c r="E9" s="52" t="s">
        <v>47</v>
      </c>
      <c r="F9" s="52" t="s">
        <v>18</v>
      </c>
      <c r="G9" s="52" t="s">
        <v>48</v>
      </c>
      <c r="I9" s="199" t="s">
        <v>44</v>
      </c>
      <c r="J9" s="199"/>
      <c r="K9" s="51" t="s">
        <v>45</v>
      </c>
      <c r="L9" s="51" t="s">
        <v>46</v>
      </c>
      <c r="M9" s="52" t="s">
        <v>47</v>
      </c>
      <c r="N9" s="52" t="s">
        <v>18</v>
      </c>
      <c r="O9" s="52" t="s">
        <v>48</v>
      </c>
      <c r="Q9" s="199" t="s">
        <v>44</v>
      </c>
      <c r="R9" s="199"/>
      <c r="S9" s="51" t="s">
        <v>45</v>
      </c>
      <c r="T9" s="51" t="s">
        <v>46</v>
      </c>
      <c r="U9" s="52" t="s">
        <v>47</v>
      </c>
      <c r="V9" s="52" t="s">
        <v>18</v>
      </c>
      <c r="W9" s="52" t="s">
        <v>48</v>
      </c>
      <c r="Y9" s="199" t="s">
        <v>44</v>
      </c>
      <c r="Z9" s="199"/>
      <c r="AA9" s="51" t="s">
        <v>45</v>
      </c>
      <c r="AB9" s="51" t="s">
        <v>46</v>
      </c>
      <c r="AC9" s="52" t="s">
        <v>47</v>
      </c>
      <c r="AD9" s="52" t="s">
        <v>18</v>
      </c>
      <c r="AE9" s="52" t="s">
        <v>48</v>
      </c>
      <c r="AG9" s="199" t="s">
        <v>44</v>
      </c>
      <c r="AH9" s="199"/>
      <c r="AI9" s="51" t="s">
        <v>45</v>
      </c>
      <c r="AJ9" s="51" t="s">
        <v>46</v>
      </c>
      <c r="AK9" s="52" t="s">
        <v>47</v>
      </c>
      <c r="AL9" s="52" t="s">
        <v>18</v>
      </c>
      <c r="AM9" s="52" t="s">
        <v>48</v>
      </c>
      <c r="AO9" s="199" t="s">
        <v>44</v>
      </c>
      <c r="AP9" s="199"/>
      <c r="AQ9" s="51" t="s">
        <v>45</v>
      </c>
      <c r="AR9" s="51" t="s">
        <v>46</v>
      </c>
      <c r="AS9" s="52" t="s">
        <v>47</v>
      </c>
      <c r="AT9" s="52" t="s">
        <v>18</v>
      </c>
      <c r="AU9" s="52" t="s">
        <v>48</v>
      </c>
      <c r="AW9" s="199" t="s">
        <v>44</v>
      </c>
      <c r="AX9" s="199"/>
      <c r="AY9" s="51" t="s">
        <v>45</v>
      </c>
      <c r="AZ9" s="51" t="s">
        <v>46</v>
      </c>
      <c r="BA9" s="52" t="s">
        <v>47</v>
      </c>
      <c r="BB9" s="52" t="s">
        <v>18</v>
      </c>
      <c r="BC9" s="52" t="s">
        <v>48</v>
      </c>
      <c r="BE9" s="199" t="s">
        <v>44</v>
      </c>
      <c r="BF9" s="199"/>
      <c r="BG9" s="51" t="s">
        <v>45</v>
      </c>
      <c r="BH9" s="51" t="s">
        <v>46</v>
      </c>
      <c r="BI9" s="52" t="s">
        <v>47</v>
      </c>
      <c r="BJ9" s="52" t="s">
        <v>18</v>
      </c>
      <c r="BK9" s="52" t="s">
        <v>48</v>
      </c>
      <c r="BM9" s="199" t="s">
        <v>44</v>
      </c>
      <c r="BN9" s="199"/>
      <c r="BO9" s="51" t="s">
        <v>45</v>
      </c>
      <c r="BP9" s="51" t="s">
        <v>46</v>
      </c>
      <c r="BQ9" s="52" t="s">
        <v>47</v>
      </c>
      <c r="BR9" s="52" t="s">
        <v>18</v>
      </c>
      <c r="BS9" s="52" t="s">
        <v>48</v>
      </c>
      <c r="BU9" s="199" t="s">
        <v>44</v>
      </c>
      <c r="BV9" s="199"/>
      <c r="BW9" s="51" t="s">
        <v>45</v>
      </c>
      <c r="BX9" s="51" t="s">
        <v>46</v>
      </c>
      <c r="BY9" s="52" t="s">
        <v>47</v>
      </c>
      <c r="BZ9" s="52" t="s">
        <v>18</v>
      </c>
      <c r="CA9" s="52" t="s">
        <v>48</v>
      </c>
      <c r="CC9" s="199" t="s">
        <v>44</v>
      </c>
      <c r="CD9" s="199"/>
      <c r="CE9" s="51" t="s">
        <v>45</v>
      </c>
      <c r="CF9" s="51" t="s">
        <v>46</v>
      </c>
      <c r="CG9" s="52" t="s">
        <v>47</v>
      </c>
      <c r="CH9" s="52" t="s">
        <v>18</v>
      </c>
      <c r="CI9" s="52" t="s">
        <v>48</v>
      </c>
    </row>
    <row r="10" spans="1:87" ht="12.75" customHeight="1" x14ac:dyDescent="0.25">
      <c r="A10" s="199" t="s">
        <v>6</v>
      </c>
      <c r="B10" s="54" t="s">
        <v>49</v>
      </c>
      <c r="C10" s="55"/>
      <c r="D10" s="56"/>
      <c r="E10" s="57"/>
      <c r="F10" s="57"/>
      <c r="G10" s="58">
        <f t="shared" ref="G10:G19" si="0">E10*F10%</f>
        <v>0</v>
      </c>
      <c r="I10" s="199" t="s">
        <v>6</v>
      </c>
      <c r="J10" s="54" t="s">
        <v>49</v>
      </c>
      <c r="K10" s="55"/>
      <c r="L10" s="56"/>
      <c r="M10" s="57"/>
      <c r="N10" s="57"/>
      <c r="O10" s="58">
        <f t="shared" ref="O10:O19" si="1">M10*N10%</f>
        <v>0</v>
      </c>
      <c r="Q10" s="199" t="s">
        <v>6</v>
      </c>
      <c r="R10" s="54" t="s">
        <v>49</v>
      </c>
      <c r="S10" s="55"/>
      <c r="T10" s="56"/>
      <c r="U10" s="57"/>
      <c r="V10" s="57"/>
      <c r="W10" s="58">
        <f t="shared" ref="W10:W19" si="2">U10*V10%</f>
        <v>0</v>
      </c>
      <c r="Y10" s="199" t="s">
        <v>6</v>
      </c>
      <c r="Z10" s="54" t="s">
        <v>49</v>
      </c>
      <c r="AA10" s="55"/>
      <c r="AB10" s="56"/>
      <c r="AC10" s="57"/>
      <c r="AD10" s="57"/>
      <c r="AE10" s="58">
        <f t="shared" ref="AE10:AE19" si="3">AC10*AD10%</f>
        <v>0</v>
      </c>
      <c r="AG10" s="199" t="s">
        <v>6</v>
      </c>
      <c r="AH10" s="54" t="s">
        <v>49</v>
      </c>
      <c r="AI10" s="55"/>
      <c r="AJ10" s="56"/>
      <c r="AK10" s="57"/>
      <c r="AL10" s="57"/>
      <c r="AM10" s="58">
        <f t="shared" ref="AM10:AM19" si="4">AK10*AL10%</f>
        <v>0</v>
      </c>
      <c r="AO10" s="199" t="s">
        <v>6</v>
      </c>
      <c r="AP10" s="54" t="s">
        <v>49</v>
      </c>
      <c r="AQ10" s="55"/>
      <c r="AR10" s="56"/>
      <c r="AS10" s="57"/>
      <c r="AT10" s="57"/>
      <c r="AU10" s="58">
        <f t="shared" ref="AU10:AU19" si="5">AS10*AT10%</f>
        <v>0</v>
      </c>
      <c r="AW10" s="199" t="s">
        <v>6</v>
      </c>
      <c r="AX10" s="54" t="s">
        <v>49</v>
      </c>
      <c r="AY10" s="55"/>
      <c r="AZ10" s="56"/>
      <c r="BA10" s="57"/>
      <c r="BB10" s="57"/>
      <c r="BC10" s="58">
        <f t="shared" ref="BC10:BC19" si="6">BA10*BB10%</f>
        <v>0</v>
      </c>
      <c r="BE10" s="199" t="s">
        <v>6</v>
      </c>
      <c r="BF10" s="54" t="s">
        <v>49</v>
      </c>
      <c r="BG10" s="55"/>
      <c r="BH10" s="56"/>
      <c r="BI10" s="57"/>
      <c r="BJ10" s="57"/>
      <c r="BK10" s="58">
        <f t="shared" ref="BK10:BK19" si="7">BI10*BJ10%</f>
        <v>0</v>
      </c>
      <c r="BM10" s="199" t="s">
        <v>6</v>
      </c>
      <c r="BN10" s="54" t="s">
        <v>49</v>
      </c>
      <c r="BO10" s="55"/>
      <c r="BP10" s="56"/>
      <c r="BQ10" s="57"/>
      <c r="BR10" s="57"/>
      <c r="BS10" s="58">
        <f t="shared" ref="BS10:BS19" si="8">BQ10*BR10%</f>
        <v>0</v>
      </c>
      <c r="BU10" s="199" t="s">
        <v>6</v>
      </c>
      <c r="BV10" s="54" t="s">
        <v>49</v>
      </c>
      <c r="BW10" s="55"/>
      <c r="BX10" s="56"/>
      <c r="BY10" s="57"/>
      <c r="BZ10" s="57"/>
      <c r="CA10" s="58">
        <f t="shared" ref="CA10:CA19" si="9">BY10*BZ10%</f>
        <v>0</v>
      </c>
      <c r="CC10" s="199" t="s">
        <v>6</v>
      </c>
      <c r="CD10" s="54" t="s">
        <v>49</v>
      </c>
      <c r="CE10" s="55"/>
      <c r="CF10" s="56"/>
      <c r="CG10" s="57"/>
      <c r="CH10" s="57"/>
      <c r="CI10" s="58">
        <f t="shared" ref="CI10:CI19" si="10">CG10*CH10%</f>
        <v>0</v>
      </c>
    </row>
    <row r="11" spans="1:87" ht="14.25" customHeight="1" x14ac:dyDescent="0.25">
      <c r="A11" s="200"/>
      <c r="B11" s="55" t="s">
        <v>50</v>
      </c>
      <c r="C11" s="59"/>
      <c r="D11" s="56"/>
      <c r="E11" s="57"/>
      <c r="F11" s="57"/>
      <c r="G11" s="58">
        <f t="shared" si="0"/>
        <v>0</v>
      </c>
      <c r="I11" s="200"/>
      <c r="J11" s="55" t="s">
        <v>50</v>
      </c>
      <c r="K11" s="59"/>
      <c r="L11" s="56"/>
      <c r="M11" s="57"/>
      <c r="N11" s="57"/>
      <c r="O11" s="58">
        <f t="shared" si="1"/>
        <v>0</v>
      </c>
      <c r="Q11" s="200"/>
      <c r="R11" s="55" t="s">
        <v>50</v>
      </c>
      <c r="S11" s="59"/>
      <c r="T11" s="56"/>
      <c r="U11" s="57"/>
      <c r="V11" s="57"/>
      <c r="W11" s="58">
        <f t="shared" si="2"/>
        <v>0</v>
      </c>
      <c r="Y11" s="200"/>
      <c r="Z11" s="55" t="s">
        <v>50</v>
      </c>
      <c r="AA11" s="59"/>
      <c r="AB11" s="56"/>
      <c r="AC11" s="57"/>
      <c r="AD11" s="57"/>
      <c r="AE11" s="58">
        <f t="shared" si="3"/>
        <v>0</v>
      </c>
      <c r="AG11" s="200"/>
      <c r="AH11" s="55" t="s">
        <v>50</v>
      </c>
      <c r="AI11" s="59"/>
      <c r="AJ11" s="56"/>
      <c r="AK11" s="57"/>
      <c r="AL11" s="57"/>
      <c r="AM11" s="58">
        <f t="shared" si="4"/>
        <v>0</v>
      </c>
      <c r="AO11" s="200"/>
      <c r="AP11" s="55" t="s">
        <v>50</v>
      </c>
      <c r="AQ11" s="59"/>
      <c r="AR11" s="56"/>
      <c r="AS11" s="57"/>
      <c r="AT11" s="57"/>
      <c r="AU11" s="58">
        <f t="shared" si="5"/>
        <v>0</v>
      </c>
      <c r="AW11" s="200"/>
      <c r="AX11" s="55" t="s">
        <v>50</v>
      </c>
      <c r="AY11" s="59"/>
      <c r="AZ11" s="56"/>
      <c r="BA11" s="57"/>
      <c r="BB11" s="57"/>
      <c r="BC11" s="58">
        <f t="shared" si="6"/>
        <v>0</v>
      </c>
      <c r="BE11" s="200"/>
      <c r="BF11" s="55" t="s">
        <v>50</v>
      </c>
      <c r="BG11" s="59"/>
      <c r="BH11" s="56"/>
      <c r="BI11" s="57"/>
      <c r="BJ11" s="57"/>
      <c r="BK11" s="58">
        <f t="shared" si="7"/>
        <v>0</v>
      </c>
      <c r="BM11" s="200"/>
      <c r="BN11" s="55" t="s">
        <v>50</v>
      </c>
      <c r="BO11" s="59"/>
      <c r="BP11" s="56"/>
      <c r="BQ11" s="57"/>
      <c r="BR11" s="57"/>
      <c r="BS11" s="58">
        <f t="shared" si="8"/>
        <v>0</v>
      </c>
      <c r="BU11" s="200"/>
      <c r="BV11" s="55" t="s">
        <v>50</v>
      </c>
      <c r="BW11" s="59"/>
      <c r="BX11" s="56"/>
      <c r="BY11" s="57"/>
      <c r="BZ11" s="57"/>
      <c r="CA11" s="58">
        <f t="shared" si="9"/>
        <v>0</v>
      </c>
      <c r="CC11" s="200"/>
      <c r="CD11" s="55" t="s">
        <v>50</v>
      </c>
      <c r="CE11" s="59"/>
      <c r="CF11" s="56"/>
      <c r="CG11" s="57"/>
      <c r="CH11" s="57"/>
      <c r="CI11" s="58">
        <f t="shared" si="10"/>
        <v>0</v>
      </c>
    </row>
    <row r="12" spans="1:87" ht="14.25" customHeight="1" x14ac:dyDescent="0.25">
      <c r="A12" s="200"/>
      <c r="B12" s="55" t="s">
        <v>51</v>
      </c>
      <c r="C12" s="59"/>
      <c r="D12" s="56"/>
      <c r="E12" s="57"/>
      <c r="F12" s="57"/>
      <c r="G12" s="58">
        <f t="shared" si="0"/>
        <v>0</v>
      </c>
      <c r="I12" s="200"/>
      <c r="J12" s="55" t="s">
        <v>51</v>
      </c>
      <c r="K12" s="59"/>
      <c r="L12" s="56"/>
      <c r="M12" s="57"/>
      <c r="N12" s="57"/>
      <c r="O12" s="58">
        <f t="shared" si="1"/>
        <v>0</v>
      </c>
      <c r="Q12" s="200"/>
      <c r="R12" s="55" t="s">
        <v>51</v>
      </c>
      <c r="S12" s="59"/>
      <c r="T12" s="56"/>
      <c r="U12" s="57"/>
      <c r="V12" s="57"/>
      <c r="W12" s="58">
        <f t="shared" si="2"/>
        <v>0</v>
      </c>
      <c r="Y12" s="200"/>
      <c r="Z12" s="55" t="s">
        <v>51</v>
      </c>
      <c r="AA12" s="59"/>
      <c r="AB12" s="56"/>
      <c r="AC12" s="57"/>
      <c r="AD12" s="57"/>
      <c r="AE12" s="58">
        <f t="shared" si="3"/>
        <v>0</v>
      </c>
      <c r="AG12" s="200"/>
      <c r="AH12" s="55" t="s">
        <v>51</v>
      </c>
      <c r="AI12" s="59"/>
      <c r="AJ12" s="56"/>
      <c r="AK12" s="57"/>
      <c r="AL12" s="57"/>
      <c r="AM12" s="58">
        <f t="shared" si="4"/>
        <v>0</v>
      </c>
      <c r="AO12" s="200"/>
      <c r="AP12" s="55" t="s">
        <v>51</v>
      </c>
      <c r="AQ12" s="59"/>
      <c r="AR12" s="56"/>
      <c r="AS12" s="57"/>
      <c r="AT12" s="57"/>
      <c r="AU12" s="58">
        <f t="shared" si="5"/>
        <v>0</v>
      </c>
      <c r="AW12" s="200"/>
      <c r="AX12" s="55" t="s">
        <v>51</v>
      </c>
      <c r="AY12" s="59"/>
      <c r="AZ12" s="56"/>
      <c r="BA12" s="57"/>
      <c r="BB12" s="57"/>
      <c r="BC12" s="58">
        <f t="shared" si="6"/>
        <v>0</v>
      </c>
      <c r="BE12" s="200"/>
      <c r="BF12" s="55" t="s">
        <v>51</v>
      </c>
      <c r="BG12" s="59"/>
      <c r="BH12" s="56"/>
      <c r="BI12" s="57"/>
      <c r="BJ12" s="57"/>
      <c r="BK12" s="58">
        <f t="shared" si="7"/>
        <v>0</v>
      </c>
      <c r="BM12" s="200"/>
      <c r="BN12" s="55" t="s">
        <v>51</v>
      </c>
      <c r="BO12" s="59"/>
      <c r="BP12" s="56"/>
      <c r="BQ12" s="57"/>
      <c r="BR12" s="57"/>
      <c r="BS12" s="58">
        <f t="shared" si="8"/>
        <v>0</v>
      </c>
      <c r="BU12" s="200"/>
      <c r="BV12" s="55" t="s">
        <v>51</v>
      </c>
      <c r="BW12" s="59"/>
      <c r="BX12" s="56"/>
      <c r="BY12" s="57"/>
      <c r="BZ12" s="57"/>
      <c r="CA12" s="58">
        <f t="shared" si="9"/>
        <v>0</v>
      </c>
      <c r="CC12" s="200"/>
      <c r="CD12" s="55" t="s">
        <v>51</v>
      </c>
      <c r="CE12" s="59"/>
      <c r="CF12" s="56"/>
      <c r="CG12" s="57"/>
      <c r="CH12" s="57"/>
      <c r="CI12" s="58">
        <f t="shared" si="10"/>
        <v>0</v>
      </c>
    </row>
    <row r="13" spans="1:87" ht="14.25" customHeight="1" x14ac:dyDescent="0.25">
      <c r="A13" s="200"/>
      <c r="B13" s="54" t="s">
        <v>52</v>
      </c>
      <c r="C13" s="59"/>
      <c r="D13" s="56"/>
      <c r="E13" s="57"/>
      <c r="F13" s="57"/>
      <c r="G13" s="58">
        <f t="shared" si="0"/>
        <v>0</v>
      </c>
      <c r="I13" s="200"/>
      <c r="J13" s="54" t="s">
        <v>52</v>
      </c>
      <c r="K13" s="59"/>
      <c r="L13" s="56"/>
      <c r="M13" s="57"/>
      <c r="N13" s="57"/>
      <c r="O13" s="58">
        <f t="shared" si="1"/>
        <v>0</v>
      </c>
      <c r="Q13" s="200"/>
      <c r="R13" s="54" t="s">
        <v>52</v>
      </c>
      <c r="S13" s="59"/>
      <c r="T13" s="56"/>
      <c r="U13" s="57"/>
      <c r="V13" s="57"/>
      <c r="W13" s="58">
        <f t="shared" si="2"/>
        <v>0</v>
      </c>
      <c r="Y13" s="200"/>
      <c r="Z13" s="54" t="s">
        <v>52</v>
      </c>
      <c r="AA13" s="59"/>
      <c r="AB13" s="56"/>
      <c r="AC13" s="57"/>
      <c r="AD13" s="57"/>
      <c r="AE13" s="58">
        <f t="shared" si="3"/>
        <v>0</v>
      </c>
      <c r="AG13" s="200"/>
      <c r="AH13" s="54" t="s">
        <v>52</v>
      </c>
      <c r="AI13" s="59"/>
      <c r="AJ13" s="56"/>
      <c r="AK13" s="57"/>
      <c r="AL13" s="57"/>
      <c r="AM13" s="58">
        <f t="shared" si="4"/>
        <v>0</v>
      </c>
      <c r="AO13" s="200"/>
      <c r="AP13" s="54" t="s">
        <v>52</v>
      </c>
      <c r="AQ13" s="59"/>
      <c r="AR13" s="56"/>
      <c r="AS13" s="57"/>
      <c r="AT13" s="57"/>
      <c r="AU13" s="58">
        <f t="shared" si="5"/>
        <v>0</v>
      </c>
      <c r="AW13" s="200"/>
      <c r="AX13" s="54" t="s">
        <v>52</v>
      </c>
      <c r="AY13" s="59"/>
      <c r="AZ13" s="56"/>
      <c r="BA13" s="57"/>
      <c r="BB13" s="57"/>
      <c r="BC13" s="58">
        <f t="shared" si="6"/>
        <v>0</v>
      </c>
      <c r="BE13" s="200"/>
      <c r="BF13" s="54" t="s">
        <v>52</v>
      </c>
      <c r="BG13" s="59"/>
      <c r="BH13" s="56"/>
      <c r="BI13" s="57"/>
      <c r="BJ13" s="57"/>
      <c r="BK13" s="58">
        <f t="shared" si="7"/>
        <v>0</v>
      </c>
      <c r="BM13" s="200"/>
      <c r="BN13" s="54" t="s">
        <v>52</v>
      </c>
      <c r="BO13" s="59"/>
      <c r="BP13" s="56"/>
      <c r="BQ13" s="57"/>
      <c r="BR13" s="57"/>
      <c r="BS13" s="58">
        <f t="shared" si="8"/>
        <v>0</v>
      </c>
      <c r="BU13" s="200"/>
      <c r="BV13" s="54" t="s">
        <v>52</v>
      </c>
      <c r="BW13" s="59"/>
      <c r="BX13" s="56"/>
      <c r="BY13" s="57"/>
      <c r="BZ13" s="57"/>
      <c r="CA13" s="58">
        <f t="shared" si="9"/>
        <v>0</v>
      </c>
      <c r="CC13" s="200"/>
      <c r="CD13" s="54" t="s">
        <v>52</v>
      </c>
      <c r="CE13" s="59"/>
      <c r="CF13" s="56"/>
      <c r="CG13" s="57"/>
      <c r="CH13" s="57"/>
      <c r="CI13" s="58">
        <f>CG13*CH13%</f>
        <v>0</v>
      </c>
    </row>
    <row r="14" spans="1:87" ht="14.25" customHeight="1" x14ac:dyDescent="0.25">
      <c r="A14" s="200"/>
      <c r="B14" s="59"/>
      <c r="C14" s="59"/>
      <c r="D14" s="56"/>
      <c r="E14" s="57"/>
      <c r="F14" s="57"/>
      <c r="G14" s="58">
        <f t="shared" si="0"/>
        <v>0</v>
      </c>
      <c r="I14" s="200"/>
      <c r="J14" s="59"/>
      <c r="K14" s="59"/>
      <c r="L14" s="56"/>
      <c r="M14" s="57"/>
      <c r="N14" s="57"/>
      <c r="O14" s="58">
        <f t="shared" si="1"/>
        <v>0</v>
      </c>
      <c r="Q14" s="200"/>
      <c r="R14" s="59"/>
      <c r="S14" s="59"/>
      <c r="T14" s="56"/>
      <c r="U14" s="57"/>
      <c r="V14" s="57"/>
      <c r="W14" s="58">
        <f t="shared" si="2"/>
        <v>0</v>
      </c>
      <c r="Y14" s="200"/>
      <c r="Z14" s="59"/>
      <c r="AA14" s="59"/>
      <c r="AB14" s="56"/>
      <c r="AC14" s="57"/>
      <c r="AD14" s="57"/>
      <c r="AE14" s="58">
        <f t="shared" si="3"/>
        <v>0</v>
      </c>
      <c r="AG14" s="200"/>
      <c r="AH14" s="59"/>
      <c r="AI14" s="59"/>
      <c r="AJ14" s="56"/>
      <c r="AK14" s="57"/>
      <c r="AL14" s="57"/>
      <c r="AM14" s="58">
        <f t="shared" si="4"/>
        <v>0</v>
      </c>
      <c r="AO14" s="200"/>
      <c r="AP14" s="59"/>
      <c r="AQ14" s="59"/>
      <c r="AR14" s="56"/>
      <c r="AS14" s="57"/>
      <c r="AT14" s="57"/>
      <c r="AU14" s="58">
        <f t="shared" si="5"/>
        <v>0</v>
      </c>
      <c r="AW14" s="200"/>
      <c r="AX14" s="59"/>
      <c r="AY14" s="59"/>
      <c r="AZ14" s="56"/>
      <c r="BA14" s="57"/>
      <c r="BB14" s="57"/>
      <c r="BC14" s="58">
        <f t="shared" si="6"/>
        <v>0</v>
      </c>
      <c r="BE14" s="200"/>
      <c r="BF14" s="59"/>
      <c r="BG14" s="59"/>
      <c r="BH14" s="56"/>
      <c r="BI14" s="57"/>
      <c r="BJ14" s="57"/>
      <c r="BK14" s="58">
        <f t="shared" si="7"/>
        <v>0</v>
      </c>
      <c r="BM14" s="200"/>
      <c r="BN14" s="59"/>
      <c r="BO14" s="59"/>
      <c r="BP14" s="56"/>
      <c r="BQ14" s="57"/>
      <c r="BR14" s="57"/>
      <c r="BS14" s="58">
        <f t="shared" si="8"/>
        <v>0</v>
      </c>
      <c r="BU14" s="200"/>
      <c r="BV14" s="59"/>
      <c r="BW14" s="59"/>
      <c r="BX14" s="56"/>
      <c r="BY14" s="57"/>
      <c r="BZ14" s="57"/>
      <c r="CA14" s="58">
        <f t="shared" si="9"/>
        <v>0</v>
      </c>
      <c r="CC14" s="200"/>
      <c r="CD14" s="59"/>
      <c r="CE14" s="59"/>
      <c r="CF14" s="56"/>
      <c r="CG14" s="57"/>
      <c r="CH14" s="57"/>
      <c r="CI14" s="58">
        <f t="shared" si="10"/>
        <v>0</v>
      </c>
    </row>
    <row r="15" spans="1:87" ht="14.25" customHeight="1" x14ac:dyDescent="0.25">
      <c r="A15" s="200"/>
      <c r="B15" s="60"/>
      <c r="C15" s="59"/>
      <c r="D15" s="56"/>
      <c r="E15" s="57"/>
      <c r="F15" s="57"/>
      <c r="G15" s="58">
        <f t="shared" si="0"/>
        <v>0</v>
      </c>
      <c r="I15" s="200"/>
      <c r="J15" s="60"/>
      <c r="K15" s="59"/>
      <c r="L15" s="56"/>
      <c r="M15" s="57"/>
      <c r="N15" s="57"/>
      <c r="O15" s="58">
        <f t="shared" si="1"/>
        <v>0</v>
      </c>
      <c r="Q15" s="200"/>
      <c r="R15" s="60"/>
      <c r="S15" s="59"/>
      <c r="T15" s="56"/>
      <c r="U15" s="57"/>
      <c r="V15" s="57"/>
      <c r="W15" s="58">
        <f t="shared" si="2"/>
        <v>0</v>
      </c>
      <c r="Y15" s="200"/>
      <c r="Z15" s="60"/>
      <c r="AA15" s="59"/>
      <c r="AB15" s="56"/>
      <c r="AC15" s="57"/>
      <c r="AD15" s="57"/>
      <c r="AE15" s="58">
        <f t="shared" si="3"/>
        <v>0</v>
      </c>
      <c r="AG15" s="200"/>
      <c r="AH15" s="60"/>
      <c r="AI15" s="59"/>
      <c r="AJ15" s="56"/>
      <c r="AK15" s="57"/>
      <c r="AL15" s="57"/>
      <c r="AM15" s="58">
        <f t="shared" si="4"/>
        <v>0</v>
      </c>
      <c r="AO15" s="200"/>
      <c r="AP15" s="60"/>
      <c r="AQ15" s="59"/>
      <c r="AR15" s="56"/>
      <c r="AS15" s="57"/>
      <c r="AT15" s="57"/>
      <c r="AU15" s="58">
        <f t="shared" si="5"/>
        <v>0</v>
      </c>
      <c r="AW15" s="200"/>
      <c r="AX15" s="60"/>
      <c r="AY15" s="59"/>
      <c r="AZ15" s="56"/>
      <c r="BA15" s="57"/>
      <c r="BB15" s="57"/>
      <c r="BC15" s="58">
        <f t="shared" si="6"/>
        <v>0</v>
      </c>
      <c r="BE15" s="200"/>
      <c r="BF15" s="60"/>
      <c r="BG15" s="59"/>
      <c r="BH15" s="56"/>
      <c r="BI15" s="57"/>
      <c r="BJ15" s="57"/>
      <c r="BK15" s="58">
        <f t="shared" si="7"/>
        <v>0</v>
      </c>
      <c r="BM15" s="200"/>
      <c r="BN15" s="60"/>
      <c r="BO15" s="59"/>
      <c r="BP15" s="56"/>
      <c r="BQ15" s="57"/>
      <c r="BR15" s="57"/>
      <c r="BS15" s="58">
        <f t="shared" si="8"/>
        <v>0</v>
      </c>
      <c r="BU15" s="200"/>
      <c r="BV15" s="60"/>
      <c r="BW15" s="59"/>
      <c r="BX15" s="56"/>
      <c r="BY15" s="57"/>
      <c r="BZ15" s="57"/>
      <c r="CA15" s="58">
        <f t="shared" si="9"/>
        <v>0</v>
      </c>
      <c r="CC15" s="200"/>
      <c r="CD15" s="60"/>
      <c r="CE15" s="59"/>
      <c r="CF15" s="56"/>
      <c r="CG15" s="57"/>
      <c r="CH15" s="57"/>
      <c r="CI15" s="58">
        <f t="shared" si="10"/>
        <v>0</v>
      </c>
    </row>
    <row r="16" spans="1:87" ht="14.25" customHeight="1" x14ac:dyDescent="0.25">
      <c r="A16" s="200"/>
      <c r="B16" s="55"/>
      <c r="C16" s="59"/>
      <c r="D16" s="56"/>
      <c r="E16" s="57"/>
      <c r="F16" s="57"/>
      <c r="G16" s="58">
        <f t="shared" si="0"/>
        <v>0</v>
      </c>
      <c r="I16" s="200"/>
      <c r="J16" s="55"/>
      <c r="K16" s="59"/>
      <c r="L16" s="56"/>
      <c r="M16" s="57"/>
      <c r="N16" s="57"/>
      <c r="O16" s="58">
        <f t="shared" si="1"/>
        <v>0</v>
      </c>
      <c r="Q16" s="200"/>
      <c r="R16" s="55"/>
      <c r="S16" s="59"/>
      <c r="T16" s="56"/>
      <c r="U16" s="57"/>
      <c r="V16" s="57"/>
      <c r="W16" s="58">
        <f t="shared" si="2"/>
        <v>0</v>
      </c>
      <c r="Y16" s="200"/>
      <c r="Z16" s="55"/>
      <c r="AA16" s="59"/>
      <c r="AB16" s="56"/>
      <c r="AC16" s="57"/>
      <c r="AD16" s="57"/>
      <c r="AE16" s="58">
        <f t="shared" si="3"/>
        <v>0</v>
      </c>
      <c r="AG16" s="200"/>
      <c r="AH16" s="55"/>
      <c r="AI16" s="59"/>
      <c r="AJ16" s="56"/>
      <c r="AK16" s="57"/>
      <c r="AL16" s="57"/>
      <c r="AM16" s="58">
        <f t="shared" si="4"/>
        <v>0</v>
      </c>
      <c r="AO16" s="200"/>
      <c r="AP16" s="55"/>
      <c r="AQ16" s="59"/>
      <c r="AR16" s="56"/>
      <c r="AS16" s="57"/>
      <c r="AT16" s="57"/>
      <c r="AU16" s="58">
        <f t="shared" si="5"/>
        <v>0</v>
      </c>
      <c r="AW16" s="200"/>
      <c r="AX16" s="55"/>
      <c r="AY16" s="59"/>
      <c r="AZ16" s="56"/>
      <c r="BA16" s="57"/>
      <c r="BB16" s="57"/>
      <c r="BC16" s="58">
        <f t="shared" si="6"/>
        <v>0</v>
      </c>
      <c r="BE16" s="200"/>
      <c r="BF16" s="55"/>
      <c r="BG16" s="59"/>
      <c r="BH16" s="56"/>
      <c r="BI16" s="57"/>
      <c r="BJ16" s="57"/>
      <c r="BK16" s="58">
        <f t="shared" si="7"/>
        <v>0</v>
      </c>
      <c r="BM16" s="200"/>
      <c r="BN16" s="55"/>
      <c r="BO16" s="59"/>
      <c r="BP16" s="56"/>
      <c r="BQ16" s="57"/>
      <c r="BR16" s="57"/>
      <c r="BS16" s="58">
        <f t="shared" si="8"/>
        <v>0</v>
      </c>
      <c r="BU16" s="200"/>
      <c r="BV16" s="55"/>
      <c r="BW16" s="59"/>
      <c r="BX16" s="56"/>
      <c r="BY16" s="57"/>
      <c r="BZ16" s="57"/>
      <c r="CA16" s="58">
        <f t="shared" si="9"/>
        <v>0</v>
      </c>
      <c r="CC16" s="200"/>
      <c r="CD16" s="55"/>
      <c r="CE16" s="59"/>
      <c r="CF16" s="56"/>
      <c r="CG16" s="57"/>
      <c r="CH16" s="57"/>
      <c r="CI16" s="58">
        <f t="shared" si="10"/>
        <v>0</v>
      </c>
    </row>
    <row r="17" spans="1:87" ht="14.25" customHeight="1" x14ac:dyDescent="0.25">
      <c r="A17" s="200"/>
      <c r="B17" s="55"/>
      <c r="C17" s="59"/>
      <c r="D17" s="56"/>
      <c r="E17" s="57"/>
      <c r="F17" s="57"/>
      <c r="G17" s="58">
        <f t="shared" si="0"/>
        <v>0</v>
      </c>
      <c r="I17" s="200"/>
      <c r="J17" s="55"/>
      <c r="K17" s="59"/>
      <c r="L17" s="56"/>
      <c r="M17" s="57"/>
      <c r="N17" s="57"/>
      <c r="O17" s="58">
        <f t="shared" si="1"/>
        <v>0</v>
      </c>
      <c r="Q17" s="200"/>
      <c r="R17" s="55"/>
      <c r="S17" s="59"/>
      <c r="T17" s="56"/>
      <c r="U17" s="57"/>
      <c r="V17" s="57"/>
      <c r="W17" s="58">
        <f t="shared" si="2"/>
        <v>0</v>
      </c>
      <c r="Y17" s="200"/>
      <c r="Z17" s="55"/>
      <c r="AA17" s="59"/>
      <c r="AB17" s="56"/>
      <c r="AC17" s="57"/>
      <c r="AD17" s="57"/>
      <c r="AE17" s="58">
        <f t="shared" si="3"/>
        <v>0</v>
      </c>
      <c r="AG17" s="200"/>
      <c r="AH17" s="55"/>
      <c r="AI17" s="59"/>
      <c r="AJ17" s="56"/>
      <c r="AK17" s="57"/>
      <c r="AL17" s="57"/>
      <c r="AM17" s="58">
        <f t="shared" si="4"/>
        <v>0</v>
      </c>
      <c r="AO17" s="200"/>
      <c r="AP17" s="55"/>
      <c r="AQ17" s="59"/>
      <c r="AR17" s="56"/>
      <c r="AS17" s="57"/>
      <c r="AT17" s="57"/>
      <c r="AU17" s="58">
        <f t="shared" si="5"/>
        <v>0</v>
      </c>
      <c r="AW17" s="200"/>
      <c r="AX17" s="55"/>
      <c r="AY17" s="59"/>
      <c r="AZ17" s="56"/>
      <c r="BA17" s="57"/>
      <c r="BB17" s="57"/>
      <c r="BC17" s="58">
        <f t="shared" si="6"/>
        <v>0</v>
      </c>
      <c r="BE17" s="200"/>
      <c r="BF17" s="55"/>
      <c r="BG17" s="59"/>
      <c r="BH17" s="56"/>
      <c r="BI17" s="57"/>
      <c r="BJ17" s="57"/>
      <c r="BK17" s="58">
        <f t="shared" si="7"/>
        <v>0</v>
      </c>
      <c r="BM17" s="200"/>
      <c r="BN17" s="55"/>
      <c r="BO17" s="59"/>
      <c r="BP17" s="56"/>
      <c r="BQ17" s="57"/>
      <c r="BR17" s="57"/>
      <c r="BS17" s="58">
        <f t="shared" si="8"/>
        <v>0</v>
      </c>
      <c r="BU17" s="200"/>
      <c r="BV17" s="55"/>
      <c r="BW17" s="59"/>
      <c r="BX17" s="56"/>
      <c r="BY17" s="57"/>
      <c r="BZ17" s="57"/>
      <c r="CA17" s="58">
        <f t="shared" si="9"/>
        <v>0</v>
      </c>
      <c r="CC17" s="200"/>
      <c r="CD17" s="55"/>
      <c r="CE17" s="59"/>
      <c r="CF17" s="56"/>
      <c r="CG17" s="57"/>
      <c r="CH17" s="57"/>
      <c r="CI17" s="58">
        <f t="shared" si="10"/>
        <v>0</v>
      </c>
    </row>
    <row r="18" spans="1:87" ht="14.25" customHeight="1" x14ac:dyDescent="0.25">
      <c r="A18" s="200"/>
      <c r="B18" s="59"/>
      <c r="C18" s="59"/>
      <c r="D18" s="56"/>
      <c r="E18" s="57"/>
      <c r="F18" s="57"/>
      <c r="G18" s="58">
        <f t="shared" si="0"/>
        <v>0</v>
      </c>
      <c r="I18" s="200"/>
      <c r="J18" s="59"/>
      <c r="K18" s="59"/>
      <c r="L18" s="56"/>
      <c r="M18" s="57"/>
      <c r="N18" s="57"/>
      <c r="O18" s="58">
        <f t="shared" si="1"/>
        <v>0</v>
      </c>
      <c r="Q18" s="200"/>
      <c r="R18" s="59"/>
      <c r="S18" s="59"/>
      <c r="T18" s="56"/>
      <c r="U18" s="57"/>
      <c r="V18" s="57"/>
      <c r="W18" s="58">
        <f t="shared" si="2"/>
        <v>0</v>
      </c>
      <c r="Y18" s="200"/>
      <c r="Z18" s="59"/>
      <c r="AA18" s="59"/>
      <c r="AB18" s="56"/>
      <c r="AC18" s="57"/>
      <c r="AD18" s="57"/>
      <c r="AE18" s="58">
        <f t="shared" si="3"/>
        <v>0</v>
      </c>
      <c r="AG18" s="200"/>
      <c r="AH18" s="59"/>
      <c r="AI18" s="59"/>
      <c r="AJ18" s="56"/>
      <c r="AK18" s="57"/>
      <c r="AL18" s="57"/>
      <c r="AM18" s="58">
        <f t="shared" si="4"/>
        <v>0</v>
      </c>
      <c r="AO18" s="200"/>
      <c r="AP18" s="59"/>
      <c r="AQ18" s="59"/>
      <c r="AR18" s="56"/>
      <c r="AS18" s="57"/>
      <c r="AT18" s="57"/>
      <c r="AU18" s="58">
        <f t="shared" si="5"/>
        <v>0</v>
      </c>
      <c r="AW18" s="200"/>
      <c r="AX18" s="59"/>
      <c r="AY18" s="59"/>
      <c r="AZ18" s="56"/>
      <c r="BA18" s="57"/>
      <c r="BB18" s="57"/>
      <c r="BC18" s="58">
        <f t="shared" si="6"/>
        <v>0</v>
      </c>
      <c r="BE18" s="200"/>
      <c r="BF18" s="59"/>
      <c r="BG18" s="59"/>
      <c r="BH18" s="56"/>
      <c r="BI18" s="57"/>
      <c r="BJ18" s="57"/>
      <c r="BK18" s="58">
        <f t="shared" si="7"/>
        <v>0</v>
      </c>
      <c r="BM18" s="200"/>
      <c r="BN18" s="59"/>
      <c r="BO18" s="59"/>
      <c r="BP18" s="56"/>
      <c r="BQ18" s="57"/>
      <c r="BR18" s="57"/>
      <c r="BS18" s="58">
        <f t="shared" si="8"/>
        <v>0</v>
      </c>
      <c r="BU18" s="200"/>
      <c r="BV18" s="59"/>
      <c r="BW18" s="59"/>
      <c r="BX18" s="56"/>
      <c r="BY18" s="57"/>
      <c r="BZ18" s="57"/>
      <c r="CA18" s="58">
        <f t="shared" si="9"/>
        <v>0</v>
      </c>
      <c r="CC18" s="200"/>
      <c r="CD18" s="59"/>
      <c r="CE18" s="59"/>
      <c r="CF18" s="56"/>
      <c r="CG18" s="57"/>
      <c r="CH18" s="57"/>
      <c r="CI18" s="58">
        <f t="shared" si="10"/>
        <v>0</v>
      </c>
    </row>
    <row r="19" spans="1:87" ht="14.25" customHeight="1" x14ac:dyDescent="0.25">
      <c r="A19" s="200"/>
      <c r="B19" s="59"/>
      <c r="C19" s="59"/>
      <c r="D19" s="56"/>
      <c r="E19" s="57"/>
      <c r="F19" s="57"/>
      <c r="G19" s="58">
        <f t="shared" si="0"/>
        <v>0</v>
      </c>
      <c r="I19" s="200"/>
      <c r="J19" s="59"/>
      <c r="K19" s="59"/>
      <c r="L19" s="56"/>
      <c r="M19" s="57"/>
      <c r="N19" s="57"/>
      <c r="O19" s="58">
        <f t="shared" si="1"/>
        <v>0</v>
      </c>
      <c r="Q19" s="200"/>
      <c r="R19" s="59"/>
      <c r="S19" s="59"/>
      <c r="T19" s="56"/>
      <c r="U19" s="57"/>
      <c r="V19" s="57"/>
      <c r="W19" s="58">
        <f t="shared" si="2"/>
        <v>0</v>
      </c>
      <c r="Y19" s="200"/>
      <c r="Z19" s="59"/>
      <c r="AA19" s="59"/>
      <c r="AB19" s="56"/>
      <c r="AC19" s="57"/>
      <c r="AD19" s="57"/>
      <c r="AE19" s="58">
        <f t="shared" si="3"/>
        <v>0</v>
      </c>
      <c r="AG19" s="200"/>
      <c r="AH19" s="59"/>
      <c r="AI19" s="59"/>
      <c r="AJ19" s="56"/>
      <c r="AK19" s="57"/>
      <c r="AL19" s="57"/>
      <c r="AM19" s="58">
        <f t="shared" si="4"/>
        <v>0</v>
      </c>
      <c r="AO19" s="200"/>
      <c r="AP19" s="59"/>
      <c r="AQ19" s="59"/>
      <c r="AR19" s="56"/>
      <c r="AS19" s="57"/>
      <c r="AT19" s="57"/>
      <c r="AU19" s="58">
        <f t="shared" si="5"/>
        <v>0</v>
      </c>
      <c r="AW19" s="200"/>
      <c r="AX19" s="59"/>
      <c r="AY19" s="59"/>
      <c r="AZ19" s="56"/>
      <c r="BA19" s="57"/>
      <c r="BB19" s="57"/>
      <c r="BC19" s="58">
        <f t="shared" si="6"/>
        <v>0</v>
      </c>
      <c r="BE19" s="200"/>
      <c r="BF19" s="59"/>
      <c r="BG19" s="59"/>
      <c r="BH19" s="56"/>
      <c r="BI19" s="57"/>
      <c r="BJ19" s="57"/>
      <c r="BK19" s="58">
        <f t="shared" si="7"/>
        <v>0</v>
      </c>
      <c r="BM19" s="200"/>
      <c r="BN19" s="59"/>
      <c r="BO19" s="59"/>
      <c r="BP19" s="56"/>
      <c r="BQ19" s="57"/>
      <c r="BR19" s="57"/>
      <c r="BS19" s="58">
        <f t="shared" si="8"/>
        <v>0</v>
      </c>
      <c r="BU19" s="200"/>
      <c r="BV19" s="59"/>
      <c r="BW19" s="59"/>
      <c r="BX19" s="56"/>
      <c r="BY19" s="57"/>
      <c r="BZ19" s="57"/>
      <c r="CA19" s="58">
        <f t="shared" si="9"/>
        <v>0</v>
      </c>
      <c r="CC19" s="200"/>
      <c r="CD19" s="59"/>
      <c r="CE19" s="59"/>
      <c r="CF19" s="56"/>
      <c r="CG19" s="57"/>
      <c r="CH19" s="57"/>
      <c r="CI19" s="58">
        <f t="shared" si="10"/>
        <v>0</v>
      </c>
    </row>
    <row r="20" spans="1:87" ht="14.25" customHeight="1" x14ac:dyDescent="0.25">
      <c r="A20" s="195" t="s">
        <v>53</v>
      </c>
      <c r="B20" s="196"/>
      <c r="C20" s="196"/>
      <c r="D20" s="61"/>
      <c r="E20" s="62"/>
      <c r="F20" s="63"/>
      <c r="G20" s="64">
        <f>SUM(G10:G19)</f>
        <v>0</v>
      </c>
      <c r="I20" s="195" t="s">
        <v>53</v>
      </c>
      <c r="J20" s="196"/>
      <c r="K20" s="196"/>
      <c r="L20" s="61"/>
      <c r="M20" s="62"/>
      <c r="N20" s="63"/>
      <c r="O20" s="64">
        <f>SUM(O10:O19)</f>
        <v>0</v>
      </c>
      <c r="Q20" s="195" t="s">
        <v>53</v>
      </c>
      <c r="R20" s="196"/>
      <c r="S20" s="196"/>
      <c r="T20" s="61"/>
      <c r="U20" s="62"/>
      <c r="V20" s="63"/>
      <c r="W20" s="64">
        <f>SUM(W10:W19)</f>
        <v>0</v>
      </c>
      <c r="Y20" s="195" t="s">
        <v>53</v>
      </c>
      <c r="Z20" s="196"/>
      <c r="AA20" s="196"/>
      <c r="AB20" s="61"/>
      <c r="AC20" s="62"/>
      <c r="AD20" s="63"/>
      <c r="AE20" s="64">
        <f>SUM(AE10:AE19)</f>
        <v>0</v>
      </c>
      <c r="AG20" s="195" t="s">
        <v>53</v>
      </c>
      <c r="AH20" s="196"/>
      <c r="AI20" s="196"/>
      <c r="AJ20" s="61"/>
      <c r="AK20" s="62"/>
      <c r="AL20" s="63"/>
      <c r="AM20" s="64">
        <f>SUM(AM10:AM19)</f>
        <v>0</v>
      </c>
      <c r="AO20" s="195" t="s">
        <v>53</v>
      </c>
      <c r="AP20" s="196"/>
      <c r="AQ20" s="196"/>
      <c r="AR20" s="61"/>
      <c r="AS20" s="62"/>
      <c r="AT20" s="63"/>
      <c r="AU20" s="64">
        <f>SUM(AU10:AU19)</f>
        <v>0</v>
      </c>
      <c r="AW20" s="195" t="s">
        <v>53</v>
      </c>
      <c r="AX20" s="196"/>
      <c r="AY20" s="196"/>
      <c r="AZ20" s="61"/>
      <c r="BA20" s="62"/>
      <c r="BB20" s="63"/>
      <c r="BC20" s="64">
        <f>SUM(BC10:BC19)</f>
        <v>0</v>
      </c>
      <c r="BE20" s="195" t="s">
        <v>53</v>
      </c>
      <c r="BF20" s="196"/>
      <c r="BG20" s="196"/>
      <c r="BH20" s="61"/>
      <c r="BI20" s="62"/>
      <c r="BJ20" s="63"/>
      <c r="BK20" s="64">
        <f>SUM(BK10:BK19)</f>
        <v>0</v>
      </c>
      <c r="BM20" s="195" t="s">
        <v>53</v>
      </c>
      <c r="BN20" s="196"/>
      <c r="BO20" s="196"/>
      <c r="BP20" s="61"/>
      <c r="BQ20" s="62"/>
      <c r="BR20" s="63"/>
      <c r="BS20" s="64">
        <f>SUM(BS10:BS19)</f>
        <v>0</v>
      </c>
      <c r="BU20" s="195" t="s">
        <v>53</v>
      </c>
      <c r="BV20" s="196"/>
      <c r="BW20" s="196"/>
      <c r="BX20" s="61"/>
      <c r="BY20" s="62"/>
      <c r="BZ20" s="63"/>
      <c r="CA20" s="64">
        <f>SUM(CA10:CA19)</f>
        <v>0</v>
      </c>
      <c r="CC20" s="195" t="s">
        <v>53</v>
      </c>
      <c r="CD20" s="196"/>
      <c r="CE20" s="196"/>
      <c r="CF20" s="61"/>
      <c r="CG20" s="62"/>
      <c r="CH20" s="63"/>
      <c r="CI20" s="64">
        <f>SUM(CI10:CI19)</f>
        <v>0</v>
      </c>
    </row>
    <row r="21" spans="1:87" ht="14.25" customHeight="1" x14ac:dyDescent="0.25">
      <c r="A21" s="198" t="s">
        <v>54</v>
      </c>
      <c r="B21" s="54" t="s">
        <v>55</v>
      </c>
      <c r="C21" s="75"/>
      <c r="D21" s="75"/>
      <c r="E21" s="65"/>
      <c r="F21" s="65"/>
      <c r="G21" s="66">
        <f>E21*F21%</f>
        <v>0</v>
      </c>
      <c r="H21" s="67"/>
      <c r="I21" s="198" t="s">
        <v>54</v>
      </c>
      <c r="J21" s="54" t="s">
        <v>55</v>
      </c>
      <c r="K21" s="75"/>
      <c r="L21" s="75"/>
      <c r="M21" s="65"/>
      <c r="N21" s="65"/>
      <c r="O21" s="66">
        <f>M21*N21%</f>
        <v>0</v>
      </c>
      <c r="Q21" s="198" t="s">
        <v>54</v>
      </c>
      <c r="R21" s="54" t="s">
        <v>55</v>
      </c>
      <c r="S21" s="75"/>
      <c r="T21" s="75"/>
      <c r="U21" s="65"/>
      <c r="V21" s="65"/>
      <c r="W21" s="66">
        <f>U21*V21%</f>
        <v>0</v>
      </c>
      <c r="Y21" s="198" t="s">
        <v>54</v>
      </c>
      <c r="Z21" s="54" t="s">
        <v>55</v>
      </c>
      <c r="AA21" s="75"/>
      <c r="AB21" s="75"/>
      <c r="AC21" s="65"/>
      <c r="AD21" s="65"/>
      <c r="AE21" s="66">
        <f>AC21*AD21%</f>
        <v>0</v>
      </c>
      <c r="AG21" s="198" t="s">
        <v>54</v>
      </c>
      <c r="AH21" s="54" t="s">
        <v>55</v>
      </c>
      <c r="AI21" s="75"/>
      <c r="AJ21" s="75"/>
      <c r="AK21" s="68"/>
      <c r="AL21" s="68"/>
      <c r="AM21" s="66">
        <f>AK21*AL21%</f>
        <v>0</v>
      </c>
      <c r="AO21" s="198" t="s">
        <v>54</v>
      </c>
      <c r="AP21" s="54" t="s">
        <v>55</v>
      </c>
      <c r="AQ21" s="75"/>
      <c r="AR21" s="75"/>
      <c r="AS21" s="65"/>
      <c r="AT21" s="65"/>
      <c r="AU21" s="66">
        <f>AS21*AT21%</f>
        <v>0</v>
      </c>
      <c r="AW21" s="198" t="s">
        <v>54</v>
      </c>
      <c r="AX21" s="54" t="s">
        <v>55</v>
      </c>
      <c r="AY21" s="75"/>
      <c r="AZ21" s="75"/>
      <c r="BA21" s="65"/>
      <c r="BB21" s="65"/>
      <c r="BC21" s="66">
        <f>BA21*BB21%</f>
        <v>0</v>
      </c>
      <c r="BE21" s="198" t="s">
        <v>54</v>
      </c>
      <c r="BF21" s="54" t="s">
        <v>55</v>
      </c>
      <c r="BG21" s="75"/>
      <c r="BH21" s="75"/>
      <c r="BI21" s="65"/>
      <c r="BJ21" s="65"/>
      <c r="BK21" s="66">
        <f>BI21*BJ21%</f>
        <v>0</v>
      </c>
      <c r="BM21" s="198" t="s">
        <v>54</v>
      </c>
      <c r="BN21" s="54" t="s">
        <v>55</v>
      </c>
      <c r="BO21" s="75"/>
      <c r="BP21" s="75"/>
      <c r="BQ21" s="65"/>
      <c r="BR21" s="65"/>
      <c r="BS21" s="66">
        <f>BQ21*BR21%</f>
        <v>0</v>
      </c>
      <c r="BU21" s="198" t="s">
        <v>54</v>
      </c>
      <c r="BV21" s="54" t="s">
        <v>55</v>
      </c>
      <c r="BW21" s="75"/>
      <c r="BX21" s="75"/>
      <c r="BY21" s="65"/>
      <c r="BZ21" s="65"/>
      <c r="CA21" s="66">
        <f>BY21*BZ21%</f>
        <v>0</v>
      </c>
      <c r="CC21" s="198" t="s">
        <v>54</v>
      </c>
      <c r="CD21" s="54" t="s">
        <v>55</v>
      </c>
      <c r="CE21" s="75"/>
      <c r="CF21" s="75"/>
      <c r="CG21" s="65"/>
      <c r="CH21" s="65"/>
      <c r="CI21" s="66">
        <f>CG21*CH21%</f>
        <v>0</v>
      </c>
    </row>
    <row r="22" spans="1:87" ht="14.25" customHeight="1" x14ac:dyDescent="0.25">
      <c r="A22" s="197"/>
      <c r="B22" s="55" t="s">
        <v>56</v>
      </c>
      <c r="C22" s="75"/>
      <c r="D22" s="75"/>
      <c r="E22" s="57"/>
      <c r="F22" s="57"/>
      <c r="G22" s="58">
        <f>C22*D22%</f>
        <v>0</v>
      </c>
      <c r="H22" s="67"/>
      <c r="I22" s="197"/>
      <c r="J22" s="55" t="s">
        <v>56</v>
      </c>
      <c r="K22" s="75"/>
      <c r="L22" s="75"/>
      <c r="M22" s="57"/>
      <c r="N22" s="57"/>
      <c r="O22" s="58">
        <f>K22*L22%</f>
        <v>0</v>
      </c>
      <c r="Q22" s="197"/>
      <c r="R22" s="55" t="s">
        <v>56</v>
      </c>
      <c r="S22" s="75"/>
      <c r="T22" s="75"/>
      <c r="U22" s="57"/>
      <c r="V22" s="57"/>
      <c r="W22" s="58">
        <f>S22*T22%</f>
        <v>0</v>
      </c>
      <c r="Y22" s="197"/>
      <c r="Z22" s="55" t="s">
        <v>56</v>
      </c>
      <c r="AA22" s="75"/>
      <c r="AB22" s="75"/>
      <c r="AC22" s="57"/>
      <c r="AD22" s="57"/>
      <c r="AE22" s="58">
        <f>AA22*AB22%</f>
        <v>0</v>
      </c>
      <c r="AG22" s="197"/>
      <c r="AH22" s="55" t="s">
        <v>56</v>
      </c>
      <c r="AI22" s="75"/>
      <c r="AJ22" s="75"/>
      <c r="AK22" s="57"/>
      <c r="AL22" s="57"/>
      <c r="AM22" s="58">
        <f>AI22*AJ22%</f>
        <v>0</v>
      </c>
      <c r="AO22" s="197"/>
      <c r="AP22" s="55" t="s">
        <v>56</v>
      </c>
      <c r="AQ22" s="75"/>
      <c r="AR22" s="75"/>
      <c r="AS22" s="57"/>
      <c r="AT22" s="57"/>
      <c r="AU22" s="58">
        <f>AQ22*AR22%</f>
        <v>0</v>
      </c>
      <c r="AW22" s="197"/>
      <c r="AX22" s="55" t="s">
        <v>56</v>
      </c>
      <c r="AY22" s="75"/>
      <c r="AZ22" s="75"/>
      <c r="BA22" s="57"/>
      <c r="BB22" s="57"/>
      <c r="BC22" s="58">
        <f>AY22*AZ22%</f>
        <v>0</v>
      </c>
      <c r="BE22" s="197"/>
      <c r="BF22" s="55" t="s">
        <v>56</v>
      </c>
      <c r="BG22" s="75"/>
      <c r="BH22" s="75"/>
      <c r="BI22" s="57"/>
      <c r="BJ22" s="57"/>
      <c r="BK22" s="58">
        <f>BG22*BH22%</f>
        <v>0</v>
      </c>
      <c r="BM22" s="197"/>
      <c r="BN22" s="55" t="s">
        <v>56</v>
      </c>
      <c r="BO22" s="75"/>
      <c r="BP22" s="75"/>
      <c r="BQ22" s="57"/>
      <c r="BR22" s="57"/>
      <c r="BS22" s="58">
        <f>BO22*BP22%</f>
        <v>0</v>
      </c>
      <c r="BU22" s="197"/>
      <c r="BV22" s="55" t="s">
        <v>56</v>
      </c>
      <c r="BW22" s="75"/>
      <c r="BX22" s="75"/>
      <c r="BY22" s="57"/>
      <c r="BZ22" s="57"/>
      <c r="CA22" s="58">
        <f>BW22*BX22%</f>
        <v>0</v>
      </c>
      <c r="CC22" s="197"/>
      <c r="CD22" s="55" t="s">
        <v>56</v>
      </c>
      <c r="CE22" s="75"/>
      <c r="CF22" s="75"/>
      <c r="CG22" s="57"/>
      <c r="CH22" s="57"/>
      <c r="CI22" s="58">
        <f>CE22*CF22%</f>
        <v>0</v>
      </c>
    </row>
    <row r="23" spans="1:87" ht="14.25" customHeight="1" x14ac:dyDescent="0.25">
      <c r="A23" s="197"/>
      <c r="B23" s="55" t="s">
        <v>57</v>
      </c>
      <c r="C23" s="75"/>
      <c r="D23" s="75"/>
      <c r="E23" s="57"/>
      <c r="F23" s="57"/>
      <c r="G23" s="58">
        <f>C23*D23%</f>
        <v>0</v>
      </c>
      <c r="H23" s="67"/>
      <c r="I23" s="197"/>
      <c r="J23" s="55" t="s">
        <v>57</v>
      </c>
      <c r="K23" s="75"/>
      <c r="L23" s="75"/>
      <c r="M23" s="57"/>
      <c r="N23" s="57"/>
      <c r="O23" s="58">
        <f>K23*L23%</f>
        <v>0</v>
      </c>
      <c r="Q23" s="197"/>
      <c r="R23" s="55" t="s">
        <v>57</v>
      </c>
      <c r="S23" s="75"/>
      <c r="T23" s="75"/>
      <c r="U23" s="57"/>
      <c r="V23" s="57"/>
      <c r="W23" s="58">
        <f>S23*T23%</f>
        <v>0</v>
      </c>
      <c r="Y23" s="197"/>
      <c r="Z23" s="55" t="s">
        <v>57</v>
      </c>
      <c r="AA23" s="75"/>
      <c r="AB23" s="75"/>
      <c r="AC23" s="57"/>
      <c r="AD23" s="57"/>
      <c r="AE23" s="58">
        <f>AA23*AB23%</f>
        <v>0</v>
      </c>
      <c r="AG23" s="197"/>
      <c r="AH23" s="55" t="s">
        <v>57</v>
      </c>
      <c r="AI23" s="75"/>
      <c r="AJ23" s="75"/>
      <c r="AK23" s="57"/>
      <c r="AL23" s="57"/>
      <c r="AM23" s="58">
        <f>AI23*AJ23%</f>
        <v>0</v>
      </c>
      <c r="AO23" s="197"/>
      <c r="AP23" s="55" t="s">
        <v>57</v>
      </c>
      <c r="AQ23" s="75"/>
      <c r="AR23" s="75"/>
      <c r="AS23" s="57"/>
      <c r="AT23" s="57"/>
      <c r="AU23" s="58">
        <f>AQ23*AR23%</f>
        <v>0</v>
      </c>
      <c r="AW23" s="197"/>
      <c r="AX23" s="55" t="s">
        <v>57</v>
      </c>
      <c r="AY23" s="75"/>
      <c r="AZ23" s="75"/>
      <c r="BA23" s="57"/>
      <c r="BB23" s="57"/>
      <c r="BC23" s="58">
        <f>AY23*AZ23%</f>
        <v>0</v>
      </c>
      <c r="BE23" s="197"/>
      <c r="BF23" s="55" t="s">
        <v>57</v>
      </c>
      <c r="BG23" s="75"/>
      <c r="BH23" s="75"/>
      <c r="BI23" s="57"/>
      <c r="BJ23" s="57"/>
      <c r="BK23" s="58">
        <f>BG23*BH23%</f>
        <v>0</v>
      </c>
      <c r="BM23" s="197"/>
      <c r="BN23" s="55" t="s">
        <v>57</v>
      </c>
      <c r="BO23" s="75"/>
      <c r="BP23" s="75"/>
      <c r="BQ23" s="57"/>
      <c r="BR23" s="57"/>
      <c r="BS23" s="58">
        <f>BO23*BP23%</f>
        <v>0</v>
      </c>
      <c r="BU23" s="197"/>
      <c r="BV23" s="55" t="s">
        <v>57</v>
      </c>
      <c r="BW23" s="75"/>
      <c r="BX23" s="75"/>
      <c r="BY23" s="57"/>
      <c r="BZ23" s="57"/>
      <c r="CA23" s="58">
        <f>BW23*BX23%</f>
        <v>0</v>
      </c>
      <c r="CC23" s="197"/>
      <c r="CD23" s="55" t="s">
        <v>57</v>
      </c>
      <c r="CE23" s="75"/>
      <c r="CF23" s="75"/>
      <c r="CG23" s="57"/>
      <c r="CH23" s="57"/>
      <c r="CI23" s="58">
        <f>CE23*CF23%</f>
        <v>0</v>
      </c>
    </row>
    <row r="24" spans="1:87" ht="14.25" customHeight="1" x14ac:dyDescent="0.25">
      <c r="A24" s="197"/>
      <c r="B24" s="69" t="s">
        <v>58</v>
      </c>
      <c r="C24" s="75"/>
      <c r="D24" s="75"/>
      <c r="E24" s="57"/>
      <c r="F24" s="57"/>
      <c r="G24" s="58">
        <f>C24*D24%</f>
        <v>0</v>
      </c>
      <c r="H24" s="67"/>
      <c r="I24" s="197"/>
      <c r="J24" s="69" t="s">
        <v>58</v>
      </c>
      <c r="K24" s="75"/>
      <c r="L24" s="75"/>
      <c r="M24" s="57"/>
      <c r="N24" s="57"/>
      <c r="O24" s="58">
        <f>K24*L24%</f>
        <v>0</v>
      </c>
      <c r="Q24" s="197"/>
      <c r="R24" s="69" t="s">
        <v>58</v>
      </c>
      <c r="S24" s="75"/>
      <c r="T24" s="75"/>
      <c r="U24" s="57"/>
      <c r="V24" s="57"/>
      <c r="W24" s="58">
        <f>S24*T24%</f>
        <v>0</v>
      </c>
      <c r="Y24" s="197"/>
      <c r="Z24" s="69" t="s">
        <v>58</v>
      </c>
      <c r="AA24" s="75"/>
      <c r="AB24" s="75"/>
      <c r="AC24" s="57"/>
      <c r="AD24" s="57"/>
      <c r="AE24" s="58">
        <f>AA24*AB24%</f>
        <v>0</v>
      </c>
      <c r="AG24" s="197"/>
      <c r="AH24" s="69" t="s">
        <v>58</v>
      </c>
      <c r="AI24" s="75"/>
      <c r="AJ24" s="75"/>
      <c r="AK24" s="57"/>
      <c r="AL24" s="57"/>
      <c r="AM24" s="58">
        <f>AI24*AJ24%</f>
        <v>0</v>
      </c>
      <c r="AO24" s="197"/>
      <c r="AP24" s="69" t="s">
        <v>58</v>
      </c>
      <c r="AQ24" s="75"/>
      <c r="AR24" s="75"/>
      <c r="AS24" s="57"/>
      <c r="AT24" s="57"/>
      <c r="AU24" s="58">
        <f>AQ24*AR24%</f>
        <v>0</v>
      </c>
      <c r="AW24" s="197"/>
      <c r="AX24" s="69" t="s">
        <v>58</v>
      </c>
      <c r="AY24" s="75"/>
      <c r="AZ24" s="75"/>
      <c r="BA24" s="57"/>
      <c r="BB24" s="57"/>
      <c r="BC24" s="58">
        <f>AY24*AZ24%</f>
        <v>0</v>
      </c>
      <c r="BE24" s="197"/>
      <c r="BF24" s="69" t="s">
        <v>58</v>
      </c>
      <c r="BG24" s="75"/>
      <c r="BH24" s="75"/>
      <c r="BI24" s="57"/>
      <c r="BJ24" s="57"/>
      <c r="BK24" s="58">
        <f>BG24*BH24%</f>
        <v>0</v>
      </c>
      <c r="BM24" s="197"/>
      <c r="BN24" s="69" t="s">
        <v>58</v>
      </c>
      <c r="BO24" s="75"/>
      <c r="BP24" s="75"/>
      <c r="BQ24" s="57"/>
      <c r="BR24" s="57"/>
      <c r="BS24" s="58">
        <f>BO24*BP24%</f>
        <v>0</v>
      </c>
      <c r="BU24" s="197"/>
      <c r="BV24" s="69" t="s">
        <v>58</v>
      </c>
      <c r="BW24" s="75"/>
      <c r="BX24" s="75"/>
      <c r="BY24" s="57"/>
      <c r="BZ24" s="57"/>
      <c r="CA24" s="58">
        <f>BW24*BX24%</f>
        <v>0</v>
      </c>
      <c r="CC24" s="197"/>
      <c r="CD24" s="69" t="s">
        <v>58</v>
      </c>
      <c r="CE24" s="75"/>
      <c r="CF24" s="75"/>
      <c r="CG24" s="57"/>
      <c r="CH24" s="57"/>
      <c r="CI24" s="58">
        <f>CE24*CF24%</f>
        <v>0</v>
      </c>
    </row>
    <row r="25" spans="1:87" ht="14.25" customHeight="1" x14ac:dyDescent="0.25">
      <c r="A25" s="197"/>
      <c r="B25" s="54" t="s">
        <v>52</v>
      </c>
      <c r="C25" s="75"/>
      <c r="D25" s="75"/>
      <c r="E25" s="57"/>
      <c r="F25" s="57"/>
      <c r="G25" s="58">
        <f>C25*D25%</f>
        <v>0</v>
      </c>
      <c r="H25" s="67"/>
      <c r="I25" s="197"/>
      <c r="J25" s="54" t="s">
        <v>52</v>
      </c>
      <c r="K25" s="75"/>
      <c r="L25" s="75"/>
      <c r="M25" s="57"/>
      <c r="N25" s="57"/>
      <c r="O25" s="58">
        <f>K25*L25%</f>
        <v>0</v>
      </c>
      <c r="Q25" s="197"/>
      <c r="R25" s="54" t="s">
        <v>52</v>
      </c>
      <c r="S25" s="75"/>
      <c r="T25" s="75"/>
      <c r="U25" s="57"/>
      <c r="V25" s="57"/>
      <c r="W25" s="58">
        <f>S25*T25%</f>
        <v>0</v>
      </c>
      <c r="Y25" s="197"/>
      <c r="Z25" s="54" t="s">
        <v>52</v>
      </c>
      <c r="AA25" s="75"/>
      <c r="AB25" s="75"/>
      <c r="AC25" s="57"/>
      <c r="AD25" s="57"/>
      <c r="AE25" s="58">
        <f>AA25*AB25%</f>
        <v>0</v>
      </c>
      <c r="AG25" s="197"/>
      <c r="AH25" s="54" t="s">
        <v>52</v>
      </c>
      <c r="AI25" s="75"/>
      <c r="AJ25" s="75"/>
      <c r="AK25" s="57"/>
      <c r="AL25" s="57"/>
      <c r="AM25" s="58">
        <f>AI25*AJ25%</f>
        <v>0</v>
      </c>
      <c r="AO25" s="197"/>
      <c r="AP25" s="54" t="s">
        <v>52</v>
      </c>
      <c r="AQ25" s="75"/>
      <c r="AR25" s="75"/>
      <c r="AS25" s="57"/>
      <c r="AT25" s="57"/>
      <c r="AU25" s="58">
        <f>AQ25*AR25%</f>
        <v>0</v>
      </c>
      <c r="AW25" s="197"/>
      <c r="AX25" s="54" t="s">
        <v>52</v>
      </c>
      <c r="AY25" s="75"/>
      <c r="AZ25" s="75"/>
      <c r="BA25" s="57"/>
      <c r="BB25" s="57"/>
      <c r="BC25" s="58">
        <f>AY25*AZ25%</f>
        <v>0</v>
      </c>
      <c r="BE25" s="197"/>
      <c r="BF25" s="54" t="s">
        <v>52</v>
      </c>
      <c r="BG25" s="75"/>
      <c r="BH25" s="75"/>
      <c r="BI25" s="57"/>
      <c r="BJ25" s="57"/>
      <c r="BK25" s="58">
        <f>BG25*BH25%</f>
        <v>0</v>
      </c>
      <c r="BM25" s="197"/>
      <c r="BN25" s="54" t="s">
        <v>52</v>
      </c>
      <c r="BO25" s="75"/>
      <c r="BP25" s="75"/>
      <c r="BQ25" s="57"/>
      <c r="BR25" s="57"/>
      <c r="BS25" s="58">
        <f>BO25*BP25%</f>
        <v>0</v>
      </c>
      <c r="BU25" s="197"/>
      <c r="BV25" s="54" t="s">
        <v>52</v>
      </c>
      <c r="BW25" s="75"/>
      <c r="BX25" s="75"/>
      <c r="BY25" s="57"/>
      <c r="BZ25" s="57"/>
      <c r="CA25" s="58">
        <f>BW25*BX25%</f>
        <v>0</v>
      </c>
      <c r="CC25" s="197"/>
      <c r="CD25" s="54" t="s">
        <v>52</v>
      </c>
      <c r="CE25" s="75"/>
      <c r="CF25" s="75"/>
      <c r="CG25" s="57"/>
      <c r="CH25" s="57"/>
      <c r="CI25" s="58">
        <f>CE25*CF25%</f>
        <v>0</v>
      </c>
    </row>
    <row r="26" spans="1:87" ht="14.25" customHeight="1" x14ac:dyDescent="0.25">
      <c r="A26" s="197"/>
      <c r="B26" s="55"/>
      <c r="C26" s="75"/>
      <c r="D26" s="75"/>
      <c r="E26" s="70"/>
      <c r="F26" s="70"/>
      <c r="G26" s="58">
        <f>C26*D26%</f>
        <v>0</v>
      </c>
      <c r="H26" s="67"/>
      <c r="I26" s="197"/>
      <c r="J26" s="55"/>
      <c r="K26" s="75"/>
      <c r="L26" s="75"/>
      <c r="M26" s="70"/>
      <c r="N26" s="70"/>
      <c r="O26" s="58">
        <f>K26*L26%</f>
        <v>0</v>
      </c>
      <c r="Q26" s="197"/>
      <c r="R26" s="55"/>
      <c r="S26" s="75"/>
      <c r="T26" s="75"/>
      <c r="U26" s="70"/>
      <c r="V26" s="70"/>
      <c r="W26" s="58">
        <f>S26*T26%</f>
        <v>0</v>
      </c>
      <c r="Y26" s="197"/>
      <c r="Z26" s="55"/>
      <c r="AA26" s="75"/>
      <c r="AB26" s="75"/>
      <c r="AC26" s="70"/>
      <c r="AD26" s="70"/>
      <c r="AE26" s="58">
        <f>AA26*AB26%</f>
        <v>0</v>
      </c>
      <c r="AG26" s="197"/>
      <c r="AH26" s="55"/>
      <c r="AI26" s="75"/>
      <c r="AJ26" s="75"/>
      <c r="AK26" s="70"/>
      <c r="AL26" s="70"/>
      <c r="AM26" s="58">
        <f>AI26*AJ26%</f>
        <v>0</v>
      </c>
      <c r="AO26" s="197"/>
      <c r="AP26" s="55"/>
      <c r="AQ26" s="75"/>
      <c r="AR26" s="75"/>
      <c r="AS26" s="70"/>
      <c r="AT26" s="70"/>
      <c r="AU26" s="58">
        <f>AQ26*AR26%</f>
        <v>0</v>
      </c>
      <c r="AW26" s="197"/>
      <c r="AX26" s="55"/>
      <c r="AY26" s="75"/>
      <c r="AZ26" s="75"/>
      <c r="BA26" s="70"/>
      <c r="BB26" s="70"/>
      <c r="BC26" s="58">
        <f>AY26*AZ26%</f>
        <v>0</v>
      </c>
      <c r="BE26" s="197"/>
      <c r="BF26" s="55"/>
      <c r="BG26" s="75"/>
      <c r="BH26" s="75"/>
      <c r="BI26" s="70"/>
      <c r="BJ26" s="70"/>
      <c r="BK26" s="58">
        <f>BG26*BH26%</f>
        <v>0</v>
      </c>
      <c r="BM26" s="197"/>
      <c r="BN26" s="55"/>
      <c r="BO26" s="75"/>
      <c r="BP26" s="75"/>
      <c r="BQ26" s="70"/>
      <c r="BR26" s="70"/>
      <c r="BS26" s="58">
        <f>BO26*BP26%</f>
        <v>0</v>
      </c>
      <c r="BU26" s="197"/>
      <c r="BV26" s="55"/>
      <c r="BW26" s="75"/>
      <c r="BX26" s="75"/>
      <c r="BY26" s="70"/>
      <c r="BZ26" s="70"/>
      <c r="CA26" s="58">
        <f>BW26*BX26%</f>
        <v>0</v>
      </c>
      <c r="CC26" s="197"/>
      <c r="CD26" s="55"/>
      <c r="CE26" s="75"/>
      <c r="CF26" s="75"/>
      <c r="CG26" s="70"/>
      <c r="CH26" s="70"/>
      <c r="CI26" s="58">
        <f>CE26*CF26%</f>
        <v>0</v>
      </c>
    </row>
    <row r="27" spans="1:87" ht="14.25" customHeight="1" x14ac:dyDescent="0.25">
      <c r="A27" s="195" t="s">
        <v>53</v>
      </c>
      <c r="B27" s="196"/>
      <c r="C27" s="196"/>
      <c r="D27" s="61"/>
      <c r="E27" s="62"/>
      <c r="F27" s="63"/>
      <c r="G27" s="64">
        <f>SUM(G21:G26)</f>
        <v>0</v>
      </c>
      <c r="H27" s="67"/>
      <c r="I27" s="195" t="s">
        <v>53</v>
      </c>
      <c r="J27" s="196"/>
      <c r="K27" s="196"/>
      <c r="L27" s="61"/>
      <c r="M27" s="62"/>
      <c r="N27" s="63"/>
      <c r="O27" s="64">
        <f>SUM(O21:O26)</f>
        <v>0</v>
      </c>
      <c r="Q27" s="195" t="s">
        <v>53</v>
      </c>
      <c r="R27" s="196"/>
      <c r="S27" s="196"/>
      <c r="T27" s="61"/>
      <c r="U27" s="62"/>
      <c r="V27" s="63"/>
      <c r="W27" s="64">
        <f>SUM(W21:W26)</f>
        <v>0</v>
      </c>
      <c r="Y27" s="195" t="s">
        <v>53</v>
      </c>
      <c r="Z27" s="196"/>
      <c r="AA27" s="196"/>
      <c r="AB27" s="61"/>
      <c r="AC27" s="62"/>
      <c r="AD27" s="63"/>
      <c r="AE27" s="64">
        <f>SUM(AE21:AE26)</f>
        <v>0</v>
      </c>
      <c r="AG27" s="195" t="s">
        <v>53</v>
      </c>
      <c r="AH27" s="196"/>
      <c r="AI27" s="196"/>
      <c r="AJ27" s="61"/>
      <c r="AK27" s="62"/>
      <c r="AL27" s="63"/>
      <c r="AM27" s="64">
        <f>SUM(AM21:AM26)</f>
        <v>0</v>
      </c>
      <c r="AO27" s="195" t="s">
        <v>53</v>
      </c>
      <c r="AP27" s="196"/>
      <c r="AQ27" s="196"/>
      <c r="AR27" s="61"/>
      <c r="AS27" s="62"/>
      <c r="AT27" s="63"/>
      <c r="AU27" s="64">
        <f>SUM(AU21:AU26)</f>
        <v>0</v>
      </c>
      <c r="AW27" s="195" t="s">
        <v>53</v>
      </c>
      <c r="AX27" s="196"/>
      <c r="AY27" s="196"/>
      <c r="AZ27" s="61"/>
      <c r="BA27" s="62"/>
      <c r="BB27" s="63"/>
      <c r="BC27" s="64">
        <f>SUM(BC21:BC26)</f>
        <v>0</v>
      </c>
      <c r="BE27" s="195" t="s">
        <v>53</v>
      </c>
      <c r="BF27" s="196"/>
      <c r="BG27" s="196"/>
      <c r="BH27" s="61"/>
      <c r="BI27" s="62"/>
      <c r="BJ27" s="63"/>
      <c r="BK27" s="64">
        <f>SUM(BK21:BK26)</f>
        <v>0</v>
      </c>
      <c r="BM27" s="195" t="s">
        <v>53</v>
      </c>
      <c r="BN27" s="196"/>
      <c r="BO27" s="196"/>
      <c r="BP27" s="61"/>
      <c r="BQ27" s="62"/>
      <c r="BR27" s="63"/>
      <c r="BS27" s="64">
        <f>SUM(BS21:BS26)</f>
        <v>0</v>
      </c>
      <c r="BU27" s="195" t="s">
        <v>53</v>
      </c>
      <c r="BV27" s="196"/>
      <c r="BW27" s="196"/>
      <c r="BX27" s="61"/>
      <c r="BY27" s="62"/>
      <c r="BZ27" s="63"/>
      <c r="CA27" s="64">
        <f>SUM(CA21:CA26)</f>
        <v>0</v>
      </c>
      <c r="CC27" s="195" t="s">
        <v>53</v>
      </c>
      <c r="CD27" s="196"/>
      <c r="CE27" s="196"/>
      <c r="CF27" s="61"/>
      <c r="CG27" s="62"/>
      <c r="CH27" s="63"/>
      <c r="CI27" s="64">
        <f>SUM(CI21:CI26)</f>
        <v>0</v>
      </c>
    </row>
    <row r="28" spans="1:87" ht="14.25" customHeight="1" x14ac:dyDescent="0.25">
      <c r="A28" s="197" t="s">
        <v>59</v>
      </c>
      <c r="B28" s="54" t="s">
        <v>52</v>
      </c>
      <c r="C28" s="75"/>
      <c r="D28" s="75"/>
      <c r="E28" s="57"/>
      <c r="F28" s="57"/>
      <c r="G28" s="58">
        <f>E28*F28%</f>
        <v>0</v>
      </c>
      <c r="H28" s="67"/>
      <c r="I28" s="197" t="s">
        <v>59</v>
      </c>
      <c r="J28" s="54" t="s">
        <v>52</v>
      </c>
      <c r="K28" s="75"/>
      <c r="L28" s="75"/>
      <c r="M28" s="57"/>
      <c r="N28" s="57"/>
      <c r="O28" s="58">
        <f>M28*N28%</f>
        <v>0</v>
      </c>
      <c r="Q28" s="197" t="s">
        <v>59</v>
      </c>
      <c r="R28" s="54" t="s">
        <v>52</v>
      </c>
      <c r="S28" s="75"/>
      <c r="T28" s="75"/>
      <c r="U28" s="57"/>
      <c r="V28" s="57"/>
      <c r="W28" s="58">
        <f>U28*V28%</f>
        <v>0</v>
      </c>
      <c r="Y28" s="197" t="s">
        <v>59</v>
      </c>
      <c r="Z28" s="54" t="s">
        <v>52</v>
      </c>
      <c r="AA28" s="75"/>
      <c r="AB28" s="75"/>
      <c r="AC28" s="57"/>
      <c r="AD28" s="57"/>
      <c r="AE28" s="58">
        <f>AC28*AD28%</f>
        <v>0</v>
      </c>
      <c r="AG28" s="197" t="s">
        <v>59</v>
      </c>
      <c r="AH28" s="54" t="s">
        <v>52</v>
      </c>
      <c r="AI28" s="75"/>
      <c r="AJ28" s="75"/>
      <c r="AK28" s="57"/>
      <c r="AL28" s="57"/>
      <c r="AM28" s="58">
        <f>AK28*AL28%</f>
        <v>0</v>
      </c>
      <c r="AO28" s="197" t="s">
        <v>59</v>
      </c>
      <c r="AP28" s="54" t="s">
        <v>52</v>
      </c>
      <c r="AQ28" s="75"/>
      <c r="AR28" s="75"/>
      <c r="AS28" s="57"/>
      <c r="AT28" s="57"/>
      <c r="AU28" s="58">
        <f>AS28*AT28%</f>
        <v>0</v>
      </c>
      <c r="AW28" s="197" t="s">
        <v>59</v>
      </c>
      <c r="AX28" s="54" t="s">
        <v>52</v>
      </c>
      <c r="AY28" s="75"/>
      <c r="AZ28" s="75"/>
      <c r="BA28" s="57"/>
      <c r="BB28" s="57"/>
      <c r="BC28" s="58">
        <f>BA28*BB28%</f>
        <v>0</v>
      </c>
      <c r="BE28" s="197" t="s">
        <v>59</v>
      </c>
      <c r="BF28" s="54" t="s">
        <v>52</v>
      </c>
      <c r="BG28" s="75"/>
      <c r="BH28" s="75"/>
      <c r="BI28" s="57"/>
      <c r="BJ28" s="57"/>
      <c r="BK28" s="58">
        <f>BI28*BJ28%</f>
        <v>0</v>
      </c>
      <c r="BM28" s="197" t="s">
        <v>59</v>
      </c>
      <c r="BN28" s="54" t="s">
        <v>52</v>
      </c>
      <c r="BO28" s="75"/>
      <c r="BP28" s="75"/>
      <c r="BQ28" s="57"/>
      <c r="BR28" s="57"/>
      <c r="BS28" s="58">
        <f>BQ28*BR28%</f>
        <v>0</v>
      </c>
      <c r="BU28" s="197" t="s">
        <v>59</v>
      </c>
      <c r="BV28" s="54" t="s">
        <v>52</v>
      </c>
      <c r="BW28" s="75"/>
      <c r="BX28" s="75"/>
      <c r="BY28" s="57"/>
      <c r="BZ28" s="57"/>
      <c r="CA28" s="58">
        <f>BY28*BZ28%</f>
        <v>0</v>
      </c>
      <c r="CC28" s="197" t="s">
        <v>59</v>
      </c>
      <c r="CD28" s="54" t="s">
        <v>52</v>
      </c>
      <c r="CE28" s="75"/>
      <c r="CF28" s="75"/>
      <c r="CG28" s="57"/>
      <c r="CH28" s="57"/>
      <c r="CI28" s="58">
        <f>CG28*CH28%</f>
        <v>0</v>
      </c>
    </row>
    <row r="29" spans="1:87" ht="14.25" customHeight="1" x14ac:dyDescent="0.25">
      <c r="A29" s="197"/>
      <c r="B29" s="59"/>
      <c r="C29" s="75"/>
      <c r="D29" s="75"/>
      <c r="E29" s="57"/>
      <c r="F29" s="57"/>
      <c r="G29" s="58">
        <f>E29*F29%</f>
        <v>0</v>
      </c>
      <c r="H29" s="67"/>
      <c r="I29" s="197"/>
      <c r="J29" s="59"/>
      <c r="K29" s="75"/>
      <c r="L29" s="75"/>
      <c r="M29" s="57"/>
      <c r="N29" s="57"/>
      <c r="O29" s="58">
        <f>M29*N29%</f>
        <v>0</v>
      </c>
      <c r="Q29" s="197"/>
      <c r="R29" s="59"/>
      <c r="S29" s="75"/>
      <c r="T29" s="75"/>
      <c r="U29" s="57"/>
      <c r="V29" s="57"/>
      <c r="W29" s="58">
        <f>U29*V29%</f>
        <v>0</v>
      </c>
      <c r="Y29" s="197"/>
      <c r="Z29" s="59"/>
      <c r="AA29" s="75"/>
      <c r="AB29" s="75"/>
      <c r="AC29" s="57"/>
      <c r="AD29" s="57"/>
      <c r="AE29" s="58">
        <f>AC29*AD29%</f>
        <v>0</v>
      </c>
      <c r="AG29" s="197"/>
      <c r="AH29" s="59"/>
      <c r="AI29" s="75"/>
      <c r="AJ29" s="75"/>
      <c r="AK29" s="57"/>
      <c r="AL29" s="57"/>
      <c r="AM29" s="58">
        <f>AK29*AL29%</f>
        <v>0</v>
      </c>
      <c r="AO29" s="197"/>
      <c r="AP29" s="59"/>
      <c r="AQ29" s="75"/>
      <c r="AR29" s="75"/>
      <c r="AS29" s="57"/>
      <c r="AT29" s="57"/>
      <c r="AU29" s="58">
        <f>AS29*AT29%</f>
        <v>0</v>
      </c>
      <c r="AW29" s="197"/>
      <c r="AX29" s="59"/>
      <c r="AY29" s="75"/>
      <c r="AZ29" s="75"/>
      <c r="BA29" s="57"/>
      <c r="BB29" s="57"/>
      <c r="BC29" s="58">
        <f>BA29*BB29%</f>
        <v>0</v>
      </c>
      <c r="BE29" s="197"/>
      <c r="BF29" s="59"/>
      <c r="BG29" s="75"/>
      <c r="BH29" s="75"/>
      <c r="BI29" s="57"/>
      <c r="BJ29" s="57"/>
      <c r="BK29" s="58">
        <f>BI29*BJ29%</f>
        <v>0</v>
      </c>
      <c r="BM29" s="197"/>
      <c r="BN29" s="59"/>
      <c r="BO29" s="75"/>
      <c r="BP29" s="75"/>
      <c r="BQ29" s="57"/>
      <c r="BR29" s="57"/>
      <c r="BS29" s="58">
        <f>BQ29*BR29%</f>
        <v>0</v>
      </c>
      <c r="BU29" s="197"/>
      <c r="BV29" s="59"/>
      <c r="BW29" s="75"/>
      <c r="BX29" s="75"/>
      <c r="BY29" s="57"/>
      <c r="BZ29" s="57"/>
      <c r="CA29" s="58">
        <f>BY29*BZ29%</f>
        <v>0</v>
      </c>
      <c r="CC29" s="197"/>
      <c r="CD29" s="59"/>
      <c r="CE29" s="75"/>
      <c r="CF29" s="75"/>
      <c r="CG29" s="57"/>
      <c r="CH29" s="57"/>
      <c r="CI29" s="58">
        <f>CG29*CH29%</f>
        <v>0</v>
      </c>
    </row>
    <row r="30" spans="1:87" ht="14.25" customHeight="1" x14ac:dyDescent="0.25">
      <c r="A30" s="195" t="s">
        <v>53</v>
      </c>
      <c r="B30" s="196"/>
      <c r="C30" s="196"/>
      <c r="D30" s="61"/>
      <c r="E30" s="62"/>
      <c r="F30" s="63"/>
      <c r="G30" s="64">
        <f>SUM(G28:G29)</f>
        <v>0</v>
      </c>
      <c r="H30" s="67"/>
      <c r="I30" s="195" t="s">
        <v>53</v>
      </c>
      <c r="J30" s="196"/>
      <c r="K30" s="196"/>
      <c r="L30" s="61"/>
      <c r="M30" s="62"/>
      <c r="N30" s="63"/>
      <c r="O30" s="64">
        <f>SUM(O28:O29)</f>
        <v>0</v>
      </c>
      <c r="Q30" s="195" t="s">
        <v>53</v>
      </c>
      <c r="R30" s="196"/>
      <c r="S30" s="196"/>
      <c r="T30" s="61"/>
      <c r="U30" s="62"/>
      <c r="V30" s="63"/>
      <c r="W30" s="64">
        <f>SUM(W28:W29)</f>
        <v>0</v>
      </c>
      <c r="Y30" s="195" t="s">
        <v>53</v>
      </c>
      <c r="Z30" s="196"/>
      <c r="AA30" s="196"/>
      <c r="AB30" s="61"/>
      <c r="AC30" s="62"/>
      <c r="AD30" s="63"/>
      <c r="AE30" s="64">
        <f>SUM(AE28:AE29)</f>
        <v>0</v>
      </c>
      <c r="AG30" s="195" t="s">
        <v>53</v>
      </c>
      <c r="AH30" s="196"/>
      <c r="AI30" s="196"/>
      <c r="AJ30" s="61"/>
      <c r="AK30" s="62"/>
      <c r="AL30" s="63"/>
      <c r="AM30" s="64">
        <f>SUM(AM28:AM29)</f>
        <v>0</v>
      </c>
      <c r="AO30" s="195" t="s">
        <v>53</v>
      </c>
      <c r="AP30" s="196"/>
      <c r="AQ30" s="196"/>
      <c r="AR30" s="61"/>
      <c r="AS30" s="62"/>
      <c r="AT30" s="63"/>
      <c r="AU30" s="64">
        <f>SUM(AU28:AU29)</f>
        <v>0</v>
      </c>
      <c r="AW30" s="195" t="s">
        <v>53</v>
      </c>
      <c r="AX30" s="196"/>
      <c r="AY30" s="196"/>
      <c r="AZ30" s="61"/>
      <c r="BA30" s="62"/>
      <c r="BB30" s="63"/>
      <c r="BC30" s="64">
        <f>SUM(BC28:BC29)</f>
        <v>0</v>
      </c>
      <c r="BE30" s="195" t="s">
        <v>53</v>
      </c>
      <c r="BF30" s="196"/>
      <c r="BG30" s="196"/>
      <c r="BH30" s="61"/>
      <c r="BI30" s="62"/>
      <c r="BJ30" s="63"/>
      <c r="BK30" s="64">
        <f>SUM(BK28:BK29)</f>
        <v>0</v>
      </c>
      <c r="BM30" s="195" t="s">
        <v>53</v>
      </c>
      <c r="BN30" s="196"/>
      <c r="BO30" s="196"/>
      <c r="BP30" s="61"/>
      <c r="BQ30" s="62"/>
      <c r="BR30" s="63"/>
      <c r="BS30" s="64">
        <f>SUM(BS28:BS29)</f>
        <v>0</v>
      </c>
      <c r="BU30" s="195" t="s">
        <v>53</v>
      </c>
      <c r="BV30" s="196"/>
      <c r="BW30" s="196"/>
      <c r="BX30" s="61"/>
      <c r="BY30" s="62"/>
      <c r="BZ30" s="63"/>
      <c r="CA30" s="64">
        <f>SUM(CA28:CA29)</f>
        <v>0</v>
      </c>
      <c r="CC30" s="195" t="s">
        <v>53</v>
      </c>
      <c r="CD30" s="196"/>
      <c r="CE30" s="196"/>
      <c r="CF30" s="61"/>
      <c r="CG30" s="62"/>
      <c r="CH30" s="63"/>
      <c r="CI30" s="64">
        <f>SUM(CI28:CI29)</f>
        <v>0</v>
      </c>
    </row>
    <row r="31" spans="1:87" ht="14.25" customHeight="1" x14ac:dyDescent="0.25">
      <c r="A31" s="193" t="s">
        <v>60</v>
      </c>
      <c r="B31" s="194"/>
      <c r="C31" s="194"/>
      <c r="D31" s="76"/>
      <c r="E31" s="77"/>
      <c r="F31" s="77"/>
      <c r="G31" s="78">
        <f>SUM(G30,G27,G20)</f>
        <v>0</v>
      </c>
      <c r="I31" s="193" t="s">
        <v>60</v>
      </c>
      <c r="J31" s="194"/>
      <c r="K31" s="194"/>
      <c r="L31" s="76"/>
      <c r="M31" s="77"/>
      <c r="N31" s="77"/>
      <c r="O31" s="78">
        <f>SUM(O30,O27,O20)</f>
        <v>0</v>
      </c>
      <c r="Q31" s="193" t="s">
        <v>60</v>
      </c>
      <c r="R31" s="194"/>
      <c r="S31" s="194"/>
      <c r="T31" s="76"/>
      <c r="U31" s="77"/>
      <c r="V31" s="77"/>
      <c r="W31" s="78">
        <f>SUM(W30,W27,W20)</f>
        <v>0</v>
      </c>
      <c r="Y31" s="193" t="s">
        <v>60</v>
      </c>
      <c r="Z31" s="194"/>
      <c r="AA31" s="194"/>
      <c r="AB31" s="76"/>
      <c r="AC31" s="77"/>
      <c r="AD31" s="77"/>
      <c r="AE31" s="78">
        <f>SUM(AE30,AE27,AE20)</f>
        <v>0</v>
      </c>
      <c r="AG31" s="193" t="s">
        <v>60</v>
      </c>
      <c r="AH31" s="194"/>
      <c r="AI31" s="194"/>
      <c r="AJ31" s="76"/>
      <c r="AK31" s="77"/>
      <c r="AL31" s="77"/>
      <c r="AM31" s="78">
        <f>SUM(AM30,AM27,AM20)</f>
        <v>0</v>
      </c>
      <c r="AO31" s="193" t="s">
        <v>60</v>
      </c>
      <c r="AP31" s="194"/>
      <c r="AQ31" s="194"/>
      <c r="AR31" s="76"/>
      <c r="AS31" s="77"/>
      <c r="AT31" s="77"/>
      <c r="AU31" s="78">
        <f>SUM(AU30,AU27,AU20)</f>
        <v>0</v>
      </c>
      <c r="AW31" s="193" t="s">
        <v>60</v>
      </c>
      <c r="AX31" s="194"/>
      <c r="AY31" s="194"/>
      <c r="AZ31" s="76"/>
      <c r="BA31" s="77"/>
      <c r="BB31" s="77"/>
      <c r="BC31" s="78">
        <f>SUM(BC30,BC27,BC20)</f>
        <v>0</v>
      </c>
      <c r="BE31" s="193" t="s">
        <v>60</v>
      </c>
      <c r="BF31" s="194"/>
      <c r="BG31" s="194"/>
      <c r="BH31" s="76"/>
      <c r="BI31" s="77"/>
      <c r="BJ31" s="77"/>
      <c r="BK31" s="78">
        <f>SUM(BK30,BK27,BK20)</f>
        <v>0</v>
      </c>
      <c r="BM31" s="193" t="s">
        <v>60</v>
      </c>
      <c r="BN31" s="194"/>
      <c r="BO31" s="194"/>
      <c r="BP31" s="76"/>
      <c r="BQ31" s="77"/>
      <c r="BR31" s="77"/>
      <c r="BS31" s="78">
        <f>SUM(BS30,BS27,BS20)</f>
        <v>0</v>
      </c>
      <c r="BU31" s="193" t="s">
        <v>60</v>
      </c>
      <c r="BV31" s="194"/>
      <c r="BW31" s="194"/>
      <c r="BX31" s="76"/>
      <c r="BY31" s="77"/>
      <c r="BZ31" s="77"/>
      <c r="CA31" s="78">
        <f>SUM(CA30,CA27,CA20)</f>
        <v>0</v>
      </c>
      <c r="CC31" s="193" t="s">
        <v>60</v>
      </c>
      <c r="CD31" s="194"/>
      <c r="CE31" s="194"/>
      <c r="CF31" s="76"/>
      <c r="CG31" s="77"/>
      <c r="CH31" s="77"/>
      <c r="CI31" s="78">
        <f>SUM(CI30,CI27,CI20)</f>
        <v>0</v>
      </c>
    </row>
    <row r="32" spans="1:87" ht="14.25" customHeight="1" x14ac:dyDescent="0.25"/>
    <row r="33" spans="1:13" s="72" customFormat="1" ht="13.8" x14ac:dyDescent="0.25">
      <c r="A33" s="29" t="s">
        <v>61</v>
      </c>
      <c r="B33" s="30"/>
      <c r="C33" s="30"/>
      <c r="D33" s="30"/>
      <c r="E33" s="30"/>
      <c r="F33" s="30"/>
      <c r="G33" s="30"/>
      <c r="H33" s="30"/>
      <c r="I33" s="30"/>
      <c r="J33" s="30"/>
      <c r="K33" s="30"/>
      <c r="L33" s="31"/>
      <c r="M33" s="32"/>
    </row>
    <row r="34" spans="1:13" s="72" customFormat="1" ht="13.8" x14ac:dyDescent="0.25">
      <c r="A34" s="35"/>
      <c r="B34" s="36"/>
      <c r="C34" s="36"/>
      <c r="D34" s="36"/>
      <c r="E34" s="36"/>
      <c r="F34" s="36"/>
      <c r="G34" s="36"/>
      <c r="H34" s="36"/>
      <c r="I34" s="36"/>
      <c r="J34" s="36"/>
      <c r="K34" s="36"/>
      <c r="L34" s="37"/>
      <c r="M34" s="38"/>
    </row>
    <row r="35" spans="1:13" s="72" customFormat="1" ht="13.8" x14ac:dyDescent="0.25">
      <c r="A35" s="35"/>
      <c r="B35" s="36"/>
      <c r="C35" s="36"/>
      <c r="D35" s="36"/>
      <c r="E35" s="36"/>
      <c r="F35" s="36"/>
      <c r="G35" s="36"/>
      <c r="H35" s="36"/>
      <c r="I35" s="36"/>
      <c r="J35" s="36"/>
      <c r="K35" s="36"/>
      <c r="L35" s="37"/>
      <c r="M35" s="38"/>
    </row>
    <row r="36" spans="1:13" s="72" customFormat="1" ht="13.8" x14ac:dyDescent="0.25">
      <c r="A36" s="35"/>
      <c r="B36" s="36"/>
      <c r="C36" s="36"/>
      <c r="D36" s="36"/>
      <c r="E36" s="36"/>
      <c r="F36" s="36"/>
      <c r="G36" s="36"/>
      <c r="H36" s="36"/>
      <c r="I36" s="36"/>
      <c r="J36" s="36"/>
      <c r="K36" s="36"/>
      <c r="L36" s="37"/>
      <c r="M36" s="38"/>
    </row>
    <row r="37" spans="1:13" s="72" customFormat="1" ht="13.8" x14ac:dyDescent="0.25">
      <c r="A37" s="35"/>
      <c r="B37" s="36"/>
      <c r="C37" s="36"/>
      <c r="D37" s="36"/>
      <c r="E37" s="36"/>
      <c r="F37" s="36"/>
      <c r="G37" s="36"/>
      <c r="H37" s="36"/>
      <c r="I37" s="36"/>
      <c r="J37" s="36"/>
      <c r="K37" s="36"/>
      <c r="L37" s="37"/>
      <c r="M37" s="38"/>
    </row>
    <row r="38" spans="1:13" s="72" customFormat="1" ht="13.8" x14ac:dyDescent="0.25">
      <c r="A38" s="35"/>
      <c r="B38" s="36"/>
      <c r="C38" s="36"/>
      <c r="D38" s="36"/>
      <c r="E38" s="36"/>
      <c r="F38" s="36"/>
      <c r="G38" s="36"/>
      <c r="H38" s="36"/>
      <c r="I38" s="36"/>
      <c r="J38" s="36"/>
      <c r="K38" s="36"/>
      <c r="L38" s="37"/>
      <c r="M38" s="38"/>
    </row>
    <row r="39" spans="1:13" s="72" customFormat="1" ht="13.8" x14ac:dyDescent="0.25">
      <c r="A39" s="35"/>
      <c r="B39" s="36"/>
      <c r="C39" s="36"/>
      <c r="D39" s="36"/>
      <c r="E39" s="36"/>
      <c r="F39" s="36"/>
      <c r="G39" s="36"/>
      <c r="H39" s="36"/>
      <c r="I39" s="36"/>
      <c r="J39" s="36"/>
      <c r="K39" s="36"/>
      <c r="L39" s="37"/>
      <c r="M39" s="38"/>
    </row>
    <row r="40" spans="1:13" s="72" customFormat="1" ht="13.8" x14ac:dyDescent="0.25">
      <c r="A40" s="35"/>
      <c r="B40" s="36"/>
      <c r="C40" s="36"/>
      <c r="D40" s="36"/>
      <c r="E40" s="36"/>
      <c r="F40" s="36"/>
      <c r="G40" s="36"/>
      <c r="H40" s="36"/>
      <c r="I40" s="36"/>
      <c r="J40" s="36"/>
      <c r="K40" s="36"/>
      <c r="L40" s="37"/>
      <c r="M40" s="38"/>
    </row>
    <row r="41" spans="1:13" s="72" customFormat="1" ht="13.8" x14ac:dyDescent="0.25">
      <c r="A41" s="35"/>
      <c r="B41" s="36"/>
      <c r="C41" s="36"/>
      <c r="D41" s="36"/>
      <c r="E41" s="36"/>
      <c r="F41" s="36"/>
      <c r="G41" s="36"/>
      <c r="H41" s="36"/>
      <c r="I41" s="36"/>
      <c r="J41" s="36"/>
      <c r="K41" s="36"/>
      <c r="L41" s="37"/>
      <c r="M41" s="38"/>
    </row>
    <row r="42" spans="1:13" s="72" customFormat="1" ht="13.8" x14ac:dyDescent="0.25">
      <c r="A42" s="35"/>
      <c r="B42" s="36"/>
      <c r="C42" s="36"/>
      <c r="D42" s="36"/>
      <c r="E42" s="36"/>
      <c r="F42" s="36"/>
      <c r="G42" s="36"/>
      <c r="H42" s="36"/>
      <c r="I42" s="36"/>
      <c r="J42" s="36"/>
      <c r="K42" s="36"/>
      <c r="L42" s="37"/>
      <c r="M42" s="38"/>
    </row>
    <row r="43" spans="1:13" s="72" customFormat="1" ht="13.8" x14ac:dyDescent="0.25">
      <c r="A43" s="35"/>
      <c r="B43" s="36"/>
      <c r="C43" s="36"/>
      <c r="D43" s="36"/>
      <c r="E43" s="36"/>
      <c r="F43" s="36"/>
      <c r="G43" s="36"/>
      <c r="H43" s="36"/>
      <c r="I43" s="36"/>
      <c r="J43" s="36"/>
      <c r="K43" s="36"/>
      <c r="L43" s="37"/>
      <c r="M43" s="38"/>
    </row>
    <row r="44" spans="1:13" s="72" customFormat="1" ht="13.8" x14ac:dyDescent="0.25">
      <c r="A44" s="35"/>
      <c r="B44" s="36"/>
      <c r="C44" s="36"/>
      <c r="D44" s="36"/>
      <c r="E44" s="36"/>
      <c r="F44" s="36"/>
      <c r="G44" s="36"/>
      <c r="H44" s="36"/>
      <c r="I44" s="36"/>
      <c r="J44" s="36"/>
      <c r="K44" s="36"/>
      <c r="L44" s="37"/>
      <c r="M44" s="38"/>
    </row>
    <row r="45" spans="1:13" s="72" customFormat="1" ht="13.8" x14ac:dyDescent="0.25">
      <c r="A45" s="39"/>
      <c r="B45" s="40"/>
      <c r="C45" s="40"/>
      <c r="D45" s="40"/>
      <c r="E45" s="40"/>
      <c r="F45" s="40"/>
      <c r="G45" s="40"/>
      <c r="H45" s="40"/>
      <c r="I45" s="40"/>
      <c r="J45" s="40"/>
      <c r="K45" s="40"/>
      <c r="L45" s="41"/>
      <c r="M45" s="42"/>
    </row>
  </sheetData>
  <mergeCells count="99">
    <mergeCell ref="AO8:AU8"/>
    <mergeCell ref="A9:B9"/>
    <mergeCell ref="I9:J9"/>
    <mergeCell ref="Q9:R9"/>
    <mergeCell ref="Y9:Z9"/>
    <mergeCell ref="AG9:AH9"/>
    <mergeCell ref="A8:G8"/>
    <mergeCell ref="I8:O8"/>
    <mergeCell ref="Q8:W8"/>
    <mergeCell ref="Y8:AE8"/>
    <mergeCell ref="AG8:AM8"/>
    <mergeCell ref="AO9:AP9"/>
    <mergeCell ref="CC9:CD9"/>
    <mergeCell ref="AW8:BC8"/>
    <mergeCell ref="BE8:BK8"/>
    <mergeCell ref="BM8:BS8"/>
    <mergeCell ref="BU8:CA8"/>
    <mergeCell ref="CC8:CI8"/>
    <mergeCell ref="AW9:AX9"/>
    <mergeCell ref="BE9:BF9"/>
    <mergeCell ref="BM9:BN9"/>
    <mergeCell ref="BU9:BV9"/>
    <mergeCell ref="AO10:AO19"/>
    <mergeCell ref="A20:C20"/>
    <mergeCell ref="I20:K20"/>
    <mergeCell ref="Q20:S20"/>
    <mergeCell ref="Y20:AA20"/>
    <mergeCell ref="AG20:AI20"/>
    <mergeCell ref="A10:A19"/>
    <mergeCell ref="I10:I19"/>
    <mergeCell ref="Q10:Q19"/>
    <mergeCell ref="Y10:Y19"/>
    <mergeCell ref="AG10:AG19"/>
    <mergeCell ref="AO20:AQ20"/>
    <mergeCell ref="CC20:CE20"/>
    <mergeCell ref="AW10:AW19"/>
    <mergeCell ref="BE10:BE19"/>
    <mergeCell ref="BM10:BM19"/>
    <mergeCell ref="BU10:BU19"/>
    <mergeCell ref="CC10:CC19"/>
    <mergeCell ref="AW20:AY20"/>
    <mergeCell ref="BE20:BG20"/>
    <mergeCell ref="BM20:BO20"/>
    <mergeCell ref="BU20:BW20"/>
    <mergeCell ref="AO21:AO26"/>
    <mergeCell ref="A27:C27"/>
    <mergeCell ref="I27:K27"/>
    <mergeCell ref="Q27:S27"/>
    <mergeCell ref="Y27:AA27"/>
    <mergeCell ref="AG27:AI27"/>
    <mergeCell ref="A21:A26"/>
    <mergeCell ref="I21:I26"/>
    <mergeCell ref="Q21:Q26"/>
    <mergeCell ref="Y21:Y26"/>
    <mergeCell ref="AG21:AG26"/>
    <mergeCell ref="AO27:AQ27"/>
    <mergeCell ref="CC27:CE27"/>
    <mergeCell ref="AW21:AW26"/>
    <mergeCell ref="BE21:BE26"/>
    <mergeCell ref="BM21:BM26"/>
    <mergeCell ref="BU21:BU26"/>
    <mergeCell ref="CC21:CC26"/>
    <mergeCell ref="AW27:AY27"/>
    <mergeCell ref="BE27:BG27"/>
    <mergeCell ref="BM27:BO27"/>
    <mergeCell ref="BU27:BW27"/>
    <mergeCell ref="AO28:AO29"/>
    <mergeCell ref="A30:C30"/>
    <mergeCell ref="I30:K30"/>
    <mergeCell ref="Q30:S30"/>
    <mergeCell ref="Y30:AA30"/>
    <mergeCell ref="AG30:AI30"/>
    <mergeCell ref="A28:A29"/>
    <mergeCell ref="I28:I29"/>
    <mergeCell ref="Q28:Q29"/>
    <mergeCell ref="Y28:Y29"/>
    <mergeCell ref="AG28:AG29"/>
    <mergeCell ref="AO30:AQ30"/>
    <mergeCell ref="BU30:BW30"/>
    <mergeCell ref="CC30:CE30"/>
    <mergeCell ref="AW28:AW29"/>
    <mergeCell ref="BE28:BE29"/>
    <mergeCell ref="BM28:BM29"/>
    <mergeCell ref="BU28:BU29"/>
    <mergeCell ref="CC28:CC29"/>
    <mergeCell ref="AW30:AY30"/>
    <mergeCell ref="BE30:BG30"/>
    <mergeCell ref="BM30:BO30"/>
    <mergeCell ref="AW31:AY31"/>
    <mergeCell ref="BE31:BG31"/>
    <mergeCell ref="BM31:BO31"/>
    <mergeCell ref="BU31:BW31"/>
    <mergeCell ref="CC31:CE31"/>
    <mergeCell ref="AO31:AQ31"/>
    <mergeCell ref="A31:C31"/>
    <mergeCell ref="I31:K31"/>
    <mergeCell ref="Q31:S31"/>
    <mergeCell ref="Y31:AA31"/>
    <mergeCell ref="AG31:AI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dimension ref="A1:R81"/>
  <sheetViews>
    <sheetView topLeftCell="A21" workbookViewId="0">
      <selection activeCell="C50" sqref="C50:G51"/>
    </sheetView>
  </sheetViews>
  <sheetFormatPr defaultColWidth="9.109375" defaultRowHeight="13.2" x14ac:dyDescent="0.25"/>
  <cols>
    <col min="1" max="1" width="9.109375" style="6"/>
    <col min="2" max="2" width="27.88671875" style="6" customWidth="1"/>
    <col min="3" max="7" width="14.6640625" style="6" customWidth="1"/>
    <col min="8" max="8" width="11.109375" style="6" customWidth="1"/>
    <col min="9" max="16384" width="9.109375" style="6"/>
  </cols>
  <sheetData>
    <row r="1" spans="1:18" s="1" customFormat="1" ht="31.2" x14ac:dyDescent="0.45">
      <c r="A1" s="73" t="s">
        <v>62</v>
      </c>
      <c r="B1" s="106"/>
      <c r="C1" s="106"/>
      <c r="D1" s="106"/>
      <c r="E1" s="106"/>
      <c r="F1" s="106"/>
      <c r="G1" s="106"/>
      <c r="H1" s="50"/>
    </row>
    <row r="3" spans="1:18" s="5" customFormat="1" ht="15" customHeight="1" x14ac:dyDescent="0.25">
      <c r="A3" s="79" t="s">
        <v>27</v>
      </c>
      <c r="B3" s="1" t="s">
        <v>63</v>
      </c>
      <c r="C3" s="3"/>
      <c r="D3" s="4"/>
      <c r="E3" s="4"/>
      <c r="F3" s="4"/>
      <c r="G3" s="4"/>
    </row>
    <row r="4" spans="1:18" s="5" customFormat="1" ht="15" customHeight="1" x14ac:dyDescent="0.25">
      <c r="A4" s="79"/>
      <c r="B4" s="7" t="s">
        <v>64</v>
      </c>
      <c r="C4" s="3"/>
      <c r="D4" s="4"/>
      <c r="E4" s="4"/>
      <c r="F4" s="4"/>
      <c r="G4" s="4"/>
    </row>
    <row r="5" spans="1:18" s="5" customFormat="1" ht="15" customHeight="1" x14ac:dyDescent="0.25">
      <c r="A5" s="79"/>
      <c r="B5" s="7" t="s">
        <v>65</v>
      </c>
      <c r="C5" s="3"/>
      <c r="D5" s="4"/>
      <c r="E5" s="4"/>
      <c r="F5" s="4"/>
      <c r="G5" s="4"/>
    </row>
    <row r="6" spans="1:18" s="5" customFormat="1" ht="15" customHeight="1" x14ac:dyDescent="0.25">
      <c r="A6" s="79"/>
      <c r="B6" s="7" t="s">
        <v>66</v>
      </c>
      <c r="C6" s="3"/>
      <c r="D6" s="4"/>
      <c r="E6" s="4"/>
      <c r="F6" s="4"/>
      <c r="G6" s="4"/>
    </row>
    <row r="8" spans="1:18" ht="27" customHeight="1" x14ac:dyDescent="0.25">
      <c r="A8" s="212" t="s">
        <v>67</v>
      </c>
      <c r="B8" s="212"/>
      <c r="C8" s="213" t="s">
        <v>68</v>
      </c>
      <c r="D8" s="214"/>
      <c r="E8" s="214"/>
      <c r="F8" s="214"/>
      <c r="G8" s="215"/>
      <c r="H8" s="80"/>
    </row>
    <row r="9" spans="1:18" ht="48.75" customHeight="1" x14ac:dyDescent="0.25">
      <c r="A9" s="212"/>
      <c r="B9" s="212"/>
      <c r="C9" s="216" t="s">
        <v>69</v>
      </c>
      <c r="D9" s="216" t="s">
        <v>70</v>
      </c>
      <c r="E9" s="216" t="s">
        <v>71</v>
      </c>
      <c r="F9" s="216" t="s">
        <v>72</v>
      </c>
      <c r="G9" s="218" t="s">
        <v>73</v>
      </c>
    </row>
    <row r="10" spans="1:18" ht="15.75" customHeight="1" x14ac:dyDescent="0.25">
      <c r="A10" s="212"/>
      <c r="B10" s="212"/>
      <c r="C10" s="217"/>
      <c r="D10" s="217"/>
      <c r="E10" s="217"/>
      <c r="F10" s="217"/>
      <c r="G10" s="218"/>
    </row>
    <row r="11" spans="1:18" ht="21.75" customHeight="1" x14ac:dyDescent="0.25">
      <c r="A11" s="219" t="s">
        <v>74</v>
      </c>
      <c r="B11" s="219"/>
      <c r="C11" s="219"/>
      <c r="D11" s="219"/>
      <c r="E11" s="219"/>
      <c r="F11" s="219"/>
      <c r="G11" s="220"/>
      <c r="J11" s="81">
        <f>20/60*1.2</f>
        <v>0.39999999999999997</v>
      </c>
    </row>
    <row r="12" spans="1:18" s="81" customFormat="1" ht="27" customHeight="1" x14ac:dyDescent="0.25">
      <c r="A12" s="208" t="s">
        <v>75</v>
      </c>
      <c r="B12" s="208"/>
      <c r="C12" s="209" t="s">
        <v>76</v>
      </c>
      <c r="D12" s="210"/>
      <c r="E12" s="210"/>
      <c r="F12" s="210"/>
      <c r="G12" s="211"/>
      <c r="I12" s="176" t="s">
        <v>195</v>
      </c>
      <c r="J12" s="176" t="s">
        <v>127</v>
      </c>
      <c r="K12" s="176" t="s">
        <v>195</v>
      </c>
      <c r="L12" s="176" t="s">
        <v>127</v>
      </c>
      <c r="M12" s="176" t="s">
        <v>195</v>
      </c>
      <c r="N12" s="176" t="s">
        <v>127</v>
      </c>
      <c r="O12" s="176" t="s">
        <v>195</v>
      </c>
      <c r="P12" s="176" t="s">
        <v>127</v>
      </c>
      <c r="Q12" s="176" t="s">
        <v>195</v>
      </c>
      <c r="R12" s="176" t="s">
        <v>127</v>
      </c>
    </row>
    <row r="13" spans="1:18" ht="18" customHeight="1" x14ac:dyDescent="0.25">
      <c r="A13" s="207" t="s">
        <v>77</v>
      </c>
      <c r="B13" s="207"/>
      <c r="C13" s="82">
        <f>34+671</f>
        <v>705</v>
      </c>
      <c r="D13" s="82">
        <f>45+813</f>
        <v>858</v>
      </c>
      <c r="E13" s="82">
        <f>14+458</f>
        <v>472</v>
      </c>
      <c r="F13" s="82">
        <f>44+902</f>
        <v>946</v>
      </c>
      <c r="G13" s="83">
        <v>705</v>
      </c>
      <c r="H13" s="6">
        <v>0.5</v>
      </c>
      <c r="I13" s="177">
        <f>H13*C13</f>
        <v>352.5</v>
      </c>
      <c r="J13" s="177">
        <f>(H13*$C$13)*J11</f>
        <v>141</v>
      </c>
      <c r="K13" s="178">
        <f>D13*H13</f>
        <v>429</v>
      </c>
      <c r="L13" s="178">
        <f>K13*$J$11</f>
        <v>171.6</v>
      </c>
      <c r="M13" s="177">
        <f>E13*H13</f>
        <v>236</v>
      </c>
      <c r="N13" s="177">
        <f>M13*$J$11</f>
        <v>94.399999999999991</v>
      </c>
      <c r="O13" s="178">
        <f>H13*F13</f>
        <v>473</v>
      </c>
      <c r="P13" s="178">
        <f>O13*$J$11</f>
        <v>189.2</v>
      </c>
      <c r="Q13" s="177">
        <f>H13*G13</f>
        <v>352.5</v>
      </c>
      <c r="R13" s="177">
        <f>Q13*$J$11</f>
        <v>141</v>
      </c>
    </row>
    <row r="14" spans="1:18" ht="18" customHeight="1" x14ac:dyDescent="0.25">
      <c r="A14" s="207" t="s">
        <v>78</v>
      </c>
      <c r="B14" s="207"/>
      <c r="C14" s="82">
        <v>324</v>
      </c>
      <c r="D14" s="82">
        <v>419</v>
      </c>
      <c r="E14" s="82">
        <v>141</v>
      </c>
      <c r="F14" s="82">
        <v>419</v>
      </c>
      <c r="G14" s="83">
        <v>324</v>
      </c>
      <c r="H14" s="6">
        <v>1.25</v>
      </c>
      <c r="I14" s="177">
        <f t="shared" ref="I14:I17" si="0">H14*C14</f>
        <v>405</v>
      </c>
      <c r="J14" s="177">
        <f>(H14*$C$14)*J11</f>
        <v>162</v>
      </c>
      <c r="K14" s="178">
        <f t="shared" ref="K14:K17" si="1">D14*H14</f>
        <v>523.75</v>
      </c>
      <c r="L14" s="178">
        <f t="shared" ref="L14:L17" si="2">K14*$J$11</f>
        <v>209.49999999999997</v>
      </c>
      <c r="M14" s="177">
        <f t="shared" ref="M14:M17" si="3">E14*H14</f>
        <v>176.25</v>
      </c>
      <c r="N14" s="177">
        <f t="shared" ref="N14:N17" si="4">M14*$J$11</f>
        <v>70.5</v>
      </c>
      <c r="O14" s="178">
        <f t="shared" ref="O14:O17" si="5">H14*F14</f>
        <v>523.75</v>
      </c>
      <c r="P14" s="178">
        <f t="shared" ref="P14:P17" si="6">O14*$J$11</f>
        <v>209.49999999999997</v>
      </c>
      <c r="Q14" s="177">
        <f t="shared" ref="Q14:Q17" si="7">H14*G14</f>
        <v>405</v>
      </c>
      <c r="R14" s="177">
        <f t="shared" ref="R14:R17" si="8">Q14*$J$11</f>
        <v>162</v>
      </c>
    </row>
    <row r="15" spans="1:18" ht="18" customHeight="1" x14ac:dyDescent="0.25">
      <c r="A15" s="207" t="s">
        <v>79</v>
      </c>
      <c r="B15" s="207"/>
      <c r="C15" s="82">
        <v>498</v>
      </c>
      <c r="D15" s="82">
        <v>663</v>
      </c>
      <c r="E15" s="82">
        <v>640</v>
      </c>
      <c r="F15" s="82">
        <v>206</v>
      </c>
      <c r="G15" s="83">
        <v>498</v>
      </c>
      <c r="H15" s="6">
        <v>1</v>
      </c>
      <c r="I15" s="177">
        <f t="shared" si="0"/>
        <v>498</v>
      </c>
      <c r="J15" s="177">
        <f>(H15*$C$15)*J11</f>
        <v>199.2</v>
      </c>
      <c r="K15" s="178">
        <f t="shared" si="1"/>
        <v>663</v>
      </c>
      <c r="L15" s="178">
        <f t="shared" si="2"/>
        <v>265.2</v>
      </c>
      <c r="M15" s="177">
        <f t="shared" si="3"/>
        <v>640</v>
      </c>
      <c r="N15" s="177">
        <f t="shared" si="4"/>
        <v>255.99999999999997</v>
      </c>
      <c r="O15" s="178">
        <f t="shared" si="5"/>
        <v>206</v>
      </c>
      <c r="P15" s="178">
        <f t="shared" si="6"/>
        <v>82.399999999999991</v>
      </c>
      <c r="Q15" s="177">
        <f t="shared" si="7"/>
        <v>498</v>
      </c>
      <c r="R15" s="177">
        <f t="shared" si="8"/>
        <v>199.2</v>
      </c>
    </row>
    <row r="16" spans="1:18" ht="18" customHeight="1" x14ac:dyDescent="0.25">
      <c r="A16" s="207" t="s">
        <v>80</v>
      </c>
      <c r="B16" s="207"/>
      <c r="C16" s="82">
        <v>125</v>
      </c>
      <c r="D16" s="82">
        <v>131</v>
      </c>
      <c r="E16" s="82">
        <v>86</v>
      </c>
      <c r="F16" s="82">
        <v>145</v>
      </c>
      <c r="G16" s="83">
        <v>125</v>
      </c>
      <c r="H16" s="6">
        <v>0.5</v>
      </c>
      <c r="I16" s="177">
        <f t="shared" si="0"/>
        <v>62.5</v>
      </c>
      <c r="J16" s="177">
        <f>H16*$C$16*J11</f>
        <v>24.999999999999996</v>
      </c>
      <c r="K16" s="178">
        <f t="shared" si="1"/>
        <v>65.5</v>
      </c>
      <c r="L16" s="178">
        <f t="shared" si="2"/>
        <v>26.2</v>
      </c>
      <c r="M16" s="177">
        <f t="shared" si="3"/>
        <v>43</v>
      </c>
      <c r="N16" s="177">
        <f t="shared" si="4"/>
        <v>17.2</v>
      </c>
      <c r="O16" s="178">
        <f t="shared" si="5"/>
        <v>72.5</v>
      </c>
      <c r="P16" s="178">
        <f t="shared" si="6"/>
        <v>28.999999999999996</v>
      </c>
      <c r="Q16" s="177">
        <f t="shared" si="7"/>
        <v>62.5</v>
      </c>
      <c r="R16" s="177">
        <f t="shared" si="8"/>
        <v>24.999999999999996</v>
      </c>
    </row>
    <row r="17" spans="1:18" ht="18" customHeight="1" x14ac:dyDescent="0.25">
      <c r="A17" s="207" t="s">
        <v>81</v>
      </c>
      <c r="B17" s="207"/>
      <c r="C17" s="83">
        <v>0</v>
      </c>
      <c r="D17" s="83">
        <v>0</v>
      </c>
      <c r="E17" s="83">
        <v>0</v>
      </c>
      <c r="F17" s="83">
        <v>0</v>
      </c>
      <c r="G17" s="83">
        <v>0</v>
      </c>
      <c r="I17" s="177">
        <f t="shared" si="0"/>
        <v>0</v>
      </c>
      <c r="J17" s="177">
        <f>H17*C17</f>
        <v>0</v>
      </c>
      <c r="K17" s="178">
        <f t="shared" si="1"/>
        <v>0</v>
      </c>
      <c r="L17" s="178">
        <f t="shared" si="2"/>
        <v>0</v>
      </c>
      <c r="M17" s="177">
        <f t="shared" si="3"/>
        <v>0</v>
      </c>
      <c r="N17" s="177">
        <f t="shared" si="4"/>
        <v>0</v>
      </c>
      <c r="O17" s="178">
        <f t="shared" si="5"/>
        <v>0</v>
      </c>
      <c r="P17" s="178">
        <f t="shared" si="6"/>
        <v>0</v>
      </c>
      <c r="Q17" s="177">
        <f t="shared" si="7"/>
        <v>0</v>
      </c>
      <c r="R17" s="177">
        <f t="shared" si="8"/>
        <v>0</v>
      </c>
    </row>
    <row r="18" spans="1:18" ht="18" customHeight="1" x14ac:dyDescent="0.25">
      <c r="A18" s="203" t="s">
        <v>82</v>
      </c>
      <c r="B18" s="203"/>
      <c r="C18" s="84">
        <f t="shared" ref="C18:G18" si="9">SUM(C13:C17)</f>
        <v>1652</v>
      </c>
      <c r="D18" s="84">
        <f t="shared" si="9"/>
        <v>2071</v>
      </c>
      <c r="E18" s="84">
        <f t="shared" si="9"/>
        <v>1339</v>
      </c>
      <c r="F18" s="84">
        <f t="shared" si="9"/>
        <v>1716</v>
      </c>
      <c r="G18" s="84">
        <f t="shared" si="9"/>
        <v>1652</v>
      </c>
      <c r="I18" s="179">
        <f t="shared" ref="I18:R18" si="10">SUM(I13:I17)</f>
        <v>1318</v>
      </c>
      <c r="J18" s="179">
        <f t="shared" si="10"/>
        <v>527.19999999999993</v>
      </c>
      <c r="K18" s="180">
        <f t="shared" si="10"/>
        <v>1681.25</v>
      </c>
      <c r="L18" s="180">
        <f t="shared" si="10"/>
        <v>672.5</v>
      </c>
      <c r="M18" s="179">
        <f t="shared" si="10"/>
        <v>1095.25</v>
      </c>
      <c r="N18" s="179">
        <f t="shared" si="10"/>
        <v>438.09999999999997</v>
      </c>
      <c r="O18" s="180">
        <f t="shared" si="10"/>
        <v>1275.25</v>
      </c>
      <c r="P18" s="180">
        <f t="shared" si="10"/>
        <v>510.09999999999991</v>
      </c>
      <c r="Q18" s="179">
        <f t="shared" si="10"/>
        <v>1318</v>
      </c>
      <c r="R18" s="179">
        <f t="shared" si="10"/>
        <v>527.19999999999993</v>
      </c>
    </row>
    <row r="19" spans="1:18" s="5" customFormat="1" ht="18" customHeight="1" x14ac:dyDescent="0.25">
      <c r="A19" s="204" t="s">
        <v>83</v>
      </c>
      <c r="B19" s="204"/>
      <c r="C19" s="85">
        <f>I18</f>
        <v>1318</v>
      </c>
      <c r="D19" s="85">
        <f>K18</f>
        <v>1681.25</v>
      </c>
      <c r="E19" s="85">
        <f>M18</f>
        <v>1095.25</v>
      </c>
      <c r="F19" s="85">
        <f>O18</f>
        <v>1275.25</v>
      </c>
      <c r="G19" s="85">
        <f>Q18</f>
        <v>1318</v>
      </c>
    </row>
    <row r="20" spans="1:18" s="5" customFormat="1" ht="18" customHeight="1" x14ac:dyDescent="0.25">
      <c r="A20" s="204" t="s">
        <v>84</v>
      </c>
      <c r="B20" s="204"/>
      <c r="C20" s="86">
        <v>0.39999999999999997</v>
      </c>
      <c r="D20" s="86">
        <v>0.39999999999999997</v>
      </c>
      <c r="E20" s="86">
        <v>0.39999999999999997</v>
      </c>
      <c r="F20" s="86">
        <v>0.39999999999999997</v>
      </c>
      <c r="G20" s="86">
        <v>0.39999999999999997</v>
      </c>
    </row>
    <row r="21" spans="1:18" ht="18" customHeight="1" x14ac:dyDescent="0.25">
      <c r="A21" s="205" t="s">
        <v>85</v>
      </c>
      <c r="B21" s="205"/>
      <c r="C21" s="87">
        <f t="shared" ref="C21:G21" si="11">C20*C19</f>
        <v>527.19999999999993</v>
      </c>
      <c r="D21" s="87">
        <f t="shared" si="11"/>
        <v>672.5</v>
      </c>
      <c r="E21" s="87">
        <f t="shared" si="11"/>
        <v>438.09999999999997</v>
      </c>
      <c r="F21" s="87">
        <f t="shared" si="11"/>
        <v>510.09999999999997</v>
      </c>
      <c r="G21" s="88">
        <f t="shared" si="11"/>
        <v>527.19999999999993</v>
      </c>
    </row>
    <row r="22" spans="1:18" s="81" customFormat="1" ht="28.5" customHeight="1" x14ac:dyDescent="0.25">
      <c r="A22" s="208" t="s">
        <v>86</v>
      </c>
      <c r="B22" s="208"/>
      <c r="C22" s="209" t="s">
        <v>76</v>
      </c>
      <c r="D22" s="210"/>
      <c r="E22" s="210"/>
      <c r="F22" s="210"/>
      <c r="G22" s="211"/>
      <c r="I22" s="176" t="s">
        <v>195</v>
      </c>
      <c r="J22" s="176" t="s">
        <v>127</v>
      </c>
      <c r="K22" s="176" t="s">
        <v>195</v>
      </c>
      <c r="L22" s="176" t="s">
        <v>127</v>
      </c>
      <c r="M22" s="176" t="s">
        <v>195</v>
      </c>
      <c r="N22" s="176" t="s">
        <v>127</v>
      </c>
      <c r="O22" s="176" t="s">
        <v>195</v>
      </c>
      <c r="P22" s="176" t="s">
        <v>127</v>
      </c>
      <c r="Q22" s="176" t="s">
        <v>195</v>
      </c>
      <c r="R22" s="176" t="s">
        <v>127</v>
      </c>
    </row>
    <row r="23" spans="1:18" ht="18" customHeight="1" x14ac:dyDescent="0.25">
      <c r="A23" s="207" t="s">
        <v>77</v>
      </c>
      <c r="B23" s="207"/>
      <c r="C23" s="83">
        <v>112</v>
      </c>
      <c r="D23" s="83">
        <v>121</v>
      </c>
      <c r="E23" s="83">
        <v>181</v>
      </c>
      <c r="F23" s="83">
        <v>193</v>
      </c>
      <c r="G23" s="83">
        <v>136</v>
      </c>
      <c r="H23" s="6">
        <v>0.5</v>
      </c>
      <c r="I23" s="177">
        <f>H23*C23</f>
        <v>56</v>
      </c>
      <c r="J23" s="177">
        <f>I23*$J$11</f>
        <v>22.4</v>
      </c>
      <c r="K23" s="178">
        <f>D23*H23</f>
        <v>60.5</v>
      </c>
      <c r="L23" s="178">
        <f>K23*$J$11</f>
        <v>24.2</v>
      </c>
      <c r="M23" s="177">
        <f>E23*H23</f>
        <v>90.5</v>
      </c>
      <c r="N23" s="177">
        <f>M23*$J$11</f>
        <v>36.199999999999996</v>
      </c>
      <c r="O23" s="178">
        <f>H23*F23</f>
        <v>96.5</v>
      </c>
      <c r="P23" s="178">
        <f>O23*$J$11</f>
        <v>38.599999999999994</v>
      </c>
      <c r="Q23" s="177">
        <f>H23*G23</f>
        <v>68</v>
      </c>
      <c r="R23" s="177">
        <f>Q23*$J$11</f>
        <v>27.2</v>
      </c>
    </row>
    <row r="24" spans="1:18" ht="18" customHeight="1" x14ac:dyDescent="0.25">
      <c r="A24" s="207" t="s">
        <v>78</v>
      </c>
      <c r="B24" s="207"/>
      <c r="C24" s="83">
        <v>226</v>
      </c>
      <c r="D24" s="83">
        <v>232</v>
      </c>
      <c r="E24" s="83">
        <v>404</v>
      </c>
      <c r="F24" s="83">
        <v>364</v>
      </c>
      <c r="G24" s="83">
        <v>232</v>
      </c>
      <c r="H24" s="6">
        <v>1.25</v>
      </c>
      <c r="I24" s="177">
        <f t="shared" ref="I24:I27" si="12">H24*C24</f>
        <v>282.5</v>
      </c>
      <c r="J24" s="177">
        <f t="shared" ref="J24:J27" si="13">I24*$J$11</f>
        <v>112.99999999999999</v>
      </c>
      <c r="K24" s="178">
        <f t="shared" ref="K24:K27" si="14">D24*H24</f>
        <v>290</v>
      </c>
      <c r="L24" s="178">
        <f t="shared" ref="L24:L27" si="15">K24*$J$11</f>
        <v>115.99999999999999</v>
      </c>
      <c r="M24" s="177">
        <f t="shared" ref="M24:M27" si="16">E24*H24</f>
        <v>505</v>
      </c>
      <c r="N24" s="177">
        <f t="shared" ref="N24:N27" si="17">M24*$J$11</f>
        <v>201.99999999999997</v>
      </c>
      <c r="O24" s="178">
        <f t="shared" ref="O24:O27" si="18">H24*F24</f>
        <v>455</v>
      </c>
      <c r="P24" s="178">
        <f t="shared" ref="P24:P27" si="19">O24*$J$11</f>
        <v>181.99999999999997</v>
      </c>
      <c r="Q24" s="177">
        <f t="shared" ref="Q24:Q27" si="20">H24*G24</f>
        <v>290</v>
      </c>
      <c r="R24" s="177">
        <f t="shared" ref="R24:R27" si="21">Q24*$J$11</f>
        <v>115.99999999999999</v>
      </c>
    </row>
    <row r="25" spans="1:18" ht="18" customHeight="1" x14ac:dyDescent="0.25">
      <c r="A25" s="207" t="s">
        <v>79</v>
      </c>
      <c r="B25" s="207"/>
      <c r="C25" s="83">
        <v>140</v>
      </c>
      <c r="D25" s="83">
        <v>152</v>
      </c>
      <c r="E25" s="83">
        <v>232</v>
      </c>
      <c r="F25" s="83">
        <v>248</v>
      </c>
      <c r="G25" s="83">
        <v>172</v>
      </c>
      <c r="H25" s="6">
        <v>1</v>
      </c>
      <c r="I25" s="177">
        <f t="shared" si="12"/>
        <v>140</v>
      </c>
      <c r="J25" s="177">
        <f t="shared" si="13"/>
        <v>55.999999999999993</v>
      </c>
      <c r="K25" s="178">
        <f t="shared" si="14"/>
        <v>152</v>
      </c>
      <c r="L25" s="178">
        <f t="shared" si="15"/>
        <v>60.8</v>
      </c>
      <c r="M25" s="177">
        <f t="shared" si="16"/>
        <v>232</v>
      </c>
      <c r="N25" s="177">
        <f t="shared" si="17"/>
        <v>92.8</v>
      </c>
      <c r="O25" s="178">
        <f t="shared" si="18"/>
        <v>248</v>
      </c>
      <c r="P25" s="178">
        <f t="shared" si="19"/>
        <v>99.199999999999989</v>
      </c>
      <c r="Q25" s="177">
        <f t="shared" si="20"/>
        <v>172</v>
      </c>
      <c r="R25" s="177">
        <f t="shared" si="21"/>
        <v>68.8</v>
      </c>
    </row>
    <row r="26" spans="1:18" ht="18" customHeight="1" x14ac:dyDescent="0.25">
      <c r="A26" s="207" t="s">
        <v>87</v>
      </c>
      <c r="B26" s="207"/>
      <c r="C26" s="83">
        <v>70</v>
      </c>
      <c r="D26" s="83">
        <v>76</v>
      </c>
      <c r="E26" s="83">
        <v>116</v>
      </c>
      <c r="F26" s="83">
        <v>124</v>
      </c>
      <c r="G26" s="83">
        <v>86</v>
      </c>
      <c r="H26" s="6">
        <v>0.5</v>
      </c>
      <c r="I26" s="177">
        <f t="shared" si="12"/>
        <v>35</v>
      </c>
      <c r="J26" s="177">
        <f t="shared" si="13"/>
        <v>13.999999999999998</v>
      </c>
      <c r="K26" s="178">
        <f t="shared" si="14"/>
        <v>38</v>
      </c>
      <c r="L26" s="178">
        <f t="shared" si="15"/>
        <v>15.2</v>
      </c>
      <c r="M26" s="177">
        <f t="shared" si="16"/>
        <v>58</v>
      </c>
      <c r="N26" s="177">
        <f t="shared" si="17"/>
        <v>23.2</v>
      </c>
      <c r="O26" s="178">
        <f t="shared" si="18"/>
        <v>62</v>
      </c>
      <c r="P26" s="178">
        <f t="shared" si="19"/>
        <v>24.799999999999997</v>
      </c>
      <c r="Q26" s="177">
        <f t="shared" si="20"/>
        <v>43</v>
      </c>
      <c r="R26" s="177">
        <f t="shared" si="21"/>
        <v>17.2</v>
      </c>
    </row>
    <row r="27" spans="1:18" ht="18" customHeight="1" x14ac:dyDescent="0.25">
      <c r="A27" s="207" t="s">
        <v>81</v>
      </c>
      <c r="B27" s="207"/>
      <c r="C27" s="83">
        <v>4</v>
      </c>
      <c r="D27" s="83">
        <v>4</v>
      </c>
      <c r="E27" s="83">
        <v>4</v>
      </c>
      <c r="F27" s="83">
        <v>4</v>
      </c>
      <c r="G27" s="83">
        <v>4</v>
      </c>
      <c r="I27" s="177">
        <f t="shared" si="12"/>
        <v>0</v>
      </c>
      <c r="J27" s="177">
        <f t="shared" si="13"/>
        <v>0</v>
      </c>
      <c r="K27" s="178">
        <f t="shared" si="14"/>
        <v>0</v>
      </c>
      <c r="L27" s="178">
        <f t="shared" si="15"/>
        <v>0</v>
      </c>
      <c r="M27" s="177">
        <f t="shared" si="16"/>
        <v>0</v>
      </c>
      <c r="N27" s="177">
        <f t="shared" si="17"/>
        <v>0</v>
      </c>
      <c r="O27" s="178">
        <f t="shared" si="18"/>
        <v>0</v>
      </c>
      <c r="P27" s="178">
        <f t="shared" si="19"/>
        <v>0</v>
      </c>
      <c r="Q27" s="177">
        <f t="shared" si="20"/>
        <v>0</v>
      </c>
      <c r="R27" s="177">
        <f t="shared" si="21"/>
        <v>0</v>
      </c>
    </row>
    <row r="28" spans="1:18" ht="18" customHeight="1" x14ac:dyDescent="0.25">
      <c r="A28" s="203" t="s">
        <v>82</v>
      </c>
      <c r="B28" s="203"/>
      <c r="C28" s="84">
        <f t="shared" ref="C28:G28" si="22">SUM(C23:C27)</f>
        <v>552</v>
      </c>
      <c r="D28" s="84">
        <f t="shared" si="22"/>
        <v>585</v>
      </c>
      <c r="E28" s="84">
        <f t="shared" si="22"/>
        <v>937</v>
      </c>
      <c r="F28" s="84">
        <f t="shared" si="22"/>
        <v>933</v>
      </c>
      <c r="G28" s="84">
        <f t="shared" si="22"/>
        <v>630</v>
      </c>
      <c r="I28" s="179">
        <f t="shared" ref="I28:R28" si="23">SUM(I23:I27)</f>
        <v>513.5</v>
      </c>
      <c r="J28" s="179">
        <f t="shared" si="23"/>
        <v>205.39999999999998</v>
      </c>
      <c r="K28" s="180">
        <f t="shared" si="23"/>
        <v>540.5</v>
      </c>
      <c r="L28" s="180">
        <f t="shared" si="23"/>
        <v>216.2</v>
      </c>
      <c r="M28" s="179">
        <f t="shared" si="23"/>
        <v>885.5</v>
      </c>
      <c r="N28" s="179">
        <f t="shared" si="23"/>
        <v>354.19999999999993</v>
      </c>
      <c r="O28" s="180">
        <f t="shared" si="23"/>
        <v>861.5</v>
      </c>
      <c r="P28" s="180">
        <f t="shared" si="23"/>
        <v>344.59999999999997</v>
      </c>
      <c r="Q28" s="179">
        <f t="shared" si="23"/>
        <v>573</v>
      </c>
      <c r="R28" s="179">
        <f t="shared" si="23"/>
        <v>229.2</v>
      </c>
    </row>
    <row r="29" spans="1:18" s="5" customFormat="1" ht="18" customHeight="1" x14ac:dyDescent="0.25">
      <c r="A29" s="204" t="s">
        <v>83</v>
      </c>
      <c r="B29" s="204"/>
      <c r="C29" s="85">
        <f>I28</f>
        <v>513.5</v>
      </c>
      <c r="D29" s="85">
        <f>K28</f>
        <v>540.5</v>
      </c>
      <c r="E29" s="85">
        <f>M28</f>
        <v>885.5</v>
      </c>
      <c r="F29" s="85">
        <f>O28</f>
        <v>861.5</v>
      </c>
      <c r="G29" s="85">
        <f>Q28</f>
        <v>573</v>
      </c>
    </row>
    <row r="30" spans="1:18" s="5" customFormat="1" ht="18" customHeight="1" x14ac:dyDescent="0.25">
      <c r="A30" s="204" t="s">
        <v>84</v>
      </c>
      <c r="B30" s="204"/>
      <c r="C30" s="86">
        <v>0.39999999999999997</v>
      </c>
      <c r="D30" s="86">
        <v>0.39999999999999997</v>
      </c>
      <c r="E30" s="86">
        <v>0.39999999999999997</v>
      </c>
      <c r="F30" s="86">
        <v>0.39999999999999997</v>
      </c>
      <c r="G30" s="86">
        <v>0.39999999999999997</v>
      </c>
    </row>
    <row r="31" spans="1:18" ht="18" customHeight="1" x14ac:dyDescent="0.25">
      <c r="A31" s="205" t="s">
        <v>85</v>
      </c>
      <c r="B31" s="205"/>
      <c r="C31" s="88">
        <f t="shared" ref="C31:G31" si="24">C30*C29</f>
        <v>205.39999999999998</v>
      </c>
      <c r="D31" s="88">
        <f t="shared" si="24"/>
        <v>216.2</v>
      </c>
      <c r="E31" s="88">
        <f t="shared" si="24"/>
        <v>354.2</v>
      </c>
      <c r="F31" s="88">
        <f t="shared" si="24"/>
        <v>344.59999999999997</v>
      </c>
      <c r="G31" s="88">
        <f t="shared" si="24"/>
        <v>229.2</v>
      </c>
    </row>
    <row r="32" spans="1:18" s="81" customFormat="1" ht="28.5" customHeight="1" x14ac:dyDescent="0.25">
      <c r="A32" s="208" t="s">
        <v>88</v>
      </c>
      <c r="B32" s="208"/>
      <c r="C32" s="209" t="s">
        <v>76</v>
      </c>
      <c r="D32" s="210"/>
      <c r="E32" s="210"/>
      <c r="F32" s="210"/>
      <c r="G32" s="211"/>
      <c r="I32" s="176" t="s">
        <v>195</v>
      </c>
      <c r="J32" s="176" t="s">
        <v>127</v>
      </c>
      <c r="K32" s="176" t="s">
        <v>195</v>
      </c>
      <c r="L32" s="176" t="s">
        <v>127</v>
      </c>
      <c r="M32" s="176" t="s">
        <v>195</v>
      </c>
      <c r="N32" s="176" t="s">
        <v>127</v>
      </c>
      <c r="O32" s="176" t="s">
        <v>195</v>
      </c>
      <c r="P32" s="176" t="s">
        <v>127</v>
      </c>
      <c r="Q32" s="176" t="s">
        <v>195</v>
      </c>
      <c r="R32" s="176" t="s">
        <v>127</v>
      </c>
    </row>
    <row r="33" spans="1:18" ht="18" customHeight="1" x14ac:dyDescent="0.25">
      <c r="A33" s="207" t="s">
        <v>89</v>
      </c>
      <c r="B33" s="207"/>
      <c r="C33" s="83">
        <v>171</v>
      </c>
      <c r="D33" s="83">
        <v>225</v>
      </c>
      <c r="E33" s="83">
        <v>380</v>
      </c>
      <c r="F33" s="83">
        <v>261</v>
      </c>
      <c r="G33" s="83">
        <v>185</v>
      </c>
      <c r="H33" s="6">
        <v>0.4</v>
      </c>
      <c r="I33" s="177">
        <f>H33*C33</f>
        <v>68.400000000000006</v>
      </c>
      <c r="J33" s="177">
        <f>I33*$J$11</f>
        <v>27.36</v>
      </c>
      <c r="K33" s="178">
        <f>D33*H33</f>
        <v>90</v>
      </c>
      <c r="L33" s="178">
        <f>K33*$J$11</f>
        <v>36</v>
      </c>
      <c r="M33" s="177">
        <f>E33*H33</f>
        <v>152</v>
      </c>
      <c r="N33" s="177">
        <f>M33*$J$11</f>
        <v>60.8</v>
      </c>
      <c r="O33" s="178">
        <f>H33*F33</f>
        <v>104.4</v>
      </c>
      <c r="P33" s="178">
        <f>O33*$J$11</f>
        <v>41.76</v>
      </c>
      <c r="Q33" s="177">
        <f>H33*G33</f>
        <v>74</v>
      </c>
      <c r="R33" s="177">
        <f>Q33*$J$11</f>
        <v>29.599999999999998</v>
      </c>
    </row>
    <row r="34" spans="1:18" ht="18" customHeight="1" x14ac:dyDescent="0.25">
      <c r="A34" s="207" t="s">
        <v>90</v>
      </c>
      <c r="B34" s="207"/>
      <c r="C34" s="83">
        <v>171</v>
      </c>
      <c r="D34" s="83">
        <v>225</v>
      </c>
      <c r="E34" s="83">
        <v>380</v>
      </c>
      <c r="F34" s="83">
        <v>261</v>
      </c>
      <c r="G34" s="83">
        <v>185</v>
      </c>
      <c r="H34" s="6">
        <v>0.5</v>
      </c>
      <c r="I34" s="177">
        <f t="shared" ref="I34:I36" si="25">H34*C34</f>
        <v>85.5</v>
      </c>
      <c r="J34" s="177">
        <f t="shared" ref="J34:J36" si="26">I34*$J$11</f>
        <v>34.199999999999996</v>
      </c>
      <c r="K34" s="178">
        <f t="shared" ref="K34:K36" si="27">D34*H34</f>
        <v>112.5</v>
      </c>
      <c r="L34" s="178">
        <f t="shared" ref="L34:L36" si="28">K34*$J$11</f>
        <v>44.999999999999993</v>
      </c>
      <c r="M34" s="177">
        <f t="shared" ref="M34:M36" si="29">E34*H34</f>
        <v>190</v>
      </c>
      <c r="N34" s="177">
        <f t="shared" ref="N34:N36" si="30">M34*$J$11</f>
        <v>76</v>
      </c>
      <c r="O34" s="178">
        <f t="shared" ref="O34:O36" si="31">H34*F34</f>
        <v>130.5</v>
      </c>
      <c r="P34" s="178">
        <f t="shared" ref="P34:P36" si="32">O34*$J$11</f>
        <v>52.199999999999996</v>
      </c>
      <c r="Q34" s="177">
        <f t="shared" ref="Q34:Q36" si="33">H34*G34</f>
        <v>92.5</v>
      </c>
      <c r="R34" s="177">
        <f t="shared" ref="R34:R36" si="34">Q34*$J$11</f>
        <v>37</v>
      </c>
    </row>
    <row r="35" spans="1:18" ht="18" customHeight="1" x14ac:dyDescent="0.25">
      <c r="A35" s="207" t="s">
        <v>81</v>
      </c>
      <c r="B35" s="207"/>
      <c r="C35" s="83">
        <v>24</v>
      </c>
      <c r="D35" s="83">
        <v>24</v>
      </c>
      <c r="E35" s="83">
        <v>30</v>
      </c>
      <c r="F35" s="83">
        <v>24</v>
      </c>
      <c r="G35" s="83">
        <v>24</v>
      </c>
      <c r="H35" s="6">
        <v>0.4</v>
      </c>
      <c r="I35" s="177">
        <f t="shared" si="25"/>
        <v>9.6000000000000014</v>
      </c>
      <c r="J35" s="177">
        <f t="shared" si="26"/>
        <v>3.8400000000000003</v>
      </c>
      <c r="K35" s="178">
        <f t="shared" si="27"/>
        <v>9.6000000000000014</v>
      </c>
      <c r="L35" s="178">
        <f t="shared" si="28"/>
        <v>3.8400000000000003</v>
      </c>
      <c r="M35" s="177">
        <f t="shared" si="29"/>
        <v>12</v>
      </c>
      <c r="N35" s="177">
        <f t="shared" si="30"/>
        <v>4.8</v>
      </c>
      <c r="O35" s="178">
        <f t="shared" si="31"/>
        <v>9.6000000000000014</v>
      </c>
      <c r="P35" s="178">
        <f t="shared" si="32"/>
        <v>3.8400000000000003</v>
      </c>
      <c r="Q35" s="177">
        <f t="shared" si="33"/>
        <v>9.6000000000000014</v>
      </c>
      <c r="R35" s="177">
        <f t="shared" si="34"/>
        <v>3.8400000000000003</v>
      </c>
    </row>
    <row r="36" spans="1:18" ht="18" customHeight="1" x14ac:dyDescent="0.25">
      <c r="A36" s="203" t="s">
        <v>82</v>
      </c>
      <c r="B36" s="203"/>
      <c r="C36" s="84">
        <f t="shared" ref="C36:G36" si="35">SUM(C33:C35)</f>
        <v>366</v>
      </c>
      <c r="D36" s="84">
        <f t="shared" si="35"/>
        <v>474</v>
      </c>
      <c r="E36" s="84">
        <f t="shared" si="35"/>
        <v>790</v>
      </c>
      <c r="F36" s="84">
        <f t="shared" si="35"/>
        <v>546</v>
      </c>
      <c r="G36" s="84">
        <f t="shared" si="35"/>
        <v>394</v>
      </c>
      <c r="I36" s="177">
        <f t="shared" si="25"/>
        <v>0</v>
      </c>
      <c r="J36" s="177">
        <f t="shared" si="26"/>
        <v>0</v>
      </c>
      <c r="K36" s="178">
        <f t="shared" si="27"/>
        <v>0</v>
      </c>
      <c r="L36" s="178">
        <f t="shared" si="28"/>
        <v>0</v>
      </c>
      <c r="M36" s="177">
        <f t="shared" si="29"/>
        <v>0</v>
      </c>
      <c r="N36" s="177">
        <f t="shared" si="30"/>
        <v>0</v>
      </c>
      <c r="O36" s="178">
        <f t="shared" si="31"/>
        <v>0</v>
      </c>
      <c r="P36" s="178">
        <f t="shared" si="32"/>
        <v>0</v>
      </c>
      <c r="Q36" s="177">
        <f t="shared" si="33"/>
        <v>0</v>
      </c>
      <c r="R36" s="177">
        <f t="shared" si="34"/>
        <v>0</v>
      </c>
    </row>
    <row r="37" spans="1:18" s="5" customFormat="1" ht="18" customHeight="1" x14ac:dyDescent="0.25">
      <c r="A37" s="204" t="s">
        <v>83</v>
      </c>
      <c r="B37" s="204"/>
      <c r="C37" s="85">
        <f>I37</f>
        <v>163.5</v>
      </c>
      <c r="D37" s="85">
        <f>K37</f>
        <v>212.1</v>
      </c>
      <c r="E37" s="85">
        <f>M37</f>
        <v>354</v>
      </c>
      <c r="F37" s="85">
        <f>O37</f>
        <v>244.5</v>
      </c>
      <c r="G37" s="85">
        <f>Q37</f>
        <v>176.1</v>
      </c>
      <c r="I37" s="179">
        <f t="shared" ref="I37:R37" si="36">SUM(I33:I36)</f>
        <v>163.5</v>
      </c>
      <c r="J37" s="179">
        <f t="shared" si="36"/>
        <v>65.399999999999991</v>
      </c>
      <c r="K37" s="180">
        <f t="shared" si="36"/>
        <v>212.1</v>
      </c>
      <c r="L37" s="180">
        <f t="shared" si="36"/>
        <v>84.84</v>
      </c>
      <c r="M37" s="179">
        <f t="shared" si="36"/>
        <v>354</v>
      </c>
      <c r="N37" s="179">
        <f t="shared" si="36"/>
        <v>141.60000000000002</v>
      </c>
      <c r="O37" s="180">
        <f t="shared" si="36"/>
        <v>244.5</v>
      </c>
      <c r="P37" s="180">
        <f t="shared" si="36"/>
        <v>97.8</v>
      </c>
      <c r="Q37" s="179">
        <f t="shared" si="36"/>
        <v>176.1</v>
      </c>
      <c r="R37" s="179">
        <f t="shared" si="36"/>
        <v>70.44</v>
      </c>
    </row>
    <row r="38" spans="1:18" s="5" customFormat="1" ht="18" customHeight="1" x14ac:dyDescent="0.25">
      <c r="A38" s="204" t="s">
        <v>84</v>
      </c>
      <c r="B38" s="204"/>
      <c r="C38" s="86">
        <v>0.39999999999999997</v>
      </c>
      <c r="D38" s="86">
        <v>0.39999999999999997</v>
      </c>
      <c r="E38" s="86">
        <v>0.39999999999999997</v>
      </c>
      <c r="F38" s="86">
        <v>0.39999999999999997</v>
      </c>
      <c r="G38" s="86">
        <v>0.4</v>
      </c>
      <c r="I38" s="6"/>
      <c r="J38" s="6"/>
      <c r="K38" s="6"/>
      <c r="L38" s="6"/>
      <c r="M38" s="6"/>
      <c r="N38" s="6"/>
      <c r="O38" s="6"/>
      <c r="P38" s="6"/>
      <c r="Q38" s="6"/>
      <c r="R38" s="6"/>
    </row>
    <row r="39" spans="1:18" ht="18" customHeight="1" x14ac:dyDescent="0.25">
      <c r="A39" s="205" t="s">
        <v>85</v>
      </c>
      <c r="B39" s="205"/>
      <c r="C39" s="87">
        <f t="shared" ref="C39:G39" si="37">C38*C37</f>
        <v>65.399999999999991</v>
      </c>
      <c r="D39" s="87">
        <f t="shared" si="37"/>
        <v>84.839999999999989</v>
      </c>
      <c r="E39" s="87">
        <f t="shared" si="37"/>
        <v>141.6</v>
      </c>
      <c r="F39" s="87">
        <f t="shared" si="37"/>
        <v>97.8</v>
      </c>
      <c r="G39" s="88">
        <f t="shared" si="37"/>
        <v>70.44</v>
      </c>
      <c r="I39" s="81"/>
      <c r="J39" s="81"/>
      <c r="K39" s="81"/>
      <c r="L39" s="81"/>
      <c r="M39" s="81"/>
      <c r="N39" s="81"/>
      <c r="O39" s="81"/>
      <c r="P39" s="81"/>
      <c r="Q39" s="81"/>
      <c r="R39" s="81"/>
    </row>
    <row r="40" spans="1:18" s="81" customFormat="1" ht="26.25" customHeight="1" x14ac:dyDescent="0.25">
      <c r="A40" s="208" t="s">
        <v>91</v>
      </c>
      <c r="B40" s="208"/>
      <c r="C40" s="209"/>
      <c r="D40" s="210"/>
      <c r="E40" s="210"/>
      <c r="F40" s="210"/>
      <c r="G40" s="211"/>
      <c r="I40" s="176" t="s">
        <v>195</v>
      </c>
      <c r="J40" s="176" t="s">
        <v>127</v>
      </c>
      <c r="K40" s="176" t="s">
        <v>195</v>
      </c>
      <c r="L40" s="176" t="s">
        <v>127</v>
      </c>
      <c r="M40" s="176" t="s">
        <v>195</v>
      </c>
      <c r="N40" s="176" t="s">
        <v>127</v>
      </c>
      <c r="O40" s="176" t="s">
        <v>195</v>
      </c>
      <c r="P40" s="176" t="s">
        <v>127</v>
      </c>
      <c r="Q40" s="176" t="s">
        <v>195</v>
      </c>
      <c r="R40" s="176" t="s">
        <v>127</v>
      </c>
    </row>
    <row r="41" spans="1:18" ht="18" customHeight="1" x14ac:dyDescent="0.25">
      <c r="A41" s="207" t="s">
        <v>92</v>
      </c>
      <c r="B41" s="207"/>
      <c r="C41" s="82">
        <v>23</v>
      </c>
      <c r="D41" s="82">
        <v>24</v>
      </c>
      <c r="E41" s="82">
        <v>27</v>
      </c>
      <c r="F41" s="82">
        <v>34</v>
      </c>
      <c r="G41" s="89">
        <v>23</v>
      </c>
      <c r="H41" s="6">
        <v>2.5</v>
      </c>
      <c r="I41" s="177">
        <f>C41*H41</f>
        <v>57.5</v>
      </c>
      <c r="J41" s="177">
        <f>I41*$J$11</f>
        <v>22.999999999999996</v>
      </c>
      <c r="K41" s="178">
        <f>D41*H41</f>
        <v>60</v>
      </c>
      <c r="L41" s="178">
        <f>K41*$J$11</f>
        <v>23.999999999999996</v>
      </c>
      <c r="M41" s="177">
        <f>E41*H41</f>
        <v>67.5</v>
      </c>
      <c r="N41" s="177">
        <f>M41*$J$11</f>
        <v>26.999999999999996</v>
      </c>
      <c r="O41" s="178">
        <f>F41*H41</f>
        <v>85</v>
      </c>
      <c r="P41" s="178">
        <f>O41*$J$11</f>
        <v>34</v>
      </c>
      <c r="Q41" s="177">
        <f>G41*H41</f>
        <v>57.5</v>
      </c>
      <c r="R41" s="177">
        <f>Q41*$J$11</f>
        <v>22.999999999999996</v>
      </c>
    </row>
    <row r="42" spans="1:18" ht="18" customHeight="1" x14ac:dyDescent="0.25">
      <c r="A42" s="207" t="s">
        <v>93</v>
      </c>
      <c r="B42" s="207"/>
      <c r="C42" s="82">
        <v>6</v>
      </c>
      <c r="D42" s="82">
        <v>10</v>
      </c>
      <c r="E42" s="82">
        <v>8</v>
      </c>
      <c r="F42" s="82">
        <v>2</v>
      </c>
      <c r="G42" s="89">
        <v>6</v>
      </c>
      <c r="H42" s="6">
        <v>1.5</v>
      </c>
      <c r="I42" s="177">
        <f t="shared" ref="I42:I48" si="38">C42*H42</f>
        <v>9</v>
      </c>
      <c r="J42" s="177">
        <f t="shared" ref="J42:J48" si="39">I42*$J$11</f>
        <v>3.5999999999999996</v>
      </c>
      <c r="K42" s="178">
        <f t="shared" ref="K42:K48" si="40">D42*H42</f>
        <v>15</v>
      </c>
      <c r="L42" s="178">
        <f t="shared" ref="L42:L44" si="41">K42*$J$11</f>
        <v>5.9999999999999991</v>
      </c>
      <c r="M42" s="177">
        <f t="shared" ref="M42:M48" si="42">E42*H42</f>
        <v>12</v>
      </c>
      <c r="N42" s="177">
        <f t="shared" ref="N42:N44" si="43">M42*$J$11</f>
        <v>4.8</v>
      </c>
      <c r="O42" s="178">
        <f t="shared" ref="O42:O48" si="44">F42*H42</f>
        <v>3</v>
      </c>
      <c r="P42" s="178">
        <f t="shared" ref="P42:P44" si="45">O42*$J$11</f>
        <v>1.2</v>
      </c>
      <c r="Q42" s="177">
        <f t="shared" ref="Q42:Q48" si="46">G42*H42</f>
        <v>9</v>
      </c>
      <c r="R42" s="177">
        <f t="shared" ref="R42:R44" si="47">Q42*$J$11</f>
        <v>3.5999999999999996</v>
      </c>
    </row>
    <row r="43" spans="1:18" ht="18" customHeight="1" x14ac:dyDescent="0.25">
      <c r="A43" s="207" t="s">
        <v>94</v>
      </c>
      <c r="B43" s="207"/>
      <c r="C43" s="82">
        <v>13</v>
      </c>
      <c r="D43" s="82">
        <v>36</v>
      </c>
      <c r="E43" s="82">
        <v>20</v>
      </c>
      <c r="F43" s="82">
        <v>25</v>
      </c>
      <c r="G43" s="89">
        <v>13</v>
      </c>
      <c r="H43" s="6">
        <v>0.5</v>
      </c>
      <c r="I43" s="177">
        <f t="shared" si="38"/>
        <v>6.5</v>
      </c>
      <c r="J43" s="177">
        <f t="shared" si="39"/>
        <v>2.5999999999999996</v>
      </c>
      <c r="K43" s="178">
        <f t="shared" si="40"/>
        <v>18</v>
      </c>
      <c r="L43" s="178">
        <f t="shared" si="41"/>
        <v>7.1999999999999993</v>
      </c>
      <c r="M43" s="177">
        <f t="shared" si="42"/>
        <v>10</v>
      </c>
      <c r="N43" s="177">
        <f t="shared" si="43"/>
        <v>3.9999999999999996</v>
      </c>
      <c r="O43" s="178">
        <f t="shared" si="44"/>
        <v>12.5</v>
      </c>
      <c r="P43" s="178">
        <f t="shared" si="45"/>
        <v>5</v>
      </c>
      <c r="Q43" s="177">
        <f t="shared" si="46"/>
        <v>6.5</v>
      </c>
      <c r="R43" s="177">
        <f t="shared" si="47"/>
        <v>2.5999999999999996</v>
      </c>
    </row>
    <row r="44" spans="1:18" ht="18" customHeight="1" x14ac:dyDescent="0.25">
      <c r="A44" s="207" t="s">
        <v>95</v>
      </c>
      <c r="B44" s="207"/>
      <c r="C44" s="82">
        <v>12</v>
      </c>
      <c r="D44" s="82">
        <v>15</v>
      </c>
      <c r="E44" s="82">
        <v>18</v>
      </c>
      <c r="F44" s="82">
        <v>20</v>
      </c>
      <c r="G44" s="83">
        <v>12</v>
      </c>
      <c r="H44" s="6">
        <v>0.5</v>
      </c>
      <c r="I44" s="177">
        <f t="shared" si="38"/>
        <v>6</v>
      </c>
      <c r="J44" s="177">
        <f t="shared" si="39"/>
        <v>2.4</v>
      </c>
      <c r="K44" s="178">
        <f t="shared" si="40"/>
        <v>7.5</v>
      </c>
      <c r="L44" s="178">
        <f t="shared" si="41"/>
        <v>2.9999999999999996</v>
      </c>
      <c r="M44" s="177">
        <f t="shared" si="42"/>
        <v>9</v>
      </c>
      <c r="N44" s="177">
        <f t="shared" si="43"/>
        <v>3.5999999999999996</v>
      </c>
      <c r="O44" s="178">
        <f t="shared" si="44"/>
        <v>10</v>
      </c>
      <c r="P44" s="178">
        <f t="shared" si="45"/>
        <v>3.9999999999999996</v>
      </c>
      <c r="Q44" s="177">
        <f t="shared" si="46"/>
        <v>6</v>
      </c>
      <c r="R44" s="177">
        <f t="shared" si="47"/>
        <v>2.4</v>
      </c>
    </row>
    <row r="45" spans="1:18" ht="18" customHeight="1" x14ac:dyDescent="0.25">
      <c r="A45" s="207" t="s">
        <v>96</v>
      </c>
      <c r="B45" s="207"/>
      <c r="C45" s="82">
        <v>0</v>
      </c>
      <c r="D45" s="82">
        <v>0</v>
      </c>
      <c r="E45" s="82">
        <v>0</v>
      </c>
      <c r="F45" s="82">
        <v>0</v>
      </c>
      <c r="G45" s="83">
        <v>0</v>
      </c>
      <c r="H45" s="6">
        <v>1.5</v>
      </c>
      <c r="I45" s="177">
        <f t="shared" si="38"/>
        <v>0</v>
      </c>
      <c r="J45" s="177">
        <f t="shared" si="39"/>
        <v>0</v>
      </c>
      <c r="K45" s="178">
        <f t="shared" si="40"/>
        <v>0</v>
      </c>
      <c r="L45" s="178">
        <f t="shared" ref="L45:L48" si="48">K45*$J$11</f>
        <v>0</v>
      </c>
      <c r="M45" s="177">
        <f t="shared" si="42"/>
        <v>0</v>
      </c>
      <c r="N45" s="177">
        <f t="shared" ref="N45:N48" si="49">M45*$J$11</f>
        <v>0</v>
      </c>
      <c r="O45" s="178">
        <f t="shared" si="44"/>
        <v>0</v>
      </c>
      <c r="P45" s="178">
        <f t="shared" ref="P45:P48" si="50">O45*$J$11</f>
        <v>0</v>
      </c>
      <c r="Q45" s="177">
        <f t="shared" si="46"/>
        <v>0</v>
      </c>
      <c r="R45" s="177">
        <f t="shared" ref="R45:R48" si="51">Q45*$J$11</f>
        <v>0</v>
      </c>
    </row>
    <row r="46" spans="1:18" ht="18" customHeight="1" x14ac:dyDescent="0.25">
      <c r="A46" s="207" t="s">
        <v>97</v>
      </c>
      <c r="B46" s="207"/>
      <c r="C46" s="82">
        <v>89</v>
      </c>
      <c r="D46" s="82">
        <v>126</v>
      </c>
      <c r="E46" s="82">
        <v>104</v>
      </c>
      <c r="F46" s="82">
        <v>118</v>
      </c>
      <c r="G46" s="89">
        <v>89</v>
      </c>
      <c r="H46" s="6">
        <v>0.5</v>
      </c>
      <c r="I46" s="177">
        <f t="shared" si="38"/>
        <v>44.5</v>
      </c>
      <c r="J46" s="177">
        <f t="shared" si="39"/>
        <v>17.799999999999997</v>
      </c>
      <c r="K46" s="178">
        <f t="shared" si="40"/>
        <v>63</v>
      </c>
      <c r="L46" s="178">
        <f t="shared" si="48"/>
        <v>25.2</v>
      </c>
      <c r="M46" s="177">
        <f t="shared" si="42"/>
        <v>52</v>
      </c>
      <c r="N46" s="177">
        <f t="shared" si="49"/>
        <v>20.799999999999997</v>
      </c>
      <c r="O46" s="178">
        <f t="shared" si="44"/>
        <v>59</v>
      </c>
      <c r="P46" s="178">
        <f t="shared" si="50"/>
        <v>23.599999999999998</v>
      </c>
      <c r="Q46" s="177">
        <f t="shared" si="46"/>
        <v>44.5</v>
      </c>
      <c r="R46" s="177">
        <f t="shared" si="51"/>
        <v>17.799999999999997</v>
      </c>
    </row>
    <row r="47" spans="1:18" ht="18" customHeight="1" x14ac:dyDescent="0.25">
      <c r="A47" s="207" t="s">
        <v>98</v>
      </c>
      <c r="B47" s="207"/>
      <c r="C47" s="82">
        <v>18</v>
      </c>
      <c r="D47" s="82">
        <v>22</v>
      </c>
      <c r="E47" s="82">
        <v>27</v>
      </c>
      <c r="F47" s="82">
        <v>26</v>
      </c>
      <c r="G47" s="89">
        <v>18</v>
      </c>
      <c r="H47" s="6">
        <v>0.5</v>
      </c>
      <c r="I47" s="177">
        <f t="shared" si="38"/>
        <v>9</v>
      </c>
      <c r="J47" s="177">
        <f t="shared" si="39"/>
        <v>3.5999999999999996</v>
      </c>
      <c r="K47" s="178">
        <f t="shared" si="40"/>
        <v>11</v>
      </c>
      <c r="L47" s="178">
        <f t="shared" si="48"/>
        <v>4.3999999999999995</v>
      </c>
      <c r="M47" s="177">
        <f t="shared" si="42"/>
        <v>13.5</v>
      </c>
      <c r="N47" s="177">
        <f t="shared" si="49"/>
        <v>5.3999999999999995</v>
      </c>
      <c r="O47" s="178">
        <f t="shared" si="44"/>
        <v>13</v>
      </c>
      <c r="P47" s="178">
        <f t="shared" si="50"/>
        <v>5.1999999999999993</v>
      </c>
      <c r="Q47" s="177">
        <f t="shared" si="46"/>
        <v>9</v>
      </c>
      <c r="R47" s="177">
        <f t="shared" si="51"/>
        <v>3.5999999999999996</v>
      </c>
    </row>
    <row r="48" spans="1:18" ht="18" customHeight="1" x14ac:dyDescent="0.25">
      <c r="A48" s="207" t="s">
        <v>99</v>
      </c>
      <c r="B48" s="207"/>
      <c r="C48" s="82">
        <v>35</v>
      </c>
      <c r="D48" s="82">
        <v>45</v>
      </c>
      <c r="E48" s="82">
        <v>25</v>
      </c>
      <c r="F48" s="82">
        <v>49</v>
      </c>
      <c r="G48" s="89">
        <v>35</v>
      </c>
      <c r="H48" s="6">
        <v>0.5</v>
      </c>
      <c r="I48" s="177">
        <f t="shared" si="38"/>
        <v>17.5</v>
      </c>
      <c r="J48" s="177">
        <f t="shared" si="39"/>
        <v>6.9999999999999991</v>
      </c>
      <c r="K48" s="178">
        <f t="shared" si="40"/>
        <v>22.5</v>
      </c>
      <c r="L48" s="178">
        <f t="shared" si="48"/>
        <v>9</v>
      </c>
      <c r="M48" s="177">
        <f t="shared" si="42"/>
        <v>12.5</v>
      </c>
      <c r="N48" s="177">
        <f t="shared" si="49"/>
        <v>5</v>
      </c>
      <c r="O48" s="178">
        <f t="shared" si="44"/>
        <v>24.5</v>
      </c>
      <c r="P48" s="178">
        <f t="shared" si="50"/>
        <v>9.7999999999999989</v>
      </c>
      <c r="Q48" s="177">
        <f t="shared" si="46"/>
        <v>17.5</v>
      </c>
      <c r="R48" s="177">
        <f t="shared" si="51"/>
        <v>6.9999999999999991</v>
      </c>
    </row>
    <row r="49" spans="1:18" ht="18" customHeight="1" x14ac:dyDescent="0.25">
      <c r="A49" s="203" t="s">
        <v>82</v>
      </c>
      <c r="B49" s="203"/>
      <c r="C49" s="84">
        <f t="shared" ref="C49:G49" si="52">SUM(C41:C48)</f>
        <v>196</v>
      </c>
      <c r="D49" s="84">
        <f t="shared" si="52"/>
        <v>278</v>
      </c>
      <c r="E49" s="84">
        <f t="shared" si="52"/>
        <v>229</v>
      </c>
      <c r="F49" s="84">
        <f t="shared" si="52"/>
        <v>274</v>
      </c>
      <c r="G49" s="84">
        <f t="shared" si="52"/>
        <v>196</v>
      </c>
      <c r="I49" s="179">
        <f t="shared" ref="I49:R49" si="53">SUM(I41:I48)</f>
        <v>150</v>
      </c>
      <c r="J49" s="179">
        <f t="shared" si="53"/>
        <v>59.999999999999993</v>
      </c>
      <c r="K49" s="180">
        <f t="shared" si="53"/>
        <v>197</v>
      </c>
      <c r="L49" s="180">
        <f t="shared" si="53"/>
        <v>78.8</v>
      </c>
      <c r="M49" s="179">
        <f t="shared" si="53"/>
        <v>176.5</v>
      </c>
      <c r="N49" s="179">
        <f t="shared" si="53"/>
        <v>70.599999999999994</v>
      </c>
      <c r="O49" s="180">
        <f t="shared" si="53"/>
        <v>207</v>
      </c>
      <c r="P49" s="180">
        <f t="shared" si="53"/>
        <v>82.8</v>
      </c>
      <c r="Q49" s="179">
        <f t="shared" si="53"/>
        <v>150</v>
      </c>
      <c r="R49" s="179">
        <f t="shared" si="53"/>
        <v>59.999999999999993</v>
      </c>
    </row>
    <row r="50" spans="1:18" s="5" customFormat="1" ht="18" customHeight="1" x14ac:dyDescent="0.25">
      <c r="A50" s="204" t="s">
        <v>83</v>
      </c>
      <c r="B50" s="204"/>
      <c r="C50" s="85">
        <f>I49</f>
        <v>150</v>
      </c>
      <c r="D50" s="85">
        <f>K49</f>
        <v>197</v>
      </c>
      <c r="E50" s="85">
        <f>M49</f>
        <v>176.5</v>
      </c>
      <c r="F50" s="85">
        <f>O49</f>
        <v>207</v>
      </c>
      <c r="G50" s="85">
        <f>Q49</f>
        <v>150</v>
      </c>
      <c r="I50" s="6"/>
      <c r="J50" s="6"/>
      <c r="K50" s="6"/>
      <c r="L50" s="6"/>
      <c r="M50" s="6"/>
      <c r="N50" s="6"/>
      <c r="O50" s="6"/>
      <c r="P50" s="6"/>
      <c r="Q50" s="6"/>
      <c r="R50" s="6"/>
    </row>
    <row r="51" spans="1:18" s="5" customFormat="1" ht="18" customHeight="1" x14ac:dyDescent="0.25">
      <c r="A51" s="204" t="s">
        <v>84</v>
      </c>
      <c r="B51" s="204"/>
      <c r="C51" s="86">
        <v>0.39999999999999997</v>
      </c>
      <c r="D51" s="86">
        <v>0.39999999999999997</v>
      </c>
      <c r="E51" s="86">
        <v>0.39999999999999997</v>
      </c>
      <c r="F51" s="86">
        <v>0.39999999999999997</v>
      </c>
      <c r="G51" s="86">
        <v>0.39999999999999997</v>
      </c>
      <c r="I51" s="6"/>
      <c r="J51" s="6"/>
      <c r="K51" s="6"/>
      <c r="L51" s="6"/>
      <c r="M51" s="6"/>
      <c r="N51" s="6"/>
      <c r="O51" s="6"/>
      <c r="P51" s="6"/>
      <c r="Q51" s="6"/>
      <c r="R51" s="6"/>
    </row>
    <row r="52" spans="1:18" ht="18" customHeight="1" x14ac:dyDescent="0.25">
      <c r="A52" s="205" t="s">
        <v>85</v>
      </c>
      <c r="B52" s="205"/>
      <c r="C52" s="88">
        <f t="shared" ref="C52:G52" si="54">C51*C50</f>
        <v>59.999999999999993</v>
      </c>
      <c r="D52" s="88">
        <f t="shared" si="54"/>
        <v>78.8</v>
      </c>
      <c r="E52" s="88">
        <f t="shared" si="54"/>
        <v>70.599999999999994</v>
      </c>
      <c r="F52" s="88">
        <f t="shared" si="54"/>
        <v>82.8</v>
      </c>
      <c r="G52" s="88">
        <f t="shared" si="54"/>
        <v>59.999999999999993</v>
      </c>
    </row>
    <row r="53" spans="1:18" ht="4.5" customHeight="1" x14ac:dyDescent="0.25">
      <c r="A53" s="90"/>
      <c r="B53" s="91"/>
      <c r="C53" s="92"/>
      <c r="D53" s="92"/>
      <c r="E53" s="92"/>
      <c r="F53" s="92"/>
      <c r="G53" s="93"/>
      <c r="I53" s="5"/>
      <c r="J53" s="5"/>
      <c r="K53" s="5"/>
      <c r="L53" s="5"/>
      <c r="M53" s="5"/>
      <c r="N53" s="5"/>
      <c r="O53" s="5"/>
      <c r="P53" s="5"/>
      <c r="Q53" s="5"/>
      <c r="R53" s="5"/>
    </row>
    <row r="54" spans="1:18" ht="21.75" customHeight="1" x14ac:dyDescent="0.25">
      <c r="A54" s="206" t="s">
        <v>100</v>
      </c>
      <c r="B54" s="107" t="s">
        <v>33</v>
      </c>
      <c r="C54" s="108">
        <f>C$21+C$31+C$39+C$52</f>
        <v>857.99999999999989</v>
      </c>
      <c r="D54" s="108">
        <f>D$21+D$31+D$39+D$52</f>
        <v>1052.3400000000001</v>
      </c>
      <c r="E54" s="108">
        <f t="shared" ref="E54:F54" si="55">E$21+E$31+E$39+E$52</f>
        <v>1004.5</v>
      </c>
      <c r="F54" s="108">
        <f t="shared" si="55"/>
        <v>1035.3</v>
      </c>
      <c r="G54" s="109">
        <f>G$21+G$31+G$39+G$52</f>
        <v>886.83999999999992</v>
      </c>
      <c r="I54" s="5"/>
      <c r="J54" s="5"/>
      <c r="K54" s="5"/>
      <c r="L54" s="5"/>
      <c r="M54" s="5"/>
      <c r="N54" s="5"/>
      <c r="O54" s="5"/>
      <c r="P54" s="5"/>
      <c r="Q54" s="5"/>
      <c r="R54" s="5"/>
    </row>
    <row r="55" spans="1:18" ht="21.75" customHeight="1" x14ac:dyDescent="0.25">
      <c r="A55" s="206"/>
      <c r="B55" s="107" t="s">
        <v>34</v>
      </c>
      <c r="C55" s="108"/>
      <c r="D55" s="108"/>
      <c r="E55" s="108"/>
      <c r="F55" s="108"/>
      <c r="G55" s="109"/>
    </row>
    <row r="56" spans="1:18" ht="21.75" customHeight="1" x14ac:dyDescent="0.25">
      <c r="A56" s="206"/>
      <c r="B56" s="107" t="s">
        <v>35</v>
      </c>
      <c r="C56" s="108"/>
      <c r="D56" s="108"/>
      <c r="E56" s="108"/>
      <c r="F56" s="108"/>
      <c r="G56" s="109"/>
    </row>
    <row r="57" spans="1:18" ht="21.75" customHeight="1" x14ac:dyDescent="0.25">
      <c r="A57" s="206"/>
      <c r="B57" s="107" t="s">
        <v>36</v>
      </c>
      <c r="C57" s="108"/>
      <c r="D57" s="108"/>
      <c r="E57" s="108"/>
      <c r="F57" s="108"/>
      <c r="G57" s="109"/>
    </row>
    <row r="58" spans="1:18" ht="21.75" customHeight="1" x14ac:dyDescent="0.25">
      <c r="A58" s="206"/>
      <c r="B58" s="107" t="s">
        <v>37</v>
      </c>
      <c r="C58" s="108"/>
      <c r="D58" s="108"/>
      <c r="E58" s="108"/>
      <c r="F58" s="108"/>
      <c r="G58" s="109"/>
    </row>
    <row r="59" spans="1:18" ht="21.75" customHeight="1" x14ac:dyDescent="0.25">
      <c r="A59" s="206"/>
      <c r="B59" s="107" t="s">
        <v>38</v>
      </c>
      <c r="C59" s="108"/>
      <c r="D59" s="108"/>
      <c r="E59" s="108"/>
      <c r="F59" s="108"/>
      <c r="G59" s="109"/>
    </row>
    <row r="60" spans="1:18" ht="21.75" customHeight="1" x14ac:dyDescent="0.25">
      <c r="A60" s="206"/>
      <c r="B60" s="107" t="s">
        <v>39</v>
      </c>
      <c r="C60" s="108"/>
      <c r="D60" s="108"/>
      <c r="E60" s="108"/>
      <c r="F60" s="108"/>
      <c r="G60" s="109"/>
    </row>
    <row r="61" spans="1:18" ht="21.75" customHeight="1" x14ac:dyDescent="0.25">
      <c r="A61" s="206"/>
      <c r="B61" s="107" t="s">
        <v>40</v>
      </c>
      <c r="C61" s="108"/>
      <c r="D61" s="108"/>
      <c r="E61" s="108"/>
      <c r="F61" s="108"/>
      <c r="G61" s="109"/>
    </row>
    <row r="62" spans="1:18" ht="21.75" customHeight="1" x14ac:dyDescent="0.25">
      <c r="A62" s="206"/>
      <c r="B62" s="107" t="s">
        <v>41</v>
      </c>
      <c r="C62" s="108"/>
      <c r="D62" s="108"/>
      <c r="E62" s="108"/>
      <c r="F62" s="108"/>
      <c r="G62" s="109"/>
    </row>
    <row r="63" spans="1:18" ht="21.75" customHeight="1" x14ac:dyDescent="0.25">
      <c r="A63" s="206"/>
      <c r="B63" s="107" t="s">
        <v>42</v>
      </c>
      <c r="C63" s="108"/>
      <c r="D63" s="108"/>
      <c r="E63" s="108"/>
      <c r="F63" s="108"/>
      <c r="G63" s="109"/>
    </row>
    <row r="64" spans="1:18" ht="21.75" customHeight="1" x14ac:dyDescent="0.25">
      <c r="A64" s="206"/>
      <c r="B64" s="107" t="s">
        <v>43</v>
      </c>
      <c r="C64" s="108"/>
      <c r="D64" s="108"/>
      <c r="E64" s="108"/>
      <c r="F64" s="108"/>
      <c r="G64" s="109"/>
    </row>
    <row r="66" spans="1:12" ht="13.8" x14ac:dyDescent="0.25">
      <c r="A66" s="94" t="s">
        <v>61</v>
      </c>
      <c r="B66" s="95"/>
      <c r="C66" s="95"/>
      <c r="D66" s="95"/>
      <c r="E66" s="95"/>
      <c r="F66" s="95"/>
      <c r="G66" s="95"/>
      <c r="H66" s="95"/>
    </row>
    <row r="67" spans="1:12" ht="13.8" x14ac:dyDescent="0.25">
      <c r="A67" s="98"/>
      <c r="B67" s="99"/>
      <c r="C67" s="99"/>
      <c r="D67" s="99"/>
      <c r="E67" s="99"/>
      <c r="F67" s="99"/>
      <c r="G67" s="99"/>
      <c r="H67" s="99"/>
    </row>
    <row r="68" spans="1:12" ht="13.8" x14ac:dyDescent="0.25">
      <c r="A68" s="98"/>
      <c r="B68" s="99"/>
      <c r="C68" s="99"/>
      <c r="D68" s="99"/>
      <c r="E68" s="99"/>
      <c r="F68" s="99"/>
      <c r="G68" s="99"/>
      <c r="H68" s="99"/>
    </row>
    <row r="69" spans="1:12" ht="13.8" x14ac:dyDescent="0.25">
      <c r="A69" s="98"/>
      <c r="B69" s="99"/>
      <c r="C69" s="99"/>
      <c r="D69" s="99"/>
      <c r="E69" s="99"/>
      <c r="F69" s="99"/>
      <c r="G69" s="99"/>
      <c r="H69" s="99"/>
      <c r="I69" s="95"/>
      <c r="J69" s="95"/>
      <c r="K69" s="96"/>
      <c r="L69" s="97"/>
    </row>
    <row r="70" spans="1:12" ht="13.8" x14ac:dyDescent="0.25">
      <c r="A70" s="98"/>
      <c r="B70" s="99"/>
      <c r="C70" s="99"/>
      <c r="D70" s="99"/>
      <c r="E70" s="99"/>
      <c r="F70" s="99"/>
      <c r="G70" s="99"/>
      <c r="H70" s="99"/>
      <c r="I70" s="99"/>
      <c r="J70" s="99"/>
      <c r="K70" s="100"/>
      <c r="L70" s="101"/>
    </row>
    <row r="71" spans="1:12" ht="13.8" x14ac:dyDescent="0.25">
      <c r="A71" s="98"/>
      <c r="B71" s="99"/>
      <c r="C71" s="99"/>
      <c r="D71" s="99"/>
      <c r="E71" s="99"/>
      <c r="F71" s="99"/>
      <c r="G71" s="99"/>
      <c r="H71" s="99"/>
      <c r="I71" s="99"/>
      <c r="J71" s="99"/>
      <c r="K71" s="100"/>
      <c r="L71" s="101"/>
    </row>
    <row r="72" spans="1:12" ht="13.8" x14ac:dyDescent="0.25">
      <c r="A72" s="98"/>
      <c r="B72" s="99"/>
      <c r="C72" s="99"/>
      <c r="D72" s="99"/>
      <c r="E72" s="99"/>
      <c r="F72" s="99"/>
      <c r="G72" s="99"/>
      <c r="H72" s="99"/>
      <c r="I72" s="99"/>
      <c r="J72" s="99"/>
      <c r="K72" s="100"/>
      <c r="L72" s="101"/>
    </row>
    <row r="73" spans="1:12" ht="13.8" x14ac:dyDescent="0.25">
      <c r="A73" s="98"/>
      <c r="B73" s="99"/>
      <c r="C73" s="99"/>
      <c r="D73" s="99"/>
      <c r="E73" s="99"/>
      <c r="F73" s="99"/>
      <c r="G73" s="99"/>
      <c r="H73" s="99"/>
      <c r="I73" s="99"/>
      <c r="J73" s="99"/>
      <c r="K73" s="100"/>
      <c r="L73" s="101"/>
    </row>
    <row r="74" spans="1:12" ht="13.8" x14ac:dyDescent="0.25">
      <c r="A74" s="98"/>
      <c r="B74" s="99"/>
      <c r="C74" s="99"/>
      <c r="D74" s="99"/>
      <c r="E74" s="99"/>
      <c r="F74" s="99"/>
      <c r="G74" s="99"/>
      <c r="H74" s="99"/>
      <c r="I74" s="99"/>
      <c r="J74" s="99"/>
      <c r="K74" s="100"/>
      <c r="L74" s="101"/>
    </row>
    <row r="75" spans="1:12" ht="13.8" x14ac:dyDescent="0.25">
      <c r="A75" s="98"/>
      <c r="B75" s="99"/>
      <c r="C75" s="99"/>
      <c r="D75" s="99"/>
      <c r="E75" s="99"/>
      <c r="F75" s="99"/>
      <c r="G75" s="99"/>
      <c r="H75" s="99"/>
      <c r="I75" s="99"/>
      <c r="J75" s="99"/>
      <c r="K75" s="100"/>
      <c r="L75" s="101"/>
    </row>
    <row r="76" spans="1:12" ht="13.8" x14ac:dyDescent="0.25">
      <c r="A76" s="98"/>
      <c r="B76" s="99"/>
      <c r="C76" s="99"/>
      <c r="D76" s="99"/>
      <c r="E76" s="99"/>
      <c r="F76" s="99"/>
      <c r="G76" s="99"/>
      <c r="H76" s="99"/>
      <c r="I76" s="99"/>
      <c r="J76" s="99"/>
      <c r="K76" s="100"/>
      <c r="L76" s="101"/>
    </row>
    <row r="77" spans="1:12" ht="13.8" x14ac:dyDescent="0.25">
      <c r="A77" s="98"/>
      <c r="B77" s="99"/>
      <c r="C77" s="99"/>
      <c r="D77" s="99"/>
      <c r="E77" s="99"/>
      <c r="F77" s="99"/>
      <c r="G77" s="99"/>
      <c r="H77" s="99"/>
      <c r="I77" s="99"/>
      <c r="J77" s="99"/>
      <c r="K77" s="100"/>
      <c r="L77" s="101"/>
    </row>
    <row r="78" spans="1:12" ht="13.8" x14ac:dyDescent="0.25">
      <c r="A78" s="102"/>
      <c r="B78" s="103"/>
      <c r="C78" s="103"/>
      <c r="D78" s="103"/>
      <c r="E78" s="103"/>
      <c r="F78" s="103"/>
      <c r="G78" s="103"/>
      <c r="H78" s="103"/>
      <c r="I78" s="99"/>
      <c r="J78" s="99"/>
      <c r="K78" s="100"/>
      <c r="L78" s="101"/>
    </row>
    <row r="79" spans="1:12" ht="13.8" x14ac:dyDescent="0.25">
      <c r="I79" s="99"/>
      <c r="J79" s="99"/>
      <c r="K79" s="100"/>
      <c r="L79" s="101"/>
    </row>
    <row r="80" spans="1:12" ht="13.8" x14ac:dyDescent="0.25">
      <c r="I80" s="99"/>
      <c r="J80" s="99"/>
      <c r="K80" s="100"/>
      <c r="L80" s="101"/>
    </row>
    <row r="81" spans="9:12" ht="13.8" x14ac:dyDescent="0.25">
      <c r="I81" s="103"/>
      <c r="J81" s="103"/>
      <c r="K81" s="104"/>
      <c r="L81" s="105"/>
    </row>
  </sheetData>
  <mergeCells count="54">
    <mergeCell ref="A15:B15"/>
    <mergeCell ref="A8:B10"/>
    <mergeCell ref="C8:G8"/>
    <mergeCell ref="C9:C10"/>
    <mergeCell ref="D9:D10"/>
    <mergeCell ref="E9:E10"/>
    <mergeCell ref="F9:F10"/>
    <mergeCell ref="G9:G10"/>
    <mergeCell ref="A11:G11"/>
    <mergeCell ref="A12:B12"/>
    <mergeCell ref="C12:G12"/>
    <mergeCell ref="A13:B13"/>
    <mergeCell ref="A14:B14"/>
    <mergeCell ref="A26:B26"/>
    <mergeCell ref="A16:B16"/>
    <mergeCell ref="A17:B17"/>
    <mergeCell ref="A18:B18"/>
    <mergeCell ref="A19:B19"/>
    <mergeCell ref="A20:B20"/>
    <mergeCell ref="A21:B21"/>
    <mergeCell ref="A22:B22"/>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48:B48"/>
    <mergeCell ref="A38:B38"/>
    <mergeCell ref="A39:B39"/>
    <mergeCell ref="A40:B40"/>
    <mergeCell ref="C40:G40"/>
    <mergeCell ref="A41:B41"/>
    <mergeCell ref="A42:B42"/>
    <mergeCell ref="A43:B43"/>
    <mergeCell ref="A44:B44"/>
    <mergeCell ref="A45:B45"/>
    <mergeCell ref="A46:B46"/>
    <mergeCell ref="A47:B47"/>
    <mergeCell ref="A49:B49"/>
    <mergeCell ref="A50:B50"/>
    <mergeCell ref="A51:B51"/>
    <mergeCell ref="A52:B52"/>
    <mergeCell ref="A54:A6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dimension ref="A1:X38"/>
  <sheetViews>
    <sheetView workbookViewId="0">
      <selection activeCell="B19" sqref="B19:B24"/>
    </sheetView>
  </sheetViews>
  <sheetFormatPr defaultColWidth="9.109375" defaultRowHeight="13.2" x14ac:dyDescent="0.25"/>
  <cols>
    <col min="1" max="1" width="27.88671875" style="6" bestFit="1" customWidth="1"/>
    <col min="2" max="2" width="17.5546875" style="3" customWidth="1"/>
    <col min="3" max="3" width="7.109375" style="3" bestFit="1" customWidth="1"/>
    <col min="4" max="10" width="7.109375" style="3" customWidth="1"/>
    <col min="11" max="11" width="7.109375" style="3" bestFit="1" customWidth="1"/>
    <col min="12" max="12" width="7.44140625" style="3" customWidth="1"/>
    <col min="13" max="13" width="6" style="3" bestFit="1" customWidth="1"/>
    <col min="14" max="16" width="9.109375" style="3"/>
    <col min="17" max="16384" width="9.109375" style="6"/>
  </cols>
  <sheetData>
    <row r="1" spans="1:24" s="1" customFormat="1" ht="24" x14ac:dyDescent="0.35">
      <c r="A1" s="73" t="s">
        <v>101</v>
      </c>
      <c r="B1" s="44"/>
      <c r="C1" s="44"/>
      <c r="D1" s="44"/>
      <c r="E1" s="44"/>
      <c r="F1" s="44"/>
      <c r="G1" s="44"/>
      <c r="H1" s="44"/>
      <c r="I1" s="44"/>
      <c r="J1" s="44"/>
      <c r="K1" s="44"/>
      <c r="L1" s="44"/>
      <c r="M1" s="44"/>
      <c r="N1" s="44"/>
      <c r="O1" s="44"/>
      <c r="P1" s="44"/>
      <c r="Q1" s="44"/>
      <c r="R1" s="44"/>
      <c r="S1" s="44"/>
      <c r="T1" s="44"/>
      <c r="U1" s="44"/>
      <c r="V1" s="44"/>
      <c r="W1" s="44"/>
      <c r="X1" s="44"/>
    </row>
    <row r="3" spans="1:24" ht="13.8" x14ac:dyDescent="0.25">
      <c r="A3" s="2" t="s">
        <v>27</v>
      </c>
      <c r="B3" s="1" t="s">
        <v>63</v>
      </c>
      <c r="G3" s="4"/>
      <c r="H3" s="4"/>
      <c r="I3" s="4"/>
      <c r="J3" s="4"/>
      <c r="K3" s="4"/>
      <c r="L3" s="4"/>
      <c r="M3" s="4"/>
      <c r="N3" s="4"/>
      <c r="O3" s="4"/>
      <c r="P3" s="4"/>
      <c r="Q3" s="5"/>
      <c r="R3" s="5"/>
      <c r="S3" s="5"/>
    </row>
    <row r="4" spans="1:24" ht="13.8" x14ac:dyDescent="0.25">
      <c r="A4" s="2"/>
      <c r="B4" s="7" t="s">
        <v>102</v>
      </c>
      <c r="G4" s="4"/>
      <c r="H4" s="4"/>
      <c r="I4" s="4"/>
      <c r="J4" s="4"/>
      <c r="K4" s="4"/>
      <c r="L4" s="4"/>
      <c r="M4" s="4"/>
      <c r="N4" s="4"/>
      <c r="O4" s="4"/>
      <c r="P4" s="4"/>
      <c r="Q4" s="5"/>
      <c r="R4" s="5"/>
      <c r="S4" s="5"/>
    </row>
    <row r="5" spans="1:24" ht="13.8" x14ac:dyDescent="0.25">
      <c r="A5" s="2"/>
      <c r="B5" s="7" t="s">
        <v>103</v>
      </c>
      <c r="G5" s="4"/>
      <c r="H5" s="4"/>
      <c r="I5" s="4"/>
      <c r="J5" s="4"/>
      <c r="K5" s="4"/>
      <c r="L5" s="4"/>
      <c r="M5" s="4"/>
      <c r="N5" s="4"/>
      <c r="O5" s="4"/>
      <c r="P5" s="4"/>
      <c r="Q5" s="5"/>
      <c r="R5" s="5"/>
      <c r="S5" s="5"/>
    </row>
    <row r="6" spans="1:24" ht="13.8" x14ac:dyDescent="0.25">
      <c r="A6" s="2"/>
      <c r="B6" s="7" t="s">
        <v>31</v>
      </c>
      <c r="G6" s="4"/>
      <c r="H6" s="4"/>
      <c r="I6" s="4"/>
      <c r="J6" s="4"/>
      <c r="K6" s="4"/>
      <c r="L6" s="4"/>
      <c r="M6" s="4"/>
      <c r="N6" s="4"/>
      <c r="O6" s="4"/>
      <c r="P6" s="4"/>
      <c r="Q6" s="5"/>
      <c r="R6" s="5"/>
      <c r="S6" s="5"/>
    </row>
    <row r="7" spans="1:24" ht="13.8" x14ac:dyDescent="0.25">
      <c r="A7" s="2"/>
      <c r="B7" s="7" t="s">
        <v>104</v>
      </c>
      <c r="G7" s="4"/>
      <c r="H7" s="4"/>
      <c r="I7" s="4"/>
      <c r="J7" s="4"/>
      <c r="K7" s="4"/>
      <c r="L7" s="4"/>
      <c r="M7" s="4"/>
      <c r="N7" s="4"/>
      <c r="O7" s="4"/>
      <c r="P7" s="8"/>
      <c r="Q7" s="9"/>
      <c r="R7" s="9"/>
      <c r="S7" s="9"/>
      <c r="T7" s="10"/>
      <c r="U7" s="10"/>
    </row>
    <row r="8" spans="1:24" x14ac:dyDescent="0.25">
      <c r="A8" s="11"/>
      <c r="B8" s="1"/>
      <c r="C8" s="1"/>
      <c r="D8" s="1"/>
      <c r="E8" s="1"/>
      <c r="F8" s="1"/>
      <c r="G8" s="12"/>
      <c r="H8" s="12"/>
      <c r="I8" s="12"/>
      <c r="J8" s="12"/>
      <c r="K8" s="12"/>
      <c r="L8" s="12"/>
      <c r="M8" s="12"/>
      <c r="N8" s="12"/>
      <c r="O8" s="12"/>
      <c r="P8" s="12"/>
      <c r="Q8" s="12"/>
      <c r="R8" s="5"/>
      <c r="S8" s="5"/>
    </row>
    <row r="9" spans="1:24" x14ac:dyDescent="0.25">
      <c r="A9" s="11"/>
      <c r="B9" s="1"/>
      <c r="C9" s="1"/>
      <c r="D9" s="1"/>
      <c r="E9" s="1"/>
      <c r="F9" s="1"/>
      <c r="G9" s="1"/>
      <c r="H9" s="1"/>
      <c r="I9" s="1"/>
      <c r="J9" s="1"/>
      <c r="K9" s="1"/>
      <c r="L9" s="1"/>
      <c r="M9" s="1"/>
      <c r="N9" s="1"/>
      <c r="O9" s="1"/>
      <c r="P9" s="1"/>
      <c r="Q9" s="1"/>
    </row>
    <row r="10" spans="1:24" ht="17.399999999999999" x14ac:dyDescent="0.25">
      <c r="C10" s="110" t="s">
        <v>33</v>
      </c>
      <c r="D10" s="110" t="s">
        <v>34</v>
      </c>
      <c r="E10" s="110" t="s">
        <v>35</v>
      </c>
      <c r="F10" s="110" t="s">
        <v>36</v>
      </c>
      <c r="G10" s="110" t="s">
        <v>37</v>
      </c>
      <c r="H10" s="110" t="s">
        <v>38</v>
      </c>
      <c r="I10" s="110" t="s">
        <v>39</v>
      </c>
      <c r="J10" s="110" t="s">
        <v>40</v>
      </c>
      <c r="K10" s="110" t="s">
        <v>41</v>
      </c>
      <c r="L10" s="110" t="s">
        <v>42</v>
      </c>
      <c r="M10" s="110" t="s">
        <v>43</v>
      </c>
      <c r="N10" s="110" t="s">
        <v>33</v>
      </c>
      <c r="O10" s="110" t="s">
        <v>34</v>
      </c>
      <c r="P10" s="110" t="s">
        <v>35</v>
      </c>
      <c r="Q10" s="110" t="s">
        <v>36</v>
      </c>
      <c r="R10" s="110" t="s">
        <v>37</v>
      </c>
      <c r="S10" s="110" t="s">
        <v>38</v>
      </c>
      <c r="T10" s="110" t="s">
        <v>39</v>
      </c>
      <c r="U10" s="110" t="s">
        <v>40</v>
      </c>
      <c r="V10" s="110" t="s">
        <v>41</v>
      </c>
      <c r="W10" s="110" t="s">
        <v>42</v>
      </c>
      <c r="X10" s="110" t="s">
        <v>43</v>
      </c>
    </row>
    <row r="11" spans="1:24" ht="52.2" x14ac:dyDescent="0.25">
      <c r="A11" s="45" t="s">
        <v>105</v>
      </c>
      <c r="B11" s="45" t="s">
        <v>83</v>
      </c>
      <c r="C11" s="221" t="s">
        <v>106</v>
      </c>
      <c r="D11" s="221"/>
      <c r="E11" s="221"/>
      <c r="F11" s="221"/>
      <c r="G11" s="221"/>
      <c r="H11" s="221"/>
      <c r="I11" s="221"/>
      <c r="J11" s="221"/>
      <c r="K11" s="221"/>
      <c r="L11" s="221"/>
      <c r="M11" s="221"/>
      <c r="N11" s="222" t="s">
        <v>107</v>
      </c>
      <c r="O11" s="223"/>
      <c r="P11" s="223"/>
      <c r="Q11" s="223"/>
      <c r="R11" s="223"/>
      <c r="S11" s="223"/>
      <c r="T11" s="223"/>
      <c r="U11" s="223"/>
      <c r="V11" s="223"/>
      <c r="W11" s="223"/>
      <c r="X11" s="224"/>
    </row>
    <row r="12" spans="1:24" s="18" customFormat="1" x14ac:dyDescent="0.3">
      <c r="A12" s="13" t="s">
        <v>108</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x14ac:dyDescent="0.3">
      <c r="A13" s="19" t="s">
        <v>69</v>
      </c>
      <c r="B13" s="20">
        <v>335</v>
      </c>
      <c r="C13" s="20">
        <v>0.4</v>
      </c>
      <c r="D13" s="20">
        <v>0</v>
      </c>
      <c r="E13" s="20">
        <v>0</v>
      </c>
      <c r="F13" s="20">
        <v>0</v>
      </c>
      <c r="G13" s="20">
        <v>0</v>
      </c>
      <c r="H13" s="20">
        <v>0</v>
      </c>
      <c r="I13" s="20">
        <v>0</v>
      </c>
      <c r="J13" s="20">
        <v>0</v>
      </c>
      <c r="K13" s="20">
        <v>0</v>
      </c>
      <c r="L13" s="20">
        <v>0</v>
      </c>
      <c r="M13" s="20">
        <v>0</v>
      </c>
      <c r="N13" s="111">
        <f>C13*$B13</f>
        <v>134</v>
      </c>
      <c r="O13" s="111">
        <f t="shared" ref="N13:X17" si="0">D13*$B13</f>
        <v>0</v>
      </c>
      <c r="P13" s="111">
        <f t="shared" si="0"/>
        <v>0</v>
      </c>
      <c r="Q13" s="111">
        <f t="shared" si="0"/>
        <v>0</v>
      </c>
      <c r="R13" s="111">
        <f t="shared" si="0"/>
        <v>0</v>
      </c>
      <c r="S13" s="111">
        <f t="shared" si="0"/>
        <v>0</v>
      </c>
      <c r="T13" s="111">
        <f t="shared" si="0"/>
        <v>0</v>
      </c>
      <c r="U13" s="111">
        <f t="shared" si="0"/>
        <v>0</v>
      </c>
      <c r="V13" s="111">
        <f t="shared" si="0"/>
        <v>0</v>
      </c>
      <c r="W13" s="111">
        <f t="shared" si="0"/>
        <v>0</v>
      </c>
      <c r="X13" s="111">
        <f t="shared" si="0"/>
        <v>0</v>
      </c>
    </row>
    <row r="14" spans="1:24" s="18" customFormat="1" x14ac:dyDescent="0.3">
      <c r="A14" s="19" t="s">
        <v>70</v>
      </c>
      <c r="B14" s="20">
        <v>335</v>
      </c>
      <c r="C14" s="20">
        <v>0.4</v>
      </c>
      <c r="D14" s="20">
        <v>0</v>
      </c>
      <c r="E14" s="20">
        <v>0</v>
      </c>
      <c r="F14" s="20">
        <v>0</v>
      </c>
      <c r="G14" s="20">
        <v>0</v>
      </c>
      <c r="H14" s="20">
        <v>0</v>
      </c>
      <c r="I14" s="20">
        <v>0</v>
      </c>
      <c r="J14" s="20">
        <v>0</v>
      </c>
      <c r="K14" s="20">
        <v>0</v>
      </c>
      <c r="L14" s="20">
        <v>0</v>
      </c>
      <c r="M14" s="20">
        <v>0</v>
      </c>
      <c r="N14" s="111">
        <f t="shared" si="0"/>
        <v>134</v>
      </c>
      <c r="O14" s="111">
        <f t="shared" si="0"/>
        <v>0</v>
      </c>
      <c r="P14" s="111">
        <f t="shared" si="0"/>
        <v>0</v>
      </c>
      <c r="Q14" s="111">
        <f t="shared" si="0"/>
        <v>0</v>
      </c>
      <c r="R14" s="111">
        <f t="shared" si="0"/>
        <v>0</v>
      </c>
      <c r="S14" s="111">
        <f t="shared" si="0"/>
        <v>0</v>
      </c>
      <c r="T14" s="111">
        <f t="shared" si="0"/>
        <v>0</v>
      </c>
      <c r="U14" s="111">
        <f t="shared" si="0"/>
        <v>0</v>
      </c>
      <c r="V14" s="111">
        <f t="shared" si="0"/>
        <v>0</v>
      </c>
      <c r="W14" s="111">
        <f t="shared" si="0"/>
        <v>0</v>
      </c>
      <c r="X14" s="111">
        <f t="shared" si="0"/>
        <v>0</v>
      </c>
    </row>
    <row r="15" spans="1:24" s="18" customFormat="1" x14ac:dyDescent="0.3">
      <c r="A15" s="19" t="s">
        <v>71</v>
      </c>
      <c r="B15" s="20">
        <v>455</v>
      </c>
      <c r="C15" s="20">
        <v>0.4</v>
      </c>
      <c r="D15" s="20">
        <v>0</v>
      </c>
      <c r="E15" s="20">
        <v>0</v>
      </c>
      <c r="F15" s="20">
        <v>0</v>
      </c>
      <c r="G15" s="20">
        <v>0</v>
      </c>
      <c r="H15" s="20">
        <v>0</v>
      </c>
      <c r="I15" s="20">
        <v>0</v>
      </c>
      <c r="J15" s="20">
        <v>0</v>
      </c>
      <c r="K15" s="20">
        <v>0</v>
      </c>
      <c r="L15" s="20">
        <v>0</v>
      </c>
      <c r="M15" s="20">
        <v>0</v>
      </c>
      <c r="N15" s="111">
        <f t="shared" si="0"/>
        <v>182</v>
      </c>
      <c r="O15" s="111">
        <f t="shared" si="0"/>
        <v>0</v>
      </c>
      <c r="P15" s="111">
        <f t="shared" si="0"/>
        <v>0</v>
      </c>
      <c r="Q15" s="111">
        <f t="shared" si="0"/>
        <v>0</v>
      </c>
      <c r="R15" s="111">
        <f t="shared" si="0"/>
        <v>0</v>
      </c>
      <c r="S15" s="111">
        <f t="shared" si="0"/>
        <v>0</v>
      </c>
      <c r="T15" s="111">
        <f t="shared" si="0"/>
        <v>0</v>
      </c>
      <c r="U15" s="111">
        <f t="shared" si="0"/>
        <v>0</v>
      </c>
      <c r="V15" s="111">
        <f t="shared" si="0"/>
        <v>0</v>
      </c>
      <c r="W15" s="111">
        <f t="shared" si="0"/>
        <v>0</v>
      </c>
      <c r="X15" s="111">
        <f t="shared" si="0"/>
        <v>0</v>
      </c>
    </row>
    <row r="16" spans="1:24" s="18" customFormat="1" x14ac:dyDescent="0.3">
      <c r="A16" s="19" t="s">
        <v>72</v>
      </c>
      <c r="B16" s="20">
        <v>395</v>
      </c>
      <c r="C16" s="20">
        <v>0.4</v>
      </c>
      <c r="D16" s="20">
        <v>0</v>
      </c>
      <c r="E16" s="20">
        <v>0</v>
      </c>
      <c r="F16" s="20">
        <v>0</v>
      </c>
      <c r="G16" s="20">
        <v>0</v>
      </c>
      <c r="H16" s="20">
        <v>0</v>
      </c>
      <c r="I16" s="20">
        <v>0</v>
      </c>
      <c r="J16" s="20">
        <v>0</v>
      </c>
      <c r="K16" s="20">
        <v>0</v>
      </c>
      <c r="L16" s="20">
        <v>0</v>
      </c>
      <c r="M16" s="20">
        <v>0</v>
      </c>
      <c r="N16" s="111">
        <f t="shared" si="0"/>
        <v>158</v>
      </c>
      <c r="O16" s="111">
        <f t="shared" si="0"/>
        <v>0</v>
      </c>
      <c r="P16" s="111">
        <f t="shared" si="0"/>
        <v>0</v>
      </c>
      <c r="Q16" s="111">
        <f t="shared" si="0"/>
        <v>0</v>
      </c>
      <c r="R16" s="111">
        <f t="shared" si="0"/>
        <v>0</v>
      </c>
      <c r="S16" s="111">
        <f t="shared" si="0"/>
        <v>0</v>
      </c>
      <c r="T16" s="111">
        <f t="shared" si="0"/>
        <v>0</v>
      </c>
      <c r="U16" s="111">
        <f t="shared" si="0"/>
        <v>0</v>
      </c>
      <c r="V16" s="111">
        <f t="shared" si="0"/>
        <v>0</v>
      </c>
      <c r="W16" s="111">
        <f t="shared" si="0"/>
        <v>0</v>
      </c>
      <c r="X16" s="111">
        <f t="shared" si="0"/>
        <v>0</v>
      </c>
    </row>
    <row r="17" spans="1:24" s="18" customFormat="1" x14ac:dyDescent="0.3">
      <c r="A17" s="19" t="s">
        <v>73</v>
      </c>
      <c r="B17" s="20">
        <v>345</v>
      </c>
      <c r="C17" s="20">
        <v>0.4</v>
      </c>
      <c r="D17" s="20">
        <v>0</v>
      </c>
      <c r="E17" s="20">
        <v>0</v>
      </c>
      <c r="F17" s="20">
        <v>0</v>
      </c>
      <c r="G17" s="20">
        <v>0</v>
      </c>
      <c r="H17" s="20">
        <v>0</v>
      </c>
      <c r="I17" s="20">
        <v>0</v>
      </c>
      <c r="J17" s="20">
        <v>0</v>
      </c>
      <c r="K17" s="20">
        <v>0</v>
      </c>
      <c r="L17" s="20">
        <v>0</v>
      </c>
      <c r="M17" s="20">
        <v>0</v>
      </c>
      <c r="N17" s="111">
        <f t="shared" si="0"/>
        <v>138</v>
      </c>
      <c r="O17" s="111">
        <f t="shared" si="0"/>
        <v>0</v>
      </c>
      <c r="P17" s="111">
        <f t="shared" si="0"/>
        <v>0</v>
      </c>
      <c r="Q17" s="111">
        <f t="shared" si="0"/>
        <v>0</v>
      </c>
      <c r="R17" s="111">
        <f t="shared" si="0"/>
        <v>0</v>
      </c>
      <c r="S17" s="111">
        <f t="shared" si="0"/>
        <v>0</v>
      </c>
      <c r="T17" s="111">
        <f t="shared" si="0"/>
        <v>0</v>
      </c>
      <c r="U17" s="111">
        <f t="shared" si="0"/>
        <v>0</v>
      </c>
      <c r="V17" s="111">
        <f t="shared" si="0"/>
        <v>0</v>
      </c>
      <c r="W17" s="111">
        <f t="shared" si="0"/>
        <v>0</v>
      </c>
      <c r="X17" s="111">
        <f t="shared" si="0"/>
        <v>0</v>
      </c>
    </row>
    <row r="18" spans="1:24" s="18" customFormat="1" x14ac:dyDescent="0.3">
      <c r="A18" s="13" t="s">
        <v>109</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x14ac:dyDescent="0.3">
      <c r="A19" s="19" t="s">
        <v>69</v>
      </c>
      <c r="B19" s="20">
        <v>150</v>
      </c>
      <c r="C19" s="20">
        <v>0.4</v>
      </c>
      <c r="D19" s="20">
        <v>0</v>
      </c>
      <c r="E19" s="20">
        <v>0</v>
      </c>
      <c r="F19" s="20">
        <v>0</v>
      </c>
      <c r="G19" s="20">
        <v>0</v>
      </c>
      <c r="H19" s="20">
        <v>0</v>
      </c>
      <c r="I19" s="20">
        <v>0</v>
      </c>
      <c r="J19" s="20">
        <v>0</v>
      </c>
      <c r="K19" s="20">
        <v>0</v>
      </c>
      <c r="L19" s="20">
        <v>0</v>
      </c>
      <c r="M19" s="20">
        <v>0</v>
      </c>
      <c r="N19" s="111">
        <f t="shared" ref="N19:N23" si="1">C19*$B19</f>
        <v>60</v>
      </c>
      <c r="O19" s="111">
        <f t="shared" ref="O19:O23" si="2">D19*$B19</f>
        <v>0</v>
      </c>
      <c r="P19" s="111">
        <f t="shared" ref="P19:P23" si="3">E19*$B19</f>
        <v>0</v>
      </c>
      <c r="Q19" s="111">
        <f t="shared" ref="Q19:Q23" si="4">F19*$B19</f>
        <v>0</v>
      </c>
      <c r="R19" s="111">
        <f t="shared" ref="R19:R23" si="5">G19*$B19</f>
        <v>0</v>
      </c>
      <c r="S19" s="111">
        <f t="shared" ref="S19:S23" si="6">H19*$B19</f>
        <v>0</v>
      </c>
      <c r="T19" s="111">
        <f t="shared" ref="T19:T23" si="7">I19*$B19</f>
        <v>0</v>
      </c>
      <c r="U19" s="111">
        <f t="shared" ref="U19:U23" si="8">J19*$B19</f>
        <v>0</v>
      </c>
      <c r="V19" s="111">
        <f t="shared" ref="V19:V23" si="9">K19*$B19</f>
        <v>0</v>
      </c>
      <c r="W19" s="111">
        <f t="shared" ref="W19:W23" si="10">L19*$B19</f>
        <v>0</v>
      </c>
      <c r="X19" s="111">
        <f t="shared" ref="X19:X23" si="11">M19*$B19</f>
        <v>0</v>
      </c>
    </row>
    <row r="20" spans="1:24" s="18" customFormat="1" x14ac:dyDescent="0.3">
      <c r="A20" s="19" t="s">
        <v>70</v>
      </c>
      <c r="B20" s="20">
        <v>150</v>
      </c>
      <c r="C20" s="20">
        <v>0.4</v>
      </c>
      <c r="D20" s="20">
        <v>0</v>
      </c>
      <c r="E20" s="20">
        <v>0</v>
      </c>
      <c r="F20" s="20">
        <v>0</v>
      </c>
      <c r="G20" s="20">
        <v>0</v>
      </c>
      <c r="H20" s="20">
        <v>0</v>
      </c>
      <c r="I20" s="20">
        <v>0</v>
      </c>
      <c r="J20" s="20">
        <v>0</v>
      </c>
      <c r="K20" s="20">
        <v>0</v>
      </c>
      <c r="L20" s="20">
        <v>0</v>
      </c>
      <c r="M20" s="20">
        <v>0</v>
      </c>
      <c r="N20" s="111">
        <f t="shared" si="1"/>
        <v>60</v>
      </c>
      <c r="O20" s="111">
        <f t="shared" si="2"/>
        <v>0</v>
      </c>
      <c r="P20" s="111">
        <f t="shared" si="3"/>
        <v>0</v>
      </c>
      <c r="Q20" s="111">
        <f t="shared" si="4"/>
        <v>0</v>
      </c>
      <c r="R20" s="111">
        <f t="shared" si="5"/>
        <v>0</v>
      </c>
      <c r="S20" s="111">
        <f t="shared" si="6"/>
        <v>0</v>
      </c>
      <c r="T20" s="111">
        <f t="shared" si="7"/>
        <v>0</v>
      </c>
      <c r="U20" s="111">
        <f t="shared" si="8"/>
        <v>0</v>
      </c>
      <c r="V20" s="111">
        <f t="shared" si="9"/>
        <v>0</v>
      </c>
      <c r="W20" s="111">
        <f t="shared" si="10"/>
        <v>0</v>
      </c>
      <c r="X20" s="111">
        <f t="shared" si="11"/>
        <v>0</v>
      </c>
    </row>
    <row r="21" spans="1:24" s="18" customFormat="1" x14ac:dyDescent="0.3">
      <c r="A21" s="19" t="s">
        <v>71</v>
      </c>
      <c r="B21" s="20">
        <v>200</v>
      </c>
      <c r="C21" s="20">
        <v>0.4</v>
      </c>
      <c r="D21" s="20">
        <v>0</v>
      </c>
      <c r="E21" s="20">
        <v>0</v>
      </c>
      <c r="F21" s="20">
        <v>0</v>
      </c>
      <c r="G21" s="20">
        <v>0</v>
      </c>
      <c r="H21" s="20">
        <v>0</v>
      </c>
      <c r="I21" s="20">
        <v>0</v>
      </c>
      <c r="J21" s="20">
        <v>0</v>
      </c>
      <c r="K21" s="20">
        <v>0</v>
      </c>
      <c r="L21" s="20">
        <v>0</v>
      </c>
      <c r="M21" s="20">
        <v>0</v>
      </c>
      <c r="N21" s="111">
        <f t="shared" si="1"/>
        <v>80</v>
      </c>
      <c r="O21" s="111">
        <f t="shared" si="2"/>
        <v>0</v>
      </c>
      <c r="P21" s="111">
        <f t="shared" si="3"/>
        <v>0</v>
      </c>
      <c r="Q21" s="111">
        <f t="shared" si="4"/>
        <v>0</v>
      </c>
      <c r="R21" s="111">
        <f t="shared" si="5"/>
        <v>0</v>
      </c>
      <c r="S21" s="111">
        <f t="shared" si="6"/>
        <v>0</v>
      </c>
      <c r="T21" s="111">
        <f t="shared" si="7"/>
        <v>0</v>
      </c>
      <c r="U21" s="111">
        <f t="shared" si="8"/>
        <v>0</v>
      </c>
      <c r="V21" s="111">
        <f t="shared" si="9"/>
        <v>0</v>
      </c>
      <c r="W21" s="111">
        <f t="shared" si="10"/>
        <v>0</v>
      </c>
      <c r="X21" s="111">
        <f t="shared" si="11"/>
        <v>0</v>
      </c>
    </row>
    <row r="22" spans="1:24" s="18" customFormat="1" x14ac:dyDescent="0.3">
      <c r="A22" s="19" t="s">
        <v>72</v>
      </c>
      <c r="B22" s="20">
        <v>250</v>
      </c>
      <c r="C22" s="20">
        <v>0.4</v>
      </c>
      <c r="D22" s="20">
        <v>0</v>
      </c>
      <c r="E22" s="20">
        <v>0</v>
      </c>
      <c r="F22" s="20">
        <v>0</v>
      </c>
      <c r="G22" s="20">
        <v>0</v>
      </c>
      <c r="H22" s="20">
        <v>0</v>
      </c>
      <c r="I22" s="20">
        <v>0</v>
      </c>
      <c r="J22" s="20">
        <v>0</v>
      </c>
      <c r="K22" s="20">
        <v>0</v>
      </c>
      <c r="L22" s="20">
        <v>0</v>
      </c>
      <c r="M22" s="20">
        <v>0</v>
      </c>
      <c r="N22" s="111">
        <f t="shared" si="1"/>
        <v>100</v>
      </c>
      <c r="O22" s="111">
        <f t="shared" si="2"/>
        <v>0</v>
      </c>
      <c r="P22" s="111">
        <f t="shared" si="3"/>
        <v>0</v>
      </c>
      <c r="Q22" s="111">
        <f t="shared" si="4"/>
        <v>0</v>
      </c>
      <c r="R22" s="111">
        <f t="shared" si="5"/>
        <v>0</v>
      </c>
      <c r="S22" s="111">
        <f t="shared" si="6"/>
        <v>0</v>
      </c>
      <c r="T22" s="111">
        <f t="shared" si="7"/>
        <v>0</v>
      </c>
      <c r="U22" s="111">
        <f t="shared" si="8"/>
        <v>0</v>
      </c>
      <c r="V22" s="111">
        <f t="shared" si="9"/>
        <v>0</v>
      </c>
      <c r="W22" s="111">
        <f t="shared" si="10"/>
        <v>0</v>
      </c>
      <c r="X22" s="111">
        <f t="shared" si="11"/>
        <v>0</v>
      </c>
    </row>
    <row r="23" spans="1:24" s="18" customFormat="1" x14ac:dyDescent="0.3">
      <c r="A23" s="19" t="s">
        <v>73</v>
      </c>
      <c r="B23" s="20">
        <v>150</v>
      </c>
      <c r="C23" s="20">
        <v>0.4</v>
      </c>
      <c r="D23" s="20">
        <v>0</v>
      </c>
      <c r="E23" s="20">
        <v>0</v>
      </c>
      <c r="F23" s="20">
        <v>0</v>
      </c>
      <c r="G23" s="20">
        <v>0</v>
      </c>
      <c r="H23" s="20">
        <v>0</v>
      </c>
      <c r="I23" s="20">
        <v>0</v>
      </c>
      <c r="J23" s="20">
        <v>0</v>
      </c>
      <c r="K23" s="20">
        <v>0</v>
      </c>
      <c r="L23" s="20">
        <v>0</v>
      </c>
      <c r="M23" s="20">
        <v>0</v>
      </c>
      <c r="N23" s="111">
        <f t="shared" si="1"/>
        <v>60</v>
      </c>
      <c r="O23" s="111">
        <f t="shared" si="2"/>
        <v>0</v>
      </c>
      <c r="P23" s="111">
        <f t="shared" si="3"/>
        <v>0</v>
      </c>
      <c r="Q23" s="111">
        <f t="shared" si="4"/>
        <v>0</v>
      </c>
      <c r="R23" s="111">
        <f t="shared" si="5"/>
        <v>0</v>
      </c>
      <c r="S23" s="111">
        <f t="shared" si="6"/>
        <v>0</v>
      </c>
      <c r="T23" s="111">
        <f t="shared" si="7"/>
        <v>0</v>
      </c>
      <c r="U23" s="111">
        <f t="shared" si="8"/>
        <v>0</v>
      </c>
      <c r="V23" s="111">
        <f t="shared" si="9"/>
        <v>0</v>
      </c>
      <c r="W23" s="111">
        <f t="shared" si="10"/>
        <v>0</v>
      </c>
      <c r="X23" s="111">
        <f t="shared" si="11"/>
        <v>0</v>
      </c>
    </row>
    <row r="24" spans="1:24" s="18" customFormat="1" x14ac:dyDescent="0.3">
      <c r="A24" s="19" t="s">
        <v>110</v>
      </c>
      <c r="B24" s="20">
        <v>0</v>
      </c>
      <c r="C24" s="20">
        <v>0.4</v>
      </c>
      <c r="D24" s="20">
        <v>0</v>
      </c>
      <c r="E24" s="20">
        <v>0</v>
      </c>
      <c r="F24" s="20">
        <v>0</v>
      </c>
      <c r="G24" s="20">
        <v>0</v>
      </c>
      <c r="H24" s="20">
        <v>0</v>
      </c>
      <c r="I24" s="20">
        <v>0</v>
      </c>
      <c r="J24" s="20">
        <v>0</v>
      </c>
      <c r="K24" s="20">
        <v>0</v>
      </c>
      <c r="L24" s="20">
        <v>0</v>
      </c>
      <c r="M24" s="20">
        <v>0</v>
      </c>
      <c r="N24" s="111">
        <f t="shared" ref="N24:X24" si="12">C24*$B24</f>
        <v>0</v>
      </c>
      <c r="O24" s="111">
        <f t="shared" si="12"/>
        <v>0</v>
      </c>
      <c r="P24" s="111">
        <f t="shared" si="12"/>
        <v>0</v>
      </c>
      <c r="Q24" s="111">
        <f t="shared" si="12"/>
        <v>0</v>
      </c>
      <c r="R24" s="111">
        <f t="shared" si="12"/>
        <v>0</v>
      </c>
      <c r="S24" s="111">
        <f t="shared" si="12"/>
        <v>0</v>
      </c>
      <c r="T24" s="111">
        <f t="shared" si="12"/>
        <v>0</v>
      </c>
      <c r="U24" s="111">
        <f t="shared" si="12"/>
        <v>0</v>
      </c>
      <c r="V24" s="111">
        <f t="shared" si="12"/>
        <v>0</v>
      </c>
      <c r="W24" s="111">
        <f t="shared" si="12"/>
        <v>0</v>
      </c>
      <c r="X24" s="111">
        <f t="shared" si="12"/>
        <v>0</v>
      </c>
    </row>
    <row r="25" spans="1:24" s="28" customFormat="1" x14ac:dyDescent="0.3">
      <c r="A25" s="25"/>
      <c r="B25" s="26"/>
      <c r="C25" s="26"/>
      <c r="D25" s="26"/>
      <c r="E25" s="26"/>
      <c r="F25" s="26"/>
      <c r="G25" s="26"/>
      <c r="H25" s="26"/>
      <c r="I25" s="26"/>
      <c r="J25" s="26"/>
      <c r="K25" s="26"/>
      <c r="L25" s="26"/>
      <c r="M25" s="27"/>
    </row>
    <row r="26" spans="1:24" s="5" customFormat="1" ht="13.8" x14ac:dyDescent="0.25">
      <c r="A26" s="29" t="s">
        <v>61</v>
      </c>
      <c r="B26" s="30"/>
      <c r="C26" s="30"/>
      <c r="D26" s="30"/>
      <c r="E26" s="30"/>
      <c r="F26" s="30"/>
      <c r="G26" s="30"/>
      <c r="H26" s="30"/>
      <c r="I26" s="30"/>
      <c r="J26" s="30"/>
      <c r="K26" s="30"/>
      <c r="L26" s="31"/>
      <c r="M26" s="32"/>
      <c r="N26" s="33"/>
      <c r="O26" s="34"/>
      <c r="P26" s="34"/>
      <c r="Q26" s="34"/>
      <c r="R26" s="34"/>
      <c r="S26" s="34"/>
      <c r="T26" s="34"/>
    </row>
    <row r="27" spans="1:24" s="5" customFormat="1" ht="13.8" x14ac:dyDescent="0.25">
      <c r="A27" s="35"/>
      <c r="B27" s="36"/>
      <c r="C27" s="36"/>
      <c r="D27" s="36"/>
      <c r="E27" s="36"/>
      <c r="F27" s="36"/>
      <c r="G27" s="36"/>
      <c r="H27" s="36"/>
      <c r="I27" s="36"/>
      <c r="J27" s="36"/>
      <c r="K27" s="36"/>
      <c r="L27" s="37"/>
      <c r="M27" s="38"/>
      <c r="N27" s="33"/>
      <c r="O27" s="34"/>
      <c r="P27" s="34"/>
      <c r="Q27" s="34"/>
      <c r="R27" s="34"/>
      <c r="S27" s="34"/>
      <c r="T27" s="34"/>
    </row>
    <row r="28" spans="1:24" s="5" customFormat="1" ht="13.8" x14ac:dyDescent="0.25">
      <c r="A28" s="35"/>
      <c r="B28" s="36"/>
      <c r="C28" s="36"/>
      <c r="D28" s="36"/>
      <c r="E28" s="36"/>
      <c r="F28" s="36"/>
      <c r="G28" s="36"/>
      <c r="H28" s="36"/>
      <c r="I28" s="36"/>
      <c r="J28" s="36"/>
      <c r="K28" s="36"/>
      <c r="L28" s="37"/>
      <c r="M28" s="38"/>
      <c r="N28" s="33"/>
      <c r="O28" s="34"/>
      <c r="P28" s="34"/>
      <c r="Q28" s="34"/>
      <c r="R28" s="34"/>
      <c r="S28" s="34"/>
      <c r="T28" s="34"/>
    </row>
    <row r="29" spans="1:24" s="5" customFormat="1" ht="13.8" x14ac:dyDescent="0.25">
      <c r="A29" s="35"/>
      <c r="B29" s="36"/>
      <c r="C29" s="36"/>
      <c r="D29" s="36"/>
      <c r="E29" s="36"/>
      <c r="F29" s="36"/>
      <c r="G29" s="36"/>
      <c r="H29" s="36"/>
      <c r="I29" s="36"/>
      <c r="J29" s="36"/>
      <c r="K29" s="36"/>
      <c r="L29" s="37"/>
      <c r="M29" s="38"/>
      <c r="N29" s="33"/>
      <c r="O29" s="34"/>
      <c r="P29" s="34"/>
      <c r="Q29" s="34"/>
      <c r="R29" s="34"/>
      <c r="S29" s="34"/>
      <c r="T29" s="34"/>
    </row>
    <row r="30" spans="1:24" s="5" customFormat="1" ht="13.8" x14ac:dyDescent="0.25">
      <c r="A30" s="35"/>
      <c r="B30" s="36"/>
      <c r="C30" s="36"/>
      <c r="D30" s="36"/>
      <c r="E30" s="36"/>
      <c r="F30" s="36"/>
      <c r="G30" s="36"/>
      <c r="H30" s="36"/>
      <c r="I30" s="36"/>
      <c r="J30" s="36"/>
      <c r="K30" s="36"/>
      <c r="L30" s="37"/>
      <c r="M30" s="38"/>
      <c r="N30" s="33"/>
      <c r="O30" s="34"/>
      <c r="P30" s="34"/>
      <c r="Q30" s="34"/>
      <c r="R30" s="34"/>
      <c r="S30" s="34"/>
      <c r="T30" s="34"/>
    </row>
    <row r="31" spans="1:24" s="5" customFormat="1" ht="13.8" x14ac:dyDescent="0.25">
      <c r="A31" s="35"/>
      <c r="B31" s="36"/>
      <c r="C31" s="36"/>
      <c r="D31" s="36"/>
      <c r="E31" s="36"/>
      <c r="F31" s="36"/>
      <c r="G31" s="36"/>
      <c r="H31" s="36"/>
      <c r="I31" s="36"/>
      <c r="J31" s="36"/>
      <c r="K31" s="36"/>
      <c r="L31" s="37"/>
      <c r="M31" s="38"/>
      <c r="N31" s="33"/>
      <c r="O31" s="34"/>
      <c r="P31" s="34"/>
      <c r="Q31" s="34"/>
      <c r="R31" s="34"/>
      <c r="S31" s="34"/>
      <c r="T31" s="34"/>
    </row>
    <row r="32" spans="1:24" s="5" customFormat="1" ht="13.8" x14ac:dyDescent="0.25">
      <c r="A32" s="35"/>
      <c r="B32" s="36"/>
      <c r="C32" s="36"/>
      <c r="D32" s="36"/>
      <c r="E32" s="36"/>
      <c r="F32" s="36"/>
      <c r="G32" s="36"/>
      <c r="H32" s="36"/>
      <c r="I32" s="36"/>
      <c r="J32" s="36"/>
      <c r="K32" s="36"/>
      <c r="L32" s="37"/>
      <c r="M32" s="38"/>
      <c r="N32" s="33"/>
      <c r="O32" s="34"/>
      <c r="P32" s="34"/>
      <c r="Q32" s="34"/>
      <c r="R32" s="34"/>
      <c r="S32" s="34"/>
      <c r="T32" s="34"/>
    </row>
    <row r="33" spans="1:20" s="5" customFormat="1" ht="13.8" x14ac:dyDescent="0.25">
      <c r="A33" s="35"/>
      <c r="B33" s="36"/>
      <c r="C33" s="36"/>
      <c r="D33" s="36"/>
      <c r="E33" s="36"/>
      <c r="F33" s="36"/>
      <c r="G33" s="36"/>
      <c r="H33" s="36"/>
      <c r="I33" s="36"/>
      <c r="J33" s="36"/>
      <c r="K33" s="36"/>
      <c r="L33" s="37"/>
      <c r="M33" s="38"/>
      <c r="N33" s="33"/>
      <c r="O33" s="34"/>
      <c r="P33" s="34"/>
      <c r="Q33" s="34"/>
      <c r="R33" s="34"/>
      <c r="S33" s="34"/>
      <c r="T33" s="34"/>
    </row>
    <row r="34" spans="1:20" s="5" customFormat="1" ht="13.8" x14ac:dyDescent="0.25">
      <c r="A34" s="35"/>
      <c r="B34" s="36"/>
      <c r="C34" s="36"/>
      <c r="D34" s="36"/>
      <c r="E34" s="36"/>
      <c r="F34" s="36"/>
      <c r="G34" s="36"/>
      <c r="H34" s="36"/>
      <c r="I34" s="36"/>
      <c r="J34" s="36"/>
      <c r="K34" s="36"/>
      <c r="L34" s="37"/>
      <c r="M34" s="38"/>
      <c r="N34" s="33"/>
      <c r="O34" s="34"/>
      <c r="P34" s="34"/>
      <c r="Q34" s="34"/>
      <c r="R34" s="34"/>
      <c r="S34" s="34"/>
      <c r="T34" s="34"/>
    </row>
    <row r="35" spans="1:20" s="5" customFormat="1" ht="13.8" x14ac:dyDescent="0.25">
      <c r="A35" s="35"/>
      <c r="B35" s="36"/>
      <c r="C35" s="36"/>
      <c r="D35" s="36"/>
      <c r="E35" s="36"/>
      <c r="F35" s="36"/>
      <c r="G35" s="36"/>
      <c r="H35" s="36"/>
      <c r="I35" s="36"/>
      <c r="J35" s="36"/>
      <c r="K35" s="36"/>
      <c r="L35" s="37"/>
      <c r="M35" s="38"/>
      <c r="N35" s="33"/>
      <c r="O35" s="34"/>
      <c r="P35" s="34"/>
      <c r="Q35" s="34"/>
      <c r="R35" s="34"/>
      <c r="S35" s="34"/>
      <c r="T35" s="34"/>
    </row>
    <row r="36" spans="1:20" s="5" customFormat="1" ht="13.8" x14ac:dyDescent="0.25">
      <c r="A36" s="35"/>
      <c r="B36" s="36"/>
      <c r="C36" s="36"/>
      <c r="D36" s="36"/>
      <c r="E36" s="36"/>
      <c r="F36" s="36"/>
      <c r="G36" s="36"/>
      <c r="H36" s="36"/>
      <c r="I36" s="36"/>
      <c r="J36" s="36"/>
      <c r="K36" s="36"/>
      <c r="L36" s="37"/>
      <c r="M36" s="38"/>
      <c r="N36" s="33"/>
      <c r="O36" s="34"/>
      <c r="P36" s="34"/>
      <c r="Q36" s="34"/>
      <c r="R36" s="34"/>
      <c r="S36" s="34"/>
      <c r="T36" s="34"/>
    </row>
    <row r="37" spans="1:20" s="5" customFormat="1" ht="13.8" x14ac:dyDescent="0.25">
      <c r="A37" s="35"/>
      <c r="B37" s="36"/>
      <c r="C37" s="36"/>
      <c r="D37" s="36"/>
      <c r="E37" s="36"/>
      <c r="F37" s="36"/>
      <c r="G37" s="36"/>
      <c r="H37" s="36"/>
      <c r="I37" s="36"/>
      <c r="J37" s="36"/>
      <c r="K37" s="36"/>
      <c r="L37" s="37"/>
      <c r="M37" s="38"/>
      <c r="N37" s="33"/>
      <c r="O37" s="34"/>
      <c r="P37" s="34"/>
      <c r="Q37" s="34"/>
      <c r="R37" s="34"/>
      <c r="S37" s="34"/>
      <c r="T37" s="34"/>
    </row>
    <row r="38" spans="1:20" s="5" customFormat="1" ht="13.8" x14ac:dyDescent="0.25">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dimension ref="A1:CI70"/>
  <sheetViews>
    <sheetView topLeftCell="A16" workbookViewId="0">
      <selection activeCell="B53" sqref="B53:F56"/>
    </sheetView>
  </sheetViews>
  <sheetFormatPr defaultColWidth="9.109375" defaultRowHeight="13.2" x14ac:dyDescent="0.25"/>
  <cols>
    <col min="1" max="1" width="38.5546875" style="6" customWidth="1"/>
    <col min="2" max="2" width="9.44140625" style="6" customWidth="1"/>
    <col min="3" max="4" width="9.44140625" style="3" customWidth="1"/>
    <col min="5" max="5" width="12.5546875" style="3" customWidth="1"/>
    <col min="6" max="6" width="8.6640625" style="3" bestFit="1" customWidth="1"/>
    <col min="7" max="7" width="9.44140625" style="3" customWidth="1"/>
    <col min="8" max="8" width="38.6640625" style="6" bestFit="1" customWidth="1"/>
    <col min="9" max="9" width="11.5546875" style="6" customWidth="1"/>
    <col min="10" max="10" width="9.44140625" style="6" customWidth="1"/>
    <col min="11" max="11" width="9.44140625" style="3" customWidth="1"/>
    <col min="12" max="12" width="10.44140625" style="3" customWidth="1"/>
    <col min="13" max="14" width="9.44140625" style="3" customWidth="1"/>
    <col min="15" max="15" width="38.6640625" style="3" bestFit="1" customWidth="1"/>
    <col min="16" max="16" width="13.5546875" style="6" customWidth="1"/>
    <col min="17" max="17" width="14.44140625" style="6" customWidth="1"/>
    <col min="18" max="18" width="9.44140625" style="6" customWidth="1"/>
    <col min="19" max="19" width="10.5546875" style="3" customWidth="1"/>
    <col min="20" max="21" width="9.44140625" style="3" customWidth="1"/>
    <col min="22" max="22" width="38.6640625" style="3" bestFit="1" customWidth="1"/>
    <col min="23" max="23" width="9.44140625" style="3" customWidth="1"/>
    <col min="24" max="25" width="10" style="6" customWidth="1"/>
    <col min="26" max="26" width="11.44140625" style="6" customWidth="1"/>
    <col min="27" max="28" width="9.44140625" style="3" customWidth="1"/>
    <col min="29" max="29" width="38.6640625" style="3" bestFit="1" customWidth="1"/>
    <col min="30" max="31" width="9.44140625" style="3" customWidth="1"/>
    <col min="32" max="32" width="11.109375" style="6" customWidth="1"/>
    <col min="33" max="33" width="11" style="6" customWidth="1"/>
    <col min="34" max="35" width="9.44140625" style="3" customWidth="1"/>
    <col min="36" max="36" width="38.6640625" style="3" bestFit="1" customWidth="1"/>
    <col min="37" max="39" width="9.44140625" style="3" customWidth="1"/>
    <col min="40" max="40" width="10.88671875" style="6" customWidth="1"/>
    <col min="41" max="41" width="9.44140625" style="6" customWidth="1"/>
    <col min="42" max="42" width="9.44140625" style="3" customWidth="1"/>
    <col min="43" max="43" width="38.6640625" style="3" bestFit="1" customWidth="1"/>
    <col min="44" max="44" width="14" style="3" customWidth="1"/>
    <col min="45" max="46" width="9.44140625" style="3" customWidth="1"/>
    <col min="47" max="47" width="11.88671875" style="3" customWidth="1"/>
    <col min="48" max="48" width="12.6640625" style="6" bestFit="1" customWidth="1"/>
    <col min="49" max="49" width="9.44140625" style="6" customWidth="1"/>
    <col min="50" max="50" width="38.6640625" style="3" bestFit="1" customWidth="1"/>
    <col min="51" max="51" width="9.33203125" style="3" customWidth="1"/>
    <col min="52" max="53" width="9.44140625" style="3" customWidth="1"/>
    <col min="54" max="54" width="13.44140625" style="3" customWidth="1"/>
    <col min="55" max="55" width="8.109375" style="6" bestFit="1" customWidth="1"/>
    <col min="56" max="56" width="8.44140625" style="6" customWidth="1"/>
    <col min="57" max="57" width="38.6640625" style="6" bestFit="1" customWidth="1"/>
    <col min="58" max="58" width="9.6640625" style="3" customWidth="1"/>
    <col min="59" max="60" width="9.44140625" style="3" customWidth="1"/>
    <col min="61" max="61" width="10.88671875" style="3" customWidth="1"/>
    <col min="62" max="62" width="9.44140625" style="3" customWidth="1"/>
    <col min="63" max="63" width="8.109375" style="6" bestFit="1" customWidth="1"/>
    <col min="64" max="64" width="38.5546875" style="6" customWidth="1"/>
    <col min="65" max="65" width="9.44140625" style="6" customWidth="1"/>
    <col min="66" max="67" width="9.44140625" style="3" customWidth="1"/>
    <col min="68" max="68" width="11.88671875" style="3" customWidth="1"/>
    <col min="69" max="70" width="9.44140625" style="3" customWidth="1"/>
    <col min="71" max="71" width="38.6640625" style="6" bestFit="1" customWidth="1"/>
    <col min="72" max="72" width="11.6640625" style="6" customWidth="1"/>
    <col min="73" max="73" width="11.5546875" style="6" customWidth="1"/>
    <col min="74" max="74" width="9.44140625" style="3" customWidth="1"/>
    <col min="75" max="75" width="10.44140625" style="3" customWidth="1"/>
    <col min="76" max="78" width="9.44140625" style="3" customWidth="1"/>
    <col min="79" max="79" width="2.5546875" style="6" customWidth="1"/>
    <col min="80" max="80" width="38.5546875" style="6" customWidth="1"/>
    <col min="81" max="81" width="9.44140625" style="6" customWidth="1"/>
    <col min="82" max="87" width="9.44140625" style="3" customWidth="1"/>
    <col min="88" max="16384" width="9.109375" style="6"/>
  </cols>
  <sheetData>
    <row r="1" spans="1:87" s="1" customFormat="1" ht="31.2" x14ac:dyDescent="0.45">
      <c r="A1" s="73" t="s">
        <v>111</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47"/>
      <c r="BZ1" s="47"/>
      <c r="CA1" s="47"/>
      <c r="CB1" s="47"/>
      <c r="CC1" s="47"/>
      <c r="CD1" s="47"/>
      <c r="CE1" s="50"/>
      <c r="CF1" s="50"/>
      <c r="CG1" s="50"/>
      <c r="CH1" s="49"/>
      <c r="CI1" s="49"/>
    </row>
    <row r="2" spans="1:87" ht="27.6" x14ac:dyDescent="0.25">
      <c r="A2" s="115" t="s">
        <v>27</v>
      </c>
      <c r="B2" s="112" t="s">
        <v>112</v>
      </c>
      <c r="C2" s="113"/>
      <c r="D2" s="114"/>
      <c r="E2" s="114"/>
      <c r="F2" s="114"/>
      <c r="G2" s="114"/>
      <c r="H2" s="112"/>
      <c r="I2" s="115"/>
      <c r="J2" s="112"/>
      <c r="K2" s="113"/>
      <c r="L2" s="114"/>
      <c r="M2" s="114"/>
    </row>
    <row r="3" spans="1:87" s="12" customFormat="1" ht="15.75" customHeight="1" x14ac:dyDescent="0.45">
      <c r="A3" s="2"/>
      <c r="B3" s="149" t="s">
        <v>113</v>
      </c>
      <c r="C3" s="148"/>
      <c r="D3" s="148"/>
      <c r="E3" s="148"/>
      <c r="F3" s="148"/>
      <c r="G3" s="148"/>
      <c r="H3" s="148"/>
      <c r="I3" s="148"/>
      <c r="J3" s="148"/>
      <c r="K3" s="148"/>
      <c r="L3" s="148"/>
      <c r="M3" s="148"/>
      <c r="N3" s="116"/>
      <c r="O3" s="116"/>
      <c r="Q3" s="117"/>
      <c r="S3" s="118"/>
      <c r="T3" s="116"/>
      <c r="U3" s="116"/>
      <c r="V3" s="116"/>
      <c r="W3" s="116"/>
      <c r="Y3" s="117"/>
      <c r="AA3" s="116"/>
      <c r="AB3" s="116"/>
      <c r="AC3" s="116"/>
      <c r="AD3" s="116"/>
      <c r="AE3" s="116"/>
      <c r="AG3" s="117"/>
      <c r="AH3" s="118"/>
      <c r="AI3" s="116"/>
      <c r="AJ3" s="116"/>
      <c r="AK3" s="116"/>
      <c r="AL3" s="116"/>
      <c r="AM3" s="116"/>
      <c r="AP3" s="118"/>
      <c r="AQ3" s="116"/>
      <c r="AR3" s="116"/>
      <c r="AS3" s="116"/>
      <c r="AT3" s="116"/>
      <c r="AU3" s="116"/>
      <c r="AV3" s="117"/>
      <c r="AX3" s="118"/>
      <c r="AY3" s="116"/>
      <c r="AZ3" s="116"/>
      <c r="BA3" s="116"/>
      <c r="BB3" s="116"/>
      <c r="BD3" s="117"/>
      <c r="BF3" s="118"/>
      <c r="BG3" s="116"/>
      <c r="BH3" s="116"/>
      <c r="BI3" s="116"/>
      <c r="BJ3" s="116"/>
      <c r="BL3" s="117"/>
      <c r="BN3" s="118"/>
      <c r="BO3" s="116"/>
      <c r="BP3" s="116"/>
      <c r="BQ3" s="116"/>
      <c r="BR3" s="116"/>
      <c r="BT3" s="117"/>
      <c r="BV3" s="118"/>
      <c r="BW3" s="116"/>
      <c r="BX3" s="116"/>
      <c r="BY3" s="116"/>
      <c r="BZ3" s="116"/>
      <c r="CB3" s="117"/>
      <c r="CD3" s="118"/>
      <c r="CE3" s="116"/>
      <c r="CF3" s="116"/>
      <c r="CG3" s="116"/>
      <c r="CH3" s="116"/>
      <c r="CI3" s="116"/>
    </row>
    <row r="4" spans="1:87" s="12" customFormat="1" ht="15" x14ac:dyDescent="0.25">
      <c r="A4" s="120"/>
      <c r="B4" s="18" t="s">
        <v>114</v>
      </c>
      <c r="C4" s="121"/>
      <c r="D4" s="121"/>
      <c r="E4" s="121"/>
      <c r="F4" s="121"/>
      <c r="G4" s="121"/>
      <c r="H4" s="122"/>
      <c r="I4" s="121"/>
      <c r="J4" s="18"/>
      <c r="K4" s="121"/>
      <c r="L4" s="121"/>
      <c r="M4" s="121"/>
      <c r="N4" s="119"/>
      <c r="O4" s="119"/>
      <c r="Q4" s="117"/>
      <c r="R4" s="119"/>
      <c r="S4" s="119"/>
      <c r="T4" s="119"/>
      <c r="U4" s="119"/>
      <c r="V4" s="119"/>
      <c r="W4" s="119"/>
      <c r="Y4" s="117"/>
      <c r="Z4" s="119"/>
      <c r="AA4" s="119"/>
      <c r="AB4" s="119"/>
      <c r="AC4" s="119"/>
      <c r="AD4" s="119"/>
      <c r="AE4" s="119"/>
      <c r="AG4" s="117"/>
      <c r="AH4" s="119"/>
      <c r="AI4" s="119"/>
      <c r="AJ4" s="119"/>
      <c r="AK4" s="119"/>
      <c r="AL4" s="119"/>
      <c r="AM4" s="119"/>
      <c r="AO4" s="119"/>
      <c r="AP4" s="119"/>
      <c r="AQ4" s="119"/>
      <c r="AR4" s="119"/>
      <c r="AS4" s="119"/>
      <c r="AT4" s="119"/>
      <c r="AU4" s="119"/>
      <c r="AV4" s="117"/>
      <c r="AW4" s="119"/>
      <c r="AX4" s="119"/>
      <c r="AY4" s="119"/>
      <c r="AZ4" s="119"/>
      <c r="BA4" s="119"/>
      <c r="BB4" s="119"/>
      <c r="BD4" s="117"/>
      <c r="BE4" s="119"/>
      <c r="BF4" s="119"/>
      <c r="BG4" s="119"/>
      <c r="BH4" s="119"/>
      <c r="BI4" s="119"/>
      <c r="BJ4" s="119"/>
      <c r="BL4" s="117"/>
      <c r="BM4" s="119"/>
      <c r="BN4" s="119"/>
      <c r="BO4" s="119"/>
      <c r="BP4" s="119"/>
      <c r="BQ4" s="119"/>
      <c r="BR4" s="119"/>
      <c r="BT4" s="117"/>
      <c r="BU4" s="119"/>
      <c r="BV4" s="119"/>
      <c r="BW4" s="119"/>
      <c r="BX4" s="119"/>
      <c r="BY4" s="119"/>
      <c r="BZ4" s="119"/>
      <c r="CB4" s="117"/>
      <c r="CC4" s="119"/>
      <c r="CD4" s="119"/>
      <c r="CE4" s="119"/>
      <c r="CF4" s="119"/>
      <c r="CG4" s="119"/>
      <c r="CH4" s="119"/>
      <c r="CI4" s="119"/>
    </row>
    <row r="5" spans="1:87" s="5" customFormat="1" ht="15.75" customHeight="1" x14ac:dyDescent="0.25">
      <c r="A5" s="120"/>
      <c r="B5" s="18" t="s">
        <v>115</v>
      </c>
      <c r="C5" s="121"/>
      <c r="D5" s="121"/>
      <c r="E5" s="121"/>
      <c r="F5" s="121"/>
      <c r="G5" s="121"/>
      <c r="H5" s="122"/>
      <c r="I5" s="121"/>
      <c r="J5" s="18"/>
      <c r="K5" s="121"/>
      <c r="L5" s="121"/>
      <c r="M5" s="121"/>
      <c r="N5" s="123"/>
      <c r="O5" s="123"/>
      <c r="Q5" s="123"/>
      <c r="S5" s="123"/>
      <c r="T5" s="123"/>
      <c r="U5" s="123"/>
      <c r="V5" s="123"/>
      <c r="W5" s="123"/>
      <c r="Y5" s="123"/>
      <c r="AA5" s="123"/>
      <c r="AB5" s="123"/>
      <c r="AC5" s="123"/>
      <c r="AD5" s="123"/>
      <c r="AE5" s="123"/>
      <c r="AG5" s="123"/>
      <c r="AH5" s="123"/>
      <c r="AI5" s="123"/>
      <c r="AJ5" s="123"/>
      <c r="AK5" s="123"/>
      <c r="AL5" s="123"/>
      <c r="AM5" s="123"/>
      <c r="AP5" s="123"/>
      <c r="AQ5" s="123"/>
      <c r="AR5" s="123"/>
      <c r="AS5" s="123"/>
      <c r="AT5" s="123"/>
      <c r="AU5" s="123"/>
      <c r="AV5" s="123"/>
      <c r="AX5" s="123"/>
      <c r="AY5" s="123"/>
      <c r="AZ5" s="123"/>
      <c r="BA5" s="123"/>
      <c r="BB5" s="123"/>
      <c r="BD5" s="123"/>
      <c r="BF5" s="123"/>
      <c r="BG5" s="123"/>
      <c r="BH5" s="123"/>
      <c r="BI5" s="123"/>
      <c r="BJ5" s="123"/>
      <c r="BL5" s="123"/>
      <c r="BN5" s="123"/>
      <c r="BO5" s="123"/>
      <c r="BP5" s="123"/>
      <c r="BQ5" s="123"/>
      <c r="BR5" s="123"/>
      <c r="BT5" s="123"/>
      <c r="BV5" s="123"/>
      <c r="BW5" s="123"/>
      <c r="BX5" s="123"/>
      <c r="BY5" s="123"/>
      <c r="BZ5" s="123"/>
      <c r="CB5" s="123"/>
      <c r="CD5" s="123"/>
      <c r="CE5" s="123"/>
      <c r="CF5" s="123"/>
      <c r="CG5" s="123"/>
      <c r="CH5" s="123"/>
      <c r="CI5" s="123"/>
    </row>
    <row r="6" spans="1:87" ht="15" customHeight="1" x14ac:dyDescent="0.25">
      <c r="A6" s="124"/>
      <c r="B6" s="124"/>
      <c r="C6" s="124"/>
      <c r="D6" s="124"/>
      <c r="E6" s="124"/>
      <c r="F6" s="124"/>
      <c r="G6" s="124"/>
      <c r="H6" s="3"/>
      <c r="I6" s="124"/>
      <c r="J6" s="124"/>
      <c r="K6" s="124"/>
      <c r="L6" s="124"/>
      <c r="M6" s="124"/>
      <c r="N6" s="124"/>
      <c r="O6" s="124"/>
      <c r="Q6" s="124"/>
      <c r="R6" s="124"/>
      <c r="S6" s="124"/>
      <c r="T6" s="124"/>
      <c r="U6" s="124"/>
      <c r="V6" s="124"/>
      <c r="W6" s="124"/>
      <c r="Y6" s="124"/>
      <c r="Z6" s="124"/>
      <c r="AA6" s="124"/>
      <c r="AB6" s="124"/>
      <c r="AC6" s="124"/>
      <c r="AD6" s="124"/>
      <c r="AE6" s="124"/>
      <c r="AG6" s="124"/>
      <c r="AH6" s="124"/>
      <c r="AI6" s="124"/>
      <c r="AJ6" s="124"/>
      <c r="AK6" s="124"/>
      <c r="AL6" s="124"/>
      <c r="AM6" s="124"/>
      <c r="AO6" s="124"/>
      <c r="AP6" s="124"/>
      <c r="AQ6" s="124"/>
      <c r="AR6" s="124"/>
      <c r="AS6" s="124"/>
      <c r="AT6" s="124"/>
      <c r="AU6" s="124"/>
      <c r="AV6" s="124"/>
      <c r="AW6" s="124"/>
      <c r="AX6" s="124"/>
      <c r="AY6" s="124"/>
      <c r="AZ6" s="124"/>
      <c r="BA6" s="124"/>
      <c r="BB6" s="124"/>
      <c r="BD6" s="124"/>
      <c r="BE6" s="124"/>
      <c r="BF6" s="124"/>
      <c r="BG6" s="124"/>
      <c r="BH6" s="124"/>
      <c r="BI6" s="124"/>
      <c r="BJ6" s="124"/>
      <c r="BL6" s="124"/>
      <c r="BM6" s="124"/>
      <c r="BN6" s="124"/>
      <c r="BO6" s="124"/>
      <c r="BP6" s="124"/>
      <c r="BQ6" s="124"/>
      <c r="BR6" s="124"/>
      <c r="BT6" s="124"/>
      <c r="BU6" s="124"/>
      <c r="BV6" s="124"/>
      <c r="BW6" s="124"/>
      <c r="BX6" s="124"/>
      <c r="BY6" s="124"/>
      <c r="BZ6" s="124"/>
      <c r="CB6" s="124"/>
      <c r="CC6" s="124"/>
      <c r="CD6" s="124"/>
      <c r="CE6" s="124"/>
      <c r="CF6" s="124"/>
      <c r="CG6" s="124"/>
      <c r="CH6" s="124"/>
      <c r="CI6" s="124"/>
    </row>
    <row r="7" spans="1:87" ht="15" hidden="1" x14ac:dyDescent="0.25">
      <c r="A7" s="124"/>
      <c r="B7" s="228" t="s">
        <v>116</v>
      </c>
      <c r="C7" s="229"/>
      <c r="D7" s="229"/>
      <c r="E7" s="229"/>
      <c r="F7" s="229"/>
      <c r="G7" s="229"/>
      <c r="H7" s="3"/>
      <c r="I7" s="124"/>
      <c r="J7" s="230" t="s">
        <v>116</v>
      </c>
      <c r="K7" s="231"/>
      <c r="L7" s="231"/>
      <c r="M7" s="231"/>
      <c r="N7" s="231"/>
      <c r="O7" s="231"/>
      <c r="Q7" s="124"/>
      <c r="R7" s="230" t="s">
        <v>116</v>
      </c>
      <c r="S7" s="231"/>
      <c r="T7" s="231"/>
      <c r="U7" s="231"/>
      <c r="V7" s="231"/>
      <c r="W7" s="231"/>
      <c r="Y7" s="124"/>
      <c r="Z7" s="230" t="s">
        <v>116</v>
      </c>
      <c r="AA7" s="231"/>
      <c r="AB7" s="231"/>
      <c r="AC7" s="231"/>
      <c r="AD7" s="231"/>
      <c r="AE7" s="231"/>
      <c r="AG7" s="124"/>
      <c r="AH7" s="231"/>
      <c r="AI7" s="231"/>
      <c r="AJ7" s="231"/>
      <c r="AK7" s="231"/>
      <c r="AL7" s="231"/>
      <c r="AM7" s="231"/>
      <c r="AO7" s="125" t="s">
        <v>116</v>
      </c>
      <c r="AP7" s="126"/>
      <c r="AQ7" s="126"/>
      <c r="AR7" s="126"/>
      <c r="AS7" s="126"/>
      <c r="AT7" s="126"/>
      <c r="AU7" s="126"/>
      <c r="AV7" s="124"/>
      <c r="AW7" s="125" t="s">
        <v>116</v>
      </c>
      <c r="AX7" s="126"/>
      <c r="AY7" s="126"/>
      <c r="AZ7" s="126"/>
      <c r="BA7" s="126"/>
      <c r="BB7" s="126"/>
      <c r="BD7" s="124"/>
      <c r="BE7" s="125" t="s">
        <v>116</v>
      </c>
      <c r="BF7" s="126"/>
      <c r="BG7" s="126"/>
      <c r="BH7" s="126"/>
      <c r="BI7" s="126"/>
      <c r="BJ7" s="126"/>
      <c r="BL7" s="124"/>
      <c r="BM7" s="125" t="s">
        <v>116</v>
      </c>
      <c r="BN7" s="126"/>
      <c r="BO7" s="126"/>
      <c r="BP7" s="126"/>
      <c r="BQ7" s="126"/>
      <c r="BR7" s="126"/>
      <c r="BT7" s="124"/>
      <c r="BU7" s="125" t="s">
        <v>116</v>
      </c>
      <c r="BV7" s="126"/>
      <c r="BW7" s="126"/>
      <c r="BX7" s="126"/>
      <c r="BY7" s="126"/>
      <c r="BZ7" s="126"/>
      <c r="CB7" s="124"/>
      <c r="CC7" s="125" t="s">
        <v>116</v>
      </c>
      <c r="CD7" s="126"/>
      <c r="CE7" s="126"/>
      <c r="CF7" s="126"/>
      <c r="CG7" s="126"/>
      <c r="CH7" s="126"/>
      <c r="CI7" s="126"/>
    </row>
    <row r="8" spans="1:87" ht="27" customHeight="1" x14ac:dyDescent="0.45">
      <c r="A8" s="225" t="s">
        <v>33</v>
      </c>
      <c r="B8" s="226"/>
      <c r="C8" s="226"/>
      <c r="D8" s="226"/>
      <c r="E8" s="226"/>
      <c r="F8" s="227"/>
      <c r="G8" s="127"/>
      <c r="H8" s="225" t="s">
        <v>34</v>
      </c>
      <c r="I8" s="226"/>
      <c r="J8" s="226"/>
      <c r="K8" s="226"/>
      <c r="L8" s="226"/>
      <c r="M8" s="227"/>
      <c r="N8" s="127"/>
      <c r="O8" s="225" t="s">
        <v>35</v>
      </c>
      <c r="P8" s="226"/>
      <c r="Q8" s="226"/>
      <c r="R8" s="226"/>
      <c r="S8" s="226"/>
      <c r="T8" s="227"/>
      <c r="U8" s="127"/>
      <c r="V8" s="225" t="s">
        <v>36</v>
      </c>
      <c r="W8" s="226"/>
      <c r="X8" s="226"/>
      <c r="Y8" s="226"/>
      <c r="Z8" s="226"/>
      <c r="AA8" s="227"/>
      <c r="AB8" s="127"/>
      <c r="AC8" s="225" t="s">
        <v>37</v>
      </c>
      <c r="AD8" s="226"/>
      <c r="AE8" s="226"/>
      <c r="AF8" s="226"/>
      <c r="AG8" s="226"/>
      <c r="AH8" s="227"/>
      <c r="AI8" s="127"/>
      <c r="AJ8" s="225" t="s">
        <v>38</v>
      </c>
      <c r="AK8" s="226"/>
      <c r="AL8" s="226"/>
      <c r="AM8" s="226"/>
      <c r="AN8" s="226"/>
      <c r="AO8" s="227"/>
      <c r="AP8" s="127"/>
      <c r="AQ8" s="225" t="s">
        <v>39</v>
      </c>
      <c r="AR8" s="226"/>
      <c r="AS8" s="226"/>
      <c r="AT8" s="226"/>
      <c r="AU8" s="226"/>
      <c r="AV8" s="227"/>
      <c r="AW8" s="127"/>
      <c r="AX8" s="225" t="s">
        <v>40</v>
      </c>
      <c r="AY8" s="226"/>
      <c r="AZ8" s="226"/>
      <c r="BA8" s="226"/>
      <c r="BB8" s="226"/>
      <c r="BC8" s="227"/>
      <c r="BD8" s="127"/>
      <c r="BE8" s="225" t="s">
        <v>41</v>
      </c>
      <c r="BF8" s="226"/>
      <c r="BG8" s="226"/>
      <c r="BH8" s="226"/>
      <c r="BI8" s="226"/>
      <c r="BJ8" s="227"/>
      <c r="BK8" s="127"/>
      <c r="BL8" s="225" t="s">
        <v>42</v>
      </c>
      <c r="BM8" s="226"/>
      <c r="BN8" s="226"/>
      <c r="BO8" s="226"/>
      <c r="BP8" s="226"/>
      <c r="BQ8" s="227"/>
      <c r="BR8" s="6"/>
      <c r="BS8" s="225" t="s">
        <v>43</v>
      </c>
      <c r="BT8" s="226"/>
      <c r="BU8" s="226"/>
      <c r="BV8" s="226"/>
      <c r="BW8" s="226"/>
      <c r="BX8" s="227"/>
      <c r="BY8" s="6"/>
      <c r="BZ8" s="6"/>
      <c r="CD8" s="6"/>
      <c r="CE8" s="6"/>
      <c r="CF8" s="6"/>
      <c r="CG8" s="6"/>
      <c r="CH8" s="6"/>
      <c r="CI8" s="6"/>
    </row>
    <row r="9" spans="1:87" s="18" customFormat="1" ht="33" customHeight="1" x14ac:dyDescent="0.3">
      <c r="A9" s="152" t="s">
        <v>117</v>
      </c>
      <c r="B9" s="153" t="s">
        <v>69</v>
      </c>
      <c r="C9" s="153" t="s">
        <v>70</v>
      </c>
      <c r="D9" s="153" t="s">
        <v>71</v>
      </c>
      <c r="E9" s="153" t="s">
        <v>72</v>
      </c>
      <c r="F9" s="153" t="s">
        <v>73</v>
      </c>
      <c r="G9" s="128"/>
      <c r="H9" s="152" t="s">
        <v>117</v>
      </c>
      <c r="I9" s="153" t="s">
        <v>69</v>
      </c>
      <c r="J9" s="153" t="s">
        <v>70</v>
      </c>
      <c r="K9" s="153" t="s">
        <v>71</v>
      </c>
      <c r="L9" s="153" t="s">
        <v>72</v>
      </c>
      <c r="M9" s="153" t="s">
        <v>73</v>
      </c>
      <c r="N9" s="128"/>
      <c r="O9" s="152" t="s">
        <v>117</v>
      </c>
      <c r="P9" s="153" t="s">
        <v>69</v>
      </c>
      <c r="Q9" s="153" t="s">
        <v>70</v>
      </c>
      <c r="R9" s="153" t="s">
        <v>71</v>
      </c>
      <c r="S9" s="153" t="s">
        <v>72</v>
      </c>
      <c r="T9" s="153" t="s">
        <v>73</v>
      </c>
      <c r="U9" s="128"/>
      <c r="V9" s="152" t="s">
        <v>117</v>
      </c>
      <c r="W9" s="153" t="s">
        <v>69</v>
      </c>
      <c r="X9" s="153" t="s">
        <v>70</v>
      </c>
      <c r="Y9" s="153" t="s">
        <v>71</v>
      </c>
      <c r="Z9" s="153" t="s">
        <v>72</v>
      </c>
      <c r="AA9" s="153" t="s">
        <v>73</v>
      </c>
      <c r="AB9" s="128"/>
      <c r="AC9" s="152" t="s">
        <v>117</v>
      </c>
      <c r="AD9" s="153" t="s">
        <v>69</v>
      </c>
      <c r="AE9" s="153" t="s">
        <v>70</v>
      </c>
      <c r="AF9" s="153" t="s">
        <v>71</v>
      </c>
      <c r="AG9" s="153" t="s">
        <v>72</v>
      </c>
      <c r="AH9" s="153" t="s">
        <v>73</v>
      </c>
      <c r="AI9" s="128"/>
      <c r="AJ9" s="152" t="s">
        <v>117</v>
      </c>
      <c r="AK9" s="153" t="s">
        <v>69</v>
      </c>
      <c r="AL9" s="153" t="s">
        <v>70</v>
      </c>
      <c r="AM9" s="153" t="s">
        <v>71</v>
      </c>
      <c r="AN9" s="153" t="s">
        <v>72</v>
      </c>
      <c r="AO9" s="153" t="s">
        <v>73</v>
      </c>
      <c r="AP9" s="128"/>
      <c r="AQ9" s="152" t="s">
        <v>117</v>
      </c>
      <c r="AR9" s="153" t="s">
        <v>69</v>
      </c>
      <c r="AS9" s="153" t="s">
        <v>70</v>
      </c>
      <c r="AT9" s="153" t="s">
        <v>71</v>
      </c>
      <c r="AU9" s="153" t="s">
        <v>72</v>
      </c>
      <c r="AV9" s="153" t="s">
        <v>73</v>
      </c>
      <c r="AW9" s="128"/>
      <c r="AX9" s="152" t="s">
        <v>117</v>
      </c>
      <c r="AY9" s="153" t="s">
        <v>69</v>
      </c>
      <c r="AZ9" s="153" t="s">
        <v>70</v>
      </c>
      <c r="BA9" s="153" t="s">
        <v>71</v>
      </c>
      <c r="BB9" s="153" t="s">
        <v>72</v>
      </c>
      <c r="BC9" s="153" t="s">
        <v>73</v>
      </c>
      <c r="BD9" s="128"/>
      <c r="BE9" s="152" t="s">
        <v>117</v>
      </c>
      <c r="BF9" s="153" t="s">
        <v>69</v>
      </c>
      <c r="BG9" s="153" t="s">
        <v>70</v>
      </c>
      <c r="BH9" s="153" t="s">
        <v>71</v>
      </c>
      <c r="BI9" s="153" t="s">
        <v>72</v>
      </c>
      <c r="BJ9" s="153" t="s">
        <v>73</v>
      </c>
      <c r="BK9" s="128"/>
      <c r="BL9" s="152" t="s">
        <v>117</v>
      </c>
      <c r="BM9" s="153" t="s">
        <v>69</v>
      </c>
      <c r="BN9" s="153" t="s">
        <v>70</v>
      </c>
      <c r="BO9" s="153" t="s">
        <v>71</v>
      </c>
      <c r="BP9" s="153" t="s">
        <v>72</v>
      </c>
      <c r="BQ9" s="153" t="s">
        <v>73</v>
      </c>
      <c r="BS9" s="152" t="s">
        <v>117</v>
      </c>
      <c r="BT9" s="153" t="s">
        <v>69</v>
      </c>
      <c r="BU9" s="153" t="s">
        <v>70</v>
      </c>
      <c r="BV9" s="153" t="s">
        <v>71</v>
      </c>
      <c r="BW9" s="153" t="s">
        <v>72</v>
      </c>
      <c r="BX9" s="153" t="s">
        <v>73</v>
      </c>
    </row>
    <row r="10" spans="1:87" ht="27" customHeight="1" x14ac:dyDescent="0.25">
      <c r="A10" s="129" t="s">
        <v>118</v>
      </c>
      <c r="B10" s="130"/>
      <c r="C10" s="130"/>
      <c r="D10" s="130"/>
      <c r="E10" s="130"/>
      <c r="F10" s="131"/>
      <c r="G10" s="6"/>
      <c r="H10" s="129" t="s">
        <v>118</v>
      </c>
      <c r="I10" s="130"/>
      <c r="J10" s="130"/>
      <c r="K10" s="130"/>
      <c r="L10" s="130"/>
      <c r="M10" s="131"/>
      <c r="N10" s="6"/>
      <c r="O10" s="129" t="s">
        <v>118</v>
      </c>
      <c r="P10" s="130"/>
      <c r="Q10" s="130"/>
      <c r="R10" s="130"/>
      <c r="S10" s="130"/>
      <c r="T10" s="131"/>
      <c r="U10" s="6"/>
      <c r="V10" s="129" t="s">
        <v>118</v>
      </c>
      <c r="W10" s="130"/>
      <c r="X10" s="130"/>
      <c r="Y10" s="130"/>
      <c r="Z10" s="130"/>
      <c r="AA10" s="131"/>
      <c r="AB10" s="6"/>
      <c r="AC10" s="129" t="s">
        <v>118</v>
      </c>
      <c r="AD10" s="130"/>
      <c r="AE10" s="130"/>
      <c r="AF10" s="130"/>
      <c r="AG10" s="130"/>
      <c r="AH10" s="131"/>
      <c r="AI10" s="6"/>
      <c r="AJ10" s="129" t="s">
        <v>118</v>
      </c>
      <c r="AK10" s="130"/>
      <c r="AL10" s="130"/>
      <c r="AM10" s="130"/>
      <c r="AN10" s="130"/>
      <c r="AO10" s="131"/>
      <c r="AP10" s="6"/>
      <c r="AQ10" s="129" t="s">
        <v>118</v>
      </c>
      <c r="AR10" s="130"/>
      <c r="AS10" s="130"/>
      <c r="AT10" s="130"/>
      <c r="AU10" s="130"/>
      <c r="AV10" s="131"/>
      <c r="AX10" s="129" t="s">
        <v>118</v>
      </c>
      <c r="AY10" s="130"/>
      <c r="AZ10" s="130"/>
      <c r="BA10" s="130"/>
      <c r="BB10" s="130"/>
      <c r="BC10" s="131"/>
      <c r="BE10" s="129" t="s">
        <v>118</v>
      </c>
      <c r="BF10" s="130"/>
      <c r="BG10" s="130"/>
      <c r="BH10" s="130"/>
      <c r="BI10" s="130"/>
      <c r="BJ10" s="131"/>
      <c r="BL10" s="129" t="s">
        <v>118</v>
      </c>
      <c r="BM10" s="130"/>
      <c r="BN10" s="130"/>
      <c r="BO10" s="130"/>
      <c r="BP10" s="130"/>
      <c r="BQ10" s="131"/>
      <c r="BR10" s="6"/>
      <c r="BS10" s="129" t="s">
        <v>118</v>
      </c>
      <c r="BT10" s="130"/>
      <c r="BU10" s="130"/>
      <c r="BV10" s="130"/>
      <c r="BW10" s="130"/>
      <c r="BX10" s="131"/>
      <c r="BY10" s="6"/>
      <c r="BZ10" s="6"/>
      <c r="CD10" s="6"/>
      <c r="CE10" s="6"/>
      <c r="CF10" s="6"/>
      <c r="CG10" s="6"/>
      <c r="CH10" s="6"/>
      <c r="CI10" s="6"/>
    </row>
    <row r="11" spans="1:87" s="5" customFormat="1" x14ac:dyDescent="0.25">
      <c r="A11" s="132" t="s">
        <v>119</v>
      </c>
      <c r="B11" s="133">
        <v>480</v>
      </c>
      <c r="C11" s="133">
        <v>480</v>
      </c>
      <c r="D11" s="133">
        <v>560</v>
      </c>
      <c r="E11" s="133">
        <v>560</v>
      </c>
      <c r="F11" s="133">
        <v>480</v>
      </c>
      <c r="H11" s="132" t="s">
        <v>119</v>
      </c>
      <c r="I11" s="133">
        <v>0</v>
      </c>
      <c r="J11" s="133">
        <v>0</v>
      </c>
      <c r="K11" s="133">
        <v>0</v>
      </c>
      <c r="L11" s="133">
        <v>0</v>
      </c>
      <c r="M11" s="133">
        <v>0</v>
      </c>
      <c r="O11" s="132" t="s">
        <v>119</v>
      </c>
      <c r="P11" s="133">
        <v>0</v>
      </c>
      <c r="Q11" s="133">
        <v>0</v>
      </c>
      <c r="R11" s="133">
        <v>0</v>
      </c>
      <c r="S11" s="133">
        <v>0</v>
      </c>
      <c r="T11" s="133">
        <v>0</v>
      </c>
      <c r="V11" s="132" t="s">
        <v>119</v>
      </c>
      <c r="W11" s="133">
        <v>0</v>
      </c>
      <c r="X11" s="133">
        <v>0</v>
      </c>
      <c r="Y11" s="133">
        <v>0</v>
      </c>
      <c r="Z11" s="133">
        <v>0</v>
      </c>
      <c r="AA11" s="133">
        <v>0</v>
      </c>
      <c r="AC11" s="132" t="s">
        <v>119</v>
      </c>
      <c r="AD11" s="133">
        <v>0</v>
      </c>
      <c r="AE11" s="133">
        <v>0</v>
      </c>
      <c r="AF11" s="133">
        <v>0</v>
      </c>
      <c r="AG11" s="133">
        <v>0</v>
      </c>
      <c r="AH11" s="133">
        <v>0</v>
      </c>
      <c r="AJ11" s="132" t="s">
        <v>119</v>
      </c>
      <c r="AK11" s="133">
        <v>0</v>
      </c>
      <c r="AL11" s="133">
        <v>0</v>
      </c>
      <c r="AM11" s="133">
        <v>0</v>
      </c>
      <c r="AN11" s="133">
        <v>0</v>
      </c>
      <c r="AO11" s="133">
        <v>0</v>
      </c>
      <c r="AQ11" s="132" t="s">
        <v>119</v>
      </c>
      <c r="AR11" s="133">
        <v>0</v>
      </c>
      <c r="AS11" s="133">
        <v>0</v>
      </c>
      <c r="AT11" s="133">
        <v>0</v>
      </c>
      <c r="AU11" s="133">
        <v>0</v>
      </c>
      <c r="AV11" s="133">
        <v>0</v>
      </c>
      <c r="AX11" s="132" t="s">
        <v>119</v>
      </c>
      <c r="AY11" s="133">
        <v>0</v>
      </c>
      <c r="AZ11" s="133">
        <v>0</v>
      </c>
      <c r="BA11" s="133">
        <v>0</v>
      </c>
      <c r="BB11" s="133">
        <v>0</v>
      </c>
      <c r="BC11" s="133">
        <v>0</v>
      </c>
      <c r="BE11" s="132" t="s">
        <v>119</v>
      </c>
      <c r="BF11" s="133">
        <v>0</v>
      </c>
      <c r="BG11" s="133">
        <v>0</v>
      </c>
      <c r="BH11" s="133">
        <v>0</v>
      </c>
      <c r="BI11" s="133">
        <v>0</v>
      </c>
      <c r="BJ11" s="133">
        <v>0</v>
      </c>
      <c r="BL11" s="132" t="s">
        <v>119</v>
      </c>
      <c r="BM11" s="133">
        <v>0</v>
      </c>
      <c r="BN11" s="133">
        <v>0</v>
      </c>
      <c r="BO11" s="133">
        <v>0</v>
      </c>
      <c r="BP11" s="133">
        <v>0</v>
      </c>
      <c r="BQ11" s="133">
        <v>0</v>
      </c>
      <c r="BS11" s="132" t="s">
        <v>119</v>
      </c>
      <c r="BT11" s="133">
        <v>0</v>
      </c>
      <c r="BU11" s="133">
        <v>0</v>
      </c>
      <c r="BV11" s="133">
        <v>0</v>
      </c>
      <c r="BW11" s="133">
        <v>0</v>
      </c>
      <c r="BX11" s="133">
        <v>0</v>
      </c>
    </row>
    <row r="12" spans="1:87" s="5" customFormat="1" x14ac:dyDescent="0.25">
      <c r="A12" s="132" t="s">
        <v>24</v>
      </c>
      <c r="B12" s="133">
        <v>0.55000000000000004</v>
      </c>
      <c r="C12" s="133">
        <v>0.55000000000000004</v>
      </c>
      <c r="D12" s="133">
        <v>0.55000000000000004</v>
      </c>
      <c r="E12" s="133">
        <v>0.55000000000000004</v>
      </c>
      <c r="F12" s="133">
        <v>0.55000000000000004</v>
      </c>
      <c r="H12" s="132" t="s">
        <v>24</v>
      </c>
      <c r="I12" s="133">
        <v>0</v>
      </c>
      <c r="J12" s="133">
        <v>0</v>
      </c>
      <c r="K12" s="133">
        <v>0</v>
      </c>
      <c r="L12" s="133">
        <v>0</v>
      </c>
      <c r="M12" s="133">
        <v>0</v>
      </c>
      <c r="O12" s="132" t="s">
        <v>24</v>
      </c>
      <c r="P12" s="133">
        <v>0</v>
      </c>
      <c r="Q12" s="133">
        <v>0</v>
      </c>
      <c r="R12" s="133">
        <v>0</v>
      </c>
      <c r="S12" s="133">
        <v>0</v>
      </c>
      <c r="T12" s="133">
        <v>0</v>
      </c>
      <c r="V12" s="132" t="s">
        <v>24</v>
      </c>
      <c r="W12" s="133">
        <v>0</v>
      </c>
      <c r="X12" s="133">
        <v>0</v>
      </c>
      <c r="Y12" s="133">
        <v>0</v>
      </c>
      <c r="Z12" s="133">
        <v>0</v>
      </c>
      <c r="AA12" s="133">
        <v>0</v>
      </c>
      <c r="AC12" s="132" t="s">
        <v>24</v>
      </c>
      <c r="AD12" s="133">
        <v>0</v>
      </c>
      <c r="AE12" s="133">
        <v>0</v>
      </c>
      <c r="AF12" s="133">
        <v>0</v>
      </c>
      <c r="AG12" s="133">
        <v>0</v>
      </c>
      <c r="AH12" s="133">
        <v>0</v>
      </c>
      <c r="AJ12" s="132" t="s">
        <v>24</v>
      </c>
      <c r="AK12" s="133">
        <v>0</v>
      </c>
      <c r="AL12" s="133">
        <v>0</v>
      </c>
      <c r="AM12" s="133">
        <v>0</v>
      </c>
      <c r="AN12" s="133">
        <v>0</v>
      </c>
      <c r="AO12" s="133">
        <v>0</v>
      </c>
      <c r="AQ12" s="132" t="s">
        <v>24</v>
      </c>
      <c r="AR12" s="133">
        <v>0</v>
      </c>
      <c r="AS12" s="133">
        <v>0</v>
      </c>
      <c r="AT12" s="133">
        <v>0</v>
      </c>
      <c r="AU12" s="133">
        <v>0</v>
      </c>
      <c r="AV12" s="133">
        <v>0</v>
      </c>
      <c r="AX12" s="132" t="s">
        <v>24</v>
      </c>
      <c r="AY12" s="133">
        <v>0</v>
      </c>
      <c r="AZ12" s="133">
        <v>0</v>
      </c>
      <c r="BA12" s="133">
        <v>0</v>
      </c>
      <c r="BB12" s="133">
        <v>0</v>
      </c>
      <c r="BC12" s="133">
        <v>0</v>
      </c>
      <c r="BE12" s="132" t="s">
        <v>24</v>
      </c>
      <c r="BF12" s="133">
        <v>0</v>
      </c>
      <c r="BG12" s="133">
        <v>0</v>
      </c>
      <c r="BH12" s="133">
        <v>0</v>
      </c>
      <c r="BI12" s="133">
        <v>0</v>
      </c>
      <c r="BJ12" s="133">
        <v>0</v>
      </c>
      <c r="BL12" s="132" t="s">
        <v>24</v>
      </c>
      <c r="BM12" s="133">
        <v>0</v>
      </c>
      <c r="BN12" s="133">
        <v>0</v>
      </c>
      <c r="BO12" s="133">
        <v>0</v>
      </c>
      <c r="BP12" s="133">
        <v>0</v>
      </c>
      <c r="BQ12" s="133">
        <v>0</v>
      </c>
      <c r="BS12" s="132" t="s">
        <v>24</v>
      </c>
      <c r="BT12" s="133">
        <v>0</v>
      </c>
      <c r="BU12" s="133">
        <v>0</v>
      </c>
      <c r="BV12" s="133">
        <v>0</v>
      </c>
      <c r="BW12" s="133">
        <v>0</v>
      </c>
      <c r="BX12" s="133">
        <v>0</v>
      </c>
    </row>
    <row r="13" spans="1:87" x14ac:dyDescent="0.25">
      <c r="A13" s="134" t="s">
        <v>120</v>
      </c>
      <c r="B13" s="135">
        <f t="shared" ref="B13:F13" si="0">B11*B12</f>
        <v>264</v>
      </c>
      <c r="C13" s="135">
        <f t="shared" si="0"/>
        <v>264</v>
      </c>
      <c r="D13" s="135">
        <f t="shared" si="0"/>
        <v>308</v>
      </c>
      <c r="E13" s="135">
        <f t="shared" si="0"/>
        <v>308</v>
      </c>
      <c r="F13" s="135">
        <f t="shared" si="0"/>
        <v>264</v>
      </c>
      <c r="G13" s="6"/>
      <c r="H13" s="134" t="s">
        <v>120</v>
      </c>
      <c r="I13" s="135">
        <f t="shared" ref="I13:M13" si="1">I11*I12</f>
        <v>0</v>
      </c>
      <c r="J13" s="135">
        <f t="shared" si="1"/>
        <v>0</v>
      </c>
      <c r="K13" s="135">
        <f t="shared" si="1"/>
        <v>0</v>
      </c>
      <c r="L13" s="135">
        <f t="shared" si="1"/>
        <v>0</v>
      </c>
      <c r="M13" s="135">
        <f t="shared" si="1"/>
        <v>0</v>
      </c>
      <c r="N13" s="6"/>
      <c r="O13" s="134" t="s">
        <v>120</v>
      </c>
      <c r="P13" s="135">
        <f t="shared" ref="P13:T13" si="2">P11*P12</f>
        <v>0</v>
      </c>
      <c r="Q13" s="135">
        <f t="shared" si="2"/>
        <v>0</v>
      </c>
      <c r="R13" s="135">
        <f t="shared" si="2"/>
        <v>0</v>
      </c>
      <c r="S13" s="135">
        <f t="shared" si="2"/>
        <v>0</v>
      </c>
      <c r="T13" s="135">
        <f t="shared" si="2"/>
        <v>0</v>
      </c>
      <c r="U13" s="6"/>
      <c r="V13" s="134" t="s">
        <v>120</v>
      </c>
      <c r="W13" s="135">
        <f t="shared" ref="W13:AA13" si="3">W11*W12</f>
        <v>0</v>
      </c>
      <c r="X13" s="135">
        <f t="shared" si="3"/>
        <v>0</v>
      </c>
      <c r="Y13" s="135">
        <f t="shared" si="3"/>
        <v>0</v>
      </c>
      <c r="Z13" s="135">
        <f t="shared" si="3"/>
        <v>0</v>
      </c>
      <c r="AA13" s="135">
        <f t="shared" si="3"/>
        <v>0</v>
      </c>
      <c r="AB13" s="6"/>
      <c r="AC13" s="134" t="s">
        <v>120</v>
      </c>
      <c r="AD13" s="135">
        <f t="shared" ref="AD13:AH13" si="4">AD11*AD12</f>
        <v>0</v>
      </c>
      <c r="AE13" s="135">
        <f t="shared" si="4"/>
        <v>0</v>
      </c>
      <c r="AF13" s="135">
        <f t="shared" si="4"/>
        <v>0</v>
      </c>
      <c r="AG13" s="135">
        <f t="shared" si="4"/>
        <v>0</v>
      </c>
      <c r="AH13" s="135">
        <f t="shared" si="4"/>
        <v>0</v>
      </c>
      <c r="AI13" s="6"/>
      <c r="AJ13" s="134" t="s">
        <v>120</v>
      </c>
      <c r="AK13" s="135">
        <f t="shared" ref="AK13:AO13" si="5">AK11*AK12</f>
        <v>0</v>
      </c>
      <c r="AL13" s="135">
        <f t="shared" si="5"/>
        <v>0</v>
      </c>
      <c r="AM13" s="135">
        <f t="shared" si="5"/>
        <v>0</v>
      </c>
      <c r="AN13" s="135">
        <f t="shared" si="5"/>
        <v>0</v>
      </c>
      <c r="AO13" s="135">
        <f t="shared" si="5"/>
        <v>0</v>
      </c>
      <c r="AP13" s="6"/>
      <c r="AQ13" s="134" t="s">
        <v>120</v>
      </c>
      <c r="AR13" s="135">
        <f t="shared" ref="AR13:AV13" si="6">AR11*AR12</f>
        <v>0</v>
      </c>
      <c r="AS13" s="135">
        <f t="shared" si="6"/>
        <v>0</v>
      </c>
      <c r="AT13" s="135">
        <f t="shared" si="6"/>
        <v>0</v>
      </c>
      <c r="AU13" s="135">
        <f t="shared" si="6"/>
        <v>0</v>
      </c>
      <c r="AV13" s="135">
        <f t="shared" si="6"/>
        <v>0</v>
      </c>
      <c r="AX13" s="134" t="s">
        <v>120</v>
      </c>
      <c r="AY13" s="135">
        <f t="shared" ref="AY13:BC13" si="7">AY11*AY12</f>
        <v>0</v>
      </c>
      <c r="AZ13" s="135">
        <f t="shared" si="7"/>
        <v>0</v>
      </c>
      <c r="BA13" s="135">
        <f t="shared" si="7"/>
        <v>0</v>
      </c>
      <c r="BB13" s="135">
        <f t="shared" si="7"/>
        <v>0</v>
      </c>
      <c r="BC13" s="135">
        <f t="shared" si="7"/>
        <v>0</v>
      </c>
      <c r="BE13" s="134" t="s">
        <v>120</v>
      </c>
      <c r="BF13" s="135">
        <f t="shared" ref="BF13:BJ13" si="8">BF11*BF12</f>
        <v>0</v>
      </c>
      <c r="BG13" s="135">
        <f t="shared" si="8"/>
        <v>0</v>
      </c>
      <c r="BH13" s="135">
        <f t="shared" si="8"/>
        <v>0</v>
      </c>
      <c r="BI13" s="135">
        <f t="shared" si="8"/>
        <v>0</v>
      </c>
      <c r="BJ13" s="135">
        <f t="shared" si="8"/>
        <v>0</v>
      </c>
      <c r="BL13" s="134" t="s">
        <v>120</v>
      </c>
      <c r="BM13" s="135">
        <f t="shared" ref="BM13:BQ13" si="9">BM11*BM12</f>
        <v>0</v>
      </c>
      <c r="BN13" s="135">
        <f t="shared" si="9"/>
        <v>0</v>
      </c>
      <c r="BO13" s="135">
        <f t="shared" si="9"/>
        <v>0</v>
      </c>
      <c r="BP13" s="135">
        <f t="shared" si="9"/>
        <v>0</v>
      </c>
      <c r="BQ13" s="135">
        <f t="shared" si="9"/>
        <v>0</v>
      </c>
      <c r="BR13" s="6"/>
      <c r="BS13" s="134" t="s">
        <v>120</v>
      </c>
      <c r="BT13" s="135">
        <f t="shared" ref="BT13:BX13" si="10">BT11*BT12</f>
        <v>0</v>
      </c>
      <c r="BU13" s="135">
        <f t="shared" si="10"/>
        <v>0</v>
      </c>
      <c r="BV13" s="135">
        <f t="shared" si="10"/>
        <v>0</v>
      </c>
      <c r="BW13" s="135">
        <f t="shared" si="10"/>
        <v>0</v>
      </c>
      <c r="BX13" s="135">
        <f t="shared" si="10"/>
        <v>0</v>
      </c>
      <c r="BY13" s="6"/>
      <c r="BZ13" s="6"/>
      <c r="CD13" s="6"/>
      <c r="CE13" s="6"/>
      <c r="CF13" s="6"/>
      <c r="CG13" s="6"/>
      <c r="CH13" s="6"/>
      <c r="CI13" s="6"/>
    </row>
    <row r="14" spans="1:87" s="5" customFormat="1" x14ac:dyDescent="0.25">
      <c r="A14" s="132" t="s">
        <v>121</v>
      </c>
      <c r="B14" s="133">
        <v>0</v>
      </c>
      <c r="C14" s="133">
        <v>0</v>
      </c>
      <c r="D14" s="133">
        <v>0</v>
      </c>
      <c r="E14" s="133">
        <v>0</v>
      </c>
      <c r="F14" s="133">
        <v>0</v>
      </c>
      <c r="H14" s="132" t="s">
        <v>121</v>
      </c>
      <c r="I14" s="133">
        <v>0</v>
      </c>
      <c r="J14" s="133">
        <v>0</v>
      </c>
      <c r="K14" s="133">
        <v>0</v>
      </c>
      <c r="L14" s="133">
        <v>0</v>
      </c>
      <c r="M14" s="133">
        <v>0</v>
      </c>
      <c r="O14" s="132" t="s">
        <v>121</v>
      </c>
      <c r="P14" s="133">
        <v>0</v>
      </c>
      <c r="Q14" s="133">
        <v>0</v>
      </c>
      <c r="R14" s="133">
        <v>0</v>
      </c>
      <c r="S14" s="133">
        <v>0</v>
      </c>
      <c r="T14" s="133">
        <v>0</v>
      </c>
      <c r="V14" s="132" t="s">
        <v>121</v>
      </c>
      <c r="W14" s="133">
        <v>0</v>
      </c>
      <c r="X14" s="133">
        <v>0</v>
      </c>
      <c r="Y14" s="133">
        <v>0</v>
      </c>
      <c r="Z14" s="133">
        <v>0</v>
      </c>
      <c r="AA14" s="133">
        <v>0</v>
      </c>
      <c r="AC14" s="132" t="s">
        <v>121</v>
      </c>
      <c r="AD14" s="133">
        <v>0</v>
      </c>
      <c r="AE14" s="133">
        <v>0</v>
      </c>
      <c r="AF14" s="133">
        <v>0</v>
      </c>
      <c r="AG14" s="133">
        <v>0</v>
      </c>
      <c r="AH14" s="133">
        <v>0</v>
      </c>
      <c r="AJ14" s="132" t="s">
        <v>121</v>
      </c>
      <c r="AK14" s="133">
        <v>0</v>
      </c>
      <c r="AL14" s="133">
        <v>0</v>
      </c>
      <c r="AM14" s="133">
        <v>0</v>
      </c>
      <c r="AN14" s="133">
        <v>0</v>
      </c>
      <c r="AO14" s="133">
        <v>0</v>
      </c>
      <c r="AQ14" s="132" t="s">
        <v>121</v>
      </c>
      <c r="AR14" s="133">
        <v>0</v>
      </c>
      <c r="AS14" s="133">
        <v>0</v>
      </c>
      <c r="AT14" s="133">
        <v>0</v>
      </c>
      <c r="AU14" s="133">
        <v>0</v>
      </c>
      <c r="AV14" s="133">
        <v>0</v>
      </c>
      <c r="AX14" s="132" t="s">
        <v>121</v>
      </c>
      <c r="AY14" s="133">
        <v>0</v>
      </c>
      <c r="AZ14" s="133">
        <v>0</v>
      </c>
      <c r="BA14" s="133">
        <v>0</v>
      </c>
      <c r="BB14" s="133">
        <v>0</v>
      </c>
      <c r="BC14" s="133">
        <v>0</v>
      </c>
      <c r="BE14" s="132" t="s">
        <v>121</v>
      </c>
      <c r="BF14" s="133">
        <v>0</v>
      </c>
      <c r="BG14" s="133">
        <v>0</v>
      </c>
      <c r="BH14" s="133">
        <v>0</v>
      </c>
      <c r="BI14" s="133">
        <v>0</v>
      </c>
      <c r="BJ14" s="133">
        <v>0</v>
      </c>
      <c r="BL14" s="132" t="s">
        <v>121</v>
      </c>
      <c r="BM14" s="133">
        <v>0</v>
      </c>
      <c r="BN14" s="133">
        <v>0</v>
      </c>
      <c r="BO14" s="133">
        <v>0</v>
      </c>
      <c r="BP14" s="133">
        <v>0</v>
      </c>
      <c r="BQ14" s="133">
        <v>0</v>
      </c>
      <c r="BS14" s="132" t="s">
        <v>121</v>
      </c>
      <c r="BT14" s="133">
        <v>0</v>
      </c>
      <c r="BU14" s="133">
        <v>0</v>
      </c>
      <c r="BV14" s="133">
        <v>0</v>
      </c>
      <c r="BW14" s="133">
        <v>0</v>
      </c>
      <c r="BX14" s="133">
        <v>0</v>
      </c>
    </row>
    <row r="15" spans="1:87" s="5" customFormat="1" x14ac:dyDescent="0.25">
      <c r="A15" s="132" t="s">
        <v>24</v>
      </c>
      <c r="B15" s="133">
        <v>0</v>
      </c>
      <c r="C15" s="133">
        <v>0</v>
      </c>
      <c r="D15" s="133">
        <v>0</v>
      </c>
      <c r="E15" s="133">
        <v>0</v>
      </c>
      <c r="F15" s="133">
        <v>0</v>
      </c>
      <c r="G15" s="4"/>
      <c r="H15" s="132" t="s">
        <v>24</v>
      </c>
      <c r="I15" s="133">
        <v>0</v>
      </c>
      <c r="J15" s="133">
        <v>0</v>
      </c>
      <c r="K15" s="133">
        <v>0</v>
      </c>
      <c r="L15" s="133">
        <v>0</v>
      </c>
      <c r="M15" s="133">
        <v>0</v>
      </c>
      <c r="N15" s="4"/>
      <c r="O15" s="132" t="s">
        <v>24</v>
      </c>
      <c r="P15" s="133">
        <v>0</v>
      </c>
      <c r="Q15" s="133">
        <v>0</v>
      </c>
      <c r="R15" s="133">
        <v>0</v>
      </c>
      <c r="S15" s="133">
        <v>0</v>
      </c>
      <c r="T15" s="133">
        <v>0</v>
      </c>
      <c r="U15" s="4"/>
      <c r="V15" s="132" t="s">
        <v>24</v>
      </c>
      <c r="W15" s="133">
        <v>0</v>
      </c>
      <c r="X15" s="133">
        <v>0</v>
      </c>
      <c r="Y15" s="133">
        <v>0</v>
      </c>
      <c r="Z15" s="133">
        <v>0</v>
      </c>
      <c r="AA15" s="133">
        <v>0</v>
      </c>
      <c r="AB15" s="4"/>
      <c r="AC15" s="132" t="s">
        <v>24</v>
      </c>
      <c r="AD15" s="133">
        <v>0</v>
      </c>
      <c r="AE15" s="133">
        <v>0</v>
      </c>
      <c r="AF15" s="133">
        <v>0</v>
      </c>
      <c r="AG15" s="133">
        <v>0</v>
      </c>
      <c r="AH15" s="133">
        <v>0</v>
      </c>
      <c r="AI15" s="4"/>
      <c r="AJ15" s="132" t="s">
        <v>24</v>
      </c>
      <c r="AK15" s="133">
        <v>0</v>
      </c>
      <c r="AL15" s="133">
        <v>0</v>
      </c>
      <c r="AM15" s="133">
        <v>0</v>
      </c>
      <c r="AN15" s="133">
        <v>0</v>
      </c>
      <c r="AO15" s="133">
        <v>0</v>
      </c>
      <c r="AP15" s="4"/>
      <c r="AQ15" s="132" t="s">
        <v>24</v>
      </c>
      <c r="AR15" s="133">
        <v>0</v>
      </c>
      <c r="AS15" s="133">
        <v>0</v>
      </c>
      <c r="AT15" s="133">
        <v>0</v>
      </c>
      <c r="AU15" s="133">
        <v>0</v>
      </c>
      <c r="AV15" s="133">
        <v>0</v>
      </c>
      <c r="AW15" s="4"/>
      <c r="AX15" s="132" t="s">
        <v>24</v>
      </c>
      <c r="AY15" s="133">
        <v>0</v>
      </c>
      <c r="AZ15" s="133">
        <v>0</v>
      </c>
      <c r="BA15" s="133">
        <v>0</v>
      </c>
      <c r="BB15" s="133">
        <v>0</v>
      </c>
      <c r="BC15" s="133">
        <v>0</v>
      </c>
      <c r="BD15" s="4"/>
      <c r="BE15" s="132" t="s">
        <v>24</v>
      </c>
      <c r="BF15" s="133">
        <v>0</v>
      </c>
      <c r="BG15" s="133">
        <v>0</v>
      </c>
      <c r="BH15" s="133">
        <v>0</v>
      </c>
      <c r="BI15" s="133">
        <v>0</v>
      </c>
      <c r="BJ15" s="133">
        <v>0</v>
      </c>
      <c r="BK15" s="4"/>
      <c r="BL15" s="132" t="s">
        <v>24</v>
      </c>
      <c r="BM15" s="133">
        <v>0</v>
      </c>
      <c r="BN15" s="133">
        <v>0</v>
      </c>
      <c r="BO15" s="133">
        <v>0</v>
      </c>
      <c r="BP15" s="133">
        <v>0</v>
      </c>
      <c r="BQ15" s="133">
        <v>0</v>
      </c>
      <c r="BS15" s="132" t="s">
        <v>24</v>
      </c>
      <c r="BT15" s="133">
        <v>0</v>
      </c>
      <c r="BU15" s="133">
        <v>0</v>
      </c>
      <c r="BV15" s="133">
        <v>0</v>
      </c>
      <c r="BW15" s="133">
        <v>0</v>
      </c>
      <c r="BX15" s="133">
        <v>0</v>
      </c>
    </row>
    <row r="16" spans="1:87" x14ac:dyDescent="0.25">
      <c r="A16" s="134" t="s">
        <v>122</v>
      </c>
      <c r="B16" s="135">
        <f t="shared" ref="B16:F16" si="11">B14*B15</f>
        <v>0</v>
      </c>
      <c r="C16" s="135">
        <f t="shared" si="11"/>
        <v>0</v>
      </c>
      <c r="D16" s="135">
        <f t="shared" si="11"/>
        <v>0</v>
      </c>
      <c r="E16" s="135">
        <f t="shared" si="11"/>
        <v>0</v>
      </c>
      <c r="F16" s="135">
        <f t="shared" si="11"/>
        <v>0</v>
      </c>
      <c r="G16" s="136"/>
      <c r="H16" s="134" t="s">
        <v>122</v>
      </c>
      <c r="I16" s="135">
        <f t="shared" ref="I16:M16" si="12">I14*I15</f>
        <v>0</v>
      </c>
      <c r="J16" s="135">
        <f t="shared" si="12"/>
        <v>0</v>
      </c>
      <c r="K16" s="135">
        <f t="shared" si="12"/>
        <v>0</v>
      </c>
      <c r="L16" s="135">
        <f t="shared" si="12"/>
        <v>0</v>
      </c>
      <c r="M16" s="135">
        <f t="shared" si="12"/>
        <v>0</v>
      </c>
      <c r="N16" s="136"/>
      <c r="O16" s="134" t="s">
        <v>122</v>
      </c>
      <c r="P16" s="135">
        <f t="shared" ref="P16:T16" si="13">P14*P15</f>
        <v>0</v>
      </c>
      <c r="Q16" s="135">
        <f t="shared" si="13"/>
        <v>0</v>
      </c>
      <c r="R16" s="135">
        <f t="shared" si="13"/>
        <v>0</v>
      </c>
      <c r="S16" s="135">
        <f t="shared" si="13"/>
        <v>0</v>
      </c>
      <c r="T16" s="135">
        <f t="shared" si="13"/>
        <v>0</v>
      </c>
      <c r="U16" s="136"/>
      <c r="V16" s="134" t="s">
        <v>122</v>
      </c>
      <c r="W16" s="135">
        <f t="shared" ref="W16:AA16" si="14">W14*W15</f>
        <v>0</v>
      </c>
      <c r="X16" s="135">
        <f t="shared" si="14"/>
        <v>0</v>
      </c>
      <c r="Y16" s="135">
        <f t="shared" si="14"/>
        <v>0</v>
      </c>
      <c r="Z16" s="135">
        <f t="shared" si="14"/>
        <v>0</v>
      </c>
      <c r="AA16" s="135">
        <f t="shared" si="14"/>
        <v>0</v>
      </c>
      <c r="AB16" s="136"/>
      <c r="AC16" s="134" t="s">
        <v>122</v>
      </c>
      <c r="AD16" s="135">
        <f t="shared" ref="AD16:AH16" si="15">AD14*AD15</f>
        <v>0</v>
      </c>
      <c r="AE16" s="135">
        <f t="shared" si="15"/>
        <v>0</v>
      </c>
      <c r="AF16" s="135">
        <f t="shared" si="15"/>
        <v>0</v>
      </c>
      <c r="AG16" s="135">
        <f t="shared" si="15"/>
        <v>0</v>
      </c>
      <c r="AH16" s="135">
        <f t="shared" si="15"/>
        <v>0</v>
      </c>
      <c r="AI16" s="136"/>
      <c r="AJ16" s="134" t="s">
        <v>122</v>
      </c>
      <c r="AK16" s="135">
        <f t="shared" ref="AK16:AO16" si="16">AK14*AK15</f>
        <v>0</v>
      </c>
      <c r="AL16" s="135">
        <f t="shared" si="16"/>
        <v>0</v>
      </c>
      <c r="AM16" s="135">
        <f t="shared" si="16"/>
        <v>0</v>
      </c>
      <c r="AN16" s="135">
        <f t="shared" si="16"/>
        <v>0</v>
      </c>
      <c r="AO16" s="135">
        <f t="shared" si="16"/>
        <v>0</v>
      </c>
      <c r="AP16" s="136"/>
      <c r="AQ16" s="134" t="s">
        <v>122</v>
      </c>
      <c r="AR16" s="135">
        <f t="shared" ref="AR16:AV16" si="17">AR14*AR15</f>
        <v>0</v>
      </c>
      <c r="AS16" s="135">
        <f t="shared" si="17"/>
        <v>0</v>
      </c>
      <c r="AT16" s="135">
        <f t="shared" si="17"/>
        <v>0</v>
      </c>
      <c r="AU16" s="135">
        <f t="shared" si="17"/>
        <v>0</v>
      </c>
      <c r="AV16" s="135">
        <f t="shared" si="17"/>
        <v>0</v>
      </c>
      <c r="AW16" s="136"/>
      <c r="AX16" s="134" t="s">
        <v>122</v>
      </c>
      <c r="AY16" s="135">
        <f t="shared" ref="AY16:BC16" si="18">AY14*AY15</f>
        <v>0</v>
      </c>
      <c r="AZ16" s="135">
        <f t="shared" si="18"/>
        <v>0</v>
      </c>
      <c r="BA16" s="135">
        <f t="shared" si="18"/>
        <v>0</v>
      </c>
      <c r="BB16" s="135">
        <f t="shared" si="18"/>
        <v>0</v>
      </c>
      <c r="BC16" s="135">
        <f t="shared" si="18"/>
        <v>0</v>
      </c>
      <c r="BD16" s="136"/>
      <c r="BE16" s="134" t="s">
        <v>122</v>
      </c>
      <c r="BF16" s="135">
        <f t="shared" ref="BF16:BJ16" si="19">BF14*BF15</f>
        <v>0</v>
      </c>
      <c r="BG16" s="135">
        <f t="shared" si="19"/>
        <v>0</v>
      </c>
      <c r="BH16" s="135">
        <f t="shared" si="19"/>
        <v>0</v>
      </c>
      <c r="BI16" s="135">
        <f t="shared" si="19"/>
        <v>0</v>
      </c>
      <c r="BJ16" s="135">
        <f t="shared" si="19"/>
        <v>0</v>
      </c>
      <c r="BK16" s="136"/>
      <c r="BL16" s="134" t="s">
        <v>122</v>
      </c>
      <c r="BM16" s="135">
        <f t="shared" ref="BM16:BQ16" si="20">BM14*BM15</f>
        <v>0</v>
      </c>
      <c r="BN16" s="135">
        <f t="shared" si="20"/>
        <v>0</v>
      </c>
      <c r="BO16" s="135">
        <f t="shared" si="20"/>
        <v>0</v>
      </c>
      <c r="BP16" s="135">
        <f t="shared" si="20"/>
        <v>0</v>
      </c>
      <c r="BQ16" s="135">
        <f t="shared" si="20"/>
        <v>0</v>
      </c>
      <c r="BR16" s="6"/>
      <c r="BS16" s="134" t="s">
        <v>122</v>
      </c>
      <c r="BT16" s="135">
        <f t="shared" ref="BT16:BX16" si="21">BT14*BT15</f>
        <v>0</v>
      </c>
      <c r="BU16" s="135">
        <f t="shared" si="21"/>
        <v>0</v>
      </c>
      <c r="BV16" s="135">
        <f t="shared" si="21"/>
        <v>0</v>
      </c>
      <c r="BW16" s="135">
        <f t="shared" si="21"/>
        <v>0</v>
      </c>
      <c r="BX16" s="135">
        <f t="shared" si="21"/>
        <v>0</v>
      </c>
      <c r="BY16" s="6"/>
      <c r="BZ16" s="6"/>
      <c r="CD16" s="6"/>
      <c r="CE16" s="6"/>
      <c r="CF16" s="6"/>
      <c r="CG16" s="6"/>
      <c r="CH16" s="6"/>
      <c r="CI16" s="6"/>
    </row>
    <row r="17" spans="1:87" s="5" customFormat="1" x14ac:dyDescent="0.25">
      <c r="A17" s="132" t="s">
        <v>123</v>
      </c>
      <c r="B17" s="133">
        <v>30</v>
      </c>
      <c r="C17" s="133">
        <v>30</v>
      </c>
      <c r="D17" s="133">
        <v>30</v>
      </c>
      <c r="E17" s="133">
        <v>30</v>
      </c>
      <c r="F17" s="133">
        <v>30</v>
      </c>
      <c r="G17" s="137"/>
      <c r="H17" s="132" t="s">
        <v>123</v>
      </c>
      <c r="I17" s="133">
        <v>0</v>
      </c>
      <c r="J17" s="133">
        <v>0</v>
      </c>
      <c r="K17" s="133">
        <v>0</v>
      </c>
      <c r="L17" s="133">
        <v>0</v>
      </c>
      <c r="M17" s="133">
        <v>0</v>
      </c>
      <c r="N17" s="137"/>
      <c r="O17" s="132" t="s">
        <v>123</v>
      </c>
      <c r="P17" s="133">
        <v>0</v>
      </c>
      <c r="Q17" s="133">
        <v>0</v>
      </c>
      <c r="R17" s="133">
        <v>0</v>
      </c>
      <c r="S17" s="133">
        <v>0</v>
      </c>
      <c r="T17" s="133">
        <v>0</v>
      </c>
      <c r="U17" s="137"/>
      <c r="V17" s="132" t="s">
        <v>123</v>
      </c>
      <c r="W17" s="133">
        <v>0</v>
      </c>
      <c r="X17" s="133">
        <v>0</v>
      </c>
      <c r="Y17" s="133">
        <v>0</v>
      </c>
      <c r="Z17" s="133">
        <v>0</v>
      </c>
      <c r="AA17" s="133">
        <v>0</v>
      </c>
      <c r="AB17" s="137"/>
      <c r="AC17" s="132" t="s">
        <v>123</v>
      </c>
      <c r="AD17" s="133">
        <v>0</v>
      </c>
      <c r="AE17" s="133">
        <v>0</v>
      </c>
      <c r="AF17" s="133">
        <v>0</v>
      </c>
      <c r="AG17" s="133">
        <v>0</v>
      </c>
      <c r="AH17" s="133">
        <v>0</v>
      </c>
      <c r="AI17" s="137"/>
      <c r="AJ17" s="132" t="s">
        <v>123</v>
      </c>
      <c r="AK17" s="133">
        <v>0</v>
      </c>
      <c r="AL17" s="133">
        <v>0</v>
      </c>
      <c r="AM17" s="133">
        <v>0</v>
      </c>
      <c r="AN17" s="133">
        <v>0</v>
      </c>
      <c r="AO17" s="133">
        <v>0</v>
      </c>
      <c r="AP17" s="137"/>
      <c r="AQ17" s="132" t="s">
        <v>123</v>
      </c>
      <c r="AR17" s="133">
        <v>0</v>
      </c>
      <c r="AS17" s="133">
        <v>0</v>
      </c>
      <c r="AT17" s="133">
        <v>0</v>
      </c>
      <c r="AU17" s="133">
        <v>0</v>
      </c>
      <c r="AV17" s="133">
        <v>0</v>
      </c>
      <c r="AW17" s="137"/>
      <c r="AX17" s="132" t="s">
        <v>123</v>
      </c>
      <c r="AY17" s="133">
        <v>0</v>
      </c>
      <c r="AZ17" s="133">
        <v>0</v>
      </c>
      <c r="BA17" s="133">
        <v>0</v>
      </c>
      <c r="BB17" s="133">
        <v>0</v>
      </c>
      <c r="BC17" s="133">
        <v>0</v>
      </c>
      <c r="BD17" s="137"/>
      <c r="BE17" s="132" t="s">
        <v>123</v>
      </c>
      <c r="BF17" s="133">
        <v>0</v>
      </c>
      <c r="BG17" s="133">
        <v>0</v>
      </c>
      <c r="BH17" s="133">
        <v>0</v>
      </c>
      <c r="BI17" s="133">
        <v>0</v>
      </c>
      <c r="BJ17" s="133">
        <v>0</v>
      </c>
      <c r="BK17" s="137"/>
      <c r="BL17" s="132" t="s">
        <v>123</v>
      </c>
      <c r="BM17" s="133">
        <v>0</v>
      </c>
      <c r="BN17" s="133">
        <v>0</v>
      </c>
      <c r="BO17" s="133">
        <v>0</v>
      </c>
      <c r="BP17" s="133">
        <v>0</v>
      </c>
      <c r="BQ17" s="133">
        <v>0</v>
      </c>
      <c r="BS17" s="132" t="s">
        <v>123</v>
      </c>
      <c r="BT17" s="133">
        <v>0</v>
      </c>
      <c r="BU17" s="133">
        <v>0</v>
      </c>
      <c r="BV17" s="133">
        <v>0</v>
      </c>
      <c r="BW17" s="133">
        <v>0</v>
      </c>
      <c r="BX17" s="133">
        <v>0</v>
      </c>
    </row>
    <row r="18" spans="1:87" s="5" customFormat="1" x14ac:dyDescent="0.25">
      <c r="A18" s="132" t="s">
        <v>24</v>
      </c>
      <c r="B18" s="133">
        <v>0.44</v>
      </c>
      <c r="C18" s="133">
        <v>0.44</v>
      </c>
      <c r="D18" s="133">
        <v>0.44</v>
      </c>
      <c r="E18" s="133">
        <v>0.44</v>
      </c>
      <c r="F18" s="133">
        <v>0.44</v>
      </c>
      <c r="G18" s="137"/>
      <c r="H18" s="132" t="s">
        <v>24</v>
      </c>
      <c r="I18" s="133">
        <v>0</v>
      </c>
      <c r="J18" s="133">
        <v>0</v>
      </c>
      <c r="K18" s="133">
        <v>0</v>
      </c>
      <c r="L18" s="133">
        <v>0</v>
      </c>
      <c r="M18" s="133">
        <v>0</v>
      </c>
      <c r="N18" s="137"/>
      <c r="O18" s="132" t="s">
        <v>24</v>
      </c>
      <c r="P18" s="133">
        <v>0</v>
      </c>
      <c r="Q18" s="133">
        <v>0</v>
      </c>
      <c r="R18" s="133">
        <v>0</v>
      </c>
      <c r="S18" s="133">
        <v>0</v>
      </c>
      <c r="T18" s="133">
        <v>0</v>
      </c>
      <c r="U18" s="137"/>
      <c r="V18" s="132" t="s">
        <v>24</v>
      </c>
      <c r="W18" s="133">
        <v>0</v>
      </c>
      <c r="X18" s="133">
        <v>0</v>
      </c>
      <c r="Y18" s="133">
        <v>0</v>
      </c>
      <c r="Z18" s="133">
        <v>0</v>
      </c>
      <c r="AA18" s="133">
        <v>0</v>
      </c>
      <c r="AB18" s="137"/>
      <c r="AC18" s="132" t="s">
        <v>24</v>
      </c>
      <c r="AD18" s="133">
        <v>0</v>
      </c>
      <c r="AE18" s="133">
        <v>0</v>
      </c>
      <c r="AF18" s="133">
        <v>0</v>
      </c>
      <c r="AG18" s="133">
        <v>0</v>
      </c>
      <c r="AH18" s="133">
        <v>0</v>
      </c>
      <c r="AI18" s="137"/>
      <c r="AJ18" s="132" t="s">
        <v>24</v>
      </c>
      <c r="AK18" s="133">
        <v>0</v>
      </c>
      <c r="AL18" s="133">
        <v>0</v>
      </c>
      <c r="AM18" s="133">
        <v>0</v>
      </c>
      <c r="AN18" s="133">
        <v>0</v>
      </c>
      <c r="AO18" s="133">
        <v>0</v>
      </c>
      <c r="AP18" s="137"/>
      <c r="AQ18" s="132" t="s">
        <v>24</v>
      </c>
      <c r="AR18" s="133">
        <v>0</v>
      </c>
      <c r="AS18" s="133">
        <v>0</v>
      </c>
      <c r="AT18" s="133">
        <v>0</v>
      </c>
      <c r="AU18" s="133">
        <v>0</v>
      </c>
      <c r="AV18" s="133">
        <v>0</v>
      </c>
      <c r="AW18" s="137"/>
      <c r="AX18" s="132" t="s">
        <v>24</v>
      </c>
      <c r="AY18" s="133">
        <v>0</v>
      </c>
      <c r="AZ18" s="133">
        <v>0</v>
      </c>
      <c r="BA18" s="133">
        <v>0</v>
      </c>
      <c r="BB18" s="133">
        <v>0</v>
      </c>
      <c r="BC18" s="133">
        <v>0</v>
      </c>
      <c r="BD18" s="137"/>
      <c r="BE18" s="132" t="s">
        <v>24</v>
      </c>
      <c r="BF18" s="133">
        <v>0</v>
      </c>
      <c r="BG18" s="133">
        <v>0</v>
      </c>
      <c r="BH18" s="133">
        <v>0</v>
      </c>
      <c r="BI18" s="133">
        <v>0</v>
      </c>
      <c r="BJ18" s="133">
        <v>0</v>
      </c>
      <c r="BK18" s="137"/>
      <c r="BL18" s="132" t="s">
        <v>24</v>
      </c>
      <c r="BM18" s="133">
        <v>0</v>
      </c>
      <c r="BN18" s="133">
        <v>0</v>
      </c>
      <c r="BO18" s="133">
        <v>0</v>
      </c>
      <c r="BP18" s="133">
        <v>0</v>
      </c>
      <c r="BQ18" s="133">
        <v>0</v>
      </c>
      <c r="BS18" s="132" t="s">
        <v>24</v>
      </c>
      <c r="BT18" s="133">
        <v>0</v>
      </c>
      <c r="BU18" s="133">
        <v>0</v>
      </c>
      <c r="BV18" s="133">
        <v>0</v>
      </c>
      <c r="BW18" s="133">
        <v>0</v>
      </c>
      <c r="BX18" s="133">
        <v>0</v>
      </c>
    </row>
    <row r="19" spans="1:87" x14ac:dyDescent="0.25">
      <c r="A19" s="134" t="s">
        <v>124</v>
      </c>
      <c r="B19" s="135">
        <f t="shared" ref="B19:F19" si="22">B17*B18</f>
        <v>13.2</v>
      </c>
      <c r="C19" s="135">
        <f t="shared" si="22"/>
        <v>13.2</v>
      </c>
      <c r="D19" s="135">
        <f t="shared" si="22"/>
        <v>13.2</v>
      </c>
      <c r="E19" s="135">
        <f t="shared" si="22"/>
        <v>13.2</v>
      </c>
      <c r="F19" s="135">
        <f t="shared" si="22"/>
        <v>13.2</v>
      </c>
      <c r="G19" s="136"/>
      <c r="H19" s="134" t="s">
        <v>124</v>
      </c>
      <c r="I19" s="135">
        <f t="shared" ref="I19:M19" si="23">I17*I18</f>
        <v>0</v>
      </c>
      <c r="J19" s="135">
        <f t="shared" si="23"/>
        <v>0</v>
      </c>
      <c r="K19" s="135">
        <f t="shared" si="23"/>
        <v>0</v>
      </c>
      <c r="L19" s="135">
        <f t="shared" si="23"/>
        <v>0</v>
      </c>
      <c r="M19" s="135">
        <f t="shared" si="23"/>
        <v>0</v>
      </c>
      <c r="N19" s="136"/>
      <c r="O19" s="134" t="s">
        <v>124</v>
      </c>
      <c r="P19" s="135">
        <f t="shared" ref="P19:T19" si="24">P17*P18</f>
        <v>0</v>
      </c>
      <c r="Q19" s="135">
        <f t="shared" si="24"/>
        <v>0</v>
      </c>
      <c r="R19" s="135">
        <f t="shared" si="24"/>
        <v>0</v>
      </c>
      <c r="S19" s="135">
        <f t="shared" si="24"/>
        <v>0</v>
      </c>
      <c r="T19" s="135">
        <f t="shared" si="24"/>
        <v>0</v>
      </c>
      <c r="U19" s="136"/>
      <c r="V19" s="134" t="s">
        <v>124</v>
      </c>
      <c r="W19" s="135">
        <f t="shared" ref="W19:AA19" si="25">W17*W18</f>
        <v>0</v>
      </c>
      <c r="X19" s="135">
        <f t="shared" si="25"/>
        <v>0</v>
      </c>
      <c r="Y19" s="135">
        <f t="shared" si="25"/>
        <v>0</v>
      </c>
      <c r="Z19" s="135">
        <f t="shared" si="25"/>
        <v>0</v>
      </c>
      <c r="AA19" s="135">
        <f t="shared" si="25"/>
        <v>0</v>
      </c>
      <c r="AB19" s="136"/>
      <c r="AC19" s="134" t="s">
        <v>124</v>
      </c>
      <c r="AD19" s="135">
        <f t="shared" ref="AD19:AH19" si="26">AD17*AD18</f>
        <v>0</v>
      </c>
      <c r="AE19" s="135">
        <f t="shared" si="26"/>
        <v>0</v>
      </c>
      <c r="AF19" s="135">
        <f t="shared" si="26"/>
        <v>0</v>
      </c>
      <c r="AG19" s="135">
        <f t="shared" si="26"/>
        <v>0</v>
      </c>
      <c r="AH19" s="135">
        <f t="shared" si="26"/>
        <v>0</v>
      </c>
      <c r="AI19" s="136"/>
      <c r="AJ19" s="134" t="s">
        <v>124</v>
      </c>
      <c r="AK19" s="135">
        <f t="shared" ref="AK19:AO19" si="27">AK17*AK18</f>
        <v>0</v>
      </c>
      <c r="AL19" s="135">
        <f t="shared" si="27"/>
        <v>0</v>
      </c>
      <c r="AM19" s="135">
        <f t="shared" si="27"/>
        <v>0</v>
      </c>
      <c r="AN19" s="135">
        <f t="shared" si="27"/>
        <v>0</v>
      </c>
      <c r="AO19" s="135">
        <f t="shared" si="27"/>
        <v>0</v>
      </c>
      <c r="AP19" s="136"/>
      <c r="AQ19" s="134" t="s">
        <v>124</v>
      </c>
      <c r="AR19" s="135">
        <f t="shared" ref="AR19:AV19" si="28">AR17*AR18</f>
        <v>0</v>
      </c>
      <c r="AS19" s="135">
        <f t="shared" si="28"/>
        <v>0</v>
      </c>
      <c r="AT19" s="135">
        <f t="shared" si="28"/>
        <v>0</v>
      </c>
      <c r="AU19" s="135">
        <f t="shared" si="28"/>
        <v>0</v>
      </c>
      <c r="AV19" s="135">
        <f t="shared" si="28"/>
        <v>0</v>
      </c>
      <c r="AW19" s="136"/>
      <c r="AX19" s="134" t="s">
        <v>124</v>
      </c>
      <c r="AY19" s="135">
        <f t="shared" ref="AY19:BC19" si="29">AY17*AY18</f>
        <v>0</v>
      </c>
      <c r="AZ19" s="135">
        <f t="shared" si="29"/>
        <v>0</v>
      </c>
      <c r="BA19" s="135">
        <f t="shared" si="29"/>
        <v>0</v>
      </c>
      <c r="BB19" s="135">
        <f t="shared" si="29"/>
        <v>0</v>
      </c>
      <c r="BC19" s="135">
        <f t="shared" si="29"/>
        <v>0</v>
      </c>
      <c r="BD19" s="136"/>
      <c r="BE19" s="134" t="s">
        <v>124</v>
      </c>
      <c r="BF19" s="135">
        <f t="shared" ref="BF19:BJ19" si="30">BF17*BF18</f>
        <v>0</v>
      </c>
      <c r="BG19" s="135">
        <f t="shared" si="30"/>
        <v>0</v>
      </c>
      <c r="BH19" s="135">
        <f t="shared" si="30"/>
        <v>0</v>
      </c>
      <c r="BI19" s="135">
        <f t="shared" si="30"/>
        <v>0</v>
      </c>
      <c r="BJ19" s="135">
        <f t="shared" si="30"/>
        <v>0</v>
      </c>
      <c r="BK19" s="136"/>
      <c r="BL19" s="134" t="s">
        <v>124</v>
      </c>
      <c r="BM19" s="135">
        <f t="shared" ref="BM19:BQ19" si="31">BM17*BM18</f>
        <v>0</v>
      </c>
      <c r="BN19" s="135">
        <f t="shared" si="31"/>
        <v>0</v>
      </c>
      <c r="BO19" s="135">
        <f t="shared" si="31"/>
        <v>0</v>
      </c>
      <c r="BP19" s="135">
        <f t="shared" si="31"/>
        <v>0</v>
      </c>
      <c r="BQ19" s="135">
        <f t="shared" si="31"/>
        <v>0</v>
      </c>
      <c r="BR19" s="6"/>
      <c r="BS19" s="134" t="s">
        <v>124</v>
      </c>
      <c r="BT19" s="135">
        <f t="shared" ref="BT19:BX19" si="32">BT17*BT18</f>
        <v>0</v>
      </c>
      <c r="BU19" s="135">
        <f t="shared" si="32"/>
        <v>0</v>
      </c>
      <c r="BV19" s="135">
        <f t="shared" si="32"/>
        <v>0</v>
      </c>
      <c r="BW19" s="135">
        <f t="shared" si="32"/>
        <v>0</v>
      </c>
      <c r="BX19" s="135">
        <f t="shared" si="32"/>
        <v>0</v>
      </c>
      <c r="BY19" s="6"/>
      <c r="BZ19" s="6"/>
      <c r="CD19" s="6"/>
      <c r="CE19" s="6"/>
      <c r="CF19" s="6"/>
      <c r="CG19" s="6"/>
      <c r="CH19" s="6"/>
      <c r="CI19" s="6"/>
    </row>
    <row r="20" spans="1:87" s="5" customFormat="1" x14ac:dyDescent="0.25">
      <c r="A20" s="138" t="s">
        <v>125</v>
      </c>
      <c r="B20" s="133">
        <v>0</v>
      </c>
      <c r="C20" s="133">
        <v>0</v>
      </c>
      <c r="D20" s="133">
        <v>0</v>
      </c>
      <c r="E20" s="133">
        <v>0</v>
      </c>
      <c r="F20" s="133">
        <v>0</v>
      </c>
      <c r="G20" s="137"/>
      <c r="H20" s="138" t="s">
        <v>125</v>
      </c>
      <c r="I20" s="133">
        <v>0</v>
      </c>
      <c r="J20" s="133">
        <v>0</v>
      </c>
      <c r="K20" s="133">
        <v>0</v>
      </c>
      <c r="L20" s="133">
        <v>0</v>
      </c>
      <c r="M20" s="133">
        <v>0</v>
      </c>
      <c r="N20" s="137"/>
      <c r="O20" s="138" t="s">
        <v>125</v>
      </c>
      <c r="P20" s="133">
        <v>0</v>
      </c>
      <c r="Q20" s="133">
        <v>0</v>
      </c>
      <c r="R20" s="133">
        <v>0</v>
      </c>
      <c r="S20" s="133">
        <v>0</v>
      </c>
      <c r="T20" s="133">
        <v>0</v>
      </c>
      <c r="U20" s="137"/>
      <c r="V20" s="138" t="s">
        <v>125</v>
      </c>
      <c r="W20" s="133">
        <v>0</v>
      </c>
      <c r="X20" s="133">
        <v>0</v>
      </c>
      <c r="Y20" s="133">
        <v>0</v>
      </c>
      <c r="Z20" s="133">
        <v>0</v>
      </c>
      <c r="AA20" s="133">
        <v>0</v>
      </c>
      <c r="AB20" s="137"/>
      <c r="AC20" s="138" t="s">
        <v>125</v>
      </c>
      <c r="AD20" s="133">
        <v>0</v>
      </c>
      <c r="AE20" s="133">
        <v>0</v>
      </c>
      <c r="AF20" s="133">
        <v>0</v>
      </c>
      <c r="AG20" s="133">
        <v>0</v>
      </c>
      <c r="AH20" s="133">
        <v>0</v>
      </c>
      <c r="AI20" s="137"/>
      <c r="AJ20" s="138" t="s">
        <v>125</v>
      </c>
      <c r="AK20" s="133">
        <v>0</v>
      </c>
      <c r="AL20" s="133">
        <v>0</v>
      </c>
      <c r="AM20" s="133">
        <v>0</v>
      </c>
      <c r="AN20" s="133">
        <v>0</v>
      </c>
      <c r="AO20" s="133">
        <v>0</v>
      </c>
      <c r="AP20" s="137"/>
      <c r="AQ20" s="138" t="s">
        <v>125</v>
      </c>
      <c r="AR20" s="133">
        <v>0</v>
      </c>
      <c r="AS20" s="133">
        <v>0</v>
      </c>
      <c r="AT20" s="133">
        <v>0</v>
      </c>
      <c r="AU20" s="133">
        <v>0</v>
      </c>
      <c r="AV20" s="133">
        <v>0</v>
      </c>
      <c r="AW20" s="137"/>
      <c r="AX20" s="138" t="s">
        <v>125</v>
      </c>
      <c r="AY20" s="133">
        <v>0</v>
      </c>
      <c r="AZ20" s="133">
        <v>0</v>
      </c>
      <c r="BA20" s="133">
        <v>0</v>
      </c>
      <c r="BB20" s="133">
        <v>0</v>
      </c>
      <c r="BC20" s="133">
        <v>0</v>
      </c>
      <c r="BD20" s="137"/>
      <c r="BE20" s="138" t="s">
        <v>125</v>
      </c>
      <c r="BF20" s="133">
        <v>0</v>
      </c>
      <c r="BG20" s="133">
        <v>0</v>
      </c>
      <c r="BH20" s="133">
        <v>0</v>
      </c>
      <c r="BI20" s="133">
        <v>0</v>
      </c>
      <c r="BJ20" s="133">
        <v>0</v>
      </c>
      <c r="BK20" s="137"/>
      <c r="BL20" s="138" t="s">
        <v>125</v>
      </c>
      <c r="BM20" s="133">
        <v>0</v>
      </c>
      <c r="BN20" s="133">
        <v>0</v>
      </c>
      <c r="BO20" s="133">
        <v>0</v>
      </c>
      <c r="BP20" s="133">
        <v>0</v>
      </c>
      <c r="BQ20" s="133">
        <v>0</v>
      </c>
      <c r="BS20" s="138" t="s">
        <v>125</v>
      </c>
      <c r="BT20" s="133">
        <v>0</v>
      </c>
      <c r="BU20" s="133">
        <v>0</v>
      </c>
      <c r="BV20" s="133">
        <v>0</v>
      </c>
      <c r="BW20" s="133">
        <v>0</v>
      </c>
      <c r="BX20" s="133">
        <v>0</v>
      </c>
    </row>
    <row r="21" spans="1:87" s="5" customFormat="1" x14ac:dyDescent="0.25">
      <c r="A21" s="138" t="s">
        <v>126</v>
      </c>
      <c r="B21" s="133">
        <v>0</v>
      </c>
      <c r="C21" s="133">
        <v>0</v>
      </c>
      <c r="D21" s="133">
        <v>0</v>
      </c>
      <c r="E21" s="133">
        <v>0</v>
      </c>
      <c r="F21" s="133">
        <v>0</v>
      </c>
      <c r="G21" s="137"/>
      <c r="H21" s="138" t="s">
        <v>126</v>
      </c>
      <c r="I21" s="133">
        <v>0</v>
      </c>
      <c r="J21" s="133">
        <v>0</v>
      </c>
      <c r="K21" s="133">
        <v>0</v>
      </c>
      <c r="L21" s="133">
        <v>0</v>
      </c>
      <c r="M21" s="133">
        <v>0</v>
      </c>
      <c r="N21" s="137"/>
      <c r="O21" s="138" t="s">
        <v>126</v>
      </c>
      <c r="P21" s="133">
        <v>0</v>
      </c>
      <c r="Q21" s="133">
        <v>0</v>
      </c>
      <c r="R21" s="133">
        <v>0</v>
      </c>
      <c r="S21" s="133">
        <v>0</v>
      </c>
      <c r="T21" s="133">
        <v>0</v>
      </c>
      <c r="U21" s="137"/>
      <c r="V21" s="138" t="s">
        <v>126</v>
      </c>
      <c r="W21" s="133">
        <v>0</v>
      </c>
      <c r="X21" s="133">
        <v>0</v>
      </c>
      <c r="Y21" s="133">
        <v>0</v>
      </c>
      <c r="Z21" s="133">
        <v>0</v>
      </c>
      <c r="AA21" s="133">
        <v>0</v>
      </c>
      <c r="AB21" s="137"/>
      <c r="AC21" s="138" t="s">
        <v>126</v>
      </c>
      <c r="AD21" s="133">
        <v>0</v>
      </c>
      <c r="AE21" s="133">
        <v>0</v>
      </c>
      <c r="AF21" s="133">
        <v>0</v>
      </c>
      <c r="AG21" s="133">
        <v>0</v>
      </c>
      <c r="AH21" s="133">
        <v>0</v>
      </c>
      <c r="AI21" s="137"/>
      <c r="AJ21" s="138" t="s">
        <v>126</v>
      </c>
      <c r="AK21" s="133">
        <v>0</v>
      </c>
      <c r="AL21" s="133">
        <v>0</v>
      </c>
      <c r="AM21" s="133">
        <v>0</v>
      </c>
      <c r="AN21" s="133">
        <v>0</v>
      </c>
      <c r="AO21" s="133">
        <v>0</v>
      </c>
      <c r="AP21" s="137"/>
      <c r="AQ21" s="138" t="s">
        <v>126</v>
      </c>
      <c r="AR21" s="133">
        <v>0</v>
      </c>
      <c r="AS21" s="133">
        <v>0</v>
      </c>
      <c r="AT21" s="133">
        <v>0</v>
      </c>
      <c r="AU21" s="133">
        <v>0</v>
      </c>
      <c r="AV21" s="133">
        <v>0</v>
      </c>
      <c r="AW21" s="137"/>
      <c r="AX21" s="138" t="s">
        <v>126</v>
      </c>
      <c r="AY21" s="133">
        <v>0</v>
      </c>
      <c r="AZ21" s="133">
        <v>0</v>
      </c>
      <c r="BA21" s="133">
        <v>0</v>
      </c>
      <c r="BB21" s="133">
        <v>0</v>
      </c>
      <c r="BC21" s="133">
        <v>0</v>
      </c>
      <c r="BD21" s="137"/>
      <c r="BE21" s="138" t="s">
        <v>126</v>
      </c>
      <c r="BF21" s="133">
        <v>0</v>
      </c>
      <c r="BG21" s="133">
        <v>0</v>
      </c>
      <c r="BH21" s="133">
        <v>0</v>
      </c>
      <c r="BI21" s="133">
        <v>0</v>
      </c>
      <c r="BJ21" s="133">
        <v>0</v>
      </c>
      <c r="BK21" s="137"/>
      <c r="BL21" s="138" t="s">
        <v>126</v>
      </c>
      <c r="BM21" s="133">
        <v>0</v>
      </c>
      <c r="BN21" s="133">
        <v>0</v>
      </c>
      <c r="BO21" s="133">
        <v>0</v>
      </c>
      <c r="BP21" s="133">
        <v>0</v>
      </c>
      <c r="BQ21" s="133">
        <v>0</v>
      </c>
      <c r="BS21" s="138" t="s">
        <v>126</v>
      </c>
      <c r="BT21" s="133">
        <v>0</v>
      </c>
      <c r="BU21" s="133">
        <v>0</v>
      </c>
      <c r="BV21" s="133">
        <v>0</v>
      </c>
      <c r="BW21" s="133">
        <v>0</v>
      </c>
      <c r="BX21" s="133">
        <v>0</v>
      </c>
    </row>
    <row r="22" spans="1:87" x14ac:dyDescent="0.25">
      <c r="A22" s="134" t="s">
        <v>127</v>
      </c>
      <c r="B22" s="135">
        <f t="shared" ref="B22:F22" si="33">B20*B21</f>
        <v>0</v>
      </c>
      <c r="C22" s="135">
        <f t="shared" si="33"/>
        <v>0</v>
      </c>
      <c r="D22" s="135">
        <f t="shared" si="33"/>
        <v>0</v>
      </c>
      <c r="E22" s="135">
        <f t="shared" si="33"/>
        <v>0</v>
      </c>
      <c r="F22" s="135">
        <f t="shared" si="33"/>
        <v>0</v>
      </c>
      <c r="G22" s="136"/>
      <c r="H22" s="134" t="s">
        <v>127</v>
      </c>
      <c r="I22" s="135">
        <f t="shared" ref="I22:M22" si="34">I20*I21</f>
        <v>0</v>
      </c>
      <c r="J22" s="135">
        <f t="shared" si="34"/>
        <v>0</v>
      </c>
      <c r="K22" s="135">
        <f t="shared" si="34"/>
        <v>0</v>
      </c>
      <c r="L22" s="135">
        <f t="shared" si="34"/>
        <v>0</v>
      </c>
      <c r="M22" s="135">
        <f t="shared" si="34"/>
        <v>0</v>
      </c>
      <c r="N22" s="136"/>
      <c r="O22" s="134" t="s">
        <v>127</v>
      </c>
      <c r="P22" s="135">
        <f t="shared" ref="P22:T22" si="35">P20*P21</f>
        <v>0</v>
      </c>
      <c r="Q22" s="135">
        <f t="shared" si="35"/>
        <v>0</v>
      </c>
      <c r="R22" s="135">
        <f t="shared" si="35"/>
        <v>0</v>
      </c>
      <c r="S22" s="135">
        <f t="shared" si="35"/>
        <v>0</v>
      </c>
      <c r="T22" s="135">
        <f t="shared" si="35"/>
        <v>0</v>
      </c>
      <c r="U22" s="136"/>
      <c r="V22" s="134" t="s">
        <v>127</v>
      </c>
      <c r="W22" s="135">
        <f t="shared" ref="W22:AA22" si="36">W20*W21</f>
        <v>0</v>
      </c>
      <c r="X22" s="135">
        <f t="shared" si="36"/>
        <v>0</v>
      </c>
      <c r="Y22" s="135">
        <f t="shared" si="36"/>
        <v>0</v>
      </c>
      <c r="Z22" s="135">
        <f t="shared" si="36"/>
        <v>0</v>
      </c>
      <c r="AA22" s="135">
        <f t="shared" si="36"/>
        <v>0</v>
      </c>
      <c r="AB22" s="136"/>
      <c r="AC22" s="134" t="s">
        <v>127</v>
      </c>
      <c r="AD22" s="135">
        <f t="shared" ref="AD22:AH22" si="37">AD20*AD21</f>
        <v>0</v>
      </c>
      <c r="AE22" s="135">
        <f t="shared" si="37"/>
        <v>0</v>
      </c>
      <c r="AF22" s="135">
        <f t="shared" si="37"/>
        <v>0</v>
      </c>
      <c r="AG22" s="135">
        <f t="shared" si="37"/>
        <v>0</v>
      </c>
      <c r="AH22" s="135">
        <f t="shared" si="37"/>
        <v>0</v>
      </c>
      <c r="AI22" s="136"/>
      <c r="AJ22" s="134" t="s">
        <v>127</v>
      </c>
      <c r="AK22" s="135">
        <f t="shared" ref="AK22:AO22" si="38">AK20*AK21</f>
        <v>0</v>
      </c>
      <c r="AL22" s="135">
        <f t="shared" si="38"/>
        <v>0</v>
      </c>
      <c r="AM22" s="135">
        <f t="shared" si="38"/>
        <v>0</v>
      </c>
      <c r="AN22" s="135">
        <f t="shared" si="38"/>
        <v>0</v>
      </c>
      <c r="AO22" s="135">
        <f t="shared" si="38"/>
        <v>0</v>
      </c>
      <c r="AP22" s="136"/>
      <c r="AQ22" s="134" t="s">
        <v>127</v>
      </c>
      <c r="AR22" s="135">
        <f t="shared" ref="AR22:AV22" si="39">AR20*AR21</f>
        <v>0</v>
      </c>
      <c r="AS22" s="135">
        <f t="shared" si="39"/>
        <v>0</v>
      </c>
      <c r="AT22" s="135">
        <f t="shared" si="39"/>
        <v>0</v>
      </c>
      <c r="AU22" s="135">
        <f t="shared" si="39"/>
        <v>0</v>
      </c>
      <c r="AV22" s="135">
        <f t="shared" si="39"/>
        <v>0</v>
      </c>
      <c r="AW22" s="136"/>
      <c r="AX22" s="134" t="s">
        <v>127</v>
      </c>
      <c r="AY22" s="135">
        <f t="shared" ref="AY22:BC22" si="40">AY20*AY21</f>
        <v>0</v>
      </c>
      <c r="AZ22" s="135">
        <f t="shared" si="40"/>
        <v>0</v>
      </c>
      <c r="BA22" s="135">
        <f t="shared" si="40"/>
        <v>0</v>
      </c>
      <c r="BB22" s="135">
        <f t="shared" si="40"/>
        <v>0</v>
      </c>
      <c r="BC22" s="135">
        <f t="shared" si="40"/>
        <v>0</v>
      </c>
      <c r="BD22" s="136"/>
      <c r="BE22" s="134" t="s">
        <v>127</v>
      </c>
      <c r="BF22" s="135">
        <f t="shared" ref="BF22:BJ22" si="41">BF20*BF21</f>
        <v>0</v>
      </c>
      <c r="BG22" s="135">
        <f t="shared" si="41"/>
        <v>0</v>
      </c>
      <c r="BH22" s="135">
        <f t="shared" si="41"/>
        <v>0</v>
      </c>
      <c r="BI22" s="135">
        <f t="shared" si="41"/>
        <v>0</v>
      </c>
      <c r="BJ22" s="135">
        <f t="shared" si="41"/>
        <v>0</v>
      </c>
      <c r="BK22" s="136"/>
      <c r="BL22" s="134" t="s">
        <v>127</v>
      </c>
      <c r="BM22" s="135">
        <f t="shared" ref="BM22:BQ22" si="42">BM20*BM21</f>
        <v>0</v>
      </c>
      <c r="BN22" s="135">
        <f t="shared" si="42"/>
        <v>0</v>
      </c>
      <c r="BO22" s="135">
        <f t="shared" si="42"/>
        <v>0</v>
      </c>
      <c r="BP22" s="135">
        <f t="shared" si="42"/>
        <v>0</v>
      </c>
      <c r="BQ22" s="135">
        <f t="shared" si="42"/>
        <v>0</v>
      </c>
      <c r="BR22" s="6"/>
      <c r="BS22" s="134" t="s">
        <v>127</v>
      </c>
      <c r="BT22" s="135">
        <f t="shared" ref="BT22:BX22" si="43">BT20*BT21</f>
        <v>0</v>
      </c>
      <c r="BU22" s="135">
        <f t="shared" si="43"/>
        <v>0</v>
      </c>
      <c r="BV22" s="135">
        <f t="shared" si="43"/>
        <v>0</v>
      </c>
      <c r="BW22" s="135">
        <f t="shared" si="43"/>
        <v>0</v>
      </c>
      <c r="BX22" s="135">
        <f t="shared" si="43"/>
        <v>0</v>
      </c>
      <c r="BY22" s="6"/>
      <c r="BZ22" s="6"/>
      <c r="CD22" s="6"/>
      <c r="CE22" s="6"/>
      <c r="CF22" s="6"/>
      <c r="CG22" s="6"/>
      <c r="CH22" s="6"/>
      <c r="CI22" s="6"/>
    </row>
    <row r="23" spans="1:87" x14ac:dyDescent="0.25">
      <c r="A23" s="150" t="s">
        <v>128</v>
      </c>
      <c r="B23" s="151">
        <f t="shared" ref="B23:F23" si="44">B13+B16+B19+B22</f>
        <v>277.2</v>
      </c>
      <c r="C23" s="151">
        <f t="shared" si="44"/>
        <v>277.2</v>
      </c>
      <c r="D23" s="151">
        <f t="shared" si="44"/>
        <v>321.2</v>
      </c>
      <c r="E23" s="151">
        <f t="shared" si="44"/>
        <v>321.2</v>
      </c>
      <c r="F23" s="151">
        <f t="shared" si="44"/>
        <v>277.2</v>
      </c>
      <c r="H23" s="150" t="s">
        <v>128</v>
      </c>
      <c r="I23" s="151">
        <f t="shared" ref="I23:M23" si="45">I13+I16+I19+I22</f>
        <v>0</v>
      </c>
      <c r="J23" s="151">
        <f t="shared" si="45"/>
        <v>0</v>
      </c>
      <c r="K23" s="151">
        <f t="shared" si="45"/>
        <v>0</v>
      </c>
      <c r="L23" s="151">
        <f t="shared" si="45"/>
        <v>0</v>
      </c>
      <c r="M23" s="151">
        <f t="shared" si="45"/>
        <v>0</v>
      </c>
      <c r="O23" s="150" t="s">
        <v>128</v>
      </c>
      <c r="P23" s="151">
        <f t="shared" ref="P23:T23" si="46">P13+P16+P19+P22</f>
        <v>0</v>
      </c>
      <c r="Q23" s="151">
        <f t="shared" si="46"/>
        <v>0</v>
      </c>
      <c r="R23" s="151">
        <f t="shared" si="46"/>
        <v>0</v>
      </c>
      <c r="S23" s="151">
        <f t="shared" si="46"/>
        <v>0</v>
      </c>
      <c r="T23" s="151">
        <f t="shared" si="46"/>
        <v>0</v>
      </c>
      <c r="V23" s="150" t="s">
        <v>128</v>
      </c>
      <c r="W23" s="151">
        <f t="shared" ref="W23:AA23" si="47">W13+W16+W19+W22</f>
        <v>0</v>
      </c>
      <c r="X23" s="151">
        <f t="shared" si="47"/>
        <v>0</v>
      </c>
      <c r="Y23" s="151">
        <f t="shared" si="47"/>
        <v>0</v>
      </c>
      <c r="Z23" s="151">
        <f t="shared" si="47"/>
        <v>0</v>
      </c>
      <c r="AA23" s="151">
        <f t="shared" si="47"/>
        <v>0</v>
      </c>
      <c r="AC23" s="150" t="s">
        <v>128</v>
      </c>
      <c r="AD23" s="151">
        <f t="shared" ref="AD23:AH23" si="48">AD13+AD16+AD19+AD22</f>
        <v>0</v>
      </c>
      <c r="AE23" s="151">
        <f t="shared" si="48"/>
        <v>0</v>
      </c>
      <c r="AF23" s="151">
        <f t="shared" si="48"/>
        <v>0</v>
      </c>
      <c r="AG23" s="151">
        <f t="shared" si="48"/>
        <v>0</v>
      </c>
      <c r="AH23" s="151">
        <f t="shared" si="48"/>
        <v>0</v>
      </c>
      <c r="AJ23" s="150" t="s">
        <v>128</v>
      </c>
      <c r="AK23" s="151">
        <f t="shared" ref="AK23:AO23" si="49">AK13+AK16+AK19+AK22</f>
        <v>0</v>
      </c>
      <c r="AL23" s="151">
        <f t="shared" si="49"/>
        <v>0</v>
      </c>
      <c r="AM23" s="151">
        <f t="shared" si="49"/>
        <v>0</v>
      </c>
      <c r="AN23" s="151">
        <f t="shared" si="49"/>
        <v>0</v>
      </c>
      <c r="AO23" s="151">
        <f t="shared" si="49"/>
        <v>0</v>
      </c>
      <c r="AQ23" s="150" t="s">
        <v>128</v>
      </c>
      <c r="AR23" s="151">
        <f t="shared" ref="AR23:AV23" si="50">AR13+AR16+AR19+AR22</f>
        <v>0</v>
      </c>
      <c r="AS23" s="151">
        <f t="shared" si="50"/>
        <v>0</v>
      </c>
      <c r="AT23" s="151">
        <f t="shared" si="50"/>
        <v>0</v>
      </c>
      <c r="AU23" s="151">
        <f t="shared" si="50"/>
        <v>0</v>
      </c>
      <c r="AV23" s="151">
        <f t="shared" si="50"/>
        <v>0</v>
      </c>
      <c r="AW23" s="3"/>
      <c r="AX23" s="150" t="s">
        <v>128</v>
      </c>
      <c r="AY23" s="151">
        <f t="shared" ref="AY23:BC23" si="51">AY13+AY16+AY19+AY22</f>
        <v>0</v>
      </c>
      <c r="AZ23" s="151">
        <f t="shared" si="51"/>
        <v>0</v>
      </c>
      <c r="BA23" s="151">
        <f t="shared" si="51"/>
        <v>0</v>
      </c>
      <c r="BB23" s="151">
        <f t="shared" si="51"/>
        <v>0</v>
      </c>
      <c r="BC23" s="151">
        <f t="shared" si="51"/>
        <v>0</v>
      </c>
      <c r="BD23" s="3"/>
      <c r="BE23" s="150" t="s">
        <v>128</v>
      </c>
      <c r="BF23" s="151">
        <f t="shared" ref="BF23:BJ23" si="52">BF13+BF16+BF19+BF22</f>
        <v>0</v>
      </c>
      <c r="BG23" s="151">
        <f t="shared" si="52"/>
        <v>0</v>
      </c>
      <c r="BH23" s="151">
        <f t="shared" si="52"/>
        <v>0</v>
      </c>
      <c r="BI23" s="151">
        <f t="shared" si="52"/>
        <v>0</v>
      </c>
      <c r="BJ23" s="151">
        <f t="shared" si="52"/>
        <v>0</v>
      </c>
      <c r="BK23" s="3"/>
      <c r="BL23" s="150" t="s">
        <v>128</v>
      </c>
      <c r="BM23" s="151">
        <f t="shared" ref="BM23:BQ23" si="53">BM13+BM16+BM19+BM22</f>
        <v>0</v>
      </c>
      <c r="BN23" s="151">
        <f t="shared" si="53"/>
        <v>0</v>
      </c>
      <c r="BO23" s="151">
        <f t="shared" si="53"/>
        <v>0</v>
      </c>
      <c r="BP23" s="151">
        <f t="shared" si="53"/>
        <v>0</v>
      </c>
      <c r="BQ23" s="151">
        <f t="shared" si="53"/>
        <v>0</v>
      </c>
      <c r="BR23" s="6"/>
      <c r="BS23" s="150" t="s">
        <v>128</v>
      </c>
      <c r="BT23" s="151">
        <f t="shared" ref="BT23:BX23" si="54">BT13+BT16+BT19+BT22</f>
        <v>0</v>
      </c>
      <c r="BU23" s="151">
        <f t="shared" si="54"/>
        <v>0</v>
      </c>
      <c r="BV23" s="151">
        <f t="shared" si="54"/>
        <v>0</v>
      </c>
      <c r="BW23" s="151">
        <f t="shared" si="54"/>
        <v>0</v>
      </c>
      <c r="BX23" s="151">
        <f t="shared" si="54"/>
        <v>0</v>
      </c>
      <c r="BY23" s="6"/>
      <c r="BZ23" s="6"/>
      <c r="CD23" s="6"/>
      <c r="CE23" s="6"/>
      <c r="CF23" s="6"/>
      <c r="CG23" s="6"/>
      <c r="CH23" s="6"/>
      <c r="CI23" s="6"/>
    </row>
    <row r="24" spans="1:87" ht="26.25" customHeight="1" x14ac:dyDescent="0.25">
      <c r="A24" s="129" t="s">
        <v>129</v>
      </c>
      <c r="B24" s="130"/>
      <c r="C24" s="130"/>
      <c r="D24" s="130"/>
      <c r="E24" s="130"/>
      <c r="F24" s="131"/>
      <c r="G24" s="139"/>
      <c r="H24" s="129" t="s">
        <v>129</v>
      </c>
      <c r="I24" s="130"/>
      <c r="J24" s="130"/>
      <c r="K24" s="130"/>
      <c r="L24" s="130"/>
      <c r="M24" s="131"/>
      <c r="N24" s="139"/>
      <c r="O24" s="129" t="s">
        <v>129</v>
      </c>
      <c r="P24" s="130"/>
      <c r="Q24" s="130"/>
      <c r="R24" s="130"/>
      <c r="S24" s="130"/>
      <c r="T24" s="131"/>
      <c r="U24" s="139"/>
      <c r="V24" s="129" t="s">
        <v>129</v>
      </c>
      <c r="W24" s="130"/>
      <c r="X24" s="130"/>
      <c r="Y24" s="130"/>
      <c r="Z24" s="130"/>
      <c r="AA24" s="131"/>
      <c r="AB24" s="139"/>
      <c r="AC24" s="129" t="s">
        <v>129</v>
      </c>
      <c r="AD24" s="130"/>
      <c r="AE24" s="130"/>
      <c r="AF24" s="130"/>
      <c r="AG24" s="130"/>
      <c r="AH24" s="131"/>
      <c r="AI24" s="139"/>
      <c r="AJ24" s="129" t="s">
        <v>129</v>
      </c>
      <c r="AK24" s="130"/>
      <c r="AL24" s="130"/>
      <c r="AM24" s="130"/>
      <c r="AN24" s="130"/>
      <c r="AO24" s="131"/>
      <c r="AP24" s="139"/>
      <c r="AQ24" s="129" t="s">
        <v>129</v>
      </c>
      <c r="AR24" s="130"/>
      <c r="AS24" s="130"/>
      <c r="AT24" s="130"/>
      <c r="AU24" s="130"/>
      <c r="AV24" s="131"/>
      <c r="AW24" s="139"/>
      <c r="AX24" s="129" t="s">
        <v>129</v>
      </c>
      <c r="AY24" s="130"/>
      <c r="AZ24" s="130"/>
      <c r="BA24" s="130"/>
      <c r="BB24" s="130"/>
      <c r="BC24" s="131"/>
      <c r="BD24" s="139"/>
      <c r="BE24" s="129" t="s">
        <v>129</v>
      </c>
      <c r="BF24" s="130"/>
      <c r="BG24" s="130"/>
      <c r="BH24" s="130"/>
      <c r="BI24" s="130"/>
      <c r="BJ24" s="131"/>
      <c r="BK24" s="139"/>
      <c r="BL24" s="129" t="s">
        <v>129</v>
      </c>
      <c r="BM24" s="130"/>
      <c r="BN24" s="130"/>
      <c r="BO24" s="130"/>
      <c r="BP24" s="130"/>
      <c r="BQ24" s="131"/>
      <c r="BR24" s="6"/>
      <c r="BS24" s="129" t="s">
        <v>129</v>
      </c>
      <c r="BT24" s="130"/>
      <c r="BU24" s="130"/>
      <c r="BV24" s="130"/>
      <c r="BW24" s="130"/>
      <c r="BX24" s="131"/>
      <c r="BY24" s="6"/>
      <c r="BZ24" s="6"/>
      <c r="CD24" s="6"/>
      <c r="CE24" s="6"/>
      <c r="CF24" s="6"/>
      <c r="CG24" s="6"/>
      <c r="CH24" s="6"/>
      <c r="CI24" s="6"/>
    </row>
    <row r="25" spans="1:87" s="5" customFormat="1" x14ac:dyDescent="0.25">
      <c r="A25" s="132" t="s">
        <v>119</v>
      </c>
      <c r="B25" s="133">
        <v>360</v>
      </c>
      <c r="C25" s="133">
        <v>360</v>
      </c>
      <c r="D25" s="133">
        <v>420</v>
      </c>
      <c r="E25" s="133">
        <v>420</v>
      </c>
      <c r="F25" s="133">
        <v>360</v>
      </c>
      <c r="G25" s="4"/>
      <c r="H25" s="132" t="s">
        <v>119</v>
      </c>
      <c r="I25" s="133">
        <v>0</v>
      </c>
      <c r="J25" s="133">
        <v>0</v>
      </c>
      <c r="K25" s="133">
        <v>0</v>
      </c>
      <c r="L25" s="133">
        <v>0</v>
      </c>
      <c r="M25" s="133">
        <v>0</v>
      </c>
      <c r="N25" s="4"/>
      <c r="O25" s="132" t="s">
        <v>119</v>
      </c>
      <c r="P25" s="133">
        <v>0</v>
      </c>
      <c r="Q25" s="133">
        <v>0</v>
      </c>
      <c r="R25" s="133">
        <v>0</v>
      </c>
      <c r="S25" s="133">
        <v>0</v>
      </c>
      <c r="T25" s="133">
        <v>0</v>
      </c>
      <c r="U25" s="4"/>
      <c r="V25" s="132" t="s">
        <v>119</v>
      </c>
      <c r="W25" s="133">
        <v>0</v>
      </c>
      <c r="X25" s="133">
        <v>0</v>
      </c>
      <c r="Y25" s="133">
        <v>0</v>
      </c>
      <c r="Z25" s="133">
        <v>0</v>
      </c>
      <c r="AA25" s="133">
        <v>0</v>
      </c>
      <c r="AB25" s="4"/>
      <c r="AC25" s="132" t="s">
        <v>119</v>
      </c>
      <c r="AD25" s="133">
        <v>0</v>
      </c>
      <c r="AE25" s="133">
        <v>0</v>
      </c>
      <c r="AF25" s="133">
        <v>0</v>
      </c>
      <c r="AG25" s="133">
        <v>0</v>
      </c>
      <c r="AH25" s="133">
        <v>0</v>
      </c>
      <c r="AI25" s="4"/>
      <c r="AJ25" s="132" t="s">
        <v>119</v>
      </c>
      <c r="AK25" s="133">
        <v>0</v>
      </c>
      <c r="AL25" s="133">
        <v>0</v>
      </c>
      <c r="AM25" s="133">
        <v>0</v>
      </c>
      <c r="AN25" s="133">
        <v>0</v>
      </c>
      <c r="AO25" s="133">
        <v>0</v>
      </c>
      <c r="AP25" s="4"/>
      <c r="AQ25" s="132" t="s">
        <v>119</v>
      </c>
      <c r="AR25" s="133">
        <v>0</v>
      </c>
      <c r="AS25" s="133">
        <v>0</v>
      </c>
      <c r="AT25" s="133">
        <v>0</v>
      </c>
      <c r="AU25" s="133">
        <v>0</v>
      </c>
      <c r="AV25" s="133">
        <v>0</v>
      </c>
      <c r="AW25" s="4"/>
      <c r="AX25" s="132" t="s">
        <v>119</v>
      </c>
      <c r="AY25" s="133">
        <v>0</v>
      </c>
      <c r="AZ25" s="133">
        <v>0</v>
      </c>
      <c r="BA25" s="133">
        <v>0</v>
      </c>
      <c r="BB25" s="133">
        <v>0</v>
      </c>
      <c r="BC25" s="133">
        <v>0</v>
      </c>
      <c r="BD25" s="4"/>
      <c r="BE25" s="132" t="s">
        <v>119</v>
      </c>
      <c r="BF25" s="133">
        <v>0</v>
      </c>
      <c r="BG25" s="133">
        <v>0</v>
      </c>
      <c r="BH25" s="133">
        <v>0</v>
      </c>
      <c r="BI25" s="133">
        <v>0</v>
      </c>
      <c r="BJ25" s="133">
        <v>0</v>
      </c>
      <c r="BK25" s="4"/>
      <c r="BL25" s="132" t="s">
        <v>119</v>
      </c>
      <c r="BM25" s="133">
        <v>0</v>
      </c>
      <c r="BN25" s="133">
        <v>0</v>
      </c>
      <c r="BO25" s="133">
        <v>0</v>
      </c>
      <c r="BP25" s="133">
        <v>0</v>
      </c>
      <c r="BQ25" s="133">
        <v>0</v>
      </c>
      <c r="BS25" s="132" t="s">
        <v>119</v>
      </c>
      <c r="BT25" s="133">
        <v>0</v>
      </c>
      <c r="BU25" s="133">
        <v>0</v>
      </c>
      <c r="BV25" s="133">
        <v>0</v>
      </c>
      <c r="BW25" s="133">
        <v>0</v>
      </c>
      <c r="BX25" s="133">
        <v>0</v>
      </c>
    </row>
    <row r="26" spans="1:87" s="5" customFormat="1" x14ac:dyDescent="0.25">
      <c r="A26" s="132" t="s">
        <v>24</v>
      </c>
      <c r="B26" s="133">
        <v>0.55000000000000004</v>
      </c>
      <c r="C26" s="133">
        <v>0.55000000000000004</v>
      </c>
      <c r="D26" s="133">
        <v>0.55000000000000004</v>
      </c>
      <c r="E26" s="133">
        <v>0.55000000000000004</v>
      </c>
      <c r="F26" s="133">
        <v>0.55000000000000004</v>
      </c>
      <c r="G26" s="140"/>
      <c r="H26" s="132" t="s">
        <v>24</v>
      </c>
      <c r="I26" s="133">
        <v>0</v>
      </c>
      <c r="J26" s="133">
        <v>0</v>
      </c>
      <c r="K26" s="133">
        <v>0</v>
      </c>
      <c r="L26" s="133">
        <v>0</v>
      </c>
      <c r="M26" s="133">
        <v>0</v>
      </c>
      <c r="N26" s="140"/>
      <c r="O26" s="132" t="s">
        <v>24</v>
      </c>
      <c r="P26" s="133">
        <v>0</v>
      </c>
      <c r="Q26" s="133">
        <v>0</v>
      </c>
      <c r="R26" s="133">
        <v>0</v>
      </c>
      <c r="S26" s="133">
        <v>0</v>
      </c>
      <c r="T26" s="133">
        <v>0</v>
      </c>
      <c r="U26" s="140"/>
      <c r="V26" s="132" t="s">
        <v>24</v>
      </c>
      <c r="W26" s="133">
        <v>0</v>
      </c>
      <c r="X26" s="133">
        <v>0</v>
      </c>
      <c r="Y26" s="133">
        <v>0</v>
      </c>
      <c r="Z26" s="133">
        <v>0</v>
      </c>
      <c r="AA26" s="133">
        <v>0</v>
      </c>
      <c r="AB26" s="140"/>
      <c r="AC26" s="132" t="s">
        <v>24</v>
      </c>
      <c r="AD26" s="133">
        <v>0</v>
      </c>
      <c r="AE26" s="133">
        <v>0</v>
      </c>
      <c r="AF26" s="133">
        <v>0</v>
      </c>
      <c r="AG26" s="133">
        <v>0</v>
      </c>
      <c r="AH26" s="133">
        <v>0</v>
      </c>
      <c r="AI26" s="140"/>
      <c r="AJ26" s="132" t="s">
        <v>24</v>
      </c>
      <c r="AK26" s="133">
        <v>0</v>
      </c>
      <c r="AL26" s="133">
        <v>0</v>
      </c>
      <c r="AM26" s="133">
        <v>0</v>
      </c>
      <c r="AN26" s="133">
        <v>0</v>
      </c>
      <c r="AO26" s="133">
        <v>0</v>
      </c>
      <c r="AP26" s="140"/>
      <c r="AQ26" s="132" t="s">
        <v>24</v>
      </c>
      <c r="AR26" s="133">
        <v>0</v>
      </c>
      <c r="AS26" s="133">
        <v>0</v>
      </c>
      <c r="AT26" s="133">
        <v>0</v>
      </c>
      <c r="AU26" s="133">
        <v>0</v>
      </c>
      <c r="AV26" s="133">
        <v>0</v>
      </c>
      <c r="AW26" s="140"/>
      <c r="AX26" s="132" t="s">
        <v>24</v>
      </c>
      <c r="AY26" s="133">
        <v>0</v>
      </c>
      <c r="AZ26" s="133">
        <v>0</v>
      </c>
      <c r="BA26" s="133">
        <v>0</v>
      </c>
      <c r="BB26" s="133">
        <v>0</v>
      </c>
      <c r="BC26" s="133">
        <v>0</v>
      </c>
      <c r="BD26" s="140"/>
      <c r="BE26" s="132" t="s">
        <v>24</v>
      </c>
      <c r="BF26" s="133">
        <v>0</v>
      </c>
      <c r="BG26" s="133">
        <v>0</v>
      </c>
      <c r="BH26" s="133">
        <v>0</v>
      </c>
      <c r="BI26" s="133">
        <v>0</v>
      </c>
      <c r="BJ26" s="133">
        <v>0</v>
      </c>
      <c r="BK26" s="140"/>
      <c r="BL26" s="132" t="s">
        <v>24</v>
      </c>
      <c r="BM26" s="133">
        <v>0</v>
      </c>
      <c r="BN26" s="133">
        <v>0</v>
      </c>
      <c r="BO26" s="133">
        <v>0</v>
      </c>
      <c r="BP26" s="133">
        <v>0</v>
      </c>
      <c r="BQ26" s="133">
        <v>0</v>
      </c>
      <c r="BS26" s="132" t="s">
        <v>24</v>
      </c>
      <c r="BT26" s="133">
        <v>0</v>
      </c>
      <c r="BU26" s="133">
        <v>0</v>
      </c>
      <c r="BV26" s="133">
        <v>0</v>
      </c>
      <c r="BW26" s="133">
        <v>0</v>
      </c>
      <c r="BX26" s="133">
        <v>0</v>
      </c>
    </row>
    <row r="27" spans="1:87" x14ac:dyDescent="0.25">
      <c r="A27" s="134" t="s">
        <v>120</v>
      </c>
      <c r="B27" s="135">
        <f t="shared" ref="B27:F27" si="55">B25*B26</f>
        <v>198.00000000000003</v>
      </c>
      <c r="C27" s="135">
        <f t="shared" si="55"/>
        <v>198.00000000000003</v>
      </c>
      <c r="D27" s="135">
        <f t="shared" si="55"/>
        <v>231.00000000000003</v>
      </c>
      <c r="E27" s="135">
        <f t="shared" si="55"/>
        <v>231.00000000000003</v>
      </c>
      <c r="F27" s="135">
        <f t="shared" si="55"/>
        <v>198.00000000000003</v>
      </c>
      <c r="G27" s="139"/>
      <c r="H27" s="134" t="s">
        <v>120</v>
      </c>
      <c r="I27" s="135">
        <f t="shared" ref="I27:M27" si="56">I25*I26</f>
        <v>0</v>
      </c>
      <c r="J27" s="135">
        <f t="shared" si="56"/>
        <v>0</v>
      </c>
      <c r="K27" s="135">
        <f t="shared" si="56"/>
        <v>0</v>
      </c>
      <c r="L27" s="135">
        <f t="shared" si="56"/>
        <v>0</v>
      </c>
      <c r="M27" s="135">
        <f t="shared" si="56"/>
        <v>0</v>
      </c>
      <c r="N27" s="139"/>
      <c r="O27" s="134" t="s">
        <v>120</v>
      </c>
      <c r="P27" s="135">
        <f t="shared" ref="P27:T27" si="57">P25*P26</f>
        <v>0</v>
      </c>
      <c r="Q27" s="135">
        <f t="shared" si="57"/>
        <v>0</v>
      </c>
      <c r="R27" s="135">
        <f t="shared" si="57"/>
        <v>0</v>
      </c>
      <c r="S27" s="135">
        <f t="shared" si="57"/>
        <v>0</v>
      </c>
      <c r="T27" s="135">
        <f t="shared" si="57"/>
        <v>0</v>
      </c>
      <c r="U27" s="139"/>
      <c r="V27" s="134" t="s">
        <v>120</v>
      </c>
      <c r="W27" s="135">
        <f t="shared" ref="W27:AA27" si="58">W25*W26</f>
        <v>0</v>
      </c>
      <c r="X27" s="135">
        <f t="shared" si="58"/>
        <v>0</v>
      </c>
      <c r="Y27" s="135">
        <f t="shared" si="58"/>
        <v>0</v>
      </c>
      <c r="Z27" s="135">
        <f t="shared" si="58"/>
        <v>0</v>
      </c>
      <c r="AA27" s="135">
        <f t="shared" si="58"/>
        <v>0</v>
      </c>
      <c r="AB27" s="139"/>
      <c r="AC27" s="134" t="s">
        <v>120</v>
      </c>
      <c r="AD27" s="135">
        <f t="shared" ref="AD27:AH27" si="59">AD25*AD26</f>
        <v>0</v>
      </c>
      <c r="AE27" s="135">
        <f t="shared" si="59"/>
        <v>0</v>
      </c>
      <c r="AF27" s="135">
        <f t="shared" si="59"/>
        <v>0</v>
      </c>
      <c r="AG27" s="135">
        <f t="shared" si="59"/>
        <v>0</v>
      </c>
      <c r="AH27" s="135">
        <f t="shared" si="59"/>
        <v>0</v>
      </c>
      <c r="AI27" s="139"/>
      <c r="AJ27" s="134" t="s">
        <v>120</v>
      </c>
      <c r="AK27" s="135">
        <f t="shared" ref="AK27:AO27" si="60">AK25*AK26</f>
        <v>0</v>
      </c>
      <c r="AL27" s="135">
        <f t="shared" si="60"/>
        <v>0</v>
      </c>
      <c r="AM27" s="135">
        <f t="shared" si="60"/>
        <v>0</v>
      </c>
      <c r="AN27" s="135">
        <f t="shared" si="60"/>
        <v>0</v>
      </c>
      <c r="AO27" s="135">
        <f t="shared" si="60"/>
        <v>0</v>
      </c>
      <c r="AP27" s="139"/>
      <c r="AQ27" s="134" t="s">
        <v>120</v>
      </c>
      <c r="AR27" s="135">
        <f t="shared" ref="AR27:AV27" si="61">AR25*AR26</f>
        <v>0</v>
      </c>
      <c r="AS27" s="135">
        <f t="shared" si="61"/>
        <v>0</v>
      </c>
      <c r="AT27" s="135">
        <f t="shared" si="61"/>
        <v>0</v>
      </c>
      <c r="AU27" s="135">
        <f t="shared" si="61"/>
        <v>0</v>
      </c>
      <c r="AV27" s="135">
        <f t="shared" si="61"/>
        <v>0</v>
      </c>
      <c r="AW27" s="139"/>
      <c r="AX27" s="134" t="s">
        <v>120</v>
      </c>
      <c r="AY27" s="135">
        <f t="shared" ref="AY27:BC27" si="62">AY25*AY26</f>
        <v>0</v>
      </c>
      <c r="AZ27" s="135">
        <f t="shared" si="62"/>
        <v>0</v>
      </c>
      <c r="BA27" s="135">
        <f t="shared" si="62"/>
        <v>0</v>
      </c>
      <c r="BB27" s="135">
        <f t="shared" si="62"/>
        <v>0</v>
      </c>
      <c r="BC27" s="135">
        <f t="shared" si="62"/>
        <v>0</v>
      </c>
      <c r="BD27" s="139"/>
      <c r="BE27" s="134" t="s">
        <v>120</v>
      </c>
      <c r="BF27" s="135">
        <f t="shared" ref="BF27:BJ27" si="63">BF25*BF26</f>
        <v>0</v>
      </c>
      <c r="BG27" s="135">
        <f t="shared" si="63"/>
        <v>0</v>
      </c>
      <c r="BH27" s="135">
        <f t="shared" si="63"/>
        <v>0</v>
      </c>
      <c r="BI27" s="135">
        <f t="shared" si="63"/>
        <v>0</v>
      </c>
      <c r="BJ27" s="135">
        <f t="shared" si="63"/>
        <v>0</v>
      </c>
      <c r="BK27" s="139"/>
      <c r="BL27" s="134" t="s">
        <v>120</v>
      </c>
      <c r="BM27" s="135">
        <f t="shared" ref="BM27:BQ27" si="64">BM25*BM26</f>
        <v>0</v>
      </c>
      <c r="BN27" s="135">
        <f t="shared" si="64"/>
        <v>0</v>
      </c>
      <c r="BO27" s="135">
        <f t="shared" si="64"/>
        <v>0</v>
      </c>
      <c r="BP27" s="135">
        <f t="shared" si="64"/>
        <v>0</v>
      </c>
      <c r="BQ27" s="135">
        <f t="shared" si="64"/>
        <v>0</v>
      </c>
      <c r="BR27" s="6"/>
      <c r="BS27" s="134" t="s">
        <v>120</v>
      </c>
      <c r="BT27" s="135">
        <f t="shared" ref="BT27:BX27" si="65">BT25*BT26</f>
        <v>0</v>
      </c>
      <c r="BU27" s="135">
        <f t="shared" si="65"/>
        <v>0</v>
      </c>
      <c r="BV27" s="135">
        <f t="shared" si="65"/>
        <v>0</v>
      </c>
      <c r="BW27" s="135">
        <f t="shared" si="65"/>
        <v>0</v>
      </c>
      <c r="BX27" s="135">
        <f t="shared" si="65"/>
        <v>0</v>
      </c>
      <c r="BY27" s="6"/>
      <c r="BZ27" s="6"/>
      <c r="CD27" s="6"/>
      <c r="CE27" s="6"/>
      <c r="CF27" s="6"/>
      <c r="CG27" s="6"/>
      <c r="CH27" s="6"/>
      <c r="CI27" s="6"/>
    </row>
    <row r="28" spans="1:87" s="5" customFormat="1" x14ac:dyDescent="0.25">
      <c r="A28" s="132" t="s">
        <v>121</v>
      </c>
      <c r="B28" s="133">
        <v>0</v>
      </c>
      <c r="C28" s="133">
        <v>0</v>
      </c>
      <c r="D28" s="133">
        <v>0</v>
      </c>
      <c r="E28" s="133">
        <v>0</v>
      </c>
      <c r="F28" s="133">
        <v>0</v>
      </c>
      <c r="G28" s="140"/>
      <c r="H28" s="132" t="s">
        <v>121</v>
      </c>
      <c r="I28" s="133">
        <v>0</v>
      </c>
      <c r="J28" s="133">
        <v>0</v>
      </c>
      <c r="K28" s="133">
        <v>0</v>
      </c>
      <c r="L28" s="133">
        <v>0</v>
      </c>
      <c r="M28" s="133">
        <v>0</v>
      </c>
      <c r="N28" s="140"/>
      <c r="O28" s="132" t="s">
        <v>121</v>
      </c>
      <c r="P28" s="133">
        <v>0</v>
      </c>
      <c r="Q28" s="133">
        <v>0</v>
      </c>
      <c r="R28" s="133">
        <v>0</v>
      </c>
      <c r="S28" s="133">
        <v>0</v>
      </c>
      <c r="T28" s="133">
        <v>0</v>
      </c>
      <c r="U28" s="140"/>
      <c r="V28" s="132" t="s">
        <v>121</v>
      </c>
      <c r="W28" s="133">
        <v>0</v>
      </c>
      <c r="X28" s="133">
        <v>0</v>
      </c>
      <c r="Y28" s="133">
        <v>0</v>
      </c>
      <c r="Z28" s="133">
        <v>0</v>
      </c>
      <c r="AA28" s="133">
        <v>0</v>
      </c>
      <c r="AB28" s="140"/>
      <c r="AC28" s="132" t="s">
        <v>121</v>
      </c>
      <c r="AD28" s="133">
        <v>0</v>
      </c>
      <c r="AE28" s="133">
        <v>0</v>
      </c>
      <c r="AF28" s="133">
        <v>0</v>
      </c>
      <c r="AG28" s="133">
        <v>0</v>
      </c>
      <c r="AH28" s="133">
        <v>0</v>
      </c>
      <c r="AI28" s="140"/>
      <c r="AJ28" s="132" t="s">
        <v>121</v>
      </c>
      <c r="AK28" s="133">
        <v>0</v>
      </c>
      <c r="AL28" s="133">
        <v>0</v>
      </c>
      <c r="AM28" s="133">
        <v>0</v>
      </c>
      <c r="AN28" s="133">
        <v>0</v>
      </c>
      <c r="AO28" s="133">
        <v>0</v>
      </c>
      <c r="AP28" s="140"/>
      <c r="AQ28" s="132" t="s">
        <v>121</v>
      </c>
      <c r="AR28" s="133">
        <v>0</v>
      </c>
      <c r="AS28" s="133">
        <v>0</v>
      </c>
      <c r="AT28" s="133">
        <v>0</v>
      </c>
      <c r="AU28" s="133">
        <v>0</v>
      </c>
      <c r="AV28" s="133">
        <v>0</v>
      </c>
      <c r="AW28" s="140"/>
      <c r="AX28" s="132" t="s">
        <v>121</v>
      </c>
      <c r="AY28" s="133">
        <v>0</v>
      </c>
      <c r="AZ28" s="133">
        <v>0</v>
      </c>
      <c r="BA28" s="133">
        <v>0</v>
      </c>
      <c r="BB28" s="133">
        <v>0</v>
      </c>
      <c r="BC28" s="133">
        <v>0</v>
      </c>
      <c r="BD28" s="140"/>
      <c r="BE28" s="132" t="s">
        <v>121</v>
      </c>
      <c r="BF28" s="133">
        <v>0</v>
      </c>
      <c r="BG28" s="133">
        <v>0</v>
      </c>
      <c r="BH28" s="133">
        <v>0</v>
      </c>
      <c r="BI28" s="133">
        <v>0</v>
      </c>
      <c r="BJ28" s="133">
        <v>0</v>
      </c>
      <c r="BK28" s="140"/>
      <c r="BL28" s="132" t="s">
        <v>121</v>
      </c>
      <c r="BM28" s="133">
        <v>0</v>
      </c>
      <c r="BN28" s="133">
        <v>0</v>
      </c>
      <c r="BO28" s="133">
        <v>0</v>
      </c>
      <c r="BP28" s="133">
        <v>0</v>
      </c>
      <c r="BQ28" s="133">
        <v>0</v>
      </c>
      <c r="BS28" s="132" t="s">
        <v>121</v>
      </c>
      <c r="BT28" s="133">
        <v>0</v>
      </c>
      <c r="BU28" s="133">
        <v>0</v>
      </c>
      <c r="BV28" s="133">
        <v>0</v>
      </c>
      <c r="BW28" s="133">
        <v>0</v>
      </c>
      <c r="BX28" s="133">
        <v>0</v>
      </c>
    </row>
    <row r="29" spans="1:87" s="5" customFormat="1" x14ac:dyDescent="0.25">
      <c r="A29" s="132" t="s">
        <v>24</v>
      </c>
      <c r="B29" s="133">
        <v>0</v>
      </c>
      <c r="C29" s="133">
        <v>0</v>
      </c>
      <c r="D29" s="133">
        <v>0</v>
      </c>
      <c r="E29" s="133">
        <v>0</v>
      </c>
      <c r="F29" s="133">
        <v>0</v>
      </c>
      <c r="H29" s="132" t="s">
        <v>24</v>
      </c>
      <c r="I29" s="133">
        <v>0</v>
      </c>
      <c r="J29" s="133">
        <v>0</v>
      </c>
      <c r="K29" s="133">
        <v>0</v>
      </c>
      <c r="L29" s="133">
        <v>0</v>
      </c>
      <c r="M29" s="133">
        <v>0</v>
      </c>
      <c r="O29" s="132" t="s">
        <v>24</v>
      </c>
      <c r="P29" s="133">
        <v>0</v>
      </c>
      <c r="Q29" s="133">
        <v>0</v>
      </c>
      <c r="R29" s="133">
        <v>0</v>
      </c>
      <c r="S29" s="133">
        <v>0</v>
      </c>
      <c r="T29" s="133">
        <v>0</v>
      </c>
      <c r="V29" s="132" t="s">
        <v>24</v>
      </c>
      <c r="W29" s="133">
        <v>0</v>
      </c>
      <c r="X29" s="133">
        <v>0</v>
      </c>
      <c r="Y29" s="133">
        <v>0</v>
      </c>
      <c r="Z29" s="133">
        <v>0</v>
      </c>
      <c r="AA29" s="133">
        <v>0</v>
      </c>
      <c r="AC29" s="132" t="s">
        <v>24</v>
      </c>
      <c r="AD29" s="133">
        <v>0</v>
      </c>
      <c r="AE29" s="133">
        <v>0</v>
      </c>
      <c r="AF29" s="133">
        <v>0</v>
      </c>
      <c r="AG29" s="133">
        <v>0</v>
      </c>
      <c r="AH29" s="133">
        <v>0</v>
      </c>
      <c r="AJ29" s="132" t="s">
        <v>24</v>
      </c>
      <c r="AK29" s="133">
        <v>0</v>
      </c>
      <c r="AL29" s="133">
        <v>0</v>
      </c>
      <c r="AM29" s="133">
        <v>0</v>
      </c>
      <c r="AN29" s="133">
        <v>0</v>
      </c>
      <c r="AO29" s="133">
        <v>0</v>
      </c>
      <c r="AQ29" s="132" t="s">
        <v>24</v>
      </c>
      <c r="AR29" s="133">
        <v>0</v>
      </c>
      <c r="AS29" s="133">
        <v>0</v>
      </c>
      <c r="AT29" s="133">
        <v>0</v>
      </c>
      <c r="AU29" s="133">
        <v>0</v>
      </c>
      <c r="AV29" s="133">
        <v>0</v>
      </c>
      <c r="AX29" s="132" t="s">
        <v>24</v>
      </c>
      <c r="AY29" s="133">
        <v>0</v>
      </c>
      <c r="AZ29" s="133">
        <v>0</v>
      </c>
      <c r="BA29" s="133">
        <v>0</v>
      </c>
      <c r="BB29" s="133">
        <v>0</v>
      </c>
      <c r="BC29" s="133">
        <v>0</v>
      </c>
      <c r="BE29" s="132" t="s">
        <v>24</v>
      </c>
      <c r="BF29" s="133">
        <v>0</v>
      </c>
      <c r="BG29" s="133">
        <v>0</v>
      </c>
      <c r="BH29" s="133">
        <v>0</v>
      </c>
      <c r="BI29" s="133">
        <v>0</v>
      </c>
      <c r="BJ29" s="133">
        <v>0</v>
      </c>
      <c r="BL29" s="132" t="s">
        <v>24</v>
      </c>
      <c r="BM29" s="133">
        <v>0</v>
      </c>
      <c r="BN29" s="133">
        <v>0</v>
      </c>
      <c r="BO29" s="133">
        <v>0</v>
      </c>
      <c r="BP29" s="133">
        <v>0</v>
      </c>
      <c r="BQ29" s="133">
        <v>0</v>
      </c>
      <c r="BS29" s="132" t="s">
        <v>24</v>
      </c>
      <c r="BT29" s="133">
        <v>0</v>
      </c>
      <c r="BU29" s="133">
        <v>0</v>
      </c>
      <c r="BV29" s="133">
        <v>0</v>
      </c>
      <c r="BW29" s="133">
        <v>0</v>
      </c>
      <c r="BX29" s="133">
        <v>0</v>
      </c>
    </row>
    <row r="30" spans="1:87" x14ac:dyDescent="0.25">
      <c r="A30" s="134" t="s">
        <v>122</v>
      </c>
      <c r="B30" s="135">
        <f t="shared" ref="B30:F30" si="66">B28*B29</f>
        <v>0</v>
      </c>
      <c r="C30" s="135">
        <f t="shared" si="66"/>
        <v>0</v>
      </c>
      <c r="D30" s="135">
        <f t="shared" si="66"/>
        <v>0</v>
      </c>
      <c r="E30" s="135">
        <f t="shared" si="66"/>
        <v>0</v>
      </c>
      <c r="F30" s="135">
        <f t="shared" si="66"/>
        <v>0</v>
      </c>
      <c r="G30" s="6"/>
      <c r="H30" s="134" t="s">
        <v>122</v>
      </c>
      <c r="I30" s="135">
        <f t="shared" ref="I30:M30" si="67">I28*I29</f>
        <v>0</v>
      </c>
      <c r="J30" s="135">
        <f t="shared" si="67"/>
        <v>0</v>
      </c>
      <c r="K30" s="135">
        <f t="shared" si="67"/>
        <v>0</v>
      </c>
      <c r="L30" s="135">
        <f t="shared" si="67"/>
        <v>0</v>
      </c>
      <c r="M30" s="135">
        <f t="shared" si="67"/>
        <v>0</v>
      </c>
      <c r="N30" s="6"/>
      <c r="O30" s="134" t="s">
        <v>122</v>
      </c>
      <c r="P30" s="135">
        <f t="shared" ref="P30:T30" si="68">P28*P29</f>
        <v>0</v>
      </c>
      <c r="Q30" s="135">
        <f t="shared" si="68"/>
        <v>0</v>
      </c>
      <c r="R30" s="135">
        <f t="shared" si="68"/>
        <v>0</v>
      </c>
      <c r="S30" s="135">
        <f t="shared" si="68"/>
        <v>0</v>
      </c>
      <c r="T30" s="135">
        <f t="shared" si="68"/>
        <v>0</v>
      </c>
      <c r="U30" s="6"/>
      <c r="V30" s="134" t="s">
        <v>122</v>
      </c>
      <c r="W30" s="135">
        <f t="shared" ref="W30:AA30" si="69">W28*W29</f>
        <v>0</v>
      </c>
      <c r="X30" s="135">
        <f t="shared" si="69"/>
        <v>0</v>
      </c>
      <c r="Y30" s="135">
        <f t="shared" si="69"/>
        <v>0</v>
      </c>
      <c r="Z30" s="135">
        <f t="shared" si="69"/>
        <v>0</v>
      </c>
      <c r="AA30" s="135">
        <f t="shared" si="69"/>
        <v>0</v>
      </c>
      <c r="AB30" s="6"/>
      <c r="AC30" s="134" t="s">
        <v>122</v>
      </c>
      <c r="AD30" s="135">
        <f t="shared" ref="AD30:AH30" si="70">AD28*AD29</f>
        <v>0</v>
      </c>
      <c r="AE30" s="135">
        <f t="shared" si="70"/>
        <v>0</v>
      </c>
      <c r="AF30" s="135">
        <f t="shared" si="70"/>
        <v>0</v>
      </c>
      <c r="AG30" s="135">
        <f t="shared" si="70"/>
        <v>0</v>
      </c>
      <c r="AH30" s="135">
        <f t="shared" si="70"/>
        <v>0</v>
      </c>
      <c r="AI30" s="6"/>
      <c r="AJ30" s="134" t="s">
        <v>122</v>
      </c>
      <c r="AK30" s="135">
        <f t="shared" ref="AK30:AO30" si="71">AK28*AK29</f>
        <v>0</v>
      </c>
      <c r="AL30" s="135">
        <f t="shared" si="71"/>
        <v>0</v>
      </c>
      <c r="AM30" s="135">
        <f t="shared" si="71"/>
        <v>0</v>
      </c>
      <c r="AN30" s="135">
        <f t="shared" si="71"/>
        <v>0</v>
      </c>
      <c r="AO30" s="135">
        <f t="shared" si="71"/>
        <v>0</v>
      </c>
      <c r="AP30" s="6"/>
      <c r="AQ30" s="134" t="s">
        <v>122</v>
      </c>
      <c r="AR30" s="135">
        <f t="shared" ref="AR30:AV30" si="72">AR28*AR29</f>
        <v>0</v>
      </c>
      <c r="AS30" s="135">
        <f t="shared" si="72"/>
        <v>0</v>
      </c>
      <c r="AT30" s="135">
        <f t="shared" si="72"/>
        <v>0</v>
      </c>
      <c r="AU30" s="135">
        <f t="shared" si="72"/>
        <v>0</v>
      </c>
      <c r="AV30" s="135">
        <f t="shared" si="72"/>
        <v>0</v>
      </c>
      <c r="AX30" s="134" t="s">
        <v>122</v>
      </c>
      <c r="AY30" s="135">
        <f t="shared" ref="AY30:BC30" si="73">AY28*AY29</f>
        <v>0</v>
      </c>
      <c r="AZ30" s="135">
        <f t="shared" si="73"/>
        <v>0</v>
      </c>
      <c r="BA30" s="135">
        <f t="shared" si="73"/>
        <v>0</v>
      </c>
      <c r="BB30" s="135">
        <f t="shared" si="73"/>
        <v>0</v>
      </c>
      <c r="BC30" s="135">
        <f t="shared" si="73"/>
        <v>0</v>
      </c>
      <c r="BE30" s="134" t="s">
        <v>122</v>
      </c>
      <c r="BF30" s="135">
        <f t="shared" ref="BF30:BJ30" si="74">BF28*BF29</f>
        <v>0</v>
      </c>
      <c r="BG30" s="135">
        <f t="shared" si="74"/>
        <v>0</v>
      </c>
      <c r="BH30" s="135">
        <f t="shared" si="74"/>
        <v>0</v>
      </c>
      <c r="BI30" s="135">
        <f t="shared" si="74"/>
        <v>0</v>
      </c>
      <c r="BJ30" s="135">
        <f t="shared" si="74"/>
        <v>0</v>
      </c>
      <c r="BL30" s="134" t="s">
        <v>122</v>
      </c>
      <c r="BM30" s="135">
        <f t="shared" ref="BM30:BQ30" si="75">BM28*BM29</f>
        <v>0</v>
      </c>
      <c r="BN30" s="135">
        <f t="shared" si="75"/>
        <v>0</v>
      </c>
      <c r="BO30" s="135">
        <f t="shared" si="75"/>
        <v>0</v>
      </c>
      <c r="BP30" s="135">
        <f t="shared" si="75"/>
        <v>0</v>
      </c>
      <c r="BQ30" s="135">
        <f t="shared" si="75"/>
        <v>0</v>
      </c>
      <c r="BR30" s="6"/>
      <c r="BS30" s="134" t="s">
        <v>122</v>
      </c>
      <c r="BT30" s="135">
        <f t="shared" ref="BT30:BX30" si="76">BT28*BT29</f>
        <v>0</v>
      </c>
      <c r="BU30" s="135">
        <f t="shared" si="76"/>
        <v>0</v>
      </c>
      <c r="BV30" s="135">
        <f t="shared" si="76"/>
        <v>0</v>
      </c>
      <c r="BW30" s="135">
        <f t="shared" si="76"/>
        <v>0</v>
      </c>
      <c r="BX30" s="135">
        <f t="shared" si="76"/>
        <v>0</v>
      </c>
      <c r="BY30" s="6"/>
      <c r="BZ30" s="6"/>
      <c r="CD30" s="6"/>
      <c r="CE30" s="6"/>
      <c r="CF30" s="6"/>
      <c r="CG30" s="6"/>
      <c r="CH30" s="6"/>
      <c r="CI30" s="6"/>
    </row>
    <row r="31" spans="1:87" s="5" customFormat="1" x14ac:dyDescent="0.25">
      <c r="A31" s="132" t="s">
        <v>123</v>
      </c>
      <c r="B31" s="133">
        <v>30</v>
      </c>
      <c r="C31" s="133">
        <v>30</v>
      </c>
      <c r="D31" s="133">
        <v>30</v>
      </c>
      <c r="E31" s="133">
        <v>30</v>
      </c>
      <c r="F31" s="133">
        <v>30</v>
      </c>
      <c r="H31" s="132" t="s">
        <v>123</v>
      </c>
      <c r="I31" s="133">
        <v>0</v>
      </c>
      <c r="J31" s="133">
        <v>0</v>
      </c>
      <c r="K31" s="133">
        <v>0</v>
      </c>
      <c r="L31" s="133">
        <v>0</v>
      </c>
      <c r="M31" s="133">
        <v>0</v>
      </c>
      <c r="O31" s="132" t="s">
        <v>123</v>
      </c>
      <c r="P31" s="133">
        <v>0</v>
      </c>
      <c r="Q31" s="133">
        <v>0</v>
      </c>
      <c r="R31" s="133">
        <v>0</v>
      </c>
      <c r="S31" s="133">
        <v>0</v>
      </c>
      <c r="T31" s="133">
        <v>0</v>
      </c>
      <c r="V31" s="132" t="s">
        <v>123</v>
      </c>
      <c r="W31" s="133">
        <v>0</v>
      </c>
      <c r="X31" s="133">
        <v>0</v>
      </c>
      <c r="Y31" s="133">
        <v>0</v>
      </c>
      <c r="Z31" s="133">
        <v>0</v>
      </c>
      <c r="AA31" s="133">
        <v>0</v>
      </c>
      <c r="AC31" s="132" t="s">
        <v>123</v>
      </c>
      <c r="AD31" s="133">
        <v>0</v>
      </c>
      <c r="AE31" s="133">
        <v>0</v>
      </c>
      <c r="AF31" s="133">
        <v>0</v>
      </c>
      <c r="AG31" s="133">
        <v>0</v>
      </c>
      <c r="AH31" s="133">
        <v>0</v>
      </c>
      <c r="AJ31" s="132" t="s">
        <v>123</v>
      </c>
      <c r="AK31" s="133">
        <v>0</v>
      </c>
      <c r="AL31" s="133">
        <v>0</v>
      </c>
      <c r="AM31" s="133">
        <v>0</v>
      </c>
      <c r="AN31" s="133">
        <v>0</v>
      </c>
      <c r="AO31" s="133">
        <v>0</v>
      </c>
      <c r="AQ31" s="132" t="s">
        <v>123</v>
      </c>
      <c r="AR31" s="133">
        <v>0</v>
      </c>
      <c r="AS31" s="133">
        <v>0</v>
      </c>
      <c r="AT31" s="133">
        <v>0</v>
      </c>
      <c r="AU31" s="133">
        <v>0</v>
      </c>
      <c r="AV31" s="133">
        <v>0</v>
      </c>
      <c r="AX31" s="132" t="s">
        <v>123</v>
      </c>
      <c r="AY31" s="133">
        <v>0</v>
      </c>
      <c r="AZ31" s="133">
        <v>0</v>
      </c>
      <c r="BA31" s="133">
        <v>0</v>
      </c>
      <c r="BB31" s="133">
        <v>0</v>
      </c>
      <c r="BC31" s="133">
        <v>0</v>
      </c>
      <c r="BE31" s="132" t="s">
        <v>123</v>
      </c>
      <c r="BF31" s="133">
        <v>0</v>
      </c>
      <c r="BG31" s="133">
        <v>0</v>
      </c>
      <c r="BH31" s="133">
        <v>0</v>
      </c>
      <c r="BI31" s="133">
        <v>0</v>
      </c>
      <c r="BJ31" s="133">
        <v>0</v>
      </c>
      <c r="BL31" s="132" t="s">
        <v>123</v>
      </c>
      <c r="BM31" s="133">
        <v>0</v>
      </c>
      <c r="BN31" s="133">
        <v>0</v>
      </c>
      <c r="BO31" s="133">
        <v>0</v>
      </c>
      <c r="BP31" s="133">
        <v>0</v>
      </c>
      <c r="BQ31" s="133">
        <v>0</v>
      </c>
      <c r="BS31" s="132" t="s">
        <v>123</v>
      </c>
      <c r="BT31" s="133">
        <v>0</v>
      </c>
      <c r="BU31" s="133">
        <v>0</v>
      </c>
      <c r="BV31" s="133">
        <v>0</v>
      </c>
      <c r="BW31" s="133">
        <v>0</v>
      </c>
      <c r="BX31" s="133">
        <v>0</v>
      </c>
    </row>
    <row r="32" spans="1:87" s="5" customFormat="1" x14ac:dyDescent="0.25">
      <c r="A32" s="132" t="s">
        <v>24</v>
      </c>
      <c r="B32" s="133">
        <v>0.44</v>
      </c>
      <c r="C32" s="133">
        <v>0.44</v>
      </c>
      <c r="D32" s="133">
        <v>0.44</v>
      </c>
      <c r="E32" s="133">
        <v>0.44</v>
      </c>
      <c r="F32" s="133">
        <v>0.44</v>
      </c>
      <c r="H32" s="132" t="s">
        <v>24</v>
      </c>
      <c r="I32" s="133">
        <v>0</v>
      </c>
      <c r="J32" s="133">
        <v>0</v>
      </c>
      <c r="K32" s="133">
        <v>0</v>
      </c>
      <c r="L32" s="133">
        <v>0</v>
      </c>
      <c r="M32" s="133">
        <v>0</v>
      </c>
      <c r="O32" s="132" t="s">
        <v>24</v>
      </c>
      <c r="P32" s="133">
        <v>0</v>
      </c>
      <c r="Q32" s="133">
        <v>0</v>
      </c>
      <c r="R32" s="133">
        <v>0</v>
      </c>
      <c r="S32" s="133">
        <v>0</v>
      </c>
      <c r="T32" s="133">
        <v>0</v>
      </c>
      <c r="V32" s="132" t="s">
        <v>24</v>
      </c>
      <c r="W32" s="133">
        <v>0</v>
      </c>
      <c r="X32" s="133">
        <v>0</v>
      </c>
      <c r="Y32" s="133">
        <v>0</v>
      </c>
      <c r="Z32" s="133">
        <v>0</v>
      </c>
      <c r="AA32" s="133">
        <v>0</v>
      </c>
      <c r="AC32" s="132" t="s">
        <v>24</v>
      </c>
      <c r="AD32" s="133">
        <v>0</v>
      </c>
      <c r="AE32" s="133">
        <v>0</v>
      </c>
      <c r="AF32" s="133">
        <v>0</v>
      </c>
      <c r="AG32" s="133">
        <v>0</v>
      </c>
      <c r="AH32" s="133">
        <v>0</v>
      </c>
      <c r="AJ32" s="132" t="s">
        <v>24</v>
      </c>
      <c r="AK32" s="133">
        <v>0</v>
      </c>
      <c r="AL32" s="133">
        <v>0</v>
      </c>
      <c r="AM32" s="133">
        <v>0</v>
      </c>
      <c r="AN32" s="133">
        <v>0</v>
      </c>
      <c r="AO32" s="133">
        <v>0</v>
      </c>
      <c r="AQ32" s="132" t="s">
        <v>24</v>
      </c>
      <c r="AR32" s="133">
        <v>0</v>
      </c>
      <c r="AS32" s="133">
        <v>0</v>
      </c>
      <c r="AT32" s="133">
        <v>0</v>
      </c>
      <c r="AU32" s="133">
        <v>0</v>
      </c>
      <c r="AV32" s="133">
        <v>0</v>
      </c>
      <c r="AX32" s="132" t="s">
        <v>24</v>
      </c>
      <c r="AY32" s="133">
        <v>0</v>
      </c>
      <c r="AZ32" s="133">
        <v>0</v>
      </c>
      <c r="BA32" s="133">
        <v>0</v>
      </c>
      <c r="BB32" s="133">
        <v>0</v>
      </c>
      <c r="BC32" s="133">
        <v>0</v>
      </c>
      <c r="BE32" s="132" t="s">
        <v>24</v>
      </c>
      <c r="BF32" s="133">
        <v>0</v>
      </c>
      <c r="BG32" s="133">
        <v>0</v>
      </c>
      <c r="BH32" s="133">
        <v>0</v>
      </c>
      <c r="BI32" s="133">
        <v>0</v>
      </c>
      <c r="BJ32" s="133">
        <v>0</v>
      </c>
      <c r="BL32" s="132" t="s">
        <v>24</v>
      </c>
      <c r="BM32" s="133">
        <v>0</v>
      </c>
      <c r="BN32" s="133">
        <v>0</v>
      </c>
      <c r="BO32" s="133">
        <v>0</v>
      </c>
      <c r="BP32" s="133">
        <v>0</v>
      </c>
      <c r="BQ32" s="133">
        <v>0</v>
      </c>
      <c r="BS32" s="132" t="s">
        <v>24</v>
      </c>
      <c r="BT32" s="133">
        <v>0</v>
      </c>
      <c r="BU32" s="133">
        <v>0</v>
      </c>
      <c r="BV32" s="133">
        <v>0</v>
      </c>
      <c r="BW32" s="133">
        <v>0</v>
      </c>
      <c r="BX32" s="133">
        <v>0</v>
      </c>
    </row>
    <row r="33" spans="1:87" x14ac:dyDescent="0.25">
      <c r="A33" s="134" t="s">
        <v>124</v>
      </c>
      <c r="B33" s="135">
        <f t="shared" ref="B33:F33" si="77">B31*B32</f>
        <v>13.2</v>
      </c>
      <c r="C33" s="135">
        <f t="shared" si="77"/>
        <v>13.2</v>
      </c>
      <c r="D33" s="135">
        <f t="shared" si="77"/>
        <v>13.2</v>
      </c>
      <c r="E33" s="135">
        <f t="shared" si="77"/>
        <v>13.2</v>
      </c>
      <c r="F33" s="135">
        <f t="shared" si="77"/>
        <v>13.2</v>
      </c>
      <c r="G33" s="6"/>
      <c r="H33" s="134" t="s">
        <v>124</v>
      </c>
      <c r="I33" s="135">
        <f t="shared" ref="I33:M33" si="78">I31*I32</f>
        <v>0</v>
      </c>
      <c r="J33" s="135">
        <f t="shared" si="78"/>
        <v>0</v>
      </c>
      <c r="K33" s="135">
        <f t="shared" si="78"/>
        <v>0</v>
      </c>
      <c r="L33" s="135">
        <f t="shared" si="78"/>
        <v>0</v>
      </c>
      <c r="M33" s="135">
        <f t="shared" si="78"/>
        <v>0</v>
      </c>
      <c r="N33" s="6"/>
      <c r="O33" s="134" t="s">
        <v>124</v>
      </c>
      <c r="P33" s="135">
        <f t="shared" ref="P33:T33" si="79">P31*P32</f>
        <v>0</v>
      </c>
      <c r="Q33" s="135">
        <f t="shared" si="79"/>
        <v>0</v>
      </c>
      <c r="R33" s="135">
        <f t="shared" si="79"/>
        <v>0</v>
      </c>
      <c r="S33" s="135">
        <f t="shared" si="79"/>
        <v>0</v>
      </c>
      <c r="T33" s="135">
        <f t="shared" si="79"/>
        <v>0</v>
      </c>
      <c r="U33" s="6"/>
      <c r="V33" s="134" t="s">
        <v>124</v>
      </c>
      <c r="W33" s="135">
        <f t="shared" ref="W33:AA33" si="80">W31*W32</f>
        <v>0</v>
      </c>
      <c r="X33" s="135">
        <f t="shared" si="80"/>
        <v>0</v>
      </c>
      <c r="Y33" s="135">
        <f t="shared" si="80"/>
        <v>0</v>
      </c>
      <c r="Z33" s="135">
        <f t="shared" si="80"/>
        <v>0</v>
      </c>
      <c r="AA33" s="135">
        <f t="shared" si="80"/>
        <v>0</v>
      </c>
      <c r="AB33" s="6"/>
      <c r="AC33" s="134" t="s">
        <v>124</v>
      </c>
      <c r="AD33" s="135">
        <f t="shared" ref="AD33:AH33" si="81">AD31*AD32</f>
        <v>0</v>
      </c>
      <c r="AE33" s="135">
        <f t="shared" si="81"/>
        <v>0</v>
      </c>
      <c r="AF33" s="135">
        <f t="shared" si="81"/>
        <v>0</v>
      </c>
      <c r="AG33" s="135">
        <f t="shared" si="81"/>
        <v>0</v>
      </c>
      <c r="AH33" s="135">
        <f t="shared" si="81"/>
        <v>0</v>
      </c>
      <c r="AI33" s="6"/>
      <c r="AJ33" s="134" t="s">
        <v>124</v>
      </c>
      <c r="AK33" s="135">
        <f t="shared" ref="AK33:AO33" si="82">AK31*AK32</f>
        <v>0</v>
      </c>
      <c r="AL33" s="135">
        <f t="shared" si="82"/>
        <v>0</v>
      </c>
      <c r="AM33" s="135">
        <f t="shared" si="82"/>
        <v>0</v>
      </c>
      <c r="AN33" s="135">
        <f t="shared" si="82"/>
        <v>0</v>
      </c>
      <c r="AO33" s="135">
        <f t="shared" si="82"/>
        <v>0</v>
      </c>
      <c r="AP33" s="6"/>
      <c r="AQ33" s="134" t="s">
        <v>124</v>
      </c>
      <c r="AR33" s="135">
        <f t="shared" ref="AR33:AV33" si="83">AR31*AR32</f>
        <v>0</v>
      </c>
      <c r="AS33" s="135">
        <f t="shared" si="83"/>
        <v>0</v>
      </c>
      <c r="AT33" s="135">
        <f t="shared" si="83"/>
        <v>0</v>
      </c>
      <c r="AU33" s="135">
        <f t="shared" si="83"/>
        <v>0</v>
      </c>
      <c r="AV33" s="135">
        <f t="shared" si="83"/>
        <v>0</v>
      </c>
      <c r="AX33" s="134" t="s">
        <v>124</v>
      </c>
      <c r="AY33" s="135">
        <f t="shared" ref="AY33:BC33" si="84">AY31*AY32</f>
        <v>0</v>
      </c>
      <c r="AZ33" s="135">
        <f t="shared" si="84"/>
        <v>0</v>
      </c>
      <c r="BA33" s="135">
        <f t="shared" si="84"/>
        <v>0</v>
      </c>
      <c r="BB33" s="135">
        <f t="shared" si="84"/>
        <v>0</v>
      </c>
      <c r="BC33" s="135">
        <f t="shared" si="84"/>
        <v>0</v>
      </c>
      <c r="BE33" s="134" t="s">
        <v>124</v>
      </c>
      <c r="BF33" s="135">
        <f t="shared" ref="BF33:BJ33" si="85">BF31*BF32</f>
        <v>0</v>
      </c>
      <c r="BG33" s="135">
        <f t="shared" si="85"/>
        <v>0</v>
      </c>
      <c r="BH33" s="135">
        <f t="shared" si="85"/>
        <v>0</v>
      </c>
      <c r="BI33" s="135">
        <f t="shared" si="85"/>
        <v>0</v>
      </c>
      <c r="BJ33" s="135">
        <f t="shared" si="85"/>
        <v>0</v>
      </c>
      <c r="BL33" s="134" t="s">
        <v>124</v>
      </c>
      <c r="BM33" s="135">
        <f t="shared" ref="BM33:BQ33" si="86">BM31*BM32</f>
        <v>0</v>
      </c>
      <c r="BN33" s="135">
        <f t="shared" si="86"/>
        <v>0</v>
      </c>
      <c r="BO33" s="135">
        <f t="shared" si="86"/>
        <v>0</v>
      </c>
      <c r="BP33" s="135">
        <f t="shared" si="86"/>
        <v>0</v>
      </c>
      <c r="BQ33" s="135">
        <f t="shared" si="86"/>
        <v>0</v>
      </c>
      <c r="BR33" s="6"/>
      <c r="BS33" s="134" t="s">
        <v>124</v>
      </c>
      <c r="BT33" s="135">
        <f t="shared" ref="BT33:BX33" si="87">BT31*BT32</f>
        <v>0</v>
      </c>
      <c r="BU33" s="135">
        <f t="shared" si="87"/>
        <v>0</v>
      </c>
      <c r="BV33" s="135">
        <f t="shared" si="87"/>
        <v>0</v>
      </c>
      <c r="BW33" s="135">
        <f t="shared" si="87"/>
        <v>0</v>
      </c>
      <c r="BX33" s="135">
        <f t="shared" si="87"/>
        <v>0</v>
      </c>
      <c r="BY33" s="6"/>
      <c r="BZ33" s="6"/>
      <c r="CD33" s="6"/>
      <c r="CE33" s="6"/>
      <c r="CF33" s="6"/>
      <c r="CG33" s="6"/>
      <c r="CH33" s="6"/>
      <c r="CI33" s="6"/>
    </row>
    <row r="34" spans="1:87" s="5" customFormat="1" x14ac:dyDescent="0.25">
      <c r="A34" s="138" t="s">
        <v>125</v>
      </c>
      <c r="B34" s="133">
        <v>0</v>
      </c>
      <c r="C34" s="133">
        <v>0</v>
      </c>
      <c r="D34" s="133">
        <v>0</v>
      </c>
      <c r="E34" s="133">
        <v>0</v>
      </c>
      <c r="F34" s="133">
        <v>0</v>
      </c>
      <c r="H34" s="138" t="s">
        <v>125</v>
      </c>
      <c r="I34" s="133">
        <v>0</v>
      </c>
      <c r="J34" s="133">
        <v>0</v>
      </c>
      <c r="K34" s="133">
        <v>0</v>
      </c>
      <c r="L34" s="133">
        <v>0</v>
      </c>
      <c r="M34" s="133">
        <v>0</v>
      </c>
      <c r="O34" s="138" t="s">
        <v>125</v>
      </c>
      <c r="P34" s="133">
        <v>0</v>
      </c>
      <c r="Q34" s="133">
        <v>0</v>
      </c>
      <c r="R34" s="133">
        <v>0</v>
      </c>
      <c r="S34" s="133">
        <v>0</v>
      </c>
      <c r="T34" s="133">
        <v>0</v>
      </c>
      <c r="V34" s="138" t="s">
        <v>125</v>
      </c>
      <c r="W34" s="133">
        <v>0</v>
      </c>
      <c r="X34" s="133">
        <v>0</v>
      </c>
      <c r="Y34" s="133">
        <v>0</v>
      </c>
      <c r="Z34" s="133">
        <v>0</v>
      </c>
      <c r="AA34" s="133">
        <v>0</v>
      </c>
      <c r="AC34" s="138" t="s">
        <v>125</v>
      </c>
      <c r="AD34" s="133">
        <v>0</v>
      </c>
      <c r="AE34" s="133">
        <v>0</v>
      </c>
      <c r="AF34" s="133">
        <v>0</v>
      </c>
      <c r="AG34" s="133">
        <v>0</v>
      </c>
      <c r="AH34" s="133">
        <v>0</v>
      </c>
      <c r="AJ34" s="138" t="s">
        <v>125</v>
      </c>
      <c r="AK34" s="133">
        <v>0</v>
      </c>
      <c r="AL34" s="133">
        <v>0</v>
      </c>
      <c r="AM34" s="133">
        <v>0</v>
      </c>
      <c r="AN34" s="133">
        <v>0</v>
      </c>
      <c r="AO34" s="133">
        <v>0</v>
      </c>
      <c r="AQ34" s="138" t="s">
        <v>125</v>
      </c>
      <c r="AR34" s="133">
        <v>0</v>
      </c>
      <c r="AS34" s="133">
        <v>0</v>
      </c>
      <c r="AT34" s="133">
        <v>0</v>
      </c>
      <c r="AU34" s="133">
        <v>0</v>
      </c>
      <c r="AV34" s="133">
        <v>0</v>
      </c>
      <c r="AX34" s="138" t="s">
        <v>125</v>
      </c>
      <c r="AY34" s="133">
        <v>0</v>
      </c>
      <c r="AZ34" s="133">
        <v>0</v>
      </c>
      <c r="BA34" s="133">
        <v>0</v>
      </c>
      <c r="BB34" s="133">
        <v>0</v>
      </c>
      <c r="BC34" s="133">
        <v>0</v>
      </c>
      <c r="BE34" s="138" t="s">
        <v>125</v>
      </c>
      <c r="BF34" s="133">
        <v>0</v>
      </c>
      <c r="BG34" s="133">
        <v>0</v>
      </c>
      <c r="BH34" s="133">
        <v>0</v>
      </c>
      <c r="BI34" s="133">
        <v>0</v>
      </c>
      <c r="BJ34" s="133">
        <v>0</v>
      </c>
      <c r="BL34" s="138" t="s">
        <v>125</v>
      </c>
      <c r="BM34" s="133">
        <v>0</v>
      </c>
      <c r="BN34" s="133">
        <v>0</v>
      </c>
      <c r="BO34" s="133">
        <v>0</v>
      </c>
      <c r="BP34" s="133">
        <v>0</v>
      </c>
      <c r="BQ34" s="133">
        <v>0</v>
      </c>
      <c r="BS34" s="138" t="s">
        <v>125</v>
      </c>
      <c r="BT34" s="133">
        <v>0</v>
      </c>
      <c r="BU34" s="133">
        <v>0</v>
      </c>
      <c r="BV34" s="133">
        <v>0</v>
      </c>
      <c r="BW34" s="133">
        <v>0</v>
      </c>
      <c r="BX34" s="133">
        <v>0</v>
      </c>
    </row>
    <row r="35" spans="1:87" s="5" customFormat="1" x14ac:dyDescent="0.25">
      <c r="A35" s="138" t="s">
        <v>126</v>
      </c>
      <c r="B35" s="133">
        <v>0</v>
      </c>
      <c r="C35" s="133">
        <v>0</v>
      </c>
      <c r="D35" s="133">
        <v>0</v>
      </c>
      <c r="E35" s="133">
        <v>0</v>
      </c>
      <c r="F35" s="133">
        <v>0</v>
      </c>
      <c r="H35" s="138" t="s">
        <v>126</v>
      </c>
      <c r="I35" s="133">
        <v>0</v>
      </c>
      <c r="J35" s="133">
        <v>0</v>
      </c>
      <c r="K35" s="133">
        <v>0</v>
      </c>
      <c r="L35" s="133">
        <v>0</v>
      </c>
      <c r="M35" s="133">
        <v>0</v>
      </c>
      <c r="O35" s="138" t="s">
        <v>126</v>
      </c>
      <c r="P35" s="133">
        <v>0</v>
      </c>
      <c r="Q35" s="133">
        <v>0</v>
      </c>
      <c r="R35" s="133">
        <v>0</v>
      </c>
      <c r="S35" s="133">
        <v>0</v>
      </c>
      <c r="T35" s="133">
        <v>0</v>
      </c>
      <c r="V35" s="138" t="s">
        <v>126</v>
      </c>
      <c r="W35" s="133">
        <v>0</v>
      </c>
      <c r="X35" s="133">
        <v>0</v>
      </c>
      <c r="Y35" s="133">
        <v>0</v>
      </c>
      <c r="Z35" s="133">
        <v>0</v>
      </c>
      <c r="AA35" s="133">
        <v>0</v>
      </c>
      <c r="AC35" s="138" t="s">
        <v>126</v>
      </c>
      <c r="AD35" s="133">
        <v>0</v>
      </c>
      <c r="AE35" s="133">
        <v>0</v>
      </c>
      <c r="AF35" s="133">
        <v>0</v>
      </c>
      <c r="AG35" s="133">
        <v>0</v>
      </c>
      <c r="AH35" s="133">
        <v>0</v>
      </c>
      <c r="AJ35" s="138" t="s">
        <v>126</v>
      </c>
      <c r="AK35" s="133">
        <v>0</v>
      </c>
      <c r="AL35" s="133">
        <v>0</v>
      </c>
      <c r="AM35" s="133">
        <v>0</v>
      </c>
      <c r="AN35" s="133">
        <v>0</v>
      </c>
      <c r="AO35" s="133">
        <v>0</v>
      </c>
      <c r="AQ35" s="138" t="s">
        <v>126</v>
      </c>
      <c r="AR35" s="133">
        <v>0</v>
      </c>
      <c r="AS35" s="133">
        <v>0</v>
      </c>
      <c r="AT35" s="133">
        <v>0</v>
      </c>
      <c r="AU35" s="133">
        <v>0</v>
      </c>
      <c r="AV35" s="133">
        <v>0</v>
      </c>
      <c r="AX35" s="138" t="s">
        <v>126</v>
      </c>
      <c r="AY35" s="133">
        <v>0</v>
      </c>
      <c r="AZ35" s="133">
        <v>0</v>
      </c>
      <c r="BA35" s="133">
        <v>0</v>
      </c>
      <c r="BB35" s="133">
        <v>0</v>
      </c>
      <c r="BC35" s="133">
        <v>0</v>
      </c>
      <c r="BE35" s="138" t="s">
        <v>126</v>
      </c>
      <c r="BF35" s="133">
        <v>0</v>
      </c>
      <c r="BG35" s="133">
        <v>0</v>
      </c>
      <c r="BH35" s="133">
        <v>0</v>
      </c>
      <c r="BI35" s="133">
        <v>0</v>
      </c>
      <c r="BJ35" s="133">
        <v>0</v>
      </c>
      <c r="BL35" s="138" t="s">
        <v>126</v>
      </c>
      <c r="BM35" s="133">
        <v>0</v>
      </c>
      <c r="BN35" s="133">
        <v>0</v>
      </c>
      <c r="BO35" s="133">
        <v>0</v>
      </c>
      <c r="BP35" s="133">
        <v>0</v>
      </c>
      <c r="BQ35" s="133">
        <v>0</v>
      </c>
      <c r="BS35" s="138" t="s">
        <v>126</v>
      </c>
      <c r="BT35" s="133">
        <v>0</v>
      </c>
      <c r="BU35" s="133">
        <v>0</v>
      </c>
      <c r="BV35" s="133">
        <v>0</v>
      </c>
      <c r="BW35" s="133">
        <v>0</v>
      </c>
      <c r="BX35" s="133">
        <v>0</v>
      </c>
    </row>
    <row r="36" spans="1:87" x14ac:dyDescent="0.25">
      <c r="A36" s="134" t="s">
        <v>127</v>
      </c>
      <c r="B36" s="135">
        <f t="shared" ref="B36:F36" si="88">B34*B35</f>
        <v>0</v>
      </c>
      <c r="C36" s="135">
        <f t="shared" si="88"/>
        <v>0</v>
      </c>
      <c r="D36" s="135">
        <f t="shared" si="88"/>
        <v>0</v>
      </c>
      <c r="E36" s="135">
        <f t="shared" si="88"/>
        <v>0</v>
      </c>
      <c r="F36" s="135">
        <f t="shared" si="88"/>
        <v>0</v>
      </c>
      <c r="G36" s="6"/>
      <c r="H36" s="134" t="s">
        <v>127</v>
      </c>
      <c r="I36" s="135">
        <f t="shared" ref="I36:M36" si="89">I34*I35</f>
        <v>0</v>
      </c>
      <c r="J36" s="135">
        <f t="shared" si="89"/>
        <v>0</v>
      </c>
      <c r="K36" s="135">
        <f t="shared" si="89"/>
        <v>0</v>
      </c>
      <c r="L36" s="135">
        <f t="shared" si="89"/>
        <v>0</v>
      </c>
      <c r="M36" s="135">
        <f t="shared" si="89"/>
        <v>0</v>
      </c>
      <c r="N36" s="6"/>
      <c r="O36" s="134" t="s">
        <v>127</v>
      </c>
      <c r="P36" s="135">
        <f t="shared" ref="P36:T36" si="90">P34*P35</f>
        <v>0</v>
      </c>
      <c r="Q36" s="135">
        <f t="shared" si="90"/>
        <v>0</v>
      </c>
      <c r="R36" s="135">
        <f t="shared" si="90"/>
        <v>0</v>
      </c>
      <c r="S36" s="135">
        <f t="shared" si="90"/>
        <v>0</v>
      </c>
      <c r="T36" s="135">
        <f t="shared" si="90"/>
        <v>0</v>
      </c>
      <c r="U36" s="6"/>
      <c r="V36" s="134" t="s">
        <v>127</v>
      </c>
      <c r="W36" s="135">
        <f t="shared" ref="W36:AA36" si="91">W34*W35</f>
        <v>0</v>
      </c>
      <c r="X36" s="135">
        <f t="shared" si="91"/>
        <v>0</v>
      </c>
      <c r="Y36" s="135">
        <f t="shared" si="91"/>
        <v>0</v>
      </c>
      <c r="Z36" s="135">
        <f t="shared" si="91"/>
        <v>0</v>
      </c>
      <c r="AA36" s="135">
        <f t="shared" si="91"/>
        <v>0</v>
      </c>
      <c r="AB36" s="6"/>
      <c r="AC36" s="134" t="s">
        <v>127</v>
      </c>
      <c r="AD36" s="135">
        <f t="shared" ref="AD36:AH36" si="92">AD34*AD35</f>
        <v>0</v>
      </c>
      <c r="AE36" s="135">
        <f t="shared" si="92"/>
        <v>0</v>
      </c>
      <c r="AF36" s="135">
        <f t="shared" si="92"/>
        <v>0</v>
      </c>
      <c r="AG36" s="135">
        <f t="shared" si="92"/>
        <v>0</v>
      </c>
      <c r="AH36" s="135">
        <f t="shared" si="92"/>
        <v>0</v>
      </c>
      <c r="AI36" s="6"/>
      <c r="AJ36" s="134" t="s">
        <v>127</v>
      </c>
      <c r="AK36" s="135">
        <f t="shared" ref="AK36:AO36" si="93">AK34*AK35</f>
        <v>0</v>
      </c>
      <c r="AL36" s="135">
        <f t="shared" si="93"/>
        <v>0</v>
      </c>
      <c r="AM36" s="135">
        <f t="shared" si="93"/>
        <v>0</v>
      </c>
      <c r="AN36" s="135">
        <f t="shared" si="93"/>
        <v>0</v>
      </c>
      <c r="AO36" s="135">
        <f t="shared" si="93"/>
        <v>0</v>
      </c>
      <c r="AP36" s="6"/>
      <c r="AQ36" s="134" t="s">
        <v>127</v>
      </c>
      <c r="AR36" s="135">
        <f t="shared" ref="AR36:AV36" si="94">AR34*AR35</f>
        <v>0</v>
      </c>
      <c r="AS36" s="135">
        <f t="shared" si="94"/>
        <v>0</v>
      </c>
      <c r="AT36" s="135">
        <f t="shared" si="94"/>
        <v>0</v>
      </c>
      <c r="AU36" s="135">
        <f t="shared" si="94"/>
        <v>0</v>
      </c>
      <c r="AV36" s="135">
        <f t="shared" si="94"/>
        <v>0</v>
      </c>
      <c r="AX36" s="134" t="s">
        <v>127</v>
      </c>
      <c r="AY36" s="135">
        <f t="shared" ref="AY36:BC36" si="95">AY34*AY35</f>
        <v>0</v>
      </c>
      <c r="AZ36" s="135">
        <f t="shared" si="95"/>
        <v>0</v>
      </c>
      <c r="BA36" s="135">
        <f t="shared" si="95"/>
        <v>0</v>
      </c>
      <c r="BB36" s="135">
        <f t="shared" si="95"/>
        <v>0</v>
      </c>
      <c r="BC36" s="135">
        <f t="shared" si="95"/>
        <v>0</v>
      </c>
      <c r="BE36" s="134" t="s">
        <v>127</v>
      </c>
      <c r="BF36" s="135">
        <f t="shared" ref="BF36:BJ36" si="96">BF34*BF35</f>
        <v>0</v>
      </c>
      <c r="BG36" s="135">
        <f t="shared" si="96"/>
        <v>0</v>
      </c>
      <c r="BH36" s="135">
        <f t="shared" si="96"/>
        <v>0</v>
      </c>
      <c r="BI36" s="135">
        <f t="shared" si="96"/>
        <v>0</v>
      </c>
      <c r="BJ36" s="135">
        <f t="shared" si="96"/>
        <v>0</v>
      </c>
      <c r="BL36" s="134" t="s">
        <v>127</v>
      </c>
      <c r="BM36" s="135">
        <f t="shared" ref="BM36:BQ36" si="97">BM34*BM35</f>
        <v>0</v>
      </c>
      <c r="BN36" s="135">
        <f t="shared" si="97"/>
        <v>0</v>
      </c>
      <c r="BO36" s="135">
        <f t="shared" si="97"/>
        <v>0</v>
      </c>
      <c r="BP36" s="135">
        <f t="shared" si="97"/>
        <v>0</v>
      </c>
      <c r="BQ36" s="135">
        <f t="shared" si="97"/>
        <v>0</v>
      </c>
      <c r="BR36" s="6"/>
      <c r="BS36" s="134" t="s">
        <v>127</v>
      </c>
      <c r="BT36" s="135">
        <f t="shared" ref="BT36:BX36" si="98">BT34*BT35</f>
        <v>0</v>
      </c>
      <c r="BU36" s="135">
        <f t="shared" si="98"/>
        <v>0</v>
      </c>
      <c r="BV36" s="135">
        <f t="shared" si="98"/>
        <v>0</v>
      </c>
      <c r="BW36" s="135">
        <f t="shared" si="98"/>
        <v>0</v>
      </c>
      <c r="BX36" s="135">
        <f t="shared" si="98"/>
        <v>0</v>
      </c>
      <c r="BY36" s="6"/>
      <c r="BZ36" s="6"/>
      <c r="CD36" s="6"/>
      <c r="CE36" s="6"/>
      <c r="CF36" s="6"/>
      <c r="CG36" s="6"/>
      <c r="CH36" s="6"/>
      <c r="CI36" s="6"/>
    </row>
    <row r="37" spans="1:87" x14ac:dyDescent="0.25">
      <c r="A37" s="150" t="s">
        <v>128</v>
      </c>
      <c r="B37" s="151">
        <f t="shared" ref="B37:F37" si="99">B27+B30+B33+B36</f>
        <v>211.20000000000002</v>
      </c>
      <c r="C37" s="151">
        <f t="shared" si="99"/>
        <v>211.20000000000002</v>
      </c>
      <c r="D37" s="151">
        <f t="shared" si="99"/>
        <v>244.20000000000002</v>
      </c>
      <c r="E37" s="151">
        <f t="shared" si="99"/>
        <v>244.20000000000002</v>
      </c>
      <c r="F37" s="151">
        <f t="shared" si="99"/>
        <v>211.20000000000002</v>
      </c>
      <c r="G37" s="6"/>
      <c r="H37" s="150" t="s">
        <v>128</v>
      </c>
      <c r="I37" s="151">
        <f t="shared" ref="I37:M37" si="100">I27+I30+I33+I36</f>
        <v>0</v>
      </c>
      <c r="J37" s="151">
        <f t="shared" si="100"/>
        <v>0</v>
      </c>
      <c r="K37" s="151">
        <f t="shared" si="100"/>
        <v>0</v>
      </c>
      <c r="L37" s="151">
        <f t="shared" si="100"/>
        <v>0</v>
      </c>
      <c r="M37" s="151">
        <f t="shared" si="100"/>
        <v>0</v>
      </c>
      <c r="N37" s="6"/>
      <c r="O37" s="150" t="s">
        <v>128</v>
      </c>
      <c r="P37" s="151">
        <f t="shared" ref="P37:T37" si="101">P27+P30+P33+P36</f>
        <v>0</v>
      </c>
      <c r="Q37" s="151">
        <f t="shared" si="101"/>
        <v>0</v>
      </c>
      <c r="R37" s="151">
        <f t="shared" si="101"/>
        <v>0</v>
      </c>
      <c r="S37" s="151">
        <f t="shared" si="101"/>
        <v>0</v>
      </c>
      <c r="T37" s="151">
        <f t="shared" si="101"/>
        <v>0</v>
      </c>
      <c r="U37" s="6"/>
      <c r="V37" s="150" t="s">
        <v>128</v>
      </c>
      <c r="W37" s="151">
        <f t="shared" ref="W37:AA37" si="102">W27+W30+W33+W36</f>
        <v>0</v>
      </c>
      <c r="X37" s="151">
        <f t="shared" si="102"/>
        <v>0</v>
      </c>
      <c r="Y37" s="151">
        <f t="shared" si="102"/>
        <v>0</v>
      </c>
      <c r="Z37" s="151">
        <f t="shared" si="102"/>
        <v>0</v>
      </c>
      <c r="AA37" s="151">
        <f t="shared" si="102"/>
        <v>0</v>
      </c>
      <c r="AB37" s="6"/>
      <c r="AC37" s="150" t="s">
        <v>128</v>
      </c>
      <c r="AD37" s="151">
        <f t="shared" ref="AD37:AH37" si="103">AD27+AD30+AD33+AD36</f>
        <v>0</v>
      </c>
      <c r="AE37" s="151">
        <f t="shared" si="103"/>
        <v>0</v>
      </c>
      <c r="AF37" s="151">
        <f t="shared" si="103"/>
        <v>0</v>
      </c>
      <c r="AG37" s="151">
        <f t="shared" si="103"/>
        <v>0</v>
      </c>
      <c r="AH37" s="151">
        <f t="shared" si="103"/>
        <v>0</v>
      </c>
      <c r="AI37" s="6"/>
      <c r="AJ37" s="150" t="s">
        <v>128</v>
      </c>
      <c r="AK37" s="151">
        <f t="shared" ref="AK37:AO37" si="104">AK27+AK30+AK33+AK36</f>
        <v>0</v>
      </c>
      <c r="AL37" s="151">
        <f t="shared" si="104"/>
        <v>0</v>
      </c>
      <c r="AM37" s="151">
        <f t="shared" si="104"/>
        <v>0</v>
      </c>
      <c r="AN37" s="151">
        <f t="shared" si="104"/>
        <v>0</v>
      </c>
      <c r="AO37" s="151">
        <f t="shared" si="104"/>
        <v>0</v>
      </c>
      <c r="AP37" s="6"/>
      <c r="AQ37" s="150" t="s">
        <v>128</v>
      </c>
      <c r="AR37" s="151">
        <f t="shared" ref="AR37:AV37" si="105">AR27+AR30+AR33+AR36</f>
        <v>0</v>
      </c>
      <c r="AS37" s="151">
        <f t="shared" si="105"/>
        <v>0</v>
      </c>
      <c r="AT37" s="151">
        <f t="shared" si="105"/>
        <v>0</v>
      </c>
      <c r="AU37" s="151">
        <f t="shared" si="105"/>
        <v>0</v>
      </c>
      <c r="AV37" s="151">
        <f t="shared" si="105"/>
        <v>0</v>
      </c>
      <c r="AX37" s="150" t="s">
        <v>128</v>
      </c>
      <c r="AY37" s="151">
        <f t="shared" ref="AY37:BC37" si="106">AY27+AY30+AY33+AY36</f>
        <v>0</v>
      </c>
      <c r="AZ37" s="151">
        <f t="shared" si="106"/>
        <v>0</v>
      </c>
      <c r="BA37" s="151">
        <f t="shared" si="106"/>
        <v>0</v>
      </c>
      <c r="BB37" s="151">
        <f t="shared" si="106"/>
        <v>0</v>
      </c>
      <c r="BC37" s="151">
        <f t="shared" si="106"/>
        <v>0</v>
      </c>
      <c r="BE37" s="150" t="s">
        <v>128</v>
      </c>
      <c r="BF37" s="151">
        <f t="shared" ref="BF37:BJ37" si="107">BF27+BF30+BF33+BF36</f>
        <v>0</v>
      </c>
      <c r="BG37" s="151">
        <f t="shared" si="107"/>
        <v>0</v>
      </c>
      <c r="BH37" s="151">
        <f t="shared" si="107"/>
        <v>0</v>
      </c>
      <c r="BI37" s="151">
        <f t="shared" si="107"/>
        <v>0</v>
      </c>
      <c r="BJ37" s="151">
        <f t="shared" si="107"/>
        <v>0</v>
      </c>
      <c r="BL37" s="150" t="s">
        <v>128</v>
      </c>
      <c r="BM37" s="151">
        <f t="shared" ref="BM37:BQ37" si="108">BM27+BM30+BM33+BM36</f>
        <v>0</v>
      </c>
      <c r="BN37" s="151">
        <f t="shared" si="108"/>
        <v>0</v>
      </c>
      <c r="BO37" s="151">
        <f t="shared" si="108"/>
        <v>0</v>
      </c>
      <c r="BP37" s="151">
        <f t="shared" si="108"/>
        <v>0</v>
      </c>
      <c r="BQ37" s="151">
        <f t="shared" si="108"/>
        <v>0</v>
      </c>
      <c r="BR37" s="6"/>
      <c r="BS37" s="150" t="s">
        <v>128</v>
      </c>
      <c r="BT37" s="151">
        <f t="shared" ref="BT37:BX37" si="109">BT27+BT30+BT33+BT36</f>
        <v>0</v>
      </c>
      <c r="BU37" s="151">
        <f t="shared" si="109"/>
        <v>0</v>
      </c>
      <c r="BV37" s="151">
        <f t="shared" si="109"/>
        <v>0</v>
      </c>
      <c r="BW37" s="151">
        <f t="shared" si="109"/>
        <v>0</v>
      </c>
      <c r="BX37" s="151">
        <f t="shared" si="109"/>
        <v>0</v>
      </c>
      <c r="BY37" s="6"/>
      <c r="BZ37" s="6"/>
      <c r="CD37" s="6"/>
      <c r="CE37" s="6"/>
      <c r="CF37" s="6"/>
      <c r="CG37" s="6"/>
      <c r="CH37" s="6"/>
      <c r="CI37" s="6"/>
    </row>
    <row r="38" spans="1:87" ht="27" customHeight="1" x14ac:dyDescent="0.25">
      <c r="A38" s="129" t="s">
        <v>130</v>
      </c>
      <c r="B38" s="130"/>
      <c r="C38" s="130"/>
      <c r="D38" s="130"/>
      <c r="E38" s="130"/>
      <c r="F38" s="131"/>
      <c r="G38" s="6"/>
      <c r="H38" s="129" t="s">
        <v>130</v>
      </c>
      <c r="I38" s="130"/>
      <c r="J38" s="130"/>
      <c r="K38" s="130"/>
      <c r="L38" s="130"/>
      <c r="M38" s="131"/>
      <c r="N38" s="6"/>
      <c r="O38" s="129" t="s">
        <v>130</v>
      </c>
      <c r="P38" s="130"/>
      <c r="Q38" s="130"/>
      <c r="R38" s="130"/>
      <c r="S38" s="130"/>
      <c r="T38" s="131"/>
      <c r="U38" s="6"/>
      <c r="V38" s="129" t="s">
        <v>130</v>
      </c>
      <c r="W38" s="130"/>
      <c r="X38" s="130"/>
      <c r="Y38" s="130"/>
      <c r="Z38" s="130"/>
      <c r="AA38" s="131"/>
      <c r="AB38" s="6"/>
      <c r="AC38" s="129" t="s">
        <v>130</v>
      </c>
      <c r="AD38" s="130"/>
      <c r="AE38" s="130"/>
      <c r="AF38" s="130"/>
      <c r="AG38" s="130"/>
      <c r="AH38" s="131"/>
      <c r="AI38" s="6"/>
      <c r="AJ38" s="129" t="s">
        <v>130</v>
      </c>
      <c r="AK38" s="130"/>
      <c r="AL38" s="130"/>
      <c r="AM38" s="130"/>
      <c r="AN38" s="130"/>
      <c r="AO38" s="131"/>
      <c r="AP38" s="6"/>
      <c r="AQ38" s="129" t="s">
        <v>130</v>
      </c>
      <c r="AR38" s="130"/>
      <c r="AS38" s="130"/>
      <c r="AT38" s="130"/>
      <c r="AU38" s="130"/>
      <c r="AV38" s="131"/>
      <c r="AX38" s="129" t="s">
        <v>130</v>
      </c>
      <c r="AY38" s="130"/>
      <c r="AZ38" s="130"/>
      <c r="BA38" s="130"/>
      <c r="BB38" s="130"/>
      <c r="BC38" s="131"/>
      <c r="BE38" s="129" t="s">
        <v>130</v>
      </c>
      <c r="BF38" s="130"/>
      <c r="BG38" s="130"/>
      <c r="BH38" s="130"/>
      <c r="BI38" s="130"/>
      <c r="BJ38" s="131"/>
      <c r="BL38" s="129" t="s">
        <v>130</v>
      </c>
      <c r="BM38" s="130"/>
      <c r="BN38" s="130"/>
      <c r="BO38" s="130"/>
      <c r="BP38" s="130"/>
      <c r="BQ38" s="131"/>
      <c r="BR38" s="6"/>
      <c r="BS38" s="129" t="s">
        <v>130</v>
      </c>
      <c r="BT38" s="130"/>
      <c r="BU38" s="130"/>
      <c r="BV38" s="130"/>
      <c r="BW38" s="130"/>
      <c r="BX38" s="131"/>
      <c r="BY38" s="6"/>
      <c r="BZ38" s="6"/>
      <c r="CD38" s="6"/>
      <c r="CE38" s="6"/>
      <c r="CF38" s="6"/>
      <c r="CG38" s="6"/>
      <c r="CH38" s="6"/>
      <c r="CI38" s="6"/>
    </row>
    <row r="39" spans="1:87" s="5" customFormat="1" x14ac:dyDescent="0.25">
      <c r="A39" s="132" t="s">
        <v>119</v>
      </c>
      <c r="B39" s="133">
        <v>300</v>
      </c>
      <c r="C39" s="133">
        <v>300</v>
      </c>
      <c r="D39" s="133">
        <v>360</v>
      </c>
      <c r="E39" s="133">
        <v>360</v>
      </c>
      <c r="F39" s="133">
        <v>300</v>
      </c>
      <c r="H39" s="132" t="s">
        <v>119</v>
      </c>
      <c r="I39" s="133">
        <v>0</v>
      </c>
      <c r="J39" s="133">
        <v>0</v>
      </c>
      <c r="K39" s="133">
        <v>0</v>
      </c>
      <c r="L39" s="133">
        <v>0</v>
      </c>
      <c r="M39" s="133">
        <v>0</v>
      </c>
      <c r="O39" s="132" t="s">
        <v>119</v>
      </c>
      <c r="P39" s="133">
        <v>0</v>
      </c>
      <c r="Q39" s="133">
        <v>0</v>
      </c>
      <c r="R39" s="133">
        <v>0</v>
      </c>
      <c r="S39" s="133">
        <v>0</v>
      </c>
      <c r="T39" s="133">
        <v>0</v>
      </c>
      <c r="V39" s="132" t="s">
        <v>119</v>
      </c>
      <c r="W39" s="133">
        <v>0</v>
      </c>
      <c r="X39" s="133">
        <v>0</v>
      </c>
      <c r="Y39" s="133">
        <v>0</v>
      </c>
      <c r="Z39" s="133">
        <v>0</v>
      </c>
      <c r="AA39" s="133">
        <v>0</v>
      </c>
      <c r="AC39" s="132" t="s">
        <v>119</v>
      </c>
      <c r="AD39" s="133">
        <v>0</v>
      </c>
      <c r="AE39" s="133">
        <v>0</v>
      </c>
      <c r="AF39" s="133">
        <v>0</v>
      </c>
      <c r="AG39" s="133">
        <v>0</v>
      </c>
      <c r="AH39" s="133">
        <v>0</v>
      </c>
      <c r="AJ39" s="132" t="s">
        <v>119</v>
      </c>
      <c r="AK39" s="133">
        <v>0</v>
      </c>
      <c r="AL39" s="133">
        <v>0</v>
      </c>
      <c r="AM39" s="133">
        <v>0</v>
      </c>
      <c r="AN39" s="133">
        <v>0</v>
      </c>
      <c r="AO39" s="133">
        <v>0</v>
      </c>
      <c r="AQ39" s="132" t="s">
        <v>119</v>
      </c>
      <c r="AR39" s="133">
        <v>0</v>
      </c>
      <c r="AS39" s="133">
        <v>0</v>
      </c>
      <c r="AT39" s="133">
        <v>0</v>
      </c>
      <c r="AU39" s="133">
        <v>0</v>
      </c>
      <c r="AV39" s="133">
        <v>0</v>
      </c>
      <c r="AX39" s="132" t="s">
        <v>119</v>
      </c>
      <c r="AY39" s="133">
        <v>0</v>
      </c>
      <c r="AZ39" s="133">
        <v>0</v>
      </c>
      <c r="BA39" s="133">
        <v>0</v>
      </c>
      <c r="BB39" s="133">
        <v>0</v>
      </c>
      <c r="BC39" s="133">
        <v>0</v>
      </c>
      <c r="BE39" s="132" t="s">
        <v>119</v>
      </c>
      <c r="BF39" s="133">
        <v>0</v>
      </c>
      <c r="BG39" s="133">
        <v>0</v>
      </c>
      <c r="BH39" s="133">
        <v>0</v>
      </c>
      <c r="BI39" s="133">
        <v>0</v>
      </c>
      <c r="BJ39" s="133">
        <v>0</v>
      </c>
      <c r="BL39" s="132" t="s">
        <v>119</v>
      </c>
      <c r="BM39" s="133">
        <v>0</v>
      </c>
      <c r="BN39" s="133">
        <v>0</v>
      </c>
      <c r="BO39" s="133">
        <v>0</v>
      </c>
      <c r="BP39" s="133">
        <v>0</v>
      </c>
      <c r="BQ39" s="133">
        <v>0</v>
      </c>
      <c r="BS39" s="132" t="s">
        <v>119</v>
      </c>
      <c r="BT39" s="133">
        <v>0</v>
      </c>
      <c r="BU39" s="133">
        <v>0</v>
      </c>
      <c r="BV39" s="133">
        <v>0</v>
      </c>
      <c r="BW39" s="133">
        <v>0</v>
      </c>
      <c r="BX39" s="133">
        <v>0</v>
      </c>
    </row>
    <row r="40" spans="1:87" s="5" customFormat="1" x14ac:dyDescent="0.25">
      <c r="A40" s="132" t="s">
        <v>24</v>
      </c>
      <c r="B40" s="133">
        <v>0.55000000000000004</v>
      </c>
      <c r="C40" s="133">
        <v>0.55000000000000004</v>
      </c>
      <c r="D40" s="133">
        <v>0.55000000000000004</v>
      </c>
      <c r="E40" s="133">
        <v>0.55000000000000004</v>
      </c>
      <c r="F40" s="133">
        <v>0.55000000000000004</v>
      </c>
      <c r="H40" s="132" t="s">
        <v>24</v>
      </c>
      <c r="I40" s="133">
        <v>0</v>
      </c>
      <c r="J40" s="133">
        <v>0</v>
      </c>
      <c r="K40" s="133">
        <v>0</v>
      </c>
      <c r="L40" s="133">
        <v>0</v>
      </c>
      <c r="M40" s="133">
        <v>0</v>
      </c>
      <c r="O40" s="132" t="s">
        <v>24</v>
      </c>
      <c r="P40" s="133">
        <v>0</v>
      </c>
      <c r="Q40" s="133">
        <v>0</v>
      </c>
      <c r="R40" s="133">
        <v>0</v>
      </c>
      <c r="S40" s="133">
        <v>0</v>
      </c>
      <c r="T40" s="133">
        <v>0</v>
      </c>
      <c r="V40" s="132" t="s">
        <v>24</v>
      </c>
      <c r="W40" s="133">
        <v>0</v>
      </c>
      <c r="X40" s="133">
        <v>0</v>
      </c>
      <c r="Y40" s="133">
        <v>0</v>
      </c>
      <c r="Z40" s="133">
        <v>0</v>
      </c>
      <c r="AA40" s="133">
        <v>0</v>
      </c>
      <c r="AC40" s="132" t="s">
        <v>24</v>
      </c>
      <c r="AD40" s="133">
        <v>0</v>
      </c>
      <c r="AE40" s="133">
        <v>0</v>
      </c>
      <c r="AF40" s="133">
        <v>0</v>
      </c>
      <c r="AG40" s="133">
        <v>0</v>
      </c>
      <c r="AH40" s="133">
        <v>0</v>
      </c>
      <c r="AJ40" s="132" t="s">
        <v>24</v>
      </c>
      <c r="AK40" s="133">
        <v>0</v>
      </c>
      <c r="AL40" s="133">
        <v>0</v>
      </c>
      <c r="AM40" s="133">
        <v>0</v>
      </c>
      <c r="AN40" s="133">
        <v>0</v>
      </c>
      <c r="AO40" s="133">
        <v>0</v>
      </c>
      <c r="AQ40" s="132" t="s">
        <v>24</v>
      </c>
      <c r="AR40" s="133">
        <v>0</v>
      </c>
      <c r="AS40" s="133">
        <v>0</v>
      </c>
      <c r="AT40" s="133">
        <v>0</v>
      </c>
      <c r="AU40" s="133">
        <v>0</v>
      </c>
      <c r="AV40" s="133">
        <v>0</v>
      </c>
      <c r="AX40" s="132" t="s">
        <v>24</v>
      </c>
      <c r="AY40" s="133">
        <v>0</v>
      </c>
      <c r="AZ40" s="133">
        <v>0</v>
      </c>
      <c r="BA40" s="133">
        <v>0</v>
      </c>
      <c r="BB40" s="133">
        <v>0</v>
      </c>
      <c r="BC40" s="133">
        <v>0</v>
      </c>
      <c r="BE40" s="132" t="s">
        <v>24</v>
      </c>
      <c r="BF40" s="133">
        <v>0</v>
      </c>
      <c r="BG40" s="133">
        <v>0</v>
      </c>
      <c r="BH40" s="133">
        <v>0</v>
      </c>
      <c r="BI40" s="133">
        <v>0</v>
      </c>
      <c r="BJ40" s="133">
        <v>0</v>
      </c>
      <c r="BL40" s="132" t="s">
        <v>24</v>
      </c>
      <c r="BM40" s="133">
        <v>0</v>
      </c>
      <c r="BN40" s="133">
        <v>0</v>
      </c>
      <c r="BO40" s="133">
        <v>0</v>
      </c>
      <c r="BP40" s="133">
        <v>0</v>
      </c>
      <c r="BQ40" s="133">
        <v>0</v>
      </c>
      <c r="BS40" s="132" t="s">
        <v>24</v>
      </c>
      <c r="BT40" s="133">
        <v>0</v>
      </c>
      <c r="BU40" s="133">
        <v>0</v>
      </c>
      <c r="BV40" s="133">
        <v>0</v>
      </c>
      <c r="BW40" s="133">
        <v>0</v>
      </c>
      <c r="BX40" s="133">
        <v>0</v>
      </c>
    </row>
    <row r="41" spans="1:87" x14ac:dyDescent="0.25">
      <c r="A41" s="134" t="s">
        <v>120</v>
      </c>
      <c r="B41" s="135">
        <f t="shared" ref="B41:F41" si="110">B39*B40</f>
        <v>165</v>
      </c>
      <c r="C41" s="135">
        <f t="shared" si="110"/>
        <v>165</v>
      </c>
      <c r="D41" s="135">
        <f t="shared" si="110"/>
        <v>198.00000000000003</v>
      </c>
      <c r="E41" s="135">
        <f t="shared" si="110"/>
        <v>198.00000000000003</v>
      </c>
      <c r="F41" s="135">
        <f t="shared" si="110"/>
        <v>165</v>
      </c>
      <c r="G41" s="6"/>
      <c r="H41" s="134" t="s">
        <v>120</v>
      </c>
      <c r="I41" s="135">
        <f t="shared" ref="I41:M41" si="111">I39*I40</f>
        <v>0</v>
      </c>
      <c r="J41" s="135">
        <f t="shared" si="111"/>
        <v>0</v>
      </c>
      <c r="K41" s="135">
        <f t="shared" si="111"/>
        <v>0</v>
      </c>
      <c r="L41" s="135">
        <f t="shared" si="111"/>
        <v>0</v>
      </c>
      <c r="M41" s="135">
        <f t="shared" si="111"/>
        <v>0</v>
      </c>
      <c r="N41" s="6"/>
      <c r="O41" s="134" t="s">
        <v>120</v>
      </c>
      <c r="P41" s="135">
        <f t="shared" ref="P41:T41" si="112">P39*P40</f>
        <v>0</v>
      </c>
      <c r="Q41" s="135">
        <f t="shared" si="112"/>
        <v>0</v>
      </c>
      <c r="R41" s="135">
        <f t="shared" si="112"/>
        <v>0</v>
      </c>
      <c r="S41" s="135">
        <f t="shared" si="112"/>
        <v>0</v>
      </c>
      <c r="T41" s="135">
        <f t="shared" si="112"/>
        <v>0</v>
      </c>
      <c r="U41" s="6"/>
      <c r="V41" s="134" t="s">
        <v>120</v>
      </c>
      <c r="W41" s="135">
        <f t="shared" ref="W41:AA41" si="113">W39*W40</f>
        <v>0</v>
      </c>
      <c r="X41" s="135">
        <f t="shared" si="113"/>
        <v>0</v>
      </c>
      <c r="Y41" s="135">
        <f t="shared" si="113"/>
        <v>0</v>
      </c>
      <c r="Z41" s="135">
        <f t="shared" si="113"/>
        <v>0</v>
      </c>
      <c r="AA41" s="135">
        <f t="shared" si="113"/>
        <v>0</v>
      </c>
      <c r="AB41" s="6"/>
      <c r="AC41" s="134" t="s">
        <v>120</v>
      </c>
      <c r="AD41" s="135">
        <f t="shared" ref="AD41:AH41" si="114">AD39*AD40</f>
        <v>0</v>
      </c>
      <c r="AE41" s="135">
        <f t="shared" si="114"/>
        <v>0</v>
      </c>
      <c r="AF41" s="135">
        <f t="shared" si="114"/>
        <v>0</v>
      </c>
      <c r="AG41" s="135">
        <f t="shared" si="114"/>
        <v>0</v>
      </c>
      <c r="AH41" s="135">
        <f t="shared" si="114"/>
        <v>0</v>
      </c>
      <c r="AI41" s="6"/>
      <c r="AJ41" s="134" t="s">
        <v>120</v>
      </c>
      <c r="AK41" s="135">
        <f t="shared" ref="AK41:AO41" si="115">AK39*AK40</f>
        <v>0</v>
      </c>
      <c r="AL41" s="135">
        <f t="shared" si="115"/>
        <v>0</v>
      </c>
      <c r="AM41" s="135">
        <f t="shared" si="115"/>
        <v>0</v>
      </c>
      <c r="AN41" s="135">
        <f t="shared" si="115"/>
        <v>0</v>
      </c>
      <c r="AO41" s="135">
        <f t="shared" si="115"/>
        <v>0</v>
      </c>
      <c r="AP41" s="6"/>
      <c r="AQ41" s="134" t="s">
        <v>120</v>
      </c>
      <c r="AR41" s="135">
        <f t="shared" ref="AR41:AV41" si="116">AR39*AR40</f>
        <v>0</v>
      </c>
      <c r="AS41" s="135">
        <f t="shared" si="116"/>
        <v>0</v>
      </c>
      <c r="AT41" s="135">
        <f t="shared" si="116"/>
        <v>0</v>
      </c>
      <c r="AU41" s="135">
        <f t="shared" si="116"/>
        <v>0</v>
      </c>
      <c r="AV41" s="135">
        <f t="shared" si="116"/>
        <v>0</v>
      </c>
      <c r="AX41" s="134" t="s">
        <v>120</v>
      </c>
      <c r="AY41" s="135">
        <f t="shared" ref="AY41:BC41" si="117">AY39*AY40</f>
        <v>0</v>
      </c>
      <c r="AZ41" s="135">
        <f t="shared" si="117"/>
        <v>0</v>
      </c>
      <c r="BA41" s="135">
        <f t="shared" si="117"/>
        <v>0</v>
      </c>
      <c r="BB41" s="135">
        <f t="shared" si="117"/>
        <v>0</v>
      </c>
      <c r="BC41" s="135">
        <f t="shared" si="117"/>
        <v>0</v>
      </c>
      <c r="BE41" s="134" t="s">
        <v>120</v>
      </c>
      <c r="BF41" s="135">
        <f t="shared" ref="BF41:BJ41" si="118">BF39*BF40</f>
        <v>0</v>
      </c>
      <c r="BG41" s="135">
        <f t="shared" si="118"/>
        <v>0</v>
      </c>
      <c r="BH41" s="135">
        <f t="shared" si="118"/>
        <v>0</v>
      </c>
      <c r="BI41" s="135">
        <f t="shared" si="118"/>
        <v>0</v>
      </c>
      <c r="BJ41" s="135">
        <f t="shared" si="118"/>
        <v>0</v>
      </c>
      <c r="BL41" s="134" t="s">
        <v>120</v>
      </c>
      <c r="BM41" s="135">
        <f t="shared" ref="BM41:BQ41" si="119">BM39*BM40</f>
        <v>0</v>
      </c>
      <c r="BN41" s="135">
        <f t="shared" si="119"/>
        <v>0</v>
      </c>
      <c r="BO41" s="135">
        <f t="shared" si="119"/>
        <v>0</v>
      </c>
      <c r="BP41" s="135">
        <f t="shared" si="119"/>
        <v>0</v>
      </c>
      <c r="BQ41" s="135">
        <f t="shared" si="119"/>
        <v>0</v>
      </c>
      <c r="BR41" s="6"/>
      <c r="BS41" s="134" t="s">
        <v>120</v>
      </c>
      <c r="BT41" s="135">
        <f t="shared" ref="BT41:BX41" si="120">BT39*BT40</f>
        <v>0</v>
      </c>
      <c r="BU41" s="135">
        <f t="shared" si="120"/>
        <v>0</v>
      </c>
      <c r="BV41" s="135">
        <f t="shared" si="120"/>
        <v>0</v>
      </c>
      <c r="BW41" s="135">
        <f t="shared" si="120"/>
        <v>0</v>
      </c>
      <c r="BX41" s="135">
        <f t="shared" si="120"/>
        <v>0</v>
      </c>
      <c r="BY41" s="6"/>
      <c r="BZ41" s="6"/>
      <c r="CD41" s="6"/>
      <c r="CE41" s="6"/>
      <c r="CF41" s="6"/>
      <c r="CG41" s="6"/>
      <c r="CH41" s="6"/>
      <c r="CI41" s="6"/>
    </row>
    <row r="42" spans="1:87" s="5" customFormat="1" x14ac:dyDescent="0.25">
      <c r="A42" s="132" t="s">
        <v>121</v>
      </c>
      <c r="B42" s="133">
        <v>0</v>
      </c>
      <c r="C42" s="133">
        <v>0</v>
      </c>
      <c r="D42" s="133">
        <v>0</v>
      </c>
      <c r="E42" s="133">
        <v>0</v>
      </c>
      <c r="F42" s="133">
        <v>0</v>
      </c>
      <c r="H42" s="132" t="s">
        <v>121</v>
      </c>
      <c r="I42" s="133">
        <v>0</v>
      </c>
      <c r="J42" s="133">
        <v>0</v>
      </c>
      <c r="K42" s="133">
        <v>0</v>
      </c>
      <c r="L42" s="133">
        <v>0</v>
      </c>
      <c r="M42" s="133">
        <v>0</v>
      </c>
      <c r="O42" s="132" t="s">
        <v>121</v>
      </c>
      <c r="P42" s="133">
        <v>0</v>
      </c>
      <c r="Q42" s="133">
        <v>0</v>
      </c>
      <c r="R42" s="133">
        <v>0</v>
      </c>
      <c r="S42" s="133">
        <v>0</v>
      </c>
      <c r="T42" s="133">
        <v>0</v>
      </c>
      <c r="V42" s="132" t="s">
        <v>121</v>
      </c>
      <c r="W42" s="133">
        <v>0</v>
      </c>
      <c r="X42" s="133">
        <v>0</v>
      </c>
      <c r="Y42" s="133">
        <v>0</v>
      </c>
      <c r="Z42" s="133">
        <v>0</v>
      </c>
      <c r="AA42" s="133">
        <v>0</v>
      </c>
      <c r="AC42" s="132" t="s">
        <v>121</v>
      </c>
      <c r="AD42" s="133">
        <v>0</v>
      </c>
      <c r="AE42" s="133">
        <v>0</v>
      </c>
      <c r="AF42" s="133">
        <v>0</v>
      </c>
      <c r="AG42" s="133">
        <v>0</v>
      </c>
      <c r="AH42" s="133">
        <v>0</v>
      </c>
      <c r="AJ42" s="132" t="s">
        <v>121</v>
      </c>
      <c r="AK42" s="133">
        <v>0</v>
      </c>
      <c r="AL42" s="133">
        <v>0</v>
      </c>
      <c r="AM42" s="133">
        <v>0</v>
      </c>
      <c r="AN42" s="133">
        <v>0</v>
      </c>
      <c r="AO42" s="133">
        <v>0</v>
      </c>
      <c r="AQ42" s="132" t="s">
        <v>121</v>
      </c>
      <c r="AR42" s="133">
        <v>0</v>
      </c>
      <c r="AS42" s="133">
        <v>0</v>
      </c>
      <c r="AT42" s="133">
        <v>0</v>
      </c>
      <c r="AU42" s="133">
        <v>0</v>
      </c>
      <c r="AV42" s="133">
        <v>0</v>
      </c>
      <c r="AX42" s="132" t="s">
        <v>121</v>
      </c>
      <c r="AY42" s="133">
        <v>0</v>
      </c>
      <c r="AZ42" s="133">
        <v>0</v>
      </c>
      <c r="BA42" s="133">
        <v>0</v>
      </c>
      <c r="BB42" s="133">
        <v>0</v>
      </c>
      <c r="BC42" s="133">
        <v>0</v>
      </c>
      <c r="BE42" s="132" t="s">
        <v>121</v>
      </c>
      <c r="BF42" s="133">
        <v>0</v>
      </c>
      <c r="BG42" s="133">
        <v>0</v>
      </c>
      <c r="BH42" s="133">
        <v>0</v>
      </c>
      <c r="BI42" s="133">
        <v>0</v>
      </c>
      <c r="BJ42" s="133">
        <v>0</v>
      </c>
      <c r="BL42" s="132" t="s">
        <v>121</v>
      </c>
      <c r="BM42" s="133">
        <v>0</v>
      </c>
      <c r="BN42" s="133">
        <v>0</v>
      </c>
      <c r="BO42" s="133">
        <v>0</v>
      </c>
      <c r="BP42" s="133">
        <v>0</v>
      </c>
      <c r="BQ42" s="133">
        <v>0</v>
      </c>
      <c r="BS42" s="132" t="s">
        <v>121</v>
      </c>
      <c r="BT42" s="133">
        <v>0</v>
      </c>
      <c r="BU42" s="133">
        <v>0</v>
      </c>
      <c r="BV42" s="133">
        <v>0</v>
      </c>
      <c r="BW42" s="133">
        <v>0</v>
      </c>
      <c r="BX42" s="133">
        <v>0</v>
      </c>
    </row>
    <row r="43" spans="1:87" s="5" customFormat="1" x14ac:dyDescent="0.25">
      <c r="A43" s="132" t="s">
        <v>24</v>
      </c>
      <c r="B43" s="133">
        <v>0</v>
      </c>
      <c r="C43" s="133">
        <v>0</v>
      </c>
      <c r="D43" s="133">
        <v>0</v>
      </c>
      <c r="E43" s="133">
        <v>0</v>
      </c>
      <c r="F43" s="133">
        <v>0</v>
      </c>
      <c r="H43" s="132" t="s">
        <v>24</v>
      </c>
      <c r="I43" s="133">
        <v>0</v>
      </c>
      <c r="J43" s="133">
        <v>0</v>
      </c>
      <c r="K43" s="133">
        <v>0</v>
      </c>
      <c r="L43" s="133">
        <v>0</v>
      </c>
      <c r="M43" s="133">
        <v>0</v>
      </c>
      <c r="O43" s="132" t="s">
        <v>24</v>
      </c>
      <c r="P43" s="133">
        <v>0</v>
      </c>
      <c r="Q43" s="133">
        <v>0</v>
      </c>
      <c r="R43" s="133">
        <v>0</v>
      </c>
      <c r="S43" s="133">
        <v>0</v>
      </c>
      <c r="T43" s="133">
        <v>0</v>
      </c>
      <c r="V43" s="132" t="s">
        <v>24</v>
      </c>
      <c r="W43" s="133">
        <v>0</v>
      </c>
      <c r="X43" s="133">
        <v>0</v>
      </c>
      <c r="Y43" s="133">
        <v>0</v>
      </c>
      <c r="Z43" s="133">
        <v>0</v>
      </c>
      <c r="AA43" s="133">
        <v>0</v>
      </c>
      <c r="AC43" s="132" t="s">
        <v>24</v>
      </c>
      <c r="AD43" s="133">
        <v>0</v>
      </c>
      <c r="AE43" s="133">
        <v>0</v>
      </c>
      <c r="AF43" s="133">
        <v>0</v>
      </c>
      <c r="AG43" s="133">
        <v>0</v>
      </c>
      <c r="AH43" s="133">
        <v>0</v>
      </c>
      <c r="AJ43" s="132" t="s">
        <v>24</v>
      </c>
      <c r="AK43" s="133">
        <v>0</v>
      </c>
      <c r="AL43" s="133">
        <v>0</v>
      </c>
      <c r="AM43" s="133">
        <v>0</v>
      </c>
      <c r="AN43" s="133">
        <v>0</v>
      </c>
      <c r="AO43" s="133">
        <v>0</v>
      </c>
      <c r="AQ43" s="132" t="s">
        <v>24</v>
      </c>
      <c r="AR43" s="133">
        <v>0</v>
      </c>
      <c r="AS43" s="133">
        <v>0</v>
      </c>
      <c r="AT43" s="133">
        <v>0</v>
      </c>
      <c r="AU43" s="133">
        <v>0</v>
      </c>
      <c r="AV43" s="133">
        <v>0</v>
      </c>
      <c r="AX43" s="132" t="s">
        <v>24</v>
      </c>
      <c r="AY43" s="133">
        <v>0</v>
      </c>
      <c r="AZ43" s="133">
        <v>0</v>
      </c>
      <c r="BA43" s="133">
        <v>0</v>
      </c>
      <c r="BB43" s="133">
        <v>0</v>
      </c>
      <c r="BC43" s="133">
        <v>0</v>
      </c>
      <c r="BE43" s="132" t="s">
        <v>24</v>
      </c>
      <c r="BF43" s="133">
        <v>0</v>
      </c>
      <c r="BG43" s="133">
        <v>0</v>
      </c>
      <c r="BH43" s="133">
        <v>0</v>
      </c>
      <c r="BI43" s="133">
        <v>0</v>
      </c>
      <c r="BJ43" s="133">
        <v>0</v>
      </c>
      <c r="BL43" s="132" t="s">
        <v>24</v>
      </c>
      <c r="BM43" s="133">
        <v>0</v>
      </c>
      <c r="BN43" s="133">
        <v>0</v>
      </c>
      <c r="BO43" s="133">
        <v>0</v>
      </c>
      <c r="BP43" s="133">
        <v>0</v>
      </c>
      <c r="BQ43" s="133">
        <v>0</v>
      </c>
      <c r="BS43" s="132" t="s">
        <v>24</v>
      </c>
      <c r="BT43" s="133">
        <v>0</v>
      </c>
      <c r="BU43" s="133">
        <v>0</v>
      </c>
      <c r="BV43" s="133">
        <v>0</v>
      </c>
      <c r="BW43" s="133">
        <v>0</v>
      </c>
      <c r="BX43" s="133">
        <v>0</v>
      </c>
    </row>
    <row r="44" spans="1:87" x14ac:dyDescent="0.25">
      <c r="A44" s="134" t="s">
        <v>122</v>
      </c>
      <c r="B44" s="135">
        <f t="shared" ref="B44:F44" si="121">B42*B43</f>
        <v>0</v>
      </c>
      <c r="C44" s="135">
        <f t="shared" si="121"/>
        <v>0</v>
      </c>
      <c r="D44" s="135">
        <f t="shared" si="121"/>
        <v>0</v>
      </c>
      <c r="E44" s="135">
        <f t="shared" si="121"/>
        <v>0</v>
      </c>
      <c r="F44" s="135">
        <f t="shared" si="121"/>
        <v>0</v>
      </c>
      <c r="G44" s="6"/>
      <c r="H44" s="134" t="s">
        <v>122</v>
      </c>
      <c r="I44" s="135">
        <f t="shared" ref="I44:M44" si="122">I42*I43</f>
        <v>0</v>
      </c>
      <c r="J44" s="135">
        <f t="shared" si="122"/>
        <v>0</v>
      </c>
      <c r="K44" s="135">
        <f t="shared" si="122"/>
        <v>0</v>
      </c>
      <c r="L44" s="135">
        <f t="shared" si="122"/>
        <v>0</v>
      </c>
      <c r="M44" s="135">
        <f t="shared" si="122"/>
        <v>0</v>
      </c>
      <c r="N44" s="6"/>
      <c r="O44" s="134" t="s">
        <v>122</v>
      </c>
      <c r="P44" s="135">
        <f t="shared" ref="P44:T44" si="123">P42*P43</f>
        <v>0</v>
      </c>
      <c r="Q44" s="135">
        <f t="shared" si="123"/>
        <v>0</v>
      </c>
      <c r="R44" s="135">
        <f t="shared" si="123"/>
        <v>0</v>
      </c>
      <c r="S44" s="135">
        <f t="shared" si="123"/>
        <v>0</v>
      </c>
      <c r="T44" s="135">
        <f t="shared" si="123"/>
        <v>0</v>
      </c>
      <c r="U44" s="6"/>
      <c r="V44" s="134" t="s">
        <v>122</v>
      </c>
      <c r="W44" s="135">
        <f t="shared" ref="W44:AA44" si="124">W42*W43</f>
        <v>0</v>
      </c>
      <c r="X44" s="135">
        <f t="shared" si="124"/>
        <v>0</v>
      </c>
      <c r="Y44" s="135">
        <f t="shared" si="124"/>
        <v>0</v>
      </c>
      <c r="Z44" s="135">
        <f t="shared" si="124"/>
        <v>0</v>
      </c>
      <c r="AA44" s="135">
        <f t="shared" si="124"/>
        <v>0</v>
      </c>
      <c r="AB44" s="6"/>
      <c r="AC44" s="134" t="s">
        <v>122</v>
      </c>
      <c r="AD44" s="135">
        <f t="shared" ref="AD44:AH44" si="125">AD42*AD43</f>
        <v>0</v>
      </c>
      <c r="AE44" s="135">
        <f t="shared" si="125"/>
        <v>0</v>
      </c>
      <c r="AF44" s="135">
        <f t="shared" si="125"/>
        <v>0</v>
      </c>
      <c r="AG44" s="135">
        <f t="shared" si="125"/>
        <v>0</v>
      </c>
      <c r="AH44" s="135">
        <f t="shared" si="125"/>
        <v>0</v>
      </c>
      <c r="AI44" s="6"/>
      <c r="AJ44" s="134" t="s">
        <v>122</v>
      </c>
      <c r="AK44" s="135">
        <f t="shared" ref="AK44:AO44" si="126">AK42*AK43</f>
        <v>0</v>
      </c>
      <c r="AL44" s="135">
        <f t="shared" si="126"/>
        <v>0</v>
      </c>
      <c r="AM44" s="135">
        <f t="shared" si="126"/>
        <v>0</v>
      </c>
      <c r="AN44" s="135">
        <f t="shared" si="126"/>
        <v>0</v>
      </c>
      <c r="AO44" s="135">
        <f t="shared" si="126"/>
        <v>0</v>
      </c>
      <c r="AP44" s="6"/>
      <c r="AQ44" s="134" t="s">
        <v>122</v>
      </c>
      <c r="AR44" s="135">
        <f t="shared" ref="AR44:AV44" si="127">AR42*AR43</f>
        <v>0</v>
      </c>
      <c r="AS44" s="135">
        <f t="shared" si="127"/>
        <v>0</v>
      </c>
      <c r="AT44" s="135">
        <f t="shared" si="127"/>
        <v>0</v>
      </c>
      <c r="AU44" s="135">
        <f t="shared" si="127"/>
        <v>0</v>
      </c>
      <c r="AV44" s="135">
        <f t="shared" si="127"/>
        <v>0</v>
      </c>
      <c r="AX44" s="134" t="s">
        <v>122</v>
      </c>
      <c r="AY44" s="135">
        <f t="shared" ref="AY44:BC44" si="128">AY42*AY43</f>
        <v>0</v>
      </c>
      <c r="AZ44" s="135">
        <f t="shared" si="128"/>
        <v>0</v>
      </c>
      <c r="BA44" s="135">
        <f t="shared" si="128"/>
        <v>0</v>
      </c>
      <c r="BB44" s="135">
        <f t="shared" si="128"/>
        <v>0</v>
      </c>
      <c r="BC44" s="135">
        <f t="shared" si="128"/>
        <v>0</v>
      </c>
      <c r="BE44" s="134" t="s">
        <v>122</v>
      </c>
      <c r="BF44" s="135">
        <f t="shared" ref="BF44:BJ44" si="129">BF42*BF43</f>
        <v>0</v>
      </c>
      <c r="BG44" s="135">
        <f t="shared" si="129"/>
        <v>0</v>
      </c>
      <c r="BH44" s="135">
        <f t="shared" si="129"/>
        <v>0</v>
      </c>
      <c r="BI44" s="135">
        <f t="shared" si="129"/>
        <v>0</v>
      </c>
      <c r="BJ44" s="135">
        <f t="shared" si="129"/>
        <v>0</v>
      </c>
      <c r="BL44" s="134" t="s">
        <v>122</v>
      </c>
      <c r="BM44" s="135">
        <f t="shared" ref="BM44:BQ44" si="130">BM42*BM43</f>
        <v>0</v>
      </c>
      <c r="BN44" s="135">
        <f t="shared" si="130"/>
        <v>0</v>
      </c>
      <c r="BO44" s="135">
        <f t="shared" si="130"/>
        <v>0</v>
      </c>
      <c r="BP44" s="135">
        <f t="shared" si="130"/>
        <v>0</v>
      </c>
      <c r="BQ44" s="135">
        <f t="shared" si="130"/>
        <v>0</v>
      </c>
      <c r="BR44" s="6"/>
      <c r="BS44" s="134" t="s">
        <v>122</v>
      </c>
      <c r="BT44" s="135">
        <f t="shared" ref="BT44:BX44" si="131">BT42*BT43</f>
        <v>0</v>
      </c>
      <c r="BU44" s="135">
        <f t="shared" si="131"/>
        <v>0</v>
      </c>
      <c r="BV44" s="135">
        <f t="shared" si="131"/>
        <v>0</v>
      </c>
      <c r="BW44" s="135">
        <f t="shared" si="131"/>
        <v>0</v>
      </c>
      <c r="BX44" s="135">
        <f t="shared" si="131"/>
        <v>0</v>
      </c>
      <c r="BY44" s="6"/>
      <c r="BZ44" s="6"/>
      <c r="CD44" s="6"/>
      <c r="CE44" s="6"/>
      <c r="CF44" s="6"/>
      <c r="CG44" s="6"/>
      <c r="CH44" s="6"/>
      <c r="CI44" s="6"/>
    </row>
    <row r="45" spans="1:87" s="5" customFormat="1" x14ac:dyDescent="0.25">
      <c r="A45" s="132" t="s">
        <v>123</v>
      </c>
      <c r="B45" s="133">
        <v>30</v>
      </c>
      <c r="C45" s="133">
        <v>30</v>
      </c>
      <c r="D45" s="133">
        <v>30</v>
      </c>
      <c r="E45" s="133">
        <v>30</v>
      </c>
      <c r="F45" s="133">
        <v>30</v>
      </c>
      <c r="H45" s="132" t="s">
        <v>123</v>
      </c>
      <c r="I45" s="133">
        <v>0</v>
      </c>
      <c r="J45" s="133">
        <v>0</v>
      </c>
      <c r="K45" s="133">
        <v>0</v>
      </c>
      <c r="L45" s="133">
        <v>0</v>
      </c>
      <c r="M45" s="133">
        <v>0</v>
      </c>
      <c r="O45" s="132" t="s">
        <v>123</v>
      </c>
      <c r="P45" s="133">
        <v>0</v>
      </c>
      <c r="Q45" s="133">
        <v>0</v>
      </c>
      <c r="R45" s="133">
        <v>0</v>
      </c>
      <c r="S45" s="133">
        <v>0</v>
      </c>
      <c r="T45" s="133">
        <v>0</v>
      </c>
      <c r="V45" s="132" t="s">
        <v>123</v>
      </c>
      <c r="W45" s="133">
        <v>0</v>
      </c>
      <c r="X45" s="133">
        <v>0</v>
      </c>
      <c r="Y45" s="133">
        <v>0</v>
      </c>
      <c r="Z45" s="133">
        <v>0</v>
      </c>
      <c r="AA45" s="133">
        <v>0</v>
      </c>
      <c r="AC45" s="132" t="s">
        <v>123</v>
      </c>
      <c r="AD45" s="133">
        <v>0</v>
      </c>
      <c r="AE45" s="133">
        <v>0</v>
      </c>
      <c r="AF45" s="133">
        <v>0</v>
      </c>
      <c r="AG45" s="133">
        <v>0</v>
      </c>
      <c r="AH45" s="133">
        <v>0</v>
      </c>
      <c r="AJ45" s="132" t="s">
        <v>123</v>
      </c>
      <c r="AK45" s="133">
        <v>0</v>
      </c>
      <c r="AL45" s="133">
        <v>0</v>
      </c>
      <c r="AM45" s="133">
        <v>0</v>
      </c>
      <c r="AN45" s="133">
        <v>0</v>
      </c>
      <c r="AO45" s="133">
        <v>0</v>
      </c>
      <c r="AQ45" s="132" t="s">
        <v>123</v>
      </c>
      <c r="AR45" s="133">
        <v>0</v>
      </c>
      <c r="AS45" s="133">
        <v>0</v>
      </c>
      <c r="AT45" s="133">
        <v>0</v>
      </c>
      <c r="AU45" s="133">
        <v>0</v>
      </c>
      <c r="AV45" s="133">
        <v>0</v>
      </c>
      <c r="AX45" s="132" t="s">
        <v>123</v>
      </c>
      <c r="AY45" s="133">
        <v>0</v>
      </c>
      <c r="AZ45" s="133">
        <v>0</v>
      </c>
      <c r="BA45" s="133">
        <v>0</v>
      </c>
      <c r="BB45" s="133">
        <v>0</v>
      </c>
      <c r="BC45" s="133">
        <v>0</v>
      </c>
      <c r="BE45" s="132" t="s">
        <v>123</v>
      </c>
      <c r="BF45" s="133">
        <v>0</v>
      </c>
      <c r="BG45" s="133">
        <v>0</v>
      </c>
      <c r="BH45" s="133">
        <v>0</v>
      </c>
      <c r="BI45" s="133">
        <v>0</v>
      </c>
      <c r="BJ45" s="133">
        <v>0</v>
      </c>
      <c r="BL45" s="132" t="s">
        <v>123</v>
      </c>
      <c r="BM45" s="133">
        <v>0</v>
      </c>
      <c r="BN45" s="133">
        <v>0</v>
      </c>
      <c r="BO45" s="133">
        <v>0</v>
      </c>
      <c r="BP45" s="133">
        <v>0</v>
      </c>
      <c r="BQ45" s="133">
        <v>0</v>
      </c>
      <c r="BS45" s="132" t="s">
        <v>123</v>
      </c>
      <c r="BT45" s="133">
        <v>0</v>
      </c>
      <c r="BU45" s="133">
        <v>0</v>
      </c>
      <c r="BV45" s="133">
        <v>0</v>
      </c>
      <c r="BW45" s="133">
        <v>0</v>
      </c>
      <c r="BX45" s="133">
        <v>0</v>
      </c>
    </row>
    <row r="46" spans="1:87" s="5" customFormat="1" x14ac:dyDescent="0.25">
      <c r="A46" s="132" t="s">
        <v>24</v>
      </c>
      <c r="B46" s="133">
        <v>0.44</v>
      </c>
      <c r="C46" s="133">
        <v>0.44</v>
      </c>
      <c r="D46" s="133">
        <v>0.44</v>
      </c>
      <c r="E46" s="133">
        <v>0.44</v>
      </c>
      <c r="F46" s="133">
        <v>0.44</v>
      </c>
      <c r="H46" s="132" t="s">
        <v>24</v>
      </c>
      <c r="I46" s="133">
        <v>0</v>
      </c>
      <c r="J46" s="133">
        <v>0</v>
      </c>
      <c r="K46" s="133">
        <v>0</v>
      </c>
      <c r="L46" s="133">
        <v>0</v>
      </c>
      <c r="M46" s="133">
        <v>0</v>
      </c>
      <c r="O46" s="132" t="s">
        <v>24</v>
      </c>
      <c r="P46" s="133">
        <v>0</v>
      </c>
      <c r="Q46" s="133">
        <v>0</v>
      </c>
      <c r="R46" s="133">
        <v>0</v>
      </c>
      <c r="S46" s="133">
        <v>0</v>
      </c>
      <c r="T46" s="133">
        <v>0</v>
      </c>
      <c r="V46" s="132" t="s">
        <v>24</v>
      </c>
      <c r="W46" s="133">
        <v>0</v>
      </c>
      <c r="X46" s="133">
        <v>0</v>
      </c>
      <c r="Y46" s="133">
        <v>0</v>
      </c>
      <c r="Z46" s="133">
        <v>0</v>
      </c>
      <c r="AA46" s="133">
        <v>0</v>
      </c>
      <c r="AC46" s="132" t="s">
        <v>24</v>
      </c>
      <c r="AD46" s="133">
        <v>0</v>
      </c>
      <c r="AE46" s="133">
        <v>0</v>
      </c>
      <c r="AF46" s="133">
        <v>0</v>
      </c>
      <c r="AG46" s="133">
        <v>0</v>
      </c>
      <c r="AH46" s="133">
        <v>0</v>
      </c>
      <c r="AJ46" s="132" t="s">
        <v>24</v>
      </c>
      <c r="AK46" s="133">
        <v>0</v>
      </c>
      <c r="AL46" s="133">
        <v>0</v>
      </c>
      <c r="AM46" s="133">
        <v>0</v>
      </c>
      <c r="AN46" s="133">
        <v>0</v>
      </c>
      <c r="AO46" s="133">
        <v>0</v>
      </c>
      <c r="AQ46" s="132" t="s">
        <v>24</v>
      </c>
      <c r="AR46" s="133">
        <v>0</v>
      </c>
      <c r="AS46" s="133">
        <v>0</v>
      </c>
      <c r="AT46" s="133">
        <v>0</v>
      </c>
      <c r="AU46" s="133">
        <v>0</v>
      </c>
      <c r="AV46" s="133">
        <v>0</v>
      </c>
      <c r="AX46" s="132" t="s">
        <v>24</v>
      </c>
      <c r="AY46" s="133">
        <v>0</v>
      </c>
      <c r="AZ46" s="133">
        <v>0</v>
      </c>
      <c r="BA46" s="133">
        <v>0</v>
      </c>
      <c r="BB46" s="133">
        <v>0</v>
      </c>
      <c r="BC46" s="133">
        <v>0</v>
      </c>
      <c r="BE46" s="132" t="s">
        <v>24</v>
      </c>
      <c r="BF46" s="133">
        <v>0</v>
      </c>
      <c r="BG46" s="133">
        <v>0</v>
      </c>
      <c r="BH46" s="133">
        <v>0</v>
      </c>
      <c r="BI46" s="133">
        <v>0</v>
      </c>
      <c r="BJ46" s="133">
        <v>0</v>
      </c>
      <c r="BL46" s="132" t="s">
        <v>24</v>
      </c>
      <c r="BM46" s="133">
        <v>0</v>
      </c>
      <c r="BN46" s="133">
        <v>0</v>
      </c>
      <c r="BO46" s="133">
        <v>0</v>
      </c>
      <c r="BP46" s="133">
        <v>0</v>
      </c>
      <c r="BQ46" s="133">
        <v>0</v>
      </c>
      <c r="BS46" s="132" t="s">
        <v>24</v>
      </c>
      <c r="BT46" s="133">
        <v>0</v>
      </c>
      <c r="BU46" s="133">
        <v>0</v>
      </c>
      <c r="BV46" s="133">
        <v>0</v>
      </c>
      <c r="BW46" s="133">
        <v>0</v>
      </c>
      <c r="BX46" s="133">
        <v>0</v>
      </c>
    </row>
    <row r="47" spans="1:87" x14ac:dyDescent="0.25">
      <c r="A47" s="134" t="s">
        <v>124</v>
      </c>
      <c r="B47" s="135">
        <f t="shared" ref="B47:F47" si="132">B45*B46</f>
        <v>13.2</v>
      </c>
      <c r="C47" s="135">
        <f t="shared" si="132"/>
        <v>13.2</v>
      </c>
      <c r="D47" s="135">
        <f t="shared" si="132"/>
        <v>13.2</v>
      </c>
      <c r="E47" s="135">
        <f t="shared" si="132"/>
        <v>13.2</v>
      </c>
      <c r="F47" s="135">
        <f t="shared" si="132"/>
        <v>13.2</v>
      </c>
      <c r="G47" s="6"/>
      <c r="H47" s="134" t="s">
        <v>124</v>
      </c>
      <c r="I47" s="135">
        <f t="shared" ref="I47:M47" si="133">I45*I46</f>
        <v>0</v>
      </c>
      <c r="J47" s="135">
        <f t="shared" si="133"/>
        <v>0</v>
      </c>
      <c r="K47" s="135">
        <f t="shared" si="133"/>
        <v>0</v>
      </c>
      <c r="L47" s="135">
        <f t="shared" si="133"/>
        <v>0</v>
      </c>
      <c r="M47" s="135">
        <f t="shared" si="133"/>
        <v>0</v>
      </c>
      <c r="N47" s="6"/>
      <c r="O47" s="134" t="s">
        <v>124</v>
      </c>
      <c r="P47" s="135">
        <f t="shared" ref="P47:T47" si="134">P45*P46</f>
        <v>0</v>
      </c>
      <c r="Q47" s="135">
        <f t="shared" si="134"/>
        <v>0</v>
      </c>
      <c r="R47" s="135">
        <f t="shared" si="134"/>
        <v>0</v>
      </c>
      <c r="S47" s="135">
        <f t="shared" si="134"/>
        <v>0</v>
      </c>
      <c r="T47" s="135">
        <f t="shared" si="134"/>
        <v>0</v>
      </c>
      <c r="U47" s="6"/>
      <c r="V47" s="134" t="s">
        <v>124</v>
      </c>
      <c r="W47" s="135">
        <f t="shared" ref="W47:AA47" si="135">W45*W46</f>
        <v>0</v>
      </c>
      <c r="X47" s="135">
        <f t="shared" si="135"/>
        <v>0</v>
      </c>
      <c r="Y47" s="135">
        <f t="shared" si="135"/>
        <v>0</v>
      </c>
      <c r="Z47" s="135">
        <f t="shared" si="135"/>
        <v>0</v>
      </c>
      <c r="AA47" s="135">
        <f t="shared" si="135"/>
        <v>0</v>
      </c>
      <c r="AB47" s="6"/>
      <c r="AC47" s="134" t="s">
        <v>124</v>
      </c>
      <c r="AD47" s="135">
        <f t="shared" ref="AD47:AH47" si="136">AD45*AD46</f>
        <v>0</v>
      </c>
      <c r="AE47" s="135">
        <f t="shared" si="136"/>
        <v>0</v>
      </c>
      <c r="AF47" s="135">
        <f t="shared" si="136"/>
        <v>0</v>
      </c>
      <c r="AG47" s="135">
        <f t="shared" si="136"/>
        <v>0</v>
      </c>
      <c r="AH47" s="135">
        <f t="shared" si="136"/>
        <v>0</v>
      </c>
      <c r="AI47" s="6"/>
      <c r="AJ47" s="134" t="s">
        <v>124</v>
      </c>
      <c r="AK47" s="135">
        <f t="shared" ref="AK47:AO47" si="137">AK45*AK46</f>
        <v>0</v>
      </c>
      <c r="AL47" s="135">
        <f t="shared" si="137"/>
        <v>0</v>
      </c>
      <c r="AM47" s="135">
        <f t="shared" si="137"/>
        <v>0</v>
      </c>
      <c r="AN47" s="135">
        <f t="shared" si="137"/>
        <v>0</v>
      </c>
      <c r="AO47" s="135">
        <f t="shared" si="137"/>
        <v>0</v>
      </c>
      <c r="AP47" s="6"/>
      <c r="AQ47" s="134" t="s">
        <v>124</v>
      </c>
      <c r="AR47" s="135">
        <f t="shared" ref="AR47:AV47" si="138">AR45*AR46</f>
        <v>0</v>
      </c>
      <c r="AS47" s="135">
        <f t="shared" si="138"/>
        <v>0</v>
      </c>
      <c r="AT47" s="135">
        <f t="shared" si="138"/>
        <v>0</v>
      </c>
      <c r="AU47" s="135">
        <f t="shared" si="138"/>
        <v>0</v>
      </c>
      <c r="AV47" s="135">
        <f t="shared" si="138"/>
        <v>0</v>
      </c>
      <c r="AX47" s="134" t="s">
        <v>124</v>
      </c>
      <c r="AY47" s="135">
        <f t="shared" ref="AY47:BC47" si="139">AY45*AY46</f>
        <v>0</v>
      </c>
      <c r="AZ47" s="135">
        <f t="shared" si="139"/>
        <v>0</v>
      </c>
      <c r="BA47" s="135">
        <f t="shared" si="139"/>
        <v>0</v>
      </c>
      <c r="BB47" s="135">
        <f t="shared" si="139"/>
        <v>0</v>
      </c>
      <c r="BC47" s="135">
        <f t="shared" si="139"/>
        <v>0</v>
      </c>
      <c r="BE47" s="134" t="s">
        <v>124</v>
      </c>
      <c r="BF47" s="135">
        <f t="shared" ref="BF47:BJ47" si="140">BF45*BF46</f>
        <v>0</v>
      </c>
      <c r="BG47" s="135">
        <f t="shared" si="140"/>
        <v>0</v>
      </c>
      <c r="BH47" s="135">
        <f t="shared" si="140"/>
        <v>0</v>
      </c>
      <c r="BI47" s="135">
        <f t="shared" si="140"/>
        <v>0</v>
      </c>
      <c r="BJ47" s="135">
        <f t="shared" si="140"/>
        <v>0</v>
      </c>
      <c r="BL47" s="134" t="s">
        <v>124</v>
      </c>
      <c r="BM47" s="135">
        <f t="shared" ref="BM47:BQ47" si="141">BM45*BM46</f>
        <v>0</v>
      </c>
      <c r="BN47" s="135">
        <f t="shared" si="141"/>
        <v>0</v>
      </c>
      <c r="BO47" s="135">
        <f t="shared" si="141"/>
        <v>0</v>
      </c>
      <c r="BP47" s="135">
        <f t="shared" si="141"/>
        <v>0</v>
      </c>
      <c r="BQ47" s="135">
        <f t="shared" si="141"/>
        <v>0</v>
      </c>
      <c r="BR47" s="6"/>
      <c r="BS47" s="134" t="s">
        <v>124</v>
      </c>
      <c r="BT47" s="135">
        <f t="shared" ref="BT47:BX47" si="142">BT45*BT46</f>
        <v>0</v>
      </c>
      <c r="BU47" s="135">
        <f t="shared" si="142"/>
        <v>0</v>
      </c>
      <c r="BV47" s="135">
        <f t="shared" si="142"/>
        <v>0</v>
      </c>
      <c r="BW47" s="135">
        <f t="shared" si="142"/>
        <v>0</v>
      </c>
      <c r="BX47" s="135">
        <f t="shared" si="142"/>
        <v>0</v>
      </c>
      <c r="BY47" s="6"/>
      <c r="BZ47" s="6"/>
      <c r="CD47" s="6"/>
      <c r="CE47" s="6"/>
      <c r="CF47" s="6"/>
      <c r="CG47" s="6"/>
      <c r="CH47" s="6"/>
      <c r="CI47" s="6"/>
    </row>
    <row r="48" spans="1:87" s="5" customFormat="1" x14ac:dyDescent="0.25">
      <c r="A48" s="138" t="s">
        <v>125</v>
      </c>
      <c r="B48" s="133">
        <v>0</v>
      </c>
      <c r="C48" s="133">
        <v>0</v>
      </c>
      <c r="D48" s="133">
        <v>0</v>
      </c>
      <c r="E48" s="133">
        <v>0</v>
      </c>
      <c r="F48" s="133">
        <v>0</v>
      </c>
      <c r="H48" s="138" t="s">
        <v>125</v>
      </c>
      <c r="I48" s="133">
        <v>0</v>
      </c>
      <c r="J48" s="133">
        <v>0</v>
      </c>
      <c r="K48" s="133">
        <v>0</v>
      </c>
      <c r="L48" s="133">
        <v>0</v>
      </c>
      <c r="M48" s="133">
        <v>0</v>
      </c>
      <c r="O48" s="138" t="s">
        <v>125</v>
      </c>
      <c r="P48" s="133">
        <v>0</v>
      </c>
      <c r="Q48" s="133">
        <v>0</v>
      </c>
      <c r="R48" s="133">
        <v>0</v>
      </c>
      <c r="S48" s="133">
        <v>0</v>
      </c>
      <c r="T48" s="133">
        <v>0</v>
      </c>
      <c r="V48" s="138" t="s">
        <v>125</v>
      </c>
      <c r="W48" s="133">
        <v>0</v>
      </c>
      <c r="X48" s="133">
        <v>0</v>
      </c>
      <c r="Y48" s="133">
        <v>0</v>
      </c>
      <c r="Z48" s="133">
        <v>0</v>
      </c>
      <c r="AA48" s="133">
        <v>0</v>
      </c>
      <c r="AC48" s="138" t="s">
        <v>125</v>
      </c>
      <c r="AD48" s="133">
        <v>0</v>
      </c>
      <c r="AE48" s="133">
        <v>0</v>
      </c>
      <c r="AF48" s="133">
        <v>0</v>
      </c>
      <c r="AG48" s="133">
        <v>0</v>
      </c>
      <c r="AH48" s="133">
        <v>0</v>
      </c>
      <c r="AJ48" s="138" t="s">
        <v>125</v>
      </c>
      <c r="AK48" s="133">
        <v>0</v>
      </c>
      <c r="AL48" s="133">
        <v>0</v>
      </c>
      <c r="AM48" s="133">
        <v>0</v>
      </c>
      <c r="AN48" s="133">
        <v>0</v>
      </c>
      <c r="AO48" s="133">
        <v>0</v>
      </c>
      <c r="AQ48" s="138" t="s">
        <v>125</v>
      </c>
      <c r="AR48" s="133">
        <v>0</v>
      </c>
      <c r="AS48" s="133">
        <v>0</v>
      </c>
      <c r="AT48" s="133">
        <v>0</v>
      </c>
      <c r="AU48" s="133">
        <v>0</v>
      </c>
      <c r="AV48" s="133">
        <v>0</v>
      </c>
      <c r="AX48" s="138" t="s">
        <v>125</v>
      </c>
      <c r="AY48" s="133">
        <v>0</v>
      </c>
      <c r="AZ48" s="133">
        <v>0</v>
      </c>
      <c r="BA48" s="133">
        <v>0</v>
      </c>
      <c r="BB48" s="133">
        <v>0</v>
      </c>
      <c r="BC48" s="133">
        <v>0</v>
      </c>
      <c r="BE48" s="138" t="s">
        <v>125</v>
      </c>
      <c r="BF48" s="133">
        <v>0</v>
      </c>
      <c r="BG48" s="133">
        <v>0</v>
      </c>
      <c r="BH48" s="133">
        <v>0</v>
      </c>
      <c r="BI48" s="133">
        <v>0</v>
      </c>
      <c r="BJ48" s="133">
        <v>0</v>
      </c>
      <c r="BL48" s="138" t="s">
        <v>125</v>
      </c>
      <c r="BM48" s="133">
        <v>0</v>
      </c>
      <c r="BN48" s="133">
        <v>0</v>
      </c>
      <c r="BO48" s="133">
        <v>0</v>
      </c>
      <c r="BP48" s="133">
        <v>0</v>
      </c>
      <c r="BQ48" s="133">
        <v>0</v>
      </c>
      <c r="BS48" s="138" t="s">
        <v>125</v>
      </c>
      <c r="BT48" s="133">
        <v>0</v>
      </c>
      <c r="BU48" s="133">
        <v>0</v>
      </c>
      <c r="BV48" s="133">
        <v>0</v>
      </c>
      <c r="BW48" s="133">
        <v>0</v>
      </c>
      <c r="BX48" s="133">
        <v>0</v>
      </c>
    </row>
    <row r="49" spans="1:87" s="5" customFormat="1" x14ac:dyDescent="0.25">
      <c r="A49" s="138" t="s">
        <v>126</v>
      </c>
      <c r="B49" s="133">
        <v>0</v>
      </c>
      <c r="C49" s="133">
        <v>0</v>
      </c>
      <c r="D49" s="133">
        <v>0</v>
      </c>
      <c r="E49" s="133">
        <v>0</v>
      </c>
      <c r="F49" s="133">
        <v>0</v>
      </c>
      <c r="H49" s="138" t="s">
        <v>126</v>
      </c>
      <c r="I49" s="133">
        <v>0</v>
      </c>
      <c r="J49" s="133">
        <v>0</v>
      </c>
      <c r="K49" s="133">
        <v>0</v>
      </c>
      <c r="L49" s="133">
        <v>0</v>
      </c>
      <c r="M49" s="133">
        <v>0</v>
      </c>
      <c r="O49" s="138" t="s">
        <v>126</v>
      </c>
      <c r="P49" s="133">
        <v>0</v>
      </c>
      <c r="Q49" s="133">
        <v>0</v>
      </c>
      <c r="R49" s="133">
        <v>0</v>
      </c>
      <c r="S49" s="133">
        <v>0</v>
      </c>
      <c r="T49" s="133">
        <v>0</v>
      </c>
      <c r="V49" s="138" t="s">
        <v>126</v>
      </c>
      <c r="W49" s="133">
        <v>0</v>
      </c>
      <c r="X49" s="133">
        <v>0</v>
      </c>
      <c r="Y49" s="133">
        <v>0</v>
      </c>
      <c r="Z49" s="133">
        <v>0</v>
      </c>
      <c r="AA49" s="133">
        <v>0</v>
      </c>
      <c r="AC49" s="138" t="s">
        <v>126</v>
      </c>
      <c r="AD49" s="133">
        <v>0</v>
      </c>
      <c r="AE49" s="133">
        <v>0</v>
      </c>
      <c r="AF49" s="133">
        <v>0</v>
      </c>
      <c r="AG49" s="133">
        <v>0</v>
      </c>
      <c r="AH49" s="133">
        <v>0</v>
      </c>
      <c r="AJ49" s="138" t="s">
        <v>126</v>
      </c>
      <c r="AK49" s="133">
        <v>0</v>
      </c>
      <c r="AL49" s="133">
        <v>0</v>
      </c>
      <c r="AM49" s="133">
        <v>0</v>
      </c>
      <c r="AN49" s="133">
        <v>0</v>
      </c>
      <c r="AO49" s="133">
        <v>0</v>
      </c>
      <c r="AQ49" s="138" t="s">
        <v>126</v>
      </c>
      <c r="AR49" s="133">
        <v>0</v>
      </c>
      <c r="AS49" s="133">
        <v>0</v>
      </c>
      <c r="AT49" s="133">
        <v>0</v>
      </c>
      <c r="AU49" s="133">
        <v>0</v>
      </c>
      <c r="AV49" s="133">
        <v>0</v>
      </c>
      <c r="AX49" s="138" t="s">
        <v>126</v>
      </c>
      <c r="AY49" s="133">
        <v>0</v>
      </c>
      <c r="AZ49" s="133">
        <v>0</v>
      </c>
      <c r="BA49" s="133">
        <v>0</v>
      </c>
      <c r="BB49" s="133">
        <v>0</v>
      </c>
      <c r="BC49" s="133">
        <v>0</v>
      </c>
      <c r="BE49" s="138" t="s">
        <v>126</v>
      </c>
      <c r="BF49" s="133">
        <v>0</v>
      </c>
      <c r="BG49" s="133">
        <v>0</v>
      </c>
      <c r="BH49" s="133">
        <v>0</v>
      </c>
      <c r="BI49" s="133">
        <v>0</v>
      </c>
      <c r="BJ49" s="133">
        <v>0</v>
      </c>
      <c r="BL49" s="138" t="s">
        <v>126</v>
      </c>
      <c r="BM49" s="133">
        <v>0</v>
      </c>
      <c r="BN49" s="133">
        <v>0</v>
      </c>
      <c r="BO49" s="133">
        <v>0</v>
      </c>
      <c r="BP49" s="133">
        <v>0</v>
      </c>
      <c r="BQ49" s="133">
        <v>0</v>
      </c>
      <c r="BS49" s="138" t="s">
        <v>126</v>
      </c>
      <c r="BT49" s="133">
        <v>0</v>
      </c>
      <c r="BU49" s="133">
        <v>0</v>
      </c>
      <c r="BV49" s="133">
        <v>0</v>
      </c>
      <c r="BW49" s="133">
        <v>0</v>
      </c>
      <c r="BX49" s="133">
        <v>0</v>
      </c>
    </row>
    <row r="50" spans="1:87" x14ac:dyDescent="0.25">
      <c r="A50" s="134" t="s">
        <v>127</v>
      </c>
      <c r="B50" s="135">
        <f t="shared" ref="B50:F50" si="143">B48*B49</f>
        <v>0</v>
      </c>
      <c r="C50" s="135">
        <f t="shared" si="143"/>
        <v>0</v>
      </c>
      <c r="D50" s="135">
        <f t="shared" si="143"/>
        <v>0</v>
      </c>
      <c r="E50" s="135">
        <f t="shared" si="143"/>
        <v>0</v>
      </c>
      <c r="F50" s="135">
        <f t="shared" si="143"/>
        <v>0</v>
      </c>
      <c r="G50" s="6"/>
      <c r="H50" s="134" t="s">
        <v>127</v>
      </c>
      <c r="I50" s="135">
        <f t="shared" ref="I50:M50" si="144">I48*I49</f>
        <v>0</v>
      </c>
      <c r="J50" s="135">
        <f t="shared" si="144"/>
        <v>0</v>
      </c>
      <c r="K50" s="135">
        <f t="shared" si="144"/>
        <v>0</v>
      </c>
      <c r="L50" s="135">
        <f t="shared" si="144"/>
        <v>0</v>
      </c>
      <c r="M50" s="135">
        <f t="shared" si="144"/>
        <v>0</v>
      </c>
      <c r="N50" s="6"/>
      <c r="O50" s="134" t="s">
        <v>127</v>
      </c>
      <c r="P50" s="135">
        <f t="shared" ref="P50:T50" si="145">P48*P49</f>
        <v>0</v>
      </c>
      <c r="Q50" s="135">
        <f t="shared" si="145"/>
        <v>0</v>
      </c>
      <c r="R50" s="135">
        <f t="shared" si="145"/>
        <v>0</v>
      </c>
      <c r="S50" s="135">
        <f t="shared" si="145"/>
        <v>0</v>
      </c>
      <c r="T50" s="135">
        <f t="shared" si="145"/>
        <v>0</v>
      </c>
      <c r="U50" s="6"/>
      <c r="V50" s="134" t="s">
        <v>127</v>
      </c>
      <c r="W50" s="135">
        <f t="shared" ref="W50:AA50" si="146">W48*W49</f>
        <v>0</v>
      </c>
      <c r="X50" s="135">
        <f t="shared" si="146"/>
        <v>0</v>
      </c>
      <c r="Y50" s="135">
        <f t="shared" si="146"/>
        <v>0</v>
      </c>
      <c r="Z50" s="135">
        <f t="shared" si="146"/>
        <v>0</v>
      </c>
      <c r="AA50" s="135">
        <f t="shared" si="146"/>
        <v>0</v>
      </c>
      <c r="AB50" s="6"/>
      <c r="AC50" s="134" t="s">
        <v>127</v>
      </c>
      <c r="AD50" s="135">
        <f t="shared" ref="AD50:AH50" si="147">AD48*AD49</f>
        <v>0</v>
      </c>
      <c r="AE50" s="135">
        <f t="shared" si="147"/>
        <v>0</v>
      </c>
      <c r="AF50" s="135">
        <f t="shared" si="147"/>
        <v>0</v>
      </c>
      <c r="AG50" s="135">
        <f t="shared" si="147"/>
        <v>0</v>
      </c>
      <c r="AH50" s="135">
        <f t="shared" si="147"/>
        <v>0</v>
      </c>
      <c r="AI50" s="6"/>
      <c r="AJ50" s="134" t="s">
        <v>127</v>
      </c>
      <c r="AK50" s="135">
        <f t="shared" ref="AK50:AO50" si="148">AK48*AK49</f>
        <v>0</v>
      </c>
      <c r="AL50" s="135">
        <f t="shared" si="148"/>
        <v>0</v>
      </c>
      <c r="AM50" s="135">
        <f t="shared" si="148"/>
        <v>0</v>
      </c>
      <c r="AN50" s="135">
        <f t="shared" si="148"/>
        <v>0</v>
      </c>
      <c r="AO50" s="135">
        <f t="shared" si="148"/>
        <v>0</v>
      </c>
      <c r="AP50" s="6"/>
      <c r="AQ50" s="134" t="s">
        <v>127</v>
      </c>
      <c r="AR50" s="135">
        <f t="shared" ref="AR50:AV50" si="149">AR48*AR49</f>
        <v>0</v>
      </c>
      <c r="AS50" s="135">
        <f t="shared" si="149"/>
        <v>0</v>
      </c>
      <c r="AT50" s="135">
        <f t="shared" si="149"/>
        <v>0</v>
      </c>
      <c r="AU50" s="135">
        <f t="shared" si="149"/>
        <v>0</v>
      </c>
      <c r="AV50" s="135">
        <f t="shared" si="149"/>
        <v>0</v>
      </c>
      <c r="AX50" s="134" t="s">
        <v>127</v>
      </c>
      <c r="AY50" s="135">
        <f t="shared" ref="AY50:BC50" si="150">AY48*AY49</f>
        <v>0</v>
      </c>
      <c r="AZ50" s="135">
        <f t="shared" si="150"/>
        <v>0</v>
      </c>
      <c r="BA50" s="135">
        <f t="shared" si="150"/>
        <v>0</v>
      </c>
      <c r="BB50" s="135">
        <f t="shared" si="150"/>
        <v>0</v>
      </c>
      <c r="BC50" s="135">
        <f t="shared" si="150"/>
        <v>0</v>
      </c>
      <c r="BE50" s="134" t="s">
        <v>127</v>
      </c>
      <c r="BF50" s="135">
        <f t="shared" ref="BF50:BJ50" si="151">BF48*BF49</f>
        <v>0</v>
      </c>
      <c r="BG50" s="135">
        <f t="shared" si="151"/>
        <v>0</v>
      </c>
      <c r="BH50" s="135">
        <f t="shared" si="151"/>
        <v>0</v>
      </c>
      <c r="BI50" s="135">
        <f t="shared" si="151"/>
        <v>0</v>
      </c>
      <c r="BJ50" s="135">
        <f t="shared" si="151"/>
        <v>0</v>
      </c>
      <c r="BL50" s="134" t="s">
        <v>127</v>
      </c>
      <c r="BM50" s="135">
        <f t="shared" ref="BM50:BQ50" si="152">BM48*BM49</f>
        <v>0</v>
      </c>
      <c r="BN50" s="135">
        <f t="shared" si="152"/>
        <v>0</v>
      </c>
      <c r="BO50" s="135">
        <f t="shared" si="152"/>
        <v>0</v>
      </c>
      <c r="BP50" s="135">
        <f t="shared" si="152"/>
        <v>0</v>
      </c>
      <c r="BQ50" s="135">
        <f t="shared" si="152"/>
        <v>0</v>
      </c>
      <c r="BR50" s="6"/>
      <c r="BS50" s="134" t="s">
        <v>127</v>
      </c>
      <c r="BT50" s="135">
        <f t="shared" ref="BT50:BX50" si="153">BT48*BT49</f>
        <v>0</v>
      </c>
      <c r="BU50" s="135">
        <f t="shared" si="153"/>
        <v>0</v>
      </c>
      <c r="BV50" s="135">
        <f t="shared" si="153"/>
        <v>0</v>
      </c>
      <c r="BW50" s="135">
        <f t="shared" si="153"/>
        <v>0</v>
      </c>
      <c r="BX50" s="135">
        <f t="shared" si="153"/>
        <v>0</v>
      </c>
      <c r="BY50" s="6"/>
      <c r="BZ50" s="6"/>
      <c r="CD50" s="6"/>
      <c r="CE50" s="6"/>
      <c r="CF50" s="6"/>
      <c r="CG50" s="6"/>
      <c r="CH50" s="6"/>
      <c r="CI50" s="6"/>
    </row>
    <row r="51" spans="1:87" x14ac:dyDescent="0.25">
      <c r="A51" s="150" t="s">
        <v>128</v>
      </c>
      <c r="B51" s="151">
        <f t="shared" ref="B51:F51" si="154">B41+B44+B47+B50</f>
        <v>178.2</v>
      </c>
      <c r="C51" s="151">
        <f t="shared" si="154"/>
        <v>178.2</v>
      </c>
      <c r="D51" s="151">
        <f t="shared" si="154"/>
        <v>211.20000000000002</v>
      </c>
      <c r="E51" s="151">
        <f t="shared" si="154"/>
        <v>211.20000000000002</v>
      </c>
      <c r="F51" s="151">
        <f t="shared" si="154"/>
        <v>178.2</v>
      </c>
      <c r="G51" s="6"/>
      <c r="H51" s="150" t="s">
        <v>128</v>
      </c>
      <c r="I51" s="151">
        <f t="shared" ref="I51:M51" si="155">I41+I44+I47+I50</f>
        <v>0</v>
      </c>
      <c r="J51" s="151">
        <f t="shared" si="155"/>
        <v>0</v>
      </c>
      <c r="K51" s="151">
        <f t="shared" si="155"/>
        <v>0</v>
      </c>
      <c r="L51" s="151">
        <f t="shared" si="155"/>
        <v>0</v>
      </c>
      <c r="M51" s="151">
        <f t="shared" si="155"/>
        <v>0</v>
      </c>
      <c r="N51" s="6"/>
      <c r="O51" s="150" t="s">
        <v>128</v>
      </c>
      <c r="P51" s="151">
        <f t="shared" ref="P51:T51" si="156">P41+P44+P47+P50</f>
        <v>0</v>
      </c>
      <c r="Q51" s="151">
        <f t="shared" si="156"/>
        <v>0</v>
      </c>
      <c r="R51" s="151">
        <f t="shared" si="156"/>
        <v>0</v>
      </c>
      <c r="S51" s="151">
        <f t="shared" si="156"/>
        <v>0</v>
      </c>
      <c r="T51" s="151">
        <f t="shared" si="156"/>
        <v>0</v>
      </c>
      <c r="U51" s="6"/>
      <c r="V51" s="150" t="s">
        <v>128</v>
      </c>
      <c r="W51" s="151">
        <f t="shared" ref="W51:AA51" si="157">W41+W44+W47+W50</f>
        <v>0</v>
      </c>
      <c r="X51" s="151">
        <f t="shared" si="157"/>
        <v>0</v>
      </c>
      <c r="Y51" s="151">
        <f t="shared" si="157"/>
        <v>0</v>
      </c>
      <c r="Z51" s="151">
        <f t="shared" si="157"/>
        <v>0</v>
      </c>
      <c r="AA51" s="151">
        <f t="shared" si="157"/>
        <v>0</v>
      </c>
      <c r="AB51" s="6"/>
      <c r="AC51" s="150" t="s">
        <v>128</v>
      </c>
      <c r="AD51" s="151">
        <f t="shared" ref="AD51:AH51" si="158">AD41+AD44+AD47+AD50</f>
        <v>0</v>
      </c>
      <c r="AE51" s="151">
        <f t="shared" si="158"/>
        <v>0</v>
      </c>
      <c r="AF51" s="151">
        <f t="shared" si="158"/>
        <v>0</v>
      </c>
      <c r="AG51" s="151">
        <f t="shared" si="158"/>
        <v>0</v>
      </c>
      <c r="AH51" s="151">
        <f t="shared" si="158"/>
        <v>0</v>
      </c>
      <c r="AI51" s="6"/>
      <c r="AJ51" s="150" t="s">
        <v>128</v>
      </c>
      <c r="AK51" s="151">
        <f t="shared" ref="AK51:AO51" si="159">AK41+AK44+AK47+AK50</f>
        <v>0</v>
      </c>
      <c r="AL51" s="151">
        <f t="shared" si="159"/>
        <v>0</v>
      </c>
      <c r="AM51" s="151">
        <f t="shared" si="159"/>
        <v>0</v>
      </c>
      <c r="AN51" s="151">
        <f t="shared" si="159"/>
        <v>0</v>
      </c>
      <c r="AO51" s="151">
        <f t="shared" si="159"/>
        <v>0</v>
      </c>
      <c r="AP51" s="6"/>
      <c r="AQ51" s="150" t="s">
        <v>128</v>
      </c>
      <c r="AR51" s="151">
        <f t="shared" ref="AR51:AV51" si="160">AR41+AR44+AR47+AR50</f>
        <v>0</v>
      </c>
      <c r="AS51" s="151">
        <f t="shared" si="160"/>
        <v>0</v>
      </c>
      <c r="AT51" s="151">
        <f t="shared" si="160"/>
        <v>0</v>
      </c>
      <c r="AU51" s="151">
        <f t="shared" si="160"/>
        <v>0</v>
      </c>
      <c r="AV51" s="151">
        <f t="shared" si="160"/>
        <v>0</v>
      </c>
      <c r="AX51" s="150" t="s">
        <v>128</v>
      </c>
      <c r="AY51" s="151">
        <f t="shared" ref="AY51:BC51" si="161">AY41+AY44+AY47+AY50</f>
        <v>0</v>
      </c>
      <c r="AZ51" s="151">
        <f t="shared" si="161"/>
        <v>0</v>
      </c>
      <c r="BA51" s="151">
        <f t="shared" si="161"/>
        <v>0</v>
      </c>
      <c r="BB51" s="151">
        <f t="shared" si="161"/>
        <v>0</v>
      </c>
      <c r="BC51" s="151">
        <f t="shared" si="161"/>
        <v>0</v>
      </c>
      <c r="BE51" s="150" t="s">
        <v>128</v>
      </c>
      <c r="BF51" s="151">
        <f t="shared" ref="BF51:BJ51" si="162">BF41+BF44+BF47+BF50</f>
        <v>0</v>
      </c>
      <c r="BG51" s="151">
        <f t="shared" si="162"/>
        <v>0</v>
      </c>
      <c r="BH51" s="151">
        <f t="shared" si="162"/>
        <v>0</v>
      </c>
      <c r="BI51" s="151">
        <f t="shared" si="162"/>
        <v>0</v>
      </c>
      <c r="BJ51" s="151">
        <f t="shared" si="162"/>
        <v>0</v>
      </c>
      <c r="BL51" s="150" t="s">
        <v>128</v>
      </c>
      <c r="BM51" s="151">
        <f t="shared" ref="BM51:BQ51" si="163">BM41+BM44+BM47+BM50</f>
        <v>0</v>
      </c>
      <c r="BN51" s="151">
        <f t="shared" si="163"/>
        <v>0</v>
      </c>
      <c r="BO51" s="151">
        <f t="shared" si="163"/>
        <v>0</v>
      </c>
      <c r="BP51" s="151">
        <f t="shared" si="163"/>
        <v>0</v>
      </c>
      <c r="BQ51" s="151">
        <f t="shared" si="163"/>
        <v>0</v>
      </c>
      <c r="BR51" s="6"/>
      <c r="BS51" s="150" t="s">
        <v>128</v>
      </c>
      <c r="BT51" s="151">
        <f t="shared" ref="BT51:BX51" si="164">BT41+BT44+BT47+BT50</f>
        <v>0</v>
      </c>
      <c r="BU51" s="151">
        <f t="shared" si="164"/>
        <v>0</v>
      </c>
      <c r="BV51" s="151">
        <f t="shared" si="164"/>
        <v>0</v>
      </c>
      <c r="BW51" s="151">
        <f t="shared" si="164"/>
        <v>0</v>
      </c>
      <c r="BX51" s="151">
        <f t="shared" si="164"/>
        <v>0</v>
      </c>
      <c r="BY51" s="6"/>
      <c r="BZ51" s="6"/>
      <c r="CD51" s="6"/>
      <c r="CE51" s="6"/>
      <c r="CF51" s="6"/>
      <c r="CG51" s="6"/>
      <c r="CH51" s="6"/>
      <c r="CI51" s="6"/>
    </row>
    <row r="52" spans="1:87" ht="26.25" customHeight="1" x14ac:dyDescent="0.25">
      <c r="A52" s="129" t="s">
        <v>131</v>
      </c>
      <c r="B52" s="130"/>
      <c r="C52" s="130"/>
      <c r="D52" s="130"/>
      <c r="E52" s="130"/>
      <c r="F52" s="131"/>
      <c r="G52" s="6"/>
      <c r="H52" s="129" t="s">
        <v>131</v>
      </c>
      <c r="I52" s="130"/>
      <c r="J52" s="130"/>
      <c r="K52" s="130"/>
      <c r="L52" s="130"/>
      <c r="M52" s="131"/>
      <c r="N52" s="6"/>
      <c r="O52" s="129" t="s">
        <v>131</v>
      </c>
      <c r="P52" s="130"/>
      <c r="Q52" s="130"/>
      <c r="R52" s="130"/>
      <c r="S52" s="130"/>
      <c r="T52" s="131"/>
      <c r="U52" s="6"/>
      <c r="V52" s="129" t="s">
        <v>131</v>
      </c>
      <c r="W52" s="130"/>
      <c r="X52" s="130"/>
      <c r="Y52" s="130"/>
      <c r="Z52" s="130"/>
      <c r="AA52" s="131"/>
      <c r="AB52" s="6"/>
      <c r="AC52" s="129" t="s">
        <v>131</v>
      </c>
      <c r="AD52" s="130"/>
      <c r="AE52" s="130"/>
      <c r="AF52" s="130"/>
      <c r="AG52" s="130"/>
      <c r="AH52" s="131"/>
      <c r="AI52" s="6"/>
      <c r="AJ52" s="129" t="s">
        <v>131</v>
      </c>
      <c r="AK52" s="130"/>
      <c r="AL52" s="130"/>
      <c r="AM52" s="130"/>
      <c r="AN52" s="130"/>
      <c r="AO52" s="131"/>
      <c r="AP52" s="6"/>
      <c r="AQ52" s="129" t="s">
        <v>131</v>
      </c>
      <c r="AR52" s="130"/>
      <c r="AS52" s="130"/>
      <c r="AT52" s="130"/>
      <c r="AU52" s="130"/>
      <c r="AV52" s="131"/>
      <c r="AX52" s="129" t="s">
        <v>131</v>
      </c>
      <c r="AY52" s="130"/>
      <c r="AZ52" s="130"/>
      <c r="BA52" s="130"/>
      <c r="BB52" s="130"/>
      <c r="BC52" s="131"/>
      <c r="BE52" s="129" t="s">
        <v>131</v>
      </c>
      <c r="BF52" s="130"/>
      <c r="BG52" s="130"/>
      <c r="BH52" s="130"/>
      <c r="BI52" s="130"/>
      <c r="BJ52" s="131"/>
      <c r="BL52" s="129" t="s">
        <v>131</v>
      </c>
      <c r="BM52" s="130"/>
      <c r="BN52" s="130"/>
      <c r="BO52" s="130"/>
      <c r="BP52" s="130"/>
      <c r="BQ52" s="131"/>
      <c r="BR52" s="6"/>
      <c r="BS52" s="129" t="s">
        <v>131</v>
      </c>
      <c r="BT52" s="130"/>
      <c r="BU52" s="130"/>
      <c r="BV52" s="130"/>
      <c r="BW52" s="130"/>
      <c r="BX52" s="131"/>
      <c r="BY52" s="6"/>
      <c r="BZ52" s="6"/>
      <c r="CD52" s="6"/>
      <c r="CE52" s="6"/>
      <c r="CF52" s="6"/>
      <c r="CG52" s="6"/>
      <c r="CH52" s="6"/>
      <c r="CI52" s="6"/>
    </row>
    <row r="53" spans="1:87" s="5" customFormat="1" x14ac:dyDescent="0.25">
      <c r="A53" s="141" t="s">
        <v>132</v>
      </c>
      <c r="B53" s="142">
        <v>215</v>
      </c>
      <c r="C53" s="142">
        <v>215</v>
      </c>
      <c r="D53" s="142">
        <v>215</v>
      </c>
      <c r="E53" s="142">
        <v>215</v>
      </c>
      <c r="F53" s="142">
        <v>215</v>
      </c>
      <c r="G53" s="143"/>
      <c r="H53" s="141" t="s">
        <v>132</v>
      </c>
      <c r="I53" s="142">
        <v>0</v>
      </c>
      <c r="J53" s="142">
        <v>0</v>
      </c>
      <c r="K53" s="142">
        <v>0</v>
      </c>
      <c r="L53" s="142">
        <v>0</v>
      </c>
      <c r="M53" s="142">
        <v>0</v>
      </c>
      <c r="N53" s="143"/>
      <c r="O53" s="141" t="s">
        <v>132</v>
      </c>
      <c r="P53" s="142">
        <v>0</v>
      </c>
      <c r="Q53" s="142">
        <v>0</v>
      </c>
      <c r="R53" s="142">
        <v>0</v>
      </c>
      <c r="S53" s="142">
        <v>0</v>
      </c>
      <c r="T53" s="142">
        <v>0</v>
      </c>
      <c r="U53" s="143"/>
      <c r="V53" s="141" t="s">
        <v>132</v>
      </c>
      <c r="W53" s="142">
        <v>0</v>
      </c>
      <c r="X53" s="142">
        <v>0</v>
      </c>
      <c r="Y53" s="142">
        <v>0</v>
      </c>
      <c r="Z53" s="142">
        <v>0</v>
      </c>
      <c r="AA53" s="142">
        <v>0</v>
      </c>
      <c r="AB53" s="143"/>
      <c r="AC53" s="141" t="s">
        <v>132</v>
      </c>
      <c r="AD53" s="142">
        <v>0</v>
      </c>
      <c r="AE53" s="142">
        <v>0</v>
      </c>
      <c r="AF53" s="142">
        <v>0</v>
      </c>
      <c r="AG53" s="142">
        <v>0</v>
      </c>
      <c r="AH53" s="142">
        <v>0</v>
      </c>
      <c r="AI53" s="143"/>
      <c r="AJ53" s="141" t="s">
        <v>132</v>
      </c>
      <c r="AK53" s="142">
        <v>0</v>
      </c>
      <c r="AL53" s="142">
        <v>0</v>
      </c>
      <c r="AM53" s="142">
        <v>0</v>
      </c>
      <c r="AN53" s="142">
        <v>0</v>
      </c>
      <c r="AO53" s="142">
        <v>0</v>
      </c>
      <c r="AP53" s="143"/>
      <c r="AQ53" s="141" t="s">
        <v>132</v>
      </c>
      <c r="AR53" s="142">
        <v>0</v>
      </c>
      <c r="AS53" s="142">
        <v>0</v>
      </c>
      <c r="AT53" s="142">
        <v>0</v>
      </c>
      <c r="AU53" s="142">
        <v>0</v>
      </c>
      <c r="AV53" s="142">
        <v>0</v>
      </c>
      <c r="AW53" s="143"/>
      <c r="AX53" s="141" t="s">
        <v>132</v>
      </c>
      <c r="AY53" s="142">
        <v>0</v>
      </c>
      <c r="AZ53" s="142">
        <v>0</v>
      </c>
      <c r="BA53" s="142">
        <v>0</v>
      </c>
      <c r="BB53" s="142">
        <v>0</v>
      </c>
      <c r="BC53" s="142">
        <v>0</v>
      </c>
      <c r="BD53" s="143"/>
      <c r="BE53" s="141" t="s">
        <v>132</v>
      </c>
      <c r="BF53" s="142">
        <v>0</v>
      </c>
      <c r="BG53" s="142">
        <v>0</v>
      </c>
      <c r="BH53" s="142">
        <v>0</v>
      </c>
      <c r="BI53" s="142">
        <v>0</v>
      </c>
      <c r="BJ53" s="142">
        <v>0</v>
      </c>
      <c r="BK53" s="143"/>
      <c r="BL53" s="141" t="s">
        <v>132</v>
      </c>
      <c r="BM53" s="142">
        <v>0</v>
      </c>
      <c r="BN53" s="142">
        <v>0</v>
      </c>
      <c r="BO53" s="142">
        <v>0</v>
      </c>
      <c r="BP53" s="142">
        <v>0</v>
      </c>
      <c r="BQ53" s="142">
        <v>0</v>
      </c>
      <c r="BR53" s="143"/>
      <c r="BS53" s="141" t="s">
        <v>132</v>
      </c>
      <c r="BT53" s="142">
        <v>0</v>
      </c>
      <c r="BU53" s="142">
        <v>0</v>
      </c>
      <c r="BV53" s="142">
        <v>0</v>
      </c>
      <c r="BW53" s="142">
        <v>0</v>
      </c>
      <c r="BX53" s="142">
        <v>0</v>
      </c>
    </row>
    <row r="54" spans="1:87" s="9" customFormat="1" x14ac:dyDescent="0.25">
      <c r="A54" s="141" t="s">
        <v>133</v>
      </c>
      <c r="B54" s="142">
        <v>215</v>
      </c>
      <c r="C54" s="142">
        <v>215</v>
      </c>
      <c r="D54" s="142">
        <v>215</v>
      </c>
      <c r="E54" s="142">
        <v>215</v>
      </c>
      <c r="F54" s="142">
        <v>215</v>
      </c>
      <c r="G54" s="144"/>
      <c r="H54" s="141" t="s">
        <v>133</v>
      </c>
      <c r="I54" s="142">
        <v>0</v>
      </c>
      <c r="J54" s="142">
        <v>0</v>
      </c>
      <c r="K54" s="142">
        <v>0</v>
      </c>
      <c r="L54" s="142">
        <v>0</v>
      </c>
      <c r="M54" s="142">
        <v>0</v>
      </c>
      <c r="N54" s="144"/>
      <c r="O54" s="141" t="s">
        <v>133</v>
      </c>
      <c r="P54" s="142">
        <v>0</v>
      </c>
      <c r="Q54" s="142">
        <v>0</v>
      </c>
      <c r="R54" s="142">
        <v>0</v>
      </c>
      <c r="S54" s="142">
        <v>0</v>
      </c>
      <c r="T54" s="142">
        <v>0</v>
      </c>
      <c r="U54" s="144"/>
      <c r="V54" s="141" t="s">
        <v>133</v>
      </c>
      <c r="W54" s="142">
        <v>0</v>
      </c>
      <c r="X54" s="142">
        <v>0</v>
      </c>
      <c r="Y54" s="142">
        <v>0</v>
      </c>
      <c r="Z54" s="142">
        <v>0</v>
      </c>
      <c r="AA54" s="142">
        <v>0</v>
      </c>
      <c r="AB54" s="144"/>
      <c r="AC54" s="141" t="s">
        <v>133</v>
      </c>
      <c r="AD54" s="142">
        <v>0</v>
      </c>
      <c r="AE54" s="142">
        <v>0</v>
      </c>
      <c r="AF54" s="142">
        <v>0</v>
      </c>
      <c r="AG54" s="142">
        <v>0</v>
      </c>
      <c r="AH54" s="142">
        <v>0</v>
      </c>
      <c r="AI54" s="144"/>
      <c r="AJ54" s="141" t="s">
        <v>133</v>
      </c>
      <c r="AK54" s="142">
        <v>0</v>
      </c>
      <c r="AL54" s="142">
        <v>0</v>
      </c>
      <c r="AM54" s="142">
        <v>0</v>
      </c>
      <c r="AN54" s="142">
        <v>0</v>
      </c>
      <c r="AO54" s="142">
        <v>0</v>
      </c>
      <c r="AP54" s="144"/>
      <c r="AQ54" s="141" t="s">
        <v>133</v>
      </c>
      <c r="AR54" s="142">
        <v>0</v>
      </c>
      <c r="AS54" s="142">
        <v>0</v>
      </c>
      <c r="AT54" s="142">
        <v>0</v>
      </c>
      <c r="AU54" s="142">
        <v>0</v>
      </c>
      <c r="AV54" s="142">
        <v>0</v>
      </c>
      <c r="AW54" s="144"/>
      <c r="AX54" s="141" t="s">
        <v>133</v>
      </c>
      <c r="AY54" s="142">
        <v>0</v>
      </c>
      <c r="AZ54" s="142">
        <v>0</v>
      </c>
      <c r="BA54" s="142">
        <v>0</v>
      </c>
      <c r="BB54" s="142">
        <v>0</v>
      </c>
      <c r="BC54" s="142">
        <v>0</v>
      </c>
      <c r="BD54" s="144"/>
      <c r="BE54" s="141" t="s">
        <v>133</v>
      </c>
      <c r="BF54" s="142">
        <v>0</v>
      </c>
      <c r="BG54" s="142">
        <v>0</v>
      </c>
      <c r="BH54" s="142">
        <v>0</v>
      </c>
      <c r="BI54" s="142">
        <v>0</v>
      </c>
      <c r="BJ54" s="142">
        <v>0</v>
      </c>
      <c r="BK54" s="144"/>
      <c r="BL54" s="141" t="s">
        <v>133</v>
      </c>
      <c r="BM54" s="142">
        <v>0</v>
      </c>
      <c r="BN54" s="142">
        <v>0</v>
      </c>
      <c r="BO54" s="142">
        <v>0</v>
      </c>
      <c r="BP54" s="142">
        <v>0</v>
      </c>
      <c r="BQ54" s="142">
        <v>0</v>
      </c>
      <c r="BR54" s="144"/>
      <c r="BS54" s="141" t="s">
        <v>133</v>
      </c>
      <c r="BT54" s="142">
        <v>0</v>
      </c>
      <c r="BU54" s="142">
        <v>0</v>
      </c>
      <c r="BV54" s="142">
        <v>0</v>
      </c>
      <c r="BW54" s="142">
        <v>0</v>
      </c>
      <c r="BX54" s="142">
        <v>0</v>
      </c>
    </row>
    <row r="55" spans="1:87" s="5" customFormat="1" x14ac:dyDescent="0.25">
      <c r="A55" s="141" t="s">
        <v>134</v>
      </c>
      <c r="B55" s="142">
        <v>50</v>
      </c>
      <c r="C55" s="142">
        <v>50</v>
      </c>
      <c r="D55" s="142">
        <v>50</v>
      </c>
      <c r="E55" s="142">
        <v>50</v>
      </c>
      <c r="F55" s="142">
        <v>50</v>
      </c>
      <c r="G55" s="143"/>
      <c r="H55" s="141" t="s">
        <v>134</v>
      </c>
      <c r="I55" s="142">
        <v>0</v>
      </c>
      <c r="J55" s="142">
        <v>0</v>
      </c>
      <c r="K55" s="142">
        <v>0</v>
      </c>
      <c r="L55" s="142">
        <v>0</v>
      </c>
      <c r="M55" s="142">
        <v>0</v>
      </c>
      <c r="N55" s="143"/>
      <c r="O55" s="141" t="s">
        <v>134</v>
      </c>
      <c r="P55" s="142">
        <v>0</v>
      </c>
      <c r="Q55" s="142">
        <v>0</v>
      </c>
      <c r="R55" s="142">
        <v>0</v>
      </c>
      <c r="S55" s="142">
        <v>0</v>
      </c>
      <c r="T55" s="142">
        <v>0</v>
      </c>
      <c r="U55" s="143"/>
      <c r="V55" s="141" t="s">
        <v>134</v>
      </c>
      <c r="W55" s="142">
        <v>0</v>
      </c>
      <c r="X55" s="142">
        <v>0</v>
      </c>
      <c r="Y55" s="142">
        <v>0</v>
      </c>
      <c r="Z55" s="142">
        <v>0</v>
      </c>
      <c r="AA55" s="142">
        <v>0</v>
      </c>
      <c r="AB55" s="143"/>
      <c r="AC55" s="141" t="s">
        <v>134</v>
      </c>
      <c r="AD55" s="142">
        <v>0</v>
      </c>
      <c r="AE55" s="142">
        <v>0</v>
      </c>
      <c r="AF55" s="142">
        <v>0</v>
      </c>
      <c r="AG55" s="142">
        <v>0</v>
      </c>
      <c r="AH55" s="142">
        <v>0</v>
      </c>
      <c r="AI55" s="143"/>
      <c r="AJ55" s="141" t="s">
        <v>134</v>
      </c>
      <c r="AK55" s="142">
        <v>0</v>
      </c>
      <c r="AL55" s="142">
        <v>0</v>
      </c>
      <c r="AM55" s="142">
        <v>0</v>
      </c>
      <c r="AN55" s="142">
        <v>0</v>
      </c>
      <c r="AO55" s="142">
        <v>0</v>
      </c>
      <c r="AP55" s="143"/>
      <c r="AQ55" s="141" t="s">
        <v>134</v>
      </c>
      <c r="AR55" s="142">
        <v>0</v>
      </c>
      <c r="AS55" s="142">
        <v>0</v>
      </c>
      <c r="AT55" s="142">
        <v>0</v>
      </c>
      <c r="AU55" s="142">
        <v>0</v>
      </c>
      <c r="AV55" s="142">
        <v>0</v>
      </c>
      <c r="AW55" s="143"/>
      <c r="AX55" s="141" t="s">
        <v>134</v>
      </c>
      <c r="AY55" s="142">
        <v>0</v>
      </c>
      <c r="AZ55" s="142">
        <v>0</v>
      </c>
      <c r="BA55" s="142">
        <v>0</v>
      </c>
      <c r="BB55" s="142">
        <v>0</v>
      </c>
      <c r="BC55" s="142">
        <v>0</v>
      </c>
      <c r="BD55" s="143"/>
      <c r="BE55" s="141" t="s">
        <v>134</v>
      </c>
      <c r="BF55" s="142">
        <v>0</v>
      </c>
      <c r="BG55" s="142">
        <v>0</v>
      </c>
      <c r="BH55" s="142">
        <v>0</v>
      </c>
      <c r="BI55" s="142">
        <v>0</v>
      </c>
      <c r="BJ55" s="142">
        <v>0</v>
      </c>
      <c r="BK55" s="143"/>
      <c r="BL55" s="141" t="s">
        <v>134</v>
      </c>
      <c r="BM55" s="142">
        <v>0</v>
      </c>
      <c r="BN55" s="142">
        <v>0</v>
      </c>
      <c r="BO55" s="142">
        <v>0</v>
      </c>
      <c r="BP55" s="142">
        <v>0</v>
      </c>
      <c r="BQ55" s="142">
        <v>0</v>
      </c>
      <c r="BR55" s="143"/>
      <c r="BS55" s="141" t="s">
        <v>134</v>
      </c>
      <c r="BT55" s="142">
        <v>0</v>
      </c>
      <c r="BU55" s="142">
        <v>0</v>
      </c>
      <c r="BV55" s="142">
        <v>0</v>
      </c>
      <c r="BW55" s="142">
        <v>0</v>
      </c>
      <c r="BX55" s="142">
        <v>0</v>
      </c>
    </row>
    <row r="56" spans="1:87" s="5" customFormat="1" ht="13.5" customHeight="1" x14ac:dyDescent="0.25">
      <c r="A56" s="141" t="s">
        <v>135</v>
      </c>
      <c r="B56" s="142">
        <v>350</v>
      </c>
      <c r="C56" s="142">
        <v>350</v>
      </c>
      <c r="D56" s="142">
        <v>350</v>
      </c>
      <c r="E56" s="142">
        <v>350</v>
      </c>
      <c r="F56" s="142">
        <v>350</v>
      </c>
      <c r="G56" s="143"/>
      <c r="H56" s="141" t="s">
        <v>135</v>
      </c>
      <c r="I56" s="142">
        <v>0</v>
      </c>
      <c r="J56" s="142">
        <v>0</v>
      </c>
      <c r="K56" s="142">
        <v>0</v>
      </c>
      <c r="L56" s="142">
        <v>0</v>
      </c>
      <c r="M56" s="142">
        <v>0</v>
      </c>
      <c r="N56" s="143"/>
      <c r="O56" s="141" t="s">
        <v>135</v>
      </c>
      <c r="P56" s="142">
        <v>0</v>
      </c>
      <c r="Q56" s="142">
        <v>0</v>
      </c>
      <c r="R56" s="142">
        <v>0</v>
      </c>
      <c r="S56" s="142">
        <v>0</v>
      </c>
      <c r="T56" s="142">
        <v>0</v>
      </c>
      <c r="U56" s="143"/>
      <c r="V56" s="141" t="s">
        <v>135</v>
      </c>
      <c r="W56" s="142">
        <v>0</v>
      </c>
      <c r="X56" s="142">
        <v>0</v>
      </c>
      <c r="Y56" s="142">
        <v>0</v>
      </c>
      <c r="Z56" s="142">
        <v>0</v>
      </c>
      <c r="AA56" s="142">
        <v>0</v>
      </c>
      <c r="AB56" s="143"/>
      <c r="AC56" s="141" t="s">
        <v>135</v>
      </c>
      <c r="AD56" s="142">
        <v>0</v>
      </c>
      <c r="AE56" s="142">
        <v>0</v>
      </c>
      <c r="AF56" s="142">
        <v>0</v>
      </c>
      <c r="AG56" s="142">
        <v>0</v>
      </c>
      <c r="AH56" s="142">
        <v>0</v>
      </c>
      <c r="AI56" s="143"/>
      <c r="AJ56" s="141" t="s">
        <v>135</v>
      </c>
      <c r="AK56" s="142">
        <v>0</v>
      </c>
      <c r="AL56" s="142">
        <v>0</v>
      </c>
      <c r="AM56" s="142">
        <v>0</v>
      </c>
      <c r="AN56" s="142">
        <v>0</v>
      </c>
      <c r="AO56" s="142">
        <v>0</v>
      </c>
      <c r="AP56" s="143"/>
      <c r="AQ56" s="141" t="s">
        <v>135</v>
      </c>
      <c r="AR56" s="142">
        <v>0</v>
      </c>
      <c r="AS56" s="142">
        <v>0</v>
      </c>
      <c r="AT56" s="142">
        <v>0</v>
      </c>
      <c r="AU56" s="142">
        <v>0</v>
      </c>
      <c r="AV56" s="142">
        <v>0</v>
      </c>
      <c r="AW56" s="143"/>
      <c r="AX56" s="141" t="s">
        <v>135</v>
      </c>
      <c r="AY56" s="142">
        <v>0</v>
      </c>
      <c r="AZ56" s="142">
        <v>0</v>
      </c>
      <c r="BA56" s="142">
        <v>0</v>
      </c>
      <c r="BB56" s="142">
        <v>0</v>
      </c>
      <c r="BC56" s="142">
        <v>0</v>
      </c>
      <c r="BD56" s="143"/>
      <c r="BE56" s="141" t="s">
        <v>135</v>
      </c>
      <c r="BF56" s="142">
        <v>0</v>
      </c>
      <c r="BG56" s="142">
        <v>0</v>
      </c>
      <c r="BH56" s="142">
        <v>0</v>
      </c>
      <c r="BI56" s="142">
        <v>0</v>
      </c>
      <c r="BJ56" s="142">
        <v>0</v>
      </c>
      <c r="BK56" s="143"/>
      <c r="BL56" s="141" t="s">
        <v>135</v>
      </c>
      <c r="BM56" s="142">
        <v>0</v>
      </c>
      <c r="BN56" s="142">
        <v>0</v>
      </c>
      <c r="BO56" s="142">
        <v>0</v>
      </c>
      <c r="BP56" s="142">
        <v>0</v>
      </c>
      <c r="BQ56" s="142">
        <v>0</v>
      </c>
      <c r="BR56" s="143"/>
      <c r="BS56" s="141" t="s">
        <v>135</v>
      </c>
      <c r="BT56" s="142">
        <v>0</v>
      </c>
      <c r="BU56" s="142">
        <v>0</v>
      </c>
      <c r="BV56" s="142">
        <v>0</v>
      </c>
      <c r="BW56" s="142">
        <v>0</v>
      </c>
      <c r="BX56" s="142">
        <v>0</v>
      </c>
    </row>
    <row r="57" spans="1:87" ht="13.8" x14ac:dyDescent="0.25">
      <c r="E57" s="95"/>
    </row>
    <row r="58" spans="1:87" s="5" customFormat="1" ht="13.8" x14ac:dyDescent="0.25">
      <c r="A58" s="29" t="s">
        <v>61</v>
      </c>
      <c r="B58" s="30"/>
      <c r="C58" s="30"/>
      <c r="D58" s="30"/>
      <c r="E58" s="30"/>
      <c r="F58" s="30"/>
      <c r="G58" s="30"/>
      <c r="H58" s="30"/>
      <c r="I58" s="30"/>
      <c r="J58" s="30"/>
      <c r="K58" s="31"/>
      <c r="L58" s="31"/>
      <c r="M58" s="145"/>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8" x14ac:dyDescent="0.25">
      <c r="A59" s="35"/>
      <c r="B59" s="36"/>
      <c r="C59" s="36"/>
      <c r="D59" s="36"/>
      <c r="E59" s="36"/>
      <c r="F59" s="36"/>
      <c r="G59" s="36"/>
      <c r="H59" s="36"/>
      <c r="I59" s="36"/>
      <c r="J59" s="36"/>
      <c r="K59" s="37"/>
      <c r="L59" s="37"/>
      <c r="M59" s="146"/>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8" x14ac:dyDescent="0.25">
      <c r="A60" s="35"/>
      <c r="B60" s="36"/>
      <c r="C60" s="36"/>
      <c r="D60" s="36"/>
      <c r="E60" s="36"/>
      <c r="F60" s="36"/>
      <c r="G60" s="36"/>
      <c r="H60" s="36"/>
      <c r="I60" s="36"/>
      <c r="J60" s="36"/>
      <c r="K60" s="37"/>
      <c r="L60" s="37"/>
      <c r="M60" s="146"/>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8" x14ac:dyDescent="0.25">
      <c r="A61" s="35"/>
      <c r="B61" s="36"/>
      <c r="C61" s="36"/>
      <c r="D61" s="36"/>
      <c r="E61" s="36"/>
      <c r="F61" s="36"/>
      <c r="G61" s="36"/>
      <c r="H61" s="36"/>
      <c r="I61" s="36"/>
      <c r="J61" s="36"/>
      <c r="K61" s="37"/>
      <c r="L61" s="37"/>
      <c r="M61" s="146"/>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8" x14ac:dyDescent="0.25">
      <c r="A62" s="35"/>
      <c r="B62" s="36"/>
      <c r="C62" s="36"/>
      <c r="D62" s="36"/>
      <c r="E62" s="36"/>
      <c r="F62" s="36"/>
      <c r="G62" s="36"/>
      <c r="H62" s="36"/>
      <c r="I62" s="36"/>
      <c r="J62" s="36"/>
      <c r="K62" s="37"/>
      <c r="L62" s="37"/>
      <c r="M62" s="146"/>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8" x14ac:dyDescent="0.25">
      <c r="A63" s="35"/>
      <c r="B63" s="36"/>
      <c r="C63" s="36"/>
      <c r="D63" s="36"/>
      <c r="E63" s="36"/>
      <c r="F63" s="36"/>
      <c r="G63" s="36"/>
      <c r="H63" s="36"/>
      <c r="I63" s="36"/>
      <c r="J63" s="36"/>
      <c r="K63" s="37"/>
      <c r="L63" s="37"/>
      <c r="M63" s="146"/>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8" x14ac:dyDescent="0.25">
      <c r="A64" s="35"/>
      <c r="B64" s="36"/>
      <c r="C64" s="36"/>
      <c r="D64" s="36"/>
      <c r="E64" s="36"/>
      <c r="F64" s="36"/>
      <c r="G64" s="36"/>
      <c r="H64" s="36"/>
      <c r="I64" s="36"/>
      <c r="J64" s="36"/>
      <c r="K64" s="37"/>
      <c r="L64" s="37"/>
      <c r="M64" s="146"/>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8" x14ac:dyDescent="0.25">
      <c r="A65" s="35"/>
      <c r="B65" s="36"/>
      <c r="C65" s="36"/>
      <c r="D65" s="36"/>
      <c r="E65" s="36"/>
      <c r="F65" s="36"/>
      <c r="G65" s="36"/>
      <c r="H65" s="36"/>
      <c r="I65" s="36"/>
      <c r="J65" s="36"/>
      <c r="K65" s="37"/>
      <c r="L65" s="37"/>
      <c r="M65" s="146"/>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8" x14ac:dyDescent="0.25">
      <c r="A66" s="35"/>
      <c r="B66" s="36"/>
      <c r="C66" s="36"/>
      <c r="D66" s="36"/>
      <c r="E66" s="36"/>
      <c r="F66" s="36"/>
      <c r="G66" s="36"/>
      <c r="H66" s="36"/>
      <c r="I66" s="36"/>
      <c r="J66" s="36"/>
      <c r="K66" s="37"/>
      <c r="L66" s="37"/>
      <c r="M66" s="146"/>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8" x14ac:dyDescent="0.25">
      <c r="A67" s="35"/>
      <c r="B67" s="36"/>
      <c r="C67" s="36"/>
      <c r="D67" s="36"/>
      <c r="E67" s="36"/>
      <c r="F67" s="36"/>
      <c r="G67" s="36"/>
      <c r="H67" s="36"/>
      <c r="I67" s="36"/>
      <c r="J67" s="36"/>
      <c r="K67" s="37"/>
      <c r="L67" s="37"/>
      <c r="M67" s="146"/>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8" x14ac:dyDescent="0.25">
      <c r="A68" s="35"/>
      <c r="B68" s="36"/>
      <c r="C68" s="36"/>
      <c r="D68" s="36"/>
      <c r="E68" s="36"/>
      <c r="F68" s="36"/>
      <c r="G68" s="36"/>
      <c r="H68" s="36"/>
      <c r="I68" s="36"/>
      <c r="J68" s="36"/>
      <c r="K68" s="37"/>
      <c r="L68" s="37"/>
      <c r="M68" s="146"/>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8" x14ac:dyDescent="0.25">
      <c r="A69" s="35"/>
      <c r="B69" s="36"/>
      <c r="C69" s="36"/>
      <c r="D69" s="36"/>
      <c r="E69" s="36"/>
      <c r="F69" s="36"/>
      <c r="G69" s="36"/>
      <c r="H69" s="36"/>
      <c r="I69" s="36"/>
      <c r="J69" s="36"/>
      <c r="K69" s="37"/>
      <c r="L69" s="37"/>
      <c r="M69" s="146"/>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8" x14ac:dyDescent="0.25">
      <c r="A70" s="39"/>
      <c r="B70" s="40"/>
      <c r="C70" s="40"/>
      <c r="D70" s="40"/>
      <c r="E70" s="40"/>
      <c r="F70" s="40"/>
      <c r="G70" s="40"/>
      <c r="H70" s="40"/>
      <c r="I70" s="40"/>
      <c r="J70" s="40"/>
      <c r="K70" s="41"/>
      <c r="L70" s="41"/>
      <c r="M70" s="147"/>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IK50 A47:IK47 A44:IK44 A41:IK41 A36:IK36 A33:IK33 A30:IK30 BT51:IK51 BT37:IK37" name="Range1"/>
  </protectedRanges>
  <mergeCells count="16">
    <mergeCell ref="AJ8:AO8"/>
    <mergeCell ref="B7:G7"/>
    <mergeCell ref="J7:O7"/>
    <mergeCell ref="R7:W7"/>
    <mergeCell ref="Z7:AE7"/>
    <mergeCell ref="AH7:AM7"/>
    <mergeCell ref="A8:F8"/>
    <mergeCell ref="H8:M8"/>
    <mergeCell ref="O8:T8"/>
    <mergeCell ref="V8:AA8"/>
    <mergeCell ref="AC8:AH8"/>
    <mergeCell ref="AQ8:AV8"/>
    <mergeCell ref="AX8:BC8"/>
    <mergeCell ref="BE8:BJ8"/>
    <mergeCell ref="BL8:BQ8"/>
    <mergeCell ref="BS8:BX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dimension ref="A1:AJ28"/>
  <sheetViews>
    <sheetView workbookViewId="0">
      <selection activeCell="D10" sqref="D10"/>
    </sheetView>
  </sheetViews>
  <sheetFormatPr defaultColWidth="9.109375" defaultRowHeight="13.8" x14ac:dyDescent="0.25"/>
  <cols>
    <col min="1" max="1" width="9.109375" style="99"/>
    <col min="2" max="2" width="29" style="99" customWidth="1"/>
    <col min="3" max="3" width="27.33203125" style="99" bestFit="1" customWidth="1"/>
    <col min="4" max="4" width="23.33203125" style="100" customWidth="1"/>
    <col min="5" max="5" width="14.88671875" style="100" customWidth="1"/>
    <col min="6" max="6" width="2.5546875" style="155" customWidth="1"/>
    <col min="7" max="7" width="2.44140625" style="99" customWidth="1"/>
    <col min="8" max="8" width="23.33203125" style="100" customWidth="1"/>
    <col min="9" max="9" width="14.88671875" style="100" customWidth="1"/>
    <col min="10" max="10" width="2.44140625" style="99" customWidth="1"/>
    <col min="11" max="11" width="23.33203125" style="100" customWidth="1"/>
    <col min="12" max="12" width="14.88671875" style="100" customWidth="1"/>
    <col min="13" max="13" width="1.88671875" style="99" customWidth="1"/>
    <col min="14" max="14" width="23.33203125" style="100" customWidth="1"/>
    <col min="15" max="15" width="14.88671875" style="100" customWidth="1"/>
    <col min="16" max="16" width="2.109375" style="99" customWidth="1"/>
    <col min="17" max="17" width="23.33203125" style="100" customWidth="1"/>
    <col min="18" max="18" width="14.88671875" style="100" customWidth="1"/>
    <col min="19" max="19" width="2.109375" style="99" customWidth="1"/>
    <col min="20" max="20" width="23.33203125" style="100" customWidth="1"/>
    <col min="21" max="21" width="14.88671875" style="100" customWidth="1"/>
    <col min="22" max="22" width="2.5546875" style="99" customWidth="1"/>
    <col min="23" max="23" width="23.33203125" style="100" customWidth="1"/>
    <col min="24" max="24" width="14.88671875" style="100" customWidth="1"/>
    <col min="25" max="25" width="2.33203125" style="99" customWidth="1"/>
    <col min="26" max="26" width="23.33203125" style="100" customWidth="1"/>
    <col min="27" max="27" width="14.88671875" style="100" customWidth="1"/>
    <col min="28" max="28" width="2.6640625" style="99" customWidth="1"/>
    <col min="29" max="29" width="23.33203125" style="100" customWidth="1"/>
    <col min="30" max="30" width="14.88671875" style="100" customWidth="1"/>
    <col min="31" max="31" width="2.6640625" style="99" customWidth="1"/>
    <col min="32" max="32" width="23.33203125" style="100" customWidth="1"/>
    <col min="33" max="33" width="14.88671875" style="100" customWidth="1"/>
    <col min="34" max="34" width="2.88671875" style="99" customWidth="1"/>
    <col min="35" max="35" width="23.33203125" style="100" customWidth="1"/>
    <col min="36" max="36" width="14.88671875" style="100" customWidth="1"/>
    <col min="37" max="16384" width="9.109375" style="99"/>
  </cols>
  <sheetData>
    <row r="1" spans="1:36" s="1" customFormat="1" ht="24" x14ac:dyDescent="0.25">
      <c r="A1" s="73" t="s">
        <v>136</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x14ac:dyDescent="0.25"/>
    <row r="3" spans="1:36" s="1" customFormat="1" ht="21" customHeight="1" x14ac:dyDescent="0.45">
      <c r="A3" s="2" t="s">
        <v>27</v>
      </c>
      <c r="B3" s="156" t="s">
        <v>63</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x14ac:dyDescent="0.45">
      <c r="A4" s="2"/>
      <c r="B4" s="157" t="s">
        <v>137</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x14ac:dyDescent="0.25">
      <c r="B5" s="156" t="s">
        <v>138</v>
      </c>
    </row>
    <row r="6" spans="1:36" ht="19.5" customHeight="1" x14ac:dyDescent="0.25">
      <c r="B6" s="158" t="s">
        <v>139</v>
      </c>
    </row>
    <row r="7" spans="1:36" ht="19.5" customHeight="1" x14ac:dyDescent="0.25"/>
    <row r="8" spans="1:36" ht="27.6" x14ac:dyDescent="0.45">
      <c r="D8" s="232" t="s">
        <v>33</v>
      </c>
      <c r="E8" s="233"/>
      <c r="H8" s="232" t="s">
        <v>34</v>
      </c>
      <c r="I8" s="233"/>
      <c r="K8" s="232" t="s">
        <v>35</v>
      </c>
      <c r="L8" s="233"/>
      <c r="N8" s="232" t="s">
        <v>36</v>
      </c>
      <c r="O8" s="233"/>
      <c r="Q8" s="232" t="s">
        <v>37</v>
      </c>
      <c r="R8" s="233"/>
      <c r="T8" s="232" t="s">
        <v>38</v>
      </c>
      <c r="U8" s="233"/>
      <c r="W8" s="232" t="s">
        <v>39</v>
      </c>
      <c r="X8" s="233"/>
      <c r="Z8" s="232" t="s">
        <v>40</v>
      </c>
      <c r="AA8" s="233"/>
      <c r="AC8" s="232" t="s">
        <v>41</v>
      </c>
      <c r="AD8" s="233"/>
      <c r="AF8" s="232" t="s">
        <v>42</v>
      </c>
      <c r="AG8" s="233"/>
      <c r="AI8" s="232" t="s">
        <v>43</v>
      </c>
      <c r="AJ8" s="233"/>
    </row>
    <row r="9" spans="1:36" s="159" customFormat="1" ht="30" x14ac:dyDescent="0.25">
      <c r="A9" s="163" t="s">
        <v>140</v>
      </c>
      <c r="B9" s="163" t="s">
        <v>141</v>
      </c>
      <c r="C9" s="163" t="s">
        <v>142</v>
      </c>
      <c r="D9" s="163" t="s">
        <v>143</v>
      </c>
      <c r="E9" s="163" t="s">
        <v>144</v>
      </c>
      <c r="H9" s="163" t="s">
        <v>143</v>
      </c>
      <c r="I9" s="163" t="s">
        <v>144</v>
      </c>
      <c r="K9" s="163" t="s">
        <v>143</v>
      </c>
      <c r="L9" s="163" t="s">
        <v>144</v>
      </c>
      <c r="N9" s="163" t="s">
        <v>143</v>
      </c>
      <c r="O9" s="163" t="s">
        <v>144</v>
      </c>
      <c r="Q9" s="163" t="s">
        <v>143</v>
      </c>
      <c r="R9" s="163" t="s">
        <v>144</v>
      </c>
      <c r="T9" s="163" t="s">
        <v>143</v>
      </c>
      <c r="U9" s="163" t="s">
        <v>144</v>
      </c>
      <c r="W9" s="163" t="s">
        <v>143</v>
      </c>
      <c r="X9" s="163" t="s">
        <v>144</v>
      </c>
      <c r="Z9" s="163" t="s">
        <v>143</v>
      </c>
      <c r="AA9" s="163" t="s">
        <v>144</v>
      </c>
      <c r="AC9" s="163" t="s">
        <v>143</v>
      </c>
      <c r="AD9" s="163" t="s">
        <v>144</v>
      </c>
      <c r="AF9" s="163" t="s">
        <v>143</v>
      </c>
      <c r="AG9" s="163" t="s">
        <v>144</v>
      </c>
      <c r="AI9" s="163" t="s">
        <v>143</v>
      </c>
      <c r="AJ9" s="163" t="s">
        <v>144</v>
      </c>
    </row>
    <row r="10" spans="1:36" s="112" customFormat="1" ht="13.2" x14ac:dyDescent="0.3">
      <c r="A10" s="160" t="s">
        <v>145</v>
      </c>
      <c r="B10" s="161" t="s">
        <v>146</v>
      </c>
      <c r="C10" s="160" t="s">
        <v>147</v>
      </c>
      <c r="D10" s="162"/>
      <c r="E10" s="162">
        <v>0</v>
      </c>
      <c r="H10" s="162"/>
      <c r="I10" s="162">
        <v>0</v>
      </c>
      <c r="K10" s="162"/>
      <c r="L10" s="162">
        <v>0</v>
      </c>
      <c r="N10" s="162"/>
      <c r="O10" s="162">
        <v>0</v>
      </c>
      <c r="Q10" s="162"/>
      <c r="R10" s="162">
        <v>0</v>
      </c>
      <c r="T10" s="162"/>
      <c r="U10" s="162">
        <v>0</v>
      </c>
      <c r="W10" s="162"/>
      <c r="X10" s="162">
        <v>0</v>
      </c>
      <c r="Z10" s="162"/>
      <c r="AA10" s="162">
        <v>0</v>
      </c>
      <c r="AC10" s="162"/>
      <c r="AD10" s="162">
        <v>0</v>
      </c>
      <c r="AF10" s="162"/>
      <c r="AG10" s="162">
        <v>0</v>
      </c>
      <c r="AI10" s="162"/>
      <c r="AJ10" s="162">
        <v>0</v>
      </c>
    </row>
    <row r="11" spans="1:36" s="112" customFormat="1" ht="13.2" x14ac:dyDescent="0.3">
      <c r="A11" s="160" t="s">
        <v>148</v>
      </c>
      <c r="B11" s="161" t="s">
        <v>149</v>
      </c>
      <c r="C11" s="160" t="s">
        <v>150</v>
      </c>
      <c r="D11" s="162"/>
      <c r="E11" s="162">
        <v>0</v>
      </c>
      <c r="H11" s="162"/>
      <c r="I11" s="162">
        <v>0</v>
      </c>
      <c r="K11" s="162"/>
      <c r="L11" s="162">
        <v>0</v>
      </c>
      <c r="N11" s="162"/>
      <c r="O11" s="162">
        <v>0</v>
      </c>
      <c r="Q11" s="162"/>
      <c r="R11" s="162">
        <v>0</v>
      </c>
      <c r="T11" s="162"/>
      <c r="U11" s="162">
        <v>0</v>
      </c>
      <c r="W11" s="162"/>
      <c r="X11" s="162">
        <v>0</v>
      </c>
      <c r="Z11" s="162"/>
      <c r="AA11" s="162">
        <v>0</v>
      </c>
      <c r="AC11" s="162"/>
      <c r="AD11" s="162">
        <v>0</v>
      </c>
      <c r="AF11" s="162"/>
      <c r="AG11" s="162">
        <v>0</v>
      </c>
      <c r="AI11" s="162"/>
      <c r="AJ11" s="162">
        <v>0</v>
      </c>
    </row>
    <row r="12" spans="1:36" s="112" customFormat="1" ht="13.2" x14ac:dyDescent="0.3">
      <c r="A12" s="160" t="s">
        <v>151</v>
      </c>
      <c r="B12" s="161" t="s">
        <v>152</v>
      </c>
      <c r="C12" s="160" t="s">
        <v>153</v>
      </c>
      <c r="D12" s="162"/>
      <c r="E12" s="162">
        <v>0</v>
      </c>
      <c r="H12" s="162"/>
      <c r="I12" s="162">
        <v>0</v>
      </c>
      <c r="K12" s="162"/>
      <c r="L12" s="162">
        <v>0</v>
      </c>
      <c r="N12" s="162"/>
      <c r="O12" s="162">
        <v>0</v>
      </c>
      <c r="Q12" s="162"/>
      <c r="R12" s="162">
        <v>0</v>
      </c>
      <c r="T12" s="162"/>
      <c r="U12" s="162">
        <v>0</v>
      </c>
      <c r="W12" s="162"/>
      <c r="X12" s="162">
        <v>0</v>
      </c>
      <c r="Z12" s="162"/>
      <c r="AA12" s="162">
        <v>0</v>
      </c>
      <c r="AC12" s="162"/>
      <c r="AD12" s="162">
        <v>0</v>
      </c>
      <c r="AF12" s="162"/>
      <c r="AG12" s="162">
        <v>0</v>
      </c>
      <c r="AI12" s="162"/>
      <c r="AJ12" s="162">
        <v>0</v>
      </c>
    </row>
    <row r="13" spans="1:36" s="112" customFormat="1" ht="13.2" x14ac:dyDescent="0.3">
      <c r="A13" s="160" t="s">
        <v>154</v>
      </c>
      <c r="B13" s="161" t="s">
        <v>155</v>
      </c>
      <c r="C13" s="160" t="s">
        <v>156</v>
      </c>
      <c r="D13" s="162"/>
      <c r="E13" s="162">
        <v>0</v>
      </c>
      <c r="H13" s="162"/>
      <c r="I13" s="162">
        <v>0</v>
      </c>
      <c r="K13" s="162"/>
      <c r="L13" s="162">
        <v>0</v>
      </c>
      <c r="N13" s="162"/>
      <c r="O13" s="162">
        <v>0</v>
      </c>
      <c r="Q13" s="162"/>
      <c r="R13" s="162">
        <v>0</v>
      </c>
      <c r="T13" s="162"/>
      <c r="U13" s="162">
        <v>0</v>
      </c>
      <c r="W13" s="162"/>
      <c r="X13" s="162">
        <v>0</v>
      </c>
      <c r="Z13" s="162"/>
      <c r="AA13" s="162">
        <v>0</v>
      </c>
      <c r="AC13" s="162"/>
      <c r="AD13" s="162">
        <v>0</v>
      </c>
      <c r="AF13" s="162"/>
      <c r="AG13" s="162">
        <v>0</v>
      </c>
      <c r="AI13" s="162"/>
      <c r="AJ13" s="162">
        <v>0</v>
      </c>
    </row>
    <row r="14" spans="1:36" ht="15" x14ac:dyDescent="0.25">
      <c r="A14" s="193"/>
      <c r="B14" s="194"/>
      <c r="C14" s="194"/>
      <c r="D14" s="77"/>
      <c r="E14" s="164"/>
      <c r="H14" s="77"/>
      <c r="I14" s="164"/>
      <c r="K14" s="77"/>
      <c r="L14" s="164"/>
      <c r="N14" s="77"/>
      <c r="O14" s="164"/>
      <c r="Q14" s="77"/>
      <c r="R14" s="164"/>
      <c r="T14" s="77"/>
      <c r="U14" s="164"/>
      <c r="W14" s="77"/>
      <c r="X14" s="164"/>
      <c r="Z14" s="77"/>
      <c r="AA14" s="164"/>
      <c r="AC14" s="77"/>
      <c r="AD14" s="164"/>
      <c r="AF14" s="77"/>
      <c r="AG14" s="164"/>
      <c r="AI14" s="77"/>
      <c r="AJ14" s="164"/>
    </row>
    <row r="15" spans="1:36" ht="19.5" customHeight="1" x14ac:dyDescent="0.25"/>
    <row r="16" spans="1:36" s="36" customFormat="1" ht="19.5" customHeight="1" x14ac:dyDescent="0.25">
      <c r="A16" s="29" t="s">
        <v>61</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x14ac:dyDescent="0.25">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x14ac:dyDescent="0.25">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x14ac:dyDescent="0.25">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x14ac:dyDescent="0.25">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x14ac:dyDescent="0.25">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x14ac:dyDescent="0.25">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x14ac:dyDescent="0.25">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x14ac:dyDescent="0.25">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x14ac:dyDescent="0.25">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x14ac:dyDescent="0.25">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x14ac:dyDescent="0.25">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x14ac:dyDescent="0.25">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W8:X8"/>
    <mergeCell ref="Z8:AA8"/>
    <mergeCell ref="AC8:AD8"/>
    <mergeCell ref="AF8:AG8"/>
    <mergeCell ref="AI8:AJ8"/>
    <mergeCell ref="Q8:R8"/>
    <mergeCell ref="T8:U8"/>
    <mergeCell ref="A14:C14"/>
    <mergeCell ref="D8:E8"/>
    <mergeCell ref="H8:I8"/>
    <mergeCell ref="K8:L8"/>
    <mergeCell ref="N8:O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tabSelected="1" workbookViewId="0">
      <selection activeCell="F16" sqref="F16:F17"/>
    </sheetView>
  </sheetViews>
  <sheetFormatPr defaultColWidth="9.109375" defaultRowHeight="13.8" x14ac:dyDescent="0.25"/>
  <cols>
    <col min="1" max="1" width="9.109375" style="99"/>
    <col min="2" max="2" width="29" style="99" customWidth="1"/>
    <col min="3" max="3" width="11.5546875" style="99" customWidth="1"/>
    <col min="4" max="4" width="13.5546875" style="99" customWidth="1"/>
    <col min="5" max="5" width="23.33203125" style="100" customWidth="1"/>
    <col min="6" max="6" width="14.88671875" style="100" customWidth="1"/>
    <col min="7" max="7" width="17" style="154" customWidth="1"/>
    <col min="8" max="8" width="12.44140625" style="155" customWidth="1"/>
    <col min="9" max="9" width="2.5546875" style="155" customWidth="1"/>
    <col min="10" max="10" width="2.44140625" style="99" customWidth="1"/>
    <col min="11" max="11" width="23.33203125" style="100" customWidth="1"/>
    <col min="12" max="12" width="14.88671875" style="100" customWidth="1"/>
    <col min="13" max="13" width="17" style="154" customWidth="1"/>
    <col min="14" max="14" width="12.44140625" style="155" customWidth="1"/>
    <col min="15" max="15" width="2.44140625" style="99" customWidth="1"/>
    <col min="16" max="16" width="23.33203125" style="100" customWidth="1"/>
    <col min="17" max="17" width="14.88671875" style="100" customWidth="1"/>
    <col min="18" max="18" width="17" style="154" customWidth="1"/>
    <col min="19" max="19" width="12.44140625" style="155" customWidth="1"/>
    <col min="20" max="20" width="1.88671875" style="99" customWidth="1"/>
    <col min="21" max="21" width="23.33203125" style="100" customWidth="1"/>
    <col min="22" max="22" width="14.88671875" style="100" customWidth="1"/>
    <col min="23" max="23" width="17" style="154" customWidth="1"/>
    <col min="24" max="24" width="12.44140625" style="155" customWidth="1"/>
    <col min="25" max="25" width="2.109375" style="99" customWidth="1"/>
    <col min="26" max="26" width="23.33203125" style="100" customWidth="1"/>
    <col min="27" max="27" width="14.88671875" style="100" customWidth="1"/>
    <col min="28" max="28" width="17" style="154" customWidth="1"/>
    <col min="29" max="29" width="12.44140625" style="155" customWidth="1"/>
    <col min="30" max="30" width="2.109375" style="99" customWidth="1"/>
    <col min="31" max="31" width="23.33203125" style="100" customWidth="1"/>
    <col min="32" max="32" width="14.88671875" style="100" customWidth="1"/>
    <col min="33" max="33" width="17" style="154" customWidth="1"/>
    <col min="34" max="34" width="12.44140625" style="155" customWidth="1"/>
    <col min="35" max="35" width="2.5546875" style="99" customWidth="1"/>
    <col min="36" max="36" width="23.33203125" style="100" customWidth="1"/>
    <col min="37" max="37" width="14.88671875" style="100" customWidth="1"/>
    <col min="38" max="38" width="17" style="154" customWidth="1"/>
    <col min="39" max="39" width="12.44140625" style="155" customWidth="1"/>
    <col min="40" max="40" width="2.33203125" style="99" customWidth="1"/>
    <col min="41" max="41" width="23.33203125" style="100" customWidth="1"/>
    <col min="42" max="42" width="14.88671875" style="100" customWidth="1"/>
    <col min="43" max="43" width="17" style="154" customWidth="1"/>
    <col min="44" max="44" width="12.44140625" style="155" customWidth="1"/>
    <col min="45" max="45" width="2.6640625" style="99" customWidth="1"/>
    <col min="46" max="46" width="23.33203125" style="100" customWidth="1"/>
    <col min="47" max="47" width="14.88671875" style="100" customWidth="1"/>
    <col min="48" max="48" width="17" style="154" customWidth="1"/>
    <col min="49" max="49" width="12.44140625" style="155" customWidth="1"/>
    <col min="50" max="50" width="2.6640625" style="99" customWidth="1"/>
    <col min="51" max="51" width="23.33203125" style="100" customWidth="1"/>
    <col min="52" max="52" width="14.88671875" style="100" customWidth="1"/>
    <col min="53" max="53" width="17" style="154" customWidth="1"/>
    <col min="54" max="54" width="12.44140625" style="155" customWidth="1"/>
    <col min="55" max="55" width="2.88671875" style="99" customWidth="1"/>
    <col min="56" max="56" width="23.33203125" style="100" customWidth="1"/>
    <col min="57" max="57" width="14.88671875" style="100" customWidth="1"/>
    <col min="58" max="58" width="17" style="154" customWidth="1"/>
    <col min="59" max="59" width="12.44140625" style="155" customWidth="1"/>
    <col min="60" max="16384" width="9.109375" style="99"/>
  </cols>
  <sheetData>
    <row r="1" spans="1:59" s="1" customFormat="1" ht="24" x14ac:dyDescent="0.25">
      <c r="A1" s="73" t="s">
        <v>157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x14ac:dyDescent="0.25"/>
    <row r="3" spans="1:59" s="1" customFormat="1" ht="21" customHeight="1" x14ac:dyDescent="0.45">
      <c r="A3" s="2" t="s">
        <v>27</v>
      </c>
      <c r="B3" s="156" t="s">
        <v>63</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x14ac:dyDescent="0.45">
      <c r="A4" s="2"/>
      <c r="B4" s="157" t="s">
        <v>158</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x14ac:dyDescent="0.25">
      <c r="B5" s="156" t="s">
        <v>159</v>
      </c>
    </row>
    <row r="6" spans="1:59" ht="19.5" customHeight="1" x14ac:dyDescent="0.25">
      <c r="B6" s="158" t="s">
        <v>31</v>
      </c>
    </row>
    <row r="7" spans="1:59" ht="19.5" customHeight="1" x14ac:dyDescent="0.25"/>
    <row r="8" spans="1:59" ht="27.6" x14ac:dyDescent="0.45">
      <c r="E8" s="232" t="s">
        <v>33</v>
      </c>
      <c r="F8" s="233"/>
      <c r="G8" s="233"/>
      <c r="H8" s="234"/>
      <c r="K8" s="232" t="s">
        <v>34</v>
      </c>
      <c r="L8" s="233"/>
      <c r="M8" s="233"/>
      <c r="N8" s="234"/>
      <c r="P8" s="232" t="s">
        <v>35</v>
      </c>
      <c r="Q8" s="233"/>
      <c r="R8" s="233"/>
      <c r="S8" s="234"/>
      <c r="U8" s="232" t="s">
        <v>36</v>
      </c>
      <c r="V8" s="233"/>
      <c r="W8" s="233"/>
      <c r="X8" s="234"/>
      <c r="Z8" s="232" t="s">
        <v>37</v>
      </c>
      <c r="AA8" s="233"/>
      <c r="AB8" s="233"/>
      <c r="AC8" s="234"/>
      <c r="AE8" s="232" t="s">
        <v>38</v>
      </c>
      <c r="AF8" s="233"/>
      <c r="AG8" s="233"/>
      <c r="AH8" s="234"/>
      <c r="AJ8" s="232" t="s">
        <v>39</v>
      </c>
      <c r="AK8" s="233"/>
      <c r="AL8" s="233"/>
      <c r="AM8" s="234"/>
      <c r="AO8" s="232" t="s">
        <v>40</v>
      </c>
      <c r="AP8" s="233"/>
      <c r="AQ8" s="233"/>
      <c r="AR8" s="234"/>
      <c r="AT8" s="232" t="s">
        <v>41</v>
      </c>
      <c r="AU8" s="233"/>
      <c r="AV8" s="233"/>
      <c r="AW8" s="234"/>
      <c r="AY8" s="232" t="s">
        <v>42</v>
      </c>
      <c r="AZ8" s="233"/>
      <c r="BA8" s="233"/>
      <c r="BB8" s="234"/>
      <c r="BD8" s="232" t="s">
        <v>43</v>
      </c>
      <c r="BE8" s="233"/>
      <c r="BF8" s="233"/>
      <c r="BG8" s="234"/>
    </row>
    <row r="9" spans="1:59" s="159" customFormat="1" ht="60" x14ac:dyDescent="0.25">
      <c r="A9" s="163" t="s">
        <v>160</v>
      </c>
      <c r="B9" s="163" t="s">
        <v>141</v>
      </c>
      <c r="C9" s="163" t="s">
        <v>161</v>
      </c>
      <c r="D9" s="163" t="s">
        <v>162</v>
      </c>
      <c r="E9" s="163" t="s">
        <v>143</v>
      </c>
      <c r="F9" s="163" t="s">
        <v>144</v>
      </c>
      <c r="G9" s="163" t="s">
        <v>163</v>
      </c>
      <c r="H9" s="163" t="s">
        <v>164</v>
      </c>
      <c r="K9" s="163" t="s">
        <v>143</v>
      </c>
      <c r="L9" s="163" t="s">
        <v>144</v>
      </c>
      <c r="M9" s="163" t="s">
        <v>163</v>
      </c>
      <c r="N9" s="163" t="s">
        <v>164</v>
      </c>
      <c r="P9" s="163" t="s">
        <v>143</v>
      </c>
      <c r="Q9" s="163" t="s">
        <v>144</v>
      </c>
      <c r="R9" s="163" t="s">
        <v>163</v>
      </c>
      <c r="S9" s="163" t="s">
        <v>164</v>
      </c>
      <c r="U9" s="163" t="s">
        <v>143</v>
      </c>
      <c r="V9" s="163" t="s">
        <v>144</v>
      </c>
      <c r="W9" s="163" t="s">
        <v>163</v>
      </c>
      <c r="X9" s="163" t="s">
        <v>164</v>
      </c>
      <c r="Z9" s="163" t="s">
        <v>143</v>
      </c>
      <c r="AA9" s="163" t="s">
        <v>144</v>
      </c>
      <c r="AB9" s="163" t="s">
        <v>163</v>
      </c>
      <c r="AC9" s="163" t="s">
        <v>164</v>
      </c>
      <c r="AE9" s="163" t="s">
        <v>143</v>
      </c>
      <c r="AF9" s="163" t="s">
        <v>144</v>
      </c>
      <c r="AG9" s="163" t="s">
        <v>163</v>
      </c>
      <c r="AH9" s="163" t="s">
        <v>164</v>
      </c>
      <c r="AJ9" s="163" t="s">
        <v>143</v>
      </c>
      <c r="AK9" s="163" t="s">
        <v>144</v>
      </c>
      <c r="AL9" s="163" t="s">
        <v>163</v>
      </c>
      <c r="AM9" s="163" t="s">
        <v>164</v>
      </c>
      <c r="AO9" s="163" t="s">
        <v>143</v>
      </c>
      <c r="AP9" s="163" t="s">
        <v>144</v>
      </c>
      <c r="AQ9" s="163" t="s">
        <v>163</v>
      </c>
      <c r="AR9" s="163" t="s">
        <v>164</v>
      </c>
      <c r="AT9" s="163" t="s">
        <v>143</v>
      </c>
      <c r="AU9" s="163" t="s">
        <v>144</v>
      </c>
      <c r="AV9" s="163" t="s">
        <v>163</v>
      </c>
      <c r="AW9" s="163" t="s">
        <v>164</v>
      </c>
      <c r="AY9" s="163" t="s">
        <v>143</v>
      </c>
      <c r="AZ9" s="163" t="s">
        <v>144</v>
      </c>
      <c r="BA9" s="163" t="s">
        <v>163</v>
      </c>
      <c r="BB9" s="163" t="s">
        <v>164</v>
      </c>
      <c r="BD9" s="163" t="s">
        <v>143</v>
      </c>
      <c r="BE9" s="163" t="s">
        <v>144</v>
      </c>
      <c r="BF9" s="163" t="s">
        <v>163</v>
      </c>
      <c r="BG9" s="163" t="s">
        <v>164</v>
      </c>
    </row>
    <row r="10" spans="1:59" s="112" customFormat="1" ht="13.2" x14ac:dyDescent="0.3">
      <c r="A10" s="160">
        <v>5102</v>
      </c>
      <c r="B10" s="161" t="s">
        <v>165</v>
      </c>
      <c r="C10" s="160" t="s">
        <v>166</v>
      </c>
      <c r="D10" s="160" t="s">
        <v>167</v>
      </c>
      <c r="E10" s="162"/>
      <c r="F10" s="162">
        <v>0</v>
      </c>
      <c r="G10" s="160">
        <v>11502</v>
      </c>
      <c r="H10" s="160">
        <f t="shared" ref="H10:H19" si="0">F10*G10</f>
        <v>0</v>
      </c>
      <c r="K10" s="162"/>
      <c r="L10" s="162">
        <v>0</v>
      </c>
      <c r="M10" s="160">
        <v>3549</v>
      </c>
      <c r="N10" s="160">
        <f t="shared" ref="N10:N19" si="1">L10*M10</f>
        <v>0</v>
      </c>
      <c r="P10" s="162"/>
      <c r="Q10" s="162">
        <v>0</v>
      </c>
      <c r="R10" s="160">
        <v>7055</v>
      </c>
      <c r="S10" s="160">
        <f t="shared" ref="S10:S19" si="2">Q10*R10</f>
        <v>0</v>
      </c>
      <c r="U10" s="162"/>
      <c r="V10" s="162">
        <v>0</v>
      </c>
      <c r="W10" s="160">
        <v>48926</v>
      </c>
      <c r="X10" s="160">
        <f t="shared" ref="X10:X19" si="3">V10*W10</f>
        <v>0</v>
      </c>
      <c r="Z10" s="162"/>
      <c r="AA10" s="162">
        <v>0</v>
      </c>
      <c r="AB10" s="160">
        <v>4560</v>
      </c>
      <c r="AC10" s="160">
        <f t="shared" ref="AC10:AC19" si="4">AA10*AB10</f>
        <v>0</v>
      </c>
      <c r="AE10" s="162"/>
      <c r="AF10" s="162">
        <v>0</v>
      </c>
      <c r="AG10" s="160">
        <v>12855</v>
      </c>
      <c r="AH10" s="160">
        <f t="shared" ref="AH10:AH19" si="5">AF10*AG10</f>
        <v>0</v>
      </c>
      <c r="AJ10" s="162"/>
      <c r="AK10" s="162">
        <v>0</v>
      </c>
      <c r="AL10" s="160">
        <v>22212</v>
      </c>
      <c r="AM10" s="160">
        <f t="shared" ref="AM10:AM19" si="6">AK10*AL10</f>
        <v>0</v>
      </c>
      <c r="AO10" s="162"/>
      <c r="AP10" s="162">
        <v>0</v>
      </c>
      <c r="AQ10" s="160">
        <v>14747</v>
      </c>
      <c r="AR10" s="160">
        <f t="shared" ref="AR10:AR19" si="7">AP10*AQ10</f>
        <v>0</v>
      </c>
      <c r="AT10" s="162"/>
      <c r="AU10" s="162">
        <v>0</v>
      </c>
      <c r="AV10" s="160">
        <v>7008</v>
      </c>
      <c r="AW10" s="160">
        <f>AU10*AV10</f>
        <v>0</v>
      </c>
      <c r="AY10" s="162"/>
      <c r="AZ10" s="162">
        <v>0</v>
      </c>
      <c r="BA10" s="160">
        <v>13552</v>
      </c>
      <c r="BB10" s="160">
        <f>AZ10*BA10</f>
        <v>0</v>
      </c>
      <c r="BD10" s="162"/>
      <c r="BE10" s="162">
        <v>0</v>
      </c>
      <c r="BF10" s="160">
        <v>495</v>
      </c>
      <c r="BG10" s="160">
        <f>BE10*BF10</f>
        <v>0</v>
      </c>
    </row>
    <row r="11" spans="1:59" s="112" customFormat="1" ht="13.2" x14ac:dyDescent="0.3">
      <c r="A11" s="160">
        <v>5102</v>
      </c>
      <c r="B11" s="161" t="s">
        <v>168</v>
      </c>
      <c r="C11" s="160" t="s">
        <v>166</v>
      </c>
      <c r="D11" s="160" t="s">
        <v>167</v>
      </c>
      <c r="E11" s="162"/>
      <c r="F11" s="162">
        <v>0</v>
      </c>
      <c r="G11" s="160">
        <v>3359</v>
      </c>
      <c r="H11" s="160">
        <f t="shared" si="0"/>
        <v>0</v>
      </c>
      <c r="K11" s="162"/>
      <c r="L11" s="162">
        <v>0</v>
      </c>
      <c r="M11" s="160">
        <v>1087</v>
      </c>
      <c r="N11" s="160">
        <f t="shared" si="1"/>
        <v>0</v>
      </c>
      <c r="P11" s="162"/>
      <c r="Q11" s="162">
        <v>0</v>
      </c>
      <c r="R11" s="160">
        <v>1626</v>
      </c>
      <c r="S11" s="160">
        <f t="shared" si="2"/>
        <v>0</v>
      </c>
      <c r="U11" s="162"/>
      <c r="V11" s="162">
        <v>0</v>
      </c>
      <c r="W11" s="160">
        <v>12667</v>
      </c>
      <c r="X11" s="160">
        <f t="shared" si="3"/>
        <v>0</v>
      </c>
      <c r="Z11" s="162"/>
      <c r="AA11" s="162">
        <v>0</v>
      </c>
      <c r="AB11" s="160">
        <v>948</v>
      </c>
      <c r="AC11" s="160">
        <f t="shared" si="4"/>
        <v>0</v>
      </c>
      <c r="AE11" s="162"/>
      <c r="AF11" s="162">
        <v>0</v>
      </c>
      <c r="AG11" s="160">
        <v>6568</v>
      </c>
      <c r="AH11" s="160">
        <f t="shared" si="5"/>
        <v>0</v>
      </c>
      <c r="AJ11" s="162"/>
      <c r="AK11" s="162">
        <v>0</v>
      </c>
      <c r="AL11" s="160">
        <v>4024</v>
      </c>
      <c r="AM11" s="160">
        <f t="shared" si="6"/>
        <v>0</v>
      </c>
      <c r="AO11" s="162"/>
      <c r="AP11" s="162">
        <v>0</v>
      </c>
      <c r="AQ11" s="160">
        <v>3308</v>
      </c>
      <c r="AR11" s="160">
        <f t="shared" si="7"/>
        <v>0</v>
      </c>
      <c r="AT11" s="162"/>
      <c r="AU11" s="162">
        <v>0</v>
      </c>
      <c r="AV11" s="160">
        <v>1653</v>
      </c>
      <c r="AW11" s="160">
        <f t="shared" ref="AW11:AW19" si="8">AU11*AV11</f>
        <v>0</v>
      </c>
      <c r="AY11" s="162"/>
      <c r="AZ11" s="162">
        <v>0</v>
      </c>
      <c r="BA11" s="160">
        <v>4823</v>
      </c>
      <c r="BB11" s="160">
        <f t="shared" ref="BB11:BB19" si="9">AZ11*BA11</f>
        <v>0</v>
      </c>
      <c r="BD11" s="162"/>
      <c r="BE11" s="162">
        <v>0</v>
      </c>
      <c r="BF11" s="160">
        <v>40</v>
      </c>
      <c r="BG11" s="160">
        <f t="shared" ref="BG11:BG19" si="10">BE11*BF11</f>
        <v>0</v>
      </c>
    </row>
    <row r="12" spans="1:59" s="112" customFormat="1" ht="13.2" x14ac:dyDescent="0.3">
      <c r="A12" s="160">
        <v>5102</v>
      </c>
      <c r="B12" s="161" t="s">
        <v>169</v>
      </c>
      <c r="C12" s="160" t="s">
        <v>166</v>
      </c>
      <c r="D12" s="160" t="s">
        <v>167</v>
      </c>
      <c r="E12" s="162"/>
      <c r="F12" s="162">
        <v>0</v>
      </c>
      <c r="G12" s="160">
        <v>7939</v>
      </c>
      <c r="H12" s="160">
        <f t="shared" si="0"/>
        <v>0</v>
      </c>
      <c r="K12" s="162"/>
      <c r="L12" s="162">
        <v>0</v>
      </c>
      <c r="M12" s="160">
        <v>2211</v>
      </c>
      <c r="N12" s="160">
        <f t="shared" si="1"/>
        <v>0</v>
      </c>
      <c r="P12" s="162"/>
      <c r="Q12" s="162">
        <v>0</v>
      </c>
      <c r="R12" s="160">
        <v>4362</v>
      </c>
      <c r="S12" s="160">
        <f t="shared" si="2"/>
        <v>0</v>
      </c>
      <c r="U12" s="162"/>
      <c r="V12" s="162">
        <v>0</v>
      </c>
      <c r="W12" s="160">
        <v>29889</v>
      </c>
      <c r="X12" s="160">
        <f t="shared" si="3"/>
        <v>0</v>
      </c>
      <c r="Z12" s="162"/>
      <c r="AA12" s="162">
        <v>0</v>
      </c>
      <c r="AB12" s="160">
        <v>3608</v>
      </c>
      <c r="AC12" s="160">
        <f t="shared" si="4"/>
        <v>0</v>
      </c>
      <c r="AE12" s="162"/>
      <c r="AF12" s="162">
        <v>0</v>
      </c>
      <c r="AG12" s="160">
        <v>9880</v>
      </c>
      <c r="AH12" s="160">
        <f t="shared" si="5"/>
        <v>0</v>
      </c>
      <c r="AJ12" s="162"/>
      <c r="AK12" s="162">
        <v>0</v>
      </c>
      <c r="AL12" s="160">
        <v>14018</v>
      </c>
      <c r="AM12" s="160">
        <f t="shared" si="6"/>
        <v>0</v>
      </c>
      <c r="AO12" s="162"/>
      <c r="AP12" s="162">
        <v>0</v>
      </c>
      <c r="AQ12" s="160">
        <v>8464</v>
      </c>
      <c r="AR12" s="160">
        <f t="shared" si="7"/>
        <v>0</v>
      </c>
      <c r="AT12" s="162"/>
      <c r="AU12" s="162">
        <v>0</v>
      </c>
      <c r="AV12" s="160">
        <v>4131</v>
      </c>
      <c r="AW12" s="160">
        <f>AU12*AV12</f>
        <v>0</v>
      </c>
      <c r="AY12" s="162"/>
      <c r="AZ12" s="162">
        <v>0</v>
      </c>
      <c r="BA12" s="160">
        <v>7099</v>
      </c>
      <c r="BB12" s="160">
        <f>AZ12*BA12</f>
        <v>0</v>
      </c>
      <c r="BD12" s="162"/>
      <c r="BE12" s="162">
        <v>0</v>
      </c>
      <c r="BF12" s="160">
        <v>322</v>
      </c>
      <c r="BG12" s="160">
        <f>BE12*BF12</f>
        <v>0</v>
      </c>
    </row>
    <row r="13" spans="1:59" s="112" customFormat="1" ht="13.2" x14ac:dyDescent="0.3">
      <c r="A13" s="160">
        <v>5102</v>
      </c>
      <c r="B13" s="161" t="s">
        <v>170</v>
      </c>
      <c r="C13" s="160" t="s">
        <v>166</v>
      </c>
      <c r="D13" s="160" t="s">
        <v>167</v>
      </c>
      <c r="E13" s="162"/>
      <c r="F13" s="162">
        <v>0</v>
      </c>
      <c r="G13" s="160">
        <v>2585</v>
      </c>
      <c r="H13" s="160">
        <f t="shared" si="0"/>
        <v>0</v>
      </c>
      <c r="K13" s="162"/>
      <c r="L13" s="162">
        <v>0</v>
      </c>
      <c r="M13" s="160">
        <v>980</v>
      </c>
      <c r="N13" s="160">
        <f t="shared" si="1"/>
        <v>0</v>
      </c>
      <c r="P13" s="162"/>
      <c r="Q13" s="162">
        <v>0</v>
      </c>
      <c r="R13" s="160">
        <v>1519</v>
      </c>
      <c r="S13" s="160">
        <f t="shared" si="2"/>
        <v>0</v>
      </c>
      <c r="U13" s="162"/>
      <c r="V13" s="162">
        <v>0</v>
      </c>
      <c r="W13" s="160">
        <v>8804</v>
      </c>
      <c r="X13" s="160">
        <f t="shared" si="3"/>
        <v>0</v>
      </c>
      <c r="Z13" s="162"/>
      <c r="AA13" s="162">
        <v>0</v>
      </c>
      <c r="AB13" s="160">
        <v>827</v>
      </c>
      <c r="AC13" s="160">
        <f t="shared" si="4"/>
        <v>0</v>
      </c>
      <c r="AE13" s="162"/>
      <c r="AF13" s="162">
        <v>0</v>
      </c>
      <c r="AG13" s="160">
        <v>4914</v>
      </c>
      <c r="AH13" s="160">
        <f t="shared" si="5"/>
        <v>0</v>
      </c>
      <c r="AJ13" s="162"/>
      <c r="AK13" s="162">
        <v>0</v>
      </c>
      <c r="AL13" s="160">
        <v>2584</v>
      </c>
      <c r="AM13" s="160">
        <f t="shared" si="6"/>
        <v>0</v>
      </c>
      <c r="AO13" s="162"/>
      <c r="AP13" s="162">
        <v>0</v>
      </c>
      <c r="AQ13" s="160">
        <v>2806</v>
      </c>
      <c r="AR13" s="160">
        <f t="shared" si="7"/>
        <v>0</v>
      </c>
      <c r="AT13" s="162"/>
      <c r="AU13" s="162">
        <v>0</v>
      </c>
      <c r="AV13" s="160">
        <v>1415</v>
      </c>
      <c r="AW13" s="160">
        <f t="shared" si="8"/>
        <v>0</v>
      </c>
      <c r="AY13" s="162"/>
      <c r="AZ13" s="162">
        <v>0</v>
      </c>
      <c r="BA13" s="160">
        <v>3634</v>
      </c>
      <c r="BB13" s="160">
        <f t="shared" si="9"/>
        <v>0</v>
      </c>
      <c r="BD13" s="162"/>
      <c r="BE13" s="162">
        <v>0</v>
      </c>
      <c r="BF13" s="160">
        <v>18</v>
      </c>
      <c r="BG13" s="160">
        <f t="shared" si="10"/>
        <v>0</v>
      </c>
    </row>
    <row r="14" spans="1:59" s="112" customFormat="1" ht="13.2" x14ac:dyDescent="0.3">
      <c r="A14" s="160">
        <v>5102</v>
      </c>
      <c r="B14" s="161" t="s">
        <v>171</v>
      </c>
      <c r="C14" s="160" t="s">
        <v>172</v>
      </c>
      <c r="D14" s="160" t="s">
        <v>167</v>
      </c>
      <c r="E14" s="162"/>
      <c r="F14" s="162">
        <v>0</v>
      </c>
      <c r="G14" s="160">
        <v>4511</v>
      </c>
      <c r="H14" s="160">
        <f t="shared" si="0"/>
        <v>0</v>
      </c>
      <c r="K14" s="162"/>
      <c r="L14" s="162">
        <v>0</v>
      </c>
      <c r="M14" s="160">
        <v>3346</v>
      </c>
      <c r="N14" s="160">
        <f t="shared" si="1"/>
        <v>0</v>
      </c>
      <c r="P14" s="162"/>
      <c r="Q14" s="162">
        <v>0</v>
      </c>
      <c r="R14" s="160">
        <v>4638</v>
      </c>
      <c r="S14" s="160">
        <f t="shared" si="2"/>
        <v>0</v>
      </c>
      <c r="U14" s="162"/>
      <c r="V14" s="162">
        <v>0</v>
      </c>
      <c r="W14" s="160">
        <v>29092</v>
      </c>
      <c r="X14" s="160">
        <f t="shared" si="3"/>
        <v>0</v>
      </c>
      <c r="Z14" s="162"/>
      <c r="AA14" s="162">
        <v>0</v>
      </c>
      <c r="AB14" s="160">
        <v>1122</v>
      </c>
      <c r="AC14" s="160">
        <f t="shared" si="4"/>
        <v>0</v>
      </c>
      <c r="AE14" s="162"/>
      <c r="AF14" s="162">
        <v>0</v>
      </c>
      <c r="AG14" s="160">
        <v>11523</v>
      </c>
      <c r="AH14" s="160">
        <f t="shared" si="5"/>
        <v>0</v>
      </c>
      <c r="AJ14" s="162"/>
      <c r="AK14" s="162">
        <v>0</v>
      </c>
      <c r="AL14" s="160">
        <v>9145</v>
      </c>
      <c r="AM14" s="160">
        <f t="shared" si="6"/>
        <v>0</v>
      </c>
      <c r="AO14" s="162"/>
      <c r="AP14" s="162">
        <v>0</v>
      </c>
      <c r="AQ14" s="160">
        <v>9268</v>
      </c>
      <c r="AR14" s="160">
        <f t="shared" si="7"/>
        <v>0</v>
      </c>
      <c r="AT14" s="162"/>
      <c r="AU14" s="162">
        <v>0</v>
      </c>
      <c r="AV14" s="160">
        <v>4041</v>
      </c>
      <c r="AW14" s="160">
        <f t="shared" si="8"/>
        <v>0</v>
      </c>
      <c r="AY14" s="162"/>
      <c r="AZ14" s="162">
        <v>0</v>
      </c>
      <c r="BA14" s="160">
        <v>8639</v>
      </c>
      <c r="BB14" s="160">
        <f t="shared" si="9"/>
        <v>0</v>
      </c>
      <c r="BD14" s="162"/>
      <c r="BE14" s="162">
        <v>0</v>
      </c>
      <c r="BF14" s="160">
        <v>413</v>
      </c>
      <c r="BG14" s="160">
        <f t="shared" si="10"/>
        <v>0</v>
      </c>
    </row>
    <row r="15" spans="1:59" s="112" customFormat="1" ht="13.2" x14ac:dyDescent="0.3">
      <c r="A15" s="160">
        <v>5102</v>
      </c>
      <c r="B15" s="161" t="s">
        <v>173</v>
      </c>
      <c r="C15" s="160" t="s">
        <v>172</v>
      </c>
      <c r="D15" s="160" t="s">
        <v>167</v>
      </c>
      <c r="E15" s="162"/>
      <c r="F15" s="162">
        <v>0</v>
      </c>
      <c r="G15" s="160">
        <v>23875</v>
      </c>
      <c r="H15" s="160">
        <f t="shared" si="0"/>
        <v>0</v>
      </c>
      <c r="K15" s="162"/>
      <c r="L15" s="162">
        <v>0</v>
      </c>
      <c r="M15" s="160">
        <v>9939</v>
      </c>
      <c r="N15" s="160">
        <f t="shared" si="1"/>
        <v>0</v>
      </c>
      <c r="P15" s="162"/>
      <c r="Q15" s="162">
        <v>0</v>
      </c>
      <c r="R15" s="160">
        <v>18373</v>
      </c>
      <c r="S15" s="160">
        <f t="shared" si="2"/>
        <v>0</v>
      </c>
      <c r="U15" s="162"/>
      <c r="V15" s="162">
        <v>0</v>
      </c>
      <c r="W15" s="160">
        <v>127101</v>
      </c>
      <c r="X15" s="160">
        <f t="shared" si="3"/>
        <v>0</v>
      </c>
      <c r="Z15" s="162"/>
      <c r="AA15" s="162">
        <v>0</v>
      </c>
      <c r="AB15" s="160">
        <v>16037</v>
      </c>
      <c r="AC15" s="160">
        <f t="shared" si="4"/>
        <v>0</v>
      </c>
      <c r="AE15" s="162"/>
      <c r="AF15" s="162">
        <v>0</v>
      </c>
      <c r="AG15" s="160">
        <v>47724</v>
      </c>
      <c r="AH15" s="160">
        <f t="shared" si="5"/>
        <v>0</v>
      </c>
      <c r="AJ15" s="162"/>
      <c r="AK15" s="162">
        <v>0</v>
      </c>
      <c r="AL15" s="160">
        <v>40620</v>
      </c>
      <c r="AM15" s="160">
        <f t="shared" si="6"/>
        <v>0</v>
      </c>
      <c r="AO15" s="162"/>
      <c r="AP15" s="162">
        <v>0</v>
      </c>
      <c r="AQ15" s="160">
        <v>36848</v>
      </c>
      <c r="AR15" s="160">
        <f t="shared" si="7"/>
        <v>0</v>
      </c>
      <c r="AT15" s="162"/>
      <c r="AU15" s="162">
        <v>0</v>
      </c>
      <c r="AV15" s="160">
        <v>16365</v>
      </c>
      <c r="AW15" s="160">
        <f t="shared" si="8"/>
        <v>0</v>
      </c>
      <c r="AY15" s="162"/>
      <c r="AZ15" s="162">
        <v>0</v>
      </c>
      <c r="BA15" s="160">
        <v>39024</v>
      </c>
      <c r="BB15" s="160">
        <f t="shared" si="9"/>
        <v>0</v>
      </c>
      <c r="BD15" s="162"/>
      <c r="BE15" s="162">
        <v>0</v>
      </c>
      <c r="BF15" s="160">
        <v>1291</v>
      </c>
      <c r="BG15" s="160">
        <f t="shared" si="10"/>
        <v>0</v>
      </c>
    </row>
    <row r="16" spans="1:59" s="112" customFormat="1" ht="13.2" x14ac:dyDescent="0.3">
      <c r="A16" s="160">
        <v>5102</v>
      </c>
      <c r="B16" s="161" t="s">
        <v>174</v>
      </c>
      <c r="C16" s="160" t="s">
        <v>175</v>
      </c>
      <c r="D16" s="160" t="s">
        <v>162</v>
      </c>
      <c r="E16" s="162"/>
      <c r="F16" s="162"/>
      <c r="G16" s="160">
        <v>2095</v>
      </c>
      <c r="H16" s="160">
        <f t="shared" si="0"/>
        <v>0</v>
      </c>
      <c r="K16" s="162"/>
      <c r="L16" s="162">
        <v>0</v>
      </c>
      <c r="M16" s="160">
        <v>95</v>
      </c>
      <c r="N16" s="160">
        <f t="shared" si="1"/>
        <v>0</v>
      </c>
      <c r="P16" s="162"/>
      <c r="Q16" s="162">
        <v>0</v>
      </c>
      <c r="R16" s="160"/>
      <c r="S16" s="160">
        <f t="shared" si="2"/>
        <v>0</v>
      </c>
      <c r="U16" s="162"/>
      <c r="V16" s="162">
        <v>0</v>
      </c>
      <c r="W16" s="160">
        <v>12238</v>
      </c>
      <c r="X16" s="160">
        <f t="shared" si="3"/>
        <v>0</v>
      </c>
      <c r="Z16" s="162"/>
      <c r="AA16" s="162">
        <v>0</v>
      </c>
      <c r="AB16" s="160">
        <v>173</v>
      </c>
      <c r="AC16" s="160">
        <f t="shared" si="4"/>
        <v>0</v>
      </c>
      <c r="AE16" s="162"/>
      <c r="AF16" s="162">
        <v>0</v>
      </c>
      <c r="AG16" s="160">
        <v>3933</v>
      </c>
      <c r="AH16" s="160">
        <f t="shared" si="5"/>
        <v>0</v>
      </c>
      <c r="AJ16" s="162"/>
      <c r="AK16" s="162">
        <v>0</v>
      </c>
      <c r="AL16" s="160">
        <v>15</v>
      </c>
      <c r="AM16" s="160">
        <f t="shared" si="6"/>
        <v>0</v>
      </c>
      <c r="AO16" s="162"/>
      <c r="AP16" s="162">
        <v>0</v>
      </c>
      <c r="AQ16" s="160">
        <v>1052</v>
      </c>
      <c r="AR16" s="160">
        <f t="shared" si="7"/>
        <v>0</v>
      </c>
      <c r="AT16" s="162"/>
      <c r="AU16" s="162">
        <v>0</v>
      </c>
      <c r="AV16" s="160"/>
      <c r="AW16" s="160">
        <f t="shared" si="8"/>
        <v>0</v>
      </c>
      <c r="AY16" s="162"/>
      <c r="AZ16" s="162">
        <v>0</v>
      </c>
      <c r="BA16" s="160">
        <v>5273</v>
      </c>
      <c r="BB16" s="160">
        <f t="shared" si="9"/>
        <v>0</v>
      </c>
      <c r="BD16" s="162"/>
      <c r="BE16" s="162">
        <v>0</v>
      </c>
      <c r="BF16" s="160"/>
      <c r="BG16" s="160">
        <f t="shared" si="10"/>
        <v>0</v>
      </c>
    </row>
    <row r="17" spans="1:59" s="112" customFormat="1" ht="13.2" x14ac:dyDescent="0.3">
      <c r="A17" s="160">
        <v>5135</v>
      </c>
      <c r="B17" s="161" t="s">
        <v>176</v>
      </c>
      <c r="C17" s="160" t="s">
        <v>175</v>
      </c>
      <c r="D17" s="160" t="s">
        <v>162</v>
      </c>
      <c r="E17" s="162"/>
      <c r="F17" s="162"/>
      <c r="G17" s="160">
        <v>6950</v>
      </c>
      <c r="H17" s="160">
        <f t="shared" si="0"/>
        <v>0</v>
      </c>
      <c r="K17" s="162"/>
      <c r="L17" s="162">
        <v>0</v>
      </c>
      <c r="M17" s="160">
        <v>3484</v>
      </c>
      <c r="N17" s="160">
        <f t="shared" si="1"/>
        <v>0</v>
      </c>
      <c r="P17" s="162"/>
      <c r="Q17" s="162">
        <v>0</v>
      </c>
      <c r="R17" s="160">
        <v>3317</v>
      </c>
      <c r="S17" s="160">
        <f t="shared" si="2"/>
        <v>0</v>
      </c>
      <c r="U17" s="162"/>
      <c r="V17" s="162">
        <v>0</v>
      </c>
      <c r="W17" s="160">
        <v>27047</v>
      </c>
      <c r="X17" s="160">
        <f t="shared" si="3"/>
        <v>0</v>
      </c>
      <c r="Z17" s="162"/>
      <c r="AA17" s="162">
        <v>0</v>
      </c>
      <c r="AB17" s="160">
        <v>3959</v>
      </c>
      <c r="AC17" s="160">
        <f t="shared" si="4"/>
        <v>0</v>
      </c>
      <c r="AE17" s="162"/>
      <c r="AF17" s="162">
        <v>0</v>
      </c>
      <c r="AG17" s="160">
        <v>10442</v>
      </c>
      <c r="AH17" s="160">
        <f t="shared" si="5"/>
        <v>0</v>
      </c>
      <c r="AJ17" s="162"/>
      <c r="AK17" s="162">
        <v>0</v>
      </c>
      <c r="AL17" s="160">
        <v>12113</v>
      </c>
      <c r="AM17" s="160">
        <f t="shared" si="6"/>
        <v>0</v>
      </c>
      <c r="AO17" s="162"/>
      <c r="AP17" s="162">
        <v>0</v>
      </c>
      <c r="AQ17" s="160">
        <v>6299</v>
      </c>
      <c r="AR17" s="160">
        <f t="shared" si="7"/>
        <v>0</v>
      </c>
      <c r="AT17" s="162"/>
      <c r="AU17" s="162">
        <v>0</v>
      </c>
      <c r="AV17" s="160">
        <v>3269</v>
      </c>
      <c r="AW17" s="160">
        <f t="shared" si="8"/>
        <v>0</v>
      </c>
      <c r="AY17" s="162"/>
      <c r="AZ17" s="162">
        <v>0</v>
      </c>
      <c r="BA17" s="160">
        <v>6557</v>
      </c>
      <c r="BB17" s="160">
        <f t="shared" si="9"/>
        <v>0</v>
      </c>
      <c r="BD17" s="162"/>
      <c r="BE17" s="162">
        <v>0</v>
      </c>
      <c r="BF17" s="160">
        <v>3448</v>
      </c>
      <c r="BG17" s="160">
        <f t="shared" si="10"/>
        <v>0</v>
      </c>
    </row>
    <row r="18" spans="1:59" s="112" customFormat="1" ht="13.2" x14ac:dyDescent="0.3">
      <c r="A18" s="160">
        <v>5135</v>
      </c>
      <c r="B18" s="161" t="s">
        <v>177</v>
      </c>
      <c r="C18" s="160" t="s">
        <v>166</v>
      </c>
      <c r="D18" s="160" t="s">
        <v>162</v>
      </c>
      <c r="E18" s="162"/>
      <c r="F18" s="162">
        <v>0</v>
      </c>
      <c r="G18" s="160">
        <v>2485</v>
      </c>
      <c r="H18" s="160">
        <f t="shared" ref="H18" si="11">F18*G18</f>
        <v>0</v>
      </c>
      <c r="K18" s="162"/>
      <c r="L18" s="162">
        <v>0</v>
      </c>
      <c r="M18" s="160">
        <v>1407</v>
      </c>
      <c r="N18" s="160">
        <f t="shared" ref="N18" si="12">L18*M18</f>
        <v>0</v>
      </c>
      <c r="P18" s="162"/>
      <c r="Q18" s="162">
        <v>0</v>
      </c>
      <c r="R18" s="160">
        <v>1334</v>
      </c>
      <c r="S18" s="160">
        <f t="shared" ref="S18" si="13">Q18*R18</f>
        <v>0</v>
      </c>
      <c r="U18" s="162"/>
      <c r="V18" s="162">
        <v>0</v>
      </c>
      <c r="W18" s="160">
        <v>9466</v>
      </c>
      <c r="X18" s="160">
        <f t="shared" ref="X18" si="14">V18*W18</f>
        <v>0</v>
      </c>
      <c r="Z18" s="162"/>
      <c r="AA18" s="162">
        <v>0</v>
      </c>
      <c r="AB18" s="160">
        <v>1452</v>
      </c>
      <c r="AC18" s="160">
        <f t="shared" ref="AC18" si="15">AA18*AB18</f>
        <v>0</v>
      </c>
      <c r="AE18" s="162"/>
      <c r="AF18" s="162">
        <v>0</v>
      </c>
      <c r="AG18" s="160">
        <v>3612</v>
      </c>
      <c r="AH18" s="160">
        <f t="shared" ref="AH18" si="16">AF18*AG18</f>
        <v>0</v>
      </c>
      <c r="AJ18" s="162"/>
      <c r="AK18" s="162">
        <v>0</v>
      </c>
      <c r="AL18" s="160">
        <v>3695</v>
      </c>
      <c r="AM18" s="160">
        <f t="shared" ref="AM18" si="17">AK18*AL18</f>
        <v>0</v>
      </c>
      <c r="AO18" s="162"/>
      <c r="AP18" s="162">
        <v>0</v>
      </c>
      <c r="AQ18" s="160">
        <v>2398</v>
      </c>
      <c r="AR18" s="160">
        <f t="shared" ref="AR18" si="18">AP18*AQ18</f>
        <v>0</v>
      </c>
      <c r="AT18" s="162"/>
      <c r="AU18" s="162">
        <v>0</v>
      </c>
      <c r="AV18" s="160">
        <v>1378</v>
      </c>
      <c r="AW18" s="160">
        <f t="shared" ref="AW18" si="19">AU18*AV18</f>
        <v>0</v>
      </c>
      <c r="AY18" s="162"/>
      <c r="AZ18" s="162">
        <v>0</v>
      </c>
      <c r="BA18" s="160">
        <v>2291</v>
      </c>
      <c r="BB18" s="160">
        <f t="shared" ref="BB18" si="20">AZ18*BA18</f>
        <v>0</v>
      </c>
      <c r="BD18" s="162"/>
      <c r="BE18" s="162">
        <v>0</v>
      </c>
      <c r="BF18" s="160">
        <v>1433</v>
      </c>
      <c r="BG18" s="160">
        <f t="shared" ref="BG18" si="21">BE18*BF18</f>
        <v>0</v>
      </c>
    </row>
    <row r="19" spans="1:59" s="112" customFormat="1" ht="21.75" customHeight="1" x14ac:dyDescent="0.3">
      <c r="A19" s="160">
        <v>5135</v>
      </c>
      <c r="B19" s="161" t="s">
        <v>178</v>
      </c>
      <c r="C19" s="160" t="s">
        <v>166</v>
      </c>
      <c r="D19" s="160" t="s">
        <v>162</v>
      </c>
      <c r="E19" s="162"/>
      <c r="F19" s="162">
        <v>0</v>
      </c>
      <c r="G19" s="160">
        <v>5452</v>
      </c>
      <c r="H19" s="160">
        <f t="shared" si="0"/>
        <v>0</v>
      </c>
      <c r="K19" s="162"/>
      <c r="L19" s="162">
        <v>0</v>
      </c>
      <c r="M19" s="160">
        <v>2896</v>
      </c>
      <c r="N19" s="160">
        <f t="shared" si="1"/>
        <v>0</v>
      </c>
      <c r="P19" s="162"/>
      <c r="Q19" s="162">
        <v>0</v>
      </c>
      <c r="R19" s="160">
        <v>2765</v>
      </c>
      <c r="S19" s="160">
        <f t="shared" si="2"/>
        <v>0</v>
      </c>
      <c r="U19" s="162"/>
      <c r="V19" s="162">
        <v>0</v>
      </c>
      <c r="W19" s="160">
        <v>20873</v>
      </c>
      <c r="X19" s="160">
        <f t="shared" si="3"/>
        <v>0</v>
      </c>
      <c r="Z19" s="162"/>
      <c r="AA19" s="162">
        <v>0</v>
      </c>
      <c r="AB19" s="160">
        <v>2997</v>
      </c>
      <c r="AC19" s="160">
        <f t="shared" si="4"/>
        <v>0</v>
      </c>
      <c r="AE19" s="162"/>
      <c r="AF19" s="162">
        <v>0</v>
      </c>
      <c r="AG19" s="160">
        <v>8186</v>
      </c>
      <c r="AH19" s="160">
        <f t="shared" si="5"/>
        <v>0</v>
      </c>
      <c r="AJ19" s="162"/>
      <c r="AK19" s="162">
        <v>0</v>
      </c>
      <c r="AL19" s="160">
        <v>7915</v>
      </c>
      <c r="AM19" s="160">
        <f t="shared" si="6"/>
        <v>0</v>
      </c>
      <c r="AO19" s="162"/>
      <c r="AP19" s="162">
        <v>0</v>
      </c>
      <c r="AQ19" s="160">
        <v>5032</v>
      </c>
      <c r="AR19" s="160">
        <f t="shared" si="7"/>
        <v>0</v>
      </c>
      <c r="AT19" s="162"/>
      <c r="AU19" s="162">
        <v>0</v>
      </c>
      <c r="AV19" s="160">
        <v>2847</v>
      </c>
      <c r="AW19" s="160">
        <f t="shared" si="8"/>
        <v>0</v>
      </c>
      <c r="AY19" s="162"/>
      <c r="AZ19" s="162">
        <v>0</v>
      </c>
      <c r="BA19" s="160">
        <v>5364</v>
      </c>
      <c r="BB19" s="160">
        <f t="shared" si="9"/>
        <v>0</v>
      </c>
      <c r="BD19" s="162"/>
      <c r="BE19" s="162">
        <v>0</v>
      </c>
      <c r="BF19" s="160">
        <v>3219</v>
      </c>
      <c r="BG19" s="160">
        <f t="shared" si="10"/>
        <v>0</v>
      </c>
    </row>
    <row r="20" spans="1:59" ht="15" x14ac:dyDescent="0.25">
      <c r="A20" s="193"/>
      <c r="B20" s="194"/>
      <c r="C20" s="194"/>
      <c r="D20" s="76"/>
      <c r="E20" s="77"/>
      <c r="F20" s="164" t="s">
        <v>179</v>
      </c>
      <c r="G20" s="78"/>
      <c r="H20" s="165">
        <f>SUM(H10:H19)</f>
        <v>0</v>
      </c>
      <c r="K20" s="77"/>
      <c r="L20" s="164" t="s">
        <v>179</v>
      </c>
      <c r="M20" s="78"/>
      <c r="N20" s="165">
        <f>SUM(N10:N19)</f>
        <v>0</v>
      </c>
      <c r="P20" s="77"/>
      <c r="Q20" s="164" t="s">
        <v>179</v>
      </c>
      <c r="R20" s="78"/>
      <c r="S20" s="165">
        <f>SUM(S10:S19)</f>
        <v>0</v>
      </c>
      <c r="U20" s="77"/>
      <c r="V20" s="164" t="s">
        <v>179</v>
      </c>
      <c r="W20" s="78"/>
      <c r="X20" s="165">
        <f>SUM(X10:X19)</f>
        <v>0</v>
      </c>
      <c r="Z20" s="77"/>
      <c r="AA20" s="164" t="s">
        <v>179</v>
      </c>
      <c r="AB20" s="78"/>
      <c r="AC20" s="165">
        <f>SUM(AC10:AC19)</f>
        <v>0</v>
      </c>
      <c r="AE20" s="77"/>
      <c r="AF20" s="164" t="s">
        <v>179</v>
      </c>
      <c r="AG20" s="78"/>
      <c r="AH20" s="165">
        <f>SUM(AH10:AH19)</f>
        <v>0</v>
      </c>
      <c r="AJ20" s="77"/>
      <c r="AK20" s="164" t="s">
        <v>179</v>
      </c>
      <c r="AL20" s="78"/>
      <c r="AM20" s="165">
        <f>SUM(AM10:AM19)</f>
        <v>0</v>
      </c>
      <c r="AO20" s="77"/>
      <c r="AP20" s="164" t="s">
        <v>179</v>
      </c>
      <c r="AQ20" s="78"/>
      <c r="AR20" s="165">
        <f>SUM(AR10:AR19)</f>
        <v>0</v>
      </c>
      <c r="AT20" s="77"/>
      <c r="AU20" s="164" t="s">
        <v>179</v>
      </c>
      <c r="AV20" s="78"/>
      <c r="AW20" s="165">
        <f>SUM(AW10:AW19)</f>
        <v>0</v>
      </c>
      <c r="AY20" s="77"/>
      <c r="AZ20" s="164" t="s">
        <v>179</v>
      </c>
      <c r="BA20" s="78"/>
      <c r="BB20" s="165">
        <f>SUM(BB10:BB19)</f>
        <v>0</v>
      </c>
      <c r="BD20" s="77"/>
      <c r="BE20" s="164" t="s">
        <v>179</v>
      </c>
      <c r="BF20" s="78"/>
      <c r="BG20" s="165">
        <f>SUM(BG10:BG19)</f>
        <v>0</v>
      </c>
    </row>
    <row r="21" spans="1:59" ht="19.5" customHeight="1" x14ac:dyDescent="0.25"/>
    <row r="22" spans="1:59" s="36" customFormat="1" ht="19.5" customHeight="1" x14ac:dyDescent="0.25">
      <c r="A22" s="29" t="s">
        <v>61</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x14ac:dyDescent="0.25">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x14ac:dyDescent="0.25">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x14ac:dyDescent="0.25">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x14ac:dyDescent="0.25">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x14ac:dyDescent="0.25">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x14ac:dyDescent="0.25">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x14ac:dyDescent="0.25">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x14ac:dyDescent="0.25">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x14ac:dyDescent="0.25">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x14ac:dyDescent="0.25">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x14ac:dyDescent="0.25">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x14ac:dyDescent="0.25">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Z8:AC8"/>
    <mergeCell ref="AE8:AH8"/>
    <mergeCell ref="A20:C20"/>
    <mergeCell ref="E8:H8"/>
    <mergeCell ref="K8:N8"/>
    <mergeCell ref="P8:S8"/>
    <mergeCell ref="U8:X8"/>
    <mergeCell ref="AJ8:AM8"/>
    <mergeCell ref="AO8:AR8"/>
    <mergeCell ref="AT8:AW8"/>
    <mergeCell ref="AY8:BB8"/>
    <mergeCell ref="BD8:BG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workbookViewId="0">
      <selection activeCell="E17" sqref="E17"/>
    </sheetView>
  </sheetViews>
  <sheetFormatPr defaultColWidth="9.109375" defaultRowHeight="13.8" x14ac:dyDescent="0.25"/>
  <cols>
    <col min="1" max="1" width="24.5546875" style="99" bestFit="1" customWidth="1"/>
    <col min="2" max="2" width="17.109375" style="99" customWidth="1"/>
    <col min="3" max="3" width="23.33203125" style="100" customWidth="1"/>
    <col min="4" max="4" width="14.88671875" style="100" customWidth="1"/>
    <col min="5" max="5" width="17" style="154" customWidth="1"/>
    <col min="6" max="6" width="2.5546875" style="155" customWidth="1"/>
    <col min="7" max="7" width="2.44140625" style="99" customWidth="1"/>
    <col min="8" max="8" width="23.33203125" style="100" customWidth="1"/>
    <col min="9" max="9" width="14.88671875" style="100" customWidth="1"/>
    <col min="10" max="10" width="17" style="154" customWidth="1"/>
    <col min="11" max="11" width="12.44140625" style="155" customWidth="1"/>
    <col min="12" max="12" width="2.44140625" style="99" customWidth="1"/>
    <col min="13" max="13" width="23.33203125" style="100" customWidth="1"/>
    <col min="14" max="14" width="14.88671875" style="100" customWidth="1"/>
    <col min="15" max="15" width="17" style="154" customWidth="1"/>
    <col min="16" max="16" width="12.44140625" style="155" customWidth="1"/>
    <col min="17" max="17" width="1.88671875" style="99" customWidth="1"/>
    <col min="18" max="18" width="23.33203125" style="100" customWidth="1"/>
    <col min="19" max="19" width="14.88671875" style="100" customWidth="1"/>
    <col min="20" max="20" width="17" style="154" customWidth="1"/>
    <col min="21" max="21" width="12.44140625" style="155" customWidth="1"/>
    <col min="22" max="22" width="2.109375" style="99" customWidth="1"/>
    <col min="23" max="23" width="23.33203125" style="100" customWidth="1"/>
    <col min="24" max="24" width="14.88671875" style="100" customWidth="1"/>
    <col min="25" max="25" width="17" style="154" customWidth="1"/>
    <col min="26" max="26" width="12.44140625" style="155" customWidth="1"/>
    <col min="27" max="27" width="2.109375" style="99" customWidth="1"/>
    <col min="28" max="28" width="23.33203125" style="100" customWidth="1"/>
    <col min="29" max="29" width="14.88671875" style="100" customWidth="1"/>
    <col min="30" max="30" width="17" style="154" customWidth="1"/>
    <col min="31" max="31" width="12.44140625" style="155" customWidth="1"/>
    <col min="32" max="32" width="2.5546875" style="99" customWidth="1"/>
    <col min="33" max="33" width="23.33203125" style="100" customWidth="1"/>
    <col min="34" max="34" width="14.88671875" style="100" customWidth="1"/>
    <col min="35" max="35" width="17" style="154" customWidth="1"/>
    <col min="36" max="36" width="12.44140625" style="155" customWidth="1"/>
    <col min="37" max="37" width="2.33203125" style="99" customWidth="1"/>
    <col min="38" max="38" width="23.33203125" style="100" customWidth="1"/>
    <col min="39" max="39" width="14.88671875" style="100" customWidth="1"/>
    <col min="40" max="40" width="17" style="154" customWidth="1"/>
    <col min="41" max="41" width="12.44140625" style="155" customWidth="1"/>
    <col min="42" max="42" width="2.6640625" style="99" customWidth="1"/>
    <col min="43" max="43" width="23.33203125" style="100" customWidth="1"/>
    <col min="44" max="44" width="14.88671875" style="100" customWidth="1"/>
    <col min="45" max="45" width="17" style="154" customWidth="1"/>
    <col min="46" max="46" width="12.44140625" style="155" customWidth="1"/>
    <col min="47" max="47" width="2.6640625" style="99" customWidth="1"/>
    <col min="48" max="48" width="23.33203125" style="100" customWidth="1"/>
    <col min="49" max="49" width="14.88671875" style="100" customWidth="1"/>
    <col min="50" max="50" width="17" style="154" customWidth="1"/>
    <col min="51" max="51" width="12.44140625" style="155" customWidth="1"/>
    <col min="52" max="52" width="2.88671875" style="99" customWidth="1"/>
    <col min="53" max="53" width="23.33203125" style="100" customWidth="1"/>
    <col min="54" max="54" width="14.88671875" style="100" customWidth="1"/>
    <col min="55" max="55" width="17" style="154" customWidth="1"/>
    <col min="56" max="56" width="12.44140625" style="155" customWidth="1"/>
    <col min="57" max="16384" width="9.109375" style="99"/>
  </cols>
  <sheetData>
    <row r="1" spans="1:56" s="1" customFormat="1" ht="24" x14ac:dyDescent="0.25">
      <c r="A1" s="73" t="s">
        <v>180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x14ac:dyDescent="0.25"/>
    <row r="3" spans="1:56" s="1" customFormat="1" ht="21" customHeight="1" x14ac:dyDescent="0.45">
      <c r="A3" s="2" t="s">
        <v>27</v>
      </c>
      <c r="B3" s="156" t="s">
        <v>63</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x14ac:dyDescent="0.45">
      <c r="A4" s="2"/>
      <c r="B4" s="157" t="s">
        <v>181</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x14ac:dyDescent="0.25">
      <c r="B5" s="156" t="s">
        <v>182</v>
      </c>
    </row>
    <row r="6" spans="1:56" ht="19.5" customHeight="1" x14ac:dyDescent="0.25">
      <c r="B6" s="158" t="s">
        <v>31</v>
      </c>
    </row>
    <row r="7" spans="1:56" ht="19.5" customHeight="1" x14ac:dyDescent="0.25"/>
    <row r="8" spans="1:56" ht="27.6" x14ac:dyDescent="0.45">
      <c r="B8" s="232" t="s">
        <v>33</v>
      </c>
      <c r="C8" s="233"/>
      <c r="D8" s="233"/>
      <c r="E8" s="234"/>
      <c r="H8" s="232" t="s">
        <v>34</v>
      </c>
      <c r="I8" s="233"/>
      <c r="J8" s="233"/>
      <c r="K8" s="234"/>
      <c r="M8" s="232" t="s">
        <v>35</v>
      </c>
      <c r="N8" s="233"/>
      <c r="O8" s="233"/>
      <c r="P8" s="234"/>
      <c r="R8" s="232" t="s">
        <v>36</v>
      </c>
      <c r="S8" s="233"/>
      <c r="T8" s="233"/>
      <c r="U8" s="234"/>
      <c r="W8" s="232" t="s">
        <v>37</v>
      </c>
      <c r="X8" s="233"/>
      <c r="Y8" s="233"/>
      <c r="Z8" s="234"/>
      <c r="AB8" s="232" t="s">
        <v>38</v>
      </c>
      <c r="AC8" s="233"/>
      <c r="AD8" s="233"/>
      <c r="AE8" s="234"/>
      <c r="AG8" s="232" t="s">
        <v>39</v>
      </c>
      <c r="AH8" s="233"/>
      <c r="AI8" s="233"/>
      <c r="AJ8" s="234"/>
      <c r="AL8" s="232" t="s">
        <v>40</v>
      </c>
      <c r="AM8" s="233"/>
      <c r="AN8" s="233"/>
      <c r="AO8" s="234"/>
      <c r="AQ8" s="232" t="s">
        <v>41</v>
      </c>
      <c r="AR8" s="233"/>
      <c r="AS8" s="233"/>
      <c r="AT8" s="234"/>
      <c r="AV8" s="232" t="s">
        <v>42</v>
      </c>
      <c r="AW8" s="233"/>
      <c r="AX8" s="233"/>
      <c r="AY8" s="234"/>
      <c r="BA8" s="232" t="s">
        <v>43</v>
      </c>
      <c r="BB8" s="233"/>
      <c r="BC8" s="233"/>
      <c r="BD8" s="234"/>
    </row>
    <row r="9" spans="1:56" s="159" customFormat="1" ht="30" x14ac:dyDescent="0.25">
      <c r="A9" s="163" t="s">
        <v>183</v>
      </c>
      <c r="B9" s="163" t="s">
        <v>184</v>
      </c>
      <c r="C9" s="163" t="s">
        <v>185</v>
      </c>
      <c r="D9" s="163" t="s">
        <v>186</v>
      </c>
      <c r="E9" s="163" t="s">
        <v>185</v>
      </c>
      <c r="H9" s="163" t="s">
        <v>184</v>
      </c>
      <c r="I9" s="163" t="s">
        <v>185</v>
      </c>
      <c r="J9" s="163" t="s">
        <v>186</v>
      </c>
      <c r="K9" s="163" t="s">
        <v>185</v>
      </c>
      <c r="M9" s="163" t="s">
        <v>184</v>
      </c>
      <c r="N9" s="163" t="s">
        <v>185</v>
      </c>
      <c r="O9" s="163" t="s">
        <v>186</v>
      </c>
      <c r="P9" s="163" t="s">
        <v>185</v>
      </c>
      <c r="R9" s="163" t="s">
        <v>184</v>
      </c>
      <c r="S9" s="163" t="s">
        <v>185</v>
      </c>
      <c r="T9" s="163" t="s">
        <v>186</v>
      </c>
      <c r="U9" s="163" t="s">
        <v>185</v>
      </c>
      <c r="W9" s="163" t="s">
        <v>184</v>
      </c>
      <c r="X9" s="163" t="s">
        <v>185</v>
      </c>
      <c r="Y9" s="163" t="s">
        <v>186</v>
      </c>
      <c r="Z9" s="163" t="s">
        <v>185</v>
      </c>
      <c r="AB9" s="163" t="s">
        <v>184</v>
      </c>
      <c r="AC9" s="163" t="s">
        <v>185</v>
      </c>
      <c r="AD9" s="163" t="s">
        <v>186</v>
      </c>
      <c r="AE9" s="163" t="s">
        <v>185</v>
      </c>
      <c r="AG9" s="163" t="s">
        <v>184</v>
      </c>
      <c r="AH9" s="163" t="s">
        <v>185</v>
      </c>
      <c r="AI9" s="163" t="s">
        <v>186</v>
      </c>
      <c r="AJ9" s="163" t="s">
        <v>185</v>
      </c>
      <c r="AL9" s="163" t="s">
        <v>184</v>
      </c>
      <c r="AM9" s="163" t="s">
        <v>185</v>
      </c>
      <c r="AN9" s="163" t="s">
        <v>186</v>
      </c>
      <c r="AO9" s="163" t="s">
        <v>185</v>
      </c>
      <c r="AQ9" s="163" t="s">
        <v>184</v>
      </c>
      <c r="AR9" s="163" t="s">
        <v>185</v>
      </c>
      <c r="AS9" s="163" t="s">
        <v>186</v>
      </c>
      <c r="AT9" s="163" t="s">
        <v>185</v>
      </c>
      <c r="AV9" s="163" t="s">
        <v>184</v>
      </c>
      <c r="AW9" s="163" t="s">
        <v>185</v>
      </c>
      <c r="AX9" s="163" t="s">
        <v>186</v>
      </c>
      <c r="AY9" s="163" t="s">
        <v>185</v>
      </c>
      <c r="BA9" s="163" t="s">
        <v>184</v>
      </c>
      <c r="BB9" s="163" t="s">
        <v>185</v>
      </c>
      <c r="BC9" s="163" t="s">
        <v>186</v>
      </c>
      <c r="BD9" s="163" t="s">
        <v>185</v>
      </c>
    </row>
    <row r="10" spans="1:56" s="112" customFormat="1" ht="13.2" x14ac:dyDescent="0.3">
      <c r="A10" s="161" t="s">
        <v>187</v>
      </c>
      <c r="B10" s="162">
        <v>0</v>
      </c>
      <c r="C10" s="162">
        <v>0</v>
      </c>
      <c r="D10" s="162">
        <v>0</v>
      </c>
      <c r="E10" s="162">
        <v>0</v>
      </c>
      <c r="H10" s="162"/>
      <c r="I10" s="162">
        <v>0</v>
      </c>
      <c r="J10" s="162"/>
      <c r="K10" s="162">
        <v>0</v>
      </c>
      <c r="M10" s="162"/>
      <c r="N10" s="162">
        <v>0</v>
      </c>
      <c r="O10" s="162"/>
      <c r="P10" s="162">
        <v>0</v>
      </c>
      <c r="R10" s="162"/>
      <c r="S10" s="162">
        <v>0</v>
      </c>
      <c r="T10" s="162"/>
      <c r="U10" s="162">
        <v>0</v>
      </c>
      <c r="W10" s="162"/>
      <c r="X10" s="162">
        <v>0</v>
      </c>
      <c r="Y10" s="162"/>
      <c r="Z10" s="162">
        <v>0</v>
      </c>
      <c r="AB10" s="162"/>
      <c r="AC10" s="162">
        <v>0</v>
      </c>
      <c r="AD10" s="162"/>
      <c r="AE10" s="162">
        <v>0</v>
      </c>
      <c r="AG10" s="162"/>
      <c r="AH10" s="162">
        <v>0</v>
      </c>
      <c r="AI10" s="162"/>
      <c r="AJ10" s="162">
        <v>0</v>
      </c>
      <c r="AL10" s="162"/>
      <c r="AM10" s="162">
        <v>0</v>
      </c>
      <c r="AN10" s="162"/>
      <c r="AO10" s="162">
        <v>0</v>
      </c>
      <c r="AQ10" s="162"/>
      <c r="AR10" s="162">
        <v>0</v>
      </c>
      <c r="AS10" s="162"/>
      <c r="AT10" s="162">
        <v>0</v>
      </c>
      <c r="AV10" s="162"/>
      <c r="AW10" s="162">
        <v>0</v>
      </c>
      <c r="AX10" s="162"/>
      <c r="AY10" s="162">
        <v>0</v>
      </c>
      <c r="BA10" s="162"/>
      <c r="BB10" s="162">
        <v>0</v>
      </c>
      <c r="BC10" s="162"/>
      <c r="BD10" s="162">
        <v>0</v>
      </c>
    </row>
    <row r="11" spans="1:56" s="112" customFormat="1" ht="13.2" x14ac:dyDescent="0.3">
      <c r="A11" s="161" t="s">
        <v>188</v>
      </c>
      <c r="B11" s="162">
        <v>0</v>
      </c>
      <c r="C11" s="162">
        <v>0</v>
      </c>
      <c r="D11" s="162">
        <v>0</v>
      </c>
      <c r="E11" s="162">
        <v>0</v>
      </c>
      <c r="H11" s="162"/>
      <c r="I11" s="162">
        <v>0</v>
      </c>
      <c r="J11" s="162"/>
      <c r="K11" s="162">
        <v>0</v>
      </c>
      <c r="M11" s="162"/>
      <c r="N11" s="162">
        <v>0</v>
      </c>
      <c r="O11" s="162"/>
      <c r="P11" s="162">
        <v>0</v>
      </c>
      <c r="R11" s="162"/>
      <c r="S11" s="162">
        <v>0</v>
      </c>
      <c r="T11" s="162"/>
      <c r="U11" s="162">
        <v>0</v>
      </c>
      <c r="W11" s="162"/>
      <c r="X11" s="162">
        <v>0</v>
      </c>
      <c r="Y11" s="162"/>
      <c r="Z11" s="162">
        <v>0</v>
      </c>
      <c r="AB11" s="162"/>
      <c r="AC11" s="162">
        <v>0</v>
      </c>
      <c r="AD11" s="162"/>
      <c r="AE11" s="162">
        <v>0</v>
      </c>
      <c r="AG11" s="162"/>
      <c r="AH11" s="162">
        <v>0</v>
      </c>
      <c r="AI11" s="162"/>
      <c r="AJ11" s="162">
        <v>0</v>
      </c>
      <c r="AL11" s="162"/>
      <c r="AM11" s="162">
        <v>0</v>
      </c>
      <c r="AN11" s="162"/>
      <c r="AO11" s="162">
        <v>0</v>
      </c>
      <c r="AQ11" s="162"/>
      <c r="AR11" s="162">
        <v>0</v>
      </c>
      <c r="AS11" s="162"/>
      <c r="AT11" s="162">
        <v>0</v>
      </c>
      <c r="AV11" s="162"/>
      <c r="AW11" s="162">
        <v>0</v>
      </c>
      <c r="AX11" s="162"/>
      <c r="AY11" s="162">
        <v>0</v>
      </c>
      <c r="BA11" s="162"/>
      <c r="BB11" s="162">
        <v>0</v>
      </c>
      <c r="BC11" s="162"/>
      <c r="BD11" s="162">
        <v>0</v>
      </c>
    </row>
    <row r="12" spans="1:56" s="112" customFormat="1" ht="13.2" x14ac:dyDescent="0.3">
      <c r="A12" s="161" t="s">
        <v>189</v>
      </c>
      <c r="B12" s="162">
        <v>0</v>
      </c>
      <c r="C12" s="162">
        <v>0</v>
      </c>
      <c r="D12" s="181">
        <v>0.05</v>
      </c>
      <c r="E12" s="162">
        <v>0</v>
      </c>
      <c r="H12" s="162"/>
      <c r="I12" s="162">
        <v>0</v>
      </c>
      <c r="J12" s="162"/>
      <c r="K12" s="162">
        <v>0</v>
      </c>
      <c r="M12" s="162"/>
      <c r="N12" s="162">
        <v>0</v>
      </c>
      <c r="O12" s="162"/>
      <c r="P12" s="162">
        <v>0</v>
      </c>
      <c r="R12" s="162"/>
      <c r="S12" s="162">
        <v>0</v>
      </c>
      <c r="T12" s="162"/>
      <c r="U12" s="162">
        <v>0</v>
      </c>
      <c r="W12" s="162"/>
      <c r="X12" s="162">
        <v>0</v>
      </c>
      <c r="Y12" s="162"/>
      <c r="Z12" s="162">
        <v>0</v>
      </c>
      <c r="AB12" s="162"/>
      <c r="AC12" s="162">
        <v>0</v>
      </c>
      <c r="AD12" s="162"/>
      <c r="AE12" s="162">
        <v>0</v>
      </c>
      <c r="AG12" s="162"/>
      <c r="AH12" s="162">
        <v>0</v>
      </c>
      <c r="AI12" s="162"/>
      <c r="AJ12" s="162">
        <v>0</v>
      </c>
      <c r="AL12" s="162"/>
      <c r="AM12" s="162">
        <v>0</v>
      </c>
      <c r="AN12" s="162"/>
      <c r="AO12" s="162">
        <v>0</v>
      </c>
      <c r="AQ12" s="162"/>
      <c r="AR12" s="162">
        <v>0</v>
      </c>
      <c r="AS12" s="162"/>
      <c r="AT12" s="162">
        <v>0</v>
      </c>
      <c r="AV12" s="162"/>
      <c r="AW12" s="162">
        <v>0</v>
      </c>
      <c r="AX12" s="162"/>
      <c r="AY12" s="162">
        <v>0</v>
      </c>
      <c r="BA12" s="162"/>
      <c r="BB12" s="162">
        <v>0</v>
      </c>
      <c r="BC12" s="162"/>
      <c r="BD12" s="162">
        <v>0</v>
      </c>
    </row>
    <row r="13" spans="1:56" s="112" customFormat="1" ht="13.2" x14ac:dyDescent="0.3">
      <c r="A13" s="161" t="s">
        <v>190</v>
      </c>
      <c r="B13" s="162">
        <v>0</v>
      </c>
      <c r="C13" s="162">
        <v>0</v>
      </c>
      <c r="D13" s="181">
        <v>0.05</v>
      </c>
      <c r="E13" s="162">
        <v>0</v>
      </c>
      <c r="H13" s="162"/>
      <c r="I13" s="162">
        <v>0</v>
      </c>
      <c r="J13" s="162"/>
      <c r="K13" s="162">
        <v>0</v>
      </c>
      <c r="M13" s="162"/>
      <c r="N13" s="162">
        <v>0</v>
      </c>
      <c r="O13" s="162"/>
      <c r="P13" s="162">
        <v>0</v>
      </c>
      <c r="R13" s="162"/>
      <c r="S13" s="162">
        <v>0</v>
      </c>
      <c r="T13" s="162"/>
      <c r="U13" s="162">
        <v>0</v>
      </c>
      <c r="W13" s="162"/>
      <c r="X13" s="162">
        <v>0</v>
      </c>
      <c r="Y13" s="162"/>
      <c r="Z13" s="162">
        <v>0</v>
      </c>
      <c r="AB13" s="162"/>
      <c r="AC13" s="162">
        <v>0</v>
      </c>
      <c r="AD13" s="162"/>
      <c r="AE13" s="162">
        <v>0</v>
      </c>
      <c r="AG13" s="162"/>
      <c r="AH13" s="162">
        <v>0</v>
      </c>
      <c r="AI13" s="162"/>
      <c r="AJ13" s="162">
        <v>0</v>
      </c>
      <c r="AL13" s="162"/>
      <c r="AM13" s="162">
        <v>0</v>
      </c>
      <c r="AN13" s="162"/>
      <c r="AO13" s="162">
        <v>0</v>
      </c>
      <c r="AQ13" s="162"/>
      <c r="AR13" s="162">
        <v>0</v>
      </c>
      <c r="AS13" s="162"/>
      <c r="AT13" s="162">
        <v>0</v>
      </c>
      <c r="AV13" s="162"/>
      <c r="AW13" s="162">
        <v>0</v>
      </c>
      <c r="AX13" s="162"/>
      <c r="AY13" s="162">
        <v>0</v>
      </c>
      <c r="BA13" s="162"/>
      <c r="BB13" s="162">
        <v>0</v>
      </c>
      <c r="BC13" s="162"/>
      <c r="BD13" s="162">
        <v>0</v>
      </c>
    </row>
    <row r="14" spans="1:56" s="112" customFormat="1" ht="13.2" x14ac:dyDescent="0.3">
      <c r="A14" s="161" t="s">
        <v>191</v>
      </c>
      <c r="B14" s="162">
        <v>0</v>
      </c>
      <c r="C14" s="162">
        <v>0</v>
      </c>
      <c r="D14" s="181">
        <v>0.05</v>
      </c>
      <c r="E14" s="162">
        <v>0</v>
      </c>
      <c r="H14" s="162"/>
      <c r="I14" s="162">
        <v>0</v>
      </c>
      <c r="J14" s="162"/>
      <c r="K14" s="162">
        <v>0</v>
      </c>
      <c r="M14" s="162"/>
      <c r="N14" s="162">
        <v>0</v>
      </c>
      <c r="O14" s="162"/>
      <c r="P14" s="162">
        <v>0</v>
      </c>
      <c r="R14" s="162"/>
      <c r="S14" s="162">
        <v>0</v>
      </c>
      <c r="T14" s="162"/>
      <c r="U14" s="162">
        <v>0</v>
      </c>
      <c r="W14" s="162"/>
      <c r="X14" s="162">
        <v>0</v>
      </c>
      <c r="Y14" s="162"/>
      <c r="Z14" s="162">
        <v>0</v>
      </c>
      <c r="AB14" s="162"/>
      <c r="AC14" s="162">
        <v>0</v>
      </c>
      <c r="AD14" s="162"/>
      <c r="AE14" s="162">
        <v>0</v>
      </c>
      <c r="AG14" s="162"/>
      <c r="AH14" s="162">
        <v>0</v>
      </c>
      <c r="AI14" s="162"/>
      <c r="AJ14" s="162">
        <v>0</v>
      </c>
      <c r="AL14" s="162"/>
      <c r="AM14" s="162">
        <v>0</v>
      </c>
      <c r="AN14" s="162"/>
      <c r="AO14" s="162">
        <v>0</v>
      </c>
      <c r="AQ14" s="162"/>
      <c r="AR14" s="162">
        <v>0</v>
      </c>
      <c r="AS14" s="162"/>
      <c r="AT14" s="162">
        <v>0</v>
      </c>
      <c r="AV14" s="162"/>
      <c r="AW14" s="162">
        <v>0</v>
      </c>
      <c r="AX14" s="162"/>
      <c r="AY14" s="162">
        <v>0</v>
      </c>
      <c r="BA14" s="162"/>
      <c r="BB14" s="162">
        <v>0</v>
      </c>
      <c r="BC14" s="162"/>
      <c r="BD14" s="162">
        <v>0</v>
      </c>
    </row>
    <row r="15" spans="1:56" s="112" customFormat="1" ht="13.2" x14ac:dyDescent="0.3">
      <c r="A15" s="161" t="s">
        <v>192</v>
      </c>
      <c r="B15" s="162">
        <v>0</v>
      </c>
      <c r="C15" s="162">
        <v>0</v>
      </c>
      <c r="D15" s="181">
        <v>0.05</v>
      </c>
      <c r="E15" s="162">
        <v>0</v>
      </c>
      <c r="H15" s="162"/>
      <c r="I15" s="162">
        <v>0</v>
      </c>
      <c r="J15" s="162"/>
      <c r="K15" s="162">
        <v>0</v>
      </c>
      <c r="M15" s="162"/>
      <c r="N15" s="162">
        <v>0</v>
      </c>
      <c r="O15" s="162"/>
      <c r="P15" s="162">
        <v>0</v>
      </c>
      <c r="R15" s="162"/>
      <c r="S15" s="162">
        <v>0</v>
      </c>
      <c r="T15" s="162"/>
      <c r="U15" s="162">
        <v>0</v>
      </c>
      <c r="W15" s="162"/>
      <c r="X15" s="162">
        <v>0</v>
      </c>
      <c r="Y15" s="162"/>
      <c r="Z15" s="162">
        <v>0</v>
      </c>
      <c r="AB15" s="162"/>
      <c r="AC15" s="162">
        <v>0</v>
      </c>
      <c r="AD15" s="162"/>
      <c r="AE15" s="162">
        <v>0</v>
      </c>
      <c r="AG15" s="162"/>
      <c r="AH15" s="162">
        <v>0</v>
      </c>
      <c r="AI15" s="162"/>
      <c r="AJ15" s="162">
        <v>0</v>
      </c>
      <c r="AL15" s="162"/>
      <c r="AM15" s="162">
        <v>0</v>
      </c>
      <c r="AN15" s="162"/>
      <c r="AO15" s="162">
        <v>0</v>
      </c>
      <c r="AQ15" s="162"/>
      <c r="AR15" s="162">
        <v>0</v>
      </c>
      <c r="AS15" s="162"/>
      <c r="AT15" s="162">
        <v>0</v>
      </c>
      <c r="AV15" s="162"/>
      <c r="AW15" s="162">
        <v>0</v>
      </c>
      <c r="AX15" s="162"/>
      <c r="AY15" s="162">
        <v>0</v>
      </c>
      <c r="BA15" s="162"/>
      <c r="BB15" s="162">
        <v>0</v>
      </c>
      <c r="BC15" s="162"/>
      <c r="BD15" s="162">
        <v>0</v>
      </c>
    </row>
    <row r="16" spans="1:56" s="112" customFormat="1" ht="13.2" x14ac:dyDescent="0.3">
      <c r="A16" s="161" t="s">
        <v>193</v>
      </c>
      <c r="B16" s="162">
        <v>0</v>
      </c>
      <c r="C16" s="162">
        <v>0</v>
      </c>
      <c r="D16" s="162">
        <v>0</v>
      </c>
      <c r="E16" s="162">
        <v>0</v>
      </c>
      <c r="H16" s="162"/>
      <c r="I16" s="162">
        <v>0</v>
      </c>
      <c r="J16" s="162"/>
      <c r="K16" s="162">
        <v>0</v>
      </c>
      <c r="M16" s="162"/>
      <c r="N16" s="162">
        <v>0</v>
      </c>
      <c r="O16" s="162"/>
      <c r="P16" s="162">
        <v>0</v>
      </c>
      <c r="R16" s="162"/>
      <c r="S16" s="162">
        <v>0</v>
      </c>
      <c r="T16" s="162"/>
      <c r="U16" s="162">
        <v>0</v>
      </c>
      <c r="W16" s="162"/>
      <c r="X16" s="162">
        <v>0</v>
      </c>
      <c r="Y16" s="162"/>
      <c r="Z16" s="162">
        <v>0</v>
      </c>
      <c r="AB16" s="162"/>
      <c r="AC16" s="162">
        <v>0</v>
      </c>
      <c r="AD16" s="162"/>
      <c r="AE16" s="162">
        <v>0</v>
      </c>
      <c r="AG16" s="162"/>
      <c r="AH16" s="162">
        <v>0</v>
      </c>
      <c r="AI16" s="162"/>
      <c r="AJ16" s="162">
        <v>0</v>
      </c>
      <c r="AL16" s="162"/>
      <c r="AM16" s="162">
        <v>0</v>
      </c>
      <c r="AN16" s="162"/>
      <c r="AO16" s="162">
        <v>0</v>
      </c>
      <c r="AQ16" s="162"/>
      <c r="AR16" s="162">
        <v>0</v>
      </c>
      <c r="AS16" s="162"/>
      <c r="AT16" s="162">
        <v>0</v>
      </c>
      <c r="AV16" s="162"/>
      <c r="AW16" s="162">
        <v>0</v>
      </c>
      <c r="AX16" s="162"/>
      <c r="AY16" s="162">
        <v>0</v>
      </c>
      <c r="BA16" s="162"/>
      <c r="BB16" s="162">
        <v>0</v>
      </c>
      <c r="BC16" s="162"/>
      <c r="BD16" s="162">
        <v>0</v>
      </c>
    </row>
    <row r="17" spans="1:56" s="112" customFormat="1" ht="13.2" x14ac:dyDescent="0.3">
      <c r="A17" s="161" t="s">
        <v>194</v>
      </c>
      <c r="B17" s="162">
        <v>0</v>
      </c>
      <c r="C17" s="162">
        <v>0</v>
      </c>
      <c r="D17" s="162">
        <v>0</v>
      </c>
      <c r="E17" s="162">
        <v>0</v>
      </c>
      <c r="H17" s="162"/>
      <c r="I17" s="162">
        <v>0</v>
      </c>
      <c r="J17" s="162"/>
      <c r="K17" s="162">
        <v>0</v>
      </c>
      <c r="M17" s="162"/>
      <c r="N17" s="162">
        <v>0</v>
      </c>
      <c r="O17" s="162"/>
      <c r="P17" s="162">
        <v>0</v>
      </c>
      <c r="R17" s="162"/>
      <c r="S17" s="162">
        <v>0</v>
      </c>
      <c r="T17" s="162"/>
      <c r="U17" s="162">
        <v>0</v>
      </c>
      <c r="W17" s="162"/>
      <c r="X17" s="162">
        <v>0</v>
      </c>
      <c r="Y17" s="162"/>
      <c r="Z17" s="162">
        <v>0</v>
      </c>
      <c r="AB17" s="162"/>
      <c r="AC17" s="162">
        <v>0</v>
      </c>
      <c r="AD17" s="162"/>
      <c r="AE17" s="162">
        <v>0</v>
      </c>
      <c r="AG17" s="162"/>
      <c r="AH17" s="162">
        <v>0</v>
      </c>
      <c r="AI17" s="162"/>
      <c r="AJ17" s="162">
        <v>0</v>
      </c>
      <c r="AL17" s="162"/>
      <c r="AM17" s="162">
        <v>0</v>
      </c>
      <c r="AN17" s="162"/>
      <c r="AO17" s="162">
        <v>0</v>
      </c>
      <c r="AQ17" s="162"/>
      <c r="AR17" s="162">
        <v>0</v>
      </c>
      <c r="AS17" s="162"/>
      <c r="AT17" s="162">
        <v>0</v>
      </c>
      <c r="AV17" s="162"/>
      <c r="AW17" s="162">
        <v>0</v>
      </c>
      <c r="AX17" s="162"/>
      <c r="AY17" s="162">
        <v>0</v>
      </c>
      <c r="BA17" s="162"/>
      <c r="BB17" s="162">
        <v>0</v>
      </c>
      <c r="BC17" s="162"/>
      <c r="BD17" s="162">
        <v>0</v>
      </c>
    </row>
    <row r="19" spans="1:56" x14ac:dyDescent="0.25">
      <c r="A19" s="29" t="s">
        <v>61</v>
      </c>
      <c r="B19" s="30"/>
      <c r="C19" s="30"/>
      <c r="D19" s="30"/>
      <c r="E19" s="30"/>
      <c r="F19" s="30"/>
      <c r="G19" s="30"/>
      <c r="H19" s="30"/>
      <c r="I19" s="30"/>
      <c r="J19" s="30"/>
      <c r="K19" s="30"/>
      <c r="L19" s="31"/>
      <c r="M19" s="32"/>
    </row>
    <row r="20" spans="1:56" x14ac:dyDescent="0.25">
      <c r="A20" s="35"/>
      <c r="B20" s="36"/>
      <c r="C20" s="36"/>
      <c r="D20" s="36"/>
      <c r="E20" s="36"/>
      <c r="F20" s="36"/>
      <c r="G20" s="36"/>
      <c r="H20" s="36"/>
      <c r="I20" s="36"/>
      <c r="J20" s="36"/>
      <c r="K20" s="36"/>
      <c r="L20" s="37"/>
      <c r="M20" s="38"/>
    </row>
    <row r="21" spans="1:56" x14ac:dyDescent="0.25">
      <c r="A21" s="35"/>
      <c r="B21" s="36"/>
      <c r="C21" s="36"/>
      <c r="D21" s="36"/>
      <c r="E21" s="36"/>
      <c r="F21" s="36"/>
      <c r="G21" s="36"/>
      <c r="H21" s="36"/>
      <c r="I21" s="36"/>
      <c r="J21" s="36"/>
      <c r="K21" s="36"/>
      <c r="L21" s="37"/>
      <c r="M21" s="38"/>
    </row>
    <row r="22" spans="1:56" x14ac:dyDescent="0.25">
      <c r="A22" s="35"/>
      <c r="B22" s="36"/>
      <c r="C22" s="36"/>
      <c r="D22" s="36"/>
      <c r="E22" s="36"/>
      <c r="F22" s="36"/>
      <c r="G22" s="36"/>
      <c r="H22" s="36"/>
      <c r="I22" s="36"/>
      <c r="J22" s="36"/>
      <c r="K22" s="36"/>
      <c r="L22" s="37"/>
      <c r="M22" s="38"/>
    </row>
    <row r="23" spans="1:56" x14ac:dyDescent="0.25">
      <c r="A23" s="35"/>
      <c r="B23" s="36"/>
      <c r="C23" s="36"/>
      <c r="D23" s="36"/>
      <c r="E23" s="36"/>
      <c r="F23" s="36"/>
      <c r="G23" s="36"/>
      <c r="H23" s="36"/>
      <c r="I23" s="36"/>
      <c r="J23" s="36"/>
      <c r="K23" s="36"/>
      <c r="L23" s="37"/>
      <c r="M23" s="38"/>
    </row>
    <row r="24" spans="1:56" x14ac:dyDescent="0.25">
      <c r="A24" s="35"/>
      <c r="B24" s="36"/>
      <c r="C24" s="36"/>
      <c r="D24" s="36"/>
      <c r="E24" s="36"/>
      <c r="F24" s="36"/>
      <c r="G24" s="36"/>
      <c r="H24" s="36"/>
      <c r="I24" s="36"/>
      <c r="J24" s="36"/>
      <c r="K24" s="36"/>
      <c r="L24" s="37"/>
      <c r="M24" s="38"/>
    </row>
    <row r="25" spans="1:56" x14ac:dyDescent="0.25">
      <c r="A25" s="35"/>
      <c r="B25" s="36"/>
      <c r="C25" s="36"/>
      <c r="D25" s="36"/>
      <c r="E25" s="36"/>
      <c r="F25" s="36"/>
      <c r="G25" s="36"/>
      <c r="H25" s="36"/>
      <c r="I25" s="36"/>
      <c r="J25" s="36"/>
      <c r="K25" s="36"/>
      <c r="L25" s="37"/>
      <c r="M25" s="38"/>
    </row>
    <row r="26" spans="1:56" x14ac:dyDescent="0.25">
      <c r="A26" s="35"/>
      <c r="B26" s="36"/>
      <c r="C26" s="36"/>
      <c r="D26" s="36"/>
      <c r="E26" s="36"/>
      <c r="F26" s="36"/>
      <c r="G26" s="36"/>
      <c r="H26" s="36"/>
      <c r="I26" s="36"/>
      <c r="J26" s="36"/>
      <c r="K26" s="36"/>
      <c r="L26" s="37"/>
      <c r="M26" s="38"/>
    </row>
    <row r="27" spans="1:56" x14ac:dyDescent="0.25">
      <c r="A27" s="35"/>
      <c r="B27" s="36"/>
      <c r="C27" s="36"/>
      <c r="D27" s="36"/>
      <c r="E27" s="36"/>
      <c r="F27" s="36"/>
      <c r="G27" s="36"/>
      <c r="H27" s="36"/>
      <c r="I27" s="36"/>
      <c r="J27" s="36"/>
      <c r="K27" s="36"/>
      <c r="L27" s="37"/>
      <c r="M27" s="38"/>
    </row>
    <row r="28" spans="1:56" x14ac:dyDescent="0.25">
      <c r="A28" s="35"/>
      <c r="B28" s="36"/>
      <c r="C28" s="36"/>
      <c r="D28" s="36"/>
      <c r="E28" s="36"/>
      <c r="F28" s="36"/>
      <c r="G28" s="36"/>
      <c r="H28" s="36"/>
      <c r="I28" s="36"/>
      <c r="J28" s="36"/>
      <c r="K28" s="36"/>
      <c r="L28" s="37"/>
      <c r="M28" s="38"/>
    </row>
    <row r="29" spans="1:56" x14ac:dyDescent="0.25">
      <c r="A29" s="35"/>
      <c r="B29" s="36"/>
      <c r="C29" s="36"/>
      <c r="D29" s="36"/>
      <c r="E29" s="36"/>
      <c r="F29" s="36"/>
      <c r="G29" s="36"/>
      <c r="H29" s="36"/>
      <c r="I29" s="36"/>
      <c r="J29" s="36"/>
      <c r="K29" s="36"/>
      <c r="L29" s="37"/>
      <c r="M29" s="38"/>
    </row>
    <row r="30" spans="1:56" x14ac:dyDescent="0.25">
      <c r="A30" s="35"/>
      <c r="B30" s="36"/>
      <c r="C30" s="36"/>
      <c r="D30" s="36"/>
      <c r="E30" s="36"/>
      <c r="F30" s="36"/>
      <c r="G30" s="36"/>
      <c r="H30" s="36"/>
      <c r="I30" s="36"/>
      <c r="J30" s="36"/>
      <c r="K30" s="36"/>
      <c r="L30" s="37"/>
      <c r="M30" s="38"/>
    </row>
    <row r="31" spans="1:56" x14ac:dyDescent="0.25">
      <c r="A31" s="39"/>
      <c r="B31" s="40"/>
      <c r="C31" s="40"/>
      <c r="D31" s="40"/>
      <c r="E31" s="40"/>
      <c r="F31" s="40"/>
      <c r="G31" s="40"/>
      <c r="H31" s="40"/>
      <c r="I31" s="40"/>
      <c r="J31" s="40"/>
      <c r="K31" s="40"/>
      <c r="L31" s="41"/>
      <c r="M31" s="42"/>
    </row>
  </sheetData>
  <mergeCells count="11">
    <mergeCell ref="BA8:BD8"/>
    <mergeCell ref="AB8:AE8"/>
    <mergeCell ref="AG8:AJ8"/>
    <mergeCell ref="AL8:AO8"/>
    <mergeCell ref="AQ8:AT8"/>
    <mergeCell ref="AV8:AY8"/>
    <mergeCell ref="B8:E8"/>
    <mergeCell ref="H8:K8"/>
    <mergeCell ref="M8:P8"/>
    <mergeCell ref="R8:U8"/>
    <mergeCell ref="W8:Z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1505CC-1EF9-4EC8-BE7D-03045C006672}">
  <ds:schemaRefs>
    <ds:schemaRef ds:uri="97a86f65-4516-4324-bcd9-bc0d55ce378a"/>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C9C78392-25ED-4F81-A70A-0A9C86EEBAA6}">
  <ds:schemaRefs>
    <ds:schemaRef ds:uri="http://schemas.microsoft.com/sharepoint/v3/contenttype/forms"/>
  </ds:schemaRefs>
</ds:datastoreItem>
</file>

<file path=customXml/itemProps3.xml><?xml version="1.0" encoding="utf-8"?>
<ds:datastoreItem xmlns:ds="http://schemas.openxmlformats.org/officeDocument/2006/customXml" ds:itemID="{B0343244-9B8C-45CD-8175-A79E13AC5A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Definitions</vt:lpstr>
      <vt:lpstr>Operational Overhead</vt:lpstr>
      <vt:lpstr>Wash Up</vt:lpstr>
      <vt:lpstr>Packing</vt:lpstr>
      <vt:lpstr>Transport &amp; Handling</vt:lpstr>
      <vt:lpstr>Laundry</vt:lpstr>
      <vt:lpstr>Dry Stores</vt:lpstr>
      <vt:lpstr>Taxes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Sue  Lu</cp:lastModifiedBy>
  <cp:revision/>
  <dcterms:created xsi:type="dcterms:W3CDTF">2024-04-04T07:49:13Z</dcterms:created>
  <dcterms:modified xsi:type="dcterms:W3CDTF">2024-06-24T19:12:17Z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